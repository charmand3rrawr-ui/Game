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Grades_Realms" sheetId="2" state="visible" r:id="rId4"/>
    <sheet name="Building_Levels" sheetId="3" state="visible" r:id="rId5"/>
    <sheet name="Buildings_Master" sheetId="4" state="visible" r:id="rId6"/>
    <sheet name="Level_Calculator" sheetId="5" state="visible" r:id="rId7"/>
    <sheet name="Archetypes" sheetId="6" state="visible" r:id="rId8"/>
    <sheet name="Unit_Grades" sheetId="7" state="visible" r:id="rId9"/>
    <sheet name="Unit_Paths" sheetId="8" state="visible" r:id="rId10"/>
    <sheet name="Units_Master" sheetId="9" state="visible" r:id="rId11"/>
    <sheet name="Counter_Matrix" sheetId="10" state="visible" r:id="rId12"/>
    <sheet name="Research_Disciplines" sheetId="11" state="visible" r:id="rId13"/>
    <sheet name="Equipment_Catalog" sheetId="12" state="visible" r:id="rId14"/>
    <sheet name="Celestial_Sites" sheetId="13" state="visible" r:id="rId15"/>
    <sheet name="Cultivation" sheetId="14" state="visible" r:id="rId16"/>
    <sheet name="Chrono_Shards" sheetId="15" state="visible" r:id="rId17"/>
    <sheet name="Reachable_Levels" sheetId="16" state="visible" r:id="rId18"/>
    <sheet name="Heavens_Envy" sheetId="17" state="visible" r:id="rId19"/>
    <sheet name="Building_Framework" sheetId="18" state="visible" r:id="rId20"/>
    <sheet name="Category_Chassis" sheetId="19" state="visible" r:id="rId21"/>
    <sheet name="Visual_Tiers" sheetId="20" state="visible" r:id="rId22"/>
    <sheet name="Visual_Overlays" sheetId="21" state="visible" r:id="rId23"/>
    <sheet name="Specs_EraI" sheetId="22" state="visible" r:id="rId24"/>
    <sheet name="ArtBrief_Exemplars" sheetId="23" state="visible" r:id="rId25"/>
    <sheet name="Holdings_Hierarchy" sheetId="24" state="visible" r:id="rId26"/>
    <sheet name="Production_Isolation" sheetId="25" state="visible" r:id="rId27"/>
    <sheet name="Governors" sheetId="26" state="visible" r:id="rId28"/>
    <sheet name="Governor_Specs" sheetId="27" state="visible" r:id="rId29"/>
    <sheet name="Empire_Management" sheetId="28" state="visible" r:id="rId30"/>
    <sheet name="Veterancy_XP" sheetId="29" state="visible" r:id="rId31"/>
    <sheet name="Veterancy_Levels" sheetId="30" state="visible" r:id="rId32"/>
    <sheet name="Veterancy_Tiers" sheetId="31" state="visible" r:id="rId33"/>
    <sheet name="Veterancy_Calculator" sheetId="32" state="visible" r:id="rId34"/>
    <sheet name="Veterancy_Rules" sheetId="33" state="visible" r:id="rId35"/>
    <sheet name="XP_Attribution" sheetId="34" state="visible" r:id="rId36"/>
    <sheet name="XP_Worked_Example" sheetId="35" state="visible" r:id="rId37"/>
    <sheet name="Empire_Weight_Multiplier" sheetId="36" state="visible" r:id="rId3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<sst xmlns="http://schemas.openxmlformats.org/spreadsheetml/2006/main" count="15345" uniqueCount="5384">
  <si>
    <t xml:space="preserve">ASCENDANCE — Master Data Tables v3</t>
  </si>
  <si>
    <t xml:space="preserve">Legend</t>
  </si>
  <si>
    <t xml:space="preserve">Blue text = hardcoded design inputs (tunable). Black = formulas. Yellow fill = cells you edit (Level_Calculator!D1).</t>
  </si>
  <si>
    <t xml:space="preserve">Grades_Realms</t>
  </si>
  <si>
    <t xml:space="preserve">The 42-grade spine (14 cultivation realms × 3 stages) shared by buildings, research disciplines, and player cultivation. Levels 0–1337; a grade every 32 levels.</t>
  </si>
  <si>
    <t xml:space="preserve">Building_Levels</t>
  </si>
  <si>
    <t xml:space="preserve">Parametric multipliers for every building at levels 0–1337 (cost/time/output curves).</t>
  </si>
  <si>
    <t xml:space="preserve">Buildings_Master</t>
  </si>
  <si>
    <t xml:space="preserve">All 483 buildings (69 per era × 7 eras) with categories and base costs in era-currency equivalents.</t>
  </si>
  <si>
    <t xml:space="preserve">Level_Calculator</t>
  </si>
  <si>
    <t xml:space="preserve">Type any building name into the yellow cell; the sheet computes its full 0–1337 cost/time/output table.</t>
  </si>
  <si>
    <t xml:space="preserve">Archetypes / Unit_Grades / Unit_Paths</t>
  </si>
  <si>
    <t xml:space="preserve">Base unit stats and the multipliers that generate the full roster.</t>
  </si>
  <si>
    <t xml:space="preserve">Units_Master</t>
  </si>
  <si>
    <t xml:space="preserve">2,268 units (18 archetypes × 3 identity paths × 6 grades × 7 eras), stats computed by formula from the three parameter sheets. "100s of troop types per era" arises combinatorially from research grade + identity path progression.</t>
  </si>
  <si>
    <t xml:space="preserve">Counter_Matrix</t>
  </si>
  <si>
    <t xml:space="preserve">Role-vs-role damage multipliers (34 roles). Applied on top of unit stats in combat resolution.</t>
  </si>
  <si>
    <t xml:space="preserve">Research_Disciplines</t>
  </si>
  <si>
    <t xml:space="preserve">21 disciplines (3 branches × 7 eras), each 0–1337 levels / 42 grades, with prerequisites.</t>
  </si>
  <si>
    <t xml:space="preserve">Equipment_Catalog</t>
  </si>
  <si>
    <t xml:space="preserve">135 equipment lines (3 slots × 9 tiers × 5 qualities) with formula-driven bonuses.</t>
  </si>
  <si>
    <t xml:space="preserve">Celestial_Sites</t>
  </si>
  <si>
    <t xml:space="preserve">41 site types: barren villages and ruins through planets, moons, asteroids, and intergalactic void sites.</t>
  </si>
  <si>
    <t xml:space="preserve">Cultivation</t>
  </si>
  <si>
    <t xml:space="preserve">The Sovereign's Path system summary (full design in GDD v3 addendum).</t>
  </si>
  <si>
    <t xml:space="preserve">Chrono_Shards</t>
  </si>
  <si>
    <t xml:space="preserve">The speed-up economy: denominations, the four guardrails (absorption ceiling, prohibited targets, Temporal Debt, disclosure/throttle), epoch carryover decay, and package contents.</t>
  </si>
  <si>
    <t xml:space="preserve">Reachable_Levels</t>
  </si>
  <si>
    <t xml:space="preserve">What compression actually buys: level reached per years of focus at each sustained compression multiple.</t>
  </si>
  <si>
    <t xml:space="preserve">Heavens_Envy</t>
  </si>
  <si>
    <t xml:space="preserve">The public stacking defense debuff on top daily shard buyers: three scopes, publicity rules, anti-gaming countermeasures, worked example.</t>
  </si>
  <si>
    <t xml:space="preserve">Core curves</t>
  </si>
  <si>
    <t xml:space="preserve">Cost(L)=base×(L+1)^2.4×1.004^L · Time(L)=K×(L+1)^1.9×1.003^L with K calibrated so the FULL 0→1337 climb totals exactly 500 years (1 yr = 8766 h) for every building and research discipline — verification cells on Building_Levels and Level_Calculator · Output(L)=base×(L+1)^1.12 · Research cost(L)=base×(L+1)^2.2×1.0035^L · Qi(G)=100×G^3.2×1.15^G. All server-tunable; sources: design assumptions per GDD v3, not external data.</t>
  </si>
  <si>
    <t xml:space="preserve">Training times</t>
  </si>
  <si>
    <t xml:space="preserve">Unit train hours = base upkeep × train-constant × grade train multiplier (1×/1.5×/2.5×/4×/7×/12×). Calibrated so the strongest ship at the highest grade — the Mythic Path Avatar — trains in exactly 6 months (4,383 h). A Mortal Militia trains in ~49 minutes; a Mythic Titan in ~7 weeks. HQ/Factory levels and doctrines can shave bounded percentages, never break the calibration class.</t>
  </si>
  <si>
    <t xml:space="preserve">Building_Framework</t>
  </si>
  <si>
    <t xml:space="preserve">The 12 universal systems every building obeys: plots, gating, staffing, upkeep, adjacency, queues, damage, capture, synergy, heritage, specialization caps, visibility.</t>
  </si>
  <si>
    <t xml:space="preserve">Category_Chassis</t>
  </si>
  <si>
    <t xml:space="preserve">The 11 category templates — output formulas, distinctive mechanics, level scaling, and vulnerabilities.</t>
  </si>
  <si>
    <t xml:space="preserve">Visual_Tiers</t>
  </si>
  <si>
    <t xml:space="preserve">The 12 authored visual tiers mapped to level bands, with universal transformation rules.</t>
  </si>
  <si>
    <t xml:space="preserve">Visual_Overlays</t>
  </si>
  <si>
    <t xml:space="preserve">7 modular overlay axes (era, culture, cultivation aura, damage, activity, biome, heraldry) that multiply the tier art.</t>
  </si>
  <si>
    <t xml:space="preserve">Specs_EraI</t>
  </si>
  <si>
    <t xml:space="preserve">All 69 Era I buildings: purpose, value added, distinctive mechanic, synergies, and a Visual DNA art brief.</t>
  </si>
  <si>
    <t xml:space="preserve">ArtBrief_Exemplars</t>
  </si>
  <si>
    <t xml:space="preserve">Full 12-tier appearance descriptions for four exemplar buildings, showing the arc art should follow.</t>
  </si>
  <si>
    <t xml:space="preserve">Holdings_Hierarchy</t>
  </si>
  <si>
    <t xml:space="preserve">The 12 holding types from Outpost to Galactic Throne: plots, admin cost, what each can produce.</t>
  </si>
  <si>
    <t xml:space="preserve">Production_Isolation</t>
  </si>
  <si>
    <t xml:space="preserve">The nine isolation rules — local stockpiles, local queues, local population — and their consequences in play.</t>
  </si>
  <si>
    <t xml:space="preserve">Governors</t>
  </si>
  <si>
    <t xml:space="preserve">Governor tiers, the flat 2× time rule, the Seize action, where the rule self-sorts, and governor failure modes.</t>
  </si>
  <si>
    <t xml:space="preserve">Empire_Management</t>
  </si>
  <si>
    <t xml:space="preserve">The eight management tools that make wide empires playable without breaking isolation.</t>
  </si>
  <si>
    <t xml:space="preserve">Administration</t>
  </si>
  <si>
    <t xml:space="preserve">Admin capacity formula by Statecraft grade, over-capacity penalty bands, and the delegation cost modifiers.</t>
  </si>
  <si>
    <t xml:space="preserve">Governor_Specs</t>
  </si>
  <si>
    <t xml:space="preserve">The six spec sheets a player writes for a governor: build order, training, research mandate, resource policy, defence posture, escalation rules.</t>
  </si>
  <si>
    <t xml:space="preserve">Veterancy_Tiers</t>
  </si>
  <si>
    <t xml:space="preserve">The 24 veterancy tiers (Copper → Eternal): raw ×5 ladder, dampened combat multiplier, era gating, and the design note on why dampening exists. Yellow cell sets the exponent.</t>
  </si>
  <si>
    <t xml:space="preserve">Veterancy_Levels</t>
  </si>
  <si>
    <t xml:space="preserve">The 1,337 levels within a tier: +1% raw per level, XP cost curve, cumulative XP.</t>
  </si>
  <si>
    <t xml:space="preserve">Veterancy_Calculator</t>
  </si>
  <si>
    <t xml:space="preserve">Enter a tier and level for raw rating, combat multiplier, era cap and XP; plus a comparison table at key rungs.</t>
  </si>
  <si>
    <t xml:space="preserve">Veterancy_Rules</t>
  </si>
  <si>
    <t xml:space="preserve">The nine rules: dual attack/defence tracks, formations, XP sources, green dilution, promotion deeds, era gating, transfer, visibility, capture.</t>
  </si>
  <si>
    <t xml:space="preserve">Veterancy_XP</t>
  </si>
  <si>
    <t xml:space="preserve">The split-curve XP model: requirement-side and earn-side tunables, resulting spread, and tier pacing. Start here to retune veterancy.</t>
  </si>
  <si>
    <t xml:space="preserve">XP_Attribution</t>
  </si>
  <si>
    <t xml:space="preserve">How XP is earned at scale: contribution-share kill attribution, Unit Power Value, role and relative factors, the defence absorption component, anti-farming floors, and performance notes.</t>
  </si>
  <si>
    <t xml:space="preserve">XP_Worked_Example</t>
  </si>
  <si>
    <t xml:space="preserve">One siege computed end to end, with editable inputs.</t>
  </si>
  <si>
    <t xml:space="preserve">Empire_Weight_Multiplier</t>
  </si>
  <si>
    <t xml:space="preserve">Veterancy XP REQUIREMENT multiplier by empire size: the soft-knee curve to a 9,918,521x cap, why the requirement side beats the earn side, scope, the Champion economy, and countermeasures.</t>
  </si>
  <si>
    <t xml:space="preserve">Grade #</t>
  </si>
  <si>
    <t xml:space="preserve">Realm · Stage</t>
  </si>
  <si>
    <t xml:space="preserve">Min Level</t>
  </si>
  <si>
    <t xml:space="preserve">Max Level</t>
  </si>
  <si>
    <t xml:space="preserve">Breakthrough Qi Cost</t>
  </si>
  <si>
    <t xml:space="preserve">Tribulation (cultivation)</t>
  </si>
  <si>
    <t xml:space="preserve">Building Breakthrough Project</t>
  </si>
  <si>
    <t xml:space="preserve">Research Grade Prerequisite</t>
  </si>
  <si>
    <t xml:space="preserve">Mortal Vessel · Initial</t>
  </si>
  <si>
    <t xml:space="preserve">None — mortal effort only</t>
  </si>
  <si>
    <t xml:space="preserve">Grade-Up Project G1: consumes era resources; 32×level-time; attackable while building</t>
  </si>
  <si>
    <t xml:space="preserve">None</t>
  </si>
  <si>
    <t xml:space="preserve">Mortal Vessel · Advanced</t>
  </si>
  <si>
    <t xml:space="preserve">Grade-Up Project G2: consumes era resources; 32×level-time; attackable while building</t>
  </si>
  <si>
    <t xml:space="preserve">All 3 same-era disciplines at Grade 1; cultivation realm ≥ G1</t>
  </si>
  <si>
    <t xml:space="preserve">Mortal Vessel · Perfected</t>
  </si>
  <si>
    <t xml:space="preserve">Grade-Up Project G3: consumes era resources; 32×level-time; attackable while building</t>
  </si>
  <si>
    <t xml:space="preserve">All 3 same-era disciplines at Grade 2; cultivation realm ≥ G2</t>
  </si>
  <si>
    <t xml:space="preserve">Awakened Meridian · Initial</t>
  </si>
  <si>
    <t xml:space="preserve">Minor Awakened Meridian trial</t>
  </si>
  <si>
    <t xml:space="preserve">Grade-Up Project G4: consumes era resources; 32×level-time; attackable while building</t>
  </si>
  <si>
    <t xml:space="preserve">All 3 same-era disciplines at Grade 3; cultivation realm ≥ G3</t>
  </si>
  <si>
    <t xml:space="preserve">Awakened Meridian · Advanced</t>
  </si>
  <si>
    <t xml:space="preserve">Grade-Up Project G5: consumes era resources; 32×level-time; attackable while building</t>
  </si>
  <si>
    <t xml:space="preserve">All 3 same-era disciplines at Grade 4; cultivation realm ≥ G4</t>
  </si>
  <si>
    <t xml:space="preserve">Awakened Meridian · Perfected</t>
  </si>
  <si>
    <t xml:space="preserve">Trial of Hunger: survive a famine tick without starvation losses</t>
  </si>
  <si>
    <t xml:space="preserve">Grade-Up Project G6: consumes era resources; 32×level-time; attackable while building</t>
  </si>
  <si>
    <t xml:space="preserve">All 3 same-era disciplines at Grade 5; cultivation realm ≥ G5</t>
  </si>
  <si>
    <t xml:space="preserve">Tempered Body · Initial</t>
  </si>
  <si>
    <t xml:space="preserve">Minor Tempered Body trial</t>
  </si>
  <si>
    <t xml:space="preserve">Grade-Up Project G7: consumes era resources; 32×level-time; attackable while building</t>
  </si>
  <si>
    <t xml:space="preserve">All 3 same-era disciplines at Grade 6; cultivation realm ≥ G6</t>
  </si>
  <si>
    <t xml:space="preserve">Tempered Body · Advanced</t>
  </si>
  <si>
    <t xml:space="preserve">Grade-Up Project G8: consumes era resources; 32×level-time; attackable while building</t>
  </si>
  <si>
    <t xml:space="preserve">All 3 same-era disciplines at Grade 7; cultivation realm ≥ G7</t>
  </si>
  <si>
    <t xml:space="preserve">Tempered Body · Perfected</t>
  </si>
  <si>
    <t xml:space="preserve">Beast Tide: defend home settlement vs. NPC wave</t>
  </si>
  <si>
    <t xml:space="preserve">Grade-Up Project G9: consumes era resources; 32×level-time; attackable while building</t>
  </si>
  <si>
    <t xml:space="preserve">All 3 same-era disciplines at Grade 8; cultivation realm ≥ G8</t>
  </si>
  <si>
    <t xml:space="preserve">Foundation · Initial</t>
  </si>
  <si>
    <t xml:space="preserve">Minor Foundation trial</t>
  </si>
  <si>
    <t xml:space="preserve">Grade-Up Project G10: consumes era resources; 32×level-time; attackable while building</t>
  </si>
  <si>
    <t xml:space="preserve">All 3 same-era disciplines at Grade 9; cultivation realm ≥ G9</t>
  </si>
  <si>
    <t xml:space="preserve">Foundation · Advanced</t>
  </si>
  <si>
    <t xml:space="preserve">Grade-Up Project G11: consumes era resources; 32×level-time; attackable while building</t>
  </si>
  <si>
    <t xml:space="preserve">All 3 same-era disciplines at Grade 10; cultivation realm ≥ G10</t>
  </si>
  <si>
    <t xml:space="preserve">Foundation · Perfected</t>
  </si>
  <si>
    <t xml:space="preserve">Heart Demon: agent-op puzzle event; failure stuns cultivation 48h</t>
  </si>
  <si>
    <t xml:space="preserve">Grade-Up Project G12: consumes era resources; 32×level-time; attackable while building</t>
  </si>
  <si>
    <t xml:space="preserve">All 3 same-era disciplines at Grade 11; cultivation realm ≥ G11</t>
  </si>
  <si>
    <t xml:space="preserve">Golden Core · Initial</t>
  </si>
  <si>
    <t xml:space="preserve">Minor Golden Core trial</t>
  </si>
  <si>
    <t xml:space="preserve">Grade-Up Project G13: consumes era resources; 32×level-time; attackable while building</t>
  </si>
  <si>
    <t xml:space="preserve">All 3 same-era disciplines at Grade 12; cultivation realm ≥ G12</t>
  </si>
  <si>
    <t xml:space="preserve">Golden Core · Advanced</t>
  </si>
  <si>
    <t xml:space="preserve">Grade-Up Project G14: consumes era resources; 32×level-time; attackable while building</t>
  </si>
  <si>
    <t xml:space="preserve">All 3 same-era disciplines at Grade 13; cultivation realm ≥ G13</t>
  </si>
  <si>
    <t xml:space="preserve">Golden Core · Perfected</t>
  </si>
  <si>
    <t xml:space="preserve">Lightning Tribulation: timed defense event, visible to nearby players (crashable!)</t>
  </si>
  <si>
    <t xml:space="preserve">Grade-Up Project G15: consumes era resources; 32×level-time; attackable while building</t>
  </si>
  <si>
    <t xml:space="preserve">All 3 same-era disciplines at Grade 14; cultivation realm ≥ G14</t>
  </si>
  <si>
    <t xml:space="preserve">Nascent Soul · Initial</t>
  </si>
  <si>
    <t xml:space="preserve">Minor Nascent Soul trial</t>
  </si>
  <si>
    <t xml:space="preserve">Grade-Up Project G16: consumes era resources; 32×level-time; attackable while building</t>
  </si>
  <si>
    <t xml:space="preserve">All 3 same-era disciplines at Grade 15; cultivation realm ≥ G15</t>
  </si>
  <si>
    <t xml:space="preserve">Nascent Soul · Advanced</t>
  </si>
  <si>
    <t xml:space="preserve">Grade-Up Project G17: consumes era resources; 32×level-time; attackable while building</t>
  </si>
  <si>
    <t xml:space="preserve">All 3 same-era disciplines at Grade 16; cultivation realm ≥ G16</t>
  </si>
  <si>
    <t xml:space="preserve">Nascent Soul · Perfected</t>
  </si>
  <si>
    <t xml:space="preserve">Soul Trial: expedition into a sealed instance ruin</t>
  </si>
  <si>
    <t xml:space="preserve">Grade-Up Project G18: consumes era resources; 32×level-time; attackable while building</t>
  </si>
  <si>
    <t xml:space="preserve">All 3 same-era disciplines at Grade 17; cultivation realm ≥ G17</t>
  </si>
  <si>
    <t xml:space="preserve">Spirit Severing · Initial</t>
  </si>
  <si>
    <t xml:space="preserve">Minor Spirit Severing trial</t>
  </si>
  <si>
    <t xml:space="preserve">Grade-Up Project G19: consumes era resources; 32×level-time; attackable while building</t>
  </si>
  <si>
    <t xml:space="preserve">All 3 same-era disciplines at Grade 18; cultivation realm ≥ G18</t>
  </si>
  <si>
    <t xml:space="preserve">Spirit Severing · Advanced</t>
  </si>
  <si>
    <t xml:space="preserve">Grade-Up Project G20: consumes era resources; 32×level-time; attackable while building</t>
  </si>
  <si>
    <t xml:space="preserve">All 3 same-era disciplines at Grade 19; cultivation realm ≥ G19</t>
  </si>
  <si>
    <t xml:space="preserve">Spirit Severing · Perfected</t>
  </si>
  <si>
    <t xml:space="preserve">Severance: sacrifice a chosen bonus permanently (build-defining choice)</t>
  </si>
  <si>
    <t xml:space="preserve">Grade-Up Project G21: consumes era resources; 32×level-time; attackable while building</t>
  </si>
  <si>
    <t xml:space="preserve">All 3 same-era disciplines at Grade 20; cultivation realm ≥ G20</t>
  </si>
  <si>
    <t xml:space="preserve">Void Refinement · Initial</t>
  </si>
  <si>
    <t xml:space="preserve">Minor Void Refinement trial</t>
  </si>
  <si>
    <t xml:space="preserve">Grade-Up Project G22: consumes era resources; 32×level-time; attackable while building</t>
  </si>
  <si>
    <t xml:space="preserve">All 3 same-era disciplines at Grade 21; cultivation realm ≥ G21</t>
  </si>
  <si>
    <t xml:space="preserve">Void Refinement · Advanced</t>
  </si>
  <si>
    <t xml:space="preserve">Grade-Up Project G23: consumes era resources; 32×level-time; attackable while building</t>
  </si>
  <si>
    <t xml:space="preserve">All 3 same-era disciplines at Grade 22; cultivation realm ≥ G22</t>
  </si>
  <si>
    <t xml:space="preserve">Void Refinement · Perfected</t>
  </si>
  <si>
    <t xml:space="preserve">Void Storm: fleet/army survival event in hazard terrain</t>
  </si>
  <si>
    <t xml:space="preserve">Grade-Up Project G24: consumes era resources; 32×level-time; attackable while building</t>
  </si>
  <si>
    <t xml:space="preserve">All 3 same-era disciplines at Grade 23; cultivation realm ≥ G23</t>
  </si>
  <si>
    <t xml:space="preserve">Sovereign · Initial</t>
  </si>
  <si>
    <t xml:space="preserve">Minor Sovereign trial</t>
  </si>
  <si>
    <t xml:space="preserve">Grade-Up Project G25: consumes era resources; 32×level-time; attackable while building</t>
  </si>
  <si>
    <t xml:space="preserve">All 3 same-era disciplines at Grade 24; cultivation realm ≥ G24</t>
  </si>
  <si>
    <t xml:space="preserve">Sovereign · Advanced</t>
  </si>
  <si>
    <t xml:space="preserve">Grade-Up Project G26: consumes era resources; 32×level-time; attackable while building</t>
  </si>
  <si>
    <t xml:space="preserve">All 3 same-era disciplines at Grade 25; cultivation realm ≥ G25</t>
  </si>
  <si>
    <t xml:space="preserve">Sovereign · Perfected</t>
  </si>
  <si>
    <t xml:space="preserve">Mandate Trial: hold a contested banner objective for 24h (PvP-exposed)</t>
  </si>
  <si>
    <t xml:space="preserve">Grade-Up Project G27: consumes era resources; 32×level-time; attackable while building</t>
  </si>
  <si>
    <t xml:space="preserve">All 3 same-era disciplines at Grade 26; cultivation realm ≥ G26</t>
  </si>
  <si>
    <t xml:space="preserve">Saint · Initial</t>
  </si>
  <si>
    <t xml:space="preserve">Minor Saint trial</t>
  </si>
  <si>
    <t xml:space="preserve">Grade-Up Project G28: consumes era resources; 32×level-time; attackable while building</t>
  </si>
  <si>
    <t xml:space="preserve">All 3 same-era disciplines at Grade 27; cultivation realm ≥ G27</t>
  </si>
  <si>
    <t xml:space="preserve">Saint · Advanced</t>
  </si>
  <si>
    <t xml:space="preserve">Grade-Up Project G29: consumes era resources; 32×level-time; attackable while building</t>
  </si>
  <si>
    <t xml:space="preserve">All 3 same-era disciplines at Grade 28; cultivation realm ≥ G28</t>
  </si>
  <si>
    <t xml:space="preserve">Saint · Perfected</t>
  </si>
  <si>
    <t xml:space="preserve">Karmic Audit: reputation-weighted trial; low rep makes it brutal</t>
  </si>
  <si>
    <t xml:space="preserve">Grade-Up Project G30: consumes era resources; 32×level-time; attackable while building</t>
  </si>
  <si>
    <t xml:space="preserve">All 3 same-era disciplines at Grade 29; cultivation realm ≥ G29</t>
  </si>
  <si>
    <t xml:space="preserve">Celestial · Initial</t>
  </si>
  <si>
    <t xml:space="preserve">Minor Celestial trial</t>
  </si>
  <si>
    <t xml:space="preserve">Grade-Up Project G31: consumes era resources; 32×level-time; attackable while building</t>
  </si>
  <si>
    <t xml:space="preserve">All 3 same-era disciplines at Grade 30; cultivation realm ≥ G30</t>
  </si>
  <si>
    <t xml:space="preserve">Celestial · Advanced</t>
  </si>
  <si>
    <t xml:space="preserve">Grade-Up Project G32: consumes era resources; 32×level-time; attackable while building</t>
  </si>
  <si>
    <t xml:space="preserve">All 3 same-era disciplines at Grade 31; cultivation realm ≥ G31</t>
  </si>
  <si>
    <t xml:space="preserve">Celestial · Perfected</t>
  </si>
  <si>
    <t xml:space="preserve">Heavenly Gate: alliance-assisted raid boss</t>
  </si>
  <si>
    <t xml:space="preserve">Grade-Up Project G33: consumes era resources; 32×level-time; attackable while building</t>
  </si>
  <si>
    <t xml:space="preserve">All 3 same-era disciplines at Grade 32; cultivation realm ≥ G32</t>
  </si>
  <si>
    <t xml:space="preserve">Eternal · Initial</t>
  </si>
  <si>
    <t xml:space="preserve">Minor Eternal trial</t>
  </si>
  <si>
    <t xml:space="preserve">Grade-Up Project G34: consumes era resources; 32×level-time; attackable while building</t>
  </si>
  <si>
    <t xml:space="preserve">All 3 same-era disciplines at Grade 33; cultivation realm ≥ G33</t>
  </si>
  <si>
    <t xml:space="preserve">Eternal · Advanced</t>
  </si>
  <si>
    <t xml:space="preserve">Grade-Up Project G35: consumes era resources; 32×level-time; attackable while building</t>
  </si>
  <si>
    <t xml:space="preserve">All 3 same-era disciplines at Grade 34; cultivation realm ≥ G34</t>
  </si>
  <si>
    <t xml:space="preserve">Eternal · Perfected</t>
  </si>
  <si>
    <t xml:space="preserve">Time Lock: 7-day austerity (no market buys) while under Deep Void raids</t>
  </si>
  <si>
    <t xml:space="preserve">Grade-Up Project G36: consumes era resources; 32×level-time; attackable while building</t>
  </si>
  <si>
    <t xml:space="preserve">All 3 same-era disciplines at Grade 35; cultivation realm ≥ G35</t>
  </si>
  <si>
    <t xml:space="preserve">Primordial · Initial</t>
  </si>
  <si>
    <t xml:space="preserve">Minor Primordial trial</t>
  </si>
  <si>
    <t xml:space="preserve">Grade-Up Project G37: consumes era resources; 32×level-time; attackable while building</t>
  </si>
  <si>
    <t xml:space="preserve">All 3 same-era disciplines at Grade 36; cultivation realm ≥ G36</t>
  </si>
  <si>
    <t xml:space="preserve">Primordial · Advanced</t>
  </si>
  <si>
    <t xml:space="preserve">Grade-Up Project G38: consumes era resources; 32×level-time; attackable while building</t>
  </si>
  <si>
    <t xml:space="preserve">All 3 same-era disciplines at Grade 37; cultivation realm ≥ G37</t>
  </si>
  <si>
    <t xml:space="preserve">Primordial · Perfected</t>
  </si>
  <si>
    <t xml:space="preserve">First Flame: defeat a Silent Ones incursion as coalition anchor</t>
  </si>
  <si>
    <t xml:space="preserve">Grade-Up Project G39: consumes era resources; 32×level-time; attackable while building</t>
  </si>
  <si>
    <t xml:space="preserve">All 3 same-era disciplines at Grade 38; cultivation realm ≥ G38</t>
  </si>
  <si>
    <t xml:space="preserve">Transcendent Dao · Initial</t>
  </si>
  <si>
    <t xml:space="preserve">Minor Transcendent Dao trial</t>
  </si>
  <si>
    <t xml:space="preserve">Grade-Up Project G40: consumes era resources; 32×level-time; attackable while building</t>
  </si>
  <si>
    <t xml:space="preserve">All 3 same-era disciplines at Grade 39; cultivation realm ≥ G39</t>
  </si>
  <si>
    <t xml:space="preserve">Transcendent Dao · Advanced</t>
  </si>
  <si>
    <t xml:space="preserve">Grade-Up Project G41: consumes era resources; 32×level-time; attackable while building</t>
  </si>
  <si>
    <t xml:space="preserve">All 3 same-era disciplines at Grade 40; cultivation realm ≥ G40</t>
  </si>
  <si>
    <t xml:space="preserve">Transcendent Dao · Perfected</t>
  </si>
  <si>
    <t xml:space="preserve">The Question: universe-unique riddle-quest chain, one per epoch may pass</t>
  </si>
  <si>
    <t xml:space="preserve">Grade-Up Project G42: consumes era resources; 32×level-time; attackable while building</t>
  </si>
  <si>
    <t xml:space="preserve">All 3 same-era disciplines at Grade 41; cultivation realm ≥ G41</t>
  </si>
  <si>
    <t xml:space="preserve">Assumption: 42 grades × 32 levels = 1344 cap, truncated to level 1337 (Grade 42 spans 1312–1337). Qi cost curve is a design input (blue-style constant), tunable server-side.</t>
  </si>
  <si>
    <t xml:space="preserve">Level</t>
  </si>
  <si>
    <t xml:space="preserve">Cost Multiplier</t>
  </si>
  <si>
    <t xml:space="preserve">Build/Research Time (hours)</t>
  </si>
  <si>
    <t xml:space="preserve">Output Multiplier</t>
  </si>
  <si>
    <t xml:space="preserve">Cumulative Hours 0→L</t>
  </si>
  <si>
    <t xml:space="preserve">Time constant K (h)</t>
  </si>
  <si>
    <t xml:space="preserve">Calibrated so SUM of time col = 500 years (1 yr = 8766 h). Design input.</t>
  </si>
  <si>
    <t xml:space="preserve">Total climb (hours)</t>
  </si>
  <si>
    <t xml:space="preserve">Total climb (years)</t>
  </si>
  <si>
    <t xml:space="preserve">Era</t>
  </si>
  <si>
    <t xml:space="preserve">Building</t>
  </si>
  <si>
    <t xml:space="preserve">Category</t>
  </si>
  <si>
    <t xml:space="preserve">Function / Base Output</t>
  </si>
  <si>
    <t xml:space="preserve">Base Timber-eq</t>
  </si>
  <si>
    <t xml:space="preserve">Base Stone/Metal-eq</t>
  </si>
  <si>
    <t xml:space="preserve">Base Special-eq</t>
  </si>
  <si>
    <t xml:space="preserve">Cost @ Level L</t>
  </si>
  <si>
    <t xml:space="preserve">Time @ Level L</t>
  </si>
  <si>
    <t xml:space="preserve">Levels</t>
  </si>
  <si>
    <t xml:space="preserve">Grades</t>
  </si>
  <si>
    <t xml:space="preserve">Chieftain's Hall</t>
  </si>
  <si>
    <t xml:space="preserve">HQ/Governance</t>
  </si>
  <si>
    <t xml:space="preserve">+1 queue slot / 8 grades</t>
  </si>
  <si>
    <t xml:space="preserve">base_time × (L+1)^1.9 × 1.003^L ÷ HQ_factor</t>
  </si>
  <si>
    <t xml:space="preserve">0–1337</t>
  </si>
  <si>
    <t xml:space="preserve">42</t>
  </si>
  <si>
    <t xml:space="preserve">Farm</t>
  </si>
  <si>
    <t xml:space="preserve">Extraction</t>
  </si>
  <si>
    <t xml:space="preserve">Grain 30/h base</t>
  </si>
  <si>
    <t xml:space="preserve">Fishery</t>
  </si>
  <si>
    <t xml:space="preserve">Fish 26/h</t>
  </si>
  <si>
    <t xml:space="preserve">Lumber Camp</t>
  </si>
  <si>
    <t xml:space="preserve">Timber 30/h</t>
  </si>
  <si>
    <t xml:space="preserve">Mine</t>
  </si>
  <si>
    <t xml:space="preserve">Ore 26/h</t>
  </si>
  <si>
    <t xml:space="preserve">Hunter's Lodge</t>
  </si>
  <si>
    <t xml:space="preserve">Hide 14/h</t>
  </si>
  <si>
    <t xml:space="preserve">Clay Pit</t>
  </si>
  <si>
    <t xml:space="preserve">Clay 20/h</t>
  </si>
  <si>
    <t xml:space="preserve">Herb Garden</t>
  </si>
  <si>
    <t xml:space="preserve">Spirit Herbs 6/h</t>
  </si>
  <si>
    <t xml:space="preserve">Apiary</t>
  </si>
  <si>
    <t xml:space="preserve">Honey (food+happiness)</t>
  </si>
  <si>
    <t xml:space="preserve">Orchard</t>
  </si>
  <si>
    <t xml:space="preserve">Fruit (food var.)</t>
  </si>
  <si>
    <t xml:space="preserve">Vegetable Garden</t>
  </si>
  <si>
    <t xml:space="preserve">Food 10/h</t>
  </si>
  <si>
    <t xml:space="preserve">Pig Pen</t>
  </si>
  <si>
    <t xml:space="preserve">Food 12/h</t>
  </si>
  <si>
    <t xml:space="preserve">Chicken Coop</t>
  </si>
  <si>
    <t xml:space="preserve">Food 8/h</t>
  </si>
  <si>
    <t xml:space="preserve">Goat Shed</t>
  </si>
  <si>
    <t xml:space="preserve">Hide+Food</t>
  </si>
  <si>
    <t xml:space="preserve">Trap Line</t>
  </si>
  <si>
    <t xml:space="preserve">Hide 8/h</t>
  </si>
  <si>
    <t xml:space="preserve">Sawmill</t>
  </si>
  <si>
    <t xml:space="preserve">Processing</t>
  </si>
  <si>
    <t xml:space="preserve">Planks 20/h</t>
  </si>
  <si>
    <t xml:space="preserve">Smelter</t>
  </si>
  <si>
    <t xml:space="preserve">Bronze 14/h</t>
  </si>
  <si>
    <t xml:space="preserve">Tannery</t>
  </si>
  <si>
    <t xml:space="preserve">Leather 12/h</t>
  </si>
  <si>
    <t xml:space="preserve">Granary</t>
  </si>
  <si>
    <t xml:space="preserve">Food conv +famine buffer</t>
  </si>
  <si>
    <t xml:space="preserve">Smokehouse</t>
  </si>
  <si>
    <t xml:space="preserve">Preserved rations</t>
  </si>
  <si>
    <t xml:space="preserve">Charcoal Burner</t>
  </si>
  <si>
    <t xml:space="preserve">Char (fuel input)</t>
  </si>
  <si>
    <t xml:space="preserve">Brewhouse</t>
  </si>
  <si>
    <t xml:space="preserve">Happiness drink</t>
  </si>
  <si>
    <t xml:space="preserve">Pottery Works</t>
  </si>
  <si>
    <t xml:space="preserve">Storage jars (cap+)</t>
  </si>
  <si>
    <t xml:space="preserve">Alchemy Cauldron Hut</t>
  </si>
  <si>
    <t xml:space="preserve">Pills T1 (Qi recovery)</t>
  </si>
  <si>
    <t xml:space="preserve">Barracks</t>
  </si>
  <si>
    <t xml:space="preserve">Military</t>
  </si>
  <si>
    <t xml:space="preserve">Infantry queue</t>
  </si>
  <si>
    <t xml:space="preserve">Archery Range</t>
  </si>
  <si>
    <t xml:space="preserve">Ranged queue</t>
  </si>
  <si>
    <t xml:space="preserve">Training Yard</t>
  </si>
  <si>
    <t xml:space="preserve">Unit XP trickle</t>
  </si>
  <si>
    <t xml:space="preserve">Sparring Circle</t>
  </si>
  <si>
    <t xml:space="preserve">Warfare prof. gain +</t>
  </si>
  <si>
    <t xml:space="preserve">Fletcher</t>
  </si>
  <si>
    <t xml:space="preserve">Arrow equip T1</t>
  </si>
  <si>
    <t xml:space="preserve">Bowyer</t>
  </si>
  <si>
    <t xml:space="preserve">Bow equip T1</t>
  </si>
  <si>
    <t xml:space="preserve">Shield Wright</t>
  </si>
  <si>
    <t xml:space="preserve">Shield equip T1</t>
  </si>
  <si>
    <t xml:space="preserve">Leather Works</t>
  </si>
  <si>
    <t xml:space="preserve">Armor equip T1</t>
  </si>
  <si>
    <t xml:space="preserve">Tool Shed</t>
  </si>
  <si>
    <t xml:space="preserve">Tools T1</t>
  </si>
  <si>
    <t xml:space="preserve">Kennels</t>
  </si>
  <si>
    <t xml:space="preserve">Scout speed +</t>
  </si>
  <si>
    <t xml:space="preserve">Palisade</t>
  </si>
  <si>
    <t xml:space="preserve">Defense</t>
  </si>
  <si>
    <t xml:space="preserve">Wall HP + def mult</t>
  </si>
  <si>
    <t xml:space="preserve">Palisade Gatehouse</t>
  </si>
  <si>
    <t xml:space="preserve">Gate HP; sally bonus</t>
  </si>
  <si>
    <t xml:space="preserve">Moat Ditch</t>
  </si>
  <si>
    <t xml:space="preserve">Siege slow</t>
  </si>
  <si>
    <t xml:space="preserve">Watch Post</t>
  </si>
  <si>
    <t xml:space="preserve">Warning radius</t>
  </si>
  <si>
    <t xml:space="preserve">Scout Post</t>
  </si>
  <si>
    <t xml:space="preserve">Knowledge</t>
  </si>
  <si>
    <t xml:space="preserve">Scouts; intel range</t>
  </si>
  <si>
    <t xml:space="preserve">Elder's Lodge</t>
  </si>
  <si>
    <t xml:space="preserve">Research trickle</t>
  </si>
  <si>
    <t xml:space="preserve">Story Circle</t>
  </si>
  <si>
    <t xml:space="preserve">Culture 2/h</t>
  </si>
  <si>
    <t xml:space="preserve">Cartographer Hut</t>
  </si>
  <si>
    <t xml:space="preserve">Map memory +</t>
  </si>
  <si>
    <t xml:space="preserve">Trade Post</t>
  </si>
  <si>
    <t xml:space="preserve">Trade</t>
  </si>
  <si>
    <t xml:space="preserve">Barter; caravan slot</t>
  </si>
  <si>
    <t xml:space="preserve">River Dock</t>
  </si>
  <si>
    <t xml:space="preserve">River trade lane</t>
  </si>
  <si>
    <t xml:space="preserve">Ferry Landing</t>
  </si>
  <si>
    <t xml:space="preserve">Logistics</t>
  </si>
  <si>
    <t xml:space="preserve">River crossing</t>
  </si>
  <si>
    <t xml:space="preserve">Bridge</t>
  </si>
  <si>
    <t xml:space="preserve">Road link</t>
  </si>
  <si>
    <t xml:space="preserve">Path Network</t>
  </si>
  <si>
    <t xml:space="preserve">In-province speed +</t>
  </si>
  <si>
    <t xml:space="preserve">Grain Pit</t>
  </si>
  <si>
    <t xml:space="preserve">Hidden food cache</t>
  </si>
  <si>
    <t xml:space="preserve">Salt Cache</t>
  </si>
  <si>
    <t xml:space="preserve">Ration storage</t>
  </si>
  <si>
    <t xml:space="preserve">Warehouse</t>
  </si>
  <si>
    <t xml:space="preserve">Storage caps</t>
  </si>
  <si>
    <t xml:space="preserve">Hidden Cellar</t>
  </si>
  <si>
    <t xml:space="preserve">Raid-proof storage</t>
  </si>
  <si>
    <t xml:space="preserve">Village Square</t>
  </si>
  <si>
    <t xml:space="preserve">Culture</t>
  </si>
  <si>
    <t xml:space="preserve">Happiness +</t>
  </si>
  <si>
    <t xml:space="preserve">Shrine</t>
  </si>
  <si>
    <t xml:space="preserve">Happiness; festivals</t>
  </si>
  <si>
    <t xml:space="preserve">Totem Grounds</t>
  </si>
  <si>
    <t xml:space="preserve">Culture 3/h</t>
  </si>
  <si>
    <t xml:space="preserve">Burial Mound</t>
  </si>
  <si>
    <t xml:space="preserve">Legacy record; morale +</t>
  </si>
  <si>
    <t xml:space="preserve">Well</t>
  </si>
  <si>
    <t xml:space="preserve">Health precursor</t>
  </si>
  <si>
    <t xml:space="preserve">Herbalist Hut</t>
  </si>
  <si>
    <t xml:space="preserve">Casualty recovery +</t>
  </si>
  <si>
    <t xml:space="preserve">Fire Pit</t>
  </si>
  <si>
    <t xml:space="preserve">Night morale</t>
  </si>
  <si>
    <t xml:space="preserve">Drying Rack</t>
  </si>
  <si>
    <t xml:space="preserve">Food preserve</t>
  </si>
  <si>
    <t xml:space="preserve">Root Cellar</t>
  </si>
  <si>
    <t xml:space="preserve">Food storage</t>
  </si>
  <si>
    <t xml:space="preserve">Bone Carver</t>
  </si>
  <si>
    <t xml:space="preserve">Trinkets (trade)</t>
  </si>
  <si>
    <t xml:space="preserve">Weaving Hut</t>
  </si>
  <si>
    <t xml:space="preserve">Cloth precursor</t>
  </si>
  <si>
    <t xml:space="preserve">Spirit Grove</t>
  </si>
  <si>
    <t xml:space="preserve">Ambient Qi 4/h</t>
  </si>
  <si>
    <t xml:space="preserve">Qi Gathering Stone</t>
  </si>
  <si>
    <t xml:space="preserve">Qi 6/h; meditation slot</t>
  </si>
  <si>
    <t xml:space="preserve">Meditation Ledge</t>
  </si>
  <si>
    <t xml:space="preserve">Cultivation XP +</t>
  </si>
  <si>
    <t xml:space="preserve">Rally Point</t>
  </si>
  <si>
    <t xml:space="preserve">Attack timing precision</t>
  </si>
  <si>
    <t xml:space="preserve">Beast Pen (Spirit)</t>
  </si>
  <si>
    <t xml:space="preserve">Tames T1 spirit beasts</t>
  </si>
  <si>
    <t xml:space="preserve">Ancestor Altar</t>
  </si>
  <si>
    <t xml:space="preserve">Dynasty tradition slot +</t>
  </si>
  <si>
    <t xml:space="preserve">Lookout Tree</t>
  </si>
  <si>
    <t xml:space="preserve">Cheap early warning</t>
  </si>
  <si>
    <t xml:space="preserve">Keep</t>
  </si>
  <si>
    <t xml:space="preserve">Vassal mgmt; claims</t>
  </si>
  <si>
    <t xml:space="preserve">Quarry</t>
  </si>
  <si>
    <t xml:space="preserve">Stone 24/h</t>
  </si>
  <si>
    <t xml:space="preserve">Salt Works</t>
  </si>
  <si>
    <t xml:space="preserve">Salt 12/h</t>
  </si>
  <si>
    <t xml:space="preserve">Pasture</t>
  </si>
  <si>
    <t xml:space="preserve">Wool+Horses</t>
  </si>
  <si>
    <t xml:space="preserve">Deep Mine</t>
  </si>
  <si>
    <t xml:space="preserve">Ore 40/h</t>
  </si>
  <si>
    <t xml:space="preserve">Bog Iron Harvest</t>
  </si>
  <si>
    <t xml:space="preserve">Ore (wetland)</t>
  </si>
  <si>
    <t xml:space="preserve">Vineyard</t>
  </si>
  <si>
    <t xml:space="preserve">Luxury (happiness)</t>
  </si>
  <si>
    <t xml:space="preserve">Hops Field</t>
  </si>
  <si>
    <t xml:space="preserve">Brew input</t>
  </si>
  <si>
    <t xml:space="preserve">Flax Field</t>
  </si>
  <si>
    <t xml:space="preserve">Cloth input</t>
  </si>
  <si>
    <t xml:space="preserve">Kiln</t>
  </si>
  <si>
    <t xml:space="preserve">Brick 18/h</t>
  </si>
  <si>
    <t xml:space="preserve">Bloomery</t>
  </si>
  <si>
    <t xml:space="preserve">Iron 16/h</t>
  </si>
  <si>
    <t xml:space="preserve">Weaver</t>
  </si>
  <si>
    <t xml:space="preserve">Cloth 14/h</t>
  </si>
  <si>
    <t xml:space="preserve">Dyeworks</t>
  </si>
  <si>
    <t xml:space="preserve">Cloth value +</t>
  </si>
  <si>
    <t xml:space="preserve">Windmill</t>
  </si>
  <si>
    <t xml:space="preserve">Food conv +</t>
  </si>
  <si>
    <t xml:space="preserve">Watermill</t>
  </si>
  <si>
    <t xml:space="preserve">Planks/Food conv +</t>
  </si>
  <si>
    <t xml:space="preserve">Bakery</t>
  </si>
  <si>
    <t xml:space="preserve">Food value +</t>
  </si>
  <si>
    <t xml:space="preserve">Butchery</t>
  </si>
  <si>
    <t xml:space="preserve">Food conv</t>
  </si>
  <si>
    <t xml:space="preserve">Pill Refinery</t>
  </si>
  <si>
    <t xml:space="preserve">Pills T2 (stat pills)</t>
  </si>
  <si>
    <t xml:space="preserve">Formation Array Grounds</t>
  </si>
  <si>
    <t xml:space="preserve">Defensive arrays (DF aura)</t>
  </si>
  <si>
    <t xml:space="preserve">Market</t>
  </si>
  <si>
    <t xml:space="preserve">Coin; routes @L10</t>
  </si>
  <si>
    <t xml:space="preserve">Grain Exchange</t>
  </si>
  <si>
    <t xml:space="preserve">Food market depth</t>
  </si>
  <si>
    <t xml:space="preserve">Wool Exchange</t>
  </si>
  <si>
    <t xml:space="preserve">Cloth market depth</t>
  </si>
  <si>
    <t xml:space="preserve">Toll Gate</t>
  </si>
  <si>
    <t xml:space="preserve">Road toll income</t>
  </si>
  <si>
    <t xml:space="preserve">Fish Market</t>
  </si>
  <si>
    <t xml:space="preserve">Coastal coin</t>
  </si>
  <si>
    <t xml:space="preserve">Guild Hall</t>
  </si>
  <si>
    <t xml:space="preserve">Craft orders; Commerce prof +</t>
  </si>
  <si>
    <t xml:space="preserve">Mason Guild</t>
  </si>
  <si>
    <t xml:space="preserve">Stone build cost −</t>
  </si>
  <si>
    <t xml:space="preserve">Carpenter Guild</t>
  </si>
  <si>
    <t xml:space="preserve">Timber build cost −</t>
  </si>
  <si>
    <t xml:space="preserve">Stable</t>
  </si>
  <si>
    <t xml:space="preserve">Cavalry queue</t>
  </si>
  <si>
    <t xml:space="preserve">Horse Breeder</t>
  </si>
  <si>
    <t xml:space="preserve">Horses pool +</t>
  </si>
  <si>
    <t xml:space="preserve">Siege Works</t>
  </si>
  <si>
    <t xml:space="preserve">Siege Parts + engines</t>
  </si>
  <si>
    <t xml:space="preserve">Armory</t>
  </si>
  <si>
    <t xml:space="preserve">Equip storage; refit</t>
  </si>
  <si>
    <t xml:space="preserve">Quartermaster</t>
  </si>
  <si>
    <t xml:space="preserve">Upkeep −</t>
  </si>
  <si>
    <t xml:space="preserve">Siege Camp Kit</t>
  </si>
  <si>
    <t xml:space="preserve">Field entrench</t>
  </si>
  <si>
    <t xml:space="preserve">Knight's Chapter House</t>
  </si>
  <si>
    <t xml:space="preserve">Knight queue; honor</t>
  </si>
  <si>
    <t xml:space="preserve">Tournament Field</t>
  </si>
  <si>
    <t xml:space="preserve">Warfare prof event</t>
  </si>
  <si>
    <t xml:space="preserve">Stone Wall</t>
  </si>
  <si>
    <t xml:space="preserve">Major wall</t>
  </si>
  <si>
    <t xml:space="preserve">Barbican</t>
  </si>
  <si>
    <t xml:space="preserve">Gate fortress</t>
  </si>
  <si>
    <t xml:space="preserve">Drawbridge</t>
  </si>
  <si>
    <t xml:space="preserve">Moat gate</t>
  </si>
  <si>
    <t xml:space="preserve">Castle Core</t>
  </si>
  <si>
    <t xml:space="preserve">Garrison; road ZoC</t>
  </si>
  <si>
    <t xml:space="preserve">Beacon Tower</t>
  </si>
  <si>
    <t xml:space="preserve">Province warning net</t>
  </si>
  <si>
    <t xml:space="preserve">Watchtower Network</t>
  </si>
  <si>
    <t xml:space="preserve">Early warning +</t>
  </si>
  <si>
    <t xml:space="preserve">Gaol</t>
  </si>
  <si>
    <t xml:space="preserve">Captured agents held</t>
  </si>
  <si>
    <t xml:space="preserve">Academy</t>
  </si>
  <si>
    <t xml:space="preserve">Era II–III research; Nobles</t>
  </si>
  <si>
    <t xml:space="preserve">Scriptorium</t>
  </si>
  <si>
    <t xml:space="preserve">Research +</t>
  </si>
  <si>
    <t xml:space="preserve">Cartographer</t>
  </si>
  <si>
    <t xml:space="preserve">Shared maps</t>
  </si>
  <si>
    <t xml:space="preserve">Census Bureau</t>
  </si>
  <si>
    <t xml:space="preserve">Tax efficiency</t>
  </si>
  <si>
    <t xml:space="preserve">Tavern</t>
  </si>
  <si>
    <t xml:space="preserve">Agents; rumors</t>
  </si>
  <si>
    <t xml:space="preserve">Herald's Office</t>
  </si>
  <si>
    <t xml:space="preserve">Diplomacy slots +</t>
  </si>
  <si>
    <t xml:space="preserve">Sect Hall</t>
  </si>
  <si>
    <t xml:space="preserve">Sect (sub-alliance) mgmt</t>
  </si>
  <si>
    <t xml:space="preserve">Inner Court Pavilion</t>
  </si>
  <si>
    <t xml:space="preserve">Disciple (mentor) slots</t>
  </si>
  <si>
    <t xml:space="preserve">Spirit Well</t>
  </si>
  <si>
    <t xml:space="preserve">Qi 10/h</t>
  </si>
  <si>
    <t xml:space="preserve">Beast Stable (Spirit)</t>
  </si>
  <si>
    <t xml:space="preserve">Spirit beast cavalry</t>
  </si>
  <si>
    <t xml:space="preserve">Supply Depot</t>
  </si>
  <si>
    <t xml:space="preserve">Army supply range</t>
  </si>
  <si>
    <t xml:space="preserve">Wagon Yard</t>
  </si>
  <si>
    <t xml:space="preserve">Hauling capacity</t>
  </si>
  <si>
    <t xml:space="preserve">Road Wardens</t>
  </si>
  <si>
    <t xml:space="preserve">Route protection</t>
  </si>
  <si>
    <t xml:space="preserve">River Galley Dock</t>
  </si>
  <si>
    <t xml:space="preserve">River logistics</t>
  </si>
  <si>
    <t xml:space="preserve">Shipwright (River)</t>
  </si>
  <si>
    <t xml:space="preserve">River hulls</t>
  </si>
  <si>
    <t xml:space="preserve">Church / Temple</t>
  </si>
  <si>
    <t xml:space="preserve">Happiness; Culture 6/h</t>
  </si>
  <si>
    <t xml:space="preserve">Monastery</t>
  </si>
  <si>
    <t xml:space="preserve">Culture; research trickle</t>
  </si>
  <si>
    <t xml:space="preserve">Cathedral Works</t>
  </si>
  <si>
    <t xml:space="preserve">Major culture wonder-lite</t>
  </si>
  <si>
    <t xml:space="preserve">Pilgrim Hostel</t>
  </si>
  <si>
    <t xml:space="preserve">Happiness; visitors coin</t>
  </si>
  <si>
    <t xml:space="preserve">Court of Law</t>
  </si>
  <si>
    <t xml:space="preserve">Revolt risk −</t>
  </si>
  <si>
    <t xml:space="preserve">Hospice</t>
  </si>
  <si>
    <t xml:space="preserve">Pop recovery</t>
  </si>
  <si>
    <t xml:space="preserve">Falconry</t>
  </si>
  <si>
    <t xml:space="preserve">Message speed +</t>
  </si>
  <si>
    <t xml:space="preserve">Royal Mews</t>
  </si>
  <si>
    <t xml:space="preserve">Courier network</t>
  </si>
  <si>
    <t xml:space="preserve">Fortified Manor</t>
  </si>
  <si>
    <t xml:space="preserve">Rural strongpoint</t>
  </si>
  <si>
    <t xml:space="preserve">Jousting Grounds</t>
  </si>
  <si>
    <t xml:space="preserve">Festival events</t>
  </si>
  <si>
    <t xml:space="preserve">Apothecary</t>
  </si>
  <si>
    <t xml:space="preserve">Health precursor; herb use</t>
  </si>
  <si>
    <t xml:space="preserve">Fair Grounds</t>
  </si>
  <si>
    <t xml:space="preserve">Seasonal trade fairs</t>
  </si>
  <si>
    <t xml:space="preserve">Imperial Palace</t>
  </si>
  <si>
    <t xml:space="preserve">Multi-province gov</t>
  </si>
  <si>
    <t xml:space="preserve">Plantation</t>
  </si>
  <si>
    <t xml:space="preserve">Exotic Crops 18/h</t>
  </si>
  <si>
    <t xml:space="preserve">Saltpeter Works</t>
  </si>
  <si>
    <t xml:space="preserve">Saltpeter 10/h</t>
  </si>
  <si>
    <t xml:space="preserve">Silver Lode</t>
  </si>
  <si>
    <t xml:space="preserve">Coin ore</t>
  </si>
  <si>
    <t xml:space="preserve">Whaling Dock</t>
  </si>
  <si>
    <t xml:space="preserve">Oil-precursor, food</t>
  </si>
  <si>
    <t xml:space="preserve">Hardwood Grove</t>
  </si>
  <si>
    <t xml:space="preserve">Naval timber</t>
  </si>
  <si>
    <t xml:space="preserve">Indigo Works</t>
  </si>
  <si>
    <t xml:space="preserve">Dye trade good</t>
  </si>
  <si>
    <t xml:space="preserve">Powder Mill</t>
  </si>
  <si>
    <t xml:space="preserve">Gunpowder 8/h</t>
  </si>
  <si>
    <t xml:space="preserve">Mint</t>
  </si>
  <si>
    <t xml:space="preserve">Coin multiplication</t>
  </si>
  <si>
    <t xml:space="preserve">Sugar Refinery</t>
  </si>
  <si>
    <t xml:space="preserve">Trade Goods +</t>
  </si>
  <si>
    <t xml:space="preserve">Silk Works</t>
  </si>
  <si>
    <t xml:space="preserve">Rope Walk</t>
  </si>
  <si>
    <t xml:space="preserve">Naval Fittings input</t>
  </si>
  <si>
    <t xml:space="preserve">Sail Loft</t>
  </si>
  <si>
    <t xml:space="preserve">Cannon Foundry</t>
  </si>
  <si>
    <t xml:space="preserve">Artillery queue</t>
  </si>
  <si>
    <t xml:space="preserve">Musket Range</t>
  </si>
  <si>
    <t xml:space="preserve">Firearm infantry</t>
  </si>
  <si>
    <t xml:space="preserve">Drill Square</t>
  </si>
  <si>
    <t xml:space="preserve">Line doctrine training</t>
  </si>
  <si>
    <t xml:space="preserve">War College</t>
  </si>
  <si>
    <t xml:space="preserve">Officer (commander) queue</t>
  </si>
  <si>
    <t xml:space="preserve">Drydock</t>
  </si>
  <si>
    <t xml:space="preserve">Warships</t>
  </si>
  <si>
    <t xml:space="preserve">Naval Academy</t>
  </si>
  <si>
    <t xml:space="preserve">Admirals</t>
  </si>
  <si>
    <t xml:space="preserve">Harbor</t>
  </si>
  <si>
    <t xml:space="preserve">Sea logistics</t>
  </si>
  <si>
    <t xml:space="preserve">Colonial Dock</t>
  </si>
  <si>
    <t xml:space="preserve">Founds colonies</t>
  </si>
  <si>
    <t xml:space="preserve">Grand Lighthouse</t>
  </si>
  <si>
    <t xml:space="preserve">Sea-lane speed</t>
  </si>
  <si>
    <t xml:space="preserve">Customs House</t>
  </si>
  <si>
    <t xml:space="preserve">Route tolls</t>
  </si>
  <si>
    <t xml:space="preserve">Trade Company Office</t>
  </si>
  <si>
    <t xml:space="preserve">Overseas routes</t>
  </si>
  <si>
    <t xml:space="preserve">Bank</t>
  </si>
  <si>
    <t xml:space="preserve">Loans, bonds</t>
  </si>
  <si>
    <t xml:space="preserve">Bourse</t>
  </si>
  <si>
    <t xml:space="preserve">Order-book depth</t>
  </si>
  <si>
    <t xml:space="preserve">Insurance House</t>
  </si>
  <si>
    <t xml:space="preserve">Route insurance</t>
  </si>
  <si>
    <t xml:space="preserve">Warehouse District</t>
  </si>
  <si>
    <t xml:space="preserve">Bulk storage</t>
  </si>
  <si>
    <t xml:space="preserve">Fortress (Star Fort)</t>
  </si>
  <si>
    <t xml:space="preserve">Gunpowder defense</t>
  </si>
  <si>
    <t xml:space="preserve">Coastal Battery</t>
  </si>
  <si>
    <t xml:space="preserve">Anti-ship</t>
  </si>
  <si>
    <t xml:space="preserve">Citadel Gate</t>
  </si>
  <si>
    <t xml:space="preserve">Urban strongpoint</t>
  </si>
  <si>
    <t xml:space="preserve">Garrison Quarter</t>
  </si>
  <si>
    <t xml:space="preserve">Standing defense upkeep −</t>
  </si>
  <si>
    <t xml:space="preserve">University</t>
  </si>
  <si>
    <t xml:space="preserve">Era III–IV research</t>
  </si>
  <si>
    <t xml:space="preserve">Observatory</t>
  </si>
  <si>
    <t xml:space="preserve">Navigation, research +</t>
  </si>
  <si>
    <t xml:space="preserve">Printing House</t>
  </si>
  <si>
    <t xml:space="preserve">Culture 10/h; propaganda</t>
  </si>
  <si>
    <t xml:space="preserve">Opera House</t>
  </si>
  <si>
    <t xml:space="preserve">Major happiness</t>
  </si>
  <si>
    <t xml:space="preserve">Grand Plaza</t>
  </si>
  <si>
    <t xml:space="preserve">Festival capacity</t>
  </si>
  <si>
    <t xml:space="preserve">Botanical Garden</t>
  </si>
  <si>
    <t xml:space="preserve">Spirit Herbs T2 + happiness</t>
  </si>
  <si>
    <t xml:space="preserve">Royal Society</t>
  </si>
  <si>
    <t xml:space="preserve">Great Scholar rate +</t>
  </si>
  <si>
    <t xml:space="preserve">Spy Ring Office</t>
  </si>
  <si>
    <t xml:space="preserve">Agent ops T3</t>
  </si>
  <si>
    <t xml:space="preserve">Embassy Row</t>
  </si>
  <si>
    <t xml:space="preserve">Treaty slots +</t>
  </si>
  <si>
    <t xml:space="preserve">Alchemy Atelier</t>
  </si>
  <si>
    <t xml:space="preserve">Pills T3; elixirs</t>
  </si>
  <si>
    <t xml:space="preserve">Dao Comprehension Tower</t>
  </si>
  <si>
    <t xml:space="preserve">Cultivation XP ++</t>
  </si>
  <si>
    <t xml:space="preserve">Grand Sect Compound</t>
  </si>
  <si>
    <t xml:space="preserve">Sect capacity +</t>
  </si>
  <si>
    <t xml:space="preserve">Spirit Beast Menagerie</t>
  </si>
  <si>
    <t xml:space="preserve">Beast cores</t>
  </si>
  <si>
    <t xml:space="preserve">Meridian Bathhouse</t>
  </si>
  <si>
    <t xml:space="preserve">Body-path cultivation +</t>
  </si>
  <si>
    <t xml:space="preserve">Talisman Workshop</t>
  </si>
  <si>
    <t xml:space="preserve">Talisman equip (utility)</t>
  </si>
  <si>
    <t xml:space="preserve">Opium Excise Office</t>
  </si>
  <si>
    <t xml:space="preserve">Vice tax (rep risk)</t>
  </si>
  <si>
    <t xml:space="preserve">Press Gang Office</t>
  </si>
  <si>
    <t xml:space="preserve">Cheap sailors (happiness −)</t>
  </si>
  <si>
    <t xml:space="preserve">Prize Court</t>
  </si>
  <si>
    <t xml:space="preserve">Privateer loot legalization</t>
  </si>
  <si>
    <t xml:space="preserve">Shipyard Slipways</t>
  </si>
  <si>
    <t xml:space="preserve">Parallel hulls</t>
  </si>
  <si>
    <t xml:space="preserve">Powder Magazine</t>
  </si>
  <si>
    <t xml:space="preserve">Munitions cache (explodes!)</t>
  </si>
  <si>
    <t xml:space="preserve">Sapper School</t>
  </si>
  <si>
    <t xml:space="preserve">Sappers</t>
  </si>
  <si>
    <t xml:space="preserve">Military Hospital</t>
  </si>
  <si>
    <t xml:space="preserve">Casualty recovery ++</t>
  </si>
  <si>
    <t xml:space="preserve">Cartography Bureau</t>
  </si>
  <si>
    <t xml:space="preserve">Ocean charting</t>
  </si>
  <si>
    <t xml:space="preserve">Colonial Ministry</t>
  </si>
  <si>
    <t xml:space="preserve">Colony cap +</t>
  </si>
  <si>
    <t xml:space="preserve">Tax Farm Office</t>
  </si>
  <si>
    <t xml:space="preserve">Coin (happiness −)</t>
  </si>
  <si>
    <t xml:space="preserve">Salt Monopoly</t>
  </si>
  <si>
    <t xml:space="preserve">Coin from salt</t>
  </si>
  <si>
    <t xml:space="preserve">Road Trust</t>
  </si>
  <si>
    <t xml:space="preserve">Highway speed</t>
  </si>
  <si>
    <t xml:space="preserve">Canal Works</t>
  </si>
  <si>
    <t xml:space="preserve">Inland water lane</t>
  </si>
  <si>
    <t xml:space="preserve">Postal Service</t>
  </si>
  <si>
    <t xml:space="preserve">Order latency −</t>
  </si>
  <si>
    <t xml:space="preserve">Foundling Hospital</t>
  </si>
  <si>
    <t xml:space="preserve">Pop growth +</t>
  </si>
  <si>
    <t xml:space="preserve">Debtors Court</t>
  </si>
  <si>
    <t xml:space="preserve">Loan enforcement</t>
  </si>
  <si>
    <t xml:space="preserve">Grand Bazaar</t>
  </si>
  <si>
    <t xml:space="preserve">Caravan hub</t>
  </si>
  <si>
    <t xml:space="preserve">Sea Wall</t>
  </si>
  <si>
    <t xml:space="preserve">Storm + bombard resist</t>
  </si>
  <si>
    <t xml:space="preserve">Semaphore Line</t>
  </si>
  <si>
    <t xml:space="preserve">Intel relay speed</t>
  </si>
  <si>
    <t xml:space="preserve">Victory Column</t>
  </si>
  <si>
    <t xml:space="preserve">Prestige monument</t>
  </si>
  <si>
    <t xml:space="preserve">Quarantine Station</t>
  </si>
  <si>
    <t xml:space="preserve">Epidemic control (ports)</t>
  </si>
  <si>
    <t xml:space="preserve">Admiralty Court</t>
  </si>
  <si>
    <t xml:space="preserve">Naval doctrine training</t>
  </si>
  <si>
    <t xml:space="preserve">Capitol</t>
  </si>
  <si>
    <t xml:space="preserve">Policies; +1 doctrine</t>
  </si>
  <si>
    <t xml:space="preserve">Coal Mine</t>
  </si>
  <si>
    <t xml:space="preserve">Coal 30/h</t>
  </si>
  <si>
    <t xml:space="preserve">Oil Well</t>
  </si>
  <si>
    <t xml:space="preserve">Oil 24/h</t>
  </si>
  <si>
    <t xml:space="preserve">Offshore Platform</t>
  </si>
  <si>
    <t xml:space="preserve">Oil 34/h</t>
  </si>
  <si>
    <t xml:space="preserve">Rubber Plantation</t>
  </si>
  <si>
    <t xml:space="preserve">Rubber 14/h</t>
  </si>
  <si>
    <t xml:space="preserve">Bauxite Pit</t>
  </si>
  <si>
    <t xml:space="preserve">Bauxite 16/h</t>
  </si>
  <si>
    <t xml:space="preserve">Uranium Mine</t>
  </si>
  <si>
    <t xml:space="preserve">Uranium 4/h</t>
  </si>
  <si>
    <t xml:space="preserve">Hydro Dam</t>
  </si>
  <si>
    <t xml:space="preserve">Electricity (renewable)</t>
  </si>
  <si>
    <t xml:space="preserve">Gas Field</t>
  </si>
  <si>
    <t xml:space="preserve">Fuel alt</t>
  </si>
  <si>
    <t xml:space="preserve">Steelworks</t>
  </si>
  <si>
    <t xml:space="preserve">Steel 22/h</t>
  </si>
  <si>
    <t xml:space="preserve">Aluminum Smelter</t>
  </si>
  <si>
    <t xml:space="preserve">Aluminum 14/h</t>
  </si>
  <si>
    <t xml:space="preserve">Refinery</t>
  </si>
  <si>
    <t xml:space="preserve">Fuel 20/h</t>
  </si>
  <si>
    <t xml:space="preserve">Chemical Plant</t>
  </si>
  <si>
    <t xml:space="preserve">Chemicals 16/h</t>
  </si>
  <si>
    <t xml:space="preserve">Polymer Plant</t>
  </si>
  <si>
    <t xml:space="preserve">Polymers 12/h</t>
  </si>
  <si>
    <t xml:space="preserve">Coal Power Plant</t>
  </si>
  <si>
    <t xml:space="preserve">Electricity</t>
  </si>
  <si>
    <t xml:space="preserve">Oil Power Plant</t>
  </si>
  <si>
    <t xml:space="preserve">Nuclear Plant</t>
  </si>
  <si>
    <t xml:space="preserve">Electricity ++ (risk)</t>
  </si>
  <si>
    <t xml:space="preserve">Cement Works</t>
  </si>
  <si>
    <t xml:space="preserve">Build cost −</t>
  </si>
  <si>
    <t xml:space="preserve">Pharma Works</t>
  </si>
  <si>
    <t xml:space="preserve">Health; pills modernize</t>
  </si>
  <si>
    <t xml:space="preserve">Factory</t>
  </si>
  <si>
    <t xml:space="preserve">Mass queues</t>
  </si>
  <si>
    <t xml:space="preserve">Munitions Plant</t>
  </si>
  <si>
    <t xml:space="preserve">Munitions pool</t>
  </si>
  <si>
    <t xml:space="preserve">Engine Works</t>
  </si>
  <si>
    <t xml:space="preserve">Engine Blocks</t>
  </si>
  <si>
    <t xml:space="preserve">Instrument Works</t>
  </si>
  <si>
    <t xml:space="preserve">Avionics</t>
  </si>
  <si>
    <t xml:space="preserve">Tank Assembly</t>
  </si>
  <si>
    <t xml:space="preserve">Armor queue</t>
  </si>
  <si>
    <t xml:space="preserve">Shipbuilding Gantry</t>
  </si>
  <si>
    <t xml:space="preserve">Steel navy</t>
  </si>
  <si>
    <t xml:space="preserve">Airfield</t>
  </si>
  <si>
    <t xml:space="preserve">Aircraft</t>
  </si>
  <si>
    <t xml:space="preserve">Airship Yard</t>
  </si>
  <si>
    <t xml:space="preserve">Recon airships</t>
  </si>
  <si>
    <t xml:space="preserve">Proving Grounds</t>
  </si>
  <si>
    <t xml:space="preserve">Design Bureau (vehicles)</t>
  </si>
  <si>
    <t xml:space="preserve">Officer Academy</t>
  </si>
  <si>
    <t xml:space="preserve">Commanders IV</t>
  </si>
  <si>
    <t xml:space="preserve">Paratroop School</t>
  </si>
  <si>
    <t xml:space="preserve">Airborne</t>
  </si>
  <si>
    <t xml:space="preserve">Naval Yard</t>
  </si>
  <si>
    <t xml:space="preserve">Capital hulls</t>
  </si>
  <si>
    <t xml:space="preserve">Submarine Pen</t>
  </si>
  <si>
    <t xml:space="preserve">Sub base; hardened</t>
  </si>
  <si>
    <t xml:space="preserve">Bunker Network</t>
  </si>
  <si>
    <t xml:space="preserve">Modern defense</t>
  </si>
  <si>
    <t xml:space="preserve">AA Battery Grid</t>
  </si>
  <si>
    <t xml:space="preserve">Air denial</t>
  </si>
  <si>
    <t xml:space="preserve">Coastal Gun Line</t>
  </si>
  <si>
    <t xml:space="preserve">Radar Station</t>
  </si>
  <si>
    <t xml:space="preserve">Intel; warning</t>
  </si>
  <si>
    <t xml:space="preserve">Signals Directorate</t>
  </si>
  <si>
    <t xml:space="preserve">ECM/ECCM race</t>
  </si>
  <si>
    <t xml:space="preserve">Intelligence HQ</t>
  </si>
  <si>
    <t xml:space="preserve">Agent ops T4</t>
  </si>
  <si>
    <t xml:space="preserve">Research Institute</t>
  </si>
  <si>
    <t xml:space="preserve">Era IV–V research</t>
  </si>
  <si>
    <t xml:space="preserve">Wind Tunnel Lab</t>
  </si>
  <si>
    <t xml:space="preserve">Air design +</t>
  </si>
  <si>
    <t xml:space="preserve">Cryptography Bureau</t>
  </si>
  <si>
    <t xml:space="preserve">Code war</t>
  </si>
  <si>
    <t xml:space="preserve">Rail Hub</t>
  </si>
  <si>
    <t xml:space="preserve">Rail logistics</t>
  </si>
  <si>
    <t xml:space="preserve">Marshalling Yard</t>
  </si>
  <si>
    <t xml:space="preserve">Throughput +</t>
  </si>
  <si>
    <t xml:space="preserve">Motor Pool</t>
  </si>
  <si>
    <t xml:space="preserve">Truck convoys</t>
  </si>
  <si>
    <t xml:space="preserve">Port Cranes</t>
  </si>
  <si>
    <t xml:space="preserve">Sea throughput</t>
  </si>
  <si>
    <t xml:space="preserve">Pipeline Terminal</t>
  </si>
  <si>
    <t xml:space="preserve">Oil/fuel transport</t>
  </si>
  <si>
    <t xml:space="preserve">Cold Storage</t>
  </si>
  <si>
    <t xml:space="preserve">Food scale</t>
  </si>
  <si>
    <t xml:space="preserve">Hospital</t>
  </si>
  <si>
    <t xml:space="preserve">Health; recovery</t>
  </si>
  <si>
    <t xml:space="preserve">Sanatorium</t>
  </si>
  <si>
    <t xml:space="preserve">War-weariness −</t>
  </si>
  <si>
    <t xml:space="preserve">Broadcast Center</t>
  </si>
  <si>
    <t xml:space="preserve">Ideology projection</t>
  </si>
  <si>
    <t xml:space="preserve">Cinema District</t>
  </si>
  <si>
    <t xml:space="preserve">Happiness</t>
  </si>
  <si>
    <t xml:space="preserve">Stadium</t>
  </si>
  <si>
    <t xml:space="preserve">Mass happiness</t>
  </si>
  <si>
    <t xml:space="preserve">Museum</t>
  </si>
  <si>
    <t xml:space="preserve">Culture; archaeology display</t>
  </si>
  <si>
    <t xml:space="preserve">Propaganda Ministry</t>
  </si>
  <si>
    <t xml:space="preserve">War support</t>
  </si>
  <si>
    <t xml:space="preserve">Labor Bureau</t>
  </si>
  <si>
    <t xml:space="preserve">Worker efficiency</t>
  </si>
  <si>
    <t xml:space="preserve">Civil Defense Office</t>
  </si>
  <si>
    <t xml:space="preserve">Shelter capacity</t>
  </si>
  <si>
    <t xml:space="preserve">Border Fortification Line</t>
  </si>
  <si>
    <t xml:space="preserve">Front-line ZoC</t>
  </si>
  <si>
    <t xml:space="preserve">Qi Reactor Lab</t>
  </si>
  <si>
    <t xml:space="preserve">Industrialized Qi extraction</t>
  </si>
  <si>
    <t xml:space="preserve">Cultivator Corps HQ</t>
  </si>
  <si>
    <t xml:space="preserve">Cultivator units (elite)</t>
  </si>
  <si>
    <t xml:space="preserve">Pill Pharmaceutical Line</t>
  </si>
  <si>
    <t xml:space="preserve">Mass pills T4</t>
  </si>
  <si>
    <t xml:space="preserve">Array Grid Station</t>
  </si>
  <si>
    <t xml:space="preserve">City-scale formations</t>
  </si>
  <si>
    <t xml:space="preserve">Meteor Iron Forge</t>
  </si>
  <si>
    <t xml:space="preserve">Cultivation weapon equip</t>
  </si>
  <si>
    <t xml:space="preserve">Launch Complex</t>
  </si>
  <si>
    <t xml:space="preserve">Special</t>
  </si>
  <si>
    <t xml:space="preserve">Ascension; satellites</t>
  </si>
  <si>
    <t xml:space="preserve">Satellite Uplink</t>
  </si>
  <si>
    <t xml:space="preserve">Orbital intel</t>
  </si>
  <si>
    <t xml:space="preserve">Rocket Test Range</t>
  </si>
  <si>
    <t xml:space="preserve">Missile/rocket tech</t>
  </si>
  <si>
    <t xml:space="preserve">Atomic Program Office</t>
  </si>
  <si>
    <t xml:space="preserve">Atomics (Senate-limited)</t>
  </si>
  <si>
    <t xml:space="preserve">War Bond Office</t>
  </si>
  <si>
    <t xml:space="preserve">War financing</t>
  </si>
  <si>
    <t xml:space="preserve">Central Bank</t>
  </si>
  <si>
    <t xml:space="preserve">Monetary policy</t>
  </si>
  <si>
    <t xml:space="preserve">Stock Exchange</t>
  </si>
  <si>
    <t xml:space="preserve">Deep markets</t>
  </si>
  <si>
    <t xml:space="preserve">Orbital Station Core</t>
  </si>
  <si>
    <t xml:space="preserve">System command</t>
  </si>
  <si>
    <t xml:space="preserve">Belt Miner Dock</t>
  </si>
  <si>
    <t xml:space="preserve">Titanium Ore 20/h</t>
  </si>
  <si>
    <t xml:space="preserve">He-3 Extractor</t>
  </si>
  <si>
    <t xml:space="preserve">He-3 10/h</t>
  </si>
  <si>
    <t xml:space="preserve">Rare Earth Rig</t>
  </si>
  <si>
    <t xml:space="preserve">Rare Earths 12/h</t>
  </si>
  <si>
    <t xml:space="preserve">Comet Harvester</t>
  </si>
  <si>
    <t xml:space="preserve">Volatiles 16/h</t>
  </si>
  <si>
    <t xml:space="preserve">Solar Collector Field</t>
  </si>
  <si>
    <t xml:space="preserve">Electricity (space)</t>
  </si>
  <si>
    <t xml:space="preserve">Regolith Works</t>
  </si>
  <si>
    <t xml:space="preserve">Stone/Ore analog off-world</t>
  </si>
  <si>
    <t xml:space="preserve">Aether Sensor Spar</t>
  </si>
  <si>
    <t xml:space="preserve">Detects Qi/Aether veins</t>
  </si>
  <si>
    <t xml:space="preserve">Orbital Foundry</t>
  </si>
  <si>
    <t xml:space="preserve">Titanium 16/h</t>
  </si>
  <si>
    <t xml:space="preserve">Electronics Fab</t>
  </si>
  <si>
    <t xml:space="preserve">Electronics 14/h</t>
  </si>
  <si>
    <t xml:space="preserve">Cracking Station</t>
  </si>
  <si>
    <t xml:space="preserve">Propellant 18/h</t>
  </si>
  <si>
    <t xml:space="preserve">Fusion Plant</t>
  </si>
  <si>
    <t xml:space="preserve">Electricity ++</t>
  </si>
  <si>
    <t xml:space="preserve">Water Recycler Plant</t>
  </si>
  <si>
    <t xml:space="preserve">Life support</t>
  </si>
  <si>
    <t xml:space="preserve">Hydroponics Ring</t>
  </si>
  <si>
    <t xml:space="preserve">Food in space</t>
  </si>
  <si>
    <t xml:space="preserve">Nanoforge Bay</t>
  </si>
  <si>
    <t xml:space="preserve">Component efficiency +</t>
  </si>
  <si>
    <t xml:space="preserve">Antimatter Precursor Loop</t>
  </si>
  <si>
    <t xml:space="preserve">Antimatter trickle</t>
  </si>
  <si>
    <t xml:space="preserve">Module Yard</t>
  </si>
  <si>
    <t xml:space="preserve">Ship Modules</t>
  </si>
  <si>
    <t xml:space="preserve">Shipyard Ring</t>
  </si>
  <si>
    <t xml:space="preserve">Hull construction</t>
  </si>
  <si>
    <t xml:space="preserve">AI Foundry</t>
  </si>
  <si>
    <t xml:space="preserve">Drone Cores</t>
  </si>
  <si>
    <t xml:space="preserve">Marine Academy</t>
  </si>
  <si>
    <t xml:space="preserve">Void marines</t>
  </si>
  <si>
    <t xml:space="preserve">Fleet Academy</t>
  </si>
  <si>
    <t xml:space="preserve">Admirals V</t>
  </si>
  <si>
    <t xml:space="preserve">Drone Bay Complex</t>
  </si>
  <si>
    <t xml:space="preserve">Drone wings</t>
  </si>
  <si>
    <t xml:space="preserve">Ordnance Fabricator</t>
  </si>
  <si>
    <t xml:space="preserve">Munitions (space)</t>
  </si>
  <si>
    <t xml:space="preserve">Refit Gantry</t>
  </si>
  <si>
    <t xml:space="preserve">Design refits</t>
  </si>
  <si>
    <t xml:space="preserve">Defense Grid</t>
  </si>
  <si>
    <t xml:space="preserve">Orbital platforms</t>
  </si>
  <si>
    <t xml:space="preserve">Planetary Shield</t>
  </si>
  <si>
    <t xml:space="preserve">Bombard block</t>
  </si>
  <si>
    <t xml:space="preserve">Interceptor Screen Base</t>
  </si>
  <si>
    <t xml:space="preserve">PD wing base</t>
  </si>
  <si>
    <t xml:space="preserve">Deep Bunker Arcology</t>
  </si>
  <si>
    <t xml:space="preserve">Pop shelter</t>
  </si>
  <si>
    <t xml:space="preserve">Minefield Tender Dock</t>
  </si>
  <si>
    <t xml:space="preserve">Space mines</t>
  </si>
  <si>
    <t xml:space="preserve">Deep Space Array</t>
  </si>
  <si>
    <t xml:space="preserve">Data; galaxy intel</t>
  </si>
  <si>
    <t xml:space="preserve">Quantum Lab</t>
  </si>
  <si>
    <t xml:space="preserve">Era V–VI research</t>
  </si>
  <si>
    <t xml:space="preserve">Xenoarchaeology Wing</t>
  </si>
  <si>
    <t xml:space="preserve">Digs on other bodies</t>
  </si>
  <si>
    <t xml:space="preserve">Signal Intelligence Halo</t>
  </si>
  <si>
    <t xml:space="preserve">Fleet intel war</t>
  </si>
  <si>
    <t xml:space="preserve">Navigation Beacon Net</t>
  </si>
  <si>
    <t xml:space="preserve">Transfer lanes +</t>
  </si>
  <si>
    <t xml:space="preserve">Space Elevator</t>
  </si>
  <si>
    <t xml:space="preserve">Cheap lift; sabotage magnet</t>
  </si>
  <si>
    <t xml:space="preserve">Mass Driver</t>
  </si>
  <si>
    <t xml:space="preserve">Bulk launch</t>
  </si>
  <si>
    <t xml:space="preserve">Freight Terminal</t>
  </si>
  <si>
    <t xml:space="preserve">Freighter throughput</t>
  </si>
  <si>
    <t xml:space="preserve">Propellant Depot Chain</t>
  </si>
  <si>
    <t xml:space="preserve">Fleet range +</t>
  </si>
  <si>
    <t xml:space="preserve">Colony Dome</t>
  </si>
  <si>
    <t xml:space="preserve">Settle bodies</t>
  </si>
  <si>
    <t xml:space="preserve">Terraforming Bureau</t>
  </si>
  <si>
    <t xml:space="preserve">Habitability +</t>
  </si>
  <si>
    <t xml:space="preserve">Cloning Bay (early)</t>
  </si>
  <si>
    <t xml:space="preserve">Crew replacement</t>
  </si>
  <si>
    <t xml:space="preserve">Cryo Vault</t>
  </si>
  <si>
    <t xml:space="preserve">Colonist storage</t>
  </si>
  <si>
    <t xml:space="preserve">Orbital Habitat</t>
  </si>
  <si>
    <t xml:space="preserve">Space population</t>
  </si>
  <si>
    <t xml:space="preserve">Zero-G Arena</t>
  </si>
  <si>
    <t xml:space="preserve">Happiness; sport</t>
  </si>
  <si>
    <t xml:space="preserve">Medical Bay Complex</t>
  </si>
  <si>
    <t xml:space="preserve">Crew recovery</t>
  </si>
  <si>
    <t xml:space="preserve">Astro Botanical Sphere</t>
  </si>
  <si>
    <t xml:space="preserve">Spirit Herbs (void strains)</t>
  </si>
  <si>
    <t xml:space="preserve">Void Monastery</t>
  </si>
  <si>
    <t xml:space="preserve">Cultivation in vacuum (fast)</t>
  </si>
  <si>
    <t xml:space="preserve">Star Qi Condenser</t>
  </si>
  <si>
    <t xml:space="preserve">Qi 30/h from starlight</t>
  </si>
  <si>
    <t xml:space="preserve">Immortal Ascension Platform</t>
  </si>
  <si>
    <t xml:space="preserve">Realm breakthrough site</t>
  </si>
  <si>
    <t xml:space="preserve">Pill Synthesizer Orbital</t>
  </si>
  <si>
    <t xml:space="preserve">Pills T6</t>
  </si>
  <si>
    <t xml:space="preserve">Beast Core Reactor</t>
  </si>
  <si>
    <t xml:space="preserve">Power from beast cores</t>
  </si>
  <si>
    <t xml:space="preserve">System Exchange</t>
  </si>
  <si>
    <t xml:space="preserve">System order book</t>
  </si>
  <si>
    <t xml:space="preserve">Futures Clearinghouse</t>
  </si>
  <si>
    <t xml:space="preserve">Hedging</t>
  </si>
  <si>
    <t xml:space="preserve">Insurance Syndicate</t>
  </si>
  <si>
    <t xml:space="preserve">Fleet insurance</t>
  </si>
  <si>
    <t xml:space="preserve">Customs Station</t>
  </si>
  <si>
    <t xml:space="preserve">Lane tolls</t>
  </si>
  <si>
    <t xml:space="preserve">Salvage Yard</t>
  </si>
  <si>
    <t xml:space="preserve">Wreck recovery</t>
  </si>
  <si>
    <t xml:space="preserve">Pirate Bounty Office</t>
  </si>
  <si>
    <t xml:space="preserve">Anti-piracy contracts</t>
  </si>
  <si>
    <t xml:space="preserve">Search &amp; Rescue Wing</t>
  </si>
  <si>
    <t xml:space="preserve">Crew survival +</t>
  </si>
  <si>
    <t xml:space="preserve">Gate Precursor Lab</t>
  </si>
  <si>
    <t xml:space="preserve">Warp Gate prereq research</t>
  </si>
  <si>
    <t xml:space="preserve">Warp Gate Frame</t>
  </si>
  <si>
    <t xml:space="preserve">Ascension host</t>
  </si>
  <si>
    <t xml:space="preserve">Asteroid Redirect Office</t>
  </si>
  <si>
    <t xml:space="preserve">Move small rocks (siege/mining)</t>
  </si>
  <si>
    <t xml:space="preserve">Weather Control Grid</t>
  </si>
  <si>
    <t xml:space="preserve">Planet hazard mgmt</t>
  </si>
  <si>
    <t xml:space="preserve">Arcology Tower</t>
  </si>
  <si>
    <t xml:space="preserve">Massive population</t>
  </si>
  <si>
    <t xml:space="preserve">Orbital Ring Segment</t>
  </si>
  <si>
    <t xml:space="preserve">Planet-wide lift</t>
  </si>
  <si>
    <t xml:space="preserve">Sensor Picket Line</t>
  </si>
  <si>
    <t xml:space="preserve">Ambush warning</t>
  </si>
  <si>
    <t xml:space="preserve">Council Spire</t>
  </si>
  <si>
    <t xml:space="preserve">System governance</t>
  </si>
  <si>
    <t xml:space="preserve">Museum of the Homeworld</t>
  </si>
  <si>
    <t xml:space="preserve">Culture; era nostalgia</t>
  </si>
  <si>
    <t xml:space="preserve">Void Dock Annex</t>
  </si>
  <si>
    <t xml:space="preserve">Fleet parking</t>
  </si>
  <si>
    <t xml:space="preserve">Debris Sweeper Wing</t>
  </si>
  <si>
    <t xml:space="preserve">Orbit safety; salvage trickle</t>
  </si>
  <si>
    <t xml:space="preserve">Throneworld Nexus</t>
  </si>
  <si>
    <t xml:space="preserve">Galactic edicts</t>
  </si>
  <si>
    <t xml:space="preserve">Dark Matter Harvester</t>
  </si>
  <si>
    <t xml:space="preserve">Dark Matter 6/h</t>
  </si>
  <si>
    <t xml:space="preserve">Anomaly Extractor</t>
  </si>
  <si>
    <t xml:space="preserve">Exotic Matter 6/h</t>
  </si>
  <si>
    <t xml:space="preserve">Neutron Forge Platform</t>
  </si>
  <si>
    <t xml:space="preserve">Neutronium 2/h</t>
  </si>
  <si>
    <t xml:space="preserve">Stellar Lifting Rig</t>
  </si>
  <si>
    <t xml:space="preserve">Star-mass harvest</t>
  </si>
  <si>
    <t xml:space="preserve">Nebula Skimmer Fleet Dock</t>
  </si>
  <si>
    <t xml:space="preserve">Volatiles ++</t>
  </si>
  <si>
    <t xml:space="preserve">Pulsar Tap</t>
  </si>
  <si>
    <t xml:space="preserve">Electricity beacon</t>
  </si>
  <si>
    <t xml:space="preserve">Antimatter Loop</t>
  </si>
  <si>
    <t xml:space="preserve">Antimatter 6/h</t>
  </si>
  <si>
    <t xml:space="preserve">Precursor Forge</t>
  </si>
  <si>
    <t xml:space="preserve">Exotics</t>
  </si>
  <si>
    <t xml:space="preserve">Coil Forge</t>
  </si>
  <si>
    <t xml:space="preserve">Warp Coils</t>
  </si>
  <si>
    <t xml:space="preserve">Neutronium Mill</t>
  </si>
  <si>
    <t xml:space="preserve">Ultimate armor plate</t>
  </si>
  <si>
    <t xml:space="preserve">Exotic Alloy Works</t>
  </si>
  <si>
    <t xml:space="preserve">Hull tier +</t>
  </si>
  <si>
    <t xml:space="preserve">Singularity Precursor Lab</t>
  </si>
  <si>
    <t xml:space="preserve">VII prereq</t>
  </si>
  <si>
    <t xml:space="preserve">Grand Fleet Yards</t>
  </si>
  <si>
    <t xml:space="preserve">Titan Slip</t>
  </si>
  <si>
    <t xml:space="preserve">Titan construction</t>
  </si>
  <si>
    <t xml:space="preserve">Drone Hive Complex</t>
  </si>
  <si>
    <t xml:space="preserve">Swarm production</t>
  </si>
  <si>
    <t xml:space="preserve">Legion Barracks</t>
  </si>
  <si>
    <t xml:space="preserve">Marine legions</t>
  </si>
  <si>
    <t xml:space="preserve">War Academy of the Void</t>
  </si>
  <si>
    <t xml:space="preserve">Admirals VI</t>
  </si>
  <si>
    <t xml:space="preserve">Interdiction Engineering</t>
  </si>
  <si>
    <t xml:space="preserve">Interdictors</t>
  </si>
  <si>
    <t xml:space="preserve">Citadel of the Void</t>
  </si>
  <si>
    <t xml:space="preserve">System anchor</t>
  </si>
  <si>
    <t xml:space="preserve">Interdictor Array</t>
  </si>
  <si>
    <t xml:space="preserve">Lane halt</t>
  </si>
  <si>
    <t xml:space="preserve">Sentinel Platform Chain</t>
  </si>
  <si>
    <t xml:space="preserve">Chokepoint defense</t>
  </si>
  <si>
    <t xml:space="preserve">Aegis Grid</t>
  </si>
  <si>
    <t xml:space="preserve">Fleet PD net</t>
  </si>
  <si>
    <t xml:space="preserve">Panic Vault Worlds</t>
  </si>
  <si>
    <t xml:space="preserve">Population fallback</t>
  </si>
  <si>
    <t xml:space="preserve">Grand Archive</t>
  </si>
  <si>
    <t xml:space="preserve">Era VI–VII research</t>
  </si>
  <si>
    <t xml:space="preserve">Panopticon Precursor</t>
  </si>
  <si>
    <t xml:space="preserve">Cluster intel base</t>
  </si>
  <si>
    <t xml:space="preserve">Precursor Linguistics Wing</t>
  </si>
  <si>
    <t xml:space="preserve">Vault decoding</t>
  </si>
  <si>
    <t xml:space="preserve">Deep Void Observatory</t>
  </si>
  <si>
    <t xml:space="preserve">Silent Region mapping</t>
  </si>
  <si>
    <t xml:space="preserve">Espionage Nexus</t>
  </si>
  <si>
    <t xml:space="preserve">Agent ops T6</t>
  </si>
  <si>
    <t xml:space="preserve">Gate Network Hub</t>
  </si>
  <si>
    <t xml:space="preserve">Instant owned-gate transfer</t>
  </si>
  <si>
    <t xml:space="preserve">Wormhole Stabilizer</t>
  </si>
  <si>
    <t xml:space="preserve">Shortcut creation</t>
  </si>
  <si>
    <t xml:space="preserve">Hauler Guild Registry</t>
  </si>
  <si>
    <t xml:space="preserve">Convoy scale</t>
  </si>
  <si>
    <t xml:space="preserve">Fleet Tender Docks</t>
  </si>
  <si>
    <t xml:space="preserve">Repair logistics</t>
  </si>
  <si>
    <t xml:space="preserve">Galactic Exchange</t>
  </si>
  <si>
    <t xml:space="preserve">Cross-galaxy market</t>
  </si>
  <si>
    <t xml:space="preserve">Sanction Enforcement Office</t>
  </si>
  <si>
    <t xml:space="preserve">Senate sanctions</t>
  </si>
  <si>
    <t xml:space="preserve">Bounty Clearinghouse</t>
  </si>
  <si>
    <t xml:space="preserve">Edict bounties</t>
  </si>
  <si>
    <t xml:space="preserve">Prestige Auction House</t>
  </si>
  <si>
    <t xml:space="preserve">Cosmetic relic trade</t>
  </si>
  <si>
    <t xml:space="preserve">Senate Forum</t>
  </si>
  <si>
    <t xml:space="preserve">Galactic Senate seat</t>
  </si>
  <si>
    <t xml:space="preserve">Concord Amphitheater</t>
  </si>
  <si>
    <t xml:space="preserve">Federation diplomacy</t>
  </si>
  <si>
    <t xml:space="preserve">Grand Museum of Ages</t>
  </si>
  <si>
    <t xml:space="preserve">Archaeology showcase</t>
  </si>
  <si>
    <t xml:space="preserve">Cloning Vats</t>
  </si>
  <si>
    <t xml:space="preserve">Crew replacement ++</t>
  </si>
  <si>
    <t xml:space="preserve">Crew Nexus</t>
  </si>
  <si>
    <t xml:space="preserve">Casualty softening</t>
  </si>
  <si>
    <t xml:space="preserve">Dyson Segment Frame</t>
  </si>
  <si>
    <t xml:space="preserve">Megastructure part</t>
  </si>
  <si>
    <t xml:space="preserve">Ringworld Section Frame</t>
  </si>
  <si>
    <t xml:space="preserve">Matrioshka Node</t>
  </si>
  <si>
    <t xml:space="preserve">Data megastructure</t>
  </si>
  <si>
    <t xml:space="preserve">Ascendancy Spire Site</t>
  </si>
  <si>
    <t xml:space="preserve">Epoch victory project</t>
  </si>
  <si>
    <t xml:space="preserve">Genesis Precursor Lab</t>
  </si>
  <si>
    <t xml:space="preserve">Dao Ocean Pavilion</t>
  </si>
  <si>
    <t xml:space="preserve">Cultivation at scale</t>
  </si>
  <si>
    <t xml:space="preserve">Heavenly Tribulation Spire</t>
  </si>
  <si>
    <t xml:space="preserve">Breakthrough amplifier</t>
  </si>
  <si>
    <t xml:space="preserve">Immortal Court</t>
  </si>
  <si>
    <t xml:space="preserve">Paragon management</t>
  </si>
  <si>
    <t xml:space="preserve">Cosmic Pill Furnace</t>
  </si>
  <si>
    <t xml:space="preserve">Pills T8</t>
  </si>
  <si>
    <t xml:space="preserve">Beast God Sanctum</t>
  </si>
  <si>
    <t xml:space="preserve">Apex spirit beasts</t>
  </si>
  <si>
    <t xml:space="preserve">Karma Ledger Office</t>
  </si>
  <si>
    <t xml:space="preserve">Reputation-cultivation link</t>
  </si>
  <si>
    <t xml:space="preserve">Void Meditation Halo</t>
  </si>
  <si>
    <t xml:space="preserve">Qi 60/h deep space</t>
  </si>
  <si>
    <t xml:space="preserve">Talisman Megafab</t>
  </si>
  <si>
    <t xml:space="preserve">Talisman equip T8</t>
  </si>
  <si>
    <t xml:space="preserve">Sword Intent Trial Grounds</t>
  </si>
  <si>
    <t xml:space="preserve">Warfare-cultivation cross</t>
  </si>
  <si>
    <t xml:space="preserve">Array Continent Grid</t>
  </si>
  <si>
    <t xml:space="preserve">Planet-scale formations</t>
  </si>
  <si>
    <t xml:space="preserve">Colony Charter Office</t>
  </si>
  <si>
    <t xml:space="preserve">Arm expansion claims</t>
  </si>
  <si>
    <t xml:space="preserve">Vassal Systems Bureau</t>
  </si>
  <si>
    <t xml:space="preserve">System vassalage</t>
  </si>
  <si>
    <t xml:space="preserve">Refugee Resettlement Authority</t>
  </si>
  <si>
    <t xml:space="preserve">Refugee bonuses</t>
  </si>
  <si>
    <t xml:space="preserve">Silent Region Embassy</t>
  </si>
  <si>
    <t xml:space="preserve">Deep Void faction contact</t>
  </si>
  <si>
    <t xml:space="preserve">Lane Patrol HQ</t>
  </si>
  <si>
    <t xml:space="preserve">Anti-piracy</t>
  </si>
  <si>
    <t xml:space="preserve">Epoch Monument Grounds</t>
  </si>
  <si>
    <t xml:space="preserve">Prestige display</t>
  </si>
  <si>
    <t xml:space="preserve">Terraforming Armada Dock</t>
  </si>
  <si>
    <t xml:space="preserve">Fleet-scale terraform</t>
  </si>
  <si>
    <t xml:space="preserve">Quantum Vault Bank</t>
  </si>
  <si>
    <t xml:space="preserve">Ultra-secure storage</t>
  </si>
  <si>
    <t xml:space="preserve">Hegemon War Council</t>
  </si>
  <si>
    <t xml:space="preserve">Coalition ops tools</t>
  </si>
  <si>
    <t xml:space="preserve">Deepdock Shroud</t>
  </si>
  <si>
    <t xml:space="preserve">Cloaked construction</t>
  </si>
  <si>
    <t xml:space="preserve">Xeno Relations Bureau</t>
  </si>
  <si>
    <t xml:space="preserve">NPC faction diplomacy</t>
  </si>
  <si>
    <t xml:space="preserve">Grand Tithe Registry</t>
  </si>
  <si>
    <t xml:space="preserve">Vassal tribute automation</t>
  </si>
  <si>
    <t xml:space="preserve">Void Bastion</t>
  </si>
  <si>
    <t xml:space="preserve">Intergalactic command</t>
  </si>
  <si>
    <t xml:space="preserve">Aether Siphon</t>
  </si>
  <si>
    <t xml:space="preserve">Aether 4/h</t>
  </si>
  <si>
    <t xml:space="preserve">Void Current Anchor</t>
  </si>
  <si>
    <t xml:space="preserve">Aether vein claim</t>
  </si>
  <si>
    <t xml:space="preserve">Dark Forest Listening Post</t>
  </si>
  <si>
    <t xml:space="preserve">Deep Void intel + Aether</t>
  </si>
  <si>
    <t xml:space="preserve">Singularity Plant</t>
  </si>
  <si>
    <t xml:space="preserve">Singularity Cores</t>
  </si>
  <si>
    <t xml:space="preserve">Transcendence Yard</t>
  </si>
  <si>
    <t xml:space="preserve">Void Lattices</t>
  </si>
  <si>
    <t xml:space="preserve">Reality Loom</t>
  </si>
  <si>
    <t xml:space="preserve">Exotic conversion</t>
  </si>
  <si>
    <t xml:space="preserve">Aether Refinery</t>
  </si>
  <si>
    <t xml:space="preserve">Aether concentrate</t>
  </si>
  <si>
    <t xml:space="preserve">Genesis Engine Frame</t>
  </si>
  <si>
    <t xml:space="preserve">Seed habitable worlds</t>
  </si>
  <si>
    <t xml:space="preserve">Stellar Cradle Frame</t>
  </si>
  <si>
    <t xml:space="preserve">Ignite/stabilize stars</t>
  </si>
  <si>
    <t xml:space="preserve">Void Ark Cradle</t>
  </si>
  <si>
    <t xml:space="preserve">New-galaxy footholds</t>
  </si>
  <si>
    <t xml:space="preserve">Bridge Anchor</t>
  </si>
  <si>
    <t xml:space="preserve">Intergalactic route</t>
  </si>
  <si>
    <t xml:space="preserve">Continuum Dock</t>
  </si>
  <si>
    <t xml:space="preserve">Bastion deployment</t>
  </si>
  <si>
    <t xml:space="preserve">Silent Cartography Hall</t>
  </si>
  <si>
    <t xml:space="preserve">Deep Void mapping</t>
  </si>
  <si>
    <t xml:space="preserve">Panopticon Array</t>
  </si>
  <si>
    <t xml:space="preserve">Cluster-wide intel</t>
  </si>
  <si>
    <t xml:space="preserve">Question Archive</t>
  </si>
  <si>
    <t xml:space="preserve">Transcendent riddle progress</t>
  </si>
  <si>
    <t xml:space="preserve">Path Sanctum</t>
  </si>
  <si>
    <t xml:space="preserve">Ascension Path abilities</t>
  </si>
  <si>
    <t xml:space="preserve">Dao Integration Chamber</t>
  </si>
  <si>
    <t xml:space="preserve">Merge cultivation+tech</t>
  </si>
  <si>
    <t xml:space="preserve">Tribulation Forge</t>
  </si>
  <si>
    <t xml:space="preserve">Craft under tribulation (best gear)</t>
  </si>
  <si>
    <t xml:space="preserve">Heaven Defying Pavilion</t>
  </si>
  <si>
    <t xml:space="preserve">Break realm caps (epochal)</t>
  </si>
  <si>
    <t xml:space="preserve">Samsara Wheel</t>
  </si>
  <si>
    <t xml:space="preserve">Succession/rebirth bonuses</t>
  </si>
  <si>
    <t xml:space="preserve">Primordial Qi Sea Tap</t>
  </si>
  <si>
    <t xml:space="preserve">Qi 200/h</t>
  </si>
  <si>
    <t xml:space="preserve">Void Citadel</t>
  </si>
  <si>
    <t xml:space="preserve">Cluster anchor</t>
  </si>
  <si>
    <t xml:space="preserve">Bridge Guardian Bastion</t>
  </si>
  <si>
    <t xml:space="preserve">Route defense</t>
  </si>
  <si>
    <t xml:space="preserve">Aegis of Silence</t>
  </si>
  <si>
    <t xml:space="preserve">Anti-Silent-Ones grid</t>
  </si>
  <si>
    <t xml:space="preserve">Lattice Fleet Yards</t>
  </si>
  <si>
    <t xml:space="preserve">Scaling line units</t>
  </si>
  <si>
    <t xml:space="preserve">Avatar Sanctified Slip</t>
  </si>
  <si>
    <t xml:space="preserve">Path Avatar construction</t>
  </si>
  <si>
    <t xml:space="preserve">Reaver Docks</t>
  </si>
  <si>
    <t xml:space="preserve">Void Reavers</t>
  </si>
  <si>
    <t xml:space="preserve">Harvest Titan Yard</t>
  </si>
  <si>
    <t xml:space="preserve">Harvest Titans</t>
  </si>
  <si>
    <t xml:space="preserve">Echo Agency</t>
  </si>
  <si>
    <t xml:space="preserve">Era VII intelligence</t>
  </si>
  <si>
    <t xml:space="preserve">Transcendence Tier Monument</t>
  </si>
  <si>
    <t xml:space="preserve">Infinite ladder T1+</t>
  </si>
  <si>
    <t xml:space="preserve">Cluster Exchange</t>
  </si>
  <si>
    <t xml:space="preserve">Cross-galaxy trade</t>
  </si>
  <si>
    <t xml:space="preserve">Aether Futures Ring</t>
  </si>
  <si>
    <t xml:space="preserve">Aether hedging</t>
  </si>
  <si>
    <t xml:space="preserve">Monument Fields</t>
  </si>
  <si>
    <t xml:space="preserve">Apotheosis grounds</t>
  </si>
  <si>
    <t xml:space="preserve">Hall of Ten Thousand Dynasties</t>
  </si>
  <si>
    <t xml:space="preserve">Universe history</t>
  </si>
  <si>
    <t xml:space="preserve">Void Choir Amphitheater</t>
  </si>
  <si>
    <t xml:space="preserve">Cluster happiness</t>
  </si>
  <si>
    <t xml:space="preserve">Genesis Garden</t>
  </si>
  <si>
    <t xml:space="preserve">Seeded-world showcase</t>
  </si>
  <si>
    <t xml:space="preserve">Paragon Rectory</t>
  </si>
  <si>
    <t xml:space="preserve">Paragon slots</t>
  </si>
  <si>
    <t xml:space="preserve">Silent Accord Chancery</t>
  </si>
  <si>
    <t xml:space="preserve">Silent Ones diplomacy</t>
  </si>
  <si>
    <t xml:space="preserve">Deep Void Waystation</t>
  </si>
  <si>
    <t xml:space="preserve">Reaver range</t>
  </si>
  <si>
    <t xml:space="preserve">Ascension Ledger</t>
  </si>
  <si>
    <t xml:space="preserve">Path progression mgmt</t>
  </si>
  <si>
    <t xml:space="preserve">Karmic Nexus</t>
  </si>
  <si>
    <t xml:space="preserve">Cross-dynasty karma bonds</t>
  </si>
  <si>
    <t xml:space="preserve">Worldheart Vault</t>
  </si>
  <si>
    <t xml:space="preserve">Store Genesis seeds</t>
  </si>
  <si>
    <t xml:space="preserve">Void Beast Abyss Pen</t>
  </si>
  <si>
    <t xml:space="preserve">Apex beast taming</t>
  </si>
  <si>
    <t xml:space="preserve">Infinity Pill Cauldron</t>
  </si>
  <si>
    <t xml:space="preserve">Pills T9</t>
  </si>
  <si>
    <t xml:space="preserve">Lattice Bastion Foundry</t>
  </si>
  <si>
    <t xml:space="preserve">Continuum Bastions</t>
  </si>
  <si>
    <t xml:space="preserve">Cluster Senate Annex</t>
  </si>
  <si>
    <t xml:space="preserve">Concord of Galaxies</t>
  </si>
  <si>
    <t xml:space="preserve">Reality Anchor Chain</t>
  </si>
  <si>
    <t xml:space="preserve">Anti-wormhole intrusion</t>
  </si>
  <si>
    <t xml:space="preserve">Dream Nursery</t>
  </si>
  <si>
    <t xml:space="preserve">Population (path-flavored)</t>
  </si>
  <si>
    <t xml:space="preserve">Aether Sail Loft</t>
  </si>
  <si>
    <t xml:space="preserve">Void travel speed</t>
  </si>
  <si>
    <t xml:space="preserve">Event Horizon Refinery</t>
  </si>
  <si>
    <t xml:space="preserve">Black-hole industry</t>
  </si>
  <si>
    <t xml:space="preserve">Chrono Archive</t>
  </si>
  <si>
    <t xml:space="preserve">Epoch record queries</t>
  </si>
  <si>
    <t xml:space="preserve">Void Farm Terraces</t>
  </si>
  <si>
    <t xml:space="preserve">Food in the dark</t>
  </si>
  <si>
    <t xml:space="preserve">Silent Relic Reliquary</t>
  </si>
  <si>
    <t xml:space="preserve">Relic display; Prestige</t>
  </si>
  <si>
    <t xml:space="preserve">Exile Redemption Office</t>
  </si>
  <si>
    <t xml:space="preserve">Returning-player aid</t>
  </si>
  <si>
    <t xml:space="preserve">Pathworks Trial Gauntlet</t>
  </si>
  <si>
    <t xml:space="preserve">Path-exclusive challenges</t>
  </si>
  <si>
    <t xml:space="preserve">Omen Observatory</t>
  </si>
  <si>
    <t xml:space="preserve">Cataclysm forecasting</t>
  </si>
  <si>
    <t xml:space="preserve">Ark Provisioning Yards</t>
  </si>
  <si>
    <t xml:space="preserve">Ark supply</t>
  </si>
  <si>
    <t xml:space="preserve">Void Lighthouse</t>
  </si>
  <si>
    <t xml:space="preserve">Bridge safety</t>
  </si>
  <si>
    <t xml:space="preserve">First Flame Shrine</t>
  </si>
  <si>
    <t xml:space="preserve">Primordial trial site</t>
  </si>
  <si>
    <t xml:space="preserve">Boundless Market</t>
  </si>
  <si>
    <t xml:space="preserve">NPC faction trade</t>
  </si>
  <si>
    <t xml:space="preserve">Guardian Lattice Mesh</t>
  </si>
  <si>
    <t xml:space="preserve">Cluster PD</t>
  </si>
  <si>
    <t xml:space="preserve">Hollow Star Foundry</t>
  </si>
  <si>
    <t xml:space="preserve">Neutronium ++</t>
  </si>
  <si>
    <t xml:space="preserve">Grand Unification Lab</t>
  </si>
  <si>
    <t xml:space="preserve">Transcendence research</t>
  </si>
  <si>
    <t xml:space="preserve">Eternity Gate Frame</t>
  </si>
  <si>
    <t xml:space="preserve">Cluster-link megaproject</t>
  </si>
  <si>
    <t xml:space="preserve">Ancestral Sky Temple</t>
  </si>
  <si>
    <t xml:space="preserve">Dynasty tradition forge</t>
  </si>
  <si>
    <t xml:space="preserve">Void Hospice</t>
  </si>
  <si>
    <t xml:space="preserve">Crew/cultivator recovery</t>
  </si>
  <si>
    <t xml:space="preserve">Aether Beacon Chain</t>
  </si>
  <si>
    <t xml:space="preserve">Cluster navigation</t>
  </si>
  <si>
    <t xml:space="preserve">Dao Debate Hall</t>
  </si>
  <si>
    <t xml:space="preserve">Cross-path diplomacy; Culture</t>
  </si>
  <si>
    <t xml:space="preserve">Blue = design-input base costs (era-currency equivalents; map to era resources per Section 6 of the GDD). Every building: 1338 levels, grade breakthrough every 32 levels via Grade-Up Project (Grades_Realms sheet).</t>
  </si>
  <si>
    <t xml:space="preserve">Building name (type exactly as in Buildings_Master):</t>
  </si>
  <si>
    <t xml:space="preserve">Total climb 0→1337 (years):</t>
  </si>
  <si>
    <t xml:space="preserve">Timber-eq Cost</t>
  </si>
  <si>
    <t xml:space="preserve">Stone/Metal-eq Cost</t>
  </si>
  <si>
    <t xml:space="preserve">Special-eq Cost</t>
  </si>
  <si>
    <t xml:space="preserve">Build Time (hours)</t>
  </si>
  <si>
    <t xml:space="preserve">Relative Output</t>
  </si>
  <si>
    <t xml:space="preserve">Key</t>
  </si>
  <si>
    <t xml:space="preserve">Archetype</t>
  </si>
  <si>
    <t xml:space="preserve">Role</t>
  </si>
  <si>
    <t xml:space="preserve">Base Atk</t>
  </si>
  <si>
    <t xml:space="preserve">Base Def</t>
  </si>
  <si>
    <t xml:space="preserve">Base HP</t>
  </si>
  <si>
    <t xml:space="preserve">Base Speed</t>
  </si>
  <si>
    <t xml:space="preserve">Base Upkeep</t>
  </si>
  <si>
    <t xml:space="preserve">Base Train (h)</t>
  </si>
  <si>
    <t xml:space="preserve">Train const (h per upkeep pt)</t>
  </si>
  <si>
    <t xml:space="preserve">1|Militia</t>
  </si>
  <si>
    <t xml:space="preserve">Militia</t>
  </si>
  <si>
    <t xml:space="preserve">Line Infantry</t>
  </si>
  <si>
    <t xml:space="preserve">1|Spearman</t>
  </si>
  <si>
    <t xml:space="preserve">Spearman</t>
  </si>
  <si>
    <t xml:space="preserve">Anti-Cavalry</t>
  </si>
  <si>
    <t xml:space="preserve">Calibration: Mythic (12×) Path Avatar (upkeep 900) trains in 6 months = 4,383 h.</t>
  </si>
  <si>
    <t xml:space="preserve">1|Axeman</t>
  </si>
  <si>
    <t xml:space="preserve">Axeman</t>
  </si>
  <si>
    <t xml:space="preserve">Shock Infantry</t>
  </si>
  <si>
    <t xml:space="preserve">1|Slinger</t>
  </si>
  <si>
    <t xml:space="preserve">Slinger</t>
  </si>
  <si>
    <t xml:space="preserve">Ranged</t>
  </si>
  <si>
    <t xml:space="preserve">1|Hunter-Archer</t>
  </si>
  <si>
    <t xml:space="preserve">Hunter-Archer</t>
  </si>
  <si>
    <t xml:space="preserve">1|Raider</t>
  </si>
  <si>
    <t xml:space="preserve">Raider</t>
  </si>
  <si>
    <t xml:space="preserve">Skirmisher</t>
  </si>
  <si>
    <t xml:space="preserve">1|Scout</t>
  </si>
  <si>
    <t xml:space="preserve">Scout</t>
  </si>
  <si>
    <t xml:space="preserve">Recon</t>
  </si>
  <si>
    <t xml:space="preserve">1|Shield Bearer</t>
  </si>
  <si>
    <t xml:space="preserve">Shield Bearer</t>
  </si>
  <si>
    <t xml:space="preserve">Screen</t>
  </si>
  <si>
    <t xml:space="preserve">1|Loot Carrier</t>
  </si>
  <si>
    <t xml:space="preserve">Loot Carrier</t>
  </si>
  <si>
    <t xml:space="preserve">1|Chief Guard</t>
  </si>
  <si>
    <t xml:space="preserve">Chief Guard</t>
  </si>
  <si>
    <t xml:space="preserve">Elite Shock</t>
  </si>
  <si>
    <t xml:space="preserve">1|Slave Levy</t>
  </si>
  <si>
    <t xml:space="preserve">Slave Levy</t>
  </si>
  <si>
    <t xml:space="preserve">1|War Dog Pack</t>
  </si>
  <si>
    <t xml:space="preserve">War Dog Pack</t>
  </si>
  <si>
    <t xml:space="preserve">1|Totem Warrior</t>
  </si>
  <si>
    <t xml:space="preserve">Totem Warrior</t>
  </si>
  <si>
    <t xml:space="preserve">1|Stone Thrower</t>
  </si>
  <si>
    <t xml:space="preserve">Stone Thrower</t>
  </si>
  <si>
    <t xml:space="preserve">Siege</t>
  </si>
  <si>
    <t xml:space="preserve">1|Village Witch</t>
  </si>
  <si>
    <t xml:space="preserve">Village Witch</t>
  </si>
  <si>
    <t xml:space="preserve">Support</t>
  </si>
  <si>
    <t xml:space="preserve">1|Beast Tamer</t>
  </si>
  <si>
    <t xml:space="preserve">Beast Tamer</t>
  </si>
  <si>
    <t xml:space="preserve">1|Qi Novice</t>
  </si>
  <si>
    <t xml:space="preserve">Qi Novice</t>
  </si>
  <si>
    <t xml:space="preserve">Cultivator</t>
  </si>
  <si>
    <t xml:space="preserve">1|Body Refiner</t>
  </si>
  <si>
    <t xml:space="preserve">Body Refiner</t>
  </si>
  <si>
    <t xml:space="preserve">2|Swordsman</t>
  </si>
  <si>
    <t xml:space="preserve">Swordsman</t>
  </si>
  <si>
    <t xml:space="preserve">2|Pikeman</t>
  </si>
  <si>
    <t xml:space="preserve">Pikeman</t>
  </si>
  <si>
    <t xml:space="preserve">2|Crossbowman</t>
  </si>
  <si>
    <t xml:space="preserve">Crossbowman</t>
  </si>
  <si>
    <t xml:space="preserve">2|Longbowman</t>
  </si>
  <si>
    <t xml:space="preserve">Longbowman</t>
  </si>
  <si>
    <t xml:space="preserve">2|Scout Cavalry</t>
  </si>
  <si>
    <t xml:space="preserve">Scout Cavalry</t>
  </si>
  <si>
    <t xml:space="preserve">2|Lancer</t>
  </si>
  <si>
    <t xml:space="preserve">Lancer</t>
  </si>
  <si>
    <t xml:space="preserve">Shock Cavalry</t>
  </si>
  <si>
    <t xml:space="preserve">2|Knight</t>
  </si>
  <si>
    <t xml:space="preserve">Knight</t>
  </si>
  <si>
    <t xml:space="preserve">2|Horse Archer</t>
  </si>
  <si>
    <t xml:space="preserve">Horse Archer</t>
  </si>
  <si>
    <t xml:space="preserve">2|Ram Crew</t>
  </si>
  <si>
    <t xml:space="preserve">Ram Crew</t>
  </si>
  <si>
    <t xml:space="preserve">2|Catapult</t>
  </si>
  <si>
    <t xml:space="preserve">Catapult</t>
  </si>
  <si>
    <t xml:space="preserve">2|Trebuchet</t>
  </si>
  <si>
    <t xml:space="preserve">Trebuchet</t>
  </si>
  <si>
    <t xml:space="preserve">2|Noble</t>
  </si>
  <si>
    <t xml:space="preserve">Noble</t>
  </si>
  <si>
    <t xml:space="preserve">Conquest</t>
  </si>
  <si>
    <t xml:space="preserve">2|Spy</t>
  </si>
  <si>
    <t xml:space="preserve">Spy</t>
  </si>
  <si>
    <t xml:space="preserve">Agent</t>
  </si>
  <si>
    <t xml:space="preserve">2|Supply Train</t>
  </si>
  <si>
    <t xml:space="preserve">Supply Train</t>
  </si>
  <si>
    <t xml:space="preserve">2|Halberdier</t>
  </si>
  <si>
    <t xml:space="preserve">Halberdier</t>
  </si>
  <si>
    <t xml:space="preserve">2|Man-at-Arms</t>
  </si>
  <si>
    <t xml:space="preserve">Man-at-Arms</t>
  </si>
  <si>
    <t xml:space="preserve">2|Sect Disciple</t>
  </si>
  <si>
    <t xml:space="preserve">Sect Disciple</t>
  </si>
  <si>
    <t xml:space="preserve">2|Array Adept</t>
  </si>
  <si>
    <t xml:space="preserve">Array Adept</t>
  </si>
  <si>
    <t xml:space="preserve">3|Musketeer</t>
  </si>
  <si>
    <t xml:space="preserve">Musketeer</t>
  </si>
  <si>
    <t xml:space="preserve">3|Grenadier</t>
  </si>
  <si>
    <t xml:space="preserve">Grenadier</t>
  </si>
  <si>
    <t xml:space="preserve">3|Dragoon</t>
  </si>
  <si>
    <t xml:space="preserve">Dragoon</t>
  </si>
  <si>
    <t xml:space="preserve">3|Cuirassier</t>
  </si>
  <si>
    <t xml:space="preserve">Cuirassier</t>
  </si>
  <si>
    <t xml:space="preserve">3|Field Cannon</t>
  </si>
  <si>
    <t xml:space="preserve">Field Cannon</t>
  </si>
  <si>
    <t xml:space="preserve">3|Siege Mortar</t>
  </si>
  <si>
    <t xml:space="preserve">Siege Mortar</t>
  </si>
  <si>
    <t xml:space="preserve">3|Sapper</t>
  </si>
  <si>
    <t xml:space="preserve">Sapper</t>
  </si>
  <si>
    <t xml:space="preserve">3|Governor</t>
  </si>
  <si>
    <t xml:space="preserve">Governor</t>
  </si>
  <si>
    <t xml:space="preserve">3|Privateer</t>
  </si>
  <si>
    <t xml:space="preserve">Privateer</t>
  </si>
  <si>
    <t xml:space="preserve">Naval Raider</t>
  </si>
  <si>
    <t xml:space="preserve">3|Sloop</t>
  </si>
  <si>
    <t xml:space="preserve">Sloop</t>
  </si>
  <si>
    <t xml:space="preserve">Naval Escort</t>
  </si>
  <si>
    <t xml:space="preserve">3|Frigate</t>
  </si>
  <si>
    <t xml:space="preserve">Frigate</t>
  </si>
  <si>
    <t xml:space="preserve">3|Galleon</t>
  </si>
  <si>
    <t xml:space="preserve">Galleon</t>
  </si>
  <si>
    <t xml:space="preserve">Naval Logistics</t>
  </si>
  <si>
    <t xml:space="preserve">3|Ship of the Line</t>
  </si>
  <si>
    <t xml:space="preserve">Ship of the Line</t>
  </si>
  <si>
    <t xml:space="preserve">Capital</t>
  </si>
  <si>
    <t xml:space="preserve">3|Fireship</t>
  </si>
  <si>
    <t xml:space="preserve">Fireship</t>
  </si>
  <si>
    <t xml:space="preserve">3|Colonist</t>
  </si>
  <si>
    <t xml:space="preserve">Colonist</t>
  </si>
  <si>
    <t xml:space="preserve">3|Emissary</t>
  </si>
  <si>
    <t xml:space="preserve">Emissary</t>
  </si>
  <si>
    <t xml:space="preserve">3|Pill-Fed Vanguard</t>
  </si>
  <si>
    <t xml:space="preserve">Pill-Fed Vanguard</t>
  </si>
  <si>
    <t xml:space="preserve">3|Talisman Corps</t>
  </si>
  <si>
    <t xml:space="preserve">Talisman Corps</t>
  </si>
  <si>
    <t xml:space="preserve">4|Rifle Infantry</t>
  </si>
  <si>
    <t xml:space="preserve">Rifle Infantry</t>
  </si>
  <si>
    <t xml:space="preserve">4|MG Team</t>
  </si>
  <si>
    <t xml:space="preserve">MG Team</t>
  </si>
  <si>
    <t xml:space="preserve">Anti-Infantry</t>
  </si>
  <si>
    <t xml:space="preserve">4|Assault Infantry</t>
  </si>
  <si>
    <t xml:space="preserve">Assault Infantry</t>
  </si>
  <si>
    <t xml:space="preserve">4|AT Infantry</t>
  </si>
  <si>
    <t xml:space="preserve">AT Infantry</t>
  </si>
  <si>
    <t xml:space="preserve">Anti-Armor</t>
  </si>
  <si>
    <t xml:space="preserve">4|Engineer</t>
  </si>
  <si>
    <t xml:space="preserve">Engineer</t>
  </si>
  <si>
    <t xml:space="preserve">4|Sniper Team</t>
  </si>
  <si>
    <t xml:space="preserve">Sniper Team</t>
  </si>
  <si>
    <t xml:space="preserve">4|Paratrooper</t>
  </si>
  <si>
    <t xml:space="preserve">Paratrooper</t>
  </si>
  <si>
    <t xml:space="preserve">4|Armored Car</t>
  </si>
  <si>
    <t xml:space="preserve">Armored Car</t>
  </si>
  <si>
    <t xml:space="preserve">4|Light Tank</t>
  </si>
  <si>
    <t xml:space="preserve">Light Tank</t>
  </si>
  <si>
    <t xml:space="preserve">Armor</t>
  </si>
  <si>
    <t xml:space="preserve">4|Heavy Tank</t>
  </si>
  <si>
    <t xml:space="preserve">Heavy Tank</t>
  </si>
  <si>
    <t xml:space="preserve">4|SP Artillery</t>
  </si>
  <si>
    <t xml:space="preserve">SP Artillery</t>
  </si>
  <si>
    <t xml:space="preserve">4|Rocket Artillery</t>
  </si>
  <si>
    <t xml:space="preserve">Rocket Artillery</t>
  </si>
  <si>
    <t xml:space="preserve">4|AA Vehicle</t>
  </si>
  <si>
    <t xml:space="preserve">AA Vehicle</t>
  </si>
  <si>
    <t xml:space="preserve">Anti-Air</t>
  </si>
  <si>
    <t xml:space="preserve">4|Fighter</t>
  </si>
  <si>
    <t xml:space="preserve">Fighter</t>
  </si>
  <si>
    <t xml:space="preserve">Air Superiority</t>
  </si>
  <si>
    <t xml:space="preserve">4|Bomber</t>
  </si>
  <si>
    <t xml:space="preserve">Bomber</t>
  </si>
  <si>
    <t xml:space="preserve">Air Strike</t>
  </si>
  <si>
    <t xml:space="preserve">4|Destroyer</t>
  </si>
  <si>
    <t xml:space="preserve">Destroyer</t>
  </si>
  <si>
    <t xml:space="preserve">4|Battleship</t>
  </si>
  <si>
    <t xml:space="preserve">Battleship</t>
  </si>
  <si>
    <t xml:space="preserve">4|Cultivator Commando</t>
  </si>
  <si>
    <t xml:space="preserve">Cultivator Commando</t>
  </si>
  <si>
    <t xml:space="preserve">5|Void Marine</t>
  </si>
  <si>
    <t xml:space="preserve">Void Marine</t>
  </si>
  <si>
    <t xml:space="preserve">5|Powered Infantry</t>
  </si>
  <si>
    <t xml:space="preserve">Powered Infantry</t>
  </si>
  <si>
    <t xml:space="preserve">5|Hover Armor</t>
  </si>
  <si>
    <t xml:space="preserve">Hover Armor</t>
  </si>
  <si>
    <t xml:space="preserve">5|Ground Drone Swarm</t>
  </si>
  <si>
    <t xml:space="preserve">Ground Drone Swarm</t>
  </si>
  <si>
    <t xml:space="preserve">Drone</t>
  </si>
  <si>
    <t xml:space="preserve">5|EW Team</t>
  </si>
  <si>
    <t xml:space="preserve">EW Team</t>
  </si>
  <si>
    <t xml:space="preserve">EW/Utility</t>
  </si>
  <si>
    <t xml:space="preserve">5|Orbital Lander</t>
  </si>
  <si>
    <t xml:space="preserve">Orbital Lander</t>
  </si>
  <si>
    <t xml:space="preserve">5|Corvette</t>
  </si>
  <si>
    <t xml:space="preserve">Corvette</t>
  </si>
  <si>
    <t xml:space="preserve">5|Void Frigate</t>
  </si>
  <si>
    <t xml:space="preserve">Void Frigate</t>
  </si>
  <si>
    <t xml:space="preserve">5|Void Destroyer</t>
  </si>
  <si>
    <t xml:space="preserve">Void Destroyer</t>
  </si>
  <si>
    <t xml:space="preserve">5|Void Cruiser</t>
  </si>
  <si>
    <t xml:space="preserve">Void Cruiser</t>
  </si>
  <si>
    <t xml:space="preserve">Line Warship</t>
  </si>
  <si>
    <t xml:space="preserve">5|Battlecruiser</t>
  </si>
  <si>
    <t xml:space="preserve">Battlecruiser</t>
  </si>
  <si>
    <t xml:space="preserve">5|Void Carrier</t>
  </si>
  <si>
    <t xml:space="preserve">Void Carrier</t>
  </si>
  <si>
    <t xml:space="preserve">Carrier</t>
  </si>
  <si>
    <t xml:space="preserve">5|Strike Wing</t>
  </si>
  <si>
    <t xml:space="preserve">Strike Wing</t>
  </si>
  <si>
    <t xml:space="preserve">5|Assault Transport</t>
  </si>
  <si>
    <t xml:space="preserve">Assault Transport</t>
  </si>
  <si>
    <t xml:space="preserve">5|Siege Platform</t>
  </si>
  <si>
    <t xml:space="preserve">Siege Platform</t>
  </si>
  <si>
    <t xml:space="preserve">5|Probe</t>
  </si>
  <si>
    <t xml:space="preserve">Probe</t>
  </si>
  <si>
    <t xml:space="preserve">5|Defense Platform</t>
  </si>
  <si>
    <t xml:space="preserve">Defense Platform</t>
  </si>
  <si>
    <t xml:space="preserve">Static Defense</t>
  </si>
  <si>
    <t xml:space="preserve">5|Star-Qi Blade Saint</t>
  </si>
  <si>
    <t xml:space="preserve">Star-Qi Blade Saint</t>
  </si>
  <si>
    <t xml:space="preserve">6|Lance Destroyer</t>
  </si>
  <si>
    <t xml:space="preserve">Lance Destroyer</t>
  </si>
  <si>
    <t xml:space="preserve">Alpha Strike</t>
  </si>
  <si>
    <t xml:space="preserve">6|Drone Carrier</t>
  </si>
  <si>
    <t xml:space="preserve">Drone Carrier</t>
  </si>
  <si>
    <t xml:space="preserve">6|Aegis Cruiser</t>
  </si>
  <si>
    <t xml:space="preserve">Aegis Cruiser</t>
  </si>
  <si>
    <t xml:space="preserve">6|Dreadnought</t>
  </si>
  <si>
    <t xml:space="preserve">Dreadnought</t>
  </si>
  <si>
    <t xml:space="preserve">6|Titan</t>
  </si>
  <si>
    <t xml:space="preserve">Titan</t>
  </si>
  <si>
    <t xml:space="preserve">Flagship</t>
  </si>
  <si>
    <t xml:space="preserve">6|Interdictor</t>
  </si>
  <si>
    <t xml:space="preserve">Interdictor</t>
  </si>
  <si>
    <t xml:space="preserve">6|Wormhole Tender</t>
  </si>
  <si>
    <t xml:space="preserve">Wormhole Tender</t>
  </si>
  <si>
    <t xml:space="preserve">6|Ghost Frigate</t>
  </si>
  <si>
    <t xml:space="preserve">Ghost Frigate</t>
  </si>
  <si>
    <t xml:space="preserve">6|Precursor Construct</t>
  </si>
  <si>
    <t xml:space="preserve">Precursor Construct</t>
  </si>
  <si>
    <t xml:space="preserve">6|Marine Legion</t>
  </si>
  <si>
    <t xml:space="preserve">Marine Legion</t>
  </si>
  <si>
    <t xml:space="preserve">6|Hauler Convoy</t>
  </si>
  <si>
    <t xml:space="preserve">Hauler Convoy</t>
  </si>
  <si>
    <t xml:space="preserve">6|Gate Engineer</t>
  </si>
  <si>
    <t xml:space="preserve">Gate Engineer</t>
  </si>
  <si>
    <t xml:space="preserve">6|Void Prophet</t>
  </si>
  <si>
    <t xml:space="preserve">Void Prophet</t>
  </si>
  <si>
    <t xml:space="preserve">6|Sentinel Platform</t>
  </si>
  <si>
    <t xml:space="preserve">Sentinel Platform</t>
  </si>
  <si>
    <t xml:space="preserve">6|Armada Tender</t>
  </si>
  <si>
    <t xml:space="preserve">Armada Tender</t>
  </si>
  <si>
    <t xml:space="preserve">6|Planet-Cracker</t>
  </si>
  <si>
    <t xml:space="preserve">Planet-Cracker</t>
  </si>
  <si>
    <t xml:space="preserve">Ultimate Siege</t>
  </si>
  <si>
    <t xml:space="preserve">6|Dao Sovereign Guard</t>
  </si>
  <si>
    <t xml:space="preserve">Dao Sovereign Guard</t>
  </si>
  <si>
    <t xml:space="preserve">6|Sword Intent Legion</t>
  </si>
  <si>
    <t xml:space="preserve">Sword Intent Legion</t>
  </si>
  <si>
    <t xml:space="preserve">7|Lattice Line Ship</t>
  </si>
  <si>
    <t xml:space="preserve">Lattice Line Ship</t>
  </si>
  <si>
    <t xml:space="preserve">7|Void Reaver</t>
  </si>
  <si>
    <t xml:space="preserve">Void Reaver</t>
  </si>
  <si>
    <t xml:space="preserve">7|Bridge Guardian</t>
  </si>
  <si>
    <t xml:space="preserve">Bridge Guardian</t>
  </si>
  <si>
    <t xml:space="preserve">7|Harvest Titan</t>
  </si>
  <si>
    <t xml:space="preserve">Harvest Titan</t>
  </si>
  <si>
    <t xml:space="preserve">7|Genesis Tender</t>
  </si>
  <si>
    <t xml:space="preserve">Genesis Tender</t>
  </si>
  <si>
    <t xml:space="preserve">7|Echo Agent</t>
  </si>
  <si>
    <t xml:space="preserve">Echo Agent</t>
  </si>
  <si>
    <t xml:space="preserve">7|Continuum Bastion</t>
  </si>
  <si>
    <t xml:space="preserve">Continuum Bastion</t>
  </si>
  <si>
    <t xml:space="preserve">7|Path Avatar</t>
  </si>
  <si>
    <t xml:space="preserve">Path Avatar</t>
  </si>
  <si>
    <t xml:space="preserve">7|Void Ark</t>
  </si>
  <si>
    <t xml:space="preserve">Void Ark</t>
  </si>
  <si>
    <t xml:space="preserve">Mobile Capital</t>
  </si>
  <si>
    <t xml:space="preserve">7|Aether Sworn</t>
  </si>
  <si>
    <t xml:space="preserve">Aether Sworn</t>
  </si>
  <si>
    <t xml:space="preserve">7|Dao Manifest Choir</t>
  </si>
  <si>
    <t xml:space="preserve">Dao Manifest Choir</t>
  </si>
  <si>
    <t xml:space="preserve">7|Silent Hunter</t>
  </si>
  <si>
    <t xml:space="preserve">Silent Hunter</t>
  </si>
  <si>
    <t xml:space="preserve">7|Worldseed Escort</t>
  </si>
  <si>
    <t xml:space="preserve">Worldseed Escort</t>
  </si>
  <si>
    <t xml:space="preserve">7|Tribulation Vanguard</t>
  </si>
  <si>
    <t xml:space="preserve">Tribulation Vanguard</t>
  </si>
  <si>
    <t xml:space="preserve">7|Samsara Herald</t>
  </si>
  <si>
    <t xml:space="preserve">Samsara Herald</t>
  </si>
  <si>
    <t xml:space="preserve">7|Aether Weaver</t>
  </si>
  <si>
    <t xml:space="preserve">Aether Weaver</t>
  </si>
  <si>
    <t xml:space="preserve">7|Primordial Beast Rider</t>
  </si>
  <si>
    <t xml:space="preserve">Primordial Beast Rider</t>
  </si>
  <si>
    <t xml:space="preserve">7|Boundless Swarm</t>
  </si>
  <si>
    <t xml:space="preserve">Boundless Swarm</t>
  </si>
  <si>
    <t xml:space="preserve">Grade</t>
  </si>
  <si>
    <t xml:space="preserve">Multiplier (Atk/Def/HP)</t>
  </si>
  <si>
    <t xml:space="preserve">Upkeep Mult</t>
  </si>
  <si>
    <t xml:space="preserve">Train Time Mult</t>
  </si>
  <si>
    <t xml:space="preserve">Unlock</t>
  </si>
  <si>
    <t xml:space="preserve">Mortal</t>
  </si>
  <si>
    <t xml:space="preserve">Default</t>
  </si>
  <si>
    <t xml:space="preserve">Refined</t>
  </si>
  <si>
    <t xml:space="preserve">Discipline grade ≥ 6 (Awakened Meridian ·Perfected)</t>
  </si>
  <si>
    <t xml:space="preserve">Elite</t>
  </si>
  <si>
    <t xml:space="preserve">Grade ≥ 12 + Warfare rank 5</t>
  </si>
  <si>
    <t xml:space="preserve">Ascendant</t>
  </si>
  <si>
    <t xml:space="preserve">Grade ≥ 21 + cultivation realm Sovereign</t>
  </si>
  <si>
    <t xml:space="preserve">Transcendent</t>
  </si>
  <si>
    <t xml:space="preserve">Grade ≥ 30 + path chosen</t>
  </si>
  <si>
    <t xml:space="preserve">Mythic</t>
  </si>
  <si>
    <t xml:space="preserve">Grade ≥ 39 + relic core (rare drop)</t>
  </si>
  <si>
    <t xml:space="preserve">Path</t>
  </si>
  <si>
    <t xml:space="preserve">Atk Mod</t>
  </si>
  <si>
    <t xml:space="preserve">Def Mod</t>
  </si>
  <si>
    <t xml:space="preserve">HP Mod</t>
  </si>
  <si>
    <t xml:space="preserve">Speed Mod</t>
  </si>
  <si>
    <t xml:space="preserve">Identity</t>
  </si>
  <si>
    <t xml:space="preserve">Orthodox (Balanced)</t>
  </si>
  <si>
    <t xml:space="preserve">No twist; cheapest to unlock</t>
  </si>
  <si>
    <t xml:space="preserve">Asura (Offense)</t>
  </si>
  <si>
    <t xml:space="preserve">Warfare-heavy identity; unlocked by battle deeds</t>
  </si>
  <si>
    <t xml:space="preserve">Guardian (Defense)</t>
  </si>
  <si>
    <t xml:space="preserve">Construction/defense identity; unlocked by defenses held</t>
  </si>
  <si>
    <t xml:space="preserve">Unit Name</t>
  </si>
  <si>
    <t xml:space="preserve">Atk</t>
  </si>
  <si>
    <t xml:space="preserve">Def</t>
  </si>
  <si>
    <t xml:space="preserve">HP</t>
  </si>
  <si>
    <t xml:space="preserve">Speed</t>
  </si>
  <si>
    <t xml:space="preserve">Upkeep</t>
  </si>
  <si>
    <t xml:space="preserve">Train Time (h)</t>
  </si>
  <si>
    <t xml:space="preserve">Train Time (days)</t>
  </si>
  <si>
    <t xml:space="preserve">Refined Militia</t>
  </si>
  <si>
    <t xml:space="preserve">Elite Militia</t>
  </si>
  <si>
    <t xml:space="preserve">Ascendant Militia</t>
  </si>
  <si>
    <t xml:space="preserve">Transcendent Militia</t>
  </si>
  <si>
    <t xml:space="preserve">Mythic Militia</t>
  </si>
  <si>
    <t xml:space="preserve">Asura Militia</t>
  </si>
  <si>
    <t xml:space="preserve">Refined Asura Militia</t>
  </si>
  <si>
    <t xml:space="preserve">Elite Asura Militia</t>
  </si>
  <si>
    <t xml:space="preserve">Ascendant Asura Militia</t>
  </si>
  <si>
    <t xml:space="preserve">Transcendent Asura Militia</t>
  </si>
  <si>
    <t xml:space="preserve">Mythic Asura Militia</t>
  </si>
  <si>
    <t xml:space="preserve">Guardian Militia</t>
  </si>
  <si>
    <t xml:space="preserve">Refined Guardian Militia</t>
  </si>
  <si>
    <t xml:space="preserve">Elite Guardian Militia</t>
  </si>
  <si>
    <t xml:space="preserve">Ascendant Guardian Militia</t>
  </si>
  <si>
    <t xml:space="preserve">Transcendent Guardian Militia</t>
  </si>
  <si>
    <t xml:space="preserve">Mythic Guardian Militia</t>
  </si>
  <si>
    <t xml:space="preserve">Refined Spearman</t>
  </si>
  <si>
    <t xml:space="preserve">Elite Spearman</t>
  </si>
  <si>
    <t xml:space="preserve">Ascendant Spearman</t>
  </si>
  <si>
    <t xml:space="preserve">Transcendent Spearman</t>
  </si>
  <si>
    <t xml:space="preserve">Mythic Spearman</t>
  </si>
  <si>
    <t xml:space="preserve">Asura Spearman</t>
  </si>
  <si>
    <t xml:space="preserve">Refined Asura Spearman</t>
  </si>
  <si>
    <t xml:space="preserve">Elite Asura Spearman</t>
  </si>
  <si>
    <t xml:space="preserve">Ascendant Asura Spearman</t>
  </si>
  <si>
    <t xml:space="preserve">Transcendent Asura Spearman</t>
  </si>
  <si>
    <t xml:space="preserve">Mythic Asura Spearman</t>
  </si>
  <si>
    <t xml:space="preserve">Guardian Spearman</t>
  </si>
  <si>
    <t xml:space="preserve">Refined Guardian Spearman</t>
  </si>
  <si>
    <t xml:space="preserve">Elite Guardian Spearman</t>
  </si>
  <si>
    <t xml:space="preserve">Ascendant Guardian Spearman</t>
  </si>
  <si>
    <t xml:space="preserve">Transcendent Guardian Spearman</t>
  </si>
  <si>
    <t xml:space="preserve">Mythic Guardian Spearman</t>
  </si>
  <si>
    <t xml:space="preserve">Refined Axeman</t>
  </si>
  <si>
    <t xml:space="preserve">Elite Axeman</t>
  </si>
  <si>
    <t xml:space="preserve">Ascendant Axeman</t>
  </si>
  <si>
    <t xml:space="preserve">Transcendent Axeman</t>
  </si>
  <si>
    <t xml:space="preserve">Mythic Axeman</t>
  </si>
  <si>
    <t xml:space="preserve">Asura Axeman</t>
  </si>
  <si>
    <t xml:space="preserve">Refined Asura Axeman</t>
  </si>
  <si>
    <t xml:space="preserve">Elite Asura Axeman</t>
  </si>
  <si>
    <t xml:space="preserve">Ascendant Asura Axeman</t>
  </si>
  <si>
    <t xml:space="preserve">Transcendent Asura Axeman</t>
  </si>
  <si>
    <t xml:space="preserve">Mythic Asura Axeman</t>
  </si>
  <si>
    <t xml:space="preserve">Guardian Axeman</t>
  </si>
  <si>
    <t xml:space="preserve">Refined Guardian Axeman</t>
  </si>
  <si>
    <t xml:space="preserve">Elite Guardian Axeman</t>
  </si>
  <si>
    <t xml:space="preserve">Ascendant Guardian Axeman</t>
  </si>
  <si>
    <t xml:space="preserve">Transcendent Guardian Axeman</t>
  </si>
  <si>
    <t xml:space="preserve">Mythic Guardian Axeman</t>
  </si>
  <si>
    <t xml:space="preserve">Refined Slinger</t>
  </si>
  <si>
    <t xml:space="preserve">Elite Slinger</t>
  </si>
  <si>
    <t xml:space="preserve">Ascendant Slinger</t>
  </si>
  <si>
    <t xml:space="preserve">Transcendent Slinger</t>
  </si>
  <si>
    <t xml:space="preserve">Mythic Slinger</t>
  </si>
  <si>
    <t xml:space="preserve">Asura Slinger</t>
  </si>
  <si>
    <t xml:space="preserve">Refined Asura Slinger</t>
  </si>
  <si>
    <t xml:space="preserve">Elite Asura Slinger</t>
  </si>
  <si>
    <t xml:space="preserve">Ascendant Asura Slinger</t>
  </si>
  <si>
    <t xml:space="preserve">Transcendent Asura Slinger</t>
  </si>
  <si>
    <t xml:space="preserve">Mythic Asura Slinger</t>
  </si>
  <si>
    <t xml:space="preserve">Guardian Slinger</t>
  </si>
  <si>
    <t xml:space="preserve">Refined Guardian Slinger</t>
  </si>
  <si>
    <t xml:space="preserve">Elite Guardian Slinger</t>
  </si>
  <si>
    <t xml:space="preserve">Ascendant Guardian Slinger</t>
  </si>
  <si>
    <t xml:space="preserve">Transcendent Guardian Slinger</t>
  </si>
  <si>
    <t xml:space="preserve">Mythic Guardian Slinger</t>
  </si>
  <si>
    <t xml:space="preserve">Refined Hunter-Archer</t>
  </si>
  <si>
    <t xml:space="preserve">Elite Hunter-Archer</t>
  </si>
  <si>
    <t xml:space="preserve">Ascendant Hunter-Archer</t>
  </si>
  <si>
    <t xml:space="preserve">Transcendent Hunter-Archer</t>
  </si>
  <si>
    <t xml:space="preserve">Mythic Hunter-Archer</t>
  </si>
  <si>
    <t xml:space="preserve">Asura Hunter-Archer</t>
  </si>
  <si>
    <t xml:space="preserve">Refined Asura Hunter-Archer</t>
  </si>
  <si>
    <t xml:space="preserve">Elite Asura Hunter-Archer</t>
  </si>
  <si>
    <t xml:space="preserve">Ascendant Asura Hunter-Archer</t>
  </si>
  <si>
    <t xml:space="preserve">Transcendent Asura Hunter-Archer</t>
  </si>
  <si>
    <t xml:space="preserve">Mythic Asura Hunter-Archer</t>
  </si>
  <si>
    <t xml:space="preserve">Guardian Hunter-Archer</t>
  </si>
  <si>
    <t xml:space="preserve">Refined Guardian Hunter-Archer</t>
  </si>
  <si>
    <t xml:space="preserve">Elite Guardian Hunter-Archer</t>
  </si>
  <si>
    <t xml:space="preserve">Ascendant Guardian Hunter-Archer</t>
  </si>
  <si>
    <t xml:space="preserve">Transcendent Guardian Hunter-Archer</t>
  </si>
  <si>
    <t xml:space="preserve">Mythic Guardian Hunter-Archer</t>
  </si>
  <si>
    <t xml:space="preserve">Refined Raider</t>
  </si>
  <si>
    <t xml:space="preserve">Elite Raider</t>
  </si>
  <si>
    <t xml:space="preserve">Ascendant Raider</t>
  </si>
  <si>
    <t xml:space="preserve">Transcendent Raider</t>
  </si>
  <si>
    <t xml:space="preserve">Mythic Raider</t>
  </si>
  <si>
    <t xml:space="preserve">Asura Raider</t>
  </si>
  <si>
    <t xml:space="preserve">Refined Asura Raider</t>
  </si>
  <si>
    <t xml:space="preserve">Elite Asura Raider</t>
  </si>
  <si>
    <t xml:space="preserve">Ascendant Asura Raider</t>
  </si>
  <si>
    <t xml:space="preserve">Transcendent Asura Raider</t>
  </si>
  <si>
    <t xml:space="preserve">Mythic Asura Raider</t>
  </si>
  <si>
    <t xml:space="preserve">Guardian Raider</t>
  </si>
  <si>
    <t xml:space="preserve">Refined Guardian Raider</t>
  </si>
  <si>
    <t xml:space="preserve">Elite Guardian Raider</t>
  </si>
  <si>
    <t xml:space="preserve">Ascendant Guardian Raider</t>
  </si>
  <si>
    <t xml:space="preserve">Transcendent Guardian Raider</t>
  </si>
  <si>
    <t xml:space="preserve">Mythic Guardian Raider</t>
  </si>
  <si>
    <t xml:space="preserve">Refined Scout</t>
  </si>
  <si>
    <t xml:space="preserve">Elite Scout</t>
  </si>
  <si>
    <t xml:space="preserve">Ascendant Scout</t>
  </si>
  <si>
    <t xml:space="preserve">Transcendent Scout</t>
  </si>
  <si>
    <t xml:space="preserve">Mythic Scout</t>
  </si>
  <si>
    <t xml:space="preserve">Asura Scout</t>
  </si>
  <si>
    <t xml:space="preserve">Refined Asura Scout</t>
  </si>
  <si>
    <t xml:space="preserve">Elite Asura Scout</t>
  </si>
  <si>
    <t xml:space="preserve">Ascendant Asura Scout</t>
  </si>
  <si>
    <t xml:space="preserve">Transcendent Asura Scout</t>
  </si>
  <si>
    <t xml:space="preserve">Mythic Asura Scout</t>
  </si>
  <si>
    <t xml:space="preserve">Guardian Scout</t>
  </si>
  <si>
    <t xml:space="preserve">Refined Guardian Scout</t>
  </si>
  <si>
    <t xml:space="preserve">Elite Guardian Scout</t>
  </si>
  <si>
    <t xml:space="preserve">Ascendant Guardian Scout</t>
  </si>
  <si>
    <t xml:space="preserve">Transcendent Guardian Scout</t>
  </si>
  <si>
    <t xml:space="preserve">Mythic Guardian Scout</t>
  </si>
  <si>
    <t xml:space="preserve">Refined Shield Bearer</t>
  </si>
  <si>
    <t xml:space="preserve">Elite Shield Bearer</t>
  </si>
  <si>
    <t xml:space="preserve">Ascendant Shield Bearer</t>
  </si>
  <si>
    <t xml:space="preserve">Transcendent Shield Bearer</t>
  </si>
  <si>
    <t xml:space="preserve">Mythic Shield Bearer</t>
  </si>
  <si>
    <t xml:space="preserve">Asura Shield Bearer</t>
  </si>
  <si>
    <t xml:space="preserve">Refined Asura Shield Bearer</t>
  </si>
  <si>
    <t xml:space="preserve">Elite Asura Shield Bearer</t>
  </si>
  <si>
    <t xml:space="preserve">Ascendant Asura Shield Bearer</t>
  </si>
  <si>
    <t xml:space="preserve">Transcendent Asura Shield Bearer</t>
  </si>
  <si>
    <t xml:space="preserve">Mythic Asura Shield Bearer</t>
  </si>
  <si>
    <t xml:space="preserve">Guardian Shield Bearer</t>
  </si>
  <si>
    <t xml:space="preserve">Refined Guardian Shield Bearer</t>
  </si>
  <si>
    <t xml:space="preserve">Elite Guardian Shield Bearer</t>
  </si>
  <si>
    <t xml:space="preserve">Ascendant Guardian Shield Bearer</t>
  </si>
  <si>
    <t xml:space="preserve">Transcendent Guardian Shield Bearer</t>
  </si>
  <si>
    <t xml:space="preserve">Mythic Guardian Shield Bearer</t>
  </si>
  <si>
    <t xml:space="preserve">Refined Loot Carrier</t>
  </si>
  <si>
    <t xml:space="preserve">Elite Loot Carrier</t>
  </si>
  <si>
    <t xml:space="preserve">Ascendant Loot Carrier</t>
  </si>
  <si>
    <t xml:space="preserve">Transcendent Loot Carrier</t>
  </si>
  <si>
    <t xml:space="preserve">Mythic Loot Carrier</t>
  </si>
  <si>
    <t xml:space="preserve">Asura Loot Carrier</t>
  </si>
  <si>
    <t xml:space="preserve">Refined Asura Loot Carrier</t>
  </si>
  <si>
    <t xml:space="preserve">Elite Asura Loot Carrier</t>
  </si>
  <si>
    <t xml:space="preserve">Ascendant Asura Loot Carrier</t>
  </si>
  <si>
    <t xml:space="preserve">Transcendent Asura Loot Carrier</t>
  </si>
  <si>
    <t xml:space="preserve">Mythic Asura Loot Carrier</t>
  </si>
  <si>
    <t xml:space="preserve">Guardian Loot Carrier</t>
  </si>
  <si>
    <t xml:space="preserve">Refined Guardian Loot Carrier</t>
  </si>
  <si>
    <t xml:space="preserve">Elite Guardian Loot Carrier</t>
  </si>
  <si>
    <t xml:space="preserve">Ascendant Guardian Loot Carrier</t>
  </si>
  <si>
    <t xml:space="preserve">Transcendent Guardian Loot Carrier</t>
  </si>
  <si>
    <t xml:space="preserve">Mythic Guardian Loot Carrier</t>
  </si>
  <si>
    <t xml:space="preserve">Refined Chief Guard</t>
  </si>
  <si>
    <t xml:space="preserve">Elite Chief Guard</t>
  </si>
  <si>
    <t xml:space="preserve">Ascendant Chief Guard</t>
  </si>
  <si>
    <t xml:space="preserve">Transcendent Chief Guard</t>
  </si>
  <si>
    <t xml:space="preserve">Mythic Chief Guard</t>
  </si>
  <si>
    <t xml:space="preserve">Asura Chief Guard</t>
  </si>
  <si>
    <t xml:space="preserve">Refined Asura Chief Guard</t>
  </si>
  <si>
    <t xml:space="preserve">Elite Asura Chief Guard</t>
  </si>
  <si>
    <t xml:space="preserve">Ascendant Asura Chief Guard</t>
  </si>
  <si>
    <t xml:space="preserve">Transcendent Asura Chief Guard</t>
  </si>
  <si>
    <t xml:space="preserve">Mythic Asura Chief Guard</t>
  </si>
  <si>
    <t xml:space="preserve">Guardian Chief Guard</t>
  </si>
  <si>
    <t xml:space="preserve">Refined Guardian Chief Guard</t>
  </si>
  <si>
    <t xml:space="preserve">Elite Guardian Chief Guard</t>
  </si>
  <si>
    <t xml:space="preserve">Ascendant Guardian Chief Guard</t>
  </si>
  <si>
    <t xml:space="preserve">Transcendent Guardian Chief Guard</t>
  </si>
  <si>
    <t xml:space="preserve">Mythic Guardian Chief Guard</t>
  </si>
  <si>
    <t xml:space="preserve">Refined Slave Levy</t>
  </si>
  <si>
    <t xml:space="preserve">Elite Slave Levy</t>
  </si>
  <si>
    <t xml:space="preserve">Ascendant Slave Levy</t>
  </si>
  <si>
    <t xml:space="preserve">Transcendent Slave Levy</t>
  </si>
  <si>
    <t xml:space="preserve">Mythic Slave Levy</t>
  </si>
  <si>
    <t xml:space="preserve">Asura Slave Levy</t>
  </si>
  <si>
    <t xml:space="preserve">Refined Asura Slave Levy</t>
  </si>
  <si>
    <t xml:space="preserve">Elite Asura Slave Levy</t>
  </si>
  <si>
    <t xml:space="preserve">Ascendant Asura Slave Levy</t>
  </si>
  <si>
    <t xml:space="preserve">Transcendent Asura Slave Levy</t>
  </si>
  <si>
    <t xml:space="preserve">Mythic Asura Slave Levy</t>
  </si>
  <si>
    <t xml:space="preserve">Guardian Slave Levy</t>
  </si>
  <si>
    <t xml:space="preserve">Refined Guardian Slave Levy</t>
  </si>
  <si>
    <t xml:space="preserve">Elite Guardian Slave Levy</t>
  </si>
  <si>
    <t xml:space="preserve">Ascendant Guardian Slave Levy</t>
  </si>
  <si>
    <t xml:space="preserve">Transcendent Guardian Slave Levy</t>
  </si>
  <si>
    <t xml:space="preserve">Mythic Guardian Slave Levy</t>
  </si>
  <si>
    <t xml:space="preserve">Refined War Dog Pack</t>
  </si>
  <si>
    <t xml:space="preserve">Elite War Dog Pack</t>
  </si>
  <si>
    <t xml:space="preserve">Ascendant War Dog Pack</t>
  </si>
  <si>
    <t xml:space="preserve">Transcendent War Dog Pack</t>
  </si>
  <si>
    <t xml:space="preserve">Mythic War Dog Pack</t>
  </si>
  <si>
    <t xml:space="preserve">Asura War Dog Pack</t>
  </si>
  <si>
    <t xml:space="preserve">Refined Asura War Dog Pack</t>
  </si>
  <si>
    <t xml:space="preserve">Elite Asura War Dog Pack</t>
  </si>
  <si>
    <t xml:space="preserve">Ascendant Asura War Dog Pack</t>
  </si>
  <si>
    <t xml:space="preserve">Transcendent Asura War Dog Pack</t>
  </si>
  <si>
    <t xml:space="preserve">Mythic Asura War Dog Pack</t>
  </si>
  <si>
    <t xml:space="preserve">Guardian War Dog Pack</t>
  </si>
  <si>
    <t xml:space="preserve">Refined Guardian War Dog Pack</t>
  </si>
  <si>
    <t xml:space="preserve">Elite Guardian War Dog Pack</t>
  </si>
  <si>
    <t xml:space="preserve">Ascendant Guardian War Dog Pack</t>
  </si>
  <si>
    <t xml:space="preserve">Transcendent Guardian War Dog Pack</t>
  </si>
  <si>
    <t xml:space="preserve">Mythic Guardian War Dog Pack</t>
  </si>
  <si>
    <t xml:space="preserve">Refined Totem Warrior</t>
  </si>
  <si>
    <t xml:space="preserve">Elite Totem Warrior</t>
  </si>
  <si>
    <t xml:space="preserve">Ascendant Totem Warrior</t>
  </si>
  <si>
    <t xml:space="preserve">Transcendent Totem Warrior</t>
  </si>
  <si>
    <t xml:space="preserve">Mythic Totem Warrior</t>
  </si>
  <si>
    <t xml:space="preserve">Asura Totem Warrior</t>
  </si>
  <si>
    <t xml:space="preserve">Refined Asura Totem Warrior</t>
  </si>
  <si>
    <t xml:space="preserve">Elite Asura Totem Warrior</t>
  </si>
  <si>
    <t xml:space="preserve">Ascendant Asura Totem Warrior</t>
  </si>
  <si>
    <t xml:space="preserve">Transcendent Asura Totem Warrior</t>
  </si>
  <si>
    <t xml:space="preserve">Mythic Asura Totem Warrior</t>
  </si>
  <si>
    <t xml:space="preserve">Guardian Totem Warrior</t>
  </si>
  <si>
    <t xml:space="preserve">Refined Guardian Totem Warrior</t>
  </si>
  <si>
    <t xml:space="preserve">Elite Guardian Totem Warrior</t>
  </si>
  <si>
    <t xml:space="preserve">Ascendant Guardian Totem Warrior</t>
  </si>
  <si>
    <t xml:space="preserve">Transcendent Guardian Totem Warrior</t>
  </si>
  <si>
    <t xml:space="preserve">Mythic Guardian Totem Warrior</t>
  </si>
  <si>
    <t xml:space="preserve">Refined Stone Thrower</t>
  </si>
  <si>
    <t xml:space="preserve">Elite Stone Thrower</t>
  </si>
  <si>
    <t xml:space="preserve">Ascendant Stone Thrower</t>
  </si>
  <si>
    <t xml:space="preserve">Transcendent Stone Thrower</t>
  </si>
  <si>
    <t xml:space="preserve">Mythic Stone Thrower</t>
  </si>
  <si>
    <t xml:space="preserve">Asura Stone Thrower</t>
  </si>
  <si>
    <t xml:space="preserve">Refined Asura Stone Thrower</t>
  </si>
  <si>
    <t xml:space="preserve">Elite Asura Stone Thrower</t>
  </si>
  <si>
    <t xml:space="preserve">Ascendant Asura Stone Thrower</t>
  </si>
  <si>
    <t xml:space="preserve">Transcendent Asura Stone Thrower</t>
  </si>
  <si>
    <t xml:space="preserve">Mythic Asura Stone Thrower</t>
  </si>
  <si>
    <t xml:space="preserve">Guardian Stone Thrower</t>
  </si>
  <si>
    <t xml:space="preserve">Refined Guardian Stone Thrower</t>
  </si>
  <si>
    <t xml:space="preserve">Elite Guardian Stone Thrower</t>
  </si>
  <si>
    <t xml:space="preserve">Ascendant Guardian Stone Thrower</t>
  </si>
  <si>
    <t xml:space="preserve">Transcendent Guardian Stone Thrower</t>
  </si>
  <si>
    <t xml:space="preserve">Mythic Guardian Stone Thrower</t>
  </si>
  <si>
    <t xml:space="preserve">Refined Village Witch</t>
  </si>
  <si>
    <t xml:space="preserve">Elite Village Witch</t>
  </si>
  <si>
    <t xml:space="preserve">Ascendant Village Witch</t>
  </si>
  <si>
    <t xml:space="preserve">Transcendent Village Witch</t>
  </si>
  <si>
    <t xml:space="preserve">Mythic Village Witch</t>
  </si>
  <si>
    <t xml:space="preserve">Asura Village Witch</t>
  </si>
  <si>
    <t xml:space="preserve">Refined Asura Village Witch</t>
  </si>
  <si>
    <t xml:space="preserve">Elite Asura Village Witch</t>
  </si>
  <si>
    <t xml:space="preserve">Ascendant Asura Village Witch</t>
  </si>
  <si>
    <t xml:space="preserve">Transcendent Asura Village Witch</t>
  </si>
  <si>
    <t xml:space="preserve">Mythic Asura Village Witch</t>
  </si>
  <si>
    <t xml:space="preserve">Guardian Village Witch</t>
  </si>
  <si>
    <t xml:space="preserve">Refined Guardian Village Witch</t>
  </si>
  <si>
    <t xml:space="preserve">Elite Guardian Village Witch</t>
  </si>
  <si>
    <t xml:space="preserve">Ascendant Guardian Village Witch</t>
  </si>
  <si>
    <t xml:space="preserve">Transcendent Guardian Village Witch</t>
  </si>
  <si>
    <t xml:space="preserve">Mythic Guardian Village Witch</t>
  </si>
  <si>
    <t xml:space="preserve">Refined Beast Tamer</t>
  </si>
  <si>
    <t xml:space="preserve">Elite Beast Tamer</t>
  </si>
  <si>
    <t xml:space="preserve">Ascendant Beast Tamer</t>
  </si>
  <si>
    <t xml:space="preserve">Transcendent Beast Tamer</t>
  </si>
  <si>
    <t xml:space="preserve">Mythic Beast Tamer</t>
  </si>
  <si>
    <t xml:space="preserve">Asura Beast Tamer</t>
  </si>
  <si>
    <t xml:space="preserve">Refined Asura Beast Tamer</t>
  </si>
  <si>
    <t xml:space="preserve">Elite Asura Beast Tamer</t>
  </si>
  <si>
    <t xml:space="preserve">Ascendant Asura Beast Tamer</t>
  </si>
  <si>
    <t xml:space="preserve">Transcendent Asura Beast Tamer</t>
  </si>
  <si>
    <t xml:space="preserve">Mythic Asura Beast Tamer</t>
  </si>
  <si>
    <t xml:space="preserve">Guardian Beast Tamer</t>
  </si>
  <si>
    <t xml:space="preserve">Refined Guardian Beast Tamer</t>
  </si>
  <si>
    <t xml:space="preserve">Elite Guardian Beast Tamer</t>
  </si>
  <si>
    <t xml:space="preserve">Ascendant Guardian Beast Tamer</t>
  </si>
  <si>
    <t xml:space="preserve">Transcendent Guardian Beast Tamer</t>
  </si>
  <si>
    <t xml:space="preserve">Mythic Guardian Beast Tamer</t>
  </si>
  <si>
    <t xml:space="preserve">Refined Qi Novice</t>
  </si>
  <si>
    <t xml:space="preserve">Elite Qi Novice</t>
  </si>
  <si>
    <t xml:space="preserve">Ascendant Qi Novice</t>
  </si>
  <si>
    <t xml:space="preserve">Transcendent Qi Novice</t>
  </si>
  <si>
    <t xml:space="preserve">Mythic Qi Novice</t>
  </si>
  <si>
    <t xml:space="preserve">Asura Qi Novice</t>
  </si>
  <si>
    <t xml:space="preserve">Refined Asura Qi Novice</t>
  </si>
  <si>
    <t xml:space="preserve">Elite Asura Qi Novice</t>
  </si>
  <si>
    <t xml:space="preserve">Ascendant Asura Qi Novice</t>
  </si>
  <si>
    <t xml:space="preserve">Transcendent Asura Qi Novice</t>
  </si>
  <si>
    <t xml:space="preserve">Mythic Asura Qi Novice</t>
  </si>
  <si>
    <t xml:space="preserve">Guardian Qi Novice</t>
  </si>
  <si>
    <t xml:space="preserve">Refined Guardian Qi Novice</t>
  </si>
  <si>
    <t xml:space="preserve">Elite Guardian Qi Novice</t>
  </si>
  <si>
    <t xml:space="preserve">Ascendant Guardian Qi Novice</t>
  </si>
  <si>
    <t xml:space="preserve">Transcendent Guardian Qi Novice</t>
  </si>
  <si>
    <t xml:space="preserve">Mythic Guardian Qi Novice</t>
  </si>
  <si>
    <t xml:space="preserve">Refined Body Refiner</t>
  </si>
  <si>
    <t xml:space="preserve">Elite Body Refiner</t>
  </si>
  <si>
    <t xml:space="preserve">Ascendant Body Refiner</t>
  </si>
  <si>
    <t xml:space="preserve">Transcendent Body Refiner</t>
  </si>
  <si>
    <t xml:space="preserve">Mythic Body Refiner</t>
  </si>
  <si>
    <t xml:space="preserve">Asura Body Refiner</t>
  </si>
  <si>
    <t xml:space="preserve">Refined Asura Body Refiner</t>
  </si>
  <si>
    <t xml:space="preserve">Elite Asura Body Refiner</t>
  </si>
  <si>
    <t xml:space="preserve">Ascendant Asura Body Refiner</t>
  </si>
  <si>
    <t xml:space="preserve">Transcendent Asura Body Refiner</t>
  </si>
  <si>
    <t xml:space="preserve">Mythic Asura Body Refiner</t>
  </si>
  <si>
    <t xml:space="preserve">Guardian Body Refiner</t>
  </si>
  <si>
    <t xml:space="preserve">Refined Guardian Body Refiner</t>
  </si>
  <si>
    <t xml:space="preserve">Elite Guardian Body Refiner</t>
  </si>
  <si>
    <t xml:space="preserve">Ascendant Guardian Body Refiner</t>
  </si>
  <si>
    <t xml:space="preserve">Transcendent Guardian Body Refiner</t>
  </si>
  <si>
    <t xml:space="preserve">Mythic Guardian Body Refiner</t>
  </si>
  <si>
    <t xml:space="preserve">Refined Swordsman</t>
  </si>
  <si>
    <t xml:space="preserve">Elite Swordsman</t>
  </si>
  <si>
    <t xml:space="preserve">Ascendant Swordsman</t>
  </si>
  <si>
    <t xml:space="preserve">Transcendent Swordsman</t>
  </si>
  <si>
    <t xml:space="preserve">Mythic Swordsman</t>
  </si>
  <si>
    <t xml:space="preserve">Asura Swordsman</t>
  </si>
  <si>
    <t xml:space="preserve">Refined Asura Swordsman</t>
  </si>
  <si>
    <t xml:space="preserve">Elite Asura Swordsman</t>
  </si>
  <si>
    <t xml:space="preserve">Ascendant Asura Swordsman</t>
  </si>
  <si>
    <t xml:space="preserve">Transcendent Asura Swordsman</t>
  </si>
  <si>
    <t xml:space="preserve">Mythic Asura Swordsman</t>
  </si>
  <si>
    <t xml:space="preserve">Guardian Swordsman</t>
  </si>
  <si>
    <t xml:space="preserve">Refined Guardian Swordsman</t>
  </si>
  <si>
    <t xml:space="preserve">Elite Guardian Swordsman</t>
  </si>
  <si>
    <t xml:space="preserve">Ascendant Guardian Swordsman</t>
  </si>
  <si>
    <t xml:space="preserve">Transcendent Guardian Swordsman</t>
  </si>
  <si>
    <t xml:space="preserve">Mythic Guardian Swordsman</t>
  </si>
  <si>
    <t xml:space="preserve">Refined Pikeman</t>
  </si>
  <si>
    <t xml:space="preserve">Elite Pikeman</t>
  </si>
  <si>
    <t xml:space="preserve">Ascendant Pikeman</t>
  </si>
  <si>
    <t xml:space="preserve">Transcendent Pikeman</t>
  </si>
  <si>
    <t xml:space="preserve">Mythic Pikeman</t>
  </si>
  <si>
    <t xml:space="preserve">Asura Pikeman</t>
  </si>
  <si>
    <t xml:space="preserve">Refined Asura Pikeman</t>
  </si>
  <si>
    <t xml:space="preserve">Elite Asura Pikeman</t>
  </si>
  <si>
    <t xml:space="preserve">Ascendant Asura Pikeman</t>
  </si>
  <si>
    <t xml:space="preserve">Transcendent Asura Pikeman</t>
  </si>
  <si>
    <t xml:space="preserve">Mythic Asura Pikeman</t>
  </si>
  <si>
    <t xml:space="preserve">Guardian Pikeman</t>
  </si>
  <si>
    <t xml:space="preserve">Refined Guardian Pikeman</t>
  </si>
  <si>
    <t xml:space="preserve">Elite Guardian Pikeman</t>
  </si>
  <si>
    <t xml:space="preserve">Ascendant Guardian Pikeman</t>
  </si>
  <si>
    <t xml:space="preserve">Transcendent Guardian Pikeman</t>
  </si>
  <si>
    <t xml:space="preserve">Mythic Guardian Pikeman</t>
  </si>
  <si>
    <t xml:space="preserve">Refined Crossbowman</t>
  </si>
  <si>
    <t xml:space="preserve">Elite Crossbowman</t>
  </si>
  <si>
    <t xml:space="preserve">Ascendant Crossbowman</t>
  </si>
  <si>
    <t xml:space="preserve">Transcendent Crossbowman</t>
  </si>
  <si>
    <t xml:space="preserve">Mythic Crossbowman</t>
  </si>
  <si>
    <t xml:space="preserve">Asura Crossbowman</t>
  </si>
  <si>
    <t xml:space="preserve">Refined Asura Crossbowman</t>
  </si>
  <si>
    <t xml:space="preserve">Elite Asura Crossbowman</t>
  </si>
  <si>
    <t xml:space="preserve">Ascendant Asura Crossbowman</t>
  </si>
  <si>
    <t xml:space="preserve">Transcendent Asura Crossbowman</t>
  </si>
  <si>
    <t xml:space="preserve">Mythic Asura Crossbowman</t>
  </si>
  <si>
    <t xml:space="preserve">Guardian Crossbowman</t>
  </si>
  <si>
    <t xml:space="preserve">Refined Guardian Crossbowman</t>
  </si>
  <si>
    <t xml:space="preserve">Elite Guardian Crossbowman</t>
  </si>
  <si>
    <t xml:space="preserve">Ascendant Guardian Crossbowman</t>
  </si>
  <si>
    <t xml:space="preserve">Transcendent Guardian Crossbowman</t>
  </si>
  <si>
    <t xml:space="preserve">Mythic Guardian Crossbowman</t>
  </si>
  <si>
    <t xml:space="preserve">Refined Longbowman</t>
  </si>
  <si>
    <t xml:space="preserve">Elite Longbowman</t>
  </si>
  <si>
    <t xml:space="preserve">Ascendant Longbowman</t>
  </si>
  <si>
    <t xml:space="preserve">Transcendent Longbowman</t>
  </si>
  <si>
    <t xml:space="preserve">Mythic Longbowman</t>
  </si>
  <si>
    <t xml:space="preserve">Asura Longbowman</t>
  </si>
  <si>
    <t xml:space="preserve">Refined Asura Longbowman</t>
  </si>
  <si>
    <t xml:space="preserve">Elite Asura Longbowman</t>
  </si>
  <si>
    <t xml:space="preserve">Ascendant Asura Longbowman</t>
  </si>
  <si>
    <t xml:space="preserve">Transcendent Asura Longbowman</t>
  </si>
  <si>
    <t xml:space="preserve">Mythic Asura Longbowman</t>
  </si>
  <si>
    <t xml:space="preserve">Guardian Longbowman</t>
  </si>
  <si>
    <t xml:space="preserve">Refined Guardian Longbowman</t>
  </si>
  <si>
    <t xml:space="preserve">Elite Guardian Longbowman</t>
  </si>
  <si>
    <t xml:space="preserve">Ascendant Guardian Longbowman</t>
  </si>
  <si>
    <t xml:space="preserve">Transcendent Guardian Longbowman</t>
  </si>
  <si>
    <t xml:space="preserve">Mythic Guardian Longbowman</t>
  </si>
  <si>
    <t xml:space="preserve">Refined Scout Cavalry</t>
  </si>
  <si>
    <t xml:space="preserve">Elite Scout Cavalry</t>
  </si>
  <si>
    <t xml:space="preserve">Ascendant Scout Cavalry</t>
  </si>
  <si>
    <t xml:space="preserve">Transcendent Scout Cavalry</t>
  </si>
  <si>
    <t xml:space="preserve">Mythic Scout Cavalry</t>
  </si>
  <si>
    <t xml:space="preserve">Asura Scout Cavalry</t>
  </si>
  <si>
    <t xml:space="preserve">Refined Asura Scout Cavalry</t>
  </si>
  <si>
    <t xml:space="preserve">Elite Asura Scout Cavalry</t>
  </si>
  <si>
    <t xml:space="preserve">Ascendant Asura Scout Cavalry</t>
  </si>
  <si>
    <t xml:space="preserve">Transcendent Asura Scout Cavalry</t>
  </si>
  <si>
    <t xml:space="preserve">Mythic Asura Scout Cavalry</t>
  </si>
  <si>
    <t xml:space="preserve">Guardian Scout Cavalry</t>
  </si>
  <si>
    <t xml:space="preserve">Refined Guardian Scout Cavalry</t>
  </si>
  <si>
    <t xml:space="preserve">Elite Guardian Scout Cavalry</t>
  </si>
  <si>
    <t xml:space="preserve">Ascendant Guardian Scout Cavalry</t>
  </si>
  <si>
    <t xml:space="preserve">Transcendent Guardian Scout Cavalry</t>
  </si>
  <si>
    <t xml:space="preserve">Mythic Guardian Scout Cavalry</t>
  </si>
  <si>
    <t xml:space="preserve">Refined Lancer</t>
  </si>
  <si>
    <t xml:space="preserve">Elite Lancer</t>
  </si>
  <si>
    <t xml:space="preserve">Ascendant Lancer</t>
  </si>
  <si>
    <t xml:space="preserve">Transcendent Lancer</t>
  </si>
  <si>
    <t xml:space="preserve">Mythic Lancer</t>
  </si>
  <si>
    <t xml:space="preserve">Asura Lancer</t>
  </si>
  <si>
    <t xml:space="preserve">Refined Asura Lancer</t>
  </si>
  <si>
    <t xml:space="preserve">Elite Asura Lancer</t>
  </si>
  <si>
    <t xml:space="preserve">Ascendant Asura Lancer</t>
  </si>
  <si>
    <t xml:space="preserve">Transcendent Asura Lancer</t>
  </si>
  <si>
    <t xml:space="preserve">Mythic Asura Lancer</t>
  </si>
  <si>
    <t xml:space="preserve">Guardian Lancer</t>
  </si>
  <si>
    <t xml:space="preserve">Refined Guardian Lancer</t>
  </si>
  <si>
    <t xml:space="preserve">Elite Guardian Lancer</t>
  </si>
  <si>
    <t xml:space="preserve">Ascendant Guardian Lancer</t>
  </si>
  <si>
    <t xml:space="preserve">Transcendent Guardian Lancer</t>
  </si>
  <si>
    <t xml:space="preserve">Mythic Guardian Lancer</t>
  </si>
  <si>
    <t xml:space="preserve">Refined Knight</t>
  </si>
  <si>
    <t xml:space="preserve">Elite Knight</t>
  </si>
  <si>
    <t xml:space="preserve">Ascendant Knight</t>
  </si>
  <si>
    <t xml:space="preserve">Transcendent Knight</t>
  </si>
  <si>
    <t xml:space="preserve">Mythic Knight</t>
  </si>
  <si>
    <t xml:space="preserve">Asura Knight</t>
  </si>
  <si>
    <t xml:space="preserve">Refined Asura Knight</t>
  </si>
  <si>
    <t xml:space="preserve">Elite Asura Knight</t>
  </si>
  <si>
    <t xml:space="preserve">Ascendant Asura Knight</t>
  </si>
  <si>
    <t xml:space="preserve">Transcendent Asura Knight</t>
  </si>
  <si>
    <t xml:space="preserve">Mythic Asura Knight</t>
  </si>
  <si>
    <t xml:space="preserve">Guardian Knight</t>
  </si>
  <si>
    <t xml:space="preserve">Refined Guardian Knight</t>
  </si>
  <si>
    <t xml:space="preserve">Elite Guardian Knight</t>
  </si>
  <si>
    <t xml:space="preserve">Ascendant Guardian Knight</t>
  </si>
  <si>
    <t xml:space="preserve">Transcendent Guardian Knight</t>
  </si>
  <si>
    <t xml:space="preserve">Mythic Guardian Knight</t>
  </si>
  <si>
    <t xml:space="preserve">Refined Horse Archer</t>
  </si>
  <si>
    <t xml:space="preserve">Elite Horse Archer</t>
  </si>
  <si>
    <t xml:space="preserve">Ascendant Horse Archer</t>
  </si>
  <si>
    <t xml:space="preserve">Transcendent Horse Archer</t>
  </si>
  <si>
    <t xml:space="preserve">Mythic Horse Archer</t>
  </si>
  <si>
    <t xml:space="preserve">Asura Horse Archer</t>
  </si>
  <si>
    <t xml:space="preserve">Refined Asura Horse Archer</t>
  </si>
  <si>
    <t xml:space="preserve">Elite Asura Horse Archer</t>
  </si>
  <si>
    <t xml:space="preserve">Ascendant Asura Horse Archer</t>
  </si>
  <si>
    <t xml:space="preserve">Transcendent Asura Horse Archer</t>
  </si>
  <si>
    <t xml:space="preserve">Mythic Asura Horse Archer</t>
  </si>
  <si>
    <t xml:space="preserve">Guardian Horse Archer</t>
  </si>
  <si>
    <t xml:space="preserve">Refined Guardian Horse Archer</t>
  </si>
  <si>
    <t xml:space="preserve">Elite Guardian Horse Archer</t>
  </si>
  <si>
    <t xml:space="preserve">Ascendant Guardian Horse Archer</t>
  </si>
  <si>
    <t xml:space="preserve">Transcendent Guardian Horse Archer</t>
  </si>
  <si>
    <t xml:space="preserve">Mythic Guardian Horse Archer</t>
  </si>
  <si>
    <t xml:space="preserve">Refined Ram Crew</t>
  </si>
  <si>
    <t xml:space="preserve">Elite Ram Crew</t>
  </si>
  <si>
    <t xml:space="preserve">Ascendant Ram Crew</t>
  </si>
  <si>
    <t xml:space="preserve">Transcendent Ram Crew</t>
  </si>
  <si>
    <t xml:space="preserve">Mythic Ram Crew</t>
  </si>
  <si>
    <t xml:space="preserve">Asura Ram Crew</t>
  </si>
  <si>
    <t xml:space="preserve">Refined Asura Ram Crew</t>
  </si>
  <si>
    <t xml:space="preserve">Elite Asura Ram Crew</t>
  </si>
  <si>
    <t xml:space="preserve">Ascendant Asura Ram Crew</t>
  </si>
  <si>
    <t xml:space="preserve">Transcendent Asura Ram Crew</t>
  </si>
  <si>
    <t xml:space="preserve">Mythic Asura Ram Crew</t>
  </si>
  <si>
    <t xml:space="preserve">Guardian Ram Crew</t>
  </si>
  <si>
    <t xml:space="preserve">Refined Guardian Ram Crew</t>
  </si>
  <si>
    <t xml:space="preserve">Elite Guardian Ram Crew</t>
  </si>
  <si>
    <t xml:space="preserve">Ascendant Guardian Ram Crew</t>
  </si>
  <si>
    <t xml:space="preserve">Transcendent Guardian Ram Crew</t>
  </si>
  <si>
    <t xml:space="preserve">Mythic Guardian Ram Crew</t>
  </si>
  <si>
    <t xml:space="preserve">Refined Catapult</t>
  </si>
  <si>
    <t xml:space="preserve">Elite Catapult</t>
  </si>
  <si>
    <t xml:space="preserve">Ascendant Catapult</t>
  </si>
  <si>
    <t xml:space="preserve">Transcendent Catapult</t>
  </si>
  <si>
    <t xml:space="preserve">Mythic Catapult</t>
  </si>
  <si>
    <t xml:space="preserve">Asura Catapult</t>
  </si>
  <si>
    <t xml:space="preserve">Refined Asura Catapult</t>
  </si>
  <si>
    <t xml:space="preserve">Elite Asura Catapult</t>
  </si>
  <si>
    <t xml:space="preserve">Ascendant Asura Catapult</t>
  </si>
  <si>
    <t xml:space="preserve">Transcendent Asura Catapult</t>
  </si>
  <si>
    <t xml:space="preserve">Mythic Asura Catapult</t>
  </si>
  <si>
    <t xml:space="preserve">Guardian Catapult</t>
  </si>
  <si>
    <t xml:space="preserve">Refined Guardian Catapult</t>
  </si>
  <si>
    <t xml:space="preserve">Elite Guardian Catapult</t>
  </si>
  <si>
    <t xml:space="preserve">Ascendant Guardian Catapult</t>
  </si>
  <si>
    <t xml:space="preserve">Transcendent Guardian Catapult</t>
  </si>
  <si>
    <t xml:space="preserve">Mythic Guardian Catapult</t>
  </si>
  <si>
    <t xml:space="preserve">Refined Trebuchet</t>
  </si>
  <si>
    <t xml:space="preserve">Elite Trebuchet</t>
  </si>
  <si>
    <t xml:space="preserve">Ascendant Trebuchet</t>
  </si>
  <si>
    <t xml:space="preserve">Transcendent Trebuchet</t>
  </si>
  <si>
    <t xml:space="preserve">Mythic Trebuchet</t>
  </si>
  <si>
    <t xml:space="preserve">Asura Trebuchet</t>
  </si>
  <si>
    <t xml:space="preserve">Refined Asura Trebuchet</t>
  </si>
  <si>
    <t xml:space="preserve">Elite Asura Trebuchet</t>
  </si>
  <si>
    <t xml:space="preserve">Ascendant Asura Trebuchet</t>
  </si>
  <si>
    <t xml:space="preserve">Transcendent Asura Trebuchet</t>
  </si>
  <si>
    <t xml:space="preserve">Mythic Asura Trebuchet</t>
  </si>
  <si>
    <t xml:space="preserve">Guardian Trebuchet</t>
  </si>
  <si>
    <t xml:space="preserve">Refined Guardian Trebuchet</t>
  </si>
  <si>
    <t xml:space="preserve">Elite Guardian Trebuchet</t>
  </si>
  <si>
    <t xml:space="preserve">Ascendant Guardian Trebuchet</t>
  </si>
  <si>
    <t xml:space="preserve">Transcendent Guardian Trebuchet</t>
  </si>
  <si>
    <t xml:space="preserve">Mythic Guardian Trebuchet</t>
  </si>
  <si>
    <t xml:space="preserve">Refined Noble</t>
  </si>
  <si>
    <t xml:space="preserve">Elite Noble</t>
  </si>
  <si>
    <t xml:space="preserve">Ascendant Noble</t>
  </si>
  <si>
    <t xml:space="preserve">Transcendent Noble</t>
  </si>
  <si>
    <t xml:space="preserve">Mythic Noble</t>
  </si>
  <si>
    <t xml:space="preserve">Asura Noble</t>
  </si>
  <si>
    <t xml:space="preserve">Refined Asura Noble</t>
  </si>
  <si>
    <t xml:space="preserve">Elite Asura Noble</t>
  </si>
  <si>
    <t xml:space="preserve">Ascendant Asura Noble</t>
  </si>
  <si>
    <t xml:space="preserve">Transcendent Asura Noble</t>
  </si>
  <si>
    <t xml:space="preserve">Mythic Asura Noble</t>
  </si>
  <si>
    <t xml:space="preserve">Guardian Noble</t>
  </si>
  <si>
    <t xml:space="preserve">Refined Guardian Noble</t>
  </si>
  <si>
    <t xml:space="preserve">Elite Guardian Noble</t>
  </si>
  <si>
    <t xml:space="preserve">Ascendant Guardian Noble</t>
  </si>
  <si>
    <t xml:space="preserve">Transcendent Guardian Noble</t>
  </si>
  <si>
    <t xml:space="preserve">Mythic Guardian Noble</t>
  </si>
  <si>
    <t xml:space="preserve">Refined Spy</t>
  </si>
  <si>
    <t xml:space="preserve">Elite Spy</t>
  </si>
  <si>
    <t xml:space="preserve">Ascendant Spy</t>
  </si>
  <si>
    <t xml:space="preserve">Transcendent Spy</t>
  </si>
  <si>
    <t xml:space="preserve">Mythic Spy</t>
  </si>
  <si>
    <t xml:space="preserve">Asura Spy</t>
  </si>
  <si>
    <t xml:space="preserve">Refined Asura Spy</t>
  </si>
  <si>
    <t xml:space="preserve">Elite Asura Spy</t>
  </si>
  <si>
    <t xml:space="preserve">Ascendant Asura Spy</t>
  </si>
  <si>
    <t xml:space="preserve">Transcendent Asura Spy</t>
  </si>
  <si>
    <t xml:space="preserve">Mythic Asura Spy</t>
  </si>
  <si>
    <t xml:space="preserve">Guardian Spy</t>
  </si>
  <si>
    <t xml:space="preserve">Refined Guardian Spy</t>
  </si>
  <si>
    <t xml:space="preserve">Elite Guardian Spy</t>
  </si>
  <si>
    <t xml:space="preserve">Ascendant Guardian Spy</t>
  </si>
  <si>
    <t xml:space="preserve">Transcendent Guardian Spy</t>
  </si>
  <si>
    <t xml:space="preserve">Mythic Guardian Spy</t>
  </si>
  <si>
    <t xml:space="preserve">Refined Supply Train</t>
  </si>
  <si>
    <t xml:space="preserve">Elite Supply Train</t>
  </si>
  <si>
    <t xml:space="preserve">Ascendant Supply Train</t>
  </si>
  <si>
    <t xml:space="preserve">Transcendent Supply Train</t>
  </si>
  <si>
    <t xml:space="preserve">Mythic Supply Train</t>
  </si>
  <si>
    <t xml:space="preserve">Asura Supply Train</t>
  </si>
  <si>
    <t xml:space="preserve">Refined Asura Supply Train</t>
  </si>
  <si>
    <t xml:space="preserve">Elite Asura Supply Train</t>
  </si>
  <si>
    <t xml:space="preserve">Ascendant Asura Supply Train</t>
  </si>
  <si>
    <t xml:space="preserve">Transcendent Asura Supply Train</t>
  </si>
  <si>
    <t xml:space="preserve">Mythic Asura Supply Train</t>
  </si>
  <si>
    <t xml:space="preserve">Guardian Supply Train</t>
  </si>
  <si>
    <t xml:space="preserve">Refined Guardian Supply Train</t>
  </si>
  <si>
    <t xml:space="preserve">Elite Guardian Supply Train</t>
  </si>
  <si>
    <t xml:space="preserve">Ascendant Guardian Supply Train</t>
  </si>
  <si>
    <t xml:space="preserve">Transcendent Guardian Supply Train</t>
  </si>
  <si>
    <t xml:space="preserve">Mythic Guardian Supply Train</t>
  </si>
  <si>
    <t xml:space="preserve">Refined Halberdier</t>
  </si>
  <si>
    <t xml:space="preserve">Elite Halberdier</t>
  </si>
  <si>
    <t xml:space="preserve">Ascendant Halberdier</t>
  </si>
  <si>
    <t xml:space="preserve">Transcendent Halberdier</t>
  </si>
  <si>
    <t xml:space="preserve">Mythic Halberdier</t>
  </si>
  <si>
    <t xml:space="preserve">Asura Halberdier</t>
  </si>
  <si>
    <t xml:space="preserve">Refined Asura Halberdier</t>
  </si>
  <si>
    <t xml:space="preserve">Elite Asura Halberdier</t>
  </si>
  <si>
    <t xml:space="preserve">Ascendant Asura Halberdier</t>
  </si>
  <si>
    <t xml:space="preserve">Transcendent Asura Halberdier</t>
  </si>
  <si>
    <t xml:space="preserve">Mythic Asura Halberdier</t>
  </si>
  <si>
    <t xml:space="preserve">Guardian Halberdier</t>
  </si>
  <si>
    <t xml:space="preserve">Refined Guardian Halberdier</t>
  </si>
  <si>
    <t xml:space="preserve">Elite Guardian Halberdier</t>
  </si>
  <si>
    <t xml:space="preserve">Ascendant Guardian Halberdier</t>
  </si>
  <si>
    <t xml:space="preserve">Transcendent Guardian Halberdier</t>
  </si>
  <si>
    <t xml:space="preserve">Mythic Guardian Halberdier</t>
  </si>
  <si>
    <t xml:space="preserve">Refined Man-at-Arms</t>
  </si>
  <si>
    <t xml:space="preserve">Elite Man-at-Arms</t>
  </si>
  <si>
    <t xml:space="preserve">Ascendant Man-at-Arms</t>
  </si>
  <si>
    <t xml:space="preserve">Transcendent Man-at-Arms</t>
  </si>
  <si>
    <t xml:space="preserve">Mythic Man-at-Arms</t>
  </si>
  <si>
    <t xml:space="preserve">Asura Man-at-Arms</t>
  </si>
  <si>
    <t xml:space="preserve">Refined Asura Man-at-Arms</t>
  </si>
  <si>
    <t xml:space="preserve">Elite Asura Man-at-Arms</t>
  </si>
  <si>
    <t xml:space="preserve">Ascendant Asura Man-at-Arms</t>
  </si>
  <si>
    <t xml:space="preserve">Transcendent Asura Man-at-Arms</t>
  </si>
  <si>
    <t xml:space="preserve">Mythic Asura Man-at-Arms</t>
  </si>
  <si>
    <t xml:space="preserve">Guardian Man-at-Arms</t>
  </si>
  <si>
    <t xml:space="preserve">Refined Guardian Man-at-Arms</t>
  </si>
  <si>
    <t xml:space="preserve">Elite Guardian Man-at-Arms</t>
  </si>
  <si>
    <t xml:space="preserve">Ascendant Guardian Man-at-Arms</t>
  </si>
  <si>
    <t xml:space="preserve">Transcendent Guardian Man-at-Arms</t>
  </si>
  <si>
    <t xml:space="preserve">Mythic Guardian Man-at-Arms</t>
  </si>
  <si>
    <t xml:space="preserve">Refined Sect Disciple</t>
  </si>
  <si>
    <t xml:space="preserve">Elite Sect Disciple</t>
  </si>
  <si>
    <t xml:space="preserve">Ascendant Sect Disciple</t>
  </si>
  <si>
    <t xml:space="preserve">Transcendent Sect Disciple</t>
  </si>
  <si>
    <t xml:space="preserve">Mythic Sect Disciple</t>
  </si>
  <si>
    <t xml:space="preserve">Asura Sect Disciple</t>
  </si>
  <si>
    <t xml:space="preserve">Refined Asura Sect Disciple</t>
  </si>
  <si>
    <t xml:space="preserve">Elite Asura Sect Disciple</t>
  </si>
  <si>
    <t xml:space="preserve">Ascendant Asura Sect Disciple</t>
  </si>
  <si>
    <t xml:space="preserve">Transcendent Asura Sect Disciple</t>
  </si>
  <si>
    <t xml:space="preserve">Mythic Asura Sect Disciple</t>
  </si>
  <si>
    <t xml:space="preserve">Guardian Sect Disciple</t>
  </si>
  <si>
    <t xml:space="preserve">Refined Guardian Sect Disciple</t>
  </si>
  <si>
    <t xml:space="preserve">Elite Guardian Sect Disciple</t>
  </si>
  <si>
    <t xml:space="preserve">Ascendant Guardian Sect Disciple</t>
  </si>
  <si>
    <t xml:space="preserve">Transcendent Guardian Sect Disciple</t>
  </si>
  <si>
    <t xml:space="preserve">Mythic Guardian Sect Disciple</t>
  </si>
  <si>
    <t xml:space="preserve">Refined Array Adept</t>
  </si>
  <si>
    <t xml:space="preserve">Elite Array Adept</t>
  </si>
  <si>
    <t xml:space="preserve">Ascendant Array Adept</t>
  </si>
  <si>
    <t xml:space="preserve">Transcendent Array Adept</t>
  </si>
  <si>
    <t xml:space="preserve">Mythic Array Adept</t>
  </si>
  <si>
    <t xml:space="preserve">Asura Array Adept</t>
  </si>
  <si>
    <t xml:space="preserve">Refined Asura Array Adept</t>
  </si>
  <si>
    <t xml:space="preserve">Elite Asura Array Adept</t>
  </si>
  <si>
    <t xml:space="preserve">Ascendant Asura Array Adept</t>
  </si>
  <si>
    <t xml:space="preserve">Transcendent Asura Array Adept</t>
  </si>
  <si>
    <t xml:space="preserve">Mythic Asura Array Adept</t>
  </si>
  <si>
    <t xml:space="preserve">Guardian Array Adept</t>
  </si>
  <si>
    <t xml:space="preserve">Refined Guardian Array Adept</t>
  </si>
  <si>
    <t xml:space="preserve">Elite Guardian Array Adept</t>
  </si>
  <si>
    <t xml:space="preserve">Ascendant Guardian Array Adept</t>
  </si>
  <si>
    <t xml:space="preserve">Transcendent Guardian Array Adept</t>
  </si>
  <si>
    <t xml:space="preserve">Mythic Guardian Array Adept</t>
  </si>
  <si>
    <t xml:space="preserve">Refined Musketeer</t>
  </si>
  <si>
    <t xml:space="preserve">Elite Musketeer</t>
  </si>
  <si>
    <t xml:space="preserve">Ascendant Musketeer</t>
  </si>
  <si>
    <t xml:space="preserve">Transcendent Musketeer</t>
  </si>
  <si>
    <t xml:space="preserve">Mythic Musketeer</t>
  </si>
  <si>
    <t xml:space="preserve">Asura Musketeer</t>
  </si>
  <si>
    <t xml:space="preserve">Refined Asura Musketeer</t>
  </si>
  <si>
    <t xml:space="preserve">Elite Asura Musketeer</t>
  </si>
  <si>
    <t xml:space="preserve">Ascendant Asura Musketeer</t>
  </si>
  <si>
    <t xml:space="preserve">Transcendent Asura Musketeer</t>
  </si>
  <si>
    <t xml:space="preserve">Mythic Asura Musketeer</t>
  </si>
  <si>
    <t xml:space="preserve">Guardian Musketeer</t>
  </si>
  <si>
    <t xml:space="preserve">Refined Guardian Musketeer</t>
  </si>
  <si>
    <t xml:space="preserve">Elite Guardian Musketeer</t>
  </si>
  <si>
    <t xml:space="preserve">Ascendant Guardian Musketeer</t>
  </si>
  <si>
    <t xml:space="preserve">Transcendent Guardian Musketeer</t>
  </si>
  <si>
    <t xml:space="preserve">Mythic Guardian Musketeer</t>
  </si>
  <si>
    <t xml:space="preserve">Refined Grenadier</t>
  </si>
  <si>
    <t xml:space="preserve">Elite Grenadier</t>
  </si>
  <si>
    <t xml:space="preserve">Ascendant Grenadier</t>
  </si>
  <si>
    <t xml:space="preserve">Transcendent Grenadier</t>
  </si>
  <si>
    <t xml:space="preserve">Mythic Grenadier</t>
  </si>
  <si>
    <t xml:space="preserve">Asura Grenadier</t>
  </si>
  <si>
    <t xml:space="preserve">Refined Asura Grenadier</t>
  </si>
  <si>
    <t xml:space="preserve">Elite Asura Grenadier</t>
  </si>
  <si>
    <t xml:space="preserve">Ascendant Asura Grenadier</t>
  </si>
  <si>
    <t xml:space="preserve">Transcendent Asura Grenadier</t>
  </si>
  <si>
    <t xml:space="preserve">Mythic Asura Grenadier</t>
  </si>
  <si>
    <t xml:space="preserve">Guardian Grenadier</t>
  </si>
  <si>
    <t xml:space="preserve">Refined Guardian Grenadier</t>
  </si>
  <si>
    <t xml:space="preserve">Elite Guardian Grenadier</t>
  </si>
  <si>
    <t xml:space="preserve">Ascendant Guardian Grenadier</t>
  </si>
  <si>
    <t xml:space="preserve">Transcendent Guardian Grenadier</t>
  </si>
  <si>
    <t xml:space="preserve">Mythic Guardian Grenadier</t>
  </si>
  <si>
    <t xml:space="preserve">Refined Dragoon</t>
  </si>
  <si>
    <t xml:space="preserve">Elite Dragoon</t>
  </si>
  <si>
    <t xml:space="preserve">Ascendant Dragoon</t>
  </si>
  <si>
    <t xml:space="preserve">Transcendent Dragoon</t>
  </si>
  <si>
    <t xml:space="preserve">Mythic Dragoon</t>
  </si>
  <si>
    <t xml:space="preserve">Asura Dragoon</t>
  </si>
  <si>
    <t xml:space="preserve">Refined Asura Dragoon</t>
  </si>
  <si>
    <t xml:space="preserve">Elite Asura Dragoon</t>
  </si>
  <si>
    <t xml:space="preserve">Ascendant Asura Dragoon</t>
  </si>
  <si>
    <t xml:space="preserve">Transcendent Asura Dragoon</t>
  </si>
  <si>
    <t xml:space="preserve">Mythic Asura Dragoon</t>
  </si>
  <si>
    <t xml:space="preserve">Guardian Dragoon</t>
  </si>
  <si>
    <t xml:space="preserve">Refined Guardian Dragoon</t>
  </si>
  <si>
    <t xml:space="preserve">Elite Guardian Dragoon</t>
  </si>
  <si>
    <t xml:space="preserve">Ascendant Guardian Dragoon</t>
  </si>
  <si>
    <t xml:space="preserve">Transcendent Guardian Dragoon</t>
  </si>
  <si>
    <t xml:space="preserve">Mythic Guardian Dragoon</t>
  </si>
  <si>
    <t xml:space="preserve">Refined Cuirassier</t>
  </si>
  <si>
    <t xml:space="preserve">Elite Cuirassier</t>
  </si>
  <si>
    <t xml:space="preserve">Ascendant Cuirassier</t>
  </si>
  <si>
    <t xml:space="preserve">Transcendent Cuirassier</t>
  </si>
  <si>
    <t xml:space="preserve">Mythic Cuirassier</t>
  </si>
  <si>
    <t xml:space="preserve">Asura Cuirassier</t>
  </si>
  <si>
    <t xml:space="preserve">Refined Asura Cuirassier</t>
  </si>
  <si>
    <t xml:space="preserve">Elite Asura Cuirassier</t>
  </si>
  <si>
    <t xml:space="preserve">Ascendant Asura Cuirassier</t>
  </si>
  <si>
    <t xml:space="preserve">Transcendent Asura Cuirassier</t>
  </si>
  <si>
    <t xml:space="preserve">Mythic Asura Cuirassier</t>
  </si>
  <si>
    <t xml:space="preserve">Guardian Cuirassier</t>
  </si>
  <si>
    <t xml:space="preserve">Refined Guardian Cuirassier</t>
  </si>
  <si>
    <t xml:space="preserve">Elite Guardian Cuirassier</t>
  </si>
  <si>
    <t xml:space="preserve">Ascendant Guardian Cuirassier</t>
  </si>
  <si>
    <t xml:space="preserve">Transcendent Guardian Cuirassier</t>
  </si>
  <si>
    <t xml:space="preserve">Mythic Guardian Cuirassier</t>
  </si>
  <si>
    <t xml:space="preserve">Refined Field Cannon</t>
  </si>
  <si>
    <t xml:space="preserve">Elite Field Cannon</t>
  </si>
  <si>
    <t xml:space="preserve">Ascendant Field Cannon</t>
  </si>
  <si>
    <t xml:space="preserve">Transcendent Field Cannon</t>
  </si>
  <si>
    <t xml:space="preserve">Mythic Field Cannon</t>
  </si>
  <si>
    <t xml:space="preserve">Asura Field Cannon</t>
  </si>
  <si>
    <t xml:space="preserve">Refined Asura Field Cannon</t>
  </si>
  <si>
    <t xml:space="preserve">Elite Asura Field Cannon</t>
  </si>
  <si>
    <t xml:space="preserve">Ascendant Asura Field Cannon</t>
  </si>
  <si>
    <t xml:space="preserve">Transcendent Asura Field Cannon</t>
  </si>
  <si>
    <t xml:space="preserve">Mythic Asura Field Cannon</t>
  </si>
  <si>
    <t xml:space="preserve">Guardian Field Cannon</t>
  </si>
  <si>
    <t xml:space="preserve">Refined Guardian Field Cannon</t>
  </si>
  <si>
    <t xml:space="preserve">Elite Guardian Field Cannon</t>
  </si>
  <si>
    <t xml:space="preserve">Ascendant Guardian Field Cannon</t>
  </si>
  <si>
    <t xml:space="preserve">Transcendent Guardian Field Cannon</t>
  </si>
  <si>
    <t xml:space="preserve">Mythic Guardian Field Cannon</t>
  </si>
  <si>
    <t xml:space="preserve">Refined Siege Mortar</t>
  </si>
  <si>
    <t xml:space="preserve">Elite Siege Mortar</t>
  </si>
  <si>
    <t xml:space="preserve">Ascendant Siege Mortar</t>
  </si>
  <si>
    <t xml:space="preserve">Transcendent Siege Mortar</t>
  </si>
  <si>
    <t xml:space="preserve">Mythic Siege Mortar</t>
  </si>
  <si>
    <t xml:space="preserve">Asura Siege Mortar</t>
  </si>
  <si>
    <t xml:space="preserve">Refined Asura Siege Mortar</t>
  </si>
  <si>
    <t xml:space="preserve">Elite Asura Siege Mortar</t>
  </si>
  <si>
    <t xml:space="preserve">Ascendant Asura Siege Mortar</t>
  </si>
  <si>
    <t xml:space="preserve">Transcendent Asura Siege Mortar</t>
  </si>
  <si>
    <t xml:space="preserve">Mythic Asura Siege Mortar</t>
  </si>
  <si>
    <t xml:space="preserve">Guardian Siege Mortar</t>
  </si>
  <si>
    <t xml:space="preserve">Refined Guardian Siege Mortar</t>
  </si>
  <si>
    <t xml:space="preserve">Elite Guardian Siege Mortar</t>
  </si>
  <si>
    <t xml:space="preserve">Ascendant Guardian Siege Mortar</t>
  </si>
  <si>
    <t xml:space="preserve">Transcendent Guardian Siege Mortar</t>
  </si>
  <si>
    <t xml:space="preserve">Mythic Guardian Siege Mortar</t>
  </si>
  <si>
    <t xml:space="preserve">Refined Sapper</t>
  </si>
  <si>
    <t xml:space="preserve">Elite Sapper</t>
  </si>
  <si>
    <t xml:space="preserve">Ascendant Sapper</t>
  </si>
  <si>
    <t xml:space="preserve">Transcendent Sapper</t>
  </si>
  <si>
    <t xml:space="preserve">Mythic Sapper</t>
  </si>
  <si>
    <t xml:space="preserve">Asura Sapper</t>
  </si>
  <si>
    <t xml:space="preserve">Refined Asura Sapper</t>
  </si>
  <si>
    <t xml:space="preserve">Elite Asura Sapper</t>
  </si>
  <si>
    <t xml:space="preserve">Ascendant Asura Sapper</t>
  </si>
  <si>
    <t xml:space="preserve">Transcendent Asura Sapper</t>
  </si>
  <si>
    <t xml:space="preserve">Mythic Asura Sapper</t>
  </si>
  <si>
    <t xml:space="preserve">Guardian Sapper</t>
  </si>
  <si>
    <t xml:space="preserve">Refined Guardian Sapper</t>
  </si>
  <si>
    <t xml:space="preserve">Elite Guardian Sapper</t>
  </si>
  <si>
    <t xml:space="preserve">Ascendant Guardian Sapper</t>
  </si>
  <si>
    <t xml:space="preserve">Transcendent Guardian Sapper</t>
  </si>
  <si>
    <t xml:space="preserve">Mythic Guardian Sapper</t>
  </si>
  <si>
    <t xml:space="preserve">Refined Governor</t>
  </si>
  <si>
    <t xml:space="preserve">Elite Governor</t>
  </si>
  <si>
    <t xml:space="preserve">Ascendant Governor</t>
  </si>
  <si>
    <t xml:space="preserve">Transcendent Governor</t>
  </si>
  <si>
    <t xml:space="preserve">Mythic Governor</t>
  </si>
  <si>
    <t xml:space="preserve">Asura Governor</t>
  </si>
  <si>
    <t xml:space="preserve">Refined Asura Governor</t>
  </si>
  <si>
    <t xml:space="preserve">Elite Asura Governor</t>
  </si>
  <si>
    <t xml:space="preserve">Ascendant Asura Governor</t>
  </si>
  <si>
    <t xml:space="preserve">Transcendent Asura Governor</t>
  </si>
  <si>
    <t xml:space="preserve">Mythic Asura Governor</t>
  </si>
  <si>
    <t xml:space="preserve">Guardian Governor</t>
  </si>
  <si>
    <t xml:space="preserve">Refined Guardian Governor</t>
  </si>
  <si>
    <t xml:space="preserve">Elite Guardian Governor</t>
  </si>
  <si>
    <t xml:space="preserve">Ascendant Guardian Governor</t>
  </si>
  <si>
    <t xml:space="preserve">Transcendent Guardian Governor</t>
  </si>
  <si>
    <t xml:space="preserve">Mythic Guardian Governor</t>
  </si>
  <si>
    <t xml:space="preserve">Refined Privateer</t>
  </si>
  <si>
    <t xml:space="preserve">Elite Privateer</t>
  </si>
  <si>
    <t xml:space="preserve">Ascendant Privateer</t>
  </si>
  <si>
    <t xml:space="preserve">Transcendent Privateer</t>
  </si>
  <si>
    <t xml:space="preserve">Mythic Privateer</t>
  </si>
  <si>
    <t xml:space="preserve">Asura Privateer</t>
  </si>
  <si>
    <t xml:space="preserve">Refined Asura Privateer</t>
  </si>
  <si>
    <t xml:space="preserve">Elite Asura Privateer</t>
  </si>
  <si>
    <t xml:space="preserve">Ascendant Asura Privateer</t>
  </si>
  <si>
    <t xml:space="preserve">Transcendent Asura Privateer</t>
  </si>
  <si>
    <t xml:space="preserve">Mythic Asura Privateer</t>
  </si>
  <si>
    <t xml:space="preserve">Guardian Privateer</t>
  </si>
  <si>
    <t xml:space="preserve">Refined Guardian Privateer</t>
  </si>
  <si>
    <t xml:space="preserve">Elite Guardian Privateer</t>
  </si>
  <si>
    <t xml:space="preserve">Ascendant Guardian Privateer</t>
  </si>
  <si>
    <t xml:space="preserve">Transcendent Guardian Privateer</t>
  </si>
  <si>
    <t xml:space="preserve">Mythic Guardian Privateer</t>
  </si>
  <si>
    <t xml:space="preserve">Refined Sloop</t>
  </si>
  <si>
    <t xml:space="preserve">Elite Sloop</t>
  </si>
  <si>
    <t xml:space="preserve">Ascendant Sloop</t>
  </si>
  <si>
    <t xml:space="preserve">Transcendent Sloop</t>
  </si>
  <si>
    <t xml:space="preserve">Mythic Sloop</t>
  </si>
  <si>
    <t xml:space="preserve">Asura Sloop</t>
  </si>
  <si>
    <t xml:space="preserve">Refined Asura Sloop</t>
  </si>
  <si>
    <t xml:space="preserve">Elite Asura Sloop</t>
  </si>
  <si>
    <t xml:space="preserve">Ascendant Asura Sloop</t>
  </si>
  <si>
    <t xml:space="preserve">Transcendent Asura Sloop</t>
  </si>
  <si>
    <t xml:space="preserve">Mythic Asura Sloop</t>
  </si>
  <si>
    <t xml:space="preserve">Guardian Sloop</t>
  </si>
  <si>
    <t xml:space="preserve">Refined Guardian Sloop</t>
  </si>
  <si>
    <t xml:space="preserve">Elite Guardian Sloop</t>
  </si>
  <si>
    <t xml:space="preserve">Ascendant Guardian Sloop</t>
  </si>
  <si>
    <t xml:space="preserve">Transcendent Guardian Sloop</t>
  </si>
  <si>
    <t xml:space="preserve">Mythic Guardian Sloop</t>
  </si>
  <si>
    <t xml:space="preserve">Refined Frigate</t>
  </si>
  <si>
    <t xml:space="preserve">Elite Frigate</t>
  </si>
  <si>
    <t xml:space="preserve">Ascendant Frigate</t>
  </si>
  <si>
    <t xml:space="preserve">Transcendent Frigate</t>
  </si>
  <si>
    <t xml:space="preserve">Mythic Frigate</t>
  </si>
  <si>
    <t xml:space="preserve">Asura Frigate</t>
  </si>
  <si>
    <t xml:space="preserve">Refined Asura Frigate</t>
  </si>
  <si>
    <t xml:space="preserve">Elite Asura Frigate</t>
  </si>
  <si>
    <t xml:space="preserve">Ascendant Asura Frigate</t>
  </si>
  <si>
    <t xml:space="preserve">Transcendent Asura Frigate</t>
  </si>
  <si>
    <t xml:space="preserve">Mythic Asura Frigate</t>
  </si>
  <si>
    <t xml:space="preserve">Guardian Frigate</t>
  </si>
  <si>
    <t xml:space="preserve">Refined Guardian Frigate</t>
  </si>
  <si>
    <t xml:space="preserve">Elite Guardian Frigate</t>
  </si>
  <si>
    <t xml:space="preserve">Ascendant Guardian Frigate</t>
  </si>
  <si>
    <t xml:space="preserve">Transcendent Guardian Frigate</t>
  </si>
  <si>
    <t xml:space="preserve">Mythic Guardian Frigate</t>
  </si>
  <si>
    <t xml:space="preserve">Refined Galleon</t>
  </si>
  <si>
    <t xml:space="preserve">Elite Galleon</t>
  </si>
  <si>
    <t xml:space="preserve">Ascendant Galleon</t>
  </si>
  <si>
    <t xml:space="preserve">Transcendent Galleon</t>
  </si>
  <si>
    <t xml:space="preserve">Mythic Galleon</t>
  </si>
  <si>
    <t xml:space="preserve">Asura Galleon</t>
  </si>
  <si>
    <t xml:space="preserve">Refined Asura Galleon</t>
  </si>
  <si>
    <t xml:space="preserve">Elite Asura Galleon</t>
  </si>
  <si>
    <t xml:space="preserve">Ascendant Asura Galleon</t>
  </si>
  <si>
    <t xml:space="preserve">Transcendent Asura Galleon</t>
  </si>
  <si>
    <t xml:space="preserve">Mythic Asura Galleon</t>
  </si>
  <si>
    <t xml:space="preserve">Guardian Galleon</t>
  </si>
  <si>
    <t xml:space="preserve">Refined Guardian Galleon</t>
  </si>
  <si>
    <t xml:space="preserve">Elite Guardian Galleon</t>
  </si>
  <si>
    <t xml:space="preserve">Ascendant Guardian Galleon</t>
  </si>
  <si>
    <t xml:space="preserve">Transcendent Guardian Galleon</t>
  </si>
  <si>
    <t xml:space="preserve">Mythic Guardian Galleon</t>
  </si>
  <si>
    <t xml:space="preserve">Refined Ship of the Line</t>
  </si>
  <si>
    <t xml:space="preserve">Elite Ship of the Line</t>
  </si>
  <si>
    <t xml:space="preserve">Ascendant Ship of the Line</t>
  </si>
  <si>
    <t xml:space="preserve">Transcendent Ship of the Line</t>
  </si>
  <si>
    <t xml:space="preserve">Mythic Ship of the Line</t>
  </si>
  <si>
    <t xml:space="preserve">Asura Ship of the Line</t>
  </si>
  <si>
    <t xml:space="preserve">Refined Asura Ship of the Line</t>
  </si>
  <si>
    <t xml:space="preserve">Elite Asura Ship of the Line</t>
  </si>
  <si>
    <t xml:space="preserve">Ascendant Asura Ship of the Line</t>
  </si>
  <si>
    <t xml:space="preserve">Transcendent Asura Ship of the Line</t>
  </si>
  <si>
    <t xml:space="preserve">Mythic Asura Ship of the Line</t>
  </si>
  <si>
    <t xml:space="preserve">Guardian Ship of the Line</t>
  </si>
  <si>
    <t xml:space="preserve">Refined Guardian Ship of the Line</t>
  </si>
  <si>
    <t xml:space="preserve">Elite Guardian Ship of the Line</t>
  </si>
  <si>
    <t xml:space="preserve">Ascendant Guardian Ship of the Line</t>
  </si>
  <si>
    <t xml:space="preserve">Transcendent Guardian Ship of the Line</t>
  </si>
  <si>
    <t xml:space="preserve">Mythic Guardian Ship of the Line</t>
  </si>
  <si>
    <t xml:space="preserve">Refined Fireship</t>
  </si>
  <si>
    <t xml:space="preserve">Elite Fireship</t>
  </si>
  <si>
    <t xml:space="preserve">Ascendant Fireship</t>
  </si>
  <si>
    <t xml:space="preserve">Transcendent Fireship</t>
  </si>
  <si>
    <t xml:space="preserve">Mythic Fireship</t>
  </si>
  <si>
    <t xml:space="preserve">Asura Fireship</t>
  </si>
  <si>
    <t xml:space="preserve">Refined Asura Fireship</t>
  </si>
  <si>
    <t xml:space="preserve">Elite Asura Fireship</t>
  </si>
  <si>
    <t xml:space="preserve">Ascendant Asura Fireship</t>
  </si>
  <si>
    <t xml:space="preserve">Transcendent Asura Fireship</t>
  </si>
  <si>
    <t xml:space="preserve">Mythic Asura Fireship</t>
  </si>
  <si>
    <t xml:space="preserve">Guardian Fireship</t>
  </si>
  <si>
    <t xml:space="preserve">Refined Guardian Fireship</t>
  </si>
  <si>
    <t xml:space="preserve">Elite Guardian Fireship</t>
  </si>
  <si>
    <t xml:space="preserve">Ascendant Guardian Fireship</t>
  </si>
  <si>
    <t xml:space="preserve">Transcendent Guardian Fireship</t>
  </si>
  <si>
    <t xml:space="preserve">Mythic Guardian Fireship</t>
  </si>
  <si>
    <t xml:space="preserve">Refined Colonist</t>
  </si>
  <si>
    <t xml:space="preserve">Elite Colonist</t>
  </si>
  <si>
    <t xml:space="preserve">Ascendant Colonist</t>
  </si>
  <si>
    <t xml:space="preserve">Transcendent Colonist</t>
  </si>
  <si>
    <t xml:space="preserve">Mythic Colonist</t>
  </si>
  <si>
    <t xml:space="preserve">Asura Colonist</t>
  </si>
  <si>
    <t xml:space="preserve">Refined Asura Colonist</t>
  </si>
  <si>
    <t xml:space="preserve">Elite Asura Colonist</t>
  </si>
  <si>
    <t xml:space="preserve">Ascendant Asura Colonist</t>
  </si>
  <si>
    <t xml:space="preserve">Transcendent Asura Colonist</t>
  </si>
  <si>
    <t xml:space="preserve">Mythic Asura Colonist</t>
  </si>
  <si>
    <t xml:space="preserve">Guardian Colonist</t>
  </si>
  <si>
    <t xml:space="preserve">Refined Guardian Colonist</t>
  </si>
  <si>
    <t xml:space="preserve">Elite Guardian Colonist</t>
  </si>
  <si>
    <t xml:space="preserve">Ascendant Guardian Colonist</t>
  </si>
  <si>
    <t xml:space="preserve">Transcendent Guardian Colonist</t>
  </si>
  <si>
    <t xml:space="preserve">Mythic Guardian Colonist</t>
  </si>
  <si>
    <t xml:space="preserve">Refined Emissary</t>
  </si>
  <si>
    <t xml:space="preserve">Elite Emissary</t>
  </si>
  <si>
    <t xml:space="preserve">Ascendant Emissary</t>
  </si>
  <si>
    <t xml:space="preserve">Transcendent Emissary</t>
  </si>
  <si>
    <t xml:space="preserve">Mythic Emissary</t>
  </si>
  <si>
    <t xml:space="preserve">Asura Emissary</t>
  </si>
  <si>
    <t xml:space="preserve">Refined Asura Emissary</t>
  </si>
  <si>
    <t xml:space="preserve">Elite Asura Emissary</t>
  </si>
  <si>
    <t xml:space="preserve">Ascendant Asura Emissary</t>
  </si>
  <si>
    <t xml:space="preserve">Transcendent Asura Emissary</t>
  </si>
  <si>
    <t xml:space="preserve">Mythic Asura Emissary</t>
  </si>
  <si>
    <t xml:space="preserve">Guardian Emissary</t>
  </si>
  <si>
    <t xml:space="preserve">Refined Guardian Emissary</t>
  </si>
  <si>
    <t xml:space="preserve">Elite Guardian Emissary</t>
  </si>
  <si>
    <t xml:space="preserve">Ascendant Guardian Emissary</t>
  </si>
  <si>
    <t xml:space="preserve">Transcendent Guardian Emissary</t>
  </si>
  <si>
    <t xml:space="preserve">Mythic Guardian Emissary</t>
  </si>
  <si>
    <t xml:space="preserve">Refined Pill-Fed Vanguard</t>
  </si>
  <si>
    <t xml:space="preserve">Elite Pill-Fed Vanguard</t>
  </si>
  <si>
    <t xml:space="preserve">Ascendant Pill-Fed Vanguard</t>
  </si>
  <si>
    <t xml:space="preserve">Transcendent Pill-Fed Vanguard</t>
  </si>
  <si>
    <t xml:space="preserve">Mythic Pill-Fed Vanguard</t>
  </si>
  <si>
    <t xml:space="preserve">Asura Pill-Fed Vanguard</t>
  </si>
  <si>
    <t xml:space="preserve">Refined Asura Pill-Fed Vanguard</t>
  </si>
  <si>
    <t xml:space="preserve">Elite Asura Pill-Fed Vanguard</t>
  </si>
  <si>
    <t xml:space="preserve">Ascendant Asura Pill-Fed Vanguard</t>
  </si>
  <si>
    <t xml:space="preserve">Transcendent Asura Pill-Fed Vanguard</t>
  </si>
  <si>
    <t xml:space="preserve">Mythic Asura Pill-Fed Vanguard</t>
  </si>
  <si>
    <t xml:space="preserve">Guardian Pill-Fed Vanguard</t>
  </si>
  <si>
    <t xml:space="preserve">Refined Guardian Pill-Fed Vanguard</t>
  </si>
  <si>
    <t xml:space="preserve">Elite Guardian Pill-Fed Vanguard</t>
  </si>
  <si>
    <t xml:space="preserve">Ascendant Guardian Pill-Fed Vanguard</t>
  </si>
  <si>
    <t xml:space="preserve">Transcendent Guardian Pill-Fed Vanguard</t>
  </si>
  <si>
    <t xml:space="preserve">Mythic Guardian Pill-Fed Vanguard</t>
  </si>
  <si>
    <t xml:space="preserve">Refined Talisman Corps</t>
  </si>
  <si>
    <t xml:space="preserve">Elite Talisman Corps</t>
  </si>
  <si>
    <t xml:space="preserve">Ascendant Talisman Corps</t>
  </si>
  <si>
    <t xml:space="preserve">Transcendent Talisman Corps</t>
  </si>
  <si>
    <t xml:space="preserve">Mythic Talisman Corps</t>
  </si>
  <si>
    <t xml:space="preserve">Asura Talisman Corps</t>
  </si>
  <si>
    <t xml:space="preserve">Refined Asura Talisman Corps</t>
  </si>
  <si>
    <t xml:space="preserve">Elite Asura Talisman Corps</t>
  </si>
  <si>
    <t xml:space="preserve">Ascendant Asura Talisman Corps</t>
  </si>
  <si>
    <t xml:space="preserve">Transcendent Asura Talisman Corps</t>
  </si>
  <si>
    <t xml:space="preserve">Mythic Asura Talisman Corps</t>
  </si>
  <si>
    <t xml:space="preserve">Guardian Talisman Corps</t>
  </si>
  <si>
    <t xml:space="preserve">Refined Guardian Talisman Corps</t>
  </si>
  <si>
    <t xml:space="preserve">Elite Guardian Talisman Corps</t>
  </si>
  <si>
    <t xml:space="preserve">Ascendant Guardian Talisman Corps</t>
  </si>
  <si>
    <t xml:space="preserve">Transcendent Guardian Talisman Corps</t>
  </si>
  <si>
    <t xml:space="preserve">Mythic Guardian Talisman Corps</t>
  </si>
  <si>
    <t xml:space="preserve">Refined Rifle Infantry</t>
  </si>
  <si>
    <t xml:space="preserve">Elite Rifle Infantry</t>
  </si>
  <si>
    <t xml:space="preserve">Ascendant Rifle Infantry</t>
  </si>
  <si>
    <t xml:space="preserve">Transcendent Rifle Infantry</t>
  </si>
  <si>
    <t xml:space="preserve">Mythic Rifle Infantry</t>
  </si>
  <si>
    <t xml:space="preserve">Asura Rifle Infantry</t>
  </si>
  <si>
    <t xml:space="preserve">Refined Asura Rifle Infantry</t>
  </si>
  <si>
    <t xml:space="preserve">Elite Asura Rifle Infantry</t>
  </si>
  <si>
    <t xml:space="preserve">Ascendant Asura Rifle Infantry</t>
  </si>
  <si>
    <t xml:space="preserve">Transcendent Asura Rifle Infantry</t>
  </si>
  <si>
    <t xml:space="preserve">Mythic Asura Rifle Infantry</t>
  </si>
  <si>
    <t xml:space="preserve">Guardian Rifle Infantry</t>
  </si>
  <si>
    <t xml:space="preserve">Refined Guardian Rifle Infantry</t>
  </si>
  <si>
    <t xml:space="preserve">Elite Guardian Rifle Infantry</t>
  </si>
  <si>
    <t xml:space="preserve">Ascendant Guardian Rifle Infantry</t>
  </si>
  <si>
    <t xml:space="preserve">Transcendent Guardian Rifle Infantry</t>
  </si>
  <si>
    <t xml:space="preserve">Mythic Guardian Rifle Infantry</t>
  </si>
  <si>
    <t xml:space="preserve">Refined MG Team</t>
  </si>
  <si>
    <t xml:space="preserve">Elite MG Team</t>
  </si>
  <si>
    <t xml:space="preserve">Ascendant MG Team</t>
  </si>
  <si>
    <t xml:space="preserve">Transcendent MG Team</t>
  </si>
  <si>
    <t xml:space="preserve">Mythic MG Team</t>
  </si>
  <si>
    <t xml:space="preserve">Asura MG Team</t>
  </si>
  <si>
    <t xml:space="preserve">Refined Asura MG Team</t>
  </si>
  <si>
    <t xml:space="preserve">Elite Asura MG Team</t>
  </si>
  <si>
    <t xml:space="preserve">Ascendant Asura MG Team</t>
  </si>
  <si>
    <t xml:space="preserve">Transcendent Asura MG Team</t>
  </si>
  <si>
    <t xml:space="preserve">Mythic Asura MG Team</t>
  </si>
  <si>
    <t xml:space="preserve">Guardian MG Team</t>
  </si>
  <si>
    <t xml:space="preserve">Refined Guardian MG Team</t>
  </si>
  <si>
    <t xml:space="preserve">Elite Guardian MG Team</t>
  </si>
  <si>
    <t xml:space="preserve">Ascendant Guardian MG Team</t>
  </si>
  <si>
    <t xml:space="preserve">Transcendent Guardian MG Team</t>
  </si>
  <si>
    <t xml:space="preserve">Mythic Guardian MG Team</t>
  </si>
  <si>
    <t xml:space="preserve">Refined Assault Infantry</t>
  </si>
  <si>
    <t xml:space="preserve">Elite Assault Infantry</t>
  </si>
  <si>
    <t xml:space="preserve">Ascendant Assault Infantry</t>
  </si>
  <si>
    <t xml:space="preserve">Transcendent Assault Infantry</t>
  </si>
  <si>
    <t xml:space="preserve">Mythic Assault Infantry</t>
  </si>
  <si>
    <t xml:space="preserve">Asura Assault Infantry</t>
  </si>
  <si>
    <t xml:space="preserve">Refined Asura Assault Infantry</t>
  </si>
  <si>
    <t xml:space="preserve">Elite Asura Assault Infantry</t>
  </si>
  <si>
    <t xml:space="preserve">Ascendant Asura Assault Infantry</t>
  </si>
  <si>
    <t xml:space="preserve">Transcendent Asura Assault Infantry</t>
  </si>
  <si>
    <t xml:space="preserve">Mythic Asura Assault Infantry</t>
  </si>
  <si>
    <t xml:space="preserve">Guardian Assault Infantry</t>
  </si>
  <si>
    <t xml:space="preserve">Refined Guardian Assault Infantry</t>
  </si>
  <si>
    <t xml:space="preserve">Elite Guardian Assault Infantry</t>
  </si>
  <si>
    <t xml:space="preserve">Ascendant Guardian Assault Infantry</t>
  </si>
  <si>
    <t xml:space="preserve">Transcendent Guardian Assault Infantry</t>
  </si>
  <si>
    <t xml:space="preserve">Mythic Guardian Assault Infantry</t>
  </si>
  <si>
    <t xml:space="preserve">Refined AT Infantry</t>
  </si>
  <si>
    <t xml:space="preserve">Elite AT Infantry</t>
  </si>
  <si>
    <t xml:space="preserve">Ascendant AT Infantry</t>
  </si>
  <si>
    <t xml:space="preserve">Transcendent AT Infantry</t>
  </si>
  <si>
    <t xml:space="preserve">Mythic AT Infantry</t>
  </si>
  <si>
    <t xml:space="preserve">Asura AT Infantry</t>
  </si>
  <si>
    <t xml:space="preserve">Refined Asura AT Infantry</t>
  </si>
  <si>
    <t xml:space="preserve">Elite Asura AT Infantry</t>
  </si>
  <si>
    <t xml:space="preserve">Ascendant Asura AT Infantry</t>
  </si>
  <si>
    <t xml:space="preserve">Transcendent Asura AT Infantry</t>
  </si>
  <si>
    <t xml:space="preserve">Mythic Asura AT Infantry</t>
  </si>
  <si>
    <t xml:space="preserve">Guardian AT Infantry</t>
  </si>
  <si>
    <t xml:space="preserve">Refined Guardian AT Infantry</t>
  </si>
  <si>
    <t xml:space="preserve">Elite Guardian AT Infantry</t>
  </si>
  <si>
    <t xml:space="preserve">Ascendant Guardian AT Infantry</t>
  </si>
  <si>
    <t xml:space="preserve">Transcendent Guardian AT Infantry</t>
  </si>
  <si>
    <t xml:space="preserve">Mythic Guardian AT Infantry</t>
  </si>
  <si>
    <t xml:space="preserve">Refined Engineer</t>
  </si>
  <si>
    <t xml:space="preserve">Elite Engineer</t>
  </si>
  <si>
    <t xml:space="preserve">Ascendant Engineer</t>
  </si>
  <si>
    <t xml:space="preserve">Transcendent Engineer</t>
  </si>
  <si>
    <t xml:space="preserve">Mythic Engineer</t>
  </si>
  <si>
    <t xml:space="preserve">Asura Engineer</t>
  </si>
  <si>
    <t xml:space="preserve">Refined Asura Engineer</t>
  </si>
  <si>
    <t xml:space="preserve">Elite Asura Engineer</t>
  </si>
  <si>
    <t xml:space="preserve">Ascendant Asura Engineer</t>
  </si>
  <si>
    <t xml:space="preserve">Transcendent Asura Engineer</t>
  </si>
  <si>
    <t xml:space="preserve">Mythic Asura Engineer</t>
  </si>
  <si>
    <t xml:space="preserve">Guardian Engineer</t>
  </si>
  <si>
    <t xml:space="preserve">Refined Guardian Engineer</t>
  </si>
  <si>
    <t xml:space="preserve">Elite Guardian Engineer</t>
  </si>
  <si>
    <t xml:space="preserve">Ascendant Guardian Engineer</t>
  </si>
  <si>
    <t xml:space="preserve">Transcendent Guardian Engineer</t>
  </si>
  <si>
    <t xml:space="preserve">Mythic Guardian Engineer</t>
  </si>
  <si>
    <t xml:space="preserve">Refined Sniper Team</t>
  </si>
  <si>
    <t xml:space="preserve">Elite Sniper Team</t>
  </si>
  <si>
    <t xml:space="preserve">Ascendant Sniper Team</t>
  </si>
  <si>
    <t xml:space="preserve">Transcendent Sniper Team</t>
  </si>
  <si>
    <t xml:space="preserve">Mythic Sniper Team</t>
  </si>
  <si>
    <t xml:space="preserve">Asura Sniper Team</t>
  </si>
  <si>
    <t xml:space="preserve">Refined Asura Sniper Team</t>
  </si>
  <si>
    <t xml:space="preserve">Elite Asura Sniper Team</t>
  </si>
  <si>
    <t xml:space="preserve">Ascendant Asura Sniper Team</t>
  </si>
  <si>
    <t xml:space="preserve">Transcendent Asura Sniper Team</t>
  </si>
  <si>
    <t xml:space="preserve">Mythic Asura Sniper Team</t>
  </si>
  <si>
    <t xml:space="preserve">Guardian Sniper Team</t>
  </si>
  <si>
    <t xml:space="preserve">Refined Guardian Sniper Team</t>
  </si>
  <si>
    <t xml:space="preserve">Elite Guardian Sniper Team</t>
  </si>
  <si>
    <t xml:space="preserve">Ascendant Guardian Sniper Team</t>
  </si>
  <si>
    <t xml:space="preserve">Transcendent Guardian Sniper Team</t>
  </si>
  <si>
    <t xml:space="preserve">Mythic Guardian Sniper Team</t>
  </si>
  <si>
    <t xml:space="preserve">Refined Paratrooper</t>
  </si>
  <si>
    <t xml:space="preserve">Elite Paratrooper</t>
  </si>
  <si>
    <t xml:space="preserve">Ascendant Paratrooper</t>
  </si>
  <si>
    <t xml:space="preserve">Transcendent Paratrooper</t>
  </si>
  <si>
    <t xml:space="preserve">Mythic Paratrooper</t>
  </si>
  <si>
    <t xml:space="preserve">Asura Paratrooper</t>
  </si>
  <si>
    <t xml:space="preserve">Refined Asura Paratrooper</t>
  </si>
  <si>
    <t xml:space="preserve">Elite Asura Paratrooper</t>
  </si>
  <si>
    <t xml:space="preserve">Ascendant Asura Paratrooper</t>
  </si>
  <si>
    <t xml:space="preserve">Transcendent Asura Paratrooper</t>
  </si>
  <si>
    <t xml:space="preserve">Mythic Asura Paratrooper</t>
  </si>
  <si>
    <t xml:space="preserve">Guardian Paratrooper</t>
  </si>
  <si>
    <t xml:space="preserve">Refined Guardian Paratrooper</t>
  </si>
  <si>
    <t xml:space="preserve">Elite Guardian Paratrooper</t>
  </si>
  <si>
    <t xml:space="preserve">Ascendant Guardian Paratrooper</t>
  </si>
  <si>
    <t xml:space="preserve">Transcendent Guardian Paratrooper</t>
  </si>
  <si>
    <t xml:space="preserve">Mythic Guardian Paratrooper</t>
  </si>
  <si>
    <t xml:space="preserve">Refined Armored Car</t>
  </si>
  <si>
    <t xml:space="preserve">Elite Armored Car</t>
  </si>
  <si>
    <t xml:space="preserve">Ascendant Armored Car</t>
  </si>
  <si>
    <t xml:space="preserve">Transcendent Armored Car</t>
  </si>
  <si>
    <t xml:space="preserve">Mythic Armored Car</t>
  </si>
  <si>
    <t xml:space="preserve">Asura Armored Car</t>
  </si>
  <si>
    <t xml:space="preserve">Refined Asura Armored Car</t>
  </si>
  <si>
    <t xml:space="preserve">Elite Asura Armored Car</t>
  </si>
  <si>
    <t xml:space="preserve">Ascendant Asura Armored Car</t>
  </si>
  <si>
    <t xml:space="preserve">Transcendent Asura Armored Car</t>
  </si>
  <si>
    <t xml:space="preserve">Mythic Asura Armored Car</t>
  </si>
  <si>
    <t xml:space="preserve">Guardian Armored Car</t>
  </si>
  <si>
    <t xml:space="preserve">Refined Guardian Armored Car</t>
  </si>
  <si>
    <t xml:space="preserve">Elite Guardian Armored Car</t>
  </si>
  <si>
    <t xml:space="preserve">Ascendant Guardian Armored Car</t>
  </si>
  <si>
    <t xml:space="preserve">Transcendent Guardian Armored Car</t>
  </si>
  <si>
    <t xml:space="preserve">Mythic Guardian Armored Car</t>
  </si>
  <si>
    <t xml:space="preserve">Refined Light Tank</t>
  </si>
  <si>
    <t xml:space="preserve">Elite Light Tank</t>
  </si>
  <si>
    <t xml:space="preserve">Ascendant Light Tank</t>
  </si>
  <si>
    <t xml:space="preserve">Transcendent Light Tank</t>
  </si>
  <si>
    <t xml:space="preserve">Mythic Light Tank</t>
  </si>
  <si>
    <t xml:space="preserve">Asura Light Tank</t>
  </si>
  <si>
    <t xml:space="preserve">Refined Asura Light Tank</t>
  </si>
  <si>
    <t xml:space="preserve">Elite Asura Light Tank</t>
  </si>
  <si>
    <t xml:space="preserve">Ascendant Asura Light Tank</t>
  </si>
  <si>
    <t xml:space="preserve">Transcendent Asura Light Tank</t>
  </si>
  <si>
    <t xml:space="preserve">Mythic Asura Light Tank</t>
  </si>
  <si>
    <t xml:space="preserve">Guardian Light Tank</t>
  </si>
  <si>
    <t xml:space="preserve">Refined Guardian Light Tank</t>
  </si>
  <si>
    <t xml:space="preserve">Elite Guardian Light Tank</t>
  </si>
  <si>
    <t xml:space="preserve">Ascendant Guardian Light Tank</t>
  </si>
  <si>
    <t xml:space="preserve">Transcendent Guardian Light Tank</t>
  </si>
  <si>
    <t xml:space="preserve">Mythic Guardian Light Tank</t>
  </si>
  <si>
    <t xml:space="preserve">Refined Heavy Tank</t>
  </si>
  <si>
    <t xml:space="preserve">Elite Heavy Tank</t>
  </si>
  <si>
    <t xml:space="preserve">Ascendant Heavy Tank</t>
  </si>
  <si>
    <t xml:space="preserve">Transcendent Heavy Tank</t>
  </si>
  <si>
    <t xml:space="preserve">Mythic Heavy Tank</t>
  </si>
  <si>
    <t xml:space="preserve">Asura Heavy Tank</t>
  </si>
  <si>
    <t xml:space="preserve">Refined Asura Heavy Tank</t>
  </si>
  <si>
    <t xml:space="preserve">Elite Asura Heavy Tank</t>
  </si>
  <si>
    <t xml:space="preserve">Ascendant Asura Heavy Tank</t>
  </si>
  <si>
    <t xml:space="preserve">Transcendent Asura Heavy Tank</t>
  </si>
  <si>
    <t xml:space="preserve">Mythic Asura Heavy Tank</t>
  </si>
  <si>
    <t xml:space="preserve">Guardian Heavy Tank</t>
  </si>
  <si>
    <t xml:space="preserve">Refined Guardian Heavy Tank</t>
  </si>
  <si>
    <t xml:space="preserve">Elite Guardian Heavy Tank</t>
  </si>
  <si>
    <t xml:space="preserve">Ascendant Guardian Heavy Tank</t>
  </si>
  <si>
    <t xml:space="preserve">Transcendent Guardian Heavy Tank</t>
  </si>
  <si>
    <t xml:space="preserve">Mythic Guardian Heavy Tank</t>
  </si>
  <si>
    <t xml:space="preserve">Refined SP Artillery</t>
  </si>
  <si>
    <t xml:space="preserve">Elite SP Artillery</t>
  </si>
  <si>
    <t xml:space="preserve">Ascendant SP Artillery</t>
  </si>
  <si>
    <t xml:space="preserve">Transcendent SP Artillery</t>
  </si>
  <si>
    <t xml:space="preserve">Mythic SP Artillery</t>
  </si>
  <si>
    <t xml:space="preserve">Asura SP Artillery</t>
  </si>
  <si>
    <t xml:space="preserve">Refined Asura SP Artillery</t>
  </si>
  <si>
    <t xml:space="preserve">Elite Asura SP Artillery</t>
  </si>
  <si>
    <t xml:space="preserve">Ascendant Asura SP Artillery</t>
  </si>
  <si>
    <t xml:space="preserve">Transcendent Asura SP Artillery</t>
  </si>
  <si>
    <t xml:space="preserve">Mythic Asura SP Artillery</t>
  </si>
  <si>
    <t xml:space="preserve">Guardian SP Artillery</t>
  </si>
  <si>
    <t xml:space="preserve">Refined Guardian SP Artillery</t>
  </si>
  <si>
    <t xml:space="preserve">Elite Guardian SP Artillery</t>
  </si>
  <si>
    <t xml:space="preserve">Ascendant Guardian SP Artillery</t>
  </si>
  <si>
    <t xml:space="preserve">Transcendent Guardian SP Artillery</t>
  </si>
  <si>
    <t xml:space="preserve">Mythic Guardian SP Artillery</t>
  </si>
  <si>
    <t xml:space="preserve">Refined Rocket Artillery</t>
  </si>
  <si>
    <t xml:space="preserve">Elite Rocket Artillery</t>
  </si>
  <si>
    <t xml:space="preserve">Ascendant Rocket Artillery</t>
  </si>
  <si>
    <t xml:space="preserve">Transcendent Rocket Artillery</t>
  </si>
  <si>
    <t xml:space="preserve">Mythic Rocket Artillery</t>
  </si>
  <si>
    <t xml:space="preserve">Asura Rocket Artillery</t>
  </si>
  <si>
    <t xml:space="preserve">Refined Asura Rocket Artillery</t>
  </si>
  <si>
    <t xml:space="preserve">Elite Asura Rocket Artillery</t>
  </si>
  <si>
    <t xml:space="preserve">Ascendant Asura Rocket Artillery</t>
  </si>
  <si>
    <t xml:space="preserve">Transcendent Asura Rocket Artillery</t>
  </si>
  <si>
    <t xml:space="preserve">Mythic Asura Rocket Artillery</t>
  </si>
  <si>
    <t xml:space="preserve">Guardian Rocket Artillery</t>
  </si>
  <si>
    <t xml:space="preserve">Refined Guardian Rocket Artillery</t>
  </si>
  <si>
    <t xml:space="preserve">Elite Guardian Rocket Artillery</t>
  </si>
  <si>
    <t xml:space="preserve">Ascendant Guardian Rocket Artillery</t>
  </si>
  <si>
    <t xml:space="preserve">Transcendent Guardian Rocket Artillery</t>
  </si>
  <si>
    <t xml:space="preserve">Mythic Guardian Rocket Artillery</t>
  </si>
  <si>
    <t xml:space="preserve">Refined AA Vehicle</t>
  </si>
  <si>
    <t xml:space="preserve">Elite AA Vehicle</t>
  </si>
  <si>
    <t xml:space="preserve">Ascendant AA Vehicle</t>
  </si>
  <si>
    <t xml:space="preserve">Transcendent AA Vehicle</t>
  </si>
  <si>
    <t xml:space="preserve">Mythic AA Vehicle</t>
  </si>
  <si>
    <t xml:space="preserve">Asura AA Vehicle</t>
  </si>
  <si>
    <t xml:space="preserve">Refined Asura AA Vehicle</t>
  </si>
  <si>
    <t xml:space="preserve">Elite Asura AA Vehicle</t>
  </si>
  <si>
    <t xml:space="preserve">Ascendant Asura AA Vehicle</t>
  </si>
  <si>
    <t xml:space="preserve">Transcendent Asura AA Vehicle</t>
  </si>
  <si>
    <t xml:space="preserve">Mythic Asura AA Vehicle</t>
  </si>
  <si>
    <t xml:space="preserve">Guardian AA Vehicle</t>
  </si>
  <si>
    <t xml:space="preserve">Refined Guardian AA Vehicle</t>
  </si>
  <si>
    <t xml:space="preserve">Elite Guardian AA Vehicle</t>
  </si>
  <si>
    <t xml:space="preserve">Ascendant Guardian AA Vehicle</t>
  </si>
  <si>
    <t xml:space="preserve">Transcendent Guardian AA Vehicle</t>
  </si>
  <si>
    <t xml:space="preserve">Mythic Guardian AA Vehicle</t>
  </si>
  <si>
    <t xml:space="preserve">Refined Fighter</t>
  </si>
  <si>
    <t xml:space="preserve">Elite Fighter</t>
  </si>
  <si>
    <t xml:space="preserve">Ascendant Fighter</t>
  </si>
  <si>
    <t xml:space="preserve">Transcendent Fighter</t>
  </si>
  <si>
    <t xml:space="preserve">Mythic Fighter</t>
  </si>
  <si>
    <t xml:space="preserve">Asura Fighter</t>
  </si>
  <si>
    <t xml:space="preserve">Refined Asura Fighter</t>
  </si>
  <si>
    <t xml:space="preserve">Elite Asura Fighter</t>
  </si>
  <si>
    <t xml:space="preserve">Ascendant Asura Fighter</t>
  </si>
  <si>
    <t xml:space="preserve">Transcendent Asura Fighter</t>
  </si>
  <si>
    <t xml:space="preserve">Mythic Asura Fighter</t>
  </si>
  <si>
    <t xml:space="preserve">Guardian Fighter</t>
  </si>
  <si>
    <t xml:space="preserve">Refined Guardian Fighter</t>
  </si>
  <si>
    <t xml:space="preserve">Elite Guardian Fighter</t>
  </si>
  <si>
    <t xml:space="preserve">Ascendant Guardian Fighter</t>
  </si>
  <si>
    <t xml:space="preserve">Transcendent Guardian Fighter</t>
  </si>
  <si>
    <t xml:space="preserve">Mythic Guardian Fighter</t>
  </si>
  <si>
    <t xml:space="preserve">Refined Bomber</t>
  </si>
  <si>
    <t xml:space="preserve">Elite Bomber</t>
  </si>
  <si>
    <t xml:space="preserve">Ascendant Bomber</t>
  </si>
  <si>
    <t xml:space="preserve">Transcendent Bomber</t>
  </si>
  <si>
    <t xml:space="preserve">Mythic Bomber</t>
  </si>
  <si>
    <t xml:space="preserve">Asura Bomber</t>
  </si>
  <si>
    <t xml:space="preserve">Refined Asura Bomber</t>
  </si>
  <si>
    <t xml:space="preserve">Elite Asura Bomber</t>
  </si>
  <si>
    <t xml:space="preserve">Ascendant Asura Bomber</t>
  </si>
  <si>
    <t xml:space="preserve">Transcendent Asura Bomber</t>
  </si>
  <si>
    <t xml:space="preserve">Mythic Asura Bomber</t>
  </si>
  <si>
    <t xml:space="preserve">Guardian Bomber</t>
  </si>
  <si>
    <t xml:space="preserve">Refined Guardian Bomber</t>
  </si>
  <si>
    <t xml:space="preserve">Elite Guardian Bomber</t>
  </si>
  <si>
    <t xml:space="preserve">Ascendant Guardian Bomber</t>
  </si>
  <si>
    <t xml:space="preserve">Transcendent Guardian Bomber</t>
  </si>
  <si>
    <t xml:space="preserve">Mythic Guardian Bomber</t>
  </si>
  <si>
    <t xml:space="preserve">Refined Destroyer</t>
  </si>
  <si>
    <t xml:space="preserve">Elite Destroyer</t>
  </si>
  <si>
    <t xml:space="preserve">Ascendant Destroyer</t>
  </si>
  <si>
    <t xml:space="preserve">Transcendent Destroyer</t>
  </si>
  <si>
    <t xml:space="preserve">Mythic Destroyer</t>
  </si>
  <si>
    <t xml:space="preserve">Asura Destroyer</t>
  </si>
  <si>
    <t xml:space="preserve">Refined Asura Destroyer</t>
  </si>
  <si>
    <t xml:space="preserve">Elite Asura Destroyer</t>
  </si>
  <si>
    <t xml:space="preserve">Ascendant Asura Destroyer</t>
  </si>
  <si>
    <t xml:space="preserve">Transcendent Asura Destroyer</t>
  </si>
  <si>
    <t xml:space="preserve">Mythic Asura Destroyer</t>
  </si>
  <si>
    <t xml:space="preserve">Guardian Destroyer</t>
  </si>
  <si>
    <t xml:space="preserve">Refined Guardian Destroyer</t>
  </si>
  <si>
    <t xml:space="preserve">Elite Guardian Destroyer</t>
  </si>
  <si>
    <t xml:space="preserve">Ascendant Guardian Destroyer</t>
  </si>
  <si>
    <t xml:space="preserve">Transcendent Guardian Destroyer</t>
  </si>
  <si>
    <t xml:space="preserve">Mythic Guardian Destroyer</t>
  </si>
  <si>
    <t xml:space="preserve">Refined Battleship</t>
  </si>
  <si>
    <t xml:space="preserve">Elite Battleship</t>
  </si>
  <si>
    <t xml:space="preserve">Ascendant Battleship</t>
  </si>
  <si>
    <t xml:space="preserve">Transcendent Battleship</t>
  </si>
  <si>
    <t xml:space="preserve">Mythic Battleship</t>
  </si>
  <si>
    <t xml:space="preserve">Asura Battleship</t>
  </si>
  <si>
    <t xml:space="preserve">Refined Asura Battleship</t>
  </si>
  <si>
    <t xml:space="preserve">Elite Asura Battleship</t>
  </si>
  <si>
    <t xml:space="preserve">Ascendant Asura Battleship</t>
  </si>
  <si>
    <t xml:space="preserve">Transcendent Asura Battleship</t>
  </si>
  <si>
    <t xml:space="preserve">Mythic Asura Battleship</t>
  </si>
  <si>
    <t xml:space="preserve">Guardian Battleship</t>
  </si>
  <si>
    <t xml:space="preserve">Refined Guardian Battleship</t>
  </si>
  <si>
    <t xml:space="preserve">Elite Guardian Battleship</t>
  </si>
  <si>
    <t xml:space="preserve">Ascendant Guardian Battleship</t>
  </si>
  <si>
    <t xml:space="preserve">Transcendent Guardian Battleship</t>
  </si>
  <si>
    <t xml:space="preserve">Mythic Guardian Battleship</t>
  </si>
  <si>
    <t xml:space="preserve">Refined Cultivator Commando</t>
  </si>
  <si>
    <t xml:space="preserve">Elite Cultivator Commando</t>
  </si>
  <si>
    <t xml:space="preserve">Ascendant Cultivator Commando</t>
  </si>
  <si>
    <t xml:space="preserve">Transcendent Cultivator Commando</t>
  </si>
  <si>
    <t xml:space="preserve">Mythic Cultivator Commando</t>
  </si>
  <si>
    <t xml:space="preserve">Asura Cultivator Commando</t>
  </si>
  <si>
    <t xml:space="preserve">Refined Asura Cultivator Commando</t>
  </si>
  <si>
    <t xml:space="preserve">Elite Asura Cultivator Commando</t>
  </si>
  <si>
    <t xml:space="preserve">Ascendant Asura Cultivator Commando</t>
  </si>
  <si>
    <t xml:space="preserve">Transcendent Asura Cultivator Commando</t>
  </si>
  <si>
    <t xml:space="preserve">Mythic Asura Cultivator Commando</t>
  </si>
  <si>
    <t xml:space="preserve">Guardian Cultivator Commando</t>
  </si>
  <si>
    <t xml:space="preserve">Refined Guardian Cultivator Commando</t>
  </si>
  <si>
    <t xml:space="preserve">Elite Guardian Cultivator Commando</t>
  </si>
  <si>
    <t xml:space="preserve">Ascendant Guardian Cultivator Commando</t>
  </si>
  <si>
    <t xml:space="preserve">Transcendent Guardian Cultivator Commando</t>
  </si>
  <si>
    <t xml:space="preserve">Mythic Guardian Cultivator Commando</t>
  </si>
  <si>
    <t xml:space="preserve">Refined Void Marine</t>
  </si>
  <si>
    <t xml:space="preserve">Elite Void Marine</t>
  </si>
  <si>
    <t xml:space="preserve">Ascendant Void Marine</t>
  </si>
  <si>
    <t xml:space="preserve">Transcendent Void Marine</t>
  </si>
  <si>
    <t xml:space="preserve">Mythic Void Marine</t>
  </si>
  <si>
    <t xml:space="preserve">Asura Void Marine</t>
  </si>
  <si>
    <t xml:space="preserve">Refined Asura Void Marine</t>
  </si>
  <si>
    <t xml:space="preserve">Elite Asura Void Marine</t>
  </si>
  <si>
    <t xml:space="preserve">Ascendant Asura Void Marine</t>
  </si>
  <si>
    <t xml:space="preserve">Transcendent Asura Void Marine</t>
  </si>
  <si>
    <t xml:space="preserve">Mythic Asura Void Marine</t>
  </si>
  <si>
    <t xml:space="preserve">Guardian Void Marine</t>
  </si>
  <si>
    <t xml:space="preserve">Refined Guardian Void Marine</t>
  </si>
  <si>
    <t xml:space="preserve">Elite Guardian Void Marine</t>
  </si>
  <si>
    <t xml:space="preserve">Ascendant Guardian Void Marine</t>
  </si>
  <si>
    <t xml:space="preserve">Transcendent Guardian Void Marine</t>
  </si>
  <si>
    <t xml:space="preserve">Mythic Guardian Void Marine</t>
  </si>
  <si>
    <t xml:space="preserve">Refined Powered Infantry</t>
  </si>
  <si>
    <t xml:space="preserve">Elite Powered Infantry</t>
  </si>
  <si>
    <t xml:space="preserve">Ascendant Powered Infantry</t>
  </si>
  <si>
    <t xml:space="preserve">Transcendent Powered Infantry</t>
  </si>
  <si>
    <t xml:space="preserve">Mythic Powered Infantry</t>
  </si>
  <si>
    <t xml:space="preserve">Asura Powered Infantry</t>
  </si>
  <si>
    <t xml:space="preserve">Refined Asura Powered Infantry</t>
  </si>
  <si>
    <t xml:space="preserve">Elite Asura Powered Infantry</t>
  </si>
  <si>
    <t xml:space="preserve">Ascendant Asura Powered Infantry</t>
  </si>
  <si>
    <t xml:space="preserve">Transcendent Asura Powered Infantry</t>
  </si>
  <si>
    <t xml:space="preserve">Mythic Asura Powered Infantry</t>
  </si>
  <si>
    <t xml:space="preserve">Guardian Powered Infantry</t>
  </si>
  <si>
    <t xml:space="preserve">Refined Guardian Powered Infantry</t>
  </si>
  <si>
    <t xml:space="preserve">Elite Guardian Powered Infantry</t>
  </si>
  <si>
    <t xml:space="preserve">Ascendant Guardian Powered Infantry</t>
  </si>
  <si>
    <t xml:space="preserve">Transcendent Guardian Powered Infantry</t>
  </si>
  <si>
    <t xml:space="preserve">Mythic Guardian Powered Infantry</t>
  </si>
  <si>
    <t xml:space="preserve">Refined Hover Armor</t>
  </si>
  <si>
    <t xml:space="preserve">Elite Hover Armor</t>
  </si>
  <si>
    <t xml:space="preserve">Ascendant Hover Armor</t>
  </si>
  <si>
    <t xml:space="preserve">Transcendent Hover Armor</t>
  </si>
  <si>
    <t xml:space="preserve">Mythic Hover Armor</t>
  </si>
  <si>
    <t xml:space="preserve">Asura Hover Armor</t>
  </si>
  <si>
    <t xml:space="preserve">Refined Asura Hover Armor</t>
  </si>
  <si>
    <t xml:space="preserve">Elite Asura Hover Armor</t>
  </si>
  <si>
    <t xml:space="preserve">Ascendant Asura Hover Armor</t>
  </si>
  <si>
    <t xml:space="preserve">Transcendent Asura Hover Armor</t>
  </si>
  <si>
    <t xml:space="preserve">Mythic Asura Hover Armor</t>
  </si>
  <si>
    <t xml:space="preserve">Guardian Hover Armor</t>
  </si>
  <si>
    <t xml:space="preserve">Refined Guardian Hover Armor</t>
  </si>
  <si>
    <t xml:space="preserve">Elite Guardian Hover Armor</t>
  </si>
  <si>
    <t xml:space="preserve">Ascendant Guardian Hover Armor</t>
  </si>
  <si>
    <t xml:space="preserve">Transcendent Guardian Hover Armor</t>
  </si>
  <si>
    <t xml:space="preserve">Mythic Guardian Hover Armor</t>
  </si>
  <si>
    <t xml:space="preserve">Refined Ground Drone Swarm</t>
  </si>
  <si>
    <t xml:space="preserve">Elite Ground Drone Swarm</t>
  </si>
  <si>
    <t xml:space="preserve">Ascendant Ground Drone Swarm</t>
  </si>
  <si>
    <t xml:space="preserve">Transcendent Ground Drone Swarm</t>
  </si>
  <si>
    <t xml:space="preserve">Mythic Ground Drone Swarm</t>
  </si>
  <si>
    <t xml:space="preserve">Asura Ground Drone Swarm</t>
  </si>
  <si>
    <t xml:space="preserve">Refined Asura Ground Drone Swarm</t>
  </si>
  <si>
    <t xml:space="preserve">Elite Asura Ground Drone Swarm</t>
  </si>
  <si>
    <t xml:space="preserve">Ascendant Asura Ground Drone Swarm</t>
  </si>
  <si>
    <t xml:space="preserve">Transcendent Asura Ground Drone Swarm</t>
  </si>
  <si>
    <t xml:space="preserve">Mythic Asura Ground Drone Swarm</t>
  </si>
  <si>
    <t xml:space="preserve">Guardian Ground Drone Swarm</t>
  </si>
  <si>
    <t xml:space="preserve">Refined Guardian Ground Drone Swarm</t>
  </si>
  <si>
    <t xml:space="preserve">Elite Guardian Ground Drone Swarm</t>
  </si>
  <si>
    <t xml:space="preserve">Ascendant Guardian Ground Drone Swarm</t>
  </si>
  <si>
    <t xml:space="preserve">Transcendent Guardian Ground Drone Swarm</t>
  </si>
  <si>
    <t xml:space="preserve">Mythic Guardian Ground Drone Swarm</t>
  </si>
  <si>
    <t xml:space="preserve">Refined EW Team</t>
  </si>
  <si>
    <t xml:space="preserve">Elite EW Team</t>
  </si>
  <si>
    <t xml:space="preserve">Ascendant EW Team</t>
  </si>
  <si>
    <t xml:space="preserve">Transcendent EW Team</t>
  </si>
  <si>
    <t xml:space="preserve">Mythic EW Team</t>
  </si>
  <si>
    <t xml:space="preserve">Asura EW Team</t>
  </si>
  <si>
    <t xml:space="preserve">Refined Asura EW Team</t>
  </si>
  <si>
    <t xml:space="preserve">Elite Asura EW Team</t>
  </si>
  <si>
    <t xml:space="preserve">Ascendant Asura EW Team</t>
  </si>
  <si>
    <t xml:space="preserve">Transcendent Asura EW Team</t>
  </si>
  <si>
    <t xml:space="preserve">Mythic Asura EW Team</t>
  </si>
  <si>
    <t xml:space="preserve">Guardian EW Team</t>
  </si>
  <si>
    <t xml:space="preserve">Refined Guardian EW Team</t>
  </si>
  <si>
    <t xml:space="preserve">Elite Guardian EW Team</t>
  </si>
  <si>
    <t xml:space="preserve">Ascendant Guardian EW Team</t>
  </si>
  <si>
    <t xml:space="preserve">Transcendent Guardian EW Team</t>
  </si>
  <si>
    <t xml:space="preserve">Mythic Guardian EW Team</t>
  </si>
  <si>
    <t xml:space="preserve">Refined Orbital Lander</t>
  </si>
  <si>
    <t xml:space="preserve">Elite Orbital Lander</t>
  </si>
  <si>
    <t xml:space="preserve">Ascendant Orbital Lander</t>
  </si>
  <si>
    <t xml:space="preserve">Transcendent Orbital Lander</t>
  </si>
  <si>
    <t xml:space="preserve">Mythic Orbital Lander</t>
  </si>
  <si>
    <t xml:space="preserve">Asura Orbital Lander</t>
  </si>
  <si>
    <t xml:space="preserve">Refined Asura Orbital Lander</t>
  </si>
  <si>
    <t xml:space="preserve">Elite Asura Orbital Lander</t>
  </si>
  <si>
    <t xml:space="preserve">Ascendant Asura Orbital Lander</t>
  </si>
  <si>
    <t xml:space="preserve">Transcendent Asura Orbital Lander</t>
  </si>
  <si>
    <t xml:space="preserve">Mythic Asura Orbital Lander</t>
  </si>
  <si>
    <t xml:space="preserve">Guardian Orbital Lander</t>
  </si>
  <si>
    <t xml:space="preserve">Refined Guardian Orbital Lander</t>
  </si>
  <si>
    <t xml:space="preserve">Elite Guardian Orbital Lander</t>
  </si>
  <si>
    <t xml:space="preserve">Ascendant Guardian Orbital Lander</t>
  </si>
  <si>
    <t xml:space="preserve">Transcendent Guardian Orbital Lander</t>
  </si>
  <si>
    <t xml:space="preserve">Mythic Guardian Orbital Lander</t>
  </si>
  <si>
    <t xml:space="preserve">Refined Corvette</t>
  </si>
  <si>
    <t xml:space="preserve">Elite Corvette</t>
  </si>
  <si>
    <t xml:space="preserve">Ascendant Corvette</t>
  </si>
  <si>
    <t xml:space="preserve">Transcendent Corvette</t>
  </si>
  <si>
    <t xml:space="preserve">Mythic Corvette</t>
  </si>
  <si>
    <t xml:space="preserve">Asura Corvette</t>
  </si>
  <si>
    <t xml:space="preserve">Refined Asura Corvette</t>
  </si>
  <si>
    <t xml:space="preserve">Elite Asura Corvette</t>
  </si>
  <si>
    <t xml:space="preserve">Ascendant Asura Corvette</t>
  </si>
  <si>
    <t xml:space="preserve">Transcendent Asura Corvette</t>
  </si>
  <si>
    <t xml:space="preserve">Mythic Asura Corvette</t>
  </si>
  <si>
    <t xml:space="preserve">Guardian Corvette</t>
  </si>
  <si>
    <t xml:space="preserve">Refined Guardian Corvette</t>
  </si>
  <si>
    <t xml:space="preserve">Elite Guardian Corvette</t>
  </si>
  <si>
    <t xml:space="preserve">Ascendant Guardian Corvette</t>
  </si>
  <si>
    <t xml:space="preserve">Transcendent Guardian Corvette</t>
  </si>
  <si>
    <t xml:space="preserve">Mythic Guardian Corvette</t>
  </si>
  <si>
    <t xml:space="preserve">Refined Void Frigate</t>
  </si>
  <si>
    <t xml:space="preserve">Elite Void Frigate</t>
  </si>
  <si>
    <t xml:space="preserve">Ascendant Void Frigate</t>
  </si>
  <si>
    <t xml:space="preserve">Transcendent Void Frigate</t>
  </si>
  <si>
    <t xml:space="preserve">Mythic Void Frigate</t>
  </si>
  <si>
    <t xml:space="preserve">Asura Void Frigate</t>
  </si>
  <si>
    <t xml:space="preserve">Refined Asura Void Frigate</t>
  </si>
  <si>
    <t xml:space="preserve">Elite Asura Void Frigate</t>
  </si>
  <si>
    <t xml:space="preserve">Ascendant Asura Void Frigate</t>
  </si>
  <si>
    <t xml:space="preserve">Transcendent Asura Void Frigate</t>
  </si>
  <si>
    <t xml:space="preserve">Mythic Asura Void Frigate</t>
  </si>
  <si>
    <t xml:space="preserve">Guardian Void Frigate</t>
  </si>
  <si>
    <t xml:space="preserve">Refined Guardian Void Frigate</t>
  </si>
  <si>
    <t xml:space="preserve">Elite Guardian Void Frigate</t>
  </si>
  <si>
    <t xml:space="preserve">Ascendant Guardian Void Frigate</t>
  </si>
  <si>
    <t xml:space="preserve">Transcendent Guardian Void Frigate</t>
  </si>
  <si>
    <t xml:space="preserve">Mythic Guardian Void Frigate</t>
  </si>
  <si>
    <t xml:space="preserve">Refined Void Destroyer</t>
  </si>
  <si>
    <t xml:space="preserve">Elite Void Destroyer</t>
  </si>
  <si>
    <t xml:space="preserve">Ascendant Void Destroyer</t>
  </si>
  <si>
    <t xml:space="preserve">Transcendent Void Destroyer</t>
  </si>
  <si>
    <t xml:space="preserve">Mythic Void Destroyer</t>
  </si>
  <si>
    <t xml:space="preserve">Asura Void Destroyer</t>
  </si>
  <si>
    <t xml:space="preserve">Refined Asura Void Destroyer</t>
  </si>
  <si>
    <t xml:space="preserve">Elite Asura Void Destroyer</t>
  </si>
  <si>
    <t xml:space="preserve">Ascendant Asura Void Destroyer</t>
  </si>
  <si>
    <t xml:space="preserve">Transcendent Asura Void Destroyer</t>
  </si>
  <si>
    <t xml:space="preserve">Mythic Asura Void Destroyer</t>
  </si>
  <si>
    <t xml:space="preserve">Guardian Void Destroyer</t>
  </si>
  <si>
    <t xml:space="preserve">Refined Guardian Void Destroyer</t>
  </si>
  <si>
    <t xml:space="preserve">Elite Guardian Void Destroyer</t>
  </si>
  <si>
    <t xml:space="preserve">Ascendant Guardian Void Destroyer</t>
  </si>
  <si>
    <t xml:space="preserve">Transcendent Guardian Void Destroyer</t>
  </si>
  <si>
    <t xml:space="preserve">Mythic Guardian Void Destroyer</t>
  </si>
  <si>
    <t xml:space="preserve">Refined Void Cruiser</t>
  </si>
  <si>
    <t xml:space="preserve">Elite Void Cruiser</t>
  </si>
  <si>
    <t xml:space="preserve">Ascendant Void Cruiser</t>
  </si>
  <si>
    <t xml:space="preserve">Transcendent Void Cruiser</t>
  </si>
  <si>
    <t xml:space="preserve">Mythic Void Cruiser</t>
  </si>
  <si>
    <t xml:space="preserve">Asura Void Cruiser</t>
  </si>
  <si>
    <t xml:space="preserve">Refined Asura Void Cruiser</t>
  </si>
  <si>
    <t xml:space="preserve">Elite Asura Void Cruiser</t>
  </si>
  <si>
    <t xml:space="preserve">Ascendant Asura Void Cruiser</t>
  </si>
  <si>
    <t xml:space="preserve">Transcendent Asura Void Cruiser</t>
  </si>
  <si>
    <t xml:space="preserve">Mythic Asura Void Cruiser</t>
  </si>
  <si>
    <t xml:space="preserve">Guardian Void Cruiser</t>
  </si>
  <si>
    <t xml:space="preserve">Refined Guardian Void Cruiser</t>
  </si>
  <si>
    <t xml:space="preserve">Elite Guardian Void Cruiser</t>
  </si>
  <si>
    <t xml:space="preserve">Ascendant Guardian Void Cruiser</t>
  </si>
  <si>
    <t xml:space="preserve">Transcendent Guardian Void Cruiser</t>
  </si>
  <si>
    <t xml:space="preserve">Mythic Guardian Void Cruiser</t>
  </si>
  <si>
    <t xml:space="preserve">Refined Battlecruiser</t>
  </si>
  <si>
    <t xml:space="preserve">Elite Battlecruiser</t>
  </si>
  <si>
    <t xml:space="preserve">Ascendant Battlecruiser</t>
  </si>
  <si>
    <t xml:space="preserve">Transcendent Battlecruiser</t>
  </si>
  <si>
    <t xml:space="preserve">Mythic Battlecruiser</t>
  </si>
  <si>
    <t xml:space="preserve">Asura Battlecruiser</t>
  </si>
  <si>
    <t xml:space="preserve">Refined Asura Battlecruiser</t>
  </si>
  <si>
    <t xml:space="preserve">Elite Asura Battlecruiser</t>
  </si>
  <si>
    <t xml:space="preserve">Ascendant Asura Battlecruiser</t>
  </si>
  <si>
    <t xml:space="preserve">Transcendent Asura Battlecruiser</t>
  </si>
  <si>
    <t xml:space="preserve">Mythic Asura Battlecruiser</t>
  </si>
  <si>
    <t xml:space="preserve">Guardian Battlecruiser</t>
  </si>
  <si>
    <t xml:space="preserve">Refined Guardian Battlecruiser</t>
  </si>
  <si>
    <t xml:space="preserve">Elite Guardian Battlecruiser</t>
  </si>
  <si>
    <t xml:space="preserve">Ascendant Guardian Battlecruiser</t>
  </si>
  <si>
    <t xml:space="preserve">Transcendent Guardian Battlecruiser</t>
  </si>
  <si>
    <t xml:space="preserve">Mythic Guardian Battlecruiser</t>
  </si>
  <si>
    <t xml:space="preserve">Refined Void Carrier</t>
  </si>
  <si>
    <t xml:space="preserve">Elite Void Carrier</t>
  </si>
  <si>
    <t xml:space="preserve">Ascendant Void Carrier</t>
  </si>
  <si>
    <t xml:space="preserve">Transcendent Void Carrier</t>
  </si>
  <si>
    <t xml:space="preserve">Mythic Void Carrier</t>
  </si>
  <si>
    <t xml:space="preserve">Asura Void Carrier</t>
  </si>
  <si>
    <t xml:space="preserve">Refined Asura Void Carrier</t>
  </si>
  <si>
    <t xml:space="preserve">Elite Asura Void Carrier</t>
  </si>
  <si>
    <t xml:space="preserve">Ascendant Asura Void Carrier</t>
  </si>
  <si>
    <t xml:space="preserve">Transcendent Asura Void Carrier</t>
  </si>
  <si>
    <t xml:space="preserve">Mythic Asura Void Carrier</t>
  </si>
  <si>
    <t xml:space="preserve">Guardian Void Carrier</t>
  </si>
  <si>
    <t xml:space="preserve">Refined Guardian Void Carrier</t>
  </si>
  <si>
    <t xml:space="preserve">Elite Guardian Void Carrier</t>
  </si>
  <si>
    <t xml:space="preserve">Ascendant Guardian Void Carrier</t>
  </si>
  <si>
    <t xml:space="preserve">Transcendent Guardian Void Carrier</t>
  </si>
  <si>
    <t xml:space="preserve">Mythic Guardian Void Carrier</t>
  </si>
  <si>
    <t xml:space="preserve">Refined Strike Wing</t>
  </si>
  <si>
    <t xml:space="preserve">Elite Strike Wing</t>
  </si>
  <si>
    <t xml:space="preserve">Ascendant Strike Wing</t>
  </si>
  <si>
    <t xml:space="preserve">Transcendent Strike Wing</t>
  </si>
  <si>
    <t xml:space="preserve">Mythic Strike Wing</t>
  </si>
  <si>
    <t xml:space="preserve">Asura Strike Wing</t>
  </si>
  <si>
    <t xml:space="preserve">Refined Asura Strike Wing</t>
  </si>
  <si>
    <t xml:space="preserve">Elite Asura Strike Wing</t>
  </si>
  <si>
    <t xml:space="preserve">Ascendant Asura Strike Wing</t>
  </si>
  <si>
    <t xml:space="preserve">Transcendent Asura Strike Wing</t>
  </si>
  <si>
    <t xml:space="preserve">Mythic Asura Strike Wing</t>
  </si>
  <si>
    <t xml:space="preserve">Guardian Strike Wing</t>
  </si>
  <si>
    <t xml:space="preserve">Refined Guardian Strike Wing</t>
  </si>
  <si>
    <t xml:space="preserve">Elite Guardian Strike Wing</t>
  </si>
  <si>
    <t xml:space="preserve">Ascendant Guardian Strike Wing</t>
  </si>
  <si>
    <t xml:space="preserve">Transcendent Guardian Strike Wing</t>
  </si>
  <si>
    <t xml:space="preserve">Mythic Guardian Strike Wing</t>
  </si>
  <si>
    <t xml:space="preserve">Refined Assault Transport</t>
  </si>
  <si>
    <t xml:space="preserve">Elite Assault Transport</t>
  </si>
  <si>
    <t xml:space="preserve">Ascendant Assault Transport</t>
  </si>
  <si>
    <t xml:space="preserve">Transcendent Assault Transport</t>
  </si>
  <si>
    <t xml:space="preserve">Mythic Assault Transport</t>
  </si>
  <si>
    <t xml:space="preserve">Asura Assault Transport</t>
  </si>
  <si>
    <t xml:space="preserve">Refined Asura Assault Transport</t>
  </si>
  <si>
    <t xml:space="preserve">Elite Asura Assault Transport</t>
  </si>
  <si>
    <t xml:space="preserve">Ascendant Asura Assault Transport</t>
  </si>
  <si>
    <t xml:space="preserve">Transcendent Asura Assault Transport</t>
  </si>
  <si>
    <t xml:space="preserve">Mythic Asura Assault Transport</t>
  </si>
  <si>
    <t xml:space="preserve">Guardian Assault Transport</t>
  </si>
  <si>
    <t xml:space="preserve">Refined Guardian Assault Transport</t>
  </si>
  <si>
    <t xml:space="preserve">Elite Guardian Assault Transport</t>
  </si>
  <si>
    <t xml:space="preserve">Ascendant Guardian Assault Transport</t>
  </si>
  <si>
    <t xml:space="preserve">Transcendent Guardian Assault Transport</t>
  </si>
  <si>
    <t xml:space="preserve">Mythic Guardian Assault Transport</t>
  </si>
  <si>
    <t xml:space="preserve">Refined Siege Platform</t>
  </si>
  <si>
    <t xml:space="preserve">Elite Siege Platform</t>
  </si>
  <si>
    <t xml:space="preserve">Ascendant Siege Platform</t>
  </si>
  <si>
    <t xml:space="preserve">Transcendent Siege Platform</t>
  </si>
  <si>
    <t xml:space="preserve">Mythic Siege Platform</t>
  </si>
  <si>
    <t xml:space="preserve">Asura Siege Platform</t>
  </si>
  <si>
    <t xml:space="preserve">Refined Asura Siege Platform</t>
  </si>
  <si>
    <t xml:space="preserve">Elite Asura Siege Platform</t>
  </si>
  <si>
    <t xml:space="preserve">Ascendant Asura Siege Platform</t>
  </si>
  <si>
    <t xml:space="preserve">Transcendent Asura Siege Platform</t>
  </si>
  <si>
    <t xml:space="preserve">Mythic Asura Siege Platform</t>
  </si>
  <si>
    <t xml:space="preserve">Guardian Siege Platform</t>
  </si>
  <si>
    <t xml:space="preserve">Refined Guardian Siege Platform</t>
  </si>
  <si>
    <t xml:space="preserve">Elite Guardian Siege Platform</t>
  </si>
  <si>
    <t xml:space="preserve">Ascendant Guardian Siege Platform</t>
  </si>
  <si>
    <t xml:space="preserve">Transcendent Guardian Siege Platform</t>
  </si>
  <si>
    <t xml:space="preserve">Mythic Guardian Siege Platform</t>
  </si>
  <si>
    <t xml:space="preserve">Refined Probe</t>
  </si>
  <si>
    <t xml:space="preserve">Elite Probe</t>
  </si>
  <si>
    <t xml:space="preserve">Ascendant Probe</t>
  </si>
  <si>
    <t xml:space="preserve">Transcendent Probe</t>
  </si>
  <si>
    <t xml:space="preserve">Mythic Probe</t>
  </si>
  <si>
    <t xml:space="preserve">Asura Probe</t>
  </si>
  <si>
    <t xml:space="preserve">Refined Asura Probe</t>
  </si>
  <si>
    <t xml:space="preserve">Elite Asura Probe</t>
  </si>
  <si>
    <t xml:space="preserve">Ascendant Asura Probe</t>
  </si>
  <si>
    <t xml:space="preserve">Transcendent Asura Probe</t>
  </si>
  <si>
    <t xml:space="preserve">Mythic Asura Probe</t>
  </si>
  <si>
    <t xml:space="preserve">Guardian Probe</t>
  </si>
  <si>
    <t xml:space="preserve">Refined Guardian Probe</t>
  </si>
  <si>
    <t xml:space="preserve">Elite Guardian Probe</t>
  </si>
  <si>
    <t xml:space="preserve">Ascendant Guardian Probe</t>
  </si>
  <si>
    <t xml:space="preserve">Transcendent Guardian Probe</t>
  </si>
  <si>
    <t xml:space="preserve">Mythic Guardian Probe</t>
  </si>
  <si>
    <t xml:space="preserve">Refined Defense Platform</t>
  </si>
  <si>
    <t xml:space="preserve">Elite Defense Platform</t>
  </si>
  <si>
    <t xml:space="preserve">Ascendant Defense Platform</t>
  </si>
  <si>
    <t xml:space="preserve">Transcendent Defense Platform</t>
  </si>
  <si>
    <t xml:space="preserve">Mythic Defense Platform</t>
  </si>
  <si>
    <t xml:space="preserve">Asura Defense Platform</t>
  </si>
  <si>
    <t xml:space="preserve">Refined Asura Defense Platform</t>
  </si>
  <si>
    <t xml:space="preserve">Elite Asura Defense Platform</t>
  </si>
  <si>
    <t xml:space="preserve">Ascendant Asura Defense Platform</t>
  </si>
  <si>
    <t xml:space="preserve">Transcendent Asura Defense Platform</t>
  </si>
  <si>
    <t xml:space="preserve">Mythic Asura Defense Platform</t>
  </si>
  <si>
    <t xml:space="preserve">Guardian Defense Platform</t>
  </si>
  <si>
    <t xml:space="preserve">Refined Guardian Defense Platform</t>
  </si>
  <si>
    <t xml:space="preserve">Elite Guardian Defense Platform</t>
  </si>
  <si>
    <t xml:space="preserve">Ascendant Guardian Defense Platform</t>
  </si>
  <si>
    <t xml:space="preserve">Transcendent Guardian Defense Platform</t>
  </si>
  <si>
    <t xml:space="preserve">Mythic Guardian Defense Platform</t>
  </si>
  <si>
    <t xml:space="preserve">Refined Star-Qi Blade Saint</t>
  </si>
  <si>
    <t xml:space="preserve">Elite Star-Qi Blade Saint</t>
  </si>
  <si>
    <t xml:space="preserve">Ascendant Star-Qi Blade Saint</t>
  </si>
  <si>
    <t xml:space="preserve">Transcendent Star-Qi Blade Saint</t>
  </si>
  <si>
    <t xml:space="preserve">Mythic Star-Qi Blade Saint</t>
  </si>
  <si>
    <t xml:space="preserve">Asura Star-Qi Blade Saint</t>
  </si>
  <si>
    <t xml:space="preserve">Refined Asura Star-Qi Blade Saint</t>
  </si>
  <si>
    <t xml:space="preserve">Elite Asura Star-Qi Blade Saint</t>
  </si>
  <si>
    <t xml:space="preserve">Ascendant Asura Star-Qi Blade Saint</t>
  </si>
  <si>
    <t xml:space="preserve">Transcendent Asura Star-Qi Blade Saint</t>
  </si>
  <si>
    <t xml:space="preserve">Mythic Asura Star-Qi Blade Saint</t>
  </si>
  <si>
    <t xml:space="preserve">Guardian Star-Qi Blade Saint</t>
  </si>
  <si>
    <t xml:space="preserve">Refined Guardian Star-Qi Blade Saint</t>
  </si>
  <si>
    <t xml:space="preserve">Elite Guardian Star-Qi Blade Saint</t>
  </si>
  <si>
    <t xml:space="preserve">Ascendant Guardian Star-Qi Blade Saint</t>
  </si>
  <si>
    <t xml:space="preserve">Transcendent Guardian Star-Qi Blade Saint</t>
  </si>
  <si>
    <t xml:space="preserve">Mythic Guardian Star-Qi Blade Saint</t>
  </si>
  <si>
    <t xml:space="preserve">Refined Lance Destroyer</t>
  </si>
  <si>
    <t xml:space="preserve">Elite Lance Destroyer</t>
  </si>
  <si>
    <t xml:space="preserve">Ascendant Lance Destroyer</t>
  </si>
  <si>
    <t xml:space="preserve">Transcendent Lance Destroyer</t>
  </si>
  <si>
    <t xml:space="preserve">Mythic Lance Destroyer</t>
  </si>
  <si>
    <t xml:space="preserve">Asura Lance Destroyer</t>
  </si>
  <si>
    <t xml:space="preserve">Refined Asura Lance Destroyer</t>
  </si>
  <si>
    <t xml:space="preserve">Elite Asura Lance Destroyer</t>
  </si>
  <si>
    <t xml:space="preserve">Ascendant Asura Lance Destroyer</t>
  </si>
  <si>
    <t xml:space="preserve">Transcendent Asura Lance Destroyer</t>
  </si>
  <si>
    <t xml:space="preserve">Mythic Asura Lance Destroyer</t>
  </si>
  <si>
    <t xml:space="preserve">Guardian Lance Destroyer</t>
  </si>
  <si>
    <t xml:space="preserve">Refined Guardian Lance Destroyer</t>
  </si>
  <si>
    <t xml:space="preserve">Elite Guardian Lance Destroyer</t>
  </si>
  <si>
    <t xml:space="preserve">Ascendant Guardian Lance Destroyer</t>
  </si>
  <si>
    <t xml:space="preserve">Transcendent Guardian Lance Destroyer</t>
  </si>
  <si>
    <t xml:space="preserve">Mythic Guardian Lance Destroyer</t>
  </si>
  <si>
    <t xml:space="preserve">Refined Drone Carrier</t>
  </si>
  <si>
    <t xml:space="preserve">Elite Drone Carrier</t>
  </si>
  <si>
    <t xml:space="preserve">Ascendant Drone Carrier</t>
  </si>
  <si>
    <t xml:space="preserve">Transcendent Drone Carrier</t>
  </si>
  <si>
    <t xml:space="preserve">Mythic Drone Carrier</t>
  </si>
  <si>
    <t xml:space="preserve">Asura Drone Carrier</t>
  </si>
  <si>
    <t xml:space="preserve">Refined Asura Drone Carrier</t>
  </si>
  <si>
    <t xml:space="preserve">Elite Asura Drone Carrier</t>
  </si>
  <si>
    <t xml:space="preserve">Ascendant Asura Drone Carrier</t>
  </si>
  <si>
    <t xml:space="preserve">Transcendent Asura Drone Carrier</t>
  </si>
  <si>
    <t xml:space="preserve">Mythic Asura Drone Carrier</t>
  </si>
  <si>
    <t xml:space="preserve">Guardian Drone Carrier</t>
  </si>
  <si>
    <t xml:space="preserve">Refined Guardian Drone Carrier</t>
  </si>
  <si>
    <t xml:space="preserve">Elite Guardian Drone Carrier</t>
  </si>
  <si>
    <t xml:space="preserve">Ascendant Guardian Drone Carrier</t>
  </si>
  <si>
    <t xml:space="preserve">Transcendent Guardian Drone Carrier</t>
  </si>
  <si>
    <t xml:space="preserve">Mythic Guardian Drone Carrier</t>
  </si>
  <si>
    <t xml:space="preserve">Refined Aegis Cruiser</t>
  </si>
  <si>
    <t xml:space="preserve">Elite Aegis Cruiser</t>
  </si>
  <si>
    <t xml:space="preserve">Ascendant Aegis Cruiser</t>
  </si>
  <si>
    <t xml:space="preserve">Transcendent Aegis Cruiser</t>
  </si>
  <si>
    <t xml:space="preserve">Mythic Aegis Cruiser</t>
  </si>
  <si>
    <t xml:space="preserve">Asura Aegis Cruiser</t>
  </si>
  <si>
    <t xml:space="preserve">Refined Asura Aegis Cruiser</t>
  </si>
  <si>
    <t xml:space="preserve">Elite Asura Aegis Cruiser</t>
  </si>
  <si>
    <t xml:space="preserve">Ascendant Asura Aegis Cruiser</t>
  </si>
  <si>
    <t xml:space="preserve">Transcendent Asura Aegis Cruiser</t>
  </si>
  <si>
    <t xml:space="preserve">Mythic Asura Aegis Cruiser</t>
  </si>
  <si>
    <t xml:space="preserve">Guardian Aegis Cruiser</t>
  </si>
  <si>
    <t xml:space="preserve">Refined Guardian Aegis Cruiser</t>
  </si>
  <si>
    <t xml:space="preserve">Elite Guardian Aegis Cruiser</t>
  </si>
  <si>
    <t xml:space="preserve">Ascendant Guardian Aegis Cruiser</t>
  </si>
  <si>
    <t xml:space="preserve">Transcendent Guardian Aegis Cruiser</t>
  </si>
  <si>
    <t xml:space="preserve">Mythic Guardian Aegis Cruiser</t>
  </si>
  <si>
    <t xml:space="preserve">Refined Dreadnought</t>
  </si>
  <si>
    <t xml:space="preserve">Elite Dreadnought</t>
  </si>
  <si>
    <t xml:space="preserve">Ascendant Dreadnought</t>
  </si>
  <si>
    <t xml:space="preserve">Transcendent Dreadnought</t>
  </si>
  <si>
    <t xml:space="preserve">Mythic Dreadnought</t>
  </si>
  <si>
    <t xml:space="preserve">Asura Dreadnought</t>
  </si>
  <si>
    <t xml:space="preserve">Refined Asura Dreadnought</t>
  </si>
  <si>
    <t xml:space="preserve">Elite Asura Dreadnought</t>
  </si>
  <si>
    <t xml:space="preserve">Ascendant Asura Dreadnought</t>
  </si>
  <si>
    <t xml:space="preserve">Transcendent Asura Dreadnought</t>
  </si>
  <si>
    <t xml:space="preserve">Mythic Asura Dreadnought</t>
  </si>
  <si>
    <t xml:space="preserve">Guardian Dreadnought</t>
  </si>
  <si>
    <t xml:space="preserve">Refined Guardian Dreadnought</t>
  </si>
  <si>
    <t xml:space="preserve">Elite Guardian Dreadnought</t>
  </si>
  <si>
    <t xml:space="preserve">Ascendant Guardian Dreadnought</t>
  </si>
  <si>
    <t xml:space="preserve">Transcendent Guardian Dreadnought</t>
  </si>
  <si>
    <t xml:space="preserve">Mythic Guardian Dreadnought</t>
  </si>
  <si>
    <t xml:space="preserve">Refined Titan</t>
  </si>
  <si>
    <t xml:space="preserve">Elite Titan</t>
  </si>
  <si>
    <t xml:space="preserve">Ascendant Titan</t>
  </si>
  <si>
    <t xml:space="preserve">Transcendent Titan</t>
  </si>
  <si>
    <t xml:space="preserve">Mythic Titan</t>
  </si>
  <si>
    <t xml:space="preserve">Asura Titan</t>
  </si>
  <si>
    <t xml:space="preserve">Refined Asura Titan</t>
  </si>
  <si>
    <t xml:space="preserve">Elite Asura Titan</t>
  </si>
  <si>
    <t xml:space="preserve">Ascendant Asura Titan</t>
  </si>
  <si>
    <t xml:space="preserve">Transcendent Asura Titan</t>
  </si>
  <si>
    <t xml:space="preserve">Mythic Asura Titan</t>
  </si>
  <si>
    <t xml:space="preserve">Guardian Titan</t>
  </si>
  <si>
    <t xml:space="preserve">Refined Guardian Titan</t>
  </si>
  <si>
    <t xml:space="preserve">Elite Guardian Titan</t>
  </si>
  <si>
    <t xml:space="preserve">Ascendant Guardian Titan</t>
  </si>
  <si>
    <t xml:space="preserve">Transcendent Guardian Titan</t>
  </si>
  <si>
    <t xml:space="preserve">Mythic Guardian Titan</t>
  </si>
  <si>
    <t xml:space="preserve">Refined Interdictor</t>
  </si>
  <si>
    <t xml:space="preserve">Elite Interdictor</t>
  </si>
  <si>
    <t xml:space="preserve">Ascendant Interdictor</t>
  </si>
  <si>
    <t xml:space="preserve">Transcendent Interdictor</t>
  </si>
  <si>
    <t xml:space="preserve">Mythic Interdictor</t>
  </si>
  <si>
    <t xml:space="preserve">Asura Interdictor</t>
  </si>
  <si>
    <t xml:space="preserve">Refined Asura Interdictor</t>
  </si>
  <si>
    <t xml:space="preserve">Elite Asura Interdictor</t>
  </si>
  <si>
    <t xml:space="preserve">Ascendant Asura Interdictor</t>
  </si>
  <si>
    <t xml:space="preserve">Transcendent Asura Interdictor</t>
  </si>
  <si>
    <t xml:space="preserve">Mythic Asura Interdictor</t>
  </si>
  <si>
    <t xml:space="preserve">Guardian Interdictor</t>
  </si>
  <si>
    <t xml:space="preserve">Refined Guardian Interdictor</t>
  </si>
  <si>
    <t xml:space="preserve">Elite Guardian Interdictor</t>
  </si>
  <si>
    <t xml:space="preserve">Ascendant Guardian Interdictor</t>
  </si>
  <si>
    <t xml:space="preserve">Transcendent Guardian Interdictor</t>
  </si>
  <si>
    <t xml:space="preserve">Mythic Guardian Interdictor</t>
  </si>
  <si>
    <t xml:space="preserve">Refined Wormhole Tender</t>
  </si>
  <si>
    <t xml:space="preserve">Elite Wormhole Tender</t>
  </si>
  <si>
    <t xml:space="preserve">Ascendant Wormhole Tender</t>
  </si>
  <si>
    <t xml:space="preserve">Transcendent Wormhole Tender</t>
  </si>
  <si>
    <t xml:space="preserve">Mythic Wormhole Tender</t>
  </si>
  <si>
    <t xml:space="preserve">Asura Wormhole Tender</t>
  </si>
  <si>
    <t xml:space="preserve">Refined Asura Wormhole Tender</t>
  </si>
  <si>
    <t xml:space="preserve">Elite Asura Wormhole Tender</t>
  </si>
  <si>
    <t xml:space="preserve">Ascendant Asura Wormhole Tender</t>
  </si>
  <si>
    <t xml:space="preserve">Transcendent Asura Wormhole Tender</t>
  </si>
  <si>
    <t xml:space="preserve">Mythic Asura Wormhole Tender</t>
  </si>
  <si>
    <t xml:space="preserve">Guardian Wormhole Tender</t>
  </si>
  <si>
    <t xml:space="preserve">Refined Guardian Wormhole Tender</t>
  </si>
  <si>
    <t xml:space="preserve">Elite Guardian Wormhole Tender</t>
  </si>
  <si>
    <t xml:space="preserve">Ascendant Guardian Wormhole Tender</t>
  </si>
  <si>
    <t xml:space="preserve">Transcendent Guardian Wormhole Tender</t>
  </si>
  <si>
    <t xml:space="preserve">Mythic Guardian Wormhole Tender</t>
  </si>
  <si>
    <t xml:space="preserve">Refined Ghost Frigate</t>
  </si>
  <si>
    <t xml:space="preserve">Elite Ghost Frigate</t>
  </si>
  <si>
    <t xml:space="preserve">Ascendant Ghost Frigate</t>
  </si>
  <si>
    <t xml:space="preserve">Transcendent Ghost Frigate</t>
  </si>
  <si>
    <t xml:space="preserve">Mythic Ghost Frigate</t>
  </si>
  <si>
    <t xml:space="preserve">Asura Ghost Frigate</t>
  </si>
  <si>
    <t xml:space="preserve">Refined Asura Ghost Frigate</t>
  </si>
  <si>
    <t xml:space="preserve">Elite Asura Ghost Frigate</t>
  </si>
  <si>
    <t xml:space="preserve">Ascendant Asura Ghost Frigate</t>
  </si>
  <si>
    <t xml:space="preserve">Transcendent Asura Ghost Frigate</t>
  </si>
  <si>
    <t xml:space="preserve">Mythic Asura Ghost Frigate</t>
  </si>
  <si>
    <t xml:space="preserve">Guardian Ghost Frigate</t>
  </si>
  <si>
    <t xml:space="preserve">Refined Guardian Ghost Frigate</t>
  </si>
  <si>
    <t xml:space="preserve">Elite Guardian Ghost Frigate</t>
  </si>
  <si>
    <t xml:space="preserve">Ascendant Guardian Ghost Frigate</t>
  </si>
  <si>
    <t xml:space="preserve">Transcendent Guardian Ghost Frigate</t>
  </si>
  <si>
    <t xml:space="preserve">Mythic Guardian Ghost Frigate</t>
  </si>
  <si>
    <t xml:space="preserve">Refined Precursor Construct</t>
  </si>
  <si>
    <t xml:space="preserve">Elite Precursor Construct</t>
  </si>
  <si>
    <t xml:space="preserve">Ascendant Precursor Construct</t>
  </si>
  <si>
    <t xml:space="preserve">Transcendent Precursor Construct</t>
  </si>
  <si>
    <t xml:space="preserve">Mythic Precursor Construct</t>
  </si>
  <si>
    <t xml:space="preserve">Asura Precursor Construct</t>
  </si>
  <si>
    <t xml:space="preserve">Refined Asura Precursor Construct</t>
  </si>
  <si>
    <t xml:space="preserve">Elite Asura Precursor Construct</t>
  </si>
  <si>
    <t xml:space="preserve">Ascendant Asura Precursor Construct</t>
  </si>
  <si>
    <t xml:space="preserve">Transcendent Asura Precursor Construct</t>
  </si>
  <si>
    <t xml:space="preserve">Mythic Asura Precursor Construct</t>
  </si>
  <si>
    <t xml:space="preserve">Guardian Precursor Construct</t>
  </si>
  <si>
    <t xml:space="preserve">Refined Guardian Precursor Construct</t>
  </si>
  <si>
    <t xml:space="preserve">Elite Guardian Precursor Construct</t>
  </si>
  <si>
    <t xml:space="preserve">Ascendant Guardian Precursor Construct</t>
  </si>
  <si>
    <t xml:space="preserve">Transcendent Guardian Precursor Construct</t>
  </si>
  <si>
    <t xml:space="preserve">Mythic Guardian Precursor Construct</t>
  </si>
  <si>
    <t xml:space="preserve">Refined Marine Legion</t>
  </si>
  <si>
    <t xml:space="preserve">Elite Marine Legion</t>
  </si>
  <si>
    <t xml:space="preserve">Ascendant Marine Legion</t>
  </si>
  <si>
    <t xml:space="preserve">Transcendent Marine Legion</t>
  </si>
  <si>
    <t xml:space="preserve">Mythic Marine Legion</t>
  </si>
  <si>
    <t xml:space="preserve">Asura Marine Legion</t>
  </si>
  <si>
    <t xml:space="preserve">Refined Asura Marine Legion</t>
  </si>
  <si>
    <t xml:space="preserve">Elite Asura Marine Legion</t>
  </si>
  <si>
    <t xml:space="preserve">Ascendant Asura Marine Legion</t>
  </si>
  <si>
    <t xml:space="preserve">Transcendent Asura Marine Legion</t>
  </si>
  <si>
    <t xml:space="preserve">Mythic Asura Marine Legion</t>
  </si>
  <si>
    <t xml:space="preserve">Guardian Marine Legion</t>
  </si>
  <si>
    <t xml:space="preserve">Refined Guardian Marine Legion</t>
  </si>
  <si>
    <t xml:space="preserve">Elite Guardian Marine Legion</t>
  </si>
  <si>
    <t xml:space="preserve">Ascendant Guardian Marine Legion</t>
  </si>
  <si>
    <t xml:space="preserve">Transcendent Guardian Marine Legion</t>
  </si>
  <si>
    <t xml:space="preserve">Mythic Guardian Marine Legion</t>
  </si>
  <si>
    <t xml:space="preserve">Refined Hauler Convoy</t>
  </si>
  <si>
    <t xml:space="preserve">Elite Hauler Convoy</t>
  </si>
  <si>
    <t xml:space="preserve">Ascendant Hauler Convoy</t>
  </si>
  <si>
    <t xml:space="preserve">Transcendent Hauler Convoy</t>
  </si>
  <si>
    <t xml:space="preserve">Mythic Hauler Convoy</t>
  </si>
  <si>
    <t xml:space="preserve">Asura Hauler Convoy</t>
  </si>
  <si>
    <t xml:space="preserve">Refined Asura Hauler Convoy</t>
  </si>
  <si>
    <t xml:space="preserve">Elite Asura Hauler Convoy</t>
  </si>
  <si>
    <t xml:space="preserve">Ascendant Asura Hauler Convoy</t>
  </si>
  <si>
    <t xml:space="preserve">Transcendent Asura Hauler Convoy</t>
  </si>
  <si>
    <t xml:space="preserve">Mythic Asura Hauler Convoy</t>
  </si>
  <si>
    <t xml:space="preserve">Guardian Hauler Convoy</t>
  </si>
  <si>
    <t xml:space="preserve">Refined Guardian Hauler Convoy</t>
  </si>
  <si>
    <t xml:space="preserve">Elite Guardian Hauler Convoy</t>
  </si>
  <si>
    <t xml:space="preserve">Ascendant Guardian Hauler Convoy</t>
  </si>
  <si>
    <t xml:space="preserve">Transcendent Guardian Hauler Convoy</t>
  </si>
  <si>
    <t xml:space="preserve">Mythic Guardian Hauler Convoy</t>
  </si>
  <si>
    <t xml:space="preserve">Refined Gate Engineer</t>
  </si>
  <si>
    <t xml:space="preserve">Elite Gate Engineer</t>
  </si>
  <si>
    <t xml:space="preserve">Ascendant Gate Engineer</t>
  </si>
  <si>
    <t xml:space="preserve">Transcendent Gate Engineer</t>
  </si>
  <si>
    <t xml:space="preserve">Mythic Gate Engineer</t>
  </si>
  <si>
    <t xml:space="preserve">Asura Gate Engineer</t>
  </si>
  <si>
    <t xml:space="preserve">Refined Asura Gate Engineer</t>
  </si>
  <si>
    <t xml:space="preserve">Elite Asura Gate Engineer</t>
  </si>
  <si>
    <t xml:space="preserve">Ascendant Asura Gate Engineer</t>
  </si>
  <si>
    <t xml:space="preserve">Transcendent Asura Gate Engineer</t>
  </si>
  <si>
    <t xml:space="preserve">Mythic Asura Gate Engineer</t>
  </si>
  <si>
    <t xml:space="preserve">Guardian Gate Engineer</t>
  </si>
  <si>
    <t xml:space="preserve">Refined Guardian Gate Engineer</t>
  </si>
  <si>
    <t xml:space="preserve">Elite Guardian Gate Engineer</t>
  </si>
  <si>
    <t xml:space="preserve">Ascendant Guardian Gate Engineer</t>
  </si>
  <si>
    <t xml:space="preserve">Transcendent Guardian Gate Engineer</t>
  </si>
  <si>
    <t xml:space="preserve">Mythic Guardian Gate Engineer</t>
  </si>
  <si>
    <t xml:space="preserve">Refined Void Prophet</t>
  </si>
  <si>
    <t xml:space="preserve">Elite Void Prophet</t>
  </si>
  <si>
    <t xml:space="preserve">Ascendant Void Prophet</t>
  </si>
  <si>
    <t xml:space="preserve">Transcendent Void Prophet</t>
  </si>
  <si>
    <t xml:space="preserve">Mythic Void Prophet</t>
  </si>
  <si>
    <t xml:space="preserve">Asura Void Prophet</t>
  </si>
  <si>
    <t xml:space="preserve">Refined Asura Void Prophet</t>
  </si>
  <si>
    <t xml:space="preserve">Elite Asura Void Prophet</t>
  </si>
  <si>
    <t xml:space="preserve">Ascendant Asura Void Prophet</t>
  </si>
  <si>
    <t xml:space="preserve">Transcendent Asura Void Prophet</t>
  </si>
  <si>
    <t xml:space="preserve">Mythic Asura Void Prophet</t>
  </si>
  <si>
    <t xml:space="preserve">Guardian Void Prophet</t>
  </si>
  <si>
    <t xml:space="preserve">Refined Guardian Void Prophet</t>
  </si>
  <si>
    <t xml:space="preserve">Elite Guardian Void Prophet</t>
  </si>
  <si>
    <t xml:space="preserve">Ascendant Guardian Void Prophet</t>
  </si>
  <si>
    <t xml:space="preserve">Transcendent Guardian Void Prophet</t>
  </si>
  <si>
    <t xml:space="preserve">Mythic Guardian Void Prophet</t>
  </si>
  <si>
    <t xml:space="preserve">Refined Sentinel Platform</t>
  </si>
  <si>
    <t xml:space="preserve">Elite Sentinel Platform</t>
  </si>
  <si>
    <t xml:space="preserve">Ascendant Sentinel Platform</t>
  </si>
  <si>
    <t xml:space="preserve">Transcendent Sentinel Platform</t>
  </si>
  <si>
    <t xml:space="preserve">Mythic Sentinel Platform</t>
  </si>
  <si>
    <t xml:space="preserve">Asura Sentinel Platform</t>
  </si>
  <si>
    <t xml:space="preserve">Refined Asura Sentinel Platform</t>
  </si>
  <si>
    <t xml:space="preserve">Elite Asura Sentinel Platform</t>
  </si>
  <si>
    <t xml:space="preserve">Ascendant Asura Sentinel Platform</t>
  </si>
  <si>
    <t xml:space="preserve">Transcendent Asura Sentinel Platform</t>
  </si>
  <si>
    <t xml:space="preserve">Mythic Asura Sentinel Platform</t>
  </si>
  <si>
    <t xml:space="preserve">Guardian Sentinel Platform</t>
  </si>
  <si>
    <t xml:space="preserve">Refined Guardian Sentinel Platform</t>
  </si>
  <si>
    <t xml:space="preserve">Elite Guardian Sentinel Platform</t>
  </si>
  <si>
    <t xml:space="preserve">Ascendant Guardian Sentinel Platform</t>
  </si>
  <si>
    <t xml:space="preserve">Transcendent Guardian Sentinel Platform</t>
  </si>
  <si>
    <t xml:space="preserve">Mythic Guardian Sentinel Platform</t>
  </si>
  <si>
    <t xml:space="preserve">Refined Armada Tender</t>
  </si>
  <si>
    <t xml:space="preserve">Elite Armada Tender</t>
  </si>
  <si>
    <t xml:space="preserve">Ascendant Armada Tender</t>
  </si>
  <si>
    <t xml:space="preserve">Transcendent Armada Tender</t>
  </si>
  <si>
    <t xml:space="preserve">Mythic Armada Tender</t>
  </si>
  <si>
    <t xml:space="preserve">Asura Armada Tender</t>
  </si>
  <si>
    <t xml:space="preserve">Refined Asura Armada Tender</t>
  </si>
  <si>
    <t xml:space="preserve">Elite Asura Armada Tender</t>
  </si>
  <si>
    <t xml:space="preserve">Ascendant Asura Armada Tender</t>
  </si>
  <si>
    <t xml:space="preserve">Transcendent Asura Armada Tender</t>
  </si>
  <si>
    <t xml:space="preserve">Mythic Asura Armada Tender</t>
  </si>
  <si>
    <t xml:space="preserve">Guardian Armada Tender</t>
  </si>
  <si>
    <t xml:space="preserve">Refined Guardian Armada Tender</t>
  </si>
  <si>
    <t xml:space="preserve">Elite Guardian Armada Tender</t>
  </si>
  <si>
    <t xml:space="preserve">Ascendant Guardian Armada Tender</t>
  </si>
  <si>
    <t xml:space="preserve">Transcendent Guardian Armada Tender</t>
  </si>
  <si>
    <t xml:space="preserve">Mythic Guardian Armada Tender</t>
  </si>
  <si>
    <t xml:space="preserve">Refined Planet-Cracker</t>
  </si>
  <si>
    <t xml:space="preserve">Elite Planet-Cracker</t>
  </si>
  <si>
    <t xml:space="preserve">Ascendant Planet-Cracker</t>
  </si>
  <si>
    <t xml:space="preserve">Transcendent Planet-Cracker</t>
  </si>
  <si>
    <t xml:space="preserve">Mythic Planet-Cracker</t>
  </si>
  <si>
    <t xml:space="preserve">Asura Planet-Cracker</t>
  </si>
  <si>
    <t xml:space="preserve">Refined Asura Planet-Cracker</t>
  </si>
  <si>
    <t xml:space="preserve">Elite Asura Planet-Cracker</t>
  </si>
  <si>
    <t xml:space="preserve">Ascendant Asura Planet-Cracker</t>
  </si>
  <si>
    <t xml:space="preserve">Transcendent Asura Planet-Cracker</t>
  </si>
  <si>
    <t xml:space="preserve">Mythic Asura Planet-Cracker</t>
  </si>
  <si>
    <t xml:space="preserve">Guardian Planet-Cracker</t>
  </si>
  <si>
    <t xml:space="preserve">Refined Guardian Planet-Cracker</t>
  </si>
  <si>
    <t xml:space="preserve">Elite Guardian Planet-Cracker</t>
  </si>
  <si>
    <t xml:space="preserve">Ascendant Guardian Planet-Cracker</t>
  </si>
  <si>
    <t xml:space="preserve">Transcendent Guardian Planet-Cracker</t>
  </si>
  <si>
    <t xml:space="preserve">Mythic Guardian Planet-Cracker</t>
  </si>
  <si>
    <t xml:space="preserve">Refined Dao Sovereign Guard</t>
  </si>
  <si>
    <t xml:space="preserve">Elite Dao Sovereign Guard</t>
  </si>
  <si>
    <t xml:space="preserve">Ascendant Dao Sovereign Guard</t>
  </si>
  <si>
    <t xml:space="preserve">Transcendent Dao Sovereign Guard</t>
  </si>
  <si>
    <t xml:space="preserve">Mythic Dao Sovereign Guard</t>
  </si>
  <si>
    <t xml:space="preserve">Asura Dao Sovereign Guard</t>
  </si>
  <si>
    <t xml:space="preserve">Refined Asura Dao Sovereign Guard</t>
  </si>
  <si>
    <t xml:space="preserve">Elite Asura Dao Sovereign Guard</t>
  </si>
  <si>
    <t xml:space="preserve">Ascendant Asura Dao Sovereign Guard</t>
  </si>
  <si>
    <t xml:space="preserve">Transcendent Asura Dao Sovereign Guard</t>
  </si>
  <si>
    <t xml:space="preserve">Mythic Asura Dao Sovereign Guard</t>
  </si>
  <si>
    <t xml:space="preserve">Guardian Dao Sovereign Guard</t>
  </si>
  <si>
    <t xml:space="preserve">Refined Guardian Dao Sovereign Guard</t>
  </si>
  <si>
    <t xml:space="preserve">Elite Guardian Dao Sovereign Guard</t>
  </si>
  <si>
    <t xml:space="preserve">Ascendant Guardian Dao Sovereign Guard</t>
  </si>
  <si>
    <t xml:space="preserve">Transcendent Guardian Dao Sovereign Guard</t>
  </si>
  <si>
    <t xml:space="preserve">Mythic Guardian Dao Sovereign Guard</t>
  </si>
  <si>
    <t xml:space="preserve">Refined Sword Intent Legion</t>
  </si>
  <si>
    <t xml:space="preserve">Elite Sword Intent Legion</t>
  </si>
  <si>
    <t xml:space="preserve">Ascendant Sword Intent Legion</t>
  </si>
  <si>
    <t xml:space="preserve">Transcendent Sword Intent Legion</t>
  </si>
  <si>
    <t xml:space="preserve">Mythic Sword Intent Legion</t>
  </si>
  <si>
    <t xml:space="preserve">Asura Sword Intent Legion</t>
  </si>
  <si>
    <t xml:space="preserve">Refined Asura Sword Intent Legion</t>
  </si>
  <si>
    <t xml:space="preserve">Elite Asura Sword Intent Legion</t>
  </si>
  <si>
    <t xml:space="preserve">Ascendant Asura Sword Intent Legion</t>
  </si>
  <si>
    <t xml:space="preserve">Transcendent Asura Sword Intent Legion</t>
  </si>
  <si>
    <t xml:space="preserve">Mythic Asura Sword Intent Legion</t>
  </si>
  <si>
    <t xml:space="preserve">Guardian Sword Intent Legion</t>
  </si>
  <si>
    <t xml:space="preserve">Refined Guardian Sword Intent Legion</t>
  </si>
  <si>
    <t xml:space="preserve">Elite Guardian Sword Intent Legion</t>
  </si>
  <si>
    <t xml:space="preserve">Ascendant Guardian Sword Intent Legion</t>
  </si>
  <si>
    <t xml:space="preserve">Transcendent Guardian Sword Intent Legion</t>
  </si>
  <si>
    <t xml:space="preserve">Mythic Guardian Sword Intent Legion</t>
  </si>
  <si>
    <t xml:space="preserve">Refined Lattice Line Ship</t>
  </si>
  <si>
    <t xml:space="preserve">Elite Lattice Line Ship</t>
  </si>
  <si>
    <t xml:space="preserve">Ascendant Lattice Line Ship</t>
  </si>
  <si>
    <t xml:space="preserve">Transcendent Lattice Line Ship</t>
  </si>
  <si>
    <t xml:space="preserve">Mythic Lattice Line Ship</t>
  </si>
  <si>
    <t xml:space="preserve">Asura Lattice Line Ship</t>
  </si>
  <si>
    <t xml:space="preserve">Refined Asura Lattice Line Ship</t>
  </si>
  <si>
    <t xml:space="preserve">Elite Asura Lattice Line Ship</t>
  </si>
  <si>
    <t xml:space="preserve">Ascendant Asura Lattice Line Ship</t>
  </si>
  <si>
    <t xml:space="preserve">Transcendent Asura Lattice Line Ship</t>
  </si>
  <si>
    <t xml:space="preserve">Mythic Asura Lattice Line Ship</t>
  </si>
  <si>
    <t xml:space="preserve">Guardian Lattice Line Ship</t>
  </si>
  <si>
    <t xml:space="preserve">Refined Guardian Lattice Line Ship</t>
  </si>
  <si>
    <t xml:space="preserve">Elite Guardian Lattice Line Ship</t>
  </si>
  <si>
    <t xml:space="preserve">Ascendant Guardian Lattice Line Ship</t>
  </si>
  <si>
    <t xml:space="preserve">Transcendent Guardian Lattice Line Ship</t>
  </si>
  <si>
    <t xml:space="preserve">Mythic Guardian Lattice Line Ship</t>
  </si>
  <si>
    <t xml:space="preserve">Refined Void Reaver</t>
  </si>
  <si>
    <t xml:space="preserve">Elite Void Reaver</t>
  </si>
  <si>
    <t xml:space="preserve">Ascendant Void Reaver</t>
  </si>
  <si>
    <t xml:space="preserve">Transcendent Void Reaver</t>
  </si>
  <si>
    <t xml:space="preserve">Mythic Void Reaver</t>
  </si>
  <si>
    <t xml:space="preserve">Asura Void Reaver</t>
  </si>
  <si>
    <t xml:space="preserve">Refined Asura Void Reaver</t>
  </si>
  <si>
    <t xml:space="preserve">Elite Asura Void Reaver</t>
  </si>
  <si>
    <t xml:space="preserve">Ascendant Asura Void Reaver</t>
  </si>
  <si>
    <t xml:space="preserve">Transcendent Asura Void Reaver</t>
  </si>
  <si>
    <t xml:space="preserve">Mythic Asura Void Reaver</t>
  </si>
  <si>
    <t xml:space="preserve">Guardian Void Reaver</t>
  </si>
  <si>
    <t xml:space="preserve">Refined Guardian Void Reaver</t>
  </si>
  <si>
    <t xml:space="preserve">Elite Guardian Void Reaver</t>
  </si>
  <si>
    <t xml:space="preserve">Ascendant Guardian Void Reaver</t>
  </si>
  <si>
    <t xml:space="preserve">Transcendent Guardian Void Reaver</t>
  </si>
  <si>
    <t xml:space="preserve">Mythic Guardian Void Reaver</t>
  </si>
  <si>
    <t xml:space="preserve">Refined Bridge Guardian</t>
  </si>
  <si>
    <t xml:space="preserve">Elite Bridge Guardian</t>
  </si>
  <si>
    <t xml:space="preserve">Ascendant Bridge Guardian</t>
  </si>
  <si>
    <t xml:space="preserve">Transcendent Bridge Guardian</t>
  </si>
  <si>
    <t xml:space="preserve">Mythic Bridge Guardian</t>
  </si>
  <si>
    <t xml:space="preserve">Asura Bridge Guardian</t>
  </si>
  <si>
    <t xml:space="preserve">Refined Asura Bridge Guardian</t>
  </si>
  <si>
    <t xml:space="preserve">Elite Asura Bridge Guardian</t>
  </si>
  <si>
    <t xml:space="preserve">Ascendant Asura Bridge Guardian</t>
  </si>
  <si>
    <t xml:space="preserve">Transcendent Asura Bridge Guardian</t>
  </si>
  <si>
    <t xml:space="preserve">Mythic Asura Bridge Guardian</t>
  </si>
  <si>
    <t xml:space="preserve">Guardian Bridge Guardian</t>
  </si>
  <si>
    <t xml:space="preserve">Refined Guardian Bridge Guardian</t>
  </si>
  <si>
    <t xml:space="preserve">Elite Guardian Bridge Guardian</t>
  </si>
  <si>
    <t xml:space="preserve">Ascendant Guardian Bridge Guardian</t>
  </si>
  <si>
    <t xml:space="preserve">Transcendent Guardian Bridge Guardian</t>
  </si>
  <si>
    <t xml:space="preserve">Mythic Guardian Bridge Guardian</t>
  </si>
  <si>
    <t xml:space="preserve">Refined Harvest Titan</t>
  </si>
  <si>
    <t xml:space="preserve">Elite Harvest Titan</t>
  </si>
  <si>
    <t xml:space="preserve">Ascendant Harvest Titan</t>
  </si>
  <si>
    <t xml:space="preserve">Transcendent Harvest Titan</t>
  </si>
  <si>
    <t xml:space="preserve">Mythic Harvest Titan</t>
  </si>
  <si>
    <t xml:space="preserve">Asura Harvest Titan</t>
  </si>
  <si>
    <t xml:space="preserve">Refined Asura Harvest Titan</t>
  </si>
  <si>
    <t xml:space="preserve">Elite Asura Harvest Titan</t>
  </si>
  <si>
    <t xml:space="preserve">Ascendant Asura Harvest Titan</t>
  </si>
  <si>
    <t xml:space="preserve">Transcendent Asura Harvest Titan</t>
  </si>
  <si>
    <t xml:space="preserve">Mythic Asura Harvest Titan</t>
  </si>
  <si>
    <t xml:space="preserve">Guardian Harvest Titan</t>
  </si>
  <si>
    <t xml:space="preserve">Refined Guardian Harvest Titan</t>
  </si>
  <si>
    <t xml:space="preserve">Elite Guardian Harvest Titan</t>
  </si>
  <si>
    <t xml:space="preserve">Ascendant Guardian Harvest Titan</t>
  </si>
  <si>
    <t xml:space="preserve">Transcendent Guardian Harvest Titan</t>
  </si>
  <si>
    <t xml:space="preserve">Mythic Guardian Harvest Titan</t>
  </si>
  <si>
    <t xml:space="preserve">Refined Genesis Tender</t>
  </si>
  <si>
    <t xml:space="preserve">Elite Genesis Tender</t>
  </si>
  <si>
    <t xml:space="preserve">Ascendant Genesis Tender</t>
  </si>
  <si>
    <t xml:space="preserve">Transcendent Genesis Tender</t>
  </si>
  <si>
    <t xml:space="preserve">Mythic Genesis Tender</t>
  </si>
  <si>
    <t xml:space="preserve">Asura Genesis Tender</t>
  </si>
  <si>
    <t xml:space="preserve">Refined Asura Genesis Tender</t>
  </si>
  <si>
    <t xml:space="preserve">Elite Asura Genesis Tender</t>
  </si>
  <si>
    <t xml:space="preserve">Ascendant Asura Genesis Tender</t>
  </si>
  <si>
    <t xml:space="preserve">Transcendent Asura Genesis Tender</t>
  </si>
  <si>
    <t xml:space="preserve">Mythic Asura Genesis Tender</t>
  </si>
  <si>
    <t xml:space="preserve">Guardian Genesis Tender</t>
  </si>
  <si>
    <t xml:space="preserve">Refined Guardian Genesis Tender</t>
  </si>
  <si>
    <t xml:space="preserve">Elite Guardian Genesis Tender</t>
  </si>
  <si>
    <t xml:space="preserve">Ascendant Guardian Genesis Tender</t>
  </si>
  <si>
    <t xml:space="preserve">Transcendent Guardian Genesis Tender</t>
  </si>
  <si>
    <t xml:space="preserve">Mythic Guardian Genesis Tender</t>
  </si>
  <si>
    <t xml:space="preserve">Refined Echo Agent</t>
  </si>
  <si>
    <t xml:space="preserve">Elite Echo Agent</t>
  </si>
  <si>
    <t xml:space="preserve">Ascendant Echo Agent</t>
  </si>
  <si>
    <t xml:space="preserve">Transcendent Echo Agent</t>
  </si>
  <si>
    <t xml:space="preserve">Mythic Echo Agent</t>
  </si>
  <si>
    <t xml:space="preserve">Asura Echo Agent</t>
  </si>
  <si>
    <t xml:space="preserve">Refined Asura Echo Agent</t>
  </si>
  <si>
    <t xml:space="preserve">Elite Asura Echo Agent</t>
  </si>
  <si>
    <t xml:space="preserve">Ascendant Asura Echo Agent</t>
  </si>
  <si>
    <t xml:space="preserve">Transcendent Asura Echo Agent</t>
  </si>
  <si>
    <t xml:space="preserve">Mythic Asura Echo Agent</t>
  </si>
  <si>
    <t xml:space="preserve">Guardian Echo Agent</t>
  </si>
  <si>
    <t xml:space="preserve">Refined Guardian Echo Agent</t>
  </si>
  <si>
    <t xml:space="preserve">Elite Guardian Echo Agent</t>
  </si>
  <si>
    <t xml:space="preserve">Ascendant Guardian Echo Agent</t>
  </si>
  <si>
    <t xml:space="preserve">Transcendent Guardian Echo Agent</t>
  </si>
  <si>
    <t xml:space="preserve">Mythic Guardian Echo Agent</t>
  </si>
  <si>
    <t xml:space="preserve">Refined Continuum Bastion</t>
  </si>
  <si>
    <t xml:space="preserve">Elite Continuum Bastion</t>
  </si>
  <si>
    <t xml:space="preserve">Ascendant Continuum Bastion</t>
  </si>
  <si>
    <t xml:space="preserve">Transcendent Continuum Bastion</t>
  </si>
  <si>
    <t xml:space="preserve">Mythic Continuum Bastion</t>
  </si>
  <si>
    <t xml:space="preserve">Asura Continuum Bastion</t>
  </si>
  <si>
    <t xml:space="preserve">Refined Asura Continuum Bastion</t>
  </si>
  <si>
    <t xml:space="preserve">Elite Asura Continuum Bastion</t>
  </si>
  <si>
    <t xml:space="preserve">Ascendant Asura Continuum Bastion</t>
  </si>
  <si>
    <t xml:space="preserve">Transcendent Asura Continuum Bastion</t>
  </si>
  <si>
    <t xml:space="preserve">Mythic Asura Continuum Bastion</t>
  </si>
  <si>
    <t xml:space="preserve">Guardian Continuum Bastion</t>
  </si>
  <si>
    <t xml:space="preserve">Refined Guardian Continuum Bastion</t>
  </si>
  <si>
    <t xml:space="preserve">Elite Guardian Continuum Bastion</t>
  </si>
  <si>
    <t xml:space="preserve">Ascendant Guardian Continuum Bastion</t>
  </si>
  <si>
    <t xml:space="preserve">Transcendent Guardian Continuum Bastion</t>
  </si>
  <si>
    <t xml:space="preserve">Mythic Guardian Continuum Bastion</t>
  </si>
  <si>
    <t xml:space="preserve">Refined Path Avatar</t>
  </si>
  <si>
    <t xml:space="preserve">Elite Path Avatar</t>
  </si>
  <si>
    <t xml:space="preserve">Ascendant Path Avatar</t>
  </si>
  <si>
    <t xml:space="preserve">Transcendent Path Avatar</t>
  </si>
  <si>
    <t xml:space="preserve">Mythic Path Avatar</t>
  </si>
  <si>
    <t xml:space="preserve">Asura Path Avatar</t>
  </si>
  <si>
    <t xml:space="preserve">Refined Asura Path Avatar</t>
  </si>
  <si>
    <t xml:space="preserve">Elite Asura Path Avatar</t>
  </si>
  <si>
    <t xml:space="preserve">Ascendant Asura Path Avatar</t>
  </si>
  <si>
    <t xml:space="preserve">Transcendent Asura Path Avatar</t>
  </si>
  <si>
    <t xml:space="preserve">Mythic Asura Path Avatar</t>
  </si>
  <si>
    <t xml:space="preserve">Guardian Path Avatar</t>
  </si>
  <si>
    <t xml:space="preserve">Refined Guardian Path Avatar</t>
  </si>
  <si>
    <t xml:space="preserve">Elite Guardian Path Avatar</t>
  </si>
  <si>
    <t xml:space="preserve">Ascendant Guardian Path Avatar</t>
  </si>
  <si>
    <t xml:space="preserve">Transcendent Guardian Path Avatar</t>
  </si>
  <si>
    <t xml:space="preserve">Mythic Guardian Path Avatar</t>
  </si>
  <si>
    <t xml:space="preserve">Refined Void Ark</t>
  </si>
  <si>
    <t xml:space="preserve">Elite Void Ark</t>
  </si>
  <si>
    <t xml:space="preserve">Ascendant Void Ark</t>
  </si>
  <si>
    <t xml:space="preserve">Transcendent Void Ark</t>
  </si>
  <si>
    <t xml:space="preserve">Mythic Void Ark</t>
  </si>
  <si>
    <t xml:space="preserve">Asura Void Ark</t>
  </si>
  <si>
    <t xml:space="preserve">Refined Asura Void Ark</t>
  </si>
  <si>
    <t xml:space="preserve">Elite Asura Void Ark</t>
  </si>
  <si>
    <t xml:space="preserve">Ascendant Asura Void Ark</t>
  </si>
  <si>
    <t xml:space="preserve">Transcendent Asura Void Ark</t>
  </si>
  <si>
    <t xml:space="preserve">Mythic Asura Void Ark</t>
  </si>
  <si>
    <t xml:space="preserve">Guardian Void Ark</t>
  </si>
  <si>
    <t xml:space="preserve">Refined Guardian Void Ark</t>
  </si>
  <si>
    <t xml:space="preserve">Elite Guardian Void Ark</t>
  </si>
  <si>
    <t xml:space="preserve">Ascendant Guardian Void Ark</t>
  </si>
  <si>
    <t xml:space="preserve">Transcendent Guardian Void Ark</t>
  </si>
  <si>
    <t xml:space="preserve">Mythic Guardian Void Ark</t>
  </si>
  <si>
    <t xml:space="preserve">Refined Aether Sworn</t>
  </si>
  <si>
    <t xml:space="preserve">Elite Aether Sworn</t>
  </si>
  <si>
    <t xml:space="preserve">Ascendant Aether Sworn</t>
  </si>
  <si>
    <t xml:space="preserve">Transcendent Aether Sworn</t>
  </si>
  <si>
    <t xml:space="preserve">Mythic Aether Sworn</t>
  </si>
  <si>
    <t xml:space="preserve">Asura Aether Sworn</t>
  </si>
  <si>
    <t xml:space="preserve">Refined Asura Aether Sworn</t>
  </si>
  <si>
    <t xml:space="preserve">Elite Asura Aether Sworn</t>
  </si>
  <si>
    <t xml:space="preserve">Ascendant Asura Aether Sworn</t>
  </si>
  <si>
    <t xml:space="preserve">Transcendent Asura Aether Sworn</t>
  </si>
  <si>
    <t xml:space="preserve">Mythic Asura Aether Sworn</t>
  </si>
  <si>
    <t xml:space="preserve">Guardian Aether Sworn</t>
  </si>
  <si>
    <t xml:space="preserve">Refined Guardian Aether Sworn</t>
  </si>
  <si>
    <t xml:space="preserve">Elite Guardian Aether Sworn</t>
  </si>
  <si>
    <t xml:space="preserve">Ascendant Guardian Aether Sworn</t>
  </si>
  <si>
    <t xml:space="preserve">Transcendent Guardian Aether Sworn</t>
  </si>
  <si>
    <t xml:space="preserve">Mythic Guardian Aether Sworn</t>
  </si>
  <si>
    <t xml:space="preserve">Refined Dao Manifest Choir</t>
  </si>
  <si>
    <t xml:space="preserve">Elite Dao Manifest Choir</t>
  </si>
  <si>
    <t xml:space="preserve">Ascendant Dao Manifest Choir</t>
  </si>
  <si>
    <t xml:space="preserve">Transcendent Dao Manifest Choir</t>
  </si>
  <si>
    <t xml:space="preserve">Mythic Dao Manifest Choir</t>
  </si>
  <si>
    <t xml:space="preserve">Asura Dao Manifest Choir</t>
  </si>
  <si>
    <t xml:space="preserve">Refined Asura Dao Manifest Choir</t>
  </si>
  <si>
    <t xml:space="preserve">Elite Asura Dao Manifest Choir</t>
  </si>
  <si>
    <t xml:space="preserve">Ascendant Asura Dao Manifest Choir</t>
  </si>
  <si>
    <t xml:space="preserve">Transcendent Asura Dao Manifest Choir</t>
  </si>
  <si>
    <t xml:space="preserve">Mythic Asura Dao Manifest Choir</t>
  </si>
  <si>
    <t xml:space="preserve">Guardian Dao Manifest Choir</t>
  </si>
  <si>
    <t xml:space="preserve">Refined Guardian Dao Manifest Choir</t>
  </si>
  <si>
    <t xml:space="preserve">Elite Guardian Dao Manifest Choir</t>
  </si>
  <si>
    <t xml:space="preserve">Ascendant Guardian Dao Manifest Choir</t>
  </si>
  <si>
    <t xml:space="preserve">Transcendent Guardian Dao Manifest Choir</t>
  </si>
  <si>
    <t xml:space="preserve">Mythic Guardian Dao Manifest Choir</t>
  </si>
  <si>
    <t xml:space="preserve">Refined Silent Hunter</t>
  </si>
  <si>
    <t xml:space="preserve">Elite Silent Hunter</t>
  </si>
  <si>
    <t xml:space="preserve">Ascendant Silent Hunter</t>
  </si>
  <si>
    <t xml:space="preserve">Transcendent Silent Hunter</t>
  </si>
  <si>
    <t xml:space="preserve">Mythic Silent Hunter</t>
  </si>
  <si>
    <t xml:space="preserve">Asura Silent Hunter</t>
  </si>
  <si>
    <t xml:space="preserve">Refined Asura Silent Hunter</t>
  </si>
  <si>
    <t xml:space="preserve">Elite Asura Silent Hunter</t>
  </si>
  <si>
    <t xml:space="preserve">Ascendant Asura Silent Hunter</t>
  </si>
  <si>
    <t xml:space="preserve">Transcendent Asura Silent Hunter</t>
  </si>
  <si>
    <t xml:space="preserve">Mythic Asura Silent Hunter</t>
  </si>
  <si>
    <t xml:space="preserve">Guardian Silent Hunter</t>
  </si>
  <si>
    <t xml:space="preserve">Refined Guardian Silent Hunter</t>
  </si>
  <si>
    <t xml:space="preserve">Elite Guardian Silent Hunter</t>
  </si>
  <si>
    <t xml:space="preserve">Ascendant Guardian Silent Hunter</t>
  </si>
  <si>
    <t xml:space="preserve">Transcendent Guardian Silent Hunter</t>
  </si>
  <si>
    <t xml:space="preserve">Mythic Guardian Silent Hunter</t>
  </si>
  <si>
    <t xml:space="preserve">Refined Worldseed Escort</t>
  </si>
  <si>
    <t xml:space="preserve">Elite Worldseed Escort</t>
  </si>
  <si>
    <t xml:space="preserve">Ascendant Worldseed Escort</t>
  </si>
  <si>
    <t xml:space="preserve">Transcendent Worldseed Escort</t>
  </si>
  <si>
    <t xml:space="preserve">Mythic Worldseed Escort</t>
  </si>
  <si>
    <t xml:space="preserve">Asura Worldseed Escort</t>
  </si>
  <si>
    <t xml:space="preserve">Refined Asura Worldseed Escort</t>
  </si>
  <si>
    <t xml:space="preserve">Elite Asura Worldseed Escort</t>
  </si>
  <si>
    <t xml:space="preserve">Ascendant Asura Worldseed Escort</t>
  </si>
  <si>
    <t xml:space="preserve">Transcendent Asura Worldseed Escort</t>
  </si>
  <si>
    <t xml:space="preserve">Mythic Asura Worldseed Escort</t>
  </si>
  <si>
    <t xml:space="preserve">Guardian Worldseed Escort</t>
  </si>
  <si>
    <t xml:space="preserve">Refined Guardian Worldseed Escort</t>
  </si>
  <si>
    <t xml:space="preserve">Elite Guardian Worldseed Escort</t>
  </si>
  <si>
    <t xml:space="preserve">Ascendant Guardian Worldseed Escort</t>
  </si>
  <si>
    <t xml:space="preserve">Transcendent Guardian Worldseed Escort</t>
  </si>
  <si>
    <t xml:space="preserve">Mythic Guardian Worldseed Escort</t>
  </si>
  <si>
    <t xml:space="preserve">Refined Tribulation Vanguard</t>
  </si>
  <si>
    <t xml:space="preserve">Elite Tribulation Vanguard</t>
  </si>
  <si>
    <t xml:space="preserve">Ascendant Tribulation Vanguard</t>
  </si>
  <si>
    <t xml:space="preserve">Transcendent Tribulation Vanguard</t>
  </si>
  <si>
    <t xml:space="preserve">Mythic Tribulation Vanguard</t>
  </si>
  <si>
    <t xml:space="preserve">Asura Tribulation Vanguard</t>
  </si>
  <si>
    <t xml:space="preserve">Refined Asura Tribulation Vanguard</t>
  </si>
  <si>
    <t xml:space="preserve">Elite Asura Tribulation Vanguard</t>
  </si>
  <si>
    <t xml:space="preserve">Ascendant Asura Tribulation Vanguard</t>
  </si>
  <si>
    <t xml:space="preserve">Transcendent Asura Tribulation Vanguard</t>
  </si>
  <si>
    <t xml:space="preserve">Mythic Asura Tribulation Vanguard</t>
  </si>
  <si>
    <t xml:space="preserve">Guardian Tribulation Vanguard</t>
  </si>
  <si>
    <t xml:space="preserve">Refined Guardian Tribulation Vanguard</t>
  </si>
  <si>
    <t xml:space="preserve">Elite Guardian Tribulation Vanguard</t>
  </si>
  <si>
    <t xml:space="preserve">Ascendant Guardian Tribulation Vanguard</t>
  </si>
  <si>
    <t xml:space="preserve">Transcendent Guardian Tribulation Vanguard</t>
  </si>
  <si>
    <t xml:space="preserve">Mythic Guardian Tribulation Vanguard</t>
  </si>
  <si>
    <t xml:space="preserve">Refined Samsara Herald</t>
  </si>
  <si>
    <t xml:space="preserve">Elite Samsara Herald</t>
  </si>
  <si>
    <t xml:space="preserve">Ascendant Samsara Herald</t>
  </si>
  <si>
    <t xml:space="preserve">Transcendent Samsara Herald</t>
  </si>
  <si>
    <t xml:space="preserve">Mythic Samsara Herald</t>
  </si>
  <si>
    <t xml:space="preserve">Asura Samsara Herald</t>
  </si>
  <si>
    <t xml:space="preserve">Refined Asura Samsara Herald</t>
  </si>
  <si>
    <t xml:space="preserve">Elite Asura Samsara Herald</t>
  </si>
  <si>
    <t xml:space="preserve">Ascendant Asura Samsara Herald</t>
  </si>
  <si>
    <t xml:space="preserve">Transcendent Asura Samsara Herald</t>
  </si>
  <si>
    <t xml:space="preserve">Mythic Asura Samsara Herald</t>
  </si>
  <si>
    <t xml:space="preserve">Guardian Samsara Herald</t>
  </si>
  <si>
    <t xml:space="preserve">Refined Guardian Samsara Herald</t>
  </si>
  <si>
    <t xml:space="preserve">Elite Guardian Samsara Herald</t>
  </si>
  <si>
    <t xml:space="preserve">Ascendant Guardian Samsara Herald</t>
  </si>
  <si>
    <t xml:space="preserve">Transcendent Guardian Samsara Herald</t>
  </si>
  <si>
    <t xml:space="preserve">Mythic Guardian Samsara Herald</t>
  </si>
  <si>
    <t xml:space="preserve">Refined Aether Weaver</t>
  </si>
  <si>
    <t xml:space="preserve">Elite Aether Weaver</t>
  </si>
  <si>
    <t xml:space="preserve">Ascendant Aether Weaver</t>
  </si>
  <si>
    <t xml:space="preserve">Transcendent Aether Weaver</t>
  </si>
  <si>
    <t xml:space="preserve">Mythic Aether Weaver</t>
  </si>
  <si>
    <t xml:space="preserve">Asura Aether Weaver</t>
  </si>
  <si>
    <t xml:space="preserve">Refined Asura Aether Weaver</t>
  </si>
  <si>
    <t xml:space="preserve">Elite Asura Aether Weaver</t>
  </si>
  <si>
    <t xml:space="preserve">Ascendant Asura Aether Weaver</t>
  </si>
  <si>
    <t xml:space="preserve">Transcendent Asura Aether Weaver</t>
  </si>
  <si>
    <t xml:space="preserve">Mythic Asura Aether Weaver</t>
  </si>
  <si>
    <t xml:space="preserve">Guardian Aether Weaver</t>
  </si>
  <si>
    <t xml:space="preserve">Refined Guardian Aether Weaver</t>
  </si>
  <si>
    <t xml:space="preserve">Elite Guardian Aether Weaver</t>
  </si>
  <si>
    <t xml:space="preserve">Ascendant Guardian Aether Weaver</t>
  </si>
  <si>
    <t xml:space="preserve">Transcendent Guardian Aether Weaver</t>
  </si>
  <si>
    <t xml:space="preserve">Mythic Guardian Aether Weaver</t>
  </si>
  <si>
    <t xml:space="preserve">Refined Primordial Beast Rider</t>
  </si>
  <si>
    <t xml:space="preserve">Elite Primordial Beast Rider</t>
  </si>
  <si>
    <t xml:space="preserve">Ascendant Primordial Beast Rider</t>
  </si>
  <si>
    <t xml:space="preserve">Transcendent Primordial Beast Rider</t>
  </si>
  <si>
    <t xml:space="preserve">Mythic Primordial Beast Rider</t>
  </si>
  <si>
    <t xml:space="preserve">Asura Primordial Beast Rider</t>
  </si>
  <si>
    <t xml:space="preserve">Refined Asura Primordial Beast Rider</t>
  </si>
  <si>
    <t xml:space="preserve">Elite Asura Primordial Beast Rider</t>
  </si>
  <si>
    <t xml:space="preserve">Ascendant Asura Primordial Beast Rider</t>
  </si>
  <si>
    <t xml:space="preserve">Transcendent Asura Primordial Beast Rider</t>
  </si>
  <si>
    <t xml:space="preserve">Mythic Asura Primordial Beast Rider</t>
  </si>
  <si>
    <t xml:space="preserve">Guardian Primordial Beast Rider</t>
  </si>
  <si>
    <t xml:space="preserve">Refined Guardian Primordial Beast Rider</t>
  </si>
  <si>
    <t xml:space="preserve">Elite Guardian Primordial Beast Rider</t>
  </si>
  <si>
    <t xml:space="preserve">Ascendant Guardian Primordial Beast Rider</t>
  </si>
  <si>
    <t xml:space="preserve">Transcendent Guardian Primordial Beast Rider</t>
  </si>
  <si>
    <t xml:space="preserve">Mythic Guardian Primordial Beast Rider</t>
  </si>
  <si>
    <t xml:space="preserve">Refined Boundless Swarm</t>
  </si>
  <si>
    <t xml:space="preserve">Elite Boundless Swarm</t>
  </si>
  <si>
    <t xml:space="preserve">Ascendant Boundless Swarm</t>
  </si>
  <si>
    <t xml:space="preserve">Transcendent Boundless Swarm</t>
  </si>
  <si>
    <t xml:space="preserve">Mythic Boundless Swarm</t>
  </si>
  <si>
    <t xml:space="preserve">Asura Boundless Swarm</t>
  </si>
  <si>
    <t xml:space="preserve">Refined Asura Boundless Swarm</t>
  </si>
  <si>
    <t xml:space="preserve">Elite Asura Boundless Swarm</t>
  </si>
  <si>
    <t xml:space="preserve">Ascendant Asura Boundless Swarm</t>
  </si>
  <si>
    <t xml:space="preserve">Transcendent Asura Boundless Swarm</t>
  </si>
  <si>
    <t xml:space="preserve">Mythic Asura Boundless Swarm</t>
  </si>
  <si>
    <t xml:space="preserve">Guardian Boundless Swarm</t>
  </si>
  <si>
    <t xml:space="preserve">Refined Guardian Boundless Swarm</t>
  </si>
  <si>
    <t xml:space="preserve">Elite Guardian Boundless Swarm</t>
  </si>
  <si>
    <t xml:space="preserve">Ascendant Guardian Boundless Swarm</t>
  </si>
  <si>
    <t xml:space="preserve">Transcendent Guardian Boundless Swarm</t>
  </si>
  <si>
    <t xml:space="preserve">Mythic Guardian Boundless Swarm</t>
  </si>
  <si>
    <t xml:space="preserve">Attacker role ↓ / Defender role →</t>
  </si>
  <si>
    <t xml:space="preserve">Damage multiplier applied to attacker vs. that defender role. 1.0 = neutral. Design inputs (blue), server-tunable.</t>
  </si>
  <si>
    <t xml:space="preserve">Discipline</t>
  </si>
  <si>
    <t xml:space="preserve">Branch</t>
  </si>
  <si>
    <t xml:space="preserve">Per-level effect (base)</t>
  </si>
  <si>
    <t xml:space="preserve">Grade breakthrough effect</t>
  </si>
  <si>
    <t xml:space="preserve">Prerequisite</t>
  </si>
  <si>
    <t xml:space="preserve">Agrarian Arts</t>
  </si>
  <si>
    <t xml:space="preserve">Economy</t>
  </si>
  <si>
    <t xml:space="preserve">+0.3% output in era systems / level</t>
  </si>
  <si>
    <t xml:space="preserve">Each grade (every 32 levels): unlocks a fork choice, a unit-grade gate, or an edict; requires Grade-Up cost + prerequisite (Grades_Realms)</t>
  </si>
  <si>
    <t xml:space="preserve">Tribal Warfare</t>
  </si>
  <si>
    <t xml:space="preserve">+0.25% era unit effectiveness / level</t>
  </si>
  <si>
    <t xml:space="preserve">Hearth Law</t>
  </si>
  <si>
    <t xml:space="preserve">Statecraft</t>
  </si>
  <si>
    <t xml:space="preserve">+0.3% era governance metric / level</t>
  </si>
  <si>
    <t xml:space="preserve">Guild Economics</t>
  </si>
  <si>
    <t xml:space="preserve">All Era 1 disciplines at Grade 12+ and era ascension complete</t>
  </si>
  <si>
    <t xml:space="preserve">Feudal Arms</t>
  </si>
  <si>
    <t xml:space="preserve">Crown &amp; Charter</t>
  </si>
  <si>
    <t xml:space="preserve">Mercantile Science</t>
  </si>
  <si>
    <t xml:space="preserve">All Era 2 disciplines at Grade 12+ and era ascension complete</t>
  </si>
  <si>
    <t xml:space="preserve">Powder Doctrine</t>
  </si>
  <si>
    <t xml:space="preserve">Imperial Administration</t>
  </si>
  <si>
    <t xml:space="preserve">Industrial Method</t>
  </si>
  <si>
    <t xml:space="preserve">All Era 3 disciplines at Grade 12+ and era ascension complete</t>
  </si>
  <si>
    <t xml:space="preserve">Combined Arms</t>
  </si>
  <si>
    <t xml:space="preserve">Mass Society</t>
  </si>
  <si>
    <t xml:space="preserve">Orbital Economics</t>
  </si>
  <si>
    <t xml:space="preserve">All Era 4 disciplines at Grade 12+ and era ascension complete</t>
  </si>
  <si>
    <t xml:space="preserve">Void Warfare</t>
  </si>
  <si>
    <t xml:space="preserve">System Governance</t>
  </si>
  <si>
    <t xml:space="preserve">Galactic Industry</t>
  </si>
  <si>
    <t xml:space="preserve">All Era 5 disciplines at Grade 12+ and era ascension complete</t>
  </si>
  <si>
    <t xml:space="preserve">Armada Doctrine</t>
  </si>
  <si>
    <t xml:space="preserve">Hegemony &amp; Concord</t>
  </si>
  <si>
    <t xml:space="preserve">Aether Economics</t>
  </si>
  <si>
    <t xml:space="preserve">All Era 6 disciplines at Grade 12+ and era ascension complete</t>
  </si>
  <si>
    <t xml:space="preserve">Transcendent War</t>
  </si>
  <si>
    <t xml:space="preserve">Dao of Rule</t>
  </si>
  <si>
    <t xml:space="preserve">Research time uses the same 500-year curve as buildings: Time(L) = K × (L+1)^1.9 × 1.003^L with K from Building_Levels!H2, so a full 0→1337 discipline climb totals exactly 500 years. Research cost at level L = base_rp × (L+1)^2.2 × 1.0035^L; grade breakthroughs use Grades_Realms Qi/resource costs. Per-level effects soft-cap: total joint non-doctrine bonus ≤ +40% (GDD §17.1).</t>
  </si>
  <si>
    <t xml:space="preserve">Item</t>
  </si>
  <si>
    <t xml:space="preserve">Slot</t>
  </si>
  <si>
    <t xml:space="preserve">Tier</t>
  </si>
  <si>
    <t xml:space="preserve">Quality</t>
  </si>
  <si>
    <t xml:space="preserve">Bonus %</t>
  </si>
  <si>
    <t xml:space="preserve">Material Cost Mult</t>
  </si>
  <si>
    <t xml:space="preserve">Source</t>
  </si>
  <si>
    <t xml:space="preserve">Slot base %</t>
  </si>
  <si>
    <t xml:space="preserve">Crude Bronze War Axe</t>
  </si>
  <si>
    <t xml:space="preserve">Weapon</t>
  </si>
  <si>
    <t xml:space="preserve">Crude</t>
  </si>
  <si>
    <t xml:space="preserve">Crafted (Smithy line by tier; Masterwork needs max Construction or Great Engineer)</t>
  </si>
  <si>
    <t xml:space="preserve">Standard Bronze War Axe</t>
  </si>
  <si>
    <t xml:space="preserve">Standard</t>
  </si>
  <si>
    <t xml:space="preserve">Protection</t>
  </si>
  <si>
    <t xml:space="preserve">Fine Bronze War Axe</t>
  </si>
  <si>
    <t xml:space="preserve">Fine</t>
  </si>
  <si>
    <t xml:space="preserve">Utility</t>
  </si>
  <si>
    <t xml:space="preserve">Masterwork Bronze War Axe</t>
  </si>
  <si>
    <t xml:space="preserve">Masterwork</t>
  </si>
  <si>
    <t xml:space="preserve">Relic Bronze War Axe</t>
  </si>
  <si>
    <t xml:space="preserve">Relic</t>
  </si>
  <si>
    <t xml:space="preserve">—</t>
  </si>
  <si>
    <t xml:space="preserve">Drop only: vaults, archaeology, tribulation forging</t>
  </si>
  <si>
    <t xml:space="preserve">Tier mult = 1 + 0.12×(tier−1)</t>
  </si>
  <si>
    <t xml:space="preserve">Crude Iron Pike</t>
  </si>
  <si>
    <t xml:space="preserve">Standard Iron Pike</t>
  </si>
  <si>
    <t xml:space="preserve">Fine Iron Pike</t>
  </si>
  <si>
    <t xml:space="preserve">Masterwork Iron Pike</t>
  </si>
  <si>
    <t xml:space="preserve">Relic Iron Pike</t>
  </si>
  <si>
    <t xml:space="preserve">Crude Folded Steel Blade</t>
  </si>
  <si>
    <t xml:space="preserve">Standard Folded Steel Blade</t>
  </si>
  <si>
    <t xml:space="preserve">Fine Folded Steel Blade</t>
  </si>
  <si>
    <t xml:space="preserve">Masterwork Folded Steel Blade</t>
  </si>
  <si>
    <t xml:space="preserve">Relic Folded Steel Blade</t>
  </si>
  <si>
    <t xml:space="preserve">Crude Rifled Musket</t>
  </si>
  <si>
    <t xml:space="preserve">Standard Rifled Musket</t>
  </si>
  <si>
    <t xml:space="preserve">Fine Rifled Musket</t>
  </si>
  <si>
    <t xml:space="preserve">Masterwork Rifled Musket</t>
  </si>
  <si>
    <t xml:space="preserve">Relic Rifled Musket</t>
  </si>
  <si>
    <t xml:space="preserve">Crude Bolt-Action Rifle</t>
  </si>
  <si>
    <t xml:space="preserve">Standard Bolt-Action Rifle</t>
  </si>
  <si>
    <t xml:space="preserve">Fine Bolt-Action Rifle</t>
  </si>
  <si>
    <t xml:space="preserve">Masterwork Bolt-Action Rifle</t>
  </si>
  <si>
    <t xml:space="preserve">Relic Bolt-Action Rifle</t>
  </si>
  <si>
    <t xml:space="preserve">Crude Composite Railgun</t>
  </si>
  <si>
    <t xml:space="preserve">Standard Composite Railgun</t>
  </si>
  <si>
    <t xml:space="preserve">Fine Composite Railgun</t>
  </si>
  <si>
    <t xml:space="preserve">Masterwork Composite Railgun</t>
  </si>
  <si>
    <t xml:space="preserve">Relic Composite Railgun</t>
  </si>
  <si>
    <t xml:space="preserve">Crude Titanium Gauss Cannon</t>
  </si>
  <si>
    <t xml:space="preserve">Standard Titanium Gauss Cannon</t>
  </si>
  <si>
    <t xml:space="preserve">Fine Titanium Gauss Cannon</t>
  </si>
  <si>
    <t xml:space="preserve">Masterwork Titanium Gauss Cannon</t>
  </si>
  <si>
    <t xml:space="preserve">Relic Titanium Gauss Cannon</t>
  </si>
  <si>
    <t xml:space="preserve">Crude Exotic Plasma Lance</t>
  </si>
  <si>
    <t xml:space="preserve">Standard Exotic Plasma Lance</t>
  </si>
  <si>
    <t xml:space="preserve">Fine Exotic Plasma Lance</t>
  </si>
  <si>
    <t xml:space="preserve">Masterwork Exotic Plasma Lance</t>
  </si>
  <si>
    <t xml:space="preserve">Relic Exotic Plasma Lance</t>
  </si>
  <si>
    <t xml:space="preserve">Crude Lattice Projector</t>
  </si>
  <si>
    <t xml:space="preserve">Standard Lattice Projector</t>
  </si>
  <si>
    <t xml:space="preserve">Fine Lattice Projector</t>
  </si>
  <si>
    <t xml:space="preserve">Masterwork Lattice Projector</t>
  </si>
  <si>
    <t xml:space="preserve">Relic Lattice Projector</t>
  </si>
  <si>
    <t xml:space="preserve">Crude Hide Cuirass</t>
  </si>
  <si>
    <t xml:space="preserve">Standard Hide Cuirass</t>
  </si>
  <si>
    <t xml:space="preserve">Fine Hide Cuirass</t>
  </si>
  <si>
    <t xml:space="preserve">Masterwork Hide Cuirass</t>
  </si>
  <si>
    <t xml:space="preserve">Relic Hide Cuirass</t>
  </si>
  <si>
    <t xml:space="preserve">Crude Riveted Mail</t>
  </si>
  <si>
    <t xml:space="preserve">Standard Riveted Mail</t>
  </si>
  <si>
    <t xml:space="preserve">Fine Riveted Mail</t>
  </si>
  <si>
    <t xml:space="preserve">Masterwork Riveted Mail</t>
  </si>
  <si>
    <t xml:space="preserve">Relic Riveted Mail</t>
  </si>
  <si>
    <t xml:space="preserve">Crude Plate Harness</t>
  </si>
  <si>
    <t xml:space="preserve">Standard Plate Harness</t>
  </si>
  <si>
    <t xml:space="preserve">Fine Plate Harness</t>
  </si>
  <si>
    <t xml:space="preserve">Masterwork Plate Harness</t>
  </si>
  <si>
    <t xml:space="preserve">Relic Plate Harness</t>
  </si>
  <si>
    <t xml:space="preserve">Crude Sapper Breastplate</t>
  </si>
  <si>
    <t xml:space="preserve">Standard Sapper Breastplate</t>
  </si>
  <si>
    <t xml:space="preserve">Fine Sapper Breastplate</t>
  </si>
  <si>
    <t xml:space="preserve">Masterwork Sapper Breastplate</t>
  </si>
  <si>
    <t xml:space="preserve">Relic Sapper Breastplate</t>
  </si>
  <si>
    <t xml:space="preserve">Crude Steel Helm &amp; Webbing</t>
  </si>
  <si>
    <t xml:space="preserve">Standard Steel Helm &amp; Webbing</t>
  </si>
  <si>
    <t xml:space="preserve">Fine Steel Helm &amp; Webbing</t>
  </si>
  <si>
    <t xml:space="preserve">Masterwork Steel Helm &amp; Webbing</t>
  </si>
  <si>
    <t xml:space="preserve">Relic Steel Helm &amp; Webbing</t>
  </si>
  <si>
    <t xml:space="preserve">Crude Composite Plate</t>
  </si>
  <si>
    <t xml:space="preserve">Standard Composite Plate</t>
  </si>
  <si>
    <t xml:space="preserve">Fine Composite Plate</t>
  </si>
  <si>
    <t xml:space="preserve">Masterwork Composite Plate</t>
  </si>
  <si>
    <t xml:space="preserve">Relic Composite Plate</t>
  </si>
  <si>
    <t xml:space="preserve">Crude Titanium Ablative</t>
  </si>
  <si>
    <t xml:space="preserve">Standard Titanium Ablative</t>
  </si>
  <si>
    <t xml:space="preserve">Fine Titanium Ablative</t>
  </si>
  <si>
    <t xml:space="preserve">Masterwork Titanium Ablative</t>
  </si>
  <si>
    <t xml:space="preserve">Relic Titanium Ablative</t>
  </si>
  <si>
    <t xml:space="preserve">Crude Exotic Phase Armor</t>
  </si>
  <si>
    <t xml:space="preserve">Standard Exotic Phase Armor</t>
  </si>
  <si>
    <t xml:space="preserve">Fine Exotic Phase Armor</t>
  </si>
  <si>
    <t xml:space="preserve">Masterwork Exotic Phase Armor</t>
  </si>
  <si>
    <t xml:space="preserve">Relic Exotic Phase Armor</t>
  </si>
  <si>
    <t xml:space="preserve">Crude Lattice Aegis</t>
  </si>
  <si>
    <t xml:space="preserve">Standard Lattice Aegis</t>
  </si>
  <si>
    <t xml:space="preserve">Fine Lattice Aegis</t>
  </si>
  <si>
    <t xml:space="preserve">Masterwork Lattice Aegis</t>
  </si>
  <si>
    <t xml:space="preserve">Relic Lattice Aegis</t>
  </si>
  <si>
    <t xml:space="preserve">Crude Ration Satchel</t>
  </si>
  <si>
    <t xml:space="preserve">Standard Ration Satchel</t>
  </si>
  <si>
    <t xml:space="preserve">Fine Ration Satchel</t>
  </si>
  <si>
    <t xml:space="preserve">Masterwork Ration Satchel</t>
  </si>
  <si>
    <t xml:space="preserve">Relic Ration Satchel</t>
  </si>
  <si>
    <t xml:space="preserve">Crude War Banner</t>
  </si>
  <si>
    <t xml:space="preserve">Standard War Banner</t>
  </si>
  <si>
    <t xml:space="preserve">Fine War Banner</t>
  </si>
  <si>
    <t xml:space="preserve">Masterwork War Banner</t>
  </si>
  <si>
    <t xml:space="preserve">Relic War Banner</t>
  </si>
  <si>
    <t xml:space="preserve">Crude Engineer Kit</t>
  </si>
  <si>
    <t xml:space="preserve">Standard Engineer Kit</t>
  </si>
  <si>
    <t xml:space="preserve">Fine Engineer Kit</t>
  </si>
  <si>
    <t xml:space="preserve">Masterwork Engineer Kit</t>
  </si>
  <si>
    <t xml:space="preserve">Relic Engineer Kit</t>
  </si>
  <si>
    <t xml:space="preserve">Crude Field Radio Pack</t>
  </si>
  <si>
    <t xml:space="preserve">Standard Field Radio Pack</t>
  </si>
  <si>
    <t xml:space="preserve">Fine Field Radio Pack</t>
  </si>
  <si>
    <t xml:space="preserve">Masterwork Field Radio Pack</t>
  </si>
  <si>
    <t xml:space="preserve">Relic Field Radio Pack</t>
  </si>
  <si>
    <t xml:space="preserve">Crude Medic Pack</t>
  </si>
  <si>
    <t xml:space="preserve">Standard Medic Pack</t>
  </si>
  <si>
    <t xml:space="preserve">Fine Medic Pack</t>
  </si>
  <si>
    <t xml:space="preserve">Masterwork Medic Pack</t>
  </si>
  <si>
    <t xml:space="preserve">Relic Medic Pack</t>
  </si>
  <si>
    <t xml:space="preserve">Crude Targeting Suite</t>
  </si>
  <si>
    <t xml:space="preserve">Standard Targeting Suite</t>
  </si>
  <si>
    <t xml:space="preserve">Fine Targeting Suite</t>
  </si>
  <si>
    <t xml:space="preserve">Masterwork Targeting Suite</t>
  </si>
  <si>
    <t xml:space="preserve">Relic Targeting Suite</t>
  </si>
  <si>
    <t xml:space="preserve">Crude Repair Swarm Pod</t>
  </si>
  <si>
    <t xml:space="preserve">Standard Repair Swarm Pod</t>
  </si>
  <si>
    <t xml:space="preserve">Fine Repair Swarm Pod</t>
  </si>
  <si>
    <t xml:space="preserve">Masterwork Repair Swarm Pod</t>
  </si>
  <si>
    <t xml:space="preserve">Relic Repair Swarm Pod</t>
  </si>
  <si>
    <t xml:space="preserve">Crude Cloak Module</t>
  </si>
  <si>
    <t xml:space="preserve">Standard Cloak Module</t>
  </si>
  <si>
    <t xml:space="preserve">Fine Cloak Module</t>
  </si>
  <si>
    <t xml:space="preserve">Masterwork Cloak Module</t>
  </si>
  <si>
    <t xml:space="preserve">Relic Cloak Module</t>
  </si>
  <si>
    <t xml:space="preserve">Crude Void Anchor</t>
  </si>
  <si>
    <t xml:space="preserve">Standard Void Anchor</t>
  </si>
  <si>
    <t xml:space="preserve">Fine Void Anchor</t>
  </si>
  <si>
    <t xml:space="preserve">Masterwork Void Anchor</t>
  </si>
  <si>
    <t xml:space="preserve">Relic Void Anchor</t>
  </si>
  <si>
    <t xml:space="preserve">Site Type</t>
  </si>
  <si>
    <t xml:space="preserve">Layer</t>
  </si>
  <si>
    <t xml:space="preserve">Yields / Contents</t>
  </si>
  <si>
    <t xml:space="preserve">Conquest / Use</t>
  </si>
  <si>
    <t xml:space="preserve">Barren Village (ruined start)</t>
  </si>
  <si>
    <t xml:space="preserve">Province</t>
  </si>
  <si>
    <t xml:space="preserve">Empty plots; minor salvage</t>
  </si>
  <si>
    <t xml:space="preserve">Resettle at 60% discount; instant Era I foothold</t>
  </si>
  <si>
    <t xml:space="preserve">Abandoned Hamlet</t>
  </si>
  <si>
    <t xml:space="preserve">Salvage; loyalty-free plots</t>
  </si>
  <si>
    <t xml:space="preserve">Claim by garrisoning 24h</t>
  </si>
  <si>
    <t xml:space="preserve">Ruined City (player-made)</t>
  </si>
  <si>
    <t xml:space="preserve">Archaeology strata; relic chance</t>
  </si>
  <si>
    <t xml:space="preserve">Excavate or resettle; history entries</t>
  </si>
  <si>
    <t xml:space="preserve">Ancient Capital Ruins</t>
  </si>
  <si>
    <t xml:space="preserve">Continent</t>
  </si>
  <si>
    <t xml:space="preserve">Relic equipment, lost blueprints</t>
  </si>
  <si>
    <t xml:space="preserve">Multi-week dig; contested digs possible</t>
  </si>
  <si>
    <t xml:space="preserve">Barbarian Camp</t>
  </si>
  <si>
    <t xml:space="preserve">Loot; captives (pop)</t>
  </si>
  <si>
    <t xml:space="preserve">Clear for loot; court for mercenaries</t>
  </si>
  <si>
    <t xml:space="preserve">Lost Tribe Enclave</t>
  </si>
  <si>
    <t xml:space="preserve">Recruitable population</t>
  </si>
  <si>
    <t xml:space="preserve">Diplomacy or conquest</t>
  </si>
  <si>
    <t xml:space="preserve">Natural Wonder</t>
  </si>
  <si>
    <t xml:space="preserve">Unique yields; happiness aura</t>
  </si>
  <si>
    <t xml:space="preserve">Control by province ownership</t>
  </si>
  <si>
    <t xml:space="preserve">Spirit Vein Node</t>
  </si>
  <si>
    <t xml:space="preserve">Any land</t>
  </si>
  <si>
    <t xml:space="preserve">Qi 20/h regional aura</t>
  </si>
  <si>
    <t xml:space="preserve">Cultivation buildings 2× on node</t>
  </si>
  <si>
    <t xml:space="preserve">Beast Lair (Spirit)</t>
  </si>
  <si>
    <t xml:space="preserve">Beast cores; tame chance</t>
  </si>
  <si>
    <t xml:space="preserve">PvE clear; respawns elsewhere</t>
  </si>
  <si>
    <t xml:space="preserve">Sea Trench Vent</t>
  </si>
  <si>
    <t xml:space="preserve">Ocean</t>
  </si>
  <si>
    <t xml:space="preserve">Rare minerals</t>
  </si>
  <si>
    <t xml:space="preserve">Era IV+ platforms</t>
  </si>
  <si>
    <t xml:space="preserve">Polar Vault</t>
  </si>
  <si>
    <t xml:space="preserve">Planet</t>
  </si>
  <si>
    <t xml:space="preserve">Era V tech hints; volatiles</t>
  </si>
  <si>
    <t xml:space="preserve">Expedition + escort</t>
  </si>
  <si>
    <t xml:space="preserve">Crash Site</t>
  </si>
  <si>
    <t xml:space="preserve">Salvage; anomaly seed</t>
  </si>
  <si>
    <t xml:space="preserve">First-finder claim</t>
  </si>
  <si>
    <t xml:space="preserve">Terran World</t>
  </si>
  <si>
    <t xml:space="preserve">System</t>
  </si>
  <si>
    <t xml:space="preserve">Full colony potential</t>
  </si>
  <si>
    <t xml:space="preserve">Colony Dome; standard settle</t>
  </si>
  <si>
    <t xml:space="preserve">Gaia World (rare)</t>
  </si>
  <si>
    <t xml:space="preserve">+25% all yields; happiness</t>
  </si>
  <si>
    <t xml:space="preserve">Fierce contests expected</t>
  </si>
  <si>
    <t xml:space="preserve">Ocean World</t>
  </si>
  <si>
    <t xml:space="preserve">Food++, volatiles</t>
  </si>
  <si>
    <t xml:space="preserve">Floating colonies</t>
  </si>
  <si>
    <t xml:space="preserve">Arid World</t>
  </si>
  <si>
    <t xml:space="preserve">Ore+, saltpeter analog</t>
  </si>
  <si>
    <t xml:space="preserve">Cheap solar</t>
  </si>
  <si>
    <t xml:space="preserve">Tundra World</t>
  </si>
  <si>
    <t xml:space="preserve">Volatiles+, He-3 traces</t>
  </si>
  <si>
    <t xml:space="preserve">Heating upkeep</t>
  </si>
  <si>
    <t xml:space="preserve">Volcanic World</t>
  </si>
  <si>
    <t xml:space="preserve">Metals++, hazard</t>
  </si>
  <si>
    <t xml:space="preserve">Attrition without tech</t>
  </si>
  <si>
    <t xml:space="preserve">Barren Rock</t>
  </si>
  <si>
    <t xml:space="preserve">Ore, cheap expansion</t>
  </si>
  <si>
    <t xml:space="preserve">Low pop cap; mining hub</t>
  </si>
  <si>
    <t xml:space="preserve">Shattered World</t>
  </si>
  <si>
    <t xml:space="preserve">Exposed core: Ore+++</t>
  </si>
  <si>
    <t xml:space="preserve">Zero habitability; pure extraction</t>
  </si>
  <si>
    <t xml:space="preserve">Regolith Moon</t>
  </si>
  <si>
    <t xml:space="preserve">Titanium Ore, He-3</t>
  </si>
  <si>
    <t xml:space="preserve">Extractor site</t>
  </si>
  <si>
    <t xml:space="preserve">Ice Moon</t>
  </si>
  <si>
    <t xml:space="preserve">Volatiles++</t>
  </si>
  <si>
    <t xml:space="preserve">Propellant hub</t>
  </si>
  <si>
    <t xml:space="preserve">Volcanic Moon</t>
  </si>
  <si>
    <t xml:space="preserve">Rare Earths+</t>
  </si>
  <si>
    <t xml:space="preserve">Hazardous</t>
  </si>
  <si>
    <t xml:space="preserve">C-type Asteroid</t>
  </si>
  <si>
    <t xml:space="preserve">Belt</t>
  </si>
  <si>
    <t xml:space="preserve">Volatiles, Clay analog</t>
  </si>
  <si>
    <t xml:space="preserve">Belt Miner</t>
  </si>
  <si>
    <t xml:space="preserve">S-type Asteroid</t>
  </si>
  <si>
    <t xml:space="preserve">Ore, Titanium Ore</t>
  </si>
  <si>
    <t xml:space="preserve">M-type Asteroid</t>
  </si>
  <si>
    <t xml:space="preserve">Metals++, Rare Earths</t>
  </si>
  <si>
    <t xml:space="preserve">Prized claims; pirate magnets</t>
  </si>
  <si>
    <t xml:space="preserve">Icy Planetesimal</t>
  </si>
  <si>
    <t xml:space="preserve">Cheap propellant</t>
  </si>
  <si>
    <t xml:space="preserve">Exotic-laced Asteroid</t>
  </si>
  <si>
    <t xml:space="preserve">Exotic Matter traces</t>
  </si>
  <si>
    <t xml:space="preserve">Era VI scanning reveals</t>
  </si>
  <si>
    <t xml:space="preserve">Neutronium Fragment</t>
  </si>
  <si>
    <t xml:space="preserve">Deep system</t>
  </si>
  <si>
    <t xml:space="preserve">Neutronium (minute)</t>
  </si>
  <si>
    <t xml:space="preserve">Guarded by PvE</t>
  </si>
  <si>
    <t xml:space="preserve">Gas Giant</t>
  </si>
  <si>
    <t xml:space="preserve">He-3++, volatiles</t>
  </si>
  <si>
    <t xml:space="preserve">Skimmer platforms</t>
  </si>
  <si>
    <t xml:space="preserve">Derelict Station</t>
  </si>
  <si>
    <t xml:space="preserve">Salvage, blueprints</t>
  </si>
  <si>
    <t xml:space="preserve">Boarding op</t>
  </si>
  <si>
    <t xml:space="preserve">Comet (periodic)</t>
  </si>
  <si>
    <t xml:space="preserve">Volatiles; moving claim</t>
  </si>
  <si>
    <t xml:space="preserve">Harvester chase gameplay</t>
  </si>
  <si>
    <t xml:space="preserve">Precursor Beacon</t>
  </si>
  <si>
    <t xml:space="preserve">Era VI tech hints</t>
  </si>
  <si>
    <t xml:space="preserve">Expedition chain</t>
  </si>
  <si>
    <t xml:space="preserve">Precursor Vault</t>
  </si>
  <si>
    <t xml:space="preserve">Galaxy</t>
  </si>
  <si>
    <t xml:space="preserve">Exotics, relic modules</t>
  </si>
  <si>
    <t xml:space="preserve">Raid-grade PvE; alliance content</t>
  </si>
  <si>
    <t xml:space="preserve">Wormhole Terminus</t>
  </si>
  <si>
    <t xml:space="preserve">Strategic shortcut</t>
  </si>
  <si>
    <t xml:space="preserve">Stabilize to own</t>
  </si>
  <si>
    <t xml:space="preserve">Silent Region</t>
  </si>
  <si>
    <t xml:space="preserve">Unique mysteries; Aether traces</t>
  </si>
  <si>
    <t xml:space="preserve">Endgame exploration</t>
  </si>
  <si>
    <t xml:space="preserve">Neutron Star</t>
  </si>
  <si>
    <t xml:space="preserve">Neutronium industry</t>
  </si>
  <si>
    <t xml:space="preserve">Black Hole</t>
  </si>
  <si>
    <t xml:space="preserve">Event-horizon industry</t>
  </si>
  <si>
    <t xml:space="preserve">Era VII Event Horizon Refinery</t>
  </si>
  <si>
    <t xml:space="preserve">Void Current</t>
  </si>
  <si>
    <t xml:space="preserve">Intergalactic</t>
  </si>
  <si>
    <t xml:space="preserve">Aether 4–20/h</t>
  </si>
  <si>
    <t xml:space="preserve">Aether Siphon anchor</t>
  </si>
  <si>
    <t xml:space="preserve">Silent Nexus</t>
  </si>
  <si>
    <t xml:space="preserve">Silent Ones stronghold</t>
  </si>
  <si>
    <t xml:space="preserve">Coalition raid target</t>
  </si>
  <si>
    <t xml:space="preserve">Fallen Galaxy Husk</t>
  </si>
  <si>
    <t xml:space="preserve">Mass archaeology; relics</t>
  </si>
  <si>
    <t xml:space="preserve">Era VII expedition frontier</t>
  </si>
  <si>
    <t xml:space="preserve">Element</t>
  </si>
  <si>
    <t xml:space="preserve">Detail</t>
  </si>
  <si>
    <t xml:space="preserve">The Sovereign</t>
  </si>
  <si>
    <t xml:space="preserve">The player avatar cultivates. Realm = the 42 grades in Grades_Realms (14 realms × 3 stages). Realm gates unit grades, building grade-ups, and Era VII paths.</t>
  </si>
  <si>
    <t xml:space="preserve">Qi / Aether</t>
  </si>
  <si>
    <t xml:space="preserve">Cultivation resource. Sources: Spirit Groves, Qi Gathering Stones, Spirit Wells, Star Qi Condensers, Primordial Qi Sea Taps, Spirit Vein nodes, meditation (idle trickle), pills. Era VII Aether is refined celestial Qi.</t>
  </si>
  <si>
    <t xml:space="preserve">Breakthroughs</t>
  </si>
  <si>
    <t xml:space="preserve">Spend Qi (Grades_Realms col E) + pass the Tribulation. Tribulations are live events — several are visible/crashable by rivals, making breakthroughs political moments.</t>
  </si>
  <si>
    <t xml:space="preserve">Tri-Cultivation</t>
  </si>
  <si>
    <t xml:space="preserve">Three tracks: Body (unit HP/def auras), Mind (research/Data auras), Soul (agent/culture auras). Points per realm; respec via Severance only.</t>
  </si>
  <si>
    <t xml:space="preserve">Techniques</t>
  </si>
  <si>
    <t xml:space="preserve">Skill scrolls from exploration, archaeology, sect libraries. Slots grow with realm. Examples: Cloud Stride (army speed), Iron Skin Sutra (siege defense), Heaven Sundering Slash (first-strike), Merchant God Ledger (trade margin).</t>
  </si>
  <si>
    <t xml:space="preserve">Pills &amp; Spirit Herbs</t>
  </si>
  <si>
    <t xml:space="preserve">New chain: Spirit Herbs (raw) → Pills (refined) at Alchemy line (T1–T9). Pills: Qi recovery, temporary stat buffs (bounded), tribulation aids, healing. Pill toxicity: stacking penalty prevents chugging.</t>
  </si>
  <si>
    <t xml:space="preserve">Sects</t>
  </si>
  <si>
    <t xml:space="preserve">Formalized mentorship inside alliances: Sect Halls host master–disciple contracts; masters earn Prestige/traditions from disciple milestones; disciples get aura boosts. Sects can hold inter-sect tournaments (scheduled PvP with cosmetics/Prestige stakes).</t>
  </si>
  <si>
    <t xml:space="preserve">Spirit Beasts</t>
  </si>
  <si>
    <t xml:space="preserve">Tamable from lairs; act as unit-attached companions (equipment-like slot) or cavalry archetype mounts; beast cores fuel reactors and high-tier crafting.</t>
  </si>
  <si>
    <t xml:space="preserve">Dao Comprehension</t>
  </si>
  <si>
    <t xml:space="preserve">Passive insight track fed by proficiency milestones; at realm peaks, choose a Dao (Sword, Shield, Wealth, Stars, Silence…) granting one signature active ability on a long cooldown.</t>
  </si>
  <si>
    <t xml:space="preserve">Karma</t>
  </si>
  <si>
    <t xml:space="preserve">Reputation system hooks: karmic weight modifies tribulation difficulty and Saint-realm gating. Betrayal is allowed — and cultivating past it is expensive.</t>
  </si>
  <si>
    <t xml:space="preserve">Balance caps</t>
  </si>
  <si>
    <t xml:space="preserve">All cultivation combat bonuses fold into the joint non-doctrine cap (+40% total, GDD §17.1). Realms primarily gate CONTENT (grades, paths, tiers), not raw stats.</t>
  </si>
  <si>
    <t xml:space="preserve">Death &amp; Samsara</t>
  </si>
  <si>
    <t xml:space="preserve">If a dynasty falls, Samsara Wheel (Era VII) or standard Succession rebirths the heir with partial realm retention (−6 grades, floor G1), keeping veterans strong-but-not-apex on refound.</t>
  </si>
  <si>
    <t xml:space="preserve">DENOMINATIONS (Chrono Shards compress remaining build/train/research time)</t>
  </si>
  <si>
    <t xml:space="preserve">Shard</t>
  </si>
  <si>
    <t xml:space="preserve">Hours granted</t>
  </si>
  <si>
    <t xml:space="preserve">Typical source</t>
  </si>
  <si>
    <t xml:space="preserve">Notes</t>
  </si>
  <si>
    <t xml:space="preserve">Moment</t>
  </si>
  <si>
    <t xml:space="preserve">Daily quests</t>
  </si>
  <si>
    <t xml:space="preserve">Common; clears trivial queues</t>
  </si>
  <si>
    <t xml:space="preserve">Watch</t>
  </si>
  <si>
    <t xml:space="preserve">Event tiers, NPC raids</t>
  </si>
  <si>
    <t xml:space="preserve">The workhorse denomination</t>
  </si>
  <si>
    <t xml:space="preserve">Day</t>
  </si>
  <si>
    <t xml:space="preserve">Weekly event completion</t>
  </si>
  <si>
    <t xml:space="preserve">Fortnight</t>
  </si>
  <si>
    <t xml:space="preserve">Epoch placement, tribulation clear</t>
  </si>
  <si>
    <t xml:space="preserve">Mid-game meaningful</t>
  </si>
  <si>
    <t xml:space="preserve">Season</t>
  </si>
  <si>
    <t xml:space="preserve">Epoch top placements, first-discoveries</t>
  </si>
  <si>
    <t xml:space="preserve">Rare; 3 months</t>
  </si>
  <si>
    <t xml:space="preserve">Age</t>
  </si>
  <si>
    <t xml:space="preserve">Megaproject firsts, Silent Nexus raid clears</t>
  </si>
  <si>
    <t xml:space="preserve">1 year; legendary drop</t>
  </si>
  <si>
    <t xml:space="preserve">GUARDRAIL 1 — ABSORPTION CEILING (the core balance lever)</t>
  </si>
  <si>
    <t xml:space="preserve">Construction rank</t>
  </si>
  <si>
    <t xml:space="preserve">Max compression</t>
  </si>
  <si>
    <t xml:space="preserve">Meaning</t>
  </si>
  <si>
    <t xml:space="preserve">New player, first week</t>
  </si>
  <si>
    <t xml:space="preserve">Established villager</t>
  </si>
  <si>
    <t xml:space="preserve">Competent kingdom</t>
  </si>
  <si>
    <t xml:space="preserve">Industrial power</t>
  </si>
  <si>
    <t xml:space="preserve">Maxed stellar builder</t>
  </si>
  <si>
    <t xml:space="preserve">Maxed galactic builder</t>
  </si>
  <si>
    <t xml:space="preserve">Maxed transcendent builder — the hard ceiling</t>
  </si>
  <si>
    <t xml:space="preserve">Base ceiling</t>
  </si>
  <si>
    <t xml:space="preserve">Per Construction rank</t>
  </si>
  <si>
    <t xml:space="preserve">Per era</t>
  </si>
  <si>
    <t xml:space="preserve">Rule</t>
  </si>
  <si>
    <t xml:space="preserve">A player may never compress elapsed time by more than this multiple, regardless of shards held or purchased. Money buys you UP TO your earned ceiling, never past it. Excess shards simply cannot be spent that day.</t>
  </si>
  <si>
    <t xml:space="preserve">GUARDRAIL 2 — PROHIBITED TARGETS (shards never apply, earned or bought)</t>
  </si>
  <si>
    <t xml:space="preserve">✗</t>
  </si>
  <si>
    <t xml:space="preserve">Any queue in a settlement with hostile movement inbound, or within 4h of impact</t>
  </si>
  <si>
    <t xml:space="preserve">Troop training during a declared war in which you are a belligerent (defensive garrison units exempt)</t>
  </si>
  <si>
    <t xml:space="preserve">Era Ascension Projects — these stay on real time and stay politically dramatic</t>
  </si>
  <si>
    <t xml:space="preserve">Epoch victory projects (Ascendancy Spire, Great Work) and all megastructures</t>
  </si>
  <si>
    <t xml:space="preserve">Cultivation breakthroughs and tribulations — the Sovereign's path cannot be bought</t>
  </si>
  <si>
    <t xml:space="preserve">Wall, shield, and fortification repair while under siege</t>
  </si>
  <si>
    <t xml:space="preserve">Any action against a player two or more eras below you (Escalation rules, GDD §17.4)</t>
  </si>
  <si>
    <t xml:space="preserve">GUARDRAIL 3 — TEMPORAL DEBT (diegetic karmic cost)</t>
  </si>
  <si>
    <t xml:space="preserve">Shard-hours spent (rolling 30d)</t>
  </si>
  <si>
    <t xml:space="preserve">Temporal Debt</t>
  </si>
  <si>
    <t xml:space="preserve">Tribulation difficulty</t>
  </si>
  <si>
    <t xml:space="preserve">Effect</t>
  </si>
  <si>
    <t xml:space="preserve">×1.00</t>
  </si>
  <si>
    <t xml:space="preserve">Clean cultivator; heaven is indifferent</t>
  </si>
  <si>
    <t xml:space="preserve">×1.15</t>
  </si>
  <si>
    <t xml:space="preserve">Qi regeneration −5%</t>
  </si>
  <si>
    <t xml:space="preserve">×1.35</t>
  </si>
  <si>
    <t xml:space="preserve">Qi regeneration −12%; tribulation adds a wave</t>
  </si>
  <si>
    <t xml:space="preserve">×1.70</t>
  </si>
  <si>
    <t xml:space="preserve">Qi −20%; breakthrough failure chance appears</t>
  </si>
  <si>
    <t xml:space="preserve">×2.20</t>
  </si>
  <si>
    <t xml:space="preserve">Qi −30%; failed breakthroughs cost a grade</t>
  </si>
  <si>
    <t xml:space="preserve">×3.00</t>
  </si>
  <si>
    <t xml:space="preserve">Heaven's Scrutiny: tribulations become public events rivals can join against you</t>
  </si>
  <si>
    <t xml:space="preserve">Debt decays 1 tier per 30 days of abstention. Rationale: stealing time from the heavens is the oldest sin in the genre. A player may buy pace; they cannot buy the realm ladder, and buying pace makes the ladder harder.</t>
  </si>
  <si>
    <t xml:space="preserve">GUARDRAIL 4 — DISCLOSURE &amp; THROTTLE</t>
  </si>
  <si>
    <t xml:space="preserve">•</t>
  </si>
  <si>
    <t xml:space="preserve">Shard expenditure is public on the player profile as a 30-day rolling total. The world can see who bought their skyline.</t>
  </si>
  <si>
    <t xml:space="preserve">Monthly purchase throttle per account, hard-capped. Beyond it, no further shards may be bought at any price.</t>
  </si>
  <si>
    <t xml:space="preserve">Purchased and earned shards are the same currency and obey the same ceiling and prohibitions — no premium tier of time.</t>
  </si>
  <si>
    <t xml:space="preserve">Alliances may query member shard spend; many will set their own internal norms. The design supports that, it does not enforce it.</t>
  </si>
  <si>
    <t xml:space="preserve">EPOCH CARRYOVER (partial decay)</t>
  </si>
  <si>
    <t xml:space="preserve">Prestige tier</t>
  </si>
  <si>
    <t xml:space="preserve">Carry cap (shard-hrs)</t>
  </si>
  <si>
    <t xml:space="preserve">Decay on excess</t>
  </si>
  <si>
    <t xml:space="preserve">I — Unranked</t>
  </si>
  <si>
    <t xml:space="preserve">60%</t>
  </si>
  <si>
    <t xml:space="preserve">30 days banked</t>
  </si>
  <si>
    <t xml:space="preserve">II — Noted</t>
  </si>
  <si>
    <t xml:space="preserve">55%</t>
  </si>
  <si>
    <t xml:space="preserve">III — Renowned</t>
  </si>
  <si>
    <t xml:space="preserve">50%</t>
  </si>
  <si>
    <t xml:space="preserve">IV — Illustrious</t>
  </si>
  <si>
    <t xml:space="preserve">45%</t>
  </si>
  <si>
    <t xml:space="preserve">V — Legendary</t>
  </si>
  <si>
    <t xml:space="preserve">40%</t>
  </si>
  <si>
    <t xml:space="preserve">480 days banked; a true war chest</t>
  </si>
  <si>
    <t xml:space="preserve">At epoch close: keep everything up to the cap, lose the stated share of the excess. Hoarding toward a level-1200 project across epochs is viable and intended; hoarding indefinitely is not.</t>
  </si>
  <si>
    <t xml:space="preserve">PACKAGES (what money actually buys)</t>
  </si>
  <si>
    <t xml:space="preserve">Package</t>
  </si>
  <si>
    <t xml:space="preserve">Shard-hours</t>
  </si>
  <si>
    <t xml:space="preserve">Also includes</t>
  </si>
  <si>
    <t xml:space="preserve">Wanderer</t>
  </si>
  <si>
    <t xml:space="preserve">1 cosmetic banner</t>
  </si>
  <si>
    <t xml:space="preserve">Entry tier</t>
  </si>
  <si>
    <t xml:space="preserve">Artisan</t>
  </si>
  <si>
    <t xml:space="preserve">Settlement skin</t>
  </si>
  <si>
    <t xml:space="preserve">Most-purchased tier target</t>
  </si>
  <si>
    <t xml:space="preserve">Chronomancer</t>
  </si>
  <si>
    <t xml:space="preserve">Unit livery set</t>
  </si>
  <si>
    <t xml:space="preserve">Dynasty</t>
  </si>
  <si>
    <t xml:space="preserve">Heraldry editor + monument style</t>
  </si>
  <si>
    <t xml:space="preserve">Near the monthly throttle</t>
  </si>
  <si>
    <t xml:space="preserve">Epoch Pass</t>
  </si>
  <si>
    <t xml:space="preserve">Full cosmetic track</t>
  </si>
  <si>
    <t xml:space="preserve">Also has a free track</t>
  </si>
  <si>
    <t xml:space="preserve">Pricing deliberately omitted — set against live ARPU and the monthly throttle, not fixed here. Everything except shards remains cosmetic.</t>
  </si>
  <si>
    <t xml:space="preserve">Level reached on a single structure, by years of continuous focus × sustained compression</t>
  </si>
  <si>
    <t xml:space="preserve">Read: a player who put every hour of N years into ONE building at a sustained compression multiple reaches this level. Real players spread across many structures, so treat these as ceilings, not expectations.</t>
  </si>
  <si>
    <t xml:space="preserve">Years played</t>
  </si>
  <si>
    <t xml:space="preserve">1.0× (no shards)</t>
  </si>
  <si>
    <t xml:space="preserve">1.5× (casual earned)</t>
  </si>
  <si>
    <t xml:space="preserve">2.0× (active earned)</t>
  </si>
  <si>
    <t xml:space="preserve">3.0× (heavy earned)</t>
  </si>
  <si>
    <t xml:space="preserve">5.0× (mid ceiling)</t>
  </si>
  <si>
    <t xml:space="preserve">8.5× (hard ceiling)</t>
  </si>
  <si>
    <t xml:space="preserve">Design read-out: even at the hard 8.5× ceiling, a decade of total focus does not approach level 1337. The ladder stays mythic; shards decide how far up the practical range a dynasty climbs, not whether the top is reachable.</t>
  </si>
  <si>
    <t xml:space="preserve">HEAVEN'S ENVY — the mark of stolen time (public, stacking)</t>
  </si>
  <si>
    <t xml:space="preserve">Scope</t>
  </si>
  <si>
    <t xml:space="preserve">Debuff</t>
  </si>
  <si>
    <t xml:space="preserve">Duration</t>
  </si>
  <si>
    <t xml:space="preserve">Ranking basis</t>
  </si>
  <si>
    <t xml:space="preserve">Universe — top 10 daily buyers</t>
  </si>
  <si>
    <t xml:space="preserve">-10% defensive strength</t>
  </si>
  <si>
    <t xml:space="preserve">24 hours</t>
  </si>
  <si>
    <t xml:space="preserve">Shard-hours PURCHASED in the 24h measurement window, universe-wide</t>
  </si>
  <si>
    <t xml:space="preserve">Stellar Quadrant — top 10</t>
  </si>
  <si>
    <t xml:space="preserve">Same window, ranked within the buyer's home quadrant</t>
  </si>
  <si>
    <t xml:space="preserve">Alliance — top 10</t>
  </si>
  <si>
    <t xml:space="preserve">Same window, ranked within the buyer's alliance</t>
  </si>
  <si>
    <t xml:space="preserve">MAXIMUM STACK</t>
  </si>
  <si>
    <t xml:space="preserve">-30% defensive strength</t>
  </si>
  <si>
    <t xml:space="preserve">A player topping all three lists simultaneously</t>
  </si>
  <si>
    <t xml:space="preserve">WHAT "DEFENSIVE STRENGTH" MEANS</t>
  </si>
  <si>
    <t xml:space="preserve">Applies to the defense pool of every unit the player owns, at every map layer, garrisoned or in the field.</t>
  </si>
  <si>
    <t xml:space="preserve">Applies to fortification multipliers (walls, castles, star forts, bunkers, defense grids, citadels).</t>
  </si>
  <si>
    <t xml:space="preserve">Does NOT apply to attack values. A marked player is a glass cannon, not a cripple — see design note below.</t>
  </si>
  <si>
    <t xml:space="preserve">Does NOT stack beyond -30%, and is applied after all other modifiers as a final multiplier.</t>
  </si>
  <si>
    <t xml:space="preserve">Cannot be cleansed, cancelled, offset by shards, or dodged by vacation mode (vacation entry is blocked while marked).</t>
  </si>
  <si>
    <t xml:space="preserve">PUBLICITY — the mark is the point</t>
  </si>
  <si>
    <t xml:space="preserve">Marked players carry a visible sigil on their profile, on every settlement and fleet they own, and on the map overlay.</t>
  </si>
  <si>
    <t xml:space="preserve">The three leaderboards are public, live, and queryable: anyone can see who is on them and at what rank.</t>
  </si>
  <si>
    <t xml:space="preserve">The mark resolves at a fixed, publicly posted daily server tick, so the 24h window is predictable and huntable by design.</t>
  </si>
  <si>
    <t xml:space="preserve">Attacking a marked player carries NO reputation penalty for the duration of the mark — the design makes hunting them socially free.</t>
  </si>
  <si>
    <t xml:space="preserve">Historical record: marks are logged permanently to the World Atlas and the player's dynasty hall.</t>
  </si>
  <si>
    <t xml:space="preserve">ANTI-GAMING RULES (without these the mechanic is trivially dodged)</t>
  </si>
  <si>
    <t xml:space="preserve">Exploit</t>
  </si>
  <si>
    <t xml:space="preserve">Countermeasure</t>
  </si>
  <si>
    <t xml:space="preserve">Alt-account splitting</t>
  </si>
  <si>
    <t xml:space="preserve">Purchases by device/payment/network-linked accounts aggregate to the primary for all three leaderboards. Detection is the same system used for multi-account transfer caps.</t>
  </si>
  <si>
    <t xml:space="preserve">Hovering at rank 11</t>
  </si>
  <si>
    <t xml:space="preserve">Intended and acceptable. Sitting just under the cut suppresses spend, which is the mechanic working. Rank 10 and rank 11 spend converge over time.</t>
  </si>
  <si>
    <t xml:space="preserve">Quiet-scope trivial marking</t>
  </si>
  <si>
    <t xml:space="preserve">Each scope has a minimum spend floor: a player is only marked if their window purchase exceeds the median active player's 30-day EARNED shard income. In a quiet alliance or quadrant, the list may return fewer than 10 names — or none.</t>
  </si>
  <si>
    <t xml:space="preserve">Quadrant-hopping to dodge</t>
  </si>
  <si>
    <t xml:space="preserve">Home quadrant for ranking purposes is the one holding the plurality of your settlements, evaluated on a 7-day lag. Relocating to dodge takes longer than the mark lasts.</t>
  </si>
  <si>
    <t xml:space="preserve">Alliance-hopping to dodge</t>
  </si>
  <si>
    <t xml:space="preserve">Alliance for ranking purposes is the one held at the start of the measurement window. Leaving after a purchase does not clear the mark.</t>
  </si>
  <si>
    <t xml:space="preserve">Buying during peacetime only</t>
  </si>
  <si>
    <t xml:space="preserve">Intended and acceptable — this is the mechanic shaping behavior toward safer spending, and the mark still logs publicly.</t>
  </si>
  <si>
    <t xml:space="preserve">Timing purchases just after the tick</t>
  </si>
  <si>
    <t xml:space="preserve">Window is rolling-24h-measured but resolved at the fixed tick, so a purchase made 23h before the tick still ranks. No safe hour exists.</t>
  </si>
  <si>
    <t xml:space="preserve">Dumping spend before going inactive</t>
  </si>
  <si>
    <t xml:space="preserve">Vacation mode and stewardship entry are blocked for the duration of the mark.</t>
  </si>
  <si>
    <t xml:space="preserve">WORKED EXAMPLE</t>
  </si>
  <si>
    <t xml:space="preserve">A player buys 900 shard-hours on Tuesday. At the 00:00 UTC tick they rank #3 universe-wide, #1 in the Perseus-Rim quadrant, and #2 in their alliance.</t>
  </si>
  <si>
    <t xml:space="preserve">They are marked on all three lists: -30% defensive strength for 24 hours, sigil visible universe-wide.</t>
  </si>
  <si>
    <t xml:space="preserve">Their Ascendant Void Cruiser fleet defends at 70% of its normal defense pool. Their planetary shield and defense grid multipliers are likewise cut by 30%.</t>
  </si>
  <si>
    <t xml:space="preserve">Their attack values are untouched. They can still strike at full force — and rivals know exactly where to strike back.</t>
  </si>
  <si>
    <t xml:space="preserve">Three rival alliances see the mark on the public board. Attacking them costs no reputation for 24 hours. Two of them launch.</t>
  </si>
  <si>
    <t xml:space="preserve">Design outcome: the purchase bought real development pace, and it bought a day of danger that the entire universe could see coming.</t>
  </si>
  <si>
    <t xml:space="preserve">DESIGN NOTES &amp; OPEN QUESTIONS</t>
  </si>
  <si>
    <t xml:space="preserve">Defense-only is deliberate: it makes heavy spenders aggressive glass cannons rather than punishing them flatly. Note the loophole honestly — a player who buys purely to fuel offensives is not directly penalized, and in a permanent-conquest world offense is where purchased advantage bites hardest. If beta telemetry shows buy-to-blitz behavior, the cleanest fix is adding a smaller offensive component (-5% per scope) rather than raising the defensive number.</t>
  </si>
  <si>
    <t xml:space="preserve">The rank-10 cliff is a hard discontinuity (#10 takes -10%, #11 takes nothing). This is dramatic and legible, and the spend floor prevents the worst unfairness. A smoothed curve is the alternative if the cliff proves frustrating.</t>
  </si>
  <si>
    <t xml:space="preserve">Interaction with Temporal Debt: these are separate systems. Temporal Debt tracks lifetime spending and taxes cultivation; Heaven's Envy tracks daily spending and taxes defense. A player can carry both simultaneously and they do not offset.</t>
  </si>
  <si>
    <t xml:space="preserve">The third scope is implemented as ALLIANCE. The brief listed "top 10 daily buyers" twice; swap to era-band, epoch-cumulative, or federation by changing this sheet and the ranking service.</t>
  </si>
  <si>
    <t xml:space="preserve">All three -10% values and the three spend floors are server-tunable constants.</t>
  </si>
  <si>
    <t xml:space="preserve">How it works</t>
  </si>
  <si>
    <t xml:space="preserve">Why it exists (design intent)</t>
  </si>
  <si>
    <t xml:space="preserve">Plots &amp; size class</t>
  </si>
  <si>
    <t xml:space="preserve">Every settlement has a finite plot count. Buildings occupy 1–4 plots by size class: Minor (1), Standard (2), Major (3), Monumental (4). Plot count starts at 24 and grows +2 per HQ grade, reaching ~110 at HQ grade 42 — never enough for all 69 era buildings plus their predecessors.</t>
  </si>
  <si>
    <t xml:space="preserve">Forced specialization. A settlement is a statement of intent, not a checklist. Scarcity of plots is the single biggest driver of empire-wide planning.</t>
  </si>
  <si>
    <t xml:space="preserve">Level gating</t>
  </si>
  <si>
    <t xml:space="preserve">A building may never exceed its settlement HQ level. HQ upgrades are therefore the universal bottleneck, and HQ itself is Monumental and expensive. Grade breakthroughs additionally require the matching research discipline grade (Grades_Realms).</t>
  </si>
  <si>
    <t xml:space="preserve">Gives a clean, legible progression spine and makes the HQ the highest-value sabotage and siege target in any settlement.</t>
  </si>
  <si>
    <t xml:space="preserve">Staffing &amp; population</t>
  </si>
  <si>
    <t xml:space="preserve">Buildings draw Workers from settlement Population. Output scales linearly with staffing percentage: a Mine at 50% staffing produces 50%. Higher levels need more workers, so raising a building without growing population starves your other buildings.</t>
  </si>
  <si>
    <t xml:space="preserve">Makes Population a genuine strategic resource, gives plague, siege starvation, and conquest real economic teeth, and creates the classic "wide vs. tall" tension inside a single settlement.</t>
  </si>
  <si>
    <t xml:space="preserve">Upkeep &amp; decay</t>
  </si>
  <si>
    <t xml:space="preserve">From Era II buildings cost Coin upkeep; from Era IV they additionally require Electricity from the grid. Unpaid upkeep causes Brownout: output halves, and after 72h the building loses one level per day until solvent.</t>
  </si>
  <si>
    <t xml:space="preserve">Prevents infinite accumulation, punishes overbuilding, and makes power-grid sabotage a devastating Era IV+ attack vector.</t>
  </si>
  <si>
    <t xml:space="preserve">Adjacency &amp; terrain</t>
  </si>
  <si>
    <t xml:space="preserve">Buildings gain or lose output from neighbours and tiles. Positive: Sawmill beside Lumber Camp (+15%), Fusion Plant beside Shipyard Ring (+20%). Negative: Tannery beside Housing (−10% happiness), Powder Magazine beside anything (blast radius on destruction). Yield tiles (fertile, deep-vein, He-3-rich) multiply extraction 1.5–2.5×.</t>
  </si>
  <si>
    <t xml:space="preserve">Turns settlement construction into a spatial puzzle rather than a menu, and makes map position matter permanently — the good ground is worth fighting over forever.</t>
  </si>
  <si>
    <t xml:space="preserve">Build queues</t>
  </si>
  <si>
    <t xml:space="preserve">HQ grade grants queue slots (1 at grade 1, +1 per 4 grades). Factory and its successors grant separate parallel production lines for units only. Queued items may be reordered freely; cancelling refunds 80%.</t>
  </si>
  <si>
    <t xml:space="preserve">Queue depth is what makes offline play viable, and the 80% refund keeps misclicks from being punishing.</t>
  </si>
  <si>
    <t xml:space="preserve">Damage, repair &amp; razing</t>
  </si>
  <si>
    <t xml:space="preserve">Siege reduces buildings by damage levels rather than destroying them. Repair costs 30% of the original level cost and takes 20% of the original time. An attacker may spend extra siege actions to raze a building entirely, which is slow, wasteful, and reputation-costly.</t>
  </si>
  <si>
    <t xml:space="preserve">Keeps war destructive without being erasive. In a permanent world, a burned city that can be rebuilt is a better story than a deleted one.</t>
  </si>
  <si>
    <t xml:space="preserve">Capture</t>
  </si>
  <si>
    <t xml:space="preserve">Captured settlements retain their buildings at level minus 3 grades (floor: grade 1). Cultivation and Special-category buildings are exceptions — they fully reset, because they are bound to their builder's dao.</t>
  </si>
  <si>
    <t xml:space="preserve">Conquest yields real infrastructure (the reason to take cities intact) while denying the attacker a free endgame economy.</t>
  </si>
  <si>
    <t xml:space="preserve">Synergy chains</t>
  </si>
  <si>
    <t xml:space="preserve">Processing buildings require input resources physically present in the settlement or delivered by logistics. A Steelworks with no Coal produces nothing regardless of level. Chains run raw → refined → component (workbook Section 6).</t>
  </si>
  <si>
    <t xml:space="preserve">Creates supply-line warfare. Cutting an enemy's rubber shuts down their tank assembly two steps downstream, which is far more interesting than destroying tanks.</t>
  </si>
  <si>
    <t xml:space="preserve">Heritage (no obsolescence)</t>
  </si>
  <si>
    <t xml:space="preserve">Buildings from earlier eras never stop functioning. Once a settlement advances an era, older buildings gain Heritage status: they keep their full output and additionally generate Culture equal to 2% of their level.</t>
  </si>
  <si>
    <t xml:space="preserve">Enforces Pillar 1 (every layer stays alive) at the building level, and gives ancient, deeply-levelled villages genuine value in a galactic empire.</t>
  </si>
  <si>
    <t xml:space="preserve">Specialization caps</t>
  </si>
  <si>
    <t xml:space="preserve">A settlement may hold at most 3 buildings above grade 30, and at most 8 above grade 20. Exceeding the cap is impossible, not merely penalised.</t>
  </si>
  <si>
    <t xml:space="preserve">Hard-stops the "one perfect megacity" pattern. Empires must distribute their crown jewels, which distributes their vulnerabilities, which creates targets and therefore wars.</t>
  </si>
  <si>
    <t xml:space="preserve">Visibility &amp; intel</t>
  </si>
  <si>
    <t xml:space="preserve">Building levels are hidden from enemies until scouted. Monumental buildings and any building above grade 25 are visible on the map at range — a level-800 Citadel is a landmark, not a secret.</t>
  </si>
  <si>
    <t xml:space="preserve">Rewards scouting while ensuring the truly enormous structures function as public landmarks that shape strategy for everyone around them.</t>
  </si>
  <si>
    <t xml:space="preserve">Core output formula</t>
  </si>
  <si>
    <t xml:space="preserve">Distinctive mechanics</t>
  </si>
  <si>
    <t xml:space="preserve">Scales with level by</t>
  </si>
  <si>
    <t xml:space="preserve">Primary vulnerability</t>
  </si>
  <si>
    <t xml:space="preserve">Gates every other building's level. Grants queue slots, command radius, plot count, policy/doctrine slots. Its destruction caps the whole settlement.</t>
  </si>
  <si>
    <t xml:space="preserve">+2 plots, +1 queue per 4 grades, +radius</t>
  </si>
  <si>
    <t xml:space="preserve">Siege priority target; loss cascades to every building</t>
  </si>
  <si>
    <t xml:space="preserve">base × LevelCurve × tile richness × staffing%</t>
  </si>
  <si>
    <t xml:space="preserve">Produces raw resources into a local stockpile that raiders can plunder. Tile richness is fixed by map position. Depletion does not exist — but hazard tiles impose attrition on workers.</t>
  </si>
  <si>
    <t xml:space="preserve">Output (L+1)^1.12</t>
  </si>
  <si>
    <t xml:space="preserve">Raiding the stockpile; worker loss; tile capture</t>
  </si>
  <si>
    <t xml:space="preserve">min(input supply, throughput) × conversion rate</t>
  </si>
  <si>
    <t xml:space="preserve">Converts inputs to outputs. Throughput caps how much it can handle per tick; conversion rate improves with level. Idle without inputs regardless of level.</t>
  </si>
  <si>
    <t xml:space="preserve">Throughput and conversion both rise</t>
  </si>
  <si>
    <t xml:space="preserve">Supply-line interdiction — starve the inputs</t>
  </si>
  <si>
    <t xml:space="preserve">Grants unit queue slots, gates unit archetypes and grade tiers, reduces training time by a bounded percentage. Parallel lines from Factory tier onward.</t>
  </si>
  <si>
    <t xml:space="preserve">+queue slots, −train time (capped −40%)</t>
  </si>
  <si>
    <t xml:space="preserve">Raided mid-production: partial units are destroyed</t>
  </si>
  <si>
    <t xml:space="preserve">defense multiplier + flat garrison HP</t>
  </si>
  <si>
    <t xml:space="preserve">Multiplies defending units' defense pool, adds wall HP that must be breached, projects zone of control onto adjacent roads/lanes. Must be reduced by siege before plunder.</t>
  </si>
  <si>
    <t xml:space="preserve">Multiplier and HP both rise</t>
  </si>
  <si>
    <t xml:space="preserve">Siege engines; sappers; bombardment; Heaven's Envy debuff</t>
  </si>
  <si>
    <t xml:space="preserve">research points or intel radius</t>
  </si>
  <si>
    <t xml:space="preserve">Generates research, extends intel range, hosts agent operations, recruits Great People. Intel buildings reveal incoming attacks earlier.</t>
  </si>
  <si>
    <t xml:space="preserve">Rate and radius rise</t>
  </si>
  <si>
    <t xml:space="preserve">Sabotage; counter-intel raids; tech theft targets</t>
  </si>
  <si>
    <t xml:space="preserve">Coin/hour + route slots + market depth</t>
  </si>
  <si>
    <t xml:space="preserve">Generates Coin, grants standing trade route slots, deepens local market order books, collects tolls on routes crossing your zone of control.</t>
  </si>
  <si>
    <t xml:space="preserve">+routes, +Coin, +depth</t>
  </si>
  <si>
    <t xml:space="preserve">Blockade; piracy on the routes it spawns</t>
  </si>
  <si>
    <t xml:space="preserve">Culture/hour + happiness</t>
  </si>
  <si>
    <t xml:space="preserve">Raises happiness (productivity multiplier, revolt suppression), generates Culture that exerts border pressure on adjacent low-culture plots, and hosts festivals and ideology projection.</t>
  </si>
  <si>
    <t xml:space="preserve">Culture and happiness rise</t>
  </si>
  <si>
    <t xml:space="preserve">Slow to rebuild; razing it is a favourite spite target</t>
  </si>
  <si>
    <t xml:space="preserve">storage cap / movement / supply range</t>
  </si>
  <si>
    <t xml:space="preserve">Raises stockpile caps, extends army supply range, speeds movement along owned infrastructure, enables hauling volume.</t>
  </si>
  <si>
    <t xml:space="preserve">Caps and ranges rise</t>
  </si>
  <si>
    <t xml:space="preserve">Chokepoint capture; convoy raiding</t>
  </si>
  <si>
    <t xml:space="preserve">unique</t>
  </si>
  <si>
    <t xml:space="preserve">One-off gated effects: Ascension Projects, colony founding, terraforming, megastructures, wonder-class effects. Usually Monumental, usually announced publicly when begun.</t>
  </si>
  <si>
    <t xml:space="preserve">Varies per building</t>
  </si>
  <si>
    <t xml:space="preserve">Publicly announced; attractive sabotage target</t>
  </si>
  <si>
    <t xml:space="preserve">Qi/hour + realm &amp; technique unlocks</t>
  </si>
  <si>
    <t xml:space="preserve">Generates Qi, hosts breakthroughs and tribulations, unlocks techniques, refines pills, tames spirit beasts. Fully resets on capture — cultivation infrastructure is bound to its builder.</t>
  </si>
  <si>
    <t xml:space="preserve">Qi rate and slot count rise</t>
  </si>
  <si>
    <t xml:space="preserve">Cannot be captured usefully; tribulation-crashing raids</t>
  </si>
  <si>
    <t xml:space="preserve">VISUAL TIER SYSTEM — art is authored per tier, not per level</t>
  </si>
  <si>
    <t xml:space="preserve">483 buildings × 1,338 levels = 646,000 states, which cannot be authored. Instead each building has 12 authored visual tiers mapped to level bands, combined with shared modular overlay layers (below). 12 tiers × 6 overlay axes yields thousands of distinct on-screen appearances per building from 12 base renders.</t>
  </si>
  <si>
    <t xml:space="preserve">Level band</t>
  </si>
  <si>
    <t xml:space="preserve">Grade band</t>
  </si>
  <si>
    <t xml:space="preserve">Universal transformation</t>
  </si>
  <si>
    <t xml:space="preserve">Silhouette change</t>
  </si>
  <si>
    <t xml:space="preserve">Player read at a glance</t>
  </si>
  <si>
    <t xml:space="preserve">0</t>
  </si>
  <si>
    <t xml:space="preserve">1</t>
  </si>
  <si>
    <t xml:space="preserve">Cleared site: stakes, string lines, a spoil heap, one labourer. No structure yet.</t>
  </si>
  <si>
    <t xml:space="preserve">Flat ground + markers</t>
  </si>
  <si>
    <t xml:space="preserve">"Something is coming here"</t>
  </si>
  <si>
    <t xml:space="preserve">1–24</t>
  </si>
  <si>
    <t xml:space="preserve">Improvised and temporary. Raw local material, no foundation, visible lashings and patches.</t>
  </si>
  <si>
    <t xml:space="preserve">Small, low, irregular</t>
  </si>
  <si>
    <t xml:space="preserve">"Someone just started"</t>
  </si>
  <si>
    <t xml:space="preserve">25–96</t>
  </si>
  <si>
    <t xml:space="preserve">1–3</t>
  </si>
  <si>
    <t xml:space="preserve">Permanent footprint. Proper foundation, squared timber or fired brick, a functioning door.</t>
  </si>
  <si>
    <t xml:space="preserve">Doubles in height; regular geometry</t>
  </si>
  <si>
    <t xml:space="preserve">"This is real now"</t>
  </si>
  <si>
    <t xml:space="preserve">97–224</t>
  </si>
  <si>
    <t xml:space="preserve">4–7</t>
  </si>
  <si>
    <t xml:space="preserve">Purposeful craft. Dedicated work yards, storage annexes, a sign of the trade. First decoration.</t>
  </si>
  <si>
    <t xml:space="preserve">Spreads horizontally; annexes appear</t>
  </si>
  <si>
    <t xml:space="preserve">"They know what they are doing"</t>
  </si>
  <si>
    <t xml:space="preserve">225–384</t>
  </si>
  <si>
    <t xml:space="preserve">8–12</t>
  </si>
  <si>
    <t xml:space="preserve">Institutional. Stone or steel core, an entrance worth photographing, staff visible at work.</t>
  </si>
  <si>
    <t xml:space="preserve">Vertical emphasis begins</t>
  </si>
  <si>
    <t xml:space="preserve">"This is a serious institution"</t>
  </si>
  <si>
    <t xml:space="preserve">385–544</t>
  </si>
  <si>
    <t xml:space="preserve">13–17</t>
  </si>
  <si>
    <t xml:space="preserve">Prestige architecture. Ornament, heraldry, a courtyard or forecourt, formal approach.</t>
  </si>
  <si>
    <t xml:space="preserve">Complex massing; a tower or spire</t>
  </si>
  <si>
    <t xml:space="preserve">"Wealth lives here"</t>
  </si>
  <si>
    <t xml:space="preserve">545–704</t>
  </si>
  <si>
    <t xml:space="preserve">18–21</t>
  </si>
  <si>
    <t xml:space="preserve">Era retrofit. Older fabric visibly upgraded with current-era technology grafted on.</t>
  </si>
  <si>
    <t xml:space="preserve">Mixed-period silhouette</t>
  </si>
  <si>
    <t xml:space="preserve">"Old bones, new power"</t>
  </si>
  <si>
    <t xml:space="preserve">705–864</t>
  </si>
  <si>
    <t xml:space="preserve">22–27</t>
  </si>
  <si>
    <t xml:space="preserve">Monumental. Dominates its plot, casts shadow on neighbours, visible from outside the settlement.</t>
  </si>
  <si>
    <t xml:space="preserve">Landmark scale</t>
  </si>
  <si>
    <t xml:space="preserve">"You can see it from the next province"</t>
  </si>
  <si>
    <t xml:space="preserve">865–1024</t>
  </si>
  <si>
    <t xml:space="preserve">28–32</t>
  </si>
  <si>
    <t xml:space="preserve">Industrial/void scale. Continuous operation, exhaust plumes or energy bleed, support structures.</t>
  </si>
  <si>
    <t xml:space="preserve">Sprawling complex; auxiliaries</t>
  </si>
  <si>
    <t xml:space="preserve">"An economy in one building"</t>
  </si>
  <si>
    <t xml:space="preserve">1025–1152</t>
  </si>
  <si>
    <t xml:space="preserve">33–36</t>
  </si>
  <si>
    <t xml:space="preserve">Transcendent. Structure begins to exceed plausible engineering; ambient Qi/energy visibly distorts around it.</t>
  </si>
  <si>
    <t xml:space="preserve">Impossible cantilevers; floating elements</t>
  </si>
  <si>
    <t xml:space="preserve">"This should not stand up"</t>
  </si>
  <si>
    <t xml:space="preserve">1153–1280</t>
  </si>
  <si>
    <t xml:space="preserve">37–41</t>
  </si>
  <si>
    <t xml:space="preserve">Mythic. Architecture and phenomenon merge. Weather, light, and time behave differently nearby.</t>
  </si>
  <si>
    <t xml:space="preserve">Partly non-solid; auroral</t>
  </si>
  <si>
    <t xml:space="preserve">"The world bends here"</t>
  </si>
  <si>
    <t xml:space="preserve">1281–1337</t>
  </si>
  <si>
    <t xml:space="preserve">Legendary. A named wonder. Rendered as a unique hero asset, not a tier variant. Visible from orbit.</t>
  </si>
  <si>
    <t xml:space="preserve">Bespoke per building</t>
  </si>
  <si>
    <t xml:space="preserve">"There are only a handful of these in existence"</t>
  </si>
  <si>
    <t xml:space="preserve">Production note: tiers 0–8 are kit-bashable from a shared modular library per era and category. Tiers 9–11 need bespoke attention. Estimated authored assets: 483 × 9 shared-kit tiers + 483 × 3 bespoke ≈ 5,800 renders, versus 646,000 if authored per level.</t>
  </si>
  <si>
    <t xml:space="preserve">Overlay axis</t>
  </si>
  <si>
    <t xml:space="preserve">States</t>
  </si>
  <si>
    <t xml:space="preserve">How it renders</t>
  </si>
  <si>
    <t xml:space="preserve">Shared or per-building</t>
  </si>
  <si>
    <t xml:space="preserve">Era retrofit</t>
  </si>
  <si>
    <t xml:space="preserve">7 (Era I–VII)</t>
  </si>
  <si>
    <t xml:space="preserve">Material and technology pass over the same silhouette: thatch → tile → slate → corrugated steel → composite → alloy → lattice. A Farm in a galactic empire is still a Farm, but it has drone seeders and a fusion tap.</t>
  </si>
  <si>
    <t xml:space="preserve">Shared per category</t>
  </si>
  <si>
    <t xml:space="preserve">Culture / Ideology</t>
  </si>
  <si>
    <t xml:space="preserve">9 (3 axes × 3 positions)</t>
  </si>
  <si>
    <t xml:space="preserve">Authority reads as symmetry, columns, banners. Liberty reads as open frontage, mixed use, civic art. Faith reads as shrines and iconography. Reason reads as glass, instrumentation, clean geometry.</t>
  </si>
  <si>
    <t xml:space="preserve">Shared decal + trim library</t>
  </si>
  <si>
    <t xml:space="preserve">Cultivation aura</t>
  </si>
  <si>
    <t xml:space="preserve">7 (realm bands)</t>
  </si>
  <si>
    <t xml:space="preserve">Ambient VFX intensity around cultivation and high-grade buildings: none → faint motes → flowing currents → standing arcs → local weather → gravity distortion → visible time-dilation shimmer.</t>
  </si>
  <si>
    <t xml:space="preserve">Shared VFX library</t>
  </si>
  <si>
    <t xml:space="preserve">Damage state</t>
  </si>
  <si>
    <t xml:space="preserve">4</t>
  </si>
  <si>
    <t xml:space="preserve">Pristine / scarred (scorch, patched walls) / breached (structural loss, exposed interior) / ruined (collapsed, smoking, salvageable). Damage states persist visibly until repaired.</t>
  </si>
  <si>
    <t xml:space="preserve">Shared per size class</t>
  </si>
  <si>
    <t xml:space="preserve">Activity state</t>
  </si>
  <si>
    <t xml:space="preserve">3</t>
  </si>
  <si>
    <t xml:space="preserve">Idle (dark, still, no staff) / working (animated, lit, staff and carts) / overdriven (shard-accelerated: temporal shimmer, blurred workers, audible hum). Overdriven is deliberately conspicuous.</t>
  </si>
  <si>
    <t xml:space="preserve">Biome &amp; season</t>
  </si>
  <si>
    <t xml:space="preserve">6</t>
  </si>
  <si>
    <t xml:space="preserve">Desert, temperate, tundra, tropical, volcanic, void. Affects roofing, foundations, vegetation, snow accumulation, and light temperature.</t>
  </si>
  <si>
    <t xml:space="preserve">Shared environment pass</t>
  </si>
  <si>
    <t xml:space="preserve">Heraldry</t>
  </si>
  <si>
    <t xml:space="preserve">Player-defined</t>
  </si>
  <si>
    <t xml:space="preserve">Owner banners, unit liveries, and dynasty colours applied to defined decal slots. Changes hands visibly on conquest.</t>
  </si>
  <si>
    <t xml:space="preserve">Per-player, shared slots</t>
  </si>
  <si>
    <t xml:space="preserve">Combinatorics: 12 tiers × 7 eras × 9 culture states × 7 auras × 4 damage × 3 activity × 6 biomes = ~381,000 renderable appearances per building, from roughly 12 authored base assets plus shared libraries. This is how the level-1337 ladder gets visual expression without an impossible art budget.</t>
  </si>
  <si>
    <t xml:space="preserve">#</t>
  </si>
  <si>
    <t xml:space="preserve">Purpose</t>
  </si>
  <si>
    <t xml:space="preserve">Value added</t>
  </si>
  <si>
    <t xml:space="preserve">Distinctive mechanic</t>
  </si>
  <si>
    <t xml:space="preserve">Key synergies</t>
  </si>
  <si>
    <t xml:space="preserve">Visual DNA (art brief)</t>
  </si>
  <si>
    <t xml:space="preserve">Seat of the settlement; the level cap for everything else.</t>
  </si>
  <si>
    <t xml:space="preserve">Unlocks plots, queue slots, and command radius; the single most consequential upgrade in Era I.</t>
  </si>
  <si>
    <t xml:space="preserve">Hard-caps every other building's level. If reduced by siege, every building above the new cap is suppressed until repaired.</t>
  </si>
  <si>
    <t xml:space="preserve">Gates all; Rally Point extends its command radius.</t>
  </si>
  <si>
    <t xml:space="preserve">Longhouse on a raised mound. Carved ancestor posts flanking the door, smoke hole, a single banner. Signature: the antler-crowned ridge beam.</t>
  </si>
  <si>
    <t xml:space="preserve">Primary Grain production and the population engine.</t>
  </si>
  <si>
    <t xml:space="preserve">Feeds population growth and army upkeep; without it nothing else scales.</t>
  </si>
  <si>
    <t xml:space="preserve">Yields ×2 on fertile tiles. Output drops 40% in winter zones unless a Granary buffers it.</t>
  </si>
  <si>
    <t xml:space="preserve">Granary (buffers), Windmill later (+conversion). Adjacent Orchard +10%.</t>
  </si>
  <si>
    <t xml:space="preserve">Terraced fields around a threshing floor. Signature: the ox-turned grain post and stacked sheaves.</t>
  </si>
  <si>
    <t xml:space="preserve">Coastal Food alternative independent of arable land.</t>
  </si>
  <si>
    <t xml:space="preserve">Lets coastal settlements skip farmland entirely, freeing plots for military or trade.</t>
  </si>
  <si>
    <t xml:space="preserve">Immune to the winter Farm penalty but vulnerable to naval blockade from Era III.</t>
  </si>
  <si>
    <t xml:space="preserve">Smokehouse (preserves catch), River Dock.</t>
  </si>
  <si>
    <t xml:space="preserve">Stilted platform over water, drying nets on frames, beached coracles. Signature: the great net-winch.</t>
  </si>
  <si>
    <t xml:space="preserve">Timber extraction.</t>
  </si>
  <si>
    <t xml:space="preserve">Feeds every construction chain in the game's first two eras.</t>
  </si>
  <si>
    <t xml:space="preserve">+25% adjacent to forest tiles; clear-felling is cosmetic only — forests do not deplete.</t>
  </si>
  <si>
    <t xml:space="preserve">Sawmill (+15% adjacency), Carpenter Guild later.</t>
  </si>
  <si>
    <t xml:space="preserve">Felling yard with stacked trunks, a skid ramp, axes in stumps. Signature: the log flume down the slope.</t>
  </si>
  <si>
    <t xml:space="preserve">Ore extraction.</t>
  </si>
  <si>
    <t xml:space="preserve">The bottleneck resource for weapons, tools, and all metal chains.</t>
  </si>
  <si>
    <t xml:space="preserve">Deep-vein tiles double output. Workers suffer 2%/day attrition without a Herbalist Hut in the settlement.</t>
  </si>
  <si>
    <t xml:space="preserve">Smelter, Bloomery, Herbalist Hut (safety).</t>
  </si>
  <si>
    <t xml:space="preserve">Timbered adit into a hillside, spoil heap, ore carts on plank rails. Signature: the headframe winch.</t>
  </si>
  <si>
    <t xml:space="preserve">Hide extraction and scout training support.</t>
  </si>
  <si>
    <t xml:space="preserve">Supplies the leather armour chain and grants scouts a small speed bonus.</t>
  </si>
  <si>
    <t xml:space="preserve">Grants +5% Scout speed empire-wide at grade 6+.</t>
  </si>
  <si>
    <t xml:space="preserve">Tannery, Scout Post, Kennels.</t>
  </si>
  <si>
    <t xml:space="preserve">Low cabin hung with pelts and antlers, drying racks. Signature: the trophy gable.</t>
  </si>
  <si>
    <t xml:space="preserve">Clay extraction.</t>
  </si>
  <si>
    <t xml:space="preserve">Feeds the Kiln chain that unlocks durable Era II construction.</t>
  </si>
  <si>
    <t xml:space="preserve">Output +30% on riverbank tiles; halts entirely during flood events.</t>
  </si>
  <si>
    <t xml:space="preserve">Kiln, Pottery Works.</t>
  </si>
  <si>
    <t xml:space="preserve">Terraced excavation with water-filled cuts and barrow ramps. Signature: the stacked drying-brick pyramid.</t>
  </si>
  <si>
    <t xml:space="preserve">Spirit Herb cultivation — the cultivation chain's first link.</t>
  </si>
  <si>
    <t xml:space="preserve">Opens the entire pill and alchemy economy that runs to Era VII.</t>
  </si>
  <si>
    <t xml:space="preserve">Yield ×3 on Spirit Vein tiles. Herb quality (not quantity) scales with the Sovereign's realm.</t>
  </si>
  <si>
    <t xml:space="preserve">Alchemy Cauldron Hut, Herbalist Hut, Spirit Grove.</t>
  </si>
  <si>
    <t xml:space="preserve">Walled garden of raised beds by species, a moon gate, drying lines. Signature: the one bed that glows faintly at night.</t>
  </si>
  <si>
    <t xml:space="preserve">Honey: a food source that also raises happiness.</t>
  </si>
  <si>
    <t xml:space="preserve">Cheap dual-purpose output; strong early happiness for its plot cost.</t>
  </si>
  <si>
    <t xml:space="preserve">Adjacency +20% to Orchard and Herb Garden; the bonus is reciprocal.</t>
  </si>
  <si>
    <t xml:space="preserve">Orchard, Herb Garden, Brewhouse.</t>
  </si>
  <si>
    <t xml:space="preserve">Row of woven skeps under a lean-to, smoke pot, flowering verge. Signature: the visible bee-cloud VFX.</t>
  </si>
  <si>
    <t xml:space="preserve">Fruit — a Food variant with a happiness rider.</t>
  </si>
  <si>
    <t xml:space="preserve">Diversifies food so a single blight or raid cannot starve the settlement.</t>
  </si>
  <si>
    <t xml:space="preserve">Takes 3 days to reach first yield after construction; thereafter steady.</t>
  </si>
  <si>
    <t xml:space="preserve">Apiary (+20%), Brewhouse (cider), Farm.</t>
  </si>
  <si>
    <t xml:space="preserve">Ranked fruit trees with ladders and picking baskets. Signature: the seasonal blossom-to-fruit colour shift.</t>
  </si>
  <si>
    <t xml:space="preserve">Small-plot Food.</t>
  </si>
  <si>
    <t xml:space="preserve">The cheapest food per plot; how new players survive their first week.</t>
  </si>
  <si>
    <t xml:space="preserve">Minor size class — occupies only one plot, unlike most extraction.</t>
  </si>
  <si>
    <t xml:space="preserve">Farm, Village Square.</t>
  </si>
  <si>
    <t xml:space="preserve">Fenced kitchen plot in neat rows with a watering butt. Signature: the scarecrow.</t>
  </si>
  <si>
    <t xml:space="preserve">Food from waste conversion.</t>
  </si>
  <si>
    <t xml:space="preserve">Converts food surplus into denser food; efficient but unhappy.</t>
  </si>
  <si>
    <t xml:space="preserve">−5% happiness to adjacent Culture buildings. Efficient, and everyone hates living next to it.</t>
  </si>
  <si>
    <t xml:space="preserve">Butchery later, Smokehouse.</t>
  </si>
  <si>
    <t xml:space="preserve">Mud yard with plank shelters and a slop trough. Signature: the wallow.</t>
  </si>
  <si>
    <t xml:space="preserve">Small steady Food.</t>
  </si>
  <si>
    <t xml:space="preserve">Reliable trickle income that never fails; excellent under siege.</t>
  </si>
  <si>
    <t xml:space="preserve">Alone among food buildings, unaffected by siege blockade for the first 7 days.</t>
  </si>
  <si>
    <t xml:space="preserve">Raised coop on stilts with a ramp and wire run. Signature: the weathervane cockerel.</t>
  </si>
  <si>
    <t xml:space="preserve">Hide and Food on marginal terrain.</t>
  </si>
  <si>
    <t xml:space="preserve">Makes mountain and tundra tiles productive when nothing else will grow.</t>
  </si>
  <si>
    <t xml:space="preserve">No terrain penalty on any tile type — the universal fallback.</t>
  </si>
  <si>
    <t xml:space="preserve">Tannery, Pasture later.</t>
  </si>
  <si>
    <t xml:space="preserve">Rough stone byre with a browsing pen on a slope. Signature: the goats on the roof.</t>
  </si>
  <si>
    <t xml:space="preserve">Passive Hide with no staffing cost.</t>
  </si>
  <si>
    <t xml:space="preserve">Free output; the only Era I building that needs zero workers.</t>
  </si>
  <si>
    <t xml:space="preserve">Zero staffing requirement. Output is fixed and does not scale with population.</t>
  </si>
  <si>
    <t xml:space="preserve">Hunter's Lodge, Tannery.</t>
  </si>
  <si>
    <t xml:space="preserve">Marked trail of snares and deadfalls with a check-cabin. Signature: the notched trail posts.</t>
  </si>
  <si>
    <t xml:space="preserve">Timber → Planks.</t>
  </si>
  <si>
    <t xml:space="preserve">The first processing building most players construct; gates all real building.</t>
  </si>
  <si>
    <t xml:space="preserve">+15% adjacent to Lumber Camp. Needs a water or slope tile for its wheel above grade 8.</t>
  </si>
  <si>
    <t xml:space="preserve">Lumber Camp, Watermill later.</t>
  </si>
  <si>
    <t xml:space="preserve">Open-sided shed over a saw pit, plank stacks. Signature: the great toothed blade and waterwheel.</t>
  </si>
  <si>
    <t xml:space="preserve">Ore → Bronze.</t>
  </si>
  <si>
    <t xml:space="preserve">Unlocks Era I weapons and all metal equipment.</t>
  </si>
  <si>
    <t xml:space="preserve">Consumes Char from the Charcoal Burner above grade 4; without it, output halves.</t>
  </si>
  <si>
    <t xml:space="preserve">Mine, Charcoal Burner, Tool Shed.</t>
  </si>
  <si>
    <t xml:space="preserve">Clay furnace stack with bellows and a tapping channel. Signature: the glowing tap-hole and slag heap.</t>
  </si>
  <si>
    <t xml:space="preserve">Hide → Leather.</t>
  </si>
  <si>
    <t xml:space="preserve">Feeds light armour and harness equipment.</t>
  </si>
  <si>
    <t xml:space="preserve">−10% happiness within two plots. Wise players zone it downwind at the settlement edge.</t>
  </si>
  <si>
    <t xml:space="preserve">Hunter's Lodge, Leather Works, Trap Line.</t>
  </si>
  <si>
    <t xml:space="preserve">Rows of sunken soaking pits, stretched hides on frames. Signature: the lime-white pit rims.</t>
  </si>
  <si>
    <t xml:space="preserve">Food storage and famine buffer.</t>
  </si>
  <si>
    <t xml:space="preserve">Prevents starvation losses and smooths seasonal food swings.</t>
  </si>
  <si>
    <t xml:space="preserve">Holds 7 days of consumption at grade 1, scaling up. Siege targets it first for a reason.</t>
  </si>
  <si>
    <t xml:space="preserve">Farm, Fishery, Grain Pit.</t>
  </si>
  <si>
    <t xml:space="preserve">Raised stone-footed barn on staddle stones with a loading door. Signature: the external grain chute.</t>
  </si>
  <si>
    <t xml:space="preserve">Preserved rations.</t>
  </si>
  <si>
    <t xml:space="preserve">Converts perishable food into campaign rations that extend army range.</t>
  </si>
  <si>
    <t xml:space="preserve">Rations are the only food that armies may carry beyond supply range.</t>
  </si>
  <si>
    <t xml:space="preserve">Fishery, Butchery, Supply Depot later.</t>
  </si>
  <si>
    <t xml:space="preserve">Sealed timber hut with a controlled vent, hanging racks visible. Signature: the constant thin smoke plume.</t>
  </si>
  <si>
    <t xml:space="preserve">Timber → Char fuel.</t>
  </si>
  <si>
    <t xml:space="preserve">Quietly essential: the Smelter's hidden dependency.</t>
  </si>
  <si>
    <t xml:space="preserve">Produces a fire hazard — 1% daily chance of a minor fire if adjacent to any thatched building.</t>
  </si>
  <si>
    <t xml:space="preserve">Smelter, Lumber Camp.</t>
  </si>
  <si>
    <t xml:space="preserve">Turf-covered burning mounds with tending poles and a watch hut. Signature: the smouldering dome.</t>
  </si>
  <si>
    <t xml:space="preserve">Happiness drink from grain and hops.</t>
  </si>
  <si>
    <t xml:space="preserve">The cheapest happiness per plot in Era I; pairs with festivals.</t>
  </si>
  <si>
    <t xml:space="preserve">Grants +10% festival effect at the Shrine and Village Square.</t>
  </si>
  <si>
    <t xml:space="preserve">Farm, Apiary, Orchard, Village Square.</t>
  </si>
  <si>
    <t xml:space="preserve">Steam-vented hall with mash tuns and barrel stacks. Signature: the rolling-barrel ramp.</t>
  </si>
  <si>
    <t xml:space="preserve">Storage vessels.</t>
  </si>
  <si>
    <t xml:space="preserve">Raises Warehouse effectiveness — a multiplier building, not a producer.</t>
  </si>
  <si>
    <t xml:space="preserve">Adds +8% to all settlement storage caps per 4 grades, stacking with Warehouse.</t>
  </si>
  <si>
    <t xml:space="preserve">Clay Pit, Warehouse, Kiln later.</t>
  </si>
  <si>
    <t xml:space="preserve">Wheel sheds and a bottle kiln with drying yards of pots. Signature: the stacked seconds-heap.</t>
  </si>
  <si>
    <t xml:space="preserve">Tier 1 pills from Spirit Herbs.</t>
  </si>
  <si>
    <t xml:space="preserve">Opens pill crafting — Qi recovery and the first temporary buffs.</t>
  </si>
  <si>
    <t xml:space="preserve">Pill Toxicity applies from the first dose: the stacking cap exists from Era I onward.</t>
  </si>
  <si>
    <t xml:space="preserve">Herb Garden, Spirit Grove, Meditation Ledge.</t>
  </si>
  <si>
    <t xml:space="preserve">Smoke-stained hut, a single great cauldron, shelves of sealed jars. Signature: the coloured vapour changing with the recipe.</t>
  </si>
  <si>
    <t xml:space="preserve">Infantry training.</t>
  </si>
  <si>
    <t xml:space="preserve">The foundation of all land warfare; gates infantry archetypes.</t>
  </si>
  <si>
    <t xml:space="preserve">Training speed −2% per grade, capped at −40%. Partial units are lost if raided mid-production.</t>
  </si>
  <si>
    <t xml:space="preserve">Training Yard, Sparring Circle, Rally Point.</t>
  </si>
  <si>
    <t xml:space="preserve">Palisaded compound of sleeping halls around a muster yard. Signature: the weapon racks flanking the gate.</t>
  </si>
  <si>
    <t xml:space="preserve">Ranged unit training.</t>
  </si>
  <si>
    <t xml:space="preserve">Counters early shock infantry; essential defensive investment.</t>
  </si>
  <si>
    <t xml:space="preserve">Grants +5% defence to ranged units defending this settlement specifically.</t>
  </si>
  <si>
    <t xml:space="preserve">Fletcher, Bowyer, Palisade.</t>
  </si>
  <si>
    <t xml:space="preserve">Long earth-bermed shooting lane with butts and a covered line. Signature: the arrow-studded straw targets.</t>
  </si>
  <si>
    <t xml:space="preserve">Unit experience.</t>
  </si>
  <si>
    <t xml:space="preserve">Produces veterans rather than raw recruits — quality over quantity.</t>
  </si>
  <si>
    <t xml:space="preserve">New units emerge with 10% veterancy per 6 grades, up to 35%.</t>
  </si>
  <si>
    <t xml:space="preserve">Barracks, Archery Range, Sparring Circle.</t>
  </si>
  <si>
    <t xml:space="preserve">Sand oval ringed by pells and dummies, a raised instructor's stand. Signature: the worn combat ring.</t>
  </si>
  <si>
    <t xml:space="preserve">Warfare proficiency gain.</t>
  </si>
  <si>
    <t xml:space="preserve">Accelerates the player's Warfare mastery — a meta-progression building.</t>
  </si>
  <si>
    <t xml:space="preserve">Grants Warfare XP passively, subject to the daily proficiency soft cap.</t>
  </si>
  <si>
    <t xml:space="preserve">Training Yard, Beast Tamer.</t>
  </si>
  <si>
    <t xml:space="preserve">Stone-ringed circle of packed earth with spectator benches. Signature: the champion's post hung with tokens.</t>
  </si>
  <si>
    <t xml:space="preserve">Arrow equipment (Weapon slot, T1).</t>
  </si>
  <si>
    <t xml:space="preserve">First equipment crafting; teaches the loadout system.</t>
  </si>
  <si>
    <t xml:space="preserve">Produces Weapon-slot equipment usable only by ranged archetypes.</t>
  </si>
  <si>
    <t xml:space="preserve">Archery Range, Bowyer, Lumber Camp.</t>
  </si>
  <si>
    <t xml:space="preserve">Workbenches under an awning, feather bins, shaft bundles. Signature: the fletching jig and goose-down drift.</t>
  </si>
  <si>
    <t xml:space="preserve">Bow equipment (Weapon slot, T1).</t>
  </si>
  <si>
    <t xml:space="preserve">Higher-quality ranged weapons; the first Fine-quality crafting available.</t>
  </si>
  <si>
    <t xml:space="preserve">Quality roll improves with the crafter's Construction proficiency rank.</t>
  </si>
  <si>
    <t xml:space="preserve">Fletcher, Lumber Camp, Archery Range.</t>
  </si>
  <si>
    <t xml:space="preserve">Steam-bending frames and tillering trees under a long roof. Signature: the row of bows curing in tension.</t>
  </si>
  <si>
    <t xml:space="preserve">Shield equipment (Protection slot, T1).</t>
  </si>
  <si>
    <t xml:space="preserve">The counter to early ranged dominance.</t>
  </si>
  <si>
    <t xml:space="preserve">Shields grant a bonus specifically against Ranged-role attackers, per the counter matrix.</t>
  </si>
  <si>
    <t xml:space="preserve">Sawmill, Leather Works, Barracks.</t>
  </si>
  <si>
    <t xml:space="preserve">Open shed with shield blanks, glue pots, and painted faces drying. Signature: the wall of finished shields.</t>
  </si>
  <si>
    <t xml:space="preserve">Leather armour (Protection slot, T1).</t>
  </si>
  <si>
    <t xml:space="preserve">Universal early armour available to every archetype.</t>
  </si>
  <si>
    <t xml:space="preserve">The only Era I Protection source with no archetype restriction.</t>
  </si>
  <si>
    <t xml:space="preserve">Tannery, Shield Wright.</t>
  </si>
  <si>
    <t xml:space="preserve">Cutting tables and stitching frames, hide rolls overhead. Signature: the armour forms on wooden torsos.</t>
  </si>
  <si>
    <t xml:space="preserve">Tools component.</t>
  </si>
  <si>
    <t xml:space="preserve">Reduces build time empire-wide — a force multiplier, not an output.</t>
  </si>
  <si>
    <t xml:space="preserve">Tools consumed by construction reduce build time up to 20%; supply is finite.</t>
  </si>
  <si>
    <t xml:space="preserve">Smelter, Sawmill, all construction.</t>
  </si>
  <si>
    <t xml:space="preserve">Lean-to of racked implements with a grindstone. Signature: the pedal-driven whetwheel throwing sparks.</t>
  </si>
  <si>
    <t xml:space="preserve">Scout speed and war dogs.</t>
  </si>
  <si>
    <t xml:space="preserve">Fast intel and cheap harassment; punches above its plot cost.</t>
  </si>
  <si>
    <t xml:space="preserve">Unlocks the War Dog Pack archetype and grants Scouts +10% speed.</t>
  </si>
  <si>
    <t xml:space="preserve">Hunter's Lodge, Scout Post.</t>
  </si>
  <si>
    <t xml:space="preserve">Run of timber pens with an exercise yard. Signature: the handler's horn post.</t>
  </si>
  <si>
    <t xml:space="preserve">Primary defence: wall HP and defence multiplier.</t>
  </si>
  <si>
    <t xml:space="preserve">Must be breached before any plunder occurs; the difference between raided and destroyed.</t>
  </si>
  <si>
    <t xml:space="preserve">Multiplies defender defence by (1 + 0.05 × grade) and adds flat HP that siege must chew through.</t>
  </si>
  <si>
    <t xml:space="preserve">Palisade Gatehouse, Moat Ditch, Watch Post.</t>
  </si>
  <si>
    <t xml:space="preserve">Sharpened log wall with a fighting platform and ladders. Signature: the skull-and-banner posts at intervals.</t>
  </si>
  <si>
    <t xml:space="preserve">Gate strength and sally capability.</t>
  </si>
  <si>
    <t xml:space="preserve">Lets the garrison counter-attack siege engines instead of waiting passively.</t>
  </si>
  <si>
    <t xml:space="preserve">Enables the Sally action: a free counter-strike against adjacent siege units once per assault.</t>
  </si>
  <si>
    <t xml:space="preserve">Palisade, Rally Point, Barracks.</t>
  </si>
  <si>
    <t xml:space="preserve">Twin-tower timber gate with a drop bar and murder holes. Signature: the raised watch platform over the arch.</t>
  </si>
  <si>
    <t xml:space="preserve">Siege slowing.</t>
  </si>
  <si>
    <t xml:space="preserve">Buys defenders time for reinforcements to arrive — often decisive.</t>
  </si>
  <si>
    <t xml:space="preserve">Adds a fixed delay to siege arrival, unaffected by attacker strength. Pure time, which cannot be bought.</t>
  </si>
  <si>
    <t xml:space="preserve">Palisade, Watch Post.</t>
  </si>
  <si>
    <t xml:space="preserve">Dry or water-filled ditch with a spoil bank and stake rows. Signature: the sharpened stake field.</t>
  </si>
  <si>
    <t xml:space="preserve">Early-warning radius.</t>
  </si>
  <si>
    <t xml:space="preserve">Converts surprise attacks into anticipated ones; the defensive value is enormous.</t>
  </si>
  <si>
    <t xml:space="preserve">Adds warning minutes proportional to grade; stacks with Beacon Tower in Era II.</t>
  </si>
  <si>
    <t xml:space="preserve">Scout Post, Beacon Tower later, Lookout Tree.</t>
  </si>
  <si>
    <t xml:space="preserve">Pole platform with a ladder, bell, and brazier. Signature: the signal brazier ready to light.</t>
  </si>
  <si>
    <t xml:space="preserve">Cheapest possible early warning.</t>
  </si>
  <si>
    <t xml:space="preserve">A one-plot stopgap for new players before a real Watch Post.</t>
  </si>
  <si>
    <t xml:space="preserve">Minor size class; its warning bonus does not stack with Watch Post — it is replaced, not supplemented.</t>
  </si>
  <si>
    <t xml:space="preserve">Watch Post, Scout Post.</t>
  </si>
  <si>
    <t xml:space="preserve">A great tree with a rope ladder and a plank crow's nest. Signature: the lone watcher silhouette.</t>
  </si>
  <si>
    <t xml:space="preserve">Scout training and intel range.</t>
  </si>
  <si>
    <t xml:space="preserve">Intel is the resource that makes every other decision correct.</t>
  </si>
  <si>
    <t xml:space="preserve">Grants counter-scouting: enemy scouts have a grade-scaled chance to be intercepted and killed.</t>
  </si>
  <si>
    <t xml:space="preserve">Kennels, Cartographer Hut, Watch Post.</t>
  </si>
  <si>
    <t xml:space="preserve">Small hut with a map table under an awning, tethered horses. Signature: the pinned map of the province.</t>
  </si>
  <si>
    <t xml:space="preserve">Research trickle.</t>
  </si>
  <si>
    <t xml:space="preserve">The only Era I research source; starts the technology climb.</t>
  </si>
  <si>
    <t xml:space="preserve">Produces research points even at zero staffing — knowledge does not need labourers.</t>
  </si>
  <si>
    <t xml:space="preserve">Story Circle, Cartographer Hut, Academy later.</t>
  </si>
  <si>
    <t xml:space="preserve">Quiet hall with hearth, benches, and a wall of tally sticks. Signature: the memory-knot cords hanging from the beams.</t>
  </si>
  <si>
    <t xml:space="preserve">Culture generation.</t>
  </si>
  <si>
    <t xml:space="preserve">Culture exerts border pressure and feeds happiness — soft power from day one.</t>
  </si>
  <si>
    <t xml:space="preserve">Culture output is doubled during the 24h after any battle fought by this settlement — victories and defeats both.</t>
  </si>
  <si>
    <t xml:space="preserve">Shrine, Totem Grounds, Burial Mound.</t>
  </si>
  <si>
    <t xml:space="preserve">Ring of seats around a fire pit with a carved speaker's stone. Signature: the worn storyteller's seat.</t>
  </si>
  <si>
    <t xml:space="preserve">Map memory and shared vision.</t>
  </si>
  <si>
    <t xml:space="preserve">Preserves scouted intel that would otherwise decay.</t>
  </si>
  <si>
    <t xml:space="preserve">Extends intel report lifespan before it goes stale; shares maps with alliance members at grade 10+.</t>
  </si>
  <si>
    <t xml:space="preserve">Scout Post, Elder's Lodge.</t>
  </si>
  <si>
    <t xml:space="preserve">Trestle tables of hide maps, dividers, and weighted corners. Signature: the growing wall-map of known land.</t>
  </si>
  <si>
    <t xml:space="preserve">Barter and the first caravan slot.</t>
  </si>
  <si>
    <t xml:space="preserve">Opens player-to-player trade — the start of the whole economic game.</t>
  </si>
  <si>
    <t xml:space="preserve">Grants one caravan slot; all Era I trades are escrowed by the server so scams are impossible.</t>
  </si>
  <si>
    <t xml:space="preserve">Market later, River Dock, Warehouse.</t>
  </si>
  <si>
    <t xml:space="preserve">Open-fronted stall row with a weighing beam and ledger desk. Signature: the balance scale on the counter.</t>
  </si>
  <si>
    <t xml:space="preserve">River trade lane access.</t>
  </si>
  <si>
    <t xml:space="preserve">Cheap bulk transport for riverine settlements; a major early advantage.</t>
  </si>
  <si>
    <t xml:space="preserve">River hauling costs 40% less than road hauling and is much harder to intercept in Era I.</t>
  </si>
  <si>
    <t xml:space="preserve">Trade Post, Ferry Landing, Fishery.</t>
  </si>
  <si>
    <t xml:space="preserve">Plank quay with mooring posts and a crane-arm. Signature: the loaded river barge at rest.</t>
  </si>
  <si>
    <t xml:space="preserve">River crossing for armies.</t>
  </si>
  <si>
    <t xml:space="preserve">Converts a river from a barrier into a route — a strategic terrain edit.</t>
  </si>
  <si>
    <t xml:space="preserve">Allows armies to cross river tiles without the normal speed penalty.</t>
  </si>
  <si>
    <t xml:space="preserve">River Dock, Bridge, Path Network.</t>
  </si>
  <si>
    <t xml:space="preserve">Sloped ramp, capstan, and a flat-decked ferry on a guide rope. Signature: the taut crossing cable.</t>
  </si>
  <si>
    <t xml:space="preserve">Permanent road link across water.</t>
  </si>
  <si>
    <t xml:space="preserve">Reshapes provincial movement permanently — for you and your enemies.</t>
  </si>
  <si>
    <t xml:space="preserve">Bridges are usable by hostile armies too. Building one is a strategic commitment, not a pure gain.</t>
  </si>
  <si>
    <t xml:space="preserve">Path Network, Ferry Landing, Road Wardens later.</t>
  </si>
  <si>
    <t xml:space="preserve">Timber trestle on stone piers with a plank deck. Signature: the toll post at the near end.</t>
  </si>
  <si>
    <t xml:space="preserve">In-province movement speed.</t>
  </si>
  <si>
    <t xml:space="preserve">Compounds with every future logistics building; quietly one of the best early investments.</t>
  </si>
  <si>
    <t xml:space="preserve">Speeds all friendly movement within the province; does not benefit enemies (unlike Bridge).</t>
  </si>
  <si>
    <t xml:space="preserve">Bridge, Wagon Yard later, Supply Depot later.</t>
  </si>
  <si>
    <t xml:space="preserve">Graded and gravelled tracks with drainage ditches and waymarkers. Signature: the carved distance stones.</t>
  </si>
  <si>
    <t xml:space="preserve">Hidden food cache.</t>
  </si>
  <si>
    <t xml:space="preserve">Survives raids that empty the Granary; insurance against starvation.</t>
  </si>
  <si>
    <t xml:space="preserve">A percentage of stored Food is invisible to scouts and immune to plunder.</t>
  </si>
  <si>
    <t xml:space="preserve">Granary, Hidden Cellar, Root Cellar.</t>
  </si>
  <si>
    <t xml:space="preserve">Turf-capped sunken pits with sealed lids, barely visible. Signature: the disguised covering sod.</t>
  </si>
  <si>
    <t xml:space="preserve">Ration storage.</t>
  </si>
  <si>
    <t xml:space="preserve">Extends how long preserved food remains usable on campaign.</t>
  </si>
  <si>
    <t xml:space="preserve">Prevents ration spoilage, which otherwise degrades 5% per day in transit.</t>
  </si>
  <si>
    <t xml:space="preserve">Smokehouse, Supply Depot later.</t>
  </si>
  <si>
    <t xml:space="preserve">Low stone store with sealed crocks on slate shelves. Signature: the salt-crusted doorway.</t>
  </si>
  <si>
    <t xml:space="preserve">General storage caps.</t>
  </si>
  <si>
    <t xml:space="preserve">Determines how much you can bank before overflow is wasted.</t>
  </si>
  <si>
    <t xml:space="preserve">Overflow above cap is lost permanently. The Warehouse is what lets you save for big projects.</t>
  </si>
  <si>
    <t xml:space="preserve">Pottery Works, Hidden Cellar, all extraction.</t>
  </si>
  <si>
    <t xml:space="preserve">Long barn with wide cart doors and internal galleries. Signature: the tally board by the entrance.</t>
  </si>
  <si>
    <t xml:space="preserve">Raid-proof storage.</t>
  </si>
  <si>
    <t xml:space="preserve">Protects a slice of everything from plunder — the anti-raid building.</t>
  </si>
  <si>
    <t xml:space="preserve">Protects a grade-scaled share of ALL resources from plunder, not just food.</t>
  </si>
  <si>
    <t xml:space="preserve">Warehouse, Grain Pit, Chieftain's Hall.</t>
  </si>
  <si>
    <t xml:space="preserve">Trapdoor under a floor, stone steps, a vaulted undercroft. Signature: the concealed hatch under the rug.</t>
  </si>
  <si>
    <t xml:space="preserve">Happiness hub.</t>
  </si>
  <si>
    <t xml:space="preserve">Raises the productivity multiplier across the whole settlement.</t>
  </si>
  <si>
    <t xml:space="preserve">Happiness from the Square applies settlement-wide, unlike most Culture buildings.</t>
  </si>
  <si>
    <t xml:space="preserve">Shrine, Brewhouse, Fire Pit.</t>
  </si>
  <si>
    <t xml:space="preserve">Packed-earth plaza with a well, notice post, and market stones. Signature: the central standing stone.</t>
  </si>
  <si>
    <t xml:space="preserve">Happiness, festivals, and early blessings.</t>
  </si>
  <si>
    <t xml:space="preserve">Hosts festivals — burst happiness that can avert a revolt on demand.</t>
  </si>
  <si>
    <t xml:space="preserve">Festival action: spend resources for an immediate large happiness spike, once per 3 days.</t>
  </si>
  <si>
    <t xml:space="preserve">Village Square, Story Circle, Totem Grounds.</t>
  </si>
  <si>
    <t xml:space="preserve">Small roofed altar with offering ledges and prayer ribbons. Signature: the ribbon-wrapped approach path.</t>
  </si>
  <si>
    <t xml:space="preserve">Concentrated Culture output.</t>
  </si>
  <si>
    <t xml:space="preserve">Drives border pressure that can flip neighbouring plots without a battle.</t>
  </si>
  <si>
    <t xml:space="preserve">Culture from Totem Grounds specifically contributes double to border pressure calculations.</t>
  </si>
  <si>
    <t xml:space="preserve">Story Circle, Shrine, Ancestor Altar.</t>
  </si>
  <si>
    <t xml:space="preserve">Grove of carved poles on a ritual clearing. Signature: the tallest totem bearing the dynasty's crest.</t>
  </si>
  <si>
    <t xml:space="preserve">Legacy record and morale.</t>
  </si>
  <si>
    <t xml:space="preserve">Ties the dynasty system to the map; your dead are permanently present.</t>
  </si>
  <si>
    <t xml:space="preserve">Records fallen commanders by name; grants a morale bonus scaled to the settlement's battle history.</t>
  </si>
  <si>
    <t xml:space="preserve">Ancestor Altar, Story Circle.</t>
  </si>
  <si>
    <t xml:space="preserve">Grassed barrow with a stone-lined entrance and marker stones. Signature: the named memorial stones growing in number.</t>
  </si>
  <si>
    <t xml:space="preserve">Health precursor and siege endurance.</t>
  </si>
  <si>
    <t xml:space="preserve">Determines how long a settlement survives a blockade.</t>
  </si>
  <si>
    <t xml:space="preserve">Extends siege endurance before starvation effects begin; the single best anti-siege investment per plot.</t>
  </si>
  <si>
    <t xml:space="preserve">Village Square, Herbalist Hut.</t>
  </si>
  <si>
    <t xml:space="preserve">Stone-ringed shaft with a windlass and bucket, worn flagstones. Signature: the roofed well-head.</t>
  </si>
  <si>
    <t xml:space="preserve">Casualty recovery and mine safety.</t>
  </si>
  <si>
    <t xml:space="preserve">Returns wounded soldiers to duty instead of losing them permanently.</t>
  </si>
  <si>
    <t xml:space="preserve">Recovers a share of casualties after battle; also cancels Mine worker attrition.</t>
  </si>
  <si>
    <t xml:space="preserve">Herb Garden, Mine, Hospice later.</t>
  </si>
  <si>
    <t xml:space="preserve">Hut hung with drying bunches, a mortar bench, and pallets. Signature: the herb-strung rafters.</t>
  </si>
  <si>
    <t xml:space="preserve">Night morale.</t>
  </si>
  <si>
    <t xml:space="preserve">Trivially cheap; the first building most players complete.</t>
  </si>
  <si>
    <t xml:space="preserve">Provides a small happiness bonus that applies only during the player's chosen night-mode window.</t>
  </si>
  <si>
    <t xml:space="preserve">Village Square, Story Circle.</t>
  </si>
  <si>
    <t xml:space="preserve">Stone-ringed communal fire with log seating. Signature: the ever-burning flame and sparks.</t>
  </si>
  <si>
    <t xml:space="preserve">Food preservation.</t>
  </si>
  <si>
    <t xml:space="preserve">Reduces food spoilage, extending effective stockpiles.</t>
  </si>
  <si>
    <t xml:space="preserve">Minor size class; reduces Food decay rate by a grade-scaled percentage.</t>
  </si>
  <si>
    <t xml:space="preserve">Fishery, Smokehouse.</t>
  </si>
  <si>
    <t xml:space="preserve">Open timber frames hung with split fish and sliced roots. Signature: the fluttering drying lines.</t>
  </si>
  <si>
    <t xml:space="preserve">Cool food storage.</t>
  </si>
  <si>
    <t xml:space="preserve">Cheap additional Food capacity without a full Warehouse.</t>
  </si>
  <si>
    <t xml:space="preserve">Food-only storage, but far cheaper per unit of capacity than the Warehouse.</t>
  </si>
  <si>
    <t xml:space="preserve">Granary, Grain Pit, Vegetable Garden.</t>
  </si>
  <si>
    <t xml:space="preserve">Earth-banked door into a hillside with a timber lintel. Signature: the moss-covered turf roof.</t>
  </si>
  <si>
    <t xml:space="preserve">Trinkets for trade.</t>
  </si>
  <si>
    <t xml:space="preserve">Converts hunting by-products into tradeable value.</t>
  </si>
  <si>
    <t xml:space="preserve">Produces a trade good with no other use — pure Coin conversion, valuable to merchant players.</t>
  </si>
  <si>
    <t xml:space="preserve">Hunter's Lodge, Trade Post.</t>
  </si>
  <si>
    <t xml:space="preserve">Bench of antler and bone stock with fine tools. Signature: the finished carvings on display boards.</t>
  </si>
  <si>
    <t xml:space="preserve">Cloth precursor.</t>
  </si>
  <si>
    <t xml:space="preserve">Bridges to the Era II cloth economy.</t>
  </si>
  <si>
    <t xml:space="preserve">Its output becomes far more valuable once the Era II Weaver is built — an investment ahead of the curve.</t>
  </si>
  <si>
    <t xml:space="preserve">Pasture later, Weaver later, Goat Shed.</t>
  </si>
  <si>
    <t xml:space="preserve">Warp-weighted looms under a lean-to with dyed skeins. Signature: the hanging coloured yarn.</t>
  </si>
  <si>
    <t xml:space="preserve">Ambient Qi generation.</t>
  </si>
  <si>
    <t xml:space="preserve">The Sovereign's first Qi income; begins the cultivation climb.</t>
  </si>
  <si>
    <t xml:space="preserve">Qi output ×2 on a Spirit Vein tile. Cannot be captured usefully — resets fully on conquest.</t>
  </si>
  <si>
    <t xml:space="preserve">Qi Gathering Stone, Meditation Ledge, Herb Garden.</t>
  </si>
  <si>
    <t xml:space="preserve">Ring of ancient trees around still water, unnaturally quiet. Signature: the drifting motes and mist that never clears.</t>
  </si>
  <si>
    <t xml:space="preserve">Concentrated Qi and a meditation slot.</t>
  </si>
  <si>
    <t xml:space="preserve">The primary Qi source of Era I; gates early breakthroughs.</t>
  </si>
  <si>
    <t xml:space="preserve">Provides a meditation slot the Sovereign occupies to gain Qi while offline.</t>
  </si>
  <si>
    <t xml:space="preserve">Spirit Grove, Meditation Ledge, Ancestor Altar.</t>
  </si>
  <si>
    <t xml:space="preserve">Monolith inscribed with flowing script on a swept platform. Signature: the script glowing brighter with realm.</t>
  </si>
  <si>
    <t xml:space="preserve">Cultivation experience.</t>
  </si>
  <si>
    <t xml:space="preserve">Accelerates realm progress — the meta-progression cultivation building.</t>
  </si>
  <si>
    <t xml:space="preserve">Cultivation XP gain, subject to the daily soft cap. Output scales with settlement quiet (fewer Military buildings nearby).</t>
  </si>
  <si>
    <t xml:space="preserve">Qi Gathering Stone, Spirit Grove.</t>
  </si>
  <si>
    <t xml:space="preserve">Flat stone shelf on a cliff or hilltop, swept bare, one cushion. Signature: the lone seat facing the horizon.</t>
  </si>
  <si>
    <t xml:space="preserve">Spirit beast taming.</t>
  </si>
  <si>
    <t xml:space="preserve">Unlocks beast companions and the Beast Tamer archetype.</t>
  </si>
  <si>
    <t xml:space="preserve">Houses tamed beasts from lairs; capacity scales with grade and beast tier.</t>
  </si>
  <si>
    <t xml:space="preserve">Beast Tamer units, Kennels, Spirit Grove.</t>
  </si>
  <si>
    <t xml:space="preserve">Heavy timber and rope enclosure with warded posts. Signature: the ward-talismans on every post.</t>
  </si>
  <si>
    <t xml:space="preserve">Dynasty tradition slots.</t>
  </si>
  <si>
    <t xml:space="preserve">Connects this settlement to the permanent account-level dynasty system.</t>
  </si>
  <si>
    <t xml:space="preserve">Grants dynasty tradition slots — permanent, cross-epoch account progression.</t>
  </si>
  <si>
    <t xml:space="preserve">Burial Mound, Totem Grounds, Qi Gathering Stone.</t>
  </si>
  <si>
    <t xml:space="preserve">Tiered stone altar with name-plaques and offering bowls. Signature: the plaque wall, filling over generations.</t>
  </si>
  <si>
    <t xml:space="preserve">Attack timing precision and command capacity.</t>
  </si>
  <si>
    <t xml:space="preserve">Enables synchronized multi-wave attacks — the core skill of tribal strategy.</t>
  </si>
  <si>
    <t xml:space="preserve">Higher grades tighten the launch window, allowing waves to land seconds apart.</t>
  </si>
  <si>
    <t xml:space="preserve">Chieftain's Hall, Barracks, Palisade Gatehouse.</t>
  </si>
  <si>
    <t xml:space="preserve">Raised muster platform with signal horns and unit standards. Signature: the forest of planted banner poles.</t>
  </si>
  <si>
    <t xml:space="preserve">Appearance at this tier</t>
  </si>
  <si>
    <t xml:space="preserve">Staked rectangle on a cleared mound, post holes dug, one ancestor pole already planted upright.</t>
  </si>
  <si>
    <t xml:space="preserve">Single-room hut of split logs and turf roof, hide door flap, smoke escaping through a gap. One carved post.</t>
  </si>
  <si>
    <t xml:space="preserve">Proper longhouse: squared timber, thatched ridge, a real door with iron hinges, two ancestor posts flanking.</t>
  </si>
  <si>
    <t xml:space="preserve">Hall extended with side aisles and a porch. Carved ridge-beam with antler crown. Banner on a pole outside.</t>
  </si>
  <si>
    <t xml:space="preserve">Stone plinth beneath the timber. Great doors, a paved forecourt, guards posted. Interior hearth visible through open doors.</t>
  </si>
  <si>
    <t xml:space="preserve">Fortified hall-keep: stone ground floor, timber upper, corner turrets, a walled courtyard with a standing stone.</t>
  </si>
  <si>
    <t xml:space="preserve">Era-retrofitted: original timber hall preserved intact inside a shell of newer construction, deliberately visible as heritage.</t>
  </si>
  <si>
    <t xml:space="preserve">Palace complex around the original hall. Towers, curtain wall, ceremonial approach stair. Dominates the settlement skyline.</t>
  </si>
  <si>
    <t xml:space="preserve">Administrative city-block: the ancient hall now a shrine at the heart of a vast governance complex with landing platforms.</t>
  </si>
  <si>
    <t xml:space="preserve">Structure exceeds plausibility: the hall floats in a stabilized field above its own foundations, ancestor poles orbiting slowly.</t>
  </si>
  <si>
    <t xml:space="preserve">Architecture and phenomenon merge. Light bends around the ancestor poles; the original hut is visible at the centre, untouched by ten centuries.</t>
  </si>
  <si>
    <t xml:space="preserve">Unique hero asset. A named seat of power visible from orbit, rendered bespoke per dynasty, the original longhouse still burning its hearth at the core.</t>
  </si>
  <si>
    <t xml:space="preserve">Furrowed strips marked out with stakes, a single plough abandoned mid-row.</t>
  </si>
  <si>
    <t xml:space="preserve">Two ragged fields, a lean-to shelter, hand tools. Crops uneven and sparse.</t>
  </si>
  <si>
    <t xml:space="preserve">Squared terraced fields with drainage, a threshing floor, an ox-turned grain post.</t>
  </si>
  <si>
    <t xml:space="preserve">Field system with hedgerows, a granary annex, stacked sheaves, working oxen.</t>
  </si>
  <si>
    <t xml:space="preserve">Estate farm: stone farmhouse, ranked outbuildings, irrigation channels, dense uniform crop.</t>
  </si>
  <si>
    <t xml:space="preserve">Manorial complex with a dovecote, walled kitchen garden, and a bell tower over the yard.</t>
  </si>
  <si>
    <t xml:space="preserve">Mechanized retrofit: the old stone farmhouse intact, now surrounded by rails, pumps, and powered threshers.</t>
  </si>
  <si>
    <t xml:space="preserve">Industrial agriculture: vast uniform fields to the horizon, silos, conveyor lines, the original farmhouse preserved as an office.</t>
  </si>
  <si>
    <t xml:space="preserve">Vertical agriculture towers with automated harvesters. Fields now stacked in climate-controlled tiers.</t>
  </si>
  <si>
    <t xml:space="preserve">Crops growing under a stabilized artificial season; the air shimmers with controlled weather over impossible yields.</t>
  </si>
  <si>
    <t xml:space="preserve">Fields of light rather than soil. Growth cycles visibly accelerate; the original stone farmhouse sits at the centre, tended by nothing visible.</t>
  </si>
  <si>
    <t xml:space="preserve">Unique hero asset: a world-feeding agricultural wonder, the ox-post from tier 2 preserved under glass at its heart.</t>
  </si>
  <si>
    <t xml:space="preserve">Trench line scratched in the dirt, stakes stacked ready, the first post being levered upright.</t>
  </si>
  <si>
    <t xml:space="preserve">Uneven ring of sharpened stakes with gaps, leaning in places, rope-lashed.</t>
  </si>
  <si>
    <t xml:space="preserve">Continuous log wall with a fighting step behind and ladders at intervals.</t>
  </si>
  <si>
    <t xml:space="preserve">Doubled wall with earth fill, corner platforms, banner posts, skull-and-charm markers.</t>
  </si>
  <si>
    <t xml:space="preserve">Stone-footed wall with timber upper works, hoardings, and a patrol walk.</t>
  </si>
  <si>
    <t xml:space="preserve">Full stone curtain with crenellations, arrow slits, and flanking towers. The timber original visible in one preserved section.</t>
  </si>
  <si>
    <t xml:space="preserve">Gunpowder retrofit: angled earthworks and gun embrasures grafted onto the medieval curtain.</t>
  </si>
  <si>
    <t xml:space="preserve">Massive bastioned works dominating the approach, layered ditches, the settlement invisible behind it.</t>
  </si>
  <si>
    <t xml:space="preserve">Armoured perimeter with hardened emplacements and sensor masts. Original stone preserved as an inner keep-line.</t>
  </si>
  <si>
    <t xml:space="preserve">Energy barriers between physical bastions; the air visibly thickens where the shield planes stand.</t>
  </si>
  <si>
    <t xml:space="preserve">Wall as phenomenon: a standing wave of force anchored to ancient stone, projectiles visibly slowing before reaching it.</t>
  </si>
  <si>
    <t xml:space="preserve">Unique hero asset: a named fortification with its own history, the original sharpened stakes still standing in a preserved bay.</t>
  </si>
  <si>
    <t xml:space="preserve">A quiet clearing, ground swept, saplings newly ringed with stones. Nothing yet unusual.</t>
  </si>
  <si>
    <t xml:space="preserve">Young trees in an uneven ring, a little mist that lingers past dawn.</t>
  </si>
  <si>
    <t xml:space="preserve">Mature ring of trees around still water. Sound is noticeably dampened within.</t>
  </si>
  <si>
    <t xml:space="preserve">Ancient trunks, moss-carpeted stones, faint motes drifting upward. Birds avoid it.</t>
  </si>
  <si>
    <t xml:space="preserve">Trees grown unnaturally large, bark marked with script that no one carved. Permanent low mist.</t>
  </si>
  <si>
    <t xml:space="preserve">The grove has a centre now — a pool that reflects the wrong sky. Currents of light move between trunks.</t>
  </si>
  <si>
    <t xml:space="preserve">Era retrofit: containment rings and measuring instruments installed among the trees, carefully not disturbing them.</t>
  </si>
  <si>
    <t xml:space="preserve">The grove has grown to enclose a courtyard of its own making; the trees lean inward like a cathedral vault.</t>
  </si>
  <si>
    <t xml:space="preserve">Root systems visibly lift stone. Qi flows in ribbons between canopy and pool, bright enough to read by.</t>
  </si>
  <si>
    <t xml:space="preserve">Trees grow at angles gravity does not permit. The pool has no bottom. Seasons inside differ from outside.</t>
  </si>
  <si>
    <t xml:space="preserve">The grove exists partly elsewhere. Figures glimpsed between trunks are not present when looked at directly.</t>
  </si>
  <si>
    <t xml:space="preserve">Unique hero asset: a named sacred site, one of a handful in the universe, its light visible from the system's edge.</t>
  </si>
  <si>
    <t xml:space="preserve">These four are worked exemplars showing the full 12-tier arc. Every other building is briefed by combining its Visual DNA line (Specs_EraI, column H) with the universal tier transformations (Visual_Tiers) and the overlay library (Visual_Overlays) — which is how the remaining 479 buildings get art-directed without 479 bespoke essays.</t>
  </si>
  <si>
    <t xml:space="preserve">Holding type</t>
  </si>
  <si>
    <t xml:space="preserve">Plots at founding</t>
  </si>
  <si>
    <t xml:space="preserve">Max plots</t>
  </si>
  <si>
    <t xml:space="preserve">Admin cost</t>
  </si>
  <si>
    <t xml:space="preserve">What it can produce</t>
  </si>
  <si>
    <t xml:space="preserve">Outpost / Camp</t>
  </si>
  <si>
    <t xml:space="preserve">I</t>
  </si>
  <si>
    <t xml:space="preserve">Extraction only; no unit training</t>
  </si>
  <si>
    <t xml:space="preserve">Cheapest foothold. Feeds a parent settlement by haul.</t>
  </si>
  <si>
    <t xml:space="preserve">Village</t>
  </si>
  <si>
    <t xml:space="preserve">Full Era I roster; infantry and ranged</t>
  </si>
  <si>
    <t xml:space="preserve">The baseline settlement. Every player starts as one.</t>
  </si>
  <si>
    <t xml:space="preserve">Town</t>
  </si>
  <si>
    <t xml:space="preserve">II</t>
  </si>
  <si>
    <t xml:space="preserve">Era I–II; cavalry, siege, Nobles</t>
  </si>
  <si>
    <t xml:space="preserve">Village promoted via Keep. Gains vassal management.</t>
  </si>
  <si>
    <t xml:space="preserve">City</t>
  </si>
  <si>
    <t xml:space="preserve">III</t>
  </si>
  <si>
    <t xml:space="preserve">Era I–III; navies, artillery, colonists</t>
  </si>
  <si>
    <t xml:space="preserve">Requires Imperial Palace. Governs subordinate provinces.</t>
  </si>
  <si>
    <t xml:space="preserve">Metropolis</t>
  </si>
  <si>
    <t xml:space="preserve">IV</t>
  </si>
  <si>
    <t xml:space="preserve">Era I–IV; armour, aircraft, capital ships</t>
  </si>
  <si>
    <t xml:space="preserve">Requires Capitol. Industrial heart of a planet.</t>
  </si>
  <si>
    <t xml:space="preserve">Asteroid Station</t>
  </si>
  <si>
    <t xml:space="preserve">V</t>
  </si>
  <si>
    <t xml:space="preserve">Extraction and refining only; no crewed units</t>
  </si>
  <si>
    <t xml:space="preserve">Mining specialist. Cheap, exposed, high-yield on M-type rock.</t>
  </si>
  <si>
    <t xml:space="preserve">Moon Base</t>
  </si>
  <si>
    <t xml:space="preserve">Extraction, refining, light hulls</t>
  </si>
  <si>
    <t xml:space="preserve">He-3 and Titanium specialist. Common forward repair base.</t>
  </si>
  <si>
    <t xml:space="preserve">Orbital Station</t>
  </si>
  <si>
    <t xml:space="preserve">Orbit</t>
  </si>
  <si>
    <t xml:space="preserve">Ship modules, hulls up to cruiser; void marines</t>
  </si>
  <si>
    <t xml:space="preserve">The workhorse of stellar warfare. Cannot feed itself.</t>
  </si>
  <si>
    <t xml:space="preserve">Colony</t>
  </si>
  <si>
    <t xml:space="preserve">Full planetary roster for its body class</t>
  </si>
  <si>
    <t xml:space="preserve">A second homeworld in miniature. Body class sets its yields.</t>
  </si>
  <si>
    <t xml:space="preserve">Planetary Capital</t>
  </si>
  <si>
    <t xml:space="preserve">V–VI</t>
  </si>
  <si>
    <t xml:space="preserve">Everything the planet has researched; capital hulls</t>
  </si>
  <si>
    <t xml:space="preserve">One per planet. Issues standing orders to that planet.</t>
  </si>
  <si>
    <t xml:space="preserve">System Hub</t>
  </si>
  <si>
    <t xml:space="preserve">VI</t>
  </si>
  <si>
    <t xml:space="preserve">Dreadnoughts, Titans, megastructure segments</t>
  </si>
  <si>
    <t xml:space="preserve">One per system. Gates system-wide control bonuses.</t>
  </si>
  <si>
    <t xml:space="preserve">Galactic Throne</t>
  </si>
  <si>
    <t xml:space="preserve">VI–VII</t>
  </si>
  <si>
    <t xml:space="preserve">Everything; Path Avatars, Void Arks</t>
  </si>
  <si>
    <t xml:space="preserve">One per galaxy per empire. Seat of edicts and hegemony.</t>
  </si>
  <si>
    <t xml:space="preserve">Every entry above is a fully independent settlement with its own plots, its own 69-building roster per era, its own queues, its own stockpile, and its own population. Capturing a planet does not give you the planet — it gives you every settlement on it, each of which must be built and run separately.</t>
  </si>
  <si>
    <t xml:space="preserve">Consequence in play</t>
  </si>
  <si>
    <t xml:space="preserve">Stockpiles are local</t>
  </si>
  <si>
    <t xml:space="preserve">Resources exist in the settlement that produced them. There is no empire treasury, no shared pool, no instant transfer. Moving goods requires carts, wagons, convoys, rail, freighters, or void haulers — all of which travel on the map and can be intercepted.</t>
  </si>
  <si>
    <t xml:space="preserve">Supply lines become the primary strategic geometry. Raiding a convoy is as valuable as raiding a city.</t>
  </si>
  <si>
    <t xml:space="preserve">Queues are local</t>
  </si>
  <si>
    <t xml:space="preserve">Each settlement has its own build queue (HQ-granted slots) and its own unit production lines (Barracks/Factory/Shipyard-granted). A queue slot in one city does nothing for another.</t>
  </si>
  <si>
    <t xml:space="preserve">More holdings genuinely means more parallel throughput. This is the core reward for conquest.</t>
  </si>
  <si>
    <t xml:space="preserve">Buildings do not share</t>
  </si>
  <si>
    <t xml:space="preserve">A level-900 Shipyard Ring accelerates production only in its own settlement. Building the same structure again in a second settlement costs full price from level 0.</t>
  </si>
  <si>
    <t xml:space="preserve">Wide empires rebuild constantly; every new holding is a fresh 0→N climb. Depth is expensive, breadth is expensive differently.</t>
  </si>
  <si>
    <t xml:space="preserve">Units spawn where built</t>
  </si>
  <si>
    <t xml:space="preserve">Trained units appear in their production settlement and must physically travel to the front.</t>
  </si>
  <si>
    <t xml:space="preserve">Forward bases are essential. A shipyard near the frontier is worth more than a better one at home.</t>
  </si>
  <si>
    <t xml:space="preserve">Population is local</t>
  </si>
  <si>
    <t xml:space="preserve">Workers cannot be transferred. A settlement grows its own population or stays small.</t>
  </si>
  <si>
    <t xml:space="preserve">Newly captured settlements are weak for weeks regardless of how rich their owner is. Money cannot import labour.</t>
  </si>
  <si>
    <t xml:space="preserve">Research is empire-wide</t>
  </si>
  <si>
    <t xml:space="preserve">The single exception. Research, proficiency, cultivation realm, doctrines, and dynasty traditions are properties of the player, not of a settlement.</t>
  </si>
  <si>
    <t xml:space="preserve">Without this, a wide empire would be unplayable. Knowledge travels; matter does not.</t>
  </si>
  <si>
    <t xml:space="preserve">Equipment is local stock</t>
  </si>
  <si>
    <t xml:space="preserve">Crafted equipment sits in the armoury that made it and must be hauled to be worn elsewhere. Captured armouries yield their contents as loot.</t>
  </si>
  <si>
    <t xml:space="preserve">Creates a real arms-logistics layer and makes armoury raids worthwhile.</t>
  </si>
  <si>
    <t xml:space="preserve">Capture preserves, barren does not</t>
  </si>
  <si>
    <t xml:space="preserve">A conquered developed settlement keeps its buildings at −3 grades (Cultivation and Special reset fully). A barren village, empty asteroid, or dead moon starts from plot zero.</t>
  </si>
  <si>
    <t xml:space="preserve">Taking a built city and settling empty rock are two completely different strategies with different costs and timelines.</t>
  </si>
  <si>
    <t xml:space="preserve">Specialization caps are per settlement</t>
  </si>
  <si>
    <t xml:space="preserve">Max 3 buildings above grade 30 and 8 above grade 20, enforced per settlement, not per empire.</t>
  </si>
  <si>
    <t xml:space="preserve">A thousand-holding empire can have three thousand grade-30+ buildings — but only three in any one place, so it can never be defended from one point.</t>
  </si>
  <si>
    <t xml:space="preserve">No administrative cap</t>
  </si>
  <si>
    <t xml:space="preserve">There is no limit on how many holdings a player may own and no overload penalty. A player may hold ten thousand settlements if they can take them. The only constraint is their own available attention, and the only relief is a Governor at 2× time.</t>
  </si>
  <si>
    <t xml:space="preserve">Empire size is bounded by what a human can actually run, not by a designer's number. Scale is earned in hours, and delegation is bought in time.</t>
  </si>
  <si>
    <t xml:space="preserve">GOVERNORS — automation priced in time, not efficiency</t>
  </si>
  <si>
    <t xml:space="preserve">There is no cap on how many holdings a player may own and no administrative overload penalty. The only limit is the player's own attention. A Governor removes the clicking and charges for it at a flat, published rate: ANYTHING A GOVERNOR INITIATES TAKES 2× TIME. Building, training, and research alike. The player may always do it themselves at full speed.</t>
  </si>
  <si>
    <t xml:space="preserve">Governor tier</t>
  </si>
  <si>
    <t xml:space="preserve">Area of authority</t>
  </si>
  <si>
    <t xml:space="preserve">Commander level</t>
  </si>
  <si>
    <t xml:space="preserve">Holdings covered</t>
  </si>
  <si>
    <t xml:space="preserve">Bailiff</t>
  </si>
  <si>
    <t xml:space="preserve">One province</t>
  </si>
  <si>
    <t xml:space="preserve">5+</t>
  </si>
  <si>
    <t xml:space="preserve">All your holdings in it</t>
  </si>
  <si>
    <t xml:space="preserve">Entry tier. Most players appoint their first by mid Era II.</t>
  </si>
  <si>
    <t xml:space="preserve">Planetary Governor</t>
  </si>
  <si>
    <t xml:space="preserve">One planet</t>
  </si>
  <si>
    <t xml:space="preserve">15+</t>
  </si>
  <si>
    <t xml:space="preserve">All your holdings on it</t>
  </si>
  <si>
    <t xml:space="preserve">Covers every continent, sea, and polar settlement on that world.</t>
  </si>
  <si>
    <t xml:space="preserve">System Governor</t>
  </si>
  <si>
    <t xml:space="preserve">One star system</t>
  </si>
  <si>
    <t xml:space="preserve">25+</t>
  </si>
  <si>
    <t xml:space="preserve">Planet, moons, belts, orbitals</t>
  </si>
  <si>
    <t xml:space="preserve">The tier where wide play genuinely becomes possible.</t>
  </si>
  <si>
    <t xml:space="preserve">Sector Governor</t>
  </si>
  <si>
    <t xml:space="preserve">One galactic arm</t>
  </si>
  <si>
    <t xml:space="preserve">40+</t>
  </si>
  <si>
    <t xml:space="preserve">Every holding in the arm</t>
  </si>
  <si>
    <t xml:space="preserve">Era VI+. Rare; each occupies a scarce command slot.</t>
  </si>
  <si>
    <t xml:space="preserve">THE 2× RULE — exact behaviour</t>
  </si>
  <si>
    <t xml:space="preserve">Case</t>
  </si>
  <si>
    <t xml:space="preserve">Player initiates in person</t>
  </si>
  <si>
    <t xml:space="preserve">1.0×</t>
  </si>
  <si>
    <t xml:space="preserve">Full speed. Occupies one of the settlement's HQ-granted personal queue slots.</t>
  </si>
  <si>
    <t xml:space="preserve">Governor initiates from spec</t>
  </si>
  <si>
    <t xml:space="preserve">2.0×</t>
  </si>
  <si>
    <t xml:space="preserve">Double time. Runs in the governor's own parallel queue, which does not consume personal slots.</t>
  </si>
  <si>
    <t xml:space="preserve">Player SEIZES a governor job</t>
  </si>
  <si>
    <t xml:space="preserve">1.0× on remaining time</t>
  </si>
  <si>
    <t xml:space="preserve">Requires a free personal queue slot in that settlement. Elapsed progress is kept; the remainder is recalculated at full speed. This is how attention gets spent where it matters.</t>
  </si>
  <si>
    <t xml:space="preserve">Governor job with no free personal slot</t>
  </si>
  <si>
    <t xml:space="preserve">Cannot be seized until a personal slot frees up. Slot scarcity is what stops "governor everything, then seize everything".</t>
  </si>
  <si>
    <t xml:space="preserve">Governor research mandate</t>
  </si>
  <si>
    <t xml:space="preserve">A governor may be granted authority over exactly one research discipline. Only one governor may hold a given discipline at a time.</t>
  </si>
  <si>
    <t xml:space="preserve">Governor training order</t>
  </si>
  <si>
    <t xml:space="preserve">Applies per unit, so a Mythic Path Avatar ordered by a governor takes a year rather than six months.</t>
  </si>
  <si>
    <t xml:space="preserve">Repair and rebuilding</t>
  </si>
  <si>
    <t xml:space="preserve">Governors repair siege damage at double time. Emergency repairs are a classic reason to seize.</t>
  </si>
  <si>
    <t xml:space="preserve">WHERE THE 2× RULE SELF-SORTS</t>
  </si>
  <si>
    <t xml:space="preserve">Example job</t>
  </si>
  <si>
    <t xml:space="preserve">By hand</t>
  </si>
  <si>
    <t xml:space="preserve">By governor</t>
  </si>
  <si>
    <t xml:space="preserve">Rational choice</t>
  </si>
  <si>
    <t xml:space="preserve">Farm to level 60</t>
  </si>
  <si>
    <t xml:space="preserve">~40 minutes</t>
  </si>
  <si>
    <t xml:space="preserve">~80 minutes</t>
  </si>
  <si>
    <t xml:space="preserve">Governor. The difference is irrelevant.</t>
  </si>
  <si>
    <t xml:space="preserve">Barracks to level 200</t>
  </si>
  <si>
    <t xml:space="preserve">~1.6 days</t>
  </si>
  <si>
    <t xml:space="preserve">~3.2 days</t>
  </si>
  <si>
    <t xml:space="preserve">Governor, usually. Seize if a war is coming.</t>
  </si>
  <si>
    <t xml:space="preserve">Militia batch, 200 units</t>
  </si>
  <si>
    <t xml:space="preserve">~6 days</t>
  </si>
  <si>
    <t xml:space="preserve">~12 days</t>
  </si>
  <si>
    <t xml:space="preserve">Governor for garrison; by hand for an offensive.</t>
  </si>
  <si>
    <t xml:space="preserve">Shipyard Ring to level 700</t>
  </si>
  <si>
    <t xml:space="preserve">~1.5 months</t>
  </si>
  <si>
    <t xml:space="preserve">~3 months</t>
  </si>
  <si>
    <t xml:space="preserve">By hand. This is a crown jewel.</t>
  </si>
  <si>
    <t xml:space="preserve">6 months</t>
  </si>
  <si>
    <t xml:space="preserve">1 year</t>
  </si>
  <si>
    <t xml:space="preserve">Always by hand. Nobody governs an Avatar.</t>
  </si>
  <si>
    <t xml:space="preserve">Citadel to level 1200</t>
  </si>
  <si>
    <t xml:space="preserve">~1.4 years</t>
  </si>
  <si>
    <t xml:space="preserve">~2.8 years</t>
  </si>
  <si>
    <t xml:space="preserve">By hand, over epochs. A governor would never finish it.</t>
  </si>
  <si>
    <t xml:space="preserve">The mechanic sorts itself: trivial work is automated because doubling nothing is nothing, and the structures that define an empire are hand-built because doubling years is unaffordable. A player's personal attention flows naturally to exactly the things that matter, which is what an attention economy should do.</t>
  </si>
  <si>
    <t xml:space="preserve">GOVERNOR FAILURE MODES — automation is not safety</t>
  </si>
  <si>
    <t xml:space="preserve">Assassination</t>
  </si>
  <si>
    <t xml:space="preserve">A dead governor's entire area stalls — running jobs continue, nothing new is initiated — until a replacement is appointed and travels there. Enemy spymasters target governors precisely because the blast radius is a whole province.</t>
  </si>
  <si>
    <t xml:space="preserve">Subversion</t>
  </si>
  <si>
    <t xml:space="preserve">An enemy Spymaster may turn a governor rather than kill them. A turned governor follows corrupted specs: building the wrong things, training the wrong mix, leaking your stockpiles. Detectable by audit, but only if you look.</t>
  </si>
  <si>
    <t xml:space="preserve">Literal interpretation</t>
  </si>
  <si>
    <t xml:space="preserve">Governors execute specs exactly as written, with no judgement. A build order that does not account for a resource shortfall will stall the whole queue rather than skip ahead.</t>
  </si>
  <si>
    <t xml:space="preserve">Spec starvation</t>
  </si>
  <si>
    <t xml:space="preserve">A governor ordered to build what the settlement cannot afford simply waits. Idle governor areas show on the attention dashboard, but a player who is not looking will find a province that did nothing for a week.</t>
  </si>
  <si>
    <t xml:space="preserve">A captured settlement drops out of its governor's area immediately. Governors do not follow conquered ground.</t>
  </si>
  <si>
    <t xml:space="preserve">Spec sheet</t>
  </si>
  <si>
    <t xml:space="preserve">What the player defines</t>
  </si>
  <si>
    <t xml:space="preserve">Governor behaviour</t>
  </si>
  <si>
    <t xml:space="preserve">Failure if left vague</t>
  </si>
  <si>
    <t xml:space="preserve">Build Order</t>
  </si>
  <si>
    <t xml:space="preserve">An ordered blueprint: building names with target grades, in sequence. May include conditional entries ("Granary to grade 8 if stored Food falls below 3 days").</t>
  </si>
  <si>
    <t xml:space="preserve">Works down the list, initiating each at 2× time. Never reorders, never improvises.</t>
  </si>
  <si>
    <t xml:space="preserve">Stalls on the first unaffordable entry and builds nothing further.</t>
  </si>
  <si>
    <t xml:space="preserve">Training Standing Order</t>
  </si>
  <si>
    <t xml:space="preserve">A unit template mix with target counts, plus a reinforce-or-hold flag and a garrison floor.</t>
  </si>
  <si>
    <t xml:space="preserve">Maintains the target counts at 2× per unit, replacing losses automatically.</t>
  </si>
  <si>
    <t xml:space="preserve">Trains nothing, or drains the settlement on an unbounded order.</t>
  </si>
  <si>
    <t xml:space="preserve">Research Mandate</t>
  </si>
  <si>
    <t xml:space="preserve">One discipline and a target grade. Only one governor may hold any given discipline.</t>
  </si>
  <si>
    <t xml:space="preserve">Advances that discipline at 2× time using the settlement's Data and resources.</t>
  </si>
  <si>
    <t xml:space="preserve">Idles. Research is the easiest mandate to forget you granted.</t>
  </si>
  <si>
    <t xml:space="preserve">Resource Policy</t>
  </si>
  <si>
    <t xml:space="preserve">Stockpile floors per resource, a surplus haul destination, and market sell thresholds.</t>
  </si>
  <si>
    <t xml:space="preserve">Dispatches haul convoys and market orders automatically, within the floors.</t>
  </si>
  <si>
    <t xml:space="preserve">Warehouses overflow and the surplus is lost permanently.</t>
  </si>
  <si>
    <t xml:space="preserve">Defence Posture</t>
  </si>
  <si>
    <t xml:space="preserve">One of: Turtle (garrison only), Hold (garrison plus local counter-attack), Sally (counter-attack siege engines), Evacuate (haul out and abandon).</t>
  </si>
  <si>
    <t xml:space="preserve">Applies the posture to every engagement in the area without consulting the player.</t>
  </si>
  <si>
    <t xml:space="preserve">Defaults to Turtle, which loses winnable fights and wins unwinnable ones slowly.</t>
  </si>
  <si>
    <t xml:space="preserve">Escalation Rules</t>
  </si>
  <si>
    <t xml:space="preserve">Thresholds at which the governor stops acting and alerts the player instead: incoming force size, noble/conquest units detected, stockpile below floor, spec stalled.</t>
  </si>
  <si>
    <t xml:space="preserve">Pushes an alert to the attention dashboard and, if configured, pauses its own queue.</t>
  </si>
  <si>
    <t xml:space="preserve">The player learns about a lost province from the battle report.</t>
  </si>
  <si>
    <t xml:space="preserve">Specs are saved as named profiles and reusable across areas. Writing a good spec sheet is a genuine skill and a shareable artefact — expect veteran players to publish "mining colony v3" and "frontier fortress" templates the way they publish build orders today.</t>
  </si>
  <si>
    <t xml:space="preserve">Tool</t>
  </si>
  <si>
    <t xml:space="preserve">What it does</t>
  </si>
  <si>
    <t xml:space="preserve">Relationship to the 2× rule</t>
  </si>
  <si>
    <t xml:space="preserve">Blueprints</t>
  </si>
  <si>
    <t xml:space="preserve">Save any settlement's build order as a named template, then apply it to a new holding or hand it to a governor as a Build Order spec.</t>
  </si>
  <si>
    <t xml:space="preserve">A blueprint applied by the player runs at 1×. The same blueprint handed to a governor runs at 2×. Same list, different price.</t>
  </si>
  <si>
    <t xml:space="preserve">Appoint a Governor-archetype commander over a province, planet, system, or galactic arm to execute spec sheets without the player clicking.</t>
  </si>
  <si>
    <t xml:space="preserve">This IS the 2× rule. Convenience purchased with time.</t>
  </si>
  <si>
    <t xml:space="preserve">Seize</t>
  </si>
  <si>
    <t xml:space="preserve">Take direct control of any single in-progress governor job. Elapsed progress is kept and the remainder recalculates at full speed.</t>
  </si>
  <si>
    <t xml:space="preserve">Requires a free personal queue slot. Slot scarcity is the only thing stopping a player from governing everything and seizing it all back.</t>
  </si>
  <si>
    <t xml:space="preserve">Attention dashboard</t>
  </si>
  <si>
    <t xml:space="preserve">Sortable stream of everything needing the player: idle queues, stalled governor specs, full warehouses, understaffed buildings, incoming attacks, escalation alerts.</t>
  </si>
  <si>
    <t xml:space="preserve">The single most important interface in the game. With full isolation and no admin cap, this is where players will actually live — build it before the map.</t>
  </si>
  <si>
    <t xml:space="preserve">Multi-select operations</t>
  </si>
  <si>
    <t xml:space="preserve">Filter and select many holdings to issue the same personal order to each.</t>
  </si>
  <si>
    <t xml:space="preserve">Every order is still initiated personally, so every order runs at 1×. This is honest clicking made faster, not automation.</t>
  </si>
  <si>
    <t xml:space="preserve">Settlement search</t>
  </si>
  <si>
    <t xml:space="preserve">Query the empire in plain terms: shipyards above grade 20 within three jumps of the front, governor areas with stalled specs, holdings with surplus titanium.</t>
  </si>
  <si>
    <t xml:space="preserve">Pure information. Makes an unbounded empire legible without making it smaller or faster.</t>
  </si>
  <si>
    <t xml:space="preserve">Governor audit</t>
  </si>
  <si>
    <t xml:space="preserve">Compare a governor's actual output against their spec to detect subversion, starvation, or a spec that no longer fits the situation.</t>
  </si>
  <si>
    <t xml:space="preserve">The counter-espionage tool for the automation layer. A turned governor is invisible until audited.</t>
  </si>
  <si>
    <t xml:space="preserve">Spec library</t>
  </si>
  <si>
    <t xml:space="preserve">Save, name, version, and share spec profiles within an alliance.</t>
  </si>
  <si>
    <t xml:space="preserve">Turns spec-writing into transferable expertise. Veterans mentor newcomers by handing over a good spec, not by doing the work for them.</t>
  </si>
  <si>
    <t xml:space="preserve">THE SPLIT CURVE — difficulty from two gentle slopes instead of one brutal one</t>
  </si>
  <si>
    <t xml:space="preserve">Difficulty is the PRODUCT of two curves: XP required rises slowly, and XP earned per battle decays slowly (Experience Fatigue). Neither number ever leaves a readable range, but multiplied together they produce the steep pacing the ladder needs. This replaces the pure-exponential requirement, which reached 10^402 and could not be stored.</t>
  </si>
  <si>
    <t xml:space="preserve">REQUIREMENT SIDE</t>
  </si>
  <si>
    <t xml:space="preserve">EARN SIDE (Experience Fatigue)</t>
  </si>
  <si>
    <t xml:space="preserve">EMPIRE WEIGHT (requirement side)</t>
  </si>
  <si>
    <t xml:space="preserve">Base XP per level</t>
  </si>
  <si>
    <t xml:space="preserve">Base XP per battle</t>
  </si>
  <si>
    <t xml:space="preserve">Empire Weight W</t>
  </si>
  <si>
    <t xml:space="preserve">Level exponent</t>
  </si>
  <si>
    <t xml:space="preserve">Level decay exponent</t>
  </si>
  <si>
    <t xml:space="preserve">Requirement multiplier</t>
  </si>
  <si>
    <t xml:space="preserve">Tier multiplier</t>
  </si>
  <si>
    <t xml:space="preserve">Tier divisor</t>
  </si>
  <si>
    <t xml:space="preserve">Stacks on top of level and tier factors</t>
  </si>
  <si>
    <t xml:space="preserve">RESULTING SPREAD</t>
  </si>
  <si>
    <t xml:space="preserve">Largest XP requirement ever shown</t>
  </si>
  <si>
    <t xml:space="preserve">A number a player can read at a glance</t>
  </si>
  <si>
    <t xml:space="preserve">Smallest XP award ever shown</t>
  </si>
  <si>
    <t xml:space="preserve">Still a whole number on screen</t>
  </si>
  <si>
    <t xml:space="preserve">Requirement growth across a tier</t>
  </si>
  <si>
    <t xml:space="preserve">Gentle</t>
  </si>
  <si>
    <t xml:space="preserve">Earn decay across a tier</t>
  </si>
  <si>
    <t xml:space="preserve">Effective difficulty across a tier</t>
  </si>
  <si>
    <t xml:space="preserve">The product — this is what players feel</t>
  </si>
  <si>
    <t xml:space="preserve">Effective difficulty per tier step</t>
  </si>
  <si>
    <t xml:space="preserve">Each tier takes this much longer than the last</t>
  </si>
  <si>
    <t xml:space="preserve">Effective difficulty, whole ladder</t>
  </si>
  <si>
    <t xml:space="preserve">Steep pacing from two shallow curves</t>
  </si>
  <si>
    <t xml:space="preserve">Largest XP requirement at this Empire Weight</t>
  </si>
  <si>
    <t xml:space="preserve">PACING — tiers reached, assuming tier 1 clears in one month of active war</t>
  </si>
  <si>
    <t xml:space="preserve">Name</t>
  </si>
  <si>
    <t xml:space="preserve">Months to clear this tier</t>
  </si>
  <si>
    <t xml:space="preserve">Cumulative years</t>
  </si>
  <si>
    <t xml:space="preserve">Who gets here</t>
  </si>
  <si>
    <t xml:space="preserve">Copper</t>
  </si>
  <si>
    <t xml:space="preserve">Every formation that survives a war</t>
  </si>
  <si>
    <t xml:space="preserve">Bronze</t>
  </si>
  <si>
    <t xml:space="preserve">Iron</t>
  </si>
  <si>
    <t xml:space="preserve">Steel</t>
  </si>
  <si>
    <t xml:space="preserve">A season of steady campaigning</t>
  </si>
  <si>
    <t xml:space="preserve">Silver</t>
  </si>
  <si>
    <t xml:space="preserve">Electrum</t>
  </si>
  <si>
    <t xml:space="preserve">Gold</t>
  </si>
  <si>
    <t xml:space="preserve">Jade</t>
  </si>
  <si>
    <t xml:space="preserve">A dedicated formation kept alive for years</t>
  </si>
  <si>
    <t xml:space="preserve">Amber</t>
  </si>
  <si>
    <t xml:space="preserve">Emerald</t>
  </si>
  <si>
    <t xml:space="preserve">Sapphire</t>
  </si>
  <si>
    <t xml:space="preserve">Ruby</t>
  </si>
  <si>
    <t xml:space="preserve">A dynasty-defining asset</t>
  </si>
  <si>
    <t xml:space="preserve">Diamond</t>
  </si>
  <si>
    <t xml:space="preserve">Platinum</t>
  </si>
  <si>
    <t xml:space="preserve">Mithril</t>
  </si>
  <si>
    <t xml:space="preserve">Adamant</t>
  </si>
  <si>
    <t xml:space="preserve">Legendary; a handful per galaxy</t>
  </si>
  <si>
    <t xml:space="preserve">Orichalcum</t>
  </si>
  <si>
    <t xml:space="preserve">Meteoric</t>
  </si>
  <si>
    <t xml:space="preserve">Starsteel</t>
  </si>
  <si>
    <t xml:space="preserve">Void Iron</t>
  </si>
  <si>
    <t xml:space="preserve">Mythic; spoken of universe-wide</t>
  </si>
  <si>
    <t xml:space="preserve">Aetherium</t>
  </si>
  <si>
    <t xml:space="preserve">Empyrean</t>
  </si>
  <si>
    <t xml:space="preserve">Primordial</t>
  </si>
  <si>
    <t xml:space="preserve">Eternal</t>
  </si>
  <si>
    <t xml:space="preserve">One formation in recorded history</t>
  </si>
  <si>
    <t xml:space="preserve">Level in tier</t>
  </si>
  <si>
    <t xml:space="preserve">XP required (tier 1)</t>
  </si>
  <si>
    <t xml:space="preserve">Earn multiplier</t>
  </si>
  <si>
    <t xml:space="preserve">XP per battle (tier 1)</t>
  </si>
  <si>
    <t xml:space="preserve">Battles for this level</t>
  </si>
  <si>
    <t xml:space="preserve">Cumulative battles in tier</t>
  </si>
  <si>
    <t xml:space="preserve">VETERANCY TIERS — gates bought with resources, not stat bonuses</t>
  </si>
  <si>
    <t xml:space="preserve">A tier grants no stats. It unlocks the next 1,337 levels and must be purchased. All combat benefit comes from levels: +1% each, accumulating across every tier to 322x at the top of Eternal.</t>
  </si>
  <si>
    <t xml:space="preserve">Tier-2 base cost</t>
  </si>
  <si>
    <t xml:space="preserve">Cost multiplier per tier</t>
  </si>
  <si>
    <t xml:space="preserve">Benchmark empire output / hour</t>
  </si>
  <si>
    <t xml:space="preserve">Lifetime budget (500 yr)</t>
  </si>
  <si>
    <t xml:space="preserve">Cumulative levels</t>
  </si>
  <si>
    <t xml:space="preserve">Total stat bonus</t>
  </si>
  <si>
    <t xml:space="preserve">Tier-up cost</t>
  </si>
  <si>
    <t xml:space="preserve">Years of benchmark output</t>
  </si>
  <si>
    <t xml:space="preserve">XP req mult</t>
  </si>
  <si>
    <t xml:space="preserve">Earn divisor</t>
  </si>
  <si>
    <t xml:space="preserve">Reputation at this tier</t>
  </si>
  <si>
    <t xml:space="preserve">— (starting tier)</t>
  </si>
  <si>
    <t xml:space="preserve">Green troops who have survived one real fight.</t>
  </si>
  <si>
    <t xml:space="preserve">Blooded. They no longer break on contact.</t>
  </si>
  <si>
    <t xml:space="preserve">Disciplined. They hold a line without an officer shouting.</t>
  </si>
  <si>
    <t xml:space="preserve">Hardened. Casualties stop frightening them.</t>
  </si>
  <si>
    <t xml:space="preserve">Professional. Other formations copy their drill.</t>
  </si>
  <si>
    <t xml:space="preserve">Renowned in their own province.</t>
  </si>
  <si>
    <t xml:space="preserve">Renowned across the continent. Enemies name them in reports.</t>
  </si>
  <si>
    <t xml:space="preserve">The formation has a banner and a history.</t>
  </si>
  <si>
    <t xml:space="preserve">Songs exist about a battle they won.</t>
  </si>
  <si>
    <t xml:space="preserve">Their presence changes how an enemy plans an attack.</t>
  </si>
  <si>
    <t xml:space="preserve">A commander will refuse an engagement rather than face them.</t>
  </si>
  <si>
    <t xml:space="preserve">A strategic asset in their own right.</t>
  </si>
  <si>
    <t xml:space="preserve">Their reputation is worth a garrison on its own.</t>
  </si>
  <si>
    <t xml:space="preserve">Legendary. Recognised across a planet.</t>
  </si>
  <si>
    <t xml:space="preserve">They are a reason wars are or are not started.</t>
  </si>
  <si>
    <t xml:space="preserve">Spoken of the way people speak of weather.</t>
  </si>
  <si>
    <t xml:space="preserve">Their survivors are recruited as commanders elsewhere.</t>
  </si>
  <si>
    <t xml:space="preserve">Known across the star system.</t>
  </si>
  <si>
    <t xml:space="preserve">Known across the galaxy.</t>
  </si>
  <si>
    <t xml:space="preserve">They have fought things that were not human.</t>
  </si>
  <si>
    <t xml:space="preserve">Their history is visible as a physical aura.</t>
  </si>
  <si>
    <t xml:space="preserve">Named in the World Atlas by formation, not by owner.</t>
  </si>
  <si>
    <t xml:space="preserve">Fewer than a handful have ever existed.</t>
  </si>
  <si>
    <t xml:space="preserve">One formation in recorded history may hold this.</t>
  </si>
  <si>
    <t xml:space="preserve">Total of all tier-ups</t>
  </si>
  <si>
    <t xml:space="preserve">Formation standing</t>
  </si>
  <si>
    <t xml:space="preserve">Tier (1-24)</t>
  </si>
  <si>
    <t xml:space="preserve">Level in tier (0-1337)</t>
  </si>
  <si>
    <t xml:space="preserve">Empire Weight</t>
  </si>
  <si>
    <t xml:space="preserve">Tier name</t>
  </si>
  <si>
    <t xml:space="preserve">Cumulative levels earned</t>
  </si>
  <si>
    <t xml:space="preserve">Total stat bonus (all stats)</t>
  </si>
  <si>
    <t xml:space="preserve">XP required for next level (base, before weight)</t>
  </si>
  <si>
    <t xml:space="preserve">XP earned per standard battle</t>
  </si>
  <si>
    <t xml:space="preserve">Battles for the next level (at this weight)</t>
  </si>
  <si>
    <t xml:space="preserve">Cost of next tier-up</t>
  </si>
  <si>
    <t xml:space="preserve">Max era allowed</t>
  </si>
  <si>
    <t xml:space="preserve">Empire Weight multiplier</t>
  </si>
  <si>
    <t xml:space="preserve">XP REQUIRED (fully stacked)</t>
  </si>
  <si>
    <t xml:space="preserve">THE LADDER AT KEY RUNGS</t>
  </si>
  <si>
    <t xml:space="preserve">Stat bonus</t>
  </si>
  <si>
    <t xml:space="preserve">XP needed</t>
  </si>
  <si>
    <t xml:space="preserve">Battles per level</t>
  </si>
  <si>
    <t xml:space="preserve">Why</t>
  </si>
  <si>
    <t xml:space="preserve">Tiers are gates, not bonuses</t>
  </si>
  <si>
    <t xml:space="preserve">A tier-up grants no stats. It purchases the right to keep earning levels. All combat benefit comes from +1% per level, accumulating across every tier to 322x at the top of Eternal.</t>
  </si>
  <si>
    <t xml:space="preserve">Keeps the lifetime ladder in the same order of magnitude as the era spread, so counters, terrain, timing and force size all stay decisive.</t>
  </si>
  <si>
    <t xml:space="preserve">Tier-ups cost resources</t>
  </si>
  <si>
    <t xml:space="preserve">Paid from the formation's home settlement stockpile and hauled there like anything else. Cost multiplies 2.75x per tier, from 50,000 at Bronze to roughly 2.3 x 10^14 at Eternal. The payment is announced regionally.</t>
  </si>
  <si>
    <t xml:space="preserve">Makes veterancy an economic commitment and a public political fact. Rivals learn the moment a neighbour has spent a fortune on their army.</t>
  </si>
  <si>
    <t xml:space="preserve">Difficulty is a product, not a curve</t>
  </si>
  <si>
    <t xml:space="preserve">XP required rises gently with level and tier; XP earned per battle decays gently with level and tier. Neither number leaves a readable range. Multiplied, they produce roughly 20x difficulty growth across a tier and 1.625x per tier step.</t>
  </si>
  <si>
    <t xml:space="preserve">Two shallow slopes give the same pacing as one brutal exponential while keeping every displayed figure small. The largest XP requirement in the whole game is about 189,000; the smallest award is about 1 XP.</t>
  </si>
  <si>
    <t xml:space="preserve">Experience Fatigue</t>
  </si>
  <si>
    <t xml:space="preserve">A formation learns less from each fight as it advances. Earn rate falls to 1/4.5 across a tier and 1/169 by Eternal.</t>
  </si>
  <si>
    <t xml:space="preserve">Diegetically true — there is less left to learn — and it means an elite formation cannot be grown on easy fights.</t>
  </si>
  <si>
    <t xml:space="preserve">XP scales with the opposition</t>
  </si>
  <si>
    <t xml:space="preserve">Awards scale with the defeated force's veterancy and grade. Losing grants roughly 60% of the winning rate.</t>
  </si>
  <si>
    <t xml:space="preserve">Combined with fatigue, elite formations only advance meaningfully by fighting worthy enemies. Farming weak targets stops working entirely.</t>
  </si>
  <si>
    <t xml:space="preserve">Two separate tracks</t>
  </si>
  <si>
    <t xml:space="preserve">Every formation carries Attack and Defence veterancy with independent tiers, levels and tier-up bills. Attacking earns Attack XP; defending earns Defence XP.</t>
  </si>
  <si>
    <t xml:space="preserve">A raiding column and a garrison that began identical become different things, and a player must choose which to fund.</t>
  </si>
  <si>
    <t xml:space="preserve">Green dilution</t>
  </si>
  <si>
    <t xml:space="preserve">Reinforcing lowers veterancy proportionally by headcount. A Tier 12 formation of 100 merged with 900 recruits lands near Tier 1, and every resource spent on those promotions is gone.</t>
  </si>
  <si>
    <t xml:space="preserve">The most important balancing rule in the system. Veteran formations stay scarce, attrition genuinely hurts, and green troops cannot be laundered into elite status.</t>
  </si>
  <si>
    <t xml:space="preserve">Era gating</t>
  </si>
  <si>
    <t xml:space="preserve">A formation cannot exceed tier 3.5 x its era, rounded up. Era I caps at Steel, Era IV at Platinum, Era VII at Eternal.</t>
  </si>
  <si>
    <t xml:space="preserve">Keeps opponents in a theatre within a few tiers, where the stat gap is modest and everything else still matters.</t>
  </si>
  <si>
    <t xml:space="preserve">Promotion needs a deed</t>
  </si>
  <si>
    <t xml:space="preserve">Reaching level 1,337 and holding the resources only makes a formation eligible. The promotion also requires a qualifying feat appropriate to the tier.</t>
  </si>
  <si>
    <t xml:space="preserve">Stops tiers from being purely bought. A Diamond formation earned its rank in a battle somebody remembers.</t>
  </si>
  <si>
    <t xml:space="preserve">Veterancy does not transfer</t>
  </si>
  <si>
    <t xml:space="preserve">Disbanding loses it permanently and refunds nothing. Re-equipping within an archetype keeps it; changing archetype resets to Copper.</t>
  </si>
  <si>
    <t xml:space="preserve">A militia formation that becomes swordsmen keeps its history; infantry that becomes a fleet does not.</t>
  </si>
  <si>
    <t xml:space="preserve">Visible and deterrent</t>
  </si>
  <si>
    <t xml:space="preserve">Tier is revealed by successful scouting and always shown in battle reports. Formations above Diamond appear on the map.</t>
  </si>
  <si>
    <t xml:space="preserve">An enemy declining an engagement because of a formation's reputation is the system working as intended.</t>
  </si>
  <si>
    <t xml:space="preserve">KILL-ATTRIBUTED EXPERIENCE — how XP is earned when thousands of battles resolve daily</t>
  </si>
  <si>
    <t xml:space="preserve">Flat XP per battle fails at scale: it makes a skirmish worth as much as a decisive siege, it rewards spamming trivial attacks, and it detaches progression from what a formation actually did. XP is instead computed from kills credited to each unit type, valued by what was killed and discounted by how easy the kill was.</t>
  </si>
  <si>
    <t xml:space="preserve">THE FORMULA</t>
  </si>
  <si>
    <t xml:space="preserve">Per unit type, per battle:</t>
  </si>
  <si>
    <t xml:space="preserve">XP  =  Σ over credited victims [ UPV(victim) × RoleFactor × RelativeFactor ]  ×  Fatigue  ×  Repetition</t>
  </si>
  <si>
    <t xml:space="preserve">Term</t>
  </si>
  <si>
    <t xml:space="preserve">Definition</t>
  </si>
  <si>
    <t xml:space="preserve">Effect in play</t>
  </si>
  <si>
    <t xml:space="preserve">Credited victims</t>
  </si>
  <si>
    <t xml:space="preserve">Kills are attributed by CONTRIBUTION SHARE, not tracked individually. In each combat phase, a unit type's share = its effective attack pool ÷ the total friendly attack pool for that phase. Enemy losses in the phase are divided by that share.</t>
  </si>
  <si>
    <t xml:space="preserve">The resolver already computes these pools to decide the battle, so attribution costs no extra work.</t>
  </si>
  <si>
    <t xml:space="preserve">UPV — Unit Power Value</t>
  </si>
  <si>
    <t xml:space="preserve">UPV = the victim's upkeep × its own veterancy stat multiplier. Upkeep already encodes era, archetype and grade, so it is a ready-made measure of what a unit is worth.</t>
  </si>
  <si>
    <t xml:space="preserve">Killing a Mythic Dreadnought is worth thousands of times killing a militiaman, automatically, with no separate table to maintain.</t>
  </si>
  <si>
    <t xml:space="preserve">RoleFactor</t>
  </si>
  <si>
    <t xml:space="preserve">1 ÷ the counter-matrix multiplier for killer-role against victim-role. Killing what you are built to kill teaches little; killing something that counters you teaches a great deal.</t>
  </si>
  <si>
    <t xml:space="preserve">Pikemen slaughtering cavalry earn 0.56×. Pikemen somehow killing crossbowmen earn 1.4×. Formations grow fastest doing what they are bad at.</t>
  </si>
  <si>
    <t xml:space="preserve">RelativeFactor</t>
  </si>
  <si>
    <t xml:space="preserve">(victim UPV ÷ killer UPV)^0.5, clamped to [0.05, 4.0]. Killing something stronger than you teaches more; killing something far weaker teaches almost nothing.</t>
  </si>
  <si>
    <t xml:space="preserve">This is the primary anti-farming lever. A Ruby formation killing Copper militia earns near zero regardless of how many it kills.</t>
  </si>
  <si>
    <t xml:space="preserve">Fatigue</t>
  </si>
  <si>
    <t xml:space="preserve">1 ÷ ((level+1)^0.21 × 1.25^(tier−1)) — the Experience Fatigue curve from the Veterancy_XP sheet.</t>
  </si>
  <si>
    <t xml:space="preserve">Unchanged. Veterans learn less from every fight.</t>
  </si>
  <si>
    <t xml:space="preserve">Repetition</t>
  </si>
  <si>
    <t xml:space="preserve">Diminishing returns against the same defender: 1.0, 0.6, 0.35, 0.2, then 0.1 for each further engagement against the same player within 24 hours.</t>
  </si>
  <si>
    <t xml:space="preserve">Stops a formation grinding the same helpless neighbour all day.</t>
  </si>
  <si>
    <t xml:space="preserve">THE DEFENCE TRACK — two components, because screens do not get kills</t>
  </si>
  <si>
    <t xml:space="preserve">Component</t>
  </si>
  <si>
    <t xml:space="preserve">Applies to</t>
  </si>
  <si>
    <t xml:space="preserve">Formula</t>
  </si>
  <si>
    <t xml:space="preserve">Kill XP</t>
  </si>
  <si>
    <t xml:space="preserve">Any defending unit type that inflicted losses</t>
  </si>
  <si>
    <t xml:space="preserve">Same formula as above, credited to the Defence track instead of Attack</t>
  </si>
  <si>
    <t xml:space="preserve">Defending killers advance normally.</t>
  </si>
  <si>
    <t xml:space="preserve">Absorption XP</t>
  </si>
  <si>
    <t xml:space="preserve">Screens, shields, walls, garrison infantry, point-defence</t>
  </si>
  <si>
    <t xml:space="preserve">0.5 × (damage absorbed ÷ total damage the attack delivered) × Σ UPV of the attacking force × Fatigue</t>
  </si>
  <si>
    <t xml:space="preserve">A Guardian shield wall or an Aegis screen may kill nothing all siege and still be the reason the settlement held. Without this component those archetypes could never advance, and the Guardian identity path would be a trap.</t>
  </si>
  <si>
    <t xml:space="preserve">ANTI-FARMING FLOORS (hard rules, evaluated before XP is awarded)</t>
  </si>
  <si>
    <t xml:space="preserve">Beneath notice — a victim whose UPV is below 2% of the killer's UPV awards zero XP, not merely reduced XP. Elite formations gain literally nothing from slaughtering peasants.</t>
  </si>
  <si>
    <t xml:space="preserve">NPC ceiling — kills against barbarians, pirates and other neutral factions cannot advance a formation past Steel (tier 4). Beyond that, only players and the endgame PvE factions count.</t>
  </si>
  <si>
    <t xml:space="preserve">Escalation — attacks two or more eras down already award near-zero plunder and reputation damage; they also award zero veterancy XP.</t>
  </si>
  <si>
    <t xml:space="preserve">Self-dealing — kills against a player sharing a device, payment method or network with the attacker award zero, using the same detection as multi-account transfer caps.</t>
  </si>
  <si>
    <t xml:space="preserve">Losing side — a defeated formation still earns roughly 60% of the rate it would have earned winning, computed on the same kill attribution. Fighting a losing war still develops an army.</t>
  </si>
  <si>
    <t xml:space="preserve">Wipe rule — a formation destroyed entirely loses all accrued XP with it. XP is held by the formation, not banked by the player.</t>
  </si>
  <si>
    <t xml:space="preserve">SCALE &amp; PERFORMANCE</t>
  </si>
  <si>
    <t xml:space="preserve">Attribution is per unit TYPE per battle, not per soldier. A large battle involves perhaps 20–60 unit-type rows per side, so a server resolving 10,000 battles a day writes on the order of one million XP rows — trivial for the event log that already records every engagement.</t>
  </si>
  <si>
    <t xml:space="preserve">Every input (attack pools, phase losses, absorbed damage) is already computed by the combat resolver to decide the outcome. Attribution adds arithmetic, not simulation.</t>
  </si>
  <si>
    <t xml:space="preserve">XP is applied to formations asynchronously after resolution, so it never sits on the critical path of a battle a player is watching.</t>
  </si>
  <si>
    <t xml:space="preserve">The battle report shows the full attribution table — which unit type was credited with what, and the factor breakdown. Players should be able to see exactly why a formation earned what it earned, the same way combat maths is fully visible.</t>
  </si>
  <si>
    <t xml:space="preserve">NOTE — EMPIRE WEIGHT</t>
  </si>
  <si>
    <t xml:space="preserve">Empire size no longer reduces XP earned. It multiplies XP REQUIRED instead (see Empire_Weight_Multiplier). Battle reports therefore show the full, undiminished value of every kill, and the effect of empire size appears once, as a single line on the formation sheet. Pacing is mathematically identical either way.</t>
  </si>
  <si>
    <t xml:space="preserve">WORKED EXAMPLE — one siege, fully attributed</t>
  </si>
  <si>
    <t xml:space="preserve">Blue cells are inputs. Everything else computes. Change the inputs to test any engagement.</t>
  </si>
  <si>
    <t xml:space="preserve">THE ENGAGEMENT</t>
  </si>
  <si>
    <t xml:space="preserve">Attacker: the Ninth Musket (Elite Musketeers) with a cannon battery, assaulting a fortified town.</t>
  </si>
  <si>
    <t xml:space="preserve">Defender: Bronze-tier pikemen and Copper-tier crossbowmen behind a star fort.</t>
  </si>
  <si>
    <t xml:space="preserve">Attacker inputs</t>
  </si>
  <si>
    <t xml:space="preserve">Musketeers</t>
  </si>
  <si>
    <t xml:space="preserve">Defender inputs</t>
  </si>
  <si>
    <t xml:space="preserve">Pikemen</t>
  </si>
  <si>
    <t xml:space="preserve">Crossbowmen</t>
  </si>
  <si>
    <t xml:space="preserve">Count engaged</t>
  </si>
  <si>
    <t xml:space="preserve">Unit upkeep</t>
  </si>
  <si>
    <t xml:space="preserve">Veterancy tier</t>
  </si>
  <si>
    <t xml:space="preserve">Veterancy level</t>
  </si>
  <si>
    <t xml:space="preserve">Stat multiplier  (1 + 1% × cumulative levels)</t>
  </si>
  <si>
    <t xml:space="preserve">UPV  (upkeep × stat multiplier)</t>
  </si>
  <si>
    <t xml:space="preserve">PHASE RESULT — attacker wins; contribution shares from the resolver</t>
  </si>
  <si>
    <t xml:space="preserve">Contribution share of friendly attack pool</t>
  </si>
  <si>
    <t xml:space="preserve">Defender losses: pikemen</t>
  </si>
  <si>
    <t xml:space="preserve">Defender losses: crossbowmen</t>
  </si>
  <si>
    <t xml:space="preserve">ATTRIBUTION — Musketeer formation</t>
  </si>
  <si>
    <t xml:space="preserve">Step</t>
  </si>
  <si>
    <t xml:space="preserve">vs Pikemen</t>
  </si>
  <si>
    <t xml:space="preserve">vs Crossbowmen</t>
  </si>
  <si>
    <t xml:space="preserve">Kills credited</t>
  </si>
  <si>
    <t xml:space="preserve">UPV of each victim</t>
  </si>
  <si>
    <t xml:space="preserve">Raw kill value</t>
  </si>
  <si>
    <t xml:space="preserve">RoleFactor  (1 ÷ counter multiplier)</t>
  </si>
  <si>
    <t xml:space="preserve">RelativeFactor  ((victimUPV÷killerUPV)^0.5, clamped)</t>
  </si>
  <si>
    <t xml:space="preserve">Weighted value</t>
  </si>
  <si>
    <t xml:space="preserve">FINAL XP — Musketeer formation, Attack track</t>
  </si>
  <si>
    <t xml:space="preserve">Sum of weighted value</t>
  </si>
  <si>
    <t xml:space="preserve">Fatigue at tier 12, level 800</t>
  </si>
  <si>
    <t xml:space="preserve">Repetition factor (first attack today)</t>
  </si>
  <si>
    <t xml:space="preserve">XP AWARDED</t>
  </si>
  <si>
    <t xml:space="preserve">XP required for the next level</t>
  </si>
  <si>
    <t xml:space="preserve">Fraction of a level from this battle</t>
  </si>
  <si>
    <t xml:space="preserve">Equivalent standard battles</t>
  </si>
  <si>
    <t xml:space="preserve">Read-out: a large, genuinely contested siege is worth many ordinary skirmishes, and the same formation attacking a defenceless village would earn almost nothing because RelativeFactor collapses and the beneath-notice floor applies. That is the whole point of attributing XP to kills rather than to battles.</t>
  </si>
  <si>
    <t xml:space="preserve">EMPIRE WEIGHT MULTIPLIER — applied to XP REQUIRED, not XP earned</t>
  </si>
  <si>
    <t xml:space="preserve">The larger a player's holdings, the more total experience every formation needs to advance. This multiplier stacks on top of the level requirement and the tier requirement, rising to 9,918,521x — the exact reciprocal of the 0.00001% earn-side floor it replaces, so pacing is identical and only the presentation changes.</t>
  </si>
  <si>
    <t xml:space="preserve">THE STACK — how a requirement is assembled</t>
  </si>
  <si>
    <t xml:space="preserve">XP required  =  Base  ×  (level+1)^0.21  ×  1.30^(tier−1)  ×  EmpireWeightMultiplier</t>
  </si>
  <si>
    <t xml:space="preserve">EmpireWeightMultiplier  =  MIN( cap,  1 + (W / W₀)^k )</t>
  </si>
  <si>
    <t xml:space="preserve">Knee W₀</t>
  </si>
  <si>
    <t xml:space="preserve">Steepness k</t>
  </si>
  <si>
    <t xml:space="preserve">Hard cap</t>
  </si>
  <si>
    <t xml:space="preserve">W is Empire Weight: the sum of admin costs of every holding owned (Outpost 1, Village 2, Town 4, City 8, Metropolis 16, Asteroid Station 4, Moon Base 6, Orbital Station 8, Colony 12, Planetary Capital 24, System Hub 40, Galactic Throne 80). Vassalized holdings are not owned and contribute nothing.</t>
  </si>
  <si>
    <t xml:space="preserve">THE CURVE</t>
  </si>
  <si>
    <t xml:space="preserve">Empire profile</t>
  </si>
  <si>
    <t xml:space="preserve">Weight</t>
  </si>
  <si>
    <t xml:space="preserve">XP requirement ×</t>
  </si>
  <si>
    <t xml:space="preserve">Comment</t>
  </si>
  <si>
    <t xml:space="preserve">One village — a new player</t>
  </si>
  <si>
    <t xml:space="preserve">Untouched. Newcomers never see this.</t>
  </si>
  <si>
    <t xml:space="preserve">Ten villages</t>
  </si>
  <si>
    <t xml:space="preserve">Still essentially free. Early expansion is not discouraged.</t>
  </si>
  <si>
    <t xml:space="preserve">25 villages and 5 towns</t>
  </si>
  <si>
    <t xml:space="preserve">A normal mid-game player, paying a barely noticeable cost.</t>
  </si>
  <si>
    <t xml:space="preserve">The knee — a regional power</t>
  </si>
  <si>
    <t xml:space="preserve">Starts to bite here, and is meant to be felt.</t>
  </si>
  <si>
    <t xml:space="preserve">100 villages, 30 towns, 10 cities</t>
  </si>
  <si>
    <t xml:space="preserve">A serious continental empire needs 29x the experience.</t>
  </si>
  <si>
    <t xml:space="preserve">A planet largely held</t>
  </si>
  <si>
    <t xml:space="preserve">Elite formations have become impractical to grow.</t>
  </si>
  <si>
    <t xml:space="preserve">Several planets</t>
  </si>
  <si>
    <t xml:space="preserve">Veterancy progression has effectively stopped.</t>
  </si>
  <si>
    <t xml:space="preserve">A galactic power</t>
  </si>
  <si>
    <t xml:space="preserve">Mass green armies are the only realistic doctrine.</t>
  </si>
  <si>
    <t xml:space="preserve">A galaxy largely held</t>
  </si>
  <si>
    <t xml:space="preserve">Near the cap.</t>
  </si>
  <si>
    <t xml:space="preserve">Maximum conceivable holdings</t>
  </si>
  <si>
    <t xml:space="preserve">Hard cap. No further increase is possible.</t>
  </si>
  <si>
    <t xml:space="preserve">WHY THE REQUIREMENT SIDE IS THE BETTER PLACE FOR IT</t>
  </si>
  <si>
    <t xml:space="preserve">Mathematically identical</t>
  </si>
  <si>
    <t xml:space="preserve">Battles per level is XP required ÷ XP earned. Multiplying the numerator by 29 and dividing the denominator by 29 produce exactly the same pacing. Nothing about game balance changes.</t>
  </si>
  <si>
    <t xml:space="preserve">One number instead of every number</t>
  </si>
  <si>
    <t xml:space="preserve">On the earn side, every battle report for a large empire showed a shrunken award and the player had to infer why. On the requirement side there is a single figure on the formation sheet — "next level: 47,000,000 XP" — and one line explaining what inflated it.</t>
  </si>
  <si>
    <t xml:space="preserve">Battle reports stay honest</t>
  </si>
  <si>
    <t xml:space="preserve">A siege that killed nine hundred pikemen now reports the full experience value of those kills. The fight is worth what it was worth; the ladder is simply longer. That is a much clearer story than telling a player their victory was worth almost nothing.</t>
  </si>
  <si>
    <t xml:space="preserve">It composes cleanly</t>
  </si>
  <si>
    <t xml:space="preserve">The multiplier sits alongside the level and tier factors in one stack, so the balance team tunes three numbers in one formula rather than reasoning about two curves moving in opposite directions.</t>
  </si>
  <si>
    <t xml:space="preserve">Numbers stay storable</t>
  </si>
  <si>
    <t xml:space="preserve">The largest requirement the game can display is 100 × 4.53 × 418 × 9,918,521 = 1.88 × 10^12. A 64-bit integer holds 9.22 × 10^18, leaving six orders of magnitude of headroom.</t>
  </si>
  <si>
    <t xml:space="preserve">SCOPE</t>
  </si>
  <si>
    <t xml:space="preserve">Affected?</t>
  </si>
  <si>
    <t xml:space="preserve">Reasoning</t>
  </si>
  <si>
    <t xml:space="preserve">Level-up XP requirement</t>
  </si>
  <si>
    <t xml:space="preserve">YES</t>
  </si>
  <si>
    <t xml:space="preserve">The primary application. Stacks multiplicatively with level and tier factors.</t>
  </si>
  <si>
    <t xml:space="preserve">Tier-up XP requirement</t>
  </si>
  <si>
    <t xml:space="preserve">A tier is 1,337 levels, so the cumulative experience to complete one carries the same multiplier throughout.</t>
  </si>
  <si>
    <t xml:space="preserve">Tier-up RESOURCE cost</t>
  </si>
  <si>
    <t xml:space="preserve">NO</t>
  </si>
  <si>
    <t xml:space="preserve">Deliberately untouched — this asymmetry is what creates the Champion economy below. Change one cell if you want it scaled too.</t>
  </si>
  <si>
    <t xml:space="preserve">XP earned per battle</t>
  </si>
  <si>
    <t xml:space="preserve">No longer decayed by empire size. Kill attribution and Experience Fatigue are unchanged; only empire weight moved.</t>
  </si>
  <si>
    <t xml:space="preserve">Player proficiency (5 masteries)</t>
  </si>
  <si>
    <t xml:space="preserve">Empire-wide player progression is untouched.</t>
  </si>
  <si>
    <t xml:space="preserve">Cultivation realm and Qi</t>
  </si>
  <si>
    <t xml:space="preserve">The Sovereign's path is personal and is not an army.</t>
  </si>
  <si>
    <t xml:space="preserve">Research</t>
  </si>
  <si>
    <t xml:space="preserve">Already empire-wide; slowing it would stall the game rather than balance it.</t>
  </si>
  <si>
    <t xml:space="preserve">Commander experience</t>
  </si>
  <si>
    <t xml:space="preserve">PARTIAL</t>
  </si>
  <si>
    <t xml:space="preserve">Requirement rises at the square root of the multiplier, so great generals can still emerge from large empires — just not great regiments.</t>
  </si>
  <si>
    <t xml:space="preserve">CONSEQUENCES AND COUNTERMEASURES</t>
  </si>
  <si>
    <t xml:space="preserve">The Champion economy</t>
  </si>
  <si>
    <t xml:space="preserve">Tier-up resource costs reach 231 trillion and ignore empire weight, while experience requirements inflate up to ten-millionfold with it. A small player can learn but cannot pay; a galactic power can pay but cannot learn. The resolution is social: large empires bankroll the promotions of small allied players whose formations still advance quickly. Elite armies become an alliance product, and the Champion becomes a recognised strategic role.</t>
  </si>
  <si>
    <t xml:space="preserve">Vassalage becomes doubly correct</t>
  </si>
  <si>
    <t xml:space="preserve">Vassalized holdings are not owned and add nothing to Empire Weight. A conqueror who vassalizes rather than annexes keeps both administrative burden low and armies capable of learning.</t>
  </si>
  <si>
    <t xml:space="preserve">Restraint becomes strategy</t>
  </si>
  <si>
    <t xml:space="preserve">There is a real reason not to take every holding within reach. How large to grow becomes a genuine question with costs on both sides rather than a one-way ratchet.</t>
  </si>
  <si>
    <t xml:space="preserve">Shedding holdings before a war</t>
  </si>
  <si>
    <t xml:space="preserve">Does not work. Empire Weight is a rolling 30-day average, so dumping territory takes a month to pay off and the war will be over.</t>
  </si>
  <si>
    <t xml:space="preserve">Parking holdings on an alt</t>
  </si>
  <si>
    <t xml:space="preserve">Does not work. Linked-account detection aggregates weight to the primary, using the same system as transfer caps and the Heaven's Envy leaderboards.</t>
  </si>
  <si>
    <t xml:space="preserve">Sitting at weight 99 forever</t>
  </si>
  <si>
    <t xml:space="preserve">Works, and is meant to. The small elite specialist is a supported playstyle — and a tempting target holding very little land.</t>
  </si>
  <si>
    <t xml:space="preserve">The risk, named</t>
  </si>
  <si>
    <t xml:space="preserve">This penalises expansion, which is the core loop. Set the knee too low and players stall deliberately, conquest stops and the map freezes, which is worse than the snowballing it prevents. Median empire weight and conquests per player per week are the metrics that say whether W₀ = 100 is right.</t>
  </si>
  <si>
    <t xml:space="preserve">CALCULATOR</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</si>
</sst>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B57"/>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10"/>
      <color rgb="FF0000FF"/>
      <name val="Arial"/>
      <family val="0"/>
      <charset val="1"/>
    </font>
    <font>
      <b val="true"/>
      <sz val="11"/>
      <color rgb="FFFFFFFF"/>
      <name val="Arial"/>
      <family val="0"/>
      <charset val="1"/>
    </font>
    <font>
      <b val="true"/>
      <sz val="11"/>
      <color rgb="FF1F3B57"/>
      <name val="Arial"/>
      <family val="0"/>
      <charset val="1"/>
    </font>
    <font>
      <b val="true"/>
      <sz val="12"/>
      <color rgb="FF1F3B57"/>
      <name val="Arial"/>
      <family val="0"/>
      <charset val="1"/>
    </font>
  </fonts>
  <fills count="5">
    <fill>
      <patternFill patternType="none"/>
    </fill>
    <fill>
      <patternFill patternType="gray125"/>
    </fill>
    <fill>
      <patternFill patternType="solid">
        <fgColor rgb="FF1F3B57"/>
        <bgColor rgb="FF003366"/>
      </patternFill>
    </fill>
    <fill>
      <patternFill patternType="solid">
        <fgColor rgb="FFFFFF00"/>
        <bgColor rgb="FFFFFF00"/>
      </patternFill>
    </fill>
    <fill>
      <patternFill patternType="solid">
        <fgColor rgb="FF2E5578"/>
        <bgColor rgb="FF1F3B5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9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5578"/>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0"/>
  </cols>
  <sheetData>
    <row r="1" customFormat="false" ht="17.25" hidden="false" customHeight="true" outlineLevel="0" collapsed="false">
      <c r="A1" s="2" t="s">
        <v>0</v>
      </c>
    </row>
    <row r="3" customFormat="false" ht="15" hidden="false" customHeight="true" outlineLevel="0" collapsed="false">
      <c r="A3" s="3" t="s">
        <v>1</v>
      </c>
      <c r="B3" s="4" t="s">
        <v>2</v>
      </c>
    </row>
    <row r="4" customFormat="false" ht="23.2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9" customFormat="false" ht="23.25" hidden="false" customHeight="true" outlineLevel="0" collapsed="false">
      <c r="A9" s="3" t="s">
        <v>13</v>
      </c>
      <c r="B9" s="4" t="s">
        <v>14</v>
      </c>
    </row>
    <row r="10" customFormat="false" ht="15" hidden="false" customHeight="true" outlineLevel="0" collapsed="false">
      <c r="A10" s="3" t="s">
        <v>15</v>
      </c>
      <c r="B10" s="4" t="s">
        <v>16</v>
      </c>
    </row>
    <row r="11" customFormat="false" ht="15" hidden="false" customHeight="true" outlineLevel="0" collapsed="false">
      <c r="A11" s="3" t="s">
        <v>17</v>
      </c>
      <c r="B11" s="4" t="s">
        <v>18</v>
      </c>
    </row>
    <row r="12" customFormat="false" ht="15" hidden="false" customHeight="true" outlineLevel="0" collapsed="false">
      <c r="A12" s="3" t="s">
        <v>19</v>
      </c>
      <c r="B12" s="4" t="s">
        <v>20</v>
      </c>
    </row>
    <row r="13" customFormat="false" ht="15" hidden="false" customHeight="true" outlineLevel="0" collapsed="false">
      <c r="A13" s="3" t="s">
        <v>21</v>
      </c>
      <c r="B13" s="4" t="s">
        <v>22</v>
      </c>
    </row>
    <row r="14" customFormat="false" ht="15" hidden="false" customHeight="true" outlineLevel="0" collapsed="false">
      <c r="A14" s="3" t="s">
        <v>23</v>
      </c>
      <c r="B14" s="4" t="s">
        <v>24</v>
      </c>
    </row>
    <row r="15" customFormat="false" ht="23.25" hidden="false" customHeight="true" outlineLevel="0" collapsed="false">
      <c r="A15" s="3" t="s">
        <v>25</v>
      </c>
      <c r="B15" s="4" t="s">
        <v>26</v>
      </c>
    </row>
    <row r="16" customFormat="false" ht="15" hidden="false" customHeight="true" outlineLevel="0" collapsed="false">
      <c r="A16" s="3" t="s">
        <v>27</v>
      </c>
      <c r="B16" s="4" t="s">
        <v>28</v>
      </c>
    </row>
    <row r="17" customFormat="false" ht="15" hidden="false" customHeight="true" outlineLevel="0" collapsed="false">
      <c r="A17" s="3" t="s">
        <v>29</v>
      </c>
      <c r="B17" s="4" t="s">
        <v>30</v>
      </c>
    </row>
    <row r="18" customFormat="false" ht="34.5" hidden="false" customHeight="true" outlineLevel="0" collapsed="false">
      <c r="A18" s="3" t="s">
        <v>31</v>
      </c>
      <c r="B18" s="4" t="s">
        <v>32</v>
      </c>
    </row>
    <row r="19" customFormat="false" ht="34.5" hidden="false" customHeight="true" outlineLevel="0" collapsed="false">
      <c r="A19" s="3" t="s">
        <v>33</v>
      </c>
      <c r="B19" s="4" t="s">
        <v>34</v>
      </c>
    </row>
    <row r="20" customFormat="false" ht="23.25" hidden="false" customHeight="true" outlineLevel="0" collapsed="false">
      <c r="A20" s="3" t="s">
        <v>35</v>
      </c>
      <c r="B20" s="4" t="s">
        <v>36</v>
      </c>
    </row>
    <row r="21" customFormat="false" ht="15" hidden="false" customHeight="true" outlineLevel="0" collapsed="false">
      <c r="A21" s="3" t="s">
        <v>37</v>
      </c>
      <c r="B21" s="4" t="s">
        <v>38</v>
      </c>
    </row>
    <row r="22" customFormat="false" ht="15" hidden="false" customHeight="true" outlineLevel="0" collapsed="false">
      <c r="A22" s="3" t="s">
        <v>39</v>
      </c>
      <c r="B22" s="4" t="s">
        <v>40</v>
      </c>
    </row>
    <row r="23" customFormat="false" ht="15" hidden="false" customHeight="true" outlineLevel="0" collapsed="false">
      <c r="A23" s="3" t="s">
        <v>41</v>
      </c>
      <c r="B23" s="4" t="s">
        <v>42</v>
      </c>
    </row>
    <row r="24" customFormat="false" ht="15" hidden="false" customHeight="true" outlineLevel="0" collapsed="false">
      <c r="A24" s="3" t="s">
        <v>43</v>
      </c>
      <c r="B24" s="4" t="s">
        <v>44</v>
      </c>
    </row>
    <row r="25" customFormat="false" ht="15" hidden="false" customHeight="true" outlineLevel="0" collapsed="false">
      <c r="A25" s="3" t="s">
        <v>45</v>
      </c>
      <c r="B25" s="4" t="s">
        <v>46</v>
      </c>
    </row>
    <row r="26" customFormat="false" ht="15" hidden="false" customHeight="true" outlineLevel="0" collapsed="false">
      <c r="A26" s="3" t="s">
        <v>47</v>
      </c>
      <c r="B26" s="4" t="s">
        <v>48</v>
      </c>
    </row>
    <row r="27" customFormat="false" ht="15" hidden="false" customHeight="true" outlineLevel="0" collapsed="false">
      <c r="A27" s="3" t="s">
        <v>49</v>
      </c>
      <c r="B27" s="4" t="s">
        <v>50</v>
      </c>
    </row>
    <row r="28" customFormat="false" ht="15" hidden="false" customHeight="true" outlineLevel="0" collapsed="false">
      <c r="A28" s="3" t="s">
        <v>51</v>
      </c>
      <c r="B28" s="4" t="s">
        <v>52</v>
      </c>
    </row>
    <row r="29" customFormat="false" ht="15" hidden="false" customHeight="true" outlineLevel="0" collapsed="false">
      <c r="A29" s="3" t="s">
        <v>53</v>
      </c>
      <c r="B29" s="4" t="s">
        <v>54</v>
      </c>
    </row>
    <row r="30" customFormat="false" ht="15" hidden="false" customHeight="true" outlineLevel="0" collapsed="false">
      <c r="A30" s="3" t="s">
        <v>47</v>
      </c>
      <c r="B30" s="4" t="s">
        <v>48</v>
      </c>
    </row>
    <row r="31" customFormat="false" ht="15" hidden="false" customHeight="true" outlineLevel="0" collapsed="false">
      <c r="A31" s="3" t="s">
        <v>49</v>
      </c>
      <c r="B31" s="4" t="s">
        <v>50</v>
      </c>
    </row>
    <row r="32" customFormat="false" ht="15" hidden="false" customHeight="true" outlineLevel="0" collapsed="false">
      <c r="A32" s="3" t="s">
        <v>55</v>
      </c>
      <c r="B32" s="4" t="s">
        <v>56</v>
      </c>
    </row>
    <row r="33" customFormat="false" ht="15" hidden="false" customHeight="true" outlineLevel="0" collapsed="false">
      <c r="A33" s="3" t="s">
        <v>53</v>
      </c>
      <c r="B33" s="4" t="s">
        <v>54</v>
      </c>
    </row>
    <row r="34" customFormat="false" ht="15" hidden="false" customHeight="true" outlineLevel="0" collapsed="false">
      <c r="A34" s="3" t="s">
        <v>57</v>
      </c>
      <c r="B34" s="4" t="s">
        <v>58</v>
      </c>
    </row>
    <row r="35" customFormat="false" ht="23.25" hidden="false" customHeight="true" outlineLevel="0" collapsed="false">
      <c r="A35" s="3" t="s">
        <v>59</v>
      </c>
      <c r="B35" s="4" t="s">
        <v>60</v>
      </c>
    </row>
    <row r="36" customFormat="false" ht="15" hidden="false" customHeight="true" outlineLevel="0" collapsed="false">
      <c r="A36" s="3" t="s">
        <v>61</v>
      </c>
      <c r="B36" s="4" t="s">
        <v>62</v>
      </c>
    </row>
    <row r="37" customFormat="false" ht="15" hidden="false" customHeight="true" outlineLevel="0" collapsed="false">
      <c r="A37" s="3" t="s">
        <v>63</v>
      </c>
      <c r="B37" s="4" t="s">
        <v>64</v>
      </c>
    </row>
    <row r="38" customFormat="false" ht="15" hidden="false" customHeight="true" outlineLevel="0" collapsed="false">
      <c r="A38" s="3" t="s">
        <v>65</v>
      </c>
      <c r="B38" s="4" t="s">
        <v>66</v>
      </c>
    </row>
    <row r="39" customFormat="false" ht="15" hidden="false" customHeight="true" outlineLevel="0" collapsed="false">
      <c r="A39" s="3" t="s">
        <v>67</v>
      </c>
      <c r="B39" s="4" t="s">
        <v>68</v>
      </c>
    </row>
    <row r="40" customFormat="false" ht="23.25" hidden="false" customHeight="true" outlineLevel="0" collapsed="false">
      <c r="A40" s="3" t="s">
        <v>69</v>
      </c>
      <c r="B40" s="4" t="s">
        <v>70</v>
      </c>
    </row>
    <row r="41" customFormat="false" ht="15" hidden="false" customHeight="true" outlineLevel="0" collapsed="false">
      <c r="A41" s="3" t="s">
        <v>71</v>
      </c>
      <c r="B41" s="4" t="s">
        <v>72</v>
      </c>
    </row>
    <row r="42" customFormat="false" ht="23.25" hidden="false" customHeight="true" outlineLevel="0" collapsed="false">
      <c r="A42" s="3" t="s">
        <v>73</v>
      </c>
      <c r="B42" s="4"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4" min="3" style="1" width="10"/>
    <col collapsed="false" customWidth="true" hidden="false" outlineLevel="0" max="5" min="5" style="1" width="18"/>
    <col collapsed="false" customWidth="true" hidden="false" outlineLevel="0" max="6" min="6" style="1" width="52"/>
    <col collapsed="false" customWidth="true" hidden="false" outlineLevel="0" max="7" min="7" style="1" width="34"/>
    <col collapsed="false" customWidth="true" hidden="false" outlineLevel="0" max="8" min="8" style="1" width="30"/>
  </cols>
  <sheetData>
    <row r="1" customFormat="false" ht="23.25" hidden="false" customHeight="true" outlineLevel="0" collapsed="false">
      <c r="A1" s="5" t="s">
        <v>75</v>
      </c>
      <c r="B1" s="5" t="s">
        <v>76</v>
      </c>
      <c r="C1" s="5" t="s">
        <v>77</v>
      </c>
      <c r="D1" s="5" t="s">
        <v>78</v>
      </c>
      <c r="E1" s="5" t="s">
        <v>79</v>
      </c>
      <c r="F1" s="5" t="s">
        <v>80</v>
      </c>
      <c r="G1" s="5" t="s">
        <v>81</v>
      </c>
      <c r="H1" s="5" t="s">
        <v>82</v>
      </c>
    </row>
    <row r="2" customFormat="false" ht="15" hidden="false" customHeight="true" outlineLevel="0" collapsed="false">
      <c r="A2" s="6" t="n">
        <v>1</v>
      </c>
      <c r="B2" s="6" t="s">
        <v>83</v>
      </c>
      <c r="C2" s="6" t="n">
        <f aca="false">(A2-1)*32</f>
        <v>0</v>
      </c>
      <c r="D2" s="6" t="n">
        <f aca="false">MIN(1337, A2*32-1)</f>
        <v>31</v>
      </c>
      <c r="E2" s="6" t="n">
        <f aca="false">ROUND(100*A2^3.2*1.15^A2,0)</f>
        <v>115</v>
      </c>
      <c r="F2" s="6" t="s">
        <v>84</v>
      </c>
      <c r="G2" s="6" t="s">
        <v>85</v>
      </c>
      <c r="H2" s="6" t="s">
        <v>86</v>
      </c>
    </row>
    <row r="3" customFormat="false" ht="15" hidden="false" customHeight="true" outlineLevel="0" collapsed="false">
      <c r="A3" s="6" t="n">
        <v>2</v>
      </c>
      <c r="B3" s="6" t="s">
        <v>87</v>
      </c>
      <c r="C3" s="6" t="n">
        <f aca="false">(A3-1)*32</f>
        <v>32</v>
      </c>
      <c r="D3" s="6" t="n">
        <f aca="false">MIN(1337, A3*32-1)</f>
        <v>63</v>
      </c>
      <c r="E3" s="6" t="n">
        <f aca="false">ROUND(100*A3^3.2*1.15^A3,0)</f>
        <v>1215</v>
      </c>
      <c r="F3" s="6" t="s">
        <v>84</v>
      </c>
      <c r="G3" s="6" t="s">
        <v>88</v>
      </c>
      <c r="H3" s="6" t="s">
        <v>89</v>
      </c>
    </row>
    <row r="4" customFormat="false" ht="15" hidden="false" customHeight="true" outlineLevel="0" collapsed="false">
      <c r="A4" s="6" t="n">
        <v>3</v>
      </c>
      <c r="B4" s="6" t="s">
        <v>90</v>
      </c>
      <c r="C4" s="6" t="n">
        <f aca="false">(A4-1)*32</f>
        <v>64</v>
      </c>
      <c r="D4" s="6" t="n">
        <f aca="false">MIN(1337, A4*32-1)</f>
        <v>95</v>
      </c>
      <c r="E4" s="6" t="n">
        <f aca="false">ROUND(100*A4^3.2*1.15^A4,0)</f>
        <v>5115</v>
      </c>
      <c r="F4" s="6" t="s">
        <v>84</v>
      </c>
      <c r="G4" s="6" t="s">
        <v>91</v>
      </c>
      <c r="H4" s="6" t="s">
        <v>92</v>
      </c>
    </row>
    <row r="5" customFormat="false" ht="15" hidden="false" customHeight="true" outlineLevel="0" collapsed="false">
      <c r="A5" s="6" t="n">
        <v>4</v>
      </c>
      <c r="B5" s="6" t="s">
        <v>93</v>
      </c>
      <c r="C5" s="6" t="n">
        <f aca="false">(A5-1)*32</f>
        <v>96</v>
      </c>
      <c r="D5" s="6" t="n">
        <f aca="false">MIN(1337, A5*32-1)</f>
        <v>127</v>
      </c>
      <c r="E5" s="6" t="n">
        <f aca="false">ROUND(100*A5^3.2*1.15^A5,0)</f>
        <v>14770</v>
      </c>
      <c r="F5" s="6" t="s">
        <v>94</v>
      </c>
      <c r="G5" s="6" t="s">
        <v>95</v>
      </c>
      <c r="H5" s="6" t="s">
        <v>96</v>
      </c>
    </row>
    <row r="6" customFormat="false" ht="15" hidden="false" customHeight="true" outlineLevel="0" collapsed="false">
      <c r="A6" s="6" t="n">
        <v>5</v>
      </c>
      <c r="B6" s="6" t="s">
        <v>97</v>
      </c>
      <c r="C6" s="6" t="n">
        <f aca="false">(A6-1)*32</f>
        <v>128</v>
      </c>
      <c r="D6" s="6" t="n">
        <f aca="false">MIN(1337, A6*32-1)</f>
        <v>159</v>
      </c>
      <c r="E6" s="6" t="n">
        <f aca="false">ROUND(100*A6^3.2*1.15^A6,0)</f>
        <v>34689</v>
      </c>
      <c r="F6" s="6" t="s">
        <v>94</v>
      </c>
      <c r="G6" s="6" t="s">
        <v>98</v>
      </c>
      <c r="H6" s="6" t="s">
        <v>99</v>
      </c>
    </row>
    <row r="7" customFormat="false" ht="15" hidden="false" customHeight="true" outlineLevel="0" collapsed="false">
      <c r="A7" s="6" t="n">
        <v>6</v>
      </c>
      <c r="B7" s="6" t="s">
        <v>100</v>
      </c>
      <c r="C7" s="6" t="n">
        <f aca="false">(A7-1)*32</f>
        <v>160</v>
      </c>
      <c r="D7" s="6" t="n">
        <f aca="false">MIN(1337, A7*32-1)</f>
        <v>191</v>
      </c>
      <c r="E7" s="6" t="n">
        <f aca="false">ROUND(100*A7^3.2*1.15^A7,0)</f>
        <v>71494</v>
      </c>
      <c r="F7" s="6" t="s">
        <v>101</v>
      </c>
      <c r="G7" s="6" t="s">
        <v>102</v>
      </c>
      <c r="H7" s="6" t="s">
        <v>103</v>
      </c>
    </row>
    <row r="8" customFormat="false" ht="15" hidden="false" customHeight="true" outlineLevel="0" collapsed="false">
      <c r="A8" s="6" t="n">
        <v>7</v>
      </c>
      <c r="B8" s="6" t="s">
        <v>104</v>
      </c>
      <c r="C8" s="6" t="n">
        <f aca="false">(A8-1)*32</f>
        <v>192</v>
      </c>
      <c r="D8" s="6" t="n">
        <f aca="false">MIN(1337, A8*32-1)</f>
        <v>223</v>
      </c>
      <c r="E8" s="6" t="n">
        <f aca="false">ROUND(100*A8^3.2*1.15^A8,0)</f>
        <v>134648</v>
      </c>
      <c r="F8" s="6" t="s">
        <v>105</v>
      </c>
      <c r="G8" s="6" t="s">
        <v>106</v>
      </c>
      <c r="H8" s="6" t="s">
        <v>107</v>
      </c>
    </row>
    <row r="9" customFormat="false" ht="15" hidden="false" customHeight="true" outlineLevel="0" collapsed="false">
      <c r="A9" s="6" t="n">
        <v>8</v>
      </c>
      <c r="B9" s="6" t="s">
        <v>108</v>
      </c>
      <c r="C9" s="6" t="n">
        <f aca="false">(A9-1)*32</f>
        <v>224</v>
      </c>
      <c r="D9" s="6" t="n">
        <f aca="false">MIN(1337, A9*32-1)</f>
        <v>255</v>
      </c>
      <c r="E9" s="6" t="n">
        <f aca="false">ROUND(100*A9^3.2*1.15^A9,0)</f>
        <v>237395</v>
      </c>
      <c r="F9" s="6" t="s">
        <v>105</v>
      </c>
      <c r="G9" s="6" t="s">
        <v>109</v>
      </c>
      <c r="H9" s="6" t="s">
        <v>110</v>
      </c>
    </row>
    <row r="10" customFormat="false" ht="15" hidden="false" customHeight="true" outlineLevel="0" collapsed="false">
      <c r="A10" s="6" t="n">
        <v>9</v>
      </c>
      <c r="B10" s="6" t="s">
        <v>111</v>
      </c>
      <c r="C10" s="6" t="n">
        <f aca="false">(A10-1)*32</f>
        <v>256</v>
      </c>
      <c r="D10" s="6" t="n">
        <f aca="false">MIN(1337, A10*32-1)</f>
        <v>287</v>
      </c>
      <c r="E10" s="6" t="n">
        <f aca="false">ROUND(100*A10^3.2*1.15^A10,0)</f>
        <v>397976</v>
      </c>
      <c r="F10" s="6" t="s">
        <v>112</v>
      </c>
      <c r="G10" s="6" t="s">
        <v>113</v>
      </c>
      <c r="H10" s="6" t="s">
        <v>114</v>
      </c>
    </row>
    <row r="11" customFormat="false" ht="15" hidden="false" customHeight="true" outlineLevel="0" collapsed="false">
      <c r="A11" s="6" t="n">
        <v>10</v>
      </c>
      <c r="B11" s="6" t="s">
        <v>115</v>
      </c>
      <c r="C11" s="6" t="n">
        <f aca="false">(A11-1)*32</f>
        <v>288</v>
      </c>
      <c r="D11" s="6" t="n">
        <f aca="false">MIN(1337, A11*32-1)</f>
        <v>319</v>
      </c>
      <c r="E11" s="6" t="n">
        <f aca="false">ROUND(100*A11^3.2*1.15^A11,0)</f>
        <v>641178</v>
      </c>
      <c r="F11" s="6" t="s">
        <v>116</v>
      </c>
      <c r="G11" s="6" t="s">
        <v>117</v>
      </c>
      <c r="H11" s="6" t="s">
        <v>118</v>
      </c>
    </row>
    <row r="12" customFormat="false" ht="15" hidden="false" customHeight="true" outlineLevel="0" collapsed="false">
      <c r="A12" s="6" t="n">
        <v>11</v>
      </c>
      <c r="B12" s="6" t="s">
        <v>119</v>
      </c>
      <c r="C12" s="6" t="n">
        <f aca="false">(A12-1)*32</f>
        <v>320</v>
      </c>
      <c r="D12" s="6" t="n">
        <f aca="false">MIN(1337, A12*32-1)</f>
        <v>351</v>
      </c>
      <c r="E12" s="6" t="n">
        <f aca="false">ROUND(100*A12^3.2*1.15^A12,0)</f>
        <v>1000306</v>
      </c>
      <c r="F12" s="6" t="s">
        <v>116</v>
      </c>
      <c r="G12" s="6" t="s">
        <v>120</v>
      </c>
      <c r="H12" s="6" t="s">
        <v>121</v>
      </c>
    </row>
    <row r="13" customFormat="false" ht="15" hidden="false" customHeight="true" outlineLevel="0" collapsed="false">
      <c r="A13" s="6" t="n">
        <v>12</v>
      </c>
      <c r="B13" s="6" t="s">
        <v>122</v>
      </c>
      <c r="C13" s="6" t="n">
        <f aca="false">(A13-1)*32</f>
        <v>352</v>
      </c>
      <c r="D13" s="6" t="n">
        <f aca="false">MIN(1337, A13*32-1)</f>
        <v>383</v>
      </c>
      <c r="E13" s="6" t="n">
        <f aca="false">ROUND(100*A13^3.2*1.15^A13,0)</f>
        <v>1519687</v>
      </c>
      <c r="F13" s="6" t="s">
        <v>123</v>
      </c>
      <c r="G13" s="6" t="s">
        <v>124</v>
      </c>
      <c r="H13" s="6" t="s">
        <v>125</v>
      </c>
    </row>
    <row r="14" customFormat="false" ht="15" hidden="false" customHeight="true" outlineLevel="0" collapsed="false">
      <c r="A14" s="6" t="n">
        <v>13</v>
      </c>
      <c r="B14" s="6" t="s">
        <v>126</v>
      </c>
      <c r="C14" s="6" t="n">
        <f aca="false">(A14-1)*32</f>
        <v>384</v>
      </c>
      <c r="D14" s="6" t="n">
        <f aca="false">MIN(1337, A14*32-1)</f>
        <v>415</v>
      </c>
      <c r="E14" s="6" t="n">
        <f aca="false">ROUND(100*A14^3.2*1.15^A14,0)</f>
        <v>2257827</v>
      </c>
      <c r="F14" s="6" t="s">
        <v>127</v>
      </c>
      <c r="G14" s="6" t="s">
        <v>128</v>
      </c>
      <c r="H14" s="6" t="s">
        <v>129</v>
      </c>
    </row>
    <row r="15" customFormat="false" ht="15" hidden="false" customHeight="true" outlineLevel="0" collapsed="false">
      <c r="A15" s="6" t="n">
        <v>14</v>
      </c>
      <c r="B15" s="6" t="s">
        <v>130</v>
      </c>
      <c r="C15" s="6" t="n">
        <f aca="false">(A15-1)*32</f>
        <v>416</v>
      </c>
      <c r="D15" s="6" t="n">
        <f aca="false">MIN(1337, A15*32-1)</f>
        <v>447</v>
      </c>
      <c r="E15" s="6" t="n">
        <f aca="false">ROUND(100*A15^3.2*1.15^A15,0)</f>
        <v>3291391</v>
      </c>
      <c r="F15" s="6" t="s">
        <v>127</v>
      </c>
      <c r="G15" s="6" t="s">
        <v>131</v>
      </c>
      <c r="H15" s="6" t="s">
        <v>132</v>
      </c>
    </row>
    <row r="16" customFormat="false" ht="15" hidden="false" customHeight="true" outlineLevel="0" collapsed="false">
      <c r="A16" s="6" t="n">
        <v>15</v>
      </c>
      <c r="B16" s="6" t="s">
        <v>133</v>
      </c>
      <c r="C16" s="6" t="n">
        <f aca="false">(A16-1)*32</f>
        <v>448</v>
      </c>
      <c r="D16" s="6" t="n">
        <f aca="false">MIN(1337, A16*32-1)</f>
        <v>479</v>
      </c>
      <c r="E16" s="6" t="n">
        <f aca="false">ROUND(100*A16^3.2*1.15^A16,0)</f>
        <v>4720192</v>
      </c>
      <c r="F16" s="6" t="s">
        <v>134</v>
      </c>
      <c r="G16" s="6" t="s">
        <v>135</v>
      </c>
      <c r="H16" s="6" t="s">
        <v>136</v>
      </c>
    </row>
    <row r="17" customFormat="false" ht="15" hidden="false" customHeight="true" outlineLevel="0" collapsed="false">
      <c r="A17" s="6" t="n">
        <v>16</v>
      </c>
      <c r="B17" s="6" t="s">
        <v>137</v>
      </c>
      <c r="C17" s="6" t="n">
        <f aca="false">(A17-1)*32</f>
        <v>480</v>
      </c>
      <c r="D17" s="6" t="n">
        <f aca="false">MIN(1337, A17*32-1)</f>
        <v>511</v>
      </c>
      <c r="E17" s="6" t="n">
        <f aca="false">ROUND(100*A17^3.2*1.15^A17,0)</f>
        <v>6673434</v>
      </c>
      <c r="F17" s="6" t="s">
        <v>138</v>
      </c>
      <c r="G17" s="6" t="s">
        <v>139</v>
      </c>
      <c r="H17" s="6" t="s">
        <v>140</v>
      </c>
    </row>
    <row r="18" customFormat="false" ht="15" hidden="false" customHeight="true" outlineLevel="0" collapsed="false">
      <c r="A18" s="6" t="n">
        <v>17</v>
      </c>
      <c r="B18" s="6" t="s">
        <v>141</v>
      </c>
      <c r="C18" s="6" t="n">
        <f aca="false">(A18-1)*32</f>
        <v>512</v>
      </c>
      <c r="D18" s="6" t="n">
        <f aca="false">MIN(1337, A18*32-1)</f>
        <v>543</v>
      </c>
      <c r="E18" s="6" t="n">
        <f aca="false">ROUND(100*A18^3.2*1.15^A18,0)</f>
        <v>9317509</v>
      </c>
      <c r="F18" s="6" t="s">
        <v>138</v>
      </c>
      <c r="G18" s="6" t="s">
        <v>142</v>
      </c>
      <c r="H18" s="6" t="s">
        <v>143</v>
      </c>
    </row>
    <row r="19" customFormat="false" ht="15" hidden="false" customHeight="true" outlineLevel="0" collapsed="false">
      <c r="A19" s="6" t="n">
        <v>18</v>
      </c>
      <c r="B19" s="6" t="s">
        <v>144</v>
      </c>
      <c r="C19" s="6" t="n">
        <f aca="false">(A19-1)*32</f>
        <v>544</v>
      </c>
      <c r="D19" s="6" t="n">
        <f aca="false">MIN(1337, A19*32-1)</f>
        <v>575</v>
      </c>
      <c r="E19" s="6" t="n">
        <f aca="false">ROUND(100*A19^3.2*1.15^A19,0)</f>
        <v>12865692</v>
      </c>
      <c r="F19" s="6" t="s">
        <v>145</v>
      </c>
      <c r="G19" s="6" t="s">
        <v>146</v>
      </c>
      <c r="H19" s="6" t="s">
        <v>147</v>
      </c>
    </row>
    <row r="20" customFormat="false" ht="15" hidden="false" customHeight="true" outlineLevel="0" collapsed="false">
      <c r="A20" s="6" t="n">
        <v>19</v>
      </c>
      <c r="B20" s="6" t="s">
        <v>148</v>
      </c>
      <c r="C20" s="6" t="n">
        <f aca="false">(A20-1)*32</f>
        <v>576</v>
      </c>
      <c r="D20" s="6" t="n">
        <f aca="false">MIN(1337, A20*32-1)</f>
        <v>607</v>
      </c>
      <c r="E20" s="6" t="n">
        <f aca="false">ROUND(100*A20^3.2*1.15^A20,0)</f>
        <v>17590188</v>
      </c>
      <c r="F20" s="6" t="s">
        <v>149</v>
      </c>
      <c r="G20" s="6" t="s">
        <v>150</v>
      </c>
      <c r="H20" s="6" t="s">
        <v>151</v>
      </c>
    </row>
    <row r="21" customFormat="false" ht="15" hidden="false" customHeight="true" outlineLevel="0" collapsed="false">
      <c r="A21" s="6" t="n">
        <v>20</v>
      </c>
      <c r="B21" s="6" t="s">
        <v>152</v>
      </c>
      <c r="C21" s="6" t="n">
        <f aca="false">(A21-1)*32</f>
        <v>608</v>
      </c>
      <c r="D21" s="6" t="n">
        <f aca="false">MIN(1337, A21*32-1)</f>
        <v>639</v>
      </c>
      <c r="E21" s="6" t="n">
        <f aca="false">ROUND(100*A21^3.2*1.15^A21,0)</f>
        <v>23837066</v>
      </c>
      <c r="F21" s="6" t="s">
        <v>149</v>
      </c>
      <c r="G21" s="6" t="s">
        <v>153</v>
      </c>
      <c r="H21" s="6" t="s">
        <v>154</v>
      </c>
    </row>
    <row r="22" customFormat="false" ht="15" hidden="false" customHeight="true" outlineLevel="0" collapsed="false">
      <c r="A22" s="6" t="n">
        <v>21</v>
      </c>
      <c r="B22" s="6" t="s">
        <v>155</v>
      </c>
      <c r="C22" s="6" t="n">
        <f aca="false">(A22-1)*32</f>
        <v>640</v>
      </c>
      <c r="D22" s="6" t="n">
        <f aca="false">MIN(1337, A22*32-1)</f>
        <v>671</v>
      </c>
      <c r="E22" s="6" t="n">
        <f aca="false">ROUND(100*A22^3.2*1.15^A22,0)</f>
        <v>32044713</v>
      </c>
      <c r="F22" s="6" t="s">
        <v>156</v>
      </c>
      <c r="G22" s="6" t="s">
        <v>157</v>
      </c>
      <c r="H22" s="6" t="s">
        <v>158</v>
      </c>
    </row>
    <row r="23" customFormat="false" ht="15" hidden="false" customHeight="true" outlineLevel="0" collapsed="false">
      <c r="A23" s="6" t="n">
        <v>22</v>
      </c>
      <c r="B23" s="6" t="s">
        <v>159</v>
      </c>
      <c r="C23" s="6" t="n">
        <f aca="false">(A23-1)*32</f>
        <v>672</v>
      </c>
      <c r="D23" s="6" t="n">
        <f aca="false">MIN(1337, A23*32-1)</f>
        <v>703</v>
      </c>
      <c r="E23" s="6" t="n">
        <f aca="false">ROUND(100*A23^3.2*1.15^A23,0)</f>
        <v>42766634</v>
      </c>
      <c r="F23" s="6" t="s">
        <v>160</v>
      </c>
      <c r="G23" s="6" t="s">
        <v>161</v>
      </c>
      <c r="H23" s="6" t="s">
        <v>162</v>
      </c>
    </row>
    <row r="24" customFormat="false" ht="15" hidden="false" customHeight="true" outlineLevel="0" collapsed="false">
      <c r="A24" s="6" t="n">
        <v>23</v>
      </c>
      <c r="B24" s="6" t="s">
        <v>163</v>
      </c>
      <c r="C24" s="6" t="n">
        <f aca="false">(A24-1)*32</f>
        <v>704</v>
      </c>
      <c r="D24" s="6" t="n">
        <f aca="false">MIN(1337, A24*32-1)</f>
        <v>735</v>
      </c>
      <c r="E24" s="6" t="n">
        <f aca="false">ROUND(100*A24^3.2*1.15^A24,0)</f>
        <v>56699523</v>
      </c>
      <c r="F24" s="6" t="s">
        <v>160</v>
      </c>
      <c r="G24" s="6" t="s">
        <v>164</v>
      </c>
      <c r="H24" s="6" t="s">
        <v>165</v>
      </c>
    </row>
    <row r="25" customFormat="false" ht="15" hidden="false" customHeight="true" outlineLevel="0" collapsed="false">
      <c r="A25" s="6" t="n">
        <v>24</v>
      </c>
      <c r="B25" s="6" t="s">
        <v>166</v>
      </c>
      <c r="C25" s="6" t="n">
        <f aca="false">(A25-1)*32</f>
        <v>736</v>
      </c>
      <c r="D25" s="6" t="n">
        <f aca="false">MIN(1337, A25*32-1)</f>
        <v>767</v>
      </c>
      <c r="E25" s="6" t="n">
        <f aca="false">ROUND(100*A25^3.2*1.15^A25,0)</f>
        <v>74717811</v>
      </c>
      <c r="F25" s="6" t="s">
        <v>167</v>
      </c>
      <c r="G25" s="6" t="s">
        <v>168</v>
      </c>
      <c r="H25" s="6" t="s">
        <v>169</v>
      </c>
    </row>
    <row r="26" customFormat="false" ht="15" hidden="false" customHeight="true" outlineLevel="0" collapsed="false">
      <c r="A26" s="6" t="n">
        <v>25</v>
      </c>
      <c r="B26" s="6" t="s">
        <v>170</v>
      </c>
      <c r="C26" s="6" t="n">
        <f aca="false">(A26-1)*32</f>
        <v>768</v>
      </c>
      <c r="D26" s="6" t="n">
        <f aca="false">MIN(1337, A26*32-1)</f>
        <v>799</v>
      </c>
      <c r="E26" s="6" t="n">
        <f aca="false">ROUND(100*A26^3.2*1.15^A26,0)</f>
        <v>97916084</v>
      </c>
      <c r="F26" s="6" t="s">
        <v>171</v>
      </c>
      <c r="G26" s="6" t="s">
        <v>172</v>
      </c>
      <c r="H26" s="6" t="s">
        <v>173</v>
      </c>
    </row>
    <row r="27" customFormat="false" ht="15" hidden="false" customHeight="true" outlineLevel="0" collapsed="false">
      <c r="A27" s="6" t="n">
        <v>26</v>
      </c>
      <c r="B27" s="6" t="s">
        <v>174</v>
      </c>
      <c r="C27" s="6" t="n">
        <f aca="false">(A27-1)*32</f>
        <v>800</v>
      </c>
      <c r="D27" s="6" t="n">
        <f aca="false">MIN(1337, A27*32-1)</f>
        <v>831</v>
      </c>
      <c r="E27" s="6" t="n">
        <f aca="false">ROUND(100*A27^3.2*1.15^A27,0)</f>
        <v>127661094</v>
      </c>
      <c r="F27" s="6" t="s">
        <v>171</v>
      </c>
      <c r="G27" s="6" t="s">
        <v>175</v>
      </c>
      <c r="H27" s="6" t="s">
        <v>176</v>
      </c>
    </row>
    <row r="28" customFormat="false" ht="15" hidden="false" customHeight="true" outlineLevel="0" collapsed="false">
      <c r="A28" s="6" t="n">
        <v>27</v>
      </c>
      <c r="B28" s="6" t="s">
        <v>177</v>
      </c>
      <c r="C28" s="6" t="n">
        <f aca="false">(A28-1)*32</f>
        <v>832</v>
      </c>
      <c r="D28" s="6" t="n">
        <f aca="false">MIN(1337, A28*32-1)</f>
        <v>863</v>
      </c>
      <c r="E28" s="6" t="n">
        <f aca="false">ROUND(100*A28^3.2*1.15^A28,0)</f>
        <v>165655452</v>
      </c>
      <c r="F28" s="6" t="s">
        <v>178</v>
      </c>
      <c r="G28" s="6" t="s">
        <v>179</v>
      </c>
      <c r="H28" s="6" t="s">
        <v>180</v>
      </c>
    </row>
    <row r="29" customFormat="false" ht="15" hidden="false" customHeight="true" outlineLevel="0" collapsed="false">
      <c r="A29" s="6" t="n">
        <v>28</v>
      </c>
      <c r="B29" s="6" t="s">
        <v>181</v>
      </c>
      <c r="C29" s="6" t="n">
        <f aca="false">(A29-1)*32</f>
        <v>864</v>
      </c>
      <c r="D29" s="6" t="n">
        <f aca="false">MIN(1337, A29*32-1)</f>
        <v>895</v>
      </c>
      <c r="E29" s="6" t="n">
        <f aca="false">ROUND(100*A29^3.2*1.15^A29,0)</f>
        <v>214015501</v>
      </c>
      <c r="F29" s="6" t="s">
        <v>182</v>
      </c>
      <c r="G29" s="6" t="s">
        <v>183</v>
      </c>
      <c r="H29" s="6" t="s">
        <v>184</v>
      </c>
    </row>
    <row r="30" customFormat="false" ht="15" hidden="false" customHeight="true" outlineLevel="0" collapsed="false">
      <c r="A30" s="6" t="n">
        <v>29</v>
      </c>
      <c r="B30" s="6" t="s">
        <v>185</v>
      </c>
      <c r="C30" s="6" t="n">
        <f aca="false">(A30-1)*32</f>
        <v>896</v>
      </c>
      <c r="D30" s="6" t="n">
        <f aca="false">MIN(1337, A30*32-1)</f>
        <v>927</v>
      </c>
      <c r="E30" s="6" t="n">
        <f aca="false">ROUND(100*A30^3.2*1.15^A30,0)</f>
        <v>275366411</v>
      </c>
      <c r="F30" s="6" t="s">
        <v>182</v>
      </c>
      <c r="G30" s="6" t="s">
        <v>186</v>
      </c>
      <c r="H30" s="6" t="s">
        <v>187</v>
      </c>
    </row>
    <row r="31" customFormat="false" ht="15" hidden="false" customHeight="true" outlineLevel="0" collapsed="false">
      <c r="A31" s="6" t="n">
        <v>30</v>
      </c>
      <c r="B31" s="6" t="s">
        <v>188</v>
      </c>
      <c r="C31" s="6" t="n">
        <f aca="false">(A31-1)*32</f>
        <v>928</v>
      </c>
      <c r="D31" s="6" t="n">
        <f aca="false">MIN(1337, A31*32-1)</f>
        <v>959</v>
      </c>
      <c r="E31" s="6" t="n">
        <f aca="false">ROUND(100*A31^3.2*1.15^A31,0)</f>
        <v>352958159</v>
      </c>
      <c r="F31" s="6" t="s">
        <v>189</v>
      </c>
      <c r="G31" s="6" t="s">
        <v>190</v>
      </c>
      <c r="H31" s="6" t="s">
        <v>191</v>
      </c>
    </row>
    <row r="32" customFormat="false" ht="15" hidden="false" customHeight="true" outlineLevel="0" collapsed="false">
      <c r="A32" s="6" t="n">
        <v>31</v>
      </c>
      <c r="B32" s="6" t="s">
        <v>192</v>
      </c>
      <c r="C32" s="6" t="n">
        <f aca="false">(A32-1)*32</f>
        <v>960</v>
      </c>
      <c r="D32" s="6" t="n">
        <f aca="false">MIN(1337, A32*32-1)</f>
        <v>991</v>
      </c>
      <c r="E32" s="6" t="n">
        <f aca="false">ROUND(100*A32^3.2*1.15^A32,0)</f>
        <v>450806813</v>
      </c>
      <c r="F32" s="6" t="s">
        <v>193</v>
      </c>
      <c r="G32" s="6" t="s">
        <v>194</v>
      </c>
      <c r="H32" s="6" t="s">
        <v>195</v>
      </c>
    </row>
    <row r="33" customFormat="false" ht="15" hidden="false" customHeight="true" outlineLevel="0" collapsed="false">
      <c r="A33" s="6" t="n">
        <v>32</v>
      </c>
      <c r="B33" s="6" t="s">
        <v>196</v>
      </c>
      <c r="C33" s="6" t="n">
        <f aca="false">(A33-1)*32</f>
        <v>992</v>
      </c>
      <c r="D33" s="6" t="n">
        <f aca="false">MIN(1337, A33*32-1)</f>
        <v>1023</v>
      </c>
      <c r="E33" s="6" t="n">
        <f aca="false">ROUND(100*A33^3.2*1.15^A33,0)</f>
        <v>573866432</v>
      </c>
      <c r="F33" s="6" t="s">
        <v>193</v>
      </c>
      <c r="G33" s="6" t="s">
        <v>197</v>
      </c>
      <c r="H33" s="6" t="s">
        <v>198</v>
      </c>
    </row>
    <row r="34" customFormat="false" ht="15" hidden="false" customHeight="true" outlineLevel="0" collapsed="false">
      <c r="A34" s="6" t="n">
        <v>33</v>
      </c>
      <c r="B34" s="6" t="s">
        <v>199</v>
      </c>
      <c r="C34" s="6" t="n">
        <f aca="false">(A34-1)*32</f>
        <v>1024</v>
      </c>
      <c r="D34" s="6" t="n">
        <f aca="false">MIN(1337, A34*32-1)</f>
        <v>1055</v>
      </c>
      <c r="E34" s="6" t="n">
        <f aca="false">ROUND(100*A34^3.2*1.15^A34,0)</f>
        <v>728238004</v>
      </c>
      <c r="F34" s="6" t="s">
        <v>200</v>
      </c>
      <c r="G34" s="6" t="s">
        <v>201</v>
      </c>
      <c r="H34" s="6" t="s">
        <v>202</v>
      </c>
    </row>
    <row r="35" customFormat="false" ht="15" hidden="false" customHeight="true" outlineLevel="0" collapsed="false">
      <c r="A35" s="6" t="n">
        <v>34</v>
      </c>
      <c r="B35" s="6" t="s">
        <v>203</v>
      </c>
      <c r="C35" s="6" t="n">
        <f aca="false">(A35-1)*32</f>
        <v>1056</v>
      </c>
      <c r="D35" s="6" t="n">
        <f aca="false">MIN(1337, A35*32-1)</f>
        <v>1087</v>
      </c>
      <c r="E35" s="6" t="n">
        <f aca="false">ROUND(100*A35^3.2*1.15^A35,0)</f>
        <v>921423123</v>
      </c>
      <c r="F35" s="6" t="s">
        <v>204</v>
      </c>
      <c r="G35" s="6" t="s">
        <v>205</v>
      </c>
      <c r="H35" s="6" t="s">
        <v>206</v>
      </c>
    </row>
    <row r="36" customFormat="false" ht="15" hidden="false" customHeight="true" outlineLevel="0" collapsed="false">
      <c r="A36" s="6" t="n">
        <v>35</v>
      </c>
      <c r="B36" s="6" t="s">
        <v>207</v>
      </c>
      <c r="C36" s="6" t="n">
        <f aca="false">(A36-1)*32</f>
        <v>1088</v>
      </c>
      <c r="D36" s="6" t="n">
        <f aca="false">MIN(1337, A36*32-1)</f>
        <v>1119</v>
      </c>
      <c r="E36" s="6" t="n">
        <f aca="false">ROUND(100*A36^3.2*1.15^A36,0)</f>
        <v>1162631684</v>
      </c>
      <c r="F36" s="6" t="s">
        <v>204</v>
      </c>
      <c r="G36" s="6" t="s">
        <v>208</v>
      </c>
      <c r="H36" s="6" t="s">
        <v>209</v>
      </c>
    </row>
    <row r="37" customFormat="false" ht="15" hidden="false" customHeight="true" outlineLevel="0" collapsed="false">
      <c r="A37" s="6" t="n">
        <v>36</v>
      </c>
      <c r="B37" s="6" t="s">
        <v>210</v>
      </c>
      <c r="C37" s="6" t="n">
        <f aca="false">(A37-1)*32</f>
        <v>1120</v>
      </c>
      <c r="D37" s="6" t="n">
        <f aca="false">MIN(1337, A37*32-1)</f>
        <v>1151</v>
      </c>
      <c r="E37" s="6" t="n">
        <f aca="false">ROUND(100*A37^3.2*1.15^A37,0)</f>
        <v>1463154729</v>
      </c>
      <c r="F37" s="6" t="s">
        <v>211</v>
      </c>
      <c r="G37" s="6" t="s">
        <v>212</v>
      </c>
      <c r="H37" s="6" t="s">
        <v>213</v>
      </c>
    </row>
    <row r="38" customFormat="false" ht="15" hidden="false" customHeight="true" outlineLevel="0" collapsed="false">
      <c r="A38" s="6" t="n">
        <v>37</v>
      </c>
      <c r="B38" s="6" t="s">
        <v>214</v>
      </c>
      <c r="C38" s="6" t="n">
        <f aca="false">(A38-1)*32</f>
        <v>1152</v>
      </c>
      <c r="D38" s="6" t="n">
        <f aca="false">MIN(1337, A38*32-1)</f>
        <v>1183</v>
      </c>
      <c r="E38" s="6" t="n">
        <f aca="false">ROUND(100*A38^3.2*1.15^A38,0)</f>
        <v>1836815815</v>
      </c>
      <c r="F38" s="6" t="s">
        <v>215</v>
      </c>
      <c r="G38" s="6" t="s">
        <v>216</v>
      </c>
      <c r="H38" s="6" t="s">
        <v>217</v>
      </c>
    </row>
    <row r="39" customFormat="false" ht="15" hidden="false" customHeight="true" outlineLevel="0" collapsed="false">
      <c r="A39" s="6" t="n">
        <v>38</v>
      </c>
      <c r="B39" s="6" t="s">
        <v>218</v>
      </c>
      <c r="C39" s="6" t="n">
        <f aca="false">(A39-1)*32</f>
        <v>1184</v>
      </c>
      <c r="D39" s="6" t="n">
        <f aca="false">MIN(1337, A39*32-1)</f>
        <v>1215</v>
      </c>
      <c r="E39" s="6" t="n">
        <f aca="false">ROUND(100*A39^3.2*1.15^A39,0)</f>
        <v>2300516977</v>
      </c>
      <c r="F39" s="6" t="s">
        <v>215</v>
      </c>
      <c r="G39" s="6" t="s">
        <v>219</v>
      </c>
      <c r="H39" s="6" t="s">
        <v>220</v>
      </c>
    </row>
    <row r="40" customFormat="false" ht="15" hidden="false" customHeight="true" outlineLevel="0" collapsed="false">
      <c r="A40" s="6" t="n">
        <v>39</v>
      </c>
      <c r="B40" s="6" t="s">
        <v>221</v>
      </c>
      <c r="C40" s="6" t="n">
        <f aca="false">(A40-1)*32</f>
        <v>1216</v>
      </c>
      <c r="D40" s="6" t="n">
        <f aca="false">MIN(1337, A40*32-1)</f>
        <v>1247</v>
      </c>
      <c r="E40" s="6" t="n">
        <f aca="false">ROUND(100*A40^3.2*1.15^A40,0)</f>
        <v>2874898500</v>
      </c>
      <c r="F40" s="6" t="s">
        <v>222</v>
      </c>
      <c r="G40" s="6" t="s">
        <v>223</v>
      </c>
      <c r="H40" s="6" t="s">
        <v>224</v>
      </c>
    </row>
    <row r="41" customFormat="false" ht="15" hidden="false" customHeight="true" outlineLevel="0" collapsed="false">
      <c r="A41" s="6" t="n">
        <v>40</v>
      </c>
      <c r="B41" s="6" t="s">
        <v>225</v>
      </c>
      <c r="C41" s="6" t="n">
        <f aca="false">(A41-1)*32</f>
        <v>1248</v>
      </c>
      <c r="D41" s="6" t="n">
        <f aca="false">MIN(1337, A41*32-1)</f>
        <v>1279</v>
      </c>
      <c r="E41" s="6" t="n">
        <f aca="false">ROUND(100*A41^3.2*1.15^A41,0)</f>
        <v>3585135599</v>
      </c>
      <c r="F41" s="6" t="s">
        <v>226</v>
      </c>
      <c r="G41" s="6" t="s">
        <v>227</v>
      </c>
      <c r="H41" s="6" t="s">
        <v>228</v>
      </c>
    </row>
    <row r="42" customFormat="false" ht="15" hidden="false" customHeight="true" outlineLevel="0" collapsed="false">
      <c r="A42" s="6" t="n">
        <v>41</v>
      </c>
      <c r="B42" s="6" t="s">
        <v>229</v>
      </c>
      <c r="C42" s="6" t="n">
        <f aca="false">(A42-1)*32</f>
        <v>1280</v>
      </c>
      <c r="D42" s="6" t="n">
        <f aca="false">MIN(1337, A42*32-1)</f>
        <v>1311</v>
      </c>
      <c r="E42" s="6" t="n">
        <f aca="false">ROUND(100*A42^3.2*1.15^A42,0)</f>
        <v>4461899623</v>
      </c>
      <c r="F42" s="6" t="s">
        <v>226</v>
      </c>
      <c r="G42" s="6" t="s">
        <v>230</v>
      </c>
      <c r="H42" s="6" t="s">
        <v>231</v>
      </c>
    </row>
    <row r="43" customFormat="false" ht="15" hidden="false" customHeight="true" outlineLevel="0" collapsed="false">
      <c r="A43" s="6" t="n">
        <v>42</v>
      </c>
      <c r="B43" s="6" t="s">
        <v>232</v>
      </c>
      <c r="C43" s="6" t="n">
        <f aca="false">(A43-1)*32</f>
        <v>1312</v>
      </c>
      <c r="D43" s="6" t="n">
        <f aca="false">MIN(1337, A43*32-1)</f>
        <v>1337</v>
      </c>
      <c r="E43" s="6" t="n">
        <f aca="false">ROUND(100*A43^3.2*1.15^A43,0)</f>
        <v>5542516876</v>
      </c>
      <c r="F43" s="6" t="s">
        <v>233</v>
      </c>
      <c r="G43" s="6" t="s">
        <v>234</v>
      </c>
      <c r="H43" s="6" t="s">
        <v>235</v>
      </c>
    </row>
    <row r="45" customFormat="false" ht="15" hidden="false" customHeight="true" outlineLevel="0" collapsed="false">
      <c r="B45" s="7"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24"/>
    <col collapsed="false" customWidth="true" hidden="false" outlineLevel="0" max="4" min="4" style="1" width="18"/>
    <col collapsed="false" customWidth="true" hidden="false" outlineLevel="0" max="5" min="5" style="1" width="22"/>
    <col collapsed="false" customWidth="true" hidden="false" outlineLevel="0" max="6" min="6" style="1" width="18"/>
    <col collapsed="false" customWidth="true" hidden="false" outlineLevel="0" max="7" min="7" style="1" width="22"/>
    <col collapsed="false" customWidth="true" hidden="false" outlineLevel="0" max="9" min="9" style="1" width="20"/>
    <col collapsed="false" customWidth="true" hidden="false" outlineLevel="0" max="10" min="10" style="1" width="18"/>
  </cols>
  <sheetData>
    <row r="1" customFormat="false" ht="23.25" hidden="false" customHeight="true" outlineLevel="0" collapsed="false">
      <c r="A1" s="5" t="s">
        <v>237</v>
      </c>
      <c r="B1" s="5" t="s">
        <v>75</v>
      </c>
      <c r="C1" s="5" t="s">
        <v>76</v>
      </c>
      <c r="D1" s="5" t="s">
        <v>238</v>
      </c>
      <c r="E1" s="5" t="s">
        <v>239</v>
      </c>
      <c r="F1" s="5" t="s">
        <v>240</v>
      </c>
      <c r="G1" s="5" t="s">
        <v>241</v>
      </c>
      <c r="I1" s="8" t="s">
        <v>242</v>
      </c>
    </row>
    <row r="2" customFormat="false" ht="15" hidden="false" customHeight="true" outlineLevel="0" collapsed="false">
      <c r="A2" s="6" t="n">
        <v>0</v>
      </c>
      <c r="B2" s="6" t="n">
        <f aca="false">MIN(42, FLOOR(A2/32,1)+1)</f>
        <v>1</v>
      </c>
      <c r="C2" s="6" t="str">
        <f aca="false">INDEX(Grades_Realms!$B$2:$B$43, B2)</f>
        <v>Mortal Vessel · Initial</v>
      </c>
      <c r="D2" s="6" t="n">
        <f aca="false">(A2+1)^2.4 * 1.004^A2</f>
        <v>1</v>
      </c>
      <c r="E2" s="6" t="n">
        <f aca="false">$I$2*(A2+1)^1.9*1.003^A2</f>
        <v>0.000431977487539977</v>
      </c>
      <c r="F2" s="6" t="n">
        <f aca="false">(A2+1)^1.12</f>
        <v>1</v>
      </c>
      <c r="G2" s="6" t="n">
        <f aca="false">E2</f>
        <v>0.000431977487539977</v>
      </c>
      <c r="I2" s="9" t="n">
        <v>0.000431977487539977</v>
      </c>
    </row>
    <row r="3" customFormat="false" ht="15" hidden="false" customHeight="true" outlineLevel="0" collapsed="false">
      <c r="A3" s="6" t="n">
        <v>1</v>
      </c>
      <c r="B3" s="6" t="n">
        <f aca="false">MIN(42, FLOOR(A3/32,1)+1)</f>
        <v>1</v>
      </c>
      <c r="C3" s="6" t="str">
        <f aca="false">INDEX(Grades_Realms!$B$2:$B$43, B3)</f>
        <v>Mortal Vessel · Initial</v>
      </c>
      <c r="D3" s="6" t="n">
        <f aca="false">(A3+1)^2.4 * 1.004^A3</f>
        <v>5.29914376966394</v>
      </c>
      <c r="E3" s="6" t="n">
        <f aca="false">$I$2*(A3+1)^1.9*1.003^A3</f>
        <v>0.00161703358087363</v>
      </c>
      <c r="F3" s="6" t="n">
        <f aca="false">(A3+1)^1.12</f>
        <v>2.17346972505212</v>
      </c>
      <c r="G3" s="6" t="n">
        <f aca="false">G2+E3</f>
        <v>0.0020490110684136</v>
      </c>
      <c r="I3" s="7" t="s">
        <v>243</v>
      </c>
    </row>
    <row r="4" customFormat="false" ht="15" hidden="false" customHeight="true" outlineLevel="0" collapsed="false">
      <c r="A4" s="6" t="n">
        <v>2</v>
      </c>
      <c r="B4" s="6" t="n">
        <f aca="false">MIN(42, FLOOR(A4/32,1)+1)</f>
        <v>1</v>
      </c>
      <c r="C4" s="6" t="str">
        <f aca="false">INDEX(Grades_Realms!$B$2:$B$43, B4)</f>
        <v>Mortal Vessel · Initial</v>
      </c>
      <c r="D4" s="6" t="n">
        <f aca="false">(A4+1)^2.4 * 1.004^A4</f>
        <v>14.0785665123228</v>
      </c>
      <c r="E4" s="6" t="n">
        <f aca="false">$I$2*(A4+1)^1.9*1.003^A4</f>
        <v>0.00350423613930323</v>
      </c>
      <c r="F4" s="6" t="n">
        <f aca="false">(A4+1)^1.12</f>
        <v>3.42275493484426</v>
      </c>
      <c r="G4" s="6" t="n">
        <f aca="false">G3+E4</f>
        <v>0.00555324720771684</v>
      </c>
    </row>
    <row r="5" customFormat="false" ht="15" hidden="false" customHeight="true" outlineLevel="0" collapsed="false">
      <c r="A5" s="6" t="n">
        <v>3</v>
      </c>
      <c r="B5" s="6" t="n">
        <f aca="false">MIN(42, FLOOR(A5/32,1)+1)</f>
        <v>1</v>
      </c>
      <c r="C5" s="6" t="str">
        <f aca="false">INDEX(Grades_Realms!$B$2:$B$43, B5)</f>
        <v>Mortal Vessel · Initial</v>
      </c>
      <c r="D5" s="6" t="n">
        <f aca="false">(A5+1)^2.4 * 1.004^A5</f>
        <v>28.1932483903345</v>
      </c>
      <c r="E5" s="6" t="n">
        <f aca="false">$I$2*(A5+1)^1.9*1.003^A5</f>
        <v>0.00607124692866151</v>
      </c>
      <c r="F5" s="6" t="n">
        <f aca="false">(A5+1)^1.12</f>
        <v>4.72397064571812</v>
      </c>
      <c r="G5" s="6" t="n">
        <f aca="false">G4+E5</f>
        <v>0.0116244941363783</v>
      </c>
      <c r="I5" s="3" t="s">
        <v>244</v>
      </c>
      <c r="J5" s="3" t="s">
        <v>245</v>
      </c>
    </row>
    <row r="6" customFormat="false" ht="15" hidden="false" customHeight="true" outlineLevel="0" collapsed="false">
      <c r="A6" s="6" t="n">
        <v>4</v>
      </c>
      <c r="B6" s="6" t="n">
        <f aca="false">MIN(42, FLOOR(A6/32,1)+1)</f>
        <v>1</v>
      </c>
      <c r="C6" s="6" t="str">
        <f aca="false">INDEX(Grades_Realms!$B$2:$B$43, B6)</f>
        <v>Mortal Vessel · Initial</v>
      </c>
      <c r="D6" s="6" t="n">
        <f aca="false">(A6+1)^2.4 * 1.004^A6</f>
        <v>48.3573910084048</v>
      </c>
      <c r="E6" s="6" t="n">
        <f aca="false">$I$2*(A6+1)^1.9*1.003^A6</f>
        <v>0.00930481739282197</v>
      </c>
      <c r="F6" s="6" t="n">
        <f aca="false">(A6+1)^1.12</f>
        <v>6.06521785586315</v>
      </c>
      <c r="G6" s="6" t="n">
        <f aca="false">G5+E6</f>
        <v>0.0209293115292003</v>
      </c>
      <c r="I6" s="6" t="n">
        <f aca="false">SUM(E2:E1339)</f>
        <v>4383000</v>
      </c>
      <c r="J6" s="6" t="n">
        <f aca="false">SUM(E2:E1339)/8766</f>
        <v>500</v>
      </c>
    </row>
    <row r="7" customFormat="false" ht="15" hidden="false" customHeight="true" outlineLevel="0" collapsed="false">
      <c r="A7" s="6" t="n">
        <v>5</v>
      </c>
      <c r="B7" s="6" t="n">
        <f aca="false">MIN(42, FLOOR(A7/32,1)+1)</f>
        <v>1</v>
      </c>
      <c r="C7" s="6" t="str">
        <f aca="false">INDEX(Grades_Realms!$B$2:$B$43, B7)</f>
        <v>Mortal Vessel · Initial</v>
      </c>
      <c r="D7" s="6" t="n">
        <f aca="false">(A7+1)^2.4 * 1.004^A7</f>
        <v>75.2023764732996</v>
      </c>
      <c r="E7" s="6" t="n">
        <f aca="false">$I$2*(A7+1)^1.9*1.003^A7</f>
        <v>0.0131963296242833</v>
      </c>
      <c r="F7" s="6" t="n">
        <f aca="false">(A7+1)^1.12</f>
        <v>7.43925422715673</v>
      </c>
      <c r="G7" s="6" t="n">
        <f aca="false">G6+E7</f>
        <v>0.0341256411534836</v>
      </c>
    </row>
    <row r="8" customFormat="false" ht="15" hidden="false" customHeight="true" outlineLevel="0" collapsed="false">
      <c r="A8" s="6" t="n">
        <v>6</v>
      </c>
      <c r="B8" s="6" t="n">
        <f aca="false">MIN(42, FLOOR(A8/32,1)+1)</f>
        <v>1</v>
      </c>
      <c r="C8" s="6" t="str">
        <f aca="false">INDEX(Grades_Realms!$B$2:$B$43, B8)</f>
        <v>Mortal Vessel · Initial</v>
      </c>
      <c r="D8" s="6" t="n">
        <f aca="false">(A8+1)^2.4 * 1.004^A8</f>
        <v>109.304381943142</v>
      </c>
      <c r="E8" s="6" t="n">
        <f aca="false">$I$2*(A8+1)^1.9*1.003^A8</f>
        <v>0.0177399743822266</v>
      </c>
      <c r="F8" s="6" t="n">
        <f aca="false">(A8+1)^1.12</f>
        <v>8.84117129177549</v>
      </c>
      <c r="G8" s="6" t="n">
        <f aca="false">G7+E8</f>
        <v>0.0518656155357103</v>
      </c>
    </row>
    <row r="9" customFormat="false" ht="15" hidden="false" customHeight="true" outlineLevel="0" collapsed="false">
      <c r="A9" s="6" t="n">
        <v>7</v>
      </c>
      <c r="B9" s="6" t="n">
        <f aca="false">MIN(42, FLOOR(A9/32,1)+1)</f>
        <v>1</v>
      </c>
      <c r="C9" s="6" t="str">
        <f aca="false">INDEX(Grades_Realms!$B$2:$B$43, B9)</f>
        <v>Mortal Vessel · Initial</v>
      </c>
      <c r="D9" s="6" t="n">
        <f aca="false">(A9+1)^2.4 * 1.004^A9</f>
        <v>151.200058238159</v>
      </c>
      <c r="E9" s="6" t="n">
        <f aca="false">$I$2*(A9+1)^1.9*1.003^A9</f>
        <v>0.0229318250921629</v>
      </c>
      <c r="F9" s="6" t="n">
        <f aca="false">(A9+1)^1.12</f>
        <v>10.2674071805032</v>
      </c>
      <c r="G9" s="6" t="n">
        <f aca="false">G8+E9</f>
        <v>0.0747974406278732</v>
      </c>
    </row>
    <row r="10" customFormat="false" ht="15" hidden="false" customHeight="true" outlineLevel="0" collapsed="false">
      <c r="A10" s="6" t="n">
        <v>8</v>
      </c>
      <c r="B10" s="6" t="n">
        <f aca="false">MIN(42, FLOOR(A10/32,1)+1)</f>
        <v>1</v>
      </c>
      <c r="C10" s="6" t="str">
        <f aca="false">INDEX(Grades_Realms!$B$2:$B$43, B10)</f>
        <v>Mortal Vessel · Initial</v>
      </c>
      <c r="D10" s="6" t="n">
        <f aca="false">(A10+1)^2.4 * 1.004^A10</f>
        <v>201.396410173417</v>
      </c>
      <c r="E10" s="6" t="n">
        <f aca="false">$I$2*(A10+1)^1.9*1.003^A10</f>
        <v>0.0287693033987506</v>
      </c>
      <c r="F10" s="6" t="n">
        <f aca="false">(A10+1)^1.12</f>
        <v>11.7152513440007</v>
      </c>
      <c r="G10" s="6" t="n">
        <f aca="false">G9+E10</f>
        <v>0.103566744026624</v>
      </c>
    </row>
    <row r="11" customFormat="false" ht="15" hidden="false" customHeight="true" outlineLevel="0" collapsed="false">
      <c r="A11" s="6" t="n">
        <v>9</v>
      </c>
      <c r="B11" s="6" t="n">
        <f aca="false">MIN(42, FLOOR(A11/32,1)+1)</f>
        <v>1</v>
      </c>
      <c r="C11" s="6" t="str">
        <f aca="false">INDEX(Grades_Realms!$B$2:$B$43, B11)</f>
        <v>Mortal Vessel · Initial</v>
      </c>
      <c r="D11" s="6" t="n">
        <f aca="false">(A11+1)^2.4 * 1.004^A11</f>
        <v>260.37747748783</v>
      </c>
      <c r="E11" s="6" t="n">
        <f aca="false">$I$2*(A11+1)^1.9*1.003^A11</f>
        <v>0.0352508433302666</v>
      </c>
      <c r="F11" s="6" t="n">
        <f aca="false">(A11+1)^1.12</f>
        <v>13.1825673855641</v>
      </c>
      <c r="G11" s="6" t="n">
        <f aca="false">G10+E11</f>
        <v>0.13881758735689</v>
      </c>
    </row>
    <row r="12" customFormat="false" ht="15" hidden="false" customHeight="true" outlineLevel="0" collapsed="false">
      <c r="A12" s="6" t="n">
        <v>10</v>
      </c>
      <c r="B12" s="6" t="n">
        <f aca="false">MIN(42, FLOOR(A12/32,1)+1)</f>
        <v>1</v>
      </c>
      <c r="C12" s="6" t="str">
        <f aca="false">INDEX(Grades_Realms!$B$2:$B$43, B12)</f>
        <v>Mortal Vessel · Initial</v>
      </c>
      <c r="D12" s="6" t="n">
        <f aca="false">(A12+1)^2.4 * 1.004^A12</f>
        <v>328.609089795926</v>
      </c>
      <c r="E12" s="6" t="n">
        <f aca="false">$I$2*(A12+1)^1.9*1.003^A12</f>
        <v>0.0423756669090313</v>
      </c>
      <c r="F12" s="6" t="n">
        <f aca="false">(A12+1)^1.12</f>
        <v>14.6676253154941</v>
      </c>
      <c r="G12" s="6" t="n">
        <f aca="false">G11+E12</f>
        <v>0.181193254265922</v>
      </c>
    </row>
    <row r="13" customFormat="false" ht="15" hidden="false" customHeight="true" outlineLevel="0" collapsed="false">
      <c r="A13" s="6" t="n">
        <v>11</v>
      </c>
      <c r="B13" s="6" t="n">
        <f aca="false">MIN(42, FLOOR(A13/32,1)+1)</f>
        <v>1</v>
      </c>
      <c r="C13" s="6" t="str">
        <f aca="false">INDEX(Grades_Realms!$B$2:$B$43, B13)</f>
        <v>Mortal Vessel · Initial</v>
      </c>
      <c r="D13" s="6" t="n">
        <f aca="false">(A13+1)^2.4 * 1.004^A13</f>
        <v>406.542385715966</v>
      </c>
      <c r="E13" s="6" t="n">
        <f aca="false">$I$2*(A13+1)^1.9*1.003^A13</f>
        <v>0.0501436270769226</v>
      </c>
      <c r="F13" s="6" t="n">
        <f aca="false">(A13+1)^1.12</f>
        <v>16.1689938396911</v>
      </c>
      <c r="G13" s="6" t="n">
        <f aca="false">G12+E13</f>
        <v>0.231336881342844</v>
      </c>
    </row>
    <row r="14" customFormat="false" ht="15" hidden="false" customHeight="true" outlineLevel="0" collapsed="false">
      <c r="A14" s="6" t="n">
        <v>12</v>
      </c>
      <c r="B14" s="6" t="n">
        <f aca="false">MIN(42, FLOOR(A14/32,1)+1)</f>
        <v>1</v>
      </c>
      <c r="C14" s="6" t="str">
        <f aca="false">INDEX(Grades_Realms!$B$2:$B$43, B14)</f>
        <v>Mortal Vessel · Initial</v>
      </c>
      <c r="D14" s="6" t="n">
        <f aca="false">(A14+1)^2.4 * 1.004^A14</f>
        <v>494.616499169103</v>
      </c>
      <c r="E14" s="6" t="n">
        <f aca="false">$I$2*(A14+1)^1.9*1.003^A14</f>
        <v>0.0585550936393868</v>
      </c>
      <c r="F14" s="6" t="n">
        <f aca="false">(A14+1)^1.12</f>
        <v>17.6854679106052</v>
      </c>
      <c r="G14" s="6" t="n">
        <f aca="false">G13+E14</f>
        <v>0.289891974982231</v>
      </c>
    </row>
    <row r="15" customFormat="false" ht="15" hidden="false" customHeight="true" outlineLevel="0" collapsed="false">
      <c r="A15" s="6" t="n">
        <v>13</v>
      </c>
      <c r="B15" s="6" t="n">
        <f aca="false">MIN(42, FLOOR(A15/32,1)+1)</f>
        <v>1</v>
      </c>
      <c r="C15" s="6" t="str">
        <f aca="false">INDEX(Grades_Realms!$B$2:$B$43, B15)</f>
        <v>Mortal Vessel · Initial</v>
      </c>
      <c r="D15" s="6" t="n">
        <f aca="false">(A15+1)^2.4 * 1.004^A15</f>
        <v>593.260662141865</v>
      </c>
      <c r="E15" s="6" t="n">
        <f aca="false">$I$2*(A15+1)^1.9*1.003^A15</f>
        <v>0.0676108679578634</v>
      </c>
      <c r="F15" s="6" t="n">
        <f aca="false">(A15+1)^1.12</f>
        <v>19.2160181366739</v>
      </c>
      <c r="G15" s="6" t="n">
        <f aca="false">G14+E15</f>
        <v>0.357502842940095</v>
      </c>
    </row>
    <row r="16" customFormat="false" ht="15" hidden="false" customHeight="true" outlineLevel="0" collapsed="false">
      <c r="A16" s="6" t="n">
        <v>14</v>
      </c>
      <c r="B16" s="6" t="n">
        <f aca="false">MIN(42, FLOOR(A16/32,1)+1)</f>
        <v>1</v>
      </c>
      <c r="C16" s="6" t="str">
        <f aca="false">INDEX(Grades_Realms!$B$2:$B$43, B16)</f>
        <v>Mortal Vessel · Initial</v>
      </c>
      <c r="D16" s="6" t="n">
        <f aca="false">(A16+1)^2.4 * 1.004^A16</f>
        <v>702.895885402008</v>
      </c>
      <c r="E16" s="6" t="n">
        <f aca="false">$I$2*(A16+1)^1.9*1.003^A16</f>
        <v>0.0773121175659111</v>
      </c>
      <c r="F16" s="6" t="n">
        <f aca="false">(A16+1)^1.12</f>
        <v>20.7597543470611</v>
      </c>
      <c r="G16" s="6" t="n">
        <f aca="false">G15+E16</f>
        <v>0.434814960506006</v>
      </c>
    </row>
    <row r="17" customFormat="false" ht="15" hidden="false" customHeight="true" outlineLevel="0" collapsed="false">
      <c r="A17" s="6" t="n">
        <v>15</v>
      </c>
      <c r="B17" s="6" t="n">
        <f aca="false">MIN(42, FLOOR(A17/32,1)+1)</f>
        <v>1</v>
      </c>
      <c r="C17" s="6" t="str">
        <f aca="false">INDEX(Grades_Realms!$B$2:$B$43, B17)</f>
        <v>Mortal Vessel · Initial</v>
      </c>
      <c r="D17" s="6" t="n">
        <f aca="false">(A17+1)^2.4 * 1.004^A17</f>
        <v>823.936325807792</v>
      </c>
      <c r="E17" s="6" t="n">
        <f aca="false">$I$2*(A17+1)^1.9*1.003^A17</f>
        <v>0.0876603250167083</v>
      </c>
      <c r="F17" s="6" t="n">
        <f aca="false">(A17+1)^1.12</f>
        <v>22.3158986616065</v>
      </c>
      <c r="G17" s="6" t="n">
        <f aca="false">G16+E17</f>
        <v>0.522475285522714</v>
      </c>
    </row>
    <row r="18" customFormat="false" ht="15" hidden="false" customHeight="true" outlineLevel="0" collapsed="false">
      <c r="A18" s="6" t="n">
        <v>16</v>
      </c>
      <c r="B18" s="6" t="n">
        <f aca="false">MIN(42, FLOOR(A18/32,1)+1)</f>
        <v>1</v>
      </c>
      <c r="C18" s="6" t="str">
        <f aca="false">INDEX(Grades_Realms!$B$2:$B$43, B18)</f>
        <v>Mortal Vessel · Initial</v>
      </c>
      <c r="D18" s="6" t="n">
        <f aca="false">(A18+1)^2.4 * 1.004^A18</f>
        <v>956.790415639985</v>
      </c>
      <c r="E18" s="6" t="n">
        <f aca="false">$I$2*(A18+1)^1.9*1.003^A18</f>
        <v>0.0986572471586258</v>
      </c>
      <c r="F18" s="6" t="n">
        <f aca="false">(A18+1)^1.12</f>
        <v>23.8837651416196</v>
      </c>
      <c r="G18" s="6" t="n">
        <f aca="false">G17+E18</f>
        <v>0.62113253268134</v>
      </c>
    </row>
    <row r="19" customFormat="false" ht="15" hidden="false" customHeight="true" outlineLevel="0" collapsed="false">
      <c r="A19" s="6" t="n">
        <v>17</v>
      </c>
      <c r="B19" s="6" t="n">
        <f aca="false">MIN(42, FLOOR(A19/32,1)+1)</f>
        <v>1</v>
      </c>
      <c r="C19" s="6" t="str">
        <f aca="false">INDEX(Grades_Realms!$B$2:$B$43, B19)</f>
        <v>Mortal Vessel · Initial</v>
      </c>
      <c r="D19" s="6" t="n">
        <f aca="false">(A19+1)^2.4 * 1.004^A19</f>
        <v>1101.86180774919</v>
      </c>
      <c r="E19" s="6" t="n">
        <f aca="false">$I$2*(A19+1)^1.9*1.003^A19</f>
        <v>0.110304882220759</v>
      </c>
      <c r="F19" s="6" t="n">
        <f aca="false">(A19+1)^1.12</f>
        <v>25.4627441175617</v>
      </c>
      <c r="G19" s="6" t="n">
        <f aca="false">G18+E19</f>
        <v>0.731437414902099</v>
      </c>
    </row>
    <row r="20" customFormat="false" ht="15" hidden="false" customHeight="true" outlineLevel="0" collapsed="false">
      <c r="A20" s="6" t="n">
        <v>18</v>
      </c>
      <c r="B20" s="6" t="n">
        <f aca="false">MIN(42, FLOOR(A20/32,1)+1)</f>
        <v>1</v>
      </c>
      <c r="C20" s="6" t="str">
        <f aca="false">INDEX(Grades_Realms!$B$2:$B$43, B20)</f>
        <v>Mortal Vessel · Initial</v>
      </c>
      <c r="D20" s="6" t="n">
        <f aca="false">(A20+1)^2.4 * 1.004^A20</f>
        <v>1259.55017577456</v>
      </c>
      <c r="E20" s="6" t="n">
        <f aca="false">$I$2*(A20+1)^1.9*1.003^A20</f>
        <v>0.122605442859372</v>
      </c>
      <c r="F20" s="6" t="n">
        <f aca="false">(A20+1)^1.12</f>
        <v>27.0522899165855</v>
      </c>
      <c r="G20" s="6" t="n">
        <f aca="false">G19+E20</f>
        <v>0.854042857761471</v>
      </c>
    </row>
    <row r="21" customFormat="false" ht="15" hidden="false" customHeight="true" outlineLevel="0" collapsed="false">
      <c r="A21" s="6" t="n">
        <v>19</v>
      </c>
      <c r="B21" s="6" t="n">
        <f aca="false">MIN(42, FLOOR(A21/32,1)+1)</f>
        <v>1</v>
      </c>
      <c r="C21" s="6" t="str">
        <f aca="false">INDEX(Grades_Realms!$B$2:$B$43, B21)</f>
        <v>Mortal Vessel · Initial</v>
      </c>
      <c r="D21" s="6" t="n">
        <f aca="false">(A21+1)^2.4 * 1.004^A21</f>
        <v>1430.25189866121</v>
      </c>
      <c r="E21" s="6" t="n">
        <f aca="false">$I$2*(A21+1)^1.9*1.003^A21</f>
        <v>0.135561333829934</v>
      </c>
      <c r="F21" s="6" t="n">
        <f aca="false">(A21+1)^1.12</f>
        <v>28.6519111109829</v>
      </c>
      <c r="G21" s="6" t="n">
        <f aca="false">G20+E21</f>
        <v>0.989604191591404</v>
      </c>
    </row>
    <row r="22" customFormat="false" ht="15" hidden="false" customHeight="true" outlineLevel="0" collapsed="false">
      <c r="A22" s="6" t="n">
        <v>20</v>
      </c>
      <c r="B22" s="6" t="n">
        <f aca="false">MIN(42, FLOOR(A22/32,1)+1)</f>
        <v>1</v>
      </c>
      <c r="C22" s="6" t="str">
        <f aca="false">INDEX(Grades_Realms!$B$2:$B$43, B22)</f>
        <v>Mortal Vessel · Initial</v>
      </c>
      <c r="D22" s="6" t="n">
        <f aca="false">(A22+1)^2.4 * 1.004^A22</f>
        <v>1614.36065162284</v>
      </c>
      <c r="E22" s="6" t="n">
        <f aca="false">$I$2*(A22+1)^1.9*1.003^A22</f>
        <v>0.149175133301412</v>
      </c>
      <c r="F22" s="6" t="n">
        <f aca="false">(A22+1)^1.12</f>
        <v>30.261162668728</v>
      </c>
      <c r="G22" s="6" t="n">
        <f aca="false">G21+E22</f>
        <v>1.13877932489282</v>
      </c>
    </row>
    <row r="23" customFormat="false" ht="15" hidden="false" customHeight="true" outlineLevel="0" collapsed="false">
      <c r="A23" s="6" t="n">
        <v>21</v>
      </c>
      <c r="B23" s="6" t="n">
        <f aca="false">MIN(42, FLOOR(A23/32,1)+1)</f>
        <v>1</v>
      </c>
      <c r="C23" s="6" t="str">
        <f aca="false">INDEX(Grades_Realms!$B$2:$B$43, B23)</f>
        <v>Mortal Vessel · Initial</v>
      </c>
      <c r="D23" s="6" t="n">
        <f aca="false">(A23+1)^2.4 * 1.004^A23</f>
        <v>1812.26792059387</v>
      </c>
      <c r="E23" s="6" t="n">
        <f aca="false">$I$2*(A23+1)^1.9*1.003^A23</f>
        <v>0.163449577076035</v>
      </c>
      <c r="F23" s="6" t="n">
        <f aca="false">(A23+1)^1.12</f>
        <v>31.8796395616345</v>
      </c>
      <c r="G23" s="6" t="n">
        <f aca="false">G22+E23</f>
        <v>1.30222890196885</v>
      </c>
    </row>
    <row r="24" customFormat="false" ht="15" hidden="false" customHeight="true" outlineLevel="0" collapsed="false">
      <c r="A24" s="6" t="n">
        <v>22</v>
      </c>
      <c r="B24" s="6" t="n">
        <f aca="false">MIN(42, FLOOR(A24/32,1)+1)</f>
        <v>1</v>
      </c>
      <c r="C24" s="6" t="str">
        <f aca="false">INDEX(Grades_Realms!$B$2:$B$43, B24)</f>
        <v>Mortal Vessel · Initial</v>
      </c>
      <c r="D24" s="6" t="n">
        <f aca="false">(A24+1)^2.4 * 1.004^A24</f>
        <v>2024.36345347202</v>
      </c>
      <c r="E24" s="6" t="n">
        <f aca="false">$I$2*(A24+1)^1.9*1.003^A24</f>
        <v>0.178387545153904</v>
      </c>
      <c r="F24" s="6" t="n">
        <f aca="false">(A24+1)^1.12</f>
        <v>33.5069715061233</v>
      </c>
      <c r="G24" s="6" t="n">
        <f aca="false">G23+E24</f>
        <v>1.48061644712276</v>
      </c>
    </row>
    <row r="25" customFormat="false" ht="15" hidden="false" customHeight="true" outlineLevel="0" collapsed="false">
      <c r="A25" s="6" t="n">
        <v>23</v>
      </c>
      <c r="B25" s="6" t="n">
        <f aca="false">MIN(42, FLOOR(A25/32,1)+1)</f>
        <v>1</v>
      </c>
      <c r="C25" s="6" t="str">
        <f aca="false">INDEX(Grades_Realms!$B$2:$B$43, B25)</f>
        <v>Mortal Vessel · Initial</v>
      </c>
      <c r="D25" s="6" t="n">
        <f aca="false">(A25+1)^2.4 * 1.004^A25</f>
        <v>2251.03565866089</v>
      </c>
      <c r="E25" s="6" t="n">
        <f aca="false">$I$2*(A25+1)^1.9*1.003^A25</f>
        <v>0.193992050209969</v>
      </c>
      <c r="F25" s="6" t="n">
        <f aca="false">(A25+1)^1.12</f>
        <v>35.1428185951228</v>
      </c>
      <c r="G25" s="6" t="n">
        <f aca="false">G24+E25</f>
        <v>1.67460849733272</v>
      </c>
    </row>
    <row r="26" customFormat="false" ht="15" hidden="false" customHeight="true" outlineLevel="0" collapsed="false">
      <c r="A26" s="6" t="n">
        <v>24</v>
      </c>
      <c r="B26" s="6" t="n">
        <f aca="false">MIN(42, FLOOR(A26/32,1)+1)</f>
        <v>1</v>
      </c>
      <c r="C26" s="6" t="str">
        <f aca="false">INDEX(Grades_Realms!$B$2:$B$43, B26)</f>
        <v>Mortal Vessel · Initial</v>
      </c>
      <c r="D26" s="6" t="n">
        <f aca="false">(A26+1)^2.4 * 1.004^A26</f>
        <v>2492.67195931062</v>
      </c>
      <c r="E26" s="6" t="n">
        <f aca="false">$I$2*(A26+1)^1.9*1.003^A26</f>
        <v>0.21026622764548</v>
      </c>
      <c r="F26" s="6" t="n">
        <f aca="false">(A26+1)^1.12</f>
        <v>36.7868676390812</v>
      </c>
      <c r="G26" s="6" t="n">
        <f aca="false">G25+E26</f>
        <v>1.8848747249782</v>
      </c>
    </row>
    <row r="27" customFormat="false" ht="15" hidden="false" customHeight="true" outlineLevel="0" collapsed="false">
      <c r="A27" s="6" t="n">
        <v>25</v>
      </c>
      <c r="B27" s="6" t="n">
        <f aca="false">MIN(42, FLOOR(A27/32,1)+1)</f>
        <v>1</v>
      </c>
      <c r="C27" s="6" t="str">
        <f aca="false">INDEX(Grades_Realms!$B$2:$B$43, B27)</f>
        <v>Mortal Vessel · Initial</v>
      </c>
      <c r="D27" s="6" t="n">
        <f aca="false">(A27+1)^2.4 * 1.004^A27</f>
        <v>2749.65911003589</v>
      </c>
      <c r="E27" s="6" t="n">
        <f aca="false">$I$2*(A27+1)^1.9*1.003^A27</f>
        <v>0.227213326947003</v>
      </c>
      <c r="F27" s="6" t="n">
        <f aca="false">(A27+1)^1.12</f>
        <v>38.438829077081</v>
      </c>
      <c r="G27" s="6" t="n">
        <f aca="false">G26+E27</f>
        <v>2.11208805192521</v>
      </c>
    </row>
    <row r="28" customFormat="false" ht="15" hidden="false" customHeight="true" outlineLevel="0" collapsed="false">
      <c r="A28" s="6" t="n">
        <v>26</v>
      </c>
      <c r="B28" s="6" t="n">
        <f aca="false">MIN(42, FLOOR(A28/32,1)+1)</f>
        <v>1</v>
      </c>
      <c r="C28" s="6" t="str">
        <f aca="false">INDEX(Grades_Realms!$B$2:$B$43, B28)</f>
        <v>Mortal Vessel · Initial</v>
      </c>
      <c r="D28" s="6" t="n">
        <f aca="false">(A28+1)^2.4 * 1.004^A28</f>
        <v>3022.38348163513</v>
      </c>
      <c r="E28" s="6" t="n">
        <f aca="false">$I$2*(A28+1)^1.9*1.003^A28</f>
        <v>0.244836704139917</v>
      </c>
      <c r="F28" s="6" t="n">
        <f aca="false">(A28+1)^1.12</f>
        <v>40.0984343506194</v>
      </c>
      <c r="G28" s="6" t="n">
        <f aca="false">G27+E28</f>
        <v>2.35692475606512</v>
      </c>
    </row>
    <row r="29" customFormat="false" ht="15" hidden="false" customHeight="true" outlineLevel="0" collapsed="false">
      <c r="A29" s="6" t="n">
        <v>27</v>
      </c>
      <c r="B29" s="6" t="n">
        <f aca="false">MIN(42, FLOOR(A29/32,1)+1)</f>
        <v>1</v>
      </c>
      <c r="C29" s="6" t="str">
        <f aca="false">INDEX(Grades_Realms!$B$2:$B$43, B29)</f>
        <v>Mortal Vessel · Initial</v>
      </c>
      <c r="D29" s="6" t="n">
        <f aca="false">(A29+1)^2.4 * 1.004^A29</f>
        <v>3311.23131835014</v>
      </c>
      <c r="E29" s="6" t="n">
        <f aca="false">$I$2*(A29+1)^1.9*1.003^A29</f>
        <v>0.263139815164703</v>
      </c>
      <c r="F29" s="6" t="n">
        <f aca="false">(A29+1)^1.12</f>
        <v>41.7654336561132</v>
      </c>
      <c r="G29" s="6" t="n">
        <f aca="false">G28+E29</f>
        <v>2.62006457122983</v>
      </c>
    </row>
    <row r="30" customFormat="false" ht="15" hidden="false" customHeight="true" outlineLevel="0" collapsed="false">
      <c r="A30" s="6" t="n">
        <v>28</v>
      </c>
      <c r="B30" s="6" t="n">
        <f aca="false">MIN(42, FLOOR(A30/32,1)+1)</f>
        <v>1</v>
      </c>
      <c r="C30" s="6" t="str">
        <f aca="false">INDEX(Grades_Realms!$B$2:$B$43, B30)</f>
        <v>Mortal Vessel · Initial</v>
      </c>
      <c r="D30" s="6" t="n">
        <f aca="false">(A30+1)^2.4 * 1.004^A30</f>
        <v>3616.58897142552</v>
      </c>
      <c r="E30" s="6" t="n">
        <f aca="false">$I$2*(A30+1)^1.9*1.003^A30</f>
        <v>0.282126210036455</v>
      </c>
      <c r="F30" s="6" t="n">
        <f aca="false">(A30+1)^1.12</f>
        <v>43.4395940098836</v>
      </c>
      <c r="G30" s="6" t="n">
        <f aca="false">G29+E30</f>
        <v>2.90219078126628</v>
      </c>
    </row>
    <row r="31" customFormat="false" ht="15" hidden="false" customHeight="true" outlineLevel="0" collapsed="false">
      <c r="A31" s="6" t="n">
        <v>29</v>
      </c>
      <c r="B31" s="6" t="n">
        <f aca="false">MIN(42, FLOOR(A31/32,1)+1)</f>
        <v>1</v>
      </c>
      <c r="C31" s="6" t="str">
        <f aca="false">INDEX(Grades_Realms!$B$2:$B$43, B31)</f>
        <v>Mortal Vessel · Initial</v>
      </c>
      <c r="D31" s="6" t="n">
        <f aca="false">(A31+1)^2.4 * 1.004^A31</f>
        <v>3938.84311210394</v>
      </c>
      <c r="E31" s="6" t="n">
        <f aca="false">$I$2*(A31+1)^1.9*1.003^A31</f>
        <v>0.301799527673292</v>
      </c>
      <c r="F31" s="6" t="n">
        <f aca="false">(A31+1)^1.12</f>
        <v>45.1206975728564</v>
      </c>
      <c r="G31" s="6" t="n">
        <f aca="false">G30+E31</f>
        <v>3.20399030893957</v>
      </c>
    </row>
    <row r="32" customFormat="false" ht="15" hidden="false" customHeight="true" outlineLevel="0" collapsed="false">
      <c r="A32" s="6" t="n">
        <v>30</v>
      </c>
      <c r="B32" s="6" t="n">
        <f aca="false">MIN(42, FLOOR(A32/32,1)+1)</f>
        <v>1</v>
      </c>
      <c r="C32" s="6" t="str">
        <f aca="false">INDEX(Grades_Realms!$B$2:$B$43, B32)</f>
        <v>Mortal Vessel · Initial</v>
      </c>
      <c r="D32" s="6" t="n">
        <f aca="false">(A32+1)^2.4 * 1.004^A32</f>
        <v>4278.38092669081</v>
      </c>
      <c r="E32" s="6" t="n">
        <f aca="false">$I$2*(A32+1)^1.9*1.003^A32</f>
        <v>0.322163491299259</v>
      </c>
      <c r="F32" s="6" t="n">
        <f aca="false">(A32+1)^1.12</f>
        <v>46.808540192593</v>
      </c>
      <c r="G32" s="6" t="n">
        <f aca="false">G31+E32</f>
        <v>3.52615380023883</v>
      </c>
    </row>
    <row r="33" customFormat="false" ht="15" hidden="false" customHeight="true" outlineLevel="0" collapsed="false">
      <c r="A33" s="6" t="n">
        <v>31</v>
      </c>
      <c r="B33" s="6" t="n">
        <f aca="false">MIN(42, FLOOR(A33/32,1)+1)</f>
        <v>1</v>
      </c>
      <c r="C33" s="6" t="str">
        <f aca="false">INDEX(Grades_Realms!$B$2:$B$43, B33)</f>
        <v>Mortal Vessel · Initial</v>
      </c>
      <c r="D33" s="6" t="n">
        <f aca="false">(A33+1)^2.4 * 1.004^A33</f>
        <v>4635.59029591358</v>
      </c>
      <c r="E33" s="6" t="n">
        <f aca="false">$I$2*(A33+1)^1.9*1.003^A33</f>
        <v>0.343221904343324</v>
      </c>
      <c r="F33" s="6" t="n">
        <f aca="false">(A33+1)^1.12</f>
        <v>48.5029301283328</v>
      </c>
      <c r="G33" s="6" t="n">
        <f aca="false">G32+E33</f>
        <v>3.86937570458216</v>
      </c>
    </row>
    <row r="34" customFormat="false" ht="15" hidden="false" customHeight="true" outlineLevel="0" collapsed="false">
      <c r="A34" s="6" t="n">
        <v>32</v>
      </c>
      <c r="B34" s="6" t="n">
        <f aca="false">MIN(42, FLOOR(A34/32,1)+1)</f>
        <v>2</v>
      </c>
      <c r="C34" s="6" t="str">
        <f aca="false">INDEX(Grades_Realms!$B$2:$B$43, B34)</f>
        <v>Mortal Vessel · Advanced</v>
      </c>
      <c r="D34" s="6" t="n">
        <f aca="false">(A34+1)^2.4 * 1.004^A34</f>
        <v>5010.859960467</v>
      </c>
      <c r="E34" s="6" t="n">
        <f aca="false">$I$2*(A34+1)^1.9*1.003^A34</f>
        <v>0.364978646768826</v>
      </c>
      <c r="F34" s="6" t="n">
        <f aca="false">(A34+1)^1.12</f>
        <v>50.2036869310541</v>
      </c>
      <c r="G34" s="6" t="n">
        <f aca="false">G33+E34</f>
        <v>4.23435435135098</v>
      </c>
    </row>
    <row r="35" customFormat="false" ht="15" hidden="false" customHeight="true" outlineLevel="0" collapsed="false">
      <c r="A35" s="6" t="n">
        <v>33</v>
      </c>
      <c r="B35" s="6" t="n">
        <f aca="false">MIN(42, FLOOR(A35/32,1)+1)</f>
        <v>2</v>
      </c>
      <c r="C35" s="6" t="str">
        <f aca="false">INDEX(Grades_Realms!$B$2:$B$43, B35)</f>
        <v>Mortal Vessel · Advanced</v>
      </c>
      <c r="D35" s="6" t="n">
        <f aca="false">(A35+1)^2.4 * 1.004^A35</f>
        <v>5404.57967436004</v>
      </c>
      <c r="E35" s="6" t="n">
        <f aca="false">$I$2*(A35+1)^1.9*1.003^A35</f>
        <v>0.387437671778211</v>
      </c>
      <c r="F35" s="6" t="n">
        <f aca="false">(A35+1)^1.12</f>
        <v>51.9106404555652</v>
      </c>
      <c r="G35" s="6" t="n">
        <f aca="false">G34+E35</f>
        <v>4.6217920231292</v>
      </c>
    </row>
    <row r="36" customFormat="false" ht="15" hidden="false" customHeight="true" outlineLevel="0" collapsed="false">
      <c r="A36" s="6" t="n">
        <v>34</v>
      </c>
      <c r="B36" s="6" t="n">
        <f aca="false">MIN(42, FLOOR(A36/32,1)+1)</f>
        <v>2</v>
      </c>
      <c r="C36" s="6" t="str">
        <f aca="false">INDEX(Grades_Realms!$B$2:$B$43, B36)</f>
        <v>Mortal Vessel · Advanced</v>
      </c>
      <c r="D36" s="6" t="n">
        <f aca="false">(A36+1)^2.4 * 1.004^A36</f>
        <v>5817.14034745215</v>
      </c>
      <c r="E36" s="6" t="n">
        <f aca="false">$I$2*(A36+1)^1.9*1.003^A36</f>
        <v>0.410603002846337</v>
      </c>
      <c r="F36" s="6" t="n">
        <f aca="false">(A36+1)^1.12</f>
        <v>53.6236299856214</v>
      </c>
      <c r="G36" s="6" t="n">
        <f aca="false">G35+E36</f>
        <v>5.03239502597553</v>
      </c>
    </row>
    <row r="37" customFormat="false" ht="15" hidden="false" customHeight="true" outlineLevel="0" collapsed="false">
      <c r="A37" s="6" t="n">
        <v>35</v>
      </c>
      <c r="B37" s="6" t="n">
        <f aca="false">MIN(42, FLOOR(A37/32,1)+1)</f>
        <v>2</v>
      </c>
      <c r="C37" s="6" t="str">
        <f aca="false">INDEX(Grades_Realms!$B$2:$B$43, B37)</f>
        <v>Mortal Vessel · Advanced</v>
      </c>
      <c r="D37" s="6" t="n">
        <f aca="false">(A37+1)^2.4 * 1.004^A37</f>
        <v>6248.93417837606</v>
      </c>
      <c r="E37" s="6" t="n">
        <f aca="false">$I$2*(A37+1)^1.9*1.003^A37</f>
        <v>0.43447873104265</v>
      </c>
      <c r="F37" s="6" t="n">
        <f aca="false">(A37+1)^1.12</f>
        <v>55.3425034562693</v>
      </c>
      <c r="G37" s="6" t="n">
        <f aca="false">G36+E37</f>
        <v>5.46687375701818</v>
      </c>
    </row>
    <row r="38" customFormat="false" ht="15" hidden="false" customHeight="true" outlineLevel="0" collapsed="false">
      <c r="A38" s="6" t="n">
        <v>36</v>
      </c>
      <c r="B38" s="6" t="n">
        <f aca="false">MIN(42, FLOOR(A38/32,1)+1)</f>
        <v>2</v>
      </c>
      <c r="C38" s="6" t="str">
        <f aca="false">INDEX(Grades_Realms!$B$2:$B$43, B38)</f>
        <v>Mortal Vessel · Advanced</v>
      </c>
      <c r="D38" s="6" t="n">
        <f aca="false">(A38+1)^2.4 * 1.004^A38</f>
        <v>6700.35477888468</v>
      </c>
      <c r="E38" s="6" t="n">
        <f aca="false">$I$2*(A38+1)^1.9*1.003^A38</f>
        <v>0.459069012608278</v>
      </c>
      <c r="F38" s="6" t="n">
        <f aca="false">(A38+1)^1.12</f>
        <v>57.0671167602038</v>
      </c>
      <c r="G38" s="6" t="n">
        <f aca="false">G37+E38</f>
        <v>5.92594276962646</v>
      </c>
    </row>
    <row r="39" customFormat="false" ht="15" hidden="false" customHeight="true" outlineLevel="0" collapsed="false">
      <c r="A39" s="6" t="n">
        <v>37</v>
      </c>
      <c r="B39" s="6" t="n">
        <f aca="false">MIN(42, FLOOR(A39/32,1)+1)</f>
        <v>2</v>
      </c>
      <c r="C39" s="6" t="str">
        <f aca="false">INDEX(Grades_Realms!$B$2:$B$43, B39)</f>
        <v>Mortal Vessel · Advanced</v>
      </c>
      <c r="D39" s="6" t="n">
        <f aca="false">(A39+1)^2.4 * 1.004^A39</f>
        <v>7171.79729052475</v>
      </c>
      <c r="E39" s="6" t="n">
        <f aca="false">$I$2*(A39+1)^1.9*1.003^A39</f>
        <v>0.484378066758899</v>
      </c>
      <c r="F39" s="6" t="n">
        <f aca="false">(A39+1)^1.12</f>
        <v>58.7973331270313</v>
      </c>
      <c r="G39" s="6" t="n">
        <f aca="false">G38+E39</f>
        <v>6.41032083638536</v>
      </c>
    </row>
    <row r="40" customFormat="false" ht="15" hidden="false" customHeight="true" outlineLevel="0" collapsed="false">
      <c r="A40" s="6" t="n">
        <v>38</v>
      </c>
      <c r="B40" s="6" t="n">
        <f aca="false">MIN(42, FLOOR(A40/32,1)+1)</f>
        <v>2</v>
      </c>
      <c r="C40" s="6" t="str">
        <f aca="false">INDEX(Grades_Realms!$B$2:$B$43, B40)</f>
        <v>Mortal Vessel · Advanced</v>
      </c>
      <c r="D40" s="6" t="n">
        <f aca="false">(A40+1)^2.4 * 1.004^A40</f>
        <v>7663.65849442618</v>
      </c>
      <c r="E40" s="6" t="n">
        <f aca="false">$I$2*(A40+1)^1.9*1.003^A40</f>
        <v>0.510410173688283</v>
      </c>
      <c r="F40" s="6" t="n">
        <f aca="false">(A40+1)^1.12</f>
        <v>60.5330225660536</v>
      </c>
      <c r="G40" s="6" t="n">
        <f aca="false">G39+E40</f>
        <v>6.92073101007364</v>
      </c>
    </row>
    <row r="41" customFormat="false" ht="15" hidden="false" customHeight="true" outlineLevel="0" collapsed="false">
      <c r="A41" s="6" t="n">
        <v>39</v>
      </c>
      <c r="B41" s="6" t="n">
        <f aca="false">MIN(42, FLOOR(A41/32,1)+1)</f>
        <v>2</v>
      </c>
      <c r="C41" s="6" t="str">
        <f aca="false">INDEX(Grades_Realms!$B$2:$B$43, B41)</f>
        <v>Mortal Vessel · Advanced</v>
      </c>
      <c r="D41" s="6" t="n">
        <f aca="false">(A41+1)^2.4 * 1.004^A41</f>
        <v>8176.33691489872</v>
      </c>
      <c r="E41" s="6" t="n">
        <f aca="false">$I$2*(A41+1)^1.9*1.003^A41</f>
        <v>0.537169672750708</v>
      </c>
      <c r="F41" s="6" t="n">
        <f aca="false">(A41+1)^1.12</f>
        <v>62.2740613646058</v>
      </c>
      <c r="G41" s="6" t="n">
        <f aca="false">G40+E41</f>
        <v>7.45790068282435</v>
      </c>
    </row>
    <row r="42" customFormat="false" ht="15" hidden="false" customHeight="true" outlineLevel="0" collapsed="false">
      <c r="A42" s="6" t="n">
        <v>40</v>
      </c>
      <c r="B42" s="6" t="n">
        <f aca="false">MIN(42, FLOOR(A42/32,1)+1)</f>
        <v>2</v>
      </c>
      <c r="C42" s="6" t="str">
        <f aca="false">INDEX(Grades_Realms!$B$2:$B$43, B42)</f>
        <v>Mortal Vessel · Advanced</v>
      </c>
      <c r="D42" s="6" t="n">
        <f aca="false">(A42+1)^2.4 * 1.004^A42</f>
        <v>8710.23291744447</v>
      </c>
      <c r="E42" s="6" t="n">
        <f aca="false">$I$2*(A42+1)^1.9*1.003^A42</f>
        <v>0.564660960803391</v>
      </c>
      <c r="F42" s="6" t="n">
        <f aca="false">(A42+1)^1.12</f>
        <v>64.0203316351572</v>
      </c>
      <c r="G42" s="6" t="n">
        <f aca="false">G41+E42</f>
        <v>8.02256164362774</v>
      </c>
    </row>
    <row r="43" customFormat="false" ht="15" hidden="false" customHeight="true" outlineLevel="0" collapsed="false">
      <c r="A43" s="6" t="n">
        <v>41</v>
      </c>
      <c r="B43" s="6" t="n">
        <f aca="false">MIN(42, FLOOR(A43/32,1)+1)</f>
        <v>2</v>
      </c>
      <c r="C43" s="6" t="str">
        <f aca="false">INDEX(Grades_Realms!$B$2:$B$43, B43)</f>
        <v>Mortal Vessel · Advanced</v>
      </c>
      <c r="D43" s="6" t="n">
        <f aca="false">(A43+1)^2.4 * 1.004^A43</f>
        <v>9265.74880172365</v>
      </c>
      <c r="E43" s="6" t="n">
        <f aca="false">$I$2*(A43+1)^1.9*1.003^A43</f>
        <v>0.592888490692394</v>
      </c>
      <c r="F43" s="6" t="n">
        <f aca="false">(A43+1)^1.12</f>
        <v>65.7717209053575</v>
      </c>
      <c r="G43" s="6" t="n">
        <f aca="false">G42+E43</f>
        <v>8.61545013432014</v>
      </c>
    </row>
    <row r="44" customFormat="false" ht="15" hidden="false" customHeight="true" outlineLevel="0" collapsed="false">
      <c r="A44" s="6" t="n">
        <v>42</v>
      </c>
      <c r="B44" s="6" t="n">
        <f aca="false">MIN(42, FLOOR(A44/32,1)+1)</f>
        <v>2</v>
      </c>
      <c r="C44" s="6" t="str">
        <f aca="false">INDEX(Grades_Realms!$B$2:$B$43, B44)</f>
        <v>Mortal Vessel · Advanced</v>
      </c>
      <c r="D44" s="6" t="n">
        <f aca="false">(A44+1)^2.4 * 1.004^A44</f>
        <v>9843.28888994958</v>
      </c>
      <c r="E44" s="6" t="n">
        <f aca="false">$I$2*(A44+1)^1.9*1.003^A44</f>
        <v>0.621856769867604</v>
      </c>
      <c r="F44" s="6" t="n">
        <f aca="false">(A44+1)^1.12</f>
        <v>67.5281217460284</v>
      </c>
      <c r="G44" s="6" t="n">
        <f aca="false">G43+E44</f>
        <v>9.23730690418774</v>
      </c>
    </row>
    <row r="45" customFormat="false" ht="15" hidden="false" customHeight="true" outlineLevel="0" collapsed="false">
      <c r="A45" s="6" t="n">
        <v>43</v>
      </c>
      <c r="B45" s="6" t="n">
        <f aca="false">MIN(42, FLOOR(A45/32,1)+1)</f>
        <v>2</v>
      </c>
      <c r="C45" s="6" t="str">
        <f aca="false">INDEX(Grades_Realms!$B$2:$B$43, B45)</f>
        <v>Mortal Vessel · Advanced</v>
      </c>
      <c r="D45" s="6" t="n">
        <f aca="false">(A45+1)^2.4 * 1.004^A45</f>
        <v>10443.2596111356</v>
      </c>
      <c r="E45" s="6" t="n">
        <f aca="false">$I$2*(A45+1)^1.9*1.003^A45</f>
        <v>0.651570359114074</v>
      </c>
      <c r="F45" s="6" t="n">
        <f aca="false">(A45+1)^1.12</f>
        <v>69.2894314327862</v>
      </c>
      <c r="G45" s="6" t="n">
        <f aca="false">G44+E45</f>
        <v>9.88887726330181</v>
      </c>
    </row>
    <row r="46" customFormat="false" ht="15" hidden="false" customHeight="true" outlineLevel="0" collapsed="false">
      <c r="A46" s="6" t="n">
        <v>44</v>
      </c>
      <c r="B46" s="6" t="n">
        <f aca="false">MIN(42, FLOOR(A46/32,1)+1)</f>
        <v>2</v>
      </c>
      <c r="C46" s="6" t="str">
        <f aca="false">INDEX(Grades_Realms!$B$2:$B$43, B46)</f>
        <v>Mortal Vessel · Advanced</v>
      </c>
      <c r="D46" s="6" t="n">
        <f aca="false">(A46+1)^2.4 * 1.004^A46</f>
        <v>11066.0695815708</v>
      </c>
      <c r="E46" s="6" t="n">
        <f aca="false">$I$2*(A46+1)^1.9*1.003^A46</f>
        <v>0.682033871388578</v>
      </c>
      <c r="F46" s="6" t="n">
        <f aca="false">(A46+1)^1.12</f>
        <v>71.0555516375581</v>
      </c>
      <c r="G46" s="6" t="n">
        <f aca="false">G45+E46</f>
        <v>10.5709111346904</v>
      </c>
    </row>
    <row r="47" customFormat="false" ht="15" hidden="false" customHeight="true" outlineLevel="0" collapsed="false">
      <c r="A47" s="6" t="n">
        <v>45</v>
      </c>
      <c r="B47" s="6" t="n">
        <f aca="false">MIN(42, FLOOR(A47/32,1)+1)</f>
        <v>2</v>
      </c>
      <c r="C47" s="6" t="str">
        <f aca="false">INDEX(Grades_Realms!$B$2:$B$43, B47)</f>
        <v>Mortal Vessel · Advanced</v>
      </c>
      <c r="D47" s="6" t="n">
        <f aca="false">(A47+1)^2.4 * 1.004^A47</f>
        <v>11712.1296818604</v>
      </c>
      <c r="E47" s="6" t="n">
        <f aca="false">$I$2*(A47+1)^1.9*1.003^A47</f>
        <v>0.713251970751491</v>
      </c>
      <c r="F47" s="6" t="n">
        <f aca="false">(A47+1)^1.12</f>
        <v>72.826388146743</v>
      </c>
      <c r="G47" s="6" t="n">
        <f aca="false">G46+E47</f>
        <v>11.2841631054419</v>
      </c>
    </row>
    <row r="48" customFormat="false" ht="15" hidden="false" customHeight="true" outlineLevel="0" collapsed="false">
      <c r="A48" s="6" t="n">
        <v>46</v>
      </c>
      <c r="B48" s="6" t="n">
        <f aca="false">MIN(42, FLOOR(A48/32,1)+1)</f>
        <v>2</v>
      </c>
      <c r="C48" s="6" t="str">
        <f aca="false">INDEX(Grades_Realms!$B$2:$B$43, B48)</f>
        <v>Mortal Vessel · Advanced</v>
      </c>
      <c r="D48" s="6" t="n">
        <f aca="false">(A48+1)^2.4 * 1.004^A48</f>
        <v>12381.8531308331</v>
      </c>
      <c r="E48" s="6" t="n">
        <f aca="false">$I$2*(A48+1)^1.9*1.003^A48</f>
        <v>0.745229371385252</v>
      </c>
      <c r="F48" s="6" t="n">
        <f aca="false">(A48+1)^1.12</f>
        <v>74.6018506031877</v>
      </c>
      <c r="G48" s="6" t="n">
        <f aca="false">G47+E48</f>
        <v>12.0293924768271</v>
      </c>
    </row>
    <row r="49" customFormat="false" ht="15" hidden="false" customHeight="true" outlineLevel="0" collapsed="false">
      <c r="A49" s="6" t="n">
        <v>47</v>
      </c>
      <c r="B49" s="6" t="n">
        <f aca="false">MIN(42, FLOOR(A49/32,1)+1)</f>
        <v>2</v>
      </c>
      <c r="C49" s="6" t="str">
        <f aca="false">INDEX(Grades_Realms!$B$2:$B$43, B49)</f>
        <v>Mortal Vessel · Advanced</v>
      </c>
      <c r="D49" s="6" t="n">
        <f aca="false">(A49+1)^2.4 * 1.004^A49</f>
        <v>13075.6555565852</v>
      </c>
      <c r="E49" s="6" t="n">
        <f aca="false">$I$2*(A49+1)^1.9*1.003^A49</f>
        <v>0.777970836691637</v>
      </c>
      <c r="F49" s="6" t="n">
        <f aca="false">(A49+1)^1.12</f>
        <v>76.381852269498</v>
      </c>
      <c r="G49" s="6" t="n">
        <f aca="false">G48+E49</f>
        <v>12.8073633135188</v>
      </c>
    </row>
    <row r="50" customFormat="false" ht="15" hidden="false" customHeight="true" outlineLevel="0" collapsed="false">
      <c r="A50" s="6" t="n">
        <v>48</v>
      </c>
      <c r="B50" s="6" t="n">
        <f aca="false">MIN(42, FLOOR(A50/32,1)+1)</f>
        <v>2</v>
      </c>
      <c r="C50" s="6" t="str">
        <f aca="false">INDEX(Grades_Realms!$B$2:$B$43, B50)</f>
        <v>Mortal Vessel · Advanced</v>
      </c>
      <c r="D50" s="6" t="n">
        <f aca="false">(A50+1)^2.4 * 1.004^A50</f>
        <v>13793.9550649052</v>
      </c>
      <c r="E50" s="6" t="n">
        <f aca="false">$I$2*(A50+1)^1.9*1.003^A50</f>
        <v>0.811481178460912</v>
      </c>
      <c r="F50" s="6" t="n">
        <f aca="false">(A50+1)^1.12</f>
        <v>78.1663098105151</v>
      </c>
      <c r="G50" s="6" t="n">
        <f aca="false">G49+E50</f>
        <v>13.6188444919797</v>
      </c>
    </row>
    <row r="51" customFormat="false" ht="15" hidden="false" customHeight="true" outlineLevel="0" collapsed="false">
      <c r="A51" s="6" t="n">
        <v>49</v>
      </c>
      <c r="B51" s="6" t="n">
        <f aca="false">MIN(42, FLOOR(A51/32,1)+1)</f>
        <v>2</v>
      </c>
      <c r="C51" s="6" t="str">
        <f aca="false">INDEX(Grades_Realms!$B$2:$B$43, B51)</f>
        <v>Mortal Vessel · Advanced</v>
      </c>
      <c r="D51" s="6" t="n">
        <f aca="false">(A51+1)^2.4 * 1.004^A51</f>
        <v>14537.1723052992</v>
      </c>
      <c r="E51" s="6" t="n">
        <f aca="false">$I$2*(A51+1)^1.9*1.003^A51</f>
        <v>0.84576525610669</v>
      </c>
      <c r="F51" s="6" t="n">
        <f aca="false">(A51+1)^1.12</f>
        <v>79.9551430930425</v>
      </c>
      <c r="G51" s="6" t="n">
        <f aca="false">G50+E51</f>
        <v>14.4646097480864</v>
      </c>
    </row>
    <row r="52" customFormat="false" ht="15" hidden="false" customHeight="true" outlineLevel="0" collapsed="false">
      <c r="A52" s="6" t="n">
        <v>50</v>
      </c>
      <c r="B52" s="6" t="n">
        <f aca="false">MIN(42, FLOOR(A52/32,1)+1)</f>
        <v>2</v>
      </c>
      <c r="C52" s="6" t="str">
        <f aca="false">INDEX(Grades_Realms!$B$2:$B$43, B52)</f>
        <v>Mortal Vessel · Advanced</v>
      </c>
      <c r="D52" s="6" t="n">
        <f aca="false">(A52+1)^2.4 * 1.004^A52</f>
        <v>15305.7305348143</v>
      </c>
      <c r="E52" s="6" t="n">
        <f aca="false">$I$2*(A52+1)^1.9*1.003^A52</f>
        <v>0.880827975960947</v>
      </c>
      <c r="F52" s="6" t="n">
        <f aca="false">(A52+1)^1.12</f>
        <v>81.7482750011397</v>
      </c>
      <c r="G52" s="6" t="n">
        <f aca="false">G51+E52</f>
        <v>15.3454377240473</v>
      </c>
    </row>
    <row r="53" customFormat="false" ht="15" hidden="false" customHeight="true" outlineLevel="0" collapsed="false">
      <c r="A53" s="6" t="n">
        <v>51</v>
      </c>
      <c r="B53" s="6" t="n">
        <f aca="false">MIN(42, FLOOR(A53/32,1)+1)</f>
        <v>2</v>
      </c>
      <c r="C53" s="6" t="str">
        <f aca="false">INDEX(Grades_Realms!$B$2:$B$43, B53)</f>
        <v>Mortal Vessel · Advanced</v>
      </c>
      <c r="D53" s="6" t="n">
        <f aca="false">(A53+1)^2.4 * 1.004^A53</f>
        <v>16100.0556798417</v>
      </c>
      <c r="E53" s="6" t="n">
        <f aca="false">$I$2*(A53+1)^1.9*1.003^A53</f>
        <v>0.91667429062423</v>
      </c>
      <c r="F53" s="6" t="n">
        <f aca="false">(A53+1)^1.12</f>
        <v>83.5456312654886</v>
      </c>
      <c r="G53" s="6" t="n">
        <f aca="false">G52+E53</f>
        <v>16.2621120146715</v>
      </c>
    </row>
    <row r="54" customFormat="false" ht="15" hidden="false" customHeight="true" outlineLevel="0" collapsed="false">
      <c r="A54" s="6" t="n">
        <v>52</v>
      </c>
      <c r="B54" s="6" t="n">
        <f aca="false">MIN(42, FLOOR(A54/32,1)+1)</f>
        <v>2</v>
      </c>
      <c r="C54" s="6" t="str">
        <f aca="false">INDEX(Grades_Realms!$B$2:$B$43, B54)</f>
        <v>Mortal Vessel · Advanced</v>
      </c>
      <c r="D54" s="6" t="n">
        <f aca="false">(A54+1)^2.4 * 1.004^A54</f>
        <v>16920.5763960611</v>
      </c>
      <c r="E54" s="6" t="n">
        <f aca="false">$I$2*(A54+1)^1.9*1.003^A54</f>
        <v>0.953309198366602</v>
      </c>
      <c r="F54" s="6" t="n">
        <f aca="false">(A54+1)^1.12</f>
        <v>85.3471403055109</v>
      </c>
      <c r="G54" s="6" t="n">
        <f aca="false">G53+E54</f>
        <v>17.2154212130381</v>
      </c>
    </row>
    <row r="55" customFormat="false" ht="15" hidden="false" customHeight="true" outlineLevel="0" collapsed="false">
      <c r="A55" s="6" t="n">
        <v>53</v>
      </c>
      <c r="B55" s="6" t="n">
        <f aca="false">MIN(42, FLOOR(A55/32,1)+1)</f>
        <v>2</v>
      </c>
      <c r="C55" s="6" t="str">
        <f aca="false">INDEX(Grades_Realms!$B$2:$B$43, B55)</f>
        <v>Mortal Vessel · Advanced</v>
      </c>
      <c r="D55" s="6" t="n">
        <f aca="false">(A55+1)^2.4 * 1.004^A55</f>
        <v>17767.7241266763</v>
      </c>
      <c r="E55" s="6" t="n">
        <f aca="false">$I$2*(A55+1)^1.9*1.003^A55</f>
        <v>0.990737742575276</v>
      </c>
      <c r="F55" s="6" t="n">
        <f aca="false">(A55+1)^1.12</f>
        <v>87.152733083061</v>
      </c>
      <c r="G55" s="6" t="n">
        <f aca="false">G54+E55</f>
        <v>18.2061589556134</v>
      </c>
    </row>
    <row r="56" customFormat="false" ht="15" hidden="false" customHeight="true" outlineLevel="0" collapsed="false">
      <c r="A56" s="6" t="n">
        <v>54</v>
      </c>
      <c r="B56" s="6" t="n">
        <f aca="false">MIN(42, FLOOR(A56/32,1)+1)</f>
        <v>2</v>
      </c>
      <c r="C56" s="6" t="str">
        <f aca="false">INDEX(Grades_Realms!$B$2:$B$43, B56)</f>
        <v>Mortal Vessel · Advanced</v>
      </c>
      <c r="D56" s="6" t="n">
        <f aca="false">(A56+1)^2.4 * 1.004^A56</f>
        <v>18641.9331590769</v>
      </c>
      <c r="E56" s="6" t="n">
        <f aca="false">$I$2*(A56+1)^1.9*1.003^A56</f>
        <v>1.02896501124533</v>
      </c>
      <c r="F56" s="6" t="n">
        <f aca="false">(A56+1)^1.12</f>
        <v>88.9623429666454</v>
      </c>
      <c r="G56" s="6" t="n">
        <f aca="false">G55+E56</f>
        <v>19.2351239668588</v>
      </c>
    </row>
    <row r="57" customFormat="false" ht="15" hidden="false" customHeight="true" outlineLevel="0" collapsed="false">
      <c r="A57" s="6" t="n">
        <v>55</v>
      </c>
      <c r="B57" s="6" t="n">
        <f aca="false">MIN(42, FLOOR(A57/32,1)+1)</f>
        <v>2</v>
      </c>
      <c r="C57" s="6" t="str">
        <f aca="false">INDEX(Grades_Realms!$B$2:$B$43, B57)</f>
        <v>Mortal Vessel · Advanced</v>
      </c>
      <c r="D57" s="6" t="n">
        <f aca="false">(A57+1)^2.4 * 1.004^A57</f>
        <v>19543.6406800489</v>
      </c>
      <c r="E57" s="6" t="n">
        <f aca="false">$I$2*(A57+1)^1.9*1.003^A57</f>
        <v>1.06799613651022</v>
      </c>
      <c r="F57" s="6" t="n">
        <f aca="false">(A57+1)^1.12</f>
        <v>90.7759056052347</v>
      </c>
      <c r="G57" s="6" t="n">
        <f aca="false">G56+E57</f>
        <v>20.303120103369</v>
      </c>
    </row>
    <row r="58" customFormat="false" ht="15" hidden="false" customHeight="true" outlineLevel="0" collapsed="false">
      <c r="A58" s="6" t="n">
        <v>56</v>
      </c>
      <c r="B58" s="6" t="n">
        <f aca="false">MIN(42, FLOOR(A58/32,1)+1)</f>
        <v>2</v>
      </c>
      <c r="C58" s="6" t="str">
        <f aca="false">INDEX(Grades_Realms!$B$2:$B$43, B58)</f>
        <v>Mortal Vessel · Advanced</v>
      </c>
      <c r="D58" s="6" t="n">
        <f aca="false">(A58+1)^2.4 * 1.004^A58</f>
        <v>20473.286829649</v>
      </c>
      <c r="E58" s="6" t="n">
        <f aca="false">$I$2*(A58+1)^1.9*1.003^A58</f>
        <v>1.10783629420902</v>
      </c>
      <c r="F58" s="6" t="n">
        <f aca="false">(A58+1)^1.12</f>
        <v>92.5933588108308</v>
      </c>
      <c r="G58" s="6" t="n">
        <f aca="false">G57+E58</f>
        <v>21.410956397578</v>
      </c>
    </row>
    <row r="59" customFormat="false" ht="15" hidden="false" customHeight="true" outlineLevel="0" collapsed="false">
      <c r="A59" s="6" t="n">
        <v>57</v>
      </c>
      <c r="B59" s="6" t="n">
        <f aca="false">MIN(42, FLOOR(A59/32,1)+1)</f>
        <v>2</v>
      </c>
      <c r="C59" s="6" t="str">
        <f aca="false">INDEX(Grades_Realms!$B$2:$B$43, B59)</f>
        <v>Mortal Vessel · Advanced</v>
      </c>
      <c r="D59" s="6" t="n">
        <f aca="false">(A59+1)^2.4 * 1.004^A59</f>
        <v>21431.3147538441</v>
      </c>
      <c r="E59" s="6" t="n">
        <f aca="false">$I$2*(A59+1)^1.9*1.003^A59</f>
        <v>1.1484907034879</v>
      </c>
      <c r="F59" s="6" t="n">
        <f aca="false">(A59+1)^1.12</f>
        <v>94.4146424490373</v>
      </c>
      <c r="G59" s="6" t="n">
        <f aca="false">G58+E59</f>
        <v>22.5594471010659</v>
      </c>
    </row>
    <row r="60" customFormat="false" ht="15" hidden="false" customHeight="true" outlineLevel="0" collapsed="false">
      <c r="A60" s="6" t="n">
        <v>58</v>
      </c>
      <c r="B60" s="6" t="n">
        <f aca="false">MIN(42, FLOOR(A60/32,1)+1)</f>
        <v>2</v>
      </c>
      <c r="C60" s="6" t="str">
        <f aca="false">INDEX(Grades_Realms!$B$2:$B$43, B60)</f>
        <v>Mortal Vessel · Advanced</v>
      </c>
      <c r="D60" s="6" t="n">
        <f aca="false">(A60+1)^2.4 * 1.004^A60</f>
        <v>22418.1706560124</v>
      </c>
      <c r="E60" s="6" t="n">
        <f aca="false">$I$2*(A60+1)^1.9*1.003^A60</f>
        <v>1.18996462643309</v>
      </c>
      <c r="F60" s="6" t="n">
        <f aca="false">(A60+1)^1.12</f>
        <v>96.239698336961</v>
      </c>
      <c r="G60" s="6" t="n">
        <f aca="false">G59+E60</f>
        <v>23.749411727499</v>
      </c>
    </row>
    <row r="61" customFormat="false" ht="15" hidden="false" customHeight="true" outlineLevel="0" collapsed="false">
      <c r="A61" s="6" t="n">
        <v>59</v>
      </c>
      <c r="B61" s="6" t="n">
        <f aca="false">MIN(42, FLOOR(A61/32,1)+1)</f>
        <v>2</v>
      </c>
      <c r="C61" s="6" t="str">
        <f aca="false">INDEX(Grades_Realms!$B$2:$B$43, B61)</f>
        <v>Mortal Vessel · Advanced</v>
      </c>
      <c r="D61" s="6" t="n">
        <f aca="false">(A61+1)^2.4 * 1.004^A61</f>
        <v>23434.3038473931</v>
      </c>
      <c r="E61" s="6" t="n">
        <f aca="false">$I$2*(A61+1)^1.9*1.003^A61</f>
        <v>1.23226336773334</v>
      </c>
      <c r="F61" s="6" t="n">
        <f aca="false">(A61+1)^1.12</f>
        <v>98.068470147836</v>
      </c>
      <c r="G61" s="6" t="n">
        <f aca="false">G60+E61</f>
        <v>24.9816750952323</v>
      </c>
    </row>
    <row r="62" customFormat="false" ht="15" hidden="false" customHeight="true" outlineLevel="0" collapsed="false">
      <c r="A62" s="6" t="n">
        <v>60</v>
      </c>
      <c r="B62" s="6" t="n">
        <f aca="false">MIN(42, FLOOR(A62/32,1)+1)</f>
        <v>2</v>
      </c>
      <c r="C62" s="6" t="str">
        <f aca="false">INDEX(Grades_Realms!$B$2:$B$43, B62)</f>
        <v>Mortal Vessel · Advanced</v>
      </c>
      <c r="D62" s="6" t="n">
        <f aca="false">(A62+1)^2.4 * 1.004^A62</f>
        <v>24480.1667965643</v>
      </c>
      <c r="E62" s="6" t="n">
        <f aca="false">$I$2*(A62+1)^1.9*1.003^A62</f>
        <v>1.27539227436969</v>
      </c>
      <c r="F62" s="6" t="n">
        <f aca="false">(A62+1)^1.12</f>
        <v>99.9009033218222</v>
      </c>
      <c r="G62" s="6" t="n">
        <f aca="false">G61+E62</f>
        <v>26.257067369602</v>
      </c>
    </row>
    <row r="63" customFormat="false" ht="15" hidden="false" customHeight="true" outlineLevel="0" collapsed="false">
      <c r="A63" s="6" t="n">
        <v>61</v>
      </c>
      <c r="B63" s="6" t="n">
        <f aca="false">MIN(42, FLOOR(A63/32,1)+1)</f>
        <v>2</v>
      </c>
      <c r="C63" s="6" t="str">
        <f aca="false">INDEX(Grades_Realms!$B$2:$B$43, B63)</f>
        <v>Mortal Vessel · Advanced</v>
      </c>
      <c r="D63" s="6" t="n">
        <f aca="false">(A63+1)^2.4 * 1.004^A63</f>
        <v>25556.2151780244</v>
      </c>
      <c r="E63" s="6" t="n">
        <f aca="false">$I$2*(A63+1)^1.9*1.003^A63</f>
        <v>1.31935673533077</v>
      </c>
      <c r="F63" s="6" t="n">
        <f aca="false">(A63+1)^1.12</f>
        <v>101.736944982486</v>
      </c>
      <c r="G63" s="6" t="n">
        <f aca="false">G62+E63</f>
        <v>27.5764241049328</v>
      </c>
    </row>
    <row r="64" customFormat="false" ht="15" hidden="false" customHeight="true" outlineLevel="0" collapsed="false">
      <c r="A64" s="6" t="n">
        <v>62</v>
      </c>
      <c r="B64" s="6" t="n">
        <f aca="false">MIN(42, FLOOR(A64/32,1)+1)</f>
        <v>2</v>
      </c>
      <c r="C64" s="6" t="str">
        <f aca="false">INDEX(Grades_Realms!$B$2:$B$43, B64)</f>
        <v>Mortal Vessel · Advanced</v>
      </c>
      <c r="D64" s="6" t="n">
        <f aca="false">(A64+1)^2.4 * 1.004^A64</f>
        <v>26662.907919944</v>
      </c>
      <c r="E64" s="6" t="n">
        <f aca="false">$I$2*(A64+1)^1.9*1.003^A64</f>
        <v>1.3641621813518</v>
      </c>
      <c r="F64" s="6" t="n">
        <f aca="false">(A64+1)^1.12</f>
        <v>103.576543858514</v>
      </c>
      <c r="G64" s="6" t="n">
        <f aca="false">G63+E64</f>
        <v>28.9405862862846</v>
      </c>
    </row>
    <row r="65" customFormat="false" ht="15" hidden="false" customHeight="true" outlineLevel="0" collapsed="false">
      <c r="A65" s="6" t="n">
        <v>63</v>
      </c>
      <c r="B65" s="6" t="n">
        <f aca="false">MIN(42, FLOOR(A65/32,1)+1)</f>
        <v>2</v>
      </c>
      <c r="C65" s="6" t="str">
        <f aca="false">INDEX(Grades_Realms!$B$2:$B$43, B65)</f>
        <v>Mortal Vessel · Advanced</v>
      </c>
      <c r="D65" s="6" t="n">
        <f aca="false">(A65+1)^2.4 * 1.004^A65</f>
        <v>27800.7072511529</v>
      </c>
      <c r="E65" s="6" t="n">
        <f aca="false">$I$2*(A65+1)^1.9*1.003^A65</f>
        <v>1.40981408467585</v>
      </c>
      <c r="F65" s="6" t="n">
        <f aca="false">(A65+1)^1.12</f>
        <v>105.419650210249</v>
      </c>
      <c r="G65" s="6" t="n">
        <f aca="false">G64+E65</f>
        <v>30.3504003709604</v>
      </c>
    </row>
    <row r="66" customFormat="false" ht="15" hidden="false" customHeight="true" outlineLevel="0" collapsed="false">
      <c r="A66" s="6" t="n">
        <v>64</v>
      </c>
      <c r="B66" s="6" t="n">
        <f aca="false">MIN(42, FLOOR(A66/32,1)+1)</f>
        <v>3</v>
      </c>
      <c r="C66" s="6" t="str">
        <f aca="false">INDEX(Grades_Realms!$B$2:$B$43, B66)</f>
        <v>Mortal Vessel · Perfected</v>
      </c>
      <c r="D66" s="6" t="n">
        <f aca="false">(A66+1)^2.4 * 1.004^A66</f>
        <v>28970.0787474193</v>
      </c>
      <c r="E66" s="6" t="n">
        <f aca="false">$I$2*(A66+1)^1.9*1.003^A66</f>
        <v>1.4563179588359</v>
      </c>
      <c r="F66" s="6" t="n">
        <f aca="false">(A66+1)^1.12</f>
        <v>107.266215760697</v>
      </c>
      <c r="G66" s="6" t="n">
        <f aca="false">G65+E66</f>
        <v>31.8067183297963</v>
      </c>
    </row>
    <row r="67" customFormat="false" ht="15" hidden="false" customHeight="true" outlineLevel="0" collapsed="false">
      <c r="A67" s="6" t="n">
        <v>65</v>
      </c>
      <c r="B67" s="6" t="n">
        <f aca="false">MIN(42, FLOOR(A67/32,1)+1)</f>
        <v>3</v>
      </c>
      <c r="C67" s="6" t="str">
        <f aca="false">INDEX(Grades_Realms!$B$2:$B$43, B67)</f>
        <v>Mortal Vessel · Perfected</v>
      </c>
      <c r="D67" s="6" t="n">
        <f aca="false">(A67+1)^2.4 * 1.004^A67</f>
        <v>30171.4913770766</v>
      </c>
      <c r="E67" s="6" t="n">
        <f aca="false">$I$2*(A67+1)^1.9*1.003^A67</f>
        <v>1.50367935845621</v>
      </c>
      <c r="F67" s="6" t="n">
        <f aca="false">(A67+1)^1.12</f>
        <v>109.116193630641</v>
      </c>
      <c r="G67" s="6" t="n">
        <f aca="false">G66+E67</f>
        <v>33.3103976882525</v>
      </c>
    </row>
    <row r="68" customFormat="false" ht="15" hidden="false" customHeight="true" outlineLevel="0" collapsed="false">
      <c r="A68" s="6" t="n">
        <v>66</v>
      </c>
      <c r="B68" s="6" t="n">
        <f aca="false">MIN(42, FLOOR(A68/32,1)+1)</f>
        <v>3</v>
      </c>
      <c r="C68" s="6" t="str">
        <f aca="false">INDEX(Grades_Realms!$B$2:$B$43, B68)</f>
        <v>Mortal Vessel · Perfected</v>
      </c>
      <c r="D68" s="6" t="n">
        <f aca="false">(A68+1)^2.4 * 1.004^A68</f>
        <v>31405.4175460472</v>
      </c>
      <c r="E68" s="6" t="n">
        <f aca="false">$I$2*(A68+1)^1.9*1.003^A68</f>
        <v>1.5519038790721</v>
      </c>
      <c r="F68" s="6" t="n">
        <f aca="false">(A68+1)^1.12</f>
        <v>110.969538277585</v>
      </c>
      <c r="G68" s="6" t="n">
        <f aca="false">G67+E68</f>
        <v>34.8623015673246</v>
      </c>
    </row>
    <row r="69" customFormat="false" ht="15" hidden="false" customHeight="true" outlineLevel="0" collapsed="false">
      <c r="A69" s="6" t="n">
        <v>67</v>
      </c>
      <c r="B69" s="6" t="n">
        <f aca="false">MIN(42, FLOOR(A69/32,1)+1)</f>
        <v>3</v>
      </c>
      <c r="C69" s="6" t="str">
        <f aca="false">INDEX(Grades_Realms!$B$2:$B$43, B69)</f>
        <v>Mortal Vessel · Perfected</v>
      </c>
      <c r="D69" s="6" t="n">
        <f aca="false">(A69+1)^2.4 * 1.004^A69</f>
        <v>32672.3331423108</v>
      </c>
      <c r="E69" s="6" t="n">
        <f aca="false">$I$2*(A69+1)^1.9*1.003^A69</f>
        <v>1.60099715696671</v>
      </c>
      <c r="F69" s="6" t="n">
        <f aca="false">(A69+1)^1.12</f>
        <v>112.826205438237</v>
      </c>
      <c r="G69" s="6" t="n">
        <f aca="false">G68+E69</f>
        <v>36.4632987242914</v>
      </c>
    </row>
    <row r="70" customFormat="false" ht="15" hidden="false" customHeight="true" outlineLevel="0" collapsed="false">
      <c r="A70" s="6" t="n">
        <v>68</v>
      </c>
      <c r="B70" s="6" t="n">
        <f aca="false">MIN(42, FLOOR(A70/32,1)+1)</f>
        <v>3</v>
      </c>
      <c r="C70" s="6" t="str">
        <f aca="false">INDEX(Grades_Realms!$B$2:$B$43, B70)</f>
        <v>Mortal Vessel · Perfected</v>
      </c>
      <c r="D70" s="6" t="n">
        <f aca="false">(A70+1)^2.4 * 1.004^A70</f>
        <v>33972.7175798599</v>
      </c>
      <c r="E70" s="6" t="n">
        <f aca="false">$I$2*(A70+1)^1.9*1.003^A70</f>
        <v>1.65096486902389</v>
      </c>
      <c r="F70" s="6" t="n">
        <f aca="false">(A70+1)^1.12</f>
        <v>114.68615207427</v>
      </c>
      <c r="G70" s="6" t="n">
        <f aca="false">G69+E70</f>
        <v>38.1142635933153</v>
      </c>
    </row>
    <row r="71" customFormat="false" ht="15" hidden="false" customHeight="true" outlineLevel="0" collapsed="false">
      <c r="A71" s="6" t="n">
        <v>69</v>
      </c>
      <c r="B71" s="6" t="n">
        <f aca="false">MIN(42, FLOOR(A71/32,1)+1)</f>
        <v>3</v>
      </c>
      <c r="C71" s="6" t="str">
        <f aca="false">INDEX(Grades_Realms!$B$2:$B$43, B71)</f>
        <v>Mortal Vessel · Perfected</v>
      </c>
      <c r="D71" s="6" t="n">
        <f aca="false">(A71+1)^2.4 * 1.004^A71</f>
        <v>35307.0538421842</v>
      </c>
      <c r="E71" s="6" t="n">
        <f aca="false">$I$2*(A71+1)^1.9*1.003^A71</f>
        <v>1.70181273259618</v>
      </c>
      <c r="F71" s="6" t="n">
        <f aca="false">(A71+1)^1.12</f>
        <v>116.549336321145</v>
      </c>
      <c r="G71" s="6" t="n">
        <f aca="false">G70+E71</f>
        <v>39.8160763259114</v>
      </c>
    </row>
    <row r="72" customFormat="false" ht="15" hidden="false" customHeight="true" outlineLevel="0" collapsed="false">
      <c r="A72" s="6" t="n">
        <v>70</v>
      </c>
      <c r="B72" s="6" t="n">
        <f aca="false">MIN(42, FLOOR(A72/32,1)+1)</f>
        <v>3</v>
      </c>
      <c r="C72" s="6" t="str">
        <f aca="false">INDEX(Grades_Realms!$B$2:$B$43, B72)</f>
        <v>Mortal Vessel · Perfected</v>
      </c>
      <c r="D72" s="6" t="n">
        <f aca="false">(A72+1)^2.4 * 1.004^A72</f>
        <v>36675.82852532</v>
      </c>
      <c r="E72" s="6" t="n">
        <f aca="false">$I$2*(A72+1)^1.9*1.003^A72</f>
        <v>1.75354650538703</v>
      </c>
      <c r="F72" s="6" t="n">
        <f aca="false">(A72+1)^1.12</f>
        <v>118.415717439768</v>
      </c>
      <c r="G72" s="6" t="n">
        <f aca="false">G71+E72</f>
        <v>41.5696228312985</v>
      </c>
    </row>
    <row r="73" customFormat="false" ht="15" hidden="false" customHeight="true" outlineLevel="0" collapsed="false">
      <c r="A73" s="6" t="n">
        <v>71</v>
      </c>
      <c r="B73" s="6" t="n">
        <f aca="false">MIN(42, FLOOR(A73/32,1)+1)</f>
        <v>3</v>
      </c>
      <c r="C73" s="6" t="str">
        <f aca="false">INDEX(Grades_Realms!$B$2:$B$43, B73)</f>
        <v>Mortal Vessel · Perfected</v>
      </c>
      <c r="D73" s="6" t="n">
        <f aca="false">(A73+1)^2.4 * 1.004^A73</f>
        <v>38079.5318805018</v>
      </c>
      <c r="E73" s="6" t="n">
        <f aca="false">$I$2*(A73+1)^1.9*1.003^A73</f>
        <v>1.8061719853465</v>
      </c>
      <c r="F73" s="6" t="n">
        <f aca="false">(A73+1)^1.12</f>
        <v>120.285255770793</v>
      </c>
      <c r="G73" s="6" t="n">
        <f aca="false">G72+E73</f>
        <v>43.375794816645</v>
      </c>
    </row>
    <row r="74" customFormat="false" ht="15" hidden="false" customHeight="true" outlineLevel="0" collapsed="false">
      <c r="A74" s="6" t="n">
        <v>72</v>
      </c>
      <c r="B74" s="6" t="n">
        <f aca="false">MIN(42, FLOOR(A74/32,1)+1)</f>
        <v>3</v>
      </c>
      <c r="C74" s="6" t="str">
        <f aca="false">INDEX(Grades_Realms!$B$2:$B$43, B74)</f>
        <v>Mortal Vessel · Perfected</v>
      </c>
      <c r="D74" s="6" t="n">
        <f aca="false">(A74+1)^2.4 * 1.004^A74</f>
        <v>39518.6578564476</v>
      </c>
      <c r="E74" s="6" t="n">
        <f aca="false">$I$2*(A74+1)^1.9*1.003^A74</f>
        <v>1.85969501057953</v>
      </c>
      <c r="F74" s="6" t="n">
        <f aca="false">(A74+1)^1.12</f>
        <v>122.157912691391</v>
      </c>
      <c r="G74" s="6" t="n">
        <f aca="false">G73+E74</f>
        <v>45.2354898272245</v>
      </c>
    </row>
    <row r="75" customFormat="false" ht="15" hidden="false" customHeight="true" outlineLevel="0" collapsed="false">
      <c r="A75" s="6" t="n">
        <v>73</v>
      </c>
      <c r="B75" s="6" t="n">
        <f aca="false">MIN(42, FLOOR(A75/32,1)+1)</f>
        <v>3</v>
      </c>
      <c r="C75" s="6" t="str">
        <f aca="false">INDEX(Grades_Realms!$B$2:$B$43, B75)</f>
        <v>Mortal Vessel · Perfected</v>
      </c>
      <c r="D75" s="6" t="n">
        <f aca="false">(A75+1)^2.4 * 1.004^A75</f>
        <v>40993.7041413094</v>
      </c>
      <c r="E75" s="6" t="n">
        <f aca="false">$I$2*(A75+1)^1.9*1.003^A75</f>
        <v>1.91412145926622</v>
      </c>
      <c r="F75" s="6" t="n">
        <f aca="false">(A75+1)^1.12</f>
        <v>124.033650574317</v>
      </c>
      <c r="G75" s="6" t="n">
        <f aca="false">G74+E75</f>
        <v>47.1496112864907</v>
      </c>
    </row>
    <row r="76" customFormat="false" ht="15" hidden="false" customHeight="true" outlineLevel="0" collapsed="false">
      <c r="A76" s="6" t="n">
        <v>74</v>
      </c>
      <c r="B76" s="6" t="n">
        <f aca="false">MIN(42, FLOOR(A76/32,1)+1)</f>
        <v>3</v>
      </c>
      <c r="C76" s="6" t="str">
        <f aca="false">INDEX(Grades_Realms!$B$2:$B$43, B76)</f>
        <v>Mortal Vessel · Perfected</v>
      </c>
      <c r="D76" s="6" t="n">
        <f aca="false">(A76+1)^2.4 * 1.004^A76</f>
        <v>42505.1722043177</v>
      </c>
      <c r="E76" s="6" t="n">
        <f aca="false">$I$2*(A76+1)^1.9*1.003^A76</f>
        <v>1.96945724959341</v>
      </c>
      <c r="F76" s="6" t="n">
        <f aca="false">(A76+1)^1.12</f>
        <v>125.912432749128</v>
      </c>
      <c r="G76" s="6" t="n">
        <f aca="false">G75+E76</f>
        <v>49.1190685360841</v>
      </c>
    </row>
    <row r="77" customFormat="false" ht="15" hidden="false" customHeight="true" outlineLevel="0" collapsed="false">
      <c r="A77" s="6" t="n">
        <v>75</v>
      </c>
      <c r="B77" s="6" t="n">
        <f aca="false">MIN(42, FLOOR(A77/32,1)+1)</f>
        <v>3</v>
      </c>
      <c r="C77" s="6" t="str">
        <f aca="false">INDEX(Grades_Realms!$B$2:$B$43, B77)</f>
        <v>Mortal Vessel · Perfected</v>
      </c>
      <c r="D77" s="6" t="n">
        <f aca="false">(A77+1)^2.4 * 1.004^A77</f>
        <v>44053.5673371472</v>
      </c>
      <c r="E77" s="6" t="n">
        <f aca="false">$I$2*(A77+1)^1.9*1.003^A77</f>
        <v>2.02570833969696</v>
      </c>
      <c r="F77" s="6" t="n">
        <f aca="false">(A77+1)^1.12</f>
        <v>127.794223465406</v>
      </c>
      <c r="G77" s="6" t="n">
        <f aca="false">G76+E77</f>
        <v>51.1447768757811</v>
      </c>
    </row>
    <row r="78" customFormat="false" ht="15" hidden="false" customHeight="true" outlineLevel="0" collapsed="false">
      <c r="A78" s="6" t="n">
        <v>76</v>
      </c>
      <c r="B78" s="6" t="n">
        <f aca="false">MIN(42, FLOOR(A78/32,1)+1)</f>
        <v>3</v>
      </c>
      <c r="C78" s="6" t="str">
        <f aca="false">INDEX(Grades_Realms!$B$2:$B$43, B78)</f>
        <v>Mortal Vessel · Perfected</v>
      </c>
      <c r="D78" s="6" t="n">
        <f aca="false">(A78+1)^2.4 * 1.004^A78</f>
        <v>45639.3986950294</v>
      </c>
      <c r="E78" s="6" t="n">
        <f aca="false">$I$2*(A78+1)^1.9*1.003^A78</f>
        <v>2.08288072761418</v>
      </c>
      <c r="F78" s="6" t="n">
        <f aca="false">(A78+1)^1.12</f>
        <v>129.678987857866</v>
      </c>
      <c r="G78" s="6" t="n">
        <f aca="false">G77+E78</f>
        <v>53.2276576033953</v>
      </c>
    </row>
    <row r="79" customFormat="false" ht="15" hidden="false" customHeight="true" outlineLevel="0" collapsed="false">
      <c r="A79" s="6" t="n">
        <v>77</v>
      </c>
      <c r="B79" s="6" t="n">
        <f aca="false">MIN(42, FLOOR(A79/32,1)+1)</f>
        <v>3</v>
      </c>
      <c r="C79" s="6" t="str">
        <f aca="false">INDEX(Grades_Realms!$B$2:$B$43, B79)</f>
        <v>Mortal Vessel · Perfected</v>
      </c>
      <c r="D79" s="6" t="n">
        <f aca="false">(A79+1)^2.4 * 1.004^A79</f>
        <v>47263.1793376351</v>
      </c>
      <c r="E79" s="6" t="n">
        <f aca="false">$I$2*(A79+1)^1.9*1.003^A79</f>
        <v>2.14098045124582</v>
      </c>
      <c r="F79" s="6" t="n">
        <f aca="false">(A79+1)^1.12</f>
        <v>131.566691913214</v>
      </c>
      <c r="G79" s="6" t="n">
        <f aca="false">G78+E79</f>
        <v>55.3686380546411</v>
      </c>
    </row>
    <row r="80" customFormat="false" ht="15" hidden="false" customHeight="true" outlineLevel="0" collapsed="false">
      <c r="A80" s="6" t="n">
        <v>78</v>
      </c>
      <c r="B80" s="6" t="n">
        <f aca="false">MIN(42, FLOOR(A80/32,1)+1)</f>
        <v>3</v>
      </c>
      <c r="C80" s="6" t="str">
        <f aca="false">INDEX(Grades_Realms!$B$2:$B$43, B80)</f>
        <v>Mortal Vessel · Perfected</v>
      </c>
      <c r="D80" s="6" t="n">
        <f aca="false">(A80+1)^2.4 * 1.004^A80</f>
        <v>48925.4262697502</v>
      </c>
      <c r="E80" s="6" t="n">
        <f aca="false">$I$2*(A80+1)^1.9*1.003^A80</f>
        <v>2.20001358832725</v>
      </c>
      <c r="F80" s="6" t="n">
        <f aca="false">(A80+1)^1.12</f>
        <v>133.457302438666</v>
      </c>
      <c r="G80" s="6" t="n">
        <f aca="false">G79+E80</f>
        <v>57.5686516429683</v>
      </c>
    </row>
    <row r="81" customFormat="false" ht="15" hidden="false" customHeight="true" outlineLevel="0" collapsed="false">
      <c r="A81" s="6" t="n">
        <v>79</v>
      </c>
      <c r="B81" s="6" t="n">
        <f aca="false">MIN(42, FLOOR(A81/32,1)+1)</f>
        <v>3</v>
      </c>
      <c r="C81" s="6" t="str">
        <f aca="false">INDEX(Grades_Realms!$B$2:$B$43, B81)</f>
        <v>Mortal Vessel · Perfected</v>
      </c>
      <c r="D81" s="6" t="n">
        <f aca="false">(A81+1)^2.4 * 1.004^A81</f>
        <v>50626.6604817664</v>
      </c>
      <c r="E81" s="6" t="n">
        <f aca="false">$I$2*(A81+1)^1.9*1.003^A81</f>
        <v>2.25998625640825</v>
      </c>
      <c r="F81" s="6" t="n">
        <f aca="false">(A81+1)^1.12</f>
        <v>135.350787032008</v>
      </c>
      <c r="G81" s="6" t="n">
        <f aca="false">G80+E81</f>
        <v>59.8286378993766</v>
      </c>
    </row>
    <row r="82" customFormat="false" ht="15" hidden="false" customHeight="true" outlineLevel="0" collapsed="false">
      <c r="A82" s="6" t="n">
        <v>80</v>
      </c>
      <c r="B82" s="6" t="n">
        <f aca="false">MIN(42, FLOOR(A82/32,1)+1)</f>
        <v>3</v>
      </c>
      <c r="C82" s="6" t="str">
        <f aca="false">INDEX(Grades_Realms!$B$2:$B$43, B82)</f>
        <v>Mortal Vessel · Perfected</v>
      </c>
      <c r="D82" s="6" t="n">
        <f aca="false">(A82+1)^2.4 * 1.004^A82</f>
        <v>52367.406990005</v>
      </c>
      <c r="E82" s="6" t="n">
        <f aca="false">$I$2*(A82+1)^1.9*1.003^A82</f>
        <v>2.32090461284106</v>
      </c>
      <c r="F82" s="6" t="n">
        <f aca="false">(A82+1)^1.12</f>
        <v>137.247114053111</v>
      </c>
      <c r="G82" s="6" t="n">
        <f aca="false">G81+E82</f>
        <v>62.1495425122176</v>
      </c>
    </row>
    <row r="83" customFormat="false" ht="15" hidden="false" customHeight="true" outlineLevel="0" collapsed="false">
      <c r="A83" s="6" t="n">
        <v>81</v>
      </c>
      <c r="B83" s="6" t="n">
        <f aca="false">MIN(42, FLOOR(A83/32,1)+1)</f>
        <v>3</v>
      </c>
      <c r="C83" s="6" t="str">
        <f aca="false">INDEX(Grades_Realms!$B$2:$B$43, B83)</f>
        <v>Mortal Vessel · Perfected</v>
      </c>
      <c r="D83" s="6" t="n">
        <f aca="false">(A83+1)^2.4 * 1.004^A83</f>
        <v>54148.1948768944</v>
      </c>
      <c r="E83" s="6" t="n">
        <f aca="false">$I$2*(A83+1)^1.9*1.003^A83</f>
        <v>2.38277485477626</v>
      </c>
      <c r="F83" s="6" t="n">
        <f aca="false">(A83+1)^1.12</f>
        <v>139.14625259681</v>
      </c>
      <c r="G83" s="6" t="n">
        <f aca="false">G82+E83</f>
        <v>64.5323173669939</v>
      </c>
    </row>
    <row r="84" customFormat="false" ht="15" hidden="false" customHeight="true" outlineLevel="0" collapsed="false">
      <c r="A84" s="6" t="n">
        <v>82</v>
      </c>
      <c r="B84" s="6" t="n">
        <f aca="false">MIN(42, FLOOR(A84/32,1)+1)</f>
        <v>3</v>
      </c>
      <c r="C84" s="6" t="str">
        <f aca="false">INDEX(Grades_Realms!$B$2:$B$43, B84)</f>
        <v>Mortal Vessel · Perfected</v>
      </c>
      <c r="D84" s="6" t="n">
        <f aca="false">(A84+1)^2.4 * 1.004^A84</f>
        <v>55969.5573310188</v>
      </c>
      <c r="E84" s="6" t="n">
        <f aca="false">$I$2*(A84+1)^1.9*1.003^A84</f>
        <v>2.44560321916615</v>
      </c>
      <c r="F84" s="6" t="n">
        <f aca="false">(A84+1)^1.12</f>
        <v>141.048172467074</v>
      </c>
      <c r="G84" s="6" t="n">
        <f aca="false">G83+E84</f>
        <v>66.97792058616</v>
      </c>
    </row>
    <row r="85" customFormat="false" ht="15" hidden="false" customHeight="true" outlineLevel="0" collapsed="false">
      <c r="A85" s="6" t="n">
        <v>83</v>
      </c>
      <c r="B85" s="6" t="n">
        <f aca="false">MIN(42, FLOOR(A85/32,1)+1)</f>
        <v>3</v>
      </c>
      <c r="C85" s="6" t="str">
        <f aca="false">INDEX(Grades_Realms!$B$2:$B$43, B85)</f>
        <v>Mortal Vessel · Perfected</v>
      </c>
      <c r="D85" s="6" t="n">
        <f aca="false">(A85+1)^2.4 * 1.004^A85</f>
        <v>57832.0316870537</v>
      </c>
      <c r="E85" s="6" t="n">
        <f aca="false">$I$2*(A85+1)^1.9*1.003^A85</f>
        <v>2.50939598277519</v>
      </c>
      <c r="F85" s="6" t="n">
        <f aca="false">(A85+1)^1.12</f>
        <v>142.952844152372</v>
      </c>
      <c r="G85" s="6" t="n">
        <f aca="false">G84+E85</f>
        <v>69.4873165689352</v>
      </c>
    </row>
    <row r="86" customFormat="false" ht="15" hidden="false" customHeight="true" outlineLevel="0" collapsed="false">
      <c r="A86" s="6" t="n">
        <v>84</v>
      </c>
      <c r="B86" s="6" t="n">
        <f aca="false">MIN(42, FLOOR(A86/32,1)+1)</f>
        <v>3</v>
      </c>
      <c r="C86" s="6" t="str">
        <f aca="false">INDEX(Grades_Realms!$B$2:$B$43, B86)</f>
        <v>Mortal Vessel · Perfected</v>
      </c>
      <c r="D86" s="6" t="n">
        <f aca="false">(A86+1)^2.4 * 1.004^A86</f>
        <v>59736.1594656063</v>
      </c>
      <c r="E86" s="6" t="n">
        <f aca="false">$I$2*(A86+1)^1.9*1.003^A86</f>
        <v>2.57415946219727</v>
      </c>
      <c r="F86" s="6" t="n">
        <f aca="false">(A86+1)^1.12</f>
        <v>144.860238802193</v>
      </c>
      <c r="G86" s="6" t="n">
        <f aca="false">G85+E86</f>
        <v>72.0614760311325</v>
      </c>
    </row>
    <row r="87" customFormat="false" ht="15" hidden="false" customHeight="true" outlineLevel="0" collapsed="false">
      <c r="A87" s="6" t="n">
        <v>85</v>
      </c>
      <c r="B87" s="6" t="n">
        <f aca="false">MIN(42, FLOOR(A87/32,1)+1)</f>
        <v>3</v>
      </c>
      <c r="C87" s="6" t="str">
        <f aca="false">INDEX(Grades_Realms!$B$2:$B$43, B87)</f>
        <v>Mortal Vessel · Perfected</v>
      </c>
      <c r="D87" s="6" t="n">
        <f aca="false">(A87+1)^2.4 * 1.004^A87</f>
        <v>61682.4864129732</v>
      </c>
      <c r="E87" s="6" t="n">
        <f aca="false">$I$2*(A87+1)^1.9*1.003^A87</f>
        <v>2.63990001387946</v>
      </c>
      <c r="F87" s="6" t="n">
        <f aca="false">(A87+1)^1.12</f>
        <v>146.770328204626</v>
      </c>
      <c r="G87" s="6" t="n">
        <f aca="false">G86+E87</f>
        <v>74.7013760450119</v>
      </c>
    </row>
    <row r="88" customFormat="false" ht="15" hidden="false" customHeight="true" outlineLevel="0" collapsed="false">
      <c r="A88" s="6" t="n">
        <v>86</v>
      </c>
      <c r="B88" s="6" t="n">
        <f aca="false">MIN(42, FLOOR(A88/32,1)+1)</f>
        <v>3</v>
      </c>
      <c r="C88" s="6" t="str">
        <f aca="false">INDEX(Grades_Realms!$B$2:$B$43, B88)</f>
        <v>Mortal Vessel · Perfected</v>
      </c>
      <c r="D88" s="6" t="n">
        <f aca="false">(A88+1)^2.4 * 1.004^A88</f>
        <v>63671.5625408324</v>
      </c>
      <c r="E88" s="6" t="n">
        <f aca="false">$I$2*(A88+1)^1.9*1.003^A88</f>
        <v>2.70662403415193</v>
      </c>
      <c r="F88" s="6" t="n">
        <f aca="false">(A88+1)^1.12</f>
        <v>148.68308476496</v>
      </c>
      <c r="G88" s="6" t="n">
        <f aca="false">G87+E88</f>
        <v>77.4080000791639</v>
      </c>
    </row>
    <row r="89" customFormat="false" ht="15" hidden="false" customHeight="true" outlineLevel="0" collapsed="false">
      <c r="A89" s="6" t="n">
        <v>87</v>
      </c>
      <c r="B89" s="6" t="n">
        <f aca="false">MIN(42, FLOOR(A89/32,1)+1)</f>
        <v>3</v>
      </c>
      <c r="C89" s="6" t="str">
        <f aca="false">INDEX(Grades_Realms!$B$2:$B$43, B89)</f>
        <v>Mortal Vessel · Perfected</v>
      </c>
      <c r="D89" s="6" t="n">
        <f aca="false">(A89+1)^2.4 * 1.004^A89</f>
        <v>65703.9421658814</v>
      </c>
      <c r="E89" s="6" t="n">
        <f aca="false">$I$2*(A89+1)^1.9*1.003^A89</f>
        <v>2.77433795926384</v>
      </c>
      <c r="F89" s="6" t="n">
        <f aca="false">(A89+1)^1.12</f>
        <v>150.598481485235</v>
      </c>
      <c r="G89" s="6" t="n">
        <f aca="false">G88+E89</f>
        <v>80.1823380384277</v>
      </c>
    </row>
    <row r="90" customFormat="false" ht="15" hidden="false" customHeight="true" outlineLevel="0" collapsed="false">
      <c r="A90" s="6" t="n">
        <v>88</v>
      </c>
      <c r="B90" s="6" t="n">
        <f aca="false">MIN(42, FLOOR(A90/32,1)+1)</f>
        <v>3</v>
      </c>
      <c r="C90" s="6" t="str">
        <f aca="false">INDEX(Grades_Realms!$B$2:$B$43, B90)</f>
        <v>Mortal Vessel · Perfected</v>
      </c>
      <c r="D90" s="6" t="n">
        <f aca="false">(A90+1)^2.4 * 1.004^A90</f>
        <v>67780.1839494347</v>
      </c>
      <c r="E90" s="6" t="n">
        <f aca="false">$I$2*(A90+1)^1.9*1.003^A90</f>
        <v>2.84304826542489</v>
      </c>
      <c r="F90" s="6" t="n">
        <f aca="false">(A90+1)^1.12</f>
        <v>152.516491944698</v>
      </c>
      <c r="G90" s="6" t="n">
        <f aca="false">G89+E90</f>
        <v>83.0253863038526</v>
      </c>
    </row>
    <row r="91" customFormat="false" ht="15" hidden="false" customHeight="true" outlineLevel="0" collapsed="false">
      <c r="A91" s="6" t="n">
        <v>89</v>
      </c>
      <c r="B91" s="6" t="n">
        <f aca="false">MIN(42, FLOOR(A91/32,1)+1)</f>
        <v>3</v>
      </c>
      <c r="C91" s="6" t="str">
        <f aca="false">INDEX(Grades_Realms!$B$2:$B$43, B91)</f>
        <v>Mortal Vessel · Perfected</v>
      </c>
      <c r="D91" s="6" t="n">
        <f aca="false">(A91+1)^2.4 * 1.004^A91</f>
        <v>69900.8509369932</v>
      </c>
      <c r="E91" s="6" t="n">
        <f aca="false">$I$2*(A91+1)^1.9*1.003^A91</f>
        <v>2.91276146885225</v>
      </c>
      <c r="F91" s="6" t="n">
        <f aca="false">(A91+1)^1.12</f>
        <v>154.43709028111</v>
      </c>
      <c r="G91" s="6" t="n">
        <f aca="false">G90+E91</f>
        <v>85.9381477727049</v>
      </c>
    </row>
    <row r="92" customFormat="false" ht="15" hidden="false" customHeight="true" outlineLevel="0" collapsed="false">
      <c r="A92" s="6" t="n">
        <v>90</v>
      </c>
      <c r="B92" s="6" t="n">
        <f aca="false">MIN(42, FLOOR(A92/32,1)+1)</f>
        <v>3</v>
      </c>
      <c r="C92" s="6" t="str">
        <f aca="false">INDEX(Grades_Realms!$B$2:$B$43, B92)</f>
        <v>Mortal Vessel · Perfected</v>
      </c>
      <c r="D92" s="6" t="n">
        <f aca="false">(A92+1)^2.4 * 1.004^A92</f>
        <v>72066.5105977976</v>
      </c>
      <c r="E92" s="6" t="n">
        <f aca="false">$I$2*(A92+1)^1.9*1.003^A92</f>
        <v>2.98348412582281</v>
      </c>
      <c r="F92" s="6" t="n">
        <f aca="false">(A92+1)^1.12</f>
        <v>156.360251172859</v>
      </c>
      <c r="G92" s="6" t="n">
        <f aca="false">G91+E92</f>
        <v>88.9216318985277</v>
      </c>
    </row>
    <row r="93" customFormat="false" ht="15" hidden="false" customHeight="true" outlineLevel="0" collapsed="false">
      <c r="A93" s="6" t="n">
        <v>91</v>
      </c>
      <c r="B93" s="6" t="n">
        <f aca="false">MIN(42, FLOOR(A93/32,1)+1)</f>
        <v>3</v>
      </c>
      <c r="C93" s="6" t="str">
        <f aca="false">INDEX(Grades_Realms!$B$2:$B$43, B93)</f>
        <v>Mortal Vessel · Perfected</v>
      </c>
      <c r="D93" s="6" t="n">
        <f aca="false">(A93+1)^2.4 * 1.004^A93</f>
        <v>74277.7348643752</v>
      </c>
      <c r="E93" s="6" t="n">
        <f aca="false">$I$2*(A93+1)^1.9*1.003^A93</f>
        <v>3.05522283273032</v>
      </c>
      <c r="F93" s="6" t="n">
        <f aca="false">(A93+1)^1.12</f>
        <v>158.28594982184</v>
      </c>
      <c r="G93" s="6" t="n">
        <f aca="false">G92+E93</f>
        <v>91.976854731258</v>
      </c>
    </row>
    <row r="94" customFormat="false" ht="15" hidden="false" customHeight="true" outlineLevel="0" collapsed="false">
      <c r="A94" s="6" t="n">
        <v>92</v>
      </c>
      <c r="B94" s="6" t="n">
        <f aca="false">MIN(42, FLOOR(A94/32,1)+1)</f>
        <v>3</v>
      </c>
      <c r="C94" s="6" t="str">
        <f aca="false">INDEX(Grades_Realms!$B$2:$B$43, B94)</f>
        <v>Mortal Vessel · Perfected</v>
      </c>
      <c r="D94" s="6" t="n">
        <f aca="false">(A94+1)^2.4 * 1.004^A94</f>
        <v>76535.100172093</v>
      </c>
      <c r="E94" s="6" t="n">
        <f aca="false">$I$2*(A94+1)^1.9*1.003^A94</f>
        <v>3.12798422614743</v>
      </c>
      <c r="F94" s="6" t="n">
        <f aca="false">(A94+1)^1.12</f>
        <v>160.214161937054</v>
      </c>
      <c r="G94" s="6" t="n">
        <f aca="false">G93+E94</f>
        <v>95.1048389574054</v>
      </c>
    </row>
    <row r="95" customFormat="false" ht="15" hidden="false" customHeight="true" outlineLevel="0" collapsed="false">
      <c r="A95" s="6" t="n">
        <v>93</v>
      </c>
      <c r="B95" s="6" t="n">
        <f aca="false">MIN(42, FLOOR(A95/32,1)+1)</f>
        <v>3</v>
      </c>
      <c r="C95" s="6" t="str">
        <f aca="false">INDEX(Grades_Realms!$B$2:$B$43, B95)</f>
        <v>Mortal Vessel · Perfected</v>
      </c>
      <c r="D95" s="6" t="n">
        <f aca="false">(A95+1)^2.4 * 1.004^A95</f>
        <v>78839.1874987255</v>
      </c>
      <c r="E95" s="6" t="n">
        <f aca="false">$I$2*(A95+1)^1.9*1.003^A95</f>
        <v>3.20177498289225</v>
      </c>
      <c r="F95" s="6" t="n">
        <f aca="false">(A95+1)^1.12</f>
        <v>162.144863718889</v>
      </c>
      <c r="G95" s="6" t="n">
        <f aca="false">G94+E95</f>
        <v>98.3066139402977</v>
      </c>
    </row>
    <row r="96" customFormat="false" ht="15" hidden="false" customHeight="true" outlineLevel="0" collapsed="false">
      <c r="A96" s="6" t="n">
        <v>94</v>
      </c>
      <c r="B96" s="6" t="n">
        <f aca="false">MIN(42, FLOOR(A96/32,1)+1)</f>
        <v>3</v>
      </c>
      <c r="C96" s="6" t="str">
        <f aca="false">INDEX(Grades_Realms!$B$2:$B$43, B96)</f>
        <v>Mortal Vessel · Perfected</v>
      </c>
      <c r="D96" s="6" t="n">
        <f aca="false">(A96+1)^2.4 * 1.004^A96</f>
        <v>81190.5824040474</v>
      </c>
      <c r="E96" s="6" t="n">
        <f aca="false">$I$2*(A96+1)^1.9*1.003^A96</f>
        <v>3.27660182009944</v>
      </c>
      <c r="F96" s="6" t="n">
        <f aca="false">(A96+1)^1.12</f>
        <v>164.078031844061</v>
      </c>
      <c r="G96" s="6" t="n">
        <f aca="false">G95+E96</f>
        <v>101.583215760397</v>
      </c>
    </row>
    <row r="97" customFormat="false" ht="15" hidden="false" customHeight="true" outlineLevel="0" collapsed="false">
      <c r="A97" s="6" t="n">
        <v>95</v>
      </c>
      <c r="B97" s="6" t="n">
        <f aca="false">MIN(42, FLOOR(A97/32,1)+1)</f>
        <v>3</v>
      </c>
      <c r="C97" s="6" t="str">
        <f aca="false">INDEX(Grades_Realms!$B$2:$B$43, B97)</f>
        <v>Mortal Vessel · Perfected</v>
      </c>
      <c r="D97" s="6" t="n">
        <f aca="false">(A97+1)^2.4 * 1.004^A97</f>
        <v>83589.8750694604</v>
      </c>
      <c r="E97" s="6" t="n">
        <f aca="false">$I$2*(A97+1)^1.9*1.003^A97</f>
        <v>3.35247149529551</v>
      </c>
      <c r="F97" s="6" t="n">
        <f aca="false">(A97+1)^1.12</f>
        <v>166.013643451157</v>
      </c>
      <c r="G97" s="6" t="n">
        <f aca="false">G96+E97</f>
        <v>104.935687255693</v>
      </c>
    </row>
    <row r="98" customFormat="false" ht="15" hidden="false" customHeight="true" outlineLevel="0" collapsed="false">
      <c r="A98" s="6" t="n">
        <v>96</v>
      </c>
      <c r="B98" s="6" t="n">
        <f aca="false">MIN(42, FLOOR(A98/32,1)+1)</f>
        <v>4</v>
      </c>
      <c r="C98" s="6" t="str">
        <f aca="false">INDEX(Grades_Realms!$B$2:$B$43, B98)</f>
        <v>Awakened Meridian · Initial</v>
      </c>
      <c r="D98" s="6" t="n">
        <f aca="false">(A98+1)^2.4 * 1.004^A98</f>
        <v>86037.6603376637</v>
      </c>
      <c r="E98" s="6" t="n">
        <f aca="false">$I$2*(A98+1)^1.9*1.003^A98</f>
        <v>3.42939080647827</v>
      </c>
      <c r="F98" s="6" t="n">
        <f aca="false">(A98+1)^1.12</f>
        <v>167.951676126772</v>
      </c>
      <c r="G98" s="6" t="n">
        <f aca="false">G97+E98</f>
        <v>108.365078062171</v>
      </c>
    </row>
    <row r="99" customFormat="false" ht="15" hidden="false" customHeight="true" outlineLevel="0" collapsed="false">
      <c r="A99" s="6" t="n">
        <v>97</v>
      </c>
      <c r="B99" s="6" t="n">
        <f aca="false">MIN(42, FLOOR(A99/32,1)+1)</f>
        <v>4</v>
      </c>
      <c r="C99" s="6" t="str">
        <f aca="false">INDEX(Grades_Realms!$B$2:$B$43, B99)</f>
        <v>Awakened Meridian · Initial</v>
      </c>
      <c r="D99" s="6" t="n">
        <f aca="false">(A99+1)^2.4 * 1.004^A99</f>
        <v>88534.5377523744</v>
      </c>
      <c r="E99" s="6" t="n">
        <f aca="false">$I$2*(A99+1)^1.9*1.003^A99</f>
        <v>3.50736659220021</v>
      </c>
      <c r="F99" s="6" t="n">
        <f aca="false">(A99+1)^1.12</f>
        <v>169.892107892199</v>
      </c>
      <c r="G99" s="6" t="n">
        <f aca="false">G98+E99</f>
        <v>111.872444654371</v>
      </c>
    </row>
    <row r="100" customFormat="false" ht="15" hidden="false" customHeight="true" outlineLevel="0" collapsed="false">
      <c r="A100" s="6" t="n">
        <v>98</v>
      </c>
      <c r="B100" s="6" t="n">
        <f aca="false">MIN(42, FLOOR(A100/32,1)+1)</f>
        <v>4</v>
      </c>
      <c r="C100" s="6" t="str">
        <f aca="false">INDEX(Grades_Realms!$B$2:$B$43, B100)</f>
        <v>Awakened Meridian · Initial</v>
      </c>
      <c r="D100" s="6" t="n">
        <f aca="false">(A100+1)^2.4 * 1.004^A100</f>
        <v>91081.111598109</v>
      </c>
      <c r="E100" s="6" t="n">
        <f aca="false">$I$2*(A100+1)^1.9*1.003^A100</f>
        <v>3.58640573165578</v>
      </c>
      <c r="F100" s="6" t="n">
        <f aca="false">(A100+1)^1.12</f>
        <v>171.834917190642</v>
      </c>
      <c r="G100" s="6" t="n">
        <f aca="false">G99+E100</f>
        <v>115.458850386027</v>
      </c>
    </row>
    <row r="101" customFormat="false" ht="15" hidden="false" customHeight="true" outlineLevel="0" collapsed="false">
      <c r="A101" s="6" t="n">
        <v>99</v>
      </c>
      <c r="B101" s="6" t="n">
        <f aca="false">MIN(42, FLOOR(A101/32,1)+1)</f>
        <v>4</v>
      </c>
      <c r="C101" s="6" t="str">
        <f aca="false">INDEX(Grades_Realms!$B$2:$B$43, B101)</f>
        <v>Awakened Meridian · Initial</v>
      </c>
      <c r="D101" s="6" t="n">
        <f aca="false">(A101+1)^2.4 * 1.004^A101</f>
        <v>93677.9909400312</v>
      </c>
      <c r="E101" s="6" t="n">
        <f aca="false">$I$2*(A101+1)^1.9*1.003^A101</f>
        <v>3.66651514477229</v>
      </c>
      <c r="F101" s="6" t="n">
        <f aca="false">(A101+1)^1.12</f>
        <v>173.780082874938</v>
      </c>
      <c r="G101" s="6" t="n">
        <f aca="false">G100+E101</f>
        <v>119.125365530799</v>
      </c>
    </row>
    <row r="102" customFormat="false" ht="15" hidden="false" customHeight="true" outlineLevel="0" collapsed="false">
      <c r="A102" s="6" t="n">
        <v>100</v>
      </c>
      <c r="B102" s="6" t="n">
        <f aca="false">MIN(42, FLOOR(A102/32,1)+1)</f>
        <v>4</v>
      </c>
      <c r="C102" s="6" t="str">
        <f aca="false">INDEX(Grades_Realms!$B$2:$B$43, B102)</f>
        <v>Awakened Meridian · Initial</v>
      </c>
      <c r="D102" s="6" t="n">
        <f aca="false">(A102+1)^2.4 * 1.004^A102</f>
        <v>96325.7896638746</v>
      </c>
      <c r="E102" s="6" t="n">
        <f aca="false">$I$2*(A102+1)^1.9*1.003^A102</f>
        <v>3.7477017923044</v>
      </c>
      <c r="F102" s="6" t="n">
        <f aca="false">(A102+1)^1.12</f>
        <v>175.727584195749</v>
      </c>
      <c r="G102" s="6" t="n">
        <f aca="false">G101+E102</f>
        <v>122.873067323104</v>
      </c>
    </row>
    <row r="103" customFormat="false" ht="15" hidden="false" customHeight="true" outlineLevel="0" collapsed="false">
      <c r="A103" s="6" t="n">
        <v>101</v>
      </c>
      <c r="B103" s="6" t="n">
        <f aca="false">MIN(42, FLOOR(A103/32,1)+1)</f>
        <v>4</v>
      </c>
      <c r="C103" s="6" t="str">
        <f aca="false">INDEX(Grades_Realms!$B$2:$B$43, B103)</f>
        <v>Awakened Meridian · Initial</v>
      </c>
      <c r="D103" s="6" t="n">
        <f aca="false">(A103+1)^2.4 * 1.004^A103</f>
        <v>99025.1265159474</v>
      </c>
      <c r="E103" s="6" t="n">
        <f aca="false">$I$2*(A103+1)^1.9*1.003^A103</f>
        <v>3.82997267593209</v>
      </c>
      <c r="F103" s="6" t="n">
        <f aca="false">(A103+1)^1.12</f>
        <v>177.677400790212</v>
      </c>
      <c r="G103" s="6" t="n">
        <f aca="false">G102+E103</f>
        <v>126.703039999036</v>
      </c>
    </row>
    <row r="104" customFormat="false" ht="15" hidden="false" customHeight="true" outlineLevel="0" collapsed="false">
      <c r="A104" s="6" t="n">
        <v>102</v>
      </c>
      <c r="B104" s="6" t="n">
        <f aca="false">MIN(42, FLOOR(A104/32,1)+1)</f>
        <v>4</v>
      </c>
      <c r="C104" s="6" t="str">
        <f aca="false">INDEX(Grades_Realms!$B$2:$B$43, B104)</f>
        <v>Awakened Meridian · Initial</v>
      </c>
      <c r="D104" s="6" t="n">
        <f aca="false">(A104+1)^2.4 * 1.004^A104</f>
        <v>101776.625143226</v>
      </c>
      <c r="E104" s="6" t="n">
        <f aca="false">$I$2*(A104+1)^1.9*1.003^A104</f>
        <v>3.91333483836198</v>
      </c>
      <c r="F104" s="6" t="n">
        <f aca="false">(A104+1)^1.12</f>
        <v>179.629512671018</v>
      </c>
      <c r="G104" s="6" t="n">
        <f aca="false">G103+E104</f>
        <v>130.616374837398</v>
      </c>
    </row>
    <row r="105" customFormat="false" ht="15" hidden="false" customHeight="true" outlineLevel="0" collapsed="false">
      <c r="A105" s="6" t="n">
        <v>103</v>
      </c>
      <c r="B105" s="6" t="n">
        <f aca="false">MIN(42, FLOOR(A105/32,1)+1)</f>
        <v>4</v>
      </c>
      <c r="C105" s="6" t="str">
        <f aca="false">INDEX(Grades_Realms!$B$2:$B$43, B105)</f>
        <v>Awakened Meridian · Initial</v>
      </c>
      <c r="D105" s="6" t="n">
        <f aca="false">(A105+1)^2.4 * 1.004^A105</f>
        <v>104580.914133543</v>
      </c>
      <c r="E105" s="6" t="n">
        <f aca="false">$I$2*(A105+1)^1.9*1.003^A105</f>
        <v>3.99779536343181</v>
      </c>
      <c r="F105" s="6" t="n">
        <f aca="false">(A105+1)^1.12</f>
        <v>181.583900215907</v>
      </c>
      <c r="G105" s="6" t="n">
        <f aca="false">G104+E105</f>
        <v>134.614170200829</v>
      </c>
    </row>
    <row r="106" customFormat="false" ht="15" hidden="false" customHeight="true" outlineLevel="0" collapsed="false">
      <c r="A106" s="6" t="n">
        <v>104</v>
      </c>
      <c r="B106" s="6" t="n">
        <f aca="false">MIN(42, FLOOR(A106/32,1)+1)</f>
        <v>4</v>
      </c>
      <c r="C106" s="6" t="str">
        <f aca="false">INDEX(Grades_Realms!$B$2:$B$43, B106)</f>
        <v>Awakened Meridian · Initial</v>
      </c>
      <c r="D106" s="6" t="n">
        <f aca="false">(A106+1)^2.4 * 1.004^A106</f>
        <v>107438.627055879</v>
      </c>
      <c r="E106" s="6" t="n">
        <f aca="false">$I$2*(A106+1)^1.9*1.003^A106</f>
        <v>4.08336137621811</v>
      </c>
      <c r="F106" s="6" t="n">
        <f aca="false">(A106+1)^1.12</f>
        <v>183.540544157548</v>
      </c>
      <c r="G106" s="6" t="n">
        <f aca="false">G105+E106</f>
        <v>138.697531577048</v>
      </c>
    </row>
    <row r="107" customFormat="false" ht="15" hidden="false" customHeight="true" outlineLevel="0" collapsed="false">
      <c r="A107" s="6" t="n">
        <v>105</v>
      </c>
      <c r="B107" s="6" t="n">
        <f aca="false">MIN(42, FLOOR(A107/32,1)+1)</f>
        <v>4</v>
      </c>
      <c r="C107" s="6" t="str">
        <f aca="false">INDEX(Grades_Realms!$B$2:$B$43, B107)</f>
        <v>Awakened Meridian · Initial</v>
      </c>
      <c r="D107" s="6" t="n">
        <f aca="false">(A107+1)^2.4 * 1.004^A107</f>
        <v>110350.40250076</v>
      </c>
      <c r="E107" s="6" t="n">
        <f aca="false">$I$2*(A107+1)^1.9*1.003^A107</f>
        <v>4.17004004314692</v>
      </c>
      <c r="F107" s="6" t="n">
        <f aca="false">(A107+1)^1.12</f>
        <v>185.499425573803</v>
      </c>
      <c r="G107" s="6" t="n">
        <f aca="false">G106+E107</f>
        <v>142.867571620194</v>
      </c>
    </row>
    <row r="108" customFormat="false" ht="15" hidden="false" customHeight="true" outlineLevel="0" collapsed="false">
      <c r="A108" s="6" t="n">
        <v>106</v>
      </c>
      <c r="B108" s="6" t="n">
        <f aca="false">MIN(42, FLOOR(A108/32,1)+1)</f>
        <v>4</v>
      </c>
      <c r="C108" s="6" t="str">
        <f aca="false">INDEX(Grades_Realms!$B$2:$B$43, B108)</f>
        <v>Awakened Meridian · Initial</v>
      </c>
      <c r="D108" s="6" t="n">
        <f aca="false">(A108+1)^2.4 * 1.004^A108</f>
        <v>113316.884120771</v>
      </c>
      <c r="E108" s="6" t="n">
        <f aca="false">$I$2*(A108+1)^1.9*1.003^A108</f>
        <v>4.25783857210742</v>
      </c>
      <c r="F108" s="6" t="n">
        <f aca="false">(A108+1)^1.12</f>
        <v>187.460525878338</v>
      </c>
      <c r="G108" s="6" t="n">
        <f aca="false">G107+E108</f>
        <v>147.125410192302</v>
      </c>
    </row>
    <row r="109" customFormat="false" ht="15" hidden="false" customHeight="true" outlineLevel="0" collapsed="false">
      <c r="A109" s="6" t="n">
        <v>107</v>
      </c>
      <c r="B109" s="6" t="n">
        <f aca="false">MIN(42, FLOOR(A109/32,1)+1)</f>
        <v>4</v>
      </c>
      <c r="C109" s="6" t="str">
        <f aca="false">INDEX(Grades_Realms!$B$2:$B$43, B109)</f>
        <v>Awakened Meridian · Initial</v>
      </c>
      <c r="D109" s="6" t="n">
        <f aca="false">(A109+1)^2.4 * 1.004^A109</f>
        <v>116338.720671186</v>
      </c>
      <c r="E109" s="6" t="n">
        <f aca="false">$I$2*(A109+1)^1.9*1.003^A109</f>
        <v>4.34676421256846</v>
      </c>
      <c r="F109" s="6" t="n">
        <f aca="false">(A109+1)^1.12</f>
        <v>189.423826811581</v>
      </c>
      <c r="G109" s="6" t="n">
        <f aca="false">G108+E109</f>
        <v>151.47217440487</v>
      </c>
    </row>
    <row r="110" customFormat="false" ht="15" hidden="false" customHeight="true" outlineLevel="0" collapsed="false">
      <c r="A110" s="6" t="n">
        <v>108</v>
      </c>
      <c r="B110" s="6" t="n">
        <f aca="false">MIN(42, FLOOR(A110/32,1)+1)</f>
        <v>4</v>
      </c>
      <c r="C110" s="6" t="str">
        <f aca="false">INDEX(Grades_Realms!$B$2:$B$43, B110)</f>
        <v>Awakened Meridian · Initial</v>
      </c>
      <c r="D110" s="6" t="n">
        <f aca="false">(A110+1)^2.4 * 1.004^A110</f>
        <v>119416.566050726</v>
      </c>
      <c r="E110" s="6" t="n">
        <f aca="false">$I$2*(A110+1)^1.9*1.003^A110</f>
        <v>4.4368242556978</v>
      </c>
      <c r="F110" s="6" t="n">
        <f aca="false">(A110+1)^1.12</f>
        <v>191.389310432002</v>
      </c>
      <c r="G110" s="6" t="n">
        <f aca="false">G109+E110</f>
        <v>155.908998660568</v>
      </c>
    </row>
    <row r="111" customFormat="false" ht="15" hidden="false" customHeight="true" outlineLevel="0" collapsed="false">
      <c r="A111" s="6" t="n">
        <v>109</v>
      </c>
      <c r="B111" s="6" t="n">
        <f aca="false">MIN(42, FLOOR(A111/32,1)+1)</f>
        <v>4</v>
      </c>
      <c r="C111" s="6" t="str">
        <f aca="false">INDEX(Grades_Realms!$B$2:$B$43, B111)</f>
        <v>Awakened Meridian · Initial</v>
      </c>
      <c r="D111" s="6" t="n">
        <f aca="false">(A111+1)^2.4 * 1.004^A111</f>
        <v>122551.079342447</v>
      </c>
      <c r="E111" s="6" t="n">
        <f aca="false">$I$2*(A111+1)^1.9*1.003^A111</f>
        <v>4.52802603448416</v>
      </c>
      <c r="F111" s="6" t="n">
        <f aca="false">(A111+1)^1.12</f>
        <v>193.356959107707</v>
      </c>
      <c r="G111" s="6" t="n">
        <f aca="false">G110+E111</f>
        <v>160.437024695052</v>
      </c>
    </row>
    <row r="112" customFormat="false" ht="15" hidden="false" customHeight="true" outlineLevel="0" collapsed="false">
      <c r="A112" s="6" t="n">
        <v>110</v>
      </c>
      <c r="B112" s="6" t="n">
        <f aca="false">MIN(42, FLOOR(A112/32,1)+1)</f>
        <v>4</v>
      </c>
      <c r="C112" s="6" t="str">
        <f aca="false">INDEX(Grades_Realms!$B$2:$B$43, B112)</f>
        <v>Awakened Meridian · Initial</v>
      </c>
      <c r="D112" s="6" t="n">
        <f aca="false">(A112+1)^2.4 * 1.004^A112</f>
        <v>125742.924854764</v>
      </c>
      <c r="E112" s="6" t="n">
        <f aca="false">$I$2*(A112+1)^1.9*1.003^A112</f>
        <v>4.62037692386181</v>
      </c>
      <c r="F112" s="6" t="n">
        <f aca="false">(A112+1)^1.12</f>
        <v>195.326755508321</v>
      </c>
      <c r="G112" s="6" t="n">
        <f aca="false">G111+E112</f>
        <v>165.057401618914</v>
      </c>
    </row>
    <row r="113" customFormat="false" ht="15" hidden="false" customHeight="true" outlineLevel="0" collapsed="false">
      <c r="A113" s="6" t="n">
        <v>111</v>
      </c>
      <c r="B113" s="6" t="n">
        <f aca="false">MIN(42, FLOOR(A113/32,1)+1)</f>
        <v>4</v>
      </c>
      <c r="C113" s="6" t="str">
        <f aca="false">INDEX(Grades_Realms!$B$2:$B$43, B113)</f>
        <v>Awakened Meridian · Initial</v>
      </c>
      <c r="D113" s="6" t="n">
        <f aca="false">(A113+1)^2.4 * 1.004^A113</f>
        <v>128992.772162611</v>
      </c>
      <c r="E113" s="6" t="n">
        <f aca="false">$I$2*(A113+1)^1.9*1.003^A113</f>
        <v>4.71388434083774</v>
      </c>
      <c r="F113" s="6" t="n">
        <f aca="false">(A113+1)^1.12</f>
        <v>197.298682597166</v>
      </c>
      <c r="G113" s="6" t="n">
        <f aca="false">G112+E113</f>
        <v>169.771285959752</v>
      </c>
    </row>
    <row r="114" customFormat="false" ht="15" hidden="false" customHeight="true" outlineLevel="0" collapsed="false">
      <c r="A114" s="6" t="n">
        <v>112</v>
      </c>
      <c r="B114" s="6" t="n">
        <f aca="false">MIN(42, FLOOR(A114/32,1)+1)</f>
        <v>4</v>
      </c>
      <c r="C114" s="6" t="str">
        <f aca="false">INDEX(Grades_Realms!$B$2:$B$43, B114)</f>
        <v>Awakened Meridian · Initial</v>
      </c>
      <c r="D114" s="6" t="n">
        <f aca="false">(A114+1)^2.4 * 1.004^A114</f>
        <v>132301.296148757</v>
      </c>
      <c r="E114" s="6" t="n">
        <f aca="false">$I$2*(A114+1)^1.9*1.003^A114</f>
        <v>4.80855574462137</v>
      </c>
      <c r="F114" s="6" t="n">
        <f aca="false">(A114+1)^1.12</f>
        <v>199.272723623702</v>
      </c>
      <c r="G114" s="6" t="n">
        <f aca="false">G113+E114</f>
        <v>174.579841704373</v>
      </c>
    </row>
    <row r="115" customFormat="false" ht="15" hidden="false" customHeight="true" outlineLevel="0" collapsed="false">
      <c r="A115" s="6" t="n">
        <v>113</v>
      </c>
      <c r="B115" s="6" t="n">
        <f aca="false">MIN(42, FLOOR(A115/32,1)+1)</f>
        <v>4</v>
      </c>
      <c r="C115" s="6" t="str">
        <f aca="false">INDEX(Grades_Realms!$B$2:$B$43, B115)</f>
        <v>Awakened Meridian · Initial</v>
      </c>
      <c r="D115" s="6" t="n">
        <f aca="false">(A115+1)^2.4 * 1.004^A115</f>
        <v>135669.177045257</v>
      </c>
      <c r="E115" s="6" t="n">
        <f aca="false">$I$2*(A115+1)^1.9*1.003^A115</f>
        <v>4.90439863675665</v>
      </c>
      <c r="F115" s="6" t="n">
        <f aca="false">(A115+1)^1.12</f>
        <v>201.248862116228</v>
      </c>
      <c r="G115" s="6" t="n">
        <f aca="false">G114+E115</f>
        <v>179.48424034113</v>
      </c>
    </row>
    <row r="116" customFormat="false" ht="15" hidden="false" customHeight="true" outlineLevel="0" collapsed="false">
      <c r="A116" s="6" t="n">
        <v>114</v>
      </c>
      <c r="B116" s="6" t="n">
        <f aca="false">MIN(42, FLOOR(A116/32,1)+1)</f>
        <v>4</v>
      </c>
      <c r="C116" s="6" t="str">
        <f aca="false">INDEX(Grades_Realms!$B$2:$B$43, B116)</f>
        <v>Awakened Meridian · Initial</v>
      </c>
      <c r="D116" s="6" t="n">
        <f aca="false">(A116+1)^2.4 * 1.004^A116</f>
        <v>139097.100475077</v>
      </c>
      <c r="E116" s="6" t="n">
        <f aca="false">$I$2*(A116+1)^1.9*1.003^A116</f>
        <v>5.00142056125651</v>
      </c>
      <c r="F116" s="6" t="n">
        <f aca="false">(A116+1)^1.12</f>
        <v>203.227081874837</v>
      </c>
      <c r="G116" s="6" t="n">
        <f aca="false">G115+E116</f>
        <v>184.485660902386</v>
      </c>
    </row>
    <row r="117" customFormat="false" ht="15" hidden="false" customHeight="true" outlineLevel="0" collapsed="false">
      <c r="A117" s="6" t="n">
        <v>115</v>
      </c>
      <c r="B117" s="6" t="n">
        <f aca="false">MIN(42, FLOOR(A117/32,1)+1)</f>
        <v>4</v>
      </c>
      <c r="C117" s="6" t="str">
        <f aca="false">INDEX(Grades_Realms!$B$2:$B$43, B117)</f>
        <v>Awakened Meridian · Initial</v>
      </c>
      <c r="D117" s="6" t="n">
        <f aca="false">(A117+1)^2.4 * 1.004^A117</f>
        <v>142585.757493857</v>
      </c>
      <c r="E117" s="6" t="n">
        <f aca="false">$I$2*(A117+1)^1.9*1.003^A117</f>
        <v>5.09962910473969</v>
      </c>
      <c r="F117" s="6" t="n">
        <f aca="false">(A117+1)^1.12</f>
        <v>205.207366964603</v>
      </c>
      <c r="G117" s="6" t="n">
        <f aca="false">G116+E117</f>
        <v>189.585290007126</v>
      </c>
    </row>
    <row r="118" customFormat="false" ht="15" hidden="false" customHeight="true" outlineLevel="0" collapsed="false">
      <c r="A118" s="6" t="n">
        <v>116</v>
      </c>
      <c r="B118" s="6" t="n">
        <f aca="false">MIN(42, FLOOR(A118/32,1)+1)</f>
        <v>4</v>
      </c>
      <c r="C118" s="6" t="str">
        <f aca="false">INDEX(Grades_Realms!$B$2:$B$43, B118)</f>
        <v>Awakened Meridian · Initial</v>
      </c>
      <c r="D118" s="6" t="n">
        <f aca="false">(A118+1)^2.4 * 1.004^A118</f>
        <v>146135.844631859</v>
      </c>
      <c r="E118" s="6" t="n">
        <f aca="false">$I$2*(A118+1)^1.9*1.003^A118</f>
        <v>5.19903189656977</v>
      </c>
      <c r="F118" s="6" t="n">
        <f aca="false">(A118+1)^1.12</f>
        <v>207.189701708999</v>
      </c>
      <c r="G118" s="6" t="n">
        <f aca="false">G117+E118</f>
        <v>194.784321903696</v>
      </c>
    </row>
    <row r="119" customFormat="false" ht="15" hidden="false" customHeight="true" outlineLevel="0" collapsed="false">
      <c r="A119" s="6" t="n">
        <v>117</v>
      </c>
      <c r="B119" s="6" t="n">
        <f aca="false">MIN(42, FLOOR(A119/32,1)+1)</f>
        <v>4</v>
      </c>
      <c r="C119" s="6" t="str">
        <f aca="false">INDEX(Grades_Realms!$B$2:$B$43, B119)</f>
        <v>Awakened Meridian · Initial</v>
      </c>
      <c r="D119" s="6" t="n">
        <f aca="false">(A119+1)^2.4 * 1.004^A119</f>
        <v>149748.063936064</v>
      </c>
      <c r="E119" s="6" t="n">
        <f aca="false">$I$2*(A119+1)^1.9*1.003^A119</f>
        <v>5.29963660899645</v>
      </c>
      <c r="F119" s="6" t="n">
        <f aca="false">(A119+1)^1.12</f>
        <v>209.174070683533</v>
      </c>
      <c r="G119" s="6" t="n">
        <f aca="false">G118+E119</f>
        <v>200.083958512692</v>
      </c>
    </row>
    <row r="120" customFormat="false" ht="15" hidden="false" customHeight="true" outlineLevel="0" collapsed="false">
      <c r="A120" s="6" t="n">
        <v>118</v>
      </c>
      <c r="B120" s="6" t="n">
        <f aca="false">MIN(42, FLOOR(A120/32,1)+1)</f>
        <v>4</v>
      </c>
      <c r="C120" s="6" t="str">
        <f aca="false">INDEX(Grades_Realms!$B$2:$B$43, B120)</f>
        <v>Awakened Meridian · Initial</v>
      </c>
      <c r="D120" s="6" t="n">
        <f aca="false">(A120+1)^2.4 * 1.004^A120</f>
        <v>153423.123012454</v>
      </c>
      <c r="E120" s="6" t="n">
        <f aca="false">$I$2*(A120+1)^1.9*1.003^A120</f>
        <v>5.40145095729897</v>
      </c>
      <c r="F120" s="6" t="n">
        <f aca="false">(A120+1)^1.12</f>
        <v>211.160458709595</v>
      </c>
      <c r="G120" s="6" t="n">
        <f aca="false">G119+E120</f>
        <v>205.485409469991</v>
      </c>
    </row>
    <row r="121" customFormat="false" ht="15" hidden="false" customHeight="true" outlineLevel="0" collapsed="false">
      <c r="A121" s="6" t="n">
        <v>119</v>
      </c>
      <c r="B121" s="6" t="n">
        <f aca="false">MIN(42, FLOOR(A121/32,1)+1)</f>
        <v>4</v>
      </c>
      <c r="C121" s="6" t="str">
        <f aca="false">INDEX(Grades_Realms!$B$2:$B$43, B121)</f>
        <v>Awakened Meridian · Initial</v>
      </c>
      <c r="D121" s="6" t="n">
        <f aca="false">(A121+1)^2.4 * 1.004^A121</f>
        <v>157161.735068467</v>
      </c>
      <c r="E121" s="6" t="n">
        <f aca="false">$I$2*(A121+1)^1.9*1.003^A121</f>
        <v>5.50448269993162</v>
      </c>
      <c r="F121" s="6" t="n">
        <f aca="false">(A121+1)^1.12</f>
        <v>213.148850848499</v>
      </c>
      <c r="G121" s="6" t="n">
        <f aca="false">G120+E121</f>
        <v>210.989892169923</v>
      </c>
    </row>
    <row r="122" customFormat="false" ht="15" hidden="false" customHeight="true" outlineLevel="0" collapsed="false">
      <c r="A122" s="6" t="n">
        <v>120</v>
      </c>
      <c r="B122" s="6" t="n">
        <f aca="false">MIN(42, FLOOR(A122/32,1)+1)</f>
        <v>4</v>
      </c>
      <c r="C122" s="6" t="str">
        <f aca="false">INDEX(Grades_Realms!$B$2:$B$43, B122)</f>
        <v>Awakened Meridian · Initial</v>
      </c>
      <c r="D122" s="6" t="n">
        <f aca="false">(A122+1)^2.4 * 1.004^A122</f>
        <v>160964.618955626</v>
      </c>
      <c r="E122" s="6" t="n">
        <f aca="false">$I$2*(A122+1)^1.9*1.003^A122</f>
        <v>5.60873963867139</v>
      </c>
      <c r="F122" s="6" t="n">
        <f aca="false">(A122+1)^1.12</f>
        <v>215.139232395724</v>
      </c>
      <c r="G122" s="6" t="n">
        <f aca="false">G121+E122</f>
        <v>216.598631808594</v>
      </c>
    </row>
    <row r="123" customFormat="false" ht="15" hidden="false" customHeight="true" outlineLevel="0" collapsed="false">
      <c r="A123" s="6" t="n">
        <v>121</v>
      </c>
      <c r="B123" s="6" t="n">
        <f aca="false">MIN(42, FLOOR(A123/32,1)+1)</f>
        <v>4</v>
      </c>
      <c r="C123" s="6" t="str">
        <f aca="false">INDEX(Grades_Realms!$B$2:$B$43, B123)</f>
        <v>Awakened Meridian · Initial</v>
      </c>
      <c r="D123" s="6" t="n">
        <f aca="false">(A123+1)^2.4 * 1.004^A123</f>
        <v>164832.499212358</v>
      </c>
      <c r="E123" s="6" t="n">
        <f aca="false">$I$2*(A123+1)^1.9*1.003^A123</f>
        <v>5.71422961876755</v>
      </c>
      <c r="F123" s="6" t="n">
        <f aca="false">(A123+1)^1.12</f>
        <v>217.131588875339</v>
      </c>
      <c r="G123" s="6" t="n">
        <f aca="false">G122+E123</f>
        <v>222.312861427362</v>
      </c>
    </row>
    <row r="124" customFormat="false" ht="15" hidden="false" customHeight="true" outlineLevel="0" collapsed="false">
      <c r="A124" s="6" t="n">
        <v>122</v>
      </c>
      <c r="B124" s="6" t="n">
        <f aca="false">MIN(42, FLOOR(A124/32,1)+1)</f>
        <v>4</v>
      </c>
      <c r="C124" s="6" t="str">
        <f aca="false">INDEX(Grades_Realms!$B$2:$B$43, B124)</f>
        <v>Awakened Meridian · Initial</v>
      </c>
      <c r="D124" s="6" t="n">
        <f aca="false">(A124+1)^2.4 * 1.004^A124</f>
        <v>168766.106107001</v>
      </c>
      <c r="E124" s="6" t="n">
        <f aca="false">$I$2*(A124+1)^1.9*1.003^A124</f>
        <v>5.82096052909333</v>
      </c>
      <c r="F124" s="6" t="n">
        <f aca="false">(A124+1)^1.12</f>
        <v>219.125906034601</v>
      </c>
      <c r="G124" s="6" t="n">
        <f aca="false">G123+E124</f>
        <v>228.133821956455</v>
      </c>
    </row>
    <row r="125" customFormat="false" ht="15" hidden="false" customHeight="true" outlineLevel="0" collapsed="false">
      <c r="A125" s="6" t="n">
        <v>123</v>
      </c>
      <c r="B125" s="6" t="n">
        <f aca="false">MIN(42, FLOOR(A125/32,1)+1)</f>
        <v>4</v>
      </c>
      <c r="C125" s="6" t="str">
        <f aca="false">INDEX(Grades_Realms!$B$2:$B$43, B125)</f>
        <v>Awakened Meridian · Initial</v>
      </c>
      <c r="D125" s="6" t="n">
        <f aca="false">(A125+1)^2.4 * 1.004^A125</f>
        <v>172766.175680998</v>
      </c>
      <c r="E125" s="6" t="n">
        <f aca="false">$I$2*(A125+1)^1.9*1.003^A125</f>
        <v>5.92894030229943</v>
      </c>
      <c r="F125" s="6" t="n">
        <f aca="false">(A125+1)^1.12</f>
        <v>221.122169838726</v>
      </c>
      <c r="G125" s="6" t="n">
        <f aca="false">G124+E125</f>
        <v>234.062762258755</v>
      </c>
    </row>
    <row r="126" customFormat="false" ht="15" hidden="false" customHeight="true" outlineLevel="0" collapsed="false">
      <c r="A126" s="6" t="n">
        <v>124</v>
      </c>
      <c r="B126" s="6" t="n">
        <f aca="false">MIN(42, FLOOR(A126/32,1)+1)</f>
        <v>4</v>
      </c>
      <c r="C126" s="6" t="str">
        <f aca="false">INDEX(Grades_Realms!$B$2:$B$43, B126)</f>
        <v>Awakened Meridian · Initial</v>
      </c>
      <c r="D126" s="6" t="n">
        <f aca="false">(A126+1)^2.4 * 1.004^A126</f>
        <v>176833.449792286</v>
      </c>
      <c r="E126" s="6" t="n">
        <f aca="false">$I$2*(A126+1)^1.9*1.003^A126</f>
        <v>6.0381769149695</v>
      </c>
      <c r="F126" s="6" t="n">
        <f aca="false">(A126+1)^1.12</f>
        <v>223.12036646583</v>
      </c>
      <c r="G126" s="6" t="n">
        <f aca="false">G125+E126</f>
        <v>240.100939173724</v>
      </c>
    </row>
    <row r="127" customFormat="false" ht="15" hidden="false" customHeight="true" outlineLevel="0" collapsed="false">
      <c r="A127" s="6" t="n">
        <v>125</v>
      </c>
      <c r="B127" s="6" t="n">
        <f aca="false">MIN(42, FLOOR(A127/32,1)+1)</f>
        <v>4</v>
      </c>
      <c r="C127" s="6" t="str">
        <f aca="false">INDEX(Grades_Realms!$B$2:$B$43, B127)</f>
        <v>Awakened Meridian · Initial</v>
      </c>
      <c r="D127" s="6" t="n">
        <f aca="false">(A127+1)^2.4 * 1.004^A127</f>
        <v>180968.676158889</v>
      </c>
      <c r="E127" s="6" t="n">
        <f aca="false">$I$2*(A127+1)^1.9*1.003^A127</f>
        <v>6.14867838777755</v>
      </c>
      <c r="F127" s="6" t="n">
        <f aca="false">(A127+1)^1.12</f>
        <v>225.120482302012</v>
      </c>
      <c r="G127" s="6" t="n">
        <f aca="false">G126+E127</f>
        <v>246.249617561502</v>
      </c>
    </row>
    <row r="128" customFormat="false" ht="15" hidden="false" customHeight="true" outlineLevel="0" collapsed="false">
      <c r="A128" s="6" t="n">
        <v>126</v>
      </c>
      <c r="B128" s="6" t="n">
        <f aca="false">MIN(42, FLOOR(A128/32,1)+1)</f>
        <v>4</v>
      </c>
      <c r="C128" s="6" t="str">
        <f aca="false">INDEX(Grades_Realms!$B$2:$B$43, B128)</f>
        <v>Awakened Meridian · Initial</v>
      </c>
      <c r="D128" s="6" t="n">
        <f aca="false">(A128+1)^2.4 * 1.004^A128</f>
        <v>185172.608402703</v>
      </c>
      <c r="E128" s="6" t="n">
        <f aca="false">$I$2*(A128+1)^1.9*1.003^A128</f>
        <v>6.26045278564705</v>
      </c>
      <c r="F128" s="6" t="n">
        <f aca="false">(A128+1)^1.12</f>
        <v>227.122503936605</v>
      </c>
      <c r="G128" s="6" t="n">
        <f aca="false">G127+E128</f>
        <v>252.510070347149</v>
      </c>
    </row>
    <row r="129" customFormat="false" ht="15" hidden="false" customHeight="true" outlineLevel="0" collapsed="false">
      <c r="A129" s="6" t="n">
        <v>127</v>
      </c>
      <c r="B129" s="6" t="n">
        <f aca="false">MIN(42, FLOOR(A129/32,1)+1)</f>
        <v>4</v>
      </c>
      <c r="C129" s="6" t="str">
        <f aca="false">INDEX(Grades_Realms!$B$2:$B$43, B129)</f>
        <v>Awakened Meridian · Initial</v>
      </c>
      <c r="D129" s="6" t="n">
        <f aca="false">(A129+1)^2.4 * 1.004^A129</f>
        <v>189446.006093496</v>
      </c>
      <c r="E129" s="6" t="n">
        <f aca="false">$I$2*(A129+1)^1.9*1.003^A129</f>
        <v>6.37350821791205</v>
      </c>
      <c r="F129" s="6" t="n">
        <f aca="false">(A129+1)^1.12</f>
        <v>229.126418157561</v>
      </c>
      <c r="G129" s="6" t="n">
        <f aca="false">G128+E129</f>
        <v>258.883578565061</v>
      </c>
    </row>
    <row r="130" customFormat="false" ht="15" hidden="false" customHeight="true" outlineLevel="0" collapsed="false">
      <c r="A130" s="6" t="n">
        <v>128</v>
      </c>
      <c r="B130" s="6" t="n">
        <f aca="false">MIN(42, FLOOR(A130/32,1)+1)</f>
        <v>5</v>
      </c>
      <c r="C130" s="6" t="str">
        <f aca="false">INDEX(Grades_Realms!$B$2:$B$43, B130)</f>
        <v>Awakened Meridian · Advanced</v>
      </c>
      <c r="D130" s="6" t="n">
        <f aca="false">(A130+1)^2.4 * 1.004^A130</f>
        <v>193789.634793111</v>
      </c>
      <c r="E130" s="6" t="n">
        <f aca="false">$I$2*(A130+1)^1.9*1.003^A130</f>
        <v>6.48785283847986</v>
      </c>
      <c r="F130" s="6" t="n">
        <f aca="false">(A130+1)^1.12</f>
        <v>231.132211946983</v>
      </c>
      <c r="G130" s="6" t="n">
        <f aca="false">G129+E130</f>
        <v>265.371431403541</v>
      </c>
    </row>
    <row r="131" customFormat="false" ht="15" hidden="false" customHeight="true" outlineLevel="0" collapsed="false">
      <c r="A131" s="6" t="n">
        <v>129</v>
      </c>
      <c r="B131" s="6" t="n">
        <f aca="false">MIN(42, FLOOR(A131/32,1)+1)</f>
        <v>5</v>
      </c>
      <c r="C131" s="6" t="str">
        <f aca="false">INDEX(Grades_Realms!$B$2:$B$43, B131)</f>
        <v>Awakened Meridian · Advanced</v>
      </c>
      <c r="D131" s="6" t="n">
        <f aca="false">(A131+1)^2.4 * 1.004^A131</f>
        <v>198204.266099878</v>
      </c>
      <c r="E131" s="6" t="n">
        <f aca="false">$I$2*(A131+1)^1.9*1.003^A131</f>
        <v>6.60349484599565</v>
      </c>
      <c r="F131" s="6" t="n">
        <f aca="false">(A131+1)^1.12</f>
        <v>233.139872476783</v>
      </c>
      <c r="G131" s="6" t="n">
        <f aca="false">G130+E131</f>
        <v>271.974926249536</v>
      </c>
    </row>
    <row r="132" customFormat="false" ht="15" hidden="false" customHeight="true" outlineLevel="0" collapsed="false">
      <c r="A132" s="6" t="n">
        <v>130</v>
      </c>
      <c r="B132" s="6" t="n">
        <f aca="false">MIN(42, FLOOR(A132/32,1)+1)</f>
        <v>5</v>
      </c>
      <c r="C132" s="6" t="str">
        <f aca="false">INDEX(Grades_Realms!$B$2:$B$43, B132)</f>
        <v>Awakened Meridian · Advanced</v>
      </c>
      <c r="D132" s="6" t="n">
        <f aca="false">(A132+1)^2.4 * 1.004^A132</f>
        <v>202690.677693247</v>
      </c>
      <c r="E132" s="6" t="n">
        <f aca="false">$I$2*(A132+1)^1.9*1.003^A132</f>
        <v>6.72044248400871</v>
      </c>
      <c r="F132" s="6" t="n">
        <f aca="false">(A132+1)^1.12</f>
        <v>235.149387104483</v>
      </c>
      <c r="G132" s="6" t="n">
        <f aca="false">G131+E132</f>
        <v>278.695368733545</v>
      </c>
    </row>
    <row r="133" customFormat="false" ht="15" hidden="false" customHeight="true" outlineLevel="0" collapsed="false">
      <c r="A133" s="6" t="n">
        <v>131</v>
      </c>
      <c r="B133" s="6" t="n">
        <f aca="false">MIN(42, FLOOR(A133/32,1)+1)</f>
        <v>5</v>
      </c>
      <c r="C133" s="6" t="str">
        <f aca="false">INDEX(Grades_Realms!$B$2:$B$43, B133)</f>
        <v>Awakened Meridian · Advanced</v>
      </c>
      <c r="D133" s="6" t="n">
        <f aca="false">(A133+1)^2.4 * 1.004^A133</f>
        <v>207249.653378635</v>
      </c>
      <c r="E133" s="6" t="n">
        <f aca="false">$I$2*(A133+1)^1.9*1.003^A133</f>
        <v>6.83870404114041</v>
      </c>
      <c r="F133" s="6" t="n">
        <f aca="false">(A133+1)^1.12</f>
        <v>237.160743369122</v>
      </c>
      <c r="G133" s="6" t="n">
        <f aca="false">G132+E133</f>
        <v>285.534072774685</v>
      </c>
    </row>
    <row r="134" customFormat="false" ht="15" hidden="false" customHeight="true" outlineLevel="0" collapsed="false">
      <c r="A134" s="6" t="n">
        <v>132</v>
      </c>
      <c r="B134" s="6" t="n">
        <f aca="false">MIN(42, FLOOR(A134/32,1)+1)</f>
        <v>5</v>
      </c>
      <c r="C134" s="6" t="str">
        <f aca="false">INDEX(Grades_Realms!$B$2:$B$43, B134)</f>
        <v>Awakened Meridian · Advanced</v>
      </c>
      <c r="D134" s="6" t="n">
        <f aca="false">(A134+1)^2.4 * 1.004^A134</f>
        <v>211881.983132493</v>
      </c>
      <c r="E134" s="6" t="n">
        <f aca="false">$I$2*(A134+1)^1.9*1.003^A134</f>
        <v>6.95828785125379</v>
      </c>
      <c r="F134" s="6" t="n">
        <f aca="false">(A134+1)^1.12</f>
        <v>239.173928987304</v>
      </c>
      <c r="G134" s="6" t="n">
        <f aca="false">G133+E134</f>
        <v>292.492360625939</v>
      </c>
    </row>
    <row r="135" customFormat="false" ht="15" hidden="false" customHeight="true" outlineLevel="0" collapsed="false">
      <c r="A135" s="6" t="n">
        <v>133</v>
      </c>
      <c r="B135" s="6" t="n">
        <f aca="false">MIN(42, FLOOR(A135/32,1)+1)</f>
        <v>5</v>
      </c>
      <c r="C135" s="6" t="str">
        <f aca="false">INDEX(Grades_Realms!$B$2:$B$43, B135)</f>
        <v>Awakened Meridian · Advanced</v>
      </c>
      <c r="D135" s="6" t="n">
        <f aca="false">(A135+1)^2.4 * 1.004^A135</f>
        <v>216588.4631476</v>
      </c>
      <c r="E135" s="6" t="n">
        <f aca="false">$I$2*(A135+1)^1.9*1.003^A135</f>
        <v>7.07920229362494</v>
      </c>
      <c r="F135" s="6" t="n">
        <f aca="false">(A135+1)^1.12</f>
        <v>241.188931849343</v>
      </c>
      <c r="G135" s="6" t="n">
        <f aca="false">G134+E135</f>
        <v>299.571562919564</v>
      </c>
    </row>
    <row r="136" customFormat="false" ht="15" hidden="false" customHeight="true" outlineLevel="0" collapsed="false">
      <c r="A136" s="6" t="n">
        <v>134</v>
      </c>
      <c r="B136" s="6" t="n">
        <f aca="false">MIN(42, FLOOR(A136/32,1)+1)</f>
        <v>5</v>
      </c>
      <c r="C136" s="6" t="str">
        <f aca="false">INDEX(Grades_Realms!$B$2:$B$43, B136)</f>
        <v>Awakened Meridian · Advanced</v>
      </c>
      <c r="D136" s="6" t="n">
        <f aca="false">(A136+1)^2.4 * 1.004^A136</f>
        <v>221369.895878585</v>
      </c>
      <c r="E136" s="6" t="n">
        <f aca="false">$I$2*(A136+1)^1.9*1.003^A136</f>
        <v>7.20145579311581</v>
      </c>
      <c r="F136" s="6" t="n">
        <f aca="false">(A136+1)^1.12</f>
        <v>243.205740015533</v>
      </c>
      <c r="G136" s="6" t="n">
        <f aca="false">G135+E136</f>
        <v>306.77301871268</v>
      </c>
    </row>
    <row r="137" customFormat="false" ht="15" hidden="false" customHeight="true" outlineLevel="0" collapsed="false">
      <c r="A137" s="6" t="n">
        <v>135</v>
      </c>
      <c r="B137" s="6" t="n">
        <f aca="false">MIN(42, FLOOR(A137/32,1)+1)</f>
        <v>5</v>
      </c>
      <c r="C137" s="6" t="str">
        <f aca="false">INDEX(Grades_Realms!$B$2:$B$43, B137)</f>
        <v>Awakened Meridian · Advanced</v>
      </c>
      <c r="D137" s="6" t="n">
        <f aca="false">(A137+1)^2.4 * 1.004^A137</f>
        <v>226227.090087668</v>
      </c>
      <c r="E137" s="6" t="n">
        <f aca="false">$I$2*(A137+1)^1.9*1.003^A137</f>
        <v>7.32505682034879</v>
      </c>
      <c r="F137" s="6" t="n">
        <f aca="false">(A137+1)^1.12</f>
        <v>245.224341712518</v>
      </c>
      <c r="G137" s="6" t="n">
        <f aca="false">G136+E137</f>
        <v>314.098075533029</v>
      </c>
    </row>
    <row r="138" customFormat="false" ht="15" hidden="false" customHeight="true" outlineLevel="0" collapsed="false">
      <c r="A138" s="6" t="n">
        <v>136</v>
      </c>
      <c r="B138" s="6" t="n">
        <f aca="false">MIN(42, FLOOR(A138/32,1)+1)</f>
        <v>5</v>
      </c>
      <c r="C138" s="6" t="str">
        <f aca="false">INDEX(Grades_Realms!$B$2:$B$43, B138)</f>
        <v>Awakened Meridian · Advanced</v>
      </c>
      <c r="D138" s="6" t="n">
        <f aca="false">(A138+1)^2.4 * 1.004^A138</f>
        <v>231160.860890652</v>
      </c>
      <c r="E138" s="6" t="n">
        <f aca="false">$I$2*(A138+1)^1.9*1.003^A138</f>
        <v>7.45001389188281</v>
      </c>
      <c r="F138" s="6" t="n">
        <f aca="false">(A138+1)^1.12</f>
        <v>247.244725329766</v>
      </c>
      <c r="G138" s="6" t="n">
        <f aca="false">G137+E138</f>
        <v>321.548089424912</v>
      </c>
    </row>
    <row r="139" customFormat="false" ht="15" hidden="false" customHeight="true" outlineLevel="0" collapsed="false">
      <c r="A139" s="6" t="n">
        <v>137</v>
      </c>
      <c r="B139" s="6" t="n">
        <f aca="false">MIN(42, FLOOR(A139/32,1)+1)</f>
        <v>5</v>
      </c>
      <c r="C139" s="6" t="str">
        <f aca="false">INDEX(Grades_Realms!$B$2:$B$43, B139)</f>
        <v>Awakened Meridian · Advanced</v>
      </c>
      <c r="D139" s="6" t="n">
        <f aca="false">(A139+1)^2.4 * 1.004^A139</f>
        <v>236172.029803133</v>
      </c>
      <c r="E139" s="6" t="n">
        <f aca="false">$I$2*(A139+1)^1.9*1.003^A139</f>
        <v>7.57633557039096</v>
      </c>
      <c r="F139" s="6" t="n">
        <f aca="false">(A139+1)^1.12</f>
        <v>249.266879416148</v>
      </c>
      <c r="G139" s="6" t="n">
        <f aca="false">G138+E139</f>
        <v>329.124424995302</v>
      </c>
    </row>
    <row r="140" customFormat="false" ht="15" hidden="false" customHeight="true" outlineLevel="0" collapsed="false">
      <c r="A140" s="6" t="n">
        <v>138</v>
      </c>
      <c r="B140" s="6" t="n">
        <f aca="false">MIN(42, FLOOR(A140/32,1)+1)</f>
        <v>5</v>
      </c>
      <c r="C140" s="6" t="str">
        <f aca="false">INDEX(Grades_Realms!$B$2:$B$43, B140)</f>
        <v>Awakened Meridian · Advanced</v>
      </c>
      <c r="D140" s="6" t="n">
        <f aca="false">(A140+1)^2.4 * 1.004^A140</f>
        <v>241261.42478696</v>
      </c>
      <c r="E140" s="6" t="n">
        <f aca="false">$I$2*(A140+1)^1.9*1.003^A140</f>
        <v>7.70403046483977</v>
      </c>
      <c r="F140" s="6" t="n">
        <f aca="false">(A140+1)^1.12</f>
        <v>251.290792676608</v>
      </c>
      <c r="G140" s="6" t="n">
        <f aca="false">G139+E140</f>
        <v>336.828455460142</v>
      </c>
    </row>
    <row r="141" customFormat="false" ht="15" hidden="false" customHeight="true" outlineLevel="0" collapsed="false">
      <c r="A141" s="6" t="n">
        <v>139</v>
      </c>
      <c r="B141" s="6" t="n">
        <f aca="false">MIN(42, FLOOR(A141/32,1)+1)</f>
        <v>5</v>
      </c>
      <c r="C141" s="6" t="str">
        <f aca="false">INDEX(Grades_Realms!$B$2:$B$43, B141)</f>
        <v>Awakened Meridian · Advanced</v>
      </c>
      <c r="D141" s="6" t="n">
        <f aca="false">(A141+1)^2.4 * 1.004^A141</f>
        <v>246429.880296929</v>
      </c>
      <c r="E141" s="6" t="n">
        <f aca="false">$I$2*(A141+1)^1.9*1.003^A141</f>
        <v>7.83310723066987</v>
      </c>
      <c r="F141" s="6" t="n">
        <f aca="false">(A141+1)^1.12</f>
        <v>253.316453968926</v>
      </c>
      <c r="G141" s="6" t="n">
        <f aca="false">G140+E141</f>
        <v>344.661562690812</v>
      </c>
    </row>
    <row r="142" customFormat="false" ht="15" hidden="false" customHeight="true" outlineLevel="0" collapsed="false">
      <c r="A142" s="6" t="n">
        <v>140</v>
      </c>
      <c r="B142" s="6" t="n">
        <f aca="false">MIN(42, FLOOR(A142/32,1)+1)</f>
        <v>5</v>
      </c>
      <c r="C142" s="6" t="str">
        <f aca="false">INDEX(Grades_Realms!$B$2:$B$43, B142)</f>
        <v>Awakened Meridian · Advanced</v>
      </c>
      <c r="D142" s="6" t="n">
        <f aca="false">(A142+1)^2.4 * 1.004^A142</f>
        <v>251678.237327727</v>
      </c>
      <c r="E142" s="6" t="n">
        <f aca="false">$I$2*(A142+1)^1.9*1.003^A142</f>
        <v>7.96357456997832</v>
      </c>
      <c r="F142" s="6" t="n">
        <f aca="false">(A142+1)^1.12</f>
        <v>255.343852300575</v>
      </c>
      <c r="G142" s="6" t="n">
        <f aca="false">G141+E142</f>
        <v>352.62513726079</v>
      </c>
    </row>
    <row r="143" customFormat="false" ht="15" hidden="false" customHeight="true" outlineLevel="0" collapsed="false">
      <c r="A143" s="6" t="n">
        <v>141</v>
      </c>
      <c r="B143" s="6" t="n">
        <f aca="false">MIN(42, FLOOR(A143/32,1)+1)</f>
        <v>5</v>
      </c>
      <c r="C143" s="6" t="str">
        <f aca="false">INDEX(Grades_Realms!$B$2:$B$43, B143)</f>
        <v>Awakened Meridian · Advanced</v>
      </c>
      <c r="D143" s="6" t="n">
        <f aca="false">(A143+1)^2.4 * 1.004^A143</f>
        <v>257007.343461119</v>
      </c>
      <c r="E143" s="6" t="n">
        <f aca="false">$I$2*(A143+1)^1.9*1.003^A143</f>
        <v>8.09544123170228</v>
      </c>
      <c r="F143" s="6" t="n">
        <f aca="false">(A143+1)^1.12</f>
        <v>257.372976825662</v>
      </c>
      <c r="G143" s="6" t="n">
        <f aca="false">G142+E143</f>
        <v>360.720578492493</v>
      </c>
    </row>
    <row r="144" customFormat="false" ht="15" hidden="false" customHeight="true" outlineLevel="0" collapsed="false">
      <c r="A144" s="6" t="n">
        <v>142</v>
      </c>
      <c r="B144" s="6" t="n">
        <f aca="false">MIN(42, FLOOR(A144/32,1)+1)</f>
        <v>5</v>
      </c>
      <c r="C144" s="6" t="str">
        <f aca="false">INDEX(Grades_Realms!$B$2:$B$43, B144)</f>
        <v>Awakened Meridian · Advanced</v>
      </c>
      <c r="D144" s="6" t="n">
        <f aca="false">(A144+1)^2.4 * 1.004^A144</f>
        <v>262418.052913382</v>
      </c>
      <c r="E144" s="6" t="n">
        <f aca="false">$I$2*(A144+1)^1.9*1.003^A144</f>
        <v>8.22871601180431</v>
      </c>
      <c r="F144" s="6" t="n">
        <f aca="false">(A144+1)^1.12</f>
        <v>259.403816841951</v>
      </c>
      <c r="G144" s="6" t="n">
        <f aca="false">G143+E144</f>
        <v>368.949294504297</v>
      </c>
    </row>
    <row r="145" customFormat="false" ht="15" hidden="false" customHeight="true" outlineLevel="0" collapsed="false">
      <c r="A145" s="6" t="n">
        <v>143</v>
      </c>
      <c r="B145" s="6" t="n">
        <f aca="false">MIN(42, FLOOR(A145/32,1)+1)</f>
        <v>5</v>
      </c>
      <c r="C145" s="6" t="str">
        <f aca="false">INDEX(Grades_Realms!$B$2:$B$43, B145)</f>
        <v>Awakened Meridian · Advanced</v>
      </c>
      <c r="D145" s="6" t="n">
        <f aca="false">(A145+1)^2.4 * 1.004^A145</f>
        <v>267911.226582997</v>
      </c>
      <c r="E145" s="6" t="n">
        <f aca="false">$I$2*(A145+1)^1.9*1.003^A145</f>
        <v>8.36340775345899</v>
      </c>
      <c r="F145" s="6" t="n">
        <f aca="false">(A145+1)^1.12</f>
        <v>261.43636178797</v>
      </c>
      <c r="G145" s="6" t="n">
        <f aca="false">G144+E145</f>
        <v>377.312702257756</v>
      </c>
    </row>
    <row r="146" customFormat="false" ht="15" hidden="false" customHeight="true" outlineLevel="0" collapsed="false">
      <c r="A146" s="6" t="n">
        <v>144</v>
      </c>
      <c r="B146" s="6" t="n">
        <f aca="false">MIN(42, FLOOR(A146/32,1)+1)</f>
        <v>5</v>
      </c>
      <c r="C146" s="6" t="str">
        <f aca="false">INDEX(Grades_Realms!$B$2:$B$43, B146)</f>
        <v>Awakened Meridian · Advanced</v>
      </c>
      <c r="D146" s="6" t="n">
        <f aca="false">(A146+1)^2.4 * 1.004^A146</f>
        <v>273487.732098595</v>
      </c>
      <c r="E146" s="6" t="n">
        <f aca="false">$I$2*(A146+1)^1.9*1.003^A146</f>
        <v>8.49952534724108</v>
      </c>
      <c r="F146" s="6" t="n">
        <f aca="false">(A146+1)^1.12</f>
        <v>263.470601240192</v>
      </c>
      <c r="G146" s="6" t="n">
        <f aca="false">G145+E146</f>
        <v>385.812227604997</v>
      </c>
    </row>
    <row r="147" customFormat="false" ht="15" hidden="false" customHeight="true" outlineLevel="0" collapsed="false">
      <c r="A147" s="6" t="n">
        <v>145</v>
      </c>
      <c r="B147" s="6" t="n">
        <f aca="false">MIN(42, FLOOR(A147/32,1)+1)</f>
        <v>5</v>
      </c>
      <c r="C147" s="6" t="str">
        <f aca="false">INDEX(Grades_Realms!$B$2:$B$43, B147)</f>
        <v>Awakened Meridian · Advanced</v>
      </c>
      <c r="D147" s="6" t="n">
        <f aca="false">(A147+1)^2.4 * 1.004^A147</f>
        <v>279148.44386715</v>
      </c>
      <c r="E147" s="6" t="n">
        <f aca="false">$I$2*(A147+1)^1.9*1.003^A147</f>
        <v>8.63707773131512</v>
      </c>
      <c r="F147" s="6" t="n">
        <f aca="false">(A147+1)^1.12</f>
        <v>265.506524910298</v>
      </c>
      <c r="G147" s="6" t="n">
        <f aca="false">G146+E147</f>
        <v>394.449305336312</v>
      </c>
    </row>
    <row r="148" customFormat="false" ht="15" hidden="false" customHeight="true" outlineLevel="0" collapsed="false">
      <c r="A148" s="6" t="n">
        <v>146</v>
      </c>
      <c r="B148" s="6" t="n">
        <f aca="false">MIN(42, FLOOR(A148/32,1)+1)</f>
        <v>5</v>
      </c>
      <c r="C148" s="6" t="str">
        <f aca="false">INDEX(Grades_Realms!$B$2:$B$43, B148)</f>
        <v>Awakened Meridian · Advanced</v>
      </c>
      <c r="D148" s="6" t="n">
        <f aca="false">(A148+1)^2.4 * 1.004^A148</f>
        <v>284894.24312245</v>
      </c>
      <c r="E148" s="6" t="n">
        <f aca="false">$I$2*(A148+1)^1.9*1.003^A148</f>
        <v>8.77607389162637</v>
      </c>
      <c r="F148" s="6" t="n">
        <f aca="false">(A148+1)^1.12</f>
        <v>267.544122642506</v>
      </c>
      <c r="G148" s="6" t="n">
        <f aca="false">G147+E148</f>
        <v>403.225379227939</v>
      </c>
    </row>
    <row r="149" customFormat="false" ht="15" hidden="false" customHeight="true" outlineLevel="0" collapsed="false">
      <c r="A149" s="6" t="n">
        <v>147</v>
      </c>
      <c r="B149" s="6" t="n">
        <f aca="false">MIN(42, FLOOR(A149/32,1)+1)</f>
        <v>5</v>
      </c>
      <c r="C149" s="6" t="str">
        <f aca="false">INDEX(Grades_Realms!$B$2:$B$43, B149)</f>
        <v>Awakened Meridian · Advanced</v>
      </c>
      <c r="D149" s="6" t="n">
        <f aca="false">(A149+1)^2.4 * 1.004^A149</f>
        <v>290726.017973811</v>
      </c>
      <c r="E149" s="6" t="n">
        <f aca="false">$I$2*(A149+1)^1.9*1.003^A149</f>
        <v>8.91652286209329</v>
      </c>
      <c r="F149" s="6" t="n">
        <f aca="false">(A149+1)^1.12</f>
        <v>269.583384410971</v>
      </c>
      <c r="G149" s="6" t="n">
        <f aca="false">G148+E149</f>
        <v>412.141902090032</v>
      </c>
    </row>
    <row r="150" customFormat="false" ht="15" hidden="false" customHeight="true" outlineLevel="0" collapsed="false">
      <c r="A150" s="6" t="n">
        <v>148</v>
      </c>
      <c r="B150" s="6" t="n">
        <f aca="false">MIN(42, FLOOR(A150/32,1)+1)</f>
        <v>5</v>
      </c>
      <c r="C150" s="6" t="str">
        <f aca="false">INDEX(Grades_Realms!$B$2:$B$43, B150)</f>
        <v>Awakened Meridian · Advanced</v>
      </c>
      <c r="D150" s="6" t="n">
        <f aca="false">(A150+1)^2.4 * 1.004^A150</f>
        <v>296644.66345507</v>
      </c>
      <c r="E150" s="6" t="n">
        <f aca="false">$I$2*(A150+1)^1.9*1.003^A150</f>
        <v>9.05843372480129</v>
      </c>
      <c r="F150" s="6" t="n">
        <f aca="false">(A150+1)^1.12</f>
        <v>271.624300317262</v>
      </c>
      <c r="G150" s="6" t="n">
        <f aca="false">G149+E150</f>
        <v>421.200335814833</v>
      </c>
    </row>
    <row r="151" customFormat="false" ht="15" hidden="false" customHeight="true" outlineLevel="0" collapsed="false">
      <c r="A151" s="6" t="n">
        <v>149</v>
      </c>
      <c r="B151" s="6" t="n">
        <f aca="false">MIN(42, FLOOR(A151/32,1)+1)</f>
        <v>5</v>
      </c>
      <c r="C151" s="6" t="str">
        <f aca="false">INDEX(Grades_Realms!$B$2:$B$43, B151)</f>
        <v>Awakened Meridian · Advanced</v>
      </c>
      <c r="D151" s="6" t="n">
        <f aca="false">(A151+1)^2.4 * 1.004^A151</f>
        <v>302651.081573842</v>
      </c>
      <c r="E151" s="6" t="n">
        <f aca="false">$I$2*(A151+1)^1.9*1.003^A151</f>
        <v>9.20181561019793</v>
      </c>
      <c r="F151" s="6" t="n">
        <f aca="false">(A151+1)^1.12</f>
        <v>273.66686058789</v>
      </c>
      <c r="G151" s="6" t="n">
        <f aca="false">G150+E151</f>
        <v>430.402151425031</v>
      </c>
    </row>
    <row r="152" customFormat="false" ht="15" hidden="false" customHeight="true" outlineLevel="0" collapsed="false">
      <c r="A152" s="6" t="n">
        <v>150</v>
      </c>
      <c r="B152" s="6" t="n">
        <f aca="false">MIN(42, FLOOR(A152/32,1)+1)</f>
        <v>5</v>
      </c>
      <c r="C152" s="6" t="str">
        <f aca="false">INDEX(Grades_Realms!$B$2:$B$43, B152)</f>
        <v>Awakened Meridian · Advanced</v>
      </c>
      <c r="D152" s="6" t="n">
        <f aca="false">(A152+1)^2.4 * 1.004^A152</f>
        <v>308746.181361042</v>
      </c>
      <c r="E152" s="6" t="n">
        <f aca="false">$I$2*(A152+1)^1.9*1.003^A152</f>
        <v>9.34667769728954</v>
      </c>
      <c r="F152" s="6" t="n">
        <f aca="false">(A152+1)^1.12</f>
        <v>275.711055571916</v>
      </c>
      <c r="G152" s="6" t="n">
        <f aca="false">G151+E152</f>
        <v>439.748829122321</v>
      </c>
    </row>
    <row r="153" customFormat="false" ht="15" hidden="false" customHeight="true" outlineLevel="0" collapsed="false">
      <c r="A153" s="6" t="n">
        <v>151</v>
      </c>
      <c r="B153" s="6" t="n">
        <f aca="false">MIN(42, FLOOR(A153/32,1)+1)</f>
        <v>5</v>
      </c>
      <c r="C153" s="6" t="str">
        <f aca="false">INDEX(Grades_Realms!$B$2:$B$43, B153)</f>
        <v>Awakened Meridian · Advanced</v>
      </c>
      <c r="D153" s="6" t="n">
        <f aca="false">(A153+1)^2.4 * 1.004^A153</f>
        <v>314930.878920684</v>
      </c>
      <c r="E153" s="6" t="n">
        <f aca="false">$I$2*(A153+1)^1.9*1.003^A153</f>
        <v>9.49302921383911</v>
      </c>
      <c r="F153" s="6" t="n">
        <f aca="false">(A153+1)^1.12</f>
        <v>277.756875738606</v>
      </c>
      <c r="G153" s="6" t="n">
        <f aca="false">G152+E153</f>
        <v>449.24185833616</v>
      </c>
    </row>
    <row r="154" customFormat="false" ht="15" hidden="false" customHeight="true" outlineLevel="0" collapsed="false">
      <c r="A154" s="6" t="n">
        <v>152</v>
      </c>
      <c r="B154" s="6" t="n">
        <f aca="false">MIN(42, FLOOR(A154/32,1)+1)</f>
        <v>5</v>
      </c>
      <c r="C154" s="6" t="str">
        <f aca="false">INDEX(Grades_Realms!$B$2:$B$43, B154)</f>
        <v>Awakened Meridian · Advanced</v>
      </c>
      <c r="D154" s="6" t="n">
        <f aca="false">(A154+1)^2.4 * 1.004^A154</f>
        <v>321206.097479957</v>
      </c>
      <c r="E154" s="6" t="n">
        <f aca="false">$I$2*(A154+1)^1.9*1.003^A154</f>
        <v>9.64087943656561</v>
      </c>
      <c r="F154" s="6" t="n">
        <f aca="false">(A154+1)^1.12</f>
        <v>279.804311675156</v>
      </c>
      <c r="G154" s="6" t="n">
        <f aca="false">G153+E154</f>
        <v>458.882737772725</v>
      </c>
    </row>
    <row r="155" customFormat="false" ht="15" hidden="false" customHeight="true" outlineLevel="0" collapsed="false">
      <c r="A155" s="6" t="n">
        <v>153</v>
      </c>
      <c r="B155" s="6" t="n">
        <f aca="false">MIN(42, FLOOR(A155/32,1)+1)</f>
        <v>5</v>
      </c>
      <c r="C155" s="6" t="str">
        <f aca="false">INDEX(Grades_Realms!$B$2:$B$43, B155)</f>
        <v>Awakened Meridian · Advanced</v>
      </c>
      <c r="D155" s="6" t="n">
        <f aca="false">(A155+1)^2.4 * 1.004^A155</f>
        <v>327572.767439573</v>
      </c>
      <c r="E155" s="6" t="n">
        <f aca="false">$I$2*(A155+1)^1.9*1.003^A155</f>
        <v>9.79023769134467</v>
      </c>
      <c r="F155" s="6" t="n">
        <f aca="false">(A155+1)^1.12</f>
        <v>281.853354084473</v>
      </c>
      <c r="G155" s="6" t="n">
        <f aca="false">G154+E155</f>
        <v>468.67297546407</v>
      </c>
    </row>
    <row r="156" customFormat="false" ht="15" hidden="false" customHeight="true" outlineLevel="0" collapsed="false">
      <c r="A156" s="6" t="n">
        <v>154</v>
      </c>
      <c r="B156" s="6" t="n">
        <f aca="false">MIN(42, FLOOR(A156/32,1)+1)</f>
        <v>5</v>
      </c>
      <c r="C156" s="6" t="str">
        <f aca="false">INDEX(Grades_Realms!$B$2:$B$43, B156)</f>
        <v>Awakened Meridian · Advanced</v>
      </c>
      <c r="D156" s="6" t="n">
        <f aca="false">(A156+1)^2.4 * 1.004^A156</f>
        <v>334031.826424398</v>
      </c>
      <c r="E156" s="6" t="n">
        <f aca="false">$I$2*(A156+1)^1.9*1.003^A156</f>
        <v>9.94111335341052</v>
      </c>
      <c r="F156" s="6" t="n">
        <f aca="false">(A156+1)^1.12</f>
        <v>283.903993783003</v>
      </c>
      <c r="G156" s="6" t="n">
        <f aca="false">G155+E156</f>
        <v>478.614088817481</v>
      </c>
    </row>
    <row r="157" customFormat="false" ht="15" hidden="false" customHeight="true" outlineLevel="0" collapsed="false">
      <c r="A157" s="6" t="n">
        <v>155</v>
      </c>
      <c r="B157" s="6" t="n">
        <f aca="false">MIN(42, FLOOR(A157/32,1)+1)</f>
        <v>5</v>
      </c>
      <c r="C157" s="6" t="str">
        <f aca="false">INDEX(Grades_Realms!$B$2:$B$43, B157)</f>
        <v>Awakened Meridian · Advanced</v>
      </c>
      <c r="D157" s="6" t="n">
        <f aca="false">(A157+1)^2.4 * 1.004^A157</f>
        <v>340584.219334365</v>
      </c>
      <c r="E157" s="6" t="n">
        <f aca="false">$I$2*(A157+1)^1.9*1.003^A157</f>
        <v>10.0935158475593</v>
      </c>
      <c r="F157" s="6" t="n">
        <f aca="false">(A157+1)^1.12</f>
        <v>285.95622169863</v>
      </c>
      <c r="G157" s="6" t="n">
        <f aca="false">G156+E157</f>
        <v>488.70760466504</v>
      </c>
    </row>
    <row r="158" customFormat="false" ht="15" hidden="false" customHeight="true" outlineLevel="0" collapsed="false">
      <c r="A158" s="6" t="n">
        <v>156</v>
      </c>
      <c r="B158" s="6" t="n">
        <f aca="false">MIN(42, FLOOR(A158/32,1)+1)</f>
        <v>5</v>
      </c>
      <c r="C158" s="6" t="str">
        <f aca="false">INDEX(Grades_Realms!$B$2:$B$43, B158)</f>
        <v>Awakened Meridian · Advanced</v>
      </c>
      <c r="D158" s="6" t="n">
        <f aca="false">(A158+1)^2.4 * 1.004^A158</f>
        <v>347230.898395674</v>
      </c>
      <c r="E158" s="6" t="n">
        <f aca="false">$I$2*(A158+1)^1.9*1.003^A158</f>
        <v>10.2474546483539</v>
      </c>
      <c r="F158" s="6" t="n">
        <f aca="false">(A158+1)^1.12</f>
        <v>288.010028868609</v>
      </c>
      <c r="G158" s="6" t="n">
        <f aca="false">G157+E158</f>
        <v>498.955059313394</v>
      </c>
    </row>
    <row r="159" customFormat="false" ht="15" hidden="false" customHeight="true" outlineLevel="0" collapsed="false">
      <c r="A159" s="6" t="n">
        <v>157</v>
      </c>
      <c r="B159" s="6" t="n">
        <f aca="false">MIN(42, FLOOR(A159/32,1)+1)</f>
        <v>5</v>
      </c>
      <c r="C159" s="6" t="str">
        <f aca="false">INDEX(Grades_Realms!$B$2:$B$43, B159)</f>
        <v>Awakened Meridian · Advanced</v>
      </c>
      <c r="D159" s="6" t="n">
        <f aca="false">(A159+1)^2.4 * 1.004^A159</f>
        <v>353972.823212273</v>
      </c>
      <c r="E159" s="6" t="n">
        <f aca="false">$I$2*(A159+1)^1.9*1.003^A159</f>
        <v>10.4029392803296</v>
      </c>
      <c r="F159" s="6" t="n">
        <f aca="false">(A159+1)^1.12</f>
        <v>290.065406437565</v>
      </c>
      <c r="G159" s="6" t="n">
        <f aca="false">G158+E159</f>
        <v>509.357998593723</v>
      </c>
    </row>
    <row r="160" customFormat="false" ht="15" hidden="false" customHeight="true" outlineLevel="0" collapsed="false">
      <c r="A160" s="6" t="n">
        <v>158</v>
      </c>
      <c r="B160" s="6" t="n">
        <f aca="false">MIN(42, FLOOR(A160/32,1)+1)</f>
        <v>5</v>
      </c>
      <c r="C160" s="6" t="str">
        <f aca="false">INDEX(Grades_Realms!$B$2:$B$43, B160)</f>
        <v>Awakened Meridian · Advanced</v>
      </c>
      <c r="D160" s="6" t="n">
        <f aca="false">(A160+1)^2.4 * 1.004^A160</f>
        <v>360810.960817635</v>
      </c>
      <c r="E160" s="6" t="n">
        <f aca="false">$I$2*(A160+1)^1.9*1.003^A160</f>
        <v>10.5599793182015</v>
      </c>
      <c r="F160" s="6" t="n">
        <f aca="false">(A160+1)^1.12</f>
        <v>292.122345655533</v>
      </c>
      <c r="G160" s="6" t="n">
        <f aca="false">G159+E160</f>
        <v>519.917977911925</v>
      </c>
    </row>
    <row r="161" customFormat="false" ht="15" hidden="false" customHeight="true" outlineLevel="0" collapsed="false">
      <c r="A161" s="6" t="n">
        <v>159</v>
      </c>
      <c r="B161" s="6" t="n">
        <f aca="false">MIN(42, FLOOR(A161/32,1)+1)</f>
        <v>5</v>
      </c>
      <c r="C161" s="6" t="str">
        <f aca="false">INDEX(Grades_Realms!$B$2:$B$43, B161)</f>
        <v>Awakened Meridian · Advanced</v>
      </c>
      <c r="D161" s="6" t="n">
        <f aca="false">(A161+1)^2.4 * 1.004^A161</f>
        <v>367746.285726824</v>
      </c>
      <c r="E161" s="6" t="n">
        <f aca="false">$I$2*(A161+1)^1.9*1.003^A161</f>
        <v>10.7185843870734</v>
      </c>
      <c r="F161" s="6" t="n">
        <f aca="false">(A161+1)^1.12</f>
        <v>294.180837876047</v>
      </c>
      <c r="G161" s="6" t="n">
        <f aca="false">G160+E161</f>
        <v>530.636562298998</v>
      </c>
    </row>
    <row r="162" customFormat="false" ht="15" hidden="false" customHeight="true" outlineLevel="0" collapsed="false">
      <c r="A162" s="6" t="n">
        <v>160</v>
      </c>
      <c r="B162" s="6" t="n">
        <f aca="false">MIN(42, FLOOR(A162/32,1)+1)</f>
        <v>6</v>
      </c>
      <c r="C162" s="6" t="str">
        <f aca="false">INDEX(Grades_Realms!$B$2:$B$43, B162)</f>
        <v>Awakened Meridian · Perfected</v>
      </c>
      <c r="D162" s="6" t="n">
        <f aca="false">(A162+1)^2.4 * 1.004^A162</f>
        <v>374779.779988856</v>
      </c>
      <c r="E162" s="6" t="n">
        <f aca="false">$I$2*(A162+1)^1.9*1.003^A162</f>
        <v>10.878764162647</v>
      </c>
      <c r="F162" s="6" t="n">
        <f aca="false">(A162+1)^1.12</f>
        <v>296.240874554277</v>
      </c>
      <c r="G162" s="6" t="n">
        <f aca="false">G161+E162</f>
        <v>541.515326461645</v>
      </c>
    </row>
    <row r="163" customFormat="false" ht="15" hidden="false" customHeight="true" outlineLevel="0" collapsed="false">
      <c r="A163" s="6" t="n">
        <v>161</v>
      </c>
      <c r="B163" s="6" t="n">
        <f aca="false">MIN(42, FLOOR(A163/32,1)+1)</f>
        <v>6</v>
      </c>
      <c r="C163" s="6" t="str">
        <f aca="false">INDEX(Grades_Realms!$B$2:$B$43, B163)</f>
        <v>Awakened Meridian · Perfected</v>
      </c>
      <c r="D163" s="6" t="n">
        <f aca="false">(A163+1)^2.4 * 1.004^A163</f>
        <v>381912.433239356</v>
      </c>
      <c r="E163" s="6" t="n">
        <f aca="false">$I$2*(A163+1)^1.9*1.003^A163</f>
        <v>11.0405283714339</v>
      </c>
      <c r="F163" s="6" t="n">
        <f aca="false">(A163+1)^1.12</f>
        <v>298.302447245212</v>
      </c>
      <c r="G163" s="6" t="n">
        <f aca="false">G162+E163</f>
        <v>552.555854833079</v>
      </c>
    </row>
    <row r="164" customFormat="false" ht="15" hidden="false" customHeight="true" outlineLevel="0" collapsed="false">
      <c r="A164" s="6" t="n">
        <v>162</v>
      </c>
      <c r="B164" s="6" t="n">
        <f aca="false">MIN(42, FLOOR(A164/32,1)+1)</f>
        <v>6</v>
      </c>
      <c r="C164" s="6" t="str">
        <f aca="false">INDEX(Grades_Realms!$B$2:$B$43, B164)</f>
        <v>Awakened Meridian · Perfected</v>
      </c>
      <c r="D164" s="6" t="n">
        <f aca="false">(A164+1)^2.4 * 1.004^A164</f>
        <v>389145.242753514</v>
      </c>
      <c r="E164" s="6" t="n">
        <f aca="false">$I$2*(A164+1)^1.9*1.003^A164</f>
        <v>11.2038867909673</v>
      </c>
      <c r="F164" s="6" t="n">
        <f aca="false">(A164+1)^1.12</f>
        <v>300.36554760188</v>
      </c>
      <c r="G164" s="6" t="n">
        <f aca="false">G163+E164</f>
        <v>563.759741624047</v>
      </c>
    </row>
    <row r="165" customFormat="false" ht="15" hidden="false" customHeight="true" outlineLevel="0" collapsed="false">
      <c r="A165" s="6" t="n">
        <v>163</v>
      </c>
      <c r="B165" s="6" t="n">
        <f aca="false">MIN(42, FLOOR(A165/32,1)+1)</f>
        <v>6</v>
      </c>
      <c r="C165" s="6" t="str">
        <f aca="false">INDEX(Grades_Realms!$B$2:$B$43, B165)</f>
        <v>Awakened Meridian · Perfected</v>
      </c>
      <c r="D165" s="6" t="n">
        <f aca="false">(A165+1)^2.4 * 1.004^A165</f>
        <v>396479.213499347</v>
      </c>
      <c r="E165" s="6" t="n">
        <f aca="false">$I$2*(A165+1)^1.9*1.003^A165</f>
        <v>11.3688492500162</v>
      </c>
      <c r="F165" s="6" t="n">
        <f aca="false">(A165+1)^1.12</f>
        <v>302.430167373622</v>
      </c>
      <c r="G165" s="6" t="n">
        <f aca="false">G164+E165</f>
        <v>575.128590874063</v>
      </c>
    </row>
    <row r="166" customFormat="false" ht="15" hidden="false" customHeight="true" outlineLevel="0" collapsed="false">
      <c r="A166" s="6" t="n">
        <v>164</v>
      </c>
      <c r="B166" s="6" t="n">
        <f aca="false">MIN(42, FLOOR(A166/32,1)+1)</f>
        <v>6</v>
      </c>
      <c r="C166" s="6" t="str">
        <f aca="false">INDEX(Grades_Realms!$B$2:$B$43, B166)</f>
        <v>Awakened Meridian · Perfected</v>
      </c>
      <c r="D166" s="6" t="n">
        <f aca="false">(A166+1)^2.4 * 1.004^A166</f>
        <v>403915.358191256</v>
      </c>
      <c r="E166" s="6" t="n">
        <f aca="false">$I$2*(A166+1)^1.9*1.003^A166</f>
        <v>11.5354256288004</v>
      </c>
      <c r="F166" s="6" t="n">
        <f aca="false">(A166+1)^1.12</f>
        <v>304.496298404393</v>
      </c>
      <c r="G166" s="6" t="n">
        <f aca="false">G165+E166</f>
        <v>586.664016502863</v>
      </c>
    </row>
    <row r="167" customFormat="false" ht="15" hidden="false" customHeight="true" outlineLevel="0" collapsed="false">
      <c r="A167" s="6" t="n">
        <v>165</v>
      </c>
      <c r="B167" s="6" t="n">
        <f aca="false">MIN(42, FLOOR(A167/32,1)+1)</f>
        <v>6</v>
      </c>
      <c r="C167" s="6" t="str">
        <f aca="false">INDEX(Grades_Realms!$B$2:$B$43, B167)</f>
        <v>Awakened Meridian · Perfected</v>
      </c>
      <c r="D167" s="6" t="n">
        <f aca="false">(A167+1)^2.4 * 1.004^A167</f>
        <v>411454.697343897</v>
      </c>
      <c r="E167" s="6" t="n">
        <f aca="false">$I$2*(A167+1)^1.9*1.003^A167</f>
        <v>11.7036258592065</v>
      </c>
      <c r="F167" s="6" t="n">
        <f aca="false">(A167+1)^1.12</f>
        <v>306.563932631114</v>
      </c>
      <c r="G167" s="6" t="n">
        <f aca="false">G166+E167</f>
        <v>598.367642362069</v>
      </c>
    </row>
    <row r="168" customFormat="false" ht="15" hidden="false" customHeight="true" outlineLevel="0" collapsed="false">
      <c r="A168" s="6" t="n">
        <v>166</v>
      </c>
      <c r="B168" s="6" t="n">
        <f aca="false">MIN(42, FLOOR(A168/32,1)+1)</f>
        <v>6</v>
      </c>
      <c r="C168" s="6" t="str">
        <f aca="false">INDEX(Grades_Realms!$B$2:$B$43, B168)</f>
        <v>Awakened Meridian · Perfected</v>
      </c>
      <c r="D168" s="6" t="n">
        <f aca="false">(A168+1)^2.4 * 1.004^A168</f>
        <v>419098.25932636</v>
      </c>
      <c r="E168" s="6" t="n">
        <f aca="false">$I$2*(A168+1)^1.9*1.003^A168</f>
        <v>11.8734599250058</v>
      </c>
      <c r="F168" s="6" t="n">
        <f aca="false">(A168+1)^1.12</f>
        <v>308.633062082059</v>
      </c>
      <c r="G168" s="6" t="n">
        <f aca="false">G167+E168</f>
        <v>610.241102287075</v>
      </c>
    </row>
    <row r="169" customFormat="false" ht="15" hidden="false" customHeight="true" outlineLevel="0" collapsed="false">
      <c r="A169" s="6" t="n">
        <v>167</v>
      </c>
      <c r="B169" s="6" t="n">
        <f aca="false">MIN(42, FLOOR(A169/32,1)+1)</f>
        <v>6</v>
      </c>
      <c r="C169" s="6" t="str">
        <f aca="false">INDEX(Grades_Realms!$B$2:$B$43, B169)</f>
        <v>Awakened Meridian · Perfected</v>
      </c>
      <c r="D169" s="6" t="n">
        <f aca="false">(A169+1)^2.4 * 1.004^A169</f>
        <v>426847.08041665</v>
      </c>
      <c r="E169" s="6" t="n">
        <f aca="false">$I$2*(A169+1)^1.9*1.003^A169</f>
        <v>12.0449378620729</v>
      </c>
      <c r="F169" s="6" t="n">
        <f aca="false">(A169+1)^1.12</f>
        <v>310.703678875274</v>
      </c>
      <c r="G169" s="6" t="n">
        <f aca="false">G168+E169</f>
        <v>622.286040149148</v>
      </c>
    </row>
    <row r="170" customFormat="false" ht="15" hidden="false" customHeight="true" outlineLevel="0" collapsed="false">
      <c r="A170" s="6" t="n">
        <v>168</v>
      </c>
      <c r="B170" s="6" t="n">
        <f aca="false">MIN(42, FLOOR(A170/32,1)+1)</f>
        <v>6</v>
      </c>
      <c r="C170" s="6" t="str">
        <f aca="false">INDEX(Grades_Realms!$B$2:$B$43, B170)</f>
        <v>Awakened Meridian · Perfected</v>
      </c>
      <c r="D170" s="6" t="n">
        <f aca="false">(A170+1)^2.4 * 1.004^A170</f>
        <v>434702.204856497</v>
      </c>
      <c r="E170" s="6" t="n">
        <f aca="false">$I$2*(A170+1)^1.9*1.003^A170</f>
        <v>12.2180697586058</v>
      </c>
      <c r="F170" s="6" t="n">
        <f aca="false">(A170+1)^1.12</f>
        <v>312.775775217045</v>
      </c>
      <c r="G170" s="6" t="n">
        <f aca="false">G169+E170</f>
        <v>634.504109907754</v>
      </c>
    </row>
    <row r="171" customFormat="false" ht="15" hidden="false" customHeight="true" outlineLevel="0" collapsed="false">
      <c r="A171" s="6" t="n">
        <v>169</v>
      </c>
      <c r="B171" s="6" t="n">
        <f aca="false">MIN(42, FLOOR(A171/32,1)+1)</f>
        <v>6</v>
      </c>
      <c r="C171" s="6" t="str">
        <f aca="false">INDEX(Grades_Realms!$B$2:$B$43, B171)</f>
        <v>Awakened Meridian · Perfected</v>
      </c>
      <c r="D171" s="6" t="n">
        <f aca="false">(A171+1)^2.4 * 1.004^A171</f>
        <v>442664.684906464</v>
      </c>
      <c r="E171" s="6" t="n">
        <f aca="false">$I$2*(A171+1)^1.9*1.003^A171</f>
        <v>12.3928657553473</v>
      </c>
      <c r="F171" s="6" t="n">
        <f aca="false">(A171+1)^1.12</f>
        <v>314.849343400386</v>
      </c>
      <c r="G171" s="6" t="n">
        <f aca="false">G170+E171</f>
        <v>646.896975663101</v>
      </c>
    </row>
    <row r="172" customFormat="false" ht="15" hidden="false" customHeight="true" outlineLevel="0" collapsed="false">
      <c r="A172" s="6" t="n">
        <v>170</v>
      </c>
      <c r="B172" s="6" t="n">
        <f aca="false">MIN(42, FLOOR(A172/32,1)+1)</f>
        <v>6</v>
      </c>
      <c r="C172" s="6" t="str">
        <f aca="false">INDEX(Grades_Realms!$B$2:$B$43, B172)</f>
        <v>Awakened Meridian · Perfected</v>
      </c>
      <c r="D172" s="6" t="n">
        <f aca="false">(A172+1)^2.4 * 1.004^A172</f>
        <v>450735.580901388</v>
      </c>
      <c r="E172" s="6" t="n">
        <f aca="false">$I$2*(A172+1)^1.9*1.003^A172</f>
        <v>12.5693360458077</v>
      </c>
      <c r="F172" s="6" t="n">
        <f aca="false">(A172+1)^1.12</f>
        <v>316.924375803576</v>
      </c>
      <c r="G172" s="6" t="n">
        <f aca="false">G171+E172</f>
        <v>659.466311708909</v>
      </c>
    </row>
    <row r="173" customFormat="false" ht="15" hidden="false" customHeight="true" outlineLevel="0" collapsed="false">
      <c r="A173" s="6" t="n">
        <v>171</v>
      </c>
      <c r="B173" s="6" t="n">
        <f aca="false">MIN(42, FLOOR(A173/32,1)+1)</f>
        <v>6</v>
      </c>
      <c r="C173" s="6" t="str">
        <f aca="false">INDEX(Grades_Realms!$B$2:$B$43, B173)</f>
        <v>Awakened Meridian · Perfected</v>
      </c>
      <c r="D173" s="6" t="n">
        <f aca="false">(A173+1)^2.4 * 1.004^A173</f>
        <v>458915.961306131</v>
      </c>
      <c r="E173" s="6" t="n">
        <f aca="false">$I$2*(A173+1)^1.9*1.003^A173</f>
        <v>12.7474908764885</v>
      </c>
      <c r="F173" s="6" t="n">
        <f aca="false">(A173+1)^1.12</f>
        <v>319.000864888718</v>
      </c>
      <c r="G173" s="6" t="n">
        <f aca="false">G172+E173</f>
        <v>672.213802585398</v>
      </c>
    </row>
    <row r="174" customFormat="false" ht="15" hidden="false" customHeight="true" outlineLevel="0" collapsed="false">
      <c r="A174" s="6" t="n">
        <v>172</v>
      </c>
      <c r="B174" s="6" t="n">
        <f aca="false">MIN(42, FLOOR(A174/32,1)+1)</f>
        <v>6</v>
      </c>
      <c r="C174" s="6" t="str">
        <f aca="false">INDEX(Grades_Realms!$B$2:$B$43, B174)</f>
        <v>Awakened Meridian · Perfected</v>
      </c>
      <c r="D174" s="6" t="n">
        <f aca="false">(A174+1)^2.4 * 1.004^A174</f>
        <v>467206.902771658</v>
      </c>
      <c r="E174" s="6" t="n">
        <f aca="false">$I$2*(A174+1)^1.9*1.003^A174</f>
        <v>12.9273405471073</v>
      </c>
      <c r="F174" s="6" t="n">
        <f aca="false">(A174+1)^1.12</f>
        <v>321.078803200334</v>
      </c>
      <c r="G174" s="6" t="n">
        <f aca="false">G173+E174</f>
        <v>685.141143132505</v>
      </c>
    </row>
    <row r="175" customFormat="false" ht="15" hidden="false" customHeight="true" outlineLevel="0" collapsed="false">
      <c r="A175" s="6" t="n">
        <v>173</v>
      </c>
      <c r="B175" s="6" t="n">
        <f aca="false">MIN(42, FLOOR(A175/32,1)+1)</f>
        <v>6</v>
      </c>
      <c r="C175" s="6" t="str">
        <f aca="false">INDEX(Grades_Realms!$B$2:$B$43, B175)</f>
        <v>Awakened Meridian · Perfected</v>
      </c>
      <c r="D175" s="6" t="n">
        <f aca="false">(A175+1)^2.4 * 1.004^A175</f>
        <v>475609.490191441</v>
      </c>
      <c r="E175" s="6" t="n">
        <f aca="false">$I$2*(A175+1)^1.9*1.003^A175</f>
        <v>13.1088954108247</v>
      </c>
      <c r="F175" s="6" t="n">
        <f aca="false">(A175+1)^1.12</f>
        <v>323.158183363999</v>
      </c>
      <c r="G175" s="6" t="n">
        <f aca="false">G174+E175</f>
        <v>698.25003854333</v>
      </c>
    </row>
    <row r="176" customFormat="false" ht="15" hidden="false" customHeight="true" outlineLevel="0" collapsed="false">
      <c r="A176" s="6" t="n">
        <v>174</v>
      </c>
      <c r="B176" s="6" t="n">
        <f aca="false">MIN(42, FLOOR(A176/32,1)+1)</f>
        <v>6</v>
      </c>
      <c r="C176" s="6" t="str">
        <f aca="false">INDEX(Grades_Realms!$B$2:$B$43, B176)</f>
        <v>Awakened Meridian · Perfected</v>
      </c>
      <c r="D176" s="6" t="n">
        <f aca="false">(A176+1)^2.4 * 1.004^A176</f>
        <v>484124.816758188</v>
      </c>
      <c r="E176" s="6" t="n">
        <f aca="false">$I$2*(A176+1)^1.9*1.003^A176</f>
        <v>13.2921658744712</v>
      </c>
      <c r="F176" s="6" t="n">
        <f aca="false">(A176+1)^1.12</f>
        <v>325.23899808499</v>
      </c>
      <c r="G176" s="6" t="n">
        <f aca="false">G175+E176</f>
        <v>711.542204417801</v>
      </c>
    </row>
    <row r="177" customFormat="false" ht="15" hidden="false" customHeight="true" outlineLevel="0" collapsed="false">
      <c r="A177" s="6" t="n">
        <v>175</v>
      </c>
      <c r="B177" s="6" t="n">
        <f aca="false">MIN(42, FLOOR(A177/32,1)+1)</f>
        <v>6</v>
      </c>
      <c r="C177" s="6" t="str">
        <f aca="false">INDEX(Grades_Realms!$B$2:$B$43, B177)</f>
        <v>Awakened Meridian · Perfected</v>
      </c>
      <c r="D177" s="6" t="n">
        <f aca="false">(A177+1)^2.4 * 1.004^A177</f>
        <v>492753.984020901</v>
      </c>
      <c r="E177" s="6" t="n">
        <f aca="false">$I$2*(A177+1)^1.9*1.003^A177</f>
        <v>13.4771623987766</v>
      </c>
      <c r="F177" s="6" t="n">
        <f aca="false">(A177+1)^1.12</f>
        <v>327.321240146981</v>
      </c>
      <c r="G177" s="6" t="n">
        <f aca="false">G176+E177</f>
        <v>725.019366816577</v>
      </c>
    </row>
    <row r="178" customFormat="false" ht="15" hidden="false" customHeight="true" outlineLevel="0" collapsed="false">
      <c r="A178" s="6" t="n">
        <v>176</v>
      </c>
      <c r="B178" s="6" t="n">
        <f aca="false">MIN(42, FLOOR(A178/32,1)+1)</f>
        <v>6</v>
      </c>
      <c r="C178" s="6" t="str">
        <f aca="false">INDEX(Grades_Realms!$B$2:$B$43, B178)</f>
        <v>Awakened Meridian · Perfected</v>
      </c>
      <c r="D178" s="6" t="n">
        <f aca="false">(A178+1)^2.4 * 1.004^A178</f>
        <v>501498.101942267</v>
      </c>
      <c r="E178" s="6" t="n">
        <f aca="false">$I$2*(A178+1)^1.9*1.003^A178</f>
        <v>13.6638954985996</v>
      </c>
      <c r="F178" s="6" t="n">
        <f aca="false">(A178+1)^1.12</f>
        <v>329.404902410756</v>
      </c>
      <c r="G178" s="6" t="n">
        <f aca="false">G177+E178</f>
        <v>738.683262315177</v>
      </c>
    </row>
    <row r="179" customFormat="false" ht="15" hidden="false" customHeight="true" outlineLevel="0" collapsed="false">
      <c r="A179" s="6" t="n">
        <v>177</v>
      </c>
      <c r="B179" s="6" t="n">
        <f aca="false">MIN(42, FLOOR(A179/32,1)+1)</f>
        <v>6</v>
      </c>
      <c r="C179" s="6" t="str">
        <f aca="false">INDEX(Grades_Realms!$B$2:$B$43, B179)</f>
        <v>Awakened Meridian · Perfected</v>
      </c>
      <c r="D179" s="6" t="n">
        <f aca="false">(A179+1)^2.4 * 1.004^A179</f>
        <v>510358.288956384</v>
      </c>
      <c r="E179" s="6" t="n">
        <f aca="false">$I$2*(A179+1)^1.9*1.003^A179</f>
        <v>13.8523757431596</v>
      </c>
      <c r="F179" s="6" t="n">
        <f aca="false">(A179+1)^1.12</f>
        <v>331.489977812957</v>
      </c>
      <c r="G179" s="6" t="n">
        <f aca="false">G178+E179</f>
        <v>752.535638058336</v>
      </c>
    </row>
    <row r="180" customFormat="false" ht="15" hidden="false" customHeight="true" outlineLevel="0" collapsed="false">
      <c r="A180" s="6" t="n">
        <v>178</v>
      </c>
      <c r="B180" s="6" t="n">
        <f aca="false">MIN(42, FLOOR(A180/32,1)+1)</f>
        <v>6</v>
      </c>
      <c r="C180" s="6" t="str">
        <f aca="false">INDEX(Grades_Realms!$B$2:$B$43, B180)</f>
        <v>Awakened Meridian · Perfected</v>
      </c>
      <c r="D180" s="6" t="n">
        <f aca="false">(A180+1)^2.4 * 1.004^A180</f>
        <v>519335.672026826</v>
      </c>
      <c r="E180" s="6" t="n">
        <f aca="false">$I$2*(A180+1)^1.9*1.003^A180</f>
        <v>14.0426137562686</v>
      </c>
      <c r="F180" s="6" t="n">
        <f aca="false">(A180+1)^1.12</f>
        <v>333.57645936485</v>
      </c>
      <c r="G180" s="6" t="n">
        <f aca="false">G179+E180</f>
        <v>766.578251814605</v>
      </c>
    </row>
    <row r="181" customFormat="false" ht="15" hidden="false" customHeight="true" outlineLevel="0" collapsed="false">
      <c r="A181" s="6" t="n">
        <v>179</v>
      </c>
      <c r="B181" s="6" t="n">
        <f aca="false">MIN(42, FLOOR(A181/32,1)+1)</f>
        <v>6</v>
      </c>
      <c r="C181" s="6" t="str">
        <f aca="false">INDEX(Grades_Realms!$B$2:$B$43, B181)</f>
        <v>Awakened Meridian · Perfected</v>
      </c>
      <c r="D181" s="6" t="n">
        <f aca="false">(A181+1)^2.4 * 1.004^A181</f>
        <v>528431.386705038</v>
      </c>
      <c r="E181" s="6" t="n">
        <f aca="false">$I$2*(A181+1)^1.9*1.003^A181</f>
        <v>14.2346202165656</v>
      </c>
      <c r="F181" s="6" t="n">
        <f aca="false">(A181+1)^1.12</f>
        <v>335.664340151133</v>
      </c>
      <c r="G181" s="6" t="n">
        <f aca="false">G180+E181</f>
        <v>780.812872031171</v>
      </c>
    </row>
    <row r="182" customFormat="false" ht="15" hidden="false" customHeight="true" outlineLevel="0" collapsed="false">
      <c r="A182" s="6" t="n">
        <v>180</v>
      </c>
      <c r="B182" s="6" t="n">
        <f aca="false">MIN(42, FLOOR(A182/32,1)+1)</f>
        <v>6</v>
      </c>
      <c r="C182" s="6" t="str">
        <f aca="false">INDEX(Grades_Realms!$B$2:$B$43, B182)</f>
        <v>Awakened Meridian · Perfected</v>
      </c>
      <c r="D182" s="6" t="n">
        <f aca="false">(A182+1)^2.4 * 1.004^A182</f>
        <v>537646.577189083</v>
      </c>
      <c r="E182" s="6" t="n">
        <f aca="false">$I$2*(A182+1)^1.9*1.003^A182</f>
        <v>14.4284058577512</v>
      </c>
      <c r="F182" s="6" t="n">
        <f aca="false">(A182+1)^1.12</f>
        <v>337.753613328751</v>
      </c>
      <c r="G182" s="6" t="n">
        <f aca="false">G181+E182</f>
        <v>795.241277888922</v>
      </c>
    </row>
    <row r="183" customFormat="false" ht="15" hidden="false" customHeight="true" outlineLevel="0" collapsed="false">
      <c r="A183" s="6" t="n">
        <v>181</v>
      </c>
      <c r="B183" s="6" t="n">
        <f aca="false">MIN(42, FLOOR(A183/32,1)+1)</f>
        <v>6</v>
      </c>
      <c r="C183" s="6" t="str">
        <f aca="false">INDEX(Grades_Realms!$B$2:$B$43, B183)</f>
        <v>Awakened Meridian · Perfected</v>
      </c>
      <c r="D183" s="6" t="n">
        <f aca="false">(A183+1)^2.4 * 1.004^A183</f>
        <v>546982.396382726</v>
      </c>
      <c r="E183" s="6" t="n">
        <f aca="false">$I$2*(A183+1)^1.9*1.003^A183</f>
        <v>14.6239814688239</v>
      </c>
      <c r="F183" s="6" t="n">
        <f aca="false">(A183+1)^1.12</f>
        <v>339.844272125754</v>
      </c>
      <c r="G183" s="6" t="n">
        <f aca="false">G182+E183</f>
        <v>809.865259357746</v>
      </c>
    </row>
    <row r="184" customFormat="false" ht="15" hidden="false" customHeight="true" outlineLevel="0" collapsed="false">
      <c r="A184" s="6" t="n">
        <v>182</v>
      </c>
      <c r="B184" s="6" t="n">
        <f aca="false">MIN(42, FLOOR(A184/32,1)+1)</f>
        <v>6</v>
      </c>
      <c r="C184" s="6" t="str">
        <f aca="false">INDEX(Grades_Realms!$B$2:$B$43, B184)</f>
        <v>Awakened Meridian · Perfected</v>
      </c>
      <c r="D184" s="6" t="n">
        <f aca="false">(A184+1)^2.4 * 1.004^A184</f>
        <v>556440.005954865</v>
      </c>
      <c r="E184" s="6" t="n">
        <f aca="false">$I$2*(A184+1)^1.9*1.003^A184</f>
        <v>14.8213578943178</v>
      </c>
      <c r="F184" s="6" t="n">
        <f aca="false">(A184+1)^1.12</f>
        <v>341.936309840166</v>
      </c>
      <c r="G184" s="6" t="n">
        <f aca="false">G183+E184</f>
        <v>824.686617252064</v>
      </c>
    </row>
    <row r="185" customFormat="false" ht="15" hidden="false" customHeight="true" outlineLevel="0" collapsed="false">
      <c r="A185" s="6" t="n">
        <v>183</v>
      </c>
      <c r="B185" s="6" t="n">
        <f aca="false">MIN(42, FLOOR(A185/32,1)+1)</f>
        <v>6</v>
      </c>
      <c r="C185" s="6" t="str">
        <f aca="false">INDEX(Grades_Realms!$B$2:$B$43, B185)</f>
        <v>Awakened Meridian · Perfected</v>
      </c>
      <c r="D185" s="6" t="n">
        <f aca="false">(A185+1)^2.4 * 1.004^A185</f>
        <v>566020.576399314</v>
      </c>
      <c r="E185" s="6" t="n">
        <f aca="false">$I$2*(A185+1)^1.9*1.003^A185</f>
        <v>15.0205460345407</v>
      </c>
      <c r="F185" s="6" t="n">
        <f aca="false">(A185+1)^1.12</f>
        <v>344.029719838888</v>
      </c>
      <c r="G185" s="6" t="n">
        <f aca="false">G184+E185</f>
        <v>839.707163286604</v>
      </c>
    </row>
    <row r="186" customFormat="false" ht="15" hidden="false" customHeight="true" outlineLevel="0" collapsed="false">
      <c r="A186" s="6" t="n">
        <v>184</v>
      </c>
      <c r="B186" s="6" t="n">
        <f aca="false">MIN(42, FLOOR(A186/32,1)+1)</f>
        <v>6</v>
      </c>
      <c r="C186" s="6" t="str">
        <f aca="false">INDEX(Grades_Realms!$B$2:$B$43, B186)</f>
        <v>Awakened Meridian · Perfected</v>
      </c>
      <c r="D186" s="6" t="n">
        <f aca="false">(A186+1)^2.4 * 1.004^A186</f>
        <v>575725.287094931</v>
      </c>
      <c r="E186" s="6" t="n">
        <f aca="false">$I$2*(A186+1)^1.9*1.003^A186</f>
        <v>15.221556845815</v>
      </c>
      <c r="F186" s="6" t="n">
        <f aca="false">(A186+1)^1.12</f>
        <v>346.124495556615</v>
      </c>
      <c r="G186" s="6" t="n">
        <f aca="false">G185+E186</f>
        <v>854.928720132419</v>
      </c>
    </row>
    <row r="187" customFormat="false" ht="15" hidden="false" customHeight="true" outlineLevel="0" collapsed="false">
      <c r="A187" s="6" t="n">
        <v>185</v>
      </c>
      <c r="B187" s="6" t="n">
        <f aca="false">MIN(42, FLOOR(A187/32,1)+1)</f>
        <v>6</v>
      </c>
      <c r="C187" s="6" t="str">
        <f aca="false">INDEX(Grades_Realms!$B$2:$B$43, B187)</f>
        <v>Awakened Meridian · Perfected</v>
      </c>
      <c r="D187" s="6" t="n">
        <f aca="false">(A187+1)^2.4 * 1.004^A187</f>
        <v>585555.326366103</v>
      </c>
      <c r="E187" s="6" t="n">
        <f aca="false">$I$2*(A187+1)^1.9*1.003^A187</f>
        <v>15.4244013407178</v>
      </c>
      <c r="F187" s="6" t="n">
        <f aca="false">(A187+1)^1.12</f>
        <v>348.220630494783</v>
      </c>
      <c r="G187" s="6" t="n">
        <f aca="false">G186+E187</f>
        <v>870.353121473137</v>
      </c>
    </row>
    <row r="188" customFormat="false" ht="15" hidden="false" customHeight="true" outlineLevel="0" collapsed="false">
      <c r="A188" s="6" t="n">
        <v>186</v>
      </c>
      <c r="B188" s="6" t="n">
        <f aca="false">MIN(42, FLOOR(A188/32,1)+1)</f>
        <v>6</v>
      </c>
      <c r="C188" s="6" t="str">
        <f aca="false">INDEX(Grades_Realms!$B$2:$B$43, B188)</f>
        <v>Awakened Meridian · Perfected</v>
      </c>
      <c r="D188" s="6" t="n">
        <f aca="false">(A188+1)^2.4 * 1.004^A188</f>
        <v>595511.891543585</v>
      </c>
      <c r="E188" s="6" t="n">
        <f aca="false">$I$2*(A188+1)^1.9*1.003^A188</f>
        <v>15.6290905883241</v>
      </c>
      <c r="F188" s="6" t="n">
        <f aca="false">(A188+1)^1.12</f>
        <v>350.318118220535</v>
      </c>
      <c r="G188" s="6" t="n">
        <f aca="false">G187+E188</f>
        <v>885.982212061461</v>
      </c>
    </row>
    <row r="189" customFormat="false" ht="15" hidden="false" customHeight="true" outlineLevel="0" collapsed="false">
      <c r="A189" s="6" t="n">
        <v>187</v>
      </c>
      <c r="B189" s="6" t="n">
        <f aca="false">MIN(42, FLOOR(A189/32,1)+1)</f>
        <v>6</v>
      </c>
      <c r="C189" s="6" t="str">
        <f aca="false">INDEX(Grades_Realms!$B$2:$B$43, B189)</f>
        <v>Awakened Meridian · Perfected</v>
      </c>
      <c r="D189" s="6" t="n">
        <f aca="false">(A189+1)^2.4 * 1.004^A189</f>
        <v>605596.189025699</v>
      </c>
      <c r="E189" s="6" t="n">
        <f aca="false">$I$2*(A189+1)^1.9*1.003^A189</f>
        <v>15.83563571445</v>
      </c>
      <c r="F189" s="6" t="n">
        <f aca="false">(A189+1)^1.12</f>
        <v>352.416952365707</v>
      </c>
      <c r="G189" s="6" t="n">
        <f aca="false">G188+E189</f>
        <v>901.817847775911</v>
      </c>
    </row>
    <row r="190" customFormat="false" ht="15" hidden="false" customHeight="true" outlineLevel="0" collapsed="false">
      <c r="A190" s="6" t="n">
        <v>188</v>
      </c>
      <c r="B190" s="6" t="n">
        <f aca="false">MIN(42, FLOOR(A190/32,1)+1)</f>
        <v>6</v>
      </c>
      <c r="C190" s="6" t="str">
        <f aca="false">INDEX(Grades_Realms!$B$2:$B$43, B190)</f>
        <v>Awakened Meridian · Perfected</v>
      </c>
      <c r="D190" s="6" t="n">
        <f aca="false">(A190+1)^2.4 * 1.004^A190</f>
        <v>615809.434339886</v>
      </c>
      <c r="E190" s="6" t="n">
        <f aca="false">$I$2*(A190+1)^1.9*1.003^A190</f>
        <v>16.0440479018975</v>
      </c>
      <c r="F190" s="6" t="n">
        <f aca="false">(A190+1)^1.12</f>
        <v>354.51712662584</v>
      </c>
      <c r="G190" s="6" t="n">
        <f aca="false">G189+E190</f>
        <v>917.861895677809</v>
      </c>
    </row>
    <row r="191" customFormat="false" ht="15" hidden="false" customHeight="true" outlineLevel="0" collapsed="false">
      <c r="A191" s="6" t="n">
        <v>189</v>
      </c>
      <c r="B191" s="6" t="n">
        <f aca="false">MIN(42, FLOOR(A191/32,1)+1)</f>
        <v>6</v>
      </c>
      <c r="C191" s="6" t="str">
        <f aca="false">INDEX(Grades_Realms!$B$2:$B$43, B191)</f>
        <v>Awakened Meridian · Perfected</v>
      </c>
      <c r="D191" s="6" t="n">
        <f aca="false">(A191+1)^2.4 * 1.004^A191</f>
        <v>626152.852204631</v>
      </c>
      <c r="E191" s="6" t="n">
        <f aca="false">$I$2*(A191+1)^1.9*1.003^A191</f>
        <v>16.254338390701</v>
      </c>
      <c r="F191" s="6" t="n">
        <f aca="false">(A191+1)^1.12</f>
        <v>356.618634759205</v>
      </c>
      <c r="G191" s="6" t="n">
        <f aca="false">G190+E191</f>
        <v>934.11623406851</v>
      </c>
    </row>
    <row r="192" customFormat="false" ht="15" hidden="false" customHeight="true" outlineLevel="0" collapsed="false">
      <c r="A192" s="6" t="n">
        <v>190</v>
      </c>
      <c r="B192" s="6" t="n">
        <f aca="false">MIN(42, FLOOR(A192/32,1)+1)</f>
        <v>6</v>
      </c>
      <c r="C192" s="6" t="str">
        <f aca="false">INDEX(Grades_Realms!$B$2:$B$43, B192)</f>
        <v>Awakened Meridian · Perfected</v>
      </c>
      <c r="D192" s="6" t="n">
        <f aca="false">(A192+1)^2.4 * 1.004^A192</f>
        <v>636627.676591747</v>
      </c>
      <c r="E192" s="6" t="n">
        <f aca="false">$I$2*(A192+1)^1.9*1.003^A192</f>
        <v>16.4665184783742</v>
      </c>
      <c r="F192" s="6" t="n">
        <f aca="false">(A192+1)^1.12</f>
        <v>358.721470585853</v>
      </c>
      <c r="G192" s="6" t="n">
        <f aca="false">G191+E192</f>
        <v>950.582752546884</v>
      </c>
    </row>
    <row r="193" customFormat="false" ht="15" hidden="false" customHeight="true" outlineLevel="0" collapsed="false">
      <c r="A193" s="6" t="n">
        <v>191</v>
      </c>
      <c r="B193" s="6" t="n">
        <f aca="false">MIN(42, FLOOR(A193/32,1)+1)</f>
        <v>6</v>
      </c>
      <c r="C193" s="6" t="str">
        <f aca="false">INDEX(Grades_Realms!$B$2:$B$43, B193)</f>
        <v>Awakened Meridian · Perfected</v>
      </c>
      <c r="D193" s="6" t="n">
        <f aca="false">(A193+1)^2.4 * 1.004^A193</f>
        <v>647235.150789022</v>
      </c>
      <c r="E193" s="6" t="n">
        <f aca="false">$I$2*(A193+1)^1.9*1.003^A193</f>
        <v>16.6805995201587</v>
      </c>
      <c r="F193" s="6" t="n">
        <f aca="false">(A193+1)^1.12</f>
        <v>360.825627986687</v>
      </c>
      <c r="G193" s="6" t="n">
        <f aca="false">G192+E193</f>
        <v>967.263352067043</v>
      </c>
    </row>
    <row r="194" customFormat="false" ht="15" hidden="false" customHeight="true" outlineLevel="0" collapsed="false">
      <c r="A194" s="6" t="n">
        <v>192</v>
      </c>
      <c r="B194" s="6" t="n">
        <f aca="false">MIN(42, FLOOR(A194/32,1)+1)</f>
        <v>7</v>
      </c>
      <c r="C194" s="6" t="str">
        <f aca="false">INDEX(Grades_Realms!$B$2:$B$43, B194)</f>
        <v>Tempered Body · Initial</v>
      </c>
      <c r="D194" s="6" t="n">
        <f aca="false">(A194+1)^2.4 * 1.004^A194</f>
        <v>657976.527463247</v>
      </c>
      <c r="E194" s="6" t="n">
        <f aca="false">$I$2*(A194+1)^1.9*1.003^A194</f>
        <v>16.8965929292739</v>
      </c>
      <c r="F194" s="6" t="n">
        <f aca="false">(A194+1)^1.12</f>
        <v>362.931100902543</v>
      </c>
      <c r="G194" s="6" t="n">
        <f aca="false">G193+E194</f>
        <v>984.159944996317</v>
      </c>
    </row>
    <row r="195" customFormat="false" ht="15" hidden="false" customHeight="true" outlineLevel="0" collapsed="false">
      <c r="A195" s="6" t="n">
        <v>193</v>
      </c>
      <c r="B195" s="6" t="n">
        <f aca="false">MIN(42, FLOOR(A195/32,1)+1)</f>
        <v>7</v>
      </c>
      <c r="C195" s="6" t="str">
        <f aca="false">INDEX(Grades_Realms!$B$2:$B$43, B195)</f>
        <v>Tempered Body · Initial</v>
      </c>
      <c r="D195" s="6" t="n">
        <f aca="false">(A195+1)^2.4 * 1.004^A195</f>
        <v>668853.068723602</v>
      </c>
      <c r="E195" s="6" t="n">
        <f aca="false">$I$2*(A195+1)^1.9*1.003^A195</f>
        <v>17.1145101771681</v>
      </c>
      <c r="F195" s="6" t="n">
        <f aca="false">(A195+1)^1.12</f>
        <v>365.037883333298</v>
      </c>
      <c r="G195" s="6" t="n">
        <f aca="false">G194+E195</f>
        <v>1001.27445517348</v>
      </c>
    </row>
    <row r="196" customFormat="false" ht="15" hidden="false" customHeight="true" outlineLevel="0" collapsed="false">
      <c r="A196" s="6" t="n">
        <v>194</v>
      </c>
      <c r="B196" s="6" t="n">
        <f aca="false">MIN(42, FLOOR(A196/32,1)+1)</f>
        <v>7</v>
      </c>
      <c r="C196" s="6" t="str">
        <f aca="false">INDEX(Grades_Realms!$B$2:$B$43, B196)</f>
        <v>Tempered Body · Initial</v>
      </c>
      <c r="D196" s="6" t="n">
        <f aca="false">(A196+1)^2.4 * 1.004^A196</f>
        <v>679866.046185433</v>
      </c>
      <c r="E196" s="6" t="n">
        <f aca="false">$I$2*(A196+1)^1.9*1.003^A196</f>
        <v>17.3343627937703</v>
      </c>
      <c r="F196" s="6" t="n">
        <f aca="false">(A196+1)^1.12</f>
        <v>367.145969336995</v>
      </c>
      <c r="G196" s="6" t="n">
        <f aca="false">G195+E196</f>
        <v>1018.60881796726</v>
      </c>
    </row>
    <row r="197" customFormat="false" ht="15" hidden="false" customHeight="true" outlineLevel="0" collapsed="false">
      <c r="A197" s="6" t="n">
        <v>195</v>
      </c>
      <c r="B197" s="6" t="n">
        <f aca="false">MIN(42, FLOOR(A197/32,1)+1)</f>
        <v>7</v>
      </c>
      <c r="C197" s="6" t="str">
        <f aca="false">INDEX(Grades_Realms!$B$2:$B$43, B197)</f>
        <v>Tempered Body · Initial</v>
      </c>
      <c r="D197" s="6" t="n">
        <f aca="false">(A197+1)^2.4 * 1.004^A197</f>
        <v>691016.741034389</v>
      </c>
      <c r="E197" s="6" t="n">
        <f aca="false">$I$2*(A197+1)^1.9*1.003^A197</f>
        <v>17.5561623677442</v>
      </c>
      <c r="F197" s="6" t="n">
        <f aca="false">(A197+1)^1.12</f>
        <v>369.255353028982</v>
      </c>
      <c r="G197" s="6" t="n">
        <f aca="false">G196+E197</f>
        <v>1036.164980335</v>
      </c>
    </row>
    <row r="198" customFormat="false" ht="15" hidden="false" customHeight="true" outlineLevel="0" collapsed="false">
      <c r="A198" s="6" t="n">
        <v>196</v>
      </c>
      <c r="B198" s="6" t="n">
        <f aca="false">MIN(42, FLOOR(A198/32,1)+1)</f>
        <v>7</v>
      </c>
      <c r="C198" s="6" t="str">
        <f aca="false">INDEX(Grades_Realms!$B$2:$B$43, B198)</f>
        <v>Tempered Body · Initial</v>
      </c>
      <c r="D198" s="6" t="n">
        <f aca="false">(A198+1)^2.4 * 1.004^A198</f>
        <v>702306.444090948</v>
      </c>
      <c r="E198" s="6" t="n">
        <f aca="false">$I$2*(A198+1)^1.9*1.003^A198</f>
        <v>17.7799205467426</v>
      </c>
      <c r="F198" s="6" t="n">
        <f aca="false">(A198+1)^1.12</f>
        <v>371.366028581067</v>
      </c>
      <c r="G198" s="6" t="n">
        <f aca="false">G197+E198</f>
        <v>1053.94490088174</v>
      </c>
    </row>
    <row r="199" customFormat="false" ht="15" hidden="false" customHeight="true" outlineLevel="0" collapsed="false">
      <c r="A199" s="6" t="n">
        <v>197</v>
      </c>
      <c r="B199" s="6" t="n">
        <f aca="false">MIN(42, FLOOR(A199/32,1)+1)</f>
        <v>7</v>
      </c>
      <c r="C199" s="6" t="str">
        <f aca="false">INDEX(Grades_Realms!$B$2:$B$43, B199)</f>
        <v>Tempered Body · Initial</v>
      </c>
      <c r="D199" s="6" t="n">
        <f aca="false">(A199+1)^2.4 * 1.004^A199</f>
        <v>713736.455875327</v>
      </c>
      <c r="E199" s="6" t="n">
        <f aca="false">$I$2*(A199+1)^1.9*1.003^A199</f>
        <v>18.0056490376633</v>
      </c>
      <c r="F199" s="6" t="n">
        <f aca="false">(A199+1)^1.12</f>
        <v>373.477990220697</v>
      </c>
      <c r="G199" s="6" t="n">
        <f aca="false">G198+E199</f>
        <v>1071.95054991941</v>
      </c>
    </row>
    <row r="200" customFormat="false" ht="15" hidden="false" customHeight="true" outlineLevel="0" collapsed="false">
      <c r="A200" s="6" t="n">
        <v>198</v>
      </c>
      <c r="B200" s="6" t="n">
        <f aca="false">MIN(42, FLOOR(A200/32,1)+1)</f>
        <v>7</v>
      </c>
      <c r="C200" s="6" t="str">
        <f aca="false">INDEX(Grades_Realms!$B$2:$B$43, B200)</f>
        <v>Tempered Body · Initial</v>
      </c>
      <c r="D200" s="6" t="n">
        <f aca="false">(A200+1)^2.4 * 1.004^A200</f>
        <v>725308.086672765</v>
      </c>
      <c r="E200" s="6" t="n">
        <f aca="false">$I$2*(A200+1)^1.9*1.003^A200</f>
        <v>18.2333596069065</v>
      </c>
      <c r="F200" s="6" t="n">
        <f aca="false">(A200+1)^1.12</f>
        <v>375.591232230147</v>
      </c>
      <c r="G200" s="6" t="n">
        <f aca="false">G199+E200</f>
        <v>1090.18390952631</v>
      </c>
    </row>
    <row r="201" customFormat="false" ht="15" hidden="false" customHeight="true" outlineLevel="0" collapsed="false">
      <c r="A201" s="6" t="n">
        <v>199</v>
      </c>
      <c r="B201" s="6" t="n">
        <f aca="false">MIN(42, FLOOR(A201/32,1)+1)</f>
        <v>7</v>
      </c>
      <c r="C201" s="6" t="str">
        <f aca="false">INDEX(Grades_Realms!$B$2:$B$43, B201)</f>
        <v>Tempered Body · Initial</v>
      </c>
      <c r="D201" s="6" t="n">
        <f aca="false">(A201+1)^2.4 * 1.004^A201</f>
        <v>737022.656599207</v>
      </c>
      <c r="E201" s="6" t="n">
        <f aca="false">$I$2*(A201+1)^1.9*1.003^A201</f>
        <v>18.4630640806332</v>
      </c>
      <c r="F201" s="6" t="n">
        <f aca="false">(A201+1)^1.12</f>
        <v>377.705748945725</v>
      </c>
      <c r="G201" s="6" t="n">
        <f aca="false">G200+E201</f>
        <v>1108.64697360694</v>
      </c>
    </row>
    <row r="202" customFormat="false" ht="15" hidden="false" customHeight="true" outlineLevel="0" collapsed="false">
      <c r="A202" s="6" t="n">
        <v>200</v>
      </c>
      <c r="B202" s="6" t="n">
        <f aca="false">MIN(42, FLOOR(A202/32,1)+1)</f>
        <v>7</v>
      </c>
      <c r="C202" s="6" t="str">
        <f aca="false">INDEX(Grades_Realms!$B$2:$B$43, B202)</f>
        <v>Tempered Body · Initial</v>
      </c>
      <c r="D202" s="6" t="n">
        <f aca="false">(A202+1)^2.4 * 1.004^A202</f>
        <v>748881.49566736</v>
      </c>
      <c r="E202" s="6" t="n">
        <f aca="false">$I$2*(A202+1)^1.9*1.003^A202</f>
        <v>18.6947743450247</v>
      </c>
      <c r="F202" s="6" t="n">
        <f aca="false">(A202+1)^1.12</f>
        <v>379.821534756993</v>
      </c>
      <c r="G202" s="6" t="n">
        <f aca="false">G201+E202</f>
        <v>1127.34174795197</v>
      </c>
    </row>
    <row r="203" customFormat="false" ht="15" hidden="false" customHeight="true" outlineLevel="0" collapsed="false">
      <c r="A203" s="6" t="n">
        <v>201</v>
      </c>
      <c r="B203" s="6" t="n">
        <f aca="false">MIN(42, FLOOR(A203/32,1)+1)</f>
        <v>7</v>
      </c>
      <c r="C203" s="6" t="str">
        <f aca="false">INDEX(Grades_Realms!$B$2:$B$43, B203)</f>
        <v>Tempered Body · Initial</v>
      </c>
      <c r="D203" s="6" t="n">
        <f aca="false">(A203+1)^2.4 * 1.004^A203</f>
        <v>760885.943853162</v>
      </c>
      <c r="E203" s="6" t="n">
        <f aca="false">$I$2*(A203+1)^1.9*1.003^A203</f>
        <v>18.9285023465435</v>
      </c>
      <c r="F203" s="6" t="n">
        <f aca="false">(A203+1)^1.12</f>
        <v>381.938584106007</v>
      </c>
      <c r="G203" s="6" t="n">
        <f aca="false">G202+E203</f>
        <v>1146.27025029851</v>
      </c>
    </row>
    <row r="204" customFormat="false" ht="15" hidden="false" customHeight="true" outlineLevel="0" collapsed="false">
      <c r="A204" s="6" t="n">
        <v>202</v>
      </c>
      <c r="B204" s="6" t="n">
        <f aca="false">MIN(42, FLOOR(A204/32,1)+1)</f>
        <v>7</v>
      </c>
      <c r="C204" s="6" t="str">
        <f aca="false">INDEX(Grades_Realms!$B$2:$B$43, B204)</f>
        <v>Tempered Body · Initial</v>
      </c>
      <c r="D204" s="6" t="n">
        <f aca="false">(A204+1)^2.4 * 1.004^A204</f>
        <v>773037.35116262</v>
      </c>
      <c r="E204" s="6" t="n">
        <f aca="false">$I$2*(A204+1)^1.9*1.003^A204</f>
        <v>19.1642600921955</v>
      </c>
      <c r="F204" s="6" t="n">
        <f aca="false">(A204+1)^1.12</f>
        <v>384.056891486565</v>
      </c>
      <c r="G204" s="6" t="n">
        <f aca="false">G203+E204</f>
        <v>1165.43451039071</v>
      </c>
    </row>
    <row r="205" customFormat="false" ht="15" hidden="false" customHeight="true" outlineLevel="0" collapsed="false">
      <c r="A205" s="6" t="n">
        <v>203</v>
      </c>
      <c r="B205" s="6" t="n">
        <f aca="false">MIN(42, FLOOR(A205/32,1)+1)</f>
        <v>7</v>
      </c>
      <c r="C205" s="6" t="str">
        <f aca="false">INDEX(Grades_Realms!$B$2:$B$43, B205)</f>
        <v>Tempered Body · Initial</v>
      </c>
      <c r="D205" s="6" t="n">
        <f aca="false">(A205+1)^2.4 * 1.004^A205</f>
        <v>785337.077699069</v>
      </c>
      <c r="E205" s="6" t="n">
        <f aca="false">$I$2*(A205+1)^1.9*1.003^A205</f>
        <v>19.4020596497937</v>
      </c>
      <c r="F205" s="6" t="n">
        <f aca="false">(A205+1)^1.12</f>
        <v>386.176451443476</v>
      </c>
      <c r="G205" s="6" t="n">
        <f aca="false">G204+E205</f>
        <v>1184.8365700405</v>
      </c>
    </row>
    <row r="206" customFormat="false" ht="15" hidden="false" customHeight="true" outlineLevel="0" collapsed="false">
      <c r="A206" s="6" t="n">
        <v>204</v>
      </c>
      <c r="B206" s="6" t="n">
        <f aca="false">MIN(42, FLOOR(A206/32,1)+1)</f>
        <v>7</v>
      </c>
      <c r="C206" s="6" t="str">
        <f aca="false">INDEX(Grades_Realms!$B$2:$B$43, B206)</f>
        <v>Tempered Body · Initial</v>
      </c>
      <c r="D206" s="6" t="n">
        <f aca="false">(A206+1)^2.4 * 1.004^A206</f>
        <v>797786.493730808</v>
      </c>
      <c r="E206" s="6" t="n">
        <f aca="false">$I$2*(A206+1)^1.9*1.003^A206</f>
        <v>19.6419131482223</v>
      </c>
      <c r="F206" s="6" t="n">
        <f aca="false">(A206+1)^1.12</f>
        <v>388.297258571836</v>
      </c>
      <c r="G206" s="6" t="n">
        <f aca="false">G205+E206</f>
        <v>1204.47848318872</v>
      </c>
    </row>
    <row r="207" customFormat="false" ht="15" hidden="false" customHeight="true" outlineLevel="0" collapsed="false">
      <c r="A207" s="6" t="n">
        <v>205</v>
      </c>
      <c r="B207" s="6" t="n">
        <f aca="false">MIN(42, FLOOR(A207/32,1)+1)</f>
        <v>7</v>
      </c>
      <c r="C207" s="6" t="str">
        <f aca="false">INDEX(Grades_Realms!$B$2:$B$43, B207)</f>
        <v>Tempered Body · Initial</v>
      </c>
      <c r="D207" s="6" t="n">
        <f aca="false">(A207+1)^2.4 * 1.004^A207</f>
        <v>810386.979759154</v>
      </c>
      <c r="E207" s="6" t="n">
        <f aca="false">$I$2*(A207+1)^1.9*1.003^A207</f>
        <v>19.883832777703</v>
      </c>
      <c r="F207" s="6" t="n">
        <f aca="false">(A207+1)^1.12</f>
        <v>390.419307516324</v>
      </c>
      <c r="G207" s="6" t="n">
        <f aca="false">G206+E207</f>
        <v>1224.36231596643</v>
      </c>
    </row>
    <row r="208" customFormat="false" ht="15" hidden="false" customHeight="true" outlineLevel="0" collapsed="false">
      <c r="A208" s="6" t="n">
        <v>206</v>
      </c>
      <c r="B208" s="6" t="n">
        <f aca="false">MIN(42, FLOOR(A208/32,1)+1)</f>
        <v>7</v>
      </c>
      <c r="C208" s="6" t="str">
        <f aca="false">INDEX(Grades_Realms!$B$2:$B$43, B208)</f>
        <v>Tempered Body · Initial</v>
      </c>
      <c r="D208" s="6" t="n">
        <f aca="false">(A208+1)^2.4 * 1.004^A208</f>
        <v>823139.926586893</v>
      </c>
      <c r="E208" s="6" t="n">
        <f aca="false">$I$2*(A208+1)^1.9*1.003^A208</f>
        <v>20.127830790062</v>
      </c>
      <c r="F208" s="6" t="n">
        <f aca="false">(A208+1)^1.12</f>
        <v>392.542592970506</v>
      </c>
      <c r="G208" s="6" t="n">
        <f aca="false">G207+E208</f>
        <v>1244.49014675649</v>
      </c>
    </row>
    <row r="209" customFormat="false" ht="15" hidden="false" customHeight="true" outlineLevel="0" collapsed="false">
      <c r="A209" s="6" t="n">
        <v>207</v>
      </c>
      <c r="B209" s="6" t="n">
        <f aca="false">MIN(42, FLOOR(A209/32,1)+1)</f>
        <v>7</v>
      </c>
      <c r="C209" s="6" t="str">
        <f aca="false">INDEX(Grades_Realms!$B$2:$B$43, B209)</f>
        <v>Tempered Body · Initial</v>
      </c>
      <c r="D209" s="6" t="n">
        <f aca="false">(A209+1)^2.4 * 1.004^A209</f>
        <v>836046.735387132</v>
      </c>
      <c r="E209" s="6" t="n">
        <f aca="false">$I$2*(A209+1)^1.9*1.003^A209</f>
        <v>20.3739194989983</v>
      </c>
      <c r="F209" s="6" t="n">
        <f aca="false">(A209+1)^1.12</f>
        <v>394.667109676158</v>
      </c>
      <c r="G209" s="6" t="n">
        <f aca="false">G208+E209</f>
        <v>1264.86406625549</v>
      </c>
    </row>
    <row r="210" customFormat="false" ht="15" hidden="false" customHeight="true" outlineLevel="0" collapsed="false">
      <c r="A210" s="6" t="n">
        <v>208</v>
      </c>
      <c r="B210" s="6" t="n">
        <f aca="false">MIN(42, FLOOR(A210/32,1)+1)</f>
        <v>7</v>
      </c>
      <c r="C210" s="6" t="str">
        <f aca="false">INDEX(Grades_Realms!$B$2:$B$43, B210)</f>
        <v>Tempered Body · Initial</v>
      </c>
      <c r="D210" s="6" t="n">
        <f aca="false">(A210+1)^2.4 * 1.004^A210</f>
        <v>849108.817772572</v>
      </c>
      <c r="E210" s="6" t="n">
        <f aca="false">$I$2*(A210+1)^1.9*1.003^A210</f>
        <v>20.6221112803535</v>
      </c>
      <c r="F210" s="6" t="n">
        <f aca="false">(A210+1)^1.12</f>
        <v>396.792852422596</v>
      </c>
      <c r="G210" s="6" t="n">
        <f aca="false">G209+E210</f>
        <v>1285.48617753584</v>
      </c>
    </row>
    <row r="211" customFormat="false" ht="15" hidden="false" customHeight="true" outlineLevel="0" collapsed="false">
      <c r="A211" s="6" t="n">
        <v>209</v>
      </c>
      <c r="B211" s="6" t="n">
        <f aca="false">MIN(42, FLOOR(A211/32,1)+1)</f>
        <v>7</v>
      </c>
      <c r="C211" s="6" t="str">
        <f aca="false">INDEX(Grades_Realms!$B$2:$B$43, B211)</f>
        <v>Tempered Body · Initial</v>
      </c>
      <c r="D211" s="6" t="n">
        <f aca="false">(A211+1)^2.4 * 1.004^A211</f>
        <v>862327.595865185</v>
      </c>
      <c r="E211" s="6" t="n">
        <f aca="false">$I$2*(A211+1)^1.9*1.003^A211</f>
        <v>20.8724185723827</v>
      </c>
      <c r="F211" s="6" t="n">
        <f aca="false">(A211+1)^1.12</f>
        <v>398.919816046022</v>
      </c>
      <c r="G211" s="6" t="n">
        <f aca="false">G210+E211</f>
        <v>1306.35859610822</v>
      </c>
    </row>
    <row r="212" customFormat="false" ht="15" hidden="false" customHeight="true" outlineLevel="0" collapsed="false">
      <c r="A212" s="6" t="n">
        <v>210</v>
      </c>
      <c r="B212" s="6" t="n">
        <f aca="false">MIN(42, FLOOR(A212/32,1)+1)</f>
        <v>7</v>
      </c>
      <c r="C212" s="6" t="str">
        <f aca="false">INDEX(Grades_Realms!$B$2:$B$43, B212)</f>
        <v>Tempered Body · Initial</v>
      </c>
      <c r="D212" s="6" t="n">
        <f aca="false">(A212+1)^2.4 * 1.004^A212</f>
        <v>875704.5023663</v>
      </c>
      <c r="E212" s="6" t="n">
        <f aca="false">$I$2*(A212+1)^1.9*1.003^A212</f>
        <v>21.1248538760267</v>
      </c>
      <c r="F212" s="6" t="n">
        <f aca="false">(A212+1)^1.12</f>
        <v>401.047995428879</v>
      </c>
      <c r="G212" s="6" t="n">
        <f aca="false">G211+E212</f>
        <v>1327.48344998425</v>
      </c>
    </row>
    <row r="213" customFormat="false" ht="15" hidden="false" customHeight="true" outlineLevel="0" collapsed="false">
      <c r="A213" s="6" t="n">
        <v>211</v>
      </c>
      <c r="B213" s="6" t="n">
        <f aca="false">MIN(42, FLOOR(A213/32,1)+1)</f>
        <v>7</v>
      </c>
      <c r="C213" s="6" t="str">
        <f aca="false">INDEX(Grades_Realms!$B$2:$B$43, B213)</f>
        <v>Tempered Body · Initial</v>
      </c>
      <c r="D213" s="6" t="n">
        <f aca="false">(A213+1)^2.4 * 1.004^A213</f>
        <v>889240.980627117</v>
      </c>
      <c r="E213" s="6" t="n">
        <f aca="false">$I$2*(A213+1)^1.9*1.003^A213</f>
        <v>21.3794297551853</v>
      </c>
      <c r="F213" s="6" t="n">
        <f aca="false">(A213+1)^1.12</f>
        <v>403.17738549922</v>
      </c>
      <c r="G213" s="6" t="n">
        <f aca="false">G212+E213</f>
        <v>1348.86287973944</v>
      </c>
    </row>
    <row r="214" customFormat="false" ht="15" hidden="false" customHeight="true" outlineLevel="0" collapsed="false">
      <c r="A214" s="6" t="n">
        <v>212</v>
      </c>
      <c r="B214" s="6" t="n">
        <f aca="false">MIN(42, FLOOR(A214/32,1)+1)</f>
        <v>7</v>
      </c>
      <c r="C214" s="6" t="str">
        <f aca="false">INDEX(Grades_Realms!$B$2:$B$43, B214)</f>
        <v>Tempered Body · Initial</v>
      </c>
      <c r="D214" s="6" t="n">
        <f aca="false">(A214+1)^2.4 * 1.004^A214</f>
        <v>902938.484719636</v>
      </c>
      <c r="E214" s="6" t="n">
        <f aca="false">$I$2*(A214+1)^1.9*1.003^A214</f>
        <v>21.6361588369921</v>
      </c>
      <c r="F214" s="6" t="n">
        <f aca="false">(A214+1)^1.12</f>
        <v>405.30798123009</v>
      </c>
      <c r="G214" s="6" t="n">
        <f aca="false">G213+E214</f>
        <v>1370.49903857643</v>
      </c>
    </row>
    <row r="215" customFormat="false" ht="15" hidden="false" customHeight="true" outlineLevel="0" collapsed="false">
      <c r="A215" s="6" t="n">
        <v>213</v>
      </c>
      <c r="B215" s="6" t="n">
        <f aca="false">MIN(42, FLOOR(A215/32,1)+1)</f>
        <v>7</v>
      </c>
      <c r="C215" s="6" t="str">
        <f aca="false">INDEX(Grades_Realms!$B$2:$B$43, B215)</f>
        <v>Tempered Body · Initial</v>
      </c>
      <c r="D215" s="6" t="n">
        <f aca="false">(A215+1)^2.4 * 1.004^A215</f>
        <v>916798.479507997</v>
      </c>
      <c r="E215" s="6" t="n">
        <f aca="false">$I$2*(A215+1)^1.9*1.003^A215</f>
        <v>21.8950538120903</v>
      </c>
      <c r="F215" s="6" t="n">
        <f aca="false">(A215+1)^1.12</f>
        <v>407.439777638917</v>
      </c>
      <c r="G215" s="6" t="n">
        <f aca="false">G214+E215</f>
        <v>1392.39409238852</v>
      </c>
    </row>
    <row r="216" customFormat="false" ht="15" hidden="false" customHeight="true" outlineLevel="0" collapsed="false">
      <c r="A216" s="6" t="n">
        <v>214</v>
      </c>
      <c r="B216" s="6" t="n">
        <f aca="false">MIN(42, FLOOR(A216/32,1)+1)</f>
        <v>7</v>
      </c>
      <c r="C216" s="6" t="str">
        <f aca="false">INDEX(Grades_Realms!$B$2:$B$43, B216)</f>
        <v>Tempered Body · Initial</v>
      </c>
      <c r="D216" s="6" t="n">
        <f aca="false">(A216+1)^2.4 * 1.004^A216</f>
        <v>930822.440720263</v>
      </c>
      <c r="E216" s="6" t="n">
        <f aca="false">$I$2*(A216+1)^1.9*1.003^A216</f>
        <v>22.1561274349103</v>
      </c>
      <c r="F216" s="6" t="n">
        <f aca="false">(A216+1)^1.12</f>
        <v>409.572769786912</v>
      </c>
      <c r="G216" s="6" t="n">
        <f aca="false">G215+E216</f>
        <v>1414.55021982343</v>
      </c>
    </row>
    <row r="217" customFormat="false" ht="15" hidden="false" customHeight="true" outlineLevel="0" collapsed="false">
      <c r="A217" s="6" t="n">
        <v>215</v>
      </c>
      <c r="B217" s="6" t="n">
        <f aca="false">MIN(42, FLOOR(A217/32,1)+1)</f>
        <v>7</v>
      </c>
      <c r="C217" s="6" t="str">
        <f aca="false">INDEX(Grades_Realms!$B$2:$B$43, B217)</f>
        <v>Tempered Body · Initial</v>
      </c>
      <c r="D217" s="6" t="n">
        <f aca="false">(A217+1)^2.4 * 1.004^A217</f>
        <v>945011.855020612</v>
      </c>
      <c r="E217" s="6" t="n">
        <f aca="false">$I$2*(A217+1)^1.9*1.003^A217</f>
        <v>22.419392523948</v>
      </c>
      <c r="F217" s="6" t="n">
        <f aca="false">(A217+1)^1.12</f>
        <v>411.706952778487</v>
      </c>
      <c r="G217" s="6" t="n">
        <f aca="false">G216+E217</f>
        <v>1436.96961234738</v>
      </c>
    </row>
    <row r="218" customFormat="false" ht="15" hidden="false" customHeight="true" outlineLevel="0" collapsed="false">
      <c r="A218" s="6" t="n">
        <v>216</v>
      </c>
      <c r="B218" s="6" t="n">
        <f aca="false">MIN(42, FLOOR(A218/32,1)+1)</f>
        <v>7</v>
      </c>
      <c r="C218" s="6" t="str">
        <f aca="false">INDEX(Grades_Realms!$B$2:$B$43, B218)</f>
        <v>Tempered Body · Initial</v>
      </c>
      <c r="D218" s="6" t="n">
        <f aca="false">(A218+1)^2.4 * 1.004^A218</f>
        <v>959368.220081972</v>
      </c>
      <c r="E218" s="6" t="n">
        <f aca="false">$I$2*(A218+1)^1.9*1.003^A218</f>
        <v>22.6848619620444</v>
      </c>
      <c r="F218" s="6" t="n">
        <f aca="false">(A218+1)^1.12</f>
        <v>413.842321760673</v>
      </c>
      <c r="G218" s="6" t="n">
        <f aca="false">G217+E218</f>
        <v>1459.65447430942</v>
      </c>
    </row>
    <row r="219" customFormat="false" ht="15" hidden="false" customHeight="true" outlineLevel="0" collapsed="false">
      <c r="A219" s="6" t="n">
        <v>217</v>
      </c>
      <c r="B219" s="6" t="n">
        <f aca="false">MIN(42, FLOOR(A219/32,1)+1)</f>
        <v>7</v>
      </c>
      <c r="C219" s="6" t="str">
        <f aca="false">INDEX(Grades_Realms!$B$2:$B$43, B219)</f>
        <v>Tempered Body · Initial</v>
      </c>
      <c r="D219" s="6" t="n">
        <f aca="false">(A219+1)^2.4 * 1.004^A219</f>
        <v>973893.044659076</v>
      </c>
      <c r="E219" s="6" t="n">
        <f aca="false">$I$2*(A219+1)^1.9*1.003^A219</f>
        <v>22.9525486966671</v>
      </c>
      <c r="F219" s="6" t="n">
        <f aca="false">(A219+1)^1.12</f>
        <v>415.978871922559</v>
      </c>
      <c r="G219" s="6" t="n">
        <f aca="false">G218+E219</f>
        <v>1482.60702300609</v>
      </c>
    </row>
    <row r="220" customFormat="false" ht="15" hidden="false" customHeight="true" outlineLevel="0" collapsed="false">
      <c r="A220" s="6" t="n">
        <v>218</v>
      </c>
      <c r="B220" s="6" t="n">
        <f aca="false">MIN(42, FLOOR(A220/32,1)+1)</f>
        <v>7</v>
      </c>
      <c r="C220" s="6" t="str">
        <f aca="false">INDEX(Grades_Realms!$B$2:$B$43, B220)</f>
        <v>Tempered Body · Initial</v>
      </c>
      <c r="D220" s="6" t="n">
        <f aca="false">(A220+1)^2.4 * 1.004^A220</f>
        <v>988587.848661963</v>
      </c>
      <c r="E220" s="6" t="n">
        <f aca="false">$I$2*(A220+1)^1.9*1.003^A220</f>
        <v>23.2224657401921</v>
      </c>
      <c r="F220" s="6" t="n">
        <f aca="false">(A220+1)^1.12</f>
        <v>418.116598494733</v>
      </c>
      <c r="G220" s="6" t="n">
        <f aca="false">G219+E220</f>
        <v>1505.82948874628</v>
      </c>
    </row>
    <row r="221" customFormat="false" ht="15" hidden="false" customHeight="true" outlineLevel="0" collapsed="false">
      <c r="A221" s="6" t="n">
        <v>219</v>
      </c>
      <c r="B221" s="6" t="n">
        <f aca="false">MIN(42, FLOOR(A221/32,1)+1)</f>
        <v>7</v>
      </c>
      <c r="C221" s="6" t="str">
        <f aca="false">INDEX(Grades_Realms!$B$2:$B$43, B221)</f>
        <v>Tempered Body · Initial</v>
      </c>
      <c r="D221" s="6" t="n">
        <f aca="false">(A221+1)^2.4 * 1.004^A221</f>
        <v>1003454.16322991</v>
      </c>
      <c r="E221" s="6" t="n">
        <f aca="false">$I$2*(A221+1)^1.9*1.003^A221</f>
        <v>23.4946261701881</v>
      </c>
      <c r="F221" s="6" t="n">
        <f aca="false">(A221+1)^1.12</f>
        <v>420.255496748741</v>
      </c>
      <c r="G221" s="6" t="n">
        <f aca="false">G220+E221</f>
        <v>1529.32411491647</v>
      </c>
    </row>
    <row r="222" customFormat="false" ht="15" hidden="false" customHeight="true" outlineLevel="0" collapsed="false">
      <c r="A222" s="6" t="n">
        <v>220</v>
      </c>
      <c r="B222" s="6" t="n">
        <f aca="false">MIN(42, FLOOR(A222/32,1)+1)</f>
        <v>7</v>
      </c>
      <c r="C222" s="6" t="str">
        <f aca="false">INDEX(Grades_Realms!$B$2:$B$43, B222)</f>
        <v>Tempered Body · Initial</v>
      </c>
      <c r="D222" s="6" t="n">
        <f aca="false">(A222+1)^2.4 * 1.004^A222</f>
        <v>1018493.53080579</v>
      </c>
      <c r="E222" s="6" t="n">
        <f aca="false">$I$2*(A222+1)^1.9*1.003^A222</f>
        <v>23.7690431297008</v>
      </c>
      <c r="F222" s="6" t="n">
        <f aca="false">(A222+1)^1.12</f>
        <v>422.395561996543</v>
      </c>
      <c r="G222" s="6" t="n">
        <f aca="false">G221+E222</f>
        <v>1553.09315804617</v>
      </c>
    </row>
    <row r="223" customFormat="false" ht="15" hidden="false" customHeight="true" outlineLevel="0" collapsed="false">
      <c r="A223" s="6" t="n">
        <v>221</v>
      </c>
      <c r="B223" s="6" t="n">
        <f aca="false">MIN(42, FLOOR(A223/32,1)+1)</f>
        <v>7</v>
      </c>
      <c r="C223" s="6" t="str">
        <f aca="false">INDEX(Grades_Realms!$B$2:$B$43, B223)</f>
        <v>Tempered Body · Initial</v>
      </c>
      <c r="D223" s="6" t="n">
        <f aca="false">(A223+1)^2.4 * 1.004^A223</f>
        <v>1033707.50521093</v>
      </c>
      <c r="E223" s="6" t="n">
        <f aca="false">$I$2*(A223+1)^1.9*1.003^A223</f>
        <v>24.0457298275395</v>
      </c>
      <c r="F223" s="6" t="n">
        <f aca="false">(A223+1)^1.12</f>
        <v>424.536789589992</v>
      </c>
      <c r="G223" s="6" t="n">
        <f aca="false">G222+E223</f>
        <v>1577.13888787371</v>
      </c>
    </row>
    <row r="224" customFormat="false" ht="15" hidden="false" customHeight="true" outlineLevel="0" collapsed="false">
      <c r="A224" s="6" t="n">
        <v>222</v>
      </c>
      <c r="B224" s="6" t="n">
        <f aca="false">MIN(42, FLOOR(A224/32,1)+1)</f>
        <v>7</v>
      </c>
      <c r="C224" s="6" t="str">
        <f aca="false">INDEX(Grades_Realms!$B$2:$B$43, B224)</f>
        <v>Tempered Body · Initial</v>
      </c>
      <c r="D224" s="6" t="n">
        <f aca="false">(A224+1)^2.4 * 1.004^A224</f>
        <v>1049097.65172029</v>
      </c>
      <c r="E224" s="6" t="n">
        <f aca="false">$I$2*(A224+1)^1.9*1.003^A224</f>
        <v>24.3246995385645</v>
      </c>
      <c r="F224" s="6" t="n">
        <f aca="false">(A224+1)^1.12</f>
        <v>426.679174920317</v>
      </c>
      <c r="G224" s="6" t="n">
        <f aca="false">G223+E224</f>
        <v>1601.46358741227</v>
      </c>
    </row>
    <row r="225" customFormat="false" ht="15" hidden="false" customHeight="true" outlineLevel="0" collapsed="false">
      <c r="A225" s="6" t="n">
        <v>223</v>
      </c>
      <c r="B225" s="6" t="n">
        <f aca="false">MIN(42, FLOOR(A225/32,1)+1)</f>
        <v>7</v>
      </c>
      <c r="C225" s="6" t="str">
        <f aca="false">INDEX(Grades_Realms!$B$2:$B$43, B225)</f>
        <v>Tempered Body · Initial</v>
      </c>
      <c r="D225" s="6" t="n">
        <f aca="false">(A225+1)^2.4 * 1.004^A225</f>
        <v>1064665.54713828</v>
      </c>
      <c r="E225" s="6" t="n">
        <f aca="false">$I$2*(A225+1)^1.9*1.003^A225</f>
        <v>24.6059656039759</v>
      </c>
      <c r="F225" s="6" t="n">
        <f aca="false">(A225+1)^1.12</f>
        <v>428.822713417608</v>
      </c>
      <c r="G225" s="6" t="n">
        <f aca="false">G224+E225</f>
        <v>1626.06955301625</v>
      </c>
    </row>
    <row r="226" customFormat="false" ht="15" hidden="false" customHeight="true" outlineLevel="0" collapsed="false">
      <c r="A226" s="6" t="n">
        <v>224</v>
      </c>
      <c r="B226" s="6" t="n">
        <f aca="false">MIN(42, FLOOR(A226/32,1)+1)</f>
        <v>8</v>
      </c>
      <c r="C226" s="6" t="str">
        <f aca="false">INDEX(Grades_Realms!$B$2:$B$43, B226)</f>
        <v>Tempered Body · Advanced</v>
      </c>
      <c r="D226" s="6" t="n">
        <f aca="false">(A226+1)^2.4 * 1.004^A226</f>
        <v>1080412.7798748</v>
      </c>
      <c r="E226" s="6" t="n">
        <f aca="false">$I$2*(A226+1)^1.9*1.003^A226</f>
        <v>24.8895414316036</v>
      </c>
      <c r="F226" s="6" t="n">
        <f aca="false">(A226+1)^1.12</f>
        <v>430.967400550323</v>
      </c>
      <c r="G226" s="6" t="n">
        <f aca="false">G225+E226</f>
        <v>1650.95909444785</v>
      </c>
    </row>
    <row r="227" customFormat="false" ht="15" hidden="false" customHeight="true" outlineLevel="0" collapsed="false">
      <c r="A227" s="6" t="n">
        <v>225</v>
      </c>
      <c r="B227" s="6" t="n">
        <f aca="false">MIN(42, FLOOR(A227/32,1)+1)</f>
        <v>8</v>
      </c>
      <c r="C227" s="6" t="str">
        <f aca="false">INDEX(Grades_Realms!$B$2:$B$43, B227)</f>
        <v>Tempered Body · Advanced</v>
      </c>
      <c r="D227" s="6" t="n">
        <f aca="false">(A227+1)^2.4 * 1.004^A227</f>
        <v>1096340.95002197</v>
      </c>
      <c r="E227" s="6" t="n">
        <f aca="false">$I$2*(A227+1)^1.9*1.003^A227</f>
        <v>25.1754404961991</v>
      </c>
      <c r="F227" s="6" t="n">
        <f aca="false">(A227+1)^1.12</f>
        <v>433.113231824794</v>
      </c>
      <c r="G227" s="6" t="n">
        <f aca="false">G226+E227</f>
        <v>1676.13453494405</v>
      </c>
    </row>
    <row r="228" customFormat="false" ht="15" hidden="false" customHeight="true" outlineLevel="0" collapsed="false">
      <c r="A228" s="6" t="n">
        <v>226</v>
      </c>
      <c r="B228" s="6" t="n">
        <f aca="false">MIN(42, FLOOR(A228/32,1)+1)</f>
        <v>8</v>
      </c>
      <c r="C228" s="6" t="str">
        <f aca="false">INDEX(Grades_Realms!$B$2:$B$43, B228)</f>
        <v>Tempered Body · Advanced</v>
      </c>
      <c r="D228" s="6" t="n">
        <f aca="false">(A228+1)^2.4 * 1.004^A228</f>
        <v>1112451.66943108</v>
      </c>
      <c r="E228" s="6" t="n">
        <f aca="false">$I$2*(A228+1)^1.9*1.003^A228</f>
        <v>25.4636763397275</v>
      </c>
      <c r="F228" s="6" t="n">
        <f aca="false">(A228+1)^1.12</f>
        <v>435.260202784743</v>
      </c>
      <c r="G228" s="6" t="n">
        <f aca="false">G227+E228</f>
        <v>1701.59821128378</v>
      </c>
    </row>
    <row r="229" customFormat="false" ht="15" hidden="false" customHeight="true" outlineLevel="0" collapsed="false">
      <c r="A229" s="6" t="n">
        <v>227</v>
      </c>
      <c r="B229" s="6" t="n">
        <f aca="false">MIN(42, FLOOR(A229/32,1)+1)</f>
        <v>8</v>
      </c>
      <c r="C229" s="6" t="str">
        <f aca="false">INDEX(Grades_Realms!$B$2:$B$43, B229)</f>
        <v>Tempered Body · Advanced</v>
      </c>
      <c r="D229" s="6" t="n">
        <f aca="false">(A229+1)^2.4 * 1.004^A229</f>
        <v>1128746.56179021</v>
      </c>
      <c r="E229" s="6" t="n">
        <f aca="false">$I$2*(A229+1)^1.9*1.003^A229</f>
        <v>25.7542625716625</v>
      </c>
      <c r="F229" s="6" t="n">
        <f aca="false">(A229+1)^1.12</f>
        <v>437.40830901081</v>
      </c>
      <c r="G229" s="6" t="n">
        <f aca="false">G228+E229</f>
        <v>1727.35247385544</v>
      </c>
    </row>
    <row r="230" customFormat="false" ht="15" hidden="false" customHeight="true" outlineLevel="0" collapsed="false">
      <c r="A230" s="6" t="n">
        <v>228</v>
      </c>
      <c r="B230" s="6" t="n">
        <f aca="false">MIN(42, FLOOR(A230/32,1)+1)</f>
        <v>8</v>
      </c>
      <c r="C230" s="6" t="str">
        <f aca="false">INDEX(Grades_Realms!$B$2:$B$43, B230)</f>
        <v>Tempered Body · Advanced</v>
      </c>
      <c r="D230" s="6" t="n">
        <f aca="false">(A230+1)^2.4 * 1.004^A230</f>
        <v>1145227.26270218</v>
      </c>
      <c r="E230" s="6" t="n">
        <f aca="false">$I$2*(A230+1)^1.9*1.003^A230</f>
        <v>26.0472128692807</v>
      </c>
      <c r="F230" s="6" t="n">
        <f aca="false">(A230+1)^1.12</f>
        <v>439.557546120084</v>
      </c>
      <c r="G230" s="6" t="n">
        <f aca="false">G229+E230</f>
        <v>1753.39968672472</v>
      </c>
    </row>
    <row r="231" customFormat="false" ht="15" hidden="false" customHeight="true" outlineLevel="0" collapsed="false">
      <c r="A231" s="6" t="n">
        <v>229</v>
      </c>
      <c r="B231" s="6" t="n">
        <f aca="false">MIN(42, FLOOR(A231/32,1)+1)</f>
        <v>8</v>
      </c>
      <c r="C231" s="6" t="str">
        <f aca="false">INDEX(Grades_Realms!$B$2:$B$43, B231)</f>
        <v>Tempered Body · Advanced</v>
      </c>
      <c r="D231" s="6" t="n">
        <f aca="false">(A231+1)^2.4 * 1.004^A231</f>
        <v>1161895.41976297</v>
      </c>
      <c r="E231" s="6" t="n">
        <f aca="false">$I$2*(A231+1)^1.9*1.003^A231</f>
        <v>26.3425409779592</v>
      </c>
      <c r="F231" s="6" t="n">
        <f aca="false">(A231+1)^1.12</f>
        <v>441.707909765646</v>
      </c>
      <c r="G231" s="6" t="n">
        <f aca="false">G230+E231</f>
        <v>1779.74222770268</v>
      </c>
    </row>
    <row r="232" customFormat="false" ht="15" hidden="false" customHeight="true" outlineLevel="0" collapsed="false">
      <c r="A232" s="6" t="n">
        <v>230</v>
      </c>
      <c r="B232" s="6" t="n">
        <f aca="false">MIN(42, FLOOR(A232/32,1)+1)</f>
        <v>8</v>
      </c>
      <c r="C232" s="6" t="str">
        <f aca="false">INDEX(Grades_Realms!$B$2:$B$43, B232)</f>
        <v>Tempered Body · Advanced</v>
      </c>
      <c r="D232" s="6" t="n">
        <f aca="false">(A232+1)^2.4 * 1.004^A232</f>
        <v>1178752.6926407</v>
      </c>
      <c r="E232" s="6" t="n">
        <f aca="false">$I$2*(A232+1)^1.9*1.003^A232</f>
        <v>26.6402607114729</v>
      </c>
      <c r="F232" s="6" t="n">
        <f aca="false">(A232+1)^1.12</f>
        <v>443.85939563612</v>
      </c>
      <c r="G232" s="6" t="n">
        <f aca="false">G231+E232</f>
        <v>1806.38248841415</v>
      </c>
    </row>
    <row r="233" customFormat="false" ht="15" hidden="false" customHeight="true" outlineLevel="0" collapsed="false">
      <c r="A233" s="6" t="n">
        <v>231</v>
      </c>
      <c r="B233" s="6" t="n">
        <f aca="false">MIN(42, FLOOR(A233/32,1)+1)</f>
        <v>8</v>
      </c>
      <c r="C233" s="6" t="str">
        <f aca="false">INDEX(Grades_Realms!$B$2:$B$43, B233)</f>
        <v>Tempered Body · Advanced</v>
      </c>
      <c r="D233" s="6" t="n">
        <f aca="false">(A233+1)^2.4 * 1.004^A233</f>
        <v>1195800.75315496</v>
      </c>
      <c r="E233" s="6" t="n">
        <f aca="false">$I$2*(A233+1)^1.9*1.003^A233</f>
        <v>26.9403859522943</v>
      </c>
      <c r="F233" s="6" t="n">
        <f aca="false">(A233+1)^1.12</f>
        <v>446.011999455224</v>
      </c>
      <c r="G233" s="6" t="n">
        <f aca="false">G232+E233</f>
        <v>1833.32287436645</v>
      </c>
    </row>
    <row r="234" customFormat="false" ht="15" hidden="false" customHeight="true" outlineLevel="0" collapsed="false">
      <c r="A234" s="6" t="n">
        <v>232</v>
      </c>
      <c r="B234" s="6" t="n">
        <f aca="false">MIN(42, FLOOR(A234/32,1)+1)</f>
        <v>8</v>
      </c>
      <c r="C234" s="6" t="str">
        <f aca="false">INDEX(Grades_Realms!$B$2:$B$43, B234)</f>
        <v>Tempered Body · Advanced</v>
      </c>
      <c r="D234" s="6" t="n">
        <f aca="false">(A234+1)^2.4 * 1.004^A234</f>
        <v>1213041.28535673</v>
      </c>
      <c r="E234" s="6" t="n">
        <f aca="false">$I$2*(A234+1)^1.9*1.003^A234</f>
        <v>27.2429306518936</v>
      </c>
      <c r="F234" s="6" t="n">
        <f aca="false">(A234+1)^1.12</f>
        <v>448.165716981342</v>
      </c>
      <c r="G234" s="6" t="n">
        <f aca="false">G233+E234</f>
        <v>1860.56580501834</v>
      </c>
    </row>
    <row r="235" customFormat="false" ht="15" hidden="false" customHeight="true" outlineLevel="0" collapsed="false">
      <c r="A235" s="6" t="n">
        <v>233</v>
      </c>
      <c r="B235" s="6" t="n">
        <f aca="false">MIN(42, FLOOR(A235/32,1)+1)</f>
        <v>8</v>
      </c>
      <c r="C235" s="6" t="str">
        <f aca="false">INDEX(Grades_Realms!$B$2:$B$43, B235)</f>
        <v>Tempered Body · Advanced</v>
      </c>
      <c r="D235" s="6" t="n">
        <f aca="false">(A235+1)^2.4 * 1.004^A235</f>
        <v>1230475.98560864</v>
      </c>
      <c r="E235" s="6" t="n">
        <f aca="false">$I$2*(A235+1)^1.9*1.003^A235</f>
        <v>27.5479088310413</v>
      </c>
      <c r="F235" s="6" t="n">
        <f aca="false">(A235+1)^1.12</f>
        <v>450.320544007088</v>
      </c>
      <c r="G235" s="6" t="n">
        <f aca="false">G234+E235</f>
        <v>1888.11371384938</v>
      </c>
    </row>
    <row r="236" customFormat="false" ht="15" hidden="false" customHeight="true" outlineLevel="0" collapsed="false">
      <c r="A236" s="6" t="n">
        <v>234</v>
      </c>
      <c r="B236" s="6" t="n">
        <f aca="false">MIN(42, FLOOR(A236/32,1)+1)</f>
        <v>8</v>
      </c>
      <c r="C236" s="6" t="str">
        <f aca="false">INDEX(Grades_Realms!$B$2:$B$43, B236)</f>
        <v>Tempered Body · Advanced</v>
      </c>
      <c r="D236" s="6" t="n">
        <f aca="false">(A236+1)^2.4 * 1.004^A236</f>
        <v>1248106.56266584</v>
      </c>
      <c r="E236" s="6" t="n">
        <f aca="false">$I$2*(A236+1)^1.9*1.003^A236</f>
        <v>27.855334580111</v>
      </c>
      <c r="F236" s="6" t="n">
        <f aca="false">(A236+1)^1.12</f>
        <v>452.476476358889</v>
      </c>
      <c r="G236" s="6" t="n">
        <f aca="false">G235+E236</f>
        <v>1915.96904842949</v>
      </c>
    </row>
    <row r="237" customFormat="false" ht="15" hidden="false" customHeight="true" outlineLevel="0" collapsed="false">
      <c r="A237" s="6" t="n">
        <v>235</v>
      </c>
      <c r="B237" s="6" t="n">
        <f aca="false">MIN(42, FLOOR(A237/32,1)+1)</f>
        <v>8</v>
      </c>
      <c r="C237" s="6" t="str">
        <f aca="false">INDEX(Grades_Realms!$B$2:$B$43, B237)</f>
        <v>Tempered Body · Advanced</v>
      </c>
      <c r="D237" s="6" t="n">
        <f aca="false">(A237+1)^2.4 * 1.004^A237</f>
        <v>1265934.73775729</v>
      </c>
      <c r="E237" s="6" t="n">
        <f aca="false">$I$2*(A237+1)^1.9*1.003^A237</f>
        <v>28.1652220593844</v>
      </c>
      <c r="F237" s="6" t="n">
        <f aca="false">(A237+1)^1.12</f>
        <v>454.633509896571</v>
      </c>
      <c r="G237" s="6" t="n">
        <f aca="false">G236+E237</f>
        <v>1944.13427048888</v>
      </c>
    </row>
    <row r="238" customFormat="false" ht="15" hidden="false" customHeight="true" outlineLevel="0" collapsed="false">
      <c r="A238" s="6" t="n">
        <v>236</v>
      </c>
      <c r="B238" s="6" t="n">
        <f aca="false">MIN(42, FLOOR(A238/32,1)+1)</f>
        <v>8</v>
      </c>
      <c r="C238" s="6" t="str">
        <f aca="false">INDEX(Grades_Realms!$B$2:$B$43, B238)</f>
        <v>Tempered Body · Advanced</v>
      </c>
      <c r="D238" s="6" t="n">
        <f aca="false">(A238+1)^2.4 * 1.004^A238</f>
        <v>1283962.24466749</v>
      </c>
      <c r="E238" s="6" t="n">
        <f aca="false">$I$2*(A238+1)^1.9*1.003^A238</f>
        <v>28.477585499357</v>
      </c>
      <c r="F238" s="6" t="n">
        <f aca="false">(A238+1)^1.12</f>
        <v>456.791640512948</v>
      </c>
      <c r="G238" s="6" t="n">
        <f aca="false">G237+E238</f>
        <v>1972.61185598824</v>
      </c>
    </row>
    <row r="239" customFormat="false" ht="15" hidden="false" customHeight="true" outlineLevel="0" collapsed="false">
      <c r="A239" s="6" t="n">
        <v>237</v>
      </c>
      <c r="B239" s="6" t="n">
        <f aca="false">MIN(42, FLOOR(A239/32,1)+1)</f>
        <v>8</v>
      </c>
      <c r="C239" s="6" t="str">
        <f aca="false">INDEX(Grades_Realms!$B$2:$B$43, B239)</f>
        <v>Tempered Body · Advanced</v>
      </c>
      <c r="D239" s="6" t="n">
        <f aca="false">(A239+1)^2.4 * 1.004^A239</f>
        <v>1302190.82981881</v>
      </c>
      <c r="E239" s="6" t="n">
        <f aca="false">$I$2*(A239+1)^1.9*1.003^A239</f>
        <v>28.7924392010455</v>
      </c>
      <c r="F239" s="6" t="n">
        <f aca="false">(A239+1)^1.12</f>
        <v>458.950864133422</v>
      </c>
      <c r="G239" s="6" t="n">
        <f aca="false">G238+E239</f>
        <v>2001.40429518928</v>
      </c>
    </row>
    <row r="240" customFormat="false" ht="15" hidden="false" customHeight="true" outlineLevel="0" collapsed="false">
      <c r="A240" s="6" t="n">
        <v>238</v>
      </c>
      <c r="B240" s="6" t="n">
        <f aca="false">MIN(42, FLOOR(A240/32,1)+1)</f>
        <v>8</v>
      </c>
      <c r="C240" s="6" t="str">
        <f aca="false">INDEX(Grades_Realms!$B$2:$B$43, B240)</f>
        <v>Tempered Body · Advanced</v>
      </c>
      <c r="D240" s="6" t="n">
        <f aca="false">(A240+1)^2.4 * 1.004^A240</f>
        <v>1320622.25235417</v>
      </c>
      <c r="E240" s="6" t="n">
        <f aca="false">$I$2*(A240+1)^1.9*1.003^A240</f>
        <v>29.1097975362969</v>
      </c>
      <c r="F240" s="6" t="n">
        <f aca="false">(A240+1)^1.12</f>
        <v>461.111176715592</v>
      </c>
      <c r="G240" s="6" t="n">
        <f aca="false">G239+E240</f>
        <v>2030.51409272558</v>
      </c>
    </row>
    <row r="241" customFormat="false" ht="15" hidden="false" customHeight="true" outlineLevel="0" collapsed="false">
      <c r="A241" s="6" t="n">
        <v>239</v>
      </c>
      <c r="B241" s="6" t="n">
        <f aca="false">MIN(42, FLOOR(A241/32,1)+1)</f>
        <v>8</v>
      </c>
      <c r="C241" s="6" t="str">
        <f aca="false">INDEX(Grades_Realms!$B$2:$B$43, B241)</f>
        <v>Tempered Body · Advanced</v>
      </c>
      <c r="D241" s="6" t="n">
        <f aca="false">(A241+1)^2.4 * 1.004^A241</f>
        <v>1339258.28422036</v>
      </c>
      <c r="E241" s="6" t="n">
        <f aca="false">$I$2*(A241+1)^1.9*1.003^A241</f>
        <v>29.4296749480979</v>
      </c>
      <c r="F241" s="6" t="n">
        <f aca="false">(A241+1)^1.12</f>
        <v>463.272574248861</v>
      </c>
      <c r="G241" s="6" t="n">
        <f aca="false">G240+E241</f>
        <v>2059.94376767368</v>
      </c>
    </row>
    <row r="242" customFormat="false" ht="15" hidden="false" customHeight="true" outlineLevel="0" collapsed="false">
      <c r="A242" s="6" t="n">
        <v>240</v>
      </c>
      <c r="B242" s="6" t="n">
        <f aca="false">MIN(42, FLOOR(A242/32,1)+1)</f>
        <v>8</v>
      </c>
      <c r="C242" s="6" t="str">
        <f aca="false">INDEX(Grades_Realms!$B$2:$B$43, B242)</f>
        <v>Tempered Body · Advanced</v>
      </c>
      <c r="D242" s="6" t="n">
        <f aca="false">(A242+1)^2.4 * 1.004^A242</f>
        <v>1358100.71025172</v>
      </c>
      <c r="E242" s="6" t="n">
        <f aca="false">$I$2*(A242+1)^1.9*1.003^A242</f>
        <v>29.7520859508868</v>
      </c>
      <c r="F242" s="6" t="n">
        <f aca="false">(A242+1)^1.12</f>
        <v>465.435052754057</v>
      </c>
      <c r="G242" s="6" t="n">
        <f aca="false">G241+E242</f>
        <v>2089.69585362456</v>
      </c>
    </row>
    <row r="243" customFormat="false" ht="15" hidden="false" customHeight="true" outlineLevel="0" collapsed="false">
      <c r="A243" s="6" t="n">
        <v>241</v>
      </c>
      <c r="B243" s="6" t="n">
        <f aca="false">MIN(42, FLOOR(A243/32,1)+1)</f>
        <v>8</v>
      </c>
      <c r="C243" s="6" t="str">
        <f aca="false">INDEX(Grades_Realms!$B$2:$B$43, B243)</f>
        <v>Tempered Body · Advanced</v>
      </c>
      <c r="D243" s="6" t="n">
        <f aca="false">(A243+1)^2.4 * 1.004^A243</f>
        <v>1377151.3282544</v>
      </c>
      <c r="E243" s="6" t="n">
        <f aca="false">$I$2*(A243+1)^1.9*1.003^A243</f>
        <v>30.0770451308661</v>
      </c>
      <c r="F243" s="6" t="n">
        <f aca="false">(A243+1)^1.12</f>
        <v>467.598608283058</v>
      </c>
      <c r="G243" s="6" t="n">
        <f aca="false">G242+E243</f>
        <v>2119.77289875543</v>
      </c>
    </row>
    <row r="244" customFormat="false" ht="15" hidden="false" customHeight="true" outlineLevel="0" collapsed="false">
      <c r="A244" s="6" t="n">
        <v>242</v>
      </c>
      <c r="B244" s="6" t="n">
        <f aca="false">MIN(42, FLOOR(A244/32,1)+1)</f>
        <v>8</v>
      </c>
      <c r="C244" s="6" t="str">
        <f aca="false">INDEX(Grades_Realms!$B$2:$B$43, B244)</f>
        <v>Tempered Body · Advanced</v>
      </c>
      <c r="D244" s="6" t="n">
        <f aca="false">(A244+1)^2.4 * 1.004^A244</f>
        <v>1396411.94909112</v>
      </c>
      <c r="E244" s="6" t="n">
        <f aca="false">$I$2*(A244+1)^1.9*1.003^A244</f>
        <v>30.4045671463165</v>
      </c>
      <c r="F244" s="6" t="n">
        <f aca="false">(A244+1)^1.12</f>
        <v>469.763236918419</v>
      </c>
      <c r="G244" s="6" t="n">
        <f aca="false">G243+E244</f>
        <v>2150.17746590175</v>
      </c>
    </row>
    <row r="245" customFormat="false" ht="15" hidden="false" customHeight="true" outlineLevel="0" collapsed="false">
      <c r="A245" s="6" t="n">
        <v>243</v>
      </c>
      <c r="B245" s="6" t="n">
        <f aca="false">MIN(42, FLOOR(A245/32,1)+1)</f>
        <v>8</v>
      </c>
      <c r="C245" s="6" t="str">
        <f aca="false">INDEX(Grades_Realms!$B$2:$B$43, B245)</f>
        <v>Tempered Body · Advanced</v>
      </c>
      <c r="D245" s="6" t="n">
        <f aca="false">(A245+1)^2.4 * 1.004^A245</f>
        <v>1415884.39676635</v>
      </c>
      <c r="E245" s="6" t="n">
        <f aca="false">$I$2*(A245+1)^1.9*1.003^A245</f>
        <v>30.7346667279127</v>
      </c>
      <c r="F245" s="6" t="n">
        <f aca="false">(A245+1)^1.12</f>
        <v>471.928934773012</v>
      </c>
      <c r="G245" s="6" t="n">
        <f aca="false">G244+E245</f>
        <v>2180.91213262966</v>
      </c>
    </row>
    <row r="246" customFormat="false" ht="15" hidden="false" customHeight="true" outlineLevel="0" collapsed="false">
      <c r="A246" s="6" t="n">
        <v>244</v>
      </c>
      <c r="B246" s="6" t="n">
        <f aca="false">MIN(42, FLOOR(A246/32,1)+1)</f>
        <v>8</v>
      </c>
      <c r="C246" s="6" t="str">
        <f aca="false">INDEX(Grades_Realms!$B$2:$B$43, B246)</f>
        <v>Tempered Body · Advanced</v>
      </c>
      <c r="D246" s="6" t="n">
        <f aca="false">(A246+1)^2.4 * 1.004^A246</f>
        <v>1435570.50851213</v>
      </c>
      <c r="E246" s="6" t="n">
        <f aca="false">$I$2*(A246+1)^1.9*1.003^A246</f>
        <v>31.0673586790403</v>
      </c>
      <c r="F246" s="6" t="n">
        <f aca="false">(A246+1)^1.12</f>
        <v>474.095697989667</v>
      </c>
      <c r="G246" s="6" t="n">
        <f aca="false">G245+E246</f>
        <v>2211.9794913087</v>
      </c>
    </row>
    <row r="247" customFormat="false" ht="15" hidden="false" customHeight="true" outlineLevel="0" collapsed="false">
      <c r="A247" s="6" t="n">
        <v>245</v>
      </c>
      <c r="B247" s="6" t="n">
        <f aca="false">MIN(42, FLOOR(A247/32,1)+1)</f>
        <v>8</v>
      </c>
      <c r="C247" s="6" t="str">
        <f aca="false">INDEX(Grades_Realms!$B$2:$B$43, B247)</f>
        <v>Tempered Body · Advanced</v>
      </c>
      <c r="D247" s="6" t="n">
        <f aca="false">(A247+1)^2.4 * 1.004^A247</f>
        <v>1455472.1348743</v>
      </c>
      <c r="E247" s="6" t="n">
        <f aca="false">$I$2*(A247+1)^1.9*1.003^A247</f>
        <v>31.4026578761136</v>
      </c>
      <c r="F247" s="6" t="n">
        <f aca="false">(A247+1)^1.12</f>
        <v>476.263522740819</v>
      </c>
      <c r="G247" s="6" t="n">
        <f aca="false">G246+E247</f>
        <v>2243.38214918481</v>
      </c>
    </row>
    <row r="248" customFormat="false" ht="15" hidden="false" customHeight="true" outlineLevel="0" collapsed="false">
      <c r="A248" s="6" t="n">
        <v>246</v>
      </c>
      <c r="B248" s="6" t="n">
        <f aca="false">MIN(42, FLOOR(A248/32,1)+1)</f>
        <v>8</v>
      </c>
      <c r="C248" s="6" t="str">
        <f aca="false">INDEX(Grades_Realms!$B$2:$B$43, B248)</f>
        <v>Tempered Body · Advanced</v>
      </c>
      <c r="D248" s="6" t="n">
        <f aca="false">(A248+1)^2.4 * 1.004^A248</f>
        <v>1475591.13979924</v>
      </c>
      <c r="E248" s="6" t="n">
        <f aca="false">$I$2*(A248+1)^1.9*1.003^A248</f>
        <v>31.7405792688958</v>
      </c>
      <c r="F248" s="6" t="n">
        <f aca="false">(A248+1)^1.12</f>
        <v>478.432405228161</v>
      </c>
      <c r="G248" s="6" t="n">
        <f aca="false">G247+E248</f>
        <v>2275.12272845371</v>
      </c>
    </row>
    <row r="249" customFormat="false" ht="15" hidden="false" customHeight="true" outlineLevel="0" collapsed="false">
      <c r="A249" s="6" t="n">
        <v>247</v>
      </c>
      <c r="B249" s="6" t="n">
        <f aca="false">MIN(42, FLOOR(A249/32,1)+1)</f>
        <v>8</v>
      </c>
      <c r="C249" s="6" t="str">
        <f aca="false">INDEX(Grades_Realms!$B$2:$B$43, B249)</f>
        <v>Tempered Body · Advanced</v>
      </c>
      <c r="D249" s="6" t="n">
        <f aca="false">(A249+1)^2.4 * 1.004^A249</f>
        <v>1495929.40072122</v>
      </c>
      <c r="E249" s="6" t="n">
        <f aca="false">$I$2*(A249+1)^1.9*1.003^A249</f>
        <v>32.0811378808198</v>
      </c>
      <c r="F249" s="6" t="n">
        <f aca="false">(A249+1)^1.12</f>
        <v>480.602341682304</v>
      </c>
      <c r="G249" s="6" t="n">
        <f aca="false">G248+E249</f>
        <v>2307.20386633453</v>
      </c>
    </row>
    <row r="250" customFormat="false" ht="15" hidden="false" customHeight="true" outlineLevel="0" collapsed="false">
      <c r="A250" s="6" t="n">
        <v>248</v>
      </c>
      <c r="B250" s="6" t="n">
        <f aca="false">MIN(42, FLOOR(A250/32,1)+1)</f>
        <v>8</v>
      </c>
      <c r="C250" s="6" t="str">
        <f aca="false">INDEX(Grades_Realms!$B$2:$B$43, B250)</f>
        <v>Tempered Body · Advanced</v>
      </c>
      <c r="D250" s="6" t="n">
        <f aca="false">(A250+1)^2.4 * 1.004^A250</f>
        <v>1516488.80865014</v>
      </c>
      <c r="E250" s="6" t="n">
        <f aca="false">$I$2*(A250+1)^1.9*1.003^A250</f>
        <v>32.4243488093109</v>
      </c>
      <c r="F250" s="6" t="n">
        <f aca="false">(A250+1)^1.12</f>
        <v>482.773328362441</v>
      </c>
      <c r="G250" s="6" t="n">
        <f aca="false">G249+E250</f>
        <v>2339.62821514384</v>
      </c>
    </row>
    <row r="251" customFormat="false" ht="15" hidden="false" customHeight="true" outlineLevel="0" collapsed="false">
      <c r="A251" s="6" t="n">
        <v>249</v>
      </c>
      <c r="B251" s="6" t="n">
        <f aca="false">MIN(42, FLOOR(A251/32,1)+1)</f>
        <v>8</v>
      </c>
      <c r="C251" s="6" t="str">
        <f aca="false">INDEX(Grades_Realms!$B$2:$B$43, B251)</f>
        <v>Tempered Body · Advanced</v>
      </c>
      <c r="D251" s="6" t="n">
        <f aca="false">(A251+1)^2.4 * 1.004^A251</f>
        <v>1537271.2682599</v>
      </c>
      <c r="E251" s="6" t="n">
        <f aca="false">$I$2*(A251+1)^1.9*1.003^A251</f>
        <v>32.77022722611</v>
      </c>
      <c r="F251" s="6" t="n">
        <f aca="false">(A251+1)^1.12</f>
        <v>484.945361556015</v>
      </c>
      <c r="G251" s="6" t="n">
        <f aca="false">G250+E251</f>
        <v>2372.39844236995</v>
      </c>
    </row>
    <row r="252" customFormat="false" ht="15" hidden="false" customHeight="true" outlineLevel="0" collapsed="false">
      <c r="A252" s="6" t="n">
        <v>250</v>
      </c>
      <c r="B252" s="6" t="n">
        <f aca="false">MIN(42, FLOOR(A252/32,1)+1)</f>
        <v>8</v>
      </c>
      <c r="C252" s="6" t="str">
        <f aca="false">INDEX(Grades_Realms!$B$2:$B$43, B252)</f>
        <v>Tempered Body · Advanced</v>
      </c>
      <c r="D252" s="6" t="n">
        <f aca="false">(A252+1)^2.4 * 1.004^A252</f>
        <v>1558278.69797725</v>
      </c>
      <c r="E252" s="6" t="n">
        <f aca="false">$I$2*(A252+1)^1.9*1.003^A252</f>
        <v>33.1187883775997</v>
      </c>
      <c r="F252" s="6" t="n">
        <f aca="false">(A252+1)^1.12</f>
        <v>487.118437578394</v>
      </c>
      <c r="G252" s="6" t="n">
        <f aca="false">G251+E252</f>
        <v>2405.51723074755</v>
      </c>
    </row>
    <row r="253" customFormat="false" ht="15" hidden="false" customHeight="true" outlineLevel="0" collapsed="false">
      <c r="A253" s="6" t="n">
        <v>251</v>
      </c>
      <c r="B253" s="6" t="n">
        <f aca="false">MIN(42, FLOOR(A253/32,1)+1)</f>
        <v>8</v>
      </c>
      <c r="C253" s="6" t="str">
        <f aca="false">INDEX(Grades_Realms!$B$2:$B$43, B253)</f>
        <v>Tempered Body · Advanced</v>
      </c>
      <c r="D253" s="6" t="n">
        <f aca="false">(A253+1)^2.4 * 1.004^A253</f>
        <v>1579513.03007114</v>
      </c>
      <c r="E253" s="6" t="n">
        <f aca="false">$I$2*(A253+1)^1.9*1.003^A253</f>
        <v>33.4700475851304</v>
      </c>
      <c r="F253" s="6" t="n">
        <f aca="false">(A253+1)^1.12</f>
        <v>489.292552772553</v>
      </c>
      <c r="G253" s="6" t="n">
        <f aca="false">G252+E253</f>
        <v>2438.98727833268</v>
      </c>
    </row>
    <row r="254" customFormat="false" ht="15" hidden="false" customHeight="true" outlineLevel="0" collapsed="false">
      <c r="A254" s="6" t="n">
        <v>252</v>
      </c>
      <c r="B254" s="6" t="n">
        <f aca="false">MIN(42, FLOOR(A254/32,1)+1)</f>
        <v>8</v>
      </c>
      <c r="C254" s="6" t="str">
        <f aca="false">INDEX(Grades_Realms!$B$2:$B$43, B254)</f>
        <v>Tempered Body · Advanced</v>
      </c>
      <c r="D254" s="6" t="n">
        <f aca="false">(A254+1)^2.4 * 1.004^A254</f>
        <v>1600976.21074265</v>
      </c>
      <c r="E254" s="6" t="n">
        <f aca="false">$I$2*(A254+1)^1.9*1.003^A254</f>
        <v>33.8240202453484</v>
      </c>
      <c r="F254" s="6" t="n">
        <f aca="false">(A254+1)^1.12</f>
        <v>491.467703508755</v>
      </c>
      <c r="G254" s="6" t="n">
        <f aca="false">G253+E254</f>
        <v>2472.81129857803</v>
      </c>
    </row>
    <row r="255" customFormat="false" ht="15" hidden="false" customHeight="true" outlineLevel="0" collapsed="false">
      <c r="A255" s="6" t="n">
        <v>253</v>
      </c>
      <c r="B255" s="6" t="n">
        <f aca="false">MIN(42, FLOOR(A255/32,1)+1)</f>
        <v>8</v>
      </c>
      <c r="C255" s="6" t="str">
        <f aca="false">INDEX(Grades_Realms!$B$2:$B$43, B255)</f>
        <v>Tempered Body · Advanced</v>
      </c>
      <c r="D255" s="6" t="n">
        <f aca="false">(A255+1)^2.4 * 1.004^A255</f>
        <v>1622670.20021544</v>
      </c>
      <c r="E255" s="6" t="n">
        <f aca="false">$I$2*(A255+1)^1.9*1.003^A255</f>
        <v>34.1807218305257</v>
      </c>
      <c r="F255" s="6" t="n">
        <f aca="false">(A255+1)^1.12</f>
        <v>493.64388618424</v>
      </c>
      <c r="G255" s="6" t="n">
        <f aca="false">G254+E255</f>
        <v>2506.99202040855</v>
      </c>
    </row>
    <row r="256" customFormat="false" ht="15" hidden="false" customHeight="true" outlineLevel="0" collapsed="false">
      <c r="A256" s="6" t="n">
        <v>254</v>
      </c>
      <c r="B256" s="6" t="n">
        <f aca="false">MIN(42, FLOOR(A256/32,1)+1)</f>
        <v>8</v>
      </c>
      <c r="C256" s="6" t="str">
        <f aca="false">INDEX(Grades_Realms!$B$2:$B$43, B256)</f>
        <v>Tempered Body · Advanced</v>
      </c>
      <c r="D256" s="6" t="n">
        <f aca="false">(A256+1)^2.4 * 1.004^A256</f>
        <v>1644596.97282671</v>
      </c>
      <c r="E256" s="6" t="n">
        <f aca="false">$I$2*(A256+1)^1.9*1.003^A256</f>
        <v>34.5401678888905</v>
      </c>
      <c r="F256" s="6" t="n">
        <f aca="false">(A256+1)^1.12</f>
        <v>495.821097222924</v>
      </c>
      <c r="G256" s="6" t="n">
        <f aca="false">G255+E256</f>
        <v>2541.53218829744</v>
      </c>
    </row>
    <row r="257" customFormat="false" ht="15" hidden="false" customHeight="true" outlineLevel="0" collapsed="false">
      <c r="A257" s="6" t="n">
        <v>255</v>
      </c>
      <c r="B257" s="6" t="n">
        <f aca="false">MIN(42, FLOOR(A257/32,1)+1)</f>
        <v>8</v>
      </c>
      <c r="C257" s="6" t="str">
        <f aca="false">INDEX(Grades_Realms!$B$2:$B$43, B257)</f>
        <v>Tempered Body · Advanced</v>
      </c>
      <c r="D257" s="6" t="n">
        <f aca="false">(A257+1)^2.4 * 1.004^A257</f>
        <v>1666758.51711875</v>
      </c>
      <c r="E257" s="6" t="n">
        <f aca="false">$I$2*(A257+1)^1.9*1.003^A257</f>
        <v>34.9023740449598</v>
      </c>
      <c r="F257" s="6" t="n">
        <f aca="false">(A257+1)^1.12</f>
        <v>497.999333075091</v>
      </c>
      <c r="G257" s="6" t="n">
        <f aca="false">G256+E257</f>
        <v>2576.4345623424</v>
      </c>
    </row>
    <row r="258" customFormat="false" ht="15" hidden="false" customHeight="true" outlineLevel="0" collapsed="false">
      <c r="A258" s="6" t="n">
        <v>256</v>
      </c>
      <c r="B258" s="6" t="n">
        <f aca="false">MIN(42, FLOOR(A258/32,1)+1)</f>
        <v>9</v>
      </c>
      <c r="C258" s="6" t="str">
        <f aca="false">INDEX(Grades_Realms!$B$2:$B$43, B258)</f>
        <v>Tempered Body · Perfected</v>
      </c>
      <c r="D258" s="6" t="n">
        <f aca="false">(A258+1)^2.4 * 1.004^A258</f>
        <v>1689156.83593097</v>
      </c>
      <c r="E258" s="6" t="n">
        <f aca="false">$I$2*(A258+1)^1.9*1.003^A258</f>
        <v>35.2673559998733</v>
      </c>
      <c r="F258" s="6" t="n">
        <f aca="false">(A258+1)^1.12</f>
        <v>500.1785902171</v>
      </c>
      <c r="G258" s="6" t="n">
        <f aca="false">G257+E258</f>
        <v>2611.70191834228</v>
      </c>
    </row>
    <row r="259" customFormat="false" ht="15" hidden="false" customHeight="true" outlineLevel="0" collapsed="false">
      <c r="A259" s="6" t="n">
        <v>257</v>
      </c>
      <c r="B259" s="6" t="n">
        <f aca="false">MIN(42, FLOOR(A259/32,1)+1)</f>
        <v>9</v>
      </c>
      <c r="C259" s="6" t="str">
        <f aca="false">INDEX(Grades_Realms!$B$2:$B$43, B259)</f>
        <v>Tempered Body · Perfected</v>
      </c>
      <c r="D259" s="6" t="n">
        <f aca="false">(A259+1)^2.4 * 1.004^A259</f>
        <v>1711793.94649253</v>
      </c>
      <c r="E259" s="6" t="n">
        <f aca="false">$I$2*(A259+1)^1.9*1.003^A259</f>
        <v>35.6351295317282</v>
      </c>
      <c r="F259" s="6" t="n">
        <f aca="false">(A259+1)^1.12</f>
        <v>502.358865151096</v>
      </c>
      <c r="G259" s="6" t="n">
        <f aca="false">G258+E259</f>
        <v>2647.33704787401</v>
      </c>
    </row>
    <row r="260" customFormat="false" ht="15" hidden="false" customHeight="true" outlineLevel="0" collapsed="false">
      <c r="A260" s="6" t="n">
        <v>258</v>
      </c>
      <c r="B260" s="6" t="n">
        <f aca="false">MIN(42, FLOOR(A260/32,1)+1)</f>
        <v>9</v>
      </c>
      <c r="C260" s="6" t="str">
        <f aca="false">INDEX(Grades_Realms!$B$2:$B$43, B260)</f>
        <v>Tempered Body · Perfected</v>
      </c>
      <c r="D260" s="6" t="n">
        <f aca="false">(A260+1)^2.4 * 1.004^A260</f>
        <v>1734671.88051549</v>
      </c>
      <c r="E260" s="6" t="n">
        <f aca="false">$I$2*(A260+1)^1.9*1.003^A260</f>
        <v>36.0057104959161</v>
      </c>
      <c r="F260" s="6" t="n">
        <f aca="false">(A260+1)^1.12</f>
        <v>504.540154404713</v>
      </c>
      <c r="G260" s="6" t="n">
        <f aca="false">G259+E260</f>
        <v>2683.34275836992</v>
      </c>
    </row>
    <row r="261" customFormat="false" ht="15" hidden="false" customHeight="true" outlineLevel="0" collapsed="false">
      <c r="A261" s="6" t="n">
        <v>259</v>
      </c>
      <c r="B261" s="6" t="n">
        <f aca="false">MIN(42, FLOOR(A261/32,1)+1)</f>
        <v>9</v>
      </c>
      <c r="C261" s="6" t="str">
        <f aca="false">INDEX(Grades_Realms!$B$2:$B$43, B261)</f>
        <v>Tempered Body · Perfected</v>
      </c>
      <c r="D261" s="6" t="n">
        <f aca="false">(A261+1)^2.4 * 1.004^A261</f>
        <v>1757792.68428855</v>
      </c>
      <c r="E261" s="6" t="n">
        <f aca="false">$I$2*(A261+1)^1.9*1.003^A261</f>
        <v>36.379114825461</v>
      </c>
      <c r="F261" s="6" t="n">
        <f aca="false">(A261+1)^1.12</f>
        <v>506.7224545308</v>
      </c>
      <c r="G261" s="6" t="n">
        <f aca="false">G260+E261</f>
        <v>2719.72187319538</v>
      </c>
    </row>
    <row r="262" customFormat="false" ht="15" hidden="false" customHeight="true" outlineLevel="0" collapsed="false">
      <c r="A262" s="6" t="n">
        <v>260</v>
      </c>
      <c r="B262" s="6" t="n">
        <f aca="false">MIN(42, FLOOR(A262/32,1)+1)</f>
        <v>9</v>
      </c>
      <c r="C262" s="6" t="str">
        <f aca="false">INDEX(Grades_Realms!$B$2:$B$43, B262)</f>
        <v>Tempered Body · Perfected</v>
      </c>
      <c r="D262" s="6" t="n">
        <f aca="false">(A262+1)^2.4 * 1.004^A262</f>
        <v>1781158.41877127</v>
      </c>
      <c r="E262" s="6" t="n">
        <f aca="false">$I$2*(A262+1)^1.9*1.003^A262</f>
        <v>36.7553585313591</v>
      </c>
      <c r="F262" s="6" t="n">
        <f aca="false">(A262+1)^1.12</f>
        <v>508.905762107135</v>
      </c>
      <c r="G262" s="6" t="n">
        <f aca="false">G261+E262</f>
        <v>2756.47723172674</v>
      </c>
    </row>
    <row r="263" customFormat="false" ht="15" hidden="false" customHeight="true" outlineLevel="0" collapsed="false">
      <c r="A263" s="6" t="n">
        <v>261</v>
      </c>
      <c r="B263" s="6" t="n">
        <f aca="false">MIN(42, FLOOR(A263/32,1)+1)</f>
        <v>9</v>
      </c>
      <c r="C263" s="6" t="str">
        <f aca="false">INDEX(Grades_Realms!$B$2:$B$43, B263)</f>
        <v>Tempered Body · Perfected</v>
      </c>
      <c r="D263" s="6" t="n">
        <f aca="false">(A263+1)^2.4 * 1.004^A263</f>
        <v>1804771.15968892</v>
      </c>
      <c r="E263" s="6" t="n">
        <f aca="false">$I$2*(A263+1)^1.9*1.003^A263</f>
        <v>37.1344577029192</v>
      </c>
      <c r="F263" s="6" t="n">
        <f aca="false">(A263+1)^1.12</f>
        <v>511.090073736154</v>
      </c>
      <c r="G263" s="6" t="n">
        <f aca="false">G262+E263</f>
        <v>2793.61168942966</v>
      </c>
    </row>
    <row r="264" customFormat="false" ht="15" hidden="false" customHeight="true" outlineLevel="0" collapsed="false">
      <c r="A264" s="6" t="n">
        <v>262</v>
      </c>
      <c r="B264" s="6" t="n">
        <f aca="false">MIN(42, FLOOR(A264/32,1)+1)</f>
        <v>9</v>
      </c>
      <c r="C264" s="6" t="str">
        <f aca="false">INDEX(Grades_Realms!$B$2:$B$43, B264)</f>
        <v>Tempered Body · Perfected</v>
      </c>
      <c r="D264" s="6" t="n">
        <f aca="false">(A264+1)^2.4 * 1.004^A264</f>
        <v>1828632.9976279</v>
      </c>
      <c r="E264" s="6" t="n">
        <f aca="false">$I$2*(A264+1)^1.9*1.003^A264</f>
        <v>37.5164285081059</v>
      </c>
      <c r="F264" s="6" t="n">
        <f aca="false">(A264+1)^1.12</f>
        <v>513.275386044676</v>
      </c>
      <c r="G264" s="6" t="n">
        <f aca="false">G263+E264</f>
        <v>2831.12811793777</v>
      </c>
    </row>
    <row r="265" customFormat="false" ht="15" hidden="false" customHeight="true" outlineLevel="0" collapsed="false">
      <c r="A265" s="6" t="n">
        <v>263</v>
      </c>
      <c r="B265" s="6" t="n">
        <f aca="false">MIN(42, FLOOR(A265/32,1)+1)</f>
        <v>9</v>
      </c>
      <c r="C265" s="6" t="str">
        <f aca="false">INDEX(Grades_Realms!$B$2:$B$43, B265)</f>
        <v>Tempered Body · Perfected</v>
      </c>
      <c r="D265" s="6" t="n">
        <f aca="false">(A265+1)^2.4 * 1.004^A265</f>
        <v>1852746.03813163</v>
      </c>
      <c r="E265" s="6" t="n">
        <f aca="false">$I$2*(A265+1)^1.9*1.003^A265</f>
        <v>37.901287193883</v>
      </c>
      <c r="F265" s="6" t="n">
        <f aca="false">(A265+1)^1.12</f>
        <v>515.461695683641</v>
      </c>
      <c r="G265" s="6" t="n">
        <f aca="false">G264+E265</f>
        <v>2869.02940513165</v>
      </c>
    </row>
    <row r="266" customFormat="false" ht="15" hidden="false" customHeight="true" outlineLevel="0" collapsed="false">
      <c r="A266" s="6" t="n">
        <v>264</v>
      </c>
      <c r="B266" s="6" t="n">
        <f aca="false">MIN(42, FLOOR(A266/32,1)+1)</f>
        <v>9</v>
      </c>
      <c r="C266" s="6" t="str">
        <f aca="false">INDEX(Grades_Realms!$B$2:$B$43, B266)</f>
        <v>Tempered Body · Perfected</v>
      </c>
      <c r="D266" s="6" t="n">
        <f aca="false">(A266+1)^2.4 * 1.004^A266</f>
        <v>1877112.40179713</v>
      </c>
      <c r="E266" s="6" t="n">
        <f aca="false">$I$2*(A266+1)^1.9*1.003^A266</f>
        <v>38.289050086559</v>
      </c>
      <c r="F266" s="6" t="n">
        <f aca="false">(A266+1)^1.12</f>
        <v>517.648999327843</v>
      </c>
      <c r="G266" s="6" t="n">
        <f aca="false">G265+E266</f>
        <v>2907.31845521821</v>
      </c>
    </row>
    <row r="267" customFormat="false" ht="15" hidden="false" customHeight="true" outlineLevel="0" collapsed="false">
      <c r="A267" s="6" t="n">
        <v>265</v>
      </c>
      <c r="B267" s="6" t="n">
        <f aca="false">MIN(42, FLOOR(A267/32,1)+1)</f>
        <v>9</v>
      </c>
      <c r="C267" s="6" t="str">
        <f aca="false">INDEX(Grades_Realms!$B$2:$B$43, B267)</f>
        <v>Tempered Body · Perfected</v>
      </c>
      <c r="D267" s="6" t="n">
        <f aca="false">(A267+1)^2.4 * 1.004^A267</f>
        <v>1901734.22437208</v>
      </c>
      <c r="E267" s="6" t="n">
        <f aca="false">$I$2*(A267+1)^1.9*1.003^A267</f>
        <v>38.679733592134</v>
      </c>
      <c r="F267" s="6" t="n">
        <f aca="false">(A267+1)^1.12</f>
        <v>519.837293675669</v>
      </c>
      <c r="G267" s="6" t="n">
        <f aca="false">G266+E267</f>
        <v>2945.99818881034</v>
      </c>
    </row>
    <row r="268" customFormat="false" ht="15" hidden="false" customHeight="true" outlineLevel="0" collapsed="false">
      <c r="A268" s="6" t="n">
        <v>266</v>
      </c>
      <c r="B268" s="6" t="n">
        <f aca="false">MIN(42, FLOOR(A268/32,1)+1)</f>
        <v>9</v>
      </c>
      <c r="C268" s="6" t="str">
        <f aca="false">INDEX(Grades_Realms!$B$2:$B$43, B268)</f>
        <v>Tempered Body · Perfected</v>
      </c>
      <c r="D268" s="6" t="n">
        <f aca="false">(A268+1)^2.4 * 1.004^A268</f>
        <v>1926613.6568525</v>
      </c>
      <c r="E268" s="6" t="n">
        <f aca="false">$I$2*(A268+1)^1.9*1.003^A268</f>
        <v>39.0733541966483</v>
      </c>
      <c r="F268" s="6" t="n">
        <f aca="false">(A268+1)^1.12</f>
        <v>522.026575448851</v>
      </c>
      <c r="G268" s="6" t="n">
        <f aca="false">G267+E268</f>
        <v>2985.07154300699</v>
      </c>
    </row>
    <row r="269" customFormat="false" ht="15" hidden="false" customHeight="true" outlineLevel="0" collapsed="false">
      <c r="A269" s="6" t="n">
        <v>267</v>
      </c>
      <c r="B269" s="6" t="n">
        <f aca="false">MIN(42, FLOOR(A269/32,1)+1)</f>
        <v>9</v>
      </c>
      <c r="C269" s="6" t="str">
        <f aca="false">INDEX(Grades_Realms!$B$2:$B$43, B269)</f>
        <v>Tempered Body · Perfected</v>
      </c>
      <c r="D269" s="6" t="n">
        <f aca="false">(A269+1)^2.4 * 1.004^A269</f>
        <v>1951752.86558101</v>
      </c>
      <c r="E269" s="6" t="n">
        <f aca="false">$I$2*(A269+1)^1.9*1.003^A269</f>
        <v>39.4699284665317</v>
      </c>
      <c r="F269" s="6" t="n">
        <f aca="false">(A269+1)^1.12</f>
        <v>524.216841392205</v>
      </c>
      <c r="G269" s="6" t="n">
        <f aca="false">G268+E269</f>
        <v>3024.54147147352</v>
      </c>
    </row>
    <row r="270" customFormat="false" ht="15" hidden="false" customHeight="true" outlineLevel="0" collapsed="false">
      <c r="A270" s="6" t="n">
        <v>268</v>
      </c>
      <c r="B270" s="6" t="n">
        <f aca="false">MIN(42, FLOOR(A270/32,1)+1)</f>
        <v>9</v>
      </c>
      <c r="C270" s="6" t="str">
        <f aca="false">INDEX(Grades_Realms!$B$2:$B$43, B270)</f>
        <v>Tempered Body · Perfected</v>
      </c>
      <c r="D270" s="6" t="n">
        <f aca="false">(A270+1)^2.4 * 1.004^A270</f>
        <v>1977154.03234564</v>
      </c>
      <c r="E270" s="6" t="n">
        <f aca="false">$I$2*(A270+1)^1.9*1.003^A270</f>
        <v>39.8694730489552</v>
      </c>
      <c r="F270" s="6" t="n">
        <f aca="false">(A270+1)^1.12</f>
        <v>526.408088273389</v>
      </c>
      <c r="G270" s="6" t="n">
        <f aca="false">G269+E270</f>
        <v>3064.41094452248</v>
      </c>
    </row>
    <row r="271" customFormat="false" ht="15" hidden="false" customHeight="true" outlineLevel="0" collapsed="false">
      <c r="A271" s="6" t="n">
        <v>269</v>
      </c>
      <c r="B271" s="6" t="n">
        <f aca="false">MIN(42, FLOOR(A271/32,1)+1)</f>
        <v>9</v>
      </c>
      <c r="C271" s="6" t="str">
        <f aca="false">INDEX(Grades_Realms!$B$2:$B$43, B271)</f>
        <v>Tempered Body · Perfected</v>
      </c>
      <c r="D271" s="6" t="n">
        <f aca="false">(A271+1)^2.4 * 1.004^A271</f>
        <v>2002819.35447927</v>
      </c>
      <c r="E271" s="6" t="n">
        <f aca="false">$I$2*(A271+1)^1.9*1.003^A271</f>
        <v>40.2720046721839</v>
      </c>
      <c r="F271" s="6" t="n">
        <f aca="false">(A271+1)^1.12</f>
        <v>528.600312882657</v>
      </c>
      <c r="G271" s="6" t="n">
        <f aca="false">G270+E271</f>
        <v>3104.68294919466</v>
      </c>
    </row>
    <row r="272" customFormat="false" ht="15" hidden="false" customHeight="true" outlineLevel="0" collapsed="false">
      <c r="A272" s="6" t="n">
        <v>270</v>
      </c>
      <c r="B272" s="6" t="n">
        <f aca="false">MIN(42, FLOOR(A272/32,1)+1)</f>
        <v>9</v>
      </c>
      <c r="C272" s="6" t="str">
        <f aca="false">INDEX(Grades_Realms!$B$2:$B$43, B272)</f>
        <v>Tempered Body · Perfected</v>
      </c>
      <c r="D272" s="6" t="n">
        <f aca="false">(A272+1)^2.4 * 1.004^A272</f>
        <v>2028751.0449596</v>
      </c>
      <c r="E272" s="6" t="n">
        <f aca="false">$I$2*(A272+1)^1.9*1.003^A272</f>
        <v>40.677540145931</v>
      </c>
      <c r="F272" s="6" t="n">
        <f aca="false">(A272+1)^1.12</f>
        <v>530.793512032616</v>
      </c>
      <c r="G272" s="6" t="n">
        <f aca="false">G271+E272</f>
        <v>3145.36048934059</v>
      </c>
    </row>
    <row r="273" customFormat="false" ht="15" hidden="false" customHeight="true" outlineLevel="0" collapsed="false">
      <c r="A273" s="6" t="n">
        <v>271</v>
      </c>
      <c r="B273" s="6" t="n">
        <f aca="false">MIN(42, FLOOR(A273/32,1)+1)</f>
        <v>9</v>
      </c>
      <c r="C273" s="6" t="str">
        <f aca="false">INDEX(Grades_Realms!$B$2:$B$43, B273)</f>
        <v>Tempered Body · Perfected</v>
      </c>
      <c r="D273" s="6" t="n">
        <f aca="false">(A273+1)^2.4 * 1.004^A273</f>
        <v>2054951.33250978</v>
      </c>
      <c r="E273" s="6" t="n">
        <f aca="false">$I$2*(A273+1)^1.9*1.003^A273</f>
        <v>41.0860963617138</v>
      </c>
      <c r="F273" s="6" t="n">
        <f aca="false">(A273+1)^1.12</f>
        <v>532.987682557992</v>
      </c>
      <c r="G273" s="6" t="n">
        <f aca="false">G272+E273</f>
        <v>3186.44658570231</v>
      </c>
    </row>
    <row r="274" customFormat="false" ht="15" hidden="false" customHeight="true" outlineLevel="0" collapsed="false">
      <c r="A274" s="6" t="n">
        <v>272</v>
      </c>
      <c r="B274" s="6" t="n">
        <f aca="false">MIN(42, FLOOR(A274/32,1)+1)</f>
        <v>9</v>
      </c>
      <c r="C274" s="6" t="str">
        <f aca="false">INDEX(Grades_Realms!$B$2:$B$43, B274)</f>
        <v>Tempered Body · Perfected</v>
      </c>
      <c r="D274" s="6" t="n">
        <f aca="false">(A274+1)^2.4 * 1.004^A274</f>
        <v>2081422.46169957</v>
      </c>
      <c r="E274" s="6" t="n">
        <f aca="false">$I$2*(A274+1)^1.9*1.003^A274</f>
        <v>41.4976902932112</v>
      </c>
      <c r="F274" s="6" t="n">
        <f aca="false">(A274+1)^1.12</f>
        <v>535.182821315391</v>
      </c>
      <c r="G274" s="6" t="n">
        <f aca="false">G273+E274</f>
        <v>3227.94427599552</v>
      </c>
    </row>
    <row r="275" customFormat="false" ht="15" hidden="false" customHeight="true" outlineLevel="0" collapsed="false">
      <c r="A275" s="6" t="n">
        <v>273</v>
      </c>
      <c r="B275" s="6" t="n">
        <f aca="false">MIN(42, FLOOR(A275/32,1)+1)</f>
        <v>9</v>
      </c>
      <c r="C275" s="6" t="str">
        <f aca="false">INDEX(Grades_Realms!$B$2:$B$43, B275)</f>
        <v>Tempered Body · Perfected</v>
      </c>
      <c r="D275" s="6" t="n">
        <f aca="false">(A275+1)^2.4 * 1.004^A275</f>
        <v>2108166.69304715</v>
      </c>
      <c r="E275" s="6" t="n">
        <f aca="false">$I$2*(A275+1)^1.9*1.003^A275</f>
        <v>41.9123389966221</v>
      </c>
      <c r="F275" s="6" t="n">
        <f aca="false">(A275+1)^1.12</f>
        <v>537.378925183072</v>
      </c>
      <c r="G275" s="6" t="n">
        <f aca="false">G274+E275</f>
        <v>3269.85661499214</v>
      </c>
    </row>
    <row r="276" customFormat="false" ht="15" hidden="false" customHeight="true" outlineLevel="0" collapsed="false">
      <c r="A276" s="6" t="n">
        <v>274</v>
      </c>
      <c r="B276" s="6" t="n">
        <f aca="false">MIN(42, FLOOR(A276/32,1)+1)</f>
        <v>9</v>
      </c>
      <c r="C276" s="6" t="str">
        <f aca="false">INDEX(Grades_Realms!$B$2:$B$43, B276)</f>
        <v>Tempered Body · Perfected</v>
      </c>
      <c r="D276" s="6" t="n">
        <f aca="false">(A276+1)^2.4 * 1.004^A276</f>
        <v>2135186.30312151</v>
      </c>
      <c r="E276" s="6" t="n">
        <f aca="false">$I$2*(A276+1)^1.9*1.003^A276</f>
        <v>42.3300596110264</v>
      </c>
      <c r="F276" s="6" t="n">
        <f aca="false">(A276+1)^1.12</f>
        <v>539.575991060719</v>
      </c>
      <c r="G276" s="6" t="n">
        <f aca="false">G275+E276</f>
        <v>3312.18667460317</v>
      </c>
    </row>
    <row r="277" customFormat="false" ht="15" hidden="false" customHeight="true" outlineLevel="0" collapsed="false">
      <c r="A277" s="6" t="n">
        <v>275</v>
      </c>
      <c r="B277" s="6" t="n">
        <f aca="false">MIN(42, FLOOR(A277/32,1)+1)</f>
        <v>9</v>
      </c>
      <c r="C277" s="6" t="str">
        <f aca="false">INDEX(Grades_Realms!$B$2:$B$43, B277)</f>
        <v>Tempered Body · Perfected</v>
      </c>
      <c r="D277" s="6" t="n">
        <f aca="false">(A277+1)^2.4 * 1.004^A277</f>
        <v>2162483.58464545</v>
      </c>
      <c r="E277" s="6" t="n">
        <f aca="false">$I$2*(A277+1)^1.9*1.003^A277</f>
        <v>42.7508693587464</v>
      </c>
      <c r="F277" s="6" t="n">
        <f aca="false">(A277+1)^1.12</f>
        <v>541.774015869215</v>
      </c>
      <c r="G277" s="6" t="n">
        <f aca="false">G276+E277</f>
        <v>3354.93754396191</v>
      </c>
    </row>
    <row r="278" customFormat="false" ht="15" hidden="false" customHeight="true" outlineLevel="0" collapsed="false">
      <c r="A278" s="6" t="n">
        <v>276</v>
      </c>
      <c r="B278" s="6" t="n">
        <f aca="false">MIN(42, FLOOR(A278/32,1)+1)</f>
        <v>9</v>
      </c>
      <c r="C278" s="6" t="str">
        <f aca="false">INDEX(Grades_Realms!$B$2:$B$43, B278)</f>
        <v>Tempered Body · Perfected</v>
      </c>
      <c r="D278" s="6" t="n">
        <f aca="false">(A278+1)^2.4 * 1.004^A278</f>
        <v>2190060.84659915</v>
      </c>
      <c r="E278" s="6" t="n">
        <f aca="false">$I$2*(A278+1)^1.9*1.003^A278</f>
        <v>43.1747855457104</v>
      </c>
      <c r="F278" s="6" t="n">
        <f aca="false">(A278+1)^1.12</f>
        <v>543.972996550419</v>
      </c>
      <c r="G278" s="6" t="n">
        <f aca="false">G277+E278</f>
        <v>3398.11232950762</v>
      </c>
    </row>
    <row r="279" customFormat="false" ht="15" hidden="false" customHeight="true" outlineLevel="0" collapsed="false">
      <c r="A279" s="6" t="n">
        <v>277</v>
      </c>
      <c r="B279" s="6" t="n">
        <f aca="false">MIN(42, FLOOR(A279/32,1)+1)</f>
        <v>9</v>
      </c>
      <c r="C279" s="6" t="str">
        <f aca="false">INDEX(Grades_Realms!$B$2:$B$43, B279)</f>
        <v>Tempered Body · Perfected</v>
      </c>
      <c r="D279" s="6" t="n">
        <f aca="false">(A279+1)^2.4 * 1.004^A279</f>
        <v>2217920.41432446</v>
      </c>
      <c r="E279" s="6" t="n">
        <f aca="false">$I$2*(A279+1)^1.9*1.003^A279</f>
        <v>43.6018255618177</v>
      </c>
      <c r="F279" s="6" t="n">
        <f aca="false">(A279+1)^1.12</f>
        <v>546.172930066955</v>
      </c>
      <c r="G279" s="6" t="n">
        <f aca="false">G278+E279</f>
        <v>3441.71415506944</v>
      </c>
    </row>
    <row r="280" customFormat="false" ht="15" hidden="false" customHeight="true" outlineLevel="0" collapsed="false">
      <c r="A280" s="6" t="n">
        <v>278</v>
      </c>
      <c r="B280" s="6" t="n">
        <f aca="false">MIN(42, FLOOR(A280/32,1)+1)</f>
        <v>9</v>
      </c>
      <c r="C280" s="6" t="str">
        <f aca="false">INDEX(Grades_Realms!$B$2:$B$43, B280)</f>
        <v>Tempered Body · Perfected</v>
      </c>
      <c r="D280" s="6" t="n">
        <f aca="false">(A280+1)^2.4 * 1.004^A280</f>
        <v>2246064.62962964</v>
      </c>
      <c r="E280" s="6" t="n">
        <f aca="false">$I$2*(A280+1)^1.9*1.003^A280</f>
        <v>44.0320068813053</v>
      </c>
      <c r="F280" s="6" t="n">
        <f aca="false">(A280+1)^1.12</f>
        <v>548.373813401988</v>
      </c>
      <c r="G280" s="6" t="n">
        <f aca="false">G279+E280</f>
        <v>3485.74616195075</v>
      </c>
    </row>
    <row r="281" customFormat="false" ht="15" hidden="false" customHeight="true" outlineLevel="0" collapsed="false">
      <c r="A281" s="6" t="n">
        <v>279</v>
      </c>
      <c r="B281" s="6" t="n">
        <f aca="false">MIN(42, FLOOR(A281/32,1)+1)</f>
        <v>9</v>
      </c>
      <c r="C281" s="6" t="str">
        <f aca="false">INDEX(Grades_Realms!$B$2:$B$43, B281)</f>
        <v>Tempered Body · Perfected</v>
      </c>
      <c r="D281" s="6" t="n">
        <f aca="false">(A281+1)^2.4 * 1.004^A281</f>
        <v>2274495.8508949</v>
      </c>
      <c r="E281" s="6" t="n">
        <f aca="false">$I$2*(A281+1)^1.9*1.003^A281</f>
        <v>44.4653470631157</v>
      </c>
      <c r="F281" s="6" t="n">
        <f aca="false">(A281+1)^1.12</f>
        <v>550.575643559018</v>
      </c>
      <c r="G281" s="6" t="n">
        <f aca="false">G280+E281</f>
        <v>3530.21150901386</v>
      </c>
    </row>
    <row r="282" customFormat="false" ht="15" hidden="false" customHeight="true" outlineLevel="0" collapsed="false">
      <c r="A282" s="6" t="n">
        <v>280</v>
      </c>
      <c r="B282" s="6" t="n">
        <f aca="false">MIN(42, FLOOR(A282/32,1)+1)</f>
        <v>9</v>
      </c>
      <c r="C282" s="6" t="str">
        <f aca="false">INDEX(Grades_Realms!$B$2:$B$43, B282)</f>
        <v>Tempered Body · Perfected</v>
      </c>
      <c r="D282" s="6" t="n">
        <f aca="false">(A282+1)^2.4 * 1.004^A282</f>
        <v>2303216.45317842</v>
      </c>
      <c r="E282" s="6" t="n">
        <f aca="false">$I$2*(A282+1)^1.9*1.003^A282</f>
        <v>44.9018637512666</v>
      </c>
      <c r="F282" s="6" t="n">
        <f aca="false">(A282+1)^1.12</f>
        <v>552.778417561668</v>
      </c>
      <c r="G282" s="6" t="n">
        <f aca="false">G281+E282</f>
        <v>3575.11337276513</v>
      </c>
    </row>
    <row r="283" customFormat="false" ht="15" hidden="false" customHeight="true" outlineLevel="0" collapsed="false">
      <c r="A283" s="6" t="n">
        <v>281</v>
      </c>
      <c r="B283" s="6" t="n">
        <f aca="false">MIN(42, FLOOR(A283/32,1)+1)</f>
        <v>9</v>
      </c>
      <c r="C283" s="6" t="str">
        <f aca="false">INDEX(Grades_Realms!$B$2:$B$43, B283)</f>
        <v>Tempered Body · Perfected</v>
      </c>
      <c r="D283" s="6" t="n">
        <f aca="false">(A283+1)^2.4 * 1.004^A283</f>
        <v>2332228.82832309</v>
      </c>
      <c r="E283" s="6" t="n">
        <f aca="false">$I$2*(A283+1)^1.9*1.003^A283</f>
        <v>45.341574675222</v>
      </c>
      <c r="F283" s="6" t="n">
        <f aca="false">(A283+1)^1.12</f>
        <v>554.982132453479</v>
      </c>
      <c r="G283" s="6" t="n">
        <f aca="false">G282+E283</f>
        <v>3620.45494744035</v>
      </c>
    </row>
    <row r="284" customFormat="false" ht="15" hidden="false" customHeight="true" outlineLevel="0" collapsed="false">
      <c r="A284" s="6" t="n">
        <v>282</v>
      </c>
      <c r="B284" s="6" t="n">
        <f aca="false">MIN(42, FLOOR(A284/32,1)+1)</f>
        <v>9</v>
      </c>
      <c r="C284" s="6" t="str">
        <f aca="false">INDEX(Grades_Realms!$B$2:$B$43, B284)</f>
        <v>Tempered Body · Perfected</v>
      </c>
      <c r="D284" s="6" t="n">
        <f aca="false">(A284+1)^2.4 * 1.004^A284</f>
        <v>2361535.38506381</v>
      </c>
      <c r="E284" s="6" t="n">
        <f aca="false">$I$2*(A284+1)^1.9*1.003^A284</f>
        <v>45.7844976502655</v>
      </c>
      <c r="F284" s="6" t="n">
        <f aca="false">(A284+1)^1.12</f>
        <v>557.186785297706</v>
      </c>
      <c r="G284" s="6" t="n">
        <f aca="false">G283+E284</f>
        <v>3666.23944509062</v>
      </c>
    </row>
    <row r="285" customFormat="false" ht="15" hidden="false" customHeight="true" outlineLevel="0" collapsed="false">
      <c r="A285" s="6" t="n">
        <v>283</v>
      </c>
      <c r="B285" s="6" t="n">
        <f aca="false">MIN(42, FLOOR(A285/32,1)+1)</f>
        <v>9</v>
      </c>
      <c r="C285" s="6" t="str">
        <f aca="false">INDEX(Grades_Realms!$B$2:$B$43, B285)</f>
        <v>Tempered Body · Perfected</v>
      </c>
      <c r="D285" s="6" t="n">
        <f aca="false">(A285+1)^2.4 * 1.004^A285</f>
        <v>2391138.54913548</v>
      </c>
      <c r="E285" s="6" t="n">
        <f aca="false">$I$2*(A285+1)^1.9*1.003^A285</f>
        <v>46.2306505778737</v>
      </c>
      <c r="F285" s="6" t="n">
        <f aca="false">(A285+1)^1.12</f>
        <v>559.392373177116</v>
      </c>
      <c r="G285" s="6" t="n">
        <f aca="false">G284+E285</f>
        <v>3712.47009566849</v>
      </c>
    </row>
    <row r="286" customFormat="false" ht="15" hidden="false" customHeight="true" outlineLevel="0" collapsed="false">
      <c r="A286" s="6" t="n">
        <v>284</v>
      </c>
      <c r="B286" s="6" t="n">
        <f aca="false">MIN(42, FLOOR(A286/32,1)+1)</f>
        <v>9</v>
      </c>
      <c r="C286" s="6" t="str">
        <f aca="false">INDEX(Grades_Realms!$B$2:$B$43, B286)</f>
        <v>Tempered Body · Perfected</v>
      </c>
      <c r="D286" s="6" t="n">
        <f aca="false">(A286+1)^2.4 * 1.004^A286</f>
        <v>2421040.7633816</v>
      </c>
      <c r="E286" s="6" t="n">
        <f aca="false">$I$2*(A286+1)^1.9*1.003^A286</f>
        <v>46.6800514460931</v>
      </c>
      <c r="F286" s="6" t="n">
        <f aca="false">(A286+1)^1.12</f>
        <v>561.598893193795</v>
      </c>
      <c r="G286" s="6" t="n">
        <f aca="false">G285+E286</f>
        <v>3759.15014711458</v>
      </c>
    </row>
    <row r="287" customFormat="false" ht="15" hidden="false" customHeight="true" outlineLevel="0" collapsed="false">
      <c r="A287" s="6" t="n">
        <v>285</v>
      </c>
      <c r="B287" s="6" t="n">
        <f aca="false">MIN(42, FLOOR(A287/32,1)+1)</f>
        <v>9</v>
      </c>
      <c r="C287" s="6" t="str">
        <f aca="false">INDEX(Grades_Realms!$B$2:$B$43, B287)</f>
        <v>Tempered Body · Perfected</v>
      </c>
      <c r="D287" s="6" t="n">
        <f aca="false">(A287+1)^2.4 * 1.004^A287</f>
        <v>2451244.48786348</v>
      </c>
      <c r="E287" s="6" t="n">
        <f aca="false">$I$2*(A287+1)^1.9*1.003^A287</f>
        <v>47.1327183299168</v>
      </c>
      <c r="F287" s="6" t="n">
        <f aca="false">(A287+1)^1.12</f>
        <v>563.806342468945</v>
      </c>
      <c r="G287" s="6" t="n">
        <f aca="false">G286+E287</f>
        <v>3806.2828654445</v>
      </c>
    </row>
    <row r="288" customFormat="false" ht="15" hidden="false" customHeight="true" outlineLevel="0" collapsed="false">
      <c r="A288" s="6" t="n">
        <v>286</v>
      </c>
      <c r="B288" s="6" t="n">
        <f aca="false">MIN(42, FLOOR(A288/32,1)+1)</f>
        <v>9</v>
      </c>
      <c r="C288" s="6" t="str">
        <f aca="false">INDEX(Grades_Realms!$B$2:$B$43, B288)</f>
        <v>Tempered Body · Perfected</v>
      </c>
      <c r="D288" s="6" t="n">
        <f aca="false">(A288+1)^2.4 * 1.004^A288</f>
        <v>2481752.19997019</v>
      </c>
      <c r="E288" s="6" t="n">
        <f aca="false">$I$2*(A288+1)^1.9*1.003^A288</f>
        <v>47.588669391664</v>
      </c>
      <c r="F288" s="6" t="n">
        <f aca="false">(A288+1)^1.12</f>
        <v>566.014718142698</v>
      </c>
      <c r="G288" s="6" t="n">
        <f aca="false">G287+E288</f>
        <v>3853.87153483616</v>
      </c>
    </row>
    <row r="289" customFormat="false" ht="15" hidden="false" customHeight="true" outlineLevel="0" collapsed="false">
      <c r="A289" s="6" t="n">
        <v>287</v>
      </c>
      <c r="B289" s="6" t="n">
        <f aca="false">MIN(42, FLOOR(A289/32,1)+1)</f>
        <v>9</v>
      </c>
      <c r="C289" s="6" t="str">
        <f aca="false">INDEX(Grades_Realms!$B$2:$B$43, B289)</f>
        <v>Tempered Body · Perfected</v>
      </c>
      <c r="D289" s="6" t="n">
        <f aca="false">(A289+1)^2.4 * 1.004^A289</f>
        <v>2512566.39452905</v>
      </c>
      <c r="E289" s="6" t="n">
        <f aca="false">$I$2*(A289+1)^1.9*1.003^A289</f>
        <v>48.0479228813606</v>
      </c>
      <c r="F289" s="6" t="n">
        <f aca="false">(A289+1)^1.12</f>
        <v>568.224017373924</v>
      </c>
      <c r="G289" s="6" t="n">
        <f aca="false">G288+E289</f>
        <v>3901.91945771752</v>
      </c>
    </row>
    <row r="290" customFormat="false" ht="15" hidden="false" customHeight="true" outlineLevel="0" collapsed="false">
      <c r="A290" s="6" t="n">
        <v>288</v>
      </c>
      <c r="B290" s="6" t="n">
        <f aca="false">MIN(42, FLOOR(A290/32,1)+1)</f>
        <v>10</v>
      </c>
      <c r="C290" s="6" t="str">
        <f aca="false">INDEX(Grades_Realms!$B$2:$B$43, B290)</f>
        <v>Foundation · Initial</v>
      </c>
      <c r="D290" s="6" t="n">
        <f aca="false">(A290+1)^2.4 * 1.004^A290</f>
        <v>2543689.58391684</v>
      </c>
      <c r="E290" s="6" t="n">
        <f aca="false">$I$2*(A290+1)^1.9*1.003^A290</f>
        <v>48.5104971371214</v>
      </c>
      <c r="F290" s="6" t="n">
        <f aca="false">(A290+1)^1.12</f>
        <v>570.434237340042</v>
      </c>
      <c r="G290" s="6" t="n">
        <f aca="false">G289+E290</f>
        <v>3950.42995485465</v>
      </c>
    </row>
    <row r="291" customFormat="false" ht="15" hidden="false" customHeight="true" outlineLevel="0" collapsed="false">
      <c r="A291" s="6" t="n">
        <v>289</v>
      </c>
      <c r="B291" s="6" t="n">
        <f aca="false">MIN(42, FLOOR(A291/32,1)+1)</f>
        <v>10</v>
      </c>
      <c r="C291" s="6" t="str">
        <f aca="false">INDEX(Grades_Realms!$B$2:$B$43, B291)</f>
        <v>Foundation · Initial</v>
      </c>
      <c r="D291" s="6" t="n">
        <f aca="false">(A291+1)^2.4 * 1.004^A291</f>
        <v>2575124.29817163</v>
      </c>
      <c r="E291" s="6" t="n">
        <f aca="false">$I$2*(A291+1)^1.9*1.003^A291</f>
        <v>48.9764105855341</v>
      </c>
      <c r="F291" s="6" t="n">
        <f aca="false">(A291+1)^1.12</f>
        <v>572.645375236836</v>
      </c>
      <c r="G291" s="6" t="n">
        <f aca="false">G290+E291</f>
        <v>3999.40636544018</v>
      </c>
    </row>
    <row r="292" customFormat="false" ht="15" hidden="false" customHeight="true" outlineLevel="0" collapsed="false">
      <c r="A292" s="6" t="n">
        <v>290</v>
      </c>
      <c r="B292" s="6" t="n">
        <f aca="false">MIN(42, FLOOR(A292/32,1)+1)</f>
        <v>10</v>
      </c>
      <c r="C292" s="6" t="str">
        <f aca="false">INDEX(Grades_Realms!$B$2:$B$43, B292)</f>
        <v>Foundation · Initial</v>
      </c>
      <c r="D292" s="6" t="n">
        <f aca="false">(A292+1)^2.4 * 1.004^A292</f>
        <v>2606873.08510528</v>
      </c>
      <c r="E292" s="6" t="n">
        <f aca="false">$I$2*(A292+1)^1.9*1.003^A292</f>
        <v>49.4456817420446</v>
      </c>
      <c r="F292" s="6" t="n">
        <f aca="false">(A292+1)^1.12</f>
        <v>574.857428278275</v>
      </c>
      <c r="G292" s="6" t="n">
        <f aca="false">G291+E292</f>
        <v>4048.85204718223</v>
      </c>
    </row>
    <row r="293" customFormat="false" ht="15" hidden="false" customHeight="true" outlineLevel="0" collapsed="false">
      <c r="A293" s="6" t="n">
        <v>291</v>
      </c>
      <c r="B293" s="6" t="n">
        <f aca="false">MIN(42, FLOOR(A293/32,1)+1)</f>
        <v>10</v>
      </c>
      <c r="C293" s="6" t="str">
        <f aca="false">INDEX(Grades_Realms!$B$2:$B$43, B293)</f>
        <v>Foundation · Initial</v>
      </c>
      <c r="D293" s="6" t="n">
        <f aca="false">(A293+1)^2.4 * 1.004^A293</f>
        <v>2638938.51041665</v>
      </c>
      <c r="E293" s="6" t="n">
        <f aca="false">$I$2*(A293+1)^1.9*1.003^A293</f>
        <v>49.9183292113444</v>
      </c>
      <c r="F293" s="6" t="n">
        <f aca="false">(A293+1)^1.12</f>
        <v>577.070393696329</v>
      </c>
      <c r="G293" s="6" t="n">
        <f aca="false">G292+E293</f>
        <v>4098.77037639357</v>
      </c>
    </row>
    <row r="294" customFormat="false" ht="15" hidden="false" customHeight="true" outlineLevel="0" collapsed="false">
      <c r="A294" s="6" t="n">
        <v>292</v>
      </c>
      <c r="B294" s="6" t="n">
        <f aca="false">MIN(42, FLOOR(A294/32,1)+1)</f>
        <v>10</v>
      </c>
      <c r="C294" s="6" t="str">
        <f aca="false">INDEX(Grades_Realms!$B$2:$B$43, B294)</f>
        <v>Foundation · Initial</v>
      </c>
      <c r="D294" s="6" t="n">
        <f aca="false">(A294+1)^2.4 * 1.004^A294</f>
        <v>2671323.15780536</v>
      </c>
      <c r="E294" s="6" t="n">
        <f aca="false">$I$2*(A294+1)^1.9*1.003^A294</f>
        <v>50.3943716877591</v>
      </c>
      <c r="F294" s="6" t="n">
        <f aca="false">(A294+1)^1.12</f>
        <v>579.284268740794</v>
      </c>
      <c r="G294" s="6" t="n">
        <f aca="false">G293+E294</f>
        <v>4149.16474808133</v>
      </c>
    </row>
    <row r="295" customFormat="false" ht="15" hidden="false" customHeight="true" outlineLevel="0" collapsed="false">
      <c r="A295" s="6" t="n">
        <v>293</v>
      </c>
      <c r="B295" s="6" t="n">
        <f aca="false">MIN(42, FLOOR(A295/32,1)+1)</f>
        <v>10</v>
      </c>
      <c r="C295" s="6" t="str">
        <f aca="false">INDEX(Grades_Realms!$B$2:$B$43, B295)</f>
        <v>Foundation · Initial</v>
      </c>
      <c r="D295" s="6" t="n">
        <f aca="false">(A295+1)^2.4 * 1.004^A295</f>
        <v>2704029.62908636</v>
      </c>
      <c r="E295" s="6" t="n">
        <f aca="false">$I$2*(A295+1)^1.9*1.003^A295</f>
        <v>50.8738279556389</v>
      </c>
      <c r="F295" s="6" t="n">
        <f aca="false">(A295+1)^1.12</f>
        <v>581.499050679117</v>
      </c>
      <c r="G295" s="6" t="n">
        <f aca="false">G294+E295</f>
        <v>4200.03857603697</v>
      </c>
    </row>
    <row r="296" customFormat="false" ht="15" hidden="false" customHeight="true" outlineLevel="0" collapsed="false">
      <c r="A296" s="6" t="n">
        <v>294</v>
      </c>
      <c r="B296" s="6" t="n">
        <f aca="false">MIN(42, FLOOR(A296/32,1)+1)</f>
        <v>10</v>
      </c>
      <c r="C296" s="6" t="str">
        <f aca="false">INDEX(Grades_Realms!$B$2:$B$43, B296)</f>
        <v>Foundation · Initial</v>
      </c>
      <c r="D296" s="6" t="n">
        <f aca="false">(A296+1)^2.4 * 1.004^A296</f>
        <v>2737060.54430505</v>
      </c>
      <c r="E296" s="6" t="n">
        <f aca="false">$I$2*(A296+1)^1.9*1.003^A296</f>
        <v>51.3567168897506</v>
      </c>
      <c r="F296" s="6" t="n">
        <f aca="false">(A296+1)^1.12</f>
        <v>583.71473679622</v>
      </c>
      <c r="G296" s="6" t="n">
        <f aca="false">G295+E296</f>
        <v>4251.39529292672</v>
      </c>
    </row>
    <row r="297" customFormat="false" ht="15" hidden="false" customHeight="true" outlineLevel="0" collapsed="false">
      <c r="A297" s="6" t="n">
        <v>295</v>
      </c>
      <c r="B297" s="6" t="n">
        <f aca="false">MIN(42, FLOOR(A297/32,1)+1)</f>
        <v>10</v>
      </c>
      <c r="C297" s="6" t="str">
        <f aca="false">INDEX(Grades_Realms!$B$2:$B$43, B297)</f>
        <v>Foundation · Initial</v>
      </c>
      <c r="D297" s="6" t="n">
        <f aca="false">(A297+1)^2.4 * 1.004^A297</f>
        <v>2770418.54185319</v>
      </c>
      <c r="E297" s="6" t="n">
        <f aca="false">$I$2*(A297+1)^1.9*1.003^A297</f>
        <v>51.8430574556711</v>
      </c>
      <c r="F297" s="6" t="n">
        <f aca="false">(A297+1)^1.12</f>
        <v>585.931324394333</v>
      </c>
      <c r="G297" s="6" t="n">
        <f aca="false">G296+E297</f>
        <v>4303.23835038239</v>
      </c>
    </row>
    <row r="298" customFormat="false" ht="15" hidden="false" customHeight="true" outlineLevel="0" collapsed="false">
      <c r="A298" s="6" t="n">
        <v>296</v>
      </c>
      <c r="B298" s="6" t="n">
        <f aca="false">MIN(42, FLOOR(A298/32,1)+1)</f>
        <v>10</v>
      </c>
      <c r="C298" s="6" t="str">
        <f aca="false">INDEX(Grades_Realms!$B$2:$B$43, B298)</f>
        <v>Foundation · Initial</v>
      </c>
      <c r="D298" s="6" t="n">
        <f aca="false">(A298+1)^2.4 * 1.004^A298</f>
        <v>2804106.27858541</v>
      </c>
      <c r="E298" s="6" t="n">
        <f aca="false">$I$2*(A298+1)^1.9*1.003^A298</f>
        <v>52.332868710183</v>
      </c>
      <c r="F298" s="6" t="n">
        <f aca="false">(A298+1)^1.12</f>
        <v>588.148810792824</v>
      </c>
      <c r="G298" s="6" t="n">
        <f aca="false">G297+E298</f>
        <v>4355.57121909257</v>
      </c>
    </row>
    <row r="299" customFormat="false" ht="15" hidden="false" customHeight="true" outlineLevel="0" collapsed="false">
      <c r="A299" s="6" t="n">
        <v>297</v>
      </c>
      <c r="B299" s="6" t="n">
        <f aca="false">MIN(42, FLOOR(A299/32,1)+1)</f>
        <v>10</v>
      </c>
      <c r="C299" s="6" t="str">
        <f aca="false">INDEX(Grades_Realms!$B$2:$B$43, B299)</f>
        <v>Foundation · Initial</v>
      </c>
      <c r="D299" s="6" t="n">
        <f aca="false">(A299+1)^2.4 * 1.004^A299</f>
        <v>2838126.4299364</v>
      </c>
      <c r="E299" s="6" t="n">
        <f aca="false">$I$2*(A299+1)^1.9*1.003^A299</f>
        <v>52.826169801671</v>
      </c>
      <c r="F299" s="6" t="n">
        <f aca="false">(A299+1)^1.12</f>
        <v>590.367193328032</v>
      </c>
      <c r="G299" s="6" t="n">
        <f aca="false">G298+E299</f>
        <v>4408.39738889425</v>
      </c>
    </row>
    <row r="300" customFormat="false" ht="15" hidden="false" customHeight="true" outlineLevel="0" collapsed="false">
      <c r="A300" s="6" t="n">
        <v>298</v>
      </c>
      <c r="B300" s="6" t="n">
        <f aca="false">MIN(42, FLOOR(A300/32,1)+1)</f>
        <v>10</v>
      </c>
      <c r="C300" s="6" t="str">
        <f aca="false">INDEX(Grades_Realms!$B$2:$B$43, B300)</f>
        <v>Foundation · Initial</v>
      </c>
      <c r="D300" s="6" t="n">
        <f aca="false">(A300+1)^2.4 * 1.004^A300</f>
        <v>2872481.69003891</v>
      </c>
      <c r="E300" s="6" t="n">
        <f aca="false">$I$2*(A300+1)^1.9*1.003^A300</f>
        <v>53.3229799705213</v>
      </c>
      <c r="F300" s="6" t="n">
        <f aca="false">(A300+1)^1.12</f>
        <v>592.586469353106</v>
      </c>
      <c r="G300" s="6" t="n">
        <f aca="false">G299+E300</f>
        <v>4461.72036886477</v>
      </c>
    </row>
    <row r="301" customFormat="false" ht="15" hidden="false" customHeight="true" outlineLevel="0" collapsed="false">
      <c r="A301" s="6" t="n">
        <v>299</v>
      </c>
      <c r="B301" s="6" t="n">
        <f aca="false">MIN(42, FLOOR(A301/32,1)+1)</f>
        <v>10</v>
      </c>
      <c r="C301" s="6" t="str">
        <f aca="false">INDEX(Grades_Realms!$B$2:$B$43, B301)</f>
        <v>Foundation · Initial</v>
      </c>
      <c r="D301" s="6" t="n">
        <f aca="false">(A301+1)^2.4 * 1.004^A301</f>
        <v>2907174.77184225</v>
      </c>
      <c r="E301" s="6" t="n">
        <f aca="false">$I$2*(A301+1)^1.9*1.003^A301</f>
        <v>53.8233185495213</v>
      </c>
      <c r="F301" s="6" t="n">
        <f aca="false">(A301+1)^1.12</f>
        <v>594.806636237837</v>
      </c>
      <c r="G301" s="6" t="n">
        <f aca="false">G300+E301</f>
        <v>4515.54368741429</v>
      </c>
    </row>
    <row r="302" customFormat="false" ht="15" hidden="false" customHeight="true" outlineLevel="0" collapsed="false">
      <c r="A302" s="6" t="n">
        <v>300</v>
      </c>
      <c r="B302" s="6" t="n">
        <f aca="false">MIN(42, FLOOR(A302/32,1)+1)</f>
        <v>10</v>
      </c>
      <c r="C302" s="6" t="str">
        <f aca="false">INDEX(Grades_Realms!$B$2:$B$43, B302)</f>
        <v>Foundation · Initial</v>
      </c>
      <c r="D302" s="6" t="n">
        <f aca="false">(A302+1)^2.4 * 1.004^A302</f>
        <v>2942208.40723168</v>
      </c>
      <c r="E302" s="6" t="n">
        <f aca="false">$I$2*(A302+1)^1.9*1.003^A302</f>
        <v>54.3272049642617</v>
      </c>
      <c r="F302" s="6" t="n">
        <f aca="false">(A302+1)^1.12</f>
        <v>597.027691368506</v>
      </c>
      <c r="G302" s="6" t="n">
        <f aca="false">G301+E302</f>
        <v>4569.87089237855</v>
      </c>
    </row>
    <row r="303" customFormat="false" ht="15" hidden="false" customHeight="true" outlineLevel="0" collapsed="false">
      <c r="A303" s="6" t="n">
        <v>301</v>
      </c>
      <c r="B303" s="6" t="n">
        <f aca="false">MIN(42, FLOOR(A303/32,1)+1)</f>
        <v>10</v>
      </c>
      <c r="C303" s="6" t="str">
        <f aca="false">INDEX(Grades_Realms!$B$2:$B$43, B303)</f>
        <v>Foundation · Initial</v>
      </c>
      <c r="D303" s="6" t="n">
        <f aca="false">(A303+1)^2.4 * 1.004^A303</f>
        <v>2977585.34714836</v>
      </c>
      <c r="E303" s="6" t="n">
        <f aca="false">$I$2*(A303+1)^1.9*1.003^A303</f>
        <v>54.8346587335399</v>
      </c>
      <c r="F303" s="6" t="n">
        <f aca="false">(A303+1)^1.12</f>
        <v>599.24963214772</v>
      </c>
      <c r="G303" s="6" t="n">
        <f aca="false">G302+E303</f>
        <v>4624.70555111209</v>
      </c>
    </row>
    <row r="304" customFormat="false" ht="15" hidden="false" customHeight="true" outlineLevel="0" collapsed="false">
      <c r="A304" s="6" t="n">
        <v>302</v>
      </c>
      <c r="B304" s="6" t="n">
        <f aca="false">MIN(42, FLOOR(A304/32,1)+1)</f>
        <v>10</v>
      </c>
      <c r="C304" s="6" t="str">
        <f aca="false">INDEX(Grades_Realms!$B$2:$B$43, B304)</f>
        <v>Foundation · Initial</v>
      </c>
      <c r="D304" s="6" t="n">
        <f aca="false">(A304+1)^2.4 * 1.004^A304</f>
        <v>3013308.36171008</v>
      </c>
      <c r="E304" s="6" t="n">
        <f aca="false">$I$2*(A304+1)^1.9*1.003^A304</f>
        <v>55.3456994697661</v>
      </c>
      <c r="F304" s="6" t="n">
        <f aca="false">(A304+1)^1.12</f>
        <v>601.47245599426</v>
      </c>
      <c r="G304" s="6" t="n">
        <f aca="false">G303+E304</f>
        <v>4680.05125058186</v>
      </c>
    </row>
    <row r="305" customFormat="false" ht="15" hidden="false" customHeight="true" outlineLevel="0" collapsed="false">
      <c r="A305" s="6" t="n">
        <v>303</v>
      </c>
      <c r="B305" s="6" t="n">
        <f aca="false">MIN(42, FLOOR(A305/32,1)+1)</f>
        <v>10</v>
      </c>
      <c r="C305" s="6" t="str">
        <f aca="false">INDEX(Grades_Realms!$B$2:$B$43, B305)</f>
        <v>Foundation · Initial</v>
      </c>
      <c r="D305" s="6" t="n">
        <f aca="false">(A305+1)^2.4 * 1.004^A305</f>
        <v>3049380.2403327</v>
      </c>
      <c r="E305" s="6" t="n">
        <f aca="false">$I$2*(A305+1)^1.9*1.003^A305</f>
        <v>55.8603468793692</v>
      </c>
      <c r="F305" s="6" t="n">
        <f aca="false">(A305+1)^1.12</f>
        <v>603.696160342922</v>
      </c>
      <c r="G305" s="6" t="n">
        <f aca="false">G304+E305</f>
        <v>4735.91159746122</v>
      </c>
    </row>
    <row r="306" customFormat="false" ht="15" hidden="false" customHeight="true" outlineLevel="0" collapsed="false">
      <c r="A306" s="6" t="n">
        <v>304</v>
      </c>
      <c r="B306" s="6" t="n">
        <f aca="false">MIN(42, FLOOR(A306/32,1)+1)</f>
        <v>10</v>
      </c>
      <c r="C306" s="6" t="str">
        <f aca="false">INDEX(Grades_Realms!$B$2:$B$43, B306)</f>
        <v>Foundation · Initial</v>
      </c>
      <c r="D306" s="6" t="n">
        <f aca="false">(A306+1)^2.4 * 1.004^A306</f>
        <v>3085803.79185223</v>
      </c>
      <c r="E306" s="6" t="n">
        <f aca="false">$I$2*(A306+1)^1.9*1.003^A306</f>
        <v>56.3786207632065</v>
      </c>
      <c r="F306" s="6" t="n">
        <f aca="false">(A306+1)^1.12</f>
        <v>605.920742644374</v>
      </c>
      <c r="G306" s="6" t="n">
        <f aca="false">G305+E306</f>
        <v>4792.29021822443</v>
      </c>
    </row>
    <row r="307" customFormat="false" ht="15" hidden="false" customHeight="true" outlineLevel="0" collapsed="false">
      <c r="A307" s="6" t="n">
        <v>305</v>
      </c>
      <c r="B307" s="6" t="n">
        <f aca="false">MIN(42, FLOOR(A307/32,1)+1)</f>
        <v>10</v>
      </c>
      <c r="C307" s="6" t="str">
        <f aca="false">INDEX(Grades_Realms!$B$2:$B$43, B307)</f>
        <v>Foundation · Initial</v>
      </c>
      <c r="D307" s="6" t="n">
        <f aca="false">(A307+1)^2.4 * 1.004^A307</f>
        <v>3122581.84464772</v>
      </c>
      <c r="E307" s="6" t="n">
        <f aca="false">$I$2*(A307+1)^1.9*1.003^A307</f>
        <v>56.9005410169734</v>
      </c>
      <c r="F307" s="6" t="n">
        <f aca="false">(A307+1)^1.12</f>
        <v>608.146200364999</v>
      </c>
      <c r="G307" s="6" t="n">
        <f aca="false">G306+E307</f>
        <v>4849.1907592414</v>
      </c>
    </row>
    <row r="308" customFormat="false" ht="15" hidden="false" customHeight="true" outlineLevel="0" collapsed="false">
      <c r="A308" s="6" t="n">
        <v>306</v>
      </c>
      <c r="B308" s="6" t="n">
        <f aca="false">MIN(42, FLOOR(A308/32,1)+1)</f>
        <v>10</v>
      </c>
      <c r="C308" s="6" t="str">
        <f aca="false">INDEX(Grades_Realms!$B$2:$B$43, B308)</f>
        <v>Foundation · Initial</v>
      </c>
      <c r="D308" s="6" t="n">
        <f aca="false">(A308+1)^2.4 * 1.004^A308</f>
        <v>3159717.24676484</v>
      </c>
      <c r="E308" s="6" t="n">
        <f aca="false">$I$2*(A308+1)^1.9*1.003^A308</f>
        <v>57.426127631616</v>
      </c>
      <c r="F308" s="6" t="n">
        <f aca="false">(A308+1)^1.12</f>
        <v>610.372530986748</v>
      </c>
      <c r="G308" s="6" t="n">
        <f aca="false">G307+E308</f>
        <v>4906.61688687302</v>
      </c>
    </row>
    <row r="309" customFormat="false" ht="15" hidden="false" customHeight="true" outlineLevel="0" collapsed="false">
      <c r="A309" s="6" t="n">
        <v>307</v>
      </c>
      <c r="B309" s="6" t="n">
        <f aca="false">MIN(42, FLOOR(A309/32,1)+1)</f>
        <v>10</v>
      </c>
      <c r="C309" s="6" t="str">
        <f aca="false">INDEX(Grades_Realms!$B$2:$B$43, B309)</f>
        <v>Foundation · Initial</v>
      </c>
      <c r="D309" s="6" t="n">
        <f aca="false">(A309+1)^2.4 * 1.004^A309</f>
        <v>3197212.86604011</v>
      </c>
      <c r="E309" s="6" t="n">
        <f aca="false">$I$2*(A309+1)^1.9*1.003^A309</f>
        <v>57.9554006937446</v>
      </c>
      <c r="F309" s="6" t="n">
        <f aca="false">(A309+1)^1.12</f>
        <v>612.599732006996</v>
      </c>
      <c r="G309" s="6" t="n">
        <f aca="false">G308+E309</f>
        <v>4964.57228756676</v>
      </c>
    </row>
    <row r="310" customFormat="false" ht="15" hidden="false" customHeight="true" outlineLevel="0" collapsed="false">
      <c r="A310" s="6" t="n">
        <v>308</v>
      </c>
      <c r="B310" s="6" t="n">
        <f aca="false">MIN(42, FLOOR(A310/32,1)+1)</f>
        <v>10</v>
      </c>
      <c r="C310" s="6" t="str">
        <f aca="false">INDEX(Grades_Realms!$B$2:$B$43, B310)</f>
        <v>Foundation · Initial</v>
      </c>
      <c r="D310" s="6" t="n">
        <f aca="false">(A310+1)^2.4 * 1.004^A310</f>
        <v>3235071.59022601</v>
      </c>
      <c r="E310" s="6" t="n">
        <f aca="false">$I$2*(A310+1)^1.9*1.003^A310</f>
        <v>58.4883803860496</v>
      </c>
      <c r="F310" s="6" t="n">
        <f aca="false">(A310+1)^1.12</f>
        <v>614.827800938397</v>
      </c>
      <c r="G310" s="6" t="n">
        <f aca="false">G309+E310</f>
        <v>5023.06066795281</v>
      </c>
    </row>
    <row r="311" customFormat="false" ht="15" hidden="false" customHeight="true" outlineLevel="0" collapsed="false">
      <c r="A311" s="6" t="n">
        <v>309</v>
      </c>
      <c r="B311" s="6" t="n">
        <f aca="false">MIN(42, FLOOR(A311/32,1)+1)</f>
        <v>10</v>
      </c>
      <c r="C311" s="6" t="str">
        <f aca="false">INDEX(Grades_Realms!$B$2:$B$43, B311)</f>
        <v>Foundation · Initial</v>
      </c>
      <c r="D311" s="6" t="n">
        <f aca="false">(A311+1)^2.4 * 1.004^A311</f>
        <v>3273296.32711669</v>
      </c>
      <c r="E311" s="6" t="n">
        <f aca="false">$I$2*(A311+1)^1.9*1.003^A311</f>
        <v>59.0250869877184</v>
      </c>
      <c r="F311" s="6" t="n">
        <f aca="false">(A311+1)^1.12</f>
        <v>617.056735308742</v>
      </c>
      <c r="G311" s="6" t="n">
        <f aca="false">G310+E311</f>
        <v>5082.08575494053</v>
      </c>
    </row>
    <row r="312" customFormat="false" ht="15" hidden="false" customHeight="true" outlineLevel="0" collapsed="false">
      <c r="A312" s="6" t="n">
        <v>310</v>
      </c>
      <c r="B312" s="6" t="n">
        <f aca="false">MIN(42, FLOOR(A312/32,1)+1)</f>
        <v>10</v>
      </c>
      <c r="C312" s="6" t="str">
        <f aca="false">INDEX(Grades_Realms!$B$2:$B$43, B312)</f>
        <v>Foundation · Initial</v>
      </c>
      <c r="D312" s="6" t="n">
        <f aca="false">(A312+1)^2.4 * 1.004^A312</f>
        <v>3311890.00467447</v>
      </c>
      <c r="E312" s="6" t="n">
        <f aca="false">$I$2*(A312+1)^1.9*1.003^A312</f>
        <v>59.5655408748547</v>
      </c>
      <c r="F312" s="6" t="n">
        <f aca="false">(A312+1)^1.12</f>
        <v>619.286532660816</v>
      </c>
      <c r="G312" s="6" t="n">
        <f aca="false">G311+E312</f>
        <v>5141.65129581539</v>
      </c>
    </row>
    <row r="313" customFormat="false" ht="15" hidden="false" customHeight="true" outlineLevel="0" collapsed="false">
      <c r="A313" s="6" t="n">
        <v>311</v>
      </c>
      <c r="B313" s="6" t="n">
        <f aca="false">MIN(42, FLOOR(A313/32,1)+1)</f>
        <v>10</v>
      </c>
      <c r="C313" s="6" t="str">
        <f aca="false">INDEX(Grades_Realms!$B$2:$B$43, B313)</f>
        <v>Foundation · Initial</v>
      </c>
      <c r="D313" s="6" t="n">
        <f aca="false">(A313+1)^2.4 * 1.004^A313</f>
        <v>3350855.57115708</v>
      </c>
      <c r="E313" s="6" t="n">
        <f aca="false">$I$2*(A313+1)^1.9*1.003^A313</f>
        <v>60.1097625208992</v>
      </c>
      <c r="F313" s="6" t="n">
        <f aca="false">(A313+1)^1.12</f>
        <v>621.517190552263</v>
      </c>
      <c r="G313" s="6" t="n">
        <f aca="false">G312+E313</f>
        <v>5201.76105833629</v>
      </c>
    </row>
    <row r="314" customFormat="false" ht="15" hidden="false" customHeight="true" outlineLevel="0" collapsed="false">
      <c r="A314" s="6" t="n">
        <v>312</v>
      </c>
      <c r="B314" s="6" t="n">
        <f aca="false">MIN(42, FLOOR(A314/32,1)+1)</f>
        <v>10</v>
      </c>
      <c r="C314" s="6" t="str">
        <f aca="false">INDEX(Grades_Realms!$B$2:$B$43, B314)</f>
        <v>Foundation · Initial</v>
      </c>
      <c r="D314" s="6" t="n">
        <f aca="false">(A314+1)^2.4 * 1.004^A314</f>
        <v>3390195.99524566</v>
      </c>
      <c r="E314" s="6" t="n">
        <f aca="false">$I$2*(A314+1)^1.9*1.003^A314</f>
        <v>60.6577724970521</v>
      </c>
      <c r="F314" s="6" t="n">
        <f aca="false">(A314+1)^1.12</f>
        <v>623.748706555444</v>
      </c>
      <c r="G314" s="6" t="n">
        <f aca="false">G313+E314</f>
        <v>5262.41883083334</v>
      </c>
    </row>
    <row r="315" customFormat="false" ht="15" hidden="false" customHeight="true" outlineLevel="0" collapsed="false">
      <c r="A315" s="6" t="n">
        <v>313</v>
      </c>
      <c r="B315" s="6" t="n">
        <f aca="false">MIN(42, FLOOR(A315/32,1)+1)</f>
        <v>10</v>
      </c>
      <c r="C315" s="6" t="str">
        <f aca="false">INDEX(Grades_Realms!$B$2:$B$43, B315)</f>
        <v>Foundation · Initial</v>
      </c>
      <c r="D315" s="6" t="n">
        <f aca="false">(A315+1)^2.4 * 1.004^A315</f>
        <v>3429914.26617347</v>
      </c>
      <c r="E315" s="6" t="n">
        <f aca="false">$I$2*(A315+1)^1.9*1.003^A315</f>
        <v>61.2095914726976</v>
      </c>
      <c r="F315" s="6" t="n">
        <f aca="false">(A315+1)^1.12</f>
        <v>625.981078257307</v>
      </c>
      <c r="G315" s="6" t="n">
        <f aca="false">G314+E315</f>
        <v>5323.62842230604</v>
      </c>
    </row>
    <row r="316" customFormat="false" ht="15" hidden="false" customHeight="true" outlineLevel="0" collapsed="false">
      <c r="A316" s="6" t="n">
        <v>314</v>
      </c>
      <c r="B316" s="6" t="n">
        <f aca="false">MIN(42, FLOOR(A316/32,1)+1)</f>
        <v>10</v>
      </c>
      <c r="C316" s="6" t="str">
        <f aca="false">INDEX(Grades_Realms!$B$2:$B$43, B316)</f>
        <v>Foundation · Initial</v>
      </c>
      <c r="D316" s="6" t="n">
        <f aca="false">(A316+1)^2.4 * 1.004^A316</f>
        <v>3470013.39385539</v>
      </c>
      <c r="E316" s="6" t="n">
        <f aca="false">$I$2*(A316+1)^1.9*1.003^A316</f>
        <v>61.7652402158294</v>
      </c>
      <c r="F316" s="6" t="n">
        <f aca="false">(A316+1)^1.12</f>
        <v>628.214303259249</v>
      </c>
      <c r="G316" s="6" t="n">
        <f aca="false">G315+E316</f>
        <v>5385.39366252186</v>
      </c>
    </row>
    <row r="317" customFormat="false" ht="15" hidden="false" customHeight="true" outlineLevel="0" collapsed="false">
      <c r="A317" s="6" t="n">
        <v>315</v>
      </c>
      <c r="B317" s="6" t="n">
        <f aca="false">MIN(42, FLOOR(A317/32,1)+1)</f>
        <v>10</v>
      </c>
      <c r="C317" s="6" t="str">
        <f aca="false">INDEX(Grades_Realms!$B$2:$B$43, B317)</f>
        <v>Foundation · Initial</v>
      </c>
      <c r="D317" s="6" t="n">
        <f aca="false">(A317+1)^2.4 * 1.004^A317</f>
        <v>3510496.40901817</v>
      </c>
      <c r="E317" s="6" t="n">
        <f aca="false">$I$2*(A317+1)^1.9*1.003^A317</f>
        <v>62.3247395934791</v>
      </c>
      <c r="F317" s="6" t="n">
        <f aca="false">(A317+1)^1.12</f>
        <v>630.448379176985</v>
      </c>
      <c r="G317" s="6" t="n">
        <f aca="false">G316+E317</f>
        <v>5447.71840211534</v>
      </c>
    </row>
    <row r="318" customFormat="false" ht="15" hidden="false" customHeight="true" outlineLevel="0" collapsed="false">
      <c r="A318" s="6" t="n">
        <v>316</v>
      </c>
      <c r="B318" s="6" t="n">
        <f aca="false">MIN(42, FLOOR(A318/32,1)+1)</f>
        <v>10</v>
      </c>
      <c r="C318" s="6" t="str">
        <f aca="false">INDEX(Grades_Realms!$B$2:$B$43, B318)</f>
        <v>Foundation · Initial</v>
      </c>
      <c r="D318" s="6" t="n">
        <f aca="false">(A318+1)^2.4 * 1.004^A318</f>
        <v>3551366.36333145</v>
      </c>
      <c r="E318" s="6" t="n">
        <f aca="false">$I$2*(A318+1)^1.9*1.003^A318</f>
        <v>62.8881105721455</v>
      </c>
      <c r="F318" s="6" t="n">
        <f aca="false">(A318+1)^1.12</f>
        <v>632.683303640418</v>
      </c>
      <c r="G318" s="6" t="n">
        <f aca="false">G317+E318</f>
        <v>5510.60651268749</v>
      </c>
    </row>
    <row r="319" customFormat="false" ht="15" hidden="false" customHeight="true" outlineLevel="0" collapsed="false">
      <c r="A319" s="6" t="n">
        <v>317</v>
      </c>
      <c r="B319" s="6" t="n">
        <f aca="false">MIN(42, FLOOR(A319/32,1)+1)</f>
        <v>10</v>
      </c>
      <c r="C319" s="6" t="str">
        <f aca="false">INDEX(Grades_Realms!$B$2:$B$43, B319)</f>
        <v>Foundation · Initial</v>
      </c>
      <c r="D319" s="6" t="n">
        <f aca="false">(A319+1)^2.4 * 1.004^A319</f>
        <v>3592626.3295395</v>
      </c>
      <c r="E319" s="6" t="n">
        <f aca="false">$I$2*(A319+1)^1.9*1.003^A319</f>
        <v>63.4553742182258</v>
      </c>
      <c r="F319" s="6" t="n">
        <f aca="false">(A319+1)^1.12</f>
        <v>634.91907429351</v>
      </c>
      <c r="G319" s="6" t="n">
        <f aca="false">G318+E319</f>
        <v>5574.06188690572</v>
      </c>
    </row>
    <row r="320" customFormat="false" ht="15" hidden="false" customHeight="true" outlineLevel="0" collapsed="false">
      <c r="A320" s="6" t="n">
        <v>318</v>
      </c>
      <c r="B320" s="6" t="n">
        <f aca="false">MIN(42, FLOOR(A320/32,1)+1)</f>
        <v>10</v>
      </c>
      <c r="C320" s="6" t="str">
        <f aca="false">INDEX(Grades_Realms!$B$2:$B$43, B320)</f>
        <v>Foundation · Initial</v>
      </c>
      <c r="D320" s="6" t="n">
        <f aca="false">(A320+1)^2.4 * 1.004^A320</f>
        <v>3634279.40159381</v>
      </c>
      <c r="E320" s="6" t="n">
        <f aca="false">$I$2*(A320+1)^1.9*1.003^A320</f>
        <v>64.0265516984491</v>
      </c>
      <c r="F320" s="6" t="n">
        <f aca="false">(A320+1)^1.12</f>
        <v>637.155688794156</v>
      </c>
      <c r="G320" s="6" t="n">
        <f aca="false">G319+E320</f>
        <v>5638.08843860416</v>
      </c>
    </row>
    <row r="321" customFormat="false" ht="15" hidden="false" customHeight="true" outlineLevel="0" collapsed="false">
      <c r="A321" s="6" t="n">
        <v>319</v>
      </c>
      <c r="B321" s="6" t="n">
        <f aca="false">MIN(42, FLOOR(A321/32,1)+1)</f>
        <v>10</v>
      </c>
      <c r="C321" s="6" t="str">
        <f aca="false">INDEX(Grades_Realms!$B$2:$B$43, B321)</f>
        <v>Foundation · Initial</v>
      </c>
      <c r="D321" s="6" t="n">
        <f aca="false">(A321+1)^2.4 * 1.004^A321</f>
        <v>3676328.69478638</v>
      </c>
      <c r="E321" s="6" t="n">
        <f aca="false">$I$2*(A321+1)^1.9*1.003^A321</f>
        <v>64.6016642803114</v>
      </c>
      <c r="F321" s="6" t="n">
        <f aca="false">(A321+1)^1.12</f>
        <v>639.393144814053</v>
      </c>
      <c r="G321" s="6" t="n">
        <f aca="false">G320+E321</f>
        <v>5702.69010288448</v>
      </c>
    </row>
    <row r="322" customFormat="false" ht="15" hidden="false" customHeight="true" outlineLevel="0" collapsed="false">
      <c r="A322" s="6" t="n">
        <v>320</v>
      </c>
      <c r="B322" s="6" t="n">
        <f aca="false">MIN(42, FLOOR(A322/32,1)+1)</f>
        <v>11</v>
      </c>
      <c r="C322" s="6" t="str">
        <f aca="false">INDEX(Grades_Realms!$B$2:$B$43, B322)</f>
        <v>Foundation · Advanced</v>
      </c>
      <c r="D322" s="6" t="n">
        <f aca="false">(A322+1)^2.4 * 1.004^A322</f>
        <v>3718777.34588385</v>
      </c>
      <c r="E322" s="6" t="n">
        <f aca="false">$I$2*(A322+1)^1.9*1.003^A322</f>
        <v>65.1807333325118</v>
      </c>
      <c r="F322" s="6" t="n">
        <f aca="false">(A322+1)^1.12</f>
        <v>641.631440038582</v>
      </c>
      <c r="G322" s="6" t="n">
        <f aca="false">G321+E322</f>
        <v>5767.87083621699</v>
      </c>
    </row>
    <row r="323" customFormat="false" ht="15" hidden="false" customHeight="true" outlineLevel="0" collapsed="false">
      <c r="A323" s="6" t="n">
        <v>321</v>
      </c>
      <c r="B323" s="6" t="n">
        <f aca="false">MIN(42, FLOOR(A323/32,1)+1)</f>
        <v>11</v>
      </c>
      <c r="C323" s="6" t="str">
        <f aca="false">INDEX(Grades_Realms!$B$2:$B$43, B323)</f>
        <v>Foundation · Advanced</v>
      </c>
      <c r="D323" s="6" t="n">
        <f aca="false">(A323+1)^2.4 * 1.004^A323</f>
        <v>3761628.51326237</v>
      </c>
      <c r="E323" s="6" t="n">
        <f aca="false">$I$2*(A323+1)^1.9*1.003^A323</f>
        <v>65.7637803253917</v>
      </c>
      <c r="F323" s="6" t="n">
        <f aca="false">(A323+1)^1.12</f>
        <v>643.870572166683</v>
      </c>
      <c r="G323" s="6" t="n">
        <f aca="false">G322+E323</f>
        <v>5833.63461654238</v>
      </c>
    </row>
    <row r="324" customFormat="false" ht="15" hidden="false" customHeight="true" outlineLevel="0" collapsed="false">
      <c r="A324" s="6" t="n">
        <v>322</v>
      </c>
      <c r="B324" s="6" t="n">
        <f aca="false">MIN(42, FLOOR(A324/32,1)+1)</f>
        <v>11</v>
      </c>
      <c r="C324" s="6" t="str">
        <f aca="false">INDEX(Grades_Realms!$B$2:$B$43, B324)</f>
        <v>Foundation · Advanced</v>
      </c>
      <c r="D324" s="6" t="n">
        <f aca="false">(A324+1)^2.4 * 1.004^A324</f>
        <v>3804885.37704329</v>
      </c>
      <c r="E324" s="6" t="n">
        <f aca="false">$I$2*(A324+1)^1.9*1.003^A324</f>
        <v>66.3508268313747</v>
      </c>
      <c r="F324" s="6" t="n">
        <f aca="false">(A324+1)^1.12</f>
        <v>646.110538910732</v>
      </c>
      <c r="G324" s="6" t="n">
        <f aca="false">G323+E324</f>
        <v>5899.98544337375</v>
      </c>
    </row>
    <row r="325" customFormat="false" ht="15" hidden="false" customHeight="true" outlineLevel="0" collapsed="false">
      <c r="A325" s="6" t="n">
        <v>323</v>
      </c>
      <c r="B325" s="6" t="n">
        <f aca="false">MIN(42, FLOOR(A325/32,1)+1)</f>
        <v>11</v>
      </c>
      <c r="C325" s="6" t="str">
        <f aca="false">INDEX(Grades_Realms!$B$2:$B$43, B325)</f>
        <v>Foundation · Advanced</v>
      </c>
      <c r="D325" s="6" t="n">
        <f aca="false">(A325+1)^2.4 * 1.004^A325</f>
        <v>3848551.13922963</v>
      </c>
      <c r="E325" s="6" t="n">
        <f aca="false">$I$2*(A325+1)^1.9*1.003^A325</f>
        <v>66.9418945254091</v>
      </c>
      <c r="F325" s="6" t="n">
        <f aca="false">(A325+1)^1.12</f>
        <v>648.351337996424</v>
      </c>
      <c r="G325" s="6" t="n">
        <f aca="false">G324+E325</f>
        <v>5966.92733789916</v>
      </c>
    </row>
    <row r="326" customFormat="false" ht="15" hidden="false" customHeight="true" outlineLevel="0" collapsed="false">
      <c r="A326" s="6" t="n">
        <v>324</v>
      </c>
      <c r="B326" s="6" t="n">
        <f aca="false">MIN(42, FLOOR(A326/32,1)+1)</f>
        <v>11</v>
      </c>
      <c r="C326" s="6" t="str">
        <f aca="false">INDEX(Grades_Realms!$B$2:$B$43, B326)</f>
        <v>Foundation · Advanced</v>
      </c>
      <c r="D326" s="6" t="n">
        <f aca="false">(A326+1)^2.4 * 1.004^A326</f>
        <v>3892629.02384332</v>
      </c>
      <c r="E326" s="6" t="n">
        <f aca="false">$I$2*(A326+1)^1.9*1.003^A326</f>
        <v>67.537005185412</v>
      </c>
      <c r="F326" s="6" t="n">
        <f aca="false">(A326+1)^1.12</f>
        <v>650.59296716265</v>
      </c>
      <c r="G326" s="6" t="n">
        <f aca="false">G325+E326</f>
        <v>6034.46434308458</v>
      </c>
    </row>
    <row r="327" customFormat="false" ht="15" hidden="false" customHeight="true" outlineLevel="0" collapsed="false">
      <c r="A327" s="6" t="n">
        <v>325</v>
      </c>
      <c r="B327" s="6" t="n">
        <f aca="false">MIN(42, FLOOR(A327/32,1)+1)</f>
        <v>11</v>
      </c>
      <c r="C327" s="6" t="str">
        <f aca="false">INDEX(Grades_Realms!$B$2:$B$43, B327)</f>
        <v>Foundation · Advanced</v>
      </c>
      <c r="D327" s="6" t="n">
        <f aca="false">(A327+1)^2.4 * 1.004^A327</f>
        <v>3937122.27706332</v>
      </c>
      <c r="E327" s="6" t="n">
        <f aca="false">$I$2*(A327+1)^1.9*1.003^A327</f>
        <v>68.1361806927148</v>
      </c>
      <c r="F327" s="6" t="n">
        <f aca="false">(A327+1)^1.12</f>
        <v>652.835424161387</v>
      </c>
      <c r="G327" s="6" t="n">
        <f aca="false">G326+E327</f>
        <v>6102.60052377729</v>
      </c>
    </row>
    <row r="328" customFormat="false" ht="15" hidden="false" customHeight="true" outlineLevel="0" collapsed="false">
      <c r="A328" s="6" t="n">
        <v>326</v>
      </c>
      <c r="B328" s="6" t="n">
        <f aca="false">MIN(42, FLOOR(A328/32,1)+1)</f>
        <v>11</v>
      </c>
      <c r="C328" s="6" t="str">
        <f aca="false">INDEX(Grades_Realms!$B$2:$B$43, B328)</f>
        <v>Foundation · Advanced</v>
      </c>
      <c r="D328" s="6" t="n">
        <f aca="false">(A328+1)^2.4 * 1.004^A328</f>
        <v>3982034.16736445</v>
      </c>
      <c r="E328" s="6" t="n">
        <f aca="false">$I$2*(A328+1)^1.9*1.003^A328</f>
        <v>68.7394430325111</v>
      </c>
      <c r="F328" s="6" t="n">
        <f aca="false">(A328+1)^1.12</f>
        <v>655.078706757576</v>
      </c>
      <c r="G328" s="6" t="n">
        <f aca="false">G327+E328</f>
        <v>6171.3399668098</v>
      </c>
    </row>
    <row r="329" customFormat="false" ht="15" hidden="false" customHeight="true" outlineLevel="0" collapsed="false">
      <c r="A329" s="6" t="n">
        <v>327</v>
      </c>
      <c r="B329" s="6" t="n">
        <f aca="false">MIN(42, FLOOR(A329/32,1)+1)</f>
        <v>11</v>
      </c>
      <c r="C329" s="6" t="str">
        <f aca="false">INDEX(Grades_Realms!$B$2:$B$43, B329)</f>
        <v>Foundation · Advanced</v>
      </c>
      <c r="D329" s="6" t="n">
        <f aca="false">(A329+1)^2.4 * 1.004^A329</f>
        <v>4027367.98565711</v>
      </c>
      <c r="E329" s="6" t="n">
        <f aca="false">$I$2*(A329+1)^1.9*1.003^A329</f>
        <v>69.3468142943065</v>
      </c>
      <c r="F329" s="6" t="n">
        <f aca="false">(A329+1)^1.12</f>
        <v>657.322812729012</v>
      </c>
      <c r="G329" s="6" t="n">
        <f aca="false">G328+E329</f>
        <v>6240.68678110411</v>
      </c>
    </row>
    <row r="330" customFormat="false" ht="15" hidden="false" customHeight="true" outlineLevel="0" collapsed="false">
      <c r="A330" s="6" t="n">
        <v>328</v>
      </c>
      <c r="B330" s="6" t="n">
        <f aca="false">MIN(42, FLOOR(A330/32,1)+1)</f>
        <v>11</v>
      </c>
      <c r="C330" s="6" t="str">
        <f aca="false">INDEX(Grades_Realms!$B$2:$B$43, B330)</f>
        <v>Foundation · Advanced</v>
      </c>
      <c r="D330" s="6" t="n">
        <f aca="false">(A330+1)^2.4 * 1.004^A330</f>
        <v>4073127.04542775</v>
      </c>
      <c r="E330" s="6" t="n">
        <f aca="false">$I$2*(A330+1)^1.9*1.003^A330</f>
        <v>69.9583166723698</v>
      </c>
      <c r="F330" s="6" t="n">
        <f aca="false">(A330+1)^1.12</f>
        <v>659.567739866227</v>
      </c>
      <c r="G330" s="6" t="n">
        <f aca="false">G329+E330</f>
        <v>6310.64509777648</v>
      </c>
    </row>
    <row r="331" customFormat="false" ht="15" hidden="false" customHeight="true" outlineLevel="0" collapsed="false">
      <c r="A331" s="6" t="n">
        <v>329</v>
      </c>
      <c r="B331" s="6" t="n">
        <f aca="false">MIN(42, FLOOR(A331/32,1)+1)</f>
        <v>11</v>
      </c>
      <c r="C331" s="6" t="str">
        <f aca="false">INDEX(Grades_Realms!$B$2:$B$43, B331)</f>
        <v>Foundation · Advanced</v>
      </c>
      <c r="D331" s="6" t="n">
        <f aca="false">(A331+1)^2.4 * 1.004^A331</f>
        <v>4119314.68288023</v>
      </c>
      <c r="E331" s="6" t="n">
        <f aca="false">$I$2*(A331+1)^1.9*1.003^A331</f>
        <v>70.573972466186</v>
      </c>
      <c r="F331" s="6" t="n">
        <f aca="false">(A331+1)^1.12</f>
        <v>661.813485972383</v>
      </c>
      <c r="G331" s="6" t="n">
        <f aca="false">G330+E331</f>
        <v>6381.21907024266</v>
      </c>
    </row>
    <row r="332" customFormat="false" ht="15" hidden="false" customHeight="true" outlineLevel="0" collapsed="false">
      <c r="A332" s="6" t="n">
        <v>330</v>
      </c>
      <c r="B332" s="6" t="n">
        <f aca="false">MIN(42, FLOOR(A332/32,1)+1)</f>
        <v>11</v>
      </c>
      <c r="C332" s="6" t="str">
        <f aca="false">INDEX(Grades_Realms!$B$2:$B$43, B332)</f>
        <v>Foundation · Advanced</v>
      </c>
      <c r="D332" s="6" t="n">
        <f aca="false">(A332+1)^2.4 * 1.004^A332</f>
        <v>4165934.25707795</v>
      </c>
      <c r="E332" s="6" t="n">
        <f aca="false">$I$2*(A332+1)^1.9*1.003^A332</f>
        <v>71.1938040809122</v>
      </c>
      <c r="F332" s="6" t="n">
        <f aca="false">(A332+1)^1.12</f>
        <v>664.060048863159</v>
      </c>
      <c r="G332" s="6" t="n">
        <f aca="false">G331+E332</f>
        <v>6452.41287432358</v>
      </c>
    </row>
    <row r="333" customFormat="false" ht="15" hidden="false" customHeight="true" outlineLevel="0" collapsed="false">
      <c r="A333" s="6" t="n">
        <v>331</v>
      </c>
      <c r="B333" s="6" t="n">
        <f aca="false">MIN(42, FLOOR(A333/32,1)+1)</f>
        <v>11</v>
      </c>
      <c r="C333" s="6" t="str">
        <f aca="false">INDEX(Grades_Realms!$B$2:$B$43, B333)</f>
        <v>Foundation · Advanced</v>
      </c>
      <c r="D333" s="6" t="n">
        <f aca="false">(A333+1)^2.4 * 1.004^A333</f>
        <v>4212989.15008682</v>
      </c>
      <c r="E333" s="6" t="n">
        <f aca="false">$I$2*(A333+1)^1.9*1.003^A333</f>
        <v>71.817834027834</v>
      </c>
      <c r="F333" s="6" t="n">
        <f aca="false">(A333+1)^1.12</f>
        <v>666.307426366643</v>
      </c>
      <c r="G333" s="6" t="n">
        <f aca="false">G332+E333</f>
        <v>6524.23070835141</v>
      </c>
    </row>
    <row r="334" customFormat="false" ht="15" hidden="false" customHeight="true" outlineLevel="0" collapsed="false">
      <c r="A334" s="6" t="n">
        <v>332</v>
      </c>
      <c r="B334" s="6" t="n">
        <f aca="false">MIN(42, FLOOR(A334/32,1)+1)</f>
        <v>11</v>
      </c>
      <c r="C334" s="6" t="str">
        <f aca="false">INDEX(Grades_Realms!$B$2:$B$43, B334)</f>
        <v>Foundation · Advanced</v>
      </c>
      <c r="D334" s="6" t="n">
        <f aca="false">(A334+1)^2.4 * 1.004^A334</f>
        <v>4260482.76711909</v>
      </c>
      <c r="E334" s="6" t="n">
        <f aca="false">$I$2*(A334+1)^1.9*1.003^A334</f>
        <v>72.4460849248247</v>
      </c>
      <c r="F334" s="6" t="n">
        <f aca="false">(A334+1)^1.12</f>
        <v>668.555616323224</v>
      </c>
      <c r="G334" s="6" t="n">
        <f aca="false">G333+E334</f>
        <v>6596.67679327623</v>
      </c>
    </row>
    <row r="335" customFormat="false" ht="15" hidden="false" customHeight="true" outlineLevel="0" collapsed="false">
      <c r="A335" s="6" t="n">
        <v>333</v>
      </c>
      <c r="B335" s="6" t="n">
        <f aca="false">MIN(42, FLOOR(A335/32,1)+1)</f>
        <v>11</v>
      </c>
      <c r="C335" s="6" t="str">
        <f aca="false">INDEX(Grades_Realms!$B$2:$B$43, B335)</f>
        <v>Foundation · Advanced</v>
      </c>
      <c r="D335" s="6" t="n">
        <f aca="false">(A335+1)^2.4 * 1.004^A335</f>
        <v>4308418.53667798</v>
      </c>
      <c r="E335" s="6" t="n">
        <f aca="false">$I$2*(A335+1)^1.9*1.003^A335</f>
        <v>73.0785794968059</v>
      </c>
      <c r="F335" s="6" t="n">
        <f aca="false">(A335+1)^1.12</f>
        <v>670.804616585484</v>
      </c>
      <c r="G335" s="6" t="n">
        <f aca="false">G334+E335</f>
        <v>6669.75537277304</v>
      </c>
    </row>
    <row r="336" customFormat="false" ht="15" hidden="false" customHeight="true" outlineLevel="0" collapsed="false">
      <c r="A336" s="6" t="n">
        <v>334</v>
      </c>
      <c r="B336" s="6" t="n">
        <f aca="false">MIN(42, FLOOR(A336/32,1)+1)</f>
        <v>11</v>
      </c>
      <c r="C336" s="6" t="str">
        <f aca="false">INDEX(Grades_Realms!$B$2:$B$43, B336)</f>
        <v>Foundation · Advanced</v>
      </c>
      <c r="D336" s="6" t="n">
        <f aca="false">(A336+1)^2.4 * 1.004^A336</f>
        <v>4356799.91070319</v>
      </c>
      <c r="E336" s="6" t="n">
        <f aca="false">$I$2*(A336+1)^1.9*1.003^A336</f>
        <v>73.7153405762106</v>
      </c>
      <c r="F336" s="6" t="n">
        <f aca="false">(A336+1)^1.12</f>
        <v>673.054425018098</v>
      </c>
      <c r="G336" s="6" t="n">
        <f aca="false">G335+E336</f>
        <v>6743.47071334925</v>
      </c>
    </row>
    <row r="337" customFormat="false" ht="15" hidden="false" customHeight="true" outlineLevel="0" collapsed="false">
      <c r="A337" s="6" t="n">
        <v>335</v>
      </c>
      <c r="B337" s="6" t="n">
        <f aca="false">MIN(42, FLOOR(A337/32,1)+1)</f>
        <v>11</v>
      </c>
      <c r="C337" s="6" t="str">
        <f aca="false">INDEX(Grades_Realms!$B$2:$B$43, B337)</f>
        <v>Foundation · Advanced</v>
      </c>
      <c r="D337" s="6" t="n">
        <f aca="false">(A337+1)^2.4 * 1.004^A337</f>
        <v>4405630.36471724</v>
      </c>
      <c r="E337" s="6" t="n">
        <f aca="false">$I$2*(A337+1)^1.9*1.003^A337</f>
        <v>74.3563911034475</v>
      </c>
      <c r="F337" s="6" t="n">
        <f aca="false">(A337+1)^1.12</f>
        <v>675.305039497723</v>
      </c>
      <c r="G337" s="6" t="n">
        <f aca="false">G336+E337</f>
        <v>6817.8271044527</v>
      </c>
    </row>
    <row r="338" customFormat="false" ht="15" hidden="false" customHeight="true" outlineLevel="0" collapsed="false">
      <c r="A338" s="6" t="n">
        <v>336</v>
      </c>
      <c r="B338" s="6" t="n">
        <f aca="false">MIN(42, FLOOR(A338/32,1)+1)</f>
        <v>11</v>
      </c>
      <c r="C338" s="6" t="str">
        <f aca="false">INDEX(Grades_Realms!$B$2:$B$43, B338)</f>
        <v>Foundation · Advanced</v>
      </c>
      <c r="D338" s="6" t="n">
        <f aca="false">(A338+1)^2.4 * 1.004^A338</f>
        <v>4454913.39797264</v>
      </c>
      <c r="E338" s="6" t="n">
        <f aca="false">$I$2*(A338+1)^1.9*1.003^A338</f>
        <v>75.0017541273677</v>
      </c>
      <c r="F338" s="6" t="n">
        <f aca="false">(A338+1)^1.12</f>
        <v>677.5564579129</v>
      </c>
      <c r="G338" s="6" t="n">
        <f aca="false">G337+E338</f>
        <v>6892.82885858007</v>
      </c>
    </row>
    <row r="339" customFormat="false" ht="15" hidden="false" customHeight="true" outlineLevel="0" collapsed="false">
      <c r="A339" s="6" t="n">
        <v>337</v>
      </c>
      <c r="B339" s="6" t="n">
        <f aca="false">MIN(42, FLOOR(A339/32,1)+1)</f>
        <v>11</v>
      </c>
      <c r="C339" s="6" t="str">
        <f aca="false">INDEX(Grades_Realms!$B$2:$B$43, B339)</f>
        <v>Foundation · Advanced</v>
      </c>
      <c r="D339" s="6" t="n">
        <f aca="false">(A339+1)^2.4 * 1.004^A339</f>
        <v>4504652.53359998</v>
      </c>
      <c r="E339" s="6" t="n">
        <f aca="false">$I$2*(A339+1)^1.9*1.003^A339</f>
        <v>75.6514528057332</v>
      </c>
      <c r="F339" s="6" t="n">
        <f aca="false">(A339+1)^1.12</f>
        <v>679.808678163952</v>
      </c>
      <c r="G339" s="6" t="n">
        <f aca="false">G338+E339</f>
        <v>6968.4803113858</v>
      </c>
    </row>
    <row r="340" customFormat="false" ht="15" hidden="false" customHeight="true" outlineLevel="0" collapsed="false">
      <c r="A340" s="6" t="n">
        <v>338</v>
      </c>
      <c r="B340" s="6" t="n">
        <f aca="false">MIN(42, FLOOR(A340/32,1)+1)</f>
        <v>11</v>
      </c>
      <c r="C340" s="6" t="str">
        <f aca="false">INDEX(Grades_Realms!$B$2:$B$43, B340)</f>
        <v>Foundation · Advanced</v>
      </c>
      <c r="D340" s="6" t="n">
        <f aca="false">(A340+1)^2.4 * 1.004^A340</f>
        <v>4554851.31875681</v>
      </c>
      <c r="E340" s="6" t="n">
        <f aca="false">$I$2*(A340+1)^1.9*1.003^A340</f>
        <v>76.305510405687</v>
      </c>
      <c r="F340" s="6" t="n">
        <f aca="false">(A340+1)^1.12</f>
        <v>682.061698162883</v>
      </c>
      <c r="G340" s="6" t="n">
        <f aca="false">G339+E340</f>
        <v>7044.78582179148</v>
      </c>
    </row>
    <row r="341" customFormat="false" ht="15" hidden="false" customHeight="true" outlineLevel="0" collapsed="false">
      <c r="A341" s="6" t="n">
        <v>339</v>
      </c>
      <c r="B341" s="6" t="n">
        <f aca="false">MIN(42, FLOOR(A341/32,1)+1)</f>
        <v>11</v>
      </c>
      <c r="C341" s="6" t="str">
        <f aca="false">INDEX(Grades_Realms!$B$2:$B$43, B341)</f>
        <v>Foundation · Advanced</v>
      </c>
      <c r="D341" s="6" t="n">
        <f aca="false">(A341+1)^2.4 * 1.004^A341</f>
        <v>4605513.32477745</v>
      </c>
      <c r="E341" s="6" t="n">
        <f aca="false">$I$2*(A341+1)^1.9*1.003^A341</f>
        <v>76.9639503042259</v>
      </c>
      <c r="F341" s="6" t="n">
        <f aca="false">(A341+1)^1.12</f>
        <v>684.315515833277</v>
      </c>
      <c r="G341" s="6" t="n">
        <f aca="false">G340+E341</f>
        <v>7121.74977209571</v>
      </c>
    </row>
    <row r="342" customFormat="false" ht="15" hidden="false" customHeight="true" outlineLevel="0" collapsed="false">
      <c r="A342" s="6" t="n">
        <v>340</v>
      </c>
      <c r="B342" s="6" t="n">
        <f aca="false">MIN(42, FLOOR(A342/32,1)+1)</f>
        <v>11</v>
      </c>
      <c r="C342" s="6" t="str">
        <f aca="false">INDEX(Grades_Realms!$B$2:$B$43, B342)</f>
        <v>Foundation · Advanced</v>
      </c>
      <c r="D342" s="6" t="n">
        <f aca="false">(A342+1)^2.4 * 1.004^A342</f>
        <v>4656642.14732363</v>
      </c>
      <c r="E342" s="6" t="n">
        <f aca="false">$I$2*(A342+1)^1.9*1.003^A342</f>
        <v>77.6267959886744</v>
      </c>
      <c r="F342" s="6" t="n">
        <f aca="false">(A342+1)^1.12</f>
        <v>686.570129110202</v>
      </c>
      <c r="G342" s="6" t="n">
        <f aca="false">G341+E342</f>
        <v>7199.37656808439</v>
      </c>
    </row>
    <row r="343" customFormat="false" ht="15" hidden="false" customHeight="true" outlineLevel="0" collapsed="false">
      <c r="A343" s="6" t="n">
        <v>341</v>
      </c>
      <c r="B343" s="6" t="n">
        <f aca="false">MIN(42, FLOOR(A343/32,1)+1)</f>
        <v>11</v>
      </c>
      <c r="C343" s="6" t="str">
        <f aca="false">INDEX(Grades_Realms!$B$2:$B$43, B343)</f>
        <v>Foundation · Advanced</v>
      </c>
      <c r="D343" s="6" t="n">
        <f aca="false">(A343+1)^2.4 * 1.004^A343</f>
        <v>4708241.40653598</v>
      </c>
      <c r="E343" s="6" t="n">
        <f aca="false">$I$2*(A343+1)^1.9*1.003^A343</f>
        <v>78.2940710571612</v>
      </c>
      <c r="F343" s="6" t="n">
        <f aca="false">(A343+1)^1.12</f>
        <v>688.825535940113</v>
      </c>
      <c r="G343" s="6" t="n">
        <f aca="false">G342+E343</f>
        <v>7277.67063914155</v>
      </c>
    </row>
    <row r="344" customFormat="false" ht="15" hidden="false" customHeight="true" outlineLevel="0" collapsed="false">
      <c r="A344" s="6" t="n">
        <v>342</v>
      </c>
      <c r="B344" s="6" t="n">
        <f aca="false">MIN(42, FLOOR(A344/32,1)+1)</f>
        <v>11</v>
      </c>
      <c r="C344" s="6" t="str">
        <f aca="false">INDEX(Grades_Realms!$B$2:$B$43, B344)</f>
        <v>Foundation · Advanced</v>
      </c>
      <c r="D344" s="6" t="n">
        <f aca="false">(A344+1)^2.4 * 1.004^A344</f>
        <v>4760314.74718653</v>
      </c>
      <c r="E344" s="6" t="n">
        <f aca="false">$I$2*(A344+1)^1.9*1.003^A344</f>
        <v>78.9657992190971</v>
      </c>
      <c r="F344" s="6" t="n">
        <f aca="false">(A344+1)^1.12</f>
        <v>691.081734280755</v>
      </c>
      <c r="G344" s="6" t="n">
        <f aca="false">G343+E344</f>
        <v>7356.63643836064</v>
      </c>
    </row>
    <row r="345" customFormat="false" ht="15" hidden="false" customHeight="true" outlineLevel="0" collapsed="false">
      <c r="A345" s="6" t="n">
        <v>343</v>
      </c>
      <c r="B345" s="6" t="n">
        <f aca="false">MIN(42, FLOOR(A345/32,1)+1)</f>
        <v>11</v>
      </c>
      <c r="C345" s="6" t="str">
        <f aca="false">INDEX(Grades_Realms!$B$2:$B$43, B345)</f>
        <v>Foundation · Advanced</v>
      </c>
      <c r="D345" s="6" t="n">
        <f aca="false">(A345+1)^2.4 * 1.004^A345</f>
        <v>4812865.83883193</v>
      </c>
      <c r="E345" s="6" t="n">
        <f aca="false">$I$2*(A345+1)^1.9*1.003^A345</f>
        <v>79.6420042956555</v>
      </c>
      <c r="F345" s="6" t="n">
        <f aca="false">(A345+1)^1.12</f>
        <v>693.338722101069</v>
      </c>
      <c r="G345" s="6" t="n">
        <f aca="false">G344+E345</f>
        <v>7436.2784426563</v>
      </c>
    </row>
    <row r="346" customFormat="false" ht="15" hidden="false" customHeight="true" outlineLevel="0" collapsed="false">
      <c r="A346" s="6" t="n">
        <v>344</v>
      </c>
      <c r="B346" s="6" t="n">
        <f aca="false">MIN(42, FLOOR(A346/32,1)+1)</f>
        <v>11</v>
      </c>
      <c r="C346" s="6" t="str">
        <f aca="false">INDEX(Grades_Realms!$B$2:$B$43, B346)</f>
        <v>Foundation · Advanced</v>
      </c>
      <c r="D346" s="6" t="n">
        <f aca="false">(A346+1)^2.4 * 1.004^A346</f>
        <v>4865898.37596766</v>
      </c>
      <c r="E346" s="6" t="n">
        <f aca="false">$I$2*(A346+1)^1.9*1.003^A346</f>
        <v>80.3227102202542</v>
      </c>
      <c r="F346" s="6" t="n">
        <f aca="false">(A346+1)^1.12</f>
        <v>695.596497381098</v>
      </c>
      <c r="G346" s="6" t="n">
        <f aca="false">G345+E346</f>
        <v>7516.60115287655</v>
      </c>
    </row>
    <row r="347" customFormat="false" ht="15" hidden="false" customHeight="true" outlineLevel="0" collapsed="false">
      <c r="A347" s="6" t="n">
        <v>345</v>
      </c>
      <c r="B347" s="6" t="n">
        <f aca="false">MIN(42, FLOOR(A347/32,1)+1)</f>
        <v>11</v>
      </c>
      <c r="C347" s="6" t="str">
        <f aca="false">INDEX(Grades_Realms!$B$2:$B$43, B347)</f>
        <v>Foundation · Advanced</v>
      </c>
      <c r="D347" s="6" t="n">
        <f aca="false">(A347+1)^2.4 * 1.004^A347</f>
        <v>4919416.07818314</v>
      </c>
      <c r="E347" s="6" t="n">
        <f aca="false">$I$2*(A347+1)^1.9*1.003^A347</f>
        <v>81.0079410390397</v>
      </c>
      <c r="F347" s="6" t="n">
        <f aca="false">(A347+1)^1.12</f>
        <v>697.855058111893</v>
      </c>
      <c r="G347" s="6" t="n">
        <f aca="false">G346+E347</f>
        <v>7597.60909391559</v>
      </c>
    </row>
    <row r="348" customFormat="false" ht="15" hidden="false" customHeight="true" outlineLevel="0" collapsed="false">
      <c r="A348" s="6" t="n">
        <v>346</v>
      </c>
      <c r="B348" s="6" t="n">
        <f aca="false">MIN(42, FLOOR(A348/32,1)+1)</f>
        <v>11</v>
      </c>
      <c r="C348" s="6" t="str">
        <f aca="false">INDEX(Grades_Realms!$B$2:$B$43, B348)</f>
        <v>Foundation · Advanced</v>
      </c>
      <c r="D348" s="6" t="n">
        <f aca="false">(A348+1)^2.4 * 1.004^A348</f>
        <v>4973422.69031767</v>
      </c>
      <c r="E348" s="6" t="n">
        <f aca="false">$I$2*(A348+1)^1.9*1.003^A348</f>
        <v>81.6977209113734</v>
      </c>
      <c r="F348" s="6" t="n">
        <f aca="false">(A348+1)^1.12</f>
        <v>700.114402295426</v>
      </c>
      <c r="G348" s="6" t="n">
        <f aca="false">G347+E348</f>
        <v>7679.30681482697</v>
      </c>
    </row>
    <row r="349" customFormat="false" ht="15" hidden="false" customHeight="true" outlineLevel="0" collapsed="false">
      <c r="A349" s="6" t="n">
        <v>347</v>
      </c>
      <c r="B349" s="6" t="n">
        <f aca="false">MIN(42, FLOOR(A349/32,1)+1)</f>
        <v>11</v>
      </c>
      <c r="C349" s="6" t="str">
        <f aca="false">INDEX(Grades_Realms!$B$2:$B$43, B349)</f>
        <v>Foundation · Advanced</v>
      </c>
      <c r="D349" s="6" t="n">
        <f aca="false">(A349+1)^2.4 * 1.004^A349</f>
        <v>5027921.98261738</v>
      </c>
      <c r="E349" s="6" t="n">
        <f aca="false">$I$2*(A349+1)^1.9*1.003^A349</f>
        <v>82.3920741103195</v>
      </c>
      <c r="F349" s="6" t="n">
        <f aca="false">(A349+1)^1.12</f>
        <v>702.374527944492</v>
      </c>
      <c r="G349" s="6" t="n">
        <f aca="false">G348+E349</f>
        <v>7761.69888893729</v>
      </c>
    </row>
    <row r="350" customFormat="false" ht="15" hidden="false" customHeight="true" outlineLevel="0" collapsed="false">
      <c r="A350" s="6" t="n">
        <v>348</v>
      </c>
      <c r="B350" s="6" t="n">
        <f aca="false">MIN(42, FLOOR(A350/32,1)+1)</f>
        <v>11</v>
      </c>
      <c r="C350" s="6" t="str">
        <f aca="false">INDEX(Grades_Realms!$B$2:$B$43, B350)</f>
        <v>Foundation · Advanced</v>
      </c>
      <c r="D350" s="6" t="n">
        <f aca="false">(A350+1)^2.4 * 1.004^A350</f>
        <v>5082917.75089299</v>
      </c>
      <c r="E350" s="6" t="n">
        <f aca="false">$I$2*(A350+1)^1.9*1.003^A350</f>
        <v>83.0910250231351</v>
      </c>
      <c r="F350" s="6" t="n">
        <f aca="false">(A350+1)^1.12</f>
        <v>704.635433082625</v>
      </c>
      <c r="G350" s="6" t="n">
        <f aca="false">G349+E350</f>
        <v>7844.78991396042</v>
      </c>
    </row>
    <row r="351" customFormat="false" ht="15" hidden="false" customHeight="true" outlineLevel="0" collapsed="false">
      <c r="A351" s="6" t="n">
        <v>349</v>
      </c>
      <c r="B351" s="6" t="n">
        <f aca="false">MIN(42, FLOOR(A351/32,1)+1)</f>
        <v>11</v>
      </c>
      <c r="C351" s="6" t="str">
        <f aca="false">INDEX(Grades_Realms!$B$2:$B$43, B351)</f>
        <v>Foundation · Advanced</v>
      </c>
      <c r="D351" s="6" t="n">
        <f aca="false">(A351+1)^2.4 * 1.004^A351</f>
        <v>5138413.81667854</v>
      </c>
      <c r="E351" s="6" t="n">
        <f aca="false">$I$2*(A351+1)^1.9*1.003^A351</f>
        <v>83.7945981517625</v>
      </c>
      <c r="F351" s="6" t="n">
        <f aca="false">(A351+1)^1.12</f>
        <v>706.897115744008</v>
      </c>
      <c r="G351" s="6" t="n">
        <f aca="false">G350+E351</f>
        <v>7928.58451211218</v>
      </c>
    </row>
    <row r="352" customFormat="false" ht="15" hidden="false" customHeight="true" outlineLevel="0" collapsed="false">
      <c r="A352" s="6" t="n">
        <v>350</v>
      </c>
      <c r="B352" s="6" t="n">
        <f aca="false">MIN(42, FLOOR(A352/32,1)+1)</f>
        <v>11</v>
      </c>
      <c r="C352" s="6" t="str">
        <f aca="false">INDEX(Grades_Realms!$B$2:$B$43, B352)</f>
        <v>Foundation · Advanced</v>
      </c>
      <c r="D352" s="6" t="n">
        <f aca="false">(A352+1)^2.4 * 1.004^A352</f>
        <v>5194414.02739107</v>
      </c>
      <c r="E352" s="6" t="n">
        <f aca="false">$I$2*(A352+1)^1.9*1.003^A352</f>
        <v>84.5028181133233</v>
      </c>
      <c r="F352" s="6" t="n">
        <f aca="false">(A352+1)^1.12</f>
        <v>709.159573973386</v>
      </c>
      <c r="G352" s="6" t="n">
        <f aca="false">G351+E352</f>
        <v>8013.08733022551</v>
      </c>
    </row>
    <row r="353" customFormat="false" ht="15" hidden="false" customHeight="true" outlineLevel="0" collapsed="false">
      <c r="A353" s="6" t="n">
        <v>351</v>
      </c>
      <c r="B353" s="6" t="n">
        <f aca="false">MIN(42, FLOOR(A353/32,1)+1)</f>
        <v>11</v>
      </c>
      <c r="C353" s="6" t="str">
        <f aca="false">INDEX(Grades_Realms!$B$2:$B$43, B353)</f>
        <v>Foundation · Advanced</v>
      </c>
      <c r="D353" s="6" t="n">
        <f aca="false">(A353+1)^2.4 * 1.004^A353</f>
        <v>5250922.25649113</v>
      </c>
      <c r="E353" s="6" t="n">
        <f aca="false">$I$2*(A353+1)^1.9*1.003^A353</f>
        <v>85.2157096406144</v>
      </c>
      <c r="F353" s="6" t="n">
        <f aca="false">(A353+1)^1.12</f>
        <v>711.422805825976</v>
      </c>
      <c r="G353" s="6" t="n">
        <f aca="false">G352+E353</f>
        <v>8098.30303986612</v>
      </c>
    </row>
    <row r="354" customFormat="false" ht="15" hidden="false" customHeight="true" outlineLevel="0" collapsed="false">
      <c r="A354" s="6" t="n">
        <v>352</v>
      </c>
      <c r="B354" s="6" t="n">
        <f aca="false">MIN(42, FLOOR(A354/32,1)+1)</f>
        <v>12</v>
      </c>
      <c r="C354" s="6" t="str">
        <f aca="false">INDEX(Grades_Realms!$B$2:$B$43, B354)</f>
        <v>Foundation · Perfected</v>
      </c>
      <c r="D354" s="6" t="n">
        <f aca="false">(A354+1)^2.4 * 1.004^A354</f>
        <v>5307942.40364432</v>
      </c>
      <c r="E354" s="6" t="n">
        <f aca="false">$I$2*(A354+1)^1.9*1.003^A354</f>
        <v>85.9332975826063</v>
      </c>
      <c r="F354" s="6" t="n">
        <f aca="false">(A354+1)^1.12</f>
        <v>713.686809367386</v>
      </c>
      <c r="G354" s="6" t="n">
        <f aca="false">G353+E354</f>
        <v>8184.23633744873</v>
      </c>
    </row>
    <row r="355" customFormat="false" ht="15" hidden="false" customHeight="true" outlineLevel="0" collapsed="false">
      <c r="A355" s="6" t="n">
        <v>353</v>
      </c>
      <c r="B355" s="6" t="n">
        <f aca="false">MIN(42, FLOOR(A355/32,1)+1)</f>
        <v>12</v>
      </c>
      <c r="C355" s="6" t="str">
        <f aca="false">INDEX(Grades_Realms!$B$2:$B$43, B355)</f>
        <v>Foundation · Perfected</v>
      </c>
      <c r="D355" s="6" t="n">
        <f aca="false">(A355+1)^2.4 * 1.004^A355</f>
        <v>5365478.3948837</v>
      </c>
      <c r="E355" s="6" t="n">
        <f aca="false">$I$2*(A355+1)^1.9*1.003^A355</f>
        <v>86.6556069049435</v>
      </c>
      <c r="F355" s="6" t="n">
        <f aca="false">(A355+1)^1.12</f>
        <v>715.951582673526</v>
      </c>
      <c r="G355" s="6" t="n">
        <f aca="false">G354+E355</f>
        <v>8270.89194435367</v>
      </c>
    </row>
    <row r="356" customFormat="false" ht="15" hidden="false" customHeight="true" outlineLevel="0" collapsed="false">
      <c r="A356" s="6" t="n">
        <v>354</v>
      </c>
      <c r="B356" s="6" t="n">
        <f aca="false">MIN(42, FLOOR(A356/32,1)+1)</f>
        <v>12</v>
      </c>
      <c r="C356" s="6" t="str">
        <f aca="false">INDEX(Grades_Realms!$B$2:$B$43, B356)</f>
        <v>Foundation · Perfected</v>
      </c>
      <c r="D356" s="6" t="n">
        <f aca="false">(A356+1)^2.4 * 1.004^A356</f>
        <v>5423534.18277323</v>
      </c>
      <c r="E356" s="6" t="n">
        <f aca="false">$I$2*(A356+1)^1.9*1.003^A356</f>
        <v>87.3826626904466</v>
      </c>
      <c r="F356" s="6" t="n">
        <f aca="false">(A356+1)^1.12</f>
        <v>718.217123830528</v>
      </c>
      <c r="G356" s="6" t="n">
        <f aca="false">G355+E356</f>
        <v>8358.27460704412</v>
      </c>
    </row>
    <row r="357" customFormat="false" ht="15" hidden="false" customHeight="true" outlineLevel="0" collapsed="false">
      <c r="A357" s="6" t="n">
        <v>355</v>
      </c>
      <c r="B357" s="6" t="n">
        <f aca="false">MIN(42, FLOOR(A357/32,1)+1)</f>
        <v>12</v>
      </c>
      <c r="C357" s="6" t="str">
        <f aca="false">INDEX(Grades_Realms!$B$2:$B$43, B357)</f>
        <v>Foundation · Perfected</v>
      </c>
      <c r="D357" s="6" t="n">
        <f aca="false">(A357+1)^2.4 * 1.004^A357</f>
        <v>5482113.74657202</v>
      </c>
      <c r="E357" s="6" t="n">
        <f aca="false">$I$2*(A357+1)^1.9*1.003^A357</f>
        <v>88.1144901396166</v>
      </c>
      <c r="F357" s="6" t="n">
        <f aca="false">(A357+1)^1.12</f>
        <v>720.483430934659</v>
      </c>
      <c r="G357" s="6" t="n">
        <f aca="false">G356+E357</f>
        <v>8446.38909718373</v>
      </c>
    </row>
    <row r="358" customFormat="false" ht="15" hidden="false" customHeight="true" outlineLevel="0" collapsed="false">
      <c r="A358" s="6" t="n">
        <v>356</v>
      </c>
      <c r="B358" s="6" t="n">
        <f aca="false">MIN(42, FLOOR(A358/32,1)+1)</f>
        <v>12</v>
      </c>
      <c r="C358" s="6" t="str">
        <f aca="false">INDEX(Grades_Realms!$B$2:$B$43, B358)</f>
        <v>Foundation · Perfected</v>
      </c>
      <c r="D358" s="6" t="n">
        <f aca="false">(A358+1)^2.4 * 1.004^A358</f>
        <v>5541221.09239966</v>
      </c>
      <c r="E358" s="6" t="n">
        <f aca="false">$I$2*(A358+1)^1.9*1.003^A358</f>
        <v>88.8511145711416</v>
      </c>
      <c r="F358" s="6" t="n">
        <f aca="false">(A358+1)^1.12</f>
        <v>722.750502092244</v>
      </c>
      <c r="G358" s="6" t="n">
        <f aca="false">G357+E358</f>
        <v>8535.24021175488</v>
      </c>
    </row>
    <row r="359" customFormat="false" ht="15" hidden="false" customHeight="true" outlineLevel="0" collapsed="false">
      <c r="A359" s="6" t="n">
        <v>357</v>
      </c>
      <c r="B359" s="6" t="n">
        <f aca="false">MIN(42, FLOOR(A359/32,1)+1)</f>
        <v>12</v>
      </c>
      <c r="C359" s="6" t="str">
        <f aca="false">INDEX(Grades_Realms!$B$2:$B$43, B359)</f>
        <v>Foundation · Perfected</v>
      </c>
      <c r="D359" s="6" t="n">
        <f aca="false">(A359+1)^2.4 * 1.004^A359</f>
        <v>5600860.25340245</v>
      </c>
      <c r="E359" s="6" t="n">
        <f aca="false">$I$2*(A359+1)^1.9*1.003^A359</f>
        <v>89.5925614224051</v>
      </c>
      <c r="F359" s="6" t="n">
        <f aca="false">(A359+1)^1.12</f>
        <v>725.01833541958</v>
      </c>
      <c r="G359" s="6" t="n">
        <f aca="false">G358+E359</f>
        <v>8624.83277317728</v>
      </c>
    </row>
    <row r="360" customFormat="false" ht="15" hidden="false" customHeight="true" outlineLevel="0" collapsed="false">
      <c r="A360" s="6" t="n">
        <v>358</v>
      </c>
      <c r="B360" s="6" t="n">
        <f aca="false">MIN(42, FLOOR(A360/32,1)+1)</f>
        <v>12</v>
      </c>
      <c r="C360" s="6" t="str">
        <f aca="false">INDEX(Grades_Realms!$B$2:$B$43, B360)</f>
        <v>Foundation · Perfected</v>
      </c>
      <c r="D360" s="6" t="n">
        <f aca="false">(A360+1)^2.4 * 1.004^A360</f>
        <v>5661035.28992059</v>
      </c>
      <c r="E360" s="6" t="n">
        <f aca="false">$I$2*(A360+1)^1.9*1.003^A360</f>
        <v>90.3388562499967</v>
      </c>
      <c r="F360" s="6" t="n">
        <f aca="false">(A360+1)^1.12</f>
        <v>727.286929042857</v>
      </c>
      <c r="G360" s="6" t="n">
        <f aca="false">G359+E360</f>
        <v>8715.17162942728</v>
      </c>
    </row>
    <row r="361" customFormat="false" ht="15" hidden="false" customHeight="true" outlineLevel="0" collapsed="false">
      <c r="A361" s="6" t="n">
        <v>359</v>
      </c>
      <c r="B361" s="6" t="n">
        <f aca="false">MIN(42, FLOOR(A361/32,1)+1)</f>
        <v>12</v>
      </c>
      <c r="C361" s="6" t="str">
        <f aca="false">INDEX(Grades_Realms!$B$2:$B$43, B361)</f>
        <v>Foundation · Perfected</v>
      </c>
      <c r="D361" s="6" t="n">
        <f aca="false">(A361+1)^2.4 * 1.004^A361</f>
        <v>5721750.28965636</v>
      </c>
      <c r="E361" s="6" t="n">
        <f aca="false">$I$2*(A361+1)^1.9*1.003^A361</f>
        <v>91.0900247302244</v>
      </c>
      <c r="F361" s="6" t="n">
        <f aca="false">(A361+1)^1.12</f>
        <v>729.556281098082</v>
      </c>
      <c r="G361" s="6" t="n">
        <f aca="false">G360+E361</f>
        <v>8806.2616541575</v>
      </c>
    </row>
    <row r="362" customFormat="false" ht="15" hidden="false" customHeight="true" outlineLevel="0" collapsed="false">
      <c r="A362" s="6" t="n">
        <v>360</v>
      </c>
      <c r="B362" s="6" t="n">
        <f aca="false">MIN(42, FLOOR(A362/32,1)+1)</f>
        <v>12</v>
      </c>
      <c r="C362" s="6" t="str">
        <f aca="false">INDEX(Grades_Realms!$B$2:$B$43, B362)</f>
        <v>Foundation · Perfected</v>
      </c>
      <c r="D362" s="6" t="n">
        <f aca="false">(A362+1)^2.4 * 1.004^A362</f>
        <v>5783009.36784327</v>
      </c>
      <c r="E362" s="6" t="n">
        <f aca="false">$I$2*(A362+1)^1.9*1.003^A362</f>
        <v>91.8460926596301</v>
      </c>
      <c r="F362" s="6" t="n">
        <f aca="false">(A362+1)^1.12</f>
        <v>731.826389730996</v>
      </c>
      <c r="G362" s="6" t="n">
        <f aca="false">G361+E362</f>
        <v>8898.10774681713</v>
      </c>
    </row>
    <row r="363" customFormat="false" ht="15" hidden="false" customHeight="true" outlineLevel="0" collapsed="false">
      <c r="A363" s="6" t="n">
        <v>361</v>
      </c>
      <c r="B363" s="6" t="n">
        <f aca="false">MIN(42, FLOOR(A363/32,1)+1)</f>
        <v>12</v>
      </c>
      <c r="C363" s="6" t="str">
        <f aca="false">INDEX(Grades_Realms!$B$2:$B$43, B363)</f>
        <v>Foundation · Perfected</v>
      </c>
      <c r="D363" s="6" t="n">
        <f aca="false">(A363+1)^2.4 * 1.004^A363</f>
        <v>5844816.66741617</v>
      </c>
      <c r="E363" s="6" t="n">
        <f aca="false">$I$2*(A363+1)^1.9*1.003^A363</f>
        <v>92.6070859555058</v>
      </c>
      <c r="F363" s="6" t="n">
        <f aca="false">(A363+1)^1.12</f>
        <v>734.097253096998</v>
      </c>
      <c r="G363" s="6" t="n">
        <f aca="false">G362+E363</f>
        <v>8990.71483277264</v>
      </c>
    </row>
    <row r="364" customFormat="false" ht="15" hidden="false" customHeight="true" outlineLevel="0" collapsed="false">
      <c r="A364" s="6" t="n">
        <v>362</v>
      </c>
      <c r="B364" s="6" t="n">
        <f aca="false">MIN(42, FLOOR(A364/32,1)+1)</f>
        <v>12</v>
      </c>
      <c r="C364" s="6" t="str">
        <f aca="false">INDEX(Grades_Realms!$B$2:$B$43, B364)</f>
        <v>Foundation · Perfected</v>
      </c>
      <c r="D364" s="6" t="n">
        <f aca="false">(A364+1)^2.4 * 1.004^A364</f>
        <v>5907176.35918235</v>
      </c>
      <c r="E364" s="6" t="n">
        <f aca="false">$I$2*(A364+1)^1.9*1.003^A364</f>
        <v>93.3730306564129</v>
      </c>
      <c r="F364" s="6" t="n">
        <f aca="false">(A364+1)^1.12</f>
        <v>736.36886936107</v>
      </c>
      <c r="G364" s="6" t="n">
        <f aca="false">G363+E364</f>
        <v>9084.08786342905</v>
      </c>
    </row>
    <row r="365" customFormat="false" ht="15" hidden="false" customHeight="true" outlineLevel="0" collapsed="false">
      <c r="A365" s="6" t="n">
        <v>363</v>
      </c>
      <c r="B365" s="6" t="n">
        <f aca="false">MIN(42, FLOOR(A365/32,1)+1)</f>
        <v>12</v>
      </c>
      <c r="C365" s="6" t="str">
        <f aca="false">INDEX(Grades_Realms!$B$2:$B$43, B365)</f>
        <v>Foundation · Perfected</v>
      </c>
      <c r="D365" s="6" t="n">
        <f aca="false">(A365+1)^2.4 * 1.004^A365</f>
        <v>5970092.64199369</v>
      </c>
      <c r="E365" s="6" t="n">
        <f aca="false">$I$2*(A365+1)^1.9*1.003^A365</f>
        <v>94.1439529227033</v>
      </c>
      <c r="F365" s="6" t="n">
        <f aca="false">(A365+1)^1.12</f>
        <v>738.641236697698</v>
      </c>
      <c r="G365" s="6" t="n">
        <f aca="false">G364+E365</f>
        <v>9178.23181635175</v>
      </c>
    </row>
    <row r="366" customFormat="false" ht="15" hidden="false" customHeight="true" outlineLevel="0" collapsed="false">
      <c r="A366" s="6" t="n">
        <v>364</v>
      </c>
      <c r="B366" s="6" t="n">
        <f aca="false">MIN(42, FLOOR(A366/32,1)+1)</f>
        <v>12</v>
      </c>
      <c r="C366" s="6" t="str">
        <f aca="false">INDEX(Grades_Realms!$B$2:$B$43, B366)</f>
        <v>Foundation · Perfected</v>
      </c>
      <c r="D366" s="6" t="n">
        <f aca="false">(A366+1)^2.4 * 1.004^A366</f>
        <v>6033569.74291967</v>
      </c>
      <c r="E366" s="6" t="n">
        <f aca="false">$I$2*(A366+1)^1.9*1.003^A366</f>
        <v>94.9198790370426</v>
      </c>
      <c r="F366" s="6" t="n">
        <f aca="false">(A366+1)^1.12</f>
        <v>740.914353290798</v>
      </c>
      <c r="G366" s="6" t="n">
        <f aca="false">G365+E366</f>
        <v>9273.1516953888</v>
      </c>
    </row>
    <row r="367" customFormat="false" ht="15" hidden="false" customHeight="true" outlineLevel="0" collapsed="false">
      <c r="A367" s="6" t="n">
        <v>365</v>
      </c>
      <c r="B367" s="6" t="n">
        <f aca="false">MIN(42, FLOOR(A367/32,1)+1)</f>
        <v>12</v>
      </c>
      <c r="C367" s="6" t="str">
        <f aca="false">INDEX(Grades_Realms!$B$2:$B$43, B367)</f>
        <v>Foundation · Perfected</v>
      </c>
      <c r="D367" s="6" t="n">
        <f aca="false">(A367+1)^2.4 * 1.004^A367</f>
        <v>6097611.91742156</v>
      </c>
      <c r="E367" s="6" t="n">
        <f aca="false">$I$2*(A367+1)^1.9*1.003^A367</f>
        <v>95.7008354049355</v>
      </c>
      <c r="F367" s="6" t="n">
        <f aca="false">(A367+1)^1.12</f>
        <v>743.188217333641</v>
      </c>
      <c r="G367" s="6" t="n">
        <f aca="false">G366+E367</f>
        <v>9368.85253079373</v>
      </c>
    </row>
    <row r="368" customFormat="false" ht="15" hidden="false" customHeight="true" outlineLevel="0" collapsed="false">
      <c r="A368" s="6" t="n">
        <v>366</v>
      </c>
      <c r="B368" s="6" t="n">
        <f aca="false">MIN(42, FLOOR(A368/32,1)+1)</f>
        <v>12</v>
      </c>
      <c r="C368" s="6" t="str">
        <f aca="false">INDEX(Grades_Realms!$B$2:$B$43, B368)</f>
        <v>Foundation · Perfected</v>
      </c>
      <c r="D368" s="6" t="n">
        <f aca="false">(A368+1)^2.4 * 1.004^A368</f>
        <v>6162223.44952744</v>
      </c>
      <c r="E368" s="6" t="n">
        <f aca="false">$I$2*(A368+1)^1.9*1.003^A368</f>
        <v>96.4868485552533</v>
      </c>
      <c r="F368" s="6" t="n">
        <f aca="false">(A368+1)^1.12</f>
        <v>745.462827028783</v>
      </c>
      <c r="G368" s="6" t="n">
        <f aca="false">G367+E368</f>
        <v>9465.33937934899</v>
      </c>
    </row>
    <row r="369" customFormat="false" ht="15" hidden="false" customHeight="true" outlineLevel="0" collapsed="false">
      <c r="A369" s="6" t="n">
        <v>367</v>
      </c>
      <c r="B369" s="6" t="n">
        <f aca="false">MIN(42, FLOOR(A369/32,1)+1)</f>
        <v>12</v>
      </c>
      <c r="C369" s="6" t="str">
        <f aca="false">INDEX(Grades_Realms!$B$2:$B$43, B369)</f>
        <v>Foundation · Perfected</v>
      </c>
      <c r="D369" s="6" t="n">
        <f aca="false">(A369+1)^2.4 * 1.004^A369</f>
        <v>6227408.65200836</v>
      </c>
      <c r="E369" s="6" t="n">
        <f aca="false">$I$2*(A369+1)^1.9*1.003^A369</f>
        <v>97.2779451407638</v>
      </c>
      <c r="F369" s="6" t="n">
        <f aca="false">(A369+1)^1.12</f>
        <v>747.738180587985</v>
      </c>
      <c r="G369" s="6" t="n">
        <f aca="false">G368+E369</f>
        <v>9562.61732448975</v>
      </c>
    </row>
    <row r="370" customFormat="false" ht="15" hidden="false" customHeight="true" outlineLevel="0" collapsed="false">
      <c r="A370" s="6" t="n">
        <v>368</v>
      </c>
      <c r="B370" s="6" t="n">
        <f aca="false">MIN(42, FLOOR(A370/32,1)+1)</f>
        <v>12</v>
      </c>
      <c r="C370" s="6" t="str">
        <f aca="false">INDEX(Grades_Realms!$B$2:$B$43, B370)</f>
        <v>Foundation · Perfected</v>
      </c>
      <c r="D370" s="6" t="n">
        <f aca="false">(A370+1)^2.4 * 1.004^A370</f>
        <v>6293171.86655548</v>
      </c>
      <c r="E370" s="6" t="n">
        <f aca="false">$I$2*(A370+1)^1.9*1.003^A370</f>
        <v>98.0741519386629</v>
      </c>
      <c r="F370" s="6" t="n">
        <f aca="false">(A370+1)^1.12</f>
        <v>750.014276232148</v>
      </c>
      <c r="G370" s="6" t="n">
        <f aca="false">G369+E370</f>
        <v>9660.69147642841</v>
      </c>
    </row>
    <row r="371" customFormat="false" ht="15" hidden="false" customHeight="true" outlineLevel="0" collapsed="false">
      <c r="A371" s="6" t="n">
        <v>369</v>
      </c>
      <c r="B371" s="6" t="n">
        <f aca="false">MIN(42, FLOOR(A371/32,1)+1)</f>
        <v>12</v>
      </c>
      <c r="C371" s="6" t="str">
        <f aca="false">INDEX(Grades_Realms!$B$2:$B$43, B371)</f>
        <v>Foundation · Perfected</v>
      </c>
      <c r="D371" s="6" t="n">
        <f aca="false">(A371+1)^2.4 * 1.004^A371</f>
        <v>6359517.46395818</v>
      </c>
      <c r="E371" s="6" t="n">
        <f aca="false">$I$2*(A371+1)^1.9*1.003^A371</f>
        <v>98.8754958511087</v>
      </c>
      <c r="F371" s="6" t="n">
        <f aca="false">(A371+1)^1.12</f>
        <v>752.291112191239</v>
      </c>
      <c r="G371" s="6" t="n">
        <f aca="false">G370+E371</f>
        <v>9759.56697227952</v>
      </c>
    </row>
    <row r="372" customFormat="false" ht="15" hidden="false" customHeight="true" outlineLevel="0" collapsed="false">
      <c r="A372" s="6" t="n">
        <v>370</v>
      </c>
      <c r="B372" s="6" t="n">
        <f aca="false">MIN(42, FLOOR(A372/32,1)+1)</f>
        <v>12</v>
      </c>
      <c r="C372" s="6" t="str">
        <f aca="false">INDEX(Grades_Realms!$B$2:$B$43, B372)</f>
        <v>Foundation · Perfected</v>
      </c>
      <c r="D372" s="6" t="n">
        <f aca="false">(A372+1)^2.4 * 1.004^A372</f>
        <v>6426449.84428329</v>
      </c>
      <c r="E372" s="6" t="n">
        <f aca="false">$I$2*(A372+1)^1.9*1.003^A372</f>
        <v>99.6820039057578</v>
      </c>
      <c r="F372" s="6" t="n">
        <f aca="false">(A372+1)^1.12</f>
        <v>754.568686704218</v>
      </c>
      <c r="G372" s="6" t="n">
        <f aca="false">G371+E372</f>
        <v>9859.24897618528</v>
      </c>
    </row>
    <row r="373" customFormat="false" ht="15" hidden="false" customHeight="true" outlineLevel="0" collapsed="false">
      <c r="A373" s="6" t="n">
        <v>371</v>
      </c>
      <c r="B373" s="6" t="n">
        <f aca="false">MIN(42, FLOOR(A373/32,1)+1)</f>
        <v>12</v>
      </c>
      <c r="C373" s="6" t="str">
        <f aca="false">INDEX(Grades_Realms!$B$2:$B$43, B373)</f>
        <v>Foundation · Perfected</v>
      </c>
      <c r="D373" s="6" t="n">
        <f aca="false">(A373+1)^2.4 * 1.004^A373</f>
        <v>6493973.4370553</v>
      </c>
      <c r="E373" s="6" t="n">
        <f aca="false">$I$2*(A373+1)^1.9*1.003^A373</f>
        <v>100.493703256304</v>
      </c>
      <c r="F373" s="6" t="n">
        <f aca="false">(A373+1)^1.12</f>
        <v>756.846998018971</v>
      </c>
      <c r="G373" s="6" t="n">
        <f aca="false">G372+E373</f>
        <v>9959.74267944158</v>
      </c>
    </row>
    <row r="374" customFormat="false" ht="15" hidden="false" customHeight="true" outlineLevel="0" collapsed="false">
      <c r="A374" s="6" t="n">
        <v>372</v>
      </c>
      <c r="B374" s="6" t="n">
        <f aca="false">MIN(42, FLOOR(A374/32,1)+1)</f>
        <v>12</v>
      </c>
      <c r="C374" s="6" t="str">
        <f aca="false">INDEX(Grades_Realms!$B$2:$B$43, B374)</f>
        <v>Foundation · Perfected</v>
      </c>
      <c r="D374" s="6" t="n">
        <f aca="false">(A374+1)^2.4 * 1.004^A374</f>
        <v>6562092.7014376</v>
      </c>
      <c r="E374" s="6" t="n">
        <f aca="false">$I$2*(A374+1)^1.9*1.003^A374</f>
        <v>101.310621183017</v>
      </c>
      <c r="F374" s="6" t="n">
        <f aca="false">(A374+1)^1.12</f>
        <v>759.126044392242</v>
      </c>
      <c r="G374" s="6" t="n">
        <f aca="false">G373+E374</f>
        <v>10061.0533006246</v>
      </c>
    </row>
    <row r="375" customFormat="false" ht="15" hidden="false" customHeight="true" outlineLevel="0" collapsed="false">
      <c r="A375" s="6" t="n">
        <v>373</v>
      </c>
      <c r="B375" s="6" t="n">
        <f aca="false">MIN(42, FLOOR(A375/32,1)+1)</f>
        <v>12</v>
      </c>
      <c r="C375" s="6" t="str">
        <f aca="false">INDEX(Grades_Realms!$B$2:$B$43, B375)</f>
        <v>Foundation · Perfected</v>
      </c>
      <c r="D375" s="6" t="n">
        <f aca="false">(A375+1)^2.4 * 1.004^A375</f>
        <v>6630812.12641481</v>
      </c>
      <c r="E375" s="6" t="n">
        <f aca="false">$I$2*(A375+1)^1.9*1.003^A375</f>
        <v>102.13278509329</v>
      </c>
      <c r="F375" s="6" t="n">
        <f aca="false">(A375+1)^1.12</f>
        <v>761.405824089561</v>
      </c>
      <c r="G375" s="6" t="n">
        <f aca="false">G374+E375</f>
        <v>10163.1860857179</v>
      </c>
    </row>
    <row r="376" customFormat="false" ht="15" hidden="false" customHeight="true" outlineLevel="0" collapsed="false">
      <c r="A376" s="6" t="n">
        <v>374</v>
      </c>
      <c r="B376" s="6" t="n">
        <f aca="false">MIN(42, FLOOR(A376/32,1)+1)</f>
        <v>12</v>
      </c>
      <c r="C376" s="6" t="str">
        <f aca="false">INDEX(Grades_Realms!$B$2:$B$43, B376)</f>
        <v>Foundation · Perfected</v>
      </c>
      <c r="D376" s="6" t="n">
        <f aca="false">(A376+1)^2.4 * 1.004^A376</f>
        <v>6700136.23097613</v>
      </c>
      <c r="E376" s="6" t="n">
        <f aca="false">$I$2*(A376+1)^1.9*1.003^A376</f>
        <v>102.960222522177</v>
      </c>
      <c r="F376" s="6" t="n">
        <f aca="false">(A376+1)^1.12</f>
        <v>763.686335385179</v>
      </c>
      <c r="G376" s="6" t="n">
        <f aca="false">G375+E376</f>
        <v>10266.1463082401</v>
      </c>
    </row>
    <row r="377" customFormat="false" ht="15" hidden="false" customHeight="true" outlineLevel="0" collapsed="false">
      <c r="A377" s="6" t="n">
        <v>375</v>
      </c>
      <c r="B377" s="6" t="n">
        <f aca="false">MIN(42, FLOOR(A377/32,1)+1)</f>
        <v>12</v>
      </c>
      <c r="C377" s="6" t="str">
        <f aca="false">INDEX(Grades_Realms!$B$2:$B$43, B377)</f>
        <v>Foundation · Perfected</v>
      </c>
      <c r="D377" s="6" t="n">
        <f aca="false">(A377+1)^2.4 * 1.004^A377</f>
        <v>6770069.56429976</v>
      </c>
      <c r="E377" s="6" t="n">
        <f aca="false">$I$2*(A377+1)^1.9*1.003^A377</f>
        <v>103.792961132949</v>
      </c>
      <c r="F377" s="6" t="n">
        <f aca="false">(A377+1)^1.12</f>
        <v>765.967576561999</v>
      </c>
      <c r="G377" s="6" t="n">
        <f aca="false">G376+E377</f>
        <v>10369.939269373</v>
      </c>
    </row>
    <row r="378" customFormat="false" ht="15" hidden="false" customHeight="true" outlineLevel="0" collapsed="false">
      <c r="A378" s="6" t="n">
        <v>376</v>
      </c>
      <c r="B378" s="6" t="n">
        <f aca="false">MIN(42, FLOOR(A378/32,1)+1)</f>
        <v>12</v>
      </c>
      <c r="C378" s="6" t="str">
        <f aca="false">INDEX(Grades_Realms!$B$2:$B$43, B378)</f>
        <v>Foundation · Perfected</v>
      </c>
      <c r="D378" s="6" t="n">
        <f aca="false">(A378+1)^2.4 * 1.004^A378</f>
        <v>6840616.70593837</v>
      </c>
      <c r="E378" s="6" t="n">
        <f aca="false">$I$2*(A378+1)^1.9*1.003^A378</f>
        <v>104.631028717635</v>
      </c>
      <c r="F378" s="6" t="n">
        <f aca="false">(A378+1)^1.12</f>
        <v>768.249545911512</v>
      </c>
      <c r="G378" s="6" t="n">
        <f aca="false">G377+E378</f>
        <v>10474.5702980907</v>
      </c>
    </row>
    <row r="379" customFormat="false" ht="15" hidden="false" customHeight="true" outlineLevel="0" collapsed="false">
      <c r="A379" s="6" t="n">
        <v>377</v>
      </c>
      <c r="B379" s="6" t="n">
        <f aca="false">MIN(42, FLOOR(A379/32,1)+1)</f>
        <v>12</v>
      </c>
      <c r="C379" s="6" t="str">
        <f aca="false">INDEX(Grades_Realms!$B$2:$B$43, B379)</f>
        <v>Foundation · Perfected</v>
      </c>
      <c r="D379" s="6" t="n">
        <f aca="false">(A379+1)^2.4 * 1.004^A379</f>
        <v>6911782.26600567</v>
      </c>
      <c r="E379" s="6" t="n">
        <f aca="false">$I$2*(A379+1)^1.9*1.003^A379</f>
        <v>105.474453197582</v>
      </c>
      <c r="F379" s="6" t="n">
        <f aca="false">(A379+1)^1.12</f>
        <v>770.532241733731</v>
      </c>
      <c r="G379" s="6" t="n">
        <f aca="false">G378+E379</f>
        <v>10580.0447512882</v>
      </c>
    </row>
    <row r="380" customFormat="false" ht="15" hidden="false" customHeight="true" outlineLevel="0" collapsed="false">
      <c r="A380" s="6" t="n">
        <v>378</v>
      </c>
      <c r="B380" s="6" t="n">
        <f aca="false">MIN(42, FLOOR(A380/32,1)+1)</f>
        <v>12</v>
      </c>
      <c r="C380" s="6" t="str">
        <f aca="false">INDEX(Grades_Realms!$B$2:$B$43, B380)</f>
        <v>Foundation · Perfected</v>
      </c>
      <c r="D380" s="6" t="n">
        <f aca="false">(A380+1)^2.4 * 1.004^A380</f>
        <v>6983570.88536402</v>
      </c>
      <c r="E380" s="6" t="n">
        <f aca="false">$I$2*(A380+1)^1.9*1.003^A380</f>
        <v>106.323262624</v>
      </c>
      <c r="F380" s="6" t="n">
        <f aca="false">(A380+1)^1.12</f>
        <v>772.815662337123</v>
      </c>
      <c r="G380" s="6" t="n">
        <f aca="false">G379+E380</f>
        <v>10686.3680139122</v>
      </c>
    </row>
    <row r="381" customFormat="false" ht="15" hidden="false" customHeight="true" outlineLevel="0" collapsed="false">
      <c r="A381" s="6" t="n">
        <v>379</v>
      </c>
      <c r="B381" s="6" t="n">
        <f aca="false">MIN(42, FLOOR(A381/32,1)+1)</f>
        <v>12</v>
      </c>
      <c r="C381" s="6" t="str">
        <f aca="false">INDEX(Grades_Realms!$B$2:$B$43, B381)</f>
        <v>Foundation · Perfected</v>
      </c>
      <c r="D381" s="6" t="n">
        <f aca="false">(A381+1)^2.4 * 1.004^A381</f>
        <v>7055987.23581315</v>
      </c>
      <c r="E381" s="6" t="n">
        <f aca="false">$I$2*(A381+1)^1.9*1.003^A381</f>
        <v>107.177485178527</v>
      </c>
      <c r="F381" s="6" t="n">
        <f aca="false">(A381+1)^1.12</f>
        <v>775.099806038549</v>
      </c>
      <c r="G381" s="6" t="n">
        <f aca="false">G380+E381</f>
        <v>10793.5454990908</v>
      </c>
    </row>
    <row r="382" customFormat="false" ht="15" hidden="false" customHeight="true" outlineLevel="0" collapsed="false">
      <c r="A382" s="6" t="n">
        <v>380</v>
      </c>
      <c r="B382" s="6" t="n">
        <f aca="false">MIN(42, FLOOR(A382/32,1)+1)</f>
        <v>12</v>
      </c>
      <c r="C382" s="6" t="str">
        <f aca="false">INDEX(Grades_Realms!$B$2:$B$43, B382)</f>
        <v>Foundation · Perfected</v>
      </c>
      <c r="D382" s="6" t="n">
        <f aca="false">(A382+1)^2.4 * 1.004^A382</f>
        <v>7129036.02027993</v>
      </c>
      <c r="E382" s="6" t="n">
        <f aca="false">$I$2*(A382+1)^1.9*1.003^A382</f>
        <v>108.03714917378</v>
      </c>
      <c r="F382" s="6" t="n">
        <f aca="false">(A382+1)^1.12</f>
        <v>777.384671163199</v>
      </c>
      <c r="G382" s="6" t="n">
        <f aca="false">G381+E382</f>
        <v>10901.5826482645</v>
      </c>
    </row>
    <row r="383" customFormat="false" ht="15" hidden="false" customHeight="true" outlineLevel="0" collapsed="false">
      <c r="A383" s="6" t="n">
        <v>381</v>
      </c>
      <c r="B383" s="6" t="n">
        <f aca="false">MIN(42, FLOOR(A383/32,1)+1)</f>
        <v>12</v>
      </c>
      <c r="C383" s="6" t="str">
        <f aca="false">INDEX(Grades_Realms!$B$2:$B$43, B383)</f>
        <v>Foundation · Perfected</v>
      </c>
      <c r="D383" s="6" t="n">
        <f aca="false">(A383+1)^2.4 * 1.004^A383</f>
        <v>7202721.97300929</v>
      </c>
      <c r="E383" s="6" t="n">
        <f aca="false">$I$2*(A383+1)^1.9*1.003^A383</f>
        <v>108.902283053922</v>
      </c>
      <c r="F383" s="6" t="n">
        <f aca="false">(A383+1)^1.12</f>
        <v>779.670256044525</v>
      </c>
      <c r="G383" s="6" t="n">
        <f aca="false">G382+E383</f>
        <v>11010.4849313185</v>
      </c>
    </row>
    <row r="384" customFormat="false" ht="15" hidden="false" customHeight="true" outlineLevel="0" collapsed="false">
      <c r="A384" s="6" t="n">
        <v>382</v>
      </c>
      <c r="B384" s="6" t="n">
        <f aca="false">MIN(42, FLOOR(A384/32,1)+1)</f>
        <v>12</v>
      </c>
      <c r="C384" s="6" t="str">
        <f aca="false">INDEX(Grades_Realms!$B$2:$B$43, B384)</f>
        <v>Foundation · Perfected</v>
      </c>
      <c r="D384" s="6" t="n">
        <f aca="false">(A384+1)^2.4 * 1.004^A384</f>
        <v>7277049.85975619</v>
      </c>
      <c r="E384" s="6" t="n">
        <f aca="false">$I$2*(A384+1)^1.9*1.003^A384</f>
        <v>109.772915395221</v>
      </c>
      <c r="F384" s="6" t="n">
        <f aca="false">(A384+1)^1.12</f>
        <v>781.956559024186</v>
      </c>
      <c r="G384" s="6" t="n">
        <f aca="false">G383+E384</f>
        <v>11120.2578467137</v>
      </c>
    </row>
    <row r="385" customFormat="false" ht="15" hidden="false" customHeight="true" outlineLevel="0" collapsed="false">
      <c r="A385" s="6" t="n">
        <v>383</v>
      </c>
      <c r="B385" s="6" t="n">
        <f aca="false">MIN(42, FLOOR(A385/32,1)+1)</f>
        <v>12</v>
      </c>
      <c r="C385" s="6" t="str">
        <f aca="false">INDEX(Grades_Realms!$B$2:$B$43, B385)</f>
        <v>Foundation · Perfected</v>
      </c>
      <c r="D385" s="6" t="n">
        <f aca="false">(A385+1)^2.4 * 1.004^A385</f>
        <v>7352024.47797871</v>
      </c>
      <c r="E385" s="6" t="n">
        <f aca="false">$I$2*(A385+1)^1.9*1.003^A385</f>
        <v>110.649074906616</v>
      </c>
      <c r="F385" s="6" t="n">
        <f aca="false">(A385+1)^1.12</f>
        <v>784.243578451982</v>
      </c>
      <c r="G385" s="6" t="n">
        <f aca="false">G384+E385</f>
        <v>11230.9069216203</v>
      </c>
    </row>
    <row r="386" customFormat="false" ht="15" hidden="false" customHeight="true" outlineLevel="0" collapsed="false">
      <c r="A386" s="6" t="n">
        <v>384</v>
      </c>
      <c r="B386" s="6" t="n">
        <f aca="false">MIN(42, FLOOR(A386/32,1)+1)</f>
        <v>13</v>
      </c>
      <c r="C386" s="6" t="str">
        <f aca="false">INDEX(Grades_Realms!$B$2:$B$43, B386)</f>
        <v>Golden Core · Initial</v>
      </c>
      <c r="D386" s="6" t="n">
        <f aca="false">(A386+1)^2.4 * 1.004^A386</f>
        <v>7427650.65703228</v>
      </c>
      <c r="E386" s="6" t="n">
        <f aca="false">$I$2*(A386+1)^1.9*1.003^A386</f>
        <v>111.530790430286</v>
      </c>
      <c r="F386" s="6" t="n">
        <f aca="false">(A386+1)^1.12</f>
        <v>786.53131268579</v>
      </c>
      <c r="G386" s="6" t="n">
        <f aca="false">G385+E386</f>
        <v>11342.4377120506</v>
      </c>
    </row>
    <row r="387" customFormat="false" ht="15" hidden="false" customHeight="true" outlineLevel="0" collapsed="false">
      <c r="A387" s="6" t="n">
        <v>385</v>
      </c>
      <c r="B387" s="6" t="n">
        <f aca="false">MIN(42, FLOOR(A387/32,1)+1)</f>
        <v>13</v>
      </c>
      <c r="C387" s="6" t="str">
        <f aca="false">INDEX(Grades_Realms!$B$2:$B$43, B387)</f>
        <v>Golden Core · Initial</v>
      </c>
      <c r="D387" s="6" t="n">
        <f aca="false">(A387+1)^2.4 * 1.004^A387</f>
        <v>7503933.25836496</v>
      </c>
      <c r="E387" s="6" t="n">
        <f aca="false">$I$2*(A387+1)^1.9*1.003^A387</f>
        <v>112.418090942218</v>
      </c>
      <c r="F387" s="6" t="n">
        <f aca="false">(A387+1)^1.12</f>
        <v>788.819760091511</v>
      </c>
      <c r="G387" s="6" t="n">
        <f aca="false">G386+E387</f>
        <v>11454.8558029928</v>
      </c>
    </row>
    <row r="388" customFormat="false" ht="15" hidden="false" customHeight="true" outlineLevel="0" collapsed="false">
      <c r="A388" s="6" t="n">
        <v>386</v>
      </c>
      <c r="B388" s="6" t="n">
        <f aca="false">MIN(42, FLOOR(A388/32,1)+1)</f>
        <v>13</v>
      </c>
      <c r="C388" s="6" t="str">
        <f aca="false">INDEX(Grades_Realms!$B$2:$B$43, B388)</f>
        <v>Golden Core · Initial</v>
      </c>
      <c r="D388" s="6" t="n">
        <f aca="false">(A388+1)^2.4 * 1.004^A388</f>
        <v>7580877.17571392</v>
      </c>
      <c r="E388" s="6" t="n">
        <f aca="false">$I$2*(A388+1)^1.9*1.003^A388</f>
        <v>113.311005552783</v>
      </c>
      <c r="F388" s="6" t="n">
        <f aca="false">(A388+1)^1.12</f>
        <v>791.108919043004</v>
      </c>
      <c r="G388" s="6" t="n">
        <f aca="false">G387+E388</f>
        <v>11568.1668085456</v>
      </c>
    </row>
    <row r="389" customFormat="false" ht="15" hidden="false" customHeight="true" outlineLevel="0" collapsed="false">
      <c r="A389" s="6" t="n">
        <v>387</v>
      </c>
      <c r="B389" s="6" t="n">
        <f aca="false">MIN(42, FLOOR(A389/32,1)+1)</f>
        <v>13</v>
      </c>
      <c r="C389" s="6" t="str">
        <f aca="false">INDEX(Grades_Realms!$B$2:$B$43, B389)</f>
        <v>Golden Core · Initial</v>
      </c>
      <c r="D389" s="6" t="n">
        <f aca="false">(A389+1)^2.4 * 1.004^A389</f>
        <v>7658487.335303</v>
      </c>
      <c r="E389" s="6" t="n">
        <f aca="false">$I$2*(A389+1)^1.9*1.003^A389</f>
        <v>114.209563507305</v>
      </c>
      <c r="F389" s="6" t="n">
        <f aca="false">(A389+1)^1.12</f>
        <v>793.39878792203</v>
      </c>
      <c r="G389" s="6" t="n">
        <f aca="false">G388+E389</f>
        <v>11682.3763720529</v>
      </c>
    </row>
    <row r="390" customFormat="false" ht="15" hidden="false" customHeight="true" outlineLevel="0" collapsed="false">
      <c r="A390" s="6" t="n">
        <v>388</v>
      </c>
      <c r="B390" s="6" t="n">
        <f aca="false">MIN(42, FLOOR(A390/32,1)+1)</f>
        <v>13</v>
      </c>
      <c r="C390" s="6" t="str">
        <f aca="false">INDEX(Grades_Realms!$B$2:$B$43, B390)</f>
        <v>Golden Core · Initial</v>
      </c>
      <c r="D390" s="6" t="n">
        <f aca="false">(A390+1)^2.4 * 1.004^A390</f>
        <v>7736768.69604144</v>
      </c>
      <c r="E390" s="6" t="n">
        <f aca="false">$I$2*(A390+1)^1.9*1.003^A390</f>
        <v>115.113794186642</v>
      </c>
      <c r="F390" s="6" t="n">
        <f aca="false">(A390+1)^1.12</f>
        <v>795.68936511819</v>
      </c>
      <c r="G390" s="6" t="n">
        <f aca="false">G389+E390</f>
        <v>11797.4901662395</v>
      </c>
    </row>
    <row r="391" customFormat="false" ht="15" hidden="false" customHeight="true" outlineLevel="0" collapsed="false">
      <c r="A391" s="6" t="n">
        <v>389</v>
      </c>
      <c r="B391" s="6" t="n">
        <f aca="false">MIN(42, FLOOR(A391/32,1)+1)</f>
        <v>13</v>
      </c>
      <c r="C391" s="6" t="str">
        <f aca="false">INDEX(Grades_Realms!$B$2:$B$43, B391)</f>
        <v>Golden Core · Initial</v>
      </c>
      <c r="D391" s="6" t="n">
        <f aca="false">(A391+1)^2.4 * 1.004^A391</f>
        <v>7815726.24972372</v>
      </c>
      <c r="E391" s="6" t="n">
        <f aca="false">$I$2*(A391+1)^1.9*1.003^A391</f>
        <v>116.023727107766</v>
      </c>
      <c r="F391" s="6" t="n">
        <f aca="false">(A391+1)^1.12</f>
        <v>797.980649028872</v>
      </c>
      <c r="G391" s="6" t="n">
        <f aca="false">G390+E391</f>
        <v>11913.5138933473</v>
      </c>
    </row>
    <row r="392" customFormat="false" ht="15" hidden="false" customHeight="true" outlineLevel="0" collapsed="false">
      <c r="A392" s="6" t="n">
        <v>390</v>
      </c>
      <c r="B392" s="6" t="n">
        <f aca="false">MIN(42, FLOOR(A392/32,1)+1)</f>
        <v>13</v>
      </c>
      <c r="C392" s="6" t="str">
        <f aca="false">INDEX(Grades_Realms!$B$2:$B$43, B392)</f>
        <v>Golden Core · Initial</v>
      </c>
      <c r="D392" s="6" t="n">
        <f aca="false">(A392+1)^2.4 * 1.004^A392</f>
        <v>7895365.02123055</v>
      </c>
      <c r="E392" s="6" t="n">
        <f aca="false">$I$2*(A392+1)^1.9*1.003^A392</f>
        <v>116.93939192434</v>
      </c>
      <c r="F392" s="6" t="n">
        <f aca="false">(A392+1)^1.12</f>
        <v>800.272638059189</v>
      </c>
      <c r="G392" s="6" t="n">
        <f aca="false">G391+E392</f>
        <v>12030.4532852716</v>
      </c>
    </row>
    <row r="393" customFormat="false" ht="15" hidden="false" customHeight="true" outlineLevel="0" collapsed="false">
      <c r="A393" s="6" t="n">
        <v>391</v>
      </c>
      <c r="B393" s="6" t="n">
        <f aca="false">MIN(42, FLOOR(A393/32,1)+1)</f>
        <v>13</v>
      </c>
      <c r="C393" s="6" t="str">
        <f aca="false">INDEX(Grades_Realms!$B$2:$B$43, B393)</f>
        <v>Golden Core · Initial</v>
      </c>
      <c r="D393" s="6" t="n">
        <f aca="false">(A393+1)^2.4 * 1.004^A393</f>
        <v>7975690.06873106</v>
      </c>
      <c r="E393" s="6" t="n">
        <f aca="false">$I$2*(A393+1)^1.9*1.003^A393</f>
        <v>117.860818427307</v>
      </c>
      <c r="F393" s="6" t="n">
        <f aca="false">(A393+1)^1.12</f>
        <v>802.565330621923</v>
      </c>
      <c r="G393" s="6" t="n">
        <f aca="false">G392+E393</f>
        <v>12148.3141036989</v>
      </c>
    </row>
    <row r="394" customFormat="false" ht="15" hidden="false" customHeight="true" outlineLevel="0" collapsed="false">
      <c r="A394" s="6" t="n">
        <v>392</v>
      </c>
      <c r="B394" s="6" t="n">
        <f aca="false">MIN(42, FLOOR(A394/32,1)+1)</f>
        <v>13</v>
      </c>
      <c r="C394" s="6" t="str">
        <f aca="false">INDEX(Grades_Realms!$B$2:$B$43, B394)</f>
        <v>Golden Core · Initial</v>
      </c>
      <c r="D394" s="6" t="n">
        <f aca="false">(A394+1)^2.4 * 1.004^A394</f>
        <v>8056706.48388611</v>
      </c>
      <c r="E394" s="6" t="n">
        <f aca="false">$I$2*(A394+1)^1.9*1.003^A394</f>
        <v>118.788036545473</v>
      </c>
      <c r="F394" s="6" t="n">
        <f aca="false">(A394+1)^1.12</f>
        <v>804.858725137471</v>
      </c>
      <c r="G394" s="6" t="n">
        <f aca="false">G393+E394</f>
        <v>12267.1021402444</v>
      </c>
    </row>
    <row r="395" customFormat="false" ht="15" hidden="false" customHeight="true" outlineLevel="0" collapsed="false">
      <c r="A395" s="6" t="n">
        <v>393</v>
      </c>
      <c r="B395" s="6" t="n">
        <f aca="false">MIN(42, FLOOR(A395/32,1)+1)</f>
        <v>13</v>
      </c>
      <c r="C395" s="6" t="str">
        <f aca="false">INDEX(Grades_Realms!$B$2:$B$43, B395)</f>
        <v>Golden Core · Initial</v>
      </c>
      <c r="D395" s="6" t="n">
        <f aca="false">(A395+1)^2.4 * 1.004^A395</f>
        <v>8138419.39205276</v>
      </c>
      <c r="E395" s="6" t="n">
        <f aca="false">$I$2*(A395+1)^1.9*1.003^A395</f>
        <v>119.721076346098</v>
      </c>
      <c r="F395" s="6" t="n">
        <f aca="false">(A395+1)^1.12</f>
        <v>807.152820033787</v>
      </c>
      <c r="G395" s="6" t="n">
        <f aca="false">G394+E395</f>
        <v>12386.8232165905</v>
      </c>
    </row>
    <row r="396" customFormat="false" ht="15" hidden="false" customHeight="true" outlineLevel="0" collapsed="false">
      <c r="A396" s="6" t="n">
        <v>394</v>
      </c>
      <c r="B396" s="6" t="n">
        <f aca="false">MIN(42, FLOOR(A396/32,1)+1)</f>
        <v>13</v>
      </c>
      <c r="C396" s="6" t="str">
        <f aca="false">INDEX(Grades_Realms!$B$2:$B$43, B396)</f>
        <v>Golden Core · Initial</v>
      </c>
      <c r="D396" s="6" t="n">
        <f aca="false">(A396+1)^2.4 * 1.004^A396</f>
        <v>8220833.95248995</v>
      </c>
      <c r="E396" s="6" t="n">
        <f aca="false">$I$2*(A396+1)^1.9*1.003^A396</f>
        <v>120.659968035486</v>
      </c>
      <c r="F396" s="6" t="n">
        <f aca="false">(A396+1)^1.12</f>
        <v>809.447613746328</v>
      </c>
      <c r="G396" s="6" t="n">
        <f aca="false">G395+E396</f>
        <v>12507.483184626</v>
      </c>
    </row>
    <row r="397" customFormat="false" ht="15" hidden="false" customHeight="true" outlineLevel="0" collapsed="false">
      <c r="A397" s="6" t="n">
        <v>395</v>
      </c>
      <c r="B397" s="6" t="n">
        <f aca="false">MIN(42, FLOOR(A397/32,1)+1)</f>
        <v>13</v>
      </c>
      <c r="C397" s="6" t="str">
        <f aca="false">INDEX(Grades_Realms!$B$2:$B$43, B397)</f>
        <v>Golden Core · Initial</v>
      </c>
      <c r="D397" s="6" t="n">
        <f aca="false">(A397+1)^2.4 * 1.004^A397</f>
        <v>8303955.35856536</v>
      </c>
      <c r="E397" s="6" t="n">
        <f aca="false">$I$2*(A397+1)^1.9*1.003^A397</f>
        <v>121.604741959578</v>
      </c>
      <c r="F397" s="6" t="n">
        <f aca="false">(A397+1)^1.12</f>
        <v>811.743104717996</v>
      </c>
      <c r="G397" s="6" t="n">
        <f aca="false">G396+E397</f>
        <v>12629.0879265856</v>
      </c>
    </row>
    <row r="398" customFormat="false" ht="15" hidden="false" customHeight="true" outlineLevel="0" collapsed="false">
      <c r="A398" s="6" t="n">
        <v>396</v>
      </c>
      <c r="B398" s="6" t="n">
        <f aca="false">MIN(42, FLOOR(A398/32,1)+1)</f>
        <v>13</v>
      </c>
      <c r="C398" s="6" t="str">
        <f aca="false">INDEX(Grades_Realms!$B$2:$B$43, B398)</f>
        <v>Golden Core · Initial</v>
      </c>
      <c r="D398" s="6" t="n">
        <f aca="false">(A398+1)^2.4 * 1.004^A398</f>
        <v>8387788.83796338</v>
      </c>
      <c r="E398" s="6" t="n">
        <f aca="false">$I$2*(A398+1)^1.9*1.003^A398</f>
        <v>122.55542860455</v>
      </c>
      <c r="F398" s="6" t="n">
        <f aca="false">(A398+1)^1.12</f>
        <v>814.039291399089</v>
      </c>
      <c r="G398" s="6" t="n">
        <f aca="false">G397+E398</f>
        <v>12751.6433551901</v>
      </c>
    </row>
    <row r="399" customFormat="false" ht="15" hidden="false" customHeight="true" outlineLevel="0" collapsed="false">
      <c r="A399" s="6" t="n">
        <v>397</v>
      </c>
      <c r="B399" s="6" t="n">
        <f aca="false">MIN(42, FLOOR(A399/32,1)+1)</f>
        <v>13</v>
      </c>
      <c r="C399" s="6" t="str">
        <f aca="false">INDEX(Grades_Realms!$B$2:$B$43, B399)</f>
        <v>Golden Core · Initial</v>
      </c>
      <c r="D399" s="6" t="n">
        <f aca="false">(A399+1)^2.4 * 1.004^A399</f>
        <v>8472339.6528944</v>
      </c>
      <c r="E399" s="6" t="n">
        <f aca="false">$I$2*(A399+1)^1.9*1.003^A399</f>
        <v>123.512058597408</v>
      </c>
      <c r="F399" s="6" t="n">
        <f aca="false">(A399+1)^1.12</f>
        <v>816.336172247244</v>
      </c>
      <c r="G399" s="6" t="n">
        <f aca="false">G398+E399</f>
        <v>12875.1554137875</v>
      </c>
    </row>
    <row r="400" customFormat="false" ht="15" hidden="false" customHeight="true" outlineLevel="0" collapsed="false">
      <c r="A400" s="6" t="n">
        <v>398</v>
      </c>
      <c r="B400" s="6" t="n">
        <f aca="false">MIN(42, FLOOR(A400/32,1)+1)</f>
        <v>13</v>
      </c>
      <c r="C400" s="6" t="str">
        <f aca="false">INDEX(Grades_Realms!$B$2:$B$43, B400)</f>
        <v>Golden Core · Initial</v>
      </c>
      <c r="D400" s="6" t="n">
        <f aca="false">(A400+1)^2.4 * 1.004^A400</f>
        <v>8557613.1003052</v>
      </c>
      <c r="E400" s="6" t="n">
        <f aca="false">$I$2*(A400+1)^1.9*1.003^A400</f>
        <v>124.474662706593</v>
      </c>
      <c r="F400" s="6" t="n">
        <f aca="false">(A400+1)^1.12</f>
        <v>818.633745727384</v>
      </c>
      <c r="G400" s="6" t="n">
        <f aca="false">G399+E400</f>
        <v>12999.6300764941</v>
      </c>
    </row>
    <row r="401" customFormat="false" ht="15" hidden="false" customHeight="true" outlineLevel="0" collapsed="false">
      <c r="A401" s="6" t="n">
        <v>399</v>
      </c>
      <c r="B401" s="6" t="n">
        <f aca="false">MIN(42, FLOOR(A401/32,1)+1)</f>
        <v>13</v>
      </c>
      <c r="C401" s="6" t="str">
        <f aca="false">INDEX(Grades_Realms!$B$2:$B$43, B401)</f>
        <v>Golden Core · Initial</v>
      </c>
      <c r="D401" s="6" t="n">
        <f aca="false">(A401+1)^2.4 * 1.004^A401</f>
        <v>8643614.51209059</v>
      </c>
      <c r="E401" s="6" t="n">
        <f aca="false">$I$2*(A401+1)^1.9*1.003^A401</f>
        <v>125.443271842581</v>
      </c>
      <c r="F401" s="6" t="n">
        <f aca="false">(A401+1)^1.12</f>
        <v>820.932010311668</v>
      </c>
      <c r="G401" s="6" t="n">
        <f aca="false">G400+E401</f>
        <v>13125.0733483367</v>
      </c>
    </row>
    <row r="402" customFormat="false" ht="15" hidden="false" customHeight="true" outlineLevel="0" collapsed="false">
      <c r="A402" s="6" t="n">
        <v>400</v>
      </c>
      <c r="B402" s="6" t="n">
        <f aca="false">MIN(42, FLOOR(A402/32,1)+1)</f>
        <v>13</v>
      </c>
      <c r="C402" s="6" t="str">
        <f aca="false">INDEX(Grades_Realms!$B$2:$B$43, B402)</f>
        <v>Golden Core · Initial</v>
      </c>
      <c r="D402" s="6" t="n">
        <f aca="false">(A402+1)^2.4 * 1.004^A402</f>
        <v>8730349.25530626</v>
      </c>
      <c r="E402" s="6" t="n">
        <f aca="false">$I$2*(A402+1)^1.9*1.003^A402</f>
        <v>126.417917058491</v>
      </c>
      <c r="F402" s="6" t="n">
        <f aca="false">(A402+1)^1.12</f>
        <v>823.230964479435</v>
      </c>
      <c r="G402" s="6" t="n">
        <f aca="false">G401+E402</f>
        <v>13251.4912653952</v>
      </c>
    </row>
    <row r="403" customFormat="false" ht="15" hidden="false" customHeight="true" outlineLevel="0" collapsed="false">
      <c r="A403" s="6" t="n">
        <v>401</v>
      </c>
      <c r="B403" s="6" t="n">
        <f aca="false">MIN(42, FLOOR(A403/32,1)+1)</f>
        <v>13</v>
      </c>
      <c r="C403" s="6" t="str">
        <f aca="false">INDEX(Grades_Realms!$B$2:$B$43, B403)</f>
        <v>Golden Core · Initial</v>
      </c>
      <c r="D403" s="6" t="n">
        <f aca="false">(A403+1)^2.4 * 1.004^A403</f>
        <v>8817822.73238281</v>
      </c>
      <c r="E403" s="6" t="n">
        <f aca="false">$I$2*(A403+1)^1.9*1.003^A403</f>
        <v>127.39862955069</v>
      </c>
      <c r="F403" s="6" t="n">
        <f aca="false">(A403+1)^1.12</f>
        <v>825.530606717154</v>
      </c>
      <c r="G403" s="6" t="n">
        <f aca="false">G402+E403</f>
        <v>13378.8898949459</v>
      </c>
    </row>
    <row r="404" customFormat="false" ht="15" hidden="false" customHeight="true" outlineLevel="0" collapsed="false">
      <c r="A404" s="6" t="n">
        <v>402</v>
      </c>
      <c r="B404" s="6" t="n">
        <f aca="false">MIN(42, FLOOR(A404/32,1)+1)</f>
        <v>13</v>
      </c>
      <c r="C404" s="6" t="str">
        <f aca="false">INDEX(Grades_Realms!$B$2:$B$43, B404)</f>
        <v>Golden Core · Initial</v>
      </c>
      <c r="D404" s="6" t="n">
        <f aca="false">(A404+1)^2.4 * 1.004^A404</f>
        <v>8906040.38134109</v>
      </c>
      <c r="E404" s="6" t="n">
        <f aca="false">$I$2*(A404+1)^1.9*1.003^A404</f>
        <v>128.385440659407</v>
      </c>
      <c r="F404" s="6" t="n">
        <f aca="false">(A404+1)^1.12</f>
        <v>827.830935518376</v>
      </c>
      <c r="G404" s="6" t="n">
        <f aca="false">G403+E404</f>
        <v>13507.2753356053</v>
      </c>
    </row>
    <row r="405" customFormat="false" ht="15" hidden="false" customHeight="true" outlineLevel="0" collapsed="false">
      <c r="A405" s="6" t="n">
        <v>403</v>
      </c>
      <c r="B405" s="6" t="n">
        <f aca="false">MIN(42, FLOOR(A405/32,1)+1)</f>
        <v>13</v>
      </c>
      <c r="C405" s="6" t="str">
        <f aca="false">INDEX(Grades_Realms!$B$2:$B$43, B405)</f>
        <v>Golden Core · Initial</v>
      </c>
      <c r="D405" s="6" t="n">
        <f aca="false">(A405+1)^2.4 * 1.004^A405</f>
        <v>8995007.67600871</v>
      </c>
      <c r="E405" s="6" t="n">
        <f aca="false">$I$2*(A405+1)^1.9*1.003^A405</f>
        <v>129.378381869345</v>
      </c>
      <c r="F405" s="6" t="n">
        <f aca="false">(A405+1)^1.12</f>
        <v>830.131949383677</v>
      </c>
      <c r="G405" s="6" t="n">
        <f aca="false">G404+E405</f>
        <v>13636.6537174746</v>
      </c>
    </row>
    <row r="406" customFormat="false" ht="15" hidden="false" customHeight="true" outlineLevel="0" collapsed="false">
      <c r="A406" s="6" t="n">
        <v>404</v>
      </c>
      <c r="B406" s="6" t="n">
        <f aca="false">MIN(42, FLOOR(A406/32,1)+1)</f>
        <v>13</v>
      </c>
      <c r="C406" s="6" t="str">
        <f aca="false">INDEX(Grades_Realms!$B$2:$B$43, B406)</f>
        <v>Golden Core · Initial</v>
      </c>
      <c r="D406" s="6" t="n">
        <f aca="false">(A406+1)^2.4 * 1.004^A406</f>
        <v>9084730.12623779</v>
      </c>
      <c r="E406" s="6" t="n">
        <f aca="false">$I$2*(A406+1)^1.9*1.003^A406</f>
        <v>130.377484810296</v>
      </c>
      <c r="F406" s="6" t="n">
        <f aca="false">(A406+1)^1.12</f>
        <v>832.433646820616</v>
      </c>
      <c r="G406" s="6" t="n">
        <f aca="false">G405+E406</f>
        <v>13767.0312022849</v>
      </c>
    </row>
    <row r="407" customFormat="false" ht="15" hidden="false" customHeight="true" outlineLevel="0" collapsed="false">
      <c r="A407" s="6" t="n">
        <v>405</v>
      </c>
      <c r="B407" s="6" t="n">
        <f aca="false">MIN(42, FLOOR(A407/32,1)+1)</f>
        <v>13</v>
      </c>
      <c r="C407" s="6" t="str">
        <f aca="false">INDEX(Grades_Realms!$B$2:$B$43, B407)</f>
        <v>Golden Core · Initial</v>
      </c>
      <c r="D407" s="6" t="n">
        <f aca="false">(A407+1)^2.4 * 1.004^A407</f>
        <v>9175213.27812396</v>
      </c>
      <c r="E407" s="6" t="n">
        <f aca="false">$I$2*(A407+1)^1.9*1.003^A407</f>
        <v>131.382781257758</v>
      </c>
      <c r="F407" s="6" t="n">
        <f aca="false">(A407+1)^1.12</f>
        <v>834.736026343676</v>
      </c>
      <c r="G407" s="6" t="n">
        <f aca="false">G406+E407</f>
        <v>13898.4139835427</v>
      </c>
    </row>
    <row r="408" customFormat="false" ht="15" hidden="false" customHeight="true" outlineLevel="0" collapsed="false">
      <c r="A408" s="6" t="n">
        <v>406</v>
      </c>
      <c r="B408" s="6" t="n">
        <f aca="false">MIN(42, FLOOR(A408/32,1)+1)</f>
        <v>13</v>
      </c>
      <c r="C408" s="6" t="str">
        <f aca="false">INDEX(Grades_Realms!$B$2:$B$43, B408)</f>
        <v>Golden Core · Initial</v>
      </c>
      <c r="D408" s="6" t="n">
        <f aca="false">(A408+1)^2.4 * 1.004^A408</f>
        <v>9266462.71422668</v>
      </c>
      <c r="E408" s="6" t="n">
        <f aca="false">$I$2*(A408+1)^1.9*1.003^A408</f>
        <v>132.394303133559</v>
      </c>
      <c r="F408" s="6" t="n">
        <f aca="false">(A408+1)^1.12</f>
        <v>837.039086474223</v>
      </c>
      <c r="G408" s="6" t="n">
        <f aca="false">G407+E408</f>
        <v>14030.8082866763</v>
      </c>
    </row>
    <row r="409" customFormat="false" ht="15" hidden="false" customHeight="true" outlineLevel="0" collapsed="false">
      <c r="A409" s="6" t="n">
        <v>407</v>
      </c>
      <c r="B409" s="6" t="n">
        <f aca="false">MIN(42, FLOOR(A409/32,1)+1)</f>
        <v>13</v>
      </c>
      <c r="C409" s="6" t="str">
        <f aca="false">INDEX(Grades_Realms!$B$2:$B$43, B409)</f>
        <v>Golden Core · Initial</v>
      </c>
      <c r="D409" s="6" t="n">
        <f aca="false">(A409+1)^2.4 * 1.004^A409</f>
        <v>9358484.05379071</v>
      </c>
      <c r="E409" s="6" t="n">
        <f aca="false">$I$2*(A409+1)^1.9*1.003^A409</f>
        <v>133.412082506477</v>
      </c>
      <c r="F409" s="6" t="n">
        <f aca="false">(A409+1)^1.12</f>
        <v>839.342825740455</v>
      </c>
      <c r="G409" s="6" t="n">
        <f aca="false">G408+E409</f>
        <v>14164.2203691827</v>
      </c>
    </row>
    <row r="410" customFormat="false" ht="15" hidden="false" customHeight="true" outlineLevel="0" collapsed="false">
      <c r="A410" s="6" t="n">
        <v>408</v>
      </c>
      <c r="B410" s="6" t="n">
        <f aca="false">MIN(42, FLOOR(A410/32,1)+1)</f>
        <v>13</v>
      </c>
      <c r="C410" s="6" t="str">
        <f aca="false">INDEX(Grades_Realms!$B$2:$B$43, B410)</f>
        <v>Golden Core · Initial</v>
      </c>
      <c r="D410" s="6" t="n">
        <f aca="false">(A410+1)^2.4 * 1.004^A410</f>
        <v>9451282.95296895</v>
      </c>
      <c r="E410" s="6" t="n">
        <f aca="false">$I$2*(A410+1)^1.9*1.003^A410</f>
        <v>134.436151592867</v>
      </c>
      <c r="F410" s="6" t="n">
        <f aca="false">(A410+1)^1.12</f>
        <v>841.647242677349</v>
      </c>
      <c r="G410" s="6" t="n">
        <f aca="false">G409+E410</f>
        <v>14298.6565207756</v>
      </c>
    </row>
    <row r="411" customFormat="false" ht="15" hidden="false" customHeight="true" outlineLevel="0" collapsed="false">
      <c r="A411" s="6" t="n">
        <v>409</v>
      </c>
      <c r="B411" s="6" t="n">
        <f aca="false">MIN(42, FLOOR(A411/32,1)+1)</f>
        <v>13</v>
      </c>
      <c r="C411" s="6" t="str">
        <f aca="false">INDEX(Grades_Realms!$B$2:$B$43, B411)</f>
        <v>Golden Core · Initial</v>
      </c>
      <c r="D411" s="6" t="n">
        <f aca="false">(A411+1)^2.4 * 1.004^A411</f>
        <v>9544865.10504647</v>
      </c>
      <c r="E411" s="6" t="n">
        <f aca="false">$I$2*(A411+1)^1.9*1.003^A411</f>
        <v>135.466542757289</v>
      </c>
      <c r="F411" s="6" t="n">
        <f aca="false">(A411+1)^1.12</f>
        <v>843.95233582662</v>
      </c>
      <c r="G411" s="6" t="n">
        <f aca="false">G410+E411</f>
        <v>14434.1230635329</v>
      </c>
    </row>
    <row r="412" customFormat="false" ht="15" hidden="false" customHeight="true" outlineLevel="0" collapsed="false">
      <c r="A412" s="6" t="n">
        <v>410</v>
      </c>
      <c r="B412" s="6" t="n">
        <f aca="false">MIN(42, FLOOR(A412/32,1)+1)</f>
        <v>13</v>
      </c>
      <c r="C412" s="6" t="str">
        <f aca="false">INDEX(Grades_Realms!$B$2:$B$43, B412)</f>
        <v>Golden Core · Initial</v>
      </c>
      <c r="D412" s="6" t="n">
        <f aca="false">(A412+1)^2.4 * 1.004^A412</f>
        <v>9639236.24066588</v>
      </c>
      <c r="E412" s="6" t="n">
        <f aca="false">$I$2*(A412+1)^1.9*1.003^A412</f>
        <v>136.503288513137</v>
      </c>
      <c r="F412" s="6" t="n">
        <f aca="false">(A412+1)^1.12</f>
        <v>846.25810373667</v>
      </c>
      <c r="G412" s="6" t="n">
        <f aca="false">G411+E412</f>
        <v>14570.626352046</v>
      </c>
    </row>
    <row r="413" customFormat="false" ht="15" hidden="false" customHeight="true" outlineLevel="0" collapsed="false">
      <c r="A413" s="6" t="n">
        <v>411</v>
      </c>
      <c r="B413" s="6" t="n">
        <f aca="false">MIN(42, FLOOR(A413/32,1)+1)</f>
        <v>13</v>
      </c>
      <c r="C413" s="6" t="str">
        <f aca="false">INDEX(Grades_Realms!$B$2:$B$43, B413)</f>
        <v>Golden Core · Initial</v>
      </c>
      <c r="D413" s="6" t="n">
        <f aca="false">(A413+1)^2.4 * 1.004^A413</f>
        <v>9734402.12805398</v>
      </c>
      <c r="E413" s="6" t="n">
        <f aca="false">$I$2*(A413+1)^1.9*1.003^A413</f>
        <v>137.546421523276</v>
      </c>
      <c r="F413" s="6" t="n">
        <f aca="false">(A413+1)^1.12</f>
        <v>848.564544962542</v>
      </c>
      <c r="G413" s="6" t="n">
        <f aca="false">G412+E413</f>
        <v>14708.1727735693</v>
      </c>
    </row>
    <row r="414" customFormat="false" ht="15" hidden="false" customHeight="true" outlineLevel="0" collapsed="false">
      <c r="A414" s="6" t="n">
        <v>412</v>
      </c>
      <c r="B414" s="6" t="n">
        <f aca="false">MIN(42, FLOOR(A414/32,1)+1)</f>
        <v>13</v>
      </c>
      <c r="C414" s="6" t="str">
        <f aca="false">INDEX(Grades_Realms!$B$2:$B$43, B414)</f>
        <v>Golden Core · Initial</v>
      </c>
      <c r="D414" s="6" t="n">
        <f aca="false">(A414+1)^2.4 * 1.004^A414</f>
        <v>9830368.57324968</v>
      </c>
      <c r="E414" s="6" t="n">
        <f aca="false">$I$2*(A414+1)^1.9*1.003^A414</f>
        <v>138.595974600674</v>
      </c>
      <c r="F414" s="6" t="n">
        <f aca="false">(A414+1)^1.12</f>
        <v>850.871658065873</v>
      </c>
      <c r="G414" s="6" t="n">
        <f aca="false">G413+E414</f>
        <v>14846.76874817</v>
      </c>
    </row>
    <row r="415" customFormat="false" ht="15" hidden="false" customHeight="true" outlineLevel="0" collapsed="false">
      <c r="A415" s="6" t="n">
        <v>413</v>
      </c>
      <c r="B415" s="6" t="n">
        <f aca="false">MIN(42, FLOOR(A415/32,1)+1)</f>
        <v>13</v>
      </c>
      <c r="C415" s="6" t="str">
        <f aca="false">INDEX(Grades_Realms!$B$2:$B$43, B415)</f>
        <v>Golden Core · Initial</v>
      </c>
      <c r="D415" s="6" t="n">
        <f aca="false">(A415+1)^2.4 * 1.004^A415</f>
        <v>9927141.42033324</v>
      </c>
      <c r="E415" s="6" t="n">
        <f aca="false">$I$2*(A415+1)^1.9*1.003^A415</f>
        <v>139.651980709044</v>
      </c>
      <c r="F415" s="6" t="n">
        <f aca="false">(A415+1)^1.12</f>
        <v>853.17944161485</v>
      </c>
      <c r="G415" s="6" t="n">
        <f aca="false">G414+E415</f>
        <v>14986.420728879</v>
      </c>
    </row>
    <row r="416" customFormat="false" ht="15" hidden="false" customHeight="true" outlineLevel="0" collapsed="false">
      <c r="A416" s="6" t="n">
        <v>414</v>
      </c>
      <c r="B416" s="6" t="n">
        <f aca="false">MIN(42, FLOOR(A416/32,1)+1)</f>
        <v>13</v>
      </c>
      <c r="C416" s="6" t="str">
        <f aca="false">INDEX(Grades_Realms!$B$2:$B$43, B416)</f>
        <v>Golden Core · Initial</v>
      </c>
      <c r="D416" s="6" t="n">
        <f aca="false">(A416+1)^2.4 * 1.004^A416</f>
        <v>10024726.5516568</v>
      </c>
      <c r="E416" s="6" t="n">
        <f aca="false">$I$2*(A416+1)^1.9*1.003^A416</f>
        <v>140.71447296348</v>
      </c>
      <c r="F416" s="6" t="n">
        <f aca="false">(A416+1)^1.12</f>
        <v>855.487894184161</v>
      </c>
      <c r="G416" s="6" t="n">
        <f aca="false">G415+E416</f>
        <v>15127.1352018425</v>
      </c>
    </row>
    <row r="417" customFormat="false" ht="15" hidden="false" customHeight="true" outlineLevel="0" collapsed="false">
      <c r="A417" s="6" t="n">
        <v>415</v>
      </c>
      <c r="B417" s="6" t="n">
        <f aca="false">MIN(42, FLOOR(A417/32,1)+1)</f>
        <v>13</v>
      </c>
      <c r="C417" s="6" t="str">
        <f aca="false">INDEX(Grades_Realms!$B$2:$B$43, B417)</f>
        <v>Golden Core · Initial</v>
      </c>
      <c r="D417" s="6" t="n">
        <f aca="false">(A417+1)^2.4 * 1.004^A417</f>
        <v>10123129.8880764</v>
      </c>
      <c r="E417" s="6" t="n">
        <f aca="false">$I$2*(A417+1)^1.9*1.003^A417</f>
        <v>141.783484631105</v>
      </c>
      <c r="F417" s="6" t="n">
        <f aca="false">(A417+1)^1.12</f>
        <v>857.797014354953</v>
      </c>
      <c r="G417" s="6" t="n">
        <f aca="false">G416+E417</f>
        <v>15268.9186864736</v>
      </c>
    </row>
    <row r="418" customFormat="false" ht="15" hidden="false" customHeight="true" outlineLevel="0" collapsed="false">
      <c r="A418" s="6" t="n">
        <v>416</v>
      </c>
      <c r="B418" s="6" t="n">
        <f aca="false">MIN(42, FLOOR(A418/32,1)+1)</f>
        <v>14</v>
      </c>
      <c r="C418" s="6" t="str">
        <f aca="false">INDEX(Grades_Realms!$B$2:$B$43, B418)</f>
        <v>Golden Core · Advanced</v>
      </c>
      <c r="D418" s="6" t="n">
        <f aca="false">(A418+1)^2.4 * 1.004^A418</f>
        <v>10222357.3891848</v>
      </c>
      <c r="E418" s="6" t="n">
        <f aca="false">$I$2*(A418+1)^1.9*1.003^A418</f>
        <v>142.859049131717</v>
      </c>
      <c r="F418" s="6" t="n">
        <f aca="false">(A418+1)^1.12</f>
        <v>860.106800714785</v>
      </c>
      <c r="G418" s="6" t="n">
        <f aca="false">G417+E418</f>
        <v>15411.7777356053</v>
      </c>
    </row>
    <row r="419" customFormat="false" ht="15" hidden="false" customHeight="true" outlineLevel="0" collapsed="false">
      <c r="A419" s="6" t="n">
        <v>417</v>
      </c>
      <c r="B419" s="6" t="n">
        <f aca="false">MIN(42, FLOOR(A419/32,1)+1)</f>
        <v>14</v>
      </c>
      <c r="C419" s="6" t="str">
        <f aca="false">INDEX(Grades_Realms!$B$2:$B$43, B419)</f>
        <v>Golden Core · Advanced</v>
      </c>
      <c r="D419" s="6" t="n">
        <f aca="false">(A419+1)^2.4 * 1.004^A419</f>
        <v>10322415.0535464</v>
      </c>
      <c r="E419" s="6" t="n">
        <f aca="false">$I$2*(A419+1)^1.9*1.003^A419</f>
        <v>143.941200038435</v>
      </c>
      <c r="F419" s="6" t="n">
        <f aca="false">(A419+1)^1.12</f>
        <v>862.417251857586</v>
      </c>
      <c r="G419" s="6" t="n">
        <f aca="false">G418+E419</f>
        <v>15555.7189356438</v>
      </c>
    </row>
    <row r="420" customFormat="false" ht="15" hidden="false" customHeight="true" outlineLevel="0" collapsed="false">
      <c r="A420" s="6" t="n">
        <v>418</v>
      </c>
      <c r="B420" s="6" t="n">
        <f aca="false">MIN(42, FLOOR(A420/32,1)+1)</f>
        <v>14</v>
      </c>
      <c r="C420" s="6" t="str">
        <f aca="false">INDEX(Grades_Realms!$B$2:$B$43, B420)</f>
        <v>Golden Core · Advanced</v>
      </c>
      <c r="D420" s="6" t="n">
        <f aca="false">(A420+1)^2.4 * 1.004^A420</f>
        <v>10423308.9189329</v>
      </c>
      <c r="E420" s="6" t="n">
        <f aca="false">$I$2*(A420+1)^1.9*1.003^A420</f>
        <v>145.029971078351</v>
      </c>
      <c r="F420" s="6" t="n">
        <f aca="false">(A420+1)^1.12</f>
        <v>864.728366383609</v>
      </c>
      <c r="G420" s="6" t="n">
        <f aca="false">G419+E420</f>
        <v>15700.7489067221</v>
      </c>
    </row>
    <row r="421" customFormat="false" ht="15" hidden="false" customHeight="true" outlineLevel="0" collapsed="false">
      <c r="A421" s="6" t="n">
        <v>419</v>
      </c>
      <c r="B421" s="6" t="n">
        <f aca="false">MIN(42, FLOOR(A421/32,1)+1)</f>
        <v>14</v>
      </c>
      <c r="C421" s="6" t="str">
        <f aca="false">INDEX(Grades_Realms!$B$2:$B$43, B421)</f>
        <v>Golden Core · Advanced</v>
      </c>
      <c r="D421" s="6" t="n">
        <f aca="false">(A421+1)^2.4 * 1.004^A421</f>
        <v>10525045.0625605</v>
      </c>
      <c r="E421" s="6" t="n">
        <f aca="false">$I$2*(A421+1)^1.9*1.003^A421</f>
        <v>146.125396133187</v>
      </c>
      <c r="F421" s="6" t="n">
        <f aca="false">(A421+1)^1.12</f>
        <v>867.040142899389</v>
      </c>
      <c r="G421" s="6" t="n">
        <f aca="false">G420+E421</f>
        <v>15846.8743028553</v>
      </c>
    </row>
    <row r="422" customFormat="false" ht="15" hidden="false" customHeight="true" outlineLevel="0" collapsed="false">
      <c r="A422" s="6" t="n">
        <v>420</v>
      </c>
      <c r="B422" s="6" t="n">
        <f aca="false">MIN(42, FLOOR(A422/32,1)+1)</f>
        <v>14</v>
      </c>
      <c r="C422" s="6" t="str">
        <f aca="false">INDEX(Grades_Realms!$B$2:$B$43, B422)</f>
        <v>Golden Core · Advanced</v>
      </c>
      <c r="D422" s="6" t="n">
        <f aca="false">(A422+1)^2.4 * 1.004^A422</f>
        <v>10627629.6013287</v>
      </c>
      <c r="E422" s="6" t="n">
        <f aca="false">$I$2*(A422+1)^1.9*1.003^A422</f>
        <v>147.227509239949</v>
      </c>
      <c r="F422" s="6" t="n">
        <f aca="false">(A422+1)^1.12</f>
        <v>869.352580017699</v>
      </c>
      <c r="G422" s="6" t="n">
        <f aca="false">G421+E422</f>
        <v>15994.1018120952</v>
      </c>
    </row>
    <row r="423" customFormat="false" ht="15" hidden="false" customHeight="true" outlineLevel="0" collapsed="false">
      <c r="A423" s="6" t="n">
        <v>421</v>
      </c>
      <c r="B423" s="6" t="n">
        <f aca="false">MIN(42, FLOOR(A423/32,1)+1)</f>
        <v>14</v>
      </c>
      <c r="C423" s="6" t="str">
        <f aca="false">INDEX(Grades_Realms!$B$2:$B$43, B423)</f>
        <v>Golden Core · Advanced</v>
      </c>
      <c r="D423" s="6" t="n">
        <f aca="false">(A423+1)^2.4 * 1.004^A423</f>
        <v>10731068.6920597</v>
      </c>
      <c r="E423" s="6" t="n">
        <f aca="false">$I$2*(A423+1)^1.9*1.003^A423</f>
        <v>148.336344591586</v>
      </c>
      <c r="F423" s="6" t="n">
        <f aca="false">(A423+1)^1.12</f>
        <v>871.665676357507</v>
      </c>
      <c r="G423" s="6" t="n">
        <f aca="false">G422+E423</f>
        <v>16142.4381566868</v>
      </c>
    </row>
    <row r="424" customFormat="false" ht="15" hidden="false" customHeight="true" outlineLevel="0" collapsed="false">
      <c r="A424" s="6" t="n">
        <v>422</v>
      </c>
      <c r="B424" s="6" t="n">
        <f aca="false">MIN(42, FLOOR(A424/32,1)+1)</f>
        <v>14</v>
      </c>
      <c r="C424" s="6" t="str">
        <f aca="false">INDEX(Grades_Realms!$B$2:$B$43, B424)</f>
        <v>Golden Core · Advanced</v>
      </c>
      <c r="D424" s="6" t="n">
        <f aca="false">(A424+1)^2.4 * 1.004^A424</f>
        <v>10835368.5317403</v>
      </c>
      <c r="E424" s="6" t="n">
        <f aca="false">$I$2*(A424+1)^1.9*1.003^A424</f>
        <v>149.451936537653</v>
      </c>
      <c r="F424" s="6" t="n">
        <f aca="false">(A424+1)^1.12</f>
        <v>873.979430543937</v>
      </c>
      <c r="G424" s="6" t="n">
        <f aca="false">G423+E424</f>
        <v>16291.8900932245</v>
      </c>
    </row>
    <row r="425" customFormat="false" ht="15" hidden="false" customHeight="true" outlineLevel="0" collapsed="false">
      <c r="A425" s="6" t="n">
        <v>423</v>
      </c>
      <c r="B425" s="6" t="n">
        <f aca="false">MIN(42, FLOOR(A425/32,1)+1)</f>
        <v>14</v>
      </c>
      <c r="C425" s="6" t="str">
        <f aca="false">INDEX(Grades_Realms!$B$2:$B$43, B425)</f>
        <v>Golden Core · Advanced</v>
      </c>
      <c r="D425" s="6" t="n">
        <f aca="false">(A425+1)^2.4 * 1.004^A425</f>
        <v>10940535.3577641</v>
      </c>
      <c r="E425" s="6" t="n">
        <f aca="false">$I$2*(A425+1)^1.9*1.003^A425</f>
        <v>150.574319584976</v>
      </c>
      <c r="F425" s="6" t="n">
        <f aca="false">(A425+1)^1.12</f>
        <v>876.29384120822</v>
      </c>
      <c r="G425" s="6" t="n">
        <f aca="false">G424+E425</f>
        <v>16442.4644128095</v>
      </c>
    </row>
    <row r="426" customFormat="false" ht="15" hidden="false" customHeight="true" outlineLevel="0" collapsed="false">
      <c r="A426" s="6" t="n">
        <v>424</v>
      </c>
      <c r="B426" s="6" t="n">
        <f aca="false">MIN(42, FLOOR(A426/32,1)+1)</f>
        <v>14</v>
      </c>
      <c r="C426" s="6" t="str">
        <f aca="false">INDEX(Grades_Realms!$B$2:$B$43, B426)</f>
        <v>Golden Core · Advanced</v>
      </c>
      <c r="D426" s="6" t="n">
        <f aca="false">(A426+1)^2.4 * 1.004^A426</f>
        <v>11046575.4481759</v>
      </c>
      <c r="E426" s="6" t="n">
        <f aca="false">$I$2*(A426+1)^1.9*1.003^A426</f>
        <v>151.703528398321</v>
      </c>
      <c r="F426" s="6" t="n">
        <f aca="false">(A426+1)^1.12</f>
        <v>878.608906987661</v>
      </c>
      <c r="G426" s="6" t="n">
        <f aca="false">G425+E426</f>
        <v>16594.1679412078</v>
      </c>
    </row>
    <row r="427" customFormat="false" ht="15" hidden="false" customHeight="true" outlineLevel="0" collapsed="false">
      <c r="A427" s="6" t="n">
        <v>425</v>
      </c>
      <c r="B427" s="6" t="n">
        <f aca="false">MIN(42, FLOOR(A427/32,1)+1)</f>
        <v>14</v>
      </c>
      <c r="C427" s="6" t="str">
        <f aca="false">INDEX(Grades_Realms!$B$2:$B$43, B427)</f>
        <v>Golden Core · Advanced</v>
      </c>
      <c r="D427" s="6" t="n">
        <f aca="false">(A427+1)^2.4 * 1.004^A427</f>
        <v>11153495.1219167</v>
      </c>
      <c r="E427" s="6" t="n">
        <f aca="false">$I$2*(A427+1)^1.9*1.003^A427</f>
        <v>152.839597801058</v>
      </c>
      <c r="F427" s="6" t="n">
        <f aca="false">(A427+1)^1.12</f>
        <v>880.924626525592</v>
      </c>
      <c r="G427" s="6" t="n">
        <f aca="false">G426+E427</f>
        <v>16747.0075390088</v>
      </c>
    </row>
    <row r="428" customFormat="false" ht="15" hidden="false" customHeight="true" outlineLevel="0" collapsed="false">
      <c r="A428" s="6" t="n">
        <v>426</v>
      </c>
      <c r="B428" s="6" t="n">
        <f aca="false">MIN(42, FLOOR(A428/32,1)+1)</f>
        <v>14</v>
      </c>
      <c r="C428" s="6" t="str">
        <f aca="false">INDEX(Grades_Realms!$B$2:$B$43, B428)</f>
        <v>Golden Core · Advanced</v>
      </c>
      <c r="D428" s="6" t="n">
        <f aca="false">(A428+1)^2.4 * 1.004^A428</f>
        <v>11261300.7390711</v>
      </c>
      <c r="E428" s="6" t="n">
        <f aca="false">$I$2*(A428+1)^1.9*1.003^A428</f>
        <v>153.98256277584</v>
      </c>
      <c r="F428" s="6" t="n">
        <f aca="false">(A428+1)^1.12</f>
        <v>883.240998471333</v>
      </c>
      <c r="G428" s="6" t="n">
        <f aca="false">G427+E428</f>
        <v>16900.9901017847</v>
      </c>
    </row>
    <row r="429" customFormat="false" ht="15" hidden="false" customHeight="true" outlineLevel="0" collapsed="false">
      <c r="A429" s="6" t="n">
        <v>427</v>
      </c>
      <c r="B429" s="6" t="n">
        <f aca="false">MIN(42, FLOOR(A429/32,1)+1)</f>
        <v>14</v>
      </c>
      <c r="C429" s="6" t="str">
        <f aca="false">INDEX(Grades_Realms!$B$2:$B$43, B429)</f>
        <v>Golden Core · Advanced</v>
      </c>
      <c r="D429" s="6" t="n">
        <f aca="false">(A429+1)^2.4 * 1.004^A429</f>
        <v>11369998.701115</v>
      </c>
      <c r="E429" s="6" t="n">
        <f aca="false">$I$2*(A429+1)^1.9*1.003^A429</f>
        <v>155.132458465277</v>
      </c>
      <c r="F429" s="6" t="n">
        <f aca="false">(A429+1)^1.12</f>
        <v>885.558021480152</v>
      </c>
      <c r="G429" s="6" t="n">
        <f aca="false">G428+E429</f>
        <v>17056.12256025</v>
      </c>
    </row>
    <row r="430" customFormat="false" ht="15" hidden="false" customHeight="true" outlineLevel="0" collapsed="false">
      <c r="A430" s="6" t="n">
        <v>428</v>
      </c>
      <c r="B430" s="6" t="n">
        <f aca="false">MIN(42, FLOOR(A430/32,1)+1)</f>
        <v>14</v>
      </c>
      <c r="C430" s="6" t="str">
        <f aca="false">INDEX(Grades_Realms!$B$2:$B$43, B430)</f>
        <v>Golden Core · Advanced</v>
      </c>
      <c r="D430" s="6" t="n">
        <f aca="false">(A430+1)^2.4 * 1.004^A430</f>
        <v>11479595.4511657</v>
      </c>
      <c r="E430" s="6" t="n">
        <f aca="false">$I$2*(A430+1)^1.9*1.003^A430</f>
        <v>156.289320172612</v>
      </c>
      <c r="F430" s="6" t="n">
        <f aca="false">(A430+1)^1.12</f>
        <v>887.875694213224</v>
      </c>
      <c r="G430" s="6" t="n">
        <f aca="false">G429+E430</f>
        <v>17212.4118804226</v>
      </c>
    </row>
    <row r="431" customFormat="false" ht="15" hidden="false" customHeight="true" outlineLevel="0" collapsed="false">
      <c r="A431" s="6" t="n">
        <v>429</v>
      </c>
      <c r="B431" s="6" t="n">
        <f aca="false">MIN(42, FLOOR(A431/32,1)+1)</f>
        <v>14</v>
      </c>
      <c r="C431" s="6" t="str">
        <f aca="false">INDEX(Grades_Realms!$B$2:$B$43, B431)</f>
        <v>Golden Core · Advanced</v>
      </c>
      <c r="D431" s="6" t="n">
        <f aca="false">(A431+1)^2.4 * 1.004^A431</f>
        <v>11590097.4742326</v>
      </c>
      <c r="E431" s="6" t="n">
        <f aca="false">$I$2*(A431+1)^1.9*1.003^A431</f>
        <v>157.453183362404</v>
      </c>
      <c r="F431" s="6" t="n">
        <f aca="false">(A431+1)^1.12</f>
        <v>890.194015337594</v>
      </c>
      <c r="G431" s="6" t="n">
        <f aca="false">G430+E431</f>
        <v>17369.865063785</v>
      </c>
    </row>
    <row r="432" customFormat="false" ht="15" hidden="false" customHeight="true" outlineLevel="0" collapsed="false">
      <c r="A432" s="6" t="n">
        <v>430</v>
      </c>
      <c r="B432" s="6" t="n">
        <f aca="false">MIN(42, FLOOR(A432/32,1)+1)</f>
        <v>14</v>
      </c>
      <c r="C432" s="6" t="str">
        <f aca="false">INDEX(Grades_Realms!$B$2:$B$43, B432)</f>
        <v>Golden Core · Advanced</v>
      </c>
      <c r="D432" s="6" t="n">
        <f aca="false">(A432+1)^2.4 * 1.004^A432</f>
        <v>11701511.29747</v>
      </c>
      <c r="E432" s="6" t="n">
        <f aca="false">$I$2*(A432+1)^1.9*1.003^A432</f>
        <v>158.624083661211</v>
      </c>
      <c r="F432" s="6" t="n">
        <f aca="false">(A432+1)^1.12</f>
        <v>892.512983526133</v>
      </c>
      <c r="G432" s="6" t="n">
        <f aca="false">G431+E432</f>
        <v>17528.4891474462</v>
      </c>
    </row>
    <row r="433" customFormat="false" ht="15" hidden="false" customHeight="true" outlineLevel="0" collapsed="false">
      <c r="A433" s="6" t="n">
        <v>431</v>
      </c>
      <c r="B433" s="6" t="n">
        <f aca="false">MIN(42, FLOOR(A433/32,1)+1)</f>
        <v>14</v>
      </c>
      <c r="C433" s="6" t="str">
        <f aca="false">INDEX(Grades_Realms!$B$2:$B$43, B433)</f>
        <v>Golden Core · Advanced</v>
      </c>
      <c r="D433" s="6" t="n">
        <f aca="false">(A433+1)^2.4 * 1.004^A433</f>
        <v>11813843.4904311</v>
      </c>
      <c r="E433" s="6" t="n">
        <f aca="false">$I$2*(A433+1)^1.9*1.003^A433</f>
        <v>159.802056858276</v>
      </c>
      <c r="F433" s="6" t="n">
        <f aca="false">(A433+1)^1.12</f>
        <v>894.832597457502</v>
      </c>
      <c r="G433" s="6" t="n">
        <f aca="false">G432+E433</f>
        <v>17688.2912043045</v>
      </c>
    </row>
    <row r="434" customFormat="false" ht="15" hidden="false" customHeight="true" outlineLevel="0" collapsed="false">
      <c r="A434" s="6" t="n">
        <v>432</v>
      </c>
      <c r="B434" s="6" t="n">
        <f aca="false">MIN(42, FLOOR(A434/32,1)+1)</f>
        <v>14</v>
      </c>
      <c r="C434" s="6" t="str">
        <f aca="false">INDEX(Grades_Realms!$B$2:$B$43, B434)</f>
        <v>Golden Core · Advanced</v>
      </c>
      <c r="D434" s="6" t="n">
        <f aca="false">(A434+1)^2.4 * 1.004^A434</f>
        <v>11927100.6653228</v>
      </c>
      <c r="E434" s="6" t="n">
        <f aca="false">$I$2*(A434+1)^1.9*1.003^A434</f>
        <v>160.987138906217</v>
      </c>
      <c r="F434" s="6" t="n">
        <f aca="false">(A434+1)^1.12</f>
        <v>897.152855816116</v>
      </c>
      <c r="G434" s="6" t="n">
        <f aca="false">G433+E434</f>
        <v>17849.2783432107</v>
      </c>
    </row>
    <row r="435" customFormat="false" ht="15" hidden="false" customHeight="true" outlineLevel="0" collapsed="false">
      <c r="A435" s="6" t="n">
        <v>433</v>
      </c>
      <c r="B435" s="6" t="n">
        <f aca="false">MIN(42, FLOOR(A435/32,1)+1)</f>
        <v>14</v>
      </c>
      <c r="C435" s="6" t="str">
        <f aca="false">INDEX(Grades_Realms!$B$2:$B$43, B435)</f>
        <v>Golden Core · Advanced</v>
      </c>
      <c r="D435" s="6" t="n">
        <f aca="false">(A435+1)^2.4 * 1.004^A435</f>
        <v>12041289.4772633</v>
      </c>
      <c r="E435" s="6" t="n">
        <f aca="false">$I$2*(A435+1)^1.9*1.003^A435</f>
        <v>162.179365921718</v>
      </c>
      <c r="F435" s="6" t="n">
        <f aca="false">(A435+1)^1.12</f>
        <v>899.473757292099</v>
      </c>
      <c r="G435" s="6" t="n">
        <f aca="false">G434+E435</f>
        <v>18011.4577091324</v>
      </c>
    </row>
    <row r="436" customFormat="false" ht="15" hidden="false" customHeight="true" outlineLevel="0" collapsed="false">
      <c r="A436" s="6" t="n">
        <v>434</v>
      </c>
      <c r="B436" s="6" t="n">
        <f aca="false">MIN(42, FLOOR(A436/32,1)+1)</f>
        <v>14</v>
      </c>
      <c r="C436" s="6" t="str">
        <f aca="false">INDEX(Grades_Realms!$B$2:$B$43, B436)</f>
        <v>Golden Core · Advanced</v>
      </c>
      <c r="D436" s="6" t="n">
        <f aca="false">(A436+1)^2.4 * 1.004^A436</f>
        <v>12156416.6245401</v>
      </c>
      <c r="E436" s="6" t="n">
        <f aca="false">$I$2*(A436+1)^1.9*1.003^A436</f>
        <v>163.378774186227</v>
      </c>
      <c r="F436" s="6" t="n">
        <f aca="false">(A436+1)^1.12</f>
        <v>901.795300581252</v>
      </c>
      <c r="G436" s="6" t="n">
        <f aca="false">G435+E436</f>
        <v>18174.8364833186</v>
      </c>
    </row>
    <row r="437" customFormat="false" ht="15" hidden="false" customHeight="true" outlineLevel="0" collapsed="false">
      <c r="A437" s="6" t="n">
        <v>435</v>
      </c>
      <c r="B437" s="6" t="n">
        <f aca="false">MIN(42, FLOOR(A437/32,1)+1)</f>
        <v>14</v>
      </c>
      <c r="C437" s="6" t="str">
        <f aca="false">INDEX(Grades_Realms!$B$2:$B$43, B437)</f>
        <v>Golden Core · Advanced</v>
      </c>
      <c r="D437" s="6" t="n">
        <f aca="false">(A437+1)^2.4 * 1.004^A437</f>
        <v>12272488.8488695</v>
      </c>
      <c r="E437" s="6" t="n">
        <f aca="false">$I$2*(A437+1)^1.9*1.003^A437</f>
        <v>164.585400146648</v>
      </c>
      <c r="F437" s="6" t="n">
        <f aca="false">(A437+1)^1.12</f>
        <v>904.117484385013</v>
      </c>
      <c r="G437" s="6" t="n">
        <f aca="false">G436+E437</f>
        <v>18339.4218834653</v>
      </c>
    </row>
    <row r="438" customFormat="false" ht="15" hidden="false" customHeight="true" outlineLevel="0" collapsed="false">
      <c r="A438" s="6" t="n">
        <v>436</v>
      </c>
      <c r="B438" s="6" t="n">
        <f aca="false">MIN(42, FLOOR(A438/32,1)+1)</f>
        <v>14</v>
      </c>
      <c r="C438" s="6" t="str">
        <f aca="false">INDEX(Grades_Realms!$B$2:$B$43, B438)</f>
        <v>Golden Core · Advanced</v>
      </c>
      <c r="D438" s="6" t="n">
        <f aca="false">(A438+1)^2.4 * 1.004^A438</f>
        <v>12389512.9356584</v>
      </c>
      <c r="E438" s="6" t="n">
        <f aca="false">$I$2*(A438+1)^1.9*1.003^A438</f>
        <v>165.799280416047</v>
      </c>
      <c r="F438" s="6" t="n">
        <f aca="false">(A438+1)^1.12</f>
        <v>906.44030741042</v>
      </c>
      <c r="G438" s="6" t="n">
        <f aca="false">G437+E438</f>
        <v>18505.2211638813</v>
      </c>
    </row>
    <row r="439" customFormat="false" ht="15" hidden="false" customHeight="true" outlineLevel="0" collapsed="false">
      <c r="A439" s="6" t="n">
        <v>437</v>
      </c>
      <c r="B439" s="6" t="n">
        <f aca="false">MIN(42, FLOOR(A439/32,1)+1)</f>
        <v>14</v>
      </c>
      <c r="C439" s="6" t="str">
        <f aca="false">INDEX(Grades_Realms!$B$2:$B$43, B439)</f>
        <v>Golden Core · Advanced</v>
      </c>
      <c r="D439" s="6" t="n">
        <f aca="false">(A439+1)^2.4 * 1.004^A439</f>
        <v>12507495.7142664</v>
      </c>
      <c r="E439" s="6" t="n">
        <f aca="false">$I$2*(A439+1)^1.9*1.003^A439</f>
        <v>167.020451774349</v>
      </c>
      <c r="F439" s="6" t="n">
        <f aca="false">(A439+1)^1.12</f>
        <v>908.763768370074</v>
      </c>
      <c r="G439" s="6" t="n">
        <f aca="false">G438+E439</f>
        <v>18672.2416156557</v>
      </c>
    </row>
    <row r="440" customFormat="false" ht="15" hidden="false" customHeight="true" outlineLevel="0" collapsed="false">
      <c r="A440" s="6" t="n">
        <v>438</v>
      </c>
      <c r="B440" s="6" t="n">
        <f aca="false">MIN(42, FLOOR(A440/32,1)+1)</f>
        <v>14</v>
      </c>
      <c r="C440" s="6" t="str">
        <f aca="false">INDEX(Grades_Realms!$B$2:$B$43, B440)</f>
        <v>Golden Core · Advanced</v>
      </c>
      <c r="D440" s="6" t="n">
        <f aca="false">(A440+1)^2.4 * 1.004^A440</f>
        <v>12626444.0582705</v>
      </c>
      <c r="E440" s="6" t="n">
        <f aca="false">$I$2*(A440+1)^1.9*1.003^A440</f>
        <v>168.248951169051</v>
      </c>
      <c r="F440" s="6" t="n">
        <f aca="false">(A440+1)^1.12</f>
        <v>911.087865982104</v>
      </c>
      <c r="G440" s="6" t="n">
        <f aca="false">G439+E440</f>
        <v>18840.4905668247</v>
      </c>
    </row>
    <row r="441" customFormat="false" ht="15" hidden="false" customHeight="true" outlineLevel="0" collapsed="false">
      <c r="A441" s="6" t="n">
        <v>439</v>
      </c>
      <c r="B441" s="6" t="n">
        <f aca="false">MIN(42, FLOOR(A441/32,1)+1)</f>
        <v>14</v>
      </c>
      <c r="C441" s="6" t="str">
        <f aca="false">INDEX(Grades_Realms!$B$2:$B$43, B441)</f>
        <v>Golden Core · Advanced</v>
      </c>
      <c r="D441" s="6" t="n">
        <f aca="false">(A441+1)^2.4 * 1.004^A441</f>
        <v>12746364.8857308</v>
      </c>
      <c r="E441" s="6" t="n">
        <f aca="false">$I$2*(A441+1)^1.9*1.003^A441</f>
        <v>169.484815715927</v>
      </c>
      <c r="F441" s="6" t="n">
        <f aca="false">(A441+1)^1.12</f>
        <v>913.412598970126</v>
      </c>
      <c r="G441" s="6" t="n">
        <f aca="false">G440+E441</f>
        <v>19009.9753825406</v>
      </c>
    </row>
    <row r="442" customFormat="false" ht="15" hidden="false" customHeight="true" outlineLevel="0" collapsed="false">
      <c r="A442" s="6" t="n">
        <v>440</v>
      </c>
      <c r="B442" s="6" t="n">
        <f aca="false">MIN(42, FLOOR(A442/32,1)+1)</f>
        <v>14</v>
      </c>
      <c r="C442" s="6" t="str">
        <f aca="false">INDEX(Grades_Realms!$B$2:$B$43, B442)</f>
        <v>Golden Core · Advanced</v>
      </c>
      <c r="D442" s="6" t="n">
        <f aca="false">(A442+1)^2.4 * 1.004^A442</f>
        <v>12867265.1594576</v>
      </c>
      <c r="E442" s="6" t="n">
        <f aca="false">$I$2*(A442+1)^1.9*1.003^A442</f>
        <v>170.72808269974</v>
      </c>
      <c r="F442" s="6" t="n">
        <f aca="false">(A442+1)^1.12</f>
        <v>915.737966063215</v>
      </c>
      <c r="G442" s="6" t="n">
        <f aca="false">G441+E442</f>
        <v>19180.7034652404</v>
      </c>
    </row>
    <row r="443" customFormat="false" ht="15" hidden="false" customHeight="true" outlineLevel="0" collapsed="false">
      <c r="A443" s="6" t="n">
        <v>441</v>
      </c>
      <c r="B443" s="6" t="n">
        <f aca="false">MIN(42, FLOOR(A443/32,1)+1)</f>
        <v>14</v>
      </c>
      <c r="C443" s="6" t="str">
        <f aca="false">INDEX(Grades_Realms!$B$2:$B$43, B443)</f>
        <v>Golden Core · Advanced</v>
      </c>
      <c r="D443" s="6" t="n">
        <f aca="false">(A443+1)^2.4 * 1.004^A443</f>
        <v>12989151.8872799</v>
      </c>
      <c r="E443" s="6" t="n">
        <f aca="false">$I$2*(A443+1)^1.9*1.003^A443</f>
        <v>171.978789574955</v>
      </c>
      <c r="F443" s="6" t="n">
        <f aca="false">(A443+1)^1.12</f>
        <v>918.06396599586</v>
      </c>
      <c r="G443" s="6" t="n">
        <f aca="false">G442+E443</f>
        <v>19352.6822548153</v>
      </c>
    </row>
    <row r="444" customFormat="false" ht="15" hidden="false" customHeight="true" outlineLevel="0" collapsed="false">
      <c r="A444" s="6" t="n">
        <v>442</v>
      </c>
      <c r="B444" s="6" t="n">
        <f aca="false">MIN(42, FLOOR(A444/32,1)+1)</f>
        <v>14</v>
      </c>
      <c r="C444" s="6" t="str">
        <f aca="false">INDEX(Grades_Realms!$B$2:$B$43, B444)</f>
        <v>Golden Core · Advanced</v>
      </c>
      <c r="D444" s="6" t="n">
        <f aca="false">(A444+1)^2.4 * 1.004^A444</f>
        <v>13112032.1223162</v>
      </c>
      <c r="E444" s="6" t="n">
        <f aca="false">$I$2*(A444+1)^1.9*1.003^A444</f>
        <v>173.236973966462</v>
      </c>
      <c r="F444" s="6" t="n">
        <f aca="false">(A444+1)^1.12</f>
        <v>920.390597507937</v>
      </c>
      <c r="G444" s="6" t="n">
        <f aca="false">G443+E444</f>
        <v>19525.9192287818</v>
      </c>
    </row>
    <row r="445" customFormat="false" ht="15" hidden="false" customHeight="true" outlineLevel="0" collapsed="false">
      <c r="A445" s="6" t="n">
        <v>443</v>
      </c>
      <c r="B445" s="6" t="n">
        <f aca="false">MIN(42, FLOOR(A445/32,1)+1)</f>
        <v>14</v>
      </c>
      <c r="C445" s="6" t="str">
        <f aca="false">INDEX(Grades_Realms!$B$2:$B$43, B445)</f>
        <v>Golden Core · Advanced</v>
      </c>
      <c r="D445" s="6" t="n">
        <f aca="false">(A445+1)^2.4 * 1.004^A445</f>
        <v>13235912.9632461</v>
      </c>
      <c r="E445" s="6" t="n">
        <f aca="false">$I$2*(A445+1)^1.9*1.003^A445</f>
        <v>174.502673670289</v>
      </c>
      <c r="F445" s="6" t="n">
        <f aca="false">(A445+1)^1.12</f>
        <v>922.717859344669</v>
      </c>
      <c r="G445" s="6" t="n">
        <f aca="false">G444+E445</f>
        <v>19700.4219024521</v>
      </c>
    </row>
    <row r="446" customFormat="false" ht="15" hidden="false" customHeight="true" outlineLevel="0" collapsed="false">
      <c r="A446" s="6" t="n">
        <v>444</v>
      </c>
      <c r="B446" s="6" t="n">
        <f aca="false">MIN(42, FLOOR(A446/32,1)+1)</f>
        <v>14</v>
      </c>
      <c r="C446" s="6" t="str">
        <f aca="false">INDEX(Grades_Realms!$B$2:$B$43, B446)</f>
        <v>Golden Core · Advanced</v>
      </c>
      <c r="D446" s="6" t="n">
        <f aca="false">(A446+1)^2.4 * 1.004^A446</f>
        <v>13360801.5545834</v>
      </c>
      <c r="E446" s="6" t="n">
        <f aca="false">$I$2*(A446+1)^1.9*1.003^A446</f>
        <v>175.775926654332</v>
      </c>
      <c r="F446" s="6" t="n">
        <f aca="false">(A446+1)^1.12</f>
        <v>925.045750256593</v>
      </c>
      <c r="G446" s="6" t="n">
        <f aca="false">G445+E446</f>
        <v>19876.1978291064</v>
      </c>
    </row>
    <row r="447" customFormat="false" ht="15" hidden="false" customHeight="true" outlineLevel="0" collapsed="false">
      <c r="A447" s="6" t="n">
        <v>445</v>
      </c>
      <c r="B447" s="6" t="n">
        <f aca="false">MIN(42, FLOOR(A447/32,1)+1)</f>
        <v>14</v>
      </c>
      <c r="C447" s="6" t="str">
        <f aca="false">INDEX(Grades_Realms!$B$2:$B$43, B447)</f>
        <v>Golden Core · Advanced</v>
      </c>
      <c r="D447" s="6" t="n">
        <f aca="false">(A447+1)^2.4 * 1.004^A447</f>
        <v>13486705.0869515</v>
      </c>
      <c r="E447" s="6" t="n">
        <f aca="false">$I$2*(A447+1)^1.9*1.003^A447</f>
        <v>177.056771059076</v>
      </c>
      <c r="F447" s="6" t="n">
        <f aca="false">(A447+1)^1.12</f>
        <v>927.374268999525</v>
      </c>
      <c r="G447" s="6" t="n">
        <f aca="false">G446+E447</f>
        <v>20053.2546001655</v>
      </c>
    </row>
    <row r="448" customFormat="false" ht="15" hidden="false" customHeight="true" outlineLevel="0" collapsed="false">
      <c r="A448" s="6" t="n">
        <v>446</v>
      </c>
      <c r="B448" s="6" t="n">
        <f aca="false">MIN(42, FLOOR(A448/32,1)+1)</f>
        <v>14</v>
      </c>
      <c r="C448" s="6" t="str">
        <f aca="false">INDEX(Grades_Realms!$B$2:$B$43, B448)</f>
        <v>Golden Core · Advanced</v>
      </c>
      <c r="D448" s="6" t="n">
        <f aca="false">(A448+1)^2.4 * 1.004^A448</f>
        <v>13613630.7973593</v>
      </c>
      <c r="E448" s="6" t="n">
        <f aca="false">$I$2*(A448+1)^1.9*1.003^A448</f>
        <v>178.345245198329</v>
      </c>
      <c r="F448" s="6" t="n">
        <f aca="false">(A448+1)^1.12</f>
        <v>929.703414334526</v>
      </c>
      <c r="G448" s="6" t="n">
        <f aca="false">G447+E448</f>
        <v>20231.5998453638</v>
      </c>
    </row>
    <row r="449" customFormat="false" ht="15" hidden="false" customHeight="true" outlineLevel="0" collapsed="false">
      <c r="A449" s="6" t="n">
        <v>447</v>
      </c>
      <c r="B449" s="6" t="n">
        <f aca="false">MIN(42, FLOOR(A449/32,1)+1)</f>
        <v>14</v>
      </c>
      <c r="C449" s="6" t="str">
        <f aca="false">INDEX(Grades_Realms!$B$2:$B$43, B449)</f>
        <v>Golden Core · Advanced</v>
      </c>
      <c r="D449" s="6" t="n">
        <f aca="false">(A449+1)^2.4 * 1.004^A449</f>
        <v>13741585.9694798</v>
      </c>
      <c r="E449" s="6" t="n">
        <f aca="false">$I$2*(A449+1)^1.9*1.003^A449</f>
        <v>179.641387559948</v>
      </c>
      <c r="F449" s="6" t="n">
        <f aca="false">(A449+1)^1.12</f>
        <v>932.033185027871</v>
      </c>
      <c r="G449" s="6" t="n">
        <f aca="false">G448+E449</f>
        <v>20411.2412329238</v>
      </c>
    </row>
    <row r="450" customFormat="false" ht="15" hidden="false" customHeight="true" outlineLevel="0" collapsed="false">
      <c r="A450" s="6" t="n">
        <v>448</v>
      </c>
      <c r="B450" s="6" t="n">
        <f aca="false">MIN(42, FLOOR(A450/32,1)+1)</f>
        <v>15</v>
      </c>
      <c r="C450" s="6" t="str">
        <f aca="false">INDEX(Grades_Realms!$B$2:$B$43, B450)</f>
        <v>Golden Core · Perfected</v>
      </c>
      <c r="D450" s="6" t="n">
        <f aca="false">(A450+1)^2.4 * 1.004^A450</f>
        <v>13870577.9339292</v>
      </c>
      <c r="E450" s="6" t="n">
        <f aca="false">$I$2*(A450+1)^1.9*1.003^A450</f>
        <v>180.94523680658</v>
      </c>
      <c r="F450" s="6" t="n">
        <f aca="false">(A450+1)^1.12</f>
        <v>934.363579851009</v>
      </c>
      <c r="G450" s="6" t="n">
        <f aca="false">G449+E450</f>
        <v>20592.1864697304</v>
      </c>
    </row>
    <row r="451" customFormat="false" ht="15" hidden="false" customHeight="true" outlineLevel="0" collapsed="false">
      <c r="A451" s="6" t="n">
        <v>449</v>
      </c>
      <c r="B451" s="6" t="n">
        <f aca="false">MIN(42, FLOOR(A451/32,1)+1)</f>
        <v>15</v>
      </c>
      <c r="C451" s="6" t="str">
        <f aca="false">INDEX(Grades_Realms!$B$2:$B$43, B451)</f>
        <v>Golden Core · Perfected</v>
      </c>
      <c r="D451" s="6" t="n">
        <f aca="false">(A451+1)^2.4 * 1.004^A451</f>
        <v>14000614.0685484</v>
      </c>
      <c r="E451" s="6" t="n">
        <f aca="false">$I$2*(A451+1)^1.9*1.003^A451</f>
        <v>182.256831776395</v>
      </c>
      <c r="F451" s="6" t="n">
        <f aca="false">(A451+1)^1.12</f>
        <v>936.694597580537</v>
      </c>
      <c r="G451" s="6" t="n">
        <f aca="false">G450+E451</f>
        <v>20774.4433015067</v>
      </c>
    </row>
    <row r="452" customFormat="false" ht="15" hidden="false" customHeight="true" outlineLevel="0" collapsed="false">
      <c r="A452" s="6" t="n">
        <v>450</v>
      </c>
      <c r="B452" s="6" t="n">
        <f aca="false">MIN(42, FLOOR(A452/32,1)+1)</f>
        <v>15</v>
      </c>
      <c r="C452" s="6" t="str">
        <f aca="false">INDEX(Grades_Realms!$B$2:$B$43, B452)</f>
        <v>Golden Core · Perfected</v>
      </c>
      <c r="D452" s="6" t="n">
        <f aca="false">(A452+1)^2.4 * 1.004^A452</f>
        <v>14131701.7986859</v>
      </c>
      <c r="E452" s="6" t="n">
        <f aca="false">$I$2*(A452+1)^1.9*1.003^A452</f>
        <v>183.576211483832</v>
      </c>
      <c r="F452" s="6" t="n">
        <f aca="false">(A452+1)^1.12</f>
        <v>939.026236998161</v>
      </c>
      <c r="G452" s="6" t="n">
        <f aca="false">G451+E452</f>
        <v>20958.0195129906</v>
      </c>
    </row>
    <row r="453" customFormat="false" ht="15" hidden="false" customHeight="true" outlineLevel="0" collapsed="false">
      <c r="A453" s="6" t="n">
        <v>451</v>
      </c>
      <c r="B453" s="6" t="n">
        <f aca="false">MIN(42, FLOOR(A453/32,1)+1)</f>
        <v>15</v>
      </c>
      <c r="C453" s="6" t="str">
        <f aca="false">INDEX(Grades_Realms!$B$2:$B$43, B453)</f>
        <v>Golden Core · Perfected</v>
      </c>
      <c r="D453" s="6" t="n">
        <f aca="false">(A453+1)^2.4 * 1.004^A453</f>
        <v>14263848.5974817</v>
      </c>
      <c r="E453" s="6" t="n">
        <f aca="false">$I$2*(A453+1)^1.9*1.003^A453</f>
        <v>184.903415120337</v>
      </c>
      <c r="F453" s="6" t="n">
        <f aca="false">(A453+1)^1.12</f>
        <v>941.358496890669</v>
      </c>
      <c r="G453" s="6" t="n">
        <f aca="false">G452+E453</f>
        <v>21142.9229281109</v>
      </c>
    </row>
    <row r="454" customFormat="false" ht="15" hidden="false" customHeight="true" outlineLevel="0" collapsed="false">
      <c r="A454" s="6" t="n">
        <v>452</v>
      </c>
      <c r="B454" s="6" t="n">
        <f aca="false">MIN(42, FLOOR(A454/32,1)+1)</f>
        <v>15</v>
      </c>
      <c r="C454" s="6" t="str">
        <f aca="false">INDEX(Grades_Realms!$B$2:$B$43, B454)</f>
        <v>Golden Core · Perfected</v>
      </c>
      <c r="D454" s="6" t="n">
        <f aca="false">(A454+1)^2.4 * 1.004^A454</f>
        <v>14397061.9861538</v>
      </c>
      <c r="E454" s="6" t="n">
        <f aca="false">$I$2*(A454+1)^1.9*1.003^A454</f>
        <v>186.238482055115</v>
      </c>
      <c r="F454" s="6" t="n">
        <f aca="false">(A454+1)^1.12</f>
        <v>943.691376049894</v>
      </c>
      <c r="G454" s="6" t="n">
        <f aca="false">G453+E454</f>
        <v>21329.161410166</v>
      </c>
    </row>
    <row r="455" customFormat="false" ht="15" hidden="false" customHeight="true" outlineLevel="0" collapsed="false">
      <c r="A455" s="6" t="n">
        <v>453</v>
      </c>
      <c r="B455" s="6" t="n">
        <f aca="false">MIN(42, FLOOR(A455/32,1)+1)</f>
        <v>15</v>
      </c>
      <c r="C455" s="6" t="str">
        <f aca="false">INDEX(Grades_Realms!$B$2:$B$43, B455)</f>
        <v>Golden Core · Perfected</v>
      </c>
      <c r="D455" s="6" t="n">
        <f aca="false">(A455+1)^2.4 * 1.004^A455</f>
        <v>14531349.5342855</v>
      </c>
      <c r="E455" s="6" t="n">
        <f aca="false">$I$2*(A455+1)^1.9*1.003^A455</f>
        <v>187.581451835877</v>
      </c>
      <c r="F455" s="6" t="n">
        <f aca="false">(A455+1)^1.12</f>
        <v>946.024873272685</v>
      </c>
      <c r="G455" s="6" t="n">
        <f aca="false">G454+E455</f>
        <v>21516.7428620019</v>
      </c>
    </row>
    <row r="456" customFormat="false" ht="15" hidden="false" customHeight="true" outlineLevel="0" collapsed="false">
      <c r="A456" s="6" t="n">
        <v>454</v>
      </c>
      <c r="B456" s="6" t="n">
        <f aca="false">MIN(42, FLOOR(A456/32,1)+1)</f>
        <v>15</v>
      </c>
      <c r="C456" s="6" t="str">
        <f aca="false">INDEX(Grades_Realms!$B$2:$B$43, B456)</f>
        <v>Golden Core · Perfected</v>
      </c>
      <c r="D456" s="6" t="n">
        <f aca="false">(A456+1)^2.4 * 1.004^A456</f>
        <v>14666718.8601148</v>
      </c>
      <c r="E456" s="6" t="n">
        <f aca="false">$I$2*(A456+1)^1.9*1.003^A456</f>
        <v>188.932364189593</v>
      </c>
      <c r="F456" s="6" t="n">
        <f aca="false">(A456+1)^1.12</f>
        <v>948.358987360871</v>
      </c>
      <c r="G456" s="6" t="n">
        <f aca="false">G455+E456</f>
        <v>21705.6752261915</v>
      </c>
    </row>
    <row r="457" customFormat="false" ht="15" hidden="false" customHeight="true" outlineLevel="0" collapsed="false">
      <c r="A457" s="6" t="n">
        <v>455</v>
      </c>
      <c r="B457" s="6" t="n">
        <f aca="false">MIN(42, FLOOR(A457/32,1)+1)</f>
        <v>15</v>
      </c>
      <c r="C457" s="6" t="str">
        <f aca="false">INDEX(Grades_Realms!$B$2:$B$43, B457)</f>
        <v>Golden Core · Perfected</v>
      </c>
      <c r="D457" s="6" t="n">
        <f aca="false">(A457+1)^2.4 * 1.004^A457</f>
        <v>14803177.6308254</v>
      </c>
      <c r="E457" s="6" t="n">
        <f aca="false">$I$2*(A457+1)^1.9*1.003^A457</f>
        <v>190.29125902325</v>
      </c>
      <c r="F457" s="6" t="n">
        <f aca="false">(A457+1)^1.12</f>
        <v>950.693717121237</v>
      </c>
      <c r="G457" s="6" t="n">
        <f aca="false">G456+E457</f>
        <v>21895.9664852148</v>
      </c>
    </row>
    <row r="458" customFormat="false" ht="15" hidden="false" customHeight="true" outlineLevel="0" collapsed="false">
      <c r="A458" s="6" t="n">
        <v>456</v>
      </c>
      <c r="B458" s="6" t="n">
        <f aca="false">MIN(42, FLOOR(A458/32,1)+1)</f>
        <v>15</v>
      </c>
      <c r="C458" s="6" t="str">
        <f aca="false">INDEX(Grades_Realms!$B$2:$B$43, B458)</f>
        <v>Golden Core · Perfected</v>
      </c>
      <c r="D458" s="6" t="n">
        <f aca="false">(A458+1)^2.4 * 1.004^A458</f>
        <v>14940733.5628388</v>
      </c>
      <c r="E458" s="6" t="n">
        <f aca="false">$I$2*(A458+1)^1.9*1.003^A458</f>
        <v>191.658176424608</v>
      </c>
      <c r="F458" s="6" t="n">
        <f aca="false">(A458+1)^1.12</f>
        <v>953.029061365483</v>
      </c>
      <c r="G458" s="6" t="n">
        <f aca="false">G457+E458</f>
        <v>22087.6246616394</v>
      </c>
    </row>
    <row r="459" customFormat="false" ht="15" hidden="false" customHeight="true" outlineLevel="0" collapsed="false">
      <c r="A459" s="6" t="n">
        <v>457</v>
      </c>
      <c r="B459" s="6" t="n">
        <f aca="false">MIN(42, FLOOR(A459/32,1)+1)</f>
        <v>15</v>
      </c>
      <c r="C459" s="6" t="str">
        <f aca="false">INDEX(Grades_Realms!$B$2:$B$43, B459)</f>
        <v>Golden Core · Perfected</v>
      </c>
      <c r="D459" s="6" t="n">
        <f aca="false">(A459+1)^2.4 * 1.004^A459</f>
        <v>15079394.422109</v>
      </c>
      <c r="E459" s="6" t="n">
        <f aca="false">$I$2*(A459+1)^1.9*1.003^A459</f>
        <v>193.033156662965</v>
      </c>
      <c r="F459" s="6" t="n">
        <f aca="false">(A459+1)^1.12</f>
        <v>955.365018910202</v>
      </c>
      <c r="G459" s="6" t="n">
        <f aca="false">G458+E459</f>
        <v>22280.6578183023</v>
      </c>
    </row>
    <row r="460" customFormat="false" ht="15" hidden="false" customHeight="true" outlineLevel="0" collapsed="false">
      <c r="A460" s="6" t="n">
        <v>458</v>
      </c>
      <c r="B460" s="6" t="n">
        <f aca="false">MIN(42, FLOOR(A460/32,1)+1)</f>
        <v>15</v>
      </c>
      <c r="C460" s="6" t="str">
        <f aca="false">INDEX(Grades_Realms!$B$2:$B$43, B460)</f>
        <v>Golden Core · Perfected</v>
      </c>
      <c r="D460" s="6" t="n">
        <f aca="false">(A460+1)^2.4 * 1.004^A460</f>
        <v>15219168.0244179</v>
      </c>
      <c r="E460" s="6" t="n">
        <f aca="false">$I$2*(A460+1)^1.9*1.003^A460</f>
        <v>194.416240189919</v>
      </c>
      <c r="F460" s="6" t="n">
        <f aca="false">(A460+1)^1.12</f>
        <v>957.701588576843</v>
      </c>
      <c r="G460" s="6" t="n">
        <f aca="false">G459+E460</f>
        <v>22475.0740584923</v>
      </c>
    </row>
    <row r="461" customFormat="false" ht="15" hidden="false" customHeight="true" outlineLevel="0" collapsed="false">
      <c r="A461" s="6" t="n">
        <v>459</v>
      </c>
      <c r="B461" s="6" t="n">
        <f aca="false">MIN(42, FLOOR(A461/32,1)+1)</f>
        <v>15</v>
      </c>
      <c r="C461" s="6" t="str">
        <f aca="false">INDEX(Grades_Realms!$B$2:$B$43, B461)</f>
        <v>Golden Core · Perfected</v>
      </c>
      <c r="D461" s="6" t="n">
        <f aca="false">(A461+1)^2.4 * 1.004^A461</f>
        <v>15360062.2356732</v>
      </c>
      <c r="E461" s="6" t="n">
        <f aca="false">$I$2*(A461+1)^1.9*1.003^A461</f>
        <v>195.807467640138</v>
      </c>
      <c r="F461" s="6" t="n">
        <f aca="false">(A461+1)^1.12</f>
        <v>960.038769191684</v>
      </c>
      <c r="G461" s="6" t="n">
        <f aca="false">G460+E461</f>
        <v>22670.8815261324</v>
      </c>
    </row>
    <row r="462" customFormat="false" ht="15" hidden="false" customHeight="true" outlineLevel="0" collapsed="false">
      <c r="A462" s="6" t="n">
        <v>460</v>
      </c>
      <c r="B462" s="6" t="n">
        <f aca="false">MIN(42, FLOOR(A462/32,1)+1)</f>
        <v>15</v>
      </c>
      <c r="C462" s="6" t="str">
        <f aca="false">INDEX(Grades_Realms!$B$2:$B$43, B462)</f>
        <v>Golden Core · Perfected</v>
      </c>
      <c r="D462" s="6" t="n">
        <f aca="false">(A462+1)^2.4 * 1.004^A462</f>
        <v>15502084.9722073</v>
      </c>
      <c r="E462" s="6" t="n">
        <f aca="false">$I$2*(A462+1)^1.9*1.003^A462</f>
        <v>197.206879832132</v>
      </c>
      <c r="F462" s="6" t="n">
        <f aca="false">(A462+1)^1.12</f>
        <v>962.376559585801</v>
      </c>
      <c r="G462" s="6" t="n">
        <f aca="false">G461+E462</f>
        <v>22868.0884059645</v>
      </c>
    </row>
    <row r="463" customFormat="false" ht="15" hidden="false" customHeight="true" outlineLevel="0" collapsed="false">
      <c r="A463" s="6" t="n">
        <v>461</v>
      </c>
      <c r="B463" s="6" t="n">
        <f aca="false">MIN(42, FLOOR(A463/32,1)+1)</f>
        <v>15</v>
      </c>
      <c r="C463" s="6" t="str">
        <f aca="false">INDEX(Grades_Realms!$B$2:$B$43, B463)</f>
        <v>Golden Core · Perfected</v>
      </c>
      <c r="D463" s="6" t="n">
        <f aca="false">(A463+1)^2.4 * 1.004^A463</f>
        <v>15645244.2010784</v>
      </c>
      <c r="E463" s="6" t="n">
        <f aca="false">$I$2*(A463+1)^1.9*1.003^A463</f>
        <v>198.614517769025</v>
      </c>
      <c r="F463" s="6" t="n">
        <f aca="false">(A463+1)^1.12</f>
        <v>964.714958595036</v>
      </c>
      <c r="G463" s="6" t="n">
        <f aca="false">G462+E463</f>
        <v>23066.7029237335</v>
      </c>
    </row>
    <row r="464" customFormat="false" ht="15" hidden="false" customHeight="true" outlineLevel="0" collapsed="false">
      <c r="A464" s="6" t="n">
        <v>462</v>
      </c>
      <c r="B464" s="6" t="n">
        <f aca="false">MIN(42, FLOOR(A464/32,1)+1)</f>
        <v>15</v>
      </c>
      <c r="C464" s="6" t="str">
        <f aca="false">INDEX(Grades_Realms!$B$2:$B$43, B464)</f>
        <v>Golden Core · Perfected</v>
      </c>
      <c r="D464" s="6" t="n">
        <f aca="false">(A464+1)^2.4 * 1.004^A464</f>
        <v>15789547.940373</v>
      </c>
      <c r="E464" s="6" t="n">
        <f aca="false">$I$2*(A464+1)^1.9*1.003^A464</f>
        <v>200.030422639333</v>
      </c>
      <c r="F464" s="6" t="n">
        <f aca="false">(A464+1)^1.12</f>
        <v>967.053965059969</v>
      </c>
      <c r="G464" s="6" t="n">
        <f aca="false">G463+E464</f>
        <v>23266.7333463729</v>
      </c>
    </row>
    <row r="465" customFormat="false" ht="15" hidden="false" customHeight="true" outlineLevel="0" collapsed="false">
      <c r="A465" s="6" t="n">
        <v>463</v>
      </c>
      <c r="B465" s="6" t="n">
        <f aca="false">MIN(42, FLOOR(A465/32,1)+1)</f>
        <v>15</v>
      </c>
      <c r="C465" s="6" t="str">
        <f aca="false">INDEX(Grades_Realms!$B$2:$B$43, B465)</f>
        <v>Golden Core · Perfected</v>
      </c>
      <c r="D465" s="6" t="n">
        <f aca="false">(A465+1)^2.4 * 1.004^A465</f>
        <v>15935004.2595102</v>
      </c>
      <c r="E465" s="6" t="n">
        <f aca="false">$I$2*(A465+1)^1.9*1.003^A465</f>
        <v>201.454635817747</v>
      </c>
      <c r="F465" s="6" t="n">
        <f aca="false">(A465+1)^1.12</f>
        <v>969.393577825891</v>
      </c>
      <c r="G465" s="6" t="n">
        <f aca="false">G464+E465</f>
        <v>23468.1879821906</v>
      </c>
    </row>
    <row r="466" customFormat="false" ht="15" hidden="false" customHeight="true" outlineLevel="0" collapsed="false">
      <c r="A466" s="6" t="n">
        <v>464</v>
      </c>
      <c r="B466" s="6" t="n">
        <f aca="false">MIN(42, FLOOR(A466/32,1)+1)</f>
        <v>15</v>
      </c>
      <c r="C466" s="6" t="str">
        <f aca="false">INDEX(Grades_Realms!$B$2:$B$43, B466)</f>
        <v>Golden Core · Perfected</v>
      </c>
      <c r="D466" s="6" t="n">
        <f aca="false">(A466+1)^2.4 * 1.004^A466</f>
        <v>16081621.2795478</v>
      </c>
      <c r="E466" s="6" t="n">
        <f aca="false">$I$2*(A466+1)^1.9*1.003^A466</f>
        <v>202.887198865913</v>
      </c>
      <c r="F466" s="6" t="n">
        <f aca="false">(A466+1)^1.12</f>
        <v>971.733795742769</v>
      </c>
      <c r="G466" s="6" t="n">
        <f aca="false">G465+E466</f>
        <v>23671.0751810565</v>
      </c>
    </row>
    <row r="467" customFormat="false" ht="15" hidden="false" customHeight="true" outlineLevel="0" collapsed="false">
      <c r="A467" s="6" t="n">
        <v>465</v>
      </c>
      <c r="B467" s="6" t="n">
        <f aca="false">MIN(42, FLOOR(A467/32,1)+1)</f>
        <v>15</v>
      </c>
      <c r="C467" s="6" t="str">
        <f aca="false">INDEX(Grades_Realms!$B$2:$B$43, B467)</f>
        <v>Golden Core · Perfected</v>
      </c>
      <c r="D467" s="6" t="n">
        <f aca="false">(A467+1)^2.4 * 1.004^A467</f>
        <v>16229407.1734898</v>
      </c>
      <c r="E467" s="6" t="n">
        <f aca="false">$I$2*(A467+1)^1.9*1.003^A467</f>
        <v>204.328153533221</v>
      </c>
      <c r="F467" s="6" t="n">
        <f aca="false">(A467+1)^1.12</f>
        <v>974.074617665222</v>
      </c>
      <c r="G467" s="6" t="n">
        <f aca="false">G466+E467</f>
        <v>23875.4033345898</v>
      </c>
    </row>
    <row r="468" customFormat="false" ht="15" hidden="false" customHeight="true" outlineLevel="0" collapsed="false">
      <c r="A468" s="6" t="n">
        <v>466</v>
      </c>
      <c r="B468" s="6" t="n">
        <f aca="false">MIN(42, FLOOR(A468/32,1)+1)</f>
        <v>15</v>
      </c>
      <c r="C468" s="6" t="str">
        <f aca="false">INDEX(Grades_Realms!$B$2:$B$43, B468)</f>
        <v>Golden Core · Perfected</v>
      </c>
      <c r="D468" s="6" t="n">
        <f aca="false">(A468+1)^2.4 * 1.004^A468</f>
        <v>16378370.1665964</v>
      </c>
      <c r="E468" s="6" t="n">
        <f aca="false">$I$2*(A468+1)^1.9*1.003^A468</f>
        <v>205.777541757595</v>
      </c>
      <c r="F468" s="6" t="n">
        <f aca="false">(A468+1)^1.12</f>
        <v>976.416042452489</v>
      </c>
      <c r="G468" s="6" t="n">
        <f aca="false">G467+E468</f>
        <v>24081.1808763474</v>
      </c>
    </row>
    <row r="469" customFormat="false" ht="15" hidden="false" customHeight="true" outlineLevel="0" collapsed="false">
      <c r="A469" s="6" t="n">
        <v>467</v>
      </c>
      <c r="B469" s="6" t="n">
        <f aca="false">MIN(42, FLOOR(A469/32,1)+1)</f>
        <v>15</v>
      </c>
      <c r="C469" s="6" t="str">
        <f aca="false">INDEX(Grades_Realms!$B$2:$B$43, B469)</f>
        <v>Golden Core · Perfected</v>
      </c>
      <c r="D469" s="6" t="n">
        <f aca="false">(A469+1)^2.4 * 1.004^A469</f>
        <v>16528518.5366945</v>
      </c>
      <c r="E469" s="6" t="n">
        <f aca="false">$I$2*(A469+1)^1.9*1.003^A469</f>
        <v>207.235405666284</v>
      </c>
      <c r="F469" s="6" t="n">
        <f aca="false">(A469+1)^1.12</f>
        <v>978.758068968404</v>
      </c>
      <c r="G469" s="6" t="n">
        <f aca="false">G468+E469</f>
        <v>24288.4162820136</v>
      </c>
    </row>
    <row r="470" customFormat="false" ht="15" hidden="false" customHeight="true" outlineLevel="0" collapsed="false">
      <c r="A470" s="6" t="n">
        <v>468</v>
      </c>
      <c r="B470" s="6" t="n">
        <f aca="false">MIN(42, FLOOR(A470/32,1)+1)</f>
        <v>15</v>
      </c>
      <c r="C470" s="6" t="str">
        <f aca="false">INDEX(Grades_Realms!$B$2:$B$43, B470)</f>
        <v>Golden Core · Perfected</v>
      </c>
      <c r="D470" s="6" t="n">
        <f aca="false">(A470+1)^2.4 * 1.004^A470</f>
        <v>16679860.6144914</v>
      </c>
      <c r="E470" s="6" t="n">
        <f aca="false">$I$2*(A470+1)^1.9*1.003^A470</f>
        <v>208.701787576663</v>
      </c>
      <c r="F470" s="6" t="n">
        <f aca="false">(A470+1)^1.12</f>
        <v>981.100696081365</v>
      </c>
      <c r="G470" s="6" t="n">
        <f aca="false">G469+E470</f>
        <v>24497.1180695903</v>
      </c>
    </row>
    <row r="471" customFormat="false" ht="15" hidden="false" customHeight="true" outlineLevel="0" collapsed="false">
      <c r="A471" s="6" t="n">
        <v>469</v>
      </c>
      <c r="B471" s="6" t="n">
        <f aca="false">MIN(42, FLOOR(A471/32,1)+1)</f>
        <v>15</v>
      </c>
      <c r="C471" s="6" t="str">
        <f aca="false">INDEX(Grades_Realms!$B$2:$B$43, B471)</f>
        <v>Golden Core · Perfected</v>
      </c>
      <c r="D471" s="6" t="n">
        <f aca="false">(A471+1)^2.4 * 1.004^A471</f>
        <v>16832404.7838892</v>
      </c>
      <c r="E471" s="6" t="n">
        <f aca="false">$I$2*(A471+1)^1.9*1.003^A471</f>
        <v>210.176729997025</v>
      </c>
      <c r="F471" s="6" t="n">
        <f aca="false">(A471+1)^1.12</f>
        <v>983.443922664306</v>
      </c>
      <c r="G471" s="6" t="n">
        <f aca="false">G470+E471</f>
        <v>24707.2947995873</v>
      </c>
    </row>
    <row r="472" customFormat="false" ht="15" hidden="false" customHeight="true" outlineLevel="0" collapsed="false">
      <c r="A472" s="6" t="n">
        <v>470</v>
      </c>
      <c r="B472" s="6" t="n">
        <f aca="false">MIN(42, FLOOR(A472/32,1)+1)</f>
        <v>15</v>
      </c>
      <c r="C472" s="6" t="str">
        <f aca="false">INDEX(Grades_Realms!$B$2:$B$43, B472)</f>
        <v>Golden Core · Perfected</v>
      </c>
      <c r="D472" s="6" t="n">
        <f aca="false">(A472+1)^2.4 * 1.004^A472</f>
        <v>16986159.4823012</v>
      </c>
      <c r="E472" s="6" t="n">
        <f aca="false">$I$2*(A472+1)^1.9*1.003^A472</f>
        <v>211.660275627391</v>
      </c>
      <c r="F472" s="6" t="n">
        <f aca="false">(A472+1)^1.12</f>
        <v>985.787747594669</v>
      </c>
      <c r="G472" s="6" t="n">
        <f aca="false">G471+E472</f>
        <v>24918.9550752147</v>
      </c>
    </row>
    <row r="473" customFormat="false" ht="15" hidden="false" customHeight="true" outlineLevel="0" collapsed="false">
      <c r="A473" s="6" t="n">
        <v>471</v>
      </c>
      <c r="B473" s="6" t="n">
        <f aca="false">MIN(42, FLOOR(A473/32,1)+1)</f>
        <v>15</v>
      </c>
      <c r="C473" s="6" t="str">
        <f aca="false">INDEX(Grades_Realms!$B$2:$B$43, B473)</f>
        <v>Golden Core · Perfected</v>
      </c>
      <c r="D473" s="6" t="n">
        <f aca="false">(A473+1)^2.4 * 1.004^A473</f>
        <v>17141133.2009707</v>
      </c>
      <c r="E473" s="6" t="n">
        <f aca="false">$I$2*(A473+1)^1.9*1.003^A473</f>
        <v>213.152467360314</v>
      </c>
      <c r="F473" s="6" t="n">
        <f aca="false">(A473+1)^1.12</f>
        <v>988.132169754379</v>
      </c>
      <c r="G473" s="6" t="n">
        <f aca="false">G472+E473</f>
        <v>25132.107542575</v>
      </c>
    </row>
    <row r="474" customFormat="false" ht="15" hidden="false" customHeight="true" outlineLevel="0" collapsed="false">
      <c r="A474" s="6" t="n">
        <v>472</v>
      </c>
      <c r="B474" s="6" t="n">
        <f aca="false">MIN(42, FLOOR(A474/32,1)+1)</f>
        <v>15</v>
      </c>
      <c r="C474" s="6" t="str">
        <f aca="false">INDEX(Grades_Realms!$B$2:$B$43, B474)</f>
        <v>Golden Core · Perfected</v>
      </c>
      <c r="D474" s="6" t="n">
        <f aca="false">(A474+1)^2.4 * 1.004^A474</f>
        <v>17297334.4852906</v>
      </c>
      <c r="E474" s="6" t="n">
        <f aca="false">$I$2*(A474+1)^1.9*1.003^A474</f>
        <v>214.653348281682</v>
      </c>
      <c r="F474" s="6" t="n">
        <f aca="false">(A474+1)^1.12</f>
        <v>990.477188029815</v>
      </c>
      <c r="G474" s="6" t="n">
        <f aca="false">G473+E474</f>
        <v>25346.7608908567</v>
      </c>
    </row>
    <row r="475" customFormat="false" ht="15" hidden="false" customHeight="true" outlineLevel="0" collapsed="false">
      <c r="A475" s="6" t="n">
        <v>473</v>
      </c>
      <c r="B475" s="6" t="n">
        <f aca="false">MIN(42, FLOOR(A475/32,1)+1)</f>
        <v>15</v>
      </c>
      <c r="C475" s="6" t="str">
        <f aca="false">INDEX(Grades_Realms!$B$2:$B$43, B475)</f>
        <v>Golden Core · Perfected</v>
      </c>
      <c r="D475" s="6" t="n">
        <f aca="false">(A475+1)^2.4 * 1.004^A475</f>
        <v>17454771.9351254</v>
      </c>
      <c r="E475" s="6" t="n">
        <f aca="false">$I$2*(A475+1)^1.9*1.003^A475</f>
        <v>216.162961671542</v>
      </c>
      <c r="F475" s="6" t="n">
        <f aca="false">(A475+1)^1.12</f>
        <v>992.822801311782</v>
      </c>
      <c r="G475" s="6" t="n">
        <f aca="false">G474+E475</f>
        <v>25562.9238525283</v>
      </c>
    </row>
    <row r="476" customFormat="false" ht="15" hidden="false" customHeight="true" outlineLevel="0" collapsed="false">
      <c r="A476" s="6" t="n">
        <v>474</v>
      </c>
      <c r="B476" s="6" t="n">
        <f aca="false">MIN(42, FLOOR(A476/32,1)+1)</f>
        <v>15</v>
      </c>
      <c r="C476" s="6" t="str">
        <f aca="false">INDEX(Grades_Realms!$B$2:$B$43, B476)</f>
        <v>Golden Core · Perfected</v>
      </c>
      <c r="D476" s="6" t="n">
        <f aca="false">(A476+1)^2.4 * 1.004^A476</f>
        <v>17613454.2051354</v>
      </c>
      <c r="E476" s="6" t="n">
        <f aca="false">$I$2*(A476+1)^1.9*1.003^A476</f>
        <v>217.681351004904</v>
      </c>
      <c r="F476" s="6" t="n">
        <f aca="false">(A476+1)^1.12</f>
        <v>995.169008495484</v>
      </c>
      <c r="G476" s="6" t="n">
        <f aca="false">G475+E476</f>
        <v>25780.6052035332</v>
      </c>
    </row>
    <row r="477" customFormat="false" ht="15" hidden="false" customHeight="true" outlineLevel="0" collapsed="false">
      <c r="A477" s="6" t="n">
        <v>475</v>
      </c>
      <c r="B477" s="6" t="n">
        <f aca="false">MIN(42, FLOOR(A477/32,1)+1)</f>
        <v>15</v>
      </c>
      <c r="C477" s="6" t="str">
        <f aca="false">INDEX(Grades_Realms!$B$2:$B$43, B477)</f>
        <v>Golden Core · Perfected</v>
      </c>
      <c r="D477" s="6" t="n">
        <f aca="false">(A477+1)^2.4 * 1.004^A477</f>
        <v>17773390.0051016</v>
      </c>
      <c r="E477" s="6" t="n">
        <f aca="false">$I$2*(A477+1)^1.9*1.003^A477</f>
        <v>219.208559952567</v>
      </c>
      <c r="F477" s="6" t="n">
        <f aca="false">(A477+1)^1.12</f>
        <v>997.515808480501</v>
      </c>
      <c r="G477" s="6" t="n">
        <f aca="false">G476+E477</f>
        <v>25999.8137634857</v>
      </c>
    </row>
    <row r="478" customFormat="false" ht="15" hidden="false" customHeight="true" outlineLevel="0" collapsed="false">
      <c r="A478" s="6" t="n">
        <v>476</v>
      </c>
      <c r="B478" s="6" t="n">
        <f aca="false">MIN(42, FLOOR(A478/32,1)+1)</f>
        <v>15</v>
      </c>
      <c r="C478" s="6" t="str">
        <f aca="false">INDEX(Grades_Realms!$B$2:$B$43, B478)</f>
        <v>Golden Core · Perfected</v>
      </c>
      <c r="D478" s="6" t="n">
        <f aca="false">(A478+1)^2.4 * 1.004^A478</f>
        <v>17934588.1002535</v>
      </c>
      <c r="E478" s="6" t="n">
        <f aca="false">$I$2*(A478+1)^1.9*1.003^A478</f>
        <v>220.744632381939</v>
      </c>
      <c r="F478" s="6" t="n">
        <f aca="false">(A478+1)^1.12</f>
        <v>999.863200170756</v>
      </c>
      <c r="G478" s="6" t="n">
        <f aca="false">G477+E478</f>
        <v>26220.5583958677</v>
      </c>
    </row>
    <row r="479" customFormat="false" ht="15" hidden="false" customHeight="true" outlineLevel="0" collapsed="false">
      <c r="A479" s="6" t="n">
        <v>477</v>
      </c>
      <c r="B479" s="6" t="n">
        <f aca="false">MIN(42, FLOOR(A479/32,1)+1)</f>
        <v>15</v>
      </c>
      <c r="C479" s="6" t="str">
        <f aca="false">INDEX(Grades_Realms!$B$2:$B$43, B479)</f>
        <v>Golden Core · Perfected</v>
      </c>
      <c r="D479" s="6" t="n">
        <f aca="false">(A479+1)^2.4 * 1.004^A479</f>
        <v>18097057.3115981</v>
      </c>
      <c r="E479" s="6" t="n">
        <f aca="false">$I$2*(A479+1)^1.9*1.003^A479</f>
        <v>222.289612357863</v>
      </c>
      <c r="F479" s="6" t="n">
        <f aca="false">(A479+1)^1.12</f>
        <v>1002.2111824745</v>
      </c>
      <c r="G479" s="6" t="n">
        <f aca="false">G478+E479</f>
        <v>26442.8480082255</v>
      </c>
    </row>
    <row r="480" customFormat="false" ht="15" hidden="false" customHeight="true" outlineLevel="0" collapsed="false">
      <c r="A480" s="6" t="n">
        <v>478</v>
      </c>
      <c r="B480" s="6" t="n">
        <f aca="false">MIN(42, FLOOR(A480/32,1)+1)</f>
        <v>15</v>
      </c>
      <c r="C480" s="6" t="str">
        <f aca="false">INDEX(Grades_Realms!$B$2:$B$43, B480)</f>
        <v>Golden Core · Perfected</v>
      </c>
      <c r="D480" s="6" t="n">
        <f aca="false">(A480+1)^2.4 * 1.004^A480</f>
        <v>18260806.5162513</v>
      </c>
      <c r="E480" s="6" t="n">
        <f aca="false">$I$2*(A480+1)^1.9*1.003^A480</f>
        <v>223.843544143445</v>
      </c>
      <c r="F480" s="6" t="n">
        <f aca="false">(A480+1)^1.12</f>
        <v>1004.55975430426</v>
      </c>
      <c r="G480" s="6" t="n">
        <f aca="false">G479+E480</f>
        <v>26666.691552369</v>
      </c>
    </row>
    <row r="481" customFormat="false" ht="15" hidden="false" customHeight="true" outlineLevel="0" collapsed="false">
      <c r="A481" s="6" t="n">
        <v>479</v>
      </c>
      <c r="B481" s="6" t="n">
        <f aca="false">MIN(42, FLOOR(A481/32,1)+1)</f>
        <v>15</v>
      </c>
      <c r="C481" s="6" t="str">
        <f aca="false">INDEX(Grades_Realms!$B$2:$B$43, B481)</f>
        <v>Golden Core · Perfected</v>
      </c>
      <c r="D481" s="6" t="n">
        <f aca="false">(A481+1)^2.4 * 1.004^A481</f>
        <v>18425844.6477705</v>
      </c>
      <c r="E481" s="6" t="n">
        <f aca="false">$I$2*(A481+1)^1.9*1.003^A481</f>
        <v>225.406472200885</v>
      </c>
      <c r="F481" s="6" t="n">
        <f aca="false">(A481+1)^1.12</f>
        <v>1006.90891457686</v>
      </c>
      <c r="G481" s="6" t="n">
        <f aca="false">G480+E481</f>
        <v>26892.0980245699</v>
      </c>
    </row>
    <row r="482" customFormat="false" ht="15" hidden="false" customHeight="true" outlineLevel="0" collapsed="false">
      <c r="A482" s="6" t="n">
        <v>480</v>
      </c>
      <c r="B482" s="6" t="n">
        <f aca="false">MIN(42, FLOOR(A482/32,1)+1)</f>
        <v>16</v>
      </c>
      <c r="C482" s="6" t="str">
        <f aca="false">INDEX(Grades_Realms!$B$2:$B$43, B482)</f>
        <v>Nascent Soul · Initial</v>
      </c>
      <c r="D482" s="6" t="n">
        <f aca="false">(A482+1)^2.4 * 1.004^A482</f>
        <v>18592180.6964895</v>
      </c>
      <c r="E482" s="6" t="n">
        <f aca="false">$I$2*(A482+1)^1.9*1.003^A482</f>
        <v>226.978441192316</v>
      </c>
      <c r="F482" s="6" t="n">
        <f aca="false">(A482+1)^1.12</f>
        <v>1009.25866221334</v>
      </c>
      <c r="G482" s="6" t="n">
        <f aca="false">G481+E482</f>
        <v>27119.0764657622</v>
      </c>
    </row>
    <row r="483" customFormat="false" ht="15" hidden="false" customHeight="true" outlineLevel="0" collapsed="false">
      <c r="A483" s="6" t="n">
        <v>481</v>
      </c>
      <c r="B483" s="6" t="n">
        <f aca="false">MIN(42, FLOOR(A483/32,1)+1)</f>
        <v>16</v>
      </c>
      <c r="C483" s="6" t="str">
        <f aca="false">INDEX(Grades_Realms!$B$2:$B$43, B483)</f>
        <v>Nascent Soul · Initial</v>
      </c>
      <c r="D483" s="6" t="n">
        <f aca="false">(A483+1)^2.4 * 1.004^A483</f>
        <v>18759823.7098554</v>
      </c>
      <c r="E483" s="6" t="n">
        <f aca="false">$I$2*(A483+1)^1.9*1.003^A483</f>
        <v>228.55949598064</v>
      </c>
      <c r="F483" s="6" t="n">
        <f aca="false">(A483+1)^1.12</f>
        <v>1011.60899613898</v>
      </c>
      <c r="G483" s="6" t="n">
        <f aca="false">G482+E483</f>
        <v>27347.6359617428</v>
      </c>
    </row>
    <row r="484" customFormat="false" ht="15" hidden="false" customHeight="true" outlineLevel="0" collapsed="false">
      <c r="A484" s="6" t="n">
        <v>482</v>
      </c>
      <c r="B484" s="6" t="n">
        <f aca="false">MIN(42, FLOOR(A484/32,1)+1)</f>
        <v>16</v>
      </c>
      <c r="C484" s="6" t="str">
        <f aca="false">INDEX(Grades_Realms!$B$2:$B$43, B484)</f>
        <v>Nascent Soul · Initial</v>
      </c>
      <c r="D484" s="6" t="n">
        <f aca="false">(A484+1)^2.4 * 1.004^A484</f>
        <v>18928782.792767</v>
      </c>
      <c r="E484" s="6" t="n">
        <f aca="false">$I$2*(A484+1)^1.9*1.003^A484</f>
        <v>230.14968163037</v>
      </c>
      <c r="F484" s="6" t="n">
        <f aca="false">(A484+1)^1.12</f>
        <v>1013.95991528323</v>
      </c>
      <c r="G484" s="6" t="n">
        <f aca="false">G483+E484</f>
        <v>27577.7856433732</v>
      </c>
    </row>
    <row r="485" customFormat="false" ht="15" hidden="false" customHeight="true" outlineLevel="0" collapsed="false">
      <c r="A485" s="6" t="n">
        <v>483</v>
      </c>
      <c r="B485" s="6" t="n">
        <f aca="false">MIN(42, FLOOR(A485/32,1)+1)</f>
        <v>16</v>
      </c>
      <c r="C485" s="6" t="str">
        <f aca="false">INDEX(Grades_Realms!$B$2:$B$43, B485)</f>
        <v>Nascent Soul · Initial</v>
      </c>
      <c r="D485" s="6" t="n">
        <f aca="false">(A485+1)^2.4 * 1.004^A485</f>
        <v>19099067.1079154</v>
      </c>
      <c r="E485" s="6" t="n">
        <f aca="false">$I$2*(A485+1)^1.9*1.003^A485</f>
        <v>231.749043408477</v>
      </c>
      <c r="F485" s="6" t="n">
        <f aca="false">(A485+1)^1.12</f>
        <v>1016.31141857973</v>
      </c>
      <c r="G485" s="6" t="n">
        <f aca="false">G484+E485</f>
        <v>27809.5346867817</v>
      </c>
    </row>
    <row r="486" customFormat="false" ht="15" hidden="false" customHeight="true" outlineLevel="0" collapsed="false">
      <c r="A486" s="6" t="n">
        <v>484</v>
      </c>
      <c r="B486" s="6" t="n">
        <f aca="false">MIN(42, FLOOR(A486/32,1)+1)</f>
        <v>16</v>
      </c>
      <c r="C486" s="6" t="str">
        <f aca="false">INDEX(Grades_Realms!$B$2:$B$43, B486)</f>
        <v>Nascent Soul · Initial</v>
      </c>
      <c r="D486" s="6" t="n">
        <f aca="false">(A486+1)^2.4 * 1.004^A486</f>
        <v>19270685.8761263</v>
      </c>
      <c r="E486" s="6" t="n">
        <f aca="false">$I$2*(A486+1)^1.9*1.003^A486</f>
        <v>233.357626785237</v>
      </c>
      <c r="F486" s="6" t="n">
        <f aca="false">(A486+1)^1.12</f>
        <v>1018.66350496625</v>
      </c>
      <c r="G486" s="6" t="n">
        <f aca="false">G485+E486</f>
        <v>28042.8923135669</v>
      </c>
    </row>
    <row r="487" customFormat="false" ht="15" hidden="false" customHeight="true" outlineLevel="0" collapsed="false">
      <c r="A487" s="6" t="n">
        <v>485</v>
      </c>
      <c r="B487" s="6" t="n">
        <f aca="false">MIN(42, FLOOR(A487/32,1)+1)</f>
        <v>16</v>
      </c>
      <c r="C487" s="6" t="str">
        <f aca="false">INDEX(Grades_Realms!$B$2:$B$43, B487)</f>
        <v>Nascent Soul · Initial</v>
      </c>
      <c r="D487" s="6" t="n">
        <f aca="false">(A487+1)^2.4 * 1.004^A487</f>
        <v>19443648.3767045</v>
      </c>
      <c r="E487" s="6" t="n">
        <f aca="false">$I$2*(A487+1)^1.9*1.003^A487</f>
        <v>234.975477435086</v>
      </c>
      <c r="F487" s="6" t="n">
        <f aca="false">(A487+1)^1.12</f>
        <v>1021.01617338467</v>
      </c>
      <c r="G487" s="6" t="n">
        <f aca="false">G486+E487</f>
        <v>28277.867791002</v>
      </c>
    </row>
    <row r="488" customFormat="false" ht="15" hidden="false" customHeight="true" outlineLevel="0" collapsed="false">
      <c r="A488" s="6" t="n">
        <v>486</v>
      </c>
      <c r="B488" s="6" t="n">
        <f aca="false">MIN(42, FLOOR(A488/32,1)+1)</f>
        <v>16</v>
      </c>
      <c r="C488" s="6" t="str">
        <f aca="false">INDEX(Grades_Realms!$B$2:$B$43, B488)</f>
        <v>Nascent Soul · Initial</v>
      </c>
      <c r="D488" s="6" t="n">
        <f aca="false">(A488+1)^2.4 * 1.004^A488</f>
        <v>19617963.9477799</v>
      </c>
      <c r="E488" s="6" t="n">
        <f aca="false">$I$2*(A488+1)^1.9*1.003^A488</f>
        <v>236.602641237471</v>
      </c>
      <c r="F488" s="6" t="n">
        <f aca="false">(A488+1)^1.12</f>
        <v>1023.36942278098</v>
      </c>
      <c r="G488" s="6" t="n">
        <f aca="false">G487+E488</f>
        <v>28514.4704322394</v>
      </c>
    </row>
    <row r="489" customFormat="false" ht="15" hidden="false" customHeight="true" outlineLevel="0" collapsed="false">
      <c r="A489" s="6" t="n">
        <v>487</v>
      </c>
      <c r="B489" s="6" t="n">
        <f aca="false">MIN(42, FLOOR(A489/32,1)+1)</f>
        <v>16</v>
      </c>
      <c r="C489" s="6" t="str">
        <f aca="false">INDEX(Grades_Realms!$B$2:$B$43, B489)</f>
        <v>Nascent Soul · Initial</v>
      </c>
      <c r="D489" s="6" t="n">
        <f aca="false">(A489+1)^2.4 * 1.004^A489</f>
        <v>19793641.9866562</v>
      </c>
      <c r="E489" s="6" t="n">
        <f aca="false">$I$2*(A489+1)^1.9*1.003^A489</f>
        <v>238.239164277716</v>
      </c>
      <c r="F489" s="6" t="n">
        <f aca="false">(A489+1)^1.12</f>
        <v>1025.72325210524</v>
      </c>
      <c r="G489" s="6" t="n">
        <f aca="false">G488+E489</f>
        <v>28752.7095965172</v>
      </c>
    </row>
    <row r="490" customFormat="false" ht="15" hidden="false" customHeight="true" outlineLevel="0" collapsed="false">
      <c r="A490" s="6" t="n">
        <v>488</v>
      </c>
      <c r="B490" s="6" t="n">
        <f aca="false">MIN(42, FLOOR(A490/32,1)+1)</f>
        <v>16</v>
      </c>
      <c r="C490" s="6" t="str">
        <f aca="false">INDEX(Grades_Realms!$B$2:$B$43, B490)</f>
        <v>Nascent Soul · Initial</v>
      </c>
      <c r="D490" s="6" t="n">
        <f aca="false">(A490+1)^2.4 * 1.004^A490</f>
        <v>19970691.9501606</v>
      </c>
      <c r="E490" s="6" t="n">
        <f aca="false">$I$2*(A490+1)^1.9*1.003^A490</f>
        <v>239.885092847877</v>
      </c>
      <c r="F490" s="6" t="n">
        <f aca="false">(A490+1)^1.12</f>
        <v>1028.07766031153</v>
      </c>
      <c r="G490" s="6" t="n">
        <f aca="false">G489+E490</f>
        <v>28992.594689365</v>
      </c>
    </row>
    <row r="491" customFormat="false" ht="15" hidden="false" customHeight="true" outlineLevel="0" collapsed="false">
      <c r="A491" s="6" t="n">
        <v>489</v>
      </c>
      <c r="B491" s="6" t="n">
        <f aca="false">MIN(42, FLOOR(A491/32,1)+1)</f>
        <v>16</v>
      </c>
      <c r="C491" s="6" t="str">
        <f aca="false">INDEX(Grades_Realms!$B$2:$B$43, B491)</f>
        <v>Nascent Soul · Initial</v>
      </c>
      <c r="D491" s="6" t="n">
        <f aca="false">(A491+1)^2.4 * 1.004^A491</f>
        <v>20149123.3549962</v>
      </c>
      <c r="E491" s="6" t="n">
        <f aca="false">$I$2*(A491+1)^1.9*1.003^A491</f>
        <v>241.540473447612</v>
      </c>
      <c r="F491" s="6" t="n">
        <f aca="false">(A491+1)^1.12</f>
        <v>1030.43264635799</v>
      </c>
      <c r="G491" s="6" t="n">
        <f aca="false">G490+E491</f>
        <v>29234.1351628127</v>
      </c>
    </row>
    <row r="492" customFormat="false" ht="15" hidden="false" customHeight="true" outlineLevel="0" collapsed="false">
      <c r="A492" s="6" t="n">
        <v>490</v>
      </c>
      <c r="B492" s="6" t="n">
        <f aca="false">MIN(42, FLOOR(A492/32,1)+1)</f>
        <v>16</v>
      </c>
      <c r="C492" s="6" t="str">
        <f aca="false">INDEX(Grades_Realms!$B$2:$B$43, B492)</f>
        <v>Nascent Soul · Initial</v>
      </c>
      <c r="D492" s="6" t="n">
        <f aca="false">(A492+1)^2.4 * 1.004^A492</f>
        <v>20328945.778096</v>
      </c>
      <c r="E492" s="6" t="n">
        <f aca="false">$I$2*(A492+1)^1.9*1.003^A492</f>
        <v>243.205352785053</v>
      </c>
      <c r="F492" s="6" t="n">
        <f aca="false">(A492+1)^1.12</f>
        <v>1032.78820920673</v>
      </c>
      <c r="G492" s="6" t="n">
        <f aca="false">G491+E492</f>
        <v>29477.3405155977</v>
      </c>
    </row>
    <row r="493" customFormat="false" ht="15" hidden="false" customHeight="true" outlineLevel="0" collapsed="false">
      <c r="A493" s="6" t="n">
        <v>491</v>
      </c>
      <c r="B493" s="6" t="n">
        <f aca="false">MIN(42, FLOOR(A493/32,1)+1)</f>
        <v>16</v>
      </c>
      <c r="C493" s="6" t="str">
        <f aca="false">INDEX(Grades_Realms!$B$2:$B$43, B493)</f>
        <v>Nascent Soul · Initial</v>
      </c>
      <c r="D493" s="6" t="n">
        <f aca="false">(A493+1)^2.4 * 1.004^A493</f>
        <v>20510168.8569791</v>
      </c>
      <c r="E493" s="6" t="n">
        <f aca="false">$I$2*(A493+1)^1.9*1.003^A493</f>
        <v>244.879777777671</v>
      </c>
      <c r="F493" s="6" t="n">
        <f aca="false">(A493+1)^1.12</f>
        <v>1035.14434782384</v>
      </c>
      <c r="G493" s="6" t="n">
        <f aca="false">G492+E493</f>
        <v>29722.2202933754</v>
      </c>
    </row>
    <row r="494" customFormat="false" ht="15" hidden="false" customHeight="true" outlineLevel="0" collapsed="false">
      <c r="A494" s="6" t="n">
        <v>492</v>
      </c>
      <c r="B494" s="6" t="n">
        <f aca="false">MIN(42, FLOOR(A494/32,1)+1)</f>
        <v>16</v>
      </c>
      <c r="C494" s="6" t="str">
        <f aca="false">INDEX(Grades_Realms!$B$2:$B$43, B494)</f>
        <v>Nascent Soul · Initial</v>
      </c>
      <c r="D494" s="6" t="n">
        <f aca="false">(A494+1)^2.4 * 1.004^A494</f>
        <v>20692802.2901089</v>
      </c>
      <c r="E494" s="6" t="n">
        <f aca="false">$I$2*(A494+1)^1.9*1.003^A494</f>
        <v>246.563795553161</v>
      </c>
      <c r="F494" s="6" t="n">
        <f aca="false">(A494+1)^1.12</f>
        <v>1037.50106117936</v>
      </c>
      <c r="G494" s="6" t="n">
        <f aca="false">G493+E494</f>
        <v>29968.7840889285</v>
      </c>
    </row>
    <row r="495" customFormat="false" ht="15" hidden="false" customHeight="true" outlineLevel="0" collapsed="false">
      <c r="A495" s="6" t="n">
        <v>493</v>
      </c>
      <c r="B495" s="6" t="n">
        <f aca="false">MIN(42, FLOOR(A495/32,1)+1)</f>
        <v>16</v>
      </c>
      <c r="C495" s="6" t="str">
        <f aca="false">INDEX(Grades_Realms!$B$2:$B$43, B495)</f>
        <v>Nascent Soul · Initial</v>
      </c>
      <c r="D495" s="6" t="n">
        <f aca="false">(A495+1)^2.4 * 1.004^A495</f>
        <v>20876855.8372528</v>
      </c>
      <c r="E495" s="6" t="n">
        <f aca="false">$I$2*(A495+1)^1.9*1.003^A495</f>
        <v>248.257453450316</v>
      </c>
      <c r="F495" s="6" t="n">
        <f aca="false">(A495+1)^1.12</f>
        <v>1039.85834824727</v>
      </c>
      <c r="G495" s="6" t="n">
        <f aca="false">G494+E495</f>
        <v>30217.0415423788</v>
      </c>
    </row>
    <row r="496" customFormat="false" ht="15" hidden="false" customHeight="true" outlineLevel="0" collapsed="false">
      <c r="A496" s="6" t="n">
        <v>494</v>
      </c>
      <c r="B496" s="6" t="n">
        <f aca="false">MIN(42, FLOOR(A496/32,1)+1)</f>
        <v>16</v>
      </c>
      <c r="C496" s="6" t="str">
        <f aca="false">INDEX(Grades_Realms!$B$2:$B$43, B496)</f>
        <v>Nascent Soul · Initial</v>
      </c>
      <c r="D496" s="6" t="n">
        <f aca="false">(A496+1)^2.4 * 1.004^A496</f>
        <v>21062339.319845</v>
      </c>
      <c r="E496" s="6" t="n">
        <f aca="false">$I$2*(A496+1)^1.9*1.003^A496</f>
        <v>249.960799019913</v>
      </c>
      <c r="F496" s="6" t="n">
        <f aca="false">(A496+1)^1.12</f>
        <v>1042.21620800545</v>
      </c>
      <c r="G496" s="6" t="n">
        <f aca="false">G495+E496</f>
        <v>30467.0023413988</v>
      </c>
    </row>
    <row r="497" customFormat="false" ht="15" hidden="false" customHeight="true" outlineLevel="0" collapsed="false">
      <c r="A497" s="6" t="n">
        <v>495</v>
      </c>
      <c r="B497" s="6" t="n">
        <f aca="false">MIN(42, FLOOR(A497/32,1)+1)</f>
        <v>16</v>
      </c>
      <c r="C497" s="6" t="str">
        <f aca="false">INDEX(Grades_Realms!$B$2:$B$43, B497)</f>
        <v>Nascent Soul · Initial</v>
      </c>
      <c r="D497" s="6" t="n">
        <f aca="false">(A497+1)^2.4 * 1.004^A497</f>
        <v>21249262.6213499</v>
      </c>
      <c r="E497" s="6" t="n">
        <f aca="false">$I$2*(A497+1)^1.9*1.003^A497</f>
        <v>251.673880025598</v>
      </c>
      <c r="F497" s="6" t="n">
        <f aca="false">(A497+1)^1.12</f>
        <v>1044.57463943564</v>
      </c>
      <c r="G497" s="6" t="n">
        <f aca="false">G496+E497</f>
        <v>30718.6762214244</v>
      </c>
    </row>
    <row r="498" customFormat="false" ht="15" hidden="false" customHeight="true" outlineLevel="0" collapsed="false">
      <c r="A498" s="6" t="n">
        <v>496</v>
      </c>
      <c r="B498" s="6" t="n">
        <f aca="false">MIN(42, FLOOR(A498/32,1)+1)</f>
        <v>16</v>
      </c>
      <c r="C498" s="6" t="str">
        <f aca="false">INDEX(Grades_Realms!$B$2:$B$43, B498)</f>
        <v>Nascent Soul · Initial</v>
      </c>
      <c r="D498" s="6" t="n">
        <f aca="false">(A498+1)^2.4 * 1.004^A498</f>
        <v>21437635.6876291</v>
      </c>
      <c r="E498" s="6" t="n">
        <f aca="false">$I$2*(A498+1)^1.9*1.003^A498</f>
        <v>253.396744444779</v>
      </c>
      <c r="F498" s="6" t="n">
        <f aca="false">(A498+1)^1.12</f>
        <v>1046.93364152348</v>
      </c>
      <c r="G498" s="6" t="n">
        <f aca="false">G497+E498</f>
        <v>30972.0729658691</v>
      </c>
    </row>
    <row r="499" customFormat="false" ht="15" hidden="false" customHeight="true" outlineLevel="0" collapsed="false">
      <c r="A499" s="6" t="n">
        <v>497</v>
      </c>
      <c r="B499" s="6" t="n">
        <f aca="false">MIN(42, FLOOR(A499/32,1)+1)</f>
        <v>16</v>
      </c>
      <c r="C499" s="6" t="str">
        <f aca="false">INDEX(Grades_Realms!$B$2:$B$43, B499)</f>
        <v>Nascent Soul · Initial</v>
      </c>
      <c r="D499" s="6" t="n">
        <f aca="false">(A499+1)^2.4 * 1.004^A499</f>
        <v>21627468.5273089</v>
      </c>
      <c r="E499" s="6" t="n">
        <f aca="false">$I$2*(A499+1)^1.9*1.003^A499</f>
        <v>255.129440469519</v>
      </c>
      <c r="F499" s="6" t="n">
        <f aca="false">(A499+1)^1.12</f>
        <v>1049.29321325841</v>
      </c>
      <c r="G499" s="6" t="n">
        <f aca="false">G498+E499</f>
        <v>31227.2024063387</v>
      </c>
    </row>
    <row r="500" customFormat="false" ht="15" hidden="false" customHeight="true" outlineLevel="0" collapsed="false">
      <c r="A500" s="6" t="n">
        <v>498</v>
      </c>
      <c r="B500" s="6" t="n">
        <f aca="false">MIN(42, FLOOR(A500/32,1)+1)</f>
        <v>16</v>
      </c>
      <c r="C500" s="6" t="str">
        <f aca="false">INDEX(Grades_Realms!$B$2:$B$43, B500)</f>
        <v>Nascent Soul · Initial</v>
      </c>
      <c r="D500" s="6" t="n">
        <f aca="false">(A500+1)^2.4 * 1.004^A500</f>
        <v>21818771.2121514</v>
      </c>
      <c r="E500" s="6" t="n">
        <f aca="false">$I$2*(A500+1)^1.9*1.003^A500</f>
        <v>256.872016507433</v>
      </c>
      <c r="F500" s="6" t="n">
        <f aca="false">(A500+1)^1.12</f>
        <v>1051.65335363371</v>
      </c>
      <c r="G500" s="6" t="n">
        <f aca="false">G499+E500</f>
        <v>31484.0744228461</v>
      </c>
    </row>
    <row r="501" customFormat="false" ht="15" hidden="false" customHeight="true" outlineLevel="0" collapsed="false">
      <c r="A501" s="6" t="n">
        <v>499</v>
      </c>
      <c r="B501" s="6" t="n">
        <f aca="false">MIN(42, FLOOR(A501/32,1)+1)</f>
        <v>16</v>
      </c>
      <c r="C501" s="6" t="str">
        <f aca="false">INDEX(Grades_Realms!$B$2:$B$43, B501)</f>
        <v>Nascent Soul · Initial</v>
      </c>
      <c r="D501" s="6" t="n">
        <f aca="false">(A501+1)^2.4 * 1.004^A501</f>
        <v>22011553.8774261</v>
      </c>
      <c r="E501" s="6" t="n">
        <f aca="false">$I$2*(A501+1)^1.9*1.003^A501</f>
        <v>258.624521182587</v>
      </c>
      <c r="F501" s="6" t="n">
        <f aca="false">(A501+1)^1.12</f>
        <v>1054.01406164645</v>
      </c>
      <c r="G501" s="6" t="n">
        <f aca="false">G500+E501</f>
        <v>31742.6989440287</v>
      </c>
    </row>
    <row r="502" customFormat="false" ht="15" hidden="false" customHeight="true" outlineLevel="0" collapsed="false">
      <c r="A502" s="6" t="n">
        <v>500</v>
      </c>
      <c r="B502" s="6" t="n">
        <f aca="false">MIN(42, FLOOR(A502/32,1)+1)</f>
        <v>16</v>
      </c>
      <c r="C502" s="6" t="str">
        <f aca="false">INDEX(Grades_Realms!$B$2:$B$43, B502)</f>
        <v>Nascent Soul · Initial</v>
      </c>
      <c r="D502" s="6" t="n">
        <f aca="false">(A502+1)^2.4 * 1.004^A502</f>
        <v>22205826.7222851</v>
      </c>
      <c r="E502" s="6" t="n">
        <f aca="false">$I$2*(A502+1)^1.9*1.003^A502</f>
        <v>260.38700333641</v>
      </c>
      <c r="F502" s="6" t="n">
        <f aca="false">(A502+1)^1.12</f>
        <v>1056.37533629746</v>
      </c>
      <c r="G502" s="6" t="n">
        <f aca="false">G501+E502</f>
        <v>32003.0859473651</v>
      </c>
    </row>
    <row r="503" customFormat="false" ht="15" hidden="false" customHeight="true" outlineLevel="0" collapsed="false">
      <c r="A503" s="6" t="n">
        <v>501</v>
      </c>
      <c r="B503" s="6" t="n">
        <f aca="false">MIN(42, FLOOR(A503/32,1)+1)</f>
        <v>16</v>
      </c>
      <c r="C503" s="6" t="str">
        <f aca="false">INDEX(Grades_Realms!$B$2:$B$43, B503)</f>
        <v>Nascent Soul · Initial</v>
      </c>
      <c r="D503" s="6" t="n">
        <f aca="false">(A503+1)^2.4 * 1.004^A503</f>
        <v>22401600.0101394</v>
      </c>
      <c r="E503" s="6" t="n">
        <f aca="false">$I$2*(A503+1)^1.9*1.003^A503</f>
        <v>262.159512028592</v>
      </c>
      <c r="F503" s="6" t="n">
        <f aca="false">(A503+1)^1.12</f>
        <v>1058.73717659133</v>
      </c>
      <c r="G503" s="6" t="n">
        <f aca="false">G502+E503</f>
        <v>32265.2454593937</v>
      </c>
    </row>
    <row r="504" customFormat="false" ht="15" hidden="false" customHeight="true" outlineLevel="0" collapsed="false">
      <c r="A504" s="6" t="n">
        <v>502</v>
      </c>
      <c r="B504" s="6" t="n">
        <f aca="false">MIN(42, FLOOR(A504/32,1)+1)</f>
        <v>16</v>
      </c>
      <c r="C504" s="6" t="str">
        <f aca="false">INDEX(Grades_Realms!$B$2:$B$43, B504)</f>
        <v>Nascent Soul · Initial</v>
      </c>
      <c r="D504" s="6" t="n">
        <f aca="false">(A504+1)^2.4 * 1.004^A504</f>
        <v>22598884.0690372</v>
      </c>
      <c r="E504" s="6" t="n">
        <f aca="false">$I$2*(A504+1)^1.9*1.003^A504</f>
        <v>263.942096538006</v>
      </c>
      <c r="F504" s="6" t="n">
        <f aca="false">(A504+1)^1.12</f>
        <v>1061.09958153637</v>
      </c>
      <c r="G504" s="6" t="n">
        <f aca="false">G503+E504</f>
        <v>32529.1875559317</v>
      </c>
    </row>
    <row r="505" customFormat="false" ht="15" hidden="false" customHeight="true" outlineLevel="0" collapsed="false">
      <c r="A505" s="6" t="n">
        <v>503</v>
      </c>
      <c r="B505" s="6" t="n">
        <f aca="false">MIN(42, FLOOR(A505/32,1)+1)</f>
        <v>16</v>
      </c>
      <c r="C505" s="6" t="str">
        <f aca="false">INDEX(Grades_Realms!$B$2:$B$43, B505)</f>
        <v>Nascent Soul · Initial</v>
      </c>
      <c r="D505" s="6" t="n">
        <f aca="false">(A505+1)^2.4 * 1.004^A505</f>
        <v>22797689.2920456</v>
      </c>
      <c r="E505" s="6" t="n">
        <f aca="false">$I$2*(A505+1)^1.9*1.003^A505</f>
        <v>265.734806363615</v>
      </c>
      <c r="F505" s="6" t="n">
        <f aca="false">(A505+1)^1.12</f>
        <v>1063.46255014461</v>
      </c>
      <c r="G505" s="6" t="n">
        <f aca="false">G504+E505</f>
        <v>32794.9223622953</v>
      </c>
    </row>
    <row r="506" customFormat="false" ht="15" hidden="false" customHeight="true" outlineLevel="0" collapsed="false">
      <c r="A506" s="6" t="n">
        <v>504</v>
      </c>
      <c r="B506" s="6" t="n">
        <f aca="false">MIN(42, FLOOR(A506/32,1)+1)</f>
        <v>16</v>
      </c>
      <c r="C506" s="6" t="str">
        <f aca="false">INDEX(Grades_Realms!$B$2:$B$43, B506)</f>
        <v>Nascent Soul · Initial</v>
      </c>
      <c r="D506" s="6" t="n">
        <f aca="false">(A506+1)^2.4 * 1.004^A506</f>
        <v>22998026.1376327</v>
      </c>
      <c r="E506" s="6" t="n">
        <f aca="false">$I$2*(A506+1)^1.9*1.003^A506</f>
        <v>267.5376912254</v>
      </c>
      <c r="F506" s="6" t="n">
        <f aca="false">(A506+1)^1.12</f>
        <v>1065.82608143175</v>
      </c>
      <c r="G506" s="6" t="n">
        <f aca="false">G505+E506</f>
        <v>33062.4600535207</v>
      </c>
    </row>
    <row r="507" customFormat="false" ht="15" hidden="false" customHeight="true" outlineLevel="0" collapsed="false">
      <c r="A507" s="6" t="n">
        <v>505</v>
      </c>
      <c r="B507" s="6" t="n">
        <f aca="false">MIN(42, FLOOR(A507/32,1)+1)</f>
        <v>16</v>
      </c>
      <c r="C507" s="6" t="str">
        <f aca="false">INDEX(Grades_Realms!$B$2:$B$43, B507)</f>
        <v>Nascent Soul · Initial</v>
      </c>
      <c r="D507" s="6" t="n">
        <f aca="false">(A507+1)^2.4 * 1.004^A507</f>
        <v>23199905.1300532</v>
      </c>
      <c r="E507" s="6" t="n">
        <f aca="false">$I$2*(A507+1)^1.9*1.003^A507</f>
        <v>269.350801065273</v>
      </c>
      <c r="F507" s="6" t="n">
        <f aca="false">(A507+1)^1.12</f>
        <v>1068.19017441717</v>
      </c>
      <c r="G507" s="6" t="n">
        <f aca="false">G506+E507</f>
        <v>33331.810854586</v>
      </c>
    </row>
    <row r="508" customFormat="false" ht="15" hidden="false" customHeight="true" outlineLevel="0" collapsed="false">
      <c r="A508" s="6" t="n">
        <v>506</v>
      </c>
      <c r="B508" s="6" t="n">
        <f aca="false">MIN(42, FLOOR(A508/32,1)+1)</f>
        <v>16</v>
      </c>
      <c r="C508" s="6" t="str">
        <f aca="false">INDEX(Grades_Realms!$B$2:$B$43, B508)</f>
        <v>Nascent Soul · Initial</v>
      </c>
      <c r="D508" s="6" t="n">
        <f aca="false">(A508+1)^2.4 * 1.004^A508</f>
        <v>23403336.8597355</v>
      </c>
      <c r="E508" s="6" t="n">
        <f aca="false">$I$2*(A508+1)^1.9*1.003^A508</f>
        <v>271.174186048012</v>
      </c>
      <c r="F508" s="6" t="n">
        <f aca="false">(A508+1)^1.12</f>
        <v>1070.55482812388</v>
      </c>
      <c r="G508" s="6" t="n">
        <f aca="false">G507+E508</f>
        <v>33602.985040634</v>
      </c>
    </row>
    <row r="509" customFormat="false" ht="15" hidden="false" customHeight="true" outlineLevel="0" collapsed="false">
      <c r="A509" s="6" t="n">
        <v>507</v>
      </c>
      <c r="B509" s="6" t="n">
        <f aca="false">MIN(42, FLOOR(A509/32,1)+1)</f>
        <v>16</v>
      </c>
      <c r="C509" s="6" t="str">
        <f aca="false">INDEX(Grades_Realms!$B$2:$B$43, B509)</f>
        <v>Nascent Soul · Initial</v>
      </c>
      <c r="D509" s="6" t="n">
        <f aca="false">(A509+1)^2.4 * 1.004^A509</f>
        <v>23608331.983671</v>
      </c>
      <c r="E509" s="6" t="n">
        <f aca="false">$I$2*(A509+1)^1.9*1.003^A509</f>
        <v>273.007896562189</v>
      </c>
      <c r="F509" s="6" t="n">
        <f aca="false">(A509+1)^1.12</f>
        <v>1072.92004157852</v>
      </c>
      <c r="G509" s="6" t="n">
        <f aca="false">G508+E509</f>
        <v>33875.9929371962</v>
      </c>
    </row>
    <row r="510" customFormat="false" ht="15" hidden="false" customHeight="true" outlineLevel="0" collapsed="false">
      <c r="A510" s="6" t="n">
        <v>508</v>
      </c>
      <c r="B510" s="6" t="n">
        <f aca="false">MIN(42, FLOOR(A510/32,1)+1)</f>
        <v>16</v>
      </c>
      <c r="C510" s="6" t="str">
        <f aca="false">INDEX(Grades_Realms!$B$2:$B$43, B510)</f>
        <v>Nascent Soul · Initial</v>
      </c>
      <c r="D510" s="6" t="n">
        <f aca="false">(A510+1)^2.4 * 1.004^A510</f>
        <v>23814901.2258059</v>
      </c>
      <c r="E510" s="6" t="n">
        <f aca="false">$I$2*(A510+1)^1.9*1.003^A510</f>
        <v>274.8519832211</v>
      </c>
      <c r="F510" s="6" t="n">
        <f aca="false">(A510+1)^1.12</f>
        <v>1075.28581381133</v>
      </c>
      <c r="G510" s="6" t="n">
        <f aca="false">G509+E510</f>
        <v>34150.8449204173</v>
      </c>
    </row>
    <row r="511" customFormat="false" ht="15" hidden="false" customHeight="true" outlineLevel="0" collapsed="false">
      <c r="A511" s="6" t="n">
        <v>509</v>
      </c>
      <c r="B511" s="6" t="n">
        <f aca="false">MIN(42, FLOOR(A511/32,1)+1)</f>
        <v>16</v>
      </c>
      <c r="C511" s="6" t="str">
        <f aca="false">INDEX(Grades_Realms!$B$2:$B$43, B511)</f>
        <v>Nascent Soul · Initial</v>
      </c>
      <c r="D511" s="6" t="n">
        <f aca="false">(A511+1)^2.4 * 1.004^A511</f>
        <v>24023055.3774348</v>
      </c>
      <c r="E511" s="6" t="n">
        <f aca="false">$I$2*(A511+1)^1.9*1.003^A511</f>
        <v>276.706496863707</v>
      </c>
      <c r="F511" s="6" t="n">
        <f aca="false">(A511+1)^1.12</f>
        <v>1077.65214385615</v>
      </c>
      <c r="G511" s="6" t="n">
        <f aca="false">G510+E511</f>
        <v>34427.551417281</v>
      </c>
    </row>
    <row r="512" customFormat="false" ht="15" hidden="false" customHeight="true" outlineLevel="0" collapsed="false">
      <c r="A512" s="6" t="n">
        <v>510</v>
      </c>
      <c r="B512" s="6" t="n">
        <f aca="false">MIN(42, FLOOR(A512/32,1)+1)</f>
        <v>16</v>
      </c>
      <c r="C512" s="6" t="str">
        <f aca="false">INDEX(Grades_Realms!$B$2:$B$43, B512)</f>
        <v>Nascent Soul · Initial</v>
      </c>
      <c r="D512" s="6" t="n">
        <f aca="false">(A512+1)^2.4 * 1.004^A512</f>
        <v>24232805.2975968</v>
      </c>
      <c r="E512" s="6" t="n">
        <f aca="false">$I$2*(A512+1)^1.9*1.003^A512</f>
        <v>278.57148855558</v>
      </c>
      <c r="F512" s="6" t="n">
        <f aca="false">(A512+1)^1.12</f>
        <v>1080.01903075034</v>
      </c>
      <c r="G512" s="6" t="n">
        <f aca="false">G511+E512</f>
        <v>34706.1229058366</v>
      </c>
    </row>
    <row r="513" customFormat="false" ht="15" hidden="false" customHeight="true" outlineLevel="0" collapsed="false">
      <c r="A513" s="6" t="n">
        <v>511</v>
      </c>
      <c r="B513" s="6" t="n">
        <f aca="false">MIN(42, FLOOR(A513/32,1)+1)</f>
        <v>16</v>
      </c>
      <c r="C513" s="6" t="str">
        <f aca="false">INDEX(Grades_Realms!$B$2:$B$43, B513)</f>
        <v>Nascent Soul · Initial</v>
      </c>
      <c r="D513" s="6" t="n">
        <f aca="false">(A513+1)^2.4 * 1.004^A513</f>
        <v>24444161.9134738</v>
      </c>
      <c r="E513" s="6" t="n">
        <f aca="false">$I$2*(A513+1)^1.9*1.003^A513</f>
        <v>280.447009589837</v>
      </c>
      <c r="F513" s="6" t="n">
        <f aca="false">(A513+1)^1.12</f>
        <v>1082.38647353485</v>
      </c>
      <c r="G513" s="6" t="n">
        <f aca="false">G512+E513</f>
        <v>34986.5699154264</v>
      </c>
    </row>
    <row r="514" customFormat="false" ht="15" hidden="false" customHeight="true" outlineLevel="0" collapsed="false">
      <c r="A514" s="6" t="n">
        <v>512</v>
      </c>
      <c r="B514" s="6" t="n">
        <f aca="false">MIN(42, FLOOR(A514/32,1)+1)</f>
        <v>17</v>
      </c>
      <c r="C514" s="6" t="str">
        <f aca="false">INDEX(Grades_Realms!$B$2:$B$43, B514)</f>
        <v>Nascent Soul · Advanced</v>
      </c>
      <c r="D514" s="6" t="n">
        <f aca="false">(A514+1)^2.4 * 1.004^A514</f>
        <v>24657136.2207905</v>
      </c>
      <c r="E514" s="6" t="n">
        <f aca="false">$I$2*(A514+1)^1.9*1.003^A514</f>
        <v>282.333111488099</v>
      </c>
      <c r="F514" s="6" t="n">
        <f aca="false">(A514+1)^1.12</f>
        <v>1084.75447125413</v>
      </c>
      <c r="G514" s="6" t="n">
        <f aca="false">G513+E514</f>
        <v>35268.9030269145</v>
      </c>
    </row>
    <row r="515" customFormat="false" ht="15" hidden="false" customHeight="true" outlineLevel="0" collapsed="false">
      <c r="A515" s="6" t="n">
        <v>513</v>
      </c>
      <c r="B515" s="6" t="n">
        <f aca="false">MIN(42, FLOOR(A515/32,1)+1)</f>
        <v>17</v>
      </c>
      <c r="C515" s="6" t="str">
        <f aca="false">INDEX(Grades_Realms!$B$2:$B$43, B515)</f>
        <v>Nascent Soul · Advanced</v>
      </c>
      <c r="D515" s="6" t="n">
        <f aca="false">(A515+1)^2.4 * 1.004^A515</f>
        <v>24871739.2842176</v>
      </c>
      <c r="E515" s="6" t="n">
        <f aca="false">$I$2*(A515+1)^1.9*1.003^A515</f>
        <v>284.22984600144</v>
      </c>
      <c r="F515" s="6" t="n">
        <f aca="false">(A515+1)^1.12</f>
        <v>1087.12302295612</v>
      </c>
      <c r="G515" s="6" t="n">
        <f aca="false">G514+E515</f>
        <v>35553.1328729159</v>
      </c>
    </row>
    <row r="516" customFormat="false" ht="15" hidden="false" customHeight="true" outlineLevel="0" collapsed="false">
      <c r="A516" s="6" t="n">
        <v>514</v>
      </c>
      <c r="B516" s="6" t="n">
        <f aca="false">MIN(42, FLOOR(A516/32,1)+1)</f>
        <v>17</v>
      </c>
      <c r="C516" s="6" t="str">
        <f aca="false">INDEX(Grades_Realms!$B$2:$B$43, B516)</f>
        <v>Nascent Soul · Advanced</v>
      </c>
      <c r="D516" s="6" t="n">
        <f aca="false">(A516+1)^2.4 * 1.004^A516</f>
        <v>25087982.2377762</v>
      </c>
      <c r="E516" s="6" t="n">
        <f aca="false">$I$2*(A516+1)^1.9*1.003^A516</f>
        <v>286.137265111341</v>
      </c>
      <c r="F516" s="6" t="n">
        <f aca="false">(A516+1)^1.12</f>
        <v>1089.49212769226</v>
      </c>
      <c r="G516" s="6" t="n">
        <f aca="false">G515+E516</f>
        <v>35839.2701380273</v>
      </c>
    </row>
    <row r="517" customFormat="false" ht="15" hidden="false" customHeight="true" outlineLevel="0" collapsed="false">
      <c r="A517" s="6" t="n">
        <v>515</v>
      </c>
      <c r="B517" s="6" t="n">
        <f aca="false">MIN(42, FLOOR(A517/32,1)+1)</f>
        <v>17</v>
      </c>
      <c r="C517" s="6" t="str">
        <f aca="false">INDEX(Grades_Realms!$B$2:$B$43, B517)</f>
        <v>Nascent Soul · Advanced</v>
      </c>
      <c r="D517" s="6" t="n">
        <f aca="false">(A517+1)^2.4 * 1.004^A517</f>
        <v>25305876.2852455</v>
      </c>
      <c r="E517" s="6" t="n">
        <f aca="false">$I$2*(A517+1)^1.9*1.003^A517</f>
        <v>288.055421030657</v>
      </c>
      <c r="F517" s="6" t="n">
        <f aca="false">(A517+1)^1.12</f>
        <v>1091.86178451745</v>
      </c>
      <c r="G517" s="6" t="n">
        <f aca="false">G516+E517</f>
        <v>36127.3255590579</v>
      </c>
    </row>
    <row r="518" customFormat="false" ht="15" hidden="false" customHeight="true" outlineLevel="0" collapsed="false">
      <c r="A518" s="6" t="n">
        <v>516</v>
      </c>
      <c r="B518" s="6" t="n">
        <f aca="false">MIN(42, FLOOR(A518/32,1)+1)</f>
        <v>17</v>
      </c>
      <c r="C518" s="6" t="str">
        <f aca="false">INDEX(Grades_Realms!$B$2:$B$43, B518)</f>
        <v>Nascent Soul · Advanced</v>
      </c>
      <c r="D518" s="6" t="n">
        <f aca="false">(A518+1)^2.4 * 1.004^A518</f>
        <v>25525432.7005718</v>
      </c>
      <c r="E518" s="6" t="n">
        <f aca="false">$I$2*(A518+1)^1.9*1.003^A518</f>
        <v>289.984366204574</v>
      </c>
      <c r="F518" s="6" t="n">
        <f aca="false">(A518+1)^1.12</f>
        <v>1094.23199249003</v>
      </c>
      <c r="G518" s="6" t="n">
        <f aca="false">G517+E518</f>
        <v>36417.3099252625</v>
      </c>
    </row>
    <row r="519" customFormat="false" ht="15" hidden="false" customHeight="true" outlineLevel="0" collapsed="false">
      <c r="A519" s="6" t="n">
        <v>517</v>
      </c>
      <c r="B519" s="6" t="n">
        <f aca="false">MIN(42, FLOOR(A519/32,1)+1)</f>
        <v>17</v>
      </c>
      <c r="C519" s="6" t="str">
        <f aca="false">INDEX(Grades_Realms!$B$2:$B$43, B519)</f>
        <v>Nascent Soul · Advanced</v>
      </c>
      <c r="D519" s="6" t="n">
        <f aca="false">(A519+1)^2.4 * 1.004^A519</f>
        <v>25746662.8282804</v>
      </c>
      <c r="E519" s="6" t="n">
        <f aca="false">$I$2*(A519+1)^1.9*1.003^A519</f>
        <v>291.924153311582</v>
      </c>
      <c r="F519" s="6" t="n">
        <f aca="false">(A519+1)^1.12</f>
        <v>1096.60275067176</v>
      </c>
      <c r="G519" s="6" t="n">
        <f aca="false">G518+E519</f>
        <v>36709.2340785741</v>
      </c>
    </row>
    <row r="520" customFormat="false" ht="15" hidden="false" customHeight="true" outlineLevel="0" collapsed="false">
      <c r="A520" s="6" t="n">
        <v>518</v>
      </c>
      <c r="B520" s="6" t="n">
        <f aca="false">MIN(42, FLOOR(A520/32,1)+1)</f>
        <v>17</v>
      </c>
      <c r="C520" s="6" t="str">
        <f aca="false">INDEX(Grades_Realms!$B$2:$B$43, B520)</f>
        <v>Nascent Soul · Advanced</v>
      </c>
      <c r="D520" s="6" t="n">
        <f aca="false">(A520+1)^2.4 * 1.004^A520</f>
        <v>25969578.0838896</v>
      </c>
      <c r="E520" s="6" t="n">
        <f aca="false">$I$2*(A520+1)^1.9*1.003^A520</f>
        <v>293.874835264442</v>
      </c>
      <c r="F520" s="6" t="n">
        <f aca="false">(A520+1)^1.12</f>
        <v>1098.97405812783</v>
      </c>
      <c r="G520" s="6" t="n">
        <f aca="false">G519+E520</f>
        <v>37003.1089138385</v>
      </c>
    </row>
    <row r="521" customFormat="false" ht="15" hidden="false" customHeight="true" outlineLevel="0" collapsed="false">
      <c r="A521" s="6" t="n">
        <v>519</v>
      </c>
      <c r="B521" s="6" t="n">
        <f aca="false">MIN(42, FLOOR(A521/32,1)+1)</f>
        <v>17</v>
      </c>
      <c r="C521" s="6" t="str">
        <f aca="false">INDEX(Grades_Realms!$B$2:$B$43, B521)</f>
        <v>Nascent Soul · Advanced</v>
      </c>
      <c r="D521" s="6" t="n">
        <f aca="false">(A521+1)^2.4 * 1.004^A521</f>
        <v>26194189.9543272</v>
      </c>
      <c r="E521" s="6" t="n">
        <f aca="false">$I$2*(A521+1)^1.9*1.003^A521</f>
        <v>295.836465211168</v>
      </c>
      <c r="F521" s="6" t="n">
        <f aca="false">(A521+1)^1.12</f>
        <v>1101.34591392679</v>
      </c>
      <c r="G521" s="6" t="n">
        <f aca="false">G520+E521</f>
        <v>37298.9453790497</v>
      </c>
    </row>
    <row r="522" customFormat="false" ht="15" hidden="false" customHeight="true" outlineLevel="0" collapsed="false">
      <c r="A522" s="6" t="n">
        <v>520</v>
      </c>
      <c r="B522" s="6" t="n">
        <f aca="false">MIN(42, FLOOR(A522/32,1)+1)</f>
        <v>17</v>
      </c>
      <c r="C522" s="6" t="str">
        <f aca="false">INDEX(Grades_Realms!$B$2:$B$43, B522)</f>
        <v>Nascent Soul · Advanced</v>
      </c>
      <c r="D522" s="6" t="n">
        <f aca="false">(A522+1)^2.4 * 1.004^A522</f>
        <v>26420509.9983488</v>
      </c>
      <c r="E522" s="6" t="n">
        <f aca="false">$I$2*(A522+1)^1.9*1.003^A522</f>
        <v>297.809096536001</v>
      </c>
      <c r="F522" s="6" t="n">
        <f aca="false">(A522+1)^1.12</f>
        <v>1103.71831714057</v>
      </c>
      <c r="G522" s="6" t="n">
        <f aca="false">G521+E522</f>
        <v>37596.7544755857</v>
      </c>
    </row>
    <row r="523" customFormat="false" ht="15" hidden="false" customHeight="true" outlineLevel="0" collapsed="false">
      <c r="A523" s="6" t="n">
        <v>521</v>
      </c>
      <c r="B523" s="6" t="n">
        <f aca="false">MIN(42, FLOOR(A523/32,1)+1)</f>
        <v>17</v>
      </c>
      <c r="C523" s="6" t="str">
        <f aca="false">INDEX(Grades_Realms!$B$2:$B$43, B523)</f>
        <v>Nascent Soul · Advanced</v>
      </c>
      <c r="D523" s="6" t="n">
        <f aca="false">(A523+1)^2.4 * 1.004^A523</f>
        <v>26648549.8469593</v>
      </c>
      <c r="E523" s="6" t="n">
        <f aca="false">$I$2*(A523+1)^1.9*1.003^A523</f>
        <v>299.792782860396</v>
      </c>
      <c r="F523" s="6" t="n">
        <f aca="false">(A523+1)^1.12</f>
        <v>1106.09126684443</v>
      </c>
      <c r="G523" s="6" t="n">
        <f aca="false">G522+E523</f>
        <v>37896.5472584461</v>
      </c>
    </row>
    <row r="524" customFormat="false" ht="15" hidden="false" customHeight="true" outlineLevel="0" collapsed="false">
      <c r="A524" s="6" t="n">
        <v>522</v>
      </c>
      <c r="B524" s="6" t="n">
        <f aca="false">MIN(42, FLOOR(A524/32,1)+1)</f>
        <v>17</v>
      </c>
      <c r="C524" s="6" t="str">
        <f aca="false">INDEX(Grades_Realms!$B$2:$B$43, B524)</f>
        <v>Nascent Soul · Advanced</v>
      </c>
      <c r="D524" s="6" t="n">
        <f aca="false">(A524+1)^2.4 * 1.004^A524</f>
        <v>26878321.2038356</v>
      </c>
      <c r="E524" s="6" t="n">
        <f aca="false">$I$2*(A524+1)^1.9*1.003^A524</f>
        <v>301.787578044008</v>
      </c>
      <c r="F524" s="6" t="n">
        <f aca="false">(A524+1)^1.12</f>
        <v>1108.464762117</v>
      </c>
      <c r="G524" s="6" t="n">
        <f aca="false">G523+E524</f>
        <v>38198.3348364901</v>
      </c>
    </row>
    <row r="525" customFormat="false" ht="15" hidden="false" customHeight="true" outlineLevel="0" collapsed="false">
      <c r="A525" s="6" t="n">
        <v>523</v>
      </c>
      <c r="B525" s="6" t="n">
        <f aca="false">MIN(42, FLOOR(A525/32,1)+1)</f>
        <v>17</v>
      </c>
      <c r="C525" s="6" t="str">
        <f aca="false">INDEX(Grades_Realms!$B$2:$B$43, B525)</f>
        <v>Nascent Soul · Advanced</v>
      </c>
      <c r="D525" s="6" t="n">
        <f aca="false">(A525+1)^2.4 * 1.004^A525</f>
        <v>27109835.845753</v>
      </c>
      <c r="E525" s="6" t="n">
        <f aca="false">$I$2*(A525+1)^1.9*1.003^A525</f>
        <v>303.793536185682</v>
      </c>
      <c r="F525" s="6" t="n">
        <f aca="false">(A525+1)^1.12</f>
        <v>1110.83880204018</v>
      </c>
      <c r="G525" s="6" t="n">
        <f aca="false">G524+E525</f>
        <v>38502.1283726758</v>
      </c>
    </row>
    <row r="526" customFormat="false" ht="15" hidden="false" customHeight="true" outlineLevel="0" collapsed="false">
      <c r="A526" s="6" t="n">
        <v>524</v>
      </c>
      <c r="B526" s="6" t="n">
        <f aca="false">MIN(42, FLOOR(A526/32,1)+1)</f>
        <v>17</v>
      </c>
      <c r="C526" s="6" t="str">
        <f aca="false">INDEX(Grades_Realms!$B$2:$B$43, B526)</f>
        <v>Nascent Soul · Advanced</v>
      </c>
      <c r="D526" s="6" t="n">
        <f aca="false">(A526+1)^2.4 * 1.004^A526</f>
        <v>27343105.6230128</v>
      </c>
      <c r="E526" s="6" t="n">
        <f aca="false">$I$2*(A526+1)^1.9*1.003^A526</f>
        <v>305.810711624451</v>
      </c>
      <c r="F526" s="6" t="n">
        <f aca="false">(A526+1)^1.12</f>
        <v>1113.2133856992</v>
      </c>
      <c r="G526" s="6" t="n">
        <f aca="false">G525+E526</f>
        <v>38807.9390843002</v>
      </c>
    </row>
    <row r="527" customFormat="false" ht="15" hidden="false" customHeight="true" outlineLevel="0" collapsed="false">
      <c r="A527" s="6" t="n">
        <v>525</v>
      </c>
      <c r="B527" s="6" t="n">
        <f aca="false">MIN(42, FLOOR(A527/32,1)+1)</f>
        <v>17</v>
      </c>
      <c r="C527" s="6" t="str">
        <f aca="false">INDEX(Grades_Realms!$B$2:$B$43, B527)</f>
        <v>Nascent Soul · Advanced</v>
      </c>
      <c r="D527" s="6" t="n">
        <f aca="false">(A527+1)^2.4 * 1.004^A527</f>
        <v>27578142.4598728</v>
      </c>
      <c r="E527" s="6" t="n">
        <f aca="false">$I$2*(A527+1)^1.9*1.003^A527</f>
        <v>307.839158940533</v>
      </c>
      <c r="F527" s="6" t="n">
        <f aca="false">(A527+1)^1.12</f>
        <v>1115.58851218254</v>
      </c>
      <c r="G527" s="6" t="n">
        <f aca="false">G526+E527</f>
        <v>39115.7782432408</v>
      </c>
    </row>
    <row r="528" customFormat="false" ht="15" hidden="false" customHeight="true" outlineLevel="0" collapsed="false">
      <c r="A528" s="6" t="n">
        <v>526</v>
      </c>
      <c r="B528" s="6" t="n">
        <f aca="false">MIN(42, FLOOR(A528/32,1)+1)</f>
        <v>17</v>
      </c>
      <c r="C528" s="6" t="str">
        <f aca="false">INDEX(Grades_Realms!$B$2:$B$43, B528)</f>
        <v>Nascent Soul · Advanced</v>
      </c>
      <c r="D528" s="6" t="n">
        <f aca="false">(A528+1)^2.4 * 1.004^A528</f>
        <v>27814958.3549804</v>
      </c>
      <c r="E528" s="6" t="n">
        <f aca="false">$I$2*(A528+1)^1.9*1.003^A528</f>
        <v>309.878932956335</v>
      </c>
      <c r="F528" s="6" t="n">
        <f aca="false">(A528+1)^1.12</f>
        <v>1117.96418058195</v>
      </c>
      <c r="G528" s="6" t="n">
        <f aca="false">G527+E528</f>
        <v>39425.6571761971</v>
      </c>
    </row>
    <row r="529" customFormat="false" ht="15" hidden="false" customHeight="true" outlineLevel="0" collapsed="false">
      <c r="A529" s="6" t="n">
        <v>527</v>
      </c>
      <c r="B529" s="6" t="n">
        <f aca="false">MIN(42, FLOOR(A529/32,1)+1)</f>
        <v>17</v>
      </c>
      <c r="C529" s="6" t="str">
        <f aca="false">INDEX(Grades_Realms!$B$2:$B$43, B529)</f>
        <v>Nascent Soul · Advanced</v>
      </c>
      <c r="D529" s="6" t="n">
        <f aca="false">(A529+1)^2.4 * 1.004^A529</f>
        <v>28053565.3818077</v>
      </c>
      <c r="E529" s="6" t="n">
        <f aca="false">$I$2*(A529+1)^1.9*1.003^A529</f>
        <v>311.930088737461</v>
      </c>
      <c r="F529" s="6" t="n">
        <f aca="false">(A529+1)^1.12</f>
        <v>1120.34038999242</v>
      </c>
      <c r="G529" s="6" t="n">
        <f aca="false">G528+E529</f>
        <v>39737.5872649346</v>
      </c>
    </row>
    <row r="530" customFormat="false" ht="15" hidden="false" customHeight="true" outlineLevel="0" collapsed="false">
      <c r="A530" s="6" t="n">
        <v>528</v>
      </c>
      <c r="B530" s="6" t="n">
        <f aca="false">MIN(42, FLOOR(A530/32,1)+1)</f>
        <v>17</v>
      </c>
      <c r="C530" s="6" t="str">
        <f aca="false">INDEX(Grades_Realms!$B$2:$B$43, B530)</f>
        <v>Nascent Soul · Advanced</v>
      </c>
      <c r="D530" s="6" t="n">
        <f aca="false">(A530+1)^2.4 * 1.004^A530</f>
        <v>28293975.6890892</v>
      </c>
      <c r="E530" s="6" t="n">
        <f aca="false">$I$2*(A530+1)^1.9*1.003^A530</f>
        <v>313.992681593722</v>
      </c>
      <c r="F530" s="6" t="n">
        <f aca="false">(A530+1)^1.12</f>
        <v>1122.71713951216</v>
      </c>
      <c r="G530" s="6" t="n">
        <f aca="false">G529+E530</f>
        <v>40051.5799465283</v>
      </c>
    </row>
    <row r="531" customFormat="false" ht="15" hidden="false" customHeight="true" outlineLevel="0" collapsed="false">
      <c r="A531" s="6" t="n">
        <v>529</v>
      </c>
      <c r="B531" s="6" t="n">
        <f aca="false">MIN(42, FLOOR(A531/32,1)+1)</f>
        <v>17</v>
      </c>
      <c r="C531" s="6" t="str">
        <f aca="false">INDEX(Grades_Realms!$B$2:$B$43, B531)</f>
        <v>Nascent Soul · Advanced</v>
      </c>
      <c r="D531" s="6" t="n">
        <f aca="false">(A531+1)^2.4 * 1.004^A531</f>
        <v>28536201.501262</v>
      </c>
      <c r="E531" s="6" t="n">
        <f aca="false">$I$2*(A531+1)^1.9*1.003^A531</f>
        <v>316.066767080152</v>
      </c>
      <c r="F531" s="6" t="n">
        <f aca="false">(A531+1)^1.12</f>
        <v>1125.09442824259</v>
      </c>
      <c r="G531" s="6" t="n">
        <f aca="false">G530+E531</f>
        <v>40367.6467136084</v>
      </c>
    </row>
    <row r="532" customFormat="false" ht="15" hidden="false" customHeight="true" outlineLevel="0" collapsed="false">
      <c r="A532" s="6" t="n">
        <v>530</v>
      </c>
      <c r="B532" s="6" t="n">
        <f aca="false">MIN(42, FLOOR(A532/32,1)+1)</f>
        <v>17</v>
      </c>
      <c r="C532" s="6" t="str">
        <f aca="false">INDEX(Grades_Realms!$B$2:$B$43, B532)</f>
        <v>Nascent Soul · Advanced</v>
      </c>
      <c r="D532" s="6" t="n">
        <f aca="false">(A532+1)^2.4 * 1.004^A532</f>
        <v>28780255.1189084</v>
      </c>
      <c r="E532" s="6" t="n">
        <f aca="false">$I$2*(A532+1)^1.9*1.003^A532</f>
        <v>318.152400998024</v>
      </c>
      <c r="F532" s="6" t="n">
        <f aca="false">(A532+1)^1.12</f>
        <v>1127.47225528831</v>
      </c>
      <c r="G532" s="6" t="n">
        <f aca="false">G531+E532</f>
        <v>40685.7991146065</v>
      </c>
    </row>
    <row r="533" customFormat="false" ht="15" hidden="false" customHeight="true" outlineLevel="0" collapsed="false">
      <c r="A533" s="6" t="n">
        <v>531</v>
      </c>
      <c r="B533" s="6" t="n">
        <f aca="false">MIN(42, FLOOR(A533/32,1)+1)</f>
        <v>17</v>
      </c>
      <c r="C533" s="6" t="str">
        <f aca="false">INDEX(Grades_Realms!$B$2:$B$43, B533)</f>
        <v>Nascent Soul · Advanced</v>
      </c>
      <c r="D533" s="6" t="n">
        <f aca="false">(A533+1)^2.4 * 1.004^A533</f>
        <v>29026148.9192007</v>
      </c>
      <c r="E533" s="6" t="n">
        <f aca="false">$I$2*(A533+1)^1.9*1.003^A533</f>
        <v>320.24963939588</v>
      </c>
      <c r="F533" s="6" t="n">
        <f aca="false">(A533+1)^1.12</f>
        <v>1129.85061975709</v>
      </c>
      <c r="G533" s="6" t="n">
        <f aca="false">G532+E533</f>
        <v>41006.0487540023</v>
      </c>
    </row>
    <row r="534" customFormat="false" ht="15" hidden="false" customHeight="true" outlineLevel="0" collapsed="false">
      <c r="A534" s="6" t="n">
        <v>532</v>
      </c>
      <c r="B534" s="6" t="n">
        <f aca="false">MIN(42, FLOOR(A534/32,1)+1)</f>
        <v>17</v>
      </c>
      <c r="C534" s="6" t="str">
        <f aca="false">INDEX(Grades_Realms!$B$2:$B$43, B534)</f>
        <v>Nascent Soul · Advanced</v>
      </c>
      <c r="D534" s="6" t="n">
        <f aca="false">(A534+1)^2.4 * 1.004^A534</f>
        <v>29273895.3563491</v>
      </c>
      <c r="E534" s="6" t="n">
        <f aca="false">$I$2*(A534+1)^1.9*1.003^A534</f>
        <v>322.358538570552</v>
      </c>
      <c r="F534" s="6" t="n">
        <f aca="false">(A534+1)^1.12</f>
        <v>1132.22952075987</v>
      </c>
      <c r="G534" s="6" t="n">
        <f aca="false">G533+E534</f>
        <v>41328.4072925729</v>
      </c>
    </row>
    <row r="535" customFormat="false" ht="15" hidden="false" customHeight="true" outlineLevel="0" collapsed="false">
      <c r="A535" s="6" t="n">
        <v>533</v>
      </c>
      <c r="B535" s="6" t="n">
        <f aca="false">MIN(42, FLOOR(A535/32,1)+1)</f>
        <v>17</v>
      </c>
      <c r="C535" s="6" t="str">
        <f aca="false">INDEX(Grades_Realms!$B$2:$B$43, B535)</f>
        <v>Nascent Soul · Advanced</v>
      </c>
      <c r="D535" s="6" t="n">
        <f aca="false">(A535+1)^2.4 * 1.004^A535</f>
        <v>29523506.9620515</v>
      </c>
      <c r="E535" s="6" t="n">
        <f aca="false">$I$2*(A535+1)^1.9*1.003^A535</f>
        <v>324.479155068194</v>
      </c>
      <c r="F535" s="6" t="n">
        <f aca="false">(A535+1)^1.12</f>
        <v>1134.60895741071</v>
      </c>
      <c r="G535" s="6" t="n">
        <f aca="false">G534+E535</f>
        <v>41652.8864476411</v>
      </c>
    </row>
    <row r="536" customFormat="false" ht="15" hidden="false" customHeight="true" outlineLevel="0" collapsed="false">
      <c r="A536" s="6" t="n">
        <v>534</v>
      </c>
      <c r="B536" s="6" t="n">
        <f aca="false">MIN(42, FLOOR(A536/32,1)+1)</f>
        <v>17</v>
      </c>
      <c r="C536" s="6" t="str">
        <f aca="false">INDEX(Grades_Realms!$B$2:$B$43, B536)</f>
        <v>Nascent Soul · Advanced</v>
      </c>
      <c r="D536" s="6" t="n">
        <f aca="false">(A536+1)^2.4 * 1.004^A536</f>
        <v>29774996.3459461</v>
      </c>
      <c r="E536" s="6" t="n">
        <f aca="false">$I$2*(A536+1)^1.9*1.003^A536</f>
        <v>326.611545685324</v>
      </c>
      <c r="F536" s="6" t="n">
        <f aca="false">(A536+1)^1.12</f>
        <v>1136.98892882679</v>
      </c>
      <c r="G536" s="6" t="n">
        <f aca="false">G535+E536</f>
        <v>41979.4979933264</v>
      </c>
    </row>
    <row r="537" customFormat="false" ht="15" hidden="false" customHeight="true" outlineLevel="0" collapsed="false">
      <c r="A537" s="6" t="n">
        <v>535</v>
      </c>
      <c r="B537" s="6" t="n">
        <f aca="false">MIN(42, FLOOR(A537/32,1)+1)</f>
        <v>17</v>
      </c>
      <c r="C537" s="6" t="str">
        <f aca="false">INDEX(Grades_Realms!$B$2:$B$43, B537)</f>
        <v>Nascent Soul · Advanced</v>
      </c>
      <c r="D537" s="6" t="n">
        <f aca="false">(A537+1)^2.4 * 1.004^A537</f>
        <v>30028376.1960662</v>
      </c>
      <c r="E537" s="6" t="n">
        <f aca="false">$I$2*(A537+1)^1.9*1.003^A537</f>
        <v>328.755767469854</v>
      </c>
      <c r="F537" s="6" t="n">
        <f aca="false">(A537+1)^1.12</f>
        <v>1139.3694341284</v>
      </c>
      <c r="G537" s="6" t="n">
        <f aca="false">G536+E537</f>
        <v>42308.2537607963</v>
      </c>
    </row>
    <row r="538" customFormat="false" ht="15" hidden="false" customHeight="true" outlineLevel="0" collapsed="false">
      <c r="A538" s="6" t="n">
        <v>536</v>
      </c>
      <c r="B538" s="6" t="n">
        <f aca="false">MIN(42, FLOOR(A538/32,1)+1)</f>
        <v>17</v>
      </c>
      <c r="C538" s="6" t="str">
        <f aca="false">INDEX(Grades_Realms!$B$2:$B$43, B538)</f>
        <v>Nascent Soul · Advanced</v>
      </c>
      <c r="D538" s="6" t="n">
        <f aca="false">(A538+1)^2.4 * 1.004^A538</f>
        <v>30283659.2792982</v>
      </c>
      <c r="E538" s="6" t="n">
        <f aca="false">$I$2*(A538+1)^1.9*1.003^A538</f>
        <v>330.91187772214</v>
      </c>
      <c r="F538" s="6" t="n">
        <f aca="false">(A538+1)^1.12</f>
        <v>1141.75047243892</v>
      </c>
      <c r="G538" s="6" t="n">
        <f aca="false">G537+E538</f>
        <v>42639.1656385184</v>
      </c>
    </row>
    <row r="539" customFormat="false" ht="15" hidden="false" customHeight="true" outlineLevel="0" collapsed="false">
      <c r="A539" s="6" t="n">
        <v>537</v>
      </c>
      <c r="B539" s="6" t="n">
        <f aca="false">MIN(42, FLOOR(A539/32,1)+1)</f>
        <v>17</v>
      </c>
      <c r="C539" s="6" t="str">
        <f aca="false">INDEX(Grades_Realms!$B$2:$B$43, B539)</f>
        <v>Nascent Soul · Advanced</v>
      </c>
      <c r="D539" s="6" t="n">
        <f aca="false">(A539+1)^2.4 * 1.004^A539</f>
        <v>30540858.4418413</v>
      </c>
      <c r="E539" s="6" t="n">
        <f aca="false">$I$2*(A539+1)^1.9*1.003^A539</f>
        <v>333.07993399603</v>
      </c>
      <c r="F539" s="6" t="n">
        <f aca="false">(A539+1)^1.12</f>
        <v>1144.13204288477</v>
      </c>
      <c r="G539" s="6" t="n">
        <f aca="false">G538+E539</f>
        <v>42972.2455725144</v>
      </c>
    </row>
    <row r="540" customFormat="false" ht="15" hidden="false" customHeight="true" outlineLevel="0" collapsed="false">
      <c r="A540" s="6" t="n">
        <v>538</v>
      </c>
      <c r="B540" s="6" t="n">
        <f aca="false">MIN(42, FLOOR(A540/32,1)+1)</f>
        <v>17</v>
      </c>
      <c r="C540" s="6" t="str">
        <f aca="false">INDEX(Grades_Realms!$B$2:$B$43, B540)</f>
        <v>Nascent Soul · Advanced</v>
      </c>
      <c r="D540" s="6" t="n">
        <f aca="false">(A540+1)^2.4 * 1.004^A540</f>
        <v>30799986.6096703</v>
      </c>
      <c r="E540" s="6" t="n">
        <f aca="false">$I$2*(A540+1)^1.9*1.003^A540</f>
        <v>335.259994099912</v>
      </c>
      <c r="F540" s="6" t="n">
        <f aca="false">(A540+1)^1.12</f>
        <v>1146.51414459547</v>
      </c>
      <c r="G540" s="6" t="n">
        <f aca="false">G539+E540</f>
        <v>43307.5055666143</v>
      </c>
    </row>
    <row r="541" customFormat="false" ht="15" hidden="false" customHeight="true" outlineLevel="0" collapsed="false">
      <c r="A541" s="6" t="n">
        <v>539</v>
      </c>
      <c r="B541" s="6" t="n">
        <f aca="false">MIN(42, FLOOR(A541/32,1)+1)</f>
        <v>17</v>
      </c>
      <c r="C541" s="6" t="str">
        <f aca="false">INDEX(Grades_Realms!$B$2:$B$43, B541)</f>
        <v>Nascent Soul · Advanced</v>
      </c>
      <c r="D541" s="6" t="n">
        <f aca="false">(A541+1)^2.4 * 1.004^A541</f>
        <v>31061056.789001</v>
      </c>
      <c r="E541" s="6" t="n">
        <f aca="false">$I$2*(A541+1)^1.9*1.003^A541</f>
        <v>337.452116097774</v>
      </c>
      <c r="F541" s="6" t="n">
        <f aca="false">(A541+1)^1.12</f>
        <v>1148.89677670353</v>
      </c>
      <c r="G541" s="6" t="n">
        <f aca="false">G540+E541</f>
        <v>43644.9576827121</v>
      </c>
    </row>
    <row r="542" customFormat="false" ht="15" hidden="false" customHeight="true" outlineLevel="0" collapsed="false">
      <c r="A542" s="6" t="n">
        <v>540</v>
      </c>
      <c r="B542" s="6" t="n">
        <f aca="false">MIN(42, FLOOR(A542/32,1)+1)</f>
        <v>17</v>
      </c>
      <c r="C542" s="6" t="str">
        <f aca="false">INDEX(Grades_Realms!$B$2:$B$43, B542)</f>
        <v>Nascent Soul · Advanced</v>
      </c>
      <c r="D542" s="6" t="n">
        <f aca="false">(A542+1)^2.4 * 1.004^A542</f>
        <v>31324082.0667577</v>
      </c>
      <c r="E542" s="6" t="n">
        <f aca="false">$I$2*(A542+1)^1.9*1.003^A542</f>
        <v>339.656358310263</v>
      </c>
      <c r="F542" s="6" t="n">
        <f aca="false">(A542+1)^1.12</f>
        <v>1151.27993834452</v>
      </c>
      <c r="G542" s="6" t="n">
        <f aca="false">G541+E542</f>
        <v>43984.6140410224</v>
      </c>
    </row>
    <row r="543" customFormat="false" ht="15" hidden="false" customHeight="true" outlineLevel="0" collapsed="false">
      <c r="A543" s="6" t="n">
        <v>541</v>
      </c>
      <c r="B543" s="6" t="n">
        <f aca="false">MIN(42, FLOOR(A543/32,1)+1)</f>
        <v>17</v>
      </c>
      <c r="C543" s="6" t="str">
        <f aca="false">INDEX(Grades_Realms!$B$2:$B$43, B543)</f>
        <v>Nascent Soul · Advanced</v>
      </c>
      <c r="D543" s="6" t="n">
        <f aca="false">(A543+1)^2.4 * 1.004^A543</f>
        <v>31589075.6110441</v>
      </c>
      <c r="E543" s="6" t="n">
        <f aca="false">$I$2*(A543+1)^1.9*1.003^A543</f>
        <v>341.872779315747</v>
      </c>
      <c r="F543" s="6" t="n">
        <f aca="false">(A543+1)^1.12</f>
        <v>1153.66362865698</v>
      </c>
      <c r="G543" s="6" t="n">
        <f aca="false">G542+E543</f>
        <v>44326.4868203381</v>
      </c>
    </row>
    <row r="544" customFormat="false" ht="15" hidden="false" customHeight="true" outlineLevel="0" collapsed="false">
      <c r="A544" s="6" t="n">
        <v>542</v>
      </c>
      <c r="B544" s="6" t="n">
        <f aca="false">MIN(42, FLOOR(A544/32,1)+1)</f>
        <v>17</v>
      </c>
      <c r="C544" s="6" t="str">
        <f aca="false">INDEX(Grades_Realms!$B$2:$B$43, B544)</f>
        <v>Nascent Soul · Advanced</v>
      </c>
      <c r="D544" s="6" t="n">
        <f aca="false">(A544+1)^2.4 * 1.004^A544</f>
        <v>31856050.6716157</v>
      </c>
      <c r="E544" s="6" t="n">
        <f aca="false">$I$2*(A544+1)^1.9*1.003^A544</f>
        <v>344.10143795139</v>
      </c>
      <c r="F544" s="6" t="n">
        <f aca="false">(A544+1)^1.12</f>
        <v>1156.04784678246</v>
      </c>
      <c r="G544" s="6" t="n">
        <f aca="false">G543+E544</f>
        <v>44670.5882582895</v>
      </c>
    </row>
    <row r="545" customFormat="false" ht="15" hidden="false" customHeight="true" outlineLevel="0" collapsed="false">
      <c r="A545" s="6" t="n">
        <v>543</v>
      </c>
      <c r="B545" s="6" t="n">
        <f aca="false">MIN(42, FLOOR(A545/32,1)+1)</f>
        <v>17</v>
      </c>
      <c r="C545" s="6" t="str">
        <f aca="false">INDEX(Grades_Realms!$B$2:$B$43, B545)</f>
        <v>Nascent Soul · Advanced</v>
      </c>
      <c r="D545" s="6" t="n">
        <f aca="false">(A545+1)^2.4 * 1.004^A545</f>
        <v>32125020.5803559</v>
      </c>
      <c r="E545" s="6" t="n">
        <f aca="false">$I$2*(A545+1)^1.9*1.003^A545</f>
        <v>346.342393314219</v>
      </c>
      <c r="F545" s="6" t="n">
        <f aca="false">(A545+1)^1.12</f>
        <v>1158.43259186548</v>
      </c>
      <c r="G545" s="6" t="n">
        <f aca="false">G544+E545</f>
        <v>45016.9306516037</v>
      </c>
    </row>
    <row r="546" customFormat="false" ht="15" hidden="false" customHeight="true" outlineLevel="0" collapsed="false">
      <c r="A546" s="6" t="n">
        <v>544</v>
      </c>
      <c r="B546" s="6" t="n">
        <f aca="false">MIN(42, FLOOR(A546/32,1)+1)</f>
        <v>18</v>
      </c>
      <c r="C546" s="6" t="str">
        <f aca="false">INDEX(Grades_Realms!$B$2:$B$43, B546)</f>
        <v>Nascent Soul · Perfected</v>
      </c>
      <c r="D546" s="6" t="n">
        <f aca="false">(A546+1)^2.4 * 1.004^A546</f>
        <v>32395998.7517544</v>
      </c>
      <c r="E546" s="6" t="n">
        <f aca="false">$I$2*(A546+1)^1.9*1.003^A546</f>
        <v>348.595704762204</v>
      </c>
      <c r="F546" s="6" t="n">
        <f aca="false">(A546+1)^1.12</f>
        <v>1160.81786305352</v>
      </c>
      <c r="G546" s="6" t="n">
        <f aca="false">G545+E546</f>
        <v>45365.5263563659</v>
      </c>
    </row>
    <row r="547" customFormat="false" ht="15" hidden="false" customHeight="true" outlineLevel="0" collapsed="false">
      <c r="A547" s="6" t="n">
        <v>545</v>
      </c>
      <c r="B547" s="6" t="n">
        <f aca="false">MIN(42, FLOOR(A547/32,1)+1)</f>
        <v>18</v>
      </c>
      <c r="C547" s="6" t="str">
        <f aca="false">INDEX(Grades_Realms!$B$2:$B$43, B547)</f>
        <v>Nascent Soul · Perfected</v>
      </c>
      <c r="D547" s="6" t="n">
        <f aca="false">(A547+1)^2.4 * 1.004^A547</f>
        <v>32668998.6833877</v>
      </c>
      <c r="E547" s="6" t="n">
        <f aca="false">$I$2*(A547+1)^1.9*1.003^A547</f>
        <v>350.861431915338</v>
      </c>
      <c r="F547" s="6" t="n">
        <f aca="false">(A547+1)^1.12</f>
        <v>1163.20365949698</v>
      </c>
      <c r="G547" s="6" t="n">
        <f aca="false">G546+E547</f>
        <v>45716.3877882813</v>
      </c>
    </row>
    <row r="548" customFormat="false" ht="15" hidden="false" customHeight="true" outlineLevel="0" collapsed="false">
      <c r="A548" s="6" t="n">
        <v>546</v>
      </c>
      <c r="B548" s="6" t="n">
        <f aca="false">MIN(42, FLOOR(A548/32,1)+1)</f>
        <v>18</v>
      </c>
      <c r="C548" s="6" t="str">
        <f aca="false">INDEX(Grades_Realms!$B$2:$B$43, B548)</f>
        <v>Nascent Soul · Perfected</v>
      </c>
      <c r="D548" s="6" t="n">
        <f aca="false">(A548+1)^2.4 * 1.004^A548</f>
        <v>32944033.956403</v>
      </c>
      <c r="E548" s="6" t="n">
        <f aca="false">$I$2*(A548+1)^1.9*1.003^A548</f>
        <v>353.139634656727</v>
      </c>
      <c r="F548" s="6" t="n">
        <f aca="false">(A548+1)^1.12</f>
        <v>1165.58998034921</v>
      </c>
      <c r="G548" s="6" t="n">
        <f aca="false">G547+E548</f>
        <v>46069.527422938</v>
      </c>
    </row>
    <row r="549" customFormat="false" ht="15" hidden="false" customHeight="true" outlineLevel="0" collapsed="false">
      <c r="A549" s="6" t="n">
        <v>547</v>
      </c>
      <c r="B549" s="6" t="n">
        <f aca="false">MIN(42, FLOOR(A549/32,1)+1)</f>
        <v>18</v>
      </c>
      <c r="C549" s="6" t="str">
        <f aca="false">INDEX(Grades_Realms!$B$2:$B$43, B549)</f>
        <v>Nascent Soul · Perfected</v>
      </c>
      <c r="D549" s="6" t="n">
        <f aca="false">(A549+1)^2.4 * 1.004^A549</f>
        <v>33221118.2360046</v>
      </c>
      <c r="E549" s="6" t="n">
        <f aca="false">$I$2*(A549+1)^1.9*1.003^A549</f>
        <v>355.430373133675</v>
      </c>
      <c r="F549" s="6" t="n">
        <f aca="false">(A549+1)^1.12</f>
        <v>1167.97682476645</v>
      </c>
      <c r="G549" s="6" t="n">
        <f aca="false">G548+E549</f>
        <v>46424.9577960717</v>
      </c>
    </row>
    <row r="550" customFormat="false" ht="15" hidden="false" customHeight="true" outlineLevel="0" collapsed="false">
      <c r="A550" s="6" t="n">
        <v>548</v>
      </c>
      <c r="B550" s="6" t="n">
        <f aca="false">MIN(42, FLOOR(A550/32,1)+1)</f>
        <v>18</v>
      </c>
      <c r="C550" s="6" t="str">
        <f aca="false">INDEX(Grades_Realms!$B$2:$B$43, B550)</f>
        <v>Nascent Soul · Perfected</v>
      </c>
      <c r="D550" s="6" t="n">
        <f aca="false">(A550+1)^2.4 * 1.004^A550</f>
        <v>33500265.2719428</v>
      </c>
      <c r="E550" s="6" t="n">
        <f aca="false">$I$2*(A550+1)^1.9*1.003^A550</f>
        <v>357.733707758781</v>
      </c>
      <c r="F550" s="6" t="n">
        <f aca="false">(A550+1)^1.12</f>
        <v>1170.36419190786</v>
      </c>
      <c r="G550" s="6" t="n">
        <f aca="false">G549+E550</f>
        <v>46782.6915038305</v>
      </c>
    </row>
    <row r="551" customFormat="false" ht="15" hidden="false" customHeight="true" outlineLevel="0" collapsed="false">
      <c r="A551" s="6" t="n">
        <v>549</v>
      </c>
      <c r="B551" s="6" t="n">
        <f aca="false">MIN(42, FLOOR(A551/32,1)+1)</f>
        <v>18</v>
      </c>
      <c r="C551" s="6" t="str">
        <f aca="false">INDEX(Grades_Realms!$B$2:$B$43, B551)</f>
        <v>Nascent Soul · Perfected</v>
      </c>
      <c r="D551" s="6" t="n">
        <f aca="false">(A551+1)^2.4 * 1.004^A551</f>
        <v>33781488.8990053</v>
      </c>
      <c r="E551" s="6" t="n">
        <f aca="false">$I$2*(A551+1)^1.9*1.003^A551</f>
        <v>360.049699211036</v>
      </c>
      <c r="F551" s="6" t="n">
        <f aca="false">(A551+1)^1.12</f>
        <v>1172.75208093546</v>
      </c>
      <c r="G551" s="6" t="n">
        <f aca="false">G550+E551</f>
        <v>47142.7412030415</v>
      </c>
    </row>
    <row r="552" customFormat="false" ht="15" hidden="false" customHeight="true" outlineLevel="0" collapsed="false">
      <c r="A552" s="6" t="n">
        <v>550</v>
      </c>
      <c r="B552" s="6" t="n">
        <f aca="false">MIN(42, FLOOR(A552/32,1)+1)</f>
        <v>18</v>
      </c>
      <c r="C552" s="6" t="str">
        <f aca="false">INDEX(Grades_Realms!$B$2:$B$43, B552)</f>
        <v>Nascent Soul · Perfected</v>
      </c>
      <c r="D552" s="6" t="n">
        <f aca="false">(A552+1)^2.4 * 1.004^A552</f>
        <v>34064803.0375123</v>
      </c>
      <c r="E552" s="6" t="n">
        <f aca="false">$I$2*(A552+1)^1.9*1.003^A552</f>
        <v>362.378408436931</v>
      </c>
      <c r="F552" s="6" t="n">
        <f aca="false">(A552+1)^1.12</f>
        <v>1175.14049101414</v>
      </c>
      <c r="G552" s="6" t="n">
        <f aca="false">G551+E552</f>
        <v>47505.1196114784</v>
      </c>
    </row>
    <row r="553" customFormat="false" ht="15" hidden="false" customHeight="true" outlineLevel="0" collapsed="false">
      <c r="A553" s="6" t="n">
        <v>551</v>
      </c>
      <c r="B553" s="6" t="n">
        <f aca="false">MIN(42, FLOOR(A553/32,1)+1)</f>
        <v>18</v>
      </c>
      <c r="C553" s="6" t="str">
        <f aca="false">INDEX(Grades_Realms!$B$2:$B$43, B553)</f>
        <v>Nascent Soul · Perfected</v>
      </c>
      <c r="D553" s="6" t="n">
        <f aca="false">(A553+1)^2.4 * 1.004^A553</f>
        <v>34350221.6938132</v>
      </c>
      <c r="E553" s="6" t="n">
        <f aca="false">$I$2*(A553+1)^1.9*1.003^A553</f>
        <v>364.719896651558</v>
      </c>
      <c r="F553" s="6" t="n">
        <f aca="false">(A553+1)^1.12</f>
        <v>1177.52942131164</v>
      </c>
      <c r="G553" s="6" t="n">
        <f aca="false">G552+E553</f>
        <v>47869.83950813</v>
      </c>
    </row>
    <row r="554" customFormat="false" ht="15" hidden="false" customHeight="true" outlineLevel="0" collapsed="false">
      <c r="A554" s="6" t="n">
        <v>552</v>
      </c>
      <c r="B554" s="6" t="n">
        <f aca="false">MIN(42, FLOOR(A554/32,1)+1)</f>
        <v>18</v>
      </c>
      <c r="C554" s="6" t="str">
        <f aca="false">INDEX(Grades_Realms!$B$2:$B$43, B554)</f>
        <v>Nascent Soul · Perfected</v>
      </c>
      <c r="D554" s="6" t="n">
        <f aca="false">(A554+1)^2.4 * 1.004^A554</f>
        <v>34637758.9607865</v>
      </c>
      <c r="E554" s="6" t="n">
        <f aca="false">$I$2*(A554+1)^1.9*1.003^A554</f>
        <v>367.074225339725</v>
      </c>
      <c r="F554" s="6" t="n">
        <f aca="false">(A554+1)^1.12</f>
        <v>1179.91887099853</v>
      </c>
      <c r="G554" s="6" t="n">
        <f aca="false">G553+E554</f>
        <v>48236.9137334697</v>
      </c>
    </row>
    <row r="555" customFormat="false" ht="15" hidden="false" customHeight="true" outlineLevel="0" collapsed="false">
      <c r="A555" s="6" t="n">
        <v>553</v>
      </c>
      <c r="B555" s="6" t="n">
        <f aca="false">MIN(42, FLOOR(A555/32,1)+1)</f>
        <v>18</v>
      </c>
      <c r="C555" s="6" t="str">
        <f aca="false">INDEX(Grades_Realms!$B$2:$B$43, B555)</f>
        <v>Nascent Soul · Perfected</v>
      </c>
      <c r="D555" s="6" t="n">
        <f aca="false">(A555+1)^2.4 * 1.004^A555</f>
        <v>34927429.0183429</v>
      </c>
      <c r="E555" s="6" t="n">
        <f aca="false">$I$2*(A555+1)^1.9*1.003^A555</f>
        <v>369.441456257074</v>
      </c>
      <c r="F555" s="6" t="n">
        <f aca="false">(A555+1)^1.12</f>
        <v>1182.30883924822</v>
      </c>
      <c r="G555" s="6" t="n">
        <f aca="false">G554+E555</f>
        <v>48606.3551897268</v>
      </c>
    </row>
    <row r="556" customFormat="false" ht="15" hidden="false" customHeight="true" outlineLevel="0" collapsed="false">
      <c r="A556" s="6" t="n">
        <v>554</v>
      </c>
      <c r="B556" s="6" t="n">
        <f aca="false">MIN(42, FLOOR(A556/32,1)+1)</f>
        <v>18</v>
      </c>
      <c r="C556" s="6" t="str">
        <f aca="false">INDEX(Grades_Realms!$B$2:$B$43, B556)</f>
        <v>Nascent Soul · Perfected</v>
      </c>
      <c r="D556" s="6" t="n">
        <f aca="false">(A556+1)^2.4 * 1.004^A556</f>
        <v>35219246.1339305</v>
      </c>
      <c r="E556" s="6" t="n">
        <f aca="false">$I$2*(A556+1)^1.9*1.003^A556</f>
        <v>371.8216514312</v>
      </c>
      <c r="F556" s="6" t="n">
        <f aca="false">(A556+1)^1.12</f>
        <v>1184.69932523688</v>
      </c>
      <c r="G556" s="6" t="n">
        <f aca="false">G555+E556</f>
        <v>48978.176841158</v>
      </c>
    </row>
    <row r="557" customFormat="false" ht="15" hidden="false" customHeight="true" outlineLevel="0" collapsed="false">
      <c r="A557" s="6" t="n">
        <v>555</v>
      </c>
      <c r="B557" s="6" t="n">
        <f aca="false">MIN(42, FLOOR(A557/32,1)+1)</f>
        <v>18</v>
      </c>
      <c r="C557" s="6" t="str">
        <f aca="false">INDEX(Grades_Realms!$B$2:$B$43, B557)</f>
        <v>Nascent Soul · Perfected</v>
      </c>
      <c r="D557" s="6" t="n">
        <f aca="false">(A557+1)^2.4 * 1.004^A557</f>
        <v>35513224.663043</v>
      </c>
      <c r="E557" s="6" t="n">
        <f aca="false">$I$2*(A557+1)^1.9*1.003^A557</f>
        <v>374.214873162773</v>
      </c>
      <c r="F557" s="6" t="n">
        <f aca="false">(A557+1)^1.12</f>
        <v>1187.09032814353</v>
      </c>
      <c r="G557" s="6" t="n">
        <f aca="false">G556+E557</f>
        <v>49352.3917143208</v>
      </c>
    </row>
    <row r="558" customFormat="false" ht="15" hidden="false" customHeight="true" outlineLevel="0" collapsed="false">
      <c r="A558" s="6" t="n">
        <v>556</v>
      </c>
      <c r="B558" s="6" t="n">
        <f aca="false">MIN(42, FLOOR(A558/32,1)+1)</f>
        <v>18</v>
      </c>
      <c r="C558" s="6" t="str">
        <f aca="false">INDEX(Grades_Realms!$B$2:$B$43, B558)</f>
        <v>Nascent Soul · Perfected</v>
      </c>
      <c r="D558" s="6" t="n">
        <f aca="false">(A558+1)^2.4 * 1.004^A558</f>
        <v>35809379.049731</v>
      </c>
      <c r="E558" s="6" t="n">
        <f aca="false">$I$2*(A558+1)^1.9*1.003^A558</f>
        <v>376.621184026675</v>
      </c>
      <c r="F558" s="6" t="n">
        <f aca="false">(A558+1)^1.12</f>
        <v>1189.48184714993</v>
      </c>
      <c r="G558" s="6" t="n">
        <f aca="false">G557+E558</f>
        <v>49729.0128983474</v>
      </c>
    </row>
    <row r="559" customFormat="false" ht="15" hidden="false" customHeight="true" outlineLevel="0" collapsed="false">
      <c r="A559" s="6" t="n">
        <v>557</v>
      </c>
      <c r="B559" s="6" t="n">
        <f aca="false">MIN(42, FLOOR(A559/32,1)+1)</f>
        <v>18</v>
      </c>
      <c r="C559" s="6" t="str">
        <f aca="false">INDEX(Grades_Realms!$B$2:$B$43, B559)</f>
        <v>Nascent Soul · Perfected</v>
      </c>
      <c r="D559" s="6" t="n">
        <f aca="false">(A559+1)^2.4 * 1.004^A559</f>
        <v>36107723.8271162</v>
      </c>
      <c r="E559" s="6" t="n">
        <f aca="false">$I$2*(A559+1)^1.9*1.003^A559</f>
        <v>379.040646873126</v>
      </c>
      <c r="F559" s="6" t="n">
        <f aca="false">(A559+1)^1.12</f>
        <v>1191.8738814406</v>
      </c>
      <c r="G559" s="6" t="n">
        <f aca="false">G558+E559</f>
        <v>50108.0535452206</v>
      </c>
    </row>
    <row r="560" customFormat="false" ht="15" hidden="false" customHeight="true" outlineLevel="0" collapsed="false">
      <c r="A560" s="6" t="n">
        <v>558</v>
      </c>
      <c r="B560" s="6" t="n">
        <f aca="false">MIN(42, FLOOR(A560/32,1)+1)</f>
        <v>18</v>
      </c>
      <c r="C560" s="6" t="str">
        <f aca="false">INDEX(Grades_Realms!$B$2:$B$43, B560)</f>
        <v>Nascent Soul · Perfected</v>
      </c>
      <c r="D560" s="6" t="n">
        <f aca="false">(A560+1)^2.4 * 1.004^A560</f>
        <v>36408273.6179076</v>
      </c>
      <c r="E560" s="6" t="n">
        <f aca="false">$I$2*(A560+1)^1.9*1.003^A560</f>
        <v>381.473324828829</v>
      </c>
      <c r="F560" s="6" t="n">
        <f aca="false">(A560+1)^1.12</f>
        <v>1194.26643020282</v>
      </c>
      <c r="G560" s="6" t="n">
        <f aca="false">G559+E560</f>
        <v>50489.5268700494</v>
      </c>
    </row>
    <row r="561" customFormat="false" ht="15" hidden="false" customHeight="true" outlineLevel="0" collapsed="false">
      <c r="A561" s="6" t="n">
        <v>559</v>
      </c>
      <c r="B561" s="6" t="n">
        <f aca="false">MIN(42, FLOOR(A561/32,1)+1)</f>
        <v>18</v>
      </c>
      <c r="C561" s="6" t="str">
        <f aca="false">INDEX(Grades_Realms!$B$2:$B$43, B561)</f>
        <v>Nascent Soul · Perfected</v>
      </c>
      <c r="D561" s="6" t="n">
        <f aca="false">(A561+1)^2.4 * 1.004^A561</f>
        <v>36711043.1349214</v>
      </c>
      <c r="E561" s="6" t="n">
        <f aca="false">$I$2*(A561+1)^1.9*1.003^A561</f>
        <v>383.91928129811</v>
      </c>
      <c r="F561" s="6" t="n">
        <f aca="false">(A561+1)^1.12</f>
        <v>1196.65949262661</v>
      </c>
      <c r="G561" s="6" t="n">
        <f aca="false">G560+E561</f>
        <v>50873.4461513475</v>
      </c>
    </row>
    <row r="562" customFormat="false" ht="15" hidden="false" customHeight="true" outlineLevel="0" collapsed="false">
      <c r="A562" s="6" t="n">
        <v>560</v>
      </c>
      <c r="B562" s="6" t="n">
        <f aca="false">MIN(42, FLOOR(A562/32,1)+1)</f>
        <v>18</v>
      </c>
      <c r="C562" s="6" t="str">
        <f aca="false">INDEX(Grades_Realms!$B$2:$B$43, B562)</f>
        <v>Nascent Soul · Perfected</v>
      </c>
      <c r="D562" s="6" t="n">
        <f aca="false">(A562+1)^2.4 * 1.004^A562</f>
        <v>37016047.1816036</v>
      </c>
      <c r="E562" s="6" t="n">
        <f aca="false">$I$2*(A562+1)^1.9*1.003^A562</f>
        <v>386.378579964063</v>
      </c>
      <c r="F562" s="6" t="n">
        <f aca="false">(A562+1)^1.12</f>
        <v>1199.05306790469</v>
      </c>
      <c r="G562" s="6" t="n">
        <f aca="false">G561+E562</f>
        <v>51259.8247313116</v>
      </c>
    </row>
    <row r="563" customFormat="false" ht="15" hidden="false" customHeight="true" outlineLevel="0" collapsed="false">
      <c r="A563" s="6" t="n">
        <v>561</v>
      </c>
      <c r="B563" s="6" t="n">
        <f aca="false">MIN(42, FLOOR(A563/32,1)+1)</f>
        <v>18</v>
      </c>
      <c r="C563" s="6" t="str">
        <f aca="false">INDEX(Grades_Realms!$B$2:$B$43, B563)</f>
        <v>Nascent Soul · Perfected</v>
      </c>
      <c r="D563" s="6" t="n">
        <f aca="false">(A563+1)^2.4 * 1.004^A563</f>
        <v>37323300.6525555</v>
      </c>
      <c r="E563" s="6" t="n">
        <f aca="false">$I$2*(A563+1)^1.9*1.003^A563</f>
        <v>388.85128478971</v>
      </c>
      <c r="F563" s="6" t="n">
        <f aca="false">(A563+1)^1.12</f>
        <v>1201.4471552325</v>
      </c>
      <c r="G563" s="6" t="n">
        <f aca="false">G562+E563</f>
        <v>51648.6760161013</v>
      </c>
    </row>
    <row r="564" customFormat="false" ht="15" hidden="false" customHeight="true" outlineLevel="0" collapsed="false">
      <c r="A564" s="6" t="n">
        <v>562</v>
      </c>
      <c r="B564" s="6" t="n">
        <f aca="false">MIN(42, FLOOR(A564/32,1)+1)</f>
        <v>18</v>
      </c>
      <c r="C564" s="6" t="str">
        <f aca="false">INDEX(Grades_Realms!$B$2:$B$43, B564)</f>
        <v>Nascent Soul · Perfected</v>
      </c>
      <c r="D564" s="6" t="n">
        <f aca="false">(A564+1)^2.4 * 1.004^A564</f>
        <v>37632818.5340618</v>
      </c>
      <c r="E564" s="6" t="n">
        <f aca="false">$I$2*(A564+1)^1.9*1.003^A564</f>
        <v>391.337460019148</v>
      </c>
      <c r="F564" s="6" t="n">
        <f aca="false">(A564+1)^1.12</f>
        <v>1203.84175380817</v>
      </c>
      <c r="G564" s="6" t="n">
        <f aca="false">G563+E564</f>
        <v>52040.0134761204</v>
      </c>
    </row>
    <row r="565" customFormat="false" ht="15" hidden="false" customHeight="true" outlineLevel="0" collapsed="false">
      <c r="A565" s="6" t="n">
        <v>563</v>
      </c>
      <c r="B565" s="6" t="n">
        <f aca="false">MIN(42, FLOOR(A565/32,1)+1)</f>
        <v>18</v>
      </c>
      <c r="C565" s="6" t="str">
        <f aca="false">INDEX(Grades_Realms!$B$2:$B$43, B565)</f>
        <v>Nascent Soul · Perfected</v>
      </c>
      <c r="D565" s="6" t="n">
        <f aca="false">(A565+1)^2.4 * 1.004^A565</f>
        <v>37944615.9046217</v>
      </c>
      <c r="E565" s="6" t="n">
        <f aca="false">$I$2*(A565+1)^1.9*1.003^A565</f>
        <v>393.837170178718</v>
      </c>
      <c r="F565" s="6" t="n">
        <f aca="false">(A565+1)^1.12</f>
        <v>1206.2368628325</v>
      </c>
      <c r="G565" s="6" t="n">
        <f aca="false">G564+E565</f>
        <v>52433.8506462991</v>
      </c>
    </row>
    <row r="566" customFormat="false" ht="15" hidden="false" customHeight="true" outlineLevel="0" collapsed="false">
      <c r="A566" s="6" t="n">
        <v>564</v>
      </c>
      <c r="B566" s="6" t="n">
        <f aca="false">MIN(42, FLOOR(A566/32,1)+1)</f>
        <v>18</v>
      </c>
      <c r="C566" s="6" t="str">
        <f aca="false">INDEX(Grades_Realms!$B$2:$B$43, B566)</f>
        <v>Nascent Soul · Perfected</v>
      </c>
      <c r="D566" s="6" t="n">
        <f aca="false">(A566+1)^2.4 * 1.004^A566</f>
        <v>38258707.9354836</v>
      </c>
      <c r="E566" s="6" t="n">
        <f aca="false">$I$2*(A566+1)^1.9*1.003^A566</f>
        <v>396.350480078168</v>
      </c>
      <c r="F566" s="6" t="n">
        <f aca="false">(A566+1)^1.12</f>
        <v>1208.63248150896</v>
      </c>
      <c r="G566" s="6" t="n">
        <f aca="false">G565+E566</f>
        <v>52830.2011263773</v>
      </c>
    </row>
    <row r="567" customFormat="false" ht="15" hidden="false" customHeight="true" outlineLevel="0" collapsed="false">
      <c r="A567" s="6" t="n">
        <v>565</v>
      </c>
      <c r="B567" s="6" t="n">
        <f aca="false">MIN(42, FLOOR(A567/32,1)+1)</f>
        <v>18</v>
      </c>
      <c r="C567" s="6" t="str">
        <f aca="false">INDEX(Grades_Realms!$B$2:$B$43, B567)</f>
        <v>Nascent Soul · Perfected</v>
      </c>
      <c r="D567" s="6" t="n">
        <f aca="false">(A567+1)^2.4 * 1.004^A567</f>
        <v>38575109.8911816</v>
      </c>
      <c r="E567" s="6" t="n">
        <f aca="false">$I$2*(A567+1)^1.9*1.003^A567</f>
        <v>398.87745481182</v>
      </c>
      <c r="F567" s="6" t="n">
        <f aca="false">(A567+1)^1.12</f>
        <v>1211.02860904368</v>
      </c>
      <c r="G567" s="6" t="n">
        <f aca="false">G566+E567</f>
        <v>53229.0785811891</v>
      </c>
    </row>
    <row r="568" customFormat="false" ht="15" hidden="false" customHeight="true" outlineLevel="0" collapsed="false">
      <c r="A568" s="6" t="n">
        <v>566</v>
      </c>
      <c r="B568" s="6" t="n">
        <f aca="false">MIN(42, FLOOR(A568/32,1)+1)</f>
        <v>18</v>
      </c>
      <c r="C568" s="6" t="str">
        <f aca="false">INDEX(Grades_Realms!$B$2:$B$43, B568)</f>
        <v>Nascent Soul · Perfected</v>
      </c>
      <c r="D568" s="6" t="n">
        <f aca="false">(A568+1)^2.4 * 1.004^A568</f>
        <v>38893837.1300763</v>
      </c>
      <c r="E568" s="6" t="n">
        <f aca="false">$I$2*(A568+1)^1.9*1.003^A568</f>
        <v>401.418159759752</v>
      </c>
      <c r="F568" s="6" t="n">
        <f aca="false">(A568+1)^1.12</f>
        <v>1213.4252446454</v>
      </c>
      <c r="G568" s="6" t="n">
        <f aca="false">G567+E568</f>
        <v>53630.4967409489</v>
      </c>
    </row>
    <row r="569" customFormat="false" ht="15" hidden="false" customHeight="true" outlineLevel="0" collapsed="false">
      <c r="A569" s="6" t="n">
        <v>567</v>
      </c>
      <c r="B569" s="6" t="n">
        <f aca="false">MIN(42, FLOOR(A569/32,1)+1)</f>
        <v>18</v>
      </c>
      <c r="C569" s="6" t="str">
        <f aca="false">INDEX(Grades_Realms!$B$2:$B$43, B569)</f>
        <v>Nascent Soul · Perfected</v>
      </c>
      <c r="D569" s="6" t="n">
        <f aca="false">(A569+1)^2.4 * 1.004^A569</f>
        <v>39214905.104897</v>
      </c>
      <c r="E569" s="6" t="n">
        <f aca="false">$I$2*(A569+1)^1.9*1.003^A569</f>
        <v>403.972660588972</v>
      </c>
      <c r="F569" s="6" t="n">
        <f aca="false">(A569+1)^1.12</f>
        <v>1215.82238752552</v>
      </c>
      <c r="G569" s="6" t="n">
        <f aca="false">G568+E569</f>
        <v>54034.4694015378</v>
      </c>
    </row>
    <row r="570" customFormat="false" ht="15" hidden="false" customHeight="true" outlineLevel="0" collapsed="false">
      <c r="A570" s="6" t="n">
        <v>568</v>
      </c>
      <c r="B570" s="6" t="n">
        <f aca="false">MIN(42, FLOOR(A570/32,1)+1)</f>
        <v>18</v>
      </c>
      <c r="C570" s="6" t="str">
        <f aca="false">INDEX(Grades_Realms!$B$2:$B$43, B570)</f>
        <v>Nascent Soul · Perfected</v>
      </c>
      <c r="D570" s="6" t="n">
        <f aca="false">(A570+1)^2.4 * 1.004^A570</f>
        <v>39538329.3632886</v>
      </c>
      <c r="E570" s="6" t="n">
        <f aca="false">$I$2*(A570+1)^1.9*1.003^A570</f>
        <v>406.541023254604</v>
      </c>
      <c r="F570" s="6" t="n">
        <f aca="false">(A570+1)^1.12</f>
        <v>1218.22003689802</v>
      </c>
      <c r="G570" s="6" t="n">
        <f aca="false">G569+E570</f>
        <v>54441.0104247925</v>
      </c>
    </row>
    <row r="571" customFormat="false" ht="15" hidden="false" customHeight="true" outlineLevel="0" collapsed="false">
      <c r="A571" s="6" t="n">
        <v>569</v>
      </c>
      <c r="B571" s="6" t="n">
        <f aca="false">MIN(42, FLOOR(A571/32,1)+1)</f>
        <v>18</v>
      </c>
      <c r="C571" s="6" t="str">
        <f aca="false">INDEX(Grades_Realms!$B$2:$B$43, B571)</f>
        <v>Nascent Soul · Perfected</v>
      </c>
      <c r="D571" s="6" t="n">
        <f aca="false">(A571+1)^2.4 * 1.004^A571</f>
        <v>39864125.5483603</v>
      </c>
      <c r="E571" s="6" t="n">
        <f aca="false">$I$2*(A571+1)^1.9*1.003^A571</f>
        <v>409.12331400108</v>
      </c>
      <c r="F571" s="6" t="n">
        <f aca="false">(A571+1)^1.12</f>
        <v>1220.61819197949</v>
      </c>
      <c r="G571" s="6" t="n">
        <f aca="false">G570+E571</f>
        <v>54850.1337387935</v>
      </c>
    </row>
    <row r="572" customFormat="false" ht="15" hidden="false" customHeight="true" outlineLevel="0" collapsed="false">
      <c r="A572" s="6" t="n">
        <v>570</v>
      </c>
      <c r="B572" s="6" t="n">
        <f aca="false">MIN(42, FLOOR(A572/32,1)+1)</f>
        <v>18</v>
      </c>
      <c r="C572" s="6" t="str">
        <f aca="false">INDEX(Grades_Realms!$B$2:$B$43, B572)</f>
        <v>Nascent Soul · Perfected</v>
      </c>
      <c r="D572" s="6" t="n">
        <f aca="false">(A572+1)^2.4 * 1.004^A572</f>
        <v>40192309.3992377</v>
      </c>
      <c r="E572" s="6" t="n">
        <f aca="false">$I$2*(A572+1)^1.9*1.003^A572</f>
        <v>411.719599363328</v>
      </c>
      <c r="F572" s="6" t="n">
        <f aca="false">(A572+1)^1.12</f>
        <v>1223.01685198911</v>
      </c>
      <c r="G572" s="6" t="n">
        <f aca="false">G571+E572</f>
        <v>55261.8533381569</v>
      </c>
    </row>
    <row r="573" customFormat="false" ht="15" hidden="false" customHeight="true" outlineLevel="0" collapsed="false">
      <c r="A573" s="6" t="n">
        <v>571</v>
      </c>
      <c r="B573" s="6" t="n">
        <f aca="false">MIN(42, FLOOR(A573/32,1)+1)</f>
        <v>18</v>
      </c>
      <c r="C573" s="6" t="str">
        <f aca="false">INDEX(Grades_Realms!$B$2:$B$43, B573)</f>
        <v>Nascent Soul · Perfected</v>
      </c>
      <c r="D573" s="6" t="n">
        <f aca="false">(A573+1)^2.4 * 1.004^A573</f>
        <v>40522896.7516182</v>
      </c>
      <c r="E573" s="6" t="n">
        <f aca="false">$I$2*(A573+1)^1.9*1.003^A573</f>
        <v>414.329946167975</v>
      </c>
      <c r="F573" s="6" t="n">
        <f aca="false">(A573+1)^1.12</f>
        <v>1225.41601614862</v>
      </c>
      <c r="G573" s="6" t="n">
        <f aca="false">G572+E573</f>
        <v>55676.1832843248</v>
      </c>
    </row>
    <row r="574" customFormat="false" ht="15" hidden="false" customHeight="true" outlineLevel="0" collapsed="false">
      <c r="A574" s="6" t="n">
        <v>572</v>
      </c>
      <c r="B574" s="6" t="n">
        <f aca="false">MIN(42, FLOOR(A574/32,1)+1)</f>
        <v>18</v>
      </c>
      <c r="C574" s="6" t="str">
        <f aca="false">INDEX(Grades_Realms!$B$2:$B$43, B574)</f>
        <v>Nascent Soul · Perfected</v>
      </c>
      <c r="D574" s="6" t="n">
        <f aca="false">(A574+1)^2.4 * 1.004^A574</f>
        <v>40855903.5383291</v>
      </c>
      <c r="E574" s="6" t="n">
        <f aca="false">$I$2*(A574+1)^1.9*1.003^A574</f>
        <v>416.954421534549</v>
      </c>
      <c r="F574" s="6" t="n">
        <f aca="false">(A574+1)^1.12</f>
        <v>1227.81568368232</v>
      </c>
      <c r="G574" s="6" t="n">
        <f aca="false">G573+E574</f>
        <v>56093.1377058594</v>
      </c>
    </row>
    <row r="575" customFormat="false" ht="15" hidden="false" customHeight="true" outlineLevel="0" collapsed="false">
      <c r="A575" s="6" t="n">
        <v>573</v>
      </c>
      <c r="B575" s="6" t="n">
        <f aca="false">MIN(42, FLOOR(A575/32,1)+1)</f>
        <v>18</v>
      </c>
      <c r="C575" s="6" t="str">
        <f aca="false">INDEX(Grades_Realms!$B$2:$B$43, B575)</f>
        <v>Nascent Soul · Perfected</v>
      </c>
      <c r="D575" s="6" t="n">
        <f aca="false">(A575+1)^2.4 * 1.004^A575</f>
        <v>41191345.7898888</v>
      </c>
      <c r="E575" s="6" t="n">
        <f aca="false">$I$2*(A575+1)^1.9*1.003^A575</f>
        <v>419.593092876686</v>
      </c>
      <c r="F575" s="6" t="n">
        <f aca="false">(A575+1)^1.12</f>
        <v>1230.21585381706</v>
      </c>
      <c r="G575" s="6" t="n">
        <f aca="false">G574+E575</f>
        <v>56512.7307987361</v>
      </c>
    </row>
    <row r="576" customFormat="false" ht="15" hidden="false" customHeight="true" outlineLevel="0" collapsed="false">
      <c r="A576" s="6" t="n">
        <v>574</v>
      </c>
      <c r="B576" s="6" t="n">
        <f aca="false">MIN(42, FLOOR(A576/32,1)+1)</f>
        <v>18</v>
      </c>
      <c r="C576" s="6" t="str">
        <f aca="false">INDEX(Grades_Realms!$B$2:$B$43, B576)</f>
        <v>Nascent Soul · Perfected</v>
      </c>
      <c r="D576" s="6" t="n">
        <f aca="false">(A576+1)^2.4 * 1.004^A576</f>
        <v>41529239.6350714</v>
      </c>
      <c r="E576" s="6" t="n">
        <f aca="false">$I$2*(A576+1)^1.9*1.003^A576</f>
        <v>422.246027903344</v>
      </c>
      <c r="F576" s="6" t="n">
        <f aca="false">(A576+1)^1.12</f>
        <v>1232.61652578223</v>
      </c>
      <c r="G576" s="6" t="n">
        <f aca="false">G575+E576</f>
        <v>56934.9768266394</v>
      </c>
    </row>
    <row r="577" customFormat="false" ht="15" hidden="false" customHeight="true" outlineLevel="0" collapsed="false">
      <c r="A577" s="6" t="n">
        <v>575</v>
      </c>
      <c r="B577" s="6" t="n">
        <f aca="false">MIN(42, FLOOR(A577/32,1)+1)</f>
        <v>18</v>
      </c>
      <c r="C577" s="6" t="str">
        <f aca="false">INDEX(Grades_Realms!$B$2:$B$43, B577)</f>
        <v>Nascent Soul · Perfected</v>
      </c>
      <c r="D577" s="6" t="n">
        <f aca="false">(A577+1)^2.4 * 1.004^A577</f>
        <v>41869601.3014743</v>
      </c>
      <c r="E577" s="6" t="n">
        <f aca="false">$I$2*(A577+1)^1.9*1.003^A577</f>
        <v>424.91329462002</v>
      </c>
      <c r="F577" s="6" t="n">
        <f aca="false">(A577+1)^1.12</f>
        <v>1235.01769880971</v>
      </c>
      <c r="G577" s="6" t="n">
        <f aca="false">G576+E577</f>
        <v>57359.8901212594</v>
      </c>
    </row>
    <row r="578" customFormat="false" ht="15" hidden="false" customHeight="true" outlineLevel="0" collapsed="false">
      <c r="A578" s="6" t="n">
        <v>576</v>
      </c>
      <c r="B578" s="6" t="n">
        <f aca="false">MIN(42, FLOOR(A578/32,1)+1)</f>
        <v>19</v>
      </c>
      <c r="C578" s="6" t="str">
        <f aca="false">INDEX(Grades_Realms!$B$2:$B$43, B578)</f>
        <v>Spirit Severing · Initial</v>
      </c>
      <c r="D578" s="6" t="n">
        <f aca="false">(A578+1)^2.4 * 1.004^A578</f>
        <v>42212447.1160887</v>
      </c>
      <c r="E578" s="6" t="n">
        <f aca="false">$I$2*(A578+1)^1.9*1.003^A578</f>
        <v>427.594961329971</v>
      </c>
      <c r="F578" s="6" t="n">
        <f aca="false">(A578+1)^1.12</f>
        <v>1237.41937213393</v>
      </c>
      <c r="G578" s="6" t="n">
        <f aca="false">G577+E578</f>
        <v>57787.4850825894</v>
      </c>
    </row>
    <row r="579" customFormat="false" ht="15" hidden="false" customHeight="true" outlineLevel="0" collapsed="false">
      <c r="A579" s="6" t="n">
        <v>577</v>
      </c>
      <c r="B579" s="6" t="n">
        <f aca="false">MIN(42, FLOOR(A579/32,1)+1)</f>
        <v>19</v>
      </c>
      <c r="C579" s="6" t="str">
        <f aca="false">INDEX(Grades_Realms!$B$2:$B$43, B579)</f>
        <v>Spirit Severing · Initial</v>
      </c>
      <c r="D579" s="6" t="n">
        <f aca="false">(A579+1)^2.4 * 1.004^A579</f>
        <v>42557793.5058735</v>
      </c>
      <c r="E579" s="6" t="n">
        <f aca="false">$I$2*(A579+1)^1.9*1.003^A579</f>
        <v>430.291096635443</v>
      </c>
      <c r="F579" s="6" t="n">
        <f aca="false">(A579+1)^1.12</f>
        <v>1239.82154499177</v>
      </c>
      <c r="G579" s="6" t="n">
        <f aca="false">G578+E579</f>
        <v>58217.7761792248</v>
      </c>
    </row>
    <row r="580" customFormat="false" ht="15" hidden="false" customHeight="true" outlineLevel="0" collapsed="false">
      <c r="A580" s="6" t="n">
        <v>578</v>
      </c>
      <c r="B580" s="6" t="n">
        <f aca="false">MIN(42, FLOOR(A580/32,1)+1)</f>
        <v>19</v>
      </c>
      <c r="C580" s="6" t="str">
        <f aca="false">INDEX(Grades_Realms!$B$2:$B$43, B580)</f>
        <v>Spirit Severing · Initial</v>
      </c>
      <c r="D580" s="6" t="n">
        <f aca="false">(A580+1)^2.4 * 1.004^A580</f>
        <v>42905656.9983321</v>
      </c>
      <c r="E580" s="6" t="n">
        <f aca="false">$I$2*(A580+1)^1.9*1.003^A580</f>
        <v>433.001769438903</v>
      </c>
      <c r="F580" s="6" t="n">
        <f aca="false">(A580+1)^1.12</f>
        <v>1242.22421662264</v>
      </c>
      <c r="G580" s="6" t="n">
        <f aca="false">G579+E580</f>
        <v>58650.7779486637</v>
      </c>
    </row>
    <row r="581" customFormat="false" ht="15" hidden="false" customHeight="true" outlineLevel="0" collapsed="false">
      <c r="A581" s="6" t="n">
        <v>579</v>
      </c>
      <c r="B581" s="6" t="n">
        <f aca="false">MIN(42, FLOOR(A581/32,1)+1)</f>
        <v>19</v>
      </c>
      <c r="C581" s="6" t="str">
        <f aca="false">INDEX(Grades_Realms!$B$2:$B$43, B581)</f>
        <v>Spirit Severing · Initial</v>
      </c>
      <c r="D581" s="6" t="n">
        <f aca="false">(A581+1)^2.4 * 1.004^A581</f>
        <v>43256054.2220929</v>
      </c>
      <c r="E581" s="6" t="n">
        <f aca="false">$I$2*(A581+1)^1.9*1.003^A581</f>
        <v>435.727048944273</v>
      </c>
      <c r="F581" s="6" t="n">
        <f aca="false">(A581+1)^1.12</f>
        <v>1244.62738626837</v>
      </c>
      <c r="G581" s="6" t="n">
        <f aca="false">G580+E581</f>
        <v>59086.504997608</v>
      </c>
    </row>
    <row r="582" customFormat="false" ht="15" hidden="false" customHeight="true" outlineLevel="0" collapsed="false">
      <c r="A582" s="6" t="n">
        <v>580</v>
      </c>
      <c r="B582" s="6" t="n">
        <f aca="false">MIN(42, FLOOR(A582/32,1)+1)</f>
        <v>19</v>
      </c>
      <c r="C582" s="6" t="str">
        <f aca="false">INDEX(Grades_Realms!$B$2:$B$43, B582)</f>
        <v>Spirit Severing · Initial</v>
      </c>
      <c r="D582" s="6" t="n">
        <f aca="false">(A582+1)^2.4 * 1.004^A582</f>
        <v>43609001.9074923</v>
      </c>
      <c r="E582" s="6" t="n">
        <f aca="false">$I$2*(A582+1)^1.9*1.003^A582</f>
        <v>438.467004658176</v>
      </c>
      <c r="F582" s="6" t="n">
        <f aca="false">(A582+1)^1.12</f>
        <v>1247.03105317329</v>
      </c>
      <c r="G582" s="6" t="n">
        <f aca="false">G581+E582</f>
        <v>59524.9720022662</v>
      </c>
    </row>
    <row r="583" customFormat="false" ht="15" hidden="false" customHeight="true" outlineLevel="0" collapsed="false">
      <c r="A583" s="6" t="n">
        <v>581</v>
      </c>
      <c r="B583" s="6" t="n">
        <f aca="false">MIN(42, FLOOR(A583/32,1)+1)</f>
        <v>19</v>
      </c>
      <c r="C583" s="6" t="str">
        <f aca="false">INDEX(Grades_Realms!$B$2:$B$43, B583)</f>
        <v>Spirit Severing · Initial</v>
      </c>
      <c r="D583" s="6" t="n">
        <f aca="false">(A583+1)^2.4 * 1.004^A583</f>
        <v>43964516.8871615</v>
      </c>
      <c r="E583" s="6" t="n">
        <f aca="false">$I$2*(A583+1)^1.9*1.003^A583</f>
        <v>441.221706391178</v>
      </c>
      <c r="F583" s="6" t="n">
        <f aca="false">(A583+1)^1.12</f>
        <v>1249.43521658415</v>
      </c>
      <c r="G583" s="6" t="n">
        <f aca="false">G582+E583</f>
        <v>59966.1937086574</v>
      </c>
    </row>
    <row r="584" customFormat="false" ht="15" hidden="false" customHeight="true" outlineLevel="0" collapsed="false">
      <c r="A584" s="6" t="n">
        <v>582</v>
      </c>
      <c r="B584" s="6" t="n">
        <f aca="false">MIN(42, FLOOR(A584/32,1)+1)</f>
        <v>19</v>
      </c>
      <c r="C584" s="6" t="str">
        <f aca="false">INDEX(Grades_Realms!$B$2:$B$43, B584)</f>
        <v>Spirit Severing · Initial</v>
      </c>
      <c r="D584" s="6" t="n">
        <f aca="false">(A584+1)^2.4 * 1.004^A584</f>
        <v>44322616.0966163</v>
      </c>
      <c r="E584" s="6" t="n">
        <f aca="false">$I$2*(A584+1)^1.9*1.003^A584</f>
        <v>443.991224259044</v>
      </c>
      <c r="F584" s="6" t="n">
        <f aca="false">(A584+1)^1.12</f>
        <v>1251.83987575014</v>
      </c>
      <c r="G584" s="6" t="n">
        <f aca="false">G583+E584</f>
        <v>60410.1849329164</v>
      </c>
    </row>
    <row r="585" customFormat="false" ht="15" hidden="false" customHeight="true" outlineLevel="0" collapsed="false">
      <c r="A585" s="6" t="n">
        <v>583</v>
      </c>
      <c r="B585" s="6" t="n">
        <f aca="false">MIN(42, FLOOR(A585/32,1)+1)</f>
        <v>19</v>
      </c>
      <c r="C585" s="6" t="str">
        <f aca="false">INDEX(Grades_Realms!$B$2:$B$43, B585)</f>
        <v>Spirit Severing · Initial</v>
      </c>
      <c r="D585" s="6" t="n">
        <f aca="false">(A585+1)^2.4 * 1.004^A585</f>
        <v>44683316.57485</v>
      </c>
      <c r="E585" s="6" t="n">
        <f aca="false">$I$2*(A585+1)^1.9*1.003^A585</f>
        <v>446.77562868399</v>
      </c>
      <c r="F585" s="6" t="n">
        <f aca="false">(A585+1)^1.12</f>
        <v>1254.24502992288</v>
      </c>
      <c r="G585" s="6" t="n">
        <f aca="false">G584+E585</f>
        <v>60856.9605616004</v>
      </c>
    </row>
    <row r="586" customFormat="false" ht="15" hidden="false" customHeight="true" outlineLevel="0" collapsed="false">
      <c r="A586" s="6" t="n">
        <v>584</v>
      </c>
      <c r="B586" s="6" t="n">
        <f aca="false">MIN(42, FLOOR(A586/32,1)+1)</f>
        <v>19</v>
      </c>
      <c r="C586" s="6" t="str">
        <f aca="false">INDEX(Grades_Realms!$B$2:$B$43, B586)</f>
        <v>Spirit Severing · Initial</v>
      </c>
      <c r="D586" s="6" t="n">
        <f aca="false">(A586+1)^2.4 * 1.004^A586</f>
        <v>45046635.4649298</v>
      </c>
      <c r="E586" s="6" t="n">
        <f aca="false">$I$2*(A586+1)^1.9*1.003^A586</f>
        <v>449.574990395947</v>
      </c>
      <c r="F586" s="6" t="n">
        <f aca="false">(A586+1)^1.12</f>
        <v>1256.65067835638</v>
      </c>
      <c r="G586" s="6" t="n">
        <f aca="false">G585+E586</f>
        <v>61306.5355519964</v>
      </c>
    </row>
    <row r="587" customFormat="false" ht="15" hidden="false" customHeight="true" outlineLevel="0" collapsed="false">
      <c r="A587" s="6" t="n">
        <v>585</v>
      </c>
      <c r="B587" s="6" t="n">
        <f aca="false">MIN(42, FLOOR(A587/32,1)+1)</f>
        <v>19</v>
      </c>
      <c r="C587" s="6" t="str">
        <f aca="false">INDEX(Grades_Realms!$B$2:$B$43, B587)</f>
        <v>Spirit Severing · Initial</v>
      </c>
      <c r="D587" s="6" t="n">
        <f aca="false">(A587+1)^2.4 * 1.004^A587</f>
        <v>45412590.0145963</v>
      </c>
      <c r="E587" s="6" t="n">
        <f aca="false">$I$2*(A587+1)^1.9*1.003^A587</f>
        <v>452.38938043383</v>
      </c>
      <c r="F587" s="6" t="n">
        <f aca="false">(A587+1)^1.12</f>
        <v>1259.05682030707</v>
      </c>
      <c r="G587" s="6" t="n">
        <f aca="false">G586+E587</f>
        <v>61758.9249324302</v>
      </c>
    </row>
    <row r="588" customFormat="false" ht="15" hidden="false" customHeight="true" outlineLevel="0" collapsed="false">
      <c r="A588" s="6" t="n">
        <v>586</v>
      </c>
      <c r="B588" s="6" t="n">
        <f aca="false">MIN(42, FLOOR(A588/32,1)+1)</f>
        <v>19</v>
      </c>
      <c r="C588" s="6" t="str">
        <f aca="false">INDEX(Grades_Realms!$B$2:$B$43, B588)</f>
        <v>Spirit Severing · Initial</v>
      </c>
      <c r="D588" s="6" t="n">
        <f aca="false">(A588+1)^2.4 * 1.004^A588</f>
        <v>45781197.5768667</v>
      </c>
      <c r="E588" s="6" t="n">
        <f aca="false">$I$2*(A588+1)^1.9*1.003^A588</f>
        <v>455.218870146801</v>
      </c>
      <c r="F588" s="6" t="n">
        <f aca="false">(A588+1)^1.12</f>
        <v>1261.46345503375</v>
      </c>
      <c r="G588" s="6" t="n">
        <f aca="false">G587+E588</f>
        <v>62214.143802577</v>
      </c>
    </row>
    <row r="589" customFormat="false" ht="15" hidden="false" customHeight="true" outlineLevel="0" collapsed="false">
      <c r="A589" s="6" t="n">
        <v>587</v>
      </c>
      <c r="B589" s="6" t="n">
        <f aca="false">MIN(42, FLOOR(A589/32,1)+1)</f>
        <v>19</v>
      </c>
      <c r="C589" s="6" t="str">
        <f aca="false">INDEX(Grades_Realms!$B$2:$B$43, B589)</f>
        <v>Spirit Severing · Initial</v>
      </c>
      <c r="D589" s="6" t="n">
        <f aca="false">(A589+1)^2.4 * 1.004^A589</f>
        <v>46152475.6106407</v>
      </c>
      <c r="E589" s="6" t="n">
        <f aca="false">$I$2*(A589+1)^1.9*1.003^A589</f>
        <v>458.063531195554</v>
      </c>
      <c r="F589" s="6" t="n">
        <f aca="false">(A589+1)^1.12</f>
        <v>1263.87058179761</v>
      </c>
      <c r="G589" s="6" t="n">
        <f aca="false">G588+E589</f>
        <v>62672.2073337725</v>
      </c>
    </row>
    <row r="590" customFormat="false" ht="15" hidden="false" customHeight="true" outlineLevel="0" collapsed="false">
      <c r="A590" s="6" t="n">
        <v>588</v>
      </c>
      <c r="B590" s="6" t="n">
        <f aca="false">MIN(42, FLOOR(A590/32,1)+1)</f>
        <v>19</v>
      </c>
      <c r="C590" s="6" t="str">
        <f aca="false">INDEX(Grades_Realms!$B$2:$B$43, B590)</f>
        <v>Spirit Severing · Initial</v>
      </c>
      <c r="D590" s="6" t="n">
        <f aca="false">(A590+1)^2.4 * 1.004^A590</f>
        <v>46526441.6813102</v>
      </c>
      <c r="E590" s="6" t="n">
        <f aca="false">$I$2*(A590+1)^1.9*1.003^A590</f>
        <v>460.923435553592</v>
      </c>
      <c r="F590" s="6" t="n">
        <f aca="false">(A590+1)^1.12</f>
        <v>1266.27819986217</v>
      </c>
      <c r="G590" s="6" t="n">
        <f aca="false">G589+E590</f>
        <v>63133.1307693261</v>
      </c>
    </row>
    <row r="591" customFormat="false" ht="15" hidden="false" customHeight="true" outlineLevel="0" collapsed="false">
      <c r="A591" s="6" t="n">
        <v>589</v>
      </c>
      <c r="B591" s="6" t="n">
        <f aca="false">MIN(42, FLOOR(A591/32,1)+1)</f>
        <v>19</v>
      </c>
      <c r="C591" s="6" t="str">
        <f aca="false">INDEX(Grades_Realms!$B$2:$B$43, B591)</f>
        <v>Spirit Severing · Initial</v>
      </c>
      <c r="D591" s="6" t="n">
        <f aca="false">(A591+1)^2.4 * 1.004^A591</f>
        <v>46903113.4613721</v>
      </c>
      <c r="E591" s="6" t="n">
        <f aca="false">$I$2*(A591+1)^1.9*1.003^A591</f>
        <v>463.798655508516</v>
      </c>
      <c r="F591" s="6" t="n">
        <f aca="false">(A591+1)^1.12</f>
        <v>1268.68630849335</v>
      </c>
      <c r="G591" s="6" t="n">
        <f aca="false">G590+E591</f>
        <v>63596.9294248347</v>
      </c>
    </row>
    <row r="592" customFormat="false" ht="15" hidden="false" customHeight="true" outlineLevel="0" collapsed="false">
      <c r="A592" s="6" t="n">
        <v>590</v>
      </c>
      <c r="B592" s="6" t="n">
        <f aca="false">MIN(42, FLOOR(A592/32,1)+1)</f>
        <v>19</v>
      </c>
      <c r="C592" s="6" t="str">
        <f aca="false">INDEX(Grades_Realms!$B$2:$B$43, B592)</f>
        <v>Spirit Severing · Initial</v>
      </c>
      <c r="D592" s="6" t="n">
        <f aca="false">(A592+1)^2.4 * 1.004^A592</f>
        <v>47282508.7310448</v>
      </c>
      <c r="E592" s="6" t="n">
        <f aca="false">$I$2*(A592+1)^1.9*1.003^A592</f>
        <v>466.689263663312</v>
      </c>
      <c r="F592" s="6" t="n">
        <f aca="false">(A592+1)^1.12</f>
        <v>1271.09490695936</v>
      </c>
      <c r="G592" s="6" t="n">
        <f aca="false">G591+E592</f>
        <v>64063.618688498</v>
      </c>
    </row>
    <row r="593" customFormat="false" ht="15" hidden="false" customHeight="true" outlineLevel="0" collapsed="false">
      <c r="A593" s="6" t="n">
        <v>591</v>
      </c>
      <c r="B593" s="6" t="n">
        <f aca="false">MIN(42, FLOOR(A593/32,1)+1)</f>
        <v>19</v>
      </c>
      <c r="C593" s="6" t="str">
        <f aca="false">INDEX(Grades_Realms!$B$2:$B$43, B593)</f>
        <v>Spirit Severing · Initial</v>
      </c>
      <c r="D593" s="6" t="n">
        <f aca="false">(A593+1)^2.4 * 1.004^A593</f>
        <v>47664645.3788877</v>
      </c>
      <c r="E593" s="6" t="n">
        <f aca="false">$I$2*(A593+1)^1.9*1.003^A593</f>
        <v>469.595332937652</v>
      </c>
      <c r="F593" s="6" t="n">
        <f aca="false">(A593+1)^1.12</f>
        <v>1273.50399453077</v>
      </c>
      <c r="G593" s="6" t="n">
        <f aca="false">G592+E593</f>
        <v>64533.2140214356</v>
      </c>
    </row>
    <row r="594" customFormat="false" ht="15" hidden="false" customHeight="true" outlineLevel="0" collapsed="false">
      <c r="A594" s="6" t="n">
        <v>592</v>
      </c>
      <c r="B594" s="6" t="n">
        <f aca="false">MIN(42, FLOOR(A594/32,1)+1)</f>
        <v>19</v>
      </c>
      <c r="C594" s="6" t="str">
        <f aca="false">INDEX(Grades_Realms!$B$2:$B$43, B594)</f>
        <v>Spirit Severing · Initial</v>
      </c>
      <c r="D594" s="6" t="n">
        <f aca="false">(A594+1)^2.4 * 1.004^A594</f>
        <v>48049541.4024242</v>
      </c>
      <c r="E594" s="6" t="n">
        <f aca="false">$I$2*(A594+1)^1.9*1.003^A594</f>
        <v>472.516936569195</v>
      </c>
      <c r="F594" s="6" t="n">
        <f aca="false">(A594+1)^1.12</f>
        <v>1275.91357048046</v>
      </c>
      <c r="G594" s="6" t="n">
        <f aca="false">G593+E594</f>
        <v>65005.7309580048</v>
      </c>
    </row>
    <row r="595" customFormat="false" ht="15" hidden="false" customHeight="true" outlineLevel="0" collapsed="false">
      <c r="A595" s="6" t="n">
        <v>593</v>
      </c>
      <c r="B595" s="6" t="n">
        <f aca="false">MIN(42, FLOOR(A595/32,1)+1)</f>
        <v>19</v>
      </c>
      <c r="C595" s="6" t="str">
        <f aca="false">INDEX(Grades_Realms!$B$2:$B$43, B595)</f>
        <v>Spirit Severing · Initial</v>
      </c>
      <c r="D595" s="6" t="n">
        <f aca="false">(A595+1)^2.4 * 1.004^A595</f>
        <v>48437214.9087684</v>
      </c>
      <c r="E595" s="6" t="n">
        <f aca="false">$I$2*(A595+1)^1.9*1.003^A595</f>
        <v>475.45414811489</v>
      </c>
      <c r="F595" s="6" t="n">
        <f aca="false">(A595+1)^1.12</f>
        <v>1278.32363408361</v>
      </c>
      <c r="G595" s="6" t="n">
        <f aca="false">G594+E595</f>
        <v>65481.1851061197</v>
      </c>
    </row>
    <row r="596" customFormat="false" ht="15" hidden="false" customHeight="true" outlineLevel="0" collapsed="false">
      <c r="A596" s="6" t="n">
        <v>594</v>
      </c>
      <c r="B596" s="6" t="n">
        <f aca="false">MIN(42, FLOOR(A596/32,1)+1)</f>
        <v>19</v>
      </c>
      <c r="C596" s="6" t="str">
        <f aca="false">INDEX(Grades_Realms!$B$2:$B$43, B596)</f>
        <v>Spirit Severing · Initial</v>
      </c>
      <c r="D596" s="6" t="n">
        <f aca="false">(A596+1)^2.4 * 1.004^A596</f>
        <v>48827684.1152549</v>
      </c>
      <c r="E596" s="6" t="n">
        <f aca="false">$I$2*(A596+1)^1.9*1.003^A596</f>
        <v>478.407041452295</v>
      </c>
      <c r="F596" s="6" t="n">
        <f aca="false">(A596+1)^1.12</f>
        <v>1280.73418461769</v>
      </c>
      <c r="G596" s="6" t="n">
        <f aca="false">G595+E596</f>
        <v>65959.592147572</v>
      </c>
    </row>
    <row r="597" customFormat="false" ht="15" hidden="false" customHeight="true" outlineLevel="0" collapsed="false">
      <c r="A597" s="6" t="n">
        <v>595</v>
      </c>
      <c r="B597" s="6" t="n">
        <f aca="false">MIN(42, FLOOR(A597/32,1)+1)</f>
        <v>19</v>
      </c>
      <c r="C597" s="6" t="str">
        <f aca="false">INDEX(Grades_Realms!$B$2:$B$43, B597)</f>
        <v>Spirit Severing · Initial</v>
      </c>
      <c r="D597" s="6" t="n">
        <f aca="false">(A597+1)^2.4 * 1.004^A597</f>
        <v>49220967.3500724</v>
      </c>
      <c r="E597" s="6" t="n">
        <f aca="false">$I$2*(A597+1)^1.9*1.003^A597</f>
        <v>481.375690780886</v>
      </c>
      <c r="F597" s="6" t="n">
        <f aca="false">(A597+1)^1.12</f>
        <v>1283.14522136247</v>
      </c>
      <c r="G597" s="6" t="n">
        <f aca="false">G596+E597</f>
        <v>66440.9678383529</v>
      </c>
    </row>
    <row r="598" customFormat="false" ht="15" hidden="false" customHeight="true" outlineLevel="0" collapsed="false">
      <c r="A598" s="6" t="n">
        <v>596</v>
      </c>
      <c r="B598" s="6" t="n">
        <f aca="false">MIN(42, FLOOR(A598/32,1)+1)</f>
        <v>19</v>
      </c>
      <c r="C598" s="6" t="str">
        <f aca="false">INDEX(Grades_Realms!$B$2:$B$43, B598)</f>
        <v>Spirit Severing · Initial</v>
      </c>
      <c r="D598" s="6" t="n">
        <f aca="false">(A598+1)^2.4 * 1.004^A598</f>
        <v>49617083.0529005</v>
      </c>
      <c r="E598" s="6" t="n">
        <f aca="false">$I$2*(A598+1)^1.9*1.003^A598</f>
        <v>484.360170623385</v>
      </c>
      <c r="F598" s="6" t="n">
        <f aca="false">(A598+1)^1.12</f>
        <v>1285.55674359997</v>
      </c>
      <c r="G598" s="6" t="n">
        <f aca="false">G597+E598</f>
        <v>66925.3280089763</v>
      </c>
    </row>
    <row r="599" customFormat="false" ht="15" hidden="false" customHeight="true" outlineLevel="0" collapsed="false">
      <c r="A599" s="6" t="n">
        <v>597</v>
      </c>
      <c r="B599" s="6" t="n">
        <f aca="false">MIN(42, FLOOR(A599/32,1)+1)</f>
        <v>19</v>
      </c>
      <c r="C599" s="6" t="str">
        <f aca="false">INDEX(Grades_Realms!$B$2:$B$43, B599)</f>
        <v>Spirit Severing · Initial</v>
      </c>
      <c r="D599" s="6" t="n">
        <f aca="false">(A599+1)^2.4 * 1.004^A599</f>
        <v>50016049.7755497</v>
      </c>
      <c r="E599" s="6" t="n">
        <f aca="false">$I$2*(A599+1)^1.9*1.003^A599</f>
        <v>487.360555827087</v>
      </c>
      <c r="F599" s="6" t="n">
        <f aca="false">(A599+1)^1.12</f>
        <v>1287.9687506145</v>
      </c>
      <c r="G599" s="6" t="n">
        <f aca="false">G598+E599</f>
        <v>67412.6885648034</v>
      </c>
    </row>
    <row r="600" customFormat="false" ht="15" hidden="false" customHeight="true" outlineLevel="0" collapsed="false">
      <c r="A600" s="6" t="n">
        <v>598</v>
      </c>
      <c r="B600" s="6" t="n">
        <f aca="false">MIN(42, FLOOR(A600/32,1)+1)</f>
        <v>19</v>
      </c>
      <c r="C600" s="6" t="str">
        <f aca="false">INDEX(Grades_Realms!$B$2:$B$43, B600)</f>
        <v>Spirit Severing · Initial</v>
      </c>
      <c r="D600" s="6" t="n">
        <f aca="false">(A600+1)^2.4 * 1.004^A600</f>
        <v>50417886.182606</v>
      </c>
      <c r="E600" s="6" t="n">
        <f aca="false">$I$2*(A600+1)^1.9*1.003^A600</f>
        <v>490.376921565189</v>
      </c>
      <c r="F600" s="6" t="n">
        <f aca="false">(A600+1)^1.12</f>
        <v>1290.38124169259</v>
      </c>
      <c r="G600" s="6" t="n">
        <f aca="false">G599+E600</f>
        <v>67903.0654863686</v>
      </c>
    </row>
    <row r="601" customFormat="false" ht="15" hidden="false" customHeight="true" outlineLevel="0" collapsed="false">
      <c r="A601" s="6" t="n">
        <v>599</v>
      </c>
      <c r="B601" s="6" t="n">
        <f aca="false">MIN(42, FLOOR(A601/32,1)+1)</f>
        <v>19</v>
      </c>
      <c r="C601" s="6" t="str">
        <f aca="false">INDEX(Grades_Realms!$B$2:$B$43, B601)</f>
        <v>Spirit Severing · Initial</v>
      </c>
      <c r="D601" s="6" t="n">
        <f aca="false">(A601+1)^2.4 * 1.004^A601</f>
        <v>50822611.052078</v>
      </c>
      <c r="E601" s="6" t="n">
        <f aca="false">$I$2*(A601+1)^1.9*1.003^A601</f>
        <v>493.409343338132</v>
      </c>
      <c r="F601" s="6" t="n">
        <f aca="false">(A601+1)^1.12</f>
        <v>1292.79421612303</v>
      </c>
      <c r="G601" s="6" t="n">
        <f aca="false">G600+E601</f>
        <v>68396.4748297067</v>
      </c>
    </row>
    <row r="602" customFormat="false" ht="15" hidden="false" customHeight="true" outlineLevel="0" collapsed="false">
      <c r="A602" s="6" t="n">
        <v>600</v>
      </c>
      <c r="B602" s="6" t="n">
        <f aca="false">MIN(42, FLOOR(A602/32,1)+1)</f>
        <v>19</v>
      </c>
      <c r="C602" s="6" t="str">
        <f aca="false">INDEX(Grades_Realms!$B$2:$B$43, B602)</f>
        <v>Spirit Severing · Initial</v>
      </c>
      <c r="D602" s="6" t="n">
        <f aca="false">(A602+1)^2.4 * 1.004^A602</f>
        <v>51230243.2760476</v>
      </c>
      <c r="E602" s="6" t="n">
        <f aca="false">$I$2*(A602+1)^1.9*1.003^A602</f>
        <v>496.457896974943</v>
      </c>
      <c r="F602" s="6" t="n">
        <f aca="false">(A602+1)^1.12</f>
        <v>1295.20767319682</v>
      </c>
      <c r="G602" s="6" t="n">
        <f aca="false">G601+E602</f>
        <v>68892.9327266816</v>
      </c>
    </row>
    <row r="603" customFormat="false" ht="15" hidden="false" customHeight="true" outlineLevel="0" collapsed="false">
      <c r="A603" s="6" t="n">
        <v>601</v>
      </c>
      <c r="B603" s="6" t="n">
        <f aca="false">MIN(42, FLOOR(A603/32,1)+1)</f>
        <v>19</v>
      </c>
      <c r="C603" s="6" t="str">
        <f aca="false">INDEX(Grades_Realms!$B$2:$B$43, B603)</f>
        <v>Spirit Severing · Initial</v>
      </c>
      <c r="D603" s="6" t="n">
        <f aca="false">(A603+1)^2.4 * 1.004^A603</f>
        <v>51640801.8613252</v>
      </c>
      <c r="E603" s="6" t="n">
        <f aca="false">$I$2*(A603+1)^1.9*1.003^A603</f>
        <v>499.522658634582</v>
      </c>
      <c r="F603" s="6" t="n">
        <f aca="false">(A603+1)^1.12</f>
        <v>1297.62161220721</v>
      </c>
      <c r="G603" s="6" t="n">
        <f aca="false">G602+E603</f>
        <v>69392.4553853162</v>
      </c>
    </row>
    <row r="604" customFormat="false" ht="15" hidden="false" customHeight="true" outlineLevel="0" collapsed="false">
      <c r="A604" s="6" t="n">
        <v>602</v>
      </c>
      <c r="B604" s="6" t="n">
        <f aca="false">MIN(42, FLOOR(A604/32,1)+1)</f>
        <v>19</v>
      </c>
      <c r="C604" s="6" t="str">
        <f aca="false">INDEX(Grades_Realms!$B$2:$B$43, B604)</f>
        <v>Spirit Severing · Initial</v>
      </c>
      <c r="D604" s="6" t="n">
        <f aca="false">(A604+1)^2.4 * 1.004^A604</f>
        <v>52054305.9301073</v>
      </c>
      <c r="E604" s="6" t="n">
        <f aca="false">$I$2*(A604+1)^1.9*1.003^A604</f>
        <v>502.603704807297</v>
      </c>
      <c r="F604" s="6" t="n">
        <f aca="false">(A604+1)^1.12</f>
        <v>1300.03603244962</v>
      </c>
      <c r="G604" s="6" t="n">
        <f aca="false">G603+E604</f>
        <v>69895.0590901235</v>
      </c>
    </row>
    <row r="605" customFormat="false" ht="15" hidden="false" customHeight="true" outlineLevel="0" collapsed="false">
      <c r="A605" s="6" t="n">
        <v>603</v>
      </c>
      <c r="B605" s="6" t="n">
        <f aca="false">MIN(42, FLOOR(A605/32,1)+1)</f>
        <v>19</v>
      </c>
      <c r="C605" s="6" t="str">
        <f aca="false">INDEX(Grades_Realms!$B$2:$B$43, B605)</f>
        <v>Spirit Severing · Initial</v>
      </c>
      <c r="D605" s="6" t="n">
        <f aca="false">(A605+1)^2.4 * 1.004^A605</f>
        <v>52470774.7206387</v>
      </c>
      <c r="E605" s="6" t="n">
        <f aca="false">$I$2*(A605+1)^1.9*1.003^A605</f>
        <v>505.701112315984</v>
      </c>
      <c r="F605" s="6" t="n">
        <f aca="false">(A605+1)^1.12</f>
        <v>1302.45093322169</v>
      </c>
      <c r="G605" s="6" t="n">
        <f aca="false">G604+E605</f>
        <v>70400.7602024395</v>
      </c>
    </row>
    <row r="606" customFormat="false" ht="15" hidden="false" customHeight="true" outlineLevel="0" collapsed="false">
      <c r="A606" s="6" t="n">
        <v>604</v>
      </c>
      <c r="B606" s="6" t="n">
        <f aca="false">MIN(42, FLOOR(A606/32,1)+1)</f>
        <v>19</v>
      </c>
      <c r="C606" s="6" t="str">
        <f aca="false">INDEX(Grades_Realms!$B$2:$B$43, B606)</f>
        <v>Spirit Severing · Initial</v>
      </c>
      <c r="D606" s="6" t="n">
        <f aca="false">(A606+1)^2.4 * 1.004^A606</f>
        <v>52890227.5878775</v>
      </c>
      <c r="E606" s="6" t="n">
        <f aca="false">$I$2*(A606+1)^1.9*1.003^A606</f>
        <v>508.81495831755</v>
      </c>
      <c r="F606" s="6" t="n">
        <f aca="false">(A606+1)^1.12</f>
        <v>1304.86631382324</v>
      </c>
      <c r="G606" s="6" t="n">
        <f aca="false">G605+E606</f>
        <v>70909.575160757</v>
      </c>
    </row>
    <row r="607" customFormat="false" ht="15" hidden="false" customHeight="true" outlineLevel="0" collapsed="false">
      <c r="A607" s="6" t="n">
        <v>605</v>
      </c>
      <c r="B607" s="6" t="n">
        <f aca="false">MIN(42, FLOOR(A607/32,1)+1)</f>
        <v>19</v>
      </c>
      <c r="C607" s="6" t="str">
        <f aca="false">INDEX(Grades_Realms!$B$2:$B$43, B607)</f>
        <v>Spirit Severing · Initial</v>
      </c>
      <c r="D607" s="6" t="n">
        <f aca="false">(A607+1)^2.4 * 1.004^A607</f>
        <v>53312684.0041646</v>
      </c>
      <c r="E607" s="6" t="n">
        <f aca="false">$I$2*(A607+1)^1.9*1.003^A607</f>
        <v>511.945320304283</v>
      </c>
      <c r="F607" s="6" t="n">
        <f aca="false">(A607+1)^1.12</f>
        <v>1307.28217355626</v>
      </c>
      <c r="G607" s="6" t="n">
        <f aca="false">G606+E607</f>
        <v>71421.5204810613</v>
      </c>
    </row>
    <row r="608" customFormat="false" ht="15" hidden="false" customHeight="true" outlineLevel="0" collapsed="false">
      <c r="A608" s="6" t="n">
        <v>606</v>
      </c>
      <c r="B608" s="6" t="n">
        <f aca="false">MIN(42, FLOOR(A608/32,1)+1)</f>
        <v>19</v>
      </c>
      <c r="C608" s="6" t="str">
        <f aca="false">INDEX(Grades_Realms!$B$2:$B$43, B608)</f>
        <v>Spirit Severing · Initial</v>
      </c>
      <c r="D608" s="6" t="n">
        <f aca="false">(A608+1)^2.4 * 1.004^A608</f>
        <v>53738163.559896</v>
      </c>
      <c r="E608" s="6" t="n">
        <f aca="false">$I$2*(A608+1)^1.9*1.003^A608</f>
        <v>515.092276105229</v>
      </c>
      <c r="F608" s="6" t="n">
        <f aca="false">(A608+1)^1.12</f>
        <v>1309.69851172493</v>
      </c>
      <c r="G608" s="6" t="n">
        <f aca="false">G607+E608</f>
        <v>71936.6127571666</v>
      </c>
    </row>
    <row r="609" customFormat="false" ht="15" hidden="false" customHeight="true" outlineLevel="0" collapsed="false">
      <c r="A609" s="6" t="n">
        <v>607</v>
      </c>
      <c r="B609" s="6" t="n">
        <f aca="false">MIN(42, FLOOR(A609/32,1)+1)</f>
        <v>19</v>
      </c>
      <c r="C609" s="6" t="str">
        <f aca="false">INDEX(Grades_Realms!$B$2:$B$43, B609)</f>
        <v>Spirit Severing · Initial</v>
      </c>
      <c r="D609" s="6" t="n">
        <f aca="false">(A609+1)^2.4 * 1.004^A609</f>
        <v>54166685.9641994</v>
      </c>
      <c r="E609" s="6" t="n">
        <f aca="false">$I$2*(A609+1)^1.9*1.003^A609</f>
        <v>518.25590388757</v>
      </c>
      <c r="F609" s="6" t="n">
        <f aca="false">(A609+1)^1.12</f>
        <v>1312.11532763555</v>
      </c>
      <c r="G609" s="6" t="n">
        <f aca="false">G608+E609</f>
        <v>72454.8686610541</v>
      </c>
    </row>
    <row r="610" customFormat="false" ht="15" hidden="false" customHeight="true" outlineLevel="0" collapsed="false">
      <c r="A610" s="6" t="n">
        <v>608</v>
      </c>
      <c r="B610" s="6" t="n">
        <f aca="false">MIN(42, FLOOR(A610/32,1)+1)</f>
        <v>20</v>
      </c>
      <c r="C610" s="6" t="str">
        <f aca="false">INDEX(Grades_Realms!$B$2:$B$43, B610)</f>
        <v>Spirit Severing · Advanced</v>
      </c>
      <c r="D610" s="6" t="n">
        <f aca="false">(A610+1)^2.4 * 1.004^A610</f>
        <v>54598271.0456146</v>
      </c>
      <c r="E610" s="6" t="n">
        <f aca="false">$I$2*(A610+1)^1.9*1.003^A610</f>
        <v>521.436282158012</v>
      </c>
      <c r="F610" s="6" t="n">
        <f aca="false">(A610+1)^1.12</f>
        <v>1314.53262059659</v>
      </c>
      <c r="G610" s="6" t="n">
        <f aca="false">G609+E610</f>
        <v>72976.3049432122</v>
      </c>
    </row>
    <row r="611" customFormat="false" ht="15" hidden="false" customHeight="true" outlineLevel="0" collapsed="false">
      <c r="A611" s="6" t="n">
        <v>609</v>
      </c>
      <c r="B611" s="6" t="n">
        <f aca="false">MIN(42, FLOOR(A611/32,1)+1)</f>
        <v>20</v>
      </c>
      <c r="C611" s="6" t="str">
        <f aca="false">INDEX(Grades_Realms!$B$2:$B$43, B611)</f>
        <v>Spirit Severing · Advanced</v>
      </c>
      <c r="D611" s="6" t="n">
        <f aca="false">(A611+1)^2.4 * 1.004^A611</f>
        <v>55032938.7527768</v>
      </c>
      <c r="E611" s="6" t="n">
        <f aca="false">$I$2*(A611+1)^1.9*1.003^A611</f>
        <v>524.633489764175</v>
      </c>
      <c r="F611" s="6" t="n">
        <f aca="false">(A611+1)^1.12</f>
        <v>1316.95038991864</v>
      </c>
      <c r="G611" s="6" t="n">
        <f aca="false">G610+E611</f>
        <v>73500.9384329763</v>
      </c>
    </row>
    <row r="612" customFormat="false" ht="15" hidden="false" customHeight="true" outlineLevel="0" collapsed="false">
      <c r="A612" s="6" t="n">
        <v>610</v>
      </c>
      <c r="B612" s="6" t="n">
        <f aca="false">MIN(42, FLOOR(A612/32,1)+1)</f>
        <v>20</v>
      </c>
      <c r="C612" s="6" t="str">
        <f aca="false">INDEX(Grades_Realms!$B$2:$B$43, B612)</f>
        <v>Spirit Severing · Advanced</v>
      </c>
      <c r="D612" s="6" t="n">
        <f aca="false">(A612+1)^2.4 * 1.004^A612</f>
        <v>55470709.1551045</v>
      </c>
      <c r="E612" s="6" t="n">
        <f aca="false">$I$2*(A612+1)^1.9*1.003^A612</f>
        <v>527.847605895992</v>
      </c>
      <c r="F612" s="6" t="n">
        <f aca="false">(A612+1)^1.12</f>
        <v>1319.36863491444</v>
      </c>
      <c r="G612" s="6" t="n">
        <f aca="false">G611+E612</f>
        <v>74028.7860388723</v>
      </c>
    </row>
    <row r="613" customFormat="false" ht="15" hidden="false" customHeight="true" outlineLevel="0" collapsed="false">
      <c r="A613" s="6" t="n">
        <v>611</v>
      </c>
      <c r="B613" s="6" t="n">
        <f aca="false">MIN(42, FLOOR(A613/32,1)+1)</f>
        <v>20</v>
      </c>
      <c r="C613" s="6" t="str">
        <f aca="false">INDEX(Grades_Realms!$B$2:$B$43, B613)</f>
        <v>Spirit Severing · Advanced</v>
      </c>
      <c r="D613" s="6" t="n">
        <f aca="false">(A613+1)^2.4 * 1.004^A613</f>
        <v>55911602.443491</v>
      </c>
      <c r="E613" s="6" t="n">
        <f aca="false">$I$2*(A613+1)^1.9*1.003^A613</f>
        <v>531.078710087108</v>
      </c>
      <c r="F613" s="6" t="n">
        <f aca="false">(A613+1)^1.12</f>
        <v>1321.7873548988</v>
      </c>
      <c r="G613" s="6" t="n">
        <f aca="false">G612+E613</f>
        <v>74559.8647489594</v>
      </c>
    </row>
    <row r="614" customFormat="false" ht="15" hidden="false" customHeight="true" outlineLevel="0" collapsed="false">
      <c r="A614" s="6" t="n">
        <v>612</v>
      </c>
      <c r="B614" s="6" t="n">
        <f aca="false">MIN(42, FLOOR(A614/32,1)+1)</f>
        <v>20</v>
      </c>
      <c r="C614" s="6" t="str">
        <f aca="false">INDEX(Grades_Realms!$B$2:$B$43, B614)</f>
        <v>Spirit Severing · Advanced</v>
      </c>
      <c r="D614" s="6" t="n">
        <f aca="false">(A614+1)^2.4 * 1.004^A614</f>
        <v>56355638.9309994</v>
      </c>
      <c r="E614" s="6" t="n">
        <f aca="false">$I$2*(A614+1)^1.9*1.003^A614</f>
        <v>534.326882216293</v>
      </c>
      <c r="F614" s="6" t="n">
        <f aca="false">(A614+1)^1.12</f>
        <v>1324.20654918869</v>
      </c>
      <c r="G614" s="6" t="n">
        <f aca="false">G613+E614</f>
        <v>75094.1916311757</v>
      </c>
    </row>
    <row r="615" customFormat="false" ht="15" hidden="false" customHeight="true" outlineLevel="0" collapsed="false">
      <c r="A615" s="6" t="n">
        <v>613</v>
      </c>
      <c r="B615" s="6" t="n">
        <f aca="false">MIN(42, FLOOR(A615/32,1)+1)</f>
        <v>20</v>
      </c>
      <c r="C615" s="6" t="str">
        <f aca="false">INDEX(Grades_Realms!$B$2:$B$43, B615)</f>
        <v>Spirit Severing · Advanced</v>
      </c>
      <c r="D615" s="6" t="n">
        <f aca="false">(A615+1)^2.4 * 1.004^A615</f>
        <v>56802839.0535614</v>
      </c>
      <c r="E615" s="6" t="n">
        <f aca="false">$I$2*(A615+1)^1.9*1.003^A615</f>
        <v>537.592202508851</v>
      </c>
      <c r="F615" s="6" t="n">
        <f aca="false">(A615+1)^1.12</f>
        <v>1326.62621710313</v>
      </c>
      <c r="G615" s="6" t="n">
        <f aca="false">G614+E615</f>
        <v>75631.7838336846</v>
      </c>
    </row>
    <row r="616" customFormat="false" ht="15" hidden="false" customHeight="true" outlineLevel="0" collapsed="false">
      <c r="A616" s="6" t="n">
        <v>614</v>
      </c>
      <c r="B616" s="6" t="n">
        <f aca="false">MIN(42, FLOOR(A616/32,1)+1)</f>
        <v>20</v>
      </c>
      <c r="C616" s="6" t="str">
        <f aca="false">INDEX(Grades_Realms!$B$2:$B$43, B616)</f>
        <v>Spirit Severing · Advanced</v>
      </c>
      <c r="D616" s="6" t="n">
        <f aca="false">(A616+1)^2.4 * 1.004^A616</f>
        <v>57253223.3706802</v>
      </c>
      <c r="E616" s="6" t="n">
        <f aca="false">$I$2*(A616+1)^1.9*1.003^A616</f>
        <v>540.87475153804</v>
      </c>
      <c r="F616" s="6" t="n">
        <f aca="false">(A616+1)^1.12</f>
        <v>1329.04635796325</v>
      </c>
      <c r="G616" s="6" t="n">
        <f aca="false">G615+E616</f>
        <v>76172.6585852226</v>
      </c>
    </row>
    <row r="617" customFormat="false" ht="15" hidden="false" customHeight="true" outlineLevel="0" collapsed="false">
      <c r="A617" s="6" t="n">
        <v>615</v>
      </c>
      <c r="B617" s="6" t="n">
        <f aca="false">MIN(42, FLOOR(A617/32,1)+1)</f>
        <v>20</v>
      </c>
      <c r="C617" s="6" t="str">
        <f aca="false">INDEX(Grades_Realms!$B$2:$B$43, B617)</f>
        <v>Spirit Severing · Advanced</v>
      </c>
      <c r="D617" s="6" t="n">
        <f aca="false">(A617+1)^2.4 * 1.004^A617</f>
        <v>57706812.5661376</v>
      </c>
      <c r="E617" s="6" t="n">
        <f aca="false">$I$2*(A617+1)^1.9*1.003^A617</f>
        <v>544.1746102265</v>
      </c>
      <c r="F617" s="6" t="n">
        <f aca="false">(A617+1)^1.12</f>
        <v>1331.46697109225</v>
      </c>
      <c r="G617" s="6" t="n">
        <f aca="false">G616+E617</f>
        <v>76716.8331954491</v>
      </c>
    </row>
    <row r="618" customFormat="false" ht="15" hidden="false" customHeight="true" outlineLevel="0" collapsed="false">
      <c r="A618" s="6" t="n">
        <v>616</v>
      </c>
      <c r="B618" s="6" t="n">
        <f aca="false">MIN(42, FLOOR(A618/32,1)+1)</f>
        <v>20</v>
      </c>
      <c r="C618" s="6" t="str">
        <f aca="false">INDEX(Grades_Realms!$B$2:$B$43, B618)</f>
        <v>Spirit Severing · Advanced</v>
      </c>
      <c r="D618" s="6" t="n">
        <f aca="false">(A618+1)^2.4 * 1.004^A618</f>
        <v>58163627.4487035</v>
      </c>
      <c r="E618" s="6" t="n">
        <f aca="false">$I$2*(A618+1)^1.9*1.003^A618</f>
        <v>547.491859847676</v>
      </c>
      <c r="F618" s="6" t="n">
        <f aca="false">(A618+1)^1.12</f>
        <v>1333.88805581538</v>
      </c>
      <c r="G618" s="6" t="n">
        <f aca="false">G617+E618</f>
        <v>77264.3250552968</v>
      </c>
    </row>
    <row r="619" customFormat="false" ht="15" hidden="false" customHeight="true" outlineLevel="0" collapsed="false">
      <c r="A619" s="6" t="n">
        <v>617</v>
      </c>
      <c r="B619" s="6" t="n">
        <f aca="false">MIN(42, FLOOR(A619/32,1)+1)</f>
        <v>20</v>
      </c>
      <c r="C619" s="6" t="str">
        <f aca="false">INDEX(Grades_Realms!$B$2:$B$43, B619)</f>
        <v>Spirit Severing · Advanced</v>
      </c>
      <c r="D619" s="6" t="n">
        <f aca="false">(A619+1)^2.4 * 1.004^A619</f>
        <v>58623688.9528514</v>
      </c>
      <c r="E619" s="6" t="n">
        <f aca="false">$I$2*(A619+1)^1.9*1.003^A619</f>
        <v>550.826582027264</v>
      </c>
      <c r="F619" s="6" t="n">
        <f aca="false">(A619+1)^1.12</f>
        <v>1336.30961145998</v>
      </c>
      <c r="G619" s="6" t="n">
        <f aca="false">G618+E619</f>
        <v>77815.1516373241</v>
      </c>
    </row>
    <row r="620" customFormat="false" ht="15" hidden="false" customHeight="true" outlineLevel="0" collapsed="false">
      <c r="A620" s="6" t="n">
        <v>618</v>
      </c>
      <c r="B620" s="6" t="n">
        <f aca="false">MIN(42, FLOOR(A620/32,1)+1)</f>
        <v>20</v>
      </c>
      <c r="C620" s="6" t="str">
        <f aca="false">INDEX(Grades_Realms!$B$2:$B$43, B620)</f>
        <v>Spirit Severing · Advanced</v>
      </c>
      <c r="D620" s="6" t="n">
        <f aca="false">(A620+1)^2.4 * 1.004^A620</f>
        <v>59087018.1394759</v>
      </c>
      <c r="E620" s="6" t="n">
        <f aca="false">$I$2*(A620+1)^1.9*1.003^A620</f>
        <v>554.178858744641</v>
      </c>
      <c r="F620" s="6" t="n">
        <f aca="false">(A620+1)^1.12</f>
        <v>1338.7316373554</v>
      </c>
      <c r="G620" s="6" t="n">
        <f aca="false">G619+E620</f>
        <v>78369.3304960687</v>
      </c>
    </row>
    <row r="621" customFormat="false" ht="15" hidden="false" customHeight="true" outlineLevel="0" collapsed="false">
      <c r="A621" s="6" t="n">
        <v>619</v>
      </c>
      <c r="B621" s="6" t="n">
        <f aca="false">MIN(42, FLOOR(A621/32,1)+1)</f>
        <v>20</v>
      </c>
      <c r="C621" s="6" t="str">
        <f aca="false">INDEX(Grades_Realms!$B$2:$B$43, B621)</f>
        <v>Spirit Severing · Advanced</v>
      </c>
      <c r="D621" s="6" t="n">
        <f aca="false">(A621+1)^2.4 * 1.004^A621</f>
        <v>59553636.1966153</v>
      </c>
      <c r="E621" s="6" t="n">
        <f aca="false">$I$2*(A621+1)^1.9*1.003^A621</f>
        <v>557.548772334321</v>
      </c>
      <c r="F621" s="6" t="n">
        <f aca="false">(A621+1)^1.12</f>
        <v>1341.15413283305</v>
      </c>
      <c r="G621" s="6" t="n">
        <f aca="false">G620+E621</f>
        <v>78926.879268403</v>
      </c>
    </row>
    <row r="622" customFormat="false" ht="15" hidden="false" customHeight="true" outlineLevel="0" collapsed="false">
      <c r="A622" s="6" t="n">
        <v>620</v>
      </c>
      <c r="B622" s="6" t="n">
        <f aca="false">MIN(42, FLOOR(A622/32,1)+1)</f>
        <v>20</v>
      </c>
      <c r="C622" s="6" t="str">
        <f aca="false">INDEX(Grades_Realms!$B$2:$B$43, B622)</f>
        <v>Spirit Severing · Advanced</v>
      </c>
      <c r="D622" s="6" t="n">
        <f aca="false">(A622+1)^2.4 * 1.004^A622</f>
        <v>60023564.4401776</v>
      </c>
      <c r="E622" s="6" t="n">
        <f aca="false">$I$2*(A622+1)^1.9*1.003^A622</f>
        <v>560.936405487405</v>
      </c>
      <c r="F622" s="6" t="n">
        <f aca="false">(A622+1)^1.12</f>
        <v>1343.57709722636</v>
      </c>
      <c r="G622" s="6" t="n">
        <f aca="false">G621+E622</f>
        <v>79487.8156738904</v>
      </c>
    </row>
    <row r="623" customFormat="false" ht="15" hidden="false" customHeight="true" outlineLevel="0" collapsed="false">
      <c r="A623" s="6" t="n">
        <v>621</v>
      </c>
      <c r="B623" s="6" t="n">
        <f aca="false">MIN(42, FLOOR(A623/32,1)+1)</f>
        <v>20</v>
      </c>
      <c r="C623" s="6" t="str">
        <f aca="false">INDEX(Grades_Realms!$B$2:$B$43, B623)</f>
        <v>Spirit Severing · Advanced</v>
      </c>
      <c r="D623" s="6" t="n">
        <f aca="false">(A623+1)^2.4 * 1.004^A623</f>
        <v>60496824.3146709</v>
      </c>
      <c r="E623" s="6" t="n">
        <f aca="false">$I$2*(A623+1)^1.9*1.003^A623</f>
        <v>564.341841253037</v>
      </c>
      <c r="F623" s="6" t="n">
        <f aca="false">(A623+1)^1.12</f>
        <v>1346.00052987078</v>
      </c>
      <c r="G623" s="6" t="n">
        <f aca="false">G622+E623</f>
        <v>80052.1575151435</v>
      </c>
    </row>
    <row r="624" customFormat="false" ht="15" hidden="false" customHeight="true" outlineLevel="0" collapsed="false">
      <c r="A624" s="6" t="n">
        <v>622</v>
      </c>
      <c r="B624" s="6" t="n">
        <f aca="false">MIN(42, FLOOR(A624/32,1)+1)</f>
        <v>20</v>
      </c>
      <c r="C624" s="6" t="str">
        <f aca="false">INDEX(Grades_Realms!$B$2:$B$43, B624)</f>
        <v>Spirit Severing · Advanced</v>
      </c>
      <c r="D624" s="6" t="n">
        <f aca="false">(A624+1)^2.4 * 1.004^A624</f>
        <v>60973437.3939374</v>
      </c>
      <c r="E624" s="6" t="n">
        <f aca="false">$I$2*(A624+1)^1.9*1.003^A624</f>
        <v>567.765163039871</v>
      </c>
      <c r="F624" s="6" t="n">
        <f aca="false">(A624+1)^1.12</f>
        <v>1348.42443010377</v>
      </c>
      <c r="G624" s="6" t="n">
        <f aca="false">G623+E624</f>
        <v>80619.9226781833</v>
      </c>
    </row>
    <row r="625" customFormat="false" ht="15" hidden="false" customHeight="true" outlineLevel="0" collapsed="false">
      <c r="A625" s="6" t="n">
        <v>623</v>
      </c>
      <c r="B625" s="6" t="n">
        <f aca="false">MIN(42, FLOOR(A625/32,1)+1)</f>
        <v>20</v>
      </c>
      <c r="C625" s="6" t="str">
        <f aca="false">INDEX(Grades_Realms!$B$2:$B$43, B625)</f>
        <v>Spirit Severing · Advanced</v>
      </c>
      <c r="D625" s="6" t="n">
        <f aca="false">(A625+1)^2.4 * 1.004^A625</f>
        <v>61453425.3818915</v>
      </c>
      <c r="E625" s="6" t="n">
        <f aca="false">$I$2*(A625+1)^1.9*1.003^A625</f>
        <v>571.206454617542</v>
      </c>
      <c r="F625" s="6" t="n">
        <f aca="false">(A625+1)^1.12</f>
        <v>1350.84879726479</v>
      </c>
      <c r="G625" s="6" t="n">
        <f aca="false">G624+E625</f>
        <v>81191.1291328009</v>
      </c>
    </row>
    <row r="626" customFormat="false" ht="15" hidden="false" customHeight="true" outlineLevel="0" collapsed="false">
      <c r="A626" s="6" t="n">
        <v>624</v>
      </c>
      <c r="B626" s="6" t="n">
        <f aca="false">MIN(42, FLOOR(A626/32,1)+1)</f>
        <v>20</v>
      </c>
      <c r="C626" s="6" t="str">
        <f aca="false">INDEX(Grades_Realms!$B$2:$B$43, B626)</f>
        <v>Spirit Severing · Advanced</v>
      </c>
      <c r="D626" s="6" t="n">
        <f aca="false">(A626+1)^2.4 * 1.004^A626</f>
        <v>61936810.113262</v>
      </c>
      <c r="E626" s="6" t="n">
        <f aca="false">$I$2*(A626+1)^1.9*1.003^A626</f>
        <v>574.665800118136</v>
      </c>
      <c r="F626" s="6" t="n">
        <f aca="false">(A626+1)^1.12</f>
        <v>1353.27363069528</v>
      </c>
      <c r="G626" s="6" t="n">
        <f aca="false">G625+E626</f>
        <v>81765.794932919</v>
      </c>
    </row>
    <row r="627" customFormat="false" ht="15" hidden="false" customHeight="true" outlineLevel="0" collapsed="false">
      <c r="A627" s="6" t="n">
        <v>625</v>
      </c>
      <c r="B627" s="6" t="n">
        <f aca="false">MIN(42, FLOOR(A627/32,1)+1)</f>
        <v>20</v>
      </c>
      <c r="C627" s="6" t="str">
        <f aca="false">INDEX(Grades_Realms!$B$2:$B$43, B627)</f>
        <v>Spirit Severing · Advanced</v>
      </c>
      <c r="D627" s="6" t="n">
        <f aca="false">(A627+1)^2.4 * 1.004^A627</f>
        <v>62423613.5543384</v>
      </c>
      <c r="E627" s="6" t="n">
        <f aca="false">$I$2*(A627+1)^1.9*1.003^A627</f>
        <v>578.14328403768</v>
      </c>
      <c r="F627" s="6" t="n">
        <f aca="false">(A627+1)^1.12</f>
        <v>1355.69892973868</v>
      </c>
      <c r="G627" s="6" t="n">
        <f aca="false">G626+E627</f>
        <v>82343.9382169567</v>
      </c>
    </row>
    <row r="628" customFormat="false" ht="15" hidden="false" customHeight="true" outlineLevel="0" collapsed="false">
      <c r="A628" s="6" t="n">
        <v>626</v>
      </c>
      <c r="B628" s="6" t="n">
        <f aca="false">MIN(42, FLOOR(A628/32,1)+1)</f>
        <v>20</v>
      </c>
      <c r="C628" s="6" t="str">
        <f aca="false">INDEX(Grades_Realms!$B$2:$B$43, B628)</f>
        <v>Spirit Severing · Advanced</v>
      </c>
      <c r="D628" s="6" t="n">
        <f aca="false">(A628+1)^2.4 * 1.004^A628</f>
        <v>62913857.8037215</v>
      </c>
      <c r="E628" s="6" t="n">
        <f aca="false">$I$2*(A628+1)^1.9*1.003^A628</f>
        <v>581.638991237621</v>
      </c>
      <c r="F628" s="6" t="n">
        <f aca="false">(A628+1)^1.12</f>
        <v>1358.12469374037</v>
      </c>
      <c r="G628" s="6" t="n">
        <f aca="false">G627+E628</f>
        <v>82925.5772081943</v>
      </c>
    </row>
    <row r="629" customFormat="false" ht="15" hidden="false" customHeight="true" outlineLevel="0" collapsed="false">
      <c r="A629" s="6" t="n">
        <v>627</v>
      </c>
      <c r="B629" s="6" t="n">
        <f aca="false">MIN(42, FLOOR(A629/32,1)+1)</f>
        <v>20</v>
      </c>
      <c r="C629" s="6" t="str">
        <f aca="false">INDEX(Grades_Realms!$B$2:$B$43, B629)</f>
        <v>Spirit Severing · Advanced</v>
      </c>
      <c r="D629" s="6" t="n">
        <f aca="false">(A629+1)^2.4 * 1.004^A629</f>
        <v>63407565.0930773</v>
      </c>
      <c r="E629" s="6" t="n">
        <f aca="false">$I$2*(A629+1)^1.9*1.003^A629</f>
        <v>585.153006946323</v>
      </c>
      <c r="F629" s="6" t="n">
        <f aca="false">(A629+1)^1.12</f>
        <v>1360.55092204774</v>
      </c>
      <c r="G629" s="6" t="n">
        <f aca="false">G628+E629</f>
        <v>83510.7302151406</v>
      </c>
    </row>
    <row r="630" customFormat="false" ht="15" hidden="false" customHeight="true" outlineLevel="0" collapsed="false">
      <c r="A630" s="6" t="n">
        <v>628</v>
      </c>
      <c r="B630" s="6" t="n">
        <f aca="false">MIN(42, FLOOR(A630/32,1)+1)</f>
        <v>20</v>
      </c>
      <c r="C630" s="6" t="str">
        <f aca="false">INDEX(Grades_Realms!$B$2:$B$43, B630)</f>
        <v>Spirit Severing · Advanced</v>
      </c>
      <c r="D630" s="6" t="n">
        <f aca="false">(A630+1)^2.4 * 1.004^A630</f>
        <v>63904757.7878959</v>
      </c>
      <c r="E630" s="6" t="n">
        <f aca="false">$I$2*(A630+1)^1.9*1.003^A630</f>
        <v>588.685416760569</v>
      </c>
      <c r="F630" s="6" t="n">
        <f aca="false">(A630+1)^1.12</f>
        <v>1362.97761401009</v>
      </c>
      <c r="G630" s="6" t="n">
        <f aca="false">G629+E630</f>
        <v>84099.4156319012</v>
      </c>
    </row>
    <row r="631" customFormat="false" ht="15" hidden="false" customHeight="true" outlineLevel="0" collapsed="false">
      <c r="A631" s="6" t="n">
        <v>629</v>
      </c>
      <c r="B631" s="6" t="n">
        <f aca="false">MIN(42, FLOOR(A631/32,1)+1)</f>
        <v>20</v>
      </c>
      <c r="C631" s="6" t="str">
        <f aca="false">INDEX(Grades_Realms!$B$2:$B$43, B631)</f>
        <v>Spirit Severing · Advanced</v>
      </c>
      <c r="D631" s="6" t="n">
        <f aca="false">(A631+1)^2.4 * 1.004^A631</f>
        <v>64405458.3882542</v>
      </c>
      <c r="E631" s="6" t="n">
        <f aca="false">$I$2*(A631+1)^1.9*1.003^A631</f>
        <v>592.236306647059</v>
      </c>
      <c r="F631" s="6" t="n">
        <f aca="false">(A631+1)^1.12</f>
        <v>1365.40476897869</v>
      </c>
      <c r="G631" s="6" t="n">
        <f aca="false">G630+E631</f>
        <v>84691.6519385482</v>
      </c>
    </row>
    <row r="632" customFormat="false" ht="15" hidden="false" customHeight="true" outlineLevel="0" collapsed="false">
      <c r="A632" s="6" t="n">
        <v>630</v>
      </c>
      <c r="B632" s="6" t="n">
        <f aca="false">MIN(42, FLOOR(A632/32,1)+1)</f>
        <v>20</v>
      </c>
      <c r="C632" s="6" t="str">
        <f aca="false">INDEX(Grades_Realms!$B$2:$B$43, B632)</f>
        <v>Spirit Severing · Advanced</v>
      </c>
      <c r="D632" s="6" t="n">
        <f aca="false">(A632+1)^2.4 * 1.004^A632</f>
        <v>64909689.5295824</v>
      </c>
      <c r="E632" s="6" t="n">
        <f aca="false">$I$2*(A632+1)^1.9*1.003^A632</f>
        <v>595.805762943925</v>
      </c>
      <c r="F632" s="6" t="n">
        <f aca="false">(A632+1)^1.12</f>
        <v>1367.83238630673</v>
      </c>
      <c r="G632" s="6" t="n">
        <f aca="false">G631+E632</f>
        <v>85287.4577014922</v>
      </c>
    </row>
    <row r="633" customFormat="false" ht="15" hidden="false" customHeight="true" outlineLevel="0" collapsed="false">
      <c r="A633" s="6" t="n">
        <v>631</v>
      </c>
      <c r="B633" s="6" t="n">
        <f aca="false">MIN(42, FLOOR(A633/32,1)+1)</f>
        <v>20</v>
      </c>
      <c r="C633" s="6" t="str">
        <f aca="false">INDEX(Grades_Realms!$B$2:$B$43, B633)</f>
        <v>Spirit Severing · Advanced</v>
      </c>
      <c r="D633" s="6" t="n">
        <f aca="false">(A633+1)^2.4 * 1.004^A633</f>
        <v>65417473.9834357</v>
      </c>
      <c r="E633" s="6" t="n">
        <f aca="false">$I$2*(A633+1)^1.9*1.003^A633</f>
        <v>599.393872362249</v>
      </c>
      <c r="F633" s="6" t="n">
        <f aca="false">(A633+1)^1.12</f>
        <v>1370.26046534935</v>
      </c>
      <c r="G633" s="6" t="n">
        <f aca="false">G632+E633</f>
        <v>85886.8515738544</v>
      </c>
    </row>
    <row r="634" customFormat="false" ht="15" hidden="false" customHeight="true" outlineLevel="0" collapsed="false">
      <c r="A634" s="6" t="n">
        <v>632</v>
      </c>
      <c r="B634" s="6" t="n">
        <f aca="false">MIN(42, FLOOR(A634/32,1)+1)</f>
        <v>20</v>
      </c>
      <c r="C634" s="6" t="str">
        <f aca="false">INDEX(Grades_Realms!$B$2:$B$43, B634)</f>
        <v>Spirit Severing · Advanced</v>
      </c>
      <c r="D634" s="6" t="n">
        <f aca="false">(A634+1)^2.4 * 1.004^A634</f>
        <v>65928834.6582688</v>
      </c>
      <c r="E634" s="6" t="n">
        <f aca="false">$I$2*(A634+1)^1.9*1.003^A634</f>
        <v>603.000721987582</v>
      </c>
      <c r="F634" s="6" t="n">
        <f aca="false">(A634+1)^1.12</f>
        <v>1372.68900546359</v>
      </c>
      <c r="G634" s="6" t="n">
        <f aca="false">G633+E634</f>
        <v>86489.852295842</v>
      </c>
    </row>
    <row r="635" customFormat="false" ht="15" hidden="false" customHeight="true" outlineLevel="0" collapsed="false">
      <c r="A635" s="6" t="n">
        <v>633</v>
      </c>
      <c r="B635" s="6" t="n">
        <f aca="false">MIN(42, FLOOR(A635/32,1)+1)</f>
        <v>20</v>
      </c>
      <c r="C635" s="6" t="str">
        <f aca="false">INDEX(Grades_Realms!$B$2:$B$43, B635)</f>
        <v>Spirit Severing · Advanced</v>
      </c>
      <c r="D635" s="6" t="n">
        <f aca="false">(A635+1)^2.4 * 1.004^A635</f>
        <v>66443794.600216</v>
      </c>
      <c r="E635" s="6" t="n">
        <f aca="false">$I$2*(A635+1)^1.9*1.003^A635</f>
        <v>606.626399281473</v>
      </c>
      <c r="F635" s="6" t="n">
        <f aca="false">(A635+1)^1.12</f>
        <v>1375.1180060084</v>
      </c>
      <c r="G635" s="6" t="n">
        <f aca="false">G634+E635</f>
        <v>87096.4786951235</v>
      </c>
    </row>
    <row r="636" customFormat="false" ht="15" hidden="false" customHeight="true" outlineLevel="0" collapsed="false">
      <c r="A636" s="6" t="n">
        <v>634</v>
      </c>
      <c r="B636" s="6" t="n">
        <f aca="false">MIN(42, FLOOR(A636/32,1)+1)</f>
        <v>20</v>
      </c>
      <c r="C636" s="6" t="str">
        <f aca="false">INDEX(Grades_Realms!$B$2:$B$43, B636)</f>
        <v>Spirit Severing · Advanced</v>
      </c>
      <c r="D636" s="6" t="n">
        <f aca="false">(A636+1)^2.4 * 1.004^A636</f>
        <v>66962376.9938745</v>
      </c>
      <c r="E636" s="6" t="n">
        <f aca="false">$I$2*(A636+1)^1.9*1.003^A636</f>
        <v>610.270992083008</v>
      </c>
      <c r="F636" s="6" t="n">
        <f aca="false">(A636+1)^1.12</f>
        <v>1377.54746634464</v>
      </c>
      <c r="G636" s="6" t="n">
        <f aca="false">G635+E636</f>
        <v>87706.7496872065</v>
      </c>
    </row>
    <row r="637" customFormat="false" ht="15" hidden="false" customHeight="true" outlineLevel="0" collapsed="false">
      <c r="A637" s="6" t="n">
        <v>635</v>
      </c>
      <c r="B637" s="6" t="n">
        <f aca="false">MIN(42, FLOOR(A637/32,1)+1)</f>
        <v>20</v>
      </c>
      <c r="C637" s="6" t="str">
        <f aca="false">INDEX(Grades_Realms!$B$2:$B$43, B637)</f>
        <v>Spirit Severing · Advanced</v>
      </c>
      <c r="D637" s="6" t="n">
        <f aca="false">(A637+1)^2.4 * 1.004^A637</f>
        <v>67484605.1630928</v>
      </c>
      <c r="E637" s="6" t="n">
        <f aca="false">$I$2*(A637+1)^1.9*1.003^A637</f>
        <v>613.934588610343</v>
      </c>
      <c r="F637" s="6" t="n">
        <f aca="false">(A637+1)^1.12</f>
        <v>1379.97738583506</v>
      </c>
      <c r="G637" s="6" t="n">
        <f aca="false">G636+E637</f>
        <v>88320.6842758168</v>
      </c>
    </row>
    <row r="638" customFormat="false" ht="15" hidden="false" customHeight="true" outlineLevel="0" collapsed="false">
      <c r="A638" s="6" t="n">
        <v>636</v>
      </c>
      <c r="B638" s="6" t="n">
        <f aca="false">MIN(42, FLOOR(A638/32,1)+1)</f>
        <v>20</v>
      </c>
      <c r="C638" s="6" t="str">
        <f aca="false">INDEX(Grades_Realms!$B$2:$B$43, B638)</f>
        <v>Spirit Severing · Advanced</v>
      </c>
      <c r="D638" s="6" t="n">
        <f aca="false">(A638+1)^2.4 * 1.004^A638</f>
        <v>68010502.5717625</v>
      </c>
      <c r="E638" s="6" t="n">
        <f aca="false">$I$2*(A638+1)^1.9*1.003^A638</f>
        <v>617.617277462259</v>
      </c>
      <c r="F638" s="6" t="n">
        <f aca="false">(A638+1)^1.12</f>
        <v>1382.40776384428</v>
      </c>
      <c r="G638" s="6" t="n">
        <f aca="false">G637+E638</f>
        <v>88938.3015532791</v>
      </c>
    </row>
    <row r="639" customFormat="false" ht="15" hidden="false" customHeight="true" outlineLevel="0" collapsed="false">
      <c r="A639" s="6" t="n">
        <v>637</v>
      </c>
      <c r="B639" s="6" t="n">
        <f aca="false">MIN(42, FLOOR(A639/32,1)+1)</f>
        <v>20</v>
      </c>
      <c r="C639" s="6" t="str">
        <f aca="false">INDEX(Grades_Realms!$B$2:$B$43, B639)</f>
        <v>Spirit Severing · Advanced</v>
      </c>
      <c r="D639" s="6" t="n">
        <f aca="false">(A639+1)^2.4 * 1.004^A639</f>
        <v>68540092.8246154</v>
      </c>
      <c r="E639" s="6" t="n">
        <f aca="false">$I$2*(A639+1)^1.9*1.003^A639</f>
        <v>621.319147619708</v>
      </c>
      <c r="F639" s="6" t="n">
        <f aca="false">(A639+1)^1.12</f>
        <v>1384.83859973883</v>
      </c>
      <c r="G639" s="6" t="n">
        <f aca="false">G638+E639</f>
        <v>89559.6207008988</v>
      </c>
    </row>
    <row r="640" customFormat="false" ht="15" hidden="false" customHeight="true" outlineLevel="0" collapsed="false">
      <c r="A640" s="6" t="n">
        <v>638</v>
      </c>
      <c r="B640" s="6" t="n">
        <f aca="false">MIN(42, FLOOR(A640/32,1)+1)</f>
        <v>20</v>
      </c>
      <c r="C640" s="6" t="str">
        <f aca="false">INDEX(Grades_Realms!$B$2:$B$43, B640)</f>
        <v>Spirit Severing · Advanced</v>
      </c>
      <c r="D640" s="6" t="n">
        <f aca="false">(A640+1)^2.4 * 1.004^A640</f>
        <v>69073399.6680244</v>
      </c>
      <c r="E640" s="6" t="n">
        <f aca="false">$I$2*(A640+1)^1.9*1.003^A640</f>
        <v>625.040288447375</v>
      </c>
      <c r="F640" s="6" t="n">
        <f aca="false">(A640+1)^1.12</f>
        <v>1387.26989288705</v>
      </c>
      <c r="G640" s="6" t="n">
        <f aca="false">G639+E640</f>
        <v>90184.6609893462</v>
      </c>
    </row>
    <row r="641" customFormat="false" ht="15" hidden="false" customHeight="true" outlineLevel="0" collapsed="false">
      <c r="A641" s="6" t="n">
        <v>639</v>
      </c>
      <c r="B641" s="6" t="n">
        <f aca="false">MIN(42, FLOOR(A641/32,1)+1)</f>
        <v>20</v>
      </c>
      <c r="C641" s="6" t="str">
        <f aca="false">INDEX(Grades_Realms!$B$2:$B$43, B641)</f>
        <v>Spirit Severing · Advanced</v>
      </c>
      <c r="D641" s="6" t="n">
        <f aca="false">(A641+1)^2.4 * 1.004^A641</f>
        <v>69610446.9908086</v>
      </c>
      <c r="E641" s="6" t="n">
        <f aca="false">$I$2*(A641+1)^1.9*1.003^A641</f>
        <v>628.78078969524</v>
      </c>
      <c r="F641" s="6" t="n">
        <f aca="false">(A641+1)^1.12</f>
        <v>1389.70164265921</v>
      </c>
      <c r="G641" s="6" t="n">
        <f aca="false">G640+E641</f>
        <v>90813.4417790414</v>
      </c>
    </row>
    <row r="642" customFormat="false" ht="15" hidden="false" customHeight="true" outlineLevel="0" collapsed="false">
      <c r="A642" s="6" t="n">
        <v>640</v>
      </c>
      <c r="B642" s="6" t="n">
        <f aca="false">MIN(42, FLOOR(A642/32,1)+1)</f>
        <v>21</v>
      </c>
      <c r="C642" s="6" t="str">
        <f aca="false">INDEX(Grades_Realms!$B$2:$B$43, B642)</f>
        <v>Spirit Severing · Perfected</v>
      </c>
      <c r="D642" s="6" t="n">
        <f aca="false">(A642+1)^2.4 * 1.004^A642</f>
        <v>70151258.8250431</v>
      </c>
      <c r="E642" s="6" t="n">
        <f aca="false">$I$2*(A642+1)^1.9*1.003^A642</f>
        <v>632.540741500156</v>
      </c>
      <c r="F642" s="6" t="n">
        <f aca="false">(A642+1)^1.12</f>
        <v>1392.13384842736</v>
      </c>
      <c r="G642" s="6" t="n">
        <f aca="false">G641+E642</f>
        <v>91445.9825205416</v>
      </c>
    </row>
    <row r="643" customFormat="false" ht="15" hidden="false" customHeight="true" outlineLevel="0" collapsed="false">
      <c r="A643" s="6" t="n">
        <v>641</v>
      </c>
      <c r="B643" s="6" t="n">
        <f aca="false">MIN(42, FLOOR(A643/32,1)+1)</f>
        <v>21</v>
      </c>
      <c r="C643" s="6" t="str">
        <f aca="false">INDEX(Grades_Realms!$B$2:$B$43, B643)</f>
        <v>Spirit Severing · Perfected</v>
      </c>
      <c r="D643" s="6" t="n">
        <f aca="false">(A643+1)^2.4 * 1.004^A643</f>
        <v>70695859.3468734</v>
      </c>
      <c r="E643" s="6" t="n">
        <f aca="false">$I$2*(A643+1)^1.9*1.003^A643</f>
        <v>636.320234387415</v>
      </c>
      <c r="F643" s="6" t="n">
        <f aca="false">(A643+1)^1.12</f>
        <v>1394.56650956545</v>
      </c>
      <c r="G643" s="6" t="n">
        <f aca="false">G642+E643</f>
        <v>92082.302754929</v>
      </c>
    </row>
    <row r="644" customFormat="false" ht="15" hidden="false" customHeight="true" outlineLevel="0" collapsed="false">
      <c r="A644" s="6" t="n">
        <v>642</v>
      </c>
      <c r="B644" s="6" t="n">
        <f aca="false">MIN(42, FLOOR(A644/32,1)+1)</f>
        <v>21</v>
      </c>
      <c r="C644" s="6" t="str">
        <f aca="false">INDEX(Grades_Realms!$B$2:$B$43, B644)</f>
        <v>Spirit Severing · Perfected</v>
      </c>
      <c r="D644" s="6" t="n">
        <f aca="false">(A644+1)^2.4 * 1.004^A644</f>
        <v>71244272.8773336</v>
      </c>
      <c r="E644" s="6" t="n">
        <f aca="false">$I$2*(A644+1)^1.9*1.003^A644</f>
        <v>640.119359272342</v>
      </c>
      <c r="F644" s="6" t="n">
        <f aca="false">(A644+1)^1.12</f>
        <v>1396.99962544922</v>
      </c>
      <c r="G644" s="6" t="n">
        <f aca="false">G643+E644</f>
        <v>92722.4221142013</v>
      </c>
    </row>
    <row r="645" customFormat="false" ht="15" hidden="false" customHeight="true" outlineLevel="0" collapsed="false">
      <c r="A645" s="6" t="n">
        <v>643</v>
      </c>
      <c r="B645" s="6" t="n">
        <f aca="false">MIN(42, FLOOR(A645/32,1)+1)</f>
        <v>21</v>
      </c>
      <c r="C645" s="6" t="str">
        <f aca="false">INDEX(Grades_Realms!$B$2:$B$43, B645)</f>
        <v>Spirit Severing · Perfected</v>
      </c>
      <c r="D645" s="6" t="n">
        <f aca="false">(A645+1)^2.4 * 1.004^A645</f>
        <v>71796523.8831697</v>
      </c>
      <c r="E645" s="6" t="n">
        <f aca="false">$I$2*(A645+1)^1.9*1.003^A645</f>
        <v>643.938207461877</v>
      </c>
      <c r="F645" s="6" t="n">
        <f aca="false">(A645+1)^1.12</f>
        <v>1399.43319545627</v>
      </c>
      <c r="G645" s="6" t="n">
        <f aca="false">G644+E645</f>
        <v>93366.3603216632</v>
      </c>
    </row>
    <row r="646" customFormat="false" ht="15" hidden="false" customHeight="true" outlineLevel="0" collapsed="false">
      <c r="A646" s="6" t="n">
        <v>644</v>
      </c>
      <c r="B646" s="6" t="n">
        <f aca="false">MIN(42, FLOOR(A646/32,1)+1)</f>
        <v>21</v>
      </c>
      <c r="C646" s="6" t="str">
        <f aca="false">INDEX(Grades_Realms!$B$2:$B$43, B646)</f>
        <v>Spirit Severing · Perfected</v>
      </c>
      <c r="D646" s="6" t="n">
        <f aca="false">(A646+1)^2.4 * 1.004^A646</f>
        <v>72352636.9776671</v>
      </c>
      <c r="E646" s="6" t="n">
        <f aca="false">$I$2*(A646+1)^1.9*1.003^A646</f>
        <v>647.776870656175</v>
      </c>
      <c r="F646" s="6" t="n">
        <f aca="false">(A646+1)^1.12</f>
        <v>1401.86721896599</v>
      </c>
      <c r="G646" s="6" t="n">
        <f aca="false">G645+E646</f>
        <v>94014.1371923194</v>
      </c>
    </row>
    <row r="647" customFormat="false" ht="15" hidden="false" customHeight="true" outlineLevel="0" collapsed="false">
      <c r="A647" s="6" t="n">
        <v>645</v>
      </c>
      <c r="B647" s="6" t="n">
        <f aca="false">MIN(42, FLOOR(A647/32,1)+1)</f>
        <v>21</v>
      </c>
      <c r="C647" s="6" t="str">
        <f aca="false">INDEX(Grades_Realms!$B$2:$B$43, B647)</f>
        <v>Spirit Severing · Perfected</v>
      </c>
      <c r="D647" s="6" t="n">
        <f aca="false">(A647+1)^2.4 * 1.004^A647</f>
        <v>72912636.9214823</v>
      </c>
      <c r="E647" s="6" t="n">
        <f aca="false">$I$2*(A647+1)^1.9*1.003^A647</f>
        <v>651.635440950205</v>
      </c>
      <c r="F647" s="6" t="n">
        <f aca="false">(A647+1)^1.12</f>
        <v>1404.30169535958</v>
      </c>
      <c r="G647" s="6" t="n">
        <f aca="false">G646+E647</f>
        <v>94665.7726332696</v>
      </c>
    </row>
    <row r="648" customFormat="false" ht="15" hidden="false" customHeight="true" outlineLevel="0" collapsed="false">
      <c r="A648" s="6" t="n">
        <v>646</v>
      </c>
      <c r="B648" s="6" t="n">
        <f aca="false">MIN(42, FLOOR(A648/32,1)+1)</f>
        <v>21</v>
      </c>
      <c r="C648" s="6" t="str">
        <f aca="false">INDEX(Grades_Realms!$B$2:$B$43, B648)</f>
        <v>Spirit Severing · Perfected</v>
      </c>
      <c r="D648" s="6" t="n">
        <f aca="false">(A648+1)^2.4 * 1.004^A648</f>
        <v>73476548.62348</v>
      </c>
      <c r="E648" s="6" t="n">
        <f aca="false">$I$2*(A648+1)^1.9*1.003^A648</f>
        <v>655.514010835362</v>
      </c>
      <c r="F648" s="6" t="n">
        <f aca="false">(A648+1)^1.12</f>
        <v>1406.73662402007</v>
      </c>
      <c r="G648" s="6" t="n">
        <f aca="false">G647+E648</f>
        <v>95321.286644105</v>
      </c>
    </row>
    <row r="649" customFormat="false" ht="15" hidden="false" customHeight="true" outlineLevel="0" collapsed="false">
      <c r="A649" s="6" t="n">
        <v>647</v>
      </c>
      <c r="B649" s="6" t="n">
        <f aca="false">MIN(42, FLOOR(A649/32,1)+1)</f>
        <v>21</v>
      </c>
      <c r="C649" s="6" t="str">
        <f aca="false">INDEX(Grades_Realms!$B$2:$B$43, B649)</f>
        <v>Spirit Severing · Perfected</v>
      </c>
      <c r="D649" s="6" t="n">
        <f aca="false">(A649+1)^2.4 * 1.004^A649</f>
        <v>74044397.1415739</v>
      </c>
      <c r="E649" s="6" t="n">
        <f aca="false">$I$2*(A649+1)^1.9*1.003^A649</f>
        <v>659.412673201076</v>
      </c>
      <c r="F649" s="6" t="n">
        <f aca="false">(A649+1)^1.12</f>
        <v>1409.17200433226</v>
      </c>
      <c r="G649" s="6" t="n">
        <f aca="false">G648+E649</f>
        <v>95980.699317306</v>
      </c>
    </row>
    <row r="650" customFormat="false" ht="15" hidden="false" customHeight="true" outlineLevel="0" collapsed="false">
      <c r="A650" s="6" t="n">
        <v>648</v>
      </c>
      <c r="B650" s="6" t="n">
        <f aca="false">MIN(42, FLOOR(A650/32,1)+1)</f>
        <v>21</v>
      </c>
      <c r="C650" s="6" t="str">
        <f aca="false">INDEX(Grades_Realms!$B$2:$B$43, B650)</f>
        <v>Spirit Severing · Perfected</v>
      </c>
      <c r="D650" s="6" t="n">
        <f aca="false">(A650+1)^2.4 * 1.004^A650</f>
        <v>74616207.6835721</v>
      </c>
      <c r="E650" s="6" t="n">
        <f aca="false">$I$2*(A650+1)^1.9*1.003^A650</f>
        <v>663.331521336437</v>
      </c>
      <c r="F650" s="6" t="n">
        <f aca="false">(A650+1)^1.12</f>
        <v>1411.60783568273</v>
      </c>
      <c r="G650" s="6" t="n">
        <f aca="false">G649+E650</f>
        <v>96644.0308386425</v>
      </c>
    </row>
    <row r="651" customFormat="false" ht="15" hidden="false" customHeight="true" outlineLevel="0" collapsed="false">
      <c r="A651" s="6" t="n">
        <v>649</v>
      </c>
      <c r="B651" s="6" t="n">
        <f aca="false">MIN(42, FLOOR(A651/32,1)+1)</f>
        <v>21</v>
      </c>
      <c r="C651" s="6" t="str">
        <f aca="false">INDEX(Grades_Realms!$B$2:$B$43, B651)</f>
        <v>Spirit Severing · Perfected</v>
      </c>
      <c r="D651" s="6" t="n">
        <f aca="false">(A651+1)^2.4 * 1.004^A651</f>
        <v>75192005.6080281</v>
      </c>
      <c r="E651" s="6" t="n">
        <f aca="false">$I$2*(A651+1)^1.9*1.003^A651</f>
        <v>667.270648931822</v>
      </c>
      <c r="F651" s="6" t="n">
        <f aca="false">(A651+1)^1.12</f>
        <v>1414.04411745985</v>
      </c>
      <c r="G651" s="6" t="n">
        <f aca="false">G650+E651</f>
        <v>97311.3014875743</v>
      </c>
    </row>
    <row r="652" customFormat="false" ht="15" hidden="false" customHeight="true" outlineLevel="0" collapsed="false">
      <c r="A652" s="6" t="n">
        <v>650</v>
      </c>
      <c r="B652" s="6" t="n">
        <f aca="false">MIN(42, FLOOR(A652/32,1)+1)</f>
        <v>21</v>
      </c>
      <c r="C652" s="6" t="str">
        <f aca="false">INDEX(Grades_Realms!$B$2:$B$43, B652)</f>
        <v>Spirit Severing · Perfected</v>
      </c>
      <c r="D652" s="6" t="n">
        <f aca="false">(A652+1)^2.4 * 1.004^A652</f>
        <v>75771816.425095</v>
      </c>
      <c r="E652" s="6" t="n">
        <f aca="false">$I$2*(A652+1)^1.9*1.003^A652</f>
        <v>671.230150080527</v>
      </c>
      <c r="F652" s="6" t="n">
        <f aca="false">(A652+1)^1.12</f>
        <v>1416.48084905375</v>
      </c>
      <c r="G652" s="6" t="n">
        <f aca="false">G651+E652</f>
        <v>97982.5316376548</v>
      </c>
    </row>
    <row r="653" customFormat="false" ht="15" hidden="false" customHeight="true" outlineLevel="0" collapsed="false">
      <c r="A653" s="6" t="n">
        <v>651</v>
      </c>
      <c r="B653" s="6" t="n">
        <f aca="false">MIN(42, FLOOR(A653/32,1)+1)</f>
        <v>21</v>
      </c>
      <c r="C653" s="6" t="str">
        <f aca="false">INDEX(Grades_Realms!$B$2:$B$43, B653)</f>
        <v>Spirit Severing · Perfected</v>
      </c>
      <c r="D653" s="6" t="n">
        <f aca="false">(A653+1)^2.4 * 1.004^A653</f>
        <v>76355665.7973854</v>
      </c>
      <c r="E653" s="6" t="n">
        <f aca="false">$I$2*(A653+1)^1.9*1.003^A653</f>
        <v>675.210119280405</v>
      </c>
      <c r="F653" s="6" t="n">
        <f aca="false">(A653+1)^1.12</f>
        <v>1418.91802985633</v>
      </c>
      <c r="G653" s="6" t="n">
        <f aca="false">G652+E653</f>
        <v>98657.7417569352</v>
      </c>
    </row>
    <row r="654" customFormat="false" ht="15" hidden="false" customHeight="true" outlineLevel="0" collapsed="false">
      <c r="A654" s="6" t="n">
        <v>652</v>
      </c>
      <c r="B654" s="6" t="n">
        <f aca="false">MIN(42, FLOOR(A654/32,1)+1)</f>
        <v>21</v>
      </c>
      <c r="C654" s="6" t="str">
        <f aca="false">INDEX(Grades_Realms!$B$2:$B$43, B654)</f>
        <v>Spirit Severing · Perfected</v>
      </c>
      <c r="D654" s="6" t="n">
        <f aca="false">(A654+1)^2.4 * 1.004^A654</f>
        <v>76943579.5408358</v>
      </c>
      <c r="E654" s="6" t="n">
        <f aca="false">$I$2*(A654+1)^1.9*1.003^A654</f>
        <v>679.210651435517</v>
      </c>
      <c r="F654" s="6" t="n">
        <f aca="false">(A654+1)^1.12</f>
        <v>1421.35565926125</v>
      </c>
      <c r="G654" s="6" t="n">
        <f aca="false">G653+E654</f>
        <v>99336.9524083708</v>
      </c>
    </row>
    <row r="655" customFormat="false" ht="15" hidden="false" customHeight="true" outlineLevel="0" collapsed="false">
      <c r="A655" s="6" t="n">
        <v>653</v>
      </c>
      <c r="B655" s="6" t="n">
        <f aca="false">MIN(42, FLOOR(A655/32,1)+1)</f>
        <v>21</v>
      </c>
      <c r="C655" s="6" t="str">
        <f aca="false">INDEX(Grades_Realms!$B$2:$B$43, B655)</f>
        <v>Spirit Severing · Perfected</v>
      </c>
      <c r="D655" s="6" t="n">
        <f aca="false">(A655+1)^2.4 * 1.004^A655</f>
        <v>77535583.6255752</v>
      </c>
      <c r="E655" s="6" t="n">
        <f aca="false">$I$2*(A655+1)^1.9*1.003^A655</f>
        <v>683.231841857782</v>
      </c>
      <c r="F655" s="6" t="n">
        <f aca="false">(A655+1)^1.12</f>
        <v>1423.79373666389</v>
      </c>
      <c r="G655" s="6" t="n">
        <f aca="false">G654+E655</f>
        <v>100020.184250229</v>
      </c>
    </row>
    <row r="656" customFormat="false" ht="15" hidden="false" customHeight="true" outlineLevel="0" collapsed="false">
      <c r="A656" s="6" t="n">
        <v>654</v>
      </c>
      <c r="B656" s="6" t="n">
        <f aca="false">MIN(42, FLOOR(A656/32,1)+1)</f>
        <v>21</v>
      </c>
      <c r="C656" s="6" t="str">
        <f aca="false">INDEX(Grades_Realms!$B$2:$B$43, B656)</f>
        <v>Spirit Severing · Perfected</v>
      </c>
      <c r="D656" s="6" t="n">
        <f aca="false">(A656+1)^2.4 * 1.004^A656</f>
        <v>78131704.1767989</v>
      </c>
      <c r="E656" s="6" t="n">
        <f aca="false">$I$2*(A656+1)^1.9*1.003^A656</f>
        <v>687.273786268635</v>
      </c>
      <c r="F656" s="6" t="n">
        <f aca="false">(A656+1)^1.12</f>
        <v>1426.23226146139</v>
      </c>
      <c r="G656" s="6" t="n">
        <f aca="false">G655+E656</f>
        <v>100707.458036497</v>
      </c>
    </row>
    <row r="657" customFormat="false" ht="15" hidden="false" customHeight="true" outlineLevel="0" collapsed="false">
      <c r="A657" s="6" t="n">
        <v>655</v>
      </c>
      <c r="B657" s="6" t="n">
        <f aca="false">MIN(42, FLOOR(A657/32,1)+1)</f>
        <v>21</v>
      </c>
      <c r="C657" s="6" t="str">
        <f aca="false">INDEX(Grades_Realms!$B$2:$B$43, B657)</f>
        <v>Spirit Severing · Perfected</v>
      </c>
      <c r="D657" s="6" t="n">
        <f aca="false">(A657+1)^2.4 * 1.004^A657</f>
        <v>78731967.4756469</v>
      </c>
      <c r="E657" s="6" t="n">
        <f aca="false">$I$2*(A657+1)^1.9*1.003^A657</f>
        <v>691.336580800696</v>
      </c>
      <c r="F657" s="6" t="n">
        <f aca="false">(A657+1)^1.12</f>
        <v>1428.67123305261</v>
      </c>
      <c r="G657" s="6" t="n">
        <f aca="false">G656+E657</f>
        <v>101398.794617298</v>
      </c>
    </row>
    <row r="658" customFormat="false" ht="15" hidden="false" customHeight="true" outlineLevel="0" collapsed="false">
      <c r="A658" s="6" t="n">
        <v>656</v>
      </c>
      <c r="B658" s="6" t="n">
        <f aca="false">MIN(42, FLOOR(A658/32,1)+1)</f>
        <v>21</v>
      </c>
      <c r="C658" s="6" t="str">
        <f aca="false">INDEX(Grades_Realms!$B$2:$B$43, B658)</f>
        <v>Spirit Severing · Perfected</v>
      </c>
      <c r="D658" s="6" t="n">
        <f aca="false">(A658+1)^2.4 * 1.004^A658</f>
        <v>79336399.9600871</v>
      </c>
      <c r="E658" s="6" t="n">
        <f aca="false">$I$2*(A658+1)^1.9*1.003^A658</f>
        <v>695.420321999437</v>
      </c>
      <c r="F658" s="6" t="n">
        <f aca="false">(A658+1)^1.12</f>
        <v>1431.11065083814</v>
      </c>
      <c r="G658" s="6" t="n">
        <f aca="false">G657+E658</f>
        <v>102094.214939297</v>
      </c>
    </row>
    <row r="659" customFormat="false" ht="15" hidden="false" customHeight="true" outlineLevel="0" collapsed="false">
      <c r="A659" s="6" t="n">
        <v>657</v>
      </c>
      <c r="B659" s="6" t="n">
        <f aca="false">MIN(42, FLOOR(A659/32,1)+1)</f>
        <v>21</v>
      </c>
      <c r="C659" s="6" t="str">
        <f aca="false">INDEX(Grades_Realms!$B$2:$B$43, B659)</f>
        <v>Spirit Severing · Perfected</v>
      </c>
      <c r="D659" s="6" t="n">
        <f aca="false">(A659+1)^2.4 * 1.004^A659</f>
        <v>79945028.2258034</v>
      </c>
      <c r="E659" s="6" t="n">
        <f aca="false">$I$2*(A659+1)^1.9*1.003^A659</f>
        <v>699.525106824866</v>
      </c>
      <c r="F659" s="6" t="n">
        <f aca="false">(A659+1)^1.12</f>
        <v>1433.55051422029</v>
      </c>
      <c r="G659" s="6" t="n">
        <f aca="false">G658+E659</f>
        <v>102793.740046122</v>
      </c>
    </row>
    <row r="660" customFormat="false" ht="15" hidden="false" customHeight="true" outlineLevel="0" collapsed="false">
      <c r="A660" s="6" t="n">
        <v>658</v>
      </c>
      <c r="B660" s="6" t="n">
        <f aca="false">MIN(42, FLOOR(A660/32,1)+1)</f>
        <v>21</v>
      </c>
      <c r="C660" s="6" t="str">
        <f aca="false">INDEX(Grades_Realms!$B$2:$B$43, B660)</f>
        <v>Spirit Severing · Perfected</v>
      </c>
      <c r="D660" s="6" t="n">
        <f aca="false">(A660+1)^2.4 * 1.004^A660</f>
        <v>80557879.0270882</v>
      </c>
      <c r="E660" s="6" t="n">
        <f aca="false">$I$2*(A660+1)^1.9*1.003^A660</f>
        <v>703.651032653211</v>
      </c>
      <c r="F660" s="6" t="n">
        <f aca="false">(A660+1)^1.12</f>
        <v>1435.99082260307</v>
      </c>
      <c r="G660" s="6" t="n">
        <f aca="false">G659+E660</f>
        <v>103497.391078775</v>
      </c>
    </row>
    <row r="661" customFormat="false" ht="15" hidden="false" customHeight="true" outlineLevel="0" collapsed="false">
      <c r="A661" s="6" t="n">
        <v>659</v>
      </c>
      <c r="B661" s="6" t="n">
        <f aca="false">MIN(42, FLOOR(A661/32,1)+1)</f>
        <v>21</v>
      </c>
      <c r="C661" s="6" t="str">
        <f aca="false">INDEX(Grades_Realms!$B$2:$B$43, B661)</f>
        <v>Spirit Severing · Perfected</v>
      </c>
      <c r="D661" s="6" t="n">
        <f aca="false">(A661+1)^2.4 * 1.004^A661</f>
        <v>81174979.2777404</v>
      </c>
      <c r="E661" s="6" t="n">
        <f aca="false">$I$2*(A661+1)^1.9*1.003^A661</f>
        <v>707.798197278609</v>
      </c>
      <c r="F661" s="6" t="n">
        <f aca="false">(A661+1)^1.12</f>
        <v>1438.43157539218</v>
      </c>
      <c r="G661" s="6" t="n">
        <f aca="false">G660+E661</f>
        <v>104205.189276054</v>
      </c>
    </row>
    <row r="662" customFormat="false" ht="15" hidden="false" customHeight="true" outlineLevel="0" collapsed="false">
      <c r="A662" s="6" t="n">
        <v>660</v>
      </c>
      <c r="B662" s="6" t="n">
        <f aca="false">MIN(42, FLOOR(A662/32,1)+1)</f>
        <v>21</v>
      </c>
      <c r="C662" s="6" t="str">
        <f aca="false">INDEX(Grades_Realms!$B$2:$B$43, B662)</f>
        <v>Spirit Severing · Perfected</v>
      </c>
      <c r="D662" s="6" t="n">
        <f aca="false">(A662+1)^2.4 * 1.004^A662</f>
        <v>81796356.0519678</v>
      </c>
      <c r="E662" s="6" t="n">
        <f aca="false">$I$2*(A662+1)^1.9*1.003^A662</f>
        <v>711.966698914805</v>
      </c>
      <c r="F662" s="6" t="n">
        <f aca="false">(A662+1)^1.12</f>
        <v>1440.87277199503</v>
      </c>
      <c r="G662" s="6" t="n">
        <f aca="false">G661+E662</f>
        <v>104917.155974969</v>
      </c>
    </row>
    <row r="663" customFormat="false" ht="15" hidden="false" customHeight="true" outlineLevel="0" collapsed="false">
      <c r="A663" s="6" t="n">
        <v>661</v>
      </c>
      <c r="B663" s="6" t="n">
        <f aca="false">MIN(42, FLOOR(A663/32,1)+1)</f>
        <v>21</v>
      </c>
      <c r="C663" s="6" t="str">
        <f aca="false">INDEX(Grades_Realms!$B$2:$B$43, B663)</f>
        <v>Spirit Severing · Perfected</v>
      </c>
      <c r="D663" s="6" t="n">
        <f aca="false">(A663+1)^2.4 * 1.004^A663</f>
        <v>82422036.5852943</v>
      </c>
      <c r="E663" s="6" t="n">
        <f aca="false">$I$2*(A663+1)^1.9*1.003^A663</f>
        <v>716.156636196862</v>
      </c>
      <c r="F663" s="6" t="n">
        <f aca="false">(A663+1)^1.12</f>
        <v>1443.31441182071</v>
      </c>
      <c r="G663" s="6" t="n">
        <f aca="false">G662+E663</f>
        <v>105633.312611166</v>
      </c>
    </row>
    <row r="664" customFormat="false" ht="15" hidden="false" customHeight="true" outlineLevel="0" collapsed="false">
      <c r="A664" s="6" t="n">
        <v>662</v>
      </c>
      <c r="B664" s="6" t="n">
        <f aca="false">MIN(42, FLOOR(A664/32,1)+1)</f>
        <v>21</v>
      </c>
      <c r="C664" s="6" t="str">
        <f aca="false">INDEX(Grades_Realms!$B$2:$B$43, B664)</f>
        <v>Spirit Severing · Perfected</v>
      </c>
      <c r="D664" s="6" t="n">
        <f aca="false">(A664+1)^2.4 * 1.004^A664</f>
        <v>83052048.2754728</v>
      </c>
      <c r="E664" s="6" t="n">
        <f aca="false">$I$2*(A664+1)^1.9*1.003^A664</f>
        <v>720.368108182866</v>
      </c>
      <c r="F664" s="6" t="n">
        <f aca="false">(A664+1)^1.12</f>
        <v>1445.75649427998</v>
      </c>
      <c r="G664" s="6" t="n">
        <f aca="false">G663+E664</f>
        <v>106353.680719349</v>
      </c>
    </row>
    <row r="665" customFormat="false" ht="15" hidden="false" customHeight="true" outlineLevel="0" collapsed="false">
      <c r="A665" s="6" t="n">
        <v>663</v>
      </c>
      <c r="B665" s="6" t="n">
        <f aca="false">MIN(42, FLOOR(A665/32,1)+1)</f>
        <v>21</v>
      </c>
      <c r="C665" s="6" t="str">
        <f aca="false">INDEX(Grades_Realms!$B$2:$B$43, B665)</f>
        <v>Spirit Severing · Perfected</v>
      </c>
      <c r="D665" s="6" t="n">
        <f aca="false">(A665+1)^2.4 * 1.004^A665</f>
        <v>83686418.6834018</v>
      </c>
      <c r="E665" s="6" t="n">
        <f aca="false">$I$2*(A665+1)^1.9*1.003^A665</f>
        <v>724.601214355648</v>
      </c>
      <c r="F665" s="6" t="n">
        <f aca="false">(A665+1)^1.12</f>
        <v>1448.19901878529</v>
      </c>
      <c r="G665" s="6" t="n">
        <f aca="false">G664+E665</f>
        <v>107078.281933704</v>
      </c>
    </row>
    <row r="666" customFormat="false" ht="15" hidden="false" customHeight="true" outlineLevel="0" collapsed="false">
      <c r="A666" s="6" t="n">
        <v>664</v>
      </c>
      <c r="B666" s="6" t="n">
        <f aca="false">MIN(42, FLOOR(A666/32,1)+1)</f>
        <v>21</v>
      </c>
      <c r="C666" s="6" t="str">
        <f aca="false">INDEX(Grades_Realms!$B$2:$B$43, B666)</f>
        <v>Spirit Severing · Perfected</v>
      </c>
      <c r="D666" s="6" t="n">
        <f aca="false">(A666+1)^2.4 * 1.004^A666</f>
        <v>84325175.5340484</v>
      </c>
      <c r="E666" s="6" t="n">
        <f aca="false">$I$2*(A666+1)^1.9*1.003^A666</f>
        <v>728.856054624509</v>
      </c>
      <c r="F666" s="6" t="n">
        <f aca="false">(A666+1)^1.12</f>
        <v>1450.64198475074</v>
      </c>
      <c r="G666" s="6" t="n">
        <f aca="false">G665+E666</f>
        <v>107807.137988329</v>
      </c>
    </row>
    <row r="667" customFormat="false" ht="15" hidden="false" customHeight="true" outlineLevel="0" collapsed="false">
      <c r="A667" s="6" t="n">
        <v>665</v>
      </c>
      <c r="B667" s="6" t="n">
        <f aca="false">MIN(42, FLOOR(A667/32,1)+1)</f>
        <v>21</v>
      </c>
      <c r="C667" s="6" t="str">
        <f aca="false">INDEX(Grades_Realms!$B$2:$B$43, B667)</f>
        <v>Spirit Severing · Perfected</v>
      </c>
      <c r="D667" s="6" t="n">
        <f aca="false">(A667+1)^2.4 * 1.004^A667</f>
        <v>84968346.7173751</v>
      </c>
      <c r="E667" s="6" t="n">
        <f aca="false">$I$2*(A667+1)^1.9*1.003^A667</f>
        <v>733.13272932695</v>
      </c>
      <c r="F667" s="6" t="n">
        <f aca="false">(A667+1)^1.12</f>
        <v>1453.08539159209</v>
      </c>
      <c r="G667" s="6" t="n">
        <f aca="false">G666+E667</f>
        <v>108540.270717656</v>
      </c>
    </row>
    <row r="668" customFormat="false" ht="15" hidden="false" customHeight="true" outlineLevel="0" collapsed="false">
      <c r="A668" s="6" t="n">
        <v>666</v>
      </c>
      <c r="B668" s="6" t="n">
        <f aca="false">MIN(42, FLOOR(A668/32,1)+1)</f>
        <v>21</v>
      </c>
      <c r="C668" s="6" t="str">
        <f aca="false">INDEX(Grades_Realms!$B$2:$B$43, B668)</f>
        <v>Spirit Severing · Perfected</v>
      </c>
      <c r="D668" s="6" t="n">
        <f aca="false">(A668+1)^2.4 * 1.004^A668</f>
        <v>85615960.2892724</v>
      </c>
      <c r="E668" s="6" t="n">
        <f aca="false">$I$2*(A668+1)^1.9*1.003^A668</f>
        <v>737.431339230414</v>
      </c>
      <c r="F668" s="6" t="n">
        <f aca="false">(A668+1)^1.12</f>
        <v>1455.52923872674</v>
      </c>
      <c r="G668" s="6" t="n">
        <f aca="false">G667+E668</f>
        <v>109277.702056886</v>
      </c>
    </row>
    <row r="669" customFormat="false" ht="15" hidden="false" customHeight="true" outlineLevel="0" collapsed="false">
      <c r="A669" s="6" t="n">
        <v>667</v>
      </c>
      <c r="B669" s="6" t="n">
        <f aca="false">MIN(42, FLOOR(A669/32,1)+1)</f>
        <v>21</v>
      </c>
      <c r="C669" s="6" t="str">
        <f aca="false">INDEX(Grades_Realms!$B$2:$B$43, B669)</f>
        <v>Spirit Severing · Perfected</v>
      </c>
      <c r="D669" s="6" t="n">
        <f aca="false">(A669+1)^2.4 * 1.004^A669</f>
        <v>86268044.472496</v>
      </c>
      <c r="E669" s="6" t="n">
        <f aca="false">$I$2*(A669+1)^1.9*1.003^A669</f>
        <v>741.751985534025</v>
      </c>
      <c r="F669" s="6" t="n">
        <f aca="false">(A669+1)^1.12</f>
        <v>1457.97352557374</v>
      </c>
      <c r="G669" s="6" t="n">
        <f aca="false">G668+E669</f>
        <v>110019.45404242</v>
      </c>
    </row>
    <row r="670" customFormat="false" ht="15" hidden="false" customHeight="true" outlineLevel="0" collapsed="false">
      <c r="A670" s="6" t="n">
        <v>668</v>
      </c>
      <c r="B670" s="6" t="n">
        <f aca="false">MIN(42, FLOOR(A670/32,1)+1)</f>
        <v>21</v>
      </c>
      <c r="C670" s="6" t="str">
        <f aca="false">INDEX(Grades_Realms!$B$2:$B$43, B670)</f>
        <v>Spirit Severing · Perfected</v>
      </c>
      <c r="D670" s="6" t="n">
        <f aca="false">(A670+1)^2.4 * 1.004^A670</f>
        <v>86924627.6576095</v>
      </c>
      <c r="E670" s="6" t="n">
        <f aca="false">$I$2*(A670+1)^1.9*1.003^A670</f>
        <v>746.094769870349</v>
      </c>
      <c r="F670" s="6" t="n">
        <f aca="false">(A670+1)^1.12</f>
        <v>1460.41825155379</v>
      </c>
      <c r="G670" s="6" t="n">
        <f aca="false">G669+E670</f>
        <v>110765.54881229</v>
      </c>
    </row>
    <row r="671" customFormat="false" ht="15" hidden="false" customHeight="true" outlineLevel="0" collapsed="false">
      <c r="A671" s="6" t="n">
        <v>669</v>
      </c>
      <c r="B671" s="6" t="n">
        <f aca="false">MIN(42, FLOOR(A671/32,1)+1)</f>
        <v>21</v>
      </c>
      <c r="C671" s="6" t="str">
        <f aca="false">INDEX(Grades_Realms!$B$2:$B$43, B671)</f>
        <v>Spirit Severing · Perfected</v>
      </c>
      <c r="D671" s="6" t="n">
        <f aca="false">(A671+1)^2.4 * 1.004^A671</f>
        <v>87585738.4039315</v>
      </c>
      <c r="E671" s="6" t="n">
        <f aca="false">$I$2*(A671+1)^1.9*1.003^A671</f>
        <v>750.459794307144</v>
      </c>
      <c r="F671" s="6" t="n">
        <f aca="false">(A671+1)^1.12</f>
        <v>1462.8634160892</v>
      </c>
      <c r="G671" s="6" t="n">
        <f aca="false">G670+E671</f>
        <v>111516.008606598</v>
      </c>
    </row>
    <row r="672" customFormat="false" ht="15" hidden="false" customHeight="true" outlineLevel="0" collapsed="false">
      <c r="A672" s="6" t="n">
        <v>670</v>
      </c>
      <c r="B672" s="6" t="n">
        <f aca="false">MIN(42, FLOOR(A672/32,1)+1)</f>
        <v>21</v>
      </c>
      <c r="C672" s="6" t="str">
        <f aca="false">INDEX(Grades_Realms!$B$2:$B$43, B672)</f>
        <v>Spirit Severing · Perfected</v>
      </c>
      <c r="D672" s="6" t="n">
        <f aca="false">(A672+1)^2.4 * 1.004^A672</f>
        <v>88251405.440489</v>
      </c>
      <c r="E672" s="6" t="n">
        <f aca="false">$I$2*(A672+1)^1.9*1.003^A672</f>
        <v>754.847161349134</v>
      </c>
      <c r="F672" s="6" t="n">
        <f aca="false">(A672+1)^1.12</f>
        <v>1465.30901860389</v>
      </c>
      <c r="G672" s="6" t="n">
        <f aca="false">G671+E672</f>
        <v>112270.855767947</v>
      </c>
    </row>
    <row r="673" customFormat="false" ht="15" hidden="false" customHeight="true" outlineLevel="0" collapsed="false">
      <c r="A673" s="6" t="n">
        <v>671</v>
      </c>
      <c r="B673" s="6" t="n">
        <f aca="false">MIN(42, FLOOR(A673/32,1)+1)</f>
        <v>21</v>
      </c>
      <c r="C673" s="6" t="str">
        <f aca="false">INDEX(Grades_Realms!$B$2:$B$43, B673)</f>
        <v>Spirit Severing · Perfected</v>
      </c>
      <c r="D673" s="6" t="n">
        <f aca="false">(A673+1)^2.4 * 1.004^A673</f>
        <v>88921657.6669748</v>
      </c>
      <c r="E673" s="6" t="n">
        <f aca="false">$I$2*(A673+1)^1.9*1.003^A673</f>
        <v>759.256973939775</v>
      </c>
      <c r="F673" s="6" t="n">
        <f aca="false">(A673+1)^1.12</f>
        <v>1467.75505852342</v>
      </c>
      <c r="G673" s="6" t="n">
        <f aca="false">G672+E673</f>
        <v>113030.112741886</v>
      </c>
    </row>
    <row r="674" customFormat="false" ht="15" hidden="false" customHeight="true" outlineLevel="0" collapsed="false">
      <c r="A674" s="6" t="n">
        <v>672</v>
      </c>
      <c r="B674" s="6" t="n">
        <f aca="false">MIN(42, FLOOR(A674/32,1)+1)</f>
        <v>22</v>
      </c>
      <c r="C674" s="6" t="str">
        <f aca="false">INDEX(Grades_Realms!$B$2:$B$43, B674)</f>
        <v>Void Refinement · Initial</v>
      </c>
      <c r="D674" s="6" t="n">
        <f aca="false">(A674+1)^2.4 * 1.004^A674</f>
        <v>89596524.1547105</v>
      </c>
      <c r="E674" s="6" t="n">
        <f aca="false">$I$2*(A674+1)^1.9*1.003^A674</f>
        <v>763.689335463037</v>
      </c>
      <c r="F674" s="6" t="n">
        <f aca="false">(A674+1)^1.12</f>
        <v>1470.20153527495</v>
      </c>
      <c r="G674" s="6" t="n">
        <f aca="false">G673+E674</f>
        <v>113793.80207735</v>
      </c>
    </row>
    <row r="675" customFormat="false" ht="15" hidden="false" customHeight="true" outlineLevel="0" collapsed="false">
      <c r="A675" s="6" t="n">
        <v>673</v>
      </c>
      <c r="B675" s="6" t="n">
        <f aca="false">MIN(42, FLOOR(A675/32,1)+1)</f>
        <v>22</v>
      </c>
      <c r="C675" s="6" t="str">
        <f aca="false">INDEX(Grades_Realms!$B$2:$B$43, B675)</f>
        <v>Void Refinement · Initial</v>
      </c>
      <c r="D675" s="6" t="n">
        <f aca="false">(A675+1)^2.4 * 1.004^A675</f>
        <v>90276034.1476153</v>
      </c>
      <c r="E675" s="6" t="n">
        <f aca="false">$I$2*(A675+1)^1.9*1.003^A675</f>
        <v>768.144349745193</v>
      </c>
      <c r="F675" s="6" t="n">
        <f aca="false">(A675+1)^1.12</f>
        <v>1472.64844828724</v>
      </c>
      <c r="G675" s="6" t="n">
        <f aca="false">G674+E675</f>
        <v>114561.946427095</v>
      </c>
    </row>
    <row r="676" customFormat="false" ht="15" hidden="false" customHeight="true" outlineLevel="0" collapsed="false">
      <c r="A676" s="6" t="n">
        <v>674</v>
      </c>
      <c r="B676" s="6" t="n">
        <f aca="false">MIN(42, FLOOR(A676/32,1)+1)</f>
        <v>22</v>
      </c>
      <c r="C676" s="6" t="str">
        <f aca="false">INDEX(Grades_Realms!$B$2:$B$43, B676)</f>
        <v>Void Refinement · Initial</v>
      </c>
      <c r="D676" s="6" t="n">
        <f aca="false">(A676+1)^2.4 * 1.004^A676</f>
        <v>90960217.0631791</v>
      </c>
      <c r="E676" s="6" t="n">
        <f aca="false">$I$2*(A676+1)^1.9*1.003^A676</f>
        <v>772.622121056611</v>
      </c>
      <c r="F676" s="6" t="n">
        <f aca="false">(A676+1)^1.12</f>
        <v>1475.09579699062</v>
      </c>
      <c r="G676" s="6" t="n">
        <f aca="false">G675+E676</f>
        <v>115334.568548151</v>
      </c>
    </row>
    <row r="677" customFormat="false" ht="15" hidden="false" customHeight="true" outlineLevel="0" collapsed="false">
      <c r="A677" s="6" t="n">
        <v>675</v>
      </c>
      <c r="B677" s="6" t="n">
        <f aca="false">MIN(42, FLOOR(A677/32,1)+1)</f>
        <v>22</v>
      </c>
      <c r="C677" s="6" t="str">
        <f aca="false">INDEX(Grades_Realms!$B$2:$B$43, B677)</f>
        <v>Void Refinement · Initial</v>
      </c>
      <c r="D677" s="6" t="n">
        <f aca="false">(A677+1)^2.4 * 1.004^A677</f>
        <v>91649102.4934413</v>
      </c>
      <c r="E677" s="6" t="n">
        <f aca="false">$I$2*(A677+1)^1.9*1.003^A677</f>
        <v>777.12275411355</v>
      </c>
      <c r="F677" s="6" t="n">
        <f aca="false">(A677+1)^1.12</f>
        <v>1477.54358081705</v>
      </c>
      <c r="G677" s="6" t="n">
        <f aca="false">G676+E677</f>
        <v>116111.691302265</v>
      </c>
    </row>
    <row r="678" customFormat="false" ht="15" hidden="false" customHeight="true" outlineLevel="0" collapsed="false">
      <c r="A678" s="6" t="n">
        <v>676</v>
      </c>
      <c r="B678" s="6" t="n">
        <f aca="false">MIN(42, FLOOR(A678/32,1)+1)</f>
        <v>22</v>
      </c>
      <c r="C678" s="6" t="str">
        <f aca="false">INDEX(Grades_Realms!$B$2:$B$43, B678)</f>
        <v>Void Refinement · Initial</v>
      </c>
      <c r="D678" s="6" t="n">
        <f aca="false">(A678+1)^2.4 * 1.004^A678</f>
        <v>92342720.2059752</v>
      </c>
      <c r="E678" s="6" t="n">
        <f aca="false">$I$2*(A678+1)^1.9*1.003^A678</f>
        <v>781.646354079975</v>
      </c>
      <c r="F678" s="6" t="n">
        <f aca="false">(A678+1)^1.12</f>
        <v>1479.99179920003</v>
      </c>
      <c r="G678" s="6" t="n">
        <f aca="false">G677+E678</f>
        <v>116893.337656345</v>
      </c>
    </row>
    <row r="679" customFormat="false" ht="15" hidden="false" customHeight="true" outlineLevel="0" collapsed="false">
      <c r="A679" s="6" t="n">
        <v>677</v>
      </c>
      <c r="B679" s="6" t="n">
        <f aca="false">MIN(42, FLOOR(A679/32,1)+1)</f>
        <v>22</v>
      </c>
      <c r="C679" s="6" t="str">
        <f aca="false">INDEX(Grades_Realms!$B$2:$B$43, B679)</f>
        <v>Void Refinement · Initial</v>
      </c>
      <c r="D679" s="6" t="n">
        <f aca="false">(A679+1)^2.4 * 1.004^A679</f>
        <v>93041100.1448771</v>
      </c>
      <c r="E679" s="6" t="n">
        <f aca="false">$I$2*(A679+1)^1.9*1.003^A679</f>
        <v>786.193026569369</v>
      </c>
      <c r="F679" s="6" t="n">
        <f aca="false">(A679+1)^1.12</f>
        <v>1482.44045157466</v>
      </c>
      <c r="G679" s="6" t="n">
        <f aca="false">G678+E679</f>
        <v>117679.530682914</v>
      </c>
    </row>
    <row r="680" customFormat="false" ht="15" hidden="false" customHeight="true" outlineLevel="0" collapsed="false">
      <c r="A680" s="6" t="n">
        <v>678</v>
      </c>
      <c r="B680" s="6" t="n">
        <f aca="false">MIN(42, FLOOR(A680/32,1)+1)</f>
        <v>22</v>
      </c>
      <c r="C680" s="6" t="str">
        <f aca="false">INDEX(Grades_Realms!$B$2:$B$43, B680)</f>
        <v>Void Refinement · Initial</v>
      </c>
      <c r="D680" s="6" t="n">
        <f aca="false">(A680+1)^2.4 * 1.004^A680</f>
        <v>93744272.4317615</v>
      </c>
      <c r="E680" s="6" t="n">
        <f aca="false">$I$2*(A680+1)^1.9*1.003^A680</f>
        <v>790.76287764655</v>
      </c>
      <c r="F680" s="6" t="n">
        <f aca="false">(A680+1)^1.12</f>
        <v>1484.88953737759</v>
      </c>
      <c r="G680" s="6" t="n">
        <f aca="false">G679+E680</f>
        <v>118470.293560561</v>
      </c>
    </row>
    <row r="681" customFormat="false" ht="15" hidden="false" customHeight="true" outlineLevel="0" collapsed="false">
      <c r="A681" s="6" t="n">
        <v>679</v>
      </c>
      <c r="B681" s="6" t="n">
        <f aca="false">MIN(42, FLOOR(A681/32,1)+1)</f>
        <v>22</v>
      </c>
      <c r="C681" s="6" t="str">
        <f aca="false">INDEX(Grades_Realms!$B$2:$B$43, B681)</f>
        <v>Void Refinement · Initial</v>
      </c>
      <c r="D681" s="6" t="n">
        <f aca="false">(A681+1)^2.4 * 1.004^A681</f>
        <v>94452267.3667609</v>
      </c>
      <c r="E681" s="6" t="n">
        <f aca="false">$I$2*(A681+1)^1.9*1.003^A681</f>
        <v>795.356013829506</v>
      </c>
      <c r="F681" s="6" t="n">
        <f aca="false">(A681+1)^1.12</f>
        <v>1487.33905604705</v>
      </c>
      <c r="G681" s="6" t="n">
        <f aca="false">G680+E681</f>
        <v>119265.64957439</v>
      </c>
    </row>
    <row r="682" customFormat="false" ht="15" hidden="false" customHeight="true" outlineLevel="0" collapsed="false">
      <c r="A682" s="6" t="n">
        <v>680</v>
      </c>
      <c r="B682" s="6" t="n">
        <f aca="false">MIN(42, FLOOR(A682/32,1)+1)</f>
        <v>22</v>
      </c>
      <c r="C682" s="6" t="str">
        <f aca="false">INDEX(Grades_Realms!$B$2:$B$43, B682)</f>
        <v>Void Refinement · Initial</v>
      </c>
      <c r="D682" s="6" t="n">
        <f aca="false">(A682+1)^2.4 * 1.004^A682</f>
        <v>95165115.4295316</v>
      </c>
      <c r="E682" s="6" t="n">
        <f aca="false">$I$2*(A682+1)^1.9*1.003^A682</f>
        <v>799.972542091228</v>
      </c>
      <c r="F682" s="6" t="n">
        <f aca="false">(A682+1)^1.12</f>
        <v>1489.78900702279</v>
      </c>
      <c r="G682" s="6" t="n">
        <f aca="false">G681+E682</f>
        <v>120065.622116481</v>
      </c>
    </row>
    <row r="683" customFormat="false" ht="15" hidden="false" customHeight="true" outlineLevel="0" collapsed="false">
      <c r="A683" s="6" t="n">
        <v>681</v>
      </c>
      <c r="B683" s="6" t="n">
        <f aca="false">MIN(42, FLOOR(A683/32,1)+1)</f>
        <v>22</v>
      </c>
      <c r="C683" s="6" t="str">
        <f aca="false">INDEX(Grades_Realms!$B$2:$B$43, B683)</f>
        <v>Void Refinement · Initial</v>
      </c>
      <c r="D683" s="6" t="n">
        <f aca="false">(A683+1)^2.4 * 1.004^A683</f>
        <v>95882847.2802646</v>
      </c>
      <c r="E683" s="6" t="n">
        <f aca="false">$I$2*(A683+1)^1.9*1.003^A683</f>
        <v>804.612569861553</v>
      </c>
      <c r="F683" s="6" t="n">
        <f aca="false">(A683+1)^1.12</f>
        <v>1492.23938974615</v>
      </c>
      <c r="G683" s="6" t="n">
        <f aca="false">G682+E683</f>
        <v>120870.234686343</v>
      </c>
    </row>
    <row r="684" customFormat="false" ht="15" hidden="false" customHeight="true" outlineLevel="0" collapsed="false">
      <c r="A684" s="6" t="n">
        <v>682</v>
      </c>
      <c r="B684" s="6" t="n">
        <f aca="false">MIN(42, FLOOR(A684/32,1)+1)</f>
        <v>22</v>
      </c>
      <c r="C684" s="6" t="str">
        <f aca="false">INDEX(Grades_Realms!$B$2:$B$43, B684)</f>
        <v>Void Refinement · Initial</v>
      </c>
      <c r="D684" s="6" t="n">
        <f aca="false">(A684+1)^2.4 * 1.004^A684</f>
        <v>96605493.7607022</v>
      </c>
      <c r="E684" s="6" t="n">
        <f aca="false">$I$2*(A684+1)^1.9*1.003^A684</f>
        <v>809.276205029016</v>
      </c>
      <c r="F684" s="6" t="n">
        <f aca="false">(A684+1)^1.12</f>
        <v>1494.69020365996</v>
      </c>
      <c r="G684" s="6" t="n">
        <f aca="false">G683+E684</f>
        <v>121679.510891372</v>
      </c>
    </row>
    <row r="685" customFormat="false" ht="15" hidden="false" customHeight="true" outlineLevel="0" collapsed="false">
      <c r="A685" s="6" t="n">
        <v>683</v>
      </c>
      <c r="B685" s="6" t="n">
        <f aca="false">MIN(42, FLOOR(A685/32,1)+1)</f>
        <v>22</v>
      </c>
      <c r="C685" s="6" t="str">
        <f aca="false">INDEX(Grades_Realms!$B$2:$B$43, B685)</f>
        <v>Void Refinement · Initial</v>
      </c>
      <c r="D685" s="6" t="n">
        <f aca="false">(A685+1)^2.4 * 1.004^A685</f>
        <v>97333085.8951602</v>
      </c>
      <c r="E685" s="6" t="n">
        <f aca="false">$I$2*(A685+1)^1.9*1.003^A685</f>
        <v>813.963555942703</v>
      </c>
      <c r="F685" s="6" t="n">
        <f aca="false">(A685+1)^1.12</f>
        <v>1497.14144820863</v>
      </c>
      <c r="G685" s="6" t="n">
        <f aca="false">G684+E685</f>
        <v>122493.474447315</v>
      </c>
    </row>
    <row r="686" customFormat="false" ht="15" hidden="false" customHeight="true" outlineLevel="0" collapsed="false">
      <c r="A686" s="6" t="n">
        <v>684</v>
      </c>
      <c r="B686" s="6" t="n">
        <f aca="false">MIN(42, FLOOR(A686/32,1)+1)</f>
        <v>22</v>
      </c>
      <c r="C686" s="6" t="str">
        <f aca="false">INDEX(Grades_Realms!$B$2:$B$43, B686)</f>
        <v>Void Refinement · Initial</v>
      </c>
      <c r="D686" s="6" t="n">
        <f aca="false">(A686+1)^2.4 * 1.004^A686</f>
        <v>98065654.891555</v>
      </c>
      <c r="E686" s="6" t="n">
        <f aca="false">$I$2*(A686+1)^1.9*1.003^A686</f>
        <v>818.674731414122</v>
      </c>
      <c r="F686" s="6" t="n">
        <f aca="false">(A686+1)^1.12</f>
        <v>1499.59312283808</v>
      </c>
      <c r="G686" s="6" t="n">
        <f aca="false">G685+E686</f>
        <v>123312.149178729</v>
      </c>
    </row>
    <row r="687" customFormat="false" ht="15" hidden="false" customHeight="true" outlineLevel="0" collapsed="false">
      <c r="A687" s="6" t="n">
        <v>685</v>
      </c>
      <c r="B687" s="6" t="n">
        <f aca="false">MIN(42, FLOOR(A687/32,1)+1)</f>
        <v>22</v>
      </c>
      <c r="C687" s="6" t="str">
        <f aca="false">INDEX(Grades_Realms!$B$2:$B$43, B687)</f>
        <v>Void Refinement · Initial</v>
      </c>
      <c r="D687" s="6" t="n">
        <f aca="false">(A687+1)^2.4 * 1.004^A687</f>
        <v>98803232.1424369</v>
      </c>
      <c r="E687" s="6" t="n">
        <f aca="false">$I$2*(A687+1)^1.9*1.003^A687</f>
        <v>823.409840719068</v>
      </c>
      <c r="F687" s="6" t="n">
        <f aca="false">(A687+1)^1.12</f>
        <v>1502.04522699573</v>
      </c>
      <c r="G687" s="6" t="n">
        <f aca="false">G686+E687</f>
        <v>124135.559019448</v>
      </c>
    </row>
    <row r="688" customFormat="false" ht="15" hidden="false" customHeight="true" outlineLevel="0" collapsed="false">
      <c r="A688" s="6" t="n">
        <v>686</v>
      </c>
      <c r="B688" s="6" t="n">
        <f aca="false">MIN(42, FLOOR(A688/32,1)+1)</f>
        <v>22</v>
      </c>
      <c r="C688" s="6" t="str">
        <f aca="false">INDEX(Grades_Realms!$B$2:$B$43, B688)</f>
        <v>Void Refinement · Initial</v>
      </c>
      <c r="D688" s="6" t="n">
        <f aca="false">(A688+1)^2.4 * 1.004^A688</f>
        <v>99545849.226029</v>
      </c>
      <c r="E688" s="6" t="n">
        <f aca="false">$I$2*(A688+1)^1.9*1.003^A688</f>
        <v>828.168993599509</v>
      </c>
      <c r="F688" s="6" t="n">
        <f aca="false">(A688+1)^1.12</f>
        <v>1504.49776013055</v>
      </c>
      <c r="G688" s="6" t="n">
        <f aca="false">G687+E688</f>
        <v>124963.728013047</v>
      </c>
    </row>
    <row r="689" customFormat="false" ht="15" hidden="false" customHeight="true" outlineLevel="0" collapsed="false">
      <c r="A689" s="6" t="n">
        <v>687</v>
      </c>
      <c r="B689" s="6" t="n">
        <f aca="false">MIN(42, FLOOR(A689/32,1)+1)</f>
        <v>22</v>
      </c>
      <c r="C689" s="6" t="str">
        <f aca="false">INDEX(Grades_Realms!$B$2:$B$43, B689)</f>
        <v>Void Refinement · Initial</v>
      </c>
      <c r="D689" s="6" t="n">
        <f aca="false">(A689+1)^2.4 * 1.004^A689</f>
        <v>100293537.907271</v>
      </c>
      <c r="E689" s="6" t="n">
        <f aca="false">$I$2*(A689+1)^1.9*1.003^A689</f>
        <v>832.952300265467</v>
      </c>
      <c r="F689" s="6" t="n">
        <f aca="false">(A689+1)^1.12</f>
        <v>1506.950721693</v>
      </c>
      <c r="G689" s="6" t="n">
        <f aca="false">G688+E689</f>
        <v>125796.680313313</v>
      </c>
    </row>
    <row r="690" customFormat="false" ht="15" hidden="false" customHeight="true" outlineLevel="0" collapsed="false">
      <c r="A690" s="6" t="n">
        <v>688</v>
      </c>
      <c r="B690" s="6" t="n">
        <f aca="false">MIN(42, FLOOR(A690/32,1)+1)</f>
        <v>22</v>
      </c>
      <c r="C690" s="6" t="str">
        <f aca="false">INDEX(Grades_Realms!$B$2:$B$43, B690)</f>
        <v>Void Refinement · Initial</v>
      </c>
      <c r="D690" s="6" t="n">
        <f aca="false">(A690+1)^2.4 * 1.004^A690</f>
        <v>101046330.13887</v>
      </c>
      <c r="E690" s="6" t="n">
        <f aca="false">$I$2*(A690+1)^1.9*1.003^A690</f>
        <v>837.759871396913</v>
      </c>
      <c r="F690" s="6" t="n">
        <f aca="false">(A690+1)^1.12</f>
        <v>1509.40411113503</v>
      </c>
      <c r="G690" s="6" t="n">
        <f aca="false">G689+E690</f>
        <v>126634.44018471</v>
      </c>
    </row>
    <row r="691" customFormat="false" ht="15" hidden="false" customHeight="true" outlineLevel="0" collapsed="false">
      <c r="A691" s="6" t="n">
        <v>689</v>
      </c>
      <c r="B691" s="6" t="n">
        <f aca="false">MIN(42, FLOOR(A691/32,1)+1)</f>
        <v>22</v>
      </c>
      <c r="C691" s="6" t="str">
        <f aca="false">INDEX(Grades_Realms!$B$2:$B$43, B691)</f>
        <v>Void Refinement · Initial</v>
      </c>
      <c r="D691" s="6" t="n">
        <f aca="false">(A691+1)^2.4 * 1.004^A691</f>
        <v>101804258.062354</v>
      </c>
      <c r="E691" s="6" t="n">
        <f aca="false">$I$2*(A691+1)^1.9*1.003^A691</f>
        <v>842.591818145672</v>
      </c>
      <c r="F691" s="6" t="n">
        <f aca="false">(A691+1)^1.12</f>
        <v>1511.85792791011</v>
      </c>
      <c r="G691" s="6" t="n">
        <f aca="false">G690+E691</f>
        <v>127477.032002855</v>
      </c>
    </row>
    <row r="692" customFormat="false" ht="15" hidden="false" customHeight="true" outlineLevel="0" collapsed="false">
      <c r="A692" s="6" t="n">
        <v>690</v>
      </c>
      <c r="B692" s="6" t="n">
        <f aca="false">MIN(42, FLOOR(A692/32,1)+1)</f>
        <v>22</v>
      </c>
      <c r="C692" s="6" t="str">
        <f aca="false">INDEX(Grades_Realms!$B$2:$B$43, B692)</f>
        <v>Void Refinement · Initial</v>
      </c>
      <c r="D692" s="6" t="n">
        <f aca="false">(A692+1)^2.4 * 1.004^A692</f>
        <v>102567354.009137</v>
      </c>
      <c r="E692" s="6" t="n">
        <f aca="false">$I$2*(A692+1)^1.9*1.003^A692</f>
        <v>847.448252137326</v>
      </c>
      <c r="F692" s="6" t="n">
        <f aca="false">(A692+1)^1.12</f>
        <v>1514.31217147318</v>
      </c>
      <c r="G692" s="6" t="n">
        <f aca="false">G691+E692</f>
        <v>128324.480254993</v>
      </c>
    </row>
    <row r="693" customFormat="false" ht="15" hidden="false" customHeight="true" outlineLevel="0" collapsed="false">
      <c r="A693" s="6" t="n">
        <v>691</v>
      </c>
      <c r="B693" s="6" t="n">
        <f aca="false">MIN(42, FLOOR(A693/32,1)+1)</f>
        <v>22</v>
      </c>
      <c r="C693" s="6" t="str">
        <f aca="false">INDEX(Grades_Realms!$B$2:$B$43, B693)</f>
        <v>Void Refinement · Initial</v>
      </c>
      <c r="D693" s="6" t="n">
        <f aca="false">(A693+1)^2.4 * 1.004^A693</f>
        <v>103335650.501581</v>
      </c>
      <c r="E693" s="6" t="n">
        <f aca="false">$I$2*(A693+1)^1.9*1.003^A693</f>
        <v>852.329285473134</v>
      </c>
      <c r="F693" s="6" t="n">
        <f aca="false">(A693+1)^1.12</f>
        <v>1516.76684128069</v>
      </c>
      <c r="G693" s="6" t="n">
        <f aca="false">G692+E693</f>
        <v>129176.809540466</v>
      </c>
    </row>
    <row r="694" customFormat="false" ht="15" hidden="false" customHeight="true" outlineLevel="0" collapsed="false">
      <c r="A694" s="6" t="n">
        <v>692</v>
      </c>
      <c r="B694" s="6" t="n">
        <f aca="false">MIN(42, FLOOR(A694/32,1)+1)</f>
        <v>22</v>
      </c>
      <c r="C694" s="6" t="str">
        <f aca="false">INDEX(Grades_Realms!$B$2:$B$43, B694)</f>
        <v>Void Refinement · Initial</v>
      </c>
      <c r="D694" s="6" t="n">
        <f aca="false">(A694+1)^2.4 * 1.004^A694</f>
        <v>104109180.254075</v>
      </c>
      <c r="E694" s="6" t="n">
        <f aca="false">$I$2*(A694+1)^1.9*1.003^A694</f>
        <v>857.235030731953</v>
      </c>
      <c r="F694" s="6" t="n">
        <f aca="false">(A694+1)^1.12</f>
        <v>1519.22193679052</v>
      </c>
      <c r="G694" s="6" t="n">
        <f aca="false">G693+E694</f>
        <v>130034.044571198</v>
      </c>
    </row>
    <row r="695" customFormat="false" ht="15" hidden="false" customHeight="true" outlineLevel="0" collapsed="false">
      <c r="A695" s="6" t="n">
        <v>693</v>
      </c>
      <c r="B695" s="6" t="n">
        <f aca="false">MIN(42, FLOOR(A695/32,1)+1)</f>
        <v>22</v>
      </c>
      <c r="C695" s="6" t="str">
        <f aca="false">INDEX(Grades_Realms!$B$2:$B$43, B695)</f>
        <v>Void Refinement · Initial</v>
      </c>
      <c r="D695" s="6" t="n">
        <f aca="false">(A695+1)^2.4 * 1.004^A695</f>
        <v>104887976.174107</v>
      </c>
      <c r="E695" s="6" t="n">
        <f aca="false">$I$2*(A695+1)^1.9*1.003^A695</f>
        <v>862.165600972172</v>
      </c>
      <c r="F695" s="6" t="n">
        <f aca="false">(A695+1)^1.12</f>
        <v>1521.67745746207</v>
      </c>
      <c r="G695" s="6" t="n">
        <f aca="false">G694+E695</f>
        <v>130896.21017217</v>
      </c>
    </row>
    <row r="696" customFormat="false" ht="15" hidden="false" customHeight="true" outlineLevel="0" collapsed="false">
      <c r="A696" s="6" t="n">
        <v>694</v>
      </c>
      <c r="B696" s="6" t="n">
        <f aca="false">MIN(42, FLOOR(A696/32,1)+1)</f>
        <v>22</v>
      </c>
      <c r="C696" s="6" t="str">
        <f aca="false">INDEX(Grades_Realms!$B$2:$B$43, B696)</f>
        <v>Void Refinement · Initial</v>
      </c>
      <c r="D696" s="6" t="n">
        <f aca="false">(A696+1)^2.4 * 1.004^A696</f>
        <v>105672071.363354</v>
      </c>
      <c r="E696" s="6" t="n">
        <f aca="false">$I$2*(A696+1)^1.9*1.003^A696</f>
        <v>867.121109733645</v>
      </c>
      <c r="F696" s="6" t="n">
        <f aca="false">(A696+1)^1.12</f>
        <v>1524.13340275617</v>
      </c>
      <c r="G696" s="6" t="n">
        <f aca="false">G695+E696</f>
        <v>131763.331281904</v>
      </c>
    </row>
    <row r="697" customFormat="false" ht="15" hidden="false" customHeight="true" outlineLevel="0" collapsed="false">
      <c r="A697" s="6" t="n">
        <v>695</v>
      </c>
      <c r="B697" s="6" t="n">
        <f aca="false">MIN(42, FLOOR(A697/32,1)+1)</f>
        <v>22</v>
      </c>
      <c r="C697" s="6" t="str">
        <f aca="false">INDEX(Grades_Realms!$B$2:$B$43, B697)</f>
        <v>Void Refinement · Initial</v>
      </c>
      <c r="D697" s="6" t="n">
        <f aca="false">(A697+1)^2.4 * 1.004^A697</f>
        <v>106461499.118768</v>
      </c>
      <c r="E697" s="6" t="n">
        <f aca="false">$I$2*(A697+1)^1.9*1.003^A697</f>
        <v>872.101671039645</v>
      </c>
      <c r="F697" s="6" t="n">
        <f aca="false">(A697+1)^1.12</f>
        <v>1526.58977213512</v>
      </c>
      <c r="G697" s="6" t="n">
        <f aca="false">G696+E697</f>
        <v>132635.432952943</v>
      </c>
    </row>
    <row r="698" customFormat="false" ht="15" hidden="false" customHeight="true" outlineLevel="0" collapsed="false">
      <c r="A698" s="6" t="n">
        <v>696</v>
      </c>
      <c r="B698" s="6" t="n">
        <f aca="false">MIN(42, FLOOR(A698/32,1)+1)</f>
        <v>22</v>
      </c>
      <c r="C698" s="6" t="str">
        <f aca="false">INDEX(Grades_Realms!$B$2:$B$43, B698)</f>
        <v>Void Refinement · Initial</v>
      </c>
      <c r="D698" s="6" t="n">
        <f aca="false">(A698+1)^2.4 * 1.004^A698</f>
        <v>107256292.933675</v>
      </c>
      <c r="E698" s="6" t="n">
        <f aca="false">$I$2*(A698+1)^1.9*1.003^A698</f>
        <v>877.107399398809</v>
      </c>
      <c r="F698" s="6" t="n">
        <f aca="false">(A698+1)^1.12</f>
        <v>1529.04656506269</v>
      </c>
      <c r="G698" s="6" t="n">
        <f aca="false">G697+E698</f>
        <v>133512.540352342</v>
      </c>
    </row>
    <row r="699" customFormat="false" ht="15" hidden="false" customHeight="true" outlineLevel="0" collapsed="false">
      <c r="A699" s="6" t="n">
        <v>697</v>
      </c>
      <c r="B699" s="6" t="n">
        <f aca="false">MIN(42, FLOOR(A699/32,1)+1)</f>
        <v>22</v>
      </c>
      <c r="C699" s="6" t="str">
        <f aca="false">INDEX(Grades_Realms!$B$2:$B$43, B699)</f>
        <v>Void Refinement · Initial</v>
      </c>
      <c r="D699" s="6" t="n">
        <f aca="false">(A699+1)^2.4 * 1.004^A699</f>
        <v>108056486.498875</v>
      </c>
      <c r="E699" s="6" t="n">
        <f aca="false">$I$2*(A699+1)^1.9*1.003^A699</f>
        <v>882.138409807104</v>
      </c>
      <c r="F699" s="6" t="n">
        <f aca="false">(A699+1)^1.12</f>
        <v>1531.50378100407</v>
      </c>
      <c r="G699" s="6" t="n">
        <f aca="false">G698+E699</f>
        <v>134394.678762149</v>
      </c>
    </row>
    <row r="700" customFormat="false" ht="15" hidden="false" customHeight="true" outlineLevel="0" collapsed="false">
      <c r="A700" s="6" t="n">
        <v>698</v>
      </c>
      <c r="B700" s="6" t="n">
        <f aca="false">MIN(42, FLOOR(A700/32,1)+1)</f>
        <v>22</v>
      </c>
      <c r="C700" s="6" t="str">
        <f aca="false">INDEX(Grades_Realms!$B$2:$B$43, B700)</f>
        <v>Void Refinement · Initial</v>
      </c>
      <c r="D700" s="6" t="n">
        <f aca="false">(A700+1)^2.4 * 1.004^A700</f>
        <v>108862113.703754</v>
      </c>
      <c r="E700" s="6" t="n">
        <f aca="false">$I$2*(A700+1)^1.9*1.003^A700</f>
        <v>887.194817749796</v>
      </c>
      <c r="F700" s="6" t="n">
        <f aca="false">(A700+1)^1.12</f>
        <v>1533.9614194259</v>
      </c>
      <c r="G700" s="6" t="n">
        <f aca="false">G699+E700</f>
        <v>135281.873579899</v>
      </c>
    </row>
    <row r="701" customFormat="false" ht="15" hidden="false" customHeight="true" outlineLevel="0" collapsed="false">
      <c r="A701" s="6" t="n">
        <v>699</v>
      </c>
      <c r="B701" s="6" t="n">
        <f aca="false">MIN(42, FLOOR(A701/32,1)+1)</f>
        <v>22</v>
      </c>
      <c r="C701" s="6" t="str">
        <f aca="false">INDEX(Grades_Realms!$B$2:$B$43, B701)</f>
        <v>Void Refinement · Initial</v>
      </c>
      <c r="D701" s="6" t="n">
        <f aca="false">(A701+1)^2.4 * 1.004^A701</f>
        <v>109673208.637392</v>
      </c>
      <c r="E701" s="6" t="n">
        <f aca="false">$I$2*(A701+1)^1.9*1.003^A701</f>
        <v>892.276739203425</v>
      </c>
      <c r="F701" s="6" t="n">
        <f aca="false">(A701+1)^1.12</f>
        <v>1536.41947979626</v>
      </c>
      <c r="G701" s="6" t="n">
        <f aca="false">G700+E701</f>
        <v>136174.150319103</v>
      </c>
    </row>
    <row r="702" customFormat="false" ht="15" hidden="false" customHeight="true" outlineLevel="0" collapsed="false">
      <c r="A702" s="6" t="n">
        <v>700</v>
      </c>
      <c r="B702" s="6" t="n">
        <f aca="false">MIN(42, FLOOR(A702/32,1)+1)</f>
        <v>22</v>
      </c>
      <c r="C702" s="6" t="str">
        <f aca="false">INDEX(Grades_Realms!$B$2:$B$43, B702)</f>
        <v>Void Refinement · Initial</v>
      </c>
      <c r="D702" s="6" t="n">
        <f aca="false">(A702+1)^2.4 * 1.004^A702</f>
        <v>110489805.589688</v>
      </c>
      <c r="E702" s="6" t="n">
        <f aca="false">$I$2*(A702+1)^1.9*1.003^A702</f>
        <v>897.384290637787</v>
      </c>
      <c r="F702" s="6" t="n">
        <f aca="false">(A702+1)^1.12</f>
        <v>1538.87796158466</v>
      </c>
      <c r="G702" s="6" t="n">
        <f aca="false">G701+E702</f>
        <v>137071.53460974</v>
      </c>
    </row>
    <row r="703" customFormat="false" ht="15" hidden="false" customHeight="true" outlineLevel="0" collapsed="false">
      <c r="A703" s="6" t="n">
        <v>701</v>
      </c>
      <c r="B703" s="6" t="n">
        <f aca="false">MIN(42, FLOOR(A703/32,1)+1)</f>
        <v>22</v>
      </c>
      <c r="C703" s="6" t="str">
        <f aca="false">INDEX(Grades_Realms!$B$2:$B$43, B703)</f>
        <v>Void Refinement · Initial</v>
      </c>
      <c r="D703" s="6" t="n">
        <f aca="false">(A703+1)^2.4 * 1.004^A703</f>
        <v>111311939.052483</v>
      </c>
      <c r="E703" s="6" t="n">
        <f aca="false">$I$2*(A703+1)^1.9*1.003^A703</f>
        <v>902.517589017932</v>
      </c>
      <c r="F703" s="6" t="n">
        <f aca="false">(A703+1)^1.12</f>
        <v>1541.33686426201</v>
      </c>
      <c r="G703" s="6" t="n">
        <f aca="false">G702+E703</f>
        <v>137974.052198758</v>
      </c>
    </row>
    <row r="704" customFormat="false" ht="15" hidden="false" customHeight="true" outlineLevel="0" collapsed="false">
      <c r="A704" s="6" t="n">
        <v>702</v>
      </c>
      <c r="B704" s="6" t="n">
        <f aca="false">MIN(42, FLOOR(A704/32,1)+1)</f>
        <v>22</v>
      </c>
      <c r="C704" s="6" t="str">
        <f aca="false">INDEX(Grades_Realms!$B$2:$B$43, B704)</f>
        <v>Void Refinement · Initial</v>
      </c>
      <c r="D704" s="6" t="n">
        <f aca="false">(A704+1)^2.4 * 1.004^A704</f>
        <v>112139643.720694</v>
      </c>
      <c r="E704" s="6" t="n">
        <f aca="false">$I$2*(A704+1)^1.9*1.003^A704</f>
        <v>907.676751806156</v>
      </c>
      <c r="F704" s="6" t="n">
        <f aca="false">(A704+1)^1.12</f>
        <v>1543.79618730067</v>
      </c>
      <c r="G704" s="6" t="n">
        <f aca="false">G703+E704</f>
        <v>138881.728950564</v>
      </c>
    </row>
    <row r="705" customFormat="false" ht="15" hidden="false" customHeight="true" outlineLevel="0" collapsed="false">
      <c r="A705" s="6" t="n">
        <v>703</v>
      </c>
      <c r="B705" s="6" t="n">
        <f aca="false">MIN(42, FLOOR(A705/32,1)+1)</f>
        <v>22</v>
      </c>
      <c r="C705" s="6" t="str">
        <f aca="false">INDEX(Grades_Realms!$B$2:$B$43, B705)</f>
        <v>Void Refinement · Initial</v>
      </c>
      <c r="D705" s="6" t="n">
        <f aca="false">(A705+1)^2.4 * 1.004^A705</f>
        <v>112972954.493452</v>
      </c>
      <c r="E705" s="6" t="n">
        <f aca="false">$I$2*(A705+1)^1.9*1.003^A705</f>
        <v>912.861896964014</v>
      </c>
      <c r="F705" s="6" t="n">
        <f aca="false">(A705+1)^1.12</f>
        <v>1546.25593017439</v>
      </c>
      <c r="G705" s="6" t="n">
        <f aca="false">G704+E705</f>
        <v>139794.590847528</v>
      </c>
    </row>
    <row r="706" customFormat="false" ht="15" hidden="false" customHeight="true" outlineLevel="0" collapsed="false">
      <c r="A706" s="6" t="n">
        <v>704</v>
      </c>
      <c r="B706" s="6" t="n">
        <f aca="false">MIN(42, FLOOR(A706/32,1)+1)</f>
        <v>23</v>
      </c>
      <c r="C706" s="6" t="str">
        <f aca="false">INDEX(Grades_Realms!$B$2:$B$43, B706)</f>
        <v>Void Refinement · Advanced</v>
      </c>
      <c r="D706" s="6" t="n">
        <f aca="false">(A706+1)^2.4 * 1.004^A706</f>
        <v>113811906.475246</v>
      </c>
      <c r="E706" s="6" t="n">
        <f aca="false">$I$2*(A706+1)^1.9*1.003^A706</f>
        <v>918.073142954331</v>
      </c>
      <c r="F706" s="6" t="n">
        <f aca="false">(A706+1)^1.12</f>
        <v>1548.71609235833</v>
      </c>
      <c r="G706" s="6" t="n">
        <f aca="false">G705+E706</f>
        <v>140712.663990483</v>
      </c>
    </row>
    <row r="707" customFormat="false" ht="15" hidden="false" customHeight="true" outlineLevel="0" collapsed="false">
      <c r="A707" s="6" t="n">
        <v>705</v>
      </c>
      <c r="B707" s="6" t="n">
        <f aca="false">MIN(42, FLOOR(A707/32,1)+1)</f>
        <v>23</v>
      </c>
      <c r="C707" s="6" t="str">
        <f aca="false">INDEX(Grades_Realms!$B$2:$B$43, B707)</f>
        <v>Void Refinement · Advanced</v>
      </c>
      <c r="D707" s="6" t="n">
        <f aca="false">(A707+1)^2.4 * 1.004^A707</f>
        <v>114656534.977071</v>
      </c>
      <c r="E707" s="6" t="n">
        <f aca="false">$I$2*(A707+1)^1.9*1.003^A707</f>
        <v>923.31060874323</v>
      </c>
      <c r="F707" s="6" t="n">
        <f aca="false">(A707+1)^1.12</f>
        <v>1551.17667332905</v>
      </c>
      <c r="G707" s="6" t="n">
        <f aca="false">G706+E707</f>
        <v>141635.974599226</v>
      </c>
    </row>
    <row r="708" customFormat="false" ht="15" hidden="false" customHeight="true" outlineLevel="0" collapsed="false">
      <c r="A708" s="6" t="n">
        <v>706</v>
      </c>
      <c r="B708" s="6" t="n">
        <f aca="false">MIN(42, FLOOR(A708/32,1)+1)</f>
        <v>23</v>
      </c>
      <c r="C708" s="6" t="str">
        <f aca="false">INDEX(Grades_Realms!$B$2:$B$43, B708)</f>
        <v>Void Refinement · Advanced</v>
      </c>
      <c r="D708" s="6" t="n">
        <f aca="false">(A708+1)^2.4 * 1.004^A708</f>
        <v>115506875.517591</v>
      </c>
      <c r="E708" s="6" t="n">
        <f aca="false">$I$2*(A708+1)^1.9*1.003^A708</f>
        <v>928.574413802156</v>
      </c>
      <c r="F708" s="6" t="n">
        <f aca="false">(A708+1)^1.12</f>
        <v>1553.63767256451</v>
      </c>
      <c r="G708" s="6" t="n">
        <f aca="false">G707+E708</f>
        <v>142564.549013028</v>
      </c>
    </row>
    <row r="709" customFormat="false" ht="15" hidden="false" customHeight="true" outlineLevel="0" collapsed="false">
      <c r="A709" s="6" t="n">
        <v>707</v>
      </c>
      <c r="B709" s="6" t="n">
        <f aca="false">MIN(42, FLOOR(A709/32,1)+1)</f>
        <v>23</v>
      </c>
      <c r="C709" s="6" t="str">
        <f aca="false">INDEX(Grades_Realms!$B$2:$B$43, B709)</f>
        <v>Void Refinement · Advanced</v>
      </c>
      <c r="D709" s="6" t="n">
        <f aca="false">(A709+1)^2.4 * 1.004^A709</f>
        <v>116362963.824296</v>
      </c>
      <c r="E709" s="6" t="n">
        <f aca="false">$I$2*(A709+1)^1.9*1.003^A709</f>
        <v>933.864678109921</v>
      </c>
      <c r="F709" s="6" t="n">
        <f aca="false">(A709+1)^1.12</f>
        <v>1556.09908954406</v>
      </c>
      <c r="G709" s="6" t="n">
        <f aca="false">G708+E709</f>
        <v>143498.413691138</v>
      </c>
    </row>
    <row r="710" customFormat="false" ht="15" hidden="false" customHeight="true" outlineLevel="0" collapsed="false">
      <c r="A710" s="6" t="n">
        <v>708</v>
      </c>
      <c r="B710" s="6" t="n">
        <f aca="false">MIN(42, FLOOR(A710/32,1)+1)</f>
        <v>23</v>
      </c>
      <c r="C710" s="6" t="str">
        <f aca="false">INDEX(Grades_Realms!$B$2:$B$43, B710)</f>
        <v>Void Refinement · Advanced</v>
      </c>
      <c r="D710" s="6" t="n">
        <f aca="false">(A710+1)^2.4 * 1.004^A710</f>
        <v>117224835.834673</v>
      </c>
      <c r="E710" s="6" t="n">
        <f aca="false">$I$2*(A710+1)^1.9*1.003^A710</f>
        <v>939.181522154746</v>
      </c>
      <c r="F710" s="6" t="n">
        <f aca="false">(A710+1)^1.12</f>
        <v>1558.5609237484</v>
      </c>
      <c r="G710" s="6" t="n">
        <f aca="false">G709+E710</f>
        <v>144437.595213293</v>
      </c>
    </row>
    <row r="711" customFormat="false" ht="15" hidden="false" customHeight="true" outlineLevel="0" collapsed="false">
      <c r="A711" s="6" t="n">
        <v>709</v>
      </c>
      <c r="B711" s="6" t="n">
        <f aca="false">MIN(42, FLOOR(A711/32,1)+1)</f>
        <v>23</v>
      </c>
      <c r="C711" s="6" t="str">
        <f aca="false">INDEX(Grades_Realms!$B$2:$B$43, B711)</f>
        <v>Void Refinement · Advanced</v>
      </c>
      <c r="D711" s="6" t="n">
        <f aca="false">(A711+1)^2.4 * 1.004^A711</f>
        <v>118092527.697383</v>
      </c>
      <c r="E711" s="6" t="n">
        <f aca="false">$I$2*(A711+1)^1.9*1.003^A711</f>
        <v>944.525066936318</v>
      </c>
      <c r="F711" s="6" t="n">
        <f aca="false">(A711+1)^1.12</f>
        <v>1561.02317465966</v>
      </c>
      <c r="G711" s="6" t="n">
        <f aca="false">G710+E711</f>
        <v>145382.120280229</v>
      </c>
    </row>
    <row r="712" customFormat="false" ht="15" hidden="false" customHeight="true" outlineLevel="0" collapsed="false">
      <c r="A712" s="6" t="n">
        <v>710</v>
      </c>
      <c r="B712" s="6" t="n">
        <f aca="false">MIN(42, FLOOR(A712/32,1)+1)</f>
        <v>23</v>
      </c>
      <c r="C712" s="6" t="str">
        <f aca="false">INDEX(Grades_Realms!$B$2:$B$43, B712)</f>
        <v>Void Refinement · Advanced</v>
      </c>
      <c r="D712" s="6" t="n">
        <f aca="false">(A712+1)^2.4 * 1.004^A712</f>
        <v>118966075.773441</v>
      </c>
      <c r="E712" s="6" t="n">
        <f aca="false">$I$2*(A712+1)^1.9*1.003^A712</f>
        <v>949.895433967853</v>
      </c>
      <c r="F712" s="6" t="n">
        <f aca="false">(A712+1)^1.12</f>
        <v>1563.4858417613</v>
      </c>
      <c r="G712" s="6" t="n">
        <f aca="false">G711+E712</f>
        <v>146332.015714197</v>
      </c>
    </row>
    <row r="713" customFormat="false" ht="15" hidden="false" customHeight="true" outlineLevel="0" collapsed="false">
      <c r="A713" s="6" t="n">
        <v>711</v>
      </c>
      <c r="B713" s="6" t="n">
        <f aca="false">MIN(42, FLOOR(A713/32,1)+1)</f>
        <v>23</v>
      </c>
      <c r="C713" s="6" t="str">
        <f aca="false">INDEX(Grades_Realms!$B$2:$B$43, B713)</f>
        <v>Void Refinement · Advanced</v>
      </c>
      <c r="D713" s="6" t="n">
        <f aca="false">(A713+1)^2.4 * 1.004^A713</f>
        <v>119845516.637406</v>
      </c>
      <c r="E713" s="6" t="n">
        <f aca="false">$I$2*(A713+1)^1.9*1.003^A713</f>
        <v>955.292745278163</v>
      </c>
      <c r="F713" s="6" t="n">
        <f aca="false">(A713+1)^1.12</f>
        <v>1565.94892453816</v>
      </c>
      <c r="G713" s="6" t="n">
        <f aca="false">G712+E713</f>
        <v>147287.308459475</v>
      </c>
    </row>
    <row r="714" customFormat="false" ht="15" hidden="false" customHeight="true" outlineLevel="0" collapsed="false">
      <c r="A714" s="6" t="n">
        <v>712</v>
      </c>
      <c r="B714" s="6" t="n">
        <f aca="false">MIN(42, FLOOR(A714/32,1)+1)</f>
        <v>23</v>
      </c>
      <c r="C714" s="6" t="str">
        <f aca="false">INDEX(Grades_Realms!$B$2:$B$43, B714)</f>
        <v>Void Refinement · Advanced</v>
      </c>
      <c r="D714" s="6" t="n">
        <f aca="false">(A714+1)^2.4 * 1.004^A714</f>
        <v>120730887.078573</v>
      </c>
      <c r="E714" s="6" t="n">
        <f aca="false">$I$2*(A714+1)^1.9*1.003^A714</f>
        <v>960.717123413739</v>
      </c>
      <c r="F714" s="6" t="n">
        <f aca="false">(A714+1)^1.12</f>
        <v>1568.41242247644</v>
      </c>
      <c r="G714" s="6" t="n">
        <f aca="false">G713+E714</f>
        <v>148248.025582889</v>
      </c>
    </row>
    <row r="715" customFormat="false" ht="15" hidden="false" customHeight="true" outlineLevel="0" collapsed="false">
      <c r="A715" s="6" t="n">
        <v>713</v>
      </c>
      <c r="B715" s="6" t="n">
        <f aca="false">MIN(42, FLOOR(A715/32,1)+1)</f>
        <v>23</v>
      </c>
      <c r="C715" s="6" t="str">
        <f aca="false">INDEX(Grades_Realms!$B$2:$B$43, B715)</f>
        <v>Void Refinement · Advanced</v>
      </c>
      <c r="D715" s="6" t="n">
        <f aca="false">(A715+1)^2.4 * 1.004^A715</f>
        <v>121622224.102178</v>
      </c>
      <c r="E715" s="6" t="n">
        <f aca="false">$I$2*(A715+1)^1.9*1.003^A715</f>
        <v>966.168691440833</v>
      </c>
      <c r="F715" s="6" t="n">
        <f aca="false">(A715+1)^1.12</f>
        <v>1570.87633506371</v>
      </c>
      <c r="G715" s="6" t="n">
        <f aca="false">G714+E715</f>
        <v>149214.19427433</v>
      </c>
    </row>
    <row r="716" customFormat="false" ht="15" hidden="false" customHeight="true" outlineLevel="0" collapsed="false">
      <c r="A716" s="6" t="n">
        <v>714</v>
      </c>
      <c r="B716" s="6" t="n">
        <f aca="false">MIN(42, FLOOR(A716/32,1)+1)</f>
        <v>23</v>
      </c>
      <c r="C716" s="6" t="str">
        <f aca="false">INDEX(Grades_Realms!$B$2:$B$43, B716)</f>
        <v>Void Refinement · Advanced</v>
      </c>
      <c r="D716" s="6" t="n">
        <f aca="false">(A716+1)^2.4 * 1.004^A716</f>
        <v>122519564.9306</v>
      </c>
      <c r="E716" s="6" t="n">
        <f aca="false">$I$2*(A716+1)^1.9*1.003^A716</f>
        <v>971.647572947557</v>
      </c>
      <c r="F716" s="6" t="n">
        <f aca="false">(A716+1)^1.12</f>
        <v>1573.34066178886</v>
      </c>
      <c r="G716" s="6" t="n">
        <f aca="false">G715+E716</f>
        <v>150185.841847277</v>
      </c>
    </row>
    <row r="717" customFormat="false" ht="15" hidden="false" customHeight="true" outlineLevel="0" collapsed="false">
      <c r="A717" s="6" t="n">
        <v>715</v>
      </c>
      <c r="B717" s="6" t="n">
        <f aca="false">MIN(42, FLOOR(A717/32,1)+1)</f>
        <v>23</v>
      </c>
      <c r="C717" s="6" t="str">
        <f aca="false">INDEX(Grades_Realms!$B$2:$B$43, B717)</f>
        <v>Void Refinement · Advanced</v>
      </c>
      <c r="D717" s="6" t="n">
        <f aca="false">(A717+1)^2.4 * 1.004^A717</f>
        <v>123422947.004581</v>
      </c>
      <c r="E717" s="6" t="n">
        <f aca="false">$I$2*(A717+1)^1.9*1.003^A717</f>
        <v>977.153892045983</v>
      </c>
      <c r="F717" s="6" t="n">
        <f aca="false">(A717+1)^1.12</f>
        <v>1575.80540214214</v>
      </c>
      <c r="G717" s="6" t="n">
        <f aca="false">G716+E717</f>
        <v>151162.995739323</v>
      </c>
    </row>
    <row r="718" customFormat="false" ht="15" hidden="false" customHeight="true" outlineLevel="0" collapsed="false">
      <c r="A718" s="6" t="n">
        <v>716</v>
      </c>
      <c r="B718" s="6" t="n">
        <f aca="false">MIN(42, FLOOR(A718/32,1)+1)</f>
        <v>23</v>
      </c>
      <c r="C718" s="6" t="str">
        <f aca="false">INDEX(Grades_Realms!$B$2:$B$43, B718)</f>
        <v>Void Refinement · Advanced</v>
      </c>
      <c r="D718" s="6" t="n">
        <f aca="false">(A718+1)^2.4 * 1.004^A718</f>
        <v>124332407.984442</v>
      </c>
      <c r="E718" s="6" t="n">
        <f aca="false">$I$2*(A718+1)^1.9*1.003^A718</f>
        <v>982.687773374254</v>
      </c>
      <c r="F718" s="6" t="n">
        <f aca="false">(A718+1)^1.12</f>
        <v>1578.27055561514</v>
      </c>
      <c r="G718" s="6" t="n">
        <f aca="false">G717+E718</f>
        <v>152145.683512698</v>
      </c>
    </row>
    <row r="719" customFormat="false" ht="15" hidden="false" customHeight="true" outlineLevel="0" collapsed="false">
      <c r="A719" s="6" t="n">
        <v>717</v>
      </c>
      <c r="B719" s="6" t="n">
        <f aca="false">MIN(42, FLOOR(A719/32,1)+1)</f>
        <v>23</v>
      </c>
      <c r="C719" s="6" t="str">
        <f aca="false">INDEX(Grades_Realms!$B$2:$B$43, B719)</f>
        <v>Void Refinement · Advanced</v>
      </c>
      <c r="D719" s="6" t="n">
        <f aca="false">(A719+1)^2.4 * 1.004^A719</f>
        <v>125247985.751313</v>
      </c>
      <c r="E719" s="6" t="n">
        <f aca="false">$I$2*(A719+1)^1.9*1.003^A719</f>
        <v>988.249342098706</v>
      </c>
      <c r="F719" s="6" t="n">
        <f aca="false">(A719+1)^1.12</f>
        <v>1580.73612170078</v>
      </c>
      <c r="G719" s="6" t="n">
        <f aca="false">G718+E719</f>
        <v>153133.932854796</v>
      </c>
    </row>
    <row r="720" customFormat="false" ht="15" hidden="false" customHeight="true" outlineLevel="0" collapsed="false">
      <c r="A720" s="6" t="n">
        <v>718</v>
      </c>
      <c r="B720" s="6" t="n">
        <f aca="false">MIN(42, FLOOR(A720/32,1)+1)</f>
        <v>23</v>
      </c>
      <c r="C720" s="6" t="str">
        <f aca="false">INDEX(Grades_Realms!$B$2:$B$43, B720)</f>
        <v>Void Refinement · Advanced</v>
      </c>
      <c r="D720" s="6" t="n">
        <f aca="false">(A720+1)^2.4 * 1.004^A720</f>
        <v>126169718.408365</v>
      </c>
      <c r="E720" s="6" t="n">
        <f aca="false">$I$2*(A720+1)^1.9*1.003^A720</f>
        <v>993.838723915991</v>
      </c>
      <c r="F720" s="6" t="n">
        <f aca="false">(A720+1)^1.12</f>
        <v>1583.20209989331</v>
      </c>
      <c r="G720" s="6" t="n">
        <f aca="false">G719+E720</f>
        <v>154127.771578712</v>
      </c>
    </row>
    <row r="721" customFormat="false" ht="15" hidden="false" customHeight="true" outlineLevel="0" collapsed="false">
      <c r="A721" s="6" t="n">
        <v>719</v>
      </c>
      <c r="B721" s="6" t="n">
        <f aca="false">MIN(42, FLOOR(A721/32,1)+1)</f>
        <v>23</v>
      </c>
      <c r="C721" s="6" t="str">
        <f aca="false">INDEX(Grades_Realms!$B$2:$B$43, B721)</f>
        <v>Void Refinement · Advanced</v>
      </c>
      <c r="D721" s="6" t="n">
        <f aca="false">(A721+1)^2.4 * 1.004^A721</f>
        <v>127097644.28205</v>
      </c>
      <c r="E721" s="6" t="n">
        <f aca="false">$I$2*(A721+1)^1.9*1.003^A721</f>
        <v>999.456045055216</v>
      </c>
      <c r="F721" s="6" t="n">
        <f aca="false">(A721+1)^1.12</f>
        <v>1585.66848968829</v>
      </c>
      <c r="G721" s="6" t="n">
        <f aca="false">G720+E721</f>
        <v>155127.227623767</v>
      </c>
    </row>
    <row r="722" customFormat="false" ht="15" hidden="false" customHeight="true" outlineLevel="0" collapsed="false">
      <c r="A722" s="6" t="n">
        <v>720</v>
      </c>
      <c r="B722" s="6" t="n">
        <f aca="false">MIN(42, FLOOR(A722/32,1)+1)</f>
        <v>23</v>
      </c>
      <c r="C722" s="6" t="str">
        <f aca="false">INDEX(Grades_Realms!$B$2:$B$43, B722)</f>
        <v>Void Refinement · Advanced</v>
      </c>
      <c r="D722" s="6" t="n">
        <f aca="false">(A722+1)^2.4 * 1.004^A722</f>
        <v>128031801.92335</v>
      </c>
      <c r="E722" s="6" t="n">
        <f aca="false">$I$2*(A722+1)^1.9*1.003^A722</f>
        <v>1005.10143228009</v>
      </c>
      <c r="F722" s="6" t="n">
        <f aca="false">(A722+1)^1.12</f>
        <v>1588.13529058263</v>
      </c>
      <c r="G722" s="6" t="n">
        <f aca="false">G721+E722</f>
        <v>156132.329056047</v>
      </c>
    </row>
    <row r="723" customFormat="false" ht="15" hidden="false" customHeight="true" outlineLevel="0" collapsed="false">
      <c r="A723" s="6" t="n">
        <v>721</v>
      </c>
      <c r="B723" s="6" t="n">
        <f aca="false">MIN(42, FLOOR(A723/32,1)+1)</f>
        <v>23</v>
      </c>
      <c r="C723" s="6" t="str">
        <f aca="false">INDEX(Grades_Realms!$B$2:$B$43, B723)</f>
        <v>Void Refinement · Advanced</v>
      </c>
      <c r="D723" s="6" t="n">
        <f aca="false">(A723+1)^2.4 * 1.004^A723</f>
        <v>128972230.109029</v>
      </c>
      <c r="E723" s="6" t="n">
        <f aca="false">$I$2*(A723+1)^1.9*1.003^A723</f>
        <v>1010.77501289105</v>
      </c>
      <c r="F723" s="6" t="n">
        <f aca="false">(A723+1)^1.12</f>
        <v>1590.60250207451</v>
      </c>
      <c r="G723" s="6" t="n">
        <f aca="false">G722+E723</f>
        <v>157143.104068939</v>
      </c>
    </row>
    <row r="724" customFormat="false" ht="15" hidden="false" customHeight="true" outlineLevel="0" collapsed="false">
      <c r="A724" s="6" t="n">
        <v>722</v>
      </c>
      <c r="B724" s="6" t="n">
        <f aca="false">MIN(42, FLOOR(A724/32,1)+1)</f>
        <v>23</v>
      </c>
      <c r="C724" s="6" t="str">
        <f aca="false">INDEX(Grades_Realms!$B$2:$B$43, B724)</f>
        <v>Void Refinement · Advanced</v>
      </c>
      <c r="D724" s="6" t="n">
        <f aca="false">(A724+1)^2.4 * 1.004^A724</f>
        <v>129918967.842894</v>
      </c>
      <c r="E724" s="6" t="n">
        <f aca="false">$I$2*(A724+1)^1.9*1.003^A724</f>
        <v>1016.47691472748</v>
      </c>
      <c r="F724" s="6" t="n">
        <f aca="false">(A724+1)^1.12</f>
        <v>1593.07012366345</v>
      </c>
      <c r="G724" s="6" t="n">
        <f aca="false">G723+E724</f>
        <v>158159.580983666</v>
      </c>
    </row>
    <row r="725" customFormat="false" ht="15" hidden="false" customHeight="true" outlineLevel="0" collapsed="false">
      <c r="A725" s="6" t="n">
        <v>723</v>
      </c>
      <c r="B725" s="6" t="n">
        <f aca="false">MIN(42, FLOOR(A725/32,1)+1)</f>
        <v>23</v>
      </c>
      <c r="C725" s="6" t="str">
        <f aca="false">INDEX(Grades_Realms!$B$2:$B$43, B725)</f>
        <v>Void Refinement · Advanced</v>
      </c>
      <c r="D725" s="6" t="n">
        <f aca="false">(A725+1)^2.4 * 1.004^A725</f>
        <v>130872054.357062</v>
      </c>
      <c r="E725" s="6" t="n">
        <f aca="false">$I$2*(A725+1)^1.9*1.003^A725</f>
        <v>1022.20726616982</v>
      </c>
      <c r="F725" s="6" t="n">
        <f aca="false">(A725+1)^1.12</f>
        <v>1595.53815485025</v>
      </c>
      <c r="G725" s="6" t="n">
        <f aca="false">G724+E725</f>
        <v>159181.788249836</v>
      </c>
    </row>
    <row r="726" customFormat="false" ht="15" hidden="false" customHeight="true" outlineLevel="0" collapsed="false">
      <c r="A726" s="6" t="n">
        <v>724</v>
      </c>
      <c r="B726" s="6" t="n">
        <f aca="false">MIN(42, FLOOR(A726/32,1)+1)</f>
        <v>23</v>
      </c>
      <c r="C726" s="6" t="str">
        <f aca="false">INDEX(Grades_Realms!$B$2:$B$43, B726)</f>
        <v>Void Refinement · Advanced</v>
      </c>
      <c r="D726" s="6" t="n">
        <f aca="false">(A726+1)^2.4 * 1.004^A726</f>
        <v>131831529.113236</v>
      </c>
      <c r="E726" s="6" t="n">
        <f aca="false">$I$2*(A726+1)^1.9*1.003^A726</f>
        <v>1027.96619614177</v>
      </c>
      <c r="F726" s="6" t="n">
        <f aca="false">(A726+1)^1.12</f>
        <v>1598.00659513701</v>
      </c>
      <c r="G726" s="6" t="n">
        <f aca="false">G725+E726</f>
        <v>160209.754445978</v>
      </c>
    </row>
    <row r="727" customFormat="false" ht="15" hidden="false" customHeight="true" outlineLevel="0" collapsed="false">
      <c r="A727" s="6" t="n">
        <v>725</v>
      </c>
      <c r="B727" s="6" t="n">
        <f aca="false">MIN(42, FLOOR(A727/32,1)+1)</f>
        <v>23</v>
      </c>
      <c r="C727" s="6" t="str">
        <f aca="false">INDEX(Grades_Realms!$B$2:$B$43, B727)</f>
        <v>Void Refinement · Advanced</v>
      </c>
      <c r="D727" s="6" t="n">
        <f aca="false">(A727+1)^2.4 * 1.004^A727</f>
        <v>132797431.803981</v>
      </c>
      <c r="E727" s="6" t="n">
        <f aca="false">$I$2*(A727+1)^1.9*1.003^A727</f>
        <v>1033.75383411246</v>
      </c>
      <c r="F727" s="6" t="n">
        <f aca="false">(A727+1)^1.12</f>
        <v>1600.47544402714</v>
      </c>
      <c r="G727" s="6" t="n">
        <f aca="false">G726+E727</f>
        <v>161243.50828009</v>
      </c>
    </row>
    <row r="728" customFormat="false" ht="15" hidden="false" customHeight="true" outlineLevel="0" collapsed="false">
      <c r="A728" s="6" t="n">
        <v>726</v>
      </c>
      <c r="B728" s="6" t="n">
        <f aca="false">MIN(42, FLOOR(A728/32,1)+1)</f>
        <v>23</v>
      </c>
      <c r="C728" s="6" t="str">
        <f aca="false">INDEX(Grades_Realms!$B$2:$B$43, B728)</f>
        <v>Void Refinement · Advanced</v>
      </c>
      <c r="D728" s="6" t="n">
        <f aca="false">(A728+1)^2.4 * 1.004^A728</f>
        <v>133769802.354017</v>
      </c>
      <c r="E728" s="6" t="n">
        <f aca="false">$I$2*(A728+1)^1.9*1.003^A728</f>
        <v>1039.57031009869</v>
      </c>
      <c r="F728" s="6" t="n">
        <f aca="false">(A728+1)^1.12</f>
        <v>1602.94470102532</v>
      </c>
      <c r="G728" s="6" t="n">
        <f aca="false">G727+E728</f>
        <v>162283.078590189</v>
      </c>
    </row>
    <row r="729" customFormat="false" ht="15" hidden="false" customHeight="true" outlineLevel="0" collapsed="false">
      <c r="A729" s="6" t="n">
        <v>727</v>
      </c>
      <c r="B729" s="6" t="n">
        <f aca="false">MIN(42, FLOOR(A729/32,1)+1)</f>
        <v>23</v>
      </c>
      <c r="C729" s="6" t="str">
        <f aca="false">INDEX(Grades_Realms!$B$2:$B$43, B729)</f>
        <v>Void Refinement · Advanced</v>
      </c>
      <c r="D729" s="6" t="n">
        <f aca="false">(A729+1)^2.4 * 1.004^A729</f>
        <v>134748680.921512</v>
      </c>
      <c r="E729" s="6" t="n">
        <f aca="false">$I$2*(A729+1)^1.9*1.003^A729</f>
        <v>1045.41575466707</v>
      </c>
      <c r="F729" s="6" t="n">
        <f aca="false">(A729+1)^1.12</f>
        <v>1605.4143656375</v>
      </c>
      <c r="G729" s="6" t="n">
        <f aca="false">G728+E729</f>
        <v>163328.494344856</v>
      </c>
    </row>
    <row r="730" customFormat="false" ht="15" hidden="false" customHeight="true" outlineLevel="0" collapsed="false">
      <c r="A730" s="6" t="n">
        <v>728</v>
      </c>
      <c r="B730" s="6" t="n">
        <f aca="false">MIN(42, FLOOR(A730/32,1)+1)</f>
        <v>23</v>
      </c>
      <c r="C730" s="6" t="str">
        <f aca="false">INDEX(Grades_Realms!$B$2:$B$43, B730)</f>
        <v>Void Refinement · Advanced</v>
      </c>
      <c r="D730" s="6" t="n">
        <f aca="false">(A730+1)^2.4 * 1.004^A730</f>
        <v>135734107.89938</v>
      </c>
      <c r="E730" s="6" t="n">
        <f aca="false">$I$2*(A730+1)^1.9*1.003^A730</f>
        <v>1051.29029893626</v>
      </c>
      <c r="F730" s="6" t="n">
        <f aca="false">(A730+1)^1.12</f>
        <v>1607.88443737093</v>
      </c>
      <c r="G730" s="6" t="n">
        <f aca="false">G729+E730</f>
        <v>164379.784643792</v>
      </c>
    </row>
    <row r="731" customFormat="false" ht="15" hidden="false" customHeight="true" outlineLevel="0" collapsed="false">
      <c r="A731" s="6" t="n">
        <v>729</v>
      </c>
      <c r="B731" s="6" t="n">
        <f aca="false">MIN(42, FLOOR(A731/32,1)+1)</f>
        <v>23</v>
      </c>
      <c r="C731" s="6" t="str">
        <f aca="false">INDEX(Grades_Realms!$B$2:$B$43, B731)</f>
        <v>Void Refinement · Advanced</v>
      </c>
      <c r="D731" s="6" t="n">
        <f aca="false">(A731+1)^2.4 * 1.004^A731</f>
        <v>136726123.916598</v>
      </c>
      <c r="E731" s="6" t="n">
        <f aca="false">$I$2*(A731+1)^1.9*1.003^A731</f>
        <v>1057.19407457921</v>
      </c>
      <c r="F731" s="6" t="n">
        <f aca="false">(A731+1)^1.12</f>
        <v>1610.35491573412</v>
      </c>
      <c r="G731" s="6" t="n">
        <f aca="false">G730+E731</f>
        <v>165436.978718371</v>
      </c>
    </row>
    <row r="732" customFormat="false" ht="15" hidden="false" customHeight="true" outlineLevel="0" collapsed="false">
      <c r="A732" s="6" t="n">
        <v>730</v>
      </c>
      <c r="B732" s="6" t="n">
        <f aca="false">MIN(42, FLOOR(A732/32,1)+1)</f>
        <v>23</v>
      </c>
      <c r="C732" s="6" t="str">
        <f aca="false">INDEX(Grades_Realms!$B$2:$B$43, B732)</f>
        <v>Void Refinement · Advanced</v>
      </c>
      <c r="D732" s="6" t="n">
        <f aca="false">(A732+1)^2.4 * 1.004^A732</f>
        <v>137724769.83951</v>
      </c>
      <c r="E732" s="6" t="n">
        <f aca="false">$I$2*(A732+1)^1.9*1.003^A732</f>
        <v>1063.12721382535</v>
      </c>
      <c r="F732" s="6" t="n">
        <f aca="false">(A732+1)^1.12</f>
        <v>1612.82580023683</v>
      </c>
      <c r="G732" s="6" t="n">
        <f aca="false">G731+E732</f>
        <v>166500.105932197</v>
      </c>
    </row>
    <row r="733" customFormat="false" ht="15" hidden="false" customHeight="true" outlineLevel="0" collapsed="false">
      <c r="A733" s="6" t="n">
        <v>731</v>
      </c>
      <c r="B733" s="6" t="n">
        <f aca="false">MIN(42, FLOOR(A733/32,1)+1)</f>
        <v>23</v>
      </c>
      <c r="C733" s="6" t="str">
        <f aca="false">INDEX(Grades_Realms!$B$2:$B$43, B733)</f>
        <v>Void Refinement · Advanced</v>
      </c>
      <c r="D733" s="6" t="n">
        <f aca="false">(A733+1)^2.4 * 1.004^A733</f>
        <v>138730086.773162</v>
      </c>
      <c r="E733" s="6" t="n">
        <f aca="false">$I$2*(A733+1)^1.9*1.003^A733</f>
        <v>1069.08984946286</v>
      </c>
      <c r="F733" s="6" t="n">
        <f aca="false">(A733+1)^1.12</f>
        <v>1615.29709039012</v>
      </c>
      <c r="G733" s="6" t="n">
        <f aca="false">G732+E733</f>
        <v>167569.195781659</v>
      </c>
    </row>
    <row r="734" customFormat="false" ht="15" hidden="false" customHeight="true" outlineLevel="0" collapsed="false">
      <c r="A734" s="6" t="n">
        <v>732</v>
      </c>
      <c r="B734" s="6" t="n">
        <f aca="false">MIN(42, FLOOR(A734/32,1)+1)</f>
        <v>23</v>
      </c>
      <c r="C734" s="6" t="str">
        <f aca="false">INDEX(Grades_Realms!$B$2:$B$43, B734)</f>
        <v>Void Refinement · Advanced</v>
      </c>
      <c r="D734" s="6" t="n">
        <f aca="false">(A734+1)^2.4 * 1.004^A734</f>
        <v>139742116.062621</v>
      </c>
      <c r="E734" s="6" t="n">
        <f aca="false">$I$2*(A734+1)^1.9*1.003^A734</f>
        <v>1075.08211484089</v>
      </c>
      <c r="F734" s="6" t="n">
        <f aca="false">(A734+1)^1.12</f>
        <v>1617.76878570627</v>
      </c>
      <c r="G734" s="6" t="n">
        <f aca="false">G733+E734</f>
        <v>168644.2778965</v>
      </c>
    </row>
    <row r="735" customFormat="false" ht="15" hidden="false" customHeight="true" outlineLevel="0" collapsed="false">
      <c r="A735" s="6" t="n">
        <v>733</v>
      </c>
      <c r="B735" s="6" t="n">
        <f aca="false">MIN(42, FLOOR(A735/32,1)+1)</f>
        <v>23</v>
      </c>
      <c r="C735" s="6" t="str">
        <f aca="false">INDEX(Grades_Realms!$B$2:$B$43, B735)</f>
        <v>Void Refinement · Advanced</v>
      </c>
      <c r="D735" s="6" t="n">
        <f aca="false">(A735+1)^2.4 * 1.004^A735</f>
        <v>140760899.294321</v>
      </c>
      <c r="E735" s="6" t="n">
        <f aca="false">$I$2*(A735+1)^1.9*1.003^A735</f>
        <v>1081.10414387184</v>
      </c>
      <c r="F735" s="6" t="n">
        <f aca="false">(A735+1)^1.12</f>
        <v>1620.24088569882</v>
      </c>
      <c r="G735" s="6" t="n">
        <f aca="false">G734+E735</f>
        <v>169725.382040372</v>
      </c>
    </row>
    <row r="736" customFormat="false" ht="15" hidden="false" customHeight="true" outlineLevel="0" collapsed="false">
      <c r="A736" s="6" t="n">
        <v>734</v>
      </c>
      <c r="B736" s="6" t="n">
        <f aca="false">MIN(42, FLOOR(A736/32,1)+1)</f>
        <v>23</v>
      </c>
      <c r="C736" s="6" t="str">
        <f aca="false">INDEX(Grades_Realms!$B$2:$B$43, B736)</f>
        <v>Void Refinement · Advanced</v>
      </c>
      <c r="D736" s="6" t="n">
        <f aca="false">(A736+1)^2.4 * 1.004^A736</f>
        <v>141786478.297399</v>
      </c>
      <c r="E736" s="6" t="n">
        <f aca="false">$I$2*(A736+1)^1.9*1.003^A736</f>
        <v>1087.15607103359</v>
      </c>
      <c r="F736" s="6" t="n">
        <f aca="false">(A736+1)^1.12</f>
        <v>1622.71338988257</v>
      </c>
      <c r="G736" s="6" t="n">
        <f aca="false">G735+E736</f>
        <v>170812.538111406</v>
      </c>
    </row>
    <row r="737" customFormat="false" ht="15" hidden="false" customHeight="true" outlineLevel="0" collapsed="false">
      <c r="A737" s="6" t="n">
        <v>735</v>
      </c>
      <c r="B737" s="6" t="n">
        <f aca="false">MIN(42, FLOOR(A737/32,1)+1)</f>
        <v>23</v>
      </c>
      <c r="C737" s="6" t="str">
        <f aca="false">INDEX(Grades_Realms!$B$2:$B$43, B737)</f>
        <v>Void Refinement · Advanced</v>
      </c>
      <c r="D737" s="6" t="n">
        <f aca="false">(A737+1)^2.4 * 1.004^A737</f>
        <v>142818895.145054</v>
      </c>
      <c r="E737" s="6" t="n">
        <f aca="false">$I$2*(A737+1)^1.9*1.003^A737</f>
        <v>1093.2380313718</v>
      </c>
      <c r="F737" s="6" t="n">
        <f aca="false">(A737+1)^1.12</f>
        <v>1625.18629777354</v>
      </c>
      <c r="G737" s="6" t="n">
        <f aca="false">G736+E737</f>
        <v>171905.776142778</v>
      </c>
    </row>
    <row r="738" customFormat="false" ht="15" hidden="false" customHeight="true" outlineLevel="0" collapsed="false">
      <c r="A738" s="6" t="n">
        <v>736</v>
      </c>
      <c r="B738" s="6" t="n">
        <f aca="false">MIN(42, FLOOR(A738/32,1)+1)</f>
        <v>24</v>
      </c>
      <c r="C738" s="6" t="str">
        <f aca="false">INDEX(Grades_Realms!$B$2:$B$43, B738)</f>
        <v>Void Refinement · Perfected</v>
      </c>
      <c r="D738" s="6" t="n">
        <f aca="false">(A738+1)^2.4 * 1.004^A738</f>
        <v>143858192.155898</v>
      </c>
      <c r="E738" s="6" t="n">
        <f aca="false">$I$2*(A738+1)^1.9*1.003^A738</f>
        <v>1099.35016050219</v>
      </c>
      <c r="F738" s="6" t="n">
        <f aca="false">(A738+1)^1.12</f>
        <v>1627.659608889</v>
      </c>
      <c r="G738" s="6" t="n">
        <f aca="false">G737+E738</f>
        <v>173005.12630328</v>
      </c>
    </row>
    <row r="739" customFormat="false" ht="15" hidden="false" customHeight="true" outlineLevel="0" collapsed="false">
      <c r="A739" s="6" t="n">
        <v>737</v>
      </c>
      <c r="B739" s="6" t="n">
        <f aca="false">MIN(42, FLOOR(A739/32,1)+1)</f>
        <v>24</v>
      </c>
      <c r="C739" s="6" t="str">
        <f aca="false">INDEX(Grades_Realms!$B$2:$B$43, B739)</f>
        <v>Void Refinement · Perfected</v>
      </c>
      <c r="D739" s="6" t="n">
        <f aca="false">(A739+1)^2.4 * 1.004^A739</f>
        <v>144904411.895328</v>
      </c>
      <c r="E739" s="6" t="n">
        <f aca="false">$I$2*(A739+1)^1.9*1.003^A739</f>
        <v>1105.4925946128</v>
      </c>
      <c r="F739" s="6" t="n">
        <f aca="false">(A739+1)^1.12</f>
        <v>1630.13332274745</v>
      </c>
      <c r="G739" s="6" t="n">
        <f aca="false">G738+E739</f>
        <v>174110.618897893</v>
      </c>
    </row>
    <row r="740" customFormat="false" ht="15" hidden="false" customHeight="true" outlineLevel="0" collapsed="false">
      <c r="A740" s="6" t="n">
        <v>738</v>
      </c>
      <c r="B740" s="6" t="n">
        <f aca="false">MIN(42, FLOOR(A740/32,1)+1)</f>
        <v>24</v>
      </c>
      <c r="C740" s="6" t="str">
        <f aca="false">INDEX(Grades_Realms!$B$2:$B$43, B740)</f>
        <v>Void Refinement · Perfected</v>
      </c>
      <c r="D740" s="6" t="n">
        <f aca="false">(A740+1)^2.4 * 1.004^A740</f>
        <v>145957597.176895</v>
      </c>
      <c r="E740" s="6" t="n">
        <f aca="false">$I$2*(A740+1)^1.9*1.003^A740</f>
        <v>1111.66547046633</v>
      </c>
      <c r="F740" s="6" t="n">
        <f aca="false">(A740+1)^1.12</f>
        <v>1632.60743886862</v>
      </c>
      <c r="G740" s="6" t="n">
        <f aca="false">G739+E740</f>
        <v>175222.284368359</v>
      </c>
    </row>
    <row r="741" customFormat="false" ht="15" hidden="false" customHeight="true" outlineLevel="0" collapsed="false">
      <c r="A741" s="6" t="n">
        <v>739</v>
      </c>
      <c r="B741" s="6" t="n">
        <f aca="false">MIN(42, FLOOR(A741/32,1)+1)</f>
        <v>24</v>
      </c>
      <c r="C741" s="6" t="str">
        <f aca="false">INDEX(Grades_Realms!$B$2:$B$43, B741)</f>
        <v>Void Refinement · Perfected</v>
      </c>
      <c r="D741" s="6" t="n">
        <f aca="false">(A741+1)^2.4 * 1.004^A741</f>
        <v>147017791.063689</v>
      </c>
      <c r="E741" s="6" t="n">
        <f aca="false">$I$2*(A741+1)^1.9*1.003^A741</f>
        <v>1117.86892540241</v>
      </c>
      <c r="F741" s="6" t="n">
        <f aca="false">(A741+1)^1.12</f>
        <v>1635.08195677344</v>
      </c>
      <c r="G741" s="6" t="n">
        <f aca="false">G740+E741</f>
        <v>176340.153293761</v>
      </c>
    </row>
    <row r="742" customFormat="false" ht="15" hidden="false" customHeight="true" outlineLevel="0" collapsed="false">
      <c r="A742" s="6" t="n">
        <v>740</v>
      </c>
      <c r="B742" s="6" t="n">
        <f aca="false">MIN(42, FLOOR(A742/32,1)+1)</f>
        <v>24</v>
      </c>
      <c r="C742" s="6" t="str">
        <f aca="false">INDEX(Grades_Realms!$B$2:$B$43, B742)</f>
        <v>Void Refinement · Perfected</v>
      </c>
      <c r="D742" s="6" t="n">
        <f aca="false">(A742+1)^2.4 * 1.004^A742</f>
        <v>148085036.86972</v>
      </c>
      <c r="E742" s="6" t="n">
        <f aca="false">$I$2*(A742+1)^1.9*1.003^A742</f>
        <v>1124.10309733994</v>
      </c>
      <c r="F742" s="6" t="n">
        <f aca="false">(A742+1)^1.12</f>
        <v>1637.5568759841</v>
      </c>
      <c r="G742" s="6" t="n">
        <f aca="false">G741+E742</f>
        <v>177464.256391101</v>
      </c>
    </row>
    <row r="743" customFormat="false" ht="15" hidden="false" customHeight="true" outlineLevel="0" collapsed="false">
      <c r="A743" s="6" t="n">
        <v>741</v>
      </c>
      <c r="B743" s="6" t="n">
        <f aca="false">MIN(42, FLOOR(A743/32,1)+1)</f>
        <v>24</v>
      </c>
      <c r="C743" s="6" t="str">
        <f aca="false">INDEX(Grades_Realms!$B$2:$B$43, B743)</f>
        <v>Void Refinement · Perfected</v>
      </c>
      <c r="D743" s="6" t="n">
        <f aca="false">(A743+1)^2.4 * 1.004^A743</f>
        <v>149159378.161322</v>
      </c>
      <c r="E743" s="6" t="n">
        <f aca="false">$I$2*(A743+1)^1.9*1.003^A743</f>
        <v>1130.36812477941</v>
      </c>
      <c r="F743" s="6" t="n">
        <f aca="false">(A743+1)^1.12</f>
        <v>1640.03219602395</v>
      </c>
      <c r="G743" s="6" t="n">
        <f aca="false">G742+E743</f>
        <v>178594.624515881</v>
      </c>
    </row>
    <row r="744" customFormat="false" ht="15" hidden="false" customHeight="true" outlineLevel="0" collapsed="false">
      <c r="A744" s="6" t="n">
        <v>742</v>
      </c>
      <c r="B744" s="6" t="n">
        <f aca="false">MIN(42, FLOOR(A744/32,1)+1)</f>
        <v>24</v>
      </c>
      <c r="C744" s="6" t="str">
        <f aca="false">INDEX(Grades_Realms!$B$2:$B$43, B744)</f>
        <v>Void Refinement · Perfected</v>
      </c>
      <c r="D744" s="6" t="n">
        <f aca="false">(A744+1)^2.4 * 1.004^A744</f>
        <v>150240858.758547</v>
      </c>
      <c r="E744" s="6" t="n">
        <f aca="false">$I$2*(A744+1)^1.9*1.003^A744</f>
        <v>1136.66414680523</v>
      </c>
      <c r="F744" s="6" t="n">
        <f aca="false">(A744+1)^1.12</f>
        <v>1642.5079164176</v>
      </c>
      <c r="G744" s="6" t="n">
        <f aca="false">G743+E744</f>
        <v>179731.288662686</v>
      </c>
    </row>
    <row r="745" customFormat="false" ht="15" hidden="false" customHeight="true" outlineLevel="0" collapsed="false">
      <c r="A745" s="6" t="n">
        <v>743</v>
      </c>
      <c r="B745" s="6" t="n">
        <f aca="false">MIN(42, FLOOR(A745/32,1)+1)</f>
        <v>24</v>
      </c>
      <c r="C745" s="6" t="str">
        <f aca="false">INDEX(Grades_Realms!$B$2:$B$43, B745)</f>
        <v>Void Refinement · Perfected</v>
      </c>
      <c r="D745" s="6" t="n">
        <f aca="false">(A745+1)^2.4 * 1.004^A745</f>
        <v>151329522.736583</v>
      </c>
      <c r="E745" s="6" t="n">
        <f aca="false">$I$2*(A745+1)^1.9*1.003^A745</f>
        <v>1142.99130308807</v>
      </c>
      <c r="F745" s="6" t="n">
        <f aca="false">(A745+1)^1.12</f>
        <v>1644.98403669081</v>
      </c>
      <c r="G745" s="6" t="n">
        <f aca="false">G744+E745</f>
        <v>180874.279965774</v>
      </c>
    </row>
    <row r="746" customFormat="false" ht="15" hidden="false" customHeight="true" outlineLevel="0" collapsed="false">
      <c r="A746" s="6" t="n">
        <v>744</v>
      </c>
      <c r="B746" s="6" t="n">
        <f aca="false">MIN(42, FLOOR(A746/32,1)+1)</f>
        <v>24</v>
      </c>
      <c r="C746" s="6" t="str">
        <f aca="false">INDEX(Grades_Realms!$B$2:$B$43, B746)</f>
        <v>Void Refinement · Perfected</v>
      </c>
      <c r="D746" s="6" t="n">
        <f aca="false">(A746+1)^2.4 * 1.004^A746</f>
        <v>152425414.427167</v>
      </c>
      <c r="E746" s="6" t="n">
        <f aca="false">$I$2*(A746+1)^1.9*1.003^A746</f>
        <v>1149.34973388723</v>
      </c>
      <c r="F746" s="6" t="n">
        <f aca="false">(A746+1)^1.12</f>
        <v>1647.46055637059</v>
      </c>
      <c r="G746" s="6" t="n">
        <f aca="false">G745+E746</f>
        <v>182023.629699661</v>
      </c>
    </row>
    <row r="747" customFormat="false" ht="15" hidden="false" customHeight="true" outlineLevel="0" collapsed="false">
      <c r="A747" s="6" t="n">
        <v>745</v>
      </c>
      <c r="B747" s="6" t="n">
        <f aca="false">MIN(42, FLOOR(A747/32,1)+1)</f>
        <v>24</v>
      </c>
      <c r="C747" s="6" t="str">
        <f aca="false">INDEX(Grades_Realms!$B$2:$B$43, B747)</f>
        <v>Void Refinement · Perfected</v>
      </c>
      <c r="D747" s="6" t="n">
        <f aca="false">(A747+1)^2.4 * 1.004^A747</f>
        <v>153528578.420011</v>
      </c>
      <c r="E747" s="6" t="n">
        <f aca="false">$I$2*(A747+1)^1.9*1.003^A747</f>
        <v>1155.73958005296</v>
      </c>
      <c r="F747" s="6" t="n">
        <f aca="false">(A747+1)^1.12</f>
        <v>1649.93747498511</v>
      </c>
      <c r="G747" s="6" t="n">
        <f aca="false">G746+E747</f>
        <v>183179.369279714</v>
      </c>
    </row>
    <row r="748" customFormat="false" ht="15" hidden="false" customHeight="true" outlineLevel="0" collapsed="false">
      <c r="A748" s="6" t="n">
        <v>746</v>
      </c>
      <c r="B748" s="6" t="n">
        <f aca="false">MIN(42, FLOOR(A748/32,1)+1)</f>
        <v>24</v>
      </c>
      <c r="C748" s="6" t="str">
        <f aca="false">INDEX(Grades_Realms!$B$2:$B$43, B748)</f>
        <v>Void Refinement · Perfected</v>
      </c>
      <c r="D748" s="6" t="n">
        <f aca="false">(A748+1)^2.4 * 1.004^A748</f>
        <v>154639059.564239</v>
      </c>
      <c r="E748" s="6" t="n">
        <f aca="false">$I$2*(A748+1)^1.9*1.003^A748</f>
        <v>1162.16098302888</v>
      </c>
      <c r="F748" s="6" t="n">
        <f aca="false">(A748+1)^1.12</f>
        <v>1652.41479206373</v>
      </c>
      <c r="G748" s="6" t="n">
        <f aca="false">G747+E748</f>
        <v>184341.530262743</v>
      </c>
    </row>
    <row r="749" customFormat="false" ht="15" hidden="false" customHeight="true" outlineLevel="0" collapsed="false">
      <c r="A749" s="6" t="n">
        <v>747</v>
      </c>
      <c r="B749" s="6" t="n">
        <f aca="false">MIN(42, FLOOR(A749/32,1)+1)</f>
        <v>24</v>
      </c>
      <c r="C749" s="6" t="str">
        <f aca="false">INDEX(Grades_Realms!$B$2:$B$43, B749)</f>
        <v>Void Refinement · Perfected</v>
      </c>
      <c r="D749" s="6" t="n">
        <f aca="false">(A749+1)^2.4 * 1.004^A749</f>
        <v>155756902.969822</v>
      </c>
      <c r="E749" s="6" t="n">
        <f aca="false">$I$2*(A749+1)^1.9*1.003^A749</f>
        <v>1168.61408485435</v>
      </c>
      <c r="F749" s="6" t="n">
        <f aca="false">(A749+1)^1.12</f>
        <v>1654.89250713702</v>
      </c>
      <c r="G749" s="6" t="n">
        <f aca="false">G748+E749</f>
        <v>185510.144347597</v>
      </c>
    </row>
    <row r="750" customFormat="false" ht="15" hidden="false" customHeight="true" outlineLevel="0" collapsed="false">
      <c r="A750" s="6" t="n">
        <v>748</v>
      </c>
      <c r="B750" s="6" t="n">
        <f aca="false">MIN(42, FLOOR(A750/32,1)+1)</f>
        <v>24</v>
      </c>
      <c r="C750" s="6" t="str">
        <f aca="false">INDEX(Grades_Realms!$B$2:$B$43, B750)</f>
        <v>Void Refinement · Perfected</v>
      </c>
      <c r="D750" s="6" t="n">
        <f aca="false">(A750+1)^2.4 * 1.004^A750</f>
        <v>156882154.009031</v>
      </c>
      <c r="E750" s="6" t="n">
        <f aca="false">$I$2*(A750+1)^1.9*1.003^A750</f>
        <v>1175.09902816682</v>
      </c>
      <c r="F750" s="6" t="n">
        <f aca="false">(A750+1)^1.12</f>
        <v>1657.3706197367</v>
      </c>
      <c r="G750" s="6" t="n">
        <f aca="false">G749+E750</f>
        <v>186685.243375764</v>
      </c>
    </row>
    <row r="751" customFormat="false" ht="15" hidden="false" customHeight="true" outlineLevel="0" collapsed="false">
      <c r="A751" s="6" t="n">
        <v>749</v>
      </c>
      <c r="B751" s="6" t="n">
        <f aca="false">MIN(42, FLOOR(A751/32,1)+1)</f>
        <v>24</v>
      </c>
      <c r="C751" s="6" t="str">
        <f aca="false">INDEX(Grades_Realms!$B$2:$B$43, B751)</f>
        <v>Void Refinement · Perfected</v>
      </c>
      <c r="D751" s="6" t="n">
        <f aca="false">(A751+1)^2.4 * 1.004^A751</f>
        <v>158014858.317891</v>
      </c>
      <c r="E751" s="6" t="n">
        <f aca="false">$I$2*(A751+1)^1.9*1.003^A751</f>
        <v>1181.61595620426</v>
      </c>
      <c r="F751" s="6" t="n">
        <f aca="false">(A751+1)^1.12</f>
        <v>1659.84912939568</v>
      </c>
      <c r="G751" s="6" t="n">
        <f aca="false">G750+E751</f>
        <v>187866.859331969</v>
      </c>
    </row>
    <row r="752" customFormat="false" ht="15" hidden="false" customHeight="true" outlineLevel="0" collapsed="false">
      <c r="A752" s="6" t="n">
        <v>750</v>
      </c>
      <c r="B752" s="6" t="n">
        <f aca="false">MIN(42, FLOOR(A752/32,1)+1)</f>
        <v>24</v>
      </c>
      <c r="C752" s="6" t="str">
        <f aca="false">INDEX(Grades_Realms!$B$2:$B$43, B752)</f>
        <v>Void Refinement · Perfected</v>
      </c>
      <c r="D752" s="6" t="n">
        <f aca="false">(A752+1)^2.4 * 1.004^A752</f>
        <v>159155061.797646</v>
      </c>
      <c r="E752" s="6" t="n">
        <f aca="false">$I$2*(A752+1)^1.9*1.003^A752</f>
        <v>1188.16501280758</v>
      </c>
      <c r="F752" s="6" t="n">
        <f aca="false">(A752+1)^1.12</f>
        <v>1662.32803564805</v>
      </c>
      <c r="G752" s="6" t="n">
        <f aca="false">G751+E752</f>
        <v>189055.024344776</v>
      </c>
    </row>
    <row r="753" customFormat="false" ht="15" hidden="false" customHeight="true" outlineLevel="0" collapsed="false">
      <c r="A753" s="6" t="n">
        <v>751</v>
      </c>
      <c r="B753" s="6" t="n">
        <f aca="false">MIN(42, FLOOR(A753/32,1)+1)</f>
        <v>24</v>
      </c>
      <c r="C753" s="6" t="str">
        <f aca="false">INDEX(Grades_Realms!$B$2:$B$43, B753)</f>
        <v>Void Refinement · Perfected</v>
      </c>
      <c r="D753" s="6" t="n">
        <f aca="false">(A753+1)^2.4 * 1.004^A753</f>
        <v>160302810.616231</v>
      </c>
      <c r="E753" s="6" t="n">
        <f aca="false">$I$2*(A753+1)^1.9*1.003^A753</f>
        <v>1194.74634242301</v>
      </c>
      <c r="F753" s="6" t="n">
        <f aca="false">(A753+1)^1.12</f>
        <v>1664.80733802904</v>
      </c>
      <c r="G753" s="6" t="n">
        <f aca="false">G752+E753</f>
        <v>190249.770687199</v>
      </c>
    </row>
    <row r="754" customFormat="false" ht="15" hidden="false" customHeight="true" outlineLevel="0" collapsed="false">
      <c r="A754" s="6" t="n">
        <v>752</v>
      </c>
      <c r="B754" s="6" t="n">
        <f aca="false">MIN(42, FLOOR(A754/32,1)+1)</f>
        <v>24</v>
      </c>
      <c r="C754" s="6" t="str">
        <f aca="false">INDEX(Grades_Realms!$B$2:$B$43, B754)</f>
        <v>Void Refinement · Perfected</v>
      </c>
      <c r="D754" s="6" t="n">
        <f aca="false">(A754+1)^2.4 * 1.004^A754</f>
        <v>161458151.20975</v>
      </c>
      <c r="E754" s="6" t="n">
        <f aca="false">$I$2*(A754+1)^1.9*1.003^A754</f>
        <v>1201.36009010455</v>
      </c>
      <c r="F754" s="6" t="n">
        <f aca="false">(A754+1)^1.12</f>
        <v>1667.28703607507</v>
      </c>
      <c r="G754" s="6" t="n">
        <f aca="false">G753+E754</f>
        <v>191451.130777304</v>
      </c>
    </row>
    <row r="755" customFormat="false" ht="15" hidden="false" customHeight="true" outlineLevel="0" collapsed="false">
      <c r="A755" s="6" t="n">
        <v>753</v>
      </c>
      <c r="B755" s="6" t="n">
        <f aca="false">MIN(42, FLOOR(A755/32,1)+1)</f>
        <v>24</v>
      </c>
      <c r="C755" s="6" t="str">
        <f aca="false">INDEX(Grades_Realms!$B$2:$B$43, B755)</f>
        <v>Void Refinement · Perfected</v>
      </c>
      <c r="D755" s="6" t="n">
        <f aca="false">(A755+1)^2.4 * 1.004^A755</f>
        <v>162621130.283966</v>
      </c>
      <c r="E755" s="6" t="n">
        <f aca="false">$I$2*(A755+1)^1.9*1.003^A755</f>
        <v>1208.0064015164</v>
      </c>
      <c r="F755" s="6" t="n">
        <f aca="false">(A755+1)^1.12</f>
        <v>1669.76712932371</v>
      </c>
      <c r="G755" s="6" t="n">
        <f aca="false">G754+E755</f>
        <v>192659.13717882</v>
      </c>
    </row>
    <row r="756" customFormat="false" ht="15" hidden="false" customHeight="true" outlineLevel="0" collapsed="false">
      <c r="A756" s="6" t="n">
        <v>754</v>
      </c>
      <c r="B756" s="6" t="n">
        <f aca="false">MIN(42, FLOOR(A756/32,1)+1)</f>
        <v>24</v>
      </c>
      <c r="C756" s="6" t="str">
        <f aca="false">INDEX(Grades_Realms!$B$2:$B$43, B756)</f>
        <v>Void Refinement · Perfected</v>
      </c>
      <c r="D756" s="6" t="n">
        <f aca="false">(A756+1)^2.4 * 1.004^A756</f>
        <v>163791794.815796</v>
      </c>
      <c r="E756" s="6" t="n">
        <f aca="false">$I$2*(A756+1)^1.9*1.003^A756</f>
        <v>1214.6854229354</v>
      </c>
      <c r="F756" s="6" t="n">
        <f aca="false">(A756+1)^1.12</f>
        <v>1672.24761731366</v>
      </c>
      <c r="G756" s="6" t="n">
        <f aca="false">G755+E756</f>
        <v>193873.822601755</v>
      </c>
    </row>
    <row r="757" customFormat="false" ht="15" hidden="false" customHeight="true" outlineLevel="0" collapsed="false">
      <c r="A757" s="6" t="n">
        <v>755</v>
      </c>
      <c r="B757" s="6" t="n">
        <f aca="false">MIN(42, FLOOR(A757/32,1)+1)</f>
        <v>24</v>
      </c>
      <c r="C757" s="6" t="str">
        <f aca="false">INDEX(Grades_Realms!$B$2:$B$43, B757)</f>
        <v>Void Refinement · Perfected</v>
      </c>
      <c r="D757" s="6" t="n">
        <f aca="false">(A757+1)^2.4 * 1.004^A757</f>
        <v>164970192.054812</v>
      </c>
      <c r="E757" s="6" t="n">
        <f aca="false">$I$2*(A757+1)^1.9*1.003^A757</f>
        <v>1221.3973012535</v>
      </c>
      <c r="F757" s="6" t="n">
        <f aca="false">(A757+1)^1.12</f>
        <v>1674.7284995848</v>
      </c>
      <c r="G757" s="6" t="n">
        <f aca="false">G756+E757</f>
        <v>195095.219903009</v>
      </c>
    </row>
    <row r="758" customFormat="false" ht="15" hidden="false" customHeight="true" outlineLevel="0" collapsed="false">
      <c r="A758" s="6" t="n">
        <v>756</v>
      </c>
      <c r="B758" s="6" t="n">
        <f aca="false">MIN(42, FLOOR(A758/32,1)+1)</f>
        <v>24</v>
      </c>
      <c r="C758" s="6" t="str">
        <f aca="false">INDEX(Grades_Realms!$B$2:$B$43, B758)</f>
        <v>Void Refinement · Perfected</v>
      </c>
      <c r="D758" s="6" t="n">
        <f aca="false">(A758+1)^2.4 * 1.004^A758</f>
        <v>166156369.524759</v>
      </c>
      <c r="E758" s="6" t="n">
        <f aca="false">$I$2*(A758+1)^1.9*1.003^A758</f>
        <v>1228.14218398021</v>
      </c>
      <c r="F758" s="6" t="n">
        <f aca="false">(A758+1)^1.12</f>
        <v>1677.20977567814</v>
      </c>
      <c r="G758" s="6" t="n">
        <f aca="false">G757+E758</f>
        <v>196323.362086989</v>
      </c>
    </row>
    <row r="759" customFormat="false" ht="15" hidden="false" customHeight="true" outlineLevel="0" collapsed="false">
      <c r="A759" s="6" t="n">
        <v>757</v>
      </c>
      <c r="B759" s="6" t="n">
        <f aca="false">MIN(42, FLOOR(A759/32,1)+1)</f>
        <v>24</v>
      </c>
      <c r="C759" s="6" t="str">
        <f aca="false">INDEX(Grades_Realms!$B$2:$B$43, B759)</f>
        <v>Void Refinement · Perfected</v>
      </c>
      <c r="D759" s="6" t="n">
        <f aca="false">(A759+1)^2.4 * 1.004^A759</f>
        <v>167350375.025066</v>
      </c>
      <c r="E759" s="6" t="n">
        <f aca="false">$I$2*(A759+1)^1.9*1.003^A759</f>
        <v>1234.92021924505</v>
      </c>
      <c r="F759" s="6" t="n">
        <f aca="false">(A759+1)^1.12</f>
        <v>1679.69144513584</v>
      </c>
      <c r="G759" s="6" t="n">
        <f aca="false">G758+E759</f>
        <v>197558.282306234</v>
      </c>
    </row>
    <row r="760" customFormat="false" ht="15" hidden="false" customHeight="true" outlineLevel="0" collapsed="false">
      <c r="A760" s="6" t="n">
        <v>758</v>
      </c>
      <c r="B760" s="6" t="n">
        <f aca="false">MIN(42, FLOOR(A760/32,1)+1)</f>
        <v>24</v>
      </c>
      <c r="C760" s="6" t="str">
        <f aca="false">INDEX(Grades_Realms!$B$2:$B$43, B760)</f>
        <v>Void Refinement · Perfected</v>
      </c>
      <c r="D760" s="6" t="n">
        <f aca="false">(A760+1)^2.4 * 1.004^A760</f>
        <v>168552256.63238</v>
      </c>
      <c r="E760" s="6" t="n">
        <f aca="false">$I$2*(A760+1)^1.9*1.003^A760</f>
        <v>1241.73155580009</v>
      </c>
      <c r="F760" s="6" t="n">
        <f aca="false">(A760+1)^1.12</f>
        <v>1682.17350750117</v>
      </c>
      <c r="G760" s="6" t="n">
        <f aca="false">G759+E760</f>
        <v>198800.013862034</v>
      </c>
    </row>
    <row r="761" customFormat="false" ht="15" hidden="false" customHeight="true" outlineLevel="0" collapsed="false">
      <c r="A761" s="6" t="n">
        <v>759</v>
      </c>
      <c r="B761" s="6" t="n">
        <f aca="false">MIN(42, FLOOR(A761/32,1)+1)</f>
        <v>24</v>
      </c>
      <c r="C761" s="6" t="str">
        <f aca="false">INDEX(Grades_Realms!$B$2:$B$43, B761)</f>
        <v>Void Refinement · Perfected</v>
      </c>
      <c r="D761" s="6" t="n">
        <f aca="false">(A761+1)^2.4 * 1.004^A761</f>
        <v>169762062.702103</v>
      </c>
      <c r="E761" s="6" t="n">
        <f aca="false">$I$2*(A761+1)^1.9*1.003^A761</f>
        <v>1248.5763430224</v>
      </c>
      <c r="F761" s="6" t="n">
        <f aca="false">(A761+1)^1.12</f>
        <v>1684.65596231855</v>
      </c>
      <c r="G761" s="6" t="n">
        <f aca="false">G760+E761</f>
        <v>200048.590205057</v>
      </c>
    </row>
    <row r="762" customFormat="false" ht="15" hidden="false" customHeight="true" outlineLevel="0" collapsed="false">
      <c r="A762" s="6" t="n">
        <v>760</v>
      </c>
      <c r="B762" s="6" t="n">
        <f aca="false">MIN(42, FLOOR(A762/32,1)+1)</f>
        <v>24</v>
      </c>
      <c r="C762" s="6" t="str">
        <f aca="false">INDEX(Grades_Realms!$B$2:$B$43, B762)</f>
        <v>Void Refinement · Perfected</v>
      </c>
      <c r="D762" s="6" t="n">
        <f aca="false">(A762+1)^2.4 * 1.004^A762</f>
        <v>170979841.86993</v>
      </c>
      <c r="E762" s="6" t="n">
        <f aca="false">$I$2*(A762+1)^1.9*1.003^A762</f>
        <v>1255.45473091654</v>
      </c>
      <c r="F762" s="6" t="n">
        <f aca="false">(A762+1)^1.12</f>
        <v>1687.13880913355</v>
      </c>
      <c r="G762" s="6" t="n">
        <f aca="false">G761+E762</f>
        <v>201304.044935973</v>
      </c>
    </row>
    <row r="763" customFormat="false" ht="15" hidden="false" customHeight="true" outlineLevel="0" collapsed="false">
      <c r="A763" s="6" t="n">
        <v>761</v>
      </c>
      <c r="B763" s="6" t="n">
        <f aca="false">MIN(42, FLOOR(A763/32,1)+1)</f>
        <v>24</v>
      </c>
      <c r="C763" s="6" t="str">
        <f aca="false">INDEX(Grades_Realms!$B$2:$B$43, B763)</f>
        <v>Void Refinement · Perfected</v>
      </c>
      <c r="D763" s="6" t="n">
        <f aca="false">(A763+1)^2.4 * 1.004^A763</f>
        <v>172205643.053407</v>
      </c>
      <c r="E763" s="6" t="n">
        <f aca="false">$I$2*(A763+1)^1.9*1.003^A763</f>
        <v>1262.36687011713</v>
      </c>
      <c r="F763" s="6" t="n">
        <f aca="false">(A763+1)^1.12</f>
        <v>1689.62204749281</v>
      </c>
      <c r="G763" s="6" t="n">
        <f aca="false">G762+E763</f>
        <v>202566.41180609</v>
      </c>
    </row>
    <row r="764" customFormat="false" ht="15" hidden="false" customHeight="true" outlineLevel="0" collapsed="false">
      <c r="A764" s="6" t="n">
        <v>762</v>
      </c>
      <c r="B764" s="6" t="n">
        <f aca="false">MIN(42, FLOOR(A764/32,1)+1)</f>
        <v>24</v>
      </c>
      <c r="C764" s="6" t="str">
        <f aca="false">INDEX(Grades_Realms!$B$2:$B$43, B764)</f>
        <v>Void Refinement · Perfected</v>
      </c>
      <c r="D764" s="6" t="n">
        <f aca="false">(A764+1)^2.4 * 1.004^A764</f>
        <v>173439515.453489</v>
      </c>
      <c r="E764" s="6" t="n">
        <f aca="false">$I$2*(A764+1)^1.9*1.003^A764</f>
        <v>1269.3129118913</v>
      </c>
      <c r="F764" s="6" t="n">
        <f aca="false">(A764+1)^1.12</f>
        <v>1692.10567694413</v>
      </c>
      <c r="G764" s="6" t="n">
        <f aca="false">G763+E764</f>
        <v>203835.724717982</v>
      </c>
    </row>
    <row r="765" customFormat="false" ht="15" hidden="false" customHeight="true" outlineLevel="0" collapsed="false">
      <c r="A765" s="6" t="n">
        <v>763</v>
      </c>
      <c r="B765" s="6" t="n">
        <f aca="false">MIN(42, FLOOR(A765/32,1)+1)</f>
        <v>24</v>
      </c>
      <c r="C765" s="6" t="str">
        <f aca="false">INDEX(Grades_Realms!$B$2:$B$43, B765)</f>
        <v>Void Refinement · Perfected</v>
      </c>
      <c r="D765" s="6" t="n">
        <f aca="false">(A765+1)^2.4 * 1.004^A765</f>
        <v>174681508.556111</v>
      </c>
      <c r="E765" s="6" t="n">
        <f aca="false">$I$2*(A765+1)^1.9*1.003^A765</f>
        <v>1276.29300814127</v>
      </c>
      <c r="F765" s="6" t="n">
        <f aca="false">(A765+1)^1.12</f>
        <v>1694.58969703641</v>
      </c>
      <c r="G765" s="6" t="n">
        <f aca="false">G764+E765</f>
        <v>205112.017726123</v>
      </c>
    </row>
    <row r="766" customFormat="false" ht="15" hidden="false" customHeight="true" outlineLevel="0" collapsed="false">
      <c r="A766" s="6" t="n">
        <v>764</v>
      </c>
      <c r="B766" s="6" t="n">
        <f aca="false">MIN(42, FLOOR(A766/32,1)+1)</f>
        <v>24</v>
      </c>
      <c r="C766" s="6" t="str">
        <f aca="false">INDEX(Grades_Realms!$B$2:$B$43, B766)</f>
        <v>Void Refinement · Perfected</v>
      </c>
      <c r="D766" s="6" t="n">
        <f aca="false">(A766+1)^2.4 * 1.004^A766</f>
        <v>175931672.133765</v>
      </c>
      <c r="E766" s="6" t="n">
        <f aca="false">$I$2*(A766+1)^1.9*1.003^A766</f>
        <v>1283.30731140689</v>
      </c>
      <c r="F766" s="6" t="n">
        <f aca="false">(A766+1)^1.12</f>
        <v>1697.07410731966</v>
      </c>
      <c r="G766" s="6" t="n">
        <f aca="false">G765+E766</f>
        <v>206395.32503753</v>
      </c>
    </row>
    <row r="767" customFormat="false" ht="15" hidden="false" customHeight="true" outlineLevel="0" collapsed="false">
      <c r="A767" s="6" t="n">
        <v>765</v>
      </c>
      <c r="B767" s="6" t="n">
        <f aca="false">MIN(42, FLOOR(A767/32,1)+1)</f>
        <v>24</v>
      </c>
      <c r="C767" s="6" t="str">
        <f aca="false">INDEX(Grades_Realms!$B$2:$B$43, B767)</f>
        <v>Void Refinement · Perfected</v>
      </c>
      <c r="D767" s="6" t="n">
        <f aca="false">(A767+1)^2.4 * 1.004^A767</f>
        <v>177190056.247082</v>
      </c>
      <c r="E767" s="6" t="n">
        <f aca="false">$I$2*(A767+1)^1.9*1.003^A767</f>
        <v>1290.35597486815</v>
      </c>
      <c r="F767" s="6" t="n">
        <f aca="false">(A767+1)^1.12</f>
        <v>1699.558907345</v>
      </c>
      <c r="G767" s="6" t="n">
        <f aca="false">G766+E767</f>
        <v>207685.681012398</v>
      </c>
    </row>
    <row r="768" customFormat="false" ht="15" hidden="false" customHeight="true" outlineLevel="0" collapsed="false">
      <c r="A768" s="6" t="n">
        <v>766</v>
      </c>
      <c r="B768" s="6" t="n">
        <f aca="false">MIN(42, FLOOR(A768/32,1)+1)</f>
        <v>24</v>
      </c>
      <c r="C768" s="6" t="str">
        <f aca="false">INDEX(Grades_Realms!$B$2:$B$43, B768)</f>
        <v>Void Refinement · Perfected</v>
      </c>
      <c r="D768" s="6" t="n">
        <f aca="false">(A768+1)^2.4 * 1.004^A768</f>
        <v>178456711.246434</v>
      </c>
      <c r="E768" s="6" t="n">
        <f aca="false">$I$2*(A768+1)^1.9*1.003^A768</f>
        <v>1297.43915234777</v>
      </c>
      <c r="F768" s="6" t="n">
        <f aca="false">(A768+1)^1.12</f>
        <v>1702.04409666464</v>
      </c>
      <c r="G768" s="6" t="n">
        <f aca="false">G767+E768</f>
        <v>208983.120164746</v>
      </c>
    </row>
    <row r="769" customFormat="false" ht="15" hidden="false" customHeight="true" outlineLevel="0" collapsed="false">
      <c r="A769" s="6" t="n">
        <v>767</v>
      </c>
      <c r="B769" s="6" t="n">
        <f aca="false">MIN(42, FLOOR(A769/32,1)+1)</f>
        <v>24</v>
      </c>
      <c r="C769" s="6" t="str">
        <f aca="false">INDEX(Grades_Realms!$B$2:$B$43, B769)</f>
        <v>Void Refinement · Perfected</v>
      </c>
      <c r="D769" s="6" t="n">
        <f aca="false">(A769+1)^2.4 * 1.004^A769</f>
        <v>179731687.773529</v>
      </c>
      <c r="E769" s="6" t="n">
        <f aca="false">$I$2*(A769+1)^1.9*1.003^A769</f>
        <v>1304.55699831379</v>
      </c>
      <c r="F769" s="6" t="n">
        <f aca="false">(A769+1)^1.12</f>
        <v>1704.52967483192</v>
      </c>
      <c r="G769" s="6" t="n">
        <f aca="false">G768+E769</f>
        <v>210287.67716306</v>
      </c>
    </row>
    <row r="770" customFormat="false" ht="15" hidden="false" customHeight="true" outlineLevel="0" collapsed="false">
      <c r="A770" s="6" t="n">
        <v>768</v>
      </c>
      <c r="B770" s="6" t="n">
        <f aca="false">MIN(42, FLOOR(A770/32,1)+1)</f>
        <v>25</v>
      </c>
      <c r="C770" s="6" t="str">
        <f aca="false">INDEX(Grades_Realms!$B$2:$B$43, B770)</f>
        <v>Sovereign · Initial</v>
      </c>
      <c r="D770" s="6" t="n">
        <f aca="false">(A770+1)^2.4 * 1.004^A770</f>
        <v>181015036.763029</v>
      </c>
      <c r="E770" s="6" t="n">
        <f aca="false">$I$2*(A770+1)^1.9*1.003^A770</f>
        <v>1311.7096678821</v>
      </c>
      <c r="F770" s="6" t="n">
        <f aca="false">(A770+1)^1.12</f>
        <v>1707.01564140122</v>
      </c>
      <c r="G770" s="6" t="n">
        <f aca="false">G769+E770</f>
        <v>211599.386830942</v>
      </c>
    </row>
    <row r="771" customFormat="false" ht="15" hidden="false" customHeight="true" outlineLevel="0" collapsed="false">
      <c r="A771" s="6" t="n">
        <v>769</v>
      </c>
      <c r="B771" s="6" t="n">
        <f aca="false">MIN(42, FLOOR(A771/32,1)+1)</f>
        <v>25</v>
      </c>
      <c r="C771" s="6" t="str">
        <f aca="false">INDEX(Grades_Realms!$B$2:$B$43, B771)</f>
        <v>Sovereign · Initial</v>
      </c>
      <c r="D771" s="6" t="n">
        <f aca="false">(A771+1)^2.4 * 1.004^A771</f>
        <v>182306809.444165</v>
      </c>
      <c r="E771" s="6" t="n">
        <f aca="false">$I$2*(A771+1)^1.9*1.003^A771</f>
        <v>1318.89731681907</v>
      </c>
      <c r="F771" s="6" t="n">
        <f aca="false">(A771+1)^1.12</f>
        <v>1709.50199592806</v>
      </c>
      <c r="G771" s="6" t="n">
        <f aca="false">G770+E771</f>
        <v>212918.284147761</v>
      </c>
    </row>
    <row r="772" customFormat="false" ht="15" hidden="false" customHeight="true" outlineLevel="0" collapsed="false">
      <c r="A772" s="6" t="n">
        <v>770</v>
      </c>
      <c r="B772" s="6" t="n">
        <f aca="false">MIN(42, FLOOR(A772/32,1)+1)</f>
        <v>25</v>
      </c>
      <c r="C772" s="6" t="str">
        <f aca="false">INDEX(Grades_Realms!$B$2:$B$43, B772)</f>
        <v>Sovereign · Initial</v>
      </c>
      <c r="D772" s="6" t="n">
        <f aca="false">(A772+1)^2.4 * 1.004^A772</f>
        <v>183607057.342367</v>
      </c>
      <c r="E772" s="6" t="n">
        <f aca="false">$I$2*(A772+1)^1.9*1.003^A772</f>
        <v>1326.12010154413</v>
      </c>
      <c r="F772" s="6" t="n">
        <f aca="false">(A772+1)^1.12</f>
        <v>1711.98873796903</v>
      </c>
      <c r="G772" s="6" t="n">
        <f aca="false">G771+E772</f>
        <v>214244.404249305</v>
      </c>
    </row>
    <row r="773" customFormat="false" ht="15" hidden="false" customHeight="true" outlineLevel="0" collapsed="false">
      <c r="A773" s="6" t="n">
        <v>771</v>
      </c>
      <c r="B773" s="6" t="n">
        <f aca="false">MIN(42, FLOOR(A773/32,1)+1)</f>
        <v>25</v>
      </c>
      <c r="C773" s="6" t="str">
        <f aca="false">INDEX(Grades_Realms!$B$2:$B$43, B773)</f>
        <v>Sovereign · Initial</v>
      </c>
      <c r="D773" s="6" t="n">
        <f aca="false">(A773+1)^2.4 * 1.004^A773</f>
        <v>184915832.280904</v>
      </c>
      <c r="E773" s="6" t="n">
        <f aca="false">$I$2*(A773+1)^1.9*1.003^A773</f>
        <v>1333.37817913239</v>
      </c>
      <c r="F773" s="6" t="n">
        <f aca="false">(A773+1)^1.12</f>
        <v>1714.47586708177</v>
      </c>
      <c r="G773" s="6" t="n">
        <f aca="false">G772+E773</f>
        <v>215577.782428437</v>
      </c>
    </row>
    <row r="774" customFormat="false" ht="15" hidden="false" customHeight="true" outlineLevel="0" collapsed="false">
      <c r="A774" s="6" t="n">
        <v>772</v>
      </c>
      <c r="B774" s="6" t="n">
        <f aca="false">MIN(42, FLOOR(A774/32,1)+1)</f>
        <v>25</v>
      </c>
      <c r="C774" s="6" t="str">
        <f aca="false">INDEX(Grades_Realms!$B$2:$B$43, B774)</f>
        <v>Sovereign · Initial</v>
      </c>
      <c r="D774" s="6" t="n">
        <f aca="false">(A774+1)^2.4 * 1.004^A774</f>
        <v>186233186.382527</v>
      </c>
      <c r="E774" s="6" t="n">
        <f aca="false">$I$2*(A774+1)^1.9*1.003^A774</f>
        <v>1340.67170731726</v>
      </c>
      <c r="F774" s="6" t="n">
        <f aca="false">(A774+1)^1.12</f>
        <v>1716.96338282505</v>
      </c>
      <c r="G774" s="6" t="n">
        <f aca="false">G773+E774</f>
        <v>216918.454135755</v>
      </c>
    </row>
    <row r="775" customFormat="false" ht="15" hidden="false" customHeight="true" outlineLevel="0" collapsed="false">
      <c r="A775" s="6" t="n">
        <v>773</v>
      </c>
      <c r="B775" s="6" t="n">
        <f aca="false">MIN(42, FLOOR(A775/32,1)+1)</f>
        <v>25</v>
      </c>
      <c r="C775" s="6" t="str">
        <f aca="false">INDEX(Grades_Realms!$B$2:$B$43, B775)</f>
        <v>Sovereign · Initial</v>
      </c>
      <c r="D775" s="6" t="n">
        <f aca="false">(A775+1)^2.4 * 1.004^A775</f>
        <v>187559172.071125</v>
      </c>
      <c r="E775" s="6" t="n">
        <f aca="false">$I$2*(A775+1)^1.9*1.003^A775</f>
        <v>1348.00084449307</v>
      </c>
      <c r="F775" s="6" t="n">
        <f aca="false">(A775+1)^1.12</f>
        <v>1719.45128475868</v>
      </c>
      <c r="G775" s="6" t="n">
        <f aca="false">G774+E775</f>
        <v>218266.454980248</v>
      </c>
    </row>
    <row r="776" customFormat="false" ht="15" hidden="false" customHeight="true" outlineLevel="0" collapsed="false">
      <c r="A776" s="6" t="n">
        <v>774</v>
      </c>
      <c r="B776" s="6" t="n">
        <f aca="false">MIN(42, FLOOR(A776/32,1)+1)</f>
        <v>25</v>
      </c>
      <c r="C776" s="6" t="str">
        <f aca="false">INDEX(Grades_Realms!$B$2:$B$43, B776)</f>
        <v>Sovereign · Initial</v>
      </c>
      <c r="D776" s="6" t="n">
        <f aca="false">(A776+1)^2.4 * 1.004^A776</f>
        <v>188893842.073389</v>
      </c>
      <c r="E776" s="6" t="n">
        <f aca="false">$I$2*(A776+1)^1.9*1.003^A776</f>
        <v>1355.36574971771</v>
      </c>
      <c r="F776" s="6" t="n">
        <f aca="false">(A776+1)^1.12</f>
        <v>1721.93957244353</v>
      </c>
      <c r="G776" s="6" t="n">
        <f aca="false">G775+E776</f>
        <v>219621.820729965</v>
      </c>
    </row>
    <row r="777" customFormat="false" ht="15" hidden="false" customHeight="true" outlineLevel="0" collapsed="false">
      <c r="A777" s="6" t="n">
        <v>775</v>
      </c>
      <c r="B777" s="6" t="n">
        <f aca="false">MIN(42, FLOOR(A777/32,1)+1)</f>
        <v>25</v>
      </c>
      <c r="C777" s="6" t="str">
        <f aca="false">INDEX(Grades_Realms!$B$2:$B$43, B777)</f>
        <v>Sovereign · Initial</v>
      </c>
      <c r="D777" s="6" t="n">
        <f aca="false">(A777+1)^2.4 * 1.004^A777</f>
        <v>190237249.420483</v>
      </c>
      <c r="E777" s="6" t="n">
        <f aca="false">$I$2*(A777+1)^1.9*1.003^A777</f>
        <v>1362.76658271532</v>
      </c>
      <c r="F777" s="6" t="n">
        <f aca="false">(A777+1)^1.12</f>
        <v>1724.42824544158</v>
      </c>
      <c r="G777" s="6" t="n">
        <f aca="false">G776+E777</f>
        <v>220984.587312681</v>
      </c>
    </row>
    <row r="778" customFormat="false" ht="15" hidden="false" customHeight="true" outlineLevel="0" collapsed="false">
      <c r="A778" s="6" t="n">
        <v>776</v>
      </c>
      <c r="B778" s="6" t="n">
        <f aca="false">MIN(42, FLOOR(A778/32,1)+1)</f>
        <v>25</v>
      </c>
      <c r="C778" s="6" t="str">
        <f aca="false">INDEX(Grades_Realms!$B$2:$B$43, B778)</f>
        <v>Sovereign · Initial</v>
      </c>
      <c r="D778" s="6" t="n">
        <f aca="false">(A778+1)^2.4 * 1.004^A778</f>
        <v>191589447.449728</v>
      </c>
      <c r="E778" s="6" t="n">
        <f aca="false">$I$2*(A778+1)^1.9*1.003^A778</f>
        <v>1370.20350387887</v>
      </c>
      <c r="F778" s="6" t="n">
        <f aca="false">(A778+1)^1.12</f>
        <v>1726.91730331582</v>
      </c>
      <c r="G778" s="6" t="n">
        <f aca="false">G777+E778</f>
        <v>222354.790816559</v>
      </c>
    </row>
    <row r="779" customFormat="false" ht="15" hidden="false" customHeight="true" outlineLevel="0" collapsed="false">
      <c r="A779" s="6" t="n">
        <v>777</v>
      </c>
      <c r="B779" s="6" t="n">
        <f aca="false">MIN(42, FLOOR(A779/32,1)+1)</f>
        <v>25</v>
      </c>
      <c r="C779" s="6" t="str">
        <f aca="false">INDEX(Grades_Realms!$B$2:$B$43, B779)</f>
        <v>Sovereign · Initial</v>
      </c>
      <c r="D779" s="6" t="n">
        <f aca="false">(A779+1)^2.4 * 1.004^A779</f>
        <v>192950489.806288</v>
      </c>
      <c r="E779" s="6" t="n">
        <f aca="false">$I$2*(A779+1)^1.9*1.003^A779</f>
        <v>1377.67667427293</v>
      </c>
      <c r="F779" s="6" t="n">
        <f aca="false">(A779+1)^1.12</f>
        <v>1729.40674563033</v>
      </c>
      <c r="G779" s="6" t="n">
        <f aca="false">G778+E779</f>
        <v>223732.467490832</v>
      </c>
    </row>
    <row r="780" customFormat="false" ht="15" hidden="false" customHeight="true" outlineLevel="0" collapsed="false">
      <c r="A780" s="6" t="n">
        <v>778</v>
      </c>
      <c r="B780" s="6" t="n">
        <f aca="false">MIN(42, FLOOR(A780/32,1)+1)</f>
        <v>25</v>
      </c>
      <c r="C780" s="6" t="str">
        <f aca="false">INDEX(Grades_Realms!$B$2:$B$43, B780)</f>
        <v>Sovereign · Initial</v>
      </c>
      <c r="D780" s="6" t="n">
        <f aca="false">(A780+1)^2.4 * 1.004^A780</f>
        <v>194320430.444878</v>
      </c>
      <c r="E780" s="6" t="n">
        <f aca="false">$I$2*(A780+1)^1.9*1.003^A780</f>
        <v>1385.18625563625</v>
      </c>
      <c r="F780" s="6" t="n">
        <f aca="false">(A780+1)^1.12</f>
        <v>1731.89657195023</v>
      </c>
      <c r="G780" s="6" t="n">
        <f aca="false">G779+E780</f>
        <v>225117.653746469</v>
      </c>
    </row>
    <row r="781" customFormat="false" ht="15" hidden="false" customHeight="true" outlineLevel="0" collapsed="false">
      <c r="A781" s="6" t="n">
        <v>779</v>
      </c>
      <c r="B781" s="6" t="n">
        <f aca="false">MIN(42, FLOOR(A781/32,1)+1)</f>
        <v>25</v>
      </c>
      <c r="C781" s="6" t="str">
        <f aca="false">INDEX(Grades_Realms!$B$2:$B$43, B781)</f>
        <v>Sovereign · Initial</v>
      </c>
      <c r="D781" s="6" t="n">
        <f aca="false">(A781+1)^2.4 * 1.004^A781</f>
        <v>195699323.63146</v>
      </c>
      <c r="E781" s="6" t="n">
        <f aca="false">$I$2*(A781+1)^1.9*1.003^A781</f>
        <v>1392.73241038454</v>
      </c>
      <c r="F781" s="6" t="n">
        <f aca="false">(A781+1)^1.12</f>
        <v>1734.38678184169</v>
      </c>
      <c r="G781" s="6" t="n">
        <f aca="false">G780+E781</f>
        <v>226510.386156853</v>
      </c>
    </row>
    <row r="782" customFormat="false" ht="15" hidden="false" customHeight="true" outlineLevel="0" collapsed="false">
      <c r="A782" s="6" t="n">
        <v>780</v>
      </c>
      <c r="B782" s="6" t="n">
        <f aca="false">MIN(42, FLOOR(A782/32,1)+1)</f>
        <v>25</v>
      </c>
      <c r="C782" s="6" t="str">
        <f aca="false">INDEX(Grades_Realms!$B$2:$B$43, B782)</f>
        <v>Sovereign · Initial</v>
      </c>
      <c r="D782" s="6" t="n">
        <f aca="false">(A782+1)^2.4 * 1.004^A782</f>
        <v>197087223.944972</v>
      </c>
      <c r="E782" s="6" t="n">
        <f aca="false">$I$2*(A782+1)^1.9*1.003^A782</f>
        <v>1400.31530161312</v>
      </c>
      <c r="F782" s="6" t="n">
        <f aca="false">(A782+1)^1.12</f>
        <v>1736.87737487194</v>
      </c>
      <c r="G782" s="6" t="n">
        <f aca="false">G781+E782</f>
        <v>227910.701458466</v>
      </c>
    </row>
    <row r="783" customFormat="false" ht="15" hidden="false" customHeight="true" outlineLevel="0" collapsed="false">
      <c r="A783" s="6" t="n">
        <v>781</v>
      </c>
      <c r="B783" s="6" t="n">
        <f aca="false">MIN(42, FLOOR(A783/32,1)+1)</f>
        <v>25</v>
      </c>
      <c r="C783" s="6" t="str">
        <f aca="false">INDEX(Grades_Realms!$B$2:$B$43, B783)</f>
        <v>Sovereign · Initial</v>
      </c>
      <c r="D783" s="6" t="n">
        <f aca="false">(A783+1)^2.4 * 1.004^A783</f>
        <v>198484186.279049</v>
      </c>
      <c r="E783" s="6" t="n">
        <f aca="false">$I$2*(A783+1)^1.9*1.003^A783</f>
        <v>1407.93509309964</v>
      </c>
      <c r="F783" s="6" t="n">
        <f aca="false">(A783+1)^1.12</f>
        <v>1739.36835060924</v>
      </c>
      <c r="G783" s="6" t="n">
        <f aca="false">G782+E783</f>
        <v>229318.636551566</v>
      </c>
    </row>
    <row r="784" customFormat="false" ht="15" hidden="false" customHeight="true" outlineLevel="0" collapsed="false">
      <c r="A784" s="6" t="n">
        <v>782</v>
      </c>
      <c r="B784" s="6" t="n">
        <f aca="false">MIN(42, FLOOR(A784/32,1)+1)</f>
        <v>25</v>
      </c>
      <c r="C784" s="6" t="str">
        <f aca="false">INDEX(Grades_Realms!$B$2:$B$43, B784)</f>
        <v>Sovereign · Initial</v>
      </c>
      <c r="D784" s="6" t="n">
        <f aca="false">(A784+1)^2.4 * 1.004^A784</f>
        <v>199890265.84376</v>
      </c>
      <c r="E784" s="6" t="n">
        <f aca="false">$I$2*(A784+1)^1.9*1.003^A784</f>
        <v>1415.59194930682</v>
      </c>
      <c r="F784" s="6" t="n">
        <f aca="false">(A784+1)^1.12</f>
        <v>1741.85970862288</v>
      </c>
      <c r="G784" s="6" t="n">
        <f aca="false">G783+E784</f>
        <v>230734.228500873</v>
      </c>
    </row>
    <row r="785" customFormat="false" ht="15" hidden="false" customHeight="true" outlineLevel="0" collapsed="false">
      <c r="A785" s="6" t="n">
        <v>783</v>
      </c>
      <c r="B785" s="6" t="n">
        <f aca="false">MIN(42, FLOOR(A785/32,1)+1)</f>
        <v>25</v>
      </c>
      <c r="C785" s="6" t="str">
        <f aca="false">INDEX(Grades_Realms!$B$2:$B$43, B785)</f>
        <v>Sovereign · Initial</v>
      </c>
      <c r="D785" s="6" t="n">
        <f aca="false">(A785+1)^2.4 * 1.004^A785</f>
        <v>201305518.167352</v>
      </c>
      <c r="E785" s="6" t="n">
        <f aca="false">$I$2*(A785+1)^1.9*1.003^A785</f>
        <v>1423.28603538517</v>
      </c>
      <c r="F785" s="6" t="n">
        <f aca="false">(A785+1)^1.12</f>
        <v>1744.35144848319</v>
      </c>
      <c r="G785" s="6" t="n">
        <f aca="false">G784+E785</f>
        <v>232157.514536258</v>
      </c>
    </row>
    <row r="786" customFormat="false" ht="15" hidden="false" customHeight="true" outlineLevel="0" collapsed="false">
      <c r="A786" s="6" t="n">
        <v>784</v>
      </c>
      <c r="B786" s="6" t="n">
        <f aca="false">MIN(42, FLOOR(A786/32,1)+1)</f>
        <v>25</v>
      </c>
      <c r="C786" s="6" t="str">
        <f aca="false">INDEX(Grades_Realms!$B$2:$B$43, B786)</f>
        <v>Sovereign · Initial</v>
      </c>
      <c r="D786" s="6" t="n">
        <f aca="false">(A786+1)^2.4 * 1.004^A786</f>
        <v>202729999.098007</v>
      </c>
      <c r="E786" s="6" t="n">
        <f aca="false">$I$2*(A786+1)^1.9*1.003^A786</f>
        <v>1431.01751717572</v>
      </c>
      <c r="F786" s="6" t="n">
        <f aca="false">(A786+1)^1.12</f>
        <v>1746.84356976155</v>
      </c>
      <c r="G786" s="6" t="n">
        <f aca="false">G785+E786</f>
        <v>233588.532053434</v>
      </c>
    </row>
    <row r="787" customFormat="false" ht="15" hidden="false" customHeight="true" outlineLevel="0" collapsed="false">
      <c r="A787" s="6" t="n">
        <v>785</v>
      </c>
      <c r="B787" s="6" t="n">
        <f aca="false">MIN(42, FLOOR(A787/32,1)+1)</f>
        <v>25</v>
      </c>
      <c r="C787" s="6" t="str">
        <f aca="false">INDEX(Grades_Realms!$B$2:$B$43, B787)</f>
        <v>Sovereign · Initial</v>
      </c>
      <c r="D787" s="6" t="n">
        <f aca="false">(A787+1)^2.4 * 1.004^A787</f>
        <v>204163764.805604</v>
      </c>
      <c r="E787" s="6" t="n">
        <f aca="false">$I$2*(A787+1)^1.9*1.003^A787</f>
        <v>1438.78656121281</v>
      </c>
      <c r="F787" s="6" t="n">
        <f aca="false">(A787+1)^1.12</f>
        <v>1749.33607203034</v>
      </c>
      <c r="G787" s="6" t="n">
        <f aca="false">G786+E787</f>
        <v>235027.318614646</v>
      </c>
    </row>
    <row r="788" customFormat="false" ht="15" hidden="false" customHeight="true" outlineLevel="0" collapsed="false">
      <c r="A788" s="6" t="n">
        <v>786</v>
      </c>
      <c r="B788" s="6" t="n">
        <f aca="false">MIN(42, FLOOR(A788/32,1)+1)</f>
        <v>25</v>
      </c>
      <c r="C788" s="6" t="str">
        <f aca="false">INDEX(Grades_Realms!$B$2:$B$43, B788)</f>
        <v>Sovereign · Initial</v>
      </c>
      <c r="D788" s="6" t="n">
        <f aca="false">(A788+1)^2.4 * 1.004^A788</f>
        <v>205606871.783493</v>
      </c>
      <c r="E788" s="6" t="n">
        <f aca="false">$I$2*(A788+1)^1.9*1.003^A788</f>
        <v>1446.59333472683</v>
      </c>
      <c r="F788" s="6" t="n">
        <f aca="false">(A788+1)^1.12</f>
        <v>1751.82895486297</v>
      </c>
      <c r="G788" s="6" t="n">
        <f aca="false">G787+E788</f>
        <v>236473.911949373</v>
      </c>
    </row>
    <row r="789" customFormat="false" ht="15" hidden="false" customHeight="true" outlineLevel="0" collapsed="false">
      <c r="A789" s="6" t="n">
        <v>787</v>
      </c>
      <c r="B789" s="6" t="n">
        <f aca="false">MIN(42, FLOOR(A789/32,1)+1)</f>
        <v>25</v>
      </c>
      <c r="C789" s="6" t="str">
        <f aca="false">INDEX(Grades_Realms!$B$2:$B$43, B789)</f>
        <v>Sovereign · Initial</v>
      </c>
      <c r="D789" s="6" t="n">
        <f aca="false">(A789+1)^2.4 * 1.004^A789</f>
        <v>207059376.850274</v>
      </c>
      <c r="E789" s="6" t="n">
        <f aca="false">$I$2*(A789+1)^1.9*1.003^A789</f>
        <v>1454.438005647</v>
      </c>
      <c r="F789" s="6" t="n">
        <f aca="false">(A789+1)^1.12</f>
        <v>1754.32221783388</v>
      </c>
      <c r="G789" s="6" t="n">
        <f aca="false">G788+E789</f>
        <v>237928.34995502</v>
      </c>
    </row>
    <row r="790" customFormat="false" ht="15" hidden="false" customHeight="true" outlineLevel="0" collapsed="false">
      <c r="A790" s="6" t="n">
        <v>788</v>
      </c>
      <c r="B790" s="6" t="n">
        <f aca="false">MIN(42, FLOOR(A790/32,1)+1)</f>
        <v>25</v>
      </c>
      <c r="C790" s="6" t="str">
        <f aca="false">INDEX(Grades_Realms!$B$2:$B$43, B790)</f>
        <v>Sovereign · Initial</v>
      </c>
      <c r="D790" s="6" t="n">
        <f aca="false">(A790+1)^2.4 * 1.004^A790</f>
        <v>208521337.151598</v>
      </c>
      <c r="E790" s="6" t="n">
        <f aca="false">$I$2*(A790+1)^1.9*1.003^A790</f>
        <v>1462.32074260416</v>
      </c>
      <c r="F790" s="6" t="n">
        <f aca="false">(A790+1)^1.12</f>
        <v>1756.81586051851</v>
      </c>
      <c r="G790" s="6" t="n">
        <f aca="false">G789+E790</f>
        <v>239390.670697624</v>
      </c>
    </row>
    <row r="791" customFormat="false" ht="15" hidden="false" customHeight="true" outlineLevel="0" collapsed="false">
      <c r="A791" s="6" t="n">
        <v>789</v>
      </c>
      <c r="B791" s="6" t="n">
        <f aca="false">MIN(42, FLOOR(A791/32,1)+1)</f>
        <v>25</v>
      </c>
      <c r="C791" s="6" t="str">
        <f aca="false">INDEX(Grades_Realms!$B$2:$B$43, B791)</f>
        <v>Sovereign · Initial</v>
      </c>
      <c r="D791" s="6" t="n">
        <f aca="false">(A791+1)^2.4 * 1.004^A791</f>
        <v>209992810.161956</v>
      </c>
      <c r="E791" s="6" t="n">
        <f aca="false">$I$2*(A791+1)^1.9*1.003^A791</f>
        <v>1470.24171493354</v>
      </c>
      <c r="F791" s="6" t="n">
        <f aca="false">(A791+1)^1.12</f>
        <v>1759.30988249332</v>
      </c>
      <c r="G791" s="6" t="n">
        <f aca="false">G790+E791</f>
        <v>240860.912412558</v>
      </c>
    </row>
    <row r="792" customFormat="false" ht="15" hidden="false" customHeight="true" outlineLevel="0" collapsed="false">
      <c r="A792" s="6" t="n">
        <v>790</v>
      </c>
      <c r="B792" s="6" t="n">
        <f aca="false">MIN(42, FLOOR(A792/32,1)+1)</f>
        <v>25</v>
      </c>
      <c r="C792" s="6" t="str">
        <f aca="false">INDEX(Grades_Realms!$B$2:$B$43, B792)</f>
        <v>Sovereign · Initial</v>
      </c>
      <c r="D792" s="6" t="n">
        <f aca="false">(A792+1)^2.4 * 1.004^A792</f>
        <v>211473853.686503</v>
      </c>
      <c r="E792" s="6" t="n">
        <f aca="false">$I$2*(A792+1)^1.9*1.003^A792</f>
        <v>1478.20109267762</v>
      </c>
      <c r="F792" s="6" t="n">
        <f aca="false">(A792+1)^1.12</f>
        <v>1761.80428333579</v>
      </c>
      <c r="G792" s="6" t="n">
        <f aca="false">G791+E792</f>
        <v>242339.113505236</v>
      </c>
    </row>
    <row r="793" customFormat="false" ht="15" hidden="false" customHeight="true" outlineLevel="0" collapsed="false">
      <c r="A793" s="6" t="n">
        <v>791</v>
      </c>
      <c r="B793" s="6" t="n">
        <f aca="false">MIN(42, FLOOR(A793/32,1)+1)</f>
        <v>25</v>
      </c>
      <c r="C793" s="6" t="str">
        <f aca="false">INDEX(Grades_Realms!$B$2:$B$43, B793)</f>
        <v>Sovereign · Initial</v>
      </c>
      <c r="D793" s="6" t="n">
        <f aca="false">(A793+1)^2.4 * 1.004^A793</f>
        <v>212964525.862868</v>
      </c>
      <c r="E793" s="6" t="n">
        <f aca="false">$I$2*(A793+1)^1.9*1.003^A793</f>
        <v>1486.19904658892</v>
      </c>
      <c r="F793" s="6" t="n">
        <f aca="false">(A793+1)^1.12</f>
        <v>1764.29906262437</v>
      </c>
      <c r="G793" s="6" t="n">
        <f aca="false">G792+E793</f>
        <v>243825.312551825</v>
      </c>
    </row>
    <row r="794" customFormat="false" ht="15" hidden="false" customHeight="true" outlineLevel="0" collapsed="false">
      <c r="A794" s="6" t="n">
        <v>792</v>
      </c>
      <c r="B794" s="6" t="n">
        <f aca="false">MIN(42, FLOOR(A794/32,1)+1)</f>
        <v>25</v>
      </c>
      <c r="C794" s="6" t="str">
        <f aca="false">INDEX(Grades_Realms!$B$2:$B$43, B794)</f>
        <v>Sovereign · Initial</v>
      </c>
      <c r="D794" s="6" t="n">
        <f aca="false">(A794+1)^2.4 * 1.004^A794</f>
        <v>214464885.162993</v>
      </c>
      <c r="E794" s="6" t="n">
        <f aca="false">$I$2*(A794+1)^1.9*1.003^A794</f>
        <v>1494.23574813281</v>
      </c>
      <c r="F794" s="6" t="n">
        <f aca="false">(A794+1)^1.12</f>
        <v>1766.79421993855</v>
      </c>
      <c r="G794" s="6" t="n">
        <f aca="false">G793+E794</f>
        <v>245319.548299957</v>
      </c>
    </row>
    <row r="795" customFormat="false" ht="15" hidden="false" customHeight="true" outlineLevel="0" collapsed="false">
      <c r="A795" s="6" t="n">
        <v>793</v>
      </c>
      <c r="B795" s="6" t="n">
        <f aca="false">MIN(42, FLOOR(A795/32,1)+1)</f>
        <v>25</v>
      </c>
      <c r="C795" s="6" t="str">
        <f aca="false">INDEX(Grades_Realms!$B$2:$B$43, B795)</f>
        <v>Sovereign · Initial</v>
      </c>
      <c r="D795" s="6" t="n">
        <f aca="false">(A795+1)^2.4 * 1.004^A795</f>
        <v>215974990.394967</v>
      </c>
      <c r="E795" s="6" t="n">
        <f aca="false">$I$2*(A795+1)^1.9*1.003^A795</f>
        <v>1502.31136949037</v>
      </c>
      <c r="F795" s="6" t="n">
        <f aca="false">(A795+1)^1.12</f>
        <v>1769.2897548588</v>
      </c>
      <c r="G795" s="6" t="n">
        <f aca="false">G794+E795</f>
        <v>246821.859669448</v>
      </c>
    </row>
    <row r="796" customFormat="false" ht="15" hidden="false" customHeight="true" outlineLevel="0" collapsed="false">
      <c r="A796" s="6" t="n">
        <v>794</v>
      </c>
      <c r="B796" s="6" t="n">
        <f aca="false">MIN(42, FLOOR(A796/32,1)+1)</f>
        <v>25</v>
      </c>
      <c r="C796" s="6" t="str">
        <f aca="false">INDEX(Grades_Realms!$B$2:$B$43, B796)</f>
        <v>Sovereign · Initial</v>
      </c>
      <c r="D796" s="6" t="n">
        <f aca="false">(A796+1)^2.4 * 1.004^A796</f>
        <v>217494900.704879</v>
      </c>
      <c r="E796" s="6" t="n">
        <f aca="false">$I$2*(A796+1)^1.9*1.003^A796</f>
        <v>1510.42608356127</v>
      </c>
      <c r="F796" s="6" t="n">
        <f aca="false">(A796+1)^1.12</f>
        <v>1771.78566696657</v>
      </c>
      <c r="G796" s="6" t="n">
        <f aca="false">G795+E796</f>
        <v>248332.285753009</v>
      </c>
    </row>
    <row r="797" customFormat="false" ht="15" hidden="false" customHeight="true" outlineLevel="0" collapsed="false">
      <c r="A797" s="6" t="n">
        <v>795</v>
      </c>
      <c r="B797" s="6" t="n">
        <f aca="false">MIN(42, FLOOR(A797/32,1)+1)</f>
        <v>25</v>
      </c>
      <c r="C797" s="6" t="str">
        <f aca="false">INDEX(Grades_Realms!$B$2:$B$43, B797)</f>
        <v>Sovereign · Initial</v>
      </c>
      <c r="D797" s="6" t="n">
        <f aca="false">(A797+1)^2.4 * 1.004^A797</f>
        <v>219024675.578679</v>
      </c>
      <c r="E797" s="6" t="n">
        <f aca="false">$I$2*(A797+1)^1.9*1.003^A797</f>
        <v>1518.58006396657</v>
      </c>
      <c r="F797" s="6" t="n">
        <f aca="false">(A797+1)^1.12</f>
        <v>1774.28195584431</v>
      </c>
      <c r="G797" s="6" t="n">
        <f aca="false">G796+E797</f>
        <v>249850.865816976</v>
      </c>
    </row>
    <row r="798" customFormat="false" ht="15" hidden="false" customHeight="true" outlineLevel="0" collapsed="false">
      <c r="A798" s="6" t="n">
        <v>796</v>
      </c>
      <c r="B798" s="6" t="n">
        <f aca="false">MIN(42, FLOOR(A798/32,1)+1)</f>
        <v>25</v>
      </c>
      <c r="C798" s="6" t="str">
        <f aca="false">INDEX(Grades_Realms!$B$2:$B$43, B798)</f>
        <v>Sovereign · Initial</v>
      </c>
      <c r="D798" s="6" t="n">
        <f aca="false">(A798+1)^2.4 * 1.004^A798</f>
        <v>220564374.844043</v>
      </c>
      <c r="E798" s="6" t="n">
        <f aca="false">$I$2*(A798+1)^1.9*1.003^A798</f>
        <v>1526.77348505163</v>
      </c>
      <c r="F798" s="6" t="n">
        <f aca="false">(A798+1)^1.12</f>
        <v>1776.77862107548</v>
      </c>
      <c r="G798" s="6" t="n">
        <f aca="false">G797+E798</f>
        <v>251377.639302027</v>
      </c>
    </row>
    <row r="799" customFormat="false" ht="15" hidden="false" customHeight="true" outlineLevel="0" collapsed="false">
      <c r="A799" s="6" t="n">
        <v>797</v>
      </c>
      <c r="B799" s="6" t="n">
        <f aca="false">MIN(42, FLOOR(A799/32,1)+1)</f>
        <v>25</v>
      </c>
      <c r="C799" s="6" t="str">
        <f aca="false">INDEX(Grades_Realms!$B$2:$B$43, B799)</f>
        <v>Sovereign · Initial</v>
      </c>
      <c r="D799" s="6" t="n">
        <f aca="false">(A799+1)^2.4 * 1.004^A799</f>
        <v>222114058.672258</v>
      </c>
      <c r="E799" s="6" t="n">
        <f aca="false">$I$2*(A799+1)^1.9*1.003^A799</f>
        <v>1535.00652188902</v>
      </c>
      <c r="F799" s="6" t="n">
        <f aca="false">(A799+1)^1.12</f>
        <v>1779.27566224448</v>
      </c>
      <c r="G799" s="6" t="n">
        <f aca="false">G798+E799</f>
        <v>252912.645823916</v>
      </c>
    </row>
    <row r="800" customFormat="false" ht="15" hidden="false" customHeight="true" outlineLevel="0" collapsed="false">
      <c r="A800" s="6" t="n">
        <v>798</v>
      </c>
      <c r="B800" s="6" t="n">
        <f aca="false">MIN(42, FLOOR(A800/32,1)+1)</f>
        <v>25</v>
      </c>
      <c r="C800" s="6" t="str">
        <f aca="false">INDEX(Grades_Realms!$B$2:$B$43, B800)</f>
        <v>Sovereign · Initial</v>
      </c>
      <c r="D800" s="6" t="n">
        <f aca="false">(A800+1)^2.4 * 1.004^A800</f>
        <v>223673787.580109</v>
      </c>
      <c r="E800" s="6" t="n">
        <f aca="false">$I$2*(A800+1)^1.9*1.003^A800</f>
        <v>1543.27935028135</v>
      </c>
      <c r="F800" s="6" t="n">
        <f aca="false">(A800+1)^1.12</f>
        <v>1781.77307893672</v>
      </c>
      <c r="G800" s="6" t="n">
        <f aca="false">G799+E800</f>
        <v>254455.925174198</v>
      </c>
    </row>
    <row r="801" customFormat="false" ht="15" hidden="false" customHeight="true" outlineLevel="0" collapsed="false">
      <c r="A801" s="6" t="n">
        <v>799</v>
      </c>
      <c r="B801" s="6" t="n">
        <f aca="false">MIN(42, FLOOR(A801/32,1)+1)</f>
        <v>25</v>
      </c>
      <c r="C801" s="6" t="str">
        <f aca="false">INDEX(Grades_Realms!$B$2:$B$43, B801)</f>
        <v>Sovereign · Initial</v>
      </c>
      <c r="D801" s="6" t="n">
        <f aca="false">(A801+1)^2.4 * 1.004^A801</f>
        <v>225243622.431779</v>
      </c>
      <c r="E801" s="6" t="n">
        <f aca="false">$I$2*(A801+1)^1.9*1.003^A801</f>
        <v>1551.59214676423</v>
      </c>
      <c r="F801" s="6" t="n">
        <f aca="false">(A801+1)^1.12</f>
        <v>1784.27087073858</v>
      </c>
      <c r="G801" s="6" t="n">
        <f aca="false">G800+E801</f>
        <v>256007.517320962</v>
      </c>
    </row>
    <row r="802" customFormat="false" ht="15" hidden="false" customHeight="true" outlineLevel="0" collapsed="false">
      <c r="A802" s="6" t="n">
        <v>800</v>
      </c>
      <c r="B802" s="6" t="n">
        <f aca="false">MIN(42, FLOOR(A802/32,1)+1)</f>
        <v>26</v>
      </c>
      <c r="C802" s="6" t="str">
        <f aca="false">INDEX(Grades_Realms!$B$2:$B$43, B802)</f>
        <v>Sovereign · Advanced</v>
      </c>
      <c r="D802" s="6" t="n">
        <f aca="false">(A802+1)^2.4 * 1.004^A802</f>
        <v>226823624.440757</v>
      </c>
      <c r="E802" s="6" t="n">
        <f aca="false">$I$2*(A802+1)^1.9*1.003^A802</f>
        <v>1559.94508860916</v>
      </c>
      <c r="F802" s="6" t="n">
        <f aca="false">(A802+1)^1.12</f>
        <v>1786.7690372374</v>
      </c>
      <c r="G802" s="6" t="n">
        <f aca="false">G801+E802</f>
        <v>257567.462409571</v>
      </c>
    </row>
    <row r="803" customFormat="false" ht="15" hidden="false" customHeight="true" outlineLevel="0" collapsed="false">
      <c r="A803" s="6" t="n">
        <v>801</v>
      </c>
      <c r="B803" s="6" t="n">
        <f aca="false">MIN(42, FLOOR(A803/32,1)+1)</f>
        <v>26</v>
      </c>
      <c r="C803" s="6" t="str">
        <f aca="false">INDEX(Grades_Realms!$B$2:$B$43, B803)</f>
        <v>Sovereign · Advanced</v>
      </c>
      <c r="D803" s="6" t="n">
        <f aca="false">(A803+1)^2.4 * 1.004^A803</f>
        <v>228413855.171762</v>
      </c>
      <c r="E803" s="6" t="n">
        <f aca="false">$I$2*(A803+1)^1.9*1.003^A803</f>
        <v>1568.33835382647</v>
      </c>
      <c r="F803" s="6" t="n">
        <f aca="false">(A803+1)^1.12</f>
        <v>1789.26757802151</v>
      </c>
      <c r="G803" s="6" t="n">
        <f aca="false">G802+E803</f>
        <v>259135.800763397</v>
      </c>
    </row>
    <row r="804" customFormat="false" ht="15" hidden="false" customHeight="true" outlineLevel="0" collapsed="false">
      <c r="A804" s="6" t="n">
        <v>802</v>
      </c>
      <c r="B804" s="6" t="n">
        <f aca="false">MIN(42, FLOOR(A804/32,1)+1)</f>
        <v>26</v>
      </c>
      <c r="C804" s="6" t="str">
        <f aca="false">INDEX(Grades_Realms!$B$2:$B$43, B804)</f>
        <v>Sovereign · Advanced</v>
      </c>
      <c r="D804" s="6" t="n">
        <f aca="false">(A804+1)^2.4 * 1.004^A804</f>
        <v>230014376.54267</v>
      </c>
      <c r="E804" s="6" t="n">
        <f aca="false">$I$2*(A804+1)^1.9*1.003^A804</f>
        <v>1576.77212116827</v>
      </c>
      <c r="F804" s="6" t="n">
        <f aca="false">(A804+1)^1.12</f>
        <v>1791.76649268017</v>
      </c>
      <c r="G804" s="6" t="n">
        <f aca="false">G803+E804</f>
        <v>260712.572884566</v>
      </c>
    </row>
    <row r="805" customFormat="false" ht="15" hidden="false" customHeight="true" outlineLevel="0" collapsed="false">
      <c r="A805" s="6" t="n">
        <v>803</v>
      </c>
      <c r="B805" s="6" t="n">
        <f aca="false">MIN(42, FLOOR(A805/32,1)+1)</f>
        <v>26</v>
      </c>
      <c r="C805" s="6" t="str">
        <f aca="false">INDEX(Grades_Realms!$B$2:$B$43, B805)</f>
        <v>Sovereign · Advanced</v>
      </c>
      <c r="D805" s="6" t="n">
        <f aca="false">(A805+1)^2.4 * 1.004^A805</f>
        <v>231625250.826454</v>
      </c>
      <c r="E805" s="6" t="n">
        <f aca="false">$I$2*(A805+1)^1.9*1.003^A805</f>
        <v>1585.24657013138</v>
      </c>
      <c r="F805" s="6" t="n">
        <f aca="false">(A805+1)^1.12</f>
        <v>1794.26578080364</v>
      </c>
      <c r="G805" s="6" t="n">
        <f aca="false">G804+E805</f>
        <v>262297.819454697</v>
      </c>
    </row>
    <row r="806" customFormat="false" ht="15" hidden="false" customHeight="true" outlineLevel="0" collapsed="false">
      <c r="A806" s="6" t="n">
        <v>804</v>
      </c>
      <c r="B806" s="6" t="n">
        <f aca="false">MIN(42, FLOOR(A806/32,1)+1)</f>
        <v>26</v>
      </c>
      <c r="C806" s="6" t="str">
        <f aca="false">INDEX(Grades_Realms!$B$2:$B$43, B806)</f>
        <v>Sovereign · Advanced</v>
      </c>
      <c r="D806" s="6" t="n">
        <f aca="false">(A806+1)^2.4 * 1.004^A806</f>
        <v>233246540.653137</v>
      </c>
      <c r="E806" s="6" t="n">
        <f aca="false">$I$2*(A806+1)^1.9*1.003^A806</f>
        <v>1593.76188096029</v>
      </c>
      <c r="F806" s="6" t="n">
        <f aca="false">(A806+1)^1.12</f>
        <v>1796.76544198312</v>
      </c>
      <c r="G806" s="6" t="n">
        <f aca="false">G805+E806</f>
        <v>263891.581335657</v>
      </c>
    </row>
    <row r="807" customFormat="false" ht="15" hidden="false" customHeight="true" outlineLevel="0" collapsed="false">
      <c r="A807" s="6" t="n">
        <v>805</v>
      </c>
      <c r="B807" s="6" t="n">
        <f aca="false">MIN(42, FLOOR(A807/32,1)+1)</f>
        <v>26</v>
      </c>
      <c r="C807" s="6" t="str">
        <f aca="false">INDEX(Grades_Realms!$B$2:$B$43, B807)</f>
        <v>Sovereign · Advanced</v>
      </c>
      <c r="D807" s="6" t="n">
        <f aca="false">(A807+1)^2.4 * 1.004^A807</f>
        <v>234878309.011751</v>
      </c>
      <c r="E807" s="6" t="n">
        <f aca="false">$I$2*(A807+1)^1.9*1.003^A807</f>
        <v>1602.31823465016</v>
      </c>
      <c r="F807" s="6" t="n">
        <f aca="false">(A807+1)^1.12</f>
        <v>1799.26547581076</v>
      </c>
      <c r="G807" s="6" t="n">
        <f aca="false">G806+E807</f>
        <v>265493.899570308</v>
      </c>
    </row>
    <row r="808" customFormat="false" ht="15" hidden="false" customHeight="true" outlineLevel="0" collapsed="false">
      <c r="A808" s="6" t="n">
        <v>806</v>
      </c>
      <c r="B808" s="6" t="n">
        <f aca="false">MIN(42, FLOOR(A808/32,1)+1)</f>
        <v>26</v>
      </c>
      <c r="C808" s="6" t="str">
        <f aca="false">INDEX(Grades_Realms!$B$2:$B$43, B808)</f>
        <v>Sovereign · Advanced</v>
      </c>
      <c r="D808" s="6" t="n">
        <f aca="false">(A808+1)^2.4 * 1.004^A808</f>
        <v>236520619.25231</v>
      </c>
      <c r="E808" s="6" t="n">
        <f aca="false">$I$2*(A808+1)^1.9*1.003^A808</f>
        <v>1610.91581294979</v>
      </c>
      <c r="F808" s="6" t="n">
        <f aca="false">(A808+1)^1.12</f>
        <v>1801.76588187968</v>
      </c>
      <c r="G808" s="6" t="n">
        <f aca="false">G807+E808</f>
        <v>267104.815383257</v>
      </c>
    </row>
    <row r="809" customFormat="false" ht="15" hidden="false" customHeight="true" outlineLevel="0" collapsed="false">
      <c r="A809" s="6" t="n">
        <v>807</v>
      </c>
      <c r="B809" s="6" t="n">
        <f aca="false">MIN(42, FLOOR(A809/32,1)+1)</f>
        <v>26</v>
      </c>
      <c r="C809" s="6" t="str">
        <f aca="false">INDEX(Grades_Realms!$B$2:$B$43, B809)</f>
        <v>Sovereign · Advanced</v>
      </c>
      <c r="D809" s="6" t="n">
        <f aca="false">(A809+1)^2.4 * 1.004^A809</f>
        <v>238173535.087789</v>
      </c>
      <c r="E809" s="6" t="n">
        <f aca="false">$I$2*(A809+1)^1.9*1.003^A809</f>
        <v>1619.55479836463</v>
      </c>
      <c r="F809" s="6" t="n">
        <f aca="false">(A809+1)^1.12</f>
        <v>1804.26665978392</v>
      </c>
      <c r="G809" s="6" t="n">
        <f aca="false">G808+E809</f>
        <v>268724.370181622</v>
      </c>
    </row>
    <row r="810" customFormat="false" ht="15" hidden="false" customHeight="true" outlineLevel="0" collapsed="false">
      <c r="A810" s="6" t="n">
        <v>808</v>
      </c>
      <c r="B810" s="6" t="n">
        <f aca="false">MIN(42, FLOOR(A810/32,1)+1)</f>
        <v>26</v>
      </c>
      <c r="C810" s="6" t="str">
        <f aca="false">INDEX(Grades_Realms!$B$2:$B$43, B810)</f>
        <v>Sovereign · Advanced</v>
      </c>
      <c r="D810" s="6" t="n">
        <f aca="false">(A810+1)^2.4 * 1.004^A810</f>
        <v>239837120.596119</v>
      </c>
      <c r="E810" s="6" t="n">
        <f aca="false">$I$2*(A810+1)^1.9*1.003^A810</f>
        <v>1628.23537415974</v>
      </c>
      <c r="F810" s="6" t="n">
        <f aca="false">(A810+1)^1.12</f>
        <v>1806.76780911849</v>
      </c>
      <c r="G810" s="6" t="n">
        <f aca="false">G809+E810</f>
        <v>270352.605555782</v>
      </c>
    </row>
    <row r="811" customFormat="false" ht="15" hidden="false" customHeight="true" outlineLevel="0" collapsed="false">
      <c r="A811" s="6" t="n">
        <v>809</v>
      </c>
      <c r="B811" s="6" t="n">
        <f aca="false">MIN(42, FLOOR(A811/32,1)+1)</f>
        <v>26</v>
      </c>
      <c r="C811" s="6" t="str">
        <f aca="false">INDEX(Grades_Realms!$B$2:$B$43, B811)</f>
        <v>Sovereign · Advanced</v>
      </c>
      <c r="D811" s="6" t="n">
        <f aca="false">(A811+1)^2.4 * 1.004^A811</f>
        <v>241511440.222191</v>
      </c>
      <c r="E811" s="6" t="n">
        <f aca="false">$I$2*(A811+1)^1.9*1.003^A811</f>
        <v>1636.95772436288</v>
      </c>
      <c r="F811" s="6" t="n">
        <f aca="false">(A811+1)^1.12</f>
        <v>1809.26932947933</v>
      </c>
      <c r="G811" s="6" t="n">
        <f aca="false">G810+E811</f>
        <v>271989.563280145</v>
      </c>
    </row>
    <row r="812" customFormat="false" ht="15" hidden="false" customHeight="true" outlineLevel="0" collapsed="false">
      <c r="A812" s="6" t="n">
        <v>810</v>
      </c>
      <c r="B812" s="6" t="n">
        <f aca="false">MIN(42, FLOOR(A812/32,1)+1)</f>
        <v>26</v>
      </c>
      <c r="C812" s="6" t="str">
        <f aca="false">INDEX(Grades_Realms!$B$2:$B$43, B812)</f>
        <v>Sovereign · Advanced</v>
      </c>
      <c r="D812" s="6" t="n">
        <f aca="false">(A812+1)^2.4 * 1.004^A812</f>
        <v>243196558.779864</v>
      </c>
      <c r="E812" s="6" t="n">
        <f aca="false">$I$2*(A812+1)^1.9*1.003^A812</f>
        <v>1645.7220337675</v>
      </c>
      <c r="F812" s="6" t="n">
        <f aca="false">(A812+1)^1.12</f>
        <v>1811.77122046333</v>
      </c>
      <c r="G812" s="6" t="n">
        <f aca="false">G811+E812</f>
        <v>273635.285313912</v>
      </c>
    </row>
    <row r="813" customFormat="false" ht="15" hidden="false" customHeight="true" outlineLevel="0" collapsed="false">
      <c r="A813" s="6" t="n">
        <v>811</v>
      </c>
      <c r="B813" s="6" t="n">
        <f aca="false">MIN(42, FLOOR(A813/32,1)+1)</f>
        <v>26</v>
      </c>
      <c r="C813" s="6" t="str">
        <f aca="false">INDEX(Grades_Realms!$B$2:$B$43, B813)</f>
        <v>Sovereign · Advanced</v>
      </c>
      <c r="D813" s="6" t="n">
        <f aca="false">(A813+1)^2.4 * 1.004^A813</f>
        <v>244892541.453997</v>
      </c>
      <c r="E813" s="6" t="n">
        <f aca="false">$I$2*(A813+1)^1.9*1.003^A813</f>
        <v>1654.52848793579</v>
      </c>
      <c r="F813" s="6" t="n">
        <f aca="false">(A813+1)^1.12</f>
        <v>1814.27348166829</v>
      </c>
      <c r="G813" s="6" t="n">
        <f aca="false">G812+E813</f>
        <v>275289.813801848</v>
      </c>
    </row>
    <row r="814" customFormat="false" ht="15" hidden="false" customHeight="true" outlineLevel="0" collapsed="false">
      <c r="A814" s="6" t="n">
        <v>812</v>
      </c>
      <c r="B814" s="6" t="n">
        <f aca="false">MIN(42, FLOOR(A814/32,1)+1)</f>
        <v>26</v>
      </c>
      <c r="C814" s="6" t="str">
        <f aca="false">INDEX(Grades_Realms!$B$2:$B$43, B814)</f>
        <v>Sovereign · Advanced</v>
      </c>
      <c r="D814" s="6" t="n">
        <f aca="false">(A814+1)^2.4 * 1.004^A814</f>
        <v>246599453.802478</v>
      </c>
      <c r="E814" s="6" t="n">
        <f aca="false">$I$2*(A814+1)^1.9*1.003^A814</f>
        <v>1663.37727320173</v>
      </c>
      <c r="F814" s="6" t="n">
        <f aca="false">(A814+1)^1.12</f>
        <v>1816.77611269295</v>
      </c>
      <c r="G814" s="6" t="n">
        <f aca="false">G813+E814</f>
        <v>276953.19107505</v>
      </c>
    </row>
    <row r="815" customFormat="false" ht="15" hidden="false" customHeight="true" outlineLevel="0" collapsed="false">
      <c r="A815" s="6" t="n">
        <v>813</v>
      </c>
      <c r="B815" s="6" t="n">
        <f aca="false">MIN(42, FLOOR(A815/32,1)+1)</f>
        <v>26</v>
      </c>
      <c r="C815" s="6" t="str">
        <f aca="false">INDEX(Grades_Realms!$B$2:$B$43, B815)</f>
        <v>Sovereign · Advanced</v>
      </c>
      <c r="D815" s="6" t="n">
        <f aca="false">(A815+1)^2.4 * 1.004^A815</f>
        <v>248317361.758269</v>
      </c>
      <c r="E815" s="6" t="n">
        <f aca="false">$I$2*(A815+1)^1.9*1.003^A815</f>
        <v>1672.26857667417</v>
      </c>
      <c r="F815" s="6" t="n">
        <f aca="false">(A815+1)^1.12</f>
        <v>1819.27911313701</v>
      </c>
      <c r="G815" s="6" t="n">
        <f aca="false">G814+E815</f>
        <v>278625.459651724</v>
      </c>
    </row>
    <row r="816" customFormat="false" ht="15" hidden="false" customHeight="true" outlineLevel="0" collapsed="false">
      <c r="A816" s="6" t="n">
        <v>814</v>
      </c>
      <c r="B816" s="6" t="n">
        <f aca="false">MIN(42, FLOOR(A816/32,1)+1)</f>
        <v>26</v>
      </c>
      <c r="C816" s="6" t="str">
        <f aca="false">INDEX(Grades_Realms!$B$2:$B$43, B816)</f>
        <v>Sovereign · Advanced</v>
      </c>
      <c r="D816" s="6" t="n">
        <f aca="false">(A816+1)^2.4 * 1.004^A816</f>
        <v>250046331.63147</v>
      </c>
      <c r="E816" s="6" t="n">
        <f aca="false">$I$2*(A816+1)^1.9*1.003^A816</f>
        <v>1681.2025862399</v>
      </c>
      <c r="F816" s="6" t="n">
        <f aca="false">(A816+1)^1.12</f>
        <v>1821.78248260104</v>
      </c>
      <c r="G816" s="6" t="n">
        <f aca="false">G815+E816</f>
        <v>280306.662237964</v>
      </c>
    </row>
    <row r="817" customFormat="false" ht="15" hidden="false" customHeight="true" outlineLevel="0" collapsed="false">
      <c r="A817" s="6" t="n">
        <v>815</v>
      </c>
      <c r="B817" s="6" t="n">
        <f aca="false">MIN(42, FLOOR(A817/32,1)+1)</f>
        <v>26</v>
      </c>
      <c r="C817" s="6" t="str">
        <f aca="false">INDEX(Grades_Realms!$B$2:$B$43, B817)</f>
        <v>Sovereign · Advanced</v>
      </c>
      <c r="D817" s="6" t="n">
        <f aca="false">(A817+1)^2.4 * 1.004^A817</f>
        <v>251786430.111377</v>
      </c>
      <c r="E817" s="6" t="n">
        <f aca="false">$I$2*(A817+1)^1.9*1.003^A817</f>
        <v>1690.17949056673</v>
      </c>
      <c r="F817" s="6" t="n">
        <f aca="false">(A817+1)^1.12</f>
        <v>1824.28622068657</v>
      </c>
      <c r="G817" s="6" t="n">
        <f aca="false">G816+E817</f>
        <v>281996.84172853</v>
      </c>
    </row>
    <row r="818" customFormat="false" ht="15" hidden="false" customHeight="true" outlineLevel="0" collapsed="false">
      <c r="A818" s="6" t="n">
        <v>816</v>
      </c>
      <c r="B818" s="6" t="n">
        <f aca="false">MIN(42, FLOOR(A818/32,1)+1)</f>
        <v>26</v>
      </c>
      <c r="C818" s="6" t="str">
        <f aca="false">INDEX(Grades_Realms!$B$2:$B$43, B818)</f>
        <v>Sovereign · Advanced</v>
      </c>
      <c r="D818" s="6" t="n">
        <f aca="false">(A818+1)^2.4 * 1.004^A818</f>
        <v>253537724.268569</v>
      </c>
      <c r="E818" s="6" t="n">
        <f aca="false">$I$2*(A818+1)^1.9*1.003^A818</f>
        <v>1699.19947910663</v>
      </c>
      <c r="F818" s="6" t="n">
        <f aca="false">(A818+1)^1.12</f>
        <v>1826.79032699605</v>
      </c>
      <c r="G818" s="6" t="n">
        <f aca="false">G817+E818</f>
        <v>283696.041207637</v>
      </c>
    </row>
    <row r="819" customFormat="false" ht="15" hidden="false" customHeight="true" outlineLevel="0" collapsed="false">
      <c r="A819" s="6" t="n">
        <v>817</v>
      </c>
      <c r="B819" s="6" t="n">
        <f aca="false">MIN(42, FLOOR(A819/32,1)+1)</f>
        <v>26</v>
      </c>
      <c r="C819" s="6" t="str">
        <f aca="false">INDEX(Grades_Realms!$B$2:$B$43, B819)</f>
        <v>Sovereign · Advanced</v>
      </c>
      <c r="D819" s="6" t="n">
        <f aca="false">(A819+1)^2.4 * 1.004^A819</f>
        <v>255300281.55699</v>
      </c>
      <c r="E819" s="6" t="n">
        <f aca="false">$I$2*(A819+1)^1.9*1.003^A819</f>
        <v>1708.26274209878</v>
      </c>
      <c r="F819" s="6" t="n">
        <f aca="false">(A819+1)^1.12</f>
        <v>1829.29480113281</v>
      </c>
      <c r="G819" s="6" t="n">
        <f aca="false">G818+E819</f>
        <v>285404.303949736</v>
      </c>
    </row>
    <row r="820" customFormat="false" ht="15" hidden="false" customHeight="true" outlineLevel="0" collapsed="false">
      <c r="A820" s="6" t="n">
        <v>818</v>
      </c>
      <c r="B820" s="6" t="n">
        <f aca="false">MIN(42, FLOOR(A820/32,1)+1)</f>
        <v>26</v>
      </c>
      <c r="C820" s="6" t="str">
        <f aca="false">INDEX(Grades_Realms!$B$2:$B$43, B820)</f>
        <v>Sovereign · Advanced</v>
      </c>
      <c r="D820" s="6" t="n">
        <f aca="false">(A820+1)^2.4 * 1.004^A820</f>
        <v>257074169.816055</v>
      </c>
      <c r="E820" s="6" t="n">
        <f aca="false">$I$2*(A820+1)^1.9*1.003^A820</f>
        <v>1717.36947057276</v>
      </c>
      <c r="F820" s="6" t="n">
        <f aca="false">(A820+1)^1.12</f>
        <v>1831.79964270113</v>
      </c>
      <c r="G820" s="6" t="n">
        <f aca="false">G819+E820</f>
        <v>287121.673420309</v>
      </c>
    </row>
    <row r="821" customFormat="false" ht="15" hidden="false" customHeight="true" outlineLevel="0" collapsed="false">
      <c r="A821" s="6" t="n">
        <v>819</v>
      </c>
      <c r="B821" s="6" t="n">
        <f aca="false">MIN(42, FLOOR(A821/32,1)+1)</f>
        <v>26</v>
      </c>
      <c r="C821" s="6" t="str">
        <f aca="false">INDEX(Grades_Realms!$B$2:$B$43, B821)</f>
        <v>Sovereign · Advanced</v>
      </c>
      <c r="D821" s="6" t="n">
        <f aca="false">(A821+1)^2.4 * 1.004^A821</f>
        <v>258859457.272759</v>
      </c>
      <c r="E821" s="6" t="n">
        <f aca="false">$I$2*(A821+1)^1.9*1.003^A821</f>
        <v>1726.51985635166</v>
      </c>
      <c r="F821" s="6" t="n">
        <f aca="false">(A821+1)^1.12</f>
        <v>1834.30485130617</v>
      </c>
      <c r="G821" s="6" t="n">
        <f aca="false">G820+E821</f>
        <v>288848.19327666</v>
      </c>
    </row>
    <row r="822" customFormat="false" ht="15" hidden="false" customHeight="true" outlineLevel="0" collapsed="false">
      <c r="A822" s="6" t="n">
        <v>820</v>
      </c>
      <c r="B822" s="6" t="n">
        <f aca="false">MIN(42, FLOOR(A822/32,1)+1)</f>
        <v>26</v>
      </c>
      <c r="C822" s="6" t="str">
        <f aca="false">INDEX(Grades_Realms!$B$2:$B$43, B822)</f>
        <v>Sovereign · Advanced</v>
      </c>
      <c r="D822" s="6" t="n">
        <f aca="false">(A822+1)^2.4 * 1.004^A822</f>
        <v>260656212.543799</v>
      </c>
      <c r="E822" s="6" t="n">
        <f aca="false">$I$2*(A822+1)^1.9*1.003^A822</f>
        <v>1735.71409205521</v>
      </c>
      <c r="F822" s="6" t="n">
        <f aca="false">(A822+1)^1.12</f>
        <v>1836.81042655403</v>
      </c>
      <c r="G822" s="6" t="n">
        <f aca="false">G821+E822</f>
        <v>290583.907368715</v>
      </c>
    </row>
    <row r="823" customFormat="false" ht="15" hidden="false" customHeight="true" outlineLevel="0" collapsed="false">
      <c r="A823" s="6" t="n">
        <v>821</v>
      </c>
      <c r="B823" s="6" t="n">
        <f aca="false">MIN(42, FLOOR(A823/32,1)+1)</f>
        <v>26</v>
      </c>
      <c r="C823" s="6" t="str">
        <f aca="false">INDEX(Grades_Realms!$B$2:$B$43, B823)</f>
        <v>Sovereign · Advanced</v>
      </c>
      <c r="D823" s="6" t="n">
        <f aca="false">(A823+1)^2.4 * 1.004^A823</f>
        <v>262464504.637712</v>
      </c>
      <c r="E823" s="6" t="n">
        <f aca="false">$I$2*(A823+1)^1.9*1.003^A823</f>
        <v>1744.95237110299</v>
      </c>
      <c r="F823" s="6" t="n">
        <f aca="false">(A823+1)^1.12</f>
        <v>1839.31636805166</v>
      </c>
      <c r="G823" s="6" t="n">
        <f aca="false">G822+E823</f>
        <v>292328.859739818</v>
      </c>
    </row>
    <row r="824" customFormat="false" ht="15" hidden="false" customHeight="true" outlineLevel="0" collapsed="false">
      <c r="A824" s="6" t="n">
        <v>822</v>
      </c>
      <c r="B824" s="6" t="n">
        <f aca="false">MIN(42, FLOOR(A824/32,1)+1)</f>
        <v>26</v>
      </c>
      <c r="C824" s="6" t="str">
        <f aca="false">INDEX(Grades_Realms!$B$2:$B$43, B824)</f>
        <v>Sovereign · Advanced</v>
      </c>
      <c r="D824" s="6" t="n">
        <f aca="false">(A824+1)^2.4 * 1.004^A824</f>
        <v>264284402.957016</v>
      </c>
      <c r="E824" s="6" t="n">
        <f aca="false">$I$2*(A824+1)^1.9*1.003^A824</f>
        <v>1754.23488771756</v>
      </c>
      <c r="F824" s="6" t="n">
        <f aca="false">(A824+1)^1.12</f>
        <v>1841.82267540697</v>
      </c>
      <c r="G824" s="6" t="n">
        <f aca="false">G823+E824</f>
        <v>294083.094627536</v>
      </c>
    </row>
    <row r="825" customFormat="false" ht="15" hidden="false" customHeight="true" outlineLevel="0" collapsed="false">
      <c r="A825" s="6" t="n">
        <v>823</v>
      </c>
      <c r="B825" s="6" t="n">
        <f aca="false">MIN(42, FLOOR(A825/32,1)+1)</f>
        <v>26</v>
      </c>
      <c r="C825" s="6" t="str">
        <f aca="false">INDEX(Grades_Realms!$B$2:$B$43, B825)</f>
        <v>Sovereign · Advanced</v>
      </c>
      <c r="D825" s="6" t="n">
        <f aca="false">(A825+1)^2.4 * 1.004^A825</f>
        <v>266115977.300367</v>
      </c>
      <c r="E825" s="6" t="n">
        <f aca="false">$I$2*(A825+1)^1.9*1.003^A825</f>
        <v>1763.56183692766</v>
      </c>
      <c r="F825" s="6" t="n">
        <f aca="false">(A825+1)^1.12</f>
        <v>1844.32934822871</v>
      </c>
      <c r="G825" s="6" t="n">
        <f aca="false">G824+E825</f>
        <v>295846.656464464</v>
      </c>
    </row>
    <row r="826" customFormat="false" ht="15" hidden="false" customHeight="true" outlineLevel="0" collapsed="false">
      <c r="A826" s="6" t="n">
        <v>824</v>
      </c>
      <c r="B826" s="6" t="n">
        <f aca="false">MIN(42, FLOOR(A826/32,1)+1)</f>
        <v>26</v>
      </c>
      <c r="C826" s="6" t="str">
        <f aca="false">INDEX(Grades_Realms!$B$2:$B$43, B826)</f>
        <v>Sovereign · Advanced</v>
      </c>
      <c r="D826" s="6" t="n">
        <f aca="false">(A826+1)^2.4 * 1.004^A826</f>
        <v>267959297.864731</v>
      </c>
      <c r="E826" s="6" t="n">
        <f aca="false">$I$2*(A826+1)^1.9*1.003^A826</f>
        <v>1772.93341457141</v>
      </c>
      <c r="F826" s="6" t="n">
        <f aca="false">(A826+1)^1.12</f>
        <v>1846.83638612656</v>
      </c>
      <c r="G826" s="6" t="n">
        <f aca="false">G825+E826</f>
        <v>297619.589879035</v>
      </c>
    </row>
    <row r="827" customFormat="false" ht="15" hidden="false" customHeight="true" outlineLevel="0" collapsed="false">
      <c r="A827" s="6" t="n">
        <v>825</v>
      </c>
      <c r="B827" s="6" t="n">
        <f aca="false">MIN(42, FLOOR(A827/32,1)+1)</f>
        <v>26</v>
      </c>
      <c r="C827" s="6" t="str">
        <f aca="false">INDEX(Grades_Realms!$B$2:$B$43, B827)</f>
        <v>Sovereign · Advanced</v>
      </c>
      <c r="D827" s="6" t="n">
        <f aca="false">(A827+1)^2.4 * 1.004^A827</f>
        <v>269814435.247559</v>
      </c>
      <c r="E827" s="6" t="n">
        <f aca="false">$I$2*(A827+1)^1.9*1.003^A827</f>
        <v>1782.34981729954</v>
      </c>
      <c r="F827" s="6" t="n">
        <f aca="false">(A827+1)^1.12</f>
        <v>1849.34378871107</v>
      </c>
      <c r="G827" s="6" t="n">
        <f aca="false">G826+E827</f>
        <v>299401.939696335</v>
      </c>
    </row>
    <row r="828" customFormat="false" ht="15" hidden="false" customHeight="true" outlineLevel="0" collapsed="false">
      <c r="A828" s="6" t="n">
        <v>826</v>
      </c>
      <c r="B828" s="6" t="n">
        <f aca="false">MIN(42, FLOOR(A828/32,1)+1)</f>
        <v>26</v>
      </c>
      <c r="C828" s="6" t="str">
        <f aca="false">INDEX(Grades_Realms!$B$2:$B$43, B828)</f>
        <v>Sovereign · Advanced</v>
      </c>
      <c r="D828" s="6" t="n">
        <f aca="false">(A828+1)^2.4 * 1.004^A828</f>
        <v>271681460.448982</v>
      </c>
      <c r="E828" s="6" t="n">
        <f aca="false">$I$2*(A828+1)^1.9*1.003^A828</f>
        <v>1791.81124257858</v>
      </c>
      <c r="F828" s="6" t="n">
        <f aca="false">(A828+1)^1.12</f>
        <v>1851.85155559369</v>
      </c>
      <c r="G828" s="6" t="n">
        <f aca="false">G827+E828</f>
        <v>301193.750938913</v>
      </c>
    </row>
    <row r="829" customFormat="false" ht="15" hidden="false" customHeight="true" outlineLevel="0" collapsed="false">
      <c r="A829" s="6" t="n">
        <v>827</v>
      </c>
      <c r="B829" s="6" t="n">
        <f aca="false">MIN(42, FLOOR(A829/32,1)+1)</f>
        <v>26</v>
      </c>
      <c r="C829" s="6" t="str">
        <f aca="false">INDEX(Grades_Realms!$B$2:$B$43, B829)</f>
        <v>Sovereign · Advanced</v>
      </c>
      <c r="D829" s="6" t="n">
        <f aca="false">(A829+1)^2.4 * 1.004^A829</f>
        <v>273560444.87401</v>
      </c>
      <c r="E829" s="6" t="n">
        <f aca="false">$I$2*(A829+1)^1.9*1.003^A829</f>
        <v>1801.31788869412</v>
      </c>
      <c r="F829" s="6" t="n">
        <f aca="false">(A829+1)^1.12</f>
        <v>1854.35968638675</v>
      </c>
      <c r="G829" s="6" t="n">
        <f aca="false">G828+E829</f>
        <v>302995.068827607</v>
      </c>
    </row>
    <row r="830" customFormat="false" ht="15" hidden="false" customHeight="true" outlineLevel="0" collapsed="false">
      <c r="A830" s="6" t="n">
        <v>828</v>
      </c>
      <c r="B830" s="6" t="n">
        <f aca="false">MIN(42, FLOOR(A830/32,1)+1)</f>
        <v>26</v>
      </c>
      <c r="C830" s="6" t="str">
        <f aca="false">INDEX(Grades_Realms!$B$2:$B$43, B830)</f>
        <v>Sovereign · Advanced</v>
      </c>
      <c r="D830" s="6" t="n">
        <f aca="false">(A830+1)^2.4 * 1.004^A830</f>
        <v>275451460.334748</v>
      </c>
      <c r="E830" s="6" t="n">
        <f aca="false">$I$2*(A830+1)^1.9*1.003^A830</f>
        <v>1810.86995475402</v>
      </c>
      <c r="F830" s="6" t="n">
        <f aca="false">(A830+1)^1.12</f>
        <v>1856.86818070344</v>
      </c>
      <c r="G830" s="6" t="n">
        <f aca="false">G829+E830</f>
        <v>304805.938782361</v>
      </c>
    </row>
    <row r="831" customFormat="false" ht="15" hidden="false" customHeight="true" outlineLevel="0" collapsed="false">
      <c r="A831" s="6" t="n">
        <v>829</v>
      </c>
      <c r="B831" s="6" t="n">
        <f aca="false">MIN(42, FLOOR(A831/32,1)+1)</f>
        <v>26</v>
      </c>
      <c r="C831" s="6" t="str">
        <f aca="false">INDEX(Grades_Realms!$B$2:$B$43, B831)</f>
        <v>Sovereign · Advanced</v>
      </c>
      <c r="D831" s="6" t="n">
        <f aca="false">(A831+1)^2.4 * 1.004^A831</f>
        <v>277354579.052623</v>
      </c>
      <c r="E831" s="6" t="n">
        <f aca="false">$I$2*(A831+1)^1.9*1.003^A831</f>
        <v>1820.46764069175</v>
      </c>
      <c r="F831" s="6" t="n">
        <f aca="false">(A831+1)^1.12</f>
        <v>1859.37703815786</v>
      </c>
      <c r="G831" s="6" t="n">
        <f aca="false">G830+E831</f>
        <v>306626.406423053</v>
      </c>
    </row>
    <row r="832" customFormat="false" ht="15" hidden="false" customHeight="true" outlineLevel="0" collapsed="false">
      <c r="A832" s="6" t="n">
        <v>830</v>
      </c>
      <c r="B832" s="6" t="n">
        <f aca="false">MIN(42, FLOOR(A832/32,1)+1)</f>
        <v>26</v>
      </c>
      <c r="C832" s="6" t="str">
        <f aca="false">INDEX(Grades_Realms!$B$2:$B$43, B832)</f>
        <v>Sovereign · Advanced</v>
      </c>
      <c r="D832" s="6" t="n">
        <f aca="false">(A832+1)^2.4 * 1.004^A832</f>
        <v>279269873.660621</v>
      </c>
      <c r="E832" s="6" t="n">
        <f aca="false">$I$2*(A832+1)^1.9*1.003^A832</f>
        <v>1830.11114726956</v>
      </c>
      <c r="F832" s="6" t="n">
        <f aca="false">(A832+1)^1.12</f>
        <v>1861.88625836497</v>
      </c>
      <c r="G832" s="6" t="n">
        <f aca="false">G831+E832</f>
        <v>308456.517570323</v>
      </c>
    </row>
    <row r="833" customFormat="false" ht="15" hidden="false" customHeight="true" outlineLevel="0" collapsed="false">
      <c r="A833" s="6" t="n">
        <v>831</v>
      </c>
      <c r="B833" s="6" t="n">
        <f aca="false">MIN(42, FLOOR(A833/32,1)+1)</f>
        <v>26</v>
      </c>
      <c r="C833" s="6" t="str">
        <f aca="false">INDEX(Grades_Realms!$B$2:$B$43, B833)</f>
        <v>Sovereign · Advanced</v>
      </c>
      <c r="D833" s="6" t="n">
        <f aca="false">(A833+1)^2.4 * 1.004^A833</f>
        <v>281197417.205536</v>
      </c>
      <c r="E833" s="6" t="n">
        <f aca="false">$I$2*(A833+1)^1.9*1.003^A833</f>
        <v>1839.80067608183</v>
      </c>
      <c r="F833" s="6" t="n">
        <f aca="false">(A833+1)^1.12</f>
        <v>1864.39584094059</v>
      </c>
      <c r="G833" s="6" t="n">
        <f aca="false">G832+E833</f>
        <v>310296.318246404</v>
      </c>
    </row>
    <row r="834" customFormat="false" ht="15" hidden="false" customHeight="true" outlineLevel="0" collapsed="false">
      <c r="A834" s="6" t="n">
        <v>832</v>
      </c>
      <c r="B834" s="6" t="n">
        <f aca="false">MIN(42, FLOOR(A834/32,1)+1)</f>
        <v>27</v>
      </c>
      <c r="C834" s="6" t="str">
        <f aca="false">INDEX(Grades_Realms!$B$2:$B$43, B834)</f>
        <v>Sovereign · Perfected</v>
      </c>
      <c r="D834" s="6" t="n">
        <f aca="false">(A834+1)^2.4 * 1.004^A834</f>
        <v>283137283.150232</v>
      </c>
      <c r="E834" s="6" t="n">
        <f aca="false">$I$2*(A834+1)^1.9*1.003^A834</f>
        <v>1849.53642955839</v>
      </c>
      <c r="F834" s="6" t="n">
        <f aca="false">(A834+1)^1.12</f>
        <v>1866.90578550142</v>
      </c>
      <c r="G834" s="6" t="n">
        <f aca="false">G833+E834</f>
        <v>312145.854675963</v>
      </c>
    </row>
    <row r="835" customFormat="false" ht="15" hidden="false" customHeight="true" outlineLevel="0" collapsed="false">
      <c r="A835" s="6" t="n">
        <v>833</v>
      </c>
      <c r="B835" s="6" t="n">
        <f aca="false">MIN(42, FLOOR(A835/32,1)+1)</f>
        <v>27</v>
      </c>
      <c r="C835" s="6" t="str">
        <f aca="false">INDEX(Grades_Realms!$B$2:$B$43, B835)</f>
        <v>Sovereign · Perfected</v>
      </c>
      <c r="D835" s="6" t="n">
        <f aca="false">(A835+1)^2.4 * 1.004^A835</f>
        <v>285089545.375917</v>
      </c>
      <c r="E835" s="6" t="n">
        <f aca="false">$I$2*(A835+1)^1.9*1.003^A835</f>
        <v>1859.31861096774</v>
      </c>
      <c r="F835" s="6" t="n">
        <f aca="false">(A835+1)^1.12</f>
        <v>1869.41609166502</v>
      </c>
      <c r="G835" s="6" t="n">
        <f aca="false">G834+E835</f>
        <v>314005.173286931</v>
      </c>
    </row>
    <row r="836" customFormat="false" ht="15" hidden="false" customHeight="true" outlineLevel="0" collapsed="false">
      <c r="A836" s="6" t="n">
        <v>834</v>
      </c>
      <c r="B836" s="6" t="n">
        <f aca="false">MIN(42, FLOOR(A836/32,1)+1)</f>
        <v>27</v>
      </c>
      <c r="C836" s="6" t="str">
        <f aca="false">INDEX(Grades_Realms!$B$2:$B$43, B836)</f>
        <v>Sovereign · Perfected</v>
      </c>
      <c r="D836" s="6" t="n">
        <f aca="false">(A836+1)^2.4 * 1.004^A836</f>
        <v>287054278.184426</v>
      </c>
      <c r="E836" s="6" t="n">
        <f aca="false">$I$2*(A836+1)^1.9*1.003^A836</f>
        <v>1869.14742442046</v>
      </c>
      <c r="F836" s="6" t="n">
        <f aca="false">(A836+1)^1.12</f>
        <v>1871.92675904982</v>
      </c>
      <c r="G836" s="6" t="n">
        <f aca="false">G835+E836</f>
        <v>315874.320711351</v>
      </c>
    </row>
    <row r="837" customFormat="false" ht="15" hidden="false" customHeight="true" outlineLevel="0" collapsed="false">
      <c r="A837" s="6" t="n">
        <v>835</v>
      </c>
      <c r="B837" s="6" t="n">
        <f aca="false">MIN(42, FLOOR(A837/32,1)+1)</f>
        <v>27</v>
      </c>
      <c r="C837" s="6" t="str">
        <f aca="false">INDEX(Grades_Realms!$B$2:$B$43, B837)</f>
        <v>Sovereign · Perfected</v>
      </c>
      <c r="D837" s="6" t="n">
        <f aca="false">(A837+1)^2.4 * 1.004^A837</f>
        <v>289031556.300524</v>
      </c>
      <c r="E837" s="6" t="n">
        <f aca="false">$I$2*(A837+1)^1.9*1.003^A837</f>
        <v>1879.0230748725</v>
      </c>
      <c r="F837" s="6" t="n">
        <f aca="false">(A837+1)^1.12</f>
        <v>1874.43778727511</v>
      </c>
      <c r="G837" s="6" t="n">
        <f aca="false">G836+E837</f>
        <v>317753.343786224</v>
      </c>
    </row>
    <row r="838" customFormat="false" ht="15" hidden="false" customHeight="true" outlineLevel="0" collapsed="false">
      <c r="A838" s="6" t="n">
        <v>836</v>
      </c>
      <c r="B838" s="6" t="n">
        <f aca="false">MIN(42, FLOOR(A838/32,1)+1)</f>
        <v>27</v>
      </c>
      <c r="C838" s="6" t="str">
        <f aca="false">INDEX(Grades_Realms!$B$2:$B$43, B838)</f>
        <v>Sovereign · Perfected</v>
      </c>
      <c r="D838" s="6" t="n">
        <f aca="false">(A838+1)^2.4 * 1.004^A838</f>
        <v>291021454.87421</v>
      </c>
      <c r="E838" s="6" t="n">
        <f aca="false">$I$2*(A838+1)^1.9*1.003^A838</f>
        <v>1888.94576812856</v>
      </c>
      <c r="F838" s="6" t="n">
        <f aca="false">(A838+1)^1.12</f>
        <v>1876.94917596102</v>
      </c>
      <c r="G838" s="6" t="n">
        <f aca="false">G837+E838</f>
        <v>319642.289554352</v>
      </c>
    </row>
    <row r="839" customFormat="false" ht="15" hidden="false" customHeight="true" outlineLevel="0" collapsed="false">
      <c r="A839" s="6" t="n">
        <v>837</v>
      </c>
      <c r="B839" s="6" t="n">
        <f aca="false">MIN(42, FLOOR(A839/32,1)+1)</f>
        <v>27</v>
      </c>
      <c r="C839" s="6" t="str">
        <f aca="false">INDEX(Grades_Realms!$B$2:$B$43, B839)</f>
        <v>Sovereign · Perfected</v>
      </c>
      <c r="D839" s="6" t="n">
        <f aca="false">(A839+1)^2.4 * 1.004^A839</f>
        <v>293024049.483041</v>
      </c>
      <c r="E839" s="6" t="n">
        <f aca="false">$I$2*(A839+1)^1.9*1.003^A839</f>
        <v>1898.91571084542</v>
      </c>
      <c r="F839" s="6" t="n">
        <f aca="false">(A839+1)^1.12</f>
        <v>1879.46092472855</v>
      </c>
      <c r="G839" s="6" t="n">
        <f aca="false">G838+E839</f>
        <v>321541.205265198</v>
      </c>
    </row>
    <row r="840" customFormat="false" ht="15" hidden="false" customHeight="true" outlineLevel="0" collapsed="false">
      <c r="A840" s="6" t="n">
        <v>838</v>
      </c>
      <c r="B840" s="6" t="n">
        <f aca="false">MIN(42, FLOOR(A840/32,1)+1)</f>
        <v>27</v>
      </c>
      <c r="C840" s="6" t="str">
        <f aca="false">INDEX(Grades_Realms!$B$2:$B$43, B840)</f>
        <v>Sovereign · Perfected</v>
      </c>
      <c r="D840" s="6" t="n">
        <f aca="false">(A840+1)^2.4 * 1.004^A840</f>
        <v>295039416.134468</v>
      </c>
      <c r="E840" s="6" t="n">
        <f aca="false">$I$2*(A840+1)^1.9*1.003^A840</f>
        <v>1908.93311053531</v>
      </c>
      <c r="F840" s="6" t="n">
        <f aca="false">(A840+1)^1.12</f>
        <v>1881.97303319954</v>
      </c>
      <c r="G840" s="6" t="n">
        <f aca="false">G839+E840</f>
        <v>323450.138375733</v>
      </c>
    </row>
    <row r="841" customFormat="false" ht="15" hidden="false" customHeight="true" outlineLevel="0" collapsed="false">
      <c r="A841" s="6" t="n">
        <v>839</v>
      </c>
      <c r="B841" s="6" t="n">
        <f aca="false">MIN(42, FLOOR(A841/32,1)+1)</f>
        <v>27</v>
      </c>
      <c r="C841" s="6" t="str">
        <f aca="false">INDEX(Grades_Realms!$B$2:$B$43, B841)</f>
        <v>Sovereign · Perfected</v>
      </c>
      <c r="D841" s="6" t="n">
        <f aca="false">(A841+1)^2.4 * 1.004^A841</f>
        <v>297067631.268179</v>
      </c>
      <c r="E841" s="6" t="n">
        <f aca="false">$I$2*(A841+1)^1.9*1.003^A841</f>
        <v>1918.99817556935</v>
      </c>
      <c r="F841" s="6" t="n">
        <f aca="false">(A841+1)^1.12</f>
        <v>1884.48550099668</v>
      </c>
      <c r="G841" s="6" t="n">
        <f aca="false">G840+E841</f>
        <v>325369.136551302</v>
      </c>
    </row>
    <row r="842" customFormat="false" ht="15" hidden="false" customHeight="true" outlineLevel="0" collapsed="false">
      <c r="A842" s="6" t="n">
        <v>840</v>
      </c>
      <c r="B842" s="6" t="n">
        <f aca="false">MIN(42, FLOOR(A842/32,1)+1)</f>
        <v>27</v>
      </c>
      <c r="C842" s="6" t="str">
        <f aca="false">INDEX(Grades_Realms!$B$2:$B$43, B842)</f>
        <v>Sovereign · Perfected</v>
      </c>
      <c r="D842" s="6" t="n">
        <f aca="false">(A842+1)^2.4 * 1.004^A842</f>
        <v>299108771.75846</v>
      </c>
      <c r="E842" s="6" t="n">
        <f aca="false">$I$2*(A842+1)^1.9*1.003^A842</f>
        <v>1929.1111151809</v>
      </c>
      <c r="F842" s="6" t="n">
        <f aca="false">(A842+1)^1.12</f>
        <v>1886.99832774352</v>
      </c>
      <c r="G842" s="6" t="n">
        <f aca="false">G841+E842</f>
        <v>327298.247666483</v>
      </c>
    </row>
    <row r="843" customFormat="false" ht="15" hidden="false" customHeight="true" outlineLevel="0" collapsed="false">
      <c r="A843" s="6" t="n">
        <v>841</v>
      </c>
      <c r="B843" s="6" t="n">
        <f aca="false">MIN(42, FLOOR(A843/32,1)+1)</f>
        <v>27</v>
      </c>
      <c r="C843" s="6" t="str">
        <f aca="false">INDEX(Grades_Realms!$B$2:$B$43, B843)</f>
        <v>Sovereign · Perfected</v>
      </c>
      <c r="D843" s="6" t="n">
        <f aca="false">(A843+1)^2.4 * 1.004^A843</f>
        <v>301162914.916566</v>
      </c>
      <c r="E843" s="6" t="n">
        <f aca="false">$I$2*(A843+1)^1.9*1.003^A843</f>
        <v>1939.27213946897</v>
      </c>
      <c r="F843" s="6" t="n">
        <f aca="false">(A843+1)^1.12</f>
        <v>1889.51151306442</v>
      </c>
      <c r="G843" s="6" t="n">
        <f aca="false">G842+E843</f>
        <v>329237.519805952</v>
      </c>
    </row>
    <row r="844" customFormat="false" ht="15" hidden="false" customHeight="true" outlineLevel="0" collapsed="false">
      <c r="A844" s="6" t="n">
        <v>842</v>
      </c>
      <c r="B844" s="6" t="n">
        <f aca="false">MIN(42, FLOOR(A844/32,1)+1)</f>
        <v>27</v>
      </c>
      <c r="C844" s="6" t="str">
        <f aca="false">INDEX(Grades_Realms!$B$2:$B$43, B844)</f>
        <v>Sovereign · Perfected</v>
      </c>
      <c r="D844" s="6" t="n">
        <f aca="false">(A844+1)^2.4 * 1.004^A844</f>
        <v>303230138.493106</v>
      </c>
      <c r="E844" s="6" t="n">
        <f aca="false">$I$2*(A844+1)^1.9*1.003^A844</f>
        <v>1949.4814594017</v>
      </c>
      <c r="F844" s="6" t="n">
        <f aca="false">(A844+1)^1.12</f>
        <v>1892.0250565846</v>
      </c>
      <c r="G844" s="6" t="n">
        <f aca="false">G843+E844</f>
        <v>331187.001265354</v>
      </c>
    </row>
    <row r="845" customFormat="false" ht="15" hidden="false" customHeight="true" outlineLevel="0" collapsed="false">
      <c r="A845" s="6" t="n">
        <v>843</v>
      </c>
      <c r="B845" s="6" t="n">
        <f aca="false">MIN(42, FLOOR(A845/32,1)+1)</f>
        <v>27</v>
      </c>
      <c r="C845" s="6" t="str">
        <f aca="false">INDEX(Grades_Realms!$B$2:$B$43, B845)</f>
        <v>Sovereign · Perfected</v>
      </c>
      <c r="D845" s="6" t="n">
        <f aca="false">(A845+1)^2.4 * 1.004^A845</f>
        <v>305310520.680438</v>
      </c>
      <c r="E845" s="6" t="n">
        <f aca="false">$I$2*(A845+1)^1.9*1.003^A845</f>
        <v>1959.73928681973</v>
      </c>
      <c r="F845" s="6" t="n">
        <f aca="false">(A845+1)^1.12</f>
        <v>1894.53895793012</v>
      </c>
      <c r="G845" s="6" t="n">
        <f aca="false">G844+E845</f>
        <v>333146.740552173</v>
      </c>
    </row>
    <row r="846" customFormat="false" ht="15" hidden="false" customHeight="true" outlineLevel="0" collapsed="false">
      <c r="A846" s="6" t="n">
        <v>844</v>
      </c>
      <c r="B846" s="6" t="n">
        <f aca="false">MIN(42, FLOOR(A846/32,1)+1)</f>
        <v>27</v>
      </c>
      <c r="C846" s="6" t="str">
        <f aca="false">INDEX(Grades_Realms!$B$2:$B$43, B846)</f>
        <v>Sovereign · Perfected</v>
      </c>
      <c r="D846" s="6" t="n">
        <f aca="false">(A846+1)^2.4 * 1.004^A846</f>
        <v>307404140.115075</v>
      </c>
      <c r="E846" s="6" t="n">
        <f aca="false">$I$2*(A846+1)^1.9*1.003^A846</f>
        <v>1970.0458344397</v>
      </c>
      <c r="F846" s="6" t="n">
        <f aca="false">(A846+1)^1.12</f>
        <v>1897.05321672786</v>
      </c>
      <c r="G846" s="6" t="n">
        <f aca="false">G845+E846</f>
        <v>335116.786386613</v>
      </c>
    </row>
    <row r="847" customFormat="false" ht="15" hidden="false" customHeight="true" outlineLevel="0" collapsed="false">
      <c r="A847" s="6" t="n">
        <v>845</v>
      </c>
      <c r="B847" s="6" t="n">
        <f aca="false">MIN(42, FLOOR(A847/32,1)+1)</f>
        <v>27</v>
      </c>
      <c r="C847" s="6" t="str">
        <f aca="false">INDEX(Grades_Realms!$B$2:$B$43, B847)</f>
        <v>Sovereign · Perfected</v>
      </c>
      <c r="D847" s="6" t="n">
        <f aca="false">(A847+1)^2.4 * 1.004^A847</f>
        <v>309511075.880115</v>
      </c>
      <c r="E847" s="6" t="n">
        <f aca="false">$I$2*(A847+1)^1.9*1.003^A847</f>
        <v>1980.40131585771</v>
      </c>
      <c r="F847" s="6" t="n">
        <f aca="false">(A847+1)^1.12</f>
        <v>1899.56783260553</v>
      </c>
      <c r="G847" s="6" t="n">
        <f aca="false">G846+E847</f>
        <v>337097.187702471</v>
      </c>
    </row>
    <row r="848" customFormat="false" ht="15" hidden="false" customHeight="true" outlineLevel="0" collapsed="false">
      <c r="A848" s="6" t="n">
        <v>846</v>
      </c>
      <c r="B848" s="6" t="n">
        <f aca="false">MIN(42, FLOOR(A848/32,1)+1)</f>
        <v>27</v>
      </c>
      <c r="C848" s="6" t="str">
        <f aca="false">INDEX(Grades_Realms!$B$2:$B$43, B848)</f>
        <v>Sovereign · Perfected</v>
      </c>
      <c r="D848" s="6" t="n">
        <f aca="false">(A848+1)^2.4 * 1.004^A848</f>
        <v>311631407.507668</v>
      </c>
      <c r="E848" s="6" t="n">
        <f aca="false">$I$2*(A848+1)^1.9*1.003^A848</f>
        <v>1990.80594555278</v>
      </c>
      <c r="F848" s="6" t="n">
        <f aca="false">(A848+1)^1.12</f>
        <v>1902.08280519169</v>
      </c>
      <c r="G848" s="6" t="n">
        <f aca="false">G847+E848</f>
        <v>339087.993648024</v>
      </c>
    </row>
    <row r="849" customFormat="false" ht="15" hidden="false" customHeight="true" outlineLevel="0" collapsed="false">
      <c r="A849" s="6" t="n">
        <v>847</v>
      </c>
      <c r="B849" s="6" t="n">
        <f aca="false">MIN(42, FLOOR(A849/32,1)+1)</f>
        <v>27</v>
      </c>
      <c r="C849" s="6" t="str">
        <f aca="false">INDEX(Grades_Realms!$B$2:$B$43, B849)</f>
        <v>Sovereign · Perfected</v>
      </c>
      <c r="D849" s="6" t="n">
        <f aca="false">(A849+1)^2.4 * 1.004^A849</f>
        <v>313765214.981305</v>
      </c>
      <c r="E849" s="6" t="n">
        <f aca="false">$I$2*(A849+1)^1.9*1.003^A849</f>
        <v>2001.25993889035</v>
      </c>
      <c r="F849" s="6" t="n">
        <f aca="false">(A849+1)^1.12</f>
        <v>1904.59813411569</v>
      </c>
      <c r="G849" s="6" t="n">
        <f aca="false">G848+E849</f>
        <v>341089.253586914</v>
      </c>
    </row>
    <row r="850" customFormat="false" ht="15" hidden="false" customHeight="true" outlineLevel="0" collapsed="false">
      <c r="A850" s="6" t="n">
        <v>848</v>
      </c>
      <c r="B850" s="6" t="n">
        <f aca="false">MIN(42, FLOOR(A850/32,1)+1)</f>
        <v>27</v>
      </c>
      <c r="C850" s="6" t="str">
        <f aca="false">INDEX(Grades_Realms!$B$2:$B$43, B850)</f>
        <v>Sovereign · Perfected</v>
      </c>
      <c r="D850" s="6" t="n">
        <f aca="false">(A850+1)^2.4 * 1.004^A850</f>
        <v>315912578.738522</v>
      </c>
      <c r="E850" s="6" t="n">
        <f aca="false">$I$2*(A850+1)^1.9*1.003^A850</f>
        <v>2011.76351212581</v>
      </c>
      <c r="F850" s="6" t="n">
        <f aca="false">(A850+1)^1.12</f>
        <v>1907.11381900773</v>
      </c>
      <c r="G850" s="6" t="n">
        <f aca="false">G849+E850</f>
        <v>343101.01709904</v>
      </c>
    </row>
    <row r="851" customFormat="false" ht="15" hidden="false" customHeight="true" outlineLevel="0" collapsed="false">
      <c r="A851" s="6" t="n">
        <v>849</v>
      </c>
      <c r="B851" s="6" t="n">
        <f aca="false">MIN(42, FLOOR(A851/32,1)+1)</f>
        <v>27</v>
      </c>
      <c r="C851" s="6" t="str">
        <f aca="false">INDEX(Grades_Realms!$B$2:$B$43, B851)</f>
        <v>Sovereign · Perfected</v>
      </c>
      <c r="D851" s="6" t="n">
        <f aca="false">(A851+1)^2.4 * 1.004^A851</f>
        <v>318073579.673207</v>
      </c>
      <c r="E851" s="6" t="n">
        <f aca="false">$I$2*(A851+1)^1.9*1.003^A851</f>
        <v>2022.31688240796</v>
      </c>
      <c r="F851" s="6" t="n">
        <f aca="false">(A851+1)^1.12</f>
        <v>1909.62985949881</v>
      </c>
      <c r="G851" s="6" t="n">
        <f aca="false">G850+E851</f>
        <v>345123.333981448</v>
      </c>
    </row>
    <row r="852" customFormat="false" ht="15" hidden="false" customHeight="true" outlineLevel="0" collapsed="false">
      <c r="A852" s="6" t="n">
        <v>850</v>
      </c>
      <c r="B852" s="6" t="n">
        <f aca="false">MIN(42, FLOOR(A852/32,1)+1)</f>
        <v>27</v>
      </c>
      <c r="C852" s="6" t="str">
        <f aca="false">INDEX(Grades_Realms!$B$2:$B$43, B852)</f>
        <v>Sovereign · Perfected</v>
      </c>
      <c r="D852" s="6" t="n">
        <f aca="false">(A852+1)^2.4 * 1.004^A852</f>
        <v>320248299.138134</v>
      </c>
      <c r="E852" s="6" t="n">
        <f aca="false">$I$2*(A852+1)^1.9*1.003^A852</f>
        <v>2032.92026778262</v>
      </c>
      <c r="F852" s="6" t="n">
        <f aca="false">(A852+1)^1.12</f>
        <v>1912.14625522076</v>
      </c>
      <c r="G852" s="6" t="n">
        <f aca="false">G851+E852</f>
        <v>347156.25424923</v>
      </c>
    </row>
    <row r="853" customFormat="false" ht="15" hidden="false" customHeight="true" outlineLevel="0" collapsed="false">
      <c r="A853" s="6" t="n">
        <v>851</v>
      </c>
      <c r="B853" s="6" t="n">
        <f aca="false">MIN(42, FLOOR(A853/32,1)+1)</f>
        <v>27</v>
      </c>
      <c r="C853" s="6" t="str">
        <f aca="false">INDEX(Grades_Realms!$B$2:$B$43, B853)</f>
        <v>Sovereign · Perfected</v>
      </c>
      <c r="D853" s="6" t="n">
        <f aca="false">(A853+1)^2.4 * 1.004^A853</f>
        <v>322436818.947455</v>
      </c>
      <c r="E853" s="6" t="n">
        <f aca="false">$I$2*(A853+1)^1.9*1.003^A853</f>
        <v>2043.57388719612</v>
      </c>
      <c r="F853" s="6" t="n">
        <f aca="false">(A853+1)^1.12</f>
        <v>1914.66300580622</v>
      </c>
      <c r="G853" s="6" t="n">
        <f aca="false">G852+E853</f>
        <v>349199.828136427</v>
      </c>
    </row>
    <row r="854" customFormat="false" ht="15" hidden="false" customHeight="true" outlineLevel="0" collapsed="false">
      <c r="A854" s="6" t="n">
        <v>852</v>
      </c>
      <c r="B854" s="6" t="n">
        <f aca="false">MIN(42, FLOOR(A854/32,1)+1)</f>
        <v>27</v>
      </c>
      <c r="C854" s="6" t="str">
        <f aca="false">INDEX(Grades_Realms!$B$2:$B$43, B854)</f>
        <v>Sovereign · Perfected</v>
      </c>
      <c r="D854" s="6" t="n">
        <f aca="false">(A854+1)^2.4 * 1.004^A854</f>
        <v>324639221.379217</v>
      </c>
      <c r="E854" s="6" t="n">
        <f aca="false">$I$2*(A854+1)^1.9*1.003^A854</f>
        <v>2054.27796049886</v>
      </c>
      <c r="F854" s="6" t="n">
        <f aca="false">(A854+1)^1.12</f>
        <v>1917.18011088863</v>
      </c>
      <c r="G854" s="6" t="n">
        <f aca="false">G853+E854</f>
        <v>351254.106096925</v>
      </c>
    </row>
    <row r="855" customFormat="false" ht="15" hidden="false" customHeight="true" outlineLevel="0" collapsed="false">
      <c r="A855" s="6" t="n">
        <v>853</v>
      </c>
      <c r="B855" s="6" t="n">
        <f aca="false">MIN(42, FLOOR(A855/32,1)+1)</f>
        <v>27</v>
      </c>
      <c r="C855" s="6" t="str">
        <f aca="false">INDEX(Grades_Realms!$B$2:$B$43, B855)</f>
        <v>Sovereign · Perfected</v>
      </c>
      <c r="D855" s="6" t="n">
        <f aca="false">(A855+1)^2.4 * 1.004^A855</f>
        <v>326855589.177886</v>
      </c>
      <c r="E855" s="6" t="n">
        <f aca="false">$I$2*(A855+1)^1.9*1.003^A855</f>
        <v>2065.03270844891</v>
      </c>
      <c r="F855" s="6" t="n">
        <f aca="false">(A855+1)^1.12</f>
        <v>1919.69757010224</v>
      </c>
      <c r="G855" s="6" t="n">
        <f aca="false">G854+E855</f>
        <v>353319.138805374</v>
      </c>
    </row>
    <row r="856" customFormat="false" ht="15" hidden="false" customHeight="true" outlineLevel="0" collapsed="false">
      <c r="A856" s="6" t="n">
        <v>854</v>
      </c>
      <c r="B856" s="6" t="n">
        <f aca="false">MIN(42, FLOOR(A856/32,1)+1)</f>
        <v>27</v>
      </c>
      <c r="C856" s="6" t="str">
        <f aca="false">INDEX(Grades_Realms!$B$2:$B$43, B856)</f>
        <v>Sovereign · Perfected</v>
      </c>
      <c r="D856" s="6" t="n">
        <f aca="false">(A856+1)^2.4 * 1.004^A856</f>
        <v>329086005.556889</v>
      </c>
      <c r="E856" s="6" t="n">
        <f aca="false">$I$2*(A856+1)^1.9*1.003^A856</f>
        <v>2075.83835271561</v>
      </c>
      <c r="F856" s="6" t="n">
        <f aca="false">(A856+1)^1.12</f>
        <v>1922.21538308214</v>
      </c>
      <c r="G856" s="6" t="n">
        <f aca="false">G855+E856</f>
        <v>355394.97715809</v>
      </c>
    </row>
    <row r="857" customFormat="false" ht="15" hidden="false" customHeight="true" outlineLevel="0" collapsed="false">
      <c r="A857" s="6" t="n">
        <v>855</v>
      </c>
      <c r="B857" s="6" t="n">
        <f aca="false">MIN(42, FLOOR(A857/32,1)+1)</f>
        <v>27</v>
      </c>
      <c r="C857" s="6" t="str">
        <f aca="false">INDEX(Grades_Realms!$B$2:$B$43, B857)</f>
        <v>Sovereign · Perfected</v>
      </c>
      <c r="D857" s="6" t="n">
        <f aca="false">(A857+1)^2.4 * 1.004^A857</f>
        <v>331330554.201161</v>
      </c>
      <c r="E857" s="6" t="n">
        <f aca="false">$I$2*(A857+1)^1.9*1.003^A857</f>
        <v>2086.6951158831</v>
      </c>
      <c r="F857" s="6" t="n">
        <f aca="false">(A857+1)^1.12</f>
        <v>1924.73354946416</v>
      </c>
      <c r="G857" s="6" t="n">
        <f aca="false">G856+E857</f>
        <v>357481.672273973</v>
      </c>
    </row>
    <row r="858" customFormat="false" ht="15" hidden="false" customHeight="true" outlineLevel="0" collapsed="false">
      <c r="A858" s="6" t="n">
        <v>856</v>
      </c>
      <c r="B858" s="6" t="n">
        <f aca="false">MIN(42, FLOOR(A858/32,1)+1)</f>
        <v>27</v>
      </c>
      <c r="C858" s="6" t="str">
        <f aca="false">INDEX(Grades_Realms!$B$2:$B$43, B858)</f>
        <v>Sovereign · Perfected</v>
      </c>
      <c r="D858" s="6" t="n">
        <f aca="false">(A858+1)^2.4 * 1.004^A858</f>
        <v>333589319.269716</v>
      </c>
      <c r="E858" s="6" t="n">
        <f aca="false">$I$2*(A858+1)^1.9*1.003^A858</f>
        <v>2097.60322145402</v>
      </c>
      <c r="F858" s="6" t="n">
        <f aca="false">(A858+1)^1.12</f>
        <v>1927.25206888499</v>
      </c>
      <c r="G858" s="6" t="n">
        <f aca="false">G857+E858</f>
        <v>359579.275495427</v>
      </c>
    </row>
    <row r="859" customFormat="false" ht="15" hidden="false" customHeight="true" outlineLevel="0" collapsed="false">
      <c r="A859" s="6" t="n">
        <v>857</v>
      </c>
      <c r="B859" s="6" t="n">
        <f aca="false">MIN(42, FLOOR(A859/32,1)+1)</f>
        <v>27</v>
      </c>
      <c r="C859" s="6" t="str">
        <f aca="false">INDEX(Grades_Realms!$B$2:$B$43, B859)</f>
        <v>Sovereign · Perfected</v>
      </c>
      <c r="D859" s="6" t="n">
        <f aca="false">(A859+1)^2.4 * 1.004^A859</f>
        <v>335862385.398225</v>
      </c>
      <c r="E859" s="6" t="n">
        <f aca="false">$I$2*(A859+1)^1.9*1.003^A859</f>
        <v>2108.56289385307</v>
      </c>
      <c r="F859" s="6" t="n">
        <f aca="false">(A859+1)^1.12</f>
        <v>1929.77094098207</v>
      </c>
      <c r="G859" s="6" t="n">
        <f aca="false">G858+E859</f>
        <v>361687.83838928</v>
      </c>
    </row>
    <row r="860" customFormat="false" ht="15" hidden="false" customHeight="true" outlineLevel="0" collapsed="false">
      <c r="A860" s="6" t="n">
        <v>858</v>
      </c>
      <c r="B860" s="6" t="n">
        <f aca="false">MIN(42, FLOOR(A860/32,1)+1)</f>
        <v>27</v>
      </c>
      <c r="C860" s="6" t="str">
        <f aca="false">INDEX(Grades_Realms!$B$2:$B$43, B860)</f>
        <v>Sovereign · Perfected</v>
      </c>
      <c r="D860" s="6" t="n">
        <f aca="false">(A860+1)^2.4 * 1.004^A860</f>
        <v>338149837.701608</v>
      </c>
      <c r="E860" s="6" t="n">
        <f aca="false">$I$2*(A860+1)^1.9*1.003^A860</f>
        <v>2119.57435843071</v>
      </c>
      <c r="F860" s="6" t="n">
        <f aca="false">(A860+1)^1.12</f>
        <v>1932.29016539368</v>
      </c>
      <c r="G860" s="6" t="n">
        <f aca="false">G859+E860</f>
        <v>363807.412747711</v>
      </c>
    </row>
    <row r="861" customFormat="false" ht="15" hidden="false" customHeight="true" outlineLevel="0" collapsed="false">
      <c r="A861" s="6" t="n">
        <v>859</v>
      </c>
      <c r="B861" s="6" t="n">
        <f aca="false">MIN(42, FLOOR(A861/32,1)+1)</f>
        <v>27</v>
      </c>
      <c r="C861" s="6" t="str">
        <f aca="false">INDEX(Grades_Realms!$B$2:$B$43, B861)</f>
        <v>Sovereign · Perfected</v>
      </c>
      <c r="D861" s="6" t="n">
        <f aca="false">(A861+1)^2.4 * 1.004^A861</f>
        <v>340451761.776642</v>
      </c>
      <c r="E861" s="6" t="n">
        <f aca="false">$I$2*(A861+1)^1.9*1.003^A861</f>
        <v>2130.63784146675</v>
      </c>
      <c r="F861" s="6" t="n">
        <f aca="false">(A861+1)^1.12</f>
        <v>1934.80974175884</v>
      </c>
      <c r="G861" s="6" t="n">
        <f aca="false">G860+E861</f>
        <v>365938.050589178</v>
      </c>
    </row>
    <row r="862" customFormat="false" ht="15" hidden="false" customHeight="true" outlineLevel="0" collapsed="false">
      <c r="A862" s="6" t="n">
        <v>860</v>
      </c>
      <c r="B862" s="6" t="n">
        <f aca="false">MIN(42, FLOOR(A862/32,1)+1)</f>
        <v>27</v>
      </c>
      <c r="C862" s="6" t="str">
        <f aca="false">INDEX(Grades_Realms!$B$2:$B$43, B862)</f>
        <v>Sovereign · Perfected</v>
      </c>
      <c r="D862" s="6" t="n">
        <f aca="false">(A862+1)^2.4 * 1.004^A862</f>
        <v>342768243.70458</v>
      </c>
      <c r="E862" s="6" t="n">
        <f aca="false">$I$2*(A862+1)^1.9*1.003^A862</f>
        <v>2141.75357017409</v>
      </c>
      <c r="F862" s="6" t="n">
        <f aca="false">(A862+1)^1.12</f>
        <v>1937.3296697174</v>
      </c>
      <c r="G862" s="6" t="n">
        <f aca="false">G861+E862</f>
        <v>368079.804159352</v>
      </c>
    </row>
    <row r="863" customFormat="false" ht="15" hidden="false" customHeight="true" outlineLevel="0" collapsed="false">
      <c r="A863" s="6" t="n">
        <v>861</v>
      </c>
      <c r="B863" s="6" t="n">
        <f aca="false">MIN(42, FLOOR(A863/32,1)+1)</f>
        <v>27</v>
      </c>
      <c r="C863" s="6" t="str">
        <f aca="false">INDEX(Grades_Realms!$B$2:$B$43, B863)</f>
        <v>Sovereign · Perfected</v>
      </c>
      <c r="D863" s="6" t="n">
        <f aca="false">(A863+1)^2.4 * 1.004^A863</f>
        <v>345099370.053786</v>
      </c>
      <c r="E863" s="6" t="n">
        <f aca="false">$I$2*(A863+1)^1.9*1.003^A863</f>
        <v>2152.92177270234</v>
      </c>
      <c r="F863" s="6" t="n">
        <f aca="false">(A863+1)^1.12</f>
        <v>1939.84994890999</v>
      </c>
      <c r="G863" s="6" t="n">
        <f aca="false">G862+E863</f>
        <v>370232.725932054</v>
      </c>
    </row>
    <row r="864" customFormat="false" ht="15" hidden="false" customHeight="true" outlineLevel="0" collapsed="false">
      <c r="A864" s="6" t="n">
        <v>862</v>
      </c>
      <c r="B864" s="6" t="n">
        <f aca="false">MIN(42, FLOOR(A864/32,1)+1)</f>
        <v>27</v>
      </c>
      <c r="C864" s="6" t="str">
        <f aca="false">INDEX(Grades_Realms!$B$2:$B$43, B864)</f>
        <v>Sovereign · Perfected</v>
      </c>
      <c r="D864" s="6" t="n">
        <f aca="false">(A864+1)^2.4 * 1.004^A864</f>
        <v>347445227.882385</v>
      </c>
      <c r="E864" s="6" t="n">
        <f aca="false">$I$2*(A864+1)^1.9*1.003^A864</f>
        <v>2164.14267814156</v>
      </c>
      <c r="F864" s="6" t="n">
        <f aca="false">(A864+1)^1.12</f>
        <v>1942.370578978</v>
      </c>
      <c r="G864" s="6" t="n">
        <f aca="false">G863+E864</f>
        <v>372396.868610196</v>
      </c>
    </row>
    <row r="865" customFormat="false" ht="15" hidden="false" customHeight="true" outlineLevel="0" collapsed="false">
      <c r="A865" s="6" t="n">
        <v>863</v>
      </c>
      <c r="B865" s="6" t="n">
        <f aca="false">MIN(42, FLOOR(A865/32,1)+1)</f>
        <v>27</v>
      </c>
      <c r="C865" s="6" t="str">
        <f aca="false">INDEX(Grades_Realms!$B$2:$B$43, B865)</f>
        <v>Sovereign · Perfected</v>
      </c>
      <c r="D865" s="6" t="n">
        <f aca="false">(A865+1)^2.4 * 1.004^A865</f>
        <v>349805904.740922</v>
      </c>
      <c r="E865" s="6" t="n">
        <f aca="false">$I$2*(A865+1)^1.9*1.003^A865</f>
        <v>2175.41651652598</v>
      </c>
      <c r="F865" s="6" t="n">
        <f aca="false">(A865+1)^1.12</f>
        <v>1944.89155956363</v>
      </c>
      <c r="G865" s="6" t="n">
        <f aca="false">G864+E865</f>
        <v>374572.285126722</v>
      </c>
    </row>
    <row r="866" customFormat="false" ht="15" hidden="false" customHeight="true" outlineLevel="0" collapsed="false">
      <c r="A866" s="6" t="n">
        <v>864</v>
      </c>
      <c r="B866" s="6" t="n">
        <f aca="false">MIN(42, FLOOR(A866/32,1)+1)</f>
        <v>28</v>
      </c>
      <c r="C866" s="6" t="str">
        <f aca="false">INDEX(Grades_Realms!$B$2:$B$43, B866)</f>
        <v>Saint · Initial</v>
      </c>
      <c r="D866" s="6" t="n">
        <f aca="false">(A866+1)^2.4 * 1.004^A866</f>
        <v>352181488.675038</v>
      </c>
      <c r="E866" s="6" t="n">
        <f aca="false">$I$2*(A866+1)^1.9*1.003^A866</f>
        <v>2186.74351883766</v>
      </c>
      <c r="F866" s="6" t="n">
        <f aca="false">(A866+1)^1.12</f>
        <v>1947.41289030984</v>
      </c>
      <c r="G866" s="6" t="n">
        <f aca="false">G865+E866</f>
        <v>376759.028645559</v>
      </c>
    </row>
    <row r="867" customFormat="false" ht="15" hidden="false" customHeight="true" outlineLevel="0" collapsed="false">
      <c r="A867" s="6" t="n">
        <v>865</v>
      </c>
      <c r="B867" s="6" t="n">
        <f aca="false">MIN(42, FLOOR(A867/32,1)+1)</f>
        <v>28</v>
      </c>
      <c r="C867" s="6" t="str">
        <f aca="false">INDEX(Grades_Realms!$B$2:$B$43, B867)</f>
        <v>Saint · Initial</v>
      </c>
      <c r="D867" s="6" t="n">
        <f aca="false">(A867+1)^2.4 * 1.004^A867</f>
        <v>354572068.228163</v>
      </c>
      <c r="E867" s="6" t="n">
        <f aca="false">$I$2*(A867+1)^1.9*1.003^A867</f>
        <v>2198.12391701033</v>
      </c>
      <c r="F867" s="6" t="n">
        <f aca="false">(A867+1)^1.12</f>
        <v>1949.93457086037</v>
      </c>
      <c r="G867" s="6" t="n">
        <f aca="false">G866+E867</f>
        <v>378957.15256257</v>
      </c>
    </row>
    <row r="868" customFormat="false" ht="15" hidden="false" customHeight="true" outlineLevel="0" collapsed="false">
      <c r="A868" s="6" t="n">
        <v>866</v>
      </c>
      <c r="B868" s="6" t="n">
        <f aca="false">MIN(42, FLOOR(A868/32,1)+1)</f>
        <v>28</v>
      </c>
      <c r="C868" s="6" t="str">
        <f aca="false">INDEX(Grades_Realms!$B$2:$B$43, B868)</f>
        <v>Saint · Initial</v>
      </c>
      <c r="D868" s="6" t="n">
        <f aca="false">(A868+1)^2.4 * 1.004^A868</f>
        <v>356977732.444218</v>
      </c>
      <c r="E868" s="6" t="n">
        <f aca="false">$I$2*(A868+1)^1.9*1.003^A868</f>
        <v>2209.55794393303</v>
      </c>
      <c r="F868" s="6" t="n">
        <f aca="false">(A868+1)^1.12</f>
        <v>1952.45660085975</v>
      </c>
      <c r="G868" s="6" t="n">
        <f aca="false">G867+E868</f>
        <v>381166.710506503</v>
      </c>
    </row>
    <row r="869" customFormat="false" ht="15" hidden="false" customHeight="true" outlineLevel="0" collapsed="false">
      <c r="A869" s="6" t="n">
        <v>867</v>
      </c>
      <c r="B869" s="6" t="n">
        <f aca="false">MIN(42, FLOOR(A869/32,1)+1)</f>
        <v>28</v>
      </c>
      <c r="C869" s="6" t="str">
        <f aca="false">INDEX(Grades_Realms!$B$2:$B$43, B869)</f>
        <v>Saint · Initial</v>
      </c>
      <c r="D869" s="6" t="n">
        <f aca="false">(A869+1)^2.4 * 1.004^A869</f>
        <v>359398570.870335</v>
      </c>
      <c r="E869" s="6" t="n">
        <f aca="false">$I$2*(A869+1)^1.9*1.003^A869</f>
        <v>2221.045833454</v>
      </c>
      <c r="F869" s="6" t="n">
        <f aca="false">(A869+1)^1.12</f>
        <v>1954.97897995325</v>
      </c>
      <c r="G869" s="6" t="n">
        <f aca="false">G868+E869</f>
        <v>383387.756339957</v>
      </c>
    </row>
    <row r="870" customFormat="false" ht="15" hidden="false" customHeight="true" outlineLevel="0" collapsed="false">
      <c r="A870" s="6" t="n">
        <v>868</v>
      </c>
      <c r="B870" s="6" t="n">
        <f aca="false">MIN(42, FLOOR(A870/32,1)+1)</f>
        <v>28</v>
      </c>
      <c r="C870" s="6" t="str">
        <f aca="false">INDEX(Grades_Realms!$B$2:$B$43, B870)</f>
        <v>Saint · Initial</v>
      </c>
      <c r="D870" s="6" t="n">
        <f aca="false">(A870+1)^2.4 * 1.004^A870</f>
        <v>361834673.559586</v>
      </c>
      <c r="E870" s="6" t="n">
        <f aca="false">$I$2*(A870+1)^1.9*1.003^A870</f>
        <v>2232.58782038436</v>
      </c>
      <c r="F870" s="6" t="n">
        <f aca="false">(A870+1)^1.12</f>
        <v>1957.50170778694</v>
      </c>
      <c r="G870" s="6" t="n">
        <f aca="false">G869+E870</f>
        <v>385620.344160341</v>
      </c>
    </row>
    <row r="871" customFormat="false" ht="15" hidden="false" customHeight="true" outlineLevel="0" collapsed="false">
      <c r="A871" s="6" t="n">
        <v>869</v>
      </c>
      <c r="B871" s="6" t="n">
        <f aca="false">MIN(42, FLOOR(A871/32,1)+1)</f>
        <v>28</v>
      </c>
      <c r="C871" s="6" t="str">
        <f aca="false">INDEX(Grades_Realms!$B$2:$B$43, B871)</f>
        <v>Saint · Initial</v>
      </c>
      <c r="D871" s="6" t="n">
        <f aca="false">(A871+1)^2.4 * 1.004^A871</f>
        <v>364286131.073736</v>
      </c>
      <c r="E871" s="6" t="n">
        <f aca="false">$I$2*(A871+1)^1.9*1.003^A871</f>
        <v>2244.18414050197</v>
      </c>
      <c r="F871" s="6" t="n">
        <f aca="false">(A871+1)^1.12</f>
        <v>1960.02478400762</v>
      </c>
      <c r="G871" s="6" t="n">
        <f aca="false">G870+E871</f>
        <v>387864.528300843</v>
      </c>
    </row>
    <row r="872" customFormat="false" ht="15" hidden="false" customHeight="true" outlineLevel="0" collapsed="false">
      <c r="A872" s="6" t="n">
        <v>870</v>
      </c>
      <c r="B872" s="6" t="n">
        <f aca="false">MIN(42, FLOOR(A872/32,1)+1)</f>
        <v>28</v>
      </c>
      <c r="C872" s="6" t="str">
        <f aca="false">INDEX(Grades_Realms!$B$2:$B$43, B872)</f>
        <v>Saint · Initial</v>
      </c>
      <c r="D872" s="6" t="n">
        <f aca="false">(A872+1)^2.4 * 1.004^A872</f>
        <v>366753034.486</v>
      </c>
      <c r="E872" s="6" t="n">
        <f aca="false">$I$2*(A872+1)^1.9*1.003^A872</f>
        <v>2255.83503055521</v>
      </c>
      <c r="F872" s="6" t="n">
        <f aca="false">(A872+1)^1.12</f>
        <v>1962.5482082629</v>
      </c>
      <c r="G872" s="6" t="n">
        <f aca="false">G871+E872</f>
        <v>390120.363331398</v>
      </c>
    </row>
    <row r="873" customFormat="false" ht="15" hidden="false" customHeight="true" outlineLevel="0" collapsed="false">
      <c r="A873" s="6" t="n">
        <v>871</v>
      </c>
      <c r="B873" s="6" t="n">
        <f aca="false">MIN(42, FLOOR(A873/32,1)+1)</f>
        <v>28</v>
      </c>
      <c r="C873" s="6" t="str">
        <f aca="false">INDEX(Grades_Realms!$B$2:$B$43, B873)</f>
        <v>Saint · Initial</v>
      </c>
      <c r="D873" s="6" t="n">
        <f aca="false">(A873+1)^2.4 * 1.004^A873</f>
        <v>369235475.383821</v>
      </c>
      <c r="E873" s="6" t="n">
        <f aca="false">$I$2*(A873+1)^1.9*1.003^A873</f>
        <v>2267.54072826683</v>
      </c>
      <c r="F873" s="6" t="n">
        <f aca="false">(A873+1)^1.12</f>
        <v>1965.0719802011</v>
      </c>
      <c r="G873" s="6" t="n">
        <f aca="false">G872+E873</f>
        <v>392387.904059665</v>
      </c>
    </row>
    <row r="874" customFormat="false" ht="15" hidden="false" customHeight="true" outlineLevel="0" collapsed="false">
      <c r="A874" s="6" t="n">
        <v>872</v>
      </c>
      <c r="B874" s="6" t="n">
        <f aca="false">MIN(42, FLOOR(A874/32,1)+1)</f>
        <v>28</v>
      </c>
      <c r="C874" s="6" t="str">
        <f aca="false">INDEX(Grades_Realms!$B$2:$B$43, B874)</f>
        <v>Saint · Initial</v>
      </c>
      <c r="D874" s="6" t="n">
        <f aca="false">(A874+1)^2.4 * 1.004^A874</f>
        <v>371733545.871661</v>
      </c>
      <c r="E874" s="6" t="n">
        <f aca="false">$I$2*(A874+1)^1.9*1.003^A874</f>
        <v>2279.30147233779</v>
      </c>
      <c r="F874" s="6" t="n">
        <f aca="false">(A874+1)^1.12</f>
        <v>1967.59609947135</v>
      </c>
      <c r="G874" s="6" t="n">
        <f aca="false">G873+E874</f>
        <v>394667.205532003</v>
      </c>
    </row>
    <row r="875" customFormat="false" ht="15" hidden="false" customHeight="true" outlineLevel="0" collapsed="false">
      <c r="A875" s="6" t="n">
        <v>873</v>
      </c>
      <c r="B875" s="6" t="n">
        <f aca="false">MIN(42, FLOOR(A875/32,1)+1)</f>
        <v>28</v>
      </c>
      <c r="C875" s="6" t="str">
        <f aca="false">INDEX(Grades_Realms!$B$2:$B$43, B875)</f>
        <v>Saint · Initial</v>
      </c>
      <c r="D875" s="6" t="n">
        <f aca="false">(A875+1)^2.4 * 1.004^A875</f>
        <v>374247338.573804</v>
      </c>
      <c r="E875" s="6" t="n">
        <f aca="false">$I$2*(A875+1)^1.9*1.003^A875</f>
        <v>2291.11750245108</v>
      </c>
      <c r="F875" s="6" t="n">
        <f aca="false">(A875+1)^1.12</f>
        <v>1970.12056572348</v>
      </c>
      <c r="G875" s="6" t="n">
        <f aca="false">G874+E875</f>
        <v>396958.323034454</v>
      </c>
    </row>
    <row r="876" customFormat="false" ht="15" hidden="false" customHeight="true" outlineLevel="0" collapsed="false">
      <c r="A876" s="6" t="n">
        <v>874</v>
      </c>
      <c r="B876" s="6" t="n">
        <f aca="false">MIN(42, FLOOR(A876/32,1)+1)</f>
        <v>28</v>
      </c>
      <c r="C876" s="6" t="str">
        <f aca="false">INDEX(Grades_Realms!$B$2:$B$43, B876)</f>
        <v>Saint · Initial</v>
      </c>
      <c r="D876" s="6" t="n">
        <f aca="false">(A876+1)^2.4 * 1.004^A876</f>
        <v>376776946.637179</v>
      </c>
      <c r="E876" s="6" t="n">
        <f aca="false">$I$2*(A876+1)^1.9*1.003^A876</f>
        <v>2302.98905927565</v>
      </c>
      <c r="F876" s="6" t="n">
        <f aca="false">(A876+1)^1.12</f>
        <v>1972.64537860812</v>
      </c>
      <c r="G876" s="6" t="n">
        <f aca="false">G875+E876</f>
        <v>399261.312093729</v>
      </c>
    </row>
    <row r="877" customFormat="false" ht="15" hidden="false" customHeight="true" outlineLevel="0" collapsed="false">
      <c r="A877" s="6" t="n">
        <v>875</v>
      </c>
      <c r="B877" s="6" t="n">
        <f aca="false">MIN(42, FLOOR(A877/32,1)+1)</f>
        <v>28</v>
      </c>
      <c r="C877" s="6" t="str">
        <f aca="false">INDEX(Grades_Realms!$B$2:$B$43, B877)</f>
        <v>Saint · Initial</v>
      </c>
      <c r="D877" s="6" t="n">
        <f aca="false">(A877+1)^2.4 * 1.004^A877</f>
        <v>379322463.734193</v>
      </c>
      <c r="E877" s="6" t="n">
        <f aca="false">$I$2*(A877+1)^1.9*1.003^A877</f>
        <v>2314.91638447023</v>
      </c>
      <c r="F877" s="6" t="n">
        <f aca="false">(A877+1)^1.12</f>
        <v>1975.17053777663</v>
      </c>
      <c r="G877" s="6" t="n">
        <f aca="false">G876+E877</f>
        <v>401576.2284782</v>
      </c>
    </row>
    <row r="878" customFormat="false" ht="15" hidden="false" customHeight="true" outlineLevel="0" collapsed="false">
      <c r="A878" s="6" t="n">
        <v>876</v>
      </c>
      <c r="B878" s="6" t="n">
        <f aca="false">MIN(42, FLOOR(A878/32,1)+1)</f>
        <v>28</v>
      </c>
      <c r="C878" s="6" t="str">
        <f aca="false">INDEX(Grades_Realms!$B$2:$B$43, B878)</f>
        <v>Saint · Initial</v>
      </c>
      <c r="D878" s="6" t="n">
        <f aca="false">(A878+1)^2.4 * 1.004^A878</f>
        <v>381883984.065583</v>
      </c>
      <c r="E878" s="6" t="n">
        <f aca="false">$I$2*(A878+1)^1.9*1.003^A878</f>
        <v>2326.89972068729</v>
      </c>
      <c r="F878" s="6" t="n">
        <f aca="false">(A878+1)^1.12</f>
        <v>1977.69604288112</v>
      </c>
      <c r="G878" s="6" t="n">
        <f aca="false">G877+E878</f>
        <v>403903.128198887</v>
      </c>
    </row>
    <row r="879" customFormat="false" ht="15" hidden="false" customHeight="true" outlineLevel="0" collapsed="false">
      <c r="A879" s="6" t="n">
        <v>877</v>
      </c>
      <c r="B879" s="6" t="n">
        <f aca="false">MIN(42, FLOOR(A879/32,1)+1)</f>
        <v>28</v>
      </c>
      <c r="C879" s="6" t="str">
        <f aca="false">INDEX(Grades_Realms!$B$2:$B$43, B879)</f>
        <v>Saint · Initial</v>
      </c>
      <c r="D879" s="6" t="n">
        <f aca="false">(A879+1)^2.4 * 1.004^A879</f>
        <v>384461602.363278</v>
      </c>
      <c r="E879" s="6" t="n">
        <f aca="false">$I$2*(A879+1)^1.9*1.003^A879</f>
        <v>2338.93931157692</v>
      </c>
      <c r="F879" s="6" t="n">
        <f aca="false">(A879+1)^1.12</f>
        <v>1980.22189357444</v>
      </c>
      <c r="G879" s="6" t="n">
        <f aca="false">G878+E879</f>
        <v>406242.067510464</v>
      </c>
    </row>
    <row r="880" customFormat="false" ht="15" hidden="false" customHeight="true" outlineLevel="0" collapsed="false">
      <c r="A880" s="6" t="n">
        <v>878</v>
      </c>
      <c r="B880" s="6" t="n">
        <f aca="false">MIN(42, FLOOR(A880/32,1)+1)</f>
        <v>28</v>
      </c>
      <c r="C880" s="6" t="str">
        <f aca="false">INDEX(Grades_Realms!$B$2:$B$43, B880)</f>
        <v>Saint · Initial</v>
      </c>
      <c r="D880" s="6" t="n">
        <f aca="false">(A880+1)^2.4 * 1.004^A880</f>
        <v>387055413.89328</v>
      </c>
      <c r="E880" s="6" t="n">
        <f aca="false">$I$2*(A880+1)^1.9*1.003^A880</f>
        <v>2351.03540179077</v>
      </c>
      <c r="F880" s="6" t="n">
        <f aca="false">(A880+1)^1.12</f>
        <v>1982.7480895102</v>
      </c>
      <c r="G880" s="6" t="n">
        <f aca="false">G879+E880</f>
        <v>408593.102912255</v>
      </c>
    </row>
    <row r="881" customFormat="false" ht="15" hidden="false" customHeight="true" outlineLevel="0" collapsed="false">
      <c r="A881" s="6" t="n">
        <v>879</v>
      </c>
      <c r="B881" s="6" t="n">
        <f aca="false">MIN(42, FLOOR(A881/32,1)+1)</f>
        <v>28</v>
      </c>
      <c r="C881" s="6" t="str">
        <f aca="false">INDEX(Grades_Realms!$B$2:$B$43, B881)</f>
        <v>Saint · Initial</v>
      </c>
      <c r="D881" s="6" t="n">
        <f aca="false">(A881+1)^2.4 * 1.004^A881</f>
        <v>389665514.45856</v>
      </c>
      <c r="E881" s="6" t="n">
        <f aca="false">$I$2*(A881+1)^1.9*1.003^A881</f>
        <v>2363.18823698599</v>
      </c>
      <c r="F881" s="6" t="n">
        <f aca="false">(A881+1)^1.12</f>
        <v>1985.27463034274</v>
      </c>
      <c r="G881" s="6" t="n">
        <f aca="false">G880+E881</f>
        <v>410956.291149241</v>
      </c>
    </row>
    <row r="882" customFormat="false" ht="15" hidden="false" customHeight="true" outlineLevel="0" collapsed="false">
      <c r="A882" s="6" t="n">
        <v>880</v>
      </c>
      <c r="B882" s="6" t="n">
        <f aca="false">MIN(42, FLOOR(A882/32,1)+1)</f>
        <v>28</v>
      </c>
      <c r="C882" s="6" t="str">
        <f aca="false">INDEX(Grades_Realms!$B$2:$B$43, B882)</f>
        <v>Saint · Initial</v>
      </c>
      <c r="D882" s="6" t="n">
        <f aca="false">(A882+1)^2.4 * 1.004^A882</f>
        <v>392292000.401965</v>
      </c>
      <c r="E882" s="6" t="n">
        <f aca="false">$I$2*(A882+1)^1.9*1.003^A882</f>
        <v>2375.3980638292</v>
      </c>
      <c r="F882" s="6" t="n">
        <f aca="false">(A882+1)^1.12</f>
        <v>1987.80151572713</v>
      </c>
      <c r="G882" s="6" t="n">
        <f aca="false">G881+E882</f>
        <v>413331.68921307</v>
      </c>
    </row>
    <row r="883" customFormat="false" ht="15" hidden="false" customHeight="true" outlineLevel="0" collapsed="false">
      <c r="A883" s="6" t="n">
        <v>881</v>
      </c>
      <c r="B883" s="6" t="n">
        <f aca="false">MIN(42, FLOOR(A883/32,1)+1)</f>
        <v>28</v>
      </c>
      <c r="C883" s="6" t="str">
        <f aca="false">INDEX(Grades_Realms!$B$2:$B$43, B883)</f>
        <v>Saint · Initial</v>
      </c>
      <c r="D883" s="6" t="n">
        <f aca="false">(A883+1)^2.4 * 1.004^A883</f>
        <v>394934968.609149</v>
      </c>
      <c r="E883" s="6" t="n">
        <f aca="false">$I$2*(A883+1)^1.9*1.003^A883</f>
        <v>2387.66513000046</v>
      </c>
      <c r="F883" s="6" t="n">
        <f aca="false">(A883+1)^1.12</f>
        <v>1990.3287453192</v>
      </c>
      <c r="G883" s="6" t="n">
        <f aca="false">G882+E883</f>
        <v>415719.35434307</v>
      </c>
    </row>
    <row r="884" customFormat="false" ht="15" hidden="false" customHeight="true" outlineLevel="0" collapsed="false">
      <c r="A884" s="6" t="n">
        <v>882</v>
      </c>
      <c r="B884" s="6" t="n">
        <f aca="false">MIN(42, FLOOR(A884/32,1)+1)</f>
        <v>28</v>
      </c>
      <c r="C884" s="6" t="str">
        <f aca="false">INDEX(Grades_Realms!$B$2:$B$43, B884)</f>
        <v>Saint · Initial</v>
      </c>
      <c r="D884" s="6" t="n">
        <f aca="false">(A884+1)^2.4 * 1.004^A884</f>
        <v>397594516.511508</v>
      </c>
      <c r="E884" s="6" t="n">
        <f aca="false">$I$2*(A884+1)^1.9*1.003^A884</f>
        <v>2399.98968419726</v>
      </c>
      <c r="F884" s="6" t="n">
        <f aca="false">(A884+1)^1.12</f>
        <v>1992.85631877549</v>
      </c>
      <c r="G884" s="6" t="n">
        <f aca="false">G883+E884</f>
        <v>418119.344027268</v>
      </c>
    </row>
    <row r="885" customFormat="false" ht="15" hidden="false" customHeight="true" outlineLevel="0" collapsed="false">
      <c r="A885" s="6" t="n">
        <v>883</v>
      </c>
      <c r="B885" s="6" t="n">
        <f aca="false">MIN(42, FLOOR(A885/32,1)+1)</f>
        <v>28</v>
      </c>
      <c r="C885" s="6" t="str">
        <f aca="false">INDEX(Grades_Realms!$B$2:$B$43, B885)</f>
        <v>Saint · Initial</v>
      </c>
      <c r="D885" s="6" t="n">
        <f aca="false">(A885+1)^2.4 * 1.004^A885</f>
        <v>400270742.089139</v>
      </c>
      <c r="E885" s="6" t="n">
        <f aca="false">$I$2*(A885+1)^1.9*1.003^A885</f>
        <v>2412.37197613851</v>
      </c>
      <c r="F885" s="6" t="n">
        <f aca="false">(A885+1)^1.12</f>
        <v>1995.38423575328</v>
      </c>
      <c r="G885" s="6" t="n">
        <f aca="false">G884+E885</f>
        <v>420531.716003406</v>
      </c>
    </row>
    <row r="886" customFormat="false" ht="15" hidden="false" customHeight="true" outlineLevel="0" collapsed="false">
      <c r="A886" s="6" t="n">
        <v>884</v>
      </c>
      <c r="B886" s="6" t="n">
        <f aca="false">MIN(42, FLOOR(A886/32,1)+1)</f>
        <v>28</v>
      </c>
      <c r="C886" s="6" t="str">
        <f aca="false">INDEX(Grades_Realms!$B$2:$B$43, B886)</f>
        <v>Saint · Initial</v>
      </c>
      <c r="D886" s="6" t="n">
        <f aca="false">(A886+1)^2.4 * 1.004^A886</f>
        <v>402963743.873811</v>
      </c>
      <c r="E886" s="6" t="n">
        <f aca="false">$I$2*(A886+1)^1.9*1.003^A886</f>
        <v>2424.81225656861</v>
      </c>
      <c r="F886" s="6" t="n">
        <f aca="false">(A886+1)^1.12</f>
        <v>1997.91249591058</v>
      </c>
      <c r="G886" s="6" t="n">
        <f aca="false">G885+E886</f>
        <v>422956.528259975</v>
      </c>
    </row>
    <row r="887" customFormat="false" ht="15" hidden="false" customHeight="true" outlineLevel="0" collapsed="false">
      <c r="A887" s="6" t="n">
        <v>885</v>
      </c>
      <c r="B887" s="6" t="n">
        <f aca="false">MIN(42, FLOOR(A887/32,1)+1)</f>
        <v>28</v>
      </c>
      <c r="C887" s="6" t="str">
        <f aca="false">INDEX(Grades_Realms!$B$2:$B$43, B887)</f>
        <v>Saint · Initial</v>
      </c>
      <c r="D887" s="6" t="n">
        <f aca="false">(A887+1)^2.4 * 1.004^A887</f>
        <v>405673620.951953</v>
      </c>
      <c r="E887" s="6" t="n">
        <f aca="false">$I$2*(A887+1)^1.9*1.003^A887</f>
        <v>2437.31077726142</v>
      </c>
      <c r="F887" s="6" t="n">
        <f aca="false">(A887+1)^1.12</f>
        <v>2000.44109890613</v>
      </c>
      <c r="G887" s="6" t="n">
        <f aca="false">G886+E887</f>
        <v>425393.839037236</v>
      </c>
    </row>
    <row r="888" customFormat="false" ht="15" hidden="false" customHeight="true" outlineLevel="0" collapsed="false">
      <c r="A888" s="6" t="n">
        <v>886</v>
      </c>
      <c r="B888" s="6" t="n">
        <f aca="false">MIN(42, FLOOR(A888/32,1)+1)</f>
        <v>28</v>
      </c>
      <c r="C888" s="6" t="str">
        <f aca="false">INDEX(Grades_Realms!$B$2:$B$43, B888)</f>
        <v>Saint · Initial</v>
      </c>
      <c r="D888" s="6" t="n">
        <f aca="false">(A888+1)^2.4 * 1.004^A888</f>
        <v>408400472.967657</v>
      </c>
      <c r="E888" s="6" t="n">
        <f aca="false">$I$2*(A888+1)^1.9*1.003^A888</f>
        <v>2449.86779102436</v>
      </c>
      <c r="F888" s="6" t="n">
        <f aca="false">(A888+1)^1.12</f>
        <v>2002.97004439939</v>
      </c>
      <c r="G888" s="6" t="n">
        <f aca="false">G887+E888</f>
        <v>427843.706828261</v>
      </c>
    </row>
    <row r="889" customFormat="false" ht="15" hidden="false" customHeight="true" outlineLevel="0" collapsed="false">
      <c r="A889" s="6" t="n">
        <v>887</v>
      </c>
      <c r="B889" s="6" t="n">
        <f aca="false">MIN(42, FLOOR(A889/32,1)+1)</f>
        <v>28</v>
      </c>
      <c r="C889" s="6" t="str">
        <f aca="false">INDEX(Grades_Realms!$B$2:$B$43, B889)</f>
        <v>Saint · Initial</v>
      </c>
      <c r="D889" s="6" t="n">
        <f aca="false">(A889+1)^2.4 * 1.004^A889</f>
        <v>411144400.125696</v>
      </c>
      <c r="E889" s="6" t="n">
        <f aca="false">$I$2*(A889+1)^1.9*1.003^A889</f>
        <v>2462.48355170247</v>
      </c>
      <c r="F889" s="6" t="n">
        <f aca="false">(A889+1)^1.12</f>
        <v>2005.49933205053</v>
      </c>
      <c r="G889" s="6" t="n">
        <f aca="false">G888+E889</f>
        <v>430306.190379963</v>
      </c>
    </row>
    <row r="890" customFormat="false" ht="15" hidden="false" customHeight="true" outlineLevel="0" collapsed="false">
      <c r="A890" s="6" t="n">
        <v>888</v>
      </c>
      <c r="B890" s="6" t="n">
        <f aca="false">MIN(42, FLOOR(A890/32,1)+1)</f>
        <v>28</v>
      </c>
      <c r="C890" s="6" t="str">
        <f aca="false">INDEX(Grades_Realms!$B$2:$B$43, B890)</f>
        <v>Saint · Initial</v>
      </c>
      <c r="D890" s="6" t="n">
        <f aca="false">(A890+1)^2.4 * 1.004^A890</f>
        <v>413905503.194558</v>
      </c>
      <c r="E890" s="6" t="n">
        <f aca="false">$I$2*(A890+1)^1.9*1.003^A890</f>
        <v>2475.15831418246</v>
      </c>
      <c r="F890" s="6" t="n">
        <f aca="false">(A890+1)^1.12</f>
        <v>2008.02896152047</v>
      </c>
      <c r="G890" s="6" t="n">
        <f aca="false">G889+E890</f>
        <v>432781.348694145</v>
      </c>
    </row>
    <row r="891" customFormat="false" ht="15" hidden="false" customHeight="true" outlineLevel="0" collapsed="false">
      <c r="A891" s="6" t="n">
        <v>889</v>
      </c>
      <c r="B891" s="6" t="n">
        <f aca="false">MIN(42, FLOOR(A891/32,1)+1)</f>
        <v>28</v>
      </c>
      <c r="C891" s="6" t="str">
        <f aca="false">INDEX(Grades_Realms!$B$2:$B$43, B891)</f>
        <v>Saint · Initial</v>
      </c>
      <c r="D891" s="6" t="n">
        <f aca="false">(A891+1)^2.4 * 1.004^A891</f>
        <v>416683883.509499</v>
      </c>
      <c r="E891" s="6" t="n">
        <f aca="false">$I$2*(A891+1)^1.9*1.003^A891</f>
        <v>2487.89233439685</v>
      </c>
      <c r="F891" s="6" t="n">
        <f aca="false">(A891+1)^1.12</f>
        <v>2010.55893247083</v>
      </c>
      <c r="G891" s="6" t="n">
        <f aca="false">G890+E891</f>
        <v>435269.241028542</v>
      </c>
    </row>
    <row r="892" customFormat="false" ht="15" hidden="false" customHeight="true" outlineLevel="0" collapsed="false">
      <c r="A892" s="6" t="n">
        <v>890</v>
      </c>
      <c r="B892" s="6" t="n">
        <f aca="false">MIN(42, FLOOR(A892/32,1)+1)</f>
        <v>28</v>
      </c>
      <c r="C892" s="6" t="str">
        <f aca="false">INDEX(Grades_Realms!$B$2:$B$43, B892)</f>
        <v>Saint · Initial</v>
      </c>
      <c r="D892" s="6" t="n">
        <f aca="false">(A892+1)^2.4 * 1.004^A892</f>
        <v>419479642.975606</v>
      </c>
      <c r="E892" s="6" t="n">
        <f aca="false">$I$2*(A892+1)^1.9*1.003^A892</f>
        <v>2500.68586932806</v>
      </c>
      <c r="F892" s="6" t="n">
        <f aca="false">(A892+1)^1.12</f>
        <v>2013.08924456392</v>
      </c>
      <c r="G892" s="6" t="n">
        <f aca="false">G891+E892</f>
        <v>437769.92689787</v>
      </c>
    </row>
    <row r="893" customFormat="false" ht="15" hidden="false" customHeight="true" outlineLevel="0" collapsed="false">
      <c r="A893" s="6" t="n">
        <v>891</v>
      </c>
      <c r="B893" s="6" t="n">
        <f aca="false">MIN(42, FLOOR(A893/32,1)+1)</f>
        <v>28</v>
      </c>
      <c r="C893" s="6" t="str">
        <f aca="false">INDEX(Grades_Realms!$B$2:$B$43, B893)</f>
        <v>Saint · Initial</v>
      </c>
      <c r="D893" s="6" t="n">
        <f aca="false">(A893+1)^2.4 * 1.004^A893</f>
        <v>422292884.070883</v>
      </c>
      <c r="E893" s="6" t="n">
        <f aca="false">$I$2*(A893+1)^1.9*1.003^A893</f>
        <v>2513.53917701254</v>
      </c>
      <c r="F893" s="6" t="n">
        <f aca="false">(A893+1)^1.12</f>
        <v>2015.6198974628</v>
      </c>
      <c r="G893" s="6" t="n">
        <f aca="false">G892+E893</f>
        <v>440283.466074883</v>
      </c>
    </row>
    <row r="894" customFormat="false" ht="15" hidden="false" customHeight="true" outlineLevel="0" collapsed="false">
      <c r="A894" s="6" t="n">
        <v>892</v>
      </c>
      <c r="B894" s="6" t="n">
        <f aca="false">MIN(42, FLOOR(A894/32,1)+1)</f>
        <v>28</v>
      </c>
      <c r="C894" s="6" t="str">
        <f aca="false">INDEX(Grades_Realms!$B$2:$B$43, B894)</f>
        <v>Saint · Initial</v>
      </c>
      <c r="D894" s="6" t="n">
        <f aca="false">(A894+1)^2.4 * 1.004^A894</f>
        <v>425123709.849347</v>
      </c>
      <c r="E894" s="6" t="n">
        <f aca="false">$I$2*(A894+1)^1.9*1.003^A894</f>
        <v>2526.45251654494</v>
      </c>
      <c r="F894" s="6" t="n">
        <f aca="false">(A894+1)^1.12</f>
        <v>2018.15089083124</v>
      </c>
      <c r="G894" s="6" t="n">
        <f aca="false">G893+E894</f>
        <v>442809.918591428</v>
      </c>
    </row>
    <row r="895" customFormat="false" ht="15" hidden="false" customHeight="true" outlineLevel="0" collapsed="false">
      <c r="A895" s="6" t="n">
        <v>893</v>
      </c>
      <c r="B895" s="6" t="n">
        <f aca="false">MIN(42, FLOOR(A895/32,1)+1)</f>
        <v>28</v>
      </c>
      <c r="C895" s="6" t="str">
        <f aca="false">INDEX(Grades_Realms!$B$2:$B$43, B895)</f>
        <v>Saint · Initial</v>
      </c>
      <c r="D895" s="6" t="n">
        <f aca="false">(A895+1)^2.4 * 1.004^A895</f>
        <v>427972223.944144</v>
      </c>
      <c r="E895" s="6" t="n">
        <f aca="false">$I$2*(A895+1)^1.9*1.003^A895</f>
        <v>2539.42614808223</v>
      </c>
      <c r="F895" s="6" t="n">
        <f aca="false">(A895+1)^1.12</f>
        <v>2020.68222433368</v>
      </c>
      <c r="G895" s="6" t="n">
        <f aca="false">G894+E895</f>
        <v>445349.34473951</v>
      </c>
    </row>
    <row r="896" customFormat="false" ht="15" hidden="false" customHeight="true" outlineLevel="0" collapsed="false">
      <c r="A896" s="6" t="n">
        <v>894</v>
      </c>
      <c r="B896" s="6" t="n">
        <f aca="false">MIN(42, FLOOR(A896/32,1)+1)</f>
        <v>28</v>
      </c>
      <c r="C896" s="6" t="str">
        <f aca="false">INDEX(Grades_Realms!$B$2:$B$43, B896)</f>
        <v>Saint · Initial</v>
      </c>
      <c r="D896" s="6" t="n">
        <f aca="false">(A896+1)^2.4 * 1.004^A896</f>
        <v>430838530.570681</v>
      </c>
      <c r="E896" s="6" t="n">
        <f aca="false">$I$2*(A896+1)^1.9*1.003^A896</f>
        <v>2552.4603328479</v>
      </c>
      <c r="F896" s="6" t="n">
        <f aca="false">(A896+1)^1.12</f>
        <v>2023.2138976353</v>
      </c>
      <c r="G896" s="6" t="n">
        <f aca="false">G895+E896</f>
        <v>447901.805072358</v>
      </c>
    </row>
    <row r="897" customFormat="false" ht="15" hidden="false" customHeight="true" outlineLevel="0" collapsed="false">
      <c r="A897" s="6" t="n">
        <v>895</v>
      </c>
      <c r="B897" s="6" t="n">
        <f aca="false">MIN(42, FLOOR(A897/32,1)+1)</f>
        <v>28</v>
      </c>
      <c r="C897" s="6" t="str">
        <f aca="false">INDEX(Grades_Realms!$B$2:$B$43, B897)</f>
        <v>Saint · Initial</v>
      </c>
      <c r="D897" s="6" t="n">
        <f aca="false">(A897+1)^2.4 * 1.004^A897</f>
        <v>433722734.529773</v>
      </c>
      <c r="E897" s="6" t="n">
        <f aca="false">$I$2*(A897+1)^1.9*1.003^A897</f>
        <v>2565.55533313616</v>
      </c>
      <c r="F897" s="6" t="n">
        <f aca="false">(A897+1)^1.12</f>
        <v>2025.74591040198</v>
      </c>
      <c r="G897" s="6" t="n">
        <f aca="false">G896+E897</f>
        <v>450467.360405494</v>
      </c>
    </row>
    <row r="898" customFormat="false" ht="15" hidden="false" customHeight="true" outlineLevel="0" collapsed="false">
      <c r="A898" s="6" t="n">
        <v>896</v>
      </c>
      <c r="B898" s="6" t="n">
        <f aca="false">MIN(42, FLOOR(A898/32,1)+1)</f>
        <v>29</v>
      </c>
      <c r="C898" s="6" t="str">
        <f aca="false">INDEX(Grades_Realms!$B$2:$B$43, B898)</f>
        <v>Saint · Advanced</v>
      </c>
      <c r="D898" s="6" t="n">
        <f aca="false">(A898+1)^2.4 * 1.004^A898</f>
        <v>436624941.210806</v>
      </c>
      <c r="E898" s="6" t="n">
        <f aca="false">$I$2*(A898+1)^1.9*1.003^A898</f>
        <v>2578.71141231612</v>
      </c>
      <c r="F898" s="6" t="n">
        <f aca="false">(A898+1)^1.12</f>
        <v>2028.27826230028</v>
      </c>
      <c r="G898" s="6" t="n">
        <f aca="false">G897+E898</f>
        <v>453046.07181781</v>
      </c>
    </row>
    <row r="899" customFormat="false" ht="15" hidden="false" customHeight="true" outlineLevel="0" collapsed="false">
      <c r="A899" s="6" t="n">
        <v>897</v>
      </c>
      <c r="B899" s="6" t="n">
        <f aca="false">MIN(42, FLOOR(A899/32,1)+1)</f>
        <v>29</v>
      </c>
      <c r="C899" s="6" t="str">
        <f aca="false">INDEX(Grades_Realms!$B$2:$B$43, B899)</f>
        <v>Saint · Advanced</v>
      </c>
      <c r="D899" s="6" t="n">
        <f aca="false">(A899+1)^2.4 * 1.004^A899</f>
        <v>439545256.59492</v>
      </c>
      <c r="E899" s="6" t="n">
        <f aca="false">$I$2*(A899+1)^1.9*1.003^A899</f>
        <v>2591.92883483606</v>
      </c>
      <c r="F899" s="6" t="n">
        <f aca="false">(A899+1)^1.12</f>
        <v>2030.81095299748</v>
      </c>
      <c r="G899" s="6" t="n">
        <f aca="false">G898+E899</f>
        <v>455638.000652646</v>
      </c>
    </row>
    <row r="900" customFormat="false" ht="15" hidden="false" customHeight="true" outlineLevel="0" collapsed="false">
      <c r="A900" s="6" t="n">
        <v>898</v>
      </c>
      <c r="B900" s="6" t="n">
        <f aca="false">MIN(42, FLOOR(A900/32,1)+1)</f>
        <v>29</v>
      </c>
      <c r="C900" s="6" t="str">
        <f aca="false">INDEX(Grades_Realms!$B$2:$B$43, B900)</f>
        <v>Saint · Advanced</v>
      </c>
      <c r="D900" s="6" t="n">
        <f aca="false">(A900+1)^2.4 * 1.004^A900</f>
        <v>442483787.258204</v>
      </c>
      <c r="E900" s="6" t="n">
        <f aca="false">$I$2*(A900+1)^1.9*1.003^A900</f>
        <v>2605.20786622763</v>
      </c>
      <c r="F900" s="6" t="n">
        <f aca="false">(A900+1)^1.12</f>
        <v>2033.34398216156</v>
      </c>
      <c r="G900" s="6" t="n">
        <f aca="false">G899+E900</f>
        <v>458243.208518874</v>
      </c>
    </row>
    <row r="901" customFormat="false" ht="15" hidden="false" customHeight="true" outlineLevel="0" collapsed="false">
      <c r="A901" s="6" t="n">
        <v>899</v>
      </c>
      <c r="B901" s="6" t="n">
        <f aca="false">MIN(42, FLOOR(A901/32,1)+1)</f>
        <v>29</v>
      </c>
      <c r="C901" s="6" t="str">
        <f aca="false">INDEX(Grades_Realms!$B$2:$B$43, B901)</f>
        <v>Saint · Advanced</v>
      </c>
      <c r="D901" s="6" t="n">
        <f aca="false">(A901+1)^2.4 * 1.004^A901</f>
        <v>445440640.374913</v>
      </c>
      <c r="E901" s="6" t="n">
        <f aca="false">$I$2*(A901+1)^1.9*1.003^A901</f>
        <v>2618.5487731101</v>
      </c>
      <c r="F901" s="6" t="n">
        <f aca="false">(A901+1)^1.12</f>
        <v>2035.87734946117</v>
      </c>
      <c r="G901" s="6" t="n">
        <f aca="false">G900+E901</f>
        <v>460861.757291984</v>
      </c>
    </row>
    <row r="902" customFormat="false" ht="15" hidden="false" customHeight="true" outlineLevel="0" collapsed="false">
      <c r="A902" s="6" t="n">
        <v>900</v>
      </c>
      <c r="B902" s="6" t="n">
        <f aca="false">MIN(42, FLOOR(A902/32,1)+1)</f>
        <v>29</v>
      </c>
      <c r="C902" s="6" t="str">
        <f aca="false">INDEX(Grades_Realms!$B$2:$B$43, B902)</f>
        <v>Saint · Advanced</v>
      </c>
      <c r="D902" s="6" t="n">
        <f aca="false">(A902+1)^2.4 * 1.004^A902</f>
        <v>448415923.720696</v>
      </c>
      <c r="E902" s="6" t="n">
        <f aca="false">$I$2*(A902+1)^1.9*1.003^A902</f>
        <v>2631.95182319469</v>
      </c>
      <c r="F902" s="6" t="n">
        <f aca="false">(A902+1)^1.12</f>
        <v>2038.41105456568</v>
      </c>
      <c r="G902" s="6" t="n">
        <f aca="false">G901+E902</f>
        <v>463493.709115179</v>
      </c>
    </row>
    <row r="903" customFormat="false" ht="15" hidden="false" customHeight="true" outlineLevel="0" collapsed="false">
      <c r="A903" s="6" t="n">
        <v>901</v>
      </c>
      <c r="B903" s="6" t="n">
        <f aca="false">MIN(42, FLOOR(A903/32,1)+1)</f>
        <v>29</v>
      </c>
      <c r="C903" s="6" t="str">
        <f aca="false">INDEX(Grades_Realms!$B$2:$B$43, B903)</f>
        <v>Saint · Advanced</v>
      </c>
      <c r="D903" s="6" t="n">
        <f aca="false">(A903+1)^2.4 * 1.004^A903</f>
        <v>451409745.675846</v>
      </c>
      <c r="E903" s="6" t="n">
        <f aca="false">$I$2*(A903+1)^1.9*1.003^A903</f>
        <v>2645.41728528879</v>
      </c>
      <c r="F903" s="6" t="n">
        <f aca="false">(A903+1)^1.12</f>
        <v>2040.94509714512</v>
      </c>
      <c r="G903" s="6" t="n">
        <f aca="false">G902+E903</f>
        <v>466139.126400468</v>
      </c>
    </row>
    <row r="904" customFormat="false" ht="15" hidden="false" customHeight="true" outlineLevel="0" collapsed="false">
      <c r="A904" s="6" t="n">
        <v>902</v>
      </c>
      <c r="B904" s="6" t="n">
        <f aca="false">MIN(42, FLOOR(A904/32,1)+1)</f>
        <v>29</v>
      </c>
      <c r="C904" s="6" t="str">
        <f aca="false">INDEX(Grades_Realms!$B$2:$B$43, B904)</f>
        <v>Saint · Advanced</v>
      </c>
      <c r="D904" s="6" t="n">
        <f aca="false">(A904+1)^2.4 * 1.004^A904</f>
        <v>454422215.228565</v>
      </c>
      <c r="E904" s="6" t="n">
        <f aca="false">$I$2*(A904+1)^1.9*1.003^A904</f>
        <v>2658.94542930033</v>
      </c>
      <c r="F904" s="6" t="n">
        <f aca="false">(A904+1)^1.12</f>
        <v>2043.47947687023</v>
      </c>
      <c r="G904" s="6" t="n">
        <f aca="false">G903+E904</f>
        <v>468798.071829768</v>
      </c>
    </row>
    <row r="905" customFormat="false" ht="15" hidden="false" customHeight="true" outlineLevel="0" collapsed="false">
      <c r="A905" s="6" t="n">
        <v>903</v>
      </c>
      <c r="B905" s="6" t="n">
        <f aca="false">MIN(42, FLOOR(A905/32,1)+1)</f>
        <v>29</v>
      </c>
      <c r="C905" s="6" t="str">
        <f aca="false">INDEX(Grades_Realms!$B$2:$B$43, B905)</f>
        <v>Saint · Advanced</v>
      </c>
      <c r="D905" s="6" t="n">
        <f aca="false">(A905+1)^2.4 * 1.004^A905</f>
        <v>457453441.978242</v>
      </c>
      <c r="E905" s="6" t="n">
        <f aca="false">$I$2*(A905+1)^1.9*1.003^A905</f>
        <v>2672.53652624204</v>
      </c>
      <c r="F905" s="6" t="n">
        <f aca="false">(A905+1)^1.12</f>
        <v>2046.01419341244</v>
      </c>
      <c r="G905" s="6" t="n">
        <f aca="false">G904+E905</f>
        <v>471470.60835601</v>
      </c>
    </row>
    <row r="906" customFormat="false" ht="15" hidden="false" customHeight="true" outlineLevel="0" collapsed="false">
      <c r="A906" s="6" t="n">
        <v>904</v>
      </c>
      <c r="B906" s="6" t="n">
        <f aca="false">MIN(42, FLOOR(A906/32,1)+1)</f>
        <v>29</v>
      </c>
      <c r="C906" s="6" t="str">
        <f aca="false">INDEX(Grades_Realms!$B$2:$B$43, B906)</f>
        <v>Saint · Advanced</v>
      </c>
      <c r="D906" s="6" t="n">
        <f aca="false">(A906+1)^2.4 * 1.004^A906</f>
        <v>460503536.13876</v>
      </c>
      <c r="E906" s="6" t="n">
        <f aca="false">$I$2*(A906+1)^1.9*1.003^A906</f>
        <v>2686.19084823583</v>
      </c>
      <c r="F906" s="6" t="n">
        <f aca="false">(A906+1)^1.12</f>
        <v>2048.54924644384</v>
      </c>
      <c r="G906" s="6" t="n">
        <f aca="false">G905+E906</f>
        <v>474156.799204246</v>
      </c>
    </row>
    <row r="907" customFormat="false" ht="15" hidden="false" customHeight="true" outlineLevel="0" collapsed="false">
      <c r="A907" s="6" t="n">
        <v>905</v>
      </c>
      <c r="B907" s="6" t="n">
        <f aca="false">MIN(42, FLOOR(A907/32,1)+1)</f>
        <v>29</v>
      </c>
      <c r="C907" s="6" t="str">
        <f aca="false">INDEX(Grades_Realms!$B$2:$B$43, B907)</f>
        <v>Saint · Advanced</v>
      </c>
      <c r="D907" s="6" t="n">
        <f aca="false">(A907+1)^2.4 * 1.004^A907</f>
        <v>463572608.541802</v>
      </c>
      <c r="E907" s="6" t="n">
        <f aca="false">$I$2*(A907+1)^1.9*1.003^A907</f>
        <v>2699.90866851713</v>
      </c>
      <c r="F907" s="6" t="n">
        <f aca="false">(A907+1)^1.12</f>
        <v>2051.08463563722</v>
      </c>
      <c r="G907" s="6" t="n">
        <f aca="false">G906+E907</f>
        <v>476856.707872763</v>
      </c>
    </row>
    <row r="908" customFormat="false" ht="15" hidden="false" customHeight="true" outlineLevel="0" collapsed="false">
      <c r="A908" s="6" t="n">
        <v>906</v>
      </c>
      <c r="B908" s="6" t="n">
        <f aca="false">MIN(42, FLOOR(A908/32,1)+1)</f>
        <v>29</v>
      </c>
      <c r="C908" s="6" t="str">
        <f aca="false">INDEX(Grades_Realms!$B$2:$B$43, B908)</f>
        <v>Saint · Advanced</v>
      </c>
      <c r="D908" s="6" t="n">
        <f aca="false">(A908+1)^2.4 * 1.004^A908</f>
        <v>466660770.640196</v>
      </c>
      <c r="E908" s="6" t="n">
        <f aca="false">$I$2*(A908+1)^1.9*1.003^A908</f>
        <v>2713.69026143928</v>
      </c>
      <c r="F908" s="6" t="n">
        <f aca="false">(A908+1)^1.12</f>
        <v>2053.62036066604</v>
      </c>
      <c r="G908" s="6" t="n">
        <f aca="false">G907+E908</f>
        <v>479570.398134202</v>
      </c>
    </row>
    <row r="909" customFormat="false" ht="15" hidden="false" customHeight="true" outlineLevel="0" collapsed="false">
      <c r="A909" s="6" t="n">
        <v>907</v>
      </c>
      <c r="B909" s="6" t="n">
        <f aca="false">MIN(42, FLOOR(A909/32,1)+1)</f>
        <v>29</v>
      </c>
      <c r="C909" s="6" t="str">
        <f aca="false">INDEX(Grades_Realms!$B$2:$B$43, B909)</f>
        <v>Saint · Advanced</v>
      </c>
      <c r="D909" s="6" t="n">
        <f aca="false">(A909+1)^2.4 * 1.004^A909</f>
        <v>469768134.511257</v>
      </c>
      <c r="E909" s="6" t="n">
        <f aca="false">$I$2*(A909+1)^1.9*1.003^A909</f>
        <v>2727.53590247787</v>
      </c>
      <c r="F909" s="6" t="n">
        <f aca="false">(A909+1)^1.12</f>
        <v>2056.15642120445</v>
      </c>
      <c r="G909" s="6" t="n">
        <f aca="false">G908+E909</f>
        <v>482297.93403668</v>
      </c>
    </row>
    <row r="910" customFormat="false" ht="15" hidden="false" customHeight="true" outlineLevel="0" collapsed="false">
      <c r="A910" s="6" t="n">
        <v>908</v>
      </c>
      <c r="B910" s="6" t="n">
        <f aca="false">MIN(42, FLOOR(A910/32,1)+1)</f>
        <v>29</v>
      </c>
      <c r="C910" s="6" t="str">
        <f aca="false">INDEX(Grades_Realms!$B$2:$B$43, B910)</f>
        <v>Saint · Advanced</v>
      </c>
      <c r="D910" s="6" t="n">
        <f aca="false">(A910+1)^2.4 * 1.004^A910</f>
        <v>472894812.860161</v>
      </c>
      <c r="E910" s="6" t="n">
        <f aca="false">$I$2*(A910+1)^1.9*1.003^A910</f>
        <v>2741.44586823521</v>
      </c>
      <c r="F910" s="6" t="n">
        <f aca="false">(A910+1)^1.12</f>
        <v>2058.69281692725</v>
      </c>
      <c r="G910" s="6" t="n">
        <f aca="false">G909+E910</f>
        <v>485039.379904915</v>
      </c>
    </row>
    <row r="911" customFormat="false" ht="15" hidden="false" customHeight="true" outlineLevel="0" collapsed="false">
      <c r="A911" s="6" t="n">
        <v>909</v>
      </c>
      <c r="B911" s="6" t="n">
        <f aca="false">MIN(42, FLOOR(A911/32,1)+1)</f>
        <v>29</v>
      </c>
      <c r="C911" s="6" t="str">
        <f aca="false">INDEX(Grades_Realms!$B$2:$B$43, B911)</f>
        <v>Saint · Advanced</v>
      </c>
      <c r="D911" s="6" t="n">
        <f aca="false">(A911+1)^2.4 * 1.004^A911</f>
        <v>476040919.023329</v>
      </c>
      <c r="E911" s="6" t="n">
        <f aca="false">$I$2*(A911+1)^1.9*1.003^A911</f>
        <v>2755.42043644469</v>
      </c>
      <c r="F911" s="6" t="n">
        <f aca="false">(A911+1)^1.12</f>
        <v>2061.22954750994</v>
      </c>
      <c r="G911" s="6" t="n">
        <f aca="false">G910+E911</f>
        <v>487794.80034136</v>
      </c>
    </row>
    <row r="912" customFormat="false" ht="15" hidden="false" customHeight="true" outlineLevel="0" collapsed="false">
      <c r="A912" s="6" t="n">
        <v>910</v>
      </c>
      <c r="B912" s="6" t="n">
        <f aca="false">MIN(42, FLOOR(A912/32,1)+1)</f>
        <v>29</v>
      </c>
      <c r="C912" s="6" t="str">
        <f aca="false">INDEX(Grades_Realms!$B$2:$B$43, B912)</f>
        <v>Saint · Advanced</v>
      </c>
      <c r="D912" s="6" t="n">
        <f aca="false">(A912+1)^2.4 * 1.004^A912</f>
        <v>479206566.971833</v>
      </c>
      <c r="E912" s="6" t="n">
        <f aca="false">$I$2*(A912+1)^1.9*1.003^A912</f>
        <v>2769.45988597527</v>
      </c>
      <c r="F912" s="6" t="n">
        <f aca="false">(A912+1)^1.12</f>
        <v>2063.76661262867</v>
      </c>
      <c r="G912" s="6" t="n">
        <f aca="false">G911+E912</f>
        <v>490564.260227335</v>
      </c>
    </row>
    <row r="913" customFormat="false" ht="15" hidden="false" customHeight="true" outlineLevel="0" collapsed="false">
      <c r="A913" s="6" t="n">
        <v>911</v>
      </c>
      <c r="B913" s="6" t="n">
        <f aca="false">MIN(42, FLOOR(A913/32,1)+1)</f>
        <v>29</v>
      </c>
      <c r="C913" s="6" t="str">
        <f aca="false">INDEX(Grades_Realms!$B$2:$B$43, B913)</f>
        <v>Saint · Advanced</v>
      </c>
      <c r="D913" s="6" t="n">
        <f aca="false">(A913+1)^2.4 * 1.004^A913</f>
        <v>482391871.314815</v>
      </c>
      <c r="E913" s="6" t="n">
        <f aca="false">$I$2*(A913+1)^1.9*1.003^A913</f>
        <v>2783.5644968359</v>
      </c>
      <c r="F913" s="6" t="n">
        <f aca="false">(A913+1)^1.12</f>
        <v>2066.30401196027</v>
      </c>
      <c r="G913" s="6" t="n">
        <f aca="false">G912+E913</f>
        <v>493347.824724171</v>
      </c>
    </row>
    <row r="914" customFormat="false" ht="15" hidden="false" customHeight="true" outlineLevel="0" collapsed="false">
      <c r="A914" s="6" t="n">
        <v>912</v>
      </c>
      <c r="B914" s="6" t="n">
        <f aca="false">MIN(42, FLOOR(A914/32,1)+1)</f>
        <v>29</v>
      </c>
      <c r="C914" s="6" t="str">
        <f aca="false">INDEX(Grades_Realms!$B$2:$B$43, B914)</f>
        <v>Saint · Advanced</v>
      </c>
      <c r="D914" s="6" t="n">
        <f aca="false">(A914+1)^2.4 * 1.004^A914</f>
        <v>485596947.30293</v>
      </c>
      <c r="E914" s="6" t="n">
        <f aca="false">$I$2*(A914+1)^1.9*1.003^A914</f>
        <v>2797.73455018</v>
      </c>
      <c r="F914" s="6" t="n">
        <f aca="false">(A914+1)^1.12</f>
        <v>2068.84174518223</v>
      </c>
      <c r="G914" s="6" t="n">
        <f aca="false">G913+E914</f>
        <v>496145.559274351</v>
      </c>
    </row>
    <row r="915" customFormat="false" ht="15" hidden="false" customHeight="true" outlineLevel="0" collapsed="false">
      <c r="A915" s="6" t="n">
        <v>913</v>
      </c>
      <c r="B915" s="6" t="n">
        <f aca="false">MIN(42, FLOOR(A915/32,1)+1)</f>
        <v>29</v>
      </c>
      <c r="C915" s="6" t="str">
        <f aca="false">INDEX(Grades_Realms!$B$2:$B$43, B915)</f>
        <v>Saint · Advanced</v>
      </c>
      <c r="D915" s="6" t="n">
        <f aca="false">(A915+1)^2.4 * 1.004^A915</f>
        <v>488821910.831802</v>
      </c>
      <c r="E915" s="6" t="n">
        <f aca="false">$I$2*(A915+1)^1.9*1.003^A915</f>
        <v>2811.97032830995</v>
      </c>
      <c r="F915" s="6" t="n">
        <f aca="false">(A915+1)^1.12</f>
        <v>2071.37981197271</v>
      </c>
      <c r="G915" s="6" t="n">
        <f aca="false">G914+E915</f>
        <v>498957.529602661</v>
      </c>
    </row>
    <row r="916" customFormat="false" ht="15" hidden="false" customHeight="true" outlineLevel="0" collapsed="false">
      <c r="A916" s="6" t="n">
        <v>914</v>
      </c>
      <c r="B916" s="6" t="n">
        <f aca="false">MIN(42, FLOOR(A916/32,1)+1)</f>
        <v>29</v>
      </c>
      <c r="C916" s="6" t="str">
        <f aca="false">INDEX(Grades_Realms!$B$2:$B$43, B916)</f>
        <v>Saint · Advanced</v>
      </c>
      <c r="D916" s="6" t="n">
        <f aca="false">(A916+1)^2.4 * 1.004^A916</f>
        <v>492066878.445498</v>
      </c>
      <c r="E916" s="6" t="n">
        <f aca="false">$I$2*(A916+1)^1.9*1.003^A916</f>
        <v>2826.27211468161</v>
      </c>
      <c r="F916" s="6" t="n">
        <f aca="false">(A916+1)^1.12</f>
        <v>2073.91821201053</v>
      </c>
      <c r="G916" s="6" t="n">
        <f aca="false">G915+E916</f>
        <v>501783.801717343</v>
      </c>
    </row>
    <row r="917" customFormat="false" ht="15" hidden="false" customHeight="true" outlineLevel="0" collapsed="false">
      <c r="A917" s="6" t="n">
        <v>915</v>
      </c>
      <c r="B917" s="6" t="n">
        <f aca="false">MIN(42, FLOOR(A917/32,1)+1)</f>
        <v>29</v>
      </c>
      <c r="C917" s="6" t="str">
        <f aca="false">INDEX(Grades_Realms!$B$2:$B$43, B917)</f>
        <v>Saint · Advanced</v>
      </c>
      <c r="D917" s="6" t="n">
        <f aca="false">(A917+1)^2.4 * 1.004^A917</f>
        <v>495331967.340028</v>
      </c>
      <c r="E917" s="6" t="n">
        <f aca="false">$I$2*(A917+1)^1.9*1.003^A917</f>
        <v>2840.64019390883</v>
      </c>
      <c r="F917" s="6" t="n">
        <f aca="false">(A917+1)^1.12</f>
        <v>2076.45694497517</v>
      </c>
      <c r="G917" s="6" t="n">
        <f aca="false">G916+E917</f>
        <v>504624.441911251</v>
      </c>
    </row>
    <row r="918" customFormat="false" ht="15" hidden="false" customHeight="true" outlineLevel="0" collapsed="false">
      <c r="A918" s="6" t="n">
        <v>916</v>
      </c>
      <c r="B918" s="6" t="n">
        <f aca="false">MIN(42, FLOOR(A918/32,1)+1)</f>
        <v>29</v>
      </c>
      <c r="C918" s="6" t="str">
        <f aca="false">INDEX(Grades_Realms!$B$2:$B$43, B918)</f>
        <v>Saint · Advanced</v>
      </c>
      <c r="D918" s="6" t="n">
        <f aca="false">(A918+1)^2.4 * 1.004^A918</f>
        <v>498617295.366848</v>
      </c>
      <c r="E918" s="6" t="n">
        <f aca="false">$I$2*(A918+1)^1.9*1.003^A918</f>
        <v>2855.07485176798</v>
      </c>
      <c r="F918" s="6" t="n">
        <f aca="false">(A918+1)^1.12</f>
        <v>2078.99601054675</v>
      </c>
      <c r="G918" s="6" t="n">
        <f aca="false">G917+E918</f>
        <v>507479.516763019</v>
      </c>
    </row>
    <row r="919" customFormat="false" ht="15" hidden="false" customHeight="true" outlineLevel="0" collapsed="false">
      <c r="A919" s="6" t="n">
        <v>917</v>
      </c>
      <c r="B919" s="6" t="n">
        <f aca="false">MIN(42, FLOOR(A919/32,1)+1)</f>
        <v>29</v>
      </c>
      <c r="C919" s="6" t="str">
        <f aca="false">INDEX(Grades_Realms!$B$2:$B$43, B919)</f>
        <v>Saint · Advanced</v>
      </c>
      <c r="D919" s="6" t="n">
        <f aca="false">(A919+1)^2.4 * 1.004^A919</f>
        <v>501922981.0364</v>
      </c>
      <c r="E919" s="6" t="n">
        <f aca="false">$I$2*(A919+1)^1.9*1.003^A919</f>
        <v>2869.57637520253</v>
      </c>
      <c r="F919" s="6" t="n">
        <f aca="false">(A919+1)^1.12</f>
        <v>2081.53540840609</v>
      </c>
      <c r="G919" s="6" t="n">
        <f aca="false">G918+E919</f>
        <v>510349.093138222</v>
      </c>
    </row>
    <row r="920" customFormat="false" ht="15" hidden="false" customHeight="true" outlineLevel="0" collapsed="false">
      <c r="A920" s="6" t="n">
        <v>918</v>
      </c>
      <c r="B920" s="6" t="n">
        <f aca="false">MIN(42, FLOOR(A920/32,1)+1)</f>
        <v>29</v>
      </c>
      <c r="C920" s="6" t="str">
        <f aca="false">INDEX(Grades_Realms!$B$2:$B$43, B920)</f>
        <v>Saint · Advanced</v>
      </c>
      <c r="D920" s="6" t="n">
        <f aca="false">(A920+1)^2.4 * 1.004^A920</f>
        <v>505249143.521656</v>
      </c>
      <c r="E920" s="6" t="n">
        <f aca="false">$I$2*(A920+1)^1.9*1.003^A920</f>
        <v>2884.14505232761</v>
      </c>
      <c r="F920" s="6" t="n">
        <f aca="false">(A920+1)^1.12</f>
        <v>2084.07513823461</v>
      </c>
      <c r="G920" s="6" t="n">
        <f aca="false">G919+E920</f>
        <v>513233.23819055</v>
      </c>
    </row>
    <row r="921" customFormat="false" ht="15" hidden="false" customHeight="true" outlineLevel="0" collapsed="false">
      <c r="A921" s="6" t="n">
        <v>919</v>
      </c>
      <c r="B921" s="6" t="n">
        <f aca="false">MIN(42, FLOOR(A921/32,1)+1)</f>
        <v>29</v>
      </c>
      <c r="C921" s="6" t="str">
        <f aca="false">INDEX(Grades_Realms!$B$2:$B$43, B921)</f>
        <v>Saint · Advanced</v>
      </c>
      <c r="D921" s="6" t="n">
        <f aca="false">(A921+1)^2.4 * 1.004^A921</f>
        <v>508595902.661684</v>
      </c>
      <c r="E921" s="6" t="n">
        <f aca="false">$I$2*(A921+1)^1.9*1.003^A921</f>
        <v>2898.7811724346</v>
      </c>
      <c r="F921" s="6" t="n">
        <f aca="false">(A921+1)^1.12</f>
        <v>2086.61519971442</v>
      </c>
      <c r="G921" s="6" t="n">
        <f aca="false">G920+E921</f>
        <v>516132.019362984</v>
      </c>
    </row>
    <row r="922" customFormat="false" ht="15" hidden="false" customHeight="true" outlineLevel="0" collapsed="false">
      <c r="A922" s="6" t="n">
        <v>920</v>
      </c>
      <c r="B922" s="6" t="n">
        <f aca="false">MIN(42, FLOOR(A922/32,1)+1)</f>
        <v>29</v>
      </c>
      <c r="C922" s="6" t="str">
        <f aca="false">INDEX(Grades_Realms!$B$2:$B$43, B922)</f>
        <v>Saint · Advanced</v>
      </c>
      <c r="D922" s="6" t="n">
        <f aca="false">(A922+1)^2.4 * 1.004^A922</f>
        <v>511963378.965239</v>
      </c>
      <c r="E922" s="6" t="n">
        <f aca="false">$I$2*(A922+1)^1.9*1.003^A922</f>
        <v>2913.48502599575</v>
      </c>
      <c r="F922" s="6" t="n">
        <f aca="false">(A922+1)^1.12</f>
        <v>2089.15559252827</v>
      </c>
      <c r="G922" s="6" t="n">
        <f aca="false">G921+E922</f>
        <v>519045.50438898</v>
      </c>
    </row>
    <row r="923" customFormat="false" ht="15" hidden="false" customHeight="true" outlineLevel="0" collapsed="false">
      <c r="A923" s="6" t="n">
        <v>921</v>
      </c>
      <c r="B923" s="6" t="n">
        <f aca="false">MIN(42, FLOOR(A923/32,1)+1)</f>
        <v>29</v>
      </c>
      <c r="C923" s="6" t="str">
        <f aca="false">INDEX(Grades_Realms!$B$2:$B$43, B923)</f>
        <v>Saint · Advanced</v>
      </c>
      <c r="D923" s="6" t="n">
        <f aca="false">(A923+1)^2.4 * 1.004^A923</f>
        <v>515351693.614364</v>
      </c>
      <c r="E923" s="6" t="n">
        <f aca="false">$I$2*(A923+1)^1.9*1.003^A923</f>
        <v>2928.25690466883</v>
      </c>
      <c r="F923" s="6" t="n">
        <f aca="false">(A923+1)^1.12</f>
        <v>2091.69631635955</v>
      </c>
      <c r="G923" s="6" t="n">
        <f aca="false">G922+E923</f>
        <v>521973.761293649</v>
      </c>
    </row>
    <row r="924" customFormat="false" ht="15" hidden="false" customHeight="true" outlineLevel="0" collapsed="false">
      <c r="A924" s="6" t="n">
        <v>922</v>
      </c>
      <c r="B924" s="6" t="n">
        <f aca="false">MIN(42, FLOOR(A924/32,1)+1)</f>
        <v>29</v>
      </c>
      <c r="C924" s="6" t="str">
        <f aca="false">INDEX(Grades_Realms!$B$2:$B$43, B924)</f>
        <v>Saint · Advanced</v>
      </c>
      <c r="D924" s="6" t="n">
        <f aca="false">(A924+1)^2.4 * 1.004^A924</f>
        <v>518760968.468016</v>
      </c>
      <c r="E924" s="6" t="n">
        <f aca="false">$I$2*(A924+1)^1.9*1.003^A924</f>
        <v>2943.09710130169</v>
      </c>
      <c r="F924" s="6" t="n">
        <f aca="false">(A924+1)^1.12</f>
        <v>2094.23737089231</v>
      </c>
      <c r="G924" s="6" t="n">
        <f aca="false">G923+E924</f>
        <v>524916.85839495</v>
      </c>
    </row>
    <row r="925" customFormat="false" ht="15" hidden="false" customHeight="true" outlineLevel="0" collapsed="false">
      <c r="A925" s="6" t="n">
        <v>923</v>
      </c>
      <c r="B925" s="6" t="n">
        <f aca="false">MIN(42, FLOOR(A925/32,1)+1)</f>
        <v>29</v>
      </c>
      <c r="C925" s="6" t="str">
        <f aca="false">INDEX(Grades_Realms!$B$2:$B$43, B925)</f>
        <v>Saint · Advanced</v>
      </c>
      <c r="D925" s="6" t="n">
        <f aca="false">(A925+1)^2.4 * 1.004^A925</f>
        <v>522191326.065708</v>
      </c>
      <c r="E925" s="6" t="n">
        <f aca="false">$I$2*(A925+1)^1.9*1.003^A925</f>
        <v>2958.00590993704</v>
      </c>
      <c r="F925" s="6" t="n">
        <f aca="false">(A925+1)^1.12</f>
        <v>2096.77875581122</v>
      </c>
      <c r="G925" s="6" t="n">
        <f aca="false">G924+E925</f>
        <v>527874.864304888</v>
      </c>
    </row>
    <row r="926" customFormat="false" ht="15" hidden="false" customHeight="true" outlineLevel="0" collapsed="false">
      <c r="A926" s="6" t="n">
        <v>924</v>
      </c>
      <c r="B926" s="6" t="n">
        <f aca="false">MIN(42, FLOOR(A926/32,1)+1)</f>
        <v>29</v>
      </c>
      <c r="C926" s="6" t="str">
        <f aca="false">INDEX(Grades_Realms!$B$2:$B$43, B926)</f>
        <v>Saint · Advanced</v>
      </c>
      <c r="D926" s="6" t="n">
        <f aca="false">(A926+1)^2.4 * 1.004^A926</f>
        <v>525642889.631169</v>
      </c>
      <c r="E926" s="6" t="n">
        <f aca="false">$I$2*(A926+1)^1.9*1.003^A926</f>
        <v>2972.98362581703</v>
      </c>
      <c r="F926" s="6" t="n">
        <f aca="false">(A926+1)^1.12</f>
        <v>2099.32047080161</v>
      </c>
      <c r="G926" s="6" t="n">
        <f aca="false">G925+E926</f>
        <v>530847.847930705</v>
      </c>
    </row>
    <row r="927" customFormat="false" ht="15" hidden="false" customHeight="true" outlineLevel="0" collapsed="false">
      <c r="A927" s="6" t="n">
        <v>925</v>
      </c>
      <c r="B927" s="6" t="n">
        <f aca="false">MIN(42, FLOOR(A927/32,1)+1)</f>
        <v>29</v>
      </c>
      <c r="C927" s="6" t="str">
        <f aca="false">INDEX(Grades_Realms!$B$2:$B$43, B927)</f>
        <v>Saint · Advanced</v>
      </c>
      <c r="D927" s="6" t="n">
        <f aca="false">(A927+1)^2.4 * 1.004^A927</f>
        <v>529115783.076029</v>
      </c>
      <c r="E927" s="6" t="n">
        <f aca="false">$I$2*(A927+1)^1.9*1.003^A927</f>
        <v>2988.030545388</v>
      </c>
      <c r="F927" s="6" t="n">
        <f aca="false">(A927+1)^1.12</f>
        <v>2101.86251554945</v>
      </c>
      <c r="G927" s="6" t="n">
        <f aca="false">G926+E927</f>
        <v>533835.878476093</v>
      </c>
    </row>
    <row r="928" customFormat="false" ht="15" hidden="false" customHeight="true" outlineLevel="0" collapsed="false">
      <c r="A928" s="6" t="n">
        <v>926</v>
      </c>
      <c r="B928" s="6" t="n">
        <f aca="false">MIN(42, FLOOR(A928/32,1)+1)</f>
        <v>29</v>
      </c>
      <c r="C928" s="6" t="str">
        <f aca="false">INDEX(Grades_Realms!$B$2:$B$43, B928)</f>
        <v>Saint · Advanced</v>
      </c>
      <c r="D928" s="6" t="n">
        <f aca="false">(A928+1)^2.4 * 1.004^A928</f>
        <v>532610131.003512</v>
      </c>
      <c r="E928" s="6" t="n">
        <f aca="false">$I$2*(A928+1)^1.9*1.003^A928</f>
        <v>3003.1469663052</v>
      </c>
      <c r="F928" s="6" t="n">
        <f aca="false">(A928+1)^1.12</f>
        <v>2104.40488974134</v>
      </c>
      <c r="G928" s="6" t="n">
        <f aca="false">G927+E928</f>
        <v>536839.025442398</v>
      </c>
    </row>
    <row r="929" customFormat="false" ht="15" hidden="false" customHeight="true" outlineLevel="0" collapsed="false">
      <c r="A929" s="6" t="n">
        <v>927</v>
      </c>
      <c r="B929" s="6" t="n">
        <f aca="false">MIN(42, FLOOR(A929/32,1)+1)</f>
        <v>29</v>
      </c>
      <c r="C929" s="6" t="str">
        <f aca="false">INDEX(Grades_Realms!$B$2:$B$43, B929)</f>
        <v>Saint · Advanced</v>
      </c>
      <c r="D929" s="6" t="n">
        <f aca="false">(A929+1)^2.4 * 1.004^A929</f>
        <v>536126058.712165</v>
      </c>
      <c r="E929" s="6" t="n">
        <f aca="false">$I$2*(A929+1)^1.9*1.003^A929</f>
        <v>3018.33318743748</v>
      </c>
      <c r="F929" s="6" t="n">
        <f aca="false">(A929+1)^1.12</f>
        <v>2106.94759306453</v>
      </c>
      <c r="G929" s="6" t="n">
        <f aca="false">G928+E929</f>
        <v>539857.358629835</v>
      </c>
    </row>
    <row r="930" customFormat="false" ht="15" hidden="false" customHeight="true" outlineLevel="0" collapsed="false">
      <c r="A930" s="6" t="n">
        <v>928</v>
      </c>
      <c r="B930" s="6" t="n">
        <f aca="false">MIN(42, FLOOR(A930/32,1)+1)</f>
        <v>30</v>
      </c>
      <c r="C930" s="6" t="str">
        <f aca="false">INDEX(Grades_Realms!$B$2:$B$43, B930)</f>
        <v>Saint · Perfected</v>
      </c>
      <c r="D930" s="6" t="n">
        <f aca="false">(A930+1)^2.4 * 1.004^A930</f>
        <v>539663692.199587</v>
      </c>
      <c r="E930" s="6" t="n">
        <f aca="false">$I$2*(A930+1)^1.9*1.003^A930</f>
        <v>3033.58950887208</v>
      </c>
      <c r="F930" s="6" t="n">
        <f aca="false">(A930+1)^1.12</f>
        <v>2109.49062520687</v>
      </c>
      <c r="G930" s="6" t="n">
        <f aca="false">G929+E930</f>
        <v>542890.948138707</v>
      </c>
    </row>
    <row r="931" customFormat="false" ht="15" hidden="false" customHeight="true" outlineLevel="0" collapsed="false">
      <c r="A931" s="6" t="n">
        <v>929</v>
      </c>
      <c r="B931" s="6" t="n">
        <f aca="false">MIN(42, FLOOR(A931/32,1)+1)</f>
        <v>30</v>
      </c>
      <c r="C931" s="6" t="str">
        <f aca="false">INDEX(Grades_Realms!$B$2:$B$43, B931)</f>
        <v>Saint · Perfected</v>
      </c>
      <c r="D931" s="6" t="n">
        <f aca="false">(A931+1)^2.4 * 1.004^A931</f>
        <v>543223158.166192</v>
      </c>
      <c r="E931" s="6" t="n">
        <f aca="false">$I$2*(A931+1)^1.9*1.003^A931</f>
        <v>3048.91623191941</v>
      </c>
      <c r="F931" s="6" t="n">
        <f aca="false">(A931+1)^1.12</f>
        <v>2112.03398585689</v>
      </c>
      <c r="G931" s="6" t="n">
        <f aca="false">G930+E931</f>
        <v>545939.864370627</v>
      </c>
    </row>
    <row r="932" customFormat="false" ht="15" hidden="false" customHeight="true" outlineLevel="0" collapsed="false">
      <c r="A932" s="6" t="n">
        <v>930</v>
      </c>
      <c r="B932" s="6" t="n">
        <f aca="false">MIN(42, FLOOR(A932/32,1)+1)</f>
        <v>30</v>
      </c>
      <c r="C932" s="6" t="str">
        <f aca="false">INDEX(Grades_Realms!$B$2:$B$43, B932)</f>
        <v>Saint · Perfected</v>
      </c>
      <c r="D932" s="6" t="n">
        <f aca="false">(A932+1)^2.4 * 1.004^A932</f>
        <v>546804584.018988</v>
      </c>
      <c r="E932" s="6" t="n">
        <f aca="false">$I$2*(A932+1)^1.9*1.003^A932</f>
        <v>3064.31365911778</v>
      </c>
      <c r="F932" s="6" t="n">
        <f aca="false">(A932+1)^1.12</f>
        <v>2114.5776747037</v>
      </c>
      <c r="G932" s="6" t="n">
        <f aca="false">G931+E932</f>
        <v>549004.178029745</v>
      </c>
    </row>
    <row r="933" customFormat="false" ht="15" hidden="false" customHeight="true" outlineLevel="0" collapsed="false">
      <c r="A933" s="6" t="n">
        <v>931</v>
      </c>
      <c r="B933" s="6" t="n">
        <f aca="false">MIN(42, FLOOR(A933/32,1)+1)</f>
        <v>30</v>
      </c>
      <c r="C933" s="6" t="str">
        <f aca="false">INDEX(Grades_Realms!$B$2:$B$43, B933)</f>
        <v>Saint · Perfected</v>
      </c>
      <c r="D933" s="6" t="n">
        <f aca="false">(A933+1)^2.4 * 1.004^A933</f>
        <v>550408097.875371</v>
      </c>
      <c r="E933" s="6" t="n">
        <f aca="false">$I$2*(A933+1)^1.9*1.003^A933</f>
        <v>3079.78209423826</v>
      </c>
      <c r="F933" s="6" t="n">
        <f aca="false">(A933+1)^1.12</f>
        <v>2117.12169143707</v>
      </c>
      <c r="G933" s="6" t="n">
        <f aca="false">G932+E933</f>
        <v>552083.960123983</v>
      </c>
    </row>
    <row r="934" customFormat="false" ht="15" hidden="false" customHeight="true" outlineLevel="0" collapsed="false">
      <c r="A934" s="6" t="n">
        <v>932</v>
      </c>
      <c r="B934" s="6" t="n">
        <f aca="false">MIN(42, FLOOR(A934/32,1)+1)</f>
        <v>30</v>
      </c>
      <c r="C934" s="6" t="str">
        <f aca="false">INDEX(Grades_Realms!$B$2:$B$43, B934)</f>
        <v>Saint · Perfected</v>
      </c>
      <c r="D934" s="6" t="n">
        <f aca="false">(A934+1)^2.4 * 1.004^A934</f>
        <v>554033828.566945</v>
      </c>
      <c r="E934" s="6" t="n">
        <f aca="false">$I$2*(A934+1)^1.9*1.003^A934</f>
        <v>3095.32184228949</v>
      </c>
      <c r="F934" s="6" t="n">
        <f aca="false">(A934+1)^1.12</f>
        <v>2119.6660357474</v>
      </c>
      <c r="G934" s="6" t="n">
        <f aca="false">G933+E934</f>
        <v>555179.281966272</v>
      </c>
    </row>
    <row r="935" customFormat="false" ht="15" hidden="false" customHeight="true" outlineLevel="0" collapsed="false">
      <c r="A935" s="6" t="n">
        <v>933</v>
      </c>
      <c r="B935" s="6" t="n">
        <f aca="false">MIN(42, FLOOR(A935/32,1)+1)</f>
        <v>30</v>
      </c>
      <c r="C935" s="6" t="str">
        <f aca="false">INDEX(Grades_Realms!$B$2:$B$43, B935)</f>
        <v>Saint · Perfected</v>
      </c>
      <c r="D935" s="6" t="n">
        <f aca="false">(A935+1)^2.4 * 1.004^A935</f>
        <v>557681905.643359</v>
      </c>
      <c r="E935" s="6" t="n">
        <f aca="false">$I$2*(A935+1)^1.9*1.003^A935</f>
        <v>3110.93320952251</v>
      </c>
      <c r="F935" s="6" t="n">
        <f aca="false">(A935+1)^1.12</f>
        <v>2122.21070732569</v>
      </c>
      <c r="G935" s="6" t="n">
        <f aca="false">G934+E935</f>
        <v>558290.215175795</v>
      </c>
    </row>
    <row r="936" customFormat="false" ht="15" hidden="false" customHeight="true" outlineLevel="0" collapsed="false">
      <c r="A936" s="6" t="n">
        <v>934</v>
      </c>
      <c r="B936" s="6" t="n">
        <f aca="false">MIN(42, FLOOR(A936/32,1)+1)</f>
        <v>30</v>
      </c>
      <c r="C936" s="6" t="str">
        <f aca="false">INDEX(Grades_Realms!$B$2:$B$43, B936)</f>
        <v>Saint · Perfected</v>
      </c>
      <c r="D936" s="6" t="n">
        <f aca="false">(A936+1)^2.4 * 1.004^A936</f>
        <v>561352459.376161</v>
      </c>
      <c r="E936" s="6" t="n">
        <f aca="false">$I$2*(A936+1)^1.9*1.003^A936</f>
        <v>3126.61650343562</v>
      </c>
      <c r="F936" s="6" t="n">
        <f aca="false">(A936+1)^1.12</f>
        <v>2124.75570586357</v>
      </c>
      <c r="G936" s="6" t="n">
        <f aca="false">G935+E936</f>
        <v>561416.83167923</v>
      </c>
    </row>
    <row r="937" customFormat="false" ht="15" hidden="false" customHeight="true" outlineLevel="0" collapsed="false">
      <c r="A937" s="6" t="n">
        <v>935</v>
      </c>
      <c r="B937" s="6" t="n">
        <f aca="false">MIN(42, FLOOR(A937/32,1)+1)</f>
        <v>30</v>
      </c>
      <c r="C937" s="6" t="str">
        <f aca="false">INDEX(Grades_Realms!$B$2:$B$43, B937)</f>
        <v>Saint · Perfected</v>
      </c>
      <c r="D937" s="6" t="n">
        <f aca="false">(A937+1)^2.4 * 1.004^A937</f>
        <v>565045620.762679</v>
      </c>
      <c r="E937" s="6" t="n">
        <f aca="false">$I$2*(A937+1)^1.9*1.003^A937</f>
        <v>3142.3720327793</v>
      </c>
      <c r="F937" s="6" t="n">
        <f aca="false">(A937+1)^1.12</f>
        <v>2127.3010310533</v>
      </c>
      <c r="G937" s="6" t="n">
        <f aca="false">G936+E937</f>
        <v>564559.20371201</v>
      </c>
    </row>
    <row r="938" customFormat="false" ht="15" hidden="false" customHeight="true" outlineLevel="0" collapsed="false">
      <c r="A938" s="6" t="n">
        <v>936</v>
      </c>
      <c r="B938" s="6" t="n">
        <f aca="false">MIN(42, FLOOR(A938/32,1)+1)</f>
        <v>30</v>
      </c>
      <c r="C938" s="6" t="str">
        <f aca="false">INDEX(Grades_Realms!$B$2:$B$43, B938)</f>
        <v>Saint · Perfected</v>
      </c>
      <c r="D938" s="6" t="n">
        <f aca="false">(A938+1)^2.4 * 1.004^A938</f>
        <v>568761521.529918</v>
      </c>
      <c r="E938" s="6" t="n">
        <f aca="false">$I$2*(A938+1)^1.9*1.003^A938</f>
        <v>3158.20010756104</v>
      </c>
      <c r="F938" s="6" t="n">
        <f aca="false">(A938+1)^1.12</f>
        <v>2129.84668258775</v>
      </c>
      <c r="G938" s="6" t="n">
        <f aca="false">G937+E938</f>
        <v>567717.403819571</v>
      </c>
    </row>
    <row r="939" customFormat="false" ht="15" hidden="false" customHeight="true" outlineLevel="0" collapsed="false">
      <c r="A939" s="6" t="n">
        <v>937</v>
      </c>
      <c r="B939" s="6" t="n">
        <f aca="false">MIN(42, FLOOR(A939/32,1)+1)</f>
        <v>30</v>
      </c>
      <c r="C939" s="6" t="str">
        <f aca="false">INDEX(Grades_Realms!$B$2:$B$43, B939)</f>
        <v>Saint · Perfected</v>
      </c>
      <c r="D939" s="6" t="n">
        <f aca="false">(A939+1)^2.4 * 1.004^A939</f>
        <v>572500294.138477</v>
      </c>
      <c r="E939" s="6" t="n">
        <f aca="false">$I$2*(A939+1)^1.9*1.003^A939</f>
        <v>3174.10103905032</v>
      </c>
      <c r="F939" s="6" t="n">
        <f aca="false">(A939+1)^1.12</f>
        <v>2132.39266016041</v>
      </c>
      <c r="G939" s="6" t="n">
        <f aca="false">G938+E939</f>
        <v>570891.504858621</v>
      </c>
    </row>
    <row r="940" customFormat="false" ht="15" hidden="false" customHeight="true" outlineLevel="0" collapsed="false">
      <c r="A940" s="6" t="n">
        <v>938</v>
      </c>
      <c r="B940" s="6" t="n">
        <f aca="false">MIN(42, FLOOR(A940/32,1)+1)</f>
        <v>30</v>
      </c>
      <c r="C940" s="6" t="str">
        <f aca="false">INDEX(Grades_Realms!$B$2:$B$43, B940)</f>
        <v>Saint · Perfected</v>
      </c>
      <c r="D940" s="6" t="n">
        <f aca="false">(A940+1)^2.4 * 1.004^A940</f>
        <v>576262071.786485</v>
      </c>
      <c r="E940" s="6" t="n">
        <f aca="false">$I$2*(A940+1)^1.9*1.003^A940</f>
        <v>3190.07513978348</v>
      </c>
      <c r="F940" s="6" t="n">
        <f aca="false">(A940+1)^1.12</f>
        <v>2134.93896346537</v>
      </c>
      <c r="G940" s="6" t="n">
        <f aca="false">G939+E940</f>
        <v>574081.579998405</v>
      </c>
    </row>
    <row r="941" customFormat="false" ht="15" hidden="false" customHeight="true" outlineLevel="0" collapsed="false">
      <c r="A941" s="6" t="n">
        <v>939</v>
      </c>
      <c r="B941" s="6" t="n">
        <f aca="false">MIN(42, FLOOR(A941/32,1)+1)</f>
        <v>30</v>
      </c>
      <c r="C941" s="6" t="str">
        <f aca="false">INDEX(Grades_Realms!$B$2:$B$43, B941)</f>
        <v>Saint · Perfected</v>
      </c>
      <c r="D941" s="6" t="n">
        <f aca="false">(A941+1)^2.4 * 1.004^A941</f>
        <v>580046988.413566</v>
      </c>
      <c r="E941" s="6" t="n">
        <f aca="false">$I$2*(A941+1)^1.9*1.003^A941</f>
        <v>3206.12272356876</v>
      </c>
      <c r="F941" s="6" t="n">
        <f aca="false">(A941+1)^1.12</f>
        <v>2137.48559219736</v>
      </c>
      <c r="G941" s="6" t="n">
        <f aca="false">G940+E941</f>
        <v>577287.702721973</v>
      </c>
    </row>
    <row r="942" customFormat="false" ht="15" hidden="false" customHeight="true" outlineLevel="0" collapsed="false">
      <c r="A942" s="6" t="n">
        <v>940</v>
      </c>
      <c r="B942" s="6" t="n">
        <f aca="false">MIN(42, FLOOR(A942/32,1)+1)</f>
        <v>30</v>
      </c>
      <c r="C942" s="6" t="str">
        <f aca="false">INDEX(Grades_Realms!$B$2:$B$43, B942)</f>
        <v>Saint · Perfected</v>
      </c>
      <c r="D942" s="6" t="n">
        <f aca="false">(A942+1)^2.4 * 1.004^A942</f>
        <v>583855178.704812</v>
      </c>
      <c r="E942" s="6" t="n">
        <f aca="false">$I$2*(A942+1)^1.9*1.003^A942</f>
        <v>3222.24410549117</v>
      </c>
      <c r="F942" s="6" t="n">
        <f aca="false">(A942+1)^1.12</f>
        <v>2140.0325460517</v>
      </c>
      <c r="G942" s="6" t="n">
        <f aca="false">G941+E942</f>
        <v>580509.946827465</v>
      </c>
    </row>
    <row r="943" customFormat="false" ht="15" hidden="false" customHeight="true" outlineLevel="0" collapsed="false">
      <c r="A943" s="6" t="n">
        <v>941</v>
      </c>
      <c r="B943" s="6" t="n">
        <f aca="false">MIN(42, FLOOR(A943/32,1)+1)</f>
        <v>30</v>
      </c>
      <c r="C943" s="6" t="str">
        <f aca="false">INDEX(Grades_Realms!$B$2:$B$43, B943)</f>
        <v>Saint · Perfected</v>
      </c>
      <c r="D943" s="6" t="n">
        <f aca="false">(A943+1)^2.4 * 1.004^A943</f>
        <v>587686778.094784</v>
      </c>
      <c r="E943" s="6" t="n">
        <f aca="false">$I$2*(A943+1)^1.9*1.003^A943</f>
        <v>3238.43960191758</v>
      </c>
      <c r="F943" s="6" t="n">
        <f aca="false">(A943+1)^1.12</f>
        <v>2142.57982472433</v>
      </c>
      <c r="G943" s="6" t="n">
        <f aca="false">G942+E943</f>
        <v>583748.386429382</v>
      </c>
    </row>
    <row r="944" customFormat="false" ht="15" hidden="false" customHeight="true" outlineLevel="0" collapsed="false">
      <c r="A944" s="6" t="n">
        <v>942</v>
      </c>
      <c r="B944" s="6" t="n">
        <f aca="false">MIN(42, FLOOR(A944/32,1)+1)</f>
        <v>30</v>
      </c>
      <c r="C944" s="6" t="str">
        <f aca="false">INDEX(Grades_Realms!$B$2:$B$43, B944)</f>
        <v>Saint · Perfected</v>
      </c>
      <c r="D944" s="6" t="n">
        <f aca="false">(A944+1)^2.4 * 1.004^A944</f>
        <v>591541922.771539</v>
      </c>
      <c r="E944" s="6" t="n">
        <f aca="false">$I$2*(A944+1)^1.9*1.003^A944</f>
        <v>3254.70953050164</v>
      </c>
      <c r="F944" s="6" t="n">
        <f aca="false">(A944+1)^1.12</f>
        <v>2145.12742791178</v>
      </c>
      <c r="G944" s="6" t="n">
        <f aca="false">G943+E944</f>
        <v>587003.095959884</v>
      </c>
    </row>
    <row r="945" customFormat="false" ht="15" hidden="false" customHeight="true" outlineLevel="0" collapsed="false">
      <c r="A945" s="6" t="n">
        <v>943</v>
      </c>
      <c r="B945" s="6" t="n">
        <f aca="false">MIN(42, FLOOR(A945/32,1)+1)</f>
        <v>30</v>
      </c>
      <c r="C945" s="6" t="str">
        <f aca="false">INDEX(Grades_Realms!$B$2:$B$43, B945)</f>
        <v>Saint · Perfected</v>
      </c>
      <c r="D945" s="6" t="n">
        <f aca="false">(A945+1)^2.4 * 1.004^A945</f>
        <v>595420749.680664</v>
      </c>
      <c r="E945" s="6" t="n">
        <f aca="false">$I$2*(A945+1)^1.9*1.003^A945</f>
        <v>3271.0542101889</v>
      </c>
      <c r="F945" s="6" t="n">
        <f aca="false">(A945+1)^1.12</f>
        <v>2147.6753553112</v>
      </c>
      <c r="G945" s="6" t="n">
        <f aca="false">G944+E945</f>
        <v>590274.150170073</v>
      </c>
    </row>
    <row r="946" customFormat="false" ht="15" hidden="false" customHeight="true" outlineLevel="0" collapsed="false">
      <c r="A946" s="6" t="n">
        <v>944</v>
      </c>
      <c r="B946" s="6" t="n">
        <f aca="false">MIN(42, FLOOR(A946/32,1)+1)</f>
        <v>30</v>
      </c>
      <c r="C946" s="6" t="str">
        <f aca="false">INDEX(Grades_Realms!$B$2:$B$43, B946)</f>
        <v>Saint · Perfected</v>
      </c>
      <c r="D946" s="6" t="n">
        <f aca="false">(A946+1)^2.4 * 1.004^A946</f>
        <v>599323396.529342</v>
      </c>
      <c r="E946" s="6" t="n">
        <f aca="false">$I$2*(A946+1)^1.9*1.003^A946</f>
        <v>3287.47396122176</v>
      </c>
      <c r="F946" s="6" t="n">
        <f aca="false">(A946+1)^1.12</f>
        <v>2150.22360662034</v>
      </c>
      <c r="G946" s="6" t="n">
        <f aca="false">G945+E946</f>
        <v>593561.624131294</v>
      </c>
    </row>
    <row r="947" customFormat="false" ht="15" hidden="false" customHeight="true" outlineLevel="0" collapsed="false">
      <c r="A947" s="6" t="n">
        <v>945</v>
      </c>
      <c r="B947" s="6" t="n">
        <f aca="false">MIN(42, FLOOR(A947/32,1)+1)</f>
        <v>30</v>
      </c>
      <c r="C947" s="6" t="str">
        <f aca="false">INDEX(Grades_Realms!$B$2:$B$43, B947)</f>
        <v>Saint · Perfected</v>
      </c>
      <c r="D947" s="6" t="n">
        <f aca="false">(A947+1)^2.4 * 1.004^A947</f>
        <v>603250001.790439</v>
      </c>
      <c r="E947" s="6" t="n">
        <f aca="false">$I$2*(A947+1)^1.9*1.003^A947</f>
        <v>3303.96910514463</v>
      </c>
      <c r="F947" s="6" t="n">
        <f aca="false">(A947+1)^1.12</f>
        <v>2152.77218153756</v>
      </c>
      <c r="G947" s="6" t="n">
        <f aca="false">G946+E947</f>
        <v>596865.593236439</v>
      </c>
    </row>
    <row r="948" customFormat="false" ht="15" hidden="false" customHeight="true" outlineLevel="0" collapsed="false">
      <c r="A948" s="6" t="n">
        <v>946</v>
      </c>
      <c r="B948" s="6" t="n">
        <f aca="false">MIN(42, FLOOR(A948/32,1)+1)</f>
        <v>30</v>
      </c>
      <c r="C948" s="6" t="str">
        <f aca="false">INDEX(Grades_Realms!$B$2:$B$43, B948)</f>
        <v>Saint · Perfected</v>
      </c>
      <c r="D948" s="6" t="n">
        <f aca="false">(A948+1)^2.4 * 1.004^A948</f>
        <v>607200704.706605</v>
      </c>
      <c r="E948" s="6" t="n">
        <f aca="false">$I$2*(A948+1)^1.9*1.003^A948</f>
        <v>3320.53996480895</v>
      </c>
      <c r="F948" s="6" t="n">
        <f aca="false">(A948+1)^1.12</f>
        <v>2155.32107976179</v>
      </c>
      <c r="G948" s="6" t="n">
        <f aca="false">G947+E948</f>
        <v>600186.133201248</v>
      </c>
    </row>
    <row r="949" customFormat="false" ht="15" hidden="false" customHeight="true" outlineLevel="0" collapsed="false">
      <c r="A949" s="6" t="n">
        <v>947</v>
      </c>
      <c r="B949" s="6" t="n">
        <f aca="false">MIN(42, FLOOR(A949/32,1)+1)</f>
        <v>30</v>
      </c>
      <c r="C949" s="6" t="str">
        <f aca="false">INDEX(Grades_Realms!$B$2:$B$43, B949)</f>
        <v>Saint · Perfected</v>
      </c>
      <c r="D949" s="6" t="n">
        <f aca="false">(A949+1)^2.4 * 1.004^A949</f>
        <v>611175645.294403</v>
      </c>
      <c r="E949" s="6" t="n">
        <f aca="false">$I$2*(A949+1)^1.9*1.003^A949</f>
        <v>3337.18686437832</v>
      </c>
      <c r="F949" s="6" t="n">
        <f aca="false">(A949+1)^1.12</f>
        <v>2157.87030099259</v>
      </c>
      <c r="G949" s="6" t="n">
        <f aca="false">G948+E949</f>
        <v>603523.320065626</v>
      </c>
    </row>
    <row r="950" customFormat="false" ht="15" hidden="false" customHeight="true" outlineLevel="0" collapsed="false">
      <c r="A950" s="6" t="n">
        <v>948</v>
      </c>
      <c r="B950" s="6" t="n">
        <f aca="false">MIN(42, FLOOR(A950/32,1)+1)</f>
        <v>30</v>
      </c>
      <c r="C950" s="6" t="str">
        <f aca="false">INDEX(Grades_Realms!$B$2:$B$43, B950)</f>
        <v>Saint · Perfected</v>
      </c>
      <c r="D950" s="6" t="n">
        <f aca="false">(A950+1)^2.4 * 1.004^A950</f>
        <v>615174964.348455</v>
      </c>
      <c r="E950" s="6" t="n">
        <f aca="false">$I$2*(A950+1)^1.9*1.003^A950</f>
        <v>3353.91012933364</v>
      </c>
      <c r="F950" s="6" t="n">
        <f aca="false">(A950+1)^1.12</f>
        <v>2160.4198449301</v>
      </c>
      <c r="G950" s="6" t="n">
        <f aca="false">G949+E950</f>
        <v>606877.23019496</v>
      </c>
    </row>
    <row r="951" customFormat="false" ht="15" hidden="false" customHeight="true" outlineLevel="0" collapsed="false">
      <c r="A951" s="6" t="n">
        <v>949</v>
      </c>
      <c r="B951" s="6" t="n">
        <f aca="false">MIN(42, FLOOR(A951/32,1)+1)</f>
        <v>30</v>
      </c>
      <c r="C951" s="6" t="str">
        <f aca="false">INDEX(Grades_Realms!$B$2:$B$43, B951)</f>
        <v>Saint · Perfected</v>
      </c>
      <c r="D951" s="6" t="n">
        <f aca="false">(A951+1)^2.4 * 1.004^A951</f>
        <v>619198803.445616</v>
      </c>
      <c r="E951" s="6" t="n">
        <f aca="false">$I$2*(A951+1)^1.9*1.003^A951</f>
        <v>3370.71008647822</v>
      </c>
      <c r="F951" s="6" t="n">
        <f aca="false">(A951+1)^1.12</f>
        <v>2162.96971127507</v>
      </c>
      <c r="G951" s="6" t="n">
        <f aca="false">G950+E951</f>
        <v>610247.940281438</v>
      </c>
    </row>
    <row r="952" customFormat="false" ht="15" hidden="false" customHeight="true" outlineLevel="0" collapsed="false">
      <c r="A952" s="6" t="n">
        <v>950</v>
      </c>
      <c r="B952" s="6" t="n">
        <f aca="false">MIN(42, FLOOR(A952/32,1)+1)</f>
        <v>30</v>
      </c>
      <c r="C952" s="6" t="str">
        <f aca="false">INDEX(Grades_Realms!$B$2:$B$43, B952)</f>
        <v>Saint · Perfected</v>
      </c>
      <c r="D952" s="6" t="n">
        <f aca="false">(A952+1)^2.4 * 1.004^A952</f>
        <v>623247304.949161</v>
      </c>
      <c r="E952" s="6" t="n">
        <f aca="false">$I$2*(A952+1)^1.9*1.003^A952</f>
        <v>3387.58706394299</v>
      </c>
      <c r="F952" s="6" t="n">
        <f aca="false">(A952+1)^1.12</f>
        <v>2165.51989972881</v>
      </c>
      <c r="G952" s="6" t="n">
        <f aca="false">G951+E952</f>
        <v>613635.527345381</v>
      </c>
    </row>
    <row r="953" customFormat="false" ht="15" hidden="false" customHeight="true" outlineLevel="0" collapsed="false">
      <c r="A953" s="6" t="n">
        <v>951</v>
      </c>
      <c r="B953" s="6" t="n">
        <f aca="false">MIN(42, FLOOR(A953/32,1)+1)</f>
        <v>30</v>
      </c>
      <c r="C953" s="6" t="str">
        <f aca="false">INDEX(Grades_Realms!$B$2:$B$43, B953)</f>
        <v>Saint · Perfected</v>
      </c>
      <c r="D953" s="6" t="n">
        <f aca="false">(A953+1)^2.4 * 1.004^A953</f>
        <v>627320612.013</v>
      </c>
      <c r="E953" s="6" t="n">
        <f aca="false">$I$2*(A953+1)^1.9*1.003^A953</f>
        <v>3404.54139119162</v>
      </c>
      <c r="F953" s="6" t="n">
        <f aca="false">(A953+1)^1.12</f>
        <v>2168.07040999325</v>
      </c>
      <c r="G953" s="6" t="n">
        <f aca="false">G952+E953</f>
        <v>617040.068736573</v>
      </c>
    </row>
    <row r="954" customFormat="false" ht="15" hidden="false" customHeight="true" outlineLevel="0" collapsed="false">
      <c r="A954" s="6" t="n">
        <v>952</v>
      </c>
      <c r="B954" s="6" t="n">
        <f aca="false">MIN(42, FLOOR(A954/32,1)+1)</f>
        <v>30</v>
      </c>
      <c r="C954" s="6" t="str">
        <f aca="false">INDEX(Grades_Realms!$B$2:$B$43, B954)</f>
        <v>Saint · Perfected</v>
      </c>
      <c r="D954" s="6" t="n">
        <f aca="false">(A954+1)^2.4 * 1.004^A954</f>
        <v>631418868.585914</v>
      </c>
      <c r="E954" s="6" t="n">
        <f aca="false">$I$2*(A954+1)^1.9*1.003^A954</f>
        <v>3421.5733990258</v>
      </c>
      <c r="F954" s="6" t="n">
        <f aca="false">(A954+1)^1.12</f>
        <v>2170.62124177091</v>
      </c>
      <c r="G954" s="6" t="n">
        <f aca="false">G953+E954</f>
        <v>620461.642135599</v>
      </c>
    </row>
    <row r="955" customFormat="false" ht="15" hidden="false" customHeight="true" outlineLevel="0" collapsed="false">
      <c r="A955" s="6" t="n">
        <v>953</v>
      </c>
      <c r="B955" s="6" t="n">
        <f aca="false">MIN(42, FLOOR(A955/32,1)+1)</f>
        <v>30</v>
      </c>
      <c r="C955" s="6" t="str">
        <f aca="false">INDEX(Grades_Realms!$B$2:$B$43, B955)</f>
        <v>Saint · Perfected</v>
      </c>
      <c r="D955" s="6" t="n">
        <f aca="false">(A955+1)^2.4 * 1.004^A955</f>
        <v>635542219.415812</v>
      </c>
      <c r="E955" s="6" t="n">
        <f aca="false">$I$2*(A955+1)^1.9*1.003^A955</f>
        <v>3438.68341959037</v>
      </c>
      <c r="F955" s="6" t="n">
        <f aca="false">(A955+1)^1.12</f>
        <v>2173.17239476486</v>
      </c>
      <c r="G955" s="6" t="n">
        <f aca="false">G954+E955</f>
        <v>623900.325555189</v>
      </c>
    </row>
    <row r="956" customFormat="false" ht="15" hidden="false" customHeight="true" outlineLevel="0" collapsed="false">
      <c r="A956" s="6" t="n">
        <v>954</v>
      </c>
      <c r="B956" s="6" t="n">
        <f aca="false">MIN(42, FLOOR(A956/32,1)+1)</f>
        <v>30</v>
      </c>
      <c r="C956" s="6" t="str">
        <f aca="false">INDEX(Grades_Realms!$B$2:$B$43, B956)</f>
        <v>Saint · Perfected</v>
      </c>
      <c r="D956" s="6" t="n">
        <f aca="false">(A956+1)^2.4 * 1.004^A956</f>
        <v>639690810.054007</v>
      </c>
      <c r="E956" s="6" t="n">
        <f aca="false">$I$2*(A956+1)^1.9*1.003^A956</f>
        <v>3455.87178637867</v>
      </c>
      <c r="F956" s="6" t="n">
        <f aca="false">(A956+1)^1.12</f>
        <v>2175.72386867881</v>
      </c>
      <c r="G956" s="6" t="n">
        <f aca="false">G955+E956</f>
        <v>627356.197341568</v>
      </c>
    </row>
    <row r="957" customFormat="false" ht="15" hidden="false" customHeight="true" outlineLevel="0" collapsed="false">
      <c r="A957" s="6" t="n">
        <v>955</v>
      </c>
      <c r="B957" s="6" t="n">
        <f aca="false">MIN(42, FLOOR(A957/32,1)+1)</f>
        <v>30</v>
      </c>
      <c r="C957" s="6" t="str">
        <f aca="false">INDEX(Grades_Realms!$B$2:$B$43, B957)</f>
        <v>Saint · Perfected</v>
      </c>
      <c r="D957" s="6" t="n">
        <f aca="false">(A957+1)^2.4 * 1.004^A957</f>
        <v>643864786.859523</v>
      </c>
      <c r="E957" s="6" t="n">
        <f aca="false">$I$2*(A957+1)^1.9*1.003^A957</f>
        <v>3473.13883423772</v>
      </c>
      <c r="F957" s="6" t="n">
        <f aca="false">(A957+1)^1.12</f>
        <v>2178.275663217</v>
      </c>
      <c r="G957" s="6" t="n">
        <f aca="false">G956+E957</f>
        <v>630829.336175805</v>
      </c>
    </row>
    <row r="958" customFormat="false" ht="15" hidden="false" customHeight="true" outlineLevel="0" collapsed="false">
      <c r="A958" s="6" t="n">
        <v>956</v>
      </c>
      <c r="B958" s="6" t="n">
        <f aca="false">MIN(42, FLOOR(A958/32,1)+1)</f>
        <v>30</v>
      </c>
      <c r="C958" s="6" t="str">
        <f aca="false">INDEX(Grades_Realms!$B$2:$B$43, B958)</f>
        <v>Saint · Perfected</v>
      </c>
      <c r="D958" s="6" t="n">
        <f aca="false">(A958+1)^2.4 * 1.004^A958</f>
        <v>648064297.003415</v>
      </c>
      <c r="E958" s="6" t="n">
        <f aca="false">$I$2*(A958+1)^1.9*1.003^A958</f>
        <v>3490.48489937351</v>
      </c>
      <c r="F958" s="6" t="n">
        <f aca="false">(A958+1)^1.12</f>
        <v>2180.82777808429</v>
      </c>
      <c r="G958" s="6" t="n">
        <f aca="false">G957+E958</f>
        <v>634319.821075179</v>
      </c>
    </row>
    <row r="959" customFormat="false" ht="15" hidden="false" customHeight="true" outlineLevel="0" collapsed="false">
      <c r="A959" s="6" t="n">
        <v>957</v>
      </c>
      <c r="B959" s="6" t="n">
        <f aca="false">MIN(42, FLOOR(A959/32,1)+1)</f>
        <v>30</v>
      </c>
      <c r="C959" s="6" t="str">
        <f aca="false">INDEX(Grades_Realms!$B$2:$B$43, B959)</f>
        <v>Saint · Perfected</v>
      </c>
      <c r="D959" s="6" t="n">
        <f aca="false">(A959+1)^2.4 * 1.004^A959</f>
        <v>652289488.473117</v>
      </c>
      <c r="E959" s="6" t="n">
        <f aca="false">$I$2*(A959+1)^1.9*1.003^A959</f>
        <v>3507.91031935637</v>
      </c>
      <c r="F959" s="6" t="n">
        <f aca="false">(A959+1)^1.12</f>
        <v>2183.3802129861</v>
      </c>
      <c r="G959" s="6" t="n">
        <f aca="false">G958+E959</f>
        <v>637827.731394535</v>
      </c>
    </row>
    <row r="960" customFormat="false" ht="15" hidden="false" customHeight="true" outlineLevel="0" collapsed="false">
      <c r="A960" s="6" t="n">
        <v>958</v>
      </c>
      <c r="B960" s="6" t="n">
        <f aca="false">MIN(42, FLOOR(A960/32,1)+1)</f>
        <v>30</v>
      </c>
      <c r="C960" s="6" t="str">
        <f aca="false">INDEX(Grades_Realms!$B$2:$B$43, B960)</f>
        <v>Saint · Perfected</v>
      </c>
      <c r="D960" s="6" t="n">
        <f aca="false">(A960+1)^2.4 * 1.004^A960</f>
        <v>656540510.07681</v>
      </c>
      <c r="E960" s="6" t="n">
        <f aca="false">$I$2*(A960+1)^1.9*1.003^A960</f>
        <v>3525.4154331262</v>
      </c>
      <c r="F960" s="6" t="n">
        <f aca="false">(A960+1)^1.12</f>
        <v>2185.93296762844</v>
      </c>
      <c r="G960" s="6" t="n">
        <f aca="false">G959+E960</f>
        <v>641353.146827661</v>
      </c>
    </row>
    <row r="961" customFormat="false" ht="15" hidden="false" customHeight="true" outlineLevel="0" collapsed="false">
      <c r="A961" s="6" t="n">
        <v>959</v>
      </c>
      <c r="B961" s="6" t="n">
        <f aca="false">MIN(42, FLOOR(A961/32,1)+1)</f>
        <v>30</v>
      </c>
      <c r="C961" s="6" t="str">
        <f aca="false">INDEX(Grades_Realms!$B$2:$B$43, B961)</f>
        <v>Saint · Perfected</v>
      </c>
      <c r="D961" s="6" t="n">
        <f aca="false">(A961+1)^2.4 * 1.004^A961</f>
        <v>660817511.447815</v>
      </c>
      <c r="E961" s="6" t="n">
        <f aca="false">$I$2*(A961+1)^1.9*1.003^A961</f>
        <v>3543.00058099788</v>
      </c>
      <c r="F961" s="6" t="n">
        <f aca="false">(A961+1)^1.12</f>
        <v>2188.48604171789</v>
      </c>
      <c r="G961" s="6" t="n">
        <f aca="false">G960+E961</f>
        <v>644896.147408659</v>
      </c>
    </row>
    <row r="962" customFormat="false" ht="15" hidden="false" customHeight="true" outlineLevel="0" collapsed="false">
      <c r="A962" s="6" t="n">
        <v>960</v>
      </c>
      <c r="B962" s="6" t="n">
        <f aca="false">MIN(42, FLOOR(A962/32,1)+1)</f>
        <v>31</v>
      </c>
      <c r="C962" s="6" t="str">
        <f aca="false">INDEX(Grades_Realms!$B$2:$B$43, B962)</f>
        <v>Celestial · Initial</v>
      </c>
      <c r="D962" s="6" t="n">
        <f aca="false">(A962+1)^2.4 * 1.004^A962</f>
        <v>665120643.049008</v>
      </c>
      <c r="E962" s="6" t="n">
        <f aca="false">$I$2*(A962+1)^1.9*1.003^A962</f>
        <v>3560.66610466659</v>
      </c>
      <c r="F962" s="6" t="n">
        <f aca="false">(A962+1)^1.12</f>
        <v>2191.0394349616</v>
      </c>
      <c r="G962" s="6" t="n">
        <f aca="false">G961+E962</f>
        <v>648456.813513326</v>
      </c>
    </row>
    <row r="963" customFormat="false" ht="15" hidden="false" customHeight="true" outlineLevel="0" collapsed="false">
      <c r="A963" s="6" t="n">
        <v>961</v>
      </c>
      <c r="B963" s="6" t="n">
        <f aca="false">MIN(42, FLOOR(A963/32,1)+1)</f>
        <v>31</v>
      </c>
      <c r="C963" s="6" t="str">
        <f aca="false">INDEX(Grades_Realms!$B$2:$B$43, B963)</f>
        <v>Celestial · Initial</v>
      </c>
      <c r="D963" s="6" t="n">
        <f aca="false">(A963+1)^2.4 * 1.004^A963</f>
        <v>669450056.177253</v>
      </c>
      <c r="E963" s="6" t="n">
        <f aca="false">$I$2*(A963+1)^1.9*1.003^A963</f>
        <v>3578.41234721324</v>
      </c>
      <c r="F963" s="6" t="n">
        <f aca="false">(A963+1)^1.12</f>
        <v>2193.5931470673</v>
      </c>
      <c r="G963" s="6" t="n">
        <f aca="false">G962+E963</f>
        <v>652035.225860539</v>
      </c>
    </row>
    <row r="964" customFormat="false" ht="15" hidden="false" customHeight="true" outlineLevel="0" collapsed="false">
      <c r="A964" s="6" t="n">
        <v>962</v>
      </c>
      <c r="B964" s="6" t="n">
        <f aca="false">MIN(42, FLOOR(A964/32,1)+1)</f>
        <v>31</v>
      </c>
      <c r="C964" s="6" t="str">
        <f aca="false">INDEX(Grades_Realms!$B$2:$B$43, B964)</f>
        <v>Celestial · Initial</v>
      </c>
      <c r="D964" s="6" t="n">
        <f aca="false">(A964+1)^2.4 * 1.004^A964</f>
        <v>673805902.967868</v>
      </c>
      <c r="E964" s="6" t="n">
        <f aca="false">$I$2*(A964+1)^1.9*1.003^A964</f>
        <v>3596.23965310981</v>
      </c>
      <c r="F964" s="6" t="n">
        <f aca="false">(A964+1)^1.12</f>
        <v>2196.14717774329</v>
      </c>
      <c r="G964" s="6" t="n">
        <f aca="false">G963+E964</f>
        <v>655631.465513649</v>
      </c>
    </row>
    <row r="965" customFormat="false" ht="15" hidden="false" customHeight="true" outlineLevel="0" collapsed="false">
      <c r="A965" s="6" t="n">
        <v>963</v>
      </c>
      <c r="B965" s="6" t="n">
        <f aca="false">MIN(42, FLOOR(A965/32,1)+1)</f>
        <v>31</v>
      </c>
      <c r="C965" s="6" t="str">
        <f aca="false">INDEX(Grades_Realms!$B$2:$B$43, B965)</f>
        <v>Celestial · Initial</v>
      </c>
      <c r="D965" s="6" t="n">
        <f aca="false">(A965+1)^2.4 * 1.004^A965</f>
        <v>678188336.399108</v>
      </c>
      <c r="E965" s="6" t="n">
        <f aca="false">$I$2*(A965+1)^1.9*1.003^A965</f>
        <v>3614.14836822484</v>
      </c>
      <c r="F965" s="6" t="n">
        <f aca="false">(A965+1)^1.12</f>
        <v>2198.70152669843</v>
      </c>
      <c r="G965" s="6" t="n">
        <f aca="false">G964+E965</f>
        <v>659245.613881874</v>
      </c>
    </row>
    <row r="966" customFormat="false" ht="15" hidden="false" customHeight="true" outlineLevel="0" collapsed="false">
      <c r="A966" s="6" t="n">
        <v>964</v>
      </c>
      <c r="B966" s="6" t="n">
        <f aca="false">MIN(42, FLOOR(A966/32,1)+1)</f>
        <v>31</v>
      </c>
      <c r="C966" s="6" t="str">
        <f aca="false">INDEX(Grades_Realms!$B$2:$B$43, B966)</f>
        <v>Celestial · Initial</v>
      </c>
      <c r="D966" s="6" t="n">
        <f aca="false">(A966+1)^2.4 * 1.004^A966</f>
        <v>682597510.296668</v>
      </c>
      <c r="E966" s="6" t="n">
        <f aca="false">$I$2*(A966+1)^1.9*1.003^A966</f>
        <v>3632.13883982882</v>
      </c>
      <c r="F966" s="6" t="n">
        <f aca="false">(A966+1)^1.12</f>
        <v>2201.25619364217</v>
      </c>
      <c r="G966" s="6" t="n">
        <f aca="false">G965+E966</f>
        <v>662877.752721702</v>
      </c>
    </row>
    <row r="967" customFormat="false" ht="15" hidden="false" customHeight="true" outlineLevel="0" collapsed="false">
      <c r="A967" s="6" t="n">
        <v>965</v>
      </c>
      <c r="B967" s="6" t="n">
        <f aca="false">MIN(42, FLOOR(A967/32,1)+1)</f>
        <v>31</v>
      </c>
      <c r="C967" s="6" t="str">
        <f aca="false">INDEX(Grades_Realms!$B$2:$B$43, B967)</f>
        <v>Celestial · Initial</v>
      </c>
      <c r="D967" s="6" t="n">
        <f aca="false">(A967+1)^2.4 * 1.004^A967</f>
        <v>687033579.338216</v>
      </c>
      <c r="E967" s="6" t="n">
        <f aca="false">$I$2*(A967+1)^1.9*1.003^A967</f>
        <v>3650.21141659969</v>
      </c>
      <c r="F967" s="6" t="n">
        <f aca="false">(A967+1)^1.12</f>
        <v>2203.81117828451</v>
      </c>
      <c r="G967" s="6" t="n">
        <f aca="false">G966+E967</f>
        <v>666527.964138302</v>
      </c>
    </row>
    <row r="968" customFormat="false" ht="15" hidden="false" customHeight="true" outlineLevel="0" collapsed="false">
      <c r="A968" s="6" t="n">
        <v>966</v>
      </c>
      <c r="B968" s="6" t="n">
        <f aca="false">MIN(42, FLOOR(A968/32,1)+1)</f>
        <v>31</v>
      </c>
      <c r="C968" s="6" t="str">
        <f aca="false">INDEX(Grades_Realms!$B$2:$B$43, B968)</f>
        <v>Celestial · Initial</v>
      </c>
      <c r="D968" s="6" t="n">
        <f aca="false">(A968+1)^2.4 * 1.004^A968</f>
        <v>691496699.057948</v>
      </c>
      <c r="E968" s="6" t="n">
        <f aca="false">$I$2*(A968+1)^1.9*1.003^A968</f>
        <v>3668.36644862831</v>
      </c>
      <c r="F968" s="6" t="n">
        <f aca="false">(A968+1)^1.12</f>
        <v>2206.36648033601</v>
      </c>
      <c r="G968" s="6" t="n">
        <f aca="false">G967+E968</f>
        <v>670196.330586931</v>
      </c>
    </row>
    <row r="969" customFormat="false" ht="15" hidden="false" customHeight="true" outlineLevel="0" collapsed="false">
      <c r="A969" s="6" t="n">
        <v>967</v>
      </c>
      <c r="B969" s="6" t="n">
        <f aca="false">MIN(42, FLOOR(A969/32,1)+1)</f>
        <v>31</v>
      </c>
      <c r="C969" s="6" t="str">
        <f aca="false">INDEX(Grades_Realms!$B$2:$B$43, B969)</f>
        <v>Celestial · Initial</v>
      </c>
      <c r="D969" s="6" t="n">
        <f aca="false">(A969+1)^2.4 * 1.004^A969</f>
        <v>695987025.851164</v>
      </c>
      <c r="E969" s="6" t="n">
        <f aca="false">$I$2*(A969+1)^1.9*1.003^A969</f>
        <v>3686.60428742398</v>
      </c>
      <c r="F969" s="6" t="n">
        <f aca="false">(A969+1)^1.12</f>
        <v>2208.92209950781</v>
      </c>
      <c r="G969" s="6" t="n">
        <f aca="false">G968+E969</f>
        <v>673882.934874355</v>
      </c>
    </row>
    <row r="970" customFormat="false" ht="15" hidden="false" customHeight="true" outlineLevel="0" collapsed="false">
      <c r="A970" s="6" t="n">
        <v>968</v>
      </c>
      <c r="B970" s="6" t="n">
        <f aca="false">MIN(42, FLOOR(A970/32,1)+1)</f>
        <v>31</v>
      </c>
      <c r="C970" s="6" t="str">
        <f aca="false">INDEX(Grades_Realms!$B$2:$B$43, B970)</f>
        <v>Celestial · Initial</v>
      </c>
      <c r="D970" s="6" t="n">
        <f aca="false">(A970+1)^2.4 * 1.004^A970</f>
        <v>700504716.978868</v>
      </c>
      <c r="E970" s="6" t="n">
        <f aca="false">$I$2*(A970+1)^1.9*1.003^A970</f>
        <v>3704.92528591993</v>
      </c>
      <c r="F970" s="6" t="n">
        <f aca="false">(A970+1)^1.12</f>
        <v>2211.47803551159</v>
      </c>
      <c r="G970" s="6" t="n">
        <f aca="false">G969+E970</f>
        <v>677587.860160274</v>
      </c>
    </row>
    <row r="971" customFormat="false" ht="15" hidden="false" customHeight="true" outlineLevel="0" collapsed="false">
      <c r="A971" s="6" t="n">
        <v>969</v>
      </c>
      <c r="B971" s="6" t="n">
        <f aca="false">MIN(42, FLOOR(A971/32,1)+1)</f>
        <v>31</v>
      </c>
      <c r="C971" s="6" t="str">
        <f aca="false">INDEX(Grades_Realms!$B$2:$B$43, B971)</f>
        <v>Celestial · Initial</v>
      </c>
      <c r="D971" s="6" t="n">
        <f aca="false">(A971+1)^2.4 * 1.004^A971</f>
        <v>705049930.572397</v>
      </c>
      <c r="E971" s="6" t="n">
        <f aca="false">$I$2*(A971+1)^1.9*1.003^A971</f>
        <v>3723.32979847893</v>
      </c>
      <c r="F971" s="6" t="n">
        <f aca="false">(A971+1)^1.12</f>
        <v>2214.03428805961</v>
      </c>
      <c r="G971" s="6" t="n">
        <f aca="false">G970+E971</f>
        <v>681311.189958753</v>
      </c>
    </row>
    <row r="972" customFormat="false" ht="15" hidden="false" customHeight="true" outlineLevel="0" collapsed="false">
      <c r="A972" s="6" t="n">
        <v>970</v>
      </c>
      <c r="B972" s="6" t="n">
        <f aca="false">MIN(42, FLOOR(A972/32,1)+1)</f>
        <v>31</v>
      </c>
      <c r="C972" s="6" t="str">
        <f aca="false">INDEX(Grades_Realms!$B$2:$B$43, B972)</f>
        <v>Celestial · Initial</v>
      </c>
      <c r="D972" s="6" t="n">
        <f aca="false">(A972+1)^2.4 * 1.004^A972</f>
        <v>709622825.638067</v>
      </c>
      <c r="E972" s="6" t="n">
        <f aca="false">$I$2*(A972+1)^1.9*1.003^A972</f>
        <v>3741.81818089878</v>
      </c>
      <c r="F972" s="6" t="n">
        <f aca="false">(A972+1)^1.12</f>
        <v>2216.59085686467</v>
      </c>
      <c r="G972" s="6" t="n">
        <f aca="false">G971+E972</f>
        <v>685053.008139652</v>
      </c>
    </row>
    <row r="973" customFormat="false" ht="15" hidden="false" customHeight="true" outlineLevel="0" collapsed="false">
      <c r="A973" s="6" t="n">
        <v>971</v>
      </c>
      <c r="B973" s="6" t="n">
        <f aca="false">MIN(42, FLOOR(A973/32,1)+1)</f>
        <v>31</v>
      </c>
      <c r="C973" s="6" t="str">
        <f aca="false">INDEX(Grades_Realms!$B$2:$B$43, B973)</f>
        <v>Celestial · Initial</v>
      </c>
      <c r="D973" s="6" t="n">
        <f aca="false">(A973+1)^2.4 * 1.004^A973</f>
        <v>714223562.061847</v>
      </c>
      <c r="E973" s="6" t="n">
        <f aca="false">$I$2*(A973+1)^1.9*1.003^A973</f>
        <v>3760.39079041799</v>
      </c>
      <c r="F973" s="6" t="n">
        <f aca="false">(A973+1)^1.12</f>
        <v>2219.14774164014</v>
      </c>
      <c r="G973" s="6" t="n">
        <f aca="false">G972+E973</f>
        <v>688813.39893007</v>
      </c>
    </row>
    <row r="974" customFormat="false" ht="15" hidden="false" customHeight="true" outlineLevel="0" collapsed="false">
      <c r="A974" s="6" t="n">
        <v>972</v>
      </c>
      <c r="B974" s="6" t="n">
        <f aca="false">MIN(42, FLOOR(A974/32,1)+1)</f>
        <v>31</v>
      </c>
      <c r="C974" s="6" t="str">
        <f aca="false">INDEX(Grades_Realms!$B$2:$B$43, B974)</f>
        <v>Celestial · Initial</v>
      </c>
      <c r="D974" s="6" t="n">
        <f aca="false">(A974+1)^2.4 * 1.004^A974</f>
        <v>718852300.614056</v>
      </c>
      <c r="E974" s="6" t="n">
        <f aca="false">$I$2*(A974+1)^1.9*1.003^A974</f>
        <v>3779.04798572131</v>
      </c>
      <c r="F974" s="6" t="n">
        <f aca="false">(A974+1)^1.12</f>
        <v>2221.70494209993</v>
      </c>
      <c r="G974" s="6" t="n">
        <f aca="false">G973+E974</f>
        <v>692592.446915792</v>
      </c>
    </row>
    <row r="975" customFormat="false" ht="15" hidden="false" customHeight="true" outlineLevel="0" collapsed="false">
      <c r="A975" s="6" t="n">
        <v>973</v>
      </c>
      <c r="B975" s="6" t="n">
        <f aca="false">MIN(42, FLOOR(A975/32,1)+1)</f>
        <v>31</v>
      </c>
      <c r="C975" s="6" t="str">
        <f aca="false">INDEX(Grades_Realms!$B$2:$B$43, B975)</f>
        <v>Celestial · Initial</v>
      </c>
      <c r="D975" s="6" t="n">
        <f aca="false">(A975+1)^2.4 * 1.004^A975</f>
        <v>723509202.954088</v>
      </c>
      <c r="E975" s="6" t="n">
        <f aca="false">$I$2*(A975+1)^1.9*1.003^A975</f>
        <v>3797.79012694541</v>
      </c>
      <c r="F975" s="6" t="n">
        <f aca="false">(A975+1)^1.12</f>
        <v>2224.26245795852</v>
      </c>
      <c r="G975" s="6" t="n">
        <f aca="false">G974+E975</f>
        <v>696390.237042737</v>
      </c>
    </row>
    <row r="976" customFormat="false" ht="15" hidden="false" customHeight="true" outlineLevel="0" collapsed="false">
      <c r="A976" s="6" t="n">
        <v>974</v>
      </c>
      <c r="B976" s="6" t="n">
        <f aca="false">MIN(42, FLOOR(A976/32,1)+1)</f>
        <v>31</v>
      </c>
      <c r="C976" s="6" t="str">
        <f aca="false">INDEX(Grades_Realms!$B$2:$B$43, B976)</f>
        <v>Celestial · Initial</v>
      </c>
      <c r="D976" s="6" t="n">
        <f aca="false">(A976+1)^2.4 * 1.004^A976</f>
        <v>728194431.635153</v>
      </c>
      <c r="E976" s="6" t="n">
        <f aca="false">$I$2*(A976+1)^1.9*1.003^A976</f>
        <v>3816.61757568452</v>
      </c>
      <c r="F976" s="6" t="n">
        <f aca="false">(A976+1)^1.12</f>
        <v>2226.82028893093</v>
      </c>
      <c r="G976" s="6" t="n">
        <f aca="false">G975+E976</f>
        <v>700206.854618421</v>
      </c>
    </row>
    <row r="977" customFormat="false" ht="15" hidden="false" customHeight="true" outlineLevel="0" collapsed="false">
      <c r="A977" s="6" t="n">
        <v>975</v>
      </c>
      <c r="B977" s="6" t="n">
        <f aca="false">MIN(42, FLOOR(A977/32,1)+1)</f>
        <v>31</v>
      </c>
      <c r="C977" s="6" t="str">
        <f aca="false">INDEX(Grades_Realms!$B$2:$B$43, B977)</f>
        <v>Celestial · Initial</v>
      </c>
      <c r="D977" s="6" t="n">
        <f aca="false">(A977+1)^2.4 * 1.004^A977</f>
        <v>732908150.109054</v>
      </c>
      <c r="E977" s="6" t="n">
        <f aca="false">$I$2*(A977+1)^1.9*1.003^A977</f>
        <v>3835.53069499611</v>
      </c>
      <c r="F977" s="6" t="n">
        <f aca="false">(A977+1)^1.12</f>
        <v>2229.37843473273</v>
      </c>
      <c r="G977" s="6" t="n">
        <f aca="false">G976+E977</f>
        <v>704042.385313418</v>
      </c>
    </row>
    <row r="978" customFormat="false" ht="15" hidden="false" customHeight="true" outlineLevel="0" collapsed="false">
      <c r="A978" s="6" t="n">
        <v>976</v>
      </c>
      <c r="B978" s="6" t="n">
        <f aca="false">MIN(42, FLOOR(A978/32,1)+1)</f>
        <v>31</v>
      </c>
      <c r="C978" s="6" t="str">
        <f aca="false">INDEX(Grades_Realms!$B$2:$B$43, B978)</f>
        <v>Celestial · Initial</v>
      </c>
      <c r="D978" s="6" t="n">
        <f aca="false">(A978+1)^2.4 * 1.004^A978</f>
        <v>737650522.730979</v>
      </c>
      <c r="E978" s="6" t="n">
        <f aca="false">$I$2*(A978+1)^1.9*1.003^A978</f>
        <v>3854.52984940655</v>
      </c>
      <c r="F978" s="6" t="n">
        <f aca="false">(A978+1)^1.12</f>
        <v>2231.93689508004</v>
      </c>
      <c r="G978" s="6" t="n">
        <f aca="false">G977+E978</f>
        <v>707896.915162824</v>
      </c>
    </row>
    <row r="979" customFormat="false" ht="15" hidden="false" customHeight="true" outlineLevel="0" collapsed="false">
      <c r="A979" s="6" t="n">
        <v>977</v>
      </c>
      <c r="B979" s="6" t="n">
        <f aca="false">MIN(42, FLOOR(A979/32,1)+1)</f>
        <v>31</v>
      </c>
      <c r="C979" s="6" t="str">
        <f aca="false">INDEX(Grades_Realms!$B$2:$B$43, B979)</f>
        <v>Celestial · Initial</v>
      </c>
      <c r="D979" s="6" t="n">
        <f aca="false">(A979+1)^2.4 * 1.004^A979</f>
        <v>742421714.76432</v>
      </c>
      <c r="E979" s="6" t="n">
        <f aca="false">$I$2*(A979+1)^1.9*1.003^A979</f>
        <v>3873.61540491691</v>
      </c>
      <c r="F979" s="6" t="n">
        <f aca="false">(A979+1)^1.12</f>
        <v>2234.49566968953</v>
      </c>
      <c r="G979" s="6" t="n">
        <f aca="false">G978+E979</f>
        <v>711770.530567741</v>
      </c>
    </row>
    <row r="980" customFormat="false" ht="15" hidden="false" customHeight="true" outlineLevel="0" collapsed="false">
      <c r="A980" s="6" t="n">
        <v>978</v>
      </c>
      <c r="B980" s="6" t="n">
        <f aca="false">MIN(42, FLOOR(A980/32,1)+1)</f>
        <v>31</v>
      </c>
      <c r="C980" s="6" t="str">
        <f aca="false">INDEX(Grades_Realms!$B$2:$B$43, B980)</f>
        <v>Celestial · Initial</v>
      </c>
      <c r="D980" s="6" t="n">
        <f aca="false">(A980+1)^2.4 * 1.004^A980</f>
        <v>747221892.385526</v>
      </c>
      <c r="E980" s="6" t="n">
        <f aca="false">$I$2*(A980+1)^1.9*1.003^A980</f>
        <v>3892.78772900862</v>
      </c>
      <c r="F980" s="6" t="n">
        <f aca="false">(A980+1)^1.12</f>
        <v>2237.05475827841</v>
      </c>
      <c r="G980" s="6" t="n">
        <f aca="false">G979+E980</f>
        <v>715663.31829675</v>
      </c>
    </row>
    <row r="981" customFormat="false" ht="15" hidden="false" customHeight="true" outlineLevel="0" collapsed="false">
      <c r="A981" s="6" t="n">
        <v>979</v>
      </c>
      <c r="B981" s="6" t="n">
        <f aca="false">MIN(42, FLOOR(A981/32,1)+1)</f>
        <v>31</v>
      </c>
      <c r="C981" s="6" t="str">
        <f aca="false">INDEX(Grades_Realms!$B$2:$B$43, B981)</f>
        <v>Celestial · Initial</v>
      </c>
      <c r="D981" s="6" t="n">
        <f aca="false">(A981+1)^2.4 * 1.004^A981</f>
        <v>752051222.688964</v>
      </c>
      <c r="E981" s="6" t="n">
        <f aca="false">$I$2*(A981+1)^1.9*1.003^A981</f>
        <v>3912.04719064925</v>
      </c>
      <c r="F981" s="6" t="n">
        <f aca="false">(A981+1)^1.12</f>
        <v>2239.61416056443</v>
      </c>
      <c r="G981" s="6" t="n">
        <f aca="false">G980+E981</f>
        <v>719575.365487399</v>
      </c>
    </row>
    <row r="982" customFormat="false" ht="15" hidden="false" customHeight="true" outlineLevel="0" collapsed="false">
      <c r="A982" s="6" t="n">
        <v>980</v>
      </c>
      <c r="B982" s="6" t="n">
        <f aca="false">MIN(42, FLOOR(A982/32,1)+1)</f>
        <v>31</v>
      </c>
      <c r="C982" s="6" t="str">
        <f aca="false">INDEX(Grades_Realms!$B$2:$B$43, B982)</f>
        <v>Celestial · Initial</v>
      </c>
      <c r="D982" s="6" t="n">
        <f aca="false">(A982+1)^2.4 * 1.004^A982</f>
        <v>756909873.691824</v>
      </c>
      <c r="E982" s="6" t="n">
        <f aca="false">$I$2*(A982+1)^1.9*1.003^A982</f>
        <v>3931.39416029831</v>
      </c>
      <c r="F982" s="6" t="n">
        <f aca="false">(A982+1)^1.12</f>
        <v>2242.17387626589</v>
      </c>
      <c r="G982" s="6" t="n">
        <f aca="false">G981+E982</f>
        <v>723506.759647697</v>
      </c>
    </row>
    <row r="983" customFormat="false" ht="15" hidden="false" customHeight="true" outlineLevel="0" collapsed="false">
      <c r="A983" s="6" t="n">
        <v>981</v>
      </c>
      <c r="B983" s="6" t="n">
        <f aca="false">MIN(42, FLOOR(A983/32,1)+1)</f>
        <v>31</v>
      </c>
      <c r="C983" s="6" t="str">
        <f aca="false">INDEX(Grades_Realms!$B$2:$B$43, B983)</f>
        <v>Celestial · Initial</v>
      </c>
      <c r="D983" s="6" t="n">
        <f aca="false">(A983+1)^2.4 * 1.004^A983</f>
        <v>761798014.339033</v>
      </c>
      <c r="E983" s="6" t="n">
        <f aca="false">$I$2*(A983+1)^1.9*1.003^A983</f>
        <v>3950.82900991307</v>
      </c>
      <c r="F983" s="6" t="n">
        <f aca="false">(A983+1)^1.12</f>
        <v>2244.73390510162</v>
      </c>
      <c r="G983" s="6" t="n">
        <f aca="false">G982+E983</f>
        <v>727457.58865761</v>
      </c>
    </row>
    <row r="984" customFormat="false" ht="15" hidden="false" customHeight="true" outlineLevel="0" collapsed="false">
      <c r="A984" s="6" t="n">
        <v>982</v>
      </c>
      <c r="B984" s="6" t="n">
        <f aca="false">MIN(42, FLOOR(A984/32,1)+1)</f>
        <v>31</v>
      </c>
      <c r="C984" s="6" t="str">
        <f aca="false">INDEX(Grades_Realms!$B$2:$B$43, B984)</f>
        <v>Celestial · Initial</v>
      </c>
      <c r="D984" s="6" t="n">
        <f aca="false">(A984+1)^2.4 * 1.004^A984</f>
        <v>766715814.508207</v>
      </c>
      <c r="E984" s="6" t="n">
        <f aca="false">$I$2*(A984+1)^1.9*1.003^A984</f>
        <v>3970.35211295434</v>
      </c>
      <c r="F984" s="6" t="n">
        <f aca="false">(A984+1)^1.12</f>
        <v>2247.294246791</v>
      </c>
      <c r="G984" s="6" t="n">
        <f aca="false">G983+E984</f>
        <v>731427.940770565</v>
      </c>
    </row>
    <row r="985" customFormat="false" ht="15" hidden="false" customHeight="true" outlineLevel="0" collapsed="false">
      <c r="A985" s="6" t="n">
        <v>983</v>
      </c>
      <c r="B985" s="6" t="n">
        <f aca="false">MIN(42, FLOOR(A985/32,1)+1)</f>
        <v>31</v>
      </c>
      <c r="C985" s="6" t="str">
        <f aca="false">INDEX(Grades_Realms!$B$2:$B$43, B985)</f>
        <v>Celestial · Initial</v>
      </c>
      <c r="D985" s="6" t="n">
        <f aca="false">(A985+1)^2.4 * 1.004^A985</f>
        <v>771663445.014621</v>
      </c>
      <c r="E985" s="6" t="n">
        <f aca="false">$I$2*(A985+1)^1.9*1.003^A985</f>
        <v>3989.96384439235</v>
      </c>
      <c r="F985" s="6" t="n">
        <f aca="false">(A985+1)^1.12</f>
        <v>2249.85490105393</v>
      </c>
      <c r="G985" s="6" t="n">
        <f aca="false">G984+E985</f>
        <v>735417.904614957</v>
      </c>
    </row>
    <row r="986" customFormat="false" ht="15" hidden="false" customHeight="true" outlineLevel="0" collapsed="false">
      <c r="A986" s="6" t="n">
        <v>984</v>
      </c>
      <c r="B986" s="6" t="n">
        <f aca="false">MIN(42, FLOOR(A986/32,1)+1)</f>
        <v>31</v>
      </c>
      <c r="C986" s="6" t="str">
        <f aca="false">INDEX(Grades_Realms!$B$2:$B$43, B986)</f>
        <v>Celestial · Initial</v>
      </c>
      <c r="D986" s="6" t="n">
        <f aca="false">(A986+1)^2.4 * 1.004^A986</f>
        <v>776641077.616209</v>
      </c>
      <c r="E986" s="6" t="n">
        <f aca="false">$I$2*(A986+1)^1.9*1.003^A986</f>
        <v>4009.6645807126</v>
      </c>
      <c r="F986" s="6" t="n">
        <f aca="false">(A986+1)^1.12</f>
        <v>2252.41586761087</v>
      </c>
      <c r="G986" s="6" t="n">
        <f aca="false">G985+E986</f>
        <v>739427.569195669</v>
      </c>
    </row>
    <row r="987" customFormat="false" ht="15" hidden="false" customHeight="true" outlineLevel="0" collapsed="false">
      <c r="A987" s="6" t="n">
        <v>985</v>
      </c>
      <c r="B987" s="6" t="n">
        <f aca="false">MIN(42, FLOOR(A987/32,1)+1)</f>
        <v>31</v>
      </c>
      <c r="C987" s="6" t="str">
        <f aca="false">INDEX(Grades_Realms!$B$2:$B$43, B987)</f>
        <v>Celestial · Initial</v>
      </c>
      <c r="D987" s="6" t="n">
        <f aca="false">(A987+1)^2.4 * 1.004^A987</f>
        <v>781648885.018585</v>
      </c>
      <c r="E987" s="6" t="n">
        <f aca="false">$I$2*(A987+1)^1.9*1.003^A987</f>
        <v>4029.45469992178</v>
      </c>
      <c r="F987" s="6" t="n">
        <f aca="false">(A987+1)^1.12</f>
        <v>2254.97714618279</v>
      </c>
      <c r="G987" s="6" t="n">
        <f aca="false">G986+E987</f>
        <v>743457.023895591</v>
      </c>
    </row>
    <row r="988" customFormat="false" ht="15" hidden="false" customHeight="true" outlineLevel="0" collapsed="false">
      <c r="A988" s="6" t="n">
        <v>986</v>
      </c>
      <c r="B988" s="6" t="n">
        <f aca="false">MIN(42, FLOOR(A988/32,1)+1)</f>
        <v>31</v>
      </c>
      <c r="C988" s="6" t="str">
        <f aca="false">INDEX(Grades_Realms!$B$2:$B$43, B988)</f>
        <v>Celestial · Initial</v>
      </c>
      <c r="D988" s="6" t="n">
        <f aca="false">(A988+1)^2.4 * 1.004^A988</f>
        <v>786687040.880097</v>
      </c>
      <c r="E988" s="6" t="n">
        <f aca="false">$I$2*(A988+1)^1.9*1.003^A988</f>
        <v>4049.33458155368</v>
      </c>
      <c r="F988" s="6" t="n">
        <f aca="false">(A988+1)^1.12</f>
        <v>2257.5387364912</v>
      </c>
      <c r="G988" s="6" t="n">
        <f aca="false">G987+E988</f>
        <v>747506.358477145</v>
      </c>
    </row>
    <row r="989" customFormat="false" ht="15" hidden="false" customHeight="true" outlineLevel="0" collapsed="false">
      <c r="A989" s="6" t="n">
        <v>987</v>
      </c>
      <c r="B989" s="6" t="n">
        <f aca="false">MIN(42, FLOOR(A989/32,1)+1)</f>
        <v>31</v>
      </c>
      <c r="C989" s="6" t="str">
        <f aca="false">INDEX(Grades_Realms!$B$2:$B$43, B989)</f>
        <v>Celestial · Initial</v>
      </c>
      <c r="D989" s="6" t="n">
        <f aca="false">(A989+1)^2.4 * 1.004^A989</f>
        <v>791755719.8169</v>
      </c>
      <c r="E989" s="6" t="n">
        <f aca="false">$I$2*(A989+1)^1.9*1.003^A989</f>
        <v>4069.3046066751</v>
      </c>
      <c r="F989" s="6" t="n">
        <f aca="false">(A989+1)^1.12</f>
        <v>2260.10063825815</v>
      </c>
      <c r="G989" s="6" t="n">
        <f aca="false">G988+E989</f>
        <v>751575.66308382</v>
      </c>
    </row>
    <row r="990" customFormat="false" ht="15" hidden="false" customHeight="true" outlineLevel="0" collapsed="false">
      <c r="A990" s="6" t="n">
        <v>988</v>
      </c>
      <c r="B990" s="6" t="n">
        <f aca="false">MIN(42, FLOOR(A990/32,1)+1)</f>
        <v>31</v>
      </c>
      <c r="C990" s="6" t="str">
        <f aca="false">INDEX(Grades_Realms!$B$2:$B$43, B990)</f>
        <v>Celestial · Initial</v>
      </c>
      <c r="D990" s="6" t="n">
        <f aca="false">(A990+1)^2.4 * 1.004^A990</f>
        <v>796855097.408061</v>
      </c>
      <c r="E990" s="6" t="n">
        <f aca="false">$I$2*(A990+1)^1.9*1.003^A990</f>
        <v>4089.36515789184</v>
      </c>
      <c r="F990" s="6" t="n">
        <f aca="false">(A990+1)^1.12</f>
        <v>2262.6628512062</v>
      </c>
      <c r="G990" s="6" t="n">
        <f aca="false">G989+E990</f>
        <v>755665.028241712</v>
      </c>
    </row>
    <row r="991" customFormat="false" ht="15" hidden="false" customHeight="true" outlineLevel="0" collapsed="false">
      <c r="A991" s="6" t="n">
        <v>989</v>
      </c>
      <c r="B991" s="6" t="n">
        <f aca="false">MIN(42, FLOOR(A991/32,1)+1)</f>
        <v>31</v>
      </c>
      <c r="C991" s="6" t="str">
        <f aca="false">INDEX(Grades_Realms!$B$2:$B$43, B991)</f>
        <v>Celestial · Initial</v>
      </c>
      <c r="D991" s="6" t="n">
        <f aca="false">(A991+1)^2.4 * 1.004^A991</f>
        <v>801985350.200688</v>
      </c>
      <c r="E991" s="6" t="n">
        <f aca="false">$I$2*(A991+1)^1.9*1.003^A991</f>
        <v>4109.51661935466</v>
      </c>
      <c r="F991" s="6" t="n">
        <f aca="false">(A991+1)^1.12</f>
        <v>2265.22537505846</v>
      </c>
      <c r="G991" s="6" t="n">
        <f aca="false">G990+E991</f>
        <v>759774.544861066</v>
      </c>
    </row>
    <row r="992" customFormat="false" ht="15" hidden="false" customHeight="true" outlineLevel="0" collapsed="false">
      <c r="A992" s="6" t="n">
        <v>990</v>
      </c>
      <c r="B992" s="6" t="n">
        <f aca="false">MIN(42, FLOOR(A992/32,1)+1)</f>
        <v>31</v>
      </c>
      <c r="C992" s="6" t="str">
        <f aca="false">INDEX(Grades_Realms!$B$2:$B$43, B992)</f>
        <v>Celestial · Initial</v>
      </c>
      <c r="D992" s="6" t="n">
        <f aca="false">(A992+1)^2.4 * 1.004^A992</f>
        <v>807146655.715084</v>
      </c>
      <c r="E992" s="6" t="n">
        <f aca="false">$I$2*(A992+1)^1.9*1.003^A992</f>
        <v>4129.7593767653</v>
      </c>
      <c r="F992" s="6" t="n">
        <f aca="false">(A992+1)^1.12</f>
        <v>2267.78820953854</v>
      </c>
      <c r="G992" s="6" t="n">
        <f aca="false">G991+E992</f>
        <v>763904.304237832</v>
      </c>
    </row>
    <row r="993" customFormat="false" ht="15" hidden="false" customHeight="true" outlineLevel="0" collapsed="false">
      <c r="A993" s="6" t="n">
        <v>991</v>
      </c>
      <c r="B993" s="6" t="n">
        <f aca="false">MIN(42, FLOOR(A993/32,1)+1)</f>
        <v>31</v>
      </c>
      <c r="C993" s="6" t="str">
        <f aca="false">INDEX(Grades_Realms!$B$2:$B$43, B993)</f>
        <v>Celestial · Initial</v>
      </c>
      <c r="D993" s="6" t="n">
        <f aca="false">(A993+1)^2.4 * 1.004^A993</f>
        <v>812339192.44993</v>
      </c>
      <c r="E993" s="6" t="n">
        <f aca="false">$I$2*(A993+1)^1.9*1.003^A993</f>
        <v>4150.09381738251</v>
      </c>
      <c r="F993" s="6" t="n">
        <f aca="false">(A993+1)^1.12</f>
        <v>2270.3513543706</v>
      </c>
      <c r="G993" s="6" t="n">
        <f aca="false">G992+E993</f>
        <v>768054.398055214</v>
      </c>
    </row>
    <row r="994" customFormat="false" ht="15" hidden="false" customHeight="true" outlineLevel="0" collapsed="false">
      <c r="A994" s="6" t="n">
        <v>992</v>
      </c>
      <c r="B994" s="6" t="n">
        <f aca="false">MIN(42, FLOOR(A994/32,1)+1)</f>
        <v>32</v>
      </c>
      <c r="C994" s="6" t="str">
        <f aca="false">INDEX(Grades_Realms!$B$2:$B$43, B994)</f>
        <v>Celestial · Advanced</v>
      </c>
      <c r="D994" s="6" t="n">
        <f aca="false">(A994+1)^2.4 * 1.004^A994</f>
        <v>817563139.887493</v>
      </c>
      <c r="E994" s="6" t="n">
        <f aca="false">$I$2*(A994+1)^1.9*1.003^A994</f>
        <v>4170.52033002809</v>
      </c>
      <c r="F994" s="6" t="n">
        <f aca="false">(A994+1)^1.12</f>
        <v>2272.9148092793</v>
      </c>
      <c r="G994" s="6" t="n">
        <f aca="false">G993+E994</f>
        <v>772224.918385242</v>
      </c>
    </row>
    <row r="995" customFormat="false" ht="15" hidden="false" customHeight="true" outlineLevel="0" collapsed="false">
      <c r="A995" s="6" t="n">
        <v>993</v>
      </c>
      <c r="B995" s="6" t="n">
        <f aca="false">MIN(42, FLOOR(A995/32,1)+1)</f>
        <v>32</v>
      </c>
      <c r="C995" s="6" t="str">
        <f aca="false">INDEX(Grades_Realms!$B$2:$B$43, B995)</f>
        <v>Celestial · Advanced</v>
      </c>
      <c r="D995" s="6" t="n">
        <f aca="false">(A995+1)^2.4 * 1.004^A995</f>
        <v>822818678.498866</v>
      </c>
      <c r="E995" s="6" t="n">
        <f aca="false">$I$2*(A995+1)^1.9*1.003^A995</f>
        <v>4191.03930509295</v>
      </c>
      <c r="F995" s="6" t="n">
        <f aca="false">(A995+1)^1.12</f>
        <v>2275.47857398984</v>
      </c>
      <c r="G995" s="6" t="n">
        <f aca="false">G994+E995</f>
        <v>776415.957690335</v>
      </c>
    </row>
    <row r="996" customFormat="false" ht="15" hidden="false" customHeight="true" outlineLevel="0" collapsed="false">
      <c r="A996" s="6" t="n">
        <v>994</v>
      </c>
      <c r="B996" s="6" t="n">
        <f aca="false">MIN(42, FLOOR(A996/32,1)+1)</f>
        <v>32</v>
      </c>
      <c r="C996" s="6" t="str">
        <f aca="false">INDEX(Grades_Realms!$B$2:$B$43, B996)</f>
        <v>Celestial · Advanced</v>
      </c>
      <c r="D996" s="6" t="n">
        <f aca="false">(A996+1)^2.4 * 1.004^A996</f>
        <v>828105989.749226</v>
      </c>
      <c r="E996" s="6" t="n">
        <f aca="false">$I$2*(A996+1)^1.9*1.003^A996</f>
        <v>4211.65113454326</v>
      </c>
      <c r="F996" s="6" t="n">
        <f aca="false">(A996+1)^1.12</f>
        <v>2278.04264822793</v>
      </c>
      <c r="G996" s="6" t="n">
        <f aca="false">G995+E996</f>
        <v>780627.608824879</v>
      </c>
    </row>
    <row r="997" customFormat="false" ht="15" hidden="false" customHeight="true" outlineLevel="0" collapsed="false">
      <c r="A997" s="6" t="n">
        <v>995</v>
      </c>
      <c r="B997" s="6" t="n">
        <f aca="false">MIN(42, FLOOR(A997/32,1)+1)</f>
        <v>32</v>
      </c>
      <c r="C997" s="6" t="str">
        <f aca="false">INDEX(Grades_Realms!$B$2:$B$43, B997)</f>
        <v>Celestial · Advanced</v>
      </c>
      <c r="D997" s="6" t="n">
        <f aca="false">(A997+1)^2.4 * 1.004^A997</f>
        <v>833425256.103128</v>
      </c>
      <c r="E997" s="6" t="n">
        <f aca="false">$I$2*(A997+1)^1.9*1.003^A997</f>
        <v>4232.35621192649</v>
      </c>
      <c r="F997" s="6" t="n">
        <f aca="false">(A997+1)^1.12</f>
        <v>2280.60703171981</v>
      </c>
      <c r="G997" s="6" t="n">
        <f aca="false">G996+E997</f>
        <v>784859.965036805</v>
      </c>
    </row>
    <row r="998" customFormat="false" ht="15" hidden="false" customHeight="true" outlineLevel="0" collapsed="false">
      <c r="A998" s="6" t="n">
        <v>996</v>
      </c>
      <c r="B998" s="6" t="n">
        <f aca="false">MIN(42, FLOOR(A998/32,1)+1)</f>
        <v>32</v>
      </c>
      <c r="C998" s="6" t="str">
        <f aca="false">INDEX(Grades_Realms!$B$2:$B$43, B998)</f>
        <v>Celestial · Advanced</v>
      </c>
      <c r="D998" s="6" t="n">
        <f aca="false">(A998+1)^2.4 * 1.004^A998</f>
        <v>838776661.02982</v>
      </c>
      <c r="E998" s="6" t="n">
        <f aca="false">$I$2*(A998+1)^1.9*1.003^A998</f>
        <v>4253.15493237762</v>
      </c>
      <c r="F998" s="6" t="n">
        <f aca="false">(A998+1)^1.12</f>
        <v>2283.17172419221</v>
      </c>
      <c r="G998" s="6" t="n">
        <f aca="false">G997+E998</f>
        <v>789113.119969183</v>
      </c>
    </row>
    <row r="999" customFormat="false" ht="15" hidden="false" customHeight="true" outlineLevel="0" collapsed="false">
      <c r="A999" s="6" t="n">
        <v>997</v>
      </c>
      <c r="B999" s="6" t="n">
        <f aca="false">MIN(42, FLOOR(A999/32,1)+1)</f>
        <v>32</v>
      </c>
      <c r="C999" s="6" t="str">
        <f aca="false">INDEX(Grades_Realms!$B$2:$B$43, B999)</f>
        <v>Celestial · Advanced</v>
      </c>
      <c r="D999" s="6" t="n">
        <f aca="false">(A999+1)^2.4 * 1.004^A999</f>
        <v>844160389.008592</v>
      </c>
      <c r="E999" s="6" t="n">
        <f aca="false">$I$2*(A999+1)^1.9*1.003^A999</f>
        <v>4274.04769262526</v>
      </c>
      <c r="F999" s="6" t="n">
        <f aca="false">(A999+1)^1.12</f>
        <v>2285.7367253724</v>
      </c>
      <c r="G999" s="6" t="n">
        <f aca="false">G998+E999</f>
        <v>793387.167661808</v>
      </c>
    </row>
    <row r="1000" customFormat="false" ht="15" hidden="false" customHeight="true" outlineLevel="0" collapsed="false">
      <c r="A1000" s="6" t="n">
        <v>998</v>
      </c>
      <c r="B1000" s="6" t="n">
        <f aca="false">MIN(42, FLOOR(A1000/32,1)+1)</f>
        <v>32</v>
      </c>
      <c r="C1000" s="6" t="str">
        <f aca="false">INDEX(Grades_Realms!$B$2:$B$43, B1000)</f>
        <v>Celestial · Advanced</v>
      </c>
      <c r="D1000" s="6" t="n">
        <f aca="false">(A1000+1)^2.4 * 1.004^A1000</f>
        <v>849576625.534144</v>
      </c>
      <c r="E1000" s="6" t="n">
        <f aca="false">$I$2*(A1000+1)^1.9*1.003^A1000</f>
        <v>4295.03489099788</v>
      </c>
      <c r="F1000" s="6" t="n">
        <f aca="false">(A1000+1)^1.12</f>
        <v>2288.30203498816</v>
      </c>
      <c r="G1000" s="6" t="n">
        <f aca="false">G999+E1000</f>
        <v>797682.202552806</v>
      </c>
    </row>
    <row r="1001" customFormat="false" ht="15" hidden="false" customHeight="true" outlineLevel="0" collapsed="false">
      <c r="A1001" s="6" t="n">
        <v>999</v>
      </c>
      <c r="B1001" s="6" t="n">
        <f aca="false">MIN(42, FLOOR(A1001/32,1)+1)</f>
        <v>32</v>
      </c>
      <c r="C1001" s="6" t="str">
        <f aca="false">INDEX(Grades_Realms!$B$2:$B$43, B1001)</f>
        <v>Celestial · Advanced</v>
      </c>
      <c r="D1001" s="6" t="n">
        <f aca="false">(A1001+1)^2.4 * 1.004^A1001</f>
        <v>855025557.121992</v>
      </c>
      <c r="E1001" s="6" t="n">
        <f aca="false">$I$2*(A1001+1)^1.9*1.003^A1001</f>
        <v>4316.11692742997</v>
      </c>
      <c r="F1001" s="6" t="n">
        <f aca="false">(A1001+1)^1.12</f>
        <v>2290.86765276778</v>
      </c>
      <c r="G1001" s="6" t="n">
        <f aca="false">G1000+E1001</f>
        <v>801998.319480236</v>
      </c>
    </row>
    <row r="1002" customFormat="false" ht="15" hidden="false" customHeight="true" outlineLevel="0" collapsed="false">
      <c r="A1002" s="6" t="n">
        <v>1000</v>
      </c>
      <c r="B1002" s="6" t="n">
        <f aca="false">MIN(42, FLOOR(A1002/32,1)+1)</f>
        <v>32</v>
      </c>
      <c r="C1002" s="6" t="str">
        <f aca="false">INDEX(Grades_Realms!$B$2:$B$43, B1002)</f>
        <v>Celestial · Advanced</v>
      </c>
      <c r="D1002" s="6" t="n">
        <f aca="false">(A1002+1)^2.4 * 1.004^A1002</f>
        <v>860507371.313892</v>
      </c>
      <c r="E1002" s="6" t="n">
        <f aca="false">$I$2*(A1002+1)^1.9*1.003^A1002</f>
        <v>4337.29420346833</v>
      </c>
      <c r="F1002" s="6" t="n">
        <f aca="false">(A1002+1)^1.12</f>
        <v>2293.43357844004</v>
      </c>
      <c r="G1002" s="6" t="n">
        <f aca="false">G1001+E1002</f>
        <v>806335.613683704</v>
      </c>
    </row>
    <row r="1003" customFormat="false" ht="15" hidden="false" customHeight="true" outlineLevel="0" collapsed="false">
      <c r="A1003" s="6" t="n">
        <v>1001</v>
      </c>
      <c r="B1003" s="6" t="n">
        <f aca="false">MIN(42, FLOOR(A1003/32,1)+1)</f>
        <v>32</v>
      </c>
      <c r="C1003" s="6" t="str">
        <f aca="false">INDEX(Grades_Realms!$B$2:$B$43, B1003)</f>
        <v>Celestial · Advanced</v>
      </c>
      <c r="D1003" s="6" t="n">
        <f aca="false">(A1003+1)^2.4 * 1.004^A1003</f>
        <v>866022256.683299</v>
      </c>
      <c r="E1003" s="6" t="n">
        <f aca="false">$I$2*(A1003+1)^1.9*1.003^A1003</f>
        <v>4358.56712227829</v>
      </c>
      <c r="F1003" s="6" t="n">
        <f aca="false">(A1003+1)^1.12</f>
        <v>2295.99981173428</v>
      </c>
      <c r="G1003" s="6" t="n">
        <f aca="false">G1002+E1003</f>
        <v>810694.180805982</v>
      </c>
    </row>
    <row r="1004" customFormat="false" ht="15" hidden="false" customHeight="true" outlineLevel="0" collapsed="false">
      <c r="A1004" s="6" t="n">
        <v>1002</v>
      </c>
      <c r="B1004" s="6" t="n">
        <f aca="false">MIN(42, FLOOR(A1004/32,1)+1)</f>
        <v>32</v>
      </c>
      <c r="C1004" s="6" t="str">
        <f aca="false">INDEX(Grades_Realms!$B$2:$B$43, B1004)</f>
        <v>Celestial · Advanced</v>
      </c>
      <c r="D1004" s="6" t="n">
        <f aca="false">(A1004+1)^2.4 * 1.004^A1004</f>
        <v>871570402.840852</v>
      </c>
      <c r="E1004" s="6" t="n">
        <f aca="false">$I$2*(A1004+1)^1.9*1.003^A1004</f>
        <v>4379.93608865001</v>
      </c>
      <c r="F1004" s="6" t="n">
        <f aca="false">(A1004+1)^1.12</f>
        <v>2298.56635238029</v>
      </c>
      <c r="G1004" s="6" t="n">
        <f aca="false">G1003+E1004</f>
        <v>815074.116894633</v>
      </c>
    </row>
    <row r="1005" customFormat="false" ht="15" hidden="false" customHeight="true" outlineLevel="0" collapsed="false">
      <c r="A1005" s="6" t="n">
        <v>1003</v>
      </c>
      <c r="B1005" s="6" t="n">
        <f aca="false">MIN(42, FLOOR(A1005/32,1)+1)</f>
        <v>32</v>
      </c>
      <c r="C1005" s="6" t="str">
        <f aca="false">INDEX(Grades_Realms!$B$2:$B$43, B1005)</f>
        <v>Celestial · Advanced</v>
      </c>
      <c r="D1005" s="6" t="n">
        <f aca="false">(A1005+1)^2.4 * 1.004^A1005</f>
        <v>877152000.439886</v>
      </c>
      <c r="E1005" s="6" t="n">
        <f aca="false">$I$2*(A1005+1)^1.9*1.003^A1005</f>
        <v>4401.40150900477</v>
      </c>
      <c r="F1005" s="6" t="n">
        <f aca="false">(A1005+1)^1.12</f>
        <v>2301.13320010841</v>
      </c>
      <c r="G1005" s="6" t="n">
        <f aca="false">G1004+E1005</f>
        <v>819475.518403637</v>
      </c>
    </row>
    <row r="1006" customFormat="false" ht="15" hidden="false" customHeight="true" outlineLevel="0" collapsed="false">
      <c r="A1006" s="6" t="n">
        <v>1004</v>
      </c>
      <c r="B1006" s="6" t="n">
        <f aca="false">MIN(42, FLOOR(A1006/32,1)+1)</f>
        <v>32</v>
      </c>
      <c r="C1006" s="6" t="str">
        <f aca="false">INDEX(Grades_Realms!$B$2:$B$43, B1006)</f>
        <v>Celestial · Advanced</v>
      </c>
      <c r="D1006" s="6" t="n">
        <f aca="false">(A1006+1)^2.4 * 1.004^A1006</f>
        <v>882767241.181975</v>
      </c>
      <c r="E1006" s="6" t="n">
        <f aca="false">$I$2*(A1006+1)^1.9*1.003^A1006</f>
        <v>4422.96379140132</v>
      </c>
      <c r="F1006" s="6" t="n">
        <f aca="false">(A1006+1)^1.12</f>
        <v>2303.70035464946</v>
      </c>
      <c r="G1006" s="6" t="n">
        <f aca="false">G1005+E1006</f>
        <v>823898.482195039</v>
      </c>
    </row>
    <row r="1007" customFormat="false" ht="15" hidden="false" customHeight="true" outlineLevel="0" collapsed="false">
      <c r="A1007" s="6" t="n">
        <v>1005</v>
      </c>
      <c r="B1007" s="6" t="n">
        <f aca="false">MIN(42, FLOOR(A1007/32,1)+1)</f>
        <v>32</v>
      </c>
      <c r="C1007" s="6" t="str">
        <f aca="false">INDEX(Grades_Realms!$B$2:$B$43, B1007)</f>
        <v>Celestial · Advanced</v>
      </c>
      <c r="D1007" s="6" t="n">
        <f aca="false">(A1007+1)^2.4 * 1.004^A1007</f>
        <v>888416317.822501</v>
      </c>
      <c r="E1007" s="6" t="n">
        <f aca="false">$I$2*(A1007+1)^1.9*1.003^A1007</f>
        <v>4444.62334554222</v>
      </c>
      <c r="F1007" s="6" t="n">
        <f aca="false">(A1007+1)^1.12</f>
        <v>2306.26781573477</v>
      </c>
      <c r="G1007" s="6" t="n">
        <f aca="false">G1006+E1007</f>
        <v>828343.105540581</v>
      </c>
    </row>
    <row r="1008" customFormat="false" ht="15" hidden="false" customHeight="true" outlineLevel="0" collapsed="false">
      <c r="A1008" s="6" t="n">
        <v>1006</v>
      </c>
      <c r="B1008" s="6" t="n">
        <f aca="false">MIN(42, FLOOR(A1008/32,1)+1)</f>
        <v>32</v>
      </c>
      <c r="C1008" s="6" t="str">
        <f aca="false">INDEX(Grades_Realms!$B$2:$B$43, B1008)</f>
        <v>Celestial · Advanced</v>
      </c>
      <c r="D1008" s="6" t="n">
        <f aca="false">(A1008+1)^2.4 * 1.004^A1008</f>
        <v>894099424.176256</v>
      </c>
      <c r="E1008" s="6" t="n">
        <f aca="false">$I$2*(A1008+1)^1.9*1.003^A1008</f>
        <v>4466.38058278023</v>
      </c>
      <c r="F1008" s="6" t="n">
        <f aca="false">(A1008+1)^1.12</f>
        <v>2308.83558309618</v>
      </c>
      <c r="G1008" s="6" t="n">
        <f aca="false">G1007+E1008</f>
        <v>832809.486123361</v>
      </c>
    </row>
    <row r="1009" customFormat="false" ht="15" hidden="false" customHeight="true" outlineLevel="0" collapsed="false">
      <c r="A1009" s="6" t="n">
        <v>1007</v>
      </c>
      <c r="B1009" s="6" t="n">
        <f aca="false">MIN(42, FLOOR(A1009/32,1)+1)</f>
        <v>32</v>
      </c>
      <c r="C1009" s="6" t="str">
        <f aca="false">INDEX(Grades_Realms!$B$2:$B$43, B1009)</f>
        <v>Celestial · Advanced</v>
      </c>
      <c r="D1009" s="6" t="n">
        <f aca="false">(A1009+1)^2.4 * 1.004^A1009</f>
        <v>899816755.123066</v>
      </c>
      <c r="E1009" s="6" t="n">
        <f aca="false">$I$2*(A1009+1)^1.9*1.003^A1009</f>
        <v>4488.23591612469</v>
      </c>
      <c r="F1009" s="6" t="n">
        <f aca="false">(A1009+1)^1.12</f>
        <v>2311.40365646603</v>
      </c>
      <c r="G1009" s="6" t="n">
        <f aca="false">G1008+E1009</f>
        <v>837297.722039486</v>
      </c>
    </row>
    <row r="1010" customFormat="false" ht="15" hidden="false" customHeight="true" outlineLevel="0" collapsed="false">
      <c r="A1010" s="6" t="n">
        <v>1008</v>
      </c>
      <c r="B1010" s="6" t="n">
        <f aca="false">MIN(42, FLOOR(A1010/32,1)+1)</f>
        <v>32</v>
      </c>
      <c r="C1010" s="6" t="str">
        <f aca="false">INDEX(Grades_Realms!$B$2:$B$43, B1010)</f>
        <v>Celestial · Advanced</v>
      </c>
      <c r="D1010" s="6" t="n">
        <f aca="false">(A1010+1)^2.4 * 1.004^A1010</f>
        <v>905568506.61345</v>
      </c>
      <c r="E1010" s="6" t="n">
        <f aca="false">$I$2*(A1010+1)^1.9*1.003^A1010</f>
        <v>4510.18976024796</v>
      </c>
      <c r="F1010" s="6" t="n">
        <f aca="false">(A1010+1)^1.12</f>
        <v>2313.97203557714</v>
      </c>
      <c r="G1010" s="6" t="n">
        <f aca="false">G1009+E1010</f>
        <v>841807.911799734</v>
      </c>
    </row>
    <row r="1011" customFormat="false" ht="15" hidden="false" customHeight="true" outlineLevel="0" collapsed="false">
      <c r="A1011" s="6" t="n">
        <v>1009</v>
      </c>
      <c r="B1011" s="6" t="n">
        <f aca="false">MIN(42, FLOOR(A1011/32,1)+1)</f>
        <v>32</v>
      </c>
      <c r="C1011" s="6" t="str">
        <f aca="false">INDEX(Grades_Realms!$B$2:$B$43, B1011)</f>
        <v>Celestial · Advanced</v>
      </c>
      <c r="D1011" s="6" t="n">
        <f aca="false">(A1011+1)^2.4 * 1.004^A1011</f>
        <v>911354875.674308</v>
      </c>
      <c r="E1011" s="6" t="n">
        <f aca="false">$I$2*(A1011+1)^1.9*1.003^A1011</f>
        <v>4532.24253149189</v>
      </c>
      <c r="F1011" s="6" t="n">
        <f aca="false">(A1011+1)^1.12</f>
        <v>2316.54072016284</v>
      </c>
      <c r="G1011" s="6" t="n">
        <f aca="false">G1010+E1011</f>
        <v>846340.154331226</v>
      </c>
    </row>
    <row r="1012" customFormat="false" ht="15" hidden="false" customHeight="true" outlineLevel="0" collapsed="false">
      <c r="A1012" s="6" t="n">
        <v>1010</v>
      </c>
      <c r="B1012" s="6" t="n">
        <f aca="false">MIN(42, FLOOR(A1012/32,1)+1)</f>
        <v>32</v>
      </c>
      <c r="C1012" s="6" t="str">
        <f aca="false">INDEX(Grades_Realms!$B$2:$B$43, B1012)</f>
        <v>Celestial · Advanced</v>
      </c>
      <c r="D1012" s="6" t="n">
        <f aca="false">(A1012+1)^2.4 * 1.004^A1012</f>
        <v>917176060.414634</v>
      </c>
      <c r="E1012" s="6" t="n">
        <f aca="false">$I$2*(A1012+1)^1.9*1.003^A1012</f>
        <v>4554.39464787424</v>
      </c>
      <c r="F1012" s="6" t="n">
        <f aca="false">(A1012+1)^1.12</f>
        <v>2319.10970995698</v>
      </c>
      <c r="G1012" s="6" t="n">
        <f aca="false">G1011+E1012</f>
        <v>850894.5489791</v>
      </c>
    </row>
    <row r="1013" customFormat="false" ht="15" hidden="false" customHeight="true" outlineLevel="0" collapsed="false">
      <c r="A1013" s="6" t="n">
        <v>1011</v>
      </c>
      <c r="B1013" s="6" t="n">
        <f aca="false">MIN(42, FLOOR(A1013/32,1)+1)</f>
        <v>32</v>
      </c>
      <c r="C1013" s="6" t="str">
        <f aca="false">INDEX(Grades_Realms!$B$2:$B$43, B1013)</f>
        <v>Celestial · Advanced</v>
      </c>
      <c r="D1013" s="6" t="n">
        <f aca="false">(A1013+1)^2.4 * 1.004^A1013</f>
        <v>923032260.031264</v>
      </c>
      <c r="E1013" s="6" t="n">
        <f aca="false">$I$2*(A1013+1)^1.9*1.003^A1013</f>
        <v>4576.64652909524</v>
      </c>
      <c r="F1013" s="6" t="n">
        <f aca="false">(A1013+1)^1.12</f>
        <v>2321.67900469386</v>
      </c>
      <c r="G1013" s="6" t="n">
        <f aca="false">G1012+E1013</f>
        <v>855471.195508195</v>
      </c>
    </row>
    <row r="1014" customFormat="false" ht="15" hidden="false" customHeight="true" outlineLevel="0" collapsed="false">
      <c r="A1014" s="6" t="n">
        <v>1012</v>
      </c>
      <c r="B1014" s="6" t="n">
        <f aca="false">MIN(42, FLOOR(A1014/32,1)+1)</f>
        <v>32</v>
      </c>
      <c r="C1014" s="6" t="str">
        <f aca="false">INDEX(Grades_Realms!$B$2:$B$43, B1014)</f>
        <v>Celestial · Advanced</v>
      </c>
      <c r="D1014" s="6" t="n">
        <f aca="false">(A1014+1)^2.4 * 1.004^A1014</f>
        <v>928923674.814649</v>
      </c>
      <c r="E1014" s="6" t="n">
        <f aca="false">$I$2*(A1014+1)^1.9*1.003^A1014</f>
        <v>4598.99859654406</v>
      </c>
      <c r="F1014" s="6" t="n">
        <f aca="false">(A1014+1)^1.12</f>
        <v>2324.2486041083</v>
      </c>
      <c r="G1014" s="6" t="n">
        <f aca="false">G1013+E1014</f>
        <v>860070.194104739</v>
      </c>
    </row>
    <row r="1015" customFormat="false" ht="15" hidden="false" customHeight="true" outlineLevel="0" collapsed="false">
      <c r="A1015" s="6" t="n">
        <v>1013</v>
      </c>
      <c r="B1015" s="6" t="n">
        <f aca="false">MIN(42, FLOOR(A1015/32,1)+1)</f>
        <v>32</v>
      </c>
      <c r="C1015" s="6" t="str">
        <f aca="false">INDEX(Grades_Realms!$B$2:$B$43, B1015)</f>
        <v>Celestial · Advanced</v>
      </c>
      <c r="D1015" s="6" t="n">
        <f aca="false">(A1015+1)^2.4 * 1.004^A1015</f>
        <v>934850506.154658</v>
      </c>
      <c r="E1015" s="6" t="n">
        <f aca="false">$I$2*(A1015+1)^1.9*1.003^A1015</f>
        <v>4621.4512733054</v>
      </c>
      <c r="F1015" s="6" t="n">
        <f aca="false">(A1015+1)^1.12</f>
        <v>2326.81850793562</v>
      </c>
      <c r="G1015" s="6" t="n">
        <f aca="false">G1014+E1015</f>
        <v>864691.645378045</v>
      </c>
    </row>
    <row r="1016" customFormat="false" ht="15" hidden="false" customHeight="true" outlineLevel="0" collapsed="false">
      <c r="A1016" s="6" t="n">
        <v>1014</v>
      </c>
      <c r="B1016" s="6" t="n">
        <f aca="false">MIN(42, FLOOR(A1016/32,1)+1)</f>
        <v>32</v>
      </c>
      <c r="C1016" s="6" t="str">
        <f aca="false">INDEX(Grades_Realms!$B$2:$B$43, B1016)</f>
        <v>Celestial · Advanced</v>
      </c>
      <c r="D1016" s="6" t="n">
        <f aca="false">(A1016+1)^2.4 * 1.004^A1016</f>
        <v>940812956.546418</v>
      </c>
      <c r="E1016" s="6" t="n">
        <f aca="false">$I$2*(A1016+1)^1.9*1.003^A1016</f>
        <v>4644.00498416603</v>
      </c>
      <c r="F1016" s="6" t="n">
        <f aca="false">(A1016+1)^1.12</f>
        <v>2329.38871591161</v>
      </c>
      <c r="G1016" s="6" t="n">
        <f aca="false">G1015+E1016</f>
        <v>869335.650362211</v>
      </c>
    </row>
    <row r="1017" customFormat="false" ht="15" hidden="false" customHeight="true" outlineLevel="0" collapsed="false">
      <c r="A1017" s="6" t="n">
        <v>1015</v>
      </c>
      <c r="B1017" s="6" t="n">
        <f aca="false">MIN(42, FLOOR(A1017/32,1)+1)</f>
        <v>32</v>
      </c>
      <c r="C1017" s="6" t="str">
        <f aca="false">INDEX(Grades_Realms!$B$2:$B$43, B1017)</f>
        <v>Celestial · Advanced</v>
      </c>
      <c r="D1017" s="6" t="n">
        <f aca="false">(A1017+1)^2.4 * 1.004^A1017</f>
        <v>946811229.596175</v>
      </c>
      <c r="E1017" s="6" t="n">
        <f aca="false">$I$2*(A1017+1)^1.9*1.003^A1017</f>
        <v>4666.6601556214</v>
      </c>
      <c r="F1017" s="6" t="n">
        <f aca="false">(A1017+1)^1.12</f>
        <v>2331.95922777257</v>
      </c>
      <c r="G1017" s="6" t="n">
        <f aca="false">G1016+E1017</f>
        <v>874002.310517832</v>
      </c>
    </row>
    <row r="1018" customFormat="false" ht="15" hidden="false" customHeight="true" outlineLevel="0" collapsed="false">
      <c r="A1018" s="6" t="n">
        <v>1016</v>
      </c>
      <c r="B1018" s="6" t="n">
        <f aca="false">MIN(42, FLOOR(A1018/32,1)+1)</f>
        <v>32</v>
      </c>
      <c r="C1018" s="6" t="str">
        <f aca="false">INDEX(Grades_Realms!$B$2:$B$43, B1018)</f>
        <v>Celestial · Advanced</v>
      </c>
      <c r="D1018" s="6" t="n">
        <f aca="false">(A1018+1)^2.4 * 1.004^A1018</f>
        <v>952845530.027187</v>
      </c>
      <c r="E1018" s="6" t="n">
        <f aca="false">$I$2*(A1018+1)^1.9*1.003^A1018</f>
        <v>4689.41721588229</v>
      </c>
      <c r="F1018" s="6" t="n">
        <f aca="false">(A1018+1)^1.12</f>
        <v>2334.53004325526</v>
      </c>
      <c r="G1018" s="6" t="n">
        <f aca="false">G1017+E1018</f>
        <v>878691.727733714</v>
      </c>
    </row>
    <row r="1019" customFormat="false" ht="15" hidden="false" customHeight="true" outlineLevel="0" collapsed="false">
      <c r="A1019" s="6" t="n">
        <v>1017</v>
      </c>
      <c r="B1019" s="6" t="n">
        <f aca="false">MIN(42, FLOOR(A1019/32,1)+1)</f>
        <v>32</v>
      </c>
      <c r="C1019" s="6" t="str">
        <f aca="false">INDEX(Grades_Realms!$B$2:$B$43, B1019)</f>
        <v>Celestial · Advanced</v>
      </c>
      <c r="D1019" s="6" t="n">
        <f aca="false">(A1019+1)^2.4 * 1.004^A1019</f>
        <v>958916063.685657</v>
      </c>
      <c r="E1019" s="6" t="n">
        <f aca="false">$I$2*(A1019+1)^1.9*1.003^A1019</f>
        <v>4712.27659488139</v>
      </c>
      <c r="F1019" s="6" t="n">
        <f aca="false">(A1019+1)^1.12</f>
        <v>2337.10116209696</v>
      </c>
      <c r="G1019" s="6" t="n">
        <f aca="false">G1018+E1019</f>
        <v>883404.004328596</v>
      </c>
    </row>
    <row r="1020" customFormat="false" ht="15" hidden="false" customHeight="true" outlineLevel="0" collapsed="false">
      <c r="A1020" s="6" t="n">
        <v>1018</v>
      </c>
      <c r="B1020" s="6" t="n">
        <f aca="false">MIN(42, FLOOR(A1020/32,1)+1)</f>
        <v>32</v>
      </c>
      <c r="C1020" s="6" t="str">
        <f aca="false">INDEX(Grades_Realms!$B$2:$B$43, B1020)</f>
        <v>Celestial · Advanced</v>
      </c>
      <c r="D1020" s="6" t="n">
        <f aca="false">(A1020+1)^2.4 * 1.004^A1020</f>
        <v>965023037.54668</v>
      </c>
      <c r="E1020" s="6" t="n">
        <f aca="false">$I$2*(A1020+1)^1.9*1.003^A1020</f>
        <v>4735.23872428004</v>
      </c>
      <c r="F1020" s="6" t="n">
        <f aca="false">(A1020+1)^1.12</f>
        <v>2339.67258403541</v>
      </c>
      <c r="G1020" s="6" t="n">
        <f aca="false">G1019+E1020</f>
        <v>888139.243052876</v>
      </c>
    </row>
    <row r="1021" customFormat="false" ht="15" hidden="false" customHeight="true" outlineLevel="0" collapsed="false">
      <c r="A1021" s="6" t="n">
        <v>1019</v>
      </c>
      <c r="B1021" s="6" t="n">
        <f aca="false">MIN(42, FLOOR(A1021/32,1)+1)</f>
        <v>32</v>
      </c>
      <c r="C1021" s="6" t="str">
        <f aca="false">INDEX(Grades_Realms!$B$2:$B$43, B1021)</f>
        <v>Celestial · Advanced</v>
      </c>
      <c r="D1021" s="6" t="n">
        <f aca="false">(A1021+1)^2.4 * 1.004^A1021</f>
        <v>971166659.720236</v>
      </c>
      <c r="E1021" s="6" t="n">
        <f aca="false">$I$2*(A1021+1)^1.9*1.003^A1021</f>
        <v>4758.30403747488</v>
      </c>
      <c r="F1021" s="6" t="n">
        <f aca="false">(A1021+1)^1.12</f>
        <v>2342.24430880884</v>
      </c>
      <c r="G1021" s="6" t="n">
        <f aca="false">G1020+E1021</f>
        <v>892897.547090351</v>
      </c>
    </row>
    <row r="1022" customFormat="false" ht="15" hidden="false" customHeight="true" outlineLevel="0" collapsed="false">
      <c r="A1022" s="6" t="n">
        <v>1020</v>
      </c>
      <c r="B1022" s="6" t="n">
        <f aca="false">MIN(42, FLOOR(A1022/32,1)+1)</f>
        <v>32</v>
      </c>
      <c r="C1022" s="6" t="str">
        <f aca="false">INDEX(Grades_Realms!$B$2:$B$43, B1022)</f>
        <v>Celestial · Advanced</v>
      </c>
      <c r="D1022" s="6" t="n">
        <f aca="false">(A1022+1)^2.4 * 1.004^A1022</f>
        <v>977347139.457207</v>
      </c>
      <c r="E1022" s="6" t="n">
        <f aca="false">$I$2*(A1022+1)^1.9*1.003^A1022</f>
        <v>4781.47296960459</v>
      </c>
      <c r="F1022" s="6" t="n">
        <f aca="false">(A1022+1)^1.12</f>
        <v>2344.81633615598</v>
      </c>
      <c r="G1022" s="6" t="n">
        <f aca="false">G1021+E1022</f>
        <v>897679.020059955</v>
      </c>
    </row>
    <row r="1023" customFormat="false" ht="15" hidden="false" customHeight="true" outlineLevel="0" collapsed="false">
      <c r="A1023" s="6" t="n">
        <v>1021</v>
      </c>
      <c r="B1023" s="6" t="n">
        <f aca="false">MIN(42, FLOOR(A1023/32,1)+1)</f>
        <v>32</v>
      </c>
      <c r="C1023" s="6" t="str">
        <f aca="false">INDEX(Grades_Realms!$B$2:$B$43, B1023)</f>
        <v>Celestial · Advanced</v>
      </c>
      <c r="D1023" s="6" t="n">
        <f aca="false">(A1023+1)^2.4 * 1.004^A1023</f>
        <v>983564687.155423</v>
      </c>
      <c r="E1023" s="6" t="n">
        <f aca="false">$I$2*(A1023+1)^1.9*1.003^A1023</f>
        <v>4804.74595755665</v>
      </c>
      <c r="F1023" s="6" t="n">
        <f aca="false">(A1023+1)^1.12</f>
        <v>2347.388665816</v>
      </c>
      <c r="G1023" s="6" t="n">
        <f aca="false">G1022+E1023</f>
        <v>902483.766017512</v>
      </c>
    </row>
    <row r="1024" customFormat="false" ht="15" hidden="false" customHeight="true" outlineLevel="0" collapsed="false">
      <c r="A1024" s="6" t="n">
        <v>1022</v>
      </c>
      <c r="B1024" s="6" t="n">
        <f aca="false">MIN(42, FLOOR(A1024/32,1)+1)</f>
        <v>32</v>
      </c>
      <c r="C1024" s="6" t="str">
        <f aca="false">INDEX(Grades_Realms!$B$2:$B$43, B1024)</f>
        <v>Celestial · Advanced</v>
      </c>
      <c r="D1024" s="6" t="n">
        <f aca="false">(A1024+1)^2.4 * 1.004^A1024</f>
        <v>989819514.365744</v>
      </c>
      <c r="E1024" s="6" t="n">
        <f aca="false">$I$2*(A1024+1)^1.9*1.003^A1024</f>
        <v>4828.12343997409</v>
      </c>
      <c r="F1024" s="6" t="n">
        <f aca="false">(A1024+1)^1.12</f>
        <v>2349.9612975286</v>
      </c>
      <c r="G1024" s="6" t="n">
        <f aca="false">G1023+E1024</f>
        <v>907311.889457486</v>
      </c>
    </row>
    <row r="1025" customFormat="false" ht="15" hidden="false" customHeight="true" outlineLevel="0" collapsed="false">
      <c r="A1025" s="6" t="n">
        <v>1023</v>
      </c>
      <c r="B1025" s="6" t="n">
        <f aca="false">MIN(42, FLOOR(A1025/32,1)+1)</f>
        <v>32</v>
      </c>
      <c r="C1025" s="6" t="str">
        <f aca="false">INDEX(Grades_Realms!$B$2:$B$43, B1025)</f>
        <v>Celestial · Advanced</v>
      </c>
      <c r="D1025" s="6" t="n">
        <f aca="false">(A1025+1)^2.4 * 1.004^A1025</f>
        <v>996111833.798169</v>
      </c>
      <c r="E1025" s="6" t="n">
        <f aca="false">$I$2*(A1025+1)^1.9*1.003^A1025</f>
        <v>4851.60585726229</v>
      </c>
      <c r="F1025" s="6" t="n">
        <f aca="false">(A1025+1)^1.12</f>
        <v>2352.53423103393</v>
      </c>
      <c r="G1025" s="6" t="n">
        <f aca="false">G1024+E1025</f>
        <v>912163.495314748</v>
      </c>
    </row>
    <row r="1026" customFormat="false" ht="15" hidden="false" customHeight="true" outlineLevel="0" collapsed="false">
      <c r="A1026" s="6" t="n">
        <v>1024</v>
      </c>
      <c r="B1026" s="6" t="n">
        <f aca="false">MIN(42, FLOOR(A1026/32,1)+1)</f>
        <v>33</v>
      </c>
      <c r="C1026" s="6" t="str">
        <f aca="false">INDEX(Grades_Realms!$B$2:$B$43, B1026)</f>
        <v>Celestial · Perfected</v>
      </c>
      <c r="D1026" s="6" t="n">
        <f aca="false">(A1026+1)^2.4 * 1.004^A1026</f>
        <v>1002441859.32798</v>
      </c>
      <c r="E1026" s="6" t="n">
        <f aca="false">$I$2*(A1026+1)^1.9*1.003^A1026</f>
        <v>4875.19365159583</v>
      </c>
      <c r="F1026" s="6" t="n">
        <f aca="false">(A1026+1)^1.12</f>
        <v>2355.10746607261</v>
      </c>
      <c r="G1026" s="6" t="n">
        <f aca="false">G1025+E1026</f>
        <v>917038.688966344</v>
      </c>
    </row>
    <row r="1027" customFormat="false" ht="15" hidden="false" customHeight="true" outlineLevel="0" collapsed="false">
      <c r="A1027" s="6" t="n">
        <v>1025</v>
      </c>
      <c r="B1027" s="6" t="n">
        <f aca="false">MIN(42, FLOOR(A1027/32,1)+1)</f>
        <v>33</v>
      </c>
      <c r="C1027" s="6" t="str">
        <f aca="false">INDEX(Grades_Realms!$B$2:$B$43, B1027)</f>
        <v>Celestial · Perfected</v>
      </c>
      <c r="D1027" s="6" t="n">
        <f aca="false">(A1027+1)^2.4 * 1.004^A1027</f>
        <v>1008809806.00193</v>
      </c>
      <c r="E1027" s="6" t="n">
        <f aca="false">$I$2*(A1027+1)^1.9*1.003^A1027</f>
        <v>4898.88726692531</v>
      </c>
      <c r="F1027" s="6" t="n">
        <f aca="false">(A1027+1)^1.12</f>
        <v>2357.68100238576</v>
      </c>
      <c r="G1027" s="6" t="n">
        <f aca="false">G1026+E1027</f>
        <v>921937.576233269</v>
      </c>
    </row>
    <row r="1028" customFormat="false" ht="15" hidden="false" customHeight="true" outlineLevel="0" collapsed="false">
      <c r="A1028" s="6" t="n">
        <v>1026</v>
      </c>
      <c r="B1028" s="6" t="n">
        <f aca="false">MIN(42, FLOOR(A1028/32,1)+1)</f>
        <v>33</v>
      </c>
      <c r="C1028" s="6" t="str">
        <f aca="false">INDEX(Grades_Realms!$B$2:$B$43, B1028)</f>
        <v>Celestial · Perfected</v>
      </c>
      <c r="D1028" s="6" t="n">
        <f aca="false">(A1028+1)^2.4 * 1.004^A1028</f>
        <v>1015215890.04442</v>
      </c>
      <c r="E1028" s="6" t="n">
        <f aca="false">$I$2*(A1028+1)^1.9*1.003^A1028</f>
        <v>4922.68714898424</v>
      </c>
      <c r="F1028" s="6" t="n">
        <f aca="false">(A1028+1)^1.12</f>
        <v>2360.25483971496</v>
      </c>
      <c r="G1028" s="6" t="n">
        <f aca="false">G1027+E1028</f>
        <v>926860.263382254</v>
      </c>
    </row>
    <row r="1029" customFormat="false" ht="15" hidden="false" customHeight="true" outlineLevel="0" collapsed="false">
      <c r="A1029" s="6" t="n">
        <v>1027</v>
      </c>
      <c r="B1029" s="6" t="n">
        <f aca="false">MIN(42, FLOOR(A1029/32,1)+1)</f>
        <v>33</v>
      </c>
      <c r="C1029" s="6" t="str">
        <f aca="false">INDEX(Grades_Realms!$B$2:$B$43, B1029)</f>
        <v>Celestial · Perfected</v>
      </c>
      <c r="D1029" s="6" t="n">
        <f aca="false">(A1029+1)^2.4 * 1.004^A1029</f>
        <v>1021660328.86375</v>
      </c>
      <c r="E1029" s="6" t="n">
        <f aca="false">$I$2*(A1029+1)^1.9*1.003^A1029</f>
        <v>4946.59374529592</v>
      </c>
      <c r="F1029" s="6" t="n">
        <f aca="false">(A1029+1)^1.12</f>
        <v>2362.82897780226</v>
      </c>
      <c r="G1029" s="6" t="n">
        <f aca="false">G1028+E1029</f>
        <v>931806.857127549</v>
      </c>
    </row>
    <row r="1030" customFormat="false" ht="15" hidden="false" customHeight="true" outlineLevel="0" collapsed="false">
      <c r="A1030" s="6" t="n">
        <v>1028</v>
      </c>
      <c r="B1030" s="6" t="n">
        <f aca="false">MIN(42, FLOOR(A1030/32,1)+1)</f>
        <v>33</v>
      </c>
      <c r="C1030" s="6" t="str">
        <f aca="false">INDEX(Grades_Realms!$B$2:$B$43, B1030)</f>
        <v>Celestial · Perfected</v>
      </c>
      <c r="D1030" s="6" t="n">
        <f aca="false">(A1030+1)^2.4 * 1.004^A1030</f>
        <v>1028143341.05841</v>
      </c>
      <c r="E1030" s="6" t="n">
        <f aca="false">$I$2*(A1030+1)^1.9*1.003^A1030</f>
        <v>4970.6075051804</v>
      </c>
      <c r="F1030" s="6" t="n">
        <f aca="false">(A1030+1)^1.12</f>
        <v>2365.40341639018</v>
      </c>
      <c r="G1030" s="6" t="n">
        <f aca="false">G1029+E1030</f>
        <v>936777.46463273</v>
      </c>
    </row>
    <row r="1031" customFormat="false" ht="15" hidden="false" customHeight="true" outlineLevel="0" collapsed="false">
      <c r="A1031" s="6" t="n">
        <v>1029</v>
      </c>
      <c r="B1031" s="6" t="n">
        <f aca="false">MIN(42, FLOOR(A1031/32,1)+1)</f>
        <v>33</v>
      </c>
      <c r="C1031" s="6" t="str">
        <f aca="false">INDEX(Grades_Realms!$B$2:$B$43, B1031)</f>
        <v>Celestial · Perfected</v>
      </c>
      <c r="D1031" s="6" t="n">
        <f aca="false">(A1031+1)^2.4 * 1.004^A1031</f>
        <v>1034665146.42336</v>
      </c>
      <c r="E1031" s="6" t="n">
        <f aca="false">$I$2*(A1031+1)^1.9*1.003^A1031</f>
        <v>4994.72887976141</v>
      </c>
      <c r="F1031" s="6" t="n">
        <f aca="false">(A1031+1)^1.12</f>
        <v>2367.97815522173</v>
      </c>
      <c r="G1031" s="6" t="n">
        <f aca="false">G1030+E1031</f>
        <v>941772.193512491</v>
      </c>
    </row>
    <row r="1032" customFormat="false" ht="15" hidden="false" customHeight="true" outlineLevel="0" collapsed="false">
      <c r="A1032" s="6" t="n">
        <v>1030</v>
      </c>
      <c r="B1032" s="6" t="n">
        <f aca="false">MIN(42, FLOOR(A1032/32,1)+1)</f>
        <v>33</v>
      </c>
      <c r="C1032" s="6" t="str">
        <f aca="false">INDEX(Grades_Realms!$B$2:$B$43, B1032)</f>
        <v>Celestial · Perfected</v>
      </c>
      <c r="D1032" s="6" t="n">
        <f aca="false">(A1032+1)^2.4 * 1.004^A1032</f>
        <v>1041225965.95637</v>
      </c>
      <c r="E1032" s="6" t="n">
        <f aca="false">$I$2*(A1032+1)^1.9*1.003^A1032</f>
        <v>5018.95832197336</v>
      </c>
      <c r="F1032" s="6" t="n">
        <f aca="false">(A1032+1)^1.12</f>
        <v>2370.55319404038</v>
      </c>
      <c r="G1032" s="6" t="n">
        <f aca="false">G1031+E1032</f>
        <v>946791.151834465</v>
      </c>
    </row>
    <row r="1033" customFormat="false" ht="15" hidden="false" customHeight="true" outlineLevel="0" collapsed="false">
      <c r="A1033" s="6" t="n">
        <v>1031</v>
      </c>
      <c r="B1033" s="6" t="n">
        <f aca="false">MIN(42, FLOOR(A1033/32,1)+1)</f>
        <v>33</v>
      </c>
      <c r="C1033" s="6" t="str">
        <f aca="false">INDEX(Grades_Realms!$B$2:$B$43, B1033)</f>
        <v>Celestial · Perfected</v>
      </c>
      <c r="D1033" s="6" t="n">
        <f aca="false">(A1033+1)^2.4 * 1.004^A1033</f>
        <v>1047826021.86438</v>
      </c>
      <c r="E1033" s="6" t="n">
        <f aca="false">$I$2*(A1033+1)^1.9*1.003^A1033</f>
        <v>5043.2962865683</v>
      </c>
      <c r="F1033" s="6" t="n">
        <f aca="false">(A1033+1)^1.12</f>
        <v>2373.12853259005</v>
      </c>
      <c r="G1033" s="6" t="n">
        <f aca="false">G1032+E1033</f>
        <v>951834.448121033</v>
      </c>
    </row>
    <row r="1034" customFormat="false" ht="15" hidden="false" customHeight="true" outlineLevel="0" collapsed="false">
      <c r="A1034" s="6" t="n">
        <v>1032</v>
      </c>
      <c r="B1034" s="6" t="n">
        <f aca="false">MIN(42, FLOOR(A1034/32,1)+1)</f>
        <v>33</v>
      </c>
      <c r="C1034" s="6" t="str">
        <f aca="false">INDEX(Grades_Realms!$B$2:$B$43, B1034)</f>
        <v>Celestial · Perfected</v>
      </c>
      <c r="D1034" s="6" t="n">
        <f aca="false">(A1034+1)^2.4 * 1.004^A1034</f>
        <v>1054465537.56992</v>
      </c>
      <c r="E1034" s="6" t="n">
        <f aca="false">$I$2*(A1034+1)^1.9*1.003^A1034</f>
        <v>5067.74323012302</v>
      </c>
      <c r="F1034" s="6" t="n">
        <f aca="false">(A1034+1)^1.12</f>
        <v>2375.70417061514</v>
      </c>
      <c r="G1034" s="6" t="n">
        <f aca="false">G1033+E1034</f>
        <v>956902.191351156</v>
      </c>
    </row>
    <row r="1035" customFormat="false" ht="15" hidden="false" customHeight="true" outlineLevel="0" collapsed="false">
      <c r="A1035" s="6" t="n">
        <v>1033</v>
      </c>
      <c r="B1035" s="6" t="n">
        <f aca="false">MIN(42, FLOOR(A1035/32,1)+1)</f>
        <v>33</v>
      </c>
      <c r="C1035" s="6" t="str">
        <f aca="false">INDEX(Grades_Realms!$B$2:$B$43, B1035)</f>
        <v>Celestial · Perfected</v>
      </c>
      <c r="D1035" s="6" t="n">
        <f aca="false">(A1035+1)^2.4 * 1.004^A1035</f>
        <v>1061144737.71753</v>
      </c>
      <c r="E1035" s="6" t="n">
        <f aca="false">$I$2*(A1035+1)^1.9*1.003^A1035</f>
        <v>5092.29961104604</v>
      </c>
      <c r="F1035" s="6" t="n">
        <f aca="false">(A1035+1)^1.12</f>
        <v>2378.28010786053</v>
      </c>
      <c r="G1035" s="6" t="n">
        <f aca="false">G1034+E1035</f>
        <v>961994.490962202</v>
      </c>
    </row>
    <row r="1036" customFormat="false" ht="15" hidden="false" customHeight="true" outlineLevel="0" collapsed="false">
      <c r="A1036" s="6" t="n">
        <v>1034</v>
      </c>
      <c r="B1036" s="6" t="n">
        <f aca="false">MIN(42, FLOOR(A1036/32,1)+1)</f>
        <v>33</v>
      </c>
      <c r="C1036" s="6" t="str">
        <f aca="false">INDEX(Grades_Realms!$B$2:$B$43, B1036)</f>
        <v>Celestial · Perfected</v>
      </c>
      <c r="D1036" s="6" t="n">
        <f aca="false">(A1036+1)^2.4 * 1.004^A1036</f>
        <v>1067863848.18023</v>
      </c>
      <c r="E1036" s="6" t="n">
        <f aca="false">$I$2*(A1036+1)^1.9*1.003^A1036</f>
        <v>5116.96588958474</v>
      </c>
      <c r="F1036" s="6" t="n">
        <f aca="false">(A1036+1)^1.12</f>
        <v>2380.85634407153</v>
      </c>
      <c r="G1036" s="6" t="n">
        <f aca="false">G1035+E1036</f>
        <v>967111.456851787</v>
      </c>
    </row>
    <row r="1037" customFormat="false" ht="15" hidden="false" customHeight="true" outlineLevel="0" collapsed="false">
      <c r="A1037" s="6" t="n">
        <v>1035</v>
      </c>
      <c r="B1037" s="6" t="n">
        <f aca="false">MIN(42, FLOOR(A1037/32,1)+1)</f>
        <v>33</v>
      </c>
      <c r="C1037" s="6" t="str">
        <f aca="false">INDEX(Grades_Realms!$B$2:$B$43, B1037)</f>
        <v>Celestial · Perfected</v>
      </c>
      <c r="D1037" s="6" t="n">
        <f aca="false">(A1037+1)^2.4 * 1.004^A1037</f>
        <v>1074623096.06602</v>
      </c>
      <c r="E1037" s="6" t="n">
        <f aca="false">$I$2*(A1037+1)^1.9*1.003^A1037</f>
        <v>5141.74252783246</v>
      </c>
      <c r="F1037" s="6" t="n">
        <f aca="false">(A1037+1)^1.12</f>
        <v>2383.43287899395</v>
      </c>
      <c r="G1037" s="6" t="n">
        <f aca="false">G1036+E1037</f>
        <v>972253.199379619</v>
      </c>
    </row>
    <row r="1038" customFormat="false" ht="15" hidden="false" customHeight="true" outlineLevel="0" collapsed="false">
      <c r="A1038" s="6" t="n">
        <v>1036</v>
      </c>
      <c r="B1038" s="6" t="n">
        <f aca="false">MIN(42, FLOOR(A1038/32,1)+1)</f>
        <v>33</v>
      </c>
      <c r="C1038" s="6" t="str">
        <f aca="false">INDEX(Grades_Realms!$B$2:$B$43, B1038)</f>
        <v>Celestial · Perfected</v>
      </c>
      <c r="D1038" s="6" t="n">
        <f aca="false">(A1038+1)^2.4 * 1.004^A1038</f>
        <v>1081422709.72441</v>
      </c>
      <c r="E1038" s="6" t="n">
        <f aca="false">$I$2*(A1038+1)^1.9*1.003^A1038</f>
        <v>5166.62998973562</v>
      </c>
      <c r="F1038" s="6" t="n">
        <f aca="false">(A1038+1)^1.12</f>
        <v>2386.00971237404</v>
      </c>
      <c r="G1038" s="6" t="n">
        <f aca="false">G1037+E1038</f>
        <v>977419.829369355</v>
      </c>
    </row>
    <row r="1039" customFormat="false" ht="15" hidden="false" customHeight="true" outlineLevel="0" collapsed="false">
      <c r="A1039" s="6" t="n">
        <v>1037</v>
      </c>
      <c r="B1039" s="6" t="n">
        <f aca="false">MIN(42, FLOOR(A1039/32,1)+1)</f>
        <v>33</v>
      </c>
      <c r="C1039" s="6" t="str">
        <f aca="false">INDEX(Grades_Realms!$B$2:$B$43, B1039)</f>
        <v>Celestial · Perfected</v>
      </c>
      <c r="D1039" s="6" t="n">
        <f aca="false">(A1039+1)^2.4 * 1.004^A1039</f>
        <v>1088262918.753</v>
      </c>
      <c r="E1039" s="6" t="n">
        <f aca="false">$I$2*(A1039+1)^1.9*1.003^A1039</f>
        <v>5191.62874110091</v>
      </c>
      <c r="F1039" s="6" t="n">
        <f aca="false">(A1039+1)^1.12</f>
        <v>2388.58684395851</v>
      </c>
      <c r="G1039" s="6" t="n">
        <f aca="false">G1038+E1039</f>
        <v>982611.458110456</v>
      </c>
    </row>
    <row r="1040" customFormat="false" ht="15" hidden="false" customHeight="true" outlineLevel="0" collapsed="false">
      <c r="A1040" s="6" t="n">
        <v>1038</v>
      </c>
      <c r="B1040" s="6" t="n">
        <f aca="false">MIN(42, FLOOR(A1040/32,1)+1)</f>
        <v>33</v>
      </c>
      <c r="C1040" s="6" t="str">
        <f aca="false">INDEX(Grades_Realms!$B$2:$B$43, B1040)</f>
        <v>Celestial · Perfected</v>
      </c>
      <c r="D1040" s="6" t="n">
        <f aca="false">(A1040+1)^2.4 * 1.004^A1040</f>
        <v>1095143954.00407</v>
      </c>
      <c r="E1040" s="6" t="n">
        <f aca="false">$I$2*(A1040+1)^1.9*1.003^A1040</f>
        <v>5216.73924960247</v>
      </c>
      <c r="F1040" s="6" t="n">
        <f aca="false">(A1040+1)^1.12</f>
        <v>2391.16427349453</v>
      </c>
      <c r="G1040" s="6" t="n">
        <f aca="false">G1039+E1040</f>
        <v>987828.197360058</v>
      </c>
    </row>
    <row r="1041" customFormat="false" ht="15" hidden="false" customHeight="true" outlineLevel="0" collapsed="false">
      <c r="A1041" s="6" t="n">
        <v>1039</v>
      </c>
      <c r="B1041" s="6" t="n">
        <f aca="false">MIN(42, FLOOR(A1041/32,1)+1)</f>
        <v>33</v>
      </c>
      <c r="C1041" s="6" t="str">
        <f aca="false">INDEX(Grades_Realms!$B$2:$B$43, B1041)</f>
        <v>Celestial · Perfected</v>
      </c>
      <c r="D1041" s="6" t="n">
        <f aca="false">(A1041+1)^2.4 * 1.004^A1041</f>
        <v>1102066047.59119</v>
      </c>
      <c r="E1041" s="6" t="n">
        <f aca="false">$I$2*(A1041+1)^1.9*1.003^A1041</f>
        <v>5241.96198478911</v>
      </c>
      <c r="F1041" s="6" t="n">
        <f aca="false">(A1041+1)^1.12</f>
        <v>2393.74200072974</v>
      </c>
      <c r="G1041" s="6" t="n">
        <f aca="false">G1040+E1041</f>
        <v>993070.159344847</v>
      </c>
    </row>
    <row r="1042" customFormat="false" ht="15" hidden="false" customHeight="true" outlineLevel="0" collapsed="false">
      <c r="A1042" s="6" t="n">
        <v>1040</v>
      </c>
      <c r="B1042" s="6" t="n">
        <f aca="false">MIN(42, FLOOR(A1042/32,1)+1)</f>
        <v>33</v>
      </c>
      <c r="C1042" s="6" t="str">
        <f aca="false">INDEX(Grades_Realms!$B$2:$B$43, B1042)</f>
        <v>Celestial · Perfected</v>
      </c>
      <c r="D1042" s="6" t="n">
        <f aca="false">(A1042+1)^2.4 * 1.004^A1042</f>
        <v>1109029432.89595</v>
      </c>
      <c r="E1042" s="6" t="n">
        <f aca="false">$I$2*(A1042+1)^1.9*1.003^A1042</f>
        <v>5267.29741809155</v>
      </c>
      <c r="F1042" s="6" t="n">
        <f aca="false">(A1042+1)^1.12</f>
        <v>2396.32002541221</v>
      </c>
      <c r="G1042" s="6" t="n">
        <f aca="false">G1041+E1042</f>
        <v>998337.456762939</v>
      </c>
    </row>
    <row r="1043" customFormat="false" ht="15" hidden="false" customHeight="true" outlineLevel="0" collapsed="false">
      <c r="A1043" s="6" t="n">
        <v>1041</v>
      </c>
      <c r="B1043" s="6" t="n">
        <f aca="false">MIN(42, FLOOR(A1043/32,1)+1)</f>
        <v>33</v>
      </c>
      <c r="C1043" s="6" t="str">
        <f aca="false">INDEX(Grades_Realms!$B$2:$B$43, B1043)</f>
        <v>Celestial · Perfected</v>
      </c>
      <c r="D1043" s="6" t="n">
        <f aca="false">(A1043+1)^2.4 * 1.004^A1043</f>
        <v>1116034344.57462</v>
      </c>
      <c r="E1043" s="6" t="n">
        <f aca="false">$I$2*(A1043+1)^1.9*1.003^A1043</f>
        <v>5292.7460228297</v>
      </c>
      <c r="F1043" s="6" t="n">
        <f aca="false">(A1043+1)^1.12</f>
        <v>2398.89834729049</v>
      </c>
      <c r="G1043" s="6" t="n">
        <f aca="false">G1042+E1043</f>
        <v>1003630.20278577</v>
      </c>
    </row>
    <row r="1044" customFormat="false" ht="15" hidden="false" customHeight="true" outlineLevel="0" collapsed="false">
      <c r="A1044" s="6" t="n">
        <v>1042</v>
      </c>
      <c r="B1044" s="6" t="n">
        <f aca="false">MIN(42, FLOOR(A1044/32,1)+1)</f>
        <v>33</v>
      </c>
      <c r="C1044" s="6" t="str">
        <f aca="false">INDEX(Grades_Realms!$B$2:$B$43, B1044)</f>
        <v>Celestial · Perfected</v>
      </c>
      <c r="D1044" s="6" t="n">
        <f aca="false">(A1044+1)^2.4 * 1.004^A1044</f>
        <v>1123081018.56489</v>
      </c>
      <c r="E1044" s="6" t="n">
        <f aca="false">$I$2*(A1044+1)^1.9*1.003^A1044</f>
        <v>5318.30827421997</v>
      </c>
      <c r="F1044" s="6" t="n">
        <f aca="false">(A1044+1)^1.12</f>
        <v>2401.47696611358</v>
      </c>
      <c r="G1044" s="6" t="n">
        <f aca="false">G1043+E1044</f>
        <v>1008948.51105999</v>
      </c>
    </row>
    <row r="1045" customFormat="false" ht="15" hidden="false" customHeight="true" outlineLevel="0" collapsed="false">
      <c r="A1045" s="6" t="n">
        <v>1043</v>
      </c>
      <c r="B1045" s="6" t="n">
        <f aca="false">MIN(42, FLOOR(A1045/32,1)+1)</f>
        <v>33</v>
      </c>
      <c r="C1045" s="6" t="str">
        <f aca="false">INDEX(Grades_Realms!$B$2:$B$43, B1045)</f>
        <v>Celestial · Perfected</v>
      </c>
      <c r="D1045" s="6" t="n">
        <f aca="false">(A1045+1)^2.4 * 1.004^A1045</f>
        <v>1130169692.09265</v>
      </c>
      <c r="E1045" s="6" t="n">
        <f aca="false">$I$2*(A1045+1)^1.9*1.003^A1045</f>
        <v>5343.98464938257</v>
      </c>
      <c r="F1045" s="6" t="n">
        <f aca="false">(A1045+1)^1.12</f>
        <v>2404.05588163092</v>
      </c>
      <c r="G1045" s="6" t="n">
        <f aca="false">G1044+E1045</f>
        <v>1014292.49570937</v>
      </c>
    </row>
    <row r="1046" customFormat="false" ht="15" hidden="false" customHeight="true" outlineLevel="0" collapsed="false">
      <c r="A1046" s="6" t="n">
        <v>1044</v>
      </c>
      <c r="B1046" s="6" t="n">
        <f aca="false">MIN(42, FLOOR(A1046/32,1)+1)</f>
        <v>33</v>
      </c>
      <c r="C1046" s="6" t="str">
        <f aca="false">INDEX(Grades_Realms!$B$2:$B$43, B1046)</f>
        <v>Celestial · Perfected</v>
      </c>
      <c r="D1046" s="6" t="n">
        <f aca="false">(A1046+1)^2.4 * 1.004^A1046</f>
        <v>1137300603.67879</v>
      </c>
      <c r="E1046" s="6" t="n">
        <f aca="false">$I$2*(A1046+1)^1.9*1.003^A1046</f>
        <v>5369.7756273489</v>
      </c>
      <c r="F1046" s="6" t="n">
        <f aca="false">(A1046+1)^1.12</f>
        <v>2406.63509359241</v>
      </c>
      <c r="G1046" s="6" t="n">
        <f aca="false">G1045+E1046</f>
        <v>1019662.27133672</v>
      </c>
    </row>
    <row r="1047" customFormat="false" ht="15" hidden="false" customHeight="true" outlineLevel="0" collapsed="false">
      <c r="A1047" s="6" t="n">
        <v>1045</v>
      </c>
      <c r="B1047" s="6" t="n">
        <f aca="false">MIN(42, FLOOR(A1047/32,1)+1)</f>
        <v>33</v>
      </c>
      <c r="C1047" s="6" t="str">
        <f aca="false">INDEX(Grades_Realms!$B$2:$B$43, B1047)</f>
        <v>Celestial · Perfected</v>
      </c>
      <c r="D1047" s="6" t="n">
        <f aca="false">(A1047+1)^2.4 * 1.004^A1047</f>
        <v>1144473993.14608</v>
      </c>
      <c r="E1047" s="6" t="n">
        <f aca="false">$I$2*(A1047+1)^1.9*1.003^A1047</f>
        <v>5395.6816890689</v>
      </c>
      <c r="F1047" s="6" t="n">
        <f aca="false">(A1047+1)^1.12</f>
        <v>2409.21460174839</v>
      </c>
      <c r="G1047" s="6" t="n">
        <f aca="false">G1046+E1047</f>
        <v>1025057.95302579</v>
      </c>
    </row>
    <row r="1048" customFormat="false" ht="15" hidden="false" customHeight="true" outlineLevel="0" collapsed="false">
      <c r="A1048" s="6" t="n">
        <v>1046</v>
      </c>
      <c r="B1048" s="6" t="n">
        <f aca="false">MIN(42, FLOOR(A1048/32,1)+1)</f>
        <v>33</v>
      </c>
      <c r="C1048" s="6" t="str">
        <f aca="false">INDEX(Grades_Realms!$B$2:$B$43, B1048)</f>
        <v>Celestial · Perfected</v>
      </c>
      <c r="D1048" s="6" t="n">
        <f aca="false">(A1048+1)^2.4 * 1.004^A1048</f>
        <v>1151690101.62597</v>
      </c>
      <c r="E1048" s="6" t="n">
        <f aca="false">$I$2*(A1048+1)^1.9*1.003^A1048</f>
        <v>5421.70331741847</v>
      </c>
      <c r="F1048" s="6" t="n">
        <f aca="false">(A1048+1)^1.12</f>
        <v>2411.79440584968</v>
      </c>
      <c r="G1048" s="6" t="n">
        <f aca="false">G1047+E1048</f>
        <v>1030479.65634321</v>
      </c>
    </row>
    <row r="1049" customFormat="false" ht="15" hidden="false" customHeight="true" outlineLevel="0" collapsed="false">
      <c r="A1049" s="6" t="n">
        <v>1047</v>
      </c>
      <c r="B1049" s="6" t="n">
        <f aca="false">MIN(42, FLOOR(A1049/32,1)+1)</f>
        <v>33</v>
      </c>
      <c r="C1049" s="6" t="str">
        <f aca="false">INDEX(Grades_Realms!$B$2:$B$43, B1049)</f>
        <v>Celestial · Perfected</v>
      </c>
      <c r="D1049" s="6" t="n">
        <f aca="false">(A1049+1)^2.4 * 1.004^A1049</f>
        <v>1158949171.5656</v>
      </c>
      <c r="E1049" s="6" t="n">
        <f aca="false">$I$2*(A1049+1)^1.9*1.003^A1049</f>
        <v>5447.84099720694</v>
      </c>
      <c r="F1049" s="6" t="n">
        <f aca="false">(A1049+1)^1.12</f>
        <v>2414.3745056475</v>
      </c>
      <c r="G1049" s="6" t="n">
        <f aca="false">G1048+E1049</f>
        <v>1035927.49734041</v>
      </c>
    </row>
    <row r="1050" customFormat="false" ht="15" hidden="false" customHeight="true" outlineLevel="0" collapsed="false">
      <c r="A1050" s="6" t="n">
        <v>1048</v>
      </c>
      <c r="B1050" s="6" t="n">
        <f aca="false">MIN(42, FLOOR(A1050/32,1)+1)</f>
        <v>33</v>
      </c>
      <c r="C1050" s="6" t="str">
        <f aca="false">INDEX(Grades_Realms!$B$2:$B$43, B1050)</f>
        <v>Celestial · Perfected</v>
      </c>
      <c r="D1050" s="6" t="n">
        <f aca="false">(A1050+1)^2.4 * 1.004^A1050</f>
        <v>1166251446.73465</v>
      </c>
      <c r="E1050" s="6" t="n">
        <f aca="false">$I$2*(A1050+1)^1.9*1.003^A1050</f>
        <v>5474.09521518449</v>
      </c>
      <c r="F1050" s="6" t="n">
        <f aca="false">(A1050+1)^1.12</f>
        <v>2416.95490089356</v>
      </c>
      <c r="G1050" s="6" t="n">
        <f aca="false">G1049+E1050</f>
        <v>1041401.5925556</v>
      </c>
    </row>
    <row r="1051" customFormat="false" ht="15" hidden="false" customHeight="true" outlineLevel="0" collapsed="false">
      <c r="A1051" s="6" t="n">
        <v>1049</v>
      </c>
      <c r="B1051" s="6" t="n">
        <f aca="false">MIN(42, FLOOR(A1051/32,1)+1)</f>
        <v>33</v>
      </c>
      <c r="C1051" s="6" t="str">
        <f aca="false">INDEX(Grades_Realms!$B$2:$B$43, B1051)</f>
        <v>Celestial · Perfected</v>
      </c>
      <c r="D1051" s="6" t="n">
        <f aca="false">(A1051+1)^2.4 * 1.004^A1051</f>
        <v>1173597172.23241</v>
      </c>
      <c r="E1051" s="6" t="n">
        <f aca="false">$I$2*(A1051+1)^1.9*1.003^A1051</f>
        <v>5500.46646004967</v>
      </c>
      <c r="F1051" s="6" t="n">
        <f aca="false">(A1051+1)^1.12</f>
        <v>2419.53559133998</v>
      </c>
      <c r="G1051" s="6" t="n">
        <f aca="false">G1050+E1051</f>
        <v>1046902.05901565</v>
      </c>
    </row>
    <row r="1052" customFormat="false" ht="15" hidden="false" customHeight="true" outlineLevel="0" collapsed="false">
      <c r="A1052" s="6" t="n">
        <v>1050</v>
      </c>
      <c r="B1052" s="6" t="n">
        <f aca="false">MIN(42, FLOOR(A1052/32,1)+1)</f>
        <v>33</v>
      </c>
      <c r="C1052" s="6" t="str">
        <f aca="false">INDEX(Grades_Realms!$B$2:$B$43, B1052)</f>
        <v>Celestial · Perfected</v>
      </c>
      <c r="D1052" s="6" t="n">
        <f aca="false">(A1052+1)^2.4 * 1.004^A1052</f>
        <v>1180986594.49474</v>
      </c>
      <c r="E1052" s="6" t="n">
        <f aca="false">$I$2*(A1052+1)^1.9*1.003^A1052</f>
        <v>5526.95522245692</v>
      </c>
      <c r="F1052" s="6" t="n">
        <f aca="false">(A1052+1)^1.12</f>
        <v>2422.11657673935</v>
      </c>
      <c r="G1052" s="6" t="n">
        <f aca="false">G1051+E1052</f>
        <v>1052429.01423811</v>
      </c>
    </row>
    <row r="1053" customFormat="false" ht="15" hidden="false" customHeight="true" outlineLevel="0" collapsed="false">
      <c r="A1053" s="6" t="n">
        <v>1051</v>
      </c>
      <c r="B1053" s="6" t="n">
        <f aca="false">MIN(42, FLOOR(A1053/32,1)+1)</f>
        <v>33</v>
      </c>
      <c r="C1053" s="6" t="str">
        <f aca="false">INDEX(Grades_Realms!$B$2:$B$43, B1053)</f>
        <v>Celestial · Perfected</v>
      </c>
      <c r="D1053" s="6" t="n">
        <f aca="false">(A1053+1)^2.4 * 1.004^A1053</f>
        <v>1188419961.30117</v>
      </c>
      <c r="E1053" s="6" t="n">
        <f aca="false">$I$2*(A1053+1)^1.9*1.003^A1053</f>
        <v>5553.56199502411</v>
      </c>
      <c r="F1053" s="6" t="n">
        <f aca="false">(A1053+1)^1.12</f>
        <v>2424.69785684469</v>
      </c>
      <c r="G1053" s="6" t="n">
        <f aca="false">G1052+E1053</f>
        <v>1057982.57623313</v>
      </c>
    </row>
    <row r="1054" customFormat="false" ht="15" hidden="false" customHeight="true" outlineLevel="0" collapsed="false">
      <c r="A1054" s="6" t="n">
        <v>1052</v>
      </c>
      <c r="B1054" s="6" t="n">
        <f aca="false">MIN(42, FLOOR(A1054/32,1)+1)</f>
        <v>33</v>
      </c>
      <c r="C1054" s="6" t="str">
        <f aca="false">INDEX(Grades_Realms!$B$2:$B$43, B1054)</f>
        <v>Celestial · Perfected</v>
      </c>
      <c r="D1054" s="6" t="n">
        <f aca="false">(A1054+1)^2.4 * 1.004^A1054</f>
        <v>1195897521.78194</v>
      </c>
      <c r="E1054" s="6" t="n">
        <f aca="false">$I$2*(A1054+1)^1.9*1.003^A1054</f>
        <v>5580.28727234013</v>
      </c>
      <c r="F1054" s="6" t="n">
        <f aca="false">(A1054+1)^1.12</f>
        <v>2427.27943140946</v>
      </c>
      <c r="G1054" s="6" t="n">
        <f aca="false">G1053+E1054</f>
        <v>1063562.86350547</v>
      </c>
    </row>
    <row r="1055" customFormat="false" ht="15" hidden="false" customHeight="true" outlineLevel="0" collapsed="false">
      <c r="A1055" s="6" t="n">
        <v>1053</v>
      </c>
      <c r="B1055" s="6" t="n">
        <f aca="false">MIN(42, FLOOR(A1055/32,1)+1)</f>
        <v>33</v>
      </c>
      <c r="C1055" s="6" t="str">
        <f aca="false">INDEX(Grades_Realms!$B$2:$B$43, B1055)</f>
        <v>Celestial · Perfected</v>
      </c>
      <c r="D1055" s="6" t="n">
        <f aca="false">(A1055+1)^2.4 * 1.004^A1055</f>
        <v>1203419526.42519</v>
      </c>
      <c r="E1055" s="6" t="n">
        <f aca="false">$I$2*(A1055+1)^1.9*1.003^A1055</f>
        <v>5607.1315509725</v>
      </c>
      <c r="F1055" s="6" t="n">
        <f aca="false">(A1055+1)^1.12</f>
        <v>2429.86130018757</v>
      </c>
      <c r="G1055" s="6" t="n">
        <f aca="false">G1054+E1055</f>
        <v>1069169.99505644</v>
      </c>
    </row>
    <row r="1056" customFormat="false" ht="15" hidden="false" customHeight="true" outlineLevel="0" collapsed="false">
      <c r="A1056" s="6" t="n">
        <v>1054</v>
      </c>
      <c r="B1056" s="6" t="n">
        <f aca="false">MIN(42, FLOOR(A1056/32,1)+1)</f>
        <v>33</v>
      </c>
      <c r="C1056" s="6" t="str">
        <f aca="false">INDEX(Grades_Realms!$B$2:$B$43, B1056)</f>
        <v>Celestial · Perfected</v>
      </c>
      <c r="D1056" s="6" t="n">
        <f aca="false">(A1056+1)^2.4 * 1.004^A1056</f>
        <v>1210986227.08409</v>
      </c>
      <c r="E1056" s="6" t="n">
        <f aca="false">$I$2*(A1056+1)^1.9*1.003^A1056</f>
        <v>5634.09532947501</v>
      </c>
      <c r="F1056" s="6" t="n">
        <f aca="false">(A1056+1)^1.12</f>
        <v>2432.44346293336</v>
      </c>
      <c r="G1056" s="6" t="n">
        <f aca="false">G1055+E1056</f>
        <v>1074804.09038592</v>
      </c>
    </row>
    <row r="1057" customFormat="false" ht="15" hidden="false" customHeight="true" outlineLevel="0" collapsed="false">
      <c r="A1057" s="6" t="n">
        <v>1055</v>
      </c>
      <c r="B1057" s="6" t="n">
        <f aca="false">MIN(42, FLOOR(A1057/32,1)+1)</f>
        <v>33</v>
      </c>
      <c r="C1057" s="6" t="str">
        <f aca="false">INDEX(Grades_Realms!$B$2:$B$43, B1057)</f>
        <v>Celestial · Perfected</v>
      </c>
      <c r="D1057" s="6" t="n">
        <f aca="false">(A1057+1)^2.4 * 1.004^A1057</f>
        <v>1218597876.98404</v>
      </c>
      <c r="E1057" s="6" t="n">
        <f aca="false">$I$2*(A1057+1)^1.9*1.003^A1057</f>
        <v>5661.17910839534</v>
      </c>
      <c r="F1057" s="6" t="n">
        <f aca="false">(A1057+1)^1.12</f>
        <v>2435.02591940161</v>
      </c>
      <c r="G1057" s="6" t="n">
        <f aca="false">G1056+E1057</f>
        <v>1080465.26949431</v>
      </c>
    </row>
    <row r="1058" customFormat="false" ht="15" hidden="false" customHeight="true" outlineLevel="0" collapsed="false">
      <c r="A1058" s="6" t="n">
        <v>1056</v>
      </c>
      <c r="B1058" s="6" t="n">
        <f aca="false">MIN(42, FLOOR(A1058/32,1)+1)</f>
        <v>34</v>
      </c>
      <c r="C1058" s="6" t="str">
        <f aca="false">INDEX(Grades_Realms!$B$2:$B$43, B1058)</f>
        <v>Eternal · Initial</v>
      </c>
      <c r="D1058" s="6" t="n">
        <f aca="false">(A1058+1)^2.4 * 1.004^A1058</f>
        <v>1226254730.72991</v>
      </c>
      <c r="E1058" s="6" t="n">
        <f aca="false">$I$2*(A1058+1)^1.9*1.003^A1058</f>
        <v>5688.38339028283</v>
      </c>
      <c r="F1058" s="6" t="n">
        <f aca="false">(A1058+1)^1.12</f>
        <v>2437.60866934754</v>
      </c>
      <c r="G1058" s="6" t="n">
        <f aca="false">G1057+E1058</f>
        <v>1086153.6528846</v>
      </c>
    </row>
    <row r="1059" customFormat="false" ht="15" hidden="false" customHeight="true" outlineLevel="0" collapsed="false">
      <c r="A1059" s="6" t="n">
        <v>1057</v>
      </c>
      <c r="B1059" s="6" t="n">
        <f aca="false">MIN(42, FLOOR(A1059/32,1)+1)</f>
        <v>34</v>
      </c>
      <c r="C1059" s="6" t="str">
        <f aca="false">INDEX(Grades_Realms!$B$2:$B$43, B1059)</f>
        <v>Eternal · Initial</v>
      </c>
      <c r="D1059" s="6" t="n">
        <f aca="false">(A1059+1)^2.4 * 1.004^A1059</f>
        <v>1233957044.31335</v>
      </c>
      <c r="E1059" s="6" t="n">
        <f aca="false">$I$2*(A1059+1)^1.9*1.003^A1059</f>
        <v>5715.70867969614</v>
      </c>
      <c r="F1059" s="6" t="n">
        <f aca="false">(A1059+1)^1.12</f>
        <v>2440.1917125268</v>
      </c>
      <c r="G1059" s="6" t="n">
        <f aca="false">G1058+E1059</f>
        <v>1091869.36156429</v>
      </c>
    </row>
    <row r="1060" customFormat="false" ht="15" hidden="false" customHeight="true" outlineLevel="0" collapsed="false">
      <c r="A1060" s="6" t="n">
        <v>1058</v>
      </c>
      <c r="B1060" s="6" t="n">
        <f aca="false">MIN(42, FLOOR(A1060/32,1)+1)</f>
        <v>34</v>
      </c>
      <c r="C1060" s="6" t="str">
        <f aca="false">INDEX(Grades_Realms!$B$2:$B$43, B1060)</f>
        <v>Eternal · Initial</v>
      </c>
      <c r="D1060" s="6" t="n">
        <f aca="false">(A1060+1)^2.4 * 1.004^A1060</f>
        <v>1241705075.12005</v>
      </c>
      <c r="E1060" s="6" t="n">
        <f aca="false">$I$2*(A1060+1)^1.9*1.003^A1060</f>
        <v>5743.15548321102</v>
      </c>
      <c r="F1060" s="6" t="n">
        <f aca="false">(A1060+1)^1.12</f>
        <v>2442.77504869547</v>
      </c>
      <c r="G1060" s="6" t="n">
        <f aca="false">G1059+E1060</f>
        <v>1097612.5170475</v>
      </c>
    </row>
    <row r="1061" customFormat="false" ht="15" hidden="false" customHeight="true" outlineLevel="0" collapsed="false">
      <c r="A1061" s="6" t="n">
        <v>1059</v>
      </c>
      <c r="B1061" s="6" t="n">
        <f aca="false">MIN(42, FLOOR(A1061/32,1)+1)</f>
        <v>34</v>
      </c>
      <c r="C1061" s="6" t="str">
        <f aca="false">INDEX(Grades_Realms!$B$2:$B$43, B1061)</f>
        <v>Eternal · Initial</v>
      </c>
      <c r="D1061" s="6" t="n">
        <f aca="false">(A1061+1)^2.4 * 1.004^A1061</f>
        <v>1249499081.93715</v>
      </c>
      <c r="E1061" s="6" t="n">
        <f aca="false">$I$2*(A1061+1)^1.9*1.003^A1061</f>
        <v>5770.7243094281</v>
      </c>
      <c r="F1061" s="6" t="n">
        <f aca="false">(A1061+1)^1.12</f>
        <v>2445.35867761009</v>
      </c>
      <c r="G1061" s="6" t="n">
        <f aca="false">G1060+E1061</f>
        <v>1103383.24135693</v>
      </c>
    </row>
    <row r="1062" customFormat="false" ht="15" hidden="false" customHeight="true" outlineLevel="0" collapsed="false">
      <c r="A1062" s="6" t="n">
        <v>1060</v>
      </c>
      <c r="B1062" s="6" t="n">
        <f aca="false">MIN(42, FLOOR(A1062/32,1)+1)</f>
        <v>34</v>
      </c>
      <c r="C1062" s="6" t="str">
        <f aca="false">INDEX(Grades_Realms!$B$2:$B$43, B1062)</f>
        <v>Eternal · Initial</v>
      </c>
      <c r="D1062" s="6" t="n">
        <f aca="false">(A1062+1)^2.4 * 1.004^A1062</f>
        <v>1257339324.96058</v>
      </c>
      <c r="E1062" s="6" t="n">
        <f aca="false">$I$2*(A1062+1)^1.9*1.003^A1062</f>
        <v>5798.4156689807</v>
      </c>
      <c r="F1062" s="6" t="n">
        <f aca="false">(A1062+1)^1.12</f>
        <v>2447.94259902759</v>
      </c>
      <c r="G1062" s="6" t="n">
        <f aca="false">G1061+E1062</f>
        <v>1109181.65702591</v>
      </c>
    </row>
    <row r="1063" customFormat="false" ht="15" hidden="false" customHeight="true" outlineLevel="0" collapsed="false">
      <c r="A1063" s="6" t="n">
        <v>1061</v>
      </c>
      <c r="B1063" s="6" t="n">
        <f aca="false">MIN(42, FLOOR(A1063/32,1)+1)</f>
        <v>34</v>
      </c>
      <c r="C1063" s="6" t="str">
        <f aca="false">INDEX(Grades_Realms!$B$2:$B$43, B1063)</f>
        <v>Eternal · Initial</v>
      </c>
      <c r="D1063" s="6" t="n">
        <f aca="false">(A1063+1)^2.4 * 1.004^A1063</f>
        <v>1265226065.8025</v>
      </c>
      <c r="E1063" s="6" t="n">
        <f aca="false">$I$2*(A1063+1)^1.9*1.003^A1063</f>
        <v>5826.23007454264</v>
      </c>
      <c r="F1063" s="6" t="n">
        <f aca="false">(A1063+1)^1.12</f>
        <v>2450.52681270537</v>
      </c>
      <c r="G1063" s="6" t="n">
        <f aca="false">G1062+E1063</f>
        <v>1115007.88710045</v>
      </c>
    </row>
    <row r="1064" customFormat="false" ht="15" hidden="false" customHeight="true" outlineLevel="0" collapsed="false">
      <c r="A1064" s="6" t="n">
        <v>1062</v>
      </c>
      <c r="B1064" s="6" t="n">
        <f aca="false">MIN(42, FLOOR(A1064/32,1)+1)</f>
        <v>34</v>
      </c>
      <c r="C1064" s="6" t="str">
        <f aca="false">INDEX(Grades_Realms!$B$2:$B$43, B1064)</f>
        <v>Eternal · Initial</v>
      </c>
      <c r="D1064" s="6" t="n">
        <f aca="false">(A1064+1)^2.4 * 1.004^A1064</f>
        <v>1273159567.49878</v>
      </c>
      <c r="E1064" s="6" t="n">
        <f aca="false">$I$2*(A1064+1)^1.9*1.003^A1064</f>
        <v>5854.16804083614</v>
      </c>
      <c r="F1064" s="6" t="n">
        <f aca="false">(A1064+1)^1.12</f>
        <v>2453.11131840123</v>
      </c>
      <c r="G1064" s="6" t="n">
        <f aca="false">G1063+E1064</f>
        <v>1120862.05514129</v>
      </c>
    </row>
    <row r="1065" customFormat="false" ht="15" hidden="false" customHeight="true" outlineLevel="0" collapsed="false">
      <c r="A1065" s="6" t="n">
        <v>1063</v>
      </c>
      <c r="B1065" s="6" t="n">
        <f aca="false">MIN(42, FLOOR(A1065/32,1)+1)</f>
        <v>34</v>
      </c>
      <c r="C1065" s="6" t="str">
        <f aca="false">INDEX(Grades_Realms!$B$2:$B$43, B1065)</f>
        <v>Eternal · Initial</v>
      </c>
      <c r="D1065" s="6" t="n">
        <f aca="false">(A1065+1)^2.4 * 1.004^A1065</f>
        <v>1281140094.51651</v>
      </c>
      <c r="E1065" s="6" t="n">
        <f aca="false">$I$2*(A1065+1)^1.9*1.003^A1065</f>
        <v>5882.23008463973</v>
      </c>
      <c r="F1065" s="6" t="n">
        <f aca="false">(A1065+1)^1.12</f>
        <v>2455.69611587341</v>
      </c>
      <c r="G1065" s="6" t="n">
        <f aca="false">G1064+E1065</f>
        <v>1126744.28522593</v>
      </c>
    </row>
    <row r="1066" customFormat="false" ht="15" hidden="false" customHeight="true" outlineLevel="0" collapsed="false">
      <c r="A1066" s="6" t="n">
        <v>1064</v>
      </c>
      <c r="B1066" s="6" t="n">
        <f aca="false">MIN(42, FLOOR(A1066/32,1)+1)</f>
        <v>34</v>
      </c>
      <c r="C1066" s="6" t="str">
        <f aca="false">INDEX(Grades_Realms!$B$2:$B$43, B1066)</f>
        <v>Eternal · Initial</v>
      </c>
      <c r="D1066" s="6" t="n">
        <f aca="false">(A1066+1)^2.4 * 1.004^A1066</f>
        <v>1289167912.7615</v>
      </c>
      <c r="E1066" s="6" t="n">
        <f aca="false">$I$2*(A1066+1)^1.9*1.003^A1066</f>
        <v>5910.41672479611</v>
      </c>
      <c r="F1066" s="6" t="n">
        <f aca="false">(A1066+1)^1.12</f>
        <v>2458.28120488059</v>
      </c>
      <c r="G1066" s="6" t="n">
        <f aca="false">G1065+E1066</f>
        <v>1132654.70195073</v>
      </c>
    </row>
    <row r="1067" customFormat="false" ht="15" hidden="false" customHeight="true" outlineLevel="0" collapsed="false">
      <c r="A1067" s="6" t="n">
        <v>1065</v>
      </c>
      <c r="B1067" s="6" t="n">
        <f aca="false">MIN(42, FLOOR(A1067/32,1)+1)</f>
        <v>34</v>
      </c>
      <c r="C1067" s="6" t="str">
        <f aca="false">INDEX(Grades_Realms!$B$2:$B$43, B1067)</f>
        <v>Eternal · Initial</v>
      </c>
      <c r="D1067" s="6" t="n">
        <f aca="false">(A1067+1)^2.4 * 1.004^A1067</f>
        <v>1297243289.5859</v>
      </c>
      <c r="E1067" s="6" t="n">
        <f aca="false">$I$2*(A1067+1)^1.9*1.003^A1067</f>
        <v>5938.72848222018</v>
      </c>
      <c r="F1067" s="6" t="n">
        <f aca="false">(A1067+1)^1.12</f>
        <v>2460.86658518185</v>
      </c>
      <c r="G1067" s="6" t="n">
        <f aca="false">G1066+E1067</f>
        <v>1138593.43043295</v>
      </c>
    </row>
    <row r="1068" customFormat="false" ht="15" hidden="false" customHeight="true" outlineLevel="0" collapsed="false">
      <c r="A1068" s="6" t="n">
        <v>1066</v>
      </c>
      <c r="B1068" s="6" t="n">
        <f aca="false">MIN(42, FLOOR(A1068/32,1)+1)</f>
        <v>34</v>
      </c>
      <c r="C1068" s="6" t="str">
        <f aca="false">INDEX(Grades_Realms!$B$2:$B$43, B1068)</f>
        <v>Eternal · Initial</v>
      </c>
      <c r="D1068" s="6" t="n">
        <f aca="false">(A1068+1)^2.4 * 1.004^A1068</f>
        <v>1305366493.79583</v>
      </c>
      <c r="E1068" s="6" t="n">
        <f aca="false">$I$2*(A1068+1)^1.9*1.003^A1068</f>
        <v>5967.16587990699</v>
      </c>
      <c r="F1068" s="6" t="n">
        <f aca="false">(A1068+1)^1.12</f>
        <v>2463.45225653672</v>
      </c>
      <c r="G1068" s="6" t="n">
        <f aca="false">G1067+E1068</f>
        <v>1144560.59631285</v>
      </c>
    </row>
    <row r="1069" customFormat="false" ht="15" hidden="false" customHeight="true" outlineLevel="0" collapsed="false">
      <c r="A1069" s="6" t="n">
        <v>1067</v>
      </c>
      <c r="B1069" s="6" t="n">
        <f aca="false">MIN(42, FLOOR(A1069/32,1)+1)</f>
        <v>34</v>
      </c>
      <c r="C1069" s="6" t="str">
        <f aca="false">INDEX(Grades_Realms!$B$2:$B$43, B1069)</f>
        <v>Eternal · Initial</v>
      </c>
      <c r="D1069" s="6" t="n">
        <f aca="false">(A1069+1)^2.4 * 1.004^A1069</f>
        <v>1313537795.65898</v>
      </c>
      <c r="E1069" s="6" t="n">
        <f aca="false">$I$2*(A1069+1)^1.9*1.003^A1069</f>
        <v>5995.72944293978</v>
      </c>
      <c r="F1069" s="6" t="n">
        <f aca="false">(A1069+1)^1.12</f>
        <v>2466.03821870513</v>
      </c>
      <c r="G1069" s="6" t="n">
        <f aca="false">G1068+E1069</f>
        <v>1150556.32575579</v>
      </c>
    </row>
    <row r="1070" customFormat="false" ht="15" hidden="false" customHeight="true" outlineLevel="0" collapsed="false">
      <c r="A1070" s="6" t="n">
        <v>1068</v>
      </c>
      <c r="B1070" s="6" t="n">
        <f aca="false">MIN(42, FLOOR(A1070/32,1)+1)</f>
        <v>34</v>
      </c>
      <c r="C1070" s="6" t="str">
        <f aca="false">INDEX(Grades_Realms!$B$2:$B$43, B1070)</f>
        <v>Eternal · Initial</v>
      </c>
      <c r="D1070" s="6" t="n">
        <f aca="false">(A1070+1)^2.4 * 1.004^A1070</f>
        <v>1321757466.91236</v>
      </c>
      <c r="E1070" s="6" t="n">
        <f aca="false">$I$2*(A1070+1)^1.9*1.003^A1070</f>
        <v>6024.41969849798</v>
      </c>
      <c r="F1070" s="6" t="n">
        <f aca="false">(A1070+1)^1.12</f>
        <v>2468.62447144745</v>
      </c>
      <c r="G1070" s="6" t="n">
        <f aca="false">G1069+E1070</f>
        <v>1156580.74545429</v>
      </c>
    </row>
    <row r="1071" customFormat="false" ht="15" hidden="false" customHeight="true" outlineLevel="0" collapsed="false">
      <c r="A1071" s="6" t="n">
        <v>1069</v>
      </c>
      <c r="B1071" s="6" t="n">
        <f aca="false">MIN(42, FLOOR(A1071/32,1)+1)</f>
        <v>34</v>
      </c>
      <c r="C1071" s="6" t="str">
        <f aca="false">INDEX(Grades_Realms!$B$2:$B$43, B1071)</f>
        <v>Eternal · Initial</v>
      </c>
      <c r="D1071" s="6" t="n">
        <f aca="false">(A1071+1)^2.4 * 1.004^A1071</f>
        <v>1330025780.77003</v>
      </c>
      <c r="E1071" s="6" t="n">
        <f aca="false">$I$2*(A1071+1)^1.9*1.003^A1071</f>
        <v>6053.23717586536</v>
      </c>
      <c r="F1071" s="6" t="n">
        <f aca="false">(A1071+1)^1.12</f>
        <v>2471.21101452447</v>
      </c>
      <c r="G1071" s="6" t="n">
        <f aca="false">G1070+E1071</f>
        <v>1162633.98263016</v>
      </c>
    </row>
    <row r="1072" customFormat="false" ht="15" hidden="false" customHeight="true" outlineLevel="0" collapsed="false">
      <c r="A1072" s="6" t="n">
        <v>1070</v>
      </c>
      <c r="B1072" s="6" t="n">
        <f aca="false">MIN(42, FLOOR(A1072/32,1)+1)</f>
        <v>34</v>
      </c>
      <c r="C1072" s="6" t="str">
        <f aca="false">INDEX(Grades_Realms!$B$2:$B$43, B1072)</f>
        <v>Eternal · Initial</v>
      </c>
      <c r="D1072" s="6" t="n">
        <f aca="false">(A1072+1)^2.4 * 1.004^A1072</f>
        <v>1338343011.93087</v>
      </c>
      <c r="E1072" s="6" t="n">
        <f aca="false">$I$2*(A1072+1)^1.9*1.003^A1072</f>
        <v>6082.18240643805</v>
      </c>
      <c r="F1072" s="6" t="n">
        <f aca="false">(A1072+1)^1.12</f>
        <v>2473.79784769739</v>
      </c>
      <c r="G1072" s="6" t="n">
        <f aca="false">G1071+E1072</f>
        <v>1168716.16503659</v>
      </c>
    </row>
    <row r="1073" customFormat="false" ht="15" hidden="false" customHeight="true" outlineLevel="0" collapsed="false">
      <c r="A1073" s="6" t="n">
        <v>1071</v>
      </c>
      <c r="B1073" s="6" t="n">
        <f aca="false">MIN(42, FLOOR(A1073/32,1)+1)</f>
        <v>34</v>
      </c>
      <c r="C1073" s="6" t="str">
        <f aca="false">INDEX(Grades_Realms!$B$2:$B$43, B1073)</f>
        <v>Eternal · Initial</v>
      </c>
      <c r="D1073" s="6" t="n">
        <f aca="false">(A1073+1)^2.4 * 1.004^A1073</f>
        <v>1346709436.58639</v>
      </c>
      <c r="E1073" s="6" t="n">
        <f aca="false">$I$2*(A1073+1)^1.9*1.003^A1073</f>
        <v>6111.25592373277</v>
      </c>
      <c r="F1073" s="6" t="n">
        <f aca="false">(A1073+1)^1.12</f>
        <v>2476.38497072785</v>
      </c>
      <c r="G1073" s="6" t="n">
        <f aca="false">G1072+E1073</f>
        <v>1174827.42096033</v>
      </c>
    </row>
    <row r="1074" customFormat="false" ht="15" hidden="false" customHeight="true" outlineLevel="0" collapsed="false">
      <c r="A1074" s="6" t="n">
        <v>1072</v>
      </c>
      <c r="B1074" s="6" t="n">
        <f aca="false">MIN(42, FLOOR(A1074/32,1)+1)</f>
        <v>34</v>
      </c>
      <c r="C1074" s="6" t="str">
        <f aca="false">INDEX(Grades_Realms!$B$2:$B$43, B1074)</f>
        <v>Eternal · Initial</v>
      </c>
      <c r="D1074" s="6" t="n">
        <f aca="false">(A1074+1)^2.4 * 1.004^A1074</f>
        <v>1355125332.4286</v>
      </c>
      <c r="E1074" s="6" t="n">
        <f aca="false">$I$2*(A1074+1)^1.9*1.003^A1074</f>
        <v>6140.45826339491</v>
      </c>
      <c r="F1074" s="6" t="n">
        <f aca="false">(A1074+1)^1.12</f>
        <v>2478.97238337788</v>
      </c>
      <c r="G1074" s="6" t="n">
        <f aca="false">G1073+E1074</f>
        <v>1180967.87922372</v>
      </c>
    </row>
    <row r="1075" customFormat="false" ht="15" hidden="false" customHeight="true" outlineLevel="0" collapsed="false">
      <c r="A1075" s="6" t="n">
        <v>1073</v>
      </c>
      <c r="B1075" s="6" t="n">
        <f aca="false">MIN(42, FLOOR(A1075/32,1)+1)</f>
        <v>34</v>
      </c>
      <c r="C1075" s="6" t="str">
        <f aca="false">INDEX(Grades_Realms!$B$2:$B$43, B1075)</f>
        <v>Eternal · Initial</v>
      </c>
      <c r="D1075" s="6" t="n">
        <f aca="false">(A1075+1)^2.4 * 1.004^A1075</f>
        <v>1363590978.65789</v>
      </c>
      <c r="E1075" s="6" t="n">
        <f aca="false">$I$2*(A1075+1)^1.9*1.003^A1075</f>
        <v>6169.7899632068</v>
      </c>
      <c r="F1075" s="6" t="n">
        <f aca="false">(A1075+1)^1.12</f>
        <v>2481.56008540994</v>
      </c>
      <c r="G1075" s="6" t="n">
        <f aca="false">G1074+E1075</f>
        <v>1187137.66918693</v>
      </c>
    </row>
    <row r="1076" customFormat="false" ht="15" hidden="false" customHeight="true" outlineLevel="0" collapsed="false">
      <c r="A1076" s="6" t="n">
        <v>1074</v>
      </c>
      <c r="B1076" s="6" t="n">
        <f aca="false">MIN(42, FLOOR(A1076/32,1)+1)</f>
        <v>34</v>
      </c>
      <c r="C1076" s="6" t="str">
        <f aca="false">INDEX(Grades_Realms!$B$2:$B$43, B1076)</f>
        <v>Eternal · Initial</v>
      </c>
      <c r="D1076" s="6" t="n">
        <f aca="false">(A1076+1)^2.4 * 1.004^A1076</f>
        <v>1372106655.99099</v>
      </c>
      <c r="E1076" s="6" t="n">
        <f aca="false">$I$2*(A1076+1)^1.9*1.003^A1076</f>
        <v>6199.25156309589</v>
      </c>
      <c r="F1076" s="6" t="n">
        <f aca="false">(A1076+1)^1.12</f>
        <v>2484.14807658691</v>
      </c>
      <c r="G1076" s="6" t="n">
        <f aca="false">G1075+E1076</f>
        <v>1193336.92075002</v>
      </c>
    </row>
    <row r="1077" customFormat="false" ht="15" hidden="false" customHeight="true" outlineLevel="0" collapsed="false">
      <c r="A1077" s="6" t="n">
        <v>1075</v>
      </c>
      <c r="B1077" s="6" t="n">
        <f aca="false">MIN(42, FLOOR(A1077/32,1)+1)</f>
        <v>34</v>
      </c>
      <c r="C1077" s="6" t="str">
        <f aca="false">INDEX(Grades_Realms!$B$2:$B$43, B1077)</f>
        <v>Eternal · Initial</v>
      </c>
      <c r="D1077" s="6" t="n">
        <f aca="false">(A1077+1)^2.4 * 1.004^A1077</f>
        <v>1380672646.66895</v>
      </c>
      <c r="E1077" s="6" t="n">
        <f aca="false">$I$2*(A1077+1)^1.9*1.003^A1077</f>
        <v>6228.84360514305</v>
      </c>
      <c r="F1077" s="6" t="n">
        <f aca="false">(A1077+1)^1.12</f>
        <v>2486.73635667208</v>
      </c>
      <c r="G1077" s="6" t="n">
        <f aca="false">G1076+E1077</f>
        <v>1199565.76435517</v>
      </c>
    </row>
    <row r="1078" customFormat="false" ht="15" hidden="false" customHeight="true" outlineLevel="0" collapsed="false">
      <c r="A1078" s="6" t="n">
        <v>1076</v>
      </c>
      <c r="B1078" s="6" t="n">
        <f aca="false">MIN(42, FLOOR(A1078/32,1)+1)</f>
        <v>34</v>
      </c>
      <c r="C1078" s="6" t="str">
        <f aca="false">INDEX(Grades_Realms!$B$2:$B$43, B1078)</f>
        <v>Eternal · Initial</v>
      </c>
      <c r="D1078" s="6" t="n">
        <f aca="false">(A1078+1)^2.4 * 1.004^A1078</f>
        <v>1389289234.46513</v>
      </c>
      <c r="E1078" s="6" t="n">
        <f aca="false">$I$2*(A1078+1)^1.9*1.003^A1078</f>
        <v>6258.56663359082</v>
      </c>
      <c r="F1078" s="6" t="n">
        <f aca="false">(A1078+1)^1.12</f>
        <v>2489.32492542917</v>
      </c>
      <c r="G1078" s="6" t="n">
        <f aca="false">G1077+E1078</f>
        <v>1205824.33098876</v>
      </c>
    </row>
    <row r="1079" customFormat="false" ht="15" hidden="false" customHeight="true" outlineLevel="0" collapsed="false">
      <c r="A1079" s="6" t="n">
        <v>1077</v>
      </c>
      <c r="B1079" s="6" t="n">
        <f aca="false">MIN(42, FLOOR(A1079/32,1)+1)</f>
        <v>34</v>
      </c>
      <c r="C1079" s="6" t="str">
        <f aca="false">INDEX(Grades_Realms!$B$2:$B$43, B1079)</f>
        <v>Eternal · Initial</v>
      </c>
      <c r="D1079" s="6" t="n">
        <f aca="false">(A1079+1)^2.4 * 1.004^A1079</f>
        <v>1397956704.69329</v>
      </c>
      <c r="E1079" s="6" t="n">
        <f aca="false">$I$2*(A1079+1)^1.9*1.003^A1079</f>
        <v>6288.42119485177</v>
      </c>
      <c r="F1079" s="6" t="n">
        <f aca="false">(A1079+1)^1.12</f>
        <v>2491.91378262227</v>
      </c>
      <c r="G1079" s="6" t="n">
        <f aca="false">G1078+E1079</f>
        <v>1212112.75218361</v>
      </c>
    </row>
    <row r="1080" customFormat="false" ht="15" hidden="false" customHeight="true" outlineLevel="0" collapsed="false">
      <c r="A1080" s="6" t="n">
        <v>1078</v>
      </c>
      <c r="B1080" s="6" t="n">
        <f aca="false">MIN(42, FLOOR(A1080/32,1)+1)</f>
        <v>34</v>
      </c>
      <c r="C1080" s="6" t="str">
        <f aca="false">INDEX(Grades_Realms!$B$2:$B$43, B1080)</f>
        <v>Eternal · Initial</v>
      </c>
      <c r="D1080" s="6" t="n">
        <f aca="false">(A1080+1)^2.4 * 1.004^A1080</f>
        <v>1406675344.21568</v>
      </c>
      <c r="E1080" s="6" t="n">
        <f aca="false">$I$2*(A1080+1)^1.9*1.003^A1080</f>
        <v>6318.40783751682</v>
      </c>
      <c r="F1080" s="6" t="n">
        <f aca="false">(A1080+1)^1.12</f>
        <v>2494.50292801593</v>
      </c>
      <c r="G1080" s="6" t="n">
        <f aca="false">G1079+E1080</f>
        <v>1218431.16002113</v>
      </c>
    </row>
    <row r="1081" customFormat="false" ht="15" hidden="false" customHeight="true" outlineLevel="0" collapsed="false">
      <c r="A1081" s="6" t="n">
        <v>1079</v>
      </c>
      <c r="B1081" s="6" t="n">
        <f aca="false">MIN(42, FLOOR(A1081/32,1)+1)</f>
        <v>34</v>
      </c>
      <c r="C1081" s="6" t="str">
        <f aca="false">INDEX(Grades_Realms!$B$2:$B$43, B1081)</f>
        <v>Eternal · Initial</v>
      </c>
      <c r="D1081" s="6" t="n">
        <f aca="false">(A1081+1)^2.4 * 1.004^A1081</f>
        <v>1415445441.45118</v>
      </c>
      <c r="E1081" s="6" t="n">
        <f aca="false">$I$2*(A1081+1)^1.9*1.003^A1081</f>
        <v>6348.52711236366</v>
      </c>
      <c r="F1081" s="6" t="n">
        <f aca="false">(A1081+1)^1.12</f>
        <v>2497.09236137509</v>
      </c>
      <c r="G1081" s="6" t="n">
        <f aca="false">G1080+E1081</f>
        <v>1224779.68713349</v>
      </c>
    </row>
    <row r="1082" customFormat="false" ht="15" hidden="false" customHeight="true" outlineLevel="0" collapsed="false">
      <c r="A1082" s="6" t="n">
        <v>1080</v>
      </c>
      <c r="B1082" s="6" t="n">
        <f aca="false">MIN(42, FLOOR(A1082/32,1)+1)</f>
        <v>34</v>
      </c>
      <c r="C1082" s="6" t="str">
        <f aca="false">INDEX(Grades_Realms!$B$2:$B$43, B1082)</f>
        <v>Eternal · Initial</v>
      </c>
      <c r="D1082" s="6" t="n">
        <f aca="false">(A1082+1)^2.4 * 1.004^A1082</f>
        <v>1424267286.3835</v>
      </c>
      <c r="E1082" s="6" t="n">
        <f aca="false">$I$2*(A1082+1)^1.9*1.003^A1082</f>
        <v>6378.77957236514</v>
      </c>
      <c r="F1082" s="6" t="n">
        <f aca="false">(A1082+1)^1.12</f>
        <v>2499.68208246508</v>
      </c>
      <c r="G1082" s="6" t="n">
        <f aca="false">G1081+E1082</f>
        <v>1231158.46670586</v>
      </c>
    </row>
    <row r="1083" customFormat="false" ht="15" hidden="false" customHeight="true" outlineLevel="0" collapsed="false">
      <c r="A1083" s="6" t="n">
        <v>1081</v>
      </c>
      <c r="B1083" s="6" t="n">
        <f aca="false">MIN(42, FLOOR(A1083/32,1)+1)</f>
        <v>34</v>
      </c>
      <c r="C1083" s="6" t="str">
        <f aca="false">INDEX(Grades_Realms!$B$2:$B$43, B1083)</f>
        <v>Eternal · Initial</v>
      </c>
      <c r="D1083" s="6" t="n">
        <f aca="false">(A1083+1)^2.4 * 1.004^A1083</f>
        <v>1433141170.56939</v>
      </c>
      <c r="E1083" s="6" t="n">
        <f aca="false">$I$2*(A1083+1)^1.9*1.003^A1083</f>
        <v>6409.16577269771</v>
      </c>
      <c r="F1083" s="6" t="n">
        <f aca="false">(A1083+1)^1.12</f>
        <v>2502.27209105167</v>
      </c>
      <c r="G1083" s="6" t="n">
        <f aca="false">G1082+E1083</f>
        <v>1237567.63247855</v>
      </c>
    </row>
    <row r="1084" customFormat="false" ht="15" hidden="false" customHeight="true" outlineLevel="0" collapsed="false">
      <c r="A1084" s="6" t="n">
        <v>1082</v>
      </c>
      <c r="B1084" s="6" t="n">
        <f aca="false">MIN(42, FLOOR(A1084/32,1)+1)</f>
        <v>34</v>
      </c>
      <c r="C1084" s="6" t="str">
        <f aca="false">INDEX(Grades_Realms!$B$2:$B$43, B1084)</f>
        <v>Eternal · Initial</v>
      </c>
      <c r="D1084" s="6" t="n">
        <f aca="false">(A1084+1)^2.4 * 1.004^A1084</f>
        <v>1442067387.14692</v>
      </c>
      <c r="E1084" s="6" t="n">
        <f aca="false">$I$2*(A1084+1)^1.9*1.003^A1084</f>
        <v>6439.68627074993</v>
      </c>
      <c r="F1084" s="6" t="n">
        <f aca="false">(A1084+1)^1.12</f>
        <v>2504.86238690103</v>
      </c>
      <c r="G1084" s="6" t="n">
        <f aca="false">G1083+E1084</f>
        <v>1244007.3187493</v>
      </c>
    </row>
    <row r="1085" customFormat="false" ht="15" hidden="false" customHeight="true" outlineLevel="0" collapsed="false">
      <c r="A1085" s="6" t="n">
        <v>1083</v>
      </c>
      <c r="B1085" s="6" t="n">
        <f aca="false">MIN(42, FLOOR(A1085/32,1)+1)</f>
        <v>34</v>
      </c>
      <c r="C1085" s="6" t="str">
        <f aca="false">INDEX(Grades_Realms!$B$2:$B$43, B1085)</f>
        <v>Eternal · Initial</v>
      </c>
      <c r="D1085" s="6" t="n">
        <f aca="false">(A1085+1)^2.4 * 1.004^A1085</f>
        <v>1451046230.84379</v>
      </c>
      <c r="E1085" s="6" t="n">
        <f aca="false">$I$2*(A1085+1)^1.9*1.003^A1085</f>
        <v>6470.34162613096</v>
      </c>
      <c r="F1085" s="6" t="n">
        <f aca="false">(A1085+1)^1.12</f>
        <v>2507.45296977971</v>
      </c>
      <c r="G1085" s="6" t="n">
        <f aca="false">G1084+E1085</f>
        <v>1250477.66037543</v>
      </c>
    </row>
    <row r="1086" customFormat="false" ht="15" hidden="false" customHeight="true" outlineLevel="0" collapsed="false">
      <c r="A1086" s="6" t="n">
        <v>1084</v>
      </c>
      <c r="B1086" s="6" t="n">
        <f aca="false">MIN(42, FLOOR(A1086/32,1)+1)</f>
        <v>34</v>
      </c>
      <c r="C1086" s="6" t="str">
        <f aca="false">INDEX(Grades_Realms!$B$2:$B$43, B1086)</f>
        <v>Eternal · Initial</v>
      </c>
      <c r="D1086" s="6" t="n">
        <f aca="false">(A1086+1)^2.4 * 1.004^A1086</f>
        <v>1460077997.98568</v>
      </c>
      <c r="E1086" s="6" t="n">
        <f aca="false">$I$2*(A1086+1)^1.9*1.003^A1086</f>
        <v>6501.13240067912</v>
      </c>
      <c r="F1086" s="6" t="n">
        <f aca="false">(A1086+1)^1.12</f>
        <v>2510.0438394547</v>
      </c>
      <c r="G1086" s="6" t="n">
        <f aca="false">G1085+E1086</f>
        <v>1256978.79277611</v>
      </c>
    </row>
    <row r="1087" customFormat="false" ht="15" hidden="false" customHeight="true" outlineLevel="0" collapsed="false">
      <c r="A1087" s="6" t="n">
        <v>1085</v>
      </c>
      <c r="B1087" s="6" t="n">
        <f aca="false">MIN(42, FLOOR(A1087/32,1)+1)</f>
        <v>34</v>
      </c>
      <c r="C1087" s="6" t="str">
        <f aca="false">INDEX(Grades_Realms!$B$2:$B$43, B1087)</f>
        <v>Eternal · Initial</v>
      </c>
      <c r="D1087" s="6" t="n">
        <f aca="false">(A1087+1)^2.4 * 1.004^A1087</f>
        <v>1469162986.50466</v>
      </c>
      <c r="E1087" s="6" t="n">
        <f aca="false">$I$2*(A1087+1)^1.9*1.003^A1087</f>
        <v>6532.05915847042</v>
      </c>
      <c r="F1087" s="6" t="n">
        <f aca="false">(A1087+1)^1.12</f>
        <v>2512.63499569337</v>
      </c>
      <c r="G1087" s="6" t="n">
        <f aca="false">G1086+E1087</f>
        <v>1263510.85193458</v>
      </c>
    </row>
    <row r="1088" customFormat="false" ht="15" hidden="false" customHeight="true" outlineLevel="0" collapsed="false">
      <c r="A1088" s="6" t="n">
        <v>1086</v>
      </c>
      <c r="B1088" s="6" t="n">
        <f aca="false">MIN(42, FLOOR(A1088/32,1)+1)</f>
        <v>34</v>
      </c>
      <c r="C1088" s="6" t="str">
        <f aca="false">INDEX(Grades_Realms!$B$2:$B$43, B1088)</f>
        <v>Eternal · Initial</v>
      </c>
      <c r="D1088" s="6" t="n">
        <f aca="false">(A1088+1)^2.4 * 1.004^A1088</f>
        <v>1478301495.94761</v>
      </c>
      <c r="E1088" s="6" t="n">
        <f aca="false">$I$2*(A1088+1)^1.9*1.003^A1088</f>
        <v>6563.12246582724</v>
      </c>
      <c r="F1088" s="6" t="n">
        <f aca="false">(A1088+1)^1.12</f>
        <v>2515.2264382635</v>
      </c>
      <c r="G1088" s="6" t="n">
        <f aca="false">G1087+E1088</f>
        <v>1270073.97440041</v>
      </c>
    </row>
    <row r="1089" customFormat="false" ht="15" hidden="false" customHeight="true" outlineLevel="0" collapsed="false">
      <c r="A1089" s="6" t="n">
        <v>1087</v>
      </c>
      <c r="B1089" s="6" t="n">
        <f aca="false">MIN(42, FLOOR(A1089/32,1)+1)</f>
        <v>34</v>
      </c>
      <c r="C1089" s="6" t="str">
        <f aca="false">INDEX(Grades_Realms!$B$2:$B$43, B1089)</f>
        <v>Eternal · Initial</v>
      </c>
      <c r="D1089" s="6" t="n">
        <f aca="false">(A1089+1)^2.4 * 1.004^A1089</f>
        <v>1487493827.48472</v>
      </c>
      <c r="E1089" s="6" t="n">
        <f aca="false">$I$2*(A1089+1)^1.9*1.003^A1089</f>
        <v>6594.32289132689</v>
      </c>
      <c r="F1089" s="6" t="n">
        <f aca="false">(A1089+1)^1.12</f>
        <v>2517.81816693328</v>
      </c>
      <c r="G1089" s="6" t="n">
        <f aca="false">G1088+E1089</f>
        <v>1276668.29729174</v>
      </c>
    </row>
    <row r="1090" customFormat="false" ht="15" hidden="false" customHeight="true" outlineLevel="0" collapsed="false">
      <c r="A1090" s="6" t="n">
        <v>1088</v>
      </c>
      <c r="B1090" s="6" t="n">
        <f aca="false">MIN(42, FLOOR(A1090/32,1)+1)</f>
        <v>35</v>
      </c>
      <c r="C1090" s="6" t="str">
        <f aca="false">INDEX(Grades_Realms!$B$2:$B$43, B1090)</f>
        <v>Eternal · Advanced</v>
      </c>
      <c r="D1090" s="6" t="n">
        <f aca="false">(A1090+1)^2.4 * 1.004^A1090</f>
        <v>1496740283.91801</v>
      </c>
      <c r="E1090" s="6" t="n">
        <f aca="false">$I$2*(A1090+1)^1.9*1.003^A1090</f>
        <v>6625.66100581035</v>
      </c>
      <c r="F1090" s="6" t="n">
        <f aca="false">(A1090+1)^1.12</f>
        <v>2520.41018147129</v>
      </c>
      <c r="G1090" s="6" t="n">
        <f aca="false">G1089+E1090</f>
        <v>1283293.95829755</v>
      </c>
    </row>
    <row r="1091" customFormat="false" ht="15" hidden="false" customHeight="true" outlineLevel="0" collapsed="false">
      <c r="A1091" s="6" t="n">
        <v>1089</v>
      </c>
      <c r="B1091" s="6" t="n">
        <f aca="false">MIN(42, FLOOR(A1091/32,1)+1)</f>
        <v>35</v>
      </c>
      <c r="C1091" s="6" t="str">
        <f aca="false">INDEX(Grades_Realms!$B$2:$B$43, B1091)</f>
        <v>Eternal · Advanced</v>
      </c>
      <c r="D1091" s="6" t="n">
        <f aca="false">(A1091+1)^2.4 * 1.004^A1091</f>
        <v>1506041169.68989</v>
      </c>
      <c r="E1091" s="6" t="n">
        <f aca="false">$I$2*(A1091+1)^1.9*1.003^A1091</f>
        <v>6657.13738239092</v>
      </c>
      <c r="F1091" s="6" t="n">
        <f aca="false">(A1091+1)^1.12</f>
        <v>2523.00248164651</v>
      </c>
      <c r="G1091" s="6" t="n">
        <f aca="false">G1090+E1091</f>
        <v>1289951.09567994</v>
      </c>
    </row>
    <row r="1092" customFormat="false" ht="15" hidden="false" customHeight="true" outlineLevel="0" collapsed="false">
      <c r="A1092" s="6" t="n">
        <v>1090</v>
      </c>
      <c r="B1092" s="6" t="n">
        <f aca="false">MIN(42, FLOOR(A1092/32,1)+1)</f>
        <v>35</v>
      </c>
      <c r="C1092" s="6" t="str">
        <f aca="false">INDEX(Grades_Realms!$B$2:$B$43, B1092)</f>
        <v>Eternal · Advanced</v>
      </c>
      <c r="D1092" s="6" t="n">
        <f aca="false">(A1092+1)^2.4 * 1.004^A1092</f>
        <v>1515396790.89181</v>
      </c>
      <c r="E1092" s="6" t="n">
        <f aca="false">$I$2*(A1092+1)^1.9*1.003^A1092</f>
        <v>6688.75259646298</v>
      </c>
      <c r="F1092" s="6" t="n">
        <f aca="false">(A1092+1)^1.12</f>
        <v>2525.59506722833</v>
      </c>
      <c r="G1092" s="6" t="n">
        <f aca="false">G1091+E1092</f>
        <v>1296639.8482764</v>
      </c>
    </row>
    <row r="1093" customFormat="false" ht="15" hidden="false" customHeight="true" outlineLevel="0" collapsed="false">
      <c r="A1093" s="6" t="n">
        <v>1091</v>
      </c>
      <c r="B1093" s="6" t="n">
        <f aca="false">MIN(42, FLOOR(A1093/32,1)+1)</f>
        <v>35</v>
      </c>
      <c r="C1093" s="6" t="str">
        <f aca="false">INDEX(Grades_Realms!$B$2:$B$43, B1093)</f>
        <v>Eternal · Advanced</v>
      </c>
      <c r="D1093" s="6" t="n">
        <f aca="false">(A1093+1)^2.4 * 1.004^A1093</f>
        <v>1524807455.27287</v>
      </c>
      <c r="E1093" s="6" t="n">
        <f aca="false">$I$2*(A1093+1)^1.9*1.003^A1093</f>
        <v>6720.50722571079</v>
      </c>
      <c r="F1093" s="6" t="n">
        <f aca="false">(A1093+1)^1.12</f>
        <v>2528.18793798651</v>
      </c>
      <c r="G1093" s="6" t="n">
        <f aca="false">G1092+E1093</f>
        <v>1303360.35550211</v>
      </c>
    </row>
    <row r="1094" customFormat="false" ht="15" hidden="false" customHeight="true" outlineLevel="0" collapsed="false">
      <c r="A1094" s="6" t="n">
        <v>1092</v>
      </c>
      <c r="B1094" s="6" t="n">
        <f aca="false">MIN(42, FLOOR(A1094/32,1)+1)</f>
        <v>35</v>
      </c>
      <c r="C1094" s="6" t="str">
        <f aca="false">INDEX(Grades_Realms!$B$2:$B$43, B1094)</f>
        <v>Eternal · Advanced</v>
      </c>
      <c r="D1094" s="6" t="n">
        <f aca="false">(A1094+1)^2.4 * 1.004^A1094</f>
        <v>1534273472.24855</v>
      </c>
      <c r="E1094" s="6" t="n">
        <f aca="false">$I$2*(A1094+1)^1.9*1.003^A1094</f>
        <v>6752.40185011721</v>
      </c>
      <c r="F1094" s="6" t="n">
        <f aca="false">(A1094+1)^1.12</f>
        <v>2530.78109369124</v>
      </c>
      <c r="G1094" s="6" t="n">
        <f aca="false">G1093+E1094</f>
        <v>1310112.75735223</v>
      </c>
    </row>
    <row r="1095" customFormat="false" ht="15" hidden="false" customHeight="true" outlineLevel="0" collapsed="false">
      <c r="A1095" s="6" t="n">
        <v>1093</v>
      </c>
      <c r="B1095" s="6" t="n">
        <f aca="false">MIN(42, FLOOR(A1095/32,1)+1)</f>
        <v>35</v>
      </c>
      <c r="C1095" s="6" t="str">
        <f aca="false">INDEX(Grades_Realms!$B$2:$B$43, B1095)</f>
        <v>Eternal · Advanced</v>
      </c>
      <c r="D1095" s="6" t="n">
        <f aca="false">(A1095+1)^2.4 * 1.004^A1095</f>
        <v>1543795152.90947</v>
      </c>
      <c r="E1095" s="6" t="n">
        <f aca="false">$I$2*(A1095+1)^1.9*1.003^A1095</f>
        <v>6784.43705197262</v>
      </c>
      <c r="F1095" s="6" t="n">
        <f aca="false">(A1095+1)^1.12</f>
        <v>2533.37453411309</v>
      </c>
      <c r="G1095" s="6" t="n">
        <f aca="false">G1094+E1095</f>
        <v>1316897.1944042</v>
      </c>
    </row>
    <row r="1096" customFormat="false" ht="15" hidden="false" customHeight="true" outlineLevel="0" collapsed="false">
      <c r="A1096" s="6" t="n">
        <v>1094</v>
      </c>
      <c r="B1096" s="6" t="n">
        <f aca="false">MIN(42, FLOOR(A1096/32,1)+1)</f>
        <v>35</v>
      </c>
      <c r="C1096" s="6" t="str">
        <f aca="false">INDEX(Grades_Realms!$B$2:$B$43, B1096)</f>
        <v>Eternal · Advanced</v>
      </c>
      <c r="D1096" s="6" t="n">
        <f aca="false">(A1096+1)^2.4 * 1.004^A1096</f>
        <v>1553372810.03015</v>
      </c>
      <c r="E1096" s="6" t="n">
        <f aca="false">$I$2*(A1096+1)^1.9*1.003^A1096</f>
        <v>6816.61341588374</v>
      </c>
      <c r="F1096" s="6" t="n">
        <f aca="false">(A1096+1)^1.12</f>
        <v>2535.96825902302</v>
      </c>
      <c r="G1096" s="6" t="n">
        <f aca="false">G1095+E1096</f>
        <v>1323713.80782009</v>
      </c>
    </row>
    <row r="1097" customFormat="false" ht="15" hidden="false" customHeight="true" outlineLevel="0" collapsed="false">
      <c r="A1097" s="6" t="n">
        <v>1095</v>
      </c>
      <c r="B1097" s="6" t="n">
        <f aca="false">MIN(42, FLOOR(A1097/32,1)+1)</f>
        <v>35</v>
      </c>
      <c r="C1097" s="6" t="str">
        <f aca="false">INDEX(Grades_Realms!$B$2:$B$43, B1097)</f>
        <v>Eternal · Advanced</v>
      </c>
      <c r="D1097" s="6" t="n">
        <f aca="false">(A1097+1)^2.4 * 1.004^A1097</f>
        <v>1563006758.07786</v>
      </c>
      <c r="E1097" s="6" t="n">
        <f aca="false">$I$2*(A1097+1)^1.9*1.003^A1097</f>
        <v>6848.93152878255</v>
      </c>
      <c r="F1097" s="6" t="n">
        <f aca="false">(A1097+1)^1.12</f>
        <v>2538.56226819239</v>
      </c>
      <c r="G1097" s="6" t="n">
        <f aca="false">G1096+E1097</f>
        <v>1330562.73934887</v>
      </c>
    </row>
    <row r="1098" customFormat="false" ht="15" hidden="false" customHeight="true" outlineLevel="0" collapsed="false">
      <c r="A1098" s="6" t="n">
        <v>1096</v>
      </c>
      <c r="B1098" s="6" t="n">
        <f aca="false">MIN(42, FLOOR(A1098/32,1)+1)</f>
        <v>35</v>
      </c>
      <c r="C1098" s="6" t="str">
        <f aca="false">INDEX(Grades_Realms!$B$2:$B$43, B1098)</f>
        <v>Eternal · Advanced</v>
      </c>
      <c r="D1098" s="6" t="n">
        <f aca="false">(A1098+1)^2.4 * 1.004^A1098</f>
        <v>1572697313.22151</v>
      </c>
      <c r="E1098" s="6" t="n">
        <f aca="false">$I$2*(A1098+1)^1.9*1.003^A1098</f>
        <v>6881.39197993522</v>
      </c>
      <c r="F1098" s="6" t="n">
        <f aca="false">(A1098+1)^1.12</f>
        <v>2541.15656139294</v>
      </c>
      <c r="G1098" s="6" t="n">
        <f aca="false">G1097+E1098</f>
        <v>1337444.1313288</v>
      </c>
    </row>
    <row r="1099" customFormat="false" ht="15" hidden="false" customHeight="true" outlineLevel="0" collapsed="false">
      <c r="A1099" s="6" t="n">
        <v>1097</v>
      </c>
      <c r="B1099" s="6" t="n">
        <f aca="false">MIN(42, FLOOR(A1099/32,1)+1)</f>
        <v>35</v>
      </c>
      <c r="C1099" s="6" t="str">
        <f aca="false">INDEX(Grades_Realms!$B$2:$B$43, B1099)</f>
        <v>Eternal · Advanced</v>
      </c>
      <c r="D1099" s="6" t="n">
        <f aca="false">(A1099+1)^2.4 * 1.004^A1099</f>
        <v>1582444793.34058</v>
      </c>
      <c r="E1099" s="6" t="n">
        <f aca="false">$I$2*(A1099+1)^1.9*1.003^A1099</f>
        <v>6913.99536095105</v>
      </c>
      <c r="F1099" s="6" t="n">
        <f aca="false">(A1099+1)^1.12</f>
        <v>2543.75113839683</v>
      </c>
      <c r="G1099" s="6" t="n">
        <f aca="false">G1098+E1099</f>
        <v>1344358.12668976</v>
      </c>
    </row>
    <row r="1100" customFormat="false" ht="15" hidden="false" customHeight="true" outlineLevel="0" collapsed="false">
      <c r="A1100" s="6" t="n">
        <v>1098</v>
      </c>
      <c r="B1100" s="6" t="n">
        <f aca="false">MIN(42, FLOOR(A1100/32,1)+1)</f>
        <v>35</v>
      </c>
      <c r="C1100" s="6" t="str">
        <f aca="false">INDEX(Grades_Realms!$B$2:$B$43, B1100)</f>
        <v>Eternal · Advanced</v>
      </c>
      <c r="D1100" s="6" t="n">
        <f aca="false">(A1100+1)^2.4 * 1.004^A1100</f>
        <v>1592249518.03407</v>
      </c>
      <c r="E1100" s="6" t="n">
        <f aca="false">$I$2*(A1100+1)^1.9*1.003^A1100</f>
        <v>6946.74226579152</v>
      </c>
      <c r="F1100" s="6" t="n">
        <f aca="false">(A1100+1)^1.12</f>
        <v>2546.34599897657</v>
      </c>
      <c r="G1100" s="6" t="n">
        <f aca="false">G1099+E1100</f>
        <v>1351304.86895555</v>
      </c>
    </row>
    <row r="1101" customFormat="false" ht="15" hidden="false" customHeight="true" outlineLevel="0" collapsed="false">
      <c r="A1101" s="6" t="n">
        <v>1099</v>
      </c>
      <c r="B1101" s="6" t="n">
        <f aca="false">MIN(42, FLOOR(A1101/32,1)+1)</f>
        <v>35</v>
      </c>
      <c r="C1101" s="6" t="str">
        <f aca="false">INDEX(Grades_Realms!$B$2:$B$43, B1101)</f>
        <v>Eternal · Advanced</v>
      </c>
      <c r="D1101" s="6" t="n">
        <f aca="false">(A1101+1)^2.4 * 1.004^A1101</f>
        <v>1602111808.62954</v>
      </c>
      <c r="E1101" s="6" t="n">
        <f aca="false">$I$2*(A1101+1)^1.9*1.003^A1101</f>
        <v>6979.63329077929</v>
      </c>
      <c r="F1101" s="6" t="n">
        <f aca="false">(A1101+1)^1.12</f>
        <v>2548.9411429051</v>
      </c>
      <c r="G1101" s="6" t="n">
        <f aca="false">G1100+E1101</f>
        <v>1358284.50224633</v>
      </c>
    </row>
    <row r="1102" customFormat="false" ht="15" hidden="false" customHeight="true" outlineLevel="0" collapsed="false">
      <c r="A1102" s="6" t="n">
        <v>1100</v>
      </c>
      <c r="B1102" s="6" t="n">
        <f aca="false">MIN(42, FLOOR(A1102/32,1)+1)</f>
        <v>35</v>
      </c>
      <c r="C1102" s="6" t="str">
        <f aca="false">INDEX(Grades_Realms!$B$2:$B$43, B1102)</f>
        <v>Eternal · Advanced</v>
      </c>
      <c r="D1102" s="6" t="n">
        <f aca="false">(A1102+1)^2.4 * 1.004^A1102</f>
        <v>1612031988.19217</v>
      </c>
      <c r="E1102" s="6" t="n">
        <f aca="false">$I$2*(A1102+1)^1.9*1.003^A1102</f>
        <v>7012.66903460729</v>
      </c>
      <c r="F1102" s="6" t="n">
        <f aca="false">(A1102+1)^1.12</f>
        <v>2551.53656995572</v>
      </c>
      <c r="G1102" s="6" t="n">
        <f aca="false">G1101+E1102</f>
        <v>1365297.17128093</v>
      </c>
    </row>
    <row r="1103" customFormat="false" ht="15" hidden="false" customHeight="true" outlineLevel="0" collapsed="false">
      <c r="A1103" s="6" t="n">
        <v>1101</v>
      </c>
      <c r="B1103" s="6" t="n">
        <f aca="false">MIN(42, FLOOR(A1103/32,1)+1)</f>
        <v>35</v>
      </c>
      <c r="C1103" s="6" t="str">
        <f aca="false">INDEX(Grades_Realms!$B$2:$B$43, B1103)</f>
        <v>Eternal · Advanced</v>
      </c>
      <c r="D1103" s="6" t="n">
        <f aca="false">(A1103+1)^2.4 * 1.004^A1103</f>
        <v>1622010381.53388</v>
      </c>
      <c r="E1103" s="6" t="n">
        <f aca="false">$I$2*(A1103+1)^1.9*1.003^A1103</f>
        <v>7045.8500983478</v>
      </c>
      <c r="F1103" s="6" t="n">
        <f aca="false">(A1103+1)^1.12</f>
        <v>2554.13227990212</v>
      </c>
      <c r="G1103" s="6" t="n">
        <f aca="false">G1102+E1103</f>
        <v>1372343.02137928</v>
      </c>
    </row>
    <row r="1104" customFormat="false" ht="15" hidden="false" customHeight="true" outlineLevel="0" collapsed="false">
      <c r="A1104" s="6" t="n">
        <v>1102</v>
      </c>
      <c r="B1104" s="6" t="n">
        <f aca="false">MIN(42, FLOOR(A1104/32,1)+1)</f>
        <v>35</v>
      </c>
      <c r="C1104" s="6" t="str">
        <f aca="false">INDEX(Grades_Realms!$B$2:$B$43, B1104)</f>
        <v>Eternal · Advanced</v>
      </c>
      <c r="D1104" s="6" t="n">
        <f aca="false">(A1104+1)^2.4 * 1.004^A1104</f>
        <v>1632047315.22245</v>
      </c>
      <c r="E1104" s="6" t="n">
        <f aca="false">$I$2*(A1104+1)^1.9*1.003^A1104</f>
        <v>7079.1770854616</v>
      </c>
      <c r="F1104" s="6" t="n">
        <f aca="false">(A1104+1)^1.12</f>
        <v>2556.72827251839</v>
      </c>
      <c r="G1104" s="6" t="n">
        <f aca="false">G1103+E1104</f>
        <v>1379422.19846474</v>
      </c>
    </row>
    <row r="1105" customFormat="false" ht="15" hidden="false" customHeight="true" outlineLevel="0" collapsed="false">
      <c r="A1105" s="6" t="n">
        <v>1103</v>
      </c>
      <c r="B1105" s="6" t="n">
        <f aca="false">MIN(42, FLOOR(A1105/32,1)+1)</f>
        <v>35</v>
      </c>
      <c r="C1105" s="6" t="str">
        <f aca="false">INDEX(Grades_Realms!$B$2:$B$43, B1105)</f>
        <v>Eternal · Advanced</v>
      </c>
      <c r="D1105" s="6" t="n">
        <f aca="false">(A1105+1)^2.4 * 1.004^A1105</f>
        <v>1642143117.59079</v>
      </c>
      <c r="E1105" s="6" t="n">
        <f aca="false">$I$2*(A1105+1)^1.9*1.003^A1105</f>
        <v>7112.65060180714</v>
      </c>
      <c r="F1105" s="6" t="n">
        <f aca="false">(A1105+1)^1.12</f>
        <v>2559.32454757899</v>
      </c>
      <c r="G1105" s="6" t="n">
        <f aca="false">G1104+E1105</f>
        <v>1386534.84906655</v>
      </c>
    </row>
    <row r="1106" customFormat="false" ht="15" hidden="false" customHeight="true" outlineLevel="0" collapsed="false">
      <c r="A1106" s="6" t="n">
        <v>1104</v>
      </c>
      <c r="B1106" s="6" t="n">
        <f aca="false">MIN(42, FLOOR(A1106/32,1)+1)</f>
        <v>35</v>
      </c>
      <c r="C1106" s="6" t="str">
        <f aca="false">INDEX(Grades_Realms!$B$2:$B$43, B1106)</f>
        <v>Eternal · Advanced</v>
      </c>
      <c r="D1106" s="6" t="n">
        <f aca="false">(A1106+1)^2.4 * 1.004^A1106</f>
        <v>1652298118.74612</v>
      </c>
      <c r="E1106" s="6" t="n">
        <f aca="false">$I$2*(A1106+1)^1.9*1.003^A1106</f>
        <v>7146.27125564974</v>
      </c>
      <c r="F1106" s="6" t="n">
        <f aca="false">(A1106+1)^1.12</f>
        <v>2561.92110485878</v>
      </c>
      <c r="G1106" s="6" t="n">
        <f aca="false">G1105+E1106</f>
        <v>1393681.1203222</v>
      </c>
    </row>
    <row r="1107" customFormat="false" ht="15" hidden="false" customHeight="true" outlineLevel="0" collapsed="false">
      <c r="A1107" s="6" t="n">
        <v>1105</v>
      </c>
      <c r="B1107" s="6" t="n">
        <f aca="false">MIN(42, FLOOR(A1107/32,1)+1)</f>
        <v>35</v>
      </c>
      <c r="C1107" s="6" t="str">
        <f aca="false">INDEX(Grades_Realms!$B$2:$B$43, B1107)</f>
        <v>Eternal · Advanced</v>
      </c>
      <c r="D1107" s="6" t="n">
        <f aca="false">(A1107+1)^2.4 * 1.004^A1107</f>
        <v>1662512650.57934</v>
      </c>
      <c r="E1107" s="6" t="n">
        <f aca="false">$I$2*(A1107+1)^1.9*1.003^A1107</f>
        <v>7180.03965767085</v>
      </c>
      <c r="F1107" s="6" t="n">
        <f aca="false">(A1107+1)^1.12</f>
        <v>2564.51794413299</v>
      </c>
      <c r="G1107" s="6" t="n">
        <f aca="false">G1106+E1107</f>
        <v>1400861.15997987</v>
      </c>
    </row>
    <row r="1108" customFormat="false" ht="15" hidden="false" customHeight="true" outlineLevel="0" collapsed="false">
      <c r="A1108" s="6" t="n">
        <v>1106</v>
      </c>
      <c r="B1108" s="6" t="n">
        <f aca="false">MIN(42, FLOOR(A1108/32,1)+1)</f>
        <v>35</v>
      </c>
      <c r="C1108" s="6" t="str">
        <f aca="false">INDEX(Grades_Realms!$B$2:$B$43, B1108)</f>
        <v>Eternal · Advanced</v>
      </c>
      <c r="D1108" s="6" t="n">
        <f aca="false">(A1108+1)^2.4 * 1.004^A1108</f>
        <v>1672787046.7743</v>
      </c>
      <c r="E1108" s="6" t="n">
        <f aca="false">$I$2*(A1108+1)^1.9*1.003^A1108</f>
        <v>7213.95642097727</v>
      </c>
      <c r="F1108" s="6" t="n">
        <f aca="false">(A1108+1)^1.12</f>
        <v>2567.11506517723</v>
      </c>
      <c r="G1108" s="6" t="n">
        <f aca="false">G1107+E1108</f>
        <v>1408075.11640085</v>
      </c>
    </row>
    <row r="1109" customFormat="false" ht="15" hidden="false" customHeight="true" outlineLevel="0" collapsed="false">
      <c r="A1109" s="6" t="n">
        <v>1107</v>
      </c>
      <c r="B1109" s="6" t="n">
        <f aca="false">MIN(42, FLOOR(A1109/32,1)+1)</f>
        <v>35</v>
      </c>
      <c r="C1109" s="6" t="str">
        <f aca="false">INDEX(Grades_Realms!$B$2:$B$43, B1109)</f>
        <v>Eternal · Advanced</v>
      </c>
      <c r="D1109" s="6" t="n">
        <f aca="false">(A1109+1)^2.4 * 1.004^A1109</f>
        <v>1683121642.81727</v>
      </c>
      <c r="E1109" s="6" t="n">
        <f aca="false">$I$2*(A1109+1)^1.9*1.003^A1109</f>
        <v>7248.02216111052</v>
      </c>
      <c r="F1109" s="6" t="n">
        <f aca="false">(A1109+1)^1.12</f>
        <v>2569.71246776751</v>
      </c>
      <c r="G1109" s="6" t="n">
        <f aca="false">G1108+E1109</f>
        <v>1415323.13856196</v>
      </c>
    </row>
    <row r="1110" customFormat="false" ht="15" hidden="false" customHeight="true" outlineLevel="0" collapsed="false">
      <c r="A1110" s="6" t="n">
        <v>1108</v>
      </c>
      <c r="B1110" s="6" t="n">
        <f aca="false">MIN(42, FLOOR(A1110/32,1)+1)</f>
        <v>35</v>
      </c>
      <c r="C1110" s="6" t="str">
        <f aca="false">INDEX(Grades_Realms!$B$2:$B$43, B1110)</f>
        <v>Eternal · Advanced</v>
      </c>
      <c r="D1110" s="6" t="n">
        <f aca="false">(A1110+1)^2.4 * 1.004^A1110</f>
        <v>1693516776.00634</v>
      </c>
      <c r="E1110" s="6" t="n">
        <f aca="false">$I$2*(A1110+1)^1.9*1.003^A1110</f>
        <v>7282.23749605616</v>
      </c>
      <c r="F1110" s="6" t="n">
        <f aca="false">(A1110+1)^1.12</f>
        <v>2572.31015168019</v>
      </c>
      <c r="G1110" s="6" t="n">
        <f aca="false">G1109+E1110</f>
        <v>1422605.37605801</v>
      </c>
    </row>
    <row r="1111" customFormat="false" ht="15" hidden="false" customHeight="true" outlineLevel="0" collapsed="false">
      <c r="A1111" s="6" t="n">
        <v>1109</v>
      </c>
      <c r="B1111" s="6" t="n">
        <f aca="false">MIN(42, FLOOR(A1111/32,1)+1)</f>
        <v>35</v>
      </c>
      <c r="C1111" s="6" t="str">
        <f aca="false">INDEX(Grades_Realms!$B$2:$B$43, B1111)</f>
        <v>Eternal · Advanced</v>
      </c>
      <c r="D1111" s="6" t="n">
        <f aca="false">(A1111+1)^2.4 * 1.004^A1111</f>
        <v>1703972785.4609</v>
      </c>
      <c r="E1111" s="6" t="n">
        <f aca="false">$I$2*(A1111+1)^1.9*1.003^A1111</f>
        <v>7316.60304625314</v>
      </c>
      <c r="F1111" s="6" t="n">
        <f aca="false">(A1111+1)^1.12</f>
        <v>2574.90811669204</v>
      </c>
      <c r="G1111" s="6" t="n">
        <f aca="false">G1110+E1111</f>
        <v>1429921.97910427</v>
      </c>
    </row>
    <row r="1112" customFormat="false" ht="15" hidden="false" customHeight="true" outlineLevel="0" collapsed="false">
      <c r="A1112" s="6" t="n">
        <v>1110</v>
      </c>
      <c r="B1112" s="6" t="n">
        <f aca="false">MIN(42, FLOOR(A1112/32,1)+1)</f>
        <v>35</v>
      </c>
      <c r="C1112" s="6" t="str">
        <f aca="false">INDEX(Grades_Realms!$B$2:$B$43, B1112)</f>
        <v>Eternal · Advanced</v>
      </c>
      <c r="D1112" s="6" t="n">
        <f aca="false">(A1112+1)^2.4 * 1.004^A1112</f>
        <v>1714490012.13123</v>
      </c>
      <c r="E1112" s="6" t="n">
        <f aca="false">$I$2*(A1112+1)^1.9*1.003^A1112</f>
        <v>7351.11943460328</v>
      </c>
      <c r="F1112" s="6" t="n">
        <f aca="false">(A1112+1)^1.12</f>
        <v>2577.50636258019</v>
      </c>
      <c r="G1112" s="6" t="n">
        <f aca="false">G1111+E1112</f>
        <v>1437273.09853887</v>
      </c>
    </row>
    <row r="1113" customFormat="false" ht="15" hidden="false" customHeight="true" outlineLevel="0" collapsed="false">
      <c r="A1113" s="6" t="n">
        <v>1111</v>
      </c>
      <c r="B1113" s="6" t="n">
        <f aca="false">MIN(42, FLOOR(A1113/32,1)+1)</f>
        <v>35</v>
      </c>
      <c r="C1113" s="6" t="str">
        <f aca="false">INDEX(Grades_Realms!$B$2:$B$43, B1113)</f>
        <v>Eternal · Advanced</v>
      </c>
      <c r="D1113" s="6" t="n">
        <f aca="false">(A1113+1)^2.4 * 1.004^A1113</f>
        <v>1725068798.80802</v>
      </c>
      <c r="E1113" s="6" t="n">
        <f aca="false">$I$2*(A1113+1)^1.9*1.003^A1113</f>
        <v>7385.78728648063</v>
      </c>
      <c r="F1113" s="6" t="n">
        <f aca="false">(A1113+1)^1.12</f>
        <v>2580.10488912215</v>
      </c>
      <c r="G1113" s="6" t="n">
        <f aca="false">G1112+E1113</f>
        <v>1444658.88582535</v>
      </c>
    </row>
    <row r="1114" customFormat="false" ht="15" hidden="false" customHeight="true" outlineLevel="0" collapsed="false">
      <c r="A1114" s="6" t="n">
        <v>1112</v>
      </c>
      <c r="B1114" s="6" t="n">
        <f aca="false">MIN(42, FLOOR(A1114/32,1)+1)</f>
        <v>35</v>
      </c>
      <c r="C1114" s="6" t="str">
        <f aca="false">INDEX(Grades_Realms!$B$2:$B$43, B1114)</f>
        <v>Eternal · Advanced</v>
      </c>
      <c r="D1114" s="6" t="n">
        <f aca="false">(A1114+1)^2.4 * 1.004^A1114</f>
        <v>1735709490.13206</v>
      </c>
      <c r="E1114" s="6" t="n">
        <f aca="false">$I$2*(A1114+1)^1.9*1.003^A1114</f>
        <v>7420.60722974104</v>
      </c>
      <c r="F1114" s="6" t="n">
        <f aca="false">(A1114+1)^1.12</f>
        <v>2582.70369609581</v>
      </c>
      <c r="G1114" s="6" t="n">
        <f aca="false">G1113+E1114</f>
        <v>1452079.49305509</v>
      </c>
    </row>
    <row r="1115" customFormat="false" ht="15" hidden="false" customHeight="true" outlineLevel="0" collapsed="false">
      <c r="A1115" s="6" t="n">
        <v>1113</v>
      </c>
      <c r="B1115" s="6" t="n">
        <f aca="false">MIN(42, FLOOR(A1115/32,1)+1)</f>
        <v>35</v>
      </c>
      <c r="C1115" s="6" t="str">
        <f aca="false">INDEX(Grades_Realms!$B$2:$B$43, B1115)</f>
        <v>Eternal · Advanced</v>
      </c>
      <c r="D1115" s="6" t="n">
        <f aca="false">(A1115+1)^2.4 * 1.004^A1115</f>
        <v>1746412432.60391</v>
      </c>
      <c r="E1115" s="6" t="n">
        <f aca="false">$I$2*(A1115+1)^1.9*1.003^A1115</f>
        <v>7455.5798947316</v>
      </c>
      <c r="F1115" s="6" t="n">
        <f aca="false">(A1115+1)^1.12</f>
        <v>2585.30278327944</v>
      </c>
      <c r="G1115" s="6" t="n">
        <f aca="false">G1114+E1115</f>
        <v>1459535.07294982</v>
      </c>
    </row>
    <row r="1116" customFormat="false" ht="15" hidden="false" customHeight="true" outlineLevel="0" collapsed="false">
      <c r="A1116" s="6" t="n">
        <v>1114</v>
      </c>
      <c r="B1116" s="6" t="n">
        <f aca="false">MIN(42, FLOOR(A1116/32,1)+1)</f>
        <v>35</v>
      </c>
      <c r="C1116" s="6" t="str">
        <f aca="false">INDEX(Grades_Realms!$B$2:$B$43, B1116)</f>
        <v>Eternal · Advanced</v>
      </c>
      <c r="D1116" s="6" t="n">
        <f aca="false">(A1116+1)^2.4 * 1.004^A1116</f>
        <v>1757177974.59363</v>
      </c>
      <c r="E1116" s="6" t="n">
        <f aca="false">$I$2*(A1116+1)^1.9*1.003^A1116</f>
        <v>7490.70591430027</v>
      </c>
      <c r="F1116" s="6" t="n">
        <f aca="false">(A1116+1)^1.12</f>
        <v>2587.90215045166</v>
      </c>
      <c r="G1116" s="6" t="n">
        <f aca="false">G1115+E1116</f>
        <v>1467025.77886412</v>
      </c>
    </row>
    <row r="1117" customFormat="false" ht="15" hidden="false" customHeight="true" outlineLevel="0" collapsed="false">
      <c r="A1117" s="6" t="n">
        <v>1115</v>
      </c>
      <c r="B1117" s="6" t="n">
        <f aca="false">MIN(42, FLOOR(A1117/32,1)+1)</f>
        <v>35</v>
      </c>
      <c r="C1117" s="6" t="str">
        <f aca="false">INDEX(Grades_Realms!$B$2:$B$43, B1117)</f>
        <v>Eternal · Advanced</v>
      </c>
      <c r="D1117" s="6" t="n">
        <f aca="false">(A1117+1)^2.4 * 1.004^A1117</f>
        <v>1768006466.35057</v>
      </c>
      <c r="E1117" s="6" t="n">
        <f aca="false">$I$2*(A1117+1)^1.9*1.003^A1117</f>
        <v>7525.98592380541</v>
      </c>
      <c r="F1117" s="6" t="n">
        <f aca="false">(A1117+1)^1.12</f>
        <v>2590.5017973915</v>
      </c>
      <c r="G1117" s="6" t="n">
        <f aca="false">G1116+E1117</f>
        <v>1474551.76478793</v>
      </c>
    </row>
    <row r="1118" customFormat="false" ht="15" hidden="false" customHeight="true" outlineLevel="0" collapsed="false">
      <c r="A1118" s="6" t="n">
        <v>1116</v>
      </c>
      <c r="B1118" s="6" t="n">
        <f aca="false">MIN(42, FLOOR(A1118/32,1)+1)</f>
        <v>35</v>
      </c>
      <c r="C1118" s="6" t="str">
        <f aca="false">INDEX(Grades_Realms!$B$2:$B$43, B1118)</f>
        <v>Eternal · Advanced</v>
      </c>
      <c r="D1118" s="6" t="n">
        <f aca="false">(A1118+1)^2.4 * 1.004^A1118</f>
        <v>1778898260.01319</v>
      </c>
      <c r="E1118" s="6" t="n">
        <f aca="false">$I$2*(A1118+1)^1.9*1.003^A1118</f>
        <v>7561.42056112543</v>
      </c>
      <c r="F1118" s="6" t="n">
        <f aca="false">(A1118+1)^1.12</f>
        <v>2593.10172387833</v>
      </c>
      <c r="G1118" s="6" t="n">
        <f aca="false">G1117+E1118</f>
        <v>1482113.18534906</v>
      </c>
    </row>
    <row r="1119" customFormat="false" ht="15" hidden="false" customHeight="true" outlineLevel="0" collapsed="false">
      <c r="A1119" s="6" t="n">
        <v>1117</v>
      </c>
      <c r="B1119" s="6" t="n">
        <f aca="false">MIN(42, FLOOR(A1119/32,1)+1)</f>
        <v>35</v>
      </c>
      <c r="C1119" s="6" t="str">
        <f aca="false">INDEX(Grades_Realms!$B$2:$B$43, B1119)</f>
        <v>Eternal · Advanced</v>
      </c>
      <c r="D1119" s="6" t="n">
        <f aca="false">(A1119+1)^2.4 * 1.004^A1119</f>
        <v>1789853709.61899</v>
      </c>
      <c r="E1119" s="6" t="n">
        <f aca="false">$I$2*(A1119+1)^1.9*1.003^A1119</f>
        <v>7597.01046666846</v>
      </c>
      <c r="F1119" s="6" t="n">
        <f aca="false">(A1119+1)^1.12</f>
        <v>2595.7019296919</v>
      </c>
      <c r="G1119" s="6" t="n">
        <f aca="false">G1118+E1119</f>
        <v>1489710.19581572</v>
      </c>
    </row>
    <row r="1120" customFormat="false" ht="15" hidden="false" customHeight="true" outlineLevel="0" collapsed="false">
      <c r="A1120" s="6" t="n">
        <v>1118</v>
      </c>
      <c r="B1120" s="6" t="n">
        <f aca="false">MIN(42, FLOOR(A1120/32,1)+1)</f>
        <v>35</v>
      </c>
      <c r="C1120" s="6" t="str">
        <f aca="false">INDEX(Grades_Realms!$B$2:$B$43, B1120)</f>
        <v>Eternal · Advanced</v>
      </c>
      <c r="D1120" s="6" t="n">
        <f aca="false">(A1120+1)^2.4 * 1.004^A1120</f>
        <v>1800873171.11437</v>
      </c>
      <c r="E1120" s="6" t="n">
        <f aca="false">$I$2*(A1120+1)^1.9*1.003^A1120</f>
        <v>7632.75628338204</v>
      </c>
      <c r="F1120" s="6" t="n">
        <f aca="false">(A1120+1)^1.12</f>
        <v>2598.30241461235</v>
      </c>
      <c r="G1120" s="6" t="n">
        <f aca="false">G1119+E1120</f>
        <v>1497342.95209911</v>
      </c>
    </row>
    <row r="1121" customFormat="false" ht="15" hidden="false" customHeight="true" outlineLevel="0" collapsed="false">
      <c r="A1121" s="6" t="n">
        <v>1119</v>
      </c>
      <c r="B1121" s="6" t="n">
        <f aca="false">MIN(42, FLOOR(A1121/32,1)+1)</f>
        <v>35</v>
      </c>
      <c r="C1121" s="6" t="str">
        <f aca="false">INDEX(Grades_Realms!$B$2:$B$43, B1121)</f>
        <v>Eternal · Advanced</v>
      </c>
      <c r="D1121" s="6" t="n">
        <f aca="false">(A1121+1)^2.4 * 1.004^A1121</f>
        <v>1811957002.3647</v>
      </c>
      <c r="E1121" s="6" t="n">
        <f aca="false">$I$2*(A1121+1)^1.9*1.003^A1121</f>
        <v>7668.65865676284</v>
      </c>
      <c r="F1121" s="6" t="n">
        <f aca="false">(A1121+1)^1.12</f>
        <v>2600.90317842016</v>
      </c>
      <c r="G1121" s="6" t="n">
        <f aca="false">G1120+E1121</f>
        <v>1505011.61075587</v>
      </c>
    </row>
    <row r="1122" customFormat="false" ht="15" hidden="false" customHeight="true" outlineLevel="0" collapsed="false">
      <c r="A1122" s="6" t="n">
        <v>1120</v>
      </c>
      <c r="B1122" s="6" t="n">
        <f aca="false">MIN(42, FLOOR(A1122/32,1)+1)</f>
        <v>36</v>
      </c>
      <c r="C1122" s="6" t="str">
        <f aca="false">INDEX(Grades_Realms!$B$2:$B$43, B1122)</f>
        <v>Eternal · Perfected</v>
      </c>
      <c r="D1122" s="6" t="n">
        <f aca="false">(A1122+1)^2.4 * 1.004^A1122</f>
        <v>1823105563.1643</v>
      </c>
      <c r="E1122" s="6" t="n">
        <f aca="false">$I$2*(A1122+1)^1.9*1.003^A1122</f>
        <v>7704.71823486645</v>
      </c>
      <c r="F1122" s="6" t="n">
        <f aca="false">(A1122+1)^1.12</f>
        <v>2603.50422089621</v>
      </c>
      <c r="G1122" s="6" t="n">
        <f aca="false">G1121+E1122</f>
        <v>1512716.32899074</v>
      </c>
    </row>
    <row r="1123" customFormat="false" ht="15" hidden="false" customHeight="true" outlineLevel="0" collapsed="false">
      <c r="A1123" s="6" t="n">
        <v>1121</v>
      </c>
      <c r="B1123" s="6" t="n">
        <f aca="false">MIN(42, FLOOR(A1123/32,1)+1)</f>
        <v>36</v>
      </c>
      <c r="C1123" s="6" t="str">
        <f aca="false">INDEX(Grades_Realms!$B$2:$B$43, B1123)</f>
        <v>Eternal · Perfected</v>
      </c>
      <c r="D1123" s="6" t="n">
        <f aca="false">(A1123+1)^2.4 * 1.004^A1123</f>
        <v>1834319215.24655</v>
      </c>
      <c r="E1123" s="6" t="n">
        <f aca="false">$I$2*(A1123+1)^1.9*1.003^A1123</f>
        <v>7740.93566831718</v>
      </c>
      <c r="F1123" s="6" t="n">
        <f aca="false">(A1123+1)^1.12</f>
        <v>2606.10554182171</v>
      </c>
      <c r="G1123" s="6" t="n">
        <f aca="false">G1122+E1123</f>
        <v>1520457.26465905</v>
      </c>
    </row>
    <row r="1124" customFormat="false" ht="15" hidden="false" customHeight="true" outlineLevel="0" collapsed="false">
      <c r="A1124" s="6" t="n">
        <v>1122</v>
      </c>
      <c r="B1124" s="6" t="n">
        <f aca="false">MIN(42, FLOOR(A1124/32,1)+1)</f>
        <v>36</v>
      </c>
      <c r="C1124" s="6" t="str">
        <f aca="false">INDEX(Grades_Realms!$B$2:$B$43, B1124)</f>
        <v>Eternal · Perfected</v>
      </c>
      <c r="D1124" s="6" t="n">
        <f aca="false">(A1124+1)^2.4 * 1.004^A1124</f>
        <v>1845598322.29402</v>
      </c>
      <c r="E1124" s="6" t="n">
        <f aca="false">$I$2*(A1124+1)^1.9*1.003^A1124</f>
        <v>7777.3116103179</v>
      </c>
      <c r="F1124" s="6" t="n">
        <f aca="false">(A1124+1)^1.12</f>
        <v>2608.70714097826</v>
      </c>
      <c r="G1124" s="6" t="n">
        <f aca="false">G1123+E1124</f>
        <v>1528234.57626937</v>
      </c>
    </row>
    <row r="1125" customFormat="false" ht="15" hidden="false" customHeight="true" outlineLevel="0" collapsed="false">
      <c r="A1125" s="6" t="n">
        <v>1123</v>
      </c>
      <c r="B1125" s="6" t="n">
        <f aca="false">MIN(42, FLOOR(A1125/32,1)+1)</f>
        <v>36</v>
      </c>
      <c r="C1125" s="6" t="str">
        <f aca="false">INDEX(Grades_Realms!$B$2:$B$43, B1125)</f>
        <v>Eternal · Perfected</v>
      </c>
      <c r="D1125" s="6" t="n">
        <f aca="false">(A1125+1)^2.4 * 1.004^A1125</f>
        <v>1856943249.94867</v>
      </c>
      <c r="E1125" s="6" t="n">
        <f aca="false">$I$2*(A1125+1)^1.9*1.003^A1125</f>
        <v>7813.84671665993</v>
      </c>
      <c r="F1125" s="6" t="n">
        <f aca="false">(A1125+1)^1.12</f>
        <v>2611.30901814783</v>
      </c>
      <c r="G1125" s="6" t="n">
        <f aca="false">G1124+E1125</f>
        <v>1536048.42298603</v>
      </c>
    </row>
    <row r="1126" customFormat="false" ht="15" hidden="false" customHeight="true" outlineLevel="0" collapsed="false">
      <c r="A1126" s="6" t="n">
        <v>1124</v>
      </c>
      <c r="B1126" s="6" t="n">
        <f aca="false">MIN(42, FLOOR(A1126/32,1)+1)</f>
        <v>36</v>
      </c>
      <c r="C1126" s="6" t="str">
        <f aca="false">INDEX(Grades_Realms!$B$2:$B$43, B1126)</f>
        <v>Eternal · Perfected</v>
      </c>
      <c r="D1126" s="6" t="n">
        <f aca="false">(A1126+1)^2.4 * 1.004^A1126</f>
        <v>1868354365.8221</v>
      </c>
      <c r="E1126" s="6" t="n">
        <f aca="false">$I$2*(A1126+1)^1.9*1.003^A1126</f>
        <v>7850.54164573295</v>
      </c>
      <c r="F1126" s="6" t="n">
        <f aca="false">(A1126+1)^1.12</f>
        <v>2613.91117311275</v>
      </c>
      <c r="G1126" s="6" t="n">
        <f aca="false">G1125+E1126</f>
        <v>1543898.96463176</v>
      </c>
    </row>
    <row r="1127" customFormat="false" ht="15" hidden="false" customHeight="true" outlineLevel="0" collapsed="false">
      <c r="A1127" s="6" t="n">
        <v>1125</v>
      </c>
      <c r="B1127" s="6" t="n">
        <f aca="false">MIN(42, FLOOR(A1127/32,1)+1)</f>
        <v>36</v>
      </c>
      <c r="C1127" s="6" t="str">
        <f aca="false">INDEX(Grades_Realms!$B$2:$B$43, B1127)</f>
        <v>Eternal · Perfected</v>
      </c>
      <c r="D1127" s="6" t="n">
        <f aca="false">(A1127+1)^2.4 * 1.004^A1127</f>
        <v>1879832039.50583</v>
      </c>
      <c r="E1127" s="6" t="n">
        <f aca="false">$I$2*(A1127+1)^1.9*1.003^A1127</f>
        <v>7887.39705853494</v>
      </c>
      <c r="F1127" s="6" t="n">
        <f aca="false">(A1127+1)^1.12</f>
        <v>2616.5136056557</v>
      </c>
      <c r="G1127" s="6" t="n">
        <f aca="false">G1126+E1127</f>
        <v>1551786.3616903</v>
      </c>
    </row>
    <row r="1128" customFormat="false" ht="15" hidden="false" customHeight="true" outlineLevel="0" collapsed="false">
      <c r="A1128" s="6" t="n">
        <v>1126</v>
      </c>
      <c r="B1128" s="6" t="n">
        <f aca="false">MIN(42, FLOOR(A1128/32,1)+1)</f>
        <v>36</v>
      </c>
      <c r="C1128" s="6" t="str">
        <f aca="false">INDEX(Grades_Realms!$B$2:$B$43, B1128)</f>
        <v>Eternal · Perfected</v>
      </c>
      <c r="D1128" s="6" t="n">
        <f aca="false">(A1128+1)^2.4 * 1.004^A1128</f>
        <v>1891376642.58165</v>
      </c>
      <c r="E1128" s="6" t="n">
        <f aca="false">$I$2*(A1128+1)^1.9*1.003^A1128</f>
        <v>7924.41361868219</v>
      </c>
      <c r="F1128" s="6" t="n">
        <f aca="false">(A1128+1)^1.12</f>
        <v>2619.11631555974</v>
      </c>
      <c r="G1128" s="6" t="n">
        <f aca="false">G1127+E1128</f>
        <v>1559710.77530898</v>
      </c>
    </row>
    <row r="1129" customFormat="false" ht="15" hidden="false" customHeight="true" outlineLevel="0" collapsed="false">
      <c r="A1129" s="6" t="n">
        <v>1127</v>
      </c>
      <c r="B1129" s="6" t="n">
        <f aca="false">MIN(42, FLOOR(A1129/32,1)+1)</f>
        <v>36</v>
      </c>
      <c r="C1129" s="6" t="str">
        <f aca="false">INDEX(Grades_Realms!$B$2:$B$43, B1129)</f>
        <v>Eternal · Perfected</v>
      </c>
      <c r="D1129" s="6" t="n">
        <f aca="false">(A1129+1)^2.4 * 1.004^A1129</f>
        <v>1902988548.63205</v>
      </c>
      <c r="E1129" s="6" t="n">
        <f aca="false">$I$2*(A1129+1)^1.9*1.003^A1129</f>
        <v>7961.59199241934</v>
      </c>
      <c r="F1129" s="6" t="n">
        <f aca="false">(A1129+1)^1.12</f>
        <v>2621.71930260828</v>
      </c>
      <c r="G1129" s="6" t="n">
        <f aca="false">G1128+E1129</f>
        <v>1567672.3673014</v>
      </c>
    </row>
    <row r="1130" customFormat="false" ht="15" hidden="false" customHeight="true" outlineLevel="0" collapsed="false">
      <c r="A1130" s="6" t="n">
        <v>1128</v>
      </c>
      <c r="B1130" s="6" t="n">
        <f aca="false">MIN(42, FLOOR(A1130/32,1)+1)</f>
        <v>36</v>
      </c>
      <c r="C1130" s="6" t="str">
        <f aca="false">INDEX(Grades_Realms!$B$2:$B$43, B1130)</f>
        <v>Eternal · Perfected</v>
      </c>
      <c r="D1130" s="6" t="n">
        <f aca="false">(A1130+1)^2.4 * 1.004^A1130</f>
        <v>1914668133.25061</v>
      </c>
      <c r="E1130" s="6" t="n">
        <f aca="false">$I$2*(A1130+1)^1.9*1.003^A1130</f>
        <v>7998.93284862942</v>
      </c>
      <c r="F1130" s="6" t="n">
        <f aca="false">(A1130+1)^1.12</f>
        <v>2624.3225665851</v>
      </c>
      <c r="G1130" s="6" t="n">
        <f aca="false">G1129+E1130</f>
        <v>1575671.30015003</v>
      </c>
    </row>
    <row r="1131" customFormat="false" ht="15" hidden="false" customHeight="true" outlineLevel="0" collapsed="false">
      <c r="A1131" s="6" t="n">
        <v>1129</v>
      </c>
      <c r="B1131" s="6" t="n">
        <f aca="false">MIN(42, FLOOR(A1131/32,1)+1)</f>
        <v>36</v>
      </c>
      <c r="C1131" s="6" t="str">
        <f aca="false">INDEX(Grades_Realms!$B$2:$B$43, B1131)</f>
        <v>Eternal · Perfected</v>
      </c>
      <c r="D1131" s="6" t="n">
        <f aca="false">(A1131+1)^2.4 * 1.004^A1131</f>
        <v>1926415774.05259</v>
      </c>
      <c r="E1131" s="6" t="n">
        <f aca="false">$I$2*(A1131+1)^1.9*1.003^A1131</f>
        <v>8036.43685884394</v>
      </c>
      <c r="F1131" s="6" t="n">
        <f aca="false">(A1131+1)^1.12</f>
        <v>2626.92610727434</v>
      </c>
      <c r="G1131" s="6" t="n">
        <f aca="false">G1130+E1131</f>
        <v>1583707.73700887</v>
      </c>
    </row>
    <row r="1132" customFormat="false" ht="15" hidden="false" customHeight="true" outlineLevel="0" collapsed="false">
      <c r="A1132" s="6" t="n">
        <v>1130</v>
      </c>
      <c r="B1132" s="6" t="n">
        <f aca="false">MIN(42, FLOOR(A1132/32,1)+1)</f>
        <v>36</v>
      </c>
      <c r="C1132" s="6" t="str">
        <f aca="false">INDEX(Grades_Realms!$B$2:$B$43, B1132)</f>
        <v>Eternal · Perfected</v>
      </c>
      <c r="D1132" s="6" t="n">
        <f aca="false">(A1132+1)^2.4 * 1.004^A1132</f>
        <v>1938231850.68542</v>
      </c>
      <c r="E1132" s="6" t="n">
        <f aca="false">$I$2*(A1132+1)^1.9*1.003^A1132</f>
        <v>8074.1046972531</v>
      </c>
      <c r="F1132" s="6" t="n">
        <f aca="false">(A1132+1)^1.12</f>
        <v>2629.52992446049</v>
      </c>
      <c r="G1132" s="6" t="n">
        <f aca="false">G1131+E1132</f>
        <v>1591781.84170613</v>
      </c>
    </row>
    <row r="1133" customFormat="false" ht="15" hidden="false" customHeight="true" outlineLevel="0" collapsed="false">
      <c r="A1133" s="6" t="n">
        <v>1131</v>
      </c>
      <c r="B1133" s="6" t="n">
        <f aca="false">MIN(42, FLOOR(A1133/32,1)+1)</f>
        <v>36</v>
      </c>
      <c r="C1133" s="6" t="str">
        <f aca="false">INDEX(Grades_Realms!$B$2:$B$43, B1133)</f>
        <v>Eternal · Perfected</v>
      </c>
      <c r="D1133" s="6" t="n">
        <f aca="false">(A1133+1)^2.4 * 1.004^A1133</f>
        <v>1950116744.83936</v>
      </c>
      <c r="E1133" s="6" t="n">
        <f aca="false">$I$2*(A1133+1)^1.9*1.003^A1133</f>
        <v>8111.93704071587</v>
      </c>
      <c r="F1133" s="6" t="n">
        <f aca="false">(A1133+1)^1.12</f>
        <v>2632.13401792841</v>
      </c>
      <c r="G1133" s="6" t="n">
        <f aca="false">G1132+E1133</f>
        <v>1599893.77874684</v>
      </c>
    </row>
    <row r="1134" customFormat="false" ht="15" hidden="false" customHeight="true" outlineLevel="0" collapsed="false">
      <c r="A1134" s="6" t="n">
        <v>1132</v>
      </c>
      <c r="B1134" s="6" t="n">
        <f aca="false">MIN(42, FLOOR(A1134/32,1)+1)</f>
        <v>36</v>
      </c>
      <c r="C1134" s="6" t="str">
        <f aca="false">INDEX(Grades_Realms!$B$2:$B$43, B1134)</f>
        <v>Eternal · Perfected</v>
      </c>
      <c r="D1134" s="6" t="n">
        <f aca="false">(A1134+1)^2.4 * 1.004^A1134</f>
        <v>1962070840.25815</v>
      </c>
      <c r="E1134" s="6" t="n">
        <f aca="false">$I$2*(A1134+1)^1.9*1.003^A1134</f>
        <v>8149.93456877029</v>
      </c>
      <c r="F1134" s="6" t="n">
        <f aca="false">(A1134+1)^1.12</f>
        <v>2634.7383874633</v>
      </c>
      <c r="G1134" s="6" t="n">
        <f aca="false">G1133+E1134</f>
        <v>1608043.71331561</v>
      </c>
    </row>
    <row r="1135" customFormat="false" ht="15" hidden="false" customHeight="true" outlineLevel="0" collapsed="false">
      <c r="A1135" s="6" t="n">
        <v>1133</v>
      </c>
      <c r="B1135" s="6" t="n">
        <f aca="false">MIN(42, FLOOR(A1135/32,1)+1)</f>
        <v>36</v>
      </c>
      <c r="C1135" s="6" t="str">
        <f aca="false">INDEX(Grades_Realms!$B$2:$B$43, B1135)</f>
        <v>Eternal · Perfected</v>
      </c>
      <c r="D1135" s="6" t="n">
        <f aca="false">(A1135+1)^2.4 * 1.004^A1135</f>
        <v>1974094522.74972</v>
      </c>
      <c r="E1135" s="6" t="n">
        <f aca="false">$I$2*(A1135+1)^1.9*1.003^A1135</f>
        <v>8188.0979636437</v>
      </c>
      <c r="F1135" s="6" t="n">
        <f aca="false">(A1135+1)^1.12</f>
        <v>2637.34303285074</v>
      </c>
      <c r="G1135" s="6" t="n">
        <f aca="false">G1134+E1135</f>
        <v>1616231.81127926</v>
      </c>
    </row>
    <row r="1136" customFormat="false" ht="15" hidden="false" customHeight="true" outlineLevel="0" collapsed="false">
      <c r="A1136" s="6" t="n">
        <v>1134</v>
      </c>
      <c r="B1136" s="6" t="n">
        <f aca="false">MIN(42, FLOOR(A1136/32,1)+1)</f>
        <v>36</v>
      </c>
      <c r="C1136" s="6" t="str">
        <f aca="false">INDEX(Grades_Realms!$B$2:$B$43, B1136)</f>
        <v>Eternal · Perfected</v>
      </c>
      <c r="D1136" s="6" t="n">
        <f aca="false">(A1136+1)^2.4 * 1.004^A1136</f>
        <v>1986188180.19701</v>
      </c>
      <c r="E1136" s="6" t="n">
        <f aca="false">$I$2*(A1136+1)^1.9*1.003^A1136</f>
        <v>8226.427910263</v>
      </c>
      <c r="F1136" s="6" t="n">
        <f aca="false">(A1136+1)^1.12</f>
        <v>2639.94795387664</v>
      </c>
      <c r="G1136" s="6" t="n">
        <f aca="false">G1135+E1136</f>
        <v>1624458.23918952</v>
      </c>
    </row>
    <row r="1137" customFormat="false" ht="15" hidden="false" customHeight="true" outlineLevel="0" collapsed="false">
      <c r="A1137" s="6" t="n">
        <v>1135</v>
      </c>
      <c r="B1137" s="6" t="n">
        <f aca="false">MIN(42, FLOOR(A1137/32,1)+1)</f>
        <v>36</v>
      </c>
      <c r="C1137" s="6" t="str">
        <f aca="false">INDEX(Grades_Realms!$B$2:$B$43, B1137)</f>
        <v>Eternal · Perfected</v>
      </c>
      <c r="D1137" s="6" t="n">
        <f aca="false">(A1137+1)^2.4 * 1.004^A1137</f>
        <v>1998352202.56875</v>
      </c>
      <c r="E1137" s="6" t="n">
        <f aca="false">$I$2*(A1137+1)^1.9*1.003^A1137</f>
        <v>8264.92509626502</v>
      </c>
      <c r="F1137" s="6" t="n">
        <f aca="false">(A1137+1)^1.12</f>
        <v>2642.55315032729</v>
      </c>
      <c r="G1137" s="6" t="n">
        <f aca="false">G1136+E1137</f>
        <v>1632723.16428578</v>
      </c>
    </row>
    <row r="1138" customFormat="false" ht="15" hidden="false" customHeight="true" outlineLevel="0" collapsed="false">
      <c r="A1138" s="6" t="n">
        <v>1136</v>
      </c>
      <c r="B1138" s="6" t="n">
        <f aca="false">MIN(42, FLOOR(A1138/32,1)+1)</f>
        <v>36</v>
      </c>
      <c r="C1138" s="6" t="str">
        <f aca="false">INDEX(Grades_Realms!$B$2:$B$43, B1138)</f>
        <v>Eternal · Perfected</v>
      </c>
      <c r="D1138" s="6" t="n">
        <f aca="false">(A1138+1)^2.4 * 1.004^A1138</f>
        <v>2010586981.93039</v>
      </c>
      <c r="E1138" s="6" t="n">
        <f aca="false">$I$2*(A1138+1)^1.9*1.003^A1138</f>
        <v>8303.59021200689</v>
      </c>
      <c r="F1138" s="6" t="n">
        <f aca="false">(A1138+1)^1.12</f>
        <v>2645.15862198932</v>
      </c>
      <c r="G1138" s="6" t="n">
        <f aca="false">G1137+E1138</f>
        <v>1641026.75449779</v>
      </c>
    </row>
    <row r="1139" customFormat="false" ht="15" hidden="false" customHeight="true" outlineLevel="0" collapsed="false">
      <c r="A1139" s="6" t="n">
        <v>1137</v>
      </c>
      <c r="B1139" s="6" t="n">
        <f aca="false">MIN(42, FLOOR(A1139/32,1)+1)</f>
        <v>36</v>
      </c>
      <c r="C1139" s="6" t="str">
        <f aca="false">INDEX(Grades_Realms!$B$2:$B$43, B1139)</f>
        <v>Eternal · Perfected</v>
      </c>
      <c r="D1139" s="6" t="n">
        <f aca="false">(A1139+1)^2.4 * 1.004^A1139</f>
        <v>2022892912.45502</v>
      </c>
      <c r="E1139" s="6" t="n">
        <f aca="false">$I$2*(A1139+1)^1.9*1.003^A1139</f>
        <v>8342.42395057641</v>
      </c>
      <c r="F1139" s="6" t="n">
        <f aca="false">(A1139+1)^1.12</f>
        <v>2647.76436864971</v>
      </c>
      <c r="G1139" s="6" t="n">
        <f aca="false">G1138+E1139</f>
        <v>1649369.17844837</v>
      </c>
    </row>
    <row r="1140" customFormat="false" ht="15" hidden="false" customHeight="true" outlineLevel="0" collapsed="false">
      <c r="A1140" s="6" t="n">
        <v>1138</v>
      </c>
      <c r="B1140" s="6" t="n">
        <f aca="false">MIN(42, FLOOR(A1140/32,1)+1)</f>
        <v>36</v>
      </c>
      <c r="C1140" s="6" t="str">
        <f aca="false">INDEX(Grades_Realms!$B$2:$B$43, B1140)</f>
        <v>Eternal · Perfected</v>
      </c>
      <c r="D1140" s="6" t="n">
        <f aca="false">(A1140+1)^2.4 * 1.004^A1140</f>
        <v>2035270390.43439</v>
      </c>
      <c r="E1140" s="6" t="n">
        <f aca="false">$I$2*(A1140+1)^1.9*1.003^A1140</f>
        <v>8381.42700780256</v>
      </c>
      <c r="F1140" s="6" t="n">
        <f aca="false">(A1140+1)^1.12</f>
        <v>2650.3703900958</v>
      </c>
      <c r="G1140" s="6" t="n">
        <f aca="false">G1139+E1140</f>
        <v>1657750.60545617</v>
      </c>
    </row>
    <row r="1141" customFormat="false" ht="15" hidden="false" customHeight="true" outlineLevel="0" collapsed="false">
      <c r="A1141" s="6" t="n">
        <v>1139</v>
      </c>
      <c r="B1141" s="6" t="n">
        <f aca="false">MIN(42, FLOOR(A1141/32,1)+1)</f>
        <v>36</v>
      </c>
      <c r="C1141" s="6" t="str">
        <f aca="false">INDEX(Grades_Realms!$B$2:$B$43, B1141)</f>
        <v>Eternal · Perfected</v>
      </c>
      <c r="D1141" s="6" t="n">
        <f aca="false">(A1141+1)^2.4 * 1.004^A1141</f>
        <v>2047719814.28992</v>
      </c>
      <c r="E1141" s="6" t="n">
        <f aca="false">$I$2*(A1141+1)^1.9*1.003^A1141</f>
        <v>8420.60008226591</v>
      </c>
      <c r="F1141" s="6" t="n">
        <f aca="false">(A1141+1)^1.12</f>
        <v>2652.97668611527</v>
      </c>
      <c r="G1141" s="6" t="n">
        <f aca="false">G1140+E1141</f>
        <v>1666171.20553844</v>
      </c>
    </row>
    <row r="1142" customFormat="false" ht="15" hidden="false" customHeight="true" outlineLevel="0" collapsed="false">
      <c r="A1142" s="6" t="n">
        <v>1140</v>
      </c>
      <c r="B1142" s="6" t="n">
        <f aca="false">MIN(42, FLOOR(A1142/32,1)+1)</f>
        <v>36</v>
      </c>
      <c r="C1142" s="6" t="str">
        <f aca="false">INDEX(Grades_Realms!$B$2:$B$43, B1142)</f>
        <v>Eternal · Perfected</v>
      </c>
      <c r="D1142" s="6" t="n">
        <f aca="false">(A1142+1)^2.4 * 1.004^A1142</f>
        <v>2060241584.58388</v>
      </c>
      <c r="E1142" s="6" t="n">
        <f aca="false">$I$2*(A1142+1)^1.9*1.003^A1142</f>
        <v>8459.94387530921</v>
      </c>
      <c r="F1142" s="6" t="n">
        <f aca="false">(A1142+1)^1.12</f>
        <v>2655.58325649617</v>
      </c>
      <c r="G1142" s="6" t="n">
        <f aca="false">G1141+E1142</f>
        <v>1674631.14941374</v>
      </c>
    </row>
    <row r="1143" customFormat="false" ht="15" hidden="false" customHeight="true" outlineLevel="0" collapsed="false">
      <c r="A1143" s="6" t="n">
        <v>1141</v>
      </c>
      <c r="B1143" s="6" t="n">
        <f aca="false">MIN(42, FLOOR(A1143/32,1)+1)</f>
        <v>36</v>
      </c>
      <c r="C1143" s="6" t="str">
        <f aca="false">INDEX(Grades_Realms!$B$2:$B$43, B1143)</f>
        <v>Eternal · Perfected</v>
      </c>
      <c r="D1143" s="6" t="n">
        <f aca="false">(A1143+1)^2.4 * 1.004^A1143</f>
        <v>2072836104.0305</v>
      </c>
      <c r="E1143" s="6" t="n">
        <f aca="false">$I$2*(A1143+1)^1.9*1.003^A1143</f>
        <v>8499.45909104792</v>
      </c>
      <c r="F1143" s="6" t="n">
        <f aca="false">(A1143+1)^1.12</f>
        <v>2658.19010102687</v>
      </c>
      <c r="G1143" s="6" t="n">
        <f aca="false">G1142+E1143</f>
        <v>1683130.60850479</v>
      </c>
    </row>
    <row r="1144" customFormat="false" ht="15" hidden="false" customHeight="true" outlineLevel="0" collapsed="false">
      <c r="A1144" s="6" t="n">
        <v>1142</v>
      </c>
      <c r="B1144" s="6" t="n">
        <f aca="false">MIN(42, FLOOR(A1144/32,1)+1)</f>
        <v>36</v>
      </c>
      <c r="C1144" s="6" t="str">
        <f aca="false">INDEX(Grades_Realms!$B$2:$B$43, B1144)</f>
        <v>Eternal · Perfected</v>
      </c>
      <c r="D1144" s="6" t="n">
        <f aca="false">(A1144+1)^2.4 * 1.004^A1144</f>
        <v>2085503777.50721</v>
      </c>
      <c r="E1144" s="6" t="n">
        <f aca="false">$I$2*(A1144+1)^1.9*1.003^A1144</f>
        <v>8539.14643638083</v>
      </c>
      <c r="F1144" s="6" t="n">
        <f aca="false">(A1144+1)^1.12</f>
        <v>2660.79721949612</v>
      </c>
      <c r="G1144" s="6" t="n">
        <f aca="false">G1143+E1144</f>
        <v>1691669.75494117</v>
      </c>
    </row>
    <row r="1145" customFormat="false" ht="15" hidden="false" customHeight="true" outlineLevel="0" collapsed="false">
      <c r="A1145" s="6" t="n">
        <v>1143</v>
      </c>
      <c r="B1145" s="6" t="n">
        <f aca="false">MIN(42, FLOOR(A1145/32,1)+1)</f>
        <v>36</v>
      </c>
      <c r="C1145" s="6" t="str">
        <f aca="false">INDEX(Grades_Realms!$B$2:$B$43, B1145)</f>
        <v>Eternal · Perfected</v>
      </c>
      <c r="D1145" s="6" t="n">
        <f aca="false">(A1145+1)^2.4 * 1.004^A1145</f>
        <v>2098245012.06593</v>
      </c>
      <c r="E1145" s="6" t="n">
        <f aca="false">$I$2*(A1145+1)^1.9*1.003^A1145</f>
        <v>8579.00662100069</v>
      </c>
      <c r="F1145" s="6" t="n">
        <f aca="false">(A1145+1)^1.12</f>
        <v>2663.40461169299</v>
      </c>
      <c r="G1145" s="6" t="n">
        <f aca="false">G1144+E1145</f>
        <v>1700248.76156217</v>
      </c>
    </row>
    <row r="1146" customFormat="false" ht="15" hidden="false" customHeight="true" outlineLevel="0" collapsed="false">
      <c r="A1146" s="6" t="n">
        <v>1144</v>
      </c>
      <c r="B1146" s="6" t="n">
        <f aca="false">MIN(42, FLOOR(A1146/32,1)+1)</f>
        <v>36</v>
      </c>
      <c r="C1146" s="6" t="str">
        <f aca="false">INDEX(Grades_Realms!$B$2:$B$43, B1146)</f>
        <v>Eternal · Perfected</v>
      </c>
      <c r="D1146" s="6" t="n">
        <f aca="false">(A1146+1)^2.4 * 1.004^A1146</f>
        <v>2111060216.94442</v>
      </c>
      <c r="E1146" s="6" t="n">
        <f aca="false">$I$2*(A1146+1)^1.9*1.003^A1146</f>
        <v>8619.04035740491</v>
      </c>
      <c r="F1146" s="6" t="n">
        <f aca="false">(A1146+1)^1.12</f>
        <v>2666.01227740692</v>
      </c>
      <c r="G1146" s="6" t="n">
        <f aca="false">G1145+E1146</f>
        <v>1708867.80191958</v>
      </c>
    </row>
    <row r="1147" customFormat="false" ht="15" hidden="false" customHeight="true" outlineLevel="0" collapsed="false">
      <c r="A1147" s="6" t="n">
        <v>1145</v>
      </c>
      <c r="B1147" s="6" t="n">
        <f aca="false">MIN(42, FLOOR(A1147/32,1)+1)</f>
        <v>36</v>
      </c>
      <c r="C1147" s="6" t="str">
        <f aca="false">INDEX(Grades_Realms!$B$2:$B$43, B1147)</f>
        <v>Eternal · Perfected</v>
      </c>
      <c r="D1147" s="6" t="n">
        <f aca="false">(A1147+1)^2.4 * 1.004^A1147</f>
        <v>2123949803.57765</v>
      </c>
      <c r="E1147" s="6" t="n">
        <f aca="false">$I$2*(A1147+1)^1.9*1.003^A1147</f>
        <v>8659.24836090625</v>
      </c>
      <c r="F1147" s="6" t="n">
        <f aca="false">(A1147+1)^1.12</f>
        <v>2668.62021642769</v>
      </c>
      <c r="G1147" s="6" t="n">
        <f aca="false">G1146+E1147</f>
        <v>1717527.05028049</v>
      </c>
    </row>
    <row r="1148" customFormat="false" ht="15" hidden="false" customHeight="true" outlineLevel="0" collapsed="false">
      <c r="A1148" s="6" t="n">
        <v>1146</v>
      </c>
      <c r="B1148" s="6" t="n">
        <f aca="false">MIN(42, FLOOR(A1148/32,1)+1)</f>
        <v>36</v>
      </c>
      <c r="C1148" s="6" t="str">
        <f aca="false">INDEX(Grades_Realms!$B$2:$B$43, B1148)</f>
        <v>Eternal · Perfected</v>
      </c>
      <c r="D1148" s="6" t="n">
        <f aca="false">(A1148+1)^2.4 * 1.004^A1148</f>
        <v>2136914185.60926</v>
      </c>
      <c r="E1148" s="6" t="n">
        <f aca="false">$I$2*(A1148+1)^1.9*1.003^A1148</f>
        <v>8699.63134964362</v>
      </c>
      <c r="F1148" s="6" t="n">
        <f aca="false">(A1148+1)^1.12</f>
        <v>2671.2284285454</v>
      </c>
      <c r="G1148" s="6" t="n">
        <f aca="false">G1147+E1148</f>
        <v>1726226.68163013</v>
      </c>
    </row>
    <row r="1149" customFormat="false" ht="15" hidden="false" customHeight="true" outlineLevel="0" collapsed="false">
      <c r="A1149" s="6" t="n">
        <v>1147</v>
      </c>
      <c r="B1149" s="6" t="n">
        <f aca="false">MIN(42, FLOOR(A1149/32,1)+1)</f>
        <v>36</v>
      </c>
      <c r="C1149" s="6" t="str">
        <f aca="false">INDEX(Grades_Realms!$B$2:$B$43, B1149)</f>
        <v>Eternal · Perfected</v>
      </c>
      <c r="D1149" s="6" t="n">
        <f aca="false">(A1149+1)^2.4 * 1.004^A1149</f>
        <v>2149953778.9031</v>
      </c>
      <c r="E1149" s="6" t="n">
        <f aca="false">$I$2*(A1149+1)^1.9*1.003^A1149</f>
        <v>8740.19004459288</v>
      </c>
      <c r="F1149" s="6" t="n">
        <f aca="false">(A1149+1)^1.12</f>
        <v>2673.83691355052</v>
      </c>
      <c r="G1149" s="6" t="n">
        <f aca="false">G1148+E1149</f>
        <v>1734966.87167472</v>
      </c>
    </row>
    <row r="1150" customFormat="false" ht="15" hidden="false" customHeight="true" outlineLevel="0" collapsed="false">
      <c r="A1150" s="6" t="n">
        <v>1148</v>
      </c>
      <c r="B1150" s="6" t="n">
        <f aca="false">MIN(42, FLOOR(A1150/32,1)+1)</f>
        <v>36</v>
      </c>
      <c r="C1150" s="6" t="str">
        <f aca="false">INDEX(Grades_Realms!$B$2:$B$43, B1150)</f>
        <v>Eternal · Perfected</v>
      </c>
      <c r="D1150" s="6" t="n">
        <f aca="false">(A1150+1)^2.4 * 1.004^A1150</f>
        <v>2163069001.55478</v>
      </c>
      <c r="E1150" s="6" t="n">
        <f aca="false">$I$2*(A1150+1)^1.9*1.003^A1150</f>
        <v>8780.92516957764</v>
      </c>
      <c r="F1150" s="6" t="n">
        <f aca="false">(A1150+1)^1.12</f>
        <v>2676.44567123387</v>
      </c>
      <c r="G1150" s="6" t="n">
        <f aca="false">G1149+E1150</f>
        <v>1743747.7968443</v>
      </c>
    </row>
    <row r="1151" customFormat="false" ht="15" hidden="false" customHeight="true" outlineLevel="0" collapsed="false">
      <c r="A1151" s="6" t="n">
        <v>1149</v>
      </c>
      <c r="B1151" s="6" t="n">
        <f aca="false">MIN(42, FLOOR(A1151/32,1)+1)</f>
        <v>36</v>
      </c>
      <c r="C1151" s="6" t="str">
        <f aca="false">INDEX(Grades_Realms!$B$2:$B$43, B1151)</f>
        <v>Eternal · Perfected</v>
      </c>
      <c r="D1151" s="6" t="n">
        <f aca="false">(A1151+1)^2.4 * 1.004^A1151</f>
        <v>2176260273.90328</v>
      </c>
      <c r="E1151" s="6" t="n">
        <f aca="false">$I$2*(A1151+1)^1.9*1.003^A1151</f>
        <v>8821.83745128021</v>
      </c>
      <c r="F1151" s="6" t="n">
        <f aca="false">(A1151+1)^1.12</f>
        <v>2679.05470138659</v>
      </c>
      <c r="G1151" s="6" t="n">
        <f aca="false">G1150+E1151</f>
        <v>1752569.63429558</v>
      </c>
    </row>
    <row r="1152" customFormat="false" ht="15" hidden="false" customHeight="true" outlineLevel="0" collapsed="false">
      <c r="A1152" s="6" t="n">
        <v>1150</v>
      </c>
      <c r="B1152" s="6" t="n">
        <f aca="false">MIN(42, FLOOR(A1152/32,1)+1)</f>
        <v>36</v>
      </c>
      <c r="C1152" s="6" t="str">
        <f aca="false">INDEX(Grades_Realms!$B$2:$B$43, B1152)</f>
        <v>Eternal · Perfected</v>
      </c>
      <c r="D1152" s="6" t="n">
        <f aca="false">(A1152+1)^2.4 * 1.004^A1152</f>
        <v>2189528018.54268</v>
      </c>
      <c r="E1152" s="6" t="n">
        <f aca="false">$I$2*(A1152+1)^1.9*1.003^A1152</f>
        <v>8862.92761925246</v>
      </c>
      <c r="F1152" s="6" t="n">
        <f aca="false">(A1152+1)^1.12</f>
        <v>2681.66400380017</v>
      </c>
      <c r="G1152" s="6" t="n">
        <f aca="false">G1151+E1152</f>
        <v>1761432.56191483</v>
      </c>
    </row>
    <row r="1153" customFormat="false" ht="15" hidden="false" customHeight="true" outlineLevel="0" collapsed="false">
      <c r="A1153" s="6" t="n">
        <v>1151</v>
      </c>
      <c r="B1153" s="6" t="n">
        <f aca="false">MIN(42, FLOOR(A1153/32,1)+1)</f>
        <v>36</v>
      </c>
      <c r="C1153" s="6" t="str">
        <f aca="false">INDEX(Grades_Realms!$B$2:$B$43, B1153)</f>
        <v>Eternal · Perfected</v>
      </c>
      <c r="D1153" s="6" t="n">
        <f aca="false">(A1153+1)^2.4 * 1.004^A1153</f>
        <v>2202872660.3339</v>
      </c>
      <c r="E1153" s="6" t="n">
        <f aca="false">$I$2*(A1153+1)^1.9*1.003^A1153</f>
        <v>8904.19640592681</v>
      </c>
      <c r="F1153" s="6" t="n">
        <f aca="false">(A1153+1)^1.12</f>
        <v>2684.27357826644</v>
      </c>
      <c r="G1153" s="6" t="n">
        <f aca="false">G1152+E1153</f>
        <v>1770336.75832076</v>
      </c>
    </row>
    <row r="1154" customFormat="false" ht="15" hidden="false" customHeight="true" outlineLevel="0" collapsed="false">
      <c r="A1154" s="6" t="n">
        <v>1152</v>
      </c>
      <c r="B1154" s="6" t="n">
        <f aca="false">MIN(42, FLOOR(A1154/32,1)+1)</f>
        <v>37</v>
      </c>
      <c r="C1154" s="6" t="str">
        <f aca="false">INDEX(Grades_Realms!$B$2:$B$43, B1154)</f>
        <v>Primordial · Initial</v>
      </c>
      <c r="D1154" s="6" t="n">
        <f aca="false">(A1154+1)^2.4 * 1.004^A1154</f>
        <v>2216294626.41648</v>
      </c>
      <c r="E1154" s="6" t="n">
        <f aca="false">$I$2*(A1154+1)^1.9*1.003^A1154</f>
        <v>8945.64454662727</v>
      </c>
      <c r="F1154" s="6" t="n">
        <f aca="false">(A1154+1)^1.12</f>
        <v>2686.88342457758</v>
      </c>
      <c r="G1154" s="6" t="n">
        <f aca="false">G1153+E1154</f>
        <v>1779282.40286739</v>
      </c>
    </row>
    <row r="1155" customFormat="false" ht="15" hidden="false" customHeight="true" outlineLevel="0" collapsed="false">
      <c r="A1155" s="6" t="n">
        <v>1153</v>
      </c>
      <c r="B1155" s="6" t="n">
        <f aca="false">MIN(42, FLOOR(A1155/32,1)+1)</f>
        <v>37</v>
      </c>
      <c r="C1155" s="6" t="str">
        <f aca="false">INDEX(Grades_Realms!$B$2:$B$43, B1155)</f>
        <v>Primordial · Initial</v>
      </c>
      <c r="D1155" s="6" t="n">
        <f aca="false">(A1155+1)^2.4 * 1.004^A1155</f>
        <v>2229794346.22049</v>
      </c>
      <c r="E1155" s="6" t="n">
        <f aca="false">$I$2*(A1155+1)^1.9*1.003^A1155</f>
        <v>8987.27277958042</v>
      </c>
      <c r="F1155" s="6" t="n">
        <f aca="false">(A1155+1)^1.12</f>
        <v>2689.49354252609</v>
      </c>
      <c r="G1155" s="6" t="n">
        <f aca="false">G1154+E1155</f>
        <v>1788269.67564697</v>
      </c>
    </row>
    <row r="1156" customFormat="false" ht="15" hidden="false" customHeight="true" outlineLevel="0" collapsed="false">
      <c r="A1156" s="6" t="n">
        <v>1154</v>
      </c>
      <c r="B1156" s="6" t="n">
        <f aca="false">MIN(42, FLOOR(A1156/32,1)+1)</f>
        <v>37</v>
      </c>
      <c r="C1156" s="6" t="str">
        <f aca="false">INDEX(Grades_Realms!$B$2:$B$43, B1156)</f>
        <v>Primordial · Initial</v>
      </c>
      <c r="D1156" s="6" t="n">
        <f aca="false">(A1156+1)^2.4 * 1.004^A1156</f>
        <v>2243372251.47843</v>
      </c>
      <c r="E1156" s="6" t="n">
        <f aca="false">$I$2*(A1156+1)^1.9*1.003^A1156</f>
        <v>9029.08184592655</v>
      </c>
      <c r="F1156" s="6" t="n">
        <f aca="false">(A1156+1)^1.12</f>
        <v>2692.10393190482</v>
      </c>
      <c r="G1156" s="6" t="n">
        <f aca="false">G1155+E1156</f>
        <v>1797298.75749289</v>
      </c>
    </row>
    <row r="1157" customFormat="false" ht="15" hidden="false" customHeight="true" outlineLevel="0" collapsed="false">
      <c r="A1157" s="6" t="n">
        <v>1155</v>
      </c>
      <c r="B1157" s="6" t="n">
        <f aca="false">MIN(42, FLOOR(A1157/32,1)+1)</f>
        <v>37</v>
      </c>
      <c r="C1157" s="6" t="str">
        <f aca="false">INDEX(Grades_Realms!$B$2:$B$43, B1157)</f>
        <v>Primordial · Initial</v>
      </c>
      <c r="D1157" s="6" t="n">
        <f aca="false">(A1157+1)^2.4 * 1.004^A1157</f>
        <v>2257028776.23722</v>
      </c>
      <c r="E1157" s="6" t="n">
        <f aca="false">$I$2*(A1157+1)^1.9*1.003^A1157</f>
        <v>9071.07248973077</v>
      </c>
      <c r="F1157" s="6" t="n">
        <f aca="false">(A1157+1)^1.12</f>
        <v>2694.71459250696</v>
      </c>
      <c r="G1157" s="6" t="n">
        <f aca="false">G1156+E1157</f>
        <v>1806369.82998262</v>
      </c>
    </row>
    <row r="1158" customFormat="false" ht="15" hidden="false" customHeight="true" outlineLevel="0" collapsed="false">
      <c r="A1158" s="6" t="n">
        <v>1156</v>
      </c>
      <c r="B1158" s="6" t="n">
        <f aca="false">MIN(42, FLOOR(A1158/32,1)+1)</f>
        <v>37</v>
      </c>
      <c r="C1158" s="6" t="str">
        <f aca="false">INDEX(Grades_Realms!$B$2:$B$43, B1158)</f>
        <v>Primordial · Initial</v>
      </c>
      <c r="D1158" s="6" t="n">
        <f aca="false">(A1158+1)^2.4 * 1.004^A1158</f>
        <v>2270764356.87027</v>
      </c>
      <c r="E1158" s="6" t="n">
        <f aca="false">$I$2*(A1158+1)^1.9*1.003^A1158</f>
        <v>9113.24545799416</v>
      </c>
      <c r="F1158" s="6" t="n">
        <f aca="false">(A1158+1)^1.12</f>
        <v>2697.32552412603</v>
      </c>
      <c r="G1158" s="6" t="n">
        <f aca="false">G1157+E1158</f>
        <v>1815483.07544062</v>
      </c>
    </row>
    <row r="1159" customFormat="false" ht="15" hidden="false" customHeight="true" outlineLevel="0" collapsed="false">
      <c r="A1159" s="6" t="n">
        <v>1157</v>
      </c>
      <c r="B1159" s="6" t="n">
        <f aca="false">MIN(42, FLOOR(A1159/32,1)+1)</f>
        <v>37</v>
      </c>
      <c r="C1159" s="6" t="str">
        <f aca="false">INDEX(Grades_Realms!$B$2:$B$43, B1159)</f>
        <v>Primordial · Initial</v>
      </c>
      <c r="D1159" s="6" t="n">
        <f aca="false">(A1159+1)^2.4 * 1.004^A1159</f>
        <v>2284579432.08957</v>
      </c>
      <c r="E1159" s="6" t="n">
        <f aca="false">$I$2*(A1159+1)^1.9*1.003^A1159</f>
        <v>9155.60150066503</v>
      </c>
      <c r="F1159" s="6" t="n">
        <f aca="false">(A1159+1)^1.12</f>
        <v>2699.93672655589</v>
      </c>
      <c r="G1159" s="6" t="n">
        <f aca="false">G1158+E1159</f>
        <v>1824638.67694128</v>
      </c>
    </row>
    <row r="1160" customFormat="false" ht="15" hidden="false" customHeight="true" outlineLevel="0" collapsed="false">
      <c r="A1160" s="6" t="n">
        <v>1158</v>
      </c>
      <c r="B1160" s="6" t="n">
        <f aca="false">MIN(42, FLOOR(A1160/32,1)+1)</f>
        <v>37</v>
      </c>
      <c r="C1160" s="6" t="str">
        <f aca="false">INDEX(Grades_Realms!$B$2:$B$43, B1160)</f>
        <v>Primordial · Initial</v>
      </c>
      <c r="D1160" s="6" t="n">
        <f aca="false">(A1160+1)^2.4 * 1.004^A1160</f>
        <v>2298474442.9579</v>
      </c>
      <c r="E1160" s="6" t="n">
        <f aca="false">$I$2*(A1160+1)^1.9*1.003^A1160</f>
        <v>9198.14137065011</v>
      </c>
      <c r="F1160" s="6" t="n">
        <f aca="false">(A1160+1)^1.12</f>
        <v>2702.54819959072</v>
      </c>
      <c r="G1160" s="6" t="n">
        <f aca="false">G1159+E1160</f>
        <v>1833836.81831193</v>
      </c>
    </row>
    <row r="1161" customFormat="false" ht="15" hidden="false" customHeight="true" outlineLevel="0" collapsed="false">
      <c r="A1161" s="6" t="n">
        <v>1159</v>
      </c>
      <c r="B1161" s="6" t="n">
        <f aca="false">MIN(42, FLOOR(A1161/32,1)+1)</f>
        <v>37</v>
      </c>
      <c r="C1161" s="6" t="str">
        <f aca="false">INDEX(Grades_Realms!$B$2:$B$43, B1161)</f>
        <v>Primordial · Initial</v>
      </c>
      <c r="D1161" s="6" t="n">
        <f aca="false">(A1161+1)^2.4 * 1.004^A1161</f>
        <v>2312449832.90101</v>
      </c>
      <c r="E1161" s="6" t="n">
        <f aca="false">$I$2*(A1161+1)^1.9*1.003^A1161</f>
        <v>9240.86582382593</v>
      </c>
      <c r="F1161" s="6" t="n">
        <f aca="false">(A1161+1)^1.12</f>
        <v>2705.15994302505</v>
      </c>
      <c r="G1161" s="6" t="n">
        <f aca="false">G1160+E1161</f>
        <v>1843077.68413576</v>
      </c>
    </row>
    <row r="1162" customFormat="false" ht="15" hidden="false" customHeight="true" outlineLevel="0" collapsed="false">
      <c r="A1162" s="6" t="n">
        <v>1160</v>
      </c>
      <c r="B1162" s="6" t="n">
        <f aca="false">MIN(42, FLOOR(A1162/32,1)+1)</f>
        <v>37</v>
      </c>
      <c r="C1162" s="6" t="str">
        <f aca="false">INDEX(Grades_Realms!$B$2:$B$43, B1162)</f>
        <v>Primordial · Initial</v>
      </c>
      <c r="D1162" s="6" t="n">
        <f aca="false">(A1162+1)^2.4 * 1.004^A1162</f>
        <v>2326506047.71998</v>
      </c>
      <c r="E1162" s="6" t="n">
        <f aca="false">$I$2*(A1162+1)^1.9*1.003^A1162</f>
        <v>9283.77561905006</v>
      </c>
      <c r="F1162" s="6" t="n">
        <f aca="false">(A1162+1)^1.12</f>
        <v>2707.77195665375</v>
      </c>
      <c r="G1162" s="6" t="n">
        <f aca="false">G1161+E1162</f>
        <v>1852361.45975481</v>
      </c>
    </row>
    <row r="1163" customFormat="false" ht="15" hidden="false" customHeight="true" outlineLevel="0" collapsed="false">
      <c r="A1163" s="6" t="n">
        <v>1161</v>
      </c>
      <c r="B1163" s="6" t="n">
        <f aca="false">MIN(42, FLOOR(A1163/32,1)+1)</f>
        <v>37</v>
      </c>
      <c r="C1163" s="6" t="str">
        <f aca="false">INDEX(Grades_Realms!$B$2:$B$43, B1163)</f>
        <v>Primordial · Initial</v>
      </c>
      <c r="D1163" s="6" t="n">
        <f aca="false">(A1163+1)^2.4 * 1.004^A1163</f>
        <v>2340643535.60351</v>
      </c>
      <c r="E1163" s="6" t="n">
        <f aca="false">$I$2*(A1163+1)^1.9*1.003^A1163</f>
        <v>9326.87151817257</v>
      </c>
      <c r="F1163" s="6" t="n">
        <f aca="false">(A1163+1)^1.12</f>
        <v>2710.384240272</v>
      </c>
      <c r="G1163" s="6" t="n">
        <f aca="false">G1162+E1163</f>
        <v>1861688.33127298</v>
      </c>
    </row>
    <row r="1164" customFormat="false" ht="15" hidden="false" customHeight="true" outlineLevel="0" collapsed="false">
      <c r="A1164" s="6" t="n">
        <v>1162</v>
      </c>
      <c r="B1164" s="6" t="n">
        <f aca="false">MIN(42, FLOOR(A1164/32,1)+1)</f>
        <v>37</v>
      </c>
      <c r="C1164" s="6" t="str">
        <f aca="false">INDEX(Grades_Realms!$B$2:$B$43, B1164)</f>
        <v>Primordial · Initial</v>
      </c>
      <c r="D1164" s="6" t="n">
        <f aca="false">(A1164+1)^2.4 * 1.004^A1164</f>
        <v>2354862747.1404</v>
      </c>
      <c r="E1164" s="6" t="n">
        <f aca="false">$I$2*(A1164+1)^1.9*1.003^A1164</f>
        <v>9370.15428604739</v>
      </c>
      <c r="F1164" s="6" t="n">
        <f aca="false">(A1164+1)^1.12</f>
        <v>2712.99679367533</v>
      </c>
      <c r="G1164" s="6" t="n">
        <f aca="false">G1163+E1164</f>
        <v>1871058.48555903</v>
      </c>
    </row>
    <row r="1165" customFormat="false" ht="15" hidden="false" customHeight="true" outlineLevel="0" collapsed="false">
      <c r="A1165" s="6" t="n">
        <v>1163</v>
      </c>
      <c r="B1165" s="6" t="n">
        <f aca="false">MIN(42, FLOOR(A1165/32,1)+1)</f>
        <v>37</v>
      </c>
      <c r="C1165" s="6" t="str">
        <f aca="false">INDEX(Grades_Realms!$B$2:$B$43, B1165)</f>
        <v>Primordial · Initial</v>
      </c>
      <c r="D1165" s="6" t="n">
        <f aca="false">(A1165+1)^2.4 * 1.004^A1165</f>
        <v>2369164135.33204</v>
      </c>
      <c r="E1165" s="6" t="n">
        <f aca="false">$I$2*(A1165+1)^1.9*1.003^A1165</f>
        <v>9413.62469054382</v>
      </c>
      <c r="F1165" s="6" t="n">
        <f aca="false">(A1165+1)^1.12</f>
        <v>2715.60961665958</v>
      </c>
      <c r="G1165" s="6" t="n">
        <f aca="false">G1164+E1165</f>
        <v>1880472.11024957</v>
      </c>
    </row>
    <row r="1166" customFormat="false" ht="15" hidden="false" customHeight="true" outlineLevel="0" collapsed="false">
      <c r="A1166" s="6" t="n">
        <v>1164</v>
      </c>
      <c r="B1166" s="6" t="n">
        <f aca="false">MIN(42, FLOOR(A1166/32,1)+1)</f>
        <v>37</v>
      </c>
      <c r="C1166" s="6" t="str">
        <f aca="false">INDEX(Grades_Realms!$B$2:$B$43, B1166)</f>
        <v>Primordial · Initial</v>
      </c>
      <c r="D1166" s="6" t="n">
        <f aca="false">(A1166+1)^2.4 * 1.004^A1166</f>
        <v>2383548155.6049</v>
      </c>
      <c r="E1166" s="6" t="n">
        <f aca="false">$I$2*(A1166+1)^1.9*1.003^A1166</f>
        <v>9457.28350255802</v>
      </c>
      <c r="F1166" s="6" t="n">
        <f aca="false">(A1166+1)^1.12</f>
        <v>2718.22270902095</v>
      </c>
      <c r="G1166" s="6" t="n">
        <f aca="false">G1165+E1166</f>
        <v>1889929.39375213</v>
      </c>
    </row>
    <row r="1167" customFormat="false" ht="15" hidden="false" customHeight="true" outlineLevel="0" collapsed="false">
      <c r="A1167" s="6" t="n">
        <v>1165</v>
      </c>
      <c r="B1167" s="6" t="n">
        <f aca="false">MIN(42, FLOOR(A1167/32,1)+1)</f>
        <v>37</v>
      </c>
      <c r="C1167" s="6" t="str">
        <f aca="false">INDEX(Grades_Realms!$B$2:$B$43, B1167)</f>
        <v>Primordial · Initial</v>
      </c>
      <c r="D1167" s="6" t="n">
        <f aca="false">(A1167+1)^2.4 * 1.004^A1167</f>
        <v>2398015265.82319</v>
      </c>
      <c r="E1167" s="6" t="n">
        <f aca="false">$I$2*(A1167+1)^1.9*1.003^A1167</f>
        <v>9501.13149602456</v>
      </c>
      <c r="F1167" s="6" t="n">
        <f aca="false">(A1167+1)^1.12</f>
        <v>2720.83607055593</v>
      </c>
      <c r="G1167" s="6" t="n">
        <f aca="false">G1166+E1167</f>
        <v>1899430.52524816</v>
      </c>
    </row>
    <row r="1168" customFormat="false" ht="15" hidden="false" customHeight="true" outlineLevel="0" collapsed="false">
      <c r="A1168" s="6" t="n">
        <v>1166</v>
      </c>
      <c r="B1168" s="6" t="n">
        <f aca="false">MIN(42, FLOOR(A1168/32,1)+1)</f>
        <v>37</v>
      </c>
      <c r="C1168" s="6" t="str">
        <f aca="false">INDEX(Grades_Realms!$B$2:$B$43, B1168)</f>
        <v>Primordial · Initial</v>
      </c>
      <c r="D1168" s="6" t="n">
        <f aca="false">(A1168+1)^2.4 * 1.004^A1168</f>
        <v>2412565926.30154</v>
      </c>
      <c r="E1168" s="6" t="n">
        <f aca="false">$I$2*(A1168+1)^1.9*1.003^A1168</f>
        <v>9545.16944792799</v>
      </c>
      <c r="F1168" s="6" t="n">
        <f aca="false">(A1168+1)^1.12</f>
        <v>2723.44970106138</v>
      </c>
      <c r="G1168" s="6" t="n">
        <f aca="false">G1167+E1168</f>
        <v>1908975.69469608</v>
      </c>
    </row>
    <row r="1169" customFormat="false" ht="15" hidden="false" customHeight="true" outlineLevel="0" collapsed="false">
      <c r="A1169" s="6" t="n">
        <v>1167</v>
      </c>
      <c r="B1169" s="6" t="n">
        <f aca="false">MIN(42, FLOOR(A1169/32,1)+1)</f>
        <v>37</v>
      </c>
      <c r="C1169" s="6" t="str">
        <f aca="false">INDEX(Grades_Realms!$B$2:$B$43, B1169)</f>
        <v>Primordial · Initial</v>
      </c>
      <c r="D1169" s="6" t="n">
        <f aca="false">(A1169+1)^2.4 * 1.004^A1169</f>
        <v>2427200599.81771</v>
      </c>
      <c r="E1169" s="6" t="n">
        <f aca="false">$I$2*(A1169+1)^1.9*1.003^A1169</f>
        <v>9589.39813831453</v>
      </c>
      <c r="F1169" s="6" t="n">
        <f aca="false">(A1169+1)^1.12</f>
        <v>2726.06360033446</v>
      </c>
      <c r="G1169" s="6" t="n">
        <f aca="false">G1168+E1169</f>
        <v>1918565.0928344</v>
      </c>
    </row>
    <row r="1170" customFormat="false" ht="15" hidden="false" customHeight="true" outlineLevel="0" collapsed="false">
      <c r="A1170" s="6" t="n">
        <v>1168</v>
      </c>
      <c r="B1170" s="6" t="n">
        <f aca="false">MIN(42, FLOOR(A1170/32,1)+1)</f>
        <v>37</v>
      </c>
      <c r="C1170" s="6" t="str">
        <f aca="false">INDEX(Grades_Realms!$B$2:$B$43, B1170)</f>
        <v>Primordial · Initial</v>
      </c>
      <c r="D1170" s="6" t="n">
        <f aca="false">(A1170+1)^2.4 * 1.004^A1170</f>
        <v>2441919751.62542</v>
      </c>
      <c r="E1170" s="6" t="n">
        <f aca="false">$I$2*(A1170+1)^1.9*1.003^A1170</f>
        <v>9633.81835030369</v>
      </c>
      <c r="F1170" s="6" t="n">
        <f aca="false">(A1170+1)^1.12</f>
        <v>2728.67776817266</v>
      </c>
      <c r="G1170" s="6" t="n">
        <f aca="false">G1169+E1170</f>
        <v>1928198.9111847</v>
      </c>
    </row>
    <row r="1171" customFormat="false" ht="15" hidden="false" customHeight="true" outlineLevel="0" collapsed="false">
      <c r="A1171" s="6" t="n">
        <v>1169</v>
      </c>
      <c r="B1171" s="6" t="n">
        <f aca="false">MIN(42, FLOOR(A1171/32,1)+1)</f>
        <v>37</v>
      </c>
      <c r="C1171" s="6" t="str">
        <f aca="false">INDEX(Grades_Realms!$B$2:$B$43, B1171)</f>
        <v>Primordial · Initial</v>
      </c>
      <c r="D1171" s="6" t="n">
        <f aca="false">(A1171+1)^2.4 * 1.004^A1171</f>
        <v>2456723849.46722</v>
      </c>
      <c r="E1171" s="6" t="n">
        <f aca="false">$I$2*(A1171+1)^1.9*1.003^A1171</f>
        <v>9678.43087010004</v>
      </c>
      <c r="F1171" s="6" t="n">
        <f aca="false">(A1171+1)^1.12</f>
        <v>2731.2922043738</v>
      </c>
      <c r="G1171" s="6" t="n">
        <f aca="false">G1170+E1171</f>
        <v>1937877.3420548</v>
      </c>
    </row>
    <row r="1172" customFormat="false" ht="15" hidden="false" customHeight="true" outlineLevel="0" collapsed="false">
      <c r="A1172" s="6" t="n">
        <v>1170</v>
      </c>
      <c r="B1172" s="6" t="n">
        <f aca="false">MIN(42, FLOOR(A1172/32,1)+1)</f>
        <v>37</v>
      </c>
      <c r="C1172" s="6" t="str">
        <f aca="false">INDEX(Grades_Realms!$B$2:$B$43, B1172)</f>
        <v>Primordial · Initial</v>
      </c>
      <c r="D1172" s="6" t="n">
        <f aca="false">(A1172+1)^2.4 * 1.004^A1172</f>
        <v>2471613363.58742</v>
      </c>
      <c r="E1172" s="6" t="n">
        <f aca="false">$I$2*(A1172+1)^1.9*1.003^A1172</f>
        <v>9723.23648700493</v>
      </c>
      <c r="F1172" s="6" t="n">
        <f aca="false">(A1172+1)^1.12</f>
        <v>2733.90690873602</v>
      </c>
      <c r="G1172" s="6" t="n">
        <f aca="false">G1171+E1172</f>
        <v>1947600.57854181</v>
      </c>
    </row>
    <row r="1173" customFormat="false" ht="15" hidden="false" customHeight="true" outlineLevel="0" collapsed="false">
      <c r="A1173" s="6" t="n">
        <v>1171</v>
      </c>
      <c r="B1173" s="6" t="n">
        <f aca="false">MIN(42, FLOOR(A1173/32,1)+1)</f>
        <v>37</v>
      </c>
      <c r="C1173" s="6" t="str">
        <f aca="false">INDEX(Grades_Realms!$B$2:$B$43, B1173)</f>
        <v>Primordial · Initial</v>
      </c>
      <c r="D1173" s="6" t="n">
        <f aca="false">(A1173+1)^2.4 * 1.004^A1173</f>
        <v>2486588766.74509</v>
      </c>
      <c r="E1173" s="6" t="n">
        <f aca="false">$I$2*(A1173+1)^1.9*1.003^A1173</f>
        <v>9768.23599342834</v>
      </c>
      <c r="F1173" s="6" t="n">
        <f aca="false">(A1173+1)^1.12</f>
        <v>2736.5218810578</v>
      </c>
      <c r="G1173" s="6" t="n">
        <f aca="false">G1172+E1173</f>
        <v>1957368.81453523</v>
      </c>
    </row>
    <row r="1174" customFormat="false" ht="15" hidden="false" customHeight="true" outlineLevel="0" collapsed="false">
      <c r="A1174" s="6" t="n">
        <v>1172</v>
      </c>
      <c r="B1174" s="6" t="n">
        <f aca="false">MIN(42, FLOOR(A1174/32,1)+1)</f>
        <v>37</v>
      </c>
      <c r="C1174" s="6" t="str">
        <f aca="false">INDEX(Grades_Realms!$B$2:$B$43, B1174)</f>
        <v>Primordial · Initial</v>
      </c>
      <c r="D1174" s="6" t="n">
        <f aca="false">(A1174+1)^2.4 * 1.004^A1174</f>
        <v>2501650534.22714</v>
      </c>
      <c r="E1174" s="6" t="n">
        <f aca="false">$I$2*(A1174+1)^1.9*1.003^A1174</f>
        <v>9813.43018490071</v>
      </c>
      <c r="F1174" s="6" t="n">
        <f aca="false">(A1174+1)^1.12</f>
        <v>2739.13712113792</v>
      </c>
      <c r="G1174" s="6" t="n">
        <f aca="false">G1173+E1174</f>
        <v>1967182.24472014</v>
      </c>
    </row>
    <row r="1175" customFormat="false" ht="15" hidden="false" customHeight="true" outlineLevel="0" collapsed="false">
      <c r="A1175" s="6" t="n">
        <v>1173</v>
      </c>
      <c r="B1175" s="6" t="n">
        <f aca="false">MIN(42, FLOOR(A1175/32,1)+1)</f>
        <v>37</v>
      </c>
      <c r="C1175" s="6" t="str">
        <f aca="false">INDEX(Grades_Realms!$B$2:$B$43, B1175)</f>
        <v>Primordial · Initial</v>
      </c>
      <c r="D1175" s="6" t="n">
        <f aca="false">(A1175+1)^2.4 * 1.004^A1175</f>
        <v>2516799143.86142</v>
      </c>
      <c r="E1175" s="6" t="n">
        <f aca="false">$I$2*(A1175+1)^1.9*1.003^A1175</f>
        <v>9858.81986008486</v>
      </c>
      <c r="F1175" s="6" t="n">
        <f aca="false">(A1175+1)^1.12</f>
        <v>2741.7526287755</v>
      </c>
      <c r="G1175" s="6" t="n">
        <f aca="false">G1174+E1175</f>
        <v>1977041.06458022</v>
      </c>
    </row>
    <row r="1176" customFormat="false" ht="15" hidden="false" customHeight="true" outlineLevel="0" collapsed="false">
      <c r="A1176" s="6" t="n">
        <v>1174</v>
      </c>
      <c r="B1176" s="6" t="n">
        <f aca="false">MIN(42, FLOOR(A1176/32,1)+1)</f>
        <v>37</v>
      </c>
      <c r="C1176" s="6" t="str">
        <f aca="false">INDEX(Grades_Realms!$B$2:$B$43, B1176)</f>
        <v>Primordial · Initial</v>
      </c>
      <c r="D1176" s="6" t="n">
        <f aca="false">(A1176+1)^2.4 * 1.004^A1176</f>
        <v>2532035076.02998</v>
      </c>
      <c r="E1176" s="6" t="n">
        <f aca="false">$I$2*(A1176+1)^1.9*1.003^A1176</f>
        <v>9904.4058207879</v>
      </c>
      <c r="F1176" s="6" t="n">
        <f aca="false">(A1176+1)^1.12</f>
        <v>2744.36840376998</v>
      </c>
      <c r="G1176" s="6" t="n">
        <f aca="false">G1175+E1176</f>
        <v>1986945.47040101</v>
      </c>
    </row>
    <row r="1177" customFormat="false" ht="15" hidden="false" customHeight="true" outlineLevel="0" collapsed="false">
      <c r="A1177" s="6" t="n">
        <v>1175</v>
      </c>
      <c r="B1177" s="6" t="n">
        <f aca="false">MIN(42, FLOOR(A1177/32,1)+1)</f>
        <v>37</v>
      </c>
      <c r="C1177" s="6" t="str">
        <f aca="false">INDEX(Grades_Realms!$B$2:$B$43, B1177)</f>
        <v>Primordial · Initial</v>
      </c>
      <c r="D1177" s="6" t="n">
        <f aca="false">(A1177+1)^2.4 * 1.004^A1177</f>
        <v>2547358813.68228</v>
      </c>
      <c r="E1177" s="6" t="n">
        <f aca="false">$I$2*(A1177+1)^1.9*1.003^A1177</f>
        <v>9950.18887197323</v>
      </c>
      <c r="F1177" s="6" t="n">
        <f aca="false">(A1177+1)^1.12</f>
        <v>2746.9844459211</v>
      </c>
      <c r="G1177" s="6" t="n">
        <f aca="false">G1176+E1177</f>
        <v>1996895.65927298</v>
      </c>
    </row>
    <row r="1178" customFormat="false" ht="15" hidden="false" customHeight="true" outlineLevel="0" collapsed="false">
      <c r="A1178" s="6" t="n">
        <v>1176</v>
      </c>
      <c r="B1178" s="6" t="n">
        <f aca="false">MIN(42, FLOOR(A1178/32,1)+1)</f>
        <v>37</v>
      </c>
      <c r="C1178" s="6" t="str">
        <f aca="false">INDEX(Grades_Realms!$B$2:$B$43, B1178)</f>
        <v>Primordial · Initial</v>
      </c>
      <c r="D1178" s="6" t="n">
        <f aca="false">(A1178+1)^2.4 * 1.004^A1178</f>
        <v>2562770842.34857</v>
      </c>
      <c r="E1178" s="6" t="n">
        <f aca="false">$I$2*(A1178+1)^1.9*1.003^A1178</f>
        <v>9996.16982177258</v>
      </c>
      <c r="F1178" s="6" t="n">
        <f aca="false">(A1178+1)^1.12</f>
        <v>2749.60075502895</v>
      </c>
      <c r="G1178" s="6" t="n">
        <f aca="false">G1177+E1178</f>
        <v>2006891.82909475</v>
      </c>
    </row>
    <row r="1179" customFormat="false" ht="15" hidden="false" customHeight="true" outlineLevel="0" collapsed="false">
      <c r="A1179" s="6" t="n">
        <v>1177</v>
      </c>
      <c r="B1179" s="6" t="n">
        <f aca="false">MIN(42, FLOOR(A1179/32,1)+1)</f>
        <v>37</v>
      </c>
      <c r="C1179" s="6" t="str">
        <f aca="false">INDEX(Grades_Realms!$B$2:$B$43, B1179)</f>
        <v>Primordial · Initial</v>
      </c>
      <c r="D1179" s="6" t="n">
        <f aca="false">(A1179+1)^2.4 * 1.004^A1179</f>
        <v>2578271650.15326</v>
      </c>
      <c r="E1179" s="6" t="n">
        <f aca="false">$I$2*(A1179+1)^1.9*1.003^A1179</f>
        <v>10042.3494814981</v>
      </c>
      <c r="F1179" s="6" t="n">
        <f aca="false">(A1179+1)^1.12</f>
        <v>2752.21733089393</v>
      </c>
      <c r="G1179" s="6" t="n">
        <f aca="false">G1178+E1179</f>
        <v>2016934.17857625</v>
      </c>
    </row>
    <row r="1180" customFormat="false" ht="15" hidden="false" customHeight="true" outlineLevel="0" collapsed="false">
      <c r="A1180" s="6" t="n">
        <v>1178</v>
      </c>
      <c r="B1180" s="6" t="n">
        <f aca="false">MIN(42, FLOOR(A1180/32,1)+1)</f>
        <v>37</v>
      </c>
      <c r="C1180" s="6" t="str">
        <f aca="false">INDEX(Grades_Realms!$B$2:$B$43, B1180)</f>
        <v>Primordial · Initial</v>
      </c>
      <c r="D1180" s="6" t="n">
        <f aca="false">(A1180+1)^2.4 * 1.004^A1180</f>
        <v>2593861727.82841</v>
      </c>
      <c r="E1180" s="6" t="n">
        <f aca="false">$I$2*(A1180+1)^1.9*1.003^A1180</f>
        <v>10088.7286656544</v>
      </c>
      <c r="F1180" s="6" t="n">
        <f aca="false">(A1180+1)^1.12</f>
        <v>2754.83417331674</v>
      </c>
      <c r="G1180" s="6" t="n">
        <f aca="false">G1179+E1180</f>
        <v>2027022.90724191</v>
      </c>
    </row>
    <row r="1181" customFormat="false" ht="15" hidden="false" customHeight="true" outlineLevel="0" collapsed="false">
      <c r="A1181" s="6" t="n">
        <v>1179</v>
      </c>
      <c r="B1181" s="6" t="n">
        <f aca="false">MIN(42, FLOOR(A1181/32,1)+1)</f>
        <v>37</v>
      </c>
      <c r="C1181" s="6" t="str">
        <f aca="false">INDEX(Grades_Realms!$B$2:$B$43, B1181)</f>
        <v>Primordial · Initial</v>
      </c>
      <c r="D1181" s="6" t="n">
        <f aca="false">(A1181+1)^2.4 * 1.004^A1181</f>
        <v>2609541568.72725</v>
      </c>
      <c r="E1181" s="6" t="n">
        <f aca="false">$I$2*(A1181+1)^1.9*1.003^A1181</f>
        <v>10135.3081919509</v>
      </c>
      <c r="F1181" s="6" t="n">
        <f aca="false">(A1181+1)^1.12</f>
        <v>2757.45128209842</v>
      </c>
      <c r="G1181" s="6" t="n">
        <f aca="false">G1180+E1181</f>
        <v>2037158.21543386</v>
      </c>
    </row>
    <row r="1182" customFormat="false" ht="15" hidden="false" customHeight="true" outlineLevel="0" collapsed="false">
      <c r="A1182" s="6" t="n">
        <v>1180</v>
      </c>
      <c r="B1182" s="6" t="n">
        <f aca="false">MIN(42, FLOOR(A1182/32,1)+1)</f>
        <v>37</v>
      </c>
      <c r="C1182" s="6" t="str">
        <f aca="false">INDEX(Grades_Realms!$B$2:$B$43, B1182)</f>
        <v>Primordial · Initial</v>
      </c>
      <c r="D1182" s="6" t="n">
        <f aca="false">(A1182+1)^2.4 * 1.004^A1182</f>
        <v>2625311668.83782</v>
      </c>
      <c r="E1182" s="6" t="n">
        <f aca="false">$I$2*(A1182+1)^1.9*1.003^A1182</f>
        <v>10182.0888813137</v>
      </c>
      <c r="F1182" s="6" t="n">
        <f aca="false">(A1182+1)^1.12</f>
        <v>2760.06865704032</v>
      </c>
      <c r="G1182" s="6" t="n">
        <f aca="false">G1181+E1182</f>
        <v>2047340.30431517</v>
      </c>
    </row>
    <row r="1183" customFormat="false" ht="15" hidden="false" customHeight="true" outlineLevel="0" collapsed="false">
      <c r="A1183" s="6" t="n">
        <v>1181</v>
      </c>
      <c r="B1183" s="6" t="n">
        <f aca="false">MIN(42, FLOOR(A1183/32,1)+1)</f>
        <v>37</v>
      </c>
      <c r="C1183" s="6" t="str">
        <f aca="false">INDEX(Grades_Realms!$B$2:$B$43, B1183)</f>
        <v>Primordial · Initial</v>
      </c>
      <c r="D1183" s="6" t="n">
        <f aca="false">(A1183+1)^2.4 * 1.004^A1183</f>
        <v>2641172526.79661</v>
      </c>
      <c r="E1183" s="6" t="n">
        <f aca="false">$I$2*(A1183+1)^1.9*1.003^A1183</f>
        <v>10229.0715578982</v>
      </c>
      <c r="F1183" s="6" t="n">
        <f aca="false">(A1183+1)^1.12</f>
        <v>2762.68629794411</v>
      </c>
      <c r="G1183" s="6" t="n">
        <f aca="false">G1182+E1183</f>
        <v>2057569.37587307</v>
      </c>
    </row>
    <row r="1184" customFormat="false" ht="15" hidden="false" customHeight="true" outlineLevel="0" collapsed="false">
      <c r="A1184" s="6" t="n">
        <v>1182</v>
      </c>
      <c r="B1184" s="6" t="n">
        <f aca="false">MIN(42, FLOOR(A1184/32,1)+1)</f>
        <v>37</v>
      </c>
      <c r="C1184" s="6" t="str">
        <f aca="false">INDEX(Grades_Realms!$B$2:$B$43, B1184)</f>
        <v>Primordial · Initial</v>
      </c>
      <c r="D1184" s="6" t="n">
        <f aca="false">(A1184+1)^2.4 * 1.004^A1184</f>
        <v>2657124643.90233</v>
      </c>
      <c r="E1184" s="6" t="n">
        <f aca="false">$I$2*(A1184+1)^1.9*1.003^A1184</f>
        <v>10276.2570491013</v>
      </c>
      <c r="F1184" s="6" t="n">
        <f aca="false">(A1184+1)^1.12</f>
        <v>2765.30420461176</v>
      </c>
      <c r="G1184" s="6" t="n">
        <f aca="false">G1183+E1184</f>
        <v>2067845.63292217</v>
      </c>
    </row>
    <row r="1185" customFormat="false" ht="15" hidden="false" customHeight="true" outlineLevel="0" collapsed="false">
      <c r="A1185" s="6" t="n">
        <v>1183</v>
      </c>
      <c r="B1185" s="6" t="n">
        <f aca="false">MIN(42, FLOOR(A1185/32,1)+1)</f>
        <v>37</v>
      </c>
      <c r="C1185" s="6" t="str">
        <f aca="false">INDEX(Grades_Realms!$B$2:$B$43, B1185)</f>
        <v>Primordial · Initial</v>
      </c>
      <c r="D1185" s="6" t="n">
        <f aca="false">(A1185+1)^2.4 * 1.004^A1185</f>
        <v>2673168524.12972</v>
      </c>
      <c r="E1185" s="6" t="n">
        <f aca="false">$I$2*(A1185+1)^1.9*1.003^A1185</f>
        <v>10323.6461855736</v>
      </c>
      <c r="F1185" s="6" t="n">
        <f aca="false">(A1185+1)^1.12</f>
        <v>2767.92237684557</v>
      </c>
      <c r="G1185" s="6" t="n">
        <f aca="false">G1184+E1185</f>
        <v>2078169.27910774</v>
      </c>
    </row>
    <row r="1186" customFormat="false" ht="15" hidden="false" customHeight="true" outlineLevel="0" collapsed="false">
      <c r="A1186" s="6" t="n">
        <v>1184</v>
      </c>
      <c r="B1186" s="6" t="n">
        <f aca="false">MIN(42, FLOOR(A1186/32,1)+1)</f>
        <v>38</v>
      </c>
      <c r="C1186" s="6" t="str">
        <f aca="false">INDEX(Grades_Realms!$B$2:$B$43, B1186)</f>
        <v>Primordial · Advanced</v>
      </c>
      <c r="D1186" s="6" t="n">
        <f aca="false">(A1186+1)^2.4 * 1.004^A1186</f>
        <v>2689304674.14344</v>
      </c>
      <c r="E1186" s="6" t="n">
        <f aca="false">$I$2*(A1186+1)^1.9*1.003^A1186</f>
        <v>10371.2398012319</v>
      </c>
      <c r="F1186" s="6" t="n">
        <f aca="false">(A1186+1)^1.12</f>
        <v>2770.54081444815</v>
      </c>
      <c r="G1186" s="6" t="n">
        <f aca="false">G1185+E1186</f>
        <v>2088540.51890898</v>
      </c>
    </row>
    <row r="1187" customFormat="false" ht="15" hidden="false" customHeight="true" outlineLevel="0" collapsed="false">
      <c r="A1187" s="6" t="n">
        <v>1185</v>
      </c>
      <c r="B1187" s="6" t="n">
        <f aca="false">MIN(42, FLOOR(A1187/32,1)+1)</f>
        <v>38</v>
      </c>
      <c r="C1187" s="6" t="str">
        <f aca="false">INDEX(Grades_Realms!$B$2:$B$43, B1187)</f>
        <v>Primordial · Advanced</v>
      </c>
      <c r="D1187" s="6" t="n">
        <f aca="false">(A1187+1)^2.4 * 1.004^A1187</f>
        <v>2705533603.31202</v>
      </c>
      <c r="E1187" s="6" t="n">
        <f aca="false">$I$2*(A1187+1)^1.9*1.003^A1187</f>
        <v>10419.0387332716</v>
      </c>
      <c r="F1187" s="6" t="n">
        <f aca="false">(A1187+1)^1.12</f>
        <v>2773.15951722243</v>
      </c>
      <c r="G1187" s="6" t="n">
        <f aca="false">G1186+E1187</f>
        <v>2098959.55764225</v>
      </c>
    </row>
    <row r="1188" customFormat="false" ht="15" hidden="false" customHeight="true" outlineLevel="0" collapsed="false">
      <c r="A1188" s="6" t="n">
        <v>1186</v>
      </c>
      <c r="B1188" s="6" t="n">
        <f aca="false">MIN(42, FLOOR(A1188/32,1)+1)</f>
        <v>38</v>
      </c>
      <c r="C1188" s="6" t="str">
        <f aca="false">INDEX(Grades_Realms!$B$2:$B$43, B1188)</f>
        <v>Primordial · Advanced</v>
      </c>
      <c r="D1188" s="6" t="n">
        <f aca="false">(A1188+1)^2.4 * 1.004^A1188</f>
        <v>2721855823.72187</v>
      </c>
      <c r="E1188" s="6" t="n">
        <f aca="false">$I$2*(A1188+1)^1.9*1.003^A1188</f>
        <v>10467.0438221793</v>
      </c>
      <c r="F1188" s="6" t="n">
        <f aca="false">(A1188+1)^1.12</f>
        <v>2775.77848497164</v>
      </c>
      <c r="G1188" s="6" t="n">
        <f aca="false">G1187+E1188</f>
        <v>2109426.60146443</v>
      </c>
    </row>
    <row r="1189" customFormat="false" ht="15" hidden="false" customHeight="true" outlineLevel="0" collapsed="false">
      <c r="A1189" s="6" t="n">
        <v>1187</v>
      </c>
      <c r="B1189" s="6" t="n">
        <f aca="false">MIN(42, FLOOR(A1189/32,1)+1)</f>
        <v>38</v>
      </c>
      <c r="C1189" s="6" t="str">
        <f aca="false">INDEX(Grades_Realms!$B$2:$B$43, B1189)</f>
        <v>Primordial · Advanced</v>
      </c>
      <c r="D1189" s="6" t="n">
        <f aca="false">(A1189+1)^2.4 * 1.004^A1189</f>
        <v>2738271850.19141</v>
      </c>
      <c r="E1189" s="6" t="n">
        <f aca="false">$I$2*(A1189+1)^1.9*1.003^A1189</f>
        <v>10515.2559117453</v>
      </c>
      <c r="F1189" s="6" t="n">
        <f aca="false">(A1189+1)^1.12</f>
        <v>2778.39771749932</v>
      </c>
      <c r="G1189" s="6" t="n">
        <f aca="false">G1188+E1189</f>
        <v>2119941.85737617</v>
      </c>
    </row>
    <row r="1190" customFormat="false" ht="15" hidden="false" customHeight="true" outlineLevel="0" collapsed="false">
      <c r="A1190" s="6" t="n">
        <v>1188</v>
      </c>
      <c r="B1190" s="6" t="n">
        <f aca="false">MIN(42, FLOOR(A1190/32,1)+1)</f>
        <v>38</v>
      </c>
      <c r="C1190" s="6" t="str">
        <f aca="false">INDEX(Grades_Realms!$B$2:$B$43, B1190)</f>
        <v>Primordial · Advanced</v>
      </c>
      <c r="D1190" s="6" t="n">
        <f aca="false">(A1190+1)^2.4 * 1.004^A1190</f>
        <v>2754782200.28523</v>
      </c>
      <c r="E1190" s="6" t="n">
        <f aca="false">$I$2*(A1190+1)^1.9*1.003^A1190</f>
        <v>10563.6758490759</v>
      </c>
      <c r="F1190" s="6" t="n">
        <f aca="false">(A1190+1)^1.12</f>
        <v>2781.01721460934</v>
      </c>
      <c r="G1190" s="6" t="n">
        <f aca="false">G1189+E1190</f>
        <v>2130505.53322525</v>
      </c>
    </row>
    <row r="1191" customFormat="false" ht="15" hidden="false" customHeight="true" outlineLevel="0" collapsed="false">
      <c r="A1191" s="6" t="n">
        <v>1189</v>
      </c>
      <c r="B1191" s="6" t="n">
        <f aca="false">MIN(42, FLOOR(A1191/32,1)+1)</f>
        <v>38</v>
      </c>
      <c r="C1191" s="6" t="str">
        <f aca="false">INDEX(Grades_Realms!$B$2:$B$43, B1191)</f>
        <v>Primordial · Advanced</v>
      </c>
      <c r="D1191" s="6" t="n">
        <f aca="false">(A1191+1)^2.4 * 1.004^A1191</f>
        <v>2771387394.32831</v>
      </c>
      <c r="E1191" s="6" t="n">
        <f aca="false">$I$2*(A1191+1)^1.9*1.003^A1191</f>
        <v>10612.3044846064</v>
      </c>
      <c r="F1191" s="6" t="n">
        <f aca="false">(A1191+1)^1.12</f>
        <v>2783.63697610586</v>
      </c>
      <c r="G1191" s="6" t="n">
        <f aca="false">G1190+E1191</f>
        <v>2141117.83770985</v>
      </c>
    </row>
    <row r="1192" customFormat="false" ht="15" hidden="false" customHeight="true" outlineLevel="0" collapsed="false">
      <c r="A1192" s="6" t="n">
        <v>1190</v>
      </c>
      <c r="B1192" s="6" t="n">
        <f aca="false">MIN(42, FLOOR(A1192/32,1)+1)</f>
        <v>38</v>
      </c>
      <c r="C1192" s="6" t="str">
        <f aca="false">INDEX(Grades_Realms!$B$2:$B$43, B1192)</f>
        <v>Primordial · Advanced</v>
      </c>
      <c r="D1192" s="6" t="n">
        <f aca="false">(A1192+1)^2.4 * 1.004^A1192</f>
        <v>2788087955.42037</v>
      </c>
      <c r="E1192" s="6" t="n">
        <f aca="false">$I$2*(A1192+1)^1.9*1.003^A1192</f>
        <v>10661.1426721137</v>
      </c>
      <c r="F1192" s="6" t="n">
        <f aca="false">(A1192+1)^1.12</f>
        <v>2786.25700179336</v>
      </c>
      <c r="G1192" s="6" t="n">
        <f aca="false">G1191+E1192</f>
        <v>2151778.98038197</v>
      </c>
    </row>
    <row r="1193" customFormat="false" ht="15" hidden="false" customHeight="true" outlineLevel="0" collapsed="false">
      <c r="A1193" s="6" t="n">
        <v>1191</v>
      </c>
      <c r="B1193" s="6" t="n">
        <f aca="false">MIN(42, FLOOR(A1193/32,1)+1)</f>
        <v>38</v>
      </c>
      <c r="C1193" s="6" t="str">
        <f aca="false">INDEX(Grades_Realms!$B$2:$B$43, B1193)</f>
        <v>Primordial · Advanced</v>
      </c>
      <c r="D1193" s="6" t="n">
        <f aca="false">(A1193+1)^2.4 * 1.004^A1193</f>
        <v>2804884409.45022</v>
      </c>
      <c r="E1193" s="6" t="n">
        <f aca="false">$I$2*(A1193+1)^1.9*1.003^A1193</f>
        <v>10710.1912687286</v>
      </c>
      <c r="F1193" s="6" t="n">
        <f aca="false">(A1193+1)^1.12</f>
        <v>2788.87729147662</v>
      </c>
      <c r="G1193" s="6" t="n">
        <f aca="false">G1192+E1193</f>
        <v>2162489.1716507</v>
      </c>
    </row>
    <row r="1194" customFormat="false" ht="15" hidden="false" customHeight="true" outlineLevel="0" collapsed="false">
      <c r="A1194" s="6" t="n">
        <v>1192</v>
      </c>
      <c r="B1194" s="6" t="n">
        <f aca="false">MIN(42, FLOOR(A1194/32,1)+1)</f>
        <v>38</v>
      </c>
      <c r="C1194" s="6" t="str">
        <f aca="false">INDEX(Grades_Realms!$B$2:$B$43, B1194)</f>
        <v>Primordial · Advanced</v>
      </c>
      <c r="D1194" s="6" t="n">
        <f aca="false">(A1194+1)^2.4 * 1.004^A1194</f>
        <v>2821777285.11024</v>
      </c>
      <c r="E1194" s="6" t="n">
        <f aca="false">$I$2*(A1194+1)^1.9*1.003^A1194</f>
        <v>10759.4511349494</v>
      </c>
      <c r="F1194" s="6" t="n">
        <f aca="false">(A1194+1)^1.12</f>
        <v>2791.49784496074</v>
      </c>
      <c r="G1194" s="6" t="n">
        <f aca="false">G1193+E1194</f>
        <v>2173248.62278565</v>
      </c>
    </row>
    <row r="1195" customFormat="false" ht="15" hidden="false" customHeight="true" outlineLevel="0" collapsed="false">
      <c r="A1195" s="6" t="n">
        <v>1193</v>
      </c>
      <c r="B1195" s="6" t="n">
        <f aca="false">MIN(42, FLOOR(A1195/32,1)+1)</f>
        <v>38</v>
      </c>
      <c r="C1195" s="6" t="str">
        <f aca="false">INDEX(Grades_Realms!$B$2:$B$43, B1195)</f>
        <v>Primordial · Advanced</v>
      </c>
      <c r="D1195" s="6" t="n">
        <f aca="false">(A1195+1)^2.4 * 1.004^A1195</f>
        <v>2838767113.91089</v>
      </c>
      <c r="E1195" s="6" t="n">
        <f aca="false">$I$2*(A1195+1)^1.9*1.003^A1195</f>
        <v>10808.9231346538</v>
      </c>
      <c r="F1195" s="6" t="n">
        <f aca="false">(A1195+1)^1.12</f>
        <v>2794.11866205113</v>
      </c>
      <c r="G1195" s="6" t="n">
        <f aca="false">G1194+E1195</f>
        <v>2184057.5459203</v>
      </c>
    </row>
    <row r="1196" customFormat="false" ht="15" hidden="false" customHeight="true" outlineLevel="0" collapsed="false">
      <c r="A1196" s="6" t="n">
        <v>1194</v>
      </c>
      <c r="B1196" s="6" t="n">
        <f aca="false">MIN(42, FLOOR(A1196/32,1)+1)</f>
        <v>38</v>
      </c>
      <c r="C1196" s="6" t="str">
        <f aca="false">INDEX(Grades_Realms!$B$2:$B$43, B1196)</f>
        <v>Primordial · Advanced</v>
      </c>
      <c r="D1196" s="6" t="n">
        <f aca="false">(A1196+1)^2.4 * 1.004^A1196</f>
        <v>2855854430.19535</v>
      </c>
      <c r="E1196" s="6" t="n">
        <f aca="false">$I$2*(A1196+1)^1.9*1.003^A1196</f>
        <v>10858.6081351124</v>
      </c>
      <c r="F1196" s="6" t="n">
        <f aca="false">(A1196+1)^1.12</f>
        <v>2796.73974255348</v>
      </c>
      <c r="G1196" s="6" t="n">
        <f aca="false">G1195+E1196</f>
        <v>2194916.15405541</v>
      </c>
    </row>
    <row r="1197" customFormat="false" ht="15" hidden="false" customHeight="true" outlineLevel="0" collapsed="false">
      <c r="A1197" s="6" t="n">
        <v>1195</v>
      </c>
      <c r="B1197" s="6" t="n">
        <f aca="false">MIN(42, FLOOR(A1197/32,1)+1)</f>
        <v>38</v>
      </c>
      <c r="C1197" s="6" t="str">
        <f aca="false">INDEX(Grades_Realms!$B$2:$B$43, B1197)</f>
        <v>Primordial · Advanced</v>
      </c>
      <c r="D1197" s="6" t="n">
        <f aca="false">(A1197+1)^2.4 * 1.004^A1197</f>
        <v>2873039771.15418</v>
      </c>
      <c r="E1197" s="6" t="n">
        <f aca="false">$I$2*(A1197+1)^1.9*1.003^A1197</f>
        <v>10908.5070070013</v>
      </c>
      <c r="F1197" s="6" t="n">
        <f aca="false">(A1197+1)^1.12</f>
        <v>2799.36108627381</v>
      </c>
      <c r="G1197" s="6" t="n">
        <f aca="false">G1196+E1197</f>
        <v>2205824.66106241</v>
      </c>
    </row>
    <row r="1198" customFormat="false" ht="15" hidden="false" customHeight="true" outlineLevel="0" collapsed="false">
      <c r="A1198" s="6" t="n">
        <v>1196</v>
      </c>
      <c r="B1198" s="6" t="n">
        <f aca="false">MIN(42, FLOOR(A1198/32,1)+1)</f>
        <v>38</v>
      </c>
      <c r="C1198" s="6" t="str">
        <f aca="false">INDEX(Grades_Realms!$B$2:$B$43, B1198)</f>
        <v>Primordial · Advanced</v>
      </c>
      <c r="D1198" s="6" t="n">
        <f aca="false">(A1198+1)^2.4 * 1.004^A1198</f>
        <v>2890323676.84005</v>
      </c>
      <c r="E1198" s="6" t="n">
        <f aca="false">$I$2*(A1198+1)^1.9*1.003^A1198</f>
        <v>10958.6206244151</v>
      </c>
      <c r="F1198" s="6" t="n">
        <f aca="false">(A1198+1)^1.12</f>
        <v>2801.98269301845</v>
      </c>
      <c r="G1198" s="6" t="n">
        <f aca="false">G1197+E1198</f>
        <v>2216783.28168683</v>
      </c>
    </row>
    <row r="1199" customFormat="false" ht="15" hidden="false" customHeight="true" outlineLevel="0" collapsed="false">
      <c r="A1199" s="6" t="n">
        <v>1197</v>
      </c>
      <c r="B1199" s="6" t="n">
        <f aca="false">MIN(42, FLOOR(A1199/32,1)+1)</f>
        <v>38</v>
      </c>
      <c r="C1199" s="6" t="str">
        <f aca="false">INDEX(Grades_Realms!$B$2:$B$43, B1199)</f>
        <v>Primordial · Advanced</v>
      </c>
      <c r="D1199" s="6" t="n">
        <f aca="false">(A1199+1)^2.4 * 1.004^A1199</f>
        <v>2907706690.18261</v>
      </c>
      <c r="E1199" s="6" t="n">
        <f aca="false">$I$2*(A1199+1)^1.9*1.003^A1199</f>
        <v>11008.9498648801</v>
      </c>
      <c r="F1199" s="6" t="n">
        <f aca="false">(A1199+1)^1.12</f>
        <v>2804.604562594</v>
      </c>
      <c r="G1199" s="6" t="n">
        <f aca="false">G1198+E1199</f>
        <v>2227792.23155171</v>
      </c>
    </row>
    <row r="1200" customFormat="false" ht="15" hidden="false" customHeight="true" outlineLevel="0" collapsed="false">
      <c r="A1200" s="6" t="n">
        <v>1198</v>
      </c>
      <c r="B1200" s="6" t="n">
        <f aca="false">MIN(42, FLOOR(A1200/32,1)+1)</f>
        <v>38</v>
      </c>
      <c r="C1200" s="6" t="str">
        <f aca="false">INDEX(Grades_Realms!$B$2:$B$43, B1200)</f>
        <v>Primordial · Advanced</v>
      </c>
      <c r="D1200" s="6" t="n">
        <f aca="false">(A1200+1)^2.4 * 1.004^A1200</f>
        <v>2925189357.00338</v>
      </c>
      <c r="E1200" s="6" t="n">
        <f aca="false">$I$2*(A1200+1)^1.9*1.003^A1200</f>
        <v>11059.495609367</v>
      </c>
      <c r="F1200" s="6" t="n">
        <f aca="false">(A1200+1)^1.12</f>
        <v>2807.2266948074</v>
      </c>
      <c r="G1200" s="6" t="n">
        <f aca="false">G1199+E1200</f>
        <v>2238851.72716108</v>
      </c>
    </row>
    <row r="1201" customFormat="false" ht="15" hidden="false" customHeight="true" outlineLevel="0" collapsed="false">
      <c r="A1201" s="6" t="n">
        <v>1199</v>
      </c>
      <c r="B1201" s="6" t="n">
        <f aca="false">MIN(42, FLOOR(A1201/32,1)+1)</f>
        <v>38</v>
      </c>
      <c r="C1201" s="6" t="str">
        <f aca="false">INDEX(Grades_Realms!$B$2:$B$43, B1201)</f>
        <v>Primordial · Advanced</v>
      </c>
      <c r="D1201" s="6" t="n">
        <f aca="false">(A1201+1)^2.4 * 1.004^A1201</f>
        <v>2942772226.03071</v>
      </c>
      <c r="E1201" s="6" t="n">
        <f aca="false">$I$2*(A1201+1)^1.9*1.003^A1201</f>
        <v>11110.2587423043</v>
      </c>
      <c r="F1201" s="6" t="n">
        <f aca="false">(A1201+1)^1.12</f>
        <v>2809.84908946588</v>
      </c>
      <c r="G1201" s="6" t="n">
        <f aca="false">G1200+E1201</f>
        <v>2249961.98590338</v>
      </c>
    </row>
    <row r="1202" customFormat="false" ht="15" hidden="false" customHeight="true" outlineLevel="0" collapsed="false">
      <c r="A1202" s="6" t="n">
        <v>1200</v>
      </c>
      <c r="B1202" s="6" t="n">
        <f aca="false">MIN(42, FLOOR(A1202/32,1)+1)</f>
        <v>38</v>
      </c>
      <c r="C1202" s="6" t="str">
        <f aca="false">INDEX(Grades_Realms!$B$2:$B$43, B1202)</f>
        <v>Primordial · Advanced</v>
      </c>
      <c r="D1202" s="6" t="n">
        <f aca="false">(A1202+1)^2.4 * 1.004^A1202</f>
        <v>2960455848.91485</v>
      </c>
      <c r="E1202" s="6" t="n">
        <f aca="false">$I$2*(A1202+1)^1.9*1.003^A1202</f>
        <v>11161.2401515914</v>
      </c>
      <c r="F1202" s="6" t="n">
        <f aca="false">(A1202+1)^1.12</f>
        <v>2812.47174637697</v>
      </c>
      <c r="G1202" s="6" t="n">
        <f aca="false">G1201+E1202</f>
        <v>2261123.22605497</v>
      </c>
    </row>
    <row r="1203" customFormat="false" ht="15" hidden="false" customHeight="true" outlineLevel="0" collapsed="false">
      <c r="A1203" s="6" t="n">
        <v>1201</v>
      </c>
      <c r="B1203" s="6" t="n">
        <f aca="false">MIN(42, FLOOR(A1203/32,1)+1)</f>
        <v>38</v>
      </c>
      <c r="C1203" s="6" t="str">
        <f aca="false">INDEX(Grades_Realms!$B$2:$B$43, B1203)</f>
        <v>Primordial · Advanced</v>
      </c>
      <c r="D1203" s="6" t="n">
        <f aca="false">(A1203+1)^2.4 * 1.004^A1203</f>
        <v>2978240780.24309</v>
      </c>
      <c r="E1203" s="6" t="n">
        <f aca="false">$I$2*(A1203+1)^1.9*1.003^A1203</f>
        <v>11212.4407286117</v>
      </c>
      <c r="F1203" s="6" t="n">
        <f aca="false">(A1203+1)^1.12</f>
        <v>2815.09466534849</v>
      </c>
      <c r="G1203" s="6" t="n">
        <f aca="false">G1202+E1203</f>
        <v>2272335.66678358</v>
      </c>
    </row>
    <row r="1204" customFormat="false" ht="15" hidden="false" customHeight="true" outlineLevel="0" collapsed="false">
      <c r="A1204" s="6" t="n">
        <v>1202</v>
      </c>
      <c r="B1204" s="6" t="n">
        <f aca="false">MIN(42, FLOOR(A1204/32,1)+1)</f>
        <v>38</v>
      </c>
      <c r="C1204" s="6" t="str">
        <f aca="false">INDEX(Grades_Realms!$B$2:$B$43, B1204)</f>
        <v>Primordial · Advanced</v>
      </c>
      <c r="D1204" s="6" t="n">
        <f aca="false">(A1204+1)^2.4 * 1.004^A1204</f>
        <v>2996127577.55493</v>
      </c>
      <c r="E1204" s="6" t="n">
        <f aca="false">$I$2*(A1204+1)^1.9*1.003^A1204</f>
        <v>11263.8613682458</v>
      </c>
      <c r="F1204" s="6" t="n">
        <f aca="false">(A1204+1)^1.12</f>
        <v>2817.71784618858</v>
      </c>
      <c r="G1204" s="6" t="n">
        <f aca="false">G1203+E1204</f>
        <v>2283599.52815183</v>
      </c>
    </row>
    <row r="1205" customFormat="false" ht="15" hidden="false" customHeight="true" outlineLevel="0" collapsed="false">
      <c r="A1205" s="6" t="n">
        <v>1203</v>
      </c>
      <c r="B1205" s="6" t="n">
        <f aca="false">MIN(42, FLOOR(A1205/32,1)+1)</f>
        <v>38</v>
      </c>
      <c r="C1205" s="6" t="str">
        <f aca="false">INDEX(Grades_Realms!$B$2:$B$43, B1205)</f>
        <v>Primordial · Advanced</v>
      </c>
      <c r="D1205" s="6" t="n">
        <f aca="false">(A1205+1)^2.4 * 1.004^A1205</f>
        <v>3014116801.35742</v>
      </c>
      <c r="E1205" s="6" t="n">
        <f aca="false">$I$2*(A1205+1)^1.9*1.003^A1205</f>
        <v>11315.5029688851</v>
      </c>
      <c r="F1205" s="6" t="n">
        <f aca="false">(A1205+1)^1.12</f>
        <v>2820.34128870568</v>
      </c>
      <c r="G1205" s="6" t="n">
        <f aca="false">G1204+E1205</f>
        <v>2294915.03112071</v>
      </c>
    </row>
    <row r="1206" customFormat="false" ht="15" hidden="false" customHeight="true" outlineLevel="0" collapsed="false">
      <c r="A1206" s="6" t="n">
        <v>1204</v>
      </c>
      <c r="B1206" s="6" t="n">
        <f aca="false">MIN(42, FLOOR(A1206/32,1)+1)</f>
        <v>38</v>
      </c>
      <c r="C1206" s="6" t="str">
        <f aca="false">INDEX(Grades_Realms!$B$2:$B$43, B1206)</f>
        <v>Primordial · Advanced</v>
      </c>
      <c r="D1206" s="6" t="n">
        <f aca="false">(A1206+1)^2.4 * 1.004^A1206</f>
        <v>3032209015.14048</v>
      </c>
      <c r="E1206" s="6" t="n">
        <f aca="false">$I$2*(A1206+1)^1.9*1.003^A1206</f>
        <v>11367.3664324446</v>
      </c>
      <c r="F1206" s="6" t="n">
        <f aca="false">(A1206+1)^1.12</f>
        <v>2822.96499270852</v>
      </c>
      <c r="G1206" s="6" t="n">
        <f aca="false">G1205+E1206</f>
        <v>2306282.39755316</v>
      </c>
    </row>
    <row r="1207" customFormat="false" ht="15" hidden="false" customHeight="true" outlineLevel="0" collapsed="false">
      <c r="A1207" s="6" t="n">
        <v>1205</v>
      </c>
      <c r="B1207" s="6" t="n">
        <f aca="false">MIN(42, FLOOR(A1207/32,1)+1)</f>
        <v>38</v>
      </c>
      <c r="C1207" s="6" t="str">
        <f aca="false">INDEX(Grades_Realms!$B$2:$B$43, B1207)</f>
        <v>Primordial · Advanced</v>
      </c>
      <c r="D1207" s="6" t="n">
        <f aca="false">(A1207+1)^2.4 * 1.004^A1207</f>
        <v>3050404785.39233</v>
      </c>
      <c r="E1207" s="6" t="n">
        <f aca="false">$I$2*(A1207+1)^1.9*1.003^A1207</f>
        <v>11419.452664377</v>
      </c>
      <c r="F1207" s="6" t="n">
        <f aca="false">(A1207+1)^1.12</f>
        <v>2825.58895800612</v>
      </c>
      <c r="G1207" s="6" t="n">
        <f aca="false">G1206+E1207</f>
        <v>2317701.85021754</v>
      </c>
    </row>
    <row r="1208" customFormat="false" ht="15" hidden="false" customHeight="true" outlineLevel="0" collapsed="false">
      <c r="A1208" s="6" t="n">
        <v>1206</v>
      </c>
      <c r="B1208" s="6" t="n">
        <f aca="false">MIN(42, FLOOR(A1208/32,1)+1)</f>
        <v>38</v>
      </c>
      <c r="C1208" s="6" t="str">
        <f aca="false">INDEX(Grades_Realms!$B$2:$B$43, B1208)</f>
        <v>Primordial · Advanced</v>
      </c>
      <c r="D1208" s="6" t="n">
        <f aca="false">(A1208+1)^2.4 * 1.004^A1208</f>
        <v>3068704681.61506</v>
      </c>
      <c r="E1208" s="6" t="n">
        <f aca="false">$I$2*(A1208+1)^1.9*1.003^A1208</f>
        <v>11471.7625736855</v>
      </c>
      <c r="F1208" s="6" t="n">
        <f aca="false">(A1208+1)^1.12</f>
        <v>2828.21318440781</v>
      </c>
      <c r="G1208" s="6" t="n">
        <f aca="false">G1207+E1208</f>
        <v>2329173.61279122</v>
      </c>
    </row>
    <row r="1209" customFormat="false" ht="15" hidden="false" customHeight="true" outlineLevel="0" collapsed="false">
      <c r="A1209" s="6" t="n">
        <v>1207</v>
      </c>
      <c r="B1209" s="6" t="n">
        <f aca="false">MIN(42, FLOOR(A1209/32,1)+1)</f>
        <v>38</v>
      </c>
      <c r="C1209" s="6" t="str">
        <f aca="false">INDEX(Grades_Realms!$B$2:$B$43, B1209)</f>
        <v>Primordial · Advanced</v>
      </c>
      <c r="D1209" s="6" t="n">
        <f aca="false">(A1209+1)^2.4 * 1.004^A1209</f>
        <v>3087109276.34017</v>
      </c>
      <c r="E1209" s="6" t="n">
        <f aca="false">$I$2*(A1209+1)^1.9*1.003^A1209</f>
        <v>11524.2970729378</v>
      </c>
      <c r="F1209" s="6" t="n">
        <f aca="false">(A1209+1)^1.12</f>
        <v>2830.83767172321</v>
      </c>
      <c r="G1209" s="6" t="n">
        <f aca="false">G1208+E1209</f>
        <v>2340697.90986416</v>
      </c>
    </row>
    <row r="1210" customFormat="false" ht="15" hidden="false" customHeight="true" outlineLevel="0" collapsed="false">
      <c r="A1210" s="6" t="n">
        <v>1208</v>
      </c>
      <c r="B1210" s="6" t="n">
        <f aca="false">MIN(42, FLOOR(A1210/32,1)+1)</f>
        <v>38</v>
      </c>
      <c r="C1210" s="6" t="str">
        <f aca="false">INDEX(Grades_Realms!$B$2:$B$43, B1210)</f>
        <v>Primordial · Advanced</v>
      </c>
      <c r="D1210" s="6" t="n">
        <f aca="false">(A1210+1)^2.4 * 1.004^A1210</f>
        <v>3105619145.14428</v>
      </c>
      <c r="E1210" s="6" t="n">
        <f aca="false">$I$2*(A1210+1)^1.9*1.003^A1210</f>
        <v>11577.0570782791</v>
      </c>
      <c r="F1210" s="6" t="n">
        <f aca="false">(A1210+1)^1.12</f>
        <v>2833.46241976226</v>
      </c>
      <c r="G1210" s="6" t="n">
        <f aca="false">G1209+E1210</f>
        <v>2352274.96694244</v>
      </c>
    </row>
    <row r="1211" customFormat="false" ht="15" hidden="false" customHeight="true" outlineLevel="0" collapsed="false">
      <c r="A1211" s="6" t="n">
        <v>1209</v>
      </c>
      <c r="B1211" s="6" t="n">
        <f aca="false">MIN(42, FLOOR(A1211/32,1)+1)</f>
        <v>38</v>
      </c>
      <c r="C1211" s="6" t="str">
        <f aca="false">INDEX(Grades_Realms!$B$2:$B$43, B1211)</f>
        <v>Primordial · Advanced</v>
      </c>
      <c r="D1211" s="6" t="n">
        <f aca="false">(A1211+1)^2.4 * 1.004^A1211</f>
        <v>3124234866.66486</v>
      </c>
      <c r="E1211" s="6" t="n">
        <f aca="false">$I$2*(A1211+1)^1.9*1.003^A1211</f>
        <v>11630.0435094464</v>
      </c>
      <c r="F1211" s="6" t="n">
        <f aca="false">(A1211+1)^1.12</f>
        <v>2836.08742833516</v>
      </c>
      <c r="G1211" s="6" t="n">
        <f aca="false">G1210+E1211</f>
        <v>2363905.01045189</v>
      </c>
    </row>
    <row r="1212" customFormat="false" ht="15" hidden="false" customHeight="true" outlineLevel="0" collapsed="false">
      <c r="A1212" s="6" t="n">
        <v>1210</v>
      </c>
      <c r="B1212" s="6" t="n">
        <f aca="false">MIN(42, FLOOR(A1212/32,1)+1)</f>
        <v>38</v>
      </c>
      <c r="C1212" s="6" t="str">
        <f aca="false">INDEX(Grades_Realms!$B$2:$B$43, B1212)</f>
        <v>Primordial · Advanced</v>
      </c>
      <c r="D1212" s="6" t="n">
        <f aca="false">(A1212+1)^2.4 * 1.004^A1212</f>
        <v>3142957022.61609</v>
      </c>
      <c r="E1212" s="6" t="n">
        <f aca="false">$I$2*(A1212+1)^1.9*1.003^A1212</f>
        <v>11683.2572897813</v>
      </c>
      <c r="F1212" s="6" t="n">
        <f aca="false">(A1212+1)^1.12</f>
        <v>2838.71269725243</v>
      </c>
      <c r="G1212" s="6" t="n">
        <f aca="false">G1211+E1212</f>
        <v>2375588.26774167</v>
      </c>
    </row>
    <row r="1213" customFormat="false" ht="15" hidden="false" customHeight="true" outlineLevel="0" collapsed="false">
      <c r="A1213" s="6" t="n">
        <v>1211</v>
      </c>
      <c r="B1213" s="6" t="n">
        <f aca="false">MIN(42, FLOOR(A1213/32,1)+1)</f>
        <v>38</v>
      </c>
      <c r="C1213" s="6" t="str">
        <f aca="false">INDEX(Grades_Realms!$B$2:$B$43, B1213)</f>
        <v>Primordial · Advanced</v>
      </c>
      <c r="D1213" s="6" t="n">
        <f aca="false">(A1213+1)^2.4 * 1.004^A1213</f>
        <v>3161786197.80473</v>
      </c>
      <c r="E1213" s="6" t="n">
        <f aca="false">$I$2*(A1213+1)^1.9*1.003^A1213</f>
        <v>11736.6993462446</v>
      </c>
      <c r="F1213" s="6" t="n">
        <f aca="false">(A1213+1)^1.12</f>
        <v>2841.33822632487</v>
      </c>
      <c r="G1213" s="6" t="n">
        <f aca="false">G1212+E1213</f>
        <v>2387324.96708791</v>
      </c>
    </row>
    <row r="1214" customFormat="false" ht="15" hidden="false" customHeight="true" outlineLevel="0" collapsed="false">
      <c r="A1214" s="6" t="n">
        <v>1212</v>
      </c>
      <c r="B1214" s="6" t="n">
        <f aca="false">MIN(42, FLOOR(A1214/32,1)+1)</f>
        <v>38</v>
      </c>
      <c r="C1214" s="6" t="str">
        <f aca="false">INDEX(Grades_Realms!$B$2:$B$43, B1214)</f>
        <v>Primordial · Advanced</v>
      </c>
      <c r="D1214" s="6" t="n">
        <f aca="false">(A1214+1)^2.4 * 1.004^A1214</f>
        <v>3180722980.14618</v>
      </c>
      <c r="E1214" s="6" t="n">
        <f aca="false">$I$2*(A1214+1)^1.9*1.003^A1214</f>
        <v>11790.3706094293</v>
      </c>
      <c r="F1214" s="6" t="n">
        <f aca="false">(A1214+1)^1.12</f>
        <v>2843.96401536358</v>
      </c>
      <c r="G1214" s="6" t="n">
        <f aca="false">G1213+E1214</f>
        <v>2399115.33769734</v>
      </c>
    </row>
    <row r="1215" customFormat="false" ht="15" hidden="false" customHeight="true" outlineLevel="0" collapsed="false">
      <c r="A1215" s="6" t="n">
        <v>1213</v>
      </c>
      <c r="B1215" s="6" t="n">
        <f aca="false">MIN(42, FLOOR(A1215/32,1)+1)</f>
        <v>38</v>
      </c>
      <c r="C1215" s="6" t="str">
        <f aca="false">INDEX(Grades_Realms!$B$2:$B$43, B1215)</f>
        <v>Primordial · Advanced</v>
      </c>
      <c r="D1215" s="6" t="n">
        <f aca="false">(A1215+1)^2.4 * 1.004^A1215</f>
        <v>3199767960.68048</v>
      </c>
      <c r="E1215" s="6" t="n">
        <f aca="false">$I$2*(A1215+1)^1.9*1.003^A1215</f>
        <v>11844.2720135747</v>
      </c>
      <c r="F1215" s="6" t="n">
        <f aca="false">(A1215+1)^1.12</f>
        <v>2846.59006417995</v>
      </c>
      <c r="G1215" s="6" t="n">
        <f aca="false">G1214+E1215</f>
        <v>2410959.60971092</v>
      </c>
    </row>
    <row r="1216" customFormat="false" ht="15" hidden="false" customHeight="true" outlineLevel="0" collapsed="false">
      <c r="A1216" s="6" t="n">
        <v>1214</v>
      </c>
      <c r="B1216" s="6" t="n">
        <f aca="false">MIN(42, FLOOR(A1216/32,1)+1)</f>
        <v>38</v>
      </c>
      <c r="C1216" s="6" t="str">
        <f aca="false">INDEX(Grades_Realms!$B$2:$B$43, B1216)</f>
        <v>Primordial · Advanced</v>
      </c>
      <c r="D1216" s="6" t="n">
        <f aca="false">(A1216+1)^2.4 * 1.004^A1216</f>
        <v>3218921733.58852</v>
      </c>
      <c r="E1216" s="6" t="n">
        <f aca="false">$I$2*(A1216+1)^1.9*1.003^A1216</f>
        <v>11898.4044965804</v>
      </c>
      <c r="F1216" s="6" t="n">
        <f aca="false">(A1216+1)^1.12</f>
        <v>2849.21637258567</v>
      </c>
      <c r="G1216" s="6" t="n">
        <f aca="false">G1215+E1216</f>
        <v>2422858.0142075</v>
      </c>
    </row>
    <row r="1217" customFormat="false" ht="15" hidden="false" customHeight="true" outlineLevel="0" collapsed="false">
      <c r="A1217" s="6" t="n">
        <v>1215</v>
      </c>
      <c r="B1217" s="6" t="n">
        <f aca="false">MIN(42, FLOOR(A1217/32,1)+1)</f>
        <v>38</v>
      </c>
      <c r="C1217" s="6" t="str">
        <f aca="false">INDEX(Grades_Realms!$B$2:$B$43, B1217)</f>
        <v>Primordial · Advanced</v>
      </c>
      <c r="D1217" s="6" t="n">
        <f aca="false">(A1217+1)^2.4 * 1.004^A1217</f>
        <v>3238184896.20826</v>
      </c>
      <c r="E1217" s="6" t="n">
        <f aca="false">$I$2*(A1217+1)^1.9*1.003^A1217</f>
        <v>11952.7690000199</v>
      </c>
      <c r="F1217" s="6" t="n">
        <f aca="false">(A1217+1)^1.12</f>
        <v>2851.84294039271</v>
      </c>
      <c r="G1217" s="6" t="n">
        <f aca="false">G1216+E1217</f>
        <v>2434810.78320752</v>
      </c>
    </row>
    <row r="1218" customFormat="false" ht="15" hidden="false" customHeight="true" outlineLevel="0" collapsed="false">
      <c r="A1218" s="6" t="n">
        <v>1216</v>
      </c>
      <c r="B1218" s="6" t="n">
        <f aca="false">MIN(42, FLOOR(A1218/32,1)+1)</f>
        <v>39</v>
      </c>
      <c r="C1218" s="6" t="str">
        <f aca="false">INDEX(Grades_Realms!$B$2:$B$43, B1218)</f>
        <v>Primordial · Perfected</v>
      </c>
      <c r="D1218" s="6" t="n">
        <f aca="false">(A1218+1)^2.4 * 1.004^A1218</f>
        <v>3257558049.05104</v>
      </c>
      <c r="E1218" s="6" t="n">
        <f aca="false">$I$2*(A1218+1)^1.9*1.003^A1218</f>
        <v>12007.3664691547</v>
      </c>
      <c r="F1218" s="6" t="n">
        <f aca="false">(A1218+1)^1.12</f>
        <v>2854.46976741333</v>
      </c>
      <c r="G1218" s="6" t="n">
        <f aca="false">G1217+E1218</f>
        <v>2446818.14967667</v>
      </c>
    </row>
    <row r="1219" customFormat="false" ht="15" hidden="false" customHeight="true" outlineLevel="0" collapsed="false">
      <c r="A1219" s="6" t="n">
        <v>1217</v>
      </c>
      <c r="B1219" s="6" t="n">
        <f aca="false">MIN(42, FLOOR(A1219/32,1)+1)</f>
        <v>39</v>
      </c>
      <c r="C1219" s="6" t="str">
        <f aca="false">INDEX(Grades_Realms!$B$2:$B$43, B1219)</f>
        <v>Primordial · Perfected</v>
      </c>
      <c r="D1219" s="6" t="n">
        <f aca="false">(A1219+1)^2.4 * 1.004^A1219</f>
        <v>3277041795.818</v>
      </c>
      <c r="E1219" s="6" t="n">
        <f aca="false">$I$2*(A1219+1)^1.9*1.003^A1219</f>
        <v>12062.1978529484</v>
      </c>
      <c r="F1219" s="6" t="n">
        <f aca="false">(A1219+1)^1.12</f>
        <v>2857.0968534601</v>
      </c>
      <c r="G1219" s="6" t="n">
        <f aca="false">G1218+E1219</f>
        <v>2458880.34752962</v>
      </c>
    </row>
    <row r="1220" customFormat="false" ht="15" hidden="false" customHeight="true" outlineLevel="0" collapsed="false">
      <c r="A1220" s="6" t="n">
        <v>1218</v>
      </c>
      <c r="B1220" s="6" t="n">
        <f aca="false">MIN(42, FLOOR(A1220/32,1)+1)</f>
        <v>39</v>
      </c>
      <c r="C1220" s="6" t="str">
        <f aca="false">INDEX(Grades_Realms!$B$2:$B$43, B1220)</f>
        <v>Primordial · Perfected</v>
      </c>
      <c r="D1220" s="6" t="n">
        <f aca="false">(A1220+1)^2.4 * 1.004^A1220</f>
        <v>3296636743.41655</v>
      </c>
      <c r="E1220" s="6" t="n">
        <f aca="false">$I$2*(A1220+1)^1.9*1.003^A1220</f>
        <v>12117.2641040806</v>
      </c>
      <c r="F1220" s="6" t="n">
        <f aca="false">(A1220+1)^1.12</f>
        <v>2859.72419834587</v>
      </c>
      <c r="G1220" s="6" t="n">
        <f aca="false">G1219+E1220</f>
        <v>2470997.6116337</v>
      </c>
    </row>
    <row r="1221" customFormat="false" ht="15" hidden="false" customHeight="true" outlineLevel="0" collapsed="false">
      <c r="A1221" s="6" t="n">
        <v>1219</v>
      </c>
      <c r="B1221" s="6" t="n">
        <f aca="false">MIN(42, FLOOR(A1221/32,1)+1)</f>
        <v>39</v>
      </c>
      <c r="C1221" s="6" t="str">
        <f aca="false">INDEX(Grades_Realms!$B$2:$B$43, B1221)</f>
        <v>Primordial · Perfected</v>
      </c>
      <c r="D1221" s="6" t="n">
        <f aca="false">(A1221+1)^2.4 * 1.004^A1221</f>
        <v>3316343501.97695</v>
      </c>
      <c r="E1221" s="6" t="n">
        <f aca="false">$I$2*(A1221+1)^1.9*1.003^A1221</f>
        <v>12172.5661789609</v>
      </c>
      <c r="F1221" s="6" t="n">
        <f aca="false">(A1221+1)^1.12</f>
        <v>2862.35180188375</v>
      </c>
      <c r="G1221" s="6" t="n">
        <f aca="false">G1220+E1221</f>
        <v>2483170.17781266</v>
      </c>
    </row>
    <row r="1222" customFormat="false" ht="15" hidden="false" customHeight="true" outlineLevel="0" collapsed="false">
      <c r="A1222" s="6" t="n">
        <v>1220</v>
      </c>
      <c r="B1222" s="6" t="n">
        <f aca="false">MIN(42, FLOOR(A1222/32,1)+1)</f>
        <v>39</v>
      </c>
      <c r="C1222" s="6" t="str">
        <f aca="false">INDEX(Grades_Realms!$B$2:$B$43, B1222)</f>
        <v>Primordial · Perfected</v>
      </c>
      <c r="D1222" s="6" t="n">
        <f aca="false">(A1222+1)^2.4 * 1.004^A1222</f>
        <v>3336162684.86893</v>
      </c>
      <c r="E1222" s="6" t="n">
        <f aca="false">$I$2*(A1222+1)^1.9*1.003^A1222</f>
        <v>12228.1050377434</v>
      </c>
      <c r="F1222" s="6" t="n">
        <f aca="false">(A1222+1)^1.12</f>
        <v>2864.97966388718</v>
      </c>
      <c r="G1222" s="6" t="n">
        <f aca="false">G1221+E1222</f>
        <v>2495398.2828504</v>
      </c>
    </row>
    <row r="1223" customFormat="false" ht="15" hidden="false" customHeight="true" outlineLevel="0" collapsed="false">
      <c r="A1223" s="6" t="n">
        <v>1221</v>
      </c>
      <c r="B1223" s="6" t="n">
        <f aca="false">MIN(42, FLOOR(A1223/32,1)+1)</f>
        <v>39</v>
      </c>
      <c r="C1223" s="6" t="str">
        <f aca="false">INDEX(Grades_Realms!$B$2:$B$43, B1223)</f>
        <v>Primordial · Perfected</v>
      </c>
      <c r="D1223" s="6" t="n">
        <f aca="false">(A1223+1)^2.4 * 1.004^A1223</f>
        <v>3356094908.71848</v>
      </c>
      <c r="E1223" s="6" t="n">
        <f aca="false">$I$2*(A1223+1)^1.9*1.003^A1223</f>
        <v>12283.8816443407</v>
      </c>
      <c r="F1223" s="6" t="n">
        <f aca="false">(A1223+1)^1.12</f>
        <v>2867.60778416986</v>
      </c>
      <c r="G1223" s="6" t="n">
        <f aca="false">G1222+E1223</f>
        <v>2507682.16449474</v>
      </c>
    </row>
    <row r="1224" customFormat="false" ht="15" hidden="false" customHeight="true" outlineLevel="0" collapsed="false">
      <c r="A1224" s="6" t="n">
        <v>1222</v>
      </c>
      <c r="B1224" s="6" t="n">
        <f aca="false">MIN(42, FLOOR(A1224/32,1)+1)</f>
        <v>39</v>
      </c>
      <c r="C1224" s="6" t="str">
        <f aca="false">INDEX(Grades_Realms!$B$2:$B$43, B1224)</f>
        <v>Primordial · Perfected</v>
      </c>
      <c r="D1224" s="6" t="n">
        <f aca="false">(A1224+1)^2.4 * 1.004^A1224</f>
        <v>3376140793.42464</v>
      </c>
      <c r="E1224" s="6" t="n">
        <f aca="false">$I$2*(A1224+1)^1.9*1.003^A1224</f>
        <v>12339.8969664381</v>
      </c>
      <c r="F1224" s="6" t="n">
        <f aca="false">(A1224+1)^1.12</f>
        <v>2870.2361625458</v>
      </c>
      <c r="G1224" s="6" t="n">
        <f aca="false">G1223+E1224</f>
        <v>2520022.06146118</v>
      </c>
    </row>
    <row r="1225" customFormat="false" ht="15" hidden="false" customHeight="true" outlineLevel="0" collapsed="false">
      <c r="A1225" s="6" t="n">
        <v>1223</v>
      </c>
      <c r="B1225" s="6" t="n">
        <f aca="false">MIN(42, FLOOR(A1225/32,1)+1)</f>
        <v>39</v>
      </c>
      <c r="C1225" s="6" t="str">
        <f aca="false">INDEX(Grades_Realms!$B$2:$B$43, B1225)</f>
        <v>Primordial · Perfected</v>
      </c>
      <c r="D1225" s="6" t="n">
        <f aca="false">(A1225+1)^2.4 * 1.004^A1225</f>
        <v>3396300962.17638</v>
      </c>
      <c r="E1225" s="6" t="n">
        <f aca="false">$I$2*(A1225+1)^1.9*1.003^A1225</f>
        <v>12396.151975508</v>
      </c>
      <c r="F1225" s="6" t="n">
        <f aca="false">(A1225+1)^1.12</f>
        <v>2872.86479882927</v>
      </c>
      <c r="G1225" s="6" t="n">
        <f aca="false">G1224+E1225</f>
        <v>2532418.21343669</v>
      </c>
    </row>
    <row r="1226" customFormat="false" ht="15" hidden="false" customHeight="true" outlineLevel="0" collapsed="false">
      <c r="A1226" s="6" t="n">
        <v>1224</v>
      </c>
      <c r="B1226" s="6" t="n">
        <f aca="false">MIN(42, FLOOR(A1226/32,1)+1)</f>
        <v>39</v>
      </c>
      <c r="C1226" s="6" t="str">
        <f aca="false">INDEX(Grades_Realms!$B$2:$B$43, B1226)</f>
        <v>Primordial · Perfected</v>
      </c>
      <c r="D1226" s="6" t="n">
        <f aca="false">(A1226+1)^2.4 * 1.004^A1226</f>
        <v>3416576041.46965</v>
      </c>
      <c r="E1226" s="6" t="n">
        <f aca="false">$I$2*(A1226+1)^1.9*1.003^A1226</f>
        <v>12452.6476468244</v>
      </c>
      <c r="F1226" s="6" t="n">
        <f aca="false">(A1226+1)^1.12</f>
        <v>2875.49369283483</v>
      </c>
      <c r="G1226" s="6" t="n">
        <f aca="false">G1225+E1226</f>
        <v>2544870.86108351</v>
      </c>
    </row>
    <row r="1227" customFormat="false" ht="15" hidden="false" customHeight="true" outlineLevel="0" collapsed="false">
      <c r="A1227" s="6" t="n">
        <v>1225</v>
      </c>
      <c r="B1227" s="6" t="n">
        <f aca="false">MIN(42, FLOOR(A1227/32,1)+1)</f>
        <v>39</v>
      </c>
      <c r="C1227" s="6" t="str">
        <f aca="false">INDEX(Grades_Realms!$B$2:$B$43, B1227)</f>
        <v>Primordial · Perfected</v>
      </c>
      <c r="D1227" s="6" t="n">
        <f aca="false">(A1227+1)^2.4 * 1.004^A1227</f>
        <v>3436966661.12439</v>
      </c>
      <c r="E1227" s="6" t="n">
        <f aca="false">$I$2*(A1227+1)^1.9*1.003^A1227</f>
        <v>12509.3849594771</v>
      </c>
      <c r="F1227" s="6" t="n">
        <f aca="false">(A1227+1)^1.12</f>
        <v>2878.12284437735</v>
      </c>
      <c r="G1227" s="6" t="n">
        <f aca="false">G1226+E1227</f>
        <v>2557380.24604299</v>
      </c>
    </row>
    <row r="1228" customFormat="false" ht="15" hidden="false" customHeight="true" outlineLevel="0" collapsed="false">
      <c r="A1228" s="6" t="n">
        <v>1226</v>
      </c>
      <c r="B1228" s="6" t="n">
        <f aca="false">MIN(42, FLOOR(A1228/32,1)+1)</f>
        <v>39</v>
      </c>
      <c r="C1228" s="6" t="str">
        <f aca="false">INDEX(Grades_Realms!$B$2:$B$43, B1228)</f>
        <v>Primordial · Perfected</v>
      </c>
      <c r="D1228" s="6" t="n">
        <f aca="false">(A1228+1)^2.4 * 1.004^A1228</f>
        <v>3457473454.30175</v>
      </c>
      <c r="E1228" s="6" t="n">
        <f aca="false">$I$2*(A1228+1)^1.9*1.003^A1228</f>
        <v>12566.3648963863</v>
      </c>
      <c r="F1228" s="6" t="n">
        <f aca="false">(A1228+1)^1.12</f>
        <v>2880.75225327196</v>
      </c>
      <c r="G1228" s="6" t="n">
        <f aca="false">G1227+E1228</f>
        <v>2569946.61093938</v>
      </c>
    </row>
    <row r="1229" customFormat="false" ht="15" hidden="false" customHeight="true" outlineLevel="0" collapsed="false">
      <c r="A1229" s="6" t="n">
        <v>1227</v>
      </c>
      <c r="B1229" s="6" t="n">
        <f aca="false">MIN(42, FLOOR(A1229/32,1)+1)</f>
        <v>39</v>
      </c>
      <c r="C1229" s="6" t="str">
        <f aca="false">INDEX(Grades_Realms!$B$2:$B$43, B1229)</f>
        <v>Primordial · Perfected</v>
      </c>
      <c r="D1229" s="6" t="n">
        <f aca="false">(A1229+1)^2.4 * 1.004^A1229</f>
        <v>3478097057.52131</v>
      </c>
      <c r="E1229" s="6" t="n">
        <f aca="false">$I$2*(A1229+1)^1.9*1.003^A1229</f>
        <v>12623.5884443171</v>
      </c>
      <c r="F1229" s="6" t="n">
        <f aca="false">(A1229+1)^1.12</f>
        <v>2883.38191933407</v>
      </c>
      <c r="G1229" s="6" t="n">
        <f aca="false">G1228+E1229</f>
        <v>2582570.19938369</v>
      </c>
    </row>
    <row r="1230" customFormat="false" ht="15" hidden="false" customHeight="true" outlineLevel="0" collapsed="false">
      <c r="A1230" s="6" t="n">
        <v>1228</v>
      </c>
      <c r="B1230" s="6" t="n">
        <f aca="false">MIN(42, FLOOR(A1230/32,1)+1)</f>
        <v>39</v>
      </c>
      <c r="C1230" s="6" t="str">
        <f aca="false">INDEX(Grades_Realms!$B$2:$B$43, B1230)</f>
        <v>Primordial · Perfected</v>
      </c>
      <c r="D1230" s="6" t="n">
        <f aca="false">(A1230+1)^2.4 * 1.004^A1230</f>
        <v>3498838110.6784</v>
      </c>
      <c r="E1230" s="6" t="n">
        <f aca="false">$I$2*(A1230+1)^1.9*1.003^A1230</f>
        <v>12681.0565938941</v>
      </c>
      <c r="F1230" s="6" t="n">
        <f aca="false">(A1230+1)^1.12</f>
        <v>2886.01184237939</v>
      </c>
      <c r="G1230" s="6" t="n">
        <f aca="false">G1229+E1230</f>
        <v>2595251.25597759</v>
      </c>
    </row>
    <row r="1231" customFormat="false" ht="15" hidden="false" customHeight="true" outlineLevel="0" collapsed="false">
      <c r="A1231" s="6" t="n">
        <v>1229</v>
      </c>
      <c r="B1231" s="6" t="n">
        <f aca="false">MIN(42, FLOOR(A1231/32,1)+1)</f>
        <v>39</v>
      </c>
      <c r="C1231" s="6" t="str">
        <f aca="false">INDEX(Grades_Realms!$B$2:$B$43, B1231)</f>
        <v>Primordial · Perfected</v>
      </c>
      <c r="D1231" s="6" t="n">
        <f aca="false">(A1231+1)^2.4 * 1.004^A1231</f>
        <v>3519697257.06157</v>
      </c>
      <c r="E1231" s="6" t="n">
        <f aca="false">$I$2*(A1231+1)^1.9*1.003^A1231</f>
        <v>12738.7703396159</v>
      </c>
      <c r="F1231" s="6" t="n">
        <f aca="false">(A1231+1)^1.12</f>
        <v>2888.6420222239</v>
      </c>
      <c r="G1231" s="6" t="n">
        <f aca="false">G1230+E1231</f>
        <v>2607990.0263172</v>
      </c>
    </row>
    <row r="1232" customFormat="false" ht="15" hidden="false" customHeight="true" outlineLevel="0" collapsed="false">
      <c r="A1232" s="6" t="n">
        <v>1230</v>
      </c>
      <c r="B1232" s="6" t="n">
        <f aca="false">MIN(42, FLOOR(A1232/32,1)+1)</f>
        <v>39</v>
      </c>
      <c r="C1232" s="6" t="str">
        <f aca="false">INDEX(Grades_Realms!$B$2:$B$43, B1232)</f>
        <v>Primordial · Perfected</v>
      </c>
      <c r="D1232" s="6" t="n">
        <f aca="false">(A1232+1)^2.4 * 1.004^A1232</f>
        <v>3540675143.37006</v>
      </c>
      <c r="E1232" s="6" t="n">
        <f aca="false">$I$2*(A1232+1)^1.9*1.003^A1232</f>
        <v>12796.7306798701</v>
      </c>
      <c r="F1232" s="6" t="n">
        <f aca="false">(A1232+1)^1.12</f>
        <v>2891.27245868387</v>
      </c>
      <c r="G1232" s="6" t="n">
        <f aca="false">G1231+E1232</f>
        <v>2620786.75699707</v>
      </c>
    </row>
    <row r="1233" customFormat="false" ht="15" hidden="false" customHeight="true" outlineLevel="0" collapsed="false">
      <c r="A1233" s="6" t="n">
        <v>1231</v>
      </c>
      <c r="B1233" s="6" t="n">
        <f aca="false">MIN(42, FLOOR(A1233/32,1)+1)</f>
        <v>39</v>
      </c>
      <c r="C1233" s="6" t="str">
        <f aca="false">INDEX(Grades_Realms!$B$2:$B$43, B1233)</f>
        <v>Primordial · Perfected</v>
      </c>
      <c r="D1233" s="6" t="n">
        <f aca="false">(A1233+1)^2.4 * 1.004^A1233</f>
        <v>3561772419.73143</v>
      </c>
      <c r="E1233" s="6" t="n">
        <f aca="false">$I$2*(A1233+1)^1.9*1.003^A1233</f>
        <v>12854.9386169477</v>
      </c>
      <c r="F1233" s="6" t="n">
        <f aca="false">(A1233+1)^1.12</f>
        <v>2893.90315157584</v>
      </c>
      <c r="G1233" s="6" t="n">
        <f aca="false">G1232+E1233</f>
        <v>2633641.69561402</v>
      </c>
    </row>
    <row r="1234" customFormat="false" ht="15" hidden="false" customHeight="true" outlineLevel="0" collapsed="false">
      <c r="A1234" s="6" t="n">
        <v>1232</v>
      </c>
      <c r="B1234" s="6" t="n">
        <f aca="false">MIN(42, FLOOR(A1234/32,1)+1)</f>
        <v>39</v>
      </c>
      <c r="C1234" s="6" t="str">
        <f aca="false">INDEX(Grades_Realms!$B$2:$B$43, B1234)</f>
        <v>Primordial · Perfected</v>
      </c>
      <c r="D1234" s="6" t="n">
        <f aca="false">(A1234+1)^2.4 * 1.004^A1234</f>
        <v>3582989739.71921</v>
      </c>
      <c r="E1234" s="6" t="n">
        <f aca="false">$I$2*(A1234+1)^1.9*1.003^A1234</f>
        <v>12913.3951570582</v>
      </c>
      <c r="F1234" s="6" t="n">
        <f aca="false">(A1234+1)^1.12</f>
        <v>2896.53410071663</v>
      </c>
      <c r="G1234" s="6" t="n">
        <f aca="false">G1233+E1234</f>
        <v>2646555.09077108</v>
      </c>
    </row>
    <row r="1235" customFormat="false" ht="15" hidden="false" customHeight="true" outlineLevel="0" collapsed="false">
      <c r="A1235" s="6" t="n">
        <v>1233</v>
      </c>
      <c r="B1235" s="6" t="n">
        <f aca="false">MIN(42, FLOOR(A1235/32,1)+1)</f>
        <v>39</v>
      </c>
      <c r="C1235" s="6" t="str">
        <f aca="false">INDEX(Grades_Realms!$B$2:$B$43, B1235)</f>
        <v>Primordial · Perfected</v>
      </c>
      <c r="D1235" s="6" t="n">
        <f aca="false">(A1235+1)^2.4 * 1.004^A1235</f>
        <v>3604327760.37072</v>
      </c>
      <c r="E1235" s="6" t="n">
        <f aca="false">$I$2*(A1235+1)^1.9*1.003^A1235</f>
        <v>12972.1013103443</v>
      </c>
      <c r="F1235" s="6" t="n">
        <f aca="false">(A1235+1)^1.12</f>
        <v>2899.16530592336</v>
      </c>
      <c r="G1235" s="6" t="n">
        <f aca="false">G1234+E1235</f>
        <v>2659527.19208142</v>
      </c>
    </row>
    <row r="1236" customFormat="false" ht="15" hidden="false" customHeight="true" outlineLevel="0" collapsed="false">
      <c r="A1236" s="6" t="n">
        <v>1234</v>
      </c>
      <c r="B1236" s="6" t="n">
        <f aca="false">MIN(42, FLOOR(A1236/32,1)+1)</f>
        <v>39</v>
      </c>
      <c r="C1236" s="6" t="str">
        <f aca="false">INDEX(Grades_Realms!$B$2:$B$43, B1236)</f>
        <v>Primordial · Perfected</v>
      </c>
      <c r="D1236" s="6" t="n">
        <f aca="false">(A1236+1)^2.4 * 1.004^A1236</f>
        <v>3625787142.20491</v>
      </c>
      <c r="E1236" s="6" t="n">
        <f aca="false">$I$2*(A1236+1)^1.9*1.003^A1236</f>
        <v>13031.0580908967</v>
      </c>
      <c r="F1236" s="6" t="n">
        <f aca="false">(A1236+1)^1.12</f>
        <v>2901.7967670134</v>
      </c>
      <c r="G1236" s="6" t="n">
        <f aca="false">G1235+E1236</f>
        <v>2672558.25017232</v>
      </c>
    </row>
    <row r="1237" customFormat="false" ht="15" hidden="false" customHeight="true" outlineLevel="0" collapsed="false">
      <c r="A1237" s="6" t="n">
        <v>1235</v>
      </c>
      <c r="B1237" s="6" t="n">
        <f aca="false">MIN(42, FLOOR(A1237/32,1)+1)</f>
        <v>39</v>
      </c>
      <c r="C1237" s="6" t="str">
        <f aca="false">INDEX(Grades_Realms!$B$2:$B$43, B1237)</f>
        <v>Primordial · Perfected</v>
      </c>
      <c r="D1237" s="6" t="n">
        <f aca="false">(A1237+1)^2.4 * 1.004^A1237</f>
        <v>3647368549.24033</v>
      </c>
      <c r="E1237" s="6" t="n">
        <f aca="false">$I$2*(A1237+1)^1.9*1.003^A1237</f>
        <v>13090.2665167693</v>
      </c>
      <c r="F1237" s="6" t="n">
        <f aca="false">(A1237+1)^1.12</f>
        <v>2904.42848380441</v>
      </c>
      <c r="G1237" s="6" t="n">
        <f aca="false">G1236+E1237</f>
        <v>2685648.51668909</v>
      </c>
    </row>
    <row r="1238" customFormat="false" ht="15" hidden="false" customHeight="true" outlineLevel="0" collapsed="false">
      <c r="A1238" s="6" t="n">
        <v>1236</v>
      </c>
      <c r="B1238" s="6" t="n">
        <f aca="false">MIN(42, FLOOR(A1238/32,1)+1)</f>
        <v>39</v>
      </c>
      <c r="C1238" s="6" t="str">
        <f aca="false">INDEX(Grades_Realms!$B$2:$B$43, B1238)</f>
        <v>Primordial · Perfected</v>
      </c>
      <c r="D1238" s="6" t="n">
        <f aca="false">(A1238+1)^2.4 * 1.004^A1238</f>
        <v>3669072649.01318</v>
      </c>
      <c r="E1238" s="6" t="n">
        <f aca="false">$I$2*(A1238+1)^1.9*1.003^A1238</f>
        <v>13149.7276099941</v>
      </c>
      <c r="F1238" s="6" t="n">
        <f aca="false">(A1238+1)^1.12</f>
        <v>2907.06045611434</v>
      </c>
      <c r="G1238" s="6" t="n">
        <f aca="false">G1237+E1238</f>
        <v>2698798.24429908</v>
      </c>
    </row>
    <row r="1239" customFormat="false" ht="15" hidden="false" customHeight="true" outlineLevel="0" collapsed="false">
      <c r="A1239" s="6" t="n">
        <v>1237</v>
      </c>
      <c r="B1239" s="6" t="n">
        <f aca="false">MIN(42, FLOOR(A1239/32,1)+1)</f>
        <v>39</v>
      </c>
      <c r="C1239" s="6" t="str">
        <f aca="false">INDEX(Grades_Realms!$B$2:$B$43, B1239)</f>
        <v>Primordial · Perfected</v>
      </c>
      <c r="D1239" s="6" t="n">
        <f aca="false">(A1239+1)^2.4 * 1.004^A1239</f>
        <v>3690900112.59543</v>
      </c>
      <c r="E1239" s="6" t="n">
        <f aca="false">$I$2*(A1239+1)^1.9*1.003^A1239</f>
        <v>13209.4423965963</v>
      </c>
      <c r="F1239" s="6" t="n">
        <f aca="false">(A1239+1)^1.12</f>
        <v>2909.6926837614</v>
      </c>
      <c r="G1239" s="6" t="n">
        <f aca="false">G1238+E1239</f>
        <v>2712007.68669568</v>
      </c>
    </row>
    <row r="1240" customFormat="false" ht="15" hidden="false" customHeight="true" outlineLevel="0" collapsed="false">
      <c r="A1240" s="6" t="n">
        <v>1238</v>
      </c>
      <c r="B1240" s="6" t="n">
        <f aca="false">MIN(42, FLOOR(A1240/32,1)+1)</f>
        <v>39</v>
      </c>
      <c r="C1240" s="6" t="str">
        <f aca="false">INDEX(Grades_Realms!$B$2:$B$43, B1240)</f>
        <v>Primordial · Perfected</v>
      </c>
      <c r="D1240" s="6" t="n">
        <f aca="false">(A1240+1)^2.4 * 1.004^A1240</f>
        <v>3712851614.61307</v>
      </c>
      <c r="E1240" s="6" t="n">
        <f aca="false">$I$2*(A1240+1)^1.9*1.003^A1240</f>
        <v>13269.4119066094</v>
      </c>
      <c r="F1240" s="6" t="n">
        <f aca="false">(A1240+1)^1.12</f>
        <v>2912.32516656409</v>
      </c>
      <c r="G1240" s="6" t="n">
        <f aca="false">G1239+E1240</f>
        <v>2725277.09860229</v>
      </c>
    </row>
    <row r="1241" customFormat="false" ht="15" hidden="false" customHeight="true" outlineLevel="0" collapsed="false">
      <c r="A1241" s="6" t="n">
        <v>1239</v>
      </c>
      <c r="B1241" s="6" t="n">
        <f aca="false">MIN(42, FLOOR(A1241/32,1)+1)</f>
        <v>39</v>
      </c>
      <c r="C1241" s="6" t="str">
        <f aca="false">INDEX(Grades_Realms!$B$2:$B$43, B1241)</f>
        <v>Primordial · Perfected</v>
      </c>
      <c r="D1241" s="6" t="n">
        <f aca="false">(A1241+1)^2.4 * 1.004^A1241</f>
        <v>3734927833.26443</v>
      </c>
      <c r="E1241" s="6" t="n">
        <f aca="false">$I$2*(A1241+1)^1.9*1.003^A1241</f>
        <v>13329.6371740904</v>
      </c>
      <c r="F1241" s="6" t="n">
        <f aca="false">(A1241+1)^1.12</f>
        <v>2914.95790434115</v>
      </c>
      <c r="G1241" s="6" t="n">
        <f aca="false">G1240+E1241</f>
        <v>2738606.73577638</v>
      </c>
    </row>
    <row r="1242" customFormat="false" ht="15" hidden="false" customHeight="true" outlineLevel="0" collapsed="false">
      <c r="A1242" s="6" t="n">
        <v>1240</v>
      </c>
      <c r="B1242" s="6" t="n">
        <f aca="false">MIN(42, FLOOR(A1242/32,1)+1)</f>
        <v>39</v>
      </c>
      <c r="C1242" s="6" t="str">
        <f aca="false">INDEX(Grades_Realms!$B$2:$B$43, B1242)</f>
        <v>Primordial · Perfected</v>
      </c>
      <c r="D1242" s="6" t="n">
        <f aca="false">(A1242+1)^2.4 * 1.004^A1242</f>
        <v>3757129450.33858</v>
      </c>
      <c r="E1242" s="6" t="n">
        <f aca="false">$I$2*(A1242+1)^1.9*1.003^A1242</f>
        <v>13390.119237135</v>
      </c>
      <c r="F1242" s="6" t="n">
        <f aca="false">(A1242+1)^1.12</f>
        <v>2917.59089691165</v>
      </c>
      <c r="G1242" s="6" t="n">
        <f aca="false">G1241+E1242</f>
        <v>2751996.85501352</v>
      </c>
    </row>
    <row r="1243" customFormat="false" ht="15" hidden="false" customHeight="true" outlineLevel="0" collapsed="false">
      <c r="A1243" s="6" t="n">
        <v>1241</v>
      </c>
      <c r="B1243" s="6" t="n">
        <f aca="false">MIN(42, FLOOR(A1243/32,1)+1)</f>
        <v>39</v>
      </c>
      <c r="C1243" s="6" t="str">
        <f aca="false">INDEX(Grades_Realms!$B$2:$B$43, B1243)</f>
        <v>Primordial · Perfected</v>
      </c>
      <c r="D1243" s="6" t="n">
        <f aca="false">(A1243+1)^2.4 * 1.004^A1243</f>
        <v>3779457151.23387</v>
      </c>
      <c r="E1243" s="6" t="n">
        <f aca="false">$I$2*(A1243+1)^1.9*1.003^A1243</f>
        <v>13450.8591378931</v>
      </c>
      <c r="F1243" s="6" t="n">
        <f aca="false">(A1243+1)^1.12</f>
        <v>2920.2241440949</v>
      </c>
      <c r="G1243" s="6" t="n">
        <f aca="false">G1242+E1243</f>
        <v>2765447.71415141</v>
      </c>
    </row>
    <row r="1244" customFormat="false" ht="15" hidden="false" customHeight="true" outlineLevel="0" collapsed="false">
      <c r="A1244" s="6" t="n">
        <v>1242</v>
      </c>
      <c r="B1244" s="6" t="n">
        <f aca="false">MIN(42, FLOOR(A1244/32,1)+1)</f>
        <v>39</v>
      </c>
      <c r="C1244" s="6" t="str">
        <f aca="false">INDEX(Grades_Realms!$B$2:$B$43, B1244)</f>
        <v>Primordial · Perfected</v>
      </c>
      <c r="D1244" s="6" t="n">
        <f aca="false">(A1244+1)^2.4 * 1.004^A1244</f>
        <v>3801911624.97648</v>
      </c>
      <c r="E1244" s="6" t="n">
        <f aca="false">$I$2*(A1244+1)^1.9*1.003^A1244</f>
        <v>13511.857922584</v>
      </c>
      <c r="F1244" s="6" t="n">
        <f aca="false">(A1244+1)^1.12</f>
        <v>2922.85764571048</v>
      </c>
      <c r="G1244" s="6" t="n">
        <f aca="false">G1243+E1244</f>
        <v>2778959.57207399</v>
      </c>
    </row>
    <row r="1245" customFormat="false" ht="15" hidden="false" customHeight="true" outlineLevel="0" collapsed="false">
      <c r="A1245" s="6" t="n">
        <v>1243</v>
      </c>
      <c r="B1245" s="6" t="n">
        <f aca="false">MIN(42, FLOOR(A1245/32,1)+1)</f>
        <v>39</v>
      </c>
      <c r="C1245" s="6" t="str">
        <f aca="false">INDEX(Grades_Realms!$B$2:$B$43, B1245)</f>
        <v>Primordial · Perfected</v>
      </c>
      <c r="D1245" s="6" t="n">
        <f aca="false">(A1245+1)^2.4 * 1.004^A1245</f>
        <v>3824493564.23917</v>
      </c>
      <c r="E1245" s="6" t="n">
        <f aca="false">$I$2*(A1245+1)^1.9*1.003^A1245</f>
        <v>13573.1166415116</v>
      </c>
      <c r="F1245" s="6" t="n">
        <f aca="false">(A1245+1)^1.12</f>
        <v>2925.49140157825</v>
      </c>
      <c r="G1245" s="6" t="n">
        <f aca="false">G1244+E1245</f>
        <v>2792532.6887155</v>
      </c>
    </row>
    <row r="1246" customFormat="false" ht="15" hidden="false" customHeight="true" outlineLevel="0" collapsed="false">
      <c r="A1246" s="6" t="n">
        <v>1244</v>
      </c>
      <c r="B1246" s="6" t="n">
        <f aca="false">MIN(42, FLOOR(A1246/32,1)+1)</f>
        <v>39</v>
      </c>
      <c r="C1246" s="6" t="str">
        <f aca="false">INDEX(Grades_Realms!$B$2:$B$43, B1246)</f>
        <v>Primordial · Perfected</v>
      </c>
      <c r="D1246" s="6" t="n">
        <f aca="false">(A1246+1)^2.4 * 1.004^A1246</f>
        <v>3847203665.36002</v>
      </c>
      <c r="E1246" s="6" t="n">
        <f aca="false">$I$2*(A1246+1)^1.9*1.003^A1246</f>
        <v>13634.6363490803</v>
      </c>
      <c r="F1246" s="6" t="n">
        <f aca="false">(A1246+1)^1.12</f>
        <v>2928.12541151836</v>
      </c>
      <c r="G1246" s="6" t="n">
        <f aca="false">G1245+E1246</f>
        <v>2806167.32506458</v>
      </c>
    </row>
    <row r="1247" customFormat="false" ht="15" hidden="false" customHeight="true" outlineLevel="0" collapsed="false">
      <c r="A1247" s="6" t="n">
        <v>1245</v>
      </c>
      <c r="B1247" s="6" t="n">
        <f aca="false">MIN(42, FLOOR(A1247/32,1)+1)</f>
        <v>39</v>
      </c>
      <c r="C1247" s="6" t="str">
        <f aca="false">INDEX(Grades_Realms!$B$2:$B$43, B1247)</f>
        <v>Primordial · Perfected</v>
      </c>
      <c r="D1247" s="6" t="n">
        <f aca="false">(A1247+1)^2.4 * 1.004^A1247</f>
        <v>3870042628.36135</v>
      </c>
      <c r="E1247" s="6" t="n">
        <f aca="false">$I$2*(A1247+1)^1.9*1.003^A1247</f>
        <v>13696.4181038104</v>
      </c>
      <c r="F1247" s="6" t="n">
        <f aca="false">(A1247+1)^1.12</f>
        <v>2930.75967535121</v>
      </c>
      <c r="G1247" s="6" t="n">
        <f aca="false">G1246+E1247</f>
        <v>2819863.7431684</v>
      </c>
    </row>
    <row r="1248" customFormat="false" ht="15" hidden="false" customHeight="true" outlineLevel="0" collapsed="false">
      <c r="A1248" s="6" t="n">
        <v>1246</v>
      </c>
      <c r="B1248" s="6" t="n">
        <f aca="false">MIN(42, FLOOR(A1248/32,1)+1)</f>
        <v>39</v>
      </c>
      <c r="C1248" s="6" t="str">
        <f aca="false">INDEX(Grades_Realms!$B$2:$B$43, B1248)</f>
        <v>Primordial · Perfected</v>
      </c>
      <c r="D1248" s="6" t="n">
        <f aca="false">(A1248+1)^2.4 * 1.004^A1248</f>
        <v>3893011156.96869</v>
      </c>
      <c r="E1248" s="6" t="n">
        <f aca="false">$I$2*(A1248+1)^1.9*1.003^A1248</f>
        <v>13758.4629683534</v>
      </c>
      <c r="F1248" s="6" t="n">
        <f aca="false">(A1248+1)^1.12</f>
        <v>2933.39419289747</v>
      </c>
      <c r="G1248" s="6" t="n">
        <f aca="false">G1247+E1248</f>
        <v>2833622.20613675</v>
      </c>
    </row>
    <row r="1249" customFormat="false" ht="15" hidden="false" customHeight="true" outlineLevel="0" collapsed="false">
      <c r="A1249" s="6" t="n">
        <v>1247</v>
      </c>
      <c r="B1249" s="6" t="n">
        <f aca="false">MIN(42, FLOOR(A1249/32,1)+1)</f>
        <v>39</v>
      </c>
      <c r="C1249" s="6" t="str">
        <f aca="false">INDEX(Grades_Realms!$B$2:$B$43, B1249)</f>
        <v>Primordial · Perfected</v>
      </c>
      <c r="D1249" s="6" t="n">
        <f aca="false">(A1249+1)^2.4 * 1.004^A1249</f>
        <v>3916109958.62983</v>
      </c>
      <c r="E1249" s="6" t="n">
        <f aca="false">$I$2*(A1249+1)^1.9*1.003^A1249</f>
        <v>13820.7720095079</v>
      </c>
      <c r="F1249" s="6" t="n">
        <f aca="false">(A1249+1)^1.12</f>
        <v>2936.02896397809</v>
      </c>
      <c r="G1249" s="6" t="n">
        <f aca="false">G1248+E1249</f>
        <v>2847442.97814626</v>
      </c>
    </row>
    <row r="1250" customFormat="false" ht="15" hidden="false" customHeight="true" outlineLevel="0" collapsed="false">
      <c r="A1250" s="6" t="n">
        <v>1248</v>
      </c>
      <c r="B1250" s="6" t="n">
        <f aca="false">MIN(42, FLOOR(A1250/32,1)+1)</f>
        <v>40</v>
      </c>
      <c r="C1250" s="6" t="str">
        <f aca="false">INDEX(Grades_Realms!$B$2:$B$43, B1250)</f>
        <v>Transcendent Dao · Initial</v>
      </c>
      <c r="D1250" s="6" t="n">
        <f aca="false">(A1250+1)^2.4 * 1.004^A1250</f>
        <v>3939339744.53401</v>
      </c>
      <c r="E1250" s="6" t="n">
        <f aca="false">$I$2*(A1250+1)^1.9*1.003^A1250</f>
        <v>13883.3462982355</v>
      </c>
      <c r="F1250" s="6" t="n">
        <f aca="false">(A1250+1)^1.12</f>
        <v>2938.66398841429</v>
      </c>
      <c r="G1250" s="6" t="n">
        <f aca="false">G1249+E1250</f>
        <v>2861326.32444449</v>
      </c>
    </row>
    <row r="1251" customFormat="false" ht="15" hidden="false" customHeight="true" outlineLevel="0" collapsed="false">
      <c r="A1251" s="6" t="n">
        <v>1249</v>
      </c>
      <c r="B1251" s="6" t="n">
        <f aca="false">MIN(42, FLOOR(A1251/32,1)+1)</f>
        <v>40</v>
      </c>
      <c r="C1251" s="6" t="str">
        <f aca="false">INDEX(Grades_Realms!$B$2:$B$43, B1251)</f>
        <v>Transcendent Dao · Initial</v>
      </c>
      <c r="D1251" s="6" t="n">
        <f aca="false">(A1251+1)^2.4 * 1.004^A1251</f>
        <v>3962701229.63121</v>
      </c>
      <c r="E1251" s="6" t="n">
        <f aca="false">$I$2*(A1251+1)^1.9*1.003^A1251</f>
        <v>13946.1869096758</v>
      </c>
      <c r="F1251" s="6" t="n">
        <f aca="false">(A1251+1)^1.12</f>
        <v>2941.29926602755</v>
      </c>
      <c r="G1251" s="6" t="n">
        <f aca="false">G1250+E1251</f>
        <v>2875272.51135417</v>
      </c>
    </row>
    <row r="1252" customFormat="false" ht="15" hidden="false" customHeight="true" outlineLevel="0" collapsed="false">
      <c r="A1252" s="6" t="n">
        <v>1250</v>
      </c>
      <c r="B1252" s="6" t="n">
        <f aca="false">MIN(42, FLOOR(A1252/32,1)+1)</f>
        <v>40</v>
      </c>
      <c r="C1252" s="6" t="str">
        <f aca="false">INDEX(Grades_Realms!$B$2:$B$43, B1252)</f>
        <v>Transcendent Dao · Initial</v>
      </c>
      <c r="D1252" s="6" t="n">
        <f aca="false">(A1252+1)^2.4 * 1.004^A1252</f>
        <v>3986195132.65145</v>
      </c>
      <c r="E1252" s="6" t="n">
        <f aca="false">$I$2*(A1252+1)^1.9*1.003^A1252</f>
        <v>14009.2949231633</v>
      </c>
      <c r="F1252" s="6" t="n">
        <f aca="false">(A1252+1)^1.12</f>
        <v>2943.93479663964</v>
      </c>
      <c r="G1252" s="6" t="n">
        <f aca="false">G1251+E1252</f>
        <v>2889281.80627733</v>
      </c>
    </row>
    <row r="1253" customFormat="false" ht="15" hidden="false" customHeight="true" outlineLevel="0" collapsed="false">
      <c r="A1253" s="6" t="n">
        <v>1251</v>
      </c>
      <c r="B1253" s="6" t="n">
        <f aca="false">MIN(42, FLOOR(A1253/32,1)+1)</f>
        <v>40</v>
      </c>
      <c r="C1253" s="6" t="str">
        <f aca="false">INDEX(Grades_Realms!$B$2:$B$43, B1253)</f>
        <v>Transcendent Dao · Initial</v>
      </c>
      <c r="D1253" s="6" t="n">
        <f aca="false">(A1253+1)^2.4 * 1.004^A1253</f>
        <v>4009822176.12433</v>
      </c>
      <c r="E1253" s="6" t="n">
        <f aca="false">$I$2*(A1253+1)^1.9*1.003^A1253</f>
        <v>14072.6714222424</v>
      </c>
      <c r="F1253" s="6" t="n">
        <f aca="false">(A1253+1)^1.12</f>
        <v>2946.57058007257</v>
      </c>
      <c r="G1253" s="6" t="n">
        <f aca="false">G1252+E1253</f>
        <v>2903354.47769957</v>
      </c>
    </row>
    <row r="1254" customFormat="false" ht="15" hidden="false" customHeight="true" outlineLevel="0" collapsed="false">
      <c r="A1254" s="6" t="n">
        <v>1252</v>
      </c>
      <c r="B1254" s="6" t="n">
        <f aca="false">MIN(42, FLOOR(A1254/32,1)+1)</f>
        <v>40</v>
      </c>
      <c r="C1254" s="6" t="str">
        <f aca="false">INDEX(Grades_Realms!$B$2:$B$43, B1254)</f>
        <v>Transcendent Dao · Initial</v>
      </c>
      <c r="D1254" s="6" t="n">
        <f aca="false">(A1254+1)^2.4 * 1.004^A1254</f>
        <v>4033583086.39851</v>
      </c>
      <c r="E1254" s="6" t="n">
        <f aca="false">$I$2*(A1254+1)^1.9*1.003^A1254</f>
        <v>14136.3174946837</v>
      </c>
      <c r="F1254" s="6" t="n">
        <f aca="false">(A1254+1)^1.12</f>
        <v>2949.20661614863</v>
      </c>
      <c r="G1254" s="6" t="n">
        <f aca="false">G1253+E1254</f>
        <v>2917490.79519426</v>
      </c>
    </row>
    <row r="1255" customFormat="false" ht="15" hidden="false" customHeight="true" outlineLevel="0" collapsed="false">
      <c r="A1255" s="6" t="n">
        <v>1253</v>
      </c>
      <c r="B1255" s="6" t="n">
        <f aca="false">MIN(42, FLOOR(A1255/32,1)+1)</f>
        <v>40</v>
      </c>
      <c r="C1255" s="6" t="str">
        <f aca="false">INDEX(Grades_Realms!$B$2:$B$43, B1255)</f>
        <v>Transcendent Dao · Initial</v>
      </c>
      <c r="D1255" s="6" t="n">
        <f aca="false">(A1255+1)^2.4 * 1.004^A1255</f>
        <v>4057478593.66145</v>
      </c>
      <c r="E1255" s="6" t="n">
        <f aca="false">$I$2*(A1255+1)^1.9*1.003^A1255</f>
        <v>14200.2342324998</v>
      </c>
      <c r="F1255" s="6" t="n">
        <f aca="false">(A1255+1)^1.12</f>
        <v>2951.84290469038</v>
      </c>
      <c r="G1255" s="6" t="n">
        <f aca="false">G1254+E1255</f>
        <v>2931691.02942676</v>
      </c>
    </row>
    <row r="1256" customFormat="false" ht="15" hidden="false" customHeight="true" outlineLevel="0" collapsed="false">
      <c r="A1256" s="6" t="n">
        <v>1254</v>
      </c>
      <c r="B1256" s="6" t="n">
        <f aca="false">MIN(42, FLOOR(A1256/32,1)+1)</f>
        <v>40</v>
      </c>
      <c r="C1256" s="6" t="str">
        <f aca="false">INDEX(Grades_Realms!$B$2:$B$43, B1256)</f>
        <v>Transcendent Dao · Initial</v>
      </c>
      <c r="D1256" s="6" t="n">
        <f aca="false">(A1256+1)^2.4 * 1.004^A1256</f>
        <v>4081509431.95907</v>
      </c>
      <c r="E1256" s="6" t="n">
        <f aca="false">$I$2*(A1256+1)^1.9*1.003^A1256</f>
        <v>14264.4227319618</v>
      </c>
      <c r="F1256" s="6" t="n">
        <f aca="false">(A1256+1)^1.12</f>
        <v>2954.47944552064</v>
      </c>
      <c r="G1256" s="6" t="n">
        <f aca="false">G1255+E1256</f>
        <v>2945955.45215872</v>
      </c>
    </row>
    <row r="1257" customFormat="false" ht="15" hidden="false" customHeight="true" outlineLevel="0" collapsed="false">
      <c r="A1257" s="6" t="n">
        <v>1255</v>
      </c>
      <c r="B1257" s="6" t="n">
        <f aca="false">MIN(42, FLOOR(A1257/32,1)+1)</f>
        <v>40</v>
      </c>
      <c r="C1257" s="6" t="str">
        <f aca="false">INDEX(Grades_Realms!$B$2:$B$43, B1257)</f>
        <v>Transcendent Dao · Initial</v>
      </c>
      <c r="D1257" s="6" t="n">
        <f aca="false">(A1257+1)^2.4 * 1.004^A1257</f>
        <v>4105676339.21571</v>
      </c>
      <c r="E1257" s="6" t="n">
        <f aca="false">$I$2*(A1257+1)^1.9*1.003^A1257</f>
        <v>14328.8840936147</v>
      </c>
      <c r="F1257" s="6" t="n">
        <f aca="false">(A1257+1)^1.12</f>
        <v>2957.1162384625</v>
      </c>
      <c r="G1257" s="6" t="n">
        <f aca="false">G1256+E1257</f>
        <v>2960284.33625233</v>
      </c>
    </row>
    <row r="1258" customFormat="false" ht="15" hidden="false" customHeight="true" outlineLevel="0" collapsed="false">
      <c r="A1258" s="6" t="n">
        <v>1256</v>
      </c>
      <c r="B1258" s="6" t="n">
        <f aca="false">MIN(42, FLOOR(A1258/32,1)+1)</f>
        <v>40</v>
      </c>
      <c r="C1258" s="6" t="str">
        <f aca="false">INDEX(Grades_Realms!$B$2:$B$43, B1258)</f>
        <v>Transcendent Dao · Initial</v>
      </c>
      <c r="D1258" s="6" t="n">
        <f aca="false">(A1258+1)^2.4 * 1.004^A1258</f>
        <v>4129980057.25401</v>
      </c>
      <c r="E1258" s="6" t="n">
        <f aca="false">$I$2*(A1258+1)^1.9*1.003^A1258</f>
        <v>14393.6194222944</v>
      </c>
      <c r="F1258" s="6" t="n">
        <f aca="false">(A1258+1)^1.12</f>
        <v>2959.75328333931</v>
      </c>
      <c r="G1258" s="6" t="n">
        <f aca="false">G1257+E1258</f>
        <v>2974677.95567463</v>
      </c>
    </row>
    <row r="1259" customFormat="false" ht="15" hidden="false" customHeight="true" outlineLevel="0" collapsed="false">
      <c r="A1259" s="6" t="n">
        <v>1257</v>
      </c>
      <c r="B1259" s="6" t="n">
        <f aca="false">MIN(42, FLOOR(A1259/32,1)+1)</f>
        <v>40</v>
      </c>
      <c r="C1259" s="6" t="str">
        <f aca="false">INDEX(Grades_Realms!$B$2:$B$43, B1259)</f>
        <v>Transcendent Dao · Initial</v>
      </c>
      <c r="D1259" s="6" t="n">
        <f aca="false">(A1259+1)^2.4 * 1.004^A1259</f>
        <v>4154421331.81499</v>
      </c>
      <c r="E1259" s="6" t="n">
        <f aca="false">$I$2*(A1259+1)^1.9*1.003^A1259</f>
        <v>14458.6298271431</v>
      </c>
      <c r="F1259" s="6" t="n">
        <f aca="false">(A1259+1)^1.12</f>
        <v>2962.3905799747</v>
      </c>
      <c r="G1259" s="6" t="n">
        <f aca="false">G1258+E1259</f>
        <v>2989136.58550177</v>
      </c>
    </row>
    <row r="1260" customFormat="false" ht="15" hidden="false" customHeight="true" outlineLevel="0" collapsed="false">
      <c r="A1260" s="6" t="n">
        <v>1258</v>
      </c>
      <c r="B1260" s="6" t="n">
        <f aca="false">MIN(42, FLOOR(A1260/32,1)+1)</f>
        <v>40</v>
      </c>
      <c r="C1260" s="6" t="str">
        <f aca="false">INDEX(Grades_Realms!$B$2:$B$43, B1260)</f>
        <v>Transcendent Dao · Initial</v>
      </c>
      <c r="D1260" s="6" t="n">
        <f aca="false">(A1260+1)^2.4 * 1.004^A1260</f>
        <v>4179000912.57821</v>
      </c>
      <c r="E1260" s="6" t="n">
        <f aca="false">$I$2*(A1260+1)^1.9*1.003^A1260</f>
        <v>14523.9164216262</v>
      </c>
      <c r="F1260" s="6" t="n">
        <f aca="false">(A1260+1)^1.12</f>
        <v>2965.02812819253</v>
      </c>
      <c r="G1260" s="6" t="n">
        <f aca="false">G1259+E1260</f>
        <v>3003660.5019234</v>
      </c>
    </row>
    <row r="1261" customFormat="false" ht="15" hidden="false" customHeight="true" outlineLevel="0" collapsed="false">
      <c r="A1261" s="6" t="n">
        <v>1259</v>
      </c>
      <c r="B1261" s="6" t="n">
        <f aca="false">MIN(42, FLOOR(A1261/32,1)+1)</f>
        <v>40</v>
      </c>
      <c r="C1261" s="6" t="str">
        <f aca="false">INDEX(Grades_Realms!$B$2:$B$43, B1261)</f>
        <v>Transcendent Dao · Initial</v>
      </c>
      <c r="D1261" s="6" t="n">
        <f aca="false">(A1261+1)^2.4 * 1.004^A1261</f>
        <v>4203719553.18203</v>
      </c>
      <c r="E1261" s="6" t="n">
        <f aca="false">$I$2*(A1261+1)^1.9*1.003^A1261</f>
        <v>14589.4803235484</v>
      </c>
      <c r="F1261" s="6" t="n">
        <f aca="false">(A1261+1)^1.12</f>
        <v>2967.66592781696</v>
      </c>
      <c r="G1261" s="6" t="n">
        <f aca="false">G1260+E1261</f>
        <v>3018249.98224695</v>
      </c>
    </row>
    <row r="1262" customFormat="false" ht="15" hidden="false" customHeight="true" outlineLevel="0" collapsed="false">
      <c r="A1262" s="6" t="n">
        <v>1260</v>
      </c>
      <c r="B1262" s="6" t="n">
        <f aca="false">MIN(42, FLOOR(A1262/32,1)+1)</f>
        <v>40</v>
      </c>
      <c r="C1262" s="6" t="str">
        <f aca="false">INDEX(Grades_Realms!$B$2:$B$43, B1262)</f>
        <v>Transcendent Dao · Initial</v>
      </c>
      <c r="D1262" s="6" t="n">
        <f aca="false">(A1262+1)^2.4 * 1.004^A1262</f>
        <v>4228578011.24397</v>
      </c>
      <c r="E1262" s="6" t="n">
        <f aca="false">$I$2*(A1262+1)^1.9*1.003^A1262</f>
        <v>14655.3226550702</v>
      </c>
      <c r="F1262" s="6" t="n">
        <f aca="false">(A1262+1)^1.12</f>
        <v>2970.30397867238</v>
      </c>
      <c r="G1262" s="6" t="n">
        <f aca="false">G1261+E1262</f>
        <v>3032905.30490202</v>
      </c>
    </row>
    <row r="1263" customFormat="false" ht="15" hidden="false" customHeight="true" outlineLevel="0" collapsed="false">
      <c r="A1263" s="6" t="n">
        <v>1261</v>
      </c>
      <c r="B1263" s="6" t="n">
        <f aca="false">MIN(42, FLOOR(A1263/32,1)+1)</f>
        <v>40</v>
      </c>
      <c r="C1263" s="6" t="str">
        <f aca="false">INDEX(Grades_Realms!$B$2:$B$43, B1263)</f>
        <v>Transcendent Dao · Initial</v>
      </c>
      <c r="D1263" s="6" t="n">
        <f aca="false">(A1263+1)^2.4 * 1.004^A1263</f>
        <v>4253577048.38117</v>
      </c>
      <c r="E1263" s="6" t="n">
        <f aca="false">$I$2*(A1263+1)^1.9*1.003^A1263</f>
        <v>14721.4445427243</v>
      </c>
      <c r="F1263" s="6" t="n">
        <f aca="false">(A1263+1)^1.12</f>
        <v>2972.94228058348</v>
      </c>
      <c r="G1263" s="6" t="n">
        <f aca="false">G1262+E1263</f>
        <v>3047626.74944474</v>
      </c>
    </row>
    <row r="1264" customFormat="false" ht="15" hidden="false" customHeight="true" outlineLevel="0" collapsed="false">
      <c r="A1264" s="6" t="n">
        <v>1262</v>
      </c>
      <c r="B1264" s="6" t="n">
        <f aca="false">MIN(42, FLOOR(A1264/32,1)+1)</f>
        <v>40</v>
      </c>
      <c r="C1264" s="6" t="str">
        <f aca="false">INDEX(Grades_Realms!$B$2:$B$43, B1264)</f>
        <v>Transcendent Dao · Initial</v>
      </c>
      <c r="D1264" s="6" t="n">
        <f aca="false">(A1264+1)^2.4 * 1.004^A1264</f>
        <v>4278717430.23095</v>
      </c>
      <c r="E1264" s="6" t="n">
        <f aca="false">$I$2*(A1264+1)^1.9*1.003^A1264</f>
        <v>14787.847117432</v>
      </c>
      <c r="F1264" s="6" t="n">
        <f aca="false">(A1264+1)^1.12</f>
        <v>2975.58083337517</v>
      </c>
      <c r="G1264" s="6" t="n">
        <f aca="false">G1263+E1264</f>
        <v>3062414.59656217</v>
      </c>
    </row>
    <row r="1265" customFormat="false" ht="15" hidden="false" customHeight="true" outlineLevel="0" collapsed="false">
      <c r="A1265" s="6" t="n">
        <v>1263</v>
      </c>
      <c r="B1265" s="6" t="n">
        <f aca="false">MIN(42, FLOOR(A1265/32,1)+1)</f>
        <v>40</v>
      </c>
      <c r="C1265" s="6" t="str">
        <f aca="false">INDEX(Grades_Realms!$B$2:$B$43, B1265)</f>
        <v>Transcendent Dao · Initial</v>
      </c>
      <c r="D1265" s="6" t="n">
        <f aca="false">(A1265+1)^2.4 * 1.004^A1265</f>
        <v>4303999926.47149</v>
      </c>
      <c r="E1265" s="6" t="n">
        <f aca="false">$I$2*(A1265+1)^1.9*1.003^A1265</f>
        <v>14854.5315145202</v>
      </c>
      <c r="F1265" s="6" t="n">
        <f aca="false">(A1265+1)^1.12</f>
        <v>2978.21963687265</v>
      </c>
      <c r="G1265" s="6" t="n">
        <f aca="false">G1264+E1265</f>
        <v>3077269.12807669</v>
      </c>
    </row>
    <row r="1266" customFormat="false" ht="15" hidden="false" customHeight="true" outlineLevel="0" collapsed="false">
      <c r="A1266" s="6" t="n">
        <v>1264</v>
      </c>
      <c r="B1266" s="6" t="n">
        <f aca="false">MIN(42, FLOOR(A1266/32,1)+1)</f>
        <v>40</v>
      </c>
      <c r="C1266" s="6" t="str">
        <f aca="false">INDEX(Grades_Realms!$B$2:$B$43, B1266)</f>
        <v>Transcendent Dao · Initial</v>
      </c>
      <c r="D1266" s="6" t="n">
        <f aca="false">(A1266+1)^2.4 * 1.004^A1266</f>
        <v>4329425310.84261</v>
      </c>
      <c r="E1266" s="6" t="n">
        <f aca="false">$I$2*(A1266+1)^1.9*1.003^A1266</f>
        <v>14921.4988737376</v>
      </c>
      <c r="F1266" s="6" t="n">
        <f aca="false">(A1266+1)^1.12</f>
        <v>2980.85869090136</v>
      </c>
      <c r="G1266" s="6" t="n">
        <f aca="false">G1265+E1266</f>
        <v>3092190.62695043</v>
      </c>
    </row>
    <row r="1267" customFormat="false" ht="15" hidden="false" customHeight="true" outlineLevel="0" collapsed="false">
      <c r="A1267" s="6" t="n">
        <v>1265</v>
      </c>
      <c r="B1267" s="6" t="n">
        <f aca="false">MIN(42, FLOOR(A1267/32,1)+1)</f>
        <v>40</v>
      </c>
      <c r="C1267" s="6" t="str">
        <f aca="false">INDEX(Grades_Realms!$B$2:$B$43, B1267)</f>
        <v>Transcendent Dao · Initial</v>
      </c>
      <c r="D1267" s="6" t="n">
        <f aca="false">(A1267+1)^2.4 * 1.004^A1267</f>
        <v>4354994361.16662</v>
      </c>
      <c r="E1267" s="6" t="n">
        <f aca="false">$I$2*(A1267+1)^1.9*1.003^A1267</f>
        <v>14988.7503392718</v>
      </c>
      <c r="F1267" s="6" t="n">
        <f aca="false">(A1267+1)^1.12</f>
        <v>2983.49799528702</v>
      </c>
      <c r="G1267" s="6" t="n">
        <f aca="false">G1266+E1267</f>
        <v>3107179.3772897</v>
      </c>
    </row>
    <row r="1268" customFormat="false" ht="15" hidden="false" customHeight="true" outlineLevel="0" collapsed="false">
      <c r="A1268" s="6" t="n">
        <v>1266</v>
      </c>
      <c r="B1268" s="6" t="n">
        <f aca="false">MIN(42, FLOOR(A1268/32,1)+1)</f>
        <v>40</v>
      </c>
      <c r="C1268" s="6" t="str">
        <f aca="false">INDEX(Grades_Realms!$B$2:$B$43, B1268)</f>
        <v>Transcendent Dao · Initial</v>
      </c>
      <c r="D1268" s="6" t="n">
        <f aca="false">(A1268+1)^2.4 * 1.004^A1268</f>
        <v>4380707859.36932</v>
      </c>
      <c r="E1268" s="6" t="n">
        <f aca="false">$I$2*(A1268+1)^1.9*1.003^A1268</f>
        <v>15056.2870597657</v>
      </c>
      <c r="F1268" s="6" t="n">
        <f aca="false">(A1268+1)^1.12</f>
        <v>2986.13754985559</v>
      </c>
      <c r="G1268" s="6" t="n">
        <f aca="false">G1267+E1268</f>
        <v>3122235.66434947</v>
      </c>
    </row>
    <row r="1269" customFormat="false" ht="15" hidden="false" customHeight="true" outlineLevel="0" collapsed="false">
      <c r="A1269" s="6" t="n">
        <v>1267</v>
      </c>
      <c r="B1269" s="6" t="n">
        <f aca="false">MIN(42, FLOOR(A1269/32,1)+1)</f>
        <v>40</v>
      </c>
      <c r="C1269" s="6" t="str">
        <f aca="false">INDEX(Grades_Realms!$B$2:$B$43, B1269)</f>
        <v>Transcendent Dao · Initial</v>
      </c>
      <c r="D1269" s="6" t="n">
        <f aca="false">(A1269+1)^2.4 * 1.004^A1269</f>
        <v>4406566591.50111</v>
      </c>
      <c r="E1269" s="6" t="n">
        <f aca="false">$I$2*(A1269+1)^1.9*1.003^A1269</f>
        <v>15124.1101883347</v>
      </c>
      <c r="F1269" s="6" t="n">
        <f aca="false">(A1269+1)^1.12</f>
        <v>2988.7773544333</v>
      </c>
      <c r="G1269" s="6" t="n">
        <f aca="false">G1268+E1269</f>
        <v>3137359.7745378</v>
      </c>
    </row>
    <row r="1270" customFormat="false" ht="15" hidden="false" customHeight="true" outlineLevel="0" collapsed="false">
      <c r="A1270" s="6" t="n">
        <v>1268</v>
      </c>
      <c r="B1270" s="6" t="n">
        <f aca="false">MIN(42, FLOOR(A1270/32,1)+1)</f>
        <v>40</v>
      </c>
      <c r="C1270" s="6" t="str">
        <f aca="false">INDEX(Grades_Realms!$B$2:$B$43, B1270)</f>
        <v>Transcendent Dao · Initial</v>
      </c>
      <c r="D1270" s="6" t="n">
        <f aca="false">(A1270+1)^2.4 * 1.004^A1270</f>
        <v>4432571347.75812</v>
      </c>
      <c r="E1270" s="6" t="n">
        <f aca="false">$I$2*(A1270+1)^1.9*1.003^A1270</f>
        <v>15192.2208825833</v>
      </c>
      <c r="F1270" s="6" t="n">
        <f aca="false">(A1270+1)^1.12</f>
        <v>2991.41740884663</v>
      </c>
      <c r="G1270" s="6" t="n">
        <f aca="false">G1269+E1270</f>
        <v>3152551.99542039</v>
      </c>
    </row>
    <row r="1271" customFormat="false" ht="15" hidden="false" customHeight="true" outlineLevel="0" collapsed="false">
      <c r="A1271" s="6" t="n">
        <v>1269</v>
      </c>
      <c r="B1271" s="6" t="n">
        <f aca="false">MIN(42, FLOOR(A1271/32,1)+1)</f>
        <v>40</v>
      </c>
      <c r="C1271" s="6" t="str">
        <f aca="false">INDEX(Grades_Realms!$B$2:$B$43, B1271)</f>
        <v>Transcendent Dao · Initial</v>
      </c>
      <c r="D1271" s="6" t="n">
        <f aca="false">(A1271+1)^2.4 * 1.004^A1271</f>
        <v>4458722922.50361</v>
      </c>
      <c r="E1271" s="6" t="n">
        <f aca="false">$I$2*(A1271+1)^1.9*1.003^A1271</f>
        <v>15260.6203046223</v>
      </c>
      <c r="F1271" s="6" t="n">
        <f aca="false">(A1271+1)^1.12</f>
        <v>2994.05771292233</v>
      </c>
      <c r="G1271" s="6" t="n">
        <f aca="false">G1270+E1271</f>
        <v>3167812.61572501</v>
      </c>
    </row>
    <row r="1272" customFormat="false" ht="15" hidden="false" customHeight="true" outlineLevel="0" collapsed="false">
      <c r="A1272" s="6" t="n">
        <v>1270</v>
      </c>
      <c r="B1272" s="6" t="n">
        <f aca="false">MIN(42, FLOOR(A1272/32,1)+1)</f>
        <v>40</v>
      </c>
      <c r="C1272" s="6" t="str">
        <f aca="false">INDEX(Grades_Realms!$B$2:$B$43, B1272)</f>
        <v>Transcendent Dao · Initial</v>
      </c>
      <c r="D1272" s="6" t="n">
        <f aca="false">(A1272+1)^2.4 * 1.004^A1272</f>
        <v>4485022114.28927</v>
      </c>
      <c r="E1272" s="6" t="n">
        <f aca="false">$I$2*(A1272+1)^1.9*1.003^A1272</f>
        <v>15329.3096210857</v>
      </c>
      <c r="F1272" s="6" t="n">
        <f aca="false">(A1272+1)^1.12</f>
        <v>2996.69826648739</v>
      </c>
      <c r="G1272" s="6" t="n">
        <f aca="false">G1271+E1272</f>
        <v>3183141.92534609</v>
      </c>
    </row>
    <row r="1273" customFormat="false" ht="15" hidden="false" customHeight="true" outlineLevel="0" collapsed="false">
      <c r="A1273" s="6" t="n">
        <v>1271</v>
      </c>
      <c r="B1273" s="6" t="n">
        <f aca="false">MIN(42, FLOOR(A1273/32,1)+1)</f>
        <v>40</v>
      </c>
      <c r="C1273" s="6" t="str">
        <f aca="false">INDEX(Grades_Realms!$B$2:$B$43, B1273)</f>
        <v>Transcendent Dao · Initial</v>
      </c>
      <c r="D1273" s="6" t="n">
        <f aca="false">(A1273+1)^2.4 * 1.004^A1273</f>
        <v>4511469725.8768</v>
      </c>
      <c r="E1273" s="6" t="n">
        <f aca="false">$I$2*(A1273+1)^1.9*1.003^A1273</f>
        <v>15398.2900031478</v>
      </c>
      <c r="F1273" s="6" t="n">
        <f aca="false">(A1273+1)^1.12</f>
        <v>2999.33906936907</v>
      </c>
      <c r="G1273" s="6" t="n">
        <f aca="false">G1272+E1273</f>
        <v>3198540.21534924</v>
      </c>
    </row>
    <row r="1274" customFormat="false" ht="15" hidden="false" customHeight="true" outlineLevel="0" collapsed="false">
      <c r="A1274" s="6" t="n">
        <v>1272</v>
      </c>
      <c r="B1274" s="6" t="n">
        <f aca="false">MIN(42, FLOOR(A1274/32,1)+1)</f>
        <v>40</v>
      </c>
      <c r="C1274" s="6" t="str">
        <f aca="false">INDEX(Grades_Realms!$B$2:$B$43, B1274)</f>
        <v>Transcendent Dao · Initial</v>
      </c>
      <c r="D1274" s="6" t="n">
        <f aca="false">(A1274+1)^2.4 * 1.004^A1274</f>
        <v>4538066564.25954</v>
      </c>
      <c r="E1274" s="6" t="n">
        <f aca="false">$I$2*(A1274+1)^1.9*1.003^A1274</f>
        <v>15467.5626265405</v>
      </c>
      <c r="F1274" s="6" t="n">
        <f aca="false">(A1274+1)^1.12</f>
        <v>3001.98012139486</v>
      </c>
      <c r="G1274" s="6" t="n">
        <f aca="false">G1273+E1274</f>
        <v>3214007.77797578</v>
      </c>
    </row>
    <row r="1275" customFormat="false" ht="15" hidden="false" customHeight="true" outlineLevel="0" collapsed="false">
      <c r="A1275" s="6" t="n">
        <v>1273</v>
      </c>
      <c r="B1275" s="6" t="n">
        <f aca="false">MIN(42, FLOOR(A1275/32,1)+1)</f>
        <v>40</v>
      </c>
      <c r="C1275" s="6" t="str">
        <f aca="false">INDEX(Grades_Realms!$B$2:$B$43, B1275)</f>
        <v>Transcendent Dao · Initial</v>
      </c>
      <c r="D1275" s="6" t="n">
        <f aca="false">(A1275+1)^2.4 * 1.004^A1275</f>
        <v>4564813440.68416</v>
      </c>
      <c r="E1275" s="6" t="n">
        <f aca="false">$I$2*(A1275+1)^1.9*1.003^A1275</f>
        <v>15537.1286715702</v>
      </c>
      <c r="F1275" s="6" t="n">
        <f aca="false">(A1275+1)^1.12</f>
        <v>3004.62142239255</v>
      </c>
      <c r="G1275" s="6" t="n">
        <f aca="false">G1274+E1275</f>
        <v>3229544.90664735</v>
      </c>
    </row>
    <row r="1276" customFormat="false" ht="15" hidden="false" customHeight="true" outlineLevel="0" collapsed="false">
      <c r="A1276" s="6" t="n">
        <v>1274</v>
      </c>
      <c r="B1276" s="6" t="n">
        <f aca="false">MIN(42, FLOOR(A1276/32,1)+1)</f>
        <v>40</v>
      </c>
      <c r="C1276" s="6" t="str">
        <f aca="false">INDEX(Grades_Realms!$B$2:$B$43, B1276)</f>
        <v>Transcendent Dao · Initial</v>
      </c>
      <c r="D1276" s="6" t="n">
        <f aca="false">(A1276+1)^2.4 * 1.004^A1276</f>
        <v>4591711170.67252</v>
      </c>
      <c r="E1276" s="6" t="n">
        <f aca="false">$I$2*(A1276+1)^1.9*1.003^A1276</f>
        <v>15606.9893231354</v>
      </c>
      <c r="F1276" s="6" t="n">
        <f aca="false">(A1276+1)^1.12</f>
        <v>3007.26297219014</v>
      </c>
      <c r="G1276" s="6" t="n">
        <f aca="false">G1275+E1276</f>
        <v>3245151.89597049</v>
      </c>
    </row>
    <row r="1277" customFormat="false" ht="15" hidden="false" customHeight="true" outlineLevel="0" collapsed="false">
      <c r="A1277" s="6" t="n">
        <v>1275</v>
      </c>
      <c r="B1277" s="6" t="n">
        <f aca="false">MIN(42, FLOOR(A1277/32,1)+1)</f>
        <v>40</v>
      </c>
      <c r="C1277" s="6" t="str">
        <f aca="false">INDEX(Grades_Realms!$B$2:$B$43, B1277)</f>
        <v>Transcendent Dao · Initial</v>
      </c>
      <c r="D1277" s="6" t="n">
        <f aca="false">(A1277+1)^2.4 * 1.004^A1277</f>
        <v>4618760574.04365</v>
      </c>
      <c r="E1277" s="6" t="n">
        <f aca="false">$I$2*(A1277+1)^1.9*1.003^A1277</f>
        <v>15677.1457707438</v>
      </c>
      <c r="F1277" s="6" t="n">
        <f aca="false">(A1277+1)^1.12</f>
        <v>3009.9047706159</v>
      </c>
      <c r="G1277" s="6" t="n">
        <f aca="false">G1276+E1277</f>
        <v>3260829.04174123</v>
      </c>
    </row>
    <row r="1278" customFormat="false" ht="15" hidden="false" customHeight="true" outlineLevel="0" collapsed="false">
      <c r="A1278" s="6" t="n">
        <v>1276</v>
      </c>
      <c r="B1278" s="6" t="n">
        <f aca="false">MIN(42, FLOOR(A1278/32,1)+1)</f>
        <v>40</v>
      </c>
      <c r="C1278" s="6" t="str">
        <f aca="false">INDEX(Grades_Realms!$B$2:$B$43, B1278)</f>
        <v>Transcendent Dao · Initial</v>
      </c>
      <c r="D1278" s="6" t="n">
        <f aca="false">(A1278+1)^2.4 * 1.004^A1278</f>
        <v>4645962474.93575</v>
      </c>
      <c r="E1278" s="6" t="n">
        <f aca="false">$I$2*(A1278+1)^1.9*1.003^A1278</f>
        <v>15747.59920853</v>
      </c>
      <c r="F1278" s="6" t="n">
        <f aca="false">(A1278+1)^1.12</f>
        <v>3012.54681749837</v>
      </c>
      <c r="G1278" s="6" t="n">
        <f aca="false">G1277+E1278</f>
        <v>3276576.64094976</v>
      </c>
    </row>
    <row r="1279" customFormat="false" ht="15" hidden="false" customHeight="true" outlineLevel="0" collapsed="false">
      <c r="A1279" s="6" t="n">
        <v>1277</v>
      </c>
      <c r="B1279" s="6" t="n">
        <f aca="false">MIN(42, FLOOR(A1279/32,1)+1)</f>
        <v>40</v>
      </c>
      <c r="C1279" s="6" t="str">
        <f aca="false">INDEX(Grades_Realms!$B$2:$B$43, B1279)</f>
        <v>Transcendent Dao · Initial</v>
      </c>
      <c r="D1279" s="6" t="n">
        <f aca="false">(A1279+1)^2.4 * 1.004^A1279</f>
        <v>4673317701.82842</v>
      </c>
      <c r="E1279" s="6" t="n">
        <f aca="false">$I$2*(A1279+1)^1.9*1.003^A1279</f>
        <v>15818.3508352725</v>
      </c>
      <c r="F1279" s="6" t="n">
        <f aca="false">(A1279+1)^1.12</f>
        <v>3015.18911266631</v>
      </c>
      <c r="G1279" s="6" t="n">
        <f aca="false">G1278+E1279</f>
        <v>3292394.99178503</v>
      </c>
    </row>
    <row r="1280" customFormat="false" ht="15" hidden="false" customHeight="true" outlineLevel="0" collapsed="false">
      <c r="A1280" s="6" t="n">
        <v>1278</v>
      </c>
      <c r="B1280" s="6" t="n">
        <f aca="false">MIN(42, FLOOR(A1280/32,1)+1)</f>
        <v>40</v>
      </c>
      <c r="C1280" s="6" t="str">
        <f aca="false">INDEX(Grades_Realms!$B$2:$B$43, B1280)</f>
        <v>Transcendent Dao · Initial</v>
      </c>
      <c r="D1280" s="6" t="n">
        <f aca="false">(A1280+1)^2.4 * 1.004^A1280</f>
        <v>4700827087.56491</v>
      </c>
      <c r="E1280" s="6" t="n">
        <f aca="false">$I$2*(A1280+1)^1.9*1.003^A1280</f>
        <v>15889.4018544118</v>
      </c>
      <c r="F1280" s="6" t="n">
        <f aca="false">(A1280+1)^1.12</f>
        <v>3017.83165594875</v>
      </c>
      <c r="G1280" s="6" t="n">
        <f aca="false">G1279+E1280</f>
        <v>3308284.39363945</v>
      </c>
    </row>
    <row r="1281" customFormat="false" ht="15" hidden="false" customHeight="true" outlineLevel="0" collapsed="false">
      <c r="A1281" s="6" t="n">
        <v>1279</v>
      </c>
      <c r="B1281" s="6" t="n">
        <f aca="false">MIN(42, FLOOR(A1281/32,1)+1)</f>
        <v>40</v>
      </c>
      <c r="C1281" s="6" t="str">
        <f aca="false">INDEX(Grades_Realms!$B$2:$B$43, B1281)</f>
        <v>Transcendent Dao · Initial</v>
      </c>
      <c r="D1281" s="6" t="n">
        <f aca="false">(A1281+1)^2.4 * 1.004^A1281</f>
        <v>4728491469.37454</v>
      </c>
      <c r="E1281" s="6" t="n">
        <f aca="false">$I$2*(A1281+1)^1.9*1.003^A1281</f>
        <v>15960.7534740676</v>
      </c>
      <c r="F1281" s="6" t="n">
        <f aca="false">(A1281+1)^1.12</f>
        <v>3020.47444717498</v>
      </c>
      <c r="G1281" s="6" t="n">
        <f aca="false">G1280+E1281</f>
        <v>3324245.14711351</v>
      </c>
    </row>
    <row r="1282" customFormat="false" ht="15" hidden="false" customHeight="true" outlineLevel="0" collapsed="false">
      <c r="A1282" s="6" t="n">
        <v>1280</v>
      </c>
      <c r="B1282" s="6" t="n">
        <f aca="false">MIN(42, FLOOR(A1282/32,1)+1)</f>
        <v>41</v>
      </c>
      <c r="C1282" s="6" t="str">
        <f aca="false">INDEX(Grades_Realms!$B$2:$B$43, B1282)</f>
        <v>Transcendent Dao · Advanced</v>
      </c>
      <c r="D1282" s="6" t="n">
        <f aca="false">(A1282+1)^2.4 * 1.004^A1282</f>
        <v>4756311688.89518</v>
      </c>
      <c r="E1282" s="6" t="n">
        <f aca="false">$I$2*(A1282+1)^1.9*1.003^A1282</f>
        <v>16032.4069070566</v>
      </c>
      <c r="F1282" s="6" t="n">
        <f aca="false">(A1282+1)^1.12</f>
        <v>3023.11748617453</v>
      </c>
      <c r="G1282" s="6" t="n">
        <f aca="false">G1281+E1282</f>
        <v>3340277.55402057</v>
      </c>
    </row>
    <row r="1283" customFormat="false" ht="15" hidden="false" customHeight="true" outlineLevel="0" collapsed="false">
      <c r="A1283" s="6" t="n">
        <v>1281</v>
      </c>
      <c r="B1283" s="6" t="n">
        <f aca="false">MIN(42, FLOOR(A1283/32,1)+1)</f>
        <v>41</v>
      </c>
      <c r="C1283" s="6" t="str">
        <f aca="false">INDEX(Grades_Realms!$B$2:$B$43, B1283)</f>
        <v>Transcendent Dao · Advanced</v>
      </c>
      <c r="D1283" s="6" t="n">
        <f aca="false">(A1283+1)^2.4 * 1.004^A1283</f>
        <v>4784288592.19589</v>
      </c>
      <c r="E1283" s="6" t="n">
        <f aca="false">$I$2*(A1283+1)^1.9*1.003^A1283</f>
        <v>16104.3633709103</v>
      </c>
      <c r="F1283" s="6" t="n">
        <f aca="false">(A1283+1)^1.12</f>
        <v>3025.76077277717</v>
      </c>
      <c r="G1283" s="6" t="n">
        <f aca="false">G1282+E1283</f>
        <v>3356381.91739148</v>
      </c>
    </row>
    <row r="1284" customFormat="false" ht="15" hidden="false" customHeight="true" outlineLevel="0" collapsed="false">
      <c r="A1284" s="6" t="n">
        <v>1282</v>
      </c>
      <c r="B1284" s="6" t="n">
        <f aca="false">MIN(42, FLOOR(A1284/32,1)+1)</f>
        <v>41</v>
      </c>
      <c r="C1284" s="6" t="str">
        <f aca="false">INDEX(Grades_Realms!$B$2:$B$43, B1284)</f>
        <v>Transcendent Dao · Advanced</v>
      </c>
      <c r="D1284" s="6" t="n">
        <f aca="false">(A1284+1)^2.4 * 1.004^A1284</f>
        <v>4812423029.79965</v>
      </c>
      <c r="E1284" s="6" t="n">
        <f aca="false">$I$2*(A1284+1)^1.9*1.003^A1284</f>
        <v>16176.6240878925</v>
      </c>
      <c r="F1284" s="6" t="n">
        <f aca="false">(A1284+1)^1.12</f>
        <v>3028.40430681294</v>
      </c>
      <c r="G1284" s="6" t="n">
        <f aca="false">G1283+E1284</f>
        <v>3372558.54147937</v>
      </c>
    </row>
    <row r="1285" customFormat="false" ht="15" hidden="false" customHeight="true" outlineLevel="0" collapsed="false">
      <c r="A1285" s="6" t="n">
        <v>1283</v>
      </c>
      <c r="B1285" s="6" t="n">
        <f aca="false">MIN(42, FLOOR(A1285/32,1)+1)</f>
        <v>41</v>
      </c>
      <c r="C1285" s="6" t="str">
        <f aca="false">INDEX(Grades_Realms!$B$2:$B$43, B1285)</f>
        <v>Transcendent Dao · Advanced</v>
      </c>
      <c r="D1285" s="6" t="n">
        <f aca="false">(A1285+1)^2.4 * 1.004^A1285</f>
        <v>4840715856.7062</v>
      </c>
      <c r="E1285" s="6" t="n">
        <f aca="false">$I$2*(A1285+1)^1.9*1.003^A1285</f>
        <v>16249.1902850177</v>
      </c>
      <c r="F1285" s="6" t="n">
        <f aca="false">(A1285+1)^1.12</f>
        <v>3031.04808811211</v>
      </c>
      <c r="G1285" s="6" t="n">
        <f aca="false">G1284+E1285</f>
        <v>3388807.73176439</v>
      </c>
    </row>
    <row r="1286" customFormat="false" ht="15" hidden="false" customHeight="true" outlineLevel="0" collapsed="false">
      <c r="A1286" s="6" t="n">
        <v>1284</v>
      </c>
      <c r="B1286" s="6" t="n">
        <f aca="false">MIN(42, FLOOR(A1286/32,1)+1)</f>
        <v>41</v>
      </c>
      <c r="C1286" s="6" t="str">
        <f aca="false">INDEX(Grades_Realms!$B$2:$B$43, B1286)</f>
        <v>Transcendent Dao · Advanced</v>
      </c>
      <c r="D1286" s="6" t="n">
        <f aca="false">(A1286+1)^2.4 * 1.004^A1286</f>
        <v>4869167932.41501</v>
      </c>
      <c r="E1286" s="6" t="n">
        <f aca="false">$I$2*(A1286+1)^1.9*1.003^A1286</f>
        <v>16322.0631940685</v>
      </c>
      <c r="F1286" s="6" t="n">
        <f aca="false">(A1286+1)^1.12</f>
        <v>3033.69211650522</v>
      </c>
      <c r="G1286" s="6" t="n">
        <f aca="false">G1285+E1286</f>
        <v>3405129.79495846</v>
      </c>
    </row>
    <row r="1287" customFormat="false" ht="15" hidden="false" customHeight="true" outlineLevel="0" collapsed="false">
      <c r="A1287" s="6" t="n">
        <v>1285</v>
      </c>
      <c r="B1287" s="6" t="n">
        <f aca="false">MIN(42, FLOOR(A1287/32,1)+1)</f>
        <v>41</v>
      </c>
      <c r="C1287" s="6" t="str">
        <f aca="false">INDEX(Grades_Realms!$B$2:$B$43, B1287)</f>
        <v>Transcendent Dao · Advanced</v>
      </c>
      <c r="D1287" s="6" t="n">
        <f aca="false">(A1287+1)^2.4 * 1.004^A1287</f>
        <v>4897780120.94838</v>
      </c>
      <c r="E1287" s="6" t="n">
        <f aca="false">$I$2*(A1287+1)^1.9*1.003^A1287</f>
        <v>16395.2440516137</v>
      </c>
      <c r="F1287" s="6" t="n">
        <f aca="false">(A1287+1)^1.12</f>
        <v>3036.33639182304</v>
      </c>
      <c r="G1287" s="6" t="n">
        <f aca="false">G1286+E1287</f>
        <v>3421525.03901007</v>
      </c>
    </row>
    <row r="1288" customFormat="false" ht="15" hidden="false" customHeight="true" outlineLevel="0" collapsed="false">
      <c r="A1288" s="6" t="n">
        <v>1286</v>
      </c>
      <c r="B1288" s="6" t="n">
        <f aca="false">MIN(42, FLOOR(A1288/32,1)+1)</f>
        <v>41</v>
      </c>
      <c r="C1288" s="6" t="str">
        <f aca="false">INDEX(Grades_Realms!$B$2:$B$43, B1288)</f>
        <v>Transcendent Dao · Advanced</v>
      </c>
      <c r="D1288" s="6" t="n">
        <f aca="false">(A1288+1)^2.4 * 1.004^A1288</f>
        <v>4926553290.87459</v>
      </c>
      <c r="E1288" s="6" t="n">
        <f aca="false">$I$2*(A1288+1)^1.9*1.003^A1288</f>
        <v>16468.7340990268</v>
      </c>
      <c r="F1288" s="6" t="n">
        <f aca="false">(A1288+1)^1.12</f>
        <v>3038.98091389659</v>
      </c>
      <c r="G1288" s="6" t="n">
        <f aca="false">G1287+E1288</f>
        <v>3437993.7731091</v>
      </c>
    </row>
    <row r="1289" customFormat="false" ht="15" hidden="false" customHeight="true" outlineLevel="0" collapsed="false">
      <c r="A1289" s="6" t="n">
        <v>1287</v>
      </c>
      <c r="B1289" s="6" t="n">
        <f aca="false">MIN(42, FLOOR(A1289/32,1)+1)</f>
        <v>41</v>
      </c>
      <c r="C1289" s="6" t="str">
        <f aca="false">INDEX(Grades_Realms!$B$2:$B$43, B1289)</f>
        <v>Transcendent Dao · Advanced</v>
      </c>
      <c r="D1289" s="6" t="n">
        <f aca="false">(A1289+1)^2.4 * 1.004^A1289</f>
        <v>4955488315.33124</v>
      </c>
      <c r="E1289" s="6" t="n">
        <f aca="false">$I$2*(A1289+1)^1.9*1.003^A1289</f>
        <v>16542.5345825034</v>
      </c>
      <c r="F1289" s="6" t="n">
        <f aca="false">(A1289+1)^1.12</f>
        <v>3041.62568255714</v>
      </c>
      <c r="G1289" s="6" t="n">
        <f aca="false">G1288+E1289</f>
        <v>3454536.3076916</v>
      </c>
    </row>
    <row r="1290" customFormat="false" ht="15" hidden="false" customHeight="true" outlineLevel="0" collapsed="false">
      <c r="A1290" s="6" t="n">
        <v>1288</v>
      </c>
      <c r="B1290" s="6" t="n">
        <f aca="false">MIN(42, FLOOR(A1290/32,1)+1)</f>
        <v>41</v>
      </c>
      <c r="C1290" s="6" t="str">
        <f aca="false">INDEX(Grades_Realms!$B$2:$B$43, B1290)</f>
        <v>Transcendent Dao · Advanced</v>
      </c>
      <c r="D1290" s="6" t="n">
        <f aca="false">(A1290+1)^2.4 * 1.004^A1290</f>
        <v>4984586072.04867</v>
      </c>
      <c r="E1290" s="6" t="n">
        <f aca="false">$I$2*(A1290+1)^1.9*1.003^A1290</f>
        <v>16616.64675308</v>
      </c>
      <c r="F1290" s="6" t="n">
        <f aca="false">(A1290+1)^1.12</f>
        <v>3044.27069763622</v>
      </c>
      <c r="G1290" s="6" t="n">
        <f aca="false">G1289+E1290</f>
        <v>3471152.95444468</v>
      </c>
    </row>
    <row r="1291" customFormat="false" ht="15" hidden="false" customHeight="true" outlineLevel="0" collapsed="false">
      <c r="A1291" s="6" t="n">
        <v>1289</v>
      </c>
      <c r="B1291" s="6" t="n">
        <f aca="false">MIN(42, FLOOR(A1291/32,1)+1)</f>
        <v>41</v>
      </c>
      <c r="C1291" s="6" t="str">
        <f aca="false">INDEX(Grades_Realms!$B$2:$B$43, B1291)</f>
        <v>Transcendent Dao · Advanced</v>
      </c>
      <c r="D1291" s="6" t="n">
        <f aca="false">(A1291+1)^2.4 * 1.004^A1291</f>
        <v>5013847443.37353</v>
      </c>
      <c r="E1291" s="6" t="n">
        <f aca="false">$I$2*(A1291+1)^1.9*1.003^A1291</f>
        <v>16691.0718666521</v>
      </c>
      <c r="F1291" s="6" t="n">
        <f aca="false">(A1291+1)^1.12</f>
        <v>3046.91595896558</v>
      </c>
      <c r="G1291" s="6" t="n">
        <f aca="false">G1290+E1291</f>
        <v>3487844.02631134</v>
      </c>
    </row>
    <row r="1292" customFormat="false" ht="15" hidden="false" customHeight="true" outlineLevel="0" collapsed="false">
      <c r="A1292" s="6" t="n">
        <v>1290</v>
      </c>
      <c r="B1292" s="6" t="n">
        <f aca="false">MIN(42, FLOOR(A1292/32,1)+1)</f>
        <v>41</v>
      </c>
      <c r="C1292" s="6" t="str">
        <f aca="false">INDEX(Grades_Realms!$B$2:$B$43, B1292)</f>
        <v>Transcendent Dao · Advanced</v>
      </c>
      <c r="D1292" s="6" t="n">
        <f aca="false">(A1292+1)^2.4 * 1.004^A1292</f>
        <v>5043273316.29238</v>
      </c>
      <c r="E1292" s="6" t="n">
        <f aca="false">$I$2*(A1292+1)^1.9*1.003^A1292</f>
        <v>16765.8111839923</v>
      </c>
      <c r="F1292" s="6" t="n">
        <f aca="false">(A1292+1)^1.12</f>
        <v>3049.56146637723</v>
      </c>
      <c r="G1292" s="6" t="n">
        <f aca="false">G1291+E1292</f>
        <v>3504609.83749533</v>
      </c>
    </row>
    <row r="1293" customFormat="false" ht="15" hidden="false" customHeight="true" outlineLevel="0" collapsed="false">
      <c r="A1293" s="6" t="n">
        <v>1291</v>
      </c>
      <c r="B1293" s="6" t="n">
        <f aca="false">MIN(42, FLOOR(A1293/32,1)+1)</f>
        <v>41</v>
      </c>
      <c r="C1293" s="6" t="str">
        <f aca="false">INDEX(Grades_Realms!$B$2:$B$43, B1293)</f>
        <v>Transcendent Dao · Advanced</v>
      </c>
      <c r="D1293" s="6" t="n">
        <f aca="false">(A1293+1)^2.4 * 1.004^A1293</f>
        <v>5072864582.45553</v>
      </c>
      <c r="E1293" s="6" t="n">
        <f aca="false">$I$2*(A1293+1)^1.9*1.003^A1293</f>
        <v>16840.8659707688</v>
      </c>
      <c r="F1293" s="6" t="n">
        <f aca="false">(A1293+1)^1.12</f>
        <v>3052.20721970342</v>
      </c>
      <c r="G1293" s="6" t="n">
        <f aca="false">G1292+E1293</f>
        <v>3521450.7034661</v>
      </c>
    </row>
    <row r="1294" customFormat="false" ht="15" hidden="false" customHeight="true" outlineLevel="0" collapsed="false">
      <c r="A1294" s="6" t="n">
        <v>1292</v>
      </c>
      <c r="B1294" s="6" t="n">
        <f aca="false">MIN(42, FLOOR(A1294/32,1)+1)</f>
        <v>41</v>
      </c>
      <c r="C1294" s="6" t="str">
        <f aca="false">INDEX(Grades_Realms!$B$2:$B$43, B1294)</f>
        <v>Transcendent Dao · Advanced</v>
      </c>
      <c r="D1294" s="6" t="n">
        <f aca="false">(A1294+1)^2.4 * 1.004^A1294</f>
        <v>5102622138.20094</v>
      </c>
      <c r="E1294" s="6" t="n">
        <f aca="false">$I$2*(A1294+1)^1.9*1.003^A1294</f>
        <v>16916.2374975642</v>
      </c>
      <c r="F1294" s="6" t="n">
        <f aca="false">(A1294+1)^1.12</f>
        <v>3054.85321877664</v>
      </c>
      <c r="G1294" s="6" t="n">
        <f aca="false">G1293+E1294</f>
        <v>3538366.94096366</v>
      </c>
    </row>
    <row r="1295" customFormat="false" ht="15" hidden="false" customHeight="true" outlineLevel="0" collapsed="false">
      <c r="A1295" s="6" t="n">
        <v>1293</v>
      </c>
      <c r="B1295" s="6" t="n">
        <f aca="false">MIN(42, FLOOR(A1295/32,1)+1)</f>
        <v>41</v>
      </c>
      <c r="C1295" s="6" t="str">
        <f aca="false">INDEX(Grades_Realms!$B$2:$B$43, B1295)</f>
        <v>Transcendent Dao · Advanced</v>
      </c>
      <c r="D1295" s="6" t="n">
        <f aca="false">(A1295+1)^2.4 * 1.004^A1295</f>
        <v>5132546884.57821</v>
      </c>
      <c r="E1295" s="6" t="n">
        <f aca="false">$I$2*(A1295+1)^1.9*1.003^A1295</f>
        <v>16991.9270398935</v>
      </c>
      <c r="F1295" s="6" t="n">
        <f aca="false">(A1295+1)^1.12</f>
        <v>3057.49946342965</v>
      </c>
      <c r="G1295" s="6" t="n">
        <f aca="false">G1294+E1295</f>
        <v>3555358.86800355</v>
      </c>
    </row>
    <row r="1296" customFormat="false" ht="15" hidden="false" customHeight="true" outlineLevel="0" collapsed="false">
      <c r="A1296" s="6" t="n">
        <v>1294</v>
      </c>
      <c r="B1296" s="6" t="n">
        <f aca="false">MIN(42, FLOOR(A1296/32,1)+1)</f>
        <v>41</v>
      </c>
      <c r="C1296" s="6" t="str">
        <f aca="false">INDEX(Grades_Realms!$B$2:$B$43, B1296)</f>
        <v>Transcendent Dao · Advanced</v>
      </c>
      <c r="D1296" s="6" t="n">
        <f aca="false">(A1296+1)^2.4 * 1.004^A1296</f>
        <v>5162639727.37273</v>
      </c>
      <c r="E1296" s="6" t="n">
        <f aca="false">$I$2*(A1296+1)^1.9*1.003^A1296</f>
        <v>17067.9358782231</v>
      </c>
      <c r="F1296" s="6" t="n">
        <f aca="false">(A1296+1)^1.12</f>
        <v>3060.14595349542</v>
      </c>
      <c r="G1296" s="6" t="n">
        <f aca="false">G1295+E1296</f>
        <v>3572426.80388178</v>
      </c>
    </row>
    <row r="1297" customFormat="false" ht="15" hidden="false" customHeight="true" outlineLevel="0" collapsed="false">
      <c r="A1297" s="6" t="n">
        <v>1295</v>
      </c>
      <c r="B1297" s="6" t="n">
        <f aca="false">MIN(42, FLOOR(A1297/32,1)+1)</f>
        <v>41</v>
      </c>
      <c r="C1297" s="6" t="str">
        <f aca="false">INDEX(Grades_Realms!$B$2:$B$43, B1297)</f>
        <v>Transcendent Dao · Advanced</v>
      </c>
      <c r="D1297" s="6" t="n">
        <f aca="false">(A1297+1)^2.4 * 1.004^A1297</f>
        <v>5192901577.12994</v>
      </c>
      <c r="E1297" s="6" t="n">
        <f aca="false">$I$2*(A1297+1)^1.9*1.003^A1297</f>
        <v>17144.2652979893</v>
      </c>
      <c r="F1297" s="6" t="n">
        <f aca="false">(A1297+1)^1.12</f>
        <v>3062.79268880717</v>
      </c>
      <c r="G1297" s="6" t="n">
        <f aca="false">G1296+E1297</f>
        <v>3589571.06917977</v>
      </c>
    </row>
    <row r="1298" customFormat="false" ht="15" hidden="false" customHeight="true" outlineLevel="0" collapsed="false">
      <c r="A1298" s="6" t="n">
        <v>1296</v>
      </c>
      <c r="B1298" s="6" t="n">
        <f aca="false">MIN(42, FLOOR(A1298/32,1)+1)</f>
        <v>41</v>
      </c>
      <c r="C1298" s="6" t="str">
        <f aca="false">INDEX(Grades_Realms!$B$2:$B$43, B1298)</f>
        <v>Transcendent Dao · Advanced</v>
      </c>
      <c r="D1298" s="6" t="n">
        <f aca="false">(A1298+1)^2.4 * 1.004^A1298</f>
        <v>5223333349.17976</v>
      </c>
      <c r="E1298" s="6" t="n">
        <f aca="false">$I$2*(A1298+1)^1.9*1.003^A1298</f>
        <v>17220.9165896169</v>
      </c>
      <c r="F1298" s="6" t="n">
        <f aca="false">(A1298+1)^1.12</f>
        <v>3065.43966919838</v>
      </c>
      <c r="G1298" s="6" t="n">
        <f aca="false">G1297+E1298</f>
        <v>3606791.98576938</v>
      </c>
    </row>
    <row r="1299" customFormat="false" ht="15" hidden="false" customHeight="true" outlineLevel="0" collapsed="false">
      <c r="A1299" s="6" t="n">
        <v>1297</v>
      </c>
      <c r="B1299" s="6" t="n">
        <f aca="false">MIN(42, FLOOR(A1299/32,1)+1)</f>
        <v>41</v>
      </c>
      <c r="C1299" s="6" t="str">
        <f aca="false">INDEX(Grades_Realms!$B$2:$B$43, B1299)</f>
        <v>Transcendent Dao · Advanced</v>
      </c>
      <c r="D1299" s="6" t="n">
        <f aca="false">(A1299+1)^2.4 * 1.004^A1299</f>
        <v>5253935963.66103</v>
      </c>
      <c r="E1299" s="6" t="n">
        <f aca="false">$I$2*(A1299+1)^1.9*1.003^A1299</f>
        <v>17297.8910485384</v>
      </c>
      <c r="F1299" s="6" t="n">
        <f aca="false">(A1299+1)^1.12</f>
        <v>3068.08689450275</v>
      </c>
      <c r="G1299" s="6" t="n">
        <f aca="false">G1298+E1299</f>
        <v>3624089.87681792</v>
      </c>
    </row>
    <row r="1300" customFormat="false" ht="15" hidden="false" customHeight="true" outlineLevel="0" collapsed="false">
      <c r="A1300" s="6" t="n">
        <v>1298</v>
      </c>
      <c r="B1300" s="6" t="n">
        <f aca="false">MIN(42, FLOOR(A1300/32,1)+1)</f>
        <v>41</v>
      </c>
      <c r="C1300" s="6" t="str">
        <f aca="false">INDEX(Grades_Realms!$B$2:$B$43, B1300)</f>
        <v>Transcendent Dao · Advanced</v>
      </c>
      <c r="D1300" s="6" t="n">
        <f aca="false">(A1300+1)^2.4 * 1.004^A1300</f>
        <v>5284710345.54617</v>
      </c>
      <c r="E1300" s="6" t="n">
        <f aca="false">$I$2*(A1300+1)^1.9*1.003^A1300</f>
        <v>17375.1899752124</v>
      </c>
      <c r="F1300" s="6" t="n">
        <f aca="false">(A1300+1)^1.12</f>
        <v>3070.73436455423</v>
      </c>
      <c r="G1300" s="6" t="n">
        <f aca="false">G1299+E1300</f>
        <v>3641465.06679314</v>
      </c>
    </row>
    <row r="1301" customFormat="false" ht="15" hidden="false" customHeight="true" outlineLevel="0" collapsed="false">
      <c r="A1301" s="6" t="n">
        <v>1299</v>
      </c>
      <c r="B1301" s="6" t="n">
        <f aca="false">MIN(42, FLOOR(A1301/32,1)+1)</f>
        <v>41</v>
      </c>
      <c r="C1301" s="6" t="str">
        <f aca="false">INDEX(Grades_Realms!$B$2:$B$43, B1301)</f>
        <v>Transcendent Dao · Advanced</v>
      </c>
      <c r="D1301" s="6" t="n">
        <f aca="false">(A1301+1)^2.4 * 1.004^A1301</f>
        <v>5315657424.66594</v>
      </c>
      <c r="E1301" s="6" t="n">
        <f aca="false">$I$2*(A1301+1)^1.9*1.003^A1301</f>
        <v>17452.814675143</v>
      </c>
      <c r="F1301" s="6" t="n">
        <f aca="false">(A1301+1)^1.12</f>
        <v>3073.38207918701</v>
      </c>
      <c r="G1301" s="6" t="n">
        <f aca="false">G1300+E1301</f>
        <v>3658917.88146828</v>
      </c>
    </row>
    <row r="1302" customFormat="false" ht="15" hidden="false" customHeight="true" outlineLevel="0" collapsed="false">
      <c r="A1302" s="6" t="n">
        <v>1300</v>
      </c>
      <c r="B1302" s="6" t="n">
        <f aca="false">MIN(42, FLOOR(A1302/32,1)+1)</f>
        <v>41</v>
      </c>
      <c r="C1302" s="6" t="str">
        <f aca="false">INDEX(Grades_Realms!$B$2:$B$43, B1302)</f>
        <v>Transcendent Dao · Advanced</v>
      </c>
      <c r="D1302" s="6" t="n">
        <f aca="false">(A1302+1)^2.4 * 1.004^A1302</f>
        <v>5346778135.73431</v>
      </c>
      <c r="E1302" s="6" t="n">
        <f aca="false">$I$2*(A1302+1)^1.9*1.003^A1302</f>
        <v>17530.7664588984</v>
      </c>
      <c r="F1302" s="6" t="n">
        <f aca="false">(A1302+1)^1.12</f>
        <v>3076.03003823553</v>
      </c>
      <c r="G1302" s="6" t="n">
        <f aca="false">G1301+E1302</f>
        <v>3676448.64792718</v>
      </c>
    </row>
    <row r="1303" customFormat="false" ht="15" hidden="false" customHeight="true" outlineLevel="0" collapsed="false">
      <c r="A1303" s="6" t="n">
        <v>1301</v>
      </c>
      <c r="B1303" s="6" t="n">
        <f aca="false">MIN(42, FLOOR(A1303/32,1)+1)</f>
        <v>41</v>
      </c>
      <c r="C1303" s="6" t="str">
        <f aca="false">INDEX(Grades_Realms!$B$2:$B$43, B1303)</f>
        <v>Transcendent Dao · Advanced</v>
      </c>
      <c r="D1303" s="6" t="n">
        <f aca="false">(A1303+1)^2.4 * 1.004^A1303</f>
        <v>5378073418.37344</v>
      </c>
      <c r="E1303" s="6" t="n">
        <f aca="false">$I$2*(A1303+1)^1.9*1.003^A1303</f>
        <v>17609.0466421303</v>
      </c>
      <c r="F1303" s="6" t="n">
        <f aca="false">(A1303+1)^1.12</f>
        <v>3078.67824153444</v>
      </c>
      <c r="G1303" s="6" t="n">
        <f aca="false">G1302+E1303</f>
        <v>3694057.69456931</v>
      </c>
    </row>
    <row r="1304" customFormat="false" ht="15" hidden="false" customHeight="true" outlineLevel="0" collapsed="false">
      <c r="A1304" s="6" t="n">
        <v>1302</v>
      </c>
      <c r="B1304" s="6" t="n">
        <f aca="false">MIN(42, FLOOR(A1304/32,1)+1)</f>
        <v>41</v>
      </c>
      <c r="C1304" s="6" t="str">
        <f aca="false">INDEX(Grades_Realms!$B$2:$B$43, B1304)</f>
        <v>Transcendent Dao · Advanced</v>
      </c>
      <c r="D1304" s="6" t="n">
        <f aca="false">(A1304+1)^2.4 * 1.004^A1304</f>
        <v>5409544217.13886</v>
      </c>
      <c r="E1304" s="6" t="n">
        <f aca="false">$I$2*(A1304+1)^1.9*1.003^A1304</f>
        <v>17687.6565455929</v>
      </c>
      <c r="F1304" s="6" t="n">
        <f aca="false">(A1304+1)^1.12</f>
        <v>3081.32668891866</v>
      </c>
      <c r="G1304" s="6" t="n">
        <f aca="false">G1303+E1304</f>
        <v>3711745.3511149</v>
      </c>
    </row>
    <row r="1305" customFormat="false" ht="15" hidden="false" customHeight="true" outlineLevel="0" collapsed="false">
      <c r="A1305" s="6" t="n">
        <v>1303</v>
      </c>
      <c r="B1305" s="6" t="n">
        <f aca="false">MIN(42, FLOOR(A1305/32,1)+1)</f>
        <v>41</v>
      </c>
      <c r="C1305" s="6" t="str">
        <f aca="false">INDEX(Grades_Realms!$B$2:$B$43, B1305)</f>
        <v>Transcendent Dao · Advanced</v>
      </c>
      <c r="D1305" s="6" t="n">
        <f aca="false">(A1305+1)^2.4 * 1.004^A1305</f>
        <v>5441191481.54467</v>
      </c>
      <c r="E1305" s="6" t="n">
        <f aca="false">$I$2*(A1305+1)^1.9*1.003^A1305</f>
        <v>17766.5974951621</v>
      </c>
      <c r="F1305" s="6" t="n">
        <f aca="false">(A1305+1)^1.12</f>
        <v>3083.97538022333</v>
      </c>
      <c r="G1305" s="6" t="n">
        <f aca="false">G1304+E1305</f>
        <v>3729511.94861006</v>
      </c>
    </row>
    <row r="1306" customFormat="false" ht="15" hidden="false" customHeight="true" outlineLevel="0" collapsed="false">
      <c r="A1306" s="6" t="n">
        <v>1304</v>
      </c>
      <c r="B1306" s="6" t="n">
        <f aca="false">MIN(42, FLOOR(A1306/32,1)+1)</f>
        <v>41</v>
      </c>
      <c r="C1306" s="6" t="str">
        <f aca="false">INDEX(Grades_Realms!$B$2:$B$43, B1306)</f>
        <v>Transcendent Dao · Advanced</v>
      </c>
      <c r="D1306" s="6" t="n">
        <f aca="false">(A1306+1)^2.4 * 1.004^A1306</f>
        <v>5473016166.08894</v>
      </c>
      <c r="E1306" s="6" t="n">
        <f aca="false">$I$2*(A1306+1)^1.9*1.003^A1306</f>
        <v>17845.8708218549</v>
      </c>
      <c r="F1306" s="6" t="n">
        <f aca="false">(A1306+1)^1.12</f>
        <v>3086.62431528384</v>
      </c>
      <c r="G1306" s="6" t="n">
        <f aca="false">G1305+E1306</f>
        <v>3747357.81943192</v>
      </c>
    </row>
    <row r="1307" customFormat="false" ht="15" hidden="false" customHeight="true" outlineLevel="0" collapsed="false">
      <c r="A1307" s="6" t="n">
        <v>1305</v>
      </c>
      <c r="B1307" s="6" t="n">
        <f aca="false">MIN(42, FLOOR(A1307/32,1)+1)</f>
        <v>41</v>
      </c>
      <c r="C1307" s="6" t="str">
        <f aca="false">INDEX(Grades_Realms!$B$2:$B$43, B1307)</f>
        <v>Transcendent Dao · Advanced</v>
      </c>
      <c r="D1307" s="6" t="n">
        <f aca="false">(A1307+1)^2.4 * 1.004^A1307</f>
        <v>5505019230.27921</v>
      </c>
      <c r="E1307" s="6" t="n">
        <f aca="false">$I$2*(A1307+1)^1.9*1.003^A1307</f>
        <v>17925.4778618487</v>
      </c>
      <c r="F1307" s="6" t="n">
        <f aca="false">(A1307+1)^1.12</f>
        <v>3089.27349393581</v>
      </c>
      <c r="G1307" s="6" t="n">
        <f aca="false">G1306+E1307</f>
        <v>3765283.29729377</v>
      </c>
    </row>
    <row r="1308" customFormat="false" ht="15" hidden="false" customHeight="true" outlineLevel="0" collapsed="false">
      <c r="A1308" s="6" t="n">
        <v>1306</v>
      </c>
      <c r="B1308" s="6" t="n">
        <f aca="false">MIN(42, FLOOR(A1308/32,1)+1)</f>
        <v>41</v>
      </c>
      <c r="C1308" s="6" t="str">
        <f aca="false">INDEX(Grades_Realms!$B$2:$B$43, B1308)</f>
        <v>Transcendent Dao · Advanced</v>
      </c>
      <c r="D1308" s="6" t="n">
        <f aca="false">(A1308+1)^2.4 * 1.004^A1308</f>
        <v>5537201638.65815</v>
      </c>
      <c r="E1308" s="6" t="n">
        <f aca="false">$I$2*(A1308+1)^1.9*1.003^A1308</f>
        <v>18005.4199565008</v>
      </c>
      <c r="F1308" s="6" t="n">
        <f aca="false">(A1308+1)^1.12</f>
        <v>3091.92291601509</v>
      </c>
      <c r="G1308" s="6" t="n">
        <f aca="false">G1307+E1308</f>
        <v>3783288.71725027</v>
      </c>
    </row>
    <row r="1309" customFormat="false" ht="15" hidden="false" customHeight="true" outlineLevel="0" collapsed="false">
      <c r="A1309" s="6" t="n">
        <v>1307</v>
      </c>
      <c r="B1309" s="6" t="n">
        <f aca="false">MIN(42, FLOOR(A1309/32,1)+1)</f>
        <v>41</v>
      </c>
      <c r="C1309" s="6" t="str">
        <f aca="false">INDEX(Grades_Realms!$B$2:$B$43, B1309)</f>
        <v>Transcendent Dao · Advanced</v>
      </c>
      <c r="D1309" s="6" t="n">
        <f aca="false">(A1309+1)^2.4 * 1.004^A1309</f>
        <v>5569564360.82928</v>
      </c>
      <c r="E1309" s="6" t="n">
        <f aca="false">$I$2*(A1309+1)^1.9*1.003^A1309</f>
        <v>18085.6984523677</v>
      </c>
      <c r="F1309" s="6" t="n">
        <f aca="false">(A1309+1)^1.12</f>
        <v>3094.57258135778</v>
      </c>
      <c r="G1309" s="6" t="n">
        <f aca="false">G1308+E1309</f>
        <v>3801374.41570263</v>
      </c>
    </row>
    <row r="1310" customFormat="false" ht="15" hidden="false" customHeight="true" outlineLevel="0" collapsed="false">
      <c r="A1310" s="6" t="n">
        <v>1308</v>
      </c>
      <c r="B1310" s="6" t="n">
        <f aca="false">MIN(42, FLOOR(A1310/32,1)+1)</f>
        <v>41</v>
      </c>
      <c r="C1310" s="6" t="str">
        <f aca="false">INDEX(Grades_Realms!$B$2:$B$43, B1310)</f>
        <v>Transcendent Dao · Advanced</v>
      </c>
      <c r="D1310" s="6" t="n">
        <f aca="false">(A1310+1)^2.4 * 1.004^A1310</f>
        <v>5602108371.4829</v>
      </c>
      <c r="E1310" s="6" t="n">
        <f aca="false">$I$2*(A1310+1)^1.9*1.003^A1310</f>
        <v>18166.314701225</v>
      </c>
      <c r="F1310" s="6" t="n">
        <f aca="false">(A1310+1)^1.12</f>
        <v>3097.22248980021</v>
      </c>
      <c r="G1310" s="6" t="n">
        <f aca="false">G1309+E1310</f>
        <v>3819540.73040386</v>
      </c>
    </row>
    <row r="1311" customFormat="false" ht="15" hidden="false" customHeight="true" outlineLevel="0" collapsed="false">
      <c r="A1311" s="6" t="n">
        <v>1309</v>
      </c>
      <c r="B1311" s="6" t="n">
        <f aca="false">MIN(42, FLOOR(A1311/32,1)+1)</f>
        <v>41</v>
      </c>
      <c r="C1311" s="6" t="str">
        <f aca="false">INDEX(Grades_Realms!$B$2:$B$43, B1311)</f>
        <v>Transcendent Dao · Advanced</v>
      </c>
      <c r="D1311" s="6" t="n">
        <f aca="false">(A1311+1)^2.4 * 1.004^A1311</f>
        <v>5634834650.42209</v>
      </c>
      <c r="E1311" s="6" t="n">
        <f aca="false">$I$2*(A1311+1)^1.9*1.003^A1311</f>
        <v>18247.2700600869</v>
      </c>
      <c r="F1311" s="6" t="n">
        <f aca="false">(A1311+1)^1.12</f>
        <v>3099.87264117894</v>
      </c>
      <c r="G1311" s="6" t="n">
        <f aca="false">G1310+E1311</f>
        <v>3837788.00046395</v>
      </c>
    </row>
    <row r="1312" customFormat="false" ht="15" hidden="false" customHeight="true" outlineLevel="0" collapsed="false">
      <c r="A1312" s="6" t="n">
        <v>1310</v>
      </c>
      <c r="B1312" s="6" t="n">
        <f aca="false">MIN(42, FLOOR(A1312/32,1)+1)</f>
        <v>41</v>
      </c>
      <c r="C1312" s="6" t="str">
        <f aca="false">INDEX(Grades_Realms!$B$2:$B$43, B1312)</f>
        <v>Transcendent Dao · Advanced</v>
      </c>
      <c r="D1312" s="6" t="n">
        <f aca="false">(A1312+1)^2.4 * 1.004^A1312</f>
        <v>5667744182.58887</v>
      </c>
      <c r="E1312" s="6" t="n">
        <f aca="false">$I$2*(A1312+1)^1.9*1.003^A1312</f>
        <v>18328.5658912258</v>
      </c>
      <c r="F1312" s="6" t="n">
        <f aca="false">(A1312+1)^1.12</f>
        <v>3102.52303533076</v>
      </c>
      <c r="G1312" s="6" t="n">
        <f aca="false">G1311+E1312</f>
        <v>3856116.56635517</v>
      </c>
    </row>
    <row r="1313" customFormat="false" ht="15" hidden="false" customHeight="true" outlineLevel="0" collapsed="false">
      <c r="A1313" s="6" t="n">
        <v>1311</v>
      </c>
      <c r="B1313" s="6" t="n">
        <f aca="false">MIN(42, FLOOR(A1313/32,1)+1)</f>
        <v>41</v>
      </c>
      <c r="C1313" s="6" t="str">
        <f aca="false">INDEX(Grades_Realms!$B$2:$B$43, B1313)</f>
        <v>Transcendent Dao · Advanced</v>
      </c>
      <c r="D1313" s="6" t="n">
        <f aca="false">(A1313+1)^2.4 * 1.004^A1313</f>
        <v>5700837958.09047</v>
      </c>
      <c r="E1313" s="6" t="n">
        <f aca="false">$I$2*(A1313+1)^1.9*1.003^A1313</f>
        <v>18410.2035621924</v>
      </c>
      <c r="F1313" s="6" t="n">
        <f aca="false">(A1313+1)^1.12</f>
        <v>3105.17367209272</v>
      </c>
      <c r="G1313" s="6" t="n">
        <f aca="false">G1312+E1313</f>
        <v>3874526.76991736</v>
      </c>
    </row>
    <row r="1314" customFormat="false" ht="15" hidden="false" customHeight="true" outlineLevel="0" collapsed="false">
      <c r="A1314" s="6" t="n">
        <v>1312</v>
      </c>
      <c r="B1314" s="6" t="n">
        <f aca="false">MIN(42, FLOOR(A1314/32,1)+1)</f>
        <v>42</v>
      </c>
      <c r="C1314" s="6" t="str">
        <f aca="false">INDEX(Grades_Realms!$B$2:$B$43, B1314)</f>
        <v>Transcendent Dao · Perfected</v>
      </c>
      <c r="D1314" s="6" t="n">
        <f aca="false">(A1314+1)^2.4 * 1.004^A1314</f>
        <v>5734116972.22577</v>
      </c>
      <c r="E1314" s="6" t="n">
        <f aca="false">$I$2*(A1314+1)^1.9*1.003^A1314</f>
        <v>18492.184445835</v>
      </c>
      <c r="F1314" s="6" t="n">
        <f aca="false">(A1314+1)^1.12</f>
        <v>3107.82455130208</v>
      </c>
      <c r="G1314" s="6" t="n">
        <f aca="false">G1313+E1314</f>
        <v>3893018.9543632</v>
      </c>
    </row>
    <row r="1315" customFormat="false" ht="15" hidden="false" customHeight="true" outlineLevel="0" collapsed="false">
      <c r="A1315" s="6" t="n">
        <v>1313</v>
      </c>
      <c r="B1315" s="6" t="n">
        <f aca="false">MIN(42, FLOOR(A1315/32,1)+1)</f>
        <v>42</v>
      </c>
      <c r="C1315" s="6" t="str">
        <f aca="false">INDEX(Grades_Realms!$B$2:$B$43, B1315)</f>
        <v>Transcendent Dao · Perfected</v>
      </c>
      <c r="D1315" s="6" t="n">
        <f aca="false">(A1315+1)^2.4 * 1.004^A1315</f>
        <v>5767582225.51181</v>
      </c>
      <c r="E1315" s="6" t="n">
        <f aca="false">$I$2*(A1315+1)^1.9*1.003^A1315</f>
        <v>18574.5099203203</v>
      </c>
      <c r="F1315" s="6" t="n">
        <f aca="false">(A1315+1)^1.12</f>
        <v>3110.47567279634</v>
      </c>
      <c r="G1315" s="6" t="n">
        <f aca="false">G1314+E1315</f>
        <v>3911593.46428352</v>
      </c>
    </row>
    <row r="1316" customFormat="false" ht="15" hidden="false" customHeight="true" outlineLevel="0" collapsed="false">
      <c r="A1316" s="6" t="n">
        <v>1314</v>
      </c>
      <c r="B1316" s="6" t="n">
        <f aca="false">MIN(42, FLOOR(A1316/32,1)+1)</f>
        <v>42</v>
      </c>
      <c r="C1316" s="6" t="str">
        <f aca="false">INDEX(Grades_Realms!$B$2:$B$43, B1316)</f>
        <v>Transcendent Dao · Perfected</v>
      </c>
      <c r="D1316" s="6" t="n">
        <f aca="false">(A1316+1)^2.4 * 1.004^A1316</f>
        <v>5801234723.71051</v>
      </c>
      <c r="E1316" s="6" t="n">
        <f aca="false">$I$2*(A1316+1)^1.9*1.003^A1316</f>
        <v>18657.1813691527</v>
      </c>
      <c r="F1316" s="6" t="n">
        <f aca="false">(A1316+1)^1.12</f>
        <v>3113.12703641322</v>
      </c>
      <c r="G1316" s="6" t="n">
        <f aca="false">G1315+E1316</f>
        <v>3930250.64565267</v>
      </c>
    </row>
    <row r="1317" customFormat="false" ht="15" hidden="false" customHeight="true" outlineLevel="0" collapsed="false">
      <c r="A1317" s="6" t="n">
        <v>1315</v>
      </c>
      <c r="B1317" s="6" t="n">
        <f aca="false">MIN(42, FLOOR(A1317/32,1)+1)</f>
        <v>42</v>
      </c>
      <c r="C1317" s="6" t="str">
        <f aca="false">INDEX(Grades_Realms!$B$2:$B$43, B1317)</f>
        <v>Transcendent Dao · Perfected</v>
      </c>
      <c r="D1317" s="6" t="n">
        <f aca="false">(A1317+1)^2.4 * 1.004^A1317</f>
        <v>5835075477.85545</v>
      </c>
      <c r="E1317" s="6" t="n">
        <f aca="false">$I$2*(A1317+1)^1.9*1.003^A1317</f>
        <v>18740.2001811947</v>
      </c>
      <c r="F1317" s="6" t="n">
        <f aca="false">(A1317+1)^1.12</f>
        <v>3115.7786419907</v>
      </c>
      <c r="G1317" s="6" t="n">
        <f aca="false">G1316+E1317</f>
        <v>3948990.84583387</v>
      </c>
    </row>
    <row r="1318" customFormat="false" ht="15" hidden="false" customHeight="true" outlineLevel="0" collapsed="false">
      <c r="A1318" s="6" t="n">
        <v>1316</v>
      </c>
      <c r="B1318" s="6" t="n">
        <f aca="false">MIN(42, FLOOR(A1318/32,1)+1)</f>
        <v>42</v>
      </c>
      <c r="C1318" s="6" t="str">
        <f aca="false">INDEX(Grades_Realms!$B$2:$B$43, B1318)</f>
        <v>Transcendent Dao · Perfected</v>
      </c>
      <c r="D1318" s="6" t="n">
        <f aca="false">(A1318+1)^2.4 * 1.004^A1318</f>
        <v>5869105504.27883</v>
      </c>
      <c r="E1318" s="6" t="n">
        <f aca="false">$I$2*(A1318+1)^1.9*1.003^A1318</f>
        <v>18823.5677506869</v>
      </c>
      <c r="F1318" s="6" t="n">
        <f aca="false">(A1318+1)^1.12</f>
        <v>3118.43048936697</v>
      </c>
      <c r="G1318" s="6" t="n">
        <f aca="false">G1317+E1318</f>
        <v>3967814.41358455</v>
      </c>
    </row>
    <row r="1319" customFormat="false" ht="15" hidden="false" customHeight="true" outlineLevel="0" collapsed="false">
      <c r="A1319" s="6" t="n">
        <v>1317</v>
      </c>
      <c r="B1319" s="6" t="n">
        <f aca="false">MIN(42, FLOOR(A1319/32,1)+1)</f>
        <v>42</v>
      </c>
      <c r="C1319" s="6" t="str">
        <f aca="false">INDEX(Grades_Realms!$B$2:$B$43, B1319)</f>
        <v>Transcendent Dao · Perfected</v>
      </c>
      <c r="D1319" s="6" t="n">
        <f aca="false">(A1319+1)^2.4 * 1.004^A1319</f>
        <v>5903325824.63857</v>
      </c>
      <c r="E1319" s="6" t="n">
        <f aca="false">$I$2*(A1319+1)^1.9*1.003^A1319</f>
        <v>18907.2854772684</v>
      </c>
      <c r="F1319" s="6" t="n">
        <f aca="false">(A1319+1)^1.12</f>
        <v>3121.08257838045</v>
      </c>
      <c r="G1319" s="6" t="n">
        <f aca="false">G1318+E1319</f>
        <v>3986721.69906182</v>
      </c>
    </row>
    <row r="1320" customFormat="false" ht="15" hidden="false" customHeight="true" outlineLevel="0" collapsed="false">
      <c r="A1320" s="6" t="n">
        <v>1318</v>
      </c>
      <c r="B1320" s="6" t="n">
        <f aca="false">MIN(42, FLOOR(A1320/32,1)+1)</f>
        <v>42</v>
      </c>
      <c r="C1320" s="6" t="str">
        <f aca="false">INDEX(Grades_Realms!$B$2:$B$43, B1320)</f>
        <v>Transcendent Dao · Perfected</v>
      </c>
      <c r="D1320" s="6" t="n">
        <f aca="false">(A1320+1)^2.4 * 1.004^A1320</f>
        <v>5937737465.94547</v>
      </c>
      <c r="E1320" s="6" t="n">
        <f aca="false">$I$2*(A1320+1)^1.9*1.003^A1320</f>
        <v>18991.3547659971</v>
      </c>
      <c r="F1320" s="6" t="n">
        <f aca="false">(A1320+1)^1.12</f>
        <v>3123.73490886981</v>
      </c>
      <c r="G1320" s="6" t="n">
        <f aca="false">G1319+E1320</f>
        <v>4005713.05382782</v>
      </c>
    </row>
    <row r="1321" customFormat="false" ht="15" hidden="false" customHeight="true" outlineLevel="0" collapsed="false">
      <c r="A1321" s="6" t="n">
        <v>1319</v>
      </c>
      <c r="B1321" s="6" t="n">
        <f aca="false">MIN(42, FLOOR(A1321/32,1)+1)</f>
        <v>42</v>
      </c>
      <c r="C1321" s="6" t="str">
        <f aca="false">INDEX(Grades_Realms!$B$2:$B$43, B1321)</f>
        <v>Transcendent Dao · Perfected</v>
      </c>
      <c r="D1321" s="6" t="n">
        <f aca="false">(A1321+1)^2.4 * 1.004^A1321</f>
        <v>5972341460.59065</v>
      </c>
      <c r="E1321" s="6" t="n">
        <f aca="false">$I$2*(A1321+1)^1.9*1.003^A1321</f>
        <v>19075.77702737</v>
      </c>
      <c r="F1321" s="6" t="n">
        <f aca="false">(A1321+1)^1.12</f>
        <v>3126.38748067392</v>
      </c>
      <c r="G1321" s="6" t="n">
        <f aca="false">G1320+E1321</f>
        <v>4024788.83085519</v>
      </c>
    </row>
    <row r="1322" customFormat="false" ht="15" hidden="false" customHeight="true" outlineLevel="0" collapsed="false">
      <c r="A1322" s="6" t="n">
        <v>1320</v>
      </c>
      <c r="B1322" s="6" t="n">
        <f aca="false">MIN(42, FLOOR(A1322/32,1)+1)</f>
        <v>42</v>
      </c>
      <c r="C1322" s="6" t="str">
        <f aca="false">INDEX(Grades_Realms!$B$2:$B$43, B1322)</f>
        <v>Transcendent Dao · Perfected</v>
      </c>
      <c r="D1322" s="6" t="n">
        <f aca="false">(A1322+1)^2.4 * 1.004^A1322</f>
        <v>6007138846.37295</v>
      </c>
      <c r="E1322" s="6" t="n">
        <f aca="false">$I$2*(A1322+1)^1.9*1.003^A1322</f>
        <v>19160.5536773437</v>
      </c>
      <c r="F1322" s="6" t="n">
        <f aca="false">(A1322+1)^1.12</f>
        <v>3129.04029363191</v>
      </c>
      <c r="G1322" s="6" t="n">
        <f aca="false">G1321+E1322</f>
        <v>4043949.38453253</v>
      </c>
    </row>
    <row r="1323" customFormat="false" ht="15" hidden="false" customHeight="true" outlineLevel="0" collapsed="false">
      <c r="A1323" s="6" t="n">
        <v>1321</v>
      </c>
      <c r="B1323" s="6" t="n">
        <f aca="false">MIN(42, FLOOR(A1323/32,1)+1)</f>
        <v>42</v>
      </c>
      <c r="C1323" s="6" t="str">
        <f aca="false">INDEX(Grades_Realms!$B$2:$B$43, B1323)</f>
        <v>Transcendent Dao · Perfected</v>
      </c>
      <c r="D1323" s="6" t="n">
        <f aca="false">(A1323+1)^2.4 * 1.004^A1323</f>
        <v>6042130666.52664</v>
      </c>
      <c r="E1323" s="6" t="n">
        <f aca="false">$I$2*(A1323+1)^1.9*1.003^A1323</f>
        <v>19245.686137355</v>
      </c>
      <c r="F1323" s="6" t="n">
        <f aca="false">(A1323+1)^1.12</f>
        <v>3131.69334758311</v>
      </c>
      <c r="G1323" s="6" t="n">
        <f aca="false">G1322+E1323</f>
        <v>4063195.07066989</v>
      </c>
    </row>
    <row r="1324" customFormat="false" ht="15" hidden="false" customHeight="true" outlineLevel="0" collapsed="false">
      <c r="A1324" s="6" t="n">
        <v>1322</v>
      </c>
      <c r="B1324" s="6" t="n">
        <f aca="false">MIN(42, FLOOR(A1324/32,1)+1)</f>
        <v>42</v>
      </c>
      <c r="C1324" s="6" t="str">
        <f aca="false">INDEX(Grades_Realms!$B$2:$B$43, B1324)</f>
        <v>Transcendent Dao · Perfected</v>
      </c>
      <c r="D1324" s="6" t="n">
        <f aca="false">(A1324+1)^2.4 * 1.004^A1324</f>
        <v>6077317969.74911</v>
      </c>
      <c r="E1324" s="6" t="n">
        <f aca="false">$I$2*(A1324+1)^1.9*1.003^A1324</f>
        <v>19331.1758343412</v>
      </c>
      <c r="F1324" s="6" t="n">
        <f aca="false">(A1324+1)^1.12</f>
        <v>3134.34664236711</v>
      </c>
      <c r="G1324" s="6" t="n">
        <f aca="false">G1323+E1324</f>
        <v>4082526.24650423</v>
      </c>
    </row>
    <row r="1325" customFormat="false" ht="15" hidden="false" customHeight="true" outlineLevel="0" collapsed="false">
      <c r="A1325" s="6" t="n">
        <v>1323</v>
      </c>
      <c r="B1325" s="6" t="n">
        <f aca="false">MIN(42, FLOOR(A1325/32,1)+1)</f>
        <v>42</v>
      </c>
      <c r="C1325" s="6" t="str">
        <f aca="false">INDEX(Grades_Realms!$B$2:$B$43, B1325)</f>
        <v>Transcendent Dao · Perfected</v>
      </c>
      <c r="D1325" s="6" t="n">
        <f aca="false">(A1325+1)^2.4 * 1.004^A1325</f>
        <v>6112701810.22883</v>
      </c>
      <c r="E1325" s="6" t="n">
        <f aca="false">$I$2*(A1325+1)^1.9*1.003^A1325</f>
        <v>19417.0242007614</v>
      </c>
      <c r="F1325" s="6" t="n">
        <f aca="false">(A1325+1)^1.12</f>
        <v>3137.00017782371</v>
      </c>
      <c r="G1325" s="6" t="n">
        <f aca="false">G1324+E1325</f>
        <v>4101943.27070499</v>
      </c>
    </row>
    <row r="1326" customFormat="false" ht="15" hidden="false" customHeight="true" outlineLevel="0" collapsed="false">
      <c r="A1326" s="6" t="n">
        <v>1324</v>
      </c>
      <c r="B1326" s="6" t="n">
        <f aca="false">MIN(42, FLOOR(A1326/32,1)+1)</f>
        <v>42</v>
      </c>
      <c r="C1326" s="6" t="str">
        <f aca="false">INDEX(Grades_Realms!$B$2:$B$43, B1326)</f>
        <v>Transcendent Dao · Perfected</v>
      </c>
      <c r="D1326" s="6" t="n">
        <f aca="false">(A1326+1)^2.4 * 1.004^A1326</f>
        <v>6148283247.67339</v>
      </c>
      <c r="E1326" s="6" t="n">
        <f aca="false">$I$2*(A1326+1)^1.9*1.003^A1326</f>
        <v>19503.2326746167</v>
      </c>
      <c r="F1326" s="6" t="n">
        <f aca="false">(A1326+1)^1.12</f>
        <v>3139.65395379292</v>
      </c>
      <c r="G1326" s="6" t="n">
        <f aca="false">G1325+E1326</f>
        <v>4121446.50337961</v>
      </c>
    </row>
    <row r="1327" customFormat="false" ht="15" hidden="false" customHeight="true" outlineLevel="0" collapsed="false">
      <c r="A1327" s="6" t="n">
        <v>1325</v>
      </c>
      <c r="B1327" s="6" t="n">
        <f aca="false">MIN(42, FLOOR(A1327/32,1)+1)</f>
        <v>42</v>
      </c>
      <c r="C1327" s="6" t="str">
        <f aca="false">INDEX(Grades_Realms!$B$2:$B$43, B1327)</f>
        <v>Transcendent Dao · Perfected</v>
      </c>
      <c r="D1327" s="6" t="n">
        <f aca="false">(A1327+1)^2.4 * 1.004^A1327</f>
        <v>6184063347.33765</v>
      </c>
      <c r="E1327" s="6" t="n">
        <f aca="false">$I$2*(A1327+1)^1.9*1.003^A1327</f>
        <v>19589.8026994713</v>
      </c>
      <c r="F1327" s="6" t="n">
        <f aca="false">(A1327+1)^1.12</f>
        <v>3142.30797011502</v>
      </c>
      <c r="G1327" s="6" t="n">
        <f aca="false">G1326+E1327</f>
        <v>4141036.30607908</v>
      </c>
    </row>
    <row r="1328" customFormat="false" ht="15" hidden="false" customHeight="true" outlineLevel="0" collapsed="false">
      <c r="A1328" s="6" t="n">
        <v>1326</v>
      </c>
      <c r="B1328" s="6" t="n">
        <f aca="false">MIN(42, FLOOR(A1328/32,1)+1)</f>
        <v>42</v>
      </c>
      <c r="C1328" s="6" t="str">
        <f aca="false">INDEX(Grades_Realms!$B$2:$B$43, B1328)</f>
        <v>Transcendent Dao · Perfected</v>
      </c>
      <c r="D1328" s="6" t="n">
        <f aca="false">(A1328+1)^2.4 * 1.004^A1328</f>
        <v>6220043180.0521</v>
      </c>
      <c r="E1328" s="6" t="n">
        <f aca="false">$I$2*(A1328+1)^1.9*1.003^A1328</f>
        <v>19676.7357244733</v>
      </c>
      <c r="F1328" s="6" t="n">
        <f aca="false">(A1328+1)^1.12</f>
        <v>3144.96222663048</v>
      </c>
      <c r="G1328" s="6" t="n">
        <f aca="false">G1327+E1328</f>
        <v>4160713.04180355</v>
      </c>
    </row>
    <row r="1329" customFormat="false" ht="15" hidden="false" customHeight="true" outlineLevel="0" collapsed="false">
      <c r="A1329" s="6" t="n">
        <v>1327</v>
      </c>
      <c r="B1329" s="6" t="n">
        <f aca="false">MIN(42, FLOOR(A1329/32,1)+1)</f>
        <v>42</v>
      </c>
      <c r="C1329" s="6" t="str">
        <f aca="false">INDEX(Grades_Realms!$B$2:$B$43, B1329)</f>
        <v>Transcendent Dao · Perfected</v>
      </c>
      <c r="D1329" s="6" t="n">
        <f aca="false">(A1329+1)^2.4 * 1.004^A1329</f>
        <v>6256223822.2513</v>
      </c>
      <c r="E1329" s="6" t="n">
        <f aca="false">$I$2*(A1329+1)^1.9*1.003^A1329</f>
        <v>19764.0332043758</v>
      </c>
      <c r="F1329" s="6" t="n">
        <f aca="false">(A1329+1)^1.12</f>
        <v>3147.61672318001</v>
      </c>
      <c r="G1329" s="6" t="n">
        <f aca="false">G1328+E1329</f>
        <v>4180477.07500793</v>
      </c>
    </row>
    <row r="1330" customFormat="false" ht="15" hidden="false" customHeight="true" outlineLevel="0" collapsed="false">
      <c r="A1330" s="6" t="n">
        <v>1328</v>
      </c>
      <c r="B1330" s="6" t="n">
        <f aca="false">MIN(42, FLOOR(A1330/32,1)+1)</f>
        <v>42</v>
      </c>
      <c r="C1330" s="6" t="str">
        <f aca="false">INDEX(Grades_Realms!$B$2:$B$43, B1330)</f>
        <v>Transcendent Dao · Perfected</v>
      </c>
      <c r="D1330" s="6" t="n">
        <f aca="false">(A1330+1)^2.4 * 1.004^A1330</f>
        <v>6292606356.00253</v>
      </c>
      <c r="E1330" s="6" t="n">
        <f aca="false">$I$2*(A1330+1)^1.9*1.003^A1330</f>
        <v>19851.6965995579</v>
      </c>
      <c r="F1330" s="6" t="n">
        <f aca="false">(A1330+1)^1.12</f>
        <v>3150.27145960455</v>
      </c>
      <c r="G1330" s="6" t="n">
        <f aca="false">G1329+E1330</f>
        <v>4200328.77160749</v>
      </c>
    </row>
    <row r="1331" customFormat="false" ht="15" hidden="false" customHeight="true" outlineLevel="0" collapsed="false">
      <c r="A1331" s="6" t="n">
        <v>1329</v>
      </c>
      <c r="B1331" s="6" t="n">
        <f aca="false">MIN(42, FLOOR(A1331/32,1)+1)</f>
        <v>42</v>
      </c>
      <c r="C1331" s="6" t="str">
        <f aca="false">INDEX(Grades_Realms!$B$2:$B$43, B1331)</f>
        <v>Transcendent Dao · Perfected</v>
      </c>
      <c r="D1331" s="6" t="n">
        <f aca="false">(A1331+1)^2.4 * 1.004^A1331</f>
        <v>6329191869.03449</v>
      </c>
      <c r="E1331" s="6" t="n">
        <f aca="false">$I$2*(A1331+1)^1.9*1.003^A1331</f>
        <v>19939.7273760461</v>
      </c>
      <c r="F1331" s="6" t="n">
        <f aca="false">(A1331+1)^1.12</f>
        <v>3152.92643574525</v>
      </c>
      <c r="G1331" s="6" t="n">
        <f aca="false">G1330+E1331</f>
        <v>4220268.49898353</v>
      </c>
    </row>
    <row r="1332" customFormat="false" ht="15" hidden="false" customHeight="true" outlineLevel="0" collapsed="false">
      <c r="A1332" s="6" t="n">
        <v>1330</v>
      </c>
      <c r="B1332" s="6" t="n">
        <f aca="false">MIN(42, FLOOR(A1332/32,1)+1)</f>
        <v>42</v>
      </c>
      <c r="C1332" s="6" t="str">
        <f aca="false">INDEX(Grades_Realms!$B$2:$B$43, B1332)</f>
        <v>Transcendent Dao · Perfected</v>
      </c>
      <c r="D1332" s="6" t="n">
        <f aca="false">(A1332+1)^2.4 * 1.004^A1332</f>
        <v>6365981454.76625</v>
      </c>
      <c r="E1332" s="6" t="n">
        <f aca="false">$I$2*(A1332+1)^1.9*1.003^A1332</f>
        <v>20028.1270055349</v>
      </c>
      <c r="F1332" s="6" t="n">
        <f aca="false">(A1332+1)^1.12</f>
        <v>3155.58165144349</v>
      </c>
      <c r="G1332" s="6" t="n">
        <f aca="false">G1331+E1332</f>
        <v>4240296.62598907</v>
      </c>
    </row>
    <row r="1333" customFormat="false" ht="15" hidden="false" customHeight="true" outlineLevel="0" collapsed="false">
      <c r="A1333" s="6" t="n">
        <v>1331</v>
      </c>
      <c r="B1333" s="6" t="n">
        <f aca="false">MIN(42, FLOOR(A1333/32,1)+1)</f>
        <v>42</v>
      </c>
      <c r="C1333" s="6" t="str">
        <f aca="false">INDEX(Grades_Realms!$B$2:$B$43, B1333)</f>
        <v>Transcendent Dao · Perfected</v>
      </c>
      <c r="D1333" s="6" t="n">
        <f aca="false">(A1333+1)^2.4 * 1.004^A1333</f>
        <v>6402976212.33624</v>
      </c>
      <c r="E1333" s="6" t="n">
        <f aca="false">$I$2*(A1333+1)^1.9*1.003^A1333</f>
        <v>20116.8969654089</v>
      </c>
      <c r="F1333" s="6" t="n">
        <f aca="false">(A1333+1)^1.12</f>
        <v>3158.2371065409</v>
      </c>
      <c r="G1333" s="6" t="n">
        <f aca="false">G1332+E1333</f>
        <v>4260413.52295448</v>
      </c>
    </row>
    <row r="1334" customFormat="false" ht="15" hidden="false" customHeight="true" outlineLevel="0" collapsed="false">
      <c r="A1334" s="6" t="n">
        <v>1332</v>
      </c>
      <c r="B1334" s="6" t="n">
        <f aca="false">MIN(42, FLOOR(A1334/32,1)+1)</f>
        <v>42</v>
      </c>
      <c r="C1334" s="6" t="str">
        <f aca="false">INDEX(Grades_Realms!$B$2:$B$43, B1334)</f>
        <v>Transcendent Dao · Perfected</v>
      </c>
      <c r="D1334" s="6" t="n">
        <f aca="false">(A1334+1)^2.4 * 1.004^A1334</f>
        <v>6440177246.63148</v>
      </c>
      <c r="E1334" s="6" t="n">
        <f aca="false">$I$2*(A1334+1)^1.9*1.003^A1334</f>
        <v>20206.0387387635</v>
      </c>
      <c r="F1334" s="6" t="n">
        <f aca="false">(A1334+1)^1.12</f>
        <v>3160.89280087929</v>
      </c>
      <c r="G1334" s="6" t="n">
        <f aca="false">G1333+E1334</f>
        <v>4280619.56169324</v>
      </c>
    </row>
    <row r="1335" customFormat="false" ht="15" hidden="false" customHeight="true" outlineLevel="0" collapsed="false">
      <c r="A1335" s="6" t="n">
        <v>1333</v>
      </c>
      <c r="B1335" s="6" t="n">
        <f aca="false">MIN(42, FLOOR(A1335/32,1)+1)</f>
        <v>42</v>
      </c>
      <c r="C1335" s="6" t="str">
        <f aca="false">INDEX(Grades_Realms!$B$2:$B$43, B1335)</f>
        <v>Transcendent Dao · Perfected</v>
      </c>
      <c r="D1335" s="6" t="n">
        <f aca="false">(A1335+1)^2.4 * 1.004^A1335</f>
        <v>6477585668.31689</v>
      </c>
      <c r="E1335" s="6" t="n">
        <f aca="false">$I$2*(A1335+1)^1.9*1.003^A1335</f>
        <v>20295.5538144269</v>
      </c>
      <c r="F1335" s="6" t="n">
        <f aca="false">(A1335+1)^1.12</f>
        <v>3163.54873430072</v>
      </c>
      <c r="G1335" s="6" t="n">
        <f aca="false">G1334+E1335</f>
        <v>4300915.11550767</v>
      </c>
    </row>
    <row r="1336" customFormat="false" ht="15" hidden="false" customHeight="true" outlineLevel="0" collapsed="false">
      <c r="A1336" s="6" t="n">
        <v>1334</v>
      </c>
      <c r="B1336" s="6" t="n">
        <f aca="false">MIN(42, FLOOR(A1336/32,1)+1)</f>
        <v>42</v>
      </c>
      <c r="C1336" s="6" t="str">
        <f aca="false">INDEX(Grades_Realms!$B$2:$B$43, B1336)</f>
        <v>Transcendent Dao · Perfected</v>
      </c>
      <c r="D1336" s="6" t="n">
        <f aca="false">(A1336+1)^2.4 * 1.004^A1336</f>
        <v>6515202593.86476</v>
      </c>
      <c r="E1336" s="6" t="n">
        <f aca="false">$I$2*(A1336+1)^1.9*1.003^A1336</f>
        <v>20385.4436869812</v>
      </c>
      <c r="F1336" s="6" t="n">
        <f aca="false">(A1336+1)^1.12</f>
        <v>3166.20490664746</v>
      </c>
      <c r="G1336" s="6" t="n">
        <f aca="false">G1335+E1336</f>
        <v>4321300.55919465</v>
      </c>
    </row>
    <row r="1337" customFormat="false" ht="15" hidden="false" customHeight="true" outlineLevel="0" collapsed="false">
      <c r="A1337" s="6" t="n">
        <v>1335</v>
      </c>
      <c r="B1337" s="6" t="n">
        <f aca="false">MIN(42, FLOOR(A1337/32,1)+1)</f>
        <v>42</v>
      </c>
      <c r="C1337" s="6" t="str">
        <f aca="false">INDEX(Grades_Realms!$B$2:$B$43, B1337)</f>
        <v>Transcendent Dao · Perfected</v>
      </c>
      <c r="D1337" s="6" t="n">
        <f aca="false">(A1337+1)^2.4 * 1.004^A1337</f>
        <v>6553029145.58441</v>
      </c>
      <c r="E1337" s="6" t="n">
        <f aca="false">$I$2*(A1337+1)^1.9*1.003^A1337</f>
        <v>20475.7098567844</v>
      </c>
      <c r="F1337" s="6" t="n">
        <f aca="false">(A1337+1)^1.12</f>
        <v>3168.86131776203</v>
      </c>
      <c r="G1337" s="6" t="n">
        <f aca="false">G1336+E1337</f>
        <v>4341776.26905143</v>
      </c>
    </row>
    <row r="1338" customFormat="false" ht="15" hidden="false" customHeight="true" outlineLevel="0" collapsed="false">
      <c r="A1338" s="6" t="n">
        <v>1336</v>
      </c>
      <c r="B1338" s="6" t="n">
        <f aca="false">MIN(42, FLOOR(A1338/32,1)+1)</f>
        <v>42</v>
      </c>
      <c r="C1338" s="6" t="str">
        <f aca="false">INDEX(Grades_Realms!$B$2:$B$43, B1338)</f>
        <v>Transcendent Dao · Perfected</v>
      </c>
      <c r="D1338" s="6" t="n">
        <f aca="false">(A1338+1)^2.4 * 1.004^A1338</f>
        <v>6591066451.65191</v>
      </c>
      <c r="E1338" s="6" t="n">
        <f aca="false">$I$2*(A1338+1)^1.9*1.003^A1338</f>
        <v>20566.3538299917</v>
      </c>
      <c r="F1338" s="6" t="n">
        <f aca="false">(A1338+1)^1.12</f>
        <v>3171.51796748713</v>
      </c>
      <c r="G1338" s="6" t="n">
        <f aca="false">G1337+E1338</f>
        <v>4362342.62288142</v>
      </c>
    </row>
    <row r="1339" customFormat="false" ht="15" hidden="false" customHeight="true" outlineLevel="0" collapsed="false">
      <c r="A1339" s="6" t="n">
        <v>1337</v>
      </c>
      <c r="B1339" s="6" t="n">
        <f aca="false">MIN(42, FLOOR(A1339/32,1)+1)</f>
        <v>42</v>
      </c>
      <c r="C1339" s="6" t="str">
        <f aca="false">INDEX(Grades_Realms!$B$2:$B$43, B1339)</f>
        <v>Transcendent Dao · Perfected</v>
      </c>
      <c r="D1339" s="6" t="n">
        <f aca="false">(A1339+1)^2.4 * 1.004^A1339</f>
        <v>6629315646.14006</v>
      </c>
      <c r="E1339" s="6" t="n">
        <f aca="false">$I$2*(A1339+1)^1.9*1.003^A1339</f>
        <v>20657.3771185777</v>
      </c>
      <c r="F1339" s="6" t="n">
        <f aca="false">(A1339+1)^1.12</f>
        <v>3174.17485566571</v>
      </c>
      <c r="G1339" s="6" t="n">
        <f aca="false">G1338+E1339</f>
        <v>4383000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0"/>
    <col collapsed="false" customWidth="true" hidden="false" outlineLevel="0" max="4" min="4" style="1" width="38"/>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9" min="8" style="1" width="26"/>
    <col collapsed="false" customWidth="true" hidden="false" outlineLevel="0" max="11" min="10" style="1" width="8"/>
  </cols>
  <sheetData>
    <row r="1" customFormat="false" ht="23.25" hidden="false" customHeight="true" outlineLevel="0" collapsed="false">
      <c r="A1" s="5" t="s">
        <v>246</v>
      </c>
      <c r="B1" s="5" t="s">
        <v>247</v>
      </c>
      <c r="C1" s="5" t="s">
        <v>248</v>
      </c>
      <c r="D1" s="5" t="s">
        <v>249</v>
      </c>
      <c r="E1" s="5" t="s">
        <v>250</v>
      </c>
      <c r="F1" s="5" t="s">
        <v>251</v>
      </c>
      <c r="G1" s="5" t="s">
        <v>252</v>
      </c>
      <c r="H1" s="5" t="s">
        <v>253</v>
      </c>
      <c r="I1" s="5" t="s">
        <v>254</v>
      </c>
      <c r="J1" s="5" t="s">
        <v>255</v>
      </c>
      <c r="K1" s="5" t="s">
        <v>256</v>
      </c>
    </row>
    <row r="2" customFormat="false" ht="15" hidden="false" customHeight="true" outlineLevel="0" collapsed="false">
      <c r="A2" s="6" t="n">
        <v>1</v>
      </c>
      <c r="B2" s="6" t="s">
        <v>257</v>
      </c>
      <c r="C2" s="6" t="s">
        <v>258</v>
      </c>
      <c r="D2" s="6" t="s">
        <v>259</v>
      </c>
      <c r="E2" s="9" t="n">
        <v>90</v>
      </c>
      <c r="F2" s="9" t="n">
        <v>80</v>
      </c>
      <c r="G2" s="9" t="n">
        <v>70</v>
      </c>
      <c r="H2" s="6" t="str">
        <f aca="false">E2&amp;" × (L+1)^2.4 × 1.004^L  (see Building_Levels)"</f>
        <v>90 × (L+1)^2.4 × 1.004^L  (see Building_Levels)</v>
      </c>
      <c r="I2" s="6" t="s">
        <v>260</v>
      </c>
      <c r="J2" s="6" t="s">
        <v>261</v>
      </c>
      <c r="K2" s="6" t="s">
        <v>262</v>
      </c>
    </row>
    <row r="3" customFormat="false" ht="15" hidden="false" customHeight="true" outlineLevel="0" collapsed="false">
      <c r="A3" s="6" t="n">
        <v>1</v>
      </c>
      <c r="B3" s="6" t="s">
        <v>263</v>
      </c>
      <c r="C3" s="6" t="s">
        <v>264</v>
      </c>
      <c r="D3" s="6" t="s">
        <v>265</v>
      </c>
      <c r="E3" s="9" t="n">
        <v>45</v>
      </c>
      <c r="F3" s="9" t="n">
        <v>40</v>
      </c>
      <c r="G3" s="9" t="n">
        <v>30</v>
      </c>
      <c r="H3" s="6" t="str">
        <f aca="false">E3&amp;" × (L+1)^2.4 × 1.004^L  (see Building_Levels)"</f>
        <v>45 × (L+1)^2.4 × 1.004^L  (see Building_Levels)</v>
      </c>
      <c r="I3" s="6" t="s">
        <v>260</v>
      </c>
      <c r="J3" s="6" t="s">
        <v>261</v>
      </c>
      <c r="K3" s="6" t="s">
        <v>262</v>
      </c>
    </row>
    <row r="4" customFormat="false" ht="15" hidden="false" customHeight="true" outlineLevel="0" collapsed="false">
      <c r="A4" s="6" t="n">
        <v>1</v>
      </c>
      <c r="B4" s="6" t="s">
        <v>266</v>
      </c>
      <c r="C4" s="6" t="s">
        <v>264</v>
      </c>
      <c r="D4" s="6" t="s">
        <v>267</v>
      </c>
      <c r="E4" s="9" t="n">
        <v>50</v>
      </c>
      <c r="F4" s="9" t="n">
        <v>30</v>
      </c>
      <c r="G4" s="9" t="n">
        <v>20</v>
      </c>
      <c r="H4" s="6" t="str">
        <f aca="false">E4&amp;" × (L+1)^2.4 × 1.004^L  (see Building_Levels)"</f>
        <v>50 × (L+1)^2.4 × 1.004^L  (see Building_Levels)</v>
      </c>
      <c r="I4" s="6" t="s">
        <v>260</v>
      </c>
      <c r="J4" s="6" t="s">
        <v>261</v>
      </c>
      <c r="K4" s="6" t="s">
        <v>262</v>
      </c>
    </row>
    <row r="5" customFormat="false" ht="15" hidden="false" customHeight="true" outlineLevel="0" collapsed="false">
      <c r="A5" s="6" t="n">
        <v>1</v>
      </c>
      <c r="B5" s="6" t="s">
        <v>268</v>
      </c>
      <c r="C5" s="6" t="s">
        <v>264</v>
      </c>
      <c r="D5" s="6" t="s">
        <v>269</v>
      </c>
      <c r="E5" s="9" t="n">
        <v>40</v>
      </c>
      <c r="F5" s="9" t="n">
        <v>50</v>
      </c>
      <c r="G5" s="9" t="n">
        <v>25</v>
      </c>
      <c r="H5" s="6" t="str">
        <f aca="false">E5&amp;" × (L+1)^2.4 × 1.004^L  (see Building_Levels)"</f>
        <v>40 × (L+1)^2.4 × 1.004^L  (see Building_Levels)</v>
      </c>
      <c r="I5" s="6" t="s">
        <v>260</v>
      </c>
      <c r="J5" s="6" t="s">
        <v>261</v>
      </c>
      <c r="K5" s="6" t="s">
        <v>262</v>
      </c>
    </row>
    <row r="6" customFormat="false" ht="15" hidden="false" customHeight="true" outlineLevel="0" collapsed="false">
      <c r="A6" s="6" t="n">
        <v>1</v>
      </c>
      <c r="B6" s="6" t="s">
        <v>270</v>
      </c>
      <c r="C6" s="6" t="s">
        <v>264</v>
      </c>
      <c r="D6" s="6" t="s">
        <v>271</v>
      </c>
      <c r="E6" s="9" t="n">
        <v>48</v>
      </c>
      <c r="F6" s="9" t="n">
        <v>60</v>
      </c>
      <c r="G6" s="9" t="n">
        <v>35</v>
      </c>
      <c r="H6" s="6" t="str">
        <f aca="false">E6&amp;" × (L+1)^2.4 × 1.004^L  (see Building_Levels)"</f>
        <v>48 × (L+1)^2.4 × 1.004^L  (see Building_Levels)</v>
      </c>
      <c r="I6" s="6" t="s">
        <v>260</v>
      </c>
      <c r="J6" s="6" t="s">
        <v>261</v>
      </c>
      <c r="K6" s="6" t="s">
        <v>262</v>
      </c>
    </row>
    <row r="7" customFormat="false" ht="15" hidden="false" customHeight="true" outlineLevel="0" collapsed="false">
      <c r="A7" s="6" t="n">
        <v>1</v>
      </c>
      <c r="B7" s="6" t="s">
        <v>272</v>
      </c>
      <c r="C7" s="6" t="s">
        <v>264</v>
      </c>
      <c r="D7" s="6" t="s">
        <v>273</v>
      </c>
      <c r="E7" s="9" t="n">
        <v>42</v>
      </c>
      <c r="F7" s="9" t="n">
        <v>32</v>
      </c>
      <c r="G7" s="9" t="n">
        <v>20</v>
      </c>
      <c r="H7" s="6" t="str">
        <f aca="false">E7&amp;" × (L+1)^2.4 × 1.004^L  (see Building_Levels)"</f>
        <v>42 × (L+1)^2.4 × 1.004^L  (see Building_Levels)</v>
      </c>
      <c r="I7" s="6" t="s">
        <v>260</v>
      </c>
      <c r="J7" s="6" t="s">
        <v>261</v>
      </c>
      <c r="K7" s="6" t="s">
        <v>262</v>
      </c>
    </row>
    <row r="8" customFormat="false" ht="15" hidden="false" customHeight="true" outlineLevel="0" collapsed="false">
      <c r="A8" s="6" t="n">
        <v>1</v>
      </c>
      <c r="B8" s="6" t="s">
        <v>274</v>
      </c>
      <c r="C8" s="6" t="s">
        <v>264</v>
      </c>
      <c r="D8" s="6" t="s">
        <v>275</v>
      </c>
      <c r="E8" s="9" t="n">
        <v>38</v>
      </c>
      <c r="F8" s="9" t="n">
        <v>30</v>
      </c>
      <c r="G8" s="9" t="n">
        <v>18</v>
      </c>
      <c r="H8" s="6" t="str">
        <f aca="false">E8&amp;" × (L+1)^2.4 × 1.004^L  (see Building_Levels)"</f>
        <v>38 × (L+1)^2.4 × 1.004^L  (see Building_Levels)</v>
      </c>
      <c r="I8" s="6" t="s">
        <v>260</v>
      </c>
      <c r="J8" s="6" t="s">
        <v>261</v>
      </c>
      <c r="K8" s="6" t="s">
        <v>262</v>
      </c>
    </row>
    <row r="9" customFormat="false" ht="15" hidden="false" customHeight="true" outlineLevel="0" collapsed="false">
      <c r="A9" s="6" t="n">
        <v>1</v>
      </c>
      <c r="B9" s="6" t="s">
        <v>276</v>
      </c>
      <c r="C9" s="6" t="s">
        <v>264</v>
      </c>
      <c r="D9" s="6" t="s">
        <v>277</v>
      </c>
      <c r="E9" s="9" t="n">
        <v>40</v>
      </c>
      <c r="F9" s="9" t="n">
        <v>28</v>
      </c>
      <c r="G9" s="9" t="n">
        <v>22</v>
      </c>
      <c r="H9" s="6" t="str">
        <f aca="false">E9&amp;" × (L+1)^2.4 × 1.004^L  (see Building_Levels)"</f>
        <v>40 × (L+1)^2.4 × 1.004^L  (see Building_Levels)</v>
      </c>
      <c r="I9" s="6" t="s">
        <v>260</v>
      </c>
      <c r="J9" s="6" t="s">
        <v>261</v>
      </c>
      <c r="K9" s="6" t="s">
        <v>262</v>
      </c>
    </row>
    <row r="10" customFormat="false" ht="15" hidden="false" customHeight="true" outlineLevel="0" collapsed="false">
      <c r="A10" s="6" t="n">
        <v>1</v>
      </c>
      <c r="B10" s="6" t="s">
        <v>278</v>
      </c>
      <c r="C10" s="6" t="s">
        <v>264</v>
      </c>
      <c r="D10" s="6" t="s">
        <v>279</v>
      </c>
      <c r="E10" s="9" t="n">
        <v>35</v>
      </c>
      <c r="F10" s="9" t="n">
        <v>20</v>
      </c>
      <c r="G10" s="9" t="n">
        <v>15</v>
      </c>
      <c r="H10" s="6" t="str">
        <f aca="false">E10&amp;" × (L+1)^2.4 × 1.004^L  (see Building_Levels)"</f>
        <v>35 × (L+1)^2.4 × 1.004^L  (see Building_Levels)</v>
      </c>
      <c r="I10" s="6" t="s">
        <v>260</v>
      </c>
      <c r="J10" s="6" t="s">
        <v>261</v>
      </c>
      <c r="K10" s="6" t="s">
        <v>262</v>
      </c>
    </row>
    <row r="11" customFormat="false" ht="15" hidden="false" customHeight="true" outlineLevel="0" collapsed="false">
      <c r="A11" s="6" t="n">
        <v>1</v>
      </c>
      <c r="B11" s="6" t="s">
        <v>280</v>
      </c>
      <c r="C11" s="6" t="s">
        <v>264</v>
      </c>
      <c r="D11" s="6" t="s">
        <v>281</v>
      </c>
      <c r="E11" s="9" t="n">
        <v>44</v>
      </c>
      <c r="F11" s="9" t="n">
        <v>26</v>
      </c>
      <c r="G11" s="9" t="n">
        <v>18</v>
      </c>
      <c r="H11" s="6" t="str">
        <f aca="false">E11&amp;" × (L+1)^2.4 × 1.004^L  (see Building_Levels)"</f>
        <v>44 × (L+1)^2.4 × 1.004^L  (see Building_Levels)</v>
      </c>
      <c r="I11" s="6" t="s">
        <v>260</v>
      </c>
      <c r="J11" s="6" t="s">
        <v>261</v>
      </c>
      <c r="K11" s="6" t="s">
        <v>262</v>
      </c>
    </row>
    <row r="12" customFormat="false" ht="15" hidden="false" customHeight="true" outlineLevel="0" collapsed="false">
      <c r="A12" s="6" t="n">
        <v>1</v>
      </c>
      <c r="B12" s="6" t="s">
        <v>282</v>
      </c>
      <c r="C12" s="6" t="s">
        <v>264</v>
      </c>
      <c r="D12" s="6" t="s">
        <v>283</v>
      </c>
      <c r="E12" s="9" t="n">
        <v>30</v>
      </c>
      <c r="F12" s="9" t="n">
        <v>18</v>
      </c>
      <c r="G12" s="9" t="n">
        <v>12</v>
      </c>
      <c r="H12" s="6" t="str">
        <f aca="false">E12&amp;" × (L+1)^2.4 × 1.004^L  (see Building_Levels)"</f>
        <v>30 × (L+1)^2.4 × 1.004^L  (see Building_Levels)</v>
      </c>
      <c r="I12" s="6" t="s">
        <v>260</v>
      </c>
      <c r="J12" s="6" t="s">
        <v>261</v>
      </c>
      <c r="K12" s="6" t="s">
        <v>262</v>
      </c>
    </row>
    <row r="13" customFormat="false" ht="15" hidden="false" customHeight="true" outlineLevel="0" collapsed="false">
      <c r="A13" s="6" t="n">
        <v>1</v>
      </c>
      <c r="B13" s="6" t="s">
        <v>284</v>
      </c>
      <c r="C13" s="6" t="s">
        <v>264</v>
      </c>
      <c r="D13" s="6" t="s">
        <v>285</v>
      </c>
      <c r="E13" s="9" t="n">
        <v>33</v>
      </c>
      <c r="F13" s="9" t="n">
        <v>22</v>
      </c>
      <c r="G13" s="9" t="n">
        <v>14</v>
      </c>
      <c r="H13" s="6" t="str">
        <f aca="false">E13&amp;" × (L+1)^2.4 × 1.004^L  (see Building_Levels)"</f>
        <v>33 × (L+1)^2.4 × 1.004^L  (see Building_Levels)</v>
      </c>
      <c r="I13" s="6" t="s">
        <v>260</v>
      </c>
      <c r="J13" s="6" t="s">
        <v>261</v>
      </c>
      <c r="K13" s="6" t="s">
        <v>262</v>
      </c>
    </row>
    <row r="14" customFormat="false" ht="15" hidden="false" customHeight="true" outlineLevel="0" collapsed="false">
      <c r="A14" s="6" t="n">
        <v>1</v>
      </c>
      <c r="B14" s="6" t="s">
        <v>286</v>
      </c>
      <c r="C14" s="6" t="s">
        <v>264</v>
      </c>
      <c r="D14" s="6" t="s">
        <v>287</v>
      </c>
      <c r="E14" s="9" t="n">
        <v>28</v>
      </c>
      <c r="F14" s="9" t="n">
        <v>16</v>
      </c>
      <c r="G14" s="9" t="n">
        <v>10</v>
      </c>
      <c r="H14" s="6" t="str">
        <f aca="false">E14&amp;" × (L+1)^2.4 × 1.004^L  (see Building_Levels)"</f>
        <v>28 × (L+1)^2.4 × 1.004^L  (see Building_Levels)</v>
      </c>
      <c r="I14" s="6" t="s">
        <v>260</v>
      </c>
      <c r="J14" s="6" t="s">
        <v>261</v>
      </c>
      <c r="K14" s="6" t="s">
        <v>262</v>
      </c>
    </row>
    <row r="15" customFormat="false" ht="15" hidden="false" customHeight="true" outlineLevel="0" collapsed="false">
      <c r="A15" s="6" t="n">
        <v>1</v>
      </c>
      <c r="B15" s="6" t="s">
        <v>288</v>
      </c>
      <c r="C15" s="6" t="s">
        <v>264</v>
      </c>
      <c r="D15" s="6" t="s">
        <v>289</v>
      </c>
      <c r="E15" s="9" t="n">
        <v>30</v>
      </c>
      <c r="F15" s="9" t="n">
        <v>20</v>
      </c>
      <c r="G15" s="9" t="n">
        <v>12</v>
      </c>
      <c r="H15" s="6" t="str">
        <f aca="false">E15&amp;" × (L+1)^2.4 × 1.004^L  (see Building_Levels)"</f>
        <v>30 × (L+1)^2.4 × 1.004^L  (see Building_Levels)</v>
      </c>
      <c r="I15" s="6" t="s">
        <v>260</v>
      </c>
      <c r="J15" s="6" t="s">
        <v>261</v>
      </c>
      <c r="K15" s="6" t="s">
        <v>262</v>
      </c>
    </row>
    <row r="16" customFormat="false" ht="15" hidden="false" customHeight="true" outlineLevel="0" collapsed="false">
      <c r="A16" s="6" t="n">
        <v>1</v>
      </c>
      <c r="B16" s="6" t="s">
        <v>290</v>
      </c>
      <c r="C16" s="6" t="s">
        <v>264</v>
      </c>
      <c r="D16" s="6" t="s">
        <v>291</v>
      </c>
      <c r="E16" s="9" t="n">
        <v>36</v>
      </c>
      <c r="F16" s="9" t="n">
        <v>20</v>
      </c>
      <c r="G16" s="9" t="n">
        <v>16</v>
      </c>
      <c r="H16" s="6" t="str">
        <f aca="false">E16&amp;" × (L+1)^2.4 × 1.004^L  (see Building_Levels)"</f>
        <v>36 × (L+1)^2.4 × 1.004^L  (see Building_Levels)</v>
      </c>
      <c r="I16" s="6" t="s">
        <v>260</v>
      </c>
      <c r="J16" s="6" t="s">
        <v>261</v>
      </c>
      <c r="K16" s="6" t="s">
        <v>262</v>
      </c>
    </row>
    <row r="17" customFormat="false" ht="15" hidden="false" customHeight="true" outlineLevel="0" collapsed="false">
      <c r="A17" s="6" t="n">
        <v>1</v>
      </c>
      <c r="B17" s="6" t="s">
        <v>292</v>
      </c>
      <c r="C17" s="6" t="s">
        <v>293</v>
      </c>
      <c r="D17" s="6" t="s">
        <v>294</v>
      </c>
      <c r="E17" s="9" t="n">
        <v>55</v>
      </c>
      <c r="F17" s="9" t="n">
        <v>45</v>
      </c>
      <c r="G17" s="9" t="n">
        <v>30</v>
      </c>
      <c r="H17" s="6" t="str">
        <f aca="false">E17&amp;" × (L+1)^2.4 × 1.004^L  (see Building_Levels)"</f>
        <v>55 × (L+1)^2.4 × 1.004^L  (see Building_Levels)</v>
      </c>
      <c r="I17" s="6" t="s">
        <v>260</v>
      </c>
      <c r="J17" s="6" t="s">
        <v>261</v>
      </c>
      <c r="K17" s="6" t="s">
        <v>262</v>
      </c>
    </row>
    <row r="18" customFormat="false" ht="15" hidden="false" customHeight="true" outlineLevel="0" collapsed="false">
      <c r="A18" s="6" t="n">
        <v>1</v>
      </c>
      <c r="B18" s="6" t="s">
        <v>295</v>
      </c>
      <c r="C18" s="6" t="s">
        <v>293</v>
      </c>
      <c r="D18" s="6" t="s">
        <v>296</v>
      </c>
      <c r="E18" s="9" t="n">
        <v>60</v>
      </c>
      <c r="F18" s="9" t="n">
        <v>70</v>
      </c>
      <c r="G18" s="9" t="n">
        <v>40</v>
      </c>
      <c r="H18" s="6" t="str">
        <f aca="false">E18&amp;" × (L+1)^2.4 × 1.004^L  (see Building_Levels)"</f>
        <v>60 × (L+1)^2.4 × 1.004^L  (see Building_Levels)</v>
      </c>
      <c r="I18" s="6" t="s">
        <v>260</v>
      </c>
      <c r="J18" s="6" t="s">
        <v>261</v>
      </c>
      <c r="K18" s="6" t="s">
        <v>262</v>
      </c>
    </row>
    <row r="19" customFormat="false" ht="15" hidden="false" customHeight="true" outlineLevel="0" collapsed="false">
      <c r="A19" s="6" t="n">
        <v>1</v>
      </c>
      <c r="B19" s="6" t="s">
        <v>297</v>
      </c>
      <c r="C19" s="6" t="s">
        <v>293</v>
      </c>
      <c r="D19" s="6" t="s">
        <v>298</v>
      </c>
      <c r="E19" s="9" t="n">
        <v>50</v>
      </c>
      <c r="F19" s="9" t="n">
        <v>40</v>
      </c>
      <c r="G19" s="9" t="n">
        <v>28</v>
      </c>
      <c r="H19" s="6" t="str">
        <f aca="false">E19&amp;" × (L+1)^2.4 × 1.004^L  (see Building_Levels)"</f>
        <v>50 × (L+1)^2.4 × 1.004^L  (see Building_Levels)</v>
      </c>
      <c r="I19" s="6" t="s">
        <v>260</v>
      </c>
      <c r="J19" s="6" t="s">
        <v>261</v>
      </c>
      <c r="K19" s="6" t="s">
        <v>262</v>
      </c>
    </row>
    <row r="20" customFormat="false" ht="15" hidden="false" customHeight="true" outlineLevel="0" collapsed="false">
      <c r="A20" s="6" t="n">
        <v>1</v>
      </c>
      <c r="B20" s="6" t="s">
        <v>299</v>
      </c>
      <c r="C20" s="6" t="s">
        <v>293</v>
      </c>
      <c r="D20" s="6" t="s">
        <v>300</v>
      </c>
      <c r="E20" s="9" t="n">
        <v>52</v>
      </c>
      <c r="F20" s="9" t="n">
        <v>48</v>
      </c>
      <c r="G20" s="9" t="n">
        <v>26</v>
      </c>
      <c r="H20" s="6" t="str">
        <f aca="false">E20&amp;" × (L+1)^2.4 × 1.004^L  (see Building_Levels)"</f>
        <v>52 × (L+1)^2.4 × 1.004^L  (see Building_Levels)</v>
      </c>
      <c r="I20" s="6" t="s">
        <v>260</v>
      </c>
      <c r="J20" s="6" t="s">
        <v>261</v>
      </c>
      <c r="K20" s="6" t="s">
        <v>262</v>
      </c>
    </row>
    <row r="21" customFormat="false" ht="15" hidden="false" customHeight="true" outlineLevel="0" collapsed="false">
      <c r="A21" s="6" t="n">
        <v>1</v>
      </c>
      <c r="B21" s="6" t="s">
        <v>301</v>
      </c>
      <c r="C21" s="6" t="s">
        <v>293</v>
      </c>
      <c r="D21" s="6" t="s">
        <v>302</v>
      </c>
      <c r="E21" s="9" t="n">
        <v>40</v>
      </c>
      <c r="F21" s="9" t="n">
        <v>30</v>
      </c>
      <c r="G21" s="9" t="n">
        <v>20</v>
      </c>
      <c r="H21" s="6" t="str">
        <f aca="false">E21&amp;" × (L+1)^2.4 × 1.004^L  (see Building_Levels)"</f>
        <v>40 × (L+1)^2.4 × 1.004^L  (see Building_Levels)</v>
      </c>
      <c r="I21" s="6" t="s">
        <v>260</v>
      </c>
      <c r="J21" s="6" t="s">
        <v>261</v>
      </c>
      <c r="K21" s="6" t="s">
        <v>262</v>
      </c>
    </row>
    <row r="22" customFormat="false" ht="15" hidden="false" customHeight="true" outlineLevel="0" collapsed="false">
      <c r="A22" s="6" t="n">
        <v>1</v>
      </c>
      <c r="B22" s="6" t="s">
        <v>303</v>
      </c>
      <c r="C22" s="6" t="s">
        <v>293</v>
      </c>
      <c r="D22" s="6" t="s">
        <v>304</v>
      </c>
      <c r="E22" s="9" t="n">
        <v>38</v>
      </c>
      <c r="F22" s="9" t="n">
        <v>28</v>
      </c>
      <c r="G22" s="9" t="n">
        <v>22</v>
      </c>
      <c r="H22" s="6" t="str">
        <f aca="false">E22&amp;" × (L+1)^2.4 × 1.004^L  (see Building_Levels)"</f>
        <v>38 × (L+1)^2.4 × 1.004^L  (see Building_Levels)</v>
      </c>
      <c r="I22" s="6" t="s">
        <v>260</v>
      </c>
      <c r="J22" s="6" t="s">
        <v>261</v>
      </c>
      <c r="K22" s="6" t="s">
        <v>262</v>
      </c>
    </row>
    <row r="23" customFormat="false" ht="15" hidden="false" customHeight="true" outlineLevel="0" collapsed="false">
      <c r="A23" s="6" t="n">
        <v>1</v>
      </c>
      <c r="B23" s="6" t="s">
        <v>305</v>
      </c>
      <c r="C23" s="6" t="s">
        <v>293</v>
      </c>
      <c r="D23" s="6" t="s">
        <v>306</v>
      </c>
      <c r="E23" s="9" t="n">
        <v>45</v>
      </c>
      <c r="F23" s="9" t="n">
        <v>35</v>
      </c>
      <c r="G23" s="9" t="n">
        <v>25</v>
      </c>
      <c r="H23" s="6" t="str">
        <f aca="false">E23&amp;" × (L+1)^2.4 × 1.004^L  (see Building_Levels)"</f>
        <v>45 × (L+1)^2.4 × 1.004^L  (see Building_Levels)</v>
      </c>
      <c r="I23" s="6" t="s">
        <v>260</v>
      </c>
      <c r="J23" s="6" t="s">
        <v>261</v>
      </c>
      <c r="K23" s="6" t="s">
        <v>262</v>
      </c>
    </row>
    <row r="24" customFormat="false" ht="15" hidden="false" customHeight="true" outlineLevel="0" collapsed="false">
      <c r="A24" s="6" t="n">
        <v>1</v>
      </c>
      <c r="B24" s="6" t="s">
        <v>307</v>
      </c>
      <c r="C24" s="6" t="s">
        <v>293</v>
      </c>
      <c r="D24" s="6" t="s">
        <v>308</v>
      </c>
      <c r="E24" s="9" t="n">
        <v>36</v>
      </c>
      <c r="F24" s="9" t="n">
        <v>30</v>
      </c>
      <c r="G24" s="9" t="n">
        <v>20</v>
      </c>
      <c r="H24" s="6" t="str">
        <f aca="false">E24&amp;" × (L+1)^2.4 × 1.004^L  (see Building_Levels)"</f>
        <v>36 × (L+1)^2.4 × 1.004^L  (see Building_Levels)</v>
      </c>
      <c r="I24" s="6" t="s">
        <v>260</v>
      </c>
      <c r="J24" s="6" t="s">
        <v>261</v>
      </c>
      <c r="K24" s="6" t="s">
        <v>262</v>
      </c>
    </row>
    <row r="25" customFormat="false" ht="15" hidden="false" customHeight="true" outlineLevel="0" collapsed="false">
      <c r="A25" s="6" t="n">
        <v>1</v>
      </c>
      <c r="B25" s="6" t="s">
        <v>309</v>
      </c>
      <c r="C25" s="6" t="s">
        <v>23</v>
      </c>
      <c r="D25" s="6" t="s">
        <v>310</v>
      </c>
      <c r="E25" s="9" t="n">
        <v>60</v>
      </c>
      <c r="F25" s="9" t="n">
        <v>50</v>
      </c>
      <c r="G25" s="9" t="n">
        <v>45</v>
      </c>
      <c r="H25" s="6" t="str">
        <f aca="false">E25&amp;" × (L+1)^2.4 × 1.004^L  (see Building_Levels)"</f>
        <v>60 × (L+1)^2.4 × 1.004^L  (see Building_Levels)</v>
      </c>
      <c r="I25" s="6" t="s">
        <v>260</v>
      </c>
      <c r="J25" s="6" t="s">
        <v>261</v>
      </c>
      <c r="K25" s="6" t="s">
        <v>262</v>
      </c>
    </row>
    <row r="26" customFormat="false" ht="15" hidden="false" customHeight="true" outlineLevel="0" collapsed="false">
      <c r="A26" s="6" t="n">
        <v>1</v>
      </c>
      <c r="B26" s="6" t="s">
        <v>311</v>
      </c>
      <c r="C26" s="6" t="s">
        <v>312</v>
      </c>
      <c r="D26" s="6" t="s">
        <v>313</v>
      </c>
      <c r="E26" s="9" t="n">
        <v>70</v>
      </c>
      <c r="F26" s="9" t="n">
        <v>60</v>
      </c>
      <c r="G26" s="9" t="n">
        <v>50</v>
      </c>
      <c r="H26" s="6" t="str">
        <f aca="false">E26&amp;" × (L+1)^2.4 × 1.004^L  (see Building_Levels)"</f>
        <v>70 × (L+1)^2.4 × 1.004^L  (see Building_Levels)</v>
      </c>
      <c r="I26" s="6" t="s">
        <v>260</v>
      </c>
      <c r="J26" s="6" t="s">
        <v>261</v>
      </c>
      <c r="K26" s="6" t="s">
        <v>262</v>
      </c>
    </row>
    <row r="27" customFormat="false" ht="15" hidden="false" customHeight="true" outlineLevel="0" collapsed="false">
      <c r="A27" s="6" t="n">
        <v>1</v>
      </c>
      <c r="B27" s="6" t="s">
        <v>314</v>
      </c>
      <c r="C27" s="6" t="s">
        <v>312</v>
      </c>
      <c r="D27" s="6" t="s">
        <v>315</v>
      </c>
      <c r="E27" s="9" t="n">
        <v>65</v>
      </c>
      <c r="F27" s="9" t="n">
        <v>55</v>
      </c>
      <c r="G27" s="9" t="n">
        <v>45</v>
      </c>
      <c r="H27" s="6" t="str">
        <f aca="false">E27&amp;" × (L+1)^2.4 × 1.004^L  (see Building_Levels)"</f>
        <v>65 × (L+1)^2.4 × 1.004^L  (see Building_Levels)</v>
      </c>
      <c r="I27" s="6" t="s">
        <v>260</v>
      </c>
      <c r="J27" s="6" t="s">
        <v>261</v>
      </c>
      <c r="K27" s="6" t="s">
        <v>262</v>
      </c>
    </row>
    <row r="28" customFormat="false" ht="15" hidden="false" customHeight="true" outlineLevel="0" collapsed="false">
      <c r="A28" s="6" t="n">
        <v>1</v>
      </c>
      <c r="B28" s="6" t="s">
        <v>316</v>
      </c>
      <c r="C28" s="6" t="s">
        <v>312</v>
      </c>
      <c r="D28" s="6" t="s">
        <v>317</v>
      </c>
      <c r="E28" s="9" t="n">
        <v>60</v>
      </c>
      <c r="F28" s="9" t="n">
        <v>50</v>
      </c>
      <c r="G28" s="9" t="n">
        <v>40</v>
      </c>
      <c r="H28" s="6" t="str">
        <f aca="false">E28&amp;" × (L+1)^2.4 × 1.004^L  (see Building_Levels)"</f>
        <v>60 × (L+1)^2.4 × 1.004^L  (see Building_Levels)</v>
      </c>
      <c r="I28" s="6" t="s">
        <v>260</v>
      </c>
      <c r="J28" s="6" t="s">
        <v>261</v>
      </c>
      <c r="K28" s="6" t="s">
        <v>262</v>
      </c>
    </row>
    <row r="29" customFormat="false" ht="15" hidden="false" customHeight="true" outlineLevel="0" collapsed="false">
      <c r="A29" s="6" t="n">
        <v>1</v>
      </c>
      <c r="B29" s="6" t="s">
        <v>318</v>
      </c>
      <c r="C29" s="6" t="s">
        <v>312</v>
      </c>
      <c r="D29" s="6" t="s">
        <v>319</v>
      </c>
      <c r="E29" s="9" t="n">
        <v>45</v>
      </c>
      <c r="F29" s="9" t="n">
        <v>35</v>
      </c>
      <c r="G29" s="9" t="n">
        <v>30</v>
      </c>
      <c r="H29" s="6" t="str">
        <f aca="false">E29&amp;" × (L+1)^2.4 × 1.004^L  (see Building_Levels)"</f>
        <v>45 × (L+1)^2.4 × 1.004^L  (see Building_Levels)</v>
      </c>
      <c r="I29" s="6" t="s">
        <v>260</v>
      </c>
      <c r="J29" s="6" t="s">
        <v>261</v>
      </c>
      <c r="K29" s="6" t="s">
        <v>262</v>
      </c>
    </row>
    <row r="30" customFormat="false" ht="15" hidden="false" customHeight="true" outlineLevel="0" collapsed="false">
      <c r="A30" s="6" t="n">
        <v>1</v>
      </c>
      <c r="B30" s="6" t="s">
        <v>320</v>
      </c>
      <c r="C30" s="6" t="s">
        <v>312</v>
      </c>
      <c r="D30" s="6" t="s">
        <v>321</v>
      </c>
      <c r="E30" s="9" t="n">
        <v>40</v>
      </c>
      <c r="F30" s="9" t="n">
        <v>30</v>
      </c>
      <c r="G30" s="9" t="n">
        <v>26</v>
      </c>
      <c r="H30" s="6" t="str">
        <f aca="false">E30&amp;" × (L+1)^2.4 × 1.004^L  (see Building_Levels)"</f>
        <v>40 × (L+1)^2.4 × 1.004^L  (see Building_Levels)</v>
      </c>
      <c r="I30" s="6" t="s">
        <v>260</v>
      </c>
      <c r="J30" s="6" t="s">
        <v>261</v>
      </c>
      <c r="K30" s="6" t="s">
        <v>262</v>
      </c>
    </row>
    <row r="31" customFormat="false" ht="15" hidden="false" customHeight="true" outlineLevel="0" collapsed="false">
      <c r="A31" s="6" t="n">
        <v>1</v>
      </c>
      <c r="B31" s="6" t="s">
        <v>322</v>
      </c>
      <c r="C31" s="6" t="s">
        <v>312</v>
      </c>
      <c r="D31" s="6" t="s">
        <v>323</v>
      </c>
      <c r="E31" s="9" t="n">
        <v>42</v>
      </c>
      <c r="F31" s="9" t="n">
        <v>32</v>
      </c>
      <c r="G31" s="9" t="n">
        <v>28</v>
      </c>
      <c r="H31" s="6" t="str">
        <f aca="false">E31&amp;" × (L+1)^2.4 × 1.004^L  (see Building_Levels)"</f>
        <v>42 × (L+1)^2.4 × 1.004^L  (see Building_Levels)</v>
      </c>
      <c r="I31" s="6" t="s">
        <v>260</v>
      </c>
      <c r="J31" s="6" t="s">
        <v>261</v>
      </c>
      <c r="K31" s="6" t="s">
        <v>262</v>
      </c>
    </row>
    <row r="32" customFormat="false" ht="15" hidden="false" customHeight="true" outlineLevel="0" collapsed="false">
      <c r="A32" s="6" t="n">
        <v>1</v>
      </c>
      <c r="B32" s="6" t="s">
        <v>324</v>
      </c>
      <c r="C32" s="6" t="s">
        <v>312</v>
      </c>
      <c r="D32" s="6" t="s">
        <v>325</v>
      </c>
      <c r="E32" s="9" t="n">
        <v>44</v>
      </c>
      <c r="F32" s="9" t="n">
        <v>36</v>
      </c>
      <c r="G32" s="9" t="n">
        <v>30</v>
      </c>
      <c r="H32" s="6" t="str">
        <f aca="false">E32&amp;" × (L+1)^2.4 × 1.004^L  (see Building_Levels)"</f>
        <v>44 × (L+1)^2.4 × 1.004^L  (see Building_Levels)</v>
      </c>
      <c r="I32" s="6" t="s">
        <v>260</v>
      </c>
      <c r="J32" s="6" t="s">
        <v>261</v>
      </c>
      <c r="K32" s="6" t="s">
        <v>262</v>
      </c>
    </row>
    <row r="33" customFormat="false" ht="15" hidden="false" customHeight="true" outlineLevel="0" collapsed="false">
      <c r="A33" s="6" t="n">
        <v>1</v>
      </c>
      <c r="B33" s="6" t="s">
        <v>326</v>
      </c>
      <c r="C33" s="6" t="s">
        <v>312</v>
      </c>
      <c r="D33" s="6" t="s">
        <v>327</v>
      </c>
      <c r="E33" s="9" t="n">
        <v>46</v>
      </c>
      <c r="F33" s="9" t="n">
        <v>36</v>
      </c>
      <c r="G33" s="9" t="n">
        <v>30</v>
      </c>
      <c r="H33" s="6" t="str">
        <f aca="false">E33&amp;" × (L+1)^2.4 × 1.004^L  (see Building_Levels)"</f>
        <v>46 × (L+1)^2.4 × 1.004^L  (see Building_Levels)</v>
      </c>
      <c r="I33" s="6" t="s">
        <v>260</v>
      </c>
      <c r="J33" s="6" t="s">
        <v>261</v>
      </c>
      <c r="K33" s="6" t="s">
        <v>262</v>
      </c>
    </row>
    <row r="34" customFormat="false" ht="15" hidden="false" customHeight="true" outlineLevel="0" collapsed="false">
      <c r="A34" s="6" t="n">
        <v>1</v>
      </c>
      <c r="B34" s="6" t="s">
        <v>328</v>
      </c>
      <c r="C34" s="6" t="s">
        <v>312</v>
      </c>
      <c r="D34" s="6" t="s">
        <v>329</v>
      </c>
      <c r="E34" s="9" t="n">
        <v>35</v>
      </c>
      <c r="F34" s="9" t="n">
        <v>28</v>
      </c>
      <c r="G34" s="9" t="n">
        <v>22</v>
      </c>
      <c r="H34" s="6" t="str">
        <f aca="false">E34&amp;" × (L+1)^2.4 × 1.004^L  (see Building_Levels)"</f>
        <v>35 × (L+1)^2.4 × 1.004^L  (see Building_Levels)</v>
      </c>
      <c r="I34" s="6" t="s">
        <v>260</v>
      </c>
      <c r="J34" s="6" t="s">
        <v>261</v>
      </c>
      <c r="K34" s="6" t="s">
        <v>262</v>
      </c>
    </row>
    <row r="35" customFormat="false" ht="15" hidden="false" customHeight="true" outlineLevel="0" collapsed="false">
      <c r="A35" s="6" t="n">
        <v>1</v>
      </c>
      <c r="B35" s="6" t="s">
        <v>330</v>
      </c>
      <c r="C35" s="6" t="s">
        <v>312</v>
      </c>
      <c r="D35" s="6" t="s">
        <v>331</v>
      </c>
      <c r="E35" s="9" t="n">
        <v>38</v>
      </c>
      <c r="F35" s="9" t="n">
        <v>26</v>
      </c>
      <c r="G35" s="9" t="n">
        <v>24</v>
      </c>
      <c r="H35" s="6" t="str">
        <f aca="false">E35&amp;" × (L+1)^2.4 × 1.004^L  (see Building_Levels)"</f>
        <v>38 × (L+1)^2.4 × 1.004^L  (see Building_Levels)</v>
      </c>
      <c r="I35" s="6" t="s">
        <v>260</v>
      </c>
      <c r="J35" s="6" t="s">
        <v>261</v>
      </c>
      <c r="K35" s="6" t="s">
        <v>262</v>
      </c>
    </row>
    <row r="36" customFormat="false" ht="15" hidden="false" customHeight="true" outlineLevel="0" collapsed="false">
      <c r="A36" s="6" t="n">
        <v>1</v>
      </c>
      <c r="B36" s="6" t="s">
        <v>332</v>
      </c>
      <c r="C36" s="6" t="s">
        <v>333</v>
      </c>
      <c r="D36" s="6" t="s">
        <v>334</v>
      </c>
      <c r="E36" s="9" t="n">
        <v>80</v>
      </c>
      <c r="F36" s="9" t="n">
        <v>90</v>
      </c>
      <c r="G36" s="9" t="n">
        <v>60</v>
      </c>
      <c r="H36" s="6" t="str">
        <f aca="false">E36&amp;" × (L+1)^2.4 × 1.004^L  (see Building_Levels)"</f>
        <v>80 × (L+1)^2.4 × 1.004^L  (see Building_Levels)</v>
      </c>
      <c r="I36" s="6" t="s">
        <v>260</v>
      </c>
      <c r="J36" s="6" t="s">
        <v>261</v>
      </c>
      <c r="K36" s="6" t="s">
        <v>262</v>
      </c>
    </row>
    <row r="37" customFormat="false" ht="15" hidden="false" customHeight="true" outlineLevel="0" collapsed="false">
      <c r="A37" s="6" t="n">
        <v>1</v>
      </c>
      <c r="B37" s="6" t="s">
        <v>335</v>
      </c>
      <c r="C37" s="6" t="s">
        <v>333</v>
      </c>
      <c r="D37" s="6" t="s">
        <v>336</v>
      </c>
      <c r="E37" s="9" t="n">
        <v>60</v>
      </c>
      <c r="F37" s="9" t="n">
        <v>70</v>
      </c>
      <c r="G37" s="9" t="n">
        <v>50</v>
      </c>
      <c r="H37" s="6" t="str">
        <f aca="false">E37&amp;" × (L+1)^2.4 × 1.004^L  (see Building_Levels)"</f>
        <v>60 × (L+1)^2.4 × 1.004^L  (see Building_Levels)</v>
      </c>
      <c r="I37" s="6" t="s">
        <v>260</v>
      </c>
      <c r="J37" s="6" t="s">
        <v>261</v>
      </c>
      <c r="K37" s="6" t="s">
        <v>262</v>
      </c>
    </row>
    <row r="38" customFormat="false" ht="15" hidden="false" customHeight="true" outlineLevel="0" collapsed="false">
      <c r="A38" s="6" t="n">
        <v>1</v>
      </c>
      <c r="B38" s="6" t="s">
        <v>337</v>
      </c>
      <c r="C38" s="6" t="s">
        <v>333</v>
      </c>
      <c r="D38" s="6" t="s">
        <v>338</v>
      </c>
      <c r="E38" s="9" t="n">
        <v>50</v>
      </c>
      <c r="F38" s="9" t="n">
        <v>60</v>
      </c>
      <c r="G38" s="9" t="n">
        <v>40</v>
      </c>
      <c r="H38" s="6" t="str">
        <f aca="false">E38&amp;" × (L+1)^2.4 × 1.004^L  (see Building_Levels)"</f>
        <v>50 × (L+1)^2.4 × 1.004^L  (see Building_Levels)</v>
      </c>
      <c r="I38" s="6" t="s">
        <v>260</v>
      </c>
      <c r="J38" s="6" t="s">
        <v>261</v>
      </c>
      <c r="K38" s="6" t="s">
        <v>262</v>
      </c>
    </row>
    <row r="39" customFormat="false" ht="15" hidden="false" customHeight="true" outlineLevel="0" collapsed="false">
      <c r="A39" s="6" t="n">
        <v>1</v>
      </c>
      <c r="B39" s="6" t="s">
        <v>339</v>
      </c>
      <c r="C39" s="6" t="s">
        <v>333</v>
      </c>
      <c r="D39" s="6" t="s">
        <v>340</v>
      </c>
      <c r="E39" s="9" t="n">
        <v>40</v>
      </c>
      <c r="F39" s="9" t="n">
        <v>35</v>
      </c>
      <c r="G39" s="9" t="n">
        <v>25</v>
      </c>
      <c r="H39" s="6" t="str">
        <f aca="false">E39&amp;" × (L+1)^2.4 × 1.004^L  (see Building_Levels)"</f>
        <v>40 × (L+1)^2.4 × 1.004^L  (see Building_Levels)</v>
      </c>
      <c r="I39" s="6" t="s">
        <v>260</v>
      </c>
      <c r="J39" s="6" t="s">
        <v>261</v>
      </c>
      <c r="K39" s="6" t="s">
        <v>262</v>
      </c>
    </row>
    <row r="40" customFormat="false" ht="15" hidden="false" customHeight="true" outlineLevel="0" collapsed="false">
      <c r="A40" s="6" t="n">
        <v>1</v>
      </c>
      <c r="B40" s="6" t="s">
        <v>341</v>
      </c>
      <c r="C40" s="6" t="s">
        <v>342</v>
      </c>
      <c r="D40" s="6" t="s">
        <v>343</v>
      </c>
      <c r="E40" s="9" t="n">
        <v>55</v>
      </c>
      <c r="F40" s="9" t="n">
        <v>40</v>
      </c>
      <c r="G40" s="9" t="n">
        <v>35</v>
      </c>
      <c r="H40" s="6" t="str">
        <f aca="false">E40&amp;" × (L+1)^2.4 × 1.004^L  (see Building_Levels)"</f>
        <v>55 × (L+1)^2.4 × 1.004^L  (see Building_Levels)</v>
      </c>
      <c r="I40" s="6" t="s">
        <v>260</v>
      </c>
      <c r="J40" s="6" t="s">
        <v>261</v>
      </c>
      <c r="K40" s="6" t="s">
        <v>262</v>
      </c>
    </row>
    <row r="41" customFormat="false" ht="15" hidden="false" customHeight="true" outlineLevel="0" collapsed="false">
      <c r="A41" s="6" t="n">
        <v>1</v>
      </c>
      <c r="B41" s="6" t="s">
        <v>344</v>
      </c>
      <c r="C41" s="6" t="s">
        <v>342</v>
      </c>
      <c r="D41" s="6" t="s">
        <v>345</v>
      </c>
      <c r="E41" s="9" t="n">
        <v>48</v>
      </c>
      <c r="F41" s="9" t="n">
        <v>40</v>
      </c>
      <c r="G41" s="9" t="n">
        <v>32</v>
      </c>
      <c r="H41" s="6" t="str">
        <f aca="false">E41&amp;" × (L+1)^2.4 × 1.004^L  (see Building_Levels)"</f>
        <v>48 × (L+1)^2.4 × 1.004^L  (see Building_Levels)</v>
      </c>
      <c r="I41" s="6" t="s">
        <v>260</v>
      </c>
      <c r="J41" s="6" t="s">
        <v>261</v>
      </c>
      <c r="K41" s="6" t="s">
        <v>262</v>
      </c>
    </row>
    <row r="42" customFormat="false" ht="15" hidden="false" customHeight="true" outlineLevel="0" collapsed="false">
      <c r="A42" s="6" t="n">
        <v>1</v>
      </c>
      <c r="B42" s="6" t="s">
        <v>346</v>
      </c>
      <c r="C42" s="6" t="s">
        <v>342</v>
      </c>
      <c r="D42" s="6" t="s">
        <v>347</v>
      </c>
      <c r="E42" s="9" t="n">
        <v>30</v>
      </c>
      <c r="F42" s="9" t="n">
        <v>20</v>
      </c>
      <c r="G42" s="9" t="n">
        <v>16</v>
      </c>
      <c r="H42" s="6" t="str">
        <f aca="false">E42&amp;" × (L+1)^2.4 × 1.004^L  (see Building_Levels)"</f>
        <v>30 × (L+1)^2.4 × 1.004^L  (see Building_Levels)</v>
      </c>
      <c r="I42" s="6" t="s">
        <v>260</v>
      </c>
      <c r="J42" s="6" t="s">
        <v>261</v>
      </c>
      <c r="K42" s="6" t="s">
        <v>262</v>
      </c>
    </row>
    <row r="43" customFormat="false" ht="15" hidden="false" customHeight="true" outlineLevel="0" collapsed="false">
      <c r="A43" s="6" t="n">
        <v>1</v>
      </c>
      <c r="B43" s="6" t="s">
        <v>348</v>
      </c>
      <c r="C43" s="6" t="s">
        <v>342</v>
      </c>
      <c r="D43" s="6" t="s">
        <v>349</v>
      </c>
      <c r="E43" s="9" t="n">
        <v>44</v>
      </c>
      <c r="F43" s="9" t="n">
        <v>32</v>
      </c>
      <c r="G43" s="9" t="n">
        <v>28</v>
      </c>
      <c r="H43" s="6" t="str">
        <f aca="false">E43&amp;" × (L+1)^2.4 × 1.004^L  (see Building_Levels)"</f>
        <v>44 × (L+1)^2.4 × 1.004^L  (see Building_Levels)</v>
      </c>
      <c r="I43" s="6" t="s">
        <v>260</v>
      </c>
      <c r="J43" s="6" t="s">
        <v>261</v>
      </c>
      <c r="K43" s="6" t="s">
        <v>262</v>
      </c>
    </row>
    <row r="44" customFormat="false" ht="15" hidden="false" customHeight="true" outlineLevel="0" collapsed="false">
      <c r="A44" s="6" t="n">
        <v>1</v>
      </c>
      <c r="B44" s="6" t="s">
        <v>350</v>
      </c>
      <c r="C44" s="6" t="s">
        <v>351</v>
      </c>
      <c r="D44" s="6" t="s">
        <v>352</v>
      </c>
      <c r="E44" s="9" t="n">
        <v>50</v>
      </c>
      <c r="F44" s="9" t="n">
        <v>40</v>
      </c>
      <c r="G44" s="9" t="n">
        <v>30</v>
      </c>
      <c r="H44" s="6" t="str">
        <f aca="false">E44&amp;" × (L+1)^2.4 × 1.004^L  (see Building_Levels)"</f>
        <v>50 × (L+1)^2.4 × 1.004^L  (see Building_Levels)</v>
      </c>
      <c r="I44" s="6" t="s">
        <v>260</v>
      </c>
      <c r="J44" s="6" t="s">
        <v>261</v>
      </c>
      <c r="K44" s="6" t="s">
        <v>262</v>
      </c>
    </row>
    <row r="45" customFormat="false" ht="15" hidden="false" customHeight="true" outlineLevel="0" collapsed="false">
      <c r="A45" s="6" t="n">
        <v>1</v>
      </c>
      <c r="B45" s="6" t="s">
        <v>353</v>
      </c>
      <c r="C45" s="6" t="s">
        <v>351</v>
      </c>
      <c r="D45" s="6" t="s">
        <v>354</v>
      </c>
      <c r="E45" s="9" t="n">
        <v>55</v>
      </c>
      <c r="F45" s="9" t="n">
        <v>45</v>
      </c>
      <c r="G45" s="9" t="n">
        <v>32</v>
      </c>
      <c r="H45" s="6" t="str">
        <f aca="false">E45&amp;" × (L+1)^2.4 × 1.004^L  (see Building_Levels)"</f>
        <v>55 × (L+1)^2.4 × 1.004^L  (see Building_Levels)</v>
      </c>
      <c r="I45" s="6" t="s">
        <v>260</v>
      </c>
      <c r="J45" s="6" t="s">
        <v>261</v>
      </c>
      <c r="K45" s="6" t="s">
        <v>262</v>
      </c>
    </row>
    <row r="46" customFormat="false" ht="15" hidden="false" customHeight="true" outlineLevel="0" collapsed="false">
      <c r="A46" s="6" t="n">
        <v>1</v>
      </c>
      <c r="B46" s="6" t="s">
        <v>355</v>
      </c>
      <c r="C46" s="6" t="s">
        <v>356</v>
      </c>
      <c r="D46" s="6" t="s">
        <v>357</v>
      </c>
      <c r="E46" s="9" t="n">
        <v>48</v>
      </c>
      <c r="F46" s="9" t="n">
        <v>40</v>
      </c>
      <c r="G46" s="9" t="n">
        <v>30</v>
      </c>
      <c r="H46" s="6" t="str">
        <f aca="false">E46&amp;" × (L+1)^2.4 × 1.004^L  (see Building_Levels)"</f>
        <v>48 × (L+1)^2.4 × 1.004^L  (see Building_Levels)</v>
      </c>
      <c r="I46" s="6" t="s">
        <v>260</v>
      </c>
      <c r="J46" s="6" t="s">
        <v>261</v>
      </c>
      <c r="K46" s="6" t="s">
        <v>262</v>
      </c>
    </row>
    <row r="47" customFormat="false" ht="15" hidden="false" customHeight="true" outlineLevel="0" collapsed="false">
      <c r="A47" s="6" t="n">
        <v>1</v>
      </c>
      <c r="B47" s="6" t="s">
        <v>358</v>
      </c>
      <c r="C47" s="6" t="s">
        <v>356</v>
      </c>
      <c r="D47" s="6" t="s">
        <v>359</v>
      </c>
      <c r="E47" s="9" t="n">
        <v>60</v>
      </c>
      <c r="F47" s="9" t="n">
        <v>70</v>
      </c>
      <c r="G47" s="9" t="n">
        <v>45</v>
      </c>
      <c r="H47" s="6" t="str">
        <f aca="false">E47&amp;" × (L+1)^2.4 × 1.004^L  (see Building_Levels)"</f>
        <v>60 × (L+1)^2.4 × 1.004^L  (see Building_Levels)</v>
      </c>
      <c r="I47" s="6" t="s">
        <v>260</v>
      </c>
      <c r="J47" s="6" t="s">
        <v>261</v>
      </c>
      <c r="K47" s="6" t="s">
        <v>262</v>
      </c>
    </row>
    <row r="48" customFormat="false" ht="15" hidden="false" customHeight="true" outlineLevel="0" collapsed="false">
      <c r="A48" s="6" t="n">
        <v>1</v>
      </c>
      <c r="B48" s="6" t="s">
        <v>360</v>
      </c>
      <c r="C48" s="6" t="s">
        <v>356</v>
      </c>
      <c r="D48" s="6" t="s">
        <v>361</v>
      </c>
      <c r="E48" s="9" t="n">
        <v>35</v>
      </c>
      <c r="F48" s="9" t="n">
        <v>30</v>
      </c>
      <c r="G48" s="9" t="n">
        <v>20</v>
      </c>
      <c r="H48" s="6" t="str">
        <f aca="false">E48&amp;" × (L+1)^2.4 × 1.004^L  (see Building_Levels)"</f>
        <v>35 × (L+1)^2.4 × 1.004^L  (see Building_Levels)</v>
      </c>
      <c r="I48" s="6" t="s">
        <v>260</v>
      </c>
      <c r="J48" s="6" t="s">
        <v>261</v>
      </c>
      <c r="K48" s="6" t="s">
        <v>262</v>
      </c>
    </row>
    <row r="49" customFormat="false" ht="15" hidden="false" customHeight="true" outlineLevel="0" collapsed="false">
      <c r="A49" s="6" t="n">
        <v>1</v>
      </c>
      <c r="B49" s="6" t="s">
        <v>362</v>
      </c>
      <c r="C49" s="6" t="s">
        <v>356</v>
      </c>
      <c r="D49" s="6" t="s">
        <v>363</v>
      </c>
      <c r="E49" s="9" t="n">
        <v>30</v>
      </c>
      <c r="F49" s="9" t="n">
        <v>25</v>
      </c>
      <c r="G49" s="9" t="n">
        <v>15</v>
      </c>
      <c r="H49" s="6" t="str">
        <f aca="false">E49&amp;" × (L+1)^2.4 × 1.004^L  (see Building_Levels)"</f>
        <v>30 × (L+1)^2.4 × 1.004^L  (see Building_Levels)</v>
      </c>
      <c r="I49" s="6" t="s">
        <v>260</v>
      </c>
      <c r="J49" s="6" t="s">
        <v>261</v>
      </c>
      <c r="K49" s="6" t="s">
        <v>262</v>
      </c>
    </row>
    <row r="50" customFormat="false" ht="15" hidden="false" customHeight="true" outlineLevel="0" collapsed="false">
      <c r="A50" s="6" t="n">
        <v>1</v>
      </c>
      <c r="B50" s="6" t="s">
        <v>364</v>
      </c>
      <c r="C50" s="6" t="s">
        <v>356</v>
      </c>
      <c r="D50" s="6" t="s">
        <v>365</v>
      </c>
      <c r="E50" s="9" t="n">
        <v>32</v>
      </c>
      <c r="F50" s="9" t="n">
        <v>26</v>
      </c>
      <c r="G50" s="9" t="n">
        <v>16</v>
      </c>
      <c r="H50" s="6" t="str">
        <f aca="false">E50&amp;" × (L+1)^2.4 × 1.004^L  (see Building_Levels)"</f>
        <v>32 × (L+1)^2.4 × 1.004^L  (see Building_Levels)</v>
      </c>
      <c r="I50" s="6" t="s">
        <v>260</v>
      </c>
      <c r="J50" s="6" t="s">
        <v>261</v>
      </c>
      <c r="K50" s="6" t="s">
        <v>262</v>
      </c>
    </row>
    <row r="51" customFormat="false" ht="15" hidden="false" customHeight="true" outlineLevel="0" collapsed="false">
      <c r="A51" s="6" t="n">
        <v>1</v>
      </c>
      <c r="B51" s="6" t="s">
        <v>366</v>
      </c>
      <c r="C51" s="6" t="s">
        <v>356</v>
      </c>
      <c r="D51" s="6" t="s">
        <v>367</v>
      </c>
      <c r="E51" s="9" t="n">
        <v>58</v>
      </c>
      <c r="F51" s="9" t="n">
        <v>52</v>
      </c>
      <c r="G51" s="9" t="n">
        <v>34</v>
      </c>
      <c r="H51" s="6" t="str">
        <f aca="false">E51&amp;" × (L+1)^2.4 × 1.004^L  (see Building_Levels)"</f>
        <v>58 × (L+1)^2.4 × 1.004^L  (see Building_Levels)</v>
      </c>
      <c r="I51" s="6" t="s">
        <v>260</v>
      </c>
      <c r="J51" s="6" t="s">
        <v>261</v>
      </c>
      <c r="K51" s="6" t="s">
        <v>262</v>
      </c>
    </row>
    <row r="52" customFormat="false" ht="15" hidden="false" customHeight="true" outlineLevel="0" collapsed="false">
      <c r="A52" s="6" t="n">
        <v>1</v>
      </c>
      <c r="B52" s="6" t="s">
        <v>368</v>
      </c>
      <c r="C52" s="6" t="s">
        <v>356</v>
      </c>
      <c r="D52" s="6" t="s">
        <v>369</v>
      </c>
      <c r="E52" s="9" t="n">
        <v>44</v>
      </c>
      <c r="F52" s="9" t="n">
        <v>40</v>
      </c>
      <c r="G52" s="9" t="n">
        <v>30</v>
      </c>
      <c r="H52" s="6" t="str">
        <f aca="false">E52&amp;" × (L+1)^2.4 × 1.004^L  (see Building_Levels)"</f>
        <v>44 × (L+1)^2.4 × 1.004^L  (see Building_Levels)</v>
      </c>
      <c r="I52" s="6" t="s">
        <v>260</v>
      </c>
      <c r="J52" s="6" t="s">
        <v>261</v>
      </c>
      <c r="K52" s="6" t="s">
        <v>262</v>
      </c>
    </row>
    <row r="53" customFormat="false" ht="15" hidden="false" customHeight="true" outlineLevel="0" collapsed="false">
      <c r="A53" s="6" t="n">
        <v>1</v>
      </c>
      <c r="B53" s="6" t="s">
        <v>370</v>
      </c>
      <c r="C53" s="6" t="s">
        <v>371</v>
      </c>
      <c r="D53" s="6" t="s">
        <v>372</v>
      </c>
      <c r="E53" s="9" t="n">
        <v>40</v>
      </c>
      <c r="F53" s="9" t="n">
        <v>32</v>
      </c>
      <c r="G53" s="9" t="n">
        <v>24</v>
      </c>
      <c r="H53" s="6" t="str">
        <f aca="false">E53&amp;" × (L+1)^2.4 × 1.004^L  (see Building_Levels)"</f>
        <v>40 × (L+1)^2.4 × 1.004^L  (see Building_Levels)</v>
      </c>
      <c r="I53" s="6" t="s">
        <v>260</v>
      </c>
      <c r="J53" s="6" t="s">
        <v>261</v>
      </c>
      <c r="K53" s="6" t="s">
        <v>262</v>
      </c>
    </row>
    <row r="54" customFormat="false" ht="15" hidden="false" customHeight="true" outlineLevel="0" collapsed="false">
      <c r="A54" s="6" t="n">
        <v>1</v>
      </c>
      <c r="B54" s="6" t="s">
        <v>373</v>
      </c>
      <c r="C54" s="6" t="s">
        <v>371</v>
      </c>
      <c r="D54" s="6" t="s">
        <v>374</v>
      </c>
      <c r="E54" s="9" t="n">
        <v>50</v>
      </c>
      <c r="F54" s="9" t="n">
        <v>44</v>
      </c>
      <c r="G54" s="9" t="n">
        <v>36</v>
      </c>
      <c r="H54" s="6" t="str">
        <f aca="false">E54&amp;" × (L+1)^2.4 × 1.004^L  (see Building_Levels)"</f>
        <v>50 × (L+1)^2.4 × 1.004^L  (see Building_Levels)</v>
      </c>
      <c r="I54" s="6" t="s">
        <v>260</v>
      </c>
      <c r="J54" s="6" t="s">
        <v>261</v>
      </c>
      <c r="K54" s="6" t="s">
        <v>262</v>
      </c>
    </row>
    <row r="55" customFormat="false" ht="15" hidden="false" customHeight="true" outlineLevel="0" collapsed="false">
      <c r="A55" s="6" t="n">
        <v>1</v>
      </c>
      <c r="B55" s="6" t="s">
        <v>375</v>
      </c>
      <c r="C55" s="6" t="s">
        <v>371</v>
      </c>
      <c r="D55" s="6" t="s">
        <v>376</v>
      </c>
      <c r="E55" s="9" t="n">
        <v>42</v>
      </c>
      <c r="F55" s="9" t="n">
        <v>36</v>
      </c>
      <c r="G55" s="9" t="n">
        <v>28</v>
      </c>
      <c r="H55" s="6" t="str">
        <f aca="false">E55&amp;" × (L+1)^2.4 × 1.004^L  (see Building_Levels)"</f>
        <v>42 × (L+1)^2.4 × 1.004^L  (see Building_Levels)</v>
      </c>
      <c r="I55" s="6" t="s">
        <v>260</v>
      </c>
      <c r="J55" s="6" t="s">
        <v>261</v>
      </c>
      <c r="K55" s="6" t="s">
        <v>262</v>
      </c>
    </row>
    <row r="56" customFormat="false" ht="15" hidden="false" customHeight="true" outlineLevel="0" collapsed="false">
      <c r="A56" s="6" t="n">
        <v>1</v>
      </c>
      <c r="B56" s="6" t="s">
        <v>377</v>
      </c>
      <c r="C56" s="6" t="s">
        <v>371</v>
      </c>
      <c r="D56" s="6" t="s">
        <v>378</v>
      </c>
      <c r="E56" s="9" t="n">
        <v>38</v>
      </c>
      <c r="F56" s="9" t="n">
        <v>34</v>
      </c>
      <c r="G56" s="9" t="n">
        <v>26</v>
      </c>
      <c r="H56" s="6" t="str">
        <f aca="false">E56&amp;" × (L+1)^2.4 × 1.004^L  (see Building_Levels)"</f>
        <v>38 × (L+1)^2.4 × 1.004^L  (see Building_Levels)</v>
      </c>
      <c r="I56" s="6" t="s">
        <v>260</v>
      </c>
      <c r="J56" s="6" t="s">
        <v>261</v>
      </c>
      <c r="K56" s="6" t="s">
        <v>262</v>
      </c>
    </row>
    <row r="57" customFormat="false" ht="15" hidden="false" customHeight="true" outlineLevel="0" collapsed="false">
      <c r="A57" s="6" t="n">
        <v>1</v>
      </c>
      <c r="B57" s="6" t="s">
        <v>379</v>
      </c>
      <c r="C57" s="6" t="s">
        <v>371</v>
      </c>
      <c r="D57" s="6" t="s">
        <v>380</v>
      </c>
      <c r="E57" s="9" t="n">
        <v>26</v>
      </c>
      <c r="F57" s="9" t="n">
        <v>30</v>
      </c>
      <c r="G57" s="9" t="n">
        <v>14</v>
      </c>
      <c r="H57" s="6" t="str">
        <f aca="false">E57&amp;" × (L+1)^2.4 × 1.004^L  (see Building_Levels)"</f>
        <v>26 × (L+1)^2.4 × 1.004^L  (see Building_Levels)</v>
      </c>
      <c r="I57" s="6" t="s">
        <v>260</v>
      </c>
      <c r="J57" s="6" t="s">
        <v>261</v>
      </c>
      <c r="K57" s="6" t="s">
        <v>262</v>
      </c>
    </row>
    <row r="58" customFormat="false" ht="15" hidden="false" customHeight="true" outlineLevel="0" collapsed="false">
      <c r="A58" s="6" t="n">
        <v>1</v>
      </c>
      <c r="B58" s="6" t="s">
        <v>381</v>
      </c>
      <c r="C58" s="6" t="s">
        <v>371</v>
      </c>
      <c r="D58" s="6" t="s">
        <v>382</v>
      </c>
      <c r="E58" s="9" t="n">
        <v>36</v>
      </c>
      <c r="F58" s="9" t="n">
        <v>26</v>
      </c>
      <c r="G58" s="9" t="n">
        <v>22</v>
      </c>
      <c r="H58" s="6" t="str">
        <f aca="false">E58&amp;" × (L+1)^2.4 × 1.004^L  (see Building_Levels)"</f>
        <v>36 × (L+1)^2.4 × 1.004^L  (see Building_Levels)</v>
      </c>
      <c r="I58" s="6" t="s">
        <v>260</v>
      </c>
      <c r="J58" s="6" t="s">
        <v>261</v>
      </c>
      <c r="K58" s="6" t="s">
        <v>262</v>
      </c>
    </row>
    <row r="59" customFormat="false" ht="15" hidden="false" customHeight="true" outlineLevel="0" collapsed="false">
      <c r="A59" s="6" t="n">
        <v>1</v>
      </c>
      <c r="B59" s="6" t="s">
        <v>383</v>
      </c>
      <c r="C59" s="6" t="s">
        <v>371</v>
      </c>
      <c r="D59" s="6" t="s">
        <v>384</v>
      </c>
      <c r="E59" s="9" t="n">
        <v>20</v>
      </c>
      <c r="F59" s="9" t="n">
        <v>14</v>
      </c>
      <c r="G59" s="9" t="n">
        <v>10</v>
      </c>
      <c r="H59" s="6" t="str">
        <f aca="false">E59&amp;" × (L+1)^2.4 × 1.004^L  (see Building_Levels)"</f>
        <v>20 × (L+1)^2.4 × 1.004^L  (see Building_Levels)</v>
      </c>
      <c r="I59" s="6" t="s">
        <v>260</v>
      </c>
      <c r="J59" s="6" t="s">
        <v>261</v>
      </c>
      <c r="K59" s="6" t="s">
        <v>262</v>
      </c>
    </row>
    <row r="60" customFormat="false" ht="15" hidden="false" customHeight="true" outlineLevel="0" collapsed="false">
      <c r="A60" s="6" t="n">
        <v>1</v>
      </c>
      <c r="B60" s="6" t="s">
        <v>385</v>
      </c>
      <c r="C60" s="6" t="s">
        <v>293</v>
      </c>
      <c r="D60" s="6" t="s">
        <v>386</v>
      </c>
      <c r="E60" s="9" t="n">
        <v>22</v>
      </c>
      <c r="F60" s="9" t="n">
        <v>14</v>
      </c>
      <c r="G60" s="9" t="n">
        <v>10</v>
      </c>
      <c r="H60" s="6" t="str">
        <f aca="false">E60&amp;" × (L+1)^2.4 × 1.004^L  (see Building_Levels)"</f>
        <v>22 × (L+1)^2.4 × 1.004^L  (see Building_Levels)</v>
      </c>
      <c r="I60" s="6" t="s">
        <v>260</v>
      </c>
      <c r="J60" s="6" t="s">
        <v>261</v>
      </c>
      <c r="K60" s="6" t="s">
        <v>262</v>
      </c>
    </row>
    <row r="61" customFormat="false" ht="15" hidden="false" customHeight="true" outlineLevel="0" collapsed="false">
      <c r="A61" s="6" t="n">
        <v>1</v>
      </c>
      <c r="B61" s="6" t="s">
        <v>387</v>
      </c>
      <c r="C61" s="6" t="s">
        <v>356</v>
      </c>
      <c r="D61" s="6" t="s">
        <v>388</v>
      </c>
      <c r="E61" s="9" t="n">
        <v>28</v>
      </c>
      <c r="F61" s="9" t="n">
        <v>24</v>
      </c>
      <c r="G61" s="9" t="n">
        <v>14</v>
      </c>
      <c r="H61" s="6" t="str">
        <f aca="false">E61&amp;" × (L+1)^2.4 × 1.004^L  (see Building_Levels)"</f>
        <v>28 × (L+1)^2.4 × 1.004^L  (see Building_Levels)</v>
      </c>
      <c r="I61" s="6" t="s">
        <v>260</v>
      </c>
      <c r="J61" s="6" t="s">
        <v>261</v>
      </c>
      <c r="K61" s="6" t="s">
        <v>262</v>
      </c>
    </row>
    <row r="62" customFormat="false" ht="15" hidden="false" customHeight="true" outlineLevel="0" collapsed="false">
      <c r="A62" s="6" t="n">
        <v>1</v>
      </c>
      <c r="B62" s="6" t="s">
        <v>389</v>
      </c>
      <c r="C62" s="6" t="s">
        <v>293</v>
      </c>
      <c r="D62" s="6" t="s">
        <v>390</v>
      </c>
      <c r="E62" s="9" t="n">
        <v>30</v>
      </c>
      <c r="F62" s="9" t="n">
        <v>20</v>
      </c>
      <c r="G62" s="9" t="n">
        <v>18</v>
      </c>
      <c r="H62" s="6" t="str">
        <f aca="false">E62&amp;" × (L+1)^2.4 × 1.004^L  (see Building_Levels)"</f>
        <v>30 × (L+1)^2.4 × 1.004^L  (see Building_Levels)</v>
      </c>
      <c r="I62" s="6" t="s">
        <v>260</v>
      </c>
      <c r="J62" s="6" t="s">
        <v>261</v>
      </c>
      <c r="K62" s="6" t="s">
        <v>262</v>
      </c>
    </row>
    <row r="63" customFormat="false" ht="15" hidden="false" customHeight="true" outlineLevel="0" collapsed="false">
      <c r="A63" s="6" t="n">
        <v>1</v>
      </c>
      <c r="B63" s="6" t="s">
        <v>391</v>
      </c>
      <c r="C63" s="6" t="s">
        <v>293</v>
      </c>
      <c r="D63" s="6" t="s">
        <v>392</v>
      </c>
      <c r="E63" s="9" t="n">
        <v>34</v>
      </c>
      <c r="F63" s="9" t="n">
        <v>24</v>
      </c>
      <c r="G63" s="9" t="n">
        <v>20</v>
      </c>
      <c r="H63" s="6" t="str">
        <f aca="false">E63&amp;" × (L+1)^2.4 × 1.004^L  (see Building_Levels)"</f>
        <v>34 × (L+1)^2.4 × 1.004^L  (see Building_Levels)</v>
      </c>
      <c r="I63" s="6" t="s">
        <v>260</v>
      </c>
      <c r="J63" s="6" t="s">
        <v>261</v>
      </c>
      <c r="K63" s="6" t="s">
        <v>262</v>
      </c>
    </row>
    <row r="64" customFormat="false" ht="15" hidden="false" customHeight="true" outlineLevel="0" collapsed="false">
      <c r="A64" s="6" t="n">
        <v>1</v>
      </c>
      <c r="B64" s="6" t="s">
        <v>393</v>
      </c>
      <c r="C64" s="6" t="s">
        <v>23</v>
      </c>
      <c r="D64" s="6" t="s">
        <v>394</v>
      </c>
      <c r="E64" s="9" t="n">
        <v>55</v>
      </c>
      <c r="F64" s="9" t="n">
        <v>45</v>
      </c>
      <c r="G64" s="9" t="n">
        <v>50</v>
      </c>
      <c r="H64" s="6" t="str">
        <f aca="false">E64&amp;" × (L+1)^2.4 × 1.004^L  (see Building_Levels)"</f>
        <v>55 × (L+1)^2.4 × 1.004^L  (see Building_Levels)</v>
      </c>
      <c r="I64" s="6" t="s">
        <v>260</v>
      </c>
      <c r="J64" s="6" t="s">
        <v>261</v>
      </c>
      <c r="K64" s="6" t="s">
        <v>262</v>
      </c>
    </row>
    <row r="65" customFormat="false" ht="15" hidden="false" customHeight="true" outlineLevel="0" collapsed="false">
      <c r="A65" s="6" t="n">
        <v>1</v>
      </c>
      <c r="B65" s="6" t="s">
        <v>395</v>
      </c>
      <c r="C65" s="6" t="s">
        <v>23</v>
      </c>
      <c r="D65" s="6" t="s">
        <v>396</v>
      </c>
      <c r="E65" s="9" t="n">
        <v>60</v>
      </c>
      <c r="F65" s="9" t="n">
        <v>55</v>
      </c>
      <c r="G65" s="9" t="n">
        <v>60</v>
      </c>
      <c r="H65" s="6" t="str">
        <f aca="false">E65&amp;" × (L+1)^2.4 × 1.004^L  (see Building_Levels)"</f>
        <v>60 × (L+1)^2.4 × 1.004^L  (see Building_Levels)</v>
      </c>
      <c r="I65" s="6" t="s">
        <v>260</v>
      </c>
      <c r="J65" s="6" t="s">
        <v>261</v>
      </c>
      <c r="K65" s="6" t="s">
        <v>262</v>
      </c>
    </row>
    <row r="66" customFormat="false" ht="15" hidden="false" customHeight="true" outlineLevel="0" collapsed="false">
      <c r="A66" s="6" t="n">
        <v>1</v>
      </c>
      <c r="B66" s="6" t="s">
        <v>397</v>
      </c>
      <c r="C66" s="6" t="s">
        <v>23</v>
      </c>
      <c r="D66" s="6" t="s">
        <v>398</v>
      </c>
      <c r="E66" s="9" t="n">
        <v>40</v>
      </c>
      <c r="F66" s="9" t="n">
        <v>30</v>
      </c>
      <c r="G66" s="9" t="n">
        <v>35</v>
      </c>
      <c r="H66" s="6" t="str">
        <f aca="false">E66&amp;" × (L+1)^2.4 × 1.004^L  (see Building_Levels)"</f>
        <v>40 × (L+1)^2.4 × 1.004^L  (see Building_Levels)</v>
      </c>
      <c r="I66" s="6" t="s">
        <v>260</v>
      </c>
      <c r="J66" s="6" t="s">
        <v>261</v>
      </c>
      <c r="K66" s="6" t="s">
        <v>262</v>
      </c>
    </row>
    <row r="67" customFormat="false" ht="15" hidden="false" customHeight="true" outlineLevel="0" collapsed="false">
      <c r="A67" s="6" t="n">
        <v>1</v>
      </c>
      <c r="B67" s="6" t="s">
        <v>399</v>
      </c>
      <c r="C67" s="6" t="s">
        <v>312</v>
      </c>
      <c r="D67" s="6" t="s">
        <v>400</v>
      </c>
      <c r="E67" s="9" t="n">
        <v>66</v>
      </c>
      <c r="F67" s="9" t="n">
        <v>56</v>
      </c>
      <c r="G67" s="9" t="n">
        <v>44</v>
      </c>
      <c r="H67" s="6" t="str">
        <f aca="false">E67&amp;" × (L+1)^2.4 × 1.004^L  (see Building_Levels)"</f>
        <v>66 × (L+1)^2.4 × 1.004^L  (see Building_Levels)</v>
      </c>
      <c r="I67" s="6" t="s">
        <v>260</v>
      </c>
      <c r="J67" s="6" t="s">
        <v>261</v>
      </c>
      <c r="K67" s="6" t="s">
        <v>262</v>
      </c>
    </row>
    <row r="68" customFormat="false" ht="15" hidden="false" customHeight="true" outlineLevel="0" collapsed="false">
      <c r="A68" s="6" t="n">
        <v>1</v>
      </c>
      <c r="B68" s="6" t="s">
        <v>401</v>
      </c>
      <c r="C68" s="6" t="s">
        <v>23</v>
      </c>
      <c r="D68" s="6" t="s">
        <v>402</v>
      </c>
      <c r="E68" s="9" t="n">
        <v>52</v>
      </c>
      <c r="F68" s="9" t="n">
        <v>42</v>
      </c>
      <c r="G68" s="9" t="n">
        <v>46</v>
      </c>
      <c r="H68" s="6" t="str">
        <f aca="false">E68&amp;" × (L+1)^2.4 × 1.004^L  (see Building_Levels)"</f>
        <v>52 × (L+1)^2.4 × 1.004^L  (see Building_Levels)</v>
      </c>
      <c r="I68" s="6" t="s">
        <v>260</v>
      </c>
      <c r="J68" s="6" t="s">
        <v>261</v>
      </c>
      <c r="K68" s="6" t="s">
        <v>262</v>
      </c>
    </row>
    <row r="69" customFormat="false" ht="15" hidden="false" customHeight="true" outlineLevel="0" collapsed="false">
      <c r="A69" s="6" t="n">
        <v>1</v>
      </c>
      <c r="B69" s="6" t="s">
        <v>403</v>
      </c>
      <c r="C69" s="6" t="s">
        <v>23</v>
      </c>
      <c r="D69" s="6" t="s">
        <v>404</v>
      </c>
      <c r="E69" s="9" t="n">
        <v>58</v>
      </c>
      <c r="F69" s="9" t="n">
        <v>50</v>
      </c>
      <c r="G69" s="9" t="n">
        <v>52</v>
      </c>
      <c r="H69" s="6" t="str">
        <f aca="false">E69&amp;" × (L+1)^2.4 × 1.004^L  (see Building_Levels)"</f>
        <v>58 × (L+1)^2.4 × 1.004^L  (see Building_Levels)</v>
      </c>
      <c r="I69" s="6" t="s">
        <v>260</v>
      </c>
      <c r="J69" s="6" t="s">
        <v>261</v>
      </c>
      <c r="K69" s="6" t="s">
        <v>262</v>
      </c>
    </row>
    <row r="70" customFormat="false" ht="15" hidden="false" customHeight="true" outlineLevel="0" collapsed="false">
      <c r="A70" s="6" t="n">
        <v>1</v>
      </c>
      <c r="B70" s="6" t="s">
        <v>405</v>
      </c>
      <c r="C70" s="6" t="s">
        <v>333</v>
      </c>
      <c r="D70" s="6" t="s">
        <v>406</v>
      </c>
      <c r="E70" s="9" t="n">
        <v>24</v>
      </c>
      <c r="F70" s="9" t="n">
        <v>16</v>
      </c>
      <c r="G70" s="9" t="n">
        <v>12</v>
      </c>
      <c r="H70" s="6" t="str">
        <f aca="false">E70&amp;" × (L+1)^2.4 × 1.004^L  (see Building_Levels)"</f>
        <v>24 × (L+1)^2.4 × 1.004^L  (see Building_Levels)</v>
      </c>
      <c r="I70" s="6" t="s">
        <v>260</v>
      </c>
      <c r="J70" s="6" t="s">
        <v>261</v>
      </c>
      <c r="K70" s="6" t="s">
        <v>262</v>
      </c>
    </row>
    <row r="71" customFormat="false" ht="15" hidden="false" customHeight="true" outlineLevel="0" collapsed="false">
      <c r="A71" s="6" t="n">
        <v>2</v>
      </c>
      <c r="B71" s="6" t="s">
        <v>407</v>
      </c>
      <c r="C71" s="6" t="s">
        <v>258</v>
      </c>
      <c r="D71" s="6" t="s">
        <v>408</v>
      </c>
      <c r="E71" s="9" t="n">
        <v>120</v>
      </c>
      <c r="F71" s="9" t="n">
        <v>140</v>
      </c>
      <c r="G71" s="9" t="n">
        <v>100</v>
      </c>
      <c r="H71" s="6" t="str">
        <f aca="false">E71&amp;" × (L+1)^2.4 × 1.004^L  (see Building_Levels)"</f>
        <v>120 × (L+1)^2.4 × 1.004^L  (see Building_Levels)</v>
      </c>
      <c r="I71" s="6" t="s">
        <v>260</v>
      </c>
      <c r="J71" s="6" t="s">
        <v>261</v>
      </c>
      <c r="K71" s="6" t="s">
        <v>262</v>
      </c>
    </row>
    <row r="72" customFormat="false" ht="15" hidden="false" customHeight="true" outlineLevel="0" collapsed="false">
      <c r="A72" s="6" t="n">
        <v>2</v>
      </c>
      <c r="B72" s="6" t="s">
        <v>409</v>
      </c>
      <c r="C72" s="6" t="s">
        <v>264</v>
      </c>
      <c r="D72" s="6" t="s">
        <v>410</v>
      </c>
      <c r="E72" s="9" t="n">
        <v>70</v>
      </c>
      <c r="F72" s="9" t="n">
        <v>90</v>
      </c>
      <c r="G72" s="9" t="n">
        <v>50</v>
      </c>
      <c r="H72" s="6" t="str">
        <f aca="false">E72&amp;" × (L+1)^2.4 × 1.004^L  (see Building_Levels)"</f>
        <v>70 × (L+1)^2.4 × 1.004^L  (see Building_Levels)</v>
      </c>
      <c r="I72" s="6" t="s">
        <v>260</v>
      </c>
      <c r="J72" s="6" t="s">
        <v>261</v>
      </c>
      <c r="K72" s="6" t="s">
        <v>262</v>
      </c>
    </row>
    <row r="73" customFormat="false" ht="15" hidden="false" customHeight="true" outlineLevel="0" collapsed="false">
      <c r="A73" s="6" t="n">
        <v>2</v>
      </c>
      <c r="B73" s="6" t="s">
        <v>411</v>
      </c>
      <c r="C73" s="6" t="s">
        <v>264</v>
      </c>
      <c r="D73" s="6" t="s">
        <v>412</v>
      </c>
      <c r="E73" s="9" t="n">
        <v>65</v>
      </c>
      <c r="F73" s="9" t="n">
        <v>60</v>
      </c>
      <c r="G73" s="9" t="n">
        <v>40</v>
      </c>
      <c r="H73" s="6" t="str">
        <f aca="false">E73&amp;" × (L+1)^2.4 × 1.004^L  (see Building_Levels)"</f>
        <v>65 × (L+1)^2.4 × 1.004^L  (see Building_Levels)</v>
      </c>
      <c r="I73" s="6" t="s">
        <v>260</v>
      </c>
      <c r="J73" s="6" t="s">
        <v>261</v>
      </c>
      <c r="K73" s="6" t="s">
        <v>262</v>
      </c>
    </row>
    <row r="74" customFormat="false" ht="15" hidden="false" customHeight="true" outlineLevel="0" collapsed="false">
      <c r="A74" s="6" t="n">
        <v>2</v>
      </c>
      <c r="B74" s="6" t="s">
        <v>413</v>
      </c>
      <c r="C74" s="6" t="s">
        <v>264</v>
      </c>
      <c r="D74" s="6" t="s">
        <v>414</v>
      </c>
      <c r="E74" s="9" t="n">
        <v>60</v>
      </c>
      <c r="F74" s="9" t="n">
        <v>50</v>
      </c>
      <c r="G74" s="9" t="n">
        <v>35</v>
      </c>
      <c r="H74" s="6" t="str">
        <f aca="false">E74&amp;" × (L+1)^2.4 × 1.004^L  (see Building_Levels)"</f>
        <v>60 × (L+1)^2.4 × 1.004^L  (see Building_Levels)</v>
      </c>
      <c r="I74" s="6" t="s">
        <v>260</v>
      </c>
      <c r="J74" s="6" t="s">
        <v>261</v>
      </c>
      <c r="K74" s="6" t="s">
        <v>262</v>
      </c>
    </row>
    <row r="75" customFormat="false" ht="15" hidden="false" customHeight="true" outlineLevel="0" collapsed="false">
      <c r="A75" s="6" t="n">
        <v>2</v>
      </c>
      <c r="B75" s="6" t="s">
        <v>415</v>
      </c>
      <c r="C75" s="6" t="s">
        <v>264</v>
      </c>
      <c r="D75" s="6" t="s">
        <v>416</v>
      </c>
      <c r="E75" s="9" t="n">
        <v>80</v>
      </c>
      <c r="F75" s="9" t="n">
        <v>95</v>
      </c>
      <c r="G75" s="9" t="n">
        <v>60</v>
      </c>
      <c r="H75" s="6" t="str">
        <f aca="false">E75&amp;" × (L+1)^2.4 × 1.004^L  (see Building_Levels)"</f>
        <v>80 × (L+1)^2.4 × 1.004^L  (see Building_Levels)</v>
      </c>
      <c r="I75" s="6" t="s">
        <v>260</v>
      </c>
      <c r="J75" s="6" t="s">
        <v>261</v>
      </c>
      <c r="K75" s="6" t="s">
        <v>262</v>
      </c>
    </row>
    <row r="76" customFormat="false" ht="15" hidden="false" customHeight="true" outlineLevel="0" collapsed="false">
      <c r="A76" s="6" t="n">
        <v>2</v>
      </c>
      <c r="B76" s="6" t="s">
        <v>417</v>
      </c>
      <c r="C76" s="6" t="s">
        <v>264</v>
      </c>
      <c r="D76" s="6" t="s">
        <v>418</v>
      </c>
      <c r="E76" s="9" t="n">
        <v>55</v>
      </c>
      <c r="F76" s="9" t="n">
        <v>50</v>
      </c>
      <c r="G76" s="9" t="n">
        <v>38</v>
      </c>
      <c r="H76" s="6" t="str">
        <f aca="false">E76&amp;" × (L+1)^2.4 × 1.004^L  (see Building_Levels)"</f>
        <v>55 × (L+1)^2.4 × 1.004^L  (see Building_Levels)</v>
      </c>
      <c r="I76" s="6" t="s">
        <v>260</v>
      </c>
      <c r="J76" s="6" t="s">
        <v>261</v>
      </c>
      <c r="K76" s="6" t="s">
        <v>262</v>
      </c>
    </row>
    <row r="77" customFormat="false" ht="15" hidden="false" customHeight="true" outlineLevel="0" collapsed="false">
      <c r="A77" s="6" t="n">
        <v>2</v>
      </c>
      <c r="B77" s="6" t="s">
        <v>419</v>
      </c>
      <c r="C77" s="6" t="s">
        <v>264</v>
      </c>
      <c r="D77" s="6" t="s">
        <v>420</v>
      </c>
      <c r="E77" s="9" t="n">
        <v>58</v>
      </c>
      <c r="F77" s="9" t="n">
        <v>44</v>
      </c>
      <c r="G77" s="9" t="n">
        <v>36</v>
      </c>
      <c r="H77" s="6" t="str">
        <f aca="false">E77&amp;" × (L+1)^2.4 × 1.004^L  (see Building_Levels)"</f>
        <v>58 × (L+1)^2.4 × 1.004^L  (see Building_Levels)</v>
      </c>
      <c r="I77" s="6" t="s">
        <v>260</v>
      </c>
      <c r="J77" s="6" t="s">
        <v>261</v>
      </c>
      <c r="K77" s="6" t="s">
        <v>262</v>
      </c>
    </row>
    <row r="78" customFormat="false" ht="15" hidden="false" customHeight="true" outlineLevel="0" collapsed="false">
      <c r="A78" s="6" t="n">
        <v>2</v>
      </c>
      <c r="B78" s="6" t="s">
        <v>421</v>
      </c>
      <c r="C78" s="6" t="s">
        <v>264</v>
      </c>
      <c r="D78" s="6" t="s">
        <v>422</v>
      </c>
      <c r="E78" s="9" t="n">
        <v>50</v>
      </c>
      <c r="F78" s="9" t="n">
        <v>38</v>
      </c>
      <c r="G78" s="9" t="n">
        <v>30</v>
      </c>
      <c r="H78" s="6" t="str">
        <f aca="false">E78&amp;" × (L+1)^2.4 × 1.004^L  (see Building_Levels)"</f>
        <v>50 × (L+1)^2.4 × 1.004^L  (see Building_Levels)</v>
      </c>
      <c r="I78" s="6" t="s">
        <v>260</v>
      </c>
      <c r="J78" s="6" t="s">
        <v>261</v>
      </c>
      <c r="K78" s="6" t="s">
        <v>262</v>
      </c>
    </row>
    <row r="79" customFormat="false" ht="15" hidden="false" customHeight="true" outlineLevel="0" collapsed="false">
      <c r="A79" s="6" t="n">
        <v>2</v>
      </c>
      <c r="B79" s="6" t="s">
        <v>423</v>
      </c>
      <c r="C79" s="6" t="s">
        <v>264</v>
      </c>
      <c r="D79" s="6" t="s">
        <v>424</v>
      </c>
      <c r="E79" s="9" t="n">
        <v>48</v>
      </c>
      <c r="F79" s="9" t="n">
        <v>36</v>
      </c>
      <c r="G79" s="9" t="n">
        <v>28</v>
      </c>
      <c r="H79" s="6" t="str">
        <f aca="false">E79&amp;" × (L+1)^2.4 × 1.004^L  (see Building_Levels)"</f>
        <v>48 × (L+1)^2.4 × 1.004^L  (see Building_Levels)</v>
      </c>
      <c r="I79" s="6" t="s">
        <v>260</v>
      </c>
      <c r="J79" s="6" t="s">
        <v>261</v>
      </c>
      <c r="K79" s="6" t="s">
        <v>262</v>
      </c>
    </row>
    <row r="80" customFormat="false" ht="15" hidden="false" customHeight="true" outlineLevel="0" collapsed="false">
      <c r="A80" s="6" t="n">
        <v>2</v>
      </c>
      <c r="B80" s="6" t="s">
        <v>425</v>
      </c>
      <c r="C80" s="6" t="s">
        <v>293</v>
      </c>
      <c r="D80" s="6" t="s">
        <v>426</v>
      </c>
      <c r="E80" s="9" t="n">
        <v>66</v>
      </c>
      <c r="F80" s="9" t="n">
        <v>70</v>
      </c>
      <c r="G80" s="9" t="n">
        <v>44</v>
      </c>
      <c r="H80" s="6" t="str">
        <f aca="false">E80&amp;" × (L+1)^2.4 × 1.004^L  (see Building_Levels)"</f>
        <v>66 × (L+1)^2.4 × 1.004^L  (see Building_Levels)</v>
      </c>
      <c r="I80" s="6" t="s">
        <v>260</v>
      </c>
      <c r="J80" s="6" t="s">
        <v>261</v>
      </c>
      <c r="K80" s="6" t="s">
        <v>262</v>
      </c>
    </row>
    <row r="81" customFormat="false" ht="15" hidden="false" customHeight="true" outlineLevel="0" collapsed="false">
      <c r="A81" s="6" t="n">
        <v>2</v>
      </c>
      <c r="B81" s="6" t="s">
        <v>427</v>
      </c>
      <c r="C81" s="6" t="s">
        <v>293</v>
      </c>
      <c r="D81" s="6" t="s">
        <v>428</v>
      </c>
      <c r="E81" s="9" t="n">
        <v>75</v>
      </c>
      <c r="F81" s="9" t="n">
        <v>85</v>
      </c>
      <c r="G81" s="9" t="n">
        <v>55</v>
      </c>
      <c r="H81" s="6" t="str">
        <f aca="false">E81&amp;" × (L+1)^2.4 × 1.004^L  (see Building_Levels)"</f>
        <v>75 × (L+1)^2.4 × 1.004^L  (see Building_Levels)</v>
      </c>
      <c r="I81" s="6" t="s">
        <v>260</v>
      </c>
      <c r="J81" s="6" t="s">
        <v>261</v>
      </c>
      <c r="K81" s="6" t="s">
        <v>262</v>
      </c>
    </row>
    <row r="82" customFormat="false" ht="15" hidden="false" customHeight="true" outlineLevel="0" collapsed="false">
      <c r="A82" s="6" t="n">
        <v>2</v>
      </c>
      <c r="B82" s="6" t="s">
        <v>429</v>
      </c>
      <c r="C82" s="6" t="s">
        <v>293</v>
      </c>
      <c r="D82" s="6" t="s">
        <v>430</v>
      </c>
      <c r="E82" s="9" t="n">
        <v>60</v>
      </c>
      <c r="F82" s="9" t="n">
        <v>50</v>
      </c>
      <c r="G82" s="9" t="n">
        <v>40</v>
      </c>
      <c r="H82" s="6" t="str">
        <f aca="false">E82&amp;" × (L+1)^2.4 × 1.004^L  (see Building_Levels)"</f>
        <v>60 × (L+1)^2.4 × 1.004^L  (see Building_Levels)</v>
      </c>
      <c r="I82" s="6" t="s">
        <v>260</v>
      </c>
      <c r="J82" s="6" t="s">
        <v>261</v>
      </c>
      <c r="K82" s="6" t="s">
        <v>262</v>
      </c>
    </row>
    <row r="83" customFormat="false" ht="15" hidden="false" customHeight="true" outlineLevel="0" collapsed="false">
      <c r="A83" s="6" t="n">
        <v>2</v>
      </c>
      <c r="B83" s="6" t="s">
        <v>431</v>
      </c>
      <c r="C83" s="6" t="s">
        <v>293</v>
      </c>
      <c r="D83" s="6" t="s">
        <v>432</v>
      </c>
      <c r="E83" s="9" t="n">
        <v>56</v>
      </c>
      <c r="F83" s="9" t="n">
        <v>46</v>
      </c>
      <c r="G83" s="9" t="n">
        <v>38</v>
      </c>
      <c r="H83" s="6" t="str">
        <f aca="false">E83&amp;" × (L+1)^2.4 × 1.004^L  (see Building_Levels)"</f>
        <v>56 × (L+1)^2.4 × 1.004^L  (see Building_Levels)</v>
      </c>
      <c r="I83" s="6" t="s">
        <v>260</v>
      </c>
      <c r="J83" s="6" t="s">
        <v>261</v>
      </c>
      <c r="K83" s="6" t="s">
        <v>262</v>
      </c>
    </row>
    <row r="84" customFormat="false" ht="15" hidden="false" customHeight="true" outlineLevel="0" collapsed="false">
      <c r="A84" s="6" t="n">
        <v>2</v>
      </c>
      <c r="B84" s="6" t="s">
        <v>433</v>
      </c>
      <c r="C84" s="6" t="s">
        <v>293</v>
      </c>
      <c r="D84" s="6" t="s">
        <v>434</v>
      </c>
      <c r="E84" s="9" t="n">
        <v>68</v>
      </c>
      <c r="F84" s="9" t="n">
        <v>60</v>
      </c>
      <c r="G84" s="9" t="n">
        <v>42</v>
      </c>
      <c r="H84" s="6" t="str">
        <f aca="false">E84&amp;" × (L+1)^2.4 × 1.004^L  (see Building_Levels)"</f>
        <v>68 × (L+1)^2.4 × 1.004^L  (see Building_Levels)</v>
      </c>
      <c r="I84" s="6" t="s">
        <v>260</v>
      </c>
      <c r="J84" s="6" t="s">
        <v>261</v>
      </c>
      <c r="K84" s="6" t="s">
        <v>262</v>
      </c>
    </row>
    <row r="85" customFormat="false" ht="15" hidden="false" customHeight="true" outlineLevel="0" collapsed="false">
      <c r="A85" s="6" t="n">
        <v>2</v>
      </c>
      <c r="B85" s="6" t="s">
        <v>435</v>
      </c>
      <c r="C85" s="6" t="s">
        <v>293</v>
      </c>
      <c r="D85" s="6" t="s">
        <v>436</v>
      </c>
      <c r="E85" s="9" t="n">
        <v>70</v>
      </c>
      <c r="F85" s="9" t="n">
        <v>64</v>
      </c>
      <c r="G85" s="9" t="n">
        <v>44</v>
      </c>
      <c r="H85" s="6" t="str">
        <f aca="false">E85&amp;" × (L+1)^2.4 × 1.004^L  (see Building_Levels)"</f>
        <v>70 × (L+1)^2.4 × 1.004^L  (see Building_Levels)</v>
      </c>
      <c r="I85" s="6" t="s">
        <v>260</v>
      </c>
      <c r="J85" s="6" t="s">
        <v>261</v>
      </c>
      <c r="K85" s="6" t="s">
        <v>262</v>
      </c>
    </row>
    <row r="86" customFormat="false" ht="15" hidden="false" customHeight="true" outlineLevel="0" collapsed="false">
      <c r="A86" s="6" t="n">
        <v>2</v>
      </c>
      <c r="B86" s="6" t="s">
        <v>437</v>
      </c>
      <c r="C86" s="6" t="s">
        <v>293</v>
      </c>
      <c r="D86" s="6" t="s">
        <v>438</v>
      </c>
      <c r="E86" s="9" t="n">
        <v>52</v>
      </c>
      <c r="F86" s="9" t="n">
        <v>44</v>
      </c>
      <c r="G86" s="9" t="n">
        <v>34</v>
      </c>
      <c r="H86" s="6" t="str">
        <f aca="false">E86&amp;" × (L+1)^2.4 × 1.004^L  (see Building_Levels)"</f>
        <v>52 × (L+1)^2.4 × 1.004^L  (see Building_Levels)</v>
      </c>
      <c r="I86" s="6" t="s">
        <v>260</v>
      </c>
      <c r="J86" s="6" t="s">
        <v>261</v>
      </c>
      <c r="K86" s="6" t="s">
        <v>262</v>
      </c>
    </row>
    <row r="87" customFormat="false" ht="15" hidden="false" customHeight="true" outlineLevel="0" collapsed="false">
      <c r="A87" s="6" t="n">
        <v>2</v>
      </c>
      <c r="B87" s="6" t="s">
        <v>439</v>
      </c>
      <c r="C87" s="6" t="s">
        <v>293</v>
      </c>
      <c r="D87" s="6" t="s">
        <v>440</v>
      </c>
      <c r="E87" s="9" t="n">
        <v>50</v>
      </c>
      <c r="F87" s="9" t="n">
        <v>42</v>
      </c>
      <c r="G87" s="9" t="n">
        <v>32</v>
      </c>
      <c r="H87" s="6" t="str">
        <f aca="false">E87&amp;" × (L+1)^2.4 × 1.004^L  (see Building_Levels)"</f>
        <v>50 × (L+1)^2.4 × 1.004^L  (see Building_Levels)</v>
      </c>
      <c r="I87" s="6" t="s">
        <v>260</v>
      </c>
      <c r="J87" s="6" t="s">
        <v>261</v>
      </c>
      <c r="K87" s="6" t="s">
        <v>262</v>
      </c>
    </row>
    <row r="88" customFormat="false" ht="15" hidden="false" customHeight="true" outlineLevel="0" collapsed="false">
      <c r="A88" s="6" t="n">
        <v>2</v>
      </c>
      <c r="B88" s="6" t="s">
        <v>441</v>
      </c>
      <c r="C88" s="6" t="s">
        <v>23</v>
      </c>
      <c r="D88" s="6" t="s">
        <v>442</v>
      </c>
      <c r="E88" s="9" t="n">
        <v>85</v>
      </c>
      <c r="F88" s="9" t="n">
        <v>75</v>
      </c>
      <c r="G88" s="9" t="n">
        <v>80</v>
      </c>
      <c r="H88" s="6" t="str">
        <f aca="false">E88&amp;" × (L+1)^2.4 × 1.004^L  (see Building_Levels)"</f>
        <v>85 × (L+1)^2.4 × 1.004^L  (see Building_Levels)</v>
      </c>
      <c r="I88" s="6" t="s">
        <v>260</v>
      </c>
      <c r="J88" s="6" t="s">
        <v>261</v>
      </c>
      <c r="K88" s="6" t="s">
        <v>262</v>
      </c>
    </row>
    <row r="89" customFormat="false" ht="15" hidden="false" customHeight="true" outlineLevel="0" collapsed="false">
      <c r="A89" s="6" t="n">
        <v>2</v>
      </c>
      <c r="B89" s="6" t="s">
        <v>443</v>
      </c>
      <c r="C89" s="6" t="s">
        <v>23</v>
      </c>
      <c r="D89" s="6" t="s">
        <v>444</v>
      </c>
      <c r="E89" s="9" t="n">
        <v>90</v>
      </c>
      <c r="F89" s="9" t="n">
        <v>85</v>
      </c>
      <c r="G89" s="9" t="n">
        <v>88</v>
      </c>
      <c r="H89" s="6" t="str">
        <f aca="false">E89&amp;" × (L+1)^2.4 × 1.004^L  (see Building_Levels)"</f>
        <v>90 × (L+1)^2.4 × 1.004^L  (see Building_Levels)</v>
      </c>
      <c r="I89" s="6" t="s">
        <v>260</v>
      </c>
      <c r="J89" s="6" t="s">
        <v>261</v>
      </c>
      <c r="K89" s="6" t="s">
        <v>262</v>
      </c>
    </row>
    <row r="90" customFormat="false" ht="15" hidden="false" customHeight="true" outlineLevel="0" collapsed="false">
      <c r="A90" s="6" t="n">
        <v>2</v>
      </c>
      <c r="B90" s="6" t="s">
        <v>445</v>
      </c>
      <c r="C90" s="6" t="s">
        <v>351</v>
      </c>
      <c r="D90" s="6" t="s">
        <v>446</v>
      </c>
      <c r="E90" s="9" t="n">
        <v>80</v>
      </c>
      <c r="F90" s="9" t="n">
        <v>70</v>
      </c>
      <c r="G90" s="9" t="n">
        <v>55</v>
      </c>
      <c r="H90" s="6" t="str">
        <f aca="false">E90&amp;" × (L+1)^2.4 × 1.004^L  (see Building_Levels)"</f>
        <v>80 × (L+1)^2.4 × 1.004^L  (see Building_Levels)</v>
      </c>
      <c r="I90" s="6" t="s">
        <v>260</v>
      </c>
      <c r="J90" s="6" t="s">
        <v>261</v>
      </c>
      <c r="K90" s="6" t="s">
        <v>262</v>
      </c>
    </row>
    <row r="91" customFormat="false" ht="15" hidden="false" customHeight="true" outlineLevel="0" collapsed="false">
      <c r="A91" s="6" t="n">
        <v>2</v>
      </c>
      <c r="B91" s="6" t="s">
        <v>447</v>
      </c>
      <c r="C91" s="6" t="s">
        <v>351</v>
      </c>
      <c r="D91" s="6" t="s">
        <v>448</v>
      </c>
      <c r="E91" s="9" t="n">
        <v>60</v>
      </c>
      <c r="F91" s="9" t="n">
        <v>50</v>
      </c>
      <c r="G91" s="9" t="n">
        <v>40</v>
      </c>
      <c r="H91" s="6" t="str">
        <f aca="false">E91&amp;" × (L+1)^2.4 × 1.004^L  (see Building_Levels)"</f>
        <v>60 × (L+1)^2.4 × 1.004^L  (see Building_Levels)</v>
      </c>
      <c r="I91" s="6" t="s">
        <v>260</v>
      </c>
      <c r="J91" s="6" t="s">
        <v>261</v>
      </c>
      <c r="K91" s="6" t="s">
        <v>262</v>
      </c>
    </row>
    <row r="92" customFormat="false" ht="15" hidden="false" customHeight="true" outlineLevel="0" collapsed="false">
      <c r="A92" s="6" t="n">
        <v>2</v>
      </c>
      <c r="B92" s="6" t="s">
        <v>449</v>
      </c>
      <c r="C92" s="6" t="s">
        <v>351</v>
      </c>
      <c r="D92" s="6" t="s">
        <v>450</v>
      </c>
      <c r="E92" s="9" t="n">
        <v>58</v>
      </c>
      <c r="F92" s="9" t="n">
        <v>48</v>
      </c>
      <c r="G92" s="9" t="n">
        <v>38</v>
      </c>
      <c r="H92" s="6" t="str">
        <f aca="false">E92&amp;" × (L+1)^2.4 × 1.004^L  (see Building_Levels)"</f>
        <v>58 × (L+1)^2.4 × 1.004^L  (see Building_Levels)</v>
      </c>
      <c r="I92" s="6" t="s">
        <v>260</v>
      </c>
      <c r="J92" s="6" t="s">
        <v>261</v>
      </c>
      <c r="K92" s="6" t="s">
        <v>262</v>
      </c>
    </row>
    <row r="93" customFormat="false" ht="15" hidden="false" customHeight="true" outlineLevel="0" collapsed="false">
      <c r="A93" s="6" t="n">
        <v>2</v>
      </c>
      <c r="B93" s="6" t="s">
        <v>451</v>
      </c>
      <c r="C93" s="6" t="s">
        <v>351</v>
      </c>
      <c r="D93" s="6" t="s">
        <v>452</v>
      </c>
      <c r="E93" s="9" t="n">
        <v>64</v>
      </c>
      <c r="F93" s="9" t="n">
        <v>70</v>
      </c>
      <c r="G93" s="9" t="n">
        <v>46</v>
      </c>
      <c r="H93" s="6" t="str">
        <f aca="false">E93&amp;" × (L+1)^2.4 × 1.004^L  (see Building_Levels)"</f>
        <v>64 × (L+1)^2.4 × 1.004^L  (see Building_Levels)</v>
      </c>
      <c r="I93" s="6" t="s">
        <v>260</v>
      </c>
      <c r="J93" s="6" t="s">
        <v>261</v>
      </c>
      <c r="K93" s="6" t="s">
        <v>262</v>
      </c>
    </row>
    <row r="94" customFormat="false" ht="15" hidden="false" customHeight="true" outlineLevel="0" collapsed="false">
      <c r="A94" s="6" t="n">
        <v>2</v>
      </c>
      <c r="B94" s="6" t="s">
        <v>453</v>
      </c>
      <c r="C94" s="6" t="s">
        <v>351</v>
      </c>
      <c r="D94" s="6" t="s">
        <v>454</v>
      </c>
      <c r="E94" s="9" t="n">
        <v>54</v>
      </c>
      <c r="F94" s="9" t="n">
        <v>44</v>
      </c>
      <c r="G94" s="9" t="n">
        <v>36</v>
      </c>
      <c r="H94" s="6" t="str">
        <f aca="false">E94&amp;" × (L+1)^2.4 × 1.004^L  (see Building_Levels)"</f>
        <v>54 × (L+1)^2.4 × 1.004^L  (see Building_Levels)</v>
      </c>
      <c r="I94" s="6" t="s">
        <v>260</v>
      </c>
      <c r="J94" s="6" t="s">
        <v>261</v>
      </c>
      <c r="K94" s="6" t="s">
        <v>262</v>
      </c>
    </row>
    <row r="95" customFormat="false" ht="15" hidden="false" customHeight="true" outlineLevel="0" collapsed="false">
      <c r="A95" s="6" t="n">
        <v>2</v>
      </c>
      <c r="B95" s="6" t="s">
        <v>455</v>
      </c>
      <c r="C95" s="6" t="s">
        <v>351</v>
      </c>
      <c r="D95" s="6" t="s">
        <v>456</v>
      </c>
      <c r="E95" s="9" t="n">
        <v>76</v>
      </c>
      <c r="F95" s="9" t="n">
        <v>66</v>
      </c>
      <c r="G95" s="9" t="n">
        <v>52</v>
      </c>
      <c r="H95" s="6" t="str">
        <f aca="false">E95&amp;" × (L+1)^2.4 × 1.004^L  (see Building_Levels)"</f>
        <v>76 × (L+1)^2.4 × 1.004^L  (see Building_Levels)</v>
      </c>
      <c r="I95" s="6" t="s">
        <v>260</v>
      </c>
      <c r="J95" s="6" t="s">
        <v>261</v>
      </c>
      <c r="K95" s="6" t="s">
        <v>262</v>
      </c>
    </row>
    <row r="96" customFormat="false" ht="15" hidden="false" customHeight="true" outlineLevel="0" collapsed="false">
      <c r="A96" s="6" t="n">
        <v>2</v>
      </c>
      <c r="B96" s="6" t="s">
        <v>457</v>
      </c>
      <c r="C96" s="6" t="s">
        <v>293</v>
      </c>
      <c r="D96" s="6" t="s">
        <v>458</v>
      </c>
      <c r="E96" s="9" t="n">
        <v>62</v>
      </c>
      <c r="F96" s="9" t="n">
        <v>66</v>
      </c>
      <c r="G96" s="9" t="n">
        <v>44</v>
      </c>
      <c r="H96" s="6" t="str">
        <f aca="false">E96&amp;" × (L+1)^2.4 × 1.004^L  (see Building_Levels)"</f>
        <v>62 × (L+1)^2.4 × 1.004^L  (see Building_Levels)</v>
      </c>
      <c r="I96" s="6" t="s">
        <v>260</v>
      </c>
      <c r="J96" s="6" t="s">
        <v>261</v>
      </c>
      <c r="K96" s="6" t="s">
        <v>262</v>
      </c>
    </row>
    <row r="97" customFormat="false" ht="15" hidden="false" customHeight="true" outlineLevel="0" collapsed="false">
      <c r="A97" s="6" t="n">
        <v>2</v>
      </c>
      <c r="B97" s="6" t="s">
        <v>459</v>
      </c>
      <c r="C97" s="6" t="s">
        <v>293</v>
      </c>
      <c r="D97" s="6" t="s">
        <v>460</v>
      </c>
      <c r="E97" s="9" t="n">
        <v>60</v>
      </c>
      <c r="F97" s="9" t="n">
        <v>54</v>
      </c>
      <c r="G97" s="9" t="n">
        <v>42</v>
      </c>
      <c r="H97" s="6" t="str">
        <f aca="false">E97&amp;" × (L+1)^2.4 × 1.004^L  (see Building_Levels)"</f>
        <v>60 × (L+1)^2.4 × 1.004^L  (see Building_Levels)</v>
      </c>
      <c r="I97" s="6" t="s">
        <v>260</v>
      </c>
      <c r="J97" s="6" t="s">
        <v>261</v>
      </c>
      <c r="K97" s="6" t="s">
        <v>262</v>
      </c>
    </row>
    <row r="98" customFormat="false" ht="15" hidden="false" customHeight="true" outlineLevel="0" collapsed="false">
      <c r="A98" s="6" t="n">
        <v>2</v>
      </c>
      <c r="B98" s="6" t="s">
        <v>461</v>
      </c>
      <c r="C98" s="6" t="s">
        <v>312</v>
      </c>
      <c r="D98" s="6" t="s">
        <v>462</v>
      </c>
      <c r="E98" s="9" t="n">
        <v>85</v>
      </c>
      <c r="F98" s="9" t="n">
        <v>70</v>
      </c>
      <c r="G98" s="9" t="n">
        <v>58</v>
      </c>
      <c r="H98" s="6" t="str">
        <f aca="false">E98&amp;" × (L+1)^2.4 × 1.004^L  (see Building_Levels)"</f>
        <v>85 × (L+1)^2.4 × 1.004^L  (see Building_Levels)</v>
      </c>
      <c r="I98" s="6" t="s">
        <v>260</v>
      </c>
      <c r="J98" s="6" t="s">
        <v>261</v>
      </c>
      <c r="K98" s="6" t="s">
        <v>262</v>
      </c>
    </row>
    <row r="99" customFormat="false" ht="15" hidden="false" customHeight="true" outlineLevel="0" collapsed="false">
      <c r="A99" s="6" t="n">
        <v>2</v>
      </c>
      <c r="B99" s="6" t="s">
        <v>463</v>
      </c>
      <c r="C99" s="6" t="s">
        <v>312</v>
      </c>
      <c r="D99" s="6" t="s">
        <v>464</v>
      </c>
      <c r="E99" s="9" t="n">
        <v>70</v>
      </c>
      <c r="F99" s="9" t="n">
        <v>56</v>
      </c>
      <c r="G99" s="9" t="n">
        <v>46</v>
      </c>
      <c r="H99" s="6" t="str">
        <f aca="false">E99&amp;" × (L+1)^2.4 × 1.004^L  (see Building_Levels)"</f>
        <v>70 × (L+1)^2.4 × 1.004^L  (see Building_Levels)</v>
      </c>
      <c r="I99" s="6" t="s">
        <v>260</v>
      </c>
      <c r="J99" s="6" t="s">
        <v>261</v>
      </c>
      <c r="K99" s="6" t="s">
        <v>262</v>
      </c>
    </row>
    <row r="100" customFormat="false" ht="15" hidden="false" customHeight="true" outlineLevel="0" collapsed="false">
      <c r="A100" s="6" t="n">
        <v>2</v>
      </c>
      <c r="B100" s="6" t="s">
        <v>465</v>
      </c>
      <c r="C100" s="6" t="s">
        <v>312</v>
      </c>
      <c r="D100" s="6" t="s">
        <v>466</v>
      </c>
      <c r="E100" s="9" t="n">
        <v>95</v>
      </c>
      <c r="F100" s="9" t="n">
        <v>90</v>
      </c>
      <c r="G100" s="9" t="n">
        <v>70</v>
      </c>
      <c r="H100" s="6" t="str">
        <f aca="false">E100&amp;" × (L+1)^2.4 × 1.004^L  (see Building_Levels)"</f>
        <v>95 × (L+1)^2.4 × 1.004^L  (see Building_Levels)</v>
      </c>
      <c r="I100" s="6" t="s">
        <v>260</v>
      </c>
      <c r="J100" s="6" t="s">
        <v>261</v>
      </c>
      <c r="K100" s="6" t="s">
        <v>262</v>
      </c>
    </row>
    <row r="101" customFormat="false" ht="15" hidden="false" customHeight="true" outlineLevel="0" collapsed="false">
      <c r="A101" s="6" t="n">
        <v>2</v>
      </c>
      <c r="B101" s="6" t="s">
        <v>467</v>
      </c>
      <c r="C101" s="6" t="s">
        <v>312</v>
      </c>
      <c r="D101" s="6" t="s">
        <v>468</v>
      </c>
      <c r="E101" s="9" t="n">
        <v>72</v>
      </c>
      <c r="F101" s="9" t="n">
        <v>64</v>
      </c>
      <c r="G101" s="9" t="n">
        <v>52</v>
      </c>
      <c r="H101" s="6" t="str">
        <f aca="false">E101&amp;" × (L+1)^2.4 × 1.004^L  (see Building_Levels)"</f>
        <v>72 × (L+1)^2.4 × 1.004^L  (see Building_Levels)</v>
      </c>
      <c r="I101" s="6" t="s">
        <v>260</v>
      </c>
      <c r="J101" s="6" t="s">
        <v>261</v>
      </c>
      <c r="K101" s="6" t="s">
        <v>262</v>
      </c>
    </row>
    <row r="102" customFormat="false" ht="15" hidden="false" customHeight="true" outlineLevel="0" collapsed="false">
      <c r="A102" s="6" t="n">
        <v>2</v>
      </c>
      <c r="B102" s="6" t="s">
        <v>469</v>
      </c>
      <c r="C102" s="6" t="s">
        <v>312</v>
      </c>
      <c r="D102" s="6" t="s">
        <v>470</v>
      </c>
      <c r="E102" s="9" t="n">
        <v>66</v>
      </c>
      <c r="F102" s="9" t="n">
        <v>56</v>
      </c>
      <c r="G102" s="9" t="n">
        <v>46</v>
      </c>
      <c r="H102" s="6" t="str">
        <f aca="false">E102&amp;" × (L+1)^2.4 × 1.004^L  (see Building_Levels)"</f>
        <v>66 × (L+1)^2.4 × 1.004^L  (see Building_Levels)</v>
      </c>
      <c r="I102" s="6" t="s">
        <v>260</v>
      </c>
      <c r="J102" s="6" t="s">
        <v>261</v>
      </c>
      <c r="K102" s="6" t="s">
        <v>262</v>
      </c>
    </row>
    <row r="103" customFormat="false" ht="15" hidden="false" customHeight="true" outlineLevel="0" collapsed="false">
      <c r="A103" s="6" t="n">
        <v>2</v>
      </c>
      <c r="B103" s="6" t="s">
        <v>471</v>
      </c>
      <c r="C103" s="6" t="s">
        <v>312</v>
      </c>
      <c r="D103" s="6" t="s">
        <v>472</v>
      </c>
      <c r="E103" s="9" t="n">
        <v>60</v>
      </c>
      <c r="F103" s="9" t="n">
        <v>52</v>
      </c>
      <c r="G103" s="9" t="n">
        <v>44</v>
      </c>
      <c r="H103" s="6" t="str">
        <f aca="false">E103&amp;" × (L+1)^2.4 × 1.004^L  (see Building_Levels)"</f>
        <v>60 × (L+1)^2.4 × 1.004^L  (see Building_Levels)</v>
      </c>
      <c r="I103" s="6" t="s">
        <v>260</v>
      </c>
      <c r="J103" s="6" t="s">
        <v>261</v>
      </c>
      <c r="K103" s="6" t="s">
        <v>262</v>
      </c>
    </row>
    <row r="104" customFormat="false" ht="15" hidden="false" customHeight="true" outlineLevel="0" collapsed="false">
      <c r="A104" s="6" t="n">
        <v>2</v>
      </c>
      <c r="B104" s="6" t="s">
        <v>473</v>
      </c>
      <c r="C104" s="6" t="s">
        <v>312</v>
      </c>
      <c r="D104" s="6" t="s">
        <v>474</v>
      </c>
      <c r="E104" s="9" t="n">
        <v>100</v>
      </c>
      <c r="F104" s="9" t="n">
        <v>90</v>
      </c>
      <c r="G104" s="9" t="n">
        <v>78</v>
      </c>
      <c r="H104" s="6" t="str">
        <f aca="false">E104&amp;" × (L+1)^2.4 × 1.004^L  (see Building_Levels)"</f>
        <v>100 × (L+1)^2.4 × 1.004^L  (see Building_Levels)</v>
      </c>
      <c r="I104" s="6" t="s">
        <v>260</v>
      </c>
      <c r="J104" s="6" t="s">
        <v>261</v>
      </c>
      <c r="K104" s="6" t="s">
        <v>262</v>
      </c>
    </row>
    <row r="105" customFormat="false" ht="15" hidden="false" customHeight="true" outlineLevel="0" collapsed="false">
      <c r="A105" s="6" t="n">
        <v>2</v>
      </c>
      <c r="B105" s="6" t="s">
        <v>475</v>
      </c>
      <c r="C105" s="6" t="s">
        <v>312</v>
      </c>
      <c r="D105" s="6" t="s">
        <v>476</v>
      </c>
      <c r="E105" s="9" t="n">
        <v>70</v>
      </c>
      <c r="F105" s="9" t="n">
        <v>60</v>
      </c>
      <c r="G105" s="9" t="n">
        <v>50</v>
      </c>
      <c r="H105" s="6" t="str">
        <f aca="false">E105&amp;" × (L+1)^2.4 × 1.004^L  (see Building_Levels)"</f>
        <v>70 × (L+1)^2.4 × 1.004^L  (see Building_Levels)</v>
      </c>
      <c r="I105" s="6" t="s">
        <v>260</v>
      </c>
      <c r="J105" s="6" t="s">
        <v>261</v>
      </c>
      <c r="K105" s="6" t="s">
        <v>262</v>
      </c>
    </row>
    <row r="106" customFormat="false" ht="15" hidden="false" customHeight="true" outlineLevel="0" collapsed="false">
      <c r="A106" s="6" t="n">
        <v>2</v>
      </c>
      <c r="B106" s="6" t="s">
        <v>477</v>
      </c>
      <c r="C106" s="6" t="s">
        <v>333</v>
      </c>
      <c r="D106" s="6" t="s">
        <v>478</v>
      </c>
      <c r="E106" s="9" t="n">
        <v>110</v>
      </c>
      <c r="F106" s="9" t="n">
        <v>150</v>
      </c>
      <c r="G106" s="9" t="n">
        <v>85</v>
      </c>
      <c r="H106" s="6" t="str">
        <f aca="false">E106&amp;" × (L+1)^2.4 × 1.004^L  (see Building_Levels)"</f>
        <v>110 × (L+1)^2.4 × 1.004^L  (see Building_Levels)</v>
      </c>
      <c r="I106" s="6" t="s">
        <v>260</v>
      </c>
      <c r="J106" s="6" t="s">
        <v>261</v>
      </c>
      <c r="K106" s="6" t="s">
        <v>262</v>
      </c>
    </row>
    <row r="107" customFormat="false" ht="15" hidden="false" customHeight="true" outlineLevel="0" collapsed="false">
      <c r="A107" s="6" t="n">
        <v>2</v>
      </c>
      <c r="B107" s="6" t="s">
        <v>479</v>
      </c>
      <c r="C107" s="6" t="s">
        <v>333</v>
      </c>
      <c r="D107" s="6" t="s">
        <v>480</v>
      </c>
      <c r="E107" s="9" t="n">
        <v>90</v>
      </c>
      <c r="F107" s="9" t="n">
        <v>110</v>
      </c>
      <c r="G107" s="9" t="n">
        <v>70</v>
      </c>
      <c r="H107" s="6" t="str">
        <f aca="false">E107&amp;" × (L+1)^2.4 × 1.004^L  (see Building_Levels)"</f>
        <v>90 × (L+1)^2.4 × 1.004^L  (see Building_Levels)</v>
      </c>
      <c r="I107" s="6" t="s">
        <v>260</v>
      </c>
      <c r="J107" s="6" t="s">
        <v>261</v>
      </c>
      <c r="K107" s="6" t="s">
        <v>262</v>
      </c>
    </row>
    <row r="108" customFormat="false" ht="15" hidden="false" customHeight="true" outlineLevel="0" collapsed="false">
      <c r="A108" s="6" t="n">
        <v>2</v>
      </c>
      <c r="B108" s="6" t="s">
        <v>481</v>
      </c>
      <c r="C108" s="6" t="s">
        <v>333</v>
      </c>
      <c r="D108" s="6" t="s">
        <v>482</v>
      </c>
      <c r="E108" s="9" t="n">
        <v>70</v>
      </c>
      <c r="F108" s="9" t="n">
        <v>80</v>
      </c>
      <c r="G108" s="9" t="n">
        <v>55</v>
      </c>
      <c r="H108" s="6" t="str">
        <f aca="false">E108&amp;" × (L+1)^2.4 × 1.004^L  (see Building_Levels)"</f>
        <v>70 × (L+1)^2.4 × 1.004^L  (see Building_Levels)</v>
      </c>
      <c r="I108" s="6" t="s">
        <v>260</v>
      </c>
      <c r="J108" s="6" t="s">
        <v>261</v>
      </c>
      <c r="K108" s="6" t="s">
        <v>262</v>
      </c>
    </row>
    <row r="109" customFormat="false" ht="15" hidden="false" customHeight="true" outlineLevel="0" collapsed="false">
      <c r="A109" s="6" t="n">
        <v>2</v>
      </c>
      <c r="B109" s="6" t="s">
        <v>483</v>
      </c>
      <c r="C109" s="6" t="s">
        <v>333</v>
      </c>
      <c r="D109" s="6" t="s">
        <v>484</v>
      </c>
      <c r="E109" s="9" t="n">
        <v>150</v>
      </c>
      <c r="F109" s="9" t="n">
        <v>190</v>
      </c>
      <c r="G109" s="9" t="n">
        <v>120</v>
      </c>
      <c r="H109" s="6" t="str">
        <f aca="false">E109&amp;" × (L+1)^2.4 × 1.004^L  (see Building_Levels)"</f>
        <v>150 × (L+1)^2.4 × 1.004^L  (see Building_Levels)</v>
      </c>
      <c r="I109" s="6" t="s">
        <v>260</v>
      </c>
      <c r="J109" s="6" t="s">
        <v>261</v>
      </c>
      <c r="K109" s="6" t="s">
        <v>262</v>
      </c>
    </row>
    <row r="110" customFormat="false" ht="15" hidden="false" customHeight="true" outlineLevel="0" collapsed="false">
      <c r="A110" s="6" t="n">
        <v>2</v>
      </c>
      <c r="B110" s="6" t="s">
        <v>485</v>
      </c>
      <c r="C110" s="6" t="s">
        <v>333</v>
      </c>
      <c r="D110" s="6" t="s">
        <v>486</v>
      </c>
      <c r="E110" s="9" t="n">
        <v>60</v>
      </c>
      <c r="F110" s="9" t="n">
        <v>70</v>
      </c>
      <c r="G110" s="9" t="n">
        <v>44</v>
      </c>
      <c r="H110" s="6" t="str">
        <f aca="false">E110&amp;" × (L+1)^2.4 × 1.004^L  (see Building_Levels)"</f>
        <v>60 × (L+1)^2.4 × 1.004^L  (see Building_Levels)</v>
      </c>
      <c r="I110" s="6" t="s">
        <v>260</v>
      </c>
      <c r="J110" s="6" t="s">
        <v>261</v>
      </c>
      <c r="K110" s="6" t="s">
        <v>262</v>
      </c>
    </row>
    <row r="111" customFormat="false" ht="15" hidden="false" customHeight="true" outlineLevel="0" collapsed="false">
      <c r="A111" s="6" t="n">
        <v>2</v>
      </c>
      <c r="B111" s="6" t="s">
        <v>487</v>
      </c>
      <c r="C111" s="6" t="s">
        <v>333</v>
      </c>
      <c r="D111" s="6" t="s">
        <v>488</v>
      </c>
      <c r="E111" s="9" t="n">
        <v>75</v>
      </c>
      <c r="F111" s="9" t="n">
        <v>85</v>
      </c>
      <c r="G111" s="9" t="n">
        <v>55</v>
      </c>
      <c r="H111" s="6" t="str">
        <f aca="false">E111&amp;" × (L+1)^2.4 × 1.004^L  (see Building_Levels)"</f>
        <v>75 × (L+1)^2.4 × 1.004^L  (see Building_Levels)</v>
      </c>
      <c r="I111" s="6" t="s">
        <v>260</v>
      </c>
      <c r="J111" s="6" t="s">
        <v>261</v>
      </c>
      <c r="K111" s="6" t="s">
        <v>262</v>
      </c>
    </row>
    <row r="112" customFormat="false" ht="15" hidden="false" customHeight="true" outlineLevel="0" collapsed="false">
      <c r="A112" s="6" t="n">
        <v>2</v>
      </c>
      <c r="B112" s="6" t="s">
        <v>489</v>
      </c>
      <c r="C112" s="6" t="s">
        <v>333</v>
      </c>
      <c r="D112" s="6" t="s">
        <v>490</v>
      </c>
      <c r="E112" s="9" t="n">
        <v>56</v>
      </c>
      <c r="F112" s="9" t="n">
        <v>64</v>
      </c>
      <c r="G112" s="9" t="n">
        <v>42</v>
      </c>
      <c r="H112" s="6" t="str">
        <f aca="false">E112&amp;" × (L+1)^2.4 × 1.004^L  (see Building_Levels)"</f>
        <v>56 × (L+1)^2.4 × 1.004^L  (see Building_Levels)</v>
      </c>
      <c r="I112" s="6" t="s">
        <v>260</v>
      </c>
      <c r="J112" s="6" t="s">
        <v>261</v>
      </c>
      <c r="K112" s="6" t="s">
        <v>262</v>
      </c>
    </row>
    <row r="113" customFormat="false" ht="15" hidden="false" customHeight="true" outlineLevel="0" collapsed="false">
      <c r="A113" s="6" t="n">
        <v>2</v>
      </c>
      <c r="B113" s="6" t="s">
        <v>491</v>
      </c>
      <c r="C113" s="6" t="s">
        <v>342</v>
      </c>
      <c r="D113" s="6" t="s">
        <v>492</v>
      </c>
      <c r="E113" s="9" t="n">
        <v>105</v>
      </c>
      <c r="F113" s="9" t="n">
        <v>95</v>
      </c>
      <c r="G113" s="9" t="n">
        <v>85</v>
      </c>
      <c r="H113" s="6" t="str">
        <f aca="false">E113&amp;" × (L+1)^2.4 × 1.004^L  (see Building_Levels)"</f>
        <v>105 × (L+1)^2.4 × 1.004^L  (see Building_Levels)</v>
      </c>
      <c r="I113" s="6" t="s">
        <v>260</v>
      </c>
      <c r="J113" s="6" t="s">
        <v>261</v>
      </c>
      <c r="K113" s="6" t="s">
        <v>262</v>
      </c>
    </row>
    <row r="114" customFormat="false" ht="15" hidden="false" customHeight="true" outlineLevel="0" collapsed="false">
      <c r="A114" s="6" t="n">
        <v>2</v>
      </c>
      <c r="B114" s="6" t="s">
        <v>493</v>
      </c>
      <c r="C114" s="6" t="s">
        <v>342</v>
      </c>
      <c r="D114" s="6" t="s">
        <v>494</v>
      </c>
      <c r="E114" s="9" t="n">
        <v>70</v>
      </c>
      <c r="F114" s="9" t="n">
        <v>60</v>
      </c>
      <c r="G114" s="9" t="n">
        <v>52</v>
      </c>
      <c r="H114" s="6" t="str">
        <f aca="false">E114&amp;" × (L+1)^2.4 × 1.004^L  (see Building_Levels)"</f>
        <v>70 × (L+1)^2.4 × 1.004^L  (see Building_Levels)</v>
      </c>
      <c r="I114" s="6" t="s">
        <v>260</v>
      </c>
      <c r="J114" s="6" t="s">
        <v>261</v>
      </c>
      <c r="K114" s="6" t="s">
        <v>262</v>
      </c>
    </row>
    <row r="115" customFormat="false" ht="15" hidden="false" customHeight="true" outlineLevel="0" collapsed="false">
      <c r="A115" s="6" t="n">
        <v>2</v>
      </c>
      <c r="B115" s="6" t="s">
        <v>495</v>
      </c>
      <c r="C115" s="6" t="s">
        <v>342</v>
      </c>
      <c r="D115" s="6" t="s">
        <v>496</v>
      </c>
      <c r="E115" s="9" t="n">
        <v>66</v>
      </c>
      <c r="F115" s="9" t="n">
        <v>56</v>
      </c>
      <c r="G115" s="9" t="n">
        <v>48</v>
      </c>
      <c r="H115" s="6" t="str">
        <f aca="false">E115&amp;" × (L+1)^2.4 × 1.004^L  (see Building_Levels)"</f>
        <v>66 × (L+1)^2.4 × 1.004^L  (see Building_Levels)</v>
      </c>
      <c r="I115" s="6" t="s">
        <v>260</v>
      </c>
      <c r="J115" s="6" t="s">
        <v>261</v>
      </c>
      <c r="K115" s="6" t="s">
        <v>262</v>
      </c>
    </row>
    <row r="116" customFormat="false" ht="15" hidden="false" customHeight="true" outlineLevel="0" collapsed="false">
      <c r="A116" s="6" t="n">
        <v>2</v>
      </c>
      <c r="B116" s="6" t="s">
        <v>497</v>
      </c>
      <c r="C116" s="6" t="s">
        <v>342</v>
      </c>
      <c r="D116" s="6" t="s">
        <v>498</v>
      </c>
      <c r="E116" s="9" t="n">
        <v>62</v>
      </c>
      <c r="F116" s="9" t="n">
        <v>54</v>
      </c>
      <c r="G116" s="9" t="n">
        <v>44</v>
      </c>
      <c r="H116" s="6" t="str">
        <f aca="false">E116&amp;" × (L+1)^2.4 × 1.004^L  (see Building_Levels)"</f>
        <v>62 × (L+1)^2.4 × 1.004^L  (see Building_Levels)</v>
      </c>
      <c r="I116" s="6" t="s">
        <v>260</v>
      </c>
      <c r="J116" s="6" t="s">
        <v>261</v>
      </c>
      <c r="K116" s="6" t="s">
        <v>262</v>
      </c>
    </row>
    <row r="117" customFormat="false" ht="15" hidden="false" customHeight="true" outlineLevel="0" collapsed="false">
      <c r="A117" s="6" t="n">
        <v>2</v>
      </c>
      <c r="B117" s="6" t="s">
        <v>499</v>
      </c>
      <c r="C117" s="6" t="s">
        <v>342</v>
      </c>
      <c r="D117" s="6" t="s">
        <v>500</v>
      </c>
      <c r="E117" s="9" t="n">
        <v>68</v>
      </c>
      <c r="F117" s="9" t="n">
        <v>58</v>
      </c>
      <c r="G117" s="9" t="n">
        <v>48</v>
      </c>
      <c r="H117" s="6" t="str">
        <f aca="false">E117&amp;" × (L+1)^2.4 × 1.004^L  (see Building_Levels)"</f>
        <v>68 × (L+1)^2.4 × 1.004^L  (see Building_Levels)</v>
      </c>
      <c r="I117" s="6" t="s">
        <v>260</v>
      </c>
      <c r="J117" s="6" t="s">
        <v>261</v>
      </c>
      <c r="K117" s="6" t="s">
        <v>262</v>
      </c>
    </row>
    <row r="118" customFormat="false" ht="15" hidden="false" customHeight="true" outlineLevel="0" collapsed="false">
      <c r="A118" s="6" t="n">
        <v>2</v>
      </c>
      <c r="B118" s="6" t="s">
        <v>501</v>
      </c>
      <c r="C118" s="6" t="s">
        <v>342</v>
      </c>
      <c r="D118" s="6" t="s">
        <v>502</v>
      </c>
      <c r="E118" s="9" t="n">
        <v>58</v>
      </c>
      <c r="F118" s="9" t="n">
        <v>50</v>
      </c>
      <c r="G118" s="9" t="n">
        <v>40</v>
      </c>
      <c r="H118" s="6" t="str">
        <f aca="false">E118&amp;" × (L+1)^2.4 × 1.004^L  (see Building_Levels)"</f>
        <v>58 × (L+1)^2.4 × 1.004^L  (see Building_Levels)</v>
      </c>
      <c r="I118" s="6" t="s">
        <v>260</v>
      </c>
      <c r="J118" s="6" t="s">
        <v>261</v>
      </c>
      <c r="K118" s="6" t="s">
        <v>262</v>
      </c>
    </row>
    <row r="119" customFormat="false" ht="15" hidden="false" customHeight="true" outlineLevel="0" collapsed="false">
      <c r="A119" s="6" t="n">
        <v>2</v>
      </c>
      <c r="B119" s="6" t="s">
        <v>503</v>
      </c>
      <c r="C119" s="6" t="s">
        <v>23</v>
      </c>
      <c r="D119" s="6" t="s">
        <v>504</v>
      </c>
      <c r="E119" s="9" t="n">
        <v>95</v>
      </c>
      <c r="F119" s="9" t="n">
        <v>85</v>
      </c>
      <c r="G119" s="9" t="n">
        <v>90</v>
      </c>
      <c r="H119" s="6" t="str">
        <f aca="false">E119&amp;" × (L+1)^2.4 × 1.004^L  (see Building_Levels)"</f>
        <v>95 × (L+1)^2.4 × 1.004^L  (see Building_Levels)</v>
      </c>
      <c r="I119" s="6" t="s">
        <v>260</v>
      </c>
      <c r="J119" s="6" t="s">
        <v>261</v>
      </c>
      <c r="K119" s="6" t="s">
        <v>262</v>
      </c>
    </row>
    <row r="120" customFormat="false" ht="15" hidden="false" customHeight="true" outlineLevel="0" collapsed="false">
      <c r="A120" s="6" t="n">
        <v>2</v>
      </c>
      <c r="B120" s="6" t="s">
        <v>505</v>
      </c>
      <c r="C120" s="6" t="s">
        <v>23</v>
      </c>
      <c r="D120" s="6" t="s">
        <v>506</v>
      </c>
      <c r="E120" s="9" t="n">
        <v>88</v>
      </c>
      <c r="F120" s="9" t="n">
        <v>78</v>
      </c>
      <c r="G120" s="9" t="n">
        <v>84</v>
      </c>
      <c r="H120" s="6" t="str">
        <f aca="false">E120&amp;" × (L+1)^2.4 × 1.004^L  (see Building_Levels)"</f>
        <v>88 × (L+1)^2.4 × 1.004^L  (see Building_Levels)</v>
      </c>
      <c r="I120" s="6" t="s">
        <v>260</v>
      </c>
      <c r="J120" s="6" t="s">
        <v>261</v>
      </c>
      <c r="K120" s="6" t="s">
        <v>262</v>
      </c>
    </row>
    <row r="121" customFormat="false" ht="15" hidden="false" customHeight="true" outlineLevel="0" collapsed="false">
      <c r="A121" s="6" t="n">
        <v>2</v>
      </c>
      <c r="B121" s="6" t="s">
        <v>507</v>
      </c>
      <c r="C121" s="6" t="s">
        <v>23</v>
      </c>
      <c r="D121" s="6" t="s">
        <v>508</v>
      </c>
      <c r="E121" s="9" t="n">
        <v>80</v>
      </c>
      <c r="F121" s="9" t="n">
        <v>72</v>
      </c>
      <c r="G121" s="9" t="n">
        <v>86</v>
      </c>
      <c r="H121" s="6" t="str">
        <f aca="false">E121&amp;" × (L+1)^2.4 × 1.004^L  (see Building_Levels)"</f>
        <v>80 × (L+1)^2.4 × 1.004^L  (see Building_Levels)</v>
      </c>
      <c r="I121" s="6" t="s">
        <v>260</v>
      </c>
      <c r="J121" s="6" t="s">
        <v>261</v>
      </c>
      <c r="K121" s="6" t="s">
        <v>262</v>
      </c>
    </row>
    <row r="122" customFormat="false" ht="15" hidden="false" customHeight="true" outlineLevel="0" collapsed="false">
      <c r="A122" s="6" t="n">
        <v>2</v>
      </c>
      <c r="B122" s="6" t="s">
        <v>509</v>
      </c>
      <c r="C122" s="6" t="s">
        <v>23</v>
      </c>
      <c r="D122" s="6" t="s">
        <v>510</v>
      </c>
      <c r="E122" s="9" t="n">
        <v>84</v>
      </c>
      <c r="F122" s="9" t="n">
        <v>74</v>
      </c>
      <c r="G122" s="9" t="n">
        <v>80</v>
      </c>
      <c r="H122" s="6" t="str">
        <f aca="false">E122&amp;" × (L+1)^2.4 × 1.004^L  (see Building_Levels)"</f>
        <v>84 × (L+1)^2.4 × 1.004^L  (see Building_Levels)</v>
      </c>
      <c r="I122" s="6" t="s">
        <v>260</v>
      </c>
      <c r="J122" s="6" t="s">
        <v>261</v>
      </c>
      <c r="K122" s="6" t="s">
        <v>262</v>
      </c>
    </row>
    <row r="123" customFormat="false" ht="15" hidden="false" customHeight="true" outlineLevel="0" collapsed="false">
      <c r="A123" s="6" t="n">
        <v>2</v>
      </c>
      <c r="B123" s="6" t="s">
        <v>511</v>
      </c>
      <c r="C123" s="6" t="s">
        <v>356</v>
      </c>
      <c r="D123" s="6" t="s">
        <v>512</v>
      </c>
      <c r="E123" s="9" t="n">
        <v>78</v>
      </c>
      <c r="F123" s="9" t="n">
        <v>68</v>
      </c>
      <c r="G123" s="9" t="n">
        <v>54</v>
      </c>
      <c r="H123" s="6" t="str">
        <f aca="false">E123&amp;" × (L+1)^2.4 × 1.004^L  (see Building_Levels)"</f>
        <v>78 × (L+1)^2.4 × 1.004^L  (see Building_Levels)</v>
      </c>
      <c r="I123" s="6" t="s">
        <v>260</v>
      </c>
      <c r="J123" s="6" t="s">
        <v>261</v>
      </c>
      <c r="K123" s="6" t="s">
        <v>262</v>
      </c>
    </row>
    <row r="124" customFormat="false" ht="15" hidden="false" customHeight="true" outlineLevel="0" collapsed="false">
      <c r="A124" s="6" t="n">
        <v>2</v>
      </c>
      <c r="B124" s="6" t="s">
        <v>513</v>
      </c>
      <c r="C124" s="6" t="s">
        <v>356</v>
      </c>
      <c r="D124" s="6" t="s">
        <v>514</v>
      </c>
      <c r="E124" s="9" t="n">
        <v>74</v>
      </c>
      <c r="F124" s="9" t="n">
        <v>64</v>
      </c>
      <c r="G124" s="9" t="n">
        <v>50</v>
      </c>
      <c r="H124" s="6" t="str">
        <f aca="false">E124&amp;" × (L+1)^2.4 × 1.004^L  (see Building_Levels)"</f>
        <v>74 × (L+1)^2.4 × 1.004^L  (see Building_Levels)</v>
      </c>
      <c r="I124" s="6" t="s">
        <v>260</v>
      </c>
      <c r="J124" s="6" t="s">
        <v>261</v>
      </c>
      <c r="K124" s="6" t="s">
        <v>262</v>
      </c>
    </row>
    <row r="125" customFormat="false" ht="15" hidden="false" customHeight="true" outlineLevel="0" collapsed="false">
      <c r="A125" s="6" t="n">
        <v>2</v>
      </c>
      <c r="B125" s="6" t="s">
        <v>515</v>
      </c>
      <c r="C125" s="6" t="s">
        <v>356</v>
      </c>
      <c r="D125" s="6" t="s">
        <v>516</v>
      </c>
      <c r="E125" s="9" t="n">
        <v>60</v>
      </c>
      <c r="F125" s="9" t="n">
        <v>52</v>
      </c>
      <c r="G125" s="9" t="n">
        <v>42</v>
      </c>
      <c r="H125" s="6" t="str">
        <f aca="false">E125&amp;" × (L+1)^2.4 × 1.004^L  (see Building_Levels)"</f>
        <v>60 × (L+1)^2.4 × 1.004^L  (see Building_Levels)</v>
      </c>
      <c r="I125" s="6" t="s">
        <v>260</v>
      </c>
      <c r="J125" s="6" t="s">
        <v>261</v>
      </c>
      <c r="K125" s="6" t="s">
        <v>262</v>
      </c>
    </row>
    <row r="126" customFormat="false" ht="15" hidden="false" customHeight="true" outlineLevel="0" collapsed="false">
      <c r="A126" s="6" t="n">
        <v>2</v>
      </c>
      <c r="B126" s="6" t="s">
        <v>517</v>
      </c>
      <c r="C126" s="6" t="s">
        <v>356</v>
      </c>
      <c r="D126" s="6" t="s">
        <v>518</v>
      </c>
      <c r="E126" s="9" t="n">
        <v>82</v>
      </c>
      <c r="F126" s="9" t="n">
        <v>70</v>
      </c>
      <c r="G126" s="9" t="n">
        <v>56</v>
      </c>
      <c r="H126" s="6" t="str">
        <f aca="false">E126&amp;" × (L+1)^2.4 × 1.004^L  (see Building_Levels)"</f>
        <v>82 × (L+1)^2.4 × 1.004^L  (see Building_Levels)</v>
      </c>
      <c r="I126" s="6" t="s">
        <v>260</v>
      </c>
      <c r="J126" s="6" t="s">
        <v>261</v>
      </c>
      <c r="K126" s="6" t="s">
        <v>262</v>
      </c>
    </row>
    <row r="127" customFormat="false" ht="15" hidden="false" customHeight="true" outlineLevel="0" collapsed="false">
      <c r="A127" s="6" t="n">
        <v>2</v>
      </c>
      <c r="B127" s="6" t="s">
        <v>519</v>
      </c>
      <c r="C127" s="6" t="s">
        <v>356</v>
      </c>
      <c r="D127" s="6" t="s">
        <v>520</v>
      </c>
      <c r="E127" s="9" t="n">
        <v>80</v>
      </c>
      <c r="F127" s="9" t="n">
        <v>68</v>
      </c>
      <c r="G127" s="9" t="n">
        <v>56</v>
      </c>
      <c r="H127" s="6" t="str">
        <f aca="false">E127&amp;" × (L+1)^2.4 × 1.004^L  (see Building_Levels)"</f>
        <v>80 × (L+1)^2.4 × 1.004^L  (see Building_Levels)</v>
      </c>
      <c r="I127" s="6" t="s">
        <v>260</v>
      </c>
      <c r="J127" s="6" t="s">
        <v>261</v>
      </c>
      <c r="K127" s="6" t="s">
        <v>262</v>
      </c>
    </row>
    <row r="128" customFormat="false" ht="15" hidden="false" customHeight="true" outlineLevel="0" collapsed="false">
      <c r="A128" s="6" t="n">
        <v>2</v>
      </c>
      <c r="B128" s="6" t="s">
        <v>521</v>
      </c>
      <c r="C128" s="6" t="s">
        <v>371</v>
      </c>
      <c r="D128" s="6" t="s">
        <v>522</v>
      </c>
      <c r="E128" s="9" t="n">
        <v>96</v>
      </c>
      <c r="F128" s="9" t="n">
        <v>86</v>
      </c>
      <c r="G128" s="9" t="n">
        <v>72</v>
      </c>
      <c r="H128" s="6" t="str">
        <f aca="false">E128&amp;" × (L+1)^2.4 × 1.004^L  (see Building_Levels)"</f>
        <v>96 × (L+1)^2.4 × 1.004^L  (see Building_Levels)</v>
      </c>
      <c r="I128" s="6" t="s">
        <v>260</v>
      </c>
      <c r="J128" s="6" t="s">
        <v>261</v>
      </c>
      <c r="K128" s="6" t="s">
        <v>262</v>
      </c>
    </row>
    <row r="129" customFormat="false" ht="15" hidden="false" customHeight="true" outlineLevel="0" collapsed="false">
      <c r="A129" s="6" t="n">
        <v>2</v>
      </c>
      <c r="B129" s="6" t="s">
        <v>523</v>
      </c>
      <c r="C129" s="6" t="s">
        <v>371</v>
      </c>
      <c r="D129" s="6" t="s">
        <v>524</v>
      </c>
      <c r="E129" s="9" t="n">
        <v>88</v>
      </c>
      <c r="F129" s="9" t="n">
        <v>78</v>
      </c>
      <c r="G129" s="9" t="n">
        <v>68</v>
      </c>
      <c r="H129" s="6" t="str">
        <f aca="false">E129&amp;" × (L+1)^2.4 × 1.004^L  (see Building_Levels)"</f>
        <v>88 × (L+1)^2.4 × 1.004^L  (see Building_Levels)</v>
      </c>
      <c r="I129" s="6" t="s">
        <v>260</v>
      </c>
      <c r="J129" s="6" t="s">
        <v>261</v>
      </c>
      <c r="K129" s="6" t="s">
        <v>262</v>
      </c>
    </row>
    <row r="130" customFormat="false" ht="15" hidden="false" customHeight="true" outlineLevel="0" collapsed="false">
      <c r="A130" s="6" t="n">
        <v>2</v>
      </c>
      <c r="B130" s="6" t="s">
        <v>525</v>
      </c>
      <c r="C130" s="6" t="s">
        <v>371</v>
      </c>
      <c r="D130" s="6" t="s">
        <v>526</v>
      </c>
      <c r="E130" s="9" t="n">
        <v>130</v>
      </c>
      <c r="F130" s="9" t="n">
        <v>150</v>
      </c>
      <c r="G130" s="9" t="n">
        <v>100</v>
      </c>
      <c r="H130" s="6" t="str">
        <f aca="false">E130&amp;" × (L+1)^2.4 × 1.004^L  (see Building_Levels)"</f>
        <v>130 × (L+1)^2.4 × 1.004^L  (see Building_Levels)</v>
      </c>
      <c r="I130" s="6" t="s">
        <v>260</v>
      </c>
      <c r="J130" s="6" t="s">
        <v>261</v>
      </c>
      <c r="K130" s="6" t="s">
        <v>262</v>
      </c>
    </row>
    <row r="131" customFormat="false" ht="15" hidden="false" customHeight="true" outlineLevel="0" collapsed="false">
      <c r="A131" s="6" t="n">
        <v>2</v>
      </c>
      <c r="B131" s="6" t="s">
        <v>527</v>
      </c>
      <c r="C131" s="6" t="s">
        <v>371</v>
      </c>
      <c r="D131" s="6" t="s">
        <v>528</v>
      </c>
      <c r="E131" s="9" t="n">
        <v>60</v>
      </c>
      <c r="F131" s="9" t="n">
        <v>52</v>
      </c>
      <c r="G131" s="9" t="n">
        <v>42</v>
      </c>
      <c r="H131" s="6" t="str">
        <f aca="false">E131&amp;" × (L+1)^2.4 × 1.004^L  (see Building_Levels)"</f>
        <v>60 × (L+1)^2.4 × 1.004^L  (see Building_Levels)</v>
      </c>
      <c r="I131" s="6" t="s">
        <v>260</v>
      </c>
      <c r="J131" s="6" t="s">
        <v>261</v>
      </c>
      <c r="K131" s="6" t="s">
        <v>262</v>
      </c>
    </row>
    <row r="132" customFormat="false" ht="15" hidden="false" customHeight="true" outlineLevel="0" collapsed="false">
      <c r="A132" s="6" t="n">
        <v>2</v>
      </c>
      <c r="B132" s="6" t="s">
        <v>529</v>
      </c>
      <c r="C132" s="6" t="s">
        <v>258</v>
      </c>
      <c r="D132" s="6" t="s">
        <v>530</v>
      </c>
      <c r="E132" s="9" t="n">
        <v>84</v>
      </c>
      <c r="F132" s="9" t="n">
        <v>76</v>
      </c>
      <c r="G132" s="9" t="n">
        <v>60</v>
      </c>
      <c r="H132" s="6" t="str">
        <f aca="false">E132&amp;" × (L+1)^2.4 × 1.004^L  (see Building_Levels)"</f>
        <v>84 × (L+1)^2.4 × 1.004^L  (see Building_Levels)</v>
      </c>
      <c r="I132" s="6" t="s">
        <v>260</v>
      </c>
      <c r="J132" s="6" t="s">
        <v>261</v>
      </c>
      <c r="K132" s="6" t="s">
        <v>262</v>
      </c>
    </row>
    <row r="133" customFormat="false" ht="15" hidden="false" customHeight="true" outlineLevel="0" collapsed="false">
      <c r="A133" s="6" t="n">
        <v>2</v>
      </c>
      <c r="B133" s="6" t="s">
        <v>531</v>
      </c>
      <c r="C133" s="6" t="s">
        <v>371</v>
      </c>
      <c r="D133" s="6" t="s">
        <v>532</v>
      </c>
      <c r="E133" s="9" t="n">
        <v>66</v>
      </c>
      <c r="F133" s="9" t="n">
        <v>58</v>
      </c>
      <c r="G133" s="9" t="n">
        <v>48</v>
      </c>
      <c r="H133" s="6" t="str">
        <f aca="false">E133&amp;" × (L+1)^2.4 × 1.004^L  (see Building_Levels)"</f>
        <v>66 × (L+1)^2.4 × 1.004^L  (see Building_Levels)</v>
      </c>
      <c r="I133" s="6" t="s">
        <v>260</v>
      </c>
      <c r="J133" s="6" t="s">
        <v>261</v>
      </c>
      <c r="K133" s="6" t="s">
        <v>262</v>
      </c>
    </row>
    <row r="134" customFormat="false" ht="15" hidden="false" customHeight="true" outlineLevel="0" collapsed="false">
      <c r="A134" s="6" t="n">
        <v>2</v>
      </c>
      <c r="B134" s="6" t="s">
        <v>533</v>
      </c>
      <c r="C134" s="6" t="s">
        <v>342</v>
      </c>
      <c r="D134" s="6" t="s">
        <v>534</v>
      </c>
      <c r="E134" s="9" t="n">
        <v>54</v>
      </c>
      <c r="F134" s="9" t="n">
        <v>46</v>
      </c>
      <c r="G134" s="9" t="n">
        <v>38</v>
      </c>
      <c r="H134" s="6" t="str">
        <f aca="false">E134&amp;" × (L+1)^2.4 × 1.004^L  (see Building_Levels)"</f>
        <v>54 × (L+1)^2.4 × 1.004^L  (see Building_Levels)</v>
      </c>
      <c r="I134" s="6" t="s">
        <v>260</v>
      </c>
      <c r="J134" s="6" t="s">
        <v>261</v>
      </c>
      <c r="K134" s="6" t="s">
        <v>262</v>
      </c>
    </row>
    <row r="135" customFormat="false" ht="15" hidden="false" customHeight="true" outlineLevel="0" collapsed="false">
      <c r="A135" s="6" t="n">
        <v>2</v>
      </c>
      <c r="B135" s="6" t="s">
        <v>535</v>
      </c>
      <c r="C135" s="6" t="s">
        <v>356</v>
      </c>
      <c r="D135" s="6" t="s">
        <v>536</v>
      </c>
      <c r="E135" s="9" t="n">
        <v>58</v>
      </c>
      <c r="F135" s="9" t="n">
        <v>50</v>
      </c>
      <c r="G135" s="9" t="n">
        <v>40</v>
      </c>
      <c r="H135" s="6" t="str">
        <f aca="false">E135&amp;" × (L+1)^2.4 × 1.004^L  (see Building_Levels)"</f>
        <v>58 × (L+1)^2.4 × 1.004^L  (see Building_Levels)</v>
      </c>
      <c r="I135" s="6" t="s">
        <v>260</v>
      </c>
      <c r="J135" s="6" t="s">
        <v>261</v>
      </c>
      <c r="K135" s="6" t="s">
        <v>262</v>
      </c>
    </row>
    <row r="136" customFormat="false" ht="15" hidden="false" customHeight="true" outlineLevel="0" collapsed="false">
      <c r="A136" s="6" t="n">
        <v>2</v>
      </c>
      <c r="B136" s="6" t="s">
        <v>537</v>
      </c>
      <c r="C136" s="6" t="s">
        <v>333</v>
      </c>
      <c r="D136" s="6" t="s">
        <v>538</v>
      </c>
      <c r="E136" s="9" t="n">
        <v>92</v>
      </c>
      <c r="F136" s="9" t="n">
        <v>100</v>
      </c>
      <c r="G136" s="9" t="n">
        <v>70</v>
      </c>
      <c r="H136" s="6" t="str">
        <f aca="false">E136&amp;" × (L+1)^2.4 × 1.004^L  (see Building_Levels)"</f>
        <v>92 × (L+1)^2.4 × 1.004^L  (see Building_Levels)</v>
      </c>
      <c r="I136" s="6" t="s">
        <v>260</v>
      </c>
      <c r="J136" s="6" t="s">
        <v>261</v>
      </c>
      <c r="K136" s="6" t="s">
        <v>262</v>
      </c>
    </row>
    <row r="137" customFormat="false" ht="15" hidden="false" customHeight="true" outlineLevel="0" collapsed="false">
      <c r="A137" s="6" t="n">
        <v>2</v>
      </c>
      <c r="B137" s="6" t="s">
        <v>539</v>
      </c>
      <c r="C137" s="6" t="s">
        <v>371</v>
      </c>
      <c r="D137" s="6" t="s">
        <v>540</v>
      </c>
      <c r="E137" s="9" t="n">
        <v>64</v>
      </c>
      <c r="F137" s="9" t="n">
        <v>56</v>
      </c>
      <c r="G137" s="9" t="n">
        <v>46</v>
      </c>
      <c r="H137" s="6" t="str">
        <f aca="false">E137&amp;" × (L+1)^2.4 × 1.004^L  (see Building_Levels)"</f>
        <v>64 × (L+1)^2.4 × 1.004^L  (see Building_Levels)</v>
      </c>
      <c r="I137" s="6" t="s">
        <v>260</v>
      </c>
      <c r="J137" s="6" t="s">
        <v>261</v>
      </c>
      <c r="K137" s="6" t="s">
        <v>262</v>
      </c>
    </row>
    <row r="138" customFormat="false" ht="15" hidden="false" customHeight="true" outlineLevel="0" collapsed="false">
      <c r="A138" s="6" t="n">
        <v>2</v>
      </c>
      <c r="B138" s="6" t="s">
        <v>541</v>
      </c>
      <c r="C138" s="6" t="s">
        <v>371</v>
      </c>
      <c r="D138" s="6" t="s">
        <v>542</v>
      </c>
      <c r="E138" s="9" t="n">
        <v>58</v>
      </c>
      <c r="F138" s="9" t="n">
        <v>50</v>
      </c>
      <c r="G138" s="9" t="n">
        <v>44</v>
      </c>
      <c r="H138" s="6" t="str">
        <f aca="false">E138&amp;" × (L+1)^2.4 × 1.004^L  (see Building_Levels)"</f>
        <v>58 × (L+1)^2.4 × 1.004^L  (see Building_Levels)</v>
      </c>
      <c r="I138" s="6" t="s">
        <v>260</v>
      </c>
      <c r="J138" s="6" t="s">
        <v>261</v>
      </c>
      <c r="K138" s="6" t="s">
        <v>262</v>
      </c>
    </row>
    <row r="139" customFormat="false" ht="15" hidden="false" customHeight="true" outlineLevel="0" collapsed="false">
      <c r="A139" s="6" t="n">
        <v>2</v>
      </c>
      <c r="B139" s="6" t="s">
        <v>543</v>
      </c>
      <c r="C139" s="6" t="s">
        <v>351</v>
      </c>
      <c r="D139" s="6" t="s">
        <v>544</v>
      </c>
      <c r="E139" s="9" t="n">
        <v>62</v>
      </c>
      <c r="F139" s="9" t="n">
        <v>52</v>
      </c>
      <c r="G139" s="9" t="n">
        <v>44</v>
      </c>
      <c r="H139" s="6" t="str">
        <f aca="false">E139&amp;" × (L+1)^2.4 × 1.004^L  (see Building_Levels)"</f>
        <v>62 × (L+1)^2.4 × 1.004^L  (see Building_Levels)</v>
      </c>
      <c r="I139" s="6" t="s">
        <v>260</v>
      </c>
      <c r="J139" s="6" t="s">
        <v>261</v>
      </c>
      <c r="K139" s="6" t="s">
        <v>262</v>
      </c>
    </row>
    <row r="140" customFormat="false" ht="15" hidden="false" customHeight="true" outlineLevel="0" collapsed="false">
      <c r="A140" s="6" t="n">
        <v>3</v>
      </c>
      <c r="B140" s="6" t="s">
        <v>545</v>
      </c>
      <c r="C140" s="6" t="s">
        <v>258</v>
      </c>
      <c r="D140" s="6" t="s">
        <v>546</v>
      </c>
      <c r="E140" s="9" t="n">
        <v>220</v>
      </c>
      <c r="F140" s="9" t="n">
        <v>240</v>
      </c>
      <c r="G140" s="9" t="n">
        <v>190</v>
      </c>
      <c r="H140" s="6" t="str">
        <f aca="false">E140&amp;" × (L+1)^2.4 × 1.004^L  (see Building_Levels)"</f>
        <v>220 × (L+1)^2.4 × 1.004^L  (see Building_Levels)</v>
      </c>
      <c r="I140" s="6" t="s">
        <v>260</v>
      </c>
      <c r="J140" s="6" t="s">
        <v>261</v>
      </c>
      <c r="K140" s="6" t="s">
        <v>262</v>
      </c>
    </row>
    <row r="141" customFormat="false" ht="15" hidden="false" customHeight="true" outlineLevel="0" collapsed="false">
      <c r="A141" s="6" t="n">
        <v>3</v>
      </c>
      <c r="B141" s="6" t="s">
        <v>547</v>
      </c>
      <c r="C141" s="6" t="s">
        <v>264</v>
      </c>
      <c r="D141" s="6" t="s">
        <v>548</v>
      </c>
      <c r="E141" s="9" t="n">
        <v>120</v>
      </c>
      <c r="F141" s="9" t="n">
        <v>90</v>
      </c>
      <c r="G141" s="9" t="n">
        <v>80</v>
      </c>
      <c r="H141" s="6" t="str">
        <f aca="false">E141&amp;" × (L+1)^2.4 × 1.004^L  (see Building_Levels)"</f>
        <v>120 × (L+1)^2.4 × 1.004^L  (see Building_Levels)</v>
      </c>
      <c r="I141" s="6" t="s">
        <v>260</v>
      </c>
      <c r="J141" s="6" t="s">
        <v>261</v>
      </c>
      <c r="K141" s="6" t="s">
        <v>262</v>
      </c>
    </row>
    <row r="142" customFormat="false" ht="15" hidden="false" customHeight="true" outlineLevel="0" collapsed="false">
      <c r="A142" s="6" t="n">
        <v>3</v>
      </c>
      <c r="B142" s="6" t="s">
        <v>549</v>
      </c>
      <c r="C142" s="6" t="s">
        <v>264</v>
      </c>
      <c r="D142" s="6" t="s">
        <v>550</v>
      </c>
      <c r="E142" s="9" t="n">
        <v>130</v>
      </c>
      <c r="F142" s="9" t="n">
        <v>110</v>
      </c>
      <c r="G142" s="9" t="n">
        <v>95</v>
      </c>
      <c r="H142" s="6" t="str">
        <f aca="false">E142&amp;" × (L+1)^2.4 × 1.004^L  (see Building_Levels)"</f>
        <v>130 × (L+1)^2.4 × 1.004^L  (see Building_Levels)</v>
      </c>
      <c r="I142" s="6" t="s">
        <v>260</v>
      </c>
      <c r="J142" s="6" t="s">
        <v>261</v>
      </c>
      <c r="K142" s="6" t="s">
        <v>262</v>
      </c>
    </row>
    <row r="143" customFormat="false" ht="15" hidden="false" customHeight="true" outlineLevel="0" collapsed="false">
      <c r="A143" s="6" t="n">
        <v>3</v>
      </c>
      <c r="B143" s="6" t="s">
        <v>551</v>
      </c>
      <c r="C143" s="6" t="s">
        <v>264</v>
      </c>
      <c r="D143" s="6" t="s">
        <v>552</v>
      </c>
      <c r="E143" s="9" t="n">
        <v>125</v>
      </c>
      <c r="F143" s="9" t="n">
        <v>140</v>
      </c>
      <c r="G143" s="9" t="n">
        <v>100</v>
      </c>
      <c r="H143" s="6" t="str">
        <f aca="false">E143&amp;" × (L+1)^2.4 × 1.004^L  (see Building_Levels)"</f>
        <v>125 × (L+1)^2.4 × 1.004^L  (see Building_Levels)</v>
      </c>
      <c r="I143" s="6" t="s">
        <v>260</v>
      </c>
      <c r="J143" s="6" t="s">
        <v>261</v>
      </c>
      <c r="K143" s="6" t="s">
        <v>262</v>
      </c>
    </row>
    <row r="144" customFormat="false" ht="15" hidden="false" customHeight="true" outlineLevel="0" collapsed="false">
      <c r="A144" s="6" t="n">
        <v>3</v>
      </c>
      <c r="B144" s="6" t="s">
        <v>553</v>
      </c>
      <c r="C144" s="6" t="s">
        <v>264</v>
      </c>
      <c r="D144" s="6" t="s">
        <v>554</v>
      </c>
      <c r="E144" s="9" t="n">
        <v>115</v>
      </c>
      <c r="F144" s="9" t="n">
        <v>95</v>
      </c>
      <c r="G144" s="9" t="n">
        <v>85</v>
      </c>
      <c r="H144" s="6" t="str">
        <f aca="false">E144&amp;" × (L+1)^2.4 × 1.004^L  (see Building_Levels)"</f>
        <v>115 × (L+1)^2.4 × 1.004^L  (see Building_Levels)</v>
      </c>
      <c r="I144" s="6" t="s">
        <v>260</v>
      </c>
      <c r="J144" s="6" t="s">
        <v>261</v>
      </c>
      <c r="K144" s="6" t="s">
        <v>262</v>
      </c>
    </row>
    <row r="145" customFormat="false" ht="15" hidden="false" customHeight="true" outlineLevel="0" collapsed="false">
      <c r="A145" s="6" t="n">
        <v>3</v>
      </c>
      <c r="B145" s="6" t="s">
        <v>555</v>
      </c>
      <c r="C145" s="6" t="s">
        <v>264</v>
      </c>
      <c r="D145" s="6" t="s">
        <v>556</v>
      </c>
      <c r="E145" s="9" t="n">
        <v>105</v>
      </c>
      <c r="F145" s="9" t="n">
        <v>80</v>
      </c>
      <c r="G145" s="9" t="n">
        <v>70</v>
      </c>
      <c r="H145" s="6" t="str">
        <f aca="false">E145&amp;" × (L+1)^2.4 × 1.004^L  (see Building_Levels)"</f>
        <v>105 × (L+1)^2.4 × 1.004^L  (see Building_Levels)</v>
      </c>
      <c r="I145" s="6" t="s">
        <v>260</v>
      </c>
      <c r="J145" s="6" t="s">
        <v>261</v>
      </c>
      <c r="K145" s="6" t="s">
        <v>262</v>
      </c>
    </row>
    <row r="146" customFormat="false" ht="15" hidden="false" customHeight="true" outlineLevel="0" collapsed="false">
      <c r="A146" s="6" t="n">
        <v>3</v>
      </c>
      <c r="B146" s="6" t="s">
        <v>557</v>
      </c>
      <c r="C146" s="6" t="s">
        <v>264</v>
      </c>
      <c r="D146" s="6" t="s">
        <v>558</v>
      </c>
      <c r="E146" s="9" t="n">
        <v>100</v>
      </c>
      <c r="F146" s="9" t="n">
        <v>78</v>
      </c>
      <c r="G146" s="9" t="n">
        <v>70</v>
      </c>
      <c r="H146" s="6" t="str">
        <f aca="false">E146&amp;" × (L+1)^2.4 × 1.004^L  (see Building_Levels)"</f>
        <v>100 × (L+1)^2.4 × 1.004^L  (see Building_Levels)</v>
      </c>
      <c r="I146" s="6" t="s">
        <v>260</v>
      </c>
      <c r="J146" s="6" t="s">
        <v>261</v>
      </c>
      <c r="K146" s="6" t="s">
        <v>262</v>
      </c>
    </row>
    <row r="147" customFormat="false" ht="15" hidden="false" customHeight="true" outlineLevel="0" collapsed="false">
      <c r="A147" s="6" t="n">
        <v>3</v>
      </c>
      <c r="B147" s="6" t="s">
        <v>559</v>
      </c>
      <c r="C147" s="6" t="s">
        <v>293</v>
      </c>
      <c r="D147" s="6" t="s">
        <v>560</v>
      </c>
      <c r="E147" s="9" t="n">
        <v>150</v>
      </c>
      <c r="F147" s="9" t="n">
        <v>130</v>
      </c>
      <c r="G147" s="9" t="n">
        <v>120</v>
      </c>
      <c r="H147" s="6" t="str">
        <f aca="false">E147&amp;" × (L+1)^2.4 × 1.004^L  (see Building_Levels)"</f>
        <v>150 × (L+1)^2.4 × 1.004^L  (see Building_Levels)</v>
      </c>
      <c r="I147" s="6" t="s">
        <v>260</v>
      </c>
      <c r="J147" s="6" t="s">
        <v>261</v>
      </c>
      <c r="K147" s="6" t="s">
        <v>262</v>
      </c>
    </row>
    <row r="148" customFormat="false" ht="15" hidden="false" customHeight="true" outlineLevel="0" collapsed="false">
      <c r="A148" s="6" t="n">
        <v>3</v>
      </c>
      <c r="B148" s="6" t="s">
        <v>561</v>
      </c>
      <c r="C148" s="6" t="s">
        <v>293</v>
      </c>
      <c r="D148" s="6" t="s">
        <v>562</v>
      </c>
      <c r="E148" s="9" t="n">
        <v>160</v>
      </c>
      <c r="F148" s="9" t="n">
        <v>150</v>
      </c>
      <c r="G148" s="9" t="n">
        <v>130</v>
      </c>
      <c r="H148" s="6" t="str">
        <f aca="false">E148&amp;" × (L+1)^2.4 × 1.004^L  (see Building_Levels)"</f>
        <v>160 × (L+1)^2.4 × 1.004^L  (see Building_Levels)</v>
      </c>
      <c r="I148" s="6" t="s">
        <v>260</v>
      </c>
      <c r="J148" s="6" t="s">
        <v>261</v>
      </c>
      <c r="K148" s="6" t="s">
        <v>262</v>
      </c>
    </row>
    <row r="149" customFormat="false" ht="15" hidden="false" customHeight="true" outlineLevel="0" collapsed="false">
      <c r="A149" s="6" t="n">
        <v>3</v>
      </c>
      <c r="B149" s="6" t="s">
        <v>563</v>
      </c>
      <c r="C149" s="6" t="s">
        <v>293</v>
      </c>
      <c r="D149" s="6" t="s">
        <v>564</v>
      </c>
      <c r="E149" s="9" t="n">
        <v>120</v>
      </c>
      <c r="F149" s="9" t="n">
        <v>100</v>
      </c>
      <c r="G149" s="9" t="n">
        <v>88</v>
      </c>
      <c r="H149" s="6" t="str">
        <f aca="false">E149&amp;" × (L+1)^2.4 × 1.004^L  (see Building_Levels)"</f>
        <v>120 × (L+1)^2.4 × 1.004^L  (see Building_Levels)</v>
      </c>
      <c r="I149" s="6" t="s">
        <v>260</v>
      </c>
      <c r="J149" s="6" t="s">
        <v>261</v>
      </c>
      <c r="K149" s="6" t="s">
        <v>262</v>
      </c>
    </row>
    <row r="150" customFormat="false" ht="15" hidden="false" customHeight="true" outlineLevel="0" collapsed="false">
      <c r="A150" s="6" t="n">
        <v>3</v>
      </c>
      <c r="B150" s="6" t="s">
        <v>565</v>
      </c>
      <c r="C150" s="6" t="s">
        <v>293</v>
      </c>
      <c r="D150" s="6" t="s">
        <v>564</v>
      </c>
      <c r="E150" s="9" t="n">
        <v>124</v>
      </c>
      <c r="F150" s="9" t="n">
        <v>104</v>
      </c>
      <c r="G150" s="9" t="n">
        <v>92</v>
      </c>
      <c r="H150" s="6" t="str">
        <f aca="false">E150&amp;" × (L+1)^2.4 × 1.004^L  (see Building_Levels)"</f>
        <v>124 × (L+1)^2.4 × 1.004^L  (see Building_Levels)</v>
      </c>
      <c r="I150" s="6" t="s">
        <v>260</v>
      </c>
      <c r="J150" s="6" t="s">
        <v>261</v>
      </c>
      <c r="K150" s="6" t="s">
        <v>262</v>
      </c>
    </row>
    <row r="151" customFormat="false" ht="15" hidden="false" customHeight="true" outlineLevel="0" collapsed="false">
      <c r="A151" s="6" t="n">
        <v>3</v>
      </c>
      <c r="B151" s="6" t="s">
        <v>566</v>
      </c>
      <c r="C151" s="6" t="s">
        <v>293</v>
      </c>
      <c r="D151" s="6" t="s">
        <v>567</v>
      </c>
      <c r="E151" s="9" t="n">
        <v>96</v>
      </c>
      <c r="F151" s="9" t="n">
        <v>80</v>
      </c>
      <c r="G151" s="9" t="n">
        <v>70</v>
      </c>
      <c r="H151" s="6" t="str">
        <f aca="false">E151&amp;" × (L+1)^2.4 × 1.004^L  (see Building_Levels)"</f>
        <v>96 × (L+1)^2.4 × 1.004^L  (see Building_Levels)</v>
      </c>
      <c r="I151" s="6" t="s">
        <v>260</v>
      </c>
      <c r="J151" s="6" t="s">
        <v>261</v>
      </c>
      <c r="K151" s="6" t="s">
        <v>262</v>
      </c>
    </row>
    <row r="152" customFormat="false" ht="15" hidden="false" customHeight="true" outlineLevel="0" collapsed="false">
      <c r="A152" s="6" t="n">
        <v>3</v>
      </c>
      <c r="B152" s="6" t="s">
        <v>568</v>
      </c>
      <c r="C152" s="6" t="s">
        <v>293</v>
      </c>
      <c r="D152" s="6" t="s">
        <v>567</v>
      </c>
      <c r="E152" s="9" t="n">
        <v>98</v>
      </c>
      <c r="F152" s="9" t="n">
        <v>82</v>
      </c>
      <c r="G152" s="9" t="n">
        <v>72</v>
      </c>
      <c r="H152" s="6" t="str">
        <f aca="false">E152&amp;" × (L+1)^2.4 × 1.004^L  (see Building_Levels)"</f>
        <v>98 × (L+1)^2.4 × 1.004^L  (see Building_Levels)</v>
      </c>
      <c r="I152" s="6" t="s">
        <v>260</v>
      </c>
      <c r="J152" s="6" t="s">
        <v>261</v>
      </c>
      <c r="K152" s="6" t="s">
        <v>262</v>
      </c>
    </row>
    <row r="153" customFormat="false" ht="15" hidden="false" customHeight="true" outlineLevel="0" collapsed="false">
      <c r="A153" s="6" t="n">
        <v>3</v>
      </c>
      <c r="B153" s="6" t="s">
        <v>569</v>
      </c>
      <c r="C153" s="6" t="s">
        <v>312</v>
      </c>
      <c r="D153" s="6" t="s">
        <v>570</v>
      </c>
      <c r="E153" s="9" t="n">
        <v>170</v>
      </c>
      <c r="F153" s="9" t="n">
        <v>160</v>
      </c>
      <c r="G153" s="9" t="n">
        <v>140</v>
      </c>
      <c r="H153" s="6" t="str">
        <f aca="false">E153&amp;" × (L+1)^2.4 × 1.004^L  (see Building_Levels)"</f>
        <v>170 × (L+1)^2.4 × 1.004^L  (see Building_Levels)</v>
      </c>
      <c r="I153" s="6" t="s">
        <v>260</v>
      </c>
      <c r="J153" s="6" t="s">
        <v>261</v>
      </c>
      <c r="K153" s="6" t="s">
        <v>262</v>
      </c>
    </row>
    <row r="154" customFormat="false" ht="15" hidden="false" customHeight="true" outlineLevel="0" collapsed="false">
      <c r="A154" s="6" t="n">
        <v>3</v>
      </c>
      <c r="B154" s="6" t="s">
        <v>571</v>
      </c>
      <c r="C154" s="6" t="s">
        <v>312</v>
      </c>
      <c r="D154" s="6" t="s">
        <v>572</v>
      </c>
      <c r="E154" s="9" t="n">
        <v>140</v>
      </c>
      <c r="F154" s="9" t="n">
        <v>120</v>
      </c>
      <c r="G154" s="9" t="n">
        <v>105</v>
      </c>
      <c r="H154" s="6" t="str">
        <f aca="false">E154&amp;" × (L+1)^2.4 × 1.004^L  (see Building_Levels)"</f>
        <v>140 × (L+1)^2.4 × 1.004^L  (see Building_Levels)</v>
      </c>
      <c r="I154" s="6" t="s">
        <v>260</v>
      </c>
      <c r="J154" s="6" t="s">
        <v>261</v>
      </c>
      <c r="K154" s="6" t="s">
        <v>262</v>
      </c>
    </row>
    <row r="155" customFormat="false" ht="15" hidden="false" customHeight="true" outlineLevel="0" collapsed="false">
      <c r="A155" s="6" t="n">
        <v>3</v>
      </c>
      <c r="B155" s="6" t="s">
        <v>573</v>
      </c>
      <c r="C155" s="6" t="s">
        <v>312</v>
      </c>
      <c r="D155" s="6" t="s">
        <v>574</v>
      </c>
      <c r="E155" s="9" t="n">
        <v>120</v>
      </c>
      <c r="F155" s="9" t="n">
        <v>100</v>
      </c>
      <c r="G155" s="9" t="n">
        <v>90</v>
      </c>
      <c r="H155" s="6" t="str">
        <f aca="false">E155&amp;" × (L+1)^2.4 × 1.004^L  (see Building_Levels)"</f>
        <v>120 × (L+1)^2.4 × 1.004^L  (see Building_Levels)</v>
      </c>
      <c r="I155" s="6" t="s">
        <v>260</v>
      </c>
      <c r="J155" s="6" t="s">
        <v>261</v>
      </c>
      <c r="K155" s="6" t="s">
        <v>262</v>
      </c>
    </row>
    <row r="156" customFormat="false" ht="15" hidden="false" customHeight="true" outlineLevel="0" collapsed="false">
      <c r="A156" s="6" t="n">
        <v>3</v>
      </c>
      <c r="B156" s="6" t="s">
        <v>575</v>
      </c>
      <c r="C156" s="6" t="s">
        <v>312</v>
      </c>
      <c r="D156" s="6" t="s">
        <v>576</v>
      </c>
      <c r="E156" s="9" t="n">
        <v>150</v>
      </c>
      <c r="F156" s="9" t="n">
        <v>130</v>
      </c>
      <c r="G156" s="9" t="n">
        <v>118</v>
      </c>
      <c r="H156" s="6" t="str">
        <f aca="false">E156&amp;" × (L+1)^2.4 × 1.004^L  (see Building_Levels)"</f>
        <v>150 × (L+1)^2.4 × 1.004^L  (see Building_Levels)</v>
      </c>
      <c r="I156" s="6" t="s">
        <v>260</v>
      </c>
      <c r="J156" s="6" t="s">
        <v>261</v>
      </c>
      <c r="K156" s="6" t="s">
        <v>262</v>
      </c>
    </row>
    <row r="157" customFormat="false" ht="15" hidden="false" customHeight="true" outlineLevel="0" collapsed="false">
      <c r="A157" s="6" t="n">
        <v>3</v>
      </c>
      <c r="B157" s="6" t="s">
        <v>577</v>
      </c>
      <c r="C157" s="6" t="s">
        <v>312</v>
      </c>
      <c r="D157" s="6" t="s">
        <v>578</v>
      </c>
      <c r="E157" s="9" t="n">
        <v>180</v>
      </c>
      <c r="F157" s="9" t="n">
        <v>160</v>
      </c>
      <c r="G157" s="9" t="n">
        <v>140</v>
      </c>
      <c r="H157" s="6" t="str">
        <f aca="false">E157&amp;" × (L+1)^2.4 × 1.004^L  (see Building_Levels)"</f>
        <v>180 × (L+1)^2.4 × 1.004^L  (see Building_Levels)</v>
      </c>
      <c r="I157" s="6" t="s">
        <v>260</v>
      </c>
      <c r="J157" s="6" t="s">
        <v>261</v>
      </c>
      <c r="K157" s="6" t="s">
        <v>262</v>
      </c>
    </row>
    <row r="158" customFormat="false" ht="15" hidden="false" customHeight="true" outlineLevel="0" collapsed="false">
      <c r="A158" s="6" t="n">
        <v>3</v>
      </c>
      <c r="B158" s="6" t="s">
        <v>579</v>
      </c>
      <c r="C158" s="6" t="s">
        <v>342</v>
      </c>
      <c r="D158" s="6" t="s">
        <v>580</v>
      </c>
      <c r="E158" s="9" t="n">
        <v>150</v>
      </c>
      <c r="F158" s="9" t="n">
        <v>130</v>
      </c>
      <c r="G158" s="9" t="n">
        <v>120</v>
      </c>
      <c r="H158" s="6" t="str">
        <f aca="false">E158&amp;" × (L+1)^2.4 × 1.004^L  (see Building_Levels)"</f>
        <v>150 × (L+1)^2.4 × 1.004^L  (see Building_Levels)</v>
      </c>
      <c r="I158" s="6" t="s">
        <v>260</v>
      </c>
      <c r="J158" s="6" t="s">
        <v>261</v>
      </c>
      <c r="K158" s="6" t="s">
        <v>262</v>
      </c>
    </row>
    <row r="159" customFormat="false" ht="15" hidden="false" customHeight="true" outlineLevel="0" collapsed="false">
      <c r="A159" s="6" t="n">
        <v>3</v>
      </c>
      <c r="B159" s="6" t="s">
        <v>581</v>
      </c>
      <c r="C159" s="6" t="s">
        <v>356</v>
      </c>
      <c r="D159" s="6" t="s">
        <v>582</v>
      </c>
      <c r="E159" s="9" t="n">
        <v>160</v>
      </c>
      <c r="F159" s="9" t="n">
        <v>140</v>
      </c>
      <c r="G159" s="9" t="n">
        <v>120</v>
      </c>
      <c r="H159" s="6" t="str">
        <f aca="false">E159&amp;" × (L+1)^2.4 × 1.004^L  (see Building_Levels)"</f>
        <v>160 × (L+1)^2.4 × 1.004^L  (see Building_Levels)</v>
      </c>
      <c r="I159" s="6" t="s">
        <v>260</v>
      </c>
      <c r="J159" s="6" t="s">
        <v>261</v>
      </c>
      <c r="K159" s="6" t="s">
        <v>262</v>
      </c>
    </row>
    <row r="160" customFormat="false" ht="15" hidden="false" customHeight="true" outlineLevel="0" collapsed="false">
      <c r="A160" s="6" t="n">
        <v>3</v>
      </c>
      <c r="B160" s="6" t="s">
        <v>583</v>
      </c>
      <c r="C160" s="6" t="s">
        <v>356</v>
      </c>
      <c r="D160" s="6" t="s">
        <v>584</v>
      </c>
      <c r="E160" s="9" t="n">
        <v>170</v>
      </c>
      <c r="F160" s="9" t="n">
        <v>150</v>
      </c>
      <c r="G160" s="9" t="n">
        <v>130</v>
      </c>
      <c r="H160" s="6" t="str">
        <f aca="false">E160&amp;" × (L+1)^2.4 × 1.004^L  (see Building_Levels)"</f>
        <v>170 × (L+1)^2.4 × 1.004^L  (see Building_Levels)</v>
      </c>
      <c r="I160" s="6" t="s">
        <v>260</v>
      </c>
      <c r="J160" s="6" t="s">
        <v>261</v>
      </c>
      <c r="K160" s="6" t="s">
        <v>262</v>
      </c>
    </row>
    <row r="161" customFormat="false" ht="15" hidden="false" customHeight="true" outlineLevel="0" collapsed="false">
      <c r="A161" s="6" t="n">
        <v>3</v>
      </c>
      <c r="B161" s="6" t="s">
        <v>585</v>
      </c>
      <c r="C161" s="6" t="s">
        <v>356</v>
      </c>
      <c r="D161" s="6" t="s">
        <v>586</v>
      </c>
      <c r="E161" s="9" t="n">
        <v>140</v>
      </c>
      <c r="F161" s="9" t="n">
        <v>150</v>
      </c>
      <c r="G161" s="9" t="n">
        <v>110</v>
      </c>
      <c r="H161" s="6" t="str">
        <f aca="false">E161&amp;" × (L+1)^2.4 × 1.004^L  (see Building_Levels)"</f>
        <v>140 × (L+1)^2.4 × 1.004^L  (see Building_Levels)</v>
      </c>
      <c r="I161" s="6" t="s">
        <v>260</v>
      </c>
      <c r="J161" s="6" t="s">
        <v>261</v>
      </c>
      <c r="K161" s="6" t="s">
        <v>262</v>
      </c>
    </row>
    <row r="162" customFormat="false" ht="15" hidden="false" customHeight="true" outlineLevel="0" collapsed="false">
      <c r="A162" s="6" t="n">
        <v>3</v>
      </c>
      <c r="B162" s="6" t="s">
        <v>587</v>
      </c>
      <c r="C162" s="6" t="s">
        <v>351</v>
      </c>
      <c r="D162" s="6" t="s">
        <v>588</v>
      </c>
      <c r="E162" s="9" t="n">
        <v>130</v>
      </c>
      <c r="F162" s="9" t="n">
        <v>116</v>
      </c>
      <c r="G162" s="9" t="n">
        <v>100</v>
      </c>
      <c r="H162" s="6" t="str">
        <f aca="false">E162&amp;" × (L+1)^2.4 × 1.004^L  (see Building_Levels)"</f>
        <v>130 × (L+1)^2.4 × 1.004^L  (see Building_Levels)</v>
      </c>
      <c r="I162" s="6" t="s">
        <v>260</v>
      </c>
      <c r="J162" s="6" t="s">
        <v>261</v>
      </c>
      <c r="K162" s="6" t="s">
        <v>262</v>
      </c>
    </row>
    <row r="163" customFormat="false" ht="15" hidden="false" customHeight="true" outlineLevel="0" collapsed="false">
      <c r="A163" s="6" t="n">
        <v>3</v>
      </c>
      <c r="B163" s="6" t="s">
        <v>589</v>
      </c>
      <c r="C163" s="6" t="s">
        <v>351</v>
      </c>
      <c r="D163" s="6" t="s">
        <v>590</v>
      </c>
      <c r="E163" s="9" t="n">
        <v>160</v>
      </c>
      <c r="F163" s="9" t="n">
        <v>140</v>
      </c>
      <c r="G163" s="9" t="n">
        <v>124</v>
      </c>
      <c r="H163" s="6" t="str">
        <f aca="false">E163&amp;" × (L+1)^2.4 × 1.004^L  (see Building_Levels)"</f>
        <v>160 × (L+1)^2.4 × 1.004^L  (see Building_Levels)</v>
      </c>
      <c r="I163" s="6" t="s">
        <v>260</v>
      </c>
      <c r="J163" s="6" t="s">
        <v>261</v>
      </c>
      <c r="K163" s="6" t="s">
        <v>262</v>
      </c>
    </row>
    <row r="164" customFormat="false" ht="15" hidden="false" customHeight="true" outlineLevel="0" collapsed="false">
      <c r="A164" s="6" t="n">
        <v>3</v>
      </c>
      <c r="B164" s="6" t="s">
        <v>591</v>
      </c>
      <c r="C164" s="6" t="s">
        <v>351</v>
      </c>
      <c r="D164" s="6" t="s">
        <v>592</v>
      </c>
      <c r="E164" s="9" t="n">
        <v>170</v>
      </c>
      <c r="F164" s="9" t="n">
        <v>150</v>
      </c>
      <c r="G164" s="9" t="n">
        <v>134</v>
      </c>
      <c r="H164" s="6" t="str">
        <f aca="false">E164&amp;" × (L+1)^2.4 × 1.004^L  (see Building_Levels)"</f>
        <v>170 × (L+1)^2.4 × 1.004^L  (see Building_Levels)</v>
      </c>
      <c r="I164" s="6" t="s">
        <v>260</v>
      </c>
      <c r="J164" s="6" t="s">
        <v>261</v>
      </c>
      <c r="K164" s="6" t="s">
        <v>262</v>
      </c>
    </row>
    <row r="165" customFormat="false" ht="15" hidden="false" customHeight="true" outlineLevel="0" collapsed="false">
      <c r="A165" s="6" t="n">
        <v>3</v>
      </c>
      <c r="B165" s="6" t="s">
        <v>593</v>
      </c>
      <c r="C165" s="6" t="s">
        <v>351</v>
      </c>
      <c r="D165" s="6" t="s">
        <v>594</v>
      </c>
      <c r="E165" s="9" t="n">
        <v>150</v>
      </c>
      <c r="F165" s="9" t="n">
        <v>132</v>
      </c>
      <c r="G165" s="9" t="n">
        <v>118</v>
      </c>
      <c r="H165" s="6" t="str">
        <f aca="false">E165&amp;" × (L+1)^2.4 × 1.004^L  (see Building_Levels)"</f>
        <v>150 × (L+1)^2.4 × 1.004^L  (see Building_Levels)</v>
      </c>
      <c r="I165" s="6" t="s">
        <v>260</v>
      </c>
      <c r="J165" s="6" t="s">
        <v>261</v>
      </c>
      <c r="K165" s="6" t="s">
        <v>262</v>
      </c>
    </row>
    <row r="166" customFormat="false" ht="15" hidden="false" customHeight="true" outlineLevel="0" collapsed="false">
      <c r="A166" s="6" t="n">
        <v>3</v>
      </c>
      <c r="B166" s="6" t="s">
        <v>595</v>
      </c>
      <c r="C166" s="6" t="s">
        <v>351</v>
      </c>
      <c r="D166" s="6" t="s">
        <v>596</v>
      </c>
      <c r="E166" s="9" t="n">
        <v>140</v>
      </c>
      <c r="F166" s="9" t="n">
        <v>124</v>
      </c>
      <c r="G166" s="9" t="n">
        <v>110</v>
      </c>
      <c r="H166" s="6" t="str">
        <f aca="false">E166&amp;" × (L+1)^2.4 × 1.004^L  (see Building_Levels)"</f>
        <v>140 × (L+1)^2.4 × 1.004^L  (see Building_Levels)</v>
      </c>
      <c r="I166" s="6" t="s">
        <v>260</v>
      </c>
      <c r="J166" s="6" t="s">
        <v>261</v>
      </c>
      <c r="K166" s="6" t="s">
        <v>262</v>
      </c>
    </row>
    <row r="167" customFormat="false" ht="15" hidden="false" customHeight="true" outlineLevel="0" collapsed="false">
      <c r="A167" s="6" t="n">
        <v>3</v>
      </c>
      <c r="B167" s="6" t="s">
        <v>597</v>
      </c>
      <c r="C167" s="6" t="s">
        <v>356</v>
      </c>
      <c r="D167" s="6" t="s">
        <v>598</v>
      </c>
      <c r="E167" s="9" t="n">
        <v>150</v>
      </c>
      <c r="F167" s="9" t="n">
        <v>134</v>
      </c>
      <c r="G167" s="9" t="n">
        <v>116</v>
      </c>
      <c r="H167" s="6" t="str">
        <f aca="false">E167&amp;" × (L+1)^2.4 × 1.004^L  (see Building_Levels)"</f>
        <v>150 × (L+1)^2.4 × 1.004^L  (see Building_Levels)</v>
      </c>
      <c r="I167" s="6" t="s">
        <v>260</v>
      </c>
      <c r="J167" s="6" t="s">
        <v>261</v>
      </c>
      <c r="K167" s="6" t="s">
        <v>262</v>
      </c>
    </row>
    <row r="168" customFormat="false" ht="15" hidden="false" customHeight="true" outlineLevel="0" collapsed="false">
      <c r="A168" s="6" t="n">
        <v>3</v>
      </c>
      <c r="B168" s="6" t="s">
        <v>599</v>
      </c>
      <c r="C168" s="6" t="s">
        <v>333</v>
      </c>
      <c r="D168" s="6" t="s">
        <v>600</v>
      </c>
      <c r="E168" s="9" t="n">
        <v>220</v>
      </c>
      <c r="F168" s="9" t="n">
        <v>260</v>
      </c>
      <c r="G168" s="9" t="n">
        <v>190</v>
      </c>
      <c r="H168" s="6" t="str">
        <f aca="false">E168&amp;" × (L+1)^2.4 × 1.004^L  (see Building_Levels)"</f>
        <v>220 × (L+1)^2.4 × 1.004^L  (see Building_Levels)</v>
      </c>
      <c r="I168" s="6" t="s">
        <v>260</v>
      </c>
      <c r="J168" s="6" t="s">
        <v>261</v>
      </c>
      <c r="K168" s="6" t="s">
        <v>262</v>
      </c>
    </row>
    <row r="169" customFormat="false" ht="15" hidden="false" customHeight="true" outlineLevel="0" collapsed="false">
      <c r="A169" s="6" t="n">
        <v>3</v>
      </c>
      <c r="B169" s="6" t="s">
        <v>601</v>
      </c>
      <c r="C169" s="6" t="s">
        <v>333</v>
      </c>
      <c r="D169" s="6" t="s">
        <v>602</v>
      </c>
      <c r="E169" s="9" t="n">
        <v>180</v>
      </c>
      <c r="F169" s="9" t="n">
        <v>200</v>
      </c>
      <c r="G169" s="9" t="n">
        <v>150</v>
      </c>
      <c r="H169" s="6" t="str">
        <f aca="false">E169&amp;" × (L+1)^2.4 × 1.004^L  (see Building_Levels)"</f>
        <v>180 × (L+1)^2.4 × 1.004^L  (see Building_Levels)</v>
      </c>
      <c r="I169" s="6" t="s">
        <v>260</v>
      </c>
      <c r="J169" s="6" t="s">
        <v>261</v>
      </c>
      <c r="K169" s="6" t="s">
        <v>262</v>
      </c>
    </row>
    <row r="170" customFormat="false" ht="15" hidden="false" customHeight="true" outlineLevel="0" collapsed="false">
      <c r="A170" s="6" t="n">
        <v>3</v>
      </c>
      <c r="B170" s="6" t="s">
        <v>603</v>
      </c>
      <c r="C170" s="6" t="s">
        <v>333</v>
      </c>
      <c r="D170" s="6" t="s">
        <v>604</v>
      </c>
      <c r="E170" s="9" t="n">
        <v>160</v>
      </c>
      <c r="F170" s="9" t="n">
        <v>180</v>
      </c>
      <c r="G170" s="9" t="n">
        <v>136</v>
      </c>
      <c r="H170" s="6" t="str">
        <f aca="false">E170&amp;" × (L+1)^2.4 × 1.004^L  (see Building_Levels)"</f>
        <v>160 × (L+1)^2.4 × 1.004^L  (see Building_Levels)</v>
      </c>
      <c r="I170" s="6" t="s">
        <v>260</v>
      </c>
      <c r="J170" s="6" t="s">
        <v>261</v>
      </c>
      <c r="K170" s="6" t="s">
        <v>262</v>
      </c>
    </row>
    <row r="171" customFormat="false" ht="15" hidden="false" customHeight="true" outlineLevel="0" collapsed="false">
      <c r="A171" s="6" t="n">
        <v>3</v>
      </c>
      <c r="B171" s="6" t="s">
        <v>605</v>
      </c>
      <c r="C171" s="6" t="s">
        <v>333</v>
      </c>
      <c r="D171" s="6" t="s">
        <v>606</v>
      </c>
      <c r="E171" s="9" t="n">
        <v>150</v>
      </c>
      <c r="F171" s="9" t="n">
        <v>160</v>
      </c>
      <c r="G171" s="9" t="n">
        <v>124</v>
      </c>
      <c r="H171" s="6" t="str">
        <f aca="false">E171&amp;" × (L+1)^2.4 × 1.004^L  (see Building_Levels)"</f>
        <v>150 × (L+1)^2.4 × 1.004^L  (see Building_Levels)</v>
      </c>
      <c r="I171" s="6" t="s">
        <v>260</v>
      </c>
      <c r="J171" s="6" t="s">
        <v>261</v>
      </c>
      <c r="K171" s="6" t="s">
        <v>262</v>
      </c>
    </row>
    <row r="172" customFormat="false" ht="15" hidden="false" customHeight="true" outlineLevel="0" collapsed="false">
      <c r="A172" s="6" t="n">
        <v>3</v>
      </c>
      <c r="B172" s="6" t="s">
        <v>607</v>
      </c>
      <c r="C172" s="6" t="s">
        <v>342</v>
      </c>
      <c r="D172" s="6" t="s">
        <v>608</v>
      </c>
      <c r="E172" s="9" t="n">
        <v>190</v>
      </c>
      <c r="F172" s="9" t="n">
        <v>170</v>
      </c>
      <c r="G172" s="9" t="n">
        <v>156</v>
      </c>
      <c r="H172" s="6" t="str">
        <f aca="false">E172&amp;" × (L+1)^2.4 × 1.004^L  (see Building_Levels)"</f>
        <v>190 × (L+1)^2.4 × 1.004^L  (see Building_Levels)</v>
      </c>
      <c r="I172" s="6" t="s">
        <v>260</v>
      </c>
      <c r="J172" s="6" t="s">
        <v>261</v>
      </c>
      <c r="K172" s="6" t="s">
        <v>262</v>
      </c>
    </row>
    <row r="173" customFormat="false" ht="15" hidden="false" customHeight="true" outlineLevel="0" collapsed="false">
      <c r="A173" s="6" t="n">
        <v>3</v>
      </c>
      <c r="B173" s="6" t="s">
        <v>609</v>
      </c>
      <c r="C173" s="6" t="s">
        <v>342</v>
      </c>
      <c r="D173" s="6" t="s">
        <v>610</v>
      </c>
      <c r="E173" s="9" t="n">
        <v>150</v>
      </c>
      <c r="F173" s="9" t="n">
        <v>134</v>
      </c>
      <c r="G173" s="9" t="n">
        <v>124</v>
      </c>
      <c r="H173" s="6" t="str">
        <f aca="false">E173&amp;" × (L+1)^2.4 × 1.004^L  (see Building_Levels)"</f>
        <v>150 × (L+1)^2.4 × 1.004^L  (see Building_Levels)</v>
      </c>
      <c r="I173" s="6" t="s">
        <v>260</v>
      </c>
      <c r="J173" s="6" t="s">
        <v>261</v>
      </c>
      <c r="K173" s="6" t="s">
        <v>262</v>
      </c>
    </row>
    <row r="174" customFormat="false" ht="15" hidden="false" customHeight="true" outlineLevel="0" collapsed="false">
      <c r="A174" s="6" t="n">
        <v>3</v>
      </c>
      <c r="B174" s="6" t="s">
        <v>611</v>
      </c>
      <c r="C174" s="6" t="s">
        <v>371</v>
      </c>
      <c r="D174" s="6" t="s">
        <v>612</v>
      </c>
      <c r="E174" s="9" t="n">
        <v>140</v>
      </c>
      <c r="F174" s="9" t="n">
        <v>124</v>
      </c>
      <c r="G174" s="9" t="n">
        <v>112</v>
      </c>
      <c r="H174" s="6" t="str">
        <f aca="false">E174&amp;" × (L+1)^2.4 × 1.004^L  (see Building_Levels)"</f>
        <v>140 × (L+1)^2.4 × 1.004^L  (see Building_Levels)</v>
      </c>
      <c r="I174" s="6" t="s">
        <v>260</v>
      </c>
      <c r="J174" s="6" t="s">
        <v>261</v>
      </c>
      <c r="K174" s="6" t="s">
        <v>262</v>
      </c>
    </row>
    <row r="175" customFormat="false" ht="15" hidden="false" customHeight="true" outlineLevel="0" collapsed="false">
      <c r="A175" s="6" t="n">
        <v>3</v>
      </c>
      <c r="B175" s="6" t="s">
        <v>613</v>
      </c>
      <c r="C175" s="6" t="s">
        <v>371</v>
      </c>
      <c r="D175" s="6" t="s">
        <v>614</v>
      </c>
      <c r="E175" s="9" t="n">
        <v>180</v>
      </c>
      <c r="F175" s="9" t="n">
        <v>160</v>
      </c>
      <c r="G175" s="9" t="n">
        <v>144</v>
      </c>
      <c r="H175" s="6" t="str">
        <f aca="false">E175&amp;" × (L+1)^2.4 × 1.004^L  (see Building_Levels)"</f>
        <v>180 × (L+1)^2.4 × 1.004^L  (see Building_Levels)</v>
      </c>
      <c r="I175" s="6" t="s">
        <v>260</v>
      </c>
      <c r="J175" s="6" t="s">
        <v>261</v>
      </c>
      <c r="K175" s="6" t="s">
        <v>262</v>
      </c>
    </row>
    <row r="176" customFormat="false" ht="15" hidden="false" customHeight="true" outlineLevel="0" collapsed="false">
      <c r="A176" s="6" t="n">
        <v>3</v>
      </c>
      <c r="B176" s="6" t="s">
        <v>615</v>
      </c>
      <c r="C176" s="6" t="s">
        <v>371</v>
      </c>
      <c r="D176" s="6" t="s">
        <v>616</v>
      </c>
      <c r="E176" s="9" t="n">
        <v>150</v>
      </c>
      <c r="F176" s="9" t="n">
        <v>134</v>
      </c>
      <c r="G176" s="9" t="n">
        <v>120</v>
      </c>
      <c r="H176" s="6" t="str">
        <f aca="false">E176&amp;" × (L+1)^2.4 × 1.004^L  (see Building_Levels)"</f>
        <v>150 × (L+1)^2.4 × 1.004^L  (see Building_Levels)</v>
      </c>
      <c r="I176" s="6" t="s">
        <v>260</v>
      </c>
      <c r="J176" s="6" t="s">
        <v>261</v>
      </c>
      <c r="K176" s="6" t="s">
        <v>262</v>
      </c>
    </row>
    <row r="177" customFormat="false" ht="15" hidden="false" customHeight="true" outlineLevel="0" collapsed="false">
      <c r="A177" s="6" t="n">
        <v>3</v>
      </c>
      <c r="B177" s="6" t="s">
        <v>617</v>
      </c>
      <c r="C177" s="6" t="s">
        <v>371</v>
      </c>
      <c r="D177" s="6" t="s">
        <v>618</v>
      </c>
      <c r="E177" s="9" t="n">
        <v>130</v>
      </c>
      <c r="F177" s="9" t="n">
        <v>116</v>
      </c>
      <c r="G177" s="9" t="n">
        <v>104</v>
      </c>
      <c r="H177" s="6" t="str">
        <f aca="false">E177&amp;" × (L+1)^2.4 × 1.004^L  (see Building_Levels)"</f>
        <v>130 × (L+1)^2.4 × 1.004^L  (see Building_Levels)</v>
      </c>
      <c r="I177" s="6" t="s">
        <v>260</v>
      </c>
      <c r="J177" s="6" t="s">
        <v>261</v>
      </c>
      <c r="K177" s="6" t="s">
        <v>262</v>
      </c>
    </row>
    <row r="178" customFormat="false" ht="15" hidden="false" customHeight="true" outlineLevel="0" collapsed="false">
      <c r="A178" s="6" t="n">
        <v>3</v>
      </c>
      <c r="B178" s="6" t="s">
        <v>619</v>
      </c>
      <c r="C178" s="6" t="s">
        <v>342</v>
      </c>
      <c r="D178" s="6" t="s">
        <v>620</v>
      </c>
      <c r="E178" s="9" t="n">
        <v>170</v>
      </c>
      <c r="F178" s="9" t="n">
        <v>150</v>
      </c>
      <c r="G178" s="9" t="n">
        <v>140</v>
      </c>
      <c r="H178" s="6" t="str">
        <f aca="false">E178&amp;" × (L+1)^2.4 × 1.004^L  (see Building_Levels)"</f>
        <v>170 × (L+1)^2.4 × 1.004^L  (see Building_Levels)</v>
      </c>
      <c r="I178" s="6" t="s">
        <v>260</v>
      </c>
      <c r="J178" s="6" t="s">
        <v>261</v>
      </c>
      <c r="K178" s="6" t="s">
        <v>262</v>
      </c>
    </row>
    <row r="179" customFormat="false" ht="15" hidden="false" customHeight="true" outlineLevel="0" collapsed="false">
      <c r="A179" s="6" t="n">
        <v>3</v>
      </c>
      <c r="B179" s="6" t="s">
        <v>621</v>
      </c>
      <c r="C179" s="6" t="s">
        <v>342</v>
      </c>
      <c r="D179" s="6" t="s">
        <v>622</v>
      </c>
      <c r="E179" s="9" t="n">
        <v>150</v>
      </c>
      <c r="F179" s="9" t="n">
        <v>132</v>
      </c>
      <c r="G179" s="9" t="n">
        <v>120</v>
      </c>
      <c r="H179" s="6" t="str">
        <f aca="false">E179&amp;" × (L+1)^2.4 × 1.004^L  (see Building_Levels)"</f>
        <v>150 × (L+1)^2.4 × 1.004^L  (see Building_Levels)</v>
      </c>
      <c r="I179" s="6" t="s">
        <v>260</v>
      </c>
      <c r="J179" s="6" t="s">
        <v>261</v>
      </c>
      <c r="K179" s="6" t="s">
        <v>262</v>
      </c>
    </row>
    <row r="180" customFormat="false" ht="15" hidden="false" customHeight="true" outlineLevel="0" collapsed="false">
      <c r="A180" s="6" t="n">
        <v>3</v>
      </c>
      <c r="B180" s="6" t="s">
        <v>623</v>
      </c>
      <c r="C180" s="6" t="s">
        <v>342</v>
      </c>
      <c r="D180" s="6" t="s">
        <v>624</v>
      </c>
      <c r="E180" s="9" t="n">
        <v>144</v>
      </c>
      <c r="F180" s="9" t="n">
        <v>128</v>
      </c>
      <c r="G180" s="9" t="n">
        <v>116</v>
      </c>
      <c r="H180" s="6" t="str">
        <f aca="false">E180&amp;" × (L+1)^2.4 × 1.004^L  (see Building_Levels)"</f>
        <v>144 × (L+1)^2.4 × 1.004^L  (see Building_Levels)</v>
      </c>
      <c r="I180" s="6" t="s">
        <v>260</v>
      </c>
      <c r="J180" s="6" t="s">
        <v>261</v>
      </c>
      <c r="K180" s="6" t="s">
        <v>262</v>
      </c>
    </row>
    <row r="181" customFormat="false" ht="15" hidden="false" customHeight="true" outlineLevel="0" collapsed="false">
      <c r="A181" s="6" t="n">
        <v>3</v>
      </c>
      <c r="B181" s="6" t="s">
        <v>625</v>
      </c>
      <c r="C181" s="6" t="s">
        <v>23</v>
      </c>
      <c r="D181" s="6" t="s">
        <v>626</v>
      </c>
      <c r="E181" s="9" t="n">
        <v>170</v>
      </c>
      <c r="F181" s="9" t="n">
        <v>150</v>
      </c>
      <c r="G181" s="9" t="n">
        <v>150</v>
      </c>
      <c r="H181" s="6" t="str">
        <f aca="false">E181&amp;" × (L+1)^2.4 × 1.004^L  (see Building_Levels)"</f>
        <v>170 × (L+1)^2.4 × 1.004^L  (see Building_Levels)</v>
      </c>
      <c r="I181" s="6" t="s">
        <v>260</v>
      </c>
      <c r="J181" s="6" t="s">
        <v>261</v>
      </c>
      <c r="K181" s="6" t="s">
        <v>262</v>
      </c>
    </row>
    <row r="182" customFormat="false" ht="15" hidden="false" customHeight="true" outlineLevel="0" collapsed="false">
      <c r="A182" s="6" t="n">
        <v>3</v>
      </c>
      <c r="B182" s="6" t="s">
        <v>627</v>
      </c>
      <c r="C182" s="6" t="s">
        <v>23</v>
      </c>
      <c r="D182" s="6" t="s">
        <v>628</v>
      </c>
      <c r="E182" s="9" t="n">
        <v>185</v>
      </c>
      <c r="F182" s="9" t="n">
        <v>165</v>
      </c>
      <c r="G182" s="9" t="n">
        <v>170</v>
      </c>
      <c r="H182" s="6" t="str">
        <f aca="false">E182&amp;" × (L+1)^2.4 × 1.004^L  (see Building_Levels)"</f>
        <v>185 × (L+1)^2.4 × 1.004^L  (see Building_Levels)</v>
      </c>
      <c r="I182" s="6" t="s">
        <v>260</v>
      </c>
      <c r="J182" s="6" t="s">
        <v>261</v>
      </c>
      <c r="K182" s="6" t="s">
        <v>262</v>
      </c>
    </row>
    <row r="183" customFormat="false" ht="15" hidden="false" customHeight="true" outlineLevel="0" collapsed="false">
      <c r="A183" s="6" t="n">
        <v>3</v>
      </c>
      <c r="B183" s="6" t="s">
        <v>629</v>
      </c>
      <c r="C183" s="6" t="s">
        <v>23</v>
      </c>
      <c r="D183" s="6" t="s">
        <v>630</v>
      </c>
      <c r="E183" s="9" t="n">
        <v>190</v>
      </c>
      <c r="F183" s="9" t="n">
        <v>170</v>
      </c>
      <c r="G183" s="9" t="n">
        <v>175</v>
      </c>
      <c r="H183" s="6" t="str">
        <f aca="false">E183&amp;" × (L+1)^2.4 × 1.004^L  (see Building_Levels)"</f>
        <v>190 × (L+1)^2.4 × 1.004^L  (see Building_Levels)</v>
      </c>
      <c r="I183" s="6" t="s">
        <v>260</v>
      </c>
      <c r="J183" s="6" t="s">
        <v>261</v>
      </c>
      <c r="K183" s="6" t="s">
        <v>262</v>
      </c>
    </row>
    <row r="184" customFormat="false" ht="15" hidden="false" customHeight="true" outlineLevel="0" collapsed="false">
      <c r="A184" s="6" t="n">
        <v>3</v>
      </c>
      <c r="B184" s="6" t="s">
        <v>631</v>
      </c>
      <c r="C184" s="6" t="s">
        <v>23</v>
      </c>
      <c r="D184" s="6" t="s">
        <v>632</v>
      </c>
      <c r="E184" s="9" t="n">
        <v>160</v>
      </c>
      <c r="F184" s="9" t="n">
        <v>142</v>
      </c>
      <c r="G184" s="9" t="n">
        <v>150</v>
      </c>
      <c r="H184" s="6" t="str">
        <f aca="false">E184&amp;" × (L+1)^2.4 × 1.004^L  (see Building_Levels)"</f>
        <v>160 × (L+1)^2.4 × 1.004^L  (see Building_Levels)</v>
      </c>
      <c r="I184" s="6" t="s">
        <v>260</v>
      </c>
      <c r="J184" s="6" t="s">
        <v>261</v>
      </c>
      <c r="K184" s="6" t="s">
        <v>262</v>
      </c>
    </row>
    <row r="185" customFormat="false" ht="15" hidden="false" customHeight="true" outlineLevel="0" collapsed="false">
      <c r="A185" s="6" t="n">
        <v>3</v>
      </c>
      <c r="B185" s="6" t="s">
        <v>633</v>
      </c>
      <c r="C185" s="6" t="s">
        <v>23</v>
      </c>
      <c r="D185" s="6" t="s">
        <v>634</v>
      </c>
      <c r="E185" s="9" t="n">
        <v>140</v>
      </c>
      <c r="F185" s="9" t="n">
        <v>124</v>
      </c>
      <c r="G185" s="9" t="n">
        <v>132</v>
      </c>
      <c r="H185" s="6" t="str">
        <f aca="false">E185&amp;" × (L+1)^2.4 × 1.004^L  (see Building_Levels)"</f>
        <v>140 × (L+1)^2.4 × 1.004^L  (see Building_Levels)</v>
      </c>
      <c r="I185" s="6" t="s">
        <v>260</v>
      </c>
      <c r="J185" s="6" t="s">
        <v>261</v>
      </c>
      <c r="K185" s="6" t="s">
        <v>262</v>
      </c>
    </row>
    <row r="186" customFormat="false" ht="15" hidden="false" customHeight="true" outlineLevel="0" collapsed="false">
      <c r="A186" s="6" t="n">
        <v>3</v>
      </c>
      <c r="B186" s="6" t="s">
        <v>635</v>
      </c>
      <c r="C186" s="6" t="s">
        <v>23</v>
      </c>
      <c r="D186" s="6" t="s">
        <v>636</v>
      </c>
      <c r="E186" s="9" t="n">
        <v>150</v>
      </c>
      <c r="F186" s="9" t="n">
        <v>134</v>
      </c>
      <c r="G186" s="9" t="n">
        <v>142</v>
      </c>
      <c r="H186" s="6" t="str">
        <f aca="false">E186&amp;" × (L+1)^2.4 × 1.004^L  (see Building_Levels)"</f>
        <v>150 × (L+1)^2.4 × 1.004^L  (see Building_Levels)</v>
      </c>
      <c r="I186" s="6" t="s">
        <v>260</v>
      </c>
      <c r="J186" s="6" t="s">
        <v>261</v>
      </c>
      <c r="K186" s="6" t="s">
        <v>262</v>
      </c>
    </row>
    <row r="187" customFormat="false" ht="15" hidden="false" customHeight="true" outlineLevel="0" collapsed="false">
      <c r="A187" s="6" t="n">
        <v>3</v>
      </c>
      <c r="B187" s="6" t="s">
        <v>637</v>
      </c>
      <c r="C187" s="6" t="s">
        <v>351</v>
      </c>
      <c r="D187" s="6" t="s">
        <v>638</v>
      </c>
      <c r="E187" s="9" t="n">
        <v>120</v>
      </c>
      <c r="F187" s="9" t="n">
        <v>106</v>
      </c>
      <c r="G187" s="9" t="n">
        <v>96</v>
      </c>
      <c r="H187" s="6" t="str">
        <f aca="false">E187&amp;" × (L+1)^2.4 × 1.004^L  (see Building_Levels)"</f>
        <v>120 × (L+1)^2.4 × 1.004^L  (see Building_Levels)</v>
      </c>
      <c r="I187" s="6" t="s">
        <v>260</v>
      </c>
      <c r="J187" s="6" t="s">
        <v>261</v>
      </c>
      <c r="K187" s="6" t="s">
        <v>262</v>
      </c>
    </row>
    <row r="188" customFormat="false" ht="15" hidden="false" customHeight="true" outlineLevel="0" collapsed="false">
      <c r="A188" s="6" t="n">
        <v>3</v>
      </c>
      <c r="B188" s="6" t="s">
        <v>639</v>
      </c>
      <c r="C188" s="6" t="s">
        <v>312</v>
      </c>
      <c r="D188" s="6" t="s">
        <v>640</v>
      </c>
      <c r="E188" s="9" t="n">
        <v>110</v>
      </c>
      <c r="F188" s="9" t="n">
        <v>96</v>
      </c>
      <c r="G188" s="9" t="n">
        <v>88</v>
      </c>
      <c r="H188" s="6" t="str">
        <f aca="false">E188&amp;" × (L+1)^2.4 × 1.004^L  (see Building_Levels)"</f>
        <v>110 × (L+1)^2.4 × 1.004^L  (see Building_Levels)</v>
      </c>
      <c r="I188" s="6" t="s">
        <v>260</v>
      </c>
      <c r="J188" s="6" t="s">
        <v>261</v>
      </c>
      <c r="K188" s="6" t="s">
        <v>262</v>
      </c>
    </row>
    <row r="189" customFormat="false" ht="15" hidden="false" customHeight="true" outlineLevel="0" collapsed="false">
      <c r="A189" s="6" t="n">
        <v>3</v>
      </c>
      <c r="B189" s="6" t="s">
        <v>641</v>
      </c>
      <c r="C189" s="6" t="s">
        <v>351</v>
      </c>
      <c r="D189" s="6" t="s">
        <v>642</v>
      </c>
      <c r="E189" s="9" t="n">
        <v>126</v>
      </c>
      <c r="F189" s="9" t="n">
        <v>110</v>
      </c>
      <c r="G189" s="9" t="n">
        <v>100</v>
      </c>
      <c r="H189" s="6" t="str">
        <f aca="false">E189&amp;" × (L+1)^2.4 × 1.004^L  (see Building_Levels)"</f>
        <v>126 × (L+1)^2.4 × 1.004^L  (see Building_Levels)</v>
      </c>
      <c r="I189" s="6" t="s">
        <v>260</v>
      </c>
      <c r="J189" s="6" t="s">
        <v>261</v>
      </c>
      <c r="K189" s="6" t="s">
        <v>262</v>
      </c>
    </row>
    <row r="190" customFormat="false" ht="15" hidden="false" customHeight="true" outlineLevel="0" collapsed="false">
      <c r="A190" s="6" t="n">
        <v>3</v>
      </c>
      <c r="B190" s="6" t="s">
        <v>643</v>
      </c>
      <c r="C190" s="6" t="s">
        <v>312</v>
      </c>
      <c r="D190" s="6" t="s">
        <v>644</v>
      </c>
      <c r="E190" s="9" t="n">
        <v>176</v>
      </c>
      <c r="F190" s="9" t="n">
        <v>156</v>
      </c>
      <c r="G190" s="9" t="n">
        <v>140</v>
      </c>
      <c r="H190" s="6" t="str">
        <f aca="false">E190&amp;" × (L+1)^2.4 × 1.004^L  (see Building_Levels)"</f>
        <v>176 × (L+1)^2.4 × 1.004^L  (see Building_Levels)</v>
      </c>
      <c r="I190" s="6" t="s">
        <v>260</v>
      </c>
      <c r="J190" s="6" t="s">
        <v>261</v>
      </c>
      <c r="K190" s="6" t="s">
        <v>262</v>
      </c>
    </row>
    <row r="191" customFormat="false" ht="15" hidden="false" customHeight="true" outlineLevel="0" collapsed="false">
      <c r="A191" s="6" t="n">
        <v>3</v>
      </c>
      <c r="B191" s="6" t="s">
        <v>645</v>
      </c>
      <c r="C191" s="6" t="s">
        <v>333</v>
      </c>
      <c r="D191" s="6" t="s">
        <v>646</v>
      </c>
      <c r="E191" s="9" t="n">
        <v>130</v>
      </c>
      <c r="F191" s="9" t="n">
        <v>140</v>
      </c>
      <c r="G191" s="9" t="n">
        <v>108</v>
      </c>
      <c r="H191" s="6" t="str">
        <f aca="false">E191&amp;" × (L+1)^2.4 × 1.004^L  (see Building_Levels)"</f>
        <v>130 × (L+1)^2.4 × 1.004^L  (see Building_Levels)</v>
      </c>
      <c r="I191" s="6" t="s">
        <v>260</v>
      </c>
      <c r="J191" s="6" t="s">
        <v>261</v>
      </c>
      <c r="K191" s="6" t="s">
        <v>262</v>
      </c>
    </row>
    <row r="192" customFormat="false" ht="15" hidden="false" customHeight="true" outlineLevel="0" collapsed="false">
      <c r="A192" s="6" t="n">
        <v>3</v>
      </c>
      <c r="B192" s="6" t="s">
        <v>647</v>
      </c>
      <c r="C192" s="6" t="s">
        <v>312</v>
      </c>
      <c r="D192" s="6" t="s">
        <v>648</v>
      </c>
      <c r="E192" s="9" t="n">
        <v>140</v>
      </c>
      <c r="F192" s="9" t="n">
        <v>124</v>
      </c>
      <c r="G192" s="9" t="n">
        <v>112</v>
      </c>
      <c r="H192" s="6" t="str">
        <f aca="false">E192&amp;" × (L+1)^2.4 × 1.004^L  (see Building_Levels)"</f>
        <v>140 × (L+1)^2.4 × 1.004^L  (see Building_Levels)</v>
      </c>
      <c r="I192" s="6" t="s">
        <v>260</v>
      </c>
      <c r="J192" s="6" t="s">
        <v>261</v>
      </c>
      <c r="K192" s="6" t="s">
        <v>262</v>
      </c>
    </row>
    <row r="193" customFormat="false" ht="15" hidden="false" customHeight="true" outlineLevel="0" collapsed="false">
      <c r="A193" s="6" t="n">
        <v>3</v>
      </c>
      <c r="B193" s="6" t="s">
        <v>649</v>
      </c>
      <c r="C193" s="6" t="s">
        <v>371</v>
      </c>
      <c r="D193" s="6" t="s">
        <v>650</v>
      </c>
      <c r="E193" s="9" t="n">
        <v>134</v>
      </c>
      <c r="F193" s="9" t="n">
        <v>120</v>
      </c>
      <c r="G193" s="9" t="n">
        <v>108</v>
      </c>
      <c r="H193" s="6" t="str">
        <f aca="false">E193&amp;" × (L+1)^2.4 × 1.004^L  (see Building_Levels)"</f>
        <v>134 × (L+1)^2.4 × 1.004^L  (see Building_Levels)</v>
      </c>
      <c r="I193" s="6" t="s">
        <v>260</v>
      </c>
      <c r="J193" s="6" t="s">
        <v>261</v>
      </c>
      <c r="K193" s="6" t="s">
        <v>262</v>
      </c>
    </row>
    <row r="194" customFormat="false" ht="15" hidden="false" customHeight="true" outlineLevel="0" collapsed="false">
      <c r="A194" s="6" t="n">
        <v>3</v>
      </c>
      <c r="B194" s="6" t="s">
        <v>651</v>
      </c>
      <c r="C194" s="6" t="s">
        <v>342</v>
      </c>
      <c r="D194" s="6" t="s">
        <v>652</v>
      </c>
      <c r="E194" s="9" t="n">
        <v>128</v>
      </c>
      <c r="F194" s="9" t="n">
        <v>114</v>
      </c>
      <c r="G194" s="9" t="n">
        <v>102</v>
      </c>
      <c r="H194" s="6" t="str">
        <f aca="false">E194&amp;" × (L+1)^2.4 × 1.004^L  (see Building_Levels)"</f>
        <v>128 × (L+1)^2.4 × 1.004^L  (see Building_Levels)</v>
      </c>
      <c r="I194" s="6" t="s">
        <v>260</v>
      </c>
      <c r="J194" s="6" t="s">
        <v>261</v>
      </c>
      <c r="K194" s="6" t="s">
        <v>262</v>
      </c>
    </row>
    <row r="195" customFormat="false" ht="15" hidden="false" customHeight="true" outlineLevel="0" collapsed="false">
      <c r="A195" s="6" t="n">
        <v>3</v>
      </c>
      <c r="B195" s="6" t="s">
        <v>653</v>
      </c>
      <c r="C195" s="6" t="s">
        <v>258</v>
      </c>
      <c r="D195" s="6" t="s">
        <v>654</v>
      </c>
      <c r="E195" s="9" t="n">
        <v>160</v>
      </c>
      <c r="F195" s="9" t="n">
        <v>142</v>
      </c>
      <c r="G195" s="9" t="n">
        <v>128</v>
      </c>
      <c r="H195" s="6" t="str">
        <f aca="false">E195&amp;" × (L+1)^2.4 × 1.004^L  (see Building_Levels)"</f>
        <v>160 × (L+1)^2.4 × 1.004^L  (see Building_Levels)</v>
      </c>
      <c r="I195" s="6" t="s">
        <v>260</v>
      </c>
      <c r="J195" s="6" t="s">
        <v>261</v>
      </c>
      <c r="K195" s="6" t="s">
        <v>262</v>
      </c>
    </row>
    <row r="196" customFormat="false" ht="15" hidden="false" customHeight="true" outlineLevel="0" collapsed="false">
      <c r="A196" s="6" t="n">
        <v>3</v>
      </c>
      <c r="B196" s="6" t="s">
        <v>655</v>
      </c>
      <c r="C196" s="6" t="s">
        <v>351</v>
      </c>
      <c r="D196" s="6" t="s">
        <v>656</v>
      </c>
      <c r="E196" s="9" t="n">
        <v>124</v>
      </c>
      <c r="F196" s="9" t="n">
        <v>110</v>
      </c>
      <c r="G196" s="9" t="n">
        <v>98</v>
      </c>
      <c r="H196" s="6" t="str">
        <f aca="false">E196&amp;" × (L+1)^2.4 × 1.004^L  (see Building_Levels)"</f>
        <v>124 × (L+1)^2.4 × 1.004^L  (see Building_Levels)</v>
      </c>
      <c r="I196" s="6" t="s">
        <v>260</v>
      </c>
      <c r="J196" s="6" t="s">
        <v>261</v>
      </c>
      <c r="K196" s="6" t="s">
        <v>262</v>
      </c>
    </row>
    <row r="197" customFormat="false" ht="15" hidden="false" customHeight="true" outlineLevel="0" collapsed="false">
      <c r="A197" s="6" t="n">
        <v>3</v>
      </c>
      <c r="B197" s="6" t="s">
        <v>657</v>
      </c>
      <c r="C197" s="6" t="s">
        <v>351</v>
      </c>
      <c r="D197" s="6" t="s">
        <v>658</v>
      </c>
      <c r="E197" s="9" t="n">
        <v>126</v>
      </c>
      <c r="F197" s="9" t="n">
        <v>112</v>
      </c>
      <c r="G197" s="9" t="n">
        <v>100</v>
      </c>
      <c r="H197" s="6" t="str">
        <f aca="false">E197&amp;" × (L+1)^2.4 × 1.004^L  (see Building_Levels)"</f>
        <v>126 × (L+1)^2.4 × 1.004^L  (see Building_Levels)</v>
      </c>
      <c r="I197" s="6" t="s">
        <v>260</v>
      </c>
      <c r="J197" s="6" t="s">
        <v>261</v>
      </c>
      <c r="K197" s="6" t="s">
        <v>262</v>
      </c>
    </row>
    <row r="198" customFormat="false" ht="15" hidden="false" customHeight="true" outlineLevel="0" collapsed="false">
      <c r="A198" s="6" t="n">
        <v>3</v>
      </c>
      <c r="B198" s="6" t="s">
        <v>659</v>
      </c>
      <c r="C198" s="6" t="s">
        <v>356</v>
      </c>
      <c r="D198" s="6" t="s">
        <v>660</v>
      </c>
      <c r="E198" s="9" t="n">
        <v>130</v>
      </c>
      <c r="F198" s="9" t="n">
        <v>116</v>
      </c>
      <c r="G198" s="9" t="n">
        <v>102</v>
      </c>
      <c r="H198" s="6" t="str">
        <f aca="false">E198&amp;" × (L+1)^2.4 × 1.004^L  (see Building_Levels)"</f>
        <v>130 × (L+1)^2.4 × 1.004^L  (see Building_Levels)</v>
      </c>
      <c r="I198" s="6" t="s">
        <v>260</v>
      </c>
      <c r="J198" s="6" t="s">
        <v>261</v>
      </c>
      <c r="K198" s="6" t="s">
        <v>262</v>
      </c>
    </row>
    <row r="199" customFormat="false" ht="15" hidden="false" customHeight="true" outlineLevel="0" collapsed="false">
      <c r="A199" s="6" t="n">
        <v>3</v>
      </c>
      <c r="B199" s="6" t="s">
        <v>661</v>
      </c>
      <c r="C199" s="6" t="s">
        <v>356</v>
      </c>
      <c r="D199" s="6" t="s">
        <v>662</v>
      </c>
      <c r="E199" s="9" t="n">
        <v>170</v>
      </c>
      <c r="F199" s="9" t="n">
        <v>180</v>
      </c>
      <c r="G199" s="9" t="n">
        <v>130</v>
      </c>
      <c r="H199" s="6" t="str">
        <f aca="false">E199&amp;" × (L+1)^2.4 × 1.004^L  (see Building_Levels)"</f>
        <v>170 × (L+1)^2.4 × 1.004^L  (see Building_Levels)</v>
      </c>
      <c r="I199" s="6" t="s">
        <v>260</v>
      </c>
      <c r="J199" s="6" t="s">
        <v>261</v>
      </c>
      <c r="K199" s="6" t="s">
        <v>262</v>
      </c>
    </row>
    <row r="200" customFormat="false" ht="15" hidden="false" customHeight="true" outlineLevel="0" collapsed="false">
      <c r="A200" s="6" t="n">
        <v>3</v>
      </c>
      <c r="B200" s="6" t="s">
        <v>663</v>
      </c>
      <c r="C200" s="6" t="s">
        <v>356</v>
      </c>
      <c r="D200" s="6" t="s">
        <v>664</v>
      </c>
      <c r="E200" s="9" t="n">
        <v>120</v>
      </c>
      <c r="F200" s="9" t="n">
        <v>106</v>
      </c>
      <c r="G200" s="9" t="n">
        <v>94</v>
      </c>
      <c r="H200" s="6" t="str">
        <f aca="false">E200&amp;" × (L+1)^2.4 × 1.004^L  (see Building_Levels)"</f>
        <v>120 × (L+1)^2.4 × 1.004^L  (see Building_Levels)</v>
      </c>
      <c r="I200" s="6" t="s">
        <v>260</v>
      </c>
      <c r="J200" s="6" t="s">
        <v>261</v>
      </c>
      <c r="K200" s="6" t="s">
        <v>262</v>
      </c>
    </row>
    <row r="201" customFormat="false" ht="15" hidden="false" customHeight="true" outlineLevel="0" collapsed="false">
      <c r="A201" s="6" t="n">
        <v>3</v>
      </c>
      <c r="B201" s="6" t="s">
        <v>665</v>
      </c>
      <c r="C201" s="6" t="s">
        <v>371</v>
      </c>
      <c r="D201" s="6" t="s">
        <v>666</v>
      </c>
      <c r="E201" s="9" t="n">
        <v>110</v>
      </c>
      <c r="F201" s="9" t="n">
        <v>98</v>
      </c>
      <c r="G201" s="9" t="n">
        <v>88</v>
      </c>
      <c r="H201" s="6" t="str">
        <f aca="false">E201&amp;" × (L+1)^2.4 × 1.004^L  (see Building_Levels)"</f>
        <v>110 × (L+1)^2.4 × 1.004^L  (see Building_Levels)</v>
      </c>
      <c r="I201" s="6" t="s">
        <v>260</v>
      </c>
      <c r="J201" s="6" t="s">
        <v>261</v>
      </c>
      <c r="K201" s="6" t="s">
        <v>262</v>
      </c>
    </row>
    <row r="202" customFormat="false" ht="15" hidden="false" customHeight="true" outlineLevel="0" collapsed="false">
      <c r="A202" s="6" t="n">
        <v>3</v>
      </c>
      <c r="B202" s="6" t="s">
        <v>667</v>
      </c>
      <c r="C202" s="6" t="s">
        <v>351</v>
      </c>
      <c r="D202" s="6" t="s">
        <v>668</v>
      </c>
      <c r="E202" s="9" t="n">
        <v>112</v>
      </c>
      <c r="F202" s="9" t="n">
        <v>100</v>
      </c>
      <c r="G202" s="9" t="n">
        <v>90</v>
      </c>
      <c r="H202" s="6" t="str">
        <f aca="false">E202&amp;" × (L+1)^2.4 × 1.004^L  (see Building_Levels)"</f>
        <v>112 × (L+1)^2.4 × 1.004^L  (see Building_Levels)</v>
      </c>
      <c r="I202" s="6" t="s">
        <v>260</v>
      </c>
      <c r="J202" s="6" t="s">
        <v>261</v>
      </c>
      <c r="K202" s="6" t="s">
        <v>262</v>
      </c>
    </row>
    <row r="203" customFormat="false" ht="15" hidden="false" customHeight="true" outlineLevel="0" collapsed="false">
      <c r="A203" s="6" t="n">
        <v>3</v>
      </c>
      <c r="B203" s="6" t="s">
        <v>669</v>
      </c>
      <c r="C203" s="6" t="s">
        <v>351</v>
      </c>
      <c r="D203" s="6" t="s">
        <v>670</v>
      </c>
      <c r="E203" s="9" t="n">
        <v>150</v>
      </c>
      <c r="F203" s="9" t="n">
        <v>134</v>
      </c>
      <c r="G203" s="9" t="n">
        <v>120</v>
      </c>
      <c r="H203" s="6" t="str">
        <f aca="false">E203&amp;" × (L+1)^2.4 × 1.004^L  (see Building_Levels)"</f>
        <v>150 × (L+1)^2.4 × 1.004^L  (see Building_Levels)</v>
      </c>
      <c r="I203" s="6" t="s">
        <v>260</v>
      </c>
      <c r="J203" s="6" t="s">
        <v>261</v>
      </c>
      <c r="K203" s="6" t="s">
        <v>262</v>
      </c>
    </row>
    <row r="204" customFormat="false" ht="15" hidden="false" customHeight="true" outlineLevel="0" collapsed="false">
      <c r="A204" s="6" t="n">
        <v>3</v>
      </c>
      <c r="B204" s="6" t="s">
        <v>671</v>
      </c>
      <c r="C204" s="6" t="s">
        <v>333</v>
      </c>
      <c r="D204" s="6" t="s">
        <v>672</v>
      </c>
      <c r="E204" s="9" t="n">
        <v>160</v>
      </c>
      <c r="F204" s="9" t="n">
        <v>190</v>
      </c>
      <c r="G204" s="9" t="n">
        <v>130</v>
      </c>
      <c r="H204" s="6" t="str">
        <f aca="false">E204&amp;" × (L+1)^2.4 × 1.004^L  (see Building_Levels)"</f>
        <v>160 × (L+1)^2.4 × 1.004^L  (see Building_Levels)</v>
      </c>
      <c r="I204" s="6" t="s">
        <v>260</v>
      </c>
      <c r="J204" s="6" t="s">
        <v>261</v>
      </c>
      <c r="K204" s="6" t="s">
        <v>262</v>
      </c>
    </row>
    <row r="205" customFormat="false" ht="15" hidden="false" customHeight="true" outlineLevel="0" collapsed="false">
      <c r="A205" s="6" t="n">
        <v>3</v>
      </c>
      <c r="B205" s="6" t="s">
        <v>673</v>
      </c>
      <c r="C205" s="6" t="s">
        <v>342</v>
      </c>
      <c r="D205" s="6" t="s">
        <v>674</v>
      </c>
      <c r="E205" s="9" t="n">
        <v>132</v>
      </c>
      <c r="F205" s="9" t="n">
        <v>118</v>
      </c>
      <c r="G205" s="9" t="n">
        <v>106</v>
      </c>
      <c r="H205" s="6" t="str">
        <f aca="false">E205&amp;" × (L+1)^2.4 × 1.004^L  (see Building_Levels)"</f>
        <v>132 × (L+1)^2.4 × 1.004^L  (see Building_Levels)</v>
      </c>
      <c r="I205" s="6" t="s">
        <v>260</v>
      </c>
      <c r="J205" s="6" t="s">
        <v>261</v>
      </c>
      <c r="K205" s="6" t="s">
        <v>262</v>
      </c>
    </row>
    <row r="206" customFormat="false" ht="15" hidden="false" customHeight="true" outlineLevel="0" collapsed="false">
      <c r="A206" s="6" t="n">
        <v>3</v>
      </c>
      <c r="B206" s="6" t="s">
        <v>675</v>
      </c>
      <c r="C206" s="6" t="s">
        <v>371</v>
      </c>
      <c r="D206" s="6" t="s">
        <v>676</v>
      </c>
      <c r="E206" s="9" t="n">
        <v>140</v>
      </c>
      <c r="F206" s="9" t="n">
        <v>150</v>
      </c>
      <c r="G206" s="9" t="n">
        <v>110</v>
      </c>
      <c r="H206" s="6" t="str">
        <f aca="false">E206&amp;" × (L+1)^2.4 × 1.004^L  (see Building_Levels)"</f>
        <v>140 × (L+1)^2.4 × 1.004^L  (see Building_Levels)</v>
      </c>
      <c r="I206" s="6" t="s">
        <v>260</v>
      </c>
      <c r="J206" s="6" t="s">
        <v>261</v>
      </c>
      <c r="K206" s="6" t="s">
        <v>262</v>
      </c>
    </row>
    <row r="207" customFormat="false" ht="15" hidden="false" customHeight="true" outlineLevel="0" collapsed="false">
      <c r="A207" s="6" t="n">
        <v>3</v>
      </c>
      <c r="B207" s="6" t="s">
        <v>677</v>
      </c>
      <c r="C207" s="6" t="s">
        <v>371</v>
      </c>
      <c r="D207" s="6" t="s">
        <v>678</v>
      </c>
      <c r="E207" s="9" t="n">
        <v>118</v>
      </c>
      <c r="F207" s="9" t="n">
        <v>104</v>
      </c>
      <c r="G207" s="9" t="n">
        <v>94</v>
      </c>
      <c r="H207" s="6" t="str">
        <f aca="false">E207&amp;" × (L+1)^2.4 × 1.004^L  (see Building_Levels)"</f>
        <v>118 × (L+1)^2.4 × 1.004^L  (see Building_Levels)</v>
      </c>
      <c r="I207" s="6" t="s">
        <v>260</v>
      </c>
      <c r="J207" s="6" t="s">
        <v>261</v>
      </c>
      <c r="K207" s="6" t="s">
        <v>262</v>
      </c>
    </row>
    <row r="208" customFormat="false" ht="15" hidden="false" customHeight="true" outlineLevel="0" collapsed="false">
      <c r="A208" s="6" t="n">
        <v>3</v>
      </c>
      <c r="B208" s="6" t="s">
        <v>679</v>
      </c>
      <c r="C208" s="6" t="s">
        <v>312</v>
      </c>
      <c r="D208" s="6" t="s">
        <v>680</v>
      </c>
      <c r="E208" s="9" t="n">
        <v>136</v>
      </c>
      <c r="F208" s="9" t="n">
        <v>120</v>
      </c>
      <c r="G208" s="9" t="n">
        <v>110</v>
      </c>
      <c r="H208" s="6" t="str">
        <f aca="false">E208&amp;" × (L+1)^2.4 × 1.004^L  (see Building_Levels)"</f>
        <v>136 × (L+1)^2.4 × 1.004^L  (see Building_Levels)</v>
      </c>
      <c r="I208" s="6" t="s">
        <v>260</v>
      </c>
      <c r="J208" s="6" t="s">
        <v>261</v>
      </c>
      <c r="K208" s="6" t="s">
        <v>262</v>
      </c>
    </row>
    <row r="209" customFormat="false" ht="15" hidden="false" customHeight="true" outlineLevel="0" collapsed="false">
      <c r="A209" s="6" t="n">
        <v>4</v>
      </c>
      <c r="B209" s="6" t="s">
        <v>681</v>
      </c>
      <c r="C209" s="6" t="s">
        <v>258</v>
      </c>
      <c r="D209" s="6" t="s">
        <v>682</v>
      </c>
      <c r="E209" s="9" t="n">
        <v>400</v>
      </c>
      <c r="F209" s="9" t="n">
        <v>420</v>
      </c>
      <c r="G209" s="9" t="n">
        <v>360</v>
      </c>
      <c r="H209" s="6" t="str">
        <f aca="false">E209&amp;" × (L+1)^2.4 × 1.004^L  (see Building_Levels)"</f>
        <v>400 × (L+1)^2.4 × 1.004^L  (see Building_Levels)</v>
      </c>
      <c r="I209" s="6" t="s">
        <v>260</v>
      </c>
      <c r="J209" s="6" t="s">
        <v>261</v>
      </c>
      <c r="K209" s="6" t="s">
        <v>262</v>
      </c>
    </row>
    <row r="210" customFormat="false" ht="15" hidden="false" customHeight="true" outlineLevel="0" collapsed="false">
      <c r="A210" s="6" t="n">
        <v>4</v>
      </c>
      <c r="B210" s="6" t="s">
        <v>683</v>
      </c>
      <c r="C210" s="6" t="s">
        <v>264</v>
      </c>
      <c r="D210" s="6" t="s">
        <v>684</v>
      </c>
      <c r="E210" s="9" t="n">
        <v>240</v>
      </c>
      <c r="F210" s="9" t="n">
        <v>260</v>
      </c>
      <c r="G210" s="9" t="n">
        <v>200</v>
      </c>
      <c r="H210" s="6" t="str">
        <f aca="false">E210&amp;" × (L+1)^2.4 × 1.004^L  (see Building_Levels)"</f>
        <v>240 × (L+1)^2.4 × 1.004^L  (see Building_Levels)</v>
      </c>
      <c r="I210" s="6" t="s">
        <v>260</v>
      </c>
      <c r="J210" s="6" t="s">
        <v>261</v>
      </c>
      <c r="K210" s="6" t="s">
        <v>262</v>
      </c>
    </row>
    <row r="211" customFormat="false" ht="15" hidden="false" customHeight="true" outlineLevel="0" collapsed="false">
      <c r="A211" s="6" t="n">
        <v>4</v>
      </c>
      <c r="B211" s="6" t="s">
        <v>685</v>
      </c>
      <c r="C211" s="6" t="s">
        <v>264</v>
      </c>
      <c r="D211" s="6" t="s">
        <v>686</v>
      </c>
      <c r="E211" s="9" t="n">
        <v>260</v>
      </c>
      <c r="F211" s="9" t="n">
        <v>240</v>
      </c>
      <c r="G211" s="9" t="n">
        <v>220</v>
      </c>
      <c r="H211" s="6" t="str">
        <f aca="false">E211&amp;" × (L+1)^2.4 × 1.004^L  (see Building_Levels)"</f>
        <v>260 × (L+1)^2.4 × 1.004^L  (see Building_Levels)</v>
      </c>
      <c r="I211" s="6" t="s">
        <v>260</v>
      </c>
      <c r="J211" s="6" t="s">
        <v>261</v>
      </c>
      <c r="K211" s="6" t="s">
        <v>262</v>
      </c>
    </row>
    <row r="212" customFormat="false" ht="15" hidden="false" customHeight="true" outlineLevel="0" collapsed="false">
      <c r="A212" s="6" t="n">
        <v>4</v>
      </c>
      <c r="B212" s="6" t="s">
        <v>687</v>
      </c>
      <c r="C212" s="6" t="s">
        <v>264</v>
      </c>
      <c r="D212" s="6" t="s">
        <v>688</v>
      </c>
      <c r="E212" s="9" t="n">
        <v>300</v>
      </c>
      <c r="F212" s="9" t="n">
        <v>280</v>
      </c>
      <c r="G212" s="9" t="n">
        <v>260</v>
      </c>
      <c r="H212" s="6" t="str">
        <f aca="false">E212&amp;" × (L+1)^2.4 × 1.004^L  (see Building_Levels)"</f>
        <v>300 × (L+1)^2.4 × 1.004^L  (see Building_Levels)</v>
      </c>
      <c r="I212" s="6" t="s">
        <v>260</v>
      </c>
      <c r="J212" s="6" t="s">
        <v>261</v>
      </c>
      <c r="K212" s="6" t="s">
        <v>262</v>
      </c>
    </row>
    <row r="213" customFormat="false" ht="15" hidden="false" customHeight="true" outlineLevel="0" collapsed="false">
      <c r="A213" s="6" t="n">
        <v>4</v>
      </c>
      <c r="B213" s="6" t="s">
        <v>689</v>
      </c>
      <c r="C213" s="6" t="s">
        <v>264</v>
      </c>
      <c r="D213" s="6" t="s">
        <v>690</v>
      </c>
      <c r="E213" s="9" t="n">
        <v>230</v>
      </c>
      <c r="F213" s="9" t="n">
        <v>200</v>
      </c>
      <c r="G213" s="9" t="n">
        <v>190</v>
      </c>
      <c r="H213" s="6" t="str">
        <f aca="false">E213&amp;" × (L+1)^2.4 × 1.004^L  (see Building_Levels)"</f>
        <v>230 × (L+1)^2.4 × 1.004^L  (see Building_Levels)</v>
      </c>
      <c r="I213" s="6" t="s">
        <v>260</v>
      </c>
      <c r="J213" s="6" t="s">
        <v>261</v>
      </c>
      <c r="K213" s="6" t="s">
        <v>262</v>
      </c>
    </row>
    <row r="214" customFormat="false" ht="15" hidden="false" customHeight="true" outlineLevel="0" collapsed="false">
      <c r="A214" s="6" t="n">
        <v>4</v>
      </c>
      <c r="B214" s="6" t="s">
        <v>691</v>
      </c>
      <c r="C214" s="6" t="s">
        <v>264</v>
      </c>
      <c r="D214" s="6" t="s">
        <v>692</v>
      </c>
      <c r="E214" s="9" t="n">
        <v>240</v>
      </c>
      <c r="F214" s="9" t="n">
        <v>220</v>
      </c>
      <c r="G214" s="9" t="n">
        <v>200</v>
      </c>
      <c r="H214" s="6" t="str">
        <f aca="false">E214&amp;" × (L+1)^2.4 × 1.004^L  (see Building_Levels)"</f>
        <v>240 × (L+1)^2.4 × 1.004^L  (see Building_Levels)</v>
      </c>
      <c r="I214" s="6" t="s">
        <v>260</v>
      </c>
      <c r="J214" s="6" t="s">
        <v>261</v>
      </c>
      <c r="K214" s="6" t="s">
        <v>262</v>
      </c>
    </row>
    <row r="215" customFormat="false" ht="15" hidden="false" customHeight="true" outlineLevel="0" collapsed="false">
      <c r="A215" s="6" t="n">
        <v>4</v>
      </c>
      <c r="B215" s="6" t="s">
        <v>693</v>
      </c>
      <c r="C215" s="6" t="s">
        <v>264</v>
      </c>
      <c r="D215" s="6" t="s">
        <v>694</v>
      </c>
      <c r="E215" s="9" t="n">
        <v>320</v>
      </c>
      <c r="F215" s="9" t="n">
        <v>300</v>
      </c>
      <c r="G215" s="9" t="n">
        <v>290</v>
      </c>
      <c r="H215" s="6" t="str">
        <f aca="false">E215&amp;" × (L+1)^2.4 × 1.004^L  (see Building_Levels)"</f>
        <v>320 × (L+1)^2.4 × 1.004^L  (see Building_Levels)</v>
      </c>
      <c r="I215" s="6" t="s">
        <v>260</v>
      </c>
      <c r="J215" s="6" t="s">
        <v>261</v>
      </c>
      <c r="K215" s="6" t="s">
        <v>262</v>
      </c>
    </row>
    <row r="216" customFormat="false" ht="15" hidden="false" customHeight="true" outlineLevel="0" collapsed="false">
      <c r="A216" s="6" t="n">
        <v>4</v>
      </c>
      <c r="B216" s="6" t="s">
        <v>695</v>
      </c>
      <c r="C216" s="6" t="s">
        <v>264</v>
      </c>
      <c r="D216" s="6" t="s">
        <v>696</v>
      </c>
      <c r="E216" s="9" t="n">
        <v>360</v>
      </c>
      <c r="F216" s="9" t="n">
        <v>400</v>
      </c>
      <c r="G216" s="9" t="n">
        <v>300</v>
      </c>
      <c r="H216" s="6" t="str">
        <f aca="false">E216&amp;" × (L+1)^2.4 × 1.004^L  (see Building_Levels)"</f>
        <v>360 × (L+1)^2.4 × 1.004^L  (see Building_Levels)</v>
      </c>
      <c r="I216" s="6" t="s">
        <v>260</v>
      </c>
      <c r="J216" s="6" t="s">
        <v>261</v>
      </c>
      <c r="K216" s="6" t="s">
        <v>262</v>
      </c>
    </row>
    <row r="217" customFormat="false" ht="15" hidden="false" customHeight="true" outlineLevel="0" collapsed="false">
      <c r="A217" s="6" t="n">
        <v>4</v>
      </c>
      <c r="B217" s="6" t="s">
        <v>697</v>
      </c>
      <c r="C217" s="6" t="s">
        <v>264</v>
      </c>
      <c r="D217" s="6" t="s">
        <v>698</v>
      </c>
      <c r="E217" s="9" t="n">
        <v>270</v>
      </c>
      <c r="F217" s="9" t="n">
        <v>250</v>
      </c>
      <c r="G217" s="9" t="n">
        <v>230</v>
      </c>
      <c r="H217" s="6" t="str">
        <f aca="false">E217&amp;" × (L+1)^2.4 × 1.004^L  (see Building_Levels)"</f>
        <v>270 × (L+1)^2.4 × 1.004^L  (see Building_Levels)</v>
      </c>
      <c r="I217" s="6" t="s">
        <v>260</v>
      </c>
      <c r="J217" s="6" t="s">
        <v>261</v>
      </c>
      <c r="K217" s="6" t="s">
        <v>262</v>
      </c>
    </row>
    <row r="218" customFormat="false" ht="15" hidden="false" customHeight="true" outlineLevel="0" collapsed="false">
      <c r="A218" s="6" t="n">
        <v>4</v>
      </c>
      <c r="B218" s="6" t="s">
        <v>699</v>
      </c>
      <c r="C218" s="6" t="s">
        <v>293</v>
      </c>
      <c r="D218" s="6" t="s">
        <v>700</v>
      </c>
      <c r="E218" s="9" t="n">
        <v>340</v>
      </c>
      <c r="F218" s="9" t="n">
        <v>360</v>
      </c>
      <c r="G218" s="9" t="n">
        <v>300</v>
      </c>
      <c r="H218" s="6" t="str">
        <f aca="false">E218&amp;" × (L+1)^2.4 × 1.004^L  (see Building_Levels)"</f>
        <v>340 × (L+1)^2.4 × 1.004^L  (see Building_Levels)</v>
      </c>
      <c r="I218" s="6" t="s">
        <v>260</v>
      </c>
      <c r="J218" s="6" t="s">
        <v>261</v>
      </c>
      <c r="K218" s="6" t="s">
        <v>262</v>
      </c>
    </row>
    <row r="219" customFormat="false" ht="15" hidden="false" customHeight="true" outlineLevel="0" collapsed="false">
      <c r="A219" s="6" t="n">
        <v>4</v>
      </c>
      <c r="B219" s="6" t="s">
        <v>701</v>
      </c>
      <c r="C219" s="6" t="s">
        <v>293</v>
      </c>
      <c r="D219" s="6" t="s">
        <v>702</v>
      </c>
      <c r="E219" s="9" t="n">
        <v>330</v>
      </c>
      <c r="F219" s="9" t="n">
        <v>340</v>
      </c>
      <c r="G219" s="9" t="n">
        <v>300</v>
      </c>
      <c r="H219" s="6" t="str">
        <f aca="false">E219&amp;" × (L+1)^2.4 × 1.004^L  (see Building_Levels)"</f>
        <v>330 × (L+1)^2.4 × 1.004^L  (see Building_Levels)</v>
      </c>
      <c r="I219" s="6" t="s">
        <v>260</v>
      </c>
      <c r="J219" s="6" t="s">
        <v>261</v>
      </c>
      <c r="K219" s="6" t="s">
        <v>262</v>
      </c>
    </row>
    <row r="220" customFormat="false" ht="15" hidden="false" customHeight="true" outlineLevel="0" collapsed="false">
      <c r="A220" s="6" t="n">
        <v>4</v>
      </c>
      <c r="B220" s="6" t="s">
        <v>703</v>
      </c>
      <c r="C220" s="6" t="s">
        <v>293</v>
      </c>
      <c r="D220" s="6" t="s">
        <v>704</v>
      </c>
      <c r="E220" s="9" t="n">
        <v>340</v>
      </c>
      <c r="F220" s="9" t="n">
        <v>320</v>
      </c>
      <c r="G220" s="9" t="n">
        <v>300</v>
      </c>
      <c r="H220" s="6" t="str">
        <f aca="false">E220&amp;" × (L+1)^2.4 × 1.004^L  (see Building_Levels)"</f>
        <v>340 × (L+1)^2.4 × 1.004^L  (see Building_Levels)</v>
      </c>
      <c r="I220" s="6" t="s">
        <v>260</v>
      </c>
      <c r="J220" s="6" t="s">
        <v>261</v>
      </c>
      <c r="K220" s="6" t="s">
        <v>262</v>
      </c>
    </row>
    <row r="221" customFormat="false" ht="15" hidden="false" customHeight="true" outlineLevel="0" collapsed="false">
      <c r="A221" s="6" t="n">
        <v>4</v>
      </c>
      <c r="B221" s="6" t="s">
        <v>705</v>
      </c>
      <c r="C221" s="6" t="s">
        <v>293</v>
      </c>
      <c r="D221" s="6" t="s">
        <v>706</v>
      </c>
      <c r="E221" s="9" t="n">
        <v>330</v>
      </c>
      <c r="F221" s="9" t="n">
        <v>310</v>
      </c>
      <c r="G221" s="9" t="n">
        <v>296</v>
      </c>
      <c r="H221" s="6" t="str">
        <f aca="false">E221&amp;" × (L+1)^2.4 × 1.004^L  (see Building_Levels)"</f>
        <v>330 × (L+1)^2.4 × 1.004^L  (see Building_Levels)</v>
      </c>
      <c r="I221" s="6" t="s">
        <v>260</v>
      </c>
      <c r="J221" s="6" t="s">
        <v>261</v>
      </c>
      <c r="K221" s="6" t="s">
        <v>262</v>
      </c>
    </row>
    <row r="222" customFormat="false" ht="15" hidden="false" customHeight="true" outlineLevel="0" collapsed="false">
      <c r="A222" s="6" t="n">
        <v>4</v>
      </c>
      <c r="B222" s="6" t="s">
        <v>707</v>
      </c>
      <c r="C222" s="6" t="s">
        <v>293</v>
      </c>
      <c r="D222" s="6" t="s">
        <v>708</v>
      </c>
      <c r="E222" s="9" t="n">
        <v>320</v>
      </c>
      <c r="F222" s="9" t="n">
        <v>300</v>
      </c>
      <c r="G222" s="9" t="n">
        <v>286</v>
      </c>
      <c r="H222" s="6" t="str">
        <f aca="false">E222&amp;" × (L+1)^2.4 × 1.004^L  (see Building_Levels)"</f>
        <v>320 × (L+1)^2.4 × 1.004^L  (see Building_Levels)</v>
      </c>
      <c r="I222" s="6" t="s">
        <v>260</v>
      </c>
      <c r="J222" s="6" t="s">
        <v>261</v>
      </c>
      <c r="K222" s="6" t="s">
        <v>262</v>
      </c>
    </row>
    <row r="223" customFormat="false" ht="15" hidden="false" customHeight="true" outlineLevel="0" collapsed="false">
      <c r="A223" s="6" t="n">
        <v>4</v>
      </c>
      <c r="B223" s="6" t="s">
        <v>709</v>
      </c>
      <c r="C223" s="6" t="s">
        <v>293</v>
      </c>
      <c r="D223" s="6" t="s">
        <v>710</v>
      </c>
      <c r="E223" s="9" t="n">
        <v>300</v>
      </c>
      <c r="F223" s="9" t="n">
        <v>320</v>
      </c>
      <c r="G223" s="9" t="n">
        <v>270</v>
      </c>
      <c r="H223" s="6" t="str">
        <f aca="false">E223&amp;" × (L+1)^2.4 × 1.004^L  (see Building_Levels)"</f>
        <v>300 × (L+1)^2.4 × 1.004^L  (see Building_Levels)</v>
      </c>
      <c r="I223" s="6" t="s">
        <v>260</v>
      </c>
      <c r="J223" s="6" t="s">
        <v>261</v>
      </c>
      <c r="K223" s="6" t="s">
        <v>262</v>
      </c>
    </row>
    <row r="224" customFormat="false" ht="15" hidden="false" customHeight="true" outlineLevel="0" collapsed="false">
      <c r="A224" s="6" t="n">
        <v>4</v>
      </c>
      <c r="B224" s="6" t="s">
        <v>711</v>
      </c>
      <c r="C224" s="6" t="s">
        <v>293</v>
      </c>
      <c r="D224" s="6" t="s">
        <v>710</v>
      </c>
      <c r="E224" s="9" t="n">
        <v>310</v>
      </c>
      <c r="F224" s="9" t="n">
        <v>300</v>
      </c>
      <c r="G224" s="9" t="n">
        <v>280</v>
      </c>
      <c r="H224" s="6" t="str">
        <f aca="false">E224&amp;" × (L+1)^2.4 × 1.004^L  (see Building_Levels)"</f>
        <v>310 × (L+1)^2.4 × 1.004^L  (see Building_Levels)</v>
      </c>
      <c r="I224" s="6" t="s">
        <v>260</v>
      </c>
      <c r="J224" s="6" t="s">
        <v>261</v>
      </c>
      <c r="K224" s="6" t="s">
        <v>262</v>
      </c>
    </row>
    <row r="225" customFormat="false" ht="15" hidden="false" customHeight="true" outlineLevel="0" collapsed="false">
      <c r="A225" s="6" t="n">
        <v>4</v>
      </c>
      <c r="B225" s="6" t="s">
        <v>712</v>
      </c>
      <c r="C225" s="6" t="s">
        <v>293</v>
      </c>
      <c r="D225" s="6" t="s">
        <v>713</v>
      </c>
      <c r="E225" s="9" t="n">
        <v>420</v>
      </c>
      <c r="F225" s="9" t="n">
        <v>440</v>
      </c>
      <c r="G225" s="9" t="n">
        <v>400</v>
      </c>
      <c r="H225" s="6" t="str">
        <f aca="false">E225&amp;" × (L+1)^2.4 × 1.004^L  (see Building_Levels)"</f>
        <v>420 × (L+1)^2.4 × 1.004^L  (see Building_Levels)</v>
      </c>
      <c r="I225" s="6" t="s">
        <v>260</v>
      </c>
      <c r="J225" s="6" t="s">
        <v>261</v>
      </c>
      <c r="K225" s="6" t="s">
        <v>262</v>
      </c>
    </row>
    <row r="226" customFormat="false" ht="15" hidden="false" customHeight="true" outlineLevel="0" collapsed="false">
      <c r="A226" s="6" t="n">
        <v>4</v>
      </c>
      <c r="B226" s="6" t="s">
        <v>714</v>
      </c>
      <c r="C226" s="6" t="s">
        <v>293</v>
      </c>
      <c r="D226" s="6" t="s">
        <v>715</v>
      </c>
      <c r="E226" s="9" t="n">
        <v>280</v>
      </c>
      <c r="F226" s="9" t="n">
        <v>300</v>
      </c>
      <c r="G226" s="9" t="n">
        <v>240</v>
      </c>
      <c r="H226" s="6" t="str">
        <f aca="false">E226&amp;" × (L+1)^2.4 × 1.004^L  (see Building_Levels)"</f>
        <v>280 × (L+1)^2.4 × 1.004^L  (see Building_Levels)</v>
      </c>
      <c r="I226" s="6" t="s">
        <v>260</v>
      </c>
      <c r="J226" s="6" t="s">
        <v>261</v>
      </c>
      <c r="K226" s="6" t="s">
        <v>262</v>
      </c>
    </row>
    <row r="227" customFormat="false" ht="15" hidden="false" customHeight="true" outlineLevel="0" collapsed="false">
      <c r="A227" s="6" t="n">
        <v>4</v>
      </c>
      <c r="B227" s="6" t="s">
        <v>716</v>
      </c>
      <c r="C227" s="6" t="s">
        <v>293</v>
      </c>
      <c r="D227" s="6" t="s">
        <v>717</v>
      </c>
      <c r="E227" s="9" t="n">
        <v>300</v>
      </c>
      <c r="F227" s="9" t="n">
        <v>280</v>
      </c>
      <c r="G227" s="9" t="n">
        <v>270</v>
      </c>
      <c r="H227" s="6" t="str">
        <f aca="false">E227&amp;" × (L+1)^2.4 × 1.004^L  (see Building_Levels)"</f>
        <v>300 × (L+1)^2.4 × 1.004^L  (see Building_Levels)</v>
      </c>
      <c r="I227" s="6" t="s">
        <v>260</v>
      </c>
      <c r="J227" s="6" t="s">
        <v>261</v>
      </c>
      <c r="K227" s="6" t="s">
        <v>262</v>
      </c>
    </row>
    <row r="228" customFormat="false" ht="15" hidden="false" customHeight="true" outlineLevel="0" collapsed="false">
      <c r="A228" s="6" t="n">
        <v>4</v>
      </c>
      <c r="B228" s="6" t="s">
        <v>718</v>
      </c>
      <c r="C228" s="6" t="s">
        <v>312</v>
      </c>
      <c r="D228" s="6" t="s">
        <v>719</v>
      </c>
      <c r="E228" s="9" t="n">
        <v>360</v>
      </c>
      <c r="F228" s="9" t="n">
        <v>340</v>
      </c>
      <c r="G228" s="9" t="n">
        <v>320</v>
      </c>
      <c r="H228" s="6" t="str">
        <f aca="false">E228&amp;" × (L+1)^2.4 × 1.004^L  (see Building_Levels)"</f>
        <v>360 × (L+1)^2.4 × 1.004^L  (see Building_Levels)</v>
      </c>
      <c r="I228" s="6" t="s">
        <v>260</v>
      </c>
      <c r="J228" s="6" t="s">
        <v>261</v>
      </c>
      <c r="K228" s="6" t="s">
        <v>262</v>
      </c>
    </row>
    <row r="229" customFormat="false" ht="15" hidden="false" customHeight="true" outlineLevel="0" collapsed="false">
      <c r="A229" s="6" t="n">
        <v>4</v>
      </c>
      <c r="B229" s="6" t="s">
        <v>720</v>
      </c>
      <c r="C229" s="6" t="s">
        <v>312</v>
      </c>
      <c r="D229" s="6" t="s">
        <v>721</v>
      </c>
      <c r="E229" s="9" t="n">
        <v>340</v>
      </c>
      <c r="F229" s="9" t="n">
        <v>320</v>
      </c>
      <c r="G229" s="9" t="n">
        <v>304</v>
      </c>
      <c r="H229" s="6" t="str">
        <f aca="false">E229&amp;" × (L+1)^2.4 × 1.004^L  (see Building_Levels)"</f>
        <v>340 × (L+1)^2.4 × 1.004^L  (see Building_Levels)</v>
      </c>
      <c r="I229" s="6" t="s">
        <v>260</v>
      </c>
      <c r="J229" s="6" t="s">
        <v>261</v>
      </c>
      <c r="K229" s="6" t="s">
        <v>262</v>
      </c>
    </row>
    <row r="230" customFormat="false" ht="15" hidden="false" customHeight="true" outlineLevel="0" collapsed="false">
      <c r="A230" s="6" t="n">
        <v>4</v>
      </c>
      <c r="B230" s="6" t="s">
        <v>722</v>
      </c>
      <c r="C230" s="6" t="s">
        <v>312</v>
      </c>
      <c r="D230" s="6" t="s">
        <v>723</v>
      </c>
      <c r="E230" s="9" t="n">
        <v>336</v>
      </c>
      <c r="F230" s="9" t="n">
        <v>316</v>
      </c>
      <c r="G230" s="9" t="n">
        <v>300</v>
      </c>
      <c r="H230" s="6" t="str">
        <f aca="false">E230&amp;" × (L+1)^2.4 × 1.004^L  (see Building_Levels)"</f>
        <v>336 × (L+1)^2.4 × 1.004^L  (see Building_Levels)</v>
      </c>
      <c r="I230" s="6" t="s">
        <v>260</v>
      </c>
      <c r="J230" s="6" t="s">
        <v>261</v>
      </c>
      <c r="K230" s="6" t="s">
        <v>262</v>
      </c>
    </row>
    <row r="231" customFormat="false" ht="15" hidden="false" customHeight="true" outlineLevel="0" collapsed="false">
      <c r="A231" s="6" t="n">
        <v>4</v>
      </c>
      <c r="B231" s="6" t="s">
        <v>724</v>
      </c>
      <c r="C231" s="6" t="s">
        <v>312</v>
      </c>
      <c r="D231" s="6" t="s">
        <v>725</v>
      </c>
      <c r="E231" s="9" t="n">
        <v>330</v>
      </c>
      <c r="F231" s="9" t="n">
        <v>310</v>
      </c>
      <c r="G231" s="9" t="n">
        <v>296</v>
      </c>
      <c r="H231" s="6" t="str">
        <f aca="false">E231&amp;" × (L+1)^2.4 × 1.004^L  (see Building_Levels)"</f>
        <v>330 × (L+1)^2.4 × 1.004^L  (see Building_Levels)</v>
      </c>
      <c r="I231" s="6" t="s">
        <v>260</v>
      </c>
      <c r="J231" s="6" t="s">
        <v>261</v>
      </c>
      <c r="K231" s="6" t="s">
        <v>262</v>
      </c>
    </row>
    <row r="232" customFormat="false" ht="15" hidden="false" customHeight="true" outlineLevel="0" collapsed="false">
      <c r="A232" s="6" t="n">
        <v>4</v>
      </c>
      <c r="B232" s="6" t="s">
        <v>726</v>
      </c>
      <c r="C232" s="6" t="s">
        <v>312</v>
      </c>
      <c r="D232" s="6" t="s">
        <v>727</v>
      </c>
      <c r="E232" s="9" t="n">
        <v>370</v>
      </c>
      <c r="F232" s="9" t="n">
        <v>350</v>
      </c>
      <c r="G232" s="9" t="n">
        <v>330</v>
      </c>
      <c r="H232" s="6" t="str">
        <f aca="false">E232&amp;" × (L+1)^2.4 × 1.004^L  (see Building_Levels)"</f>
        <v>370 × (L+1)^2.4 × 1.004^L  (see Building_Levels)</v>
      </c>
      <c r="I232" s="6" t="s">
        <v>260</v>
      </c>
      <c r="J232" s="6" t="s">
        <v>261</v>
      </c>
      <c r="K232" s="6" t="s">
        <v>262</v>
      </c>
    </row>
    <row r="233" customFormat="false" ht="15" hidden="false" customHeight="true" outlineLevel="0" collapsed="false">
      <c r="A233" s="6" t="n">
        <v>4</v>
      </c>
      <c r="B233" s="6" t="s">
        <v>728</v>
      </c>
      <c r="C233" s="6" t="s">
        <v>312</v>
      </c>
      <c r="D233" s="6" t="s">
        <v>729</v>
      </c>
      <c r="E233" s="9" t="n">
        <v>380</v>
      </c>
      <c r="F233" s="9" t="n">
        <v>360</v>
      </c>
      <c r="G233" s="9" t="n">
        <v>340</v>
      </c>
      <c r="H233" s="6" t="str">
        <f aca="false">E233&amp;" × (L+1)^2.4 × 1.004^L  (see Building_Levels)"</f>
        <v>380 × (L+1)^2.4 × 1.004^L  (see Building_Levels)</v>
      </c>
      <c r="I233" s="6" t="s">
        <v>260</v>
      </c>
      <c r="J233" s="6" t="s">
        <v>261</v>
      </c>
      <c r="K233" s="6" t="s">
        <v>262</v>
      </c>
    </row>
    <row r="234" customFormat="false" ht="15" hidden="false" customHeight="true" outlineLevel="0" collapsed="false">
      <c r="A234" s="6" t="n">
        <v>4</v>
      </c>
      <c r="B234" s="6" t="s">
        <v>730</v>
      </c>
      <c r="C234" s="6" t="s">
        <v>312</v>
      </c>
      <c r="D234" s="6" t="s">
        <v>731</v>
      </c>
      <c r="E234" s="9" t="n">
        <v>350</v>
      </c>
      <c r="F234" s="9" t="n">
        <v>330</v>
      </c>
      <c r="G234" s="9" t="n">
        <v>314</v>
      </c>
      <c r="H234" s="6" t="str">
        <f aca="false">E234&amp;" × (L+1)^2.4 × 1.004^L  (see Building_Levels)"</f>
        <v>350 × (L+1)^2.4 × 1.004^L  (see Building_Levels)</v>
      </c>
      <c r="I234" s="6" t="s">
        <v>260</v>
      </c>
      <c r="J234" s="6" t="s">
        <v>261</v>
      </c>
      <c r="K234" s="6" t="s">
        <v>262</v>
      </c>
    </row>
    <row r="235" customFormat="false" ht="15" hidden="false" customHeight="true" outlineLevel="0" collapsed="false">
      <c r="A235" s="6" t="n">
        <v>4</v>
      </c>
      <c r="B235" s="6" t="s">
        <v>732</v>
      </c>
      <c r="C235" s="6" t="s">
        <v>312</v>
      </c>
      <c r="D235" s="6" t="s">
        <v>733</v>
      </c>
      <c r="E235" s="9" t="n">
        <v>320</v>
      </c>
      <c r="F235" s="9" t="n">
        <v>300</v>
      </c>
      <c r="G235" s="9" t="n">
        <v>286</v>
      </c>
      <c r="H235" s="6" t="str">
        <f aca="false">E235&amp;" × (L+1)^2.4 × 1.004^L  (see Building_Levels)"</f>
        <v>320 × (L+1)^2.4 × 1.004^L  (see Building_Levels)</v>
      </c>
      <c r="I235" s="6" t="s">
        <v>260</v>
      </c>
      <c r="J235" s="6" t="s">
        <v>261</v>
      </c>
      <c r="K235" s="6" t="s">
        <v>262</v>
      </c>
    </row>
    <row r="236" customFormat="false" ht="15" hidden="false" customHeight="true" outlineLevel="0" collapsed="false">
      <c r="A236" s="6" t="n">
        <v>4</v>
      </c>
      <c r="B236" s="6" t="s">
        <v>734</v>
      </c>
      <c r="C236" s="6" t="s">
        <v>312</v>
      </c>
      <c r="D236" s="6" t="s">
        <v>735</v>
      </c>
      <c r="E236" s="9" t="n">
        <v>310</v>
      </c>
      <c r="F236" s="9" t="n">
        <v>290</v>
      </c>
      <c r="G236" s="9" t="n">
        <v>276</v>
      </c>
      <c r="H236" s="6" t="str">
        <f aca="false">E236&amp;" × (L+1)^2.4 × 1.004^L  (see Building_Levels)"</f>
        <v>310 × (L+1)^2.4 × 1.004^L  (see Building_Levels)</v>
      </c>
      <c r="I236" s="6" t="s">
        <v>260</v>
      </c>
      <c r="J236" s="6" t="s">
        <v>261</v>
      </c>
      <c r="K236" s="6" t="s">
        <v>262</v>
      </c>
    </row>
    <row r="237" customFormat="false" ht="15" hidden="false" customHeight="true" outlineLevel="0" collapsed="false">
      <c r="A237" s="6" t="n">
        <v>4</v>
      </c>
      <c r="B237" s="6" t="s">
        <v>736</v>
      </c>
      <c r="C237" s="6" t="s">
        <v>312</v>
      </c>
      <c r="D237" s="6" t="s">
        <v>737</v>
      </c>
      <c r="E237" s="9" t="n">
        <v>330</v>
      </c>
      <c r="F237" s="9" t="n">
        <v>310</v>
      </c>
      <c r="G237" s="9" t="n">
        <v>296</v>
      </c>
      <c r="H237" s="6" t="str">
        <f aca="false">E237&amp;" × (L+1)^2.4 × 1.004^L  (see Building_Levels)"</f>
        <v>330 × (L+1)^2.4 × 1.004^L  (see Building_Levels)</v>
      </c>
      <c r="I237" s="6" t="s">
        <v>260</v>
      </c>
      <c r="J237" s="6" t="s">
        <v>261</v>
      </c>
      <c r="K237" s="6" t="s">
        <v>262</v>
      </c>
    </row>
    <row r="238" customFormat="false" ht="15" hidden="false" customHeight="true" outlineLevel="0" collapsed="false">
      <c r="A238" s="6" t="n">
        <v>4</v>
      </c>
      <c r="B238" s="6" t="s">
        <v>738</v>
      </c>
      <c r="C238" s="6" t="s">
        <v>312</v>
      </c>
      <c r="D238" s="6" t="s">
        <v>739</v>
      </c>
      <c r="E238" s="9" t="n">
        <v>320</v>
      </c>
      <c r="F238" s="9" t="n">
        <v>300</v>
      </c>
      <c r="G238" s="9" t="n">
        <v>286</v>
      </c>
      <c r="H238" s="6" t="str">
        <f aca="false">E238&amp;" × (L+1)^2.4 × 1.004^L  (see Building_Levels)"</f>
        <v>320 × (L+1)^2.4 × 1.004^L  (see Building_Levels)</v>
      </c>
      <c r="I238" s="6" t="s">
        <v>260</v>
      </c>
      <c r="J238" s="6" t="s">
        <v>261</v>
      </c>
      <c r="K238" s="6" t="s">
        <v>262</v>
      </c>
    </row>
    <row r="239" customFormat="false" ht="15" hidden="false" customHeight="true" outlineLevel="0" collapsed="false">
      <c r="A239" s="6" t="n">
        <v>4</v>
      </c>
      <c r="B239" s="6" t="s">
        <v>740</v>
      </c>
      <c r="C239" s="6" t="s">
        <v>312</v>
      </c>
      <c r="D239" s="6" t="s">
        <v>741</v>
      </c>
      <c r="E239" s="9" t="n">
        <v>376</v>
      </c>
      <c r="F239" s="9" t="n">
        <v>356</v>
      </c>
      <c r="G239" s="9" t="n">
        <v>338</v>
      </c>
      <c r="H239" s="6" t="str">
        <f aca="false">E239&amp;" × (L+1)^2.4 × 1.004^L  (see Building_Levels)"</f>
        <v>376 × (L+1)^2.4 × 1.004^L  (see Building_Levels)</v>
      </c>
      <c r="I239" s="6" t="s">
        <v>260</v>
      </c>
      <c r="J239" s="6" t="s">
        <v>261</v>
      </c>
      <c r="K239" s="6" t="s">
        <v>262</v>
      </c>
    </row>
    <row r="240" customFormat="false" ht="15" hidden="false" customHeight="true" outlineLevel="0" collapsed="false">
      <c r="A240" s="6" t="n">
        <v>4</v>
      </c>
      <c r="B240" s="6" t="s">
        <v>742</v>
      </c>
      <c r="C240" s="6" t="s">
        <v>333</v>
      </c>
      <c r="D240" s="6" t="s">
        <v>743</v>
      </c>
      <c r="E240" s="9" t="n">
        <v>360</v>
      </c>
      <c r="F240" s="9" t="n">
        <v>380</v>
      </c>
      <c r="G240" s="9" t="n">
        <v>330</v>
      </c>
      <c r="H240" s="6" t="str">
        <f aca="false">E240&amp;" × (L+1)^2.4 × 1.004^L  (see Building_Levels)"</f>
        <v>360 × (L+1)^2.4 × 1.004^L  (see Building_Levels)</v>
      </c>
      <c r="I240" s="6" t="s">
        <v>260</v>
      </c>
      <c r="J240" s="6" t="s">
        <v>261</v>
      </c>
      <c r="K240" s="6" t="s">
        <v>262</v>
      </c>
    </row>
    <row r="241" customFormat="false" ht="15" hidden="false" customHeight="true" outlineLevel="0" collapsed="false">
      <c r="A241" s="6" t="n">
        <v>4</v>
      </c>
      <c r="B241" s="6" t="s">
        <v>744</v>
      </c>
      <c r="C241" s="6" t="s">
        <v>333</v>
      </c>
      <c r="D241" s="6" t="s">
        <v>745</v>
      </c>
      <c r="E241" s="9" t="n">
        <v>380</v>
      </c>
      <c r="F241" s="9" t="n">
        <v>420</v>
      </c>
      <c r="G241" s="9" t="n">
        <v>340</v>
      </c>
      <c r="H241" s="6" t="str">
        <f aca="false">E241&amp;" × (L+1)^2.4 × 1.004^L  (see Building_Levels)"</f>
        <v>380 × (L+1)^2.4 × 1.004^L  (see Building_Levels)</v>
      </c>
      <c r="I241" s="6" t="s">
        <v>260</v>
      </c>
      <c r="J241" s="6" t="s">
        <v>261</v>
      </c>
      <c r="K241" s="6" t="s">
        <v>262</v>
      </c>
    </row>
    <row r="242" customFormat="false" ht="15" hidden="false" customHeight="true" outlineLevel="0" collapsed="false">
      <c r="A242" s="6" t="n">
        <v>4</v>
      </c>
      <c r="B242" s="6" t="s">
        <v>746</v>
      </c>
      <c r="C242" s="6" t="s">
        <v>333</v>
      </c>
      <c r="D242" s="6" t="s">
        <v>747</v>
      </c>
      <c r="E242" s="9" t="n">
        <v>340</v>
      </c>
      <c r="F242" s="9" t="n">
        <v>360</v>
      </c>
      <c r="G242" s="9" t="n">
        <v>300</v>
      </c>
      <c r="H242" s="6" t="str">
        <f aca="false">E242&amp;" × (L+1)^2.4 × 1.004^L  (see Building_Levels)"</f>
        <v>340 × (L+1)^2.4 × 1.004^L  (see Building_Levels)</v>
      </c>
      <c r="I242" s="6" t="s">
        <v>260</v>
      </c>
      <c r="J242" s="6" t="s">
        <v>261</v>
      </c>
      <c r="K242" s="6" t="s">
        <v>262</v>
      </c>
    </row>
    <row r="243" customFormat="false" ht="15" hidden="false" customHeight="true" outlineLevel="0" collapsed="false">
      <c r="A243" s="6" t="n">
        <v>4</v>
      </c>
      <c r="B243" s="6" t="s">
        <v>748</v>
      </c>
      <c r="C243" s="6" t="s">
        <v>333</v>
      </c>
      <c r="D243" s="6" t="s">
        <v>602</v>
      </c>
      <c r="E243" s="9" t="n">
        <v>350</v>
      </c>
      <c r="F243" s="9" t="n">
        <v>380</v>
      </c>
      <c r="G243" s="9" t="n">
        <v>310</v>
      </c>
      <c r="H243" s="6" t="str">
        <f aca="false">E243&amp;" × (L+1)^2.4 × 1.004^L  (see Building_Levels)"</f>
        <v>350 × (L+1)^2.4 × 1.004^L  (see Building_Levels)</v>
      </c>
      <c r="I243" s="6" t="s">
        <v>260</v>
      </c>
      <c r="J243" s="6" t="s">
        <v>261</v>
      </c>
      <c r="K243" s="6" t="s">
        <v>262</v>
      </c>
    </row>
    <row r="244" customFormat="false" ht="15" hidden="false" customHeight="true" outlineLevel="0" collapsed="false">
      <c r="A244" s="6" t="n">
        <v>4</v>
      </c>
      <c r="B244" s="6" t="s">
        <v>749</v>
      </c>
      <c r="C244" s="6" t="s">
        <v>342</v>
      </c>
      <c r="D244" s="6" t="s">
        <v>750</v>
      </c>
      <c r="E244" s="9" t="n">
        <v>330</v>
      </c>
      <c r="F244" s="9" t="n">
        <v>310</v>
      </c>
      <c r="G244" s="9" t="n">
        <v>300</v>
      </c>
      <c r="H244" s="6" t="str">
        <f aca="false">E244&amp;" × (L+1)^2.4 × 1.004^L  (see Building_Levels)"</f>
        <v>330 × (L+1)^2.4 × 1.004^L  (see Building_Levels)</v>
      </c>
      <c r="I244" s="6" t="s">
        <v>260</v>
      </c>
      <c r="J244" s="6" t="s">
        <v>261</v>
      </c>
      <c r="K244" s="6" t="s">
        <v>262</v>
      </c>
    </row>
    <row r="245" customFormat="false" ht="15" hidden="false" customHeight="true" outlineLevel="0" collapsed="false">
      <c r="A245" s="6" t="n">
        <v>4</v>
      </c>
      <c r="B245" s="6" t="s">
        <v>751</v>
      </c>
      <c r="C245" s="6" t="s">
        <v>342</v>
      </c>
      <c r="D245" s="6" t="s">
        <v>752</v>
      </c>
      <c r="E245" s="9" t="n">
        <v>320</v>
      </c>
      <c r="F245" s="9" t="n">
        <v>300</v>
      </c>
      <c r="G245" s="9" t="n">
        <v>290</v>
      </c>
      <c r="H245" s="6" t="str">
        <f aca="false">E245&amp;" × (L+1)^2.4 × 1.004^L  (see Building_Levels)"</f>
        <v>320 × (L+1)^2.4 × 1.004^L  (see Building_Levels)</v>
      </c>
      <c r="I245" s="6" t="s">
        <v>260</v>
      </c>
      <c r="J245" s="6" t="s">
        <v>261</v>
      </c>
      <c r="K245" s="6" t="s">
        <v>262</v>
      </c>
    </row>
    <row r="246" customFormat="false" ht="15" hidden="false" customHeight="true" outlineLevel="0" collapsed="false">
      <c r="A246" s="6" t="n">
        <v>4</v>
      </c>
      <c r="B246" s="6" t="s">
        <v>753</v>
      </c>
      <c r="C246" s="6" t="s">
        <v>342</v>
      </c>
      <c r="D246" s="6" t="s">
        <v>754</v>
      </c>
      <c r="E246" s="9" t="n">
        <v>340</v>
      </c>
      <c r="F246" s="9" t="n">
        <v>320</v>
      </c>
      <c r="G246" s="9" t="n">
        <v>310</v>
      </c>
      <c r="H246" s="6" t="str">
        <f aca="false">E246&amp;" × (L+1)^2.4 × 1.004^L  (see Building_Levels)"</f>
        <v>340 × (L+1)^2.4 × 1.004^L  (see Building_Levels)</v>
      </c>
      <c r="I246" s="6" t="s">
        <v>260</v>
      </c>
      <c r="J246" s="6" t="s">
        <v>261</v>
      </c>
      <c r="K246" s="6" t="s">
        <v>262</v>
      </c>
    </row>
    <row r="247" customFormat="false" ht="15" hidden="false" customHeight="true" outlineLevel="0" collapsed="false">
      <c r="A247" s="6" t="n">
        <v>4</v>
      </c>
      <c r="B247" s="6" t="s">
        <v>755</v>
      </c>
      <c r="C247" s="6" t="s">
        <v>342</v>
      </c>
      <c r="D247" s="6" t="s">
        <v>756</v>
      </c>
      <c r="E247" s="9" t="n">
        <v>380</v>
      </c>
      <c r="F247" s="9" t="n">
        <v>360</v>
      </c>
      <c r="G247" s="9" t="n">
        <v>344</v>
      </c>
      <c r="H247" s="6" t="str">
        <f aca="false">E247&amp;" × (L+1)^2.4 × 1.004^L  (see Building_Levels)"</f>
        <v>380 × (L+1)^2.4 × 1.004^L  (see Building_Levels)</v>
      </c>
      <c r="I247" s="6" t="s">
        <v>260</v>
      </c>
      <c r="J247" s="6" t="s">
        <v>261</v>
      </c>
      <c r="K247" s="6" t="s">
        <v>262</v>
      </c>
    </row>
    <row r="248" customFormat="false" ht="15" hidden="false" customHeight="true" outlineLevel="0" collapsed="false">
      <c r="A248" s="6" t="n">
        <v>4</v>
      </c>
      <c r="B248" s="6" t="s">
        <v>757</v>
      </c>
      <c r="C248" s="6" t="s">
        <v>342</v>
      </c>
      <c r="D248" s="6" t="s">
        <v>758</v>
      </c>
      <c r="E248" s="9" t="n">
        <v>330</v>
      </c>
      <c r="F248" s="9" t="n">
        <v>310</v>
      </c>
      <c r="G248" s="9" t="n">
        <v>296</v>
      </c>
      <c r="H248" s="6" t="str">
        <f aca="false">E248&amp;" × (L+1)^2.4 × 1.004^L  (see Building_Levels)"</f>
        <v>330 × (L+1)^2.4 × 1.004^L  (see Building_Levels)</v>
      </c>
      <c r="I248" s="6" t="s">
        <v>260</v>
      </c>
      <c r="J248" s="6" t="s">
        <v>261</v>
      </c>
      <c r="K248" s="6" t="s">
        <v>262</v>
      </c>
    </row>
    <row r="249" customFormat="false" ht="15" hidden="false" customHeight="true" outlineLevel="0" collapsed="false">
      <c r="A249" s="6" t="n">
        <v>4</v>
      </c>
      <c r="B249" s="6" t="s">
        <v>759</v>
      </c>
      <c r="C249" s="6" t="s">
        <v>342</v>
      </c>
      <c r="D249" s="6" t="s">
        <v>760</v>
      </c>
      <c r="E249" s="9" t="n">
        <v>326</v>
      </c>
      <c r="F249" s="9" t="n">
        <v>306</v>
      </c>
      <c r="G249" s="9" t="n">
        <v>292</v>
      </c>
      <c r="H249" s="6" t="str">
        <f aca="false">E249&amp;" × (L+1)^2.4 × 1.004^L  (see Building_Levels)"</f>
        <v>326 × (L+1)^2.4 × 1.004^L  (see Building_Levels)</v>
      </c>
      <c r="I249" s="6" t="s">
        <v>260</v>
      </c>
      <c r="J249" s="6" t="s">
        <v>261</v>
      </c>
      <c r="K249" s="6" t="s">
        <v>262</v>
      </c>
    </row>
    <row r="250" customFormat="false" ht="15" hidden="false" customHeight="true" outlineLevel="0" collapsed="false">
      <c r="A250" s="6" t="n">
        <v>4</v>
      </c>
      <c r="B250" s="6" t="s">
        <v>761</v>
      </c>
      <c r="C250" s="6" t="s">
        <v>356</v>
      </c>
      <c r="D250" s="6" t="s">
        <v>762</v>
      </c>
      <c r="E250" s="9" t="n">
        <v>350</v>
      </c>
      <c r="F250" s="9" t="n">
        <v>370</v>
      </c>
      <c r="G250" s="9" t="n">
        <v>300</v>
      </c>
      <c r="H250" s="6" t="str">
        <f aca="false">E250&amp;" × (L+1)^2.4 × 1.004^L  (see Building_Levels)"</f>
        <v>350 × (L+1)^2.4 × 1.004^L  (see Building_Levels)</v>
      </c>
      <c r="I250" s="6" t="s">
        <v>260</v>
      </c>
      <c r="J250" s="6" t="s">
        <v>261</v>
      </c>
      <c r="K250" s="6" t="s">
        <v>262</v>
      </c>
    </row>
    <row r="251" customFormat="false" ht="15" hidden="false" customHeight="true" outlineLevel="0" collapsed="false">
      <c r="A251" s="6" t="n">
        <v>4</v>
      </c>
      <c r="B251" s="6" t="s">
        <v>763</v>
      </c>
      <c r="C251" s="6" t="s">
        <v>356</v>
      </c>
      <c r="D251" s="6" t="s">
        <v>764</v>
      </c>
      <c r="E251" s="9" t="n">
        <v>330</v>
      </c>
      <c r="F251" s="9" t="n">
        <v>350</v>
      </c>
      <c r="G251" s="9" t="n">
        <v>286</v>
      </c>
      <c r="H251" s="6" t="str">
        <f aca="false">E251&amp;" × (L+1)^2.4 × 1.004^L  (see Building_Levels)"</f>
        <v>330 × (L+1)^2.4 × 1.004^L  (see Building_Levels)</v>
      </c>
      <c r="I251" s="6" t="s">
        <v>260</v>
      </c>
      <c r="J251" s="6" t="s">
        <v>261</v>
      </c>
      <c r="K251" s="6" t="s">
        <v>262</v>
      </c>
    </row>
    <row r="252" customFormat="false" ht="15" hidden="false" customHeight="true" outlineLevel="0" collapsed="false">
      <c r="A252" s="6" t="n">
        <v>4</v>
      </c>
      <c r="B252" s="6" t="s">
        <v>765</v>
      </c>
      <c r="C252" s="6" t="s">
        <v>356</v>
      </c>
      <c r="D252" s="6" t="s">
        <v>766</v>
      </c>
      <c r="E252" s="9" t="n">
        <v>320</v>
      </c>
      <c r="F252" s="9" t="n">
        <v>300</v>
      </c>
      <c r="G252" s="9" t="n">
        <v>286</v>
      </c>
      <c r="H252" s="6" t="str">
        <f aca="false">E252&amp;" × (L+1)^2.4 × 1.004^L  (see Building_Levels)"</f>
        <v>320 × (L+1)^2.4 × 1.004^L  (see Building_Levels)</v>
      </c>
      <c r="I252" s="6" t="s">
        <v>260</v>
      </c>
      <c r="J252" s="6" t="s">
        <v>261</v>
      </c>
      <c r="K252" s="6" t="s">
        <v>262</v>
      </c>
    </row>
    <row r="253" customFormat="false" ht="15" hidden="false" customHeight="true" outlineLevel="0" collapsed="false">
      <c r="A253" s="6" t="n">
        <v>4</v>
      </c>
      <c r="B253" s="6" t="s">
        <v>767</v>
      </c>
      <c r="C253" s="6" t="s">
        <v>356</v>
      </c>
      <c r="D253" s="6" t="s">
        <v>768</v>
      </c>
      <c r="E253" s="9" t="n">
        <v>330</v>
      </c>
      <c r="F253" s="9" t="n">
        <v>346</v>
      </c>
      <c r="G253" s="9" t="n">
        <v>290</v>
      </c>
      <c r="H253" s="6" t="str">
        <f aca="false">E253&amp;" × (L+1)^2.4 × 1.004^L  (see Building_Levels)"</f>
        <v>330 × (L+1)^2.4 × 1.004^L  (see Building_Levels)</v>
      </c>
      <c r="I253" s="6" t="s">
        <v>260</v>
      </c>
      <c r="J253" s="6" t="s">
        <v>261</v>
      </c>
      <c r="K253" s="6" t="s">
        <v>262</v>
      </c>
    </row>
    <row r="254" customFormat="false" ht="15" hidden="false" customHeight="true" outlineLevel="0" collapsed="false">
      <c r="A254" s="6" t="n">
        <v>4</v>
      </c>
      <c r="B254" s="6" t="s">
        <v>769</v>
      </c>
      <c r="C254" s="6" t="s">
        <v>356</v>
      </c>
      <c r="D254" s="6" t="s">
        <v>770</v>
      </c>
      <c r="E254" s="9" t="n">
        <v>336</v>
      </c>
      <c r="F254" s="9" t="n">
        <v>316</v>
      </c>
      <c r="G254" s="9" t="n">
        <v>300</v>
      </c>
      <c r="H254" s="6" t="str">
        <f aca="false">E254&amp;" × (L+1)^2.4 × 1.004^L  (see Building_Levels)"</f>
        <v>336 × (L+1)^2.4 × 1.004^L  (see Building_Levels)</v>
      </c>
      <c r="I254" s="6" t="s">
        <v>260</v>
      </c>
      <c r="J254" s="6" t="s">
        <v>261</v>
      </c>
      <c r="K254" s="6" t="s">
        <v>262</v>
      </c>
    </row>
    <row r="255" customFormat="false" ht="15" hidden="false" customHeight="true" outlineLevel="0" collapsed="false">
      <c r="A255" s="6" t="n">
        <v>4</v>
      </c>
      <c r="B255" s="6" t="s">
        <v>771</v>
      </c>
      <c r="C255" s="6" t="s">
        <v>356</v>
      </c>
      <c r="D255" s="6" t="s">
        <v>772</v>
      </c>
      <c r="E255" s="9" t="n">
        <v>300</v>
      </c>
      <c r="F255" s="9" t="n">
        <v>286</v>
      </c>
      <c r="G255" s="9" t="n">
        <v>270</v>
      </c>
      <c r="H255" s="6" t="str">
        <f aca="false">E255&amp;" × (L+1)^2.4 × 1.004^L  (see Building_Levels)"</f>
        <v>300 × (L+1)^2.4 × 1.004^L  (see Building_Levels)</v>
      </c>
      <c r="I255" s="6" t="s">
        <v>260</v>
      </c>
      <c r="J255" s="6" t="s">
        <v>261</v>
      </c>
      <c r="K255" s="6" t="s">
        <v>262</v>
      </c>
    </row>
    <row r="256" customFormat="false" ht="15" hidden="false" customHeight="true" outlineLevel="0" collapsed="false">
      <c r="A256" s="6" t="n">
        <v>4</v>
      </c>
      <c r="B256" s="6" t="s">
        <v>773</v>
      </c>
      <c r="C256" s="6" t="s">
        <v>371</v>
      </c>
      <c r="D256" s="6" t="s">
        <v>774</v>
      </c>
      <c r="E256" s="9" t="n">
        <v>330</v>
      </c>
      <c r="F256" s="9" t="n">
        <v>310</v>
      </c>
      <c r="G256" s="9" t="n">
        <v>296</v>
      </c>
      <c r="H256" s="6" t="str">
        <f aca="false">E256&amp;" × (L+1)^2.4 × 1.004^L  (see Building_Levels)"</f>
        <v>330 × (L+1)^2.4 × 1.004^L  (see Building_Levels)</v>
      </c>
      <c r="I256" s="6" t="s">
        <v>260</v>
      </c>
      <c r="J256" s="6" t="s">
        <v>261</v>
      </c>
      <c r="K256" s="6" t="s">
        <v>262</v>
      </c>
    </row>
    <row r="257" customFormat="false" ht="15" hidden="false" customHeight="true" outlineLevel="0" collapsed="false">
      <c r="A257" s="6" t="n">
        <v>4</v>
      </c>
      <c r="B257" s="6" t="s">
        <v>775</v>
      </c>
      <c r="C257" s="6" t="s">
        <v>371</v>
      </c>
      <c r="D257" s="6" t="s">
        <v>776</v>
      </c>
      <c r="E257" s="9" t="n">
        <v>300</v>
      </c>
      <c r="F257" s="9" t="n">
        <v>286</v>
      </c>
      <c r="G257" s="9" t="n">
        <v>270</v>
      </c>
      <c r="H257" s="6" t="str">
        <f aca="false">E257&amp;" × (L+1)^2.4 × 1.004^L  (see Building_Levels)"</f>
        <v>300 × (L+1)^2.4 × 1.004^L  (see Building_Levels)</v>
      </c>
      <c r="I257" s="6" t="s">
        <v>260</v>
      </c>
      <c r="J257" s="6" t="s">
        <v>261</v>
      </c>
      <c r="K257" s="6" t="s">
        <v>262</v>
      </c>
    </row>
    <row r="258" customFormat="false" ht="15" hidden="false" customHeight="true" outlineLevel="0" collapsed="false">
      <c r="A258" s="6" t="n">
        <v>4</v>
      </c>
      <c r="B258" s="6" t="s">
        <v>777</v>
      </c>
      <c r="C258" s="6" t="s">
        <v>371</v>
      </c>
      <c r="D258" s="6" t="s">
        <v>778</v>
      </c>
      <c r="E258" s="9" t="n">
        <v>340</v>
      </c>
      <c r="F258" s="9" t="n">
        <v>320</v>
      </c>
      <c r="G258" s="9" t="n">
        <v>306</v>
      </c>
      <c r="H258" s="6" t="str">
        <f aca="false">E258&amp;" × (L+1)^2.4 × 1.004^L  (see Building_Levels)"</f>
        <v>340 × (L+1)^2.4 × 1.004^L  (see Building_Levels)</v>
      </c>
      <c r="I258" s="6" t="s">
        <v>260</v>
      </c>
      <c r="J258" s="6" t="s">
        <v>261</v>
      </c>
      <c r="K258" s="6" t="s">
        <v>262</v>
      </c>
    </row>
    <row r="259" customFormat="false" ht="15" hidden="false" customHeight="true" outlineLevel="0" collapsed="false">
      <c r="A259" s="6" t="n">
        <v>4</v>
      </c>
      <c r="B259" s="6" t="s">
        <v>779</v>
      </c>
      <c r="C259" s="6" t="s">
        <v>371</v>
      </c>
      <c r="D259" s="6" t="s">
        <v>780</v>
      </c>
      <c r="E259" s="9" t="n">
        <v>310</v>
      </c>
      <c r="F259" s="9" t="n">
        <v>290</v>
      </c>
      <c r="G259" s="9" t="n">
        <v>276</v>
      </c>
      <c r="H259" s="6" t="str">
        <f aca="false">E259&amp;" × (L+1)^2.4 × 1.004^L  (see Building_Levels)"</f>
        <v>310 × (L+1)^2.4 × 1.004^L  (see Building_Levels)</v>
      </c>
      <c r="I259" s="6" t="s">
        <v>260</v>
      </c>
      <c r="J259" s="6" t="s">
        <v>261</v>
      </c>
      <c r="K259" s="6" t="s">
        <v>262</v>
      </c>
    </row>
    <row r="260" customFormat="false" ht="15" hidden="false" customHeight="true" outlineLevel="0" collapsed="false">
      <c r="A260" s="6" t="n">
        <v>4</v>
      </c>
      <c r="B260" s="6" t="s">
        <v>781</v>
      </c>
      <c r="C260" s="6" t="s">
        <v>371</v>
      </c>
      <c r="D260" s="6" t="s">
        <v>782</v>
      </c>
      <c r="E260" s="9" t="n">
        <v>330</v>
      </c>
      <c r="F260" s="9" t="n">
        <v>310</v>
      </c>
      <c r="G260" s="9" t="n">
        <v>296</v>
      </c>
      <c r="H260" s="6" t="str">
        <f aca="false">E260&amp;" × (L+1)^2.4 × 1.004^L  (see Building_Levels)"</f>
        <v>330 × (L+1)^2.4 × 1.004^L  (see Building_Levels)</v>
      </c>
      <c r="I260" s="6" t="s">
        <v>260</v>
      </c>
      <c r="J260" s="6" t="s">
        <v>261</v>
      </c>
      <c r="K260" s="6" t="s">
        <v>262</v>
      </c>
    </row>
    <row r="261" customFormat="false" ht="15" hidden="false" customHeight="true" outlineLevel="0" collapsed="false">
      <c r="A261" s="6" t="n">
        <v>4</v>
      </c>
      <c r="B261" s="6" t="s">
        <v>783</v>
      </c>
      <c r="C261" s="6" t="s">
        <v>371</v>
      </c>
      <c r="D261" s="6" t="s">
        <v>784</v>
      </c>
      <c r="E261" s="9" t="n">
        <v>320</v>
      </c>
      <c r="F261" s="9" t="n">
        <v>300</v>
      </c>
      <c r="G261" s="9" t="n">
        <v>286</v>
      </c>
      <c r="H261" s="6" t="str">
        <f aca="false">E261&amp;" × (L+1)^2.4 × 1.004^L  (see Building_Levels)"</f>
        <v>320 × (L+1)^2.4 × 1.004^L  (see Building_Levels)</v>
      </c>
      <c r="I261" s="6" t="s">
        <v>260</v>
      </c>
      <c r="J261" s="6" t="s">
        <v>261</v>
      </c>
      <c r="K261" s="6" t="s">
        <v>262</v>
      </c>
    </row>
    <row r="262" customFormat="false" ht="15" hidden="false" customHeight="true" outlineLevel="0" collapsed="false">
      <c r="A262" s="6" t="n">
        <v>4</v>
      </c>
      <c r="B262" s="6" t="s">
        <v>785</v>
      </c>
      <c r="C262" s="6" t="s">
        <v>371</v>
      </c>
      <c r="D262" s="6" t="s">
        <v>786</v>
      </c>
      <c r="E262" s="9" t="n">
        <v>330</v>
      </c>
      <c r="F262" s="9" t="n">
        <v>310</v>
      </c>
      <c r="G262" s="9" t="n">
        <v>296</v>
      </c>
      <c r="H262" s="6" t="str">
        <f aca="false">E262&amp;" × (L+1)^2.4 × 1.004^L  (see Building_Levels)"</f>
        <v>330 × (L+1)^2.4 × 1.004^L  (see Building_Levels)</v>
      </c>
      <c r="I262" s="6" t="s">
        <v>260</v>
      </c>
      <c r="J262" s="6" t="s">
        <v>261</v>
      </c>
      <c r="K262" s="6" t="s">
        <v>262</v>
      </c>
    </row>
    <row r="263" customFormat="false" ht="15" hidden="false" customHeight="true" outlineLevel="0" collapsed="false">
      <c r="A263" s="6" t="n">
        <v>4</v>
      </c>
      <c r="B263" s="6" t="s">
        <v>787</v>
      </c>
      <c r="C263" s="6" t="s">
        <v>258</v>
      </c>
      <c r="D263" s="6" t="s">
        <v>788</v>
      </c>
      <c r="E263" s="9" t="n">
        <v>310</v>
      </c>
      <c r="F263" s="9" t="n">
        <v>290</v>
      </c>
      <c r="G263" s="9" t="n">
        <v>276</v>
      </c>
      <c r="H263" s="6" t="str">
        <f aca="false">E263&amp;" × (L+1)^2.4 × 1.004^L  (see Building_Levels)"</f>
        <v>310 × (L+1)^2.4 × 1.004^L  (see Building_Levels)</v>
      </c>
      <c r="I263" s="6" t="s">
        <v>260</v>
      </c>
      <c r="J263" s="6" t="s">
        <v>261</v>
      </c>
      <c r="K263" s="6" t="s">
        <v>262</v>
      </c>
    </row>
    <row r="264" customFormat="false" ht="15" hidden="false" customHeight="true" outlineLevel="0" collapsed="false">
      <c r="A264" s="6" t="n">
        <v>4</v>
      </c>
      <c r="B264" s="6" t="s">
        <v>789</v>
      </c>
      <c r="C264" s="6" t="s">
        <v>333</v>
      </c>
      <c r="D264" s="6" t="s">
        <v>790</v>
      </c>
      <c r="E264" s="9" t="n">
        <v>300</v>
      </c>
      <c r="F264" s="9" t="n">
        <v>286</v>
      </c>
      <c r="G264" s="9" t="n">
        <v>270</v>
      </c>
      <c r="H264" s="6" t="str">
        <f aca="false">E264&amp;" × (L+1)^2.4 × 1.004^L  (see Building_Levels)"</f>
        <v>300 × (L+1)^2.4 × 1.004^L  (see Building_Levels)</v>
      </c>
      <c r="I264" s="6" t="s">
        <v>260</v>
      </c>
      <c r="J264" s="6" t="s">
        <v>261</v>
      </c>
      <c r="K264" s="6" t="s">
        <v>262</v>
      </c>
    </row>
    <row r="265" customFormat="false" ht="15" hidden="false" customHeight="true" outlineLevel="0" collapsed="false">
      <c r="A265" s="6" t="n">
        <v>4</v>
      </c>
      <c r="B265" s="6" t="s">
        <v>791</v>
      </c>
      <c r="C265" s="6" t="s">
        <v>333</v>
      </c>
      <c r="D265" s="6" t="s">
        <v>792</v>
      </c>
      <c r="E265" s="9" t="n">
        <v>400</v>
      </c>
      <c r="F265" s="9" t="n">
        <v>440</v>
      </c>
      <c r="G265" s="9" t="n">
        <v>350</v>
      </c>
      <c r="H265" s="6" t="str">
        <f aca="false">E265&amp;" × (L+1)^2.4 × 1.004^L  (see Building_Levels)"</f>
        <v>400 × (L+1)^2.4 × 1.004^L  (see Building_Levels)</v>
      </c>
      <c r="I265" s="6" t="s">
        <v>260</v>
      </c>
      <c r="J265" s="6" t="s">
        <v>261</v>
      </c>
      <c r="K265" s="6" t="s">
        <v>262</v>
      </c>
    </row>
    <row r="266" customFormat="false" ht="15" hidden="false" customHeight="true" outlineLevel="0" collapsed="false">
      <c r="A266" s="6" t="n">
        <v>4</v>
      </c>
      <c r="B266" s="6" t="s">
        <v>793</v>
      </c>
      <c r="C266" s="6" t="s">
        <v>23</v>
      </c>
      <c r="D266" s="6" t="s">
        <v>794</v>
      </c>
      <c r="E266" s="9" t="n">
        <v>380</v>
      </c>
      <c r="F266" s="9" t="n">
        <v>360</v>
      </c>
      <c r="G266" s="9" t="n">
        <v>360</v>
      </c>
      <c r="H266" s="6" t="str">
        <f aca="false">E266&amp;" × (L+1)^2.4 × 1.004^L  (see Building_Levels)"</f>
        <v>380 × (L+1)^2.4 × 1.004^L  (see Building_Levels)</v>
      </c>
      <c r="I266" s="6" t="s">
        <v>260</v>
      </c>
      <c r="J266" s="6" t="s">
        <v>261</v>
      </c>
      <c r="K266" s="6" t="s">
        <v>262</v>
      </c>
    </row>
    <row r="267" customFormat="false" ht="15" hidden="false" customHeight="true" outlineLevel="0" collapsed="false">
      <c r="A267" s="6" t="n">
        <v>4</v>
      </c>
      <c r="B267" s="6" t="s">
        <v>795</v>
      </c>
      <c r="C267" s="6" t="s">
        <v>23</v>
      </c>
      <c r="D267" s="6" t="s">
        <v>796</v>
      </c>
      <c r="E267" s="9" t="n">
        <v>370</v>
      </c>
      <c r="F267" s="9" t="n">
        <v>350</v>
      </c>
      <c r="G267" s="9" t="n">
        <v>354</v>
      </c>
      <c r="H267" s="6" t="str">
        <f aca="false">E267&amp;" × (L+1)^2.4 × 1.004^L  (see Building_Levels)"</f>
        <v>370 × (L+1)^2.4 × 1.004^L  (see Building_Levels)</v>
      </c>
      <c r="I267" s="6" t="s">
        <v>260</v>
      </c>
      <c r="J267" s="6" t="s">
        <v>261</v>
      </c>
      <c r="K267" s="6" t="s">
        <v>262</v>
      </c>
    </row>
    <row r="268" customFormat="false" ht="15" hidden="false" customHeight="true" outlineLevel="0" collapsed="false">
      <c r="A268" s="6" t="n">
        <v>4</v>
      </c>
      <c r="B268" s="6" t="s">
        <v>797</v>
      </c>
      <c r="C268" s="6" t="s">
        <v>23</v>
      </c>
      <c r="D268" s="6" t="s">
        <v>798</v>
      </c>
      <c r="E268" s="9" t="n">
        <v>350</v>
      </c>
      <c r="F268" s="9" t="n">
        <v>330</v>
      </c>
      <c r="G268" s="9" t="n">
        <v>334</v>
      </c>
      <c r="H268" s="6" t="str">
        <f aca="false">E268&amp;" × (L+1)^2.4 × 1.004^L  (see Building_Levels)"</f>
        <v>350 × (L+1)^2.4 × 1.004^L  (see Building_Levels)</v>
      </c>
      <c r="I268" s="6" t="s">
        <v>260</v>
      </c>
      <c r="J268" s="6" t="s">
        <v>261</v>
      </c>
      <c r="K268" s="6" t="s">
        <v>262</v>
      </c>
    </row>
    <row r="269" customFormat="false" ht="15" hidden="false" customHeight="true" outlineLevel="0" collapsed="false">
      <c r="A269" s="6" t="n">
        <v>4</v>
      </c>
      <c r="B269" s="6" t="s">
        <v>799</v>
      </c>
      <c r="C269" s="6" t="s">
        <v>23</v>
      </c>
      <c r="D269" s="6" t="s">
        <v>800</v>
      </c>
      <c r="E269" s="9" t="n">
        <v>360</v>
      </c>
      <c r="F269" s="9" t="n">
        <v>340</v>
      </c>
      <c r="G269" s="9" t="n">
        <v>344</v>
      </c>
      <c r="H269" s="6" t="str">
        <f aca="false">E269&amp;" × (L+1)^2.4 × 1.004^L  (see Building_Levels)"</f>
        <v>360 × (L+1)^2.4 × 1.004^L  (see Building_Levels)</v>
      </c>
      <c r="I269" s="6" t="s">
        <v>260</v>
      </c>
      <c r="J269" s="6" t="s">
        <v>261</v>
      </c>
      <c r="K269" s="6" t="s">
        <v>262</v>
      </c>
    </row>
    <row r="270" customFormat="false" ht="15" hidden="false" customHeight="true" outlineLevel="0" collapsed="false">
      <c r="A270" s="6" t="n">
        <v>4</v>
      </c>
      <c r="B270" s="6" t="s">
        <v>801</v>
      </c>
      <c r="C270" s="6" t="s">
        <v>23</v>
      </c>
      <c r="D270" s="6" t="s">
        <v>802</v>
      </c>
      <c r="E270" s="9" t="n">
        <v>376</v>
      </c>
      <c r="F270" s="9" t="n">
        <v>356</v>
      </c>
      <c r="G270" s="9" t="n">
        <v>360</v>
      </c>
      <c r="H270" s="6" t="str">
        <f aca="false">E270&amp;" × (L+1)^2.4 × 1.004^L  (see Building_Levels)"</f>
        <v>376 × (L+1)^2.4 × 1.004^L  (see Building_Levels)</v>
      </c>
      <c r="I270" s="6" t="s">
        <v>260</v>
      </c>
      <c r="J270" s="6" t="s">
        <v>261</v>
      </c>
      <c r="K270" s="6" t="s">
        <v>262</v>
      </c>
    </row>
    <row r="271" customFormat="false" ht="15" hidden="false" customHeight="true" outlineLevel="0" collapsed="false">
      <c r="A271" s="6" t="n">
        <v>4</v>
      </c>
      <c r="B271" s="6" t="s">
        <v>803</v>
      </c>
      <c r="C271" s="6" t="s">
        <v>804</v>
      </c>
      <c r="D271" s="6" t="s">
        <v>805</v>
      </c>
      <c r="E271" s="9" t="n">
        <v>460</v>
      </c>
      <c r="F271" s="9" t="n">
        <v>480</v>
      </c>
      <c r="G271" s="9" t="n">
        <v>440</v>
      </c>
      <c r="H271" s="6" t="str">
        <f aca="false">E271&amp;" × (L+1)^2.4 × 1.004^L  (see Building_Levels)"</f>
        <v>460 × (L+1)^2.4 × 1.004^L  (see Building_Levels)</v>
      </c>
      <c r="I271" s="6" t="s">
        <v>260</v>
      </c>
      <c r="J271" s="6" t="s">
        <v>261</v>
      </c>
      <c r="K271" s="6" t="s">
        <v>262</v>
      </c>
    </row>
    <row r="272" customFormat="false" ht="15" hidden="false" customHeight="true" outlineLevel="0" collapsed="false">
      <c r="A272" s="6" t="n">
        <v>4</v>
      </c>
      <c r="B272" s="6" t="s">
        <v>806</v>
      </c>
      <c r="C272" s="6" t="s">
        <v>342</v>
      </c>
      <c r="D272" s="6" t="s">
        <v>807</v>
      </c>
      <c r="E272" s="9" t="n">
        <v>350</v>
      </c>
      <c r="F272" s="9" t="n">
        <v>330</v>
      </c>
      <c r="G272" s="9" t="n">
        <v>316</v>
      </c>
      <c r="H272" s="6" t="str">
        <f aca="false">E272&amp;" × (L+1)^2.4 × 1.004^L  (see Building_Levels)"</f>
        <v>350 × (L+1)^2.4 × 1.004^L  (see Building_Levels)</v>
      </c>
      <c r="I272" s="6" t="s">
        <v>260</v>
      </c>
      <c r="J272" s="6" t="s">
        <v>261</v>
      </c>
      <c r="K272" s="6" t="s">
        <v>262</v>
      </c>
    </row>
    <row r="273" customFormat="false" ht="15" hidden="false" customHeight="true" outlineLevel="0" collapsed="false">
      <c r="A273" s="6" t="n">
        <v>4</v>
      </c>
      <c r="B273" s="6" t="s">
        <v>808</v>
      </c>
      <c r="C273" s="6" t="s">
        <v>804</v>
      </c>
      <c r="D273" s="6" t="s">
        <v>809</v>
      </c>
      <c r="E273" s="9" t="n">
        <v>380</v>
      </c>
      <c r="F273" s="9" t="n">
        <v>360</v>
      </c>
      <c r="G273" s="9" t="n">
        <v>344</v>
      </c>
      <c r="H273" s="6" t="str">
        <f aca="false">E273&amp;" × (L+1)^2.4 × 1.004^L  (see Building_Levels)"</f>
        <v>380 × (L+1)^2.4 × 1.004^L  (see Building_Levels)</v>
      </c>
      <c r="I273" s="6" t="s">
        <v>260</v>
      </c>
      <c r="J273" s="6" t="s">
        <v>261</v>
      </c>
      <c r="K273" s="6" t="s">
        <v>262</v>
      </c>
    </row>
    <row r="274" customFormat="false" ht="15" hidden="false" customHeight="true" outlineLevel="0" collapsed="false">
      <c r="A274" s="6" t="n">
        <v>4</v>
      </c>
      <c r="B274" s="6" t="s">
        <v>810</v>
      </c>
      <c r="C274" s="6" t="s">
        <v>804</v>
      </c>
      <c r="D274" s="6" t="s">
        <v>811</v>
      </c>
      <c r="E274" s="9" t="n">
        <v>420</v>
      </c>
      <c r="F274" s="9" t="n">
        <v>400</v>
      </c>
      <c r="G274" s="9" t="n">
        <v>390</v>
      </c>
      <c r="H274" s="6" t="str">
        <f aca="false">E274&amp;" × (L+1)^2.4 × 1.004^L  (see Building_Levels)"</f>
        <v>420 × (L+1)^2.4 × 1.004^L  (see Building_Levels)</v>
      </c>
      <c r="I274" s="6" t="s">
        <v>260</v>
      </c>
      <c r="J274" s="6" t="s">
        <v>261</v>
      </c>
      <c r="K274" s="6" t="s">
        <v>262</v>
      </c>
    </row>
    <row r="275" customFormat="false" ht="15" hidden="false" customHeight="true" outlineLevel="0" collapsed="false">
      <c r="A275" s="6" t="n">
        <v>4</v>
      </c>
      <c r="B275" s="6" t="s">
        <v>812</v>
      </c>
      <c r="C275" s="6" t="s">
        <v>351</v>
      </c>
      <c r="D275" s="6" t="s">
        <v>813</v>
      </c>
      <c r="E275" s="9" t="n">
        <v>300</v>
      </c>
      <c r="F275" s="9" t="n">
        <v>286</v>
      </c>
      <c r="G275" s="9" t="n">
        <v>270</v>
      </c>
      <c r="H275" s="6" t="str">
        <f aca="false">E275&amp;" × (L+1)^2.4 × 1.004^L  (see Building_Levels)"</f>
        <v>300 × (L+1)^2.4 × 1.004^L  (see Building_Levels)</v>
      </c>
      <c r="I275" s="6" t="s">
        <v>260</v>
      </c>
      <c r="J275" s="6" t="s">
        <v>261</v>
      </c>
      <c r="K275" s="6" t="s">
        <v>262</v>
      </c>
    </row>
    <row r="276" customFormat="false" ht="15" hidden="false" customHeight="true" outlineLevel="0" collapsed="false">
      <c r="A276" s="6" t="n">
        <v>4</v>
      </c>
      <c r="B276" s="6" t="s">
        <v>814</v>
      </c>
      <c r="C276" s="6" t="s">
        <v>351</v>
      </c>
      <c r="D276" s="6" t="s">
        <v>815</v>
      </c>
      <c r="E276" s="9" t="n">
        <v>360</v>
      </c>
      <c r="F276" s="9" t="n">
        <v>340</v>
      </c>
      <c r="G276" s="9" t="n">
        <v>324</v>
      </c>
      <c r="H276" s="6" t="str">
        <f aca="false">E276&amp;" × (L+1)^2.4 × 1.004^L  (see Building_Levels)"</f>
        <v>360 × (L+1)^2.4 × 1.004^L  (see Building_Levels)</v>
      </c>
      <c r="I276" s="6" t="s">
        <v>260</v>
      </c>
      <c r="J276" s="6" t="s">
        <v>261</v>
      </c>
      <c r="K276" s="6" t="s">
        <v>262</v>
      </c>
    </row>
    <row r="277" customFormat="false" ht="15" hidden="false" customHeight="true" outlineLevel="0" collapsed="false">
      <c r="A277" s="6" t="n">
        <v>4</v>
      </c>
      <c r="B277" s="6" t="s">
        <v>816</v>
      </c>
      <c r="C277" s="6" t="s">
        <v>351</v>
      </c>
      <c r="D277" s="6" t="s">
        <v>817</v>
      </c>
      <c r="E277" s="9" t="n">
        <v>350</v>
      </c>
      <c r="F277" s="9" t="n">
        <v>330</v>
      </c>
      <c r="G277" s="9" t="n">
        <v>316</v>
      </c>
      <c r="H277" s="6" t="str">
        <f aca="false">E277&amp;" × (L+1)^2.4 × 1.004^L  (see Building_Levels)"</f>
        <v>350 × (L+1)^2.4 × 1.004^L  (see Building_Levels)</v>
      </c>
      <c r="I277" s="6" t="s">
        <v>260</v>
      </c>
      <c r="J277" s="6" t="s">
        <v>261</v>
      </c>
      <c r="K277" s="6" t="s">
        <v>262</v>
      </c>
    </row>
    <row r="278" customFormat="false" ht="15" hidden="false" customHeight="true" outlineLevel="0" collapsed="false">
      <c r="A278" s="6" t="n">
        <v>5</v>
      </c>
      <c r="B278" s="6" t="s">
        <v>818</v>
      </c>
      <c r="C278" s="6" t="s">
        <v>258</v>
      </c>
      <c r="D278" s="6" t="s">
        <v>819</v>
      </c>
      <c r="E278" s="9" t="n">
        <v>700</v>
      </c>
      <c r="F278" s="9" t="n">
        <v>720</v>
      </c>
      <c r="G278" s="9" t="n">
        <v>640</v>
      </c>
      <c r="H278" s="6" t="str">
        <f aca="false">E278&amp;" × (L+1)^2.4 × 1.004^L  (see Building_Levels)"</f>
        <v>700 × (L+1)^2.4 × 1.004^L  (see Building_Levels)</v>
      </c>
      <c r="I278" s="6" t="s">
        <v>260</v>
      </c>
      <c r="J278" s="6" t="s">
        <v>261</v>
      </c>
      <c r="K278" s="6" t="s">
        <v>262</v>
      </c>
    </row>
    <row r="279" customFormat="false" ht="15" hidden="false" customHeight="true" outlineLevel="0" collapsed="false">
      <c r="A279" s="6" t="n">
        <v>5</v>
      </c>
      <c r="B279" s="6" t="s">
        <v>820</v>
      </c>
      <c r="C279" s="6" t="s">
        <v>264</v>
      </c>
      <c r="D279" s="6" t="s">
        <v>821</v>
      </c>
      <c r="E279" s="9" t="n">
        <v>520</v>
      </c>
      <c r="F279" s="9" t="n">
        <v>500</v>
      </c>
      <c r="G279" s="9" t="n">
        <v>470</v>
      </c>
      <c r="H279" s="6" t="str">
        <f aca="false">E279&amp;" × (L+1)^2.4 × 1.004^L  (see Building_Levels)"</f>
        <v>520 × (L+1)^2.4 × 1.004^L  (see Building_Levels)</v>
      </c>
      <c r="I279" s="6" t="s">
        <v>260</v>
      </c>
      <c r="J279" s="6" t="s">
        <v>261</v>
      </c>
      <c r="K279" s="6" t="s">
        <v>262</v>
      </c>
    </row>
    <row r="280" customFormat="false" ht="15" hidden="false" customHeight="true" outlineLevel="0" collapsed="false">
      <c r="A280" s="6" t="n">
        <v>5</v>
      </c>
      <c r="B280" s="6" t="s">
        <v>822</v>
      </c>
      <c r="C280" s="6" t="s">
        <v>264</v>
      </c>
      <c r="D280" s="6" t="s">
        <v>823</v>
      </c>
      <c r="E280" s="9" t="n">
        <v>540</v>
      </c>
      <c r="F280" s="9" t="n">
        <v>520</v>
      </c>
      <c r="G280" s="9" t="n">
        <v>500</v>
      </c>
      <c r="H280" s="6" t="str">
        <f aca="false">E280&amp;" × (L+1)^2.4 × 1.004^L  (see Building_Levels)"</f>
        <v>540 × (L+1)^2.4 × 1.004^L  (see Building_Levels)</v>
      </c>
      <c r="I280" s="6" t="s">
        <v>260</v>
      </c>
      <c r="J280" s="6" t="s">
        <v>261</v>
      </c>
      <c r="K280" s="6" t="s">
        <v>262</v>
      </c>
    </row>
    <row r="281" customFormat="false" ht="15" hidden="false" customHeight="true" outlineLevel="0" collapsed="false">
      <c r="A281" s="6" t="n">
        <v>5</v>
      </c>
      <c r="B281" s="6" t="s">
        <v>824</v>
      </c>
      <c r="C281" s="6" t="s">
        <v>264</v>
      </c>
      <c r="D281" s="6" t="s">
        <v>825</v>
      </c>
      <c r="E281" s="9" t="n">
        <v>520</v>
      </c>
      <c r="F281" s="9" t="n">
        <v>500</v>
      </c>
      <c r="G281" s="9" t="n">
        <v>480</v>
      </c>
      <c r="H281" s="6" t="str">
        <f aca="false">E281&amp;" × (L+1)^2.4 × 1.004^L  (see Building_Levels)"</f>
        <v>520 × (L+1)^2.4 × 1.004^L  (see Building_Levels)</v>
      </c>
      <c r="I281" s="6" t="s">
        <v>260</v>
      </c>
      <c r="J281" s="6" t="s">
        <v>261</v>
      </c>
      <c r="K281" s="6" t="s">
        <v>262</v>
      </c>
    </row>
    <row r="282" customFormat="false" ht="15" hidden="false" customHeight="true" outlineLevel="0" collapsed="false">
      <c r="A282" s="6" t="n">
        <v>5</v>
      </c>
      <c r="B282" s="6" t="s">
        <v>826</v>
      </c>
      <c r="C282" s="6" t="s">
        <v>264</v>
      </c>
      <c r="D282" s="6" t="s">
        <v>827</v>
      </c>
      <c r="E282" s="9" t="n">
        <v>500</v>
      </c>
      <c r="F282" s="9" t="n">
        <v>480</v>
      </c>
      <c r="G282" s="9" t="n">
        <v>460</v>
      </c>
      <c r="H282" s="6" t="str">
        <f aca="false">E282&amp;" × (L+1)^2.4 × 1.004^L  (see Building_Levels)"</f>
        <v>500 × (L+1)^2.4 × 1.004^L  (see Building_Levels)</v>
      </c>
      <c r="I282" s="6" t="s">
        <v>260</v>
      </c>
      <c r="J282" s="6" t="s">
        <v>261</v>
      </c>
      <c r="K282" s="6" t="s">
        <v>262</v>
      </c>
    </row>
    <row r="283" customFormat="false" ht="15" hidden="false" customHeight="true" outlineLevel="0" collapsed="false">
      <c r="A283" s="6" t="n">
        <v>5</v>
      </c>
      <c r="B283" s="6" t="s">
        <v>828</v>
      </c>
      <c r="C283" s="6" t="s">
        <v>264</v>
      </c>
      <c r="D283" s="6" t="s">
        <v>829</v>
      </c>
      <c r="E283" s="9" t="n">
        <v>480</v>
      </c>
      <c r="F283" s="9" t="n">
        <v>460</v>
      </c>
      <c r="G283" s="9" t="n">
        <v>440</v>
      </c>
      <c r="H283" s="6" t="str">
        <f aca="false">E283&amp;" × (L+1)^2.4 × 1.004^L  (see Building_Levels)"</f>
        <v>480 × (L+1)^2.4 × 1.004^L  (see Building_Levels)</v>
      </c>
      <c r="I283" s="6" t="s">
        <v>260</v>
      </c>
      <c r="J283" s="6" t="s">
        <v>261</v>
      </c>
      <c r="K283" s="6" t="s">
        <v>262</v>
      </c>
    </row>
    <row r="284" customFormat="false" ht="15" hidden="false" customHeight="true" outlineLevel="0" collapsed="false">
      <c r="A284" s="6" t="n">
        <v>5</v>
      </c>
      <c r="B284" s="6" t="s">
        <v>830</v>
      </c>
      <c r="C284" s="6" t="s">
        <v>264</v>
      </c>
      <c r="D284" s="6" t="s">
        <v>831</v>
      </c>
      <c r="E284" s="9" t="n">
        <v>470</v>
      </c>
      <c r="F284" s="9" t="n">
        <v>450</v>
      </c>
      <c r="G284" s="9" t="n">
        <v>430</v>
      </c>
      <c r="H284" s="6" t="str">
        <f aca="false">E284&amp;" × (L+1)^2.4 × 1.004^L  (see Building_Levels)"</f>
        <v>470 × (L+1)^2.4 × 1.004^L  (see Building_Levels)</v>
      </c>
      <c r="I284" s="6" t="s">
        <v>260</v>
      </c>
      <c r="J284" s="6" t="s">
        <v>261</v>
      </c>
      <c r="K284" s="6" t="s">
        <v>262</v>
      </c>
    </row>
    <row r="285" customFormat="false" ht="15" hidden="false" customHeight="true" outlineLevel="0" collapsed="false">
      <c r="A285" s="6" t="n">
        <v>5</v>
      </c>
      <c r="B285" s="6" t="s">
        <v>832</v>
      </c>
      <c r="C285" s="6" t="s">
        <v>23</v>
      </c>
      <c r="D285" s="6" t="s">
        <v>833</v>
      </c>
      <c r="E285" s="9" t="n">
        <v>560</v>
      </c>
      <c r="F285" s="9" t="n">
        <v>540</v>
      </c>
      <c r="G285" s="9" t="n">
        <v>540</v>
      </c>
      <c r="H285" s="6" t="str">
        <f aca="false">E285&amp;" × (L+1)^2.4 × 1.004^L  (see Building_Levels)"</f>
        <v>560 × (L+1)^2.4 × 1.004^L  (see Building_Levels)</v>
      </c>
      <c r="I285" s="6" t="s">
        <v>260</v>
      </c>
      <c r="J285" s="6" t="s">
        <v>261</v>
      </c>
      <c r="K285" s="6" t="s">
        <v>262</v>
      </c>
    </row>
    <row r="286" customFormat="false" ht="15" hidden="false" customHeight="true" outlineLevel="0" collapsed="false">
      <c r="A286" s="6" t="n">
        <v>5</v>
      </c>
      <c r="B286" s="6" t="s">
        <v>834</v>
      </c>
      <c r="C286" s="6" t="s">
        <v>293</v>
      </c>
      <c r="D286" s="6" t="s">
        <v>835</v>
      </c>
      <c r="E286" s="9" t="n">
        <v>600</v>
      </c>
      <c r="F286" s="9" t="n">
        <v>580</v>
      </c>
      <c r="G286" s="9" t="n">
        <v>550</v>
      </c>
      <c r="H286" s="6" t="str">
        <f aca="false">E286&amp;" × (L+1)^2.4 × 1.004^L  (see Building_Levels)"</f>
        <v>600 × (L+1)^2.4 × 1.004^L  (see Building_Levels)</v>
      </c>
      <c r="I286" s="6" t="s">
        <v>260</v>
      </c>
      <c r="J286" s="6" t="s">
        <v>261</v>
      </c>
      <c r="K286" s="6" t="s">
        <v>262</v>
      </c>
    </row>
    <row r="287" customFormat="false" ht="15" hidden="false" customHeight="true" outlineLevel="0" collapsed="false">
      <c r="A287" s="6" t="n">
        <v>5</v>
      </c>
      <c r="B287" s="6" t="s">
        <v>836</v>
      </c>
      <c r="C287" s="6" t="s">
        <v>293</v>
      </c>
      <c r="D287" s="6" t="s">
        <v>837</v>
      </c>
      <c r="E287" s="9" t="n">
        <v>590</v>
      </c>
      <c r="F287" s="9" t="n">
        <v>570</v>
      </c>
      <c r="G287" s="9" t="n">
        <v>544</v>
      </c>
      <c r="H287" s="6" t="str">
        <f aca="false">E287&amp;" × (L+1)^2.4 × 1.004^L  (see Building_Levels)"</f>
        <v>590 × (L+1)^2.4 × 1.004^L  (see Building_Levels)</v>
      </c>
      <c r="I287" s="6" t="s">
        <v>260</v>
      </c>
      <c r="J287" s="6" t="s">
        <v>261</v>
      </c>
      <c r="K287" s="6" t="s">
        <v>262</v>
      </c>
    </row>
    <row r="288" customFormat="false" ht="15" hidden="false" customHeight="true" outlineLevel="0" collapsed="false">
      <c r="A288" s="6" t="n">
        <v>5</v>
      </c>
      <c r="B288" s="6" t="s">
        <v>838</v>
      </c>
      <c r="C288" s="6" t="s">
        <v>293</v>
      </c>
      <c r="D288" s="6" t="s">
        <v>839</v>
      </c>
      <c r="E288" s="9" t="n">
        <v>560</v>
      </c>
      <c r="F288" s="9" t="n">
        <v>540</v>
      </c>
      <c r="G288" s="9" t="n">
        <v>520</v>
      </c>
      <c r="H288" s="6" t="str">
        <f aca="false">E288&amp;" × (L+1)^2.4 × 1.004^L  (see Building_Levels)"</f>
        <v>560 × (L+1)^2.4 × 1.004^L  (see Building_Levels)</v>
      </c>
      <c r="I288" s="6" t="s">
        <v>260</v>
      </c>
      <c r="J288" s="6" t="s">
        <v>261</v>
      </c>
      <c r="K288" s="6" t="s">
        <v>262</v>
      </c>
    </row>
    <row r="289" customFormat="false" ht="15" hidden="false" customHeight="true" outlineLevel="0" collapsed="false">
      <c r="A289" s="6" t="n">
        <v>5</v>
      </c>
      <c r="B289" s="6" t="s">
        <v>840</v>
      </c>
      <c r="C289" s="6" t="s">
        <v>293</v>
      </c>
      <c r="D289" s="6" t="s">
        <v>841</v>
      </c>
      <c r="E289" s="9" t="n">
        <v>660</v>
      </c>
      <c r="F289" s="9" t="n">
        <v>640</v>
      </c>
      <c r="G289" s="9" t="n">
        <v>610</v>
      </c>
      <c r="H289" s="6" t="str">
        <f aca="false">E289&amp;" × (L+1)^2.4 × 1.004^L  (see Building_Levels)"</f>
        <v>660 × (L+1)^2.4 × 1.004^L  (see Building_Levels)</v>
      </c>
      <c r="I289" s="6" t="s">
        <v>260</v>
      </c>
      <c r="J289" s="6" t="s">
        <v>261</v>
      </c>
      <c r="K289" s="6" t="s">
        <v>262</v>
      </c>
    </row>
    <row r="290" customFormat="false" ht="15" hidden="false" customHeight="true" outlineLevel="0" collapsed="false">
      <c r="A290" s="6" t="n">
        <v>5</v>
      </c>
      <c r="B290" s="6" t="s">
        <v>842</v>
      </c>
      <c r="C290" s="6" t="s">
        <v>293</v>
      </c>
      <c r="D290" s="6" t="s">
        <v>843</v>
      </c>
      <c r="E290" s="9" t="n">
        <v>500</v>
      </c>
      <c r="F290" s="9" t="n">
        <v>480</v>
      </c>
      <c r="G290" s="9" t="n">
        <v>460</v>
      </c>
      <c r="H290" s="6" t="str">
        <f aca="false">E290&amp;" × (L+1)^2.4 × 1.004^L  (see Building_Levels)"</f>
        <v>500 × (L+1)^2.4 × 1.004^L  (see Building_Levels)</v>
      </c>
      <c r="I290" s="6" t="s">
        <v>260</v>
      </c>
      <c r="J290" s="6" t="s">
        <v>261</v>
      </c>
      <c r="K290" s="6" t="s">
        <v>262</v>
      </c>
    </row>
    <row r="291" customFormat="false" ht="15" hidden="false" customHeight="true" outlineLevel="0" collapsed="false">
      <c r="A291" s="6" t="n">
        <v>5</v>
      </c>
      <c r="B291" s="6" t="s">
        <v>844</v>
      </c>
      <c r="C291" s="6" t="s">
        <v>293</v>
      </c>
      <c r="D291" s="6" t="s">
        <v>845</v>
      </c>
      <c r="E291" s="9" t="n">
        <v>520</v>
      </c>
      <c r="F291" s="9" t="n">
        <v>500</v>
      </c>
      <c r="G291" s="9" t="n">
        <v>480</v>
      </c>
      <c r="H291" s="6" t="str">
        <f aca="false">E291&amp;" × (L+1)^2.4 × 1.004^L  (see Building_Levels)"</f>
        <v>520 × (L+1)^2.4 × 1.004^L  (see Building_Levels)</v>
      </c>
      <c r="I291" s="6" t="s">
        <v>260</v>
      </c>
      <c r="J291" s="6" t="s">
        <v>261</v>
      </c>
      <c r="K291" s="6" t="s">
        <v>262</v>
      </c>
    </row>
    <row r="292" customFormat="false" ht="15" hidden="false" customHeight="true" outlineLevel="0" collapsed="false">
      <c r="A292" s="6" t="n">
        <v>5</v>
      </c>
      <c r="B292" s="6" t="s">
        <v>846</v>
      </c>
      <c r="C292" s="6" t="s">
        <v>293</v>
      </c>
      <c r="D292" s="6" t="s">
        <v>847</v>
      </c>
      <c r="E292" s="9" t="n">
        <v>600</v>
      </c>
      <c r="F292" s="9" t="n">
        <v>580</v>
      </c>
      <c r="G292" s="9" t="n">
        <v>556</v>
      </c>
      <c r="H292" s="6" t="str">
        <f aca="false">E292&amp;" × (L+1)^2.4 × 1.004^L  (see Building_Levels)"</f>
        <v>600 × (L+1)^2.4 × 1.004^L  (see Building_Levels)</v>
      </c>
      <c r="I292" s="6" t="s">
        <v>260</v>
      </c>
      <c r="J292" s="6" t="s">
        <v>261</v>
      </c>
      <c r="K292" s="6" t="s">
        <v>262</v>
      </c>
    </row>
    <row r="293" customFormat="false" ht="15" hidden="false" customHeight="true" outlineLevel="0" collapsed="false">
      <c r="A293" s="6" t="n">
        <v>5</v>
      </c>
      <c r="B293" s="6" t="s">
        <v>848</v>
      </c>
      <c r="C293" s="6" t="s">
        <v>293</v>
      </c>
      <c r="D293" s="6" t="s">
        <v>849</v>
      </c>
      <c r="E293" s="9" t="n">
        <v>680</v>
      </c>
      <c r="F293" s="9" t="n">
        <v>660</v>
      </c>
      <c r="G293" s="9" t="n">
        <v>640</v>
      </c>
      <c r="H293" s="6" t="str">
        <f aca="false">E293&amp;" × (L+1)^2.4 × 1.004^L  (see Building_Levels)"</f>
        <v>680 × (L+1)^2.4 × 1.004^L  (see Building_Levels)</v>
      </c>
      <c r="I293" s="6" t="s">
        <v>260</v>
      </c>
      <c r="J293" s="6" t="s">
        <v>261</v>
      </c>
      <c r="K293" s="6" t="s">
        <v>262</v>
      </c>
    </row>
    <row r="294" customFormat="false" ht="15" hidden="false" customHeight="true" outlineLevel="0" collapsed="false">
      <c r="A294" s="6" t="n">
        <v>5</v>
      </c>
      <c r="B294" s="6" t="s">
        <v>850</v>
      </c>
      <c r="C294" s="6" t="s">
        <v>312</v>
      </c>
      <c r="D294" s="6" t="s">
        <v>851</v>
      </c>
      <c r="E294" s="9" t="n">
        <v>640</v>
      </c>
      <c r="F294" s="9" t="n">
        <v>620</v>
      </c>
      <c r="G294" s="9" t="n">
        <v>590</v>
      </c>
      <c r="H294" s="6" t="str">
        <f aca="false">E294&amp;" × (L+1)^2.4 × 1.004^L  (see Building_Levels)"</f>
        <v>640 × (L+1)^2.4 × 1.004^L  (see Building_Levels)</v>
      </c>
      <c r="I294" s="6" t="s">
        <v>260</v>
      </c>
      <c r="J294" s="6" t="s">
        <v>261</v>
      </c>
      <c r="K294" s="6" t="s">
        <v>262</v>
      </c>
    </row>
    <row r="295" customFormat="false" ht="15" hidden="false" customHeight="true" outlineLevel="0" collapsed="false">
      <c r="A295" s="6" t="n">
        <v>5</v>
      </c>
      <c r="B295" s="6" t="s">
        <v>852</v>
      </c>
      <c r="C295" s="6" t="s">
        <v>312</v>
      </c>
      <c r="D295" s="6" t="s">
        <v>853</v>
      </c>
      <c r="E295" s="9" t="n">
        <v>700</v>
      </c>
      <c r="F295" s="9" t="n">
        <v>680</v>
      </c>
      <c r="G295" s="9" t="n">
        <v>650</v>
      </c>
      <c r="H295" s="6" t="str">
        <f aca="false">E295&amp;" × (L+1)^2.4 × 1.004^L  (see Building_Levels)"</f>
        <v>700 × (L+1)^2.4 × 1.004^L  (see Building_Levels)</v>
      </c>
      <c r="I295" s="6" t="s">
        <v>260</v>
      </c>
      <c r="J295" s="6" t="s">
        <v>261</v>
      </c>
      <c r="K295" s="6" t="s">
        <v>262</v>
      </c>
    </row>
    <row r="296" customFormat="false" ht="15" hidden="false" customHeight="true" outlineLevel="0" collapsed="false">
      <c r="A296" s="6" t="n">
        <v>5</v>
      </c>
      <c r="B296" s="6" t="s">
        <v>854</v>
      </c>
      <c r="C296" s="6" t="s">
        <v>312</v>
      </c>
      <c r="D296" s="6" t="s">
        <v>855</v>
      </c>
      <c r="E296" s="9" t="n">
        <v>630</v>
      </c>
      <c r="F296" s="9" t="n">
        <v>610</v>
      </c>
      <c r="G296" s="9" t="n">
        <v>584</v>
      </c>
      <c r="H296" s="6" t="str">
        <f aca="false">E296&amp;" × (L+1)^2.4 × 1.004^L  (see Building_Levels)"</f>
        <v>630 × (L+1)^2.4 × 1.004^L  (see Building_Levels)</v>
      </c>
      <c r="I296" s="6" t="s">
        <v>260</v>
      </c>
      <c r="J296" s="6" t="s">
        <v>261</v>
      </c>
      <c r="K296" s="6" t="s">
        <v>262</v>
      </c>
    </row>
    <row r="297" customFormat="false" ht="15" hidden="false" customHeight="true" outlineLevel="0" collapsed="false">
      <c r="A297" s="6" t="n">
        <v>5</v>
      </c>
      <c r="B297" s="6" t="s">
        <v>856</v>
      </c>
      <c r="C297" s="6" t="s">
        <v>312</v>
      </c>
      <c r="D297" s="6" t="s">
        <v>857</v>
      </c>
      <c r="E297" s="9" t="n">
        <v>600</v>
      </c>
      <c r="F297" s="9" t="n">
        <v>580</v>
      </c>
      <c r="G297" s="9" t="n">
        <v>556</v>
      </c>
      <c r="H297" s="6" t="str">
        <f aca="false">E297&amp;" × (L+1)^2.4 × 1.004^L  (see Building_Levels)"</f>
        <v>600 × (L+1)^2.4 × 1.004^L  (see Building_Levels)</v>
      </c>
      <c r="I297" s="6" t="s">
        <v>260</v>
      </c>
      <c r="J297" s="6" t="s">
        <v>261</v>
      </c>
      <c r="K297" s="6" t="s">
        <v>262</v>
      </c>
    </row>
    <row r="298" customFormat="false" ht="15" hidden="false" customHeight="true" outlineLevel="0" collapsed="false">
      <c r="A298" s="6" t="n">
        <v>5</v>
      </c>
      <c r="B298" s="6" t="s">
        <v>858</v>
      </c>
      <c r="C298" s="6" t="s">
        <v>312</v>
      </c>
      <c r="D298" s="6" t="s">
        <v>859</v>
      </c>
      <c r="E298" s="9" t="n">
        <v>620</v>
      </c>
      <c r="F298" s="9" t="n">
        <v>600</v>
      </c>
      <c r="G298" s="9" t="n">
        <v>576</v>
      </c>
      <c r="H298" s="6" t="str">
        <f aca="false">E298&amp;" × (L+1)^2.4 × 1.004^L  (see Building_Levels)"</f>
        <v>620 × (L+1)^2.4 × 1.004^L  (see Building_Levels)</v>
      </c>
      <c r="I298" s="6" t="s">
        <v>260</v>
      </c>
      <c r="J298" s="6" t="s">
        <v>261</v>
      </c>
      <c r="K298" s="6" t="s">
        <v>262</v>
      </c>
    </row>
    <row r="299" customFormat="false" ht="15" hidden="false" customHeight="true" outlineLevel="0" collapsed="false">
      <c r="A299" s="6" t="n">
        <v>5</v>
      </c>
      <c r="B299" s="6" t="s">
        <v>860</v>
      </c>
      <c r="C299" s="6" t="s">
        <v>312</v>
      </c>
      <c r="D299" s="6" t="s">
        <v>861</v>
      </c>
      <c r="E299" s="9" t="n">
        <v>610</v>
      </c>
      <c r="F299" s="9" t="n">
        <v>590</v>
      </c>
      <c r="G299" s="9" t="n">
        <v>566</v>
      </c>
      <c r="H299" s="6" t="str">
        <f aca="false">E299&amp;" × (L+1)^2.4 × 1.004^L  (see Building_Levels)"</f>
        <v>610 × (L+1)^2.4 × 1.004^L  (see Building_Levels)</v>
      </c>
      <c r="I299" s="6" t="s">
        <v>260</v>
      </c>
      <c r="J299" s="6" t="s">
        <v>261</v>
      </c>
      <c r="K299" s="6" t="s">
        <v>262</v>
      </c>
    </row>
    <row r="300" customFormat="false" ht="15" hidden="false" customHeight="true" outlineLevel="0" collapsed="false">
      <c r="A300" s="6" t="n">
        <v>5</v>
      </c>
      <c r="B300" s="6" t="s">
        <v>862</v>
      </c>
      <c r="C300" s="6" t="s">
        <v>312</v>
      </c>
      <c r="D300" s="6" t="s">
        <v>863</v>
      </c>
      <c r="E300" s="9" t="n">
        <v>600</v>
      </c>
      <c r="F300" s="9" t="n">
        <v>580</v>
      </c>
      <c r="G300" s="9" t="n">
        <v>556</v>
      </c>
      <c r="H300" s="6" t="str">
        <f aca="false">E300&amp;" × (L+1)^2.4 × 1.004^L  (see Building_Levels)"</f>
        <v>600 × (L+1)^2.4 × 1.004^L  (see Building_Levels)</v>
      </c>
      <c r="I300" s="6" t="s">
        <v>260</v>
      </c>
      <c r="J300" s="6" t="s">
        <v>261</v>
      </c>
      <c r="K300" s="6" t="s">
        <v>262</v>
      </c>
    </row>
    <row r="301" customFormat="false" ht="15" hidden="false" customHeight="true" outlineLevel="0" collapsed="false">
      <c r="A301" s="6" t="n">
        <v>5</v>
      </c>
      <c r="B301" s="6" t="s">
        <v>864</v>
      </c>
      <c r="C301" s="6" t="s">
        <v>312</v>
      </c>
      <c r="D301" s="6" t="s">
        <v>865</v>
      </c>
      <c r="E301" s="9" t="n">
        <v>590</v>
      </c>
      <c r="F301" s="9" t="n">
        <v>570</v>
      </c>
      <c r="G301" s="9" t="n">
        <v>546</v>
      </c>
      <c r="H301" s="6" t="str">
        <f aca="false">E301&amp;" × (L+1)^2.4 × 1.004^L  (see Building_Levels)"</f>
        <v>590 × (L+1)^2.4 × 1.004^L  (see Building_Levels)</v>
      </c>
      <c r="I301" s="6" t="s">
        <v>260</v>
      </c>
      <c r="J301" s="6" t="s">
        <v>261</v>
      </c>
      <c r="K301" s="6" t="s">
        <v>262</v>
      </c>
    </row>
    <row r="302" customFormat="false" ht="15" hidden="false" customHeight="true" outlineLevel="0" collapsed="false">
      <c r="A302" s="6" t="n">
        <v>5</v>
      </c>
      <c r="B302" s="6" t="s">
        <v>866</v>
      </c>
      <c r="C302" s="6" t="s">
        <v>333</v>
      </c>
      <c r="D302" s="6" t="s">
        <v>867</v>
      </c>
      <c r="E302" s="9" t="n">
        <v>660</v>
      </c>
      <c r="F302" s="9" t="n">
        <v>680</v>
      </c>
      <c r="G302" s="9" t="n">
        <v>620</v>
      </c>
      <c r="H302" s="6" t="str">
        <f aca="false">E302&amp;" × (L+1)^2.4 × 1.004^L  (see Building_Levels)"</f>
        <v>660 × (L+1)^2.4 × 1.004^L  (see Building_Levels)</v>
      </c>
      <c r="I302" s="6" t="s">
        <v>260</v>
      </c>
      <c r="J302" s="6" t="s">
        <v>261</v>
      </c>
      <c r="K302" s="6" t="s">
        <v>262</v>
      </c>
    </row>
    <row r="303" customFormat="false" ht="15" hidden="false" customHeight="true" outlineLevel="0" collapsed="false">
      <c r="A303" s="6" t="n">
        <v>5</v>
      </c>
      <c r="B303" s="6" t="s">
        <v>868</v>
      </c>
      <c r="C303" s="6" t="s">
        <v>333</v>
      </c>
      <c r="D303" s="6" t="s">
        <v>869</v>
      </c>
      <c r="E303" s="9" t="n">
        <v>720</v>
      </c>
      <c r="F303" s="9" t="n">
        <v>740</v>
      </c>
      <c r="G303" s="9" t="n">
        <v>680</v>
      </c>
      <c r="H303" s="6" t="str">
        <f aca="false">E303&amp;" × (L+1)^2.4 × 1.004^L  (see Building_Levels)"</f>
        <v>720 × (L+1)^2.4 × 1.004^L  (see Building_Levels)</v>
      </c>
      <c r="I303" s="6" t="s">
        <v>260</v>
      </c>
      <c r="J303" s="6" t="s">
        <v>261</v>
      </c>
      <c r="K303" s="6" t="s">
        <v>262</v>
      </c>
    </row>
    <row r="304" customFormat="false" ht="15" hidden="false" customHeight="true" outlineLevel="0" collapsed="false">
      <c r="A304" s="6" t="n">
        <v>5</v>
      </c>
      <c r="B304" s="6" t="s">
        <v>870</v>
      </c>
      <c r="C304" s="6" t="s">
        <v>333</v>
      </c>
      <c r="D304" s="6" t="s">
        <v>871</v>
      </c>
      <c r="E304" s="9" t="n">
        <v>620</v>
      </c>
      <c r="F304" s="9" t="n">
        <v>600</v>
      </c>
      <c r="G304" s="9" t="n">
        <v>576</v>
      </c>
      <c r="H304" s="6" t="str">
        <f aca="false">E304&amp;" × (L+1)^2.4 × 1.004^L  (see Building_Levels)"</f>
        <v>620 × (L+1)^2.4 × 1.004^L  (see Building_Levels)</v>
      </c>
      <c r="I304" s="6" t="s">
        <v>260</v>
      </c>
      <c r="J304" s="6" t="s">
        <v>261</v>
      </c>
      <c r="K304" s="6" t="s">
        <v>262</v>
      </c>
    </row>
    <row r="305" customFormat="false" ht="15" hidden="false" customHeight="true" outlineLevel="0" collapsed="false">
      <c r="A305" s="6" t="n">
        <v>5</v>
      </c>
      <c r="B305" s="6" t="s">
        <v>872</v>
      </c>
      <c r="C305" s="6" t="s">
        <v>333</v>
      </c>
      <c r="D305" s="6" t="s">
        <v>873</v>
      </c>
      <c r="E305" s="9" t="n">
        <v>640</v>
      </c>
      <c r="F305" s="9" t="n">
        <v>660</v>
      </c>
      <c r="G305" s="9" t="n">
        <v>600</v>
      </c>
      <c r="H305" s="6" t="str">
        <f aca="false">E305&amp;" × (L+1)^2.4 × 1.004^L  (see Building_Levels)"</f>
        <v>640 × (L+1)^2.4 × 1.004^L  (see Building_Levels)</v>
      </c>
      <c r="I305" s="6" t="s">
        <v>260</v>
      </c>
      <c r="J305" s="6" t="s">
        <v>261</v>
      </c>
      <c r="K305" s="6" t="s">
        <v>262</v>
      </c>
    </row>
    <row r="306" customFormat="false" ht="15" hidden="false" customHeight="true" outlineLevel="0" collapsed="false">
      <c r="A306" s="6" t="n">
        <v>5</v>
      </c>
      <c r="B306" s="6" t="s">
        <v>874</v>
      </c>
      <c r="C306" s="6" t="s">
        <v>333</v>
      </c>
      <c r="D306" s="6" t="s">
        <v>875</v>
      </c>
      <c r="E306" s="9" t="n">
        <v>580</v>
      </c>
      <c r="F306" s="9" t="n">
        <v>560</v>
      </c>
      <c r="G306" s="9" t="n">
        <v>536</v>
      </c>
      <c r="H306" s="6" t="str">
        <f aca="false">E306&amp;" × (L+1)^2.4 × 1.004^L  (see Building_Levels)"</f>
        <v>580 × (L+1)^2.4 × 1.004^L  (see Building_Levels)</v>
      </c>
      <c r="I306" s="6" t="s">
        <v>260</v>
      </c>
      <c r="J306" s="6" t="s">
        <v>261</v>
      </c>
      <c r="K306" s="6" t="s">
        <v>262</v>
      </c>
    </row>
    <row r="307" customFormat="false" ht="15" hidden="false" customHeight="true" outlineLevel="0" collapsed="false">
      <c r="A307" s="6" t="n">
        <v>5</v>
      </c>
      <c r="B307" s="6" t="s">
        <v>876</v>
      </c>
      <c r="C307" s="6" t="s">
        <v>342</v>
      </c>
      <c r="D307" s="6" t="s">
        <v>877</v>
      </c>
      <c r="E307" s="9" t="n">
        <v>640</v>
      </c>
      <c r="F307" s="9" t="n">
        <v>620</v>
      </c>
      <c r="G307" s="9" t="n">
        <v>596</v>
      </c>
      <c r="H307" s="6" t="str">
        <f aca="false">E307&amp;" × (L+1)^2.4 × 1.004^L  (see Building_Levels)"</f>
        <v>640 × (L+1)^2.4 × 1.004^L  (see Building_Levels)</v>
      </c>
      <c r="I307" s="6" t="s">
        <v>260</v>
      </c>
      <c r="J307" s="6" t="s">
        <v>261</v>
      </c>
      <c r="K307" s="6" t="s">
        <v>262</v>
      </c>
    </row>
    <row r="308" customFormat="false" ht="15" hidden="false" customHeight="true" outlineLevel="0" collapsed="false">
      <c r="A308" s="6" t="n">
        <v>5</v>
      </c>
      <c r="B308" s="6" t="s">
        <v>878</v>
      </c>
      <c r="C308" s="6" t="s">
        <v>342</v>
      </c>
      <c r="D308" s="6" t="s">
        <v>879</v>
      </c>
      <c r="E308" s="9" t="n">
        <v>650</v>
      </c>
      <c r="F308" s="9" t="n">
        <v>630</v>
      </c>
      <c r="G308" s="9" t="n">
        <v>606</v>
      </c>
      <c r="H308" s="6" t="str">
        <f aca="false">E308&amp;" × (L+1)^2.4 × 1.004^L  (see Building_Levels)"</f>
        <v>650 × (L+1)^2.4 × 1.004^L  (see Building_Levels)</v>
      </c>
      <c r="I308" s="6" t="s">
        <v>260</v>
      </c>
      <c r="J308" s="6" t="s">
        <v>261</v>
      </c>
      <c r="K308" s="6" t="s">
        <v>262</v>
      </c>
    </row>
    <row r="309" customFormat="false" ht="15" hidden="false" customHeight="true" outlineLevel="0" collapsed="false">
      <c r="A309" s="6" t="n">
        <v>5</v>
      </c>
      <c r="B309" s="6" t="s">
        <v>880</v>
      </c>
      <c r="C309" s="6" t="s">
        <v>342</v>
      </c>
      <c r="D309" s="6" t="s">
        <v>881</v>
      </c>
      <c r="E309" s="9" t="n">
        <v>600</v>
      </c>
      <c r="F309" s="9" t="n">
        <v>580</v>
      </c>
      <c r="G309" s="9" t="n">
        <v>556</v>
      </c>
      <c r="H309" s="6" t="str">
        <f aca="false">E309&amp;" × (L+1)^2.4 × 1.004^L  (see Building_Levels)"</f>
        <v>600 × (L+1)^2.4 × 1.004^L  (see Building_Levels)</v>
      </c>
      <c r="I309" s="6" t="s">
        <v>260</v>
      </c>
      <c r="J309" s="6" t="s">
        <v>261</v>
      </c>
      <c r="K309" s="6" t="s">
        <v>262</v>
      </c>
    </row>
    <row r="310" customFormat="false" ht="15" hidden="false" customHeight="true" outlineLevel="0" collapsed="false">
      <c r="A310" s="6" t="n">
        <v>5</v>
      </c>
      <c r="B310" s="6" t="s">
        <v>882</v>
      </c>
      <c r="C310" s="6" t="s">
        <v>342</v>
      </c>
      <c r="D310" s="6" t="s">
        <v>883</v>
      </c>
      <c r="E310" s="9" t="n">
        <v>620</v>
      </c>
      <c r="F310" s="9" t="n">
        <v>600</v>
      </c>
      <c r="G310" s="9" t="n">
        <v>576</v>
      </c>
      <c r="H310" s="6" t="str">
        <f aca="false">E310&amp;" × (L+1)^2.4 × 1.004^L  (see Building_Levels)"</f>
        <v>620 × (L+1)^2.4 × 1.004^L  (see Building_Levels)</v>
      </c>
      <c r="I310" s="6" t="s">
        <v>260</v>
      </c>
      <c r="J310" s="6" t="s">
        <v>261</v>
      </c>
      <c r="K310" s="6" t="s">
        <v>262</v>
      </c>
    </row>
    <row r="311" customFormat="false" ht="15" hidden="false" customHeight="true" outlineLevel="0" collapsed="false">
      <c r="A311" s="6" t="n">
        <v>5</v>
      </c>
      <c r="B311" s="6" t="s">
        <v>884</v>
      </c>
      <c r="C311" s="6" t="s">
        <v>356</v>
      </c>
      <c r="D311" s="6" t="s">
        <v>885</v>
      </c>
      <c r="E311" s="9" t="n">
        <v>560</v>
      </c>
      <c r="F311" s="9" t="n">
        <v>540</v>
      </c>
      <c r="G311" s="9" t="n">
        <v>520</v>
      </c>
      <c r="H311" s="6" t="str">
        <f aca="false">E311&amp;" × (L+1)^2.4 × 1.004^L  (see Building_Levels)"</f>
        <v>560 × (L+1)^2.4 × 1.004^L  (see Building_Levels)</v>
      </c>
      <c r="I311" s="6" t="s">
        <v>260</v>
      </c>
      <c r="J311" s="6" t="s">
        <v>261</v>
      </c>
      <c r="K311" s="6" t="s">
        <v>262</v>
      </c>
    </row>
    <row r="312" customFormat="false" ht="15" hidden="false" customHeight="true" outlineLevel="0" collapsed="false">
      <c r="A312" s="6" t="n">
        <v>5</v>
      </c>
      <c r="B312" s="6" t="s">
        <v>886</v>
      </c>
      <c r="C312" s="6" t="s">
        <v>356</v>
      </c>
      <c r="D312" s="6" t="s">
        <v>887</v>
      </c>
      <c r="E312" s="9" t="n">
        <v>760</v>
      </c>
      <c r="F312" s="9" t="n">
        <v>780</v>
      </c>
      <c r="G312" s="9" t="n">
        <v>700</v>
      </c>
      <c r="H312" s="6" t="str">
        <f aca="false">E312&amp;" × (L+1)^2.4 × 1.004^L  (see Building_Levels)"</f>
        <v>760 × (L+1)^2.4 × 1.004^L  (see Building_Levels)</v>
      </c>
      <c r="I312" s="6" t="s">
        <v>260</v>
      </c>
      <c r="J312" s="6" t="s">
        <v>261</v>
      </c>
      <c r="K312" s="6" t="s">
        <v>262</v>
      </c>
    </row>
    <row r="313" customFormat="false" ht="15" hidden="false" customHeight="true" outlineLevel="0" collapsed="false">
      <c r="A313" s="6" t="n">
        <v>5</v>
      </c>
      <c r="B313" s="6" t="s">
        <v>888</v>
      </c>
      <c r="C313" s="6" t="s">
        <v>356</v>
      </c>
      <c r="D313" s="6" t="s">
        <v>889</v>
      </c>
      <c r="E313" s="9" t="n">
        <v>700</v>
      </c>
      <c r="F313" s="9" t="n">
        <v>680</v>
      </c>
      <c r="G313" s="9" t="n">
        <v>650</v>
      </c>
      <c r="H313" s="6" t="str">
        <f aca="false">E313&amp;" × (L+1)^2.4 × 1.004^L  (see Building_Levels)"</f>
        <v>700 × (L+1)^2.4 × 1.004^L  (see Building_Levels)</v>
      </c>
      <c r="I313" s="6" t="s">
        <v>260</v>
      </c>
      <c r="J313" s="6" t="s">
        <v>261</v>
      </c>
      <c r="K313" s="6" t="s">
        <v>262</v>
      </c>
    </row>
    <row r="314" customFormat="false" ht="15" hidden="false" customHeight="true" outlineLevel="0" collapsed="false">
      <c r="A314" s="6" t="n">
        <v>5</v>
      </c>
      <c r="B314" s="6" t="s">
        <v>890</v>
      </c>
      <c r="C314" s="6" t="s">
        <v>356</v>
      </c>
      <c r="D314" s="6" t="s">
        <v>891</v>
      </c>
      <c r="E314" s="9" t="n">
        <v>600</v>
      </c>
      <c r="F314" s="9" t="n">
        <v>580</v>
      </c>
      <c r="G314" s="9" t="n">
        <v>556</v>
      </c>
      <c r="H314" s="6" t="str">
        <f aca="false">E314&amp;" × (L+1)^2.4 × 1.004^L  (see Building_Levels)"</f>
        <v>600 × (L+1)^2.4 × 1.004^L  (see Building_Levels)</v>
      </c>
      <c r="I314" s="6" t="s">
        <v>260</v>
      </c>
      <c r="J314" s="6" t="s">
        <v>261</v>
      </c>
      <c r="K314" s="6" t="s">
        <v>262</v>
      </c>
    </row>
    <row r="315" customFormat="false" ht="15" hidden="false" customHeight="true" outlineLevel="0" collapsed="false">
      <c r="A315" s="6" t="n">
        <v>5</v>
      </c>
      <c r="B315" s="6" t="s">
        <v>892</v>
      </c>
      <c r="C315" s="6" t="s">
        <v>356</v>
      </c>
      <c r="D315" s="6" t="s">
        <v>893</v>
      </c>
      <c r="E315" s="9" t="n">
        <v>580</v>
      </c>
      <c r="F315" s="9" t="n">
        <v>560</v>
      </c>
      <c r="G315" s="9" t="n">
        <v>536</v>
      </c>
      <c r="H315" s="6" t="str">
        <f aca="false">E315&amp;" × (L+1)^2.4 × 1.004^L  (see Building_Levels)"</f>
        <v>580 × (L+1)^2.4 × 1.004^L  (see Building_Levels)</v>
      </c>
      <c r="I315" s="6" t="s">
        <v>260</v>
      </c>
      <c r="J315" s="6" t="s">
        <v>261</v>
      </c>
      <c r="K315" s="6" t="s">
        <v>262</v>
      </c>
    </row>
    <row r="316" customFormat="false" ht="15" hidden="false" customHeight="true" outlineLevel="0" collapsed="false">
      <c r="A316" s="6" t="n">
        <v>5</v>
      </c>
      <c r="B316" s="6" t="s">
        <v>894</v>
      </c>
      <c r="C316" s="6" t="s">
        <v>804</v>
      </c>
      <c r="D316" s="6" t="s">
        <v>895</v>
      </c>
      <c r="E316" s="9" t="n">
        <v>680</v>
      </c>
      <c r="F316" s="9" t="n">
        <v>660</v>
      </c>
      <c r="G316" s="9" t="n">
        <v>630</v>
      </c>
      <c r="H316" s="6" t="str">
        <f aca="false">E316&amp;" × (L+1)^2.4 × 1.004^L  (see Building_Levels)"</f>
        <v>680 × (L+1)^2.4 × 1.004^L  (see Building_Levels)</v>
      </c>
      <c r="I316" s="6" t="s">
        <v>260</v>
      </c>
      <c r="J316" s="6" t="s">
        <v>261</v>
      </c>
      <c r="K316" s="6" t="s">
        <v>262</v>
      </c>
    </row>
    <row r="317" customFormat="false" ht="15" hidden="false" customHeight="true" outlineLevel="0" collapsed="false">
      <c r="A317" s="6" t="n">
        <v>5</v>
      </c>
      <c r="B317" s="6" t="s">
        <v>896</v>
      </c>
      <c r="C317" s="6" t="s">
        <v>804</v>
      </c>
      <c r="D317" s="6" t="s">
        <v>897</v>
      </c>
      <c r="E317" s="9" t="n">
        <v>740</v>
      </c>
      <c r="F317" s="9" t="n">
        <v>720</v>
      </c>
      <c r="G317" s="9" t="n">
        <v>690</v>
      </c>
      <c r="H317" s="6" t="str">
        <f aca="false">E317&amp;" × (L+1)^2.4 × 1.004^L  (see Building_Levels)"</f>
        <v>740 × (L+1)^2.4 × 1.004^L  (see Building_Levels)</v>
      </c>
      <c r="I317" s="6" t="s">
        <v>260</v>
      </c>
      <c r="J317" s="6" t="s">
        <v>261</v>
      </c>
      <c r="K317" s="6" t="s">
        <v>262</v>
      </c>
    </row>
    <row r="318" customFormat="false" ht="15" hidden="false" customHeight="true" outlineLevel="0" collapsed="false">
      <c r="A318" s="6" t="n">
        <v>5</v>
      </c>
      <c r="B318" s="6" t="s">
        <v>898</v>
      </c>
      <c r="C318" s="6" t="s">
        <v>804</v>
      </c>
      <c r="D318" s="6" t="s">
        <v>899</v>
      </c>
      <c r="E318" s="9" t="n">
        <v>660</v>
      </c>
      <c r="F318" s="9" t="n">
        <v>640</v>
      </c>
      <c r="G318" s="9" t="n">
        <v>616</v>
      </c>
      <c r="H318" s="6" t="str">
        <f aca="false">E318&amp;" × (L+1)^2.4 × 1.004^L  (see Building_Levels)"</f>
        <v>660 × (L+1)^2.4 × 1.004^L  (see Building_Levels)</v>
      </c>
      <c r="I318" s="6" t="s">
        <v>260</v>
      </c>
      <c r="J318" s="6" t="s">
        <v>261</v>
      </c>
      <c r="K318" s="6" t="s">
        <v>262</v>
      </c>
    </row>
    <row r="319" customFormat="false" ht="15" hidden="false" customHeight="true" outlineLevel="0" collapsed="false">
      <c r="A319" s="6" t="n">
        <v>5</v>
      </c>
      <c r="B319" s="6" t="s">
        <v>900</v>
      </c>
      <c r="C319" s="6" t="s">
        <v>804</v>
      </c>
      <c r="D319" s="6" t="s">
        <v>901</v>
      </c>
      <c r="E319" s="9" t="n">
        <v>600</v>
      </c>
      <c r="F319" s="9" t="n">
        <v>580</v>
      </c>
      <c r="G319" s="9" t="n">
        <v>556</v>
      </c>
      <c r="H319" s="6" t="str">
        <f aca="false">E319&amp;" × (L+1)^2.4 × 1.004^L  (see Building_Levels)"</f>
        <v>600 × (L+1)^2.4 × 1.004^L  (see Building_Levels)</v>
      </c>
      <c r="I319" s="6" t="s">
        <v>260</v>
      </c>
      <c r="J319" s="6" t="s">
        <v>261</v>
      </c>
      <c r="K319" s="6" t="s">
        <v>262</v>
      </c>
    </row>
    <row r="320" customFormat="false" ht="15" hidden="false" customHeight="true" outlineLevel="0" collapsed="false">
      <c r="A320" s="6" t="n">
        <v>5</v>
      </c>
      <c r="B320" s="6" t="s">
        <v>902</v>
      </c>
      <c r="C320" s="6" t="s">
        <v>371</v>
      </c>
      <c r="D320" s="6" t="s">
        <v>903</v>
      </c>
      <c r="E320" s="9" t="n">
        <v>640</v>
      </c>
      <c r="F320" s="9" t="n">
        <v>620</v>
      </c>
      <c r="G320" s="9" t="n">
        <v>596</v>
      </c>
      <c r="H320" s="6" t="str">
        <f aca="false">E320&amp;" × (L+1)^2.4 × 1.004^L  (see Building_Levels)"</f>
        <v>640 × (L+1)^2.4 × 1.004^L  (see Building_Levels)</v>
      </c>
      <c r="I320" s="6" t="s">
        <v>260</v>
      </c>
      <c r="J320" s="6" t="s">
        <v>261</v>
      </c>
      <c r="K320" s="6" t="s">
        <v>262</v>
      </c>
    </row>
    <row r="321" customFormat="false" ht="15" hidden="false" customHeight="true" outlineLevel="0" collapsed="false">
      <c r="A321" s="6" t="n">
        <v>5</v>
      </c>
      <c r="B321" s="6" t="s">
        <v>904</v>
      </c>
      <c r="C321" s="6" t="s">
        <v>371</v>
      </c>
      <c r="D321" s="6" t="s">
        <v>905</v>
      </c>
      <c r="E321" s="9" t="n">
        <v>560</v>
      </c>
      <c r="F321" s="9" t="n">
        <v>540</v>
      </c>
      <c r="G321" s="9" t="n">
        <v>516</v>
      </c>
      <c r="H321" s="6" t="str">
        <f aca="false">E321&amp;" × (L+1)^2.4 × 1.004^L  (see Building_Levels)"</f>
        <v>560 × (L+1)^2.4 × 1.004^L  (see Building_Levels)</v>
      </c>
      <c r="I321" s="6" t="s">
        <v>260</v>
      </c>
      <c r="J321" s="6" t="s">
        <v>261</v>
      </c>
      <c r="K321" s="6" t="s">
        <v>262</v>
      </c>
    </row>
    <row r="322" customFormat="false" ht="15" hidden="false" customHeight="true" outlineLevel="0" collapsed="false">
      <c r="A322" s="6" t="n">
        <v>5</v>
      </c>
      <c r="B322" s="6" t="s">
        <v>906</v>
      </c>
      <c r="C322" s="6" t="s">
        <v>371</v>
      </c>
      <c r="D322" s="6" t="s">
        <v>907</v>
      </c>
      <c r="E322" s="9" t="n">
        <v>600</v>
      </c>
      <c r="F322" s="9" t="n">
        <v>580</v>
      </c>
      <c r="G322" s="9" t="n">
        <v>556</v>
      </c>
      <c r="H322" s="6" t="str">
        <f aca="false">E322&amp;" × (L+1)^2.4 × 1.004^L  (see Building_Levels)"</f>
        <v>600 × (L+1)^2.4 × 1.004^L  (see Building_Levels)</v>
      </c>
      <c r="I322" s="6" t="s">
        <v>260</v>
      </c>
      <c r="J322" s="6" t="s">
        <v>261</v>
      </c>
      <c r="K322" s="6" t="s">
        <v>262</v>
      </c>
    </row>
    <row r="323" customFormat="false" ht="15" hidden="false" customHeight="true" outlineLevel="0" collapsed="false">
      <c r="A323" s="6" t="n">
        <v>5</v>
      </c>
      <c r="B323" s="6" t="s">
        <v>908</v>
      </c>
      <c r="C323" s="6" t="s">
        <v>371</v>
      </c>
      <c r="D323" s="6" t="s">
        <v>909</v>
      </c>
      <c r="E323" s="9" t="n">
        <v>580</v>
      </c>
      <c r="F323" s="9" t="n">
        <v>560</v>
      </c>
      <c r="G323" s="9" t="n">
        <v>536</v>
      </c>
      <c r="H323" s="6" t="str">
        <f aca="false">E323&amp;" × (L+1)^2.4 × 1.004^L  (see Building_Levels)"</f>
        <v>580 × (L+1)^2.4 × 1.004^L  (see Building_Levels)</v>
      </c>
      <c r="I323" s="6" t="s">
        <v>260</v>
      </c>
      <c r="J323" s="6" t="s">
        <v>261</v>
      </c>
      <c r="K323" s="6" t="s">
        <v>262</v>
      </c>
    </row>
    <row r="324" customFormat="false" ht="15" hidden="false" customHeight="true" outlineLevel="0" collapsed="false">
      <c r="A324" s="6" t="n">
        <v>5</v>
      </c>
      <c r="B324" s="6" t="s">
        <v>910</v>
      </c>
      <c r="C324" s="6" t="s">
        <v>23</v>
      </c>
      <c r="D324" s="6" t="s">
        <v>911</v>
      </c>
      <c r="E324" s="9" t="n">
        <v>680</v>
      </c>
      <c r="F324" s="9" t="n">
        <v>660</v>
      </c>
      <c r="G324" s="9" t="n">
        <v>660</v>
      </c>
      <c r="H324" s="6" t="str">
        <f aca="false">E324&amp;" × (L+1)^2.4 × 1.004^L  (see Building_Levels)"</f>
        <v>680 × (L+1)^2.4 × 1.004^L  (see Building_Levels)</v>
      </c>
      <c r="I324" s="6" t="s">
        <v>260</v>
      </c>
      <c r="J324" s="6" t="s">
        <v>261</v>
      </c>
      <c r="K324" s="6" t="s">
        <v>262</v>
      </c>
    </row>
    <row r="325" customFormat="false" ht="15" hidden="false" customHeight="true" outlineLevel="0" collapsed="false">
      <c r="A325" s="6" t="n">
        <v>5</v>
      </c>
      <c r="B325" s="6" t="s">
        <v>912</v>
      </c>
      <c r="C325" s="6" t="s">
        <v>23</v>
      </c>
      <c r="D325" s="6" t="s">
        <v>913</v>
      </c>
      <c r="E325" s="9" t="n">
        <v>700</v>
      </c>
      <c r="F325" s="9" t="n">
        <v>680</v>
      </c>
      <c r="G325" s="9" t="n">
        <v>684</v>
      </c>
      <c r="H325" s="6" t="str">
        <f aca="false">E325&amp;" × (L+1)^2.4 × 1.004^L  (see Building_Levels)"</f>
        <v>700 × (L+1)^2.4 × 1.004^L  (see Building_Levels)</v>
      </c>
      <c r="I325" s="6" t="s">
        <v>260</v>
      </c>
      <c r="J325" s="6" t="s">
        <v>261</v>
      </c>
      <c r="K325" s="6" t="s">
        <v>262</v>
      </c>
    </row>
    <row r="326" customFormat="false" ht="15" hidden="false" customHeight="true" outlineLevel="0" collapsed="false">
      <c r="A326" s="6" t="n">
        <v>5</v>
      </c>
      <c r="B326" s="6" t="s">
        <v>914</v>
      </c>
      <c r="C326" s="6" t="s">
        <v>23</v>
      </c>
      <c r="D326" s="6" t="s">
        <v>915</v>
      </c>
      <c r="E326" s="9" t="n">
        <v>740</v>
      </c>
      <c r="F326" s="9" t="n">
        <v>720</v>
      </c>
      <c r="G326" s="9" t="n">
        <v>724</v>
      </c>
      <c r="H326" s="6" t="str">
        <f aca="false">E326&amp;" × (L+1)^2.4 × 1.004^L  (see Building_Levels)"</f>
        <v>740 × (L+1)^2.4 × 1.004^L  (see Building_Levels)</v>
      </c>
      <c r="I326" s="6" t="s">
        <v>260</v>
      </c>
      <c r="J326" s="6" t="s">
        <v>261</v>
      </c>
      <c r="K326" s="6" t="s">
        <v>262</v>
      </c>
    </row>
    <row r="327" customFormat="false" ht="15" hidden="false" customHeight="true" outlineLevel="0" collapsed="false">
      <c r="A327" s="6" t="n">
        <v>5</v>
      </c>
      <c r="B327" s="6" t="s">
        <v>916</v>
      </c>
      <c r="C327" s="6" t="s">
        <v>23</v>
      </c>
      <c r="D327" s="6" t="s">
        <v>917</v>
      </c>
      <c r="E327" s="9" t="n">
        <v>660</v>
      </c>
      <c r="F327" s="9" t="n">
        <v>640</v>
      </c>
      <c r="G327" s="9" t="n">
        <v>644</v>
      </c>
      <c r="H327" s="6" t="str">
        <f aca="false">E327&amp;" × (L+1)^2.4 × 1.004^L  (see Building_Levels)"</f>
        <v>660 × (L+1)^2.4 × 1.004^L  (see Building_Levels)</v>
      </c>
      <c r="I327" s="6" t="s">
        <v>260</v>
      </c>
      <c r="J327" s="6" t="s">
        <v>261</v>
      </c>
      <c r="K327" s="6" t="s">
        <v>262</v>
      </c>
    </row>
    <row r="328" customFormat="false" ht="15" hidden="false" customHeight="true" outlineLevel="0" collapsed="false">
      <c r="A328" s="6" t="n">
        <v>5</v>
      </c>
      <c r="B328" s="6" t="s">
        <v>918</v>
      </c>
      <c r="C328" s="6" t="s">
        <v>23</v>
      </c>
      <c r="D328" s="6" t="s">
        <v>919</v>
      </c>
      <c r="E328" s="9" t="n">
        <v>650</v>
      </c>
      <c r="F328" s="9" t="n">
        <v>630</v>
      </c>
      <c r="G328" s="9" t="n">
        <v>634</v>
      </c>
      <c r="H328" s="6" t="str">
        <f aca="false">E328&amp;" × (L+1)^2.4 × 1.004^L  (see Building_Levels)"</f>
        <v>650 × (L+1)^2.4 × 1.004^L  (see Building_Levels)</v>
      </c>
      <c r="I328" s="6" t="s">
        <v>260</v>
      </c>
      <c r="J328" s="6" t="s">
        <v>261</v>
      </c>
      <c r="K328" s="6" t="s">
        <v>262</v>
      </c>
    </row>
    <row r="329" customFormat="false" ht="15" hidden="false" customHeight="true" outlineLevel="0" collapsed="false">
      <c r="A329" s="6" t="n">
        <v>5</v>
      </c>
      <c r="B329" s="6" t="s">
        <v>920</v>
      </c>
      <c r="C329" s="6" t="s">
        <v>351</v>
      </c>
      <c r="D329" s="6" t="s">
        <v>921</v>
      </c>
      <c r="E329" s="9" t="n">
        <v>620</v>
      </c>
      <c r="F329" s="9" t="n">
        <v>600</v>
      </c>
      <c r="G329" s="9" t="n">
        <v>576</v>
      </c>
      <c r="H329" s="6" t="str">
        <f aca="false">E329&amp;" × (L+1)^2.4 × 1.004^L  (see Building_Levels)"</f>
        <v>620 × (L+1)^2.4 × 1.004^L  (see Building_Levels)</v>
      </c>
      <c r="I329" s="6" t="s">
        <v>260</v>
      </c>
      <c r="J329" s="6" t="s">
        <v>261</v>
      </c>
      <c r="K329" s="6" t="s">
        <v>262</v>
      </c>
    </row>
    <row r="330" customFormat="false" ht="15" hidden="false" customHeight="true" outlineLevel="0" collapsed="false">
      <c r="A330" s="6" t="n">
        <v>5</v>
      </c>
      <c r="B330" s="6" t="s">
        <v>922</v>
      </c>
      <c r="C330" s="6" t="s">
        <v>351</v>
      </c>
      <c r="D330" s="6" t="s">
        <v>923</v>
      </c>
      <c r="E330" s="9" t="n">
        <v>600</v>
      </c>
      <c r="F330" s="9" t="n">
        <v>580</v>
      </c>
      <c r="G330" s="9" t="n">
        <v>556</v>
      </c>
      <c r="H330" s="6" t="str">
        <f aca="false">E330&amp;" × (L+1)^2.4 × 1.004^L  (see Building_Levels)"</f>
        <v>600 × (L+1)^2.4 × 1.004^L  (see Building_Levels)</v>
      </c>
      <c r="I330" s="6" t="s">
        <v>260</v>
      </c>
      <c r="J330" s="6" t="s">
        <v>261</v>
      </c>
      <c r="K330" s="6" t="s">
        <v>262</v>
      </c>
    </row>
    <row r="331" customFormat="false" ht="15" hidden="false" customHeight="true" outlineLevel="0" collapsed="false">
      <c r="A331" s="6" t="n">
        <v>5</v>
      </c>
      <c r="B331" s="6" t="s">
        <v>924</v>
      </c>
      <c r="C331" s="6" t="s">
        <v>351</v>
      </c>
      <c r="D331" s="6" t="s">
        <v>925</v>
      </c>
      <c r="E331" s="9" t="n">
        <v>590</v>
      </c>
      <c r="F331" s="9" t="n">
        <v>570</v>
      </c>
      <c r="G331" s="9" t="n">
        <v>546</v>
      </c>
      <c r="H331" s="6" t="str">
        <f aca="false">E331&amp;" × (L+1)^2.4 × 1.004^L  (see Building_Levels)"</f>
        <v>590 × (L+1)^2.4 × 1.004^L  (see Building_Levels)</v>
      </c>
      <c r="I331" s="6" t="s">
        <v>260</v>
      </c>
      <c r="J331" s="6" t="s">
        <v>261</v>
      </c>
      <c r="K331" s="6" t="s">
        <v>262</v>
      </c>
    </row>
    <row r="332" customFormat="false" ht="15" hidden="false" customHeight="true" outlineLevel="0" collapsed="false">
      <c r="A332" s="6" t="n">
        <v>5</v>
      </c>
      <c r="B332" s="6" t="s">
        <v>926</v>
      </c>
      <c r="C332" s="6" t="s">
        <v>351</v>
      </c>
      <c r="D332" s="6" t="s">
        <v>927</v>
      </c>
      <c r="E332" s="9" t="n">
        <v>580</v>
      </c>
      <c r="F332" s="9" t="n">
        <v>560</v>
      </c>
      <c r="G332" s="9" t="n">
        <v>536</v>
      </c>
      <c r="H332" s="6" t="str">
        <f aca="false">E332&amp;" × (L+1)^2.4 × 1.004^L  (see Building_Levels)"</f>
        <v>580 × (L+1)^2.4 × 1.004^L  (see Building_Levels)</v>
      </c>
      <c r="I332" s="6" t="s">
        <v>260</v>
      </c>
      <c r="J332" s="6" t="s">
        <v>261</v>
      </c>
      <c r="K332" s="6" t="s">
        <v>262</v>
      </c>
    </row>
    <row r="333" customFormat="false" ht="15" hidden="false" customHeight="true" outlineLevel="0" collapsed="false">
      <c r="A333" s="6" t="n">
        <v>5</v>
      </c>
      <c r="B333" s="6" t="s">
        <v>928</v>
      </c>
      <c r="C333" s="6" t="s">
        <v>351</v>
      </c>
      <c r="D333" s="6" t="s">
        <v>929</v>
      </c>
      <c r="E333" s="9" t="n">
        <v>570</v>
      </c>
      <c r="F333" s="9" t="n">
        <v>550</v>
      </c>
      <c r="G333" s="9" t="n">
        <v>526</v>
      </c>
      <c r="H333" s="6" t="str">
        <f aca="false">E333&amp;" × (L+1)^2.4 × 1.004^L  (see Building_Levels)"</f>
        <v>570 × (L+1)^2.4 × 1.004^L  (see Building_Levels)</v>
      </c>
      <c r="I333" s="6" t="s">
        <v>260</v>
      </c>
      <c r="J333" s="6" t="s">
        <v>261</v>
      </c>
      <c r="K333" s="6" t="s">
        <v>262</v>
      </c>
    </row>
    <row r="334" customFormat="false" ht="15" hidden="false" customHeight="true" outlineLevel="0" collapsed="false">
      <c r="A334" s="6" t="n">
        <v>5</v>
      </c>
      <c r="B334" s="6" t="s">
        <v>930</v>
      </c>
      <c r="C334" s="6" t="s">
        <v>312</v>
      </c>
      <c r="D334" s="6" t="s">
        <v>931</v>
      </c>
      <c r="E334" s="9" t="n">
        <v>560</v>
      </c>
      <c r="F334" s="9" t="n">
        <v>540</v>
      </c>
      <c r="G334" s="9" t="n">
        <v>516</v>
      </c>
      <c r="H334" s="6" t="str">
        <f aca="false">E334&amp;" × (L+1)^2.4 × 1.004^L  (see Building_Levels)"</f>
        <v>560 × (L+1)^2.4 × 1.004^L  (see Building_Levels)</v>
      </c>
      <c r="I334" s="6" t="s">
        <v>260</v>
      </c>
      <c r="J334" s="6" t="s">
        <v>261</v>
      </c>
      <c r="K334" s="6" t="s">
        <v>262</v>
      </c>
    </row>
    <row r="335" customFormat="false" ht="15" hidden="false" customHeight="true" outlineLevel="0" collapsed="false">
      <c r="A335" s="6" t="n">
        <v>5</v>
      </c>
      <c r="B335" s="6" t="s">
        <v>932</v>
      </c>
      <c r="C335" s="6" t="s">
        <v>371</v>
      </c>
      <c r="D335" s="6" t="s">
        <v>933</v>
      </c>
      <c r="E335" s="9" t="n">
        <v>550</v>
      </c>
      <c r="F335" s="9" t="n">
        <v>530</v>
      </c>
      <c r="G335" s="9" t="n">
        <v>506</v>
      </c>
      <c r="H335" s="6" t="str">
        <f aca="false">E335&amp;" × (L+1)^2.4 × 1.004^L  (see Building_Levels)"</f>
        <v>550 × (L+1)^2.4 × 1.004^L  (see Building_Levels)</v>
      </c>
      <c r="I335" s="6" t="s">
        <v>260</v>
      </c>
      <c r="J335" s="6" t="s">
        <v>261</v>
      </c>
      <c r="K335" s="6" t="s">
        <v>262</v>
      </c>
    </row>
    <row r="336" customFormat="false" ht="15" hidden="false" customHeight="true" outlineLevel="0" collapsed="false">
      <c r="A336" s="6" t="n">
        <v>5</v>
      </c>
      <c r="B336" s="6" t="s">
        <v>934</v>
      </c>
      <c r="C336" s="6" t="s">
        <v>804</v>
      </c>
      <c r="D336" s="6" t="s">
        <v>935</v>
      </c>
      <c r="E336" s="9" t="n">
        <v>720</v>
      </c>
      <c r="F336" s="9" t="n">
        <v>700</v>
      </c>
      <c r="G336" s="9" t="n">
        <v>676</v>
      </c>
      <c r="H336" s="6" t="str">
        <f aca="false">E336&amp;" × (L+1)^2.4 × 1.004^L  (see Building_Levels)"</f>
        <v>720 × (L+1)^2.4 × 1.004^L  (see Building_Levels)</v>
      </c>
      <c r="I336" s="6" t="s">
        <v>260</v>
      </c>
      <c r="J336" s="6" t="s">
        <v>261</v>
      </c>
      <c r="K336" s="6" t="s">
        <v>262</v>
      </c>
    </row>
    <row r="337" customFormat="false" ht="15" hidden="false" customHeight="true" outlineLevel="0" collapsed="false">
      <c r="A337" s="6" t="n">
        <v>5</v>
      </c>
      <c r="B337" s="6" t="s">
        <v>936</v>
      </c>
      <c r="C337" s="6" t="s">
        <v>804</v>
      </c>
      <c r="D337" s="6" t="s">
        <v>937</v>
      </c>
      <c r="E337" s="9" t="n">
        <v>800</v>
      </c>
      <c r="F337" s="9" t="n">
        <v>780</v>
      </c>
      <c r="G337" s="9" t="n">
        <v>760</v>
      </c>
      <c r="H337" s="6" t="str">
        <f aca="false">E337&amp;" × (L+1)^2.4 × 1.004^L  (see Building_Levels)"</f>
        <v>800 × (L+1)^2.4 × 1.004^L  (see Building_Levels)</v>
      </c>
      <c r="I337" s="6" t="s">
        <v>260</v>
      </c>
      <c r="J337" s="6" t="s">
        <v>261</v>
      </c>
      <c r="K337" s="6" t="s">
        <v>262</v>
      </c>
    </row>
    <row r="338" customFormat="false" ht="15" hidden="false" customHeight="true" outlineLevel="0" collapsed="false">
      <c r="A338" s="6" t="n">
        <v>5</v>
      </c>
      <c r="B338" s="6" t="s">
        <v>938</v>
      </c>
      <c r="C338" s="6" t="s">
        <v>804</v>
      </c>
      <c r="D338" s="6" t="s">
        <v>939</v>
      </c>
      <c r="E338" s="9" t="n">
        <v>700</v>
      </c>
      <c r="F338" s="9" t="n">
        <v>680</v>
      </c>
      <c r="G338" s="9" t="n">
        <v>656</v>
      </c>
      <c r="H338" s="6" t="str">
        <f aca="false">E338&amp;" × (L+1)^2.4 × 1.004^L  (see Building_Levels)"</f>
        <v>700 × (L+1)^2.4 × 1.004^L  (see Building_Levels)</v>
      </c>
      <c r="I338" s="6" t="s">
        <v>260</v>
      </c>
      <c r="J338" s="6" t="s">
        <v>261</v>
      </c>
      <c r="K338" s="6" t="s">
        <v>262</v>
      </c>
    </row>
    <row r="339" customFormat="false" ht="15" hidden="false" customHeight="true" outlineLevel="0" collapsed="false">
      <c r="A339" s="6" t="n">
        <v>5</v>
      </c>
      <c r="B339" s="6" t="s">
        <v>940</v>
      </c>
      <c r="C339" s="6" t="s">
        <v>804</v>
      </c>
      <c r="D339" s="6" t="s">
        <v>941</v>
      </c>
      <c r="E339" s="9" t="n">
        <v>680</v>
      </c>
      <c r="F339" s="9" t="n">
        <v>660</v>
      </c>
      <c r="G339" s="9" t="n">
        <v>636</v>
      </c>
      <c r="H339" s="6" t="str">
        <f aca="false">E339&amp;" × (L+1)^2.4 × 1.004^L  (see Building_Levels)"</f>
        <v>680 × (L+1)^2.4 × 1.004^L  (see Building_Levels)</v>
      </c>
      <c r="I339" s="6" t="s">
        <v>260</v>
      </c>
      <c r="J339" s="6" t="s">
        <v>261</v>
      </c>
      <c r="K339" s="6" t="s">
        <v>262</v>
      </c>
    </row>
    <row r="340" customFormat="false" ht="15" hidden="false" customHeight="true" outlineLevel="0" collapsed="false">
      <c r="A340" s="6" t="n">
        <v>5</v>
      </c>
      <c r="B340" s="6" t="s">
        <v>942</v>
      </c>
      <c r="C340" s="6" t="s">
        <v>371</v>
      </c>
      <c r="D340" s="6" t="s">
        <v>943</v>
      </c>
      <c r="E340" s="9" t="n">
        <v>700</v>
      </c>
      <c r="F340" s="9" t="n">
        <v>680</v>
      </c>
      <c r="G340" s="9" t="n">
        <v>656</v>
      </c>
      <c r="H340" s="6" t="str">
        <f aca="false">E340&amp;" × (L+1)^2.4 × 1.004^L  (see Building_Levels)"</f>
        <v>700 × (L+1)^2.4 × 1.004^L  (see Building_Levels)</v>
      </c>
      <c r="I340" s="6" t="s">
        <v>260</v>
      </c>
      <c r="J340" s="6" t="s">
        <v>261</v>
      </c>
      <c r="K340" s="6" t="s">
        <v>262</v>
      </c>
    </row>
    <row r="341" customFormat="false" ht="15" hidden="false" customHeight="true" outlineLevel="0" collapsed="false">
      <c r="A341" s="6" t="n">
        <v>5</v>
      </c>
      <c r="B341" s="6" t="s">
        <v>944</v>
      </c>
      <c r="C341" s="6" t="s">
        <v>356</v>
      </c>
      <c r="D341" s="6" t="s">
        <v>945</v>
      </c>
      <c r="E341" s="9" t="n">
        <v>780</v>
      </c>
      <c r="F341" s="9" t="n">
        <v>760</v>
      </c>
      <c r="G341" s="9" t="n">
        <v>730</v>
      </c>
      <c r="H341" s="6" t="str">
        <f aca="false">E341&amp;" × (L+1)^2.4 × 1.004^L  (see Building_Levels)"</f>
        <v>780 × (L+1)^2.4 × 1.004^L  (see Building_Levels)</v>
      </c>
      <c r="I341" s="6" t="s">
        <v>260</v>
      </c>
      <c r="J341" s="6" t="s">
        <v>261</v>
      </c>
      <c r="K341" s="6" t="s">
        <v>262</v>
      </c>
    </row>
    <row r="342" customFormat="false" ht="15" hidden="false" customHeight="true" outlineLevel="0" collapsed="false">
      <c r="A342" s="6" t="n">
        <v>5</v>
      </c>
      <c r="B342" s="6" t="s">
        <v>946</v>
      </c>
      <c r="C342" s="6" t="s">
        <v>333</v>
      </c>
      <c r="D342" s="6" t="s">
        <v>947</v>
      </c>
      <c r="E342" s="9" t="n">
        <v>600</v>
      </c>
      <c r="F342" s="9" t="n">
        <v>580</v>
      </c>
      <c r="G342" s="9" t="n">
        <v>556</v>
      </c>
      <c r="H342" s="6" t="str">
        <f aca="false">E342&amp;" × (L+1)^2.4 × 1.004^L  (see Building_Levels)"</f>
        <v>600 × (L+1)^2.4 × 1.004^L  (see Building_Levels)</v>
      </c>
      <c r="I342" s="6" t="s">
        <v>260</v>
      </c>
      <c r="J342" s="6" t="s">
        <v>261</v>
      </c>
      <c r="K342" s="6" t="s">
        <v>262</v>
      </c>
    </row>
    <row r="343" customFormat="false" ht="15" hidden="false" customHeight="true" outlineLevel="0" collapsed="false">
      <c r="A343" s="6" t="n">
        <v>5</v>
      </c>
      <c r="B343" s="6" t="s">
        <v>948</v>
      </c>
      <c r="C343" s="6" t="s">
        <v>258</v>
      </c>
      <c r="D343" s="6" t="s">
        <v>949</v>
      </c>
      <c r="E343" s="9" t="n">
        <v>640</v>
      </c>
      <c r="F343" s="9" t="n">
        <v>620</v>
      </c>
      <c r="G343" s="9" t="n">
        <v>596</v>
      </c>
      <c r="H343" s="6" t="str">
        <f aca="false">E343&amp;" × (L+1)^2.4 × 1.004^L  (see Building_Levels)"</f>
        <v>640 × (L+1)^2.4 × 1.004^L  (see Building_Levels)</v>
      </c>
      <c r="I343" s="6" t="s">
        <v>260</v>
      </c>
      <c r="J343" s="6" t="s">
        <v>261</v>
      </c>
      <c r="K343" s="6" t="s">
        <v>262</v>
      </c>
    </row>
    <row r="344" customFormat="false" ht="15" hidden="false" customHeight="true" outlineLevel="0" collapsed="false">
      <c r="A344" s="6" t="n">
        <v>5</v>
      </c>
      <c r="B344" s="6" t="s">
        <v>950</v>
      </c>
      <c r="C344" s="6" t="s">
        <v>371</v>
      </c>
      <c r="D344" s="6" t="s">
        <v>951</v>
      </c>
      <c r="E344" s="9" t="n">
        <v>560</v>
      </c>
      <c r="F344" s="9" t="n">
        <v>540</v>
      </c>
      <c r="G344" s="9" t="n">
        <v>516</v>
      </c>
      <c r="H344" s="6" t="str">
        <f aca="false">E344&amp;" × (L+1)^2.4 × 1.004^L  (see Building_Levels)"</f>
        <v>560 × (L+1)^2.4 × 1.004^L  (see Building_Levels)</v>
      </c>
      <c r="I344" s="6" t="s">
        <v>260</v>
      </c>
      <c r="J344" s="6" t="s">
        <v>261</v>
      </c>
      <c r="K344" s="6" t="s">
        <v>262</v>
      </c>
    </row>
    <row r="345" customFormat="false" ht="15" hidden="false" customHeight="true" outlineLevel="0" collapsed="false">
      <c r="A345" s="6" t="n">
        <v>5</v>
      </c>
      <c r="B345" s="6" t="s">
        <v>952</v>
      </c>
      <c r="C345" s="6" t="s">
        <v>356</v>
      </c>
      <c r="D345" s="6" t="s">
        <v>953</v>
      </c>
      <c r="E345" s="9" t="n">
        <v>590</v>
      </c>
      <c r="F345" s="9" t="n">
        <v>570</v>
      </c>
      <c r="G345" s="9" t="n">
        <v>546</v>
      </c>
      <c r="H345" s="6" t="str">
        <f aca="false">E345&amp;" × (L+1)^2.4 × 1.004^L  (see Building_Levels)"</f>
        <v>590 × (L+1)^2.4 × 1.004^L  (see Building_Levels)</v>
      </c>
      <c r="I345" s="6" t="s">
        <v>260</v>
      </c>
      <c r="J345" s="6" t="s">
        <v>261</v>
      </c>
      <c r="K345" s="6" t="s">
        <v>262</v>
      </c>
    </row>
    <row r="346" customFormat="false" ht="15" hidden="false" customHeight="true" outlineLevel="0" collapsed="false">
      <c r="A346" s="6" t="n">
        <v>5</v>
      </c>
      <c r="B346" s="6" t="s">
        <v>954</v>
      </c>
      <c r="C346" s="6" t="s">
        <v>356</v>
      </c>
      <c r="D346" s="6" t="s">
        <v>955</v>
      </c>
      <c r="E346" s="9" t="n">
        <v>540</v>
      </c>
      <c r="F346" s="9" t="n">
        <v>520</v>
      </c>
      <c r="G346" s="9" t="n">
        <v>500</v>
      </c>
      <c r="H346" s="6" t="str">
        <f aca="false">E346&amp;" × (L+1)^2.4 × 1.004^L  (see Building_Levels)"</f>
        <v>540 × (L+1)^2.4 × 1.004^L  (see Building_Levels)</v>
      </c>
      <c r="I346" s="6" t="s">
        <v>260</v>
      </c>
      <c r="J346" s="6" t="s">
        <v>261</v>
      </c>
      <c r="K346" s="6" t="s">
        <v>262</v>
      </c>
    </row>
    <row r="347" customFormat="false" ht="15" hidden="false" customHeight="true" outlineLevel="0" collapsed="false">
      <c r="A347" s="6" t="n">
        <v>6</v>
      </c>
      <c r="B347" s="6" t="s">
        <v>956</v>
      </c>
      <c r="C347" s="6" t="s">
        <v>258</v>
      </c>
      <c r="D347" s="6" t="s">
        <v>957</v>
      </c>
      <c r="E347" s="9" t="n">
        <v>1200</v>
      </c>
      <c r="F347" s="9" t="n">
        <v>1240</v>
      </c>
      <c r="G347" s="9" t="n">
        <v>1120</v>
      </c>
      <c r="H347" s="6" t="str">
        <f aca="false">E347&amp;" × (L+1)^2.4 × 1.004^L  (see Building_Levels)"</f>
        <v>1200 × (L+1)^2.4 × 1.004^L  (see Building_Levels)</v>
      </c>
      <c r="I347" s="6" t="s">
        <v>260</v>
      </c>
      <c r="J347" s="6" t="s">
        <v>261</v>
      </c>
      <c r="K347" s="6" t="s">
        <v>262</v>
      </c>
    </row>
    <row r="348" customFormat="false" ht="15" hidden="false" customHeight="true" outlineLevel="0" collapsed="false">
      <c r="A348" s="6" t="n">
        <v>6</v>
      </c>
      <c r="B348" s="6" t="s">
        <v>958</v>
      </c>
      <c r="C348" s="6" t="s">
        <v>264</v>
      </c>
      <c r="D348" s="6" t="s">
        <v>959</v>
      </c>
      <c r="E348" s="9" t="n">
        <v>900</v>
      </c>
      <c r="F348" s="9" t="n">
        <v>880</v>
      </c>
      <c r="G348" s="9" t="n">
        <v>860</v>
      </c>
      <c r="H348" s="6" t="str">
        <f aca="false">E348&amp;" × (L+1)^2.4 × 1.004^L  (see Building_Levels)"</f>
        <v>900 × (L+1)^2.4 × 1.004^L  (see Building_Levels)</v>
      </c>
      <c r="I348" s="6" t="s">
        <v>260</v>
      </c>
      <c r="J348" s="6" t="s">
        <v>261</v>
      </c>
      <c r="K348" s="6" t="s">
        <v>262</v>
      </c>
    </row>
    <row r="349" customFormat="false" ht="15" hidden="false" customHeight="true" outlineLevel="0" collapsed="false">
      <c r="A349" s="6" t="n">
        <v>6</v>
      </c>
      <c r="B349" s="6" t="s">
        <v>960</v>
      </c>
      <c r="C349" s="6" t="s">
        <v>264</v>
      </c>
      <c r="D349" s="6" t="s">
        <v>961</v>
      </c>
      <c r="E349" s="9" t="n">
        <v>880</v>
      </c>
      <c r="F349" s="9" t="n">
        <v>860</v>
      </c>
      <c r="G349" s="9" t="n">
        <v>840</v>
      </c>
      <c r="H349" s="6" t="str">
        <f aca="false">E349&amp;" × (L+1)^2.4 × 1.004^L  (see Building_Levels)"</f>
        <v>880 × (L+1)^2.4 × 1.004^L  (see Building_Levels)</v>
      </c>
      <c r="I349" s="6" t="s">
        <v>260</v>
      </c>
      <c r="J349" s="6" t="s">
        <v>261</v>
      </c>
      <c r="K349" s="6" t="s">
        <v>262</v>
      </c>
    </row>
    <row r="350" customFormat="false" ht="15" hidden="false" customHeight="true" outlineLevel="0" collapsed="false">
      <c r="A350" s="6" t="n">
        <v>6</v>
      </c>
      <c r="B350" s="6" t="s">
        <v>962</v>
      </c>
      <c r="C350" s="6" t="s">
        <v>264</v>
      </c>
      <c r="D350" s="6" t="s">
        <v>963</v>
      </c>
      <c r="E350" s="9" t="n">
        <v>1000</v>
      </c>
      <c r="F350" s="9" t="n">
        <v>980</v>
      </c>
      <c r="G350" s="9" t="n">
        <v>960</v>
      </c>
      <c r="H350" s="6" t="str">
        <f aca="false">E350&amp;" × (L+1)^2.4 × 1.004^L  (see Building_Levels)"</f>
        <v>1000 × (L+1)^2.4 × 1.004^L  (see Building_Levels)</v>
      </c>
      <c r="I350" s="6" t="s">
        <v>260</v>
      </c>
      <c r="J350" s="6" t="s">
        <v>261</v>
      </c>
      <c r="K350" s="6" t="s">
        <v>262</v>
      </c>
    </row>
    <row r="351" customFormat="false" ht="15" hidden="false" customHeight="true" outlineLevel="0" collapsed="false">
      <c r="A351" s="6" t="n">
        <v>6</v>
      </c>
      <c r="B351" s="6" t="s">
        <v>964</v>
      </c>
      <c r="C351" s="6" t="s">
        <v>264</v>
      </c>
      <c r="D351" s="6" t="s">
        <v>965</v>
      </c>
      <c r="E351" s="9" t="n">
        <v>1100</v>
      </c>
      <c r="F351" s="9" t="n">
        <v>1080</v>
      </c>
      <c r="G351" s="9" t="n">
        <v>1050</v>
      </c>
      <c r="H351" s="6" t="str">
        <f aca="false">E351&amp;" × (L+1)^2.4 × 1.004^L  (see Building_Levels)"</f>
        <v>1100 × (L+1)^2.4 × 1.004^L  (see Building_Levels)</v>
      </c>
      <c r="I351" s="6" t="s">
        <v>260</v>
      </c>
      <c r="J351" s="6" t="s">
        <v>261</v>
      </c>
      <c r="K351" s="6" t="s">
        <v>262</v>
      </c>
    </row>
    <row r="352" customFormat="false" ht="15" hidden="false" customHeight="true" outlineLevel="0" collapsed="false">
      <c r="A352" s="6" t="n">
        <v>6</v>
      </c>
      <c r="B352" s="6" t="s">
        <v>966</v>
      </c>
      <c r="C352" s="6" t="s">
        <v>264</v>
      </c>
      <c r="D352" s="6" t="s">
        <v>967</v>
      </c>
      <c r="E352" s="9" t="n">
        <v>860</v>
      </c>
      <c r="F352" s="9" t="n">
        <v>840</v>
      </c>
      <c r="G352" s="9" t="n">
        <v>820</v>
      </c>
      <c r="H352" s="6" t="str">
        <f aca="false">E352&amp;" × (L+1)^2.4 × 1.004^L  (see Building_Levels)"</f>
        <v>860 × (L+1)^2.4 × 1.004^L  (see Building_Levels)</v>
      </c>
      <c r="I352" s="6" t="s">
        <v>260</v>
      </c>
      <c r="J352" s="6" t="s">
        <v>261</v>
      </c>
      <c r="K352" s="6" t="s">
        <v>262</v>
      </c>
    </row>
    <row r="353" customFormat="false" ht="15" hidden="false" customHeight="true" outlineLevel="0" collapsed="false">
      <c r="A353" s="6" t="n">
        <v>6</v>
      </c>
      <c r="B353" s="6" t="s">
        <v>968</v>
      </c>
      <c r="C353" s="6" t="s">
        <v>264</v>
      </c>
      <c r="D353" s="6" t="s">
        <v>969</v>
      </c>
      <c r="E353" s="9" t="n">
        <v>940</v>
      </c>
      <c r="F353" s="9" t="n">
        <v>920</v>
      </c>
      <c r="G353" s="9" t="n">
        <v>900</v>
      </c>
      <c r="H353" s="6" t="str">
        <f aca="false">E353&amp;" × (L+1)^2.4 × 1.004^L  (see Building_Levels)"</f>
        <v>940 × (L+1)^2.4 × 1.004^L  (see Building_Levels)</v>
      </c>
      <c r="I353" s="6" t="s">
        <v>260</v>
      </c>
      <c r="J353" s="6" t="s">
        <v>261</v>
      </c>
      <c r="K353" s="6" t="s">
        <v>262</v>
      </c>
    </row>
    <row r="354" customFormat="false" ht="15" hidden="false" customHeight="true" outlineLevel="0" collapsed="false">
      <c r="A354" s="6" t="n">
        <v>6</v>
      </c>
      <c r="B354" s="6" t="s">
        <v>970</v>
      </c>
      <c r="C354" s="6" t="s">
        <v>293</v>
      </c>
      <c r="D354" s="6" t="s">
        <v>971</v>
      </c>
      <c r="E354" s="9" t="n">
        <v>1000</v>
      </c>
      <c r="F354" s="9" t="n">
        <v>980</v>
      </c>
      <c r="G354" s="9" t="n">
        <v>950</v>
      </c>
      <c r="H354" s="6" t="str">
        <f aca="false">E354&amp;" × (L+1)^2.4 × 1.004^L  (see Building_Levels)"</f>
        <v>1000 × (L+1)^2.4 × 1.004^L  (see Building_Levels)</v>
      </c>
      <c r="I354" s="6" t="s">
        <v>260</v>
      </c>
      <c r="J354" s="6" t="s">
        <v>261</v>
      </c>
      <c r="K354" s="6" t="s">
        <v>262</v>
      </c>
    </row>
    <row r="355" customFormat="false" ht="15" hidden="false" customHeight="true" outlineLevel="0" collapsed="false">
      <c r="A355" s="6" t="n">
        <v>6</v>
      </c>
      <c r="B355" s="6" t="s">
        <v>972</v>
      </c>
      <c r="C355" s="6" t="s">
        <v>293</v>
      </c>
      <c r="D355" s="6" t="s">
        <v>973</v>
      </c>
      <c r="E355" s="9" t="n">
        <v>1050</v>
      </c>
      <c r="F355" s="9" t="n">
        <v>1030</v>
      </c>
      <c r="G355" s="9" t="n">
        <v>1000</v>
      </c>
      <c r="H355" s="6" t="str">
        <f aca="false">E355&amp;" × (L+1)^2.4 × 1.004^L  (see Building_Levels)"</f>
        <v>1050 × (L+1)^2.4 × 1.004^L  (see Building_Levels)</v>
      </c>
      <c r="I355" s="6" t="s">
        <v>260</v>
      </c>
      <c r="J355" s="6" t="s">
        <v>261</v>
      </c>
      <c r="K355" s="6" t="s">
        <v>262</v>
      </c>
    </row>
    <row r="356" customFormat="false" ht="15" hidden="false" customHeight="true" outlineLevel="0" collapsed="false">
      <c r="A356" s="6" t="n">
        <v>6</v>
      </c>
      <c r="B356" s="6" t="s">
        <v>974</v>
      </c>
      <c r="C356" s="6" t="s">
        <v>293</v>
      </c>
      <c r="D356" s="6" t="s">
        <v>975</v>
      </c>
      <c r="E356" s="9" t="n">
        <v>980</v>
      </c>
      <c r="F356" s="9" t="n">
        <v>960</v>
      </c>
      <c r="G356" s="9" t="n">
        <v>930</v>
      </c>
      <c r="H356" s="6" t="str">
        <f aca="false">E356&amp;" × (L+1)^2.4 × 1.004^L  (see Building_Levels)"</f>
        <v>980 × (L+1)^2.4 × 1.004^L  (see Building_Levels)</v>
      </c>
      <c r="I356" s="6" t="s">
        <v>260</v>
      </c>
      <c r="J356" s="6" t="s">
        <v>261</v>
      </c>
      <c r="K356" s="6" t="s">
        <v>262</v>
      </c>
    </row>
    <row r="357" customFormat="false" ht="15" hidden="false" customHeight="true" outlineLevel="0" collapsed="false">
      <c r="A357" s="6" t="n">
        <v>6</v>
      </c>
      <c r="B357" s="6" t="s">
        <v>976</v>
      </c>
      <c r="C357" s="6" t="s">
        <v>293</v>
      </c>
      <c r="D357" s="6" t="s">
        <v>977</v>
      </c>
      <c r="E357" s="9" t="n">
        <v>1020</v>
      </c>
      <c r="F357" s="9" t="n">
        <v>1000</v>
      </c>
      <c r="G357" s="9" t="n">
        <v>970</v>
      </c>
      <c r="H357" s="6" t="str">
        <f aca="false">E357&amp;" × (L+1)^2.4 × 1.004^L  (see Building_Levels)"</f>
        <v>1020 × (L+1)^2.4 × 1.004^L  (see Building_Levels)</v>
      </c>
      <c r="I357" s="6" t="s">
        <v>260</v>
      </c>
      <c r="J357" s="6" t="s">
        <v>261</v>
      </c>
      <c r="K357" s="6" t="s">
        <v>262</v>
      </c>
    </row>
    <row r="358" customFormat="false" ht="15" hidden="false" customHeight="true" outlineLevel="0" collapsed="false">
      <c r="A358" s="6" t="n">
        <v>6</v>
      </c>
      <c r="B358" s="6" t="s">
        <v>978</v>
      </c>
      <c r="C358" s="6" t="s">
        <v>293</v>
      </c>
      <c r="D358" s="6" t="s">
        <v>979</v>
      </c>
      <c r="E358" s="9" t="n">
        <v>960</v>
      </c>
      <c r="F358" s="9" t="n">
        <v>940</v>
      </c>
      <c r="G358" s="9" t="n">
        <v>910</v>
      </c>
      <c r="H358" s="6" t="str">
        <f aca="false">E358&amp;" × (L+1)^2.4 × 1.004^L  (see Building_Levels)"</f>
        <v>960 × (L+1)^2.4 × 1.004^L  (see Building_Levels)</v>
      </c>
      <c r="I358" s="6" t="s">
        <v>260</v>
      </c>
      <c r="J358" s="6" t="s">
        <v>261</v>
      </c>
      <c r="K358" s="6" t="s">
        <v>262</v>
      </c>
    </row>
    <row r="359" customFormat="false" ht="15" hidden="false" customHeight="true" outlineLevel="0" collapsed="false">
      <c r="A359" s="6" t="n">
        <v>6</v>
      </c>
      <c r="B359" s="6" t="s">
        <v>980</v>
      </c>
      <c r="C359" s="6" t="s">
        <v>293</v>
      </c>
      <c r="D359" s="6" t="s">
        <v>981</v>
      </c>
      <c r="E359" s="9" t="n">
        <v>1040</v>
      </c>
      <c r="F359" s="9" t="n">
        <v>1020</v>
      </c>
      <c r="G359" s="9" t="n">
        <v>990</v>
      </c>
      <c r="H359" s="6" t="str">
        <f aca="false">E359&amp;" × (L+1)^2.4 × 1.004^L  (see Building_Levels)"</f>
        <v>1040 × (L+1)^2.4 × 1.004^L  (see Building_Levels)</v>
      </c>
      <c r="I359" s="6" t="s">
        <v>260</v>
      </c>
      <c r="J359" s="6" t="s">
        <v>261</v>
      </c>
      <c r="K359" s="6" t="s">
        <v>262</v>
      </c>
    </row>
    <row r="360" customFormat="false" ht="15" hidden="false" customHeight="true" outlineLevel="0" collapsed="false">
      <c r="A360" s="6" t="n">
        <v>6</v>
      </c>
      <c r="B360" s="6" t="s">
        <v>982</v>
      </c>
      <c r="C360" s="6" t="s">
        <v>312</v>
      </c>
      <c r="D360" s="6" t="s">
        <v>741</v>
      </c>
      <c r="E360" s="9" t="n">
        <v>1100</v>
      </c>
      <c r="F360" s="9" t="n">
        <v>1080</v>
      </c>
      <c r="G360" s="9" t="n">
        <v>1040</v>
      </c>
      <c r="H360" s="6" t="str">
        <f aca="false">E360&amp;" × (L+1)^2.4 × 1.004^L  (see Building_Levels)"</f>
        <v>1100 × (L+1)^2.4 × 1.004^L  (see Building_Levels)</v>
      </c>
      <c r="I360" s="6" t="s">
        <v>260</v>
      </c>
      <c r="J360" s="6" t="s">
        <v>261</v>
      </c>
      <c r="K360" s="6" t="s">
        <v>262</v>
      </c>
    </row>
    <row r="361" customFormat="false" ht="15" hidden="false" customHeight="true" outlineLevel="0" collapsed="false">
      <c r="A361" s="6" t="n">
        <v>6</v>
      </c>
      <c r="B361" s="6" t="s">
        <v>983</v>
      </c>
      <c r="C361" s="6" t="s">
        <v>312</v>
      </c>
      <c r="D361" s="6" t="s">
        <v>984</v>
      </c>
      <c r="E361" s="9" t="n">
        <v>1180</v>
      </c>
      <c r="F361" s="9" t="n">
        <v>1160</v>
      </c>
      <c r="G361" s="9" t="n">
        <v>1120</v>
      </c>
      <c r="H361" s="6" t="str">
        <f aca="false">E361&amp;" × (L+1)^2.4 × 1.004^L  (see Building_Levels)"</f>
        <v>1180 × (L+1)^2.4 × 1.004^L  (see Building_Levels)</v>
      </c>
      <c r="I361" s="6" t="s">
        <v>260</v>
      </c>
      <c r="J361" s="6" t="s">
        <v>261</v>
      </c>
      <c r="K361" s="6" t="s">
        <v>262</v>
      </c>
    </row>
    <row r="362" customFormat="false" ht="15" hidden="false" customHeight="true" outlineLevel="0" collapsed="false">
      <c r="A362" s="6" t="n">
        <v>6</v>
      </c>
      <c r="B362" s="6" t="s">
        <v>985</v>
      </c>
      <c r="C362" s="6" t="s">
        <v>312</v>
      </c>
      <c r="D362" s="6" t="s">
        <v>986</v>
      </c>
      <c r="E362" s="9" t="n">
        <v>1000</v>
      </c>
      <c r="F362" s="9" t="n">
        <v>980</v>
      </c>
      <c r="G362" s="9" t="n">
        <v>950</v>
      </c>
      <c r="H362" s="6" t="str">
        <f aca="false">E362&amp;" × (L+1)^2.4 × 1.004^L  (see Building_Levels)"</f>
        <v>1000 × (L+1)^2.4 × 1.004^L  (see Building_Levels)</v>
      </c>
      <c r="I362" s="6" t="s">
        <v>260</v>
      </c>
      <c r="J362" s="6" t="s">
        <v>261</v>
      </c>
      <c r="K362" s="6" t="s">
        <v>262</v>
      </c>
    </row>
    <row r="363" customFormat="false" ht="15" hidden="false" customHeight="true" outlineLevel="0" collapsed="false">
      <c r="A363" s="6" t="n">
        <v>6</v>
      </c>
      <c r="B363" s="6" t="s">
        <v>987</v>
      </c>
      <c r="C363" s="6" t="s">
        <v>312</v>
      </c>
      <c r="D363" s="6" t="s">
        <v>988</v>
      </c>
      <c r="E363" s="9" t="n">
        <v>960</v>
      </c>
      <c r="F363" s="9" t="n">
        <v>940</v>
      </c>
      <c r="G363" s="9" t="n">
        <v>910</v>
      </c>
      <c r="H363" s="6" t="str">
        <f aca="false">E363&amp;" × (L+1)^2.4 × 1.004^L  (see Building_Levels)"</f>
        <v>960 × (L+1)^2.4 × 1.004^L  (see Building_Levels)</v>
      </c>
      <c r="I363" s="6" t="s">
        <v>260</v>
      </c>
      <c r="J363" s="6" t="s">
        <v>261</v>
      </c>
      <c r="K363" s="6" t="s">
        <v>262</v>
      </c>
    </row>
    <row r="364" customFormat="false" ht="15" hidden="false" customHeight="true" outlineLevel="0" collapsed="false">
      <c r="A364" s="6" t="n">
        <v>6</v>
      </c>
      <c r="B364" s="6" t="s">
        <v>989</v>
      </c>
      <c r="C364" s="6" t="s">
        <v>312</v>
      </c>
      <c r="D364" s="6" t="s">
        <v>990</v>
      </c>
      <c r="E364" s="9" t="n">
        <v>1000</v>
      </c>
      <c r="F364" s="9" t="n">
        <v>980</v>
      </c>
      <c r="G364" s="9" t="n">
        <v>950</v>
      </c>
      <c r="H364" s="6" t="str">
        <f aca="false">E364&amp;" × (L+1)^2.4 × 1.004^L  (see Building_Levels)"</f>
        <v>1000 × (L+1)^2.4 × 1.004^L  (see Building_Levels)</v>
      </c>
      <c r="I364" s="6" t="s">
        <v>260</v>
      </c>
      <c r="J364" s="6" t="s">
        <v>261</v>
      </c>
      <c r="K364" s="6" t="s">
        <v>262</v>
      </c>
    </row>
    <row r="365" customFormat="false" ht="15" hidden="false" customHeight="true" outlineLevel="0" collapsed="false">
      <c r="A365" s="6" t="n">
        <v>6</v>
      </c>
      <c r="B365" s="6" t="s">
        <v>991</v>
      </c>
      <c r="C365" s="6" t="s">
        <v>312</v>
      </c>
      <c r="D365" s="6" t="s">
        <v>992</v>
      </c>
      <c r="E365" s="9" t="n">
        <v>980</v>
      </c>
      <c r="F365" s="9" t="n">
        <v>960</v>
      </c>
      <c r="G365" s="9" t="n">
        <v>930</v>
      </c>
      <c r="H365" s="6" t="str">
        <f aca="false">E365&amp;" × (L+1)^2.4 × 1.004^L  (see Building_Levels)"</f>
        <v>980 × (L+1)^2.4 × 1.004^L  (see Building_Levels)</v>
      </c>
      <c r="I365" s="6" t="s">
        <v>260</v>
      </c>
      <c r="J365" s="6" t="s">
        <v>261</v>
      </c>
      <c r="K365" s="6" t="s">
        <v>262</v>
      </c>
    </row>
    <row r="366" customFormat="false" ht="15" hidden="false" customHeight="true" outlineLevel="0" collapsed="false">
      <c r="A366" s="6" t="n">
        <v>6</v>
      </c>
      <c r="B366" s="6" t="s">
        <v>993</v>
      </c>
      <c r="C366" s="6" t="s">
        <v>333</v>
      </c>
      <c r="D366" s="6" t="s">
        <v>994</v>
      </c>
      <c r="E366" s="9" t="n">
        <v>1200</v>
      </c>
      <c r="F366" s="9" t="n">
        <v>1240</v>
      </c>
      <c r="G366" s="9" t="n">
        <v>1140</v>
      </c>
      <c r="H366" s="6" t="str">
        <f aca="false">E366&amp;" × (L+1)^2.4 × 1.004^L  (see Building_Levels)"</f>
        <v>1200 × (L+1)^2.4 × 1.004^L  (see Building_Levels)</v>
      </c>
      <c r="I366" s="6" t="s">
        <v>260</v>
      </c>
      <c r="J366" s="6" t="s">
        <v>261</v>
      </c>
      <c r="K366" s="6" t="s">
        <v>262</v>
      </c>
    </row>
    <row r="367" customFormat="false" ht="15" hidden="false" customHeight="true" outlineLevel="0" collapsed="false">
      <c r="A367" s="6" t="n">
        <v>6</v>
      </c>
      <c r="B367" s="6" t="s">
        <v>995</v>
      </c>
      <c r="C367" s="6" t="s">
        <v>333</v>
      </c>
      <c r="D367" s="6" t="s">
        <v>996</v>
      </c>
      <c r="E367" s="9" t="n">
        <v>1050</v>
      </c>
      <c r="F367" s="9" t="n">
        <v>1030</v>
      </c>
      <c r="G367" s="9" t="n">
        <v>1000</v>
      </c>
      <c r="H367" s="6" t="str">
        <f aca="false">E367&amp;" × (L+1)^2.4 × 1.004^L  (see Building_Levels)"</f>
        <v>1050 × (L+1)^2.4 × 1.004^L  (see Building_Levels)</v>
      </c>
      <c r="I367" s="6" t="s">
        <v>260</v>
      </c>
      <c r="J367" s="6" t="s">
        <v>261</v>
      </c>
      <c r="K367" s="6" t="s">
        <v>262</v>
      </c>
    </row>
    <row r="368" customFormat="false" ht="15" hidden="false" customHeight="true" outlineLevel="0" collapsed="false">
      <c r="A368" s="6" t="n">
        <v>6</v>
      </c>
      <c r="B368" s="6" t="s">
        <v>997</v>
      </c>
      <c r="C368" s="6" t="s">
        <v>333</v>
      </c>
      <c r="D368" s="6" t="s">
        <v>998</v>
      </c>
      <c r="E368" s="9" t="n">
        <v>1000</v>
      </c>
      <c r="F368" s="9" t="n">
        <v>980</v>
      </c>
      <c r="G368" s="9" t="n">
        <v>950</v>
      </c>
      <c r="H368" s="6" t="str">
        <f aca="false">E368&amp;" × (L+1)^2.4 × 1.004^L  (see Building_Levels)"</f>
        <v>1000 × (L+1)^2.4 × 1.004^L  (see Building_Levels)</v>
      </c>
      <c r="I368" s="6" t="s">
        <v>260</v>
      </c>
      <c r="J368" s="6" t="s">
        <v>261</v>
      </c>
      <c r="K368" s="6" t="s">
        <v>262</v>
      </c>
    </row>
    <row r="369" customFormat="false" ht="15" hidden="false" customHeight="true" outlineLevel="0" collapsed="false">
      <c r="A369" s="6" t="n">
        <v>6</v>
      </c>
      <c r="B369" s="6" t="s">
        <v>999</v>
      </c>
      <c r="C369" s="6" t="s">
        <v>333</v>
      </c>
      <c r="D369" s="6" t="s">
        <v>1000</v>
      </c>
      <c r="E369" s="9" t="n">
        <v>1020</v>
      </c>
      <c r="F369" s="9" t="n">
        <v>1000</v>
      </c>
      <c r="G369" s="9" t="n">
        <v>970</v>
      </c>
      <c r="H369" s="6" t="str">
        <f aca="false">E369&amp;" × (L+1)^2.4 × 1.004^L  (see Building_Levels)"</f>
        <v>1020 × (L+1)^2.4 × 1.004^L  (see Building_Levels)</v>
      </c>
      <c r="I369" s="6" t="s">
        <v>260</v>
      </c>
      <c r="J369" s="6" t="s">
        <v>261</v>
      </c>
      <c r="K369" s="6" t="s">
        <v>262</v>
      </c>
    </row>
    <row r="370" customFormat="false" ht="15" hidden="false" customHeight="true" outlineLevel="0" collapsed="false">
      <c r="A370" s="6" t="n">
        <v>6</v>
      </c>
      <c r="B370" s="6" t="s">
        <v>1001</v>
      </c>
      <c r="C370" s="6" t="s">
        <v>333</v>
      </c>
      <c r="D370" s="6" t="s">
        <v>1002</v>
      </c>
      <c r="E370" s="9" t="n">
        <v>980</v>
      </c>
      <c r="F370" s="9" t="n">
        <v>960</v>
      </c>
      <c r="G370" s="9" t="n">
        <v>930</v>
      </c>
      <c r="H370" s="6" t="str">
        <f aca="false">E370&amp;" × (L+1)^2.4 × 1.004^L  (see Building_Levels)"</f>
        <v>980 × (L+1)^2.4 × 1.004^L  (see Building_Levels)</v>
      </c>
      <c r="I370" s="6" t="s">
        <v>260</v>
      </c>
      <c r="J370" s="6" t="s">
        <v>261</v>
      </c>
      <c r="K370" s="6" t="s">
        <v>262</v>
      </c>
    </row>
    <row r="371" customFormat="false" ht="15" hidden="false" customHeight="true" outlineLevel="0" collapsed="false">
      <c r="A371" s="6" t="n">
        <v>6</v>
      </c>
      <c r="B371" s="6" t="s">
        <v>1003</v>
      </c>
      <c r="C371" s="6" t="s">
        <v>342</v>
      </c>
      <c r="D371" s="6" t="s">
        <v>1004</v>
      </c>
      <c r="E371" s="9" t="n">
        <v>1050</v>
      </c>
      <c r="F371" s="9" t="n">
        <v>1030</v>
      </c>
      <c r="G371" s="9" t="n">
        <v>1000</v>
      </c>
      <c r="H371" s="6" t="str">
        <f aca="false">E371&amp;" × (L+1)^2.4 × 1.004^L  (see Building_Levels)"</f>
        <v>1050 × (L+1)^2.4 × 1.004^L  (see Building_Levels)</v>
      </c>
      <c r="I371" s="6" t="s">
        <v>260</v>
      </c>
      <c r="J371" s="6" t="s">
        <v>261</v>
      </c>
      <c r="K371" s="6" t="s">
        <v>262</v>
      </c>
    </row>
    <row r="372" customFormat="false" ht="15" hidden="false" customHeight="true" outlineLevel="0" collapsed="false">
      <c r="A372" s="6" t="n">
        <v>6</v>
      </c>
      <c r="B372" s="6" t="s">
        <v>1005</v>
      </c>
      <c r="C372" s="6" t="s">
        <v>342</v>
      </c>
      <c r="D372" s="6" t="s">
        <v>1006</v>
      </c>
      <c r="E372" s="9" t="n">
        <v>1020</v>
      </c>
      <c r="F372" s="9" t="n">
        <v>1000</v>
      </c>
      <c r="G372" s="9" t="n">
        <v>970</v>
      </c>
      <c r="H372" s="6" t="str">
        <f aca="false">E372&amp;" × (L+1)^2.4 × 1.004^L  (see Building_Levels)"</f>
        <v>1020 × (L+1)^2.4 × 1.004^L  (see Building_Levels)</v>
      </c>
      <c r="I372" s="6" t="s">
        <v>260</v>
      </c>
      <c r="J372" s="6" t="s">
        <v>261</v>
      </c>
      <c r="K372" s="6" t="s">
        <v>262</v>
      </c>
    </row>
    <row r="373" customFormat="false" ht="15" hidden="false" customHeight="true" outlineLevel="0" collapsed="false">
      <c r="A373" s="6" t="n">
        <v>6</v>
      </c>
      <c r="B373" s="6" t="s">
        <v>1007</v>
      </c>
      <c r="C373" s="6" t="s">
        <v>342</v>
      </c>
      <c r="D373" s="6" t="s">
        <v>1008</v>
      </c>
      <c r="E373" s="9" t="n">
        <v>960</v>
      </c>
      <c r="F373" s="9" t="n">
        <v>940</v>
      </c>
      <c r="G373" s="9" t="n">
        <v>910</v>
      </c>
      <c r="H373" s="6" t="str">
        <f aca="false">E373&amp;" × (L+1)^2.4 × 1.004^L  (see Building_Levels)"</f>
        <v>960 × (L+1)^2.4 × 1.004^L  (see Building_Levels)</v>
      </c>
      <c r="I373" s="6" t="s">
        <v>260</v>
      </c>
      <c r="J373" s="6" t="s">
        <v>261</v>
      </c>
      <c r="K373" s="6" t="s">
        <v>262</v>
      </c>
    </row>
    <row r="374" customFormat="false" ht="15" hidden="false" customHeight="true" outlineLevel="0" collapsed="false">
      <c r="A374" s="6" t="n">
        <v>6</v>
      </c>
      <c r="B374" s="6" t="s">
        <v>1009</v>
      </c>
      <c r="C374" s="6" t="s">
        <v>342</v>
      </c>
      <c r="D374" s="6" t="s">
        <v>1010</v>
      </c>
      <c r="E374" s="9" t="n">
        <v>1000</v>
      </c>
      <c r="F374" s="9" t="n">
        <v>980</v>
      </c>
      <c r="G374" s="9" t="n">
        <v>950</v>
      </c>
      <c r="H374" s="6" t="str">
        <f aca="false">E374&amp;" × (L+1)^2.4 × 1.004^L  (see Building_Levels)"</f>
        <v>1000 × (L+1)^2.4 × 1.004^L  (see Building_Levels)</v>
      </c>
      <c r="I374" s="6" t="s">
        <v>260</v>
      </c>
      <c r="J374" s="6" t="s">
        <v>261</v>
      </c>
      <c r="K374" s="6" t="s">
        <v>262</v>
      </c>
    </row>
    <row r="375" customFormat="false" ht="15" hidden="false" customHeight="true" outlineLevel="0" collapsed="false">
      <c r="A375" s="6" t="n">
        <v>6</v>
      </c>
      <c r="B375" s="6" t="s">
        <v>1011</v>
      </c>
      <c r="C375" s="6" t="s">
        <v>342</v>
      </c>
      <c r="D375" s="6" t="s">
        <v>1012</v>
      </c>
      <c r="E375" s="9" t="n">
        <v>990</v>
      </c>
      <c r="F375" s="9" t="n">
        <v>970</v>
      </c>
      <c r="G375" s="9" t="n">
        <v>940</v>
      </c>
      <c r="H375" s="6" t="str">
        <f aca="false">E375&amp;" × (L+1)^2.4 × 1.004^L  (see Building_Levels)"</f>
        <v>990 × (L+1)^2.4 × 1.004^L  (see Building_Levels)</v>
      </c>
      <c r="I375" s="6" t="s">
        <v>260</v>
      </c>
      <c r="J375" s="6" t="s">
        <v>261</v>
      </c>
      <c r="K375" s="6" t="s">
        <v>262</v>
      </c>
    </row>
    <row r="376" customFormat="false" ht="15" hidden="false" customHeight="true" outlineLevel="0" collapsed="false">
      <c r="A376" s="6" t="n">
        <v>6</v>
      </c>
      <c r="B376" s="6" t="s">
        <v>1013</v>
      </c>
      <c r="C376" s="6" t="s">
        <v>356</v>
      </c>
      <c r="D376" s="6" t="s">
        <v>1014</v>
      </c>
      <c r="E376" s="9" t="n">
        <v>1100</v>
      </c>
      <c r="F376" s="9" t="n">
        <v>1080</v>
      </c>
      <c r="G376" s="9" t="n">
        <v>1040</v>
      </c>
      <c r="H376" s="6" t="str">
        <f aca="false">E376&amp;" × (L+1)^2.4 × 1.004^L  (see Building_Levels)"</f>
        <v>1100 × (L+1)^2.4 × 1.004^L  (see Building_Levels)</v>
      </c>
      <c r="I376" s="6" t="s">
        <v>260</v>
      </c>
      <c r="J376" s="6" t="s">
        <v>261</v>
      </c>
      <c r="K376" s="6" t="s">
        <v>262</v>
      </c>
    </row>
    <row r="377" customFormat="false" ht="15" hidden="false" customHeight="true" outlineLevel="0" collapsed="false">
      <c r="A377" s="6" t="n">
        <v>6</v>
      </c>
      <c r="B377" s="6" t="s">
        <v>1015</v>
      </c>
      <c r="C377" s="6" t="s">
        <v>356</v>
      </c>
      <c r="D377" s="6" t="s">
        <v>1016</v>
      </c>
      <c r="E377" s="9" t="n">
        <v>1150</v>
      </c>
      <c r="F377" s="9" t="n">
        <v>1130</v>
      </c>
      <c r="G377" s="9" t="n">
        <v>1090</v>
      </c>
      <c r="H377" s="6" t="str">
        <f aca="false">E377&amp;" × (L+1)^2.4 × 1.004^L  (see Building_Levels)"</f>
        <v>1150 × (L+1)^2.4 × 1.004^L  (see Building_Levels)</v>
      </c>
      <c r="I377" s="6" t="s">
        <v>260</v>
      </c>
      <c r="J377" s="6" t="s">
        <v>261</v>
      </c>
      <c r="K377" s="6" t="s">
        <v>262</v>
      </c>
    </row>
    <row r="378" customFormat="false" ht="15" hidden="false" customHeight="true" outlineLevel="0" collapsed="false">
      <c r="A378" s="6" t="n">
        <v>6</v>
      </c>
      <c r="B378" s="6" t="s">
        <v>1017</v>
      </c>
      <c r="C378" s="6" t="s">
        <v>356</v>
      </c>
      <c r="D378" s="6" t="s">
        <v>1018</v>
      </c>
      <c r="E378" s="9" t="n">
        <v>960</v>
      </c>
      <c r="F378" s="9" t="n">
        <v>940</v>
      </c>
      <c r="G378" s="9" t="n">
        <v>910</v>
      </c>
      <c r="H378" s="6" t="str">
        <f aca="false">E378&amp;" × (L+1)^2.4 × 1.004^L  (see Building_Levels)"</f>
        <v>960 × (L+1)^2.4 × 1.004^L  (see Building_Levels)</v>
      </c>
      <c r="I378" s="6" t="s">
        <v>260</v>
      </c>
      <c r="J378" s="6" t="s">
        <v>261</v>
      </c>
      <c r="K378" s="6" t="s">
        <v>262</v>
      </c>
    </row>
    <row r="379" customFormat="false" ht="15" hidden="false" customHeight="true" outlineLevel="0" collapsed="false">
      <c r="A379" s="6" t="n">
        <v>6</v>
      </c>
      <c r="B379" s="6" t="s">
        <v>1019</v>
      </c>
      <c r="C379" s="6" t="s">
        <v>356</v>
      </c>
      <c r="D379" s="6" t="s">
        <v>1020</v>
      </c>
      <c r="E379" s="9" t="n">
        <v>980</v>
      </c>
      <c r="F379" s="9" t="n">
        <v>960</v>
      </c>
      <c r="G379" s="9" t="n">
        <v>930</v>
      </c>
      <c r="H379" s="6" t="str">
        <f aca="false">E379&amp;" × (L+1)^2.4 × 1.004^L  (see Building_Levels)"</f>
        <v>980 × (L+1)^2.4 × 1.004^L  (see Building_Levels)</v>
      </c>
      <c r="I379" s="6" t="s">
        <v>260</v>
      </c>
      <c r="J379" s="6" t="s">
        <v>261</v>
      </c>
      <c r="K379" s="6" t="s">
        <v>262</v>
      </c>
    </row>
    <row r="380" customFormat="false" ht="15" hidden="false" customHeight="true" outlineLevel="0" collapsed="false">
      <c r="A380" s="6" t="n">
        <v>6</v>
      </c>
      <c r="B380" s="6" t="s">
        <v>1021</v>
      </c>
      <c r="C380" s="6" t="s">
        <v>351</v>
      </c>
      <c r="D380" s="6" t="s">
        <v>1022</v>
      </c>
      <c r="E380" s="9" t="n">
        <v>1050</v>
      </c>
      <c r="F380" s="9" t="n">
        <v>1030</v>
      </c>
      <c r="G380" s="9" t="n">
        <v>1000</v>
      </c>
      <c r="H380" s="6" t="str">
        <f aca="false">E380&amp;" × (L+1)^2.4 × 1.004^L  (see Building_Levels)"</f>
        <v>1050 × (L+1)^2.4 × 1.004^L  (see Building_Levels)</v>
      </c>
      <c r="I380" s="6" t="s">
        <v>260</v>
      </c>
      <c r="J380" s="6" t="s">
        <v>261</v>
      </c>
      <c r="K380" s="6" t="s">
        <v>262</v>
      </c>
    </row>
    <row r="381" customFormat="false" ht="15" hidden="false" customHeight="true" outlineLevel="0" collapsed="false">
      <c r="A381" s="6" t="n">
        <v>6</v>
      </c>
      <c r="B381" s="6" t="s">
        <v>1023</v>
      </c>
      <c r="C381" s="6" t="s">
        <v>351</v>
      </c>
      <c r="D381" s="6" t="s">
        <v>1024</v>
      </c>
      <c r="E381" s="9" t="n">
        <v>980</v>
      </c>
      <c r="F381" s="9" t="n">
        <v>960</v>
      </c>
      <c r="G381" s="9" t="n">
        <v>930</v>
      </c>
      <c r="H381" s="6" t="str">
        <f aca="false">E381&amp;" × (L+1)^2.4 × 1.004^L  (see Building_Levels)"</f>
        <v>980 × (L+1)^2.4 × 1.004^L  (see Building_Levels)</v>
      </c>
      <c r="I381" s="6" t="s">
        <v>260</v>
      </c>
      <c r="J381" s="6" t="s">
        <v>261</v>
      </c>
      <c r="K381" s="6" t="s">
        <v>262</v>
      </c>
    </row>
    <row r="382" customFormat="false" ht="15" hidden="false" customHeight="true" outlineLevel="0" collapsed="false">
      <c r="A382" s="6" t="n">
        <v>6</v>
      </c>
      <c r="B382" s="6" t="s">
        <v>1025</v>
      </c>
      <c r="C382" s="6" t="s">
        <v>351</v>
      </c>
      <c r="D382" s="6" t="s">
        <v>1026</v>
      </c>
      <c r="E382" s="9" t="n">
        <v>960</v>
      </c>
      <c r="F382" s="9" t="n">
        <v>940</v>
      </c>
      <c r="G382" s="9" t="n">
        <v>910</v>
      </c>
      <c r="H382" s="6" t="str">
        <f aca="false">E382&amp;" × (L+1)^2.4 × 1.004^L  (see Building_Levels)"</f>
        <v>960 × (L+1)^2.4 × 1.004^L  (see Building_Levels)</v>
      </c>
      <c r="I382" s="6" t="s">
        <v>260</v>
      </c>
      <c r="J382" s="6" t="s">
        <v>261</v>
      </c>
      <c r="K382" s="6" t="s">
        <v>262</v>
      </c>
    </row>
    <row r="383" customFormat="false" ht="15" hidden="false" customHeight="true" outlineLevel="0" collapsed="false">
      <c r="A383" s="6" t="n">
        <v>6</v>
      </c>
      <c r="B383" s="6" t="s">
        <v>1027</v>
      </c>
      <c r="C383" s="6" t="s">
        <v>351</v>
      </c>
      <c r="D383" s="6" t="s">
        <v>1028</v>
      </c>
      <c r="E383" s="9" t="n">
        <v>940</v>
      </c>
      <c r="F383" s="9" t="n">
        <v>920</v>
      </c>
      <c r="G383" s="9" t="n">
        <v>890</v>
      </c>
      <c r="H383" s="6" t="str">
        <f aca="false">E383&amp;" × (L+1)^2.4 × 1.004^L  (see Building_Levels)"</f>
        <v>940 × (L+1)^2.4 × 1.004^L  (see Building_Levels)</v>
      </c>
      <c r="I383" s="6" t="s">
        <v>260</v>
      </c>
      <c r="J383" s="6" t="s">
        <v>261</v>
      </c>
      <c r="K383" s="6" t="s">
        <v>262</v>
      </c>
    </row>
    <row r="384" customFormat="false" ht="15" hidden="false" customHeight="true" outlineLevel="0" collapsed="false">
      <c r="A384" s="6" t="n">
        <v>6</v>
      </c>
      <c r="B384" s="6" t="s">
        <v>1029</v>
      </c>
      <c r="C384" s="6" t="s">
        <v>371</v>
      </c>
      <c r="D384" s="6" t="s">
        <v>1030</v>
      </c>
      <c r="E384" s="9" t="n">
        <v>1100</v>
      </c>
      <c r="F384" s="9" t="n">
        <v>1080</v>
      </c>
      <c r="G384" s="9" t="n">
        <v>1040</v>
      </c>
      <c r="H384" s="6" t="str">
        <f aca="false">E384&amp;" × (L+1)^2.4 × 1.004^L  (see Building_Levels)"</f>
        <v>1100 × (L+1)^2.4 × 1.004^L  (see Building_Levels)</v>
      </c>
      <c r="I384" s="6" t="s">
        <v>260</v>
      </c>
      <c r="J384" s="6" t="s">
        <v>261</v>
      </c>
      <c r="K384" s="6" t="s">
        <v>262</v>
      </c>
    </row>
    <row r="385" customFormat="false" ht="15" hidden="false" customHeight="true" outlineLevel="0" collapsed="false">
      <c r="A385" s="6" t="n">
        <v>6</v>
      </c>
      <c r="B385" s="6" t="s">
        <v>1031</v>
      </c>
      <c r="C385" s="6" t="s">
        <v>371</v>
      </c>
      <c r="D385" s="6" t="s">
        <v>1032</v>
      </c>
      <c r="E385" s="9" t="n">
        <v>1000</v>
      </c>
      <c r="F385" s="9" t="n">
        <v>980</v>
      </c>
      <c r="G385" s="9" t="n">
        <v>950</v>
      </c>
      <c r="H385" s="6" t="str">
        <f aca="false">E385&amp;" × (L+1)^2.4 × 1.004^L  (see Building_Levels)"</f>
        <v>1000 × (L+1)^2.4 × 1.004^L  (see Building_Levels)</v>
      </c>
      <c r="I385" s="6" t="s">
        <v>260</v>
      </c>
      <c r="J385" s="6" t="s">
        <v>261</v>
      </c>
      <c r="K385" s="6" t="s">
        <v>262</v>
      </c>
    </row>
    <row r="386" customFormat="false" ht="15" hidden="false" customHeight="true" outlineLevel="0" collapsed="false">
      <c r="A386" s="6" t="n">
        <v>6</v>
      </c>
      <c r="B386" s="6" t="s">
        <v>1033</v>
      </c>
      <c r="C386" s="6" t="s">
        <v>371</v>
      </c>
      <c r="D386" s="6" t="s">
        <v>1034</v>
      </c>
      <c r="E386" s="9" t="n">
        <v>980</v>
      </c>
      <c r="F386" s="9" t="n">
        <v>960</v>
      </c>
      <c r="G386" s="9" t="n">
        <v>930</v>
      </c>
      <c r="H386" s="6" t="str">
        <f aca="false">E386&amp;" × (L+1)^2.4 × 1.004^L  (see Building_Levels)"</f>
        <v>980 × (L+1)^2.4 × 1.004^L  (see Building_Levels)</v>
      </c>
      <c r="I386" s="6" t="s">
        <v>260</v>
      </c>
      <c r="J386" s="6" t="s">
        <v>261</v>
      </c>
      <c r="K386" s="6" t="s">
        <v>262</v>
      </c>
    </row>
    <row r="387" customFormat="false" ht="15" hidden="false" customHeight="true" outlineLevel="0" collapsed="false">
      <c r="A387" s="6" t="n">
        <v>6</v>
      </c>
      <c r="B387" s="6" t="s">
        <v>1035</v>
      </c>
      <c r="C387" s="6" t="s">
        <v>371</v>
      </c>
      <c r="D387" s="6" t="s">
        <v>1036</v>
      </c>
      <c r="E387" s="9" t="n">
        <v>1000</v>
      </c>
      <c r="F387" s="9" t="n">
        <v>980</v>
      </c>
      <c r="G387" s="9" t="n">
        <v>950</v>
      </c>
      <c r="H387" s="6" t="str">
        <f aca="false">E387&amp;" × (L+1)^2.4 × 1.004^L  (see Building_Levels)"</f>
        <v>1000 × (L+1)^2.4 × 1.004^L  (see Building_Levels)</v>
      </c>
      <c r="I387" s="6" t="s">
        <v>260</v>
      </c>
      <c r="J387" s="6" t="s">
        <v>261</v>
      </c>
      <c r="K387" s="6" t="s">
        <v>262</v>
      </c>
    </row>
    <row r="388" customFormat="false" ht="15" hidden="false" customHeight="true" outlineLevel="0" collapsed="false">
      <c r="A388" s="6" t="n">
        <v>6</v>
      </c>
      <c r="B388" s="6" t="s">
        <v>1037</v>
      </c>
      <c r="C388" s="6" t="s">
        <v>371</v>
      </c>
      <c r="D388" s="6" t="s">
        <v>1038</v>
      </c>
      <c r="E388" s="9" t="n">
        <v>960</v>
      </c>
      <c r="F388" s="9" t="n">
        <v>940</v>
      </c>
      <c r="G388" s="9" t="n">
        <v>910</v>
      </c>
      <c r="H388" s="6" t="str">
        <f aca="false">E388&amp;" × (L+1)^2.4 × 1.004^L  (see Building_Levels)"</f>
        <v>960 × (L+1)^2.4 × 1.004^L  (see Building_Levels)</v>
      </c>
      <c r="I388" s="6" t="s">
        <v>260</v>
      </c>
      <c r="J388" s="6" t="s">
        <v>261</v>
      </c>
      <c r="K388" s="6" t="s">
        <v>262</v>
      </c>
    </row>
    <row r="389" customFormat="false" ht="15" hidden="false" customHeight="true" outlineLevel="0" collapsed="false">
      <c r="A389" s="6" t="n">
        <v>6</v>
      </c>
      <c r="B389" s="6" t="s">
        <v>1039</v>
      </c>
      <c r="C389" s="6" t="s">
        <v>804</v>
      </c>
      <c r="D389" s="6" t="s">
        <v>1040</v>
      </c>
      <c r="E389" s="9" t="n">
        <v>1300</v>
      </c>
      <c r="F389" s="9" t="n">
        <v>1280</v>
      </c>
      <c r="G389" s="9" t="n">
        <v>1240</v>
      </c>
      <c r="H389" s="6" t="str">
        <f aca="false">E389&amp;" × (L+1)^2.4 × 1.004^L  (see Building_Levels)"</f>
        <v>1300 × (L+1)^2.4 × 1.004^L  (see Building_Levels)</v>
      </c>
      <c r="I389" s="6" t="s">
        <v>260</v>
      </c>
      <c r="J389" s="6" t="s">
        <v>261</v>
      </c>
      <c r="K389" s="6" t="s">
        <v>262</v>
      </c>
    </row>
    <row r="390" customFormat="false" ht="15" hidden="false" customHeight="true" outlineLevel="0" collapsed="false">
      <c r="A390" s="6" t="n">
        <v>6</v>
      </c>
      <c r="B390" s="6" t="s">
        <v>1041</v>
      </c>
      <c r="C390" s="6" t="s">
        <v>804</v>
      </c>
      <c r="D390" s="6" t="s">
        <v>1040</v>
      </c>
      <c r="E390" s="9" t="n">
        <v>1320</v>
      </c>
      <c r="F390" s="9" t="n">
        <v>1300</v>
      </c>
      <c r="G390" s="9" t="n">
        <v>1260</v>
      </c>
      <c r="H390" s="6" t="str">
        <f aca="false">E390&amp;" × (L+1)^2.4 × 1.004^L  (see Building_Levels)"</f>
        <v>1320 × (L+1)^2.4 × 1.004^L  (see Building_Levels)</v>
      </c>
      <c r="I390" s="6" t="s">
        <v>260</v>
      </c>
      <c r="J390" s="6" t="s">
        <v>261</v>
      </c>
      <c r="K390" s="6" t="s">
        <v>262</v>
      </c>
    </row>
    <row r="391" customFormat="false" ht="15" hidden="false" customHeight="true" outlineLevel="0" collapsed="false">
      <c r="A391" s="6" t="n">
        <v>6</v>
      </c>
      <c r="B391" s="6" t="s">
        <v>1042</v>
      </c>
      <c r="C391" s="6" t="s">
        <v>804</v>
      </c>
      <c r="D391" s="6" t="s">
        <v>1043</v>
      </c>
      <c r="E391" s="9" t="n">
        <v>1280</v>
      </c>
      <c r="F391" s="9" t="n">
        <v>1260</v>
      </c>
      <c r="G391" s="9" t="n">
        <v>1220</v>
      </c>
      <c r="H391" s="6" t="str">
        <f aca="false">E391&amp;" × (L+1)^2.4 × 1.004^L  (see Building_Levels)"</f>
        <v>1280 × (L+1)^2.4 × 1.004^L  (see Building_Levels)</v>
      </c>
      <c r="I391" s="6" t="s">
        <v>260</v>
      </c>
      <c r="J391" s="6" t="s">
        <v>261</v>
      </c>
      <c r="K391" s="6" t="s">
        <v>262</v>
      </c>
    </row>
    <row r="392" customFormat="false" ht="15" hidden="false" customHeight="true" outlineLevel="0" collapsed="false">
      <c r="A392" s="6" t="n">
        <v>6</v>
      </c>
      <c r="B392" s="6" t="s">
        <v>1044</v>
      </c>
      <c r="C392" s="6" t="s">
        <v>804</v>
      </c>
      <c r="D392" s="6" t="s">
        <v>1045</v>
      </c>
      <c r="E392" s="9" t="n">
        <v>1400</v>
      </c>
      <c r="F392" s="9" t="n">
        <v>1380</v>
      </c>
      <c r="G392" s="9" t="n">
        <v>1340</v>
      </c>
      <c r="H392" s="6" t="str">
        <f aca="false">E392&amp;" × (L+1)^2.4 × 1.004^L  (see Building_Levels)"</f>
        <v>1400 × (L+1)^2.4 × 1.004^L  (see Building_Levels)</v>
      </c>
      <c r="I392" s="6" t="s">
        <v>260</v>
      </c>
      <c r="J392" s="6" t="s">
        <v>261</v>
      </c>
      <c r="K392" s="6" t="s">
        <v>262</v>
      </c>
    </row>
    <row r="393" customFormat="false" ht="15" hidden="false" customHeight="true" outlineLevel="0" collapsed="false">
      <c r="A393" s="6" t="n">
        <v>6</v>
      </c>
      <c r="B393" s="6" t="s">
        <v>1046</v>
      </c>
      <c r="C393" s="6" t="s">
        <v>804</v>
      </c>
      <c r="D393" s="6" t="s">
        <v>981</v>
      </c>
      <c r="E393" s="9" t="n">
        <v>1250</v>
      </c>
      <c r="F393" s="9" t="n">
        <v>1230</v>
      </c>
      <c r="G393" s="9" t="n">
        <v>1190</v>
      </c>
      <c r="H393" s="6" t="str">
        <f aca="false">E393&amp;" × (L+1)^2.4 × 1.004^L  (see Building_Levels)"</f>
        <v>1250 × (L+1)^2.4 × 1.004^L  (see Building_Levels)</v>
      </c>
      <c r="I393" s="6" t="s">
        <v>260</v>
      </c>
      <c r="J393" s="6" t="s">
        <v>261</v>
      </c>
      <c r="K393" s="6" t="s">
        <v>262</v>
      </c>
    </row>
    <row r="394" customFormat="false" ht="15" hidden="false" customHeight="true" outlineLevel="0" collapsed="false">
      <c r="A394" s="6" t="n">
        <v>6</v>
      </c>
      <c r="B394" s="6" t="s">
        <v>1047</v>
      </c>
      <c r="C394" s="6" t="s">
        <v>23</v>
      </c>
      <c r="D394" s="6" t="s">
        <v>1048</v>
      </c>
      <c r="E394" s="9" t="n">
        <v>1150</v>
      </c>
      <c r="F394" s="9" t="n">
        <v>1130</v>
      </c>
      <c r="G394" s="9" t="n">
        <v>1120</v>
      </c>
      <c r="H394" s="6" t="str">
        <f aca="false">E394&amp;" × (L+1)^2.4 × 1.004^L  (see Building_Levels)"</f>
        <v>1150 × (L+1)^2.4 × 1.004^L  (see Building_Levels)</v>
      </c>
      <c r="I394" s="6" t="s">
        <v>260</v>
      </c>
      <c r="J394" s="6" t="s">
        <v>261</v>
      </c>
      <c r="K394" s="6" t="s">
        <v>262</v>
      </c>
    </row>
    <row r="395" customFormat="false" ht="15" hidden="false" customHeight="true" outlineLevel="0" collapsed="false">
      <c r="A395" s="6" t="n">
        <v>6</v>
      </c>
      <c r="B395" s="6" t="s">
        <v>1049</v>
      </c>
      <c r="C395" s="6" t="s">
        <v>23</v>
      </c>
      <c r="D395" s="6" t="s">
        <v>1050</v>
      </c>
      <c r="E395" s="9" t="n">
        <v>1200</v>
      </c>
      <c r="F395" s="9" t="n">
        <v>1180</v>
      </c>
      <c r="G395" s="9" t="n">
        <v>1170</v>
      </c>
      <c r="H395" s="6" t="str">
        <f aca="false">E395&amp;" × (L+1)^2.4 × 1.004^L  (see Building_Levels)"</f>
        <v>1200 × (L+1)^2.4 × 1.004^L  (see Building_Levels)</v>
      </c>
      <c r="I395" s="6" t="s">
        <v>260</v>
      </c>
      <c r="J395" s="6" t="s">
        <v>261</v>
      </c>
      <c r="K395" s="6" t="s">
        <v>262</v>
      </c>
    </row>
    <row r="396" customFormat="false" ht="15" hidden="false" customHeight="true" outlineLevel="0" collapsed="false">
      <c r="A396" s="6" t="n">
        <v>6</v>
      </c>
      <c r="B396" s="6" t="s">
        <v>1051</v>
      </c>
      <c r="C396" s="6" t="s">
        <v>23</v>
      </c>
      <c r="D396" s="6" t="s">
        <v>1052</v>
      </c>
      <c r="E396" s="9" t="n">
        <v>1180</v>
      </c>
      <c r="F396" s="9" t="n">
        <v>1160</v>
      </c>
      <c r="G396" s="9" t="n">
        <v>1150</v>
      </c>
      <c r="H396" s="6" t="str">
        <f aca="false">E396&amp;" × (L+1)^2.4 × 1.004^L  (see Building_Levels)"</f>
        <v>1180 × (L+1)^2.4 × 1.004^L  (see Building_Levels)</v>
      </c>
      <c r="I396" s="6" t="s">
        <v>260</v>
      </c>
      <c r="J396" s="6" t="s">
        <v>261</v>
      </c>
      <c r="K396" s="6" t="s">
        <v>262</v>
      </c>
    </row>
    <row r="397" customFormat="false" ht="15" hidden="false" customHeight="true" outlineLevel="0" collapsed="false">
      <c r="A397" s="6" t="n">
        <v>6</v>
      </c>
      <c r="B397" s="6" t="s">
        <v>1053</v>
      </c>
      <c r="C397" s="6" t="s">
        <v>23</v>
      </c>
      <c r="D397" s="6" t="s">
        <v>1054</v>
      </c>
      <c r="E397" s="9" t="n">
        <v>1120</v>
      </c>
      <c r="F397" s="9" t="n">
        <v>1100</v>
      </c>
      <c r="G397" s="9" t="n">
        <v>1090</v>
      </c>
      <c r="H397" s="6" t="str">
        <f aca="false">E397&amp;" × (L+1)^2.4 × 1.004^L  (see Building_Levels)"</f>
        <v>1120 × (L+1)^2.4 × 1.004^L  (see Building_Levels)</v>
      </c>
      <c r="I397" s="6" t="s">
        <v>260</v>
      </c>
      <c r="J397" s="6" t="s">
        <v>261</v>
      </c>
      <c r="K397" s="6" t="s">
        <v>262</v>
      </c>
    </row>
    <row r="398" customFormat="false" ht="15" hidden="false" customHeight="true" outlineLevel="0" collapsed="false">
      <c r="A398" s="6" t="n">
        <v>6</v>
      </c>
      <c r="B398" s="6" t="s">
        <v>1055</v>
      </c>
      <c r="C398" s="6" t="s">
        <v>23</v>
      </c>
      <c r="D398" s="6" t="s">
        <v>1056</v>
      </c>
      <c r="E398" s="9" t="n">
        <v>1100</v>
      </c>
      <c r="F398" s="9" t="n">
        <v>1080</v>
      </c>
      <c r="G398" s="9" t="n">
        <v>1070</v>
      </c>
      <c r="H398" s="6" t="str">
        <f aca="false">E398&amp;" × (L+1)^2.4 × 1.004^L  (see Building_Levels)"</f>
        <v>1100 × (L+1)^2.4 × 1.004^L  (see Building_Levels)</v>
      </c>
      <c r="I398" s="6" t="s">
        <v>260</v>
      </c>
      <c r="J398" s="6" t="s">
        <v>261</v>
      </c>
      <c r="K398" s="6" t="s">
        <v>262</v>
      </c>
    </row>
    <row r="399" customFormat="false" ht="15" hidden="false" customHeight="true" outlineLevel="0" collapsed="false">
      <c r="A399" s="6" t="n">
        <v>6</v>
      </c>
      <c r="B399" s="6" t="s">
        <v>1057</v>
      </c>
      <c r="C399" s="6" t="s">
        <v>23</v>
      </c>
      <c r="D399" s="6" t="s">
        <v>1058</v>
      </c>
      <c r="E399" s="9" t="n">
        <v>1060</v>
      </c>
      <c r="F399" s="9" t="n">
        <v>1040</v>
      </c>
      <c r="G399" s="9" t="n">
        <v>1030</v>
      </c>
      <c r="H399" s="6" t="str">
        <f aca="false">E399&amp;" × (L+1)^2.4 × 1.004^L  (see Building_Levels)"</f>
        <v>1060 × (L+1)^2.4 × 1.004^L  (see Building_Levels)</v>
      </c>
      <c r="I399" s="6" t="s">
        <v>260</v>
      </c>
      <c r="J399" s="6" t="s">
        <v>261</v>
      </c>
      <c r="K399" s="6" t="s">
        <v>262</v>
      </c>
    </row>
    <row r="400" customFormat="false" ht="15" hidden="false" customHeight="true" outlineLevel="0" collapsed="false">
      <c r="A400" s="6" t="n">
        <v>6</v>
      </c>
      <c r="B400" s="6" t="s">
        <v>1059</v>
      </c>
      <c r="C400" s="6" t="s">
        <v>23</v>
      </c>
      <c r="D400" s="6" t="s">
        <v>1060</v>
      </c>
      <c r="E400" s="9" t="n">
        <v>1080</v>
      </c>
      <c r="F400" s="9" t="n">
        <v>1060</v>
      </c>
      <c r="G400" s="9" t="n">
        <v>1050</v>
      </c>
      <c r="H400" s="6" t="str">
        <f aca="false">E400&amp;" × (L+1)^2.4 × 1.004^L  (see Building_Levels)"</f>
        <v>1080 × (L+1)^2.4 × 1.004^L  (see Building_Levels)</v>
      </c>
      <c r="I400" s="6" t="s">
        <v>260</v>
      </c>
      <c r="J400" s="6" t="s">
        <v>261</v>
      </c>
      <c r="K400" s="6" t="s">
        <v>262</v>
      </c>
    </row>
    <row r="401" customFormat="false" ht="15" hidden="false" customHeight="true" outlineLevel="0" collapsed="false">
      <c r="A401" s="6" t="n">
        <v>6</v>
      </c>
      <c r="B401" s="6" t="s">
        <v>1061</v>
      </c>
      <c r="C401" s="6" t="s">
        <v>23</v>
      </c>
      <c r="D401" s="6" t="s">
        <v>1062</v>
      </c>
      <c r="E401" s="9" t="n">
        <v>1090</v>
      </c>
      <c r="F401" s="9" t="n">
        <v>1070</v>
      </c>
      <c r="G401" s="9" t="n">
        <v>1060</v>
      </c>
      <c r="H401" s="6" t="str">
        <f aca="false">E401&amp;" × (L+1)^2.4 × 1.004^L  (see Building_Levels)"</f>
        <v>1090 × (L+1)^2.4 × 1.004^L  (see Building_Levels)</v>
      </c>
      <c r="I401" s="6" t="s">
        <v>260</v>
      </c>
      <c r="J401" s="6" t="s">
        <v>261</v>
      </c>
      <c r="K401" s="6" t="s">
        <v>262</v>
      </c>
    </row>
    <row r="402" customFormat="false" ht="15" hidden="false" customHeight="true" outlineLevel="0" collapsed="false">
      <c r="A402" s="6" t="n">
        <v>6</v>
      </c>
      <c r="B402" s="6" t="s">
        <v>1063</v>
      </c>
      <c r="C402" s="6" t="s">
        <v>23</v>
      </c>
      <c r="D402" s="6" t="s">
        <v>1064</v>
      </c>
      <c r="E402" s="9" t="n">
        <v>1110</v>
      </c>
      <c r="F402" s="9" t="n">
        <v>1090</v>
      </c>
      <c r="G402" s="9" t="n">
        <v>1080</v>
      </c>
      <c r="H402" s="6" t="str">
        <f aca="false">E402&amp;" × (L+1)^2.4 × 1.004^L  (see Building_Levels)"</f>
        <v>1110 × (L+1)^2.4 × 1.004^L  (see Building_Levels)</v>
      </c>
      <c r="I402" s="6" t="s">
        <v>260</v>
      </c>
      <c r="J402" s="6" t="s">
        <v>261</v>
      </c>
      <c r="K402" s="6" t="s">
        <v>262</v>
      </c>
    </row>
    <row r="403" customFormat="false" ht="15" hidden="false" customHeight="true" outlineLevel="0" collapsed="false">
      <c r="A403" s="6" t="n">
        <v>6</v>
      </c>
      <c r="B403" s="6" t="s">
        <v>1065</v>
      </c>
      <c r="C403" s="6" t="s">
        <v>23</v>
      </c>
      <c r="D403" s="6" t="s">
        <v>1066</v>
      </c>
      <c r="E403" s="9" t="n">
        <v>1140</v>
      </c>
      <c r="F403" s="9" t="n">
        <v>1120</v>
      </c>
      <c r="G403" s="9" t="n">
        <v>1110</v>
      </c>
      <c r="H403" s="6" t="str">
        <f aca="false">E403&amp;" × (L+1)^2.4 × 1.004^L  (see Building_Levels)"</f>
        <v>1140 × (L+1)^2.4 × 1.004^L  (see Building_Levels)</v>
      </c>
      <c r="I403" s="6" t="s">
        <v>260</v>
      </c>
      <c r="J403" s="6" t="s">
        <v>261</v>
      </c>
      <c r="K403" s="6" t="s">
        <v>262</v>
      </c>
    </row>
    <row r="404" customFormat="false" ht="15" hidden="false" customHeight="true" outlineLevel="0" collapsed="false">
      <c r="A404" s="6" t="n">
        <v>6</v>
      </c>
      <c r="B404" s="6" t="s">
        <v>1067</v>
      </c>
      <c r="C404" s="6" t="s">
        <v>258</v>
      </c>
      <c r="D404" s="6" t="s">
        <v>1068</v>
      </c>
      <c r="E404" s="9" t="n">
        <v>1000</v>
      </c>
      <c r="F404" s="9" t="n">
        <v>980</v>
      </c>
      <c r="G404" s="9" t="n">
        <v>950</v>
      </c>
      <c r="H404" s="6" t="str">
        <f aca="false">E404&amp;" × (L+1)^2.4 × 1.004^L  (see Building_Levels)"</f>
        <v>1000 × (L+1)^2.4 × 1.004^L  (see Building_Levels)</v>
      </c>
      <c r="I404" s="6" t="s">
        <v>260</v>
      </c>
      <c r="J404" s="6" t="s">
        <v>261</v>
      </c>
      <c r="K404" s="6" t="s">
        <v>262</v>
      </c>
    </row>
    <row r="405" customFormat="false" ht="15" hidden="false" customHeight="true" outlineLevel="0" collapsed="false">
      <c r="A405" s="6" t="n">
        <v>6</v>
      </c>
      <c r="B405" s="6" t="s">
        <v>1069</v>
      </c>
      <c r="C405" s="6" t="s">
        <v>258</v>
      </c>
      <c r="D405" s="6" t="s">
        <v>1070</v>
      </c>
      <c r="E405" s="9" t="n">
        <v>980</v>
      </c>
      <c r="F405" s="9" t="n">
        <v>960</v>
      </c>
      <c r="G405" s="9" t="n">
        <v>930</v>
      </c>
      <c r="H405" s="6" t="str">
        <f aca="false">E405&amp;" × (L+1)^2.4 × 1.004^L  (see Building_Levels)"</f>
        <v>980 × (L+1)^2.4 × 1.004^L  (see Building_Levels)</v>
      </c>
      <c r="I405" s="6" t="s">
        <v>260</v>
      </c>
      <c r="J405" s="6" t="s">
        <v>261</v>
      </c>
      <c r="K405" s="6" t="s">
        <v>262</v>
      </c>
    </row>
    <row r="406" customFormat="false" ht="15" hidden="false" customHeight="true" outlineLevel="0" collapsed="false">
      <c r="A406" s="6" t="n">
        <v>6</v>
      </c>
      <c r="B406" s="6" t="s">
        <v>1071</v>
      </c>
      <c r="C406" s="6" t="s">
        <v>371</v>
      </c>
      <c r="D406" s="6" t="s">
        <v>1072</v>
      </c>
      <c r="E406" s="9" t="n">
        <v>940</v>
      </c>
      <c r="F406" s="9" t="n">
        <v>920</v>
      </c>
      <c r="G406" s="9" t="n">
        <v>890</v>
      </c>
      <c r="H406" s="6" t="str">
        <f aca="false">E406&amp;" × (L+1)^2.4 × 1.004^L  (see Building_Levels)"</f>
        <v>940 × (L+1)^2.4 × 1.004^L  (see Building_Levels)</v>
      </c>
      <c r="I406" s="6" t="s">
        <v>260</v>
      </c>
      <c r="J406" s="6" t="s">
        <v>261</v>
      </c>
      <c r="K406" s="6" t="s">
        <v>262</v>
      </c>
    </row>
    <row r="407" customFormat="false" ht="15" hidden="false" customHeight="true" outlineLevel="0" collapsed="false">
      <c r="A407" s="6" t="n">
        <v>6</v>
      </c>
      <c r="B407" s="6" t="s">
        <v>1073</v>
      </c>
      <c r="C407" s="6" t="s">
        <v>342</v>
      </c>
      <c r="D407" s="6" t="s">
        <v>1074</v>
      </c>
      <c r="E407" s="9" t="n">
        <v>1020</v>
      </c>
      <c r="F407" s="9" t="n">
        <v>1000</v>
      </c>
      <c r="G407" s="9" t="n">
        <v>970</v>
      </c>
      <c r="H407" s="6" t="str">
        <f aca="false">E407&amp;" × (L+1)^2.4 × 1.004^L  (see Building_Levels)"</f>
        <v>1020 × (L+1)^2.4 × 1.004^L  (see Building_Levels)</v>
      </c>
      <c r="I407" s="6" t="s">
        <v>260</v>
      </c>
      <c r="J407" s="6" t="s">
        <v>261</v>
      </c>
      <c r="K407" s="6" t="s">
        <v>262</v>
      </c>
    </row>
    <row r="408" customFormat="false" ht="15" hidden="false" customHeight="true" outlineLevel="0" collapsed="false">
      <c r="A408" s="6" t="n">
        <v>6</v>
      </c>
      <c r="B408" s="6" t="s">
        <v>1075</v>
      </c>
      <c r="C408" s="6" t="s">
        <v>333</v>
      </c>
      <c r="D408" s="6" t="s">
        <v>1076</v>
      </c>
      <c r="E408" s="9" t="n">
        <v>990</v>
      </c>
      <c r="F408" s="9" t="n">
        <v>970</v>
      </c>
      <c r="G408" s="9" t="n">
        <v>940</v>
      </c>
      <c r="H408" s="6" t="str">
        <f aca="false">E408&amp;" × (L+1)^2.4 × 1.004^L  (see Building_Levels)"</f>
        <v>990 × (L+1)^2.4 × 1.004^L  (see Building_Levels)</v>
      </c>
      <c r="I408" s="6" t="s">
        <v>260</v>
      </c>
      <c r="J408" s="6" t="s">
        <v>261</v>
      </c>
      <c r="K408" s="6" t="s">
        <v>262</v>
      </c>
    </row>
    <row r="409" customFormat="false" ht="15" hidden="false" customHeight="true" outlineLevel="0" collapsed="false">
      <c r="A409" s="6" t="n">
        <v>6</v>
      </c>
      <c r="B409" s="6" t="s">
        <v>1077</v>
      </c>
      <c r="C409" s="6" t="s">
        <v>371</v>
      </c>
      <c r="D409" s="6" t="s">
        <v>1078</v>
      </c>
      <c r="E409" s="9" t="n">
        <v>1000</v>
      </c>
      <c r="F409" s="9" t="n">
        <v>980</v>
      </c>
      <c r="G409" s="9" t="n">
        <v>950</v>
      </c>
      <c r="H409" s="6" t="str">
        <f aca="false">E409&amp;" × (L+1)^2.4 × 1.004^L  (see Building_Levels)"</f>
        <v>1000 × (L+1)^2.4 × 1.004^L  (see Building_Levels)</v>
      </c>
      <c r="I409" s="6" t="s">
        <v>260</v>
      </c>
      <c r="J409" s="6" t="s">
        <v>261</v>
      </c>
      <c r="K409" s="6" t="s">
        <v>262</v>
      </c>
    </row>
    <row r="410" customFormat="false" ht="15" hidden="false" customHeight="true" outlineLevel="0" collapsed="false">
      <c r="A410" s="6" t="n">
        <v>6</v>
      </c>
      <c r="B410" s="6" t="s">
        <v>1079</v>
      </c>
      <c r="C410" s="6" t="s">
        <v>804</v>
      </c>
      <c r="D410" s="6" t="s">
        <v>1080</v>
      </c>
      <c r="E410" s="9" t="n">
        <v>1150</v>
      </c>
      <c r="F410" s="9" t="n">
        <v>1130</v>
      </c>
      <c r="G410" s="9" t="n">
        <v>1090</v>
      </c>
      <c r="H410" s="6" t="str">
        <f aca="false">E410&amp;" × (L+1)^2.4 × 1.004^L  (see Building_Levels)"</f>
        <v>1150 × (L+1)^2.4 × 1.004^L  (see Building_Levels)</v>
      </c>
      <c r="I410" s="6" t="s">
        <v>260</v>
      </c>
      <c r="J410" s="6" t="s">
        <v>261</v>
      </c>
      <c r="K410" s="6" t="s">
        <v>262</v>
      </c>
    </row>
    <row r="411" customFormat="false" ht="15" hidden="false" customHeight="true" outlineLevel="0" collapsed="false">
      <c r="A411" s="6" t="n">
        <v>6</v>
      </c>
      <c r="B411" s="6" t="s">
        <v>1081</v>
      </c>
      <c r="C411" s="6" t="s">
        <v>351</v>
      </c>
      <c r="D411" s="6" t="s">
        <v>1082</v>
      </c>
      <c r="E411" s="9" t="n">
        <v>1010</v>
      </c>
      <c r="F411" s="9" t="n">
        <v>990</v>
      </c>
      <c r="G411" s="9" t="n">
        <v>960</v>
      </c>
      <c r="H411" s="6" t="str">
        <f aca="false">E411&amp;" × (L+1)^2.4 × 1.004^L  (see Building_Levels)"</f>
        <v>1010 × (L+1)^2.4 × 1.004^L  (see Building_Levels)</v>
      </c>
      <c r="I411" s="6" t="s">
        <v>260</v>
      </c>
      <c r="J411" s="6" t="s">
        <v>261</v>
      </c>
      <c r="K411" s="6" t="s">
        <v>262</v>
      </c>
    </row>
    <row r="412" customFormat="false" ht="15" hidden="false" customHeight="true" outlineLevel="0" collapsed="false">
      <c r="A412" s="6" t="n">
        <v>6</v>
      </c>
      <c r="B412" s="6" t="s">
        <v>1083</v>
      </c>
      <c r="C412" s="6" t="s">
        <v>312</v>
      </c>
      <c r="D412" s="6" t="s">
        <v>1084</v>
      </c>
      <c r="E412" s="9" t="n">
        <v>1050</v>
      </c>
      <c r="F412" s="9" t="n">
        <v>1030</v>
      </c>
      <c r="G412" s="9" t="n">
        <v>1000</v>
      </c>
      <c r="H412" s="6" t="str">
        <f aca="false">E412&amp;" × (L+1)^2.4 × 1.004^L  (see Building_Levels)"</f>
        <v>1050 × (L+1)^2.4 × 1.004^L  (see Building_Levels)</v>
      </c>
      <c r="I412" s="6" t="s">
        <v>260</v>
      </c>
      <c r="J412" s="6" t="s">
        <v>261</v>
      </c>
      <c r="K412" s="6" t="s">
        <v>262</v>
      </c>
    </row>
    <row r="413" customFormat="false" ht="15" hidden="false" customHeight="true" outlineLevel="0" collapsed="false">
      <c r="A413" s="6" t="n">
        <v>6</v>
      </c>
      <c r="B413" s="6" t="s">
        <v>1085</v>
      </c>
      <c r="C413" s="6" t="s">
        <v>312</v>
      </c>
      <c r="D413" s="6" t="s">
        <v>1086</v>
      </c>
      <c r="E413" s="9" t="n">
        <v>1030</v>
      </c>
      <c r="F413" s="9" t="n">
        <v>1010</v>
      </c>
      <c r="G413" s="9" t="n">
        <v>980</v>
      </c>
      <c r="H413" s="6" t="str">
        <f aca="false">E413&amp;" × (L+1)^2.4 × 1.004^L  (see Building_Levels)"</f>
        <v>1030 × (L+1)^2.4 × 1.004^L  (see Building_Levels)</v>
      </c>
      <c r="I413" s="6" t="s">
        <v>260</v>
      </c>
      <c r="J413" s="6" t="s">
        <v>261</v>
      </c>
      <c r="K413" s="6" t="s">
        <v>262</v>
      </c>
    </row>
    <row r="414" customFormat="false" ht="15" hidden="false" customHeight="true" outlineLevel="0" collapsed="false">
      <c r="A414" s="6" t="n">
        <v>6</v>
      </c>
      <c r="B414" s="6" t="s">
        <v>1087</v>
      </c>
      <c r="C414" s="6" t="s">
        <v>342</v>
      </c>
      <c r="D414" s="6" t="s">
        <v>1088</v>
      </c>
      <c r="E414" s="9" t="n">
        <v>950</v>
      </c>
      <c r="F414" s="9" t="n">
        <v>930</v>
      </c>
      <c r="G414" s="9" t="n">
        <v>900</v>
      </c>
      <c r="H414" s="6" t="str">
        <f aca="false">E414&amp;" × (L+1)^2.4 × 1.004^L  (see Building_Levels)"</f>
        <v>950 × (L+1)^2.4 × 1.004^L  (see Building_Levels)</v>
      </c>
      <c r="I414" s="6" t="s">
        <v>260</v>
      </c>
      <c r="J414" s="6" t="s">
        <v>261</v>
      </c>
      <c r="K414" s="6" t="s">
        <v>262</v>
      </c>
    </row>
    <row r="415" customFormat="false" ht="15" hidden="false" customHeight="true" outlineLevel="0" collapsed="false">
      <c r="A415" s="6" t="n">
        <v>6</v>
      </c>
      <c r="B415" s="6" t="s">
        <v>1089</v>
      </c>
      <c r="C415" s="6" t="s">
        <v>351</v>
      </c>
      <c r="D415" s="6" t="s">
        <v>1090</v>
      </c>
      <c r="E415" s="9" t="n">
        <v>930</v>
      </c>
      <c r="F415" s="9" t="n">
        <v>910</v>
      </c>
      <c r="G415" s="9" t="n">
        <v>880</v>
      </c>
      <c r="H415" s="6" t="str">
        <f aca="false">E415&amp;" × (L+1)^2.4 × 1.004^L  (see Building_Levels)"</f>
        <v>930 × (L+1)^2.4 × 1.004^L  (see Building_Levels)</v>
      </c>
      <c r="I415" s="6" t="s">
        <v>260</v>
      </c>
      <c r="J415" s="6" t="s">
        <v>261</v>
      </c>
      <c r="K415" s="6" t="s">
        <v>262</v>
      </c>
    </row>
    <row r="416" customFormat="false" ht="15" hidden="false" customHeight="true" outlineLevel="0" collapsed="false">
      <c r="A416" s="6" t="n">
        <v>7</v>
      </c>
      <c r="B416" s="6" t="s">
        <v>1091</v>
      </c>
      <c r="C416" s="6" t="s">
        <v>258</v>
      </c>
      <c r="D416" s="6" t="s">
        <v>1092</v>
      </c>
      <c r="E416" s="9" t="n">
        <v>2000</v>
      </c>
      <c r="F416" s="9" t="n">
        <v>2040</v>
      </c>
      <c r="G416" s="9" t="n">
        <v>1900</v>
      </c>
      <c r="H416" s="6" t="str">
        <f aca="false">E416&amp;" × (L+1)^2.4 × 1.004^L  (see Building_Levels)"</f>
        <v>2000 × (L+1)^2.4 × 1.004^L  (see Building_Levels)</v>
      </c>
      <c r="I416" s="6" t="s">
        <v>260</v>
      </c>
      <c r="J416" s="6" t="s">
        <v>261</v>
      </c>
      <c r="K416" s="6" t="s">
        <v>262</v>
      </c>
    </row>
    <row r="417" customFormat="false" ht="15" hidden="false" customHeight="true" outlineLevel="0" collapsed="false">
      <c r="A417" s="6" t="n">
        <v>7</v>
      </c>
      <c r="B417" s="6" t="s">
        <v>1093</v>
      </c>
      <c r="C417" s="6" t="s">
        <v>264</v>
      </c>
      <c r="D417" s="6" t="s">
        <v>1094</v>
      </c>
      <c r="E417" s="9" t="n">
        <v>1600</v>
      </c>
      <c r="F417" s="9" t="n">
        <v>1580</v>
      </c>
      <c r="G417" s="9" t="n">
        <v>1560</v>
      </c>
      <c r="H417" s="6" t="str">
        <f aca="false">E417&amp;" × (L+1)^2.4 × 1.004^L  (see Building_Levels)"</f>
        <v>1600 × (L+1)^2.4 × 1.004^L  (see Building_Levels)</v>
      </c>
      <c r="I417" s="6" t="s">
        <v>260</v>
      </c>
      <c r="J417" s="6" t="s">
        <v>261</v>
      </c>
      <c r="K417" s="6" t="s">
        <v>262</v>
      </c>
    </row>
    <row r="418" customFormat="false" ht="15" hidden="false" customHeight="true" outlineLevel="0" collapsed="false">
      <c r="A418" s="6" t="n">
        <v>7</v>
      </c>
      <c r="B418" s="6" t="s">
        <v>1095</v>
      </c>
      <c r="C418" s="6" t="s">
        <v>264</v>
      </c>
      <c r="D418" s="6" t="s">
        <v>1096</v>
      </c>
      <c r="E418" s="9" t="n">
        <v>1560</v>
      </c>
      <c r="F418" s="9" t="n">
        <v>1540</v>
      </c>
      <c r="G418" s="9" t="n">
        <v>1520</v>
      </c>
      <c r="H418" s="6" t="str">
        <f aca="false">E418&amp;" × (L+1)^2.4 × 1.004^L  (see Building_Levels)"</f>
        <v>1560 × (L+1)^2.4 × 1.004^L  (see Building_Levels)</v>
      </c>
      <c r="I418" s="6" t="s">
        <v>260</v>
      </c>
      <c r="J418" s="6" t="s">
        <v>261</v>
      </c>
      <c r="K418" s="6" t="s">
        <v>262</v>
      </c>
    </row>
    <row r="419" customFormat="false" ht="15" hidden="false" customHeight="true" outlineLevel="0" collapsed="false">
      <c r="A419" s="6" t="n">
        <v>7</v>
      </c>
      <c r="B419" s="6" t="s">
        <v>1097</v>
      </c>
      <c r="C419" s="6" t="s">
        <v>264</v>
      </c>
      <c r="D419" s="6" t="s">
        <v>1098</v>
      </c>
      <c r="E419" s="9" t="n">
        <v>1520</v>
      </c>
      <c r="F419" s="9" t="n">
        <v>1500</v>
      </c>
      <c r="G419" s="9" t="n">
        <v>1480</v>
      </c>
      <c r="H419" s="6" t="str">
        <f aca="false">E419&amp;" × (L+1)^2.4 × 1.004^L  (see Building_Levels)"</f>
        <v>1520 × (L+1)^2.4 × 1.004^L  (see Building_Levels)</v>
      </c>
      <c r="I419" s="6" t="s">
        <v>260</v>
      </c>
      <c r="J419" s="6" t="s">
        <v>261</v>
      </c>
      <c r="K419" s="6" t="s">
        <v>262</v>
      </c>
    </row>
    <row r="420" customFormat="false" ht="15" hidden="false" customHeight="true" outlineLevel="0" collapsed="false">
      <c r="A420" s="6" t="n">
        <v>7</v>
      </c>
      <c r="B420" s="6" t="s">
        <v>1099</v>
      </c>
      <c r="C420" s="6" t="s">
        <v>293</v>
      </c>
      <c r="D420" s="6" t="s">
        <v>1100</v>
      </c>
      <c r="E420" s="9" t="n">
        <v>1800</v>
      </c>
      <c r="F420" s="9" t="n">
        <v>1780</v>
      </c>
      <c r="G420" s="9" t="n">
        <v>1740</v>
      </c>
      <c r="H420" s="6" t="str">
        <f aca="false">E420&amp;" × (L+1)^2.4 × 1.004^L  (see Building_Levels)"</f>
        <v>1800 × (L+1)^2.4 × 1.004^L  (see Building_Levels)</v>
      </c>
      <c r="I420" s="6" t="s">
        <v>260</v>
      </c>
      <c r="J420" s="6" t="s">
        <v>261</v>
      </c>
      <c r="K420" s="6" t="s">
        <v>262</v>
      </c>
    </row>
    <row r="421" customFormat="false" ht="15" hidden="false" customHeight="true" outlineLevel="0" collapsed="false">
      <c r="A421" s="6" t="n">
        <v>7</v>
      </c>
      <c r="B421" s="6" t="s">
        <v>1101</v>
      </c>
      <c r="C421" s="6" t="s">
        <v>293</v>
      </c>
      <c r="D421" s="6" t="s">
        <v>1102</v>
      </c>
      <c r="E421" s="9" t="n">
        <v>1850</v>
      </c>
      <c r="F421" s="9" t="n">
        <v>1830</v>
      </c>
      <c r="G421" s="9" t="n">
        <v>1790</v>
      </c>
      <c r="H421" s="6" t="str">
        <f aca="false">E421&amp;" × (L+1)^2.4 × 1.004^L  (see Building_Levels)"</f>
        <v>1850 × (L+1)^2.4 × 1.004^L  (see Building_Levels)</v>
      </c>
      <c r="I421" s="6" t="s">
        <v>260</v>
      </c>
      <c r="J421" s="6" t="s">
        <v>261</v>
      </c>
      <c r="K421" s="6" t="s">
        <v>262</v>
      </c>
    </row>
    <row r="422" customFormat="false" ht="15" hidden="false" customHeight="true" outlineLevel="0" collapsed="false">
      <c r="A422" s="6" t="n">
        <v>7</v>
      </c>
      <c r="B422" s="6" t="s">
        <v>1103</v>
      </c>
      <c r="C422" s="6" t="s">
        <v>293</v>
      </c>
      <c r="D422" s="6" t="s">
        <v>1104</v>
      </c>
      <c r="E422" s="9" t="n">
        <v>1780</v>
      </c>
      <c r="F422" s="9" t="n">
        <v>1760</v>
      </c>
      <c r="G422" s="9" t="n">
        <v>1720</v>
      </c>
      <c r="H422" s="6" t="str">
        <f aca="false">E422&amp;" × (L+1)^2.4 × 1.004^L  (see Building_Levels)"</f>
        <v>1780 × (L+1)^2.4 × 1.004^L  (see Building_Levels)</v>
      </c>
      <c r="I422" s="6" t="s">
        <v>260</v>
      </c>
      <c r="J422" s="6" t="s">
        <v>261</v>
      </c>
      <c r="K422" s="6" t="s">
        <v>262</v>
      </c>
    </row>
    <row r="423" customFormat="false" ht="15" hidden="false" customHeight="true" outlineLevel="0" collapsed="false">
      <c r="A423" s="6" t="n">
        <v>7</v>
      </c>
      <c r="B423" s="6" t="s">
        <v>1105</v>
      </c>
      <c r="C423" s="6" t="s">
        <v>293</v>
      </c>
      <c r="D423" s="6" t="s">
        <v>1106</v>
      </c>
      <c r="E423" s="9" t="n">
        <v>1700</v>
      </c>
      <c r="F423" s="9" t="n">
        <v>1680</v>
      </c>
      <c r="G423" s="9" t="n">
        <v>1640</v>
      </c>
      <c r="H423" s="6" t="str">
        <f aca="false">E423&amp;" × (L+1)^2.4 × 1.004^L  (see Building_Levels)"</f>
        <v>1700 × (L+1)^2.4 × 1.004^L  (see Building_Levels)</v>
      </c>
      <c r="I423" s="6" t="s">
        <v>260</v>
      </c>
      <c r="J423" s="6" t="s">
        <v>261</v>
      </c>
      <c r="K423" s="6" t="s">
        <v>262</v>
      </c>
    </row>
    <row r="424" customFormat="false" ht="15" hidden="false" customHeight="true" outlineLevel="0" collapsed="false">
      <c r="A424" s="6" t="n">
        <v>7</v>
      </c>
      <c r="B424" s="6" t="s">
        <v>1107</v>
      </c>
      <c r="C424" s="6" t="s">
        <v>804</v>
      </c>
      <c r="D424" s="6" t="s">
        <v>1108</v>
      </c>
      <c r="E424" s="9" t="n">
        <v>2100</v>
      </c>
      <c r="F424" s="9" t="n">
        <v>2080</v>
      </c>
      <c r="G424" s="9" t="n">
        <v>2020</v>
      </c>
      <c r="H424" s="6" t="str">
        <f aca="false">E424&amp;" × (L+1)^2.4 × 1.004^L  (see Building_Levels)"</f>
        <v>2100 × (L+1)^2.4 × 1.004^L  (see Building_Levels)</v>
      </c>
      <c r="I424" s="6" t="s">
        <v>260</v>
      </c>
      <c r="J424" s="6" t="s">
        <v>261</v>
      </c>
      <c r="K424" s="6" t="s">
        <v>262</v>
      </c>
    </row>
    <row r="425" customFormat="false" ht="15" hidden="false" customHeight="true" outlineLevel="0" collapsed="false">
      <c r="A425" s="6" t="n">
        <v>7</v>
      </c>
      <c r="B425" s="6" t="s">
        <v>1109</v>
      </c>
      <c r="C425" s="6" t="s">
        <v>804</v>
      </c>
      <c r="D425" s="6" t="s">
        <v>1110</v>
      </c>
      <c r="E425" s="9" t="n">
        <v>2150</v>
      </c>
      <c r="F425" s="9" t="n">
        <v>2130</v>
      </c>
      <c r="G425" s="9" t="n">
        <v>2070</v>
      </c>
      <c r="H425" s="6" t="str">
        <f aca="false">E425&amp;" × (L+1)^2.4 × 1.004^L  (see Building_Levels)"</f>
        <v>2150 × (L+1)^2.4 × 1.004^L  (see Building_Levels)</v>
      </c>
      <c r="I425" s="6" t="s">
        <v>260</v>
      </c>
      <c r="J425" s="6" t="s">
        <v>261</v>
      </c>
      <c r="K425" s="6" t="s">
        <v>262</v>
      </c>
    </row>
    <row r="426" customFormat="false" ht="15" hidden="false" customHeight="true" outlineLevel="0" collapsed="false">
      <c r="A426" s="6" t="n">
        <v>7</v>
      </c>
      <c r="B426" s="6" t="s">
        <v>1111</v>
      </c>
      <c r="C426" s="6" t="s">
        <v>804</v>
      </c>
      <c r="D426" s="6" t="s">
        <v>1112</v>
      </c>
      <c r="E426" s="9" t="n">
        <v>2200</v>
      </c>
      <c r="F426" s="9" t="n">
        <v>2180</v>
      </c>
      <c r="G426" s="9" t="n">
        <v>2120</v>
      </c>
      <c r="H426" s="6" t="str">
        <f aca="false">E426&amp;" × (L+1)^2.4 × 1.004^L  (see Building_Levels)"</f>
        <v>2200 × (L+1)^2.4 × 1.004^L  (see Building_Levels)</v>
      </c>
      <c r="I426" s="6" t="s">
        <v>260</v>
      </c>
      <c r="J426" s="6" t="s">
        <v>261</v>
      </c>
      <c r="K426" s="6" t="s">
        <v>262</v>
      </c>
    </row>
    <row r="427" customFormat="false" ht="15" hidden="false" customHeight="true" outlineLevel="0" collapsed="false">
      <c r="A427" s="6" t="n">
        <v>7</v>
      </c>
      <c r="B427" s="6" t="s">
        <v>1113</v>
      </c>
      <c r="C427" s="6" t="s">
        <v>356</v>
      </c>
      <c r="D427" s="6" t="s">
        <v>1114</v>
      </c>
      <c r="E427" s="9" t="n">
        <v>1900</v>
      </c>
      <c r="F427" s="9" t="n">
        <v>1880</v>
      </c>
      <c r="G427" s="9" t="n">
        <v>1840</v>
      </c>
      <c r="H427" s="6" t="str">
        <f aca="false">E427&amp;" × (L+1)^2.4 × 1.004^L  (see Building_Levels)"</f>
        <v>1900 × (L+1)^2.4 × 1.004^L  (see Building_Levels)</v>
      </c>
      <c r="I427" s="6" t="s">
        <v>260</v>
      </c>
      <c r="J427" s="6" t="s">
        <v>261</v>
      </c>
      <c r="K427" s="6" t="s">
        <v>262</v>
      </c>
    </row>
    <row r="428" customFormat="false" ht="15" hidden="false" customHeight="true" outlineLevel="0" collapsed="false">
      <c r="A428" s="6" t="n">
        <v>7</v>
      </c>
      <c r="B428" s="6" t="s">
        <v>1115</v>
      </c>
      <c r="C428" s="6" t="s">
        <v>356</v>
      </c>
      <c r="D428" s="6" t="s">
        <v>1116</v>
      </c>
      <c r="E428" s="9" t="n">
        <v>1760</v>
      </c>
      <c r="F428" s="9" t="n">
        <v>1740</v>
      </c>
      <c r="G428" s="9" t="n">
        <v>1700</v>
      </c>
      <c r="H428" s="6" t="str">
        <f aca="false">E428&amp;" × (L+1)^2.4 × 1.004^L  (see Building_Levels)"</f>
        <v>1760 × (L+1)^2.4 × 1.004^L  (see Building_Levels)</v>
      </c>
      <c r="I428" s="6" t="s">
        <v>260</v>
      </c>
      <c r="J428" s="6" t="s">
        <v>261</v>
      </c>
      <c r="K428" s="6" t="s">
        <v>262</v>
      </c>
    </row>
    <row r="429" customFormat="false" ht="15" hidden="false" customHeight="true" outlineLevel="0" collapsed="false">
      <c r="A429" s="6" t="n">
        <v>7</v>
      </c>
      <c r="B429" s="6" t="s">
        <v>1117</v>
      </c>
      <c r="C429" s="6" t="s">
        <v>342</v>
      </c>
      <c r="D429" s="6" t="s">
        <v>1118</v>
      </c>
      <c r="E429" s="9" t="n">
        <v>1700</v>
      </c>
      <c r="F429" s="9" t="n">
        <v>1680</v>
      </c>
      <c r="G429" s="9" t="n">
        <v>1640</v>
      </c>
      <c r="H429" s="6" t="str">
        <f aca="false">E429&amp;" × (L+1)^2.4 × 1.004^L  (see Building_Levels)"</f>
        <v>1700 × (L+1)^2.4 × 1.004^L  (see Building_Levels)</v>
      </c>
      <c r="I429" s="6" t="s">
        <v>260</v>
      </c>
      <c r="J429" s="6" t="s">
        <v>261</v>
      </c>
      <c r="K429" s="6" t="s">
        <v>262</v>
      </c>
    </row>
    <row r="430" customFormat="false" ht="15" hidden="false" customHeight="true" outlineLevel="0" collapsed="false">
      <c r="A430" s="6" t="n">
        <v>7</v>
      </c>
      <c r="B430" s="6" t="s">
        <v>1119</v>
      </c>
      <c r="C430" s="6" t="s">
        <v>342</v>
      </c>
      <c r="D430" s="6" t="s">
        <v>1120</v>
      </c>
      <c r="E430" s="9" t="n">
        <v>1850</v>
      </c>
      <c r="F430" s="9" t="n">
        <v>1830</v>
      </c>
      <c r="G430" s="9" t="n">
        <v>1790</v>
      </c>
      <c r="H430" s="6" t="str">
        <f aca="false">E430&amp;" × (L+1)^2.4 × 1.004^L  (see Building_Levels)"</f>
        <v>1850 × (L+1)^2.4 × 1.004^L  (see Building_Levels)</v>
      </c>
      <c r="I430" s="6" t="s">
        <v>260</v>
      </c>
      <c r="J430" s="6" t="s">
        <v>261</v>
      </c>
      <c r="K430" s="6" t="s">
        <v>262</v>
      </c>
    </row>
    <row r="431" customFormat="false" ht="15" hidden="false" customHeight="true" outlineLevel="0" collapsed="false">
      <c r="A431" s="6" t="n">
        <v>7</v>
      </c>
      <c r="B431" s="6" t="s">
        <v>1121</v>
      </c>
      <c r="C431" s="6" t="s">
        <v>342</v>
      </c>
      <c r="D431" s="6" t="s">
        <v>1122</v>
      </c>
      <c r="E431" s="9" t="n">
        <v>1720</v>
      </c>
      <c r="F431" s="9" t="n">
        <v>1700</v>
      </c>
      <c r="G431" s="9" t="n">
        <v>1660</v>
      </c>
      <c r="H431" s="6" t="str">
        <f aca="false">E431&amp;" × (L+1)^2.4 × 1.004^L  (see Building_Levels)"</f>
        <v>1720 × (L+1)^2.4 × 1.004^L  (see Building_Levels)</v>
      </c>
      <c r="I431" s="6" t="s">
        <v>260</v>
      </c>
      <c r="J431" s="6" t="s">
        <v>261</v>
      </c>
      <c r="K431" s="6" t="s">
        <v>262</v>
      </c>
    </row>
    <row r="432" customFormat="false" ht="15" hidden="false" customHeight="true" outlineLevel="0" collapsed="false">
      <c r="A432" s="6" t="n">
        <v>7</v>
      </c>
      <c r="B432" s="6" t="s">
        <v>1123</v>
      </c>
      <c r="C432" s="6" t="s">
        <v>23</v>
      </c>
      <c r="D432" s="6" t="s">
        <v>1124</v>
      </c>
      <c r="E432" s="9" t="n">
        <v>1900</v>
      </c>
      <c r="F432" s="9" t="n">
        <v>1880</v>
      </c>
      <c r="G432" s="9" t="n">
        <v>1860</v>
      </c>
      <c r="H432" s="6" t="str">
        <f aca="false">E432&amp;" × (L+1)^2.4 × 1.004^L  (see Building_Levels)"</f>
        <v>1900 × (L+1)^2.4 × 1.004^L  (see Building_Levels)</v>
      </c>
      <c r="I432" s="6" t="s">
        <v>260</v>
      </c>
      <c r="J432" s="6" t="s">
        <v>261</v>
      </c>
      <c r="K432" s="6" t="s">
        <v>262</v>
      </c>
    </row>
    <row r="433" customFormat="false" ht="15" hidden="false" customHeight="true" outlineLevel="0" collapsed="false">
      <c r="A433" s="6" t="n">
        <v>7</v>
      </c>
      <c r="B433" s="6" t="s">
        <v>1125</v>
      </c>
      <c r="C433" s="6" t="s">
        <v>23</v>
      </c>
      <c r="D433" s="6" t="s">
        <v>1126</v>
      </c>
      <c r="E433" s="9" t="n">
        <v>1860</v>
      </c>
      <c r="F433" s="9" t="n">
        <v>1840</v>
      </c>
      <c r="G433" s="9" t="n">
        <v>1820</v>
      </c>
      <c r="H433" s="6" t="str">
        <f aca="false">E433&amp;" × (L+1)^2.4 × 1.004^L  (see Building_Levels)"</f>
        <v>1860 × (L+1)^2.4 × 1.004^L  (see Building_Levels)</v>
      </c>
      <c r="I433" s="6" t="s">
        <v>260</v>
      </c>
      <c r="J433" s="6" t="s">
        <v>261</v>
      </c>
      <c r="K433" s="6" t="s">
        <v>262</v>
      </c>
    </row>
    <row r="434" customFormat="false" ht="15" hidden="false" customHeight="true" outlineLevel="0" collapsed="false">
      <c r="A434" s="6" t="n">
        <v>7</v>
      </c>
      <c r="B434" s="6" t="s">
        <v>1127</v>
      </c>
      <c r="C434" s="6" t="s">
        <v>23</v>
      </c>
      <c r="D434" s="6" t="s">
        <v>1128</v>
      </c>
      <c r="E434" s="9" t="n">
        <v>1880</v>
      </c>
      <c r="F434" s="9" t="n">
        <v>1860</v>
      </c>
      <c r="G434" s="9" t="n">
        <v>1840</v>
      </c>
      <c r="H434" s="6" t="str">
        <f aca="false">E434&amp;" × (L+1)^2.4 × 1.004^L  (see Building_Levels)"</f>
        <v>1880 × (L+1)^2.4 × 1.004^L  (see Building_Levels)</v>
      </c>
      <c r="I434" s="6" t="s">
        <v>260</v>
      </c>
      <c r="J434" s="6" t="s">
        <v>261</v>
      </c>
      <c r="K434" s="6" t="s">
        <v>262</v>
      </c>
    </row>
    <row r="435" customFormat="false" ht="15" hidden="false" customHeight="true" outlineLevel="0" collapsed="false">
      <c r="A435" s="6" t="n">
        <v>7</v>
      </c>
      <c r="B435" s="6" t="s">
        <v>1129</v>
      </c>
      <c r="C435" s="6" t="s">
        <v>23</v>
      </c>
      <c r="D435" s="6" t="s">
        <v>1130</v>
      </c>
      <c r="E435" s="9" t="n">
        <v>1920</v>
      </c>
      <c r="F435" s="9" t="n">
        <v>1900</v>
      </c>
      <c r="G435" s="9" t="n">
        <v>1880</v>
      </c>
      <c r="H435" s="6" t="str">
        <f aca="false">E435&amp;" × (L+1)^2.4 × 1.004^L  (see Building_Levels)"</f>
        <v>1920 × (L+1)^2.4 × 1.004^L  (see Building_Levels)</v>
      </c>
      <c r="I435" s="6" t="s">
        <v>260</v>
      </c>
      <c r="J435" s="6" t="s">
        <v>261</v>
      </c>
      <c r="K435" s="6" t="s">
        <v>262</v>
      </c>
    </row>
    <row r="436" customFormat="false" ht="15" hidden="false" customHeight="true" outlineLevel="0" collapsed="false">
      <c r="A436" s="6" t="n">
        <v>7</v>
      </c>
      <c r="B436" s="6" t="s">
        <v>1131</v>
      </c>
      <c r="C436" s="6" t="s">
        <v>23</v>
      </c>
      <c r="D436" s="6" t="s">
        <v>1132</v>
      </c>
      <c r="E436" s="9" t="n">
        <v>1940</v>
      </c>
      <c r="F436" s="9" t="n">
        <v>1920</v>
      </c>
      <c r="G436" s="9" t="n">
        <v>1900</v>
      </c>
      <c r="H436" s="6" t="str">
        <f aca="false">E436&amp;" × (L+1)^2.4 × 1.004^L  (see Building_Levels)"</f>
        <v>1940 × (L+1)^2.4 × 1.004^L  (see Building_Levels)</v>
      </c>
      <c r="I436" s="6" t="s">
        <v>260</v>
      </c>
      <c r="J436" s="6" t="s">
        <v>261</v>
      </c>
      <c r="K436" s="6" t="s">
        <v>262</v>
      </c>
    </row>
    <row r="437" customFormat="false" ht="15" hidden="false" customHeight="true" outlineLevel="0" collapsed="false">
      <c r="A437" s="6" t="n">
        <v>7</v>
      </c>
      <c r="B437" s="6" t="s">
        <v>1133</v>
      </c>
      <c r="C437" s="6" t="s">
        <v>23</v>
      </c>
      <c r="D437" s="6" t="s">
        <v>1134</v>
      </c>
      <c r="E437" s="9" t="n">
        <v>1960</v>
      </c>
      <c r="F437" s="9" t="n">
        <v>1940</v>
      </c>
      <c r="G437" s="9" t="n">
        <v>1920</v>
      </c>
      <c r="H437" s="6" t="str">
        <f aca="false">E437&amp;" × (L+1)^2.4 × 1.004^L  (see Building_Levels)"</f>
        <v>1960 × (L+1)^2.4 × 1.004^L  (see Building_Levels)</v>
      </c>
      <c r="I437" s="6" t="s">
        <v>260</v>
      </c>
      <c r="J437" s="6" t="s">
        <v>261</v>
      </c>
      <c r="K437" s="6" t="s">
        <v>262</v>
      </c>
    </row>
    <row r="438" customFormat="false" ht="15" hidden="false" customHeight="true" outlineLevel="0" collapsed="false">
      <c r="A438" s="6" t="n">
        <v>7</v>
      </c>
      <c r="B438" s="6" t="s">
        <v>1135</v>
      </c>
      <c r="C438" s="6" t="s">
        <v>333</v>
      </c>
      <c r="D438" s="6" t="s">
        <v>1136</v>
      </c>
      <c r="E438" s="9" t="n">
        <v>2000</v>
      </c>
      <c r="F438" s="9" t="n">
        <v>2040</v>
      </c>
      <c r="G438" s="9" t="n">
        <v>1940</v>
      </c>
      <c r="H438" s="6" t="str">
        <f aca="false">E438&amp;" × (L+1)^2.4 × 1.004^L  (see Building_Levels)"</f>
        <v>2000 × (L+1)^2.4 × 1.004^L  (see Building_Levels)</v>
      </c>
      <c r="I438" s="6" t="s">
        <v>260</v>
      </c>
      <c r="J438" s="6" t="s">
        <v>261</v>
      </c>
      <c r="K438" s="6" t="s">
        <v>262</v>
      </c>
    </row>
    <row r="439" customFormat="false" ht="15" hidden="false" customHeight="true" outlineLevel="0" collapsed="false">
      <c r="A439" s="6" t="n">
        <v>7</v>
      </c>
      <c r="B439" s="6" t="s">
        <v>1137</v>
      </c>
      <c r="C439" s="6" t="s">
        <v>333</v>
      </c>
      <c r="D439" s="6" t="s">
        <v>1138</v>
      </c>
      <c r="E439" s="9" t="n">
        <v>1900</v>
      </c>
      <c r="F439" s="9" t="n">
        <v>1880</v>
      </c>
      <c r="G439" s="9" t="n">
        <v>1840</v>
      </c>
      <c r="H439" s="6" t="str">
        <f aca="false">E439&amp;" × (L+1)^2.4 × 1.004^L  (see Building_Levels)"</f>
        <v>1900 × (L+1)^2.4 × 1.004^L  (see Building_Levels)</v>
      </c>
      <c r="I439" s="6" t="s">
        <v>260</v>
      </c>
      <c r="J439" s="6" t="s">
        <v>261</v>
      </c>
      <c r="K439" s="6" t="s">
        <v>262</v>
      </c>
    </row>
    <row r="440" customFormat="false" ht="15" hidden="false" customHeight="true" outlineLevel="0" collapsed="false">
      <c r="A440" s="6" t="n">
        <v>7</v>
      </c>
      <c r="B440" s="6" t="s">
        <v>1139</v>
      </c>
      <c r="C440" s="6" t="s">
        <v>333</v>
      </c>
      <c r="D440" s="6" t="s">
        <v>1140</v>
      </c>
      <c r="E440" s="9" t="n">
        <v>1860</v>
      </c>
      <c r="F440" s="9" t="n">
        <v>1840</v>
      </c>
      <c r="G440" s="9" t="n">
        <v>1800</v>
      </c>
      <c r="H440" s="6" t="str">
        <f aca="false">E440&amp;" × (L+1)^2.4 × 1.004^L  (see Building_Levels)"</f>
        <v>1860 × (L+1)^2.4 × 1.004^L  (see Building_Levels)</v>
      </c>
      <c r="I440" s="6" t="s">
        <v>260</v>
      </c>
      <c r="J440" s="6" t="s">
        <v>261</v>
      </c>
      <c r="K440" s="6" t="s">
        <v>262</v>
      </c>
    </row>
    <row r="441" customFormat="false" ht="15" hidden="false" customHeight="true" outlineLevel="0" collapsed="false">
      <c r="A441" s="6" t="n">
        <v>7</v>
      </c>
      <c r="B441" s="6" t="s">
        <v>1141</v>
      </c>
      <c r="C441" s="6" t="s">
        <v>312</v>
      </c>
      <c r="D441" s="6" t="s">
        <v>1142</v>
      </c>
      <c r="E441" s="9" t="n">
        <v>1950</v>
      </c>
      <c r="F441" s="9" t="n">
        <v>1930</v>
      </c>
      <c r="G441" s="9" t="n">
        <v>1890</v>
      </c>
      <c r="H441" s="6" t="str">
        <f aca="false">E441&amp;" × (L+1)^2.4 × 1.004^L  (see Building_Levels)"</f>
        <v>1950 × (L+1)^2.4 × 1.004^L  (see Building_Levels)</v>
      </c>
      <c r="I441" s="6" t="s">
        <v>260</v>
      </c>
      <c r="J441" s="6" t="s">
        <v>261</v>
      </c>
      <c r="K441" s="6" t="s">
        <v>262</v>
      </c>
    </row>
    <row r="442" customFormat="false" ht="15" hidden="false" customHeight="true" outlineLevel="0" collapsed="false">
      <c r="A442" s="6" t="n">
        <v>7</v>
      </c>
      <c r="B442" s="6" t="s">
        <v>1143</v>
      </c>
      <c r="C442" s="6" t="s">
        <v>312</v>
      </c>
      <c r="D442" s="6" t="s">
        <v>1144</v>
      </c>
      <c r="E442" s="9" t="n">
        <v>2050</v>
      </c>
      <c r="F442" s="9" t="n">
        <v>2030</v>
      </c>
      <c r="G442" s="9" t="n">
        <v>1970</v>
      </c>
      <c r="H442" s="6" t="str">
        <f aca="false">E442&amp;" × (L+1)^2.4 × 1.004^L  (see Building_Levels)"</f>
        <v>2050 × (L+1)^2.4 × 1.004^L  (see Building_Levels)</v>
      </c>
      <c r="I442" s="6" t="s">
        <v>260</v>
      </c>
      <c r="J442" s="6" t="s">
        <v>261</v>
      </c>
      <c r="K442" s="6" t="s">
        <v>262</v>
      </c>
    </row>
    <row r="443" customFormat="false" ht="15" hidden="false" customHeight="true" outlineLevel="0" collapsed="false">
      <c r="A443" s="6" t="n">
        <v>7</v>
      </c>
      <c r="B443" s="6" t="s">
        <v>1145</v>
      </c>
      <c r="C443" s="6" t="s">
        <v>312</v>
      </c>
      <c r="D443" s="6" t="s">
        <v>1146</v>
      </c>
      <c r="E443" s="9" t="n">
        <v>1800</v>
      </c>
      <c r="F443" s="9" t="n">
        <v>1780</v>
      </c>
      <c r="G443" s="9" t="n">
        <v>1740</v>
      </c>
      <c r="H443" s="6" t="str">
        <f aca="false">E443&amp;" × (L+1)^2.4 × 1.004^L  (see Building_Levels)"</f>
        <v>1800 × (L+1)^2.4 × 1.004^L  (see Building_Levels)</v>
      </c>
      <c r="I443" s="6" t="s">
        <v>260</v>
      </c>
      <c r="J443" s="6" t="s">
        <v>261</v>
      </c>
      <c r="K443" s="6" t="s">
        <v>262</v>
      </c>
    </row>
    <row r="444" customFormat="false" ht="15" hidden="false" customHeight="true" outlineLevel="0" collapsed="false">
      <c r="A444" s="6" t="n">
        <v>7</v>
      </c>
      <c r="B444" s="6" t="s">
        <v>1147</v>
      </c>
      <c r="C444" s="6" t="s">
        <v>312</v>
      </c>
      <c r="D444" s="6" t="s">
        <v>1148</v>
      </c>
      <c r="E444" s="9" t="n">
        <v>1880</v>
      </c>
      <c r="F444" s="9" t="n">
        <v>1860</v>
      </c>
      <c r="G444" s="9" t="n">
        <v>1820</v>
      </c>
      <c r="H444" s="6" t="str">
        <f aca="false">E444&amp;" × (L+1)^2.4 × 1.004^L  (see Building_Levels)"</f>
        <v>1880 × (L+1)^2.4 × 1.004^L  (see Building_Levels)</v>
      </c>
      <c r="I444" s="6" t="s">
        <v>260</v>
      </c>
      <c r="J444" s="6" t="s">
        <v>261</v>
      </c>
      <c r="K444" s="6" t="s">
        <v>262</v>
      </c>
    </row>
    <row r="445" customFormat="false" ht="15" hidden="false" customHeight="true" outlineLevel="0" collapsed="false">
      <c r="A445" s="6" t="n">
        <v>7</v>
      </c>
      <c r="B445" s="6" t="s">
        <v>1149</v>
      </c>
      <c r="C445" s="6" t="s">
        <v>342</v>
      </c>
      <c r="D445" s="6" t="s">
        <v>1150</v>
      </c>
      <c r="E445" s="9" t="n">
        <v>1780</v>
      </c>
      <c r="F445" s="9" t="n">
        <v>1760</v>
      </c>
      <c r="G445" s="9" t="n">
        <v>1720</v>
      </c>
      <c r="H445" s="6" t="str">
        <f aca="false">E445&amp;" × (L+1)^2.4 × 1.004^L  (see Building_Levels)"</f>
        <v>1780 × (L+1)^2.4 × 1.004^L  (see Building_Levels)</v>
      </c>
      <c r="I445" s="6" t="s">
        <v>260</v>
      </c>
      <c r="J445" s="6" t="s">
        <v>261</v>
      </c>
      <c r="K445" s="6" t="s">
        <v>262</v>
      </c>
    </row>
    <row r="446" customFormat="false" ht="15" hidden="false" customHeight="true" outlineLevel="0" collapsed="false">
      <c r="A446" s="6" t="n">
        <v>7</v>
      </c>
      <c r="B446" s="6" t="s">
        <v>1151</v>
      </c>
      <c r="C446" s="6" t="s">
        <v>804</v>
      </c>
      <c r="D446" s="6" t="s">
        <v>1152</v>
      </c>
      <c r="E446" s="9" t="n">
        <v>2000</v>
      </c>
      <c r="F446" s="9" t="n">
        <v>1980</v>
      </c>
      <c r="G446" s="9" t="n">
        <v>1920</v>
      </c>
      <c r="H446" s="6" t="str">
        <f aca="false">E446&amp;" × (L+1)^2.4 × 1.004^L  (see Building_Levels)"</f>
        <v>2000 × (L+1)^2.4 × 1.004^L  (see Building_Levels)</v>
      </c>
      <c r="I446" s="6" t="s">
        <v>260</v>
      </c>
      <c r="J446" s="6" t="s">
        <v>261</v>
      </c>
      <c r="K446" s="6" t="s">
        <v>262</v>
      </c>
    </row>
    <row r="447" customFormat="false" ht="15" hidden="false" customHeight="true" outlineLevel="0" collapsed="false">
      <c r="A447" s="6" t="n">
        <v>7</v>
      </c>
      <c r="B447" s="6" t="s">
        <v>1153</v>
      </c>
      <c r="C447" s="6" t="s">
        <v>351</v>
      </c>
      <c r="D447" s="6" t="s">
        <v>1154</v>
      </c>
      <c r="E447" s="9" t="n">
        <v>1750</v>
      </c>
      <c r="F447" s="9" t="n">
        <v>1730</v>
      </c>
      <c r="G447" s="9" t="n">
        <v>1690</v>
      </c>
      <c r="H447" s="6" t="str">
        <f aca="false">E447&amp;" × (L+1)^2.4 × 1.004^L  (see Building_Levels)"</f>
        <v>1750 × (L+1)^2.4 × 1.004^L  (see Building_Levels)</v>
      </c>
      <c r="I447" s="6" t="s">
        <v>260</v>
      </c>
      <c r="J447" s="6" t="s">
        <v>261</v>
      </c>
      <c r="K447" s="6" t="s">
        <v>262</v>
      </c>
    </row>
    <row r="448" customFormat="false" ht="15" hidden="false" customHeight="true" outlineLevel="0" collapsed="false">
      <c r="A448" s="6" t="n">
        <v>7</v>
      </c>
      <c r="B448" s="6" t="s">
        <v>1155</v>
      </c>
      <c r="C448" s="6" t="s">
        <v>351</v>
      </c>
      <c r="D448" s="6" t="s">
        <v>1156</v>
      </c>
      <c r="E448" s="9" t="n">
        <v>1720</v>
      </c>
      <c r="F448" s="9" t="n">
        <v>1700</v>
      </c>
      <c r="G448" s="9" t="n">
        <v>1660</v>
      </c>
      <c r="H448" s="6" t="str">
        <f aca="false">E448&amp;" × (L+1)^2.4 × 1.004^L  (see Building_Levels)"</f>
        <v>1720 × (L+1)^2.4 × 1.004^L  (see Building_Levels)</v>
      </c>
      <c r="I448" s="6" t="s">
        <v>260</v>
      </c>
      <c r="J448" s="6" t="s">
        <v>261</v>
      </c>
      <c r="K448" s="6" t="s">
        <v>262</v>
      </c>
    </row>
    <row r="449" customFormat="false" ht="15" hidden="false" customHeight="true" outlineLevel="0" collapsed="false">
      <c r="A449" s="6" t="n">
        <v>7</v>
      </c>
      <c r="B449" s="6" t="s">
        <v>1157</v>
      </c>
      <c r="C449" s="6" t="s">
        <v>371</v>
      </c>
      <c r="D449" s="6" t="s">
        <v>1158</v>
      </c>
      <c r="E449" s="9" t="n">
        <v>1700</v>
      </c>
      <c r="F449" s="9" t="n">
        <v>1680</v>
      </c>
      <c r="G449" s="9" t="n">
        <v>1640</v>
      </c>
      <c r="H449" s="6" t="str">
        <f aca="false">E449&amp;" × (L+1)^2.4 × 1.004^L  (see Building_Levels)"</f>
        <v>1700 × (L+1)^2.4 × 1.004^L  (see Building_Levels)</v>
      </c>
      <c r="I449" s="6" t="s">
        <v>260</v>
      </c>
      <c r="J449" s="6" t="s">
        <v>261</v>
      </c>
      <c r="K449" s="6" t="s">
        <v>262</v>
      </c>
    </row>
    <row r="450" customFormat="false" ht="15" hidden="false" customHeight="true" outlineLevel="0" collapsed="false">
      <c r="A450" s="6" t="n">
        <v>7</v>
      </c>
      <c r="B450" s="6" t="s">
        <v>1159</v>
      </c>
      <c r="C450" s="6" t="s">
        <v>371</v>
      </c>
      <c r="D450" s="6" t="s">
        <v>1160</v>
      </c>
      <c r="E450" s="9" t="n">
        <v>1760</v>
      </c>
      <c r="F450" s="9" t="n">
        <v>1740</v>
      </c>
      <c r="G450" s="9" t="n">
        <v>1700</v>
      </c>
      <c r="H450" s="6" t="str">
        <f aca="false">E450&amp;" × (L+1)^2.4 × 1.004^L  (see Building_Levels)"</f>
        <v>1760 × (L+1)^2.4 × 1.004^L  (see Building_Levels)</v>
      </c>
      <c r="I450" s="6" t="s">
        <v>260</v>
      </c>
      <c r="J450" s="6" t="s">
        <v>261</v>
      </c>
      <c r="K450" s="6" t="s">
        <v>262</v>
      </c>
    </row>
    <row r="451" customFormat="false" ht="15" hidden="false" customHeight="true" outlineLevel="0" collapsed="false">
      <c r="A451" s="6" t="n">
        <v>7</v>
      </c>
      <c r="B451" s="6" t="s">
        <v>1161</v>
      </c>
      <c r="C451" s="6" t="s">
        <v>371</v>
      </c>
      <c r="D451" s="6" t="s">
        <v>1162</v>
      </c>
      <c r="E451" s="9" t="n">
        <v>1680</v>
      </c>
      <c r="F451" s="9" t="n">
        <v>1660</v>
      </c>
      <c r="G451" s="9" t="n">
        <v>1620</v>
      </c>
      <c r="H451" s="6" t="str">
        <f aca="false">E451&amp;" × (L+1)^2.4 × 1.004^L  (see Building_Levels)"</f>
        <v>1680 × (L+1)^2.4 × 1.004^L  (see Building_Levels)</v>
      </c>
      <c r="I451" s="6" t="s">
        <v>260</v>
      </c>
      <c r="J451" s="6" t="s">
        <v>261</v>
      </c>
      <c r="K451" s="6" t="s">
        <v>262</v>
      </c>
    </row>
    <row r="452" customFormat="false" ht="15" hidden="false" customHeight="true" outlineLevel="0" collapsed="false">
      <c r="A452" s="6" t="n">
        <v>7</v>
      </c>
      <c r="B452" s="6" t="s">
        <v>1163</v>
      </c>
      <c r="C452" s="6" t="s">
        <v>371</v>
      </c>
      <c r="D452" s="6" t="s">
        <v>1164</v>
      </c>
      <c r="E452" s="9" t="n">
        <v>1740</v>
      </c>
      <c r="F452" s="9" t="n">
        <v>1720</v>
      </c>
      <c r="G452" s="9" t="n">
        <v>1680</v>
      </c>
      <c r="H452" s="6" t="str">
        <f aca="false">E452&amp;" × (L+1)^2.4 × 1.004^L  (see Building_Levels)"</f>
        <v>1740 × (L+1)^2.4 × 1.004^L  (see Building_Levels)</v>
      </c>
      <c r="I452" s="6" t="s">
        <v>260</v>
      </c>
      <c r="J452" s="6" t="s">
        <v>261</v>
      </c>
      <c r="K452" s="6" t="s">
        <v>262</v>
      </c>
    </row>
    <row r="453" customFormat="false" ht="15" hidden="false" customHeight="true" outlineLevel="0" collapsed="false">
      <c r="A453" s="6" t="n">
        <v>7</v>
      </c>
      <c r="B453" s="6" t="s">
        <v>1165</v>
      </c>
      <c r="C453" s="6" t="s">
        <v>23</v>
      </c>
      <c r="D453" s="6" t="s">
        <v>1166</v>
      </c>
      <c r="E453" s="9" t="n">
        <v>1820</v>
      </c>
      <c r="F453" s="9" t="n">
        <v>1800</v>
      </c>
      <c r="G453" s="9" t="n">
        <v>1780</v>
      </c>
      <c r="H453" s="6" t="str">
        <f aca="false">E453&amp;" × (L+1)^2.4 × 1.004^L  (see Building_Levels)"</f>
        <v>1820 × (L+1)^2.4 × 1.004^L  (see Building_Levels)</v>
      </c>
      <c r="I453" s="6" t="s">
        <v>260</v>
      </c>
      <c r="J453" s="6" t="s">
        <v>261</v>
      </c>
      <c r="K453" s="6" t="s">
        <v>262</v>
      </c>
    </row>
    <row r="454" customFormat="false" ht="15" hidden="false" customHeight="true" outlineLevel="0" collapsed="false">
      <c r="A454" s="6" t="n">
        <v>7</v>
      </c>
      <c r="B454" s="6" t="s">
        <v>1167</v>
      </c>
      <c r="C454" s="6" t="s">
        <v>342</v>
      </c>
      <c r="D454" s="6" t="s">
        <v>1168</v>
      </c>
      <c r="E454" s="9" t="n">
        <v>1800</v>
      </c>
      <c r="F454" s="9" t="n">
        <v>1780</v>
      </c>
      <c r="G454" s="9" t="n">
        <v>1740</v>
      </c>
      <c r="H454" s="6" t="str">
        <f aca="false">E454&amp;" × (L+1)^2.4 × 1.004^L  (see Building_Levels)"</f>
        <v>1800 × (L+1)^2.4 × 1.004^L  (see Building_Levels)</v>
      </c>
      <c r="I454" s="6" t="s">
        <v>260</v>
      </c>
      <c r="J454" s="6" t="s">
        <v>261</v>
      </c>
      <c r="K454" s="6" t="s">
        <v>262</v>
      </c>
    </row>
    <row r="455" customFormat="false" ht="15" hidden="false" customHeight="true" outlineLevel="0" collapsed="false">
      <c r="A455" s="6" t="n">
        <v>7</v>
      </c>
      <c r="B455" s="6" t="s">
        <v>1169</v>
      </c>
      <c r="C455" s="6" t="s">
        <v>356</v>
      </c>
      <c r="D455" s="6" t="s">
        <v>1170</v>
      </c>
      <c r="E455" s="9" t="n">
        <v>1700</v>
      </c>
      <c r="F455" s="9" t="n">
        <v>1680</v>
      </c>
      <c r="G455" s="9" t="n">
        <v>1640</v>
      </c>
      <c r="H455" s="6" t="str">
        <f aca="false">E455&amp;" × (L+1)^2.4 × 1.004^L  (see Building_Levels)"</f>
        <v>1700 × (L+1)^2.4 × 1.004^L  (see Building_Levels)</v>
      </c>
      <c r="I455" s="6" t="s">
        <v>260</v>
      </c>
      <c r="J455" s="6" t="s">
        <v>261</v>
      </c>
      <c r="K455" s="6" t="s">
        <v>262</v>
      </c>
    </row>
    <row r="456" customFormat="false" ht="15" hidden="false" customHeight="true" outlineLevel="0" collapsed="false">
      <c r="A456" s="6" t="n">
        <v>7</v>
      </c>
      <c r="B456" s="6" t="s">
        <v>1171</v>
      </c>
      <c r="C456" s="6" t="s">
        <v>258</v>
      </c>
      <c r="D456" s="6" t="s">
        <v>1172</v>
      </c>
      <c r="E456" s="9" t="n">
        <v>1720</v>
      </c>
      <c r="F456" s="9" t="n">
        <v>1700</v>
      </c>
      <c r="G456" s="9" t="n">
        <v>1660</v>
      </c>
      <c r="H456" s="6" t="str">
        <f aca="false">E456&amp;" × (L+1)^2.4 × 1.004^L  (see Building_Levels)"</f>
        <v>1720 × (L+1)^2.4 × 1.004^L  (see Building_Levels)</v>
      </c>
      <c r="I456" s="6" t="s">
        <v>260</v>
      </c>
      <c r="J456" s="6" t="s">
        <v>261</v>
      </c>
      <c r="K456" s="6" t="s">
        <v>262</v>
      </c>
    </row>
    <row r="457" customFormat="false" ht="15" hidden="false" customHeight="true" outlineLevel="0" collapsed="false">
      <c r="A457" s="6" t="n">
        <v>7</v>
      </c>
      <c r="B457" s="6" t="s">
        <v>1173</v>
      </c>
      <c r="C457" s="6" t="s">
        <v>23</v>
      </c>
      <c r="D457" s="6" t="s">
        <v>1174</v>
      </c>
      <c r="E457" s="9" t="n">
        <v>1760</v>
      </c>
      <c r="F457" s="9" t="n">
        <v>1740</v>
      </c>
      <c r="G457" s="9" t="n">
        <v>1720</v>
      </c>
      <c r="H457" s="6" t="str">
        <f aca="false">E457&amp;" × (L+1)^2.4 × 1.004^L  (see Building_Levels)"</f>
        <v>1760 × (L+1)^2.4 × 1.004^L  (see Building_Levels)</v>
      </c>
      <c r="I457" s="6" t="s">
        <v>260</v>
      </c>
      <c r="J457" s="6" t="s">
        <v>261</v>
      </c>
      <c r="K457" s="6" t="s">
        <v>262</v>
      </c>
    </row>
    <row r="458" customFormat="false" ht="15" hidden="false" customHeight="true" outlineLevel="0" collapsed="false">
      <c r="A458" s="6" t="n">
        <v>7</v>
      </c>
      <c r="B458" s="6" t="s">
        <v>1175</v>
      </c>
      <c r="C458" s="6" t="s">
        <v>804</v>
      </c>
      <c r="D458" s="6" t="s">
        <v>1176</v>
      </c>
      <c r="E458" s="9" t="n">
        <v>1900</v>
      </c>
      <c r="F458" s="9" t="n">
        <v>1880</v>
      </c>
      <c r="G458" s="9" t="n">
        <v>1840</v>
      </c>
      <c r="H458" s="6" t="str">
        <f aca="false">E458&amp;" × (L+1)^2.4 × 1.004^L  (see Building_Levels)"</f>
        <v>1900 × (L+1)^2.4 × 1.004^L  (see Building_Levels)</v>
      </c>
      <c r="I458" s="6" t="s">
        <v>260</v>
      </c>
      <c r="J458" s="6" t="s">
        <v>261</v>
      </c>
      <c r="K458" s="6" t="s">
        <v>262</v>
      </c>
    </row>
    <row r="459" customFormat="false" ht="15" hidden="false" customHeight="true" outlineLevel="0" collapsed="false">
      <c r="A459" s="6" t="n">
        <v>7</v>
      </c>
      <c r="B459" s="6" t="s">
        <v>1177</v>
      </c>
      <c r="C459" s="6" t="s">
        <v>23</v>
      </c>
      <c r="D459" s="6" t="s">
        <v>1178</v>
      </c>
      <c r="E459" s="9" t="n">
        <v>1780</v>
      </c>
      <c r="F459" s="9" t="n">
        <v>1760</v>
      </c>
      <c r="G459" s="9" t="n">
        <v>1740</v>
      </c>
      <c r="H459" s="6" t="str">
        <f aca="false">E459&amp;" × (L+1)^2.4 × 1.004^L  (see Building_Levels)"</f>
        <v>1780 × (L+1)^2.4 × 1.004^L  (see Building_Levels)</v>
      </c>
      <c r="I459" s="6" t="s">
        <v>260</v>
      </c>
      <c r="J459" s="6" t="s">
        <v>261</v>
      </c>
      <c r="K459" s="6" t="s">
        <v>262</v>
      </c>
    </row>
    <row r="460" customFormat="false" ht="15" hidden="false" customHeight="true" outlineLevel="0" collapsed="false">
      <c r="A460" s="6" t="n">
        <v>7</v>
      </c>
      <c r="B460" s="6" t="s">
        <v>1179</v>
      </c>
      <c r="C460" s="6" t="s">
        <v>23</v>
      </c>
      <c r="D460" s="6" t="s">
        <v>1180</v>
      </c>
      <c r="E460" s="9" t="n">
        <v>1800</v>
      </c>
      <c r="F460" s="9" t="n">
        <v>1780</v>
      </c>
      <c r="G460" s="9" t="n">
        <v>1760</v>
      </c>
      <c r="H460" s="6" t="str">
        <f aca="false">E460&amp;" × (L+1)^2.4 × 1.004^L  (see Building_Levels)"</f>
        <v>1800 × (L+1)^2.4 × 1.004^L  (see Building_Levels)</v>
      </c>
      <c r="I460" s="6" t="s">
        <v>260</v>
      </c>
      <c r="J460" s="6" t="s">
        <v>261</v>
      </c>
      <c r="K460" s="6" t="s">
        <v>262</v>
      </c>
    </row>
    <row r="461" customFormat="false" ht="15" hidden="false" customHeight="true" outlineLevel="0" collapsed="false">
      <c r="A461" s="6" t="n">
        <v>7</v>
      </c>
      <c r="B461" s="6" t="s">
        <v>1181</v>
      </c>
      <c r="C461" s="6" t="s">
        <v>333</v>
      </c>
      <c r="D461" s="6" t="s">
        <v>1182</v>
      </c>
      <c r="E461" s="9" t="n">
        <v>1850</v>
      </c>
      <c r="F461" s="9" t="n">
        <v>1830</v>
      </c>
      <c r="G461" s="9" t="n">
        <v>1790</v>
      </c>
      <c r="H461" s="6" t="str">
        <f aca="false">E461&amp;" × (L+1)^2.4 × 1.004^L  (see Building_Levels)"</f>
        <v>1850 × (L+1)^2.4 × 1.004^L  (see Building_Levels)</v>
      </c>
      <c r="I461" s="6" t="s">
        <v>260</v>
      </c>
      <c r="J461" s="6" t="s">
        <v>261</v>
      </c>
      <c r="K461" s="6" t="s">
        <v>262</v>
      </c>
    </row>
    <row r="462" customFormat="false" ht="15" hidden="false" customHeight="true" outlineLevel="0" collapsed="false">
      <c r="A462" s="6" t="n">
        <v>7</v>
      </c>
      <c r="B462" s="6" t="s">
        <v>1183</v>
      </c>
      <c r="C462" s="6" t="s">
        <v>371</v>
      </c>
      <c r="D462" s="6" t="s">
        <v>1184</v>
      </c>
      <c r="E462" s="9" t="n">
        <v>1780</v>
      </c>
      <c r="F462" s="9" t="n">
        <v>1760</v>
      </c>
      <c r="G462" s="9" t="n">
        <v>1720</v>
      </c>
      <c r="H462" s="6" t="str">
        <f aca="false">E462&amp;" × (L+1)^2.4 × 1.004^L  (see Building_Levels)"</f>
        <v>1780 × (L+1)^2.4 × 1.004^L  (see Building_Levels)</v>
      </c>
      <c r="I462" s="6" t="s">
        <v>260</v>
      </c>
      <c r="J462" s="6" t="s">
        <v>261</v>
      </c>
      <c r="K462" s="6" t="s">
        <v>262</v>
      </c>
    </row>
    <row r="463" customFormat="false" ht="15" hidden="false" customHeight="true" outlineLevel="0" collapsed="false">
      <c r="A463" s="6" t="n">
        <v>7</v>
      </c>
      <c r="B463" s="6" t="s">
        <v>1185</v>
      </c>
      <c r="C463" s="6" t="s">
        <v>333</v>
      </c>
      <c r="D463" s="6" t="s">
        <v>1186</v>
      </c>
      <c r="E463" s="9" t="n">
        <v>1820</v>
      </c>
      <c r="F463" s="9" t="n">
        <v>1800</v>
      </c>
      <c r="G463" s="9" t="n">
        <v>1760</v>
      </c>
      <c r="H463" s="6" t="str">
        <f aca="false">E463&amp;" × (L+1)^2.4 × 1.004^L  (see Building_Levels)"</f>
        <v>1820 × (L+1)^2.4 × 1.004^L  (see Building_Levels)</v>
      </c>
      <c r="I463" s="6" t="s">
        <v>260</v>
      </c>
      <c r="J463" s="6" t="s">
        <v>261</v>
      </c>
      <c r="K463" s="6" t="s">
        <v>262</v>
      </c>
    </row>
    <row r="464" customFormat="false" ht="15" hidden="false" customHeight="true" outlineLevel="0" collapsed="false">
      <c r="A464" s="6" t="n">
        <v>7</v>
      </c>
      <c r="B464" s="6" t="s">
        <v>1187</v>
      </c>
      <c r="C464" s="6" t="s">
        <v>371</v>
      </c>
      <c r="D464" s="6" t="s">
        <v>1188</v>
      </c>
      <c r="E464" s="9" t="n">
        <v>1660</v>
      </c>
      <c r="F464" s="9" t="n">
        <v>1640</v>
      </c>
      <c r="G464" s="9" t="n">
        <v>1600</v>
      </c>
      <c r="H464" s="6" t="str">
        <f aca="false">E464&amp;" × (L+1)^2.4 × 1.004^L  (see Building_Levels)"</f>
        <v>1660 × (L+1)^2.4 × 1.004^L  (see Building_Levels)</v>
      </c>
      <c r="I464" s="6" t="s">
        <v>260</v>
      </c>
      <c r="J464" s="6" t="s">
        <v>261</v>
      </c>
      <c r="K464" s="6" t="s">
        <v>262</v>
      </c>
    </row>
    <row r="465" customFormat="false" ht="15" hidden="false" customHeight="true" outlineLevel="0" collapsed="false">
      <c r="A465" s="6" t="n">
        <v>7</v>
      </c>
      <c r="B465" s="6" t="s">
        <v>1189</v>
      </c>
      <c r="C465" s="6" t="s">
        <v>356</v>
      </c>
      <c r="D465" s="6" t="s">
        <v>1190</v>
      </c>
      <c r="E465" s="9" t="n">
        <v>1680</v>
      </c>
      <c r="F465" s="9" t="n">
        <v>1660</v>
      </c>
      <c r="G465" s="9" t="n">
        <v>1620</v>
      </c>
      <c r="H465" s="6" t="str">
        <f aca="false">E465&amp;" × (L+1)^2.4 × 1.004^L  (see Building_Levels)"</f>
        <v>1680 × (L+1)^2.4 × 1.004^L  (see Building_Levels)</v>
      </c>
      <c r="I465" s="6" t="s">
        <v>260</v>
      </c>
      <c r="J465" s="6" t="s">
        <v>261</v>
      </c>
      <c r="K465" s="6" t="s">
        <v>262</v>
      </c>
    </row>
    <row r="466" customFormat="false" ht="15" hidden="false" customHeight="true" outlineLevel="0" collapsed="false">
      <c r="A466" s="6" t="n">
        <v>7</v>
      </c>
      <c r="B466" s="6" t="s">
        <v>1191</v>
      </c>
      <c r="C466" s="6" t="s">
        <v>293</v>
      </c>
      <c r="D466" s="6" t="s">
        <v>1192</v>
      </c>
      <c r="E466" s="9" t="n">
        <v>1840</v>
      </c>
      <c r="F466" s="9" t="n">
        <v>1820</v>
      </c>
      <c r="G466" s="9" t="n">
        <v>1780</v>
      </c>
      <c r="H466" s="6" t="str">
        <f aca="false">E466&amp;" × (L+1)^2.4 × 1.004^L  (see Building_Levels)"</f>
        <v>1840 × (L+1)^2.4 × 1.004^L  (see Building_Levels)</v>
      </c>
      <c r="I466" s="6" t="s">
        <v>260</v>
      </c>
      <c r="J466" s="6" t="s">
        <v>261</v>
      </c>
      <c r="K466" s="6" t="s">
        <v>262</v>
      </c>
    </row>
    <row r="467" customFormat="false" ht="15" hidden="false" customHeight="true" outlineLevel="0" collapsed="false">
      <c r="A467" s="6" t="n">
        <v>7</v>
      </c>
      <c r="B467" s="6" t="s">
        <v>1193</v>
      </c>
      <c r="C467" s="6" t="s">
        <v>342</v>
      </c>
      <c r="D467" s="6" t="s">
        <v>1194</v>
      </c>
      <c r="E467" s="9" t="n">
        <v>1760</v>
      </c>
      <c r="F467" s="9" t="n">
        <v>1740</v>
      </c>
      <c r="G467" s="9" t="n">
        <v>1700</v>
      </c>
      <c r="H467" s="6" t="str">
        <f aca="false">E467&amp;" × (L+1)^2.4 × 1.004^L  (see Building_Levels)"</f>
        <v>1760 × (L+1)^2.4 × 1.004^L  (see Building_Levels)</v>
      </c>
      <c r="I467" s="6" t="s">
        <v>260</v>
      </c>
      <c r="J467" s="6" t="s">
        <v>261</v>
      </c>
      <c r="K467" s="6" t="s">
        <v>262</v>
      </c>
    </row>
    <row r="468" customFormat="false" ht="15" hidden="false" customHeight="true" outlineLevel="0" collapsed="false">
      <c r="A468" s="6" t="n">
        <v>7</v>
      </c>
      <c r="B468" s="6" t="s">
        <v>1195</v>
      </c>
      <c r="C468" s="6" t="s">
        <v>264</v>
      </c>
      <c r="D468" s="6" t="s">
        <v>1196</v>
      </c>
      <c r="E468" s="9" t="n">
        <v>1620</v>
      </c>
      <c r="F468" s="9" t="n">
        <v>1600</v>
      </c>
      <c r="G468" s="9" t="n">
        <v>1560</v>
      </c>
      <c r="H468" s="6" t="str">
        <f aca="false">E468&amp;" × (L+1)^2.4 × 1.004^L  (see Building_Levels)"</f>
        <v>1620 × (L+1)^2.4 × 1.004^L  (see Building_Levels)</v>
      </c>
      <c r="I468" s="6" t="s">
        <v>260</v>
      </c>
      <c r="J468" s="6" t="s">
        <v>261</v>
      </c>
      <c r="K468" s="6" t="s">
        <v>262</v>
      </c>
    </row>
    <row r="469" customFormat="false" ht="15" hidden="false" customHeight="true" outlineLevel="0" collapsed="false">
      <c r="A469" s="6" t="n">
        <v>7</v>
      </c>
      <c r="B469" s="6" t="s">
        <v>1197</v>
      </c>
      <c r="C469" s="6" t="s">
        <v>371</v>
      </c>
      <c r="D469" s="6" t="s">
        <v>1198</v>
      </c>
      <c r="E469" s="9" t="n">
        <v>1700</v>
      </c>
      <c r="F469" s="9" t="n">
        <v>1680</v>
      </c>
      <c r="G469" s="9" t="n">
        <v>1640</v>
      </c>
      <c r="H469" s="6" t="str">
        <f aca="false">E469&amp;" × (L+1)^2.4 × 1.004^L  (see Building_Levels)"</f>
        <v>1700 × (L+1)^2.4 × 1.004^L  (see Building_Levels)</v>
      </c>
      <c r="I469" s="6" t="s">
        <v>260</v>
      </c>
      <c r="J469" s="6" t="s">
        <v>261</v>
      </c>
      <c r="K469" s="6" t="s">
        <v>262</v>
      </c>
    </row>
    <row r="470" customFormat="false" ht="15" hidden="false" customHeight="true" outlineLevel="0" collapsed="false">
      <c r="A470" s="6" t="n">
        <v>7</v>
      </c>
      <c r="B470" s="6" t="s">
        <v>1199</v>
      </c>
      <c r="C470" s="6" t="s">
        <v>371</v>
      </c>
      <c r="D470" s="6" t="s">
        <v>1200</v>
      </c>
      <c r="E470" s="9" t="n">
        <v>1640</v>
      </c>
      <c r="F470" s="9" t="n">
        <v>1620</v>
      </c>
      <c r="G470" s="9" t="n">
        <v>1580</v>
      </c>
      <c r="H470" s="6" t="str">
        <f aca="false">E470&amp;" × (L+1)^2.4 × 1.004^L  (see Building_Levels)"</f>
        <v>1640 × (L+1)^2.4 × 1.004^L  (see Building_Levels)</v>
      </c>
      <c r="I470" s="6" t="s">
        <v>260</v>
      </c>
      <c r="J470" s="6" t="s">
        <v>261</v>
      </c>
      <c r="K470" s="6" t="s">
        <v>262</v>
      </c>
    </row>
    <row r="471" customFormat="false" ht="15" hidden="false" customHeight="true" outlineLevel="0" collapsed="false">
      <c r="A471" s="6" t="n">
        <v>7</v>
      </c>
      <c r="B471" s="6" t="s">
        <v>1201</v>
      </c>
      <c r="C471" s="6" t="s">
        <v>23</v>
      </c>
      <c r="D471" s="6" t="s">
        <v>1202</v>
      </c>
      <c r="E471" s="9" t="n">
        <v>1790</v>
      </c>
      <c r="F471" s="9" t="n">
        <v>1770</v>
      </c>
      <c r="G471" s="9" t="n">
        <v>1750</v>
      </c>
      <c r="H471" s="6" t="str">
        <f aca="false">E471&amp;" × (L+1)^2.4 × 1.004^L  (see Building_Levels)"</f>
        <v>1790 × (L+1)^2.4 × 1.004^L  (see Building_Levels)</v>
      </c>
      <c r="I471" s="6" t="s">
        <v>260</v>
      </c>
      <c r="J471" s="6" t="s">
        <v>261</v>
      </c>
      <c r="K471" s="6" t="s">
        <v>262</v>
      </c>
    </row>
    <row r="472" customFormat="false" ht="15" hidden="false" customHeight="true" outlineLevel="0" collapsed="false">
      <c r="A472" s="6" t="n">
        <v>7</v>
      </c>
      <c r="B472" s="6" t="s">
        <v>1203</v>
      </c>
      <c r="C472" s="6" t="s">
        <v>342</v>
      </c>
      <c r="D472" s="6" t="s">
        <v>1204</v>
      </c>
      <c r="E472" s="9" t="n">
        <v>1740</v>
      </c>
      <c r="F472" s="9" t="n">
        <v>1720</v>
      </c>
      <c r="G472" s="9" t="n">
        <v>1680</v>
      </c>
      <c r="H472" s="6" t="str">
        <f aca="false">E472&amp;" × (L+1)^2.4 × 1.004^L  (see Building_Levels)"</f>
        <v>1740 × (L+1)^2.4 × 1.004^L  (see Building_Levels)</v>
      </c>
      <c r="I472" s="6" t="s">
        <v>260</v>
      </c>
      <c r="J472" s="6" t="s">
        <v>261</v>
      </c>
      <c r="K472" s="6" t="s">
        <v>262</v>
      </c>
    </row>
    <row r="473" customFormat="false" ht="15" hidden="false" customHeight="true" outlineLevel="0" collapsed="false">
      <c r="A473" s="6" t="n">
        <v>7</v>
      </c>
      <c r="B473" s="6" t="s">
        <v>1205</v>
      </c>
      <c r="C473" s="6" t="s">
        <v>356</v>
      </c>
      <c r="D473" s="6" t="s">
        <v>1206</v>
      </c>
      <c r="E473" s="9" t="n">
        <v>1730</v>
      </c>
      <c r="F473" s="9" t="n">
        <v>1710</v>
      </c>
      <c r="G473" s="9" t="n">
        <v>1670</v>
      </c>
      <c r="H473" s="6" t="str">
        <f aca="false">E473&amp;" × (L+1)^2.4 × 1.004^L  (see Building_Levels)"</f>
        <v>1730 × (L+1)^2.4 × 1.004^L  (see Building_Levels)</v>
      </c>
      <c r="I473" s="6" t="s">
        <v>260</v>
      </c>
      <c r="J473" s="6" t="s">
        <v>261</v>
      </c>
      <c r="K473" s="6" t="s">
        <v>262</v>
      </c>
    </row>
    <row r="474" customFormat="false" ht="15" hidden="false" customHeight="true" outlineLevel="0" collapsed="false">
      <c r="A474" s="6" t="n">
        <v>7</v>
      </c>
      <c r="B474" s="6" t="s">
        <v>1207</v>
      </c>
      <c r="C474" s="6" t="s">
        <v>356</v>
      </c>
      <c r="D474" s="6" t="s">
        <v>1208</v>
      </c>
      <c r="E474" s="9" t="n">
        <v>1690</v>
      </c>
      <c r="F474" s="9" t="n">
        <v>1670</v>
      </c>
      <c r="G474" s="9" t="n">
        <v>1630</v>
      </c>
      <c r="H474" s="6" t="str">
        <f aca="false">E474&amp;" × (L+1)^2.4 × 1.004^L  (see Building_Levels)"</f>
        <v>1690 × (L+1)^2.4 × 1.004^L  (see Building_Levels)</v>
      </c>
      <c r="I474" s="6" t="s">
        <v>260</v>
      </c>
      <c r="J474" s="6" t="s">
        <v>261</v>
      </c>
      <c r="K474" s="6" t="s">
        <v>262</v>
      </c>
    </row>
    <row r="475" customFormat="false" ht="15" hidden="false" customHeight="true" outlineLevel="0" collapsed="false">
      <c r="A475" s="6" t="n">
        <v>7</v>
      </c>
      <c r="B475" s="6" t="s">
        <v>1209</v>
      </c>
      <c r="C475" s="6" t="s">
        <v>23</v>
      </c>
      <c r="D475" s="6" t="s">
        <v>1210</v>
      </c>
      <c r="E475" s="9" t="n">
        <v>1770</v>
      </c>
      <c r="F475" s="9" t="n">
        <v>1750</v>
      </c>
      <c r="G475" s="9" t="n">
        <v>1730</v>
      </c>
      <c r="H475" s="6" t="str">
        <f aca="false">E475&amp;" × (L+1)^2.4 × 1.004^L  (see Building_Levels)"</f>
        <v>1770 × (L+1)^2.4 × 1.004^L  (see Building_Levels)</v>
      </c>
      <c r="I475" s="6" t="s">
        <v>260</v>
      </c>
      <c r="J475" s="6" t="s">
        <v>261</v>
      </c>
      <c r="K475" s="6" t="s">
        <v>262</v>
      </c>
    </row>
    <row r="476" customFormat="false" ht="15" hidden="false" customHeight="true" outlineLevel="0" collapsed="false">
      <c r="A476" s="6" t="n">
        <v>7</v>
      </c>
      <c r="B476" s="6" t="s">
        <v>1211</v>
      </c>
      <c r="C476" s="6" t="s">
        <v>351</v>
      </c>
      <c r="D476" s="6" t="s">
        <v>1212</v>
      </c>
      <c r="E476" s="9" t="n">
        <v>1710</v>
      </c>
      <c r="F476" s="9" t="n">
        <v>1690</v>
      </c>
      <c r="G476" s="9" t="n">
        <v>1650</v>
      </c>
      <c r="H476" s="6" t="str">
        <f aca="false">E476&amp;" × (L+1)^2.4 × 1.004^L  (see Building_Levels)"</f>
        <v>1710 × (L+1)^2.4 × 1.004^L  (see Building_Levels)</v>
      </c>
      <c r="I476" s="6" t="s">
        <v>260</v>
      </c>
      <c r="J476" s="6" t="s">
        <v>261</v>
      </c>
      <c r="K476" s="6" t="s">
        <v>262</v>
      </c>
    </row>
    <row r="477" customFormat="false" ht="15" hidden="false" customHeight="true" outlineLevel="0" collapsed="false">
      <c r="A477" s="6" t="n">
        <v>7</v>
      </c>
      <c r="B477" s="6" t="s">
        <v>1213</v>
      </c>
      <c r="C477" s="6" t="s">
        <v>333</v>
      </c>
      <c r="D477" s="6" t="s">
        <v>1214</v>
      </c>
      <c r="E477" s="9" t="n">
        <v>1830</v>
      </c>
      <c r="F477" s="9" t="n">
        <v>1810</v>
      </c>
      <c r="G477" s="9" t="n">
        <v>1770</v>
      </c>
      <c r="H477" s="6" t="str">
        <f aca="false">E477&amp;" × (L+1)^2.4 × 1.004^L  (see Building_Levels)"</f>
        <v>1830 × (L+1)^2.4 × 1.004^L  (see Building_Levels)</v>
      </c>
      <c r="I477" s="6" t="s">
        <v>260</v>
      </c>
      <c r="J477" s="6" t="s">
        <v>261</v>
      </c>
      <c r="K477" s="6" t="s">
        <v>262</v>
      </c>
    </row>
    <row r="478" customFormat="false" ht="15" hidden="false" customHeight="true" outlineLevel="0" collapsed="false">
      <c r="A478" s="6" t="n">
        <v>7</v>
      </c>
      <c r="B478" s="6" t="s">
        <v>1215</v>
      </c>
      <c r="C478" s="6" t="s">
        <v>293</v>
      </c>
      <c r="D478" s="6" t="s">
        <v>1216</v>
      </c>
      <c r="E478" s="9" t="n">
        <v>1860</v>
      </c>
      <c r="F478" s="9" t="n">
        <v>1840</v>
      </c>
      <c r="G478" s="9" t="n">
        <v>1800</v>
      </c>
      <c r="H478" s="6" t="str">
        <f aca="false">E478&amp;" × (L+1)^2.4 × 1.004^L  (see Building_Levels)"</f>
        <v>1860 × (L+1)^2.4 × 1.004^L  (see Building_Levels)</v>
      </c>
      <c r="I478" s="6" t="s">
        <v>260</v>
      </c>
      <c r="J478" s="6" t="s">
        <v>261</v>
      </c>
      <c r="K478" s="6" t="s">
        <v>262</v>
      </c>
    </row>
    <row r="479" customFormat="false" ht="15" hidden="false" customHeight="true" outlineLevel="0" collapsed="false">
      <c r="A479" s="6" t="n">
        <v>7</v>
      </c>
      <c r="B479" s="6" t="s">
        <v>1217</v>
      </c>
      <c r="C479" s="6" t="s">
        <v>342</v>
      </c>
      <c r="D479" s="6" t="s">
        <v>1218</v>
      </c>
      <c r="E479" s="9" t="n">
        <v>1880</v>
      </c>
      <c r="F479" s="9" t="n">
        <v>1860</v>
      </c>
      <c r="G479" s="9" t="n">
        <v>1820</v>
      </c>
      <c r="H479" s="6" t="str">
        <f aca="false">E479&amp;" × (L+1)^2.4 × 1.004^L  (see Building_Levels)"</f>
        <v>1880 × (L+1)^2.4 × 1.004^L  (see Building_Levels)</v>
      </c>
      <c r="I479" s="6" t="s">
        <v>260</v>
      </c>
      <c r="J479" s="6" t="s">
        <v>261</v>
      </c>
      <c r="K479" s="6" t="s">
        <v>262</v>
      </c>
    </row>
    <row r="480" customFormat="false" ht="15" hidden="false" customHeight="true" outlineLevel="0" collapsed="false">
      <c r="A480" s="6" t="n">
        <v>7</v>
      </c>
      <c r="B480" s="6" t="s">
        <v>1219</v>
      </c>
      <c r="C480" s="6" t="s">
        <v>804</v>
      </c>
      <c r="D480" s="6" t="s">
        <v>1220</v>
      </c>
      <c r="E480" s="9" t="n">
        <v>2120</v>
      </c>
      <c r="F480" s="9" t="n">
        <v>2100</v>
      </c>
      <c r="G480" s="9" t="n">
        <v>2040</v>
      </c>
      <c r="H480" s="6" t="str">
        <f aca="false">E480&amp;" × (L+1)^2.4 × 1.004^L  (see Building_Levels)"</f>
        <v>2120 × (L+1)^2.4 × 1.004^L  (see Building_Levels)</v>
      </c>
      <c r="I480" s="6" t="s">
        <v>260</v>
      </c>
      <c r="J480" s="6" t="s">
        <v>261</v>
      </c>
      <c r="K480" s="6" t="s">
        <v>262</v>
      </c>
    </row>
    <row r="481" customFormat="false" ht="15" hidden="false" customHeight="true" outlineLevel="0" collapsed="false">
      <c r="A481" s="6" t="n">
        <v>7</v>
      </c>
      <c r="B481" s="6" t="s">
        <v>1221</v>
      </c>
      <c r="C481" s="6" t="s">
        <v>23</v>
      </c>
      <c r="D481" s="6" t="s">
        <v>1222</v>
      </c>
      <c r="E481" s="9" t="n">
        <v>1810</v>
      </c>
      <c r="F481" s="9" t="n">
        <v>1790</v>
      </c>
      <c r="G481" s="9" t="n">
        <v>1770</v>
      </c>
      <c r="H481" s="6" t="str">
        <f aca="false">E481&amp;" × (L+1)^2.4 × 1.004^L  (see Building_Levels)"</f>
        <v>1810 × (L+1)^2.4 × 1.004^L  (see Building_Levels)</v>
      </c>
      <c r="I481" s="6" t="s">
        <v>260</v>
      </c>
      <c r="J481" s="6" t="s">
        <v>261</v>
      </c>
      <c r="K481" s="6" t="s">
        <v>262</v>
      </c>
    </row>
    <row r="482" customFormat="false" ht="15" hidden="false" customHeight="true" outlineLevel="0" collapsed="false">
      <c r="A482" s="6" t="n">
        <v>7</v>
      </c>
      <c r="B482" s="6" t="s">
        <v>1223</v>
      </c>
      <c r="C482" s="6" t="s">
        <v>371</v>
      </c>
      <c r="D482" s="6" t="s">
        <v>1224</v>
      </c>
      <c r="E482" s="9" t="n">
        <v>1650</v>
      </c>
      <c r="F482" s="9" t="n">
        <v>1630</v>
      </c>
      <c r="G482" s="9" t="n">
        <v>1590</v>
      </c>
      <c r="H482" s="6" t="str">
        <f aca="false">E482&amp;" × (L+1)^2.4 × 1.004^L  (see Building_Levels)"</f>
        <v>1650 × (L+1)^2.4 × 1.004^L  (see Building_Levels)</v>
      </c>
      <c r="I482" s="6" t="s">
        <v>260</v>
      </c>
      <c r="J482" s="6" t="s">
        <v>261</v>
      </c>
      <c r="K482" s="6" t="s">
        <v>262</v>
      </c>
    </row>
    <row r="483" customFormat="false" ht="15" hidden="false" customHeight="true" outlineLevel="0" collapsed="false">
      <c r="A483" s="6" t="n">
        <v>7</v>
      </c>
      <c r="B483" s="6" t="s">
        <v>1225</v>
      </c>
      <c r="C483" s="6" t="s">
        <v>356</v>
      </c>
      <c r="D483" s="6" t="s">
        <v>1226</v>
      </c>
      <c r="E483" s="9" t="n">
        <v>1670</v>
      </c>
      <c r="F483" s="9" t="n">
        <v>1650</v>
      </c>
      <c r="G483" s="9" t="n">
        <v>1610</v>
      </c>
      <c r="H483" s="6" t="str">
        <f aca="false">E483&amp;" × (L+1)^2.4 × 1.004^L  (see Building_Levels)"</f>
        <v>1670 × (L+1)^2.4 × 1.004^L  (see Building_Levels)</v>
      </c>
      <c r="I483" s="6" t="s">
        <v>260</v>
      </c>
      <c r="J483" s="6" t="s">
        <v>261</v>
      </c>
      <c r="K483" s="6" t="s">
        <v>262</v>
      </c>
    </row>
    <row r="484" customFormat="false" ht="15" hidden="false" customHeight="true" outlineLevel="0" collapsed="false">
      <c r="A484" s="6" t="n">
        <v>7</v>
      </c>
      <c r="B484" s="6" t="s">
        <v>1227</v>
      </c>
      <c r="C484" s="6" t="s">
        <v>371</v>
      </c>
      <c r="D484" s="6" t="s">
        <v>1228</v>
      </c>
      <c r="E484" s="9" t="n">
        <v>1690</v>
      </c>
      <c r="F484" s="9" t="n">
        <v>1670</v>
      </c>
      <c r="G484" s="9" t="n">
        <v>1630</v>
      </c>
      <c r="H484" s="6" t="str">
        <f aca="false">E484&amp;" × (L+1)^2.4 × 1.004^L  (see Building_Levels)"</f>
        <v>1690 × (L+1)^2.4 × 1.004^L  (see Building_Levels)</v>
      </c>
      <c r="I484" s="6" t="s">
        <v>260</v>
      </c>
      <c r="J484" s="6" t="s">
        <v>261</v>
      </c>
      <c r="K484" s="6" t="s">
        <v>262</v>
      </c>
    </row>
    <row r="486" customFormat="false" ht="15" hidden="false" customHeight="true" outlineLevel="0" collapsed="false">
      <c r="B486" s="7" t="s">
        <v>1229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6" min="3" style="1" width="18"/>
    <col collapsed="false" customWidth="true" hidden="false" outlineLevel="0" max="7" min="7" style="1" width="16"/>
  </cols>
  <sheetData>
    <row r="1" customFormat="false" ht="15" hidden="false" customHeight="true" outlineLevel="0" collapsed="false">
      <c r="A1" s="3" t="s">
        <v>1230</v>
      </c>
      <c r="D1" s="10" t="s">
        <v>257</v>
      </c>
    </row>
    <row r="2" customFormat="false" ht="15" hidden="false" customHeight="true" outlineLevel="0" collapsed="false">
      <c r="A2" s="6" t="s">
        <v>250</v>
      </c>
      <c r="B2" s="6" t="n">
        <f aca="false">INDEX(Buildings_Master!E:E, MATCH($D$1, Buildings_Master!B:B, 0))</f>
        <v>90</v>
      </c>
      <c r="C2" s="6" t="s">
        <v>251</v>
      </c>
      <c r="D2" s="6" t="n">
        <f aca="false">INDEX(Buildings_Master!F:F, MATCH($D$1, Buildings_Master!B:B, 0))</f>
        <v>80</v>
      </c>
      <c r="E2" s="6" t="s">
        <v>252</v>
      </c>
      <c r="F2" s="6" t="n">
        <f aca="false">INDEX(Buildings_Master!G:G, MATCH($D$1, Buildings_Master!B:B, 0))</f>
        <v>70</v>
      </c>
      <c r="G2" s="3" t="s">
        <v>1231</v>
      </c>
      <c r="H2" s="6" t="n">
        <f aca="false">SUM(F5:F1342)/8766</f>
        <v>500.000013689254</v>
      </c>
    </row>
    <row r="4" customFormat="false" ht="15" hidden="false" customHeight="true" outlineLevel="0" collapsed="false">
      <c r="A4" s="8" t="s">
        <v>237</v>
      </c>
      <c r="B4" s="8" t="s">
        <v>75</v>
      </c>
      <c r="C4" s="8" t="s">
        <v>1232</v>
      </c>
      <c r="D4" s="8" t="s">
        <v>1233</v>
      </c>
      <c r="E4" s="8" t="s">
        <v>1234</v>
      </c>
      <c r="F4" s="8" t="s">
        <v>1235</v>
      </c>
      <c r="G4" s="8" t="s">
        <v>1236</v>
      </c>
    </row>
    <row r="5" customFormat="false" ht="15" hidden="false" customHeight="true" outlineLevel="0" collapsed="false">
      <c r="A5" s="6" t="n">
        <v>0</v>
      </c>
      <c r="B5" s="6" t="n">
        <f aca="false">MIN(42, FLOOR(A5/32,1)+1)</f>
        <v>1</v>
      </c>
      <c r="C5" s="6" t="n">
        <f aca="false">ROUND($B$2*(A5+1)^2.4*1.004^A5,0)</f>
        <v>90</v>
      </c>
      <c r="D5" s="6" t="n">
        <f aca="false">ROUND($D$2*(A5+1)^2.4*1.004^A5,0)</f>
        <v>80</v>
      </c>
      <c r="E5" s="6" t="n">
        <f aca="false">ROUND($F$2*(A5+1)^2.4*1.004^A5,0)</f>
        <v>70</v>
      </c>
      <c r="F5" s="6" t="n">
        <f aca="false">ROUND(Building_Levels!$I$2*(A5+1)^1.9*1.003^A5,2)</f>
        <v>0</v>
      </c>
      <c r="G5" s="6" t="n">
        <f aca="false">ROUND((A5+1)^1.12,1)</f>
        <v>1</v>
      </c>
    </row>
    <row r="6" customFormat="false" ht="15" hidden="false" customHeight="true" outlineLevel="0" collapsed="false">
      <c r="A6" s="6" t="n">
        <v>1</v>
      </c>
      <c r="B6" s="6" t="n">
        <f aca="false">MIN(42, FLOOR(A6/32,1)+1)</f>
        <v>1</v>
      </c>
      <c r="C6" s="6" t="n">
        <f aca="false">ROUND($B$2*(A6+1)^2.4*1.004^A6,0)</f>
        <v>477</v>
      </c>
      <c r="D6" s="6" t="n">
        <f aca="false">ROUND($D$2*(A6+1)^2.4*1.004^A6,0)</f>
        <v>424</v>
      </c>
      <c r="E6" s="6" t="n">
        <f aca="false">ROUND($F$2*(A6+1)^2.4*1.004^A6,0)</f>
        <v>371</v>
      </c>
      <c r="F6" s="6" t="n">
        <f aca="false">ROUND(Building_Levels!$I$2*(A6+1)^1.9*1.003^A6,2)</f>
        <v>0</v>
      </c>
      <c r="G6" s="6" t="n">
        <f aca="false">ROUND((A6+1)^1.12,1)</f>
        <v>2.2</v>
      </c>
    </row>
    <row r="7" customFormat="false" ht="15" hidden="false" customHeight="true" outlineLevel="0" collapsed="false">
      <c r="A7" s="6" t="n">
        <v>2</v>
      </c>
      <c r="B7" s="6" t="n">
        <f aca="false">MIN(42, FLOOR(A7/32,1)+1)</f>
        <v>1</v>
      </c>
      <c r="C7" s="6" t="n">
        <f aca="false">ROUND($B$2*(A7+1)^2.4*1.004^A7,0)</f>
        <v>1267</v>
      </c>
      <c r="D7" s="6" t="n">
        <f aca="false">ROUND($D$2*(A7+1)^2.4*1.004^A7,0)</f>
        <v>1126</v>
      </c>
      <c r="E7" s="6" t="n">
        <f aca="false">ROUND($F$2*(A7+1)^2.4*1.004^A7,0)</f>
        <v>985</v>
      </c>
      <c r="F7" s="6" t="n">
        <f aca="false">ROUND(Building_Levels!$I$2*(A7+1)^1.9*1.003^A7,2)</f>
        <v>0</v>
      </c>
      <c r="G7" s="6" t="n">
        <f aca="false">ROUND((A7+1)^1.12,1)</f>
        <v>3.4</v>
      </c>
    </row>
    <row r="8" customFormat="false" ht="15" hidden="false" customHeight="true" outlineLevel="0" collapsed="false">
      <c r="A8" s="6" t="n">
        <v>3</v>
      </c>
      <c r="B8" s="6" t="n">
        <f aca="false">MIN(42, FLOOR(A8/32,1)+1)</f>
        <v>1</v>
      </c>
      <c r="C8" s="6" t="n">
        <f aca="false">ROUND($B$2*(A8+1)^2.4*1.004^A8,0)</f>
        <v>2537</v>
      </c>
      <c r="D8" s="6" t="n">
        <f aca="false">ROUND($D$2*(A8+1)^2.4*1.004^A8,0)</f>
        <v>2255</v>
      </c>
      <c r="E8" s="6" t="n">
        <f aca="false">ROUND($F$2*(A8+1)^2.4*1.004^A8,0)</f>
        <v>1974</v>
      </c>
      <c r="F8" s="6" t="n">
        <f aca="false">ROUND(Building_Levels!$I$2*(A8+1)^1.9*1.003^A8,2)</f>
        <v>0.01</v>
      </c>
      <c r="G8" s="6" t="n">
        <f aca="false">ROUND((A8+1)^1.12,1)</f>
        <v>4.7</v>
      </c>
    </row>
    <row r="9" customFormat="false" ht="15" hidden="false" customHeight="true" outlineLevel="0" collapsed="false">
      <c r="A9" s="6" t="n">
        <v>4</v>
      </c>
      <c r="B9" s="6" t="n">
        <f aca="false">MIN(42, FLOOR(A9/32,1)+1)</f>
        <v>1</v>
      </c>
      <c r="C9" s="6" t="n">
        <f aca="false">ROUND($B$2*(A9+1)^2.4*1.004^A9,0)</f>
        <v>4352</v>
      </c>
      <c r="D9" s="6" t="n">
        <f aca="false">ROUND($D$2*(A9+1)^2.4*1.004^A9,0)</f>
        <v>3869</v>
      </c>
      <c r="E9" s="6" t="n">
        <f aca="false">ROUND($F$2*(A9+1)^2.4*1.004^A9,0)</f>
        <v>3385</v>
      </c>
      <c r="F9" s="6" t="n">
        <f aca="false">ROUND(Building_Levels!$I$2*(A9+1)^1.9*1.003^A9,2)</f>
        <v>0.01</v>
      </c>
      <c r="G9" s="6" t="n">
        <f aca="false">ROUND((A9+1)^1.12,1)</f>
        <v>6.1</v>
      </c>
    </row>
    <row r="10" customFormat="false" ht="15" hidden="false" customHeight="true" outlineLevel="0" collapsed="false">
      <c r="A10" s="6" t="n">
        <v>5</v>
      </c>
      <c r="B10" s="6" t="n">
        <f aca="false">MIN(42, FLOOR(A10/32,1)+1)</f>
        <v>1</v>
      </c>
      <c r="C10" s="6" t="n">
        <f aca="false">ROUND($B$2*(A10+1)^2.4*1.004^A10,0)</f>
        <v>6768</v>
      </c>
      <c r="D10" s="6" t="n">
        <f aca="false">ROUND($D$2*(A10+1)^2.4*1.004^A10,0)</f>
        <v>6016</v>
      </c>
      <c r="E10" s="6" t="n">
        <f aca="false">ROUND($F$2*(A10+1)^2.4*1.004^A10,0)</f>
        <v>5264</v>
      </c>
      <c r="F10" s="6" t="n">
        <f aca="false">ROUND(Building_Levels!$I$2*(A10+1)^1.9*1.003^A10,2)</f>
        <v>0.01</v>
      </c>
      <c r="G10" s="6" t="n">
        <f aca="false">ROUND((A10+1)^1.12,1)</f>
        <v>7.4</v>
      </c>
    </row>
    <row r="11" customFormat="false" ht="15" hidden="false" customHeight="true" outlineLevel="0" collapsed="false">
      <c r="A11" s="6" t="n">
        <v>6</v>
      </c>
      <c r="B11" s="6" t="n">
        <f aca="false">MIN(42, FLOOR(A11/32,1)+1)</f>
        <v>1</v>
      </c>
      <c r="C11" s="6" t="n">
        <f aca="false">ROUND($B$2*(A11+1)^2.4*1.004^A11,0)</f>
        <v>9837</v>
      </c>
      <c r="D11" s="6" t="n">
        <f aca="false">ROUND($D$2*(A11+1)^2.4*1.004^A11,0)</f>
        <v>8744</v>
      </c>
      <c r="E11" s="6" t="n">
        <f aca="false">ROUND($F$2*(A11+1)^2.4*1.004^A11,0)</f>
        <v>7651</v>
      </c>
      <c r="F11" s="6" t="n">
        <f aca="false">ROUND(Building_Levels!$I$2*(A11+1)^1.9*1.003^A11,2)</f>
        <v>0.02</v>
      </c>
      <c r="G11" s="6" t="n">
        <f aca="false">ROUND((A11+1)^1.12,1)</f>
        <v>8.8</v>
      </c>
    </row>
    <row r="12" customFormat="false" ht="15" hidden="false" customHeight="true" outlineLevel="0" collapsed="false">
      <c r="A12" s="6" t="n">
        <v>7</v>
      </c>
      <c r="B12" s="6" t="n">
        <f aca="false">MIN(42, FLOOR(A12/32,1)+1)</f>
        <v>1</v>
      </c>
      <c r="C12" s="6" t="n">
        <f aca="false">ROUND($B$2*(A12+1)^2.4*1.004^A12,0)</f>
        <v>13608</v>
      </c>
      <c r="D12" s="6" t="n">
        <f aca="false">ROUND($D$2*(A12+1)^2.4*1.004^A12,0)</f>
        <v>12096</v>
      </c>
      <c r="E12" s="6" t="n">
        <f aca="false">ROUND($F$2*(A12+1)^2.4*1.004^A12,0)</f>
        <v>10584</v>
      </c>
      <c r="F12" s="6" t="n">
        <f aca="false">ROUND(Building_Levels!$I$2*(A12+1)^1.9*1.003^A12,2)</f>
        <v>0.02</v>
      </c>
      <c r="G12" s="6" t="n">
        <f aca="false">ROUND((A12+1)^1.12,1)</f>
        <v>10.3</v>
      </c>
    </row>
    <row r="13" customFormat="false" ht="15" hidden="false" customHeight="true" outlineLevel="0" collapsed="false">
      <c r="A13" s="6" t="n">
        <v>8</v>
      </c>
      <c r="B13" s="6" t="n">
        <f aca="false">MIN(42, FLOOR(A13/32,1)+1)</f>
        <v>1</v>
      </c>
      <c r="C13" s="6" t="n">
        <f aca="false">ROUND($B$2*(A13+1)^2.4*1.004^A13,0)</f>
        <v>18126</v>
      </c>
      <c r="D13" s="6" t="n">
        <f aca="false">ROUND($D$2*(A13+1)^2.4*1.004^A13,0)</f>
        <v>16112</v>
      </c>
      <c r="E13" s="6" t="n">
        <f aca="false">ROUND($F$2*(A13+1)^2.4*1.004^A13,0)</f>
        <v>14098</v>
      </c>
      <c r="F13" s="6" t="n">
        <f aca="false">ROUND(Building_Levels!$I$2*(A13+1)^1.9*1.003^A13,2)</f>
        <v>0.03</v>
      </c>
      <c r="G13" s="6" t="n">
        <f aca="false">ROUND((A13+1)^1.12,1)</f>
        <v>11.7</v>
      </c>
    </row>
    <row r="14" customFormat="false" ht="15" hidden="false" customHeight="true" outlineLevel="0" collapsed="false">
      <c r="A14" s="6" t="n">
        <v>9</v>
      </c>
      <c r="B14" s="6" t="n">
        <f aca="false">MIN(42, FLOOR(A14/32,1)+1)</f>
        <v>1</v>
      </c>
      <c r="C14" s="6" t="n">
        <f aca="false">ROUND($B$2*(A14+1)^2.4*1.004^A14,0)</f>
        <v>23434</v>
      </c>
      <c r="D14" s="6" t="n">
        <f aca="false">ROUND($D$2*(A14+1)^2.4*1.004^A14,0)</f>
        <v>20830</v>
      </c>
      <c r="E14" s="6" t="n">
        <f aca="false">ROUND($F$2*(A14+1)^2.4*1.004^A14,0)</f>
        <v>18226</v>
      </c>
      <c r="F14" s="6" t="n">
        <f aca="false">ROUND(Building_Levels!$I$2*(A14+1)^1.9*1.003^A14,2)</f>
        <v>0.04</v>
      </c>
      <c r="G14" s="6" t="n">
        <f aca="false">ROUND((A14+1)^1.12,1)</f>
        <v>13.2</v>
      </c>
    </row>
    <row r="15" customFormat="false" ht="15" hidden="false" customHeight="true" outlineLevel="0" collapsed="false">
      <c r="A15" s="6" t="n">
        <v>10</v>
      </c>
      <c r="B15" s="6" t="n">
        <f aca="false">MIN(42, FLOOR(A15/32,1)+1)</f>
        <v>1</v>
      </c>
      <c r="C15" s="6" t="n">
        <f aca="false">ROUND($B$2*(A15+1)^2.4*1.004^A15,0)</f>
        <v>29575</v>
      </c>
      <c r="D15" s="6" t="n">
        <f aca="false">ROUND($D$2*(A15+1)^2.4*1.004^A15,0)</f>
        <v>26289</v>
      </c>
      <c r="E15" s="6" t="n">
        <f aca="false">ROUND($F$2*(A15+1)^2.4*1.004^A15,0)</f>
        <v>23003</v>
      </c>
      <c r="F15" s="6" t="n">
        <f aca="false">ROUND(Building_Levels!$I$2*(A15+1)^1.9*1.003^A15,2)</f>
        <v>0.04</v>
      </c>
      <c r="G15" s="6" t="n">
        <f aca="false">ROUND((A15+1)^1.12,1)</f>
        <v>14.7</v>
      </c>
    </row>
    <row r="16" customFormat="false" ht="15" hidden="false" customHeight="true" outlineLevel="0" collapsed="false">
      <c r="A16" s="6" t="n">
        <v>11</v>
      </c>
      <c r="B16" s="6" t="n">
        <f aca="false">MIN(42, FLOOR(A16/32,1)+1)</f>
        <v>1</v>
      </c>
      <c r="C16" s="6" t="n">
        <f aca="false">ROUND($B$2*(A16+1)^2.4*1.004^A16,0)</f>
        <v>36589</v>
      </c>
      <c r="D16" s="6" t="n">
        <f aca="false">ROUND($D$2*(A16+1)^2.4*1.004^A16,0)</f>
        <v>32523</v>
      </c>
      <c r="E16" s="6" t="n">
        <f aca="false">ROUND($F$2*(A16+1)^2.4*1.004^A16,0)</f>
        <v>28458</v>
      </c>
      <c r="F16" s="6" t="n">
        <f aca="false">ROUND(Building_Levels!$I$2*(A16+1)^1.9*1.003^A16,2)</f>
        <v>0.05</v>
      </c>
      <c r="G16" s="6" t="n">
        <f aca="false">ROUND((A16+1)^1.12,1)</f>
        <v>16.2</v>
      </c>
    </row>
    <row r="17" customFormat="false" ht="15" hidden="false" customHeight="true" outlineLevel="0" collapsed="false">
      <c r="A17" s="6" t="n">
        <v>12</v>
      </c>
      <c r="B17" s="6" t="n">
        <f aca="false">MIN(42, FLOOR(A17/32,1)+1)</f>
        <v>1</v>
      </c>
      <c r="C17" s="6" t="n">
        <f aca="false">ROUND($B$2*(A17+1)^2.4*1.004^A17,0)</f>
        <v>44515</v>
      </c>
      <c r="D17" s="6" t="n">
        <f aca="false">ROUND($D$2*(A17+1)^2.4*1.004^A17,0)</f>
        <v>39569</v>
      </c>
      <c r="E17" s="6" t="n">
        <f aca="false">ROUND($F$2*(A17+1)^2.4*1.004^A17,0)</f>
        <v>34623</v>
      </c>
      <c r="F17" s="6" t="n">
        <f aca="false">ROUND(Building_Levels!$I$2*(A17+1)^1.9*1.003^A17,2)</f>
        <v>0.06</v>
      </c>
      <c r="G17" s="6" t="n">
        <f aca="false">ROUND((A17+1)^1.12,1)</f>
        <v>17.7</v>
      </c>
    </row>
    <row r="18" customFormat="false" ht="15" hidden="false" customHeight="true" outlineLevel="0" collapsed="false">
      <c r="A18" s="6" t="n">
        <v>13</v>
      </c>
      <c r="B18" s="6" t="n">
        <f aca="false">MIN(42, FLOOR(A18/32,1)+1)</f>
        <v>1</v>
      </c>
      <c r="C18" s="6" t="n">
        <f aca="false">ROUND($B$2*(A18+1)^2.4*1.004^A18,0)</f>
        <v>53393</v>
      </c>
      <c r="D18" s="6" t="n">
        <f aca="false">ROUND($D$2*(A18+1)^2.4*1.004^A18,0)</f>
        <v>47461</v>
      </c>
      <c r="E18" s="6" t="n">
        <f aca="false">ROUND($F$2*(A18+1)^2.4*1.004^A18,0)</f>
        <v>41528</v>
      </c>
      <c r="F18" s="6" t="n">
        <f aca="false">ROUND(Building_Levels!$I$2*(A18+1)^1.9*1.003^A18,2)</f>
        <v>0.07</v>
      </c>
      <c r="G18" s="6" t="n">
        <f aca="false">ROUND((A18+1)^1.12,1)</f>
        <v>19.2</v>
      </c>
    </row>
    <row r="19" customFormat="false" ht="15" hidden="false" customHeight="true" outlineLevel="0" collapsed="false">
      <c r="A19" s="6" t="n">
        <v>14</v>
      </c>
      <c r="B19" s="6" t="n">
        <f aca="false">MIN(42, FLOOR(A19/32,1)+1)</f>
        <v>1</v>
      </c>
      <c r="C19" s="6" t="n">
        <f aca="false">ROUND($B$2*(A19+1)^2.4*1.004^A19,0)</f>
        <v>63261</v>
      </c>
      <c r="D19" s="6" t="n">
        <f aca="false">ROUND($D$2*(A19+1)^2.4*1.004^A19,0)</f>
        <v>56232</v>
      </c>
      <c r="E19" s="6" t="n">
        <f aca="false">ROUND($F$2*(A19+1)^2.4*1.004^A19,0)</f>
        <v>49203</v>
      </c>
      <c r="F19" s="6" t="n">
        <f aca="false">ROUND(Building_Levels!$I$2*(A19+1)^1.9*1.003^A19,2)</f>
        <v>0.08</v>
      </c>
      <c r="G19" s="6" t="n">
        <f aca="false">ROUND((A19+1)^1.12,1)</f>
        <v>20.8</v>
      </c>
    </row>
    <row r="20" customFormat="false" ht="15" hidden="false" customHeight="true" outlineLevel="0" collapsed="false">
      <c r="A20" s="6" t="n">
        <v>15</v>
      </c>
      <c r="B20" s="6" t="n">
        <f aca="false">MIN(42, FLOOR(A20/32,1)+1)</f>
        <v>1</v>
      </c>
      <c r="C20" s="6" t="n">
        <f aca="false">ROUND($B$2*(A20+1)^2.4*1.004^A20,0)</f>
        <v>74154</v>
      </c>
      <c r="D20" s="6" t="n">
        <f aca="false">ROUND($D$2*(A20+1)^2.4*1.004^A20,0)</f>
        <v>65915</v>
      </c>
      <c r="E20" s="6" t="n">
        <f aca="false">ROUND($F$2*(A20+1)^2.4*1.004^A20,0)</f>
        <v>57676</v>
      </c>
      <c r="F20" s="6" t="n">
        <f aca="false">ROUND(Building_Levels!$I$2*(A20+1)^1.9*1.003^A20,2)</f>
        <v>0.09</v>
      </c>
      <c r="G20" s="6" t="n">
        <f aca="false">ROUND((A20+1)^1.12,1)</f>
        <v>22.3</v>
      </c>
    </row>
    <row r="21" customFormat="false" ht="15" hidden="false" customHeight="true" outlineLevel="0" collapsed="false">
      <c r="A21" s="6" t="n">
        <v>16</v>
      </c>
      <c r="B21" s="6" t="n">
        <f aca="false">MIN(42, FLOOR(A21/32,1)+1)</f>
        <v>1</v>
      </c>
      <c r="C21" s="6" t="n">
        <f aca="false">ROUND($B$2*(A21+1)^2.4*1.004^A21,0)</f>
        <v>86111</v>
      </c>
      <c r="D21" s="6" t="n">
        <f aca="false">ROUND($D$2*(A21+1)^2.4*1.004^A21,0)</f>
        <v>76543</v>
      </c>
      <c r="E21" s="6" t="n">
        <f aca="false">ROUND($F$2*(A21+1)^2.4*1.004^A21,0)</f>
        <v>66975</v>
      </c>
      <c r="F21" s="6" t="n">
        <f aca="false">ROUND(Building_Levels!$I$2*(A21+1)^1.9*1.003^A21,2)</f>
        <v>0.1</v>
      </c>
      <c r="G21" s="6" t="n">
        <f aca="false">ROUND((A21+1)^1.12,1)</f>
        <v>23.9</v>
      </c>
    </row>
    <row r="22" customFormat="false" ht="15" hidden="false" customHeight="true" outlineLevel="0" collapsed="false">
      <c r="A22" s="6" t="n">
        <v>17</v>
      </c>
      <c r="B22" s="6" t="n">
        <f aca="false">MIN(42, FLOOR(A22/32,1)+1)</f>
        <v>1</v>
      </c>
      <c r="C22" s="6" t="n">
        <f aca="false">ROUND($B$2*(A22+1)^2.4*1.004^A22,0)</f>
        <v>99168</v>
      </c>
      <c r="D22" s="6" t="n">
        <f aca="false">ROUND($D$2*(A22+1)^2.4*1.004^A22,0)</f>
        <v>88149</v>
      </c>
      <c r="E22" s="6" t="n">
        <f aca="false">ROUND($F$2*(A22+1)^2.4*1.004^A22,0)</f>
        <v>77130</v>
      </c>
      <c r="F22" s="6" t="n">
        <f aca="false">ROUND(Building_Levels!$I$2*(A22+1)^1.9*1.003^A22,2)</f>
        <v>0.11</v>
      </c>
      <c r="G22" s="6" t="n">
        <f aca="false">ROUND((A22+1)^1.12,1)</f>
        <v>25.5</v>
      </c>
    </row>
    <row r="23" customFormat="false" ht="15" hidden="false" customHeight="true" outlineLevel="0" collapsed="false">
      <c r="A23" s="6" t="n">
        <v>18</v>
      </c>
      <c r="B23" s="6" t="n">
        <f aca="false">MIN(42, FLOOR(A23/32,1)+1)</f>
        <v>1</v>
      </c>
      <c r="C23" s="6" t="n">
        <f aca="false">ROUND($B$2*(A23+1)^2.4*1.004^A23,0)</f>
        <v>113360</v>
      </c>
      <c r="D23" s="6" t="n">
        <f aca="false">ROUND($D$2*(A23+1)^2.4*1.004^A23,0)</f>
        <v>100764</v>
      </c>
      <c r="E23" s="6" t="n">
        <f aca="false">ROUND($F$2*(A23+1)^2.4*1.004^A23,0)</f>
        <v>88169</v>
      </c>
      <c r="F23" s="6" t="n">
        <f aca="false">ROUND(Building_Levels!$I$2*(A23+1)^1.9*1.003^A23,2)</f>
        <v>0.12</v>
      </c>
      <c r="G23" s="6" t="n">
        <f aca="false">ROUND((A23+1)^1.12,1)</f>
        <v>27.1</v>
      </c>
    </row>
    <row r="24" customFormat="false" ht="15" hidden="false" customHeight="true" outlineLevel="0" collapsed="false">
      <c r="A24" s="6" t="n">
        <v>19</v>
      </c>
      <c r="B24" s="6" t="n">
        <f aca="false">MIN(42, FLOOR(A24/32,1)+1)</f>
        <v>1</v>
      </c>
      <c r="C24" s="6" t="n">
        <f aca="false">ROUND($B$2*(A24+1)^2.4*1.004^A24,0)</f>
        <v>128723</v>
      </c>
      <c r="D24" s="6" t="n">
        <f aca="false">ROUND($D$2*(A24+1)^2.4*1.004^A24,0)</f>
        <v>114420</v>
      </c>
      <c r="E24" s="6" t="n">
        <f aca="false">ROUND($F$2*(A24+1)^2.4*1.004^A24,0)</f>
        <v>100118</v>
      </c>
      <c r="F24" s="6" t="n">
        <f aca="false">ROUND(Building_Levels!$I$2*(A24+1)^1.9*1.003^A24,2)</f>
        <v>0.14</v>
      </c>
      <c r="G24" s="6" t="n">
        <f aca="false">ROUND((A24+1)^1.12,1)</f>
        <v>28.7</v>
      </c>
    </row>
    <row r="25" customFormat="false" ht="15" hidden="false" customHeight="true" outlineLevel="0" collapsed="false">
      <c r="A25" s="6" t="n">
        <v>20</v>
      </c>
      <c r="B25" s="6" t="n">
        <f aca="false">MIN(42, FLOOR(A25/32,1)+1)</f>
        <v>1</v>
      </c>
      <c r="C25" s="6" t="n">
        <f aca="false">ROUND($B$2*(A25+1)^2.4*1.004^A25,0)</f>
        <v>145292</v>
      </c>
      <c r="D25" s="6" t="n">
        <f aca="false">ROUND($D$2*(A25+1)^2.4*1.004^A25,0)</f>
        <v>129149</v>
      </c>
      <c r="E25" s="6" t="n">
        <f aca="false">ROUND($F$2*(A25+1)^2.4*1.004^A25,0)</f>
        <v>113005</v>
      </c>
      <c r="F25" s="6" t="n">
        <f aca="false">ROUND(Building_Levels!$I$2*(A25+1)^1.9*1.003^A25,2)</f>
        <v>0.15</v>
      </c>
      <c r="G25" s="6" t="n">
        <f aca="false">ROUND((A25+1)^1.12,1)</f>
        <v>30.3</v>
      </c>
    </row>
    <row r="26" customFormat="false" ht="15" hidden="false" customHeight="true" outlineLevel="0" collapsed="false">
      <c r="A26" s="6" t="n">
        <v>21</v>
      </c>
      <c r="B26" s="6" t="n">
        <f aca="false">MIN(42, FLOOR(A26/32,1)+1)</f>
        <v>1</v>
      </c>
      <c r="C26" s="6" t="n">
        <f aca="false">ROUND($B$2*(A26+1)^2.4*1.004^A26,0)</f>
        <v>163104</v>
      </c>
      <c r="D26" s="6" t="n">
        <f aca="false">ROUND($D$2*(A26+1)^2.4*1.004^A26,0)</f>
        <v>144981</v>
      </c>
      <c r="E26" s="6" t="n">
        <f aca="false">ROUND($F$2*(A26+1)^2.4*1.004^A26,0)</f>
        <v>126859</v>
      </c>
      <c r="F26" s="6" t="n">
        <f aca="false">ROUND(Building_Levels!$I$2*(A26+1)^1.9*1.003^A26,2)</f>
        <v>0.16</v>
      </c>
      <c r="G26" s="6" t="n">
        <f aca="false">ROUND((A26+1)^1.12,1)</f>
        <v>31.9</v>
      </c>
    </row>
    <row r="27" customFormat="false" ht="15" hidden="false" customHeight="true" outlineLevel="0" collapsed="false">
      <c r="A27" s="6" t="n">
        <v>22</v>
      </c>
      <c r="B27" s="6" t="n">
        <f aca="false">MIN(42, FLOOR(A27/32,1)+1)</f>
        <v>1</v>
      </c>
      <c r="C27" s="6" t="n">
        <f aca="false">ROUND($B$2*(A27+1)^2.4*1.004^A27,0)</f>
        <v>182193</v>
      </c>
      <c r="D27" s="6" t="n">
        <f aca="false">ROUND($D$2*(A27+1)^2.4*1.004^A27,0)</f>
        <v>161949</v>
      </c>
      <c r="E27" s="6" t="n">
        <f aca="false">ROUND($F$2*(A27+1)^2.4*1.004^A27,0)</f>
        <v>141705</v>
      </c>
      <c r="F27" s="6" t="n">
        <f aca="false">ROUND(Building_Levels!$I$2*(A27+1)^1.9*1.003^A27,2)</f>
        <v>0.18</v>
      </c>
      <c r="G27" s="6" t="n">
        <f aca="false">ROUND((A27+1)^1.12,1)</f>
        <v>33.5</v>
      </c>
    </row>
    <row r="28" customFormat="false" ht="15" hidden="false" customHeight="true" outlineLevel="0" collapsed="false">
      <c r="A28" s="6" t="n">
        <v>23</v>
      </c>
      <c r="B28" s="6" t="n">
        <f aca="false">MIN(42, FLOOR(A28/32,1)+1)</f>
        <v>1</v>
      </c>
      <c r="C28" s="6" t="n">
        <f aca="false">ROUND($B$2*(A28+1)^2.4*1.004^A28,0)</f>
        <v>202593</v>
      </c>
      <c r="D28" s="6" t="n">
        <f aca="false">ROUND($D$2*(A28+1)^2.4*1.004^A28,0)</f>
        <v>180083</v>
      </c>
      <c r="E28" s="6" t="n">
        <f aca="false">ROUND($F$2*(A28+1)^2.4*1.004^A28,0)</f>
        <v>157572</v>
      </c>
      <c r="F28" s="6" t="n">
        <f aca="false">ROUND(Building_Levels!$I$2*(A28+1)^1.9*1.003^A28,2)</f>
        <v>0.19</v>
      </c>
      <c r="G28" s="6" t="n">
        <f aca="false">ROUND((A28+1)^1.12,1)</f>
        <v>35.1</v>
      </c>
    </row>
    <row r="29" customFormat="false" ht="15" hidden="false" customHeight="true" outlineLevel="0" collapsed="false">
      <c r="A29" s="6" t="n">
        <v>24</v>
      </c>
      <c r="B29" s="6" t="n">
        <f aca="false">MIN(42, FLOOR(A29/32,1)+1)</f>
        <v>1</v>
      </c>
      <c r="C29" s="6" t="n">
        <f aca="false">ROUND($B$2*(A29+1)^2.4*1.004^A29,0)</f>
        <v>224340</v>
      </c>
      <c r="D29" s="6" t="n">
        <f aca="false">ROUND($D$2*(A29+1)^2.4*1.004^A29,0)</f>
        <v>199414</v>
      </c>
      <c r="E29" s="6" t="n">
        <f aca="false">ROUND($F$2*(A29+1)^2.4*1.004^A29,0)</f>
        <v>174487</v>
      </c>
      <c r="F29" s="6" t="n">
        <f aca="false">ROUND(Building_Levels!$I$2*(A29+1)^1.9*1.003^A29,2)</f>
        <v>0.21</v>
      </c>
      <c r="G29" s="6" t="n">
        <f aca="false">ROUND((A29+1)^1.12,1)</f>
        <v>36.8</v>
      </c>
    </row>
    <row r="30" customFormat="false" ht="15" hidden="false" customHeight="true" outlineLevel="0" collapsed="false">
      <c r="A30" s="6" t="n">
        <v>25</v>
      </c>
      <c r="B30" s="6" t="n">
        <f aca="false">MIN(42, FLOOR(A30/32,1)+1)</f>
        <v>1</v>
      </c>
      <c r="C30" s="6" t="n">
        <f aca="false">ROUND($B$2*(A30+1)^2.4*1.004^A30,0)</f>
        <v>247469</v>
      </c>
      <c r="D30" s="6" t="n">
        <f aca="false">ROUND($D$2*(A30+1)^2.4*1.004^A30,0)</f>
        <v>219973</v>
      </c>
      <c r="E30" s="6" t="n">
        <f aca="false">ROUND($F$2*(A30+1)^2.4*1.004^A30,0)</f>
        <v>192476</v>
      </c>
      <c r="F30" s="6" t="n">
        <f aca="false">ROUND(Building_Levels!$I$2*(A30+1)^1.9*1.003^A30,2)</f>
        <v>0.23</v>
      </c>
      <c r="G30" s="6" t="n">
        <f aca="false">ROUND((A30+1)^1.12,1)</f>
        <v>38.4</v>
      </c>
    </row>
    <row r="31" customFormat="false" ht="15" hidden="false" customHeight="true" outlineLevel="0" collapsed="false">
      <c r="A31" s="6" t="n">
        <v>26</v>
      </c>
      <c r="B31" s="6" t="n">
        <f aca="false">MIN(42, FLOOR(A31/32,1)+1)</f>
        <v>1</v>
      </c>
      <c r="C31" s="6" t="n">
        <f aca="false">ROUND($B$2*(A31+1)^2.4*1.004^A31,0)</f>
        <v>272015</v>
      </c>
      <c r="D31" s="6" t="n">
        <f aca="false">ROUND($D$2*(A31+1)^2.4*1.004^A31,0)</f>
        <v>241791</v>
      </c>
      <c r="E31" s="6" t="n">
        <f aca="false">ROUND($F$2*(A31+1)^2.4*1.004^A31,0)</f>
        <v>211567</v>
      </c>
      <c r="F31" s="6" t="n">
        <f aca="false">ROUND(Building_Levels!$I$2*(A31+1)^1.9*1.003^A31,2)</f>
        <v>0.24</v>
      </c>
      <c r="G31" s="6" t="n">
        <f aca="false">ROUND((A31+1)^1.12,1)</f>
        <v>40.1</v>
      </c>
    </row>
    <row r="32" customFormat="false" ht="15" hidden="false" customHeight="true" outlineLevel="0" collapsed="false">
      <c r="A32" s="6" t="n">
        <v>27</v>
      </c>
      <c r="B32" s="6" t="n">
        <f aca="false">MIN(42, FLOOR(A32/32,1)+1)</f>
        <v>1</v>
      </c>
      <c r="C32" s="6" t="n">
        <f aca="false">ROUND($B$2*(A32+1)^2.4*1.004^A32,0)</f>
        <v>298011</v>
      </c>
      <c r="D32" s="6" t="n">
        <f aca="false">ROUND($D$2*(A32+1)^2.4*1.004^A32,0)</f>
        <v>264899</v>
      </c>
      <c r="E32" s="6" t="n">
        <f aca="false">ROUND($F$2*(A32+1)^2.4*1.004^A32,0)</f>
        <v>231786</v>
      </c>
      <c r="F32" s="6" t="n">
        <f aca="false">ROUND(Building_Levels!$I$2*(A32+1)^1.9*1.003^A32,2)</f>
        <v>0.26</v>
      </c>
      <c r="G32" s="6" t="n">
        <f aca="false">ROUND((A32+1)^1.12,1)</f>
        <v>41.8</v>
      </c>
    </row>
    <row r="33" customFormat="false" ht="15" hidden="false" customHeight="true" outlineLevel="0" collapsed="false">
      <c r="A33" s="6" t="n">
        <v>28</v>
      </c>
      <c r="B33" s="6" t="n">
        <f aca="false">MIN(42, FLOOR(A33/32,1)+1)</f>
        <v>1</v>
      </c>
      <c r="C33" s="6" t="n">
        <f aca="false">ROUND($B$2*(A33+1)^2.4*1.004^A33,0)</f>
        <v>325493</v>
      </c>
      <c r="D33" s="6" t="n">
        <f aca="false">ROUND($D$2*(A33+1)^2.4*1.004^A33,0)</f>
        <v>289327</v>
      </c>
      <c r="E33" s="6" t="n">
        <f aca="false">ROUND($F$2*(A33+1)^2.4*1.004^A33,0)</f>
        <v>253161</v>
      </c>
      <c r="F33" s="6" t="n">
        <f aca="false">ROUND(Building_Levels!$I$2*(A33+1)^1.9*1.003^A33,2)</f>
        <v>0.28</v>
      </c>
      <c r="G33" s="6" t="n">
        <f aca="false">ROUND((A33+1)^1.12,1)</f>
        <v>43.4</v>
      </c>
    </row>
    <row r="34" customFormat="false" ht="15" hidden="false" customHeight="true" outlineLevel="0" collapsed="false">
      <c r="A34" s="6" t="n">
        <v>29</v>
      </c>
      <c r="B34" s="6" t="n">
        <f aca="false">MIN(42, FLOOR(A34/32,1)+1)</f>
        <v>1</v>
      </c>
      <c r="C34" s="6" t="n">
        <f aca="false">ROUND($B$2*(A34+1)^2.4*1.004^A34,0)</f>
        <v>354496</v>
      </c>
      <c r="D34" s="6" t="n">
        <f aca="false">ROUND($D$2*(A34+1)^2.4*1.004^A34,0)</f>
        <v>315107</v>
      </c>
      <c r="E34" s="6" t="n">
        <f aca="false">ROUND($F$2*(A34+1)^2.4*1.004^A34,0)</f>
        <v>275719</v>
      </c>
      <c r="F34" s="6" t="n">
        <f aca="false">ROUND(Building_Levels!$I$2*(A34+1)^1.9*1.003^A34,2)</f>
        <v>0.3</v>
      </c>
      <c r="G34" s="6" t="n">
        <f aca="false">ROUND((A34+1)^1.12,1)</f>
        <v>45.1</v>
      </c>
    </row>
    <row r="35" customFormat="false" ht="15" hidden="false" customHeight="true" outlineLevel="0" collapsed="false">
      <c r="A35" s="6" t="n">
        <v>30</v>
      </c>
      <c r="B35" s="6" t="n">
        <f aca="false">MIN(42, FLOOR(A35/32,1)+1)</f>
        <v>1</v>
      </c>
      <c r="C35" s="6" t="n">
        <f aca="false">ROUND($B$2*(A35+1)^2.4*1.004^A35,0)</f>
        <v>385054</v>
      </c>
      <c r="D35" s="6" t="n">
        <f aca="false">ROUND($D$2*(A35+1)^2.4*1.004^A35,0)</f>
        <v>342270</v>
      </c>
      <c r="E35" s="6" t="n">
        <f aca="false">ROUND($F$2*(A35+1)^2.4*1.004^A35,0)</f>
        <v>299487</v>
      </c>
      <c r="F35" s="6" t="n">
        <f aca="false">ROUND(Building_Levels!$I$2*(A35+1)^1.9*1.003^A35,2)</f>
        <v>0.32</v>
      </c>
      <c r="G35" s="6" t="n">
        <f aca="false">ROUND((A35+1)^1.12,1)</f>
        <v>46.8</v>
      </c>
    </row>
    <row r="36" customFormat="false" ht="15" hidden="false" customHeight="true" outlineLevel="0" collapsed="false">
      <c r="A36" s="6" t="n">
        <v>31</v>
      </c>
      <c r="B36" s="6" t="n">
        <f aca="false">MIN(42, FLOOR(A36/32,1)+1)</f>
        <v>1</v>
      </c>
      <c r="C36" s="6" t="n">
        <f aca="false">ROUND($B$2*(A36+1)^2.4*1.004^A36,0)</f>
        <v>417203</v>
      </c>
      <c r="D36" s="6" t="n">
        <f aca="false">ROUND($D$2*(A36+1)^2.4*1.004^A36,0)</f>
        <v>370847</v>
      </c>
      <c r="E36" s="6" t="n">
        <f aca="false">ROUND($F$2*(A36+1)^2.4*1.004^A36,0)</f>
        <v>324491</v>
      </c>
      <c r="F36" s="6" t="n">
        <f aca="false">ROUND(Building_Levels!$I$2*(A36+1)^1.9*1.003^A36,2)</f>
        <v>0.34</v>
      </c>
      <c r="G36" s="6" t="n">
        <f aca="false">ROUND((A36+1)^1.12,1)</f>
        <v>48.5</v>
      </c>
    </row>
    <row r="37" customFormat="false" ht="15" hidden="false" customHeight="true" outlineLevel="0" collapsed="false">
      <c r="A37" s="6" t="n">
        <v>32</v>
      </c>
      <c r="B37" s="6" t="n">
        <f aca="false">MIN(42, FLOOR(A37/32,1)+1)</f>
        <v>2</v>
      </c>
      <c r="C37" s="6" t="n">
        <f aca="false">ROUND($B$2*(A37+1)^2.4*1.004^A37,0)</f>
        <v>450977</v>
      </c>
      <c r="D37" s="6" t="n">
        <f aca="false">ROUND($D$2*(A37+1)^2.4*1.004^A37,0)</f>
        <v>400869</v>
      </c>
      <c r="E37" s="6" t="n">
        <f aca="false">ROUND($F$2*(A37+1)^2.4*1.004^A37,0)</f>
        <v>350760</v>
      </c>
      <c r="F37" s="6" t="n">
        <f aca="false">ROUND(Building_Levels!$I$2*(A37+1)^1.9*1.003^A37,2)</f>
        <v>0.36</v>
      </c>
      <c r="G37" s="6" t="n">
        <f aca="false">ROUND((A37+1)^1.12,1)</f>
        <v>50.2</v>
      </c>
    </row>
    <row r="38" customFormat="false" ht="15" hidden="false" customHeight="true" outlineLevel="0" collapsed="false">
      <c r="A38" s="6" t="n">
        <v>33</v>
      </c>
      <c r="B38" s="6" t="n">
        <f aca="false">MIN(42, FLOOR(A38/32,1)+1)</f>
        <v>2</v>
      </c>
      <c r="C38" s="6" t="n">
        <f aca="false">ROUND($B$2*(A38+1)^2.4*1.004^A38,0)</f>
        <v>486412</v>
      </c>
      <c r="D38" s="6" t="n">
        <f aca="false">ROUND($D$2*(A38+1)^2.4*1.004^A38,0)</f>
        <v>432366</v>
      </c>
      <c r="E38" s="6" t="n">
        <f aca="false">ROUND($F$2*(A38+1)^2.4*1.004^A38,0)</f>
        <v>378321</v>
      </c>
      <c r="F38" s="6" t="n">
        <f aca="false">ROUND(Building_Levels!$I$2*(A38+1)^1.9*1.003^A38,2)</f>
        <v>0.39</v>
      </c>
      <c r="G38" s="6" t="n">
        <f aca="false">ROUND((A38+1)^1.12,1)</f>
        <v>51.9</v>
      </c>
    </row>
    <row r="39" customFormat="false" ht="15" hidden="false" customHeight="true" outlineLevel="0" collapsed="false">
      <c r="A39" s="6" t="n">
        <v>34</v>
      </c>
      <c r="B39" s="6" t="n">
        <f aca="false">MIN(42, FLOOR(A39/32,1)+1)</f>
        <v>2</v>
      </c>
      <c r="C39" s="6" t="n">
        <f aca="false">ROUND($B$2*(A39+1)^2.4*1.004^A39,0)</f>
        <v>523543</v>
      </c>
      <c r="D39" s="6" t="n">
        <f aca="false">ROUND($D$2*(A39+1)^2.4*1.004^A39,0)</f>
        <v>465371</v>
      </c>
      <c r="E39" s="6" t="n">
        <f aca="false">ROUND($F$2*(A39+1)^2.4*1.004^A39,0)</f>
        <v>407200</v>
      </c>
      <c r="F39" s="6" t="n">
        <f aca="false">ROUND(Building_Levels!$I$2*(A39+1)^1.9*1.003^A39,2)</f>
        <v>0.41</v>
      </c>
      <c r="G39" s="6" t="n">
        <f aca="false">ROUND((A39+1)^1.12,1)</f>
        <v>53.6</v>
      </c>
    </row>
    <row r="40" customFormat="false" ht="15" hidden="false" customHeight="true" outlineLevel="0" collapsed="false">
      <c r="A40" s="6" t="n">
        <v>35</v>
      </c>
      <c r="B40" s="6" t="n">
        <f aca="false">MIN(42, FLOOR(A40/32,1)+1)</f>
        <v>2</v>
      </c>
      <c r="C40" s="6" t="n">
        <f aca="false">ROUND($B$2*(A40+1)^2.4*1.004^A40,0)</f>
        <v>562404</v>
      </c>
      <c r="D40" s="6" t="n">
        <f aca="false">ROUND($D$2*(A40+1)^2.4*1.004^A40,0)</f>
        <v>499915</v>
      </c>
      <c r="E40" s="6" t="n">
        <f aca="false">ROUND($F$2*(A40+1)^2.4*1.004^A40,0)</f>
        <v>437425</v>
      </c>
      <c r="F40" s="6" t="n">
        <f aca="false">ROUND(Building_Levels!$I$2*(A40+1)^1.9*1.003^A40,2)</f>
        <v>0.43</v>
      </c>
      <c r="G40" s="6" t="n">
        <f aca="false">ROUND((A40+1)^1.12,1)</f>
        <v>55.3</v>
      </c>
    </row>
    <row r="41" customFormat="false" ht="15" hidden="false" customHeight="true" outlineLevel="0" collapsed="false">
      <c r="A41" s="6" t="n">
        <v>36</v>
      </c>
      <c r="B41" s="6" t="n">
        <f aca="false">MIN(42, FLOOR(A41/32,1)+1)</f>
        <v>2</v>
      </c>
      <c r="C41" s="6" t="n">
        <f aca="false">ROUND($B$2*(A41+1)^2.4*1.004^A41,0)</f>
        <v>603032</v>
      </c>
      <c r="D41" s="6" t="n">
        <f aca="false">ROUND($D$2*(A41+1)^2.4*1.004^A41,0)</f>
        <v>536028</v>
      </c>
      <c r="E41" s="6" t="n">
        <f aca="false">ROUND($F$2*(A41+1)^2.4*1.004^A41,0)</f>
        <v>469025</v>
      </c>
      <c r="F41" s="6" t="n">
        <f aca="false">ROUND(Building_Levels!$I$2*(A41+1)^1.9*1.003^A41,2)</f>
        <v>0.46</v>
      </c>
      <c r="G41" s="6" t="n">
        <f aca="false">ROUND((A41+1)^1.12,1)</f>
        <v>57.1</v>
      </c>
    </row>
    <row r="42" customFormat="false" ht="15" hidden="false" customHeight="true" outlineLevel="0" collapsed="false">
      <c r="A42" s="6" t="n">
        <v>37</v>
      </c>
      <c r="B42" s="6" t="n">
        <f aca="false">MIN(42, FLOOR(A42/32,1)+1)</f>
        <v>2</v>
      </c>
      <c r="C42" s="6" t="n">
        <f aca="false">ROUND($B$2*(A42+1)^2.4*1.004^A42,0)</f>
        <v>645462</v>
      </c>
      <c r="D42" s="6" t="n">
        <f aca="false">ROUND($D$2*(A42+1)^2.4*1.004^A42,0)</f>
        <v>573744</v>
      </c>
      <c r="E42" s="6" t="n">
        <f aca="false">ROUND($F$2*(A42+1)^2.4*1.004^A42,0)</f>
        <v>502026</v>
      </c>
      <c r="F42" s="6" t="n">
        <f aca="false">ROUND(Building_Levels!$I$2*(A42+1)^1.9*1.003^A42,2)</f>
        <v>0.48</v>
      </c>
      <c r="G42" s="6" t="n">
        <f aca="false">ROUND((A42+1)^1.12,1)</f>
        <v>58.8</v>
      </c>
    </row>
    <row r="43" customFormat="false" ht="15" hidden="false" customHeight="true" outlineLevel="0" collapsed="false">
      <c r="A43" s="6" t="n">
        <v>38</v>
      </c>
      <c r="B43" s="6" t="n">
        <f aca="false">MIN(42, FLOOR(A43/32,1)+1)</f>
        <v>2</v>
      </c>
      <c r="C43" s="6" t="n">
        <f aca="false">ROUND($B$2*(A43+1)^2.4*1.004^A43,0)</f>
        <v>689729</v>
      </c>
      <c r="D43" s="6" t="n">
        <f aca="false">ROUND($D$2*(A43+1)^2.4*1.004^A43,0)</f>
        <v>613093</v>
      </c>
      <c r="E43" s="6" t="n">
        <f aca="false">ROUND($F$2*(A43+1)^2.4*1.004^A43,0)</f>
        <v>536456</v>
      </c>
      <c r="F43" s="6" t="n">
        <f aca="false">ROUND(Building_Levels!$I$2*(A43+1)^1.9*1.003^A43,2)</f>
        <v>0.51</v>
      </c>
      <c r="G43" s="6" t="n">
        <f aca="false">ROUND((A43+1)^1.12,1)</f>
        <v>60.5</v>
      </c>
    </row>
    <row r="44" customFormat="false" ht="15" hidden="false" customHeight="true" outlineLevel="0" collapsed="false">
      <c r="A44" s="6" t="n">
        <v>39</v>
      </c>
      <c r="B44" s="6" t="n">
        <f aca="false">MIN(42, FLOOR(A44/32,1)+1)</f>
        <v>2</v>
      </c>
      <c r="C44" s="6" t="n">
        <f aca="false">ROUND($B$2*(A44+1)^2.4*1.004^A44,0)</f>
        <v>735870</v>
      </c>
      <c r="D44" s="6" t="n">
        <f aca="false">ROUND($D$2*(A44+1)^2.4*1.004^A44,0)</f>
        <v>654107</v>
      </c>
      <c r="E44" s="6" t="n">
        <f aca="false">ROUND($F$2*(A44+1)^2.4*1.004^A44,0)</f>
        <v>572344</v>
      </c>
      <c r="F44" s="6" t="n">
        <f aca="false">ROUND(Building_Levels!$I$2*(A44+1)^1.9*1.003^A44,2)</f>
        <v>0.54</v>
      </c>
      <c r="G44" s="6" t="n">
        <f aca="false">ROUND((A44+1)^1.12,1)</f>
        <v>62.3</v>
      </c>
    </row>
    <row r="45" customFormat="false" ht="15" hidden="false" customHeight="true" outlineLevel="0" collapsed="false">
      <c r="A45" s="6" t="n">
        <v>40</v>
      </c>
      <c r="B45" s="6" t="n">
        <f aca="false">MIN(42, FLOOR(A45/32,1)+1)</f>
        <v>2</v>
      </c>
      <c r="C45" s="6" t="n">
        <f aca="false">ROUND($B$2*(A45+1)^2.4*1.004^A45,0)</f>
        <v>783921</v>
      </c>
      <c r="D45" s="6" t="n">
        <f aca="false">ROUND($D$2*(A45+1)^2.4*1.004^A45,0)</f>
        <v>696819</v>
      </c>
      <c r="E45" s="6" t="n">
        <f aca="false">ROUND($F$2*(A45+1)^2.4*1.004^A45,0)</f>
        <v>609716</v>
      </c>
      <c r="F45" s="6" t="n">
        <f aca="false">ROUND(Building_Levels!$I$2*(A45+1)^1.9*1.003^A45,2)</f>
        <v>0.56</v>
      </c>
      <c r="G45" s="6" t="n">
        <f aca="false">ROUND((A45+1)^1.12,1)</f>
        <v>64</v>
      </c>
    </row>
    <row r="46" customFormat="false" ht="15" hidden="false" customHeight="true" outlineLevel="0" collapsed="false">
      <c r="A46" s="6" t="n">
        <v>41</v>
      </c>
      <c r="B46" s="6" t="n">
        <f aca="false">MIN(42, FLOOR(A46/32,1)+1)</f>
        <v>2</v>
      </c>
      <c r="C46" s="6" t="n">
        <f aca="false">ROUND($B$2*(A46+1)^2.4*1.004^A46,0)</f>
        <v>833917</v>
      </c>
      <c r="D46" s="6" t="n">
        <f aca="false">ROUND($D$2*(A46+1)^2.4*1.004^A46,0)</f>
        <v>741260</v>
      </c>
      <c r="E46" s="6" t="n">
        <f aca="false">ROUND($F$2*(A46+1)^2.4*1.004^A46,0)</f>
        <v>648602</v>
      </c>
      <c r="F46" s="6" t="n">
        <f aca="false">ROUND(Building_Levels!$I$2*(A46+1)^1.9*1.003^A46,2)</f>
        <v>0.59</v>
      </c>
      <c r="G46" s="6" t="n">
        <f aca="false">ROUND((A46+1)^1.12,1)</f>
        <v>65.8</v>
      </c>
    </row>
    <row r="47" customFormat="false" ht="15" hidden="false" customHeight="true" outlineLevel="0" collapsed="false">
      <c r="A47" s="6" t="n">
        <v>42</v>
      </c>
      <c r="B47" s="6" t="n">
        <f aca="false">MIN(42, FLOOR(A47/32,1)+1)</f>
        <v>2</v>
      </c>
      <c r="C47" s="6" t="n">
        <f aca="false">ROUND($B$2*(A47+1)^2.4*1.004^A47,0)</f>
        <v>885896</v>
      </c>
      <c r="D47" s="6" t="n">
        <f aca="false">ROUND($D$2*(A47+1)^2.4*1.004^A47,0)</f>
        <v>787463</v>
      </c>
      <c r="E47" s="6" t="n">
        <f aca="false">ROUND($F$2*(A47+1)^2.4*1.004^A47,0)</f>
        <v>689030</v>
      </c>
      <c r="F47" s="6" t="n">
        <f aca="false">ROUND(Building_Levels!$I$2*(A47+1)^1.9*1.003^A47,2)</f>
        <v>0.62</v>
      </c>
      <c r="G47" s="6" t="n">
        <f aca="false">ROUND((A47+1)^1.12,1)</f>
        <v>67.5</v>
      </c>
    </row>
    <row r="48" customFormat="false" ht="15" hidden="false" customHeight="true" outlineLevel="0" collapsed="false">
      <c r="A48" s="6" t="n">
        <v>43</v>
      </c>
      <c r="B48" s="6" t="n">
        <f aca="false">MIN(42, FLOOR(A48/32,1)+1)</f>
        <v>2</v>
      </c>
      <c r="C48" s="6" t="n">
        <f aca="false">ROUND($B$2*(A48+1)^2.4*1.004^A48,0)</f>
        <v>939893</v>
      </c>
      <c r="D48" s="6" t="n">
        <f aca="false">ROUND($D$2*(A48+1)^2.4*1.004^A48,0)</f>
        <v>835461</v>
      </c>
      <c r="E48" s="6" t="n">
        <f aca="false">ROUND($F$2*(A48+1)^2.4*1.004^A48,0)</f>
        <v>731028</v>
      </c>
      <c r="F48" s="6" t="n">
        <f aca="false">ROUND(Building_Levels!$I$2*(A48+1)^1.9*1.003^A48,2)</f>
        <v>0.65</v>
      </c>
      <c r="G48" s="6" t="n">
        <f aca="false">ROUND((A48+1)^1.12,1)</f>
        <v>69.3</v>
      </c>
    </row>
    <row r="49" customFormat="false" ht="15" hidden="false" customHeight="true" outlineLevel="0" collapsed="false">
      <c r="A49" s="6" t="n">
        <v>44</v>
      </c>
      <c r="B49" s="6" t="n">
        <f aca="false">MIN(42, FLOOR(A49/32,1)+1)</f>
        <v>2</v>
      </c>
      <c r="C49" s="6" t="n">
        <f aca="false">ROUND($B$2*(A49+1)^2.4*1.004^A49,0)</f>
        <v>995946</v>
      </c>
      <c r="D49" s="6" t="n">
        <f aca="false">ROUND($D$2*(A49+1)^2.4*1.004^A49,0)</f>
        <v>885286</v>
      </c>
      <c r="E49" s="6" t="n">
        <f aca="false">ROUND($F$2*(A49+1)^2.4*1.004^A49,0)</f>
        <v>774625</v>
      </c>
      <c r="F49" s="6" t="n">
        <f aca="false">ROUND(Building_Levels!$I$2*(A49+1)^1.9*1.003^A49,2)</f>
        <v>0.68</v>
      </c>
      <c r="G49" s="6" t="n">
        <f aca="false">ROUND((A49+1)^1.12,1)</f>
        <v>71.1</v>
      </c>
    </row>
    <row r="50" customFormat="false" ht="15" hidden="false" customHeight="true" outlineLevel="0" collapsed="false">
      <c r="A50" s="6" t="n">
        <v>45</v>
      </c>
      <c r="B50" s="6" t="n">
        <f aca="false">MIN(42, FLOOR(A50/32,1)+1)</f>
        <v>2</v>
      </c>
      <c r="C50" s="6" t="n">
        <f aca="false">ROUND($B$2*(A50+1)^2.4*1.004^A50,0)</f>
        <v>1054092</v>
      </c>
      <c r="D50" s="6" t="n">
        <f aca="false">ROUND($D$2*(A50+1)^2.4*1.004^A50,0)</f>
        <v>936970</v>
      </c>
      <c r="E50" s="6" t="n">
        <f aca="false">ROUND($F$2*(A50+1)^2.4*1.004^A50,0)</f>
        <v>819849</v>
      </c>
      <c r="F50" s="6" t="n">
        <f aca="false">ROUND(Building_Levels!$I$2*(A50+1)^1.9*1.003^A50,2)</f>
        <v>0.71</v>
      </c>
      <c r="G50" s="6" t="n">
        <f aca="false">ROUND((A50+1)^1.12,1)</f>
        <v>72.8</v>
      </c>
    </row>
    <row r="51" customFormat="false" ht="15" hidden="false" customHeight="true" outlineLevel="0" collapsed="false">
      <c r="A51" s="6" t="n">
        <v>46</v>
      </c>
      <c r="B51" s="6" t="n">
        <f aca="false">MIN(42, FLOOR(A51/32,1)+1)</f>
        <v>2</v>
      </c>
      <c r="C51" s="6" t="n">
        <f aca="false">ROUND($B$2*(A51+1)^2.4*1.004^A51,0)</f>
        <v>1114367</v>
      </c>
      <c r="D51" s="6" t="n">
        <f aca="false">ROUND($D$2*(A51+1)^2.4*1.004^A51,0)</f>
        <v>990548</v>
      </c>
      <c r="E51" s="6" t="n">
        <f aca="false">ROUND($F$2*(A51+1)^2.4*1.004^A51,0)</f>
        <v>866730</v>
      </c>
      <c r="F51" s="6" t="n">
        <f aca="false">ROUND(Building_Levels!$I$2*(A51+1)^1.9*1.003^A51,2)</f>
        <v>0.75</v>
      </c>
      <c r="G51" s="6" t="n">
        <f aca="false">ROUND((A51+1)^1.12,1)</f>
        <v>74.6</v>
      </c>
    </row>
    <row r="52" customFormat="false" ht="15" hidden="false" customHeight="true" outlineLevel="0" collapsed="false">
      <c r="A52" s="6" t="n">
        <v>47</v>
      </c>
      <c r="B52" s="6" t="n">
        <f aca="false">MIN(42, FLOOR(A52/32,1)+1)</f>
        <v>2</v>
      </c>
      <c r="C52" s="6" t="n">
        <f aca="false">ROUND($B$2*(A52+1)^2.4*1.004^A52,0)</f>
        <v>1176809</v>
      </c>
      <c r="D52" s="6" t="n">
        <f aca="false">ROUND($D$2*(A52+1)^2.4*1.004^A52,0)</f>
        <v>1046052</v>
      </c>
      <c r="E52" s="6" t="n">
        <f aca="false">ROUND($F$2*(A52+1)^2.4*1.004^A52,0)</f>
        <v>915296</v>
      </c>
      <c r="F52" s="6" t="n">
        <f aca="false">ROUND(Building_Levels!$I$2*(A52+1)^1.9*1.003^A52,2)</f>
        <v>0.78</v>
      </c>
      <c r="G52" s="6" t="n">
        <f aca="false">ROUND((A52+1)^1.12,1)</f>
        <v>76.4</v>
      </c>
    </row>
    <row r="53" customFormat="false" ht="15" hidden="false" customHeight="true" outlineLevel="0" collapsed="false">
      <c r="A53" s="6" t="n">
        <v>48</v>
      </c>
      <c r="B53" s="6" t="n">
        <f aca="false">MIN(42, FLOOR(A53/32,1)+1)</f>
        <v>2</v>
      </c>
      <c r="C53" s="6" t="n">
        <f aca="false">ROUND($B$2*(A53+1)^2.4*1.004^A53,0)</f>
        <v>1241456</v>
      </c>
      <c r="D53" s="6" t="n">
        <f aca="false">ROUND($D$2*(A53+1)^2.4*1.004^A53,0)</f>
        <v>1103516</v>
      </c>
      <c r="E53" s="6" t="n">
        <f aca="false">ROUND($F$2*(A53+1)^2.4*1.004^A53,0)</f>
        <v>965577</v>
      </c>
      <c r="F53" s="6" t="n">
        <f aca="false">ROUND(Building_Levels!$I$2*(A53+1)^1.9*1.003^A53,2)</f>
        <v>0.81</v>
      </c>
      <c r="G53" s="6" t="n">
        <f aca="false">ROUND((A53+1)^1.12,1)</f>
        <v>78.2</v>
      </c>
    </row>
    <row r="54" customFormat="false" ht="15" hidden="false" customHeight="true" outlineLevel="0" collapsed="false">
      <c r="A54" s="6" t="n">
        <v>49</v>
      </c>
      <c r="B54" s="6" t="n">
        <f aca="false">MIN(42, FLOOR(A54/32,1)+1)</f>
        <v>2</v>
      </c>
      <c r="C54" s="6" t="n">
        <f aca="false">ROUND($B$2*(A54+1)^2.4*1.004^A54,0)</f>
        <v>1308346</v>
      </c>
      <c r="D54" s="6" t="n">
        <f aca="false">ROUND($D$2*(A54+1)^2.4*1.004^A54,0)</f>
        <v>1162974</v>
      </c>
      <c r="E54" s="6" t="n">
        <f aca="false">ROUND($F$2*(A54+1)^2.4*1.004^A54,0)</f>
        <v>1017602</v>
      </c>
      <c r="F54" s="6" t="n">
        <f aca="false">ROUND(Building_Levels!$I$2*(A54+1)^1.9*1.003^A54,2)</f>
        <v>0.85</v>
      </c>
      <c r="G54" s="6" t="n">
        <f aca="false">ROUND((A54+1)^1.12,1)</f>
        <v>80</v>
      </c>
    </row>
    <row r="55" customFormat="false" ht="15" hidden="false" customHeight="true" outlineLevel="0" collapsed="false">
      <c r="A55" s="6" t="n">
        <v>50</v>
      </c>
      <c r="B55" s="6" t="n">
        <f aca="false">MIN(42, FLOOR(A55/32,1)+1)</f>
        <v>2</v>
      </c>
      <c r="C55" s="6" t="n">
        <f aca="false">ROUND($B$2*(A55+1)^2.4*1.004^A55,0)</f>
        <v>1377516</v>
      </c>
      <c r="D55" s="6" t="n">
        <f aca="false">ROUND($D$2*(A55+1)^2.4*1.004^A55,0)</f>
        <v>1224458</v>
      </c>
      <c r="E55" s="6" t="n">
        <f aca="false">ROUND($F$2*(A55+1)^2.4*1.004^A55,0)</f>
        <v>1071401</v>
      </c>
      <c r="F55" s="6" t="n">
        <f aca="false">ROUND(Building_Levels!$I$2*(A55+1)^1.9*1.003^A55,2)</f>
        <v>0.88</v>
      </c>
      <c r="G55" s="6" t="n">
        <f aca="false">ROUND((A55+1)^1.12,1)</f>
        <v>81.7</v>
      </c>
    </row>
    <row r="56" customFormat="false" ht="15" hidden="false" customHeight="true" outlineLevel="0" collapsed="false">
      <c r="A56" s="6" t="n">
        <v>51</v>
      </c>
      <c r="B56" s="6" t="n">
        <f aca="false">MIN(42, FLOOR(A56/32,1)+1)</f>
        <v>2</v>
      </c>
      <c r="C56" s="6" t="n">
        <f aca="false">ROUND($B$2*(A56+1)^2.4*1.004^A56,0)</f>
        <v>1449005</v>
      </c>
      <c r="D56" s="6" t="n">
        <f aca="false">ROUND($D$2*(A56+1)^2.4*1.004^A56,0)</f>
        <v>1288004</v>
      </c>
      <c r="E56" s="6" t="n">
        <f aca="false">ROUND($F$2*(A56+1)^2.4*1.004^A56,0)</f>
        <v>1127004</v>
      </c>
      <c r="F56" s="6" t="n">
        <f aca="false">ROUND(Building_Levels!$I$2*(A56+1)^1.9*1.003^A56,2)</f>
        <v>0.92</v>
      </c>
      <c r="G56" s="6" t="n">
        <f aca="false">ROUND((A56+1)^1.12,1)</f>
        <v>83.5</v>
      </c>
    </row>
    <row r="57" customFormat="false" ht="15" hidden="false" customHeight="true" outlineLevel="0" collapsed="false">
      <c r="A57" s="6" t="n">
        <v>52</v>
      </c>
      <c r="B57" s="6" t="n">
        <f aca="false">MIN(42, FLOOR(A57/32,1)+1)</f>
        <v>2</v>
      </c>
      <c r="C57" s="6" t="n">
        <f aca="false">ROUND($B$2*(A57+1)^2.4*1.004^A57,0)</f>
        <v>1522852</v>
      </c>
      <c r="D57" s="6" t="n">
        <f aca="false">ROUND($D$2*(A57+1)^2.4*1.004^A57,0)</f>
        <v>1353646</v>
      </c>
      <c r="E57" s="6" t="n">
        <f aca="false">ROUND($F$2*(A57+1)^2.4*1.004^A57,0)</f>
        <v>1184440</v>
      </c>
      <c r="F57" s="6" t="n">
        <f aca="false">ROUND(Building_Levels!$I$2*(A57+1)^1.9*1.003^A57,2)</f>
        <v>0.95</v>
      </c>
      <c r="G57" s="6" t="n">
        <f aca="false">ROUND((A57+1)^1.12,1)</f>
        <v>85.3</v>
      </c>
    </row>
    <row r="58" customFormat="false" ht="15" hidden="false" customHeight="true" outlineLevel="0" collapsed="false">
      <c r="A58" s="6" t="n">
        <v>53</v>
      </c>
      <c r="B58" s="6" t="n">
        <f aca="false">MIN(42, FLOOR(A58/32,1)+1)</f>
        <v>2</v>
      </c>
      <c r="C58" s="6" t="n">
        <f aca="false">ROUND($B$2*(A58+1)^2.4*1.004^A58,0)</f>
        <v>1599095</v>
      </c>
      <c r="D58" s="6" t="n">
        <f aca="false">ROUND($D$2*(A58+1)^2.4*1.004^A58,0)</f>
        <v>1421418</v>
      </c>
      <c r="E58" s="6" t="n">
        <f aca="false">ROUND($F$2*(A58+1)^2.4*1.004^A58,0)</f>
        <v>1243741</v>
      </c>
      <c r="F58" s="6" t="n">
        <f aca="false">ROUND(Building_Levels!$I$2*(A58+1)^1.9*1.003^A58,2)</f>
        <v>0.99</v>
      </c>
      <c r="G58" s="6" t="n">
        <f aca="false">ROUND((A58+1)^1.12,1)</f>
        <v>87.2</v>
      </c>
    </row>
    <row r="59" customFormat="false" ht="15" hidden="false" customHeight="true" outlineLevel="0" collapsed="false">
      <c r="A59" s="6" t="n">
        <v>54</v>
      </c>
      <c r="B59" s="6" t="n">
        <f aca="false">MIN(42, FLOOR(A59/32,1)+1)</f>
        <v>2</v>
      </c>
      <c r="C59" s="6" t="n">
        <f aca="false">ROUND($B$2*(A59+1)^2.4*1.004^A59,0)</f>
        <v>1677774</v>
      </c>
      <c r="D59" s="6" t="n">
        <f aca="false">ROUND($D$2*(A59+1)^2.4*1.004^A59,0)</f>
        <v>1491355</v>
      </c>
      <c r="E59" s="6" t="n">
        <f aca="false">ROUND($F$2*(A59+1)^2.4*1.004^A59,0)</f>
        <v>1304935</v>
      </c>
      <c r="F59" s="6" t="n">
        <f aca="false">ROUND(Building_Levels!$I$2*(A59+1)^1.9*1.003^A59,2)</f>
        <v>1.03</v>
      </c>
      <c r="G59" s="6" t="n">
        <f aca="false">ROUND((A59+1)^1.12,1)</f>
        <v>89</v>
      </c>
    </row>
    <row r="60" customFormat="false" ht="15" hidden="false" customHeight="true" outlineLevel="0" collapsed="false">
      <c r="A60" s="6" t="n">
        <v>55</v>
      </c>
      <c r="B60" s="6" t="n">
        <f aca="false">MIN(42, FLOOR(A60/32,1)+1)</f>
        <v>2</v>
      </c>
      <c r="C60" s="6" t="n">
        <f aca="false">ROUND($B$2*(A60+1)^2.4*1.004^A60,0)</f>
        <v>1758928</v>
      </c>
      <c r="D60" s="6" t="n">
        <f aca="false">ROUND($D$2*(A60+1)^2.4*1.004^A60,0)</f>
        <v>1563491</v>
      </c>
      <c r="E60" s="6" t="n">
        <f aca="false">ROUND($F$2*(A60+1)^2.4*1.004^A60,0)</f>
        <v>1368055</v>
      </c>
      <c r="F60" s="6" t="n">
        <f aca="false">ROUND(Building_Levels!$I$2*(A60+1)^1.9*1.003^A60,2)</f>
        <v>1.07</v>
      </c>
      <c r="G60" s="6" t="n">
        <f aca="false">ROUND((A60+1)^1.12,1)</f>
        <v>90.8</v>
      </c>
    </row>
    <row r="61" customFormat="false" ht="15" hidden="false" customHeight="true" outlineLevel="0" collapsed="false">
      <c r="A61" s="6" t="n">
        <v>56</v>
      </c>
      <c r="B61" s="6" t="n">
        <f aca="false">MIN(42, FLOOR(A61/32,1)+1)</f>
        <v>2</v>
      </c>
      <c r="C61" s="6" t="n">
        <f aca="false">ROUND($B$2*(A61+1)^2.4*1.004^A61,0)</f>
        <v>1842596</v>
      </c>
      <c r="D61" s="6" t="n">
        <f aca="false">ROUND($D$2*(A61+1)^2.4*1.004^A61,0)</f>
        <v>1637863</v>
      </c>
      <c r="E61" s="6" t="n">
        <f aca="false">ROUND($F$2*(A61+1)^2.4*1.004^A61,0)</f>
        <v>1433130</v>
      </c>
      <c r="F61" s="6" t="n">
        <f aca="false">ROUND(Building_Levels!$I$2*(A61+1)^1.9*1.003^A61,2)</f>
        <v>1.11</v>
      </c>
      <c r="G61" s="6" t="n">
        <f aca="false">ROUND((A61+1)^1.12,1)</f>
        <v>92.6</v>
      </c>
    </row>
    <row r="62" customFormat="false" ht="15" hidden="false" customHeight="true" outlineLevel="0" collapsed="false">
      <c r="A62" s="6" t="n">
        <v>57</v>
      </c>
      <c r="B62" s="6" t="n">
        <f aca="false">MIN(42, FLOOR(A62/32,1)+1)</f>
        <v>2</v>
      </c>
      <c r="C62" s="6" t="n">
        <f aca="false">ROUND($B$2*(A62+1)^2.4*1.004^A62,0)</f>
        <v>1928818</v>
      </c>
      <c r="D62" s="6" t="n">
        <f aca="false">ROUND($D$2*(A62+1)^2.4*1.004^A62,0)</f>
        <v>1714505</v>
      </c>
      <c r="E62" s="6" t="n">
        <f aca="false">ROUND($F$2*(A62+1)^2.4*1.004^A62,0)</f>
        <v>1500192</v>
      </c>
      <c r="F62" s="6" t="n">
        <f aca="false">ROUND(Building_Levels!$I$2*(A62+1)^1.9*1.003^A62,2)</f>
        <v>1.15</v>
      </c>
      <c r="G62" s="6" t="n">
        <f aca="false">ROUND((A62+1)^1.12,1)</f>
        <v>94.4</v>
      </c>
    </row>
    <row r="63" customFormat="false" ht="15" hidden="false" customHeight="true" outlineLevel="0" collapsed="false">
      <c r="A63" s="6" t="n">
        <v>58</v>
      </c>
      <c r="B63" s="6" t="n">
        <f aca="false">MIN(42, FLOOR(A63/32,1)+1)</f>
        <v>2</v>
      </c>
      <c r="C63" s="6" t="n">
        <f aca="false">ROUND($B$2*(A63+1)^2.4*1.004^A63,0)</f>
        <v>2017635</v>
      </c>
      <c r="D63" s="6" t="n">
        <f aca="false">ROUND($D$2*(A63+1)^2.4*1.004^A63,0)</f>
        <v>1793454</v>
      </c>
      <c r="E63" s="6" t="n">
        <f aca="false">ROUND($F$2*(A63+1)^2.4*1.004^A63,0)</f>
        <v>1569272</v>
      </c>
      <c r="F63" s="6" t="n">
        <f aca="false">ROUND(Building_Levels!$I$2*(A63+1)^1.9*1.003^A63,2)</f>
        <v>1.19</v>
      </c>
      <c r="G63" s="6" t="n">
        <f aca="false">ROUND((A63+1)^1.12,1)</f>
        <v>96.2</v>
      </c>
    </row>
    <row r="64" customFormat="false" ht="15" hidden="false" customHeight="true" outlineLevel="0" collapsed="false">
      <c r="A64" s="6" t="n">
        <v>59</v>
      </c>
      <c r="B64" s="6" t="n">
        <f aca="false">MIN(42, FLOOR(A64/32,1)+1)</f>
        <v>2</v>
      </c>
      <c r="C64" s="6" t="n">
        <f aca="false">ROUND($B$2*(A64+1)^2.4*1.004^A64,0)</f>
        <v>2109087</v>
      </c>
      <c r="D64" s="6" t="n">
        <f aca="false">ROUND($D$2*(A64+1)^2.4*1.004^A64,0)</f>
        <v>1874744</v>
      </c>
      <c r="E64" s="6" t="n">
        <f aca="false">ROUND($F$2*(A64+1)^2.4*1.004^A64,0)</f>
        <v>1640401</v>
      </c>
      <c r="F64" s="6" t="n">
        <f aca="false">ROUND(Building_Levels!$I$2*(A64+1)^1.9*1.003^A64,2)</f>
        <v>1.23</v>
      </c>
      <c r="G64" s="6" t="n">
        <f aca="false">ROUND((A64+1)^1.12,1)</f>
        <v>98.1</v>
      </c>
    </row>
    <row r="65" customFormat="false" ht="15" hidden="false" customHeight="true" outlineLevel="0" collapsed="false">
      <c r="A65" s="6" t="n">
        <v>60</v>
      </c>
      <c r="B65" s="6" t="n">
        <f aca="false">MIN(42, FLOOR(A65/32,1)+1)</f>
        <v>2</v>
      </c>
      <c r="C65" s="6" t="n">
        <f aca="false">ROUND($B$2*(A65+1)^2.4*1.004^A65,0)</f>
        <v>2203215</v>
      </c>
      <c r="D65" s="6" t="n">
        <f aca="false">ROUND($D$2*(A65+1)^2.4*1.004^A65,0)</f>
        <v>1958413</v>
      </c>
      <c r="E65" s="6" t="n">
        <f aca="false">ROUND($F$2*(A65+1)^2.4*1.004^A65,0)</f>
        <v>1713612</v>
      </c>
      <c r="F65" s="6" t="n">
        <f aca="false">ROUND(Building_Levels!$I$2*(A65+1)^1.9*1.003^A65,2)</f>
        <v>1.28</v>
      </c>
      <c r="G65" s="6" t="n">
        <f aca="false">ROUND((A65+1)^1.12,1)</f>
        <v>99.9</v>
      </c>
    </row>
    <row r="66" customFormat="false" ht="15" hidden="false" customHeight="true" outlineLevel="0" collapsed="false">
      <c r="A66" s="6" t="n">
        <v>61</v>
      </c>
      <c r="B66" s="6" t="n">
        <f aca="false">MIN(42, FLOOR(A66/32,1)+1)</f>
        <v>2</v>
      </c>
      <c r="C66" s="6" t="n">
        <f aca="false">ROUND($B$2*(A66+1)^2.4*1.004^A66,0)</f>
        <v>2300059</v>
      </c>
      <c r="D66" s="6" t="n">
        <f aca="false">ROUND($D$2*(A66+1)^2.4*1.004^A66,0)</f>
        <v>2044497</v>
      </c>
      <c r="E66" s="6" t="n">
        <f aca="false">ROUND($F$2*(A66+1)^2.4*1.004^A66,0)</f>
        <v>1788935</v>
      </c>
      <c r="F66" s="6" t="n">
        <f aca="false">ROUND(Building_Levels!$I$2*(A66+1)^1.9*1.003^A66,2)</f>
        <v>1.32</v>
      </c>
      <c r="G66" s="6" t="n">
        <f aca="false">ROUND((A66+1)^1.12,1)</f>
        <v>101.7</v>
      </c>
    </row>
    <row r="67" customFormat="false" ht="15" hidden="false" customHeight="true" outlineLevel="0" collapsed="false">
      <c r="A67" s="6" t="n">
        <v>62</v>
      </c>
      <c r="B67" s="6" t="n">
        <f aca="false">MIN(42, FLOOR(A67/32,1)+1)</f>
        <v>2</v>
      </c>
      <c r="C67" s="6" t="n">
        <f aca="false">ROUND($B$2*(A67+1)^2.4*1.004^A67,0)</f>
        <v>2399662</v>
      </c>
      <c r="D67" s="6" t="n">
        <f aca="false">ROUND($D$2*(A67+1)^2.4*1.004^A67,0)</f>
        <v>2133033</v>
      </c>
      <c r="E67" s="6" t="n">
        <f aca="false">ROUND($F$2*(A67+1)^2.4*1.004^A67,0)</f>
        <v>1866404</v>
      </c>
      <c r="F67" s="6" t="n">
        <f aca="false">ROUND(Building_Levels!$I$2*(A67+1)^1.9*1.003^A67,2)</f>
        <v>1.36</v>
      </c>
      <c r="G67" s="6" t="n">
        <f aca="false">ROUND((A67+1)^1.12,1)</f>
        <v>103.6</v>
      </c>
    </row>
    <row r="68" customFormat="false" ht="15" hidden="false" customHeight="true" outlineLevel="0" collapsed="false">
      <c r="A68" s="6" t="n">
        <v>63</v>
      </c>
      <c r="B68" s="6" t="n">
        <f aca="false">MIN(42, FLOOR(A68/32,1)+1)</f>
        <v>2</v>
      </c>
      <c r="C68" s="6" t="n">
        <f aca="false">ROUND($B$2*(A68+1)^2.4*1.004^A68,0)</f>
        <v>2502064</v>
      </c>
      <c r="D68" s="6" t="n">
        <f aca="false">ROUND($D$2*(A68+1)^2.4*1.004^A68,0)</f>
        <v>2224057</v>
      </c>
      <c r="E68" s="6" t="n">
        <f aca="false">ROUND($F$2*(A68+1)^2.4*1.004^A68,0)</f>
        <v>1946050</v>
      </c>
      <c r="F68" s="6" t="n">
        <f aca="false">ROUND(Building_Levels!$I$2*(A68+1)^1.9*1.003^A68,2)</f>
        <v>1.41</v>
      </c>
      <c r="G68" s="6" t="n">
        <f aca="false">ROUND((A68+1)^1.12,1)</f>
        <v>105.4</v>
      </c>
    </row>
    <row r="69" customFormat="false" ht="15" hidden="false" customHeight="true" outlineLevel="0" collapsed="false">
      <c r="A69" s="6" t="n">
        <v>64</v>
      </c>
      <c r="B69" s="6" t="n">
        <f aca="false">MIN(42, FLOOR(A69/32,1)+1)</f>
        <v>3</v>
      </c>
      <c r="C69" s="6" t="n">
        <f aca="false">ROUND($B$2*(A69+1)^2.4*1.004^A69,0)</f>
        <v>2607307</v>
      </c>
      <c r="D69" s="6" t="n">
        <f aca="false">ROUND($D$2*(A69+1)^2.4*1.004^A69,0)</f>
        <v>2317606</v>
      </c>
      <c r="E69" s="6" t="n">
        <f aca="false">ROUND($F$2*(A69+1)^2.4*1.004^A69,0)</f>
        <v>2027906</v>
      </c>
      <c r="F69" s="6" t="n">
        <f aca="false">ROUND(Building_Levels!$I$2*(A69+1)^1.9*1.003^A69,2)</f>
        <v>1.46</v>
      </c>
      <c r="G69" s="6" t="n">
        <f aca="false">ROUND((A69+1)^1.12,1)</f>
        <v>107.3</v>
      </c>
    </row>
    <row r="70" customFormat="false" ht="15" hidden="false" customHeight="true" outlineLevel="0" collapsed="false">
      <c r="A70" s="6" t="n">
        <v>65</v>
      </c>
      <c r="B70" s="6" t="n">
        <f aca="false">MIN(42, FLOOR(A70/32,1)+1)</f>
        <v>3</v>
      </c>
      <c r="C70" s="6" t="n">
        <f aca="false">ROUND($B$2*(A70+1)^2.4*1.004^A70,0)</f>
        <v>2715434</v>
      </c>
      <c r="D70" s="6" t="n">
        <f aca="false">ROUND($D$2*(A70+1)^2.4*1.004^A70,0)</f>
        <v>2413719</v>
      </c>
      <c r="E70" s="6" t="n">
        <f aca="false">ROUND($F$2*(A70+1)^2.4*1.004^A70,0)</f>
        <v>2112004</v>
      </c>
      <c r="F70" s="6" t="n">
        <f aca="false">ROUND(Building_Levels!$I$2*(A70+1)^1.9*1.003^A70,2)</f>
        <v>1.5</v>
      </c>
      <c r="G70" s="6" t="n">
        <f aca="false">ROUND((A70+1)^1.12,1)</f>
        <v>109.1</v>
      </c>
    </row>
    <row r="71" customFormat="false" ht="15" hidden="false" customHeight="true" outlineLevel="0" collapsed="false">
      <c r="A71" s="6" t="n">
        <v>66</v>
      </c>
      <c r="B71" s="6" t="n">
        <f aca="false">MIN(42, FLOOR(A71/32,1)+1)</f>
        <v>3</v>
      </c>
      <c r="C71" s="6" t="n">
        <f aca="false">ROUND($B$2*(A71+1)^2.4*1.004^A71,0)</f>
        <v>2826488</v>
      </c>
      <c r="D71" s="6" t="n">
        <f aca="false">ROUND($D$2*(A71+1)^2.4*1.004^A71,0)</f>
        <v>2512433</v>
      </c>
      <c r="E71" s="6" t="n">
        <f aca="false">ROUND($F$2*(A71+1)^2.4*1.004^A71,0)</f>
        <v>2198379</v>
      </c>
      <c r="F71" s="6" t="n">
        <f aca="false">ROUND(Building_Levels!$I$2*(A71+1)^1.9*1.003^A71,2)</f>
        <v>1.55</v>
      </c>
      <c r="G71" s="6" t="n">
        <f aca="false">ROUND((A71+1)^1.12,1)</f>
        <v>111</v>
      </c>
    </row>
    <row r="72" customFormat="false" ht="15" hidden="false" customHeight="true" outlineLevel="0" collapsed="false">
      <c r="A72" s="6" t="n">
        <v>67</v>
      </c>
      <c r="B72" s="6" t="n">
        <f aca="false">MIN(42, FLOOR(A72/32,1)+1)</f>
        <v>3</v>
      </c>
      <c r="C72" s="6" t="n">
        <f aca="false">ROUND($B$2*(A72+1)^2.4*1.004^A72,0)</f>
        <v>2940510</v>
      </c>
      <c r="D72" s="6" t="n">
        <f aca="false">ROUND($D$2*(A72+1)^2.4*1.004^A72,0)</f>
        <v>2613787</v>
      </c>
      <c r="E72" s="6" t="n">
        <f aca="false">ROUND($F$2*(A72+1)^2.4*1.004^A72,0)</f>
        <v>2287063</v>
      </c>
      <c r="F72" s="6" t="n">
        <f aca="false">ROUND(Building_Levels!$I$2*(A72+1)^1.9*1.003^A72,2)</f>
        <v>1.6</v>
      </c>
      <c r="G72" s="6" t="n">
        <f aca="false">ROUND((A72+1)^1.12,1)</f>
        <v>112.8</v>
      </c>
    </row>
    <row r="73" customFormat="false" ht="15" hidden="false" customHeight="true" outlineLevel="0" collapsed="false">
      <c r="A73" s="6" t="n">
        <v>68</v>
      </c>
      <c r="B73" s="6" t="n">
        <f aca="false">MIN(42, FLOOR(A73/32,1)+1)</f>
        <v>3</v>
      </c>
      <c r="C73" s="6" t="n">
        <f aca="false">ROUND($B$2*(A73+1)^2.4*1.004^A73,0)</f>
        <v>3057545</v>
      </c>
      <c r="D73" s="6" t="n">
        <f aca="false">ROUND($D$2*(A73+1)^2.4*1.004^A73,0)</f>
        <v>2717817</v>
      </c>
      <c r="E73" s="6" t="n">
        <f aca="false">ROUND($F$2*(A73+1)^2.4*1.004^A73,0)</f>
        <v>2378090</v>
      </c>
      <c r="F73" s="6" t="n">
        <f aca="false">ROUND(Building_Levels!$I$2*(A73+1)^1.9*1.003^A73,2)</f>
        <v>1.65</v>
      </c>
      <c r="G73" s="6" t="n">
        <f aca="false">ROUND((A73+1)^1.12,1)</f>
        <v>114.7</v>
      </c>
    </row>
    <row r="74" customFormat="false" ht="15" hidden="false" customHeight="true" outlineLevel="0" collapsed="false">
      <c r="A74" s="6" t="n">
        <v>69</v>
      </c>
      <c r="B74" s="6" t="n">
        <f aca="false">MIN(42, FLOOR(A74/32,1)+1)</f>
        <v>3</v>
      </c>
      <c r="C74" s="6" t="n">
        <f aca="false">ROUND($B$2*(A74+1)^2.4*1.004^A74,0)</f>
        <v>3177635</v>
      </c>
      <c r="D74" s="6" t="n">
        <f aca="false">ROUND($D$2*(A74+1)^2.4*1.004^A74,0)</f>
        <v>2824564</v>
      </c>
      <c r="E74" s="6" t="n">
        <f aca="false">ROUND($F$2*(A74+1)^2.4*1.004^A74,0)</f>
        <v>2471494</v>
      </c>
      <c r="F74" s="6" t="n">
        <f aca="false">ROUND(Building_Levels!$I$2*(A74+1)^1.9*1.003^A74,2)</f>
        <v>1.7</v>
      </c>
      <c r="G74" s="6" t="n">
        <f aca="false">ROUND((A74+1)^1.12,1)</f>
        <v>116.5</v>
      </c>
    </row>
    <row r="75" customFormat="false" ht="15" hidden="false" customHeight="true" outlineLevel="0" collapsed="false">
      <c r="A75" s="6" t="n">
        <v>70</v>
      </c>
      <c r="B75" s="6" t="n">
        <f aca="false">MIN(42, FLOOR(A75/32,1)+1)</f>
        <v>3</v>
      </c>
      <c r="C75" s="6" t="n">
        <f aca="false">ROUND($B$2*(A75+1)^2.4*1.004^A75,0)</f>
        <v>3300825</v>
      </c>
      <c r="D75" s="6" t="n">
        <f aca="false">ROUND($D$2*(A75+1)^2.4*1.004^A75,0)</f>
        <v>2934066</v>
      </c>
      <c r="E75" s="6" t="n">
        <f aca="false">ROUND($F$2*(A75+1)^2.4*1.004^A75,0)</f>
        <v>2567308</v>
      </c>
      <c r="F75" s="6" t="n">
        <f aca="false">ROUND(Building_Levels!$I$2*(A75+1)^1.9*1.003^A75,2)</f>
        <v>1.75</v>
      </c>
      <c r="G75" s="6" t="n">
        <f aca="false">ROUND((A75+1)^1.12,1)</f>
        <v>118.4</v>
      </c>
    </row>
    <row r="76" customFormat="false" ht="15" hidden="false" customHeight="true" outlineLevel="0" collapsed="false">
      <c r="A76" s="6" t="n">
        <v>71</v>
      </c>
      <c r="B76" s="6" t="n">
        <f aca="false">MIN(42, FLOOR(A76/32,1)+1)</f>
        <v>3</v>
      </c>
      <c r="C76" s="6" t="n">
        <f aca="false">ROUND($B$2*(A76+1)^2.4*1.004^A76,0)</f>
        <v>3427158</v>
      </c>
      <c r="D76" s="6" t="n">
        <f aca="false">ROUND($D$2*(A76+1)^2.4*1.004^A76,0)</f>
        <v>3046363</v>
      </c>
      <c r="E76" s="6" t="n">
        <f aca="false">ROUND($F$2*(A76+1)^2.4*1.004^A76,0)</f>
        <v>2665567</v>
      </c>
      <c r="F76" s="6" t="n">
        <f aca="false">ROUND(Building_Levels!$I$2*(A76+1)^1.9*1.003^A76,2)</f>
        <v>1.81</v>
      </c>
      <c r="G76" s="6" t="n">
        <f aca="false">ROUND((A76+1)^1.12,1)</f>
        <v>120.3</v>
      </c>
    </row>
    <row r="77" customFormat="false" ht="15" hidden="false" customHeight="true" outlineLevel="0" collapsed="false">
      <c r="A77" s="6" t="n">
        <v>72</v>
      </c>
      <c r="B77" s="6" t="n">
        <f aca="false">MIN(42, FLOOR(A77/32,1)+1)</f>
        <v>3</v>
      </c>
      <c r="C77" s="6" t="n">
        <f aca="false">ROUND($B$2*(A77+1)^2.4*1.004^A77,0)</f>
        <v>3556679</v>
      </c>
      <c r="D77" s="6" t="n">
        <f aca="false">ROUND($D$2*(A77+1)^2.4*1.004^A77,0)</f>
        <v>3161493</v>
      </c>
      <c r="E77" s="6" t="n">
        <f aca="false">ROUND($F$2*(A77+1)^2.4*1.004^A77,0)</f>
        <v>2766306</v>
      </c>
      <c r="F77" s="6" t="n">
        <f aca="false">ROUND(Building_Levels!$I$2*(A77+1)^1.9*1.003^A77,2)</f>
        <v>1.86</v>
      </c>
      <c r="G77" s="6" t="n">
        <f aca="false">ROUND((A77+1)^1.12,1)</f>
        <v>122.2</v>
      </c>
    </row>
    <row r="78" customFormat="false" ht="15" hidden="false" customHeight="true" outlineLevel="0" collapsed="false">
      <c r="A78" s="6" t="n">
        <v>73</v>
      </c>
      <c r="B78" s="6" t="n">
        <f aca="false">MIN(42, FLOOR(A78/32,1)+1)</f>
        <v>3</v>
      </c>
      <c r="C78" s="6" t="n">
        <f aca="false">ROUND($B$2*(A78+1)^2.4*1.004^A78,0)</f>
        <v>3689433</v>
      </c>
      <c r="D78" s="6" t="n">
        <f aca="false">ROUND($D$2*(A78+1)^2.4*1.004^A78,0)</f>
        <v>3279496</v>
      </c>
      <c r="E78" s="6" t="n">
        <f aca="false">ROUND($F$2*(A78+1)^2.4*1.004^A78,0)</f>
        <v>2869559</v>
      </c>
      <c r="F78" s="6" t="n">
        <f aca="false">ROUND(Building_Levels!$I$2*(A78+1)^1.9*1.003^A78,2)</f>
        <v>1.91</v>
      </c>
      <c r="G78" s="6" t="n">
        <f aca="false">ROUND((A78+1)^1.12,1)</f>
        <v>124</v>
      </c>
    </row>
    <row r="79" customFormat="false" ht="15" hidden="false" customHeight="true" outlineLevel="0" collapsed="false">
      <c r="A79" s="6" t="n">
        <v>74</v>
      </c>
      <c r="B79" s="6" t="n">
        <f aca="false">MIN(42, FLOOR(A79/32,1)+1)</f>
        <v>3</v>
      </c>
      <c r="C79" s="6" t="n">
        <f aca="false">ROUND($B$2*(A79+1)^2.4*1.004^A79,0)</f>
        <v>3825465</v>
      </c>
      <c r="D79" s="6" t="n">
        <f aca="false">ROUND($D$2*(A79+1)^2.4*1.004^A79,0)</f>
        <v>3400414</v>
      </c>
      <c r="E79" s="6" t="n">
        <f aca="false">ROUND($F$2*(A79+1)^2.4*1.004^A79,0)</f>
        <v>2975362</v>
      </c>
      <c r="F79" s="6" t="n">
        <f aca="false">ROUND(Building_Levels!$I$2*(A79+1)^1.9*1.003^A79,2)</f>
        <v>1.97</v>
      </c>
      <c r="G79" s="6" t="n">
        <f aca="false">ROUND((A79+1)^1.12,1)</f>
        <v>125.9</v>
      </c>
    </row>
    <row r="80" customFormat="false" ht="15" hidden="false" customHeight="true" outlineLevel="0" collapsed="false">
      <c r="A80" s="6" t="n">
        <v>75</v>
      </c>
      <c r="B80" s="6" t="n">
        <f aca="false">MIN(42, FLOOR(A80/32,1)+1)</f>
        <v>3</v>
      </c>
      <c r="C80" s="6" t="n">
        <f aca="false">ROUND($B$2*(A80+1)^2.4*1.004^A80,0)</f>
        <v>3964821</v>
      </c>
      <c r="D80" s="6" t="n">
        <f aca="false">ROUND($D$2*(A80+1)^2.4*1.004^A80,0)</f>
        <v>3524285</v>
      </c>
      <c r="E80" s="6" t="n">
        <f aca="false">ROUND($F$2*(A80+1)^2.4*1.004^A80,0)</f>
        <v>3083750</v>
      </c>
      <c r="F80" s="6" t="n">
        <f aca="false">ROUND(Building_Levels!$I$2*(A80+1)^1.9*1.003^A80,2)</f>
        <v>2.03</v>
      </c>
      <c r="G80" s="6" t="n">
        <f aca="false">ROUND((A80+1)^1.12,1)</f>
        <v>127.8</v>
      </c>
    </row>
    <row r="81" customFormat="false" ht="15" hidden="false" customHeight="true" outlineLevel="0" collapsed="false">
      <c r="A81" s="6" t="n">
        <v>76</v>
      </c>
      <c r="B81" s="6" t="n">
        <f aca="false">MIN(42, FLOOR(A81/32,1)+1)</f>
        <v>3</v>
      </c>
      <c r="C81" s="6" t="n">
        <f aca="false">ROUND($B$2*(A81+1)^2.4*1.004^A81,0)</f>
        <v>4107546</v>
      </c>
      <c r="D81" s="6" t="n">
        <f aca="false">ROUND($D$2*(A81+1)^2.4*1.004^A81,0)</f>
        <v>3651152</v>
      </c>
      <c r="E81" s="6" t="n">
        <f aca="false">ROUND($F$2*(A81+1)^2.4*1.004^A81,0)</f>
        <v>3194758</v>
      </c>
      <c r="F81" s="6" t="n">
        <f aca="false">ROUND(Building_Levels!$I$2*(A81+1)^1.9*1.003^A81,2)</f>
        <v>2.08</v>
      </c>
      <c r="G81" s="6" t="n">
        <f aca="false">ROUND((A81+1)^1.12,1)</f>
        <v>129.7</v>
      </c>
    </row>
    <row r="82" customFormat="false" ht="15" hidden="false" customHeight="true" outlineLevel="0" collapsed="false">
      <c r="A82" s="6" t="n">
        <v>77</v>
      </c>
      <c r="B82" s="6" t="n">
        <f aca="false">MIN(42, FLOOR(A82/32,1)+1)</f>
        <v>3</v>
      </c>
      <c r="C82" s="6" t="n">
        <f aca="false">ROUND($B$2*(A82+1)^2.4*1.004^A82,0)</f>
        <v>4253686</v>
      </c>
      <c r="D82" s="6" t="n">
        <f aca="false">ROUND($D$2*(A82+1)^2.4*1.004^A82,0)</f>
        <v>3781054</v>
      </c>
      <c r="E82" s="6" t="n">
        <f aca="false">ROUND($F$2*(A82+1)^2.4*1.004^A82,0)</f>
        <v>3308423</v>
      </c>
      <c r="F82" s="6" t="n">
        <f aca="false">ROUND(Building_Levels!$I$2*(A82+1)^1.9*1.003^A82,2)</f>
        <v>2.14</v>
      </c>
      <c r="G82" s="6" t="n">
        <f aca="false">ROUND((A82+1)^1.12,1)</f>
        <v>131.6</v>
      </c>
    </row>
    <row r="83" customFormat="false" ht="15" hidden="false" customHeight="true" outlineLevel="0" collapsed="false">
      <c r="A83" s="6" t="n">
        <v>78</v>
      </c>
      <c r="B83" s="6" t="n">
        <f aca="false">MIN(42, FLOOR(A83/32,1)+1)</f>
        <v>3</v>
      </c>
      <c r="C83" s="6" t="n">
        <f aca="false">ROUND($B$2*(A83+1)^2.4*1.004^A83,0)</f>
        <v>4403288</v>
      </c>
      <c r="D83" s="6" t="n">
        <f aca="false">ROUND($D$2*(A83+1)^2.4*1.004^A83,0)</f>
        <v>3914034</v>
      </c>
      <c r="E83" s="6" t="n">
        <f aca="false">ROUND($F$2*(A83+1)^2.4*1.004^A83,0)</f>
        <v>3424780</v>
      </c>
      <c r="F83" s="6" t="n">
        <f aca="false">ROUND(Building_Levels!$I$2*(A83+1)^1.9*1.003^A83,2)</f>
        <v>2.2</v>
      </c>
      <c r="G83" s="6" t="n">
        <f aca="false">ROUND((A83+1)^1.12,1)</f>
        <v>133.5</v>
      </c>
    </row>
    <row r="84" customFormat="false" ht="15" hidden="false" customHeight="true" outlineLevel="0" collapsed="false">
      <c r="A84" s="6" t="n">
        <v>79</v>
      </c>
      <c r="B84" s="6" t="n">
        <f aca="false">MIN(42, FLOOR(A84/32,1)+1)</f>
        <v>3</v>
      </c>
      <c r="C84" s="6" t="n">
        <f aca="false">ROUND($B$2*(A84+1)^2.4*1.004^A84,0)</f>
        <v>4556399</v>
      </c>
      <c r="D84" s="6" t="n">
        <f aca="false">ROUND($D$2*(A84+1)^2.4*1.004^A84,0)</f>
        <v>4050133</v>
      </c>
      <c r="E84" s="6" t="n">
        <f aca="false">ROUND($F$2*(A84+1)^2.4*1.004^A84,0)</f>
        <v>3543866</v>
      </c>
      <c r="F84" s="6" t="n">
        <f aca="false">ROUND(Building_Levels!$I$2*(A84+1)^1.9*1.003^A84,2)</f>
        <v>2.26</v>
      </c>
      <c r="G84" s="6" t="n">
        <f aca="false">ROUND((A84+1)^1.12,1)</f>
        <v>135.4</v>
      </c>
    </row>
    <row r="85" customFormat="false" ht="15" hidden="false" customHeight="true" outlineLevel="0" collapsed="false">
      <c r="A85" s="6" t="n">
        <v>80</v>
      </c>
      <c r="B85" s="6" t="n">
        <f aca="false">MIN(42, FLOOR(A85/32,1)+1)</f>
        <v>3</v>
      </c>
      <c r="C85" s="6" t="n">
        <f aca="false">ROUND($B$2*(A85+1)^2.4*1.004^A85,0)</f>
        <v>4713067</v>
      </c>
      <c r="D85" s="6" t="n">
        <f aca="false">ROUND($D$2*(A85+1)^2.4*1.004^A85,0)</f>
        <v>4189393</v>
      </c>
      <c r="E85" s="6" t="n">
        <f aca="false">ROUND($F$2*(A85+1)^2.4*1.004^A85,0)</f>
        <v>3665718</v>
      </c>
      <c r="F85" s="6" t="n">
        <f aca="false">ROUND(Building_Levels!$I$2*(A85+1)^1.9*1.003^A85,2)</f>
        <v>2.32</v>
      </c>
      <c r="G85" s="6" t="n">
        <f aca="false">ROUND((A85+1)^1.12,1)</f>
        <v>137.2</v>
      </c>
    </row>
    <row r="86" customFormat="false" ht="15" hidden="false" customHeight="true" outlineLevel="0" collapsed="false">
      <c r="A86" s="6" t="n">
        <v>81</v>
      </c>
      <c r="B86" s="6" t="n">
        <f aca="false">MIN(42, FLOOR(A86/32,1)+1)</f>
        <v>3</v>
      </c>
      <c r="C86" s="6" t="n">
        <f aca="false">ROUND($B$2*(A86+1)^2.4*1.004^A86,0)</f>
        <v>4873338</v>
      </c>
      <c r="D86" s="6" t="n">
        <f aca="false">ROUND($D$2*(A86+1)^2.4*1.004^A86,0)</f>
        <v>4331856</v>
      </c>
      <c r="E86" s="6" t="n">
        <f aca="false">ROUND($F$2*(A86+1)^2.4*1.004^A86,0)</f>
        <v>3790374</v>
      </c>
      <c r="F86" s="6" t="n">
        <f aca="false">ROUND(Building_Levels!$I$2*(A86+1)^1.9*1.003^A86,2)</f>
        <v>2.38</v>
      </c>
      <c r="G86" s="6" t="n">
        <f aca="false">ROUND((A86+1)^1.12,1)</f>
        <v>139.1</v>
      </c>
    </row>
    <row r="87" customFormat="false" ht="15" hidden="false" customHeight="true" outlineLevel="0" collapsed="false">
      <c r="A87" s="6" t="n">
        <v>82</v>
      </c>
      <c r="B87" s="6" t="n">
        <f aca="false">MIN(42, FLOOR(A87/32,1)+1)</f>
        <v>3</v>
      </c>
      <c r="C87" s="6" t="n">
        <f aca="false">ROUND($B$2*(A87+1)^2.4*1.004^A87,0)</f>
        <v>5037260</v>
      </c>
      <c r="D87" s="6" t="n">
        <f aca="false">ROUND($D$2*(A87+1)^2.4*1.004^A87,0)</f>
        <v>4477565</v>
      </c>
      <c r="E87" s="6" t="n">
        <f aca="false">ROUND($F$2*(A87+1)^2.4*1.004^A87,0)</f>
        <v>3917869</v>
      </c>
      <c r="F87" s="6" t="n">
        <f aca="false">ROUND(Building_Levels!$I$2*(A87+1)^1.9*1.003^A87,2)</f>
        <v>2.45</v>
      </c>
      <c r="G87" s="6" t="n">
        <f aca="false">ROUND((A87+1)^1.12,1)</f>
        <v>141</v>
      </c>
    </row>
    <row r="88" customFormat="false" ht="15" hidden="false" customHeight="true" outlineLevel="0" collapsed="false">
      <c r="A88" s="6" t="n">
        <v>83</v>
      </c>
      <c r="B88" s="6" t="n">
        <f aca="false">MIN(42, FLOOR(A88/32,1)+1)</f>
        <v>3</v>
      </c>
      <c r="C88" s="6" t="n">
        <f aca="false">ROUND($B$2*(A88+1)^2.4*1.004^A88,0)</f>
        <v>5204883</v>
      </c>
      <c r="D88" s="6" t="n">
        <f aca="false">ROUND($D$2*(A88+1)^2.4*1.004^A88,0)</f>
        <v>4626563</v>
      </c>
      <c r="E88" s="6" t="n">
        <f aca="false">ROUND($F$2*(A88+1)^2.4*1.004^A88,0)</f>
        <v>4048242</v>
      </c>
      <c r="F88" s="6" t="n">
        <f aca="false">ROUND(Building_Levels!$I$2*(A88+1)^1.9*1.003^A88,2)</f>
        <v>2.51</v>
      </c>
      <c r="G88" s="6" t="n">
        <f aca="false">ROUND((A88+1)^1.12,1)</f>
        <v>143</v>
      </c>
    </row>
    <row r="89" customFormat="false" ht="15" hidden="false" customHeight="true" outlineLevel="0" collapsed="false">
      <c r="A89" s="6" t="n">
        <v>84</v>
      </c>
      <c r="B89" s="6" t="n">
        <f aca="false">MIN(42, FLOOR(A89/32,1)+1)</f>
        <v>3</v>
      </c>
      <c r="C89" s="6" t="n">
        <f aca="false">ROUND($B$2*(A89+1)^2.4*1.004^A89,0)</f>
        <v>5376254</v>
      </c>
      <c r="D89" s="6" t="n">
        <f aca="false">ROUND($D$2*(A89+1)^2.4*1.004^A89,0)</f>
        <v>4778893</v>
      </c>
      <c r="E89" s="6" t="n">
        <f aca="false">ROUND($F$2*(A89+1)^2.4*1.004^A89,0)</f>
        <v>4181531</v>
      </c>
      <c r="F89" s="6" t="n">
        <f aca="false">ROUND(Building_Levels!$I$2*(A89+1)^1.9*1.003^A89,2)</f>
        <v>2.57</v>
      </c>
      <c r="G89" s="6" t="n">
        <f aca="false">ROUND((A89+1)^1.12,1)</f>
        <v>144.9</v>
      </c>
    </row>
    <row r="90" customFormat="false" ht="15" hidden="false" customHeight="true" outlineLevel="0" collapsed="false">
      <c r="A90" s="6" t="n">
        <v>85</v>
      </c>
      <c r="B90" s="6" t="n">
        <f aca="false">MIN(42, FLOOR(A90/32,1)+1)</f>
        <v>3</v>
      </c>
      <c r="C90" s="6" t="n">
        <f aca="false">ROUND($B$2*(A90+1)^2.4*1.004^A90,0)</f>
        <v>5551424</v>
      </c>
      <c r="D90" s="6" t="n">
        <f aca="false">ROUND($D$2*(A90+1)^2.4*1.004^A90,0)</f>
        <v>4934599</v>
      </c>
      <c r="E90" s="6" t="n">
        <f aca="false">ROUND($F$2*(A90+1)^2.4*1.004^A90,0)</f>
        <v>4317774</v>
      </c>
      <c r="F90" s="6" t="n">
        <f aca="false">ROUND(Building_Levels!$I$2*(A90+1)^1.9*1.003^A90,2)</f>
        <v>2.64</v>
      </c>
      <c r="G90" s="6" t="n">
        <f aca="false">ROUND((A90+1)^1.12,1)</f>
        <v>146.8</v>
      </c>
    </row>
    <row r="91" customFormat="false" ht="15" hidden="false" customHeight="true" outlineLevel="0" collapsed="false">
      <c r="A91" s="6" t="n">
        <v>86</v>
      </c>
      <c r="B91" s="6" t="n">
        <f aca="false">MIN(42, FLOOR(A91/32,1)+1)</f>
        <v>3</v>
      </c>
      <c r="C91" s="6" t="n">
        <f aca="false">ROUND($B$2*(A91+1)^2.4*1.004^A91,0)</f>
        <v>5730441</v>
      </c>
      <c r="D91" s="6" t="n">
        <f aca="false">ROUND($D$2*(A91+1)^2.4*1.004^A91,0)</f>
        <v>5093725</v>
      </c>
      <c r="E91" s="6" t="n">
        <f aca="false">ROUND($F$2*(A91+1)^2.4*1.004^A91,0)</f>
        <v>4457009</v>
      </c>
      <c r="F91" s="6" t="n">
        <f aca="false">ROUND(Building_Levels!$I$2*(A91+1)^1.9*1.003^A91,2)</f>
        <v>2.71</v>
      </c>
      <c r="G91" s="6" t="n">
        <f aca="false">ROUND((A91+1)^1.12,1)</f>
        <v>148.7</v>
      </c>
    </row>
    <row r="92" customFormat="false" ht="15" hidden="false" customHeight="true" outlineLevel="0" collapsed="false">
      <c r="A92" s="6" t="n">
        <v>87</v>
      </c>
      <c r="B92" s="6" t="n">
        <f aca="false">MIN(42, FLOOR(A92/32,1)+1)</f>
        <v>3</v>
      </c>
      <c r="C92" s="6" t="n">
        <f aca="false">ROUND($B$2*(A92+1)^2.4*1.004^A92,0)</f>
        <v>5913355</v>
      </c>
      <c r="D92" s="6" t="n">
        <f aca="false">ROUND($D$2*(A92+1)^2.4*1.004^A92,0)</f>
        <v>5256315</v>
      </c>
      <c r="E92" s="6" t="n">
        <f aca="false">ROUND($F$2*(A92+1)^2.4*1.004^A92,0)</f>
        <v>4599276</v>
      </c>
      <c r="F92" s="6" t="n">
        <f aca="false">ROUND(Building_Levels!$I$2*(A92+1)^1.9*1.003^A92,2)</f>
        <v>2.77</v>
      </c>
      <c r="G92" s="6" t="n">
        <f aca="false">ROUND((A92+1)^1.12,1)</f>
        <v>150.6</v>
      </c>
    </row>
    <row r="93" customFormat="false" ht="15" hidden="false" customHeight="true" outlineLevel="0" collapsed="false">
      <c r="A93" s="6" t="n">
        <v>88</v>
      </c>
      <c r="B93" s="6" t="n">
        <f aca="false">MIN(42, FLOOR(A93/32,1)+1)</f>
        <v>3</v>
      </c>
      <c r="C93" s="6" t="n">
        <f aca="false">ROUND($B$2*(A93+1)^2.4*1.004^A93,0)</f>
        <v>6100217</v>
      </c>
      <c r="D93" s="6" t="n">
        <f aca="false">ROUND($D$2*(A93+1)^2.4*1.004^A93,0)</f>
        <v>5422415</v>
      </c>
      <c r="E93" s="6" t="n">
        <f aca="false">ROUND($F$2*(A93+1)^2.4*1.004^A93,0)</f>
        <v>4744613</v>
      </c>
      <c r="F93" s="6" t="n">
        <f aca="false">ROUND(Building_Levels!$I$2*(A93+1)^1.9*1.003^A93,2)</f>
        <v>2.84</v>
      </c>
      <c r="G93" s="6" t="n">
        <f aca="false">ROUND((A93+1)^1.12,1)</f>
        <v>152.5</v>
      </c>
    </row>
    <row r="94" customFormat="false" ht="15" hidden="false" customHeight="true" outlineLevel="0" collapsed="false">
      <c r="A94" s="6" t="n">
        <v>89</v>
      </c>
      <c r="B94" s="6" t="n">
        <f aca="false">MIN(42, FLOOR(A94/32,1)+1)</f>
        <v>3</v>
      </c>
      <c r="C94" s="6" t="n">
        <f aca="false">ROUND($B$2*(A94+1)^2.4*1.004^A94,0)</f>
        <v>6291077</v>
      </c>
      <c r="D94" s="6" t="n">
        <f aca="false">ROUND($D$2*(A94+1)^2.4*1.004^A94,0)</f>
        <v>5592068</v>
      </c>
      <c r="E94" s="6" t="n">
        <f aca="false">ROUND($F$2*(A94+1)^2.4*1.004^A94,0)</f>
        <v>4893060</v>
      </c>
      <c r="F94" s="6" t="n">
        <f aca="false">ROUND(Building_Levels!$I$2*(A94+1)^1.9*1.003^A94,2)</f>
        <v>2.91</v>
      </c>
      <c r="G94" s="6" t="n">
        <f aca="false">ROUND((A94+1)^1.12,1)</f>
        <v>154.4</v>
      </c>
    </row>
    <row r="95" customFormat="false" ht="15" hidden="false" customHeight="true" outlineLevel="0" collapsed="false">
      <c r="A95" s="6" t="n">
        <v>90</v>
      </c>
      <c r="B95" s="6" t="n">
        <f aca="false">MIN(42, FLOOR(A95/32,1)+1)</f>
        <v>3</v>
      </c>
      <c r="C95" s="6" t="n">
        <f aca="false">ROUND($B$2*(A95+1)^2.4*1.004^A95,0)</f>
        <v>6485986</v>
      </c>
      <c r="D95" s="6" t="n">
        <f aca="false">ROUND($D$2*(A95+1)^2.4*1.004^A95,0)</f>
        <v>5765321</v>
      </c>
      <c r="E95" s="6" t="n">
        <f aca="false">ROUND($F$2*(A95+1)^2.4*1.004^A95,0)</f>
        <v>5044656</v>
      </c>
      <c r="F95" s="6" t="n">
        <f aca="false">ROUND(Building_Levels!$I$2*(A95+1)^1.9*1.003^A95,2)</f>
        <v>2.98</v>
      </c>
      <c r="G95" s="6" t="n">
        <f aca="false">ROUND((A95+1)^1.12,1)</f>
        <v>156.4</v>
      </c>
    </row>
    <row r="96" customFormat="false" ht="15" hidden="false" customHeight="true" outlineLevel="0" collapsed="false">
      <c r="A96" s="6" t="n">
        <v>91</v>
      </c>
      <c r="B96" s="6" t="n">
        <f aca="false">MIN(42, FLOOR(A96/32,1)+1)</f>
        <v>3</v>
      </c>
      <c r="C96" s="6" t="n">
        <f aca="false">ROUND($B$2*(A96+1)^2.4*1.004^A96,0)</f>
        <v>6684996</v>
      </c>
      <c r="D96" s="6" t="n">
        <f aca="false">ROUND($D$2*(A96+1)^2.4*1.004^A96,0)</f>
        <v>5942219</v>
      </c>
      <c r="E96" s="6" t="n">
        <f aca="false">ROUND($F$2*(A96+1)^2.4*1.004^A96,0)</f>
        <v>5199441</v>
      </c>
      <c r="F96" s="6" t="n">
        <f aca="false">ROUND(Building_Levels!$I$2*(A96+1)^1.9*1.003^A96,2)</f>
        <v>3.06</v>
      </c>
      <c r="G96" s="6" t="n">
        <f aca="false">ROUND((A96+1)^1.12,1)</f>
        <v>158.3</v>
      </c>
    </row>
    <row r="97" customFormat="false" ht="15" hidden="false" customHeight="true" outlineLevel="0" collapsed="false">
      <c r="A97" s="6" t="n">
        <v>92</v>
      </c>
      <c r="B97" s="6" t="n">
        <f aca="false">MIN(42, FLOOR(A97/32,1)+1)</f>
        <v>3</v>
      </c>
      <c r="C97" s="6" t="n">
        <f aca="false">ROUND($B$2*(A97+1)^2.4*1.004^A97,0)</f>
        <v>6888159</v>
      </c>
      <c r="D97" s="6" t="n">
        <f aca="false">ROUND($D$2*(A97+1)^2.4*1.004^A97,0)</f>
        <v>6122808</v>
      </c>
      <c r="E97" s="6" t="n">
        <f aca="false">ROUND($F$2*(A97+1)^2.4*1.004^A97,0)</f>
        <v>5357457</v>
      </c>
      <c r="F97" s="6" t="n">
        <f aca="false">ROUND(Building_Levels!$I$2*(A97+1)^1.9*1.003^A97,2)</f>
        <v>3.13</v>
      </c>
      <c r="G97" s="6" t="n">
        <f aca="false">ROUND((A97+1)^1.12,1)</f>
        <v>160.2</v>
      </c>
    </row>
    <row r="98" customFormat="false" ht="15" hidden="false" customHeight="true" outlineLevel="0" collapsed="false">
      <c r="A98" s="6" t="n">
        <v>93</v>
      </c>
      <c r="B98" s="6" t="n">
        <f aca="false">MIN(42, FLOOR(A98/32,1)+1)</f>
        <v>3</v>
      </c>
      <c r="C98" s="6" t="n">
        <f aca="false">ROUND($B$2*(A98+1)^2.4*1.004^A98,0)</f>
        <v>7095527</v>
      </c>
      <c r="D98" s="6" t="n">
        <f aca="false">ROUND($D$2*(A98+1)^2.4*1.004^A98,0)</f>
        <v>6307135</v>
      </c>
      <c r="E98" s="6" t="n">
        <f aca="false">ROUND($F$2*(A98+1)^2.4*1.004^A98,0)</f>
        <v>5518743</v>
      </c>
      <c r="F98" s="6" t="n">
        <f aca="false">ROUND(Building_Levels!$I$2*(A98+1)^1.9*1.003^A98,2)</f>
        <v>3.2</v>
      </c>
      <c r="G98" s="6" t="n">
        <f aca="false">ROUND((A98+1)^1.12,1)</f>
        <v>162.1</v>
      </c>
    </row>
    <row r="99" customFormat="false" ht="15" hidden="false" customHeight="true" outlineLevel="0" collapsed="false">
      <c r="A99" s="6" t="n">
        <v>94</v>
      </c>
      <c r="B99" s="6" t="n">
        <f aca="false">MIN(42, FLOOR(A99/32,1)+1)</f>
        <v>3</v>
      </c>
      <c r="C99" s="6" t="n">
        <f aca="false">ROUND($B$2*(A99+1)^2.4*1.004^A99,0)</f>
        <v>7307152</v>
      </c>
      <c r="D99" s="6" t="n">
        <f aca="false">ROUND($D$2*(A99+1)^2.4*1.004^A99,0)</f>
        <v>6495247</v>
      </c>
      <c r="E99" s="6" t="n">
        <f aca="false">ROUND($F$2*(A99+1)^2.4*1.004^A99,0)</f>
        <v>5683341</v>
      </c>
      <c r="F99" s="6" t="n">
        <f aca="false">ROUND(Building_Levels!$I$2*(A99+1)^1.9*1.003^A99,2)</f>
        <v>3.28</v>
      </c>
      <c r="G99" s="6" t="n">
        <f aca="false">ROUND((A99+1)^1.12,1)</f>
        <v>164.1</v>
      </c>
    </row>
    <row r="100" customFormat="false" ht="15" hidden="false" customHeight="true" outlineLevel="0" collapsed="false">
      <c r="A100" s="6" t="n">
        <v>95</v>
      </c>
      <c r="B100" s="6" t="n">
        <f aca="false">MIN(42, FLOOR(A100/32,1)+1)</f>
        <v>3</v>
      </c>
      <c r="C100" s="6" t="n">
        <f aca="false">ROUND($B$2*(A100+1)^2.4*1.004^A100,0)</f>
        <v>7523089</v>
      </c>
      <c r="D100" s="6" t="n">
        <f aca="false">ROUND($D$2*(A100+1)^2.4*1.004^A100,0)</f>
        <v>6687190</v>
      </c>
      <c r="E100" s="6" t="n">
        <f aca="false">ROUND($F$2*(A100+1)^2.4*1.004^A100,0)</f>
        <v>5851291</v>
      </c>
      <c r="F100" s="6" t="n">
        <f aca="false">ROUND(Building_Levels!$I$2*(A100+1)^1.9*1.003^A100,2)</f>
        <v>3.35</v>
      </c>
      <c r="G100" s="6" t="n">
        <f aca="false">ROUND((A100+1)^1.12,1)</f>
        <v>166</v>
      </c>
    </row>
    <row r="101" customFormat="false" ht="15" hidden="false" customHeight="true" outlineLevel="0" collapsed="false">
      <c r="A101" s="6" t="n">
        <v>96</v>
      </c>
      <c r="B101" s="6" t="n">
        <f aca="false">MIN(42, FLOOR(A101/32,1)+1)</f>
        <v>4</v>
      </c>
      <c r="C101" s="6" t="n">
        <f aca="false">ROUND($B$2*(A101+1)^2.4*1.004^A101,0)</f>
        <v>7743389</v>
      </c>
      <c r="D101" s="6" t="n">
        <f aca="false">ROUND($D$2*(A101+1)^2.4*1.004^A101,0)</f>
        <v>6883013</v>
      </c>
      <c r="E101" s="6" t="n">
        <f aca="false">ROUND($F$2*(A101+1)^2.4*1.004^A101,0)</f>
        <v>6022636</v>
      </c>
      <c r="F101" s="6" t="n">
        <f aca="false">ROUND(Building_Levels!$I$2*(A101+1)^1.9*1.003^A101,2)</f>
        <v>3.43</v>
      </c>
      <c r="G101" s="6" t="n">
        <f aca="false">ROUND((A101+1)^1.12,1)</f>
        <v>168</v>
      </c>
    </row>
    <row r="102" customFormat="false" ht="15" hidden="false" customHeight="true" outlineLevel="0" collapsed="false">
      <c r="A102" s="6" t="n">
        <v>97</v>
      </c>
      <c r="B102" s="6" t="n">
        <f aca="false">MIN(42, FLOOR(A102/32,1)+1)</f>
        <v>4</v>
      </c>
      <c r="C102" s="6" t="n">
        <f aca="false">ROUND($B$2*(A102+1)^2.4*1.004^A102,0)</f>
        <v>7968108</v>
      </c>
      <c r="D102" s="6" t="n">
        <f aca="false">ROUND($D$2*(A102+1)^2.4*1.004^A102,0)</f>
        <v>7082763</v>
      </c>
      <c r="E102" s="6" t="n">
        <f aca="false">ROUND($F$2*(A102+1)^2.4*1.004^A102,0)</f>
        <v>6197418</v>
      </c>
      <c r="F102" s="6" t="n">
        <f aca="false">ROUND(Building_Levels!$I$2*(A102+1)^1.9*1.003^A102,2)</f>
        <v>3.51</v>
      </c>
      <c r="G102" s="6" t="n">
        <f aca="false">ROUND((A102+1)^1.12,1)</f>
        <v>169.9</v>
      </c>
    </row>
    <row r="103" customFormat="false" ht="15" hidden="false" customHeight="true" outlineLevel="0" collapsed="false">
      <c r="A103" s="6" t="n">
        <v>98</v>
      </c>
      <c r="B103" s="6" t="n">
        <f aca="false">MIN(42, FLOOR(A103/32,1)+1)</f>
        <v>4</v>
      </c>
      <c r="C103" s="6" t="n">
        <f aca="false">ROUND($B$2*(A103+1)^2.4*1.004^A103,0)</f>
        <v>8197300</v>
      </c>
      <c r="D103" s="6" t="n">
        <f aca="false">ROUND($D$2*(A103+1)^2.4*1.004^A103,0)</f>
        <v>7286489</v>
      </c>
      <c r="E103" s="6" t="n">
        <f aca="false">ROUND($F$2*(A103+1)^2.4*1.004^A103,0)</f>
        <v>6375678</v>
      </c>
      <c r="F103" s="6" t="n">
        <f aca="false">ROUND(Building_Levels!$I$2*(A103+1)^1.9*1.003^A103,2)</f>
        <v>3.59</v>
      </c>
      <c r="G103" s="6" t="n">
        <f aca="false">ROUND((A103+1)^1.12,1)</f>
        <v>171.8</v>
      </c>
    </row>
    <row r="104" customFormat="false" ht="15" hidden="false" customHeight="true" outlineLevel="0" collapsed="false">
      <c r="A104" s="6" t="n">
        <v>99</v>
      </c>
      <c r="B104" s="6" t="n">
        <f aca="false">MIN(42, FLOOR(A104/32,1)+1)</f>
        <v>4</v>
      </c>
      <c r="C104" s="6" t="n">
        <f aca="false">ROUND($B$2*(A104+1)^2.4*1.004^A104,0)</f>
        <v>8431019</v>
      </c>
      <c r="D104" s="6" t="n">
        <f aca="false">ROUND($D$2*(A104+1)^2.4*1.004^A104,0)</f>
        <v>7494239</v>
      </c>
      <c r="E104" s="6" t="n">
        <f aca="false">ROUND($F$2*(A104+1)^2.4*1.004^A104,0)</f>
        <v>6557459</v>
      </c>
      <c r="F104" s="6" t="n">
        <f aca="false">ROUND(Building_Levels!$I$2*(A104+1)^1.9*1.003^A104,2)</f>
        <v>3.67</v>
      </c>
      <c r="G104" s="6" t="n">
        <f aca="false">ROUND((A104+1)^1.12,1)</f>
        <v>173.8</v>
      </c>
    </row>
    <row r="105" customFormat="false" ht="15" hidden="false" customHeight="true" outlineLevel="0" collapsed="false">
      <c r="A105" s="6" t="n">
        <v>100</v>
      </c>
      <c r="B105" s="6" t="n">
        <f aca="false">MIN(42, FLOOR(A105/32,1)+1)</f>
        <v>4</v>
      </c>
      <c r="C105" s="6" t="n">
        <f aca="false">ROUND($B$2*(A105+1)^2.4*1.004^A105,0)</f>
        <v>8669321</v>
      </c>
      <c r="D105" s="6" t="n">
        <f aca="false">ROUND($D$2*(A105+1)^2.4*1.004^A105,0)</f>
        <v>7706063</v>
      </c>
      <c r="E105" s="6" t="n">
        <f aca="false">ROUND($F$2*(A105+1)^2.4*1.004^A105,0)</f>
        <v>6742805</v>
      </c>
      <c r="F105" s="6" t="n">
        <f aca="false">ROUND(Building_Levels!$I$2*(A105+1)^1.9*1.003^A105,2)</f>
        <v>3.75</v>
      </c>
      <c r="G105" s="6" t="n">
        <f aca="false">ROUND((A105+1)^1.12,1)</f>
        <v>175.7</v>
      </c>
    </row>
    <row r="106" customFormat="false" ht="15" hidden="false" customHeight="true" outlineLevel="0" collapsed="false">
      <c r="A106" s="6" t="n">
        <v>101</v>
      </c>
      <c r="B106" s="6" t="n">
        <f aca="false">MIN(42, FLOOR(A106/32,1)+1)</f>
        <v>4</v>
      </c>
      <c r="C106" s="6" t="n">
        <f aca="false">ROUND($B$2*(A106+1)^2.4*1.004^A106,0)</f>
        <v>8912261</v>
      </c>
      <c r="D106" s="6" t="n">
        <f aca="false">ROUND($D$2*(A106+1)^2.4*1.004^A106,0)</f>
        <v>7922010</v>
      </c>
      <c r="E106" s="6" t="n">
        <f aca="false">ROUND($F$2*(A106+1)^2.4*1.004^A106,0)</f>
        <v>6931759</v>
      </c>
      <c r="F106" s="6" t="n">
        <f aca="false">ROUND(Building_Levels!$I$2*(A106+1)^1.9*1.003^A106,2)</f>
        <v>3.83</v>
      </c>
      <c r="G106" s="6" t="n">
        <f aca="false">ROUND((A106+1)^1.12,1)</f>
        <v>177.7</v>
      </c>
    </row>
    <row r="107" customFormat="false" ht="15" hidden="false" customHeight="true" outlineLevel="0" collapsed="false">
      <c r="A107" s="6" t="n">
        <v>102</v>
      </c>
      <c r="B107" s="6" t="n">
        <f aca="false">MIN(42, FLOOR(A107/32,1)+1)</f>
        <v>4</v>
      </c>
      <c r="C107" s="6" t="n">
        <f aca="false">ROUND($B$2*(A107+1)^2.4*1.004^A107,0)</f>
        <v>9159896</v>
      </c>
      <c r="D107" s="6" t="n">
        <f aca="false">ROUND($D$2*(A107+1)^2.4*1.004^A107,0)</f>
        <v>8142130</v>
      </c>
      <c r="E107" s="6" t="n">
        <f aca="false">ROUND($F$2*(A107+1)^2.4*1.004^A107,0)</f>
        <v>7124364</v>
      </c>
      <c r="F107" s="6" t="n">
        <f aca="false">ROUND(Building_Levels!$I$2*(A107+1)^1.9*1.003^A107,2)</f>
        <v>3.91</v>
      </c>
      <c r="G107" s="6" t="n">
        <f aca="false">ROUND((A107+1)^1.12,1)</f>
        <v>179.6</v>
      </c>
    </row>
    <row r="108" customFormat="false" ht="15" hidden="false" customHeight="true" outlineLevel="0" collapsed="false">
      <c r="A108" s="6" t="n">
        <v>103</v>
      </c>
      <c r="B108" s="6" t="n">
        <f aca="false">MIN(42, FLOOR(A108/32,1)+1)</f>
        <v>4</v>
      </c>
      <c r="C108" s="6" t="n">
        <f aca="false">ROUND($B$2*(A108+1)^2.4*1.004^A108,0)</f>
        <v>9412282</v>
      </c>
      <c r="D108" s="6" t="n">
        <f aca="false">ROUND($D$2*(A108+1)^2.4*1.004^A108,0)</f>
        <v>8366473</v>
      </c>
      <c r="E108" s="6" t="n">
        <f aca="false">ROUND($F$2*(A108+1)^2.4*1.004^A108,0)</f>
        <v>7320664</v>
      </c>
      <c r="F108" s="6" t="n">
        <f aca="false">ROUND(Building_Levels!$I$2*(A108+1)^1.9*1.003^A108,2)</f>
        <v>4</v>
      </c>
      <c r="G108" s="6" t="n">
        <f aca="false">ROUND((A108+1)^1.12,1)</f>
        <v>181.6</v>
      </c>
    </row>
    <row r="109" customFormat="false" ht="15" hidden="false" customHeight="true" outlineLevel="0" collapsed="false">
      <c r="A109" s="6" t="n">
        <v>104</v>
      </c>
      <c r="B109" s="6" t="n">
        <f aca="false">MIN(42, FLOOR(A109/32,1)+1)</f>
        <v>4</v>
      </c>
      <c r="C109" s="6" t="n">
        <f aca="false">ROUND($B$2*(A109+1)^2.4*1.004^A109,0)</f>
        <v>9669476</v>
      </c>
      <c r="D109" s="6" t="n">
        <f aca="false">ROUND($D$2*(A109+1)^2.4*1.004^A109,0)</f>
        <v>8595090</v>
      </c>
      <c r="E109" s="6" t="n">
        <f aca="false">ROUND($F$2*(A109+1)^2.4*1.004^A109,0)</f>
        <v>7520704</v>
      </c>
      <c r="F109" s="6" t="n">
        <f aca="false">ROUND(Building_Levels!$I$2*(A109+1)^1.9*1.003^A109,2)</f>
        <v>4.08</v>
      </c>
      <c r="G109" s="6" t="n">
        <f aca="false">ROUND((A109+1)^1.12,1)</f>
        <v>183.5</v>
      </c>
    </row>
    <row r="110" customFormat="false" ht="15" hidden="false" customHeight="true" outlineLevel="0" collapsed="false">
      <c r="A110" s="6" t="n">
        <v>105</v>
      </c>
      <c r="B110" s="6" t="n">
        <f aca="false">MIN(42, FLOOR(A110/32,1)+1)</f>
        <v>4</v>
      </c>
      <c r="C110" s="6" t="n">
        <f aca="false">ROUND($B$2*(A110+1)^2.4*1.004^A110,0)</f>
        <v>9931536</v>
      </c>
      <c r="D110" s="6" t="n">
        <f aca="false">ROUND($D$2*(A110+1)^2.4*1.004^A110,0)</f>
        <v>8828032</v>
      </c>
      <c r="E110" s="6" t="n">
        <f aca="false">ROUND($F$2*(A110+1)^2.4*1.004^A110,0)</f>
        <v>7724528</v>
      </c>
      <c r="F110" s="6" t="n">
        <f aca="false">ROUND(Building_Levels!$I$2*(A110+1)^1.9*1.003^A110,2)</f>
        <v>4.17</v>
      </c>
      <c r="G110" s="6" t="n">
        <f aca="false">ROUND((A110+1)^1.12,1)</f>
        <v>185.5</v>
      </c>
    </row>
    <row r="111" customFormat="false" ht="15" hidden="false" customHeight="true" outlineLevel="0" collapsed="false">
      <c r="A111" s="6" t="n">
        <v>106</v>
      </c>
      <c r="B111" s="6" t="n">
        <f aca="false">MIN(42, FLOOR(A111/32,1)+1)</f>
        <v>4</v>
      </c>
      <c r="C111" s="6" t="n">
        <f aca="false">ROUND($B$2*(A111+1)^2.4*1.004^A111,0)</f>
        <v>10198520</v>
      </c>
      <c r="D111" s="6" t="n">
        <f aca="false">ROUND($D$2*(A111+1)^2.4*1.004^A111,0)</f>
        <v>9065351</v>
      </c>
      <c r="E111" s="6" t="n">
        <f aca="false">ROUND($F$2*(A111+1)^2.4*1.004^A111,0)</f>
        <v>7932182</v>
      </c>
      <c r="F111" s="6" t="n">
        <f aca="false">ROUND(Building_Levels!$I$2*(A111+1)^1.9*1.003^A111,2)</f>
        <v>4.26</v>
      </c>
      <c r="G111" s="6" t="n">
        <f aca="false">ROUND((A111+1)^1.12,1)</f>
        <v>187.5</v>
      </c>
    </row>
    <row r="112" customFormat="false" ht="15" hidden="false" customHeight="true" outlineLevel="0" collapsed="false">
      <c r="A112" s="6" t="n">
        <v>107</v>
      </c>
      <c r="B112" s="6" t="n">
        <f aca="false">MIN(42, FLOOR(A112/32,1)+1)</f>
        <v>4</v>
      </c>
      <c r="C112" s="6" t="n">
        <f aca="false">ROUND($B$2*(A112+1)^2.4*1.004^A112,0)</f>
        <v>10470485</v>
      </c>
      <c r="D112" s="6" t="n">
        <f aca="false">ROUND($D$2*(A112+1)^2.4*1.004^A112,0)</f>
        <v>9307098</v>
      </c>
      <c r="E112" s="6" t="n">
        <f aca="false">ROUND($F$2*(A112+1)^2.4*1.004^A112,0)</f>
        <v>8143710</v>
      </c>
      <c r="F112" s="6" t="n">
        <f aca="false">ROUND(Building_Levels!$I$2*(A112+1)^1.9*1.003^A112,2)</f>
        <v>4.35</v>
      </c>
      <c r="G112" s="6" t="n">
        <f aca="false">ROUND((A112+1)^1.12,1)</f>
        <v>189.4</v>
      </c>
    </row>
    <row r="113" customFormat="false" ht="15" hidden="false" customHeight="true" outlineLevel="0" collapsed="false">
      <c r="A113" s="6" t="n">
        <v>108</v>
      </c>
      <c r="B113" s="6" t="n">
        <f aca="false">MIN(42, FLOOR(A113/32,1)+1)</f>
        <v>4</v>
      </c>
      <c r="C113" s="6" t="n">
        <f aca="false">ROUND($B$2*(A113+1)^2.4*1.004^A113,0)</f>
        <v>10747491</v>
      </c>
      <c r="D113" s="6" t="n">
        <f aca="false">ROUND($D$2*(A113+1)^2.4*1.004^A113,0)</f>
        <v>9553325</v>
      </c>
      <c r="E113" s="6" t="n">
        <f aca="false">ROUND($F$2*(A113+1)^2.4*1.004^A113,0)</f>
        <v>8359160</v>
      </c>
      <c r="F113" s="6" t="n">
        <f aca="false">ROUND(Building_Levels!$I$2*(A113+1)^1.9*1.003^A113,2)</f>
        <v>4.44</v>
      </c>
      <c r="G113" s="6" t="n">
        <f aca="false">ROUND((A113+1)^1.12,1)</f>
        <v>191.4</v>
      </c>
    </row>
    <row r="114" customFormat="false" ht="15" hidden="false" customHeight="true" outlineLevel="0" collapsed="false">
      <c r="A114" s="6" t="n">
        <v>109</v>
      </c>
      <c r="B114" s="6" t="n">
        <f aca="false">MIN(42, FLOOR(A114/32,1)+1)</f>
        <v>4</v>
      </c>
      <c r="C114" s="6" t="n">
        <f aca="false">ROUND($B$2*(A114+1)^2.4*1.004^A114,0)</f>
        <v>11029597</v>
      </c>
      <c r="D114" s="6" t="n">
        <f aca="false">ROUND($D$2*(A114+1)^2.4*1.004^A114,0)</f>
        <v>9804086</v>
      </c>
      <c r="E114" s="6" t="n">
        <f aca="false">ROUND($F$2*(A114+1)^2.4*1.004^A114,0)</f>
        <v>8578576</v>
      </c>
      <c r="F114" s="6" t="n">
        <f aca="false">ROUND(Building_Levels!$I$2*(A114+1)^1.9*1.003^A114,2)</f>
        <v>4.53</v>
      </c>
      <c r="G114" s="6" t="n">
        <f aca="false">ROUND((A114+1)^1.12,1)</f>
        <v>193.4</v>
      </c>
    </row>
    <row r="115" customFormat="false" ht="15" hidden="false" customHeight="true" outlineLevel="0" collapsed="false">
      <c r="A115" s="6" t="n">
        <v>110</v>
      </c>
      <c r="B115" s="6" t="n">
        <f aca="false">MIN(42, FLOOR(A115/32,1)+1)</f>
        <v>4</v>
      </c>
      <c r="C115" s="6" t="n">
        <f aca="false">ROUND($B$2*(A115+1)^2.4*1.004^A115,0)</f>
        <v>11316863</v>
      </c>
      <c r="D115" s="6" t="n">
        <f aca="false">ROUND($D$2*(A115+1)^2.4*1.004^A115,0)</f>
        <v>10059434</v>
      </c>
      <c r="E115" s="6" t="n">
        <f aca="false">ROUND($F$2*(A115+1)^2.4*1.004^A115,0)</f>
        <v>8802005</v>
      </c>
      <c r="F115" s="6" t="n">
        <f aca="false">ROUND(Building_Levels!$I$2*(A115+1)^1.9*1.003^A115,2)</f>
        <v>4.62</v>
      </c>
      <c r="G115" s="6" t="n">
        <f aca="false">ROUND((A115+1)^1.12,1)</f>
        <v>195.3</v>
      </c>
    </row>
    <row r="116" customFormat="false" ht="15" hidden="false" customHeight="true" outlineLevel="0" collapsed="false">
      <c r="A116" s="6" t="n">
        <v>111</v>
      </c>
      <c r="B116" s="6" t="n">
        <f aca="false">MIN(42, FLOOR(A116/32,1)+1)</f>
        <v>4</v>
      </c>
      <c r="C116" s="6" t="n">
        <f aca="false">ROUND($B$2*(A116+1)^2.4*1.004^A116,0)</f>
        <v>11609349</v>
      </c>
      <c r="D116" s="6" t="n">
        <f aca="false">ROUND($D$2*(A116+1)^2.4*1.004^A116,0)</f>
        <v>10319422</v>
      </c>
      <c r="E116" s="6" t="n">
        <f aca="false">ROUND($F$2*(A116+1)^2.4*1.004^A116,0)</f>
        <v>9029494</v>
      </c>
      <c r="F116" s="6" t="n">
        <f aca="false">ROUND(Building_Levels!$I$2*(A116+1)^1.9*1.003^A116,2)</f>
        <v>4.71</v>
      </c>
      <c r="G116" s="6" t="n">
        <f aca="false">ROUND((A116+1)^1.12,1)</f>
        <v>197.3</v>
      </c>
    </row>
    <row r="117" customFormat="false" ht="15" hidden="false" customHeight="true" outlineLevel="0" collapsed="false">
      <c r="A117" s="6" t="n">
        <v>112</v>
      </c>
      <c r="B117" s="6" t="n">
        <f aca="false">MIN(42, FLOOR(A117/32,1)+1)</f>
        <v>4</v>
      </c>
      <c r="C117" s="6" t="n">
        <f aca="false">ROUND($B$2*(A117+1)^2.4*1.004^A117,0)</f>
        <v>11907117</v>
      </c>
      <c r="D117" s="6" t="n">
        <f aca="false">ROUND($D$2*(A117+1)^2.4*1.004^A117,0)</f>
        <v>10584104</v>
      </c>
      <c r="E117" s="6" t="n">
        <f aca="false">ROUND($F$2*(A117+1)^2.4*1.004^A117,0)</f>
        <v>9261091</v>
      </c>
      <c r="F117" s="6" t="n">
        <f aca="false">ROUND(Building_Levels!$I$2*(A117+1)^1.9*1.003^A117,2)</f>
        <v>4.81</v>
      </c>
      <c r="G117" s="6" t="n">
        <f aca="false">ROUND((A117+1)^1.12,1)</f>
        <v>199.3</v>
      </c>
    </row>
    <row r="118" customFormat="false" ht="15" hidden="false" customHeight="true" outlineLevel="0" collapsed="false">
      <c r="A118" s="6" t="n">
        <v>113</v>
      </c>
      <c r="B118" s="6" t="n">
        <f aca="false">MIN(42, FLOOR(A118/32,1)+1)</f>
        <v>4</v>
      </c>
      <c r="C118" s="6" t="n">
        <f aca="false">ROUND($B$2*(A118+1)^2.4*1.004^A118,0)</f>
        <v>12210226</v>
      </c>
      <c r="D118" s="6" t="n">
        <f aca="false">ROUND($D$2*(A118+1)^2.4*1.004^A118,0)</f>
        <v>10853534</v>
      </c>
      <c r="E118" s="6" t="n">
        <f aca="false">ROUND($F$2*(A118+1)^2.4*1.004^A118,0)</f>
        <v>9496842</v>
      </c>
      <c r="F118" s="6" t="n">
        <f aca="false">ROUND(Building_Levels!$I$2*(A118+1)^1.9*1.003^A118,2)</f>
        <v>4.9</v>
      </c>
      <c r="G118" s="6" t="n">
        <f aca="false">ROUND((A118+1)^1.12,1)</f>
        <v>201.2</v>
      </c>
    </row>
    <row r="119" customFormat="false" ht="15" hidden="false" customHeight="true" outlineLevel="0" collapsed="false">
      <c r="A119" s="6" t="n">
        <v>114</v>
      </c>
      <c r="B119" s="6" t="n">
        <f aca="false">MIN(42, FLOOR(A119/32,1)+1)</f>
        <v>4</v>
      </c>
      <c r="C119" s="6" t="n">
        <f aca="false">ROUND($B$2*(A119+1)^2.4*1.004^A119,0)</f>
        <v>12518739</v>
      </c>
      <c r="D119" s="6" t="n">
        <f aca="false">ROUND($D$2*(A119+1)^2.4*1.004^A119,0)</f>
        <v>11127768</v>
      </c>
      <c r="E119" s="6" t="n">
        <f aca="false">ROUND($F$2*(A119+1)^2.4*1.004^A119,0)</f>
        <v>9736797</v>
      </c>
      <c r="F119" s="6" t="n">
        <f aca="false">ROUND(Building_Levels!$I$2*(A119+1)^1.9*1.003^A119,2)</f>
        <v>5</v>
      </c>
      <c r="G119" s="6" t="n">
        <f aca="false">ROUND((A119+1)^1.12,1)</f>
        <v>203.2</v>
      </c>
    </row>
    <row r="120" customFormat="false" ht="15" hidden="false" customHeight="true" outlineLevel="0" collapsed="false">
      <c r="A120" s="6" t="n">
        <v>115</v>
      </c>
      <c r="B120" s="6" t="n">
        <f aca="false">MIN(42, FLOOR(A120/32,1)+1)</f>
        <v>4</v>
      </c>
      <c r="C120" s="6" t="n">
        <f aca="false">ROUND($B$2*(A120+1)^2.4*1.004^A120,0)</f>
        <v>12832718</v>
      </c>
      <c r="D120" s="6" t="n">
        <f aca="false">ROUND($D$2*(A120+1)^2.4*1.004^A120,0)</f>
        <v>11406861</v>
      </c>
      <c r="E120" s="6" t="n">
        <f aca="false">ROUND($F$2*(A120+1)^2.4*1.004^A120,0)</f>
        <v>9981003</v>
      </c>
      <c r="F120" s="6" t="n">
        <f aca="false">ROUND(Building_Levels!$I$2*(A120+1)^1.9*1.003^A120,2)</f>
        <v>5.1</v>
      </c>
      <c r="G120" s="6" t="n">
        <f aca="false">ROUND((A120+1)^1.12,1)</f>
        <v>205.2</v>
      </c>
    </row>
    <row r="121" customFormat="false" ht="15" hidden="false" customHeight="true" outlineLevel="0" collapsed="false">
      <c r="A121" s="6" t="n">
        <v>116</v>
      </c>
      <c r="B121" s="6" t="n">
        <f aca="false">MIN(42, FLOOR(A121/32,1)+1)</f>
        <v>4</v>
      </c>
      <c r="C121" s="6" t="n">
        <f aca="false">ROUND($B$2*(A121+1)^2.4*1.004^A121,0)</f>
        <v>13152226</v>
      </c>
      <c r="D121" s="6" t="n">
        <f aca="false">ROUND($D$2*(A121+1)^2.4*1.004^A121,0)</f>
        <v>11690868</v>
      </c>
      <c r="E121" s="6" t="n">
        <f aca="false">ROUND($F$2*(A121+1)^2.4*1.004^A121,0)</f>
        <v>10229509</v>
      </c>
      <c r="F121" s="6" t="n">
        <f aca="false">ROUND(Building_Levels!$I$2*(A121+1)^1.9*1.003^A121,2)</f>
        <v>5.2</v>
      </c>
      <c r="G121" s="6" t="n">
        <f aca="false">ROUND((A121+1)^1.12,1)</f>
        <v>207.2</v>
      </c>
    </row>
    <row r="122" customFormat="false" ht="15" hidden="false" customHeight="true" outlineLevel="0" collapsed="false">
      <c r="A122" s="6" t="n">
        <v>117</v>
      </c>
      <c r="B122" s="6" t="n">
        <f aca="false">MIN(42, FLOOR(A122/32,1)+1)</f>
        <v>4</v>
      </c>
      <c r="C122" s="6" t="n">
        <f aca="false">ROUND($B$2*(A122+1)^2.4*1.004^A122,0)</f>
        <v>13477326</v>
      </c>
      <c r="D122" s="6" t="n">
        <f aca="false">ROUND($D$2*(A122+1)^2.4*1.004^A122,0)</f>
        <v>11979845</v>
      </c>
      <c r="E122" s="6" t="n">
        <f aca="false">ROUND($F$2*(A122+1)^2.4*1.004^A122,0)</f>
        <v>10482364</v>
      </c>
      <c r="F122" s="6" t="n">
        <f aca="false">ROUND(Building_Levels!$I$2*(A122+1)^1.9*1.003^A122,2)</f>
        <v>5.3</v>
      </c>
      <c r="G122" s="6" t="n">
        <f aca="false">ROUND((A122+1)^1.12,1)</f>
        <v>209.2</v>
      </c>
    </row>
    <row r="123" customFormat="false" ht="15" hidden="false" customHeight="true" outlineLevel="0" collapsed="false">
      <c r="A123" s="6" t="n">
        <v>118</v>
      </c>
      <c r="B123" s="6" t="n">
        <f aca="false">MIN(42, FLOOR(A123/32,1)+1)</f>
        <v>4</v>
      </c>
      <c r="C123" s="6" t="n">
        <f aca="false">ROUND($B$2*(A123+1)^2.4*1.004^A123,0)</f>
        <v>13808081</v>
      </c>
      <c r="D123" s="6" t="n">
        <f aca="false">ROUND($D$2*(A123+1)^2.4*1.004^A123,0)</f>
        <v>12273850</v>
      </c>
      <c r="E123" s="6" t="n">
        <f aca="false">ROUND($F$2*(A123+1)^2.4*1.004^A123,0)</f>
        <v>10739619</v>
      </c>
      <c r="F123" s="6" t="n">
        <f aca="false">ROUND(Building_Levels!$I$2*(A123+1)^1.9*1.003^A123,2)</f>
        <v>5.4</v>
      </c>
      <c r="G123" s="6" t="n">
        <f aca="false">ROUND((A123+1)^1.12,1)</f>
        <v>211.2</v>
      </c>
    </row>
    <row r="124" customFormat="false" ht="15" hidden="false" customHeight="true" outlineLevel="0" collapsed="false">
      <c r="A124" s="6" t="n">
        <v>119</v>
      </c>
      <c r="B124" s="6" t="n">
        <f aca="false">MIN(42, FLOOR(A124/32,1)+1)</f>
        <v>4</v>
      </c>
      <c r="C124" s="6" t="n">
        <f aca="false">ROUND($B$2*(A124+1)^2.4*1.004^A124,0)</f>
        <v>14144556</v>
      </c>
      <c r="D124" s="6" t="n">
        <f aca="false">ROUND($D$2*(A124+1)^2.4*1.004^A124,0)</f>
        <v>12572939</v>
      </c>
      <c r="E124" s="6" t="n">
        <f aca="false">ROUND($F$2*(A124+1)^2.4*1.004^A124,0)</f>
        <v>11001321</v>
      </c>
      <c r="F124" s="6" t="n">
        <f aca="false">ROUND(Building_Levels!$I$2*(A124+1)^1.9*1.003^A124,2)</f>
        <v>5.5</v>
      </c>
      <c r="G124" s="6" t="n">
        <f aca="false">ROUND((A124+1)^1.12,1)</f>
        <v>213.1</v>
      </c>
    </row>
    <row r="125" customFormat="false" ht="15" hidden="false" customHeight="true" outlineLevel="0" collapsed="false">
      <c r="A125" s="6" t="n">
        <v>120</v>
      </c>
      <c r="B125" s="6" t="n">
        <f aca="false">MIN(42, FLOOR(A125/32,1)+1)</f>
        <v>4</v>
      </c>
      <c r="C125" s="6" t="n">
        <f aca="false">ROUND($B$2*(A125+1)^2.4*1.004^A125,0)</f>
        <v>14486816</v>
      </c>
      <c r="D125" s="6" t="n">
        <f aca="false">ROUND($D$2*(A125+1)^2.4*1.004^A125,0)</f>
        <v>12877170</v>
      </c>
      <c r="E125" s="6" t="n">
        <f aca="false">ROUND($F$2*(A125+1)^2.4*1.004^A125,0)</f>
        <v>11267523</v>
      </c>
      <c r="F125" s="6" t="n">
        <f aca="false">ROUND(Building_Levels!$I$2*(A125+1)^1.9*1.003^A125,2)</f>
        <v>5.61</v>
      </c>
      <c r="G125" s="6" t="n">
        <f aca="false">ROUND((A125+1)^1.12,1)</f>
        <v>215.1</v>
      </c>
    </row>
    <row r="126" customFormat="false" ht="15" hidden="false" customHeight="true" outlineLevel="0" collapsed="false">
      <c r="A126" s="6" t="n">
        <v>121</v>
      </c>
      <c r="B126" s="6" t="n">
        <f aca="false">MIN(42, FLOOR(A126/32,1)+1)</f>
        <v>4</v>
      </c>
      <c r="C126" s="6" t="n">
        <f aca="false">ROUND($B$2*(A126+1)^2.4*1.004^A126,0)</f>
        <v>14834925</v>
      </c>
      <c r="D126" s="6" t="n">
        <f aca="false">ROUND($D$2*(A126+1)^2.4*1.004^A126,0)</f>
        <v>13186600</v>
      </c>
      <c r="E126" s="6" t="n">
        <f aca="false">ROUND($F$2*(A126+1)^2.4*1.004^A126,0)</f>
        <v>11538275</v>
      </c>
      <c r="F126" s="6" t="n">
        <f aca="false">ROUND(Building_Levels!$I$2*(A126+1)^1.9*1.003^A126,2)</f>
        <v>5.71</v>
      </c>
      <c r="G126" s="6" t="n">
        <f aca="false">ROUND((A126+1)^1.12,1)</f>
        <v>217.1</v>
      </c>
    </row>
    <row r="127" customFormat="false" ht="15" hidden="false" customHeight="true" outlineLevel="0" collapsed="false">
      <c r="A127" s="6" t="n">
        <v>122</v>
      </c>
      <c r="B127" s="6" t="n">
        <f aca="false">MIN(42, FLOOR(A127/32,1)+1)</f>
        <v>4</v>
      </c>
      <c r="C127" s="6" t="n">
        <f aca="false">ROUND($B$2*(A127+1)^2.4*1.004^A127,0)</f>
        <v>15188950</v>
      </c>
      <c r="D127" s="6" t="n">
        <f aca="false">ROUND($D$2*(A127+1)^2.4*1.004^A127,0)</f>
        <v>13501288</v>
      </c>
      <c r="E127" s="6" t="n">
        <f aca="false">ROUND($F$2*(A127+1)^2.4*1.004^A127,0)</f>
        <v>11813627</v>
      </c>
      <c r="F127" s="6" t="n">
        <f aca="false">ROUND(Building_Levels!$I$2*(A127+1)^1.9*1.003^A127,2)</f>
        <v>5.82</v>
      </c>
      <c r="G127" s="6" t="n">
        <f aca="false">ROUND((A127+1)^1.12,1)</f>
        <v>219.1</v>
      </c>
    </row>
    <row r="128" customFormat="false" ht="15" hidden="false" customHeight="true" outlineLevel="0" collapsed="false">
      <c r="A128" s="6" t="n">
        <v>123</v>
      </c>
      <c r="B128" s="6" t="n">
        <f aca="false">MIN(42, FLOOR(A128/32,1)+1)</f>
        <v>4</v>
      </c>
      <c r="C128" s="6" t="n">
        <f aca="false">ROUND($B$2*(A128+1)^2.4*1.004^A128,0)</f>
        <v>15548956</v>
      </c>
      <c r="D128" s="6" t="n">
        <f aca="false">ROUND($D$2*(A128+1)^2.4*1.004^A128,0)</f>
        <v>13821294</v>
      </c>
      <c r="E128" s="6" t="n">
        <f aca="false">ROUND($F$2*(A128+1)^2.4*1.004^A128,0)</f>
        <v>12093632</v>
      </c>
      <c r="F128" s="6" t="n">
        <f aca="false">ROUND(Building_Levels!$I$2*(A128+1)^1.9*1.003^A128,2)</f>
        <v>5.93</v>
      </c>
      <c r="G128" s="6" t="n">
        <f aca="false">ROUND((A128+1)^1.12,1)</f>
        <v>221.1</v>
      </c>
    </row>
    <row r="129" customFormat="false" ht="15" hidden="false" customHeight="true" outlineLevel="0" collapsed="false">
      <c r="A129" s="6" t="n">
        <v>124</v>
      </c>
      <c r="B129" s="6" t="n">
        <f aca="false">MIN(42, FLOOR(A129/32,1)+1)</f>
        <v>4</v>
      </c>
      <c r="C129" s="6" t="n">
        <f aca="false">ROUND($B$2*(A129+1)^2.4*1.004^A129,0)</f>
        <v>15915010</v>
      </c>
      <c r="D129" s="6" t="n">
        <f aca="false">ROUND($D$2*(A129+1)^2.4*1.004^A129,0)</f>
        <v>14146676</v>
      </c>
      <c r="E129" s="6" t="n">
        <f aca="false">ROUND($F$2*(A129+1)^2.4*1.004^A129,0)</f>
        <v>12378341</v>
      </c>
      <c r="F129" s="6" t="n">
        <f aca="false">ROUND(Building_Levels!$I$2*(A129+1)^1.9*1.003^A129,2)</f>
        <v>6.04</v>
      </c>
      <c r="G129" s="6" t="n">
        <f aca="false">ROUND((A129+1)^1.12,1)</f>
        <v>223.1</v>
      </c>
    </row>
    <row r="130" customFormat="false" ht="15" hidden="false" customHeight="true" outlineLevel="0" collapsed="false">
      <c r="A130" s="6" t="n">
        <v>125</v>
      </c>
      <c r="B130" s="6" t="n">
        <f aca="false">MIN(42, FLOOR(A130/32,1)+1)</f>
        <v>4</v>
      </c>
      <c r="C130" s="6" t="n">
        <f aca="false">ROUND($B$2*(A130+1)^2.4*1.004^A130,0)</f>
        <v>16287181</v>
      </c>
      <c r="D130" s="6" t="n">
        <f aca="false">ROUND($D$2*(A130+1)^2.4*1.004^A130,0)</f>
        <v>14477494</v>
      </c>
      <c r="E130" s="6" t="n">
        <f aca="false">ROUND($F$2*(A130+1)^2.4*1.004^A130,0)</f>
        <v>12667807</v>
      </c>
      <c r="F130" s="6" t="n">
        <f aca="false">ROUND(Building_Levels!$I$2*(A130+1)^1.9*1.003^A130,2)</f>
        <v>6.15</v>
      </c>
      <c r="G130" s="6" t="n">
        <f aca="false">ROUND((A130+1)^1.12,1)</f>
        <v>225.1</v>
      </c>
    </row>
    <row r="131" customFormat="false" ht="15" hidden="false" customHeight="true" outlineLevel="0" collapsed="false">
      <c r="A131" s="6" t="n">
        <v>126</v>
      </c>
      <c r="B131" s="6" t="n">
        <f aca="false">MIN(42, FLOOR(A131/32,1)+1)</f>
        <v>4</v>
      </c>
      <c r="C131" s="6" t="n">
        <f aca="false">ROUND($B$2*(A131+1)^2.4*1.004^A131,0)</f>
        <v>16665535</v>
      </c>
      <c r="D131" s="6" t="n">
        <f aca="false">ROUND($D$2*(A131+1)^2.4*1.004^A131,0)</f>
        <v>14813809</v>
      </c>
      <c r="E131" s="6" t="n">
        <f aca="false">ROUND($F$2*(A131+1)^2.4*1.004^A131,0)</f>
        <v>12962083</v>
      </c>
      <c r="F131" s="6" t="n">
        <f aca="false">ROUND(Building_Levels!$I$2*(A131+1)^1.9*1.003^A131,2)</f>
        <v>6.26</v>
      </c>
      <c r="G131" s="6" t="n">
        <f aca="false">ROUND((A131+1)^1.12,1)</f>
        <v>227.1</v>
      </c>
    </row>
    <row r="132" customFormat="false" ht="15" hidden="false" customHeight="true" outlineLevel="0" collapsed="false">
      <c r="A132" s="6" t="n">
        <v>127</v>
      </c>
      <c r="B132" s="6" t="n">
        <f aca="false">MIN(42, FLOOR(A132/32,1)+1)</f>
        <v>4</v>
      </c>
      <c r="C132" s="6" t="n">
        <f aca="false">ROUND($B$2*(A132+1)^2.4*1.004^A132,0)</f>
        <v>17050141</v>
      </c>
      <c r="D132" s="6" t="n">
        <f aca="false">ROUND($D$2*(A132+1)^2.4*1.004^A132,0)</f>
        <v>15155680</v>
      </c>
      <c r="E132" s="6" t="n">
        <f aca="false">ROUND($F$2*(A132+1)^2.4*1.004^A132,0)</f>
        <v>13261220</v>
      </c>
      <c r="F132" s="6" t="n">
        <f aca="false">ROUND(Building_Levels!$I$2*(A132+1)^1.9*1.003^A132,2)</f>
        <v>6.37</v>
      </c>
      <c r="G132" s="6" t="n">
        <f aca="false">ROUND((A132+1)^1.12,1)</f>
        <v>229.1</v>
      </c>
    </row>
    <row r="133" customFormat="false" ht="15" hidden="false" customHeight="true" outlineLevel="0" collapsed="false">
      <c r="A133" s="6" t="n">
        <v>128</v>
      </c>
      <c r="B133" s="6" t="n">
        <f aca="false">MIN(42, FLOOR(A133/32,1)+1)</f>
        <v>5</v>
      </c>
      <c r="C133" s="6" t="n">
        <f aca="false">ROUND($B$2*(A133+1)^2.4*1.004^A133,0)</f>
        <v>17441067</v>
      </c>
      <c r="D133" s="6" t="n">
        <f aca="false">ROUND($D$2*(A133+1)^2.4*1.004^A133,0)</f>
        <v>15503171</v>
      </c>
      <c r="E133" s="6" t="n">
        <f aca="false">ROUND($F$2*(A133+1)^2.4*1.004^A133,0)</f>
        <v>13565274</v>
      </c>
      <c r="F133" s="6" t="n">
        <f aca="false">ROUND(Building_Levels!$I$2*(A133+1)^1.9*1.003^A133,2)</f>
        <v>6.49</v>
      </c>
      <c r="G133" s="6" t="n">
        <f aca="false">ROUND((A133+1)^1.12,1)</f>
        <v>231.1</v>
      </c>
    </row>
    <row r="134" customFormat="false" ht="15" hidden="false" customHeight="true" outlineLevel="0" collapsed="false">
      <c r="A134" s="6" t="n">
        <v>129</v>
      </c>
      <c r="B134" s="6" t="n">
        <f aca="false">MIN(42, FLOOR(A134/32,1)+1)</f>
        <v>5</v>
      </c>
      <c r="C134" s="6" t="n">
        <f aca="false">ROUND($B$2*(A134+1)^2.4*1.004^A134,0)</f>
        <v>17838384</v>
      </c>
      <c r="D134" s="6" t="n">
        <f aca="false">ROUND($D$2*(A134+1)^2.4*1.004^A134,0)</f>
        <v>15856341</v>
      </c>
      <c r="E134" s="6" t="n">
        <f aca="false">ROUND($F$2*(A134+1)^2.4*1.004^A134,0)</f>
        <v>13874299</v>
      </c>
      <c r="F134" s="6" t="n">
        <f aca="false">ROUND(Building_Levels!$I$2*(A134+1)^1.9*1.003^A134,2)</f>
        <v>6.6</v>
      </c>
      <c r="G134" s="6" t="n">
        <f aca="false">ROUND((A134+1)^1.12,1)</f>
        <v>233.1</v>
      </c>
    </row>
    <row r="135" customFormat="false" ht="15" hidden="false" customHeight="true" outlineLevel="0" collapsed="false">
      <c r="A135" s="6" t="n">
        <v>130</v>
      </c>
      <c r="B135" s="6" t="n">
        <f aca="false">MIN(42, FLOOR(A135/32,1)+1)</f>
        <v>5</v>
      </c>
      <c r="C135" s="6" t="n">
        <f aca="false">ROUND($B$2*(A135+1)^2.4*1.004^A135,0)</f>
        <v>18242161</v>
      </c>
      <c r="D135" s="6" t="n">
        <f aca="false">ROUND($D$2*(A135+1)^2.4*1.004^A135,0)</f>
        <v>16215254</v>
      </c>
      <c r="E135" s="6" t="n">
        <f aca="false">ROUND($F$2*(A135+1)^2.4*1.004^A135,0)</f>
        <v>14188347</v>
      </c>
      <c r="F135" s="6" t="n">
        <f aca="false">ROUND(Building_Levels!$I$2*(A135+1)^1.9*1.003^A135,2)</f>
        <v>6.72</v>
      </c>
      <c r="G135" s="6" t="n">
        <f aca="false">ROUND((A135+1)^1.12,1)</f>
        <v>235.1</v>
      </c>
    </row>
    <row r="136" customFormat="false" ht="15" hidden="false" customHeight="true" outlineLevel="0" collapsed="false">
      <c r="A136" s="6" t="n">
        <v>131</v>
      </c>
      <c r="B136" s="6" t="n">
        <f aca="false">MIN(42, FLOOR(A136/32,1)+1)</f>
        <v>5</v>
      </c>
      <c r="C136" s="6" t="n">
        <f aca="false">ROUND($B$2*(A136+1)^2.4*1.004^A136,0)</f>
        <v>18652469</v>
      </c>
      <c r="D136" s="6" t="n">
        <f aca="false">ROUND($D$2*(A136+1)^2.4*1.004^A136,0)</f>
        <v>16579972</v>
      </c>
      <c r="E136" s="6" t="n">
        <f aca="false">ROUND($F$2*(A136+1)^2.4*1.004^A136,0)</f>
        <v>14507476</v>
      </c>
      <c r="F136" s="6" t="n">
        <f aca="false">ROUND(Building_Levels!$I$2*(A136+1)^1.9*1.003^A136,2)</f>
        <v>6.84</v>
      </c>
      <c r="G136" s="6" t="n">
        <f aca="false">ROUND((A136+1)^1.12,1)</f>
        <v>237.2</v>
      </c>
    </row>
    <row r="137" customFormat="false" ht="15" hidden="false" customHeight="true" outlineLevel="0" collapsed="false">
      <c r="A137" s="6" t="n">
        <v>132</v>
      </c>
      <c r="B137" s="6" t="n">
        <f aca="false">MIN(42, FLOOR(A137/32,1)+1)</f>
        <v>5</v>
      </c>
      <c r="C137" s="6" t="n">
        <f aca="false">ROUND($B$2*(A137+1)^2.4*1.004^A137,0)</f>
        <v>19069378</v>
      </c>
      <c r="D137" s="6" t="n">
        <f aca="false">ROUND($D$2*(A137+1)^2.4*1.004^A137,0)</f>
        <v>16950559</v>
      </c>
      <c r="E137" s="6" t="n">
        <f aca="false">ROUND($F$2*(A137+1)^2.4*1.004^A137,0)</f>
        <v>14831739</v>
      </c>
      <c r="F137" s="6" t="n">
        <f aca="false">ROUND(Building_Levels!$I$2*(A137+1)^1.9*1.003^A137,2)</f>
        <v>6.96</v>
      </c>
      <c r="G137" s="6" t="n">
        <f aca="false">ROUND((A137+1)^1.12,1)</f>
        <v>239.2</v>
      </c>
    </row>
    <row r="138" customFormat="false" ht="15" hidden="false" customHeight="true" outlineLevel="0" collapsed="false">
      <c r="A138" s="6" t="n">
        <v>133</v>
      </c>
      <c r="B138" s="6" t="n">
        <f aca="false">MIN(42, FLOOR(A138/32,1)+1)</f>
        <v>5</v>
      </c>
      <c r="C138" s="6" t="n">
        <f aca="false">ROUND($B$2*(A138+1)^2.4*1.004^A138,0)</f>
        <v>19492962</v>
      </c>
      <c r="D138" s="6" t="n">
        <f aca="false">ROUND($D$2*(A138+1)^2.4*1.004^A138,0)</f>
        <v>17327077</v>
      </c>
      <c r="E138" s="6" t="n">
        <f aca="false">ROUND($F$2*(A138+1)^2.4*1.004^A138,0)</f>
        <v>15161192</v>
      </c>
      <c r="F138" s="6" t="n">
        <f aca="false">ROUND(Building_Levels!$I$2*(A138+1)^1.9*1.003^A138,2)</f>
        <v>7.08</v>
      </c>
      <c r="G138" s="6" t="n">
        <f aca="false">ROUND((A138+1)^1.12,1)</f>
        <v>241.2</v>
      </c>
    </row>
    <row r="139" customFormat="false" ht="15" hidden="false" customHeight="true" outlineLevel="0" collapsed="false">
      <c r="A139" s="6" t="n">
        <v>134</v>
      </c>
      <c r="B139" s="6" t="n">
        <f aca="false">MIN(42, FLOOR(A139/32,1)+1)</f>
        <v>5</v>
      </c>
      <c r="C139" s="6" t="n">
        <f aca="false">ROUND($B$2*(A139+1)^2.4*1.004^A139,0)</f>
        <v>19923291</v>
      </c>
      <c r="D139" s="6" t="n">
        <f aca="false">ROUND($D$2*(A139+1)^2.4*1.004^A139,0)</f>
        <v>17709592</v>
      </c>
      <c r="E139" s="6" t="n">
        <f aca="false">ROUND($F$2*(A139+1)^2.4*1.004^A139,0)</f>
        <v>15495893</v>
      </c>
      <c r="F139" s="6" t="n">
        <f aca="false">ROUND(Building_Levels!$I$2*(A139+1)^1.9*1.003^A139,2)</f>
        <v>7.2</v>
      </c>
      <c r="G139" s="6" t="n">
        <f aca="false">ROUND((A139+1)^1.12,1)</f>
        <v>243.2</v>
      </c>
    </row>
    <row r="140" customFormat="false" ht="15" hidden="false" customHeight="true" outlineLevel="0" collapsed="false">
      <c r="A140" s="6" t="n">
        <v>135</v>
      </c>
      <c r="B140" s="6" t="n">
        <f aca="false">MIN(42, FLOOR(A140/32,1)+1)</f>
        <v>5</v>
      </c>
      <c r="C140" s="6" t="n">
        <f aca="false">ROUND($B$2*(A140+1)^2.4*1.004^A140,0)</f>
        <v>20360438</v>
      </c>
      <c r="D140" s="6" t="n">
        <f aca="false">ROUND($D$2*(A140+1)^2.4*1.004^A140,0)</f>
        <v>18098167</v>
      </c>
      <c r="E140" s="6" t="n">
        <f aca="false">ROUND($F$2*(A140+1)^2.4*1.004^A140,0)</f>
        <v>15835896</v>
      </c>
      <c r="F140" s="6" t="n">
        <f aca="false">ROUND(Building_Levels!$I$2*(A140+1)^1.9*1.003^A140,2)</f>
        <v>7.33</v>
      </c>
      <c r="G140" s="6" t="n">
        <f aca="false">ROUND((A140+1)^1.12,1)</f>
        <v>245.2</v>
      </c>
    </row>
    <row r="141" customFormat="false" ht="15" hidden="false" customHeight="true" outlineLevel="0" collapsed="false">
      <c r="A141" s="6" t="n">
        <v>136</v>
      </c>
      <c r="B141" s="6" t="n">
        <f aca="false">MIN(42, FLOOR(A141/32,1)+1)</f>
        <v>5</v>
      </c>
      <c r="C141" s="6" t="n">
        <f aca="false">ROUND($B$2*(A141+1)^2.4*1.004^A141,0)</f>
        <v>20804477</v>
      </c>
      <c r="D141" s="6" t="n">
        <f aca="false">ROUND($D$2*(A141+1)^2.4*1.004^A141,0)</f>
        <v>18492869</v>
      </c>
      <c r="E141" s="6" t="n">
        <f aca="false">ROUND($F$2*(A141+1)^2.4*1.004^A141,0)</f>
        <v>16181260</v>
      </c>
      <c r="F141" s="6" t="n">
        <f aca="false">ROUND(Building_Levels!$I$2*(A141+1)^1.9*1.003^A141,2)</f>
        <v>7.45</v>
      </c>
      <c r="G141" s="6" t="n">
        <f aca="false">ROUND((A141+1)^1.12,1)</f>
        <v>247.2</v>
      </c>
    </row>
    <row r="142" customFormat="false" ht="15" hidden="false" customHeight="true" outlineLevel="0" collapsed="false">
      <c r="A142" s="6" t="n">
        <v>137</v>
      </c>
      <c r="B142" s="6" t="n">
        <f aca="false">MIN(42, FLOOR(A142/32,1)+1)</f>
        <v>5</v>
      </c>
      <c r="C142" s="6" t="n">
        <f aca="false">ROUND($B$2*(A142+1)^2.4*1.004^A142,0)</f>
        <v>21255483</v>
      </c>
      <c r="D142" s="6" t="n">
        <f aca="false">ROUND($D$2*(A142+1)^2.4*1.004^A142,0)</f>
        <v>18893762</v>
      </c>
      <c r="E142" s="6" t="n">
        <f aca="false">ROUND($F$2*(A142+1)^2.4*1.004^A142,0)</f>
        <v>16532042</v>
      </c>
      <c r="F142" s="6" t="n">
        <f aca="false">ROUND(Building_Levels!$I$2*(A142+1)^1.9*1.003^A142,2)</f>
        <v>7.58</v>
      </c>
      <c r="G142" s="6" t="n">
        <f aca="false">ROUND((A142+1)^1.12,1)</f>
        <v>249.3</v>
      </c>
    </row>
    <row r="143" customFormat="false" ht="15" hidden="false" customHeight="true" outlineLevel="0" collapsed="false">
      <c r="A143" s="6" t="n">
        <v>138</v>
      </c>
      <c r="B143" s="6" t="n">
        <f aca="false">MIN(42, FLOOR(A143/32,1)+1)</f>
        <v>5</v>
      </c>
      <c r="C143" s="6" t="n">
        <f aca="false">ROUND($B$2*(A143+1)^2.4*1.004^A143,0)</f>
        <v>21713528</v>
      </c>
      <c r="D143" s="6" t="n">
        <f aca="false">ROUND($D$2*(A143+1)^2.4*1.004^A143,0)</f>
        <v>19300914</v>
      </c>
      <c r="E143" s="6" t="n">
        <f aca="false">ROUND($F$2*(A143+1)^2.4*1.004^A143,0)</f>
        <v>16888300</v>
      </c>
      <c r="F143" s="6" t="n">
        <f aca="false">ROUND(Building_Levels!$I$2*(A143+1)^1.9*1.003^A143,2)</f>
        <v>7.7</v>
      </c>
      <c r="G143" s="6" t="n">
        <f aca="false">ROUND((A143+1)^1.12,1)</f>
        <v>251.3</v>
      </c>
    </row>
    <row r="144" customFormat="false" ht="15" hidden="false" customHeight="true" outlineLevel="0" collapsed="false">
      <c r="A144" s="6" t="n">
        <v>139</v>
      </c>
      <c r="B144" s="6" t="n">
        <f aca="false">MIN(42, FLOOR(A144/32,1)+1)</f>
        <v>5</v>
      </c>
      <c r="C144" s="6" t="n">
        <f aca="false">ROUND($B$2*(A144+1)^2.4*1.004^A144,0)</f>
        <v>22178689</v>
      </c>
      <c r="D144" s="6" t="n">
        <f aca="false">ROUND($D$2*(A144+1)^2.4*1.004^A144,0)</f>
        <v>19714390</v>
      </c>
      <c r="E144" s="6" t="n">
        <f aca="false">ROUND($F$2*(A144+1)^2.4*1.004^A144,0)</f>
        <v>17250092</v>
      </c>
      <c r="F144" s="6" t="n">
        <f aca="false">ROUND(Building_Levels!$I$2*(A144+1)^1.9*1.003^A144,2)</f>
        <v>7.83</v>
      </c>
      <c r="G144" s="6" t="n">
        <f aca="false">ROUND((A144+1)^1.12,1)</f>
        <v>253.3</v>
      </c>
    </row>
    <row r="145" customFormat="false" ht="15" hidden="false" customHeight="true" outlineLevel="0" collapsed="false">
      <c r="A145" s="6" t="n">
        <v>140</v>
      </c>
      <c r="B145" s="6" t="n">
        <f aca="false">MIN(42, FLOOR(A145/32,1)+1)</f>
        <v>5</v>
      </c>
      <c r="C145" s="6" t="n">
        <f aca="false">ROUND($B$2*(A145+1)^2.4*1.004^A145,0)</f>
        <v>22651041</v>
      </c>
      <c r="D145" s="6" t="n">
        <f aca="false">ROUND($D$2*(A145+1)^2.4*1.004^A145,0)</f>
        <v>20134259</v>
      </c>
      <c r="E145" s="6" t="n">
        <f aca="false">ROUND($F$2*(A145+1)^2.4*1.004^A145,0)</f>
        <v>17617477</v>
      </c>
      <c r="F145" s="6" t="n">
        <f aca="false">ROUND(Building_Levels!$I$2*(A145+1)^1.9*1.003^A145,2)</f>
        <v>7.96</v>
      </c>
      <c r="G145" s="6" t="n">
        <f aca="false">ROUND((A145+1)^1.12,1)</f>
        <v>255.3</v>
      </c>
    </row>
    <row r="146" customFormat="false" ht="15" hidden="false" customHeight="true" outlineLevel="0" collapsed="false">
      <c r="A146" s="6" t="n">
        <v>141</v>
      </c>
      <c r="B146" s="6" t="n">
        <f aca="false">MIN(42, FLOOR(A146/32,1)+1)</f>
        <v>5</v>
      </c>
      <c r="C146" s="6" t="n">
        <f aca="false">ROUND($B$2*(A146+1)^2.4*1.004^A146,0)</f>
        <v>23130661</v>
      </c>
      <c r="D146" s="6" t="n">
        <f aca="false">ROUND($D$2*(A146+1)^2.4*1.004^A146,0)</f>
        <v>20560587</v>
      </c>
      <c r="E146" s="6" t="n">
        <f aca="false">ROUND($F$2*(A146+1)^2.4*1.004^A146,0)</f>
        <v>17990514</v>
      </c>
      <c r="F146" s="6" t="n">
        <f aca="false">ROUND(Building_Levels!$I$2*(A146+1)^1.9*1.003^A146,2)</f>
        <v>8.1</v>
      </c>
      <c r="G146" s="6" t="n">
        <f aca="false">ROUND((A146+1)^1.12,1)</f>
        <v>257.4</v>
      </c>
    </row>
    <row r="147" customFormat="false" ht="15" hidden="false" customHeight="true" outlineLevel="0" collapsed="false">
      <c r="A147" s="6" t="n">
        <v>142</v>
      </c>
      <c r="B147" s="6" t="n">
        <f aca="false">MIN(42, FLOOR(A147/32,1)+1)</f>
        <v>5</v>
      </c>
      <c r="C147" s="6" t="n">
        <f aca="false">ROUND($B$2*(A147+1)^2.4*1.004^A147,0)</f>
        <v>23617625</v>
      </c>
      <c r="D147" s="6" t="n">
        <f aca="false">ROUND($D$2*(A147+1)^2.4*1.004^A147,0)</f>
        <v>20993444</v>
      </c>
      <c r="E147" s="6" t="n">
        <f aca="false">ROUND($F$2*(A147+1)^2.4*1.004^A147,0)</f>
        <v>18369264</v>
      </c>
      <c r="F147" s="6" t="n">
        <f aca="false">ROUND(Building_Levels!$I$2*(A147+1)^1.9*1.003^A147,2)</f>
        <v>8.23</v>
      </c>
      <c r="G147" s="6" t="n">
        <f aca="false">ROUND((A147+1)^1.12,1)</f>
        <v>259.4</v>
      </c>
    </row>
    <row r="148" customFormat="false" ht="15" hidden="false" customHeight="true" outlineLevel="0" collapsed="false">
      <c r="A148" s="6" t="n">
        <v>143</v>
      </c>
      <c r="B148" s="6" t="n">
        <f aca="false">MIN(42, FLOOR(A148/32,1)+1)</f>
        <v>5</v>
      </c>
      <c r="C148" s="6" t="n">
        <f aca="false">ROUND($B$2*(A148+1)^2.4*1.004^A148,0)</f>
        <v>24112010</v>
      </c>
      <c r="D148" s="6" t="n">
        <f aca="false">ROUND($D$2*(A148+1)^2.4*1.004^A148,0)</f>
        <v>21432898</v>
      </c>
      <c r="E148" s="6" t="n">
        <f aca="false">ROUND($F$2*(A148+1)^2.4*1.004^A148,0)</f>
        <v>18753786</v>
      </c>
      <c r="F148" s="6" t="n">
        <f aca="false">ROUND(Building_Levels!$I$2*(A148+1)^1.9*1.003^A148,2)</f>
        <v>8.36</v>
      </c>
      <c r="G148" s="6" t="n">
        <f aca="false">ROUND((A148+1)^1.12,1)</f>
        <v>261.4</v>
      </c>
    </row>
    <row r="149" customFormat="false" ht="15" hidden="false" customHeight="true" outlineLevel="0" collapsed="false">
      <c r="A149" s="6" t="n">
        <v>144</v>
      </c>
      <c r="B149" s="6" t="n">
        <f aca="false">MIN(42, FLOOR(A149/32,1)+1)</f>
        <v>5</v>
      </c>
      <c r="C149" s="6" t="n">
        <f aca="false">ROUND($B$2*(A149+1)^2.4*1.004^A149,0)</f>
        <v>24613896</v>
      </c>
      <c r="D149" s="6" t="n">
        <f aca="false">ROUND($D$2*(A149+1)^2.4*1.004^A149,0)</f>
        <v>21879019</v>
      </c>
      <c r="E149" s="6" t="n">
        <f aca="false">ROUND($F$2*(A149+1)^2.4*1.004^A149,0)</f>
        <v>19144141</v>
      </c>
      <c r="F149" s="6" t="n">
        <f aca="false">ROUND(Building_Levels!$I$2*(A149+1)^1.9*1.003^A149,2)</f>
        <v>8.5</v>
      </c>
      <c r="G149" s="6" t="n">
        <f aca="false">ROUND((A149+1)^1.12,1)</f>
        <v>263.5</v>
      </c>
    </row>
    <row r="150" customFormat="false" ht="15" hidden="false" customHeight="true" outlineLevel="0" collapsed="false">
      <c r="A150" s="6" t="n">
        <v>145</v>
      </c>
      <c r="B150" s="6" t="n">
        <f aca="false">MIN(42, FLOOR(A150/32,1)+1)</f>
        <v>5</v>
      </c>
      <c r="C150" s="6" t="n">
        <f aca="false">ROUND($B$2*(A150+1)^2.4*1.004^A150,0)</f>
        <v>25123360</v>
      </c>
      <c r="D150" s="6" t="n">
        <f aca="false">ROUND($D$2*(A150+1)^2.4*1.004^A150,0)</f>
        <v>22331876</v>
      </c>
      <c r="E150" s="6" t="n">
        <f aca="false">ROUND($F$2*(A150+1)^2.4*1.004^A150,0)</f>
        <v>19540391</v>
      </c>
      <c r="F150" s="6" t="n">
        <f aca="false">ROUND(Building_Levels!$I$2*(A150+1)^1.9*1.003^A150,2)</f>
        <v>8.64</v>
      </c>
      <c r="G150" s="6" t="n">
        <f aca="false">ROUND((A150+1)^1.12,1)</f>
        <v>265.5</v>
      </c>
    </row>
    <row r="151" customFormat="false" ht="15" hidden="false" customHeight="true" outlineLevel="0" collapsed="false">
      <c r="A151" s="6" t="n">
        <v>146</v>
      </c>
      <c r="B151" s="6" t="n">
        <f aca="false">MIN(42, FLOOR(A151/32,1)+1)</f>
        <v>5</v>
      </c>
      <c r="C151" s="6" t="n">
        <f aca="false">ROUND($B$2*(A151+1)^2.4*1.004^A151,0)</f>
        <v>25640482</v>
      </c>
      <c r="D151" s="6" t="n">
        <f aca="false">ROUND($D$2*(A151+1)^2.4*1.004^A151,0)</f>
        <v>22791539</v>
      </c>
      <c r="E151" s="6" t="n">
        <f aca="false">ROUND($F$2*(A151+1)^2.4*1.004^A151,0)</f>
        <v>19942597</v>
      </c>
      <c r="F151" s="6" t="n">
        <f aca="false">ROUND(Building_Levels!$I$2*(A151+1)^1.9*1.003^A151,2)</f>
        <v>8.78</v>
      </c>
      <c r="G151" s="6" t="n">
        <f aca="false">ROUND((A151+1)^1.12,1)</f>
        <v>267.5</v>
      </c>
    </row>
    <row r="152" customFormat="false" ht="15" hidden="false" customHeight="true" outlineLevel="0" collapsed="false">
      <c r="A152" s="6" t="n">
        <v>147</v>
      </c>
      <c r="B152" s="6" t="n">
        <f aca="false">MIN(42, FLOOR(A152/32,1)+1)</f>
        <v>5</v>
      </c>
      <c r="C152" s="6" t="n">
        <f aca="false">ROUND($B$2*(A152+1)^2.4*1.004^A152,0)</f>
        <v>26165342</v>
      </c>
      <c r="D152" s="6" t="n">
        <f aca="false">ROUND($D$2*(A152+1)^2.4*1.004^A152,0)</f>
        <v>23258081</v>
      </c>
      <c r="E152" s="6" t="n">
        <f aca="false">ROUND($F$2*(A152+1)^2.4*1.004^A152,0)</f>
        <v>20350821</v>
      </c>
      <c r="F152" s="6" t="n">
        <f aca="false">ROUND(Building_Levels!$I$2*(A152+1)^1.9*1.003^A152,2)</f>
        <v>8.92</v>
      </c>
      <c r="G152" s="6" t="n">
        <f aca="false">ROUND((A152+1)^1.12,1)</f>
        <v>269.6</v>
      </c>
    </row>
    <row r="153" customFormat="false" ht="15" hidden="false" customHeight="true" outlineLevel="0" collapsed="false">
      <c r="A153" s="6" t="n">
        <v>148</v>
      </c>
      <c r="B153" s="6" t="n">
        <f aca="false">MIN(42, FLOOR(A153/32,1)+1)</f>
        <v>5</v>
      </c>
      <c r="C153" s="6" t="n">
        <f aca="false">ROUND($B$2*(A153+1)^2.4*1.004^A153,0)</f>
        <v>26698020</v>
      </c>
      <c r="D153" s="6" t="n">
        <f aca="false">ROUND($D$2*(A153+1)^2.4*1.004^A153,0)</f>
        <v>23731573</v>
      </c>
      <c r="E153" s="6" t="n">
        <f aca="false">ROUND($F$2*(A153+1)^2.4*1.004^A153,0)</f>
        <v>20765126</v>
      </c>
      <c r="F153" s="6" t="n">
        <f aca="false">ROUND(Building_Levels!$I$2*(A153+1)^1.9*1.003^A153,2)</f>
        <v>9.06</v>
      </c>
      <c r="G153" s="6" t="n">
        <f aca="false">ROUND((A153+1)^1.12,1)</f>
        <v>271.6</v>
      </c>
    </row>
    <row r="154" customFormat="false" ht="15" hidden="false" customHeight="true" outlineLevel="0" collapsed="false">
      <c r="A154" s="6" t="n">
        <v>149</v>
      </c>
      <c r="B154" s="6" t="n">
        <f aca="false">MIN(42, FLOOR(A154/32,1)+1)</f>
        <v>5</v>
      </c>
      <c r="C154" s="6" t="n">
        <f aca="false">ROUND($B$2*(A154+1)^2.4*1.004^A154,0)</f>
        <v>27238597</v>
      </c>
      <c r="D154" s="6" t="n">
        <f aca="false">ROUND($D$2*(A154+1)^2.4*1.004^A154,0)</f>
        <v>24212087</v>
      </c>
      <c r="E154" s="6" t="n">
        <f aca="false">ROUND($F$2*(A154+1)^2.4*1.004^A154,0)</f>
        <v>21185576</v>
      </c>
      <c r="F154" s="6" t="n">
        <f aca="false">ROUND(Building_Levels!$I$2*(A154+1)^1.9*1.003^A154,2)</f>
        <v>9.2</v>
      </c>
      <c r="G154" s="6" t="n">
        <f aca="false">ROUND((A154+1)^1.12,1)</f>
        <v>273.7</v>
      </c>
    </row>
    <row r="155" customFormat="false" ht="15" hidden="false" customHeight="true" outlineLevel="0" collapsed="false">
      <c r="A155" s="6" t="n">
        <v>150</v>
      </c>
      <c r="B155" s="6" t="n">
        <f aca="false">MIN(42, FLOOR(A155/32,1)+1)</f>
        <v>5</v>
      </c>
      <c r="C155" s="6" t="n">
        <f aca="false">ROUND($B$2*(A155+1)^2.4*1.004^A155,0)</f>
        <v>27787156</v>
      </c>
      <c r="D155" s="6" t="n">
        <f aca="false">ROUND($D$2*(A155+1)^2.4*1.004^A155,0)</f>
        <v>24699695</v>
      </c>
      <c r="E155" s="6" t="n">
        <f aca="false">ROUND($F$2*(A155+1)^2.4*1.004^A155,0)</f>
        <v>21612233</v>
      </c>
      <c r="F155" s="6" t="n">
        <f aca="false">ROUND(Building_Levels!$I$2*(A155+1)^1.9*1.003^A155,2)</f>
        <v>9.35</v>
      </c>
      <c r="G155" s="6" t="n">
        <f aca="false">ROUND((A155+1)^1.12,1)</f>
        <v>275.7</v>
      </c>
    </row>
    <row r="156" customFormat="false" ht="15" hidden="false" customHeight="true" outlineLevel="0" collapsed="false">
      <c r="A156" s="6" t="n">
        <v>151</v>
      </c>
      <c r="B156" s="6" t="n">
        <f aca="false">MIN(42, FLOOR(A156/32,1)+1)</f>
        <v>5</v>
      </c>
      <c r="C156" s="6" t="n">
        <f aca="false">ROUND($B$2*(A156+1)^2.4*1.004^A156,0)</f>
        <v>28343779</v>
      </c>
      <c r="D156" s="6" t="n">
        <f aca="false">ROUND($D$2*(A156+1)^2.4*1.004^A156,0)</f>
        <v>25194470</v>
      </c>
      <c r="E156" s="6" t="n">
        <f aca="false">ROUND($F$2*(A156+1)^2.4*1.004^A156,0)</f>
        <v>22045162</v>
      </c>
      <c r="F156" s="6" t="n">
        <f aca="false">ROUND(Building_Levels!$I$2*(A156+1)^1.9*1.003^A156,2)</f>
        <v>9.49</v>
      </c>
      <c r="G156" s="6" t="n">
        <f aca="false">ROUND((A156+1)^1.12,1)</f>
        <v>277.8</v>
      </c>
    </row>
    <row r="157" customFormat="false" ht="15" hidden="false" customHeight="true" outlineLevel="0" collapsed="false">
      <c r="A157" s="6" t="n">
        <v>152</v>
      </c>
      <c r="B157" s="6" t="n">
        <f aca="false">MIN(42, FLOOR(A157/32,1)+1)</f>
        <v>5</v>
      </c>
      <c r="C157" s="6" t="n">
        <f aca="false">ROUND($B$2*(A157+1)^2.4*1.004^A157,0)</f>
        <v>28908549</v>
      </c>
      <c r="D157" s="6" t="n">
        <f aca="false">ROUND($D$2*(A157+1)^2.4*1.004^A157,0)</f>
        <v>25696488</v>
      </c>
      <c r="E157" s="6" t="n">
        <f aca="false">ROUND($F$2*(A157+1)^2.4*1.004^A157,0)</f>
        <v>22484427</v>
      </c>
      <c r="F157" s="6" t="n">
        <f aca="false">ROUND(Building_Levels!$I$2*(A157+1)^1.9*1.003^A157,2)</f>
        <v>9.64</v>
      </c>
      <c r="G157" s="6" t="n">
        <f aca="false">ROUND((A157+1)^1.12,1)</f>
        <v>279.8</v>
      </c>
    </row>
    <row r="158" customFormat="false" ht="15" hidden="false" customHeight="true" outlineLevel="0" collapsed="false">
      <c r="A158" s="6" t="n">
        <v>153</v>
      </c>
      <c r="B158" s="6" t="n">
        <f aca="false">MIN(42, FLOOR(A158/32,1)+1)</f>
        <v>5</v>
      </c>
      <c r="C158" s="6" t="n">
        <f aca="false">ROUND($B$2*(A158+1)^2.4*1.004^A158,0)</f>
        <v>29481549</v>
      </c>
      <c r="D158" s="6" t="n">
        <f aca="false">ROUND($D$2*(A158+1)^2.4*1.004^A158,0)</f>
        <v>26205821</v>
      </c>
      <c r="E158" s="6" t="n">
        <f aca="false">ROUND($F$2*(A158+1)^2.4*1.004^A158,0)</f>
        <v>22930094</v>
      </c>
      <c r="F158" s="6" t="n">
        <f aca="false">ROUND(Building_Levels!$I$2*(A158+1)^1.9*1.003^A158,2)</f>
        <v>9.79</v>
      </c>
      <c r="G158" s="6" t="n">
        <f aca="false">ROUND((A158+1)^1.12,1)</f>
        <v>281.9</v>
      </c>
    </row>
    <row r="159" customFormat="false" ht="15" hidden="false" customHeight="true" outlineLevel="0" collapsed="false">
      <c r="A159" s="6" t="n">
        <v>154</v>
      </c>
      <c r="B159" s="6" t="n">
        <f aca="false">MIN(42, FLOOR(A159/32,1)+1)</f>
        <v>5</v>
      </c>
      <c r="C159" s="6" t="n">
        <f aca="false">ROUND($B$2*(A159+1)^2.4*1.004^A159,0)</f>
        <v>30062864</v>
      </c>
      <c r="D159" s="6" t="n">
        <f aca="false">ROUND($D$2*(A159+1)^2.4*1.004^A159,0)</f>
        <v>26722546</v>
      </c>
      <c r="E159" s="6" t="n">
        <f aca="false">ROUND($F$2*(A159+1)^2.4*1.004^A159,0)</f>
        <v>23382228</v>
      </c>
      <c r="F159" s="6" t="n">
        <f aca="false">ROUND(Building_Levels!$I$2*(A159+1)^1.9*1.003^A159,2)</f>
        <v>9.94</v>
      </c>
      <c r="G159" s="6" t="n">
        <f aca="false">ROUND((A159+1)^1.12,1)</f>
        <v>283.9</v>
      </c>
    </row>
    <row r="160" customFormat="false" ht="15" hidden="false" customHeight="true" outlineLevel="0" collapsed="false">
      <c r="A160" s="6" t="n">
        <v>155</v>
      </c>
      <c r="B160" s="6" t="n">
        <f aca="false">MIN(42, FLOOR(A160/32,1)+1)</f>
        <v>5</v>
      </c>
      <c r="C160" s="6" t="n">
        <f aca="false">ROUND($B$2*(A160+1)^2.4*1.004^A160,0)</f>
        <v>30652580</v>
      </c>
      <c r="D160" s="6" t="n">
        <f aca="false">ROUND($D$2*(A160+1)^2.4*1.004^A160,0)</f>
        <v>27246738</v>
      </c>
      <c r="E160" s="6" t="n">
        <f aca="false">ROUND($F$2*(A160+1)^2.4*1.004^A160,0)</f>
        <v>23840895</v>
      </c>
      <c r="F160" s="6" t="n">
        <f aca="false">ROUND(Building_Levels!$I$2*(A160+1)^1.9*1.003^A160,2)</f>
        <v>10.09</v>
      </c>
      <c r="G160" s="6" t="n">
        <f aca="false">ROUND((A160+1)^1.12,1)</f>
        <v>286</v>
      </c>
    </row>
    <row r="161" customFormat="false" ht="15" hidden="false" customHeight="true" outlineLevel="0" collapsed="false">
      <c r="A161" s="6" t="n">
        <v>156</v>
      </c>
      <c r="B161" s="6" t="n">
        <f aca="false">MIN(42, FLOOR(A161/32,1)+1)</f>
        <v>5</v>
      </c>
      <c r="C161" s="6" t="n">
        <f aca="false">ROUND($B$2*(A161+1)^2.4*1.004^A161,0)</f>
        <v>31250781</v>
      </c>
      <c r="D161" s="6" t="n">
        <f aca="false">ROUND($D$2*(A161+1)^2.4*1.004^A161,0)</f>
        <v>27778472</v>
      </c>
      <c r="E161" s="6" t="n">
        <f aca="false">ROUND($F$2*(A161+1)^2.4*1.004^A161,0)</f>
        <v>24306163</v>
      </c>
      <c r="F161" s="6" t="n">
        <f aca="false">ROUND(Building_Levels!$I$2*(A161+1)^1.9*1.003^A161,2)</f>
        <v>10.25</v>
      </c>
      <c r="G161" s="6" t="n">
        <f aca="false">ROUND((A161+1)^1.12,1)</f>
        <v>288</v>
      </c>
    </row>
    <row r="162" customFormat="false" ht="15" hidden="false" customHeight="true" outlineLevel="0" collapsed="false">
      <c r="A162" s="6" t="n">
        <v>157</v>
      </c>
      <c r="B162" s="6" t="n">
        <f aca="false">MIN(42, FLOOR(A162/32,1)+1)</f>
        <v>5</v>
      </c>
      <c r="C162" s="6" t="n">
        <f aca="false">ROUND($B$2*(A162+1)^2.4*1.004^A162,0)</f>
        <v>31857554</v>
      </c>
      <c r="D162" s="6" t="n">
        <f aca="false">ROUND($D$2*(A162+1)^2.4*1.004^A162,0)</f>
        <v>28317826</v>
      </c>
      <c r="E162" s="6" t="n">
        <f aca="false">ROUND($F$2*(A162+1)^2.4*1.004^A162,0)</f>
        <v>24778098</v>
      </c>
      <c r="F162" s="6" t="n">
        <f aca="false">ROUND(Building_Levels!$I$2*(A162+1)^1.9*1.003^A162,2)</f>
        <v>10.4</v>
      </c>
      <c r="G162" s="6" t="n">
        <f aca="false">ROUND((A162+1)^1.12,1)</f>
        <v>290.1</v>
      </c>
    </row>
    <row r="163" customFormat="false" ht="15" hidden="false" customHeight="true" outlineLevel="0" collapsed="false">
      <c r="A163" s="6" t="n">
        <v>158</v>
      </c>
      <c r="B163" s="6" t="n">
        <f aca="false">MIN(42, FLOOR(A163/32,1)+1)</f>
        <v>5</v>
      </c>
      <c r="C163" s="6" t="n">
        <f aca="false">ROUND($B$2*(A163+1)^2.4*1.004^A163,0)</f>
        <v>32472986</v>
      </c>
      <c r="D163" s="6" t="n">
        <f aca="false">ROUND($D$2*(A163+1)^2.4*1.004^A163,0)</f>
        <v>28864877</v>
      </c>
      <c r="E163" s="6" t="n">
        <f aca="false">ROUND($F$2*(A163+1)^2.4*1.004^A163,0)</f>
        <v>25256767</v>
      </c>
      <c r="F163" s="6" t="n">
        <f aca="false">ROUND(Building_Levels!$I$2*(A163+1)^1.9*1.003^A163,2)</f>
        <v>10.56</v>
      </c>
      <c r="G163" s="6" t="n">
        <f aca="false">ROUND((A163+1)^1.12,1)</f>
        <v>292.1</v>
      </c>
    </row>
    <row r="164" customFormat="false" ht="15" hidden="false" customHeight="true" outlineLevel="0" collapsed="false">
      <c r="A164" s="6" t="n">
        <v>159</v>
      </c>
      <c r="B164" s="6" t="n">
        <f aca="false">MIN(42, FLOOR(A164/32,1)+1)</f>
        <v>5</v>
      </c>
      <c r="C164" s="6" t="n">
        <f aca="false">ROUND($B$2*(A164+1)^2.4*1.004^A164,0)</f>
        <v>33097166</v>
      </c>
      <c r="D164" s="6" t="n">
        <f aca="false">ROUND($D$2*(A164+1)^2.4*1.004^A164,0)</f>
        <v>29419703</v>
      </c>
      <c r="E164" s="6" t="n">
        <f aca="false">ROUND($F$2*(A164+1)^2.4*1.004^A164,0)</f>
        <v>25742240</v>
      </c>
      <c r="F164" s="6" t="n">
        <f aca="false">ROUND(Building_Levels!$I$2*(A164+1)^1.9*1.003^A164,2)</f>
        <v>10.72</v>
      </c>
      <c r="G164" s="6" t="n">
        <f aca="false">ROUND((A164+1)^1.12,1)</f>
        <v>294.2</v>
      </c>
    </row>
    <row r="165" customFormat="false" ht="15" hidden="false" customHeight="true" outlineLevel="0" collapsed="false">
      <c r="A165" s="6" t="n">
        <v>160</v>
      </c>
      <c r="B165" s="6" t="n">
        <f aca="false">MIN(42, FLOOR(A165/32,1)+1)</f>
        <v>6</v>
      </c>
      <c r="C165" s="6" t="n">
        <f aca="false">ROUND($B$2*(A165+1)^2.4*1.004^A165,0)</f>
        <v>33730180</v>
      </c>
      <c r="D165" s="6" t="n">
        <f aca="false">ROUND($D$2*(A165+1)^2.4*1.004^A165,0)</f>
        <v>29982382</v>
      </c>
      <c r="E165" s="6" t="n">
        <f aca="false">ROUND($F$2*(A165+1)^2.4*1.004^A165,0)</f>
        <v>26234585</v>
      </c>
      <c r="F165" s="6" t="n">
        <f aca="false">ROUND(Building_Levels!$I$2*(A165+1)^1.9*1.003^A165,2)</f>
        <v>10.88</v>
      </c>
      <c r="G165" s="6" t="n">
        <f aca="false">ROUND((A165+1)^1.12,1)</f>
        <v>296.2</v>
      </c>
    </row>
    <row r="166" customFormat="false" ht="15" hidden="false" customHeight="true" outlineLevel="0" collapsed="false">
      <c r="A166" s="6" t="n">
        <v>161</v>
      </c>
      <c r="B166" s="6" t="n">
        <f aca="false">MIN(42, FLOOR(A166/32,1)+1)</f>
        <v>6</v>
      </c>
      <c r="C166" s="6" t="n">
        <f aca="false">ROUND($B$2*(A166+1)^2.4*1.004^A166,0)</f>
        <v>34372119</v>
      </c>
      <c r="D166" s="6" t="n">
        <f aca="false">ROUND($D$2*(A166+1)^2.4*1.004^A166,0)</f>
        <v>30552995</v>
      </c>
      <c r="E166" s="6" t="n">
        <f aca="false">ROUND($F$2*(A166+1)^2.4*1.004^A166,0)</f>
        <v>26733870</v>
      </c>
      <c r="F166" s="6" t="n">
        <f aca="false">ROUND(Building_Levels!$I$2*(A166+1)^1.9*1.003^A166,2)</f>
        <v>11.04</v>
      </c>
      <c r="G166" s="6" t="n">
        <f aca="false">ROUND((A166+1)^1.12,1)</f>
        <v>298.3</v>
      </c>
    </row>
    <row r="167" customFormat="false" ht="15" hidden="false" customHeight="true" outlineLevel="0" collapsed="false">
      <c r="A167" s="6" t="n">
        <v>162</v>
      </c>
      <c r="B167" s="6" t="n">
        <f aca="false">MIN(42, FLOOR(A167/32,1)+1)</f>
        <v>6</v>
      </c>
      <c r="C167" s="6" t="n">
        <f aca="false">ROUND($B$2*(A167+1)^2.4*1.004^A167,0)</f>
        <v>35023072</v>
      </c>
      <c r="D167" s="6" t="n">
        <f aca="false">ROUND($D$2*(A167+1)^2.4*1.004^A167,0)</f>
        <v>31131619</v>
      </c>
      <c r="E167" s="6" t="n">
        <f aca="false">ROUND($F$2*(A167+1)^2.4*1.004^A167,0)</f>
        <v>27240167</v>
      </c>
      <c r="F167" s="6" t="n">
        <f aca="false">ROUND(Building_Levels!$I$2*(A167+1)^1.9*1.003^A167,2)</f>
        <v>11.2</v>
      </c>
      <c r="G167" s="6" t="n">
        <f aca="false">ROUND((A167+1)^1.12,1)</f>
        <v>300.4</v>
      </c>
    </row>
    <row r="168" customFormat="false" ht="15" hidden="false" customHeight="true" outlineLevel="0" collapsed="false">
      <c r="A168" s="6" t="n">
        <v>163</v>
      </c>
      <c r="B168" s="6" t="n">
        <f aca="false">MIN(42, FLOOR(A168/32,1)+1)</f>
        <v>6</v>
      </c>
      <c r="C168" s="6" t="n">
        <f aca="false">ROUND($B$2*(A168+1)^2.4*1.004^A168,0)</f>
        <v>35683129</v>
      </c>
      <c r="D168" s="6" t="n">
        <f aca="false">ROUND($D$2*(A168+1)^2.4*1.004^A168,0)</f>
        <v>31718337</v>
      </c>
      <c r="E168" s="6" t="n">
        <f aca="false">ROUND($F$2*(A168+1)^2.4*1.004^A168,0)</f>
        <v>27753545</v>
      </c>
      <c r="F168" s="6" t="n">
        <f aca="false">ROUND(Building_Levels!$I$2*(A168+1)^1.9*1.003^A168,2)</f>
        <v>11.37</v>
      </c>
      <c r="G168" s="6" t="n">
        <f aca="false">ROUND((A168+1)^1.12,1)</f>
        <v>302.4</v>
      </c>
    </row>
    <row r="169" customFormat="false" ht="15" hidden="false" customHeight="true" outlineLevel="0" collapsed="false">
      <c r="A169" s="6" t="n">
        <v>164</v>
      </c>
      <c r="B169" s="6" t="n">
        <f aca="false">MIN(42, FLOOR(A169/32,1)+1)</f>
        <v>6</v>
      </c>
      <c r="C169" s="6" t="n">
        <f aca="false">ROUND($B$2*(A169+1)^2.4*1.004^A169,0)</f>
        <v>36352382</v>
      </c>
      <c r="D169" s="6" t="n">
        <f aca="false">ROUND($D$2*(A169+1)^2.4*1.004^A169,0)</f>
        <v>32313229</v>
      </c>
      <c r="E169" s="6" t="n">
        <f aca="false">ROUND($F$2*(A169+1)^2.4*1.004^A169,0)</f>
        <v>28274075</v>
      </c>
      <c r="F169" s="6" t="n">
        <f aca="false">ROUND(Building_Levels!$I$2*(A169+1)^1.9*1.003^A169,2)</f>
        <v>11.54</v>
      </c>
      <c r="G169" s="6" t="n">
        <f aca="false">ROUND((A169+1)^1.12,1)</f>
        <v>304.5</v>
      </c>
    </row>
    <row r="170" customFormat="false" ht="15" hidden="false" customHeight="true" outlineLevel="0" collapsed="false">
      <c r="A170" s="6" t="n">
        <v>165</v>
      </c>
      <c r="B170" s="6" t="n">
        <f aca="false">MIN(42, FLOOR(A170/32,1)+1)</f>
        <v>6</v>
      </c>
      <c r="C170" s="6" t="n">
        <f aca="false">ROUND($B$2*(A170+1)^2.4*1.004^A170,0)</f>
        <v>37030923</v>
      </c>
      <c r="D170" s="6" t="n">
        <f aca="false">ROUND($D$2*(A170+1)^2.4*1.004^A170,0)</f>
        <v>32916376</v>
      </c>
      <c r="E170" s="6" t="n">
        <f aca="false">ROUND($F$2*(A170+1)^2.4*1.004^A170,0)</f>
        <v>28801829</v>
      </c>
      <c r="F170" s="6" t="n">
        <f aca="false">ROUND(Building_Levels!$I$2*(A170+1)^1.9*1.003^A170,2)</f>
        <v>11.7</v>
      </c>
      <c r="G170" s="6" t="n">
        <f aca="false">ROUND((A170+1)^1.12,1)</f>
        <v>306.6</v>
      </c>
    </row>
    <row r="171" customFormat="false" ht="15" hidden="false" customHeight="true" outlineLevel="0" collapsed="false">
      <c r="A171" s="6" t="n">
        <v>166</v>
      </c>
      <c r="B171" s="6" t="n">
        <f aca="false">MIN(42, FLOOR(A171/32,1)+1)</f>
        <v>6</v>
      </c>
      <c r="C171" s="6" t="n">
        <f aca="false">ROUND($B$2*(A171+1)^2.4*1.004^A171,0)</f>
        <v>37718843</v>
      </c>
      <c r="D171" s="6" t="n">
        <f aca="false">ROUND($D$2*(A171+1)^2.4*1.004^A171,0)</f>
        <v>33527861</v>
      </c>
      <c r="E171" s="6" t="n">
        <f aca="false">ROUND($F$2*(A171+1)^2.4*1.004^A171,0)</f>
        <v>29336878</v>
      </c>
      <c r="F171" s="6" t="n">
        <f aca="false">ROUND(Building_Levels!$I$2*(A171+1)^1.9*1.003^A171,2)</f>
        <v>11.87</v>
      </c>
      <c r="G171" s="6" t="n">
        <f aca="false">ROUND((A171+1)^1.12,1)</f>
        <v>308.6</v>
      </c>
    </row>
    <row r="172" customFormat="false" ht="15" hidden="false" customHeight="true" outlineLevel="0" collapsed="false">
      <c r="A172" s="6" t="n">
        <v>167</v>
      </c>
      <c r="B172" s="6" t="n">
        <f aca="false">MIN(42, FLOOR(A172/32,1)+1)</f>
        <v>6</v>
      </c>
      <c r="C172" s="6" t="n">
        <f aca="false">ROUND($B$2*(A172+1)^2.4*1.004^A172,0)</f>
        <v>38416237</v>
      </c>
      <c r="D172" s="6" t="n">
        <f aca="false">ROUND($D$2*(A172+1)^2.4*1.004^A172,0)</f>
        <v>34147766</v>
      </c>
      <c r="E172" s="6" t="n">
        <f aca="false">ROUND($F$2*(A172+1)^2.4*1.004^A172,0)</f>
        <v>29879296</v>
      </c>
      <c r="F172" s="6" t="n">
        <f aca="false">ROUND(Building_Levels!$I$2*(A172+1)^1.9*1.003^A172,2)</f>
        <v>12.04</v>
      </c>
      <c r="G172" s="6" t="n">
        <f aca="false">ROUND((A172+1)^1.12,1)</f>
        <v>310.7</v>
      </c>
    </row>
    <row r="173" customFormat="false" ht="15" hidden="false" customHeight="true" outlineLevel="0" collapsed="false">
      <c r="A173" s="6" t="n">
        <v>168</v>
      </c>
      <c r="B173" s="6" t="n">
        <f aca="false">MIN(42, FLOOR(A173/32,1)+1)</f>
        <v>6</v>
      </c>
      <c r="C173" s="6" t="n">
        <f aca="false">ROUND($B$2*(A173+1)^2.4*1.004^A173,0)</f>
        <v>39123198</v>
      </c>
      <c r="D173" s="6" t="n">
        <f aca="false">ROUND($D$2*(A173+1)^2.4*1.004^A173,0)</f>
        <v>34776176</v>
      </c>
      <c r="E173" s="6" t="n">
        <f aca="false">ROUND($F$2*(A173+1)^2.4*1.004^A173,0)</f>
        <v>30429154</v>
      </c>
      <c r="F173" s="6" t="n">
        <f aca="false">ROUND(Building_Levels!$I$2*(A173+1)^1.9*1.003^A173,2)</f>
        <v>12.22</v>
      </c>
      <c r="G173" s="6" t="n">
        <f aca="false">ROUND((A173+1)^1.12,1)</f>
        <v>312.8</v>
      </c>
    </row>
    <row r="174" customFormat="false" ht="15" hidden="false" customHeight="true" outlineLevel="0" collapsed="false">
      <c r="A174" s="6" t="n">
        <v>169</v>
      </c>
      <c r="B174" s="6" t="n">
        <f aca="false">MIN(42, FLOOR(A174/32,1)+1)</f>
        <v>6</v>
      </c>
      <c r="C174" s="6" t="n">
        <f aca="false">ROUND($B$2*(A174+1)^2.4*1.004^A174,0)</f>
        <v>39839822</v>
      </c>
      <c r="D174" s="6" t="n">
        <f aca="false">ROUND($D$2*(A174+1)^2.4*1.004^A174,0)</f>
        <v>35413175</v>
      </c>
      <c r="E174" s="6" t="n">
        <f aca="false">ROUND($F$2*(A174+1)^2.4*1.004^A174,0)</f>
        <v>30986528</v>
      </c>
      <c r="F174" s="6" t="n">
        <f aca="false">ROUND(Building_Levels!$I$2*(A174+1)^1.9*1.003^A174,2)</f>
        <v>12.39</v>
      </c>
      <c r="G174" s="6" t="n">
        <f aca="false">ROUND((A174+1)^1.12,1)</f>
        <v>314.8</v>
      </c>
    </row>
    <row r="175" customFormat="false" ht="15" hidden="false" customHeight="true" outlineLevel="0" collapsed="false">
      <c r="A175" s="6" t="n">
        <v>170</v>
      </c>
      <c r="B175" s="6" t="n">
        <f aca="false">MIN(42, FLOOR(A175/32,1)+1)</f>
        <v>6</v>
      </c>
      <c r="C175" s="6" t="n">
        <f aca="false">ROUND($B$2*(A175+1)^2.4*1.004^A175,0)</f>
        <v>40566202</v>
      </c>
      <c r="D175" s="6" t="n">
        <f aca="false">ROUND($D$2*(A175+1)^2.4*1.004^A175,0)</f>
        <v>36058846</v>
      </c>
      <c r="E175" s="6" t="n">
        <f aca="false">ROUND($F$2*(A175+1)^2.4*1.004^A175,0)</f>
        <v>31551491</v>
      </c>
      <c r="F175" s="6" t="n">
        <f aca="false">ROUND(Building_Levels!$I$2*(A175+1)^1.9*1.003^A175,2)</f>
        <v>12.57</v>
      </c>
      <c r="G175" s="6" t="n">
        <f aca="false">ROUND((A175+1)^1.12,1)</f>
        <v>316.9</v>
      </c>
    </row>
    <row r="176" customFormat="false" ht="15" hidden="false" customHeight="true" outlineLevel="0" collapsed="false">
      <c r="A176" s="6" t="n">
        <v>171</v>
      </c>
      <c r="B176" s="6" t="n">
        <f aca="false">MIN(42, FLOOR(A176/32,1)+1)</f>
        <v>6</v>
      </c>
      <c r="C176" s="6" t="n">
        <f aca="false">ROUND($B$2*(A176+1)^2.4*1.004^A176,0)</f>
        <v>41302437</v>
      </c>
      <c r="D176" s="6" t="n">
        <f aca="false">ROUND($D$2*(A176+1)^2.4*1.004^A176,0)</f>
        <v>36713277</v>
      </c>
      <c r="E176" s="6" t="n">
        <f aca="false">ROUND($F$2*(A176+1)^2.4*1.004^A176,0)</f>
        <v>32124117</v>
      </c>
      <c r="F176" s="6" t="n">
        <f aca="false">ROUND(Building_Levels!$I$2*(A176+1)^1.9*1.003^A176,2)</f>
        <v>12.75</v>
      </c>
      <c r="G176" s="6" t="n">
        <f aca="false">ROUND((A176+1)^1.12,1)</f>
        <v>319</v>
      </c>
    </row>
    <row r="177" customFormat="false" ht="15" hidden="false" customHeight="true" outlineLevel="0" collapsed="false">
      <c r="A177" s="6" t="n">
        <v>172</v>
      </c>
      <c r="B177" s="6" t="n">
        <f aca="false">MIN(42, FLOOR(A177/32,1)+1)</f>
        <v>6</v>
      </c>
      <c r="C177" s="6" t="n">
        <f aca="false">ROUND($B$2*(A177+1)^2.4*1.004^A177,0)</f>
        <v>42048621</v>
      </c>
      <c r="D177" s="6" t="n">
        <f aca="false">ROUND($D$2*(A177+1)^2.4*1.004^A177,0)</f>
        <v>37376552</v>
      </c>
      <c r="E177" s="6" t="n">
        <f aca="false">ROUND($F$2*(A177+1)^2.4*1.004^A177,0)</f>
        <v>32704483</v>
      </c>
      <c r="F177" s="6" t="n">
        <f aca="false">ROUND(Building_Levels!$I$2*(A177+1)^1.9*1.003^A177,2)</f>
        <v>12.93</v>
      </c>
      <c r="G177" s="6" t="n">
        <f aca="false">ROUND((A177+1)^1.12,1)</f>
        <v>321.1</v>
      </c>
    </row>
    <row r="178" customFormat="false" ht="15" hidden="false" customHeight="true" outlineLevel="0" collapsed="false">
      <c r="A178" s="6" t="n">
        <v>173</v>
      </c>
      <c r="B178" s="6" t="n">
        <f aca="false">MIN(42, FLOOR(A178/32,1)+1)</f>
        <v>6</v>
      </c>
      <c r="C178" s="6" t="n">
        <f aca="false">ROUND($B$2*(A178+1)^2.4*1.004^A178,0)</f>
        <v>42804854</v>
      </c>
      <c r="D178" s="6" t="n">
        <f aca="false">ROUND($D$2*(A178+1)^2.4*1.004^A178,0)</f>
        <v>38048759</v>
      </c>
      <c r="E178" s="6" t="n">
        <f aca="false">ROUND($F$2*(A178+1)^2.4*1.004^A178,0)</f>
        <v>33292664</v>
      </c>
      <c r="F178" s="6" t="n">
        <f aca="false">ROUND(Building_Levels!$I$2*(A178+1)^1.9*1.003^A178,2)</f>
        <v>13.11</v>
      </c>
      <c r="G178" s="6" t="n">
        <f aca="false">ROUND((A178+1)^1.12,1)</f>
        <v>323.2</v>
      </c>
    </row>
    <row r="179" customFormat="false" ht="15" hidden="false" customHeight="true" outlineLevel="0" collapsed="false">
      <c r="A179" s="6" t="n">
        <v>174</v>
      </c>
      <c r="B179" s="6" t="n">
        <f aca="false">MIN(42, FLOOR(A179/32,1)+1)</f>
        <v>6</v>
      </c>
      <c r="C179" s="6" t="n">
        <f aca="false">ROUND($B$2*(A179+1)^2.4*1.004^A179,0)</f>
        <v>43571234</v>
      </c>
      <c r="D179" s="6" t="n">
        <f aca="false">ROUND($D$2*(A179+1)^2.4*1.004^A179,0)</f>
        <v>38729985</v>
      </c>
      <c r="E179" s="6" t="n">
        <f aca="false">ROUND($F$2*(A179+1)^2.4*1.004^A179,0)</f>
        <v>33888737</v>
      </c>
      <c r="F179" s="6" t="n">
        <f aca="false">ROUND(Building_Levels!$I$2*(A179+1)^1.9*1.003^A179,2)</f>
        <v>13.29</v>
      </c>
      <c r="G179" s="6" t="n">
        <f aca="false">ROUND((A179+1)^1.12,1)</f>
        <v>325.2</v>
      </c>
    </row>
    <row r="180" customFormat="false" ht="15" hidden="false" customHeight="true" outlineLevel="0" collapsed="false">
      <c r="A180" s="6" t="n">
        <v>175</v>
      </c>
      <c r="B180" s="6" t="n">
        <f aca="false">MIN(42, FLOOR(A180/32,1)+1)</f>
        <v>6</v>
      </c>
      <c r="C180" s="6" t="n">
        <f aca="false">ROUND($B$2*(A180+1)^2.4*1.004^A180,0)</f>
        <v>44347859</v>
      </c>
      <c r="D180" s="6" t="n">
        <f aca="false">ROUND($D$2*(A180+1)^2.4*1.004^A180,0)</f>
        <v>39420319</v>
      </c>
      <c r="E180" s="6" t="n">
        <f aca="false">ROUND($F$2*(A180+1)^2.4*1.004^A180,0)</f>
        <v>34492779</v>
      </c>
      <c r="F180" s="6" t="n">
        <f aca="false">ROUND(Building_Levels!$I$2*(A180+1)^1.9*1.003^A180,2)</f>
        <v>13.48</v>
      </c>
      <c r="G180" s="6" t="n">
        <f aca="false">ROUND((A180+1)^1.12,1)</f>
        <v>327.3</v>
      </c>
    </row>
    <row r="181" customFormat="false" ht="15" hidden="false" customHeight="true" outlineLevel="0" collapsed="false">
      <c r="A181" s="6" t="n">
        <v>176</v>
      </c>
      <c r="B181" s="6" t="n">
        <f aca="false">MIN(42, FLOOR(A181/32,1)+1)</f>
        <v>6</v>
      </c>
      <c r="C181" s="6" t="n">
        <f aca="false">ROUND($B$2*(A181+1)^2.4*1.004^A181,0)</f>
        <v>45134829</v>
      </c>
      <c r="D181" s="6" t="n">
        <f aca="false">ROUND($D$2*(A181+1)^2.4*1.004^A181,0)</f>
        <v>40119848</v>
      </c>
      <c r="E181" s="6" t="n">
        <f aca="false">ROUND($F$2*(A181+1)^2.4*1.004^A181,0)</f>
        <v>35104867</v>
      </c>
      <c r="F181" s="6" t="n">
        <f aca="false">ROUND(Building_Levels!$I$2*(A181+1)^1.9*1.003^A181,2)</f>
        <v>13.66</v>
      </c>
      <c r="G181" s="6" t="n">
        <f aca="false">ROUND((A181+1)^1.12,1)</f>
        <v>329.4</v>
      </c>
    </row>
    <row r="182" customFormat="false" ht="15" hidden="false" customHeight="true" outlineLevel="0" collapsed="false">
      <c r="A182" s="6" t="n">
        <v>177</v>
      </c>
      <c r="B182" s="6" t="n">
        <f aca="false">MIN(42, FLOOR(A182/32,1)+1)</f>
        <v>6</v>
      </c>
      <c r="C182" s="6" t="n">
        <f aca="false">ROUND($B$2*(A182+1)^2.4*1.004^A182,0)</f>
        <v>45932246</v>
      </c>
      <c r="D182" s="6" t="n">
        <f aca="false">ROUND($D$2*(A182+1)^2.4*1.004^A182,0)</f>
        <v>40828663</v>
      </c>
      <c r="E182" s="6" t="n">
        <f aca="false">ROUND($F$2*(A182+1)^2.4*1.004^A182,0)</f>
        <v>35725080</v>
      </c>
      <c r="F182" s="6" t="n">
        <f aca="false">ROUND(Building_Levels!$I$2*(A182+1)^1.9*1.003^A182,2)</f>
        <v>13.85</v>
      </c>
      <c r="G182" s="6" t="n">
        <f aca="false">ROUND((A182+1)^1.12,1)</f>
        <v>331.5</v>
      </c>
    </row>
    <row r="183" customFormat="false" ht="15" hidden="false" customHeight="true" outlineLevel="0" collapsed="false">
      <c r="A183" s="6" t="n">
        <v>178</v>
      </c>
      <c r="B183" s="6" t="n">
        <f aca="false">MIN(42, FLOOR(A183/32,1)+1)</f>
        <v>6</v>
      </c>
      <c r="C183" s="6" t="n">
        <f aca="false">ROUND($B$2*(A183+1)^2.4*1.004^A183,0)</f>
        <v>46740210</v>
      </c>
      <c r="D183" s="6" t="n">
        <f aca="false">ROUND($D$2*(A183+1)^2.4*1.004^A183,0)</f>
        <v>41546854</v>
      </c>
      <c r="E183" s="6" t="n">
        <f aca="false">ROUND($F$2*(A183+1)^2.4*1.004^A183,0)</f>
        <v>36353497</v>
      </c>
      <c r="F183" s="6" t="n">
        <f aca="false">ROUND(Building_Levels!$I$2*(A183+1)^1.9*1.003^A183,2)</f>
        <v>14.04</v>
      </c>
      <c r="G183" s="6" t="n">
        <f aca="false">ROUND((A183+1)^1.12,1)</f>
        <v>333.6</v>
      </c>
    </row>
    <row r="184" customFormat="false" ht="15" hidden="false" customHeight="true" outlineLevel="0" collapsed="false">
      <c r="A184" s="6" t="n">
        <v>179</v>
      </c>
      <c r="B184" s="6" t="n">
        <f aca="false">MIN(42, FLOOR(A184/32,1)+1)</f>
        <v>6</v>
      </c>
      <c r="C184" s="6" t="n">
        <f aca="false">ROUND($B$2*(A184+1)^2.4*1.004^A184,0)</f>
        <v>47558825</v>
      </c>
      <c r="D184" s="6" t="n">
        <f aca="false">ROUND($D$2*(A184+1)^2.4*1.004^A184,0)</f>
        <v>42274511</v>
      </c>
      <c r="E184" s="6" t="n">
        <f aca="false">ROUND($F$2*(A184+1)^2.4*1.004^A184,0)</f>
        <v>36990197</v>
      </c>
      <c r="F184" s="6" t="n">
        <f aca="false">ROUND(Building_Levels!$I$2*(A184+1)^1.9*1.003^A184,2)</f>
        <v>14.23</v>
      </c>
      <c r="G184" s="6" t="n">
        <f aca="false">ROUND((A184+1)^1.12,1)</f>
        <v>335.7</v>
      </c>
    </row>
    <row r="185" customFormat="false" ht="15" hidden="false" customHeight="true" outlineLevel="0" collapsed="false">
      <c r="A185" s="6" t="n">
        <v>180</v>
      </c>
      <c r="B185" s="6" t="n">
        <f aca="false">MIN(42, FLOOR(A185/32,1)+1)</f>
        <v>6</v>
      </c>
      <c r="C185" s="6" t="n">
        <f aca="false">ROUND($B$2*(A185+1)^2.4*1.004^A185,0)</f>
        <v>48388192</v>
      </c>
      <c r="D185" s="6" t="n">
        <f aca="false">ROUND($D$2*(A185+1)^2.4*1.004^A185,0)</f>
        <v>43011726</v>
      </c>
      <c r="E185" s="6" t="n">
        <f aca="false">ROUND($F$2*(A185+1)^2.4*1.004^A185,0)</f>
        <v>37635260</v>
      </c>
      <c r="F185" s="6" t="n">
        <f aca="false">ROUND(Building_Levels!$I$2*(A185+1)^1.9*1.003^A185,2)</f>
        <v>14.43</v>
      </c>
      <c r="G185" s="6" t="n">
        <f aca="false">ROUND((A185+1)^1.12,1)</f>
        <v>337.8</v>
      </c>
    </row>
    <row r="186" customFormat="false" ht="15" hidden="false" customHeight="true" outlineLevel="0" collapsed="false">
      <c r="A186" s="6" t="n">
        <v>181</v>
      </c>
      <c r="B186" s="6" t="n">
        <f aca="false">MIN(42, FLOOR(A186/32,1)+1)</f>
        <v>6</v>
      </c>
      <c r="C186" s="6" t="n">
        <f aca="false">ROUND($B$2*(A186+1)^2.4*1.004^A186,0)</f>
        <v>49228416</v>
      </c>
      <c r="D186" s="6" t="n">
        <f aca="false">ROUND($D$2*(A186+1)^2.4*1.004^A186,0)</f>
        <v>43758592</v>
      </c>
      <c r="E186" s="6" t="n">
        <f aca="false">ROUND($F$2*(A186+1)^2.4*1.004^A186,0)</f>
        <v>38288768</v>
      </c>
      <c r="F186" s="6" t="n">
        <f aca="false">ROUND(Building_Levels!$I$2*(A186+1)^1.9*1.003^A186,2)</f>
        <v>14.62</v>
      </c>
      <c r="G186" s="6" t="n">
        <f aca="false">ROUND((A186+1)^1.12,1)</f>
        <v>339.8</v>
      </c>
    </row>
    <row r="187" customFormat="false" ht="15" hidden="false" customHeight="true" outlineLevel="0" collapsed="false">
      <c r="A187" s="6" t="n">
        <v>182</v>
      </c>
      <c r="B187" s="6" t="n">
        <f aca="false">MIN(42, FLOOR(A187/32,1)+1)</f>
        <v>6</v>
      </c>
      <c r="C187" s="6" t="n">
        <f aca="false">ROUND($B$2*(A187+1)^2.4*1.004^A187,0)</f>
        <v>50079601</v>
      </c>
      <c r="D187" s="6" t="n">
        <f aca="false">ROUND($D$2*(A187+1)^2.4*1.004^A187,0)</f>
        <v>44515200</v>
      </c>
      <c r="E187" s="6" t="n">
        <f aca="false">ROUND($F$2*(A187+1)^2.4*1.004^A187,0)</f>
        <v>38950800</v>
      </c>
      <c r="F187" s="6" t="n">
        <f aca="false">ROUND(Building_Levels!$I$2*(A187+1)^1.9*1.003^A187,2)</f>
        <v>14.82</v>
      </c>
      <c r="G187" s="6" t="n">
        <f aca="false">ROUND((A187+1)^1.12,1)</f>
        <v>341.9</v>
      </c>
    </row>
    <row r="188" customFormat="false" ht="15" hidden="false" customHeight="true" outlineLevel="0" collapsed="false">
      <c r="A188" s="6" t="n">
        <v>183</v>
      </c>
      <c r="B188" s="6" t="n">
        <f aca="false">MIN(42, FLOOR(A188/32,1)+1)</f>
        <v>6</v>
      </c>
      <c r="C188" s="6" t="n">
        <f aca="false">ROUND($B$2*(A188+1)^2.4*1.004^A188,0)</f>
        <v>50941852</v>
      </c>
      <c r="D188" s="6" t="n">
        <f aca="false">ROUND($D$2*(A188+1)^2.4*1.004^A188,0)</f>
        <v>45281646</v>
      </c>
      <c r="E188" s="6" t="n">
        <f aca="false">ROUND($F$2*(A188+1)^2.4*1.004^A188,0)</f>
        <v>39621440</v>
      </c>
      <c r="F188" s="6" t="n">
        <f aca="false">ROUND(Building_Levels!$I$2*(A188+1)^1.9*1.003^A188,2)</f>
        <v>15.02</v>
      </c>
      <c r="G188" s="6" t="n">
        <f aca="false">ROUND((A188+1)^1.12,1)</f>
        <v>344</v>
      </c>
    </row>
    <row r="189" customFormat="false" ht="15" hidden="false" customHeight="true" outlineLevel="0" collapsed="false">
      <c r="A189" s="6" t="n">
        <v>184</v>
      </c>
      <c r="B189" s="6" t="n">
        <f aca="false">MIN(42, FLOOR(A189/32,1)+1)</f>
        <v>6</v>
      </c>
      <c r="C189" s="6" t="n">
        <f aca="false">ROUND($B$2*(A189+1)^2.4*1.004^A189,0)</f>
        <v>51815276</v>
      </c>
      <c r="D189" s="6" t="n">
        <f aca="false">ROUND($D$2*(A189+1)^2.4*1.004^A189,0)</f>
        <v>46058023</v>
      </c>
      <c r="E189" s="6" t="n">
        <f aca="false">ROUND($F$2*(A189+1)^2.4*1.004^A189,0)</f>
        <v>40300770</v>
      </c>
      <c r="F189" s="6" t="n">
        <f aca="false">ROUND(Building_Levels!$I$2*(A189+1)^1.9*1.003^A189,2)</f>
        <v>15.22</v>
      </c>
      <c r="G189" s="6" t="n">
        <f aca="false">ROUND((A189+1)^1.12,1)</f>
        <v>346.1</v>
      </c>
    </row>
    <row r="190" customFormat="false" ht="15" hidden="false" customHeight="true" outlineLevel="0" collapsed="false">
      <c r="A190" s="6" t="n">
        <v>185</v>
      </c>
      <c r="B190" s="6" t="n">
        <f aca="false">MIN(42, FLOOR(A190/32,1)+1)</f>
        <v>6</v>
      </c>
      <c r="C190" s="6" t="n">
        <f aca="false">ROUND($B$2*(A190+1)^2.4*1.004^A190,0)</f>
        <v>52699979</v>
      </c>
      <c r="D190" s="6" t="n">
        <f aca="false">ROUND($D$2*(A190+1)^2.4*1.004^A190,0)</f>
        <v>46844426</v>
      </c>
      <c r="E190" s="6" t="n">
        <f aca="false">ROUND($F$2*(A190+1)^2.4*1.004^A190,0)</f>
        <v>40988873</v>
      </c>
      <c r="F190" s="6" t="n">
        <f aca="false">ROUND(Building_Levels!$I$2*(A190+1)^1.9*1.003^A190,2)</f>
        <v>15.42</v>
      </c>
      <c r="G190" s="6" t="n">
        <f aca="false">ROUND((A190+1)^1.12,1)</f>
        <v>348.2</v>
      </c>
    </row>
    <row r="191" customFormat="false" ht="15" hidden="false" customHeight="true" outlineLevel="0" collapsed="false">
      <c r="A191" s="6" t="n">
        <v>186</v>
      </c>
      <c r="B191" s="6" t="n">
        <f aca="false">MIN(42, FLOOR(A191/32,1)+1)</f>
        <v>6</v>
      </c>
      <c r="C191" s="6" t="n">
        <f aca="false">ROUND($B$2*(A191+1)^2.4*1.004^A191,0)</f>
        <v>53596070</v>
      </c>
      <c r="D191" s="6" t="n">
        <f aca="false">ROUND($D$2*(A191+1)^2.4*1.004^A191,0)</f>
        <v>47640951</v>
      </c>
      <c r="E191" s="6" t="n">
        <f aca="false">ROUND($F$2*(A191+1)^2.4*1.004^A191,0)</f>
        <v>41685832</v>
      </c>
      <c r="F191" s="6" t="n">
        <f aca="false">ROUND(Building_Levels!$I$2*(A191+1)^1.9*1.003^A191,2)</f>
        <v>15.63</v>
      </c>
      <c r="G191" s="6" t="n">
        <f aca="false">ROUND((A191+1)^1.12,1)</f>
        <v>350.3</v>
      </c>
    </row>
    <row r="192" customFormat="false" ht="15" hidden="false" customHeight="true" outlineLevel="0" collapsed="false">
      <c r="A192" s="6" t="n">
        <v>187</v>
      </c>
      <c r="B192" s="6" t="n">
        <f aca="false">MIN(42, FLOOR(A192/32,1)+1)</f>
        <v>6</v>
      </c>
      <c r="C192" s="6" t="n">
        <f aca="false">ROUND($B$2*(A192+1)^2.4*1.004^A192,0)</f>
        <v>54503657</v>
      </c>
      <c r="D192" s="6" t="n">
        <f aca="false">ROUND($D$2*(A192+1)^2.4*1.004^A192,0)</f>
        <v>48447695</v>
      </c>
      <c r="E192" s="6" t="n">
        <f aca="false">ROUND($F$2*(A192+1)^2.4*1.004^A192,0)</f>
        <v>42391733</v>
      </c>
      <c r="F192" s="6" t="n">
        <f aca="false">ROUND(Building_Levels!$I$2*(A192+1)^1.9*1.003^A192,2)</f>
        <v>15.84</v>
      </c>
      <c r="G192" s="6" t="n">
        <f aca="false">ROUND((A192+1)^1.12,1)</f>
        <v>352.4</v>
      </c>
    </row>
    <row r="193" customFormat="false" ht="15" hidden="false" customHeight="true" outlineLevel="0" collapsed="false">
      <c r="A193" s="6" t="n">
        <v>188</v>
      </c>
      <c r="B193" s="6" t="n">
        <f aca="false">MIN(42, FLOOR(A193/32,1)+1)</f>
        <v>6</v>
      </c>
      <c r="C193" s="6" t="n">
        <f aca="false">ROUND($B$2*(A193+1)^2.4*1.004^A193,0)</f>
        <v>55422849</v>
      </c>
      <c r="D193" s="6" t="n">
        <f aca="false">ROUND($D$2*(A193+1)^2.4*1.004^A193,0)</f>
        <v>49264755</v>
      </c>
      <c r="E193" s="6" t="n">
        <f aca="false">ROUND($F$2*(A193+1)^2.4*1.004^A193,0)</f>
        <v>43106660</v>
      </c>
      <c r="F193" s="6" t="n">
        <f aca="false">ROUND(Building_Levels!$I$2*(A193+1)^1.9*1.003^A193,2)</f>
        <v>16.04</v>
      </c>
      <c r="G193" s="6" t="n">
        <f aca="false">ROUND((A193+1)^1.12,1)</f>
        <v>354.5</v>
      </c>
    </row>
    <row r="194" customFormat="false" ht="15" hidden="false" customHeight="true" outlineLevel="0" collapsed="false">
      <c r="A194" s="6" t="n">
        <v>189</v>
      </c>
      <c r="B194" s="6" t="n">
        <f aca="false">MIN(42, FLOOR(A194/32,1)+1)</f>
        <v>6</v>
      </c>
      <c r="C194" s="6" t="n">
        <f aca="false">ROUND($B$2*(A194+1)^2.4*1.004^A194,0)</f>
        <v>56353757</v>
      </c>
      <c r="D194" s="6" t="n">
        <f aca="false">ROUND($D$2*(A194+1)^2.4*1.004^A194,0)</f>
        <v>50092228</v>
      </c>
      <c r="E194" s="6" t="n">
        <f aca="false">ROUND($F$2*(A194+1)^2.4*1.004^A194,0)</f>
        <v>43830700</v>
      </c>
      <c r="F194" s="6" t="n">
        <f aca="false">ROUND(Building_Levels!$I$2*(A194+1)^1.9*1.003^A194,2)</f>
        <v>16.25</v>
      </c>
      <c r="G194" s="6" t="n">
        <f aca="false">ROUND((A194+1)^1.12,1)</f>
        <v>356.6</v>
      </c>
    </row>
    <row r="195" customFormat="false" ht="15" hidden="false" customHeight="true" outlineLevel="0" collapsed="false">
      <c r="A195" s="6" t="n">
        <v>190</v>
      </c>
      <c r="B195" s="6" t="n">
        <f aca="false">MIN(42, FLOOR(A195/32,1)+1)</f>
        <v>6</v>
      </c>
      <c r="C195" s="6" t="n">
        <f aca="false">ROUND($B$2*(A195+1)^2.4*1.004^A195,0)</f>
        <v>57296491</v>
      </c>
      <c r="D195" s="6" t="n">
        <f aca="false">ROUND($D$2*(A195+1)^2.4*1.004^A195,0)</f>
        <v>50930214</v>
      </c>
      <c r="E195" s="6" t="n">
        <f aca="false">ROUND($F$2*(A195+1)^2.4*1.004^A195,0)</f>
        <v>44563937</v>
      </c>
      <c r="F195" s="6" t="n">
        <f aca="false">ROUND(Building_Levels!$I$2*(A195+1)^1.9*1.003^A195,2)</f>
        <v>16.47</v>
      </c>
      <c r="G195" s="6" t="n">
        <f aca="false">ROUND((A195+1)^1.12,1)</f>
        <v>358.7</v>
      </c>
    </row>
    <row r="196" customFormat="false" ht="15" hidden="false" customHeight="true" outlineLevel="0" collapsed="false">
      <c r="A196" s="6" t="n">
        <v>191</v>
      </c>
      <c r="B196" s="6" t="n">
        <f aca="false">MIN(42, FLOOR(A196/32,1)+1)</f>
        <v>6</v>
      </c>
      <c r="C196" s="6" t="n">
        <f aca="false">ROUND($B$2*(A196+1)^2.4*1.004^A196,0)</f>
        <v>58251164</v>
      </c>
      <c r="D196" s="6" t="n">
        <f aca="false">ROUND($D$2*(A196+1)^2.4*1.004^A196,0)</f>
        <v>51778812</v>
      </c>
      <c r="E196" s="6" t="n">
        <f aca="false">ROUND($F$2*(A196+1)^2.4*1.004^A196,0)</f>
        <v>45306461</v>
      </c>
      <c r="F196" s="6" t="n">
        <f aca="false">ROUND(Building_Levels!$I$2*(A196+1)^1.9*1.003^A196,2)</f>
        <v>16.68</v>
      </c>
      <c r="G196" s="6" t="n">
        <f aca="false">ROUND((A196+1)^1.12,1)</f>
        <v>360.8</v>
      </c>
    </row>
    <row r="197" customFormat="false" ht="15" hidden="false" customHeight="true" outlineLevel="0" collapsed="false">
      <c r="A197" s="6" t="n">
        <v>192</v>
      </c>
      <c r="B197" s="6" t="n">
        <f aca="false">MIN(42, FLOOR(A197/32,1)+1)</f>
        <v>7</v>
      </c>
      <c r="C197" s="6" t="n">
        <f aca="false">ROUND($B$2*(A197+1)^2.4*1.004^A197,0)</f>
        <v>59217887</v>
      </c>
      <c r="D197" s="6" t="n">
        <f aca="false">ROUND($D$2*(A197+1)^2.4*1.004^A197,0)</f>
        <v>52638122</v>
      </c>
      <c r="E197" s="6" t="n">
        <f aca="false">ROUND($F$2*(A197+1)^2.4*1.004^A197,0)</f>
        <v>46058357</v>
      </c>
      <c r="F197" s="6" t="n">
        <f aca="false">ROUND(Building_Levels!$I$2*(A197+1)^1.9*1.003^A197,2)</f>
        <v>16.9</v>
      </c>
      <c r="G197" s="6" t="n">
        <f aca="false">ROUND((A197+1)^1.12,1)</f>
        <v>362.9</v>
      </c>
    </row>
    <row r="198" customFormat="false" ht="15" hidden="false" customHeight="true" outlineLevel="0" collapsed="false">
      <c r="A198" s="6" t="n">
        <v>193</v>
      </c>
      <c r="B198" s="6" t="n">
        <f aca="false">MIN(42, FLOOR(A198/32,1)+1)</f>
        <v>7</v>
      </c>
      <c r="C198" s="6" t="n">
        <f aca="false">ROUND($B$2*(A198+1)^2.4*1.004^A198,0)</f>
        <v>60196776</v>
      </c>
      <c r="D198" s="6" t="n">
        <f aca="false">ROUND($D$2*(A198+1)^2.4*1.004^A198,0)</f>
        <v>53508245</v>
      </c>
      <c r="E198" s="6" t="n">
        <f aca="false">ROUND($F$2*(A198+1)^2.4*1.004^A198,0)</f>
        <v>46819715</v>
      </c>
      <c r="F198" s="6" t="n">
        <f aca="false">ROUND(Building_Levels!$I$2*(A198+1)^1.9*1.003^A198,2)</f>
        <v>17.11</v>
      </c>
      <c r="G198" s="6" t="n">
        <f aca="false">ROUND((A198+1)^1.12,1)</f>
        <v>365</v>
      </c>
    </row>
    <row r="199" customFormat="false" ht="15" hidden="false" customHeight="true" outlineLevel="0" collapsed="false">
      <c r="A199" s="6" t="n">
        <v>194</v>
      </c>
      <c r="B199" s="6" t="n">
        <f aca="false">MIN(42, FLOOR(A199/32,1)+1)</f>
        <v>7</v>
      </c>
      <c r="C199" s="6" t="n">
        <f aca="false">ROUND($B$2*(A199+1)^2.4*1.004^A199,0)</f>
        <v>61187944</v>
      </c>
      <c r="D199" s="6" t="n">
        <f aca="false">ROUND($D$2*(A199+1)^2.4*1.004^A199,0)</f>
        <v>54389284</v>
      </c>
      <c r="E199" s="6" t="n">
        <f aca="false">ROUND($F$2*(A199+1)^2.4*1.004^A199,0)</f>
        <v>47590623</v>
      </c>
      <c r="F199" s="6" t="n">
        <f aca="false">ROUND(Building_Levels!$I$2*(A199+1)^1.9*1.003^A199,2)</f>
        <v>17.33</v>
      </c>
      <c r="G199" s="6" t="n">
        <f aca="false">ROUND((A199+1)^1.12,1)</f>
        <v>367.1</v>
      </c>
    </row>
    <row r="200" customFormat="false" ht="15" hidden="false" customHeight="true" outlineLevel="0" collapsed="false">
      <c r="A200" s="6" t="n">
        <v>195</v>
      </c>
      <c r="B200" s="6" t="n">
        <f aca="false">MIN(42, FLOOR(A200/32,1)+1)</f>
        <v>7</v>
      </c>
      <c r="C200" s="6" t="n">
        <f aca="false">ROUND($B$2*(A200+1)^2.4*1.004^A200,0)</f>
        <v>62191507</v>
      </c>
      <c r="D200" s="6" t="n">
        <f aca="false">ROUND($D$2*(A200+1)^2.4*1.004^A200,0)</f>
        <v>55281339</v>
      </c>
      <c r="E200" s="6" t="n">
        <f aca="false">ROUND($F$2*(A200+1)^2.4*1.004^A200,0)</f>
        <v>48371172</v>
      </c>
      <c r="F200" s="6" t="n">
        <f aca="false">ROUND(Building_Levels!$I$2*(A200+1)^1.9*1.003^A200,2)</f>
        <v>17.56</v>
      </c>
      <c r="G200" s="6" t="n">
        <f aca="false">ROUND((A200+1)^1.12,1)</f>
        <v>369.3</v>
      </c>
    </row>
    <row r="201" customFormat="false" ht="15" hidden="false" customHeight="true" outlineLevel="0" collapsed="false">
      <c r="A201" s="6" t="n">
        <v>196</v>
      </c>
      <c r="B201" s="6" t="n">
        <f aca="false">MIN(42, FLOOR(A201/32,1)+1)</f>
        <v>7</v>
      </c>
      <c r="C201" s="6" t="n">
        <f aca="false">ROUND($B$2*(A201+1)^2.4*1.004^A201,0)</f>
        <v>63207580</v>
      </c>
      <c r="D201" s="6" t="n">
        <f aca="false">ROUND($D$2*(A201+1)^2.4*1.004^A201,0)</f>
        <v>56184516</v>
      </c>
      <c r="E201" s="6" t="n">
        <f aca="false">ROUND($F$2*(A201+1)^2.4*1.004^A201,0)</f>
        <v>49161451</v>
      </c>
      <c r="F201" s="6" t="n">
        <f aca="false">ROUND(Building_Levels!$I$2*(A201+1)^1.9*1.003^A201,2)</f>
        <v>17.78</v>
      </c>
      <c r="G201" s="6" t="n">
        <f aca="false">ROUND((A201+1)^1.12,1)</f>
        <v>371.4</v>
      </c>
    </row>
    <row r="202" customFormat="false" ht="15" hidden="false" customHeight="true" outlineLevel="0" collapsed="false">
      <c r="A202" s="6" t="n">
        <v>197</v>
      </c>
      <c r="B202" s="6" t="n">
        <f aca="false">MIN(42, FLOOR(A202/32,1)+1)</f>
        <v>7</v>
      </c>
      <c r="C202" s="6" t="n">
        <f aca="false">ROUND($B$2*(A202+1)^2.4*1.004^A202,0)</f>
        <v>64236281</v>
      </c>
      <c r="D202" s="6" t="n">
        <f aca="false">ROUND($D$2*(A202+1)^2.4*1.004^A202,0)</f>
        <v>57098916</v>
      </c>
      <c r="E202" s="6" t="n">
        <f aca="false">ROUND($F$2*(A202+1)^2.4*1.004^A202,0)</f>
        <v>49961552</v>
      </c>
      <c r="F202" s="6" t="n">
        <f aca="false">ROUND(Building_Levels!$I$2*(A202+1)^1.9*1.003^A202,2)</f>
        <v>18.01</v>
      </c>
      <c r="G202" s="6" t="n">
        <f aca="false">ROUND((A202+1)^1.12,1)</f>
        <v>373.5</v>
      </c>
    </row>
    <row r="203" customFormat="false" ht="15" hidden="false" customHeight="true" outlineLevel="0" collapsed="false">
      <c r="A203" s="6" t="n">
        <v>198</v>
      </c>
      <c r="B203" s="6" t="n">
        <f aca="false">MIN(42, FLOOR(A203/32,1)+1)</f>
        <v>7</v>
      </c>
      <c r="C203" s="6" t="n">
        <f aca="false">ROUND($B$2*(A203+1)^2.4*1.004^A203,0)</f>
        <v>65277728</v>
      </c>
      <c r="D203" s="6" t="n">
        <f aca="false">ROUND($D$2*(A203+1)^2.4*1.004^A203,0)</f>
        <v>58024647</v>
      </c>
      <c r="E203" s="6" t="n">
        <f aca="false">ROUND($F$2*(A203+1)^2.4*1.004^A203,0)</f>
        <v>50771566</v>
      </c>
      <c r="F203" s="6" t="n">
        <f aca="false">ROUND(Building_Levels!$I$2*(A203+1)^1.9*1.003^A203,2)</f>
        <v>18.23</v>
      </c>
      <c r="G203" s="6" t="n">
        <f aca="false">ROUND((A203+1)^1.12,1)</f>
        <v>375.6</v>
      </c>
    </row>
    <row r="204" customFormat="false" ht="15" hidden="false" customHeight="true" outlineLevel="0" collapsed="false">
      <c r="A204" s="6" t="n">
        <v>199</v>
      </c>
      <c r="B204" s="6" t="n">
        <f aca="false">MIN(42, FLOOR(A204/32,1)+1)</f>
        <v>7</v>
      </c>
      <c r="C204" s="6" t="n">
        <f aca="false">ROUND($B$2*(A204+1)^2.4*1.004^A204,0)</f>
        <v>66332039</v>
      </c>
      <c r="D204" s="6" t="n">
        <f aca="false">ROUND($D$2*(A204+1)^2.4*1.004^A204,0)</f>
        <v>58961813</v>
      </c>
      <c r="E204" s="6" t="n">
        <f aca="false">ROUND($F$2*(A204+1)^2.4*1.004^A204,0)</f>
        <v>51591586</v>
      </c>
      <c r="F204" s="6" t="n">
        <f aca="false">ROUND(Building_Levels!$I$2*(A204+1)^1.9*1.003^A204,2)</f>
        <v>18.46</v>
      </c>
      <c r="G204" s="6" t="n">
        <f aca="false">ROUND((A204+1)^1.12,1)</f>
        <v>377.7</v>
      </c>
    </row>
    <row r="205" customFormat="false" ht="15" hidden="false" customHeight="true" outlineLevel="0" collapsed="false">
      <c r="A205" s="6" t="n">
        <v>200</v>
      </c>
      <c r="B205" s="6" t="n">
        <f aca="false">MIN(42, FLOOR(A205/32,1)+1)</f>
        <v>7</v>
      </c>
      <c r="C205" s="6" t="n">
        <f aca="false">ROUND($B$2*(A205+1)^2.4*1.004^A205,0)</f>
        <v>67399335</v>
      </c>
      <c r="D205" s="6" t="n">
        <f aca="false">ROUND($D$2*(A205+1)^2.4*1.004^A205,0)</f>
        <v>59910520</v>
      </c>
      <c r="E205" s="6" t="n">
        <f aca="false">ROUND($F$2*(A205+1)^2.4*1.004^A205,0)</f>
        <v>52421705</v>
      </c>
      <c r="F205" s="6" t="n">
        <f aca="false">ROUND(Building_Levels!$I$2*(A205+1)^1.9*1.003^A205,2)</f>
        <v>18.69</v>
      </c>
      <c r="G205" s="6" t="n">
        <f aca="false">ROUND((A205+1)^1.12,1)</f>
        <v>379.8</v>
      </c>
    </row>
    <row r="206" customFormat="false" ht="15" hidden="false" customHeight="true" outlineLevel="0" collapsed="false">
      <c r="A206" s="6" t="n">
        <v>201</v>
      </c>
      <c r="B206" s="6" t="n">
        <f aca="false">MIN(42, FLOOR(A206/32,1)+1)</f>
        <v>7</v>
      </c>
      <c r="C206" s="6" t="n">
        <f aca="false">ROUND($B$2*(A206+1)^2.4*1.004^A206,0)</f>
        <v>68479735</v>
      </c>
      <c r="D206" s="6" t="n">
        <f aca="false">ROUND($D$2*(A206+1)^2.4*1.004^A206,0)</f>
        <v>60870876</v>
      </c>
      <c r="E206" s="6" t="n">
        <f aca="false">ROUND($F$2*(A206+1)^2.4*1.004^A206,0)</f>
        <v>53262016</v>
      </c>
      <c r="F206" s="6" t="n">
        <f aca="false">ROUND(Building_Levels!$I$2*(A206+1)^1.9*1.003^A206,2)</f>
        <v>18.93</v>
      </c>
      <c r="G206" s="6" t="n">
        <f aca="false">ROUND((A206+1)^1.12,1)</f>
        <v>381.9</v>
      </c>
    </row>
    <row r="207" customFormat="false" ht="15" hidden="false" customHeight="true" outlineLevel="0" collapsed="false">
      <c r="A207" s="6" t="n">
        <v>202</v>
      </c>
      <c r="B207" s="6" t="n">
        <f aca="false">MIN(42, FLOOR(A207/32,1)+1)</f>
        <v>7</v>
      </c>
      <c r="C207" s="6" t="n">
        <f aca="false">ROUND($B$2*(A207+1)^2.4*1.004^A207,0)</f>
        <v>69573362</v>
      </c>
      <c r="D207" s="6" t="n">
        <f aca="false">ROUND($D$2*(A207+1)^2.4*1.004^A207,0)</f>
        <v>61842988</v>
      </c>
      <c r="E207" s="6" t="n">
        <f aca="false">ROUND($F$2*(A207+1)^2.4*1.004^A207,0)</f>
        <v>54112615</v>
      </c>
      <c r="F207" s="6" t="n">
        <f aca="false">ROUND(Building_Levels!$I$2*(A207+1)^1.9*1.003^A207,2)</f>
        <v>19.16</v>
      </c>
      <c r="G207" s="6" t="n">
        <f aca="false">ROUND((A207+1)^1.12,1)</f>
        <v>384.1</v>
      </c>
    </row>
    <row r="208" customFormat="false" ht="15" hidden="false" customHeight="true" outlineLevel="0" collapsed="false">
      <c r="A208" s="6" t="n">
        <v>203</v>
      </c>
      <c r="B208" s="6" t="n">
        <f aca="false">MIN(42, FLOOR(A208/32,1)+1)</f>
        <v>7</v>
      </c>
      <c r="C208" s="6" t="n">
        <f aca="false">ROUND($B$2*(A208+1)^2.4*1.004^A208,0)</f>
        <v>70680337</v>
      </c>
      <c r="D208" s="6" t="n">
        <f aca="false">ROUND($D$2*(A208+1)^2.4*1.004^A208,0)</f>
        <v>62826966</v>
      </c>
      <c r="E208" s="6" t="n">
        <f aca="false">ROUND($F$2*(A208+1)^2.4*1.004^A208,0)</f>
        <v>54973595</v>
      </c>
      <c r="F208" s="6" t="n">
        <f aca="false">ROUND(Building_Levels!$I$2*(A208+1)^1.9*1.003^A208,2)</f>
        <v>19.4</v>
      </c>
      <c r="G208" s="6" t="n">
        <f aca="false">ROUND((A208+1)^1.12,1)</f>
        <v>386.2</v>
      </c>
    </row>
    <row r="209" customFormat="false" ht="15" hidden="false" customHeight="true" outlineLevel="0" collapsed="false">
      <c r="A209" s="6" t="n">
        <v>204</v>
      </c>
      <c r="B209" s="6" t="n">
        <f aca="false">MIN(42, FLOOR(A209/32,1)+1)</f>
        <v>7</v>
      </c>
      <c r="C209" s="6" t="n">
        <f aca="false">ROUND($B$2*(A209+1)^2.4*1.004^A209,0)</f>
        <v>71800784</v>
      </c>
      <c r="D209" s="6" t="n">
        <f aca="false">ROUND($D$2*(A209+1)^2.4*1.004^A209,0)</f>
        <v>63822919</v>
      </c>
      <c r="E209" s="6" t="n">
        <f aca="false">ROUND($F$2*(A209+1)^2.4*1.004^A209,0)</f>
        <v>55845055</v>
      </c>
      <c r="F209" s="6" t="n">
        <f aca="false">ROUND(Building_Levels!$I$2*(A209+1)^1.9*1.003^A209,2)</f>
        <v>19.64</v>
      </c>
      <c r="G209" s="6" t="n">
        <f aca="false">ROUND((A209+1)^1.12,1)</f>
        <v>388.3</v>
      </c>
    </row>
    <row r="210" customFormat="false" ht="15" hidden="false" customHeight="true" outlineLevel="0" collapsed="false">
      <c r="A210" s="6" t="n">
        <v>205</v>
      </c>
      <c r="B210" s="6" t="n">
        <f aca="false">MIN(42, FLOOR(A210/32,1)+1)</f>
        <v>7</v>
      </c>
      <c r="C210" s="6" t="n">
        <f aca="false">ROUND($B$2*(A210+1)^2.4*1.004^A210,0)</f>
        <v>72934828</v>
      </c>
      <c r="D210" s="6" t="n">
        <f aca="false">ROUND($D$2*(A210+1)^2.4*1.004^A210,0)</f>
        <v>64830958</v>
      </c>
      <c r="E210" s="6" t="n">
        <f aca="false">ROUND($F$2*(A210+1)^2.4*1.004^A210,0)</f>
        <v>56727089</v>
      </c>
      <c r="F210" s="6" t="n">
        <f aca="false">ROUND(Building_Levels!$I$2*(A210+1)^1.9*1.003^A210,2)</f>
        <v>19.88</v>
      </c>
      <c r="G210" s="6" t="n">
        <f aca="false">ROUND((A210+1)^1.12,1)</f>
        <v>390.4</v>
      </c>
    </row>
    <row r="211" customFormat="false" ht="15" hidden="false" customHeight="true" outlineLevel="0" collapsed="false">
      <c r="A211" s="6" t="n">
        <v>206</v>
      </c>
      <c r="B211" s="6" t="n">
        <f aca="false">MIN(42, FLOOR(A211/32,1)+1)</f>
        <v>7</v>
      </c>
      <c r="C211" s="6" t="n">
        <f aca="false">ROUND($B$2*(A211+1)^2.4*1.004^A211,0)</f>
        <v>74082593</v>
      </c>
      <c r="D211" s="6" t="n">
        <f aca="false">ROUND($D$2*(A211+1)^2.4*1.004^A211,0)</f>
        <v>65851194</v>
      </c>
      <c r="E211" s="6" t="n">
        <f aca="false">ROUND($F$2*(A211+1)^2.4*1.004^A211,0)</f>
        <v>57619795</v>
      </c>
      <c r="F211" s="6" t="n">
        <f aca="false">ROUND(Building_Levels!$I$2*(A211+1)^1.9*1.003^A211,2)</f>
        <v>20.13</v>
      </c>
      <c r="G211" s="6" t="n">
        <f aca="false">ROUND((A211+1)^1.12,1)</f>
        <v>392.5</v>
      </c>
    </row>
    <row r="212" customFormat="false" ht="15" hidden="false" customHeight="true" outlineLevel="0" collapsed="false">
      <c r="A212" s="6" t="n">
        <v>207</v>
      </c>
      <c r="B212" s="6" t="n">
        <f aca="false">MIN(42, FLOOR(A212/32,1)+1)</f>
        <v>7</v>
      </c>
      <c r="C212" s="6" t="n">
        <f aca="false">ROUND($B$2*(A212+1)^2.4*1.004^A212,0)</f>
        <v>75244206</v>
      </c>
      <c r="D212" s="6" t="n">
        <f aca="false">ROUND($D$2*(A212+1)^2.4*1.004^A212,0)</f>
        <v>66883739</v>
      </c>
      <c r="E212" s="6" t="n">
        <f aca="false">ROUND($F$2*(A212+1)^2.4*1.004^A212,0)</f>
        <v>58523271</v>
      </c>
      <c r="F212" s="6" t="n">
        <f aca="false">ROUND(Building_Levels!$I$2*(A212+1)^1.9*1.003^A212,2)</f>
        <v>20.37</v>
      </c>
      <c r="G212" s="6" t="n">
        <f aca="false">ROUND((A212+1)^1.12,1)</f>
        <v>394.7</v>
      </c>
    </row>
    <row r="213" customFormat="false" ht="15" hidden="false" customHeight="true" outlineLevel="0" collapsed="false">
      <c r="A213" s="6" t="n">
        <v>208</v>
      </c>
      <c r="B213" s="6" t="n">
        <f aca="false">MIN(42, FLOOR(A213/32,1)+1)</f>
        <v>7</v>
      </c>
      <c r="C213" s="6" t="n">
        <f aca="false">ROUND($B$2*(A213+1)^2.4*1.004^A213,0)</f>
        <v>76419794</v>
      </c>
      <c r="D213" s="6" t="n">
        <f aca="false">ROUND($D$2*(A213+1)^2.4*1.004^A213,0)</f>
        <v>67928705</v>
      </c>
      <c r="E213" s="6" t="n">
        <f aca="false">ROUND($F$2*(A213+1)^2.4*1.004^A213,0)</f>
        <v>59437617</v>
      </c>
      <c r="F213" s="6" t="n">
        <f aca="false">ROUND(Building_Levels!$I$2*(A213+1)^1.9*1.003^A213,2)</f>
        <v>20.62</v>
      </c>
      <c r="G213" s="6" t="n">
        <f aca="false">ROUND((A213+1)^1.12,1)</f>
        <v>396.8</v>
      </c>
    </row>
    <row r="214" customFormat="false" ht="15" hidden="false" customHeight="true" outlineLevel="0" collapsed="false">
      <c r="A214" s="6" t="n">
        <v>209</v>
      </c>
      <c r="B214" s="6" t="n">
        <f aca="false">MIN(42, FLOOR(A214/32,1)+1)</f>
        <v>7</v>
      </c>
      <c r="C214" s="6" t="n">
        <f aca="false">ROUND($B$2*(A214+1)^2.4*1.004^A214,0)</f>
        <v>77609484</v>
      </c>
      <c r="D214" s="6" t="n">
        <f aca="false">ROUND($D$2*(A214+1)^2.4*1.004^A214,0)</f>
        <v>68986208</v>
      </c>
      <c r="E214" s="6" t="n">
        <f aca="false">ROUND($F$2*(A214+1)^2.4*1.004^A214,0)</f>
        <v>60362932</v>
      </c>
      <c r="F214" s="6" t="n">
        <f aca="false">ROUND(Building_Levels!$I$2*(A214+1)^1.9*1.003^A214,2)</f>
        <v>20.87</v>
      </c>
      <c r="G214" s="6" t="n">
        <f aca="false">ROUND((A214+1)^1.12,1)</f>
        <v>398.9</v>
      </c>
    </row>
    <row r="215" customFormat="false" ht="15" hidden="false" customHeight="true" outlineLevel="0" collapsed="false">
      <c r="A215" s="6" t="n">
        <v>210</v>
      </c>
      <c r="B215" s="6" t="n">
        <f aca="false">MIN(42, FLOOR(A215/32,1)+1)</f>
        <v>7</v>
      </c>
      <c r="C215" s="6" t="n">
        <f aca="false">ROUND($B$2*(A215+1)^2.4*1.004^A215,0)</f>
        <v>78813405</v>
      </c>
      <c r="D215" s="6" t="n">
        <f aca="false">ROUND($D$2*(A215+1)^2.4*1.004^A215,0)</f>
        <v>70056360</v>
      </c>
      <c r="E215" s="6" t="n">
        <f aca="false">ROUND($F$2*(A215+1)^2.4*1.004^A215,0)</f>
        <v>61299315</v>
      </c>
      <c r="F215" s="6" t="n">
        <f aca="false">ROUND(Building_Levels!$I$2*(A215+1)^1.9*1.003^A215,2)</f>
        <v>21.12</v>
      </c>
      <c r="G215" s="6" t="n">
        <f aca="false">ROUND((A215+1)^1.12,1)</f>
        <v>401</v>
      </c>
    </row>
    <row r="216" customFormat="false" ht="15" hidden="false" customHeight="true" outlineLevel="0" collapsed="false">
      <c r="A216" s="6" t="n">
        <v>211</v>
      </c>
      <c r="B216" s="6" t="n">
        <f aca="false">MIN(42, FLOOR(A216/32,1)+1)</f>
        <v>7</v>
      </c>
      <c r="C216" s="6" t="n">
        <f aca="false">ROUND($B$2*(A216+1)^2.4*1.004^A216,0)</f>
        <v>80031688</v>
      </c>
      <c r="D216" s="6" t="n">
        <f aca="false">ROUND($D$2*(A216+1)^2.4*1.004^A216,0)</f>
        <v>71139278</v>
      </c>
      <c r="E216" s="6" t="n">
        <f aca="false">ROUND($F$2*(A216+1)^2.4*1.004^A216,0)</f>
        <v>62246869</v>
      </c>
      <c r="F216" s="6" t="n">
        <f aca="false">ROUND(Building_Levels!$I$2*(A216+1)^1.9*1.003^A216,2)</f>
        <v>21.38</v>
      </c>
      <c r="G216" s="6" t="n">
        <f aca="false">ROUND((A216+1)^1.12,1)</f>
        <v>403.2</v>
      </c>
    </row>
    <row r="217" customFormat="false" ht="15" hidden="false" customHeight="true" outlineLevel="0" collapsed="false">
      <c r="A217" s="6" t="n">
        <v>212</v>
      </c>
      <c r="B217" s="6" t="n">
        <f aca="false">MIN(42, FLOOR(A217/32,1)+1)</f>
        <v>7</v>
      </c>
      <c r="C217" s="6" t="n">
        <f aca="false">ROUND($B$2*(A217+1)^2.4*1.004^A217,0)</f>
        <v>81264464</v>
      </c>
      <c r="D217" s="6" t="n">
        <f aca="false">ROUND($D$2*(A217+1)^2.4*1.004^A217,0)</f>
        <v>72235079</v>
      </c>
      <c r="E217" s="6" t="n">
        <f aca="false">ROUND($F$2*(A217+1)^2.4*1.004^A217,0)</f>
        <v>63205694</v>
      </c>
      <c r="F217" s="6" t="n">
        <f aca="false">ROUND(Building_Levels!$I$2*(A217+1)^1.9*1.003^A217,2)</f>
        <v>21.64</v>
      </c>
      <c r="G217" s="6" t="n">
        <f aca="false">ROUND((A217+1)^1.12,1)</f>
        <v>405.3</v>
      </c>
    </row>
    <row r="218" customFormat="false" ht="15" hidden="false" customHeight="true" outlineLevel="0" collapsed="false">
      <c r="A218" s="6" t="n">
        <v>213</v>
      </c>
      <c r="B218" s="6" t="n">
        <f aca="false">MIN(42, FLOOR(A218/32,1)+1)</f>
        <v>7</v>
      </c>
      <c r="C218" s="6" t="n">
        <f aca="false">ROUND($B$2*(A218+1)^2.4*1.004^A218,0)</f>
        <v>82511863</v>
      </c>
      <c r="D218" s="6" t="n">
        <f aca="false">ROUND($D$2*(A218+1)^2.4*1.004^A218,0)</f>
        <v>73343878</v>
      </c>
      <c r="E218" s="6" t="n">
        <f aca="false">ROUND($F$2*(A218+1)^2.4*1.004^A218,0)</f>
        <v>64175894</v>
      </c>
      <c r="F218" s="6" t="n">
        <f aca="false">ROUND(Building_Levels!$I$2*(A218+1)^1.9*1.003^A218,2)</f>
        <v>21.9</v>
      </c>
      <c r="G218" s="6" t="n">
        <f aca="false">ROUND((A218+1)^1.12,1)</f>
        <v>407.4</v>
      </c>
    </row>
    <row r="219" customFormat="false" ht="15" hidden="false" customHeight="true" outlineLevel="0" collapsed="false">
      <c r="A219" s="6" t="n">
        <v>214</v>
      </c>
      <c r="B219" s="6" t="n">
        <f aca="false">MIN(42, FLOOR(A219/32,1)+1)</f>
        <v>7</v>
      </c>
      <c r="C219" s="6" t="n">
        <f aca="false">ROUND($B$2*(A219+1)^2.4*1.004^A219,0)</f>
        <v>83774020</v>
      </c>
      <c r="D219" s="6" t="n">
        <f aca="false">ROUND($D$2*(A219+1)^2.4*1.004^A219,0)</f>
        <v>74465795</v>
      </c>
      <c r="E219" s="6" t="n">
        <f aca="false">ROUND($F$2*(A219+1)^2.4*1.004^A219,0)</f>
        <v>65157571</v>
      </c>
      <c r="F219" s="6" t="n">
        <f aca="false">ROUND(Building_Levels!$I$2*(A219+1)^1.9*1.003^A219,2)</f>
        <v>22.16</v>
      </c>
      <c r="G219" s="6" t="n">
        <f aca="false">ROUND((A219+1)^1.12,1)</f>
        <v>409.6</v>
      </c>
    </row>
    <row r="220" customFormat="false" ht="15" hidden="false" customHeight="true" outlineLevel="0" collapsed="false">
      <c r="A220" s="6" t="n">
        <v>215</v>
      </c>
      <c r="B220" s="6" t="n">
        <f aca="false">MIN(42, FLOOR(A220/32,1)+1)</f>
        <v>7</v>
      </c>
      <c r="C220" s="6" t="n">
        <f aca="false">ROUND($B$2*(A220+1)^2.4*1.004^A220,0)</f>
        <v>85051067</v>
      </c>
      <c r="D220" s="6" t="n">
        <f aca="false">ROUND($D$2*(A220+1)^2.4*1.004^A220,0)</f>
        <v>75600948</v>
      </c>
      <c r="E220" s="6" t="n">
        <f aca="false">ROUND($F$2*(A220+1)^2.4*1.004^A220,0)</f>
        <v>66150830</v>
      </c>
      <c r="F220" s="6" t="n">
        <f aca="false">ROUND(Building_Levels!$I$2*(A220+1)^1.9*1.003^A220,2)</f>
        <v>22.42</v>
      </c>
      <c r="G220" s="6" t="n">
        <f aca="false">ROUND((A220+1)^1.12,1)</f>
        <v>411.7</v>
      </c>
    </row>
    <row r="221" customFormat="false" ht="15" hidden="false" customHeight="true" outlineLevel="0" collapsed="false">
      <c r="A221" s="6" t="n">
        <v>216</v>
      </c>
      <c r="B221" s="6" t="n">
        <f aca="false">MIN(42, FLOOR(A221/32,1)+1)</f>
        <v>7</v>
      </c>
      <c r="C221" s="6" t="n">
        <f aca="false">ROUND($B$2*(A221+1)^2.4*1.004^A221,0)</f>
        <v>86343140</v>
      </c>
      <c r="D221" s="6" t="n">
        <f aca="false">ROUND($D$2*(A221+1)^2.4*1.004^A221,0)</f>
        <v>76749458</v>
      </c>
      <c r="E221" s="6" t="n">
        <f aca="false">ROUND($F$2*(A221+1)^2.4*1.004^A221,0)</f>
        <v>67155775</v>
      </c>
      <c r="F221" s="6" t="n">
        <f aca="false">ROUND(Building_Levels!$I$2*(A221+1)^1.9*1.003^A221,2)</f>
        <v>22.68</v>
      </c>
      <c r="G221" s="6" t="n">
        <f aca="false">ROUND((A221+1)^1.12,1)</f>
        <v>413.8</v>
      </c>
    </row>
    <row r="222" customFormat="false" ht="15" hidden="false" customHeight="true" outlineLevel="0" collapsed="false">
      <c r="A222" s="6" t="n">
        <v>217</v>
      </c>
      <c r="B222" s="6" t="n">
        <f aca="false">MIN(42, FLOOR(A222/32,1)+1)</f>
        <v>7</v>
      </c>
      <c r="C222" s="6" t="n">
        <f aca="false">ROUND($B$2*(A222+1)^2.4*1.004^A222,0)</f>
        <v>87650374</v>
      </c>
      <c r="D222" s="6" t="n">
        <f aca="false">ROUND($D$2*(A222+1)^2.4*1.004^A222,0)</f>
        <v>77911444</v>
      </c>
      <c r="E222" s="6" t="n">
        <f aca="false">ROUND($F$2*(A222+1)^2.4*1.004^A222,0)</f>
        <v>68172513</v>
      </c>
      <c r="F222" s="6" t="n">
        <f aca="false">ROUND(Building_Levels!$I$2*(A222+1)^1.9*1.003^A222,2)</f>
        <v>22.95</v>
      </c>
      <c r="G222" s="6" t="n">
        <f aca="false">ROUND((A222+1)^1.12,1)</f>
        <v>416</v>
      </c>
    </row>
    <row r="223" customFormat="false" ht="15" hidden="false" customHeight="true" outlineLevel="0" collapsed="false">
      <c r="A223" s="6" t="n">
        <v>218</v>
      </c>
      <c r="B223" s="6" t="n">
        <f aca="false">MIN(42, FLOOR(A223/32,1)+1)</f>
        <v>7</v>
      </c>
      <c r="C223" s="6" t="n">
        <f aca="false">ROUND($B$2*(A223+1)^2.4*1.004^A223,0)</f>
        <v>88972906</v>
      </c>
      <c r="D223" s="6" t="n">
        <f aca="false">ROUND($D$2*(A223+1)^2.4*1.004^A223,0)</f>
        <v>79087028</v>
      </c>
      <c r="E223" s="6" t="n">
        <f aca="false">ROUND($F$2*(A223+1)^2.4*1.004^A223,0)</f>
        <v>69201149</v>
      </c>
      <c r="F223" s="6" t="n">
        <f aca="false">ROUND(Building_Levels!$I$2*(A223+1)^1.9*1.003^A223,2)</f>
        <v>23.22</v>
      </c>
      <c r="G223" s="6" t="n">
        <f aca="false">ROUND((A223+1)^1.12,1)</f>
        <v>418.1</v>
      </c>
    </row>
    <row r="224" customFormat="false" ht="15" hidden="false" customHeight="true" outlineLevel="0" collapsed="false">
      <c r="A224" s="6" t="n">
        <v>219</v>
      </c>
      <c r="B224" s="6" t="n">
        <f aca="false">MIN(42, FLOOR(A224/32,1)+1)</f>
        <v>7</v>
      </c>
      <c r="C224" s="6" t="n">
        <f aca="false">ROUND($B$2*(A224+1)^2.4*1.004^A224,0)</f>
        <v>90310875</v>
      </c>
      <c r="D224" s="6" t="n">
        <f aca="false">ROUND($D$2*(A224+1)^2.4*1.004^A224,0)</f>
        <v>80276333</v>
      </c>
      <c r="E224" s="6" t="n">
        <f aca="false">ROUND($F$2*(A224+1)^2.4*1.004^A224,0)</f>
        <v>70241791</v>
      </c>
      <c r="F224" s="6" t="n">
        <f aca="false">ROUND(Building_Levels!$I$2*(A224+1)^1.9*1.003^A224,2)</f>
        <v>23.49</v>
      </c>
      <c r="G224" s="6" t="n">
        <f aca="false">ROUND((A224+1)^1.12,1)</f>
        <v>420.3</v>
      </c>
    </row>
    <row r="225" customFormat="false" ht="15" hidden="false" customHeight="true" outlineLevel="0" collapsed="false">
      <c r="A225" s="6" t="n">
        <v>220</v>
      </c>
      <c r="B225" s="6" t="n">
        <f aca="false">MIN(42, FLOOR(A225/32,1)+1)</f>
        <v>7</v>
      </c>
      <c r="C225" s="6" t="n">
        <f aca="false">ROUND($B$2*(A225+1)^2.4*1.004^A225,0)</f>
        <v>91664418</v>
      </c>
      <c r="D225" s="6" t="n">
        <f aca="false">ROUND($D$2*(A225+1)^2.4*1.004^A225,0)</f>
        <v>81479482</v>
      </c>
      <c r="E225" s="6" t="n">
        <f aca="false">ROUND($F$2*(A225+1)^2.4*1.004^A225,0)</f>
        <v>71294547</v>
      </c>
      <c r="F225" s="6" t="n">
        <f aca="false">ROUND(Building_Levels!$I$2*(A225+1)^1.9*1.003^A225,2)</f>
        <v>23.77</v>
      </c>
      <c r="G225" s="6" t="n">
        <f aca="false">ROUND((A225+1)^1.12,1)</f>
        <v>422.4</v>
      </c>
    </row>
    <row r="226" customFormat="false" ht="15" hidden="false" customHeight="true" outlineLevel="0" collapsed="false">
      <c r="A226" s="6" t="n">
        <v>221</v>
      </c>
      <c r="B226" s="6" t="n">
        <f aca="false">MIN(42, FLOOR(A226/32,1)+1)</f>
        <v>7</v>
      </c>
      <c r="C226" s="6" t="n">
        <f aca="false">ROUND($B$2*(A226+1)^2.4*1.004^A226,0)</f>
        <v>93033675</v>
      </c>
      <c r="D226" s="6" t="n">
        <f aca="false">ROUND($D$2*(A226+1)^2.4*1.004^A226,0)</f>
        <v>82696600</v>
      </c>
      <c r="E226" s="6" t="n">
        <f aca="false">ROUND($F$2*(A226+1)^2.4*1.004^A226,0)</f>
        <v>72359525</v>
      </c>
      <c r="F226" s="6" t="n">
        <f aca="false">ROUND(Building_Levels!$I$2*(A226+1)^1.9*1.003^A226,2)</f>
        <v>24.05</v>
      </c>
      <c r="G226" s="6" t="n">
        <f aca="false">ROUND((A226+1)^1.12,1)</f>
        <v>424.5</v>
      </c>
    </row>
    <row r="227" customFormat="false" ht="15" hidden="false" customHeight="true" outlineLevel="0" collapsed="false">
      <c r="A227" s="6" t="n">
        <v>222</v>
      </c>
      <c r="B227" s="6" t="n">
        <f aca="false">MIN(42, FLOOR(A227/32,1)+1)</f>
        <v>7</v>
      </c>
      <c r="C227" s="6" t="n">
        <f aca="false">ROUND($B$2*(A227+1)^2.4*1.004^A227,0)</f>
        <v>94418789</v>
      </c>
      <c r="D227" s="6" t="n">
        <f aca="false">ROUND($D$2*(A227+1)^2.4*1.004^A227,0)</f>
        <v>83927812</v>
      </c>
      <c r="E227" s="6" t="n">
        <f aca="false">ROUND($F$2*(A227+1)^2.4*1.004^A227,0)</f>
        <v>73436836</v>
      </c>
      <c r="F227" s="6" t="n">
        <f aca="false">ROUND(Building_Levels!$I$2*(A227+1)^1.9*1.003^A227,2)</f>
        <v>24.32</v>
      </c>
      <c r="G227" s="6" t="n">
        <f aca="false">ROUND((A227+1)^1.12,1)</f>
        <v>426.7</v>
      </c>
    </row>
    <row r="228" customFormat="false" ht="15" hidden="false" customHeight="true" outlineLevel="0" collapsed="false">
      <c r="A228" s="6" t="n">
        <v>223</v>
      </c>
      <c r="B228" s="6" t="n">
        <f aca="false">MIN(42, FLOOR(A228/32,1)+1)</f>
        <v>7</v>
      </c>
      <c r="C228" s="6" t="n">
        <f aca="false">ROUND($B$2*(A228+1)^2.4*1.004^A228,0)</f>
        <v>95819899</v>
      </c>
      <c r="D228" s="6" t="n">
        <f aca="false">ROUND($D$2*(A228+1)^2.4*1.004^A228,0)</f>
        <v>85173244</v>
      </c>
      <c r="E228" s="6" t="n">
        <f aca="false">ROUND($F$2*(A228+1)^2.4*1.004^A228,0)</f>
        <v>74526588</v>
      </c>
      <c r="F228" s="6" t="n">
        <f aca="false">ROUND(Building_Levels!$I$2*(A228+1)^1.9*1.003^A228,2)</f>
        <v>24.61</v>
      </c>
      <c r="G228" s="6" t="n">
        <f aca="false">ROUND((A228+1)^1.12,1)</f>
        <v>428.8</v>
      </c>
    </row>
    <row r="229" customFormat="false" ht="15" hidden="false" customHeight="true" outlineLevel="0" collapsed="false">
      <c r="A229" s="6" t="n">
        <v>224</v>
      </c>
      <c r="B229" s="6" t="n">
        <f aca="false">MIN(42, FLOOR(A229/32,1)+1)</f>
        <v>8</v>
      </c>
      <c r="C229" s="6" t="n">
        <f aca="false">ROUND($B$2*(A229+1)^2.4*1.004^A229,0)</f>
        <v>97237150</v>
      </c>
      <c r="D229" s="6" t="n">
        <f aca="false">ROUND($D$2*(A229+1)^2.4*1.004^A229,0)</f>
        <v>86433022</v>
      </c>
      <c r="E229" s="6" t="n">
        <f aca="false">ROUND($F$2*(A229+1)^2.4*1.004^A229,0)</f>
        <v>75628895</v>
      </c>
      <c r="F229" s="6" t="n">
        <f aca="false">ROUND(Building_Levels!$I$2*(A229+1)^1.9*1.003^A229,2)</f>
        <v>24.89</v>
      </c>
      <c r="G229" s="6" t="n">
        <f aca="false">ROUND((A229+1)^1.12,1)</f>
        <v>431</v>
      </c>
    </row>
    <row r="230" customFormat="false" ht="15" hidden="false" customHeight="true" outlineLevel="0" collapsed="false">
      <c r="A230" s="6" t="n">
        <v>225</v>
      </c>
      <c r="B230" s="6" t="n">
        <f aca="false">MIN(42, FLOOR(A230/32,1)+1)</f>
        <v>8</v>
      </c>
      <c r="C230" s="6" t="n">
        <f aca="false">ROUND($B$2*(A230+1)^2.4*1.004^A230,0)</f>
        <v>98670686</v>
      </c>
      <c r="D230" s="6" t="n">
        <f aca="false">ROUND($D$2*(A230+1)^2.4*1.004^A230,0)</f>
        <v>87707276</v>
      </c>
      <c r="E230" s="6" t="n">
        <f aca="false">ROUND($F$2*(A230+1)^2.4*1.004^A230,0)</f>
        <v>76743867</v>
      </c>
      <c r="F230" s="6" t="n">
        <f aca="false">ROUND(Building_Levels!$I$2*(A230+1)^1.9*1.003^A230,2)</f>
        <v>25.18</v>
      </c>
      <c r="G230" s="6" t="n">
        <f aca="false">ROUND((A230+1)^1.12,1)</f>
        <v>433.1</v>
      </c>
    </row>
    <row r="231" customFormat="false" ht="15" hidden="false" customHeight="true" outlineLevel="0" collapsed="false">
      <c r="A231" s="6" t="n">
        <v>226</v>
      </c>
      <c r="B231" s="6" t="n">
        <f aca="false">MIN(42, FLOOR(A231/32,1)+1)</f>
        <v>8</v>
      </c>
      <c r="C231" s="6" t="n">
        <f aca="false">ROUND($B$2*(A231+1)^2.4*1.004^A231,0)</f>
        <v>100120650</v>
      </c>
      <c r="D231" s="6" t="n">
        <f aca="false">ROUND($D$2*(A231+1)^2.4*1.004^A231,0)</f>
        <v>88996134</v>
      </c>
      <c r="E231" s="6" t="n">
        <f aca="false">ROUND($F$2*(A231+1)^2.4*1.004^A231,0)</f>
        <v>77871617</v>
      </c>
      <c r="F231" s="6" t="n">
        <f aca="false">ROUND(Building_Levels!$I$2*(A231+1)^1.9*1.003^A231,2)</f>
        <v>25.46</v>
      </c>
      <c r="G231" s="6" t="n">
        <f aca="false">ROUND((A231+1)^1.12,1)</f>
        <v>435.3</v>
      </c>
    </row>
    <row r="232" customFormat="false" ht="15" hidden="false" customHeight="true" outlineLevel="0" collapsed="false">
      <c r="A232" s="6" t="n">
        <v>227</v>
      </c>
      <c r="B232" s="6" t="n">
        <f aca="false">MIN(42, FLOOR(A232/32,1)+1)</f>
        <v>8</v>
      </c>
      <c r="C232" s="6" t="n">
        <f aca="false">ROUND($B$2*(A232+1)^2.4*1.004^A232,0)</f>
        <v>101587191</v>
      </c>
      <c r="D232" s="6" t="n">
        <f aca="false">ROUND($D$2*(A232+1)^2.4*1.004^A232,0)</f>
        <v>90299725</v>
      </c>
      <c r="E232" s="6" t="n">
        <f aca="false">ROUND($F$2*(A232+1)^2.4*1.004^A232,0)</f>
        <v>79012259</v>
      </c>
      <c r="F232" s="6" t="n">
        <f aca="false">ROUND(Building_Levels!$I$2*(A232+1)^1.9*1.003^A232,2)</f>
        <v>25.75</v>
      </c>
      <c r="G232" s="6" t="n">
        <f aca="false">ROUND((A232+1)^1.12,1)</f>
        <v>437.4</v>
      </c>
    </row>
    <row r="233" customFormat="false" ht="15" hidden="false" customHeight="true" outlineLevel="0" collapsed="false">
      <c r="A233" s="6" t="n">
        <v>228</v>
      </c>
      <c r="B233" s="6" t="n">
        <f aca="false">MIN(42, FLOOR(A233/32,1)+1)</f>
        <v>8</v>
      </c>
      <c r="C233" s="6" t="n">
        <f aca="false">ROUND($B$2*(A233+1)^2.4*1.004^A233,0)</f>
        <v>103070454</v>
      </c>
      <c r="D233" s="6" t="n">
        <f aca="false">ROUND($D$2*(A233+1)^2.4*1.004^A233,0)</f>
        <v>91618181</v>
      </c>
      <c r="E233" s="6" t="n">
        <f aca="false">ROUND($F$2*(A233+1)^2.4*1.004^A233,0)</f>
        <v>80165908</v>
      </c>
      <c r="F233" s="6" t="n">
        <f aca="false">ROUND(Building_Levels!$I$2*(A233+1)^1.9*1.003^A233,2)</f>
        <v>26.05</v>
      </c>
      <c r="G233" s="6" t="n">
        <f aca="false">ROUND((A233+1)^1.12,1)</f>
        <v>439.6</v>
      </c>
    </row>
    <row r="234" customFormat="false" ht="15" hidden="false" customHeight="true" outlineLevel="0" collapsed="false">
      <c r="A234" s="6" t="n">
        <v>229</v>
      </c>
      <c r="B234" s="6" t="n">
        <f aca="false">MIN(42, FLOOR(A234/32,1)+1)</f>
        <v>8</v>
      </c>
      <c r="C234" s="6" t="n">
        <f aca="false">ROUND($B$2*(A234+1)^2.4*1.004^A234,0)</f>
        <v>104570588</v>
      </c>
      <c r="D234" s="6" t="n">
        <f aca="false">ROUND($D$2*(A234+1)^2.4*1.004^A234,0)</f>
        <v>92951634</v>
      </c>
      <c r="E234" s="6" t="n">
        <f aca="false">ROUND($F$2*(A234+1)^2.4*1.004^A234,0)</f>
        <v>81332679</v>
      </c>
      <c r="F234" s="6" t="n">
        <f aca="false">ROUND(Building_Levels!$I$2*(A234+1)^1.9*1.003^A234,2)</f>
        <v>26.34</v>
      </c>
      <c r="G234" s="6" t="n">
        <f aca="false">ROUND((A234+1)^1.12,1)</f>
        <v>441.7</v>
      </c>
    </row>
    <row r="235" customFormat="false" ht="15" hidden="false" customHeight="true" outlineLevel="0" collapsed="false">
      <c r="A235" s="6" t="n">
        <v>230</v>
      </c>
      <c r="B235" s="6" t="n">
        <f aca="false">MIN(42, FLOOR(A235/32,1)+1)</f>
        <v>8</v>
      </c>
      <c r="C235" s="6" t="n">
        <f aca="false">ROUND($B$2*(A235+1)^2.4*1.004^A235,0)</f>
        <v>106087742</v>
      </c>
      <c r="D235" s="6" t="n">
        <f aca="false">ROUND($D$2*(A235+1)^2.4*1.004^A235,0)</f>
        <v>94300215</v>
      </c>
      <c r="E235" s="6" t="n">
        <f aca="false">ROUND($F$2*(A235+1)^2.4*1.004^A235,0)</f>
        <v>82512688</v>
      </c>
      <c r="F235" s="6" t="n">
        <f aca="false">ROUND(Building_Levels!$I$2*(A235+1)^1.9*1.003^A235,2)</f>
        <v>26.64</v>
      </c>
      <c r="G235" s="6" t="n">
        <f aca="false">ROUND((A235+1)^1.12,1)</f>
        <v>443.9</v>
      </c>
    </row>
    <row r="236" customFormat="false" ht="15" hidden="false" customHeight="true" outlineLevel="0" collapsed="false">
      <c r="A236" s="6" t="n">
        <v>231</v>
      </c>
      <c r="B236" s="6" t="n">
        <f aca="false">MIN(42, FLOOR(A236/32,1)+1)</f>
        <v>8</v>
      </c>
      <c r="C236" s="6" t="n">
        <f aca="false">ROUND($B$2*(A236+1)^2.4*1.004^A236,0)</f>
        <v>107622068</v>
      </c>
      <c r="D236" s="6" t="n">
        <f aca="false">ROUND($D$2*(A236+1)^2.4*1.004^A236,0)</f>
        <v>95664060</v>
      </c>
      <c r="E236" s="6" t="n">
        <f aca="false">ROUND($F$2*(A236+1)^2.4*1.004^A236,0)</f>
        <v>83706053</v>
      </c>
      <c r="F236" s="6" t="n">
        <f aca="false">ROUND(Building_Levels!$I$2*(A236+1)^1.9*1.003^A236,2)</f>
        <v>26.94</v>
      </c>
      <c r="G236" s="6" t="n">
        <f aca="false">ROUND((A236+1)^1.12,1)</f>
        <v>446</v>
      </c>
    </row>
    <row r="237" customFormat="false" ht="15" hidden="false" customHeight="true" outlineLevel="0" collapsed="false">
      <c r="A237" s="6" t="n">
        <v>232</v>
      </c>
      <c r="B237" s="6" t="n">
        <f aca="false">MIN(42, FLOOR(A237/32,1)+1)</f>
        <v>8</v>
      </c>
      <c r="C237" s="6" t="n">
        <f aca="false">ROUND($B$2*(A237+1)^2.4*1.004^A237,0)</f>
        <v>109173716</v>
      </c>
      <c r="D237" s="6" t="n">
        <f aca="false">ROUND($D$2*(A237+1)^2.4*1.004^A237,0)</f>
        <v>97043303</v>
      </c>
      <c r="E237" s="6" t="n">
        <f aca="false">ROUND($F$2*(A237+1)^2.4*1.004^A237,0)</f>
        <v>84912890</v>
      </c>
      <c r="F237" s="6" t="n">
        <f aca="false">ROUND(Building_Levels!$I$2*(A237+1)^1.9*1.003^A237,2)</f>
        <v>27.24</v>
      </c>
      <c r="G237" s="6" t="n">
        <f aca="false">ROUND((A237+1)^1.12,1)</f>
        <v>448.2</v>
      </c>
    </row>
    <row r="238" customFormat="false" ht="15" hidden="false" customHeight="true" outlineLevel="0" collapsed="false">
      <c r="A238" s="6" t="n">
        <v>233</v>
      </c>
      <c r="B238" s="6" t="n">
        <f aca="false">MIN(42, FLOOR(A238/32,1)+1)</f>
        <v>8</v>
      </c>
      <c r="C238" s="6" t="n">
        <f aca="false">ROUND($B$2*(A238+1)^2.4*1.004^A238,0)</f>
        <v>110742839</v>
      </c>
      <c r="D238" s="6" t="n">
        <f aca="false">ROUND($D$2*(A238+1)^2.4*1.004^A238,0)</f>
        <v>98438079</v>
      </c>
      <c r="E238" s="6" t="n">
        <f aca="false">ROUND($F$2*(A238+1)^2.4*1.004^A238,0)</f>
        <v>86133319</v>
      </c>
      <c r="F238" s="6" t="n">
        <f aca="false">ROUND(Building_Levels!$I$2*(A238+1)^1.9*1.003^A238,2)</f>
        <v>27.55</v>
      </c>
      <c r="G238" s="6" t="n">
        <f aca="false">ROUND((A238+1)^1.12,1)</f>
        <v>450.3</v>
      </c>
    </row>
    <row r="239" customFormat="false" ht="15" hidden="false" customHeight="true" outlineLevel="0" collapsed="false">
      <c r="A239" s="6" t="n">
        <v>234</v>
      </c>
      <c r="B239" s="6" t="n">
        <f aca="false">MIN(42, FLOOR(A239/32,1)+1)</f>
        <v>8</v>
      </c>
      <c r="C239" s="6" t="n">
        <f aca="false">ROUND($B$2*(A239+1)^2.4*1.004^A239,0)</f>
        <v>112329591</v>
      </c>
      <c r="D239" s="6" t="n">
        <f aca="false">ROUND($D$2*(A239+1)^2.4*1.004^A239,0)</f>
        <v>99848525</v>
      </c>
      <c r="E239" s="6" t="n">
        <f aca="false">ROUND($F$2*(A239+1)^2.4*1.004^A239,0)</f>
        <v>87367459</v>
      </c>
      <c r="F239" s="6" t="n">
        <f aca="false">ROUND(Building_Levels!$I$2*(A239+1)^1.9*1.003^A239,2)</f>
        <v>27.86</v>
      </c>
      <c r="G239" s="6" t="n">
        <f aca="false">ROUND((A239+1)^1.12,1)</f>
        <v>452.5</v>
      </c>
    </row>
    <row r="240" customFormat="false" ht="15" hidden="false" customHeight="true" outlineLevel="0" collapsed="false">
      <c r="A240" s="6" t="n">
        <v>235</v>
      </c>
      <c r="B240" s="6" t="n">
        <f aca="false">MIN(42, FLOOR(A240/32,1)+1)</f>
        <v>8</v>
      </c>
      <c r="C240" s="6" t="n">
        <f aca="false">ROUND($B$2*(A240+1)^2.4*1.004^A240,0)</f>
        <v>113934126</v>
      </c>
      <c r="D240" s="6" t="n">
        <f aca="false">ROUND($D$2*(A240+1)^2.4*1.004^A240,0)</f>
        <v>101274779</v>
      </c>
      <c r="E240" s="6" t="n">
        <f aca="false">ROUND($F$2*(A240+1)^2.4*1.004^A240,0)</f>
        <v>88615432</v>
      </c>
      <c r="F240" s="6" t="n">
        <f aca="false">ROUND(Building_Levels!$I$2*(A240+1)^1.9*1.003^A240,2)</f>
        <v>28.17</v>
      </c>
      <c r="G240" s="6" t="n">
        <f aca="false">ROUND((A240+1)^1.12,1)</f>
        <v>454.6</v>
      </c>
    </row>
    <row r="241" customFormat="false" ht="15" hidden="false" customHeight="true" outlineLevel="0" collapsed="false">
      <c r="A241" s="6" t="n">
        <v>236</v>
      </c>
      <c r="B241" s="6" t="n">
        <f aca="false">MIN(42, FLOOR(A241/32,1)+1)</f>
        <v>8</v>
      </c>
      <c r="C241" s="6" t="n">
        <f aca="false">ROUND($B$2*(A241+1)^2.4*1.004^A241,0)</f>
        <v>115556602</v>
      </c>
      <c r="D241" s="6" t="n">
        <f aca="false">ROUND($D$2*(A241+1)^2.4*1.004^A241,0)</f>
        <v>102716980</v>
      </c>
      <c r="E241" s="6" t="n">
        <f aca="false">ROUND($F$2*(A241+1)^2.4*1.004^A241,0)</f>
        <v>89877357</v>
      </c>
      <c r="F241" s="6" t="n">
        <f aca="false">ROUND(Building_Levels!$I$2*(A241+1)^1.9*1.003^A241,2)</f>
        <v>28.48</v>
      </c>
      <c r="G241" s="6" t="n">
        <f aca="false">ROUND((A241+1)^1.12,1)</f>
        <v>456.8</v>
      </c>
    </row>
    <row r="242" customFormat="false" ht="15" hidden="false" customHeight="true" outlineLevel="0" collapsed="false">
      <c r="A242" s="6" t="n">
        <v>237</v>
      </c>
      <c r="B242" s="6" t="n">
        <f aca="false">MIN(42, FLOOR(A242/32,1)+1)</f>
        <v>8</v>
      </c>
      <c r="C242" s="6" t="n">
        <f aca="false">ROUND($B$2*(A242+1)^2.4*1.004^A242,0)</f>
        <v>117197175</v>
      </c>
      <c r="D242" s="6" t="n">
        <f aca="false">ROUND($D$2*(A242+1)^2.4*1.004^A242,0)</f>
        <v>104175266</v>
      </c>
      <c r="E242" s="6" t="n">
        <f aca="false">ROUND($F$2*(A242+1)^2.4*1.004^A242,0)</f>
        <v>91153358</v>
      </c>
      <c r="F242" s="6" t="n">
        <f aca="false">ROUND(Building_Levels!$I$2*(A242+1)^1.9*1.003^A242,2)</f>
        <v>28.79</v>
      </c>
      <c r="G242" s="6" t="n">
        <f aca="false">ROUND((A242+1)^1.12,1)</f>
        <v>459</v>
      </c>
    </row>
    <row r="243" customFormat="false" ht="15" hidden="false" customHeight="true" outlineLevel="0" collapsed="false">
      <c r="A243" s="6" t="n">
        <v>238</v>
      </c>
      <c r="B243" s="6" t="n">
        <f aca="false">MIN(42, FLOOR(A243/32,1)+1)</f>
        <v>8</v>
      </c>
      <c r="C243" s="6" t="n">
        <f aca="false">ROUND($B$2*(A243+1)^2.4*1.004^A243,0)</f>
        <v>118856003</v>
      </c>
      <c r="D243" s="6" t="n">
        <f aca="false">ROUND($D$2*(A243+1)^2.4*1.004^A243,0)</f>
        <v>105649780</v>
      </c>
      <c r="E243" s="6" t="n">
        <f aca="false">ROUND($F$2*(A243+1)^2.4*1.004^A243,0)</f>
        <v>92443558</v>
      </c>
      <c r="F243" s="6" t="n">
        <f aca="false">ROUND(Building_Levels!$I$2*(A243+1)^1.9*1.003^A243,2)</f>
        <v>29.11</v>
      </c>
      <c r="G243" s="6" t="n">
        <f aca="false">ROUND((A243+1)^1.12,1)</f>
        <v>461.1</v>
      </c>
    </row>
    <row r="244" customFormat="false" ht="15" hidden="false" customHeight="true" outlineLevel="0" collapsed="false">
      <c r="A244" s="6" t="n">
        <v>239</v>
      </c>
      <c r="B244" s="6" t="n">
        <f aca="false">MIN(42, FLOOR(A244/32,1)+1)</f>
        <v>8</v>
      </c>
      <c r="C244" s="6" t="n">
        <f aca="false">ROUND($B$2*(A244+1)^2.4*1.004^A244,0)</f>
        <v>120533246</v>
      </c>
      <c r="D244" s="6" t="n">
        <f aca="false">ROUND($D$2*(A244+1)^2.4*1.004^A244,0)</f>
        <v>107140663</v>
      </c>
      <c r="E244" s="6" t="n">
        <f aca="false">ROUND($F$2*(A244+1)^2.4*1.004^A244,0)</f>
        <v>93748080</v>
      </c>
      <c r="F244" s="6" t="n">
        <f aca="false">ROUND(Building_Levels!$I$2*(A244+1)^1.9*1.003^A244,2)</f>
        <v>29.43</v>
      </c>
      <c r="G244" s="6" t="n">
        <f aca="false">ROUND((A244+1)^1.12,1)</f>
        <v>463.3</v>
      </c>
    </row>
    <row r="245" customFormat="false" ht="15" hidden="false" customHeight="true" outlineLevel="0" collapsed="false">
      <c r="A245" s="6" t="n">
        <v>240</v>
      </c>
      <c r="B245" s="6" t="n">
        <f aca="false">MIN(42, FLOOR(A245/32,1)+1)</f>
        <v>8</v>
      </c>
      <c r="C245" s="6" t="n">
        <f aca="false">ROUND($B$2*(A245+1)^2.4*1.004^A245,0)</f>
        <v>122229064</v>
      </c>
      <c r="D245" s="6" t="n">
        <f aca="false">ROUND($D$2*(A245+1)^2.4*1.004^A245,0)</f>
        <v>108648057</v>
      </c>
      <c r="E245" s="6" t="n">
        <f aca="false">ROUND($F$2*(A245+1)^2.4*1.004^A245,0)</f>
        <v>95067050</v>
      </c>
      <c r="F245" s="6" t="n">
        <f aca="false">ROUND(Building_Levels!$I$2*(A245+1)^1.9*1.003^A245,2)</f>
        <v>29.75</v>
      </c>
      <c r="G245" s="6" t="n">
        <f aca="false">ROUND((A245+1)^1.12,1)</f>
        <v>465.4</v>
      </c>
    </row>
    <row r="246" customFormat="false" ht="15" hidden="false" customHeight="true" outlineLevel="0" collapsed="false">
      <c r="A246" s="6" t="n">
        <v>241</v>
      </c>
      <c r="B246" s="6" t="n">
        <f aca="false">MIN(42, FLOOR(A246/32,1)+1)</f>
        <v>8</v>
      </c>
      <c r="C246" s="6" t="n">
        <f aca="false">ROUND($B$2*(A246+1)^2.4*1.004^A246,0)</f>
        <v>123943620</v>
      </c>
      <c r="D246" s="6" t="n">
        <f aca="false">ROUND($D$2*(A246+1)^2.4*1.004^A246,0)</f>
        <v>110172106</v>
      </c>
      <c r="E246" s="6" t="n">
        <f aca="false">ROUND($F$2*(A246+1)^2.4*1.004^A246,0)</f>
        <v>96400593</v>
      </c>
      <c r="F246" s="6" t="n">
        <f aca="false">ROUND(Building_Levels!$I$2*(A246+1)^1.9*1.003^A246,2)</f>
        <v>30.08</v>
      </c>
      <c r="G246" s="6" t="n">
        <f aca="false">ROUND((A246+1)^1.12,1)</f>
        <v>467.6</v>
      </c>
    </row>
    <row r="247" customFormat="false" ht="15" hidden="false" customHeight="true" outlineLevel="0" collapsed="false">
      <c r="A247" s="6" t="n">
        <v>242</v>
      </c>
      <c r="B247" s="6" t="n">
        <f aca="false">MIN(42, FLOOR(A247/32,1)+1)</f>
        <v>8</v>
      </c>
      <c r="C247" s="6" t="n">
        <f aca="false">ROUND($B$2*(A247+1)^2.4*1.004^A247,0)</f>
        <v>125677075</v>
      </c>
      <c r="D247" s="6" t="n">
        <f aca="false">ROUND($D$2*(A247+1)^2.4*1.004^A247,0)</f>
        <v>111712956</v>
      </c>
      <c r="E247" s="6" t="n">
        <f aca="false">ROUND($F$2*(A247+1)^2.4*1.004^A247,0)</f>
        <v>97748836</v>
      </c>
      <c r="F247" s="6" t="n">
        <f aca="false">ROUND(Building_Levels!$I$2*(A247+1)^1.9*1.003^A247,2)</f>
        <v>30.4</v>
      </c>
      <c r="G247" s="6" t="n">
        <f aca="false">ROUND((A247+1)^1.12,1)</f>
        <v>469.8</v>
      </c>
    </row>
    <row r="248" customFormat="false" ht="15" hidden="false" customHeight="true" outlineLevel="0" collapsed="false">
      <c r="A248" s="6" t="n">
        <v>243</v>
      </c>
      <c r="B248" s="6" t="n">
        <f aca="false">MIN(42, FLOOR(A248/32,1)+1)</f>
        <v>8</v>
      </c>
      <c r="C248" s="6" t="n">
        <f aca="false">ROUND($B$2*(A248+1)^2.4*1.004^A248,0)</f>
        <v>127429596</v>
      </c>
      <c r="D248" s="6" t="n">
        <f aca="false">ROUND($D$2*(A248+1)^2.4*1.004^A248,0)</f>
        <v>113270752</v>
      </c>
      <c r="E248" s="6" t="n">
        <f aca="false">ROUND($F$2*(A248+1)^2.4*1.004^A248,0)</f>
        <v>99111908</v>
      </c>
      <c r="F248" s="6" t="n">
        <f aca="false">ROUND(Building_Levels!$I$2*(A248+1)^1.9*1.003^A248,2)</f>
        <v>30.73</v>
      </c>
      <c r="G248" s="6" t="n">
        <f aca="false">ROUND((A248+1)^1.12,1)</f>
        <v>471.9</v>
      </c>
    </row>
    <row r="249" customFormat="false" ht="15" hidden="false" customHeight="true" outlineLevel="0" collapsed="false">
      <c r="A249" s="6" t="n">
        <v>244</v>
      </c>
      <c r="B249" s="6" t="n">
        <f aca="false">MIN(42, FLOOR(A249/32,1)+1)</f>
        <v>8</v>
      </c>
      <c r="C249" s="6" t="n">
        <f aca="false">ROUND($B$2*(A249+1)^2.4*1.004^A249,0)</f>
        <v>129201346</v>
      </c>
      <c r="D249" s="6" t="n">
        <f aca="false">ROUND($D$2*(A249+1)^2.4*1.004^A249,0)</f>
        <v>114845641</v>
      </c>
      <c r="E249" s="6" t="n">
        <f aca="false">ROUND($F$2*(A249+1)^2.4*1.004^A249,0)</f>
        <v>100489936</v>
      </c>
      <c r="F249" s="6" t="n">
        <f aca="false">ROUND(Building_Levels!$I$2*(A249+1)^1.9*1.003^A249,2)</f>
        <v>31.07</v>
      </c>
      <c r="G249" s="6" t="n">
        <f aca="false">ROUND((A249+1)^1.12,1)</f>
        <v>474.1</v>
      </c>
    </row>
    <row r="250" customFormat="false" ht="15" hidden="false" customHeight="true" outlineLevel="0" collapsed="false">
      <c r="A250" s="6" t="n">
        <v>245</v>
      </c>
      <c r="B250" s="6" t="n">
        <f aca="false">MIN(42, FLOOR(A250/32,1)+1)</f>
        <v>8</v>
      </c>
      <c r="C250" s="6" t="n">
        <f aca="false">ROUND($B$2*(A250+1)^2.4*1.004^A250,0)</f>
        <v>130992492</v>
      </c>
      <c r="D250" s="6" t="n">
        <f aca="false">ROUND($D$2*(A250+1)^2.4*1.004^A250,0)</f>
        <v>116437771</v>
      </c>
      <c r="E250" s="6" t="n">
        <f aca="false">ROUND($F$2*(A250+1)^2.4*1.004^A250,0)</f>
        <v>101883049</v>
      </c>
      <c r="F250" s="6" t="n">
        <f aca="false">ROUND(Building_Levels!$I$2*(A250+1)^1.9*1.003^A250,2)</f>
        <v>31.4</v>
      </c>
      <c r="G250" s="6" t="n">
        <f aca="false">ROUND((A250+1)^1.12,1)</f>
        <v>476.3</v>
      </c>
    </row>
    <row r="251" customFormat="false" ht="15" hidden="false" customHeight="true" outlineLevel="0" collapsed="false">
      <c r="A251" s="6" t="n">
        <v>246</v>
      </c>
      <c r="B251" s="6" t="n">
        <f aca="false">MIN(42, FLOOR(A251/32,1)+1)</f>
        <v>8</v>
      </c>
      <c r="C251" s="6" t="n">
        <f aca="false">ROUND($B$2*(A251+1)^2.4*1.004^A251,0)</f>
        <v>132803203</v>
      </c>
      <c r="D251" s="6" t="n">
        <f aca="false">ROUND($D$2*(A251+1)^2.4*1.004^A251,0)</f>
        <v>118047291</v>
      </c>
      <c r="E251" s="6" t="n">
        <f aca="false">ROUND($F$2*(A251+1)^2.4*1.004^A251,0)</f>
        <v>103291380</v>
      </c>
      <c r="F251" s="6" t="n">
        <f aca="false">ROUND(Building_Levels!$I$2*(A251+1)^1.9*1.003^A251,2)</f>
        <v>31.74</v>
      </c>
      <c r="G251" s="6" t="n">
        <f aca="false">ROUND((A251+1)^1.12,1)</f>
        <v>478.4</v>
      </c>
    </row>
    <row r="252" customFormat="false" ht="15" hidden="false" customHeight="true" outlineLevel="0" collapsed="false">
      <c r="A252" s="6" t="n">
        <v>247</v>
      </c>
      <c r="B252" s="6" t="n">
        <f aca="false">MIN(42, FLOOR(A252/32,1)+1)</f>
        <v>8</v>
      </c>
      <c r="C252" s="6" t="n">
        <f aca="false">ROUND($B$2*(A252+1)^2.4*1.004^A252,0)</f>
        <v>134633646</v>
      </c>
      <c r="D252" s="6" t="n">
        <f aca="false">ROUND($D$2*(A252+1)^2.4*1.004^A252,0)</f>
        <v>119674352</v>
      </c>
      <c r="E252" s="6" t="n">
        <f aca="false">ROUND($F$2*(A252+1)^2.4*1.004^A252,0)</f>
        <v>104715058</v>
      </c>
      <c r="F252" s="6" t="n">
        <f aca="false">ROUND(Building_Levels!$I$2*(A252+1)^1.9*1.003^A252,2)</f>
        <v>32.08</v>
      </c>
      <c r="G252" s="6" t="n">
        <f aca="false">ROUND((A252+1)^1.12,1)</f>
        <v>480.6</v>
      </c>
    </row>
    <row r="253" customFormat="false" ht="15" hidden="false" customHeight="true" outlineLevel="0" collapsed="false">
      <c r="A253" s="6" t="n">
        <v>248</v>
      </c>
      <c r="B253" s="6" t="n">
        <f aca="false">MIN(42, FLOOR(A253/32,1)+1)</f>
        <v>8</v>
      </c>
      <c r="C253" s="6" t="n">
        <f aca="false">ROUND($B$2*(A253+1)^2.4*1.004^A253,0)</f>
        <v>136483993</v>
      </c>
      <c r="D253" s="6" t="n">
        <f aca="false">ROUND($D$2*(A253+1)^2.4*1.004^A253,0)</f>
        <v>121319105</v>
      </c>
      <c r="E253" s="6" t="n">
        <f aca="false">ROUND($F$2*(A253+1)^2.4*1.004^A253,0)</f>
        <v>106154217</v>
      </c>
      <c r="F253" s="6" t="n">
        <f aca="false">ROUND(Building_Levels!$I$2*(A253+1)^1.9*1.003^A253,2)</f>
        <v>32.42</v>
      </c>
      <c r="G253" s="6" t="n">
        <f aca="false">ROUND((A253+1)^1.12,1)</f>
        <v>482.8</v>
      </c>
    </row>
    <row r="254" customFormat="false" ht="15" hidden="false" customHeight="true" outlineLevel="0" collapsed="false">
      <c r="A254" s="6" t="n">
        <v>249</v>
      </c>
      <c r="B254" s="6" t="n">
        <f aca="false">MIN(42, FLOOR(A254/32,1)+1)</f>
        <v>8</v>
      </c>
      <c r="C254" s="6" t="n">
        <f aca="false">ROUND($B$2*(A254+1)^2.4*1.004^A254,0)</f>
        <v>138354414</v>
      </c>
      <c r="D254" s="6" t="n">
        <f aca="false">ROUND($D$2*(A254+1)^2.4*1.004^A254,0)</f>
        <v>122981701</v>
      </c>
      <c r="E254" s="6" t="n">
        <f aca="false">ROUND($F$2*(A254+1)^2.4*1.004^A254,0)</f>
        <v>107608989</v>
      </c>
      <c r="F254" s="6" t="n">
        <f aca="false">ROUND(Building_Levels!$I$2*(A254+1)^1.9*1.003^A254,2)</f>
        <v>32.77</v>
      </c>
      <c r="G254" s="6" t="n">
        <f aca="false">ROUND((A254+1)^1.12,1)</f>
        <v>484.9</v>
      </c>
    </row>
    <row r="255" customFormat="false" ht="15" hidden="false" customHeight="true" outlineLevel="0" collapsed="false">
      <c r="A255" s="6" t="n">
        <v>250</v>
      </c>
      <c r="B255" s="6" t="n">
        <f aca="false">MIN(42, FLOOR(A255/32,1)+1)</f>
        <v>8</v>
      </c>
      <c r="C255" s="6" t="n">
        <f aca="false">ROUND($B$2*(A255+1)^2.4*1.004^A255,0)</f>
        <v>140245083</v>
      </c>
      <c r="D255" s="6" t="n">
        <f aca="false">ROUND($D$2*(A255+1)^2.4*1.004^A255,0)</f>
        <v>124662296</v>
      </c>
      <c r="E255" s="6" t="n">
        <f aca="false">ROUND($F$2*(A255+1)^2.4*1.004^A255,0)</f>
        <v>109079509</v>
      </c>
      <c r="F255" s="6" t="n">
        <f aca="false">ROUND(Building_Levels!$I$2*(A255+1)^1.9*1.003^A255,2)</f>
        <v>33.12</v>
      </c>
      <c r="G255" s="6" t="n">
        <f aca="false">ROUND((A255+1)^1.12,1)</f>
        <v>487.1</v>
      </c>
    </row>
    <row r="256" customFormat="false" ht="15" hidden="false" customHeight="true" outlineLevel="0" collapsed="false">
      <c r="A256" s="6" t="n">
        <v>251</v>
      </c>
      <c r="B256" s="6" t="n">
        <f aca="false">MIN(42, FLOOR(A256/32,1)+1)</f>
        <v>8</v>
      </c>
      <c r="C256" s="6" t="n">
        <f aca="false">ROUND($B$2*(A256+1)^2.4*1.004^A256,0)</f>
        <v>142156173</v>
      </c>
      <c r="D256" s="6" t="n">
        <f aca="false">ROUND($D$2*(A256+1)^2.4*1.004^A256,0)</f>
        <v>126361042</v>
      </c>
      <c r="E256" s="6" t="n">
        <f aca="false">ROUND($F$2*(A256+1)^2.4*1.004^A256,0)</f>
        <v>110565912</v>
      </c>
      <c r="F256" s="6" t="n">
        <f aca="false">ROUND(Building_Levels!$I$2*(A256+1)^1.9*1.003^A256,2)</f>
        <v>33.47</v>
      </c>
      <c r="G256" s="6" t="n">
        <f aca="false">ROUND((A256+1)^1.12,1)</f>
        <v>489.3</v>
      </c>
    </row>
    <row r="257" customFormat="false" ht="15" hidden="false" customHeight="true" outlineLevel="0" collapsed="false">
      <c r="A257" s="6" t="n">
        <v>252</v>
      </c>
      <c r="B257" s="6" t="n">
        <f aca="false">MIN(42, FLOOR(A257/32,1)+1)</f>
        <v>8</v>
      </c>
      <c r="C257" s="6" t="n">
        <f aca="false">ROUND($B$2*(A257+1)^2.4*1.004^A257,0)</f>
        <v>144087859</v>
      </c>
      <c r="D257" s="6" t="n">
        <f aca="false">ROUND($D$2*(A257+1)^2.4*1.004^A257,0)</f>
        <v>128078097</v>
      </c>
      <c r="E257" s="6" t="n">
        <f aca="false">ROUND($F$2*(A257+1)^2.4*1.004^A257,0)</f>
        <v>112068335</v>
      </c>
      <c r="F257" s="6" t="n">
        <f aca="false">ROUND(Building_Levels!$I$2*(A257+1)^1.9*1.003^A257,2)</f>
        <v>33.82</v>
      </c>
      <c r="G257" s="6" t="n">
        <f aca="false">ROUND((A257+1)^1.12,1)</f>
        <v>491.5</v>
      </c>
    </row>
    <row r="258" customFormat="false" ht="15" hidden="false" customHeight="true" outlineLevel="0" collapsed="false">
      <c r="A258" s="6" t="n">
        <v>253</v>
      </c>
      <c r="B258" s="6" t="n">
        <f aca="false">MIN(42, FLOOR(A258/32,1)+1)</f>
        <v>8</v>
      </c>
      <c r="C258" s="6" t="n">
        <f aca="false">ROUND($B$2*(A258+1)^2.4*1.004^A258,0)</f>
        <v>146040318</v>
      </c>
      <c r="D258" s="6" t="n">
        <f aca="false">ROUND($D$2*(A258+1)^2.4*1.004^A258,0)</f>
        <v>129813616</v>
      </c>
      <c r="E258" s="6" t="n">
        <f aca="false">ROUND($F$2*(A258+1)^2.4*1.004^A258,0)</f>
        <v>113586914</v>
      </c>
      <c r="F258" s="6" t="n">
        <f aca="false">ROUND(Building_Levels!$I$2*(A258+1)^1.9*1.003^A258,2)</f>
        <v>34.18</v>
      </c>
      <c r="G258" s="6" t="n">
        <f aca="false">ROUND((A258+1)^1.12,1)</f>
        <v>493.6</v>
      </c>
    </row>
    <row r="259" customFormat="false" ht="15" hidden="false" customHeight="true" outlineLevel="0" collapsed="false">
      <c r="A259" s="6" t="n">
        <v>254</v>
      </c>
      <c r="B259" s="6" t="n">
        <f aca="false">MIN(42, FLOOR(A259/32,1)+1)</f>
        <v>8</v>
      </c>
      <c r="C259" s="6" t="n">
        <f aca="false">ROUND($B$2*(A259+1)^2.4*1.004^A259,0)</f>
        <v>148013728</v>
      </c>
      <c r="D259" s="6" t="n">
        <f aca="false">ROUND($D$2*(A259+1)^2.4*1.004^A259,0)</f>
        <v>131567758</v>
      </c>
      <c r="E259" s="6" t="n">
        <f aca="false">ROUND($F$2*(A259+1)^2.4*1.004^A259,0)</f>
        <v>115121788</v>
      </c>
      <c r="F259" s="6" t="n">
        <f aca="false">ROUND(Building_Levels!$I$2*(A259+1)^1.9*1.003^A259,2)</f>
        <v>34.54</v>
      </c>
      <c r="G259" s="6" t="n">
        <f aca="false">ROUND((A259+1)^1.12,1)</f>
        <v>495.8</v>
      </c>
    </row>
    <row r="260" customFormat="false" ht="15" hidden="false" customHeight="true" outlineLevel="0" collapsed="false">
      <c r="A260" s="6" t="n">
        <v>255</v>
      </c>
      <c r="B260" s="6" t="n">
        <f aca="false">MIN(42, FLOOR(A260/32,1)+1)</f>
        <v>8</v>
      </c>
      <c r="C260" s="6" t="n">
        <f aca="false">ROUND($B$2*(A260+1)^2.4*1.004^A260,0)</f>
        <v>150008267</v>
      </c>
      <c r="D260" s="6" t="n">
        <f aca="false">ROUND($D$2*(A260+1)^2.4*1.004^A260,0)</f>
        <v>133340681</v>
      </c>
      <c r="E260" s="6" t="n">
        <f aca="false">ROUND($F$2*(A260+1)^2.4*1.004^A260,0)</f>
        <v>116673096</v>
      </c>
      <c r="F260" s="6" t="n">
        <f aca="false">ROUND(Building_Levels!$I$2*(A260+1)^1.9*1.003^A260,2)</f>
        <v>34.9</v>
      </c>
      <c r="G260" s="6" t="n">
        <f aca="false">ROUND((A260+1)^1.12,1)</f>
        <v>498</v>
      </c>
    </row>
    <row r="261" customFormat="false" ht="15" hidden="false" customHeight="true" outlineLevel="0" collapsed="false">
      <c r="A261" s="6" t="n">
        <v>256</v>
      </c>
      <c r="B261" s="6" t="n">
        <f aca="false">MIN(42, FLOOR(A261/32,1)+1)</f>
        <v>9</v>
      </c>
      <c r="C261" s="6" t="n">
        <f aca="false">ROUND($B$2*(A261+1)^2.4*1.004^A261,0)</f>
        <v>152024115</v>
      </c>
      <c r="D261" s="6" t="n">
        <f aca="false">ROUND($D$2*(A261+1)^2.4*1.004^A261,0)</f>
        <v>135132547</v>
      </c>
      <c r="E261" s="6" t="n">
        <f aca="false">ROUND($F$2*(A261+1)^2.4*1.004^A261,0)</f>
        <v>118240979</v>
      </c>
      <c r="F261" s="6" t="n">
        <f aca="false">ROUND(Building_Levels!$I$2*(A261+1)^1.9*1.003^A261,2)</f>
        <v>35.27</v>
      </c>
      <c r="G261" s="6" t="n">
        <f aca="false">ROUND((A261+1)^1.12,1)</f>
        <v>500.2</v>
      </c>
    </row>
    <row r="262" customFormat="false" ht="15" hidden="false" customHeight="true" outlineLevel="0" collapsed="false">
      <c r="A262" s="6" t="n">
        <v>257</v>
      </c>
      <c r="B262" s="6" t="n">
        <f aca="false">MIN(42, FLOOR(A262/32,1)+1)</f>
        <v>9</v>
      </c>
      <c r="C262" s="6" t="n">
        <f aca="false">ROUND($B$2*(A262+1)^2.4*1.004^A262,0)</f>
        <v>154061455</v>
      </c>
      <c r="D262" s="6" t="n">
        <f aca="false">ROUND($D$2*(A262+1)^2.4*1.004^A262,0)</f>
        <v>136943516</v>
      </c>
      <c r="E262" s="6" t="n">
        <f aca="false">ROUND($F$2*(A262+1)^2.4*1.004^A262,0)</f>
        <v>119825576</v>
      </c>
      <c r="F262" s="6" t="n">
        <f aca="false">ROUND(Building_Levels!$I$2*(A262+1)^1.9*1.003^A262,2)</f>
        <v>35.64</v>
      </c>
      <c r="G262" s="6" t="n">
        <f aca="false">ROUND((A262+1)^1.12,1)</f>
        <v>502.4</v>
      </c>
    </row>
    <row r="263" customFormat="false" ht="15" hidden="false" customHeight="true" outlineLevel="0" collapsed="false">
      <c r="A263" s="6" t="n">
        <v>258</v>
      </c>
      <c r="B263" s="6" t="n">
        <f aca="false">MIN(42, FLOOR(A263/32,1)+1)</f>
        <v>9</v>
      </c>
      <c r="C263" s="6" t="n">
        <f aca="false">ROUND($B$2*(A263+1)^2.4*1.004^A263,0)</f>
        <v>156120469</v>
      </c>
      <c r="D263" s="6" t="n">
        <f aca="false">ROUND($D$2*(A263+1)^2.4*1.004^A263,0)</f>
        <v>138773750</v>
      </c>
      <c r="E263" s="6" t="n">
        <f aca="false">ROUND($F$2*(A263+1)^2.4*1.004^A263,0)</f>
        <v>121427032</v>
      </c>
      <c r="F263" s="6" t="n">
        <f aca="false">ROUND(Building_Levels!$I$2*(A263+1)^1.9*1.003^A263,2)</f>
        <v>36.01</v>
      </c>
      <c r="G263" s="6" t="n">
        <f aca="false">ROUND((A263+1)^1.12,1)</f>
        <v>504.5</v>
      </c>
    </row>
    <row r="264" customFormat="false" ht="15" hidden="false" customHeight="true" outlineLevel="0" collapsed="false">
      <c r="A264" s="6" t="n">
        <v>259</v>
      </c>
      <c r="B264" s="6" t="n">
        <f aca="false">MIN(42, FLOOR(A264/32,1)+1)</f>
        <v>9</v>
      </c>
      <c r="C264" s="6" t="n">
        <f aca="false">ROUND($B$2*(A264+1)^2.4*1.004^A264,0)</f>
        <v>158201342</v>
      </c>
      <c r="D264" s="6" t="n">
        <f aca="false">ROUND($D$2*(A264+1)^2.4*1.004^A264,0)</f>
        <v>140623415</v>
      </c>
      <c r="E264" s="6" t="n">
        <f aca="false">ROUND($F$2*(A264+1)^2.4*1.004^A264,0)</f>
        <v>123045488</v>
      </c>
      <c r="F264" s="6" t="n">
        <f aca="false">ROUND(Building_Levels!$I$2*(A264+1)^1.9*1.003^A264,2)</f>
        <v>36.38</v>
      </c>
      <c r="G264" s="6" t="n">
        <f aca="false">ROUND((A264+1)^1.12,1)</f>
        <v>506.7</v>
      </c>
    </row>
    <row r="265" customFormat="false" ht="15" hidden="false" customHeight="true" outlineLevel="0" collapsed="false">
      <c r="A265" s="6" t="n">
        <v>260</v>
      </c>
      <c r="B265" s="6" t="n">
        <f aca="false">MIN(42, FLOOR(A265/32,1)+1)</f>
        <v>9</v>
      </c>
      <c r="C265" s="6" t="n">
        <f aca="false">ROUND($B$2*(A265+1)^2.4*1.004^A265,0)</f>
        <v>160304258</v>
      </c>
      <c r="D265" s="6" t="n">
        <f aca="false">ROUND($D$2*(A265+1)^2.4*1.004^A265,0)</f>
        <v>142492674</v>
      </c>
      <c r="E265" s="6" t="n">
        <f aca="false">ROUND($F$2*(A265+1)^2.4*1.004^A265,0)</f>
        <v>124681089</v>
      </c>
      <c r="F265" s="6" t="n">
        <f aca="false">ROUND(Building_Levels!$I$2*(A265+1)^1.9*1.003^A265,2)</f>
        <v>36.76</v>
      </c>
      <c r="G265" s="6" t="n">
        <f aca="false">ROUND((A265+1)^1.12,1)</f>
        <v>508.9</v>
      </c>
    </row>
    <row r="266" customFormat="false" ht="15" hidden="false" customHeight="true" outlineLevel="0" collapsed="false">
      <c r="A266" s="6" t="n">
        <v>261</v>
      </c>
      <c r="B266" s="6" t="n">
        <f aca="false">MIN(42, FLOOR(A266/32,1)+1)</f>
        <v>9</v>
      </c>
      <c r="C266" s="6" t="n">
        <f aca="false">ROUND($B$2*(A266+1)^2.4*1.004^A266,0)</f>
        <v>162429404</v>
      </c>
      <c r="D266" s="6" t="n">
        <f aca="false">ROUND($D$2*(A266+1)^2.4*1.004^A266,0)</f>
        <v>144381693</v>
      </c>
      <c r="E266" s="6" t="n">
        <f aca="false">ROUND($F$2*(A266+1)^2.4*1.004^A266,0)</f>
        <v>126333981</v>
      </c>
      <c r="F266" s="6" t="n">
        <f aca="false">ROUND(Building_Levels!$I$2*(A266+1)^1.9*1.003^A266,2)</f>
        <v>37.13</v>
      </c>
      <c r="G266" s="6" t="n">
        <f aca="false">ROUND((A266+1)^1.12,1)</f>
        <v>511.1</v>
      </c>
    </row>
    <row r="267" customFormat="false" ht="15" hidden="false" customHeight="true" outlineLevel="0" collapsed="false">
      <c r="A267" s="6" t="n">
        <v>262</v>
      </c>
      <c r="B267" s="6" t="n">
        <f aca="false">MIN(42, FLOOR(A267/32,1)+1)</f>
        <v>9</v>
      </c>
      <c r="C267" s="6" t="n">
        <f aca="false">ROUND($B$2*(A267+1)^2.4*1.004^A267,0)</f>
        <v>164576970</v>
      </c>
      <c r="D267" s="6" t="n">
        <f aca="false">ROUND($D$2*(A267+1)^2.4*1.004^A267,0)</f>
        <v>146290640</v>
      </c>
      <c r="E267" s="6" t="n">
        <f aca="false">ROUND($F$2*(A267+1)^2.4*1.004^A267,0)</f>
        <v>128004310</v>
      </c>
      <c r="F267" s="6" t="n">
        <f aca="false">ROUND(Building_Levels!$I$2*(A267+1)^1.9*1.003^A267,2)</f>
        <v>37.52</v>
      </c>
      <c r="G267" s="6" t="n">
        <f aca="false">ROUND((A267+1)^1.12,1)</f>
        <v>513.3</v>
      </c>
    </row>
    <row r="268" customFormat="false" ht="15" hidden="false" customHeight="true" outlineLevel="0" collapsed="false">
      <c r="A268" s="6" t="n">
        <v>263</v>
      </c>
      <c r="B268" s="6" t="n">
        <f aca="false">MIN(42, FLOOR(A268/32,1)+1)</f>
        <v>9</v>
      </c>
      <c r="C268" s="6" t="n">
        <f aca="false">ROUND($B$2*(A268+1)^2.4*1.004^A268,0)</f>
        <v>166747143</v>
      </c>
      <c r="D268" s="6" t="n">
        <f aca="false">ROUND($D$2*(A268+1)^2.4*1.004^A268,0)</f>
        <v>148219683</v>
      </c>
      <c r="E268" s="6" t="n">
        <f aca="false">ROUND($F$2*(A268+1)^2.4*1.004^A268,0)</f>
        <v>129692223</v>
      </c>
      <c r="F268" s="6" t="n">
        <f aca="false">ROUND(Building_Levels!$I$2*(A268+1)^1.9*1.003^A268,2)</f>
        <v>37.9</v>
      </c>
      <c r="G268" s="6" t="n">
        <f aca="false">ROUND((A268+1)^1.12,1)</f>
        <v>515.5</v>
      </c>
    </row>
    <row r="269" customFormat="false" ht="15" hidden="false" customHeight="true" outlineLevel="0" collapsed="false">
      <c r="A269" s="6" t="n">
        <v>264</v>
      </c>
      <c r="B269" s="6" t="n">
        <f aca="false">MIN(42, FLOOR(A269/32,1)+1)</f>
        <v>9</v>
      </c>
      <c r="C269" s="6" t="n">
        <f aca="false">ROUND($B$2*(A269+1)^2.4*1.004^A269,0)</f>
        <v>168940116</v>
      </c>
      <c r="D269" s="6" t="n">
        <f aca="false">ROUND($D$2*(A269+1)^2.4*1.004^A269,0)</f>
        <v>150168992</v>
      </c>
      <c r="E269" s="6" t="n">
        <f aca="false">ROUND($F$2*(A269+1)^2.4*1.004^A269,0)</f>
        <v>131397868</v>
      </c>
      <c r="F269" s="6" t="n">
        <f aca="false">ROUND(Building_Levels!$I$2*(A269+1)^1.9*1.003^A269,2)</f>
        <v>38.29</v>
      </c>
      <c r="G269" s="6" t="n">
        <f aca="false">ROUND((A269+1)^1.12,1)</f>
        <v>517.6</v>
      </c>
    </row>
    <row r="270" customFormat="false" ht="15" hidden="false" customHeight="true" outlineLevel="0" collapsed="false">
      <c r="A270" s="6" t="n">
        <v>265</v>
      </c>
      <c r="B270" s="6" t="n">
        <f aca="false">MIN(42, FLOOR(A270/32,1)+1)</f>
        <v>9</v>
      </c>
      <c r="C270" s="6" t="n">
        <f aca="false">ROUND($B$2*(A270+1)^2.4*1.004^A270,0)</f>
        <v>171156080</v>
      </c>
      <c r="D270" s="6" t="n">
        <f aca="false">ROUND($D$2*(A270+1)^2.4*1.004^A270,0)</f>
        <v>152138738</v>
      </c>
      <c r="E270" s="6" t="n">
        <f aca="false">ROUND($F$2*(A270+1)^2.4*1.004^A270,0)</f>
        <v>133121396</v>
      </c>
      <c r="F270" s="6" t="n">
        <f aca="false">ROUND(Building_Levels!$I$2*(A270+1)^1.9*1.003^A270,2)</f>
        <v>38.68</v>
      </c>
      <c r="G270" s="6" t="n">
        <f aca="false">ROUND((A270+1)^1.12,1)</f>
        <v>519.8</v>
      </c>
    </row>
    <row r="271" customFormat="false" ht="15" hidden="false" customHeight="true" outlineLevel="0" collapsed="false">
      <c r="A271" s="6" t="n">
        <v>266</v>
      </c>
      <c r="B271" s="6" t="n">
        <f aca="false">MIN(42, FLOOR(A271/32,1)+1)</f>
        <v>9</v>
      </c>
      <c r="C271" s="6" t="n">
        <f aca="false">ROUND($B$2*(A271+1)^2.4*1.004^A271,0)</f>
        <v>173395229</v>
      </c>
      <c r="D271" s="6" t="n">
        <f aca="false">ROUND($D$2*(A271+1)^2.4*1.004^A271,0)</f>
        <v>154129093</v>
      </c>
      <c r="E271" s="6" t="n">
        <f aca="false">ROUND($F$2*(A271+1)^2.4*1.004^A271,0)</f>
        <v>134862956</v>
      </c>
      <c r="F271" s="6" t="n">
        <f aca="false">ROUND(Building_Levels!$I$2*(A271+1)^1.9*1.003^A271,2)</f>
        <v>39.07</v>
      </c>
      <c r="G271" s="6" t="n">
        <f aca="false">ROUND((A271+1)^1.12,1)</f>
        <v>522</v>
      </c>
    </row>
    <row r="272" customFormat="false" ht="15" hidden="false" customHeight="true" outlineLevel="0" collapsed="false">
      <c r="A272" s="6" t="n">
        <v>267</v>
      </c>
      <c r="B272" s="6" t="n">
        <f aca="false">MIN(42, FLOOR(A272/32,1)+1)</f>
        <v>9</v>
      </c>
      <c r="C272" s="6" t="n">
        <f aca="false">ROUND($B$2*(A272+1)^2.4*1.004^A272,0)</f>
        <v>175657758</v>
      </c>
      <c r="D272" s="6" t="n">
        <f aca="false">ROUND($D$2*(A272+1)^2.4*1.004^A272,0)</f>
        <v>156140229</v>
      </c>
      <c r="E272" s="6" t="n">
        <f aca="false">ROUND($F$2*(A272+1)^2.4*1.004^A272,0)</f>
        <v>136622701</v>
      </c>
      <c r="F272" s="6" t="n">
        <f aca="false">ROUND(Building_Levels!$I$2*(A272+1)^1.9*1.003^A272,2)</f>
        <v>39.47</v>
      </c>
      <c r="G272" s="6" t="n">
        <f aca="false">ROUND((A272+1)^1.12,1)</f>
        <v>524.2</v>
      </c>
    </row>
    <row r="273" customFormat="false" ht="15" hidden="false" customHeight="true" outlineLevel="0" collapsed="false">
      <c r="A273" s="6" t="n">
        <v>268</v>
      </c>
      <c r="B273" s="6" t="n">
        <f aca="false">MIN(42, FLOOR(A273/32,1)+1)</f>
        <v>9</v>
      </c>
      <c r="C273" s="6" t="n">
        <f aca="false">ROUND($B$2*(A273+1)^2.4*1.004^A273,0)</f>
        <v>177943863</v>
      </c>
      <c r="D273" s="6" t="n">
        <f aca="false">ROUND($D$2*(A273+1)^2.4*1.004^A273,0)</f>
        <v>158172323</v>
      </c>
      <c r="E273" s="6" t="n">
        <f aca="false">ROUND($F$2*(A273+1)^2.4*1.004^A273,0)</f>
        <v>138400782</v>
      </c>
      <c r="F273" s="6" t="n">
        <f aca="false">ROUND(Building_Levels!$I$2*(A273+1)^1.9*1.003^A273,2)</f>
        <v>39.87</v>
      </c>
      <c r="G273" s="6" t="n">
        <f aca="false">ROUND((A273+1)^1.12,1)</f>
        <v>526.4</v>
      </c>
    </row>
    <row r="274" customFormat="false" ht="15" hidden="false" customHeight="true" outlineLevel="0" collapsed="false">
      <c r="A274" s="6" t="n">
        <v>269</v>
      </c>
      <c r="B274" s="6" t="n">
        <f aca="false">MIN(42, FLOOR(A274/32,1)+1)</f>
        <v>9</v>
      </c>
      <c r="C274" s="6" t="n">
        <f aca="false">ROUND($B$2*(A274+1)^2.4*1.004^A274,0)</f>
        <v>180253742</v>
      </c>
      <c r="D274" s="6" t="n">
        <f aca="false">ROUND($D$2*(A274+1)^2.4*1.004^A274,0)</f>
        <v>160225548</v>
      </c>
      <c r="E274" s="6" t="n">
        <f aca="false">ROUND($F$2*(A274+1)^2.4*1.004^A274,0)</f>
        <v>140197355</v>
      </c>
      <c r="F274" s="6" t="n">
        <f aca="false">ROUND(Building_Levels!$I$2*(A274+1)^1.9*1.003^A274,2)</f>
        <v>40.27</v>
      </c>
      <c r="G274" s="6" t="n">
        <f aca="false">ROUND((A274+1)^1.12,1)</f>
        <v>528.6</v>
      </c>
    </row>
    <row r="275" customFormat="false" ht="15" hidden="false" customHeight="true" outlineLevel="0" collapsed="false">
      <c r="A275" s="6" t="n">
        <v>270</v>
      </c>
      <c r="B275" s="6" t="n">
        <f aca="false">MIN(42, FLOOR(A275/32,1)+1)</f>
        <v>9</v>
      </c>
      <c r="C275" s="6" t="n">
        <f aca="false">ROUND($B$2*(A275+1)^2.4*1.004^A275,0)</f>
        <v>182587594</v>
      </c>
      <c r="D275" s="6" t="n">
        <f aca="false">ROUND($D$2*(A275+1)^2.4*1.004^A275,0)</f>
        <v>162300084</v>
      </c>
      <c r="E275" s="6" t="n">
        <f aca="false">ROUND($F$2*(A275+1)^2.4*1.004^A275,0)</f>
        <v>142012573</v>
      </c>
      <c r="F275" s="6" t="n">
        <f aca="false">ROUND(Building_Levels!$I$2*(A275+1)^1.9*1.003^A275,2)</f>
        <v>40.68</v>
      </c>
      <c r="G275" s="6" t="n">
        <f aca="false">ROUND((A275+1)^1.12,1)</f>
        <v>530.8</v>
      </c>
    </row>
    <row r="276" customFormat="false" ht="15" hidden="false" customHeight="true" outlineLevel="0" collapsed="false">
      <c r="A276" s="6" t="n">
        <v>271</v>
      </c>
      <c r="B276" s="6" t="n">
        <f aca="false">MIN(42, FLOOR(A276/32,1)+1)</f>
        <v>9</v>
      </c>
      <c r="C276" s="6" t="n">
        <f aca="false">ROUND($B$2*(A276+1)^2.4*1.004^A276,0)</f>
        <v>184945620</v>
      </c>
      <c r="D276" s="6" t="n">
        <f aca="false">ROUND($D$2*(A276+1)^2.4*1.004^A276,0)</f>
        <v>164396107</v>
      </c>
      <c r="E276" s="6" t="n">
        <f aca="false">ROUND($F$2*(A276+1)^2.4*1.004^A276,0)</f>
        <v>143846593</v>
      </c>
      <c r="F276" s="6" t="n">
        <f aca="false">ROUND(Building_Levels!$I$2*(A276+1)^1.9*1.003^A276,2)</f>
        <v>41.09</v>
      </c>
      <c r="G276" s="6" t="n">
        <f aca="false">ROUND((A276+1)^1.12,1)</f>
        <v>533</v>
      </c>
    </row>
    <row r="277" customFormat="false" ht="15" hidden="false" customHeight="true" outlineLevel="0" collapsed="false">
      <c r="A277" s="6" t="n">
        <v>272</v>
      </c>
      <c r="B277" s="6" t="n">
        <f aca="false">MIN(42, FLOOR(A277/32,1)+1)</f>
        <v>9</v>
      </c>
      <c r="C277" s="6" t="n">
        <f aca="false">ROUND($B$2*(A277+1)^2.4*1.004^A277,0)</f>
        <v>187328022</v>
      </c>
      <c r="D277" s="6" t="n">
        <f aca="false">ROUND($D$2*(A277+1)^2.4*1.004^A277,0)</f>
        <v>166513797</v>
      </c>
      <c r="E277" s="6" t="n">
        <f aca="false">ROUND($F$2*(A277+1)^2.4*1.004^A277,0)</f>
        <v>145699572</v>
      </c>
      <c r="F277" s="6" t="n">
        <f aca="false">ROUND(Building_Levels!$I$2*(A277+1)^1.9*1.003^A277,2)</f>
        <v>41.5</v>
      </c>
      <c r="G277" s="6" t="n">
        <f aca="false">ROUND((A277+1)^1.12,1)</f>
        <v>535.2</v>
      </c>
    </row>
    <row r="278" customFormat="false" ht="15" hidden="false" customHeight="true" outlineLevel="0" collapsed="false">
      <c r="A278" s="6" t="n">
        <v>273</v>
      </c>
      <c r="B278" s="6" t="n">
        <f aca="false">MIN(42, FLOOR(A278/32,1)+1)</f>
        <v>9</v>
      </c>
      <c r="C278" s="6" t="n">
        <f aca="false">ROUND($B$2*(A278+1)^2.4*1.004^A278,0)</f>
        <v>189735002</v>
      </c>
      <c r="D278" s="6" t="n">
        <f aca="false">ROUND($D$2*(A278+1)^2.4*1.004^A278,0)</f>
        <v>168653335</v>
      </c>
      <c r="E278" s="6" t="n">
        <f aca="false">ROUND($F$2*(A278+1)^2.4*1.004^A278,0)</f>
        <v>147571669</v>
      </c>
      <c r="F278" s="6" t="n">
        <f aca="false">ROUND(Building_Levels!$I$2*(A278+1)^1.9*1.003^A278,2)</f>
        <v>41.91</v>
      </c>
      <c r="G278" s="6" t="n">
        <f aca="false">ROUND((A278+1)^1.12,1)</f>
        <v>537.4</v>
      </c>
    </row>
    <row r="279" customFormat="false" ht="15" hidden="false" customHeight="true" outlineLevel="0" collapsed="false">
      <c r="A279" s="6" t="n">
        <v>274</v>
      </c>
      <c r="B279" s="6" t="n">
        <f aca="false">MIN(42, FLOOR(A279/32,1)+1)</f>
        <v>9</v>
      </c>
      <c r="C279" s="6" t="n">
        <f aca="false">ROUND($B$2*(A279+1)^2.4*1.004^A279,0)</f>
        <v>192166767</v>
      </c>
      <c r="D279" s="6" t="n">
        <f aca="false">ROUND($D$2*(A279+1)^2.4*1.004^A279,0)</f>
        <v>170814904</v>
      </c>
      <c r="E279" s="6" t="n">
        <f aca="false">ROUND($F$2*(A279+1)^2.4*1.004^A279,0)</f>
        <v>149463041</v>
      </c>
      <c r="F279" s="6" t="n">
        <f aca="false">ROUND(Building_Levels!$I$2*(A279+1)^1.9*1.003^A279,2)</f>
        <v>42.33</v>
      </c>
      <c r="G279" s="6" t="n">
        <f aca="false">ROUND((A279+1)^1.12,1)</f>
        <v>539.6</v>
      </c>
    </row>
    <row r="280" customFormat="false" ht="15" hidden="false" customHeight="true" outlineLevel="0" collapsed="false">
      <c r="A280" s="6" t="n">
        <v>275</v>
      </c>
      <c r="B280" s="6" t="n">
        <f aca="false">MIN(42, FLOOR(A280/32,1)+1)</f>
        <v>9</v>
      </c>
      <c r="C280" s="6" t="n">
        <f aca="false">ROUND($B$2*(A280+1)^2.4*1.004^A280,0)</f>
        <v>194623523</v>
      </c>
      <c r="D280" s="6" t="n">
        <f aca="false">ROUND($D$2*(A280+1)^2.4*1.004^A280,0)</f>
        <v>172998687</v>
      </c>
      <c r="E280" s="6" t="n">
        <f aca="false">ROUND($F$2*(A280+1)^2.4*1.004^A280,0)</f>
        <v>151373851</v>
      </c>
      <c r="F280" s="6" t="n">
        <f aca="false">ROUND(Building_Levels!$I$2*(A280+1)^1.9*1.003^A280,2)</f>
        <v>42.75</v>
      </c>
      <c r="G280" s="6" t="n">
        <f aca="false">ROUND((A280+1)^1.12,1)</f>
        <v>541.8</v>
      </c>
    </row>
    <row r="281" customFormat="false" ht="15" hidden="false" customHeight="true" outlineLevel="0" collapsed="false">
      <c r="A281" s="6" t="n">
        <v>276</v>
      </c>
      <c r="B281" s="6" t="n">
        <f aca="false">MIN(42, FLOOR(A281/32,1)+1)</f>
        <v>9</v>
      </c>
      <c r="C281" s="6" t="n">
        <f aca="false">ROUND($B$2*(A281+1)^2.4*1.004^A281,0)</f>
        <v>197105476</v>
      </c>
      <c r="D281" s="6" t="n">
        <f aca="false">ROUND($D$2*(A281+1)^2.4*1.004^A281,0)</f>
        <v>175204868</v>
      </c>
      <c r="E281" s="6" t="n">
        <f aca="false">ROUND($F$2*(A281+1)^2.4*1.004^A281,0)</f>
        <v>153304259</v>
      </c>
      <c r="F281" s="6" t="n">
        <f aca="false">ROUND(Building_Levels!$I$2*(A281+1)^1.9*1.003^A281,2)</f>
        <v>43.17</v>
      </c>
      <c r="G281" s="6" t="n">
        <f aca="false">ROUND((A281+1)^1.12,1)</f>
        <v>544</v>
      </c>
    </row>
    <row r="282" customFormat="false" ht="15" hidden="false" customHeight="true" outlineLevel="0" collapsed="false">
      <c r="A282" s="6" t="n">
        <v>277</v>
      </c>
      <c r="B282" s="6" t="n">
        <f aca="false">MIN(42, FLOOR(A282/32,1)+1)</f>
        <v>9</v>
      </c>
      <c r="C282" s="6" t="n">
        <f aca="false">ROUND($B$2*(A282+1)^2.4*1.004^A282,0)</f>
        <v>199612837</v>
      </c>
      <c r="D282" s="6" t="n">
        <f aca="false">ROUND($D$2*(A282+1)^2.4*1.004^A282,0)</f>
        <v>177433633</v>
      </c>
      <c r="E282" s="6" t="n">
        <f aca="false">ROUND($F$2*(A282+1)^2.4*1.004^A282,0)</f>
        <v>155254429</v>
      </c>
      <c r="F282" s="6" t="n">
        <f aca="false">ROUND(Building_Levels!$I$2*(A282+1)^1.9*1.003^A282,2)</f>
        <v>43.6</v>
      </c>
      <c r="G282" s="6" t="n">
        <f aca="false">ROUND((A282+1)^1.12,1)</f>
        <v>546.2</v>
      </c>
    </row>
    <row r="283" customFormat="false" ht="15" hidden="false" customHeight="true" outlineLevel="0" collapsed="false">
      <c r="A283" s="6" t="n">
        <v>278</v>
      </c>
      <c r="B283" s="6" t="n">
        <f aca="false">MIN(42, FLOOR(A283/32,1)+1)</f>
        <v>9</v>
      </c>
      <c r="C283" s="6" t="n">
        <f aca="false">ROUND($B$2*(A283+1)^2.4*1.004^A283,0)</f>
        <v>202145817</v>
      </c>
      <c r="D283" s="6" t="n">
        <f aca="false">ROUND($D$2*(A283+1)^2.4*1.004^A283,0)</f>
        <v>179685170</v>
      </c>
      <c r="E283" s="6" t="n">
        <f aca="false">ROUND($F$2*(A283+1)^2.4*1.004^A283,0)</f>
        <v>157224524</v>
      </c>
      <c r="F283" s="6" t="n">
        <f aca="false">ROUND(Building_Levels!$I$2*(A283+1)^1.9*1.003^A283,2)</f>
        <v>44.03</v>
      </c>
      <c r="G283" s="6" t="n">
        <f aca="false">ROUND((A283+1)^1.12,1)</f>
        <v>548.4</v>
      </c>
    </row>
    <row r="284" customFormat="false" ht="15" hidden="false" customHeight="true" outlineLevel="0" collapsed="false">
      <c r="A284" s="6" t="n">
        <v>279</v>
      </c>
      <c r="B284" s="6" t="n">
        <f aca="false">MIN(42, FLOOR(A284/32,1)+1)</f>
        <v>9</v>
      </c>
      <c r="C284" s="6" t="n">
        <f aca="false">ROUND($B$2*(A284+1)^2.4*1.004^A284,0)</f>
        <v>204704627</v>
      </c>
      <c r="D284" s="6" t="n">
        <f aca="false">ROUND($D$2*(A284+1)^2.4*1.004^A284,0)</f>
        <v>181959668</v>
      </c>
      <c r="E284" s="6" t="n">
        <f aca="false">ROUND($F$2*(A284+1)^2.4*1.004^A284,0)</f>
        <v>159214710</v>
      </c>
      <c r="F284" s="6" t="n">
        <f aca="false">ROUND(Building_Levels!$I$2*(A284+1)^1.9*1.003^A284,2)</f>
        <v>44.47</v>
      </c>
      <c r="G284" s="6" t="n">
        <f aca="false">ROUND((A284+1)^1.12,1)</f>
        <v>550.6</v>
      </c>
    </row>
    <row r="285" customFormat="false" ht="15" hidden="false" customHeight="true" outlineLevel="0" collapsed="false">
      <c r="A285" s="6" t="n">
        <v>280</v>
      </c>
      <c r="B285" s="6" t="n">
        <f aca="false">MIN(42, FLOOR(A285/32,1)+1)</f>
        <v>9</v>
      </c>
      <c r="C285" s="6" t="n">
        <f aca="false">ROUND($B$2*(A285+1)^2.4*1.004^A285,0)</f>
        <v>207289481</v>
      </c>
      <c r="D285" s="6" t="n">
        <f aca="false">ROUND($D$2*(A285+1)^2.4*1.004^A285,0)</f>
        <v>184257316</v>
      </c>
      <c r="E285" s="6" t="n">
        <f aca="false">ROUND($F$2*(A285+1)^2.4*1.004^A285,0)</f>
        <v>161225152</v>
      </c>
      <c r="F285" s="6" t="n">
        <f aca="false">ROUND(Building_Levels!$I$2*(A285+1)^1.9*1.003^A285,2)</f>
        <v>44.9</v>
      </c>
      <c r="G285" s="6" t="n">
        <f aca="false">ROUND((A285+1)^1.12,1)</f>
        <v>552.8</v>
      </c>
    </row>
    <row r="286" customFormat="false" ht="15" hidden="false" customHeight="true" outlineLevel="0" collapsed="false">
      <c r="A286" s="6" t="n">
        <v>281</v>
      </c>
      <c r="B286" s="6" t="n">
        <f aca="false">MIN(42, FLOOR(A286/32,1)+1)</f>
        <v>9</v>
      </c>
      <c r="C286" s="6" t="n">
        <f aca="false">ROUND($B$2*(A286+1)^2.4*1.004^A286,0)</f>
        <v>209900595</v>
      </c>
      <c r="D286" s="6" t="n">
        <f aca="false">ROUND($D$2*(A286+1)^2.4*1.004^A286,0)</f>
        <v>186578306</v>
      </c>
      <c r="E286" s="6" t="n">
        <f aca="false">ROUND($F$2*(A286+1)^2.4*1.004^A286,0)</f>
        <v>163256018</v>
      </c>
      <c r="F286" s="6" t="n">
        <f aca="false">ROUND(Building_Levels!$I$2*(A286+1)^1.9*1.003^A286,2)</f>
        <v>45.34</v>
      </c>
      <c r="G286" s="6" t="n">
        <f aca="false">ROUND((A286+1)^1.12,1)</f>
        <v>555</v>
      </c>
    </row>
    <row r="287" customFormat="false" ht="15" hidden="false" customHeight="true" outlineLevel="0" collapsed="false">
      <c r="A287" s="6" t="n">
        <v>282</v>
      </c>
      <c r="B287" s="6" t="n">
        <f aca="false">MIN(42, FLOOR(A287/32,1)+1)</f>
        <v>9</v>
      </c>
      <c r="C287" s="6" t="n">
        <f aca="false">ROUND($B$2*(A287+1)^2.4*1.004^A287,0)</f>
        <v>212538185</v>
      </c>
      <c r="D287" s="6" t="n">
        <f aca="false">ROUND($D$2*(A287+1)^2.4*1.004^A287,0)</f>
        <v>188922831</v>
      </c>
      <c r="E287" s="6" t="n">
        <f aca="false">ROUND($F$2*(A287+1)^2.4*1.004^A287,0)</f>
        <v>165307477</v>
      </c>
      <c r="F287" s="6" t="n">
        <f aca="false">ROUND(Building_Levels!$I$2*(A287+1)^1.9*1.003^A287,2)</f>
        <v>45.78</v>
      </c>
      <c r="G287" s="6" t="n">
        <f aca="false">ROUND((A287+1)^1.12,1)</f>
        <v>557.2</v>
      </c>
    </row>
    <row r="288" customFormat="false" ht="15" hidden="false" customHeight="true" outlineLevel="0" collapsed="false">
      <c r="A288" s="6" t="n">
        <v>283</v>
      </c>
      <c r="B288" s="6" t="n">
        <f aca="false">MIN(42, FLOOR(A288/32,1)+1)</f>
        <v>9</v>
      </c>
      <c r="C288" s="6" t="n">
        <f aca="false">ROUND($B$2*(A288+1)^2.4*1.004^A288,0)</f>
        <v>215202469</v>
      </c>
      <c r="D288" s="6" t="n">
        <f aca="false">ROUND($D$2*(A288+1)^2.4*1.004^A288,0)</f>
        <v>191291084</v>
      </c>
      <c r="E288" s="6" t="n">
        <f aca="false">ROUND($F$2*(A288+1)^2.4*1.004^A288,0)</f>
        <v>167379698</v>
      </c>
      <c r="F288" s="6" t="n">
        <f aca="false">ROUND(Building_Levels!$I$2*(A288+1)^1.9*1.003^A288,2)</f>
        <v>46.23</v>
      </c>
      <c r="G288" s="6" t="n">
        <f aca="false">ROUND((A288+1)^1.12,1)</f>
        <v>559.4</v>
      </c>
    </row>
    <row r="289" customFormat="false" ht="15" hidden="false" customHeight="true" outlineLevel="0" collapsed="false">
      <c r="A289" s="6" t="n">
        <v>284</v>
      </c>
      <c r="B289" s="6" t="n">
        <f aca="false">MIN(42, FLOOR(A289/32,1)+1)</f>
        <v>9</v>
      </c>
      <c r="C289" s="6" t="n">
        <f aca="false">ROUND($B$2*(A289+1)^2.4*1.004^A289,0)</f>
        <v>217893669</v>
      </c>
      <c r="D289" s="6" t="n">
        <f aca="false">ROUND($D$2*(A289+1)^2.4*1.004^A289,0)</f>
        <v>193683261</v>
      </c>
      <c r="E289" s="6" t="n">
        <f aca="false">ROUND($F$2*(A289+1)^2.4*1.004^A289,0)</f>
        <v>169472853</v>
      </c>
      <c r="F289" s="6" t="n">
        <f aca="false">ROUND(Building_Levels!$I$2*(A289+1)^1.9*1.003^A289,2)</f>
        <v>46.68</v>
      </c>
      <c r="G289" s="6" t="n">
        <f aca="false">ROUND((A289+1)^1.12,1)</f>
        <v>561.6</v>
      </c>
    </row>
    <row r="290" customFormat="false" ht="15" hidden="false" customHeight="true" outlineLevel="0" collapsed="false">
      <c r="A290" s="6" t="n">
        <v>285</v>
      </c>
      <c r="B290" s="6" t="n">
        <f aca="false">MIN(42, FLOOR(A290/32,1)+1)</f>
        <v>9</v>
      </c>
      <c r="C290" s="6" t="n">
        <f aca="false">ROUND($B$2*(A290+1)^2.4*1.004^A290,0)</f>
        <v>220612004</v>
      </c>
      <c r="D290" s="6" t="n">
        <f aca="false">ROUND($D$2*(A290+1)^2.4*1.004^A290,0)</f>
        <v>196099559</v>
      </c>
      <c r="E290" s="6" t="n">
        <f aca="false">ROUND($F$2*(A290+1)^2.4*1.004^A290,0)</f>
        <v>171587114</v>
      </c>
      <c r="F290" s="6" t="n">
        <f aca="false">ROUND(Building_Levels!$I$2*(A290+1)^1.9*1.003^A290,2)</f>
        <v>47.13</v>
      </c>
      <c r="G290" s="6" t="n">
        <f aca="false">ROUND((A290+1)^1.12,1)</f>
        <v>563.8</v>
      </c>
    </row>
    <row r="291" customFormat="false" ht="15" hidden="false" customHeight="true" outlineLevel="0" collapsed="false">
      <c r="A291" s="6" t="n">
        <v>286</v>
      </c>
      <c r="B291" s="6" t="n">
        <f aca="false">MIN(42, FLOOR(A291/32,1)+1)</f>
        <v>9</v>
      </c>
      <c r="C291" s="6" t="n">
        <f aca="false">ROUND($B$2*(A291+1)^2.4*1.004^A291,0)</f>
        <v>223357698</v>
      </c>
      <c r="D291" s="6" t="n">
        <f aca="false">ROUND($D$2*(A291+1)^2.4*1.004^A291,0)</f>
        <v>198540176</v>
      </c>
      <c r="E291" s="6" t="n">
        <f aca="false">ROUND($F$2*(A291+1)^2.4*1.004^A291,0)</f>
        <v>173722654</v>
      </c>
      <c r="F291" s="6" t="n">
        <f aca="false">ROUND(Building_Levels!$I$2*(A291+1)^1.9*1.003^A291,2)</f>
        <v>47.59</v>
      </c>
      <c r="G291" s="6" t="n">
        <f aca="false">ROUND((A291+1)^1.12,1)</f>
        <v>566</v>
      </c>
    </row>
    <row r="292" customFormat="false" ht="15" hidden="false" customHeight="true" outlineLevel="0" collapsed="false">
      <c r="A292" s="6" t="n">
        <v>287</v>
      </c>
      <c r="B292" s="6" t="n">
        <f aca="false">MIN(42, FLOOR(A292/32,1)+1)</f>
        <v>9</v>
      </c>
      <c r="C292" s="6" t="n">
        <f aca="false">ROUND($B$2*(A292+1)^2.4*1.004^A292,0)</f>
        <v>226130976</v>
      </c>
      <c r="D292" s="6" t="n">
        <f aca="false">ROUND($D$2*(A292+1)^2.4*1.004^A292,0)</f>
        <v>201005312</v>
      </c>
      <c r="E292" s="6" t="n">
        <f aca="false">ROUND($F$2*(A292+1)^2.4*1.004^A292,0)</f>
        <v>175879648</v>
      </c>
      <c r="F292" s="6" t="n">
        <f aca="false">ROUND(Building_Levels!$I$2*(A292+1)^1.9*1.003^A292,2)</f>
        <v>48.05</v>
      </c>
      <c r="G292" s="6" t="n">
        <f aca="false">ROUND((A292+1)^1.12,1)</f>
        <v>568.2</v>
      </c>
    </row>
    <row r="293" customFormat="false" ht="15" hidden="false" customHeight="true" outlineLevel="0" collapsed="false">
      <c r="A293" s="6" t="n">
        <v>288</v>
      </c>
      <c r="B293" s="6" t="n">
        <f aca="false">MIN(42, FLOOR(A293/32,1)+1)</f>
        <v>10</v>
      </c>
      <c r="C293" s="6" t="n">
        <f aca="false">ROUND($B$2*(A293+1)^2.4*1.004^A293,0)</f>
        <v>228932063</v>
      </c>
      <c r="D293" s="6" t="n">
        <f aca="false">ROUND($D$2*(A293+1)^2.4*1.004^A293,0)</f>
        <v>203495167</v>
      </c>
      <c r="E293" s="6" t="n">
        <f aca="false">ROUND($F$2*(A293+1)^2.4*1.004^A293,0)</f>
        <v>178058271</v>
      </c>
      <c r="F293" s="6" t="n">
        <f aca="false">ROUND(Building_Levels!$I$2*(A293+1)^1.9*1.003^A293,2)</f>
        <v>48.51</v>
      </c>
      <c r="G293" s="6" t="n">
        <f aca="false">ROUND((A293+1)^1.12,1)</f>
        <v>570.4</v>
      </c>
    </row>
    <row r="294" customFormat="false" ht="15" hidden="false" customHeight="true" outlineLevel="0" collapsed="false">
      <c r="A294" s="6" t="n">
        <v>289</v>
      </c>
      <c r="B294" s="6" t="n">
        <f aca="false">MIN(42, FLOOR(A294/32,1)+1)</f>
        <v>10</v>
      </c>
      <c r="C294" s="6" t="n">
        <f aca="false">ROUND($B$2*(A294+1)^2.4*1.004^A294,0)</f>
        <v>231761187</v>
      </c>
      <c r="D294" s="6" t="n">
        <f aca="false">ROUND($D$2*(A294+1)^2.4*1.004^A294,0)</f>
        <v>206009944</v>
      </c>
      <c r="E294" s="6" t="n">
        <f aca="false">ROUND($F$2*(A294+1)^2.4*1.004^A294,0)</f>
        <v>180258701</v>
      </c>
      <c r="F294" s="6" t="n">
        <f aca="false">ROUND(Building_Levels!$I$2*(A294+1)^1.9*1.003^A294,2)</f>
        <v>48.98</v>
      </c>
      <c r="G294" s="6" t="n">
        <f aca="false">ROUND((A294+1)^1.12,1)</f>
        <v>572.6</v>
      </c>
    </row>
    <row r="295" customFormat="false" ht="15" hidden="false" customHeight="true" outlineLevel="0" collapsed="false">
      <c r="A295" s="6" t="n">
        <v>290</v>
      </c>
      <c r="B295" s="6" t="n">
        <f aca="false">MIN(42, FLOOR(A295/32,1)+1)</f>
        <v>10</v>
      </c>
      <c r="C295" s="6" t="n">
        <f aca="false">ROUND($B$2*(A295+1)^2.4*1.004^A295,0)</f>
        <v>234618578</v>
      </c>
      <c r="D295" s="6" t="n">
        <f aca="false">ROUND($D$2*(A295+1)^2.4*1.004^A295,0)</f>
        <v>208549847</v>
      </c>
      <c r="E295" s="6" t="n">
        <f aca="false">ROUND($F$2*(A295+1)^2.4*1.004^A295,0)</f>
        <v>182481116</v>
      </c>
      <c r="F295" s="6" t="n">
        <f aca="false">ROUND(Building_Levels!$I$2*(A295+1)^1.9*1.003^A295,2)</f>
        <v>49.45</v>
      </c>
      <c r="G295" s="6" t="n">
        <f aca="false">ROUND((A295+1)^1.12,1)</f>
        <v>574.9</v>
      </c>
    </row>
    <row r="296" customFormat="false" ht="15" hidden="false" customHeight="true" outlineLevel="0" collapsed="false">
      <c r="A296" s="6" t="n">
        <v>291</v>
      </c>
      <c r="B296" s="6" t="n">
        <f aca="false">MIN(42, FLOOR(A296/32,1)+1)</f>
        <v>10</v>
      </c>
      <c r="C296" s="6" t="n">
        <f aca="false">ROUND($B$2*(A296+1)^2.4*1.004^A296,0)</f>
        <v>237504466</v>
      </c>
      <c r="D296" s="6" t="n">
        <f aca="false">ROUND($D$2*(A296+1)^2.4*1.004^A296,0)</f>
        <v>211115081</v>
      </c>
      <c r="E296" s="6" t="n">
        <f aca="false">ROUND($F$2*(A296+1)^2.4*1.004^A296,0)</f>
        <v>184725696</v>
      </c>
      <c r="F296" s="6" t="n">
        <f aca="false">ROUND(Building_Levels!$I$2*(A296+1)^1.9*1.003^A296,2)</f>
        <v>49.92</v>
      </c>
      <c r="G296" s="6" t="n">
        <f aca="false">ROUND((A296+1)^1.12,1)</f>
        <v>577.1</v>
      </c>
    </row>
    <row r="297" customFormat="false" ht="15" hidden="false" customHeight="true" outlineLevel="0" collapsed="false">
      <c r="A297" s="6" t="n">
        <v>292</v>
      </c>
      <c r="B297" s="6" t="n">
        <f aca="false">MIN(42, FLOOR(A297/32,1)+1)</f>
        <v>10</v>
      </c>
      <c r="C297" s="6" t="n">
        <f aca="false">ROUND($B$2*(A297+1)^2.4*1.004^A297,0)</f>
        <v>240419084</v>
      </c>
      <c r="D297" s="6" t="n">
        <f aca="false">ROUND($D$2*(A297+1)^2.4*1.004^A297,0)</f>
        <v>213705853</v>
      </c>
      <c r="E297" s="6" t="n">
        <f aca="false">ROUND($F$2*(A297+1)^2.4*1.004^A297,0)</f>
        <v>186992621</v>
      </c>
      <c r="F297" s="6" t="n">
        <f aca="false">ROUND(Building_Levels!$I$2*(A297+1)^1.9*1.003^A297,2)</f>
        <v>50.39</v>
      </c>
      <c r="G297" s="6" t="n">
        <f aca="false">ROUND((A297+1)^1.12,1)</f>
        <v>579.3</v>
      </c>
    </row>
    <row r="298" customFormat="false" ht="15" hidden="false" customHeight="true" outlineLevel="0" collapsed="false">
      <c r="A298" s="6" t="n">
        <v>293</v>
      </c>
      <c r="B298" s="6" t="n">
        <f aca="false">MIN(42, FLOOR(A298/32,1)+1)</f>
        <v>10</v>
      </c>
      <c r="C298" s="6" t="n">
        <f aca="false">ROUND($B$2*(A298+1)^2.4*1.004^A298,0)</f>
        <v>243362667</v>
      </c>
      <c r="D298" s="6" t="n">
        <f aca="false">ROUND($D$2*(A298+1)^2.4*1.004^A298,0)</f>
        <v>216322370</v>
      </c>
      <c r="E298" s="6" t="n">
        <f aca="false">ROUND($F$2*(A298+1)^2.4*1.004^A298,0)</f>
        <v>189282074</v>
      </c>
      <c r="F298" s="6" t="n">
        <f aca="false">ROUND(Building_Levels!$I$2*(A298+1)^1.9*1.003^A298,2)</f>
        <v>50.87</v>
      </c>
      <c r="G298" s="6" t="n">
        <f aca="false">ROUND((A298+1)^1.12,1)</f>
        <v>581.5</v>
      </c>
    </row>
    <row r="299" customFormat="false" ht="15" hidden="false" customHeight="true" outlineLevel="0" collapsed="false">
      <c r="A299" s="6" t="n">
        <v>294</v>
      </c>
      <c r="B299" s="6" t="n">
        <f aca="false">MIN(42, FLOOR(A299/32,1)+1)</f>
        <v>10</v>
      </c>
      <c r="C299" s="6" t="n">
        <f aca="false">ROUND($B$2*(A299+1)^2.4*1.004^A299,0)</f>
        <v>246335449</v>
      </c>
      <c r="D299" s="6" t="n">
        <f aca="false">ROUND($D$2*(A299+1)^2.4*1.004^A299,0)</f>
        <v>218964844</v>
      </c>
      <c r="E299" s="6" t="n">
        <f aca="false">ROUND($F$2*(A299+1)^2.4*1.004^A299,0)</f>
        <v>191594238</v>
      </c>
      <c r="F299" s="6" t="n">
        <f aca="false">ROUND(Building_Levels!$I$2*(A299+1)^1.9*1.003^A299,2)</f>
        <v>51.36</v>
      </c>
      <c r="G299" s="6" t="n">
        <f aca="false">ROUND((A299+1)^1.12,1)</f>
        <v>583.7</v>
      </c>
    </row>
    <row r="300" customFormat="false" ht="15" hidden="false" customHeight="true" outlineLevel="0" collapsed="false">
      <c r="A300" s="6" t="n">
        <v>295</v>
      </c>
      <c r="B300" s="6" t="n">
        <f aca="false">MIN(42, FLOOR(A300/32,1)+1)</f>
        <v>10</v>
      </c>
      <c r="C300" s="6" t="n">
        <f aca="false">ROUND($B$2*(A300+1)^2.4*1.004^A300,0)</f>
        <v>249337669</v>
      </c>
      <c r="D300" s="6" t="n">
        <f aca="false">ROUND($D$2*(A300+1)^2.4*1.004^A300,0)</f>
        <v>221633483</v>
      </c>
      <c r="E300" s="6" t="n">
        <f aca="false">ROUND($F$2*(A300+1)^2.4*1.004^A300,0)</f>
        <v>193929298</v>
      </c>
      <c r="F300" s="6" t="n">
        <f aca="false">ROUND(Building_Levels!$I$2*(A300+1)^1.9*1.003^A300,2)</f>
        <v>51.84</v>
      </c>
      <c r="G300" s="6" t="n">
        <f aca="false">ROUND((A300+1)^1.12,1)</f>
        <v>585.9</v>
      </c>
    </row>
    <row r="301" customFormat="false" ht="15" hidden="false" customHeight="true" outlineLevel="0" collapsed="false">
      <c r="A301" s="6" t="n">
        <v>296</v>
      </c>
      <c r="B301" s="6" t="n">
        <f aca="false">MIN(42, FLOOR(A301/32,1)+1)</f>
        <v>10</v>
      </c>
      <c r="C301" s="6" t="n">
        <f aca="false">ROUND($B$2*(A301+1)^2.4*1.004^A301,0)</f>
        <v>252369565</v>
      </c>
      <c r="D301" s="6" t="n">
        <f aca="false">ROUND($D$2*(A301+1)^2.4*1.004^A301,0)</f>
        <v>224328502</v>
      </c>
      <c r="E301" s="6" t="n">
        <f aca="false">ROUND($F$2*(A301+1)^2.4*1.004^A301,0)</f>
        <v>196287440</v>
      </c>
      <c r="F301" s="6" t="n">
        <f aca="false">ROUND(Building_Levels!$I$2*(A301+1)^1.9*1.003^A301,2)</f>
        <v>52.33</v>
      </c>
      <c r="G301" s="6" t="n">
        <f aca="false">ROUND((A301+1)^1.12,1)</f>
        <v>588.1</v>
      </c>
    </row>
    <row r="302" customFormat="false" ht="15" hidden="false" customHeight="true" outlineLevel="0" collapsed="false">
      <c r="A302" s="6" t="n">
        <v>297</v>
      </c>
      <c r="B302" s="6" t="n">
        <f aca="false">MIN(42, FLOOR(A302/32,1)+1)</f>
        <v>10</v>
      </c>
      <c r="C302" s="6" t="n">
        <f aca="false">ROUND($B$2*(A302+1)^2.4*1.004^A302,0)</f>
        <v>255431379</v>
      </c>
      <c r="D302" s="6" t="n">
        <f aca="false">ROUND($D$2*(A302+1)^2.4*1.004^A302,0)</f>
        <v>227050114</v>
      </c>
      <c r="E302" s="6" t="n">
        <f aca="false">ROUND($F$2*(A302+1)^2.4*1.004^A302,0)</f>
        <v>198668850</v>
      </c>
      <c r="F302" s="6" t="n">
        <f aca="false">ROUND(Building_Levels!$I$2*(A302+1)^1.9*1.003^A302,2)</f>
        <v>52.83</v>
      </c>
      <c r="G302" s="6" t="n">
        <f aca="false">ROUND((A302+1)^1.12,1)</f>
        <v>590.4</v>
      </c>
    </row>
    <row r="303" customFormat="false" ht="15" hidden="false" customHeight="true" outlineLevel="0" collapsed="false">
      <c r="A303" s="6" t="n">
        <v>298</v>
      </c>
      <c r="B303" s="6" t="n">
        <f aca="false">MIN(42, FLOOR(A303/32,1)+1)</f>
        <v>10</v>
      </c>
      <c r="C303" s="6" t="n">
        <f aca="false">ROUND($B$2*(A303+1)^2.4*1.004^A303,0)</f>
        <v>258523352</v>
      </c>
      <c r="D303" s="6" t="n">
        <f aca="false">ROUND($D$2*(A303+1)^2.4*1.004^A303,0)</f>
        <v>229798535</v>
      </c>
      <c r="E303" s="6" t="n">
        <f aca="false">ROUND($F$2*(A303+1)^2.4*1.004^A303,0)</f>
        <v>201073718</v>
      </c>
      <c r="F303" s="6" t="n">
        <f aca="false">ROUND(Building_Levels!$I$2*(A303+1)^1.9*1.003^A303,2)</f>
        <v>53.32</v>
      </c>
      <c r="G303" s="6" t="n">
        <f aca="false">ROUND((A303+1)^1.12,1)</f>
        <v>592.6</v>
      </c>
    </row>
    <row r="304" customFormat="false" ht="15" hidden="false" customHeight="true" outlineLevel="0" collapsed="false">
      <c r="A304" s="6" t="n">
        <v>299</v>
      </c>
      <c r="B304" s="6" t="n">
        <f aca="false">MIN(42, FLOOR(A304/32,1)+1)</f>
        <v>10</v>
      </c>
      <c r="C304" s="6" t="n">
        <f aca="false">ROUND($B$2*(A304+1)^2.4*1.004^A304,0)</f>
        <v>261645729</v>
      </c>
      <c r="D304" s="6" t="n">
        <f aca="false">ROUND($D$2*(A304+1)^2.4*1.004^A304,0)</f>
        <v>232573982</v>
      </c>
      <c r="E304" s="6" t="n">
        <f aca="false">ROUND($F$2*(A304+1)^2.4*1.004^A304,0)</f>
        <v>203502234</v>
      </c>
      <c r="F304" s="6" t="n">
        <f aca="false">ROUND(Building_Levels!$I$2*(A304+1)^1.9*1.003^A304,2)</f>
        <v>53.82</v>
      </c>
      <c r="G304" s="6" t="n">
        <f aca="false">ROUND((A304+1)^1.12,1)</f>
        <v>594.8</v>
      </c>
    </row>
    <row r="305" customFormat="false" ht="15" hidden="false" customHeight="true" outlineLevel="0" collapsed="false">
      <c r="A305" s="6" t="n">
        <v>300</v>
      </c>
      <c r="B305" s="6" t="n">
        <f aca="false">MIN(42, FLOOR(A305/32,1)+1)</f>
        <v>10</v>
      </c>
      <c r="C305" s="6" t="n">
        <f aca="false">ROUND($B$2*(A305+1)^2.4*1.004^A305,0)</f>
        <v>264798757</v>
      </c>
      <c r="D305" s="6" t="n">
        <f aca="false">ROUND($D$2*(A305+1)^2.4*1.004^A305,0)</f>
        <v>235376673</v>
      </c>
      <c r="E305" s="6" t="n">
        <f aca="false">ROUND($F$2*(A305+1)^2.4*1.004^A305,0)</f>
        <v>205954589</v>
      </c>
      <c r="F305" s="6" t="n">
        <f aca="false">ROUND(Building_Levels!$I$2*(A305+1)^1.9*1.003^A305,2)</f>
        <v>54.33</v>
      </c>
      <c r="G305" s="6" t="n">
        <f aca="false">ROUND((A305+1)^1.12,1)</f>
        <v>597</v>
      </c>
    </row>
    <row r="306" customFormat="false" ht="15" hidden="false" customHeight="true" outlineLevel="0" collapsed="false">
      <c r="A306" s="6" t="n">
        <v>301</v>
      </c>
      <c r="B306" s="6" t="n">
        <f aca="false">MIN(42, FLOOR(A306/32,1)+1)</f>
        <v>10</v>
      </c>
      <c r="C306" s="6" t="n">
        <f aca="false">ROUND($B$2*(A306+1)^2.4*1.004^A306,0)</f>
        <v>267982681</v>
      </c>
      <c r="D306" s="6" t="n">
        <f aca="false">ROUND($D$2*(A306+1)^2.4*1.004^A306,0)</f>
        <v>238206828</v>
      </c>
      <c r="E306" s="6" t="n">
        <f aca="false">ROUND($F$2*(A306+1)^2.4*1.004^A306,0)</f>
        <v>208430974</v>
      </c>
      <c r="F306" s="6" t="n">
        <f aca="false">ROUND(Building_Levels!$I$2*(A306+1)^1.9*1.003^A306,2)</f>
        <v>54.83</v>
      </c>
      <c r="G306" s="6" t="n">
        <f aca="false">ROUND((A306+1)^1.12,1)</f>
        <v>599.2</v>
      </c>
    </row>
    <row r="307" customFormat="false" ht="15" hidden="false" customHeight="true" outlineLevel="0" collapsed="false">
      <c r="A307" s="6" t="n">
        <v>302</v>
      </c>
      <c r="B307" s="6" t="n">
        <f aca="false">MIN(42, FLOOR(A307/32,1)+1)</f>
        <v>10</v>
      </c>
      <c r="C307" s="6" t="n">
        <f aca="false">ROUND($B$2*(A307+1)^2.4*1.004^A307,0)</f>
        <v>271197753</v>
      </c>
      <c r="D307" s="6" t="n">
        <f aca="false">ROUND($D$2*(A307+1)^2.4*1.004^A307,0)</f>
        <v>241064669</v>
      </c>
      <c r="E307" s="6" t="n">
        <f aca="false">ROUND($F$2*(A307+1)^2.4*1.004^A307,0)</f>
        <v>210931585</v>
      </c>
      <c r="F307" s="6" t="n">
        <f aca="false">ROUND(Building_Levels!$I$2*(A307+1)^1.9*1.003^A307,2)</f>
        <v>55.35</v>
      </c>
      <c r="G307" s="6" t="n">
        <f aca="false">ROUND((A307+1)^1.12,1)</f>
        <v>601.5</v>
      </c>
    </row>
    <row r="308" customFormat="false" ht="15" hidden="false" customHeight="true" outlineLevel="0" collapsed="false">
      <c r="A308" s="6" t="n">
        <v>303</v>
      </c>
      <c r="B308" s="6" t="n">
        <f aca="false">MIN(42, FLOOR(A308/32,1)+1)</f>
        <v>10</v>
      </c>
      <c r="C308" s="6" t="n">
        <f aca="false">ROUND($B$2*(A308+1)^2.4*1.004^A308,0)</f>
        <v>274444222</v>
      </c>
      <c r="D308" s="6" t="n">
        <f aca="false">ROUND($D$2*(A308+1)^2.4*1.004^A308,0)</f>
        <v>243950419</v>
      </c>
      <c r="E308" s="6" t="n">
        <f aca="false">ROUND($F$2*(A308+1)^2.4*1.004^A308,0)</f>
        <v>213456617</v>
      </c>
      <c r="F308" s="6" t="n">
        <f aca="false">ROUND(Building_Levels!$I$2*(A308+1)^1.9*1.003^A308,2)</f>
        <v>55.86</v>
      </c>
      <c r="G308" s="6" t="n">
        <f aca="false">ROUND((A308+1)^1.12,1)</f>
        <v>603.7</v>
      </c>
    </row>
    <row r="309" customFormat="false" ht="15" hidden="false" customHeight="true" outlineLevel="0" collapsed="false">
      <c r="A309" s="6" t="n">
        <v>304</v>
      </c>
      <c r="B309" s="6" t="n">
        <f aca="false">MIN(42, FLOOR(A309/32,1)+1)</f>
        <v>10</v>
      </c>
      <c r="C309" s="6" t="n">
        <f aca="false">ROUND($B$2*(A309+1)^2.4*1.004^A309,0)</f>
        <v>277722341</v>
      </c>
      <c r="D309" s="6" t="n">
        <f aca="false">ROUND($D$2*(A309+1)^2.4*1.004^A309,0)</f>
        <v>246864303</v>
      </c>
      <c r="E309" s="6" t="n">
        <f aca="false">ROUND($F$2*(A309+1)^2.4*1.004^A309,0)</f>
        <v>216006265</v>
      </c>
      <c r="F309" s="6" t="n">
        <f aca="false">ROUND(Building_Levels!$I$2*(A309+1)^1.9*1.003^A309,2)</f>
        <v>56.38</v>
      </c>
      <c r="G309" s="6" t="n">
        <f aca="false">ROUND((A309+1)^1.12,1)</f>
        <v>605.9</v>
      </c>
    </row>
    <row r="310" customFormat="false" ht="15" hidden="false" customHeight="true" outlineLevel="0" collapsed="false">
      <c r="A310" s="6" t="n">
        <v>305</v>
      </c>
      <c r="B310" s="6" t="n">
        <f aca="false">MIN(42, FLOOR(A310/32,1)+1)</f>
        <v>10</v>
      </c>
      <c r="C310" s="6" t="n">
        <f aca="false">ROUND($B$2*(A310+1)^2.4*1.004^A310,0)</f>
        <v>281032366</v>
      </c>
      <c r="D310" s="6" t="n">
        <f aca="false">ROUND($D$2*(A310+1)^2.4*1.004^A310,0)</f>
        <v>249806548</v>
      </c>
      <c r="E310" s="6" t="n">
        <f aca="false">ROUND($F$2*(A310+1)^2.4*1.004^A310,0)</f>
        <v>218580729</v>
      </c>
      <c r="F310" s="6" t="n">
        <f aca="false">ROUND(Building_Levels!$I$2*(A310+1)^1.9*1.003^A310,2)</f>
        <v>56.9</v>
      </c>
      <c r="G310" s="6" t="n">
        <f aca="false">ROUND((A310+1)^1.12,1)</f>
        <v>608.1</v>
      </c>
    </row>
    <row r="311" customFormat="false" ht="15" hidden="false" customHeight="true" outlineLevel="0" collapsed="false">
      <c r="A311" s="6" t="n">
        <v>306</v>
      </c>
      <c r="B311" s="6" t="n">
        <f aca="false">MIN(42, FLOOR(A311/32,1)+1)</f>
        <v>10</v>
      </c>
      <c r="C311" s="6" t="n">
        <f aca="false">ROUND($B$2*(A311+1)^2.4*1.004^A311,0)</f>
        <v>284374552</v>
      </c>
      <c r="D311" s="6" t="n">
        <f aca="false">ROUND($D$2*(A311+1)^2.4*1.004^A311,0)</f>
        <v>252777380</v>
      </c>
      <c r="E311" s="6" t="n">
        <f aca="false">ROUND($F$2*(A311+1)^2.4*1.004^A311,0)</f>
        <v>221180207</v>
      </c>
      <c r="F311" s="6" t="n">
        <f aca="false">ROUND(Building_Levels!$I$2*(A311+1)^1.9*1.003^A311,2)</f>
        <v>57.43</v>
      </c>
      <c r="G311" s="6" t="n">
        <f aca="false">ROUND((A311+1)^1.12,1)</f>
        <v>610.4</v>
      </c>
    </row>
    <row r="312" customFormat="false" ht="15" hidden="false" customHeight="true" outlineLevel="0" collapsed="false">
      <c r="A312" s="6" t="n">
        <v>307</v>
      </c>
      <c r="B312" s="6" t="n">
        <f aca="false">MIN(42, FLOOR(A312/32,1)+1)</f>
        <v>10</v>
      </c>
      <c r="C312" s="6" t="n">
        <f aca="false">ROUND($B$2*(A312+1)^2.4*1.004^A312,0)</f>
        <v>287749158</v>
      </c>
      <c r="D312" s="6" t="n">
        <f aca="false">ROUND($D$2*(A312+1)^2.4*1.004^A312,0)</f>
        <v>255777029</v>
      </c>
      <c r="E312" s="6" t="n">
        <f aca="false">ROUND($F$2*(A312+1)^2.4*1.004^A312,0)</f>
        <v>223804901</v>
      </c>
      <c r="F312" s="6" t="n">
        <f aca="false">ROUND(Building_Levels!$I$2*(A312+1)^1.9*1.003^A312,2)</f>
        <v>57.96</v>
      </c>
      <c r="G312" s="6" t="n">
        <f aca="false">ROUND((A312+1)^1.12,1)</f>
        <v>612.6</v>
      </c>
    </row>
    <row r="313" customFormat="false" ht="15" hidden="false" customHeight="true" outlineLevel="0" collapsed="false">
      <c r="A313" s="6" t="n">
        <v>308</v>
      </c>
      <c r="B313" s="6" t="n">
        <f aca="false">MIN(42, FLOOR(A313/32,1)+1)</f>
        <v>10</v>
      </c>
      <c r="C313" s="6" t="n">
        <f aca="false">ROUND($B$2*(A313+1)^2.4*1.004^A313,0)</f>
        <v>291156443</v>
      </c>
      <c r="D313" s="6" t="n">
        <f aca="false">ROUND($D$2*(A313+1)^2.4*1.004^A313,0)</f>
        <v>258805727</v>
      </c>
      <c r="E313" s="6" t="n">
        <f aca="false">ROUND($F$2*(A313+1)^2.4*1.004^A313,0)</f>
        <v>226455011</v>
      </c>
      <c r="F313" s="6" t="n">
        <f aca="false">ROUND(Building_Levels!$I$2*(A313+1)^1.9*1.003^A313,2)</f>
        <v>58.49</v>
      </c>
      <c r="G313" s="6" t="n">
        <f aca="false">ROUND((A313+1)^1.12,1)</f>
        <v>614.8</v>
      </c>
    </row>
    <row r="314" customFormat="false" ht="15" hidden="false" customHeight="true" outlineLevel="0" collapsed="false">
      <c r="A314" s="6" t="n">
        <v>309</v>
      </c>
      <c r="B314" s="6" t="n">
        <f aca="false">MIN(42, FLOOR(A314/32,1)+1)</f>
        <v>10</v>
      </c>
      <c r="C314" s="6" t="n">
        <f aca="false">ROUND($B$2*(A314+1)^2.4*1.004^A314,0)</f>
        <v>294596669</v>
      </c>
      <c r="D314" s="6" t="n">
        <f aca="false">ROUND($D$2*(A314+1)^2.4*1.004^A314,0)</f>
        <v>261863706</v>
      </c>
      <c r="E314" s="6" t="n">
        <f aca="false">ROUND($F$2*(A314+1)^2.4*1.004^A314,0)</f>
        <v>229130743</v>
      </c>
      <c r="F314" s="6" t="n">
        <f aca="false">ROUND(Building_Levels!$I$2*(A314+1)^1.9*1.003^A314,2)</f>
        <v>59.03</v>
      </c>
      <c r="G314" s="6" t="n">
        <f aca="false">ROUND((A314+1)^1.12,1)</f>
        <v>617.1</v>
      </c>
    </row>
    <row r="315" customFormat="false" ht="15" hidden="false" customHeight="true" outlineLevel="0" collapsed="false">
      <c r="A315" s="6" t="n">
        <v>310</v>
      </c>
      <c r="B315" s="6" t="n">
        <f aca="false">MIN(42, FLOOR(A315/32,1)+1)</f>
        <v>10</v>
      </c>
      <c r="C315" s="6" t="n">
        <f aca="false">ROUND($B$2*(A315+1)^2.4*1.004^A315,0)</f>
        <v>298070100</v>
      </c>
      <c r="D315" s="6" t="n">
        <f aca="false">ROUND($D$2*(A315+1)^2.4*1.004^A315,0)</f>
        <v>264951200</v>
      </c>
      <c r="E315" s="6" t="n">
        <f aca="false">ROUND($F$2*(A315+1)^2.4*1.004^A315,0)</f>
        <v>231832300</v>
      </c>
      <c r="F315" s="6" t="n">
        <f aca="false">ROUND(Building_Levels!$I$2*(A315+1)^1.9*1.003^A315,2)</f>
        <v>59.57</v>
      </c>
      <c r="G315" s="6" t="n">
        <f aca="false">ROUND((A315+1)^1.12,1)</f>
        <v>619.3</v>
      </c>
    </row>
    <row r="316" customFormat="false" ht="15" hidden="false" customHeight="true" outlineLevel="0" collapsed="false">
      <c r="A316" s="6" t="n">
        <v>311</v>
      </c>
      <c r="B316" s="6" t="n">
        <f aca="false">MIN(42, FLOOR(A316/32,1)+1)</f>
        <v>10</v>
      </c>
      <c r="C316" s="6" t="n">
        <f aca="false">ROUND($B$2*(A316+1)^2.4*1.004^A316,0)</f>
        <v>301577001</v>
      </c>
      <c r="D316" s="6" t="n">
        <f aca="false">ROUND($D$2*(A316+1)^2.4*1.004^A316,0)</f>
        <v>268068446</v>
      </c>
      <c r="E316" s="6" t="n">
        <f aca="false">ROUND($F$2*(A316+1)^2.4*1.004^A316,0)</f>
        <v>234559890</v>
      </c>
      <c r="F316" s="6" t="n">
        <f aca="false">ROUND(Building_Levels!$I$2*(A316+1)^1.9*1.003^A316,2)</f>
        <v>60.11</v>
      </c>
      <c r="G316" s="6" t="n">
        <f aca="false">ROUND((A316+1)^1.12,1)</f>
        <v>621.5</v>
      </c>
    </row>
    <row r="317" customFormat="false" ht="15" hidden="false" customHeight="true" outlineLevel="0" collapsed="false">
      <c r="A317" s="6" t="n">
        <v>312</v>
      </c>
      <c r="B317" s="6" t="n">
        <f aca="false">MIN(42, FLOOR(A317/32,1)+1)</f>
        <v>10</v>
      </c>
      <c r="C317" s="6" t="n">
        <f aca="false">ROUND($B$2*(A317+1)^2.4*1.004^A317,0)</f>
        <v>305117640</v>
      </c>
      <c r="D317" s="6" t="n">
        <f aca="false">ROUND($D$2*(A317+1)^2.4*1.004^A317,0)</f>
        <v>271215680</v>
      </c>
      <c r="E317" s="6" t="n">
        <f aca="false">ROUND($F$2*(A317+1)^2.4*1.004^A317,0)</f>
        <v>237313720</v>
      </c>
      <c r="F317" s="6" t="n">
        <f aca="false">ROUND(Building_Levels!$I$2*(A317+1)^1.9*1.003^A317,2)</f>
        <v>60.66</v>
      </c>
      <c r="G317" s="6" t="n">
        <f aca="false">ROUND((A317+1)^1.12,1)</f>
        <v>623.7</v>
      </c>
    </row>
    <row r="318" customFormat="false" ht="15" hidden="false" customHeight="true" outlineLevel="0" collapsed="false">
      <c r="A318" s="6" t="n">
        <v>313</v>
      </c>
      <c r="B318" s="6" t="n">
        <f aca="false">MIN(42, FLOOR(A318/32,1)+1)</f>
        <v>10</v>
      </c>
      <c r="C318" s="6" t="n">
        <f aca="false">ROUND($B$2*(A318+1)^2.4*1.004^A318,0)</f>
        <v>308692284</v>
      </c>
      <c r="D318" s="6" t="n">
        <f aca="false">ROUND($D$2*(A318+1)^2.4*1.004^A318,0)</f>
        <v>274393141</v>
      </c>
      <c r="E318" s="6" t="n">
        <f aca="false">ROUND($F$2*(A318+1)^2.4*1.004^A318,0)</f>
        <v>240093999</v>
      </c>
      <c r="F318" s="6" t="n">
        <f aca="false">ROUND(Building_Levels!$I$2*(A318+1)^1.9*1.003^A318,2)</f>
        <v>61.21</v>
      </c>
      <c r="G318" s="6" t="n">
        <f aca="false">ROUND((A318+1)^1.12,1)</f>
        <v>626</v>
      </c>
    </row>
    <row r="319" customFormat="false" ht="15" hidden="false" customHeight="true" outlineLevel="0" collapsed="false">
      <c r="A319" s="6" t="n">
        <v>314</v>
      </c>
      <c r="B319" s="6" t="n">
        <f aca="false">MIN(42, FLOOR(A319/32,1)+1)</f>
        <v>10</v>
      </c>
      <c r="C319" s="6" t="n">
        <f aca="false">ROUND($B$2*(A319+1)^2.4*1.004^A319,0)</f>
        <v>312301205</v>
      </c>
      <c r="D319" s="6" t="n">
        <f aca="false">ROUND($D$2*(A319+1)^2.4*1.004^A319,0)</f>
        <v>277601072</v>
      </c>
      <c r="E319" s="6" t="n">
        <f aca="false">ROUND($F$2*(A319+1)^2.4*1.004^A319,0)</f>
        <v>242900938</v>
      </c>
      <c r="F319" s="6" t="n">
        <f aca="false">ROUND(Building_Levels!$I$2*(A319+1)^1.9*1.003^A319,2)</f>
        <v>61.77</v>
      </c>
      <c r="G319" s="6" t="n">
        <f aca="false">ROUND((A319+1)^1.12,1)</f>
        <v>628.2</v>
      </c>
    </row>
    <row r="320" customFormat="false" ht="15" hidden="false" customHeight="true" outlineLevel="0" collapsed="false">
      <c r="A320" s="6" t="n">
        <v>315</v>
      </c>
      <c r="B320" s="6" t="n">
        <f aca="false">MIN(42, FLOOR(A320/32,1)+1)</f>
        <v>10</v>
      </c>
      <c r="C320" s="6" t="n">
        <f aca="false">ROUND($B$2*(A320+1)^2.4*1.004^A320,0)</f>
        <v>315944677</v>
      </c>
      <c r="D320" s="6" t="n">
        <f aca="false">ROUND($D$2*(A320+1)^2.4*1.004^A320,0)</f>
        <v>280839713</v>
      </c>
      <c r="E320" s="6" t="n">
        <f aca="false">ROUND($F$2*(A320+1)^2.4*1.004^A320,0)</f>
        <v>245734749</v>
      </c>
      <c r="F320" s="6" t="n">
        <f aca="false">ROUND(Building_Levels!$I$2*(A320+1)^1.9*1.003^A320,2)</f>
        <v>62.32</v>
      </c>
      <c r="G320" s="6" t="n">
        <f aca="false">ROUND((A320+1)^1.12,1)</f>
        <v>630.4</v>
      </c>
    </row>
    <row r="321" customFormat="false" ht="15" hidden="false" customHeight="true" outlineLevel="0" collapsed="false">
      <c r="A321" s="6" t="n">
        <v>316</v>
      </c>
      <c r="B321" s="6" t="n">
        <f aca="false">MIN(42, FLOOR(A321/32,1)+1)</f>
        <v>10</v>
      </c>
      <c r="C321" s="6" t="n">
        <f aca="false">ROUND($B$2*(A321+1)^2.4*1.004^A321,0)</f>
        <v>319622973</v>
      </c>
      <c r="D321" s="6" t="n">
        <f aca="false">ROUND($D$2*(A321+1)^2.4*1.004^A321,0)</f>
        <v>284109309</v>
      </c>
      <c r="E321" s="6" t="n">
        <f aca="false">ROUND($F$2*(A321+1)^2.4*1.004^A321,0)</f>
        <v>248595645</v>
      </c>
      <c r="F321" s="6" t="n">
        <f aca="false">ROUND(Building_Levels!$I$2*(A321+1)^1.9*1.003^A321,2)</f>
        <v>62.89</v>
      </c>
      <c r="G321" s="6" t="n">
        <f aca="false">ROUND((A321+1)^1.12,1)</f>
        <v>632.7</v>
      </c>
    </row>
    <row r="322" customFormat="false" ht="15" hidden="false" customHeight="true" outlineLevel="0" collapsed="false">
      <c r="A322" s="6" t="n">
        <v>317</v>
      </c>
      <c r="B322" s="6" t="n">
        <f aca="false">MIN(42, FLOOR(A322/32,1)+1)</f>
        <v>10</v>
      </c>
      <c r="C322" s="6" t="n">
        <f aca="false">ROUND($B$2*(A322+1)^2.4*1.004^A322,0)</f>
        <v>323336370</v>
      </c>
      <c r="D322" s="6" t="n">
        <f aca="false">ROUND($D$2*(A322+1)^2.4*1.004^A322,0)</f>
        <v>287410106</v>
      </c>
      <c r="E322" s="6" t="n">
        <f aca="false">ROUND($F$2*(A322+1)^2.4*1.004^A322,0)</f>
        <v>251483843</v>
      </c>
      <c r="F322" s="6" t="n">
        <f aca="false">ROUND(Building_Levels!$I$2*(A322+1)^1.9*1.003^A322,2)</f>
        <v>63.46</v>
      </c>
      <c r="G322" s="6" t="n">
        <f aca="false">ROUND((A322+1)^1.12,1)</f>
        <v>634.9</v>
      </c>
    </row>
    <row r="323" customFormat="false" ht="15" hidden="false" customHeight="true" outlineLevel="0" collapsed="false">
      <c r="A323" s="6" t="n">
        <v>318</v>
      </c>
      <c r="B323" s="6" t="n">
        <f aca="false">MIN(42, FLOOR(A323/32,1)+1)</f>
        <v>10</v>
      </c>
      <c r="C323" s="6" t="n">
        <f aca="false">ROUND($B$2*(A323+1)^2.4*1.004^A323,0)</f>
        <v>327085146</v>
      </c>
      <c r="D323" s="6" t="n">
        <f aca="false">ROUND($D$2*(A323+1)^2.4*1.004^A323,0)</f>
        <v>290742352</v>
      </c>
      <c r="E323" s="6" t="n">
        <f aca="false">ROUND($F$2*(A323+1)^2.4*1.004^A323,0)</f>
        <v>254399558</v>
      </c>
      <c r="F323" s="6" t="n">
        <f aca="false">ROUND(Building_Levels!$I$2*(A323+1)^1.9*1.003^A323,2)</f>
        <v>64.03</v>
      </c>
      <c r="G323" s="6" t="n">
        <f aca="false">ROUND((A323+1)^1.12,1)</f>
        <v>637.2</v>
      </c>
    </row>
    <row r="324" customFormat="false" ht="15" hidden="false" customHeight="true" outlineLevel="0" collapsed="false">
      <c r="A324" s="6" t="n">
        <v>319</v>
      </c>
      <c r="B324" s="6" t="n">
        <f aca="false">MIN(42, FLOOR(A324/32,1)+1)</f>
        <v>10</v>
      </c>
      <c r="C324" s="6" t="n">
        <f aca="false">ROUND($B$2*(A324+1)^2.4*1.004^A324,0)</f>
        <v>330869583</v>
      </c>
      <c r="D324" s="6" t="n">
        <f aca="false">ROUND($D$2*(A324+1)^2.4*1.004^A324,0)</f>
        <v>294106296</v>
      </c>
      <c r="E324" s="6" t="n">
        <f aca="false">ROUND($F$2*(A324+1)^2.4*1.004^A324,0)</f>
        <v>257343009</v>
      </c>
      <c r="F324" s="6" t="n">
        <f aca="false">ROUND(Building_Levels!$I$2*(A324+1)^1.9*1.003^A324,2)</f>
        <v>64.6</v>
      </c>
      <c r="G324" s="6" t="n">
        <f aca="false">ROUND((A324+1)^1.12,1)</f>
        <v>639.4</v>
      </c>
    </row>
    <row r="325" customFormat="false" ht="15" hidden="false" customHeight="true" outlineLevel="0" collapsed="false">
      <c r="A325" s="6" t="n">
        <v>320</v>
      </c>
      <c r="B325" s="6" t="n">
        <f aca="false">MIN(42, FLOOR(A325/32,1)+1)</f>
        <v>11</v>
      </c>
      <c r="C325" s="6" t="n">
        <f aca="false">ROUND($B$2*(A325+1)^2.4*1.004^A325,0)</f>
        <v>334689961</v>
      </c>
      <c r="D325" s="6" t="n">
        <f aca="false">ROUND($D$2*(A325+1)^2.4*1.004^A325,0)</f>
        <v>297502188</v>
      </c>
      <c r="E325" s="6" t="n">
        <f aca="false">ROUND($F$2*(A325+1)^2.4*1.004^A325,0)</f>
        <v>260314414</v>
      </c>
      <c r="F325" s="6" t="n">
        <f aca="false">ROUND(Building_Levels!$I$2*(A325+1)^1.9*1.003^A325,2)</f>
        <v>65.18</v>
      </c>
      <c r="G325" s="6" t="n">
        <f aca="false">ROUND((A325+1)^1.12,1)</f>
        <v>641.6</v>
      </c>
    </row>
    <row r="326" customFormat="false" ht="15" hidden="false" customHeight="true" outlineLevel="0" collapsed="false">
      <c r="A326" s="6" t="n">
        <v>321</v>
      </c>
      <c r="B326" s="6" t="n">
        <f aca="false">MIN(42, FLOOR(A326/32,1)+1)</f>
        <v>11</v>
      </c>
      <c r="C326" s="6" t="n">
        <f aca="false">ROUND($B$2*(A326+1)^2.4*1.004^A326,0)</f>
        <v>338546566</v>
      </c>
      <c r="D326" s="6" t="n">
        <f aca="false">ROUND($D$2*(A326+1)^2.4*1.004^A326,0)</f>
        <v>300930281</v>
      </c>
      <c r="E326" s="6" t="n">
        <f aca="false">ROUND($F$2*(A326+1)^2.4*1.004^A326,0)</f>
        <v>263313996</v>
      </c>
      <c r="F326" s="6" t="n">
        <f aca="false">ROUND(Building_Levels!$I$2*(A326+1)^1.9*1.003^A326,2)</f>
        <v>65.76</v>
      </c>
      <c r="G326" s="6" t="n">
        <f aca="false">ROUND((A326+1)^1.12,1)</f>
        <v>643.9</v>
      </c>
    </row>
    <row r="327" customFormat="false" ht="15" hidden="false" customHeight="true" outlineLevel="0" collapsed="false">
      <c r="A327" s="6" t="n">
        <v>322</v>
      </c>
      <c r="B327" s="6" t="n">
        <f aca="false">MIN(42, FLOOR(A327/32,1)+1)</f>
        <v>11</v>
      </c>
      <c r="C327" s="6" t="n">
        <f aca="false">ROUND($B$2*(A327+1)^2.4*1.004^A327,0)</f>
        <v>342439684</v>
      </c>
      <c r="D327" s="6" t="n">
        <f aca="false">ROUND($D$2*(A327+1)^2.4*1.004^A327,0)</f>
        <v>304390830</v>
      </c>
      <c r="E327" s="6" t="n">
        <f aca="false">ROUND($F$2*(A327+1)^2.4*1.004^A327,0)</f>
        <v>266341976</v>
      </c>
      <c r="F327" s="6" t="n">
        <f aca="false">ROUND(Building_Levels!$I$2*(A327+1)^1.9*1.003^A327,2)</f>
        <v>66.35</v>
      </c>
      <c r="G327" s="6" t="n">
        <f aca="false">ROUND((A327+1)^1.12,1)</f>
        <v>646.1</v>
      </c>
    </row>
    <row r="328" customFormat="false" ht="15" hidden="false" customHeight="true" outlineLevel="0" collapsed="false">
      <c r="A328" s="6" t="n">
        <v>323</v>
      </c>
      <c r="B328" s="6" t="n">
        <f aca="false">MIN(42, FLOOR(A328/32,1)+1)</f>
        <v>11</v>
      </c>
      <c r="C328" s="6" t="n">
        <f aca="false">ROUND($B$2*(A328+1)^2.4*1.004^A328,0)</f>
        <v>346369603</v>
      </c>
      <c r="D328" s="6" t="n">
        <f aca="false">ROUND($D$2*(A328+1)^2.4*1.004^A328,0)</f>
        <v>307884091</v>
      </c>
      <c r="E328" s="6" t="n">
        <f aca="false">ROUND($F$2*(A328+1)^2.4*1.004^A328,0)</f>
        <v>269398580</v>
      </c>
      <c r="F328" s="6" t="n">
        <f aca="false">ROUND(Building_Levels!$I$2*(A328+1)^1.9*1.003^A328,2)</f>
        <v>66.94</v>
      </c>
      <c r="G328" s="6" t="n">
        <f aca="false">ROUND((A328+1)^1.12,1)</f>
        <v>648.4</v>
      </c>
    </row>
    <row r="329" customFormat="false" ht="15" hidden="false" customHeight="true" outlineLevel="0" collapsed="false">
      <c r="A329" s="6" t="n">
        <v>324</v>
      </c>
      <c r="B329" s="6" t="n">
        <f aca="false">MIN(42, FLOOR(A329/32,1)+1)</f>
        <v>11</v>
      </c>
      <c r="C329" s="6" t="n">
        <f aca="false">ROUND($B$2*(A329+1)^2.4*1.004^A329,0)</f>
        <v>350336612</v>
      </c>
      <c r="D329" s="6" t="n">
        <f aca="false">ROUND($D$2*(A329+1)^2.4*1.004^A329,0)</f>
        <v>311410322</v>
      </c>
      <c r="E329" s="6" t="n">
        <f aca="false">ROUND($F$2*(A329+1)^2.4*1.004^A329,0)</f>
        <v>272484032</v>
      </c>
      <c r="F329" s="6" t="n">
        <f aca="false">ROUND(Building_Levels!$I$2*(A329+1)^1.9*1.003^A329,2)</f>
        <v>67.54</v>
      </c>
      <c r="G329" s="6" t="n">
        <f aca="false">ROUND((A329+1)^1.12,1)</f>
        <v>650.6</v>
      </c>
    </row>
    <row r="330" customFormat="false" ht="15" hidden="false" customHeight="true" outlineLevel="0" collapsed="false">
      <c r="A330" s="6" t="n">
        <v>325</v>
      </c>
      <c r="B330" s="6" t="n">
        <f aca="false">MIN(42, FLOOR(A330/32,1)+1)</f>
        <v>11</v>
      </c>
      <c r="C330" s="6" t="n">
        <f aca="false">ROUND($B$2*(A330+1)^2.4*1.004^A330,0)</f>
        <v>354341005</v>
      </c>
      <c r="D330" s="6" t="n">
        <f aca="false">ROUND($D$2*(A330+1)^2.4*1.004^A330,0)</f>
        <v>314969782</v>
      </c>
      <c r="E330" s="6" t="n">
        <f aca="false">ROUND($F$2*(A330+1)^2.4*1.004^A330,0)</f>
        <v>275598559</v>
      </c>
      <c r="F330" s="6" t="n">
        <f aca="false">ROUND(Building_Levels!$I$2*(A330+1)^1.9*1.003^A330,2)</f>
        <v>68.14</v>
      </c>
      <c r="G330" s="6" t="n">
        <f aca="false">ROUND((A330+1)^1.12,1)</f>
        <v>652.8</v>
      </c>
    </row>
    <row r="331" customFormat="false" ht="15" hidden="false" customHeight="true" outlineLevel="0" collapsed="false">
      <c r="A331" s="6" t="n">
        <v>326</v>
      </c>
      <c r="B331" s="6" t="n">
        <f aca="false">MIN(42, FLOOR(A331/32,1)+1)</f>
        <v>11</v>
      </c>
      <c r="C331" s="6" t="n">
        <f aca="false">ROUND($B$2*(A331+1)^2.4*1.004^A331,0)</f>
        <v>358383075</v>
      </c>
      <c r="D331" s="6" t="n">
        <f aca="false">ROUND($D$2*(A331+1)^2.4*1.004^A331,0)</f>
        <v>318562733</v>
      </c>
      <c r="E331" s="6" t="n">
        <f aca="false">ROUND($F$2*(A331+1)^2.4*1.004^A331,0)</f>
        <v>278742392</v>
      </c>
      <c r="F331" s="6" t="n">
        <f aca="false">ROUND(Building_Levels!$I$2*(A331+1)^1.9*1.003^A331,2)</f>
        <v>68.74</v>
      </c>
      <c r="G331" s="6" t="n">
        <f aca="false">ROUND((A331+1)^1.12,1)</f>
        <v>655.1</v>
      </c>
    </row>
    <row r="332" customFormat="false" ht="15" hidden="false" customHeight="true" outlineLevel="0" collapsed="false">
      <c r="A332" s="6" t="n">
        <v>327</v>
      </c>
      <c r="B332" s="6" t="n">
        <f aca="false">MIN(42, FLOOR(A332/32,1)+1)</f>
        <v>11</v>
      </c>
      <c r="C332" s="6" t="n">
        <f aca="false">ROUND($B$2*(A332+1)^2.4*1.004^A332,0)</f>
        <v>362463119</v>
      </c>
      <c r="D332" s="6" t="n">
        <f aca="false">ROUND($D$2*(A332+1)^2.4*1.004^A332,0)</f>
        <v>322189439</v>
      </c>
      <c r="E332" s="6" t="n">
        <f aca="false">ROUND($F$2*(A332+1)^2.4*1.004^A332,0)</f>
        <v>281915759</v>
      </c>
      <c r="F332" s="6" t="n">
        <f aca="false">ROUND(Building_Levels!$I$2*(A332+1)^1.9*1.003^A332,2)</f>
        <v>69.35</v>
      </c>
      <c r="G332" s="6" t="n">
        <f aca="false">ROUND((A332+1)^1.12,1)</f>
        <v>657.3</v>
      </c>
    </row>
    <row r="333" customFormat="false" ht="15" hidden="false" customHeight="true" outlineLevel="0" collapsed="false">
      <c r="A333" s="6" t="n">
        <v>328</v>
      </c>
      <c r="B333" s="6" t="n">
        <f aca="false">MIN(42, FLOOR(A333/32,1)+1)</f>
        <v>11</v>
      </c>
      <c r="C333" s="6" t="n">
        <f aca="false">ROUND($B$2*(A333+1)^2.4*1.004^A333,0)</f>
        <v>366581434</v>
      </c>
      <c r="D333" s="6" t="n">
        <f aca="false">ROUND($D$2*(A333+1)^2.4*1.004^A333,0)</f>
        <v>325850164</v>
      </c>
      <c r="E333" s="6" t="n">
        <f aca="false">ROUND($F$2*(A333+1)^2.4*1.004^A333,0)</f>
        <v>285118893</v>
      </c>
      <c r="F333" s="6" t="n">
        <f aca="false">ROUND(Building_Levels!$I$2*(A333+1)^1.9*1.003^A333,2)</f>
        <v>69.96</v>
      </c>
      <c r="G333" s="6" t="n">
        <f aca="false">ROUND((A333+1)^1.12,1)</f>
        <v>659.6</v>
      </c>
    </row>
    <row r="334" customFormat="false" ht="15" hidden="false" customHeight="true" outlineLevel="0" collapsed="false">
      <c r="A334" s="6" t="n">
        <v>329</v>
      </c>
      <c r="B334" s="6" t="n">
        <f aca="false">MIN(42, FLOOR(A334/32,1)+1)</f>
        <v>11</v>
      </c>
      <c r="C334" s="6" t="n">
        <f aca="false">ROUND($B$2*(A334+1)^2.4*1.004^A334,0)</f>
        <v>370738321</v>
      </c>
      <c r="D334" s="6" t="n">
        <f aca="false">ROUND($D$2*(A334+1)^2.4*1.004^A334,0)</f>
        <v>329545175</v>
      </c>
      <c r="E334" s="6" t="n">
        <f aca="false">ROUND($F$2*(A334+1)^2.4*1.004^A334,0)</f>
        <v>288352028</v>
      </c>
      <c r="F334" s="6" t="n">
        <f aca="false">ROUND(Building_Levels!$I$2*(A334+1)^1.9*1.003^A334,2)</f>
        <v>70.57</v>
      </c>
      <c r="G334" s="6" t="n">
        <f aca="false">ROUND((A334+1)^1.12,1)</f>
        <v>661.8</v>
      </c>
    </row>
    <row r="335" customFormat="false" ht="15" hidden="false" customHeight="true" outlineLevel="0" collapsed="false">
      <c r="A335" s="6" t="n">
        <v>330</v>
      </c>
      <c r="B335" s="6" t="n">
        <f aca="false">MIN(42, FLOOR(A335/32,1)+1)</f>
        <v>11</v>
      </c>
      <c r="C335" s="6" t="n">
        <f aca="false">ROUND($B$2*(A335+1)^2.4*1.004^A335,0)</f>
        <v>374934083</v>
      </c>
      <c r="D335" s="6" t="n">
        <f aca="false">ROUND($D$2*(A335+1)^2.4*1.004^A335,0)</f>
        <v>333274741</v>
      </c>
      <c r="E335" s="6" t="n">
        <f aca="false">ROUND($F$2*(A335+1)^2.4*1.004^A335,0)</f>
        <v>291615398</v>
      </c>
      <c r="F335" s="6" t="n">
        <f aca="false">ROUND(Building_Levels!$I$2*(A335+1)^1.9*1.003^A335,2)</f>
        <v>71.19</v>
      </c>
      <c r="G335" s="6" t="n">
        <f aca="false">ROUND((A335+1)^1.12,1)</f>
        <v>664.1</v>
      </c>
    </row>
    <row r="336" customFormat="false" ht="15" hidden="false" customHeight="true" outlineLevel="0" collapsed="false">
      <c r="A336" s="6" t="n">
        <v>331</v>
      </c>
      <c r="B336" s="6" t="n">
        <f aca="false">MIN(42, FLOOR(A336/32,1)+1)</f>
        <v>11</v>
      </c>
      <c r="C336" s="6" t="n">
        <f aca="false">ROUND($B$2*(A336+1)^2.4*1.004^A336,0)</f>
        <v>379169024</v>
      </c>
      <c r="D336" s="6" t="n">
        <f aca="false">ROUND($D$2*(A336+1)^2.4*1.004^A336,0)</f>
        <v>337039132</v>
      </c>
      <c r="E336" s="6" t="n">
        <f aca="false">ROUND($F$2*(A336+1)^2.4*1.004^A336,0)</f>
        <v>294909241</v>
      </c>
      <c r="F336" s="6" t="n">
        <f aca="false">ROUND(Building_Levels!$I$2*(A336+1)^1.9*1.003^A336,2)</f>
        <v>71.82</v>
      </c>
      <c r="G336" s="6" t="n">
        <f aca="false">ROUND((A336+1)^1.12,1)</f>
        <v>666.3</v>
      </c>
    </row>
    <row r="337" customFormat="false" ht="15" hidden="false" customHeight="true" outlineLevel="0" collapsed="false">
      <c r="A337" s="6" t="n">
        <v>332</v>
      </c>
      <c r="B337" s="6" t="n">
        <f aca="false">MIN(42, FLOOR(A337/32,1)+1)</f>
        <v>11</v>
      </c>
      <c r="C337" s="6" t="n">
        <f aca="false">ROUND($B$2*(A337+1)^2.4*1.004^A337,0)</f>
        <v>383443449</v>
      </c>
      <c r="D337" s="6" t="n">
        <f aca="false">ROUND($D$2*(A337+1)^2.4*1.004^A337,0)</f>
        <v>340838621</v>
      </c>
      <c r="E337" s="6" t="n">
        <f aca="false">ROUND($F$2*(A337+1)^2.4*1.004^A337,0)</f>
        <v>298233794</v>
      </c>
      <c r="F337" s="6" t="n">
        <f aca="false">ROUND(Building_Levels!$I$2*(A337+1)^1.9*1.003^A337,2)</f>
        <v>72.45</v>
      </c>
      <c r="G337" s="6" t="n">
        <f aca="false">ROUND((A337+1)^1.12,1)</f>
        <v>668.6</v>
      </c>
    </row>
    <row r="338" customFormat="false" ht="15" hidden="false" customHeight="true" outlineLevel="0" collapsed="false">
      <c r="A338" s="6" t="n">
        <v>333</v>
      </c>
      <c r="B338" s="6" t="n">
        <f aca="false">MIN(42, FLOOR(A338/32,1)+1)</f>
        <v>11</v>
      </c>
      <c r="C338" s="6" t="n">
        <f aca="false">ROUND($B$2*(A338+1)^2.4*1.004^A338,0)</f>
        <v>387757668</v>
      </c>
      <c r="D338" s="6" t="n">
        <f aca="false">ROUND($D$2*(A338+1)^2.4*1.004^A338,0)</f>
        <v>344673483</v>
      </c>
      <c r="E338" s="6" t="n">
        <f aca="false">ROUND($F$2*(A338+1)^2.4*1.004^A338,0)</f>
        <v>301589298</v>
      </c>
      <c r="F338" s="6" t="n">
        <f aca="false">ROUND(Building_Levels!$I$2*(A338+1)^1.9*1.003^A338,2)</f>
        <v>73.08</v>
      </c>
      <c r="G338" s="6" t="n">
        <f aca="false">ROUND((A338+1)^1.12,1)</f>
        <v>670.8</v>
      </c>
    </row>
    <row r="339" customFormat="false" ht="15" hidden="false" customHeight="true" outlineLevel="0" collapsed="false">
      <c r="A339" s="6" t="n">
        <v>334</v>
      </c>
      <c r="B339" s="6" t="n">
        <f aca="false">MIN(42, FLOOR(A339/32,1)+1)</f>
        <v>11</v>
      </c>
      <c r="C339" s="6" t="n">
        <f aca="false">ROUND($B$2*(A339+1)^2.4*1.004^A339,0)</f>
        <v>392111992</v>
      </c>
      <c r="D339" s="6" t="n">
        <f aca="false">ROUND($D$2*(A339+1)^2.4*1.004^A339,0)</f>
        <v>348543993</v>
      </c>
      <c r="E339" s="6" t="n">
        <f aca="false">ROUND($F$2*(A339+1)^2.4*1.004^A339,0)</f>
        <v>304975994</v>
      </c>
      <c r="F339" s="6" t="n">
        <f aca="false">ROUND(Building_Levels!$I$2*(A339+1)^1.9*1.003^A339,2)</f>
        <v>73.72</v>
      </c>
      <c r="G339" s="6" t="n">
        <f aca="false">ROUND((A339+1)^1.12,1)</f>
        <v>673.1</v>
      </c>
    </row>
    <row r="340" customFormat="false" ht="15" hidden="false" customHeight="true" outlineLevel="0" collapsed="false">
      <c r="A340" s="6" t="n">
        <v>335</v>
      </c>
      <c r="B340" s="6" t="n">
        <f aca="false">MIN(42, FLOOR(A340/32,1)+1)</f>
        <v>11</v>
      </c>
      <c r="C340" s="6" t="n">
        <f aca="false">ROUND($B$2*(A340+1)^2.4*1.004^A340,0)</f>
        <v>396506733</v>
      </c>
      <c r="D340" s="6" t="n">
        <f aca="false">ROUND($D$2*(A340+1)^2.4*1.004^A340,0)</f>
        <v>352450429</v>
      </c>
      <c r="E340" s="6" t="n">
        <f aca="false">ROUND($F$2*(A340+1)^2.4*1.004^A340,0)</f>
        <v>308394126</v>
      </c>
      <c r="F340" s="6" t="n">
        <f aca="false">ROUND(Building_Levels!$I$2*(A340+1)^1.9*1.003^A340,2)</f>
        <v>74.36</v>
      </c>
      <c r="G340" s="6" t="n">
        <f aca="false">ROUND((A340+1)^1.12,1)</f>
        <v>675.3</v>
      </c>
    </row>
    <row r="341" customFormat="false" ht="15" hidden="false" customHeight="true" outlineLevel="0" collapsed="false">
      <c r="A341" s="6" t="n">
        <v>336</v>
      </c>
      <c r="B341" s="6" t="n">
        <f aca="false">MIN(42, FLOOR(A341/32,1)+1)</f>
        <v>11</v>
      </c>
      <c r="C341" s="6" t="n">
        <f aca="false">ROUND($B$2*(A341+1)^2.4*1.004^A341,0)</f>
        <v>400942206</v>
      </c>
      <c r="D341" s="6" t="n">
        <f aca="false">ROUND($D$2*(A341+1)^2.4*1.004^A341,0)</f>
        <v>356393072</v>
      </c>
      <c r="E341" s="6" t="n">
        <f aca="false">ROUND($F$2*(A341+1)^2.4*1.004^A341,0)</f>
        <v>311843938</v>
      </c>
      <c r="F341" s="6" t="n">
        <f aca="false">ROUND(Building_Levels!$I$2*(A341+1)^1.9*1.003^A341,2)</f>
        <v>75</v>
      </c>
      <c r="G341" s="6" t="n">
        <f aca="false">ROUND((A341+1)^1.12,1)</f>
        <v>677.6</v>
      </c>
    </row>
    <row r="342" customFormat="false" ht="15" hidden="false" customHeight="true" outlineLevel="0" collapsed="false">
      <c r="A342" s="6" t="n">
        <v>337</v>
      </c>
      <c r="B342" s="6" t="n">
        <f aca="false">MIN(42, FLOOR(A342/32,1)+1)</f>
        <v>11</v>
      </c>
      <c r="C342" s="6" t="n">
        <f aca="false">ROUND($B$2*(A342+1)^2.4*1.004^A342,0)</f>
        <v>405418728</v>
      </c>
      <c r="D342" s="6" t="n">
        <f aca="false">ROUND($D$2*(A342+1)^2.4*1.004^A342,0)</f>
        <v>360372203</v>
      </c>
      <c r="E342" s="6" t="n">
        <f aca="false">ROUND($F$2*(A342+1)^2.4*1.004^A342,0)</f>
        <v>315325677</v>
      </c>
      <c r="F342" s="6" t="n">
        <f aca="false">ROUND(Building_Levels!$I$2*(A342+1)^1.9*1.003^A342,2)</f>
        <v>75.65</v>
      </c>
      <c r="G342" s="6" t="n">
        <f aca="false">ROUND((A342+1)^1.12,1)</f>
        <v>679.8</v>
      </c>
    </row>
    <row r="343" customFormat="false" ht="15" hidden="false" customHeight="true" outlineLevel="0" collapsed="false">
      <c r="A343" s="6" t="n">
        <v>338</v>
      </c>
      <c r="B343" s="6" t="n">
        <f aca="false">MIN(42, FLOOR(A343/32,1)+1)</f>
        <v>11</v>
      </c>
      <c r="C343" s="6" t="n">
        <f aca="false">ROUND($B$2*(A343+1)^2.4*1.004^A343,0)</f>
        <v>409936619</v>
      </c>
      <c r="D343" s="6" t="n">
        <f aca="false">ROUND($D$2*(A343+1)^2.4*1.004^A343,0)</f>
        <v>364388106</v>
      </c>
      <c r="E343" s="6" t="n">
        <f aca="false">ROUND($F$2*(A343+1)^2.4*1.004^A343,0)</f>
        <v>318839592</v>
      </c>
      <c r="F343" s="6" t="n">
        <f aca="false">ROUND(Building_Levels!$I$2*(A343+1)^1.9*1.003^A343,2)</f>
        <v>76.31</v>
      </c>
      <c r="G343" s="6" t="n">
        <f aca="false">ROUND((A343+1)^1.12,1)</f>
        <v>682.1</v>
      </c>
    </row>
    <row r="344" customFormat="false" ht="15" hidden="false" customHeight="true" outlineLevel="0" collapsed="false">
      <c r="A344" s="6" t="n">
        <v>339</v>
      </c>
      <c r="B344" s="6" t="n">
        <f aca="false">MIN(42, FLOOR(A344/32,1)+1)</f>
        <v>11</v>
      </c>
      <c r="C344" s="6" t="n">
        <f aca="false">ROUND($B$2*(A344+1)^2.4*1.004^A344,0)</f>
        <v>414496199</v>
      </c>
      <c r="D344" s="6" t="n">
        <f aca="false">ROUND($D$2*(A344+1)^2.4*1.004^A344,0)</f>
        <v>368441066</v>
      </c>
      <c r="E344" s="6" t="n">
        <f aca="false">ROUND($F$2*(A344+1)^2.4*1.004^A344,0)</f>
        <v>322385933</v>
      </c>
      <c r="F344" s="6" t="n">
        <f aca="false">ROUND(Building_Levels!$I$2*(A344+1)^1.9*1.003^A344,2)</f>
        <v>76.96</v>
      </c>
      <c r="G344" s="6" t="n">
        <f aca="false">ROUND((A344+1)^1.12,1)</f>
        <v>684.3</v>
      </c>
    </row>
    <row r="345" customFormat="false" ht="15" hidden="false" customHeight="true" outlineLevel="0" collapsed="false">
      <c r="A345" s="6" t="n">
        <v>340</v>
      </c>
      <c r="B345" s="6" t="n">
        <f aca="false">MIN(42, FLOOR(A345/32,1)+1)</f>
        <v>11</v>
      </c>
      <c r="C345" s="6" t="n">
        <f aca="false">ROUND($B$2*(A345+1)^2.4*1.004^A345,0)</f>
        <v>419097793</v>
      </c>
      <c r="D345" s="6" t="n">
        <f aca="false">ROUND($D$2*(A345+1)^2.4*1.004^A345,0)</f>
        <v>372531372</v>
      </c>
      <c r="E345" s="6" t="n">
        <f aca="false">ROUND($F$2*(A345+1)^2.4*1.004^A345,0)</f>
        <v>325964950</v>
      </c>
      <c r="F345" s="6" t="n">
        <f aca="false">ROUND(Building_Levels!$I$2*(A345+1)^1.9*1.003^A345,2)</f>
        <v>77.63</v>
      </c>
      <c r="G345" s="6" t="n">
        <f aca="false">ROUND((A345+1)^1.12,1)</f>
        <v>686.6</v>
      </c>
    </row>
    <row r="346" customFormat="false" ht="15" hidden="false" customHeight="true" outlineLevel="0" collapsed="false">
      <c r="A346" s="6" t="n">
        <v>341</v>
      </c>
      <c r="B346" s="6" t="n">
        <f aca="false">MIN(42, FLOOR(A346/32,1)+1)</f>
        <v>11</v>
      </c>
      <c r="C346" s="6" t="n">
        <f aca="false">ROUND($B$2*(A346+1)^2.4*1.004^A346,0)</f>
        <v>423741727</v>
      </c>
      <c r="D346" s="6" t="n">
        <f aca="false">ROUND($D$2*(A346+1)^2.4*1.004^A346,0)</f>
        <v>376659313</v>
      </c>
      <c r="E346" s="6" t="n">
        <f aca="false">ROUND($F$2*(A346+1)^2.4*1.004^A346,0)</f>
        <v>329576898</v>
      </c>
      <c r="F346" s="6" t="n">
        <f aca="false">ROUND(Building_Levels!$I$2*(A346+1)^1.9*1.003^A346,2)</f>
        <v>78.29</v>
      </c>
      <c r="G346" s="6" t="n">
        <f aca="false">ROUND((A346+1)^1.12,1)</f>
        <v>688.8</v>
      </c>
    </row>
    <row r="347" customFormat="false" ht="15" hidden="false" customHeight="true" outlineLevel="0" collapsed="false">
      <c r="A347" s="6" t="n">
        <v>342</v>
      </c>
      <c r="B347" s="6" t="n">
        <f aca="false">MIN(42, FLOOR(A347/32,1)+1)</f>
        <v>11</v>
      </c>
      <c r="C347" s="6" t="n">
        <f aca="false">ROUND($B$2*(A347+1)^2.4*1.004^A347,0)</f>
        <v>428428327</v>
      </c>
      <c r="D347" s="6" t="n">
        <f aca="false">ROUND($D$2*(A347+1)^2.4*1.004^A347,0)</f>
        <v>380825180</v>
      </c>
      <c r="E347" s="6" t="n">
        <f aca="false">ROUND($F$2*(A347+1)^2.4*1.004^A347,0)</f>
        <v>333222032</v>
      </c>
      <c r="F347" s="6" t="n">
        <f aca="false">ROUND(Building_Levels!$I$2*(A347+1)^1.9*1.003^A347,2)</f>
        <v>78.97</v>
      </c>
      <c r="G347" s="6" t="n">
        <f aca="false">ROUND((A347+1)^1.12,1)</f>
        <v>691.1</v>
      </c>
    </row>
    <row r="348" customFormat="false" ht="15" hidden="false" customHeight="true" outlineLevel="0" collapsed="false">
      <c r="A348" s="6" t="n">
        <v>343</v>
      </c>
      <c r="B348" s="6" t="n">
        <f aca="false">MIN(42, FLOOR(A348/32,1)+1)</f>
        <v>11</v>
      </c>
      <c r="C348" s="6" t="n">
        <f aca="false">ROUND($B$2*(A348+1)^2.4*1.004^A348,0)</f>
        <v>433157925</v>
      </c>
      <c r="D348" s="6" t="n">
        <f aca="false">ROUND($D$2*(A348+1)^2.4*1.004^A348,0)</f>
        <v>385029267</v>
      </c>
      <c r="E348" s="6" t="n">
        <f aca="false">ROUND($F$2*(A348+1)^2.4*1.004^A348,0)</f>
        <v>336900609</v>
      </c>
      <c r="F348" s="6" t="n">
        <f aca="false">ROUND(Building_Levels!$I$2*(A348+1)^1.9*1.003^A348,2)</f>
        <v>79.64</v>
      </c>
      <c r="G348" s="6" t="n">
        <f aca="false">ROUND((A348+1)^1.12,1)</f>
        <v>693.3</v>
      </c>
    </row>
    <row r="349" customFormat="false" ht="15" hidden="false" customHeight="true" outlineLevel="0" collapsed="false">
      <c r="A349" s="6" t="n">
        <v>344</v>
      </c>
      <c r="B349" s="6" t="n">
        <f aca="false">MIN(42, FLOOR(A349/32,1)+1)</f>
        <v>11</v>
      </c>
      <c r="C349" s="6" t="n">
        <f aca="false">ROUND($B$2*(A349+1)^2.4*1.004^A349,0)</f>
        <v>437930854</v>
      </c>
      <c r="D349" s="6" t="n">
        <f aca="false">ROUND($D$2*(A349+1)^2.4*1.004^A349,0)</f>
        <v>389271870</v>
      </c>
      <c r="E349" s="6" t="n">
        <f aca="false">ROUND($F$2*(A349+1)^2.4*1.004^A349,0)</f>
        <v>340612886</v>
      </c>
      <c r="F349" s="6" t="n">
        <f aca="false">ROUND(Building_Levels!$I$2*(A349+1)^1.9*1.003^A349,2)</f>
        <v>80.32</v>
      </c>
      <c r="G349" s="6" t="n">
        <f aca="false">ROUND((A349+1)^1.12,1)</f>
        <v>695.6</v>
      </c>
    </row>
    <row r="350" customFormat="false" ht="15" hidden="false" customHeight="true" outlineLevel="0" collapsed="false">
      <c r="A350" s="6" t="n">
        <v>345</v>
      </c>
      <c r="B350" s="6" t="n">
        <f aca="false">MIN(42, FLOOR(A350/32,1)+1)</f>
        <v>11</v>
      </c>
      <c r="C350" s="6" t="n">
        <f aca="false">ROUND($B$2*(A350+1)^2.4*1.004^A350,0)</f>
        <v>442747447</v>
      </c>
      <c r="D350" s="6" t="n">
        <f aca="false">ROUND($D$2*(A350+1)^2.4*1.004^A350,0)</f>
        <v>393553286</v>
      </c>
      <c r="E350" s="6" t="n">
        <f aca="false">ROUND($F$2*(A350+1)^2.4*1.004^A350,0)</f>
        <v>344359125</v>
      </c>
      <c r="F350" s="6" t="n">
        <f aca="false">ROUND(Building_Levels!$I$2*(A350+1)^1.9*1.003^A350,2)</f>
        <v>81.01</v>
      </c>
      <c r="G350" s="6" t="n">
        <f aca="false">ROUND((A350+1)^1.12,1)</f>
        <v>697.9</v>
      </c>
    </row>
    <row r="351" customFormat="false" ht="15" hidden="false" customHeight="true" outlineLevel="0" collapsed="false">
      <c r="A351" s="6" t="n">
        <v>346</v>
      </c>
      <c r="B351" s="6" t="n">
        <f aca="false">MIN(42, FLOOR(A351/32,1)+1)</f>
        <v>11</v>
      </c>
      <c r="C351" s="6" t="n">
        <f aca="false">ROUND($B$2*(A351+1)^2.4*1.004^A351,0)</f>
        <v>447608042</v>
      </c>
      <c r="D351" s="6" t="n">
        <f aca="false">ROUND($D$2*(A351+1)^2.4*1.004^A351,0)</f>
        <v>397873815</v>
      </c>
      <c r="E351" s="6" t="n">
        <f aca="false">ROUND($F$2*(A351+1)^2.4*1.004^A351,0)</f>
        <v>348139588</v>
      </c>
      <c r="F351" s="6" t="n">
        <f aca="false">ROUND(Building_Levels!$I$2*(A351+1)^1.9*1.003^A351,2)</f>
        <v>81.7</v>
      </c>
      <c r="G351" s="6" t="n">
        <f aca="false">ROUND((A351+1)^1.12,1)</f>
        <v>700.1</v>
      </c>
    </row>
    <row r="352" customFormat="false" ht="15" hidden="false" customHeight="true" outlineLevel="0" collapsed="false">
      <c r="A352" s="6" t="n">
        <v>347</v>
      </c>
      <c r="B352" s="6" t="n">
        <f aca="false">MIN(42, FLOOR(A352/32,1)+1)</f>
        <v>11</v>
      </c>
      <c r="C352" s="6" t="n">
        <f aca="false">ROUND($B$2*(A352+1)^2.4*1.004^A352,0)</f>
        <v>452512978</v>
      </c>
      <c r="D352" s="6" t="n">
        <f aca="false">ROUND($D$2*(A352+1)^2.4*1.004^A352,0)</f>
        <v>402233759</v>
      </c>
      <c r="E352" s="6" t="n">
        <f aca="false">ROUND($F$2*(A352+1)^2.4*1.004^A352,0)</f>
        <v>351954539</v>
      </c>
      <c r="F352" s="6" t="n">
        <f aca="false">ROUND(Building_Levels!$I$2*(A352+1)^1.9*1.003^A352,2)</f>
        <v>82.39</v>
      </c>
      <c r="G352" s="6" t="n">
        <f aca="false">ROUND((A352+1)^1.12,1)</f>
        <v>702.4</v>
      </c>
    </row>
    <row r="353" customFormat="false" ht="15" hidden="false" customHeight="true" outlineLevel="0" collapsed="false">
      <c r="A353" s="6" t="n">
        <v>348</v>
      </c>
      <c r="B353" s="6" t="n">
        <f aca="false">MIN(42, FLOOR(A353/32,1)+1)</f>
        <v>11</v>
      </c>
      <c r="C353" s="6" t="n">
        <f aca="false">ROUND($B$2*(A353+1)^2.4*1.004^A353,0)</f>
        <v>457462598</v>
      </c>
      <c r="D353" s="6" t="n">
        <f aca="false">ROUND($D$2*(A353+1)^2.4*1.004^A353,0)</f>
        <v>406633420</v>
      </c>
      <c r="E353" s="6" t="n">
        <f aca="false">ROUND($F$2*(A353+1)^2.4*1.004^A353,0)</f>
        <v>355804243</v>
      </c>
      <c r="F353" s="6" t="n">
        <f aca="false">ROUND(Building_Levels!$I$2*(A353+1)^1.9*1.003^A353,2)</f>
        <v>83.09</v>
      </c>
      <c r="G353" s="6" t="n">
        <f aca="false">ROUND((A353+1)^1.12,1)</f>
        <v>704.6</v>
      </c>
    </row>
    <row r="354" customFormat="false" ht="15" hidden="false" customHeight="true" outlineLevel="0" collapsed="false">
      <c r="A354" s="6" t="n">
        <v>349</v>
      </c>
      <c r="B354" s="6" t="n">
        <f aca="false">MIN(42, FLOOR(A354/32,1)+1)</f>
        <v>11</v>
      </c>
      <c r="C354" s="6" t="n">
        <f aca="false">ROUND($B$2*(A354+1)^2.4*1.004^A354,0)</f>
        <v>462457244</v>
      </c>
      <c r="D354" s="6" t="n">
        <f aca="false">ROUND($D$2*(A354+1)^2.4*1.004^A354,0)</f>
        <v>411073105</v>
      </c>
      <c r="E354" s="6" t="n">
        <f aca="false">ROUND($F$2*(A354+1)^2.4*1.004^A354,0)</f>
        <v>359688967</v>
      </c>
      <c r="F354" s="6" t="n">
        <f aca="false">ROUND(Building_Levels!$I$2*(A354+1)^1.9*1.003^A354,2)</f>
        <v>83.79</v>
      </c>
      <c r="G354" s="6" t="n">
        <f aca="false">ROUND((A354+1)^1.12,1)</f>
        <v>706.9</v>
      </c>
    </row>
    <row r="355" customFormat="false" ht="15" hidden="false" customHeight="true" outlineLevel="0" collapsed="false">
      <c r="A355" s="6" t="n">
        <v>350</v>
      </c>
      <c r="B355" s="6" t="n">
        <f aca="false">MIN(42, FLOOR(A355/32,1)+1)</f>
        <v>11</v>
      </c>
      <c r="C355" s="6" t="n">
        <f aca="false">ROUND($B$2*(A355+1)^2.4*1.004^A355,0)</f>
        <v>467497262</v>
      </c>
      <c r="D355" s="6" t="n">
        <f aca="false">ROUND($D$2*(A355+1)^2.4*1.004^A355,0)</f>
        <v>415553122</v>
      </c>
      <c r="E355" s="6" t="n">
        <f aca="false">ROUND($F$2*(A355+1)^2.4*1.004^A355,0)</f>
        <v>363608982</v>
      </c>
      <c r="F355" s="6" t="n">
        <f aca="false">ROUND(Building_Levels!$I$2*(A355+1)^1.9*1.003^A355,2)</f>
        <v>84.5</v>
      </c>
      <c r="G355" s="6" t="n">
        <f aca="false">ROUND((A355+1)^1.12,1)</f>
        <v>709.2</v>
      </c>
    </row>
    <row r="356" customFormat="false" ht="15" hidden="false" customHeight="true" outlineLevel="0" collapsed="false">
      <c r="A356" s="6" t="n">
        <v>351</v>
      </c>
      <c r="B356" s="6" t="n">
        <f aca="false">MIN(42, FLOOR(A356/32,1)+1)</f>
        <v>11</v>
      </c>
      <c r="C356" s="6" t="n">
        <f aca="false">ROUND($B$2*(A356+1)^2.4*1.004^A356,0)</f>
        <v>472583003</v>
      </c>
      <c r="D356" s="6" t="n">
        <f aca="false">ROUND($D$2*(A356+1)^2.4*1.004^A356,0)</f>
        <v>420073781</v>
      </c>
      <c r="E356" s="6" t="n">
        <f aca="false">ROUND($F$2*(A356+1)^2.4*1.004^A356,0)</f>
        <v>367564558</v>
      </c>
      <c r="F356" s="6" t="n">
        <f aca="false">ROUND(Building_Levels!$I$2*(A356+1)^1.9*1.003^A356,2)</f>
        <v>85.22</v>
      </c>
      <c r="G356" s="6" t="n">
        <f aca="false">ROUND((A356+1)^1.12,1)</f>
        <v>711.4</v>
      </c>
    </row>
    <row r="357" customFormat="false" ht="15" hidden="false" customHeight="true" outlineLevel="0" collapsed="false">
      <c r="A357" s="6" t="n">
        <v>352</v>
      </c>
      <c r="B357" s="6" t="n">
        <f aca="false">MIN(42, FLOOR(A357/32,1)+1)</f>
        <v>12</v>
      </c>
      <c r="C357" s="6" t="n">
        <f aca="false">ROUND($B$2*(A357+1)^2.4*1.004^A357,0)</f>
        <v>477714816</v>
      </c>
      <c r="D357" s="6" t="n">
        <f aca="false">ROUND($D$2*(A357+1)^2.4*1.004^A357,0)</f>
        <v>424635392</v>
      </c>
      <c r="E357" s="6" t="n">
        <f aca="false">ROUND($F$2*(A357+1)^2.4*1.004^A357,0)</f>
        <v>371555968</v>
      </c>
      <c r="F357" s="6" t="n">
        <f aca="false">ROUND(Building_Levels!$I$2*(A357+1)^1.9*1.003^A357,2)</f>
        <v>85.93</v>
      </c>
      <c r="G357" s="6" t="n">
        <f aca="false">ROUND((A357+1)^1.12,1)</f>
        <v>713.7</v>
      </c>
    </row>
    <row r="358" customFormat="false" ht="15" hidden="false" customHeight="true" outlineLevel="0" collapsed="false">
      <c r="A358" s="6" t="n">
        <v>353</v>
      </c>
      <c r="B358" s="6" t="n">
        <f aca="false">MIN(42, FLOOR(A358/32,1)+1)</f>
        <v>12</v>
      </c>
      <c r="C358" s="6" t="n">
        <f aca="false">ROUND($B$2*(A358+1)^2.4*1.004^A358,0)</f>
        <v>482893056</v>
      </c>
      <c r="D358" s="6" t="n">
        <f aca="false">ROUND($D$2*(A358+1)^2.4*1.004^A358,0)</f>
        <v>429238272</v>
      </c>
      <c r="E358" s="6" t="n">
        <f aca="false">ROUND($F$2*(A358+1)^2.4*1.004^A358,0)</f>
        <v>375583488</v>
      </c>
      <c r="F358" s="6" t="n">
        <f aca="false">ROUND(Building_Levels!$I$2*(A358+1)^1.9*1.003^A358,2)</f>
        <v>86.66</v>
      </c>
      <c r="G358" s="6" t="n">
        <f aca="false">ROUND((A358+1)^1.12,1)</f>
        <v>716</v>
      </c>
    </row>
    <row r="359" customFormat="false" ht="15" hidden="false" customHeight="true" outlineLevel="0" collapsed="false">
      <c r="A359" s="6" t="n">
        <v>354</v>
      </c>
      <c r="B359" s="6" t="n">
        <f aca="false">MIN(42, FLOOR(A359/32,1)+1)</f>
        <v>12</v>
      </c>
      <c r="C359" s="6" t="n">
        <f aca="false">ROUND($B$2*(A359+1)^2.4*1.004^A359,0)</f>
        <v>488118076</v>
      </c>
      <c r="D359" s="6" t="n">
        <f aca="false">ROUND($D$2*(A359+1)^2.4*1.004^A359,0)</f>
        <v>433882735</v>
      </c>
      <c r="E359" s="6" t="n">
        <f aca="false">ROUND($F$2*(A359+1)^2.4*1.004^A359,0)</f>
        <v>379647393</v>
      </c>
      <c r="F359" s="6" t="n">
        <f aca="false">ROUND(Building_Levels!$I$2*(A359+1)^1.9*1.003^A359,2)</f>
        <v>87.38</v>
      </c>
      <c r="G359" s="6" t="n">
        <f aca="false">ROUND((A359+1)^1.12,1)</f>
        <v>718.2</v>
      </c>
    </row>
    <row r="360" customFormat="false" ht="15" hidden="false" customHeight="true" outlineLevel="0" collapsed="false">
      <c r="A360" s="6" t="n">
        <v>355</v>
      </c>
      <c r="B360" s="6" t="n">
        <f aca="false">MIN(42, FLOOR(A360/32,1)+1)</f>
        <v>12</v>
      </c>
      <c r="C360" s="6" t="n">
        <f aca="false">ROUND($B$2*(A360+1)^2.4*1.004^A360,0)</f>
        <v>493390237</v>
      </c>
      <c r="D360" s="6" t="n">
        <f aca="false">ROUND($D$2*(A360+1)^2.4*1.004^A360,0)</f>
        <v>438569100</v>
      </c>
      <c r="E360" s="6" t="n">
        <f aca="false">ROUND($F$2*(A360+1)^2.4*1.004^A360,0)</f>
        <v>383747962</v>
      </c>
      <c r="F360" s="6" t="n">
        <f aca="false">ROUND(Building_Levels!$I$2*(A360+1)^1.9*1.003^A360,2)</f>
        <v>88.11</v>
      </c>
      <c r="G360" s="6" t="n">
        <f aca="false">ROUND((A360+1)^1.12,1)</f>
        <v>720.5</v>
      </c>
    </row>
    <row r="361" customFormat="false" ht="15" hidden="false" customHeight="true" outlineLevel="0" collapsed="false">
      <c r="A361" s="6" t="n">
        <v>356</v>
      </c>
      <c r="B361" s="6" t="n">
        <f aca="false">MIN(42, FLOOR(A361/32,1)+1)</f>
        <v>12</v>
      </c>
      <c r="C361" s="6" t="n">
        <f aca="false">ROUND($B$2*(A361+1)^2.4*1.004^A361,0)</f>
        <v>498709898</v>
      </c>
      <c r="D361" s="6" t="n">
        <f aca="false">ROUND($D$2*(A361+1)^2.4*1.004^A361,0)</f>
        <v>443297687</v>
      </c>
      <c r="E361" s="6" t="n">
        <f aca="false">ROUND($F$2*(A361+1)^2.4*1.004^A361,0)</f>
        <v>387885476</v>
      </c>
      <c r="F361" s="6" t="n">
        <f aca="false">ROUND(Building_Levels!$I$2*(A361+1)^1.9*1.003^A361,2)</f>
        <v>88.85</v>
      </c>
      <c r="G361" s="6" t="n">
        <f aca="false">ROUND((A361+1)^1.12,1)</f>
        <v>722.8</v>
      </c>
    </row>
    <row r="362" customFormat="false" ht="15" hidden="false" customHeight="true" outlineLevel="0" collapsed="false">
      <c r="A362" s="6" t="n">
        <v>357</v>
      </c>
      <c r="B362" s="6" t="n">
        <f aca="false">MIN(42, FLOOR(A362/32,1)+1)</f>
        <v>12</v>
      </c>
      <c r="C362" s="6" t="n">
        <f aca="false">ROUND($B$2*(A362+1)^2.4*1.004^A362,0)</f>
        <v>504077423</v>
      </c>
      <c r="D362" s="6" t="n">
        <f aca="false">ROUND($D$2*(A362+1)^2.4*1.004^A362,0)</f>
        <v>448068820</v>
      </c>
      <c r="E362" s="6" t="n">
        <f aca="false">ROUND($F$2*(A362+1)^2.4*1.004^A362,0)</f>
        <v>392060218</v>
      </c>
      <c r="F362" s="6" t="n">
        <f aca="false">ROUND(Building_Levels!$I$2*(A362+1)^1.9*1.003^A362,2)</f>
        <v>89.59</v>
      </c>
      <c r="G362" s="6" t="n">
        <f aca="false">ROUND((A362+1)^1.12,1)</f>
        <v>725</v>
      </c>
    </row>
    <row r="363" customFormat="false" ht="15" hidden="false" customHeight="true" outlineLevel="0" collapsed="false">
      <c r="A363" s="6" t="n">
        <v>358</v>
      </c>
      <c r="B363" s="6" t="n">
        <f aca="false">MIN(42, FLOOR(A363/32,1)+1)</f>
        <v>12</v>
      </c>
      <c r="C363" s="6" t="n">
        <f aca="false">ROUND($B$2*(A363+1)^2.4*1.004^A363,0)</f>
        <v>509493176</v>
      </c>
      <c r="D363" s="6" t="n">
        <f aca="false">ROUND($D$2*(A363+1)^2.4*1.004^A363,0)</f>
        <v>452882823</v>
      </c>
      <c r="E363" s="6" t="n">
        <f aca="false">ROUND($F$2*(A363+1)^2.4*1.004^A363,0)</f>
        <v>396272470</v>
      </c>
      <c r="F363" s="6" t="n">
        <f aca="false">ROUND(Building_Levels!$I$2*(A363+1)^1.9*1.003^A363,2)</f>
        <v>90.34</v>
      </c>
      <c r="G363" s="6" t="n">
        <f aca="false">ROUND((A363+1)^1.12,1)</f>
        <v>727.3</v>
      </c>
    </row>
    <row r="364" customFormat="false" ht="15" hidden="false" customHeight="true" outlineLevel="0" collapsed="false">
      <c r="A364" s="6" t="n">
        <v>359</v>
      </c>
      <c r="B364" s="6" t="n">
        <f aca="false">MIN(42, FLOOR(A364/32,1)+1)</f>
        <v>12</v>
      </c>
      <c r="C364" s="6" t="n">
        <f aca="false">ROUND($B$2*(A364+1)^2.4*1.004^A364,0)</f>
        <v>514957526</v>
      </c>
      <c r="D364" s="6" t="n">
        <f aca="false">ROUND($D$2*(A364+1)^2.4*1.004^A364,0)</f>
        <v>457740023</v>
      </c>
      <c r="E364" s="6" t="n">
        <f aca="false">ROUND($F$2*(A364+1)^2.4*1.004^A364,0)</f>
        <v>400522520</v>
      </c>
      <c r="F364" s="6" t="n">
        <f aca="false">ROUND(Building_Levels!$I$2*(A364+1)^1.9*1.003^A364,2)</f>
        <v>91.09</v>
      </c>
      <c r="G364" s="6" t="n">
        <f aca="false">ROUND((A364+1)^1.12,1)</f>
        <v>729.6</v>
      </c>
    </row>
    <row r="365" customFormat="false" ht="15" hidden="false" customHeight="true" outlineLevel="0" collapsed="false">
      <c r="A365" s="6" t="n">
        <v>360</v>
      </c>
      <c r="B365" s="6" t="n">
        <f aca="false">MIN(42, FLOOR(A365/32,1)+1)</f>
        <v>12</v>
      </c>
      <c r="C365" s="6" t="n">
        <f aca="false">ROUND($B$2*(A365+1)^2.4*1.004^A365,0)</f>
        <v>520470843</v>
      </c>
      <c r="D365" s="6" t="n">
        <f aca="false">ROUND($D$2*(A365+1)^2.4*1.004^A365,0)</f>
        <v>462640749</v>
      </c>
      <c r="E365" s="6" t="n">
        <f aca="false">ROUND($F$2*(A365+1)^2.4*1.004^A365,0)</f>
        <v>404810656</v>
      </c>
      <c r="F365" s="6" t="n">
        <f aca="false">ROUND(Building_Levels!$I$2*(A365+1)^1.9*1.003^A365,2)</f>
        <v>91.85</v>
      </c>
      <c r="G365" s="6" t="n">
        <f aca="false">ROUND((A365+1)^1.12,1)</f>
        <v>731.8</v>
      </c>
    </row>
    <row r="366" customFormat="false" ht="15" hidden="false" customHeight="true" outlineLevel="0" collapsed="false">
      <c r="A366" s="6" t="n">
        <v>361</v>
      </c>
      <c r="B366" s="6" t="n">
        <f aca="false">MIN(42, FLOOR(A366/32,1)+1)</f>
        <v>12</v>
      </c>
      <c r="C366" s="6" t="n">
        <f aca="false">ROUND($B$2*(A366+1)^2.4*1.004^A366,0)</f>
        <v>526033500</v>
      </c>
      <c r="D366" s="6" t="n">
        <f aca="false">ROUND($D$2*(A366+1)^2.4*1.004^A366,0)</f>
        <v>467585333</v>
      </c>
      <c r="E366" s="6" t="n">
        <f aca="false">ROUND($F$2*(A366+1)^2.4*1.004^A366,0)</f>
        <v>409137167</v>
      </c>
      <c r="F366" s="6" t="n">
        <f aca="false">ROUND(Building_Levels!$I$2*(A366+1)^1.9*1.003^A366,2)</f>
        <v>92.61</v>
      </c>
      <c r="G366" s="6" t="n">
        <f aca="false">ROUND((A366+1)^1.12,1)</f>
        <v>734.1</v>
      </c>
    </row>
    <row r="367" customFormat="false" ht="15" hidden="false" customHeight="true" outlineLevel="0" collapsed="false">
      <c r="A367" s="6" t="n">
        <v>362</v>
      </c>
      <c r="B367" s="6" t="n">
        <f aca="false">MIN(42, FLOOR(A367/32,1)+1)</f>
        <v>12</v>
      </c>
      <c r="C367" s="6" t="n">
        <f aca="false">ROUND($B$2*(A367+1)^2.4*1.004^A367,0)</f>
        <v>531645872</v>
      </c>
      <c r="D367" s="6" t="n">
        <f aca="false">ROUND($D$2*(A367+1)^2.4*1.004^A367,0)</f>
        <v>472574109</v>
      </c>
      <c r="E367" s="6" t="n">
        <f aca="false">ROUND($F$2*(A367+1)^2.4*1.004^A367,0)</f>
        <v>413502345</v>
      </c>
      <c r="F367" s="6" t="n">
        <f aca="false">ROUND(Building_Levels!$I$2*(A367+1)^1.9*1.003^A367,2)</f>
        <v>93.37</v>
      </c>
      <c r="G367" s="6" t="n">
        <f aca="false">ROUND((A367+1)^1.12,1)</f>
        <v>736.4</v>
      </c>
    </row>
    <row r="368" customFormat="false" ht="15" hidden="false" customHeight="true" outlineLevel="0" collapsed="false">
      <c r="A368" s="6" t="n">
        <v>363</v>
      </c>
      <c r="B368" s="6" t="n">
        <f aca="false">MIN(42, FLOOR(A368/32,1)+1)</f>
        <v>12</v>
      </c>
      <c r="C368" s="6" t="n">
        <f aca="false">ROUND($B$2*(A368+1)^2.4*1.004^A368,0)</f>
        <v>537308338</v>
      </c>
      <c r="D368" s="6" t="n">
        <f aca="false">ROUND($D$2*(A368+1)^2.4*1.004^A368,0)</f>
        <v>477607411</v>
      </c>
      <c r="E368" s="6" t="n">
        <f aca="false">ROUND($F$2*(A368+1)^2.4*1.004^A368,0)</f>
        <v>417906485</v>
      </c>
      <c r="F368" s="6" t="n">
        <f aca="false">ROUND(Building_Levels!$I$2*(A368+1)^1.9*1.003^A368,2)</f>
        <v>94.14</v>
      </c>
      <c r="G368" s="6" t="n">
        <f aca="false">ROUND((A368+1)^1.12,1)</f>
        <v>738.6</v>
      </c>
    </row>
    <row r="369" customFormat="false" ht="15" hidden="false" customHeight="true" outlineLevel="0" collapsed="false">
      <c r="A369" s="6" t="n">
        <v>364</v>
      </c>
      <c r="B369" s="6" t="n">
        <f aca="false">MIN(42, FLOOR(A369/32,1)+1)</f>
        <v>12</v>
      </c>
      <c r="C369" s="6" t="n">
        <f aca="false">ROUND($B$2*(A369+1)^2.4*1.004^A369,0)</f>
        <v>543021277</v>
      </c>
      <c r="D369" s="6" t="n">
        <f aca="false">ROUND($D$2*(A369+1)^2.4*1.004^A369,0)</f>
        <v>482685579</v>
      </c>
      <c r="E369" s="6" t="n">
        <f aca="false">ROUND($F$2*(A369+1)^2.4*1.004^A369,0)</f>
        <v>422349882</v>
      </c>
      <c r="F369" s="6" t="n">
        <f aca="false">ROUND(Building_Levels!$I$2*(A369+1)^1.9*1.003^A369,2)</f>
        <v>94.92</v>
      </c>
      <c r="G369" s="6" t="n">
        <f aca="false">ROUND((A369+1)^1.12,1)</f>
        <v>740.9</v>
      </c>
    </row>
    <row r="370" customFormat="false" ht="15" hidden="false" customHeight="true" outlineLevel="0" collapsed="false">
      <c r="A370" s="6" t="n">
        <v>365</v>
      </c>
      <c r="B370" s="6" t="n">
        <f aca="false">MIN(42, FLOOR(A370/32,1)+1)</f>
        <v>12</v>
      </c>
      <c r="C370" s="6" t="n">
        <f aca="false">ROUND($B$2*(A370+1)^2.4*1.004^A370,0)</f>
        <v>548785073</v>
      </c>
      <c r="D370" s="6" t="n">
        <f aca="false">ROUND($D$2*(A370+1)^2.4*1.004^A370,0)</f>
        <v>487808953</v>
      </c>
      <c r="E370" s="6" t="n">
        <f aca="false">ROUND($F$2*(A370+1)^2.4*1.004^A370,0)</f>
        <v>426832834</v>
      </c>
      <c r="F370" s="6" t="n">
        <f aca="false">ROUND(Building_Levels!$I$2*(A370+1)^1.9*1.003^A370,2)</f>
        <v>95.7</v>
      </c>
      <c r="G370" s="6" t="n">
        <f aca="false">ROUND((A370+1)^1.12,1)</f>
        <v>743.2</v>
      </c>
    </row>
    <row r="371" customFormat="false" ht="15" hidden="false" customHeight="true" outlineLevel="0" collapsed="false">
      <c r="A371" s="6" t="n">
        <v>366</v>
      </c>
      <c r="B371" s="6" t="n">
        <f aca="false">MIN(42, FLOOR(A371/32,1)+1)</f>
        <v>12</v>
      </c>
      <c r="C371" s="6" t="n">
        <f aca="false">ROUND($B$2*(A371+1)^2.4*1.004^A371,0)</f>
        <v>554600110</v>
      </c>
      <c r="D371" s="6" t="n">
        <f aca="false">ROUND($D$2*(A371+1)^2.4*1.004^A371,0)</f>
        <v>492977876</v>
      </c>
      <c r="E371" s="6" t="n">
        <f aca="false">ROUND($F$2*(A371+1)^2.4*1.004^A371,0)</f>
        <v>431355641</v>
      </c>
      <c r="F371" s="6" t="n">
        <f aca="false">ROUND(Building_Levels!$I$2*(A371+1)^1.9*1.003^A371,2)</f>
        <v>96.49</v>
      </c>
      <c r="G371" s="6" t="n">
        <f aca="false">ROUND((A371+1)^1.12,1)</f>
        <v>745.5</v>
      </c>
    </row>
    <row r="372" customFormat="false" ht="15" hidden="false" customHeight="true" outlineLevel="0" collapsed="false">
      <c r="A372" s="6" t="n">
        <v>367</v>
      </c>
      <c r="B372" s="6" t="n">
        <f aca="false">MIN(42, FLOOR(A372/32,1)+1)</f>
        <v>12</v>
      </c>
      <c r="C372" s="6" t="n">
        <f aca="false">ROUND($B$2*(A372+1)^2.4*1.004^A372,0)</f>
        <v>560466779</v>
      </c>
      <c r="D372" s="6" t="n">
        <f aca="false">ROUND($D$2*(A372+1)^2.4*1.004^A372,0)</f>
        <v>498192692</v>
      </c>
      <c r="E372" s="6" t="n">
        <f aca="false">ROUND($F$2*(A372+1)^2.4*1.004^A372,0)</f>
        <v>435918606</v>
      </c>
      <c r="F372" s="6" t="n">
        <f aca="false">ROUND(Building_Levels!$I$2*(A372+1)^1.9*1.003^A372,2)</f>
        <v>97.28</v>
      </c>
      <c r="G372" s="6" t="n">
        <f aca="false">ROUND((A372+1)^1.12,1)</f>
        <v>747.7</v>
      </c>
    </row>
    <row r="373" customFormat="false" ht="15" hidden="false" customHeight="true" outlineLevel="0" collapsed="false">
      <c r="A373" s="6" t="n">
        <v>368</v>
      </c>
      <c r="B373" s="6" t="n">
        <f aca="false">MIN(42, FLOOR(A373/32,1)+1)</f>
        <v>12</v>
      </c>
      <c r="C373" s="6" t="n">
        <f aca="false">ROUND($B$2*(A373+1)^2.4*1.004^A373,0)</f>
        <v>566385468</v>
      </c>
      <c r="D373" s="6" t="n">
        <f aca="false">ROUND($D$2*(A373+1)^2.4*1.004^A373,0)</f>
        <v>503453749</v>
      </c>
      <c r="E373" s="6" t="n">
        <f aca="false">ROUND($F$2*(A373+1)^2.4*1.004^A373,0)</f>
        <v>440522031</v>
      </c>
      <c r="F373" s="6" t="n">
        <f aca="false">ROUND(Building_Levels!$I$2*(A373+1)^1.9*1.003^A373,2)</f>
        <v>98.07</v>
      </c>
      <c r="G373" s="6" t="n">
        <f aca="false">ROUND((A373+1)^1.12,1)</f>
        <v>750</v>
      </c>
    </row>
    <row r="374" customFormat="false" ht="15" hidden="false" customHeight="true" outlineLevel="0" collapsed="false">
      <c r="A374" s="6" t="n">
        <v>369</v>
      </c>
      <c r="B374" s="6" t="n">
        <f aca="false">MIN(42, FLOOR(A374/32,1)+1)</f>
        <v>12</v>
      </c>
      <c r="C374" s="6" t="n">
        <f aca="false">ROUND($B$2*(A374+1)^2.4*1.004^A374,0)</f>
        <v>572356572</v>
      </c>
      <c r="D374" s="6" t="n">
        <f aca="false">ROUND($D$2*(A374+1)^2.4*1.004^A374,0)</f>
        <v>508761397</v>
      </c>
      <c r="E374" s="6" t="n">
        <f aca="false">ROUND($F$2*(A374+1)^2.4*1.004^A374,0)</f>
        <v>445166222</v>
      </c>
      <c r="F374" s="6" t="n">
        <f aca="false">ROUND(Building_Levels!$I$2*(A374+1)^1.9*1.003^A374,2)</f>
        <v>98.88</v>
      </c>
      <c r="G374" s="6" t="n">
        <f aca="false">ROUND((A374+1)^1.12,1)</f>
        <v>752.3</v>
      </c>
    </row>
    <row r="375" customFormat="false" ht="15" hidden="false" customHeight="true" outlineLevel="0" collapsed="false">
      <c r="A375" s="6" t="n">
        <v>370</v>
      </c>
      <c r="B375" s="6" t="n">
        <f aca="false">MIN(42, FLOOR(A375/32,1)+1)</f>
        <v>12</v>
      </c>
      <c r="C375" s="6" t="n">
        <f aca="false">ROUND($B$2*(A375+1)^2.4*1.004^A375,0)</f>
        <v>578380486</v>
      </c>
      <c r="D375" s="6" t="n">
        <f aca="false">ROUND($D$2*(A375+1)^2.4*1.004^A375,0)</f>
        <v>514115988</v>
      </c>
      <c r="E375" s="6" t="n">
        <f aca="false">ROUND($F$2*(A375+1)^2.4*1.004^A375,0)</f>
        <v>449851489</v>
      </c>
      <c r="F375" s="6" t="n">
        <f aca="false">ROUND(Building_Levels!$I$2*(A375+1)^1.9*1.003^A375,2)</f>
        <v>99.68</v>
      </c>
      <c r="G375" s="6" t="n">
        <f aca="false">ROUND((A375+1)^1.12,1)</f>
        <v>754.6</v>
      </c>
    </row>
    <row r="376" customFormat="false" ht="15" hidden="false" customHeight="true" outlineLevel="0" collapsed="false">
      <c r="A376" s="6" t="n">
        <v>371</v>
      </c>
      <c r="B376" s="6" t="n">
        <f aca="false">MIN(42, FLOOR(A376/32,1)+1)</f>
        <v>12</v>
      </c>
      <c r="C376" s="6" t="n">
        <f aca="false">ROUND($B$2*(A376+1)^2.4*1.004^A376,0)</f>
        <v>584457609</v>
      </c>
      <c r="D376" s="6" t="n">
        <f aca="false">ROUND($D$2*(A376+1)^2.4*1.004^A376,0)</f>
        <v>519517875</v>
      </c>
      <c r="E376" s="6" t="n">
        <f aca="false">ROUND($F$2*(A376+1)^2.4*1.004^A376,0)</f>
        <v>454578141</v>
      </c>
      <c r="F376" s="6" t="n">
        <f aca="false">ROUND(Building_Levels!$I$2*(A376+1)^1.9*1.003^A376,2)</f>
        <v>100.49</v>
      </c>
      <c r="G376" s="6" t="n">
        <f aca="false">ROUND((A376+1)^1.12,1)</f>
        <v>756.8</v>
      </c>
    </row>
    <row r="377" customFormat="false" ht="15" hidden="false" customHeight="true" outlineLevel="0" collapsed="false">
      <c r="A377" s="6" t="n">
        <v>372</v>
      </c>
      <c r="B377" s="6" t="n">
        <f aca="false">MIN(42, FLOOR(A377/32,1)+1)</f>
        <v>12</v>
      </c>
      <c r="C377" s="6" t="n">
        <f aca="false">ROUND($B$2*(A377+1)^2.4*1.004^A377,0)</f>
        <v>590588343</v>
      </c>
      <c r="D377" s="6" t="n">
        <f aca="false">ROUND($D$2*(A377+1)^2.4*1.004^A377,0)</f>
        <v>524967416</v>
      </c>
      <c r="E377" s="6" t="n">
        <f aca="false">ROUND($F$2*(A377+1)^2.4*1.004^A377,0)</f>
        <v>459346489</v>
      </c>
      <c r="F377" s="6" t="n">
        <f aca="false">ROUND(Building_Levels!$I$2*(A377+1)^1.9*1.003^A377,2)</f>
        <v>101.31</v>
      </c>
      <c r="G377" s="6" t="n">
        <f aca="false">ROUND((A377+1)^1.12,1)</f>
        <v>759.1</v>
      </c>
    </row>
    <row r="378" customFormat="false" ht="15" hidden="false" customHeight="true" outlineLevel="0" collapsed="false">
      <c r="A378" s="6" t="n">
        <v>373</v>
      </c>
      <c r="B378" s="6" t="n">
        <f aca="false">MIN(42, FLOOR(A378/32,1)+1)</f>
        <v>12</v>
      </c>
      <c r="C378" s="6" t="n">
        <f aca="false">ROUND($B$2*(A378+1)^2.4*1.004^A378,0)</f>
        <v>596773091</v>
      </c>
      <c r="D378" s="6" t="n">
        <f aca="false">ROUND($D$2*(A378+1)^2.4*1.004^A378,0)</f>
        <v>530464970</v>
      </c>
      <c r="E378" s="6" t="n">
        <f aca="false">ROUND($F$2*(A378+1)^2.4*1.004^A378,0)</f>
        <v>464156849</v>
      </c>
      <c r="F378" s="6" t="n">
        <f aca="false">ROUND(Building_Levels!$I$2*(A378+1)^1.9*1.003^A378,2)</f>
        <v>102.13</v>
      </c>
      <c r="G378" s="6" t="n">
        <f aca="false">ROUND((A378+1)^1.12,1)</f>
        <v>761.4</v>
      </c>
    </row>
    <row r="379" customFormat="false" ht="15" hidden="false" customHeight="true" outlineLevel="0" collapsed="false">
      <c r="A379" s="6" t="n">
        <v>374</v>
      </c>
      <c r="B379" s="6" t="n">
        <f aca="false">MIN(42, FLOOR(A379/32,1)+1)</f>
        <v>12</v>
      </c>
      <c r="C379" s="6" t="n">
        <f aca="false">ROUND($B$2*(A379+1)^2.4*1.004^A379,0)</f>
        <v>603012261</v>
      </c>
      <c r="D379" s="6" t="n">
        <f aca="false">ROUND($D$2*(A379+1)^2.4*1.004^A379,0)</f>
        <v>536010898</v>
      </c>
      <c r="E379" s="6" t="n">
        <f aca="false">ROUND($F$2*(A379+1)^2.4*1.004^A379,0)</f>
        <v>469009536</v>
      </c>
      <c r="F379" s="6" t="n">
        <f aca="false">ROUND(Building_Levels!$I$2*(A379+1)^1.9*1.003^A379,2)</f>
        <v>102.96</v>
      </c>
      <c r="G379" s="6" t="n">
        <f aca="false">ROUND((A379+1)^1.12,1)</f>
        <v>763.7</v>
      </c>
    </row>
    <row r="380" customFormat="false" ht="15" hidden="false" customHeight="true" outlineLevel="0" collapsed="false">
      <c r="A380" s="6" t="n">
        <v>375</v>
      </c>
      <c r="B380" s="6" t="n">
        <f aca="false">MIN(42, FLOOR(A380/32,1)+1)</f>
        <v>12</v>
      </c>
      <c r="C380" s="6" t="n">
        <f aca="false">ROUND($B$2*(A380+1)^2.4*1.004^A380,0)</f>
        <v>609306261</v>
      </c>
      <c r="D380" s="6" t="n">
        <f aca="false">ROUND($D$2*(A380+1)^2.4*1.004^A380,0)</f>
        <v>541605565</v>
      </c>
      <c r="E380" s="6" t="n">
        <f aca="false">ROUND($F$2*(A380+1)^2.4*1.004^A380,0)</f>
        <v>473904870</v>
      </c>
      <c r="F380" s="6" t="n">
        <f aca="false">ROUND(Building_Levels!$I$2*(A380+1)^1.9*1.003^A380,2)</f>
        <v>103.79</v>
      </c>
      <c r="G380" s="6" t="n">
        <f aca="false">ROUND((A380+1)^1.12,1)</f>
        <v>766</v>
      </c>
    </row>
    <row r="381" customFormat="false" ht="15" hidden="false" customHeight="true" outlineLevel="0" collapsed="false">
      <c r="A381" s="6" t="n">
        <v>376</v>
      </c>
      <c r="B381" s="6" t="n">
        <f aca="false">MIN(42, FLOOR(A381/32,1)+1)</f>
        <v>12</v>
      </c>
      <c r="C381" s="6" t="n">
        <f aca="false">ROUND($B$2*(A381+1)^2.4*1.004^A381,0)</f>
        <v>615655504</v>
      </c>
      <c r="D381" s="6" t="n">
        <f aca="false">ROUND($D$2*(A381+1)^2.4*1.004^A381,0)</f>
        <v>547249336</v>
      </c>
      <c r="E381" s="6" t="n">
        <f aca="false">ROUND($F$2*(A381+1)^2.4*1.004^A381,0)</f>
        <v>478843169</v>
      </c>
      <c r="F381" s="6" t="n">
        <f aca="false">ROUND(Building_Levels!$I$2*(A381+1)^1.9*1.003^A381,2)</f>
        <v>104.63</v>
      </c>
      <c r="G381" s="6" t="n">
        <f aca="false">ROUND((A381+1)^1.12,1)</f>
        <v>768.2</v>
      </c>
    </row>
    <row r="382" customFormat="false" ht="15" hidden="false" customHeight="true" outlineLevel="0" collapsed="false">
      <c r="A382" s="6" t="n">
        <v>377</v>
      </c>
      <c r="B382" s="6" t="n">
        <f aca="false">MIN(42, FLOOR(A382/32,1)+1)</f>
        <v>12</v>
      </c>
      <c r="C382" s="6" t="n">
        <f aca="false">ROUND($B$2*(A382+1)^2.4*1.004^A382,0)</f>
        <v>622060404</v>
      </c>
      <c r="D382" s="6" t="n">
        <f aca="false">ROUND($D$2*(A382+1)^2.4*1.004^A382,0)</f>
        <v>552942581</v>
      </c>
      <c r="E382" s="6" t="n">
        <f aca="false">ROUND($F$2*(A382+1)^2.4*1.004^A382,0)</f>
        <v>483824759</v>
      </c>
      <c r="F382" s="6" t="n">
        <f aca="false">ROUND(Building_Levels!$I$2*(A382+1)^1.9*1.003^A382,2)</f>
        <v>105.47</v>
      </c>
      <c r="G382" s="6" t="n">
        <f aca="false">ROUND((A382+1)^1.12,1)</f>
        <v>770.5</v>
      </c>
    </row>
    <row r="383" customFormat="false" ht="15" hidden="false" customHeight="true" outlineLevel="0" collapsed="false">
      <c r="A383" s="6" t="n">
        <v>378</v>
      </c>
      <c r="B383" s="6" t="n">
        <f aca="false">MIN(42, FLOOR(A383/32,1)+1)</f>
        <v>12</v>
      </c>
      <c r="C383" s="6" t="n">
        <f aca="false">ROUND($B$2*(A383+1)^2.4*1.004^A383,0)</f>
        <v>628521380</v>
      </c>
      <c r="D383" s="6" t="n">
        <f aca="false">ROUND($D$2*(A383+1)^2.4*1.004^A383,0)</f>
        <v>558685671</v>
      </c>
      <c r="E383" s="6" t="n">
        <f aca="false">ROUND($F$2*(A383+1)^2.4*1.004^A383,0)</f>
        <v>488849962</v>
      </c>
      <c r="F383" s="6" t="n">
        <f aca="false">ROUND(Building_Levels!$I$2*(A383+1)^1.9*1.003^A383,2)</f>
        <v>106.32</v>
      </c>
      <c r="G383" s="6" t="n">
        <f aca="false">ROUND((A383+1)^1.12,1)</f>
        <v>772.8</v>
      </c>
    </row>
    <row r="384" customFormat="false" ht="15" hidden="false" customHeight="true" outlineLevel="0" collapsed="false">
      <c r="A384" s="6" t="n">
        <v>379</v>
      </c>
      <c r="B384" s="6" t="n">
        <f aca="false">MIN(42, FLOOR(A384/32,1)+1)</f>
        <v>12</v>
      </c>
      <c r="C384" s="6" t="n">
        <f aca="false">ROUND($B$2*(A384+1)^2.4*1.004^A384,0)</f>
        <v>635038851</v>
      </c>
      <c r="D384" s="6" t="n">
        <f aca="false">ROUND($D$2*(A384+1)^2.4*1.004^A384,0)</f>
        <v>564478979</v>
      </c>
      <c r="E384" s="6" t="n">
        <f aca="false">ROUND($F$2*(A384+1)^2.4*1.004^A384,0)</f>
        <v>493919107</v>
      </c>
      <c r="F384" s="6" t="n">
        <f aca="false">ROUND(Building_Levels!$I$2*(A384+1)^1.9*1.003^A384,2)</f>
        <v>107.18</v>
      </c>
      <c r="G384" s="6" t="n">
        <f aca="false">ROUND((A384+1)^1.12,1)</f>
        <v>775.1</v>
      </c>
    </row>
    <row r="385" customFormat="false" ht="15" hidden="false" customHeight="true" outlineLevel="0" collapsed="false">
      <c r="A385" s="6" t="n">
        <v>380</v>
      </c>
      <c r="B385" s="6" t="n">
        <f aca="false">MIN(42, FLOOR(A385/32,1)+1)</f>
        <v>12</v>
      </c>
      <c r="C385" s="6" t="n">
        <f aca="false">ROUND($B$2*(A385+1)^2.4*1.004^A385,0)</f>
        <v>641613242</v>
      </c>
      <c r="D385" s="6" t="n">
        <f aca="false">ROUND($D$2*(A385+1)^2.4*1.004^A385,0)</f>
        <v>570322882</v>
      </c>
      <c r="E385" s="6" t="n">
        <f aca="false">ROUND($F$2*(A385+1)^2.4*1.004^A385,0)</f>
        <v>499032521</v>
      </c>
      <c r="F385" s="6" t="n">
        <f aca="false">ROUND(Building_Levels!$I$2*(A385+1)^1.9*1.003^A385,2)</f>
        <v>108.04</v>
      </c>
      <c r="G385" s="6" t="n">
        <f aca="false">ROUND((A385+1)^1.12,1)</f>
        <v>777.4</v>
      </c>
    </row>
    <row r="386" customFormat="false" ht="15" hidden="false" customHeight="true" outlineLevel="0" collapsed="false">
      <c r="A386" s="6" t="n">
        <v>381</v>
      </c>
      <c r="B386" s="6" t="n">
        <f aca="false">MIN(42, FLOOR(A386/32,1)+1)</f>
        <v>12</v>
      </c>
      <c r="C386" s="6" t="n">
        <f aca="false">ROUND($B$2*(A386+1)^2.4*1.004^A386,0)</f>
        <v>648244978</v>
      </c>
      <c r="D386" s="6" t="n">
        <f aca="false">ROUND($D$2*(A386+1)^2.4*1.004^A386,0)</f>
        <v>576217758</v>
      </c>
      <c r="E386" s="6" t="n">
        <f aca="false">ROUND($F$2*(A386+1)^2.4*1.004^A386,0)</f>
        <v>504190538</v>
      </c>
      <c r="F386" s="6" t="n">
        <f aca="false">ROUND(Building_Levels!$I$2*(A386+1)^1.9*1.003^A386,2)</f>
        <v>108.9</v>
      </c>
      <c r="G386" s="6" t="n">
        <f aca="false">ROUND((A386+1)^1.12,1)</f>
        <v>779.7</v>
      </c>
    </row>
    <row r="387" customFormat="false" ht="15" hidden="false" customHeight="true" outlineLevel="0" collapsed="false">
      <c r="A387" s="6" t="n">
        <v>382</v>
      </c>
      <c r="B387" s="6" t="n">
        <f aca="false">MIN(42, FLOOR(A387/32,1)+1)</f>
        <v>12</v>
      </c>
      <c r="C387" s="6" t="n">
        <f aca="false">ROUND($B$2*(A387+1)^2.4*1.004^A387,0)</f>
        <v>654934487</v>
      </c>
      <c r="D387" s="6" t="n">
        <f aca="false">ROUND($D$2*(A387+1)^2.4*1.004^A387,0)</f>
        <v>582163989</v>
      </c>
      <c r="E387" s="6" t="n">
        <f aca="false">ROUND($F$2*(A387+1)^2.4*1.004^A387,0)</f>
        <v>509393490</v>
      </c>
      <c r="F387" s="6" t="n">
        <f aca="false">ROUND(Building_Levels!$I$2*(A387+1)^1.9*1.003^A387,2)</f>
        <v>109.77</v>
      </c>
      <c r="G387" s="6" t="n">
        <f aca="false">ROUND((A387+1)^1.12,1)</f>
        <v>782</v>
      </c>
    </row>
    <row r="388" customFormat="false" ht="15" hidden="false" customHeight="true" outlineLevel="0" collapsed="false">
      <c r="A388" s="6" t="n">
        <v>383</v>
      </c>
      <c r="B388" s="6" t="n">
        <f aca="false">MIN(42, FLOOR(A388/32,1)+1)</f>
        <v>12</v>
      </c>
      <c r="C388" s="6" t="n">
        <f aca="false">ROUND($B$2*(A388+1)^2.4*1.004^A388,0)</f>
        <v>661682203</v>
      </c>
      <c r="D388" s="6" t="n">
        <f aca="false">ROUND($D$2*(A388+1)^2.4*1.004^A388,0)</f>
        <v>588161958</v>
      </c>
      <c r="E388" s="6" t="n">
        <f aca="false">ROUND($F$2*(A388+1)^2.4*1.004^A388,0)</f>
        <v>514641713</v>
      </c>
      <c r="F388" s="6" t="n">
        <f aca="false">ROUND(Building_Levels!$I$2*(A388+1)^1.9*1.003^A388,2)</f>
        <v>110.65</v>
      </c>
      <c r="G388" s="6" t="n">
        <f aca="false">ROUND((A388+1)^1.12,1)</f>
        <v>784.2</v>
      </c>
    </row>
    <row r="389" customFormat="false" ht="15" hidden="false" customHeight="true" outlineLevel="0" collapsed="false">
      <c r="A389" s="6" t="n">
        <v>384</v>
      </c>
      <c r="B389" s="6" t="n">
        <f aca="false">MIN(42, FLOOR(A389/32,1)+1)</f>
        <v>13</v>
      </c>
      <c r="C389" s="6" t="n">
        <f aca="false">ROUND($B$2*(A389+1)^2.4*1.004^A389,0)</f>
        <v>668488559</v>
      </c>
      <c r="D389" s="6" t="n">
        <f aca="false">ROUND($D$2*(A389+1)^2.4*1.004^A389,0)</f>
        <v>594212053</v>
      </c>
      <c r="E389" s="6" t="n">
        <f aca="false">ROUND($F$2*(A389+1)^2.4*1.004^A389,0)</f>
        <v>519935546</v>
      </c>
      <c r="F389" s="6" t="n">
        <f aca="false">ROUND(Building_Levels!$I$2*(A389+1)^1.9*1.003^A389,2)</f>
        <v>111.53</v>
      </c>
      <c r="G389" s="6" t="n">
        <f aca="false">ROUND((A389+1)^1.12,1)</f>
        <v>786.5</v>
      </c>
    </row>
    <row r="390" customFormat="false" ht="15" hidden="false" customHeight="true" outlineLevel="0" collapsed="false">
      <c r="A390" s="6" t="n">
        <v>385</v>
      </c>
      <c r="B390" s="6" t="n">
        <f aca="false">MIN(42, FLOOR(A390/32,1)+1)</f>
        <v>13</v>
      </c>
      <c r="C390" s="6" t="n">
        <f aca="false">ROUND($B$2*(A390+1)^2.4*1.004^A390,0)</f>
        <v>675353993</v>
      </c>
      <c r="D390" s="6" t="n">
        <f aca="false">ROUND($D$2*(A390+1)^2.4*1.004^A390,0)</f>
        <v>600314661</v>
      </c>
      <c r="E390" s="6" t="n">
        <f aca="false">ROUND($F$2*(A390+1)^2.4*1.004^A390,0)</f>
        <v>525275328</v>
      </c>
      <c r="F390" s="6" t="n">
        <f aca="false">ROUND(Building_Levels!$I$2*(A390+1)^1.9*1.003^A390,2)</f>
        <v>112.42</v>
      </c>
      <c r="G390" s="6" t="n">
        <f aca="false">ROUND((A390+1)^1.12,1)</f>
        <v>788.8</v>
      </c>
    </row>
    <row r="391" customFormat="false" ht="15" hidden="false" customHeight="true" outlineLevel="0" collapsed="false">
      <c r="A391" s="6" t="n">
        <v>386</v>
      </c>
      <c r="B391" s="6" t="n">
        <f aca="false">MIN(42, FLOOR(A391/32,1)+1)</f>
        <v>13</v>
      </c>
      <c r="C391" s="6" t="n">
        <f aca="false">ROUND($B$2*(A391+1)^2.4*1.004^A391,0)</f>
        <v>682278946</v>
      </c>
      <c r="D391" s="6" t="n">
        <f aca="false">ROUND($D$2*(A391+1)^2.4*1.004^A391,0)</f>
        <v>606470174</v>
      </c>
      <c r="E391" s="6" t="n">
        <f aca="false">ROUND($F$2*(A391+1)^2.4*1.004^A391,0)</f>
        <v>530661402</v>
      </c>
      <c r="F391" s="6" t="n">
        <f aca="false">ROUND(Building_Levels!$I$2*(A391+1)^1.9*1.003^A391,2)</f>
        <v>113.31</v>
      </c>
      <c r="G391" s="6" t="n">
        <f aca="false">ROUND((A391+1)^1.12,1)</f>
        <v>791.1</v>
      </c>
    </row>
    <row r="392" customFormat="false" ht="15" hidden="false" customHeight="true" outlineLevel="0" collapsed="false">
      <c r="A392" s="6" t="n">
        <v>387</v>
      </c>
      <c r="B392" s="6" t="n">
        <f aca="false">MIN(42, FLOOR(A392/32,1)+1)</f>
        <v>13</v>
      </c>
      <c r="C392" s="6" t="n">
        <f aca="false">ROUND($B$2*(A392+1)^2.4*1.004^A392,0)</f>
        <v>689263860</v>
      </c>
      <c r="D392" s="6" t="n">
        <f aca="false">ROUND($D$2*(A392+1)^2.4*1.004^A392,0)</f>
        <v>612678987</v>
      </c>
      <c r="E392" s="6" t="n">
        <f aca="false">ROUND($F$2*(A392+1)^2.4*1.004^A392,0)</f>
        <v>536094113</v>
      </c>
      <c r="F392" s="6" t="n">
        <f aca="false">ROUND(Building_Levels!$I$2*(A392+1)^1.9*1.003^A392,2)</f>
        <v>114.21</v>
      </c>
      <c r="G392" s="6" t="n">
        <f aca="false">ROUND((A392+1)^1.12,1)</f>
        <v>793.4</v>
      </c>
    </row>
    <row r="393" customFormat="false" ht="15" hidden="false" customHeight="true" outlineLevel="0" collapsed="false">
      <c r="A393" s="6" t="n">
        <v>388</v>
      </c>
      <c r="B393" s="6" t="n">
        <f aca="false">MIN(42, FLOOR(A393/32,1)+1)</f>
        <v>13</v>
      </c>
      <c r="C393" s="6" t="n">
        <f aca="false">ROUND($B$2*(A393+1)^2.4*1.004^A393,0)</f>
        <v>696309183</v>
      </c>
      <c r="D393" s="6" t="n">
        <f aca="false">ROUND($D$2*(A393+1)^2.4*1.004^A393,0)</f>
        <v>618941496</v>
      </c>
      <c r="E393" s="6" t="n">
        <f aca="false">ROUND($F$2*(A393+1)^2.4*1.004^A393,0)</f>
        <v>541573809</v>
      </c>
      <c r="F393" s="6" t="n">
        <f aca="false">ROUND(Building_Levels!$I$2*(A393+1)^1.9*1.003^A393,2)</f>
        <v>115.11</v>
      </c>
      <c r="G393" s="6" t="n">
        <f aca="false">ROUND((A393+1)^1.12,1)</f>
        <v>795.7</v>
      </c>
    </row>
    <row r="394" customFormat="false" ht="15" hidden="false" customHeight="true" outlineLevel="0" collapsed="false">
      <c r="A394" s="6" t="n">
        <v>389</v>
      </c>
      <c r="B394" s="6" t="n">
        <f aca="false">MIN(42, FLOOR(A394/32,1)+1)</f>
        <v>13</v>
      </c>
      <c r="C394" s="6" t="n">
        <f aca="false">ROUND($B$2*(A394+1)^2.4*1.004^A394,0)</f>
        <v>703415362</v>
      </c>
      <c r="D394" s="6" t="n">
        <f aca="false">ROUND($D$2*(A394+1)^2.4*1.004^A394,0)</f>
        <v>625258100</v>
      </c>
      <c r="E394" s="6" t="n">
        <f aca="false">ROUND($F$2*(A394+1)^2.4*1.004^A394,0)</f>
        <v>547100837</v>
      </c>
      <c r="F394" s="6" t="n">
        <f aca="false">ROUND(Building_Levels!$I$2*(A394+1)^1.9*1.003^A394,2)</f>
        <v>116.02</v>
      </c>
      <c r="G394" s="6" t="n">
        <f aca="false">ROUND((A394+1)^1.12,1)</f>
        <v>798</v>
      </c>
    </row>
    <row r="395" customFormat="false" ht="15" hidden="false" customHeight="true" outlineLevel="0" collapsed="false">
      <c r="A395" s="6" t="n">
        <v>390</v>
      </c>
      <c r="B395" s="6" t="n">
        <f aca="false">MIN(42, FLOOR(A395/32,1)+1)</f>
        <v>13</v>
      </c>
      <c r="C395" s="6" t="n">
        <f aca="false">ROUND($B$2*(A395+1)^2.4*1.004^A395,0)</f>
        <v>710582852</v>
      </c>
      <c r="D395" s="6" t="n">
        <f aca="false">ROUND($D$2*(A395+1)^2.4*1.004^A395,0)</f>
        <v>631629202</v>
      </c>
      <c r="E395" s="6" t="n">
        <f aca="false">ROUND($F$2*(A395+1)^2.4*1.004^A395,0)</f>
        <v>552675551</v>
      </c>
      <c r="F395" s="6" t="n">
        <f aca="false">ROUND(Building_Levels!$I$2*(A395+1)^1.9*1.003^A395,2)</f>
        <v>116.94</v>
      </c>
      <c r="G395" s="6" t="n">
        <f aca="false">ROUND((A395+1)^1.12,1)</f>
        <v>800.3</v>
      </c>
    </row>
    <row r="396" customFormat="false" ht="15" hidden="false" customHeight="true" outlineLevel="0" collapsed="false">
      <c r="A396" s="6" t="n">
        <v>391</v>
      </c>
      <c r="B396" s="6" t="n">
        <f aca="false">MIN(42, FLOOR(A396/32,1)+1)</f>
        <v>13</v>
      </c>
      <c r="C396" s="6" t="n">
        <f aca="false">ROUND($B$2*(A396+1)^2.4*1.004^A396,0)</f>
        <v>717812106</v>
      </c>
      <c r="D396" s="6" t="n">
        <f aca="false">ROUND($D$2*(A396+1)^2.4*1.004^A396,0)</f>
        <v>638055205</v>
      </c>
      <c r="E396" s="6" t="n">
        <f aca="false">ROUND($F$2*(A396+1)^2.4*1.004^A396,0)</f>
        <v>558298305</v>
      </c>
      <c r="F396" s="6" t="n">
        <f aca="false">ROUND(Building_Levels!$I$2*(A396+1)^1.9*1.003^A396,2)</f>
        <v>117.86</v>
      </c>
      <c r="G396" s="6" t="n">
        <f aca="false">ROUND((A396+1)^1.12,1)</f>
        <v>802.6</v>
      </c>
    </row>
    <row r="397" customFormat="false" ht="15" hidden="false" customHeight="true" outlineLevel="0" collapsed="false">
      <c r="A397" s="6" t="n">
        <v>392</v>
      </c>
      <c r="B397" s="6" t="n">
        <f aca="false">MIN(42, FLOOR(A397/32,1)+1)</f>
        <v>13</v>
      </c>
      <c r="C397" s="6" t="n">
        <f aca="false">ROUND($B$2*(A397+1)^2.4*1.004^A397,0)</f>
        <v>725103584</v>
      </c>
      <c r="D397" s="6" t="n">
        <f aca="false">ROUND($D$2*(A397+1)^2.4*1.004^A397,0)</f>
        <v>644536519</v>
      </c>
      <c r="E397" s="6" t="n">
        <f aca="false">ROUND($F$2*(A397+1)^2.4*1.004^A397,0)</f>
        <v>563969454</v>
      </c>
      <c r="F397" s="6" t="n">
        <f aca="false">ROUND(Building_Levels!$I$2*(A397+1)^1.9*1.003^A397,2)</f>
        <v>118.79</v>
      </c>
      <c r="G397" s="6" t="n">
        <f aca="false">ROUND((A397+1)^1.12,1)</f>
        <v>804.9</v>
      </c>
    </row>
    <row r="398" customFormat="false" ht="15" hidden="false" customHeight="true" outlineLevel="0" collapsed="false">
      <c r="A398" s="6" t="n">
        <v>393</v>
      </c>
      <c r="B398" s="6" t="n">
        <f aca="false">MIN(42, FLOOR(A398/32,1)+1)</f>
        <v>13</v>
      </c>
      <c r="C398" s="6" t="n">
        <f aca="false">ROUND($B$2*(A398+1)^2.4*1.004^A398,0)</f>
        <v>732457745</v>
      </c>
      <c r="D398" s="6" t="n">
        <f aca="false">ROUND($D$2*(A398+1)^2.4*1.004^A398,0)</f>
        <v>651073551</v>
      </c>
      <c r="E398" s="6" t="n">
        <f aca="false">ROUND($F$2*(A398+1)^2.4*1.004^A398,0)</f>
        <v>569689357</v>
      </c>
      <c r="F398" s="6" t="n">
        <f aca="false">ROUND(Building_Levels!$I$2*(A398+1)^1.9*1.003^A398,2)</f>
        <v>119.72</v>
      </c>
      <c r="G398" s="6" t="n">
        <f aca="false">ROUND((A398+1)^1.12,1)</f>
        <v>807.2</v>
      </c>
    </row>
    <row r="399" customFormat="false" ht="15" hidden="false" customHeight="true" outlineLevel="0" collapsed="false">
      <c r="A399" s="6" t="n">
        <v>394</v>
      </c>
      <c r="B399" s="6" t="n">
        <f aca="false">MIN(42, FLOOR(A399/32,1)+1)</f>
        <v>13</v>
      </c>
      <c r="C399" s="6" t="n">
        <f aca="false">ROUND($B$2*(A399+1)^2.4*1.004^A399,0)</f>
        <v>739875056</v>
      </c>
      <c r="D399" s="6" t="n">
        <f aca="false">ROUND($D$2*(A399+1)^2.4*1.004^A399,0)</f>
        <v>657666716</v>
      </c>
      <c r="E399" s="6" t="n">
        <f aca="false">ROUND($F$2*(A399+1)^2.4*1.004^A399,0)</f>
        <v>575458377</v>
      </c>
      <c r="F399" s="6" t="n">
        <f aca="false">ROUND(Building_Levels!$I$2*(A399+1)^1.9*1.003^A399,2)</f>
        <v>120.66</v>
      </c>
      <c r="G399" s="6" t="n">
        <f aca="false">ROUND((A399+1)^1.12,1)</f>
        <v>809.4</v>
      </c>
    </row>
    <row r="400" customFormat="false" ht="15" hidden="false" customHeight="true" outlineLevel="0" collapsed="false">
      <c r="A400" s="6" t="n">
        <v>395</v>
      </c>
      <c r="B400" s="6" t="n">
        <f aca="false">MIN(42, FLOOR(A400/32,1)+1)</f>
        <v>13</v>
      </c>
      <c r="C400" s="6" t="n">
        <f aca="false">ROUND($B$2*(A400+1)^2.4*1.004^A400,0)</f>
        <v>747355982</v>
      </c>
      <c r="D400" s="6" t="n">
        <f aca="false">ROUND($D$2*(A400+1)^2.4*1.004^A400,0)</f>
        <v>664316429</v>
      </c>
      <c r="E400" s="6" t="n">
        <f aca="false">ROUND($F$2*(A400+1)^2.4*1.004^A400,0)</f>
        <v>581276875</v>
      </c>
      <c r="F400" s="6" t="n">
        <f aca="false">ROUND(Building_Levels!$I$2*(A400+1)^1.9*1.003^A400,2)</f>
        <v>121.6</v>
      </c>
      <c r="G400" s="6" t="n">
        <f aca="false">ROUND((A400+1)^1.12,1)</f>
        <v>811.7</v>
      </c>
    </row>
    <row r="401" customFormat="false" ht="15" hidden="false" customHeight="true" outlineLevel="0" collapsed="false">
      <c r="A401" s="6" t="n">
        <v>396</v>
      </c>
      <c r="B401" s="6" t="n">
        <f aca="false">MIN(42, FLOOR(A401/32,1)+1)</f>
        <v>13</v>
      </c>
      <c r="C401" s="6" t="n">
        <f aca="false">ROUND($B$2*(A401+1)^2.4*1.004^A401,0)</f>
        <v>754900995</v>
      </c>
      <c r="D401" s="6" t="n">
        <f aca="false">ROUND($D$2*(A401+1)^2.4*1.004^A401,0)</f>
        <v>671023107</v>
      </c>
      <c r="E401" s="6" t="n">
        <f aca="false">ROUND($F$2*(A401+1)^2.4*1.004^A401,0)</f>
        <v>587145219</v>
      </c>
      <c r="F401" s="6" t="n">
        <f aca="false">ROUND(Building_Levels!$I$2*(A401+1)^1.9*1.003^A401,2)</f>
        <v>122.56</v>
      </c>
      <c r="G401" s="6" t="n">
        <f aca="false">ROUND((A401+1)^1.12,1)</f>
        <v>814</v>
      </c>
    </row>
    <row r="402" customFormat="false" ht="15" hidden="false" customHeight="true" outlineLevel="0" collapsed="false">
      <c r="A402" s="6" t="n">
        <v>397</v>
      </c>
      <c r="B402" s="6" t="n">
        <f aca="false">MIN(42, FLOOR(A402/32,1)+1)</f>
        <v>13</v>
      </c>
      <c r="C402" s="6" t="n">
        <f aca="false">ROUND($B$2*(A402+1)^2.4*1.004^A402,0)</f>
        <v>762510569</v>
      </c>
      <c r="D402" s="6" t="n">
        <f aca="false">ROUND($D$2*(A402+1)^2.4*1.004^A402,0)</f>
        <v>677787172</v>
      </c>
      <c r="E402" s="6" t="n">
        <f aca="false">ROUND($F$2*(A402+1)^2.4*1.004^A402,0)</f>
        <v>593063776</v>
      </c>
      <c r="F402" s="6" t="n">
        <f aca="false">ROUND(Building_Levels!$I$2*(A402+1)^1.9*1.003^A402,2)</f>
        <v>123.51</v>
      </c>
      <c r="G402" s="6" t="n">
        <f aca="false">ROUND((A402+1)^1.12,1)</f>
        <v>816.3</v>
      </c>
    </row>
    <row r="403" customFormat="false" ht="15" hidden="false" customHeight="true" outlineLevel="0" collapsed="false">
      <c r="A403" s="6" t="n">
        <v>398</v>
      </c>
      <c r="B403" s="6" t="n">
        <f aca="false">MIN(42, FLOOR(A403/32,1)+1)</f>
        <v>13</v>
      </c>
      <c r="C403" s="6" t="n">
        <f aca="false">ROUND($B$2*(A403+1)^2.4*1.004^A403,0)</f>
        <v>770185179</v>
      </c>
      <c r="D403" s="6" t="n">
        <f aca="false">ROUND($D$2*(A403+1)^2.4*1.004^A403,0)</f>
        <v>684609048</v>
      </c>
      <c r="E403" s="6" t="n">
        <f aca="false">ROUND($F$2*(A403+1)^2.4*1.004^A403,0)</f>
        <v>599032917</v>
      </c>
      <c r="F403" s="6" t="n">
        <f aca="false">ROUND(Building_Levels!$I$2*(A403+1)^1.9*1.003^A403,2)</f>
        <v>124.47</v>
      </c>
      <c r="G403" s="6" t="n">
        <f aca="false">ROUND((A403+1)^1.12,1)</f>
        <v>818.6</v>
      </c>
    </row>
    <row r="404" customFormat="false" ht="15" hidden="false" customHeight="true" outlineLevel="0" collapsed="false">
      <c r="A404" s="6" t="n">
        <v>399</v>
      </c>
      <c r="B404" s="6" t="n">
        <f aca="false">MIN(42, FLOOR(A404/32,1)+1)</f>
        <v>13</v>
      </c>
      <c r="C404" s="6" t="n">
        <f aca="false">ROUND($B$2*(A404+1)^2.4*1.004^A404,0)</f>
        <v>777925306</v>
      </c>
      <c r="D404" s="6" t="n">
        <f aca="false">ROUND($D$2*(A404+1)^2.4*1.004^A404,0)</f>
        <v>691489161</v>
      </c>
      <c r="E404" s="6" t="n">
        <f aca="false">ROUND($F$2*(A404+1)^2.4*1.004^A404,0)</f>
        <v>605053016</v>
      </c>
      <c r="F404" s="6" t="n">
        <f aca="false">ROUND(Building_Levels!$I$2*(A404+1)^1.9*1.003^A404,2)</f>
        <v>125.44</v>
      </c>
      <c r="G404" s="6" t="n">
        <f aca="false">ROUND((A404+1)^1.12,1)</f>
        <v>820.9</v>
      </c>
    </row>
    <row r="405" customFormat="false" ht="15" hidden="false" customHeight="true" outlineLevel="0" collapsed="false">
      <c r="A405" s="6" t="n">
        <v>400</v>
      </c>
      <c r="B405" s="6" t="n">
        <f aca="false">MIN(42, FLOOR(A405/32,1)+1)</f>
        <v>13</v>
      </c>
      <c r="C405" s="6" t="n">
        <f aca="false">ROUND($B$2*(A405+1)^2.4*1.004^A405,0)</f>
        <v>785731433</v>
      </c>
      <c r="D405" s="6" t="n">
        <f aca="false">ROUND($D$2*(A405+1)^2.4*1.004^A405,0)</f>
        <v>698427940</v>
      </c>
      <c r="E405" s="6" t="n">
        <f aca="false">ROUND($F$2*(A405+1)^2.4*1.004^A405,0)</f>
        <v>611124448</v>
      </c>
      <c r="F405" s="6" t="n">
        <f aca="false">ROUND(Building_Levels!$I$2*(A405+1)^1.9*1.003^A405,2)</f>
        <v>126.42</v>
      </c>
      <c r="G405" s="6" t="n">
        <f aca="false">ROUND((A405+1)^1.12,1)</f>
        <v>823.2</v>
      </c>
    </row>
    <row r="406" customFormat="false" ht="15" hidden="false" customHeight="true" outlineLevel="0" collapsed="false">
      <c r="A406" s="6" t="n">
        <v>401</v>
      </c>
      <c r="B406" s="6" t="n">
        <f aca="false">MIN(42, FLOOR(A406/32,1)+1)</f>
        <v>13</v>
      </c>
      <c r="C406" s="6" t="n">
        <f aca="false">ROUND($B$2*(A406+1)^2.4*1.004^A406,0)</f>
        <v>793604046</v>
      </c>
      <c r="D406" s="6" t="n">
        <f aca="false">ROUND($D$2*(A406+1)^2.4*1.004^A406,0)</f>
        <v>705425819</v>
      </c>
      <c r="E406" s="6" t="n">
        <f aca="false">ROUND($F$2*(A406+1)^2.4*1.004^A406,0)</f>
        <v>617247591</v>
      </c>
      <c r="F406" s="6" t="n">
        <f aca="false">ROUND(Building_Levels!$I$2*(A406+1)^1.9*1.003^A406,2)</f>
        <v>127.4</v>
      </c>
      <c r="G406" s="6" t="n">
        <f aca="false">ROUND((A406+1)^1.12,1)</f>
        <v>825.5</v>
      </c>
    </row>
    <row r="407" customFormat="false" ht="15" hidden="false" customHeight="true" outlineLevel="0" collapsed="false">
      <c r="A407" s="6" t="n">
        <v>402</v>
      </c>
      <c r="B407" s="6" t="n">
        <f aca="false">MIN(42, FLOOR(A407/32,1)+1)</f>
        <v>13</v>
      </c>
      <c r="C407" s="6" t="n">
        <f aca="false">ROUND($B$2*(A407+1)^2.4*1.004^A407,0)</f>
        <v>801543634</v>
      </c>
      <c r="D407" s="6" t="n">
        <f aca="false">ROUND($D$2*(A407+1)^2.4*1.004^A407,0)</f>
        <v>712483231</v>
      </c>
      <c r="E407" s="6" t="n">
        <f aca="false">ROUND($F$2*(A407+1)^2.4*1.004^A407,0)</f>
        <v>623422827</v>
      </c>
      <c r="F407" s="6" t="n">
        <f aca="false">ROUND(Building_Levels!$I$2*(A407+1)^1.9*1.003^A407,2)</f>
        <v>128.39</v>
      </c>
      <c r="G407" s="6" t="n">
        <f aca="false">ROUND((A407+1)^1.12,1)</f>
        <v>827.8</v>
      </c>
    </row>
    <row r="408" customFormat="false" ht="15" hidden="false" customHeight="true" outlineLevel="0" collapsed="false">
      <c r="A408" s="6" t="n">
        <v>403</v>
      </c>
      <c r="B408" s="6" t="n">
        <f aca="false">MIN(42, FLOOR(A408/32,1)+1)</f>
        <v>13</v>
      </c>
      <c r="C408" s="6" t="n">
        <f aca="false">ROUND($B$2*(A408+1)^2.4*1.004^A408,0)</f>
        <v>809550691</v>
      </c>
      <c r="D408" s="6" t="n">
        <f aca="false">ROUND($D$2*(A408+1)^2.4*1.004^A408,0)</f>
        <v>719600614</v>
      </c>
      <c r="E408" s="6" t="n">
        <f aca="false">ROUND($F$2*(A408+1)^2.4*1.004^A408,0)</f>
        <v>629650537</v>
      </c>
      <c r="F408" s="6" t="n">
        <f aca="false">ROUND(Building_Levels!$I$2*(A408+1)^1.9*1.003^A408,2)</f>
        <v>129.38</v>
      </c>
      <c r="G408" s="6" t="n">
        <f aca="false">ROUND((A408+1)^1.12,1)</f>
        <v>830.1</v>
      </c>
    </row>
    <row r="409" customFormat="false" ht="15" hidden="false" customHeight="true" outlineLevel="0" collapsed="false">
      <c r="A409" s="6" t="n">
        <v>404</v>
      </c>
      <c r="B409" s="6" t="n">
        <f aca="false">MIN(42, FLOOR(A409/32,1)+1)</f>
        <v>13</v>
      </c>
      <c r="C409" s="6" t="n">
        <f aca="false">ROUND($B$2*(A409+1)^2.4*1.004^A409,0)</f>
        <v>817625711</v>
      </c>
      <c r="D409" s="6" t="n">
        <f aca="false">ROUND($D$2*(A409+1)^2.4*1.004^A409,0)</f>
        <v>726778410</v>
      </c>
      <c r="E409" s="6" t="n">
        <f aca="false">ROUND($F$2*(A409+1)^2.4*1.004^A409,0)</f>
        <v>635931109</v>
      </c>
      <c r="F409" s="6" t="n">
        <f aca="false">ROUND(Building_Levels!$I$2*(A409+1)^1.9*1.003^A409,2)</f>
        <v>130.38</v>
      </c>
      <c r="G409" s="6" t="n">
        <f aca="false">ROUND((A409+1)^1.12,1)</f>
        <v>832.4</v>
      </c>
    </row>
    <row r="410" customFormat="false" ht="15" hidden="false" customHeight="true" outlineLevel="0" collapsed="false">
      <c r="A410" s="6" t="n">
        <v>405</v>
      </c>
      <c r="B410" s="6" t="n">
        <f aca="false">MIN(42, FLOOR(A410/32,1)+1)</f>
        <v>13</v>
      </c>
      <c r="C410" s="6" t="n">
        <f aca="false">ROUND($B$2*(A410+1)^2.4*1.004^A410,0)</f>
        <v>825769195</v>
      </c>
      <c r="D410" s="6" t="n">
        <f aca="false">ROUND($D$2*(A410+1)^2.4*1.004^A410,0)</f>
        <v>734017062</v>
      </c>
      <c r="E410" s="6" t="n">
        <f aca="false">ROUND($F$2*(A410+1)^2.4*1.004^A410,0)</f>
        <v>642264929</v>
      </c>
      <c r="F410" s="6" t="n">
        <f aca="false">ROUND(Building_Levels!$I$2*(A410+1)^1.9*1.003^A410,2)</f>
        <v>131.38</v>
      </c>
      <c r="G410" s="6" t="n">
        <f aca="false">ROUND((A410+1)^1.12,1)</f>
        <v>834.7</v>
      </c>
    </row>
    <row r="411" customFormat="false" ht="15" hidden="false" customHeight="true" outlineLevel="0" collapsed="false">
      <c r="A411" s="6" t="n">
        <v>406</v>
      </c>
      <c r="B411" s="6" t="n">
        <f aca="false">MIN(42, FLOOR(A411/32,1)+1)</f>
        <v>13</v>
      </c>
      <c r="C411" s="6" t="n">
        <f aca="false">ROUND($B$2*(A411+1)^2.4*1.004^A411,0)</f>
        <v>833981644</v>
      </c>
      <c r="D411" s="6" t="n">
        <f aca="false">ROUND($D$2*(A411+1)^2.4*1.004^A411,0)</f>
        <v>741317017</v>
      </c>
      <c r="E411" s="6" t="n">
        <f aca="false">ROUND($F$2*(A411+1)^2.4*1.004^A411,0)</f>
        <v>648652390</v>
      </c>
      <c r="F411" s="6" t="n">
        <f aca="false">ROUND(Building_Levels!$I$2*(A411+1)^1.9*1.003^A411,2)</f>
        <v>132.39</v>
      </c>
      <c r="G411" s="6" t="n">
        <f aca="false">ROUND((A411+1)^1.12,1)</f>
        <v>837</v>
      </c>
    </row>
    <row r="412" customFormat="false" ht="15" hidden="false" customHeight="true" outlineLevel="0" collapsed="false">
      <c r="A412" s="6" t="n">
        <v>407</v>
      </c>
      <c r="B412" s="6" t="n">
        <f aca="false">MIN(42, FLOOR(A412/32,1)+1)</f>
        <v>13</v>
      </c>
      <c r="C412" s="6" t="n">
        <f aca="false">ROUND($B$2*(A412+1)^2.4*1.004^A412,0)</f>
        <v>842263565</v>
      </c>
      <c r="D412" s="6" t="n">
        <f aca="false">ROUND($D$2*(A412+1)^2.4*1.004^A412,0)</f>
        <v>748678724</v>
      </c>
      <c r="E412" s="6" t="n">
        <f aca="false">ROUND($F$2*(A412+1)^2.4*1.004^A412,0)</f>
        <v>655093884</v>
      </c>
      <c r="F412" s="6" t="n">
        <f aca="false">ROUND(Building_Levels!$I$2*(A412+1)^1.9*1.003^A412,2)</f>
        <v>133.41</v>
      </c>
      <c r="G412" s="6" t="n">
        <f aca="false">ROUND((A412+1)^1.12,1)</f>
        <v>839.3</v>
      </c>
    </row>
    <row r="413" customFormat="false" ht="15" hidden="false" customHeight="true" outlineLevel="0" collapsed="false">
      <c r="A413" s="6" t="n">
        <v>408</v>
      </c>
      <c r="B413" s="6" t="n">
        <f aca="false">MIN(42, FLOOR(A413/32,1)+1)</f>
        <v>13</v>
      </c>
      <c r="C413" s="6" t="n">
        <f aca="false">ROUND($B$2*(A413+1)^2.4*1.004^A413,0)</f>
        <v>850615466</v>
      </c>
      <c r="D413" s="6" t="n">
        <f aca="false">ROUND($D$2*(A413+1)^2.4*1.004^A413,0)</f>
        <v>756102636</v>
      </c>
      <c r="E413" s="6" t="n">
        <f aca="false">ROUND($F$2*(A413+1)^2.4*1.004^A413,0)</f>
        <v>661589807</v>
      </c>
      <c r="F413" s="6" t="n">
        <f aca="false">ROUND(Building_Levels!$I$2*(A413+1)^1.9*1.003^A413,2)</f>
        <v>134.44</v>
      </c>
      <c r="G413" s="6" t="n">
        <f aca="false">ROUND((A413+1)^1.12,1)</f>
        <v>841.6</v>
      </c>
    </row>
    <row r="414" customFormat="false" ht="15" hidden="false" customHeight="true" outlineLevel="0" collapsed="false">
      <c r="A414" s="6" t="n">
        <v>409</v>
      </c>
      <c r="B414" s="6" t="n">
        <f aca="false">MIN(42, FLOOR(A414/32,1)+1)</f>
        <v>13</v>
      </c>
      <c r="C414" s="6" t="n">
        <f aca="false">ROUND($B$2*(A414+1)^2.4*1.004^A414,0)</f>
        <v>859037859</v>
      </c>
      <c r="D414" s="6" t="n">
        <f aca="false">ROUND($D$2*(A414+1)^2.4*1.004^A414,0)</f>
        <v>763589208</v>
      </c>
      <c r="E414" s="6" t="n">
        <f aca="false">ROUND($F$2*(A414+1)^2.4*1.004^A414,0)</f>
        <v>668140557</v>
      </c>
      <c r="F414" s="6" t="n">
        <f aca="false">ROUND(Building_Levels!$I$2*(A414+1)^1.9*1.003^A414,2)</f>
        <v>135.47</v>
      </c>
      <c r="G414" s="6" t="n">
        <f aca="false">ROUND((A414+1)^1.12,1)</f>
        <v>844</v>
      </c>
    </row>
    <row r="415" customFormat="false" ht="15" hidden="false" customHeight="true" outlineLevel="0" collapsed="false">
      <c r="A415" s="6" t="n">
        <v>410</v>
      </c>
      <c r="B415" s="6" t="n">
        <f aca="false">MIN(42, FLOOR(A415/32,1)+1)</f>
        <v>13</v>
      </c>
      <c r="C415" s="6" t="n">
        <f aca="false">ROUND($B$2*(A415+1)^2.4*1.004^A415,0)</f>
        <v>867531262</v>
      </c>
      <c r="D415" s="6" t="n">
        <f aca="false">ROUND($D$2*(A415+1)^2.4*1.004^A415,0)</f>
        <v>771138899</v>
      </c>
      <c r="E415" s="6" t="n">
        <f aca="false">ROUND($F$2*(A415+1)^2.4*1.004^A415,0)</f>
        <v>674746537</v>
      </c>
      <c r="F415" s="6" t="n">
        <f aca="false">ROUND(Building_Levels!$I$2*(A415+1)^1.9*1.003^A415,2)</f>
        <v>136.5</v>
      </c>
      <c r="G415" s="6" t="n">
        <f aca="false">ROUND((A415+1)^1.12,1)</f>
        <v>846.3</v>
      </c>
    </row>
    <row r="416" customFormat="false" ht="15" hidden="false" customHeight="true" outlineLevel="0" collapsed="false">
      <c r="A416" s="6" t="n">
        <v>411</v>
      </c>
      <c r="B416" s="6" t="n">
        <f aca="false">MIN(42, FLOOR(A416/32,1)+1)</f>
        <v>13</v>
      </c>
      <c r="C416" s="6" t="n">
        <f aca="false">ROUND($B$2*(A416+1)^2.4*1.004^A416,0)</f>
        <v>876096192</v>
      </c>
      <c r="D416" s="6" t="n">
        <f aca="false">ROUND($D$2*(A416+1)^2.4*1.004^A416,0)</f>
        <v>778752170</v>
      </c>
      <c r="E416" s="6" t="n">
        <f aca="false">ROUND($F$2*(A416+1)^2.4*1.004^A416,0)</f>
        <v>681408149</v>
      </c>
      <c r="F416" s="6" t="n">
        <f aca="false">ROUND(Building_Levels!$I$2*(A416+1)^1.9*1.003^A416,2)</f>
        <v>137.55</v>
      </c>
      <c r="G416" s="6" t="n">
        <f aca="false">ROUND((A416+1)^1.12,1)</f>
        <v>848.6</v>
      </c>
    </row>
    <row r="417" customFormat="false" ht="15" hidden="false" customHeight="true" outlineLevel="0" collapsed="false">
      <c r="A417" s="6" t="n">
        <v>412</v>
      </c>
      <c r="B417" s="6" t="n">
        <f aca="false">MIN(42, FLOOR(A417/32,1)+1)</f>
        <v>13</v>
      </c>
      <c r="C417" s="6" t="n">
        <f aca="false">ROUND($B$2*(A417+1)^2.4*1.004^A417,0)</f>
        <v>884733172</v>
      </c>
      <c r="D417" s="6" t="n">
        <f aca="false">ROUND($D$2*(A417+1)^2.4*1.004^A417,0)</f>
        <v>786429486</v>
      </c>
      <c r="E417" s="6" t="n">
        <f aca="false">ROUND($F$2*(A417+1)^2.4*1.004^A417,0)</f>
        <v>688125800</v>
      </c>
      <c r="F417" s="6" t="n">
        <f aca="false">ROUND(Building_Levels!$I$2*(A417+1)^1.9*1.003^A417,2)</f>
        <v>138.6</v>
      </c>
      <c r="G417" s="6" t="n">
        <f aca="false">ROUND((A417+1)^1.12,1)</f>
        <v>850.9</v>
      </c>
    </row>
    <row r="418" customFormat="false" ht="15" hidden="false" customHeight="true" outlineLevel="0" collapsed="false">
      <c r="A418" s="6" t="n">
        <v>413</v>
      </c>
      <c r="B418" s="6" t="n">
        <f aca="false">MIN(42, FLOOR(A418/32,1)+1)</f>
        <v>13</v>
      </c>
      <c r="C418" s="6" t="n">
        <f aca="false">ROUND($B$2*(A418+1)^2.4*1.004^A418,0)</f>
        <v>893442728</v>
      </c>
      <c r="D418" s="6" t="n">
        <f aca="false">ROUND($D$2*(A418+1)^2.4*1.004^A418,0)</f>
        <v>794171314</v>
      </c>
      <c r="E418" s="6" t="n">
        <f aca="false">ROUND($F$2*(A418+1)^2.4*1.004^A418,0)</f>
        <v>694899899</v>
      </c>
      <c r="F418" s="6" t="n">
        <f aca="false">ROUND(Building_Levels!$I$2*(A418+1)^1.9*1.003^A418,2)</f>
        <v>139.65</v>
      </c>
      <c r="G418" s="6" t="n">
        <f aca="false">ROUND((A418+1)^1.12,1)</f>
        <v>853.2</v>
      </c>
    </row>
    <row r="419" customFormat="false" ht="15" hidden="false" customHeight="true" outlineLevel="0" collapsed="false">
      <c r="A419" s="6" t="n">
        <v>414</v>
      </c>
      <c r="B419" s="6" t="n">
        <f aca="false">MIN(42, FLOOR(A419/32,1)+1)</f>
        <v>13</v>
      </c>
      <c r="C419" s="6" t="n">
        <f aca="false">ROUND($B$2*(A419+1)^2.4*1.004^A419,0)</f>
        <v>902225390</v>
      </c>
      <c r="D419" s="6" t="n">
        <f aca="false">ROUND($D$2*(A419+1)^2.4*1.004^A419,0)</f>
        <v>801978124</v>
      </c>
      <c r="E419" s="6" t="n">
        <f aca="false">ROUND($F$2*(A419+1)^2.4*1.004^A419,0)</f>
        <v>701730859</v>
      </c>
      <c r="F419" s="6" t="n">
        <f aca="false">ROUND(Building_Levels!$I$2*(A419+1)^1.9*1.003^A419,2)</f>
        <v>140.71</v>
      </c>
      <c r="G419" s="6" t="n">
        <f aca="false">ROUND((A419+1)^1.12,1)</f>
        <v>855.5</v>
      </c>
    </row>
    <row r="420" customFormat="false" ht="15" hidden="false" customHeight="true" outlineLevel="0" collapsed="false">
      <c r="A420" s="6" t="n">
        <v>415</v>
      </c>
      <c r="B420" s="6" t="n">
        <f aca="false">MIN(42, FLOOR(A420/32,1)+1)</f>
        <v>13</v>
      </c>
      <c r="C420" s="6" t="n">
        <f aca="false">ROUND($B$2*(A420+1)^2.4*1.004^A420,0)</f>
        <v>911081690</v>
      </c>
      <c r="D420" s="6" t="n">
        <f aca="false">ROUND($D$2*(A420+1)^2.4*1.004^A420,0)</f>
        <v>809850391</v>
      </c>
      <c r="E420" s="6" t="n">
        <f aca="false">ROUND($F$2*(A420+1)^2.4*1.004^A420,0)</f>
        <v>708619092</v>
      </c>
      <c r="F420" s="6" t="n">
        <f aca="false">ROUND(Building_Levels!$I$2*(A420+1)^1.9*1.003^A420,2)</f>
        <v>141.78</v>
      </c>
      <c r="G420" s="6" t="n">
        <f aca="false">ROUND((A420+1)^1.12,1)</f>
        <v>857.8</v>
      </c>
    </row>
    <row r="421" customFormat="false" ht="15" hidden="false" customHeight="true" outlineLevel="0" collapsed="false">
      <c r="A421" s="6" t="n">
        <v>416</v>
      </c>
      <c r="B421" s="6" t="n">
        <f aca="false">MIN(42, FLOOR(A421/32,1)+1)</f>
        <v>14</v>
      </c>
      <c r="C421" s="6" t="n">
        <f aca="false">ROUND($B$2*(A421+1)^2.4*1.004^A421,0)</f>
        <v>920012165</v>
      </c>
      <c r="D421" s="6" t="n">
        <f aca="false">ROUND($D$2*(A421+1)^2.4*1.004^A421,0)</f>
        <v>817788591</v>
      </c>
      <c r="E421" s="6" t="n">
        <f aca="false">ROUND($F$2*(A421+1)^2.4*1.004^A421,0)</f>
        <v>715565017</v>
      </c>
      <c r="F421" s="6" t="n">
        <f aca="false">ROUND(Building_Levels!$I$2*(A421+1)^1.9*1.003^A421,2)</f>
        <v>142.86</v>
      </c>
      <c r="G421" s="6" t="n">
        <f aca="false">ROUND((A421+1)^1.12,1)</f>
        <v>860.1</v>
      </c>
    </row>
    <row r="422" customFormat="false" ht="15" hidden="false" customHeight="true" outlineLevel="0" collapsed="false">
      <c r="A422" s="6" t="n">
        <v>417</v>
      </c>
      <c r="B422" s="6" t="n">
        <f aca="false">MIN(42, FLOOR(A422/32,1)+1)</f>
        <v>14</v>
      </c>
      <c r="C422" s="6" t="n">
        <f aca="false">ROUND($B$2*(A422+1)^2.4*1.004^A422,0)</f>
        <v>929017355</v>
      </c>
      <c r="D422" s="6" t="n">
        <f aca="false">ROUND($D$2*(A422+1)^2.4*1.004^A422,0)</f>
        <v>825793204</v>
      </c>
      <c r="E422" s="6" t="n">
        <f aca="false">ROUND($F$2*(A422+1)^2.4*1.004^A422,0)</f>
        <v>722569054</v>
      </c>
      <c r="F422" s="6" t="n">
        <f aca="false">ROUND(Building_Levels!$I$2*(A422+1)^1.9*1.003^A422,2)</f>
        <v>143.94</v>
      </c>
      <c r="G422" s="6" t="n">
        <f aca="false">ROUND((A422+1)^1.12,1)</f>
        <v>862.4</v>
      </c>
    </row>
    <row r="423" customFormat="false" ht="15" hidden="false" customHeight="true" outlineLevel="0" collapsed="false">
      <c r="A423" s="6" t="n">
        <v>418</v>
      </c>
      <c r="B423" s="6" t="n">
        <f aca="false">MIN(42, FLOOR(A423/32,1)+1)</f>
        <v>14</v>
      </c>
      <c r="C423" s="6" t="n">
        <f aca="false">ROUND($B$2*(A423+1)^2.4*1.004^A423,0)</f>
        <v>938097803</v>
      </c>
      <c r="D423" s="6" t="n">
        <f aca="false">ROUND($D$2*(A423+1)^2.4*1.004^A423,0)</f>
        <v>833864714</v>
      </c>
      <c r="E423" s="6" t="n">
        <f aca="false">ROUND($F$2*(A423+1)^2.4*1.004^A423,0)</f>
        <v>729631624</v>
      </c>
      <c r="F423" s="6" t="n">
        <f aca="false">ROUND(Building_Levels!$I$2*(A423+1)^1.9*1.003^A423,2)</f>
        <v>145.03</v>
      </c>
      <c r="G423" s="6" t="n">
        <f aca="false">ROUND((A423+1)^1.12,1)</f>
        <v>864.7</v>
      </c>
    </row>
    <row r="424" customFormat="false" ht="15" hidden="false" customHeight="true" outlineLevel="0" collapsed="false">
      <c r="A424" s="6" t="n">
        <v>419</v>
      </c>
      <c r="B424" s="6" t="n">
        <f aca="false">MIN(42, FLOOR(A424/32,1)+1)</f>
        <v>14</v>
      </c>
      <c r="C424" s="6" t="n">
        <f aca="false">ROUND($B$2*(A424+1)^2.4*1.004^A424,0)</f>
        <v>947254056</v>
      </c>
      <c r="D424" s="6" t="n">
        <f aca="false">ROUND($D$2*(A424+1)^2.4*1.004^A424,0)</f>
        <v>842003605</v>
      </c>
      <c r="E424" s="6" t="n">
        <f aca="false">ROUND($F$2*(A424+1)^2.4*1.004^A424,0)</f>
        <v>736753154</v>
      </c>
      <c r="F424" s="6" t="n">
        <f aca="false">ROUND(Building_Levels!$I$2*(A424+1)^1.9*1.003^A424,2)</f>
        <v>146.13</v>
      </c>
      <c r="G424" s="6" t="n">
        <f aca="false">ROUND((A424+1)^1.12,1)</f>
        <v>867</v>
      </c>
    </row>
    <row r="425" customFormat="false" ht="15" hidden="false" customHeight="true" outlineLevel="0" collapsed="false">
      <c r="A425" s="6" t="n">
        <v>420</v>
      </c>
      <c r="B425" s="6" t="n">
        <f aca="false">MIN(42, FLOOR(A425/32,1)+1)</f>
        <v>14</v>
      </c>
      <c r="C425" s="6" t="n">
        <f aca="false">ROUND($B$2*(A425+1)^2.4*1.004^A425,0)</f>
        <v>956486664</v>
      </c>
      <c r="D425" s="6" t="n">
        <f aca="false">ROUND($D$2*(A425+1)^2.4*1.004^A425,0)</f>
        <v>850210368</v>
      </c>
      <c r="E425" s="6" t="n">
        <f aca="false">ROUND($F$2*(A425+1)^2.4*1.004^A425,0)</f>
        <v>743934072</v>
      </c>
      <c r="F425" s="6" t="n">
        <f aca="false">ROUND(Building_Levels!$I$2*(A425+1)^1.9*1.003^A425,2)</f>
        <v>147.23</v>
      </c>
      <c r="G425" s="6" t="n">
        <f aca="false">ROUND((A425+1)^1.12,1)</f>
        <v>869.4</v>
      </c>
    </row>
    <row r="426" customFormat="false" ht="15" hidden="false" customHeight="true" outlineLevel="0" collapsed="false">
      <c r="A426" s="6" t="n">
        <v>421</v>
      </c>
      <c r="B426" s="6" t="n">
        <f aca="false">MIN(42, FLOOR(A426/32,1)+1)</f>
        <v>14</v>
      </c>
      <c r="C426" s="6" t="n">
        <f aca="false">ROUND($B$2*(A426+1)^2.4*1.004^A426,0)</f>
        <v>965796182</v>
      </c>
      <c r="D426" s="6" t="n">
        <f aca="false">ROUND($D$2*(A426+1)^2.4*1.004^A426,0)</f>
        <v>858485495</v>
      </c>
      <c r="E426" s="6" t="n">
        <f aca="false">ROUND($F$2*(A426+1)^2.4*1.004^A426,0)</f>
        <v>751174808</v>
      </c>
      <c r="F426" s="6" t="n">
        <f aca="false">ROUND(Building_Levels!$I$2*(A426+1)^1.9*1.003^A426,2)</f>
        <v>148.34</v>
      </c>
      <c r="G426" s="6" t="n">
        <f aca="false">ROUND((A426+1)^1.12,1)</f>
        <v>871.7</v>
      </c>
    </row>
    <row r="427" customFormat="false" ht="15" hidden="false" customHeight="true" outlineLevel="0" collapsed="false">
      <c r="A427" s="6" t="n">
        <v>422</v>
      </c>
      <c r="B427" s="6" t="n">
        <f aca="false">MIN(42, FLOOR(A427/32,1)+1)</f>
        <v>14</v>
      </c>
      <c r="C427" s="6" t="n">
        <f aca="false">ROUND($B$2*(A427+1)^2.4*1.004^A427,0)</f>
        <v>975183168</v>
      </c>
      <c r="D427" s="6" t="n">
        <f aca="false">ROUND($D$2*(A427+1)^2.4*1.004^A427,0)</f>
        <v>866829483</v>
      </c>
      <c r="E427" s="6" t="n">
        <f aca="false">ROUND($F$2*(A427+1)^2.4*1.004^A427,0)</f>
        <v>758475797</v>
      </c>
      <c r="F427" s="6" t="n">
        <f aca="false">ROUND(Building_Levels!$I$2*(A427+1)^1.9*1.003^A427,2)</f>
        <v>149.45</v>
      </c>
      <c r="G427" s="6" t="n">
        <f aca="false">ROUND((A427+1)^1.12,1)</f>
        <v>874</v>
      </c>
    </row>
    <row r="428" customFormat="false" ht="15" hidden="false" customHeight="true" outlineLevel="0" collapsed="false">
      <c r="A428" s="6" t="n">
        <v>423</v>
      </c>
      <c r="B428" s="6" t="n">
        <f aca="false">MIN(42, FLOOR(A428/32,1)+1)</f>
        <v>14</v>
      </c>
      <c r="C428" s="6" t="n">
        <f aca="false">ROUND($B$2*(A428+1)^2.4*1.004^A428,0)</f>
        <v>984648182</v>
      </c>
      <c r="D428" s="6" t="n">
        <f aca="false">ROUND($D$2*(A428+1)^2.4*1.004^A428,0)</f>
        <v>875242829</v>
      </c>
      <c r="E428" s="6" t="n">
        <f aca="false">ROUND($F$2*(A428+1)^2.4*1.004^A428,0)</f>
        <v>765837475</v>
      </c>
      <c r="F428" s="6" t="n">
        <f aca="false">ROUND(Building_Levels!$I$2*(A428+1)^1.9*1.003^A428,2)</f>
        <v>150.57</v>
      </c>
      <c r="G428" s="6" t="n">
        <f aca="false">ROUND((A428+1)^1.12,1)</f>
        <v>876.3</v>
      </c>
    </row>
    <row r="429" customFormat="false" ht="15" hidden="false" customHeight="true" outlineLevel="0" collapsed="false">
      <c r="A429" s="6" t="n">
        <v>424</v>
      </c>
      <c r="B429" s="6" t="n">
        <f aca="false">MIN(42, FLOOR(A429/32,1)+1)</f>
        <v>14</v>
      </c>
      <c r="C429" s="6" t="n">
        <f aca="false">ROUND($B$2*(A429+1)^2.4*1.004^A429,0)</f>
        <v>994191790</v>
      </c>
      <c r="D429" s="6" t="n">
        <f aca="false">ROUND($D$2*(A429+1)^2.4*1.004^A429,0)</f>
        <v>883726036</v>
      </c>
      <c r="E429" s="6" t="n">
        <f aca="false">ROUND($F$2*(A429+1)^2.4*1.004^A429,0)</f>
        <v>773260281</v>
      </c>
      <c r="F429" s="6" t="n">
        <f aca="false">ROUND(Building_Levels!$I$2*(A429+1)^1.9*1.003^A429,2)</f>
        <v>151.7</v>
      </c>
      <c r="G429" s="6" t="n">
        <f aca="false">ROUND((A429+1)^1.12,1)</f>
        <v>878.6</v>
      </c>
    </row>
    <row r="430" customFormat="false" ht="15" hidden="false" customHeight="true" outlineLevel="0" collapsed="false">
      <c r="A430" s="6" t="n">
        <v>425</v>
      </c>
      <c r="B430" s="6" t="n">
        <f aca="false">MIN(42, FLOOR(A430/32,1)+1)</f>
        <v>14</v>
      </c>
      <c r="C430" s="6" t="n">
        <f aca="false">ROUND($B$2*(A430+1)^2.4*1.004^A430,0)</f>
        <v>1003814561</v>
      </c>
      <c r="D430" s="6" t="n">
        <f aca="false">ROUND($D$2*(A430+1)^2.4*1.004^A430,0)</f>
        <v>892279610</v>
      </c>
      <c r="E430" s="6" t="n">
        <f aca="false">ROUND($F$2*(A430+1)^2.4*1.004^A430,0)</f>
        <v>780744659</v>
      </c>
      <c r="F430" s="6" t="n">
        <f aca="false">ROUND(Building_Levels!$I$2*(A430+1)^1.9*1.003^A430,2)</f>
        <v>152.84</v>
      </c>
      <c r="G430" s="6" t="n">
        <f aca="false">ROUND((A430+1)^1.12,1)</f>
        <v>880.9</v>
      </c>
    </row>
    <row r="431" customFormat="false" ht="15" hidden="false" customHeight="true" outlineLevel="0" collapsed="false">
      <c r="A431" s="6" t="n">
        <v>426</v>
      </c>
      <c r="B431" s="6" t="n">
        <f aca="false">MIN(42, FLOOR(A431/32,1)+1)</f>
        <v>14</v>
      </c>
      <c r="C431" s="6" t="n">
        <f aca="false">ROUND($B$2*(A431+1)^2.4*1.004^A431,0)</f>
        <v>1013517067</v>
      </c>
      <c r="D431" s="6" t="n">
        <f aca="false">ROUND($D$2*(A431+1)^2.4*1.004^A431,0)</f>
        <v>900904059</v>
      </c>
      <c r="E431" s="6" t="n">
        <f aca="false">ROUND($F$2*(A431+1)^2.4*1.004^A431,0)</f>
        <v>788291052</v>
      </c>
      <c r="F431" s="6" t="n">
        <f aca="false">ROUND(Building_Levels!$I$2*(A431+1)^1.9*1.003^A431,2)</f>
        <v>153.98</v>
      </c>
      <c r="G431" s="6" t="n">
        <f aca="false">ROUND((A431+1)^1.12,1)</f>
        <v>883.2</v>
      </c>
    </row>
    <row r="432" customFormat="false" ht="15" hidden="false" customHeight="true" outlineLevel="0" collapsed="false">
      <c r="A432" s="6" t="n">
        <v>427</v>
      </c>
      <c r="B432" s="6" t="n">
        <f aca="false">MIN(42, FLOOR(A432/32,1)+1)</f>
        <v>14</v>
      </c>
      <c r="C432" s="6" t="n">
        <f aca="false">ROUND($B$2*(A432+1)^2.4*1.004^A432,0)</f>
        <v>1023299883</v>
      </c>
      <c r="D432" s="6" t="n">
        <f aca="false">ROUND($D$2*(A432+1)^2.4*1.004^A432,0)</f>
        <v>909599896</v>
      </c>
      <c r="E432" s="6" t="n">
        <f aca="false">ROUND($F$2*(A432+1)^2.4*1.004^A432,0)</f>
        <v>795899909</v>
      </c>
      <c r="F432" s="6" t="n">
        <f aca="false">ROUND(Building_Levels!$I$2*(A432+1)^1.9*1.003^A432,2)</f>
        <v>155.13</v>
      </c>
      <c r="G432" s="6" t="n">
        <f aca="false">ROUND((A432+1)^1.12,1)</f>
        <v>885.6</v>
      </c>
    </row>
    <row r="433" customFormat="false" ht="15" hidden="false" customHeight="true" outlineLevel="0" collapsed="false">
      <c r="A433" s="6" t="n">
        <v>428</v>
      </c>
      <c r="B433" s="6" t="n">
        <f aca="false">MIN(42, FLOOR(A433/32,1)+1)</f>
        <v>14</v>
      </c>
      <c r="C433" s="6" t="n">
        <f aca="false">ROUND($B$2*(A433+1)^2.4*1.004^A433,0)</f>
        <v>1033163591</v>
      </c>
      <c r="D433" s="6" t="n">
        <f aca="false">ROUND($D$2*(A433+1)^2.4*1.004^A433,0)</f>
        <v>918367636</v>
      </c>
      <c r="E433" s="6" t="n">
        <f aca="false">ROUND($F$2*(A433+1)^2.4*1.004^A433,0)</f>
        <v>803571682</v>
      </c>
      <c r="F433" s="6" t="n">
        <f aca="false">ROUND(Building_Levels!$I$2*(A433+1)^1.9*1.003^A433,2)</f>
        <v>156.29</v>
      </c>
      <c r="G433" s="6" t="n">
        <f aca="false">ROUND((A433+1)^1.12,1)</f>
        <v>887.9</v>
      </c>
    </row>
    <row r="434" customFormat="false" ht="15" hidden="false" customHeight="true" outlineLevel="0" collapsed="false">
      <c r="A434" s="6" t="n">
        <v>429</v>
      </c>
      <c r="B434" s="6" t="n">
        <f aca="false">MIN(42, FLOOR(A434/32,1)+1)</f>
        <v>14</v>
      </c>
      <c r="C434" s="6" t="n">
        <f aca="false">ROUND($B$2*(A434+1)^2.4*1.004^A434,0)</f>
        <v>1043108773</v>
      </c>
      <c r="D434" s="6" t="n">
        <f aca="false">ROUND($D$2*(A434+1)^2.4*1.004^A434,0)</f>
        <v>927207798</v>
      </c>
      <c r="E434" s="6" t="n">
        <f aca="false">ROUND($F$2*(A434+1)^2.4*1.004^A434,0)</f>
        <v>811306823</v>
      </c>
      <c r="F434" s="6" t="n">
        <f aca="false">ROUND(Building_Levels!$I$2*(A434+1)^1.9*1.003^A434,2)</f>
        <v>157.45</v>
      </c>
      <c r="G434" s="6" t="n">
        <f aca="false">ROUND((A434+1)^1.12,1)</f>
        <v>890.2</v>
      </c>
    </row>
    <row r="435" customFormat="false" ht="15" hidden="false" customHeight="true" outlineLevel="0" collapsed="false">
      <c r="A435" s="6" t="n">
        <v>430</v>
      </c>
      <c r="B435" s="6" t="n">
        <f aca="false">MIN(42, FLOOR(A435/32,1)+1)</f>
        <v>14</v>
      </c>
      <c r="C435" s="6" t="n">
        <f aca="false">ROUND($B$2*(A435+1)^2.4*1.004^A435,0)</f>
        <v>1053136017</v>
      </c>
      <c r="D435" s="6" t="n">
        <f aca="false">ROUND($D$2*(A435+1)^2.4*1.004^A435,0)</f>
        <v>936120904</v>
      </c>
      <c r="E435" s="6" t="n">
        <f aca="false">ROUND($F$2*(A435+1)^2.4*1.004^A435,0)</f>
        <v>819105791</v>
      </c>
      <c r="F435" s="6" t="n">
        <f aca="false">ROUND(Building_Levels!$I$2*(A435+1)^1.9*1.003^A435,2)</f>
        <v>158.62</v>
      </c>
      <c r="G435" s="6" t="n">
        <f aca="false">ROUND((A435+1)^1.12,1)</f>
        <v>892.5</v>
      </c>
    </row>
    <row r="436" customFormat="false" ht="15" hidden="false" customHeight="true" outlineLevel="0" collapsed="false">
      <c r="A436" s="6" t="n">
        <v>431</v>
      </c>
      <c r="B436" s="6" t="n">
        <f aca="false">MIN(42, FLOOR(A436/32,1)+1)</f>
        <v>14</v>
      </c>
      <c r="C436" s="6" t="n">
        <f aca="false">ROUND($B$2*(A436+1)^2.4*1.004^A436,0)</f>
        <v>1063245914</v>
      </c>
      <c r="D436" s="6" t="n">
        <f aca="false">ROUND($D$2*(A436+1)^2.4*1.004^A436,0)</f>
        <v>945107479</v>
      </c>
      <c r="E436" s="6" t="n">
        <f aca="false">ROUND($F$2*(A436+1)^2.4*1.004^A436,0)</f>
        <v>826969044</v>
      </c>
      <c r="F436" s="6" t="n">
        <f aca="false">ROUND(Building_Levels!$I$2*(A436+1)^1.9*1.003^A436,2)</f>
        <v>159.8</v>
      </c>
      <c r="G436" s="6" t="n">
        <f aca="false">ROUND((A436+1)^1.12,1)</f>
        <v>894.8</v>
      </c>
    </row>
    <row r="437" customFormat="false" ht="15" hidden="false" customHeight="true" outlineLevel="0" collapsed="false">
      <c r="A437" s="6" t="n">
        <v>432</v>
      </c>
      <c r="B437" s="6" t="n">
        <f aca="false">MIN(42, FLOOR(A437/32,1)+1)</f>
        <v>14</v>
      </c>
      <c r="C437" s="6" t="n">
        <f aca="false">ROUND($B$2*(A437+1)^2.4*1.004^A437,0)</f>
        <v>1073439060</v>
      </c>
      <c r="D437" s="6" t="n">
        <f aca="false">ROUND($D$2*(A437+1)^2.4*1.004^A437,0)</f>
        <v>954168053</v>
      </c>
      <c r="E437" s="6" t="n">
        <f aca="false">ROUND($F$2*(A437+1)^2.4*1.004^A437,0)</f>
        <v>834897047</v>
      </c>
      <c r="F437" s="6" t="n">
        <f aca="false">ROUND(Building_Levels!$I$2*(A437+1)^1.9*1.003^A437,2)</f>
        <v>160.99</v>
      </c>
      <c r="G437" s="6" t="n">
        <f aca="false">ROUND((A437+1)^1.12,1)</f>
        <v>897.2</v>
      </c>
    </row>
    <row r="438" customFormat="false" ht="15" hidden="false" customHeight="true" outlineLevel="0" collapsed="false">
      <c r="A438" s="6" t="n">
        <v>433</v>
      </c>
      <c r="B438" s="6" t="n">
        <f aca="false">MIN(42, FLOOR(A438/32,1)+1)</f>
        <v>14</v>
      </c>
      <c r="C438" s="6" t="n">
        <f aca="false">ROUND($B$2*(A438+1)^2.4*1.004^A438,0)</f>
        <v>1083716053</v>
      </c>
      <c r="D438" s="6" t="n">
        <f aca="false">ROUND($D$2*(A438+1)^2.4*1.004^A438,0)</f>
        <v>963303158</v>
      </c>
      <c r="E438" s="6" t="n">
        <f aca="false">ROUND($F$2*(A438+1)^2.4*1.004^A438,0)</f>
        <v>842890263</v>
      </c>
      <c r="F438" s="6" t="n">
        <f aca="false">ROUND(Building_Levels!$I$2*(A438+1)^1.9*1.003^A438,2)</f>
        <v>162.18</v>
      </c>
      <c r="G438" s="6" t="n">
        <f aca="false">ROUND((A438+1)^1.12,1)</f>
        <v>899.5</v>
      </c>
    </row>
    <row r="439" customFormat="false" ht="15" hidden="false" customHeight="true" outlineLevel="0" collapsed="false">
      <c r="A439" s="6" t="n">
        <v>434</v>
      </c>
      <c r="B439" s="6" t="n">
        <f aca="false">MIN(42, FLOOR(A439/32,1)+1)</f>
        <v>14</v>
      </c>
      <c r="C439" s="6" t="n">
        <f aca="false">ROUND($B$2*(A439+1)^2.4*1.004^A439,0)</f>
        <v>1094077496</v>
      </c>
      <c r="D439" s="6" t="n">
        <f aca="false">ROUND($D$2*(A439+1)^2.4*1.004^A439,0)</f>
        <v>972513330</v>
      </c>
      <c r="E439" s="6" t="n">
        <f aca="false">ROUND($F$2*(A439+1)^2.4*1.004^A439,0)</f>
        <v>850949164</v>
      </c>
      <c r="F439" s="6" t="n">
        <f aca="false">ROUND(Building_Levels!$I$2*(A439+1)^1.9*1.003^A439,2)</f>
        <v>163.38</v>
      </c>
      <c r="G439" s="6" t="n">
        <f aca="false">ROUND((A439+1)^1.12,1)</f>
        <v>901.8</v>
      </c>
    </row>
    <row r="440" customFormat="false" ht="15" hidden="false" customHeight="true" outlineLevel="0" collapsed="false">
      <c r="A440" s="6" t="n">
        <v>435</v>
      </c>
      <c r="B440" s="6" t="n">
        <f aca="false">MIN(42, FLOOR(A440/32,1)+1)</f>
        <v>14</v>
      </c>
      <c r="C440" s="6" t="n">
        <f aca="false">ROUND($B$2*(A440+1)^2.4*1.004^A440,0)</f>
        <v>1104523996</v>
      </c>
      <c r="D440" s="6" t="n">
        <f aca="false">ROUND($D$2*(A440+1)^2.4*1.004^A440,0)</f>
        <v>981799108</v>
      </c>
      <c r="E440" s="6" t="n">
        <f aca="false">ROUND($F$2*(A440+1)^2.4*1.004^A440,0)</f>
        <v>859074219</v>
      </c>
      <c r="F440" s="6" t="n">
        <f aca="false">ROUND(Building_Levels!$I$2*(A440+1)^1.9*1.003^A440,2)</f>
        <v>164.59</v>
      </c>
      <c r="G440" s="6" t="n">
        <f aca="false">ROUND((A440+1)^1.12,1)</f>
        <v>904.1</v>
      </c>
    </row>
    <row r="441" customFormat="false" ht="15" hidden="false" customHeight="true" outlineLevel="0" collapsed="false">
      <c r="A441" s="6" t="n">
        <v>436</v>
      </c>
      <c r="B441" s="6" t="n">
        <f aca="false">MIN(42, FLOOR(A441/32,1)+1)</f>
        <v>14</v>
      </c>
      <c r="C441" s="6" t="n">
        <f aca="false">ROUND($B$2*(A441+1)^2.4*1.004^A441,0)</f>
        <v>1115056164</v>
      </c>
      <c r="D441" s="6" t="n">
        <f aca="false">ROUND($D$2*(A441+1)^2.4*1.004^A441,0)</f>
        <v>991161035</v>
      </c>
      <c r="E441" s="6" t="n">
        <f aca="false">ROUND($F$2*(A441+1)^2.4*1.004^A441,0)</f>
        <v>867265905</v>
      </c>
      <c r="F441" s="6" t="n">
        <f aca="false">ROUND(Building_Levels!$I$2*(A441+1)^1.9*1.003^A441,2)</f>
        <v>165.8</v>
      </c>
      <c r="G441" s="6" t="n">
        <f aca="false">ROUND((A441+1)^1.12,1)</f>
        <v>906.4</v>
      </c>
    </row>
    <row r="442" customFormat="false" ht="15" hidden="false" customHeight="true" outlineLevel="0" collapsed="false">
      <c r="A442" s="6" t="n">
        <v>437</v>
      </c>
      <c r="B442" s="6" t="n">
        <f aca="false">MIN(42, FLOOR(A442/32,1)+1)</f>
        <v>14</v>
      </c>
      <c r="C442" s="6" t="n">
        <f aca="false">ROUND($B$2*(A442+1)^2.4*1.004^A442,0)</f>
        <v>1125674614</v>
      </c>
      <c r="D442" s="6" t="n">
        <f aca="false">ROUND($D$2*(A442+1)^2.4*1.004^A442,0)</f>
        <v>1000599657</v>
      </c>
      <c r="E442" s="6" t="n">
        <f aca="false">ROUND($F$2*(A442+1)^2.4*1.004^A442,0)</f>
        <v>875524700</v>
      </c>
      <c r="F442" s="6" t="n">
        <f aca="false">ROUND(Building_Levels!$I$2*(A442+1)^1.9*1.003^A442,2)</f>
        <v>167.02</v>
      </c>
      <c r="G442" s="6" t="n">
        <f aca="false">ROUND((A442+1)^1.12,1)</f>
        <v>908.8</v>
      </c>
    </row>
    <row r="443" customFormat="false" ht="15" hidden="false" customHeight="true" outlineLevel="0" collapsed="false">
      <c r="A443" s="6" t="n">
        <v>438</v>
      </c>
      <c r="B443" s="6" t="n">
        <f aca="false">MIN(42, FLOOR(A443/32,1)+1)</f>
        <v>14</v>
      </c>
      <c r="C443" s="6" t="n">
        <f aca="false">ROUND($B$2*(A443+1)^2.4*1.004^A443,0)</f>
        <v>1136379965</v>
      </c>
      <c r="D443" s="6" t="n">
        <f aca="false">ROUND($D$2*(A443+1)^2.4*1.004^A443,0)</f>
        <v>1010115525</v>
      </c>
      <c r="E443" s="6" t="n">
        <f aca="false">ROUND($F$2*(A443+1)^2.4*1.004^A443,0)</f>
        <v>883851084</v>
      </c>
      <c r="F443" s="6" t="n">
        <f aca="false">ROUND(Building_Levels!$I$2*(A443+1)^1.9*1.003^A443,2)</f>
        <v>168.25</v>
      </c>
      <c r="G443" s="6" t="n">
        <f aca="false">ROUND((A443+1)^1.12,1)</f>
        <v>911.1</v>
      </c>
    </row>
    <row r="444" customFormat="false" ht="15" hidden="false" customHeight="true" outlineLevel="0" collapsed="false">
      <c r="A444" s="6" t="n">
        <v>439</v>
      </c>
      <c r="B444" s="6" t="n">
        <f aca="false">MIN(42, FLOOR(A444/32,1)+1)</f>
        <v>14</v>
      </c>
      <c r="C444" s="6" t="n">
        <f aca="false">ROUND($B$2*(A444+1)^2.4*1.004^A444,0)</f>
        <v>1147172840</v>
      </c>
      <c r="D444" s="6" t="n">
        <f aca="false">ROUND($D$2*(A444+1)^2.4*1.004^A444,0)</f>
        <v>1019709191</v>
      </c>
      <c r="E444" s="6" t="n">
        <f aca="false">ROUND($F$2*(A444+1)^2.4*1.004^A444,0)</f>
        <v>892245542</v>
      </c>
      <c r="F444" s="6" t="n">
        <f aca="false">ROUND(Building_Levels!$I$2*(A444+1)^1.9*1.003^A444,2)</f>
        <v>169.48</v>
      </c>
      <c r="G444" s="6" t="n">
        <f aca="false">ROUND((A444+1)^1.12,1)</f>
        <v>913.4</v>
      </c>
    </row>
    <row r="445" customFormat="false" ht="15" hidden="false" customHeight="true" outlineLevel="0" collapsed="false">
      <c r="A445" s="6" t="n">
        <v>440</v>
      </c>
      <c r="B445" s="6" t="n">
        <f aca="false">MIN(42, FLOOR(A445/32,1)+1)</f>
        <v>14</v>
      </c>
      <c r="C445" s="6" t="n">
        <f aca="false">ROUND($B$2*(A445+1)^2.4*1.004^A445,0)</f>
        <v>1158053864</v>
      </c>
      <c r="D445" s="6" t="n">
        <f aca="false">ROUND($D$2*(A445+1)^2.4*1.004^A445,0)</f>
        <v>1029381213</v>
      </c>
      <c r="E445" s="6" t="n">
        <f aca="false">ROUND($F$2*(A445+1)^2.4*1.004^A445,0)</f>
        <v>900708561</v>
      </c>
      <c r="F445" s="6" t="n">
        <f aca="false">ROUND(Building_Levels!$I$2*(A445+1)^1.9*1.003^A445,2)</f>
        <v>170.73</v>
      </c>
      <c r="G445" s="6" t="n">
        <f aca="false">ROUND((A445+1)^1.12,1)</f>
        <v>915.7</v>
      </c>
    </row>
    <row r="446" customFormat="false" ht="15" hidden="false" customHeight="true" outlineLevel="0" collapsed="false">
      <c r="A446" s="6" t="n">
        <v>441</v>
      </c>
      <c r="B446" s="6" t="n">
        <f aca="false">MIN(42, FLOOR(A446/32,1)+1)</f>
        <v>14</v>
      </c>
      <c r="C446" s="6" t="n">
        <f aca="false">ROUND($B$2*(A446+1)^2.4*1.004^A446,0)</f>
        <v>1169023670</v>
      </c>
      <c r="D446" s="6" t="n">
        <f aca="false">ROUND($D$2*(A446+1)^2.4*1.004^A446,0)</f>
        <v>1039132151</v>
      </c>
      <c r="E446" s="6" t="n">
        <f aca="false">ROUND($F$2*(A446+1)^2.4*1.004^A446,0)</f>
        <v>909240632</v>
      </c>
      <c r="F446" s="6" t="n">
        <f aca="false">ROUND(Building_Levels!$I$2*(A446+1)^1.9*1.003^A446,2)</f>
        <v>171.98</v>
      </c>
      <c r="G446" s="6" t="n">
        <f aca="false">ROUND((A446+1)^1.12,1)</f>
        <v>918.1</v>
      </c>
    </row>
    <row r="447" customFormat="false" ht="15" hidden="false" customHeight="true" outlineLevel="0" collapsed="false">
      <c r="A447" s="6" t="n">
        <v>442</v>
      </c>
      <c r="B447" s="6" t="n">
        <f aca="false">MIN(42, FLOOR(A447/32,1)+1)</f>
        <v>14</v>
      </c>
      <c r="C447" s="6" t="n">
        <f aca="false">ROUND($B$2*(A447+1)^2.4*1.004^A447,0)</f>
        <v>1180082891</v>
      </c>
      <c r="D447" s="6" t="n">
        <f aca="false">ROUND($D$2*(A447+1)^2.4*1.004^A447,0)</f>
        <v>1048962570</v>
      </c>
      <c r="E447" s="6" t="n">
        <f aca="false">ROUND($F$2*(A447+1)^2.4*1.004^A447,0)</f>
        <v>917842249</v>
      </c>
      <c r="F447" s="6" t="n">
        <f aca="false">ROUND(Building_Levels!$I$2*(A447+1)^1.9*1.003^A447,2)</f>
        <v>173.24</v>
      </c>
      <c r="G447" s="6" t="n">
        <f aca="false">ROUND((A447+1)^1.12,1)</f>
        <v>920.4</v>
      </c>
    </row>
    <row r="448" customFormat="false" ht="15" hidden="false" customHeight="true" outlineLevel="0" collapsed="false">
      <c r="A448" s="6" t="n">
        <v>443</v>
      </c>
      <c r="B448" s="6" t="n">
        <f aca="false">MIN(42, FLOOR(A448/32,1)+1)</f>
        <v>14</v>
      </c>
      <c r="C448" s="6" t="n">
        <f aca="false">ROUND($B$2*(A448+1)^2.4*1.004^A448,0)</f>
        <v>1191232167</v>
      </c>
      <c r="D448" s="6" t="n">
        <f aca="false">ROUND($D$2*(A448+1)^2.4*1.004^A448,0)</f>
        <v>1058873037</v>
      </c>
      <c r="E448" s="6" t="n">
        <f aca="false">ROUND($F$2*(A448+1)^2.4*1.004^A448,0)</f>
        <v>926513907</v>
      </c>
      <c r="F448" s="6" t="n">
        <f aca="false">ROUND(Building_Levels!$I$2*(A448+1)^1.9*1.003^A448,2)</f>
        <v>174.5</v>
      </c>
      <c r="G448" s="6" t="n">
        <f aca="false">ROUND((A448+1)^1.12,1)</f>
        <v>922.7</v>
      </c>
    </row>
    <row r="449" customFormat="false" ht="15" hidden="false" customHeight="true" outlineLevel="0" collapsed="false">
      <c r="A449" s="6" t="n">
        <v>444</v>
      </c>
      <c r="B449" s="6" t="n">
        <f aca="false">MIN(42, FLOOR(A449/32,1)+1)</f>
        <v>14</v>
      </c>
      <c r="C449" s="6" t="n">
        <f aca="false">ROUND($B$2*(A449+1)^2.4*1.004^A449,0)</f>
        <v>1202472140</v>
      </c>
      <c r="D449" s="6" t="n">
        <f aca="false">ROUND($D$2*(A449+1)^2.4*1.004^A449,0)</f>
        <v>1068864124</v>
      </c>
      <c r="E449" s="6" t="n">
        <f aca="false">ROUND($F$2*(A449+1)^2.4*1.004^A449,0)</f>
        <v>935256109</v>
      </c>
      <c r="F449" s="6" t="n">
        <f aca="false">ROUND(Building_Levels!$I$2*(A449+1)^1.9*1.003^A449,2)</f>
        <v>175.78</v>
      </c>
      <c r="G449" s="6" t="n">
        <f aca="false">ROUND((A449+1)^1.12,1)</f>
        <v>925</v>
      </c>
    </row>
    <row r="450" customFormat="false" ht="15" hidden="false" customHeight="true" outlineLevel="0" collapsed="false">
      <c r="A450" s="6" t="n">
        <v>445</v>
      </c>
      <c r="B450" s="6" t="n">
        <f aca="false">MIN(42, FLOOR(A450/32,1)+1)</f>
        <v>14</v>
      </c>
      <c r="C450" s="6" t="n">
        <f aca="false">ROUND($B$2*(A450+1)^2.4*1.004^A450,0)</f>
        <v>1213803458</v>
      </c>
      <c r="D450" s="6" t="n">
        <f aca="false">ROUND($D$2*(A450+1)^2.4*1.004^A450,0)</f>
        <v>1078936407</v>
      </c>
      <c r="E450" s="6" t="n">
        <f aca="false">ROUND($F$2*(A450+1)^2.4*1.004^A450,0)</f>
        <v>944069356</v>
      </c>
      <c r="F450" s="6" t="n">
        <f aca="false">ROUND(Building_Levels!$I$2*(A450+1)^1.9*1.003^A450,2)</f>
        <v>177.06</v>
      </c>
      <c r="G450" s="6" t="n">
        <f aca="false">ROUND((A450+1)^1.12,1)</f>
        <v>927.4</v>
      </c>
    </row>
    <row r="451" customFormat="false" ht="15" hidden="false" customHeight="true" outlineLevel="0" collapsed="false">
      <c r="A451" s="6" t="n">
        <v>446</v>
      </c>
      <c r="B451" s="6" t="n">
        <f aca="false">MIN(42, FLOOR(A451/32,1)+1)</f>
        <v>14</v>
      </c>
      <c r="C451" s="6" t="n">
        <f aca="false">ROUND($B$2*(A451+1)^2.4*1.004^A451,0)</f>
        <v>1225226772</v>
      </c>
      <c r="D451" s="6" t="n">
        <f aca="false">ROUND($D$2*(A451+1)^2.4*1.004^A451,0)</f>
        <v>1089090464</v>
      </c>
      <c r="E451" s="6" t="n">
        <f aca="false">ROUND($F$2*(A451+1)^2.4*1.004^A451,0)</f>
        <v>952954156</v>
      </c>
      <c r="F451" s="6" t="n">
        <f aca="false">ROUND(Building_Levels!$I$2*(A451+1)^1.9*1.003^A451,2)</f>
        <v>178.35</v>
      </c>
      <c r="G451" s="6" t="n">
        <f aca="false">ROUND((A451+1)^1.12,1)</f>
        <v>929.7</v>
      </c>
    </row>
    <row r="452" customFormat="false" ht="15" hidden="false" customHeight="true" outlineLevel="0" collapsed="false">
      <c r="A452" s="6" t="n">
        <v>447</v>
      </c>
      <c r="B452" s="6" t="n">
        <f aca="false">MIN(42, FLOOR(A452/32,1)+1)</f>
        <v>14</v>
      </c>
      <c r="C452" s="6" t="n">
        <f aca="false">ROUND($B$2*(A452+1)^2.4*1.004^A452,0)</f>
        <v>1236742737</v>
      </c>
      <c r="D452" s="6" t="n">
        <f aca="false">ROUND($D$2*(A452+1)^2.4*1.004^A452,0)</f>
        <v>1099326878</v>
      </c>
      <c r="E452" s="6" t="n">
        <f aca="false">ROUND($F$2*(A452+1)^2.4*1.004^A452,0)</f>
        <v>961911018</v>
      </c>
      <c r="F452" s="6" t="n">
        <f aca="false">ROUND(Building_Levels!$I$2*(A452+1)^1.9*1.003^A452,2)</f>
        <v>179.64</v>
      </c>
      <c r="G452" s="6" t="n">
        <f aca="false">ROUND((A452+1)^1.12,1)</f>
        <v>932</v>
      </c>
    </row>
    <row r="453" customFormat="false" ht="15" hidden="false" customHeight="true" outlineLevel="0" collapsed="false">
      <c r="A453" s="6" t="n">
        <v>448</v>
      </c>
      <c r="B453" s="6" t="n">
        <f aca="false">MIN(42, FLOOR(A453/32,1)+1)</f>
        <v>15</v>
      </c>
      <c r="C453" s="6" t="n">
        <f aca="false">ROUND($B$2*(A453+1)^2.4*1.004^A453,0)</f>
        <v>1248352014</v>
      </c>
      <c r="D453" s="6" t="n">
        <f aca="false">ROUND($D$2*(A453+1)^2.4*1.004^A453,0)</f>
        <v>1109646235</v>
      </c>
      <c r="E453" s="6" t="n">
        <f aca="false">ROUND($F$2*(A453+1)^2.4*1.004^A453,0)</f>
        <v>970940455</v>
      </c>
      <c r="F453" s="6" t="n">
        <f aca="false">ROUND(Building_Levels!$I$2*(A453+1)^1.9*1.003^A453,2)</f>
        <v>180.95</v>
      </c>
      <c r="G453" s="6" t="n">
        <f aca="false">ROUND((A453+1)^1.12,1)</f>
        <v>934.4</v>
      </c>
    </row>
    <row r="454" customFormat="false" ht="15" hidden="false" customHeight="true" outlineLevel="0" collapsed="false">
      <c r="A454" s="6" t="n">
        <v>449</v>
      </c>
      <c r="B454" s="6" t="n">
        <f aca="false">MIN(42, FLOOR(A454/32,1)+1)</f>
        <v>15</v>
      </c>
      <c r="C454" s="6" t="n">
        <f aca="false">ROUND($B$2*(A454+1)^2.4*1.004^A454,0)</f>
        <v>1260055266</v>
      </c>
      <c r="D454" s="6" t="n">
        <f aca="false">ROUND($D$2*(A454+1)^2.4*1.004^A454,0)</f>
        <v>1120049125</v>
      </c>
      <c r="E454" s="6" t="n">
        <f aca="false">ROUND($F$2*(A454+1)^2.4*1.004^A454,0)</f>
        <v>980042985</v>
      </c>
      <c r="F454" s="6" t="n">
        <f aca="false">ROUND(Building_Levels!$I$2*(A454+1)^1.9*1.003^A454,2)</f>
        <v>182.26</v>
      </c>
      <c r="G454" s="6" t="n">
        <f aca="false">ROUND((A454+1)^1.12,1)</f>
        <v>936.7</v>
      </c>
    </row>
    <row r="455" customFormat="false" ht="15" hidden="false" customHeight="true" outlineLevel="0" collapsed="false">
      <c r="A455" s="6" t="n">
        <v>450</v>
      </c>
      <c r="B455" s="6" t="n">
        <f aca="false">MIN(42, FLOOR(A455/32,1)+1)</f>
        <v>15</v>
      </c>
      <c r="C455" s="6" t="n">
        <f aca="false">ROUND($B$2*(A455+1)^2.4*1.004^A455,0)</f>
        <v>1271853162</v>
      </c>
      <c r="D455" s="6" t="n">
        <f aca="false">ROUND($D$2*(A455+1)^2.4*1.004^A455,0)</f>
        <v>1130536144</v>
      </c>
      <c r="E455" s="6" t="n">
        <f aca="false">ROUND($F$2*(A455+1)^2.4*1.004^A455,0)</f>
        <v>989219126</v>
      </c>
      <c r="F455" s="6" t="n">
        <f aca="false">ROUND(Building_Levels!$I$2*(A455+1)^1.9*1.003^A455,2)</f>
        <v>183.58</v>
      </c>
      <c r="G455" s="6" t="n">
        <f aca="false">ROUND((A455+1)^1.12,1)</f>
        <v>939</v>
      </c>
    </row>
    <row r="456" customFormat="false" ht="15" hidden="false" customHeight="true" outlineLevel="0" collapsed="false">
      <c r="A456" s="6" t="n">
        <v>451</v>
      </c>
      <c r="B456" s="6" t="n">
        <f aca="false">MIN(42, FLOOR(A456/32,1)+1)</f>
        <v>15</v>
      </c>
      <c r="C456" s="6" t="n">
        <f aca="false">ROUND($B$2*(A456+1)^2.4*1.004^A456,0)</f>
        <v>1283746374</v>
      </c>
      <c r="D456" s="6" t="n">
        <f aca="false">ROUND($D$2*(A456+1)^2.4*1.004^A456,0)</f>
        <v>1141107888</v>
      </c>
      <c r="E456" s="6" t="n">
        <f aca="false">ROUND($F$2*(A456+1)^2.4*1.004^A456,0)</f>
        <v>998469402</v>
      </c>
      <c r="F456" s="6" t="n">
        <f aca="false">ROUND(Building_Levels!$I$2*(A456+1)^1.9*1.003^A456,2)</f>
        <v>184.9</v>
      </c>
      <c r="G456" s="6" t="n">
        <f aca="false">ROUND((A456+1)^1.12,1)</f>
        <v>941.4</v>
      </c>
    </row>
    <row r="457" customFormat="false" ht="15" hidden="false" customHeight="true" outlineLevel="0" collapsed="false">
      <c r="A457" s="6" t="n">
        <v>452</v>
      </c>
      <c r="B457" s="6" t="n">
        <f aca="false">MIN(42, FLOOR(A457/32,1)+1)</f>
        <v>15</v>
      </c>
      <c r="C457" s="6" t="n">
        <f aca="false">ROUND($B$2*(A457+1)^2.4*1.004^A457,0)</f>
        <v>1295735579</v>
      </c>
      <c r="D457" s="6" t="n">
        <f aca="false">ROUND($D$2*(A457+1)^2.4*1.004^A457,0)</f>
        <v>1151764959</v>
      </c>
      <c r="E457" s="6" t="n">
        <f aca="false">ROUND($F$2*(A457+1)^2.4*1.004^A457,0)</f>
        <v>1007794339</v>
      </c>
      <c r="F457" s="6" t="n">
        <f aca="false">ROUND(Building_Levels!$I$2*(A457+1)^1.9*1.003^A457,2)</f>
        <v>186.24</v>
      </c>
      <c r="G457" s="6" t="n">
        <f aca="false">ROUND((A457+1)^1.12,1)</f>
        <v>943.7</v>
      </c>
    </row>
    <row r="458" customFormat="false" ht="15" hidden="false" customHeight="true" outlineLevel="0" collapsed="false">
      <c r="A458" s="6" t="n">
        <v>453</v>
      </c>
      <c r="B458" s="6" t="n">
        <f aca="false">MIN(42, FLOOR(A458/32,1)+1)</f>
        <v>15</v>
      </c>
      <c r="C458" s="6" t="n">
        <f aca="false">ROUND($B$2*(A458+1)^2.4*1.004^A458,0)</f>
        <v>1307821458</v>
      </c>
      <c r="D458" s="6" t="n">
        <f aca="false">ROUND($D$2*(A458+1)^2.4*1.004^A458,0)</f>
        <v>1162507963</v>
      </c>
      <c r="E458" s="6" t="n">
        <f aca="false">ROUND($F$2*(A458+1)^2.4*1.004^A458,0)</f>
        <v>1017194467</v>
      </c>
      <c r="F458" s="6" t="n">
        <f aca="false">ROUND(Building_Levels!$I$2*(A458+1)^1.9*1.003^A458,2)</f>
        <v>187.58</v>
      </c>
      <c r="G458" s="6" t="n">
        <f aca="false">ROUND((A458+1)^1.12,1)</f>
        <v>946</v>
      </c>
    </row>
    <row r="459" customFormat="false" ht="15" hidden="false" customHeight="true" outlineLevel="0" collapsed="false">
      <c r="A459" s="6" t="n">
        <v>454</v>
      </c>
      <c r="B459" s="6" t="n">
        <f aca="false">MIN(42, FLOOR(A459/32,1)+1)</f>
        <v>15</v>
      </c>
      <c r="C459" s="6" t="n">
        <f aca="false">ROUND($B$2*(A459+1)^2.4*1.004^A459,0)</f>
        <v>1320004697</v>
      </c>
      <c r="D459" s="6" t="n">
        <f aca="false">ROUND($D$2*(A459+1)^2.4*1.004^A459,0)</f>
        <v>1173337509</v>
      </c>
      <c r="E459" s="6" t="n">
        <f aca="false">ROUND($F$2*(A459+1)^2.4*1.004^A459,0)</f>
        <v>1026670320</v>
      </c>
      <c r="F459" s="6" t="n">
        <f aca="false">ROUND(Building_Levels!$I$2*(A459+1)^1.9*1.003^A459,2)</f>
        <v>188.93</v>
      </c>
      <c r="G459" s="6" t="n">
        <f aca="false">ROUND((A459+1)^1.12,1)</f>
        <v>948.4</v>
      </c>
    </row>
    <row r="460" customFormat="false" ht="15" hidden="false" customHeight="true" outlineLevel="0" collapsed="false">
      <c r="A460" s="6" t="n">
        <v>455</v>
      </c>
      <c r="B460" s="6" t="n">
        <f aca="false">MIN(42, FLOOR(A460/32,1)+1)</f>
        <v>15</v>
      </c>
      <c r="C460" s="6" t="n">
        <f aca="false">ROUND($B$2*(A460+1)^2.4*1.004^A460,0)</f>
        <v>1332285987</v>
      </c>
      <c r="D460" s="6" t="n">
        <f aca="false">ROUND($D$2*(A460+1)^2.4*1.004^A460,0)</f>
        <v>1184254210</v>
      </c>
      <c r="E460" s="6" t="n">
        <f aca="false">ROUND($F$2*(A460+1)^2.4*1.004^A460,0)</f>
        <v>1036222434</v>
      </c>
      <c r="F460" s="6" t="n">
        <f aca="false">ROUND(Building_Levels!$I$2*(A460+1)^1.9*1.003^A460,2)</f>
        <v>190.29</v>
      </c>
      <c r="G460" s="6" t="n">
        <f aca="false">ROUND((A460+1)^1.12,1)</f>
        <v>950.7</v>
      </c>
    </row>
    <row r="461" customFormat="false" ht="15" hidden="false" customHeight="true" outlineLevel="0" collapsed="false">
      <c r="A461" s="6" t="n">
        <v>456</v>
      </c>
      <c r="B461" s="6" t="n">
        <f aca="false">MIN(42, FLOOR(A461/32,1)+1)</f>
        <v>15</v>
      </c>
      <c r="C461" s="6" t="n">
        <f aca="false">ROUND($B$2*(A461+1)^2.4*1.004^A461,0)</f>
        <v>1344666021</v>
      </c>
      <c r="D461" s="6" t="n">
        <f aca="false">ROUND($D$2*(A461+1)^2.4*1.004^A461,0)</f>
        <v>1195258685</v>
      </c>
      <c r="E461" s="6" t="n">
        <f aca="false">ROUND($F$2*(A461+1)^2.4*1.004^A461,0)</f>
        <v>1045851349</v>
      </c>
      <c r="F461" s="6" t="n">
        <f aca="false">ROUND(Building_Levels!$I$2*(A461+1)^1.9*1.003^A461,2)</f>
        <v>191.66</v>
      </c>
      <c r="G461" s="6" t="n">
        <f aca="false">ROUND((A461+1)^1.12,1)</f>
        <v>953</v>
      </c>
    </row>
    <row r="462" customFormat="false" ht="15" hidden="false" customHeight="true" outlineLevel="0" collapsed="false">
      <c r="A462" s="6" t="n">
        <v>457</v>
      </c>
      <c r="B462" s="6" t="n">
        <f aca="false">MIN(42, FLOOR(A462/32,1)+1)</f>
        <v>15</v>
      </c>
      <c r="C462" s="6" t="n">
        <f aca="false">ROUND($B$2*(A462+1)^2.4*1.004^A462,0)</f>
        <v>1357145498</v>
      </c>
      <c r="D462" s="6" t="n">
        <f aca="false">ROUND($D$2*(A462+1)^2.4*1.004^A462,0)</f>
        <v>1206351554</v>
      </c>
      <c r="E462" s="6" t="n">
        <f aca="false">ROUND($F$2*(A462+1)^2.4*1.004^A462,0)</f>
        <v>1055557610</v>
      </c>
      <c r="F462" s="6" t="n">
        <f aca="false">ROUND(Building_Levels!$I$2*(A462+1)^1.9*1.003^A462,2)</f>
        <v>193.03</v>
      </c>
      <c r="G462" s="6" t="n">
        <f aca="false">ROUND((A462+1)^1.12,1)</f>
        <v>955.4</v>
      </c>
    </row>
    <row r="463" customFormat="false" ht="15" hidden="false" customHeight="true" outlineLevel="0" collapsed="false">
      <c r="A463" s="6" t="n">
        <v>458</v>
      </c>
      <c r="B463" s="6" t="n">
        <f aca="false">MIN(42, FLOOR(A463/32,1)+1)</f>
        <v>15</v>
      </c>
      <c r="C463" s="6" t="n">
        <f aca="false">ROUND($B$2*(A463+1)^2.4*1.004^A463,0)</f>
        <v>1369725122</v>
      </c>
      <c r="D463" s="6" t="n">
        <f aca="false">ROUND($D$2*(A463+1)^2.4*1.004^A463,0)</f>
        <v>1217533442</v>
      </c>
      <c r="E463" s="6" t="n">
        <f aca="false">ROUND($F$2*(A463+1)^2.4*1.004^A463,0)</f>
        <v>1065341762</v>
      </c>
      <c r="F463" s="6" t="n">
        <f aca="false">ROUND(Building_Levels!$I$2*(A463+1)^1.9*1.003^A463,2)</f>
        <v>194.42</v>
      </c>
      <c r="G463" s="6" t="n">
        <f aca="false">ROUND((A463+1)^1.12,1)</f>
        <v>957.7</v>
      </c>
    </row>
    <row r="464" customFormat="false" ht="15" hidden="false" customHeight="true" outlineLevel="0" collapsed="false">
      <c r="A464" s="6" t="n">
        <v>459</v>
      </c>
      <c r="B464" s="6" t="n">
        <f aca="false">MIN(42, FLOOR(A464/32,1)+1)</f>
        <v>15</v>
      </c>
      <c r="C464" s="6" t="n">
        <f aca="false">ROUND($B$2*(A464+1)^2.4*1.004^A464,0)</f>
        <v>1382405601</v>
      </c>
      <c r="D464" s="6" t="n">
        <f aca="false">ROUND($D$2*(A464+1)^2.4*1.004^A464,0)</f>
        <v>1228804979</v>
      </c>
      <c r="E464" s="6" t="n">
        <f aca="false">ROUND($F$2*(A464+1)^2.4*1.004^A464,0)</f>
        <v>1075204356</v>
      </c>
      <c r="F464" s="6" t="n">
        <f aca="false">ROUND(Building_Levels!$I$2*(A464+1)^1.9*1.003^A464,2)</f>
        <v>195.81</v>
      </c>
      <c r="G464" s="6" t="n">
        <f aca="false">ROUND((A464+1)^1.12,1)</f>
        <v>960</v>
      </c>
    </row>
    <row r="465" customFormat="false" ht="15" hidden="false" customHeight="true" outlineLevel="0" collapsed="false">
      <c r="A465" s="6" t="n">
        <v>460</v>
      </c>
      <c r="B465" s="6" t="n">
        <f aca="false">MIN(42, FLOOR(A465/32,1)+1)</f>
        <v>15</v>
      </c>
      <c r="C465" s="6" t="n">
        <f aca="false">ROUND($B$2*(A465+1)^2.4*1.004^A465,0)</f>
        <v>1395187647</v>
      </c>
      <c r="D465" s="6" t="n">
        <f aca="false">ROUND($D$2*(A465+1)^2.4*1.004^A465,0)</f>
        <v>1240166798</v>
      </c>
      <c r="E465" s="6" t="n">
        <f aca="false">ROUND($F$2*(A465+1)^2.4*1.004^A465,0)</f>
        <v>1085145948</v>
      </c>
      <c r="F465" s="6" t="n">
        <f aca="false">ROUND(Building_Levels!$I$2*(A465+1)^1.9*1.003^A465,2)</f>
        <v>197.21</v>
      </c>
      <c r="G465" s="6" t="n">
        <f aca="false">ROUND((A465+1)^1.12,1)</f>
        <v>962.4</v>
      </c>
    </row>
    <row r="466" customFormat="false" ht="15" hidden="false" customHeight="true" outlineLevel="0" collapsed="false">
      <c r="A466" s="6" t="n">
        <v>461</v>
      </c>
      <c r="B466" s="6" t="n">
        <f aca="false">MIN(42, FLOOR(A466/32,1)+1)</f>
        <v>15</v>
      </c>
      <c r="C466" s="6" t="n">
        <f aca="false">ROUND($B$2*(A466+1)^2.4*1.004^A466,0)</f>
        <v>1408071978</v>
      </c>
      <c r="D466" s="6" t="n">
        <f aca="false">ROUND($D$2*(A466+1)^2.4*1.004^A466,0)</f>
        <v>1251619536</v>
      </c>
      <c r="E466" s="6" t="n">
        <f aca="false">ROUND($F$2*(A466+1)^2.4*1.004^A466,0)</f>
        <v>1095167094</v>
      </c>
      <c r="F466" s="6" t="n">
        <f aca="false">ROUND(Building_Levels!$I$2*(A466+1)^1.9*1.003^A466,2)</f>
        <v>198.61</v>
      </c>
      <c r="G466" s="6" t="n">
        <f aca="false">ROUND((A466+1)^1.12,1)</f>
        <v>964.7</v>
      </c>
    </row>
    <row r="467" customFormat="false" ht="15" hidden="false" customHeight="true" outlineLevel="0" collapsed="false">
      <c r="A467" s="6" t="n">
        <v>462</v>
      </c>
      <c r="B467" s="6" t="n">
        <f aca="false">MIN(42, FLOOR(A467/32,1)+1)</f>
        <v>15</v>
      </c>
      <c r="C467" s="6" t="n">
        <f aca="false">ROUND($B$2*(A467+1)^2.4*1.004^A467,0)</f>
        <v>1421059315</v>
      </c>
      <c r="D467" s="6" t="n">
        <f aca="false">ROUND($D$2*(A467+1)^2.4*1.004^A467,0)</f>
        <v>1263163835</v>
      </c>
      <c r="E467" s="6" t="n">
        <f aca="false">ROUND($F$2*(A467+1)^2.4*1.004^A467,0)</f>
        <v>1105268356</v>
      </c>
      <c r="F467" s="6" t="n">
        <f aca="false">ROUND(Building_Levels!$I$2*(A467+1)^1.9*1.003^A467,2)</f>
        <v>200.03</v>
      </c>
      <c r="G467" s="6" t="n">
        <f aca="false">ROUND((A467+1)^1.12,1)</f>
        <v>967.1</v>
      </c>
    </row>
    <row r="468" customFormat="false" ht="15" hidden="false" customHeight="true" outlineLevel="0" collapsed="false">
      <c r="A468" s="6" t="n">
        <v>463</v>
      </c>
      <c r="B468" s="6" t="n">
        <f aca="false">MIN(42, FLOOR(A468/32,1)+1)</f>
        <v>15</v>
      </c>
      <c r="C468" s="6" t="n">
        <f aca="false">ROUND($B$2*(A468+1)^2.4*1.004^A468,0)</f>
        <v>1434150383</v>
      </c>
      <c r="D468" s="6" t="n">
        <f aca="false">ROUND($D$2*(A468+1)^2.4*1.004^A468,0)</f>
        <v>1274800341</v>
      </c>
      <c r="E468" s="6" t="n">
        <f aca="false">ROUND($F$2*(A468+1)^2.4*1.004^A468,0)</f>
        <v>1115450298</v>
      </c>
      <c r="F468" s="6" t="n">
        <f aca="false">ROUND(Building_Levels!$I$2*(A468+1)^1.9*1.003^A468,2)</f>
        <v>201.45</v>
      </c>
      <c r="G468" s="6" t="n">
        <f aca="false">ROUND((A468+1)^1.12,1)</f>
        <v>969.4</v>
      </c>
    </row>
    <row r="469" customFormat="false" ht="15" hidden="false" customHeight="true" outlineLevel="0" collapsed="false">
      <c r="A469" s="6" t="n">
        <v>464</v>
      </c>
      <c r="B469" s="6" t="n">
        <f aca="false">MIN(42, FLOOR(A469/32,1)+1)</f>
        <v>15</v>
      </c>
      <c r="C469" s="6" t="n">
        <f aca="false">ROUND($B$2*(A469+1)^2.4*1.004^A469,0)</f>
        <v>1447345915</v>
      </c>
      <c r="D469" s="6" t="n">
        <f aca="false">ROUND($D$2*(A469+1)^2.4*1.004^A469,0)</f>
        <v>1286529702</v>
      </c>
      <c r="E469" s="6" t="n">
        <f aca="false">ROUND($F$2*(A469+1)^2.4*1.004^A469,0)</f>
        <v>1125713490</v>
      </c>
      <c r="F469" s="6" t="n">
        <f aca="false">ROUND(Building_Levels!$I$2*(A469+1)^1.9*1.003^A469,2)</f>
        <v>202.89</v>
      </c>
      <c r="G469" s="6" t="n">
        <f aca="false">ROUND((A469+1)^1.12,1)</f>
        <v>971.7</v>
      </c>
    </row>
    <row r="470" customFormat="false" ht="15" hidden="false" customHeight="true" outlineLevel="0" collapsed="false">
      <c r="A470" s="6" t="n">
        <v>465</v>
      </c>
      <c r="B470" s="6" t="n">
        <f aca="false">MIN(42, FLOOR(A470/32,1)+1)</f>
        <v>15</v>
      </c>
      <c r="C470" s="6" t="n">
        <f aca="false">ROUND($B$2*(A470+1)^2.4*1.004^A470,0)</f>
        <v>1460646646</v>
      </c>
      <c r="D470" s="6" t="n">
        <f aca="false">ROUND($D$2*(A470+1)^2.4*1.004^A470,0)</f>
        <v>1298352574</v>
      </c>
      <c r="E470" s="6" t="n">
        <f aca="false">ROUND($F$2*(A470+1)^2.4*1.004^A470,0)</f>
        <v>1136058502</v>
      </c>
      <c r="F470" s="6" t="n">
        <f aca="false">ROUND(Building_Levels!$I$2*(A470+1)^1.9*1.003^A470,2)</f>
        <v>204.33</v>
      </c>
      <c r="G470" s="6" t="n">
        <f aca="false">ROUND((A470+1)^1.12,1)</f>
        <v>974.1</v>
      </c>
    </row>
    <row r="471" customFormat="false" ht="15" hidden="false" customHeight="true" outlineLevel="0" collapsed="false">
      <c r="A471" s="6" t="n">
        <v>466</v>
      </c>
      <c r="B471" s="6" t="n">
        <f aca="false">MIN(42, FLOOR(A471/32,1)+1)</f>
        <v>15</v>
      </c>
      <c r="C471" s="6" t="n">
        <f aca="false">ROUND($B$2*(A471+1)^2.4*1.004^A471,0)</f>
        <v>1474053315</v>
      </c>
      <c r="D471" s="6" t="n">
        <f aca="false">ROUND($D$2*(A471+1)^2.4*1.004^A471,0)</f>
        <v>1310269613</v>
      </c>
      <c r="E471" s="6" t="n">
        <f aca="false">ROUND($F$2*(A471+1)^2.4*1.004^A471,0)</f>
        <v>1146485912</v>
      </c>
      <c r="F471" s="6" t="n">
        <f aca="false">ROUND(Building_Levels!$I$2*(A471+1)^1.9*1.003^A471,2)</f>
        <v>205.78</v>
      </c>
      <c r="G471" s="6" t="n">
        <f aca="false">ROUND((A471+1)^1.12,1)</f>
        <v>976.4</v>
      </c>
    </row>
    <row r="472" customFormat="false" ht="15" hidden="false" customHeight="true" outlineLevel="0" collapsed="false">
      <c r="A472" s="6" t="n">
        <v>467</v>
      </c>
      <c r="B472" s="6" t="n">
        <f aca="false">MIN(42, FLOOR(A472/32,1)+1)</f>
        <v>15</v>
      </c>
      <c r="C472" s="6" t="n">
        <f aca="false">ROUND($B$2*(A472+1)^2.4*1.004^A472,0)</f>
        <v>1487566668</v>
      </c>
      <c r="D472" s="6" t="n">
        <f aca="false">ROUND($D$2*(A472+1)^2.4*1.004^A472,0)</f>
        <v>1322281483</v>
      </c>
      <c r="E472" s="6" t="n">
        <f aca="false">ROUND($F$2*(A472+1)^2.4*1.004^A472,0)</f>
        <v>1156996298</v>
      </c>
      <c r="F472" s="6" t="n">
        <f aca="false">ROUND(Building_Levels!$I$2*(A472+1)^1.9*1.003^A472,2)</f>
        <v>207.24</v>
      </c>
      <c r="G472" s="6" t="n">
        <f aca="false">ROUND((A472+1)^1.12,1)</f>
        <v>978.8</v>
      </c>
    </row>
    <row r="473" customFormat="false" ht="15" hidden="false" customHeight="true" outlineLevel="0" collapsed="false">
      <c r="A473" s="6" t="n">
        <v>468</v>
      </c>
      <c r="B473" s="6" t="n">
        <f aca="false">MIN(42, FLOOR(A473/32,1)+1)</f>
        <v>15</v>
      </c>
      <c r="C473" s="6" t="n">
        <f aca="false">ROUND($B$2*(A473+1)^2.4*1.004^A473,0)</f>
        <v>1501187455</v>
      </c>
      <c r="D473" s="6" t="n">
        <f aca="false">ROUND($D$2*(A473+1)^2.4*1.004^A473,0)</f>
        <v>1334388849</v>
      </c>
      <c r="E473" s="6" t="n">
        <f aca="false">ROUND($F$2*(A473+1)^2.4*1.004^A473,0)</f>
        <v>1167590243</v>
      </c>
      <c r="F473" s="6" t="n">
        <f aca="false">ROUND(Building_Levels!$I$2*(A473+1)^1.9*1.003^A473,2)</f>
        <v>208.7</v>
      </c>
      <c r="G473" s="6" t="n">
        <f aca="false">ROUND((A473+1)^1.12,1)</f>
        <v>981.1</v>
      </c>
    </row>
    <row r="474" customFormat="false" ht="15" hidden="false" customHeight="true" outlineLevel="0" collapsed="false">
      <c r="A474" s="6" t="n">
        <v>469</v>
      </c>
      <c r="B474" s="6" t="n">
        <f aca="false">MIN(42, FLOOR(A474/32,1)+1)</f>
        <v>15</v>
      </c>
      <c r="C474" s="6" t="n">
        <f aca="false">ROUND($B$2*(A474+1)^2.4*1.004^A474,0)</f>
        <v>1514916431</v>
      </c>
      <c r="D474" s="6" t="n">
        <f aca="false">ROUND($D$2*(A474+1)^2.4*1.004^A474,0)</f>
        <v>1346592383</v>
      </c>
      <c r="E474" s="6" t="n">
        <f aca="false">ROUND($F$2*(A474+1)^2.4*1.004^A474,0)</f>
        <v>1178268335</v>
      </c>
      <c r="F474" s="6" t="n">
        <f aca="false">ROUND(Building_Levels!$I$2*(A474+1)^1.9*1.003^A474,2)</f>
        <v>210.18</v>
      </c>
      <c r="G474" s="6" t="n">
        <f aca="false">ROUND((A474+1)^1.12,1)</f>
        <v>983.4</v>
      </c>
    </row>
    <row r="475" customFormat="false" ht="15" hidden="false" customHeight="true" outlineLevel="0" collapsed="false">
      <c r="A475" s="6" t="n">
        <v>470</v>
      </c>
      <c r="B475" s="6" t="n">
        <f aca="false">MIN(42, FLOOR(A475/32,1)+1)</f>
        <v>15</v>
      </c>
      <c r="C475" s="6" t="n">
        <f aca="false">ROUND($B$2*(A475+1)^2.4*1.004^A475,0)</f>
        <v>1528754353</v>
      </c>
      <c r="D475" s="6" t="n">
        <f aca="false">ROUND($D$2*(A475+1)^2.4*1.004^A475,0)</f>
        <v>1358892759</v>
      </c>
      <c r="E475" s="6" t="n">
        <f aca="false">ROUND($F$2*(A475+1)^2.4*1.004^A475,0)</f>
        <v>1189031164</v>
      </c>
      <c r="F475" s="6" t="n">
        <f aca="false">ROUND(Building_Levels!$I$2*(A475+1)^1.9*1.003^A475,2)</f>
        <v>211.66</v>
      </c>
      <c r="G475" s="6" t="n">
        <f aca="false">ROUND((A475+1)^1.12,1)</f>
        <v>985.8</v>
      </c>
    </row>
    <row r="476" customFormat="false" ht="15" hidden="false" customHeight="true" outlineLevel="0" collapsed="false">
      <c r="A476" s="6" t="n">
        <v>471</v>
      </c>
      <c r="B476" s="6" t="n">
        <f aca="false">MIN(42, FLOOR(A476/32,1)+1)</f>
        <v>15</v>
      </c>
      <c r="C476" s="6" t="n">
        <f aca="false">ROUND($B$2*(A476+1)^2.4*1.004^A476,0)</f>
        <v>1542701988</v>
      </c>
      <c r="D476" s="6" t="n">
        <f aca="false">ROUND($D$2*(A476+1)^2.4*1.004^A476,0)</f>
        <v>1371290656</v>
      </c>
      <c r="E476" s="6" t="n">
        <f aca="false">ROUND($F$2*(A476+1)^2.4*1.004^A476,0)</f>
        <v>1199879324</v>
      </c>
      <c r="F476" s="6" t="n">
        <f aca="false">ROUND(Building_Levels!$I$2*(A476+1)^1.9*1.003^A476,2)</f>
        <v>213.15</v>
      </c>
      <c r="G476" s="6" t="n">
        <f aca="false">ROUND((A476+1)^1.12,1)</f>
        <v>988.1</v>
      </c>
    </row>
    <row r="477" customFormat="false" ht="15" hidden="false" customHeight="true" outlineLevel="0" collapsed="false">
      <c r="A477" s="6" t="n">
        <v>472</v>
      </c>
      <c r="B477" s="6" t="n">
        <f aca="false">MIN(42, FLOOR(A477/32,1)+1)</f>
        <v>15</v>
      </c>
      <c r="C477" s="6" t="n">
        <f aca="false">ROUND($B$2*(A477+1)^2.4*1.004^A477,0)</f>
        <v>1556760104</v>
      </c>
      <c r="D477" s="6" t="n">
        <f aca="false">ROUND($D$2*(A477+1)^2.4*1.004^A477,0)</f>
        <v>1383786759</v>
      </c>
      <c r="E477" s="6" t="n">
        <f aca="false">ROUND($F$2*(A477+1)^2.4*1.004^A477,0)</f>
        <v>1210813414</v>
      </c>
      <c r="F477" s="6" t="n">
        <f aca="false">ROUND(Building_Levels!$I$2*(A477+1)^1.9*1.003^A477,2)</f>
        <v>214.65</v>
      </c>
      <c r="G477" s="6" t="n">
        <f aca="false">ROUND((A477+1)^1.12,1)</f>
        <v>990.5</v>
      </c>
    </row>
    <row r="478" customFormat="false" ht="15" hidden="false" customHeight="true" outlineLevel="0" collapsed="false">
      <c r="A478" s="6" t="n">
        <v>473</v>
      </c>
      <c r="B478" s="6" t="n">
        <f aca="false">MIN(42, FLOOR(A478/32,1)+1)</f>
        <v>15</v>
      </c>
      <c r="C478" s="6" t="n">
        <f aca="false">ROUND($B$2*(A478+1)^2.4*1.004^A478,0)</f>
        <v>1570929474</v>
      </c>
      <c r="D478" s="6" t="n">
        <f aca="false">ROUND($D$2*(A478+1)^2.4*1.004^A478,0)</f>
        <v>1396381755</v>
      </c>
      <c r="E478" s="6" t="n">
        <f aca="false">ROUND($F$2*(A478+1)^2.4*1.004^A478,0)</f>
        <v>1221834035</v>
      </c>
      <c r="F478" s="6" t="n">
        <f aca="false">ROUND(Building_Levels!$I$2*(A478+1)^1.9*1.003^A478,2)</f>
        <v>216.16</v>
      </c>
      <c r="G478" s="6" t="n">
        <f aca="false">ROUND((A478+1)^1.12,1)</f>
        <v>992.8</v>
      </c>
    </row>
    <row r="479" customFormat="false" ht="15" hidden="false" customHeight="true" outlineLevel="0" collapsed="false">
      <c r="A479" s="6" t="n">
        <v>474</v>
      </c>
      <c r="B479" s="6" t="n">
        <f aca="false">MIN(42, FLOOR(A479/32,1)+1)</f>
        <v>15</v>
      </c>
      <c r="C479" s="6" t="n">
        <f aca="false">ROUND($B$2*(A479+1)^2.4*1.004^A479,0)</f>
        <v>1585210878</v>
      </c>
      <c r="D479" s="6" t="n">
        <f aca="false">ROUND($D$2*(A479+1)^2.4*1.004^A479,0)</f>
        <v>1409076336</v>
      </c>
      <c r="E479" s="6" t="n">
        <f aca="false">ROUND($F$2*(A479+1)^2.4*1.004^A479,0)</f>
        <v>1232941794</v>
      </c>
      <c r="F479" s="6" t="n">
        <f aca="false">ROUND(Building_Levels!$I$2*(A479+1)^1.9*1.003^A479,2)</f>
        <v>217.68</v>
      </c>
      <c r="G479" s="6" t="n">
        <f aca="false">ROUND((A479+1)^1.12,1)</f>
        <v>995.2</v>
      </c>
    </row>
    <row r="480" customFormat="false" ht="15" hidden="false" customHeight="true" outlineLevel="0" collapsed="false">
      <c r="A480" s="6" t="n">
        <v>475</v>
      </c>
      <c r="B480" s="6" t="n">
        <f aca="false">MIN(42, FLOOR(A480/32,1)+1)</f>
        <v>15</v>
      </c>
      <c r="C480" s="6" t="n">
        <f aca="false">ROUND($B$2*(A480+1)^2.4*1.004^A480,0)</f>
        <v>1599605100</v>
      </c>
      <c r="D480" s="6" t="n">
        <f aca="false">ROUND($D$2*(A480+1)^2.4*1.004^A480,0)</f>
        <v>1421871200</v>
      </c>
      <c r="E480" s="6" t="n">
        <f aca="false">ROUND($F$2*(A480+1)^2.4*1.004^A480,0)</f>
        <v>1244137300</v>
      </c>
      <c r="F480" s="6" t="n">
        <f aca="false">ROUND(Building_Levels!$I$2*(A480+1)^1.9*1.003^A480,2)</f>
        <v>219.21</v>
      </c>
      <c r="G480" s="6" t="n">
        <f aca="false">ROUND((A480+1)^1.12,1)</f>
        <v>997.5</v>
      </c>
    </row>
    <row r="481" customFormat="false" ht="15" hidden="false" customHeight="true" outlineLevel="0" collapsed="false">
      <c r="A481" s="6" t="n">
        <v>476</v>
      </c>
      <c r="B481" s="6" t="n">
        <f aca="false">MIN(42, FLOOR(A481/32,1)+1)</f>
        <v>15</v>
      </c>
      <c r="C481" s="6" t="n">
        <f aca="false">ROUND($B$2*(A481+1)^2.4*1.004^A481,0)</f>
        <v>1614112929</v>
      </c>
      <c r="D481" s="6" t="n">
        <f aca="false">ROUND($D$2*(A481+1)^2.4*1.004^A481,0)</f>
        <v>1434767048</v>
      </c>
      <c r="E481" s="6" t="n">
        <f aca="false">ROUND($F$2*(A481+1)^2.4*1.004^A481,0)</f>
        <v>1255421167</v>
      </c>
      <c r="F481" s="6" t="n">
        <f aca="false">ROUND(Building_Levels!$I$2*(A481+1)^1.9*1.003^A481,2)</f>
        <v>220.74</v>
      </c>
      <c r="G481" s="6" t="n">
        <f aca="false">ROUND((A481+1)^1.12,1)</f>
        <v>999.9</v>
      </c>
    </row>
    <row r="482" customFormat="false" ht="15" hidden="false" customHeight="true" outlineLevel="0" collapsed="false">
      <c r="A482" s="6" t="n">
        <v>477</v>
      </c>
      <c r="B482" s="6" t="n">
        <f aca="false">MIN(42, FLOOR(A482/32,1)+1)</f>
        <v>15</v>
      </c>
      <c r="C482" s="6" t="n">
        <f aca="false">ROUND($B$2*(A482+1)^2.4*1.004^A482,0)</f>
        <v>1628735158</v>
      </c>
      <c r="D482" s="6" t="n">
        <f aca="false">ROUND($D$2*(A482+1)^2.4*1.004^A482,0)</f>
        <v>1447764585</v>
      </c>
      <c r="E482" s="6" t="n">
        <f aca="false">ROUND($F$2*(A482+1)^2.4*1.004^A482,0)</f>
        <v>1266794012</v>
      </c>
      <c r="F482" s="6" t="n">
        <f aca="false">ROUND(Building_Levels!$I$2*(A482+1)^1.9*1.003^A482,2)</f>
        <v>222.29</v>
      </c>
      <c r="G482" s="6" t="n">
        <f aca="false">ROUND((A482+1)^1.12,1)</f>
        <v>1002.2</v>
      </c>
    </row>
    <row r="483" customFormat="false" ht="15" hidden="false" customHeight="true" outlineLevel="0" collapsed="false">
      <c r="A483" s="6" t="n">
        <v>478</v>
      </c>
      <c r="B483" s="6" t="n">
        <f aca="false">MIN(42, FLOOR(A483/32,1)+1)</f>
        <v>15</v>
      </c>
      <c r="C483" s="6" t="n">
        <f aca="false">ROUND($B$2*(A483+1)^2.4*1.004^A483,0)</f>
        <v>1643472586</v>
      </c>
      <c r="D483" s="6" t="n">
        <f aca="false">ROUND($D$2*(A483+1)^2.4*1.004^A483,0)</f>
        <v>1460864521</v>
      </c>
      <c r="E483" s="6" t="n">
        <f aca="false">ROUND($F$2*(A483+1)^2.4*1.004^A483,0)</f>
        <v>1278256456</v>
      </c>
      <c r="F483" s="6" t="n">
        <f aca="false">ROUND(Building_Levels!$I$2*(A483+1)^1.9*1.003^A483,2)</f>
        <v>223.84</v>
      </c>
      <c r="G483" s="6" t="n">
        <f aca="false">ROUND((A483+1)^1.12,1)</f>
        <v>1004.6</v>
      </c>
    </row>
    <row r="484" customFormat="false" ht="15" hidden="false" customHeight="true" outlineLevel="0" collapsed="false">
      <c r="A484" s="6" t="n">
        <v>479</v>
      </c>
      <c r="B484" s="6" t="n">
        <f aca="false">MIN(42, FLOOR(A484/32,1)+1)</f>
        <v>15</v>
      </c>
      <c r="C484" s="6" t="n">
        <f aca="false">ROUND($B$2*(A484+1)^2.4*1.004^A484,0)</f>
        <v>1658326018</v>
      </c>
      <c r="D484" s="6" t="n">
        <f aca="false">ROUND($D$2*(A484+1)^2.4*1.004^A484,0)</f>
        <v>1474067572</v>
      </c>
      <c r="E484" s="6" t="n">
        <f aca="false">ROUND($F$2*(A484+1)^2.4*1.004^A484,0)</f>
        <v>1289809125</v>
      </c>
      <c r="F484" s="6" t="n">
        <f aca="false">ROUND(Building_Levels!$I$2*(A484+1)^1.9*1.003^A484,2)</f>
        <v>225.41</v>
      </c>
      <c r="G484" s="6" t="n">
        <f aca="false">ROUND((A484+1)^1.12,1)</f>
        <v>1006.9</v>
      </c>
    </row>
    <row r="485" customFormat="false" ht="15" hidden="false" customHeight="true" outlineLevel="0" collapsed="false">
      <c r="A485" s="6" t="n">
        <v>480</v>
      </c>
      <c r="B485" s="6" t="n">
        <f aca="false">MIN(42, FLOOR(A485/32,1)+1)</f>
        <v>16</v>
      </c>
      <c r="C485" s="6" t="n">
        <f aca="false">ROUND($B$2*(A485+1)^2.4*1.004^A485,0)</f>
        <v>1673296263</v>
      </c>
      <c r="D485" s="6" t="n">
        <f aca="false">ROUND($D$2*(A485+1)^2.4*1.004^A485,0)</f>
        <v>1487374456</v>
      </c>
      <c r="E485" s="6" t="n">
        <f aca="false">ROUND($F$2*(A485+1)^2.4*1.004^A485,0)</f>
        <v>1301452649</v>
      </c>
      <c r="F485" s="6" t="n">
        <f aca="false">ROUND(Building_Levels!$I$2*(A485+1)^1.9*1.003^A485,2)</f>
        <v>226.98</v>
      </c>
      <c r="G485" s="6" t="n">
        <f aca="false">ROUND((A485+1)^1.12,1)</f>
        <v>1009.3</v>
      </c>
    </row>
    <row r="486" customFormat="false" ht="15" hidden="false" customHeight="true" outlineLevel="0" collapsed="false">
      <c r="A486" s="6" t="n">
        <v>481</v>
      </c>
      <c r="B486" s="6" t="n">
        <f aca="false">MIN(42, FLOOR(A486/32,1)+1)</f>
        <v>16</v>
      </c>
      <c r="C486" s="6" t="n">
        <f aca="false">ROUND($B$2*(A486+1)^2.4*1.004^A486,0)</f>
        <v>1688384134</v>
      </c>
      <c r="D486" s="6" t="n">
        <f aca="false">ROUND($D$2*(A486+1)^2.4*1.004^A486,0)</f>
        <v>1500785897</v>
      </c>
      <c r="E486" s="6" t="n">
        <f aca="false">ROUND($F$2*(A486+1)^2.4*1.004^A486,0)</f>
        <v>1313187660</v>
      </c>
      <c r="F486" s="6" t="n">
        <f aca="false">ROUND(Building_Levels!$I$2*(A486+1)^1.9*1.003^A486,2)</f>
        <v>228.56</v>
      </c>
      <c r="G486" s="6" t="n">
        <f aca="false">ROUND((A486+1)^1.12,1)</f>
        <v>1011.6</v>
      </c>
    </row>
    <row r="487" customFormat="false" ht="15" hidden="false" customHeight="true" outlineLevel="0" collapsed="false">
      <c r="A487" s="6" t="n">
        <v>482</v>
      </c>
      <c r="B487" s="6" t="n">
        <f aca="false">MIN(42, FLOOR(A487/32,1)+1)</f>
        <v>16</v>
      </c>
      <c r="C487" s="6" t="n">
        <f aca="false">ROUND($B$2*(A487+1)^2.4*1.004^A487,0)</f>
        <v>1703590451</v>
      </c>
      <c r="D487" s="6" t="n">
        <f aca="false">ROUND($D$2*(A487+1)^2.4*1.004^A487,0)</f>
        <v>1514302623</v>
      </c>
      <c r="E487" s="6" t="n">
        <f aca="false">ROUND($F$2*(A487+1)^2.4*1.004^A487,0)</f>
        <v>1325014795</v>
      </c>
      <c r="F487" s="6" t="n">
        <f aca="false">ROUND(Building_Levels!$I$2*(A487+1)^1.9*1.003^A487,2)</f>
        <v>230.15</v>
      </c>
      <c r="G487" s="6" t="n">
        <f aca="false">ROUND((A487+1)^1.12,1)</f>
        <v>1014</v>
      </c>
    </row>
    <row r="488" customFormat="false" ht="15" hidden="false" customHeight="true" outlineLevel="0" collapsed="false">
      <c r="A488" s="6" t="n">
        <v>483</v>
      </c>
      <c r="B488" s="6" t="n">
        <f aca="false">MIN(42, FLOOR(A488/32,1)+1)</f>
        <v>16</v>
      </c>
      <c r="C488" s="6" t="n">
        <f aca="false">ROUND($B$2*(A488+1)^2.4*1.004^A488,0)</f>
        <v>1718916040</v>
      </c>
      <c r="D488" s="6" t="n">
        <f aca="false">ROUND($D$2*(A488+1)^2.4*1.004^A488,0)</f>
        <v>1527925369</v>
      </c>
      <c r="E488" s="6" t="n">
        <f aca="false">ROUND($F$2*(A488+1)^2.4*1.004^A488,0)</f>
        <v>1336934698</v>
      </c>
      <c r="F488" s="6" t="n">
        <f aca="false">ROUND(Building_Levels!$I$2*(A488+1)^1.9*1.003^A488,2)</f>
        <v>231.75</v>
      </c>
      <c r="G488" s="6" t="n">
        <f aca="false">ROUND((A488+1)^1.12,1)</f>
        <v>1016.3</v>
      </c>
    </row>
    <row r="489" customFormat="false" ht="15" hidden="false" customHeight="true" outlineLevel="0" collapsed="false">
      <c r="A489" s="6" t="n">
        <v>484</v>
      </c>
      <c r="B489" s="6" t="n">
        <f aca="false">MIN(42, FLOOR(A489/32,1)+1)</f>
        <v>16</v>
      </c>
      <c r="C489" s="6" t="n">
        <f aca="false">ROUND($B$2*(A489+1)^2.4*1.004^A489,0)</f>
        <v>1734361729</v>
      </c>
      <c r="D489" s="6" t="n">
        <f aca="false">ROUND($D$2*(A489+1)^2.4*1.004^A489,0)</f>
        <v>1541654870</v>
      </c>
      <c r="E489" s="6" t="n">
        <f aca="false">ROUND($F$2*(A489+1)^2.4*1.004^A489,0)</f>
        <v>1348948011</v>
      </c>
      <c r="F489" s="6" t="n">
        <f aca="false">ROUND(Building_Levels!$I$2*(A489+1)^1.9*1.003^A489,2)</f>
        <v>233.36</v>
      </c>
      <c r="G489" s="6" t="n">
        <f aca="false">ROUND((A489+1)^1.12,1)</f>
        <v>1018.7</v>
      </c>
    </row>
    <row r="490" customFormat="false" ht="15" hidden="false" customHeight="true" outlineLevel="0" collapsed="false">
      <c r="A490" s="6" t="n">
        <v>485</v>
      </c>
      <c r="B490" s="6" t="n">
        <f aca="false">MIN(42, FLOOR(A490/32,1)+1)</f>
        <v>16</v>
      </c>
      <c r="C490" s="6" t="n">
        <f aca="false">ROUND($B$2*(A490+1)^2.4*1.004^A490,0)</f>
        <v>1749928354</v>
      </c>
      <c r="D490" s="6" t="n">
        <f aca="false">ROUND($D$2*(A490+1)^2.4*1.004^A490,0)</f>
        <v>1555491870</v>
      </c>
      <c r="E490" s="6" t="n">
        <f aca="false">ROUND($F$2*(A490+1)^2.4*1.004^A490,0)</f>
        <v>1361055386</v>
      </c>
      <c r="F490" s="6" t="n">
        <f aca="false">ROUND(Building_Levels!$I$2*(A490+1)^1.9*1.003^A490,2)</f>
        <v>234.98</v>
      </c>
      <c r="G490" s="6" t="n">
        <f aca="false">ROUND((A490+1)^1.12,1)</f>
        <v>1021</v>
      </c>
    </row>
    <row r="491" customFormat="false" ht="15" hidden="false" customHeight="true" outlineLevel="0" collapsed="false">
      <c r="A491" s="6" t="n">
        <v>486</v>
      </c>
      <c r="B491" s="6" t="n">
        <f aca="false">MIN(42, FLOOR(A491/32,1)+1)</f>
        <v>16</v>
      </c>
      <c r="C491" s="6" t="n">
        <f aca="false">ROUND($B$2*(A491+1)^2.4*1.004^A491,0)</f>
        <v>1765616755</v>
      </c>
      <c r="D491" s="6" t="n">
        <f aca="false">ROUND($D$2*(A491+1)^2.4*1.004^A491,0)</f>
        <v>1569437116</v>
      </c>
      <c r="E491" s="6" t="n">
        <f aca="false">ROUND($F$2*(A491+1)^2.4*1.004^A491,0)</f>
        <v>1373257476</v>
      </c>
      <c r="F491" s="6" t="n">
        <f aca="false">ROUND(Building_Levels!$I$2*(A491+1)^1.9*1.003^A491,2)</f>
        <v>236.6</v>
      </c>
      <c r="G491" s="6" t="n">
        <f aca="false">ROUND((A491+1)^1.12,1)</f>
        <v>1023.4</v>
      </c>
    </row>
    <row r="492" customFormat="false" ht="15" hidden="false" customHeight="true" outlineLevel="0" collapsed="false">
      <c r="A492" s="6" t="n">
        <v>487</v>
      </c>
      <c r="B492" s="6" t="n">
        <f aca="false">MIN(42, FLOOR(A492/32,1)+1)</f>
        <v>16</v>
      </c>
      <c r="C492" s="6" t="n">
        <f aca="false">ROUND($B$2*(A492+1)^2.4*1.004^A492,0)</f>
        <v>1781427779</v>
      </c>
      <c r="D492" s="6" t="n">
        <f aca="false">ROUND($D$2*(A492+1)^2.4*1.004^A492,0)</f>
        <v>1583491359</v>
      </c>
      <c r="E492" s="6" t="n">
        <f aca="false">ROUND($F$2*(A492+1)^2.4*1.004^A492,0)</f>
        <v>1385554939</v>
      </c>
      <c r="F492" s="6" t="n">
        <f aca="false">ROUND(Building_Levels!$I$2*(A492+1)^1.9*1.003^A492,2)</f>
        <v>238.24</v>
      </c>
      <c r="G492" s="6" t="n">
        <f aca="false">ROUND((A492+1)^1.12,1)</f>
        <v>1025.7</v>
      </c>
    </row>
    <row r="493" customFormat="false" ht="15" hidden="false" customHeight="true" outlineLevel="0" collapsed="false">
      <c r="A493" s="6" t="n">
        <v>488</v>
      </c>
      <c r="B493" s="6" t="n">
        <f aca="false">MIN(42, FLOOR(A493/32,1)+1)</f>
        <v>16</v>
      </c>
      <c r="C493" s="6" t="n">
        <f aca="false">ROUND($B$2*(A493+1)^2.4*1.004^A493,0)</f>
        <v>1797362276</v>
      </c>
      <c r="D493" s="6" t="n">
        <f aca="false">ROUND($D$2*(A493+1)^2.4*1.004^A493,0)</f>
        <v>1597655356</v>
      </c>
      <c r="E493" s="6" t="n">
        <f aca="false">ROUND($F$2*(A493+1)^2.4*1.004^A493,0)</f>
        <v>1397948437</v>
      </c>
      <c r="F493" s="6" t="n">
        <f aca="false">ROUND(Building_Levels!$I$2*(A493+1)^1.9*1.003^A493,2)</f>
        <v>239.89</v>
      </c>
      <c r="G493" s="6" t="n">
        <f aca="false">ROUND((A493+1)^1.12,1)</f>
        <v>1028.1</v>
      </c>
    </row>
    <row r="494" customFormat="false" ht="15" hidden="false" customHeight="true" outlineLevel="0" collapsed="false">
      <c r="A494" s="6" t="n">
        <v>489</v>
      </c>
      <c r="B494" s="6" t="n">
        <f aca="false">MIN(42, FLOOR(A494/32,1)+1)</f>
        <v>16</v>
      </c>
      <c r="C494" s="6" t="n">
        <f aca="false">ROUND($B$2*(A494+1)^2.4*1.004^A494,0)</f>
        <v>1813421102</v>
      </c>
      <c r="D494" s="6" t="n">
        <f aca="false">ROUND($D$2*(A494+1)^2.4*1.004^A494,0)</f>
        <v>1611929868</v>
      </c>
      <c r="E494" s="6" t="n">
        <f aca="false">ROUND($F$2*(A494+1)^2.4*1.004^A494,0)</f>
        <v>1410438635</v>
      </c>
      <c r="F494" s="6" t="n">
        <f aca="false">ROUND(Building_Levels!$I$2*(A494+1)^1.9*1.003^A494,2)</f>
        <v>241.54</v>
      </c>
      <c r="G494" s="6" t="n">
        <f aca="false">ROUND((A494+1)^1.12,1)</f>
        <v>1030.4</v>
      </c>
    </row>
    <row r="495" customFormat="false" ht="15" hidden="false" customHeight="true" outlineLevel="0" collapsed="false">
      <c r="A495" s="6" t="n">
        <v>490</v>
      </c>
      <c r="B495" s="6" t="n">
        <f aca="false">MIN(42, FLOOR(A495/32,1)+1)</f>
        <v>16</v>
      </c>
      <c r="C495" s="6" t="n">
        <f aca="false">ROUND($B$2*(A495+1)^2.4*1.004^A495,0)</f>
        <v>1829605120</v>
      </c>
      <c r="D495" s="6" t="n">
        <f aca="false">ROUND($D$2*(A495+1)^2.4*1.004^A495,0)</f>
        <v>1626315662</v>
      </c>
      <c r="E495" s="6" t="n">
        <f aca="false">ROUND($F$2*(A495+1)^2.4*1.004^A495,0)</f>
        <v>1423026204</v>
      </c>
      <c r="F495" s="6" t="n">
        <f aca="false">ROUND(Building_Levels!$I$2*(A495+1)^1.9*1.003^A495,2)</f>
        <v>243.21</v>
      </c>
      <c r="G495" s="6" t="n">
        <f aca="false">ROUND((A495+1)^1.12,1)</f>
        <v>1032.8</v>
      </c>
    </row>
    <row r="496" customFormat="false" ht="15" hidden="false" customHeight="true" outlineLevel="0" collapsed="false">
      <c r="A496" s="6" t="n">
        <v>491</v>
      </c>
      <c r="B496" s="6" t="n">
        <f aca="false">MIN(42, FLOOR(A496/32,1)+1)</f>
        <v>16</v>
      </c>
      <c r="C496" s="6" t="n">
        <f aca="false">ROUND($B$2*(A496+1)^2.4*1.004^A496,0)</f>
        <v>1845915197</v>
      </c>
      <c r="D496" s="6" t="n">
        <f aca="false">ROUND($D$2*(A496+1)^2.4*1.004^A496,0)</f>
        <v>1640813509</v>
      </c>
      <c r="E496" s="6" t="n">
        <f aca="false">ROUND($F$2*(A496+1)^2.4*1.004^A496,0)</f>
        <v>1435711820</v>
      </c>
      <c r="F496" s="6" t="n">
        <f aca="false">ROUND(Building_Levels!$I$2*(A496+1)^1.9*1.003^A496,2)</f>
        <v>244.88</v>
      </c>
      <c r="G496" s="6" t="n">
        <f aca="false">ROUND((A496+1)^1.12,1)</f>
        <v>1035.1</v>
      </c>
    </row>
    <row r="497" customFormat="false" ht="15" hidden="false" customHeight="true" outlineLevel="0" collapsed="false">
      <c r="A497" s="6" t="n">
        <v>492</v>
      </c>
      <c r="B497" s="6" t="n">
        <f aca="false">MIN(42, FLOOR(A497/32,1)+1)</f>
        <v>16</v>
      </c>
      <c r="C497" s="6" t="n">
        <f aca="false">ROUND($B$2*(A497+1)^2.4*1.004^A497,0)</f>
        <v>1862352206</v>
      </c>
      <c r="D497" s="6" t="n">
        <f aca="false">ROUND($D$2*(A497+1)^2.4*1.004^A497,0)</f>
        <v>1655424183</v>
      </c>
      <c r="E497" s="6" t="n">
        <f aca="false">ROUND($F$2*(A497+1)^2.4*1.004^A497,0)</f>
        <v>1448496160</v>
      </c>
      <c r="F497" s="6" t="n">
        <f aca="false">ROUND(Building_Levels!$I$2*(A497+1)^1.9*1.003^A497,2)</f>
        <v>246.56</v>
      </c>
      <c r="G497" s="6" t="n">
        <f aca="false">ROUND((A497+1)^1.12,1)</f>
        <v>1037.5</v>
      </c>
    </row>
    <row r="498" customFormat="false" ht="15" hidden="false" customHeight="true" outlineLevel="0" collapsed="false">
      <c r="A498" s="6" t="n">
        <v>493</v>
      </c>
      <c r="B498" s="6" t="n">
        <f aca="false">MIN(42, FLOOR(A498/32,1)+1)</f>
        <v>16</v>
      </c>
      <c r="C498" s="6" t="n">
        <f aca="false">ROUND($B$2*(A498+1)^2.4*1.004^A498,0)</f>
        <v>1878917025</v>
      </c>
      <c r="D498" s="6" t="n">
        <f aca="false">ROUND($D$2*(A498+1)^2.4*1.004^A498,0)</f>
        <v>1670148467</v>
      </c>
      <c r="E498" s="6" t="n">
        <f aca="false">ROUND($F$2*(A498+1)^2.4*1.004^A498,0)</f>
        <v>1461379909</v>
      </c>
      <c r="F498" s="6" t="n">
        <f aca="false">ROUND(Building_Levels!$I$2*(A498+1)^1.9*1.003^A498,2)</f>
        <v>248.26</v>
      </c>
      <c r="G498" s="6" t="n">
        <f aca="false">ROUND((A498+1)^1.12,1)</f>
        <v>1039.9</v>
      </c>
    </row>
    <row r="499" customFormat="false" ht="15" hidden="false" customHeight="true" outlineLevel="0" collapsed="false">
      <c r="A499" s="6" t="n">
        <v>494</v>
      </c>
      <c r="B499" s="6" t="n">
        <f aca="false">MIN(42, FLOOR(A499/32,1)+1)</f>
        <v>16</v>
      </c>
      <c r="C499" s="6" t="n">
        <f aca="false">ROUND($B$2*(A499+1)^2.4*1.004^A499,0)</f>
        <v>1895610539</v>
      </c>
      <c r="D499" s="6" t="n">
        <f aca="false">ROUND($D$2*(A499+1)^2.4*1.004^A499,0)</f>
        <v>1684987146</v>
      </c>
      <c r="E499" s="6" t="n">
        <f aca="false">ROUND($F$2*(A499+1)^2.4*1.004^A499,0)</f>
        <v>1474363752</v>
      </c>
      <c r="F499" s="6" t="n">
        <f aca="false">ROUND(Building_Levels!$I$2*(A499+1)^1.9*1.003^A499,2)</f>
        <v>249.96</v>
      </c>
      <c r="G499" s="6" t="n">
        <f aca="false">ROUND((A499+1)^1.12,1)</f>
        <v>1042.2</v>
      </c>
    </row>
    <row r="500" customFormat="false" ht="15" hidden="false" customHeight="true" outlineLevel="0" collapsed="false">
      <c r="A500" s="6" t="n">
        <v>495</v>
      </c>
      <c r="B500" s="6" t="n">
        <f aca="false">MIN(42, FLOOR(A500/32,1)+1)</f>
        <v>16</v>
      </c>
      <c r="C500" s="6" t="n">
        <f aca="false">ROUND($B$2*(A500+1)^2.4*1.004^A500,0)</f>
        <v>1912433636</v>
      </c>
      <c r="D500" s="6" t="n">
        <f aca="false">ROUND($D$2*(A500+1)^2.4*1.004^A500,0)</f>
        <v>1699941010</v>
      </c>
      <c r="E500" s="6" t="n">
        <f aca="false">ROUND($F$2*(A500+1)^2.4*1.004^A500,0)</f>
        <v>1487448383</v>
      </c>
      <c r="F500" s="6" t="n">
        <f aca="false">ROUND(Building_Levels!$I$2*(A500+1)^1.9*1.003^A500,2)</f>
        <v>251.67</v>
      </c>
      <c r="G500" s="6" t="n">
        <f aca="false">ROUND((A500+1)^1.12,1)</f>
        <v>1044.6</v>
      </c>
    </row>
    <row r="501" customFormat="false" ht="15" hidden="false" customHeight="true" outlineLevel="0" collapsed="false">
      <c r="A501" s="6" t="n">
        <v>496</v>
      </c>
      <c r="B501" s="6" t="n">
        <f aca="false">MIN(42, FLOOR(A501/32,1)+1)</f>
        <v>16</v>
      </c>
      <c r="C501" s="6" t="n">
        <f aca="false">ROUND($B$2*(A501+1)^2.4*1.004^A501,0)</f>
        <v>1929387212</v>
      </c>
      <c r="D501" s="6" t="n">
        <f aca="false">ROUND($D$2*(A501+1)^2.4*1.004^A501,0)</f>
        <v>1715010855</v>
      </c>
      <c r="E501" s="6" t="n">
        <f aca="false">ROUND($F$2*(A501+1)^2.4*1.004^A501,0)</f>
        <v>1500634498</v>
      </c>
      <c r="F501" s="6" t="n">
        <f aca="false">ROUND(Building_Levels!$I$2*(A501+1)^1.9*1.003^A501,2)</f>
        <v>253.4</v>
      </c>
      <c r="G501" s="6" t="n">
        <f aca="false">ROUND((A501+1)^1.12,1)</f>
        <v>1046.9</v>
      </c>
    </row>
    <row r="502" customFormat="false" ht="15" hidden="false" customHeight="true" outlineLevel="0" collapsed="false">
      <c r="A502" s="6" t="n">
        <v>497</v>
      </c>
      <c r="B502" s="6" t="n">
        <f aca="false">MIN(42, FLOOR(A502/32,1)+1)</f>
        <v>16</v>
      </c>
      <c r="C502" s="6" t="n">
        <f aca="false">ROUND($B$2*(A502+1)^2.4*1.004^A502,0)</f>
        <v>1946472167</v>
      </c>
      <c r="D502" s="6" t="n">
        <f aca="false">ROUND($D$2*(A502+1)^2.4*1.004^A502,0)</f>
        <v>1730197482</v>
      </c>
      <c r="E502" s="6" t="n">
        <f aca="false">ROUND($F$2*(A502+1)^2.4*1.004^A502,0)</f>
        <v>1513922797</v>
      </c>
      <c r="F502" s="6" t="n">
        <f aca="false">ROUND(Building_Levels!$I$2*(A502+1)^1.9*1.003^A502,2)</f>
        <v>255.13</v>
      </c>
      <c r="G502" s="6" t="n">
        <f aca="false">ROUND((A502+1)^1.12,1)</f>
        <v>1049.3</v>
      </c>
    </row>
    <row r="503" customFormat="false" ht="15" hidden="false" customHeight="true" outlineLevel="0" collapsed="false">
      <c r="A503" s="6" t="n">
        <v>498</v>
      </c>
      <c r="B503" s="6" t="n">
        <f aca="false">MIN(42, FLOOR(A503/32,1)+1)</f>
        <v>16</v>
      </c>
      <c r="C503" s="6" t="n">
        <f aca="false">ROUND($B$2*(A503+1)^2.4*1.004^A503,0)</f>
        <v>1963689409</v>
      </c>
      <c r="D503" s="6" t="n">
        <f aca="false">ROUND($D$2*(A503+1)^2.4*1.004^A503,0)</f>
        <v>1745501697</v>
      </c>
      <c r="E503" s="6" t="n">
        <f aca="false">ROUND($F$2*(A503+1)^2.4*1.004^A503,0)</f>
        <v>1527313985</v>
      </c>
      <c r="F503" s="6" t="n">
        <f aca="false">ROUND(Building_Levels!$I$2*(A503+1)^1.9*1.003^A503,2)</f>
        <v>256.87</v>
      </c>
      <c r="G503" s="6" t="n">
        <f aca="false">ROUND((A503+1)^1.12,1)</f>
        <v>1051.7</v>
      </c>
    </row>
    <row r="504" customFormat="false" ht="15" hidden="false" customHeight="true" outlineLevel="0" collapsed="false">
      <c r="A504" s="6" t="n">
        <v>499</v>
      </c>
      <c r="B504" s="6" t="n">
        <f aca="false">MIN(42, FLOOR(A504/32,1)+1)</f>
        <v>16</v>
      </c>
      <c r="C504" s="6" t="n">
        <f aca="false">ROUND($B$2*(A504+1)^2.4*1.004^A504,0)</f>
        <v>1981039849</v>
      </c>
      <c r="D504" s="6" t="n">
        <f aca="false">ROUND($D$2*(A504+1)^2.4*1.004^A504,0)</f>
        <v>1760924310</v>
      </c>
      <c r="E504" s="6" t="n">
        <f aca="false">ROUND($F$2*(A504+1)^2.4*1.004^A504,0)</f>
        <v>1540808771</v>
      </c>
      <c r="F504" s="6" t="n">
        <f aca="false">ROUND(Building_Levels!$I$2*(A504+1)^1.9*1.003^A504,2)</f>
        <v>258.62</v>
      </c>
      <c r="G504" s="6" t="n">
        <f aca="false">ROUND((A504+1)^1.12,1)</f>
        <v>1054</v>
      </c>
    </row>
    <row r="505" customFormat="false" ht="15" hidden="false" customHeight="true" outlineLevel="0" collapsed="false">
      <c r="A505" s="6" t="n">
        <v>500</v>
      </c>
      <c r="B505" s="6" t="n">
        <f aca="false">MIN(42, FLOOR(A505/32,1)+1)</f>
        <v>16</v>
      </c>
      <c r="C505" s="6" t="n">
        <f aca="false">ROUND($B$2*(A505+1)^2.4*1.004^A505,0)</f>
        <v>1998524405</v>
      </c>
      <c r="D505" s="6" t="n">
        <f aca="false">ROUND($D$2*(A505+1)^2.4*1.004^A505,0)</f>
        <v>1776466138</v>
      </c>
      <c r="E505" s="6" t="n">
        <f aca="false">ROUND($F$2*(A505+1)^2.4*1.004^A505,0)</f>
        <v>1554407871</v>
      </c>
      <c r="F505" s="6" t="n">
        <f aca="false">ROUND(Building_Levels!$I$2*(A505+1)^1.9*1.003^A505,2)</f>
        <v>260.39</v>
      </c>
      <c r="G505" s="6" t="n">
        <f aca="false">ROUND((A505+1)^1.12,1)</f>
        <v>1056.4</v>
      </c>
    </row>
    <row r="506" customFormat="false" ht="15" hidden="false" customHeight="true" outlineLevel="0" collapsed="false">
      <c r="A506" s="6" t="n">
        <v>501</v>
      </c>
      <c r="B506" s="6" t="n">
        <f aca="false">MIN(42, FLOOR(A506/32,1)+1)</f>
        <v>16</v>
      </c>
      <c r="C506" s="6" t="n">
        <f aca="false">ROUND($B$2*(A506+1)^2.4*1.004^A506,0)</f>
        <v>2016144001</v>
      </c>
      <c r="D506" s="6" t="n">
        <f aca="false">ROUND($D$2*(A506+1)^2.4*1.004^A506,0)</f>
        <v>1792128001</v>
      </c>
      <c r="E506" s="6" t="n">
        <f aca="false">ROUND($F$2*(A506+1)^2.4*1.004^A506,0)</f>
        <v>1568112001</v>
      </c>
      <c r="F506" s="6" t="n">
        <f aca="false">ROUND(Building_Levels!$I$2*(A506+1)^1.9*1.003^A506,2)</f>
        <v>262.16</v>
      </c>
      <c r="G506" s="6" t="n">
        <f aca="false">ROUND((A506+1)^1.12,1)</f>
        <v>1058.7</v>
      </c>
    </row>
    <row r="507" customFormat="false" ht="15" hidden="false" customHeight="true" outlineLevel="0" collapsed="false">
      <c r="A507" s="6" t="n">
        <v>502</v>
      </c>
      <c r="B507" s="6" t="n">
        <f aca="false">MIN(42, FLOOR(A507/32,1)+1)</f>
        <v>16</v>
      </c>
      <c r="C507" s="6" t="n">
        <f aca="false">ROUND($B$2*(A507+1)^2.4*1.004^A507,0)</f>
        <v>2033899566</v>
      </c>
      <c r="D507" s="6" t="n">
        <f aca="false">ROUND($D$2*(A507+1)^2.4*1.004^A507,0)</f>
        <v>1807910726</v>
      </c>
      <c r="E507" s="6" t="n">
        <f aca="false">ROUND($F$2*(A507+1)^2.4*1.004^A507,0)</f>
        <v>1581921885</v>
      </c>
      <c r="F507" s="6" t="n">
        <f aca="false">ROUND(Building_Levels!$I$2*(A507+1)^1.9*1.003^A507,2)</f>
        <v>263.94</v>
      </c>
      <c r="G507" s="6" t="n">
        <f aca="false">ROUND((A507+1)^1.12,1)</f>
        <v>1061.1</v>
      </c>
    </row>
    <row r="508" customFormat="false" ht="15" hidden="false" customHeight="true" outlineLevel="0" collapsed="false">
      <c r="A508" s="6" t="n">
        <v>503</v>
      </c>
      <c r="B508" s="6" t="n">
        <f aca="false">MIN(42, FLOOR(A508/32,1)+1)</f>
        <v>16</v>
      </c>
      <c r="C508" s="6" t="n">
        <f aca="false">ROUND($B$2*(A508+1)^2.4*1.004^A508,0)</f>
        <v>2051792036</v>
      </c>
      <c r="D508" s="6" t="n">
        <f aca="false">ROUND($D$2*(A508+1)^2.4*1.004^A508,0)</f>
        <v>1823815143</v>
      </c>
      <c r="E508" s="6" t="n">
        <f aca="false">ROUND($F$2*(A508+1)^2.4*1.004^A508,0)</f>
        <v>1595838250</v>
      </c>
      <c r="F508" s="6" t="n">
        <f aca="false">ROUND(Building_Levels!$I$2*(A508+1)^1.9*1.003^A508,2)</f>
        <v>265.73</v>
      </c>
      <c r="G508" s="6" t="n">
        <f aca="false">ROUND((A508+1)^1.12,1)</f>
        <v>1063.5</v>
      </c>
    </row>
    <row r="509" customFormat="false" ht="15" hidden="false" customHeight="true" outlineLevel="0" collapsed="false">
      <c r="A509" s="6" t="n">
        <v>504</v>
      </c>
      <c r="B509" s="6" t="n">
        <f aca="false">MIN(42, FLOOR(A509/32,1)+1)</f>
        <v>16</v>
      </c>
      <c r="C509" s="6" t="n">
        <f aca="false">ROUND($B$2*(A509+1)^2.4*1.004^A509,0)</f>
        <v>2069822352</v>
      </c>
      <c r="D509" s="6" t="n">
        <f aca="false">ROUND($D$2*(A509+1)^2.4*1.004^A509,0)</f>
        <v>1839842091</v>
      </c>
      <c r="E509" s="6" t="n">
        <f aca="false">ROUND($F$2*(A509+1)^2.4*1.004^A509,0)</f>
        <v>1609861830</v>
      </c>
      <c r="F509" s="6" t="n">
        <f aca="false">ROUND(Building_Levels!$I$2*(A509+1)^1.9*1.003^A509,2)</f>
        <v>267.54</v>
      </c>
      <c r="G509" s="6" t="n">
        <f aca="false">ROUND((A509+1)^1.12,1)</f>
        <v>1065.8</v>
      </c>
    </row>
    <row r="510" customFormat="false" ht="15" hidden="false" customHeight="true" outlineLevel="0" collapsed="false">
      <c r="A510" s="6" t="n">
        <v>505</v>
      </c>
      <c r="B510" s="6" t="n">
        <f aca="false">MIN(42, FLOOR(A510/32,1)+1)</f>
        <v>16</v>
      </c>
      <c r="C510" s="6" t="n">
        <f aca="false">ROUND($B$2*(A510+1)^2.4*1.004^A510,0)</f>
        <v>2087991462</v>
      </c>
      <c r="D510" s="6" t="n">
        <f aca="false">ROUND($D$2*(A510+1)^2.4*1.004^A510,0)</f>
        <v>1855992410</v>
      </c>
      <c r="E510" s="6" t="n">
        <f aca="false">ROUND($F$2*(A510+1)^2.4*1.004^A510,0)</f>
        <v>1623993359</v>
      </c>
      <c r="F510" s="6" t="n">
        <f aca="false">ROUND(Building_Levels!$I$2*(A510+1)^1.9*1.003^A510,2)</f>
        <v>269.35</v>
      </c>
      <c r="G510" s="6" t="n">
        <f aca="false">ROUND((A510+1)^1.12,1)</f>
        <v>1068.2</v>
      </c>
    </row>
    <row r="511" customFormat="false" ht="15" hidden="false" customHeight="true" outlineLevel="0" collapsed="false">
      <c r="A511" s="6" t="n">
        <v>506</v>
      </c>
      <c r="B511" s="6" t="n">
        <f aca="false">MIN(42, FLOOR(A511/32,1)+1)</f>
        <v>16</v>
      </c>
      <c r="C511" s="6" t="n">
        <f aca="false">ROUND($B$2*(A511+1)^2.4*1.004^A511,0)</f>
        <v>2106300317</v>
      </c>
      <c r="D511" s="6" t="n">
        <f aca="false">ROUND($D$2*(A511+1)^2.4*1.004^A511,0)</f>
        <v>1872266949</v>
      </c>
      <c r="E511" s="6" t="n">
        <f aca="false">ROUND($F$2*(A511+1)^2.4*1.004^A511,0)</f>
        <v>1638233580</v>
      </c>
      <c r="F511" s="6" t="n">
        <f aca="false">ROUND(Building_Levels!$I$2*(A511+1)^1.9*1.003^A511,2)</f>
        <v>271.17</v>
      </c>
      <c r="G511" s="6" t="n">
        <f aca="false">ROUND((A511+1)^1.12,1)</f>
        <v>1070.6</v>
      </c>
    </row>
    <row r="512" customFormat="false" ht="15" hidden="false" customHeight="true" outlineLevel="0" collapsed="false">
      <c r="A512" s="6" t="n">
        <v>507</v>
      </c>
      <c r="B512" s="6" t="n">
        <f aca="false">MIN(42, FLOOR(A512/32,1)+1)</f>
        <v>16</v>
      </c>
      <c r="C512" s="6" t="n">
        <f aca="false">ROUND($B$2*(A512+1)^2.4*1.004^A512,0)</f>
        <v>2124749879</v>
      </c>
      <c r="D512" s="6" t="n">
        <f aca="false">ROUND($D$2*(A512+1)^2.4*1.004^A512,0)</f>
        <v>1888666559</v>
      </c>
      <c r="E512" s="6" t="n">
        <f aca="false">ROUND($F$2*(A512+1)^2.4*1.004^A512,0)</f>
        <v>1652583239</v>
      </c>
      <c r="F512" s="6" t="n">
        <f aca="false">ROUND(Building_Levels!$I$2*(A512+1)^1.9*1.003^A512,2)</f>
        <v>273.01</v>
      </c>
      <c r="G512" s="6" t="n">
        <f aca="false">ROUND((A512+1)^1.12,1)</f>
        <v>1072.9</v>
      </c>
    </row>
    <row r="513" customFormat="false" ht="15" hidden="false" customHeight="true" outlineLevel="0" collapsed="false">
      <c r="A513" s="6" t="n">
        <v>508</v>
      </c>
      <c r="B513" s="6" t="n">
        <f aca="false">MIN(42, FLOOR(A513/32,1)+1)</f>
        <v>16</v>
      </c>
      <c r="C513" s="6" t="n">
        <f aca="false">ROUND($B$2*(A513+1)^2.4*1.004^A513,0)</f>
        <v>2143341110</v>
      </c>
      <c r="D513" s="6" t="n">
        <f aca="false">ROUND($D$2*(A513+1)^2.4*1.004^A513,0)</f>
        <v>1905192098</v>
      </c>
      <c r="E513" s="6" t="n">
        <f aca="false">ROUND($F$2*(A513+1)^2.4*1.004^A513,0)</f>
        <v>1667043086</v>
      </c>
      <c r="F513" s="6" t="n">
        <f aca="false">ROUND(Building_Levels!$I$2*(A513+1)^1.9*1.003^A513,2)</f>
        <v>274.85</v>
      </c>
      <c r="G513" s="6" t="n">
        <f aca="false">ROUND((A513+1)^1.12,1)</f>
        <v>1075.3</v>
      </c>
    </row>
    <row r="514" customFormat="false" ht="15" hidden="false" customHeight="true" outlineLevel="0" collapsed="false">
      <c r="A514" s="6" t="n">
        <v>509</v>
      </c>
      <c r="B514" s="6" t="n">
        <f aca="false">MIN(42, FLOOR(A514/32,1)+1)</f>
        <v>16</v>
      </c>
      <c r="C514" s="6" t="n">
        <f aca="false">ROUND($B$2*(A514+1)^2.4*1.004^A514,0)</f>
        <v>2162074984</v>
      </c>
      <c r="D514" s="6" t="n">
        <f aca="false">ROUND($D$2*(A514+1)^2.4*1.004^A514,0)</f>
        <v>1921844430</v>
      </c>
      <c r="E514" s="6" t="n">
        <f aca="false">ROUND($F$2*(A514+1)^2.4*1.004^A514,0)</f>
        <v>1681613876</v>
      </c>
      <c r="F514" s="6" t="n">
        <f aca="false">ROUND(Building_Levels!$I$2*(A514+1)^1.9*1.003^A514,2)</f>
        <v>276.71</v>
      </c>
      <c r="G514" s="6" t="n">
        <f aca="false">ROUND((A514+1)^1.12,1)</f>
        <v>1077.7</v>
      </c>
    </row>
    <row r="515" customFormat="false" ht="15" hidden="false" customHeight="true" outlineLevel="0" collapsed="false">
      <c r="A515" s="6" t="n">
        <v>510</v>
      </c>
      <c r="B515" s="6" t="n">
        <f aca="false">MIN(42, FLOOR(A515/32,1)+1)</f>
        <v>16</v>
      </c>
      <c r="C515" s="6" t="n">
        <f aca="false">ROUND($B$2*(A515+1)^2.4*1.004^A515,0)</f>
        <v>2180952477</v>
      </c>
      <c r="D515" s="6" t="n">
        <f aca="false">ROUND($D$2*(A515+1)^2.4*1.004^A515,0)</f>
        <v>1938624424</v>
      </c>
      <c r="E515" s="6" t="n">
        <f aca="false">ROUND($F$2*(A515+1)^2.4*1.004^A515,0)</f>
        <v>1696296371</v>
      </c>
      <c r="F515" s="6" t="n">
        <f aca="false">ROUND(Building_Levels!$I$2*(A515+1)^1.9*1.003^A515,2)</f>
        <v>278.57</v>
      </c>
      <c r="G515" s="6" t="n">
        <f aca="false">ROUND((A515+1)^1.12,1)</f>
        <v>1080</v>
      </c>
    </row>
    <row r="516" customFormat="false" ht="15" hidden="false" customHeight="true" outlineLevel="0" collapsed="false">
      <c r="A516" s="6" t="n">
        <v>511</v>
      </c>
      <c r="B516" s="6" t="n">
        <f aca="false">MIN(42, FLOOR(A516/32,1)+1)</f>
        <v>16</v>
      </c>
      <c r="C516" s="6" t="n">
        <f aca="false">ROUND($B$2*(A516+1)^2.4*1.004^A516,0)</f>
        <v>2199974572</v>
      </c>
      <c r="D516" s="6" t="n">
        <f aca="false">ROUND($D$2*(A516+1)^2.4*1.004^A516,0)</f>
        <v>1955532953</v>
      </c>
      <c r="E516" s="6" t="n">
        <f aca="false">ROUND($F$2*(A516+1)^2.4*1.004^A516,0)</f>
        <v>1711091334</v>
      </c>
      <c r="F516" s="6" t="n">
        <f aca="false">ROUND(Building_Levels!$I$2*(A516+1)^1.9*1.003^A516,2)</f>
        <v>280.45</v>
      </c>
      <c r="G516" s="6" t="n">
        <f aca="false">ROUND((A516+1)^1.12,1)</f>
        <v>1082.4</v>
      </c>
    </row>
    <row r="517" customFormat="false" ht="15" hidden="false" customHeight="true" outlineLevel="0" collapsed="false">
      <c r="A517" s="6" t="n">
        <v>512</v>
      </c>
      <c r="B517" s="6" t="n">
        <f aca="false">MIN(42, FLOOR(A517/32,1)+1)</f>
        <v>17</v>
      </c>
      <c r="C517" s="6" t="n">
        <f aca="false">ROUND($B$2*(A517+1)^2.4*1.004^A517,0)</f>
        <v>2219142260</v>
      </c>
      <c r="D517" s="6" t="n">
        <f aca="false">ROUND($D$2*(A517+1)^2.4*1.004^A517,0)</f>
        <v>1972570898</v>
      </c>
      <c r="E517" s="6" t="n">
        <f aca="false">ROUND($F$2*(A517+1)^2.4*1.004^A517,0)</f>
        <v>1725999535</v>
      </c>
      <c r="F517" s="6" t="n">
        <f aca="false">ROUND(Building_Levels!$I$2*(A517+1)^1.9*1.003^A517,2)</f>
        <v>282.33</v>
      </c>
      <c r="G517" s="6" t="n">
        <f aca="false">ROUND((A517+1)^1.12,1)</f>
        <v>1084.8</v>
      </c>
    </row>
    <row r="518" customFormat="false" ht="15" hidden="false" customHeight="true" outlineLevel="0" collapsed="false">
      <c r="A518" s="6" t="n">
        <v>513</v>
      </c>
      <c r="B518" s="6" t="n">
        <f aca="false">MIN(42, FLOOR(A518/32,1)+1)</f>
        <v>17</v>
      </c>
      <c r="C518" s="6" t="n">
        <f aca="false">ROUND($B$2*(A518+1)^2.4*1.004^A518,0)</f>
        <v>2238456536</v>
      </c>
      <c r="D518" s="6" t="n">
        <f aca="false">ROUND($D$2*(A518+1)^2.4*1.004^A518,0)</f>
        <v>1989739143</v>
      </c>
      <c r="E518" s="6" t="n">
        <f aca="false">ROUND($F$2*(A518+1)^2.4*1.004^A518,0)</f>
        <v>1741021750</v>
      </c>
      <c r="F518" s="6" t="n">
        <f aca="false">ROUND(Building_Levels!$I$2*(A518+1)^1.9*1.003^A518,2)</f>
        <v>284.23</v>
      </c>
      <c r="G518" s="6" t="n">
        <f aca="false">ROUND((A518+1)^1.12,1)</f>
        <v>1087.1</v>
      </c>
    </row>
    <row r="519" customFormat="false" ht="15" hidden="false" customHeight="true" outlineLevel="0" collapsed="false">
      <c r="A519" s="6" t="n">
        <v>514</v>
      </c>
      <c r="B519" s="6" t="n">
        <f aca="false">MIN(42, FLOOR(A519/32,1)+1)</f>
        <v>17</v>
      </c>
      <c r="C519" s="6" t="n">
        <f aca="false">ROUND($B$2*(A519+1)^2.4*1.004^A519,0)</f>
        <v>2257918401</v>
      </c>
      <c r="D519" s="6" t="n">
        <f aca="false">ROUND($D$2*(A519+1)^2.4*1.004^A519,0)</f>
        <v>2007038579</v>
      </c>
      <c r="E519" s="6" t="n">
        <f aca="false">ROUND($F$2*(A519+1)^2.4*1.004^A519,0)</f>
        <v>1756158757</v>
      </c>
      <c r="F519" s="6" t="n">
        <f aca="false">ROUND(Building_Levels!$I$2*(A519+1)^1.9*1.003^A519,2)</f>
        <v>286.14</v>
      </c>
      <c r="G519" s="6" t="n">
        <f aca="false">ROUND((A519+1)^1.12,1)</f>
        <v>1089.5</v>
      </c>
    </row>
    <row r="520" customFormat="false" ht="15" hidden="false" customHeight="true" outlineLevel="0" collapsed="false">
      <c r="A520" s="6" t="n">
        <v>515</v>
      </c>
      <c r="B520" s="6" t="n">
        <f aca="false">MIN(42, FLOOR(A520/32,1)+1)</f>
        <v>17</v>
      </c>
      <c r="C520" s="6" t="n">
        <f aca="false">ROUND($B$2*(A520+1)^2.4*1.004^A520,0)</f>
        <v>2277528866</v>
      </c>
      <c r="D520" s="6" t="n">
        <f aca="false">ROUND($D$2*(A520+1)^2.4*1.004^A520,0)</f>
        <v>2024470103</v>
      </c>
      <c r="E520" s="6" t="n">
        <f aca="false">ROUND($F$2*(A520+1)^2.4*1.004^A520,0)</f>
        <v>1771411340</v>
      </c>
      <c r="F520" s="6" t="n">
        <f aca="false">ROUND(Building_Levels!$I$2*(A520+1)^1.9*1.003^A520,2)</f>
        <v>288.06</v>
      </c>
      <c r="G520" s="6" t="n">
        <f aca="false">ROUND((A520+1)^1.12,1)</f>
        <v>1091.9</v>
      </c>
    </row>
    <row r="521" customFormat="false" ht="15" hidden="false" customHeight="true" outlineLevel="0" collapsed="false">
      <c r="A521" s="6" t="n">
        <v>516</v>
      </c>
      <c r="B521" s="6" t="n">
        <f aca="false">MIN(42, FLOOR(A521/32,1)+1)</f>
        <v>17</v>
      </c>
      <c r="C521" s="6" t="n">
        <f aca="false">ROUND($B$2*(A521+1)^2.4*1.004^A521,0)</f>
        <v>2297288943</v>
      </c>
      <c r="D521" s="6" t="n">
        <f aca="false">ROUND($D$2*(A521+1)^2.4*1.004^A521,0)</f>
        <v>2042034616</v>
      </c>
      <c r="E521" s="6" t="n">
        <f aca="false">ROUND($F$2*(A521+1)^2.4*1.004^A521,0)</f>
        <v>1786780289</v>
      </c>
      <c r="F521" s="6" t="n">
        <f aca="false">ROUND(Building_Levels!$I$2*(A521+1)^1.9*1.003^A521,2)</f>
        <v>289.98</v>
      </c>
      <c r="G521" s="6" t="n">
        <f aca="false">ROUND((A521+1)^1.12,1)</f>
        <v>1094.2</v>
      </c>
    </row>
    <row r="522" customFormat="false" ht="15" hidden="false" customHeight="true" outlineLevel="0" collapsed="false">
      <c r="A522" s="6" t="n">
        <v>517</v>
      </c>
      <c r="B522" s="6" t="n">
        <f aca="false">MIN(42, FLOOR(A522/32,1)+1)</f>
        <v>17</v>
      </c>
      <c r="C522" s="6" t="n">
        <f aca="false">ROUND($B$2*(A522+1)^2.4*1.004^A522,0)</f>
        <v>2317199655</v>
      </c>
      <c r="D522" s="6" t="n">
        <f aca="false">ROUND($D$2*(A522+1)^2.4*1.004^A522,0)</f>
        <v>2059733026</v>
      </c>
      <c r="E522" s="6" t="n">
        <f aca="false">ROUND($F$2*(A522+1)^2.4*1.004^A522,0)</f>
        <v>1802266398</v>
      </c>
      <c r="F522" s="6" t="n">
        <f aca="false">ROUND(Building_Levels!$I$2*(A522+1)^1.9*1.003^A522,2)</f>
        <v>291.92</v>
      </c>
      <c r="G522" s="6" t="n">
        <f aca="false">ROUND((A522+1)^1.12,1)</f>
        <v>1096.6</v>
      </c>
    </row>
    <row r="523" customFormat="false" ht="15" hidden="false" customHeight="true" outlineLevel="0" collapsed="false">
      <c r="A523" s="6" t="n">
        <v>518</v>
      </c>
      <c r="B523" s="6" t="n">
        <f aca="false">MIN(42, FLOOR(A523/32,1)+1)</f>
        <v>17</v>
      </c>
      <c r="C523" s="6" t="n">
        <f aca="false">ROUND($B$2*(A523+1)^2.4*1.004^A523,0)</f>
        <v>2337262028</v>
      </c>
      <c r="D523" s="6" t="n">
        <f aca="false">ROUND($D$2*(A523+1)^2.4*1.004^A523,0)</f>
        <v>2077566247</v>
      </c>
      <c r="E523" s="6" t="n">
        <f aca="false">ROUND($F$2*(A523+1)^2.4*1.004^A523,0)</f>
        <v>1817870466</v>
      </c>
      <c r="F523" s="6" t="n">
        <f aca="false">ROUND(Building_Levels!$I$2*(A523+1)^1.9*1.003^A523,2)</f>
        <v>293.87</v>
      </c>
      <c r="G523" s="6" t="n">
        <f aca="false">ROUND((A523+1)^1.12,1)</f>
        <v>1099</v>
      </c>
    </row>
    <row r="524" customFormat="false" ht="15" hidden="false" customHeight="true" outlineLevel="0" collapsed="false">
      <c r="A524" s="6" t="n">
        <v>519</v>
      </c>
      <c r="B524" s="6" t="n">
        <f aca="false">MIN(42, FLOOR(A524/32,1)+1)</f>
        <v>17</v>
      </c>
      <c r="C524" s="6" t="n">
        <f aca="false">ROUND($B$2*(A524+1)^2.4*1.004^A524,0)</f>
        <v>2357477096</v>
      </c>
      <c r="D524" s="6" t="n">
        <f aca="false">ROUND($D$2*(A524+1)^2.4*1.004^A524,0)</f>
        <v>2095535196</v>
      </c>
      <c r="E524" s="6" t="n">
        <f aca="false">ROUND($F$2*(A524+1)^2.4*1.004^A524,0)</f>
        <v>1833593297</v>
      </c>
      <c r="F524" s="6" t="n">
        <f aca="false">ROUND(Building_Levels!$I$2*(A524+1)^1.9*1.003^A524,2)</f>
        <v>295.84</v>
      </c>
      <c r="G524" s="6" t="n">
        <f aca="false">ROUND((A524+1)^1.12,1)</f>
        <v>1101.3</v>
      </c>
    </row>
    <row r="525" customFormat="false" ht="15" hidden="false" customHeight="true" outlineLevel="0" collapsed="false">
      <c r="A525" s="6" t="n">
        <v>520</v>
      </c>
      <c r="B525" s="6" t="n">
        <f aca="false">MIN(42, FLOOR(A525/32,1)+1)</f>
        <v>17</v>
      </c>
      <c r="C525" s="6" t="n">
        <f aca="false">ROUND($B$2*(A525+1)^2.4*1.004^A525,0)</f>
        <v>2377845900</v>
      </c>
      <c r="D525" s="6" t="n">
        <f aca="false">ROUND($D$2*(A525+1)^2.4*1.004^A525,0)</f>
        <v>2113640800</v>
      </c>
      <c r="E525" s="6" t="n">
        <f aca="false">ROUND($F$2*(A525+1)^2.4*1.004^A525,0)</f>
        <v>1849435700</v>
      </c>
      <c r="F525" s="6" t="n">
        <f aca="false">ROUND(Building_Levels!$I$2*(A525+1)^1.9*1.003^A525,2)</f>
        <v>297.81</v>
      </c>
      <c r="G525" s="6" t="n">
        <f aca="false">ROUND((A525+1)^1.12,1)</f>
        <v>1103.7</v>
      </c>
    </row>
    <row r="526" customFormat="false" ht="15" hidden="false" customHeight="true" outlineLevel="0" collapsed="false">
      <c r="A526" s="6" t="n">
        <v>521</v>
      </c>
      <c r="B526" s="6" t="n">
        <f aca="false">MIN(42, FLOOR(A526/32,1)+1)</f>
        <v>17</v>
      </c>
      <c r="C526" s="6" t="n">
        <f aca="false">ROUND($B$2*(A526+1)^2.4*1.004^A526,0)</f>
        <v>2398369486</v>
      </c>
      <c r="D526" s="6" t="n">
        <f aca="false">ROUND($D$2*(A526+1)^2.4*1.004^A526,0)</f>
        <v>2131883988</v>
      </c>
      <c r="E526" s="6" t="n">
        <f aca="false">ROUND($F$2*(A526+1)^2.4*1.004^A526,0)</f>
        <v>1865398489</v>
      </c>
      <c r="F526" s="6" t="n">
        <f aca="false">ROUND(Building_Levels!$I$2*(A526+1)^1.9*1.003^A526,2)</f>
        <v>299.79</v>
      </c>
      <c r="G526" s="6" t="n">
        <f aca="false">ROUND((A526+1)^1.12,1)</f>
        <v>1106.1</v>
      </c>
    </row>
    <row r="527" customFormat="false" ht="15" hidden="false" customHeight="true" outlineLevel="0" collapsed="false">
      <c r="A527" s="6" t="n">
        <v>522</v>
      </c>
      <c r="B527" s="6" t="n">
        <f aca="false">MIN(42, FLOOR(A527/32,1)+1)</f>
        <v>17</v>
      </c>
      <c r="C527" s="6" t="n">
        <f aca="false">ROUND($B$2*(A527+1)^2.4*1.004^A527,0)</f>
        <v>2419048908</v>
      </c>
      <c r="D527" s="6" t="n">
        <f aca="false">ROUND($D$2*(A527+1)^2.4*1.004^A527,0)</f>
        <v>2150265696</v>
      </c>
      <c r="E527" s="6" t="n">
        <f aca="false">ROUND($F$2*(A527+1)^2.4*1.004^A527,0)</f>
        <v>1881482484</v>
      </c>
      <c r="F527" s="6" t="n">
        <f aca="false">ROUND(Building_Levels!$I$2*(A527+1)^1.9*1.003^A527,2)</f>
        <v>301.79</v>
      </c>
      <c r="G527" s="6" t="n">
        <f aca="false">ROUND((A527+1)^1.12,1)</f>
        <v>1108.5</v>
      </c>
    </row>
    <row r="528" customFormat="false" ht="15" hidden="false" customHeight="true" outlineLevel="0" collapsed="false">
      <c r="A528" s="6" t="n">
        <v>523</v>
      </c>
      <c r="B528" s="6" t="n">
        <f aca="false">MIN(42, FLOOR(A528/32,1)+1)</f>
        <v>17</v>
      </c>
      <c r="C528" s="6" t="n">
        <f aca="false">ROUND($B$2*(A528+1)^2.4*1.004^A528,0)</f>
        <v>2439885226</v>
      </c>
      <c r="D528" s="6" t="n">
        <f aca="false">ROUND($D$2*(A528+1)^2.4*1.004^A528,0)</f>
        <v>2168786868</v>
      </c>
      <c r="E528" s="6" t="n">
        <f aca="false">ROUND($F$2*(A528+1)^2.4*1.004^A528,0)</f>
        <v>1897688509</v>
      </c>
      <c r="F528" s="6" t="n">
        <f aca="false">ROUND(Building_Levels!$I$2*(A528+1)^1.9*1.003^A528,2)</f>
        <v>303.79</v>
      </c>
      <c r="G528" s="6" t="n">
        <f aca="false">ROUND((A528+1)^1.12,1)</f>
        <v>1110.8</v>
      </c>
    </row>
    <row r="529" customFormat="false" ht="15" hidden="false" customHeight="true" outlineLevel="0" collapsed="false">
      <c r="A529" s="6" t="n">
        <v>524</v>
      </c>
      <c r="B529" s="6" t="n">
        <f aca="false">MIN(42, FLOOR(A529/32,1)+1)</f>
        <v>17</v>
      </c>
      <c r="C529" s="6" t="n">
        <f aca="false">ROUND($B$2*(A529+1)^2.4*1.004^A529,0)</f>
        <v>2460879506</v>
      </c>
      <c r="D529" s="6" t="n">
        <f aca="false">ROUND($D$2*(A529+1)^2.4*1.004^A529,0)</f>
        <v>2187448450</v>
      </c>
      <c r="E529" s="6" t="n">
        <f aca="false">ROUND($F$2*(A529+1)^2.4*1.004^A529,0)</f>
        <v>1914017394</v>
      </c>
      <c r="F529" s="6" t="n">
        <f aca="false">ROUND(Building_Levels!$I$2*(A529+1)^1.9*1.003^A529,2)</f>
        <v>305.81</v>
      </c>
      <c r="G529" s="6" t="n">
        <f aca="false">ROUND((A529+1)^1.12,1)</f>
        <v>1113.2</v>
      </c>
    </row>
    <row r="530" customFormat="false" ht="15" hidden="false" customHeight="true" outlineLevel="0" collapsed="false">
      <c r="A530" s="6" t="n">
        <v>525</v>
      </c>
      <c r="B530" s="6" t="n">
        <f aca="false">MIN(42, FLOOR(A530/32,1)+1)</f>
        <v>17</v>
      </c>
      <c r="C530" s="6" t="n">
        <f aca="false">ROUND($B$2*(A530+1)^2.4*1.004^A530,0)</f>
        <v>2482032821</v>
      </c>
      <c r="D530" s="6" t="n">
        <f aca="false">ROUND($D$2*(A530+1)^2.4*1.004^A530,0)</f>
        <v>2206251397</v>
      </c>
      <c r="E530" s="6" t="n">
        <f aca="false">ROUND($F$2*(A530+1)^2.4*1.004^A530,0)</f>
        <v>1930469972</v>
      </c>
      <c r="F530" s="6" t="n">
        <f aca="false">ROUND(Building_Levels!$I$2*(A530+1)^1.9*1.003^A530,2)</f>
        <v>307.84</v>
      </c>
      <c r="G530" s="6" t="n">
        <f aca="false">ROUND((A530+1)^1.12,1)</f>
        <v>1115.6</v>
      </c>
    </row>
    <row r="531" customFormat="false" ht="15" hidden="false" customHeight="true" outlineLevel="0" collapsed="false">
      <c r="A531" s="6" t="n">
        <v>526</v>
      </c>
      <c r="B531" s="6" t="n">
        <f aca="false">MIN(42, FLOOR(A531/32,1)+1)</f>
        <v>17</v>
      </c>
      <c r="C531" s="6" t="n">
        <f aca="false">ROUND($B$2*(A531+1)^2.4*1.004^A531,0)</f>
        <v>2503346252</v>
      </c>
      <c r="D531" s="6" t="n">
        <f aca="false">ROUND($D$2*(A531+1)^2.4*1.004^A531,0)</f>
        <v>2225196668</v>
      </c>
      <c r="E531" s="6" t="n">
        <f aca="false">ROUND($F$2*(A531+1)^2.4*1.004^A531,0)</f>
        <v>1947047085</v>
      </c>
      <c r="F531" s="6" t="n">
        <f aca="false">ROUND(Building_Levels!$I$2*(A531+1)^1.9*1.003^A531,2)</f>
        <v>309.88</v>
      </c>
      <c r="G531" s="6" t="n">
        <f aca="false">ROUND((A531+1)^1.12,1)</f>
        <v>1118</v>
      </c>
    </row>
    <row r="532" customFormat="false" ht="15" hidden="false" customHeight="true" outlineLevel="0" collapsed="false">
      <c r="A532" s="6" t="n">
        <v>527</v>
      </c>
      <c r="B532" s="6" t="n">
        <f aca="false">MIN(42, FLOOR(A532/32,1)+1)</f>
        <v>17</v>
      </c>
      <c r="C532" s="6" t="n">
        <f aca="false">ROUND($B$2*(A532+1)^2.4*1.004^A532,0)</f>
        <v>2524820884</v>
      </c>
      <c r="D532" s="6" t="n">
        <f aca="false">ROUND($D$2*(A532+1)^2.4*1.004^A532,0)</f>
        <v>2244285231</v>
      </c>
      <c r="E532" s="6" t="n">
        <f aca="false">ROUND($F$2*(A532+1)^2.4*1.004^A532,0)</f>
        <v>1963749577</v>
      </c>
      <c r="F532" s="6" t="n">
        <f aca="false">ROUND(Building_Levels!$I$2*(A532+1)^1.9*1.003^A532,2)</f>
        <v>311.93</v>
      </c>
      <c r="G532" s="6" t="n">
        <f aca="false">ROUND((A532+1)^1.12,1)</f>
        <v>1120.3</v>
      </c>
    </row>
    <row r="533" customFormat="false" ht="15" hidden="false" customHeight="true" outlineLevel="0" collapsed="false">
      <c r="A533" s="6" t="n">
        <v>528</v>
      </c>
      <c r="B533" s="6" t="n">
        <f aca="false">MIN(42, FLOOR(A533/32,1)+1)</f>
        <v>17</v>
      </c>
      <c r="C533" s="6" t="n">
        <f aca="false">ROUND($B$2*(A533+1)^2.4*1.004^A533,0)</f>
        <v>2546457812</v>
      </c>
      <c r="D533" s="6" t="n">
        <f aca="false">ROUND($D$2*(A533+1)^2.4*1.004^A533,0)</f>
        <v>2263518055</v>
      </c>
      <c r="E533" s="6" t="n">
        <f aca="false">ROUND($F$2*(A533+1)^2.4*1.004^A533,0)</f>
        <v>1980578298</v>
      </c>
      <c r="F533" s="6" t="n">
        <f aca="false">ROUND(Building_Levels!$I$2*(A533+1)^1.9*1.003^A533,2)</f>
        <v>313.99</v>
      </c>
      <c r="G533" s="6" t="n">
        <f aca="false">ROUND((A533+1)^1.12,1)</f>
        <v>1122.7</v>
      </c>
    </row>
    <row r="534" customFormat="false" ht="15" hidden="false" customHeight="true" outlineLevel="0" collapsed="false">
      <c r="A534" s="6" t="n">
        <v>529</v>
      </c>
      <c r="B534" s="6" t="n">
        <f aca="false">MIN(42, FLOOR(A534/32,1)+1)</f>
        <v>17</v>
      </c>
      <c r="C534" s="6" t="n">
        <f aca="false">ROUND($B$2*(A534+1)^2.4*1.004^A534,0)</f>
        <v>2568258135</v>
      </c>
      <c r="D534" s="6" t="n">
        <f aca="false">ROUND($D$2*(A534+1)^2.4*1.004^A534,0)</f>
        <v>2282896120</v>
      </c>
      <c r="E534" s="6" t="n">
        <f aca="false">ROUND($F$2*(A534+1)^2.4*1.004^A534,0)</f>
        <v>1997534105</v>
      </c>
      <c r="F534" s="6" t="n">
        <f aca="false">ROUND(Building_Levels!$I$2*(A534+1)^1.9*1.003^A534,2)</f>
        <v>316.07</v>
      </c>
      <c r="G534" s="6" t="n">
        <f aca="false">ROUND((A534+1)^1.12,1)</f>
        <v>1125.1</v>
      </c>
    </row>
    <row r="535" customFormat="false" ht="15" hidden="false" customHeight="true" outlineLevel="0" collapsed="false">
      <c r="A535" s="6" t="n">
        <v>530</v>
      </c>
      <c r="B535" s="6" t="n">
        <f aca="false">MIN(42, FLOOR(A535/32,1)+1)</f>
        <v>17</v>
      </c>
      <c r="C535" s="6" t="n">
        <f aca="false">ROUND($B$2*(A535+1)^2.4*1.004^A535,0)</f>
        <v>2590222961</v>
      </c>
      <c r="D535" s="6" t="n">
        <f aca="false">ROUND($D$2*(A535+1)^2.4*1.004^A535,0)</f>
        <v>2302420410</v>
      </c>
      <c r="E535" s="6" t="n">
        <f aca="false">ROUND($F$2*(A535+1)^2.4*1.004^A535,0)</f>
        <v>2014617858</v>
      </c>
      <c r="F535" s="6" t="n">
        <f aca="false">ROUND(Building_Levels!$I$2*(A535+1)^1.9*1.003^A535,2)</f>
        <v>318.15</v>
      </c>
      <c r="G535" s="6" t="n">
        <f aca="false">ROUND((A535+1)^1.12,1)</f>
        <v>1127.5</v>
      </c>
    </row>
    <row r="536" customFormat="false" ht="15" hidden="false" customHeight="true" outlineLevel="0" collapsed="false">
      <c r="A536" s="6" t="n">
        <v>531</v>
      </c>
      <c r="B536" s="6" t="n">
        <f aca="false">MIN(42, FLOOR(A536/32,1)+1)</f>
        <v>17</v>
      </c>
      <c r="C536" s="6" t="n">
        <f aca="false">ROUND($B$2*(A536+1)^2.4*1.004^A536,0)</f>
        <v>2612353403</v>
      </c>
      <c r="D536" s="6" t="n">
        <f aca="false">ROUND($D$2*(A536+1)^2.4*1.004^A536,0)</f>
        <v>2322091914</v>
      </c>
      <c r="E536" s="6" t="n">
        <f aca="false">ROUND($F$2*(A536+1)^2.4*1.004^A536,0)</f>
        <v>2031830424</v>
      </c>
      <c r="F536" s="6" t="n">
        <f aca="false">ROUND(Building_Levels!$I$2*(A536+1)^1.9*1.003^A536,2)</f>
        <v>320.25</v>
      </c>
      <c r="G536" s="6" t="n">
        <f aca="false">ROUND((A536+1)^1.12,1)</f>
        <v>1129.9</v>
      </c>
    </row>
    <row r="537" customFormat="false" ht="15" hidden="false" customHeight="true" outlineLevel="0" collapsed="false">
      <c r="A537" s="6" t="n">
        <v>532</v>
      </c>
      <c r="B537" s="6" t="n">
        <f aca="false">MIN(42, FLOOR(A537/32,1)+1)</f>
        <v>17</v>
      </c>
      <c r="C537" s="6" t="n">
        <f aca="false">ROUND($B$2*(A537+1)^2.4*1.004^A537,0)</f>
        <v>2634650582</v>
      </c>
      <c r="D537" s="6" t="n">
        <f aca="false">ROUND($D$2*(A537+1)^2.4*1.004^A537,0)</f>
        <v>2341911629</v>
      </c>
      <c r="E537" s="6" t="n">
        <f aca="false">ROUND($F$2*(A537+1)^2.4*1.004^A537,0)</f>
        <v>2049172675</v>
      </c>
      <c r="F537" s="6" t="n">
        <f aca="false">ROUND(Building_Levels!$I$2*(A537+1)^1.9*1.003^A537,2)</f>
        <v>322.36</v>
      </c>
      <c r="G537" s="6" t="n">
        <f aca="false">ROUND((A537+1)^1.12,1)</f>
        <v>1132.2</v>
      </c>
    </row>
    <row r="538" customFormat="false" ht="15" hidden="false" customHeight="true" outlineLevel="0" collapsed="false">
      <c r="A538" s="6" t="n">
        <v>533</v>
      </c>
      <c r="B538" s="6" t="n">
        <f aca="false">MIN(42, FLOOR(A538/32,1)+1)</f>
        <v>17</v>
      </c>
      <c r="C538" s="6" t="n">
        <f aca="false">ROUND($B$2*(A538+1)^2.4*1.004^A538,0)</f>
        <v>2657115627</v>
      </c>
      <c r="D538" s="6" t="n">
        <f aca="false">ROUND($D$2*(A538+1)^2.4*1.004^A538,0)</f>
        <v>2361880557</v>
      </c>
      <c r="E538" s="6" t="n">
        <f aca="false">ROUND($F$2*(A538+1)^2.4*1.004^A538,0)</f>
        <v>2066645487</v>
      </c>
      <c r="F538" s="6" t="n">
        <f aca="false">ROUND(Building_Levels!$I$2*(A538+1)^1.9*1.003^A538,2)</f>
        <v>324.48</v>
      </c>
      <c r="G538" s="6" t="n">
        <f aca="false">ROUND((A538+1)^1.12,1)</f>
        <v>1134.6</v>
      </c>
    </row>
    <row r="539" customFormat="false" ht="15" hidden="false" customHeight="true" outlineLevel="0" collapsed="false">
      <c r="A539" s="6" t="n">
        <v>534</v>
      </c>
      <c r="B539" s="6" t="n">
        <f aca="false">MIN(42, FLOOR(A539/32,1)+1)</f>
        <v>17</v>
      </c>
      <c r="C539" s="6" t="n">
        <f aca="false">ROUND($B$2*(A539+1)^2.4*1.004^A539,0)</f>
        <v>2679749671</v>
      </c>
      <c r="D539" s="6" t="n">
        <f aca="false">ROUND($D$2*(A539+1)^2.4*1.004^A539,0)</f>
        <v>2381999708</v>
      </c>
      <c r="E539" s="6" t="n">
        <f aca="false">ROUND($F$2*(A539+1)^2.4*1.004^A539,0)</f>
        <v>2084249744</v>
      </c>
      <c r="F539" s="6" t="n">
        <f aca="false">ROUND(Building_Levels!$I$2*(A539+1)^1.9*1.003^A539,2)</f>
        <v>326.61</v>
      </c>
      <c r="G539" s="6" t="n">
        <f aca="false">ROUND((A539+1)^1.12,1)</f>
        <v>1137</v>
      </c>
    </row>
    <row r="540" customFormat="false" ht="15" hidden="false" customHeight="true" outlineLevel="0" collapsed="false">
      <c r="A540" s="6" t="n">
        <v>535</v>
      </c>
      <c r="B540" s="6" t="n">
        <f aca="false">MIN(42, FLOOR(A540/32,1)+1)</f>
        <v>17</v>
      </c>
      <c r="C540" s="6" t="n">
        <f aca="false">ROUND($B$2*(A540+1)^2.4*1.004^A540,0)</f>
        <v>2702553858</v>
      </c>
      <c r="D540" s="6" t="n">
        <f aca="false">ROUND($D$2*(A540+1)^2.4*1.004^A540,0)</f>
        <v>2402270096</v>
      </c>
      <c r="E540" s="6" t="n">
        <f aca="false">ROUND($F$2*(A540+1)^2.4*1.004^A540,0)</f>
        <v>2101986334</v>
      </c>
      <c r="F540" s="6" t="n">
        <f aca="false">ROUND(Building_Levels!$I$2*(A540+1)^1.9*1.003^A540,2)</f>
        <v>328.76</v>
      </c>
      <c r="G540" s="6" t="n">
        <f aca="false">ROUND((A540+1)^1.12,1)</f>
        <v>1139.4</v>
      </c>
    </row>
    <row r="541" customFormat="false" ht="15" hidden="false" customHeight="true" outlineLevel="0" collapsed="false">
      <c r="A541" s="6" t="n">
        <v>536</v>
      </c>
      <c r="B541" s="6" t="n">
        <f aca="false">MIN(42, FLOOR(A541/32,1)+1)</f>
        <v>17</v>
      </c>
      <c r="C541" s="6" t="n">
        <f aca="false">ROUND($B$2*(A541+1)^2.4*1.004^A541,0)</f>
        <v>2725529335</v>
      </c>
      <c r="D541" s="6" t="n">
        <f aca="false">ROUND($D$2*(A541+1)^2.4*1.004^A541,0)</f>
        <v>2422692742</v>
      </c>
      <c r="E541" s="6" t="n">
        <f aca="false">ROUND($F$2*(A541+1)^2.4*1.004^A541,0)</f>
        <v>2119856150</v>
      </c>
      <c r="F541" s="6" t="n">
        <f aca="false">ROUND(Building_Levels!$I$2*(A541+1)^1.9*1.003^A541,2)</f>
        <v>330.91</v>
      </c>
      <c r="G541" s="6" t="n">
        <f aca="false">ROUND((A541+1)^1.12,1)</f>
        <v>1141.8</v>
      </c>
    </row>
    <row r="542" customFormat="false" ht="15" hidden="false" customHeight="true" outlineLevel="0" collapsed="false">
      <c r="A542" s="6" t="n">
        <v>537</v>
      </c>
      <c r="B542" s="6" t="n">
        <f aca="false">MIN(42, FLOOR(A542/32,1)+1)</f>
        <v>17</v>
      </c>
      <c r="C542" s="6" t="n">
        <f aca="false">ROUND($B$2*(A542+1)^2.4*1.004^A542,0)</f>
        <v>2748677260</v>
      </c>
      <c r="D542" s="6" t="n">
        <f aca="false">ROUND($D$2*(A542+1)^2.4*1.004^A542,0)</f>
        <v>2443268675</v>
      </c>
      <c r="E542" s="6" t="n">
        <f aca="false">ROUND($F$2*(A542+1)^2.4*1.004^A542,0)</f>
        <v>2137860091</v>
      </c>
      <c r="F542" s="6" t="n">
        <f aca="false">ROUND(Building_Levels!$I$2*(A542+1)^1.9*1.003^A542,2)</f>
        <v>333.08</v>
      </c>
      <c r="G542" s="6" t="n">
        <f aca="false">ROUND((A542+1)^1.12,1)</f>
        <v>1144.1</v>
      </c>
    </row>
    <row r="543" customFormat="false" ht="15" hidden="false" customHeight="true" outlineLevel="0" collapsed="false">
      <c r="A543" s="6" t="n">
        <v>538</v>
      </c>
      <c r="B543" s="6" t="n">
        <f aca="false">MIN(42, FLOOR(A543/32,1)+1)</f>
        <v>17</v>
      </c>
      <c r="C543" s="6" t="n">
        <f aca="false">ROUND($B$2*(A543+1)^2.4*1.004^A543,0)</f>
        <v>2771998795</v>
      </c>
      <c r="D543" s="6" t="n">
        <f aca="false">ROUND($D$2*(A543+1)^2.4*1.004^A543,0)</f>
        <v>2463998929</v>
      </c>
      <c r="E543" s="6" t="n">
        <f aca="false">ROUND($F$2*(A543+1)^2.4*1.004^A543,0)</f>
        <v>2155999063</v>
      </c>
      <c r="F543" s="6" t="n">
        <f aca="false">ROUND(Building_Levels!$I$2*(A543+1)^1.9*1.003^A543,2)</f>
        <v>335.26</v>
      </c>
      <c r="G543" s="6" t="n">
        <f aca="false">ROUND((A543+1)^1.12,1)</f>
        <v>1146.5</v>
      </c>
    </row>
    <row r="544" customFormat="false" ht="15" hidden="false" customHeight="true" outlineLevel="0" collapsed="false">
      <c r="A544" s="6" t="n">
        <v>539</v>
      </c>
      <c r="B544" s="6" t="n">
        <f aca="false">MIN(42, FLOOR(A544/32,1)+1)</f>
        <v>17</v>
      </c>
      <c r="C544" s="6" t="n">
        <f aca="false">ROUND($B$2*(A544+1)^2.4*1.004^A544,0)</f>
        <v>2795495111</v>
      </c>
      <c r="D544" s="6" t="n">
        <f aca="false">ROUND($D$2*(A544+1)^2.4*1.004^A544,0)</f>
        <v>2484884543</v>
      </c>
      <c r="E544" s="6" t="n">
        <f aca="false">ROUND($F$2*(A544+1)^2.4*1.004^A544,0)</f>
        <v>2174273975</v>
      </c>
      <c r="F544" s="6" t="n">
        <f aca="false">ROUND(Building_Levels!$I$2*(A544+1)^1.9*1.003^A544,2)</f>
        <v>337.45</v>
      </c>
      <c r="G544" s="6" t="n">
        <f aca="false">ROUND((A544+1)^1.12,1)</f>
        <v>1148.9</v>
      </c>
    </row>
    <row r="545" customFormat="false" ht="15" hidden="false" customHeight="true" outlineLevel="0" collapsed="false">
      <c r="A545" s="6" t="n">
        <v>540</v>
      </c>
      <c r="B545" s="6" t="n">
        <f aca="false">MIN(42, FLOOR(A545/32,1)+1)</f>
        <v>17</v>
      </c>
      <c r="C545" s="6" t="n">
        <f aca="false">ROUND($B$2*(A545+1)^2.4*1.004^A545,0)</f>
        <v>2819167386</v>
      </c>
      <c r="D545" s="6" t="n">
        <f aca="false">ROUND($D$2*(A545+1)^2.4*1.004^A545,0)</f>
        <v>2505926565</v>
      </c>
      <c r="E545" s="6" t="n">
        <f aca="false">ROUND($F$2*(A545+1)^2.4*1.004^A545,0)</f>
        <v>2192685745</v>
      </c>
      <c r="F545" s="6" t="n">
        <f aca="false">ROUND(Building_Levels!$I$2*(A545+1)^1.9*1.003^A545,2)</f>
        <v>339.66</v>
      </c>
      <c r="G545" s="6" t="n">
        <f aca="false">ROUND((A545+1)^1.12,1)</f>
        <v>1151.3</v>
      </c>
    </row>
    <row r="546" customFormat="false" ht="15" hidden="false" customHeight="true" outlineLevel="0" collapsed="false">
      <c r="A546" s="6" t="n">
        <v>541</v>
      </c>
      <c r="B546" s="6" t="n">
        <f aca="false">MIN(42, FLOOR(A546/32,1)+1)</f>
        <v>17</v>
      </c>
      <c r="C546" s="6" t="n">
        <f aca="false">ROUND($B$2*(A546+1)^2.4*1.004^A546,0)</f>
        <v>2843016805</v>
      </c>
      <c r="D546" s="6" t="n">
        <f aca="false">ROUND($D$2*(A546+1)^2.4*1.004^A546,0)</f>
        <v>2527126049</v>
      </c>
      <c r="E546" s="6" t="n">
        <f aca="false">ROUND($F$2*(A546+1)^2.4*1.004^A546,0)</f>
        <v>2211235293</v>
      </c>
      <c r="F546" s="6" t="n">
        <f aca="false">ROUND(Building_Levels!$I$2*(A546+1)^1.9*1.003^A546,2)</f>
        <v>341.87</v>
      </c>
      <c r="G546" s="6" t="n">
        <f aca="false">ROUND((A546+1)^1.12,1)</f>
        <v>1153.7</v>
      </c>
    </row>
    <row r="547" customFormat="false" ht="15" hidden="false" customHeight="true" outlineLevel="0" collapsed="false">
      <c r="A547" s="6" t="n">
        <v>542</v>
      </c>
      <c r="B547" s="6" t="n">
        <f aca="false">MIN(42, FLOOR(A547/32,1)+1)</f>
        <v>17</v>
      </c>
      <c r="C547" s="6" t="n">
        <f aca="false">ROUND($B$2*(A547+1)^2.4*1.004^A547,0)</f>
        <v>2867044560</v>
      </c>
      <c r="D547" s="6" t="n">
        <f aca="false">ROUND($D$2*(A547+1)^2.4*1.004^A547,0)</f>
        <v>2548484054</v>
      </c>
      <c r="E547" s="6" t="n">
        <f aca="false">ROUND($F$2*(A547+1)^2.4*1.004^A547,0)</f>
        <v>2229923547</v>
      </c>
      <c r="F547" s="6" t="n">
        <f aca="false">ROUND(Building_Levels!$I$2*(A547+1)^1.9*1.003^A547,2)</f>
        <v>344.1</v>
      </c>
      <c r="G547" s="6" t="n">
        <f aca="false">ROUND((A547+1)^1.12,1)</f>
        <v>1156</v>
      </c>
    </row>
    <row r="548" customFormat="false" ht="15" hidden="false" customHeight="true" outlineLevel="0" collapsed="false">
      <c r="A548" s="6" t="n">
        <v>543</v>
      </c>
      <c r="B548" s="6" t="n">
        <f aca="false">MIN(42, FLOOR(A548/32,1)+1)</f>
        <v>17</v>
      </c>
      <c r="C548" s="6" t="n">
        <f aca="false">ROUND($B$2*(A548+1)^2.4*1.004^A548,0)</f>
        <v>2891251852</v>
      </c>
      <c r="D548" s="6" t="n">
        <f aca="false">ROUND($D$2*(A548+1)^2.4*1.004^A548,0)</f>
        <v>2570001646</v>
      </c>
      <c r="E548" s="6" t="n">
        <f aca="false">ROUND($F$2*(A548+1)^2.4*1.004^A548,0)</f>
        <v>2248751441</v>
      </c>
      <c r="F548" s="6" t="n">
        <f aca="false">ROUND(Building_Levels!$I$2*(A548+1)^1.9*1.003^A548,2)</f>
        <v>346.34</v>
      </c>
      <c r="G548" s="6" t="n">
        <f aca="false">ROUND((A548+1)^1.12,1)</f>
        <v>1158.4</v>
      </c>
    </row>
    <row r="549" customFormat="false" ht="15" hidden="false" customHeight="true" outlineLevel="0" collapsed="false">
      <c r="A549" s="6" t="n">
        <v>544</v>
      </c>
      <c r="B549" s="6" t="n">
        <f aca="false">MIN(42, FLOOR(A549/32,1)+1)</f>
        <v>18</v>
      </c>
      <c r="C549" s="6" t="n">
        <f aca="false">ROUND($B$2*(A549+1)^2.4*1.004^A549,0)</f>
        <v>2915639888</v>
      </c>
      <c r="D549" s="6" t="n">
        <f aca="false">ROUND($D$2*(A549+1)^2.4*1.004^A549,0)</f>
        <v>2591679900</v>
      </c>
      <c r="E549" s="6" t="n">
        <f aca="false">ROUND($F$2*(A549+1)^2.4*1.004^A549,0)</f>
        <v>2267719913</v>
      </c>
      <c r="F549" s="6" t="n">
        <f aca="false">ROUND(Building_Levels!$I$2*(A549+1)^1.9*1.003^A549,2)</f>
        <v>348.6</v>
      </c>
      <c r="G549" s="6" t="n">
        <f aca="false">ROUND((A549+1)^1.12,1)</f>
        <v>1160.8</v>
      </c>
    </row>
    <row r="550" customFormat="false" ht="15" hidden="false" customHeight="true" outlineLevel="0" collapsed="false">
      <c r="A550" s="6" t="n">
        <v>545</v>
      </c>
      <c r="B550" s="6" t="n">
        <f aca="false">MIN(42, FLOOR(A550/32,1)+1)</f>
        <v>18</v>
      </c>
      <c r="C550" s="6" t="n">
        <f aca="false">ROUND($B$2*(A550+1)^2.4*1.004^A550,0)</f>
        <v>2940209882</v>
      </c>
      <c r="D550" s="6" t="n">
        <f aca="false">ROUND($D$2*(A550+1)^2.4*1.004^A550,0)</f>
        <v>2613519895</v>
      </c>
      <c r="E550" s="6" t="n">
        <f aca="false">ROUND($F$2*(A550+1)^2.4*1.004^A550,0)</f>
        <v>2286829908</v>
      </c>
      <c r="F550" s="6" t="n">
        <f aca="false">ROUND(Building_Levels!$I$2*(A550+1)^1.9*1.003^A550,2)</f>
        <v>350.86</v>
      </c>
      <c r="G550" s="6" t="n">
        <f aca="false">ROUND((A550+1)^1.12,1)</f>
        <v>1163.2</v>
      </c>
    </row>
    <row r="551" customFormat="false" ht="15" hidden="false" customHeight="true" outlineLevel="0" collapsed="false">
      <c r="A551" s="6" t="n">
        <v>546</v>
      </c>
      <c r="B551" s="6" t="n">
        <f aca="false">MIN(42, FLOOR(A551/32,1)+1)</f>
        <v>18</v>
      </c>
      <c r="C551" s="6" t="n">
        <f aca="false">ROUND($B$2*(A551+1)^2.4*1.004^A551,0)</f>
        <v>2964963056</v>
      </c>
      <c r="D551" s="6" t="n">
        <f aca="false">ROUND($D$2*(A551+1)^2.4*1.004^A551,0)</f>
        <v>2635522717</v>
      </c>
      <c r="E551" s="6" t="n">
        <f aca="false">ROUND($F$2*(A551+1)^2.4*1.004^A551,0)</f>
        <v>2306082377</v>
      </c>
      <c r="F551" s="6" t="n">
        <f aca="false">ROUND(Building_Levels!$I$2*(A551+1)^1.9*1.003^A551,2)</f>
        <v>353.14</v>
      </c>
      <c r="G551" s="6" t="n">
        <f aca="false">ROUND((A551+1)^1.12,1)</f>
        <v>1165.6</v>
      </c>
    </row>
    <row r="552" customFormat="false" ht="15" hidden="false" customHeight="true" outlineLevel="0" collapsed="false">
      <c r="A552" s="6" t="n">
        <v>547</v>
      </c>
      <c r="B552" s="6" t="n">
        <f aca="false">MIN(42, FLOOR(A552/32,1)+1)</f>
        <v>18</v>
      </c>
      <c r="C552" s="6" t="n">
        <f aca="false">ROUND($B$2*(A552+1)^2.4*1.004^A552,0)</f>
        <v>2989900641</v>
      </c>
      <c r="D552" s="6" t="n">
        <f aca="false">ROUND($D$2*(A552+1)^2.4*1.004^A552,0)</f>
        <v>2657689459</v>
      </c>
      <c r="E552" s="6" t="n">
        <f aca="false">ROUND($F$2*(A552+1)^2.4*1.004^A552,0)</f>
        <v>2325478277</v>
      </c>
      <c r="F552" s="6" t="n">
        <f aca="false">ROUND(Building_Levels!$I$2*(A552+1)^1.9*1.003^A552,2)</f>
        <v>355.43</v>
      </c>
      <c r="G552" s="6" t="n">
        <f aca="false">ROUND((A552+1)^1.12,1)</f>
        <v>1168</v>
      </c>
    </row>
    <row r="553" customFormat="false" ht="15" hidden="false" customHeight="true" outlineLevel="0" collapsed="false">
      <c r="A553" s="6" t="n">
        <v>548</v>
      </c>
      <c r="B553" s="6" t="n">
        <f aca="false">MIN(42, FLOOR(A553/32,1)+1)</f>
        <v>18</v>
      </c>
      <c r="C553" s="6" t="n">
        <f aca="false">ROUND($B$2*(A553+1)^2.4*1.004^A553,0)</f>
        <v>3015023874</v>
      </c>
      <c r="D553" s="6" t="n">
        <f aca="false">ROUND($D$2*(A553+1)^2.4*1.004^A553,0)</f>
        <v>2680021222</v>
      </c>
      <c r="E553" s="6" t="n">
        <f aca="false">ROUND($F$2*(A553+1)^2.4*1.004^A553,0)</f>
        <v>2345018569</v>
      </c>
      <c r="F553" s="6" t="n">
        <f aca="false">ROUND(Building_Levels!$I$2*(A553+1)^1.9*1.003^A553,2)</f>
        <v>357.73</v>
      </c>
      <c r="G553" s="6" t="n">
        <f aca="false">ROUND((A553+1)^1.12,1)</f>
        <v>1170.4</v>
      </c>
    </row>
    <row r="554" customFormat="false" ht="15" hidden="false" customHeight="true" outlineLevel="0" collapsed="false">
      <c r="A554" s="6" t="n">
        <v>549</v>
      </c>
      <c r="B554" s="6" t="n">
        <f aca="false">MIN(42, FLOOR(A554/32,1)+1)</f>
        <v>18</v>
      </c>
      <c r="C554" s="6" t="n">
        <f aca="false">ROUND($B$2*(A554+1)^2.4*1.004^A554,0)</f>
        <v>3040334001</v>
      </c>
      <c r="D554" s="6" t="n">
        <f aca="false">ROUND($D$2*(A554+1)^2.4*1.004^A554,0)</f>
        <v>2702519112</v>
      </c>
      <c r="E554" s="6" t="n">
        <f aca="false">ROUND($F$2*(A554+1)^2.4*1.004^A554,0)</f>
        <v>2364704223</v>
      </c>
      <c r="F554" s="6" t="n">
        <f aca="false">ROUND(Building_Levels!$I$2*(A554+1)^1.9*1.003^A554,2)</f>
        <v>360.05</v>
      </c>
      <c r="G554" s="6" t="n">
        <f aca="false">ROUND((A554+1)^1.12,1)</f>
        <v>1172.8</v>
      </c>
    </row>
    <row r="555" customFormat="false" ht="15" hidden="false" customHeight="true" outlineLevel="0" collapsed="false">
      <c r="A555" s="6" t="n">
        <v>550</v>
      </c>
      <c r="B555" s="6" t="n">
        <f aca="false">MIN(42, FLOOR(A555/32,1)+1)</f>
        <v>18</v>
      </c>
      <c r="C555" s="6" t="n">
        <f aca="false">ROUND($B$2*(A555+1)^2.4*1.004^A555,0)</f>
        <v>3065832273</v>
      </c>
      <c r="D555" s="6" t="n">
        <f aca="false">ROUND($D$2*(A555+1)^2.4*1.004^A555,0)</f>
        <v>2725184243</v>
      </c>
      <c r="E555" s="6" t="n">
        <f aca="false">ROUND($F$2*(A555+1)^2.4*1.004^A555,0)</f>
        <v>2384536213</v>
      </c>
      <c r="F555" s="6" t="n">
        <f aca="false">ROUND(Building_Levels!$I$2*(A555+1)^1.9*1.003^A555,2)</f>
        <v>362.38</v>
      </c>
      <c r="G555" s="6" t="n">
        <f aca="false">ROUND((A555+1)^1.12,1)</f>
        <v>1175.1</v>
      </c>
    </row>
    <row r="556" customFormat="false" ht="15" hidden="false" customHeight="true" outlineLevel="0" collapsed="false">
      <c r="A556" s="6" t="n">
        <v>551</v>
      </c>
      <c r="B556" s="6" t="n">
        <f aca="false">MIN(42, FLOOR(A556/32,1)+1)</f>
        <v>18</v>
      </c>
      <c r="C556" s="6" t="n">
        <f aca="false">ROUND($B$2*(A556+1)^2.4*1.004^A556,0)</f>
        <v>3091519952</v>
      </c>
      <c r="D556" s="6" t="n">
        <f aca="false">ROUND($D$2*(A556+1)^2.4*1.004^A556,0)</f>
        <v>2748017736</v>
      </c>
      <c r="E556" s="6" t="n">
        <f aca="false">ROUND($F$2*(A556+1)^2.4*1.004^A556,0)</f>
        <v>2404515519</v>
      </c>
      <c r="F556" s="6" t="n">
        <f aca="false">ROUND(Building_Levels!$I$2*(A556+1)^1.9*1.003^A556,2)</f>
        <v>364.72</v>
      </c>
      <c r="G556" s="6" t="n">
        <f aca="false">ROUND((A556+1)^1.12,1)</f>
        <v>1177.5</v>
      </c>
    </row>
    <row r="557" customFormat="false" ht="15" hidden="false" customHeight="true" outlineLevel="0" collapsed="false">
      <c r="A557" s="6" t="n">
        <v>552</v>
      </c>
      <c r="B557" s="6" t="n">
        <f aca="false">MIN(42, FLOOR(A557/32,1)+1)</f>
        <v>18</v>
      </c>
      <c r="C557" s="6" t="n">
        <f aca="false">ROUND($B$2*(A557+1)^2.4*1.004^A557,0)</f>
        <v>3117398306</v>
      </c>
      <c r="D557" s="6" t="n">
        <f aca="false">ROUND($D$2*(A557+1)^2.4*1.004^A557,0)</f>
        <v>2771020717</v>
      </c>
      <c r="E557" s="6" t="n">
        <f aca="false">ROUND($F$2*(A557+1)^2.4*1.004^A557,0)</f>
        <v>2424643127</v>
      </c>
      <c r="F557" s="6" t="n">
        <f aca="false">ROUND(Building_Levels!$I$2*(A557+1)^1.9*1.003^A557,2)</f>
        <v>367.07</v>
      </c>
      <c r="G557" s="6" t="n">
        <f aca="false">ROUND((A557+1)^1.12,1)</f>
        <v>1179.9</v>
      </c>
    </row>
    <row r="558" customFormat="false" ht="15" hidden="false" customHeight="true" outlineLevel="0" collapsed="false">
      <c r="A558" s="6" t="n">
        <v>553</v>
      </c>
      <c r="B558" s="6" t="n">
        <f aca="false">MIN(42, FLOOR(A558/32,1)+1)</f>
        <v>18</v>
      </c>
      <c r="C558" s="6" t="n">
        <f aca="false">ROUND($B$2*(A558+1)^2.4*1.004^A558,0)</f>
        <v>3143468612</v>
      </c>
      <c r="D558" s="6" t="n">
        <f aca="false">ROUND($D$2*(A558+1)^2.4*1.004^A558,0)</f>
        <v>2794194321</v>
      </c>
      <c r="E558" s="6" t="n">
        <f aca="false">ROUND($F$2*(A558+1)^2.4*1.004^A558,0)</f>
        <v>2444920031</v>
      </c>
      <c r="F558" s="6" t="n">
        <f aca="false">ROUND(Building_Levels!$I$2*(A558+1)^1.9*1.003^A558,2)</f>
        <v>369.44</v>
      </c>
      <c r="G558" s="6" t="n">
        <f aca="false">ROUND((A558+1)^1.12,1)</f>
        <v>1182.3</v>
      </c>
    </row>
    <row r="559" customFormat="false" ht="15" hidden="false" customHeight="true" outlineLevel="0" collapsed="false">
      <c r="A559" s="6" t="n">
        <v>554</v>
      </c>
      <c r="B559" s="6" t="n">
        <f aca="false">MIN(42, FLOOR(A559/32,1)+1)</f>
        <v>18</v>
      </c>
      <c r="C559" s="6" t="n">
        <f aca="false">ROUND($B$2*(A559+1)^2.4*1.004^A559,0)</f>
        <v>3169732152</v>
      </c>
      <c r="D559" s="6" t="n">
        <f aca="false">ROUND($D$2*(A559+1)^2.4*1.004^A559,0)</f>
        <v>2817539691</v>
      </c>
      <c r="E559" s="6" t="n">
        <f aca="false">ROUND($F$2*(A559+1)^2.4*1.004^A559,0)</f>
        <v>2465347229</v>
      </c>
      <c r="F559" s="6" t="n">
        <f aca="false">ROUND(Building_Levels!$I$2*(A559+1)^1.9*1.003^A559,2)</f>
        <v>371.82</v>
      </c>
      <c r="G559" s="6" t="n">
        <f aca="false">ROUND((A559+1)^1.12,1)</f>
        <v>1184.7</v>
      </c>
    </row>
    <row r="560" customFormat="false" ht="15" hidden="false" customHeight="true" outlineLevel="0" collapsed="false">
      <c r="A560" s="6" t="n">
        <v>555</v>
      </c>
      <c r="B560" s="6" t="n">
        <f aca="false">MIN(42, FLOOR(A560/32,1)+1)</f>
        <v>18</v>
      </c>
      <c r="C560" s="6" t="n">
        <f aca="false">ROUND($B$2*(A560+1)^2.4*1.004^A560,0)</f>
        <v>3196190220</v>
      </c>
      <c r="D560" s="6" t="n">
        <f aca="false">ROUND($D$2*(A560+1)^2.4*1.004^A560,0)</f>
        <v>2841057973</v>
      </c>
      <c r="E560" s="6" t="n">
        <f aca="false">ROUND($F$2*(A560+1)^2.4*1.004^A560,0)</f>
        <v>2485925726</v>
      </c>
      <c r="F560" s="6" t="n">
        <f aca="false">ROUND(Building_Levels!$I$2*(A560+1)^1.9*1.003^A560,2)</f>
        <v>374.21</v>
      </c>
      <c r="G560" s="6" t="n">
        <f aca="false">ROUND((A560+1)^1.12,1)</f>
        <v>1187.1</v>
      </c>
    </row>
    <row r="561" customFormat="false" ht="15" hidden="false" customHeight="true" outlineLevel="0" collapsed="false">
      <c r="A561" s="6" t="n">
        <v>556</v>
      </c>
      <c r="B561" s="6" t="n">
        <f aca="false">MIN(42, FLOOR(A561/32,1)+1)</f>
        <v>18</v>
      </c>
      <c r="C561" s="6" t="n">
        <f aca="false">ROUND($B$2*(A561+1)^2.4*1.004^A561,0)</f>
        <v>3222844114</v>
      </c>
      <c r="D561" s="6" t="n">
        <f aca="false">ROUND($D$2*(A561+1)^2.4*1.004^A561,0)</f>
        <v>2864750324</v>
      </c>
      <c r="E561" s="6" t="n">
        <f aca="false">ROUND($F$2*(A561+1)^2.4*1.004^A561,0)</f>
        <v>2506656533</v>
      </c>
      <c r="F561" s="6" t="n">
        <f aca="false">ROUND(Building_Levels!$I$2*(A561+1)^1.9*1.003^A561,2)</f>
        <v>376.62</v>
      </c>
      <c r="G561" s="6" t="n">
        <f aca="false">ROUND((A561+1)^1.12,1)</f>
        <v>1189.5</v>
      </c>
    </row>
    <row r="562" customFormat="false" ht="15" hidden="false" customHeight="true" outlineLevel="0" collapsed="false">
      <c r="A562" s="6" t="n">
        <v>557</v>
      </c>
      <c r="B562" s="6" t="n">
        <f aca="false">MIN(42, FLOOR(A562/32,1)+1)</f>
        <v>18</v>
      </c>
      <c r="C562" s="6" t="n">
        <f aca="false">ROUND($B$2*(A562+1)^2.4*1.004^A562,0)</f>
        <v>3249695144</v>
      </c>
      <c r="D562" s="6" t="n">
        <f aca="false">ROUND($D$2*(A562+1)^2.4*1.004^A562,0)</f>
        <v>2888617906</v>
      </c>
      <c r="E562" s="6" t="n">
        <f aca="false">ROUND($F$2*(A562+1)^2.4*1.004^A562,0)</f>
        <v>2527540668</v>
      </c>
      <c r="F562" s="6" t="n">
        <f aca="false">ROUND(Building_Levels!$I$2*(A562+1)^1.9*1.003^A562,2)</f>
        <v>379.04</v>
      </c>
      <c r="G562" s="6" t="n">
        <f aca="false">ROUND((A562+1)^1.12,1)</f>
        <v>1191.9</v>
      </c>
    </row>
    <row r="563" customFormat="false" ht="15" hidden="false" customHeight="true" outlineLevel="0" collapsed="false">
      <c r="A563" s="6" t="n">
        <v>558</v>
      </c>
      <c r="B563" s="6" t="n">
        <f aca="false">MIN(42, FLOOR(A563/32,1)+1)</f>
        <v>18</v>
      </c>
      <c r="C563" s="6" t="n">
        <f aca="false">ROUND($B$2*(A563+1)^2.4*1.004^A563,0)</f>
        <v>3276744626</v>
      </c>
      <c r="D563" s="6" t="n">
        <f aca="false">ROUND($D$2*(A563+1)^2.4*1.004^A563,0)</f>
        <v>2912661889</v>
      </c>
      <c r="E563" s="6" t="n">
        <f aca="false">ROUND($F$2*(A563+1)^2.4*1.004^A563,0)</f>
        <v>2548579153</v>
      </c>
      <c r="F563" s="6" t="n">
        <f aca="false">ROUND(Building_Levels!$I$2*(A563+1)^1.9*1.003^A563,2)</f>
        <v>381.47</v>
      </c>
      <c r="G563" s="6" t="n">
        <f aca="false">ROUND((A563+1)^1.12,1)</f>
        <v>1194.3</v>
      </c>
    </row>
    <row r="564" customFormat="false" ht="15" hidden="false" customHeight="true" outlineLevel="0" collapsed="false">
      <c r="A564" s="6" t="n">
        <v>559</v>
      </c>
      <c r="B564" s="6" t="n">
        <f aca="false">MIN(42, FLOOR(A564/32,1)+1)</f>
        <v>18</v>
      </c>
      <c r="C564" s="6" t="n">
        <f aca="false">ROUND($B$2*(A564+1)^2.4*1.004^A564,0)</f>
        <v>3303993882</v>
      </c>
      <c r="D564" s="6" t="n">
        <f aca="false">ROUND($D$2*(A564+1)^2.4*1.004^A564,0)</f>
        <v>2936883451</v>
      </c>
      <c r="E564" s="6" t="n">
        <f aca="false">ROUND($F$2*(A564+1)^2.4*1.004^A564,0)</f>
        <v>2569773019</v>
      </c>
      <c r="F564" s="6" t="n">
        <f aca="false">ROUND(Building_Levels!$I$2*(A564+1)^1.9*1.003^A564,2)</f>
        <v>383.92</v>
      </c>
      <c r="G564" s="6" t="n">
        <f aca="false">ROUND((A564+1)^1.12,1)</f>
        <v>1196.7</v>
      </c>
    </row>
    <row r="565" customFormat="false" ht="15" hidden="false" customHeight="true" outlineLevel="0" collapsed="false">
      <c r="A565" s="6" t="n">
        <v>560</v>
      </c>
      <c r="B565" s="6" t="n">
        <f aca="false">MIN(42, FLOOR(A565/32,1)+1)</f>
        <v>18</v>
      </c>
      <c r="C565" s="6" t="n">
        <f aca="false">ROUND($B$2*(A565+1)^2.4*1.004^A565,0)</f>
        <v>3331444246</v>
      </c>
      <c r="D565" s="6" t="n">
        <f aca="false">ROUND($D$2*(A565+1)^2.4*1.004^A565,0)</f>
        <v>2961283775</v>
      </c>
      <c r="E565" s="6" t="n">
        <f aca="false">ROUND($F$2*(A565+1)^2.4*1.004^A565,0)</f>
        <v>2591123303</v>
      </c>
      <c r="F565" s="6" t="n">
        <f aca="false">ROUND(Building_Levels!$I$2*(A565+1)^1.9*1.003^A565,2)</f>
        <v>386.38</v>
      </c>
      <c r="G565" s="6" t="n">
        <f aca="false">ROUND((A565+1)^1.12,1)</f>
        <v>1199.1</v>
      </c>
    </row>
    <row r="566" customFormat="false" ht="15" hidden="false" customHeight="true" outlineLevel="0" collapsed="false">
      <c r="A566" s="6" t="n">
        <v>561</v>
      </c>
      <c r="B566" s="6" t="n">
        <f aca="false">MIN(42, FLOOR(A566/32,1)+1)</f>
        <v>18</v>
      </c>
      <c r="C566" s="6" t="n">
        <f aca="false">ROUND($B$2*(A566+1)^2.4*1.004^A566,0)</f>
        <v>3359097059</v>
      </c>
      <c r="D566" s="6" t="n">
        <f aca="false">ROUND($D$2*(A566+1)^2.4*1.004^A566,0)</f>
        <v>2985864052</v>
      </c>
      <c r="E566" s="6" t="n">
        <f aca="false">ROUND($F$2*(A566+1)^2.4*1.004^A566,0)</f>
        <v>2612631046</v>
      </c>
      <c r="F566" s="6" t="n">
        <f aca="false">ROUND(Building_Levels!$I$2*(A566+1)^1.9*1.003^A566,2)</f>
        <v>388.85</v>
      </c>
      <c r="G566" s="6" t="n">
        <f aca="false">ROUND((A566+1)^1.12,1)</f>
        <v>1201.4</v>
      </c>
    </row>
    <row r="567" customFormat="false" ht="15" hidden="false" customHeight="true" outlineLevel="0" collapsed="false">
      <c r="A567" s="6" t="n">
        <v>562</v>
      </c>
      <c r="B567" s="6" t="n">
        <f aca="false">MIN(42, FLOOR(A567/32,1)+1)</f>
        <v>18</v>
      </c>
      <c r="C567" s="6" t="n">
        <f aca="false">ROUND($B$2*(A567+1)^2.4*1.004^A567,0)</f>
        <v>3386953668</v>
      </c>
      <c r="D567" s="6" t="n">
        <f aca="false">ROUND($D$2*(A567+1)^2.4*1.004^A567,0)</f>
        <v>3010625483</v>
      </c>
      <c r="E567" s="6" t="n">
        <f aca="false">ROUND($F$2*(A567+1)^2.4*1.004^A567,0)</f>
        <v>2634297297</v>
      </c>
      <c r="F567" s="6" t="n">
        <f aca="false">ROUND(Building_Levels!$I$2*(A567+1)^1.9*1.003^A567,2)</f>
        <v>391.34</v>
      </c>
      <c r="G567" s="6" t="n">
        <f aca="false">ROUND((A567+1)^1.12,1)</f>
        <v>1203.8</v>
      </c>
    </row>
    <row r="568" customFormat="false" ht="15" hidden="false" customHeight="true" outlineLevel="0" collapsed="false">
      <c r="A568" s="6" t="n">
        <v>563</v>
      </c>
      <c r="B568" s="6" t="n">
        <f aca="false">MIN(42, FLOOR(A568/32,1)+1)</f>
        <v>18</v>
      </c>
      <c r="C568" s="6" t="n">
        <f aca="false">ROUND($B$2*(A568+1)^2.4*1.004^A568,0)</f>
        <v>3415015431</v>
      </c>
      <c r="D568" s="6" t="n">
        <f aca="false">ROUND($D$2*(A568+1)^2.4*1.004^A568,0)</f>
        <v>3035569272</v>
      </c>
      <c r="E568" s="6" t="n">
        <f aca="false">ROUND($F$2*(A568+1)^2.4*1.004^A568,0)</f>
        <v>2656123113</v>
      </c>
      <c r="F568" s="6" t="n">
        <f aca="false">ROUND(Building_Levels!$I$2*(A568+1)^1.9*1.003^A568,2)</f>
        <v>393.84</v>
      </c>
      <c r="G568" s="6" t="n">
        <f aca="false">ROUND((A568+1)^1.12,1)</f>
        <v>1206.2</v>
      </c>
    </row>
    <row r="569" customFormat="false" ht="15" hidden="false" customHeight="true" outlineLevel="0" collapsed="false">
      <c r="A569" s="6" t="n">
        <v>564</v>
      </c>
      <c r="B569" s="6" t="n">
        <f aca="false">MIN(42, FLOOR(A569/32,1)+1)</f>
        <v>18</v>
      </c>
      <c r="C569" s="6" t="n">
        <f aca="false">ROUND($B$2*(A569+1)^2.4*1.004^A569,0)</f>
        <v>3443283714</v>
      </c>
      <c r="D569" s="6" t="n">
        <f aca="false">ROUND($D$2*(A569+1)^2.4*1.004^A569,0)</f>
        <v>3060696635</v>
      </c>
      <c r="E569" s="6" t="n">
        <f aca="false">ROUND($F$2*(A569+1)^2.4*1.004^A569,0)</f>
        <v>2678109555</v>
      </c>
      <c r="F569" s="6" t="n">
        <f aca="false">ROUND(Building_Levels!$I$2*(A569+1)^1.9*1.003^A569,2)</f>
        <v>396.35</v>
      </c>
      <c r="G569" s="6" t="n">
        <f aca="false">ROUND((A569+1)^1.12,1)</f>
        <v>1208.6</v>
      </c>
    </row>
    <row r="570" customFormat="false" ht="15" hidden="false" customHeight="true" outlineLevel="0" collapsed="false">
      <c r="A570" s="6" t="n">
        <v>565</v>
      </c>
      <c r="B570" s="6" t="n">
        <f aca="false">MIN(42, FLOOR(A570/32,1)+1)</f>
        <v>18</v>
      </c>
      <c r="C570" s="6" t="n">
        <f aca="false">ROUND($B$2*(A570+1)^2.4*1.004^A570,0)</f>
        <v>3471759890</v>
      </c>
      <c r="D570" s="6" t="n">
        <f aca="false">ROUND($D$2*(A570+1)^2.4*1.004^A570,0)</f>
        <v>3086008791</v>
      </c>
      <c r="E570" s="6" t="n">
        <f aca="false">ROUND($F$2*(A570+1)^2.4*1.004^A570,0)</f>
        <v>2700257692</v>
      </c>
      <c r="F570" s="6" t="n">
        <f aca="false">ROUND(Building_Levels!$I$2*(A570+1)^1.9*1.003^A570,2)</f>
        <v>398.88</v>
      </c>
      <c r="G570" s="6" t="n">
        <f aca="false">ROUND((A570+1)^1.12,1)</f>
        <v>1211</v>
      </c>
    </row>
    <row r="571" customFormat="false" ht="15" hidden="false" customHeight="true" outlineLevel="0" collapsed="false">
      <c r="A571" s="6" t="n">
        <v>566</v>
      </c>
      <c r="B571" s="6" t="n">
        <f aca="false">MIN(42, FLOOR(A571/32,1)+1)</f>
        <v>18</v>
      </c>
      <c r="C571" s="6" t="n">
        <f aca="false">ROUND($B$2*(A571+1)^2.4*1.004^A571,0)</f>
        <v>3500445342</v>
      </c>
      <c r="D571" s="6" t="n">
        <f aca="false">ROUND($D$2*(A571+1)^2.4*1.004^A571,0)</f>
        <v>3111506970</v>
      </c>
      <c r="E571" s="6" t="n">
        <f aca="false">ROUND($F$2*(A571+1)^2.4*1.004^A571,0)</f>
        <v>2722568599</v>
      </c>
      <c r="F571" s="6" t="n">
        <f aca="false">ROUND(Building_Levels!$I$2*(A571+1)^1.9*1.003^A571,2)</f>
        <v>401.42</v>
      </c>
      <c r="G571" s="6" t="n">
        <f aca="false">ROUND((A571+1)^1.12,1)</f>
        <v>1213.4</v>
      </c>
    </row>
    <row r="572" customFormat="false" ht="15" hidden="false" customHeight="true" outlineLevel="0" collapsed="false">
      <c r="A572" s="6" t="n">
        <v>567</v>
      </c>
      <c r="B572" s="6" t="n">
        <f aca="false">MIN(42, FLOOR(A572/32,1)+1)</f>
        <v>18</v>
      </c>
      <c r="C572" s="6" t="n">
        <f aca="false">ROUND($B$2*(A572+1)^2.4*1.004^A572,0)</f>
        <v>3529341459</v>
      </c>
      <c r="D572" s="6" t="n">
        <f aca="false">ROUND($D$2*(A572+1)^2.4*1.004^A572,0)</f>
        <v>3137192408</v>
      </c>
      <c r="E572" s="6" t="n">
        <f aca="false">ROUND($F$2*(A572+1)^2.4*1.004^A572,0)</f>
        <v>2745043357</v>
      </c>
      <c r="F572" s="6" t="n">
        <f aca="false">ROUND(Building_Levels!$I$2*(A572+1)^1.9*1.003^A572,2)</f>
        <v>403.97</v>
      </c>
      <c r="G572" s="6" t="n">
        <f aca="false">ROUND((A572+1)^1.12,1)</f>
        <v>1215.8</v>
      </c>
    </row>
    <row r="573" customFormat="false" ht="15" hidden="false" customHeight="true" outlineLevel="0" collapsed="false">
      <c r="A573" s="6" t="n">
        <v>568</v>
      </c>
      <c r="B573" s="6" t="n">
        <f aca="false">MIN(42, FLOOR(A573/32,1)+1)</f>
        <v>18</v>
      </c>
      <c r="C573" s="6" t="n">
        <f aca="false">ROUND($B$2*(A573+1)^2.4*1.004^A573,0)</f>
        <v>3558449643</v>
      </c>
      <c r="D573" s="6" t="n">
        <f aca="false">ROUND($D$2*(A573+1)^2.4*1.004^A573,0)</f>
        <v>3163066349</v>
      </c>
      <c r="E573" s="6" t="n">
        <f aca="false">ROUND($F$2*(A573+1)^2.4*1.004^A573,0)</f>
        <v>2767683055</v>
      </c>
      <c r="F573" s="6" t="n">
        <f aca="false">ROUND(Building_Levels!$I$2*(A573+1)^1.9*1.003^A573,2)</f>
        <v>406.54</v>
      </c>
      <c r="G573" s="6" t="n">
        <f aca="false">ROUND((A573+1)^1.12,1)</f>
        <v>1218.2</v>
      </c>
    </row>
    <row r="574" customFormat="false" ht="15" hidden="false" customHeight="true" outlineLevel="0" collapsed="false">
      <c r="A574" s="6" t="n">
        <v>569</v>
      </c>
      <c r="B574" s="6" t="n">
        <f aca="false">MIN(42, FLOOR(A574/32,1)+1)</f>
        <v>18</v>
      </c>
      <c r="C574" s="6" t="n">
        <f aca="false">ROUND($B$2*(A574+1)^2.4*1.004^A574,0)</f>
        <v>3587771299</v>
      </c>
      <c r="D574" s="6" t="n">
        <f aca="false">ROUND($D$2*(A574+1)^2.4*1.004^A574,0)</f>
        <v>3189130044</v>
      </c>
      <c r="E574" s="6" t="n">
        <f aca="false">ROUND($F$2*(A574+1)^2.4*1.004^A574,0)</f>
        <v>2790488788</v>
      </c>
      <c r="F574" s="6" t="n">
        <f aca="false">ROUND(Building_Levels!$I$2*(A574+1)^1.9*1.003^A574,2)</f>
        <v>409.12</v>
      </c>
      <c r="G574" s="6" t="n">
        <f aca="false">ROUND((A574+1)^1.12,1)</f>
        <v>1220.6</v>
      </c>
    </row>
    <row r="575" customFormat="false" ht="15" hidden="false" customHeight="true" outlineLevel="0" collapsed="false">
      <c r="A575" s="6" t="n">
        <v>570</v>
      </c>
      <c r="B575" s="6" t="n">
        <f aca="false">MIN(42, FLOOR(A575/32,1)+1)</f>
        <v>18</v>
      </c>
      <c r="C575" s="6" t="n">
        <f aca="false">ROUND($B$2*(A575+1)^2.4*1.004^A575,0)</f>
        <v>3617307846</v>
      </c>
      <c r="D575" s="6" t="n">
        <f aca="false">ROUND($D$2*(A575+1)^2.4*1.004^A575,0)</f>
        <v>3215384752</v>
      </c>
      <c r="E575" s="6" t="n">
        <f aca="false">ROUND($F$2*(A575+1)^2.4*1.004^A575,0)</f>
        <v>2813461658</v>
      </c>
      <c r="F575" s="6" t="n">
        <f aca="false">ROUND(Building_Levels!$I$2*(A575+1)^1.9*1.003^A575,2)</f>
        <v>411.72</v>
      </c>
      <c r="G575" s="6" t="n">
        <f aca="false">ROUND((A575+1)^1.12,1)</f>
        <v>1223</v>
      </c>
    </row>
    <row r="576" customFormat="false" ht="15" hidden="false" customHeight="true" outlineLevel="0" collapsed="false">
      <c r="A576" s="6" t="n">
        <v>571</v>
      </c>
      <c r="B576" s="6" t="n">
        <f aca="false">MIN(42, FLOOR(A576/32,1)+1)</f>
        <v>18</v>
      </c>
      <c r="C576" s="6" t="n">
        <f aca="false">ROUND($B$2*(A576+1)^2.4*1.004^A576,0)</f>
        <v>3647060708</v>
      </c>
      <c r="D576" s="6" t="n">
        <f aca="false">ROUND($D$2*(A576+1)^2.4*1.004^A576,0)</f>
        <v>3241831740</v>
      </c>
      <c r="E576" s="6" t="n">
        <f aca="false">ROUND($F$2*(A576+1)^2.4*1.004^A576,0)</f>
        <v>2836602773</v>
      </c>
      <c r="F576" s="6" t="n">
        <f aca="false">ROUND(Building_Levels!$I$2*(A576+1)^1.9*1.003^A576,2)</f>
        <v>414.33</v>
      </c>
      <c r="G576" s="6" t="n">
        <f aca="false">ROUND((A576+1)^1.12,1)</f>
        <v>1225.4</v>
      </c>
    </row>
    <row r="577" customFormat="false" ht="15" hidden="false" customHeight="true" outlineLevel="0" collapsed="false">
      <c r="A577" s="6" t="n">
        <v>572</v>
      </c>
      <c r="B577" s="6" t="n">
        <f aca="false">MIN(42, FLOOR(A577/32,1)+1)</f>
        <v>18</v>
      </c>
      <c r="C577" s="6" t="n">
        <f aca="false">ROUND($B$2*(A577+1)^2.4*1.004^A577,0)</f>
        <v>3677031318</v>
      </c>
      <c r="D577" s="6" t="n">
        <f aca="false">ROUND($D$2*(A577+1)^2.4*1.004^A577,0)</f>
        <v>3268472283</v>
      </c>
      <c r="E577" s="6" t="n">
        <f aca="false">ROUND($F$2*(A577+1)^2.4*1.004^A577,0)</f>
        <v>2859913248</v>
      </c>
      <c r="F577" s="6" t="n">
        <f aca="false">ROUND(Building_Levels!$I$2*(A577+1)^1.9*1.003^A577,2)</f>
        <v>416.95</v>
      </c>
      <c r="G577" s="6" t="n">
        <f aca="false">ROUND((A577+1)^1.12,1)</f>
        <v>1227.8</v>
      </c>
    </row>
    <row r="578" customFormat="false" ht="15" hidden="false" customHeight="true" outlineLevel="0" collapsed="false">
      <c r="A578" s="6" t="n">
        <v>573</v>
      </c>
      <c r="B578" s="6" t="n">
        <f aca="false">MIN(42, FLOOR(A578/32,1)+1)</f>
        <v>18</v>
      </c>
      <c r="C578" s="6" t="n">
        <f aca="false">ROUND($B$2*(A578+1)^2.4*1.004^A578,0)</f>
        <v>3707221121</v>
      </c>
      <c r="D578" s="6" t="n">
        <f aca="false">ROUND($D$2*(A578+1)^2.4*1.004^A578,0)</f>
        <v>3295307663</v>
      </c>
      <c r="E578" s="6" t="n">
        <f aca="false">ROUND($F$2*(A578+1)^2.4*1.004^A578,0)</f>
        <v>2883394205</v>
      </c>
      <c r="F578" s="6" t="n">
        <f aca="false">ROUND(Building_Levels!$I$2*(A578+1)^1.9*1.003^A578,2)</f>
        <v>419.59</v>
      </c>
      <c r="G578" s="6" t="n">
        <f aca="false">ROUND((A578+1)^1.12,1)</f>
        <v>1230.2</v>
      </c>
    </row>
    <row r="579" customFormat="false" ht="15" hidden="false" customHeight="true" outlineLevel="0" collapsed="false">
      <c r="A579" s="6" t="n">
        <v>574</v>
      </c>
      <c r="B579" s="6" t="n">
        <f aca="false">MIN(42, FLOOR(A579/32,1)+1)</f>
        <v>18</v>
      </c>
      <c r="C579" s="6" t="n">
        <f aca="false">ROUND($B$2*(A579+1)^2.4*1.004^A579,0)</f>
        <v>3737631567</v>
      </c>
      <c r="D579" s="6" t="n">
        <f aca="false">ROUND($D$2*(A579+1)^2.4*1.004^A579,0)</f>
        <v>3322339171</v>
      </c>
      <c r="E579" s="6" t="n">
        <f aca="false">ROUND($F$2*(A579+1)^2.4*1.004^A579,0)</f>
        <v>2907046774</v>
      </c>
      <c r="F579" s="6" t="n">
        <f aca="false">ROUND(Building_Levels!$I$2*(A579+1)^1.9*1.003^A579,2)</f>
        <v>422.25</v>
      </c>
      <c r="G579" s="6" t="n">
        <f aca="false">ROUND((A579+1)^1.12,1)</f>
        <v>1232.6</v>
      </c>
    </row>
    <row r="580" customFormat="false" ht="15" hidden="false" customHeight="true" outlineLevel="0" collapsed="false">
      <c r="A580" s="6" t="n">
        <v>575</v>
      </c>
      <c r="B580" s="6" t="n">
        <f aca="false">MIN(42, FLOOR(A580/32,1)+1)</f>
        <v>18</v>
      </c>
      <c r="C580" s="6" t="n">
        <f aca="false">ROUND($B$2*(A580+1)^2.4*1.004^A580,0)</f>
        <v>3768264117</v>
      </c>
      <c r="D580" s="6" t="n">
        <f aca="false">ROUND($D$2*(A580+1)^2.4*1.004^A580,0)</f>
        <v>3349568104</v>
      </c>
      <c r="E580" s="6" t="n">
        <f aca="false">ROUND($F$2*(A580+1)^2.4*1.004^A580,0)</f>
        <v>2930872091</v>
      </c>
      <c r="F580" s="6" t="n">
        <f aca="false">ROUND(Building_Levels!$I$2*(A580+1)^1.9*1.003^A580,2)</f>
        <v>424.91</v>
      </c>
      <c r="G580" s="6" t="n">
        <f aca="false">ROUND((A580+1)^1.12,1)</f>
        <v>1235</v>
      </c>
    </row>
    <row r="581" customFormat="false" ht="15" hidden="false" customHeight="true" outlineLevel="0" collapsed="false">
      <c r="A581" s="6" t="n">
        <v>576</v>
      </c>
      <c r="B581" s="6" t="n">
        <f aca="false">MIN(42, FLOOR(A581/32,1)+1)</f>
        <v>19</v>
      </c>
      <c r="C581" s="6" t="n">
        <f aca="false">ROUND($B$2*(A581+1)^2.4*1.004^A581,0)</f>
        <v>3799120240</v>
      </c>
      <c r="D581" s="6" t="n">
        <f aca="false">ROUND($D$2*(A581+1)^2.4*1.004^A581,0)</f>
        <v>3376995769</v>
      </c>
      <c r="E581" s="6" t="n">
        <f aca="false">ROUND($F$2*(A581+1)^2.4*1.004^A581,0)</f>
        <v>2954871298</v>
      </c>
      <c r="F581" s="6" t="n">
        <f aca="false">ROUND(Building_Levels!$I$2*(A581+1)^1.9*1.003^A581,2)</f>
        <v>427.59</v>
      </c>
      <c r="G581" s="6" t="n">
        <f aca="false">ROUND((A581+1)^1.12,1)</f>
        <v>1237.4</v>
      </c>
    </row>
    <row r="582" customFormat="false" ht="15" hidden="false" customHeight="true" outlineLevel="0" collapsed="false">
      <c r="A582" s="6" t="n">
        <v>577</v>
      </c>
      <c r="B582" s="6" t="n">
        <f aca="false">MIN(42, FLOOR(A582/32,1)+1)</f>
        <v>19</v>
      </c>
      <c r="C582" s="6" t="n">
        <f aca="false">ROUND($B$2*(A582+1)^2.4*1.004^A582,0)</f>
        <v>3830201416</v>
      </c>
      <c r="D582" s="6" t="n">
        <f aca="false">ROUND($D$2*(A582+1)^2.4*1.004^A582,0)</f>
        <v>3404623480</v>
      </c>
      <c r="E582" s="6" t="n">
        <f aca="false">ROUND($F$2*(A582+1)^2.4*1.004^A582,0)</f>
        <v>2979045545</v>
      </c>
      <c r="F582" s="6" t="n">
        <f aca="false">ROUND(Building_Levels!$I$2*(A582+1)^1.9*1.003^A582,2)</f>
        <v>430.29</v>
      </c>
      <c r="G582" s="6" t="n">
        <f aca="false">ROUND((A582+1)^1.12,1)</f>
        <v>1239.8</v>
      </c>
    </row>
    <row r="583" customFormat="false" ht="15" hidden="false" customHeight="true" outlineLevel="0" collapsed="false">
      <c r="A583" s="6" t="n">
        <v>578</v>
      </c>
      <c r="B583" s="6" t="n">
        <f aca="false">MIN(42, FLOOR(A583/32,1)+1)</f>
        <v>19</v>
      </c>
      <c r="C583" s="6" t="n">
        <f aca="false">ROUND($B$2*(A583+1)^2.4*1.004^A583,0)</f>
        <v>3861509130</v>
      </c>
      <c r="D583" s="6" t="n">
        <f aca="false">ROUND($D$2*(A583+1)^2.4*1.004^A583,0)</f>
        <v>3432452560</v>
      </c>
      <c r="E583" s="6" t="n">
        <f aca="false">ROUND($F$2*(A583+1)^2.4*1.004^A583,0)</f>
        <v>3003395990</v>
      </c>
      <c r="F583" s="6" t="n">
        <f aca="false">ROUND(Building_Levels!$I$2*(A583+1)^1.9*1.003^A583,2)</f>
        <v>433</v>
      </c>
      <c r="G583" s="6" t="n">
        <f aca="false">ROUND((A583+1)^1.12,1)</f>
        <v>1242.2</v>
      </c>
    </row>
    <row r="584" customFormat="false" ht="15" hidden="false" customHeight="true" outlineLevel="0" collapsed="false">
      <c r="A584" s="6" t="n">
        <v>579</v>
      </c>
      <c r="B584" s="6" t="n">
        <f aca="false">MIN(42, FLOOR(A584/32,1)+1)</f>
        <v>19</v>
      </c>
      <c r="C584" s="6" t="n">
        <f aca="false">ROUND($B$2*(A584+1)^2.4*1.004^A584,0)</f>
        <v>3893044880</v>
      </c>
      <c r="D584" s="6" t="n">
        <f aca="false">ROUND($D$2*(A584+1)^2.4*1.004^A584,0)</f>
        <v>3460484338</v>
      </c>
      <c r="E584" s="6" t="n">
        <f aca="false">ROUND($F$2*(A584+1)^2.4*1.004^A584,0)</f>
        <v>3027923796</v>
      </c>
      <c r="F584" s="6" t="n">
        <f aca="false">ROUND(Building_Levels!$I$2*(A584+1)^1.9*1.003^A584,2)</f>
        <v>435.73</v>
      </c>
      <c r="G584" s="6" t="n">
        <f aca="false">ROUND((A584+1)^1.12,1)</f>
        <v>1244.6</v>
      </c>
    </row>
    <row r="585" customFormat="false" ht="15" hidden="false" customHeight="true" outlineLevel="0" collapsed="false">
      <c r="A585" s="6" t="n">
        <v>580</v>
      </c>
      <c r="B585" s="6" t="n">
        <f aca="false">MIN(42, FLOOR(A585/32,1)+1)</f>
        <v>19</v>
      </c>
      <c r="C585" s="6" t="n">
        <f aca="false">ROUND($B$2*(A585+1)^2.4*1.004^A585,0)</f>
        <v>3924810172</v>
      </c>
      <c r="D585" s="6" t="n">
        <f aca="false">ROUND($D$2*(A585+1)^2.4*1.004^A585,0)</f>
        <v>3488720153</v>
      </c>
      <c r="E585" s="6" t="n">
        <f aca="false">ROUND($F$2*(A585+1)^2.4*1.004^A585,0)</f>
        <v>3052630134</v>
      </c>
      <c r="F585" s="6" t="n">
        <f aca="false">ROUND(Building_Levels!$I$2*(A585+1)^1.9*1.003^A585,2)</f>
        <v>438.47</v>
      </c>
      <c r="G585" s="6" t="n">
        <f aca="false">ROUND((A585+1)^1.12,1)</f>
        <v>1247</v>
      </c>
    </row>
    <row r="586" customFormat="false" ht="15" hidden="false" customHeight="true" outlineLevel="0" collapsed="false">
      <c r="A586" s="6" t="n">
        <v>581</v>
      </c>
      <c r="B586" s="6" t="n">
        <f aca="false">MIN(42, FLOOR(A586/32,1)+1)</f>
        <v>19</v>
      </c>
      <c r="C586" s="6" t="n">
        <f aca="false">ROUND($B$2*(A586+1)^2.4*1.004^A586,0)</f>
        <v>3956806520</v>
      </c>
      <c r="D586" s="6" t="n">
        <f aca="false">ROUND($D$2*(A586+1)^2.4*1.004^A586,0)</f>
        <v>3517161351</v>
      </c>
      <c r="E586" s="6" t="n">
        <f aca="false">ROUND($F$2*(A586+1)^2.4*1.004^A586,0)</f>
        <v>3077516182</v>
      </c>
      <c r="F586" s="6" t="n">
        <f aca="false">ROUND(Building_Levels!$I$2*(A586+1)^1.9*1.003^A586,2)</f>
        <v>441.22</v>
      </c>
      <c r="G586" s="6" t="n">
        <f aca="false">ROUND((A586+1)^1.12,1)</f>
        <v>1249.4</v>
      </c>
    </row>
    <row r="587" customFormat="false" ht="15" hidden="false" customHeight="true" outlineLevel="0" collapsed="false">
      <c r="A587" s="6" t="n">
        <v>582</v>
      </c>
      <c r="B587" s="6" t="n">
        <f aca="false">MIN(42, FLOOR(A587/32,1)+1)</f>
        <v>19</v>
      </c>
      <c r="C587" s="6" t="n">
        <f aca="false">ROUND($B$2*(A587+1)^2.4*1.004^A587,0)</f>
        <v>3989035449</v>
      </c>
      <c r="D587" s="6" t="n">
        <f aca="false">ROUND($D$2*(A587+1)^2.4*1.004^A587,0)</f>
        <v>3545809288</v>
      </c>
      <c r="E587" s="6" t="n">
        <f aca="false">ROUND($F$2*(A587+1)^2.4*1.004^A587,0)</f>
        <v>3102583127</v>
      </c>
      <c r="F587" s="6" t="n">
        <f aca="false">ROUND(Building_Levels!$I$2*(A587+1)^1.9*1.003^A587,2)</f>
        <v>443.99</v>
      </c>
      <c r="G587" s="6" t="n">
        <f aca="false">ROUND((A587+1)^1.12,1)</f>
        <v>1251.8</v>
      </c>
    </row>
    <row r="588" customFormat="false" ht="15" hidden="false" customHeight="true" outlineLevel="0" collapsed="false">
      <c r="A588" s="6" t="n">
        <v>583</v>
      </c>
      <c r="B588" s="6" t="n">
        <f aca="false">MIN(42, FLOOR(A588/32,1)+1)</f>
        <v>19</v>
      </c>
      <c r="C588" s="6" t="n">
        <f aca="false">ROUND($B$2*(A588+1)^2.4*1.004^A588,0)</f>
        <v>4021498492</v>
      </c>
      <c r="D588" s="6" t="n">
        <f aca="false">ROUND($D$2*(A588+1)^2.4*1.004^A588,0)</f>
        <v>3574665326</v>
      </c>
      <c r="E588" s="6" t="n">
        <f aca="false">ROUND($F$2*(A588+1)^2.4*1.004^A588,0)</f>
        <v>3127832160</v>
      </c>
      <c r="F588" s="6" t="n">
        <f aca="false">ROUND(Building_Levels!$I$2*(A588+1)^1.9*1.003^A588,2)</f>
        <v>446.78</v>
      </c>
      <c r="G588" s="6" t="n">
        <f aca="false">ROUND((A588+1)^1.12,1)</f>
        <v>1254.2</v>
      </c>
    </row>
    <row r="589" customFormat="false" ht="15" hidden="false" customHeight="true" outlineLevel="0" collapsed="false">
      <c r="A589" s="6" t="n">
        <v>584</v>
      </c>
      <c r="B589" s="6" t="n">
        <f aca="false">MIN(42, FLOOR(A589/32,1)+1)</f>
        <v>19</v>
      </c>
      <c r="C589" s="6" t="n">
        <f aca="false">ROUND($B$2*(A589+1)^2.4*1.004^A589,0)</f>
        <v>4054197192</v>
      </c>
      <c r="D589" s="6" t="n">
        <f aca="false">ROUND($D$2*(A589+1)^2.4*1.004^A589,0)</f>
        <v>3603730837</v>
      </c>
      <c r="E589" s="6" t="n">
        <f aca="false">ROUND($F$2*(A589+1)^2.4*1.004^A589,0)</f>
        <v>3153264483</v>
      </c>
      <c r="F589" s="6" t="n">
        <f aca="false">ROUND(Building_Levels!$I$2*(A589+1)^1.9*1.003^A589,2)</f>
        <v>449.57</v>
      </c>
      <c r="G589" s="6" t="n">
        <f aca="false">ROUND((A589+1)^1.12,1)</f>
        <v>1256.7</v>
      </c>
    </row>
    <row r="590" customFormat="false" ht="15" hidden="false" customHeight="true" outlineLevel="0" collapsed="false">
      <c r="A590" s="6" t="n">
        <v>585</v>
      </c>
      <c r="B590" s="6" t="n">
        <f aca="false">MIN(42, FLOOR(A590/32,1)+1)</f>
        <v>19</v>
      </c>
      <c r="C590" s="6" t="n">
        <f aca="false">ROUND($B$2*(A590+1)^2.4*1.004^A590,0)</f>
        <v>4087133101</v>
      </c>
      <c r="D590" s="6" t="n">
        <f aca="false">ROUND($D$2*(A590+1)^2.4*1.004^A590,0)</f>
        <v>3633007201</v>
      </c>
      <c r="E590" s="6" t="n">
        <f aca="false">ROUND($F$2*(A590+1)^2.4*1.004^A590,0)</f>
        <v>3178881301</v>
      </c>
      <c r="F590" s="6" t="n">
        <f aca="false">ROUND(Building_Levels!$I$2*(A590+1)^1.9*1.003^A590,2)</f>
        <v>452.39</v>
      </c>
      <c r="G590" s="6" t="n">
        <f aca="false">ROUND((A590+1)^1.12,1)</f>
        <v>1259.1</v>
      </c>
    </row>
    <row r="591" customFormat="false" ht="15" hidden="false" customHeight="true" outlineLevel="0" collapsed="false">
      <c r="A591" s="6" t="n">
        <v>586</v>
      </c>
      <c r="B591" s="6" t="n">
        <f aca="false">MIN(42, FLOOR(A591/32,1)+1)</f>
        <v>19</v>
      </c>
      <c r="C591" s="6" t="n">
        <f aca="false">ROUND($B$2*(A591+1)^2.4*1.004^A591,0)</f>
        <v>4120307782</v>
      </c>
      <c r="D591" s="6" t="n">
        <f aca="false">ROUND($D$2*(A591+1)^2.4*1.004^A591,0)</f>
        <v>3662495806</v>
      </c>
      <c r="E591" s="6" t="n">
        <f aca="false">ROUND($F$2*(A591+1)^2.4*1.004^A591,0)</f>
        <v>3204683830</v>
      </c>
      <c r="F591" s="6" t="n">
        <f aca="false">ROUND(Building_Levels!$I$2*(A591+1)^1.9*1.003^A591,2)</f>
        <v>455.22</v>
      </c>
      <c r="G591" s="6" t="n">
        <f aca="false">ROUND((A591+1)^1.12,1)</f>
        <v>1261.5</v>
      </c>
    </row>
    <row r="592" customFormat="false" ht="15" hidden="false" customHeight="true" outlineLevel="0" collapsed="false">
      <c r="A592" s="6" t="n">
        <v>587</v>
      </c>
      <c r="B592" s="6" t="n">
        <f aca="false">MIN(42, FLOOR(A592/32,1)+1)</f>
        <v>19</v>
      </c>
      <c r="C592" s="6" t="n">
        <f aca="false">ROUND($B$2*(A592+1)^2.4*1.004^A592,0)</f>
        <v>4153722805</v>
      </c>
      <c r="D592" s="6" t="n">
        <f aca="false">ROUND($D$2*(A592+1)^2.4*1.004^A592,0)</f>
        <v>3692198049</v>
      </c>
      <c r="E592" s="6" t="n">
        <f aca="false">ROUND($F$2*(A592+1)^2.4*1.004^A592,0)</f>
        <v>3230673293</v>
      </c>
      <c r="F592" s="6" t="n">
        <f aca="false">ROUND(Building_Levels!$I$2*(A592+1)^1.9*1.003^A592,2)</f>
        <v>458.06</v>
      </c>
      <c r="G592" s="6" t="n">
        <f aca="false">ROUND((A592+1)^1.12,1)</f>
        <v>1263.9</v>
      </c>
    </row>
    <row r="593" customFormat="false" ht="15" hidden="false" customHeight="true" outlineLevel="0" collapsed="false">
      <c r="A593" s="6" t="n">
        <v>588</v>
      </c>
      <c r="B593" s="6" t="n">
        <f aca="false">MIN(42, FLOOR(A593/32,1)+1)</f>
        <v>19</v>
      </c>
      <c r="C593" s="6" t="n">
        <f aca="false">ROUND($B$2*(A593+1)^2.4*1.004^A593,0)</f>
        <v>4187379751</v>
      </c>
      <c r="D593" s="6" t="n">
        <f aca="false">ROUND($D$2*(A593+1)^2.4*1.004^A593,0)</f>
        <v>3722115335</v>
      </c>
      <c r="E593" s="6" t="n">
        <f aca="false">ROUND($F$2*(A593+1)^2.4*1.004^A593,0)</f>
        <v>3256850918</v>
      </c>
      <c r="F593" s="6" t="n">
        <f aca="false">ROUND(Building_Levels!$I$2*(A593+1)^1.9*1.003^A593,2)</f>
        <v>460.92</v>
      </c>
      <c r="G593" s="6" t="n">
        <f aca="false">ROUND((A593+1)^1.12,1)</f>
        <v>1266.3</v>
      </c>
    </row>
    <row r="594" customFormat="false" ht="15" hidden="false" customHeight="true" outlineLevel="0" collapsed="false">
      <c r="A594" s="6" t="n">
        <v>589</v>
      </c>
      <c r="B594" s="6" t="n">
        <f aca="false">MIN(42, FLOOR(A594/32,1)+1)</f>
        <v>19</v>
      </c>
      <c r="C594" s="6" t="n">
        <f aca="false">ROUND($B$2*(A594+1)^2.4*1.004^A594,0)</f>
        <v>4221280212</v>
      </c>
      <c r="D594" s="6" t="n">
        <f aca="false">ROUND($D$2*(A594+1)^2.4*1.004^A594,0)</f>
        <v>3752249077</v>
      </c>
      <c r="E594" s="6" t="n">
        <f aca="false">ROUND($F$2*(A594+1)^2.4*1.004^A594,0)</f>
        <v>3283217942</v>
      </c>
      <c r="F594" s="6" t="n">
        <f aca="false">ROUND(Building_Levels!$I$2*(A594+1)^1.9*1.003^A594,2)</f>
        <v>463.8</v>
      </c>
      <c r="G594" s="6" t="n">
        <f aca="false">ROUND((A594+1)^1.12,1)</f>
        <v>1268.7</v>
      </c>
    </row>
    <row r="595" customFormat="false" ht="15" hidden="false" customHeight="true" outlineLevel="0" collapsed="false">
      <c r="A595" s="6" t="n">
        <v>590</v>
      </c>
      <c r="B595" s="6" t="n">
        <f aca="false">MIN(42, FLOOR(A595/32,1)+1)</f>
        <v>19</v>
      </c>
      <c r="C595" s="6" t="n">
        <f aca="false">ROUND($B$2*(A595+1)^2.4*1.004^A595,0)</f>
        <v>4255425786</v>
      </c>
      <c r="D595" s="6" t="n">
        <f aca="false">ROUND($D$2*(A595+1)^2.4*1.004^A595,0)</f>
        <v>3782600698</v>
      </c>
      <c r="E595" s="6" t="n">
        <f aca="false">ROUND($F$2*(A595+1)^2.4*1.004^A595,0)</f>
        <v>3309775611</v>
      </c>
      <c r="F595" s="6" t="n">
        <f aca="false">ROUND(Building_Levels!$I$2*(A595+1)^1.9*1.003^A595,2)</f>
        <v>466.69</v>
      </c>
      <c r="G595" s="6" t="n">
        <f aca="false">ROUND((A595+1)^1.12,1)</f>
        <v>1271.1</v>
      </c>
    </row>
    <row r="596" customFormat="false" ht="15" hidden="false" customHeight="true" outlineLevel="0" collapsed="false">
      <c r="A596" s="6" t="n">
        <v>591</v>
      </c>
      <c r="B596" s="6" t="n">
        <f aca="false">MIN(42, FLOOR(A596/32,1)+1)</f>
        <v>19</v>
      </c>
      <c r="C596" s="6" t="n">
        <f aca="false">ROUND($B$2*(A596+1)^2.4*1.004^A596,0)</f>
        <v>4289818084</v>
      </c>
      <c r="D596" s="6" t="n">
        <f aca="false">ROUND($D$2*(A596+1)^2.4*1.004^A596,0)</f>
        <v>3813171630</v>
      </c>
      <c r="E596" s="6" t="n">
        <f aca="false">ROUND($F$2*(A596+1)^2.4*1.004^A596,0)</f>
        <v>3336525177</v>
      </c>
      <c r="F596" s="6" t="n">
        <f aca="false">ROUND(Building_Levels!$I$2*(A596+1)^1.9*1.003^A596,2)</f>
        <v>469.6</v>
      </c>
      <c r="G596" s="6" t="n">
        <f aca="false">ROUND((A596+1)^1.12,1)</f>
        <v>1273.5</v>
      </c>
    </row>
    <row r="597" customFormat="false" ht="15" hidden="false" customHeight="true" outlineLevel="0" collapsed="false">
      <c r="A597" s="6" t="n">
        <v>592</v>
      </c>
      <c r="B597" s="6" t="n">
        <f aca="false">MIN(42, FLOOR(A597/32,1)+1)</f>
        <v>19</v>
      </c>
      <c r="C597" s="6" t="n">
        <f aca="false">ROUND($B$2*(A597+1)^2.4*1.004^A597,0)</f>
        <v>4324458726</v>
      </c>
      <c r="D597" s="6" t="n">
        <f aca="false">ROUND($D$2*(A597+1)^2.4*1.004^A597,0)</f>
        <v>3843963312</v>
      </c>
      <c r="E597" s="6" t="n">
        <f aca="false">ROUND($F$2*(A597+1)^2.4*1.004^A597,0)</f>
        <v>3363467898</v>
      </c>
      <c r="F597" s="6" t="n">
        <f aca="false">ROUND(Building_Levels!$I$2*(A597+1)^1.9*1.003^A597,2)</f>
        <v>472.52</v>
      </c>
      <c r="G597" s="6" t="n">
        <f aca="false">ROUND((A597+1)^1.12,1)</f>
        <v>1275.9</v>
      </c>
    </row>
    <row r="598" customFormat="false" ht="15" hidden="false" customHeight="true" outlineLevel="0" collapsed="false">
      <c r="A598" s="6" t="n">
        <v>593</v>
      </c>
      <c r="B598" s="6" t="n">
        <f aca="false">MIN(42, FLOOR(A598/32,1)+1)</f>
        <v>19</v>
      </c>
      <c r="C598" s="6" t="n">
        <f aca="false">ROUND($B$2*(A598+1)^2.4*1.004^A598,0)</f>
        <v>4359349342</v>
      </c>
      <c r="D598" s="6" t="n">
        <f aca="false">ROUND($D$2*(A598+1)^2.4*1.004^A598,0)</f>
        <v>3874977193</v>
      </c>
      <c r="E598" s="6" t="n">
        <f aca="false">ROUND($F$2*(A598+1)^2.4*1.004^A598,0)</f>
        <v>3390605044</v>
      </c>
      <c r="F598" s="6" t="n">
        <f aca="false">ROUND(Building_Levels!$I$2*(A598+1)^1.9*1.003^A598,2)</f>
        <v>475.45</v>
      </c>
      <c r="G598" s="6" t="n">
        <f aca="false">ROUND((A598+1)^1.12,1)</f>
        <v>1278.3</v>
      </c>
    </row>
    <row r="599" customFormat="false" ht="15" hidden="false" customHeight="true" outlineLevel="0" collapsed="false">
      <c r="A599" s="6" t="n">
        <v>594</v>
      </c>
      <c r="B599" s="6" t="n">
        <f aca="false">MIN(42, FLOOR(A599/32,1)+1)</f>
        <v>19</v>
      </c>
      <c r="C599" s="6" t="n">
        <f aca="false">ROUND($B$2*(A599+1)^2.4*1.004^A599,0)</f>
        <v>4394491570</v>
      </c>
      <c r="D599" s="6" t="n">
        <f aca="false">ROUND($D$2*(A599+1)^2.4*1.004^A599,0)</f>
        <v>3906214729</v>
      </c>
      <c r="E599" s="6" t="n">
        <f aca="false">ROUND($F$2*(A599+1)^2.4*1.004^A599,0)</f>
        <v>3417937888</v>
      </c>
      <c r="F599" s="6" t="n">
        <f aca="false">ROUND(Building_Levels!$I$2*(A599+1)^1.9*1.003^A599,2)</f>
        <v>478.41</v>
      </c>
      <c r="G599" s="6" t="n">
        <f aca="false">ROUND((A599+1)^1.12,1)</f>
        <v>1280.7</v>
      </c>
    </row>
    <row r="600" customFormat="false" ht="15" hidden="false" customHeight="true" outlineLevel="0" collapsed="false">
      <c r="A600" s="6" t="n">
        <v>595</v>
      </c>
      <c r="B600" s="6" t="n">
        <f aca="false">MIN(42, FLOOR(A600/32,1)+1)</f>
        <v>19</v>
      </c>
      <c r="C600" s="6" t="n">
        <f aca="false">ROUND($B$2*(A600+1)^2.4*1.004^A600,0)</f>
        <v>4429887062</v>
      </c>
      <c r="D600" s="6" t="n">
        <f aca="false">ROUND($D$2*(A600+1)^2.4*1.004^A600,0)</f>
        <v>3937677388</v>
      </c>
      <c r="E600" s="6" t="n">
        <f aca="false">ROUND($F$2*(A600+1)^2.4*1.004^A600,0)</f>
        <v>3445467715</v>
      </c>
      <c r="F600" s="6" t="n">
        <f aca="false">ROUND(Building_Levels!$I$2*(A600+1)^1.9*1.003^A600,2)</f>
        <v>481.38</v>
      </c>
      <c r="G600" s="6" t="n">
        <f aca="false">ROUND((A600+1)^1.12,1)</f>
        <v>1283.1</v>
      </c>
    </row>
    <row r="601" customFormat="false" ht="15" hidden="false" customHeight="true" outlineLevel="0" collapsed="false">
      <c r="A601" s="6" t="n">
        <v>596</v>
      </c>
      <c r="B601" s="6" t="n">
        <f aca="false">MIN(42, FLOOR(A601/32,1)+1)</f>
        <v>19</v>
      </c>
      <c r="C601" s="6" t="n">
        <f aca="false">ROUND($B$2*(A601+1)^2.4*1.004^A601,0)</f>
        <v>4465537475</v>
      </c>
      <c r="D601" s="6" t="n">
        <f aca="false">ROUND($D$2*(A601+1)^2.4*1.004^A601,0)</f>
        <v>3969366644</v>
      </c>
      <c r="E601" s="6" t="n">
        <f aca="false">ROUND($F$2*(A601+1)^2.4*1.004^A601,0)</f>
        <v>3473195814</v>
      </c>
      <c r="F601" s="6" t="n">
        <f aca="false">ROUND(Building_Levels!$I$2*(A601+1)^1.9*1.003^A601,2)</f>
        <v>484.36</v>
      </c>
      <c r="G601" s="6" t="n">
        <f aca="false">ROUND((A601+1)^1.12,1)</f>
        <v>1285.6</v>
      </c>
    </row>
    <row r="602" customFormat="false" ht="15" hidden="false" customHeight="true" outlineLevel="0" collapsed="false">
      <c r="A602" s="6" t="n">
        <v>597</v>
      </c>
      <c r="B602" s="6" t="n">
        <f aca="false">MIN(42, FLOOR(A602/32,1)+1)</f>
        <v>19</v>
      </c>
      <c r="C602" s="6" t="n">
        <f aca="false">ROUND($B$2*(A602+1)^2.4*1.004^A602,0)</f>
        <v>4501444480</v>
      </c>
      <c r="D602" s="6" t="n">
        <f aca="false">ROUND($D$2*(A602+1)^2.4*1.004^A602,0)</f>
        <v>4001283982</v>
      </c>
      <c r="E602" s="6" t="n">
        <f aca="false">ROUND($F$2*(A602+1)^2.4*1.004^A602,0)</f>
        <v>3501123484</v>
      </c>
      <c r="F602" s="6" t="n">
        <f aca="false">ROUND(Building_Levels!$I$2*(A602+1)^1.9*1.003^A602,2)</f>
        <v>487.36</v>
      </c>
      <c r="G602" s="6" t="n">
        <f aca="false">ROUND((A602+1)^1.12,1)</f>
        <v>1288</v>
      </c>
    </row>
    <row r="603" customFormat="false" ht="15" hidden="false" customHeight="true" outlineLevel="0" collapsed="false">
      <c r="A603" s="6" t="n">
        <v>598</v>
      </c>
      <c r="B603" s="6" t="n">
        <f aca="false">MIN(42, FLOOR(A603/32,1)+1)</f>
        <v>19</v>
      </c>
      <c r="C603" s="6" t="n">
        <f aca="false">ROUND($B$2*(A603+1)^2.4*1.004^A603,0)</f>
        <v>4537609756</v>
      </c>
      <c r="D603" s="6" t="n">
        <f aca="false">ROUND($D$2*(A603+1)^2.4*1.004^A603,0)</f>
        <v>4033430895</v>
      </c>
      <c r="E603" s="6" t="n">
        <f aca="false">ROUND($F$2*(A603+1)^2.4*1.004^A603,0)</f>
        <v>3529252033</v>
      </c>
      <c r="F603" s="6" t="n">
        <f aca="false">ROUND(Building_Levels!$I$2*(A603+1)^1.9*1.003^A603,2)</f>
        <v>490.38</v>
      </c>
      <c r="G603" s="6" t="n">
        <f aca="false">ROUND((A603+1)^1.12,1)</f>
        <v>1290.4</v>
      </c>
    </row>
    <row r="604" customFormat="false" ht="15" hidden="false" customHeight="true" outlineLevel="0" collapsed="false">
      <c r="A604" s="6" t="n">
        <v>599</v>
      </c>
      <c r="B604" s="6" t="n">
        <f aca="false">MIN(42, FLOOR(A604/32,1)+1)</f>
        <v>19</v>
      </c>
      <c r="C604" s="6" t="n">
        <f aca="false">ROUND($B$2*(A604+1)^2.4*1.004^A604,0)</f>
        <v>4574034995</v>
      </c>
      <c r="D604" s="6" t="n">
        <f aca="false">ROUND($D$2*(A604+1)^2.4*1.004^A604,0)</f>
        <v>4065808884</v>
      </c>
      <c r="E604" s="6" t="n">
        <f aca="false">ROUND($F$2*(A604+1)^2.4*1.004^A604,0)</f>
        <v>3557582774</v>
      </c>
      <c r="F604" s="6" t="n">
        <f aca="false">ROUND(Building_Levels!$I$2*(A604+1)^1.9*1.003^A604,2)</f>
        <v>493.41</v>
      </c>
      <c r="G604" s="6" t="n">
        <f aca="false">ROUND((A604+1)^1.12,1)</f>
        <v>1292.8</v>
      </c>
    </row>
    <row r="605" customFormat="false" ht="15" hidden="false" customHeight="true" outlineLevel="0" collapsed="false">
      <c r="A605" s="6" t="n">
        <v>600</v>
      </c>
      <c r="B605" s="6" t="n">
        <f aca="false">MIN(42, FLOOR(A605/32,1)+1)</f>
        <v>19</v>
      </c>
      <c r="C605" s="6" t="n">
        <f aca="false">ROUND($B$2*(A605+1)^2.4*1.004^A605,0)</f>
        <v>4610721895</v>
      </c>
      <c r="D605" s="6" t="n">
        <f aca="false">ROUND($D$2*(A605+1)^2.4*1.004^A605,0)</f>
        <v>4098419462</v>
      </c>
      <c r="E605" s="6" t="n">
        <f aca="false">ROUND($F$2*(A605+1)^2.4*1.004^A605,0)</f>
        <v>3586117029</v>
      </c>
      <c r="F605" s="6" t="n">
        <f aca="false">ROUND(Building_Levels!$I$2*(A605+1)^1.9*1.003^A605,2)</f>
        <v>496.46</v>
      </c>
      <c r="G605" s="6" t="n">
        <f aca="false">ROUND((A605+1)^1.12,1)</f>
        <v>1295.2</v>
      </c>
    </row>
    <row r="606" customFormat="false" ht="15" hidden="false" customHeight="true" outlineLevel="0" collapsed="false">
      <c r="A606" s="6" t="n">
        <v>601</v>
      </c>
      <c r="B606" s="6" t="n">
        <f aca="false">MIN(42, FLOOR(A606/32,1)+1)</f>
        <v>19</v>
      </c>
      <c r="C606" s="6" t="n">
        <f aca="false">ROUND($B$2*(A606+1)^2.4*1.004^A606,0)</f>
        <v>4647672168</v>
      </c>
      <c r="D606" s="6" t="n">
        <f aca="false">ROUND($D$2*(A606+1)^2.4*1.004^A606,0)</f>
        <v>4131264149</v>
      </c>
      <c r="E606" s="6" t="n">
        <f aca="false">ROUND($F$2*(A606+1)^2.4*1.004^A606,0)</f>
        <v>3614856130</v>
      </c>
      <c r="F606" s="6" t="n">
        <f aca="false">ROUND(Building_Levels!$I$2*(A606+1)^1.9*1.003^A606,2)</f>
        <v>499.52</v>
      </c>
      <c r="G606" s="6" t="n">
        <f aca="false">ROUND((A606+1)^1.12,1)</f>
        <v>1297.6</v>
      </c>
    </row>
    <row r="607" customFormat="false" ht="15" hidden="false" customHeight="true" outlineLevel="0" collapsed="false">
      <c r="A607" s="6" t="n">
        <v>602</v>
      </c>
      <c r="B607" s="6" t="n">
        <f aca="false">MIN(42, FLOOR(A607/32,1)+1)</f>
        <v>19</v>
      </c>
      <c r="C607" s="6" t="n">
        <f aca="false">ROUND($B$2*(A607+1)^2.4*1.004^A607,0)</f>
        <v>4684887534</v>
      </c>
      <c r="D607" s="6" t="n">
        <f aca="false">ROUND($D$2*(A607+1)^2.4*1.004^A607,0)</f>
        <v>4164344474</v>
      </c>
      <c r="E607" s="6" t="n">
        <f aca="false">ROUND($F$2*(A607+1)^2.4*1.004^A607,0)</f>
        <v>3643801415</v>
      </c>
      <c r="F607" s="6" t="n">
        <f aca="false">ROUND(Building_Levels!$I$2*(A607+1)^1.9*1.003^A607,2)</f>
        <v>502.6</v>
      </c>
      <c r="G607" s="6" t="n">
        <f aca="false">ROUND((A607+1)^1.12,1)</f>
        <v>1300</v>
      </c>
    </row>
    <row r="608" customFormat="false" ht="15" hidden="false" customHeight="true" outlineLevel="0" collapsed="false">
      <c r="A608" s="6" t="n">
        <v>603</v>
      </c>
      <c r="B608" s="6" t="n">
        <f aca="false">MIN(42, FLOOR(A608/32,1)+1)</f>
        <v>19</v>
      </c>
      <c r="C608" s="6" t="n">
        <f aca="false">ROUND($B$2*(A608+1)^2.4*1.004^A608,0)</f>
        <v>4722369725</v>
      </c>
      <c r="D608" s="6" t="n">
        <f aca="false">ROUND($D$2*(A608+1)^2.4*1.004^A608,0)</f>
        <v>4197661978</v>
      </c>
      <c r="E608" s="6" t="n">
        <f aca="false">ROUND($F$2*(A608+1)^2.4*1.004^A608,0)</f>
        <v>3672954230</v>
      </c>
      <c r="F608" s="6" t="n">
        <f aca="false">ROUND(Building_Levels!$I$2*(A608+1)^1.9*1.003^A608,2)</f>
        <v>505.7</v>
      </c>
      <c r="G608" s="6" t="n">
        <f aca="false">ROUND((A608+1)^1.12,1)</f>
        <v>1302.5</v>
      </c>
    </row>
    <row r="609" customFormat="false" ht="15" hidden="false" customHeight="true" outlineLevel="0" collapsed="false">
      <c r="A609" s="6" t="n">
        <v>604</v>
      </c>
      <c r="B609" s="6" t="n">
        <f aca="false">MIN(42, FLOOR(A609/32,1)+1)</f>
        <v>19</v>
      </c>
      <c r="C609" s="6" t="n">
        <f aca="false">ROUND($B$2*(A609+1)^2.4*1.004^A609,0)</f>
        <v>4760120483</v>
      </c>
      <c r="D609" s="6" t="n">
        <f aca="false">ROUND($D$2*(A609+1)^2.4*1.004^A609,0)</f>
        <v>4231218207</v>
      </c>
      <c r="E609" s="6" t="n">
        <f aca="false">ROUND($F$2*(A609+1)^2.4*1.004^A609,0)</f>
        <v>3702315931</v>
      </c>
      <c r="F609" s="6" t="n">
        <f aca="false">ROUND(Building_Levels!$I$2*(A609+1)^1.9*1.003^A609,2)</f>
        <v>508.81</v>
      </c>
      <c r="G609" s="6" t="n">
        <f aca="false">ROUND((A609+1)^1.12,1)</f>
        <v>1304.9</v>
      </c>
    </row>
    <row r="610" customFormat="false" ht="15" hidden="false" customHeight="true" outlineLevel="0" collapsed="false">
      <c r="A610" s="6" t="n">
        <v>605</v>
      </c>
      <c r="B610" s="6" t="n">
        <f aca="false">MIN(42, FLOOR(A610/32,1)+1)</f>
        <v>19</v>
      </c>
      <c r="C610" s="6" t="n">
        <f aca="false">ROUND($B$2*(A610+1)^2.4*1.004^A610,0)</f>
        <v>4798141560</v>
      </c>
      <c r="D610" s="6" t="n">
        <f aca="false">ROUND($D$2*(A610+1)^2.4*1.004^A610,0)</f>
        <v>4265014720</v>
      </c>
      <c r="E610" s="6" t="n">
        <f aca="false">ROUND($F$2*(A610+1)^2.4*1.004^A610,0)</f>
        <v>3731887880</v>
      </c>
      <c r="F610" s="6" t="n">
        <f aca="false">ROUND(Building_Levels!$I$2*(A610+1)^1.9*1.003^A610,2)</f>
        <v>511.95</v>
      </c>
      <c r="G610" s="6" t="n">
        <f aca="false">ROUND((A610+1)^1.12,1)</f>
        <v>1307.3</v>
      </c>
    </row>
    <row r="611" customFormat="false" ht="15" hidden="false" customHeight="true" outlineLevel="0" collapsed="false">
      <c r="A611" s="6" t="n">
        <v>606</v>
      </c>
      <c r="B611" s="6" t="n">
        <f aca="false">MIN(42, FLOOR(A611/32,1)+1)</f>
        <v>19</v>
      </c>
      <c r="C611" s="6" t="n">
        <f aca="false">ROUND($B$2*(A611+1)^2.4*1.004^A611,0)</f>
        <v>4836434720</v>
      </c>
      <c r="D611" s="6" t="n">
        <f aca="false">ROUND($D$2*(A611+1)^2.4*1.004^A611,0)</f>
        <v>4299053085</v>
      </c>
      <c r="E611" s="6" t="n">
        <f aca="false">ROUND($F$2*(A611+1)^2.4*1.004^A611,0)</f>
        <v>3761671449</v>
      </c>
      <c r="F611" s="6" t="n">
        <f aca="false">ROUND(Building_Levels!$I$2*(A611+1)^1.9*1.003^A611,2)</f>
        <v>515.09</v>
      </c>
      <c r="G611" s="6" t="n">
        <f aca="false">ROUND((A611+1)^1.12,1)</f>
        <v>1309.7</v>
      </c>
    </row>
    <row r="612" customFormat="false" ht="15" hidden="false" customHeight="true" outlineLevel="0" collapsed="false">
      <c r="A612" s="6" t="n">
        <v>607</v>
      </c>
      <c r="B612" s="6" t="n">
        <f aca="false">MIN(42, FLOOR(A612/32,1)+1)</f>
        <v>19</v>
      </c>
      <c r="C612" s="6" t="n">
        <f aca="false">ROUND($B$2*(A612+1)^2.4*1.004^A612,0)</f>
        <v>4875001737</v>
      </c>
      <c r="D612" s="6" t="n">
        <f aca="false">ROUND($D$2*(A612+1)^2.4*1.004^A612,0)</f>
        <v>4333334877</v>
      </c>
      <c r="E612" s="6" t="n">
        <f aca="false">ROUND($F$2*(A612+1)^2.4*1.004^A612,0)</f>
        <v>3791668017</v>
      </c>
      <c r="F612" s="6" t="n">
        <f aca="false">ROUND(Building_Levels!$I$2*(A612+1)^1.9*1.003^A612,2)</f>
        <v>518.26</v>
      </c>
      <c r="G612" s="6" t="n">
        <f aca="false">ROUND((A612+1)^1.12,1)</f>
        <v>1312.1</v>
      </c>
    </row>
    <row r="613" customFormat="false" ht="15" hidden="false" customHeight="true" outlineLevel="0" collapsed="false">
      <c r="A613" s="6" t="n">
        <v>608</v>
      </c>
      <c r="B613" s="6" t="n">
        <f aca="false">MIN(42, FLOOR(A613/32,1)+1)</f>
        <v>20</v>
      </c>
      <c r="C613" s="6" t="n">
        <f aca="false">ROUND($B$2*(A613+1)^2.4*1.004^A613,0)</f>
        <v>4913844394</v>
      </c>
      <c r="D613" s="6" t="n">
        <f aca="false">ROUND($D$2*(A613+1)^2.4*1.004^A613,0)</f>
        <v>4367861684</v>
      </c>
      <c r="E613" s="6" t="n">
        <f aca="false">ROUND($F$2*(A613+1)^2.4*1.004^A613,0)</f>
        <v>3821878973</v>
      </c>
      <c r="F613" s="6" t="n">
        <f aca="false">ROUND(Building_Levels!$I$2*(A613+1)^1.9*1.003^A613,2)</f>
        <v>521.44</v>
      </c>
      <c r="G613" s="6" t="n">
        <f aca="false">ROUND((A613+1)^1.12,1)</f>
        <v>1314.5</v>
      </c>
    </row>
    <row r="614" customFormat="false" ht="15" hidden="false" customHeight="true" outlineLevel="0" collapsed="false">
      <c r="A614" s="6" t="n">
        <v>609</v>
      </c>
      <c r="B614" s="6" t="n">
        <f aca="false">MIN(42, FLOOR(A614/32,1)+1)</f>
        <v>20</v>
      </c>
      <c r="C614" s="6" t="n">
        <f aca="false">ROUND($B$2*(A614+1)^2.4*1.004^A614,0)</f>
        <v>4952964488</v>
      </c>
      <c r="D614" s="6" t="n">
        <f aca="false">ROUND($D$2*(A614+1)^2.4*1.004^A614,0)</f>
        <v>4402635100</v>
      </c>
      <c r="E614" s="6" t="n">
        <f aca="false">ROUND($F$2*(A614+1)^2.4*1.004^A614,0)</f>
        <v>3852305713</v>
      </c>
      <c r="F614" s="6" t="n">
        <f aca="false">ROUND(Building_Levels!$I$2*(A614+1)^1.9*1.003^A614,2)</f>
        <v>524.63</v>
      </c>
      <c r="G614" s="6" t="n">
        <f aca="false">ROUND((A614+1)^1.12,1)</f>
        <v>1317</v>
      </c>
    </row>
    <row r="615" customFormat="false" ht="15" hidden="false" customHeight="true" outlineLevel="0" collapsed="false">
      <c r="A615" s="6" t="n">
        <v>610</v>
      </c>
      <c r="B615" s="6" t="n">
        <f aca="false">MIN(42, FLOOR(A615/32,1)+1)</f>
        <v>20</v>
      </c>
      <c r="C615" s="6" t="n">
        <f aca="false">ROUND($B$2*(A615+1)^2.4*1.004^A615,0)</f>
        <v>4992363824</v>
      </c>
      <c r="D615" s="6" t="n">
        <f aca="false">ROUND($D$2*(A615+1)^2.4*1.004^A615,0)</f>
        <v>4437656732</v>
      </c>
      <c r="E615" s="6" t="n">
        <f aca="false">ROUND($F$2*(A615+1)^2.4*1.004^A615,0)</f>
        <v>3882949641</v>
      </c>
      <c r="F615" s="6" t="n">
        <f aca="false">ROUND(Building_Levels!$I$2*(A615+1)^1.9*1.003^A615,2)</f>
        <v>527.85</v>
      </c>
      <c r="G615" s="6" t="n">
        <f aca="false">ROUND((A615+1)^1.12,1)</f>
        <v>1319.4</v>
      </c>
    </row>
    <row r="616" customFormat="false" ht="15" hidden="false" customHeight="true" outlineLevel="0" collapsed="false">
      <c r="A616" s="6" t="n">
        <v>611</v>
      </c>
      <c r="B616" s="6" t="n">
        <f aca="false">MIN(42, FLOOR(A616/32,1)+1)</f>
        <v>20</v>
      </c>
      <c r="C616" s="6" t="n">
        <f aca="false">ROUND($B$2*(A616+1)^2.4*1.004^A616,0)</f>
        <v>5032044220</v>
      </c>
      <c r="D616" s="6" t="n">
        <f aca="false">ROUND($D$2*(A616+1)^2.4*1.004^A616,0)</f>
        <v>4472928195</v>
      </c>
      <c r="E616" s="6" t="n">
        <f aca="false">ROUND($F$2*(A616+1)^2.4*1.004^A616,0)</f>
        <v>3913812171</v>
      </c>
      <c r="F616" s="6" t="n">
        <f aca="false">ROUND(Building_Levels!$I$2*(A616+1)^1.9*1.003^A616,2)</f>
        <v>531.08</v>
      </c>
      <c r="G616" s="6" t="n">
        <f aca="false">ROUND((A616+1)^1.12,1)</f>
        <v>1321.8</v>
      </c>
    </row>
    <row r="617" customFormat="false" ht="15" hidden="false" customHeight="true" outlineLevel="0" collapsed="false">
      <c r="A617" s="6" t="n">
        <v>612</v>
      </c>
      <c r="B617" s="6" t="n">
        <f aca="false">MIN(42, FLOOR(A617/32,1)+1)</f>
        <v>20</v>
      </c>
      <c r="C617" s="6" t="n">
        <f aca="false">ROUND($B$2*(A617+1)^2.4*1.004^A617,0)</f>
        <v>5072007504</v>
      </c>
      <c r="D617" s="6" t="n">
        <f aca="false">ROUND($D$2*(A617+1)^2.4*1.004^A617,0)</f>
        <v>4508451114</v>
      </c>
      <c r="E617" s="6" t="n">
        <f aca="false">ROUND($F$2*(A617+1)^2.4*1.004^A617,0)</f>
        <v>3944894725</v>
      </c>
      <c r="F617" s="6" t="n">
        <f aca="false">ROUND(Building_Levels!$I$2*(A617+1)^1.9*1.003^A617,2)</f>
        <v>534.33</v>
      </c>
      <c r="G617" s="6" t="n">
        <f aca="false">ROUND((A617+1)^1.12,1)</f>
        <v>1324.2</v>
      </c>
    </row>
    <row r="618" customFormat="false" ht="15" hidden="false" customHeight="true" outlineLevel="0" collapsed="false">
      <c r="A618" s="6" t="n">
        <v>613</v>
      </c>
      <c r="B618" s="6" t="n">
        <f aca="false">MIN(42, FLOOR(A618/32,1)+1)</f>
        <v>20</v>
      </c>
      <c r="C618" s="6" t="n">
        <f aca="false">ROUND($B$2*(A618+1)^2.4*1.004^A618,0)</f>
        <v>5112255515</v>
      </c>
      <c r="D618" s="6" t="n">
        <f aca="false">ROUND($D$2*(A618+1)^2.4*1.004^A618,0)</f>
        <v>4544227124</v>
      </c>
      <c r="E618" s="6" t="n">
        <f aca="false">ROUND($F$2*(A618+1)^2.4*1.004^A618,0)</f>
        <v>3976198734</v>
      </c>
      <c r="F618" s="6" t="n">
        <f aca="false">ROUND(Building_Levels!$I$2*(A618+1)^1.9*1.003^A618,2)</f>
        <v>537.59</v>
      </c>
      <c r="G618" s="6" t="n">
        <f aca="false">ROUND((A618+1)^1.12,1)</f>
        <v>1326.6</v>
      </c>
    </row>
    <row r="619" customFormat="false" ht="15" hidden="false" customHeight="true" outlineLevel="0" collapsed="false">
      <c r="A619" s="6" t="n">
        <v>614</v>
      </c>
      <c r="B619" s="6" t="n">
        <f aca="false">MIN(42, FLOOR(A619/32,1)+1)</f>
        <v>20</v>
      </c>
      <c r="C619" s="6" t="n">
        <f aca="false">ROUND($B$2*(A619+1)^2.4*1.004^A619,0)</f>
        <v>5152790103</v>
      </c>
      <c r="D619" s="6" t="n">
        <f aca="false">ROUND($D$2*(A619+1)^2.4*1.004^A619,0)</f>
        <v>4580257870</v>
      </c>
      <c r="E619" s="6" t="n">
        <f aca="false">ROUND($F$2*(A619+1)^2.4*1.004^A619,0)</f>
        <v>4007725636</v>
      </c>
      <c r="F619" s="6" t="n">
        <f aca="false">ROUND(Building_Levels!$I$2*(A619+1)^1.9*1.003^A619,2)</f>
        <v>540.87</v>
      </c>
      <c r="G619" s="6" t="n">
        <f aca="false">ROUND((A619+1)^1.12,1)</f>
        <v>1329</v>
      </c>
    </row>
    <row r="620" customFormat="false" ht="15" hidden="false" customHeight="true" outlineLevel="0" collapsed="false">
      <c r="A620" s="6" t="n">
        <v>615</v>
      </c>
      <c r="B620" s="6" t="n">
        <f aca="false">MIN(42, FLOOR(A620/32,1)+1)</f>
        <v>20</v>
      </c>
      <c r="C620" s="6" t="n">
        <f aca="false">ROUND($B$2*(A620+1)^2.4*1.004^A620,0)</f>
        <v>5193613131</v>
      </c>
      <c r="D620" s="6" t="n">
        <f aca="false">ROUND($D$2*(A620+1)^2.4*1.004^A620,0)</f>
        <v>4616545005</v>
      </c>
      <c r="E620" s="6" t="n">
        <f aca="false">ROUND($F$2*(A620+1)^2.4*1.004^A620,0)</f>
        <v>4039476880</v>
      </c>
      <c r="F620" s="6" t="n">
        <f aca="false">ROUND(Building_Levels!$I$2*(A620+1)^1.9*1.003^A620,2)</f>
        <v>544.17</v>
      </c>
      <c r="G620" s="6" t="n">
        <f aca="false">ROUND((A620+1)^1.12,1)</f>
        <v>1331.5</v>
      </c>
    </row>
    <row r="621" customFormat="false" ht="15" hidden="false" customHeight="true" outlineLevel="0" collapsed="false">
      <c r="A621" s="6" t="n">
        <v>616</v>
      </c>
      <c r="B621" s="6" t="n">
        <f aca="false">MIN(42, FLOOR(A621/32,1)+1)</f>
        <v>20</v>
      </c>
      <c r="C621" s="6" t="n">
        <f aca="false">ROUND($B$2*(A621+1)^2.4*1.004^A621,0)</f>
        <v>5234726470</v>
      </c>
      <c r="D621" s="6" t="n">
        <f aca="false">ROUND($D$2*(A621+1)^2.4*1.004^A621,0)</f>
        <v>4653090196</v>
      </c>
      <c r="E621" s="6" t="n">
        <f aca="false">ROUND($F$2*(A621+1)^2.4*1.004^A621,0)</f>
        <v>4071453921</v>
      </c>
      <c r="F621" s="6" t="n">
        <f aca="false">ROUND(Building_Levels!$I$2*(A621+1)^1.9*1.003^A621,2)</f>
        <v>547.49</v>
      </c>
      <c r="G621" s="6" t="n">
        <f aca="false">ROUND((A621+1)^1.12,1)</f>
        <v>1333.9</v>
      </c>
    </row>
    <row r="622" customFormat="false" ht="15" hidden="false" customHeight="true" outlineLevel="0" collapsed="false">
      <c r="A622" s="6" t="n">
        <v>617</v>
      </c>
      <c r="B622" s="6" t="n">
        <f aca="false">MIN(42, FLOOR(A622/32,1)+1)</f>
        <v>20</v>
      </c>
      <c r="C622" s="6" t="n">
        <f aca="false">ROUND($B$2*(A622+1)^2.4*1.004^A622,0)</f>
        <v>5276132006</v>
      </c>
      <c r="D622" s="6" t="n">
        <f aca="false">ROUND($D$2*(A622+1)^2.4*1.004^A622,0)</f>
        <v>4689895116</v>
      </c>
      <c r="E622" s="6" t="n">
        <f aca="false">ROUND($F$2*(A622+1)^2.4*1.004^A622,0)</f>
        <v>4103658227</v>
      </c>
      <c r="F622" s="6" t="n">
        <f aca="false">ROUND(Building_Levels!$I$2*(A622+1)^1.9*1.003^A622,2)</f>
        <v>550.83</v>
      </c>
      <c r="G622" s="6" t="n">
        <f aca="false">ROUND((A622+1)^1.12,1)</f>
        <v>1336.3</v>
      </c>
    </row>
    <row r="623" customFormat="false" ht="15" hidden="false" customHeight="true" outlineLevel="0" collapsed="false">
      <c r="A623" s="6" t="n">
        <v>618</v>
      </c>
      <c r="B623" s="6" t="n">
        <f aca="false">MIN(42, FLOOR(A623/32,1)+1)</f>
        <v>20</v>
      </c>
      <c r="C623" s="6" t="n">
        <f aca="false">ROUND($B$2*(A623+1)^2.4*1.004^A623,0)</f>
        <v>5317831633</v>
      </c>
      <c r="D623" s="6" t="n">
        <f aca="false">ROUND($D$2*(A623+1)^2.4*1.004^A623,0)</f>
        <v>4726961451</v>
      </c>
      <c r="E623" s="6" t="n">
        <f aca="false">ROUND($F$2*(A623+1)^2.4*1.004^A623,0)</f>
        <v>4136091270</v>
      </c>
      <c r="F623" s="6" t="n">
        <f aca="false">ROUND(Building_Levels!$I$2*(A623+1)^1.9*1.003^A623,2)</f>
        <v>554.18</v>
      </c>
      <c r="G623" s="6" t="n">
        <f aca="false">ROUND((A623+1)^1.12,1)</f>
        <v>1338.7</v>
      </c>
    </row>
    <row r="624" customFormat="false" ht="15" hidden="false" customHeight="true" outlineLevel="0" collapsed="false">
      <c r="A624" s="6" t="n">
        <v>619</v>
      </c>
      <c r="B624" s="6" t="n">
        <f aca="false">MIN(42, FLOOR(A624/32,1)+1)</f>
        <v>20</v>
      </c>
      <c r="C624" s="6" t="n">
        <f aca="false">ROUND($B$2*(A624+1)^2.4*1.004^A624,0)</f>
        <v>5359827258</v>
      </c>
      <c r="D624" s="6" t="n">
        <f aca="false">ROUND($D$2*(A624+1)^2.4*1.004^A624,0)</f>
        <v>4764290896</v>
      </c>
      <c r="E624" s="6" t="n">
        <f aca="false">ROUND($F$2*(A624+1)^2.4*1.004^A624,0)</f>
        <v>4168754534</v>
      </c>
      <c r="F624" s="6" t="n">
        <f aca="false">ROUND(Building_Levels!$I$2*(A624+1)^1.9*1.003^A624,2)</f>
        <v>557.55</v>
      </c>
      <c r="G624" s="6" t="n">
        <f aca="false">ROUND((A624+1)^1.12,1)</f>
        <v>1341.2</v>
      </c>
    </row>
    <row r="625" customFormat="false" ht="15" hidden="false" customHeight="true" outlineLevel="0" collapsed="false">
      <c r="A625" s="6" t="n">
        <v>620</v>
      </c>
      <c r="B625" s="6" t="n">
        <f aca="false">MIN(42, FLOOR(A625/32,1)+1)</f>
        <v>20</v>
      </c>
      <c r="C625" s="6" t="n">
        <f aca="false">ROUND($B$2*(A625+1)^2.4*1.004^A625,0)</f>
        <v>5402120800</v>
      </c>
      <c r="D625" s="6" t="n">
        <f aca="false">ROUND($D$2*(A625+1)^2.4*1.004^A625,0)</f>
        <v>4801885155</v>
      </c>
      <c r="E625" s="6" t="n">
        <f aca="false">ROUND($F$2*(A625+1)^2.4*1.004^A625,0)</f>
        <v>4201649511</v>
      </c>
      <c r="F625" s="6" t="n">
        <f aca="false">ROUND(Building_Levels!$I$2*(A625+1)^1.9*1.003^A625,2)</f>
        <v>560.94</v>
      </c>
      <c r="G625" s="6" t="n">
        <f aca="false">ROUND((A625+1)^1.12,1)</f>
        <v>1343.6</v>
      </c>
    </row>
    <row r="626" customFormat="false" ht="15" hidden="false" customHeight="true" outlineLevel="0" collapsed="false">
      <c r="A626" s="6" t="n">
        <v>621</v>
      </c>
      <c r="B626" s="6" t="n">
        <f aca="false">MIN(42, FLOOR(A626/32,1)+1)</f>
        <v>20</v>
      </c>
      <c r="C626" s="6" t="n">
        <f aca="false">ROUND($B$2*(A626+1)^2.4*1.004^A626,0)</f>
        <v>5444714188</v>
      </c>
      <c r="D626" s="6" t="n">
        <f aca="false">ROUND($D$2*(A626+1)^2.4*1.004^A626,0)</f>
        <v>4839745945</v>
      </c>
      <c r="E626" s="6" t="n">
        <f aca="false">ROUND($F$2*(A626+1)^2.4*1.004^A626,0)</f>
        <v>4234777702</v>
      </c>
      <c r="F626" s="6" t="n">
        <f aca="false">ROUND(Building_Levels!$I$2*(A626+1)^1.9*1.003^A626,2)</f>
        <v>564.34</v>
      </c>
      <c r="G626" s="6" t="n">
        <f aca="false">ROUND((A626+1)^1.12,1)</f>
        <v>1346</v>
      </c>
    </row>
    <row r="627" customFormat="false" ht="15" hidden="false" customHeight="true" outlineLevel="0" collapsed="false">
      <c r="A627" s="6" t="n">
        <v>622</v>
      </c>
      <c r="B627" s="6" t="n">
        <f aca="false">MIN(42, FLOOR(A627/32,1)+1)</f>
        <v>20</v>
      </c>
      <c r="C627" s="6" t="n">
        <f aca="false">ROUND($B$2*(A627+1)^2.4*1.004^A627,0)</f>
        <v>5487609365</v>
      </c>
      <c r="D627" s="6" t="n">
        <f aca="false">ROUND($D$2*(A627+1)^2.4*1.004^A627,0)</f>
        <v>4877874992</v>
      </c>
      <c r="E627" s="6" t="n">
        <f aca="false">ROUND($F$2*(A627+1)^2.4*1.004^A627,0)</f>
        <v>4268140618</v>
      </c>
      <c r="F627" s="6" t="n">
        <f aca="false">ROUND(Building_Levels!$I$2*(A627+1)^1.9*1.003^A627,2)</f>
        <v>567.77</v>
      </c>
      <c r="G627" s="6" t="n">
        <f aca="false">ROUND((A627+1)^1.12,1)</f>
        <v>1348.4</v>
      </c>
    </row>
    <row r="628" customFormat="false" ht="15" hidden="false" customHeight="true" outlineLevel="0" collapsed="false">
      <c r="A628" s="6" t="n">
        <v>623</v>
      </c>
      <c r="B628" s="6" t="n">
        <f aca="false">MIN(42, FLOOR(A628/32,1)+1)</f>
        <v>20</v>
      </c>
      <c r="C628" s="6" t="n">
        <f aca="false">ROUND($B$2*(A628+1)^2.4*1.004^A628,0)</f>
        <v>5530808284</v>
      </c>
      <c r="D628" s="6" t="n">
        <f aca="false">ROUND($D$2*(A628+1)^2.4*1.004^A628,0)</f>
        <v>4916274031</v>
      </c>
      <c r="E628" s="6" t="n">
        <f aca="false">ROUND($F$2*(A628+1)^2.4*1.004^A628,0)</f>
        <v>4301739777</v>
      </c>
      <c r="F628" s="6" t="n">
        <f aca="false">ROUND(Building_Levels!$I$2*(A628+1)^1.9*1.003^A628,2)</f>
        <v>571.21</v>
      </c>
      <c r="G628" s="6" t="n">
        <f aca="false">ROUND((A628+1)^1.12,1)</f>
        <v>1350.8</v>
      </c>
    </row>
    <row r="629" customFormat="false" ht="15" hidden="false" customHeight="true" outlineLevel="0" collapsed="false">
      <c r="A629" s="6" t="n">
        <v>624</v>
      </c>
      <c r="B629" s="6" t="n">
        <f aca="false">MIN(42, FLOOR(A629/32,1)+1)</f>
        <v>20</v>
      </c>
      <c r="C629" s="6" t="n">
        <f aca="false">ROUND($B$2*(A629+1)^2.4*1.004^A629,0)</f>
        <v>5574312910</v>
      </c>
      <c r="D629" s="6" t="n">
        <f aca="false">ROUND($D$2*(A629+1)^2.4*1.004^A629,0)</f>
        <v>4954944809</v>
      </c>
      <c r="E629" s="6" t="n">
        <f aca="false">ROUND($F$2*(A629+1)^2.4*1.004^A629,0)</f>
        <v>4335576708</v>
      </c>
      <c r="F629" s="6" t="n">
        <f aca="false">ROUND(Building_Levels!$I$2*(A629+1)^1.9*1.003^A629,2)</f>
        <v>574.67</v>
      </c>
      <c r="G629" s="6" t="n">
        <f aca="false">ROUND((A629+1)^1.12,1)</f>
        <v>1353.3</v>
      </c>
    </row>
    <row r="630" customFormat="false" ht="15" hidden="false" customHeight="true" outlineLevel="0" collapsed="false">
      <c r="A630" s="6" t="n">
        <v>625</v>
      </c>
      <c r="B630" s="6" t="n">
        <f aca="false">MIN(42, FLOOR(A630/32,1)+1)</f>
        <v>20</v>
      </c>
      <c r="C630" s="6" t="n">
        <f aca="false">ROUND($B$2*(A630+1)^2.4*1.004^A630,0)</f>
        <v>5618125220</v>
      </c>
      <c r="D630" s="6" t="n">
        <f aca="false">ROUND($D$2*(A630+1)^2.4*1.004^A630,0)</f>
        <v>4993889084</v>
      </c>
      <c r="E630" s="6" t="n">
        <f aca="false">ROUND($F$2*(A630+1)^2.4*1.004^A630,0)</f>
        <v>4369652949</v>
      </c>
      <c r="F630" s="6" t="n">
        <f aca="false">ROUND(Building_Levels!$I$2*(A630+1)^1.9*1.003^A630,2)</f>
        <v>578.14</v>
      </c>
      <c r="G630" s="6" t="n">
        <f aca="false">ROUND((A630+1)^1.12,1)</f>
        <v>1355.7</v>
      </c>
    </row>
    <row r="631" customFormat="false" ht="15" hidden="false" customHeight="true" outlineLevel="0" collapsed="false">
      <c r="A631" s="6" t="n">
        <v>626</v>
      </c>
      <c r="B631" s="6" t="n">
        <f aca="false">MIN(42, FLOOR(A631/32,1)+1)</f>
        <v>20</v>
      </c>
      <c r="C631" s="6" t="n">
        <f aca="false">ROUND($B$2*(A631+1)^2.4*1.004^A631,0)</f>
        <v>5662247202</v>
      </c>
      <c r="D631" s="6" t="n">
        <f aca="false">ROUND($D$2*(A631+1)^2.4*1.004^A631,0)</f>
        <v>5033108624</v>
      </c>
      <c r="E631" s="6" t="n">
        <f aca="false">ROUND($F$2*(A631+1)^2.4*1.004^A631,0)</f>
        <v>4403970046</v>
      </c>
      <c r="F631" s="6" t="n">
        <f aca="false">ROUND(Building_Levels!$I$2*(A631+1)^1.9*1.003^A631,2)</f>
        <v>581.64</v>
      </c>
      <c r="G631" s="6" t="n">
        <f aca="false">ROUND((A631+1)^1.12,1)</f>
        <v>1358.1</v>
      </c>
    </row>
    <row r="632" customFormat="false" ht="15" hidden="false" customHeight="true" outlineLevel="0" collapsed="false">
      <c r="A632" s="6" t="n">
        <v>627</v>
      </c>
      <c r="B632" s="6" t="n">
        <f aca="false">MIN(42, FLOOR(A632/32,1)+1)</f>
        <v>20</v>
      </c>
      <c r="C632" s="6" t="n">
        <f aca="false">ROUND($B$2*(A632+1)^2.4*1.004^A632,0)</f>
        <v>5706680858</v>
      </c>
      <c r="D632" s="6" t="n">
        <f aca="false">ROUND($D$2*(A632+1)^2.4*1.004^A632,0)</f>
        <v>5072605207</v>
      </c>
      <c r="E632" s="6" t="n">
        <f aca="false">ROUND($F$2*(A632+1)^2.4*1.004^A632,0)</f>
        <v>4438529557</v>
      </c>
      <c r="F632" s="6" t="n">
        <f aca="false">ROUND(Building_Levels!$I$2*(A632+1)^1.9*1.003^A632,2)</f>
        <v>585.15</v>
      </c>
      <c r="G632" s="6" t="n">
        <f aca="false">ROUND((A632+1)^1.12,1)</f>
        <v>1360.6</v>
      </c>
    </row>
    <row r="633" customFormat="false" ht="15" hidden="false" customHeight="true" outlineLevel="0" collapsed="false">
      <c r="A633" s="6" t="n">
        <v>628</v>
      </c>
      <c r="B633" s="6" t="n">
        <f aca="false">MIN(42, FLOOR(A633/32,1)+1)</f>
        <v>20</v>
      </c>
      <c r="C633" s="6" t="n">
        <f aca="false">ROUND($B$2*(A633+1)^2.4*1.004^A633,0)</f>
        <v>5751428201</v>
      </c>
      <c r="D633" s="6" t="n">
        <f aca="false">ROUND($D$2*(A633+1)^2.4*1.004^A633,0)</f>
        <v>5112380623</v>
      </c>
      <c r="E633" s="6" t="n">
        <f aca="false">ROUND($F$2*(A633+1)^2.4*1.004^A633,0)</f>
        <v>4473333045</v>
      </c>
      <c r="F633" s="6" t="n">
        <f aca="false">ROUND(Building_Levels!$I$2*(A633+1)^1.9*1.003^A633,2)</f>
        <v>588.69</v>
      </c>
      <c r="G633" s="6" t="n">
        <f aca="false">ROUND((A633+1)^1.12,1)</f>
        <v>1363</v>
      </c>
    </row>
    <row r="634" customFormat="false" ht="15" hidden="false" customHeight="true" outlineLevel="0" collapsed="false">
      <c r="A634" s="6" t="n">
        <v>629</v>
      </c>
      <c r="B634" s="6" t="n">
        <f aca="false">MIN(42, FLOOR(A634/32,1)+1)</f>
        <v>20</v>
      </c>
      <c r="C634" s="6" t="n">
        <f aca="false">ROUND($B$2*(A634+1)^2.4*1.004^A634,0)</f>
        <v>5796491255</v>
      </c>
      <c r="D634" s="6" t="n">
        <f aca="false">ROUND($D$2*(A634+1)^2.4*1.004^A634,0)</f>
        <v>5152436671</v>
      </c>
      <c r="E634" s="6" t="n">
        <f aca="false">ROUND($F$2*(A634+1)^2.4*1.004^A634,0)</f>
        <v>4508382087</v>
      </c>
      <c r="F634" s="6" t="n">
        <f aca="false">ROUND(Building_Levels!$I$2*(A634+1)^1.9*1.003^A634,2)</f>
        <v>592.24</v>
      </c>
      <c r="G634" s="6" t="n">
        <f aca="false">ROUND((A634+1)^1.12,1)</f>
        <v>1365.4</v>
      </c>
    </row>
    <row r="635" customFormat="false" ht="15" hidden="false" customHeight="true" outlineLevel="0" collapsed="false">
      <c r="A635" s="6" t="n">
        <v>630</v>
      </c>
      <c r="B635" s="6" t="n">
        <f aca="false">MIN(42, FLOOR(A635/32,1)+1)</f>
        <v>20</v>
      </c>
      <c r="C635" s="6" t="n">
        <f aca="false">ROUND($B$2*(A635+1)^2.4*1.004^A635,0)</f>
        <v>5841872058</v>
      </c>
      <c r="D635" s="6" t="n">
        <f aca="false">ROUND($D$2*(A635+1)^2.4*1.004^A635,0)</f>
        <v>5192775162</v>
      </c>
      <c r="E635" s="6" t="n">
        <f aca="false">ROUND($F$2*(A635+1)^2.4*1.004^A635,0)</f>
        <v>4543678267</v>
      </c>
      <c r="F635" s="6" t="n">
        <f aca="false">ROUND(Building_Levels!$I$2*(A635+1)^1.9*1.003^A635,2)</f>
        <v>595.81</v>
      </c>
      <c r="G635" s="6" t="n">
        <f aca="false">ROUND((A635+1)^1.12,1)</f>
        <v>1367.8</v>
      </c>
    </row>
    <row r="636" customFormat="false" ht="15" hidden="false" customHeight="true" outlineLevel="0" collapsed="false">
      <c r="A636" s="6" t="n">
        <v>631</v>
      </c>
      <c r="B636" s="6" t="n">
        <f aca="false">MIN(42, FLOOR(A636/32,1)+1)</f>
        <v>20</v>
      </c>
      <c r="C636" s="6" t="n">
        <f aca="false">ROUND($B$2*(A636+1)^2.4*1.004^A636,0)</f>
        <v>5887572659</v>
      </c>
      <c r="D636" s="6" t="n">
        <f aca="false">ROUND($D$2*(A636+1)^2.4*1.004^A636,0)</f>
        <v>5233397919</v>
      </c>
      <c r="E636" s="6" t="n">
        <f aca="false">ROUND($F$2*(A636+1)^2.4*1.004^A636,0)</f>
        <v>4579223179</v>
      </c>
      <c r="F636" s="6" t="n">
        <f aca="false">ROUND(Building_Levels!$I$2*(A636+1)^1.9*1.003^A636,2)</f>
        <v>599.39</v>
      </c>
      <c r="G636" s="6" t="n">
        <f aca="false">ROUND((A636+1)^1.12,1)</f>
        <v>1370.3</v>
      </c>
    </row>
    <row r="637" customFormat="false" ht="15" hidden="false" customHeight="true" outlineLevel="0" collapsed="false">
      <c r="A637" s="6" t="n">
        <v>632</v>
      </c>
      <c r="B637" s="6" t="n">
        <f aca="false">MIN(42, FLOOR(A637/32,1)+1)</f>
        <v>20</v>
      </c>
      <c r="C637" s="6" t="n">
        <f aca="false">ROUND($B$2*(A637+1)^2.4*1.004^A637,0)</f>
        <v>5933595119</v>
      </c>
      <c r="D637" s="6" t="n">
        <f aca="false">ROUND($D$2*(A637+1)^2.4*1.004^A637,0)</f>
        <v>5274306773</v>
      </c>
      <c r="E637" s="6" t="n">
        <f aca="false">ROUND($F$2*(A637+1)^2.4*1.004^A637,0)</f>
        <v>4615018426</v>
      </c>
      <c r="F637" s="6" t="n">
        <f aca="false">ROUND(Building_Levels!$I$2*(A637+1)^1.9*1.003^A637,2)</f>
        <v>603</v>
      </c>
      <c r="G637" s="6" t="n">
        <f aca="false">ROUND((A637+1)^1.12,1)</f>
        <v>1372.7</v>
      </c>
    </row>
    <row r="638" customFormat="false" ht="15" hidden="false" customHeight="true" outlineLevel="0" collapsed="false">
      <c r="A638" s="6" t="n">
        <v>633</v>
      </c>
      <c r="B638" s="6" t="n">
        <f aca="false">MIN(42, FLOOR(A638/32,1)+1)</f>
        <v>20</v>
      </c>
      <c r="C638" s="6" t="n">
        <f aca="false">ROUND($B$2*(A638+1)^2.4*1.004^A638,0)</f>
        <v>5979941514</v>
      </c>
      <c r="D638" s="6" t="n">
        <f aca="false">ROUND($D$2*(A638+1)^2.4*1.004^A638,0)</f>
        <v>5315503568</v>
      </c>
      <c r="E638" s="6" t="n">
        <f aca="false">ROUND($F$2*(A638+1)^2.4*1.004^A638,0)</f>
        <v>4651065622</v>
      </c>
      <c r="F638" s="6" t="n">
        <f aca="false">ROUND(Building_Levels!$I$2*(A638+1)^1.9*1.003^A638,2)</f>
        <v>606.63</v>
      </c>
      <c r="G638" s="6" t="n">
        <f aca="false">ROUND((A638+1)^1.12,1)</f>
        <v>1375.1</v>
      </c>
    </row>
    <row r="639" customFormat="false" ht="15" hidden="false" customHeight="true" outlineLevel="0" collapsed="false">
      <c r="A639" s="6" t="n">
        <v>634</v>
      </c>
      <c r="B639" s="6" t="n">
        <f aca="false">MIN(42, FLOOR(A639/32,1)+1)</f>
        <v>20</v>
      </c>
      <c r="C639" s="6" t="n">
        <f aca="false">ROUND($B$2*(A639+1)^2.4*1.004^A639,0)</f>
        <v>6026613929</v>
      </c>
      <c r="D639" s="6" t="n">
        <f aca="false">ROUND($D$2*(A639+1)^2.4*1.004^A639,0)</f>
        <v>5356990160</v>
      </c>
      <c r="E639" s="6" t="n">
        <f aca="false">ROUND($F$2*(A639+1)^2.4*1.004^A639,0)</f>
        <v>4687366390</v>
      </c>
      <c r="F639" s="6" t="n">
        <f aca="false">ROUND(Building_Levels!$I$2*(A639+1)^1.9*1.003^A639,2)</f>
        <v>610.27</v>
      </c>
      <c r="G639" s="6" t="n">
        <f aca="false">ROUND((A639+1)^1.12,1)</f>
        <v>1377.5</v>
      </c>
    </row>
    <row r="640" customFormat="false" ht="15" hidden="false" customHeight="true" outlineLevel="0" collapsed="false">
      <c r="A640" s="6" t="n">
        <v>635</v>
      </c>
      <c r="B640" s="6" t="n">
        <f aca="false">MIN(42, FLOOR(A640/32,1)+1)</f>
        <v>20</v>
      </c>
      <c r="C640" s="6" t="n">
        <f aca="false">ROUND($B$2*(A640+1)^2.4*1.004^A640,0)</f>
        <v>6073614465</v>
      </c>
      <c r="D640" s="6" t="n">
        <f aca="false">ROUND($D$2*(A640+1)^2.4*1.004^A640,0)</f>
        <v>5398768413</v>
      </c>
      <c r="E640" s="6" t="n">
        <f aca="false">ROUND($F$2*(A640+1)^2.4*1.004^A640,0)</f>
        <v>4723922361</v>
      </c>
      <c r="F640" s="6" t="n">
        <f aca="false">ROUND(Building_Levels!$I$2*(A640+1)^1.9*1.003^A640,2)</f>
        <v>613.93</v>
      </c>
      <c r="G640" s="6" t="n">
        <f aca="false">ROUND((A640+1)^1.12,1)</f>
        <v>1380</v>
      </c>
    </row>
    <row r="641" customFormat="false" ht="15" hidden="false" customHeight="true" outlineLevel="0" collapsed="false">
      <c r="A641" s="6" t="n">
        <v>636</v>
      </c>
      <c r="B641" s="6" t="n">
        <f aca="false">MIN(42, FLOOR(A641/32,1)+1)</f>
        <v>20</v>
      </c>
      <c r="C641" s="6" t="n">
        <f aca="false">ROUND($B$2*(A641+1)^2.4*1.004^A641,0)</f>
        <v>6120945231</v>
      </c>
      <c r="D641" s="6" t="n">
        <f aca="false">ROUND($D$2*(A641+1)^2.4*1.004^A641,0)</f>
        <v>5440840206</v>
      </c>
      <c r="E641" s="6" t="n">
        <f aca="false">ROUND($F$2*(A641+1)^2.4*1.004^A641,0)</f>
        <v>4760735180</v>
      </c>
      <c r="F641" s="6" t="n">
        <f aca="false">ROUND(Building_Levels!$I$2*(A641+1)^1.9*1.003^A641,2)</f>
        <v>617.62</v>
      </c>
      <c r="G641" s="6" t="n">
        <f aca="false">ROUND((A641+1)^1.12,1)</f>
        <v>1382.4</v>
      </c>
    </row>
    <row r="642" customFormat="false" ht="15" hidden="false" customHeight="true" outlineLevel="0" collapsed="false">
      <c r="A642" s="6" t="n">
        <v>637</v>
      </c>
      <c r="B642" s="6" t="n">
        <f aca="false">MIN(42, FLOOR(A642/32,1)+1)</f>
        <v>20</v>
      </c>
      <c r="C642" s="6" t="n">
        <f aca="false">ROUND($B$2*(A642+1)^2.4*1.004^A642,0)</f>
        <v>6168608354</v>
      </c>
      <c r="D642" s="6" t="n">
        <f aca="false">ROUND($D$2*(A642+1)^2.4*1.004^A642,0)</f>
        <v>5483207426</v>
      </c>
      <c r="E642" s="6" t="n">
        <f aca="false">ROUND($F$2*(A642+1)^2.4*1.004^A642,0)</f>
        <v>4797806498</v>
      </c>
      <c r="F642" s="6" t="n">
        <f aca="false">ROUND(Building_Levels!$I$2*(A642+1)^1.9*1.003^A642,2)</f>
        <v>621.32</v>
      </c>
      <c r="G642" s="6" t="n">
        <f aca="false">ROUND((A642+1)^1.12,1)</f>
        <v>1384.8</v>
      </c>
    </row>
    <row r="643" customFormat="false" ht="15" hidden="false" customHeight="true" outlineLevel="0" collapsed="false">
      <c r="A643" s="6" t="n">
        <v>638</v>
      </c>
      <c r="B643" s="6" t="n">
        <f aca="false">MIN(42, FLOOR(A643/32,1)+1)</f>
        <v>20</v>
      </c>
      <c r="C643" s="6" t="n">
        <f aca="false">ROUND($B$2*(A643+1)^2.4*1.004^A643,0)</f>
        <v>6216605970</v>
      </c>
      <c r="D643" s="6" t="n">
        <f aca="false">ROUND($D$2*(A643+1)^2.4*1.004^A643,0)</f>
        <v>5525871973</v>
      </c>
      <c r="E643" s="6" t="n">
        <f aca="false">ROUND($F$2*(A643+1)^2.4*1.004^A643,0)</f>
        <v>4835137977</v>
      </c>
      <c r="F643" s="6" t="n">
        <f aca="false">ROUND(Building_Levels!$I$2*(A643+1)^1.9*1.003^A643,2)</f>
        <v>625.04</v>
      </c>
      <c r="G643" s="6" t="n">
        <f aca="false">ROUND((A643+1)^1.12,1)</f>
        <v>1387.3</v>
      </c>
    </row>
    <row r="644" customFormat="false" ht="15" hidden="false" customHeight="true" outlineLevel="0" collapsed="false">
      <c r="A644" s="6" t="n">
        <v>639</v>
      </c>
      <c r="B644" s="6" t="n">
        <f aca="false">MIN(42, FLOOR(A644/32,1)+1)</f>
        <v>20</v>
      </c>
      <c r="C644" s="6" t="n">
        <f aca="false">ROUND($B$2*(A644+1)^2.4*1.004^A644,0)</f>
        <v>6264940229</v>
      </c>
      <c r="D644" s="6" t="n">
        <f aca="false">ROUND($D$2*(A644+1)^2.4*1.004^A644,0)</f>
        <v>5568835759</v>
      </c>
      <c r="E644" s="6" t="n">
        <f aca="false">ROUND($F$2*(A644+1)^2.4*1.004^A644,0)</f>
        <v>4872731289</v>
      </c>
      <c r="F644" s="6" t="n">
        <f aca="false">ROUND(Building_Levels!$I$2*(A644+1)^1.9*1.003^A644,2)</f>
        <v>628.78</v>
      </c>
      <c r="G644" s="6" t="n">
        <f aca="false">ROUND((A644+1)^1.12,1)</f>
        <v>1389.7</v>
      </c>
    </row>
    <row r="645" customFormat="false" ht="15" hidden="false" customHeight="true" outlineLevel="0" collapsed="false">
      <c r="A645" s="6" t="n">
        <v>640</v>
      </c>
      <c r="B645" s="6" t="n">
        <f aca="false">MIN(42, FLOOR(A645/32,1)+1)</f>
        <v>21</v>
      </c>
      <c r="C645" s="6" t="n">
        <f aca="false">ROUND($B$2*(A645+1)^2.4*1.004^A645,0)</f>
        <v>6313613294</v>
      </c>
      <c r="D645" s="6" t="n">
        <f aca="false">ROUND($D$2*(A645+1)^2.4*1.004^A645,0)</f>
        <v>5612100706</v>
      </c>
      <c r="E645" s="6" t="n">
        <f aca="false">ROUND($F$2*(A645+1)^2.4*1.004^A645,0)</f>
        <v>4910588118</v>
      </c>
      <c r="F645" s="6" t="n">
        <f aca="false">ROUND(Building_Levels!$I$2*(A645+1)^1.9*1.003^A645,2)</f>
        <v>632.54</v>
      </c>
      <c r="G645" s="6" t="n">
        <f aca="false">ROUND((A645+1)^1.12,1)</f>
        <v>1392.1</v>
      </c>
    </row>
    <row r="646" customFormat="false" ht="15" hidden="false" customHeight="true" outlineLevel="0" collapsed="false">
      <c r="A646" s="6" t="n">
        <v>641</v>
      </c>
      <c r="B646" s="6" t="n">
        <f aca="false">MIN(42, FLOOR(A646/32,1)+1)</f>
        <v>21</v>
      </c>
      <c r="C646" s="6" t="n">
        <f aca="false">ROUND($B$2*(A646+1)^2.4*1.004^A646,0)</f>
        <v>6362627341</v>
      </c>
      <c r="D646" s="6" t="n">
        <f aca="false">ROUND($D$2*(A646+1)^2.4*1.004^A646,0)</f>
        <v>5655668748</v>
      </c>
      <c r="E646" s="6" t="n">
        <f aca="false">ROUND($F$2*(A646+1)^2.4*1.004^A646,0)</f>
        <v>4948710154</v>
      </c>
      <c r="F646" s="6" t="n">
        <f aca="false">ROUND(Building_Levels!$I$2*(A646+1)^1.9*1.003^A646,2)</f>
        <v>636.32</v>
      </c>
      <c r="G646" s="6" t="n">
        <f aca="false">ROUND((A646+1)^1.12,1)</f>
        <v>1394.6</v>
      </c>
    </row>
    <row r="647" customFormat="false" ht="15" hidden="false" customHeight="true" outlineLevel="0" collapsed="false">
      <c r="A647" s="6" t="n">
        <v>642</v>
      </c>
      <c r="B647" s="6" t="n">
        <f aca="false">MIN(42, FLOOR(A647/32,1)+1)</f>
        <v>21</v>
      </c>
      <c r="C647" s="6" t="n">
        <f aca="false">ROUND($B$2*(A647+1)^2.4*1.004^A647,0)</f>
        <v>6411984559</v>
      </c>
      <c r="D647" s="6" t="n">
        <f aca="false">ROUND($D$2*(A647+1)^2.4*1.004^A647,0)</f>
        <v>5699541830</v>
      </c>
      <c r="E647" s="6" t="n">
        <f aca="false">ROUND($F$2*(A647+1)^2.4*1.004^A647,0)</f>
        <v>4987099101</v>
      </c>
      <c r="F647" s="6" t="n">
        <f aca="false">ROUND(Building_Levels!$I$2*(A647+1)^1.9*1.003^A647,2)</f>
        <v>640.12</v>
      </c>
      <c r="G647" s="6" t="n">
        <f aca="false">ROUND((A647+1)^1.12,1)</f>
        <v>1397</v>
      </c>
    </row>
    <row r="648" customFormat="false" ht="15" hidden="false" customHeight="true" outlineLevel="0" collapsed="false">
      <c r="A648" s="6" t="n">
        <v>643</v>
      </c>
      <c r="B648" s="6" t="n">
        <f aca="false">MIN(42, FLOOR(A648/32,1)+1)</f>
        <v>21</v>
      </c>
      <c r="C648" s="6" t="n">
        <f aca="false">ROUND($B$2*(A648+1)^2.4*1.004^A648,0)</f>
        <v>6461687149</v>
      </c>
      <c r="D648" s="6" t="n">
        <f aca="false">ROUND($D$2*(A648+1)^2.4*1.004^A648,0)</f>
        <v>5743721911</v>
      </c>
      <c r="E648" s="6" t="n">
        <f aca="false">ROUND($F$2*(A648+1)^2.4*1.004^A648,0)</f>
        <v>5025756672</v>
      </c>
      <c r="F648" s="6" t="n">
        <f aca="false">ROUND(Building_Levels!$I$2*(A648+1)^1.9*1.003^A648,2)</f>
        <v>643.94</v>
      </c>
      <c r="G648" s="6" t="n">
        <f aca="false">ROUND((A648+1)^1.12,1)</f>
        <v>1399.4</v>
      </c>
    </row>
    <row r="649" customFormat="false" ht="15" hidden="false" customHeight="true" outlineLevel="0" collapsed="false">
      <c r="A649" s="6" t="n">
        <v>644</v>
      </c>
      <c r="B649" s="6" t="n">
        <f aca="false">MIN(42, FLOOR(A649/32,1)+1)</f>
        <v>21</v>
      </c>
      <c r="C649" s="6" t="n">
        <f aca="false">ROUND($B$2*(A649+1)^2.4*1.004^A649,0)</f>
        <v>6511737328</v>
      </c>
      <c r="D649" s="6" t="n">
        <f aca="false">ROUND($D$2*(A649+1)^2.4*1.004^A649,0)</f>
        <v>5788210958</v>
      </c>
      <c r="E649" s="6" t="n">
        <f aca="false">ROUND($F$2*(A649+1)^2.4*1.004^A649,0)</f>
        <v>5064684588</v>
      </c>
      <c r="F649" s="6" t="n">
        <f aca="false">ROUND(Building_Levels!$I$2*(A649+1)^1.9*1.003^A649,2)</f>
        <v>647.78</v>
      </c>
      <c r="G649" s="6" t="n">
        <f aca="false">ROUND((A649+1)^1.12,1)</f>
        <v>1401.9</v>
      </c>
    </row>
    <row r="650" customFormat="false" ht="15" hidden="false" customHeight="true" outlineLevel="0" collapsed="false">
      <c r="A650" s="6" t="n">
        <v>645</v>
      </c>
      <c r="B650" s="6" t="n">
        <f aca="false">MIN(42, FLOOR(A650/32,1)+1)</f>
        <v>21</v>
      </c>
      <c r="C650" s="6" t="n">
        <f aca="false">ROUND($B$2*(A650+1)^2.4*1.004^A650,0)</f>
        <v>6562137323</v>
      </c>
      <c r="D650" s="6" t="n">
        <f aca="false">ROUND($D$2*(A650+1)^2.4*1.004^A650,0)</f>
        <v>5833010954</v>
      </c>
      <c r="E650" s="6" t="n">
        <f aca="false">ROUND($F$2*(A650+1)^2.4*1.004^A650,0)</f>
        <v>5103884585</v>
      </c>
      <c r="F650" s="6" t="n">
        <f aca="false">ROUND(Building_Levels!$I$2*(A650+1)^1.9*1.003^A650,2)</f>
        <v>651.64</v>
      </c>
      <c r="G650" s="6" t="n">
        <f aca="false">ROUND((A650+1)^1.12,1)</f>
        <v>1404.3</v>
      </c>
    </row>
    <row r="651" customFormat="false" ht="15" hidden="false" customHeight="true" outlineLevel="0" collapsed="false">
      <c r="A651" s="6" t="n">
        <v>646</v>
      </c>
      <c r="B651" s="6" t="n">
        <f aca="false">MIN(42, FLOOR(A651/32,1)+1)</f>
        <v>21</v>
      </c>
      <c r="C651" s="6" t="n">
        <f aca="false">ROUND($B$2*(A651+1)^2.4*1.004^A651,0)</f>
        <v>6612889376</v>
      </c>
      <c r="D651" s="6" t="n">
        <f aca="false">ROUND($D$2*(A651+1)^2.4*1.004^A651,0)</f>
        <v>5878123890</v>
      </c>
      <c r="E651" s="6" t="n">
        <f aca="false">ROUND($F$2*(A651+1)^2.4*1.004^A651,0)</f>
        <v>5143358404</v>
      </c>
      <c r="F651" s="6" t="n">
        <f aca="false">ROUND(Building_Levels!$I$2*(A651+1)^1.9*1.003^A651,2)</f>
        <v>655.51</v>
      </c>
      <c r="G651" s="6" t="n">
        <f aca="false">ROUND((A651+1)^1.12,1)</f>
        <v>1406.7</v>
      </c>
    </row>
    <row r="652" customFormat="false" ht="15" hidden="false" customHeight="true" outlineLevel="0" collapsed="false">
      <c r="A652" s="6" t="n">
        <v>647</v>
      </c>
      <c r="B652" s="6" t="n">
        <f aca="false">MIN(42, FLOOR(A652/32,1)+1)</f>
        <v>21</v>
      </c>
      <c r="C652" s="6" t="n">
        <f aca="false">ROUND($B$2*(A652+1)^2.4*1.004^A652,0)</f>
        <v>6663995743</v>
      </c>
      <c r="D652" s="6" t="n">
        <f aca="false">ROUND($D$2*(A652+1)^2.4*1.004^A652,0)</f>
        <v>5923551771</v>
      </c>
      <c r="E652" s="6" t="n">
        <f aca="false">ROUND($F$2*(A652+1)^2.4*1.004^A652,0)</f>
        <v>5183107800</v>
      </c>
      <c r="F652" s="6" t="n">
        <f aca="false">ROUND(Building_Levels!$I$2*(A652+1)^1.9*1.003^A652,2)</f>
        <v>659.41</v>
      </c>
      <c r="G652" s="6" t="n">
        <f aca="false">ROUND((A652+1)^1.12,1)</f>
        <v>1409.2</v>
      </c>
    </row>
    <row r="653" customFormat="false" ht="15" hidden="false" customHeight="true" outlineLevel="0" collapsed="false">
      <c r="A653" s="6" t="n">
        <v>648</v>
      </c>
      <c r="B653" s="6" t="n">
        <f aca="false">MIN(42, FLOOR(A653/32,1)+1)</f>
        <v>21</v>
      </c>
      <c r="C653" s="6" t="n">
        <f aca="false">ROUND($B$2*(A653+1)^2.4*1.004^A653,0)</f>
        <v>6715458692</v>
      </c>
      <c r="D653" s="6" t="n">
        <f aca="false">ROUND($D$2*(A653+1)^2.4*1.004^A653,0)</f>
        <v>5969296615</v>
      </c>
      <c r="E653" s="6" t="n">
        <f aca="false">ROUND($F$2*(A653+1)^2.4*1.004^A653,0)</f>
        <v>5223134538</v>
      </c>
      <c r="F653" s="6" t="n">
        <f aca="false">ROUND(Building_Levels!$I$2*(A653+1)^1.9*1.003^A653,2)</f>
        <v>663.33</v>
      </c>
      <c r="G653" s="6" t="n">
        <f aca="false">ROUND((A653+1)^1.12,1)</f>
        <v>1411.6</v>
      </c>
    </row>
    <row r="654" customFormat="false" ht="15" hidden="false" customHeight="true" outlineLevel="0" collapsed="false">
      <c r="A654" s="6" t="n">
        <v>649</v>
      </c>
      <c r="B654" s="6" t="n">
        <f aca="false">MIN(42, FLOOR(A654/32,1)+1)</f>
        <v>21</v>
      </c>
      <c r="C654" s="6" t="n">
        <f aca="false">ROUND($B$2*(A654+1)^2.4*1.004^A654,0)</f>
        <v>6767280505</v>
      </c>
      <c r="D654" s="6" t="n">
        <f aca="false">ROUND($D$2*(A654+1)^2.4*1.004^A654,0)</f>
        <v>6015360449</v>
      </c>
      <c r="E654" s="6" t="n">
        <f aca="false">ROUND($F$2*(A654+1)^2.4*1.004^A654,0)</f>
        <v>5263440393</v>
      </c>
      <c r="F654" s="6" t="n">
        <f aca="false">ROUND(Building_Levels!$I$2*(A654+1)^1.9*1.003^A654,2)</f>
        <v>667.27</v>
      </c>
      <c r="G654" s="6" t="n">
        <f aca="false">ROUND((A654+1)^1.12,1)</f>
        <v>1414</v>
      </c>
    </row>
    <row r="655" customFormat="false" ht="15" hidden="false" customHeight="true" outlineLevel="0" collapsed="false">
      <c r="A655" s="6" t="n">
        <v>650</v>
      </c>
      <c r="B655" s="6" t="n">
        <f aca="false">MIN(42, FLOOR(A655/32,1)+1)</f>
        <v>21</v>
      </c>
      <c r="C655" s="6" t="n">
        <f aca="false">ROUND($B$2*(A655+1)^2.4*1.004^A655,0)</f>
        <v>6819463478</v>
      </c>
      <c r="D655" s="6" t="n">
        <f aca="false">ROUND($D$2*(A655+1)^2.4*1.004^A655,0)</f>
        <v>6061745314</v>
      </c>
      <c r="E655" s="6" t="n">
        <f aca="false">ROUND($F$2*(A655+1)^2.4*1.004^A655,0)</f>
        <v>5304027150</v>
      </c>
      <c r="F655" s="6" t="n">
        <f aca="false">ROUND(Building_Levels!$I$2*(A655+1)^1.9*1.003^A655,2)</f>
        <v>671.23</v>
      </c>
      <c r="G655" s="6" t="n">
        <f aca="false">ROUND((A655+1)^1.12,1)</f>
        <v>1416.5</v>
      </c>
    </row>
    <row r="656" customFormat="false" ht="15" hidden="false" customHeight="true" outlineLevel="0" collapsed="false">
      <c r="A656" s="6" t="n">
        <v>651</v>
      </c>
      <c r="B656" s="6" t="n">
        <f aca="false">MIN(42, FLOOR(A656/32,1)+1)</f>
        <v>21</v>
      </c>
      <c r="C656" s="6" t="n">
        <f aca="false">ROUND($B$2*(A656+1)^2.4*1.004^A656,0)</f>
        <v>6872009922</v>
      </c>
      <c r="D656" s="6" t="n">
        <f aca="false">ROUND($D$2*(A656+1)^2.4*1.004^A656,0)</f>
        <v>6108453264</v>
      </c>
      <c r="E656" s="6" t="n">
        <f aca="false">ROUND($F$2*(A656+1)^2.4*1.004^A656,0)</f>
        <v>5344896606</v>
      </c>
      <c r="F656" s="6" t="n">
        <f aca="false">ROUND(Building_Levels!$I$2*(A656+1)^1.9*1.003^A656,2)</f>
        <v>675.21</v>
      </c>
      <c r="G656" s="6" t="n">
        <f aca="false">ROUND((A656+1)^1.12,1)</f>
        <v>1418.9</v>
      </c>
    </row>
    <row r="657" customFormat="false" ht="15" hidden="false" customHeight="true" outlineLevel="0" collapsed="false">
      <c r="A657" s="6" t="n">
        <v>652</v>
      </c>
      <c r="B657" s="6" t="n">
        <f aca="false">MIN(42, FLOOR(A657/32,1)+1)</f>
        <v>21</v>
      </c>
      <c r="C657" s="6" t="n">
        <f aca="false">ROUND($B$2*(A657+1)^2.4*1.004^A657,0)</f>
        <v>6924922159</v>
      </c>
      <c r="D657" s="6" t="n">
        <f aca="false">ROUND($D$2*(A657+1)^2.4*1.004^A657,0)</f>
        <v>6155486363</v>
      </c>
      <c r="E657" s="6" t="n">
        <f aca="false">ROUND($F$2*(A657+1)^2.4*1.004^A657,0)</f>
        <v>5386050568</v>
      </c>
      <c r="F657" s="6" t="n">
        <f aca="false">ROUND(Building_Levels!$I$2*(A657+1)^1.9*1.003^A657,2)</f>
        <v>679.21</v>
      </c>
      <c r="G657" s="6" t="n">
        <f aca="false">ROUND((A657+1)^1.12,1)</f>
        <v>1421.4</v>
      </c>
    </row>
    <row r="658" customFormat="false" ht="15" hidden="false" customHeight="true" outlineLevel="0" collapsed="false">
      <c r="A658" s="6" t="n">
        <v>653</v>
      </c>
      <c r="B658" s="6" t="n">
        <f aca="false">MIN(42, FLOOR(A658/32,1)+1)</f>
        <v>21</v>
      </c>
      <c r="C658" s="6" t="n">
        <f aca="false">ROUND($B$2*(A658+1)^2.4*1.004^A658,0)</f>
        <v>6978202526</v>
      </c>
      <c r="D658" s="6" t="n">
        <f aca="false">ROUND($D$2*(A658+1)^2.4*1.004^A658,0)</f>
        <v>6202846690</v>
      </c>
      <c r="E658" s="6" t="n">
        <f aca="false">ROUND($F$2*(A658+1)^2.4*1.004^A658,0)</f>
        <v>5427490854</v>
      </c>
      <c r="F658" s="6" t="n">
        <f aca="false">ROUND(Building_Levels!$I$2*(A658+1)^1.9*1.003^A658,2)</f>
        <v>683.23</v>
      </c>
      <c r="G658" s="6" t="n">
        <f aca="false">ROUND((A658+1)^1.12,1)</f>
        <v>1423.8</v>
      </c>
    </row>
    <row r="659" customFormat="false" ht="15" hidden="false" customHeight="true" outlineLevel="0" collapsed="false">
      <c r="A659" s="6" t="n">
        <v>654</v>
      </c>
      <c r="B659" s="6" t="n">
        <f aca="false">MIN(42, FLOOR(A659/32,1)+1)</f>
        <v>21</v>
      </c>
      <c r="C659" s="6" t="n">
        <f aca="false">ROUND($B$2*(A659+1)^2.4*1.004^A659,0)</f>
        <v>7031853376</v>
      </c>
      <c r="D659" s="6" t="n">
        <f aca="false">ROUND($D$2*(A659+1)^2.4*1.004^A659,0)</f>
        <v>6250536334</v>
      </c>
      <c r="E659" s="6" t="n">
        <f aca="false">ROUND($F$2*(A659+1)^2.4*1.004^A659,0)</f>
        <v>5469219292</v>
      </c>
      <c r="F659" s="6" t="n">
        <f aca="false">ROUND(Building_Levels!$I$2*(A659+1)^1.9*1.003^A659,2)</f>
        <v>687.27</v>
      </c>
      <c r="G659" s="6" t="n">
        <f aca="false">ROUND((A659+1)^1.12,1)</f>
        <v>1426.2</v>
      </c>
    </row>
    <row r="660" customFormat="false" ht="15" hidden="false" customHeight="true" outlineLevel="0" collapsed="false">
      <c r="A660" s="6" t="n">
        <v>655</v>
      </c>
      <c r="B660" s="6" t="n">
        <f aca="false">MIN(42, FLOOR(A660/32,1)+1)</f>
        <v>21</v>
      </c>
      <c r="C660" s="6" t="n">
        <f aca="false">ROUND($B$2*(A660+1)^2.4*1.004^A660,0)</f>
        <v>7085877073</v>
      </c>
      <c r="D660" s="6" t="n">
        <f aca="false">ROUND($D$2*(A660+1)^2.4*1.004^A660,0)</f>
        <v>6298557398</v>
      </c>
      <c r="E660" s="6" t="n">
        <f aca="false">ROUND($F$2*(A660+1)^2.4*1.004^A660,0)</f>
        <v>5511237723</v>
      </c>
      <c r="F660" s="6" t="n">
        <f aca="false">ROUND(Building_Levels!$I$2*(A660+1)^1.9*1.003^A660,2)</f>
        <v>691.34</v>
      </c>
      <c r="G660" s="6" t="n">
        <f aca="false">ROUND((A660+1)^1.12,1)</f>
        <v>1428.7</v>
      </c>
    </row>
    <row r="661" customFormat="false" ht="15" hidden="false" customHeight="true" outlineLevel="0" collapsed="false">
      <c r="A661" s="6" t="n">
        <v>656</v>
      </c>
      <c r="B661" s="6" t="n">
        <f aca="false">MIN(42, FLOOR(A661/32,1)+1)</f>
        <v>21</v>
      </c>
      <c r="C661" s="6" t="n">
        <f aca="false">ROUND($B$2*(A661+1)^2.4*1.004^A661,0)</f>
        <v>7140275996</v>
      </c>
      <c r="D661" s="6" t="n">
        <f aca="false">ROUND($D$2*(A661+1)^2.4*1.004^A661,0)</f>
        <v>6346911997</v>
      </c>
      <c r="E661" s="6" t="n">
        <f aca="false">ROUND($F$2*(A661+1)^2.4*1.004^A661,0)</f>
        <v>5553547997</v>
      </c>
      <c r="F661" s="6" t="n">
        <f aca="false">ROUND(Building_Levels!$I$2*(A661+1)^1.9*1.003^A661,2)</f>
        <v>695.42</v>
      </c>
      <c r="G661" s="6" t="n">
        <f aca="false">ROUND((A661+1)^1.12,1)</f>
        <v>1431.1</v>
      </c>
    </row>
    <row r="662" customFormat="false" ht="15" hidden="false" customHeight="true" outlineLevel="0" collapsed="false">
      <c r="A662" s="6" t="n">
        <v>657</v>
      </c>
      <c r="B662" s="6" t="n">
        <f aca="false">MIN(42, FLOOR(A662/32,1)+1)</f>
        <v>21</v>
      </c>
      <c r="C662" s="6" t="n">
        <f aca="false">ROUND($B$2*(A662+1)^2.4*1.004^A662,0)</f>
        <v>7195052540</v>
      </c>
      <c r="D662" s="6" t="n">
        <f aca="false">ROUND($D$2*(A662+1)^2.4*1.004^A662,0)</f>
        <v>6395602258</v>
      </c>
      <c r="E662" s="6" t="n">
        <f aca="false">ROUND($F$2*(A662+1)^2.4*1.004^A662,0)</f>
        <v>5596151976</v>
      </c>
      <c r="F662" s="6" t="n">
        <f aca="false">ROUND(Building_Levels!$I$2*(A662+1)^1.9*1.003^A662,2)</f>
        <v>699.53</v>
      </c>
      <c r="G662" s="6" t="n">
        <f aca="false">ROUND((A662+1)^1.12,1)</f>
        <v>1433.6</v>
      </c>
    </row>
    <row r="663" customFormat="false" ht="15" hidden="false" customHeight="true" outlineLevel="0" collapsed="false">
      <c r="A663" s="6" t="n">
        <v>658</v>
      </c>
      <c r="B663" s="6" t="n">
        <f aca="false">MIN(42, FLOOR(A663/32,1)+1)</f>
        <v>21</v>
      </c>
      <c r="C663" s="6" t="n">
        <f aca="false">ROUND($B$2*(A663+1)^2.4*1.004^A663,0)</f>
        <v>7250209112</v>
      </c>
      <c r="D663" s="6" t="n">
        <f aca="false">ROUND($D$2*(A663+1)^2.4*1.004^A663,0)</f>
        <v>6444630322</v>
      </c>
      <c r="E663" s="6" t="n">
        <f aca="false">ROUND($F$2*(A663+1)^2.4*1.004^A663,0)</f>
        <v>5639051532</v>
      </c>
      <c r="F663" s="6" t="n">
        <f aca="false">ROUND(Building_Levels!$I$2*(A663+1)^1.9*1.003^A663,2)</f>
        <v>703.65</v>
      </c>
      <c r="G663" s="6" t="n">
        <f aca="false">ROUND((A663+1)^1.12,1)</f>
        <v>1436</v>
      </c>
    </row>
    <row r="664" customFormat="false" ht="15" hidden="false" customHeight="true" outlineLevel="0" collapsed="false">
      <c r="A664" s="6" t="n">
        <v>659</v>
      </c>
      <c r="B664" s="6" t="n">
        <f aca="false">MIN(42, FLOOR(A664/32,1)+1)</f>
        <v>21</v>
      </c>
      <c r="C664" s="6" t="n">
        <f aca="false">ROUND($B$2*(A664+1)^2.4*1.004^A664,0)</f>
        <v>7305748135</v>
      </c>
      <c r="D664" s="6" t="n">
        <f aca="false">ROUND($D$2*(A664+1)^2.4*1.004^A664,0)</f>
        <v>6493998342</v>
      </c>
      <c r="E664" s="6" t="n">
        <f aca="false">ROUND($F$2*(A664+1)^2.4*1.004^A664,0)</f>
        <v>5682248549</v>
      </c>
      <c r="F664" s="6" t="n">
        <f aca="false">ROUND(Building_Levels!$I$2*(A664+1)^1.9*1.003^A664,2)</f>
        <v>707.8</v>
      </c>
      <c r="G664" s="6" t="n">
        <f aca="false">ROUND((A664+1)^1.12,1)</f>
        <v>1438.4</v>
      </c>
    </row>
    <row r="665" customFormat="false" ht="15" hidden="false" customHeight="true" outlineLevel="0" collapsed="false">
      <c r="A665" s="6" t="n">
        <v>660</v>
      </c>
      <c r="B665" s="6" t="n">
        <f aca="false">MIN(42, FLOOR(A665/32,1)+1)</f>
        <v>21</v>
      </c>
      <c r="C665" s="6" t="n">
        <f aca="false">ROUND($B$2*(A665+1)^2.4*1.004^A665,0)</f>
        <v>7361672045</v>
      </c>
      <c r="D665" s="6" t="n">
        <f aca="false">ROUND($D$2*(A665+1)^2.4*1.004^A665,0)</f>
        <v>6543708484</v>
      </c>
      <c r="E665" s="6" t="n">
        <f aca="false">ROUND($F$2*(A665+1)^2.4*1.004^A665,0)</f>
        <v>5725744924</v>
      </c>
      <c r="F665" s="6" t="n">
        <f aca="false">ROUND(Building_Levels!$I$2*(A665+1)^1.9*1.003^A665,2)</f>
        <v>711.97</v>
      </c>
      <c r="G665" s="6" t="n">
        <f aca="false">ROUND((A665+1)^1.12,1)</f>
        <v>1440.9</v>
      </c>
    </row>
    <row r="666" customFormat="false" ht="15" hidden="false" customHeight="true" outlineLevel="0" collapsed="false">
      <c r="A666" s="6" t="n">
        <v>661</v>
      </c>
      <c r="B666" s="6" t="n">
        <f aca="false">MIN(42, FLOOR(A666/32,1)+1)</f>
        <v>21</v>
      </c>
      <c r="C666" s="6" t="n">
        <f aca="false">ROUND($B$2*(A666+1)^2.4*1.004^A666,0)</f>
        <v>7417983293</v>
      </c>
      <c r="D666" s="6" t="n">
        <f aca="false">ROUND($D$2*(A666+1)^2.4*1.004^A666,0)</f>
        <v>6593762927</v>
      </c>
      <c r="E666" s="6" t="n">
        <f aca="false">ROUND($F$2*(A666+1)^2.4*1.004^A666,0)</f>
        <v>5769542561</v>
      </c>
      <c r="F666" s="6" t="n">
        <f aca="false">ROUND(Building_Levels!$I$2*(A666+1)^1.9*1.003^A666,2)</f>
        <v>716.16</v>
      </c>
      <c r="G666" s="6" t="n">
        <f aca="false">ROUND((A666+1)^1.12,1)</f>
        <v>1443.3</v>
      </c>
    </row>
    <row r="667" customFormat="false" ht="15" hidden="false" customHeight="true" outlineLevel="0" collapsed="false">
      <c r="A667" s="6" t="n">
        <v>662</v>
      </c>
      <c r="B667" s="6" t="n">
        <f aca="false">MIN(42, FLOOR(A667/32,1)+1)</f>
        <v>21</v>
      </c>
      <c r="C667" s="6" t="n">
        <f aca="false">ROUND($B$2*(A667+1)^2.4*1.004^A667,0)</f>
        <v>7474684345</v>
      </c>
      <c r="D667" s="6" t="n">
        <f aca="false">ROUND($D$2*(A667+1)^2.4*1.004^A667,0)</f>
        <v>6644163862</v>
      </c>
      <c r="E667" s="6" t="n">
        <f aca="false">ROUND($F$2*(A667+1)^2.4*1.004^A667,0)</f>
        <v>5813643379</v>
      </c>
      <c r="F667" s="6" t="n">
        <f aca="false">ROUND(Building_Levels!$I$2*(A667+1)^1.9*1.003^A667,2)</f>
        <v>720.37</v>
      </c>
      <c r="G667" s="6" t="n">
        <f aca="false">ROUND((A667+1)^1.12,1)</f>
        <v>1445.8</v>
      </c>
    </row>
    <row r="668" customFormat="false" ht="15" hidden="false" customHeight="true" outlineLevel="0" collapsed="false">
      <c r="A668" s="6" t="n">
        <v>663</v>
      </c>
      <c r="B668" s="6" t="n">
        <f aca="false">MIN(42, FLOOR(A668/32,1)+1)</f>
        <v>21</v>
      </c>
      <c r="C668" s="6" t="n">
        <f aca="false">ROUND($B$2*(A668+1)^2.4*1.004^A668,0)</f>
        <v>7531777682</v>
      </c>
      <c r="D668" s="6" t="n">
        <f aca="false">ROUND($D$2*(A668+1)^2.4*1.004^A668,0)</f>
        <v>6694913495</v>
      </c>
      <c r="E668" s="6" t="n">
        <f aca="false">ROUND($F$2*(A668+1)^2.4*1.004^A668,0)</f>
        <v>5858049308</v>
      </c>
      <c r="F668" s="6" t="n">
        <f aca="false">ROUND(Building_Levels!$I$2*(A668+1)^1.9*1.003^A668,2)</f>
        <v>724.6</v>
      </c>
      <c r="G668" s="6" t="n">
        <f aca="false">ROUND((A668+1)^1.12,1)</f>
        <v>1448.2</v>
      </c>
    </row>
    <row r="669" customFormat="false" ht="15" hidden="false" customHeight="true" outlineLevel="0" collapsed="false">
      <c r="A669" s="6" t="n">
        <v>664</v>
      </c>
      <c r="B669" s="6" t="n">
        <f aca="false">MIN(42, FLOOR(A669/32,1)+1)</f>
        <v>21</v>
      </c>
      <c r="C669" s="6" t="n">
        <f aca="false">ROUND($B$2*(A669+1)^2.4*1.004^A669,0)</f>
        <v>7589265798</v>
      </c>
      <c r="D669" s="6" t="n">
        <f aca="false">ROUND($D$2*(A669+1)^2.4*1.004^A669,0)</f>
        <v>6746014043</v>
      </c>
      <c r="E669" s="6" t="n">
        <f aca="false">ROUND($F$2*(A669+1)^2.4*1.004^A669,0)</f>
        <v>5902762287</v>
      </c>
      <c r="F669" s="6" t="n">
        <f aca="false">ROUND(Building_Levels!$I$2*(A669+1)^1.9*1.003^A669,2)</f>
        <v>728.86</v>
      </c>
      <c r="G669" s="6" t="n">
        <f aca="false">ROUND((A669+1)^1.12,1)</f>
        <v>1450.6</v>
      </c>
    </row>
    <row r="670" customFormat="false" ht="15" hidden="false" customHeight="true" outlineLevel="0" collapsed="false">
      <c r="A670" s="6" t="n">
        <v>665</v>
      </c>
      <c r="B670" s="6" t="n">
        <f aca="false">MIN(42, FLOOR(A670/32,1)+1)</f>
        <v>21</v>
      </c>
      <c r="C670" s="6" t="n">
        <f aca="false">ROUND($B$2*(A670+1)^2.4*1.004^A670,0)</f>
        <v>7647151205</v>
      </c>
      <c r="D670" s="6" t="n">
        <f aca="false">ROUND($D$2*(A670+1)^2.4*1.004^A670,0)</f>
        <v>6797467737</v>
      </c>
      <c r="E670" s="6" t="n">
        <f aca="false">ROUND($F$2*(A670+1)^2.4*1.004^A670,0)</f>
        <v>5947784270</v>
      </c>
      <c r="F670" s="6" t="n">
        <f aca="false">ROUND(Building_Levels!$I$2*(A670+1)^1.9*1.003^A670,2)</f>
        <v>733.13</v>
      </c>
      <c r="G670" s="6" t="n">
        <f aca="false">ROUND((A670+1)^1.12,1)</f>
        <v>1453.1</v>
      </c>
    </row>
    <row r="671" customFormat="false" ht="15" hidden="false" customHeight="true" outlineLevel="0" collapsed="false">
      <c r="A671" s="6" t="n">
        <v>666</v>
      </c>
      <c r="B671" s="6" t="n">
        <f aca="false">MIN(42, FLOOR(A671/32,1)+1)</f>
        <v>21</v>
      </c>
      <c r="C671" s="6" t="n">
        <f aca="false">ROUND($B$2*(A671+1)^2.4*1.004^A671,0)</f>
        <v>7705436426</v>
      </c>
      <c r="D671" s="6" t="n">
        <f aca="false">ROUND($D$2*(A671+1)^2.4*1.004^A671,0)</f>
        <v>6849276823</v>
      </c>
      <c r="E671" s="6" t="n">
        <f aca="false">ROUND($F$2*(A671+1)^2.4*1.004^A671,0)</f>
        <v>5993117220</v>
      </c>
      <c r="F671" s="6" t="n">
        <f aca="false">ROUND(Building_Levels!$I$2*(A671+1)^1.9*1.003^A671,2)</f>
        <v>737.43</v>
      </c>
      <c r="G671" s="6" t="n">
        <f aca="false">ROUND((A671+1)^1.12,1)</f>
        <v>1455.5</v>
      </c>
    </row>
    <row r="672" customFormat="false" ht="15" hidden="false" customHeight="true" outlineLevel="0" collapsed="false">
      <c r="A672" s="6" t="n">
        <v>667</v>
      </c>
      <c r="B672" s="6" t="n">
        <f aca="false">MIN(42, FLOOR(A672/32,1)+1)</f>
        <v>21</v>
      </c>
      <c r="C672" s="6" t="n">
        <f aca="false">ROUND($B$2*(A672+1)^2.4*1.004^A672,0)</f>
        <v>7764124003</v>
      </c>
      <c r="D672" s="6" t="n">
        <f aca="false">ROUND($D$2*(A672+1)^2.4*1.004^A672,0)</f>
        <v>6901443558</v>
      </c>
      <c r="E672" s="6" t="n">
        <f aca="false">ROUND($F$2*(A672+1)^2.4*1.004^A672,0)</f>
        <v>6038763113</v>
      </c>
      <c r="F672" s="6" t="n">
        <f aca="false">ROUND(Building_Levels!$I$2*(A672+1)^1.9*1.003^A672,2)</f>
        <v>741.75</v>
      </c>
      <c r="G672" s="6" t="n">
        <f aca="false">ROUND((A672+1)^1.12,1)</f>
        <v>1458</v>
      </c>
    </row>
    <row r="673" customFormat="false" ht="15" hidden="false" customHeight="true" outlineLevel="0" collapsed="false">
      <c r="A673" s="6" t="n">
        <v>668</v>
      </c>
      <c r="B673" s="6" t="n">
        <f aca="false">MIN(42, FLOOR(A673/32,1)+1)</f>
        <v>21</v>
      </c>
      <c r="C673" s="6" t="n">
        <f aca="false">ROUND($B$2*(A673+1)^2.4*1.004^A673,0)</f>
        <v>7823216489</v>
      </c>
      <c r="D673" s="6" t="n">
        <f aca="false">ROUND($D$2*(A673+1)^2.4*1.004^A673,0)</f>
        <v>6953970213</v>
      </c>
      <c r="E673" s="6" t="n">
        <f aca="false">ROUND($F$2*(A673+1)^2.4*1.004^A673,0)</f>
        <v>6084723936</v>
      </c>
      <c r="F673" s="6" t="n">
        <f aca="false">ROUND(Building_Levels!$I$2*(A673+1)^1.9*1.003^A673,2)</f>
        <v>746.09</v>
      </c>
      <c r="G673" s="6" t="n">
        <f aca="false">ROUND((A673+1)^1.12,1)</f>
        <v>1460.4</v>
      </c>
    </row>
    <row r="674" customFormat="false" ht="15" hidden="false" customHeight="true" outlineLevel="0" collapsed="false">
      <c r="A674" s="6" t="n">
        <v>669</v>
      </c>
      <c r="B674" s="6" t="n">
        <f aca="false">MIN(42, FLOOR(A674/32,1)+1)</f>
        <v>21</v>
      </c>
      <c r="C674" s="6" t="n">
        <f aca="false">ROUND($B$2*(A674+1)^2.4*1.004^A674,0)</f>
        <v>7882716456</v>
      </c>
      <c r="D674" s="6" t="n">
        <f aca="false">ROUND($D$2*(A674+1)^2.4*1.004^A674,0)</f>
        <v>7006859072</v>
      </c>
      <c r="E674" s="6" t="n">
        <f aca="false">ROUND($F$2*(A674+1)^2.4*1.004^A674,0)</f>
        <v>6131001688</v>
      </c>
      <c r="F674" s="6" t="n">
        <f aca="false">ROUND(Building_Levels!$I$2*(A674+1)^1.9*1.003^A674,2)</f>
        <v>750.46</v>
      </c>
      <c r="G674" s="6" t="n">
        <f aca="false">ROUND((A674+1)^1.12,1)</f>
        <v>1462.9</v>
      </c>
    </row>
    <row r="675" customFormat="false" ht="15" hidden="false" customHeight="true" outlineLevel="0" collapsed="false">
      <c r="A675" s="6" t="n">
        <v>670</v>
      </c>
      <c r="B675" s="6" t="n">
        <f aca="false">MIN(42, FLOOR(A675/32,1)+1)</f>
        <v>21</v>
      </c>
      <c r="C675" s="6" t="n">
        <f aca="false">ROUND($B$2*(A675+1)^2.4*1.004^A675,0)</f>
        <v>7942626490</v>
      </c>
      <c r="D675" s="6" t="n">
        <f aca="false">ROUND($D$2*(A675+1)^2.4*1.004^A675,0)</f>
        <v>7060112435</v>
      </c>
      <c r="E675" s="6" t="n">
        <f aca="false">ROUND($F$2*(A675+1)^2.4*1.004^A675,0)</f>
        <v>6177598381</v>
      </c>
      <c r="F675" s="6" t="n">
        <f aca="false">ROUND(Building_Levels!$I$2*(A675+1)^1.9*1.003^A675,2)</f>
        <v>754.85</v>
      </c>
      <c r="G675" s="6" t="n">
        <f aca="false">ROUND((A675+1)^1.12,1)</f>
        <v>1465.3</v>
      </c>
    </row>
    <row r="676" customFormat="false" ht="15" hidden="false" customHeight="true" outlineLevel="0" collapsed="false">
      <c r="A676" s="6" t="n">
        <v>671</v>
      </c>
      <c r="B676" s="6" t="n">
        <f aca="false">MIN(42, FLOOR(A676/32,1)+1)</f>
        <v>21</v>
      </c>
      <c r="C676" s="6" t="n">
        <f aca="false">ROUND($B$2*(A676+1)^2.4*1.004^A676,0)</f>
        <v>8002949190</v>
      </c>
      <c r="D676" s="6" t="n">
        <f aca="false">ROUND($D$2*(A676+1)^2.4*1.004^A676,0)</f>
        <v>7113732613</v>
      </c>
      <c r="E676" s="6" t="n">
        <f aca="false">ROUND($F$2*(A676+1)^2.4*1.004^A676,0)</f>
        <v>6224516037</v>
      </c>
      <c r="F676" s="6" t="n">
        <f aca="false">ROUND(Building_Levels!$I$2*(A676+1)^1.9*1.003^A676,2)</f>
        <v>759.26</v>
      </c>
      <c r="G676" s="6" t="n">
        <f aca="false">ROUND((A676+1)^1.12,1)</f>
        <v>1467.8</v>
      </c>
    </row>
    <row r="677" customFormat="false" ht="15" hidden="false" customHeight="true" outlineLevel="0" collapsed="false">
      <c r="A677" s="6" t="n">
        <v>672</v>
      </c>
      <c r="B677" s="6" t="n">
        <f aca="false">MIN(42, FLOOR(A677/32,1)+1)</f>
        <v>22</v>
      </c>
      <c r="C677" s="6" t="n">
        <f aca="false">ROUND($B$2*(A677+1)^2.4*1.004^A677,0)</f>
        <v>8063687174</v>
      </c>
      <c r="D677" s="6" t="n">
        <f aca="false">ROUND($D$2*(A677+1)^2.4*1.004^A677,0)</f>
        <v>7167721932</v>
      </c>
      <c r="E677" s="6" t="n">
        <f aca="false">ROUND($F$2*(A677+1)^2.4*1.004^A677,0)</f>
        <v>6271756691</v>
      </c>
      <c r="F677" s="6" t="n">
        <f aca="false">ROUND(Building_Levels!$I$2*(A677+1)^1.9*1.003^A677,2)</f>
        <v>763.69</v>
      </c>
      <c r="G677" s="6" t="n">
        <f aca="false">ROUND((A677+1)^1.12,1)</f>
        <v>1470.2</v>
      </c>
    </row>
    <row r="678" customFormat="false" ht="15" hidden="false" customHeight="true" outlineLevel="0" collapsed="false">
      <c r="A678" s="6" t="n">
        <v>673</v>
      </c>
      <c r="B678" s="6" t="n">
        <f aca="false">MIN(42, FLOOR(A678/32,1)+1)</f>
        <v>22</v>
      </c>
      <c r="C678" s="6" t="n">
        <f aca="false">ROUND($B$2*(A678+1)^2.4*1.004^A678,0)</f>
        <v>8124843073</v>
      </c>
      <c r="D678" s="6" t="n">
        <f aca="false">ROUND($D$2*(A678+1)^2.4*1.004^A678,0)</f>
        <v>7222082732</v>
      </c>
      <c r="E678" s="6" t="n">
        <f aca="false">ROUND($F$2*(A678+1)^2.4*1.004^A678,0)</f>
        <v>6319322390</v>
      </c>
      <c r="F678" s="6" t="n">
        <f aca="false">ROUND(Building_Levels!$I$2*(A678+1)^1.9*1.003^A678,2)</f>
        <v>768.14</v>
      </c>
      <c r="G678" s="6" t="n">
        <f aca="false">ROUND((A678+1)^1.12,1)</f>
        <v>1472.6</v>
      </c>
    </row>
    <row r="679" customFormat="false" ht="15" hidden="false" customHeight="true" outlineLevel="0" collapsed="false">
      <c r="A679" s="6" t="n">
        <v>674</v>
      </c>
      <c r="B679" s="6" t="n">
        <f aca="false">MIN(42, FLOOR(A679/32,1)+1)</f>
        <v>22</v>
      </c>
      <c r="C679" s="6" t="n">
        <f aca="false">ROUND($B$2*(A679+1)^2.4*1.004^A679,0)</f>
        <v>8186419536</v>
      </c>
      <c r="D679" s="6" t="n">
        <f aca="false">ROUND($D$2*(A679+1)^2.4*1.004^A679,0)</f>
        <v>7276817365</v>
      </c>
      <c r="E679" s="6" t="n">
        <f aca="false">ROUND($F$2*(A679+1)^2.4*1.004^A679,0)</f>
        <v>6367215194</v>
      </c>
      <c r="F679" s="6" t="n">
        <f aca="false">ROUND(Building_Levels!$I$2*(A679+1)^1.9*1.003^A679,2)</f>
        <v>772.62</v>
      </c>
      <c r="G679" s="6" t="n">
        <f aca="false">ROUND((A679+1)^1.12,1)</f>
        <v>1475.1</v>
      </c>
    </row>
    <row r="680" customFormat="false" ht="15" hidden="false" customHeight="true" outlineLevel="0" collapsed="false">
      <c r="A680" s="6" t="n">
        <v>675</v>
      </c>
      <c r="B680" s="6" t="n">
        <f aca="false">MIN(42, FLOOR(A680/32,1)+1)</f>
        <v>22</v>
      </c>
      <c r="C680" s="6" t="n">
        <f aca="false">ROUND($B$2*(A680+1)^2.4*1.004^A680,0)</f>
        <v>8248419224</v>
      </c>
      <c r="D680" s="6" t="n">
        <f aca="false">ROUND($D$2*(A680+1)^2.4*1.004^A680,0)</f>
        <v>7331928199</v>
      </c>
      <c r="E680" s="6" t="n">
        <f aca="false">ROUND($F$2*(A680+1)^2.4*1.004^A680,0)</f>
        <v>6415437175</v>
      </c>
      <c r="F680" s="6" t="n">
        <f aca="false">ROUND(Building_Levels!$I$2*(A680+1)^1.9*1.003^A680,2)</f>
        <v>777.12</v>
      </c>
      <c r="G680" s="6" t="n">
        <f aca="false">ROUND((A680+1)^1.12,1)</f>
        <v>1477.5</v>
      </c>
    </row>
    <row r="681" customFormat="false" ht="15" hidden="false" customHeight="true" outlineLevel="0" collapsed="false">
      <c r="A681" s="6" t="n">
        <v>676</v>
      </c>
      <c r="B681" s="6" t="n">
        <f aca="false">MIN(42, FLOOR(A681/32,1)+1)</f>
        <v>22</v>
      </c>
      <c r="C681" s="6" t="n">
        <f aca="false">ROUND($B$2*(A681+1)^2.4*1.004^A681,0)</f>
        <v>8310844819</v>
      </c>
      <c r="D681" s="6" t="n">
        <f aca="false">ROUND($D$2*(A681+1)^2.4*1.004^A681,0)</f>
        <v>7387417616</v>
      </c>
      <c r="E681" s="6" t="n">
        <f aca="false">ROUND($F$2*(A681+1)^2.4*1.004^A681,0)</f>
        <v>6463990414</v>
      </c>
      <c r="F681" s="6" t="n">
        <f aca="false">ROUND(Building_Levels!$I$2*(A681+1)^1.9*1.003^A681,2)</f>
        <v>781.65</v>
      </c>
      <c r="G681" s="6" t="n">
        <f aca="false">ROUND((A681+1)^1.12,1)</f>
        <v>1480</v>
      </c>
    </row>
    <row r="682" customFormat="false" ht="15" hidden="false" customHeight="true" outlineLevel="0" collapsed="false">
      <c r="A682" s="6" t="n">
        <v>677</v>
      </c>
      <c r="B682" s="6" t="n">
        <f aca="false">MIN(42, FLOOR(A682/32,1)+1)</f>
        <v>22</v>
      </c>
      <c r="C682" s="6" t="n">
        <f aca="false">ROUND($B$2*(A682+1)^2.4*1.004^A682,0)</f>
        <v>8373699013</v>
      </c>
      <c r="D682" s="6" t="n">
        <f aca="false">ROUND($D$2*(A682+1)^2.4*1.004^A682,0)</f>
        <v>7443288012</v>
      </c>
      <c r="E682" s="6" t="n">
        <f aca="false">ROUND($F$2*(A682+1)^2.4*1.004^A682,0)</f>
        <v>6512877010</v>
      </c>
      <c r="F682" s="6" t="n">
        <f aca="false">ROUND(Building_Levels!$I$2*(A682+1)^1.9*1.003^A682,2)</f>
        <v>786.19</v>
      </c>
      <c r="G682" s="6" t="n">
        <f aca="false">ROUND((A682+1)^1.12,1)</f>
        <v>1482.4</v>
      </c>
    </row>
    <row r="683" customFormat="false" ht="15" hidden="false" customHeight="true" outlineLevel="0" collapsed="false">
      <c r="A683" s="6" t="n">
        <v>678</v>
      </c>
      <c r="B683" s="6" t="n">
        <f aca="false">MIN(42, FLOOR(A683/32,1)+1)</f>
        <v>22</v>
      </c>
      <c r="C683" s="6" t="n">
        <f aca="false">ROUND($B$2*(A683+1)^2.4*1.004^A683,0)</f>
        <v>8436984519</v>
      </c>
      <c r="D683" s="6" t="n">
        <f aca="false">ROUND($D$2*(A683+1)^2.4*1.004^A683,0)</f>
        <v>7499541795</v>
      </c>
      <c r="E683" s="6" t="n">
        <f aca="false">ROUND($F$2*(A683+1)^2.4*1.004^A683,0)</f>
        <v>6562099070</v>
      </c>
      <c r="F683" s="6" t="n">
        <f aca="false">ROUND(Building_Levels!$I$2*(A683+1)^1.9*1.003^A683,2)</f>
        <v>790.76</v>
      </c>
      <c r="G683" s="6" t="n">
        <f aca="false">ROUND((A683+1)^1.12,1)</f>
        <v>1484.9</v>
      </c>
    </row>
    <row r="684" customFormat="false" ht="15" hidden="false" customHeight="true" outlineLevel="0" collapsed="false">
      <c r="A684" s="6" t="n">
        <v>679</v>
      </c>
      <c r="B684" s="6" t="n">
        <f aca="false">MIN(42, FLOOR(A684/32,1)+1)</f>
        <v>22</v>
      </c>
      <c r="C684" s="6" t="n">
        <f aca="false">ROUND($B$2*(A684+1)^2.4*1.004^A684,0)</f>
        <v>8500704063</v>
      </c>
      <c r="D684" s="6" t="n">
        <f aca="false">ROUND($D$2*(A684+1)^2.4*1.004^A684,0)</f>
        <v>7556181389</v>
      </c>
      <c r="E684" s="6" t="n">
        <f aca="false">ROUND($F$2*(A684+1)^2.4*1.004^A684,0)</f>
        <v>6611658716</v>
      </c>
      <c r="F684" s="6" t="n">
        <f aca="false">ROUND(Building_Levels!$I$2*(A684+1)^1.9*1.003^A684,2)</f>
        <v>795.36</v>
      </c>
      <c r="G684" s="6" t="n">
        <f aca="false">ROUND((A684+1)^1.12,1)</f>
        <v>1487.3</v>
      </c>
    </row>
    <row r="685" customFormat="false" ht="15" hidden="false" customHeight="true" outlineLevel="0" collapsed="false">
      <c r="A685" s="6" t="n">
        <v>680</v>
      </c>
      <c r="B685" s="6" t="n">
        <f aca="false">MIN(42, FLOOR(A685/32,1)+1)</f>
        <v>22</v>
      </c>
      <c r="C685" s="6" t="n">
        <f aca="false">ROUND($B$2*(A685+1)^2.4*1.004^A685,0)</f>
        <v>8564860389</v>
      </c>
      <c r="D685" s="6" t="n">
        <f aca="false">ROUND($D$2*(A685+1)^2.4*1.004^A685,0)</f>
        <v>7613209234</v>
      </c>
      <c r="E685" s="6" t="n">
        <f aca="false">ROUND($F$2*(A685+1)^2.4*1.004^A685,0)</f>
        <v>6661558080</v>
      </c>
      <c r="F685" s="6" t="n">
        <f aca="false">ROUND(Building_Levels!$I$2*(A685+1)^1.9*1.003^A685,2)</f>
        <v>799.97</v>
      </c>
      <c r="G685" s="6" t="n">
        <f aca="false">ROUND((A685+1)^1.12,1)</f>
        <v>1489.8</v>
      </c>
    </row>
    <row r="686" customFormat="false" ht="15" hidden="false" customHeight="true" outlineLevel="0" collapsed="false">
      <c r="A686" s="6" t="n">
        <v>681</v>
      </c>
      <c r="B686" s="6" t="n">
        <f aca="false">MIN(42, FLOOR(A686/32,1)+1)</f>
        <v>22</v>
      </c>
      <c r="C686" s="6" t="n">
        <f aca="false">ROUND($B$2*(A686+1)^2.4*1.004^A686,0)</f>
        <v>8629456255</v>
      </c>
      <c r="D686" s="6" t="n">
        <f aca="false">ROUND($D$2*(A686+1)^2.4*1.004^A686,0)</f>
        <v>7670627782</v>
      </c>
      <c r="E686" s="6" t="n">
        <f aca="false">ROUND($F$2*(A686+1)^2.4*1.004^A686,0)</f>
        <v>6711799310</v>
      </c>
      <c r="F686" s="6" t="n">
        <f aca="false">ROUND(Building_Levels!$I$2*(A686+1)^1.9*1.003^A686,2)</f>
        <v>804.61</v>
      </c>
      <c r="G686" s="6" t="n">
        <f aca="false">ROUND((A686+1)^1.12,1)</f>
        <v>1492.2</v>
      </c>
    </row>
    <row r="687" customFormat="false" ht="15" hidden="false" customHeight="true" outlineLevel="0" collapsed="false">
      <c r="A687" s="6" t="n">
        <v>682</v>
      </c>
      <c r="B687" s="6" t="n">
        <f aca="false">MIN(42, FLOOR(A687/32,1)+1)</f>
        <v>22</v>
      </c>
      <c r="C687" s="6" t="n">
        <f aca="false">ROUND($B$2*(A687+1)^2.4*1.004^A687,0)</f>
        <v>8694494438</v>
      </c>
      <c r="D687" s="6" t="n">
        <f aca="false">ROUND($D$2*(A687+1)^2.4*1.004^A687,0)</f>
        <v>7728439501</v>
      </c>
      <c r="E687" s="6" t="n">
        <f aca="false">ROUND($F$2*(A687+1)^2.4*1.004^A687,0)</f>
        <v>6762384563</v>
      </c>
      <c r="F687" s="6" t="n">
        <f aca="false">ROUND(Building_Levels!$I$2*(A687+1)^1.9*1.003^A687,2)</f>
        <v>809.28</v>
      </c>
      <c r="G687" s="6" t="n">
        <f aca="false">ROUND((A687+1)^1.12,1)</f>
        <v>1494.7</v>
      </c>
    </row>
    <row r="688" customFormat="false" ht="15" hidden="false" customHeight="true" outlineLevel="0" collapsed="false">
      <c r="A688" s="6" t="n">
        <v>683</v>
      </c>
      <c r="B688" s="6" t="n">
        <f aca="false">MIN(42, FLOOR(A688/32,1)+1)</f>
        <v>22</v>
      </c>
      <c r="C688" s="6" t="n">
        <f aca="false">ROUND($B$2*(A688+1)^2.4*1.004^A688,0)</f>
        <v>8759977731</v>
      </c>
      <c r="D688" s="6" t="n">
        <f aca="false">ROUND($D$2*(A688+1)^2.4*1.004^A688,0)</f>
        <v>7786646872</v>
      </c>
      <c r="E688" s="6" t="n">
        <f aca="false">ROUND($F$2*(A688+1)^2.4*1.004^A688,0)</f>
        <v>6813316013</v>
      </c>
      <c r="F688" s="6" t="n">
        <f aca="false">ROUND(Building_Levels!$I$2*(A688+1)^1.9*1.003^A688,2)</f>
        <v>813.96</v>
      </c>
      <c r="G688" s="6" t="n">
        <f aca="false">ROUND((A688+1)^1.12,1)</f>
        <v>1497.1</v>
      </c>
    </row>
    <row r="689" customFormat="false" ht="15" hidden="false" customHeight="true" outlineLevel="0" collapsed="false">
      <c r="A689" s="6" t="n">
        <v>684</v>
      </c>
      <c r="B689" s="6" t="n">
        <f aca="false">MIN(42, FLOOR(A689/32,1)+1)</f>
        <v>22</v>
      </c>
      <c r="C689" s="6" t="n">
        <f aca="false">ROUND($B$2*(A689+1)^2.4*1.004^A689,0)</f>
        <v>8825908940</v>
      </c>
      <c r="D689" s="6" t="n">
        <f aca="false">ROUND($D$2*(A689+1)^2.4*1.004^A689,0)</f>
        <v>7845252391</v>
      </c>
      <c r="E689" s="6" t="n">
        <f aca="false">ROUND($F$2*(A689+1)^2.4*1.004^A689,0)</f>
        <v>6864595842</v>
      </c>
      <c r="F689" s="6" t="n">
        <f aca="false">ROUND(Building_Levels!$I$2*(A689+1)^1.9*1.003^A689,2)</f>
        <v>818.67</v>
      </c>
      <c r="G689" s="6" t="n">
        <f aca="false">ROUND((A689+1)^1.12,1)</f>
        <v>1499.6</v>
      </c>
    </row>
    <row r="690" customFormat="false" ht="15" hidden="false" customHeight="true" outlineLevel="0" collapsed="false">
      <c r="A690" s="6" t="n">
        <v>685</v>
      </c>
      <c r="B690" s="6" t="n">
        <f aca="false">MIN(42, FLOOR(A690/32,1)+1)</f>
        <v>22</v>
      </c>
      <c r="C690" s="6" t="n">
        <f aca="false">ROUND($B$2*(A690+1)^2.4*1.004^A690,0)</f>
        <v>8892290893</v>
      </c>
      <c r="D690" s="6" t="n">
        <f aca="false">ROUND($D$2*(A690+1)^2.4*1.004^A690,0)</f>
        <v>7904258571</v>
      </c>
      <c r="E690" s="6" t="n">
        <f aca="false">ROUND($F$2*(A690+1)^2.4*1.004^A690,0)</f>
        <v>6916226250</v>
      </c>
      <c r="F690" s="6" t="n">
        <f aca="false">ROUND(Building_Levels!$I$2*(A690+1)^1.9*1.003^A690,2)</f>
        <v>823.41</v>
      </c>
      <c r="G690" s="6" t="n">
        <f aca="false">ROUND((A690+1)^1.12,1)</f>
        <v>1502</v>
      </c>
    </row>
    <row r="691" customFormat="false" ht="15" hidden="false" customHeight="true" outlineLevel="0" collapsed="false">
      <c r="A691" s="6" t="n">
        <v>686</v>
      </c>
      <c r="B691" s="6" t="n">
        <f aca="false">MIN(42, FLOOR(A691/32,1)+1)</f>
        <v>22</v>
      </c>
      <c r="C691" s="6" t="n">
        <f aca="false">ROUND($B$2*(A691+1)^2.4*1.004^A691,0)</f>
        <v>8959126430</v>
      </c>
      <c r="D691" s="6" t="n">
        <f aca="false">ROUND($D$2*(A691+1)^2.4*1.004^A691,0)</f>
        <v>7963667938</v>
      </c>
      <c r="E691" s="6" t="n">
        <f aca="false">ROUND($F$2*(A691+1)^2.4*1.004^A691,0)</f>
        <v>6968209446</v>
      </c>
      <c r="F691" s="6" t="n">
        <f aca="false">ROUND(Building_Levels!$I$2*(A691+1)^1.9*1.003^A691,2)</f>
        <v>828.17</v>
      </c>
      <c r="G691" s="6" t="n">
        <f aca="false">ROUND((A691+1)^1.12,1)</f>
        <v>1504.5</v>
      </c>
    </row>
    <row r="692" customFormat="false" ht="15" hidden="false" customHeight="true" outlineLevel="0" collapsed="false">
      <c r="A692" s="6" t="n">
        <v>687</v>
      </c>
      <c r="B692" s="6" t="n">
        <f aca="false">MIN(42, FLOOR(A692/32,1)+1)</f>
        <v>22</v>
      </c>
      <c r="C692" s="6" t="n">
        <f aca="false">ROUND($B$2*(A692+1)^2.4*1.004^A692,0)</f>
        <v>9026418412</v>
      </c>
      <c r="D692" s="6" t="n">
        <f aca="false">ROUND($D$2*(A692+1)^2.4*1.004^A692,0)</f>
        <v>8023483033</v>
      </c>
      <c r="E692" s="6" t="n">
        <f aca="false">ROUND($F$2*(A692+1)^2.4*1.004^A692,0)</f>
        <v>7020547654</v>
      </c>
      <c r="F692" s="6" t="n">
        <f aca="false">ROUND(Building_Levels!$I$2*(A692+1)^1.9*1.003^A692,2)</f>
        <v>832.95</v>
      </c>
      <c r="G692" s="6" t="n">
        <f aca="false">ROUND((A692+1)^1.12,1)</f>
        <v>1507</v>
      </c>
    </row>
    <row r="693" customFormat="false" ht="15" hidden="false" customHeight="true" outlineLevel="0" collapsed="false">
      <c r="A693" s="6" t="n">
        <v>688</v>
      </c>
      <c r="B693" s="6" t="n">
        <f aca="false">MIN(42, FLOOR(A693/32,1)+1)</f>
        <v>22</v>
      </c>
      <c r="C693" s="6" t="n">
        <f aca="false">ROUND($B$2*(A693+1)^2.4*1.004^A693,0)</f>
        <v>9094169712</v>
      </c>
      <c r="D693" s="6" t="n">
        <f aca="false">ROUND($D$2*(A693+1)^2.4*1.004^A693,0)</f>
        <v>8083706411</v>
      </c>
      <c r="E693" s="6" t="n">
        <f aca="false">ROUND($F$2*(A693+1)^2.4*1.004^A693,0)</f>
        <v>7073243110</v>
      </c>
      <c r="F693" s="6" t="n">
        <f aca="false">ROUND(Building_Levels!$I$2*(A693+1)^1.9*1.003^A693,2)</f>
        <v>837.76</v>
      </c>
      <c r="G693" s="6" t="n">
        <f aca="false">ROUND((A693+1)^1.12,1)</f>
        <v>1509.4</v>
      </c>
    </row>
    <row r="694" customFormat="false" ht="15" hidden="false" customHeight="true" outlineLevel="0" collapsed="false">
      <c r="A694" s="6" t="n">
        <v>689</v>
      </c>
      <c r="B694" s="6" t="n">
        <f aca="false">MIN(42, FLOOR(A694/32,1)+1)</f>
        <v>22</v>
      </c>
      <c r="C694" s="6" t="n">
        <f aca="false">ROUND($B$2*(A694+1)^2.4*1.004^A694,0)</f>
        <v>9162383226</v>
      </c>
      <c r="D694" s="6" t="n">
        <f aca="false">ROUND($D$2*(A694+1)^2.4*1.004^A694,0)</f>
        <v>8144340645</v>
      </c>
      <c r="E694" s="6" t="n">
        <f aca="false">ROUND($F$2*(A694+1)^2.4*1.004^A694,0)</f>
        <v>7126298064</v>
      </c>
      <c r="F694" s="6" t="n">
        <f aca="false">ROUND(Building_Levels!$I$2*(A694+1)^1.9*1.003^A694,2)</f>
        <v>842.59</v>
      </c>
      <c r="G694" s="6" t="n">
        <f aca="false">ROUND((A694+1)^1.12,1)</f>
        <v>1511.9</v>
      </c>
    </row>
    <row r="695" customFormat="false" ht="15" hidden="false" customHeight="true" outlineLevel="0" collapsed="false">
      <c r="A695" s="6" t="n">
        <v>690</v>
      </c>
      <c r="B695" s="6" t="n">
        <f aca="false">MIN(42, FLOOR(A695/32,1)+1)</f>
        <v>22</v>
      </c>
      <c r="C695" s="6" t="n">
        <f aca="false">ROUND($B$2*(A695+1)^2.4*1.004^A695,0)</f>
        <v>9231061861</v>
      </c>
      <c r="D695" s="6" t="n">
        <f aca="false">ROUND($D$2*(A695+1)^2.4*1.004^A695,0)</f>
        <v>8205388321</v>
      </c>
      <c r="E695" s="6" t="n">
        <f aca="false">ROUND($F$2*(A695+1)^2.4*1.004^A695,0)</f>
        <v>7179714781</v>
      </c>
      <c r="F695" s="6" t="n">
        <f aca="false">ROUND(Building_Levels!$I$2*(A695+1)^1.9*1.003^A695,2)</f>
        <v>847.45</v>
      </c>
      <c r="G695" s="6" t="n">
        <f aca="false">ROUND((A695+1)^1.12,1)</f>
        <v>1514.3</v>
      </c>
    </row>
    <row r="696" customFormat="false" ht="15" hidden="false" customHeight="true" outlineLevel="0" collapsed="false">
      <c r="A696" s="6" t="n">
        <v>691</v>
      </c>
      <c r="B696" s="6" t="n">
        <f aca="false">MIN(42, FLOOR(A696/32,1)+1)</f>
        <v>22</v>
      </c>
      <c r="C696" s="6" t="n">
        <f aca="false">ROUND($B$2*(A696+1)^2.4*1.004^A696,0)</f>
        <v>9300208545</v>
      </c>
      <c r="D696" s="6" t="n">
        <f aca="false">ROUND($D$2*(A696+1)^2.4*1.004^A696,0)</f>
        <v>8266852040</v>
      </c>
      <c r="E696" s="6" t="n">
        <f aca="false">ROUND($F$2*(A696+1)^2.4*1.004^A696,0)</f>
        <v>7233495535</v>
      </c>
      <c r="F696" s="6" t="n">
        <f aca="false">ROUND(Building_Levels!$I$2*(A696+1)^1.9*1.003^A696,2)</f>
        <v>852.33</v>
      </c>
      <c r="G696" s="6" t="n">
        <f aca="false">ROUND((A696+1)^1.12,1)</f>
        <v>1516.8</v>
      </c>
    </row>
    <row r="697" customFormat="false" ht="15" hidden="false" customHeight="true" outlineLevel="0" collapsed="false">
      <c r="A697" s="6" t="n">
        <v>692</v>
      </c>
      <c r="B697" s="6" t="n">
        <f aca="false">MIN(42, FLOOR(A697/32,1)+1)</f>
        <v>22</v>
      </c>
      <c r="C697" s="6" t="n">
        <f aca="false">ROUND($B$2*(A697+1)^2.4*1.004^A697,0)</f>
        <v>9369826223</v>
      </c>
      <c r="D697" s="6" t="n">
        <f aca="false">ROUND($D$2*(A697+1)^2.4*1.004^A697,0)</f>
        <v>8328734420</v>
      </c>
      <c r="E697" s="6" t="n">
        <f aca="false">ROUND($F$2*(A697+1)^2.4*1.004^A697,0)</f>
        <v>7287642618</v>
      </c>
      <c r="F697" s="6" t="n">
        <f aca="false">ROUND(Building_Levels!$I$2*(A697+1)^1.9*1.003^A697,2)</f>
        <v>857.24</v>
      </c>
      <c r="G697" s="6" t="n">
        <f aca="false">ROUND((A697+1)^1.12,1)</f>
        <v>1519.2</v>
      </c>
    </row>
    <row r="698" customFormat="false" ht="15" hidden="false" customHeight="true" outlineLevel="0" collapsed="false">
      <c r="A698" s="6" t="n">
        <v>693</v>
      </c>
      <c r="B698" s="6" t="n">
        <f aca="false">MIN(42, FLOOR(A698/32,1)+1)</f>
        <v>22</v>
      </c>
      <c r="C698" s="6" t="n">
        <f aca="false">ROUND($B$2*(A698+1)^2.4*1.004^A698,0)</f>
        <v>9439917856</v>
      </c>
      <c r="D698" s="6" t="n">
        <f aca="false">ROUND($D$2*(A698+1)^2.4*1.004^A698,0)</f>
        <v>8391038094</v>
      </c>
      <c r="E698" s="6" t="n">
        <f aca="false">ROUND($F$2*(A698+1)^2.4*1.004^A698,0)</f>
        <v>7342158332</v>
      </c>
      <c r="F698" s="6" t="n">
        <f aca="false">ROUND(Building_Levels!$I$2*(A698+1)^1.9*1.003^A698,2)</f>
        <v>862.17</v>
      </c>
      <c r="G698" s="6" t="n">
        <f aca="false">ROUND((A698+1)^1.12,1)</f>
        <v>1521.7</v>
      </c>
    </row>
    <row r="699" customFormat="false" ht="15" hidden="false" customHeight="true" outlineLevel="0" collapsed="false">
      <c r="A699" s="6" t="n">
        <v>694</v>
      </c>
      <c r="B699" s="6" t="n">
        <f aca="false">MIN(42, FLOOR(A699/32,1)+1)</f>
        <v>22</v>
      </c>
      <c r="C699" s="6" t="n">
        <f aca="false">ROUND($B$2*(A699+1)^2.4*1.004^A699,0)</f>
        <v>9510486423</v>
      </c>
      <c r="D699" s="6" t="n">
        <f aca="false">ROUND($D$2*(A699+1)^2.4*1.004^A699,0)</f>
        <v>8453765709</v>
      </c>
      <c r="E699" s="6" t="n">
        <f aca="false">ROUND($F$2*(A699+1)^2.4*1.004^A699,0)</f>
        <v>7397044995</v>
      </c>
      <c r="F699" s="6" t="n">
        <f aca="false">ROUND(Building_Levels!$I$2*(A699+1)^1.9*1.003^A699,2)</f>
        <v>867.12</v>
      </c>
      <c r="G699" s="6" t="n">
        <f aca="false">ROUND((A699+1)^1.12,1)</f>
        <v>1524.1</v>
      </c>
    </row>
    <row r="700" customFormat="false" ht="15" hidden="false" customHeight="true" outlineLevel="0" collapsed="false">
      <c r="A700" s="6" t="n">
        <v>695</v>
      </c>
      <c r="B700" s="6" t="n">
        <f aca="false">MIN(42, FLOOR(A700/32,1)+1)</f>
        <v>22</v>
      </c>
      <c r="C700" s="6" t="n">
        <f aca="false">ROUND($B$2*(A700+1)^2.4*1.004^A700,0)</f>
        <v>9581534921</v>
      </c>
      <c r="D700" s="6" t="n">
        <f aca="false">ROUND($D$2*(A700+1)^2.4*1.004^A700,0)</f>
        <v>8516919930</v>
      </c>
      <c r="E700" s="6" t="n">
        <f aca="false">ROUND($F$2*(A700+1)^2.4*1.004^A700,0)</f>
        <v>7452304938</v>
      </c>
      <c r="F700" s="6" t="n">
        <f aca="false">ROUND(Building_Levels!$I$2*(A700+1)^1.9*1.003^A700,2)</f>
        <v>872.1</v>
      </c>
      <c r="G700" s="6" t="n">
        <f aca="false">ROUND((A700+1)^1.12,1)</f>
        <v>1526.6</v>
      </c>
    </row>
    <row r="701" customFormat="false" ht="15" hidden="false" customHeight="true" outlineLevel="0" collapsed="false">
      <c r="A701" s="6" t="n">
        <v>696</v>
      </c>
      <c r="B701" s="6" t="n">
        <f aca="false">MIN(42, FLOOR(A701/32,1)+1)</f>
        <v>22</v>
      </c>
      <c r="C701" s="6" t="n">
        <f aca="false">ROUND($B$2*(A701+1)^2.4*1.004^A701,0)</f>
        <v>9653066364</v>
      </c>
      <c r="D701" s="6" t="n">
        <f aca="false">ROUND($D$2*(A701+1)^2.4*1.004^A701,0)</f>
        <v>8580503435</v>
      </c>
      <c r="E701" s="6" t="n">
        <f aca="false">ROUND($F$2*(A701+1)^2.4*1.004^A701,0)</f>
        <v>7507940505</v>
      </c>
      <c r="F701" s="6" t="n">
        <f aca="false">ROUND(Building_Levels!$I$2*(A701+1)^1.9*1.003^A701,2)</f>
        <v>877.11</v>
      </c>
      <c r="G701" s="6" t="n">
        <f aca="false">ROUND((A701+1)^1.12,1)</f>
        <v>1529</v>
      </c>
    </row>
    <row r="702" customFormat="false" ht="15" hidden="false" customHeight="true" outlineLevel="0" collapsed="false">
      <c r="A702" s="6" t="n">
        <v>697</v>
      </c>
      <c r="B702" s="6" t="n">
        <f aca="false">MIN(42, FLOOR(A702/32,1)+1)</f>
        <v>22</v>
      </c>
      <c r="C702" s="6" t="n">
        <f aca="false">ROUND($B$2*(A702+1)^2.4*1.004^A702,0)</f>
        <v>9725083785</v>
      </c>
      <c r="D702" s="6" t="n">
        <f aca="false">ROUND($D$2*(A702+1)^2.4*1.004^A702,0)</f>
        <v>8644518920</v>
      </c>
      <c r="E702" s="6" t="n">
        <f aca="false">ROUND($F$2*(A702+1)^2.4*1.004^A702,0)</f>
        <v>7563954055</v>
      </c>
      <c r="F702" s="6" t="n">
        <f aca="false">ROUND(Building_Levels!$I$2*(A702+1)^1.9*1.003^A702,2)</f>
        <v>882.14</v>
      </c>
      <c r="G702" s="6" t="n">
        <f aca="false">ROUND((A702+1)^1.12,1)</f>
        <v>1531.5</v>
      </c>
    </row>
    <row r="703" customFormat="false" ht="15" hidden="false" customHeight="true" outlineLevel="0" collapsed="false">
      <c r="A703" s="6" t="n">
        <v>698</v>
      </c>
      <c r="B703" s="6" t="n">
        <f aca="false">MIN(42, FLOOR(A703/32,1)+1)</f>
        <v>22</v>
      </c>
      <c r="C703" s="6" t="n">
        <f aca="false">ROUND($B$2*(A703+1)^2.4*1.004^A703,0)</f>
        <v>9797590233</v>
      </c>
      <c r="D703" s="6" t="n">
        <f aca="false">ROUND($D$2*(A703+1)^2.4*1.004^A703,0)</f>
        <v>8708969096</v>
      </c>
      <c r="E703" s="6" t="n">
        <f aca="false">ROUND($F$2*(A703+1)^2.4*1.004^A703,0)</f>
        <v>7620347959</v>
      </c>
      <c r="F703" s="6" t="n">
        <f aca="false">ROUND(Building_Levels!$I$2*(A703+1)^1.9*1.003^A703,2)</f>
        <v>887.19</v>
      </c>
      <c r="G703" s="6" t="n">
        <f aca="false">ROUND((A703+1)^1.12,1)</f>
        <v>1534</v>
      </c>
    </row>
    <row r="704" customFormat="false" ht="15" hidden="false" customHeight="true" outlineLevel="0" collapsed="false">
      <c r="A704" s="6" t="n">
        <v>699</v>
      </c>
      <c r="B704" s="6" t="n">
        <f aca="false">MIN(42, FLOOR(A704/32,1)+1)</f>
        <v>22</v>
      </c>
      <c r="C704" s="6" t="n">
        <f aca="false">ROUND($B$2*(A704+1)^2.4*1.004^A704,0)</f>
        <v>9870588777</v>
      </c>
      <c r="D704" s="6" t="n">
        <f aca="false">ROUND($D$2*(A704+1)^2.4*1.004^A704,0)</f>
        <v>8773856691</v>
      </c>
      <c r="E704" s="6" t="n">
        <f aca="false">ROUND($F$2*(A704+1)^2.4*1.004^A704,0)</f>
        <v>7677124605</v>
      </c>
      <c r="F704" s="6" t="n">
        <f aca="false">ROUND(Building_Levels!$I$2*(A704+1)^1.9*1.003^A704,2)</f>
        <v>892.28</v>
      </c>
      <c r="G704" s="6" t="n">
        <f aca="false">ROUND((A704+1)^1.12,1)</f>
        <v>1536.4</v>
      </c>
    </row>
    <row r="705" customFormat="false" ht="15" hidden="false" customHeight="true" outlineLevel="0" collapsed="false">
      <c r="A705" s="6" t="n">
        <v>700</v>
      </c>
      <c r="B705" s="6" t="n">
        <f aca="false">MIN(42, FLOOR(A705/32,1)+1)</f>
        <v>22</v>
      </c>
      <c r="C705" s="6" t="n">
        <f aca="false">ROUND($B$2*(A705+1)^2.4*1.004^A705,0)</f>
        <v>9944082503</v>
      </c>
      <c r="D705" s="6" t="n">
        <f aca="false">ROUND($D$2*(A705+1)^2.4*1.004^A705,0)</f>
        <v>8839184447</v>
      </c>
      <c r="E705" s="6" t="n">
        <f aca="false">ROUND($F$2*(A705+1)^2.4*1.004^A705,0)</f>
        <v>7734286391</v>
      </c>
      <c r="F705" s="6" t="n">
        <f aca="false">ROUND(Building_Levels!$I$2*(A705+1)^1.9*1.003^A705,2)</f>
        <v>897.38</v>
      </c>
      <c r="G705" s="6" t="n">
        <f aca="false">ROUND((A705+1)^1.12,1)</f>
        <v>1538.9</v>
      </c>
    </row>
    <row r="706" customFormat="false" ht="15" hidden="false" customHeight="true" outlineLevel="0" collapsed="false">
      <c r="A706" s="6" t="n">
        <v>701</v>
      </c>
      <c r="B706" s="6" t="n">
        <f aca="false">MIN(42, FLOOR(A706/32,1)+1)</f>
        <v>22</v>
      </c>
      <c r="C706" s="6" t="n">
        <f aca="false">ROUND($B$2*(A706+1)^2.4*1.004^A706,0)</f>
        <v>10018074515</v>
      </c>
      <c r="D706" s="6" t="n">
        <f aca="false">ROUND($D$2*(A706+1)^2.4*1.004^A706,0)</f>
        <v>8904955124</v>
      </c>
      <c r="E706" s="6" t="n">
        <f aca="false">ROUND($F$2*(A706+1)^2.4*1.004^A706,0)</f>
        <v>7791835734</v>
      </c>
      <c r="F706" s="6" t="n">
        <f aca="false">ROUND(Building_Levels!$I$2*(A706+1)^1.9*1.003^A706,2)</f>
        <v>902.52</v>
      </c>
      <c r="G706" s="6" t="n">
        <f aca="false">ROUND((A706+1)^1.12,1)</f>
        <v>1541.3</v>
      </c>
    </row>
    <row r="707" customFormat="false" ht="15" hidden="false" customHeight="true" outlineLevel="0" collapsed="false">
      <c r="A707" s="6" t="n">
        <v>702</v>
      </c>
      <c r="B707" s="6" t="n">
        <f aca="false">MIN(42, FLOOR(A707/32,1)+1)</f>
        <v>22</v>
      </c>
      <c r="C707" s="6" t="n">
        <f aca="false">ROUND($B$2*(A707+1)^2.4*1.004^A707,0)</f>
        <v>10092567935</v>
      </c>
      <c r="D707" s="6" t="n">
        <f aca="false">ROUND($D$2*(A707+1)^2.4*1.004^A707,0)</f>
        <v>8971171498</v>
      </c>
      <c r="E707" s="6" t="n">
        <f aca="false">ROUND($F$2*(A707+1)^2.4*1.004^A707,0)</f>
        <v>7849775060</v>
      </c>
      <c r="F707" s="6" t="n">
        <f aca="false">ROUND(Building_Levels!$I$2*(A707+1)^1.9*1.003^A707,2)</f>
        <v>907.68</v>
      </c>
      <c r="G707" s="6" t="n">
        <f aca="false">ROUND((A707+1)^1.12,1)</f>
        <v>1543.8</v>
      </c>
    </row>
    <row r="708" customFormat="false" ht="15" hidden="false" customHeight="true" outlineLevel="0" collapsed="false">
      <c r="A708" s="6" t="n">
        <v>703</v>
      </c>
      <c r="B708" s="6" t="n">
        <f aca="false">MIN(42, FLOOR(A708/32,1)+1)</f>
        <v>22</v>
      </c>
      <c r="C708" s="6" t="n">
        <f aca="false">ROUND($B$2*(A708+1)^2.4*1.004^A708,0)</f>
        <v>10167565904</v>
      </c>
      <c r="D708" s="6" t="n">
        <f aca="false">ROUND($D$2*(A708+1)^2.4*1.004^A708,0)</f>
        <v>9037836359</v>
      </c>
      <c r="E708" s="6" t="n">
        <f aca="false">ROUND($F$2*(A708+1)^2.4*1.004^A708,0)</f>
        <v>7908106815</v>
      </c>
      <c r="F708" s="6" t="n">
        <f aca="false">ROUND(Building_Levels!$I$2*(A708+1)^1.9*1.003^A708,2)</f>
        <v>912.86</v>
      </c>
      <c r="G708" s="6" t="n">
        <f aca="false">ROUND((A708+1)^1.12,1)</f>
        <v>1546.3</v>
      </c>
    </row>
    <row r="709" customFormat="false" ht="15" hidden="false" customHeight="true" outlineLevel="0" collapsed="false">
      <c r="A709" s="6" t="n">
        <v>704</v>
      </c>
      <c r="B709" s="6" t="n">
        <f aca="false">MIN(42, FLOOR(A709/32,1)+1)</f>
        <v>23</v>
      </c>
      <c r="C709" s="6" t="n">
        <f aca="false">ROUND($B$2*(A709+1)^2.4*1.004^A709,0)</f>
        <v>10243071583</v>
      </c>
      <c r="D709" s="6" t="n">
        <f aca="false">ROUND($D$2*(A709+1)^2.4*1.004^A709,0)</f>
        <v>9104952518</v>
      </c>
      <c r="E709" s="6" t="n">
        <f aca="false">ROUND($F$2*(A709+1)^2.4*1.004^A709,0)</f>
        <v>7966833453</v>
      </c>
      <c r="F709" s="6" t="n">
        <f aca="false">ROUND(Building_Levels!$I$2*(A709+1)^1.9*1.003^A709,2)</f>
        <v>918.07</v>
      </c>
      <c r="G709" s="6" t="n">
        <f aca="false">ROUND((A709+1)^1.12,1)</f>
        <v>1548.7</v>
      </c>
    </row>
    <row r="710" customFormat="false" ht="15" hidden="false" customHeight="true" outlineLevel="0" collapsed="false">
      <c r="A710" s="6" t="n">
        <v>705</v>
      </c>
      <c r="B710" s="6" t="n">
        <f aca="false">MIN(42, FLOOR(A710/32,1)+1)</f>
        <v>23</v>
      </c>
      <c r="C710" s="6" t="n">
        <f aca="false">ROUND($B$2*(A710+1)^2.4*1.004^A710,0)</f>
        <v>10319088148</v>
      </c>
      <c r="D710" s="6" t="n">
        <f aca="false">ROUND($D$2*(A710+1)^2.4*1.004^A710,0)</f>
        <v>9172522798</v>
      </c>
      <c r="E710" s="6" t="n">
        <f aca="false">ROUND($F$2*(A710+1)^2.4*1.004^A710,0)</f>
        <v>8025957448</v>
      </c>
      <c r="F710" s="6" t="n">
        <f aca="false">ROUND(Building_Levels!$I$2*(A710+1)^1.9*1.003^A710,2)</f>
        <v>923.31</v>
      </c>
      <c r="G710" s="6" t="n">
        <f aca="false">ROUND((A710+1)^1.12,1)</f>
        <v>1551.2</v>
      </c>
    </row>
    <row r="711" customFormat="false" ht="15" hidden="false" customHeight="true" outlineLevel="0" collapsed="false">
      <c r="A711" s="6" t="n">
        <v>706</v>
      </c>
      <c r="B711" s="6" t="n">
        <f aca="false">MIN(42, FLOOR(A711/32,1)+1)</f>
        <v>23</v>
      </c>
      <c r="C711" s="6" t="n">
        <f aca="false">ROUND($B$2*(A711+1)^2.4*1.004^A711,0)</f>
        <v>10395618797</v>
      </c>
      <c r="D711" s="6" t="n">
        <f aca="false">ROUND($D$2*(A711+1)^2.4*1.004^A711,0)</f>
        <v>9240550041</v>
      </c>
      <c r="E711" s="6" t="n">
        <f aca="false">ROUND($F$2*(A711+1)^2.4*1.004^A711,0)</f>
        <v>8085481286</v>
      </c>
      <c r="F711" s="6" t="n">
        <f aca="false">ROUND(Building_Levels!$I$2*(A711+1)^1.9*1.003^A711,2)</f>
        <v>928.57</v>
      </c>
      <c r="G711" s="6" t="n">
        <f aca="false">ROUND((A711+1)^1.12,1)</f>
        <v>1553.6</v>
      </c>
    </row>
    <row r="712" customFormat="false" ht="15" hidden="false" customHeight="true" outlineLevel="0" collapsed="false">
      <c r="A712" s="6" t="n">
        <v>707</v>
      </c>
      <c r="B712" s="6" t="n">
        <f aca="false">MIN(42, FLOOR(A712/32,1)+1)</f>
        <v>23</v>
      </c>
      <c r="C712" s="6" t="n">
        <f aca="false">ROUND($B$2*(A712+1)^2.4*1.004^A712,0)</f>
        <v>10472666744</v>
      </c>
      <c r="D712" s="6" t="n">
        <f aca="false">ROUND($D$2*(A712+1)^2.4*1.004^A712,0)</f>
        <v>9309037106</v>
      </c>
      <c r="E712" s="6" t="n">
        <f aca="false">ROUND($F$2*(A712+1)^2.4*1.004^A712,0)</f>
        <v>8145407468</v>
      </c>
      <c r="F712" s="6" t="n">
        <f aca="false">ROUND(Building_Levels!$I$2*(A712+1)^1.9*1.003^A712,2)</f>
        <v>933.86</v>
      </c>
      <c r="G712" s="6" t="n">
        <f aca="false">ROUND((A712+1)^1.12,1)</f>
        <v>1556.1</v>
      </c>
    </row>
    <row r="713" customFormat="false" ht="15" hidden="false" customHeight="true" outlineLevel="0" collapsed="false">
      <c r="A713" s="6" t="n">
        <v>708</v>
      </c>
      <c r="B713" s="6" t="n">
        <f aca="false">MIN(42, FLOOR(A713/32,1)+1)</f>
        <v>23</v>
      </c>
      <c r="C713" s="6" t="n">
        <f aca="false">ROUND($B$2*(A713+1)^2.4*1.004^A713,0)</f>
        <v>10550235225</v>
      </c>
      <c r="D713" s="6" t="n">
        <f aca="false">ROUND($D$2*(A713+1)^2.4*1.004^A713,0)</f>
        <v>9377986867</v>
      </c>
      <c r="E713" s="6" t="n">
        <f aca="false">ROUND($F$2*(A713+1)^2.4*1.004^A713,0)</f>
        <v>8205738508</v>
      </c>
      <c r="F713" s="6" t="n">
        <f aca="false">ROUND(Building_Levels!$I$2*(A713+1)^1.9*1.003^A713,2)</f>
        <v>939.18</v>
      </c>
      <c r="G713" s="6" t="n">
        <f aca="false">ROUND((A713+1)^1.12,1)</f>
        <v>1558.6</v>
      </c>
    </row>
    <row r="714" customFormat="false" ht="15" hidden="false" customHeight="true" outlineLevel="0" collapsed="false">
      <c r="A714" s="6" t="n">
        <v>709</v>
      </c>
      <c r="B714" s="6" t="n">
        <f aca="false">MIN(42, FLOOR(A714/32,1)+1)</f>
        <v>23</v>
      </c>
      <c r="C714" s="6" t="n">
        <f aca="false">ROUND($B$2*(A714+1)^2.4*1.004^A714,0)</f>
        <v>10628327493</v>
      </c>
      <c r="D714" s="6" t="n">
        <f aca="false">ROUND($D$2*(A714+1)^2.4*1.004^A714,0)</f>
        <v>9447402216</v>
      </c>
      <c r="E714" s="6" t="n">
        <f aca="false">ROUND($F$2*(A714+1)^2.4*1.004^A714,0)</f>
        <v>8266476939</v>
      </c>
      <c r="F714" s="6" t="n">
        <f aca="false">ROUND(Building_Levels!$I$2*(A714+1)^1.9*1.003^A714,2)</f>
        <v>944.53</v>
      </c>
      <c r="G714" s="6" t="n">
        <f aca="false">ROUND((A714+1)^1.12,1)</f>
        <v>1561</v>
      </c>
    </row>
    <row r="715" customFormat="false" ht="15" hidden="false" customHeight="true" outlineLevel="0" collapsed="false">
      <c r="A715" s="6" t="n">
        <v>710</v>
      </c>
      <c r="B715" s="6" t="n">
        <f aca="false">MIN(42, FLOOR(A715/32,1)+1)</f>
        <v>23</v>
      </c>
      <c r="C715" s="6" t="n">
        <f aca="false">ROUND($B$2*(A715+1)^2.4*1.004^A715,0)</f>
        <v>10706946820</v>
      </c>
      <c r="D715" s="6" t="n">
        <f aca="false">ROUND($D$2*(A715+1)^2.4*1.004^A715,0)</f>
        <v>9517286062</v>
      </c>
      <c r="E715" s="6" t="n">
        <f aca="false">ROUND($F$2*(A715+1)^2.4*1.004^A715,0)</f>
        <v>8327625304</v>
      </c>
      <c r="F715" s="6" t="n">
        <f aca="false">ROUND(Building_Levels!$I$2*(A715+1)^1.9*1.003^A715,2)</f>
        <v>949.9</v>
      </c>
      <c r="G715" s="6" t="n">
        <f aca="false">ROUND((A715+1)^1.12,1)</f>
        <v>1563.5</v>
      </c>
    </row>
    <row r="716" customFormat="false" ht="15" hidden="false" customHeight="true" outlineLevel="0" collapsed="false">
      <c r="A716" s="6" t="n">
        <v>711</v>
      </c>
      <c r="B716" s="6" t="n">
        <f aca="false">MIN(42, FLOOR(A716/32,1)+1)</f>
        <v>23</v>
      </c>
      <c r="C716" s="6" t="n">
        <f aca="false">ROUND($B$2*(A716+1)^2.4*1.004^A716,0)</f>
        <v>10786096497</v>
      </c>
      <c r="D716" s="6" t="n">
        <f aca="false">ROUND($D$2*(A716+1)^2.4*1.004^A716,0)</f>
        <v>9587641331</v>
      </c>
      <c r="E716" s="6" t="n">
        <f aca="false">ROUND($F$2*(A716+1)^2.4*1.004^A716,0)</f>
        <v>8389186165</v>
      </c>
      <c r="F716" s="6" t="n">
        <f aca="false">ROUND(Building_Levels!$I$2*(A716+1)^1.9*1.003^A716,2)</f>
        <v>955.29</v>
      </c>
      <c r="G716" s="6" t="n">
        <f aca="false">ROUND((A716+1)^1.12,1)</f>
        <v>1565.9</v>
      </c>
    </row>
    <row r="717" customFormat="false" ht="15" hidden="false" customHeight="true" outlineLevel="0" collapsed="false">
      <c r="A717" s="6" t="n">
        <v>712</v>
      </c>
      <c r="B717" s="6" t="n">
        <f aca="false">MIN(42, FLOOR(A717/32,1)+1)</f>
        <v>23</v>
      </c>
      <c r="C717" s="6" t="n">
        <f aca="false">ROUND($B$2*(A717+1)^2.4*1.004^A717,0)</f>
        <v>10865779837</v>
      </c>
      <c r="D717" s="6" t="n">
        <f aca="false">ROUND($D$2*(A717+1)^2.4*1.004^A717,0)</f>
        <v>9658470966</v>
      </c>
      <c r="E717" s="6" t="n">
        <f aca="false">ROUND($F$2*(A717+1)^2.4*1.004^A717,0)</f>
        <v>8451162096</v>
      </c>
      <c r="F717" s="6" t="n">
        <f aca="false">ROUND(Building_Levels!$I$2*(A717+1)^1.9*1.003^A717,2)</f>
        <v>960.72</v>
      </c>
      <c r="G717" s="6" t="n">
        <f aca="false">ROUND((A717+1)^1.12,1)</f>
        <v>1568.4</v>
      </c>
    </row>
    <row r="718" customFormat="false" ht="15" hidden="false" customHeight="true" outlineLevel="0" collapsed="false">
      <c r="A718" s="6" t="n">
        <v>713</v>
      </c>
      <c r="B718" s="6" t="n">
        <f aca="false">MIN(42, FLOOR(A718/32,1)+1)</f>
        <v>23</v>
      </c>
      <c r="C718" s="6" t="n">
        <f aca="false">ROUND($B$2*(A718+1)^2.4*1.004^A718,0)</f>
        <v>10946000169</v>
      </c>
      <c r="D718" s="6" t="n">
        <f aca="false">ROUND($D$2*(A718+1)^2.4*1.004^A718,0)</f>
        <v>9729777928</v>
      </c>
      <c r="E718" s="6" t="n">
        <f aca="false">ROUND($F$2*(A718+1)^2.4*1.004^A718,0)</f>
        <v>8513555687</v>
      </c>
      <c r="F718" s="6" t="n">
        <f aca="false">ROUND(Building_Levels!$I$2*(A718+1)^1.9*1.003^A718,2)</f>
        <v>966.17</v>
      </c>
      <c r="G718" s="6" t="n">
        <f aca="false">ROUND((A718+1)^1.12,1)</f>
        <v>1570.9</v>
      </c>
    </row>
    <row r="719" customFormat="false" ht="15" hidden="false" customHeight="true" outlineLevel="0" collapsed="false">
      <c r="A719" s="6" t="n">
        <v>714</v>
      </c>
      <c r="B719" s="6" t="n">
        <f aca="false">MIN(42, FLOOR(A719/32,1)+1)</f>
        <v>23</v>
      </c>
      <c r="C719" s="6" t="n">
        <f aca="false">ROUND($B$2*(A719+1)^2.4*1.004^A719,0)</f>
        <v>11026760844</v>
      </c>
      <c r="D719" s="6" t="n">
        <f aca="false">ROUND($D$2*(A719+1)^2.4*1.004^A719,0)</f>
        <v>9801565194</v>
      </c>
      <c r="E719" s="6" t="n">
        <f aca="false">ROUND($F$2*(A719+1)^2.4*1.004^A719,0)</f>
        <v>8576369545</v>
      </c>
      <c r="F719" s="6" t="n">
        <f aca="false">ROUND(Building_Levels!$I$2*(A719+1)^1.9*1.003^A719,2)</f>
        <v>971.65</v>
      </c>
      <c r="G719" s="6" t="n">
        <f aca="false">ROUND((A719+1)^1.12,1)</f>
        <v>1573.3</v>
      </c>
    </row>
    <row r="720" customFormat="false" ht="15" hidden="false" customHeight="true" outlineLevel="0" collapsed="false">
      <c r="A720" s="6" t="n">
        <v>715</v>
      </c>
      <c r="B720" s="6" t="n">
        <f aca="false">MIN(42, FLOOR(A720/32,1)+1)</f>
        <v>23</v>
      </c>
      <c r="C720" s="6" t="n">
        <f aca="false">ROUND($B$2*(A720+1)^2.4*1.004^A720,0)</f>
        <v>11108065230</v>
      </c>
      <c r="D720" s="6" t="n">
        <f aca="false">ROUND($D$2*(A720+1)^2.4*1.004^A720,0)</f>
        <v>9873835760</v>
      </c>
      <c r="E720" s="6" t="n">
        <f aca="false">ROUND($F$2*(A720+1)^2.4*1.004^A720,0)</f>
        <v>8639606290</v>
      </c>
      <c r="F720" s="6" t="n">
        <f aca="false">ROUND(Building_Levels!$I$2*(A720+1)^1.9*1.003^A720,2)</f>
        <v>977.15</v>
      </c>
      <c r="G720" s="6" t="n">
        <f aca="false">ROUND((A720+1)^1.12,1)</f>
        <v>1575.8</v>
      </c>
    </row>
    <row r="721" customFormat="false" ht="15" hidden="false" customHeight="true" outlineLevel="0" collapsed="false">
      <c r="A721" s="6" t="n">
        <v>716</v>
      </c>
      <c r="B721" s="6" t="n">
        <f aca="false">MIN(42, FLOOR(A721/32,1)+1)</f>
        <v>23</v>
      </c>
      <c r="C721" s="6" t="n">
        <f aca="false">ROUND($B$2*(A721+1)^2.4*1.004^A721,0)</f>
        <v>11189916719</v>
      </c>
      <c r="D721" s="6" t="n">
        <f aca="false">ROUND($D$2*(A721+1)^2.4*1.004^A721,0)</f>
        <v>9946592639</v>
      </c>
      <c r="E721" s="6" t="n">
        <f aca="false">ROUND($F$2*(A721+1)^2.4*1.004^A721,0)</f>
        <v>8703268559</v>
      </c>
      <c r="F721" s="6" t="n">
        <f aca="false">ROUND(Building_Levels!$I$2*(A721+1)^1.9*1.003^A721,2)</f>
        <v>982.69</v>
      </c>
      <c r="G721" s="6" t="n">
        <f aca="false">ROUND((A721+1)^1.12,1)</f>
        <v>1578.3</v>
      </c>
    </row>
    <row r="722" customFormat="false" ht="15" hidden="false" customHeight="true" outlineLevel="0" collapsed="false">
      <c r="A722" s="6" t="n">
        <v>717</v>
      </c>
      <c r="B722" s="6" t="n">
        <f aca="false">MIN(42, FLOOR(A722/32,1)+1)</f>
        <v>23</v>
      </c>
      <c r="C722" s="6" t="n">
        <f aca="false">ROUND($B$2*(A722+1)^2.4*1.004^A722,0)</f>
        <v>11272318718</v>
      </c>
      <c r="D722" s="6" t="n">
        <f aca="false">ROUND($D$2*(A722+1)^2.4*1.004^A722,0)</f>
        <v>10019838860</v>
      </c>
      <c r="E722" s="6" t="n">
        <f aca="false">ROUND($F$2*(A722+1)^2.4*1.004^A722,0)</f>
        <v>8767359003</v>
      </c>
      <c r="F722" s="6" t="n">
        <f aca="false">ROUND(Building_Levels!$I$2*(A722+1)^1.9*1.003^A722,2)</f>
        <v>988.25</v>
      </c>
      <c r="G722" s="6" t="n">
        <f aca="false">ROUND((A722+1)^1.12,1)</f>
        <v>1580.7</v>
      </c>
    </row>
    <row r="723" customFormat="false" ht="15" hidden="false" customHeight="true" outlineLevel="0" collapsed="false">
      <c r="A723" s="6" t="n">
        <v>718</v>
      </c>
      <c r="B723" s="6" t="n">
        <f aca="false">MIN(42, FLOOR(A723/32,1)+1)</f>
        <v>23</v>
      </c>
      <c r="C723" s="6" t="n">
        <f aca="false">ROUND($B$2*(A723+1)^2.4*1.004^A723,0)</f>
        <v>11355274657</v>
      </c>
      <c r="D723" s="6" t="n">
        <f aca="false">ROUND($D$2*(A723+1)^2.4*1.004^A723,0)</f>
        <v>10093577473</v>
      </c>
      <c r="E723" s="6" t="n">
        <f aca="false">ROUND($F$2*(A723+1)^2.4*1.004^A723,0)</f>
        <v>8831880289</v>
      </c>
      <c r="F723" s="6" t="n">
        <f aca="false">ROUND(Building_Levels!$I$2*(A723+1)^1.9*1.003^A723,2)</f>
        <v>993.84</v>
      </c>
      <c r="G723" s="6" t="n">
        <f aca="false">ROUND((A723+1)^1.12,1)</f>
        <v>1583.2</v>
      </c>
    </row>
    <row r="724" customFormat="false" ht="15" hidden="false" customHeight="true" outlineLevel="0" collapsed="false">
      <c r="A724" s="6" t="n">
        <v>719</v>
      </c>
      <c r="B724" s="6" t="n">
        <f aca="false">MIN(42, FLOOR(A724/32,1)+1)</f>
        <v>23</v>
      </c>
      <c r="C724" s="6" t="n">
        <f aca="false">ROUND($B$2*(A724+1)^2.4*1.004^A724,0)</f>
        <v>11438787985</v>
      </c>
      <c r="D724" s="6" t="n">
        <f aca="false">ROUND($D$2*(A724+1)^2.4*1.004^A724,0)</f>
        <v>10167811543</v>
      </c>
      <c r="E724" s="6" t="n">
        <f aca="false">ROUND($F$2*(A724+1)^2.4*1.004^A724,0)</f>
        <v>8896835100</v>
      </c>
      <c r="F724" s="6" t="n">
        <f aca="false">ROUND(Building_Levels!$I$2*(A724+1)^1.9*1.003^A724,2)</f>
        <v>999.46</v>
      </c>
      <c r="G724" s="6" t="n">
        <f aca="false">ROUND((A724+1)^1.12,1)</f>
        <v>1585.7</v>
      </c>
    </row>
    <row r="725" customFormat="false" ht="15" hidden="false" customHeight="true" outlineLevel="0" collapsed="false">
      <c r="A725" s="6" t="n">
        <v>720</v>
      </c>
      <c r="B725" s="6" t="n">
        <f aca="false">MIN(42, FLOOR(A725/32,1)+1)</f>
        <v>23</v>
      </c>
      <c r="C725" s="6" t="n">
        <f aca="false">ROUND($B$2*(A725+1)^2.4*1.004^A725,0)</f>
        <v>11522862173</v>
      </c>
      <c r="D725" s="6" t="n">
        <f aca="false">ROUND($D$2*(A725+1)^2.4*1.004^A725,0)</f>
        <v>10242544154</v>
      </c>
      <c r="E725" s="6" t="n">
        <f aca="false">ROUND($F$2*(A725+1)^2.4*1.004^A725,0)</f>
        <v>8962226135</v>
      </c>
      <c r="F725" s="6" t="n">
        <f aca="false">ROUND(Building_Levels!$I$2*(A725+1)^1.9*1.003^A725,2)</f>
        <v>1005.1</v>
      </c>
      <c r="G725" s="6" t="n">
        <f aca="false">ROUND((A725+1)^1.12,1)</f>
        <v>1588.1</v>
      </c>
    </row>
    <row r="726" customFormat="false" ht="15" hidden="false" customHeight="true" outlineLevel="0" collapsed="false">
      <c r="A726" s="6" t="n">
        <v>721</v>
      </c>
      <c r="B726" s="6" t="n">
        <f aca="false">MIN(42, FLOOR(A726/32,1)+1)</f>
        <v>23</v>
      </c>
      <c r="C726" s="6" t="n">
        <f aca="false">ROUND($B$2*(A726+1)^2.4*1.004^A726,0)</f>
        <v>11607500710</v>
      </c>
      <c r="D726" s="6" t="n">
        <f aca="false">ROUND($D$2*(A726+1)^2.4*1.004^A726,0)</f>
        <v>10317778409</v>
      </c>
      <c r="E726" s="6" t="n">
        <f aca="false">ROUND($F$2*(A726+1)^2.4*1.004^A726,0)</f>
        <v>9028056108</v>
      </c>
      <c r="F726" s="6" t="n">
        <f aca="false">ROUND(Building_Levels!$I$2*(A726+1)^1.9*1.003^A726,2)</f>
        <v>1010.78</v>
      </c>
      <c r="G726" s="6" t="n">
        <f aca="false">ROUND((A726+1)^1.12,1)</f>
        <v>1590.6</v>
      </c>
    </row>
    <row r="727" customFormat="false" ht="15" hidden="false" customHeight="true" outlineLevel="0" collapsed="false">
      <c r="A727" s="6" t="n">
        <v>722</v>
      </c>
      <c r="B727" s="6" t="n">
        <f aca="false">MIN(42, FLOOR(A727/32,1)+1)</f>
        <v>23</v>
      </c>
      <c r="C727" s="6" t="n">
        <f aca="false">ROUND($B$2*(A727+1)^2.4*1.004^A727,0)</f>
        <v>11692707106</v>
      </c>
      <c r="D727" s="6" t="n">
        <f aca="false">ROUND($D$2*(A727+1)^2.4*1.004^A727,0)</f>
        <v>10393517427</v>
      </c>
      <c r="E727" s="6" t="n">
        <f aca="false">ROUND($F$2*(A727+1)^2.4*1.004^A727,0)</f>
        <v>9094327749</v>
      </c>
      <c r="F727" s="6" t="n">
        <f aca="false">ROUND(Building_Levels!$I$2*(A727+1)^1.9*1.003^A727,2)</f>
        <v>1016.48</v>
      </c>
      <c r="G727" s="6" t="n">
        <f aca="false">ROUND((A727+1)^1.12,1)</f>
        <v>1593.1</v>
      </c>
    </row>
    <row r="728" customFormat="false" ht="15" hidden="false" customHeight="true" outlineLevel="0" collapsed="false">
      <c r="A728" s="6" t="n">
        <v>723</v>
      </c>
      <c r="B728" s="6" t="n">
        <f aca="false">MIN(42, FLOOR(A728/32,1)+1)</f>
        <v>23</v>
      </c>
      <c r="C728" s="6" t="n">
        <f aca="false">ROUND($B$2*(A728+1)^2.4*1.004^A728,0)</f>
        <v>11778484892</v>
      </c>
      <c r="D728" s="6" t="n">
        <f aca="false">ROUND($D$2*(A728+1)^2.4*1.004^A728,0)</f>
        <v>10469764349</v>
      </c>
      <c r="E728" s="6" t="n">
        <f aca="false">ROUND($F$2*(A728+1)^2.4*1.004^A728,0)</f>
        <v>9161043805</v>
      </c>
      <c r="F728" s="6" t="n">
        <f aca="false">ROUND(Building_Levels!$I$2*(A728+1)^1.9*1.003^A728,2)</f>
        <v>1022.21</v>
      </c>
      <c r="G728" s="6" t="n">
        <f aca="false">ROUND((A728+1)^1.12,1)</f>
        <v>1595.5</v>
      </c>
    </row>
    <row r="729" customFormat="false" ht="15" hidden="false" customHeight="true" outlineLevel="0" collapsed="false">
      <c r="A729" s="6" t="n">
        <v>724</v>
      </c>
      <c r="B729" s="6" t="n">
        <f aca="false">MIN(42, FLOOR(A729/32,1)+1)</f>
        <v>23</v>
      </c>
      <c r="C729" s="6" t="n">
        <f aca="false">ROUND($B$2*(A729+1)^2.4*1.004^A729,0)</f>
        <v>11864837620</v>
      </c>
      <c r="D729" s="6" t="n">
        <f aca="false">ROUND($D$2*(A729+1)^2.4*1.004^A729,0)</f>
        <v>10546522329</v>
      </c>
      <c r="E729" s="6" t="n">
        <f aca="false">ROUND($F$2*(A729+1)^2.4*1.004^A729,0)</f>
        <v>9228207038</v>
      </c>
      <c r="F729" s="6" t="n">
        <f aca="false">ROUND(Building_Levels!$I$2*(A729+1)^1.9*1.003^A729,2)</f>
        <v>1027.97</v>
      </c>
      <c r="G729" s="6" t="n">
        <f aca="false">ROUND((A729+1)^1.12,1)</f>
        <v>1598</v>
      </c>
    </row>
    <row r="730" customFormat="false" ht="15" hidden="false" customHeight="true" outlineLevel="0" collapsed="false">
      <c r="A730" s="6" t="n">
        <v>725</v>
      </c>
      <c r="B730" s="6" t="n">
        <f aca="false">MIN(42, FLOOR(A730/32,1)+1)</f>
        <v>23</v>
      </c>
      <c r="C730" s="6" t="n">
        <f aca="false">ROUND($B$2*(A730+1)^2.4*1.004^A730,0)</f>
        <v>11951768862</v>
      </c>
      <c r="D730" s="6" t="n">
        <f aca="false">ROUND($D$2*(A730+1)^2.4*1.004^A730,0)</f>
        <v>10623794544</v>
      </c>
      <c r="E730" s="6" t="n">
        <f aca="false">ROUND($F$2*(A730+1)^2.4*1.004^A730,0)</f>
        <v>9295820226</v>
      </c>
      <c r="F730" s="6" t="n">
        <f aca="false">ROUND(Building_Levels!$I$2*(A730+1)^1.9*1.003^A730,2)</f>
        <v>1033.75</v>
      </c>
      <c r="G730" s="6" t="n">
        <f aca="false">ROUND((A730+1)^1.12,1)</f>
        <v>1600.5</v>
      </c>
    </row>
    <row r="731" customFormat="false" ht="15" hidden="false" customHeight="true" outlineLevel="0" collapsed="false">
      <c r="A731" s="6" t="n">
        <v>726</v>
      </c>
      <c r="B731" s="6" t="n">
        <f aca="false">MIN(42, FLOOR(A731/32,1)+1)</f>
        <v>23</v>
      </c>
      <c r="C731" s="6" t="n">
        <f aca="false">ROUND($B$2*(A731+1)^2.4*1.004^A731,0)</f>
        <v>12039282212</v>
      </c>
      <c r="D731" s="6" t="n">
        <f aca="false">ROUND($D$2*(A731+1)^2.4*1.004^A731,0)</f>
        <v>10701584188</v>
      </c>
      <c r="E731" s="6" t="n">
        <f aca="false">ROUND($F$2*(A731+1)^2.4*1.004^A731,0)</f>
        <v>9363886165</v>
      </c>
      <c r="F731" s="6" t="n">
        <f aca="false">ROUND(Building_Levels!$I$2*(A731+1)^1.9*1.003^A731,2)</f>
        <v>1039.57</v>
      </c>
      <c r="G731" s="6" t="n">
        <f aca="false">ROUND((A731+1)^1.12,1)</f>
        <v>1602.9</v>
      </c>
    </row>
    <row r="732" customFormat="false" ht="15" hidden="false" customHeight="true" outlineLevel="0" collapsed="false">
      <c r="A732" s="6" t="n">
        <v>727</v>
      </c>
      <c r="B732" s="6" t="n">
        <f aca="false">MIN(42, FLOOR(A732/32,1)+1)</f>
        <v>23</v>
      </c>
      <c r="C732" s="6" t="n">
        <f aca="false">ROUND($B$2*(A732+1)^2.4*1.004^A732,0)</f>
        <v>12127381283</v>
      </c>
      <c r="D732" s="6" t="n">
        <f aca="false">ROUND($D$2*(A732+1)^2.4*1.004^A732,0)</f>
        <v>10779894474</v>
      </c>
      <c r="E732" s="6" t="n">
        <f aca="false">ROUND($F$2*(A732+1)^2.4*1.004^A732,0)</f>
        <v>9432407665</v>
      </c>
      <c r="F732" s="6" t="n">
        <f aca="false">ROUND(Building_Levels!$I$2*(A732+1)^1.9*1.003^A732,2)</f>
        <v>1045.42</v>
      </c>
      <c r="G732" s="6" t="n">
        <f aca="false">ROUND((A732+1)^1.12,1)</f>
        <v>1605.4</v>
      </c>
    </row>
    <row r="733" customFormat="false" ht="15" hidden="false" customHeight="true" outlineLevel="0" collapsed="false">
      <c r="A733" s="6" t="n">
        <v>728</v>
      </c>
      <c r="B733" s="6" t="n">
        <f aca="false">MIN(42, FLOOR(A733/32,1)+1)</f>
        <v>23</v>
      </c>
      <c r="C733" s="6" t="n">
        <f aca="false">ROUND($B$2*(A733+1)^2.4*1.004^A733,0)</f>
        <v>12216069711</v>
      </c>
      <c r="D733" s="6" t="n">
        <f aca="false">ROUND($D$2*(A733+1)^2.4*1.004^A733,0)</f>
        <v>10858728632</v>
      </c>
      <c r="E733" s="6" t="n">
        <f aca="false">ROUND($F$2*(A733+1)^2.4*1.004^A733,0)</f>
        <v>9501387553</v>
      </c>
      <c r="F733" s="6" t="n">
        <f aca="false">ROUND(Building_Levels!$I$2*(A733+1)^1.9*1.003^A733,2)</f>
        <v>1051.29</v>
      </c>
      <c r="G733" s="6" t="n">
        <f aca="false">ROUND((A733+1)^1.12,1)</f>
        <v>1607.9</v>
      </c>
    </row>
    <row r="734" customFormat="false" ht="15" hidden="false" customHeight="true" outlineLevel="0" collapsed="false">
      <c r="A734" s="6" t="n">
        <v>729</v>
      </c>
      <c r="B734" s="6" t="n">
        <f aca="false">MIN(42, FLOOR(A734/32,1)+1)</f>
        <v>23</v>
      </c>
      <c r="C734" s="6" t="n">
        <f aca="false">ROUND($B$2*(A734+1)^2.4*1.004^A734,0)</f>
        <v>12305351152</v>
      </c>
      <c r="D734" s="6" t="n">
        <f aca="false">ROUND($D$2*(A734+1)^2.4*1.004^A734,0)</f>
        <v>10938089913</v>
      </c>
      <c r="E734" s="6" t="n">
        <f aca="false">ROUND($F$2*(A734+1)^2.4*1.004^A734,0)</f>
        <v>9570828674</v>
      </c>
      <c r="F734" s="6" t="n">
        <f aca="false">ROUND(Building_Levels!$I$2*(A734+1)^1.9*1.003^A734,2)</f>
        <v>1057.19</v>
      </c>
      <c r="G734" s="6" t="n">
        <f aca="false">ROUND((A734+1)^1.12,1)</f>
        <v>1610.4</v>
      </c>
    </row>
    <row r="735" customFormat="false" ht="15" hidden="false" customHeight="true" outlineLevel="0" collapsed="false">
      <c r="A735" s="6" t="n">
        <v>730</v>
      </c>
      <c r="B735" s="6" t="n">
        <f aca="false">MIN(42, FLOOR(A735/32,1)+1)</f>
        <v>23</v>
      </c>
      <c r="C735" s="6" t="n">
        <f aca="false">ROUND($B$2*(A735+1)^2.4*1.004^A735,0)</f>
        <v>12395229286</v>
      </c>
      <c r="D735" s="6" t="n">
        <f aca="false">ROUND($D$2*(A735+1)^2.4*1.004^A735,0)</f>
        <v>11017981587</v>
      </c>
      <c r="E735" s="6" t="n">
        <f aca="false">ROUND($F$2*(A735+1)^2.4*1.004^A735,0)</f>
        <v>9640733889</v>
      </c>
      <c r="F735" s="6" t="n">
        <f aca="false">ROUND(Building_Levels!$I$2*(A735+1)^1.9*1.003^A735,2)</f>
        <v>1063.13</v>
      </c>
      <c r="G735" s="6" t="n">
        <f aca="false">ROUND((A735+1)^1.12,1)</f>
        <v>1612.8</v>
      </c>
    </row>
    <row r="736" customFormat="false" ht="15" hidden="false" customHeight="true" outlineLevel="0" collapsed="false">
      <c r="A736" s="6" t="n">
        <v>731</v>
      </c>
      <c r="B736" s="6" t="n">
        <f aca="false">MIN(42, FLOOR(A736/32,1)+1)</f>
        <v>23</v>
      </c>
      <c r="C736" s="6" t="n">
        <f aca="false">ROUND($B$2*(A736+1)^2.4*1.004^A736,0)</f>
        <v>12485707810</v>
      </c>
      <c r="D736" s="6" t="n">
        <f aca="false">ROUND($D$2*(A736+1)^2.4*1.004^A736,0)</f>
        <v>11098406942</v>
      </c>
      <c r="E736" s="6" t="n">
        <f aca="false">ROUND($F$2*(A736+1)^2.4*1.004^A736,0)</f>
        <v>9711106074</v>
      </c>
      <c r="F736" s="6" t="n">
        <f aca="false">ROUND(Building_Levels!$I$2*(A736+1)^1.9*1.003^A736,2)</f>
        <v>1069.09</v>
      </c>
      <c r="G736" s="6" t="n">
        <f aca="false">ROUND((A736+1)^1.12,1)</f>
        <v>1615.3</v>
      </c>
    </row>
    <row r="737" customFormat="false" ht="15" hidden="false" customHeight="true" outlineLevel="0" collapsed="false">
      <c r="A737" s="6" t="n">
        <v>732</v>
      </c>
      <c r="B737" s="6" t="n">
        <f aca="false">MIN(42, FLOOR(A737/32,1)+1)</f>
        <v>23</v>
      </c>
      <c r="C737" s="6" t="n">
        <f aca="false">ROUND($B$2*(A737+1)^2.4*1.004^A737,0)</f>
        <v>12576790446</v>
      </c>
      <c r="D737" s="6" t="n">
        <f aca="false">ROUND($D$2*(A737+1)^2.4*1.004^A737,0)</f>
        <v>11179369285</v>
      </c>
      <c r="E737" s="6" t="n">
        <f aca="false">ROUND($F$2*(A737+1)^2.4*1.004^A737,0)</f>
        <v>9781948124</v>
      </c>
      <c r="F737" s="6" t="n">
        <f aca="false">ROUND(Building_Levels!$I$2*(A737+1)^1.9*1.003^A737,2)</f>
        <v>1075.08</v>
      </c>
      <c r="G737" s="6" t="n">
        <f aca="false">ROUND((A737+1)^1.12,1)</f>
        <v>1617.8</v>
      </c>
    </row>
    <row r="738" customFormat="false" ht="15" hidden="false" customHeight="true" outlineLevel="0" collapsed="false">
      <c r="A738" s="6" t="n">
        <v>733</v>
      </c>
      <c r="B738" s="6" t="n">
        <f aca="false">MIN(42, FLOOR(A738/32,1)+1)</f>
        <v>23</v>
      </c>
      <c r="C738" s="6" t="n">
        <f aca="false">ROUND($B$2*(A738+1)^2.4*1.004^A738,0)</f>
        <v>12668480936</v>
      </c>
      <c r="D738" s="6" t="n">
        <f aca="false">ROUND($D$2*(A738+1)^2.4*1.004^A738,0)</f>
        <v>11260871944</v>
      </c>
      <c r="E738" s="6" t="n">
        <f aca="false">ROUND($F$2*(A738+1)^2.4*1.004^A738,0)</f>
        <v>9853262951</v>
      </c>
      <c r="F738" s="6" t="n">
        <f aca="false">ROUND(Building_Levels!$I$2*(A738+1)^1.9*1.003^A738,2)</f>
        <v>1081.1</v>
      </c>
      <c r="G738" s="6" t="n">
        <f aca="false">ROUND((A738+1)^1.12,1)</f>
        <v>1620.2</v>
      </c>
    </row>
    <row r="739" customFormat="false" ht="15" hidden="false" customHeight="true" outlineLevel="0" collapsed="false">
      <c r="A739" s="6" t="n">
        <v>734</v>
      </c>
      <c r="B739" s="6" t="n">
        <f aca="false">MIN(42, FLOOR(A739/32,1)+1)</f>
        <v>23</v>
      </c>
      <c r="C739" s="6" t="n">
        <f aca="false">ROUND($B$2*(A739+1)^2.4*1.004^A739,0)</f>
        <v>12760783047</v>
      </c>
      <c r="D739" s="6" t="n">
        <f aca="false">ROUND($D$2*(A739+1)^2.4*1.004^A739,0)</f>
        <v>11342918264</v>
      </c>
      <c r="E739" s="6" t="n">
        <f aca="false">ROUND($F$2*(A739+1)^2.4*1.004^A739,0)</f>
        <v>9925053481</v>
      </c>
      <c r="F739" s="6" t="n">
        <f aca="false">ROUND(Building_Levels!$I$2*(A739+1)^1.9*1.003^A739,2)</f>
        <v>1087.16</v>
      </c>
      <c r="G739" s="6" t="n">
        <f aca="false">ROUND((A739+1)^1.12,1)</f>
        <v>1622.7</v>
      </c>
    </row>
    <row r="740" customFormat="false" ht="15" hidden="false" customHeight="true" outlineLevel="0" collapsed="false">
      <c r="A740" s="6" t="n">
        <v>735</v>
      </c>
      <c r="B740" s="6" t="n">
        <f aca="false">MIN(42, FLOOR(A740/32,1)+1)</f>
        <v>23</v>
      </c>
      <c r="C740" s="6" t="n">
        <f aca="false">ROUND($B$2*(A740+1)^2.4*1.004^A740,0)</f>
        <v>12853700563</v>
      </c>
      <c r="D740" s="6" t="n">
        <f aca="false">ROUND($D$2*(A740+1)^2.4*1.004^A740,0)</f>
        <v>11425511612</v>
      </c>
      <c r="E740" s="6" t="n">
        <f aca="false">ROUND($F$2*(A740+1)^2.4*1.004^A740,0)</f>
        <v>9997322660</v>
      </c>
      <c r="F740" s="6" t="n">
        <f aca="false">ROUND(Building_Levels!$I$2*(A740+1)^1.9*1.003^A740,2)</f>
        <v>1093.24</v>
      </c>
      <c r="G740" s="6" t="n">
        <f aca="false">ROUND((A740+1)^1.12,1)</f>
        <v>1625.2</v>
      </c>
    </row>
    <row r="741" customFormat="false" ht="15" hidden="false" customHeight="true" outlineLevel="0" collapsed="false">
      <c r="A741" s="6" t="n">
        <v>736</v>
      </c>
      <c r="B741" s="6" t="n">
        <f aca="false">MIN(42, FLOOR(A741/32,1)+1)</f>
        <v>24</v>
      </c>
      <c r="C741" s="6" t="n">
        <f aca="false">ROUND($B$2*(A741+1)^2.4*1.004^A741,0)</f>
        <v>12947237294</v>
      </c>
      <c r="D741" s="6" t="n">
        <f aca="false">ROUND($D$2*(A741+1)^2.4*1.004^A741,0)</f>
        <v>11508655372</v>
      </c>
      <c r="E741" s="6" t="n">
        <f aca="false">ROUND($F$2*(A741+1)^2.4*1.004^A741,0)</f>
        <v>10070073451</v>
      </c>
      <c r="F741" s="6" t="n">
        <f aca="false">ROUND(Building_Levels!$I$2*(A741+1)^1.9*1.003^A741,2)</f>
        <v>1099.35</v>
      </c>
      <c r="G741" s="6" t="n">
        <f aca="false">ROUND((A741+1)^1.12,1)</f>
        <v>1627.7</v>
      </c>
    </row>
    <row r="742" customFormat="false" ht="15" hidden="false" customHeight="true" outlineLevel="0" collapsed="false">
      <c r="A742" s="6" t="n">
        <v>737</v>
      </c>
      <c r="B742" s="6" t="n">
        <f aca="false">MIN(42, FLOOR(A742/32,1)+1)</f>
        <v>24</v>
      </c>
      <c r="C742" s="6" t="n">
        <f aca="false">ROUND($B$2*(A742+1)^2.4*1.004^A742,0)</f>
        <v>13041397071</v>
      </c>
      <c r="D742" s="6" t="n">
        <f aca="false">ROUND($D$2*(A742+1)^2.4*1.004^A742,0)</f>
        <v>11592352952</v>
      </c>
      <c r="E742" s="6" t="n">
        <f aca="false">ROUND($F$2*(A742+1)^2.4*1.004^A742,0)</f>
        <v>10143308833</v>
      </c>
      <c r="F742" s="6" t="n">
        <f aca="false">ROUND(Building_Levels!$I$2*(A742+1)^1.9*1.003^A742,2)</f>
        <v>1105.49</v>
      </c>
      <c r="G742" s="6" t="n">
        <f aca="false">ROUND((A742+1)^1.12,1)</f>
        <v>1630.1</v>
      </c>
    </row>
    <row r="743" customFormat="false" ht="15" hidden="false" customHeight="true" outlineLevel="0" collapsed="false">
      <c r="A743" s="6" t="n">
        <v>738</v>
      </c>
      <c r="B743" s="6" t="n">
        <f aca="false">MIN(42, FLOOR(A743/32,1)+1)</f>
        <v>24</v>
      </c>
      <c r="C743" s="6" t="n">
        <f aca="false">ROUND($B$2*(A743+1)^2.4*1.004^A743,0)</f>
        <v>13136183746</v>
      </c>
      <c r="D743" s="6" t="n">
        <f aca="false">ROUND($D$2*(A743+1)^2.4*1.004^A743,0)</f>
        <v>11676607774</v>
      </c>
      <c r="E743" s="6" t="n">
        <f aca="false">ROUND($F$2*(A743+1)^2.4*1.004^A743,0)</f>
        <v>10217031802</v>
      </c>
      <c r="F743" s="6" t="n">
        <f aca="false">ROUND(Building_Levels!$I$2*(A743+1)^1.9*1.003^A743,2)</f>
        <v>1111.67</v>
      </c>
      <c r="G743" s="6" t="n">
        <f aca="false">ROUND((A743+1)^1.12,1)</f>
        <v>1632.6</v>
      </c>
    </row>
    <row r="744" customFormat="false" ht="15" hidden="false" customHeight="true" outlineLevel="0" collapsed="false">
      <c r="A744" s="6" t="n">
        <v>739</v>
      </c>
      <c r="B744" s="6" t="n">
        <f aca="false">MIN(42, FLOOR(A744/32,1)+1)</f>
        <v>24</v>
      </c>
      <c r="C744" s="6" t="n">
        <f aca="false">ROUND($B$2*(A744+1)^2.4*1.004^A744,0)</f>
        <v>13231601196</v>
      </c>
      <c r="D744" s="6" t="n">
        <f aca="false">ROUND($D$2*(A744+1)^2.4*1.004^A744,0)</f>
        <v>11761423285</v>
      </c>
      <c r="E744" s="6" t="n">
        <f aca="false">ROUND($F$2*(A744+1)^2.4*1.004^A744,0)</f>
        <v>10291245374</v>
      </c>
      <c r="F744" s="6" t="n">
        <f aca="false">ROUND(Building_Levels!$I$2*(A744+1)^1.9*1.003^A744,2)</f>
        <v>1117.87</v>
      </c>
      <c r="G744" s="6" t="n">
        <f aca="false">ROUND((A744+1)^1.12,1)</f>
        <v>1635.1</v>
      </c>
    </row>
    <row r="745" customFormat="false" ht="15" hidden="false" customHeight="true" outlineLevel="0" collapsed="false">
      <c r="A745" s="6" t="n">
        <v>740</v>
      </c>
      <c r="B745" s="6" t="n">
        <f aca="false">MIN(42, FLOOR(A745/32,1)+1)</f>
        <v>24</v>
      </c>
      <c r="C745" s="6" t="n">
        <f aca="false">ROUND($B$2*(A745+1)^2.4*1.004^A745,0)</f>
        <v>13327653318</v>
      </c>
      <c r="D745" s="6" t="n">
        <f aca="false">ROUND($D$2*(A745+1)^2.4*1.004^A745,0)</f>
        <v>11846802950</v>
      </c>
      <c r="E745" s="6" t="n">
        <f aca="false">ROUND($F$2*(A745+1)^2.4*1.004^A745,0)</f>
        <v>10365952581</v>
      </c>
      <c r="F745" s="6" t="n">
        <f aca="false">ROUND(Building_Levels!$I$2*(A745+1)^1.9*1.003^A745,2)</f>
        <v>1124.1</v>
      </c>
      <c r="G745" s="6" t="n">
        <f aca="false">ROUND((A745+1)^1.12,1)</f>
        <v>1637.6</v>
      </c>
    </row>
    <row r="746" customFormat="false" ht="15" hidden="false" customHeight="true" outlineLevel="0" collapsed="false">
      <c r="A746" s="6" t="n">
        <v>741</v>
      </c>
      <c r="B746" s="6" t="n">
        <f aca="false">MIN(42, FLOOR(A746/32,1)+1)</f>
        <v>24</v>
      </c>
      <c r="C746" s="6" t="n">
        <f aca="false">ROUND($B$2*(A746+1)^2.4*1.004^A746,0)</f>
        <v>13424344035</v>
      </c>
      <c r="D746" s="6" t="n">
        <f aca="false">ROUND($D$2*(A746+1)^2.4*1.004^A746,0)</f>
        <v>11932750253</v>
      </c>
      <c r="E746" s="6" t="n">
        <f aca="false">ROUND($F$2*(A746+1)^2.4*1.004^A746,0)</f>
        <v>10441156471</v>
      </c>
      <c r="F746" s="6" t="n">
        <f aca="false">ROUND(Building_Levels!$I$2*(A746+1)^1.9*1.003^A746,2)</f>
        <v>1130.37</v>
      </c>
      <c r="G746" s="6" t="n">
        <f aca="false">ROUND((A746+1)^1.12,1)</f>
        <v>1640</v>
      </c>
    </row>
    <row r="747" customFormat="false" ht="15" hidden="false" customHeight="true" outlineLevel="0" collapsed="false">
      <c r="A747" s="6" t="n">
        <v>742</v>
      </c>
      <c r="B747" s="6" t="n">
        <f aca="false">MIN(42, FLOOR(A747/32,1)+1)</f>
        <v>24</v>
      </c>
      <c r="C747" s="6" t="n">
        <f aca="false">ROUND($B$2*(A747+1)^2.4*1.004^A747,0)</f>
        <v>13521677288</v>
      </c>
      <c r="D747" s="6" t="n">
        <f aca="false">ROUND($D$2*(A747+1)^2.4*1.004^A747,0)</f>
        <v>12019268701</v>
      </c>
      <c r="E747" s="6" t="n">
        <f aca="false">ROUND($F$2*(A747+1)^2.4*1.004^A747,0)</f>
        <v>10516860113</v>
      </c>
      <c r="F747" s="6" t="n">
        <f aca="false">ROUND(Building_Levels!$I$2*(A747+1)^1.9*1.003^A747,2)</f>
        <v>1136.66</v>
      </c>
      <c r="G747" s="6" t="n">
        <f aca="false">ROUND((A747+1)^1.12,1)</f>
        <v>1642.5</v>
      </c>
    </row>
    <row r="748" customFormat="false" ht="15" hidden="false" customHeight="true" outlineLevel="0" collapsed="false">
      <c r="A748" s="6" t="n">
        <v>743</v>
      </c>
      <c r="B748" s="6" t="n">
        <f aca="false">MIN(42, FLOOR(A748/32,1)+1)</f>
        <v>24</v>
      </c>
      <c r="C748" s="6" t="n">
        <f aca="false">ROUND($B$2*(A748+1)^2.4*1.004^A748,0)</f>
        <v>13619657046</v>
      </c>
      <c r="D748" s="6" t="n">
        <f aca="false">ROUND($D$2*(A748+1)^2.4*1.004^A748,0)</f>
        <v>12106361819</v>
      </c>
      <c r="E748" s="6" t="n">
        <f aca="false">ROUND($F$2*(A748+1)^2.4*1.004^A748,0)</f>
        <v>10593066592</v>
      </c>
      <c r="F748" s="6" t="n">
        <f aca="false">ROUND(Building_Levels!$I$2*(A748+1)^1.9*1.003^A748,2)</f>
        <v>1142.99</v>
      </c>
      <c r="G748" s="6" t="n">
        <f aca="false">ROUND((A748+1)^1.12,1)</f>
        <v>1645</v>
      </c>
    </row>
    <row r="749" customFormat="false" ht="15" hidden="false" customHeight="true" outlineLevel="0" collapsed="false">
      <c r="A749" s="6" t="n">
        <v>744</v>
      </c>
      <c r="B749" s="6" t="n">
        <f aca="false">MIN(42, FLOOR(A749/32,1)+1)</f>
        <v>24</v>
      </c>
      <c r="C749" s="6" t="n">
        <f aca="false">ROUND($B$2*(A749+1)^2.4*1.004^A749,0)</f>
        <v>13718287298</v>
      </c>
      <c r="D749" s="6" t="n">
        <f aca="false">ROUND($D$2*(A749+1)^2.4*1.004^A749,0)</f>
        <v>12194033154</v>
      </c>
      <c r="E749" s="6" t="n">
        <f aca="false">ROUND($F$2*(A749+1)^2.4*1.004^A749,0)</f>
        <v>10669779010</v>
      </c>
      <c r="F749" s="6" t="n">
        <f aca="false">ROUND(Building_Levels!$I$2*(A749+1)^1.9*1.003^A749,2)</f>
        <v>1149.35</v>
      </c>
      <c r="G749" s="6" t="n">
        <f aca="false">ROUND((A749+1)^1.12,1)</f>
        <v>1647.5</v>
      </c>
    </row>
    <row r="750" customFormat="false" ht="15" hidden="false" customHeight="true" outlineLevel="0" collapsed="false">
      <c r="A750" s="6" t="n">
        <v>745</v>
      </c>
      <c r="B750" s="6" t="n">
        <f aca="false">MIN(42, FLOOR(A750/32,1)+1)</f>
        <v>24</v>
      </c>
      <c r="C750" s="6" t="n">
        <f aca="false">ROUND($B$2*(A750+1)^2.4*1.004^A750,0)</f>
        <v>13817572058</v>
      </c>
      <c r="D750" s="6" t="n">
        <f aca="false">ROUND($D$2*(A750+1)^2.4*1.004^A750,0)</f>
        <v>12282286274</v>
      </c>
      <c r="E750" s="6" t="n">
        <f aca="false">ROUND($F$2*(A750+1)^2.4*1.004^A750,0)</f>
        <v>10747000489</v>
      </c>
      <c r="F750" s="6" t="n">
        <f aca="false">ROUND(Building_Levels!$I$2*(A750+1)^1.9*1.003^A750,2)</f>
        <v>1155.74</v>
      </c>
      <c r="G750" s="6" t="n">
        <f aca="false">ROUND((A750+1)^1.12,1)</f>
        <v>1649.9</v>
      </c>
    </row>
    <row r="751" customFormat="false" ht="15" hidden="false" customHeight="true" outlineLevel="0" collapsed="false">
      <c r="A751" s="6" t="n">
        <v>746</v>
      </c>
      <c r="B751" s="6" t="n">
        <f aca="false">MIN(42, FLOOR(A751/32,1)+1)</f>
        <v>24</v>
      </c>
      <c r="C751" s="6" t="n">
        <f aca="false">ROUND($B$2*(A751+1)^2.4*1.004^A751,0)</f>
        <v>13917515361</v>
      </c>
      <c r="D751" s="6" t="n">
        <f aca="false">ROUND($D$2*(A751+1)^2.4*1.004^A751,0)</f>
        <v>12371124765</v>
      </c>
      <c r="E751" s="6" t="n">
        <f aca="false">ROUND($F$2*(A751+1)^2.4*1.004^A751,0)</f>
        <v>10824734169</v>
      </c>
      <c r="F751" s="6" t="n">
        <f aca="false">ROUND(Building_Levels!$I$2*(A751+1)^1.9*1.003^A751,2)</f>
        <v>1162.16</v>
      </c>
      <c r="G751" s="6" t="n">
        <f aca="false">ROUND((A751+1)^1.12,1)</f>
        <v>1652.4</v>
      </c>
    </row>
    <row r="752" customFormat="false" ht="15" hidden="false" customHeight="true" outlineLevel="0" collapsed="false">
      <c r="A752" s="6" t="n">
        <v>747</v>
      </c>
      <c r="B752" s="6" t="n">
        <f aca="false">MIN(42, FLOOR(A752/32,1)+1)</f>
        <v>24</v>
      </c>
      <c r="C752" s="6" t="n">
        <f aca="false">ROUND($B$2*(A752+1)^2.4*1.004^A752,0)</f>
        <v>14018121267</v>
      </c>
      <c r="D752" s="6" t="n">
        <f aca="false">ROUND($D$2*(A752+1)^2.4*1.004^A752,0)</f>
        <v>12460552238</v>
      </c>
      <c r="E752" s="6" t="n">
        <f aca="false">ROUND($F$2*(A752+1)^2.4*1.004^A752,0)</f>
        <v>10902983208</v>
      </c>
      <c r="F752" s="6" t="n">
        <f aca="false">ROUND(Building_Levels!$I$2*(A752+1)^1.9*1.003^A752,2)</f>
        <v>1168.61</v>
      </c>
      <c r="G752" s="6" t="n">
        <f aca="false">ROUND((A752+1)^1.12,1)</f>
        <v>1654.9</v>
      </c>
    </row>
    <row r="753" customFormat="false" ht="15" hidden="false" customHeight="true" outlineLevel="0" collapsed="false">
      <c r="A753" s="6" t="n">
        <v>748</v>
      </c>
      <c r="B753" s="6" t="n">
        <f aca="false">MIN(42, FLOOR(A753/32,1)+1)</f>
        <v>24</v>
      </c>
      <c r="C753" s="6" t="n">
        <f aca="false">ROUND($B$2*(A753+1)^2.4*1.004^A753,0)</f>
        <v>14119393861</v>
      </c>
      <c r="D753" s="6" t="n">
        <f aca="false">ROUND($D$2*(A753+1)^2.4*1.004^A753,0)</f>
        <v>12550572321</v>
      </c>
      <c r="E753" s="6" t="n">
        <f aca="false">ROUND($F$2*(A753+1)^2.4*1.004^A753,0)</f>
        <v>10981750781</v>
      </c>
      <c r="F753" s="6" t="n">
        <f aca="false">ROUND(Building_Levels!$I$2*(A753+1)^1.9*1.003^A753,2)</f>
        <v>1175.1</v>
      </c>
      <c r="G753" s="6" t="n">
        <f aca="false">ROUND((A753+1)^1.12,1)</f>
        <v>1657.4</v>
      </c>
    </row>
    <row r="754" customFormat="false" ht="15" hidden="false" customHeight="true" outlineLevel="0" collapsed="false">
      <c r="A754" s="6" t="n">
        <v>749</v>
      </c>
      <c r="B754" s="6" t="n">
        <f aca="false">MIN(42, FLOOR(A754/32,1)+1)</f>
        <v>24</v>
      </c>
      <c r="C754" s="6" t="n">
        <f aca="false">ROUND($B$2*(A754+1)^2.4*1.004^A754,0)</f>
        <v>14221337249</v>
      </c>
      <c r="D754" s="6" t="n">
        <f aca="false">ROUND($D$2*(A754+1)^2.4*1.004^A754,0)</f>
        <v>12641188665</v>
      </c>
      <c r="E754" s="6" t="n">
        <f aca="false">ROUND($F$2*(A754+1)^2.4*1.004^A754,0)</f>
        <v>11061040082</v>
      </c>
      <c r="F754" s="6" t="n">
        <f aca="false">ROUND(Building_Levels!$I$2*(A754+1)^1.9*1.003^A754,2)</f>
        <v>1181.62</v>
      </c>
      <c r="G754" s="6" t="n">
        <f aca="false">ROUND((A754+1)^1.12,1)</f>
        <v>1659.8</v>
      </c>
    </row>
    <row r="755" customFormat="false" ht="15" hidden="false" customHeight="true" outlineLevel="0" collapsed="false">
      <c r="A755" s="6" t="n">
        <v>750</v>
      </c>
      <c r="B755" s="6" t="n">
        <f aca="false">MIN(42, FLOOR(A755/32,1)+1)</f>
        <v>24</v>
      </c>
      <c r="C755" s="6" t="n">
        <f aca="false">ROUND($B$2*(A755+1)^2.4*1.004^A755,0)</f>
        <v>14323955562</v>
      </c>
      <c r="D755" s="6" t="n">
        <f aca="false">ROUND($D$2*(A755+1)^2.4*1.004^A755,0)</f>
        <v>12732404944</v>
      </c>
      <c r="E755" s="6" t="n">
        <f aca="false">ROUND($F$2*(A755+1)^2.4*1.004^A755,0)</f>
        <v>11140854326</v>
      </c>
      <c r="F755" s="6" t="n">
        <f aca="false">ROUND(Building_Levels!$I$2*(A755+1)^1.9*1.003^A755,2)</f>
        <v>1188.17</v>
      </c>
      <c r="G755" s="6" t="n">
        <f aca="false">ROUND((A755+1)^1.12,1)</f>
        <v>1662.3</v>
      </c>
    </row>
    <row r="756" customFormat="false" ht="15" hidden="false" customHeight="true" outlineLevel="0" collapsed="false">
      <c r="A756" s="6" t="n">
        <v>751</v>
      </c>
      <c r="B756" s="6" t="n">
        <f aca="false">MIN(42, FLOOR(A756/32,1)+1)</f>
        <v>24</v>
      </c>
      <c r="C756" s="6" t="n">
        <f aca="false">ROUND($B$2*(A756+1)^2.4*1.004^A756,0)</f>
        <v>14427252955</v>
      </c>
      <c r="D756" s="6" t="n">
        <f aca="false">ROUND($D$2*(A756+1)^2.4*1.004^A756,0)</f>
        <v>12824224849</v>
      </c>
      <c r="E756" s="6" t="n">
        <f aca="false">ROUND($F$2*(A756+1)^2.4*1.004^A756,0)</f>
        <v>11221196743</v>
      </c>
      <c r="F756" s="6" t="n">
        <f aca="false">ROUND(Building_Levels!$I$2*(A756+1)^1.9*1.003^A756,2)</f>
        <v>1194.75</v>
      </c>
      <c r="G756" s="6" t="n">
        <f aca="false">ROUND((A756+1)^1.12,1)</f>
        <v>1664.8</v>
      </c>
    </row>
    <row r="757" customFormat="false" ht="15" hidden="false" customHeight="true" outlineLevel="0" collapsed="false">
      <c r="A757" s="6" t="n">
        <v>752</v>
      </c>
      <c r="B757" s="6" t="n">
        <f aca="false">MIN(42, FLOOR(A757/32,1)+1)</f>
        <v>24</v>
      </c>
      <c r="C757" s="6" t="n">
        <f aca="false">ROUND($B$2*(A757+1)^2.4*1.004^A757,0)</f>
        <v>14531233609</v>
      </c>
      <c r="D757" s="6" t="n">
        <f aca="false">ROUND($D$2*(A757+1)^2.4*1.004^A757,0)</f>
        <v>12916652097</v>
      </c>
      <c r="E757" s="6" t="n">
        <f aca="false">ROUND($F$2*(A757+1)^2.4*1.004^A757,0)</f>
        <v>11302070585</v>
      </c>
      <c r="F757" s="6" t="n">
        <f aca="false">ROUND(Building_Levels!$I$2*(A757+1)^1.9*1.003^A757,2)</f>
        <v>1201.36</v>
      </c>
      <c r="G757" s="6" t="n">
        <f aca="false">ROUND((A757+1)^1.12,1)</f>
        <v>1667.3</v>
      </c>
    </row>
    <row r="758" customFormat="false" ht="15" hidden="false" customHeight="true" outlineLevel="0" collapsed="false">
      <c r="A758" s="6" t="n">
        <v>753</v>
      </c>
      <c r="B758" s="6" t="n">
        <f aca="false">MIN(42, FLOOR(A758/32,1)+1)</f>
        <v>24</v>
      </c>
      <c r="C758" s="6" t="n">
        <f aca="false">ROUND($B$2*(A758+1)^2.4*1.004^A758,0)</f>
        <v>14635901726</v>
      </c>
      <c r="D758" s="6" t="n">
        <f aca="false">ROUND($D$2*(A758+1)^2.4*1.004^A758,0)</f>
        <v>13009690423</v>
      </c>
      <c r="E758" s="6" t="n">
        <f aca="false">ROUND($F$2*(A758+1)^2.4*1.004^A758,0)</f>
        <v>11383479120</v>
      </c>
      <c r="F758" s="6" t="n">
        <f aca="false">ROUND(Building_Levels!$I$2*(A758+1)^1.9*1.003^A758,2)</f>
        <v>1208.01</v>
      </c>
      <c r="G758" s="6" t="n">
        <f aca="false">ROUND((A758+1)^1.12,1)</f>
        <v>1669.8</v>
      </c>
    </row>
    <row r="759" customFormat="false" ht="15" hidden="false" customHeight="true" outlineLevel="0" collapsed="false">
      <c r="A759" s="6" t="n">
        <v>754</v>
      </c>
      <c r="B759" s="6" t="n">
        <f aca="false">MIN(42, FLOOR(A759/32,1)+1)</f>
        <v>24</v>
      </c>
      <c r="C759" s="6" t="n">
        <f aca="false">ROUND($B$2*(A759+1)^2.4*1.004^A759,0)</f>
        <v>14741261533</v>
      </c>
      <c r="D759" s="6" t="n">
        <f aca="false">ROUND($D$2*(A759+1)^2.4*1.004^A759,0)</f>
        <v>13103343585</v>
      </c>
      <c r="E759" s="6" t="n">
        <f aca="false">ROUND($F$2*(A759+1)^2.4*1.004^A759,0)</f>
        <v>11465425637</v>
      </c>
      <c r="F759" s="6" t="n">
        <f aca="false">ROUND(Building_Levels!$I$2*(A759+1)^1.9*1.003^A759,2)</f>
        <v>1214.69</v>
      </c>
      <c r="G759" s="6" t="n">
        <f aca="false">ROUND((A759+1)^1.12,1)</f>
        <v>1672.2</v>
      </c>
    </row>
    <row r="760" customFormat="false" ht="15" hidden="false" customHeight="true" outlineLevel="0" collapsed="false">
      <c r="A760" s="6" t="n">
        <v>755</v>
      </c>
      <c r="B760" s="6" t="n">
        <f aca="false">MIN(42, FLOOR(A760/32,1)+1)</f>
        <v>24</v>
      </c>
      <c r="C760" s="6" t="n">
        <f aca="false">ROUND($B$2*(A760+1)^2.4*1.004^A760,0)</f>
        <v>14847317285</v>
      </c>
      <c r="D760" s="6" t="n">
        <f aca="false">ROUND($D$2*(A760+1)^2.4*1.004^A760,0)</f>
        <v>13197615364</v>
      </c>
      <c r="E760" s="6" t="n">
        <f aca="false">ROUND($F$2*(A760+1)^2.4*1.004^A760,0)</f>
        <v>11547913444</v>
      </c>
      <c r="F760" s="6" t="n">
        <f aca="false">ROUND(Building_Levels!$I$2*(A760+1)^1.9*1.003^A760,2)</f>
        <v>1221.4</v>
      </c>
      <c r="G760" s="6" t="n">
        <f aca="false">ROUND((A760+1)^1.12,1)</f>
        <v>1674.7</v>
      </c>
    </row>
    <row r="761" customFormat="false" ht="15" hidden="false" customHeight="true" outlineLevel="0" collapsed="false">
      <c r="A761" s="6" t="n">
        <v>756</v>
      </c>
      <c r="B761" s="6" t="n">
        <f aca="false">MIN(42, FLOOR(A761/32,1)+1)</f>
        <v>24</v>
      </c>
      <c r="C761" s="6" t="n">
        <f aca="false">ROUND($B$2*(A761+1)^2.4*1.004^A761,0)</f>
        <v>14954073257</v>
      </c>
      <c r="D761" s="6" t="n">
        <f aca="false">ROUND($D$2*(A761+1)^2.4*1.004^A761,0)</f>
        <v>13292509562</v>
      </c>
      <c r="E761" s="6" t="n">
        <f aca="false">ROUND($F$2*(A761+1)^2.4*1.004^A761,0)</f>
        <v>11630945867</v>
      </c>
      <c r="F761" s="6" t="n">
        <f aca="false">ROUND(Building_Levels!$I$2*(A761+1)^1.9*1.003^A761,2)</f>
        <v>1228.14</v>
      </c>
      <c r="G761" s="6" t="n">
        <f aca="false">ROUND((A761+1)^1.12,1)</f>
        <v>1677.2</v>
      </c>
    </row>
    <row r="762" customFormat="false" ht="15" hidden="false" customHeight="true" outlineLevel="0" collapsed="false">
      <c r="A762" s="6" t="n">
        <v>757</v>
      </c>
      <c r="B762" s="6" t="n">
        <f aca="false">MIN(42, FLOOR(A762/32,1)+1)</f>
        <v>24</v>
      </c>
      <c r="C762" s="6" t="n">
        <f aca="false">ROUND($B$2*(A762+1)^2.4*1.004^A762,0)</f>
        <v>15061533752</v>
      </c>
      <c r="D762" s="6" t="n">
        <f aca="false">ROUND($D$2*(A762+1)^2.4*1.004^A762,0)</f>
        <v>13388030002</v>
      </c>
      <c r="E762" s="6" t="n">
        <f aca="false">ROUND($F$2*(A762+1)^2.4*1.004^A762,0)</f>
        <v>11714526252</v>
      </c>
      <c r="F762" s="6" t="n">
        <f aca="false">ROUND(Building_Levels!$I$2*(A762+1)^1.9*1.003^A762,2)</f>
        <v>1234.92</v>
      </c>
      <c r="G762" s="6" t="n">
        <f aca="false">ROUND((A762+1)^1.12,1)</f>
        <v>1679.7</v>
      </c>
    </row>
    <row r="763" customFormat="false" ht="15" hidden="false" customHeight="true" outlineLevel="0" collapsed="false">
      <c r="A763" s="6" t="n">
        <v>758</v>
      </c>
      <c r="B763" s="6" t="n">
        <f aca="false">MIN(42, FLOOR(A763/32,1)+1)</f>
        <v>24</v>
      </c>
      <c r="C763" s="6" t="n">
        <f aca="false">ROUND($B$2*(A763+1)^2.4*1.004^A763,0)</f>
        <v>15169703097</v>
      </c>
      <c r="D763" s="6" t="n">
        <f aca="false">ROUND($D$2*(A763+1)^2.4*1.004^A763,0)</f>
        <v>13484180531</v>
      </c>
      <c r="E763" s="6" t="n">
        <f aca="false">ROUND($F$2*(A763+1)^2.4*1.004^A763,0)</f>
        <v>11798657964</v>
      </c>
      <c r="F763" s="6" t="n">
        <f aca="false">ROUND(Building_Levels!$I$2*(A763+1)^1.9*1.003^A763,2)</f>
        <v>1241.73</v>
      </c>
      <c r="G763" s="6" t="n">
        <f aca="false">ROUND((A763+1)^1.12,1)</f>
        <v>1682.2</v>
      </c>
    </row>
    <row r="764" customFormat="false" ht="15" hidden="false" customHeight="true" outlineLevel="0" collapsed="false">
      <c r="A764" s="6" t="n">
        <v>759</v>
      </c>
      <c r="B764" s="6" t="n">
        <f aca="false">MIN(42, FLOOR(A764/32,1)+1)</f>
        <v>24</v>
      </c>
      <c r="C764" s="6" t="n">
        <f aca="false">ROUND($B$2*(A764+1)^2.4*1.004^A764,0)</f>
        <v>15278585643</v>
      </c>
      <c r="D764" s="6" t="n">
        <f aca="false">ROUND($D$2*(A764+1)^2.4*1.004^A764,0)</f>
        <v>13580965016</v>
      </c>
      <c r="E764" s="6" t="n">
        <f aca="false">ROUND($F$2*(A764+1)^2.4*1.004^A764,0)</f>
        <v>11883344389</v>
      </c>
      <c r="F764" s="6" t="n">
        <f aca="false">ROUND(Building_Levels!$I$2*(A764+1)^1.9*1.003^A764,2)</f>
        <v>1248.58</v>
      </c>
      <c r="G764" s="6" t="n">
        <f aca="false">ROUND((A764+1)^1.12,1)</f>
        <v>1684.7</v>
      </c>
    </row>
    <row r="765" customFormat="false" ht="15" hidden="false" customHeight="true" outlineLevel="0" collapsed="false">
      <c r="A765" s="6" t="n">
        <v>760</v>
      </c>
      <c r="B765" s="6" t="n">
        <f aca="false">MIN(42, FLOOR(A765/32,1)+1)</f>
        <v>24</v>
      </c>
      <c r="C765" s="6" t="n">
        <f aca="false">ROUND($B$2*(A765+1)^2.4*1.004^A765,0)</f>
        <v>15388185768</v>
      </c>
      <c r="D765" s="6" t="n">
        <f aca="false">ROUND($D$2*(A765+1)^2.4*1.004^A765,0)</f>
        <v>13678387350</v>
      </c>
      <c r="E765" s="6" t="n">
        <f aca="false">ROUND($F$2*(A765+1)^2.4*1.004^A765,0)</f>
        <v>11968588931</v>
      </c>
      <c r="F765" s="6" t="n">
        <f aca="false">ROUND(Building_Levels!$I$2*(A765+1)^1.9*1.003^A765,2)</f>
        <v>1255.45</v>
      </c>
      <c r="G765" s="6" t="n">
        <f aca="false">ROUND((A765+1)^1.12,1)</f>
        <v>1687.1</v>
      </c>
    </row>
    <row r="766" customFormat="false" ht="15" hidden="false" customHeight="true" outlineLevel="0" collapsed="false">
      <c r="A766" s="6" t="n">
        <v>761</v>
      </c>
      <c r="B766" s="6" t="n">
        <f aca="false">MIN(42, FLOOR(A766/32,1)+1)</f>
        <v>24</v>
      </c>
      <c r="C766" s="6" t="n">
        <f aca="false">ROUND($B$2*(A766+1)^2.4*1.004^A766,0)</f>
        <v>15498507875</v>
      </c>
      <c r="D766" s="6" t="n">
        <f aca="false">ROUND($D$2*(A766+1)^2.4*1.004^A766,0)</f>
        <v>13776451444</v>
      </c>
      <c r="E766" s="6" t="n">
        <f aca="false">ROUND($F$2*(A766+1)^2.4*1.004^A766,0)</f>
        <v>12054395014</v>
      </c>
      <c r="F766" s="6" t="n">
        <f aca="false">ROUND(Building_Levels!$I$2*(A766+1)^1.9*1.003^A766,2)</f>
        <v>1262.37</v>
      </c>
      <c r="G766" s="6" t="n">
        <f aca="false">ROUND((A766+1)^1.12,1)</f>
        <v>1689.6</v>
      </c>
    </row>
    <row r="767" customFormat="false" ht="15" hidden="false" customHeight="true" outlineLevel="0" collapsed="false">
      <c r="A767" s="6" t="n">
        <v>762</v>
      </c>
      <c r="B767" s="6" t="n">
        <f aca="false">MIN(42, FLOOR(A767/32,1)+1)</f>
        <v>24</v>
      </c>
      <c r="C767" s="6" t="n">
        <f aca="false">ROUND($B$2*(A767+1)^2.4*1.004^A767,0)</f>
        <v>15609556391</v>
      </c>
      <c r="D767" s="6" t="n">
        <f aca="false">ROUND($D$2*(A767+1)^2.4*1.004^A767,0)</f>
        <v>13875161236</v>
      </c>
      <c r="E767" s="6" t="n">
        <f aca="false">ROUND($F$2*(A767+1)^2.4*1.004^A767,0)</f>
        <v>12140766082</v>
      </c>
      <c r="F767" s="6" t="n">
        <f aca="false">ROUND(Building_Levels!$I$2*(A767+1)^1.9*1.003^A767,2)</f>
        <v>1269.31</v>
      </c>
      <c r="G767" s="6" t="n">
        <f aca="false">ROUND((A767+1)^1.12,1)</f>
        <v>1692.1</v>
      </c>
    </row>
    <row r="768" customFormat="false" ht="15" hidden="false" customHeight="true" outlineLevel="0" collapsed="false">
      <c r="A768" s="6" t="n">
        <v>763</v>
      </c>
      <c r="B768" s="6" t="n">
        <f aca="false">MIN(42, FLOOR(A768/32,1)+1)</f>
        <v>24</v>
      </c>
      <c r="C768" s="6" t="n">
        <f aca="false">ROUND($B$2*(A768+1)^2.4*1.004^A768,0)</f>
        <v>15721335770</v>
      </c>
      <c r="D768" s="6" t="n">
        <f aca="false">ROUND($D$2*(A768+1)^2.4*1.004^A768,0)</f>
        <v>13974520684</v>
      </c>
      <c r="E768" s="6" t="n">
        <f aca="false">ROUND($F$2*(A768+1)^2.4*1.004^A768,0)</f>
        <v>12227705599</v>
      </c>
      <c r="F768" s="6" t="n">
        <f aca="false">ROUND(Building_Levels!$I$2*(A768+1)^1.9*1.003^A768,2)</f>
        <v>1276.29</v>
      </c>
      <c r="G768" s="6" t="n">
        <f aca="false">ROUND((A768+1)^1.12,1)</f>
        <v>1694.6</v>
      </c>
    </row>
    <row r="769" customFormat="false" ht="15" hidden="false" customHeight="true" outlineLevel="0" collapsed="false">
      <c r="A769" s="6" t="n">
        <v>764</v>
      </c>
      <c r="B769" s="6" t="n">
        <f aca="false">MIN(42, FLOOR(A769/32,1)+1)</f>
        <v>24</v>
      </c>
      <c r="C769" s="6" t="n">
        <f aca="false">ROUND($B$2*(A769+1)^2.4*1.004^A769,0)</f>
        <v>15833850492</v>
      </c>
      <c r="D769" s="6" t="n">
        <f aca="false">ROUND($D$2*(A769+1)^2.4*1.004^A769,0)</f>
        <v>14074533771</v>
      </c>
      <c r="E769" s="6" t="n">
        <f aca="false">ROUND($F$2*(A769+1)^2.4*1.004^A769,0)</f>
        <v>12315217049</v>
      </c>
      <c r="F769" s="6" t="n">
        <f aca="false">ROUND(Building_Levels!$I$2*(A769+1)^1.9*1.003^A769,2)</f>
        <v>1283.31</v>
      </c>
      <c r="G769" s="6" t="n">
        <f aca="false">ROUND((A769+1)^1.12,1)</f>
        <v>1697.1</v>
      </c>
    </row>
    <row r="770" customFormat="false" ht="15" hidden="false" customHeight="true" outlineLevel="0" collapsed="false">
      <c r="A770" s="6" t="n">
        <v>765</v>
      </c>
      <c r="B770" s="6" t="n">
        <f aca="false">MIN(42, FLOOR(A770/32,1)+1)</f>
        <v>24</v>
      </c>
      <c r="C770" s="6" t="n">
        <f aca="false">ROUND($B$2*(A770+1)^2.4*1.004^A770,0)</f>
        <v>15947105062</v>
      </c>
      <c r="D770" s="6" t="n">
        <f aca="false">ROUND($D$2*(A770+1)^2.4*1.004^A770,0)</f>
        <v>14175204500</v>
      </c>
      <c r="E770" s="6" t="n">
        <f aca="false">ROUND($F$2*(A770+1)^2.4*1.004^A770,0)</f>
        <v>12403303937</v>
      </c>
      <c r="F770" s="6" t="n">
        <f aca="false">ROUND(Building_Levels!$I$2*(A770+1)^1.9*1.003^A770,2)</f>
        <v>1290.36</v>
      </c>
      <c r="G770" s="6" t="n">
        <f aca="false">ROUND((A770+1)^1.12,1)</f>
        <v>1699.6</v>
      </c>
    </row>
    <row r="771" customFormat="false" ht="15" hidden="false" customHeight="true" outlineLevel="0" collapsed="false">
      <c r="A771" s="6" t="n">
        <v>766</v>
      </c>
      <c r="B771" s="6" t="n">
        <f aca="false">MIN(42, FLOOR(A771/32,1)+1)</f>
        <v>24</v>
      </c>
      <c r="C771" s="6" t="n">
        <f aca="false">ROUND($B$2*(A771+1)^2.4*1.004^A771,0)</f>
        <v>16061104012</v>
      </c>
      <c r="D771" s="6" t="n">
        <f aca="false">ROUND($D$2*(A771+1)^2.4*1.004^A771,0)</f>
        <v>14276536900</v>
      </c>
      <c r="E771" s="6" t="n">
        <f aca="false">ROUND($F$2*(A771+1)^2.4*1.004^A771,0)</f>
        <v>12491969787</v>
      </c>
      <c r="F771" s="6" t="n">
        <f aca="false">ROUND(Building_Levels!$I$2*(A771+1)^1.9*1.003^A771,2)</f>
        <v>1297.44</v>
      </c>
      <c r="G771" s="6" t="n">
        <f aca="false">ROUND((A771+1)^1.12,1)</f>
        <v>1702</v>
      </c>
    </row>
    <row r="772" customFormat="false" ht="15" hidden="false" customHeight="true" outlineLevel="0" collapsed="false">
      <c r="A772" s="6" t="n">
        <v>767</v>
      </c>
      <c r="B772" s="6" t="n">
        <f aca="false">MIN(42, FLOOR(A772/32,1)+1)</f>
        <v>24</v>
      </c>
      <c r="C772" s="6" t="n">
        <f aca="false">ROUND($B$2*(A772+1)^2.4*1.004^A772,0)</f>
        <v>16175851900</v>
      </c>
      <c r="D772" s="6" t="n">
        <f aca="false">ROUND($D$2*(A772+1)^2.4*1.004^A772,0)</f>
        <v>14378535022</v>
      </c>
      <c r="E772" s="6" t="n">
        <f aca="false">ROUND($F$2*(A772+1)^2.4*1.004^A772,0)</f>
        <v>12581218144</v>
      </c>
      <c r="F772" s="6" t="n">
        <f aca="false">ROUND(Building_Levels!$I$2*(A772+1)^1.9*1.003^A772,2)</f>
        <v>1304.56</v>
      </c>
      <c r="G772" s="6" t="n">
        <f aca="false">ROUND((A772+1)^1.12,1)</f>
        <v>1704.5</v>
      </c>
    </row>
    <row r="773" customFormat="false" ht="15" hidden="false" customHeight="true" outlineLevel="0" collapsed="false">
      <c r="A773" s="6" t="n">
        <v>768</v>
      </c>
      <c r="B773" s="6" t="n">
        <f aca="false">MIN(42, FLOOR(A773/32,1)+1)</f>
        <v>25</v>
      </c>
      <c r="C773" s="6" t="n">
        <f aca="false">ROUND($B$2*(A773+1)^2.4*1.004^A773,0)</f>
        <v>16291353309</v>
      </c>
      <c r="D773" s="6" t="n">
        <f aca="false">ROUND($D$2*(A773+1)^2.4*1.004^A773,0)</f>
        <v>14481202941</v>
      </c>
      <c r="E773" s="6" t="n">
        <f aca="false">ROUND($F$2*(A773+1)^2.4*1.004^A773,0)</f>
        <v>12671052573</v>
      </c>
      <c r="F773" s="6" t="n">
        <f aca="false">ROUND(Building_Levels!$I$2*(A773+1)^1.9*1.003^A773,2)</f>
        <v>1311.71</v>
      </c>
      <c r="G773" s="6" t="n">
        <f aca="false">ROUND((A773+1)^1.12,1)</f>
        <v>1707</v>
      </c>
    </row>
    <row r="774" customFormat="false" ht="15" hidden="false" customHeight="true" outlineLevel="0" collapsed="false">
      <c r="A774" s="6" t="n">
        <v>769</v>
      </c>
      <c r="B774" s="6" t="n">
        <f aca="false">MIN(42, FLOOR(A774/32,1)+1)</f>
        <v>25</v>
      </c>
      <c r="C774" s="6" t="n">
        <f aca="false">ROUND($B$2*(A774+1)^2.4*1.004^A774,0)</f>
        <v>16407612850</v>
      </c>
      <c r="D774" s="6" t="n">
        <f aca="false">ROUND($D$2*(A774+1)^2.4*1.004^A774,0)</f>
        <v>14584544756</v>
      </c>
      <c r="E774" s="6" t="n">
        <f aca="false">ROUND($F$2*(A774+1)^2.4*1.004^A774,0)</f>
        <v>12761476661</v>
      </c>
      <c r="F774" s="6" t="n">
        <f aca="false">ROUND(Building_Levels!$I$2*(A774+1)^1.9*1.003^A774,2)</f>
        <v>1318.9</v>
      </c>
      <c r="G774" s="6" t="n">
        <f aca="false">ROUND((A774+1)^1.12,1)</f>
        <v>1709.5</v>
      </c>
    </row>
    <row r="775" customFormat="false" ht="15" hidden="false" customHeight="true" outlineLevel="0" collapsed="false">
      <c r="A775" s="6" t="n">
        <v>770</v>
      </c>
      <c r="B775" s="6" t="n">
        <f aca="false">MIN(42, FLOOR(A775/32,1)+1)</f>
        <v>25</v>
      </c>
      <c r="C775" s="6" t="n">
        <f aca="false">ROUND($B$2*(A775+1)^2.4*1.004^A775,0)</f>
        <v>16524635161</v>
      </c>
      <c r="D775" s="6" t="n">
        <f aca="false">ROUND($D$2*(A775+1)^2.4*1.004^A775,0)</f>
        <v>14688564587</v>
      </c>
      <c r="E775" s="6" t="n">
        <f aca="false">ROUND($F$2*(A775+1)^2.4*1.004^A775,0)</f>
        <v>12852494014</v>
      </c>
      <c r="F775" s="6" t="n">
        <f aca="false">ROUND(Building_Levels!$I$2*(A775+1)^1.9*1.003^A775,2)</f>
        <v>1326.12</v>
      </c>
      <c r="G775" s="6" t="n">
        <f aca="false">ROUND((A775+1)^1.12,1)</f>
        <v>1712</v>
      </c>
    </row>
    <row r="776" customFormat="false" ht="15" hidden="false" customHeight="true" outlineLevel="0" collapsed="false">
      <c r="A776" s="6" t="n">
        <v>771</v>
      </c>
      <c r="B776" s="6" t="n">
        <f aca="false">MIN(42, FLOOR(A776/32,1)+1)</f>
        <v>25</v>
      </c>
      <c r="C776" s="6" t="n">
        <f aca="false">ROUND($B$2*(A776+1)^2.4*1.004^A776,0)</f>
        <v>16642424905</v>
      </c>
      <c r="D776" s="6" t="n">
        <f aca="false">ROUND($D$2*(A776+1)^2.4*1.004^A776,0)</f>
        <v>14793266582</v>
      </c>
      <c r="E776" s="6" t="n">
        <f aca="false">ROUND($F$2*(A776+1)^2.4*1.004^A776,0)</f>
        <v>12944108260</v>
      </c>
      <c r="F776" s="6" t="n">
        <f aca="false">ROUND(Building_Levels!$I$2*(A776+1)^1.9*1.003^A776,2)</f>
        <v>1333.38</v>
      </c>
      <c r="G776" s="6" t="n">
        <f aca="false">ROUND((A776+1)^1.12,1)</f>
        <v>1714.5</v>
      </c>
    </row>
    <row r="777" customFormat="false" ht="15" hidden="false" customHeight="true" outlineLevel="0" collapsed="false">
      <c r="A777" s="6" t="n">
        <v>772</v>
      </c>
      <c r="B777" s="6" t="n">
        <f aca="false">MIN(42, FLOOR(A777/32,1)+1)</f>
        <v>25</v>
      </c>
      <c r="C777" s="6" t="n">
        <f aca="false">ROUND($B$2*(A777+1)^2.4*1.004^A777,0)</f>
        <v>16760986774</v>
      </c>
      <c r="D777" s="6" t="n">
        <f aca="false">ROUND($D$2*(A777+1)^2.4*1.004^A777,0)</f>
        <v>14898654911</v>
      </c>
      <c r="E777" s="6" t="n">
        <f aca="false">ROUND($F$2*(A777+1)^2.4*1.004^A777,0)</f>
        <v>13036323047</v>
      </c>
      <c r="F777" s="6" t="n">
        <f aca="false">ROUND(Building_Levels!$I$2*(A777+1)^1.9*1.003^A777,2)</f>
        <v>1340.67</v>
      </c>
      <c r="G777" s="6" t="n">
        <f aca="false">ROUND((A777+1)^1.12,1)</f>
        <v>1717</v>
      </c>
    </row>
    <row r="778" customFormat="false" ht="15" hidden="false" customHeight="true" outlineLevel="0" collapsed="false">
      <c r="A778" s="6" t="n">
        <v>773</v>
      </c>
      <c r="B778" s="6" t="n">
        <f aca="false">MIN(42, FLOOR(A778/32,1)+1)</f>
        <v>25</v>
      </c>
      <c r="C778" s="6" t="n">
        <f aca="false">ROUND($B$2*(A778+1)^2.4*1.004^A778,0)</f>
        <v>16880325486</v>
      </c>
      <c r="D778" s="6" t="n">
        <f aca="false">ROUND($D$2*(A778+1)^2.4*1.004^A778,0)</f>
        <v>15004733766</v>
      </c>
      <c r="E778" s="6" t="n">
        <f aca="false">ROUND($F$2*(A778+1)^2.4*1.004^A778,0)</f>
        <v>13129142045</v>
      </c>
      <c r="F778" s="6" t="n">
        <f aca="false">ROUND(Building_Levels!$I$2*(A778+1)^1.9*1.003^A778,2)</f>
        <v>1348</v>
      </c>
      <c r="G778" s="6" t="n">
        <f aca="false">ROUND((A778+1)^1.12,1)</f>
        <v>1719.5</v>
      </c>
    </row>
    <row r="779" customFormat="false" ht="15" hidden="false" customHeight="true" outlineLevel="0" collapsed="false">
      <c r="A779" s="6" t="n">
        <v>774</v>
      </c>
      <c r="B779" s="6" t="n">
        <f aca="false">MIN(42, FLOOR(A779/32,1)+1)</f>
        <v>25</v>
      </c>
      <c r="C779" s="6" t="n">
        <f aca="false">ROUND($B$2*(A779+1)^2.4*1.004^A779,0)</f>
        <v>17000445787</v>
      </c>
      <c r="D779" s="6" t="n">
        <f aca="false">ROUND($D$2*(A779+1)^2.4*1.004^A779,0)</f>
        <v>15111507366</v>
      </c>
      <c r="E779" s="6" t="n">
        <f aca="false">ROUND($F$2*(A779+1)^2.4*1.004^A779,0)</f>
        <v>13222568945</v>
      </c>
      <c r="F779" s="6" t="n">
        <f aca="false">ROUND(Building_Levels!$I$2*(A779+1)^1.9*1.003^A779,2)</f>
        <v>1355.37</v>
      </c>
      <c r="G779" s="6" t="n">
        <f aca="false">ROUND((A779+1)^1.12,1)</f>
        <v>1721.9</v>
      </c>
    </row>
    <row r="780" customFormat="false" ht="15" hidden="false" customHeight="true" outlineLevel="0" collapsed="false">
      <c r="A780" s="6" t="n">
        <v>775</v>
      </c>
      <c r="B780" s="6" t="n">
        <f aca="false">MIN(42, FLOOR(A780/32,1)+1)</f>
        <v>25</v>
      </c>
      <c r="C780" s="6" t="n">
        <f aca="false">ROUND($B$2*(A780+1)^2.4*1.004^A780,0)</f>
        <v>17121352448</v>
      </c>
      <c r="D780" s="6" t="n">
        <f aca="false">ROUND($D$2*(A780+1)^2.4*1.004^A780,0)</f>
        <v>15218979954</v>
      </c>
      <c r="E780" s="6" t="n">
        <f aca="false">ROUND($F$2*(A780+1)^2.4*1.004^A780,0)</f>
        <v>13316607459</v>
      </c>
      <c r="F780" s="6" t="n">
        <f aca="false">ROUND(Building_Levels!$I$2*(A780+1)^1.9*1.003^A780,2)</f>
        <v>1362.77</v>
      </c>
      <c r="G780" s="6" t="n">
        <f aca="false">ROUND((A780+1)^1.12,1)</f>
        <v>1724.4</v>
      </c>
    </row>
    <row r="781" customFormat="false" ht="15" hidden="false" customHeight="true" outlineLevel="0" collapsed="false">
      <c r="A781" s="6" t="n">
        <v>776</v>
      </c>
      <c r="B781" s="6" t="n">
        <f aca="false">MIN(42, FLOOR(A781/32,1)+1)</f>
        <v>25</v>
      </c>
      <c r="C781" s="6" t="n">
        <f aca="false">ROUND($B$2*(A781+1)^2.4*1.004^A781,0)</f>
        <v>17243050270</v>
      </c>
      <c r="D781" s="6" t="n">
        <f aca="false">ROUND($D$2*(A781+1)^2.4*1.004^A781,0)</f>
        <v>15327155796</v>
      </c>
      <c r="E781" s="6" t="n">
        <f aca="false">ROUND($F$2*(A781+1)^2.4*1.004^A781,0)</f>
        <v>13411261321</v>
      </c>
      <c r="F781" s="6" t="n">
        <f aca="false">ROUND(Building_Levels!$I$2*(A781+1)^1.9*1.003^A781,2)</f>
        <v>1370.2</v>
      </c>
      <c r="G781" s="6" t="n">
        <f aca="false">ROUND((A781+1)^1.12,1)</f>
        <v>1726.9</v>
      </c>
    </row>
    <row r="782" customFormat="false" ht="15" hidden="false" customHeight="true" outlineLevel="0" collapsed="false">
      <c r="A782" s="6" t="n">
        <v>777</v>
      </c>
      <c r="B782" s="6" t="n">
        <f aca="false">MIN(42, FLOOR(A782/32,1)+1)</f>
        <v>25</v>
      </c>
      <c r="C782" s="6" t="n">
        <f aca="false">ROUND($B$2*(A782+1)^2.4*1.004^A782,0)</f>
        <v>17365544083</v>
      </c>
      <c r="D782" s="6" t="n">
        <f aca="false">ROUND($D$2*(A782+1)^2.4*1.004^A782,0)</f>
        <v>15436039185</v>
      </c>
      <c r="E782" s="6" t="n">
        <f aca="false">ROUND($F$2*(A782+1)^2.4*1.004^A782,0)</f>
        <v>13506534286</v>
      </c>
      <c r="F782" s="6" t="n">
        <f aca="false">ROUND(Building_Levels!$I$2*(A782+1)^1.9*1.003^A782,2)</f>
        <v>1377.68</v>
      </c>
      <c r="G782" s="6" t="n">
        <f aca="false">ROUND((A782+1)^1.12,1)</f>
        <v>1729.4</v>
      </c>
    </row>
    <row r="783" customFormat="false" ht="15" hidden="false" customHeight="true" outlineLevel="0" collapsed="false">
      <c r="A783" s="6" t="n">
        <v>778</v>
      </c>
      <c r="B783" s="6" t="n">
        <f aca="false">MIN(42, FLOOR(A783/32,1)+1)</f>
        <v>25</v>
      </c>
      <c r="C783" s="6" t="n">
        <f aca="false">ROUND($B$2*(A783+1)^2.4*1.004^A783,0)</f>
        <v>17488838740</v>
      </c>
      <c r="D783" s="6" t="n">
        <f aca="false">ROUND($D$2*(A783+1)^2.4*1.004^A783,0)</f>
        <v>15545634436</v>
      </c>
      <c r="E783" s="6" t="n">
        <f aca="false">ROUND($F$2*(A783+1)^2.4*1.004^A783,0)</f>
        <v>13602430131</v>
      </c>
      <c r="F783" s="6" t="n">
        <f aca="false">ROUND(Building_Levels!$I$2*(A783+1)^1.9*1.003^A783,2)</f>
        <v>1385.19</v>
      </c>
      <c r="G783" s="6" t="n">
        <f aca="false">ROUND((A783+1)^1.12,1)</f>
        <v>1731.9</v>
      </c>
    </row>
    <row r="784" customFormat="false" ht="15" hidden="false" customHeight="true" outlineLevel="0" collapsed="false">
      <c r="A784" s="6" t="n">
        <v>779</v>
      </c>
      <c r="B784" s="6" t="n">
        <f aca="false">MIN(42, FLOOR(A784/32,1)+1)</f>
        <v>25</v>
      </c>
      <c r="C784" s="6" t="n">
        <f aca="false">ROUND($B$2*(A784+1)^2.4*1.004^A784,0)</f>
        <v>17612939127</v>
      </c>
      <c r="D784" s="6" t="n">
        <f aca="false">ROUND($D$2*(A784+1)^2.4*1.004^A784,0)</f>
        <v>15655945891</v>
      </c>
      <c r="E784" s="6" t="n">
        <f aca="false">ROUND($F$2*(A784+1)^2.4*1.004^A784,0)</f>
        <v>13698952654</v>
      </c>
      <c r="F784" s="6" t="n">
        <f aca="false">ROUND(Building_Levels!$I$2*(A784+1)^1.9*1.003^A784,2)</f>
        <v>1392.73</v>
      </c>
      <c r="G784" s="6" t="n">
        <f aca="false">ROUND((A784+1)^1.12,1)</f>
        <v>1734.4</v>
      </c>
    </row>
    <row r="785" customFormat="false" ht="15" hidden="false" customHeight="true" outlineLevel="0" collapsed="false">
      <c r="A785" s="6" t="n">
        <v>780</v>
      </c>
      <c r="B785" s="6" t="n">
        <f aca="false">MIN(42, FLOOR(A785/32,1)+1)</f>
        <v>25</v>
      </c>
      <c r="C785" s="6" t="n">
        <f aca="false">ROUND($B$2*(A785+1)^2.4*1.004^A785,0)</f>
        <v>17737850155</v>
      </c>
      <c r="D785" s="6" t="n">
        <f aca="false">ROUND($D$2*(A785+1)^2.4*1.004^A785,0)</f>
        <v>15766977916</v>
      </c>
      <c r="E785" s="6" t="n">
        <f aca="false">ROUND($F$2*(A785+1)^2.4*1.004^A785,0)</f>
        <v>13796105676</v>
      </c>
      <c r="F785" s="6" t="n">
        <f aca="false">ROUND(Building_Levels!$I$2*(A785+1)^1.9*1.003^A785,2)</f>
        <v>1400.32</v>
      </c>
      <c r="G785" s="6" t="n">
        <f aca="false">ROUND((A785+1)^1.12,1)</f>
        <v>1736.9</v>
      </c>
    </row>
    <row r="786" customFormat="false" ht="15" hidden="false" customHeight="true" outlineLevel="0" collapsed="false">
      <c r="A786" s="6" t="n">
        <v>781</v>
      </c>
      <c r="B786" s="6" t="n">
        <f aca="false">MIN(42, FLOOR(A786/32,1)+1)</f>
        <v>25</v>
      </c>
      <c r="C786" s="6" t="n">
        <f aca="false">ROUND($B$2*(A786+1)^2.4*1.004^A786,0)</f>
        <v>17863576765</v>
      </c>
      <c r="D786" s="6" t="n">
        <f aca="false">ROUND($D$2*(A786+1)^2.4*1.004^A786,0)</f>
        <v>15878734902</v>
      </c>
      <c r="E786" s="6" t="n">
        <f aca="false">ROUND($F$2*(A786+1)^2.4*1.004^A786,0)</f>
        <v>13893893040</v>
      </c>
      <c r="F786" s="6" t="n">
        <f aca="false">ROUND(Building_Levels!$I$2*(A786+1)^1.9*1.003^A786,2)</f>
        <v>1407.94</v>
      </c>
      <c r="G786" s="6" t="n">
        <f aca="false">ROUND((A786+1)^1.12,1)</f>
        <v>1739.4</v>
      </c>
    </row>
    <row r="787" customFormat="false" ht="15" hidden="false" customHeight="true" outlineLevel="0" collapsed="false">
      <c r="A787" s="6" t="n">
        <v>782</v>
      </c>
      <c r="B787" s="6" t="n">
        <f aca="false">MIN(42, FLOOR(A787/32,1)+1)</f>
        <v>25</v>
      </c>
      <c r="C787" s="6" t="n">
        <f aca="false">ROUND($B$2*(A787+1)^2.4*1.004^A787,0)</f>
        <v>17990123926</v>
      </c>
      <c r="D787" s="6" t="n">
        <f aca="false">ROUND($D$2*(A787+1)^2.4*1.004^A787,0)</f>
        <v>15991221268</v>
      </c>
      <c r="E787" s="6" t="n">
        <f aca="false">ROUND($F$2*(A787+1)^2.4*1.004^A787,0)</f>
        <v>13992318609</v>
      </c>
      <c r="F787" s="6" t="n">
        <f aca="false">ROUND(Building_Levels!$I$2*(A787+1)^1.9*1.003^A787,2)</f>
        <v>1415.59</v>
      </c>
      <c r="G787" s="6" t="n">
        <f aca="false">ROUND((A787+1)^1.12,1)</f>
        <v>1741.9</v>
      </c>
    </row>
    <row r="788" customFormat="false" ht="15" hidden="false" customHeight="true" outlineLevel="0" collapsed="false">
      <c r="A788" s="6" t="n">
        <v>783</v>
      </c>
      <c r="B788" s="6" t="n">
        <f aca="false">MIN(42, FLOOR(A788/32,1)+1)</f>
        <v>25</v>
      </c>
      <c r="C788" s="6" t="n">
        <f aca="false">ROUND($B$2*(A788+1)^2.4*1.004^A788,0)</f>
        <v>18117496635</v>
      </c>
      <c r="D788" s="6" t="n">
        <f aca="false">ROUND($D$2*(A788+1)^2.4*1.004^A788,0)</f>
        <v>16104441453</v>
      </c>
      <c r="E788" s="6" t="n">
        <f aca="false">ROUND($F$2*(A788+1)^2.4*1.004^A788,0)</f>
        <v>14091386272</v>
      </c>
      <c r="F788" s="6" t="n">
        <f aca="false">ROUND(Building_Levels!$I$2*(A788+1)^1.9*1.003^A788,2)</f>
        <v>1423.29</v>
      </c>
      <c r="G788" s="6" t="n">
        <f aca="false">ROUND((A788+1)^1.12,1)</f>
        <v>1744.4</v>
      </c>
    </row>
    <row r="789" customFormat="false" ht="15" hidden="false" customHeight="true" outlineLevel="0" collapsed="false">
      <c r="A789" s="6" t="n">
        <v>784</v>
      </c>
      <c r="B789" s="6" t="n">
        <f aca="false">MIN(42, FLOOR(A789/32,1)+1)</f>
        <v>25</v>
      </c>
      <c r="C789" s="6" t="n">
        <f aca="false">ROUND($B$2*(A789+1)^2.4*1.004^A789,0)</f>
        <v>18245699919</v>
      </c>
      <c r="D789" s="6" t="n">
        <f aca="false">ROUND($D$2*(A789+1)^2.4*1.004^A789,0)</f>
        <v>16218399928</v>
      </c>
      <c r="E789" s="6" t="n">
        <f aca="false">ROUND($F$2*(A789+1)^2.4*1.004^A789,0)</f>
        <v>14191099937</v>
      </c>
      <c r="F789" s="6" t="n">
        <f aca="false">ROUND(Building_Levels!$I$2*(A789+1)^1.9*1.003^A789,2)</f>
        <v>1431.02</v>
      </c>
      <c r="G789" s="6" t="n">
        <f aca="false">ROUND((A789+1)^1.12,1)</f>
        <v>1746.8</v>
      </c>
    </row>
    <row r="790" customFormat="false" ht="15" hidden="false" customHeight="true" outlineLevel="0" collapsed="false">
      <c r="A790" s="6" t="n">
        <v>785</v>
      </c>
      <c r="B790" s="6" t="n">
        <f aca="false">MIN(42, FLOOR(A790/32,1)+1)</f>
        <v>25</v>
      </c>
      <c r="C790" s="6" t="n">
        <f aca="false">ROUND($B$2*(A790+1)^2.4*1.004^A790,0)</f>
        <v>18374738833</v>
      </c>
      <c r="D790" s="6" t="n">
        <f aca="false">ROUND($D$2*(A790+1)^2.4*1.004^A790,0)</f>
        <v>16333101184</v>
      </c>
      <c r="E790" s="6" t="n">
        <f aca="false">ROUND($F$2*(A790+1)^2.4*1.004^A790,0)</f>
        <v>14291463536</v>
      </c>
      <c r="F790" s="6" t="n">
        <f aca="false">ROUND(Building_Levels!$I$2*(A790+1)^1.9*1.003^A790,2)</f>
        <v>1438.79</v>
      </c>
      <c r="G790" s="6" t="n">
        <f aca="false">ROUND((A790+1)^1.12,1)</f>
        <v>1749.3</v>
      </c>
    </row>
    <row r="791" customFormat="false" ht="15" hidden="false" customHeight="true" outlineLevel="0" collapsed="false">
      <c r="A791" s="6" t="n">
        <v>786</v>
      </c>
      <c r="B791" s="6" t="n">
        <f aca="false">MIN(42, FLOOR(A791/32,1)+1)</f>
        <v>25</v>
      </c>
      <c r="C791" s="6" t="n">
        <f aca="false">ROUND($B$2*(A791+1)^2.4*1.004^A791,0)</f>
        <v>18504618461</v>
      </c>
      <c r="D791" s="6" t="n">
        <f aca="false">ROUND($D$2*(A791+1)^2.4*1.004^A791,0)</f>
        <v>16448549743</v>
      </c>
      <c r="E791" s="6" t="n">
        <f aca="false">ROUND($F$2*(A791+1)^2.4*1.004^A791,0)</f>
        <v>14392481025</v>
      </c>
      <c r="F791" s="6" t="n">
        <f aca="false">ROUND(Building_Levels!$I$2*(A791+1)^1.9*1.003^A791,2)</f>
        <v>1446.59</v>
      </c>
      <c r="G791" s="6" t="n">
        <f aca="false">ROUND((A791+1)^1.12,1)</f>
        <v>1751.8</v>
      </c>
    </row>
    <row r="792" customFormat="false" ht="15" hidden="false" customHeight="true" outlineLevel="0" collapsed="false">
      <c r="A792" s="6" t="n">
        <v>787</v>
      </c>
      <c r="B792" s="6" t="n">
        <f aca="false">MIN(42, FLOOR(A792/32,1)+1)</f>
        <v>25</v>
      </c>
      <c r="C792" s="6" t="n">
        <f aca="false">ROUND($B$2*(A792+1)^2.4*1.004^A792,0)</f>
        <v>18635343917</v>
      </c>
      <c r="D792" s="6" t="n">
        <f aca="false">ROUND($D$2*(A792+1)^2.4*1.004^A792,0)</f>
        <v>16564750148</v>
      </c>
      <c r="E792" s="6" t="n">
        <f aca="false">ROUND($F$2*(A792+1)^2.4*1.004^A792,0)</f>
        <v>14494156380</v>
      </c>
      <c r="F792" s="6" t="n">
        <f aca="false">ROUND(Building_Levels!$I$2*(A792+1)^1.9*1.003^A792,2)</f>
        <v>1454.44</v>
      </c>
      <c r="G792" s="6" t="n">
        <f aca="false">ROUND((A792+1)^1.12,1)</f>
        <v>1754.3</v>
      </c>
    </row>
    <row r="793" customFormat="false" ht="15" hidden="false" customHeight="true" outlineLevel="0" collapsed="false">
      <c r="A793" s="6" t="n">
        <v>788</v>
      </c>
      <c r="B793" s="6" t="n">
        <f aca="false">MIN(42, FLOOR(A793/32,1)+1)</f>
        <v>25</v>
      </c>
      <c r="C793" s="6" t="n">
        <f aca="false">ROUND($B$2*(A793+1)^2.4*1.004^A793,0)</f>
        <v>18766920344</v>
      </c>
      <c r="D793" s="6" t="n">
        <f aca="false">ROUND($D$2*(A793+1)^2.4*1.004^A793,0)</f>
        <v>16681706972</v>
      </c>
      <c r="E793" s="6" t="n">
        <f aca="false">ROUND($F$2*(A793+1)^2.4*1.004^A793,0)</f>
        <v>14596493601</v>
      </c>
      <c r="F793" s="6" t="n">
        <f aca="false">ROUND(Building_Levels!$I$2*(A793+1)^1.9*1.003^A793,2)</f>
        <v>1462.32</v>
      </c>
      <c r="G793" s="6" t="n">
        <f aca="false">ROUND((A793+1)^1.12,1)</f>
        <v>1756.8</v>
      </c>
    </row>
    <row r="794" customFormat="false" ht="15" hidden="false" customHeight="true" outlineLevel="0" collapsed="false">
      <c r="A794" s="6" t="n">
        <v>789</v>
      </c>
      <c r="B794" s="6" t="n">
        <f aca="false">MIN(42, FLOOR(A794/32,1)+1)</f>
        <v>25</v>
      </c>
      <c r="C794" s="6" t="n">
        <f aca="false">ROUND($B$2*(A794+1)^2.4*1.004^A794,0)</f>
        <v>18899352915</v>
      </c>
      <c r="D794" s="6" t="n">
        <f aca="false">ROUND($D$2*(A794+1)^2.4*1.004^A794,0)</f>
        <v>16799424813</v>
      </c>
      <c r="E794" s="6" t="n">
        <f aca="false">ROUND($F$2*(A794+1)^2.4*1.004^A794,0)</f>
        <v>14699496711</v>
      </c>
      <c r="F794" s="6" t="n">
        <f aca="false">ROUND(Building_Levels!$I$2*(A794+1)^1.9*1.003^A794,2)</f>
        <v>1470.24</v>
      </c>
      <c r="G794" s="6" t="n">
        <f aca="false">ROUND((A794+1)^1.12,1)</f>
        <v>1759.3</v>
      </c>
    </row>
    <row r="795" customFormat="false" ht="15" hidden="false" customHeight="true" outlineLevel="0" collapsed="false">
      <c r="A795" s="6" t="n">
        <v>790</v>
      </c>
      <c r="B795" s="6" t="n">
        <f aca="false">MIN(42, FLOOR(A795/32,1)+1)</f>
        <v>25</v>
      </c>
      <c r="C795" s="6" t="n">
        <f aca="false">ROUND($B$2*(A795+1)^2.4*1.004^A795,0)</f>
        <v>19032646832</v>
      </c>
      <c r="D795" s="6" t="n">
        <f aca="false">ROUND($D$2*(A795+1)^2.4*1.004^A795,0)</f>
        <v>16917908295</v>
      </c>
      <c r="E795" s="6" t="n">
        <f aca="false">ROUND($F$2*(A795+1)^2.4*1.004^A795,0)</f>
        <v>14803169758</v>
      </c>
      <c r="F795" s="6" t="n">
        <f aca="false">ROUND(Building_Levels!$I$2*(A795+1)^1.9*1.003^A795,2)</f>
        <v>1478.2</v>
      </c>
      <c r="G795" s="6" t="n">
        <f aca="false">ROUND((A795+1)^1.12,1)</f>
        <v>1761.8</v>
      </c>
    </row>
    <row r="796" customFormat="false" ht="15" hidden="false" customHeight="true" outlineLevel="0" collapsed="false">
      <c r="A796" s="6" t="n">
        <v>791</v>
      </c>
      <c r="B796" s="6" t="n">
        <f aca="false">MIN(42, FLOOR(A796/32,1)+1)</f>
        <v>25</v>
      </c>
      <c r="C796" s="6" t="n">
        <f aca="false">ROUND($B$2*(A796+1)^2.4*1.004^A796,0)</f>
        <v>19166807328</v>
      </c>
      <c r="D796" s="6" t="n">
        <f aca="false">ROUND($D$2*(A796+1)^2.4*1.004^A796,0)</f>
        <v>17037162069</v>
      </c>
      <c r="E796" s="6" t="n">
        <f aca="false">ROUND($F$2*(A796+1)^2.4*1.004^A796,0)</f>
        <v>14907516810</v>
      </c>
      <c r="F796" s="6" t="n">
        <f aca="false">ROUND(Building_Levels!$I$2*(A796+1)^1.9*1.003^A796,2)</f>
        <v>1486.2</v>
      </c>
      <c r="G796" s="6" t="n">
        <f aca="false">ROUND((A796+1)^1.12,1)</f>
        <v>1764.3</v>
      </c>
    </row>
    <row r="797" customFormat="false" ht="15" hidden="false" customHeight="true" outlineLevel="0" collapsed="false">
      <c r="A797" s="6" t="n">
        <v>792</v>
      </c>
      <c r="B797" s="6" t="n">
        <f aca="false">MIN(42, FLOOR(A797/32,1)+1)</f>
        <v>25</v>
      </c>
      <c r="C797" s="6" t="n">
        <f aca="false">ROUND($B$2*(A797+1)^2.4*1.004^A797,0)</f>
        <v>19301839665</v>
      </c>
      <c r="D797" s="6" t="n">
        <f aca="false">ROUND($D$2*(A797+1)^2.4*1.004^A797,0)</f>
        <v>17157190813</v>
      </c>
      <c r="E797" s="6" t="n">
        <f aca="false">ROUND($F$2*(A797+1)^2.4*1.004^A797,0)</f>
        <v>15012541961</v>
      </c>
      <c r="F797" s="6" t="n">
        <f aca="false">ROUND(Building_Levels!$I$2*(A797+1)^1.9*1.003^A797,2)</f>
        <v>1494.24</v>
      </c>
      <c r="G797" s="6" t="n">
        <f aca="false">ROUND((A797+1)^1.12,1)</f>
        <v>1766.8</v>
      </c>
    </row>
    <row r="798" customFormat="false" ht="15" hidden="false" customHeight="true" outlineLevel="0" collapsed="false">
      <c r="A798" s="6" t="n">
        <v>793</v>
      </c>
      <c r="B798" s="6" t="n">
        <f aca="false">MIN(42, FLOOR(A798/32,1)+1)</f>
        <v>25</v>
      </c>
      <c r="C798" s="6" t="n">
        <f aca="false">ROUND($B$2*(A798+1)^2.4*1.004^A798,0)</f>
        <v>19437749136</v>
      </c>
      <c r="D798" s="6" t="n">
        <f aca="false">ROUND($D$2*(A798+1)^2.4*1.004^A798,0)</f>
        <v>17277999232</v>
      </c>
      <c r="E798" s="6" t="n">
        <f aca="false">ROUND($F$2*(A798+1)^2.4*1.004^A798,0)</f>
        <v>15118249328</v>
      </c>
      <c r="F798" s="6" t="n">
        <f aca="false">ROUND(Building_Levels!$I$2*(A798+1)^1.9*1.003^A798,2)</f>
        <v>1502.31</v>
      </c>
      <c r="G798" s="6" t="n">
        <f aca="false">ROUND((A798+1)^1.12,1)</f>
        <v>1769.3</v>
      </c>
    </row>
    <row r="799" customFormat="false" ht="15" hidden="false" customHeight="true" outlineLevel="0" collapsed="false">
      <c r="A799" s="6" t="n">
        <v>794</v>
      </c>
      <c r="B799" s="6" t="n">
        <f aca="false">MIN(42, FLOOR(A799/32,1)+1)</f>
        <v>25</v>
      </c>
      <c r="C799" s="6" t="n">
        <f aca="false">ROUND($B$2*(A799+1)^2.4*1.004^A799,0)</f>
        <v>19574541063</v>
      </c>
      <c r="D799" s="6" t="n">
        <f aca="false">ROUND($D$2*(A799+1)^2.4*1.004^A799,0)</f>
        <v>17399592056</v>
      </c>
      <c r="E799" s="6" t="n">
        <f aca="false">ROUND($F$2*(A799+1)^2.4*1.004^A799,0)</f>
        <v>15224643049</v>
      </c>
      <c r="F799" s="6" t="n">
        <f aca="false">ROUND(Building_Levels!$I$2*(A799+1)^1.9*1.003^A799,2)</f>
        <v>1510.43</v>
      </c>
      <c r="G799" s="6" t="n">
        <f aca="false">ROUND((A799+1)^1.12,1)</f>
        <v>1771.8</v>
      </c>
    </row>
    <row r="800" customFormat="false" ht="15" hidden="false" customHeight="true" outlineLevel="0" collapsed="false">
      <c r="A800" s="6" t="n">
        <v>795</v>
      </c>
      <c r="B800" s="6" t="n">
        <f aca="false">MIN(42, FLOOR(A800/32,1)+1)</f>
        <v>25</v>
      </c>
      <c r="C800" s="6" t="n">
        <f aca="false">ROUND($B$2*(A800+1)^2.4*1.004^A800,0)</f>
        <v>19712220802</v>
      </c>
      <c r="D800" s="6" t="n">
        <f aca="false">ROUND($D$2*(A800+1)^2.4*1.004^A800,0)</f>
        <v>17521974046</v>
      </c>
      <c r="E800" s="6" t="n">
        <f aca="false">ROUND($F$2*(A800+1)^2.4*1.004^A800,0)</f>
        <v>15331727291</v>
      </c>
      <c r="F800" s="6" t="n">
        <f aca="false">ROUND(Building_Levels!$I$2*(A800+1)^1.9*1.003^A800,2)</f>
        <v>1518.58</v>
      </c>
      <c r="G800" s="6" t="n">
        <f aca="false">ROUND((A800+1)^1.12,1)</f>
        <v>1774.3</v>
      </c>
    </row>
    <row r="801" customFormat="false" ht="15" hidden="false" customHeight="true" outlineLevel="0" collapsed="false">
      <c r="A801" s="6" t="n">
        <v>796</v>
      </c>
      <c r="B801" s="6" t="n">
        <f aca="false">MIN(42, FLOOR(A801/32,1)+1)</f>
        <v>25</v>
      </c>
      <c r="C801" s="6" t="n">
        <f aca="false">ROUND($B$2*(A801+1)^2.4*1.004^A801,0)</f>
        <v>19850793736</v>
      </c>
      <c r="D801" s="6" t="n">
        <f aca="false">ROUND($D$2*(A801+1)^2.4*1.004^A801,0)</f>
        <v>17645149988</v>
      </c>
      <c r="E801" s="6" t="n">
        <f aca="false">ROUND($F$2*(A801+1)^2.4*1.004^A801,0)</f>
        <v>15439506239</v>
      </c>
      <c r="F801" s="6" t="n">
        <f aca="false">ROUND(Building_Levels!$I$2*(A801+1)^1.9*1.003^A801,2)</f>
        <v>1526.77</v>
      </c>
      <c r="G801" s="6" t="n">
        <f aca="false">ROUND((A801+1)^1.12,1)</f>
        <v>1776.8</v>
      </c>
    </row>
    <row r="802" customFormat="false" ht="15" hidden="false" customHeight="true" outlineLevel="0" collapsed="false">
      <c r="A802" s="6" t="n">
        <v>797</v>
      </c>
      <c r="B802" s="6" t="n">
        <f aca="false">MIN(42, FLOOR(A802/32,1)+1)</f>
        <v>25</v>
      </c>
      <c r="C802" s="6" t="n">
        <f aca="false">ROUND($B$2*(A802+1)^2.4*1.004^A802,0)</f>
        <v>19990265281</v>
      </c>
      <c r="D802" s="6" t="n">
        <f aca="false">ROUND($D$2*(A802+1)^2.4*1.004^A802,0)</f>
        <v>17769124694</v>
      </c>
      <c r="E802" s="6" t="n">
        <f aca="false">ROUND($F$2*(A802+1)^2.4*1.004^A802,0)</f>
        <v>15547984107</v>
      </c>
      <c r="F802" s="6" t="n">
        <f aca="false">ROUND(Building_Levels!$I$2*(A802+1)^1.9*1.003^A802,2)</f>
        <v>1535.01</v>
      </c>
      <c r="G802" s="6" t="n">
        <f aca="false">ROUND((A802+1)^1.12,1)</f>
        <v>1779.3</v>
      </c>
    </row>
    <row r="803" customFormat="false" ht="15" hidden="false" customHeight="true" outlineLevel="0" collapsed="false">
      <c r="A803" s="6" t="n">
        <v>798</v>
      </c>
      <c r="B803" s="6" t="n">
        <f aca="false">MIN(42, FLOOR(A803/32,1)+1)</f>
        <v>25</v>
      </c>
      <c r="C803" s="6" t="n">
        <f aca="false">ROUND($B$2*(A803+1)^2.4*1.004^A803,0)</f>
        <v>20130640882</v>
      </c>
      <c r="D803" s="6" t="n">
        <f aca="false">ROUND($D$2*(A803+1)^2.4*1.004^A803,0)</f>
        <v>17893903006</v>
      </c>
      <c r="E803" s="6" t="n">
        <f aca="false">ROUND($F$2*(A803+1)^2.4*1.004^A803,0)</f>
        <v>15657165131</v>
      </c>
      <c r="F803" s="6" t="n">
        <f aca="false">ROUND(Building_Levels!$I$2*(A803+1)^1.9*1.003^A803,2)</f>
        <v>1543.28</v>
      </c>
      <c r="G803" s="6" t="n">
        <f aca="false">ROUND((A803+1)^1.12,1)</f>
        <v>1781.8</v>
      </c>
    </row>
    <row r="804" customFormat="false" ht="15" hidden="false" customHeight="true" outlineLevel="0" collapsed="false">
      <c r="A804" s="6" t="n">
        <v>799</v>
      </c>
      <c r="B804" s="6" t="n">
        <f aca="false">MIN(42, FLOOR(A804/32,1)+1)</f>
        <v>25</v>
      </c>
      <c r="C804" s="6" t="n">
        <f aca="false">ROUND($B$2*(A804+1)^2.4*1.004^A804,0)</f>
        <v>20271926019</v>
      </c>
      <c r="D804" s="6" t="n">
        <f aca="false">ROUND($D$2*(A804+1)^2.4*1.004^A804,0)</f>
        <v>18019489795</v>
      </c>
      <c r="E804" s="6" t="n">
        <f aca="false">ROUND($F$2*(A804+1)^2.4*1.004^A804,0)</f>
        <v>15767053570</v>
      </c>
      <c r="F804" s="6" t="n">
        <f aca="false">ROUND(Building_Levels!$I$2*(A804+1)^1.9*1.003^A804,2)</f>
        <v>1551.59</v>
      </c>
      <c r="G804" s="6" t="n">
        <f aca="false">ROUND((A804+1)^1.12,1)</f>
        <v>1784.3</v>
      </c>
    </row>
    <row r="805" customFormat="false" ht="15" hidden="false" customHeight="true" outlineLevel="0" collapsed="false">
      <c r="A805" s="6" t="n">
        <v>800</v>
      </c>
      <c r="B805" s="6" t="n">
        <f aca="false">MIN(42, FLOOR(A805/32,1)+1)</f>
        <v>26</v>
      </c>
      <c r="C805" s="6" t="n">
        <f aca="false">ROUND($B$2*(A805+1)^2.4*1.004^A805,0)</f>
        <v>20414126200</v>
      </c>
      <c r="D805" s="6" t="n">
        <f aca="false">ROUND($D$2*(A805+1)^2.4*1.004^A805,0)</f>
        <v>18145889955</v>
      </c>
      <c r="E805" s="6" t="n">
        <f aca="false">ROUND($F$2*(A805+1)^2.4*1.004^A805,0)</f>
        <v>15877653711</v>
      </c>
      <c r="F805" s="6" t="n">
        <f aca="false">ROUND(Building_Levels!$I$2*(A805+1)^1.9*1.003^A805,2)</f>
        <v>1559.95</v>
      </c>
      <c r="G805" s="6" t="n">
        <f aca="false">ROUND((A805+1)^1.12,1)</f>
        <v>1786.8</v>
      </c>
    </row>
    <row r="806" customFormat="false" ht="15" hidden="false" customHeight="true" outlineLevel="0" collapsed="false">
      <c r="A806" s="6" t="n">
        <v>801</v>
      </c>
      <c r="B806" s="6" t="n">
        <f aca="false">MIN(42, FLOOR(A806/32,1)+1)</f>
        <v>26</v>
      </c>
      <c r="C806" s="6" t="n">
        <f aca="false">ROUND($B$2*(A806+1)^2.4*1.004^A806,0)</f>
        <v>20557246965</v>
      </c>
      <c r="D806" s="6" t="n">
        <f aca="false">ROUND($D$2*(A806+1)^2.4*1.004^A806,0)</f>
        <v>18273108414</v>
      </c>
      <c r="E806" s="6" t="n">
        <f aca="false">ROUND($F$2*(A806+1)^2.4*1.004^A806,0)</f>
        <v>15988969862</v>
      </c>
      <c r="F806" s="6" t="n">
        <f aca="false">ROUND(Building_Levels!$I$2*(A806+1)^1.9*1.003^A806,2)</f>
        <v>1568.34</v>
      </c>
      <c r="G806" s="6" t="n">
        <f aca="false">ROUND((A806+1)^1.12,1)</f>
        <v>1789.3</v>
      </c>
    </row>
    <row r="807" customFormat="false" ht="15" hidden="false" customHeight="true" outlineLevel="0" collapsed="false">
      <c r="A807" s="6" t="n">
        <v>802</v>
      </c>
      <c r="B807" s="6" t="n">
        <f aca="false">MIN(42, FLOOR(A807/32,1)+1)</f>
        <v>26</v>
      </c>
      <c r="C807" s="6" t="n">
        <f aca="false">ROUND($B$2*(A807+1)^2.4*1.004^A807,0)</f>
        <v>20701293889</v>
      </c>
      <c r="D807" s="6" t="n">
        <f aca="false">ROUND($D$2*(A807+1)^2.4*1.004^A807,0)</f>
        <v>18401150123</v>
      </c>
      <c r="E807" s="6" t="n">
        <f aca="false">ROUND($F$2*(A807+1)^2.4*1.004^A807,0)</f>
        <v>16101006358</v>
      </c>
      <c r="F807" s="6" t="n">
        <f aca="false">ROUND(Building_Levels!$I$2*(A807+1)^1.9*1.003^A807,2)</f>
        <v>1576.77</v>
      </c>
      <c r="G807" s="6" t="n">
        <f aca="false">ROUND((A807+1)^1.12,1)</f>
        <v>1791.8</v>
      </c>
    </row>
    <row r="808" customFormat="false" ht="15" hidden="false" customHeight="true" outlineLevel="0" collapsed="false">
      <c r="A808" s="6" t="n">
        <v>803</v>
      </c>
      <c r="B808" s="6" t="n">
        <f aca="false">MIN(42, FLOOR(A808/32,1)+1)</f>
        <v>26</v>
      </c>
      <c r="C808" s="6" t="n">
        <f aca="false">ROUND($B$2*(A808+1)^2.4*1.004^A808,0)</f>
        <v>20846272574</v>
      </c>
      <c r="D808" s="6" t="n">
        <f aca="false">ROUND($D$2*(A808+1)^2.4*1.004^A808,0)</f>
        <v>18530020066</v>
      </c>
      <c r="E808" s="6" t="n">
        <f aca="false">ROUND($F$2*(A808+1)^2.4*1.004^A808,0)</f>
        <v>16213767558</v>
      </c>
      <c r="F808" s="6" t="n">
        <f aca="false">ROUND(Building_Levels!$I$2*(A808+1)^1.9*1.003^A808,2)</f>
        <v>1585.25</v>
      </c>
      <c r="G808" s="6" t="n">
        <f aca="false">ROUND((A808+1)^1.12,1)</f>
        <v>1794.3</v>
      </c>
    </row>
    <row r="809" customFormat="false" ht="15" hidden="false" customHeight="true" outlineLevel="0" collapsed="false">
      <c r="A809" s="6" t="n">
        <v>804</v>
      </c>
      <c r="B809" s="6" t="n">
        <f aca="false">MIN(42, FLOOR(A809/32,1)+1)</f>
        <v>26</v>
      </c>
      <c r="C809" s="6" t="n">
        <f aca="false">ROUND($B$2*(A809+1)^2.4*1.004^A809,0)</f>
        <v>20992188659</v>
      </c>
      <c r="D809" s="6" t="n">
        <f aca="false">ROUND($D$2*(A809+1)^2.4*1.004^A809,0)</f>
        <v>18659723252</v>
      </c>
      <c r="E809" s="6" t="n">
        <f aca="false">ROUND($F$2*(A809+1)^2.4*1.004^A809,0)</f>
        <v>16327257846</v>
      </c>
      <c r="F809" s="6" t="n">
        <f aca="false">ROUND(Building_Levels!$I$2*(A809+1)^1.9*1.003^A809,2)</f>
        <v>1593.76</v>
      </c>
      <c r="G809" s="6" t="n">
        <f aca="false">ROUND((A809+1)^1.12,1)</f>
        <v>1796.8</v>
      </c>
    </row>
    <row r="810" customFormat="false" ht="15" hidden="false" customHeight="true" outlineLevel="0" collapsed="false">
      <c r="A810" s="6" t="n">
        <v>805</v>
      </c>
      <c r="B810" s="6" t="n">
        <f aca="false">MIN(42, FLOOR(A810/32,1)+1)</f>
        <v>26</v>
      </c>
      <c r="C810" s="6" t="n">
        <f aca="false">ROUND($B$2*(A810+1)^2.4*1.004^A810,0)</f>
        <v>21139047811</v>
      </c>
      <c r="D810" s="6" t="n">
        <f aca="false">ROUND($D$2*(A810+1)^2.4*1.004^A810,0)</f>
        <v>18790264721</v>
      </c>
      <c r="E810" s="6" t="n">
        <f aca="false">ROUND($F$2*(A810+1)^2.4*1.004^A810,0)</f>
        <v>16441481631</v>
      </c>
      <c r="F810" s="6" t="n">
        <f aca="false">ROUND(Building_Levels!$I$2*(A810+1)^1.9*1.003^A810,2)</f>
        <v>1602.32</v>
      </c>
      <c r="G810" s="6" t="n">
        <f aca="false">ROUND((A810+1)^1.12,1)</f>
        <v>1799.3</v>
      </c>
    </row>
    <row r="811" customFormat="false" ht="15" hidden="false" customHeight="true" outlineLevel="0" collapsed="false">
      <c r="A811" s="6" t="n">
        <v>806</v>
      </c>
      <c r="B811" s="6" t="n">
        <f aca="false">MIN(42, FLOOR(A811/32,1)+1)</f>
        <v>26</v>
      </c>
      <c r="C811" s="6" t="n">
        <f aca="false">ROUND($B$2*(A811+1)^2.4*1.004^A811,0)</f>
        <v>21286855733</v>
      </c>
      <c r="D811" s="6" t="n">
        <f aca="false">ROUND($D$2*(A811+1)^2.4*1.004^A811,0)</f>
        <v>18921649540</v>
      </c>
      <c r="E811" s="6" t="n">
        <f aca="false">ROUND($F$2*(A811+1)^2.4*1.004^A811,0)</f>
        <v>16556443348</v>
      </c>
      <c r="F811" s="6" t="n">
        <f aca="false">ROUND(Building_Levels!$I$2*(A811+1)^1.9*1.003^A811,2)</f>
        <v>1610.92</v>
      </c>
      <c r="G811" s="6" t="n">
        <f aca="false">ROUND((A811+1)^1.12,1)</f>
        <v>1801.8</v>
      </c>
    </row>
    <row r="812" customFormat="false" ht="15" hidden="false" customHeight="true" outlineLevel="0" collapsed="false">
      <c r="A812" s="6" t="n">
        <v>807</v>
      </c>
      <c r="B812" s="6" t="n">
        <f aca="false">MIN(42, FLOOR(A812/32,1)+1)</f>
        <v>26</v>
      </c>
      <c r="C812" s="6" t="n">
        <f aca="false">ROUND($B$2*(A812+1)^2.4*1.004^A812,0)</f>
        <v>21435618158</v>
      </c>
      <c r="D812" s="6" t="n">
        <f aca="false">ROUND($D$2*(A812+1)^2.4*1.004^A812,0)</f>
        <v>19053882807</v>
      </c>
      <c r="E812" s="6" t="n">
        <f aca="false">ROUND($F$2*(A812+1)^2.4*1.004^A812,0)</f>
        <v>16672147456</v>
      </c>
      <c r="F812" s="6" t="n">
        <f aca="false">ROUND(Building_Levels!$I$2*(A812+1)^1.9*1.003^A812,2)</f>
        <v>1619.55</v>
      </c>
      <c r="G812" s="6" t="n">
        <f aca="false">ROUND((A812+1)^1.12,1)</f>
        <v>1804.3</v>
      </c>
    </row>
    <row r="813" customFormat="false" ht="15" hidden="false" customHeight="true" outlineLevel="0" collapsed="false">
      <c r="A813" s="6" t="n">
        <v>808</v>
      </c>
      <c r="B813" s="6" t="n">
        <f aca="false">MIN(42, FLOOR(A813/32,1)+1)</f>
        <v>26</v>
      </c>
      <c r="C813" s="6" t="n">
        <f aca="false">ROUND($B$2*(A813+1)^2.4*1.004^A813,0)</f>
        <v>21585340854</v>
      </c>
      <c r="D813" s="6" t="n">
        <f aca="false">ROUND($D$2*(A813+1)^2.4*1.004^A813,0)</f>
        <v>19186969648</v>
      </c>
      <c r="E813" s="6" t="n">
        <f aca="false">ROUND($F$2*(A813+1)^2.4*1.004^A813,0)</f>
        <v>16788598442</v>
      </c>
      <c r="F813" s="6" t="n">
        <f aca="false">ROUND(Building_Levels!$I$2*(A813+1)^1.9*1.003^A813,2)</f>
        <v>1628.24</v>
      </c>
      <c r="G813" s="6" t="n">
        <f aca="false">ROUND((A813+1)^1.12,1)</f>
        <v>1806.8</v>
      </c>
    </row>
    <row r="814" customFormat="false" ht="15" hidden="false" customHeight="true" outlineLevel="0" collapsed="false">
      <c r="A814" s="6" t="n">
        <v>809</v>
      </c>
      <c r="B814" s="6" t="n">
        <f aca="false">MIN(42, FLOOR(A814/32,1)+1)</f>
        <v>26</v>
      </c>
      <c r="C814" s="6" t="n">
        <f aca="false">ROUND($B$2*(A814+1)^2.4*1.004^A814,0)</f>
        <v>21736029620</v>
      </c>
      <c r="D814" s="6" t="n">
        <f aca="false">ROUND($D$2*(A814+1)^2.4*1.004^A814,0)</f>
        <v>19320915218</v>
      </c>
      <c r="E814" s="6" t="n">
        <f aca="false">ROUND($F$2*(A814+1)^2.4*1.004^A814,0)</f>
        <v>16905800816</v>
      </c>
      <c r="F814" s="6" t="n">
        <f aca="false">ROUND(Building_Levels!$I$2*(A814+1)^1.9*1.003^A814,2)</f>
        <v>1636.96</v>
      </c>
      <c r="G814" s="6" t="n">
        <f aca="false">ROUND((A814+1)^1.12,1)</f>
        <v>1809.3</v>
      </c>
    </row>
    <row r="815" customFormat="false" ht="15" hidden="false" customHeight="true" outlineLevel="0" collapsed="false">
      <c r="A815" s="6" t="n">
        <v>810</v>
      </c>
      <c r="B815" s="6" t="n">
        <f aca="false">MIN(42, FLOOR(A815/32,1)+1)</f>
        <v>26</v>
      </c>
      <c r="C815" s="6" t="n">
        <f aca="false">ROUND($B$2*(A815+1)^2.4*1.004^A815,0)</f>
        <v>21887690290</v>
      </c>
      <c r="D815" s="6" t="n">
        <f aca="false">ROUND($D$2*(A815+1)^2.4*1.004^A815,0)</f>
        <v>19455724702</v>
      </c>
      <c r="E815" s="6" t="n">
        <f aca="false">ROUND($F$2*(A815+1)^2.4*1.004^A815,0)</f>
        <v>17023759115</v>
      </c>
      <c r="F815" s="6" t="n">
        <f aca="false">ROUND(Building_Levels!$I$2*(A815+1)^1.9*1.003^A815,2)</f>
        <v>1645.72</v>
      </c>
      <c r="G815" s="6" t="n">
        <f aca="false">ROUND((A815+1)^1.12,1)</f>
        <v>1811.8</v>
      </c>
    </row>
    <row r="816" customFormat="false" ht="15" hidden="false" customHeight="true" outlineLevel="0" collapsed="false">
      <c r="A816" s="6" t="n">
        <v>811</v>
      </c>
      <c r="B816" s="6" t="n">
        <f aca="false">MIN(42, FLOOR(A816/32,1)+1)</f>
        <v>26</v>
      </c>
      <c r="C816" s="6" t="n">
        <f aca="false">ROUND($B$2*(A816+1)^2.4*1.004^A816,0)</f>
        <v>22040328731</v>
      </c>
      <c r="D816" s="6" t="n">
        <f aca="false">ROUND($D$2*(A816+1)^2.4*1.004^A816,0)</f>
        <v>19591403316</v>
      </c>
      <c r="E816" s="6" t="n">
        <f aca="false">ROUND($F$2*(A816+1)^2.4*1.004^A816,0)</f>
        <v>17142477902</v>
      </c>
      <c r="F816" s="6" t="n">
        <f aca="false">ROUND(Building_Levels!$I$2*(A816+1)^1.9*1.003^A816,2)</f>
        <v>1654.53</v>
      </c>
      <c r="G816" s="6" t="n">
        <f aca="false">ROUND((A816+1)^1.12,1)</f>
        <v>1814.3</v>
      </c>
    </row>
    <row r="817" customFormat="false" ht="15" hidden="false" customHeight="true" outlineLevel="0" collapsed="false">
      <c r="A817" s="6" t="n">
        <v>812</v>
      </c>
      <c r="B817" s="6" t="n">
        <f aca="false">MIN(42, FLOOR(A817/32,1)+1)</f>
        <v>26</v>
      </c>
      <c r="C817" s="6" t="n">
        <f aca="false">ROUND($B$2*(A817+1)^2.4*1.004^A817,0)</f>
        <v>22193950842</v>
      </c>
      <c r="D817" s="6" t="n">
        <f aca="false">ROUND($D$2*(A817+1)^2.4*1.004^A817,0)</f>
        <v>19727956304</v>
      </c>
      <c r="E817" s="6" t="n">
        <f aca="false">ROUND($F$2*(A817+1)^2.4*1.004^A817,0)</f>
        <v>17261961766</v>
      </c>
      <c r="F817" s="6" t="n">
        <f aca="false">ROUND(Building_Levels!$I$2*(A817+1)^1.9*1.003^A817,2)</f>
        <v>1663.38</v>
      </c>
      <c r="G817" s="6" t="n">
        <f aca="false">ROUND((A817+1)^1.12,1)</f>
        <v>1816.8</v>
      </c>
    </row>
    <row r="818" customFormat="false" ht="15" hidden="false" customHeight="true" outlineLevel="0" collapsed="false">
      <c r="A818" s="6" t="n">
        <v>813</v>
      </c>
      <c r="B818" s="6" t="n">
        <f aca="false">MIN(42, FLOOR(A818/32,1)+1)</f>
        <v>26</v>
      </c>
      <c r="C818" s="6" t="n">
        <f aca="false">ROUND($B$2*(A818+1)^2.4*1.004^A818,0)</f>
        <v>22348562558</v>
      </c>
      <c r="D818" s="6" t="n">
        <f aca="false">ROUND($D$2*(A818+1)^2.4*1.004^A818,0)</f>
        <v>19865388941</v>
      </c>
      <c r="E818" s="6" t="n">
        <f aca="false">ROUND($F$2*(A818+1)^2.4*1.004^A818,0)</f>
        <v>17382215323</v>
      </c>
      <c r="F818" s="6" t="n">
        <f aca="false">ROUND(Building_Levels!$I$2*(A818+1)^1.9*1.003^A818,2)</f>
        <v>1672.27</v>
      </c>
      <c r="G818" s="6" t="n">
        <f aca="false">ROUND((A818+1)^1.12,1)</f>
        <v>1819.3</v>
      </c>
    </row>
    <row r="819" customFormat="false" ht="15" hidden="false" customHeight="true" outlineLevel="0" collapsed="false">
      <c r="A819" s="6" t="n">
        <v>814</v>
      </c>
      <c r="B819" s="6" t="n">
        <f aca="false">MIN(42, FLOOR(A819/32,1)+1)</f>
        <v>26</v>
      </c>
      <c r="C819" s="6" t="n">
        <f aca="false">ROUND($B$2*(A819+1)^2.4*1.004^A819,0)</f>
        <v>22504169847</v>
      </c>
      <c r="D819" s="6" t="n">
        <f aca="false">ROUND($D$2*(A819+1)^2.4*1.004^A819,0)</f>
        <v>20003706531</v>
      </c>
      <c r="E819" s="6" t="n">
        <f aca="false">ROUND($F$2*(A819+1)^2.4*1.004^A819,0)</f>
        <v>17503243214</v>
      </c>
      <c r="F819" s="6" t="n">
        <f aca="false">ROUND(Building_Levels!$I$2*(A819+1)^1.9*1.003^A819,2)</f>
        <v>1681.2</v>
      </c>
      <c r="G819" s="6" t="n">
        <f aca="false">ROUND((A819+1)^1.12,1)</f>
        <v>1821.8</v>
      </c>
    </row>
    <row r="820" customFormat="false" ht="15" hidden="false" customHeight="true" outlineLevel="0" collapsed="false">
      <c r="A820" s="6" t="n">
        <v>815</v>
      </c>
      <c r="B820" s="6" t="n">
        <f aca="false">MIN(42, FLOOR(A820/32,1)+1)</f>
        <v>26</v>
      </c>
      <c r="C820" s="6" t="n">
        <f aca="false">ROUND($B$2*(A820+1)^2.4*1.004^A820,0)</f>
        <v>22660778710</v>
      </c>
      <c r="D820" s="6" t="n">
        <f aca="false">ROUND($D$2*(A820+1)^2.4*1.004^A820,0)</f>
        <v>20142914409</v>
      </c>
      <c r="E820" s="6" t="n">
        <f aca="false">ROUND($F$2*(A820+1)^2.4*1.004^A820,0)</f>
        <v>17625050108</v>
      </c>
      <c r="F820" s="6" t="n">
        <f aca="false">ROUND(Building_Levels!$I$2*(A820+1)^1.9*1.003^A820,2)</f>
        <v>1690.18</v>
      </c>
      <c r="G820" s="6" t="n">
        <f aca="false">ROUND((A820+1)^1.12,1)</f>
        <v>1824.3</v>
      </c>
    </row>
    <row r="821" customFormat="false" ht="15" hidden="false" customHeight="true" outlineLevel="0" collapsed="false">
      <c r="A821" s="6" t="n">
        <v>816</v>
      </c>
      <c r="B821" s="6" t="n">
        <f aca="false">MIN(42, FLOOR(A821/32,1)+1)</f>
        <v>26</v>
      </c>
      <c r="C821" s="6" t="n">
        <f aca="false">ROUND($B$2*(A821+1)^2.4*1.004^A821,0)</f>
        <v>22818395184</v>
      </c>
      <c r="D821" s="6" t="n">
        <f aca="false">ROUND($D$2*(A821+1)^2.4*1.004^A821,0)</f>
        <v>20283017941</v>
      </c>
      <c r="E821" s="6" t="n">
        <f aca="false">ROUND($F$2*(A821+1)^2.4*1.004^A821,0)</f>
        <v>17747640699</v>
      </c>
      <c r="F821" s="6" t="n">
        <f aca="false">ROUND(Building_Levels!$I$2*(A821+1)^1.9*1.003^A821,2)</f>
        <v>1699.2</v>
      </c>
      <c r="G821" s="6" t="n">
        <f aca="false">ROUND((A821+1)^1.12,1)</f>
        <v>1826.8</v>
      </c>
    </row>
    <row r="822" customFormat="false" ht="15" hidden="false" customHeight="true" outlineLevel="0" collapsed="false">
      <c r="A822" s="6" t="n">
        <v>817</v>
      </c>
      <c r="B822" s="6" t="n">
        <f aca="false">MIN(42, FLOOR(A822/32,1)+1)</f>
        <v>26</v>
      </c>
      <c r="C822" s="6" t="n">
        <f aca="false">ROUND($B$2*(A822+1)^2.4*1.004^A822,0)</f>
        <v>22977025340</v>
      </c>
      <c r="D822" s="6" t="n">
        <f aca="false">ROUND($D$2*(A822+1)^2.4*1.004^A822,0)</f>
        <v>20424022525</v>
      </c>
      <c r="E822" s="6" t="n">
        <f aca="false">ROUND($F$2*(A822+1)^2.4*1.004^A822,0)</f>
        <v>17871019709</v>
      </c>
      <c r="F822" s="6" t="n">
        <f aca="false">ROUND(Building_Levels!$I$2*(A822+1)^1.9*1.003^A822,2)</f>
        <v>1708.26</v>
      </c>
      <c r="G822" s="6" t="n">
        <f aca="false">ROUND((A822+1)^1.12,1)</f>
        <v>1829.3</v>
      </c>
    </row>
    <row r="823" customFormat="false" ht="15" hidden="false" customHeight="true" outlineLevel="0" collapsed="false">
      <c r="A823" s="6" t="n">
        <v>818</v>
      </c>
      <c r="B823" s="6" t="n">
        <f aca="false">MIN(42, FLOOR(A823/32,1)+1)</f>
        <v>26</v>
      </c>
      <c r="C823" s="6" t="n">
        <f aca="false">ROUND($B$2*(A823+1)^2.4*1.004^A823,0)</f>
        <v>23136675283</v>
      </c>
      <c r="D823" s="6" t="n">
        <f aca="false">ROUND($D$2*(A823+1)^2.4*1.004^A823,0)</f>
        <v>20565933585</v>
      </c>
      <c r="E823" s="6" t="n">
        <f aca="false">ROUND($F$2*(A823+1)^2.4*1.004^A823,0)</f>
        <v>17995191887</v>
      </c>
      <c r="F823" s="6" t="n">
        <f aca="false">ROUND(Building_Levels!$I$2*(A823+1)^1.9*1.003^A823,2)</f>
        <v>1717.37</v>
      </c>
      <c r="G823" s="6" t="n">
        <f aca="false">ROUND((A823+1)^1.12,1)</f>
        <v>1831.8</v>
      </c>
    </row>
    <row r="824" customFormat="false" ht="15" hidden="false" customHeight="true" outlineLevel="0" collapsed="false">
      <c r="A824" s="6" t="n">
        <v>819</v>
      </c>
      <c r="B824" s="6" t="n">
        <f aca="false">MIN(42, FLOOR(A824/32,1)+1)</f>
        <v>26</v>
      </c>
      <c r="C824" s="6" t="n">
        <f aca="false">ROUND($B$2*(A824+1)^2.4*1.004^A824,0)</f>
        <v>23297351155</v>
      </c>
      <c r="D824" s="6" t="n">
        <f aca="false">ROUND($D$2*(A824+1)^2.4*1.004^A824,0)</f>
        <v>20708756582</v>
      </c>
      <c r="E824" s="6" t="n">
        <f aca="false">ROUND($F$2*(A824+1)^2.4*1.004^A824,0)</f>
        <v>18120162009</v>
      </c>
      <c r="F824" s="6" t="n">
        <f aca="false">ROUND(Building_Levels!$I$2*(A824+1)^1.9*1.003^A824,2)</f>
        <v>1726.52</v>
      </c>
      <c r="G824" s="6" t="n">
        <f aca="false">ROUND((A824+1)^1.12,1)</f>
        <v>1834.3</v>
      </c>
    </row>
    <row r="825" customFormat="false" ht="15" hidden="false" customHeight="true" outlineLevel="0" collapsed="false">
      <c r="A825" s="6" t="n">
        <v>820</v>
      </c>
      <c r="B825" s="6" t="n">
        <f aca="false">MIN(42, FLOOR(A825/32,1)+1)</f>
        <v>26</v>
      </c>
      <c r="C825" s="6" t="n">
        <f aca="false">ROUND($B$2*(A825+1)^2.4*1.004^A825,0)</f>
        <v>23459059129</v>
      </c>
      <c r="D825" s="6" t="n">
        <f aca="false">ROUND($D$2*(A825+1)^2.4*1.004^A825,0)</f>
        <v>20852497004</v>
      </c>
      <c r="E825" s="6" t="n">
        <f aca="false">ROUND($F$2*(A825+1)^2.4*1.004^A825,0)</f>
        <v>18245934878</v>
      </c>
      <c r="F825" s="6" t="n">
        <f aca="false">ROUND(Building_Levels!$I$2*(A825+1)^1.9*1.003^A825,2)</f>
        <v>1735.71</v>
      </c>
      <c r="G825" s="6" t="n">
        <f aca="false">ROUND((A825+1)^1.12,1)</f>
        <v>1836.8</v>
      </c>
    </row>
    <row r="826" customFormat="false" ht="15" hidden="false" customHeight="true" outlineLevel="0" collapsed="false">
      <c r="A826" s="6" t="n">
        <v>821</v>
      </c>
      <c r="B826" s="6" t="n">
        <f aca="false">MIN(42, FLOOR(A826/32,1)+1)</f>
        <v>26</v>
      </c>
      <c r="C826" s="6" t="n">
        <f aca="false">ROUND($B$2*(A826+1)^2.4*1.004^A826,0)</f>
        <v>23621805417</v>
      </c>
      <c r="D826" s="6" t="n">
        <f aca="false">ROUND($D$2*(A826+1)^2.4*1.004^A826,0)</f>
        <v>20997160371</v>
      </c>
      <c r="E826" s="6" t="n">
        <f aca="false">ROUND($F$2*(A826+1)^2.4*1.004^A826,0)</f>
        <v>18372515325</v>
      </c>
      <c r="F826" s="6" t="n">
        <f aca="false">ROUND(Building_Levels!$I$2*(A826+1)^1.9*1.003^A826,2)</f>
        <v>1744.95</v>
      </c>
      <c r="G826" s="6" t="n">
        <f aca="false">ROUND((A826+1)^1.12,1)</f>
        <v>1839.3</v>
      </c>
    </row>
    <row r="827" customFormat="false" ht="15" hidden="false" customHeight="true" outlineLevel="0" collapsed="false">
      <c r="A827" s="6" t="n">
        <v>822</v>
      </c>
      <c r="B827" s="6" t="n">
        <f aca="false">MIN(42, FLOOR(A827/32,1)+1)</f>
        <v>26</v>
      </c>
      <c r="C827" s="6" t="n">
        <f aca="false">ROUND($B$2*(A827+1)^2.4*1.004^A827,0)</f>
        <v>23785596266</v>
      </c>
      <c r="D827" s="6" t="n">
        <f aca="false">ROUND($D$2*(A827+1)^2.4*1.004^A827,0)</f>
        <v>21142752237</v>
      </c>
      <c r="E827" s="6" t="n">
        <f aca="false">ROUND($F$2*(A827+1)^2.4*1.004^A827,0)</f>
        <v>18499908207</v>
      </c>
      <c r="F827" s="6" t="n">
        <f aca="false">ROUND(Building_Levels!$I$2*(A827+1)^1.9*1.003^A827,2)</f>
        <v>1754.23</v>
      </c>
      <c r="G827" s="6" t="n">
        <f aca="false">ROUND((A827+1)^1.12,1)</f>
        <v>1841.8</v>
      </c>
    </row>
    <row r="828" customFormat="false" ht="15" hidden="false" customHeight="true" outlineLevel="0" collapsed="false">
      <c r="A828" s="6" t="n">
        <v>823</v>
      </c>
      <c r="B828" s="6" t="n">
        <f aca="false">MIN(42, FLOOR(A828/32,1)+1)</f>
        <v>26</v>
      </c>
      <c r="C828" s="6" t="n">
        <f aca="false">ROUND($B$2*(A828+1)^2.4*1.004^A828,0)</f>
        <v>23950437957</v>
      </c>
      <c r="D828" s="6" t="n">
        <f aca="false">ROUND($D$2*(A828+1)^2.4*1.004^A828,0)</f>
        <v>21289278184</v>
      </c>
      <c r="E828" s="6" t="n">
        <f aca="false">ROUND($F$2*(A828+1)^2.4*1.004^A828,0)</f>
        <v>18628118411</v>
      </c>
      <c r="F828" s="6" t="n">
        <f aca="false">ROUND(Building_Levels!$I$2*(A828+1)^1.9*1.003^A828,2)</f>
        <v>1763.56</v>
      </c>
      <c r="G828" s="6" t="n">
        <f aca="false">ROUND((A828+1)^1.12,1)</f>
        <v>1844.3</v>
      </c>
    </row>
    <row r="829" customFormat="false" ht="15" hidden="false" customHeight="true" outlineLevel="0" collapsed="false">
      <c r="A829" s="6" t="n">
        <v>824</v>
      </c>
      <c r="B829" s="6" t="n">
        <f aca="false">MIN(42, FLOOR(A829/32,1)+1)</f>
        <v>26</v>
      </c>
      <c r="C829" s="6" t="n">
        <f aca="false">ROUND($B$2*(A829+1)^2.4*1.004^A829,0)</f>
        <v>24116336808</v>
      </c>
      <c r="D829" s="6" t="n">
        <f aca="false">ROUND($D$2*(A829+1)^2.4*1.004^A829,0)</f>
        <v>21436743829</v>
      </c>
      <c r="E829" s="6" t="n">
        <f aca="false">ROUND($F$2*(A829+1)^2.4*1.004^A829,0)</f>
        <v>18757150851</v>
      </c>
      <c r="F829" s="6" t="n">
        <f aca="false">ROUND(Building_Levels!$I$2*(A829+1)^1.9*1.003^A829,2)</f>
        <v>1772.93</v>
      </c>
      <c r="G829" s="6" t="n">
        <f aca="false">ROUND((A829+1)^1.12,1)</f>
        <v>1846.8</v>
      </c>
    </row>
    <row r="830" customFormat="false" ht="15" hidden="false" customHeight="true" outlineLevel="0" collapsed="false">
      <c r="A830" s="6" t="n">
        <v>825</v>
      </c>
      <c r="B830" s="6" t="n">
        <f aca="false">MIN(42, FLOOR(A830/32,1)+1)</f>
        <v>26</v>
      </c>
      <c r="C830" s="6" t="n">
        <f aca="false">ROUND($B$2*(A830+1)^2.4*1.004^A830,0)</f>
        <v>24283299172</v>
      </c>
      <c r="D830" s="6" t="n">
        <f aca="false">ROUND($D$2*(A830+1)^2.4*1.004^A830,0)</f>
        <v>21585154820</v>
      </c>
      <c r="E830" s="6" t="n">
        <f aca="false">ROUND($F$2*(A830+1)^2.4*1.004^A830,0)</f>
        <v>18887010467</v>
      </c>
      <c r="F830" s="6" t="n">
        <f aca="false">ROUND(Building_Levels!$I$2*(A830+1)^1.9*1.003^A830,2)</f>
        <v>1782.35</v>
      </c>
      <c r="G830" s="6" t="n">
        <f aca="false">ROUND((A830+1)^1.12,1)</f>
        <v>1849.3</v>
      </c>
    </row>
    <row r="831" customFormat="false" ht="15" hidden="false" customHeight="true" outlineLevel="0" collapsed="false">
      <c r="A831" s="6" t="n">
        <v>826</v>
      </c>
      <c r="B831" s="6" t="n">
        <f aca="false">MIN(42, FLOOR(A831/32,1)+1)</f>
        <v>26</v>
      </c>
      <c r="C831" s="6" t="n">
        <f aca="false">ROUND($B$2*(A831+1)^2.4*1.004^A831,0)</f>
        <v>24451331440</v>
      </c>
      <c r="D831" s="6" t="n">
        <f aca="false">ROUND($D$2*(A831+1)^2.4*1.004^A831,0)</f>
        <v>21734516836</v>
      </c>
      <c r="E831" s="6" t="n">
        <f aca="false">ROUND($F$2*(A831+1)^2.4*1.004^A831,0)</f>
        <v>19017702231</v>
      </c>
      <c r="F831" s="6" t="n">
        <f aca="false">ROUND(Building_Levels!$I$2*(A831+1)^1.9*1.003^A831,2)</f>
        <v>1791.81</v>
      </c>
      <c r="G831" s="6" t="n">
        <f aca="false">ROUND((A831+1)^1.12,1)</f>
        <v>1851.9</v>
      </c>
    </row>
    <row r="832" customFormat="false" ht="15" hidden="false" customHeight="true" outlineLevel="0" collapsed="false">
      <c r="A832" s="6" t="n">
        <v>827</v>
      </c>
      <c r="B832" s="6" t="n">
        <f aca="false">MIN(42, FLOOR(A832/32,1)+1)</f>
        <v>26</v>
      </c>
      <c r="C832" s="6" t="n">
        <f aca="false">ROUND($B$2*(A832+1)^2.4*1.004^A832,0)</f>
        <v>24620440039</v>
      </c>
      <c r="D832" s="6" t="n">
        <f aca="false">ROUND($D$2*(A832+1)^2.4*1.004^A832,0)</f>
        <v>21884835590</v>
      </c>
      <c r="E832" s="6" t="n">
        <f aca="false">ROUND($F$2*(A832+1)^2.4*1.004^A832,0)</f>
        <v>19149231141</v>
      </c>
      <c r="F832" s="6" t="n">
        <f aca="false">ROUND(Building_Levels!$I$2*(A832+1)^1.9*1.003^A832,2)</f>
        <v>1801.32</v>
      </c>
      <c r="G832" s="6" t="n">
        <f aca="false">ROUND((A832+1)^1.12,1)</f>
        <v>1854.4</v>
      </c>
    </row>
    <row r="833" customFormat="false" ht="15" hidden="false" customHeight="true" outlineLevel="0" collapsed="false">
      <c r="A833" s="6" t="n">
        <v>828</v>
      </c>
      <c r="B833" s="6" t="n">
        <f aca="false">MIN(42, FLOOR(A833/32,1)+1)</f>
        <v>26</v>
      </c>
      <c r="C833" s="6" t="n">
        <f aca="false">ROUND($B$2*(A833+1)^2.4*1.004^A833,0)</f>
        <v>24790631430</v>
      </c>
      <c r="D833" s="6" t="n">
        <f aca="false">ROUND($D$2*(A833+1)^2.4*1.004^A833,0)</f>
        <v>22036116827</v>
      </c>
      <c r="E833" s="6" t="n">
        <f aca="false">ROUND($F$2*(A833+1)^2.4*1.004^A833,0)</f>
        <v>19281602223</v>
      </c>
      <c r="F833" s="6" t="n">
        <f aca="false">ROUND(Building_Levels!$I$2*(A833+1)^1.9*1.003^A833,2)</f>
        <v>1810.87</v>
      </c>
      <c r="G833" s="6" t="n">
        <f aca="false">ROUND((A833+1)^1.12,1)</f>
        <v>1856.9</v>
      </c>
    </row>
    <row r="834" customFormat="false" ht="15" hidden="false" customHeight="true" outlineLevel="0" collapsed="false">
      <c r="A834" s="6" t="n">
        <v>829</v>
      </c>
      <c r="B834" s="6" t="n">
        <f aca="false">MIN(42, FLOOR(A834/32,1)+1)</f>
        <v>26</v>
      </c>
      <c r="C834" s="6" t="n">
        <f aca="false">ROUND($B$2*(A834+1)^2.4*1.004^A834,0)</f>
        <v>24961912115</v>
      </c>
      <c r="D834" s="6" t="n">
        <f aca="false">ROUND($D$2*(A834+1)^2.4*1.004^A834,0)</f>
        <v>22188366324</v>
      </c>
      <c r="E834" s="6" t="n">
        <f aca="false">ROUND($F$2*(A834+1)^2.4*1.004^A834,0)</f>
        <v>19414820534</v>
      </c>
      <c r="F834" s="6" t="n">
        <f aca="false">ROUND(Building_Levels!$I$2*(A834+1)^1.9*1.003^A834,2)</f>
        <v>1820.47</v>
      </c>
      <c r="G834" s="6" t="n">
        <f aca="false">ROUND((A834+1)^1.12,1)</f>
        <v>1859.4</v>
      </c>
    </row>
    <row r="835" customFormat="false" ht="15" hidden="false" customHeight="true" outlineLevel="0" collapsed="false">
      <c r="A835" s="6" t="n">
        <v>830</v>
      </c>
      <c r="B835" s="6" t="n">
        <f aca="false">MIN(42, FLOOR(A835/32,1)+1)</f>
        <v>26</v>
      </c>
      <c r="C835" s="6" t="n">
        <f aca="false">ROUND($B$2*(A835+1)^2.4*1.004^A835,0)</f>
        <v>25134288629</v>
      </c>
      <c r="D835" s="6" t="n">
        <f aca="false">ROUND($D$2*(A835+1)^2.4*1.004^A835,0)</f>
        <v>22341589893</v>
      </c>
      <c r="E835" s="6" t="n">
        <f aca="false">ROUND($F$2*(A835+1)^2.4*1.004^A835,0)</f>
        <v>19548891156</v>
      </c>
      <c r="F835" s="6" t="n">
        <f aca="false">ROUND(Building_Levels!$I$2*(A835+1)^1.9*1.003^A835,2)</f>
        <v>1830.11</v>
      </c>
      <c r="G835" s="6" t="n">
        <f aca="false">ROUND((A835+1)^1.12,1)</f>
        <v>1861.9</v>
      </c>
    </row>
    <row r="836" customFormat="false" ht="15" hidden="false" customHeight="true" outlineLevel="0" collapsed="false">
      <c r="A836" s="6" t="n">
        <v>831</v>
      </c>
      <c r="B836" s="6" t="n">
        <f aca="false">MIN(42, FLOOR(A836/32,1)+1)</f>
        <v>26</v>
      </c>
      <c r="C836" s="6" t="n">
        <f aca="false">ROUND($B$2*(A836+1)^2.4*1.004^A836,0)</f>
        <v>25307767548</v>
      </c>
      <c r="D836" s="6" t="n">
        <f aca="false">ROUND($D$2*(A836+1)^2.4*1.004^A836,0)</f>
        <v>22495793376</v>
      </c>
      <c r="E836" s="6" t="n">
        <f aca="false">ROUND($F$2*(A836+1)^2.4*1.004^A836,0)</f>
        <v>19683819204</v>
      </c>
      <c r="F836" s="6" t="n">
        <f aca="false">ROUND(Building_Levels!$I$2*(A836+1)^1.9*1.003^A836,2)</f>
        <v>1839.8</v>
      </c>
      <c r="G836" s="6" t="n">
        <f aca="false">ROUND((A836+1)^1.12,1)</f>
        <v>1864.4</v>
      </c>
    </row>
    <row r="837" customFormat="false" ht="15" hidden="false" customHeight="true" outlineLevel="0" collapsed="false">
      <c r="A837" s="6" t="n">
        <v>832</v>
      </c>
      <c r="B837" s="6" t="n">
        <f aca="false">MIN(42, FLOOR(A837/32,1)+1)</f>
        <v>27</v>
      </c>
      <c r="C837" s="6" t="n">
        <f aca="false">ROUND($B$2*(A837+1)^2.4*1.004^A837,0)</f>
        <v>25482355484</v>
      </c>
      <c r="D837" s="6" t="n">
        <f aca="false">ROUND($D$2*(A837+1)^2.4*1.004^A837,0)</f>
        <v>22650982652</v>
      </c>
      <c r="E837" s="6" t="n">
        <f aca="false">ROUND($F$2*(A837+1)^2.4*1.004^A837,0)</f>
        <v>19819609821</v>
      </c>
      <c r="F837" s="6" t="n">
        <f aca="false">ROUND(Building_Levels!$I$2*(A837+1)^1.9*1.003^A837,2)</f>
        <v>1849.54</v>
      </c>
      <c r="G837" s="6" t="n">
        <f aca="false">ROUND((A837+1)^1.12,1)</f>
        <v>1866.9</v>
      </c>
    </row>
    <row r="838" customFormat="false" ht="15" hidden="false" customHeight="true" outlineLevel="0" collapsed="false">
      <c r="A838" s="6" t="n">
        <v>833</v>
      </c>
      <c r="B838" s="6" t="n">
        <f aca="false">MIN(42, FLOOR(A838/32,1)+1)</f>
        <v>27</v>
      </c>
      <c r="C838" s="6" t="n">
        <f aca="false">ROUND($B$2*(A838+1)^2.4*1.004^A838,0)</f>
        <v>25658059084</v>
      </c>
      <c r="D838" s="6" t="n">
        <f aca="false">ROUND($D$2*(A838+1)^2.4*1.004^A838,0)</f>
        <v>22807163630</v>
      </c>
      <c r="E838" s="6" t="n">
        <f aca="false">ROUND($F$2*(A838+1)^2.4*1.004^A838,0)</f>
        <v>19956268176</v>
      </c>
      <c r="F838" s="6" t="n">
        <f aca="false">ROUND(Building_Levels!$I$2*(A838+1)^1.9*1.003^A838,2)</f>
        <v>1859.32</v>
      </c>
      <c r="G838" s="6" t="n">
        <f aca="false">ROUND((A838+1)^1.12,1)</f>
        <v>1869.4</v>
      </c>
    </row>
    <row r="839" customFormat="false" ht="15" hidden="false" customHeight="true" outlineLevel="0" collapsed="false">
      <c r="A839" s="6" t="n">
        <v>834</v>
      </c>
      <c r="B839" s="6" t="n">
        <f aca="false">MIN(42, FLOOR(A839/32,1)+1)</f>
        <v>27</v>
      </c>
      <c r="C839" s="6" t="n">
        <f aca="false">ROUND($B$2*(A839+1)^2.4*1.004^A839,0)</f>
        <v>25834885037</v>
      </c>
      <c r="D839" s="6" t="n">
        <f aca="false">ROUND($D$2*(A839+1)^2.4*1.004^A839,0)</f>
        <v>22964342255</v>
      </c>
      <c r="E839" s="6" t="n">
        <f aca="false">ROUND($F$2*(A839+1)^2.4*1.004^A839,0)</f>
        <v>20093799473</v>
      </c>
      <c r="F839" s="6" t="n">
        <f aca="false">ROUND(Building_Levels!$I$2*(A839+1)^1.9*1.003^A839,2)</f>
        <v>1869.15</v>
      </c>
      <c r="G839" s="6" t="n">
        <f aca="false">ROUND((A839+1)^1.12,1)</f>
        <v>1871.9</v>
      </c>
    </row>
    <row r="840" customFormat="false" ht="15" hidden="false" customHeight="true" outlineLevel="0" collapsed="false">
      <c r="A840" s="6" t="n">
        <v>835</v>
      </c>
      <c r="B840" s="6" t="n">
        <f aca="false">MIN(42, FLOOR(A840/32,1)+1)</f>
        <v>27</v>
      </c>
      <c r="C840" s="6" t="n">
        <f aca="false">ROUND($B$2*(A840+1)^2.4*1.004^A840,0)</f>
        <v>26012840067</v>
      </c>
      <c r="D840" s="6" t="n">
        <f aca="false">ROUND($D$2*(A840+1)^2.4*1.004^A840,0)</f>
        <v>23122524504</v>
      </c>
      <c r="E840" s="6" t="n">
        <f aca="false">ROUND($F$2*(A840+1)^2.4*1.004^A840,0)</f>
        <v>20232208941</v>
      </c>
      <c r="F840" s="6" t="n">
        <f aca="false">ROUND(Building_Levels!$I$2*(A840+1)^1.9*1.003^A840,2)</f>
        <v>1879.02</v>
      </c>
      <c r="G840" s="6" t="n">
        <f aca="false">ROUND((A840+1)^1.12,1)</f>
        <v>1874.4</v>
      </c>
    </row>
    <row r="841" customFormat="false" ht="15" hidden="false" customHeight="true" outlineLevel="0" collapsed="false">
      <c r="A841" s="6" t="n">
        <v>836</v>
      </c>
      <c r="B841" s="6" t="n">
        <f aca="false">MIN(42, FLOOR(A841/32,1)+1)</f>
        <v>27</v>
      </c>
      <c r="C841" s="6" t="n">
        <f aca="false">ROUND($B$2*(A841+1)^2.4*1.004^A841,0)</f>
        <v>26191930939</v>
      </c>
      <c r="D841" s="6" t="n">
        <f aca="false">ROUND($D$2*(A841+1)^2.4*1.004^A841,0)</f>
        <v>23281716390</v>
      </c>
      <c r="E841" s="6" t="n">
        <f aca="false">ROUND($F$2*(A841+1)^2.4*1.004^A841,0)</f>
        <v>20371501841</v>
      </c>
      <c r="F841" s="6" t="n">
        <f aca="false">ROUND(Building_Levels!$I$2*(A841+1)^1.9*1.003^A841,2)</f>
        <v>1888.95</v>
      </c>
      <c r="G841" s="6" t="n">
        <f aca="false">ROUND((A841+1)^1.12,1)</f>
        <v>1876.9</v>
      </c>
    </row>
    <row r="842" customFormat="false" ht="15" hidden="false" customHeight="true" outlineLevel="0" collapsed="false">
      <c r="A842" s="6" t="n">
        <v>837</v>
      </c>
      <c r="B842" s="6" t="n">
        <f aca="false">MIN(42, FLOOR(A842/32,1)+1)</f>
        <v>27</v>
      </c>
      <c r="C842" s="6" t="n">
        <f aca="false">ROUND($B$2*(A842+1)^2.4*1.004^A842,0)</f>
        <v>26372164453</v>
      </c>
      <c r="D842" s="6" t="n">
        <f aca="false">ROUND($D$2*(A842+1)^2.4*1.004^A842,0)</f>
        <v>23441923959</v>
      </c>
      <c r="E842" s="6" t="n">
        <f aca="false">ROUND($F$2*(A842+1)^2.4*1.004^A842,0)</f>
        <v>20511683464</v>
      </c>
      <c r="F842" s="6" t="n">
        <f aca="false">ROUND(Building_Levels!$I$2*(A842+1)^1.9*1.003^A842,2)</f>
        <v>1898.92</v>
      </c>
      <c r="G842" s="6" t="n">
        <f aca="false">ROUND((A842+1)^1.12,1)</f>
        <v>1879.5</v>
      </c>
    </row>
    <row r="843" customFormat="false" ht="15" hidden="false" customHeight="true" outlineLevel="0" collapsed="false">
      <c r="A843" s="6" t="n">
        <v>838</v>
      </c>
      <c r="B843" s="6" t="n">
        <f aca="false">MIN(42, FLOOR(A843/32,1)+1)</f>
        <v>27</v>
      </c>
      <c r="C843" s="6" t="n">
        <f aca="false">ROUND($B$2*(A843+1)^2.4*1.004^A843,0)</f>
        <v>26553547452</v>
      </c>
      <c r="D843" s="6" t="n">
        <f aca="false">ROUND($D$2*(A843+1)^2.4*1.004^A843,0)</f>
        <v>23603153291</v>
      </c>
      <c r="E843" s="6" t="n">
        <f aca="false">ROUND($F$2*(A843+1)^2.4*1.004^A843,0)</f>
        <v>20652759129</v>
      </c>
      <c r="F843" s="6" t="n">
        <f aca="false">ROUND(Building_Levels!$I$2*(A843+1)^1.9*1.003^A843,2)</f>
        <v>1908.93</v>
      </c>
      <c r="G843" s="6" t="n">
        <f aca="false">ROUND((A843+1)^1.12,1)</f>
        <v>1882</v>
      </c>
    </row>
    <row r="844" customFormat="false" ht="15" hidden="false" customHeight="true" outlineLevel="0" collapsed="false">
      <c r="A844" s="6" t="n">
        <v>839</v>
      </c>
      <c r="B844" s="6" t="n">
        <f aca="false">MIN(42, FLOOR(A844/32,1)+1)</f>
        <v>27</v>
      </c>
      <c r="C844" s="6" t="n">
        <f aca="false">ROUND($B$2*(A844+1)^2.4*1.004^A844,0)</f>
        <v>26736086814</v>
      </c>
      <c r="D844" s="6" t="n">
        <f aca="false">ROUND($D$2*(A844+1)^2.4*1.004^A844,0)</f>
        <v>23765410501</v>
      </c>
      <c r="E844" s="6" t="n">
        <f aca="false">ROUND($F$2*(A844+1)^2.4*1.004^A844,0)</f>
        <v>20794734189</v>
      </c>
      <c r="F844" s="6" t="n">
        <f aca="false">ROUND(Building_Levels!$I$2*(A844+1)^1.9*1.003^A844,2)</f>
        <v>1919</v>
      </c>
      <c r="G844" s="6" t="n">
        <f aca="false">ROUND((A844+1)^1.12,1)</f>
        <v>1884.5</v>
      </c>
    </row>
    <row r="845" customFormat="false" ht="15" hidden="false" customHeight="true" outlineLevel="0" collapsed="false">
      <c r="A845" s="6" t="n">
        <v>840</v>
      </c>
      <c r="B845" s="6" t="n">
        <f aca="false">MIN(42, FLOOR(A845/32,1)+1)</f>
        <v>27</v>
      </c>
      <c r="C845" s="6" t="n">
        <f aca="false">ROUND($B$2*(A845+1)^2.4*1.004^A845,0)</f>
        <v>26919789458</v>
      </c>
      <c r="D845" s="6" t="n">
        <f aca="false">ROUND($D$2*(A845+1)^2.4*1.004^A845,0)</f>
        <v>23928701741</v>
      </c>
      <c r="E845" s="6" t="n">
        <f aca="false">ROUND($F$2*(A845+1)^2.4*1.004^A845,0)</f>
        <v>20937614023</v>
      </c>
      <c r="F845" s="6" t="n">
        <f aca="false">ROUND(Building_Levels!$I$2*(A845+1)^1.9*1.003^A845,2)</f>
        <v>1929.11</v>
      </c>
      <c r="G845" s="6" t="n">
        <f aca="false">ROUND((A845+1)^1.12,1)</f>
        <v>1887</v>
      </c>
    </row>
    <row r="846" customFormat="false" ht="15" hidden="false" customHeight="true" outlineLevel="0" collapsed="false">
      <c r="A846" s="6" t="n">
        <v>841</v>
      </c>
      <c r="B846" s="6" t="n">
        <f aca="false">MIN(42, FLOOR(A846/32,1)+1)</f>
        <v>27</v>
      </c>
      <c r="C846" s="6" t="n">
        <f aca="false">ROUND($B$2*(A846+1)^2.4*1.004^A846,0)</f>
        <v>27104662342</v>
      </c>
      <c r="D846" s="6" t="n">
        <f aca="false">ROUND($D$2*(A846+1)^2.4*1.004^A846,0)</f>
        <v>24093033193</v>
      </c>
      <c r="E846" s="6" t="n">
        <f aca="false">ROUND($F$2*(A846+1)^2.4*1.004^A846,0)</f>
        <v>21081404044</v>
      </c>
      <c r="F846" s="6" t="n">
        <f aca="false">ROUND(Building_Levels!$I$2*(A846+1)^1.9*1.003^A846,2)</f>
        <v>1939.27</v>
      </c>
      <c r="G846" s="6" t="n">
        <f aca="false">ROUND((A846+1)^1.12,1)</f>
        <v>1889.5</v>
      </c>
    </row>
    <row r="847" customFormat="false" ht="15" hidden="false" customHeight="true" outlineLevel="0" collapsed="false">
      <c r="A847" s="6" t="n">
        <v>842</v>
      </c>
      <c r="B847" s="6" t="n">
        <f aca="false">MIN(42, FLOOR(A847/32,1)+1)</f>
        <v>27</v>
      </c>
      <c r="C847" s="6" t="n">
        <f aca="false">ROUND($B$2*(A847+1)^2.4*1.004^A847,0)</f>
        <v>27290712464</v>
      </c>
      <c r="D847" s="6" t="n">
        <f aca="false">ROUND($D$2*(A847+1)^2.4*1.004^A847,0)</f>
        <v>24258411079</v>
      </c>
      <c r="E847" s="6" t="n">
        <f aca="false">ROUND($F$2*(A847+1)^2.4*1.004^A847,0)</f>
        <v>21226109695</v>
      </c>
      <c r="F847" s="6" t="n">
        <f aca="false">ROUND(Building_Levels!$I$2*(A847+1)^1.9*1.003^A847,2)</f>
        <v>1949.48</v>
      </c>
      <c r="G847" s="6" t="n">
        <f aca="false">ROUND((A847+1)^1.12,1)</f>
        <v>1892</v>
      </c>
    </row>
    <row r="848" customFormat="false" ht="15" hidden="false" customHeight="true" outlineLevel="0" collapsed="false">
      <c r="A848" s="6" t="n">
        <v>843</v>
      </c>
      <c r="B848" s="6" t="n">
        <f aca="false">MIN(42, FLOOR(A848/32,1)+1)</f>
        <v>27</v>
      </c>
      <c r="C848" s="6" t="n">
        <f aca="false">ROUND($B$2*(A848+1)^2.4*1.004^A848,0)</f>
        <v>27477946861</v>
      </c>
      <c r="D848" s="6" t="n">
        <f aca="false">ROUND($D$2*(A848+1)^2.4*1.004^A848,0)</f>
        <v>24424841654</v>
      </c>
      <c r="E848" s="6" t="n">
        <f aca="false">ROUND($F$2*(A848+1)^2.4*1.004^A848,0)</f>
        <v>21371736448</v>
      </c>
      <c r="F848" s="6" t="n">
        <f aca="false">ROUND(Building_Levels!$I$2*(A848+1)^1.9*1.003^A848,2)</f>
        <v>1959.74</v>
      </c>
      <c r="G848" s="6" t="n">
        <f aca="false">ROUND((A848+1)^1.12,1)</f>
        <v>1894.5</v>
      </c>
    </row>
    <row r="849" customFormat="false" ht="15" hidden="false" customHeight="true" outlineLevel="0" collapsed="false">
      <c r="A849" s="6" t="n">
        <v>844</v>
      </c>
      <c r="B849" s="6" t="n">
        <f aca="false">MIN(42, FLOOR(A849/32,1)+1)</f>
        <v>27</v>
      </c>
      <c r="C849" s="6" t="n">
        <f aca="false">ROUND($B$2*(A849+1)^2.4*1.004^A849,0)</f>
        <v>27666372610</v>
      </c>
      <c r="D849" s="6" t="n">
        <f aca="false">ROUND($D$2*(A849+1)^2.4*1.004^A849,0)</f>
        <v>24592331209</v>
      </c>
      <c r="E849" s="6" t="n">
        <f aca="false">ROUND($F$2*(A849+1)^2.4*1.004^A849,0)</f>
        <v>21518289808</v>
      </c>
      <c r="F849" s="6" t="n">
        <f aca="false">ROUND(Building_Levels!$I$2*(A849+1)^1.9*1.003^A849,2)</f>
        <v>1970.05</v>
      </c>
      <c r="G849" s="6" t="n">
        <f aca="false">ROUND((A849+1)^1.12,1)</f>
        <v>1897.1</v>
      </c>
    </row>
    <row r="850" customFormat="false" ht="15" hidden="false" customHeight="true" outlineLevel="0" collapsed="false">
      <c r="A850" s="6" t="n">
        <v>845</v>
      </c>
      <c r="B850" s="6" t="n">
        <f aca="false">MIN(42, FLOOR(A850/32,1)+1)</f>
        <v>27</v>
      </c>
      <c r="C850" s="6" t="n">
        <f aca="false">ROUND($B$2*(A850+1)^2.4*1.004^A850,0)</f>
        <v>27855996829</v>
      </c>
      <c r="D850" s="6" t="n">
        <f aca="false">ROUND($D$2*(A850+1)^2.4*1.004^A850,0)</f>
        <v>24760886070</v>
      </c>
      <c r="E850" s="6" t="n">
        <f aca="false">ROUND($F$2*(A850+1)^2.4*1.004^A850,0)</f>
        <v>21665775312</v>
      </c>
      <c r="F850" s="6" t="n">
        <f aca="false">ROUND(Building_Levels!$I$2*(A850+1)^1.9*1.003^A850,2)</f>
        <v>1980.4</v>
      </c>
      <c r="G850" s="6" t="n">
        <f aca="false">ROUND((A850+1)^1.12,1)</f>
        <v>1899.6</v>
      </c>
    </row>
    <row r="851" customFormat="false" ht="15" hidden="false" customHeight="true" outlineLevel="0" collapsed="false">
      <c r="A851" s="6" t="n">
        <v>846</v>
      </c>
      <c r="B851" s="6" t="n">
        <f aca="false">MIN(42, FLOOR(A851/32,1)+1)</f>
        <v>27</v>
      </c>
      <c r="C851" s="6" t="n">
        <f aca="false">ROUND($B$2*(A851+1)^2.4*1.004^A851,0)</f>
        <v>28046826676</v>
      </c>
      <c r="D851" s="6" t="n">
        <f aca="false">ROUND($D$2*(A851+1)^2.4*1.004^A851,0)</f>
        <v>24930512601</v>
      </c>
      <c r="E851" s="6" t="n">
        <f aca="false">ROUND($F$2*(A851+1)^2.4*1.004^A851,0)</f>
        <v>21814198526</v>
      </c>
      <c r="F851" s="6" t="n">
        <f aca="false">ROUND(Building_Levels!$I$2*(A851+1)^1.9*1.003^A851,2)</f>
        <v>1990.81</v>
      </c>
      <c r="G851" s="6" t="n">
        <f aca="false">ROUND((A851+1)^1.12,1)</f>
        <v>1902.1</v>
      </c>
    </row>
    <row r="852" customFormat="false" ht="15" hidden="false" customHeight="true" outlineLevel="0" collapsed="false">
      <c r="A852" s="6" t="n">
        <v>847</v>
      </c>
      <c r="B852" s="6" t="n">
        <f aca="false">MIN(42, FLOOR(A852/32,1)+1)</f>
        <v>27</v>
      </c>
      <c r="C852" s="6" t="n">
        <f aca="false">ROUND($B$2*(A852+1)^2.4*1.004^A852,0)</f>
        <v>28238869348</v>
      </c>
      <c r="D852" s="6" t="n">
        <f aca="false">ROUND($D$2*(A852+1)^2.4*1.004^A852,0)</f>
        <v>25101217199</v>
      </c>
      <c r="E852" s="6" t="n">
        <f aca="false">ROUND($F$2*(A852+1)^2.4*1.004^A852,0)</f>
        <v>21963565049</v>
      </c>
      <c r="F852" s="6" t="n">
        <f aca="false">ROUND(Building_Levels!$I$2*(A852+1)^1.9*1.003^A852,2)</f>
        <v>2001.26</v>
      </c>
      <c r="G852" s="6" t="n">
        <f aca="false">ROUND((A852+1)^1.12,1)</f>
        <v>1904.6</v>
      </c>
    </row>
    <row r="853" customFormat="false" ht="15" hidden="false" customHeight="true" outlineLevel="0" collapsed="false">
      <c r="A853" s="6" t="n">
        <v>848</v>
      </c>
      <c r="B853" s="6" t="n">
        <f aca="false">MIN(42, FLOOR(A853/32,1)+1)</f>
        <v>27</v>
      </c>
      <c r="C853" s="6" t="n">
        <f aca="false">ROUND($B$2*(A853+1)^2.4*1.004^A853,0)</f>
        <v>28432132086</v>
      </c>
      <c r="D853" s="6" t="n">
        <f aca="false">ROUND($D$2*(A853+1)^2.4*1.004^A853,0)</f>
        <v>25273006299</v>
      </c>
      <c r="E853" s="6" t="n">
        <f aca="false">ROUND($F$2*(A853+1)^2.4*1.004^A853,0)</f>
        <v>22113880512</v>
      </c>
      <c r="F853" s="6" t="n">
        <f aca="false">ROUND(Building_Levels!$I$2*(A853+1)^1.9*1.003^A853,2)</f>
        <v>2011.76</v>
      </c>
      <c r="G853" s="6" t="n">
        <f aca="false">ROUND((A853+1)^1.12,1)</f>
        <v>1907.1</v>
      </c>
    </row>
    <row r="854" customFormat="false" ht="15" hidden="false" customHeight="true" outlineLevel="0" collapsed="false">
      <c r="A854" s="6" t="n">
        <v>849</v>
      </c>
      <c r="B854" s="6" t="n">
        <f aca="false">MIN(42, FLOOR(A854/32,1)+1)</f>
        <v>27</v>
      </c>
      <c r="C854" s="6" t="n">
        <f aca="false">ROUND($B$2*(A854+1)^2.4*1.004^A854,0)</f>
        <v>28626622171</v>
      </c>
      <c r="D854" s="6" t="n">
        <f aca="false">ROUND($D$2*(A854+1)^2.4*1.004^A854,0)</f>
        <v>25445886374</v>
      </c>
      <c r="E854" s="6" t="n">
        <f aca="false">ROUND($F$2*(A854+1)^2.4*1.004^A854,0)</f>
        <v>22265150577</v>
      </c>
      <c r="F854" s="6" t="n">
        <f aca="false">ROUND(Building_Levels!$I$2*(A854+1)^1.9*1.003^A854,2)</f>
        <v>2022.32</v>
      </c>
      <c r="G854" s="6" t="n">
        <f aca="false">ROUND((A854+1)^1.12,1)</f>
        <v>1909.6</v>
      </c>
    </row>
    <row r="855" customFormat="false" ht="15" hidden="false" customHeight="true" outlineLevel="0" collapsed="false">
      <c r="A855" s="6" t="n">
        <v>850</v>
      </c>
      <c r="B855" s="6" t="n">
        <f aca="false">MIN(42, FLOOR(A855/32,1)+1)</f>
        <v>27</v>
      </c>
      <c r="C855" s="6" t="n">
        <f aca="false">ROUND($B$2*(A855+1)^2.4*1.004^A855,0)</f>
        <v>28822346922</v>
      </c>
      <c r="D855" s="6" t="n">
        <f aca="false">ROUND($D$2*(A855+1)^2.4*1.004^A855,0)</f>
        <v>25619863931</v>
      </c>
      <c r="E855" s="6" t="n">
        <f aca="false">ROUND($F$2*(A855+1)^2.4*1.004^A855,0)</f>
        <v>22417380940</v>
      </c>
      <c r="F855" s="6" t="n">
        <f aca="false">ROUND(Building_Levels!$I$2*(A855+1)^1.9*1.003^A855,2)</f>
        <v>2032.92</v>
      </c>
      <c r="G855" s="6" t="n">
        <f aca="false">ROUND((A855+1)^1.12,1)</f>
        <v>1912.1</v>
      </c>
    </row>
    <row r="856" customFormat="false" ht="15" hidden="false" customHeight="true" outlineLevel="0" collapsed="false">
      <c r="A856" s="6" t="n">
        <v>851</v>
      </c>
      <c r="B856" s="6" t="n">
        <f aca="false">MIN(42, FLOOR(A856/32,1)+1)</f>
        <v>27</v>
      </c>
      <c r="C856" s="6" t="n">
        <f aca="false">ROUND($B$2*(A856+1)^2.4*1.004^A856,0)</f>
        <v>29019313705</v>
      </c>
      <c r="D856" s="6" t="n">
        <f aca="false">ROUND($D$2*(A856+1)^2.4*1.004^A856,0)</f>
        <v>25794945516</v>
      </c>
      <c r="E856" s="6" t="n">
        <f aca="false">ROUND($F$2*(A856+1)^2.4*1.004^A856,0)</f>
        <v>22570577326</v>
      </c>
      <c r="F856" s="6" t="n">
        <f aca="false">ROUND(Building_Levels!$I$2*(A856+1)^1.9*1.003^A856,2)</f>
        <v>2043.57</v>
      </c>
      <c r="G856" s="6" t="n">
        <f aca="false">ROUND((A856+1)^1.12,1)</f>
        <v>1914.7</v>
      </c>
    </row>
    <row r="857" customFormat="false" ht="15" hidden="false" customHeight="true" outlineLevel="0" collapsed="false">
      <c r="A857" s="6" t="n">
        <v>852</v>
      </c>
      <c r="B857" s="6" t="n">
        <f aca="false">MIN(42, FLOOR(A857/32,1)+1)</f>
        <v>27</v>
      </c>
      <c r="C857" s="6" t="n">
        <f aca="false">ROUND($B$2*(A857+1)^2.4*1.004^A857,0)</f>
        <v>29217529924</v>
      </c>
      <c r="D857" s="6" t="n">
        <f aca="false">ROUND($D$2*(A857+1)^2.4*1.004^A857,0)</f>
        <v>25971137710</v>
      </c>
      <c r="E857" s="6" t="n">
        <f aca="false">ROUND($F$2*(A857+1)^2.4*1.004^A857,0)</f>
        <v>22724745497</v>
      </c>
      <c r="F857" s="6" t="n">
        <f aca="false">ROUND(Building_Levels!$I$2*(A857+1)^1.9*1.003^A857,2)</f>
        <v>2054.28</v>
      </c>
      <c r="G857" s="6" t="n">
        <f aca="false">ROUND((A857+1)^1.12,1)</f>
        <v>1917.2</v>
      </c>
    </row>
    <row r="858" customFormat="false" ht="15" hidden="false" customHeight="true" outlineLevel="0" collapsed="false">
      <c r="A858" s="6" t="n">
        <v>853</v>
      </c>
      <c r="B858" s="6" t="n">
        <f aca="false">MIN(42, FLOOR(A858/32,1)+1)</f>
        <v>27</v>
      </c>
      <c r="C858" s="6" t="n">
        <f aca="false">ROUND($B$2*(A858+1)^2.4*1.004^A858,0)</f>
        <v>29417003026</v>
      </c>
      <c r="D858" s="6" t="n">
        <f aca="false">ROUND($D$2*(A858+1)^2.4*1.004^A858,0)</f>
        <v>26148447134</v>
      </c>
      <c r="E858" s="6" t="n">
        <f aca="false">ROUND($F$2*(A858+1)^2.4*1.004^A858,0)</f>
        <v>22879891242</v>
      </c>
      <c r="F858" s="6" t="n">
        <f aca="false">ROUND(Building_Levels!$I$2*(A858+1)^1.9*1.003^A858,2)</f>
        <v>2065.03</v>
      </c>
      <c r="G858" s="6" t="n">
        <f aca="false">ROUND((A858+1)^1.12,1)</f>
        <v>1919.7</v>
      </c>
    </row>
    <row r="859" customFormat="false" ht="15" hidden="false" customHeight="true" outlineLevel="0" collapsed="false">
      <c r="A859" s="6" t="n">
        <v>854</v>
      </c>
      <c r="B859" s="6" t="n">
        <f aca="false">MIN(42, FLOOR(A859/32,1)+1)</f>
        <v>27</v>
      </c>
      <c r="C859" s="6" t="n">
        <f aca="false">ROUND($B$2*(A859+1)^2.4*1.004^A859,0)</f>
        <v>29617740500</v>
      </c>
      <c r="D859" s="6" t="n">
        <f aca="false">ROUND($D$2*(A859+1)^2.4*1.004^A859,0)</f>
        <v>26326880445</v>
      </c>
      <c r="E859" s="6" t="n">
        <f aca="false">ROUND($F$2*(A859+1)^2.4*1.004^A859,0)</f>
        <v>23036020389</v>
      </c>
      <c r="F859" s="6" t="n">
        <f aca="false">ROUND(Building_Levels!$I$2*(A859+1)^1.9*1.003^A859,2)</f>
        <v>2075.84</v>
      </c>
      <c r="G859" s="6" t="n">
        <f aca="false">ROUND((A859+1)^1.12,1)</f>
        <v>1922.2</v>
      </c>
    </row>
    <row r="860" customFormat="false" ht="15" hidden="false" customHeight="true" outlineLevel="0" collapsed="false">
      <c r="A860" s="6" t="n">
        <v>855</v>
      </c>
      <c r="B860" s="6" t="n">
        <f aca="false">MIN(42, FLOOR(A860/32,1)+1)</f>
        <v>27</v>
      </c>
      <c r="C860" s="6" t="n">
        <f aca="false">ROUND($B$2*(A860+1)^2.4*1.004^A860,0)</f>
        <v>29819749878</v>
      </c>
      <c r="D860" s="6" t="n">
        <f aca="false">ROUND($D$2*(A860+1)^2.4*1.004^A860,0)</f>
        <v>26506444336</v>
      </c>
      <c r="E860" s="6" t="n">
        <f aca="false">ROUND($F$2*(A860+1)^2.4*1.004^A860,0)</f>
        <v>23193138794</v>
      </c>
      <c r="F860" s="6" t="n">
        <f aca="false">ROUND(Building_Levels!$I$2*(A860+1)^1.9*1.003^A860,2)</f>
        <v>2086.7</v>
      </c>
      <c r="G860" s="6" t="n">
        <f aca="false">ROUND((A860+1)^1.12,1)</f>
        <v>1924.7</v>
      </c>
    </row>
    <row r="861" customFormat="false" ht="15" hidden="false" customHeight="true" outlineLevel="0" collapsed="false">
      <c r="A861" s="6" t="n">
        <v>856</v>
      </c>
      <c r="B861" s="6" t="n">
        <f aca="false">MIN(42, FLOOR(A861/32,1)+1)</f>
        <v>27</v>
      </c>
      <c r="C861" s="6" t="n">
        <f aca="false">ROUND($B$2*(A861+1)^2.4*1.004^A861,0)</f>
        <v>30023038734</v>
      </c>
      <c r="D861" s="6" t="n">
        <f aca="false">ROUND($D$2*(A861+1)^2.4*1.004^A861,0)</f>
        <v>26687145542</v>
      </c>
      <c r="E861" s="6" t="n">
        <f aca="false">ROUND($F$2*(A861+1)^2.4*1.004^A861,0)</f>
        <v>23351252349</v>
      </c>
      <c r="F861" s="6" t="n">
        <f aca="false">ROUND(Building_Levels!$I$2*(A861+1)^1.9*1.003^A861,2)</f>
        <v>2097.6</v>
      </c>
      <c r="G861" s="6" t="n">
        <f aca="false">ROUND((A861+1)^1.12,1)</f>
        <v>1927.3</v>
      </c>
    </row>
    <row r="862" customFormat="false" ht="15" hidden="false" customHeight="true" outlineLevel="0" collapsed="false">
      <c r="A862" s="6" t="n">
        <v>857</v>
      </c>
      <c r="B862" s="6" t="n">
        <f aca="false">MIN(42, FLOOR(A862/32,1)+1)</f>
        <v>27</v>
      </c>
      <c r="C862" s="6" t="n">
        <f aca="false">ROUND($B$2*(A862+1)^2.4*1.004^A862,0)</f>
        <v>30227614686</v>
      </c>
      <c r="D862" s="6" t="n">
        <f aca="false">ROUND($D$2*(A862+1)^2.4*1.004^A862,0)</f>
        <v>26868990832</v>
      </c>
      <c r="E862" s="6" t="n">
        <f aca="false">ROUND($F$2*(A862+1)^2.4*1.004^A862,0)</f>
        <v>23510366978</v>
      </c>
      <c r="F862" s="6" t="n">
        <f aca="false">ROUND(Building_Levels!$I$2*(A862+1)^1.9*1.003^A862,2)</f>
        <v>2108.56</v>
      </c>
      <c r="G862" s="6" t="n">
        <f aca="false">ROUND((A862+1)^1.12,1)</f>
        <v>1929.8</v>
      </c>
    </row>
    <row r="863" customFormat="false" ht="15" hidden="false" customHeight="true" outlineLevel="0" collapsed="false">
      <c r="A863" s="6" t="n">
        <v>858</v>
      </c>
      <c r="B863" s="6" t="n">
        <f aca="false">MIN(42, FLOOR(A863/32,1)+1)</f>
        <v>27</v>
      </c>
      <c r="C863" s="6" t="n">
        <f aca="false">ROUND($B$2*(A863+1)^2.4*1.004^A863,0)</f>
        <v>30433485393</v>
      </c>
      <c r="D863" s="6" t="n">
        <f aca="false">ROUND($D$2*(A863+1)^2.4*1.004^A863,0)</f>
        <v>27051987016</v>
      </c>
      <c r="E863" s="6" t="n">
        <f aca="false">ROUND($F$2*(A863+1)^2.4*1.004^A863,0)</f>
        <v>23670488639</v>
      </c>
      <c r="F863" s="6" t="n">
        <f aca="false">ROUND(Building_Levels!$I$2*(A863+1)^1.9*1.003^A863,2)</f>
        <v>2119.57</v>
      </c>
      <c r="G863" s="6" t="n">
        <f aca="false">ROUND((A863+1)^1.12,1)</f>
        <v>1932.3</v>
      </c>
    </row>
    <row r="864" customFormat="false" ht="15" hidden="false" customHeight="true" outlineLevel="0" collapsed="false">
      <c r="A864" s="6" t="n">
        <v>859</v>
      </c>
      <c r="B864" s="6" t="n">
        <f aca="false">MIN(42, FLOOR(A864/32,1)+1)</f>
        <v>27</v>
      </c>
      <c r="C864" s="6" t="n">
        <f aca="false">ROUND($B$2*(A864+1)^2.4*1.004^A864,0)</f>
        <v>30640658560</v>
      </c>
      <c r="D864" s="6" t="n">
        <f aca="false">ROUND($D$2*(A864+1)^2.4*1.004^A864,0)</f>
        <v>27236140942</v>
      </c>
      <c r="E864" s="6" t="n">
        <f aca="false">ROUND($F$2*(A864+1)^2.4*1.004^A864,0)</f>
        <v>23831623324</v>
      </c>
      <c r="F864" s="6" t="n">
        <f aca="false">ROUND(Building_Levels!$I$2*(A864+1)^1.9*1.003^A864,2)</f>
        <v>2130.64</v>
      </c>
      <c r="G864" s="6" t="n">
        <f aca="false">ROUND((A864+1)^1.12,1)</f>
        <v>1934.8</v>
      </c>
    </row>
    <row r="865" customFormat="false" ht="15" hidden="false" customHeight="true" outlineLevel="0" collapsed="false">
      <c r="A865" s="6" t="n">
        <v>860</v>
      </c>
      <c r="B865" s="6" t="n">
        <f aca="false">MIN(42, FLOOR(A865/32,1)+1)</f>
        <v>27</v>
      </c>
      <c r="C865" s="6" t="n">
        <f aca="false">ROUND($B$2*(A865+1)^2.4*1.004^A865,0)</f>
        <v>30849141933</v>
      </c>
      <c r="D865" s="6" t="n">
        <f aca="false">ROUND($D$2*(A865+1)^2.4*1.004^A865,0)</f>
        <v>27421459496</v>
      </c>
      <c r="E865" s="6" t="n">
        <f aca="false">ROUND($F$2*(A865+1)^2.4*1.004^A865,0)</f>
        <v>23993777059</v>
      </c>
      <c r="F865" s="6" t="n">
        <f aca="false">ROUND(Building_Levels!$I$2*(A865+1)^1.9*1.003^A865,2)</f>
        <v>2141.75</v>
      </c>
      <c r="G865" s="6" t="n">
        <f aca="false">ROUND((A865+1)^1.12,1)</f>
        <v>1937.3</v>
      </c>
    </row>
    <row r="866" customFormat="false" ht="15" hidden="false" customHeight="true" outlineLevel="0" collapsed="false">
      <c r="A866" s="6" t="n">
        <v>861</v>
      </c>
      <c r="B866" s="6" t="n">
        <f aca="false">MIN(42, FLOOR(A866/32,1)+1)</f>
        <v>27</v>
      </c>
      <c r="C866" s="6" t="n">
        <f aca="false">ROUND($B$2*(A866+1)^2.4*1.004^A866,0)</f>
        <v>31058943305</v>
      </c>
      <c r="D866" s="6" t="n">
        <f aca="false">ROUND($D$2*(A866+1)^2.4*1.004^A866,0)</f>
        <v>27607949604</v>
      </c>
      <c r="E866" s="6" t="n">
        <f aca="false">ROUND($F$2*(A866+1)^2.4*1.004^A866,0)</f>
        <v>24156955904</v>
      </c>
      <c r="F866" s="6" t="n">
        <f aca="false">ROUND(Building_Levels!$I$2*(A866+1)^1.9*1.003^A866,2)</f>
        <v>2152.92</v>
      </c>
      <c r="G866" s="6" t="n">
        <f aca="false">ROUND((A866+1)^1.12,1)</f>
        <v>1939.8</v>
      </c>
    </row>
    <row r="867" customFormat="false" ht="15" hidden="false" customHeight="true" outlineLevel="0" collapsed="false">
      <c r="A867" s="6" t="n">
        <v>862</v>
      </c>
      <c r="B867" s="6" t="n">
        <f aca="false">MIN(42, FLOOR(A867/32,1)+1)</f>
        <v>27</v>
      </c>
      <c r="C867" s="6" t="n">
        <f aca="false">ROUND($B$2*(A867+1)^2.4*1.004^A867,0)</f>
        <v>31270070509</v>
      </c>
      <c r="D867" s="6" t="n">
        <f aca="false">ROUND($D$2*(A867+1)^2.4*1.004^A867,0)</f>
        <v>27795618231</v>
      </c>
      <c r="E867" s="6" t="n">
        <f aca="false">ROUND($F$2*(A867+1)^2.4*1.004^A867,0)</f>
        <v>24321165952</v>
      </c>
      <c r="F867" s="6" t="n">
        <f aca="false">ROUND(Building_Levels!$I$2*(A867+1)^1.9*1.003^A867,2)</f>
        <v>2164.14</v>
      </c>
      <c r="G867" s="6" t="n">
        <f aca="false">ROUND((A867+1)^1.12,1)</f>
        <v>1942.4</v>
      </c>
    </row>
    <row r="868" customFormat="false" ht="15" hidden="false" customHeight="true" outlineLevel="0" collapsed="false">
      <c r="A868" s="6" t="n">
        <v>863</v>
      </c>
      <c r="B868" s="6" t="n">
        <f aca="false">MIN(42, FLOOR(A868/32,1)+1)</f>
        <v>27</v>
      </c>
      <c r="C868" s="6" t="n">
        <f aca="false">ROUND($B$2*(A868+1)^2.4*1.004^A868,0)</f>
        <v>31482531427</v>
      </c>
      <c r="D868" s="6" t="n">
        <f aca="false">ROUND($D$2*(A868+1)^2.4*1.004^A868,0)</f>
        <v>27984472379</v>
      </c>
      <c r="E868" s="6" t="n">
        <f aca="false">ROUND($F$2*(A868+1)^2.4*1.004^A868,0)</f>
        <v>24486413332</v>
      </c>
      <c r="F868" s="6" t="n">
        <f aca="false">ROUND(Building_Levels!$I$2*(A868+1)^1.9*1.003^A868,2)</f>
        <v>2175.42</v>
      </c>
      <c r="G868" s="6" t="n">
        <f aca="false">ROUND((A868+1)^1.12,1)</f>
        <v>1944.9</v>
      </c>
    </row>
    <row r="869" customFormat="false" ht="15" hidden="false" customHeight="true" outlineLevel="0" collapsed="false">
      <c r="A869" s="6" t="n">
        <v>864</v>
      </c>
      <c r="B869" s="6" t="n">
        <f aca="false">MIN(42, FLOOR(A869/32,1)+1)</f>
        <v>28</v>
      </c>
      <c r="C869" s="6" t="n">
        <f aca="false">ROUND($B$2*(A869+1)^2.4*1.004^A869,0)</f>
        <v>31696333981</v>
      </c>
      <c r="D869" s="6" t="n">
        <f aca="false">ROUND($D$2*(A869+1)^2.4*1.004^A869,0)</f>
        <v>28174519094</v>
      </c>
      <c r="E869" s="6" t="n">
        <f aca="false">ROUND($F$2*(A869+1)^2.4*1.004^A869,0)</f>
        <v>24652704207</v>
      </c>
      <c r="F869" s="6" t="n">
        <f aca="false">ROUND(Building_Levels!$I$2*(A869+1)^1.9*1.003^A869,2)</f>
        <v>2186.74</v>
      </c>
      <c r="G869" s="6" t="n">
        <f aca="false">ROUND((A869+1)^1.12,1)</f>
        <v>1947.4</v>
      </c>
    </row>
    <row r="870" customFormat="false" ht="15" hidden="false" customHeight="true" outlineLevel="0" collapsed="false">
      <c r="A870" s="6" t="n">
        <v>865</v>
      </c>
      <c r="B870" s="6" t="n">
        <f aca="false">MIN(42, FLOOR(A870/32,1)+1)</f>
        <v>28</v>
      </c>
      <c r="C870" s="6" t="n">
        <f aca="false">ROUND($B$2*(A870+1)^2.4*1.004^A870,0)</f>
        <v>31911486141</v>
      </c>
      <c r="D870" s="6" t="n">
        <f aca="false">ROUND($D$2*(A870+1)^2.4*1.004^A870,0)</f>
        <v>28365765458</v>
      </c>
      <c r="E870" s="6" t="n">
        <f aca="false">ROUND($F$2*(A870+1)^2.4*1.004^A870,0)</f>
        <v>24820044776</v>
      </c>
      <c r="F870" s="6" t="n">
        <f aca="false">ROUND(Building_Levels!$I$2*(A870+1)^1.9*1.003^A870,2)</f>
        <v>2198.12</v>
      </c>
      <c r="G870" s="6" t="n">
        <f aca="false">ROUND((A870+1)^1.12,1)</f>
        <v>1949.9</v>
      </c>
    </row>
    <row r="871" customFormat="false" ht="15" hidden="false" customHeight="true" outlineLevel="0" collapsed="false">
      <c r="A871" s="6" t="n">
        <v>866</v>
      </c>
      <c r="B871" s="6" t="n">
        <f aca="false">MIN(42, FLOOR(A871/32,1)+1)</f>
        <v>28</v>
      </c>
      <c r="C871" s="6" t="n">
        <f aca="false">ROUND($B$2*(A871+1)^2.4*1.004^A871,0)</f>
        <v>32127995920</v>
      </c>
      <c r="D871" s="6" t="n">
        <f aca="false">ROUND($D$2*(A871+1)^2.4*1.004^A871,0)</f>
        <v>28558218596</v>
      </c>
      <c r="E871" s="6" t="n">
        <f aca="false">ROUND($F$2*(A871+1)^2.4*1.004^A871,0)</f>
        <v>24988441271</v>
      </c>
      <c r="F871" s="6" t="n">
        <f aca="false">ROUND(Building_Levels!$I$2*(A871+1)^1.9*1.003^A871,2)</f>
        <v>2209.56</v>
      </c>
      <c r="G871" s="6" t="n">
        <f aca="false">ROUND((A871+1)^1.12,1)</f>
        <v>1952.5</v>
      </c>
    </row>
    <row r="872" customFormat="false" ht="15" hidden="false" customHeight="true" outlineLevel="0" collapsed="false">
      <c r="A872" s="6" t="n">
        <v>867</v>
      </c>
      <c r="B872" s="6" t="n">
        <f aca="false">MIN(42, FLOOR(A872/32,1)+1)</f>
        <v>28</v>
      </c>
      <c r="C872" s="6" t="n">
        <f aca="false">ROUND($B$2*(A872+1)^2.4*1.004^A872,0)</f>
        <v>32345871378</v>
      </c>
      <c r="D872" s="6" t="n">
        <f aca="false">ROUND($D$2*(A872+1)^2.4*1.004^A872,0)</f>
        <v>28751885670</v>
      </c>
      <c r="E872" s="6" t="n">
        <f aca="false">ROUND($F$2*(A872+1)^2.4*1.004^A872,0)</f>
        <v>25157899961</v>
      </c>
      <c r="F872" s="6" t="n">
        <f aca="false">ROUND(Building_Levels!$I$2*(A872+1)^1.9*1.003^A872,2)</f>
        <v>2221.05</v>
      </c>
      <c r="G872" s="6" t="n">
        <f aca="false">ROUND((A872+1)^1.12,1)</f>
        <v>1955</v>
      </c>
    </row>
    <row r="873" customFormat="false" ht="15" hidden="false" customHeight="true" outlineLevel="0" collapsed="false">
      <c r="A873" s="6" t="n">
        <v>868</v>
      </c>
      <c r="B873" s="6" t="n">
        <f aca="false">MIN(42, FLOOR(A873/32,1)+1)</f>
        <v>28</v>
      </c>
      <c r="C873" s="6" t="n">
        <f aca="false">ROUND($B$2*(A873+1)^2.4*1.004^A873,0)</f>
        <v>32565120620</v>
      </c>
      <c r="D873" s="6" t="n">
        <f aca="false">ROUND($D$2*(A873+1)^2.4*1.004^A873,0)</f>
        <v>28946773885</v>
      </c>
      <c r="E873" s="6" t="n">
        <f aca="false">ROUND($F$2*(A873+1)^2.4*1.004^A873,0)</f>
        <v>25328427149</v>
      </c>
      <c r="F873" s="6" t="n">
        <f aca="false">ROUND(Building_Levels!$I$2*(A873+1)^1.9*1.003^A873,2)</f>
        <v>2232.59</v>
      </c>
      <c r="G873" s="6" t="n">
        <f aca="false">ROUND((A873+1)^1.12,1)</f>
        <v>1957.5</v>
      </c>
    </row>
    <row r="874" customFormat="false" ht="15" hidden="false" customHeight="true" outlineLevel="0" collapsed="false">
      <c r="A874" s="6" t="n">
        <v>869</v>
      </c>
      <c r="B874" s="6" t="n">
        <f aca="false">MIN(42, FLOOR(A874/32,1)+1)</f>
        <v>28</v>
      </c>
      <c r="C874" s="6" t="n">
        <f aca="false">ROUND($B$2*(A874+1)^2.4*1.004^A874,0)</f>
        <v>32785751797</v>
      </c>
      <c r="D874" s="6" t="n">
        <f aca="false">ROUND($D$2*(A874+1)^2.4*1.004^A874,0)</f>
        <v>29142890486</v>
      </c>
      <c r="E874" s="6" t="n">
        <f aca="false">ROUND($F$2*(A874+1)^2.4*1.004^A874,0)</f>
        <v>25500029175</v>
      </c>
      <c r="F874" s="6" t="n">
        <f aca="false">ROUND(Building_Levels!$I$2*(A874+1)^1.9*1.003^A874,2)</f>
        <v>2244.18</v>
      </c>
      <c r="G874" s="6" t="n">
        <f aca="false">ROUND((A874+1)^1.12,1)</f>
        <v>1960</v>
      </c>
    </row>
    <row r="875" customFormat="false" ht="15" hidden="false" customHeight="true" outlineLevel="0" collapsed="false">
      <c r="A875" s="6" t="n">
        <v>870</v>
      </c>
      <c r="B875" s="6" t="n">
        <f aca="false">MIN(42, FLOOR(A875/32,1)+1)</f>
        <v>28</v>
      </c>
      <c r="C875" s="6" t="n">
        <f aca="false">ROUND($B$2*(A875+1)^2.4*1.004^A875,0)</f>
        <v>33007773104</v>
      </c>
      <c r="D875" s="6" t="n">
        <f aca="false">ROUND($D$2*(A875+1)^2.4*1.004^A875,0)</f>
        <v>29340242759</v>
      </c>
      <c r="E875" s="6" t="n">
        <f aca="false">ROUND($F$2*(A875+1)^2.4*1.004^A875,0)</f>
        <v>25672712414</v>
      </c>
      <c r="F875" s="6" t="n">
        <f aca="false">ROUND(Building_Levels!$I$2*(A875+1)^1.9*1.003^A875,2)</f>
        <v>2255.84</v>
      </c>
      <c r="G875" s="6" t="n">
        <f aca="false">ROUND((A875+1)^1.12,1)</f>
        <v>1962.5</v>
      </c>
    </row>
    <row r="876" customFormat="false" ht="15" hidden="false" customHeight="true" outlineLevel="0" collapsed="false">
      <c r="A876" s="6" t="n">
        <v>871</v>
      </c>
      <c r="B876" s="6" t="n">
        <f aca="false">MIN(42, FLOOR(A876/32,1)+1)</f>
        <v>28</v>
      </c>
      <c r="C876" s="6" t="n">
        <f aca="false">ROUND($B$2*(A876+1)^2.4*1.004^A876,0)</f>
        <v>33231192785</v>
      </c>
      <c r="D876" s="6" t="n">
        <f aca="false">ROUND($D$2*(A876+1)^2.4*1.004^A876,0)</f>
        <v>29538838031</v>
      </c>
      <c r="E876" s="6" t="n">
        <f aca="false">ROUND($F$2*(A876+1)^2.4*1.004^A876,0)</f>
        <v>25846483277</v>
      </c>
      <c r="F876" s="6" t="n">
        <f aca="false">ROUND(Building_Levels!$I$2*(A876+1)^1.9*1.003^A876,2)</f>
        <v>2267.54</v>
      </c>
      <c r="G876" s="6" t="n">
        <f aca="false">ROUND((A876+1)^1.12,1)</f>
        <v>1965.1</v>
      </c>
    </row>
    <row r="877" customFormat="false" ht="15" hidden="false" customHeight="true" outlineLevel="0" collapsed="false">
      <c r="A877" s="6" t="n">
        <v>872</v>
      </c>
      <c r="B877" s="6" t="n">
        <f aca="false">MIN(42, FLOOR(A877/32,1)+1)</f>
        <v>28</v>
      </c>
      <c r="C877" s="6" t="n">
        <f aca="false">ROUND($B$2*(A877+1)^2.4*1.004^A877,0)</f>
        <v>33456019128</v>
      </c>
      <c r="D877" s="6" t="n">
        <f aca="false">ROUND($D$2*(A877+1)^2.4*1.004^A877,0)</f>
        <v>29738683670</v>
      </c>
      <c r="E877" s="6" t="n">
        <f aca="false">ROUND($F$2*(A877+1)^2.4*1.004^A877,0)</f>
        <v>26021348211</v>
      </c>
      <c r="F877" s="6" t="n">
        <f aca="false">ROUND(Building_Levels!$I$2*(A877+1)^1.9*1.003^A877,2)</f>
        <v>2279.3</v>
      </c>
      <c r="G877" s="6" t="n">
        <f aca="false">ROUND((A877+1)^1.12,1)</f>
        <v>1967.6</v>
      </c>
    </row>
    <row r="878" customFormat="false" ht="15" hidden="false" customHeight="true" outlineLevel="0" collapsed="false">
      <c r="A878" s="6" t="n">
        <v>873</v>
      </c>
      <c r="B878" s="6" t="n">
        <f aca="false">MIN(42, FLOOR(A878/32,1)+1)</f>
        <v>28</v>
      </c>
      <c r="C878" s="6" t="n">
        <f aca="false">ROUND($B$2*(A878+1)^2.4*1.004^A878,0)</f>
        <v>33682260472</v>
      </c>
      <c r="D878" s="6" t="n">
        <f aca="false">ROUND($D$2*(A878+1)^2.4*1.004^A878,0)</f>
        <v>29939787086</v>
      </c>
      <c r="E878" s="6" t="n">
        <f aca="false">ROUND($F$2*(A878+1)^2.4*1.004^A878,0)</f>
        <v>26197313700</v>
      </c>
      <c r="F878" s="6" t="n">
        <f aca="false">ROUND(Building_Levels!$I$2*(A878+1)^1.9*1.003^A878,2)</f>
        <v>2291.12</v>
      </c>
      <c r="G878" s="6" t="n">
        <f aca="false">ROUND((A878+1)^1.12,1)</f>
        <v>1970.1</v>
      </c>
    </row>
    <row r="879" customFormat="false" ht="15" hidden="false" customHeight="true" outlineLevel="0" collapsed="false">
      <c r="A879" s="6" t="n">
        <v>874</v>
      </c>
      <c r="B879" s="6" t="n">
        <f aca="false">MIN(42, FLOOR(A879/32,1)+1)</f>
        <v>28</v>
      </c>
      <c r="C879" s="6" t="n">
        <f aca="false">ROUND($B$2*(A879+1)^2.4*1.004^A879,0)</f>
        <v>33909925197</v>
      </c>
      <c r="D879" s="6" t="n">
        <f aca="false">ROUND($D$2*(A879+1)^2.4*1.004^A879,0)</f>
        <v>30142155731</v>
      </c>
      <c r="E879" s="6" t="n">
        <f aca="false">ROUND($F$2*(A879+1)^2.4*1.004^A879,0)</f>
        <v>26374386265</v>
      </c>
      <c r="F879" s="6" t="n">
        <f aca="false">ROUND(Building_Levels!$I$2*(A879+1)^1.9*1.003^A879,2)</f>
        <v>2302.99</v>
      </c>
      <c r="G879" s="6" t="n">
        <f aca="false">ROUND((A879+1)^1.12,1)</f>
        <v>1972.6</v>
      </c>
    </row>
    <row r="880" customFormat="false" ht="15" hidden="false" customHeight="true" outlineLevel="0" collapsed="false">
      <c r="A880" s="6" t="n">
        <v>875</v>
      </c>
      <c r="B880" s="6" t="n">
        <f aca="false">MIN(42, FLOOR(A880/32,1)+1)</f>
        <v>28</v>
      </c>
      <c r="C880" s="6" t="n">
        <f aca="false">ROUND($B$2*(A880+1)^2.4*1.004^A880,0)</f>
        <v>34139021736</v>
      </c>
      <c r="D880" s="6" t="n">
        <f aca="false">ROUND($D$2*(A880+1)^2.4*1.004^A880,0)</f>
        <v>30345797099</v>
      </c>
      <c r="E880" s="6" t="n">
        <f aca="false">ROUND($F$2*(A880+1)^2.4*1.004^A880,0)</f>
        <v>26552572461</v>
      </c>
      <c r="F880" s="6" t="n">
        <f aca="false">ROUND(Building_Levels!$I$2*(A880+1)^1.9*1.003^A880,2)</f>
        <v>2314.92</v>
      </c>
      <c r="G880" s="6" t="n">
        <f aca="false">ROUND((A880+1)^1.12,1)</f>
        <v>1975.2</v>
      </c>
    </row>
    <row r="881" customFormat="false" ht="15" hidden="false" customHeight="true" outlineLevel="0" collapsed="false">
      <c r="A881" s="6" t="n">
        <v>876</v>
      </c>
      <c r="B881" s="6" t="n">
        <f aca="false">MIN(42, FLOOR(A881/32,1)+1)</f>
        <v>28</v>
      </c>
      <c r="C881" s="6" t="n">
        <f aca="false">ROUND($B$2*(A881+1)^2.4*1.004^A881,0)</f>
        <v>34369558566</v>
      </c>
      <c r="D881" s="6" t="n">
        <f aca="false">ROUND($D$2*(A881+1)^2.4*1.004^A881,0)</f>
        <v>30550718725</v>
      </c>
      <c r="E881" s="6" t="n">
        <f aca="false">ROUND($F$2*(A881+1)^2.4*1.004^A881,0)</f>
        <v>26731878885</v>
      </c>
      <c r="F881" s="6" t="n">
        <f aca="false">ROUND(Building_Levels!$I$2*(A881+1)^1.9*1.003^A881,2)</f>
        <v>2326.9</v>
      </c>
      <c r="G881" s="6" t="n">
        <f aca="false">ROUND((A881+1)^1.12,1)</f>
        <v>1977.7</v>
      </c>
    </row>
    <row r="882" customFormat="false" ht="15" hidden="false" customHeight="true" outlineLevel="0" collapsed="false">
      <c r="A882" s="6" t="n">
        <v>877</v>
      </c>
      <c r="B882" s="6" t="n">
        <f aca="false">MIN(42, FLOOR(A882/32,1)+1)</f>
        <v>28</v>
      </c>
      <c r="C882" s="6" t="n">
        <f aca="false">ROUND($B$2*(A882+1)^2.4*1.004^A882,0)</f>
        <v>34601544213</v>
      </c>
      <c r="D882" s="6" t="n">
        <f aca="false">ROUND($D$2*(A882+1)^2.4*1.004^A882,0)</f>
        <v>30756928189</v>
      </c>
      <c r="E882" s="6" t="n">
        <f aca="false">ROUND($F$2*(A882+1)^2.4*1.004^A882,0)</f>
        <v>26912312165</v>
      </c>
      <c r="F882" s="6" t="n">
        <f aca="false">ROUND(Building_Levels!$I$2*(A882+1)^1.9*1.003^A882,2)</f>
        <v>2338.94</v>
      </c>
      <c r="G882" s="6" t="n">
        <f aca="false">ROUND((A882+1)^1.12,1)</f>
        <v>1980.2</v>
      </c>
    </row>
    <row r="883" customFormat="false" ht="15" hidden="false" customHeight="true" outlineLevel="0" collapsed="false">
      <c r="A883" s="6" t="n">
        <v>878</v>
      </c>
      <c r="B883" s="6" t="n">
        <f aca="false">MIN(42, FLOOR(A883/32,1)+1)</f>
        <v>28</v>
      </c>
      <c r="C883" s="6" t="n">
        <f aca="false">ROUND($B$2*(A883+1)^2.4*1.004^A883,0)</f>
        <v>34834987250</v>
      </c>
      <c r="D883" s="6" t="n">
        <f aca="false">ROUND($D$2*(A883+1)^2.4*1.004^A883,0)</f>
        <v>30964433111</v>
      </c>
      <c r="E883" s="6" t="n">
        <f aca="false">ROUND($F$2*(A883+1)^2.4*1.004^A883,0)</f>
        <v>27093878973</v>
      </c>
      <c r="F883" s="6" t="n">
        <f aca="false">ROUND(Building_Levels!$I$2*(A883+1)^1.9*1.003^A883,2)</f>
        <v>2351.04</v>
      </c>
      <c r="G883" s="6" t="n">
        <f aca="false">ROUND((A883+1)^1.12,1)</f>
        <v>1982.7</v>
      </c>
    </row>
    <row r="884" customFormat="false" ht="15" hidden="false" customHeight="true" outlineLevel="0" collapsed="false">
      <c r="A884" s="6" t="n">
        <v>879</v>
      </c>
      <c r="B884" s="6" t="n">
        <f aca="false">MIN(42, FLOOR(A884/32,1)+1)</f>
        <v>28</v>
      </c>
      <c r="C884" s="6" t="n">
        <f aca="false">ROUND($B$2*(A884+1)^2.4*1.004^A884,0)</f>
        <v>35069896301</v>
      </c>
      <c r="D884" s="6" t="n">
        <f aca="false">ROUND($D$2*(A884+1)^2.4*1.004^A884,0)</f>
        <v>31173241157</v>
      </c>
      <c r="E884" s="6" t="n">
        <f aca="false">ROUND($F$2*(A884+1)^2.4*1.004^A884,0)</f>
        <v>27276586012</v>
      </c>
      <c r="F884" s="6" t="n">
        <f aca="false">ROUND(Building_Levels!$I$2*(A884+1)^1.9*1.003^A884,2)</f>
        <v>2363.19</v>
      </c>
      <c r="G884" s="6" t="n">
        <f aca="false">ROUND((A884+1)^1.12,1)</f>
        <v>1985.3</v>
      </c>
    </row>
    <row r="885" customFormat="false" ht="15" hidden="false" customHeight="true" outlineLevel="0" collapsed="false">
      <c r="A885" s="6" t="n">
        <v>880</v>
      </c>
      <c r="B885" s="6" t="n">
        <f aca="false">MIN(42, FLOOR(A885/32,1)+1)</f>
        <v>28</v>
      </c>
      <c r="C885" s="6" t="n">
        <f aca="false">ROUND($B$2*(A885+1)^2.4*1.004^A885,0)</f>
        <v>35306280036</v>
      </c>
      <c r="D885" s="6" t="n">
        <f aca="false">ROUND($D$2*(A885+1)^2.4*1.004^A885,0)</f>
        <v>31383360032</v>
      </c>
      <c r="E885" s="6" t="n">
        <f aca="false">ROUND($F$2*(A885+1)^2.4*1.004^A885,0)</f>
        <v>27460440028</v>
      </c>
      <c r="F885" s="6" t="n">
        <f aca="false">ROUND(Building_Levels!$I$2*(A885+1)^1.9*1.003^A885,2)</f>
        <v>2375.4</v>
      </c>
      <c r="G885" s="6" t="n">
        <f aca="false">ROUND((A885+1)^1.12,1)</f>
        <v>1987.8</v>
      </c>
    </row>
    <row r="886" customFormat="false" ht="15" hidden="false" customHeight="true" outlineLevel="0" collapsed="false">
      <c r="A886" s="6" t="n">
        <v>881</v>
      </c>
      <c r="B886" s="6" t="n">
        <f aca="false">MIN(42, FLOOR(A886/32,1)+1)</f>
        <v>28</v>
      </c>
      <c r="C886" s="6" t="n">
        <f aca="false">ROUND($B$2*(A886+1)^2.4*1.004^A886,0)</f>
        <v>35544147175</v>
      </c>
      <c r="D886" s="6" t="n">
        <f aca="false">ROUND($D$2*(A886+1)^2.4*1.004^A886,0)</f>
        <v>31594797489</v>
      </c>
      <c r="E886" s="6" t="n">
        <f aca="false">ROUND($F$2*(A886+1)^2.4*1.004^A886,0)</f>
        <v>27645447803</v>
      </c>
      <c r="F886" s="6" t="n">
        <f aca="false">ROUND(Building_Levels!$I$2*(A886+1)^1.9*1.003^A886,2)</f>
        <v>2387.67</v>
      </c>
      <c r="G886" s="6" t="n">
        <f aca="false">ROUND((A886+1)^1.12,1)</f>
        <v>1990.3</v>
      </c>
    </row>
    <row r="887" customFormat="false" ht="15" hidden="false" customHeight="true" outlineLevel="0" collapsed="false">
      <c r="A887" s="6" t="n">
        <v>882</v>
      </c>
      <c r="B887" s="6" t="n">
        <f aca="false">MIN(42, FLOOR(A887/32,1)+1)</f>
        <v>28</v>
      </c>
      <c r="C887" s="6" t="n">
        <f aca="false">ROUND($B$2*(A887+1)^2.4*1.004^A887,0)</f>
        <v>35783506486</v>
      </c>
      <c r="D887" s="6" t="n">
        <f aca="false">ROUND($D$2*(A887+1)^2.4*1.004^A887,0)</f>
        <v>31807561321</v>
      </c>
      <c r="E887" s="6" t="n">
        <f aca="false">ROUND($F$2*(A887+1)^2.4*1.004^A887,0)</f>
        <v>27831616156</v>
      </c>
      <c r="F887" s="6" t="n">
        <f aca="false">ROUND(Building_Levels!$I$2*(A887+1)^1.9*1.003^A887,2)</f>
        <v>2399.99</v>
      </c>
      <c r="G887" s="6" t="n">
        <f aca="false">ROUND((A887+1)^1.12,1)</f>
        <v>1992.9</v>
      </c>
    </row>
    <row r="888" customFormat="false" ht="15" hidden="false" customHeight="true" outlineLevel="0" collapsed="false">
      <c r="A888" s="6" t="n">
        <v>883</v>
      </c>
      <c r="B888" s="6" t="n">
        <f aca="false">MIN(42, FLOOR(A888/32,1)+1)</f>
        <v>28</v>
      </c>
      <c r="C888" s="6" t="n">
        <f aca="false">ROUND($B$2*(A888+1)^2.4*1.004^A888,0)</f>
        <v>36024366788</v>
      </c>
      <c r="D888" s="6" t="n">
        <f aca="false">ROUND($D$2*(A888+1)^2.4*1.004^A888,0)</f>
        <v>32021659367</v>
      </c>
      <c r="E888" s="6" t="n">
        <f aca="false">ROUND($F$2*(A888+1)^2.4*1.004^A888,0)</f>
        <v>28018951946</v>
      </c>
      <c r="F888" s="6" t="n">
        <f aca="false">ROUND(Building_Levels!$I$2*(A888+1)^1.9*1.003^A888,2)</f>
        <v>2412.37</v>
      </c>
      <c r="G888" s="6" t="n">
        <f aca="false">ROUND((A888+1)^1.12,1)</f>
        <v>1995.4</v>
      </c>
    </row>
    <row r="889" customFormat="false" ht="15" hidden="false" customHeight="true" outlineLevel="0" collapsed="false">
      <c r="A889" s="6" t="n">
        <v>884</v>
      </c>
      <c r="B889" s="6" t="n">
        <f aca="false">MIN(42, FLOOR(A889/32,1)+1)</f>
        <v>28</v>
      </c>
      <c r="C889" s="6" t="n">
        <f aca="false">ROUND($B$2*(A889+1)^2.4*1.004^A889,0)</f>
        <v>36266736949</v>
      </c>
      <c r="D889" s="6" t="n">
        <f aca="false">ROUND($D$2*(A889+1)^2.4*1.004^A889,0)</f>
        <v>32237099510</v>
      </c>
      <c r="E889" s="6" t="n">
        <f aca="false">ROUND($F$2*(A889+1)^2.4*1.004^A889,0)</f>
        <v>28207462071</v>
      </c>
      <c r="F889" s="6" t="n">
        <f aca="false">ROUND(Building_Levels!$I$2*(A889+1)^1.9*1.003^A889,2)</f>
        <v>2424.81</v>
      </c>
      <c r="G889" s="6" t="n">
        <f aca="false">ROUND((A889+1)^1.12,1)</f>
        <v>1997.9</v>
      </c>
    </row>
    <row r="890" customFormat="false" ht="15" hidden="false" customHeight="true" outlineLevel="0" collapsed="false">
      <c r="A890" s="6" t="n">
        <v>885</v>
      </c>
      <c r="B890" s="6" t="n">
        <f aca="false">MIN(42, FLOOR(A890/32,1)+1)</f>
        <v>28</v>
      </c>
      <c r="C890" s="6" t="n">
        <f aca="false">ROUND($B$2*(A890+1)^2.4*1.004^A890,0)</f>
        <v>36510625886</v>
      </c>
      <c r="D890" s="6" t="n">
        <f aca="false">ROUND($D$2*(A890+1)^2.4*1.004^A890,0)</f>
        <v>32453889676</v>
      </c>
      <c r="E890" s="6" t="n">
        <f aca="false">ROUND($F$2*(A890+1)^2.4*1.004^A890,0)</f>
        <v>28397153467</v>
      </c>
      <c r="F890" s="6" t="n">
        <f aca="false">ROUND(Building_Levels!$I$2*(A890+1)^1.9*1.003^A890,2)</f>
        <v>2437.31</v>
      </c>
      <c r="G890" s="6" t="n">
        <f aca="false">ROUND((A890+1)^1.12,1)</f>
        <v>2000.4</v>
      </c>
    </row>
    <row r="891" customFormat="false" ht="15" hidden="false" customHeight="true" outlineLevel="0" collapsed="false">
      <c r="A891" s="6" t="n">
        <v>886</v>
      </c>
      <c r="B891" s="6" t="n">
        <f aca="false">MIN(42, FLOOR(A891/32,1)+1)</f>
        <v>28</v>
      </c>
      <c r="C891" s="6" t="n">
        <f aca="false">ROUND($B$2*(A891+1)^2.4*1.004^A891,0)</f>
        <v>36756042567</v>
      </c>
      <c r="D891" s="6" t="n">
        <f aca="false">ROUND($D$2*(A891+1)^2.4*1.004^A891,0)</f>
        <v>32672037837</v>
      </c>
      <c r="E891" s="6" t="n">
        <f aca="false">ROUND($F$2*(A891+1)^2.4*1.004^A891,0)</f>
        <v>28588033108</v>
      </c>
      <c r="F891" s="6" t="n">
        <f aca="false">ROUND(Building_Levels!$I$2*(A891+1)^1.9*1.003^A891,2)</f>
        <v>2449.87</v>
      </c>
      <c r="G891" s="6" t="n">
        <f aca="false">ROUND((A891+1)^1.12,1)</f>
        <v>2003</v>
      </c>
    </row>
    <row r="892" customFormat="false" ht="15" hidden="false" customHeight="true" outlineLevel="0" collapsed="false">
      <c r="A892" s="6" t="n">
        <v>887</v>
      </c>
      <c r="B892" s="6" t="n">
        <f aca="false">MIN(42, FLOOR(A892/32,1)+1)</f>
        <v>28</v>
      </c>
      <c r="C892" s="6" t="n">
        <f aca="false">ROUND($B$2*(A892+1)^2.4*1.004^A892,0)</f>
        <v>37002996011</v>
      </c>
      <c r="D892" s="6" t="n">
        <f aca="false">ROUND($D$2*(A892+1)^2.4*1.004^A892,0)</f>
        <v>32891552010</v>
      </c>
      <c r="E892" s="6" t="n">
        <f aca="false">ROUND($F$2*(A892+1)^2.4*1.004^A892,0)</f>
        <v>28780108009</v>
      </c>
      <c r="F892" s="6" t="n">
        <f aca="false">ROUND(Building_Levels!$I$2*(A892+1)^1.9*1.003^A892,2)</f>
        <v>2462.48</v>
      </c>
      <c r="G892" s="6" t="n">
        <f aca="false">ROUND((A892+1)^1.12,1)</f>
        <v>2005.5</v>
      </c>
    </row>
    <row r="893" customFormat="false" ht="15" hidden="false" customHeight="true" outlineLevel="0" collapsed="false">
      <c r="A893" s="6" t="n">
        <v>888</v>
      </c>
      <c r="B893" s="6" t="n">
        <f aca="false">MIN(42, FLOOR(A893/32,1)+1)</f>
        <v>28</v>
      </c>
      <c r="C893" s="6" t="n">
        <f aca="false">ROUND($B$2*(A893+1)^2.4*1.004^A893,0)</f>
        <v>37251495288</v>
      </c>
      <c r="D893" s="6" t="n">
        <f aca="false">ROUND($D$2*(A893+1)^2.4*1.004^A893,0)</f>
        <v>33112440256</v>
      </c>
      <c r="E893" s="6" t="n">
        <f aca="false">ROUND($F$2*(A893+1)^2.4*1.004^A893,0)</f>
        <v>28973385224</v>
      </c>
      <c r="F893" s="6" t="n">
        <f aca="false">ROUND(Building_Levels!$I$2*(A893+1)^1.9*1.003^A893,2)</f>
        <v>2475.16</v>
      </c>
      <c r="G893" s="6" t="n">
        <f aca="false">ROUND((A893+1)^1.12,1)</f>
        <v>2008</v>
      </c>
    </row>
    <row r="894" customFormat="false" ht="15" hidden="false" customHeight="true" outlineLevel="0" collapsed="false">
      <c r="A894" s="6" t="n">
        <v>889</v>
      </c>
      <c r="B894" s="6" t="n">
        <f aca="false">MIN(42, FLOOR(A894/32,1)+1)</f>
        <v>28</v>
      </c>
      <c r="C894" s="6" t="n">
        <f aca="false">ROUND($B$2*(A894+1)^2.4*1.004^A894,0)</f>
        <v>37501549516</v>
      </c>
      <c r="D894" s="6" t="n">
        <f aca="false">ROUND($D$2*(A894+1)^2.4*1.004^A894,0)</f>
        <v>33334710681</v>
      </c>
      <c r="E894" s="6" t="n">
        <f aca="false">ROUND($F$2*(A894+1)^2.4*1.004^A894,0)</f>
        <v>29167871846</v>
      </c>
      <c r="F894" s="6" t="n">
        <f aca="false">ROUND(Building_Levels!$I$2*(A894+1)^1.9*1.003^A894,2)</f>
        <v>2487.89</v>
      </c>
      <c r="G894" s="6" t="n">
        <f aca="false">ROUND((A894+1)^1.12,1)</f>
        <v>2010.6</v>
      </c>
    </row>
    <row r="895" customFormat="false" ht="15" hidden="false" customHeight="true" outlineLevel="0" collapsed="false">
      <c r="A895" s="6" t="n">
        <v>890</v>
      </c>
      <c r="B895" s="6" t="n">
        <f aca="false">MIN(42, FLOOR(A895/32,1)+1)</f>
        <v>28</v>
      </c>
      <c r="C895" s="6" t="n">
        <f aca="false">ROUND($B$2*(A895+1)^2.4*1.004^A895,0)</f>
        <v>37753167868</v>
      </c>
      <c r="D895" s="6" t="n">
        <f aca="false">ROUND($D$2*(A895+1)^2.4*1.004^A895,0)</f>
        <v>33558371438</v>
      </c>
      <c r="E895" s="6" t="n">
        <f aca="false">ROUND($F$2*(A895+1)^2.4*1.004^A895,0)</f>
        <v>29363575008</v>
      </c>
      <c r="F895" s="6" t="n">
        <f aca="false">ROUND(Building_Levels!$I$2*(A895+1)^1.9*1.003^A895,2)</f>
        <v>2500.69</v>
      </c>
      <c r="G895" s="6" t="n">
        <f aca="false">ROUND((A895+1)^1.12,1)</f>
        <v>2013.1</v>
      </c>
    </row>
    <row r="896" customFormat="false" ht="15" hidden="false" customHeight="true" outlineLevel="0" collapsed="false">
      <c r="A896" s="6" t="n">
        <v>891</v>
      </c>
      <c r="B896" s="6" t="n">
        <f aca="false">MIN(42, FLOOR(A896/32,1)+1)</f>
        <v>28</v>
      </c>
      <c r="C896" s="6" t="n">
        <f aca="false">ROUND($B$2*(A896+1)^2.4*1.004^A896,0)</f>
        <v>38006359566</v>
      </c>
      <c r="D896" s="6" t="n">
        <f aca="false">ROUND($D$2*(A896+1)^2.4*1.004^A896,0)</f>
        <v>33783430726</v>
      </c>
      <c r="E896" s="6" t="n">
        <f aca="false">ROUND($F$2*(A896+1)^2.4*1.004^A896,0)</f>
        <v>29560501885</v>
      </c>
      <c r="F896" s="6" t="n">
        <f aca="false">ROUND(Building_Levels!$I$2*(A896+1)^1.9*1.003^A896,2)</f>
        <v>2513.54</v>
      </c>
      <c r="G896" s="6" t="n">
        <f aca="false">ROUND((A896+1)^1.12,1)</f>
        <v>2015.6</v>
      </c>
    </row>
    <row r="897" customFormat="false" ht="15" hidden="false" customHeight="true" outlineLevel="0" collapsed="false">
      <c r="A897" s="6" t="n">
        <v>892</v>
      </c>
      <c r="B897" s="6" t="n">
        <f aca="false">MIN(42, FLOOR(A897/32,1)+1)</f>
        <v>28</v>
      </c>
      <c r="C897" s="6" t="n">
        <f aca="false">ROUND($B$2*(A897+1)^2.4*1.004^A897,0)</f>
        <v>38261133886</v>
      </c>
      <c r="D897" s="6" t="n">
        <f aca="false">ROUND($D$2*(A897+1)^2.4*1.004^A897,0)</f>
        <v>34009896788</v>
      </c>
      <c r="E897" s="6" t="n">
        <f aca="false">ROUND($F$2*(A897+1)^2.4*1.004^A897,0)</f>
        <v>29758659689</v>
      </c>
      <c r="F897" s="6" t="n">
        <f aca="false">ROUND(Building_Levels!$I$2*(A897+1)^1.9*1.003^A897,2)</f>
        <v>2526.45</v>
      </c>
      <c r="G897" s="6" t="n">
        <f aca="false">ROUND((A897+1)^1.12,1)</f>
        <v>2018.2</v>
      </c>
    </row>
    <row r="898" customFormat="false" ht="15" hidden="false" customHeight="true" outlineLevel="0" collapsed="false">
      <c r="A898" s="6" t="n">
        <v>893</v>
      </c>
      <c r="B898" s="6" t="n">
        <f aca="false">MIN(42, FLOOR(A898/32,1)+1)</f>
        <v>28</v>
      </c>
      <c r="C898" s="6" t="n">
        <f aca="false">ROUND($B$2*(A898+1)^2.4*1.004^A898,0)</f>
        <v>38517500155</v>
      </c>
      <c r="D898" s="6" t="n">
        <f aca="false">ROUND($D$2*(A898+1)^2.4*1.004^A898,0)</f>
        <v>34237777916</v>
      </c>
      <c r="E898" s="6" t="n">
        <f aca="false">ROUND($F$2*(A898+1)^2.4*1.004^A898,0)</f>
        <v>29958055676</v>
      </c>
      <c r="F898" s="6" t="n">
        <f aca="false">ROUND(Building_Levels!$I$2*(A898+1)^1.9*1.003^A898,2)</f>
        <v>2539.43</v>
      </c>
      <c r="G898" s="6" t="n">
        <f aca="false">ROUND((A898+1)^1.12,1)</f>
        <v>2020.7</v>
      </c>
    </row>
    <row r="899" customFormat="false" ht="15" hidden="false" customHeight="true" outlineLevel="0" collapsed="false">
      <c r="A899" s="6" t="n">
        <v>894</v>
      </c>
      <c r="B899" s="6" t="n">
        <f aca="false">MIN(42, FLOOR(A899/32,1)+1)</f>
        <v>28</v>
      </c>
      <c r="C899" s="6" t="n">
        <f aca="false">ROUND($B$2*(A899+1)^2.4*1.004^A899,0)</f>
        <v>38775467751</v>
      </c>
      <c r="D899" s="6" t="n">
        <f aca="false">ROUND($D$2*(A899+1)^2.4*1.004^A899,0)</f>
        <v>34467082446</v>
      </c>
      <c r="E899" s="6" t="n">
        <f aca="false">ROUND($F$2*(A899+1)^2.4*1.004^A899,0)</f>
        <v>30158697140</v>
      </c>
      <c r="F899" s="6" t="n">
        <f aca="false">ROUND(Building_Levels!$I$2*(A899+1)^1.9*1.003^A899,2)</f>
        <v>2552.46</v>
      </c>
      <c r="G899" s="6" t="n">
        <f aca="false">ROUND((A899+1)^1.12,1)</f>
        <v>2023.2</v>
      </c>
    </row>
    <row r="900" customFormat="false" ht="15" hidden="false" customHeight="true" outlineLevel="0" collapsed="false">
      <c r="A900" s="6" t="n">
        <v>895</v>
      </c>
      <c r="B900" s="6" t="n">
        <f aca="false">MIN(42, FLOOR(A900/32,1)+1)</f>
        <v>28</v>
      </c>
      <c r="C900" s="6" t="n">
        <f aca="false">ROUND($B$2*(A900+1)^2.4*1.004^A900,0)</f>
        <v>39035046108</v>
      </c>
      <c r="D900" s="6" t="n">
        <f aca="false">ROUND($D$2*(A900+1)^2.4*1.004^A900,0)</f>
        <v>34697818762</v>
      </c>
      <c r="E900" s="6" t="n">
        <f aca="false">ROUND($F$2*(A900+1)^2.4*1.004^A900,0)</f>
        <v>30360591417</v>
      </c>
      <c r="F900" s="6" t="n">
        <f aca="false">ROUND(Building_Levels!$I$2*(A900+1)^1.9*1.003^A900,2)</f>
        <v>2565.56</v>
      </c>
      <c r="G900" s="6" t="n">
        <f aca="false">ROUND((A900+1)^1.12,1)</f>
        <v>2025.7</v>
      </c>
    </row>
    <row r="901" customFormat="false" ht="15" hidden="false" customHeight="true" outlineLevel="0" collapsed="false">
      <c r="A901" s="6" t="n">
        <v>896</v>
      </c>
      <c r="B901" s="6" t="n">
        <f aca="false">MIN(42, FLOOR(A901/32,1)+1)</f>
        <v>29</v>
      </c>
      <c r="C901" s="6" t="n">
        <f aca="false">ROUND($B$2*(A901+1)^2.4*1.004^A901,0)</f>
        <v>39296244709</v>
      </c>
      <c r="D901" s="6" t="n">
        <f aca="false">ROUND($D$2*(A901+1)^2.4*1.004^A901,0)</f>
        <v>34929995297</v>
      </c>
      <c r="E901" s="6" t="n">
        <f aca="false">ROUND($F$2*(A901+1)^2.4*1.004^A901,0)</f>
        <v>30563745885</v>
      </c>
      <c r="F901" s="6" t="n">
        <f aca="false">ROUND(Building_Levels!$I$2*(A901+1)^1.9*1.003^A901,2)</f>
        <v>2578.71</v>
      </c>
      <c r="G901" s="6" t="n">
        <f aca="false">ROUND((A901+1)^1.12,1)</f>
        <v>2028.3</v>
      </c>
    </row>
    <row r="902" customFormat="false" ht="15" hidden="false" customHeight="true" outlineLevel="0" collapsed="false">
      <c r="A902" s="6" t="n">
        <v>897</v>
      </c>
      <c r="B902" s="6" t="n">
        <f aca="false">MIN(42, FLOOR(A902/32,1)+1)</f>
        <v>29</v>
      </c>
      <c r="C902" s="6" t="n">
        <f aca="false">ROUND($B$2*(A902+1)^2.4*1.004^A902,0)</f>
        <v>39559073094</v>
      </c>
      <c r="D902" s="6" t="n">
        <f aca="false">ROUND($D$2*(A902+1)^2.4*1.004^A902,0)</f>
        <v>35163620528</v>
      </c>
      <c r="E902" s="6" t="n">
        <f aca="false">ROUND($F$2*(A902+1)^2.4*1.004^A902,0)</f>
        <v>30768167962</v>
      </c>
      <c r="F902" s="6" t="n">
        <f aca="false">ROUND(Building_Levels!$I$2*(A902+1)^1.9*1.003^A902,2)</f>
        <v>2591.93</v>
      </c>
      <c r="G902" s="6" t="n">
        <f aca="false">ROUND((A902+1)^1.12,1)</f>
        <v>2030.8</v>
      </c>
    </row>
    <row r="903" customFormat="false" ht="15" hidden="false" customHeight="true" outlineLevel="0" collapsed="false">
      <c r="A903" s="6" t="n">
        <v>898</v>
      </c>
      <c r="B903" s="6" t="n">
        <f aca="false">MIN(42, FLOOR(A903/32,1)+1)</f>
        <v>29</v>
      </c>
      <c r="C903" s="6" t="n">
        <f aca="false">ROUND($B$2*(A903+1)^2.4*1.004^A903,0)</f>
        <v>39823540853</v>
      </c>
      <c r="D903" s="6" t="n">
        <f aca="false">ROUND($D$2*(A903+1)^2.4*1.004^A903,0)</f>
        <v>35398702981</v>
      </c>
      <c r="E903" s="6" t="n">
        <f aca="false">ROUND($F$2*(A903+1)^2.4*1.004^A903,0)</f>
        <v>30973865108</v>
      </c>
      <c r="F903" s="6" t="n">
        <f aca="false">ROUND(Building_Levels!$I$2*(A903+1)^1.9*1.003^A903,2)</f>
        <v>2605.21</v>
      </c>
      <c r="G903" s="6" t="n">
        <f aca="false">ROUND((A903+1)^1.12,1)</f>
        <v>2033.3</v>
      </c>
    </row>
    <row r="904" customFormat="false" ht="15" hidden="false" customHeight="true" outlineLevel="0" collapsed="false">
      <c r="A904" s="6" t="n">
        <v>899</v>
      </c>
      <c r="B904" s="6" t="n">
        <f aca="false">MIN(42, FLOOR(A904/32,1)+1)</f>
        <v>29</v>
      </c>
      <c r="C904" s="6" t="n">
        <f aca="false">ROUND($B$2*(A904+1)^2.4*1.004^A904,0)</f>
        <v>40089657634</v>
      </c>
      <c r="D904" s="6" t="n">
        <f aca="false">ROUND($D$2*(A904+1)^2.4*1.004^A904,0)</f>
        <v>35635251230</v>
      </c>
      <c r="E904" s="6" t="n">
        <f aca="false">ROUND($F$2*(A904+1)^2.4*1.004^A904,0)</f>
        <v>31180844826</v>
      </c>
      <c r="F904" s="6" t="n">
        <f aca="false">ROUND(Building_Levels!$I$2*(A904+1)^1.9*1.003^A904,2)</f>
        <v>2618.55</v>
      </c>
      <c r="G904" s="6" t="n">
        <f aca="false">ROUND((A904+1)^1.12,1)</f>
        <v>2035.9</v>
      </c>
    </row>
    <row r="905" customFormat="false" ht="15" hidden="false" customHeight="true" outlineLevel="0" collapsed="false">
      <c r="A905" s="6" t="n">
        <v>900</v>
      </c>
      <c r="B905" s="6" t="n">
        <f aca="false">MIN(42, FLOOR(A905/32,1)+1)</f>
        <v>29</v>
      </c>
      <c r="C905" s="6" t="n">
        <f aca="false">ROUND($B$2*(A905+1)^2.4*1.004^A905,0)</f>
        <v>40357433135</v>
      </c>
      <c r="D905" s="6" t="n">
        <f aca="false">ROUND($D$2*(A905+1)^2.4*1.004^A905,0)</f>
        <v>35873273898</v>
      </c>
      <c r="E905" s="6" t="n">
        <f aca="false">ROUND($F$2*(A905+1)^2.4*1.004^A905,0)</f>
        <v>31389114660</v>
      </c>
      <c r="F905" s="6" t="n">
        <f aca="false">ROUND(Building_Levels!$I$2*(A905+1)^1.9*1.003^A905,2)</f>
        <v>2631.95</v>
      </c>
      <c r="G905" s="6" t="n">
        <f aca="false">ROUND((A905+1)^1.12,1)</f>
        <v>2038.4</v>
      </c>
    </row>
    <row r="906" customFormat="false" ht="15" hidden="false" customHeight="true" outlineLevel="0" collapsed="false">
      <c r="A906" s="6" t="n">
        <v>901</v>
      </c>
      <c r="B906" s="6" t="n">
        <f aca="false">MIN(42, FLOOR(A906/32,1)+1)</f>
        <v>29</v>
      </c>
      <c r="C906" s="6" t="n">
        <f aca="false">ROUND($B$2*(A906+1)^2.4*1.004^A906,0)</f>
        <v>40626877111</v>
      </c>
      <c r="D906" s="6" t="n">
        <f aca="false">ROUND($D$2*(A906+1)^2.4*1.004^A906,0)</f>
        <v>36112779654</v>
      </c>
      <c r="E906" s="6" t="n">
        <f aca="false">ROUND($F$2*(A906+1)^2.4*1.004^A906,0)</f>
        <v>31598682197</v>
      </c>
      <c r="F906" s="6" t="n">
        <f aca="false">ROUND(Building_Levels!$I$2*(A906+1)^1.9*1.003^A906,2)</f>
        <v>2645.42</v>
      </c>
      <c r="G906" s="6" t="n">
        <f aca="false">ROUND((A906+1)^1.12,1)</f>
        <v>2040.9</v>
      </c>
    </row>
    <row r="907" customFormat="false" ht="15" hidden="false" customHeight="true" outlineLevel="0" collapsed="false">
      <c r="A907" s="6" t="n">
        <v>902</v>
      </c>
      <c r="B907" s="6" t="n">
        <f aca="false">MIN(42, FLOOR(A907/32,1)+1)</f>
        <v>29</v>
      </c>
      <c r="C907" s="6" t="n">
        <f aca="false">ROUND($B$2*(A907+1)^2.4*1.004^A907,0)</f>
        <v>40897999371</v>
      </c>
      <c r="D907" s="6" t="n">
        <f aca="false">ROUND($D$2*(A907+1)^2.4*1.004^A907,0)</f>
        <v>36353777218</v>
      </c>
      <c r="E907" s="6" t="n">
        <f aca="false">ROUND($F$2*(A907+1)^2.4*1.004^A907,0)</f>
        <v>31809555066</v>
      </c>
      <c r="F907" s="6" t="n">
        <f aca="false">ROUND(Building_Levels!$I$2*(A907+1)^1.9*1.003^A907,2)</f>
        <v>2658.95</v>
      </c>
      <c r="G907" s="6" t="n">
        <f aca="false">ROUND((A907+1)^1.12,1)</f>
        <v>2043.5</v>
      </c>
    </row>
    <row r="908" customFormat="false" ht="15" hidden="false" customHeight="true" outlineLevel="0" collapsed="false">
      <c r="A908" s="6" t="n">
        <v>903</v>
      </c>
      <c r="B908" s="6" t="n">
        <f aca="false">MIN(42, FLOOR(A908/32,1)+1)</f>
        <v>29</v>
      </c>
      <c r="C908" s="6" t="n">
        <f aca="false">ROUND($B$2*(A908+1)^2.4*1.004^A908,0)</f>
        <v>41170809778</v>
      </c>
      <c r="D908" s="6" t="n">
        <f aca="false">ROUND($D$2*(A908+1)^2.4*1.004^A908,0)</f>
        <v>36596275358</v>
      </c>
      <c r="E908" s="6" t="n">
        <f aca="false">ROUND($F$2*(A908+1)^2.4*1.004^A908,0)</f>
        <v>32021740938</v>
      </c>
      <c r="F908" s="6" t="n">
        <f aca="false">ROUND(Building_Levels!$I$2*(A908+1)^1.9*1.003^A908,2)</f>
        <v>2672.54</v>
      </c>
      <c r="G908" s="6" t="n">
        <f aca="false">ROUND((A908+1)^1.12,1)</f>
        <v>2046</v>
      </c>
    </row>
    <row r="909" customFormat="false" ht="15" hidden="false" customHeight="true" outlineLevel="0" collapsed="false">
      <c r="A909" s="6" t="n">
        <v>904</v>
      </c>
      <c r="B909" s="6" t="n">
        <f aca="false">MIN(42, FLOOR(A909/32,1)+1)</f>
        <v>29</v>
      </c>
      <c r="C909" s="6" t="n">
        <f aca="false">ROUND($B$2*(A909+1)^2.4*1.004^A909,0)</f>
        <v>41445318252</v>
      </c>
      <c r="D909" s="6" t="n">
        <f aca="false">ROUND($D$2*(A909+1)^2.4*1.004^A909,0)</f>
        <v>36840282891</v>
      </c>
      <c r="E909" s="6" t="n">
        <f aca="false">ROUND($F$2*(A909+1)^2.4*1.004^A909,0)</f>
        <v>32235247530</v>
      </c>
      <c r="F909" s="6" t="n">
        <f aca="false">ROUND(Building_Levels!$I$2*(A909+1)^1.9*1.003^A909,2)</f>
        <v>2686.19</v>
      </c>
      <c r="G909" s="6" t="n">
        <f aca="false">ROUND((A909+1)^1.12,1)</f>
        <v>2048.5</v>
      </c>
    </row>
    <row r="910" customFormat="false" ht="15" hidden="false" customHeight="true" outlineLevel="0" collapsed="false">
      <c r="A910" s="6" t="n">
        <v>905</v>
      </c>
      <c r="B910" s="6" t="n">
        <f aca="false">MIN(42, FLOOR(A910/32,1)+1)</f>
        <v>29</v>
      </c>
      <c r="C910" s="6" t="n">
        <f aca="false">ROUND($B$2*(A910+1)^2.4*1.004^A910,0)</f>
        <v>41721534769</v>
      </c>
      <c r="D910" s="6" t="n">
        <f aca="false">ROUND($D$2*(A910+1)^2.4*1.004^A910,0)</f>
        <v>37085808683</v>
      </c>
      <c r="E910" s="6" t="n">
        <f aca="false">ROUND($F$2*(A910+1)^2.4*1.004^A910,0)</f>
        <v>32450082598</v>
      </c>
      <c r="F910" s="6" t="n">
        <f aca="false">ROUND(Building_Levels!$I$2*(A910+1)^1.9*1.003^A910,2)</f>
        <v>2699.91</v>
      </c>
      <c r="G910" s="6" t="n">
        <f aca="false">ROUND((A910+1)^1.12,1)</f>
        <v>2051.1</v>
      </c>
    </row>
    <row r="911" customFormat="false" ht="15" hidden="false" customHeight="true" outlineLevel="0" collapsed="false">
      <c r="A911" s="6" t="n">
        <v>906</v>
      </c>
      <c r="B911" s="6" t="n">
        <f aca="false">MIN(42, FLOOR(A911/32,1)+1)</f>
        <v>29</v>
      </c>
      <c r="C911" s="6" t="n">
        <f aca="false">ROUND($B$2*(A911+1)^2.4*1.004^A911,0)</f>
        <v>41999469358</v>
      </c>
      <c r="D911" s="6" t="n">
        <f aca="false">ROUND($D$2*(A911+1)^2.4*1.004^A911,0)</f>
        <v>37332861651</v>
      </c>
      <c r="E911" s="6" t="n">
        <f aca="false">ROUND($F$2*(A911+1)^2.4*1.004^A911,0)</f>
        <v>32666253945</v>
      </c>
      <c r="F911" s="6" t="n">
        <f aca="false">ROUND(Building_Levels!$I$2*(A911+1)^1.9*1.003^A911,2)</f>
        <v>2713.69</v>
      </c>
      <c r="G911" s="6" t="n">
        <f aca="false">ROUND((A911+1)^1.12,1)</f>
        <v>2053.6</v>
      </c>
    </row>
    <row r="912" customFormat="false" ht="15" hidden="false" customHeight="true" outlineLevel="0" collapsed="false">
      <c r="A912" s="6" t="n">
        <v>907</v>
      </c>
      <c r="B912" s="6" t="n">
        <f aca="false">MIN(42, FLOOR(A912/32,1)+1)</f>
        <v>29</v>
      </c>
      <c r="C912" s="6" t="n">
        <f aca="false">ROUND($B$2*(A912+1)^2.4*1.004^A912,0)</f>
        <v>42279132106</v>
      </c>
      <c r="D912" s="6" t="n">
        <f aca="false">ROUND($D$2*(A912+1)^2.4*1.004^A912,0)</f>
        <v>37581450761</v>
      </c>
      <c r="E912" s="6" t="n">
        <f aca="false">ROUND($F$2*(A912+1)^2.4*1.004^A912,0)</f>
        <v>32883769416</v>
      </c>
      <c r="F912" s="6" t="n">
        <f aca="false">ROUND(Building_Levels!$I$2*(A912+1)^1.9*1.003^A912,2)</f>
        <v>2727.54</v>
      </c>
      <c r="G912" s="6" t="n">
        <f aca="false">ROUND((A912+1)^1.12,1)</f>
        <v>2056.2</v>
      </c>
    </row>
    <row r="913" customFormat="false" ht="15" hidden="false" customHeight="true" outlineLevel="0" collapsed="false">
      <c r="A913" s="6" t="n">
        <v>908</v>
      </c>
      <c r="B913" s="6" t="n">
        <f aca="false">MIN(42, FLOOR(A913/32,1)+1)</f>
        <v>29</v>
      </c>
      <c r="C913" s="6" t="n">
        <f aca="false">ROUND($B$2*(A913+1)^2.4*1.004^A913,0)</f>
        <v>42560533157</v>
      </c>
      <c r="D913" s="6" t="n">
        <f aca="false">ROUND($D$2*(A913+1)^2.4*1.004^A913,0)</f>
        <v>37831585029</v>
      </c>
      <c r="E913" s="6" t="n">
        <f aca="false">ROUND($F$2*(A913+1)^2.4*1.004^A913,0)</f>
        <v>33102636900</v>
      </c>
      <c r="F913" s="6" t="n">
        <f aca="false">ROUND(Building_Levels!$I$2*(A913+1)^1.9*1.003^A913,2)</f>
        <v>2741.45</v>
      </c>
      <c r="G913" s="6" t="n">
        <f aca="false">ROUND((A913+1)^1.12,1)</f>
        <v>2058.7</v>
      </c>
    </row>
    <row r="914" customFormat="false" ht="15" hidden="false" customHeight="true" outlineLevel="0" collapsed="false">
      <c r="A914" s="6" t="n">
        <v>909</v>
      </c>
      <c r="B914" s="6" t="n">
        <f aca="false">MIN(42, FLOOR(A914/32,1)+1)</f>
        <v>29</v>
      </c>
      <c r="C914" s="6" t="n">
        <f aca="false">ROUND($B$2*(A914+1)^2.4*1.004^A914,0)</f>
        <v>42843682712</v>
      </c>
      <c r="D914" s="6" t="n">
        <f aca="false">ROUND($D$2*(A914+1)^2.4*1.004^A914,0)</f>
        <v>38083273522</v>
      </c>
      <c r="E914" s="6" t="n">
        <f aca="false">ROUND($F$2*(A914+1)^2.4*1.004^A914,0)</f>
        <v>33322864332</v>
      </c>
      <c r="F914" s="6" t="n">
        <f aca="false">ROUND(Building_Levels!$I$2*(A914+1)^1.9*1.003^A914,2)</f>
        <v>2755.42</v>
      </c>
      <c r="G914" s="6" t="n">
        <f aca="false">ROUND((A914+1)^1.12,1)</f>
        <v>2061.2</v>
      </c>
    </row>
    <row r="915" customFormat="false" ht="15" hidden="false" customHeight="true" outlineLevel="0" collapsed="false">
      <c r="A915" s="6" t="n">
        <v>910</v>
      </c>
      <c r="B915" s="6" t="n">
        <f aca="false">MIN(42, FLOOR(A915/32,1)+1)</f>
        <v>29</v>
      </c>
      <c r="C915" s="6" t="n">
        <f aca="false">ROUND($B$2*(A915+1)^2.4*1.004^A915,0)</f>
        <v>43128591027</v>
      </c>
      <c r="D915" s="6" t="n">
        <f aca="false">ROUND($D$2*(A915+1)^2.4*1.004^A915,0)</f>
        <v>38336525358</v>
      </c>
      <c r="E915" s="6" t="n">
        <f aca="false">ROUND($F$2*(A915+1)^2.4*1.004^A915,0)</f>
        <v>33544459688</v>
      </c>
      <c r="F915" s="6" t="n">
        <f aca="false">ROUND(Building_Levels!$I$2*(A915+1)^1.9*1.003^A915,2)</f>
        <v>2769.46</v>
      </c>
      <c r="G915" s="6" t="n">
        <f aca="false">ROUND((A915+1)^1.12,1)</f>
        <v>2063.8</v>
      </c>
    </row>
    <row r="916" customFormat="false" ht="15" hidden="false" customHeight="true" outlineLevel="0" collapsed="false">
      <c r="A916" s="6" t="n">
        <v>911</v>
      </c>
      <c r="B916" s="6" t="n">
        <f aca="false">MIN(42, FLOOR(A916/32,1)+1)</f>
        <v>29</v>
      </c>
      <c r="C916" s="6" t="n">
        <f aca="false">ROUND($B$2*(A916+1)^2.4*1.004^A916,0)</f>
        <v>43415268418</v>
      </c>
      <c r="D916" s="6" t="n">
        <f aca="false">ROUND($D$2*(A916+1)^2.4*1.004^A916,0)</f>
        <v>38591349705</v>
      </c>
      <c r="E916" s="6" t="n">
        <f aca="false">ROUND($F$2*(A916+1)^2.4*1.004^A916,0)</f>
        <v>33767430992</v>
      </c>
      <c r="F916" s="6" t="n">
        <f aca="false">ROUND(Building_Levels!$I$2*(A916+1)^1.9*1.003^A916,2)</f>
        <v>2783.56</v>
      </c>
      <c r="G916" s="6" t="n">
        <f aca="false">ROUND((A916+1)^1.12,1)</f>
        <v>2066.3</v>
      </c>
    </row>
    <row r="917" customFormat="false" ht="15" hidden="false" customHeight="true" outlineLevel="0" collapsed="false">
      <c r="A917" s="6" t="n">
        <v>912</v>
      </c>
      <c r="B917" s="6" t="n">
        <f aca="false">MIN(42, FLOOR(A917/32,1)+1)</f>
        <v>29</v>
      </c>
      <c r="C917" s="6" t="n">
        <f aca="false">ROUND($B$2*(A917+1)^2.4*1.004^A917,0)</f>
        <v>43703725257</v>
      </c>
      <c r="D917" s="6" t="n">
        <f aca="false">ROUND($D$2*(A917+1)^2.4*1.004^A917,0)</f>
        <v>38847755784</v>
      </c>
      <c r="E917" s="6" t="n">
        <f aca="false">ROUND($F$2*(A917+1)^2.4*1.004^A917,0)</f>
        <v>33991786311</v>
      </c>
      <c r="F917" s="6" t="n">
        <f aca="false">ROUND(Building_Levels!$I$2*(A917+1)^1.9*1.003^A917,2)</f>
        <v>2797.73</v>
      </c>
      <c r="G917" s="6" t="n">
        <f aca="false">ROUND((A917+1)^1.12,1)</f>
        <v>2068.8</v>
      </c>
    </row>
    <row r="918" customFormat="false" ht="15" hidden="false" customHeight="true" outlineLevel="0" collapsed="false">
      <c r="A918" s="6" t="n">
        <v>913</v>
      </c>
      <c r="B918" s="6" t="n">
        <f aca="false">MIN(42, FLOOR(A918/32,1)+1)</f>
        <v>29</v>
      </c>
      <c r="C918" s="6" t="n">
        <f aca="false">ROUND($B$2*(A918+1)^2.4*1.004^A918,0)</f>
        <v>43993971975</v>
      </c>
      <c r="D918" s="6" t="n">
        <f aca="false">ROUND($D$2*(A918+1)^2.4*1.004^A918,0)</f>
        <v>39105752867</v>
      </c>
      <c r="E918" s="6" t="n">
        <f aca="false">ROUND($F$2*(A918+1)^2.4*1.004^A918,0)</f>
        <v>34217533758</v>
      </c>
      <c r="F918" s="6" t="n">
        <f aca="false">ROUND(Building_Levels!$I$2*(A918+1)^1.9*1.003^A918,2)</f>
        <v>2811.97</v>
      </c>
      <c r="G918" s="6" t="n">
        <f aca="false">ROUND((A918+1)^1.12,1)</f>
        <v>2071.4</v>
      </c>
    </row>
    <row r="919" customFormat="false" ht="15" hidden="false" customHeight="true" outlineLevel="0" collapsed="false">
      <c r="A919" s="6" t="n">
        <v>914</v>
      </c>
      <c r="B919" s="6" t="n">
        <f aca="false">MIN(42, FLOOR(A919/32,1)+1)</f>
        <v>29</v>
      </c>
      <c r="C919" s="6" t="n">
        <f aca="false">ROUND($B$2*(A919+1)^2.4*1.004^A919,0)</f>
        <v>44286019060</v>
      </c>
      <c r="D919" s="6" t="n">
        <f aca="false">ROUND($D$2*(A919+1)^2.4*1.004^A919,0)</f>
        <v>39365350276</v>
      </c>
      <c r="E919" s="6" t="n">
        <f aca="false">ROUND($F$2*(A919+1)^2.4*1.004^A919,0)</f>
        <v>34444681491</v>
      </c>
      <c r="F919" s="6" t="n">
        <f aca="false">ROUND(Building_Levels!$I$2*(A919+1)^1.9*1.003^A919,2)</f>
        <v>2826.27</v>
      </c>
      <c r="G919" s="6" t="n">
        <f aca="false">ROUND((A919+1)^1.12,1)</f>
        <v>2073.9</v>
      </c>
    </row>
    <row r="920" customFormat="false" ht="15" hidden="false" customHeight="true" outlineLevel="0" collapsed="false">
      <c r="A920" s="6" t="n">
        <v>915</v>
      </c>
      <c r="B920" s="6" t="n">
        <f aca="false">MIN(42, FLOOR(A920/32,1)+1)</f>
        <v>29</v>
      </c>
      <c r="C920" s="6" t="n">
        <f aca="false">ROUND($B$2*(A920+1)^2.4*1.004^A920,0)</f>
        <v>44579877061</v>
      </c>
      <c r="D920" s="6" t="n">
        <f aca="false">ROUND($D$2*(A920+1)^2.4*1.004^A920,0)</f>
        <v>39626557387</v>
      </c>
      <c r="E920" s="6" t="n">
        <f aca="false">ROUND($F$2*(A920+1)^2.4*1.004^A920,0)</f>
        <v>34673237714</v>
      </c>
      <c r="F920" s="6" t="n">
        <f aca="false">ROUND(Building_Levels!$I$2*(A920+1)^1.9*1.003^A920,2)</f>
        <v>2840.64</v>
      </c>
      <c r="G920" s="6" t="n">
        <f aca="false">ROUND((A920+1)^1.12,1)</f>
        <v>2076.5</v>
      </c>
    </row>
    <row r="921" customFormat="false" ht="15" hidden="false" customHeight="true" outlineLevel="0" collapsed="false">
      <c r="A921" s="6" t="n">
        <v>916</v>
      </c>
      <c r="B921" s="6" t="n">
        <f aca="false">MIN(42, FLOOR(A921/32,1)+1)</f>
        <v>29</v>
      </c>
      <c r="C921" s="6" t="n">
        <f aca="false">ROUND($B$2*(A921+1)^2.4*1.004^A921,0)</f>
        <v>44875556583</v>
      </c>
      <c r="D921" s="6" t="n">
        <f aca="false">ROUND($D$2*(A921+1)^2.4*1.004^A921,0)</f>
        <v>39889383629</v>
      </c>
      <c r="E921" s="6" t="n">
        <f aca="false">ROUND($F$2*(A921+1)^2.4*1.004^A921,0)</f>
        <v>34903210676</v>
      </c>
      <c r="F921" s="6" t="n">
        <f aca="false">ROUND(Building_Levels!$I$2*(A921+1)^1.9*1.003^A921,2)</f>
        <v>2855.07</v>
      </c>
      <c r="G921" s="6" t="n">
        <f aca="false">ROUND((A921+1)^1.12,1)</f>
        <v>2079</v>
      </c>
    </row>
    <row r="922" customFormat="false" ht="15" hidden="false" customHeight="true" outlineLevel="0" collapsed="false">
      <c r="A922" s="6" t="n">
        <v>917</v>
      </c>
      <c r="B922" s="6" t="n">
        <f aca="false">MIN(42, FLOOR(A922/32,1)+1)</f>
        <v>29</v>
      </c>
      <c r="C922" s="6" t="n">
        <f aca="false">ROUND($B$2*(A922+1)^2.4*1.004^A922,0)</f>
        <v>45173068293</v>
      </c>
      <c r="D922" s="6" t="n">
        <f aca="false">ROUND($D$2*(A922+1)^2.4*1.004^A922,0)</f>
        <v>40153838483</v>
      </c>
      <c r="E922" s="6" t="n">
        <f aca="false">ROUND($F$2*(A922+1)^2.4*1.004^A922,0)</f>
        <v>35134608673</v>
      </c>
      <c r="F922" s="6" t="n">
        <f aca="false">ROUND(Building_Levels!$I$2*(A922+1)^1.9*1.003^A922,2)</f>
        <v>2869.58</v>
      </c>
      <c r="G922" s="6" t="n">
        <f aca="false">ROUND((A922+1)^1.12,1)</f>
        <v>2081.5</v>
      </c>
    </row>
    <row r="923" customFormat="false" ht="15" hidden="false" customHeight="true" outlineLevel="0" collapsed="false">
      <c r="A923" s="6" t="n">
        <v>918</v>
      </c>
      <c r="B923" s="6" t="n">
        <f aca="false">MIN(42, FLOOR(A923/32,1)+1)</f>
        <v>29</v>
      </c>
      <c r="C923" s="6" t="n">
        <f aca="false">ROUND($B$2*(A923+1)^2.4*1.004^A923,0)</f>
        <v>45472422917</v>
      </c>
      <c r="D923" s="6" t="n">
        <f aca="false">ROUND($D$2*(A923+1)^2.4*1.004^A923,0)</f>
        <v>40419931482</v>
      </c>
      <c r="E923" s="6" t="n">
        <f aca="false">ROUND($F$2*(A923+1)^2.4*1.004^A923,0)</f>
        <v>35367440047</v>
      </c>
      <c r="F923" s="6" t="n">
        <f aca="false">ROUND(Building_Levels!$I$2*(A923+1)^1.9*1.003^A923,2)</f>
        <v>2884.15</v>
      </c>
      <c r="G923" s="6" t="n">
        <f aca="false">ROUND((A923+1)^1.12,1)</f>
        <v>2084.1</v>
      </c>
    </row>
    <row r="924" customFormat="false" ht="15" hidden="false" customHeight="true" outlineLevel="0" collapsed="false">
      <c r="A924" s="6" t="n">
        <v>919</v>
      </c>
      <c r="B924" s="6" t="n">
        <f aca="false">MIN(42, FLOOR(A924/32,1)+1)</f>
        <v>29</v>
      </c>
      <c r="C924" s="6" t="n">
        <f aca="false">ROUND($B$2*(A924+1)^2.4*1.004^A924,0)</f>
        <v>45773631240</v>
      </c>
      <c r="D924" s="6" t="n">
        <f aca="false">ROUND($D$2*(A924+1)^2.4*1.004^A924,0)</f>
        <v>40687672213</v>
      </c>
      <c r="E924" s="6" t="n">
        <f aca="false">ROUND($F$2*(A924+1)^2.4*1.004^A924,0)</f>
        <v>35601713186</v>
      </c>
      <c r="F924" s="6" t="n">
        <f aca="false">ROUND(Building_Levels!$I$2*(A924+1)^1.9*1.003^A924,2)</f>
        <v>2898.78</v>
      </c>
      <c r="G924" s="6" t="n">
        <f aca="false">ROUND((A924+1)^1.12,1)</f>
        <v>2086.6</v>
      </c>
    </row>
    <row r="925" customFormat="false" ht="15" hidden="false" customHeight="true" outlineLevel="0" collapsed="false">
      <c r="A925" s="6" t="n">
        <v>920</v>
      </c>
      <c r="B925" s="6" t="n">
        <f aca="false">MIN(42, FLOOR(A925/32,1)+1)</f>
        <v>29</v>
      </c>
      <c r="C925" s="6" t="n">
        <f aca="false">ROUND($B$2*(A925+1)^2.4*1.004^A925,0)</f>
        <v>46076704107</v>
      </c>
      <c r="D925" s="6" t="n">
        <f aca="false">ROUND($D$2*(A925+1)^2.4*1.004^A925,0)</f>
        <v>40957070317</v>
      </c>
      <c r="E925" s="6" t="n">
        <f aca="false">ROUND($F$2*(A925+1)^2.4*1.004^A925,0)</f>
        <v>35837436528</v>
      </c>
      <c r="F925" s="6" t="n">
        <f aca="false">ROUND(Building_Levels!$I$2*(A925+1)^1.9*1.003^A925,2)</f>
        <v>2913.49</v>
      </c>
      <c r="G925" s="6" t="n">
        <f aca="false">ROUND((A925+1)^1.12,1)</f>
        <v>2089.2</v>
      </c>
    </row>
    <row r="926" customFormat="false" ht="15" hidden="false" customHeight="true" outlineLevel="0" collapsed="false">
      <c r="A926" s="6" t="n">
        <v>921</v>
      </c>
      <c r="B926" s="6" t="n">
        <f aca="false">MIN(42, FLOOR(A926/32,1)+1)</f>
        <v>29</v>
      </c>
      <c r="C926" s="6" t="n">
        <f aca="false">ROUND($B$2*(A926+1)^2.4*1.004^A926,0)</f>
        <v>46381652425</v>
      </c>
      <c r="D926" s="6" t="n">
        <f aca="false">ROUND($D$2*(A926+1)^2.4*1.004^A926,0)</f>
        <v>41228135489</v>
      </c>
      <c r="E926" s="6" t="n">
        <f aca="false">ROUND($F$2*(A926+1)^2.4*1.004^A926,0)</f>
        <v>36074618553</v>
      </c>
      <c r="F926" s="6" t="n">
        <f aca="false">ROUND(Building_Levels!$I$2*(A926+1)^1.9*1.003^A926,2)</f>
        <v>2928.26</v>
      </c>
      <c r="G926" s="6" t="n">
        <f aca="false">ROUND((A926+1)^1.12,1)</f>
        <v>2091.7</v>
      </c>
    </row>
    <row r="927" customFormat="false" ht="15" hidden="false" customHeight="true" outlineLevel="0" collapsed="false">
      <c r="A927" s="6" t="n">
        <v>922</v>
      </c>
      <c r="B927" s="6" t="n">
        <f aca="false">MIN(42, FLOOR(A927/32,1)+1)</f>
        <v>29</v>
      </c>
      <c r="C927" s="6" t="n">
        <f aca="false">ROUND($B$2*(A927+1)^2.4*1.004^A927,0)</f>
        <v>46688487162</v>
      </c>
      <c r="D927" s="6" t="n">
        <f aca="false">ROUND($D$2*(A927+1)^2.4*1.004^A927,0)</f>
        <v>41500877477</v>
      </c>
      <c r="E927" s="6" t="n">
        <f aca="false">ROUND($F$2*(A927+1)^2.4*1.004^A927,0)</f>
        <v>36313267793</v>
      </c>
      <c r="F927" s="6" t="n">
        <f aca="false">ROUND(Building_Levels!$I$2*(A927+1)^1.9*1.003^A927,2)</f>
        <v>2943.1</v>
      </c>
      <c r="G927" s="6" t="n">
        <f aca="false">ROUND((A927+1)^1.12,1)</f>
        <v>2094.2</v>
      </c>
    </row>
    <row r="928" customFormat="false" ht="15" hidden="false" customHeight="true" outlineLevel="0" collapsed="false">
      <c r="A928" s="6" t="n">
        <v>923</v>
      </c>
      <c r="B928" s="6" t="n">
        <f aca="false">MIN(42, FLOOR(A928/32,1)+1)</f>
        <v>29</v>
      </c>
      <c r="C928" s="6" t="n">
        <f aca="false">ROUND($B$2*(A928+1)^2.4*1.004^A928,0)</f>
        <v>46997219346</v>
      </c>
      <c r="D928" s="6" t="n">
        <f aca="false">ROUND($D$2*(A928+1)^2.4*1.004^A928,0)</f>
        <v>41775306085</v>
      </c>
      <c r="E928" s="6" t="n">
        <f aca="false">ROUND($F$2*(A928+1)^2.4*1.004^A928,0)</f>
        <v>36553392825</v>
      </c>
      <c r="F928" s="6" t="n">
        <f aca="false">ROUND(Building_Levels!$I$2*(A928+1)^1.9*1.003^A928,2)</f>
        <v>2958.01</v>
      </c>
      <c r="G928" s="6" t="n">
        <f aca="false">ROUND((A928+1)^1.12,1)</f>
        <v>2096.8</v>
      </c>
    </row>
    <row r="929" customFormat="false" ht="15" hidden="false" customHeight="true" outlineLevel="0" collapsed="false">
      <c r="A929" s="6" t="n">
        <v>924</v>
      </c>
      <c r="B929" s="6" t="n">
        <f aca="false">MIN(42, FLOOR(A929/32,1)+1)</f>
        <v>29</v>
      </c>
      <c r="C929" s="6" t="n">
        <f aca="false">ROUND($B$2*(A929+1)^2.4*1.004^A929,0)</f>
        <v>47307860067</v>
      </c>
      <c r="D929" s="6" t="n">
        <f aca="false">ROUND($D$2*(A929+1)^2.4*1.004^A929,0)</f>
        <v>42051431170</v>
      </c>
      <c r="E929" s="6" t="n">
        <f aca="false">ROUND($F$2*(A929+1)^2.4*1.004^A929,0)</f>
        <v>36795002274</v>
      </c>
      <c r="F929" s="6" t="n">
        <f aca="false">ROUND(Building_Levels!$I$2*(A929+1)^1.9*1.003^A929,2)</f>
        <v>2972.98</v>
      </c>
      <c r="G929" s="6" t="n">
        <f aca="false">ROUND((A929+1)^1.12,1)</f>
        <v>2099.3</v>
      </c>
    </row>
    <row r="930" customFormat="false" ht="15" hidden="false" customHeight="true" outlineLevel="0" collapsed="false">
      <c r="A930" s="6" t="n">
        <v>925</v>
      </c>
      <c r="B930" s="6" t="n">
        <f aca="false">MIN(42, FLOOR(A930/32,1)+1)</f>
        <v>29</v>
      </c>
      <c r="C930" s="6" t="n">
        <f aca="false">ROUND($B$2*(A930+1)^2.4*1.004^A930,0)</f>
        <v>47620420477</v>
      </c>
      <c r="D930" s="6" t="n">
        <f aca="false">ROUND($D$2*(A930+1)^2.4*1.004^A930,0)</f>
        <v>42329262646</v>
      </c>
      <c r="E930" s="6" t="n">
        <f aca="false">ROUND($F$2*(A930+1)^2.4*1.004^A930,0)</f>
        <v>37038104815</v>
      </c>
      <c r="F930" s="6" t="n">
        <f aca="false">ROUND(Building_Levels!$I$2*(A930+1)^1.9*1.003^A930,2)</f>
        <v>2988.03</v>
      </c>
      <c r="G930" s="6" t="n">
        <f aca="false">ROUND((A930+1)^1.12,1)</f>
        <v>2101.9</v>
      </c>
    </row>
    <row r="931" customFormat="false" ht="15" hidden="false" customHeight="true" outlineLevel="0" collapsed="false">
      <c r="A931" s="6" t="n">
        <v>926</v>
      </c>
      <c r="B931" s="6" t="n">
        <f aca="false">MIN(42, FLOOR(A931/32,1)+1)</f>
        <v>29</v>
      </c>
      <c r="C931" s="6" t="n">
        <f aca="false">ROUND($B$2*(A931+1)^2.4*1.004^A931,0)</f>
        <v>47934911790</v>
      </c>
      <c r="D931" s="6" t="n">
        <f aca="false">ROUND($D$2*(A931+1)^2.4*1.004^A931,0)</f>
        <v>42608810480</v>
      </c>
      <c r="E931" s="6" t="n">
        <f aca="false">ROUND($F$2*(A931+1)^2.4*1.004^A931,0)</f>
        <v>37282709170</v>
      </c>
      <c r="F931" s="6" t="n">
        <f aca="false">ROUND(Building_Levels!$I$2*(A931+1)^1.9*1.003^A931,2)</f>
        <v>3003.15</v>
      </c>
      <c r="G931" s="6" t="n">
        <f aca="false">ROUND((A931+1)^1.12,1)</f>
        <v>2104.4</v>
      </c>
    </row>
    <row r="932" customFormat="false" ht="15" hidden="false" customHeight="true" outlineLevel="0" collapsed="false">
      <c r="A932" s="6" t="n">
        <v>927</v>
      </c>
      <c r="B932" s="6" t="n">
        <f aca="false">MIN(42, FLOOR(A932/32,1)+1)</f>
        <v>29</v>
      </c>
      <c r="C932" s="6" t="n">
        <f aca="false">ROUND($B$2*(A932+1)^2.4*1.004^A932,0)</f>
        <v>48251345284</v>
      </c>
      <c r="D932" s="6" t="n">
        <f aca="false">ROUND($D$2*(A932+1)^2.4*1.004^A932,0)</f>
        <v>42890084697</v>
      </c>
      <c r="E932" s="6" t="n">
        <f aca="false">ROUND($F$2*(A932+1)^2.4*1.004^A932,0)</f>
        <v>37528824110</v>
      </c>
      <c r="F932" s="6" t="n">
        <f aca="false">ROUND(Building_Levels!$I$2*(A932+1)^1.9*1.003^A932,2)</f>
        <v>3018.33</v>
      </c>
      <c r="G932" s="6" t="n">
        <f aca="false">ROUND((A932+1)^1.12,1)</f>
        <v>2106.9</v>
      </c>
    </row>
    <row r="933" customFormat="false" ht="15" hidden="false" customHeight="true" outlineLevel="0" collapsed="false">
      <c r="A933" s="6" t="n">
        <v>928</v>
      </c>
      <c r="B933" s="6" t="n">
        <f aca="false">MIN(42, FLOOR(A933/32,1)+1)</f>
        <v>30</v>
      </c>
      <c r="C933" s="6" t="n">
        <f aca="false">ROUND($B$2*(A933+1)^2.4*1.004^A933,0)</f>
        <v>48569732298</v>
      </c>
      <c r="D933" s="6" t="n">
        <f aca="false">ROUND($D$2*(A933+1)^2.4*1.004^A933,0)</f>
        <v>43173095376</v>
      </c>
      <c r="E933" s="6" t="n">
        <f aca="false">ROUND($F$2*(A933+1)^2.4*1.004^A933,0)</f>
        <v>37776458454</v>
      </c>
      <c r="F933" s="6" t="n">
        <f aca="false">ROUND(Building_Levels!$I$2*(A933+1)^1.9*1.003^A933,2)</f>
        <v>3033.59</v>
      </c>
      <c r="G933" s="6" t="n">
        <f aca="false">ROUND((A933+1)^1.12,1)</f>
        <v>2109.5</v>
      </c>
    </row>
    <row r="934" customFormat="false" ht="15" hidden="false" customHeight="true" outlineLevel="0" collapsed="false">
      <c r="A934" s="6" t="n">
        <v>929</v>
      </c>
      <c r="B934" s="6" t="n">
        <f aca="false">MIN(42, FLOOR(A934/32,1)+1)</f>
        <v>30</v>
      </c>
      <c r="C934" s="6" t="n">
        <f aca="false">ROUND($B$2*(A934+1)^2.4*1.004^A934,0)</f>
        <v>48890084235</v>
      </c>
      <c r="D934" s="6" t="n">
        <f aca="false">ROUND($D$2*(A934+1)^2.4*1.004^A934,0)</f>
        <v>43457852653</v>
      </c>
      <c r="E934" s="6" t="n">
        <f aca="false">ROUND($F$2*(A934+1)^2.4*1.004^A934,0)</f>
        <v>38025621072</v>
      </c>
      <c r="F934" s="6" t="n">
        <f aca="false">ROUND(Building_Levels!$I$2*(A934+1)^1.9*1.003^A934,2)</f>
        <v>3048.92</v>
      </c>
      <c r="G934" s="6" t="n">
        <f aca="false">ROUND((A934+1)^1.12,1)</f>
        <v>2112</v>
      </c>
    </row>
    <row r="935" customFormat="false" ht="15" hidden="false" customHeight="true" outlineLevel="0" collapsed="false">
      <c r="A935" s="6" t="n">
        <v>930</v>
      </c>
      <c r="B935" s="6" t="n">
        <f aca="false">MIN(42, FLOOR(A935/32,1)+1)</f>
        <v>30</v>
      </c>
      <c r="C935" s="6" t="n">
        <f aca="false">ROUND($B$2*(A935+1)^2.4*1.004^A935,0)</f>
        <v>49212412562</v>
      </c>
      <c r="D935" s="6" t="n">
        <f aca="false">ROUND($D$2*(A935+1)^2.4*1.004^A935,0)</f>
        <v>43744366722</v>
      </c>
      <c r="E935" s="6" t="n">
        <f aca="false">ROUND($F$2*(A935+1)^2.4*1.004^A935,0)</f>
        <v>38276320881</v>
      </c>
      <c r="F935" s="6" t="n">
        <f aca="false">ROUND(Building_Levels!$I$2*(A935+1)^1.9*1.003^A935,2)</f>
        <v>3064.31</v>
      </c>
      <c r="G935" s="6" t="n">
        <f aca="false">ROUND((A935+1)^1.12,1)</f>
        <v>2114.6</v>
      </c>
    </row>
    <row r="936" customFormat="false" ht="15" hidden="false" customHeight="true" outlineLevel="0" collapsed="false">
      <c r="A936" s="6" t="n">
        <v>931</v>
      </c>
      <c r="B936" s="6" t="n">
        <f aca="false">MIN(42, FLOOR(A936/32,1)+1)</f>
        <v>30</v>
      </c>
      <c r="C936" s="6" t="n">
        <f aca="false">ROUND($B$2*(A936+1)^2.4*1.004^A936,0)</f>
        <v>49536728809</v>
      </c>
      <c r="D936" s="6" t="n">
        <f aca="false">ROUND($D$2*(A936+1)^2.4*1.004^A936,0)</f>
        <v>44032647830</v>
      </c>
      <c r="E936" s="6" t="n">
        <f aca="false">ROUND($F$2*(A936+1)^2.4*1.004^A936,0)</f>
        <v>38528566851</v>
      </c>
      <c r="F936" s="6" t="n">
        <f aca="false">ROUND(Building_Levels!$I$2*(A936+1)^1.9*1.003^A936,2)</f>
        <v>3079.78</v>
      </c>
      <c r="G936" s="6" t="n">
        <f aca="false">ROUND((A936+1)^1.12,1)</f>
        <v>2117.1</v>
      </c>
    </row>
    <row r="937" customFormat="false" ht="15" hidden="false" customHeight="true" outlineLevel="0" collapsed="false">
      <c r="A937" s="6" t="n">
        <v>932</v>
      </c>
      <c r="B937" s="6" t="n">
        <f aca="false">MIN(42, FLOOR(A937/32,1)+1)</f>
        <v>30</v>
      </c>
      <c r="C937" s="6" t="n">
        <f aca="false">ROUND($B$2*(A937+1)^2.4*1.004^A937,0)</f>
        <v>49863044571</v>
      </c>
      <c r="D937" s="6" t="n">
        <f aca="false">ROUND($D$2*(A937+1)^2.4*1.004^A937,0)</f>
        <v>44322706285</v>
      </c>
      <c r="E937" s="6" t="n">
        <f aca="false">ROUND($F$2*(A937+1)^2.4*1.004^A937,0)</f>
        <v>38782368000</v>
      </c>
      <c r="F937" s="6" t="n">
        <f aca="false">ROUND(Building_Levels!$I$2*(A937+1)^1.9*1.003^A937,2)</f>
        <v>3095.32</v>
      </c>
      <c r="G937" s="6" t="n">
        <f aca="false">ROUND((A937+1)^1.12,1)</f>
        <v>2119.7</v>
      </c>
    </row>
    <row r="938" customFormat="false" ht="15" hidden="false" customHeight="true" outlineLevel="0" collapsed="false">
      <c r="A938" s="6" t="n">
        <v>933</v>
      </c>
      <c r="B938" s="6" t="n">
        <f aca="false">MIN(42, FLOOR(A938/32,1)+1)</f>
        <v>30</v>
      </c>
      <c r="C938" s="6" t="n">
        <f aca="false">ROUND($B$2*(A938+1)^2.4*1.004^A938,0)</f>
        <v>50191371508</v>
      </c>
      <c r="D938" s="6" t="n">
        <f aca="false">ROUND($D$2*(A938+1)^2.4*1.004^A938,0)</f>
        <v>44614552451</v>
      </c>
      <c r="E938" s="6" t="n">
        <f aca="false">ROUND($F$2*(A938+1)^2.4*1.004^A938,0)</f>
        <v>39037733395</v>
      </c>
      <c r="F938" s="6" t="n">
        <f aca="false">ROUND(Building_Levels!$I$2*(A938+1)^1.9*1.003^A938,2)</f>
        <v>3110.93</v>
      </c>
      <c r="G938" s="6" t="n">
        <f aca="false">ROUND((A938+1)^1.12,1)</f>
        <v>2122.2</v>
      </c>
    </row>
    <row r="939" customFormat="false" ht="15" hidden="false" customHeight="true" outlineLevel="0" collapsed="false">
      <c r="A939" s="6" t="n">
        <v>934</v>
      </c>
      <c r="B939" s="6" t="n">
        <f aca="false">MIN(42, FLOOR(A939/32,1)+1)</f>
        <v>30</v>
      </c>
      <c r="C939" s="6" t="n">
        <f aca="false">ROUND($B$2*(A939+1)^2.4*1.004^A939,0)</f>
        <v>50521721344</v>
      </c>
      <c r="D939" s="6" t="n">
        <f aca="false">ROUND($D$2*(A939+1)^2.4*1.004^A939,0)</f>
        <v>44908196750</v>
      </c>
      <c r="E939" s="6" t="n">
        <f aca="false">ROUND($F$2*(A939+1)^2.4*1.004^A939,0)</f>
        <v>39294672156</v>
      </c>
      <c r="F939" s="6" t="n">
        <f aca="false">ROUND(Building_Levels!$I$2*(A939+1)^1.9*1.003^A939,2)</f>
        <v>3126.62</v>
      </c>
      <c r="G939" s="6" t="n">
        <f aca="false">ROUND((A939+1)^1.12,1)</f>
        <v>2124.8</v>
      </c>
    </row>
    <row r="940" customFormat="false" ht="15" hidden="false" customHeight="true" outlineLevel="0" collapsed="false">
      <c r="A940" s="6" t="n">
        <v>935</v>
      </c>
      <c r="B940" s="6" t="n">
        <f aca="false">MIN(42, FLOOR(A940/32,1)+1)</f>
        <v>30</v>
      </c>
      <c r="C940" s="6" t="n">
        <f aca="false">ROUND($B$2*(A940+1)^2.4*1.004^A940,0)</f>
        <v>50854105869</v>
      </c>
      <c r="D940" s="6" t="n">
        <f aca="false">ROUND($D$2*(A940+1)^2.4*1.004^A940,0)</f>
        <v>45203649661</v>
      </c>
      <c r="E940" s="6" t="n">
        <f aca="false">ROUND($F$2*(A940+1)^2.4*1.004^A940,0)</f>
        <v>39553193453</v>
      </c>
      <c r="F940" s="6" t="n">
        <f aca="false">ROUND(Building_Levels!$I$2*(A940+1)^1.9*1.003^A940,2)</f>
        <v>3142.37</v>
      </c>
      <c r="G940" s="6" t="n">
        <f aca="false">ROUND((A940+1)^1.12,1)</f>
        <v>2127.3</v>
      </c>
    </row>
    <row r="941" customFormat="false" ht="15" hidden="false" customHeight="true" outlineLevel="0" collapsed="false">
      <c r="A941" s="6" t="n">
        <v>936</v>
      </c>
      <c r="B941" s="6" t="n">
        <f aca="false">MIN(42, FLOOR(A941/32,1)+1)</f>
        <v>30</v>
      </c>
      <c r="C941" s="6" t="n">
        <f aca="false">ROUND($B$2*(A941+1)^2.4*1.004^A941,0)</f>
        <v>51188536938</v>
      </c>
      <c r="D941" s="6" t="n">
        <f aca="false">ROUND($D$2*(A941+1)^2.4*1.004^A941,0)</f>
        <v>45500921722</v>
      </c>
      <c r="E941" s="6" t="n">
        <f aca="false">ROUND($F$2*(A941+1)^2.4*1.004^A941,0)</f>
        <v>39813306507</v>
      </c>
      <c r="F941" s="6" t="n">
        <f aca="false">ROUND(Building_Levels!$I$2*(A941+1)^1.9*1.003^A941,2)</f>
        <v>3158.2</v>
      </c>
      <c r="G941" s="6" t="n">
        <f aca="false">ROUND((A941+1)^1.12,1)</f>
        <v>2129.8</v>
      </c>
    </row>
    <row r="942" customFormat="false" ht="15" hidden="false" customHeight="true" outlineLevel="0" collapsed="false">
      <c r="A942" s="6" t="n">
        <v>937</v>
      </c>
      <c r="B942" s="6" t="n">
        <f aca="false">MIN(42, FLOOR(A942/32,1)+1)</f>
        <v>30</v>
      </c>
      <c r="C942" s="6" t="n">
        <f aca="false">ROUND($B$2*(A942+1)^2.4*1.004^A942,0)</f>
        <v>51525026472</v>
      </c>
      <c r="D942" s="6" t="n">
        <f aca="false">ROUND($D$2*(A942+1)^2.4*1.004^A942,0)</f>
        <v>45800023531</v>
      </c>
      <c r="E942" s="6" t="n">
        <f aca="false">ROUND($F$2*(A942+1)^2.4*1.004^A942,0)</f>
        <v>40075020590</v>
      </c>
      <c r="F942" s="6" t="n">
        <f aca="false">ROUND(Building_Levels!$I$2*(A942+1)^1.9*1.003^A942,2)</f>
        <v>3174.1</v>
      </c>
      <c r="G942" s="6" t="n">
        <f aca="false">ROUND((A942+1)^1.12,1)</f>
        <v>2132.4</v>
      </c>
    </row>
    <row r="943" customFormat="false" ht="15" hidden="false" customHeight="true" outlineLevel="0" collapsed="false">
      <c r="A943" s="6" t="n">
        <v>938</v>
      </c>
      <c r="B943" s="6" t="n">
        <f aca="false">MIN(42, FLOOR(A943/32,1)+1)</f>
        <v>30</v>
      </c>
      <c r="C943" s="6" t="n">
        <f aca="false">ROUND($B$2*(A943+1)^2.4*1.004^A943,0)</f>
        <v>51863586461</v>
      </c>
      <c r="D943" s="6" t="n">
        <f aca="false">ROUND($D$2*(A943+1)^2.4*1.004^A943,0)</f>
        <v>46100965743</v>
      </c>
      <c r="E943" s="6" t="n">
        <f aca="false">ROUND($F$2*(A943+1)^2.4*1.004^A943,0)</f>
        <v>40338345025</v>
      </c>
      <c r="F943" s="6" t="n">
        <f aca="false">ROUND(Building_Levels!$I$2*(A943+1)^1.9*1.003^A943,2)</f>
        <v>3190.08</v>
      </c>
      <c r="G943" s="6" t="n">
        <f aca="false">ROUND((A943+1)^1.12,1)</f>
        <v>2134.9</v>
      </c>
    </row>
    <row r="944" customFormat="false" ht="15" hidden="false" customHeight="true" outlineLevel="0" collapsed="false">
      <c r="A944" s="6" t="n">
        <v>939</v>
      </c>
      <c r="B944" s="6" t="n">
        <f aca="false">MIN(42, FLOOR(A944/32,1)+1)</f>
        <v>30</v>
      </c>
      <c r="C944" s="6" t="n">
        <f aca="false">ROUND($B$2*(A944+1)^2.4*1.004^A944,0)</f>
        <v>52204228957</v>
      </c>
      <c r="D944" s="6" t="n">
        <f aca="false">ROUND($D$2*(A944+1)^2.4*1.004^A944,0)</f>
        <v>46403759073</v>
      </c>
      <c r="E944" s="6" t="n">
        <f aca="false">ROUND($F$2*(A944+1)^2.4*1.004^A944,0)</f>
        <v>40603289189</v>
      </c>
      <c r="F944" s="6" t="n">
        <f aca="false">ROUND(Building_Levels!$I$2*(A944+1)^1.9*1.003^A944,2)</f>
        <v>3206.12</v>
      </c>
      <c r="G944" s="6" t="n">
        <f aca="false">ROUND((A944+1)^1.12,1)</f>
        <v>2137.5</v>
      </c>
    </row>
    <row r="945" customFormat="false" ht="15" hidden="false" customHeight="true" outlineLevel="0" collapsed="false">
      <c r="A945" s="6" t="n">
        <v>940</v>
      </c>
      <c r="B945" s="6" t="n">
        <f aca="false">MIN(42, FLOOR(A945/32,1)+1)</f>
        <v>30</v>
      </c>
      <c r="C945" s="6" t="n">
        <f aca="false">ROUND($B$2*(A945+1)^2.4*1.004^A945,0)</f>
        <v>52546966083</v>
      </c>
      <c r="D945" s="6" t="n">
        <f aca="false">ROUND($D$2*(A945+1)^2.4*1.004^A945,0)</f>
        <v>46708414296</v>
      </c>
      <c r="E945" s="6" t="n">
        <f aca="false">ROUND($F$2*(A945+1)^2.4*1.004^A945,0)</f>
        <v>40869862509</v>
      </c>
      <c r="F945" s="6" t="n">
        <f aca="false">ROUND(Building_Levels!$I$2*(A945+1)^1.9*1.003^A945,2)</f>
        <v>3222.24</v>
      </c>
      <c r="G945" s="6" t="n">
        <f aca="false">ROUND((A945+1)^1.12,1)</f>
        <v>2140</v>
      </c>
    </row>
    <row r="946" customFormat="false" ht="15" hidden="false" customHeight="true" outlineLevel="0" collapsed="false">
      <c r="A946" s="6" t="n">
        <v>941</v>
      </c>
      <c r="B946" s="6" t="n">
        <f aca="false">MIN(42, FLOOR(A946/32,1)+1)</f>
        <v>30</v>
      </c>
      <c r="C946" s="6" t="n">
        <f aca="false">ROUND($B$2*(A946+1)^2.4*1.004^A946,0)</f>
        <v>52891810029</v>
      </c>
      <c r="D946" s="6" t="n">
        <f aca="false">ROUND($D$2*(A946+1)^2.4*1.004^A946,0)</f>
        <v>47014942248</v>
      </c>
      <c r="E946" s="6" t="n">
        <f aca="false">ROUND($F$2*(A946+1)^2.4*1.004^A946,0)</f>
        <v>41138074467</v>
      </c>
      <c r="F946" s="6" t="n">
        <f aca="false">ROUND(Building_Levels!$I$2*(A946+1)^1.9*1.003^A946,2)</f>
        <v>3238.44</v>
      </c>
      <c r="G946" s="6" t="n">
        <f aca="false">ROUND((A946+1)^1.12,1)</f>
        <v>2142.6</v>
      </c>
    </row>
    <row r="947" customFormat="false" ht="15" hidden="false" customHeight="true" outlineLevel="0" collapsed="false">
      <c r="A947" s="6" t="n">
        <v>942</v>
      </c>
      <c r="B947" s="6" t="n">
        <f aca="false">MIN(42, FLOOR(A947/32,1)+1)</f>
        <v>30</v>
      </c>
      <c r="C947" s="6" t="n">
        <f aca="false">ROUND($B$2*(A947+1)^2.4*1.004^A947,0)</f>
        <v>53238773049</v>
      </c>
      <c r="D947" s="6" t="n">
        <f aca="false">ROUND($D$2*(A947+1)^2.4*1.004^A947,0)</f>
        <v>47323353822</v>
      </c>
      <c r="E947" s="6" t="n">
        <f aca="false">ROUND($F$2*(A947+1)^2.4*1.004^A947,0)</f>
        <v>41407934594</v>
      </c>
      <c r="F947" s="6" t="n">
        <f aca="false">ROUND(Building_Levels!$I$2*(A947+1)^1.9*1.003^A947,2)</f>
        <v>3254.71</v>
      </c>
      <c r="G947" s="6" t="n">
        <f aca="false">ROUND((A947+1)^1.12,1)</f>
        <v>2145.1</v>
      </c>
    </row>
    <row r="948" customFormat="false" ht="15" hidden="false" customHeight="true" outlineLevel="0" collapsed="false">
      <c r="A948" s="6" t="n">
        <v>943</v>
      </c>
      <c r="B948" s="6" t="n">
        <f aca="false">MIN(42, FLOOR(A948/32,1)+1)</f>
        <v>30</v>
      </c>
      <c r="C948" s="6" t="n">
        <f aca="false">ROUND($B$2*(A948+1)^2.4*1.004^A948,0)</f>
        <v>53587867471</v>
      </c>
      <c r="D948" s="6" t="n">
        <f aca="false">ROUND($D$2*(A948+1)^2.4*1.004^A948,0)</f>
        <v>47633659974</v>
      </c>
      <c r="E948" s="6" t="n">
        <f aca="false">ROUND($F$2*(A948+1)^2.4*1.004^A948,0)</f>
        <v>41679452478</v>
      </c>
      <c r="F948" s="6" t="n">
        <f aca="false">ROUND(Building_Levels!$I$2*(A948+1)^1.9*1.003^A948,2)</f>
        <v>3271.05</v>
      </c>
      <c r="G948" s="6" t="n">
        <f aca="false">ROUND((A948+1)^1.12,1)</f>
        <v>2147.7</v>
      </c>
    </row>
    <row r="949" customFormat="false" ht="15" hidden="false" customHeight="true" outlineLevel="0" collapsed="false">
      <c r="A949" s="6" t="n">
        <v>944</v>
      </c>
      <c r="B949" s="6" t="n">
        <f aca="false">MIN(42, FLOOR(A949/32,1)+1)</f>
        <v>30</v>
      </c>
      <c r="C949" s="6" t="n">
        <f aca="false">ROUND($B$2*(A949+1)^2.4*1.004^A949,0)</f>
        <v>53939105688</v>
      </c>
      <c r="D949" s="6" t="n">
        <f aca="false">ROUND($D$2*(A949+1)^2.4*1.004^A949,0)</f>
        <v>47945871722</v>
      </c>
      <c r="E949" s="6" t="n">
        <f aca="false">ROUND($F$2*(A949+1)^2.4*1.004^A949,0)</f>
        <v>41952637757</v>
      </c>
      <c r="F949" s="6" t="n">
        <f aca="false">ROUND(Building_Levels!$I$2*(A949+1)^1.9*1.003^A949,2)</f>
        <v>3287.47</v>
      </c>
      <c r="G949" s="6" t="n">
        <f aca="false">ROUND((A949+1)^1.12,1)</f>
        <v>2150.2</v>
      </c>
    </row>
    <row r="950" customFormat="false" ht="15" hidden="false" customHeight="true" outlineLevel="0" collapsed="false">
      <c r="A950" s="6" t="n">
        <v>945</v>
      </c>
      <c r="B950" s="6" t="n">
        <f aca="false">MIN(42, FLOOR(A950/32,1)+1)</f>
        <v>30</v>
      </c>
      <c r="C950" s="6" t="n">
        <f aca="false">ROUND($B$2*(A950+1)^2.4*1.004^A950,0)</f>
        <v>54292500161</v>
      </c>
      <c r="D950" s="6" t="n">
        <f aca="false">ROUND($D$2*(A950+1)^2.4*1.004^A950,0)</f>
        <v>48260000143</v>
      </c>
      <c r="E950" s="6" t="n">
        <f aca="false">ROUND($F$2*(A950+1)^2.4*1.004^A950,0)</f>
        <v>42227500125</v>
      </c>
      <c r="F950" s="6" t="n">
        <f aca="false">ROUND(Building_Levels!$I$2*(A950+1)^1.9*1.003^A950,2)</f>
        <v>3303.97</v>
      </c>
      <c r="G950" s="6" t="n">
        <f aca="false">ROUND((A950+1)^1.12,1)</f>
        <v>2152.8</v>
      </c>
    </row>
    <row r="951" customFormat="false" ht="15" hidden="false" customHeight="true" outlineLevel="0" collapsed="false">
      <c r="A951" s="6" t="n">
        <v>946</v>
      </c>
      <c r="B951" s="6" t="n">
        <f aca="false">MIN(42, FLOOR(A951/32,1)+1)</f>
        <v>30</v>
      </c>
      <c r="C951" s="6" t="n">
        <f aca="false">ROUND($B$2*(A951+1)^2.4*1.004^A951,0)</f>
        <v>54648063424</v>
      </c>
      <c r="D951" s="6" t="n">
        <f aca="false">ROUND($D$2*(A951+1)^2.4*1.004^A951,0)</f>
        <v>48576056377</v>
      </c>
      <c r="E951" s="6" t="n">
        <f aca="false">ROUND($F$2*(A951+1)^2.4*1.004^A951,0)</f>
        <v>42504049329</v>
      </c>
      <c r="F951" s="6" t="n">
        <f aca="false">ROUND(Building_Levels!$I$2*(A951+1)^1.9*1.003^A951,2)</f>
        <v>3320.54</v>
      </c>
      <c r="G951" s="6" t="n">
        <f aca="false">ROUND((A951+1)^1.12,1)</f>
        <v>2155.3</v>
      </c>
    </row>
    <row r="952" customFormat="false" ht="15" hidden="false" customHeight="true" outlineLevel="0" collapsed="false">
      <c r="A952" s="6" t="n">
        <v>947</v>
      </c>
      <c r="B952" s="6" t="n">
        <f aca="false">MIN(42, FLOOR(A952/32,1)+1)</f>
        <v>30</v>
      </c>
      <c r="C952" s="6" t="n">
        <f aca="false">ROUND($B$2*(A952+1)^2.4*1.004^A952,0)</f>
        <v>55005808076</v>
      </c>
      <c r="D952" s="6" t="n">
        <f aca="false">ROUND($D$2*(A952+1)^2.4*1.004^A952,0)</f>
        <v>48894051624</v>
      </c>
      <c r="E952" s="6" t="n">
        <f aca="false">ROUND($F$2*(A952+1)^2.4*1.004^A952,0)</f>
        <v>42782295171</v>
      </c>
      <c r="F952" s="6" t="n">
        <f aca="false">ROUND(Building_Levels!$I$2*(A952+1)^1.9*1.003^A952,2)</f>
        <v>3337.19</v>
      </c>
      <c r="G952" s="6" t="n">
        <f aca="false">ROUND((A952+1)^1.12,1)</f>
        <v>2157.9</v>
      </c>
    </row>
    <row r="953" customFormat="false" ht="15" hidden="false" customHeight="true" outlineLevel="0" collapsed="false">
      <c r="A953" s="6" t="n">
        <v>948</v>
      </c>
      <c r="B953" s="6" t="n">
        <f aca="false">MIN(42, FLOOR(A953/32,1)+1)</f>
        <v>30</v>
      </c>
      <c r="C953" s="6" t="n">
        <f aca="false">ROUND($B$2*(A953+1)^2.4*1.004^A953,0)</f>
        <v>55365746791</v>
      </c>
      <c r="D953" s="6" t="n">
        <f aca="false">ROUND($D$2*(A953+1)^2.4*1.004^A953,0)</f>
        <v>49213997148</v>
      </c>
      <c r="E953" s="6" t="n">
        <f aca="false">ROUND($F$2*(A953+1)^2.4*1.004^A953,0)</f>
        <v>43062247504</v>
      </c>
      <c r="F953" s="6" t="n">
        <f aca="false">ROUND(Building_Levels!$I$2*(A953+1)^1.9*1.003^A953,2)</f>
        <v>3353.91</v>
      </c>
      <c r="G953" s="6" t="n">
        <f aca="false">ROUND((A953+1)^1.12,1)</f>
        <v>2160.4</v>
      </c>
    </row>
    <row r="954" customFormat="false" ht="15" hidden="false" customHeight="true" outlineLevel="0" collapsed="false">
      <c r="A954" s="6" t="n">
        <v>949</v>
      </c>
      <c r="B954" s="6" t="n">
        <f aca="false">MIN(42, FLOOR(A954/32,1)+1)</f>
        <v>30</v>
      </c>
      <c r="C954" s="6" t="n">
        <f aca="false">ROUND($B$2*(A954+1)^2.4*1.004^A954,0)</f>
        <v>55727892310</v>
      </c>
      <c r="D954" s="6" t="n">
        <f aca="false">ROUND($D$2*(A954+1)^2.4*1.004^A954,0)</f>
        <v>49535904276</v>
      </c>
      <c r="E954" s="6" t="n">
        <f aca="false">ROUND($F$2*(A954+1)^2.4*1.004^A954,0)</f>
        <v>43343916241</v>
      </c>
      <c r="F954" s="6" t="n">
        <f aca="false">ROUND(Building_Levels!$I$2*(A954+1)^1.9*1.003^A954,2)</f>
        <v>3370.71</v>
      </c>
      <c r="G954" s="6" t="n">
        <f aca="false">ROUND((A954+1)^1.12,1)</f>
        <v>2163</v>
      </c>
    </row>
    <row r="955" customFormat="false" ht="15" hidden="false" customHeight="true" outlineLevel="0" collapsed="false">
      <c r="A955" s="6" t="n">
        <v>950</v>
      </c>
      <c r="B955" s="6" t="n">
        <f aca="false">MIN(42, FLOOR(A955/32,1)+1)</f>
        <v>30</v>
      </c>
      <c r="C955" s="6" t="n">
        <f aca="false">ROUND($B$2*(A955+1)^2.4*1.004^A955,0)</f>
        <v>56092257445</v>
      </c>
      <c r="D955" s="6" t="n">
        <f aca="false">ROUND($D$2*(A955+1)^2.4*1.004^A955,0)</f>
        <v>49859784396</v>
      </c>
      <c r="E955" s="6" t="n">
        <f aca="false">ROUND($F$2*(A955+1)^2.4*1.004^A955,0)</f>
        <v>43627311346</v>
      </c>
      <c r="F955" s="6" t="n">
        <f aca="false">ROUND(Building_Levels!$I$2*(A955+1)^1.9*1.003^A955,2)</f>
        <v>3387.59</v>
      </c>
      <c r="G955" s="6" t="n">
        <f aca="false">ROUND((A955+1)^1.12,1)</f>
        <v>2165.5</v>
      </c>
    </row>
    <row r="956" customFormat="false" ht="15" hidden="false" customHeight="true" outlineLevel="0" collapsed="false">
      <c r="A956" s="6" t="n">
        <v>951</v>
      </c>
      <c r="B956" s="6" t="n">
        <f aca="false">MIN(42, FLOOR(A956/32,1)+1)</f>
        <v>30</v>
      </c>
      <c r="C956" s="6" t="n">
        <f aca="false">ROUND($B$2*(A956+1)^2.4*1.004^A956,0)</f>
        <v>56458855081</v>
      </c>
      <c r="D956" s="6" t="n">
        <f aca="false">ROUND($D$2*(A956+1)^2.4*1.004^A956,0)</f>
        <v>50185648961</v>
      </c>
      <c r="E956" s="6" t="n">
        <f aca="false">ROUND($F$2*(A956+1)^2.4*1.004^A956,0)</f>
        <v>43912442841</v>
      </c>
      <c r="F956" s="6" t="n">
        <f aca="false">ROUND(Building_Levels!$I$2*(A956+1)^1.9*1.003^A956,2)</f>
        <v>3404.54</v>
      </c>
      <c r="G956" s="6" t="n">
        <f aca="false">ROUND((A956+1)^1.12,1)</f>
        <v>2168.1</v>
      </c>
    </row>
    <row r="957" customFormat="false" ht="15" hidden="false" customHeight="true" outlineLevel="0" collapsed="false">
      <c r="A957" s="6" t="n">
        <v>952</v>
      </c>
      <c r="B957" s="6" t="n">
        <f aca="false">MIN(42, FLOOR(A957/32,1)+1)</f>
        <v>30</v>
      </c>
      <c r="C957" s="6" t="n">
        <f aca="false">ROUND($B$2*(A957+1)^2.4*1.004^A957,0)</f>
        <v>56827698173</v>
      </c>
      <c r="D957" s="6" t="n">
        <f aca="false">ROUND($D$2*(A957+1)^2.4*1.004^A957,0)</f>
        <v>50513509487</v>
      </c>
      <c r="E957" s="6" t="n">
        <f aca="false">ROUND($F$2*(A957+1)^2.4*1.004^A957,0)</f>
        <v>44199320801</v>
      </c>
      <c r="F957" s="6" t="n">
        <f aca="false">ROUND(Building_Levels!$I$2*(A957+1)^1.9*1.003^A957,2)</f>
        <v>3421.57</v>
      </c>
      <c r="G957" s="6" t="n">
        <f aca="false">ROUND((A957+1)^1.12,1)</f>
        <v>2170.6</v>
      </c>
    </row>
    <row r="958" customFormat="false" ht="15" hidden="false" customHeight="true" outlineLevel="0" collapsed="false">
      <c r="A958" s="6" t="n">
        <v>953</v>
      </c>
      <c r="B958" s="6" t="n">
        <f aca="false">MIN(42, FLOOR(A958/32,1)+1)</f>
        <v>30</v>
      </c>
      <c r="C958" s="6" t="n">
        <f aca="false">ROUND($B$2*(A958+1)^2.4*1.004^A958,0)</f>
        <v>57198799747</v>
      </c>
      <c r="D958" s="6" t="n">
        <f aca="false">ROUND($D$2*(A958+1)^2.4*1.004^A958,0)</f>
        <v>50843377553</v>
      </c>
      <c r="E958" s="6" t="n">
        <f aca="false">ROUND($F$2*(A958+1)^2.4*1.004^A958,0)</f>
        <v>44487955359</v>
      </c>
      <c r="F958" s="6" t="n">
        <f aca="false">ROUND(Building_Levels!$I$2*(A958+1)^1.9*1.003^A958,2)</f>
        <v>3438.68</v>
      </c>
      <c r="G958" s="6" t="n">
        <f aca="false">ROUND((A958+1)^1.12,1)</f>
        <v>2173.2</v>
      </c>
    </row>
    <row r="959" customFormat="false" ht="15" hidden="false" customHeight="true" outlineLevel="0" collapsed="false">
      <c r="A959" s="6" t="n">
        <v>954</v>
      </c>
      <c r="B959" s="6" t="n">
        <f aca="false">MIN(42, FLOOR(A959/32,1)+1)</f>
        <v>30</v>
      </c>
      <c r="C959" s="6" t="n">
        <f aca="false">ROUND($B$2*(A959+1)^2.4*1.004^A959,0)</f>
        <v>57572172905</v>
      </c>
      <c r="D959" s="6" t="n">
        <f aca="false">ROUND($D$2*(A959+1)^2.4*1.004^A959,0)</f>
        <v>51175264804</v>
      </c>
      <c r="E959" s="6" t="n">
        <f aca="false">ROUND($F$2*(A959+1)^2.4*1.004^A959,0)</f>
        <v>44778356704</v>
      </c>
      <c r="F959" s="6" t="n">
        <f aca="false">ROUND(Building_Levels!$I$2*(A959+1)^1.9*1.003^A959,2)</f>
        <v>3455.87</v>
      </c>
      <c r="G959" s="6" t="n">
        <f aca="false">ROUND((A959+1)^1.12,1)</f>
        <v>2175.7</v>
      </c>
    </row>
    <row r="960" customFormat="false" ht="15" hidden="false" customHeight="true" outlineLevel="0" collapsed="false">
      <c r="A960" s="6" t="n">
        <v>955</v>
      </c>
      <c r="B960" s="6" t="n">
        <f aca="false">MIN(42, FLOOR(A960/32,1)+1)</f>
        <v>30</v>
      </c>
      <c r="C960" s="6" t="n">
        <f aca="false">ROUND($B$2*(A960+1)^2.4*1.004^A960,0)</f>
        <v>57947830817</v>
      </c>
      <c r="D960" s="6" t="n">
        <f aca="false">ROUND($D$2*(A960+1)^2.4*1.004^A960,0)</f>
        <v>51509182949</v>
      </c>
      <c r="E960" s="6" t="n">
        <f aca="false">ROUND($F$2*(A960+1)^2.4*1.004^A960,0)</f>
        <v>45070535080</v>
      </c>
      <c r="F960" s="6" t="n">
        <f aca="false">ROUND(Building_Levels!$I$2*(A960+1)^1.9*1.003^A960,2)</f>
        <v>3473.14</v>
      </c>
      <c r="G960" s="6" t="n">
        <f aca="false">ROUND((A960+1)^1.12,1)</f>
        <v>2178.3</v>
      </c>
    </row>
    <row r="961" customFormat="false" ht="15" hidden="false" customHeight="true" outlineLevel="0" collapsed="false">
      <c r="A961" s="6" t="n">
        <v>956</v>
      </c>
      <c r="B961" s="6" t="n">
        <f aca="false">MIN(42, FLOOR(A961/32,1)+1)</f>
        <v>30</v>
      </c>
      <c r="C961" s="6" t="n">
        <f aca="false">ROUND($B$2*(A961+1)^2.4*1.004^A961,0)</f>
        <v>58325786730</v>
      </c>
      <c r="D961" s="6" t="n">
        <f aca="false">ROUND($D$2*(A961+1)^2.4*1.004^A961,0)</f>
        <v>51845143760</v>
      </c>
      <c r="E961" s="6" t="n">
        <f aca="false">ROUND($F$2*(A961+1)^2.4*1.004^A961,0)</f>
        <v>45364500790</v>
      </c>
      <c r="F961" s="6" t="n">
        <f aca="false">ROUND(Building_Levels!$I$2*(A961+1)^1.9*1.003^A961,2)</f>
        <v>3490.48</v>
      </c>
      <c r="G961" s="6" t="n">
        <f aca="false">ROUND((A961+1)^1.12,1)</f>
        <v>2180.8</v>
      </c>
    </row>
    <row r="962" customFormat="false" ht="15" hidden="false" customHeight="true" outlineLevel="0" collapsed="false">
      <c r="A962" s="6" t="n">
        <v>957</v>
      </c>
      <c r="B962" s="6" t="n">
        <f aca="false">MIN(42, FLOOR(A962/32,1)+1)</f>
        <v>30</v>
      </c>
      <c r="C962" s="6" t="n">
        <f aca="false">ROUND($B$2*(A962+1)^2.4*1.004^A962,0)</f>
        <v>58706053963</v>
      </c>
      <c r="D962" s="6" t="n">
        <f aca="false">ROUND($D$2*(A962+1)^2.4*1.004^A962,0)</f>
        <v>52183159078</v>
      </c>
      <c r="E962" s="6" t="n">
        <f aca="false">ROUND($F$2*(A962+1)^2.4*1.004^A962,0)</f>
        <v>45660264193</v>
      </c>
      <c r="F962" s="6" t="n">
        <f aca="false">ROUND(Building_Levels!$I$2*(A962+1)^1.9*1.003^A962,2)</f>
        <v>3507.91</v>
      </c>
      <c r="G962" s="6" t="n">
        <f aca="false">ROUND((A962+1)^1.12,1)</f>
        <v>2183.4</v>
      </c>
    </row>
    <row r="963" customFormat="false" ht="15" hidden="false" customHeight="true" outlineLevel="0" collapsed="false">
      <c r="A963" s="6" t="n">
        <v>958</v>
      </c>
      <c r="B963" s="6" t="n">
        <f aca="false">MIN(42, FLOOR(A963/32,1)+1)</f>
        <v>30</v>
      </c>
      <c r="C963" s="6" t="n">
        <f aca="false">ROUND($B$2*(A963+1)^2.4*1.004^A963,0)</f>
        <v>59088645907</v>
      </c>
      <c r="D963" s="6" t="n">
        <f aca="false">ROUND($D$2*(A963+1)^2.4*1.004^A963,0)</f>
        <v>52523240806</v>
      </c>
      <c r="E963" s="6" t="n">
        <f aca="false">ROUND($F$2*(A963+1)^2.4*1.004^A963,0)</f>
        <v>45957835705</v>
      </c>
      <c r="F963" s="6" t="n">
        <f aca="false">ROUND(Building_Levels!$I$2*(A963+1)^1.9*1.003^A963,2)</f>
        <v>3525.42</v>
      </c>
      <c r="G963" s="6" t="n">
        <f aca="false">ROUND((A963+1)^1.12,1)</f>
        <v>2185.9</v>
      </c>
    </row>
    <row r="964" customFormat="false" ht="15" hidden="false" customHeight="true" outlineLevel="0" collapsed="false">
      <c r="A964" s="6" t="n">
        <v>959</v>
      </c>
      <c r="B964" s="6" t="n">
        <f aca="false">MIN(42, FLOOR(A964/32,1)+1)</f>
        <v>30</v>
      </c>
      <c r="C964" s="6" t="n">
        <f aca="false">ROUND($B$2*(A964+1)^2.4*1.004^A964,0)</f>
        <v>59473576030</v>
      </c>
      <c r="D964" s="6" t="n">
        <f aca="false">ROUND($D$2*(A964+1)^2.4*1.004^A964,0)</f>
        <v>52865400916</v>
      </c>
      <c r="E964" s="6" t="n">
        <f aca="false">ROUND($F$2*(A964+1)^2.4*1.004^A964,0)</f>
        <v>46257225801</v>
      </c>
      <c r="F964" s="6" t="n">
        <f aca="false">ROUND(Building_Levels!$I$2*(A964+1)^1.9*1.003^A964,2)</f>
        <v>3543</v>
      </c>
      <c r="G964" s="6" t="n">
        <f aca="false">ROUND((A964+1)^1.12,1)</f>
        <v>2188.5</v>
      </c>
    </row>
    <row r="965" customFormat="false" ht="15" hidden="false" customHeight="true" outlineLevel="0" collapsed="false">
      <c r="A965" s="6" t="n">
        <v>960</v>
      </c>
      <c r="B965" s="6" t="n">
        <f aca="false">MIN(42, FLOOR(A965/32,1)+1)</f>
        <v>31</v>
      </c>
      <c r="C965" s="6" t="n">
        <f aca="false">ROUND($B$2*(A965+1)^2.4*1.004^A965,0)</f>
        <v>59860857874</v>
      </c>
      <c r="D965" s="6" t="n">
        <f aca="false">ROUND($D$2*(A965+1)^2.4*1.004^A965,0)</f>
        <v>53209651444</v>
      </c>
      <c r="E965" s="6" t="n">
        <f aca="false">ROUND($F$2*(A965+1)^2.4*1.004^A965,0)</f>
        <v>46558445013</v>
      </c>
      <c r="F965" s="6" t="n">
        <f aca="false">ROUND(Building_Levels!$I$2*(A965+1)^1.9*1.003^A965,2)</f>
        <v>3560.67</v>
      </c>
      <c r="G965" s="6" t="n">
        <f aca="false">ROUND((A965+1)^1.12,1)</f>
        <v>2191</v>
      </c>
    </row>
    <row r="966" customFormat="false" ht="15" hidden="false" customHeight="true" outlineLevel="0" collapsed="false">
      <c r="A966" s="6" t="n">
        <v>961</v>
      </c>
      <c r="B966" s="6" t="n">
        <f aca="false">MIN(42, FLOOR(A966/32,1)+1)</f>
        <v>31</v>
      </c>
      <c r="C966" s="6" t="n">
        <f aca="false">ROUND($B$2*(A966+1)^2.4*1.004^A966,0)</f>
        <v>60250505056</v>
      </c>
      <c r="D966" s="6" t="n">
        <f aca="false">ROUND($D$2*(A966+1)^2.4*1.004^A966,0)</f>
        <v>53556004494</v>
      </c>
      <c r="E966" s="6" t="n">
        <f aca="false">ROUND($F$2*(A966+1)^2.4*1.004^A966,0)</f>
        <v>46861503932</v>
      </c>
      <c r="F966" s="6" t="n">
        <f aca="false">ROUND(Building_Levels!$I$2*(A966+1)^1.9*1.003^A966,2)</f>
        <v>3578.41</v>
      </c>
      <c r="G966" s="6" t="n">
        <f aca="false">ROUND((A966+1)^1.12,1)</f>
        <v>2193.6</v>
      </c>
    </row>
    <row r="967" customFormat="false" ht="15" hidden="false" customHeight="true" outlineLevel="0" collapsed="false">
      <c r="A967" s="6" t="n">
        <v>962</v>
      </c>
      <c r="B967" s="6" t="n">
        <f aca="false">MIN(42, FLOOR(A967/32,1)+1)</f>
        <v>31</v>
      </c>
      <c r="C967" s="6" t="n">
        <f aca="false">ROUND($B$2*(A967+1)^2.4*1.004^A967,0)</f>
        <v>60642531267</v>
      </c>
      <c r="D967" s="6" t="n">
        <f aca="false">ROUND($D$2*(A967+1)^2.4*1.004^A967,0)</f>
        <v>53904472237</v>
      </c>
      <c r="E967" s="6" t="n">
        <f aca="false">ROUND($F$2*(A967+1)^2.4*1.004^A967,0)</f>
        <v>47166413208</v>
      </c>
      <c r="F967" s="6" t="n">
        <f aca="false">ROUND(Building_Levels!$I$2*(A967+1)^1.9*1.003^A967,2)</f>
        <v>3596.24</v>
      </c>
      <c r="G967" s="6" t="n">
        <f aca="false">ROUND((A967+1)^1.12,1)</f>
        <v>2196.1</v>
      </c>
    </row>
    <row r="968" customFormat="false" ht="15" hidden="false" customHeight="true" outlineLevel="0" collapsed="false">
      <c r="A968" s="6" t="n">
        <v>963</v>
      </c>
      <c r="B968" s="6" t="n">
        <f aca="false">MIN(42, FLOOR(A968/32,1)+1)</f>
        <v>31</v>
      </c>
      <c r="C968" s="6" t="n">
        <f aca="false">ROUND($B$2*(A968+1)^2.4*1.004^A968,0)</f>
        <v>61036950276</v>
      </c>
      <c r="D968" s="6" t="n">
        <f aca="false">ROUND($D$2*(A968+1)^2.4*1.004^A968,0)</f>
        <v>54255066912</v>
      </c>
      <c r="E968" s="6" t="n">
        <f aca="false">ROUND($F$2*(A968+1)^2.4*1.004^A968,0)</f>
        <v>47473183548</v>
      </c>
      <c r="F968" s="6" t="n">
        <f aca="false">ROUND(Building_Levels!$I$2*(A968+1)^1.9*1.003^A968,2)</f>
        <v>3614.15</v>
      </c>
      <c r="G968" s="6" t="n">
        <f aca="false">ROUND((A968+1)^1.12,1)</f>
        <v>2198.7</v>
      </c>
    </row>
    <row r="969" customFormat="false" ht="15" hidden="false" customHeight="true" outlineLevel="0" collapsed="false">
      <c r="A969" s="6" t="n">
        <v>964</v>
      </c>
      <c r="B969" s="6" t="n">
        <f aca="false">MIN(42, FLOOR(A969/32,1)+1)</f>
        <v>31</v>
      </c>
      <c r="C969" s="6" t="n">
        <f aca="false">ROUND($B$2*(A969+1)^2.4*1.004^A969,0)</f>
        <v>61433775927</v>
      </c>
      <c r="D969" s="6" t="n">
        <f aca="false">ROUND($D$2*(A969+1)^2.4*1.004^A969,0)</f>
        <v>54607800824</v>
      </c>
      <c r="E969" s="6" t="n">
        <f aca="false">ROUND($F$2*(A969+1)^2.4*1.004^A969,0)</f>
        <v>47781825721</v>
      </c>
      <c r="F969" s="6" t="n">
        <f aca="false">ROUND(Building_Levels!$I$2*(A969+1)^1.9*1.003^A969,2)</f>
        <v>3632.14</v>
      </c>
      <c r="G969" s="6" t="n">
        <f aca="false">ROUND((A969+1)^1.12,1)</f>
        <v>2201.3</v>
      </c>
    </row>
    <row r="970" customFormat="false" ht="15" hidden="false" customHeight="true" outlineLevel="0" collapsed="false">
      <c r="A970" s="6" t="n">
        <v>965</v>
      </c>
      <c r="B970" s="6" t="n">
        <f aca="false">MIN(42, FLOOR(A970/32,1)+1)</f>
        <v>31</v>
      </c>
      <c r="C970" s="6" t="n">
        <f aca="false">ROUND($B$2*(A970+1)^2.4*1.004^A970,0)</f>
        <v>61833022140</v>
      </c>
      <c r="D970" s="6" t="n">
        <f aca="false">ROUND($D$2*(A970+1)^2.4*1.004^A970,0)</f>
        <v>54962686347</v>
      </c>
      <c r="E970" s="6" t="n">
        <f aca="false">ROUND($F$2*(A970+1)^2.4*1.004^A970,0)</f>
        <v>48092350554</v>
      </c>
      <c r="F970" s="6" t="n">
        <f aca="false">ROUND(Building_Levels!$I$2*(A970+1)^1.9*1.003^A970,2)</f>
        <v>3650.21</v>
      </c>
      <c r="G970" s="6" t="n">
        <f aca="false">ROUND((A970+1)^1.12,1)</f>
        <v>2203.8</v>
      </c>
    </row>
    <row r="971" customFormat="false" ht="15" hidden="false" customHeight="true" outlineLevel="0" collapsed="false">
      <c r="A971" s="6" t="n">
        <v>966</v>
      </c>
      <c r="B971" s="6" t="n">
        <f aca="false">MIN(42, FLOOR(A971/32,1)+1)</f>
        <v>31</v>
      </c>
      <c r="C971" s="6" t="n">
        <f aca="false">ROUND($B$2*(A971+1)^2.4*1.004^A971,0)</f>
        <v>62234702915</v>
      </c>
      <c r="D971" s="6" t="n">
        <f aca="false">ROUND($D$2*(A971+1)^2.4*1.004^A971,0)</f>
        <v>55319735925</v>
      </c>
      <c r="E971" s="6" t="n">
        <f aca="false">ROUND($F$2*(A971+1)^2.4*1.004^A971,0)</f>
        <v>48404768934</v>
      </c>
      <c r="F971" s="6" t="n">
        <f aca="false">ROUND(Building_Levels!$I$2*(A971+1)^1.9*1.003^A971,2)</f>
        <v>3668.37</v>
      </c>
      <c r="G971" s="6" t="n">
        <f aca="false">ROUND((A971+1)^1.12,1)</f>
        <v>2206.4</v>
      </c>
    </row>
    <row r="972" customFormat="false" ht="15" hidden="false" customHeight="true" outlineLevel="0" collapsed="false">
      <c r="A972" s="6" t="n">
        <v>967</v>
      </c>
      <c r="B972" s="6" t="n">
        <f aca="false">MIN(42, FLOOR(A972/32,1)+1)</f>
        <v>31</v>
      </c>
      <c r="C972" s="6" t="n">
        <f aca="false">ROUND($B$2*(A972+1)^2.4*1.004^A972,0)</f>
        <v>62638832327</v>
      </c>
      <c r="D972" s="6" t="n">
        <f aca="false">ROUND($D$2*(A972+1)^2.4*1.004^A972,0)</f>
        <v>55678962068</v>
      </c>
      <c r="E972" s="6" t="n">
        <f aca="false">ROUND($F$2*(A972+1)^2.4*1.004^A972,0)</f>
        <v>48719091810</v>
      </c>
      <c r="F972" s="6" t="n">
        <f aca="false">ROUND(Building_Levels!$I$2*(A972+1)^1.9*1.003^A972,2)</f>
        <v>3686.6</v>
      </c>
      <c r="G972" s="6" t="n">
        <f aca="false">ROUND((A972+1)^1.12,1)</f>
        <v>2208.9</v>
      </c>
    </row>
    <row r="973" customFormat="false" ht="15" hidden="false" customHeight="true" outlineLevel="0" collapsed="false">
      <c r="A973" s="6" t="n">
        <v>968</v>
      </c>
      <c r="B973" s="6" t="n">
        <f aca="false">MIN(42, FLOOR(A973/32,1)+1)</f>
        <v>31</v>
      </c>
      <c r="C973" s="6" t="n">
        <f aca="false">ROUND($B$2*(A973+1)^2.4*1.004^A973,0)</f>
        <v>63045424528</v>
      </c>
      <c r="D973" s="6" t="n">
        <f aca="false">ROUND($D$2*(A973+1)^2.4*1.004^A973,0)</f>
        <v>56040377358</v>
      </c>
      <c r="E973" s="6" t="n">
        <f aca="false">ROUND($F$2*(A973+1)^2.4*1.004^A973,0)</f>
        <v>49035330189</v>
      </c>
      <c r="F973" s="6" t="n">
        <f aca="false">ROUND(Building_Levels!$I$2*(A973+1)^1.9*1.003^A973,2)</f>
        <v>3704.93</v>
      </c>
      <c r="G973" s="6" t="n">
        <f aca="false">ROUND((A973+1)^1.12,1)</f>
        <v>2211.5</v>
      </c>
    </row>
    <row r="974" customFormat="false" ht="15" hidden="false" customHeight="true" outlineLevel="0" collapsed="false">
      <c r="A974" s="6" t="n">
        <v>969</v>
      </c>
      <c r="B974" s="6" t="n">
        <f aca="false">MIN(42, FLOOR(A974/32,1)+1)</f>
        <v>31</v>
      </c>
      <c r="C974" s="6" t="n">
        <f aca="false">ROUND($B$2*(A974+1)^2.4*1.004^A974,0)</f>
        <v>63454493752</v>
      </c>
      <c r="D974" s="6" t="n">
        <f aca="false">ROUND($D$2*(A974+1)^2.4*1.004^A974,0)</f>
        <v>56403994446</v>
      </c>
      <c r="E974" s="6" t="n">
        <f aca="false">ROUND($F$2*(A974+1)^2.4*1.004^A974,0)</f>
        <v>49353495140</v>
      </c>
      <c r="F974" s="6" t="n">
        <f aca="false">ROUND(Building_Levels!$I$2*(A974+1)^1.9*1.003^A974,2)</f>
        <v>3723.33</v>
      </c>
      <c r="G974" s="6" t="n">
        <f aca="false">ROUND((A974+1)^1.12,1)</f>
        <v>2214</v>
      </c>
    </row>
    <row r="975" customFormat="false" ht="15" hidden="false" customHeight="true" outlineLevel="0" collapsed="false">
      <c r="A975" s="6" t="n">
        <v>970</v>
      </c>
      <c r="B975" s="6" t="n">
        <f aca="false">MIN(42, FLOOR(A975/32,1)+1)</f>
        <v>31</v>
      </c>
      <c r="C975" s="6" t="n">
        <f aca="false">ROUND($B$2*(A975+1)^2.4*1.004^A975,0)</f>
        <v>63866054307</v>
      </c>
      <c r="D975" s="6" t="n">
        <f aca="false">ROUND($D$2*(A975+1)^2.4*1.004^A975,0)</f>
        <v>56769826051</v>
      </c>
      <c r="E975" s="6" t="n">
        <f aca="false">ROUND($F$2*(A975+1)^2.4*1.004^A975,0)</f>
        <v>49673597795</v>
      </c>
      <c r="F975" s="6" t="n">
        <f aca="false">ROUND(Building_Levels!$I$2*(A975+1)^1.9*1.003^A975,2)</f>
        <v>3741.82</v>
      </c>
      <c r="G975" s="6" t="n">
        <f aca="false">ROUND((A975+1)^1.12,1)</f>
        <v>2216.6</v>
      </c>
    </row>
    <row r="976" customFormat="false" ht="15" hidden="false" customHeight="true" outlineLevel="0" collapsed="false">
      <c r="A976" s="6" t="n">
        <v>971</v>
      </c>
      <c r="B976" s="6" t="n">
        <f aca="false">MIN(42, FLOOR(A976/32,1)+1)</f>
        <v>31</v>
      </c>
      <c r="C976" s="6" t="n">
        <f aca="false">ROUND($B$2*(A976+1)^2.4*1.004^A976,0)</f>
        <v>64280120586</v>
      </c>
      <c r="D976" s="6" t="n">
        <f aca="false">ROUND($D$2*(A976+1)^2.4*1.004^A976,0)</f>
        <v>57137884965</v>
      </c>
      <c r="E976" s="6" t="n">
        <f aca="false">ROUND($F$2*(A976+1)^2.4*1.004^A976,0)</f>
        <v>49995649344</v>
      </c>
      <c r="F976" s="6" t="n">
        <f aca="false">ROUND(Building_Levels!$I$2*(A976+1)^1.9*1.003^A976,2)</f>
        <v>3760.39</v>
      </c>
      <c r="G976" s="6" t="n">
        <f aca="false">ROUND((A976+1)^1.12,1)</f>
        <v>2219.1</v>
      </c>
    </row>
    <row r="977" customFormat="false" ht="15" hidden="false" customHeight="true" outlineLevel="0" collapsed="false">
      <c r="A977" s="6" t="n">
        <v>972</v>
      </c>
      <c r="B977" s="6" t="n">
        <f aca="false">MIN(42, FLOOR(A977/32,1)+1)</f>
        <v>31</v>
      </c>
      <c r="C977" s="6" t="n">
        <f aca="false">ROUND($B$2*(A977+1)^2.4*1.004^A977,0)</f>
        <v>64696707055</v>
      </c>
      <c r="D977" s="6" t="n">
        <f aca="false">ROUND($D$2*(A977+1)^2.4*1.004^A977,0)</f>
        <v>57508184049</v>
      </c>
      <c r="E977" s="6" t="n">
        <f aca="false">ROUND($F$2*(A977+1)^2.4*1.004^A977,0)</f>
        <v>50319661043</v>
      </c>
      <c r="F977" s="6" t="n">
        <f aca="false">ROUND(Building_Levels!$I$2*(A977+1)^1.9*1.003^A977,2)</f>
        <v>3779.05</v>
      </c>
      <c r="G977" s="6" t="n">
        <f aca="false">ROUND((A977+1)^1.12,1)</f>
        <v>2221.7</v>
      </c>
    </row>
    <row r="978" customFormat="false" ht="15" hidden="false" customHeight="true" outlineLevel="0" collapsed="false">
      <c r="A978" s="6" t="n">
        <v>973</v>
      </c>
      <c r="B978" s="6" t="n">
        <f aca="false">MIN(42, FLOOR(A978/32,1)+1)</f>
        <v>31</v>
      </c>
      <c r="C978" s="6" t="n">
        <f aca="false">ROUND($B$2*(A978+1)^2.4*1.004^A978,0)</f>
        <v>65115828266</v>
      </c>
      <c r="D978" s="6" t="n">
        <f aca="false">ROUND($D$2*(A978+1)^2.4*1.004^A978,0)</f>
        <v>57880736236</v>
      </c>
      <c r="E978" s="6" t="n">
        <f aca="false">ROUND($F$2*(A978+1)^2.4*1.004^A978,0)</f>
        <v>50645644207</v>
      </c>
      <c r="F978" s="6" t="n">
        <f aca="false">ROUND(Building_Levels!$I$2*(A978+1)^1.9*1.003^A978,2)</f>
        <v>3797.79</v>
      </c>
      <c r="G978" s="6" t="n">
        <f aca="false">ROUND((A978+1)^1.12,1)</f>
        <v>2224.3</v>
      </c>
    </row>
    <row r="979" customFormat="false" ht="15" hidden="false" customHeight="true" outlineLevel="0" collapsed="false">
      <c r="A979" s="6" t="n">
        <v>974</v>
      </c>
      <c r="B979" s="6" t="n">
        <f aca="false">MIN(42, FLOOR(A979/32,1)+1)</f>
        <v>31</v>
      </c>
      <c r="C979" s="6" t="n">
        <f aca="false">ROUND($B$2*(A979+1)^2.4*1.004^A979,0)</f>
        <v>65537498847</v>
      </c>
      <c r="D979" s="6" t="n">
        <f aca="false">ROUND($D$2*(A979+1)^2.4*1.004^A979,0)</f>
        <v>58255554531</v>
      </c>
      <c r="E979" s="6" t="n">
        <f aca="false">ROUND($F$2*(A979+1)^2.4*1.004^A979,0)</f>
        <v>50973610214</v>
      </c>
      <c r="F979" s="6" t="n">
        <f aca="false">ROUND(Building_Levels!$I$2*(A979+1)^1.9*1.003^A979,2)</f>
        <v>3816.62</v>
      </c>
      <c r="G979" s="6" t="n">
        <f aca="false">ROUND((A979+1)^1.12,1)</f>
        <v>2226.8</v>
      </c>
    </row>
    <row r="980" customFormat="false" ht="15" hidden="false" customHeight="true" outlineLevel="0" collapsed="false">
      <c r="A980" s="6" t="n">
        <v>975</v>
      </c>
      <c r="B980" s="6" t="n">
        <f aca="false">MIN(42, FLOOR(A980/32,1)+1)</f>
        <v>31</v>
      </c>
      <c r="C980" s="6" t="n">
        <f aca="false">ROUND($B$2*(A980+1)^2.4*1.004^A980,0)</f>
        <v>65961733510</v>
      </c>
      <c r="D980" s="6" t="n">
        <f aca="false">ROUND($D$2*(A980+1)^2.4*1.004^A980,0)</f>
        <v>58632652009</v>
      </c>
      <c r="E980" s="6" t="n">
        <f aca="false">ROUND($F$2*(A980+1)^2.4*1.004^A980,0)</f>
        <v>51303570508</v>
      </c>
      <c r="F980" s="6" t="n">
        <f aca="false">ROUND(Building_Levels!$I$2*(A980+1)^1.9*1.003^A980,2)</f>
        <v>3835.53</v>
      </c>
      <c r="G980" s="6" t="n">
        <f aca="false">ROUND((A980+1)^1.12,1)</f>
        <v>2229.4</v>
      </c>
    </row>
    <row r="981" customFormat="false" ht="15" hidden="false" customHeight="true" outlineLevel="0" collapsed="false">
      <c r="A981" s="6" t="n">
        <v>976</v>
      </c>
      <c r="B981" s="6" t="n">
        <f aca="false">MIN(42, FLOOR(A981/32,1)+1)</f>
        <v>31</v>
      </c>
      <c r="C981" s="6" t="n">
        <f aca="false">ROUND($B$2*(A981+1)^2.4*1.004^A981,0)</f>
        <v>66388547046</v>
      </c>
      <c r="D981" s="6" t="n">
        <f aca="false">ROUND($D$2*(A981+1)^2.4*1.004^A981,0)</f>
        <v>59012041818</v>
      </c>
      <c r="E981" s="6" t="n">
        <f aca="false">ROUND($F$2*(A981+1)^2.4*1.004^A981,0)</f>
        <v>51635536591</v>
      </c>
      <c r="F981" s="6" t="n">
        <f aca="false">ROUND(Building_Levels!$I$2*(A981+1)^1.9*1.003^A981,2)</f>
        <v>3854.53</v>
      </c>
      <c r="G981" s="6" t="n">
        <f aca="false">ROUND((A981+1)^1.12,1)</f>
        <v>2231.9</v>
      </c>
    </row>
    <row r="982" customFormat="false" ht="15" hidden="false" customHeight="true" outlineLevel="0" collapsed="false">
      <c r="A982" s="6" t="n">
        <v>977</v>
      </c>
      <c r="B982" s="6" t="n">
        <f aca="false">MIN(42, FLOOR(A982/32,1)+1)</f>
        <v>31</v>
      </c>
      <c r="C982" s="6" t="n">
        <f aca="false">ROUND($B$2*(A982+1)^2.4*1.004^A982,0)</f>
        <v>66817954329</v>
      </c>
      <c r="D982" s="6" t="n">
        <f aca="false">ROUND($D$2*(A982+1)^2.4*1.004^A982,0)</f>
        <v>59393737181</v>
      </c>
      <c r="E982" s="6" t="n">
        <f aca="false">ROUND($F$2*(A982+1)^2.4*1.004^A982,0)</f>
        <v>51969520034</v>
      </c>
      <c r="F982" s="6" t="n">
        <f aca="false">ROUND(Building_Levels!$I$2*(A982+1)^1.9*1.003^A982,2)</f>
        <v>3873.62</v>
      </c>
      <c r="G982" s="6" t="n">
        <f aca="false">ROUND((A982+1)^1.12,1)</f>
        <v>2234.5</v>
      </c>
    </row>
    <row r="983" customFormat="false" ht="15" hidden="false" customHeight="true" outlineLevel="0" collapsed="false">
      <c r="A983" s="6" t="n">
        <v>978</v>
      </c>
      <c r="B983" s="6" t="n">
        <f aca="false">MIN(42, FLOOR(A983/32,1)+1)</f>
        <v>31</v>
      </c>
      <c r="C983" s="6" t="n">
        <f aca="false">ROUND($B$2*(A983+1)^2.4*1.004^A983,0)</f>
        <v>67249970315</v>
      </c>
      <c r="D983" s="6" t="n">
        <f aca="false">ROUND($D$2*(A983+1)^2.4*1.004^A983,0)</f>
        <v>59777751391</v>
      </c>
      <c r="E983" s="6" t="n">
        <f aca="false">ROUND($F$2*(A983+1)^2.4*1.004^A983,0)</f>
        <v>52305532467</v>
      </c>
      <c r="F983" s="6" t="n">
        <f aca="false">ROUND(Building_Levels!$I$2*(A983+1)^1.9*1.003^A983,2)</f>
        <v>3892.79</v>
      </c>
      <c r="G983" s="6" t="n">
        <f aca="false">ROUND((A983+1)^1.12,1)</f>
        <v>2237.1</v>
      </c>
    </row>
    <row r="984" customFormat="false" ht="15" hidden="false" customHeight="true" outlineLevel="0" collapsed="false">
      <c r="A984" s="6" t="n">
        <v>979</v>
      </c>
      <c r="B984" s="6" t="n">
        <f aca="false">MIN(42, FLOOR(A984/32,1)+1)</f>
        <v>31</v>
      </c>
      <c r="C984" s="6" t="n">
        <f aca="false">ROUND($B$2*(A984+1)^2.4*1.004^A984,0)</f>
        <v>67684610042</v>
      </c>
      <c r="D984" s="6" t="n">
        <f aca="false">ROUND($D$2*(A984+1)^2.4*1.004^A984,0)</f>
        <v>60164097815</v>
      </c>
      <c r="E984" s="6" t="n">
        <f aca="false">ROUND($F$2*(A984+1)^2.4*1.004^A984,0)</f>
        <v>52643585588</v>
      </c>
      <c r="F984" s="6" t="n">
        <f aca="false">ROUND(Building_Levels!$I$2*(A984+1)^1.9*1.003^A984,2)</f>
        <v>3912.05</v>
      </c>
      <c r="G984" s="6" t="n">
        <f aca="false">ROUND((A984+1)^1.12,1)</f>
        <v>2239.6</v>
      </c>
    </row>
    <row r="985" customFormat="false" ht="15" hidden="false" customHeight="true" outlineLevel="0" collapsed="false">
      <c r="A985" s="6" t="n">
        <v>980</v>
      </c>
      <c r="B985" s="6" t="n">
        <f aca="false">MIN(42, FLOOR(A985/32,1)+1)</f>
        <v>31</v>
      </c>
      <c r="C985" s="6" t="n">
        <f aca="false">ROUND($B$2*(A985+1)^2.4*1.004^A985,0)</f>
        <v>68121888632</v>
      </c>
      <c r="D985" s="6" t="n">
        <f aca="false">ROUND($D$2*(A985+1)^2.4*1.004^A985,0)</f>
        <v>60552789895</v>
      </c>
      <c r="E985" s="6" t="n">
        <f aca="false">ROUND($F$2*(A985+1)^2.4*1.004^A985,0)</f>
        <v>52983691158</v>
      </c>
      <c r="F985" s="6" t="n">
        <f aca="false">ROUND(Building_Levels!$I$2*(A985+1)^1.9*1.003^A985,2)</f>
        <v>3931.39</v>
      </c>
      <c r="G985" s="6" t="n">
        <f aca="false">ROUND((A985+1)^1.12,1)</f>
        <v>2242.2</v>
      </c>
    </row>
    <row r="986" customFormat="false" ht="15" hidden="false" customHeight="true" outlineLevel="0" collapsed="false">
      <c r="A986" s="6" t="n">
        <v>981</v>
      </c>
      <c r="B986" s="6" t="n">
        <f aca="false">MIN(42, FLOOR(A986/32,1)+1)</f>
        <v>31</v>
      </c>
      <c r="C986" s="6" t="n">
        <f aca="false">ROUND($B$2*(A986+1)^2.4*1.004^A986,0)</f>
        <v>68561821291</v>
      </c>
      <c r="D986" s="6" t="n">
        <f aca="false">ROUND($D$2*(A986+1)^2.4*1.004^A986,0)</f>
        <v>60943841147</v>
      </c>
      <c r="E986" s="6" t="n">
        <f aca="false">ROUND($F$2*(A986+1)^2.4*1.004^A986,0)</f>
        <v>53325861004</v>
      </c>
      <c r="F986" s="6" t="n">
        <f aca="false">ROUND(Building_Levels!$I$2*(A986+1)^1.9*1.003^A986,2)</f>
        <v>3950.83</v>
      </c>
      <c r="G986" s="6" t="n">
        <f aca="false">ROUND((A986+1)^1.12,1)</f>
        <v>2244.7</v>
      </c>
    </row>
    <row r="987" customFormat="false" ht="15" hidden="false" customHeight="true" outlineLevel="0" collapsed="false">
      <c r="A987" s="6" t="n">
        <v>982</v>
      </c>
      <c r="B987" s="6" t="n">
        <f aca="false">MIN(42, FLOOR(A987/32,1)+1)</f>
        <v>31</v>
      </c>
      <c r="C987" s="6" t="n">
        <f aca="false">ROUND($B$2*(A987+1)^2.4*1.004^A987,0)</f>
        <v>69004423306</v>
      </c>
      <c r="D987" s="6" t="n">
        <f aca="false">ROUND($D$2*(A987+1)^2.4*1.004^A987,0)</f>
        <v>61337265161</v>
      </c>
      <c r="E987" s="6" t="n">
        <f aca="false">ROUND($F$2*(A987+1)^2.4*1.004^A987,0)</f>
        <v>53670107016</v>
      </c>
      <c r="F987" s="6" t="n">
        <f aca="false">ROUND(Building_Levels!$I$2*(A987+1)^1.9*1.003^A987,2)</f>
        <v>3970.35</v>
      </c>
      <c r="G987" s="6" t="n">
        <f aca="false">ROUND((A987+1)^1.12,1)</f>
        <v>2247.3</v>
      </c>
    </row>
    <row r="988" customFormat="false" ht="15" hidden="false" customHeight="true" outlineLevel="0" collapsed="false">
      <c r="A988" s="6" t="n">
        <v>983</v>
      </c>
      <c r="B988" s="6" t="n">
        <f aca="false">MIN(42, FLOOR(A988/32,1)+1)</f>
        <v>31</v>
      </c>
      <c r="C988" s="6" t="n">
        <f aca="false">ROUND($B$2*(A988+1)^2.4*1.004^A988,0)</f>
        <v>69449710051</v>
      </c>
      <c r="D988" s="6" t="n">
        <f aca="false">ROUND($D$2*(A988+1)^2.4*1.004^A988,0)</f>
        <v>61733075601</v>
      </c>
      <c r="E988" s="6" t="n">
        <f aca="false">ROUND($F$2*(A988+1)^2.4*1.004^A988,0)</f>
        <v>54016441151</v>
      </c>
      <c r="F988" s="6" t="n">
        <f aca="false">ROUND(Building_Levels!$I$2*(A988+1)^1.9*1.003^A988,2)</f>
        <v>3989.96</v>
      </c>
      <c r="G988" s="6" t="n">
        <f aca="false">ROUND((A988+1)^1.12,1)</f>
        <v>2249.9</v>
      </c>
    </row>
    <row r="989" customFormat="false" ht="15" hidden="false" customHeight="true" outlineLevel="0" collapsed="false">
      <c r="A989" s="6" t="n">
        <v>984</v>
      </c>
      <c r="B989" s="6" t="n">
        <f aca="false">MIN(42, FLOOR(A989/32,1)+1)</f>
        <v>31</v>
      </c>
      <c r="C989" s="6" t="n">
        <f aca="false">ROUND($B$2*(A989+1)^2.4*1.004^A989,0)</f>
        <v>69897696985</v>
      </c>
      <c r="D989" s="6" t="n">
        <f aca="false">ROUND($D$2*(A989+1)^2.4*1.004^A989,0)</f>
        <v>62131286209</v>
      </c>
      <c r="E989" s="6" t="n">
        <f aca="false">ROUND($F$2*(A989+1)^2.4*1.004^A989,0)</f>
        <v>54364875433</v>
      </c>
      <c r="F989" s="6" t="n">
        <f aca="false">ROUND(Building_Levels!$I$2*(A989+1)^1.9*1.003^A989,2)</f>
        <v>4009.66</v>
      </c>
      <c r="G989" s="6" t="n">
        <f aca="false">ROUND((A989+1)^1.12,1)</f>
        <v>2252.4</v>
      </c>
    </row>
    <row r="990" customFormat="false" ht="15" hidden="false" customHeight="true" outlineLevel="0" collapsed="false">
      <c r="A990" s="6" t="n">
        <v>985</v>
      </c>
      <c r="B990" s="6" t="n">
        <f aca="false">MIN(42, FLOOR(A990/32,1)+1)</f>
        <v>31</v>
      </c>
      <c r="C990" s="6" t="n">
        <f aca="false">ROUND($B$2*(A990+1)^2.4*1.004^A990,0)</f>
        <v>70348399652</v>
      </c>
      <c r="D990" s="6" t="n">
        <f aca="false">ROUND($D$2*(A990+1)^2.4*1.004^A990,0)</f>
        <v>62531910801</v>
      </c>
      <c r="E990" s="6" t="n">
        <f aca="false">ROUND($F$2*(A990+1)^2.4*1.004^A990,0)</f>
        <v>54715421951</v>
      </c>
      <c r="F990" s="6" t="n">
        <f aca="false">ROUND(Building_Levels!$I$2*(A990+1)^1.9*1.003^A990,2)</f>
        <v>4029.45</v>
      </c>
      <c r="G990" s="6" t="n">
        <f aca="false">ROUND((A990+1)^1.12,1)</f>
        <v>2255</v>
      </c>
    </row>
    <row r="991" customFormat="false" ht="15" hidden="false" customHeight="true" outlineLevel="0" collapsed="false">
      <c r="A991" s="6" t="n">
        <v>986</v>
      </c>
      <c r="B991" s="6" t="n">
        <f aca="false">MIN(42, FLOOR(A991/32,1)+1)</f>
        <v>31</v>
      </c>
      <c r="C991" s="6" t="n">
        <f aca="false">ROUND($B$2*(A991+1)^2.4*1.004^A991,0)</f>
        <v>70801833679</v>
      </c>
      <c r="D991" s="6" t="n">
        <f aca="false">ROUND($D$2*(A991+1)^2.4*1.004^A991,0)</f>
        <v>62934963270</v>
      </c>
      <c r="E991" s="6" t="n">
        <f aca="false">ROUND($F$2*(A991+1)^2.4*1.004^A991,0)</f>
        <v>55068092862</v>
      </c>
      <c r="F991" s="6" t="n">
        <f aca="false">ROUND(Building_Levels!$I$2*(A991+1)^1.9*1.003^A991,2)</f>
        <v>4049.33</v>
      </c>
      <c r="G991" s="6" t="n">
        <f aca="false">ROUND((A991+1)^1.12,1)</f>
        <v>2257.5</v>
      </c>
    </row>
    <row r="992" customFormat="false" ht="15" hidden="false" customHeight="true" outlineLevel="0" collapsed="false">
      <c r="A992" s="6" t="n">
        <v>987</v>
      </c>
      <c r="B992" s="6" t="n">
        <f aca="false">MIN(42, FLOOR(A992/32,1)+1)</f>
        <v>31</v>
      </c>
      <c r="C992" s="6" t="n">
        <f aca="false">ROUND($B$2*(A992+1)^2.4*1.004^A992,0)</f>
        <v>71258014784</v>
      </c>
      <c r="D992" s="6" t="n">
        <f aca="false">ROUND($D$2*(A992+1)^2.4*1.004^A992,0)</f>
        <v>63340457585</v>
      </c>
      <c r="E992" s="6" t="n">
        <f aca="false">ROUND($F$2*(A992+1)^2.4*1.004^A992,0)</f>
        <v>55422900387</v>
      </c>
      <c r="F992" s="6" t="n">
        <f aca="false">ROUND(Building_Levels!$I$2*(A992+1)^1.9*1.003^A992,2)</f>
        <v>4069.3</v>
      </c>
      <c r="G992" s="6" t="n">
        <f aca="false">ROUND((A992+1)^1.12,1)</f>
        <v>2260.1</v>
      </c>
    </row>
    <row r="993" customFormat="false" ht="15" hidden="false" customHeight="true" outlineLevel="0" collapsed="false">
      <c r="A993" s="6" t="n">
        <v>988</v>
      </c>
      <c r="B993" s="6" t="n">
        <f aca="false">MIN(42, FLOOR(A993/32,1)+1)</f>
        <v>31</v>
      </c>
      <c r="C993" s="6" t="n">
        <f aca="false">ROUND($B$2*(A993+1)^2.4*1.004^A993,0)</f>
        <v>71716958767</v>
      </c>
      <c r="D993" s="6" t="n">
        <f aca="false">ROUND($D$2*(A993+1)^2.4*1.004^A993,0)</f>
        <v>63748407793</v>
      </c>
      <c r="E993" s="6" t="n">
        <f aca="false">ROUND($F$2*(A993+1)^2.4*1.004^A993,0)</f>
        <v>55779856819</v>
      </c>
      <c r="F993" s="6" t="n">
        <f aca="false">ROUND(Building_Levels!$I$2*(A993+1)^1.9*1.003^A993,2)</f>
        <v>4089.37</v>
      </c>
      <c r="G993" s="6" t="n">
        <f aca="false">ROUND((A993+1)^1.12,1)</f>
        <v>2262.7</v>
      </c>
    </row>
    <row r="994" customFormat="false" ht="15" hidden="false" customHeight="true" outlineLevel="0" collapsed="false">
      <c r="A994" s="6" t="n">
        <v>989</v>
      </c>
      <c r="B994" s="6" t="n">
        <f aca="false">MIN(42, FLOOR(A994/32,1)+1)</f>
        <v>31</v>
      </c>
      <c r="C994" s="6" t="n">
        <f aca="false">ROUND($B$2*(A994+1)^2.4*1.004^A994,0)</f>
        <v>72178681518</v>
      </c>
      <c r="D994" s="6" t="n">
        <f aca="false">ROUND($D$2*(A994+1)^2.4*1.004^A994,0)</f>
        <v>64158828016</v>
      </c>
      <c r="E994" s="6" t="n">
        <f aca="false">ROUND($F$2*(A994+1)^2.4*1.004^A994,0)</f>
        <v>56138974514</v>
      </c>
      <c r="F994" s="6" t="n">
        <f aca="false">ROUND(Building_Levels!$I$2*(A994+1)^1.9*1.003^A994,2)</f>
        <v>4109.52</v>
      </c>
      <c r="G994" s="6" t="n">
        <f aca="false">ROUND((A994+1)^1.12,1)</f>
        <v>2265.2</v>
      </c>
    </row>
    <row r="995" customFormat="false" ht="15" hidden="false" customHeight="true" outlineLevel="0" collapsed="false">
      <c r="A995" s="6" t="n">
        <v>990</v>
      </c>
      <c r="B995" s="6" t="n">
        <f aca="false">MIN(42, FLOOR(A995/32,1)+1)</f>
        <v>31</v>
      </c>
      <c r="C995" s="6" t="n">
        <f aca="false">ROUND($B$2*(A995+1)^2.4*1.004^A995,0)</f>
        <v>72643199014</v>
      </c>
      <c r="D995" s="6" t="n">
        <f aca="false">ROUND($D$2*(A995+1)^2.4*1.004^A995,0)</f>
        <v>64571732457</v>
      </c>
      <c r="E995" s="6" t="n">
        <f aca="false">ROUND($F$2*(A995+1)^2.4*1.004^A995,0)</f>
        <v>56500265900</v>
      </c>
      <c r="F995" s="6" t="n">
        <f aca="false">ROUND(Building_Levels!$I$2*(A995+1)^1.9*1.003^A995,2)</f>
        <v>4129.76</v>
      </c>
      <c r="G995" s="6" t="n">
        <f aca="false">ROUND((A995+1)^1.12,1)</f>
        <v>2267.8</v>
      </c>
    </row>
    <row r="996" customFormat="false" ht="15" hidden="false" customHeight="true" outlineLevel="0" collapsed="false">
      <c r="A996" s="6" t="n">
        <v>991</v>
      </c>
      <c r="B996" s="6" t="n">
        <f aca="false">MIN(42, FLOOR(A996/32,1)+1)</f>
        <v>31</v>
      </c>
      <c r="C996" s="6" t="n">
        <f aca="false">ROUND($B$2*(A996+1)^2.4*1.004^A996,0)</f>
        <v>73110527320</v>
      </c>
      <c r="D996" s="6" t="n">
        <f aca="false">ROUND($D$2*(A996+1)^2.4*1.004^A996,0)</f>
        <v>64987135396</v>
      </c>
      <c r="E996" s="6" t="n">
        <f aca="false">ROUND($F$2*(A996+1)^2.4*1.004^A996,0)</f>
        <v>56863743471</v>
      </c>
      <c r="F996" s="6" t="n">
        <f aca="false">ROUND(Building_Levels!$I$2*(A996+1)^1.9*1.003^A996,2)</f>
        <v>4150.09</v>
      </c>
      <c r="G996" s="6" t="n">
        <f aca="false">ROUND((A996+1)^1.12,1)</f>
        <v>2270.4</v>
      </c>
    </row>
    <row r="997" customFormat="false" ht="15" hidden="false" customHeight="true" outlineLevel="0" collapsed="false">
      <c r="A997" s="6" t="n">
        <v>992</v>
      </c>
      <c r="B997" s="6" t="n">
        <f aca="false">MIN(42, FLOOR(A997/32,1)+1)</f>
        <v>32</v>
      </c>
      <c r="C997" s="6" t="n">
        <f aca="false">ROUND($B$2*(A997+1)^2.4*1.004^A997,0)</f>
        <v>73580682590</v>
      </c>
      <c r="D997" s="6" t="n">
        <f aca="false">ROUND($D$2*(A997+1)^2.4*1.004^A997,0)</f>
        <v>65405051191</v>
      </c>
      <c r="E997" s="6" t="n">
        <f aca="false">ROUND($F$2*(A997+1)^2.4*1.004^A997,0)</f>
        <v>57229419792</v>
      </c>
      <c r="F997" s="6" t="n">
        <f aca="false">ROUND(Building_Levels!$I$2*(A997+1)^1.9*1.003^A997,2)</f>
        <v>4170.52</v>
      </c>
      <c r="G997" s="6" t="n">
        <f aca="false">ROUND((A997+1)^1.12,1)</f>
        <v>2272.9</v>
      </c>
    </row>
    <row r="998" customFormat="false" ht="15" hidden="false" customHeight="true" outlineLevel="0" collapsed="false">
      <c r="A998" s="6" t="n">
        <v>993</v>
      </c>
      <c r="B998" s="6" t="n">
        <f aca="false">MIN(42, FLOOR(A998/32,1)+1)</f>
        <v>32</v>
      </c>
      <c r="C998" s="6" t="n">
        <f aca="false">ROUND($B$2*(A998+1)^2.4*1.004^A998,0)</f>
        <v>74053681065</v>
      </c>
      <c r="D998" s="6" t="n">
        <f aca="false">ROUND($D$2*(A998+1)^2.4*1.004^A998,0)</f>
        <v>65825494280</v>
      </c>
      <c r="E998" s="6" t="n">
        <f aca="false">ROUND($F$2*(A998+1)^2.4*1.004^A998,0)</f>
        <v>57597307495</v>
      </c>
      <c r="F998" s="6" t="n">
        <f aca="false">ROUND(Building_Levels!$I$2*(A998+1)^1.9*1.003^A998,2)</f>
        <v>4191.04</v>
      </c>
      <c r="G998" s="6" t="n">
        <f aca="false">ROUND((A998+1)^1.12,1)</f>
        <v>2275.5</v>
      </c>
    </row>
    <row r="999" customFormat="false" ht="15" hidden="false" customHeight="true" outlineLevel="0" collapsed="false">
      <c r="A999" s="6" t="n">
        <v>994</v>
      </c>
      <c r="B999" s="6" t="n">
        <f aca="false">MIN(42, FLOOR(A999/32,1)+1)</f>
        <v>32</v>
      </c>
      <c r="C999" s="6" t="n">
        <f aca="false">ROUND($B$2*(A999+1)^2.4*1.004^A999,0)</f>
        <v>74529539077</v>
      </c>
      <c r="D999" s="6" t="n">
        <f aca="false">ROUND($D$2*(A999+1)^2.4*1.004^A999,0)</f>
        <v>66248479180</v>
      </c>
      <c r="E999" s="6" t="n">
        <f aca="false">ROUND($F$2*(A999+1)^2.4*1.004^A999,0)</f>
        <v>57967419282</v>
      </c>
      <c r="F999" s="6" t="n">
        <f aca="false">ROUND(Building_Levels!$I$2*(A999+1)^1.9*1.003^A999,2)</f>
        <v>4211.65</v>
      </c>
      <c r="G999" s="6" t="n">
        <f aca="false">ROUND((A999+1)^1.12,1)</f>
        <v>2278</v>
      </c>
    </row>
    <row r="1000" customFormat="false" ht="15" hidden="false" customHeight="true" outlineLevel="0" collapsed="false">
      <c r="A1000" s="6" t="n">
        <v>995</v>
      </c>
      <c r="B1000" s="6" t="n">
        <f aca="false">MIN(42, FLOOR(A1000/32,1)+1)</f>
        <v>32</v>
      </c>
      <c r="C1000" s="6" t="n">
        <f aca="false">ROUND($B$2*(A1000+1)^2.4*1.004^A1000,0)</f>
        <v>75008273049</v>
      </c>
      <c r="D1000" s="6" t="n">
        <f aca="false">ROUND($D$2*(A1000+1)^2.4*1.004^A1000,0)</f>
        <v>66674020488</v>
      </c>
      <c r="E1000" s="6" t="n">
        <f aca="false">ROUND($F$2*(A1000+1)^2.4*1.004^A1000,0)</f>
        <v>58339767927</v>
      </c>
      <c r="F1000" s="6" t="n">
        <f aca="false">ROUND(Building_Levels!$I$2*(A1000+1)^1.9*1.003^A1000,2)</f>
        <v>4232.36</v>
      </c>
      <c r="G1000" s="6" t="n">
        <f aca="false">ROUND((A1000+1)^1.12,1)</f>
        <v>2280.6</v>
      </c>
    </row>
    <row r="1001" customFormat="false" ht="15" hidden="false" customHeight="true" outlineLevel="0" collapsed="false">
      <c r="A1001" s="6" t="n">
        <v>996</v>
      </c>
      <c r="B1001" s="6" t="n">
        <f aca="false">MIN(42, FLOOR(A1001/32,1)+1)</f>
        <v>32</v>
      </c>
      <c r="C1001" s="6" t="n">
        <f aca="false">ROUND($B$2*(A1001+1)^2.4*1.004^A1001,0)</f>
        <v>75489899493</v>
      </c>
      <c r="D1001" s="6" t="n">
        <f aca="false">ROUND($D$2*(A1001+1)^2.4*1.004^A1001,0)</f>
        <v>67102132882</v>
      </c>
      <c r="E1001" s="6" t="n">
        <f aca="false">ROUND($F$2*(A1001+1)^2.4*1.004^A1001,0)</f>
        <v>58714366272</v>
      </c>
      <c r="F1001" s="6" t="n">
        <f aca="false">ROUND(Building_Levels!$I$2*(A1001+1)^1.9*1.003^A1001,2)</f>
        <v>4253.15</v>
      </c>
      <c r="G1001" s="6" t="n">
        <f aca="false">ROUND((A1001+1)^1.12,1)</f>
        <v>2283.2</v>
      </c>
    </row>
    <row r="1002" customFormat="false" ht="15" hidden="false" customHeight="true" outlineLevel="0" collapsed="false">
      <c r="A1002" s="6" t="n">
        <v>997</v>
      </c>
      <c r="B1002" s="6" t="n">
        <f aca="false">MIN(42, FLOOR(A1002/32,1)+1)</f>
        <v>32</v>
      </c>
      <c r="C1002" s="6" t="n">
        <f aca="false">ROUND($B$2*(A1002+1)^2.4*1.004^A1002,0)</f>
        <v>75974435011</v>
      </c>
      <c r="D1002" s="6" t="n">
        <f aca="false">ROUND($D$2*(A1002+1)^2.4*1.004^A1002,0)</f>
        <v>67532831121</v>
      </c>
      <c r="E1002" s="6" t="n">
        <f aca="false">ROUND($F$2*(A1002+1)^2.4*1.004^A1002,0)</f>
        <v>59091227231</v>
      </c>
      <c r="F1002" s="6" t="n">
        <f aca="false">ROUND(Building_Levels!$I$2*(A1002+1)^1.9*1.003^A1002,2)</f>
        <v>4274.05</v>
      </c>
      <c r="G1002" s="6" t="n">
        <f aca="false">ROUND((A1002+1)^1.12,1)</f>
        <v>2285.7</v>
      </c>
    </row>
    <row r="1003" customFormat="false" ht="15" hidden="false" customHeight="true" outlineLevel="0" collapsed="false">
      <c r="A1003" s="6" t="n">
        <v>998</v>
      </c>
      <c r="B1003" s="6" t="n">
        <f aca="false">MIN(42, FLOOR(A1003/32,1)+1)</f>
        <v>32</v>
      </c>
      <c r="C1003" s="6" t="n">
        <f aca="false">ROUND($B$2*(A1003+1)^2.4*1.004^A1003,0)</f>
        <v>76461896298</v>
      </c>
      <c r="D1003" s="6" t="n">
        <f aca="false">ROUND($D$2*(A1003+1)^2.4*1.004^A1003,0)</f>
        <v>67966130043</v>
      </c>
      <c r="E1003" s="6" t="n">
        <f aca="false">ROUND($F$2*(A1003+1)^2.4*1.004^A1003,0)</f>
        <v>59470363787</v>
      </c>
      <c r="F1003" s="6" t="n">
        <f aca="false">ROUND(Building_Levels!$I$2*(A1003+1)^1.9*1.003^A1003,2)</f>
        <v>4295.03</v>
      </c>
      <c r="G1003" s="6" t="n">
        <f aca="false">ROUND((A1003+1)^1.12,1)</f>
        <v>2288.3</v>
      </c>
    </row>
    <row r="1004" customFormat="false" ht="15" hidden="false" customHeight="true" outlineLevel="0" collapsed="false">
      <c r="A1004" s="6" t="n">
        <v>999</v>
      </c>
      <c r="B1004" s="6" t="n">
        <f aca="false">MIN(42, FLOOR(A1004/32,1)+1)</f>
        <v>32</v>
      </c>
      <c r="C1004" s="6" t="n">
        <f aca="false">ROUND($B$2*(A1004+1)^2.4*1.004^A1004,0)</f>
        <v>76952300141</v>
      </c>
      <c r="D1004" s="6" t="n">
        <f aca="false">ROUND($D$2*(A1004+1)^2.4*1.004^A1004,0)</f>
        <v>68402044570</v>
      </c>
      <c r="E1004" s="6" t="n">
        <f aca="false">ROUND($F$2*(A1004+1)^2.4*1.004^A1004,0)</f>
        <v>59851788999</v>
      </c>
      <c r="F1004" s="6" t="n">
        <f aca="false">ROUND(Building_Levels!$I$2*(A1004+1)^1.9*1.003^A1004,2)</f>
        <v>4316.12</v>
      </c>
      <c r="G1004" s="6" t="n">
        <f aca="false">ROUND((A1004+1)^1.12,1)</f>
        <v>2290.9</v>
      </c>
    </row>
    <row r="1005" customFormat="false" ht="15" hidden="false" customHeight="true" outlineLevel="0" collapsed="false">
      <c r="A1005" s="6" t="n">
        <v>1000</v>
      </c>
      <c r="B1005" s="6" t="n">
        <f aca="false">MIN(42, FLOOR(A1005/32,1)+1)</f>
        <v>32</v>
      </c>
      <c r="C1005" s="6" t="n">
        <f aca="false">ROUND($B$2*(A1005+1)^2.4*1.004^A1005,0)</f>
        <v>77445663418</v>
      </c>
      <c r="D1005" s="6" t="n">
        <f aca="false">ROUND($D$2*(A1005+1)^2.4*1.004^A1005,0)</f>
        <v>68840589705</v>
      </c>
      <c r="E1005" s="6" t="n">
        <f aca="false">ROUND($F$2*(A1005+1)^2.4*1.004^A1005,0)</f>
        <v>60235515992</v>
      </c>
      <c r="F1005" s="6" t="n">
        <f aca="false">ROUND(Building_Levels!$I$2*(A1005+1)^1.9*1.003^A1005,2)</f>
        <v>4337.29</v>
      </c>
      <c r="G1005" s="6" t="n">
        <f aca="false">ROUND((A1005+1)^1.12,1)</f>
        <v>2293.4</v>
      </c>
    </row>
    <row r="1006" customFormat="false" ht="15" hidden="false" customHeight="true" outlineLevel="0" collapsed="false">
      <c r="A1006" s="6" t="n">
        <v>1001</v>
      </c>
      <c r="B1006" s="6" t="n">
        <f aca="false">MIN(42, FLOOR(A1006/32,1)+1)</f>
        <v>32</v>
      </c>
      <c r="C1006" s="6" t="n">
        <f aca="false">ROUND($B$2*(A1006+1)^2.4*1.004^A1006,0)</f>
        <v>77942003101</v>
      </c>
      <c r="D1006" s="6" t="n">
        <f aca="false">ROUND($D$2*(A1006+1)^2.4*1.004^A1006,0)</f>
        <v>69281780535</v>
      </c>
      <c r="E1006" s="6" t="n">
        <f aca="false">ROUND($F$2*(A1006+1)^2.4*1.004^A1006,0)</f>
        <v>60621557968</v>
      </c>
      <c r="F1006" s="6" t="n">
        <f aca="false">ROUND(Building_Levels!$I$2*(A1006+1)^1.9*1.003^A1006,2)</f>
        <v>4358.57</v>
      </c>
      <c r="G1006" s="6" t="n">
        <f aca="false">ROUND((A1006+1)^1.12,1)</f>
        <v>2296</v>
      </c>
    </row>
    <row r="1007" customFormat="false" ht="15" hidden="false" customHeight="true" outlineLevel="0" collapsed="false">
      <c r="A1007" s="6" t="n">
        <v>1002</v>
      </c>
      <c r="B1007" s="6" t="n">
        <f aca="false">MIN(42, FLOOR(A1007/32,1)+1)</f>
        <v>32</v>
      </c>
      <c r="C1007" s="6" t="n">
        <f aca="false">ROUND($B$2*(A1007+1)^2.4*1.004^A1007,0)</f>
        <v>78441336256</v>
      </c>
      <c r="D1007" s="6" t="n">
        <f aca="false">ROUND($D$2*(A1007+1)^2.4*1.004^A1007,0)</f>
        <v>69725632227</v>
      </c>
      <c r="E1007" s="6" t="n">
        <f aca="false">ROUND($F$2*(A1007+1)^2.4*1.004^A1007,0)</f>
        <v>61009928199</v>
      </c>
      <c r="F1007" s="6" t="n">
        <f aca="false">ROUND(Building_Levels!$I$2*(A1007+1)^1.9*1.003^A1007,2)</f>
        <v>4379.94</v>
      </c>
      <c r="G1007" s="6" t="n">
        <f aca="false">ROUND((A1007+1)^1.12,1)</f>
        <v>2298.6</v>
      </c>
    </row>
    <row r="1008" customFormat="false" ht="15" hidden="false" customHeight="true" outlineLevel="0" collapsed="false">
      <c r="A1008" s="6" t="n">
        <v>1003</v>
      </c>
      <c r="B1008" s="6" t="n">
        <f aca="false">MIN(42, FLOOR(A1008/32,1)+1)</f>
        <v>32</v>
      </c>
      <c r="C1008" s="6" t="n">
        <f aca="false">ROUND($B$2*(A1008+1)^2.4*1.004^A1008,0)</f>
        <v>78943680040</v>
      </c>
      <c r="D1008" s="6" t="n">
        <f aca="false">ROUND($D$2*(A1008+1)^2.4*1.004^A1008,0)</f>
        <v>70172160035</v>
      </c>
      <c r="E1008" s="6" t="n">
        <f aca="false">ROUND($F$2*(A1008+1)^2.4*1.004^A1008,0)</f>
        <v>61400640031</v>
      </c>
      <c r="F1008" s="6" t="n">
        <f aca="false">ROUND(Building_Levels!$I$2*(A1008+1)^1.9*1.003^A1008,2)</f>
        <v>4401.4</v>
      </c>
      <c r="G1008" s="6" t="n">
        <f aca="false">ROUND((A1008+1)^1.12,1)</f>
        <v>2301.1</v>
      </c>
    </row>
    <row r="1009" customFormat="false" ht="15" hidden="false" customHeight="true" outlineLevel="0" collapsed="false">
      <c r="A1009" s="6" t="n">
        <v>1004</v>
      </c>
      <c r="B1009" s="6" t="n">
        <f aca="false">MIN(42, FLOOR(A1009/32,1)+1)</f>
        <v>32</v>
      </c>
      <c r="C1009" s="6" t="n">
        <f aca="false">ROUND($B$2*(A1009+1)^2.4*1.004^A1009,0)</f>
        <v>79449051706</v>
      </c>
      <c r="D1009" s="6" t="n">
        <f aca="false">ROUND($D$2*(A1009+1)^2.4*1.004^A1009,0)</f>
        <v>70621379295</v>
      </c>
      <c r="E1009" s="6" t="n">
        <f aca="false">ROUND($F$2*(A1009+1)^2.4*1.004^A1009,0)</f>
        <v>61793706883</v>
      </c>
      <c r="F1009" s="6" t="n">
        <f aca="false">ROUND(Building_Levels!$I$2*(A1009+1)^1.9*1.003^A1009,2)</f>
        <v>4422.96</v>
      </c>
      <c r="G1009" s="6" t="n">
        <f aca="false">ROUND((A1009+1)^1.12,1)</f>
        <v>2303.7</v>
      </c>
    </row>
    <row r="1010" customFormat="false" ht="15" hidden="false" customHeight="true" outlineLevel="0" collapsed="false">
      <c r="A1010" s="6" t="n">
        <v>1005</v>
      </c>
      <c r="B1010" s="6" t="n">
        <f aca="false">MIN(42, FLOOR(A1010/32,1)+1)</f>
        <v>32</v>
      </c>
      <c r="C1010" s="6" t="n">
        <f aca="false">ROUND($B$2*(A1010+1)^2.4*1.004^A1010,0)</f>
        <v>79957468604</v>
      </c>
      <c r="D1010" s="6" t="n">
        <f aca="false">ROUND($D$2*(A1010+1)^2.4*1.004^A1010,0)</f>
        <v>71073305426</v>
      </c>
      <c r="E1010" s="6" t="n">
        <f aca="false">ROUND($F$2*(A1010+1)^2.4*1.004^A1010,0)</f>
        <v>62189142248</v>
      </c>
      <c r="F1010" s="6" t="n">
        <f aca="false">ROUND(Building_Levels!$I$2*(A1010+1)^1.9*1.003^A1010,2)</f>
        <v>4444.62</v>
      </c>
      <c r="G1010" s="6" t="n">
        <f aca="false">ROUND((A1010+1)^1.12,1)</f>
        <v>2306.3</v>
      </c>
    </row>
    <row r="1011" customFormat="false" ht="15" hidden="false" customHeight="true" outlineLevel="0" collapsed="false">
      <c r="A1011" s="6" t="n">
        <v>1006</v>
      </c>
      <c r="B1011" s="6" t="n">
        <f aca="false">MIN(42, FLOOR(A1011/32,1)+1)</f>
        <v>32</v>
      </c>
      <c r="C1011" s="6" t="n">
        <f aca="false">ROUND($B$2*(A1011+1)^2.4*1.004^A1011,0)</f>
        <v>80468948176</v>
      </c>
      <c r="D1011" s="6" t="n">
        <f aca="false">ROUND($D$2*(A1011+1)^2.4*1.004^A1011,0)</f>
        <v>71527953934</v>
      </c>
      <c r="E1011" s="6" t="n">
        <f aca="false">ROUND($F$2*(A1011+1)^2.4*1.004^A1011,0)</f>
        <v>62586959692</v>
      </c>
      <c r="F1011" s="6" t="n">
        <f aca="false">ROUND(Building_Levels!$I$2*(A1011+1)^1.9*1.003^A1011,2)</f>
        <v>4466.38</v>
      </c>
      <c r="G1011" s="6" t="n">
        <f aca="false">ROUND((A1011+1)^1.12,1)</f>
        <v>2308.8</v>
      </c>
    </row>
    <row r="1012" customFormat="false" ht="15" hidden="false" customHeight="true" outlineLevel="0" collapsed="false">
      <c r="A1012" s="6" t="n">
        <v>1007</v>
      </c>
      <c r="B1012" s="6" t="n">
        <f aca="false">MIN(42, FLOOR(A1012/32,1)+1)</f>
        <v>32</v>
      </c>
      <c r="C1012" s="6" t="n">
        <f aca="false">ROUND($B$2*(A1012+1)^2.4*1.004^A1012,0)</f>
        <v>80983507961</v>
      </c>
      <c r="D1012" s="6" t="n">
        <f aca="false">ROUND($D$2*(A1012+1)^2.4*1.004^A1012,0)</f>
        <v>71985340410</v>
      </c>
      <c r="E1012" s="6" t="n">
        <f aca="false">ROUND($F$2*(A1012+1)^2.4*1.004^A1012,0)</f>
        <v>62987172859</v>
      </c>
      <c r="F1012" s="6" t="n">
        <f aca="false">ROUND(Building_Levels!$I$2*(A1012+1)^1.9*1.003^A1012,2)</f>
        <v>4488.24</v>
      </c>
      <c r="G1012" s="6" t="n">
        <f aca="false">ROUND((A1012+1)^1.12,1)</f>
        <v>2311.4</v>
      </c>
    </row>
    <row r="1013" customFormat="false" ht="15" hidden="false" customHeight="true" outlineLevel="0" collapsed="false">
      <c r="A1013" s="6" t="n">
        <v>1008</v>
      </c>
      <c r="B1013" s="6" t="n">
        <f aca="false">MIN(42, FLOOR(A1013/32,1)+1)</f>
        <v>32</v>
      </c>
      <c r="C1013" s="6" t="n">
        <f aca="false">ROUND($B$2*(A1013+1)^2.4*1.004^A1013,0)</f>
        <v>81501165595</v>
      </c>
      <c r="D1013" s="6" t="n">
        <f aca="false">ROUND($D$2*(A1013+1)^2.4*1.004^A1013,0)</f>
        <v>72445480529</v>
      </c>
      <c r="E1013" s="6" t="n">
        <f aca="false">ROUND($F$2*(A1013+1)^2.4*1.004^A1013,0)</f>
        <v>63389795463</v>
      </c>
      <c r="F1013" s="6" t="n">
        <f aca="false">ROUND(Building_Levels!$I$2*(A1013+1)^1.9*1.003^A1013,2)</f>
        <v>4510.19</v>
      </c>
      <c r="G1013" s="6" t="n">
        <f aca="false">ROUND((A1013+1)^1.12,1)</f>
        <v>2314</v>
      </c>
    </row>
    <row r="1014" customFormat="false" ht="15" hidden="false" customHeight="true" outlineLevel="0" collapsed="false">
      <c r="A1014" s="6" t="n">
        <v>1009</v>
      </c>
      <c r="B1014" s="6" t="n">
        <f aca="false">MIN(42, FLOOR(A1014/32,1)+1)</f>
        <v>32</v>
      </c>
      <c r="C1014" s="6" t="n">
        <f aca="false">ROUND($B$2*(A1014+1)^2.4*1.004^A1014,0)</f>
        <v>82021938811</v>
      </c>
      <c r="D1014" s="6" t="n">
        <f aca="false">ROUND($D$2*(A1014+1)^2.4*1.004^A1014,0)</f>
        <v>72908390054</v>
      </c>
      <c r="E1014" s="6" t="n">
        <f aca="false">ROUND($F$2*(A1014+1)^2.4*1.004^A1014,0)</f>
        <v>63794841297</v>
      </c>
      <c r="F1014" s="6" t="n">
        <f aca="false">ROUND(Building_Levels!$I$2*(A1014+1)^1.9*1.003^A1014,2)</f>
        <v>4532.24</v>
      </c>
      <c r="G1014" s="6" t="n">
        <f aca="false">ROUND((A1014+1)^1.12,1)</f>
        <v>2316.5</v>
      </c>
    </row>
    <row r="1015" customFormat="false" ht="15" hidden="false" customHeight="true" outlineLevel="0" collapsed="false">
      <c r="A1015" s="6" t="n">
        <v>1010</v>
      </c>
      <c r="B1015" s="6" t="n">
        <f aca="false">MIN(42, FLOOR(A1015/32,1)+1)</f>
        <v>32</v>
      </c>
      <c r="C1015" s="6" t="n">
        <f aca="false">ROUND($B$2*(A1015+1)^2.4*1.004^A1015,0)</f>
        <v>82545845437</v>
      </c>
      <c r="D1015" s="6" t="n">
        <f aca="false">ROUND($D$2*(A1015+1)^2.4*1.004^A1015,0)</f>
        <v>73374084833</v>
      </c>
      <c r="E1015" s="6" t="n">
        <f aca="false">ROUND($F$2*(A1015+1)^2.4*1.004^A1015,0)</f>
        <v>64202324229</v>
      </c>
      <c r="F1015" s="6" t="n">
        <f aca="false">ROUND(Building_Levels!$I$2*(A1015+1)^1.9*1.003^A1015,2)</f>
        <v>4554.39</v>
      </c>
      <c r="G1015" s="6" t="n">
        <f aca="false">ROUND((A1015+1)^1.12,1)</f>
        <v>2319.1</v>
      </c>
    </row>
    <row r="1016" customFormat="false" ht="15" hidden="false" customHeight="true" outlineLevel="0" collapsed="false">
      <c r="A1016" s="6" t="n">
        <v>1011</v>
      </c>
      <c r="B1016" s="6" t="n">
        <f aca="false">MIN(42, FLOOR(A1016/32,1)+1)</f>
        <v>32</v>
      </c>
      <c r="C1016" s="6" t="n">
        <f aca="false">ROUND($B$2*(A1016+1)^2.4*1.004^A1016,0)</f>
        <v>83072903403</v>
      </c>
      <c r="D1016" s="6" t="n">
        <f aca="false">ROUND($D$2*(A1016+1)^2.4*1.004^A1016,0)</f>
        <v>73842580803</v>
      </c>
      <c r="E1016" s="6" t="n">
        <f aca="false">ROUND($F$2*(A1016+1)^2.4*1.004^A1016,0)</f>
        <v>64612258202</v>
      </c>
      <c r="F1016" s="6" t="n">
        <f aca="false">ROUND(Building_Levels!$I$2*(A1016+1)^1.9*1.003^A1016,2)</f>
        <v>4576.65</v>
      </c>
      <c r="G1016" s="6" t="n">
        <f aca="false">ROUND((A1016+1)^1.12,1)</f>
        <v>2321.7</v>
      </c>
    </row>
    <row r="1017" customFormat="false" ht="15" hidden="false" customHeight="true" outlineLevel="0" collapsed="false">
      <c r="A1017" s="6" t="n">
        <v>1012</v>
      </c>
      <c r="B1017" s="6" t="n">
        <f aca="false">MIN(42, FLOOR(A1017/32,1)+1)</f>
        <v>32</v>
      </c>
      <c r="C1017" s="6" t="n">
        <f aca="false">ROUND($B$2*(A1017+1)^2.4*1.004^A1017,0)</f>
        <v>83603130733</v>
      </c>
      <c r="D1017" s="6" t="n">
        <f aca="false">ROUND($D$2*(A1017+1)^2.4*1.004^A1017,0)</f>
        <v>74313893985</v>
      </c>
      <c r="E1017" s="6" t="n">
        <f aca="false">ROUND($F$2*(A1017+1)^2.4*1.004^A1017,0)</f>
        <v>65024657237</v>
      </c>
      <c r="F1017" s="6" t="n">
        <f aca="false">ROUND(Building_Levels!$I$2*(A1017+1)^1.9*1.003^A1017,2)</f>
        <v>4599</v>
      </c>
      <c r="G1017" s="6" t="n">
        <f aca="false">ROUND((A1017+1)^1.12,1)</f>
        <v>2324.2</v>
      </c>
    </row>
    <row r="1018" customFormat="false" ht="15" hidden="false" customHeight="true" outlineLevel="0" collapsed="false">
      <c r="A1018" s="6" t="n">
        <v>1013</v>
      </c>
      <c r="B1018" s="6" t="n">
        <f aca="false">MIN(42, FLOOR(A1018/32,1)+1)</f>
        <v>32</v>
      </c>
      <c r="C1018" s="6" t="n">
        <f aca="false">ROUND($B$2*(A1018+1)^2.4*1.004^A1018,0)</f>
        <v>84136545554</v>
      </c>
      <c r="D1018" s="6" t="n">
        <f aca="false">ROUND($D$2*(A1018+1)^2.4*1.004^A1018,0)</f>
        <v>74788040492</v>
      </c>
      <c r="E1018" s="6" t="n">
        <f aca="false">ROUND($F$2*(A1018+1)^2.4*1.004^A1018,0)</f>
        <v>65439535431</v>
      </c>
      <c r="F1018" s="6" t="n">
        <f aca="false">ROUND(Building_Levels!$I$2*(A1018+1)^1.9*1.003^A1018,2)</f>
        <v>4621.45</v>
      </c>
      <c r="G1018" s="6" t="n">
        <f aca="false">ROUND((A1018+1)^1.12,1)</f>
        <v>2326.8</v>
      </c>
    </row>
    <row r="1019" customFormat="false" ht="15" hidden="false" customHeight="true" outlineLevel="0" collapsed="false">
      <c r="A1019" s="6" t="n">
        <v>1014</v>
      </c>
      <c r="B1019" s="6" t="n">
        <f aca="false">MIN(42, FLOOR(A1019/32,1)+1)</f>
        <v>32</v>
      </c>
      <c r="C1019" s="6" t="n">
        <f aca="false">ROUND($B$2*(A1019+1)^2.4*1.004^A1019,0)</f>
        <v>84673166089</v>
      </c>
      <c r="D1019" s="6" t="n">
        <f aca="false">ROUND($D$2*(A1019+1)^2.4*1.004^A1019,0)</f>
        <v>75265036524</v>
      </c>
      <c r="E1019" s="6" t="n">
        <f aca="false">ROUND($F$2*(A1019+1)^2.4*1.004^A1019,0)</f>
        <v>65856906958</v>
      </c>
      <c r="F1019" s="6" t="n">
        <f aca="false">ROUND(Building_Levels!$I$2*(A1019+1)^1.9*1.003^A1019,2)</f>
        <v>4644</v>
      </c>
      <c r="G1019" s="6" t="n">
        <f aca="false">ROUND((A1019+1)^1.12,1)</f>
        <v>2329.4</v>
      </c>
    </row>
    <row r="1020" customFormat="false" ht="15" hidden="false" customHeight="true" outlineLevel="0" collapsed="false">
      <c r="A1020" s="6" t="n">
        <v>1015</v>
      </c>
      <c r="B1020" s="6" t="n">
        <f aca="false">MIN(42, FLOOR(A1020/32,1)+1)</f>
        <v>32</v>
      </c>
      <c r="C1020" s="6" t="n">
        <f aca="false">ROUND($B$2*(A1020+1)^2.4*1.004^A1020,0)</f>
        <v>85213010664</v>
      </c>
      <c r="D1020" s="6" t="n">
        <f aca="false">ROUND($D$2*(A1020+1)^2.4*1.004^A1020,0)</f>
        <v>75744898368</v>
      </c>
      <c r="E1020" s="6" t="n">
        <f aca="false">ROUND($F$2*(A1020+1)^2.4*1.004^A1020,0)</f>
        <v>66276786072</v>
      </c>
      <c r="F1020" s="6" t="n">
        <f aca="false">ROUND(Building_Levels!$I$2*(A1020+1)^1.9*1.003^A1020,2)</f>
        <v>4666.66</v>
      </c>
      <c r="G1020" s="6" t="n">
        <f aca="false">ROUND((A1020+1)^1.12,1)</f>
        <v>2332</v>
      </c>
    </row>
    <row r="1021" customFormat="false" ht="15" hidden="false" customHeight="true" outlineLevel="0" collapsed="false">
      <c r="A1021" s="6" t="n">
        <v>1016</v>
      </c>
      <c r="B1021" s="6" t="n">
        <f aca="false">MIN(42, FLOOR(A1021/32,1)+1)</f>
        <v>32</v>
      </c>
      <c r="C1021" s="6" t="n">
        <f aca="false">ROUND($B$2*(A1021+1)^2.4*1.004^A1021,0)</f>
        <v>85756097702</v>
      </c>
      <c r="D1021" s="6" t="n">
        <f aca="false">ROUND($D$2*(A1021+1)^2.4*1.004^A1021,0)</f>
        <v>76227642402</v>
      </c>
      <c r="E1021" s="6" t="n">
        <f aca="false">ROUND($F$2*(A1021+1)^2.4*1.004^A1021,0)</f>
        <v>66699187102</v>
      </c>
      <c r="F1021" s="6" t="n">
        <f aca="false">ROUND(Building_Levels!$I$2*(A1021+1)^1.9*1.003^A1021,2)</f>
        <v>4689.42</v>
      </c>
      <c r="G1021" s="6" t="n">
        <f aca="false">ROUND((A1021+1)^1.12,1)</f>
        <v>2334.5</v>
      </c>
    </row>
    <row r="1022" customFormat="false" ht="15" hidden="false" customHeight="true" outlineLevel="0" collapsed="false">
      <c r="A1022" s="6" t="n">
        <v>1017</v>
      </c>
      <c r="B1022" s="6" t="n">
        <f aca="false">MIN(42, FLOOR(A1022/32,1)+1)</f>
        <v>32</v>
      </c>
      <c r="C1022" s="6" t="n">
        <f aca="false">ROUND($B$2*(A1022+1)^2.4*1.004^A1022,0)</f>
        <v>86302445732</v>
      </c>
      <c r="D1022" s="6" t="n">
        <f aca="false">ROUND($D$2*(A1022+1)^2.4*1.004^A1022,0)</f>
        <v>76713285095</v>
      </c>
      <c r="E1022" s="6" t="n">
        <f aca="false">ROUND($F$2*(A1022+1)^2.4*1.004^A1022,0)</f>
        <v>67124124458</v>
      </c>
      <c r="F1022" s="6" t="n">
        <f aca="false">ROUND(Building_Levels!$I$2*(A1022+1)^1.9*1.003^A1022,2)</f>
        <v>4712.28</v>
      </c>
      <c r="G1022" s="6" t="n">
        <f aca="false">ROUND((A1022+1)^1.12,1)</f>
        <v>2337.1</v>
      </c>
    </row>
    <row r="1023" customFormat="false" ht="15" hidden="false" customHeight="true" outlineLevel="0" collapsed="false">
      <c r="A1023" s="6" t="n">
        <v>1018</v>
      </c>
      <c r="B1023" s="6" t="n">
        <f aca="false">MIN(42, FLOOR(A1023/32,1)+1)</f>
        <v>32</v>
      </c>
      <c r="C1023" s="6" t="n">
        <f aca="false">ROUND($B$2*(A1023+1)^2.4*1.004^A1023,0)</f>
        <v>86852073379</v>
      </c>
      <c r="D1023" s="6" t="n">
        <f aca="false">ROUND($D$2*(A1023+1)^2.4*1.004^A1023,0)</f>
        <v>77201843004</v>
      </c>
      <c r="E1023" s="6" t="n">
        <f aca="false">ROUND($F$2*(A1023+1)^2.4*1.004^A1023,0)</f>
        <v>67551612628</v>
      </c>
      <c r="F1023" s="6" t="n">
        <f aca="false">ROUND(Building_Levels!$I$2*(A1023+1)^1.9*1.003^A1023,2)</f>
        <v>4735.24</v>
      </c>
      <c r="G1023" s="6" t="n">
        <f aca="false">ROUND((A1023+1)^1.12,1)</f>
        <v>2339.7</v>
      </c>
    </row>
    <row r="1024" customFormat="false" ht="15" hidden="false" customHeight="true" outlineLevel="0" collapsed="false">
      <c r="A1024" s="6" t="n">
        <v>1019</v>
      </c>
      <c r="B1024" s="6" t="n">
        <f aca="false">MIN(42, FLOOR(A1024/32,1)+1)</f>
        <v>32</v>
      </c>
      <c r="C1024" s="6" t="n">
        <f aca="false">ROUND($B$2*(A1024+1)^2.4*1.004^A1024,0)</f>
        <v>87404999375</v>
      </c>
      <c r="D1024" s="6" t="n">
        <f aca="false">ROUND($D$2*(A1024+1)^2.4*1.004^A1024,0)</f>
        <v>77693332778</v>
      </c>
      <c r="E1024" s="6" t="n">
        <f aca="false">ROUND($F$2*(A1024+1)^2.4*1.004^A1024,0)</f>
        <v>67981666180</v>
      </c>
      <c r="F1024" s="6" t="n">
        <f aca="false">ROUND(Building_Levels!$I$2*(A1024+1)^1.9*1.003^A1024,2)</f>
        <v>4758.3</v>
      </c>
      <c r="G1024" s="6" t="n">
        <f aca="false">ROUND((A1024+1)^1.12,1)</f>
        <v>2342.2</v>
      </c>
    </row>
    <row r="1025" customFormat="false" ht="15" hidden="false" customHeight="true" outlineLevel="0" collapsed="false">
      <c r="A1025" s="6" t="n">
        <v>1020</v>
      </c>
      <c r="B1025" s="6" t="n">
        <f aca="false">MIN(42, FLOOR(A1025/32,1)+1)</f>
        <v>32</v>
      </c>
      <c r="C1025" s="6" t="n">
        <f aca="false">ROUND($B$2*(A1025+1)^2.4*1.004^A1025,0)</f>
        <v>87961242551</v>
      </c>
      <c r="D1025" s="6" t="n">
        <f aca="false">ROUND($D$2*(A1025+1)^2.4*1.004^A1025,0)</f>
        <v>78187771157</v>
      </c>
      <c r="E1025" s="6" t="n">
        <f aca="false">ROUND($F$2*(A1025+1)^2.4*1.004^A1025,0)</f>
        <v>68414299762</v>
      </c>
      <c r="F1025" s="6" t="n">
        <f aca="false">ROUND(Building_Levels!$I$2*(A1025+1)^1.9*1.003^A1025,2)</f>
        <v>4781.47</v>
      </c>
      <c r="G1025" s="6" t="n">
        <f aca="false">ROUND((A1025+1)^1.12,1)</f>
        <v>2344.8</v>
      </c>
    </row>
    <row r="1026" customFormat="false" ht="15" hidden="false" customHeight="true" outlineLevel="0" collapsed="false">
      <c r="A1026" s="6" t="n">
        <v>1021</v>
      </c>
      <c r="B1026" s="6" t="n">
        <f aca="false">MIN(42, FLOOR(A1026/32,1)+1)</f>
        <v>32</v>
      </c>
      <c r="C1026" s="6" t="n">
        <f aca="false">ROUND($B$2*(A1026+1)^2.4*1.004^A1026,0)</f>
        <v>88520821844</v>
      </c>
      <c r="D1026" s="6" t="n">
        <f aca="false">ROUND($D$2*(A1026+1)^2.4*1.004^A1026,0)</f>
        <v>78685174972</v>
      </c>
      <c r="E1026" s="6" t="n">
        <f aca="false">ROUND($F$2*(A1026+1)^2.4*1.004^A1026,0)</f>
        <v>68849528101</v>
      </c>
      <c r="F1026" s="6" t="n">
        <f aca="false">ROUND(Building_Levels!$I$2*(A1026+1)^1.9*1.003^A1026,2)</f>
        <v>4804.75</v>
      </c>
      <c r="G1026" s="6" t="n">
        <f aca="false">ROUND((A1026+1)^1.12,1)</f>
        <v>2347.4</v>
      </c>
    </row>
    <row r="1027" customFormat="false" ht="15" hidden="false" customHeight="true" outlineLevel="0" collapsed="false">
      <c r="A1027" s="6" t="n">
        <v>1022</v>
      </c>
      <c r="B1027" s="6" t="n">
        <f aca="false">MIN(42, FLOOR(A1027/32,1)+1)</f>
        <v>32</v>
      </c>
      <c r="C1027" s="6" t="n">
        <f aca="false">ROUND($B$2*(A1027+1)^2.4*1.004^A1027,0)</f>
        <v>89083756293</v>
      </c>
      <c r="D1027" s="6" t="n">
        <f aca="false">ROUND($D$2*(A1027+1)^2.4*1.004^A1027,0)</f>
        <v>79185561149</v>
      </c>
      <c r="E1027" s="6" t="n">
        <f aca="false">ROUND($F$2*(A1027+1)^2.4*1.004^A1027,0)</f>
        <v>69287366006</v>
      </c>
      <c r="F1027" s="6" t="n">
        <f aca="false">ROUND(Building_Levels!$I$2*(A1027+1)^1.9*1.003^A1027,2)</f>
        <v>4828.12</v>
      </c>
      <c r="G1027" s="6" t="n">
        <f aca="false">ROUND((A1027+1)^1.12,1)</f>
        <v>2350</v>
      </c>
    </row>
    <row r="1028" customFormat="false" ht="15" hidden="false" customHeight="true" outlineLevel="0" collapsed="false">
      <c r="A1028" s="6" t="n">
        <v>1023</v>
      </c>
      <c r="B1028" s="6" t="n">
        <f aca="false">MIN(42, FLOOR(A1028/32,1)+1)</f>
        <v>32</v>
      </c>
      <c r="C1028" s="6" t="n">
        <f aca="false">ROUND($B$2*(A1028+1)^2.4*1.004^A1028,0)</f>
        <v>89650065042</v>
      </c>
      <c r="D1028" s="6" t="n">
        <f aca="false">ROUND($D$2*(A1028+1)^2.4*1.004^A1028,0)</f>
        <v>79688946704</v>
      </c>
      <c r="E1028" s="6" t="n">
        <f aca="false">ROUND($F$2*(A1028+1)^2.4*1.004^A1028,0)</f>
        <v>69727828366</v>
      </c>
      <c r="F1028" s="6" t="n">
        <f aca="false">ROUND(Building_Levels!$I$2*(A1028+1)^1.9*1.003^A1028,2)</f>
        <v>4851.61</v>
      </c>
      <c r="G1028" s="6" t="n">
        <f aca="false">ROUND((A1028+1)^1.12,1)</f>
        <v>2352.5</v>
      </c>
    </row>
    <row r="1029" customFormat="false" ht="15" hidden="false" customHeight="true" outlineLevel="0" collapsed="false">
      <c r="A1029" s="6" t="n">
        <v>1024</v>
      </c>
      <c r="B1029" s="6" t="n">
        <f aca="false">MIN(42, FLOOR(A1029/32,1)+1)</f>
        <v>33</v>
      </c>
      <c r="C1029" s="6" t="n">
        <f aca="false">ROUND($B$2*(A1029+1)^2.4*1.004^A1029,0)</f>
        <v>90219767340</v>
      </c>
      <c r="D1029" s="6" t="n">
        <f aca="false">ROUND($D$2*(A1029+1)^2.4*1.004^A1029,0)</f>
        <v>80195348746</v>
      </c>
      <c r="E1029" s="6" t="n">
        <f aca="false">ROUND($F$2*(A1029+1)^2.4*1.004^A1029,0)</f>
        <v>70170930153</v>
      </c>
      <c r="F1029" s="6" t="n">
        <f aca="false">ROUND(Building_Levels!$I$2*(A1029+1)^1.9*1.003^A1029,2)</f>
        <v>4875.19</v>
      </c>
      <c r="G1029" s="6" t="n">
        <f aca="false">ROUND((A1029+1)^1.12,1)</f>
        <v>2355.1</v>
      </c>
    </row>
    <row r="1030" customFormat="false" ht="15" hidden="false" customHeight="true" outlineLevel="0" collapsed="false">
      <c r="A1030" s="6" t="n">
        <v>1025</v>
      </c>
      <c r="B1030" s="6" t="n">
        <f aca="false">MIN(42, FLOOR(A1030/32,1)+1)</f>
        <v>33</v>
      </c>
      <c r="C1030" s="6" t="n">
        <f aca="false">ROUND($B$2*(A1030+1)^2.4*1.004^A1030,0)</f>
        <v>90792882540</v>
      </c>
      <c r="D1030" s="6" t="n">
        <f aca="false">ROUND($D$2*(A1030+1)^2.4*1.004^A1030,0)</f>
        <v>80704784480</v>
      </c>
      <c r="E1030" s="6" t="n">
        <f aca="false">ROUND($F$2*(A1030+1)^2.4*1.004^A1030,0)</f>
        <v>70616686420</v>
      </c>
      <c r="F1030" s="6" t="n">
        <f aca="false">ROUND(Building_Levels!$I$2*(A1030+1)^1.9*1.003^A1030,2)</f>
        <v>4898.89</v>
      </c>
      <c r="G1030" s="6" t="n">
        <f aca="false">ROUND((A1030+1)^1.12,1)</f>
        <v>2357.7</v>
      </c>
    </row>
    <row r="1031" customFormat="false" ht="15" hidden="false" customHeight="true" outlineLevel="0" collapsed="false">
      <c r="A1031" s="6" t="n">
        <v>1026</v>
      </c>
      <c r="B1031" s="6" t="n">
        <f aca="false">MIN(42, FLOOR(A1031/32,1)+1)</f>
        <v>33</v>
      </c>
      <c r="C1031" s="6" t="n">
        <f aca="false">ROUND($B$2*(A1031+1)^2.4*1.004^A1031,0)</f>
        <v>91369430104</v>
      </c>
      <c r="D1031" s="6" t="n">
        <f aca="false">ROUND($D$2*(A1031+1)^2.4*1.004^A1031,0)</f>
        <v>81217271204</v>
      </c>
      <c r="E1031" s="6" t="n">
        <f aca="false">ROUND($F$2*(A1031+1)^2.4*1.004^A1031,0)</f>
        <v>71065112303</v>
      </c>
      <c r="F1031" s="6" t="n">
        <f aca="false">ROUND(Building_Levels!$I$2*(A1031+1)^1.9*1.003^A1031,2)</f>
        <v>4922.69</v>
      </c>
      <c r="G1031" s="6" t="n">
        <f aca="false">ROUND((A1031+1)^1.12,1)</f>
        <v>2360.3</v>
      </c>
    </row>
    <row r="1032" customFormat="false" ht="15" hidden="false" customHeight="true" outlineLevel="0" collapsed="false">
      <c r="A1032" s="6" t="n">
        <v>1027</v>
      </c>
      <c r="B1032" s="6" t="n">
        <f aca="false">MIN(42, FLOOR(A1032/32,1)+1)</f>
        <v>33</v>
      </c>
      <c r="C1032" s="6" t="n">
        <f aca="false">ROUND($B$2*(A1032+1)^2.4*1.004^A1032,0)</f>
        <v>91949429598</v>
      </c>
      <c r="D1032" s="6" t="n">
        <f aca="false">ROUND($D$2*(A1032+1)^2.4*1.004^A1032,0)</f>
        <v>81732826309</v>
      </c>
      <c r="E1032" s="6" t="n">
        <f aca="false">ROUND($F$2*(A1032+1)^2.4*1.004^A1032,0)</f>
        <v>71516223020</v>
      </c>
      <c r="F1032" s="6" t="n">
        <f aca="false">ROUND(Building_Levels!$I$2*(A1032+1)^1.9*1.003^A1032,2)</f>
        <v>4946.59</v>
      </c>
      <c r="G1032" s="6" t="n">
        <f aca="false">ROUND((A1032+1)^1.12,1)</f>
        <v>2362.8</v>
      </c>
    </row>
    <row r="1033" customFormat="false" ht="15" hidden="false" customHeight="true" outlineLevel="0" collapsed="false">
      <c r="A1033" s="6" t="n">
        <v>1028</v>
      </c>
      <c r="B1033" s="6" t="n">
        <f aca="false">MIN(42, FLOOR(A1033/32,1)+1)</f>
        <v>33</v>
      </c>
      <c r="C1033" s="6" t="n">
        <f aca="false">ROUND($B$2*(A1033+1)^2.4*1.004^A1033,0)</f>
        <v>92532900695</v>
      </c>
      <c r="D1033" s="6" t="n">
        <f aca="false">ROUND($D$2*(A1033+1)^2.4*1.004^A1033,0)</f>
        <v>82251467285</v>
      </c>
      <c r="E1033" s="6" t="n">
        <f aca="false">ROUND($F$2*(A1033+1)^2.4*1.004^A1033,0)</f>
        <v>71970033874</v>
      </c>
      <c r="F1033" s="6" t="n">
        <f aca="false">ROUND(Building_Levels!$I$2*(A1033+1)^1.9*1.003^A1033,2)</f>
        <v>4970.61</v>
      </c>
      <c r="G1033" s="6" t="n">
        <f aca="false">ROUND((A1033+1)^1.12,1)</f>
        <v>2365.4</v>
      </c>
    </row>
    <row r="1034" customFormat="false" ht="15" hidden="false" customHeight="true" outlineLevel="0" collapsed="false">
      <c r="A1034" s="6" t="n">
        <v>1029</v>
      </c>
      <c r="B1034" s="6" t="n">
        <f aca="false">MIN(42, FLOOR(A1034/32,1)+1)</f>
        <v>33</v>
      </c>
      <c r="C1034" s="6" t="n">
        <f aca="false">ROUND($B$2*(A1034+1)^2.4*1.004^A1034,0)</f>
        <v>93119863178</v>
      </c>
      <c r="D1034" s="6" t="n">
        <f aca="false">ROUND($D$2*(A1034+1)^2.4*1.004^A1034,0)</f>
        <v>82773211714</v>
      </c>
      <c r="E1034" s="6" t="n">
        <f aca="false">ROUND($F$2*(A1034+1)^2.4*1.004^A1034,0)</f>
        <v>72426560250</v>
      </c>
      <c r="F1034" s="6" t="n">
        <f aca="false">ROUND(Building_Levels!$I$2*(A1034+1)^1.9*1.003^A1034,2)</f>
        <v>4994.73</v>
      </c>
      <c r="G1034" s="6" t="n">
        <f aca="false">ROUND((A1034+1)^1.12,1)</f>
        <v>2368</v>
      </c>
    </row>
    <row r="1035" customFormat="false" ht="15" hidden="false" customHeight="true" outlineLevel="0" collapsed="false">
      <c r="A1035" s="6" t="n">
        <v>1030</v>
      </c>
      <c r="B1035" s="6" t="n">
        <f aca="false">MIN(42, FLOOR(A1035/32,1)+1)</f>
        <v>33</v>
      </c>
      <c r="C1035" s="6" t="n">
        <f aca="false">ROUND($B$2*(A1035+1)^2.4*1.004^A1035,0)</f>
        <v>93710336936</v>
      </c>
      <c r="D1035" s="6" t="n">
        <f aca="false">ROUND($D$2*(A1035+1)^2.4*1.004^A1035,0)</f>
        <v>83298077277</v>
      </c>
      <c r="E1035" s="6" t="n">
        <f aca="false">ROUND($F$2*(A1035+1)^2.4*1.004^A1035,0)</f>
        <v>72885817617</v>
      </c>
      <c r="F1035" s="6" t="n">
        <f aca="false">ROUND(Building_Levels!$I$2*(A1035+1)^1.9*1.003^A1035,2)</f>
        <v>5018.96</v>
      </c>
      <c r="G1035" s="6" t="n">
        <f aca="false">ROUND((A1035+1)^1.12,1)</f>
        <v>2370.6</v>
      </c>
    </row>
    <row r="1036" customFormat="false" ht="15" hidden="false" customHeight="true" outlineLevel="0" collapsed="false">
      <c r="A1036" s="6" t="n">
        <v>1031</v>
      </c>
      <c r="B1036" s="6" t="n">
        <f aca="false">MIN(42, FLOOR(A1036/32,1)+1)</f>
        <v>33</v>
      </c>
      <c r="C1036" s="6" t="n">
        <f aca="false">ROUND($B$2*(A1036+1)^2.4*1.004^A1036,0)</f>
        <v>94304341968</v>
      </c>
      <c r="D1036" s="6" t="n">
        <f aca="false">ROUND($D$2*(A1036+1)^2.4*1.004^A1036,0)</f>
        <v>83826081749</v>
      </c>
      <c r="E1036" s="6" t="n">
        <f aca="false">ROUND($F$2*(A1036+1)^2.4*1.004^A1036,0)</f>
        <v>73347821531</v>
      </c>
      <c r="F1036" s="6" t="n">
        <f aca="false">ROUND(Building_Levels!$I$2*(A1036+1)^1.9*1.003^A1036,2)</f>
        <v>5043.3</v>
      </c>
      <c r="G1036" s="6" t="n">
        <f aca="false">ROUND((A1036+1)^1.12,1)</f>
        <v>2373.1</v>
      </c>
    </row>
    <row r="1037" customFormat="false" ht="15" hidden="false" customHeight="true" outlineLevel="0" collapsed="false">
      <c r="A1037" s="6" t="n">
        <v>1032</v>
      </c>
      <c r="B1037" s="6" t="n">
        <f aca="false">MIN(42, FLOOR(A1037/32,1)+1)</f>
        <v>33</v>
      </c>
      <c r="C1037" s="6" t="n">
        <f aca="false">ROUND($B$2*(A1037+1)^2.4*1.004^A1037,0)</f>
        <v>94901898381</v>
      </c>
      <c r="D1037" s="6" t="n">
        <f aca="false">ROUND($D$2*(A1037+1)^2.4*1.004^A1037,0)</f>
        <v>84357243006</v>
      </c>
      <c r="E1037" s="6" t="n">
        <f aca="false">ROUND($F$2*(A1037+1)^2.4*1.004^A1037,0)</f>
        <v>73812587630</v>
      </c>
      <c r="F1037" s="6" t="n">
        <f aca="false">ROUND(Building_Levels!$I$2*(A1037+1)^1.9*1.003^A1037,2)</f>
        <v>5067.74</v>
      </c>
      <c r="G1037" s="6" t="n">
        <f aca="false">ROUND((A1037+1)^1.12,1)</f>
        <v>2375.7</v>
      </c>
    </row>
    <row r="1038" customFormat="false" ht="15" hidden="false" customHeight="true" outlineLevel="0" collapsed="false">
      <c r="A1038" s="6" t="n">
        <v>1033</v>
      </c>
      <c r="B1038" s="6" t="n">
        <f aca="false">MIN(42, FLOOR(A1038/32,1)+1)</f>
        <v>33</v>
      </c>
      <c r="C1038" s="6" t="n">
        <f aca="false">ROUND($B$2*(A1038+1)^2.4*1.004^A1038,0)</f>
        <v>95503026395</v>
      </c>
      <c r="D1038" s="6" t="n">
        <f aca="false">ROUND($D$2*(A1038+1)^2.4*1.004^A1038,0)</f>
        <v>84891579017</v>
      </c>
      <c r="E1038" s="6" t="n">
        <f aca="false">ROUND($F$2*(A1038+1)^2.4*1.004^A1038,0)</f>
        <v>74280131640</v>
      </c>
      <c r="F1038" s="6" t="n">
        <f aca="false">ROUND(Building_Levels!$I$2*(A1038+1)^1.9*1.003^A1038,2)</f>
        <v>5092.3</v>
      </c>
      <c r="G1038" s="6" t="n">
        <f aca="false">ROUND((A1038+1)^1.12,1)</f>
        <v>2378.3</v>
      </c>
    </row>
    <row r="1039" customFormat="false" ht="15" hidden="false" customHeight="true" outlineLevel="0" collapsed="false">
      <c r="A1039" s="6" t="n">
        <v>1034</v>
      </c>
      <c r="B1039" s="6" t="n">
        <f aca="false">MIN(42, FLOOR(A1039/32,1)+1)</f>
        <v>33</v>
      </c>
      <c r="C1039" s="6" t="n">
        <f aca="false">ROUND($B$2*(A1039+1)^2.4*1.004^A1039,0)</f>
        <v>96107746336</v>
      </c>
      <c r="D1039" s="6" t="n">
        <f aca="false">ROUND($D$2*(A1039+1)^2.4*1.004^A1039,0)</f>
        <v>85429107854</v>
      </c>
      <c r="E1039" s="6" t="n">
        <f aca="false">ROUND($F$2*(A1039+1)^2.4*1.004^A1039,0)</f>
        <v>74750469373</v>
      </c>
      <c r="F1039" s="6" t="n">
        <f aca="false">ROUND(Building_Levels!$I$2*(A1039+1)^1.9*1.003^A1039,2)</f>
        <v>5116.97</v>
      </c>
      <c r="G1039" s="6" t="n">
        <f aca="false">ROUND((A1039+1)^1.12,1)</f>
        <v>2380.9</v>
      </c>
    </row>
    <row r="1040" customFormat="false" ht="15" hidden="false" customHeight="true" outlineLevel="0" collapsed="false">
      <c r="A1040" s="6" t="n">
        <v>1035</v>
      </c>
      <c r="B1040" s="6" t="n">
        <f aca="false">MIN(42, FLOOR(A1040/32,1)+1)</f>
        <v>33</v>
      </c>
      <c r="C1040" s="6" t="n">
        <f aca="false">ROUND($B$2*(A1040+1)^2.4*1.004^A1040,0)</f>
        <v>96716078646</v>
      </c>
      <c r="D1040" s="6" t="n">
        <f aca="false">ROUND($D$2*(A1040+1)^2.4*1.004^A1040,0)</f>
        <v>85969847685</v>
      </c>
      <c r="E1040" s="6" t="n">
        <f aca="false">ROUND($F$2*(A1040+1)^2.4*1.004^A1040,0)</f>
        <v>75223616725</v>
      </c>
      <c r="F1040" s="6" t="n">
        <f aca="false">ROUND(Building_Levels!$I$2*(A1040+1)^1.9*1.003^A1040,2)</f>
        <v>5141.74</v>
      </c>
      <c r="G1040" s="6" t="n">
        <f aca="false">ROUND((A1040+1)^1.12,1)</f>
        <v>2383.4</v>
      </c>
    </row>
    <row r="1041" customFormat="false" ht="15" hidden="false" customHeight="true" outlineLevel="0" collapsed="false">
      <c r="A1041" s="6" t="n">
        <v>1036</v>
      </c>
      <c r="B1041" s="6" t="n">
        <f aca="false">MIN(42, FLOOR(A1041/32,1)+1)</f>
        <v>33</v>
      </c>
      <c r="C1041" s="6" t="n">
        <f aca="false">ROUND($B$2*(A1041+1)^2.4*1.004^A1041,0)</f>
        <v>97328043875</v>
      </c>
      <c r="D1041" s="6" t="n">
        <f aca="false">ROUND($D$2*(A1041+1)^2.4*1.004^A1041,0)</f>
        <v>86513816778</v>
      </c>
      <c r="E1041" s="6" t="n">
        <f aca="false">ROUND($F$2*(A1041+1)^2.4*1.004^A1041,0)</f>
        <v>75699589681</v>
      </c>
      <c r="F1041" s="6" t="n">
        <f aca="false">ROUND(Building_Levels!$I$2*(A1041+1)^1.9*1.003^A1041,2)</f>
        <v>5166.63</v>
      </c>
      <c r="G1041" s="6" t="n">
        <f aca="false">ROUND((A1041+1)^1.12,1)</f>
        <v>2386</v>
      </c>
    </row>
    <row r="1042" customFormat="false" ht="15" hidden="false" customHeight="true" outlineLevel="0" collapsed="false">
      <c r="A1042" s="6" t="n">
        <v>1037</v>
      </c>
      <c r="B1042" s="6" t="n">
        <f aca="false">MIN(42, FLOOR(A1042/32,1)+1)</f>
        <v>33</v>
      </c>
      <c r="C1042" s="6" t="n">
        <f aca="false">ROUND($B$2*(A1042+1)^2.4*1.004^A1042,0)</f>
        <v>97943662688</v>
      </c>
      <c r="D1042" s="6" t="n">
        <f aca="false">ROUND($D$2*(A1042+1)^2.4*1.004^A1042,0)</f>
        <v>87061033500</v>
      </c>
      <c r="E1042" s="6" t="n">
        <f aca="false">ROUND($F$2*(A1042+1)^2.4*1.004^A1042,0)</f>
        <v>76178404313</v>
      </c>
      <c r="F1042" s="6" t="n">
        <f aca="false">ROUND(Building_Levels!$I$2*(A1042+1)^1.9*1.003^A1042,2)</f>
        <v>5191.63</v>
      </c>
      <c r="G1042" s="6" t="n">
        <f aca="false">ROUND((A1042+1)^1.12,1)</f>
        <v>2388.6</v>
      </c>
    </row>
    <row r="1043" customFormat="false" ht="15" hidden="false" customHeight="true" outlineLevel="0" collapsed="false">
      <c r="A1043" s="6" t="n">
        <v>1038</v>
      </c>
      <c r="B1043" s="6" t="n">
        <f aca="false">MIN(42, FLOOR(A1043/32,1)+1)</f>
        <v>33</v>
      </c>
      <c r="C1043" s="6" t="n">
        <f aca="false">ROUND($B$2*(A1043+1)^2.4*1.004^A1043,0)</f>
        <v>98562955860</v>
      </c>
      <c r="D1043" s="6" t="n">
        <f aca="false">ROUND($D$2*(A1043+1)^2.4*1.004^A1043,0)</f>
        <v>87611516320</v>
      </c>
      <c r="E1043" s="6" t="n">
        <f aca="false">ROUND($F$2*(A1043+1)^2.4*1.004^A1043,0)</f>
        <v>76660076780</v>
      </c>
      <c r="F1043" s="6" t="n">
        <f aca="false">ROUND(Building_Levels!$I$2*(A1043+1)^1.9*1.003^A1043,2)</f>
        <v>5216.74</v>
      </c>
      <c r="G1043" s="6" t="n">
        <f aca="false">ROUND((A1043+1)^1.12,1)</f>
        <v>2391.2</v>
      </c>
    </row>
    <row r="1044" customFormat="false" ht="15" hidden="false" customHeight="true" outlineLevel="0" collapsed="false">
      <c r="A1044" s="6" t="n">
        <v>1039</v>
      </c>
      <c r="B1044" s="6" t="n">
        <f aca="false">MIN(42, FLOOR(A1044/32,1)+1)</f>
        <v>33</v>
      </c>
      <c r="C1044" s="6" t="n">
        <f aca="false">ROUND($B$2*(A1044+1)^2.4*1.004^A1044,0)</f>
        <v>99185944283</v>
      </c>
      <c r="D1044" s="6" t="n">
        <f aca="false">ROUND($D$2*(A1044+1)^2.4*1.004^A1044,0)</f>
        <v>88165283807</v>
      </c>
      <c r="E1044" s="6" t="n">
        <f aca="false">ROUND($F$2*(A1044+1)^2.4*1.004^A1044,0)</f>
        <v>77144623331</v>
      </c>
      <c r="F1044" s="6" t="n">
        <f aca="false">ROUND(Building_Levels!$I$2*(A1044+1)^1.9*1.003^A1044,2)</f>
        <v>5241.96</v>
      </c>
      <c r="G1044" s="6" t="n">
        <f aca="false">ROUND((A1044+1)^1.12,1)</f>
        <v>2393.7</v>
      </c>
    </row>
    <row r="1045" customFormat="false" ht="15" hidden="false" customHeight="true" outlineLevel="0" collapsed="false">
      <c r="A1045" s="6" t="n">
        <v>1040</v>
      </c>
      <c r="B1045" s="6" t="n">
        <f aca="false">MIN(42, FLOOR(A1045/32,1)+1)</f>
        <v>33</v>
      </c>
      <c r="C1045" s="6" t="n">
        <f aca="false">ROUND($B$2*(A1045+1)^2.4*1.004^A1045,0)</f>
        <v>99812648961</v>
      </c>
      <c r="D1045" s="6" t="n">
        <f aca="false">ROUND($D$2*(A1045+1)^2.4*1.004^A1045,0)</f>
        <v>88722354632</v>
      </c>
      <c r="E1045" s="6" t="n">
        <f aca="false">ROUND($F$2*(A1045+1)^2.4*1.004^A1045,0)</f>
        <v>77632060303</v>
      </c>
      <c r="F1045" s="6" t="n">
        <f aca="false">ROUND(Building_Levels!$I$2*(A1045+1)^1.9*1.003^A1045,2)</f>
        <v>5267.3</v>
      </c>
      <c r="G1045" s="6" t="n">
        <f aca="false">ROUND((A1045+1)^1.12,1)</f>
        <v>2396.3</v>
      </c>
    </row>
    <row r="1046" customFormat="false" ht="15" hidden="false" customHeight="true" outlineLevel="0" collapsed="false">
      <c r="A1046" s="6" t="n">
        <v>1041</v>
      </c>
      <c r="B1046" s="6" t="n">
        <f aca="false">MIN(42, FLOOR(A1046/32,1)+1)</f>
        <v>33</v>
      </c>
      <c r="C1046" s="6" t="n">
        <f aca="false">ROUND($B$2*(A1046+1)^2.4*1.004^A1046,0)</f>
        <v>100443091012</v>
      </c>
      <c r="D1046" s="6" t="n">
        <f aca="false">ROUND($D$2*(A1046+1)^2.4*1.004^A1046,0)</f>
        <v>89282747566</v>
      </c>
      <c r="E1046" s="6" t="n">
        <f aca="false">ROUND($F$2*(A1046+1)^2.4*1.004^A1046,0)</f>
        <v>78122404120</v>
      </c>
      <c r="F1046" s="6" t="n">
        <f aca="false">ROUND(Building_Levels!$I$2*(A1046+1)^1.9*1.003^A1046,2)</f>
        <v>5292.75</v>
      </c>
      <c r="G1046" s="6" t="n">
        <f aca="false">ROUND((A1046+1)^1.12,1)</f>
        <v>2398.9</v>
      </c>
    </row>
    <row r="1047" customFormat="false" ht="15" hidden="false" customHeight="true" outlineLevel="0" collapsed="false">
      <c r="A1047" s="6" t="n">
        <v>1042</v>
      </c>
      <c r="B1047" s="6" t="n">
        <f aca="false">MIN(42, FLOOR(A1047/32,1)+1)</f>
        <v>33</v>
      </c>
      <c r="C1047" s="6" t="n">
        <f aca="false">ROUND($B$2*(A1047+1)^2.4*1.004^A1047,0)</f>
        <v>101077291671</v>
      </c>
      <c r="D1047" s="6" t="n">
        <f aca="false">ROUND($D$2*(A1047+1)^2.4*1.004^A1047,0)</f>
        <v>89846481485</v>
      </c>
      <c r="E1047" s="6" t="n">
        <f aca="false">ROUND($F$2*(A1047+1)^2.4*1.004^A1047,0)</f>
        <v>78615671300</v>
      </c>
      <c r="F1047" s="6" t="n">
        <f aca="false">ROUND(Building_Levels!$I$2*(A1047+1)^1.9*1.003^A1047,2)</f>
        <v>5318.31</v>
      </c>
      <c r="G1047" s="6" t="n">
        <f aca="false">ROUND((A1047+1)^1.12,1)</f>
        <v>2401.5</v>
      </c>
    </row>
    <row r="1048" customFormat="false" ht="15" hidden="false" customHeight="true" outlineLevel="0" collapsed="false">
      <c r="A1048" s="6" t="n">
        <v>1043</v>
      </c>
      <c r="B1048" s="6" t="n">
        <f aca="false">MIN(42, FLOOR(A1048/32,1)+1)</f>
        <v>33</v>
      </c>
      <c r="C1048" s="6" t="n">
        <f aca="false">ROUND($B$2*(A1048+1)^2.4*1.004^A1048,0)</f>
        <v>101715272288</v>
      </c>
      <c r="D1048" s="6" t="n">
        <f aca="false">ROUND($D$2*(A1048+1)^2.4*1.004^A1048,0)</f>
        <v>90413575367</v>
      </c>
      <c r="E1048" s="6" t="n">
        <f aca="false">ROUND($F$2*(A1048+1)^2.4*1.004^A1048,0)</f>
        <v>79111878446</v>
      </c>
      <c r="F1048" s="6" t="n">
        <f aca="false">ROUND(Building_Levels!$I$2*(A1048+1)^1.9*1.003^A1048,2)</f>
        <v>5343.98</v>
      </c>
      <c r="G1048" s="6" t="n">
        <f aca="false">ROUND((A1048+1)^1.12,1)</f>
        <v>2404.1</v>
      </c>
    </row>
    <row r="1049" customFormat="false" ht="15" hidden="false" customHeight="true" outlineLevel="0" collapsed="false">
      <c r="A1049" s="6" t="n">
        <v>1044</v>
      </c>
      <c r="B1049" s="6" t="n">
        <f aca="false">MIN(42, FLOOR(A1049/32,1)+1)</f>
        <v>33</v>
      </c>
      <c r="C1049" s="6" t="n">
        <f aca="false">ROUND($B$2*(A1049+1)^2.4*1.004^A1049,0)</f>
        <v>102357054331</v>
      </c>
      <c r="D1049" s="6" t="n">
        <f aca="false">ROUND($D$2*(A1049+1)^2.4*1.004^A1049,0)</f>
        <v>90984048294</v>
      </c>
      <c r="E1049" s="6" t="n">
        <f aca="false">ROUND($F$2*(A1049+1)^2.4*1.004^A1049,0)</f>
        <v>79611042258</v>
      </c>
      <c r="F1049" s="6" t="n">
        <f aca="false">ROUND(Building_Levels!$I$2*(A1049+1)^1.9*1.003^A1049,2)</f>
        <v>5369.78</v>
      </c>
      <c r="G1049" s="6" t="n">
        <f aca="false">ROUND((A1049+1)^1.12,1)</f>
        <v>2406.6</v>
      </c>
    </row>
    <row r="1050" customFormat="false" ht="15" hidden="false" customHeight="true" outlineLevel="0" collapsed="false">
      <c r="A1050" s="6" t="n">
        <v>1045</v>
      </c>
      <c r="B1050" s="6" t="n">
        <f aca="false">MIN(42, FLOOR(A1050/32,1)+1)</f>
        <v>33</v>
      </c>
      <c r="C1050" s="6" t="n">
        <f aca="false">ROUND($B$2*(A1050+1)^2.4*1.004^A1050,0)</f>
        <v>103002659383</v>
      </c>
      <c r="D1050" s="6" t="n">
        <f aca="false">ROUND($D$2*(A1050+1)^2.4*1.004^A1050,0)</f>
        <v>91557919452</v>
      </c>
      <c r="E1050" s="6" t="n">
        <f aca="false">ROUND($F$2*(A1050+1)^2.4*1.004^A1050,0)</f>
        <v>80113179520</v>
      </c>
      <c r="F1050" s="6" t="n">
        <f aca="false">ROUND(Building_Levels!$I$2*(A1050+1)^1.9*1.003^A1050,2)</f>
        <v>5395.68</v>
      </c>
      <c r="G1050" s="6" t="n">
        <f aca="false">ROUND((A1050+1)^1.12,1)</f>
        <v>2409.2</v>
      </c>
    </row>
    <row r="1051" customFormat="false" ht="15" hidden="false" customHeight="true" outlineLevel="0" collapsed="false">
      <c r="A1051" s="6" t="n">
        <v>1046</v>
      </c>
      <c r="B1051" s="6" t="n">
        <f aca="false">MIN(42, FLOOR(A1051/32,1)+1)</f>
        <v>33</v>
      </c>
      <c r="C1051" s="6" t="n">
        <f aca="false">ROUND($B$2*(A1051+1)^2.4*1.004^A1051,0)</f>
        <v>103652109146</v>
      </c>
      <c r="D1051" s="6" t="n">
        <f aca="false">ROUND($D$2*(A1051+1)^2.4*1.004^A1051,0)</f>
        <v>92135208130</v>
      </c>
      <c r="E1051" s="6" t="n">
        <f aca="false">ROUND($F$2*(A1051+1)^2.4*1.004^A1051,0)</f>
        <v>80618307114</v>
      </c>
      <c r="F1051" s="6" t="n">
        <f aca="false">ROUND(Building_Levels!$I$2*(A1051+1)^1.9*1.003^A1051,2)</f>
        <v>5421.7</v>
      </c>
      <c r="G1051" s="6" t="n">
        <f aca="false">ROUND((A1051+1)^1.12,1)</f>
        <v>2411.8</v>
      </c>
    </row>
    <row r="1052" customFormat="false" ht="15" hidden="false" customHeight="true" outlineLevel="0" collapsed="false">
      <c r="A1052" s="6" t="n">
        <v>1047</v>
      </c>
      <c r="B1052" s="6" t="n">
        <f aca="false">MIN(42, FLOOR(A1052/32,1)+1)</f>
        <v>33</v>
      </c>
      <c r="C1052" s="6" t="n">
        <f aca="false">ROUND($B$2*(A1052+1)^2.4*1.004^A1052,0)</f>
        <v>104305425441</v>
      </c>
      <c r="D1052" s="6" t="n">
        <f aca="false">ROUND($D$2*(A1052+1)^2.4*1.004^A1052,0)</f>
        <v>92715933725</v>
      </c>
      <c r="E1052" s="6" t="n">
        <f aca="false">ROUND($F$2*(A1052+1)^2.4*1.004^A1052,0)</f>
        <v>81126442010</v>
      </c>
      <c r="F1052" s="6" t="n">
        <f aca="false">ROUND(Building_Levels!$I$2*(A1052+1)^1.9*1.003^A1052,2)</f>
        <v>5447.84</v>
      </c>
      <c r="G1052" s="6" t="n">
        <f aca="false">ROUND((A1052+1)^1.12,1)</f>
        <v>2414.4</v>
      </c>
    </row>
    <row r="1053" customFormat="false" ht="15" hidden="false" customHeight="true" outlineLevel="0" collapsed="false">
      <c r="A1053" s="6" t="n">
        <v>1048</v>
      </c>
      <c r="B1053" s="6" t="n">
        <f aca="false">MIN(42, FLOOR(A1053/32,1)+1)</f>
        <v>33</v>
      </c>
      <c r="C1053" s="6" t="n">
        <f aca="false">ROUND($B$2*(A1053+1)^2.4*1.004^A1053,0)</f>
        <v>104962630206</v>
      </c>
      <c r="D1053" s="6" t="n">
        <f aca="false">ROUND($D$2*(A1053+1)^2.4*1.004^A1053,0)</f>
        <v>93300115739</v>
      </c>
      <c r="E1053" s="6" t="n">
        <f aca="false">ROUND($F$2*(A1053+1)^2.4*1.004^A1053,0)</f>
        <v>81637601271</v>
      </c>
      <c r="F1053" s="6" t="n">
        <f aca="false">ROUND(Building_Levels!$I$2*(A1053+1)^1.9*1.003^A1053,2)</f>
        <v>5474.1</v>
      </c>
      <c r="G1053" s="6" t="n">
        <f aca="false">ROUND((A1053+1)^1.12,1)</f>
        <v>2417</v>
      </c>
    </row>
    <row r="1054" customFormat="false" ht="15" hidden="false" customHeight="true" outlineLevel="0" collapsed="false">
      <c r="A1054" s="6" t="n">
        <v>1049</v>
      </c>
      <c r="B1054" s="6" t="n">
        <f aca="false">MIN(42, FLOOR(A1054/32,1)+1)</f>
        <v>33</v>
      </c>
      <c r="C1054" s="6" t="n">
        <f aca="false">ROUND($B$2*(A1054+1)^2.4*1.004^A1054,0)</f>
        <v>105623745501</v>
      </c>
      <c r="D1054" s="6" t="n">
        <f aca="false">ROUND($D$2*(A1054+1)^2.4*1.004^A1054,0)</f>
        <v>93887773779</v>
      </c>
      <c r="E1054" s="6" t="n">
        <f aca="false">ROUND($F$2*(A1054+1)^2.4*1.004^A1054,0)</f>
        <v>82151802056</v>
      </c>
      <c r="F1054" s="6" t="n">
        <f aca="false">ROUND(Building_Levels!$I$2*(A1054+1)^1.9*1.003^A1054,2)</f>
        <v>5500.47</v>
      </c>
      <c r="G1054" s="6" t="n">
        <f aca="false">ROUND((A1054+1)^1.12,1)</f>
        <v>2419.5</v>
      </c>
    </row>
    <row r="1055" customFormat="false" ht="15" hidden="false" customHeight="true" outlineLevel="0" collapsed="false">
      <c r="A1055" s="6" t="n">
        <v>1050</v>
      </c>
      <c r="B1055" s="6" t="n">
        <f aca="false">MIN(42, FLOOR(A1055/32,1)+1)</f>
        <v>33</v>
      </c>
      <c r="C1055" s="6" t="n">
        <f aca="false">ROUND($B$2*(A1055+1)^2.4*1.004^A1055,0)</f>
        <v>106288793505</v>
      </c>
      <c r="D1055" s="6" t="n">
        <f aca="false">ROUND($D$2*(A1055+1)^2.4*1.004^A1055,0)</f>
        <v>94478927560</v>
      </c>
      <c r="E1055" s="6" t="n">
        <f aca="false">ROUND($F$2*(A1055+1)^2.4*1.004^A1055,0)</f>
        <v>82669061615</v>
      </c>
      <c r="F1055" s="6" t="n">
        <f aca="false">ROUND(Building_Levels!$I$2*(A1055+1)^1.9*1.003^A1055,2)</f>
        <v>5526.96</v>
      </c>
      <c r="G1055" s="6" t="n">
        <f aca="false">ROUND((A1055+1)^1.12,1)</f>
        <v>2422.1</v>
      </c>
    </row>
    <row r="1056" customFormat="false" ht="15" hidden="false" customHeight="true" outlineLevel="0" collapsed="false">
      <c r="A1056" s="6" t="n">
        <v>1051</v>
      </c>
      <c r="B1056" s="6" t="n">
        <f aca="false">MIN(42, FLOOR(A1056/32,1)+1)</f>
        <v>33</v>
      </c>
      <c r="C1056" s="6" t="n">
        <f aca="false">ROUND($B$2*(A1056+1)^2.4*1.004^A1056,0)</f>
        <v>106957796517</v>
      </c>
      <c r="D1056" s="6" t="n">
        <f aca="false">ROUND($D$2*(A1056+1)^2.4*1.004^A1056,0)</f>
        <v>95073596904</v>
      </c>
      <c r="E1056" s="6" t="n">
        <f aca="false">ROUND($F$2*(A1056+1)^2.4*1.004^A1056,0)</f>
        <v>83189397291</v>
      </c>
      <c r="F1056" s="6" t="n">
        <f aca="false">ROUND(Building_Levels!$I$2*(A1056+1)^1.9*1.003^A1056,2)</f>
        <v>5553.56</v>
      </c>
      <c r="G1056" s="6" t="n">
        <f aca="false">ROUND((A1056+1)^1.12,1)</f>
        <v>2424.7</v>
      </c>
    </row>
    <row r="1057" customFormat="false" ht="15" hidden="false" customHeight="true" outlineLevel="0" collapsed="false">
      <c r="A1057" s="6" t="n">
        <v>1052</v>
      </c>
      <c r="B1057" s="6" t="n">
        <f aca="false">MIN(42, FLOOR(A1057/32,1)+1)</f>
        <v>33</v>
      </c>
      <c r="C1057" s="6" t="n">
        <f aca="false">ROUND($B$2*(A1057+1)^2.4*1.004^A1057,0)</f>
        <v>107630776960</v>
      </c>
      <c r="D1057" s="6" t="n">
        <f aca="false">ROUND($D$2*(A1057+1)^2.4*1.004^A1057,0)</f>
        <v>95671801743</v>
      </c>
      <c r="E1057" s="6" t="n">
        <f aca="false">ROUND($F$2*(A1057+1)^2.4*1.004^A1057,0)</f>
        <v>83712826525</v>
      </c>
      <c r="F1057" s="6" t="n">
        <f aca="false">ROUND(Building_Levels!$I$2*(A1057+1)^1.9*1.003^A1057,2)</f>
        <v>5580.29</v>
      </c>
      <c r="G1057" s="6" t="n">
        <f aca="false">ROUND((A1057+1)^1.12,1)</f>
        <v>2427.3</v>
      </c>
    </row>
    <row r="1058" customFormat="false" ht="15" hidden="false" customHeight="true" outlineLevel="0" collapsed="false">
      <c r="A1058" s="6" t="n">
        <v>1053</v>
      </c>
      <c r="B1058" s="6" t="n">
        <f aca="false">MIN(42, FLOOR(A1058/32,1)+1)</f>
        <v>33</v>
      </c>
      <c r="C1058" s="6" t="n">
        <f aca="false">ROUND($B$2*(A1058+1)^2.4*1.004^A1058,0)</f>
        <v>108307757378</v>
      </c>
      <c r="D1058" s="6" t="n">
        <f aca="false">ROUND($D$2*(A1058+1)^2.4*1.004^A1058,0)</f>
        <v>96273562114</v>
      </c>
      <c r="E1058" s="6" t="n">
        <f aca="false">ROUND($F$2*(A1058+1)^2.4*1.004^A1058,0)</f>
        <v>84239366850</v>
      </c>
      <c r="F1058" s="6" t="n">
        <f aca="false">ROUND(Building_Levels!$I$2*(A1058+1)^1.9*1.003^A1058,2)</f>
        <v>5607.13</v>
      </c>
      <c r="G1058" s="6" t="n">
        <f aca="false">ROUND((A1058+1)^1.12,1)</f>
        <v>2429.9</v>
      </c>
    </row>
    <row r="1059" customFormat="false" ht="15" hidden="false" customHeight="true" outlineLevel="0" collapsed="false">
      <c r="A1059" s="6" t="n">
        <v>1054</v>
      </c>
      <c r="B1059" s="6" t="n">
        <f aca="false">MIN(42, FLOOR(A1059/32,1)+1)</f>
        <v>33</v>
      </c>
      <c r="C1059" s="6" t="n">
        <f aca="false">ROUND($B$2*(A1059+1)^2.4*1.004^A1059,0)</f>
        <v>108988760438</v>
      </c>
      <c r="D1059" s="6" t="n">
        <f aca="false">ROUND($D$2*(A1059+1)^2.4*1.004^A1059,0)</f>
        <v>96878898167</v>
      </c>
      <c r="E1059" s="6" t="n">
        <f aca="false">ROUND($F$2*(A1059+1)^2.4*1.004^A1059,0)</f>
        <v>84769035896</v>
      </c>
      <c r="F1059" s="6" t="n">
        <f aca="false">ROUND(Building_Levels!$I$2*(A1059+1)^1.9*1.003^A1059,2)</f>
        <v>5634.1</v>
      </c>
      <c r="G1059" s="6" t="n">
        <f aca="false">ROUND((A1059+1)^1.12,1)</f>
        <v>2432.4</v>
      </c>
    </row>
    <row r="1060" customFormat="false" ht="15" hidden="false" customHeight="true" outlineLevel="0" collapsed="false">
      <c r="A1060" s="6" t="n">
        <v>1055</v>
      </c>
      <c r="B1060" s="6" t="n">
        <f aca="false">MIN(42, FLOOR(A1060/32,1)+1)</f>
        <v>33</v>
      </c>
      <c r="C1060" s="6" t="n">
        <f aca="false">ROUND($B$2*(A1060+1)^2.4*1.004^A1060,0)</f>
        <v>109673808929</v>
      </c>
      <c r="D1060" s="6" t="n">
        <f aca="false">ROUND($D$2*(A1060+1)^2.4*1.004^A1060,0)</f>
        <v>97487830159</v>
      </c>
      <c r="E1060" s="6" t="n">
        <f aca="false">ROUND($F$2*(A1060+1)^2.4*1.004^A1060,0)</f>
        <v>85301851389</v>
      </c>
      <c r="F1060" s="6" t="n">
        <f aca="false">ROUND(Building_Levels!$I$2*(A1060+1)^1.9*1.003^A1060,2)</f>
        <v>5661.18</v>
      </c>
      <c r="G1060" s="6" t="n">
        <f aca="false">ROUND((A1060+1)^1.12,1)</f>
        <v>2435</v>
      </c>
    </row>
    <row r="1061" customFormat="false" ht="15" hidden="false" customHeight="true" outlineLevel="0" collapsed="false">
      <c r="A1061" s="6" t="n">
        <v>1056</v>
      </c>
      <c r="B1061" s="6" t="n">
        <f aca="false">MIN(42, FLOOR(A1061/32,1)+1)</f>
        <v>34</v>
      </c>
      <c r="C1061" s="6" t="n">
        <f aca="false">ROUND($B$2*(A1061+1)^2.4*1.004^A1061,0)</f>
        <v>110362925766</v>
      </c>
      <c r="D1061" s="6" t="n">
        <f aca="false">ROUND($D$2*(A1061+1)^2.4*1.004^A1061,0)</f>
        <v>98100378458</v>
      </c>
      <c r="E1061" s="6" t="n">
        <f aca="false">ROUND($F$2*(A1061+1)^2.4*1.004^A1061,0)</f>
        <v>85837831151</v>
      </c>
      <c r="F1061" s="6" t="n">
        <f aca="false">ROUND(Building_Levels!$I$2*(A1061+1)^1.9*1.003^A1061,2)</f>
        <v>5688.38</v>
      </c>
      <c r="G1061" s="6" t="n">
        <f aca="false">ROUND((A1061+1)^1.12,1)</f>
        <v>2437.6</v>
      </c>
    </row>
    <row r="1062" customFormat="false" ht="15" hidden="false" customHeight="true" outlineLevel="0" collapsed="false">
      <c r="A1062" s="6" t="n">
        <v>1057</v>
      </c>
      <c r="B1062" s="6" t="n">
        <f aca="false">MIN(42, FLOOR(A1062/32,1)+1)</f>
        <v>34</v>
      </c>
      <c r="C1062" s="6" t="n">
        <f aca="false">ROUND($B$2*(A1062+1)^2.4*1.004^A1062,0)</f>
        <v>111056133988</v>
      </c>
      <c r="D1062" s="6" t="n">
        <f aca="false">ROUND($D$2*(A1062+1)^2.4*1.004^A1062,0)</f>
        <v>98716563545</v>
      </c>
      <c r="E1062" s="6" t="n">
        <f aca="false">ROUND($F$2*(A1062+1)^2.4*1.004^A1062,0)</f>
        <v>86376993102</v>
      </c>
      <c r="F1062" s="6" t="n">
        <f aca="false">ROUND(Building_Levels!$I$2*(A1062+1)^1.9*1.003^A1062,2)</f>
        <v>5715.71</v>
      </c>
      <c r="G1062" s="6" t="n">
        <f aca="false">ROUND((A1062+1)^1.12,1)</f>
        <v>2440.2</v>
      </c>
    </row>
    <row r="1063" customFormat="false" ht="15" hidden="false" customHeight="true" outlineLevel="0" collapsed="false">
      <c r="A1063" s="6" t="n">
        <v>1058</v>
      </c>
      <c r="B1063" s="6" t="n">
        <f aca="false">MIN(42, FLOOR(A1063/32,1)+1)</f>
        <v>34</v>
      </c>
      <c r="C1063" s="6" t="n">
        <f aca="false">ROUND($B$2*(A1063+1)^2.4*1.004^A1063,0)</f>
        <v>111753456761</v>
      </c>
      <c r="D1063" s="6" t="n">
        <f aca="false">ROUND($D$2*(A1063+1)^2.4*1.004^A1063,0)</f>
        <v>99336406010</v>
      </c>
      <c r="E1063" s="6" t="n">
        <f aca="false">ROUND($F$2*(A1063+1)^2.4*1.004^A1063,0)</f>
        <v>86919355258</v>
      </c>
      <c r="F1063" s="6" t="n">
        <f aca="false">ROUND(Building_Levels!$I$2*(A1063+1)^1.9*1.003^A1063,2)</f>
        <v>5743.16</v>
      </c>
      <c r="G1063" s="6" t="n">
        <f aca="false">ROUND((A1063+1)^1.12,1)</f>
        <v>2442.8</v>
      </c>
    </row>
    <row r="1064" customFormat="false" ht="15" hidden="false" customHeight="true" outlineLevel="0" collapsed="false">
      <c r="A1064" s="6" t="n">
        <v>1059</v>
      </c>
      <c r="B1064" s="6" t="n">
        <f aca="false">MIN(42, FLOOR(A1064/32,1)+1)</f>
        <v>34</v>
      </c>
      <c r="C1064" s="6" t="n">
        <f aca="false">ROUND($B$2*(A1064+1)^2.4*1.004^A1064,0)</f>
        <v>112454917374</v>
      </c>
      <c r="D1064" s="6" t="n">
        <f aca="false">ROUND($D$2*(A1064+1)^2.4*1.004^A1064,0)</f>
        <v>99959926555</v>
      </c>
      <c r="E1064" s="6" t="n">
        <f aca="false">ROUND($F$2*(A1064+1)^2.4*1.004^A1064,0)</f>
        <v>87464935736</v>
      </c>
      <c r="F1064" s="6" t="n">
        <f aca="false">ROUND(Building_Levels!$I$2*(A1064+1)^1.9*1.003^A1064,2)</f>
        <v>5770.72</v>
      </c>
      <c r="G1064" s="6" t="n">
        <f aca="false">ROUND((A1064+1)^1.12,1)</f>
        <v>2445.4</v>
      </c>
    </row>
    <row r="1065" customFormat="false" ht="15" hidden="false" customHeight="true" outlineLevel="0" collapsed="false">
      <c r="A1065" s="6" t="n">
        <v>1060</v>
      </c>
      <c r="B1065" s="6" t="n">
        <f aca="false">MIN(42, FLOOR(A1065/32,1)+1)</f>
        <v>34</v>
      </c>
      <c r="C1065" s="6" t="n">
        <f aca="false">ROUND($B$2*(A1065+1)^2.4*1.004^A1065,0)</f>
        <v>113160539246</v>
      </c>
      <c r="D1065" s="6" t="n">
        <f aca="false">ROUND($D$2*(A1065+1)^2.4*1.004^A1065,0)</f>
        <v>100587145997</v>
      </c>
      <c r="E1065" s="6" t="n">
        <f aca="false">ROUND($F$2*(A1065+1)^2.4*1.004^A1065,0)</f>
        <v>88013752747</v>
      </c>
      <c r="F1065" s="6" t="n">
        <f aca="false">ROUND(Building_Levels!$I$2*(A1065+1)^1.9*1.003^A1065,2)</f>
        <v>5798.42</v>
      </c>
      <c r="G1065" s="6" t="n">
        <f aca="false">ROUND((A1065+1)^1.12,1)</f>
        <v>2447.9</v>
      </c>
    </row>
    <row r="1066" customFormat="false" ht="15" hidden="false" customHeight="true" outlineLevel="0" collapsed="false">
      <c r="A1066" s="6" t="n">
        <v>1061</v>
      </c>
      <c r="B1066" s="6" t="n">
        <f aca="false">MIN(42, FLOOR(A1066/32,1)+1)</f>
        <v>34</v>
      </c>
      <c r="C1066" s="6" t="n">
        <f aca="false">ROUND($B$2*(A1066+1)^2.4*1.004^A1066,0)</f>
        <v>113870345922</v>
      </c>
      <c r="D1066" s="6" t="n">
        <f aca="false">ROUND($D$2*(A1066+1)^2.4*1.004^A1066,0)</f>
        <v>101218085264</v>
      </c>
      <c r="E1066" s="6" t="n">
        <f aca="false">ROUND($F$2*(A1066+1)^2.4*1.004^A1066,0)</f>
        <v>88565824606</v>
      </c>
      <c r="F1066" s="6" t="n">
        <f aca="false">ROUND(Building_Levels!$I$2*(A1066+1)^1.9*1.003^A1066,2)</f>
        <v>5826.23</v>
      </c>
      <c r="G1066" s="6" t="n">
        <f aca="false">ROUND((A1066+1)^1.12,1)</f>
        <v>2450.5</v>
      </c>
    </row>
    <row r="1067" customFormat="false" ht="15" hidden="false" customHeight="true" outlineLevel="0" collapsed="false">
      <c r="A1067" s="6" t="n">
        <v>1062</v>
      </c>
      <c r="B1067" s="6" t="n">
        <f aca="false">MIN(42, FLOOR(A1067/32,1)+1)</f>
        <v>34</v>
      </c>
      <c r="C1067" s="6" t="n">
        <f aca="false">ROUND($B$2*(A1067+1)^2.4*1.004^A1067,0)</f>
        <v>114584361075</v>
      </c>
      <c r="D1067" s="6" t="n">
        <f aca="false">ROUND($D$2*(A1067+1)^2.4*1.004^A1067,0)</f>
        <v>101852765400</v>
      </c>
      <c r="E1067" s="6" t="n">
        <f aca="false">ROUND($F$2*(A1067+1)^2.4*1.004^A1067,0)</f>
        <v>89121169725</v>
      </c>
      <c r="F1067" s="6" t="n">
        <f aca="false">ROUND(Building_Levels!$I$2*(A1067+1)^1.9*1.003^A1067,2)</f>
        <v>5854.17</v>
      </c>
      <c r="G1067" s="6" t="n">
        <f aca="false">ROUND((A1067+1)^1.12,1)</f>
        <v>2453.1</v>
      </c>
    </row>
    <row r="1068" customFormat="false" ht="15" hidden="false" customHeight="true" outlineLevel="0" collapsed="false">
      <c r="A1068" s="6" t="n">
        <v>1063</v>
      </c>
      <c r="B1068" s="6" t="n">
        <f aca="false">MIN(42, FLOOR(A1068/32,1)+1)</f>
        <v>34</v>
      </c>
      <c r="C1068" s="6" t="n">
        <f aca="false">ROUND($B$2*(A1068+1)^2.4*1.004^A1068,0)</f>
        <v>115302608506</v>
      </c>
      <c r="D1068" s="6" t="n">
        <f aca="false">ROUND($D$2*(A1068+1)^2.4*1.004^A1068,0)</f>
        <v>102491207561</v>
      </c>
      <c r="E1068" s="6" t="n">
        <f aca="false">ROUND($F$2*(A1068+1)^2.4*1.004^A1068,0)</f>
        <v>89679806616</v>
      </c>
      <c r="F1068" s="6" t="n">
        <f aca="false">ROUND(Building_Levels!$I$2*(A1068+1)^1.9*1.003^A1068,2)</f>
        <v>5882.23</v>
      </c>
      <c r="G1068" s="6" t="n">
        <f aca="false">ROUND((A1068+1)^1.12,1)</f>
        <v>2455.7</v>
      </c>
    </row>
    <row r="1069" customFormat="false" ht="15" hidden="false" customHeight="true" outlineLevel="0" collapsed="false">
      <c r="A1069" s="6" t="n">
        <v>1064</v>
      </c>
      <c r="B1069" s="6" t="n">
        <f aca="false">MIN(42, FLOOR(A1069/32,1)+1)</f>
        <v>34</v>
      </c>
      <c r="C1069" s="6" t="n">
        <f aca="false">ROUND($B$2*(A1069+1)^2.4*1.004^A1069,0)</f>
        <v>116025112149</v>
      </c>
      <c r="D1069" s="6" t="n">
        <f aca="false">ROUND($D$2*(A1069+1)^2.4*1.004^A1069,0)</f>
        <v>103133433021</v>
      </c>
      <c r="E1069" s="6" t="n">
        <f aca="false">ROUND($F$2*(A1069+1)^2.4*1.004^A1069,0)</f>
        <v>90241753893</v>
      </c>
      <c r="F1069" s="6" t="n">
        <f aca="false">ROUND(Building_Levels!$I$2*(A1069+1)^1.9*1.003^A1069,2)</f>
        <v>5910.42</v>
      </c>
      <c r="G1069" s="6" t="n">
        <f aca="false">ROUND((A1069+1)^1.12,1)</f>
        <v>2458.3</v>
      </c>
    </row>
    <row r="1070" customFormat="false" ht="15" hidden="false" customHeight="true" outlineLevel="0" collapsed="false">
      <c r="A1070" s="6" t="n">
        <v>1065</v>
      </c>
      <c r="B1070" s="6" t="n">
        <f aca="false">MIN(42, FLOOR(A1070/32,1)+1)</f>
        <v>34</v>
      </c>
      <c r="C1070" s="6" t="n">
        <f aca="false">ROUND($B$2*(A1070+1)^2.4*1.004^A1070,0)</f>
        <v>116751896063</v>
      </c>
      <c r="D1070" s="6" t="n">
        <f aca="false">ROUND($D$2*(A1070+1)^2.4*1.004^A1070,0)</f>
        <v>103779463167</v>
      </c>
      <c r="E1070" s="6" t="n">
        <f aca="false">ROUND($F$2*(A1070+1)^2.4*1.004^A1070,0)</f>
        <v>90807030271</v>
      </c>
      <c r="F1070" s="6" t="n">
        <f aca="false">ROUND(Building_Levels!$I$2*(A1070+1)^1.9*1.003^A1070,2)</f>
        <v>5938.73</v>
      </c>
      <c r="G1070" s="6" t="n">
        <f aca="false">ROUND((A1070+1)^1.12,1)</f>
        <v>2460.9</v>
      </c>
    </row>
    <row r="1071" customFormat="false" ht="15" hidden="false" customHeight="true" outlineLevel="0" collapsed="false">
      <c r="A1071" s="6" t="n">
        <v>1066</v>
      </c>
      <c r="B1071" s="6" t="n">
        <f aca="false">MIN(42, FLOOR(A1071/32,1)+1)</f>
        <v>34</v>
      </c>
      <c r="C1071" s="6" t="n">
        <f aca="false">ROUND($B$2*(A1071+1)^2.4*1.004^A1071,0)</f>
        <v>117482984442</v>
      </c>
      <c r="D1071" s="6" t="n">
        <f aca="false">ROUND($D$2*(A1071+1)^2.4*1.004^A1071,0)</f>
        <v>104429319504</v>
      </c>
      <c r="E1071" s="6" t="n">
        <f aca="false">ROUND($F$2*(A1071+1)^2.4*1.004^A1071,0)</f>
        <v>91375654566</v>
      </c>
      <c r="F1071" s="6" t="n">
        <f aca="false">ROUND(Building_Levels!$I$2*(A1071+1)^1.9*1.003^A1071,2)</f>
        <v>5967.17</v>
      </c>
      <c r="G1071" s="6" t="n">
        <f aca="false">ROUND((A1071+1)^1.12,1)</f>
        <v>2463.5</v>
      </c>
    </row>
    <row r="1072" customFormat="false" ht="15" hidden="false" customHeight="true" outlineLevel="0" collapsed="false">
      <c r="A1072" s="6" t="n">
        <v>1067</v>
      </c>
      <c r="B1072" s="6" t="n">
        <f aca="false">MIN(42, FLOOR(A1072/32,1)+1)</f>
        <v>34</v>
      </c>
      <c r="C1072" s="6" t="n">
        <f aca="false">ROUND($B$2*(A1072+1)^2.4*1.004^A1072,0)</f>
        <v>118218401609</v>
      </c>
      <c r="D1072" s="6" t="n">
        <f aca="false">ROUND($D$2*(A1072+1)^2.4*1.004^A1072,0)</f>
        <v>105083023653</v>
      </c>
      <c r="E1072" s="6" t="n">
        <f aca="false">ROUND($F$2*(A1072+1)^2.4*1.004^A1072,0)</f>
        <v>91947645696</v>
      </c>
      <c r="F1072" s="6" t="n">
        <f aca="false">ROUND(Building_Levels!$I$2*(A1072+1)^1.9*1.003^A1072,2)</f>
        <v>5995.73</v>
      </c>
      <c r="G1072" s="6" t="n">
        <f aca="false">ROUND((A1072+1)^1.12,1)</f>
        <v>2466</v>
      </c>
    </row>
    <row r="1073" customFormat="false" ht="15" hidden="false" customHeight="true" outlineLevel="0" collapsed="false">
      <c r="A1073" s="6" t="n">
        <v>1068</v>
      </c>
      <c r="B1073" s="6" t="n">
        <f aca="false">MIN(42, FLOOR(A1073/32,1)+1)</f>
        <v>34</v>
      </c>
      <c r="C1073" s="6" t="n">
        <f aca="false">ROUND($B$2*(A1073+1)^2.4*1.004^A1073,0)</f>
        <v>118958172022</v>
      </c>
      <c r="D1073" s="6" t="n">
        <f aca="false">ROUND($D$2*(A1073+1)^2.4*1.004^A1073,0)</f>
        <v>105740597353</v>
      </c>
      <c r="E1073" s="6" t="n">
        <f aca="false">ROUND($F$2*(A1073+1)^2.4*1.004^A1073,0)</f>
        <v>92523022684</v>
      </c>
      <c r="F1073" s="6" t="n">
        <f aca="false">ROUND(Building_Levels!$I$2*(A1073+1)^1.9*1.003^A1073,2)</f>
        <v>6024.42</v>
      </c>
      <c r="G1073" s="6" t="n">
        <f aca="false">ROUND((A1073+1)^1.12,1)</f>
        <v>2468.6</v>
      </c>
    </row>
    <row r="1074" customFormat="false" ht="15" hidden="false" customHeight="true" outlineLevel="0" collapsed="false">
      <c r="A1074" s="6" t="n">
        <v>1069</v>
      </c>
      <c r="B1074" s="6" t="n">
        <f aca="false">MIN(42, FLOOR(A1074/32,1)+1)</f>
        <v>34</v>
      </c>
      <c r="C1074" s="6" t="n">
        <f aca="false">ROUND($B$2*(A1074+1)^2.4*1.004^A1074,0)</f>
        <v>119702320269</v>
      </c>
      <c r="D1074" s="6" t="n">
        <f aca="false">ROUND($D$2*(A1074+1)^2.4*1.004^A1074,0)</f>
        <v>106402062462</v>
      </c>
      <c r="E1074" s="6" t="n">
        <f aca="false">ROUND($F$2*(A1074+1)^2.4*1.004^A1074,0)</f>
        <v>93101804654</v>
      </c>
      <c r="F1074" s="6" t="n">
        <f aca="false">ROUND(Building_Levels!$I$2*(A1074+1)^1.9*1.003^A1074,2)</f>
        <v>6053.24</v>
      </c>
      <c r="G1074" s="6" t="n">
        <f aca="false">ROUND((A1074+1)^1.12,1)</f>
        <v>2471.2</v>
      </c>
    </row>
    <row r="1075" customFormat="false" ht="15" hidden="false" customHeight="true" outlineLevel="0" collapsed="false">
      <c r="A1075" s="6" t="n">
        <v>1070</v>
      </c>
      <c r="B1075" s="6" t="n">
        <f aca="false">MIN(42, FLOOR(A1075/32,1)+1)</f>
        <v>34</v>
      </c>
      <c r="C1075" s="6" t="n">
        <f aca="false">ROUND($B$2*(A1075+1)^2.4*1.004^A1075,0)</f>
        <v>120450871074</v>
      </c>
      <c r="D1075" s="6" t="n">
        <f aca="false">ROUND($D$2*(A1075+1)^2.4*1.004^A1075,0)</f>
        <v>107067440954</v>
      </c>
      <c r="E1075" s="6" t="n">
        <f aca="false">ROUND($F$2*(A1075+1)^2.4*1.004^A1075,0)</f>
        <v>93684010835</v>
      </c>
      <c r="F1075" s="6" t="n">
        <f aca="false">ROUND(Building_Levels!$I$2*(A1075+1)^1.9*1.003^A1075,2)</f>
        <v>6082.18</v>
      </c>
      <c r="G1075" s="6" t="n">
        <f aca="false">ROUND((A1075+1)^1.12,1)</f>
        <v>2473.8</v>
      </c>
    </row>
    <row r="1076" customFormat="false" ht="15" hidden="false" customHeight="true" outlineLevel="0" collapsed="false">
      <c r="A1076" s="6" t="n">
        <v>1071</v>
      </c>
      <c r="B1076" s="6" t="n">
        <f aca="false">MIN(42, FLOOR(A1076/32,1)+1)</f>
        <v>34</v>
      </c>
      <c r="C1076" s="6" t="n">
        <f aca="false">ROUND($B$2*(A1076+1)^2.4*1.004^A1076,0)</f>
        <v>121203849293</v>
      </c>
      <c r="D1076" s="6" t="n">
        <f aca="false">ROUND($D$2*(A1076+1)^2.4*1.004^A1076,0)</f>
        <v>107736754927</v>
      </c>
      <c r="E1076" s="6" t="n">
        <f aca="false">ROUND($F$2*(A1076+1)^2.4*1.004^A1076,0)</f>
        <v>94269660561</v>
      </c>
      <c r="F1076" s="6" t="n">
        <f aca="false">ROUND(Building_Levels!$I$2*(A1076+1)^1.9*1.003^A1076,2)</f>
        <v>6111.26</v>
      </c>
      <c r="G1076" s="6" t="n">
        <f aca="false">ROUND((A1076+1)^1.12,1)</f>
        <v>2476.4</v>
      </c>
    </row>
    <row r="1077" customFormat="false" ht="15" hidden="false" customHeight="true" outlineLevel="0" collapsed="false">
      <c r="A1077" s="6" t="n">
        <v>1072</v>
      </c>
      <c r="B1077" s="6" t="n">
        <f aca="false">MIN(42, FLOOR(A1077/32,1)+1)</f>
        <v>34</v>
      </c>
      <c r="C1077" s="6" t="n">
        <f aca="false">ROUND($B$2*(A1077+1)^2.4*1.004^A1077,0)</f>
        <v>121961279919</v>
      </c>
      <c r="D1077" s="6" t="n">
        <f aca="false">ROUND($D$2*(A1077+1)^2.4*1.004^A1077,0)</f>
        <v>108410026594</v>
      </c>
      <c r="E1077" s="6" t="n">
        <f aca="false">ROUND($F$2*(A1077+1)^2.4*1.004^A1077,0)</f>
        <v>94858773270</v>
      </c>
      <c r="F1077" s="6" t="n">
        <f aca="false">ROUND(Building_Levels!$I$2*(A1077+1)^1.9*1.003^A1077,2)</f>
        <v>6140.46</v>
      </c>
      <c r="G1077" s="6" t="n">
        <f aca="false">ROUND((A1077+1)^1.12,1)</f>
        <v>2479</v>
      </c>
    </row>
    <row r="1078" customFormat="false" ht="15" hidden="false" customHeight="true" outlineLevel="0" collapsed="false">
      <c r="A1078" s="6" t="n">
        <v>1073</v>
      </c>
      <c r="B1078" s="6" t="n">
        <f aca="false">MIN(42, FLOOR(A1078/32,1)+1)</f>
        <v>34</v>
      </c>
      <c r="C1078" s="6" t="n">
        <f aca="false">ROUND($B$2*(A1078+1)^2.4*1.004^A1078,0)</f>
        <v>122723188079</v>
      </c>
      <c r="D1078" s="6" t="n">
        <f aca="false">ROUND($D$2*(A1078+1)^2.4*1.004^A1078,0)</f>
        <v>109087278293</v>
      </c>
      <c r="E1078" s="6" t="n">
        <f aca="false">ROUND($F$2*(A1078+1)^2.4*1.004^A1078,0)</f>
        <v>95451368506</v>
      </c>
      <c r="F1078" s="6" t="n">
        <f aca="false">ROUND(Building_Levels!$I$2*(A1078+1)^1.9*1.003^A1078,2)</f>
        <v>6169.79</v>
      </c>
      <c r="G1078" s="6" t="n">
        <f aca="false">ROUND((A1078+1)^1.12,1)</f>
        <v>2481.6</v>
      </c>
    </row>
    <row r="1079" customFormat="false" ht="15" hidden="false" customHeight="true" outlineLevel="0" collapsed="false">
      <c r="A1079" s="6" t="n">
        <v>1074</v>
      </c>
      <c r="B1079" s="6" t="n">
        <f aca="false">MIN(42, FLOOR(A1079/32,1)+1)</f>
        <v>34</v>
      </c>
      <c r="C1079" s="6" t="n">
        <f aca="false">ROUND($B$2*(A1079+1)^2.4*1.004^A1079,0)</f>
        <v>123489599039</v>
      </c>
      <c r="D1079" s="6" t="n">
        <f aca="false">ROUND($D$2*(A1079+1)^2.4*1.004^A1079,0)</f>
        <v>109768532479</v>
      </c>
      <c r="E1079" s="6" t="n">
        <f aca="false">ROUND($F$2*(A1079+1)^2.4*1.004^A1079,0)</f>
        <v>96047465919</v>
      </c>
      <c r="F1079" s="6" t="n">
        <f aca="false">ROUND(Building_Levels!$I$2*(A1079+1)^1.9*1.003^A1079,2)</f>
        <v>6199.25</v>
      </c>
      <c r="G1079" s="6" t="n">
        <f aca="false">ROUND((A1079+1)^1.12,1)</f>
        <v>2484.1</v>
      </c>
    </row>
    <row r="1080" customFormat="false" ht="15" hidden="false" customHeight="true" outlineLevel="0" collapsed="false">
      <c r="A1080" s="6" t="n">
        <v>1075</v>
      </c>
      <c r="B1080" s="6" t="n">
        <f aca="false">MIN(42, FLOOR(A1080/32,1)+1)</f>
        <v>34</v>
      </c>
      <c r="C1080" s="6" t="n">
        <f aca="false">ROUND($B$2*(A1080+1)^2.4*1.004^A1080,0)</f>
        <v>124260538200</v>
      </c>
      <c r="D1080" s="6" t="n">
        <f aca="false">ROUND($D$2*(A1080+1)^2.4*1.004^A1080,0)</f>
        <v>110453811734</v>
      </c>
      <c r="E1080" s="6" t="n">
        <f aca="false">ROUND($F$2*(A1080+1)^2.4*1.004^A1080,0)</f>
        <v>96647085267</v>
      </c>
      <c r="F1080" s="6" t="n">
        <f aca="false">ROUND(Building_Levels!$I$2*(A1080+1)^1.9*1.003^A1080,2)</f>
        <v>6228.84</v>
      </c>
      <c r="G1080" s="6" t="n">
        <f aca="false">ROUND((A1080+1)^1.12,1)</f>
        <v>2486.7</v>
      </c>
    </row>
    <row r="1081" customFormat="false" ht="15" hidden="false" customHeight="true" outlineLevel="0" collapsed="false">
      <c r="A1081" s="6" t="n">
        <v>1076</v>
      </c>
      <c r="B1081" s="6" t="n">
        <f aca="false">MIN(42, FLOOR(A1081/32,1)+1)</f>
        <v>34</v>
      </c>
      <c r="C1081" s="6" t="n">
        <f aca="false">ROUND($B$2*(A1081+1)^2.4*1.004^A1081,0)</f>
        <v>125036031102</v>
      </c>
      <c r="D1081" s="6" t="n">
        <f aca="false">ROUND($D$2*(A1081+1)^2.4*1.004^A1081,0)</f>
        <v>111143138757</v>
      </c>
      <c r="E1081" s="6" t="n">
        <f aca="false">ROUND($F$2*(A1081+1)^2.4*1.004^A1081,0)</f>
        <v>97250246413</v>
      </c>
      <c r="F1081" s="6" t="n">
        <f aca="false">ROUND(Building_Levels!$I$2*(A1081+1)^1.9*1.003^A1081,2)</f>
        <v>6258.57</v>
      </c>
      <c r="G1081" s="6" t="n">
        <f aca="false">ROUND((A1081+1)^1.12,1)</f>
        <v>2489.3</v>
      </c>
    </row>
    <row r="1082" customFormat="false" ht="15" hidden="false" customHeight="true" outlineLevel="0" collapsed="false">
      <c r="A1082" s="6" t="n">
        <v>1077</v>
      </c>
      <c r="B1082" s="6" t="n">
        <f aca="false">MIN(42, FLOOR(A1082/32,1)+1)</f>
        <v>34</v>
      </c>
      <c r="C1082" s="6" t="n">
        <f aca="false">ROUND($B$2*(A1082+1)^2.4*1.004^A1082,0)</f>
        <v>125816103422</v>
      </c>
      <c r="D1082" s="6" t="n">
        <f aca="false">ROUND($D$2*(A1082+1)^2.4*1.004^A1082,0)</f>
        <v>111836536375</v>
      </c>
      <c r="E1082" s="6" t="n">
        <f aca="false">ROUND($F$2*(A1082+1)^2.4*1.004^A1082,0)</f>
        <v>97856969329</v>
      </c>
      <c r="F1082" s="6" t="n">
        <f aca="false">ROUND(Building_Levels!$I$2*(A1082+1)^1.9*1.003^A1082,2)</f>
        <v>6288.42</v>
      </c>
      <c r="G1082" s="6" t="n">
        <f aca="false">ROUND((A1082+1)^1.12,1)</f>
        <v>2491.9</v>
      </c>
    </row>
    <row r="1083" customFormat="false" ht="15" hidden="false" customHeight="true" outlineLevel="0" collapsed="false">
      <c r="A1083" s="6" t="n">
        <v>1078</v>
      </c>
      <c r="B1083" s="6" t="n">
        <f aca="false">MIN(42, FLOOR(A1083/32,1)+1)</f>
        <v>34</v>
      </c>
      <c r="C1083" s="6" t="n">
        <f aca="false">ROUND($B$2*(A1083+1)^2.4*1.004^A1083,0)</f>
        <v>126600780979</v>
      </c>
      <c r="D1083" s="6" t="n">
        <f aca="false">ROUND($D$2*(A1083+1)^2.4*1.004^A1083,0)</f>
        <v>112534027537</v>
      </c>
      <c r="E1083" s="6" t="n">
        <f aca="false">ROUND($F$2*(A1083+1)^2.4*1.004^A1083,0)</f>
        <v>98467274095</v>
      </c>
      <c r="F1083" s="6" t="n">
        <f aca="false">ROUND(Building_Levels!$I$2*(A1083+1)^1.9*1.003^A1083,2)</f>
        <v>6318.41</v>
      </c>
      <c r="G1083" s="6" t="n">
        <f aca="false">ROUND((A1083+1)^1.12,1)</f>
        <v>2494.5</v>
      </c>
    </row>
    <row r="1084" customFormat="false" ht="15" hidden="false" customHeight="true" outlineLevel="0" collapsed="false">
      <c r="A1084" s="6" t="n">
        <v>1079</v>
      </c>
      <c r="B1084" s="6" t="n">
        <f aca="false">MIN(42, FLOOR(A1084/32,1)+1)</f>
        <v>34</v>
      </c>
      <c r="C1084" s="6" t="n">
        <f aca="false">ROUND($B$2*(A1084+1)^2.4*1.004^A1084,0)</f>
        <v>127390089731</v>
      </c>
      <c r="D1084" s="6" t="n">
        <f aca="false">ROUND($D$2*(A1084+1)^2.4*1.004^A1084,0)</f>
        <v>113235635316</v>
      </c>
      <c r="E1084" s="6" t="n">
        <f aca="false">ROUND($F$2*(A1084+1)^2.4*1.004^A1084,0)</f>
        <v>99081180902</v>
      </c>
      <c r="F1084" s="6" t="n">
        <f aca="false">ROUND(Building_Levels!$I$2*(A1084+1)^1.9*1.003^A1084,2)</f>
        <v>6348.53</v>
      </c>
      <c r="G1084" s="6" t="n">
        <f aca="false">ROUND((A1084+1)^1.12,1)</f>
        <v>2497.1</v>
      </c>
    </row>
    <row r="1085" customFormat="false" ht="15" hidden="false" customHeight="true" outlineLevel="0" collapsed="false">
      <c r="A1085" s="6" t="n">
        <v>1080</v>
      </c>
      <c r="B1085" s="6" t="n">
        <f aca="false">MIN(42, FLOOR(A1085/32,1)+1)</f>
        <v>34</v>
      </c>
      <c r="C1085" s="6" t="n">
        <f aca="false">ROUND($B$2*(A1085+1)^2.4*1.004^A1085,0)</f>
        <v>128184055775</v>
      </c>
      <c r="D1085" s="6" t="n">
        <f aca="false">ROUND($D$2*(A1085+1)^2.4*1.004^A1085,0)</f>
        <v>113941382911</v>
      </c>
      <c r="E1085" s="6" t="n">
        <f aca="false">ROUND($F$2*(A1085+1)^2.4*1.004^A1085,0)</f>
        <v>99698710047</v>
      </c>
      <c r="F1085" s="6" t="n">
        <f aca="false">ROUND(Building_Levels!$I$2*(A1085+1)^1.9*1.003^A1085,2)</f>
        <v>6378.78</v>
      </c>
      <c r="G1085" s="6" t="n">
        <f aca="false">ROUND((A1085+1)^1.12,1)</f>
        <v>2499.7</v>
      </c>
    </row>
    <row r="1086" customFormat="false" ht="15" hidden="false" customHeight="true" outlineLevel="0" collapsed="false">
      <c r="A1086" s="6" t="n">
        <v>1081</v>
      </c>
      <c r="B1086" s="6" t="n">
        <f aca="false">MIN(42, FLOOR(A1086/32,1)+1)</f>
        <v>34</v>
      </c>
      <c r="C1086" s="6" t="n">
        <f aca="false">ROUND($B$2*(A1086+1)^2.4*1.004^A1086,0)</f>
        <v>128982705351</v>
      </c>
      <c r="D1086" s="6" t="n">
        <f aca="false">ROUND($D$2*(A1086+1)^2.4*1.004^A1086,0)</f>
        <v>114651293646</v>
      </c>
      <c r="E1086" s="6" t="n">
        <f aca="false">ROUND($F$2*(A1086+1)^2.4*1.004^A1086,0)</f>
        <v>100319881940</v>
      </c>
      <c r="F1086" s="6" t="n">
        <f aca="false">ROUND(Building_Levels!$I$2*(A1086+1)^1.9*1.003^A1086,2)</f>
        <v>6409.17</v>
      </c>
      <c r="G1086" s="6" t="n">
        <f aca="false">ROUND((A1086+1)^1.12,1)</f>
        <v>2502.3</v>
      </c>
    </row>
    <row r="1087" customFormat="false" ht="15" hidden="false" customHeight="true" outlineLevel="0" collapsed="false">
      <c r="A1087" s="6" t="n">
        <v>1082</v>
      </c>
      <c r="B1087" s="6" t="n">
        <f aca="false">MIN(42, FLOOR(A1087/32,1)+1)</f>
        <v>34</v>
      </c>
      <c r="C1087" s="6" t="n">
        <f aca="false">ROUND($B$2*(A1087+1)^2.4*1.004^A1087,0)</f>
        <v>129786064843</v>
      </c>
      <c r="D1087" s="6" t="n">
        <f aca="false">ROUND($D$2*(A1087+1)^2.4*1.004^A1087,0)</f>
        <v>115365390972</v>
      </c>
      <c r="E1087" s="6" t="n">
        <f aca="false">ROUND($F$2*(A1087+1)^2.4*1.004^A1087,0)</f>
        <v>100944717100</v>
      </c>
      <c r="F1087" s="6" t="n">
        <f aca="false">ROUND(Building_Levels!$I$2*(A1087+1)^1.9*1.003^A1087,2)</f>
        <v>6439.69</v>
      </c>
      <c r="G1087" s="6" t="n">
        <f aca="false">ROUND((A1087+1)^1.12,1)</f>
        <v>2504.9</v>
      </c>
    </row>
    <row r="1088" customFormat="false" ht="15" hidden="false" customHeight="true" outlineLevel="0" collapsed="false">
      <c r="A1088" s="6" t="n">
        <v>1083</v>
      </c>
      <c r="B1088" s="6" t="n">
        <f aca="false">MIN(42, FLOOR(A1088/32,1)+1)</f>
        <v>34</v>
      </c>
      <c r="C1088" s="6" t="n">
        <f aca="false">ROUND($B$2*(A1088+1)^2.4*1.004^A1088,0)</f>
        <v>130594160776</v>
      </c>
      <c r="D1088" s="6" t="n">
        <f aca="false">ROUND($D$2*(A1088+1)^2.4*1.004^A1088,0)</f>
        <v>116083698468</v>
      </c>
      <c r="E1088" s="6" t="n">
        <f aca="false">ROUND($F$2*(A1088+1)^2.4*1.004^A1088,0)</f>
        <v>101573236159</v>
      </c>
      <c r="F1088" s="6" t="n">
        <f aca="false">ROUND(Building_Levels!$I$2*(A1088+1)^1.9*1.003^A1088,2)</f>
        <v>6470.34</v>
      </c>
      <c r="G1088" s="6" t="n">
        <f aca="false">ROUND((A1088+1)^1.12,1)</f>
        <v>2507.5</v>
      </c>
    </row>
    <row r="1089" customFormat="false" ht="15" hidden="false" customHeight="true" outlineLevel="0" collapsed="false">
      <c r="A1089" s="6" t="n">
        <v>1084</v>
      </c>
      <c r="B1089" s="6" t="n">
        <f aca="false">MIN(42, FLOOR(A1089/32,1)+1)</f>
        <v>34</v>
      </c>
      <c r="C1089" s="6" t="n">
        <f aca="false">ROUND($B$2*(A1089+1)^2.4*1.004^A1089,0)</f>
        <v>131407019819</v>
      </c>
      <c r="D1089" s="6" t="n">
        <f aca="false">ROUND($D$2*(A1089+1)^2.4*1.004^A1089,0)</f>
        <v>116806239839</v>
      </c>
      <c r="E1089" s="6" t="n">
        <f aca="false">ROUND($F$2*(A1089+1)^2.4*1.004^A1089,0)</f>
        <v>102205459859</v>
      </c>
      <c r="F1089" s="6" t="n">
        <f aca="false">ROUND(Building_Levels!$I$2*(A1089+1)^1.9*1.003^A1089,2)</f>
        <v>6501.13</v>
      </c>
      <c r="G1089" s="6" t="n">
        <f aca="false">ROUND((A1089+1)^1.12,1)</f>
        <v>2510</v>
      </c>
    </row>
    <row r="1090" customFormat="false" ht="15" hidden="false" customHeight="true" outlineLevel="0" collapsed="false">
      <c r="A1090" s="6" t="n">
        <v>1085</v>
      </c>
      <c r="B1090" s="6" t="n">
        <f aca="false">MIN(42, FLOOR(A1090/32,1)+1)</f>
        <v>34</v>
      </c>
      <c r="C1090" s="6" t="n">
        <f aca="false">ROUND($B$2*(A1090+1)^2.4*1.004^A1090,0)</f>
        <v>132224668785</v>
      </c>
      <c r="D1090" s="6" t="n">
        <f aca="false">ROUND($D$2*(A1090+1)^2.4*1.004^A1090,0)</f>
        <v>117533038920</v>
      </c>
      <c r="E1090" s="6" t="n">
        <f aca="false">ROUND($F$2*(A1090+1)^2.4*1.004^A1090,0)</f>
        <v>102841409055</v>
      </c>
      <c r="F1090" s="6" t="n">
        <f aca="false">ROUND(Building_Levels!$I$2*(A1090+1)^1.9*1.003^A1090,2)</f>
        <v>6532.06</v>
      </c>
      <c r="G1090" s="6" t="n">
        <f aca="false">ROUND((A1090+1)^1.12,1)</f>
        <v>2512.6</v>
      </c>
    </row>
    <row r="1091" customFormat="false" ht="15" hidden="false" customHeight="true" outlineLevel="0" collapsed="false">
      <c r="A1091" s="6" t="n">
        <v>1086</v>
      </c>
      <c r="B1091" s="6" t="n">
        <f aca="false">MIN(42, FLOOR(A1091/32,1)+1)</f>
        <v>34</v>
      </c>
      <c r="C1091" s="6" t="n">
        <f aca="false">ROUND($B$2*(A1091+1)^2.4*1.004^A1091,0)</f>
        <v>133047134635</v>
      </c>
      <c r="D1091" s="6" t="n">
        <f aca="false">ROUND($D$2*(A1091+1)^2.4*1.004^A1091,0)</f>
        <v>118264119676</v>
      </c>
      <c r="E1091" s="6" t="n">
        <f aca="false">ROUND($F$2*(A1091+1)^2.4*1.004^A1091,0)</f>
        <v>103481104716</v>
      </c>
      <c r="F1091" s="6" t="n">
        <f aca="false">ROUND(Building_Levels!$I$2*(A1091+1)^1.9*1.003^A1091,2)</f>
        <v>6563.12</v>
      </c>
      <c r="G1091" s="6" t="n">
        <f aca="false">ROUND((A1091+1)^1.12,1)</f>
        <v>2515.2</v>
      </c>
    </row>
    <row r="1092" customFormat="false" ht="15" hidden="false" customHeight="true" outlineLevel="0" collapsed="false">
      <c r="A1092" s="6" t="n">
        <v>1087</v>
      </c>
      <c r="B1092" s="6" t="n">
        <f aca="false">MIN(42, FLOOR(A1092/32,1)+1)</f>
        <v>34</v>
      </c>
      <c r="C1092" s="6" t="n">
        <f aca="false">ROUND($B$2*(A1092+1)^2.4*1.004^A1092,0)</f>
        <v>133874444474</v>
      </c>
      <c r="D1092" s="6" t="n">
        <f aca="false">ROUND($D$2*(A1092+1)^2.4*1.004^A1092,0)</f>
        <v>118999506199</v>
      </c>
      <c r="E1092" s="6" t="n">
        <f aca="false">ROUND($F$2*(A1092+1)^2.4*1.004^A1092,0)</f>
        <v>104124567924</v>
      </c>
      <c r="F1092" s="6" t="n">
        <f aca="false">ROUND(Building_Levels!$I$2*(A1092+1)^1.9*1.003^A1092,2)</f>
        <v>6594.32</v>
      </c>
      <c r="G1092" s="6" t="n">
        <f aca="false">ROUND((A1092+1)^1.12,1)</f>
        <v>2517.8</v>
      </c>
    </row>
    <row r="1093" customFormat="false" ht="15" hidden="false" customHeight="true" outlineLevel="0" collapsed="false">
      <c r="A1093" s="6" t="n">
        <v>1088</v>
      </c>
      <c r="B1093" s="6" t="n">
        <f aca="false">MIN(42, FLOOR(A1093/32,1)+1)</f>
        <v>35</v>
      </c>
      <c r="C1093" s="6" t="n">
        <f aca="false">ROUND($B$2*(A1093+1)^2.4*1.004^A1093,0)</f>
        <v>134706625553</v>
      </c>
      <c r="D1093" s="6" t="n">
        <f aca="false">ROUND($D$2*(A1093+1)^2.4*1.004^A1093,0)</f>
        <v>119739222713</v>
      </c>
      <c r="E1093" s="6" t="n">
        <f aca="false">ROUND($F$2*(A1093+1)^2.4*1.004^A1093,0)</f>
        <v>104771819874</v>
      </c>
      <c r="F1093" s="6" t="n">
        <f aca="false">ROUND(Building_Levels!$I$2*(A1093+1)^1.9*1.003^A1093,2)</f>
        <v>6625.66</v>
      </c>
      <c r="G1093" s="6" t="n">
        <f aca="false">ROUND((A1093+1)^1.12,1)</f>
        <v>2520.4</v>
      </c>
    </row>
    <row r="1094" customFormat="false" ht="15" hidden="false" customHeight="true" outlineLevel="0" collapsed="false">
      <c r="A1094" s="6" t="n">
        <v>1089</v>
      </c>
      <c r="B1094" s="6" t="n">
        <f aca="false">MIN(42, FLOOR(A1094/32,1)+1)</f>
        <v>35</v>
      </c>
      <c r="C1094" s="6" t="n">
        <f aca="false">ROUND($B$2*(A1094+1)^2.4*1.004^A1094,0)</f>
        <v>135543705272</v>
      </c>
      <c r="D1094" s="6" t="n">
        <f aca="false">ROUND($D$2*(A1094+1)^2.4*1.004^A1094,0)</f>
        <v>120483293575</v>
      </c>
      <c r="E1094" s="6" t="n">
        <f aca="false">ROUND($F$2*(A1094+1)^2.4*1.004^A1094,0)</f>
        <v>105422881878</v>
      </c>
      <c r="F1094" s="6" t="n">
        <f aca="false">ROUND(Building_Levels!$I$2*(A1094+1)^1.9*1.003^A1094,2)</f>
        <v>6657.14</v>
      </c>
      <c r="G1094" s="6" t="n">
        <f aca="false">ROUND((A1094+1)^1.12,1)</f>
        <v>2523</v>
      </c>
    </row>
    <row r="1095" customFormat="false" ht="15" hidden="false" customHeight="true" outlineLevel="0" collapsed="false">
      <c r="A1095" s="6" t="n">
        <v>1090</v>
      </c>
      <c r="B1095" s="6" t="n">
        <f aca="false">MIN(42, FLOOR(A1095/32,1)+1)</f>
        <v>35</v>
      </c>
      <c r="C1095" s="6" t="n">
        <f aca="false">ROUND($B$2*(A1095+1)^2.4*1.004^A1095,0)</f>
        <v>136385711180</v>
      </c>
      <c r="D1095" s="6" t="n">
        <f aca="false">ROUND($D$2*(A1095+1)^2.4*1.004^A1095,0)</f>
        <v>121231743271</v>
      </c>
      <c r="E1095" s="6" t="n">
        <f aca="false">ROUND($F$2*(A1095+1)^2.4*1.004^A1095,0)</f>
        <v>106077775362</v>
      </c>
      <c r="F1095" s="6" t="n">
        <f aca="false">ROUND(Building_Levels!$I$2*(A1095+1)^1.9*1.003^A1095,2)</f>
        <v>6688.75</v>
      </c>
      <c r="G1095" s="6" t="n">
        <f aca="false">ROUND((A1095+1)^1.12,1)</f>
        <v>2525.6</v>
      </c>
    </row>
    <row r="1096" customFormat="false" ht="15" hidden="false" customHeight="true" outlineLevel="0" collapsed="false">
      <c r="A1096" s="6" t="n">
        <v>1091</v>
      </c>
      <c r="B1096" s="6" t="n">
        <f aca="false">MIN(42, FLOOR(A1096/32,1)+1)</f>
        <v>35</v>
      </c>
      <c r="C1096" s="6" t="n">
        <f aca="false">ROUND($B$2*(A1096+1)^2.4*1.004^A1096,0)</f>
        <v>137232670975</v>
      </c>
      <c r="D1096" s="6" t="n">
        <f aca="false">ROUND($D$2*(A1096+1)^2.4*1.004^A1096,0)</f>
        <v>121984596422</v>
      </c>
      <c r="E1096" s="6" t="n">
        <f aca="false">ROUND($F$2*(A1096+1)^2.4*1.004^A1096,0)</f>
        <v>106736521869</v>
      </c>
      <c r="F1096" s="6" t="n">
        <f aca="false">ROUND(Building_Levels!$I$2*(A1096+1)^1.9*1.003^A1096,2)</f>
        <v>6720.51</v>
      </c>
      <c r="G1096" s="6" t="n">
        <f aca="false">ROUND((A1096+1)^1.12,1)</f>
        <v>2528.2</v>
      </c>
    </row>
    <row r="1097" customFormat="false" ht="15" hidden="false" customHeight="true" outlineLevel="0" collapsed="false">
      <c r="A1097" s="6" t="n">
        <v>1092</v>
      </c>
      <c r="B1097" s="6" t="n">
        <f aca="false">MIN(42, FLOOR(A1097/32,1)+1)</f>
        <v>35</v>
      </c>
      <c r="C1097" s="6" t="n">
        <f aca="false">ROUND($B$2*(A1097+1)^2.4*1.004^A1097,0)</f>
        <v>138084612502</v>
      </c>
      <c r="D1097" s="6" t="n">
        <f aca="false">ROUND($D$2*(A1097+1)^2.4*1.004^A1097,0)</f>
        <v>122741877780</v>
      </c>
      <c r="E1097" s="6" t="n">
        <f aca="false">ROUND($F$2*(A1097+1)^2.4*1.004^A1097,0)</f>
        <v>107399143057</v>
      </c>
      <c r="F1097" s="6" t="n">
        <f aca="false">ROUND(Building_Levels!$I$2*(A1097+1)^1.9*1.003^A1097,2)</f>
        <v>6752.4</v>
      </c>
      <c r="G1097" s="6" t="n">
        <f aca="false">ROUND((A1097+1)^1.12,1)</f>
        <v>2530.8</v>
      </c>
    </row>
    <row r="1098" customFormat="false" ht="15" hidden="false" customHeight="true" outlineLevel="0" collapsed="false">
      <c r="A1098" s="6" t="n">
        <v>1093</v>
      </c>
      <c r="B1098" s="6" t="n">
        <f aca="false">MIN(42, FLOOR(A1098/32,1)+1)</f>
        <v>35</v>
      </c>
      <c r="C1098" s="6" t="n">
        <f aca="false">ROUND($B$2*(A1098+1)^2.4*1.004^A1098,0)</f>
        <v>138941563762</v>
      </c>
      <c r="D1098" s="6" t="n">
        <f aca="false">ROUND($D$2*(A1098+1)^2.4*1.004^A1098,0)</f>
        <v>123503612233</v>
      </c>
      <c r="E1098" s="6" t="n">
        <f aca="false">ROUND($F$2*(A1098+1)^2.4*1.004^A1098,0)</f>
        <v>108065660704</v>
      </c>
      <c r="F1098" s="6" t="n">
        <f aca="false">ROUND(Building_Levels!$I$2*(A1098+1)^1.9*1.003^A1098,2)</f>
        <v>6784.44</v>
      </c>
      <c r="G1098" s="6" t="n">
        <f aca="false">ROUND((A1098+1)^1.12,1)</f>
        <v>2533.4</v>
      </c>
    </row>
    <row r="1099" customFormat="false" ht="15" hidden="false" customHeight="true" outlineLevel="0" collapsed="false">
      <c r="A1099" s="6" t="n">
        <v>1094</v>
      </c>
      <c r="B1099" s="6" t="n">
        <f aca="false">MIN(42, FLOOR(A1099/32,1)+1)</f>
        <v>35</v>
      </c>
      <c r="C1099" s="6" t="n">
        <f aca="false">ROUND($B$2*(A1099+1)^2.4*1.004^A1099,0)</f>
        <v>139803552903</v>
      </c>
      <c r="D1099" s="6" t="n">
        <f aca="false">ROUND($D$2*(A1099+1)^2.4*1.004^A1099,0)</f>
        <v>124269824802</v>
      </c>
      <c r="E1099" s="6" t="n">
        <f aca="false">ROUND($F$2*(A1099+1)^2.4*1.004^A1099,0)</f>
        <v>108736096702</v>
      </c>
      <c r="F1099" s="6" t="n">
        <f aca="false">ROUND(Building_Levels!$I$2*(A1099+1)^1.9*1.003^A1099,2)</f>
        <v>6816.61</v>
      </c>
      <c r="G1099" s="6" t="n">
        <f aca="false">ROUND((A1099+1)^1.12,1)</f>
        <v>2536</v>
      </c>
    </row>
    <row r="1100" customFormat="false" ht="15" hidden="false" customHeight="true" outlineLevel="0" collapsed="false">
      <c r="A1100" s="6" t="n">
        <v>1095</v>
      </c>
      <c r="B1100" s="6" t="n">
        <f aca="false">MIN(42, FLOOR(A1100/32,1)+1)</f>
        <v>35</v>
      </c>
      <c r="C1100" s="6" t="n">
        <f aca="false">ROUND($B$2*(A1100+1)^2.4*1.004^A1100,0)</f>
        <v>140670608227</v>
      </c>
      <c r="D1100" s="6" t="n">
        <f aca="false">ROUND($D$2*(A1100+1)^2.4*1.004^A1100,0)</f>
        <v>125040540646</v>
      </c>
      <c r="E1100" s="6" t="n">
        <f aca="false">ROUND($F$2*(A1100+1)^2.4*1.004^A1100,0)</f>
        <v>109410473065</v>
      </c>
      <c r="F1100" s="6" t="n">
        <f aca="false">ROUND(Building_Levels!$I$2*(A1100+1)^1.9*1.003^A1100,2)</f>
        <v>6848.93</v>
      </c>
      <c r="G1100" s="6" t="n">
        <f aca="false">ROUND((A1100+1)^1.12,1)</f>
        <v>2538.6</v>
      </c>
    </row>
    <row r="1101" customFormat="false" ht="15" hidden="false" customHeight="true" outlineLevel="0" collapsed="false">
      <c r="A1101" s="6" t="n">
        <v>1096</v>
      </c>
      <c r="B1101" s="6" t="n">
        <f aca="false">MIN(42, FLOOR(A1101/32,1)+1)</f>
        <v>35</v>
      </c>
      <c r="C1101" s="6" t="n">
        <f aca="false">ROUND($B$2*(A1101+1)^2.4*1.004^A1101,0)</f>
        <v>141542758190</v>
      </c>
      <c r="D1101" s="6" t="n">
        <f aca="false">ROUND($D$2*(A1101+1)^2.4*1.004^A1101,0)</f>
        <v>125815785058</v>
      </c>
      <c r="E1101" s="6" t="n">
        <f aca="false">ROUND($F$2*(A1101+1)^2.4*1.004^A1101,0)</f>
        <v>110088811926</v>
      </c>
      <c r="F1101" s="6" t="n">
        <f aca="false">ROUND(Building_Levels!$I$2*(A1101+1)^1.9*1.003^A1101,2)</f>
        <v>6881.39</v>
      </c>
      <c r="G1101" s="6" t="n">
        <f aca="false">ROUND((A1101+1)^1.12,1)</f>
        <v>2541.2</v>
      </c>
    </row>
    <row r="1102" customFormat="false" ht="15" hidden="false" customHeight="true" outlineLevel="0" collapsed="false">
      <c r="A1102" s="6" t="n">
        <v>1097</v>
      </c>
      <c r="B1102" s="6" t="n">
        <f aca="false">MIN(42, FLOOR(A1102/32,1)+1)</f>
        <v>35</v>
      </c>
      <c r="C1102" s="6" t="n">
        <f aca="false">ROUND($B$2*(A1102+1)^2.4*1.004^A1102,0)</f>
        <v>142420031401</v>
      </c>
      <c r="D1102" s="6" t="n">
        <f aca="false">ROUND($D$2*(A1102+1)^2.4*1.004^A1102,0)</f>
        <v>126595583467</v>
      </c>
      <c r="E1102" s="6" t="n">
        <f aca="false">ROUND($F$2*(A1102+1)^2.4*1.004^A1102,0)</f>
        <v>110771135534</v>
      </c>
      <c r="F1102" s="6" t="n">
        <f aca="false">ROUND(Building_Levels!$I$2*(A1102+1)^1.9*1.003^A1102,2)</f>
        <v>6914</v>
      </c>
      <c r="G1102" s="6" t="n">
        <f aca="false">ROUND((A1102+1)^1.12,1)</f>
        <v>2543.8</v>
      </c>
    </row>
    <row r="1103" customFormat="false" ht="15" hidden="false" customHeight="true" outlineLevel="0" collapsed="false">
      <c r="A1103" s="6" t="n">
        <v>1098</v>
      </c>
      <c r="B1103" s="6" t="n">
        <f aca="false">MIN(42, FLOOR(A1103/32,1)+1)</f>
        <v>35</v>
      </c>
      <c r="C1103" s="6" t="n">
        <f aca="false">ROUND($B$2*(A1103+1)^2.4*1.004^A1103,0)</f>
        <v>143302456623</v>
      </c>
      <c r="D1103" s="6" t="n">
        <f aca="false">ROUND($D$2*(A1103+1)^2.4*1.004^A1103,0)</f>
        <v>127379961443</v>
      </c>
      <c r="E1103" s="6" t="n">
        <f aca="false">ROUND($F$2*(A1103+1)^2.4*1.004^A1103,0)</f>
        <v>111457466262</v>
      </c>
      <c r="F1103" s="6" t="n">
        <f aca="false">ROUND(Building_Levels!$I$2*(A1103+1)^1.9*1.003^A1103,2)</f>
        <v>6946.74</v>
      </c>
      <c r="G1103" s="6" t="n">
        <f aca="false">ROUND((A1103+1)^1.12,1)</f>
        <v>2546.3</v>
      </c>
    </row>
    <row r="1104" customFormat="false" ht="15" hidden="false" customHeight="true" outlineLevel="0" collapsed="false">
      <c r="A1104" s="6" t="n">
        <v>1099</v>
      </c>
      <c r="B1104" s="6" t="n">
        <f aca="false">MIN(42, FLOOR(A1104/32,1)+1)</f>
        <v>35</v>
      </c>
      <c r="C1104" s="6" t="n">
        <f aca="false">ROUND($B$2*(A1104+1)^2.4*1.004^A1104,0)</f>
        <v>144190062777</v>
      </c>
      <c r="D1104" s="6" t="n">
        <f aca="false">ROUND($D$2*(A1104+1)^2.4*1.004^A1104,0)</f>
        <v>128168944690</v>
      </c>
      <c r="E1104" s="6" t="n">
        <f aca="false">ROUND($F$2*(A1104+1)^2.4*1.004^A1104,0)</f>
        <v>112147826604</v>
      </c>
      <c r="F1104" s="6" t="n">
        <f aca="false">ROUND(Building_Levels!$I$2*(A1104+1)^1.9*1.003^A1104,2)</f>
        <v>6979.63</v>
      </c>
      <c r="G1104" s="6" t="n">
        <f aca="false">ROUND((A1104+1)^1.12,1)</f>
        <v>2548.9</v>
      </c>
    </row>
    <row r="1105" customFormat="false" ht="15" hidden="false" customHeight="true" outlineLevel="0" collapsed="false">
      <c r="A1105" s="6" t="n">
        <v>1100</v>
      </c>
      <c r="B1105" s="6" t="n">
        <f aca="false">MIN(42, FLOOR(A1105/32,1)+1)</f>
        <v>35</v>
      </c>
      <c r="C1105" s="6" t="n">
        <f aca="false">ROUND($B$2*(A1105+1)^2.4*1.004^A1105,0)</f>
        <v>145082878937</v>
      </c>
      <c r="D1105" s="6" t="n">
        <f aca="false">ROUND($D$2*(A1105+1)^2.4*1.004^A1105,0)</f>
        <v>128962559055</v>
      </c>
      <c r="E1105" s="6" t="n">
        <f aca="false">ROUND($F$2*(A1105+1)^2.4*1.004^A1105,0)</f>
        <v>112842239173</v>
      </c>
      <c r="F1105" s="6" t="n">
        <f aca="false">ROUND(Building_Levels!$I$2*(A1105+1)^1.9*1.003^A1105,2)</f>
        <v>7012.67</v>
      </c>
      <c r="G1105" s="6" t="n">
        <f aca="false">ROUND((A1105+1)^1.12,1)</f>
        <v>2551.5</v>
      </c>
    </row>
    <row r="1106" customFormat="false" ht="15" hidden="false" customHeight="true" outlineLevel="0" collapsed="false">
      <c r="A1106" s="6" t="n">
        <v>1101</v>
      </c>
      <c r="B1106" s="6" t="n">
        <f aca="false">MIN(42, FLOOR(A1106/32,1)+1)</f>
        <v>35</v>
      </c>
      <c r="C1106" s="6" t="n">
        <f aca="false">ROUND($B$2*(A1106+1)^2.4*1.004^A1106,0)</f>
        <v>145980934338</v>
      </c>
      <c r="D1106" s="6" t="n">
        <f aca="false">ROUND($D$2*(A1106+1)^2.4*1.004^A1106,0)</f>
        <v>129760830523</v>
      </c>
      <c r="E1106" s="6" t="n">
        <f aca="false">ROUND($F$2*(A1106+1)^2.4*1.004^A1106,0)</f>
        <v>113540726707</v>
      </c>
      <c r="F1106" s="6" t="n">
        <f aca="false">ROUND(Building_Levels!$I$2*(A1106+1)^1.9*1.003^A1106,2)</f>
        <v>7045.85</v>
      </c>
      <c r="G1106" s="6" t="n">
        <f aca="false">ROUND((A1106+1)^1.12,1)</f>
        <v>2554.1</v>
      </c>
    </row>
    <row r="1107" customFormat="false" ht="15" hidden="false" customHeight="true" outlineLevel="0" collapsed="false">
      <c r="A1107" s="6" t="n">
        <v>1102</v>
      </c>
      <c r="B1107" s="6" t="n">
        <f aca="false">MIN(42, FLOOR(A1107/32,1)+1)</f>
        <v>35</v>
      </c>
      <c r="C1107" s="6" t="n">
        <f aca="false">ROUND($B$2*(A1107+1)^2.4*1.004^A1107,0)</f>
        <v>146884258370</v>
      </c>
      <c r="D1107" s="6" t="n">
        <f aca="false">ROUND($D$2*(A1107+1)^2.4*1.004^A1107,0)</f>
        <v>130563785218</v>
      </c>
      <c r="E1107" s="6" t="n">
        <f aca="false">ROUND($F$2*(A1107+1)^2.4*1.004^A1107,0)</f>
        <v>114243312066</v>
      </c>
      <c r="F1107" s="6" t="n">
        <f aca="false">ROUND(Building_Levels!$I$2*(A1107+1)^1.9*1.003^A1107,2)</f>
        <v>7079.18</v>
      </c>
      <c r="G1107" s="6" t="n">
        <f aca="false">ROUND((A1107+1)^1.12,1)</f>
        <v>2556.7</v>
      </c>
    </row>
    <row r="1108" customFormat="false" ht="15" hidden="false" customHeight="true" outlineLevel="0" collapsed="false">
      <c r="A1108" s="6" t="n">
        <v>1103</v>
      </c>
      <c r="B1108" s="6" t="n">
        <f aca="false">MIN(42, FLOOR(A1108/32,1)+1)</f>
        <v>35</v>
      </c>
      <c r="C1108" s="6" t="n">
        <f aca="false">ROUND($B$2*(A1108+1)^2.4*1.004^A1108,0)</f>
        <v>147792880583</v>
      </c>
      <c r="D1108" s="6" t="n">
        <f aca="false">ROUND($D$2*(A1108+1)^2.4*1.004^A1108,0)</f>
        <v>131371449407</v>
      </c>
      <c r="E1108" s="6" t="n">
        <f aca="false">ROUND($F$2*(A1108+1)^2.4*1.004^A1108,0)</f>
        <v>114950018231</v>
      </c>
      <c r="F1108" s="6" t="n">
        <f aca="false">ROUND(Building_Levels!$I$2*(A1108+1)^1.9*1.003^A1108,2)</f>
        <v>7112.65</v>
      </c>
      <c r="G1108" s="6" t="n">
        <f aca="false">ROUND((A1108+1)^1.12,1)</f>
        <v>2559.3</v>
      </c>
    </row>
    <row r="1109" customFormat="false" ht="15" hidden="false" customHeight="true" outlineLevel="0" collapsed="false">
      <c r="A1109" s="6" t="n">
        <v>1104</v>
      </c>
      <c r="B1109" s="6" t="n">
        <f aca="false">MIN(42, FLOOR(A1109/32,1)+1)</f>
        <v>35</v>
      </c>
      <c r="C1109" s="6" t="n">
        <f aca="false">ROUND($B$2*(A1109+1)^2.4*1.004^A1109,0)</f>
        <v>148706830687</v>
      </c>
      <c r="D1109" s="6" t="n">
        <f aca="false">ROUND($D$2*(A1109+1)^2.4*1.004^A1109,0)</f>
        <v>132183849500</v>
      </c>
      <c r="E1109" s="6" t="n">
        <f aca="false">ROUND($F$2*(A1109+1)^2.4*1.004^A1109,0)</f>
        <v>115660868312</v>
      </c>
      <c r="F1109" s="6" t="n">
        <f aca="false">ROUND(Building_Levels!$I$2*(A1109+1)^1.9*1.003^A1109,2)</f>
        <v>7146.27</v>
      </c>
      <c r="G1109" s="6" t="n">
        <f aca="false">ROUND((A1109+1)^1.12,1)</f>
        <v>2561.9</v>
      </c>
    </row>
    <row r="1110" customFormat="false" ht="15" hidden="false" customHeight="true" outlineLevel="0" collapsed="false">
      <c r="A1110" s="6" t="n">
        <v>1105</v>
      </c>
      <c r="B1110" s="6" t="n">
        <f aca="false">MIN(42, FLOOR(A1110/32,1)+1)</f>
        <v>35</v>
      </c>
      <c r="C1110" s="6" t="n">
        <f aca="false">ROUND($B$2*(A1110+1)^2.4*1.004^A1110,0)</f>
        <v>149626138552</v>
      </c>
      <c r="D1110" s="6" t="n">
        <f aca="false">ROUND($D$2*(A1110+1)^2.4*1.004^A1110,0)</f>
        <v>133001012046</v>
      </c>
      <c r="E1110" s="6" t="n">
        <f aca="false">ROUND($F$2*(A1110+1)^2.4*1.004^A1110,0)</f>
        <v>116375885541</v>
      </c>
      <c r="F1110" s="6" t="n">
        <f aca="false">ROUND(Building_Levels!$I$2*(A1110+1)^1.9*1.003^A1110,2)</f>
        <v>7180.04</v>
      </c>
      <c r="G1110" s="6" t="n">
        <f aca="false">ROUND((A1110+1)^1.12,1)</f>
        <v>2564.5</v>
      </c>
    </row>
    <row r="1111" customFormat="false" ht="15" hidden="false" customHeight="true" outlineLevel="0" collapsed="false">
      <c r="A1111" s="6" t="n">
        <v>1106</v>
      </c>
      <c r="B1111" s="6" t="n">
        <f aca="false">MIN(42, FLOOR(A1111/32,1)+1)</f>
        <v>35</v>
      </c>
      <c r="C1111" s="6" t="n">
        <f aca="false">ROUND($B$2*(A1111+1)^2.4*1.004^A1111,0)</f>
        <v>150550834210</v>
      </c>
      <c r="D1111" s="6" t="n">
        <f aca="false">ROUND($D$2*(A1111+1)^2.4*1.004^A1111,0)</f>
        <v>133822963742</v>
      </c>
      <c r="E1111" s="6" t="n">
        <f aca="false">ROUND($F$2*(A1111+1)^2.4*1.004^A1111,0)</f>
        <v>117095093274</v>
      </c>
      <c r="F1111" s="6" t="n">
        <f aca="false">ROUND(Building_Levels!$I$2*(A1111+1)^1.9*1.003^A1111,2)</f>
        <v>7213.96</v>
      </c>
      <c r="G1111" s="6" t="n">
        <f aca="false">ROUND((A1111+1)^1.12,1)</f>
        <v>2567.1</v>
      </c>
    </row>
    <row r="1112" customFormat="false" ht="15" hidden="false" customHeight="true" outlineLevel="0" collapsed="false">
      <c r="A1112" s="6" t="n">
        <v>1107</v>
      </c>
      <c r="B1112" s="6" t="n">
        <f aca="false">MIN(42, FLOOR(A1112/32,1)+1)</f>
        <v>35</v>
      </c>
      <c r="C1112" s="6" t="n">
        <f aca="false">ROUND($B$2*(A1112+1)^2.4*1.004^A1112,0)</f>
        <v>151480947854</v>
      </c>
      <c r="D1112" s="6" t="n">
        <f aca="false">ROUND($D$2*(A1112+1)^2.4*1.004^A1112,0)</f>
        <v>134649731425</v>
      </c>
      <c r="E1112" s="6" t="n">
        <f aca="false">ROUND($F$2*(A1112+1)^2.4*1.004^A1112,0)</f>
        <v>117818514997</v>
      </c>
      <c r="F1112" s="6" t="n">
        <f aca="false">ROUND(Building_Levels!$I$2*(A1112+1)^1.9*1.003^A1112,2)</f>
        <v>7248.02</v>
      </c>
      <c r="G1112" s="6" t="n">
        <f aca="false">ROUND((A1112+1)^1.12,1)</f>
        <v>2569.7</v>
      </c>
    </row>
    <row r="1113" customFormat="false" ht="15" hidden="false" customHeight="true" outlineLevel="0" collapsed="false">
      <c r="A1113" s="6" t="n">
        <v>1108</v>
      </c>
      <c r="B1113" s="6" t="n">
        <f aca="false">MIN(42, FLOOR(A1113/32,1)+1)</f>
        <v>35</v>
      </c>
      <c r="C1113" s="6" t="n">
        <f aca="false">ROUND($B$2*(A1113+1)^2.4*1.004^A1113,0)</f>
        <v>152416509841</v>
      </c>
      <c r="D1113" s="6" t="n">
        <f aca="false">ROUND($D$2*(A1113+1)^2.4*1.004^A1113,0)</f>
        <v>135481342081</v>
      </c>
      <c r="E1113" s="6" t="n">
        <f aca="false">ROUND($F$2*(A1113+1)^2.4*1.004^A1113,0)</f>
        <v>118546174320</v>
      </c>
      <c r="F1113" s="6" t="n">
        <f aca="false">ROUND(Building_Levels!$I$2*(A1113+1)^1.9*1.003^A1113,2)</f>
        <v>7282.24</v>
      </c>
      <c r="G1113" s="6" t="n">
        <f aca="false">ROUND((A1113+1)^1.12,1)</f>
        <v>2572.3</v>
      </c>
    </row>
    <row r="1114" customFormat="false" ht="15" hidden="false" customHeight="true" outlineLevel="0" collapsed="false">
      <c r="A1114" s="6" t="n">
        <v>1109</v>
      </c>
      <c r="B1114" s="6" t="n">
        <f aca="false">MIN(42, FLOOR(A1114/32,1)+1)</f>
        <v>35</v>
      </c>
      <c r="C1114" s="6" t="n">
        <f aca="false">ROUND($B$2*(A1114+1)^2.4*1.004^A1114,0)</f>
        <v>153357550691</v>
      </c>
      <c r="D1114" s="6" t="n">
        <f aca="false">ROUND($D$2*(A1114+1)^2.4*1.004^A1114,0)</f>
        <v>136317822837</v>
      </c>
      <c r="E1114" s="6" t="n">
        <f aca="false">ROUND($F$2*(A1114+1)^2.4*1.004^A1114,0)</f>
        <v>119278094982</v>
      </c>
      <c r="F1114" s="6" t="n">
        <f aca="false">ROUND(Building_Levels!$I$2*(A1114+1)^1.9*1.003^A1114,2)</f>
        <v>7316.6</v>
      </c>
      <c r="G1114" s="6" t="n">
        <f aca="false">ROUND((A1114+1)^1.12,1)</f>
        <v>2574.9</v>
      </c>
    </row>
    <row r="1115" customFormat="false" ht="15" hidden="false" customHeight="true" outlineLevel="0" collapsed="false">
      <c r="A1115" s="6" t="n">
        <v>1110</v>
      </c>
      <c r="B1115" s="6" t="n">
        <f aca="false">MIN(42, FLOOR(A1115/32,1)+1)</f>
        <v>35</v>
      </c>
      <c r="C1115" s="6" t="n">
        <f aca="false">ROUND($B$2*(A1115+1)^2.4*1.004^A1115,0)</f>
        <v>154304101092</v>
      </c>
      <c r="D1115" s="6" t="n">
        <f aca="false">ROUND($D$2*(A1115+1)^2.4*1.004^A1115,0)</f>
        <v>137159200970</v>
      </c>
      <c r="E1115" s="6" t="n">
        <f aca="false">ROUND($F$2*(A1115+1)^2.4*1.004^A1115,0)</f>
        <v>120014300849</v>
      </c>
      <c r="F1115" s="6" t="n">
        <f aca="false">ROUND(Building_Levels!$I$2*(A1115+1)^1.9*1.003^A1115,2)</f>
        <v>7351.12</v>
      </c>
      <c r="G1115" s="6" t="n">
        <f aca="false">ROUND((A1115+1)^1.12,1)</f>
        <v>2577.5</v>
      </c>
    </row>
    <row r="1116" customFormat="false" ht="15" hidden="false" customHeight="true" outlineLevel="0" collapsed="false">
      <c r="A1116" s="6" t="n">
        <v>1111</v>
      </c>
      <c r="B1116" s="6" t="n">
        <f aca="false">MIN(42, FLOOR(A1116/32,1)+1)</f>
        <v>35</v>
      </c>
      <c r="C1116" s="6" t="n">
        <f aca="false">ROUND($B$2*(A1116+1)^2.4*1.004^A1116,0)</f>
        <v>155256191893</v>
      </c>
      <c r="D1116" s="6" t="n">
        <f aca="false">ROUND($D$2*(A1116+1)^2.4*1.004^A1116,0)</f>
        <v>138005503905</v>
      </c>
      <c r="E1116" s="6" t="n">
        <f aca="false">ROUND($F$2*(A1116+1)^2.4*1.004^A1116,0)</f>
        <v>120754815917</v>
      </c>
      <c r="F1116" s="6" t="n">
        <f aca="false">ROUND(Building_Levels!$I$2*(A1116+1)^1.9*1.003^A1116,2)</f>
        <v>7385.79</v>
      </c>
      <c r="G1116" s="6" t="n">
        <f aca="false">ROUND((A1116+1)^1.12,1)</f>
        <v>2580.1</v>
      </c>
    </row>
    <row r="1117" customFormat="false" ht="15" hidden="false" customHeight="true" outlineLevel="0" collapsed="false">
      <c r="A1117" s="6" t="n">
        <v>1112</v>
      </c>
      <c r="B1117" s="6" t="n">
        <f aca="false">MIN(42, FLOOR(A1117/32,1)+1)</f>
        <v>35</v>
      </c>
      <c r="C1117" s="6" t="n">
        <f aca="false">ROUND($B$2*(A1117+1)^2.4*1.004^A1117,0)</f>
        <v>156213854112</v>
      </c>
      <c r="D1117" s="6" t="n">
        <f aca="false">ROUND($D$2*(A1117+1)^2.4*1.004^A1117,0)</f>
        <v>138856759211</v>
      </c>
      <c r="E1117" s="6" t="n">
        <f aca="false">ROUND($F$2*(A1117+1)^2.4*1.004^A1117,0)</f>
        <v>121499664309</v>
      </c>
      <c r="F1117" s="6" t="n">
        <f aca="false">ROUND(Building_Levels!$I$2*(A1117+1)^1.9*1.003^A1117,2)</f>
        <v>7420.61</v>
      </c>
      <c r="G1117" s="6" t="n">
        <f aca="false">ROUND((A1117+1)^1.12,1)</f>
        <v>2582.7</v>
      </c>
    </row>
    <row r="1118" customFormat="false" ht="15" hidden="false" customHeight="true" outlineLevel="0" collapsed="false">
      <c r="A1118" s="6" t="n">
        <v>1113</v>
      </c>
      <c r="B1118" s="6" t="n">
        <f aca="false">MIN(42, FLOOR(A1118/32,1)+1)</f>
        <v>35</v>
      </c>
      <c r="C1118" s="6" t="n">
        <f aca="false">ROUND($B$2*(A1118+1)^2.4*1.004^A1118,0)</f>
        <v>157177118934</v>
      </c>
      <c r="D1118" s="6" t="n">
        <f aca="false">ROUND($D$2*(A1118+1)^2.4*1.004^A1118,0)</f>
        <v>139712994608</v>
      </c>
      <c r="E1118" s="6" t="n">
        <f aca="false">ROUND($F$2*(A1118+1)^2.4*1.004^A1118,0)</f>
        <v>122248870282</v>
      </c>
      <c r="F1118" s="6" t="n">
        <f aca="false">ROUND(Building_Levels!$I$2*(A1118+1)^1.9*1.003^A1118,2)</f>
        <v>7455.58</v>
      </c>
      <c r="G1118" s="6" t="n">
        <f aca="false">ROUND((A1118+1)^1.12,1)</f>
        <v>2585.3</v>
      </c>
    </row>
    <row r="1119" customFormat="false" ht="15" hidden="false" customHeight="true" outlineLevel="0" collapsed="false">
      <c r="A1119" s="6" t="n">
        <v>1114</v>
      </c>
      <c r="B1119" s="6" t="n">
        <f aca="false">MIN(42, FLOOR(A1119/32,1)+1)</f>
        <v>35</v>
      </c>
      <c r="C1119" s="6" t="n">
        <f aca="false">ROUND($B$2*(A1119+1)^2.4*1.004^A1119,0)</f>
        <v>158146017713</v>
      </c>
      <c r="D1119" s="6" t="n">
        <f aca="false">ROUND($D$2*(A1119+1)^2.4*1.004^A1119,0)</f>
        <v>140574237967</v>
      </c>
      <c r="E1119" s="6" t="n">
        <f aca="false">ROUND($F$2*(A1119+1)^2.4*1.004^A1119,0)</f>
        <v>123002458222</v>
      </c>
      <c r="F1119" s="6" t="n">
        <f aca="false">ROUND(Building_Levels!$I$2*(A1119+1)^1.9*1.003^A1119,2)</f>
        <v>7490.71</v>
      </c>
      <c r="G1119" s="6" t="n">
        <f aca="false">ROUND((A1119+1)^1.12,1)</f>
        <v>2587.9</v>
      </c>
    </row>
    <row r="1120" customFormat="false" ht="15" hidden="false" customHeight="true" outlineLevel="0" collapsed="false">
      <c r="A1120" s="6" t="n">
        <v>1115</v>
      </c>
      <c r="B1120" s="6" t="n">
        <f aca="false">MIN(42, FLOOR(A1120/32,1)+1)</f>
        <v>35</v>
      </c>
      <c r="C1120" s="6" t="n">
        <f aca="false">ROUND($B$2*(A1120+1)^2.4*1.004^A1120,0)</f>
        <v>159120581972</v>
      </c>
      <c r="D1120" s="6" t="n">
        <f aca="false">ROUND($D$2*(A1120+1)^2.4*1.004^A1120,0)</f>
        <v>141440517308</v>
      </c>
      <c r="E1120" s="6" t="n">
        <f aca="false">ROUND($F$2*(A1120+1)^2.4*1.004^A1120,0)</f>
        <v>123760452645</v>
      </c>
      <c r="F1120" s="6" t="n">
        <f aca="false">ROUND(Building_Levels!$I$2*(A1120+1)^1.9*1.003^A1120,2)</f>
        <v>7525.99</v>
      </c>
      <c r="G1120" s="6" t="n">
        <f aca="false">ROUND((A1120+1)^1.12,1)</f>
        <v>2590.5</v>
      </c>
    </row>
    <row r="1121" customFormat="false" ht="15" hidden="false" customHeight="true" outlineLevel="0" collapsed="false">
      <c r="A1121" s="6" t="n">
        <v>1116</v>
      </c>
      <c r="B1121" s="6" t="n">
        <f aca="false">MIN(42, FLOOR(A1121/32,1)+1)</f>
        <v>35</v>
      </c>
      <c r="C1121" s="6" t="n">
        <f aca="false">ROUND($B$2*(A1121+1)^2.4*1.004^A1121,0)</f>
        <v>160100843401</v>
      </c>
      <c r="D1121" s="6" t="n">
        <f aca="false">ROUND($D$2*(A1121+1)^2.4*1.004^A1121,0)</f>
        <v>142311860801</v>
      </c>
      <c r="E1121" s="6" t="n">
        <f aca="false">ROUND($F$2*(A1121+1)^2.4*1.004^A1121,0)</f>
        <v>124522878201</v>
      </c>
      <c r="F1121" s="6" t="n">
        <f aca="false">ROUND(Building_Levels!$I$2*(A1121+1)^1.9*1.003^A1121,2)</f>
        <v>7561.42</v>
      </c>
      <c r="G1121" s="6" t="n">
        <f aca="false">ROUND((A1121+1)^1.12,1)</f>
        <v>2593.1</v>
      </c>
    </row>
    <row r="1122" customFormat="false" ht="15" hidden="false" customHeight="true" outlineLevel="0" collapsed="false">
      <c r="A1122" s="6" t="n">
        <v>1117</v>
      </c>
      <c r="B1122" s="6" t="n">
        <f aca="false">MIN(42, FLOOR(A1122/32,1)+1)</f>
        <v>35</v>
      </c>
      <c r="C1122" s="6" t="n">
        <f aca="false">ROUND($B$2*(A1122+1)^2.4*1.004^A1122,0)</f>
        <v>161086833866</v>
      </c>
      <c r="D1122" s="6" t="n">
        <f aca="false">ROUND($D$2*(A1122+1)^2.4*1.004^A1122,0)</f>
        <v>143188296770</v>
      </c>
      <c r="E1122" s="6" t="n">
        <f aca="false">ROUND($F$2*(A1122+1)^2.4*1.004^A1122,0)</f>
        <v>125289759673</v>
      </c>
      <c r="F1122" s="6" t="n">
        <f aca="false">ROUND(Building_Levels!$I$2*(A1122+1)^1.9*1.003^A1122,2)</f>
        <v>7597.01</v>
      </c>
      <c r="G1122" s="6" t="n">
        <f aca="false">ROUND((A1122+1)^1.12,1)</f>
        <v>2595.7</v>
      </c>
    </row>
    <row r="1123" customFormat="false" ht="15" hidden="false" customHeight="true" outlineLevel="0" collapsed="false">
      <c r="A1123" s="6" t="n">
        <v>1118</v>
      </c>
      <c r="B1123" s="6" t="n">
        <f aca="false">MIN(42, FLOOR(A1123/32,1)+1)</f>
        <v>35</v>
      </c>
      <c r="C1123" s="6" t="n">
        <f aca="false">ROUND($B$2*(A1123+1)^2.4*1.004^A1123,0)</f>
        <v>162078585400</v>
      </c>
      <c r="D1123" s="6" t="n">
        <f aca="false">ROUND($D$2*(A1123+1)^2.4*1.004^A1123,0)</f>
        <v>144069853689</v>
      </c>
      <c r="E1123" s="6" t="n">
        <f aca="false">ROUND($F$2*(A1123+1)^2.4*1.004^A1123,0)</f>
        <v>126061121978</v>
      </c>
      <c r="F1123" s="6" t="n">
        <f aca="false">ROUND(Building_Levels!$I$2*(A1123+1)^1.9*1.003^A1123,2)</f>
        <v>7632.76</v>
      </c>
      <c r="G1123" s="6" t="n">
        <f aca="false">ROUND((A1123+1)^1.12,1)</f>
        <v>2598.3</v>
      </c>
    </row>
    <row r="1124" customFormat="false" ht="15" hidden="false" customHeight="true" outlineLevel="0" collapsed="false">
      <c r="A1124" s="6" t="n">
        <v>1119</v>
      </c>
      <c r="B1124" s="6" t="n">
        <f aca="false">MIN(42, FLOOR(A1124/32,1)+1)</f>
        <v>35</v>
      </c>
      <c r="C1124" s="6" t="n">
        <f aca="false">ROUND($B$2*(A1124+1)^2.4*1.004^A1124,0)</f>
        <v>163076130213</v>
      </c>
      <c r="D1124" s="6" t="n">
        <f aca="false">ROUND($D$2*(A1124+1)^2.4*1.004^A1124,0)</f>
        <v>144956560189</v>
      </c>
      <c r="E1124" s="6" t="n">
        <f aca="false">ROUND($F$2*(A1124+1)^2.4*1.004^A1124,0)</f>
        <v>126836990166</v>
      </c>
      <c r="F1124" s="6" t="n">
        <f aca="false">ROUND(Building_Levels!$I$2*(A1124+1)^1.9*1.003^A1124,2)</f>
        <v>7668.66</v>
      </c>
      <c r="G1124" s="6" t="n">
        <f aca="false">ROUND((A1124+1)^1.12,1)</f>
        <v>2600.9</v>
      </c>
    </row>
    <row r="1125" customFormat="false" ht="15" hidden="false" customHeight="true" outlineLevel="0" collapsed="false">
      <c r="A1125" s="6" t="n">
        <v>1120</v>
      </c>
      <c r="B1125" s="6" t="n">
        <f aca="false">MIN(42, FLOOR(A1125/32,1)+1)</f>
        <v>36</v>
      </c>
      <c r="C1125" s="6" t="n">
        <f aca="false">ROUND($B$2*(A1125+1)^2.4*1.004^A1125,0)</f>
        <v>164079500685</v>
      </c>
      <c r="D1125" s="6" t="n">
        <f aca="false">ROUND($D$2*(A1125+1)^2.4*1.004^A1125,0)</f>
        <v>145848445053</v>
      </c>
      <c r="E1125" s="6" t="n">
        <f aca="false">ROUND($F$2*(A1125+1)^2.4*1.004^A1125,0)</f>
        <v>127617389422</v>
      </c>
      <c r="F1125" s="6" t="n">
        <f aca="false">ROUND(Building_Levels!$I$2*(A1125+1)^1.9*1.003^A1125,2)</f>
        <v>7704.72</v>
      </c>
      <c r="G1125" s="6" t="n">
        <f aca="false">ROUND((A1125+1)^1.12,1)</f>
        <v>2603.5</v>
      </c>
    </row>
    <row r="1126" customFormat="false" ht="15" hidden="false" customHeight="true" outlineLevel="0" collapsed="false">
      <c r="A1126" s="6" t="n">
        <v>1121</v>
      </c>
      <c r="B1126" s="6" t="n">
        <f aca="false">MIN(42, FLOOR(A1126/32,1)+1)</f>
        <v>36</v>
      </c>
      <c r="C1126" s="6" t="n">
        <f aca="false">ROUND($B$2*(A1126+1)^2.4*1.004^A1126,0)</f>
        <v>165088729372</v>
      </c>
      <c r="D1126" s="6" t="n">
        <f aca="false">ROUND($D$2*(A1126+1)^2.4*1.004^A1126,0)</f>
        <v>146745537220</v>
      </c>
      <c r="E1126" s="6" t="n">
        <f aca="false">ROUND($F$2*(A1126+1)^2.4*1.004^A1126,0)</f>
        <v>128402345067</v>
      </c>
      <c r="F1126" s="6" t="n">
        <f aca="false">ROUND(Building_Levels!$I$2*(A1126+1)^1.9*1.003^A1126,2)</f>
        <v>7740.94</v>
      </c>
      <c r="G1126" s="6" t="n">
        <f aca="false">ROUND((A1126+1)^1.12,1)</f>
        <v>2606.1</v>
      </c>
    </row>
    <row r="1127" customFormat="false" ht="15" hidden="false" customHeight="true" outlineLevel="0" collapsed="false">
      <c r="A1127" s="6" t="n">
        <v>1122</v>
      </c>
      <c r="B1127" s="6" t="n">
        <f aca="false">MIN(42, FLOOR(A1127/32,1)+1)</f>
        <v>36</v>
      </c>
      <c r="C1127" s="6" t="n">
        <f aca="false">ROUND($B$2*(A1127+1)^2.4*1.004^A1127,0)</f>
        <v>166103849006</v>
      </c>
      <c r="D1127" s="6" t="n">
        <f aca="false">ROUND($D$2*(A1127+1)^2.4*1.004^A1127,0)</f>
        <v>147647865784</v>
      </c>
      <c r="E1127" s="6" t="n">
        <f aca="false">ROUND($F$2*(A1127+1)^2.4*1.004^A1127,0)</f>
        <v>129191882561</v>
      </c>
      <c r="F1127" s="6" t="n">
        <f aca="false">ROUND(Building_Levels!$I$2*(A1127+1)^1.9*1.003^A1127,2)</f>
        <v>7777.31</v>
      </c>
      <c r="G1127" s="6" t="n">
        <f aca="false">ROUND((A1127+1)^1.12,1)</f>
        <v>2608.7</v>
      </c>
    </row>
    <row r="1128" customFormat="false" ht="15" hidden="false" customHeight="true" outlineLevel="0" collapsed="false">
      <c r="A1128" s="6" t="n">
        <v>1123</v>
      </c>
      <c r="B1128" s="6" t="n">
        <f aca="false">MIN(42, FLOOR(A1128/32,1)+1)</f>
        <v>36</v>
      </c>
      <c r="C1128" s="6" t="n">
        <f aca="false">ROUND($B$2*(A1128+1)^2.4*1.004^A1128,0)</f>
        <v>167124892495</v>
      </c>
      <c r="D1128" s="6" t="n">
        <f aca="false">ROUND($D$2*(A1128+1)^2.4*1.004^A1128,0)</f>
        <v>148555459996</v>
      </c>
      <c r="E1128" s="6" t="n">
        <f aca="false">ROUND($F$2*(A1128+1)^2.4*1.004^A1128,0)</f>
        <v>129986027496</v>
      </c>
      <c r="F1128" s="6" t="n">
        <f aca="false">ROUND(Building_Levels!$I$2*(A1128+1)^1.9*1.003^A1128,2)</f>
        <v>7813.85</v>
      </c>
      <c r="G1128" s="6" t="n">
        <f aca="false">ROUND((A1128+1)^1.12,1)</f>
        <v>2611.3</v>
      </c>
    </row>
    <row r="1129" customFormat="false" ht="15" hidden="false" customHeight="true" outlineLevel="0" collapsed="false">
      <c r="A1129" s="6" t="n">
        <v>1124</v>
      </c>
      <c r="B1129" s="6" t="n">
        <f aca="false">MIN(42, FLOOR(A1129/32,1)+1)</f>
        <v>36</v>
      </c>
      <c r="C1129" s="6" t="n">
        <f aca="false">ROUND($B$2*(A1129+1)^2.4*1.004^A1129,0)</f>
        <v>168151892924</v>
      </c>
      <c r="D1129" s="6" t="n">
        <f aca="false">ROUND($D$2*(A1129+1)^2.4*1.004^A1129,0)</f>
        <v>149468349266</v>
      </c>
      <c r="E1129" s="6" t="n">
        <f aca="false">ROUND($F$2*(A1129+1)^2.4*1.004^A1129,0)</f>
        <v>130784805608</v>
      </c>
      <c r="F1129" s="6" t="n">
        <f aca="false">ROUND(Building_Levels!$I$2*(A1129+1)^1.9*1.003^A1129,2)</f>
        <v>7850.54</v>
      </c>
      <c r="G1129" s="6" t="n">
        <f aca="false">ROUND((A1129+1)^1.12,1)</f>
        <v>2613.9</v>
      </c>
    </row>
    <row r="1130" customFormat="false" ht="15" hidden="false" customHeight="true" outlineLevel="0" collapsed="false">
      <c r="A1130" s="6" t="n">
        <v>1125</v>
      </c>
      <c r="B1130" s="6" t="n">
        <f aca="false">MIN(42, FLOOR(A1130/32,1)+1)</f>
        <v>36</v>
      </c>
      <c r="C1130" s="6" t="n">
        <f aca="false">ROUND($B$2*(A1130+1)^2.4*1.004^A1130,0)</f>
        <v>169184883556</v>
      </c>
      <c r="D1130" s="6" t="n">
        <f aca="false">ROUND($D$2*(A1130+1)^2.4*1.004^A1130,0)</f>
        <v>150386563160</v>
      </c>
      <c r="E1130" s="6" t="n">
        <f aca="false">ROUND($F$2*(A1130+1)^2.4*1.004^A1130,0)</f>
        <v>131588242765</v>
      </c>
      <c r="F1130" s="6" t="n">
        <f aca="false">ROUND(Building_Levels!$I$2*(A1130+1)^1.9*1.003^A1130,2)</f>
        <v>7887.4</v>
      </c>
      <c r="G1130" s="6" t="n">
        <f aca="false">ROUND((A1130+1)^1.12,1)</f>
        <v>2616.5</v>
      </c>
    </row>
    <row r="1131" customFormat="false" ht="15" hidden="false" customHeight="true" outlineLevel="0" collapsed="false">
      <c r="A1131" s="6" t="n">
        <v>1126</v>
      </c>
      <c r="B1131" s="6" t="n">
        <f aca="false">MIN(42, FLOOR(A1131/32,1)+1)</f>
        <v>36</v>
      </c>
      <c r="C1131" s="6" t="n">
        <f aca="false">ROUND($B$2*(A1131+1)^2.4*1.004^A1131,0)</f>
        <v>170223897832</v>
      </c>
      <c r="D1131" s="6" t="n">
        <f aca="false">ROUND($D$2*(A1131+1)^2.4*1.004^A1131,0)</f>
        <v>151310131407</v>
      </c>
      <c r="E1131" s="6" t="n">
        <f aca="false">ROUND($F$2*(A1131+1)^2.4*1.004^A1131,0)</f>
        <v>132396364981</v>
      </c>
      <c r="F1131" s="6" t="n">
        <f aca="false">ROUND(Building_Levels!$I$2*(A1131+1)^1.9*1.003^A1131,2)</f>
        <v>7924.41</v>
      </c>
      <c r="G1131" s="6" t="n">
        <f aca="false">ROUND((A1131+1)^1.12,1)</f>
        <v>2619.1</v>
      </c>
    </row>
    <row r="1132" customFormat="false" ht="15" hidden="false" customHeight="true" outlineLevel="0" collapsed="false">
      <c r="A1132" s="6" t="n">
        <v>1127</v>
      </c>
      <c r="B1132" s="6" t="n">
        <f aca="false">MIN(42, FLOOR(A1132/32,1)+1)</f>
        <v>36</v>
      </c>
      <c r="C1132" s="6" t="n">
        <f aca="false">ROUND($B$2*(A1132+1)^2.4*1.004^A1132,0)</f>
        <v>171268969377</v>
      </c>
      <c r="D1132" s="6" t="n">
        <f aca="false">ROUND($D$2*(A1132+1)^2.4*1.004^A1132,0)</f>
        <v>152239083891</v>
      </c>
      <c r="E1132" s="6" t="n">
        <f aca="false">ROUND($F$2*(A1132+1)^2.4*1.004^A1132,0)</f>
        <v>133209198404</v>
      </c>
      <c r="F1132" s="6" t="n">
        <f aca="false">ROUND(Building_Levels!$I$2*(A1132+1)^1.9*1.003^A1132,2)</f>
        <v>7961.59</v>
      </c>
      <c r="G1132" s="6" t="n">
        <f aca="false">ROUND((A1132+1)^1.12,1)</f>
        <v>2621.7</v>
      </c>
    </row>
    <row r="1133" customFormat="false" ht="15" hidden="false" customHeight="true" outlineLevel="0" collapsed="false">
      <c r="A1133" s="6" t="n">
        <v>1128</v>
      </c>
      <c r="B1133" s="6" t="n">
        <f aca="false">MIN(42, FLOOR(A1133/32,1)+1)</f>
        <v>36</v>
      </c>
      <c r="C1133" s="6" t="n">
        <f aca="false">ROUND($B$2*(A1133+1)^2.4*1.004^A1133,0)</f>
        <v>172320131993</v>
      </c>
      <c r="D1133" s="6" t="n">
        <f aca="false">ROUND($D$2*(A1133+1)^2.4*1.004^A1133,0)</f>
        <v>153173450660</v>
      </c>
      <c r="E1133" s="6" t="n">
        <f aca="false">ROUND($F$2*(A1133+1)^2.4*1.004^A1133,0)</f>
        <v>134026769328</v>
      </c>
      <c r="F1133" s="6" t="n">
        <f aca="false">ROUND(Building_Levels!$I$2*(A1133+1)^1.9*1.003^A1133,2)</f>
        <v>7998.93</v>
      </c>
      <c r="G1133" s="6" t="n">
        <f aca="false">ROUND((A1133+1)^1.12,1)</f>
        <v>2624.3</v>
      </c>
    </row>
    <row r="1134" customFormat="false" ht="15" hidden="false" customHeight="true" outlineLevel="0" collapsed="false">
      <c r="A1134" s="6" t="n">
        <v>1129</v>
      </c>
      <c r="B1134" s="6" t="n">
        <f aca="false">MIN(42, FLOOR(A1134/32,1)+1)</f>
        <v>36</v>
      </c>
      <c r="C1134" s="6" t="n">
        <f aca="false">ROUND($B$2*(A1134+1)^2.4*1.004^A1134,0)</f>
        <v>173377419665</v>
      </c>
      <c r="D1134" s="6" t="n">
        <f aca="false">ROUND($D$2*(A1134+1)^2.4*1.004^A1134,0)</f>
        <v>154113261924</v>
      </c>
      <c r="E1134" s="6" t="n">
        <f aca="false">ROUND($F$2*(A1134+1)^2.4*1.004^A1134,0)</f>
        <v>134849104184</v>
      </c>
      <c r="F1134" s="6" t="n">
        <f aca="false">ROUND(Building_Levels!$I$2*(A1134+1)^1.9*1.003^A1134,2)</f>
        <v>8036.44</v>
      </c>
      <c r="G1134" s="6" t="n">
        <f aca="false">ROUND((A1134+1)^1.12,1)</f>
        <v>2626.9</v>
      </c>
    </row>
    <row r="1135" customFormat="false" ht="15" hidden="false" customHeight="true" outlineLevel="0" collapsed="false">
      <c r="A1135" s="6" t="n">
        <v>1130</v>
      </c>
      <c r="B1135" s="6" t="n">
        <f aca="false">MIN(42, FLOOR(A1135/32,1)+1)</f>
        <v>36</v>
      </c>
      <c r="C1135" s="6" t="n">
        <f aca="false">ROUND($B$2*(A1135+1)^2.4*1.004^A1135,0)</f>
        <v>174440866562</v>
      </c>
      <c r="D1135" s="6" t="n">
        <f aca="false">ROUND($D$2*(A1135+1)^2.4*1.004^A1135,0)</f>
        <v>155058548055</v>
      </c>
      <c r="E1135" s="6" t="n">
        <f aca="false">ROUND($F$2*(A1135+1)^2.4*1.004^A1135,0)</f>
        <v>135676229548</v>
      </c>
      <c r="F1135" s="6" t="n">
        <f aca="false">ROUND(Building_Levels!$I$2*(A1135+1)^1.9*1.003^A1135,2)</f>
        <v>8074.1</v>
      </c>
      <c r="G1135" s="6" t="n">
        <f aca="false">ROUND((A1135+1)^1.12,1)</f>
        <v>2629.5</v>
      </c>
    </row>
    <row r="1136" customFormat="false" ht="15" hidden="false" customHeight="true" outlineLevel="0" collapsed="false">
      <c r="A1136" s="6" t="n">
        <v>1131</v>
      </c>
      <c r="B1136" s="6" t="n">
        <f aca="false">MIN(42, FLOOR(A1136/32,1)+1)</f>
        <v>36</v>
      </c>
      <c r="C1136" s="6" t="n">
        <f aca="false">ROUND($B$2*(A1136+1)^2.4*1.004^A1136,0)</f>
        <v>175510507036</v>
      </c>
      <c r="D1136" s="6" t="n">
        <f aca="false">ROUND($D$2*(A1136+1)^2.4*1.004^A1136,0)</f>
        <v>156009339587</v>
      </c>
      <c r="E1136" s="6" t="n">
        <f aca="false">ROUND($F$2*(A1136+1)^2.4*1.004^A1136,0)</f>
        <v>136508172139</v>
      </c>
      <c r="F1136" s="6" t="n">
        <f aca="false">ROUND(Building_Levels!$I$2*(A1136+1)^1.9*1.003^A1136,2)</f>
        <v>8111.94</v>
      </c>
      <c r="G1136" s="6" t="n">
        <f aca="false">ROUND((A1136+1)^1.12,1)</f>
        <v>2632.1</v>
      </c>
    </row>
    <row r="1137" customFormat="false" ht="15" hidden="false" customHeight="true" outlineLevel="0" collapsed="false">
      <c r="A1137" s="6" t="n">
        <v>1132</v>
      </c>
      <c r="B1137" s="6" t="n">
        <f aca="false">MIN(42, FLOOR(A1137/32,1)+1)</f>
        <v>36</v>
      </c>
      <c r="C1137" s="6" t="n">
        <f aca="false">ROUND($B$2*(A1137+1)^2.4*1.004^A1137,0)</f>
        <v>176586375623</v>
      </c>
      <c r="D1137" s="6" t="n">
        <f aca="false">ROUND($D$2*(A1137+1)^2.4*1.004^A1137,0)</f>
        <v>156965667221</v>
      </c>
      <c r="E1137" s="6" t="n">
        <f aca="false">ROUND($F$2*(A1137+1)^2.4*1.004^A1137,0)</f>
        <v>137344958818</v>
      </c>
      <c r="F1137" s="6" t="n">
        <f aca="false">ROUND(Building_Levels!$I$2*(A1137+1)^1.9*1.003^A1137,2)</f>
        <v>8149.93</v>
      </c>
      <c r="G1137" s="6" t="n">
        <f aca="false">ROUND((A1137+1)^1.12,1)</f>
        <v>2634.7</v>
      </c>
    </row>
    <row r="1138" customFormat="false" ht="15" hidden="false" customHeight="true" outlineLevel="0" collapsed="false">
      <c r="A1138" s="6" t="n">
        <v>1133</v>
      </c>
      <c r="B1138" s="6" t="n">
        <f aca="false">MIN(42, FLOOR(A1138/32,1)+1)</f>
        <v>36</v>
      </c>
      <c r="C1138" s="6" t="n">
        <f aca="false">ROUND($B$2*(A1138+1)^2.4*1.004^A1138,0)</f>
        <v>177668507047</v>
      </c>
      <c r="D1138" s="6" t="n">
        <f aca="false">ROUND($D$2*(A1138+1)^2.4*1.004^A1138,0)</f>
        <v>157927561820</v>
      </c>
      <c r="E1138" s="6" t="n">
        <f aca="false">ROUND($F$2*(A1138+1)^2.4*1.004^A1138,0)</f>
        <v>138186616592</v>
      </c>
      <c r="F1138" s="6" t="n">
        <f aca="false">ROUND(Building_Levels!$I$2*(A1138+1)^1.9*1.003^A1138,2)</f>
        <v>8188.1</v>
      </c>
      <c r="G1138" s="6" t="n">
        <f aca="false">ROUND((A1138+1)^1.12,1)</f>
        <v>2637.3</v>
      </c>
    </row>
    <row r="1139" customFormat="false" ht="15" hidden="false" customHeight="true" outlineLevel="0" collapsed="false">
      <c r="A1139" s="6" t="n">
        <v>1134</v>
      </c>
      <c r="B1139" s="6" t="n">
        <f aca="false">MIN(42, FLOOR(A1139/32,1)+1)</f>
        <v>36</v>
      </c>
      <c r="C1139" s="6" t="n">
        <f aca="false">ROUND($B$2*(A1139+1)^2.4*1.004^A1139,0)</f>
        <v>178756936218</v>
      </c>
      <c r="D1139" s="6" t="n">
        <f aca="false">ROUND($D$2*(A1139+1)^2.4*1.004^A1139,0)</f>
        <v>158895054416</v>
      </c>
      <c r="E1139" s="6" t="n">
        <f aca="false">ROUND($F$2*(A1139+1)^2.4*1.004^A1139,0)</f>
        <v>139033172614</v>
      </c>
      <c r="F1139" s="6" t="n">
        <f aca="false">ROUND(Building_Levels!$I$2*(A1139+1)^1.9*1.003^A1139,2)</f>
        <v>8226.43</v>
      </c>
      <c r="G1139" s="6" t="n">
        <f aca="false">ROUND((A1139+1)^1.12,1)</f>
        <v>2639.9</v>
      </c>
    </row>
    <row r="1140" customFormat="false" ht="15" hidden="false" customHeight="true" outlineLevel="0" collapsed="false">
      <c r="A1140" s="6" t="n">
        <v>1135</v>
      </c>
      <c r="B1140" s="6" t="n">
        <f aca="false">MIN(42, FLOOR(A1140/32,1)+1)</f>
        <v>36</v>
      </c>
      <c r="C1140" s="6" t="n">
        <f aca="false">ROUND($B$2*(A1140+1)^2.4*1.004^A1140,0)</f>
        <v>179851698231</v>
      </c>
      <c r="D1140" s="6" t="n">
        <f aca="false">ROUND($D$2*(A1140+1)^2.4*1.004^A1140,0)</f>
        <v>159868176205</v>
      </c>
      <c r="E1140" s="6" t="n">
        <f aca="false">ROUND($F$2*(A1140+1)^2.4*1.004^A1140,0)</f>
        <v>139884654180</v>
      </c>
      <c r="F1140" s="6" t="n">
        <f aca="false">ROUND(Building_Levels!$I$2*(A1140+1)^1.9*1.003^A1140,2)</f>
        <v>8264.93</v>
      </c>
      <c r="G1140" s="6" t="n">
        <f aca="false">ROUND((A1140+1)^1.12,1)</f>
        <v>2642.6</v>
      </c>
    </row>
    <row r="1141" customFormat="false" ht="15" hidden="false" customHeight="true" outlineLevel="0" collapsed="false">
      <c r="A1141" s="6" t="n">
        <v>1136</v>
      </c>
      <c r="B1141" s="6" t="n">
        <f aca="false">MIN(42, FLOOR(A1141/32,1)+1)</f>
        <v>36</v>
      </c>
      <c r="C1141" s="6" t="n">
        <f aca="false">ROUND($B$2*(A1141+1)^2.4*1.004^A1141,0)</f>
        <v>180952828374</v>
      </c>
      <c r="D1141" s="6" t="n">
        <f aca="false">ROUND($D$2*(A1141+1)^2.4*1.004^A1141,0)</f>
        <v>160846958554</v>
      </c>
      <c r="E1141" s="6" t="n">
        <f aca="false">ROUND($F$2*(A1141+1)^2.4*1.004^A1141,0)</f>
        <v>140741088735</v>
      </c>
      <c r="F1141" s="6" t="n">
        <f aca="false">ROUND(Building_Levels!$I$2*(A1141+1)^1.9*1.003^A1141,2)</f>
        <v>8303.59</v>
      </c>
      <c r="G1141" s="6" t="n">
        <f aca="false">ROUND((A1141+1)^1.12,1)</f>
        <v>2645.2</v>
      </c>
    </row>
    <row r="1142" customFormat="false" ht="15" hidden="false" customHeight="true" outlineLevel="0" collapsed="false">
      <c r="A1142" s="6" t="n">
        <v>1137</v>
      </c>
      <c r="B1142" s="6" t="n">
        <f aca="false">MIN(42, FLOOR(A1142/32,1)+1)</f>
        <v>36</v>
      </c>
      <c r="C1142" s="6" t="n">
        <f aca="false">ROUND($B$2*(A1142+1)^2.4*1.004^A1142,0)</f>
        <v>182060362121</v>
      </c>
      <c r="D1142" s="6" t="n">
        <f aca="false">ROUND($D$2*(A1142+1)^2.4*1.004^A1142,0)</f>
        <v>161831432996</v>
      </c>
      <c r="E1142" s="6" t="n">
        <f aca="false">ROUND($F$2*(A1142+1)^2.4*1.004^A1142,0)</f>
        <v>141602503872</v>
      </c>
      <c r="F1142" s="6" t="n">
        <f aca="false">ROUND(Building_Levels!$I$2*(A1142+1)^1.9*1.003^A1142,2)</f>
        <v>8342.42</v>
      </c>
      <c r="G1142" s="6" t="n">
        <f aca="false">ROUND((A1142+1)^1.12,1)</f>
        <v>2647.8</v>
      </c>
    </row>
    <row r="1143" customFormat="false" ht="15" hidden="false" customHeight="true" outlineLevel="0" collapsed="false">
      <c r="A1143" s="6" t="n">
        <v>1138</v>
      </c>
      <c r="B1143" s="6" t="n">
        <f aca="false">MIN(42, FLOOR(A1143/32,1)+1)</f>
        <v>36</v>
      </c>
      <c r="C1143" s="6" t="n">
        <f aca="false">ROUND($B$2*(A1143+1)^2.4*1.004^A1143,0)</f>
        <v>183174335139</v>
      </c>
      <c r="D1143" s="6" t="n">
        <f aca="false">ROUND($D$2*(A1143+1)^2.4*1.004^A1143,0)</f>
        <v>162821631235</v>
      </c>
      <c r="E1143" s="6" t="n">
        <f aca="false">ROUND($F$2*(A1143+1)^2.4*1.004^A1143,0)</f>
        <v>142468927330</v>
      </c>
      <c r="F1143" s="6" t="n">
        <f aca="false">ROUND(Building_Levels!$I$2*(A1143+1)^1.9*1.003^A1143,2)</f>
        <v>8381.43</v>
      </c>
      <c r="G1143" s="6" t="n">
        <f aca="false">ROUND((A1143+1)^1.12,1)</f>
        <v>2650.4</v>
      </c>
    </row>
    <row r="1144" customFormat="false" ht="15" hidden="false" customHeight="true" outlineLevel="0" collapsed="false">
      <c r="A1144" s="6" t="n">
        <v>1139</v>
      </c>
      <c r="B1144" s="6" t="n">
        <f aca="false">MIN(42, FLOOR(A1144/32,1)+1)</f>
        <v>36</v>
      </c>
      <c r="C1144" s="6" t="n">
        <f aca="false">ROUND($B$2*(A1144+1)^2.4*1.004^A1144,0)</f>
        <v>184294783286</v>
      </c>
      <c r="D1144" s="6" t="n">
        <f aca="false">ROUND($D$2*(A1144+1)^2.4*1.004^A1144,0)</f>
        <v>163817585143</v>
      </c>
      <c r="E1144" s="6" t="n">
        <f aca="false">ROUND($F$2*(A1144+1)^2.4*1.004^A1144,0)</f>
        <v>143340387000</v>
      </c>
      <c r="F1144" s="6" t="n">
        <f aca="false">ROUND(Building_Levels!$I$2*(A1144+1)^1.9*1.003^A1144,2)</f>
        <v>8420.6</v>
      </c>
      <c r="G1144" s="6" t="n">
        <f aca="false">ROUND((A1144+1)^1.12,1)</f>
        <v>2653</v>
      </c>
    </row>
    <row r="1145" customFormat="false" ht="15" hidden="false" customHeight="true" outlineLevel="0" collapsed="false">
      <c r="A1145" s="6" t="n">
        <v>1140</v>
      </c>
      <c r="B1145" s="6" t="n">
        <f aca="false">MIN(42, FLOOR(A1145/32,1)+1)</f>
        <v>36</v>
      </c>
      <c r="C1145" s="6" t="n">
        <f aca="false">ROUND($B$2*(A1145+1)^2.4*1.004^A1145,0)</f>
        <v>185421742613</v>
      </c>
      <c r="D1145" s="6" t="n">
        <f aca="false">ROUND($D$2*(A1145+1)^2.4*1.004^A1145,0)</f>
        <v>164819326767</v>
      </c>
      <c r="E1145" s="6" t="n">
        <f aca="false">ROUND($F$2*(A1145+1)^2.4*1.004^A1145,0)</f>
        <v>144216910921</v>
      </c>
      <c r="F1145" s="6" t="n">
        <f aca="false">ROUND(Building_Levels!$I$2*(A1145+1)^1.9*1.003^A1145,2)</f>
        <v>8459.94</v>
      </c>
      <c r="G1145" s="6" t="n">
        <f aca="false">ROUND((A1145+1)^1.12,1)</f>
        <v>2655.6</v>
      </c>
    </row>
    <row r="1146" customFormat="false" ht="15" hidden="false" customHeight="true" outlineLevel="0" collapsed="false">
      <c r="A1146" s="6" t="n">
        <v>1141</v>
      </c>
      <c r="B1146" s="6" t="n">
        <f aca="false">MIN(42, FLOOR(A1146/32,1)+1)</f>
        <v>36</v>
      </c>
      <c r="C1146" s="6" t="n">
        <f aca="false">ROUND($B$2*(A1146+1)^2.4*1.004^A1146,0)</f>
        <v>186555249363</v>
      </c>
      <c r="D1146" s="6" t="n">
        <f aca="false">ROUND($D$2*(A1146+1)^2.4*1.004^A1146,0)</f>
        <v>165826888322</v>
      </c>
      <c r="E1146" s="6" t="n">
        <f aca="false">ROUND($F$2*(A1146+1)^2.4*1.004^A1146,0)</f>
        <v>145098527282</v>
      </c>
      <c r="F1146" s="6" t="n">
        <f aca="false">ROUND(Building_Levels!$I$2*(A1146+1)^1.9*1.003^A1146,2)</f>
        <v>8499.46</v>
      </c>
      <c r="G1146" s="6" t="n">
        <f aca="false">ROUND((A1146+1)^1.12,1)</f>
        <v>2658.2</v>
      </c>
    </row>
    <row r="1147" customFormat="false" ht="15" hidden="false" customHeight="true" outlineLevel="0" collapsed="false">
      <c r="A1147" s="6" t="n">
        <v>1142</v>
      </c>
      <c r="B1147" s="6" t="n">
        <f aca="false">MIN(42, FLOOR(A1147/32,1)+1)</f>
        <v>36</v>
      </c>
      <c r="C1147" s="6" t="n">
        <f aca="false">ROUND($B$2*(A1147+1)^2.4*1.004^A1147,0)</f>
        <v>187695339976</v>
      </c>
      <c r="D1147" s="6" t="n">
        <f aca="false">ROUND($D$2*(A1147+1)^2.4*1.004^A1147,0)</f>
        <v>166840302201</v>
      </c>
      <c r="E1147" s="6" t="n">
        <f aca="false">ROUND($F$2*(A1147+1)^2.4*1.004^A1147,0)</f>
        <v>145985264426</v>
      </c>
      <c r="F1147" s="6" t="n">
        <f aca="false">ROUND(Building_Levels!$I$2*(A1147+1)^1.9*1.003^A1147,2)</f>
        <v>8539.15</v>
      </c>
      <c r="G1147" s="6" t="n">
        <f aca="false">ROUND((A1147+1)^1.12,1)</f>
        <v>2660.8</v>
      </c>
    </row>
    <row r="1148" customFormat="false" ht="15" hidden="false" customHeight="true" outlineLevel="0" collapsed="false">
      <c r="A1148" s="6" t="n">
        <v>1143</v>
      </c>
      <c r="B1148" s="6" t="n">
        <f aca="false">MIN(42, FLOOR(A1148/32,1)+1)</f>
        <v>36</v>
      </c>
      <c r="C1148" s="6" t="n">
        <f aca="false">ROUND($B$2*(A1148+1)^2.4*1.004^A1148,0)</f>
        <v>188842051086</v>
      </c>
      <c r="D1148" s="6" t="n">
        <f aca="false">ROUND($D$2*(A1148+1)^2.4*1.004^A1148,0)</f>
        <v>167859600965</v>
      </c>
      <c r="E1148" s="6" t="n">
        <f aca="false">ROUND($F$2*(A1148+1)^2.4*1.004^A1148,0)</f>
        <v>146877150845</v>
      </c>
      <c r="F1148" s="6" t="n">
        <f aca="false">ROUND(Building_Levels!$I$2*(A1148+1)^1.9*1.003^A1148,2)</f>
        <v>8579.01</v>
      </c>
      <c r="G1148" s="6" t="n">
        <f aca="false">ROUND((A1148+1)^1.12,1)</f>
        <v>2663.4</v>
      </c>
    </row>
    <row r="1149" customFormat="false" ht="15" hidden="false" customHeight="true" outlineLevel="0" collapsed="false">
      <c r="A1149" s="6" t="n">
        <v>1144</v>
      </c>
      <c r="B1149" s="6" t="n">
        <f aca="false">MIN(42, FLOOR(A1149/32,1)+1)</f>
        <v>36</v>
      </c>
      <c r="C1149" s="6" t="n">
        <f aca="false">ROUND($B$2*(A1149+1)^2.4*1.004^A1149,0)</f>
        <v>189995419525</v>
      </c>
      <c r="D1149" s="6" t="n">
        <f aca="false">ROUND($D$2*(A1149+1)^2.4*1.004^A1149,0)</f>
        <v>168884817356</v>
      </c>
      <c r="E1149" s="6" t="n">
        <f aca="false">ROUND($F$2*(A1149+1)^2.4*1.004^A1149,0)</f>
        <v>147774215186</v>
      </c>
      <c r="F1149" s="6" t="n">
        <f aca="false">ROUND(Building_Levels!$I$2*(A1149+1)^1.9*1.003^A1149,2)</f>
        <v>8619.04</v>
      </c>
      <c r="G1149" s="6" t="n">
        <f aca="false">ROUND((A1149+1)^1.12,1)</f>
        <v>2666</v>
      </c>
    </row>
    <row r="1150" customFormat="false" ht="15" hidden="false" customHeight="true" outlineLevel="0" collapsed="false">
      <c r="A1150" s="6" t="n">
        <v>1145</v>
      </c>
      <c r="B1150" s="6" t="n">
        <f aca="false">MIN(42, FLOOR(A1150/32,1)+1)</f>
        <v>36</v>
      </c>
      <c r="C1150" s="6" t="n">
        <f aca="false">ROUND($B$2*(A1150+1)^2.4*1.004^A1150,0)</f>
        <v>191155482322</v>
      </c>
      <c r="D1150" s="6" t="n">
        <f aca="false">ROUND($D$2*(A1150+1)^2.4*1.004^A1150,0)</f>
        <v>169915984286</v>
      </c>
      <c r="E1150" s="6" t="n">
        <f aca="false">ROUND($F$2*(A1150+1)^2.4*1.004^A1150,0)</f>
        <v>148676486250</v>
      </c>
      <c r="F1150" s="6" t="n">
        <f aca="false">ROUND(Building_Levels!$I$2*(A1150+1)^1.9*1.003^A1150,2)</f>
        <v>8659.25</v>
      </c>
      <c r="G1150" s="6" t="n">
        <f aca="false">ROUND((A1150+1)^1.12,1)</f>
        <v>2668.6</v>
      </c>
    </row>
    <row r="1151" customFormat="false" ht="15" hidden="false" customHeight="true" outlineLevel="0" collapsed="false">
      <c r="A1151" s="6" t="n">
        <v>1146</v>
      </c>
      <c r="B1151" s="6" t="n">
        <f aca="false">MIN(42, FLOOR(A1151/32,1)+1)</f>
        <v>36</v>
      </c>
      <c r="C1151" s="6" t="n">
        <f aca="false">ROUND($B$2*(A1151+1)^2.4*1.004^A1151,0)</f>
        <v>192322276705</v>
      </c>
      <c r="D1151" s="6" t="n">
        <f aca="false">ROUND($D$2*(A1151+1)^2.4*1.004^A1151,0)</f>
        <v>170953134849</v>
      </c>
      <c r="E1151" s="6" t="n">
        <f aca="false">ROUND($F$2*(A1151+1)^2.4*1.004^A1151,0)</f>
        <v>149583992993</v>
      </c>
      <c r="F1151" s="6" t="n">
        <f aca="false">ROUND(Building_Levels!$I$2*(A1151+1)^1.9*1.003^A1151,2)</f>
        <v>8699.63</v>
      </c>
      <c r="G1151" s="6" t="n">
        <f aca="false">ROUND((A1151+1)^1.12,1)</f>
        <v>2671.2</v>
      </c>
    </row>
    <row r="1152" customFormat="false" ht="15" hidden="false" customHeight="true" outlineLevel="0" collapsed="false">
      <c r="A1152" s="6" t="n">
        <v>1147</v>
      </c>
      <c r="B1152" s="6" t="n">
        <f aca="false">MIN(42, FLOOR(A1152/32,1)+1)</f>
        <v>36</v>
      </c>
      <c r="C1152" s="6" t="n">
        <f aca="false">ROUND($B$2*(A1152+1)^2.4*1.004^A1152,0)</f>
        <v>193495840101</v>
      </c>
      <c r="D1152" s="6" t="n">
        <f aca="false">ROUND($D$2*(A1152+1)^2.4*1.004^A1152,0)</f>
        <v>171996302312</v>
      </c>
      <c r="E1152" s="6" t="n">
        <f aca="false">ROUND($F$2*(A1152+1)^2.4*1.004^A1152,0)</f>
        <v>150496764523</v>
      </c>
      <c r="F1152" s="6" t="n">
        <f aca="false">ROUND(Building_Levels!$I$2*(A1152+1)^1.9*1.003^A1152,2)</f>
        <v>8740.19</v>
      </c>
      <c r="G1152" s="6" t="n">
        <f aca="false">ROUND((A1152+1)^1.12,1)</f>
        <v>2673.8</v>
      </c>
    </row>
    <row r="1153" customFormat="false" ht="15" hidden="false" customHeight="true" outlineLevel="0" collapsed="false">
      <c r="A1153" s="6" t="n">
        <v>1148</v>
      </c>
      <c r="B1153" s="6" t="n">
        <f aca="false">MIN(42, FLOOR(A1153/32,1)+1)</f>
        <v>36</v>
      </c>
      <c r="C1153" s="6" t="n">
        <f aca="false">ROUND($B$2*(A1153+1)^2.4*1.004^A1153,0)</f>
        <v>194676210140</v>
      </c>
      <c r="D1153" s="6" t="n">
        <f aca="false">ROUND($D$2*(A1153+1)^2.4*1.004^A1153,0)</f>
        <v>173045520124</v>
      </c>
      <c r="E1153" s="6" t="n">
        <f aca="false">ROUND($F$2*(A1153+1)^2.4*1.004^A1153,0)</f>
        <v>151414830109</v>
      </c>
      <c r="F1153" s="6" t="n">
        <f aca="false">ROUND(Building_Levels!$I$2*(A1153+1)^1.9*1.003^A1153,2)</f>
        <v>8780.93</v>
      </c>
      <c r="G1153" s="6" t="n">
        <f aca="false">ROUND((A1153+1)^1.12,1)</f>
        <v>2676.4</v>
      </c>
    </row>
    <row r="1154" customFormat="false" ht="15" hidden="false" customHeight="true" outlineLevel="0" collapsed="false">
      <c r="A1154" s="6" t="n">
        <v>1149</v>
      </c>
      <c r="B1154" s="6" t="n">
        <f aca="false">MIN(42, FLOOR(A1154/32,1)+1)</f>
        <v>36</v>
      </c>
      <c r="C1154" s="6" t="n">
        <f aca="false">ROUND($B$2*(A1154+1)^2.4*1.004^A1154,0)</f>
        <v>195863424651</v>
      </c>
      <c r="D1154" s="6" t="n">
        <f aca="false">ROUND($D$2*(A1154+1)^2.4*1.004^A1154,0)</f>
        <v>174100821912</v>
      </c>
      <c r="E1154" s="6" t="n">
        <f aca="false">ROUND($F$2*(A1154+1)^2.4*1.004^A1154,0)</f>
        <v>152338219173</v>
      </c>
      <c r="F1154" s="6" t="n">
        <f aca="false">ROUND(Building_Levels!$I$2*(A1154+1)^1.9*1.003^A1154,2)</f>
        <v>8821.84</v>
      </c>
      <c r="G1154" s="6" t="n">
        <f aca="false">ROUND((A1154+1)^1.12,1)</f>
        <v>2679.1</v>
      </c>
    </row>
    <row r="1155" customFormat="false" ht="15" hidden="false" customHeight="true" outlineLevel="0" collapsed="false">
      <c r="A1155" s="6" t="n">
        <v>1150</v>
      </c>
      <c r="B1155" s="6" t="n">
        <f aca="false">MIN(42, FLOOR(A1155/32,1)+1)</f>
        <v>36</v>
      </c>
      <c r="C1155" s="6" t="n">
        <f aca="false">ROUND($B$2*(A1155+1)^2.4*1.004^A1155,0)</f>
        <v>197057521669</v>
      </c>
      <c r="D1155" s="6" t="n">
        <f aca="false">ROUND($D$2*(A1155+1)^2.4*1.004^A1155,0)</f>
        <v>175162241483</v>
      </c>
      <c r="E1155" s="6" t="n">
        <f aca="false">ROUND($F$2*(A1155+1)^2.4*1.004^A1155,0)</f>
        <v>153266961298</v>
      </c>
      <c r="F1155" s="6" t="n">
        <f aca="false">ROUND(Building_Levels!$I$2*(A1155+1)^1.9*1.003^A1155,2)</f>
        <v>8862.93</v>
      </c>
      <c r="G1155" s="6" t="n">
        <f aca="false">ROUND((A1155+1)^1.12,1)</f>
        <v>2681.7</v>
      </c>
    </row>
    <row r="1156" customFormat="false" ht="15" hidden="false" customHeight="true" outlineLevel="0" collapsed="false">
      <c r="A1156" s="6" t="n">
        <v>1151</v>
      </c>
      <c r="B1156" s="6" t="n">
        <f aca="false">MIN(42, FLOOR(A1156/32,1)+1)</f>
        <v>36</v>
      </c>
      <c r="C1156" s="6" t="n">
        <f aca="false">ROUND($B$2*(A1156+1)^2.4*1.004^A1156,0)</f>
        <v>198258539430</v>
      </c>
      <c r="D1156" s="6" t="n">
        <f aca="false">ROUND($D$2*(A1156+1)^2.4*1.004^A1156,0)</f>
        <v>176229812827</v>
      </c>
      <c r="E1156" s="6" t="n">
        <f aca="false">ROUND($F$2*(A1156+1)^2.4*1.004^A1156,0)</f>
        <v>154201086223</v>
      </c>
      <c r="F1156" s="6" t="n">
        <f aca="false">ROUND(Building_Levels!$I$2*(A1156+1)^1.9*1.003^A1156,2)</f>
        <v>8904.2</v>
      </c>
      <c r="G1156" s="6" t="n">
        <f aca="false">ROUND((A1156+1)^1.12,1)</f>
        <v>2684.3</v>
      </c>
    </row>
    <row r="1157" customFormat="false" ht="15" hidden="false" customHeight="true" outlineLevel="0" collapsed="false">
      <c r="A1157" s="6" t="n">
        <v>1152</v>
      </c>
      <c r="B1157" s="6" t="n">
        <f aca="false">MIN(42, FLOOR(A1157/32,1)+1)</f>
        <v>37</v>
      </c>
      <c r="C1157" s="6" t="n">
        <f aca="false">ROUND($B$2*(A1157+1)^2.4*1.004^A1157,0)</f>
        <v>199466516377</v>
      </c>
      <c r="D1157" s="6" t="n">
        <f aca="false">ROUND($D$2*(A1157+1)^2.4*1.004^A1157,0)</f>
        <v>177303570113</v>
      </c>
      <c r="E1157" s="6" t="n">
        <f aca="false">ROUND($F$2*(A1157+1)^2.4*1.004^A1157,0)</f>
        <v>155140623849</v>
      </c>
      <c r="F1157" s="6" t="n">
        <f aca="false">ROUND(Building_Levels!$I$2*(A1157+1)^1.9*1.003^A1157,2)</f>
        <v>8945.64</v>
      </c>
      <c r="G1157" s="6" t="n">
        <f aca="false">ROUND((A1157+1)^1.12,1)</f>
        <v>2686.9</v>
      </c>
    </row>
    <row r="1158" customFormat="false" ht="15" hidden="false" customHeight="true" outlineLevel="0" collapsed="false">
      <c r="A1158" s="6" t="n">
        <v>1153</v>
      </c>
      <c r="B1158" s="6" t="n">
        <f aca="false">MIN(42, FLOOR(A1158/32,1)+1)</f>
        <v>37</v>
      </c>
      <c r="C1158" s="6" t="n">
        <f aca="false">ROUND($B$2*(A1158+1)^2.4*1.004^A1158,0)</f>
        <v>200681491160</v>
      </c>
      <c r="D1158" s="6" t="n">
        <f aca="false">ROUND($D$2*(A1158+1)^2.4*1.004^A1158,0)</f>
        <v>178383547698</v>
      </c>
      <c r="E1158" s="6" t="n">
        <f aca="false">ROUND($F$2*(A1158+1)^2.4*1.004^A1158,0)</f>
        <v>156085604235</v>
      </c>
      <c r="F1158" s="6" t="n">
        <f aca="false">ROUND(Building_Levels!$I$2*(A1158+1)^1.9*1.003^A1158,2)</f>
        <v>8987.27</v>
      </c>
      <c r="G1158" s="6" t="n">
        <f aca="false">ROUND((A1158+1)^1.12,1)</f>
        <v>2689.5</v>
      </c>
    </row>
    <row r="1159" customFormat="false" ht="15" hidden="false" customHeight="true" outlineLevel="0" collapsed="false">
      <c r="A1159" s="6" t="n">
        <v>1154</v>
      </c>
      <c r="B1159" s="6" t="n">
        <f aca="false">MIN(42, FLOOR(A1159/32,1)+1)</f>
        <v>37</v>
      </c>
      <c r="C1159" s="6" t="n">
        <f aca="false">ROUND($B$2*(A1159+1)^2.4*1.004^A1159,0)</f>
        <v>201903502633</v>
      </c>
      <c r="D1159" s="6" t="n">
        <f aca="false">ROUND($D$2*(A1159+1)^2.4*1.004^A1159,0)</f>
        <v>179469780118</v>
      </c>
      <c r="E1159" s="6" t="n">
        <f aca="false">ROUND($F$2*(A1159+1)^2.4*1.004^A1159,0)</f>
        <v>157036057603</v>
      </c>
      <c r="F1159" s="6" t="n">
        <f aca="false">ROUND(Building_Levels!$I$2*(A1159+1)^1.9*1.003^A1159,2)</f>
        <v>9029.08</v>
      </c>
      <c r="G1159" s="6" t="n">
        <f aca="false">ROUND((A1159+1)^1.12,1)</f>
        <v>2692.1</v>
      </c>
    </row>
    <row r="1160" customFormat="false" ht="15" hidden="false" customHeight="true" outlineLevel="0" collapsed="false">
      <c r="A1160" s="6" t="n">
        <v>1155</v>
      </c>
      <c r="B1160" s="6" t="n">
        <f aca="false">MIN(42, FLOOR(A1160/32,1)+1)</f>
        <v>37</v>
      </c>
      <c r="C1160" s="6" t="n">
        <f aca="false">ROUND($B$2*(A1160+1)^2.4*1.004^A1160,0)</f>
        <v>203132589861</v>
      </c>
      <c r="D1160" s="6" t="n">
        <f aca="false">ROUND($D$2*(A1160+1)^2.4*1.004^A1160,0)</f>
        <v>180562302099</v>
      </c>
      <c r="E1160" s="6" t="n">
        <f aca="false">ROUND($F$2*(A1160+1)^2.4*1.004^A1160,0)</f>
        <v>157992014337</v>
      </c>
      <c r="F1160" s="6" t="n">
        <f aca="false">ROUND(Building_Levels!$I$2*(A1160+1)^1.9*1.003^A1160,2)</f>
        <v>9071.07</v>
      </c>
      <c r="G1160" s="6" t="n">
        <f aca="false">ROUND((A1160+1)^1.12,1)</f>
        <v>2694.7</v>
      </c>
    </row>
    <row r="1161" customFormat="false" ht="15" hidden="false" customHeight="true" outlineLevel="0" collapsed="false">
      <c r="A1161" s="6" t="n">
        <v>1156</v>
      </c>
      <c r="B1161" s="6" t="n">
        <f aca="false">MIN(42, FLOOR(A1161/32,1)+1)</f>
        <v>37</v>
      </c>
      <c r="C1161" s="6" t="n">
        <f aca="false">ROUND($B$2*(A1161+1)^2.4*1.004^A1161,0)</f>
        <v>204368792118</v>
      </c>
      <c r="D1161" s="6" t="n">
        <f aca="false">ROUND($D$2*(A1161+1)^2.4*1.004^A1161,0)</f>
        <v>181661148550</v>
      </c>
      <c r="E1161" s="6" t="n">
        <f aca="false">ROUND($F$2*(A1161+1)^2.4*1.004^A1161,0)</f>
        <v>158953504981</v>
      </c>
      <c r="F1161" s="6" t="n">
        <f aca="false">ROUND(Building_Levels!$I$2*(A1161+1)^1.9*1.003^A1161,2)</f>
        <v>9113.25</v>
      </c>
      <c r="G1161" s="6" t="n">
        <f aca="false">ROUND((A1161+1)^1.12,1)</f>
        <v>2697.3</v>
      </c>
    </row>
    <row r="1162" customFormat="false" ht="15" hidden="false" customHeight="true" outlineLevel="0" collapsed="false">
      <c r="A1162" s="6" t="n">
        <v>1157</v>
      </c>
      <c r="B1162" s="6" t="n">
        <f aca="false">MIN(42, FLOOR(A1162/32,1)+1)</f>
        <v>37</v>
      </c>
      <c r="C1162" s="6" t="n">
        <f aca="false">ROUND($B$2*(A1162+1)^2.4*1.004^A1162,0)</f>
        <v>205612148888</v>
      </c>
      <c r="D1162" s="6" t="n">
        <f aca="false">ROUND($D$2*(A1162+1)^2.4*1.004^A1162,0)</f>
        <v>182766354567</v>
      </c>
      <c r="E1162" s="6" t="n">
        <f aca="false">ROUND($F$2*(A1162+1)^2.4*1.004^A1162,0)</f>
        <v>159920560246</v>
      </c>
      <c r="F1162" s="6" t="n">
        <f aca="false">ROUND(Building_Levels!$I$2*(A1162+1)^1.9*1.003^A1162,2)</f>
        <v>9155.6</v>
      </c>
      <c r="G1162" s="6" t="n">
        <f aca="false">ROUND((A1162+1)^1.12,1)</f>
        <v>2699.9</v>
      </c>
    </row>
    <row r="1163" customFormat="false" ht="15" hidden="false" customHeight="true" outlineLevel="0" collapsed="false">
      <c r="A1163" s="6" t="n">
        <v>1158</v>
      </c>
      <c r="B1163" s="6" t="n">
        <f aca="false">MIN(42, FLOOR(A1163/32,1)+1)</f>
        <v>37</v>
      </c>
      <c r="C1163" s="6" t="n">
        <f aca="false">ROUND($B$2*(A1163+1)^2.4*1.004^A1163,0)</f>
        <v>206862699866</v>
      </c>
      <c r="D1163" s="6" t="n">
        <f aca="false">ROUND($D$2*(A1163+1)^2.4*1.004^A1163,0)</f>
        <v>183877955437</v>
      </c>
      <c r="E1163" s="6" t="n">
        <f aca="false">ROUND($F$2*(A1163+1)^2.4*1.004^A1163,0)</f>
        <v>160893211007</v>
      </c>
      <c r="F1163" s="6" t="n">
        <f aca="false">ROUND(Building_Levels!$I$2*(A1163+1)^1.9*1.003^A1163,2)</f>
        <v>9198.14</v>
      </c>
      <c r="G1163" s="6" t="n">
        <f aca="false">ROUND((A1163+1)^1.12,1)</f>
        <v>2702.5</v>
      </c>
    </row>
    <row r="1164" customFormat="false" ht="15" hidden="false" customHeight="true" outlineLevel="0" collapsed="false">
      <c r="A1164" s="6" t="n">
        <v>1159</v>
      </c>
      <c r="B1164" s="6" t="n">
        <f aca="false">MIN(42, FLOOR(A1164/32,1)+1)</f>
        <v>37</v>
      </c>
      <c r="C1164" s="6" t="n">
        <f aca="false">ROUND($B$2*(A1164+1)^2.4*1.004^A1164,0)</f>
        <v>208120484961</v>
      </c>
      <c r="D1164" s="6" t="n">
        <f aca="false">ROUND($D$2*(A1164+1)^2.4*1.004^A1164,0)</f>
        <v>184995986632</v>
      </c>
      <c r="E1164" s="6" t="n">
        <f aca="false">ROUND($F$2*(A1164+1)^2.4*1.004^A1164,0)</f>
        <v>161871488303</v>
      </c>
      <c r="F1164" s="6" t="n">
        <f aca="false">ROUND(Building_Levels!$I$2*(A1164+1)^1.9*1.003^A1164,2)</f>
        <v>9240.87</v>
      </c>
      <c r="G1164" s="6" t="n">
        <f aca="false">ROUND((A1164+1)^1.12,1)</f>
        <v>2705.2</v>
      </c>
    </row>
    <row r="1165" customFormat="false" ht="15" hidden="false" customHeight="true" outlineLevel="0" collapsed="false">
      <c r="A1165" s="6" t="n">
        <v>1160</v>
      </c>
      <c r="B1165" s="6" t="n">
        <f aca="false">MIN(42, FLOOR(A1165/32,1)+1)</f>
        <v>37</v>
      </c>
      <c r="C1165" s="6" t="n">
        <f aca="false">ROUND($B$2*(A1165+1)^2.4*1.004^A1165,0)</f>
        <v>209385544295</v>
      </c>
      <c r="D1165" s="6" t="n">
        <f aca="false">ROUND($D$2*(A1165+1)^2.4*1.004^A1165,0)</f>
        <v>186120483818</v>
      </c>
      <c r="E1165" s="6" t="n">
        <f aca="false">ROUND($F$2*(A1165+1)^2.4*1.004^A1165,0)</f>
        <v>162855423340</v>
      </c>
      <c r="F1165" s="6" t="n">
        <f aca="false">ROUND(Building_Levels!$I$2*(A1165+1)^1.9*1.003^A1165,2)</f>
        <v>9283.78</v>
      </c>
      <c r="G1165" s="6" t="n">
        <f aca="false">ROUND((A1165+1)^1.12,1)</f>
        <v>2707.8</v>
      </c>
    </row>
    <row r="1166" customFormat="false" ht="15" hidden="false" customHeight="true" outlineLevel="0" collapsed="false">
      <c r="A1166" s="6" t="n">
        <v>1161</v>
      </c>
      <c r="B1166" s="6" t="n">
        <f aca="false">MIN(42, FLOOR(A1166/32,1)+1)</f>
        <v>37</v>
      </c>
      <c r="C1166" s="6" t="n">
        <f aca="false">ROUND($B$2*(A1166+1)^2.4*1.004^A1166,0)</f>
        <v>210657918204</v>
      </c>
      <c r="D1166" s="6" t="n">
        <f aca="false">ROUND($D$2*(A1166+1)^2.4*1.004^A1166,0)</f>
        <v>187251482848</v>
      </c>
      <c r="E1166" s="6" t="n">
        <f aca="false">ROUND($F$2*(A1166+1)^2.4*1.004^A1166,0)</f>
        <v>163845047492</v>
      </c>
      <c r="F1166" s="6" t="n">
        <f aca="false">ROUND(Building_Levels!$I$2*(A1166+1)^1.9*1.003^A1166,2)</f>
        <v>9326.87</v>
      </c>
      <c r="G1166" s="6" t="n">
        <f aca="false">ROUND((A1166+1)^1.12,1)</f>
        <v>2710.4</v>
      </c>
    </row>
    <row r="1167" customFormat="false" ht="15" hidden="false" customHeight="true" outlineLevel="0" collapsed="false">
      <c r="A1167" s="6" t="n">
        <v>1162</v>
      </c>
      <c r="B1167" s="6" t="n">
        <f aca="false">MIN(42, FLOOR(A1167/32,1)+1)</f>
        <v>37</v>
      </c>
      <c r="C1167" s="6" t="n">
        <f aca="false">ROUND($B$2*(A1167+1)^2.4*1.004^A1167,0)</f>
        <v>211937647243</v>
      </c>
      <c r="D1167" s="6" t="n">
        <f aca="false">ROUND($D$2*(A1167+1)^2.4*1.004^A1167,0)</f>
        <v>188389019771</v>
      </c>
      <c r="E1167" s="6" t="n">
        <f aca="false">ROUND($F$2*(A1167+1)^2.4*1.004^A1167,0)</f>
        <v>164840392300</v>
      </c>
      <c r="F1167" s="6" t="n">
        <f aca="false">ROUND(Building_Levels!$I$2*(A1167+1)^1.9*1.003^A1167,2)</f>
        <v>9370.15</v>
      </c>
      <c r="G1167" s="6" t="n">
        <f aca="false">ROUND((A1167+1)^1.12,1)</f>
        <v>2713</v>
      </c>
    </row>
    <row r="1168" customFormat="false" ht="15" hidden="false" customHeight="true" outlineLevel="0" collapsed="false">
      <c r="A1168" s="6" t="n">
        <v>1163</v>
      </c>
      <c r="B1168" s="6" t="n">
        <f aca="false">MIN(42, FLOOR(A1168/32,1)+1)</f>
        <v>37</v>
      </c>
      <c r="C1168" s="6" t="n">
        <f aca="false">ROUND($B$2*(A1168+1)^2.4*1.004^A1168,0)</f>
        <v>213224772180</v>
      </c>
      <c r="D1168" s="6" t="n">
        <f aca="false">ROUND($D$2*(A1168+1)^2.4*1.004^A1168,0)</f>
        <v>189533130827</v>
      </c>
      <c r="E1168" s="6" t="n">
        <f aca="false">ROUND($F$2*(A1168+1)^2.4*1.004^A1168,0)</f>
        <v>165841489473</v>
      </c>
      <c r="F1168" s="6" t="n">
        <f aca="false">ROUND(Building_Levels!$I$2*(A1168+1)^1.9*1.003^A1168,2)</f>
        <v>9413.62</v>
      </c>
      <c r="G1168" s="6" t="n">
        <f aca="false">ROUND((A1168+1)^1.12,1)</f>
        <v>2715.6</v>
      </c>
    </row>
    <row r="1169" customFormat="false" ht="15" hidden="false" customHeight="true" outlineLevel="0" collapsed="false">
      <c r="A1169" s="6" t="n">
        <v>1164</v>
      </c>
      <c r="B1169" s="6" t="n">
        <f aca="false">MIN(42, FLOOR(A1169/32,1)+1)</f>
        <v>37</v>
      </c>
      <c r="C1169" s="6" t="n">
        <f aca="false">ROUND($B$2*(A1169+1)^2.4*1.004^A1169,0)</f>
        <v>214519334004</v>
      </c>
      <c r="D1169" s="6" t="n">
        <f aca="false">ROUND($D$2*(A1169+1)^2.4*1.004^A1169,0)</f>
        <v>190683852448</v>
      </c>
      <c r="E1169" s="6" t="n">
        <f aca="false">ROUND($F$2*(A1169+1)^2.4*1.004^A1169,0)</f>
        <v>166848370892</v>
      </c>
      <c r="F1169" s="6" t="n">
        <f aca="false">ROUND(Building_Levels!$I$2*(A1169+1)^1.9*1.003^A1169,2)</f>
        <v>9457.28</v>
      </c>
      <c r="G1169" s="6" t="n">
        <f aca="false">ROUND((A1169+1)^1.12,1)</f>
        <v>2718.2</v>
      </c>
    </row>
    <row r="1170" customFormat="false" ht="15" hidden="false" customHeight="true" outlineLevel="0" collapsed="false">
      <c r="A1170" s="6" t="n">
        <v>1165</v>
      </c>
      <c r="B1170" s="6" t="n">
        <f aca="false">MIN(42, FLOOR(A1170/32,1)+1)</f>
        <v>37</v>
      </c>
      <c r="C1170" s="6" t="n">
        <f aca="false">ROUND($B$2*(A1170+1)^2.4*1.004^A1170,0)</f>
        <v>215821373924</v>
      </c>
      <c r="D1170" s="6" t="n">
        <f aca="false">ROUND($D$2*(A1170+1)^2.4*1.004^A1170,0)</f>
        <v>191841221266</v>
      </c>
      <c r="E1170" s="6" t="n">
        <f aca="false">ROUND($F$2*(A1170+1)^2.4*1.004^A1170,0)</f>
        <v>167861068608</v>
      </c>
      <c r="F1170" s="6" t="n">
        <f aca="false">ROUND(Building_Levels!$I$2*(A1170+1)^1.9*1.003^A1170,2)</f>
        <v>9501.13</v>
      </c>
      <c r="G1170" s="6" t="n">
        <f aca="false">ROUND((A1170+1)^1.12,1)</f>
        <v>2720.8</v>
      </c>
    </row>
    <row r="1171" customFormat="false" ht="15" hidden="false" customHeight="true" outlineLevel="0" collapsed="false">
      <c r="A1171" s="6" t="n">
        <v>1166</v>
      </c>
      <c r="B1171" s="6" t="n">
        <f aca="false">MIN(42, FLOOR(A1171/32,1)+1)</f>
        <v>37</v>
      </c>
      <c r="C1171" s="6" t="n">
        <f aca="false">ROUND($B$2*(A1171+1)^2.4*1.004^A1171,0)</f>
        <v>217130933367</v>
      </c>
      <c r="D1171" s="6" t="n">
        <f aca="false">ROUND($D$2*(A1171+1)^2.4*1.004^A1171,0)</f>
        <v>193005274104</v>
      </c>
      <c r="E1171" s="6" t="n">
        <f aca="false">ROUND($F$2*(A1171+1)^2.4*1.004^A1171,0)</f>
        <v>168879614841</v>
      </c>
      <c r="F1171" s="6" t="n">
        <f aca="false">ROUND(Building_Levels!$I$2*(A1171+1)^1.9*1.003^A1171,2)</f>
        <v>9545.17</v>
      </c>
      <c r="G1171" s="6" t="n">
        <f aca="false">ROUND((A1171+1)^1.12,1)</f>
        <v>2723.4</v>
      </c>
    </row>
    <row r="1172" customFormat="false" ht="15" hidden="false" customHeight="true" outlineLevel="0" collapsed="false">
      <c r="A1172" s="6" t="n">
        <v>1167</v>
      </c>
      <c r="B1172" s="6" t="n">
        <f aca="false">MIN(42, FLOOR(A1172/32,1)+1)</f>
        <v>37</v>
      </c>
      <c r="C1172" s="6" t="n">
        <f aca="false">ROUND($B$2*(A1172+1)^2.4*1.004^A1172,0)</f>
        <v>218448053984</v>
      </c>
      <c r="D1172" s="6" t="n">
        <f aca="false">ROUND($D$2*(A1172+1)^2.4*1.004^A1172,0)</f>
        <v>194176047985</v>
      </c>
      <c r="E1172" s="6" t="n">
        <f aca="false">ROUND($F$2*(A1172+1)^2.4*1.004^A1172,0)</f>
        <v>169904041987</v>
      </c>
      <c r="F1172" s="6" t="n">
        <f aca="false">ROUND(Building_Levels!$I$2*(A1172+1)^1.9*1.003^A1172,2)</f>
        <v>9589.4</v>
      </c>
      <c r="G1172" s="6" t="n">
        <f aca="false">ROUND((A1172+1)^1.12,1)</f>
        <v>2726.1</v>
      </c>
    </row>
    <row r="1173" customFormat="false" ht="15" hidden="false" customHeight="true" outlineLevel="0" collapsed="false">
      <c r="A1173" s="6" t="n">
        <v>1168</v>
      </c>
      <c r="B1173" s="6" t="n">
        <f aca="false">MIN(42, FLOOR(A1173/32,1)+1)</f>
        <v>37</v>
      </c>
      <c r="C1173" s="6" t="n">
        <f aca="false">ROUND($B$2*(A1173+1)^2.4*1.004^A1173,0)</f>
        <v>219772777646</v>
      </c>
      <c r="D1173" s="6" t="n">
        <f aca="false">ROUND($D$2*(A1173+1)^2.4*1.004^A1173,0)</f>
        <v>195353580130</v>
      </c>
      <c r="E1173" s="6" t="n">
        <f aca="false">ROUND($F$2*(A1173+1)^2.4*1.004^A1173,0)</f>
        <v>170934382614</v>
      </c>
      <c r="F1173" s="6" t="n">
        <f aca="false">ROUND(Building_Levels!$I$2*(A1173+1)^1.9*1.003^A1173,2)</f>
        <v>9633.82</v>
      </c>
      <c r="G1173" s="6" t="n">
        <f aca="false">ROUND((A1173+1)^1.12,1)</f>
        <v>2728.7</v>
      </c>
    </row>
    <row r="1174" customFormat="false" ht="15" hidden="false" customHeight="true" outlineLevel="0" collapsed="false">
      <c r="A1174" s="6" t="n">
        <v>1169</v>
      </c>
      <c r="B1174" s="6" t="n">
        <f aca="false">MIN(42, FLOOR(A1174/32,1)+1)</f>
        <v>37</v>
      </c>
      <c r="C1174" s="6" t="n">
        <f aca="false">ROUND($B$2*(A1174+1)^2.4*1.004^A1174,0)</f>
        <v>221105146452</v>
      </c>
      <c r="D1174" s="6" t="n">
        <f aca="false">ROUND($D$2*(A1174+1)^2.4*1.004^A1174,0)</f>
        <v>196537907957</v>
      </c>
      <c r="E1174" s="6" t="n">
        <f aca="false">ROUND($F$2*(A1174+1)^2.4*1.004^A1174,0)</f>
        <v>171970669463</v>
      </c>
      <c r="F1174" s="6" t="n">
        <f aca="false">ROUND(Building_Levels!$I$2*(A1174+1)^1.9*1.003^A1174,2)</f>
        <v>9678.43</v>
      </c>
      <c r="G1174" s="6" t="n">
        <f aca="false">ROUND((A1174+1)^1.12,1)</f>
        <v>2731.3</v>
      </c>
    </row>
    <row r="1175" customFormat="false" ht="15" hidden="false" customHeight="true" outlineLevel="0" collapsed="false">
      <c r="A1175" s="6" t="n">
        <v>1170</v>
      </c>
      <c r="B1175" s="6" t="n">
        <f aca="false">MIN(42, FLOOR(A1175/32,1)+1)</f>
        <v>37</v>
      </c>
      <c r="C1175" s="6" t="n">
        <f aca="false">ROUND($B$2*(A1175+1)^2.4*1.004^A1175,0)</f>
        <v>222445202723</v>
      </c>
      <c r="D1175" s="6" t="n">
        <f aca="false">ROUND($D$2*(A1175+1)^2.4*1.004^A1175,0)</f>
        <v>197729069087</v>
      </c>
      <c r="E1175" s="6" t="n">
        <f aca="false">ROUND($F$2*(A1175+1)^2.4*1.004^A1175,0)</f>
        <v>173012935451</v>
      </c>
      <c r="F1175" s="6" t="n">
        <f aca="false">ROUND(Building_Levels!$I$2*(A1175+1)^1.9*1.003^A1175,2)</f>
        <v>9723.24</v>
      </c>
      <c r="G1175" s="6" t="n">
        <f aca="false">ROUND((A1175+1)^1.12,1)</f>
        <v>2733.9</v>
      </c>
    </row>
    <row r="1176" customFormat="false" ht="15" hidden="false" customHeight="true" outlineLevel="0" collapsed="false">
      <c r="A1176" s="6" t="n">
        <v>1171</v>
      </c>
      <c r="B1176" s="6" t="n">
        <f aca="false">MIN(42, FLOOR(A1176/32,1)+1)</f>
        <v>37</v>
      </c>
      <c r="C1176" s="6" t="n">
        <f aca="false">ROUND($B$2*(A1176+1)^2.4*1.004^A1176,0)</f>
        <v>223792989007</v>
      </c>
      <c r="D1176" s="6" t="n">
        <f aca="false">ROUND($D$2*(A1176+1)^2.4*1.004^A1176,0)</f>
        <v>198927101340</v>
      </c>
      <c r="E1176" s="6" t="n">
        <f aca="false">ROUND($F$2*(A1176+1)^2.4*1.004^A1176,0)</f>
        <v>174061213672</v>
      </c>
      <c r="F1176" s="6" t="n">
        <f aca="false">ROUND(Building_Levels!$I$2*(A1176+1)^1.9*1.003^A1176,2)</f>
        <v>9768.24</v>
      </c>
      <c r="G1176" s="6" t="n">
        <f aca="false">ROUND((A1176+1)^1.12,1)</f>
        <v>2736.5</v>
      </c>
    </row>
    <row r="1177" customFormat="false" ht="15" hidden="false" customHeight="true" outlineLevel="0" collapsed="false">
      <c r="A1177" s="6" t="n">
        <v>1172</v>
      </c>
      <c r="B1177" s="6" t="n">
        <f aca="false">MIN(42, FLOOR(A1177/32,1)+1)</f>
        <v>37</v>
      </c>
      <c r="C1177" s="6" t="n">
        <f aca="false">ROUND($B$2*(A1177+1)^2.4*1.004^A1177,0)</f>
        <v>225148548080</v>
      </c>
      <c r="D1177" s="6" t="n">
        <f aca="false">ROUND($D$2*(A1177+1)^2.4*1.004^A1177,0)</f>
        <v>200132042738</v>
      </c>
      <c r="E1177" s="6" t="n">
        <f aca="false">ROUND($F$2*(A1177+1)^2.4*1.004^A1177,0)</f>
        <v>175115537396</v>
      </c>
      <c r="F1177" s="6" t="n">
        <f aca="false">ROUND(Building_Levels!$I$2*(A1177+1)^1.9*1.003^A1177,2)</f>
        <v>9813.43</v>
      </c>
      <c r="G1177" s="6" t="n">
        <f aca="false">ROUND((A1177+1)^1.12,1)</f>
        <v>2739.1</v>
      </c>
    </row>
    <row r="1178" customFormat="false" ht="15" hidden="false" customHeight="true" outlineLevel="0" collapsed="false">
      <c r="A1178" s="6" t="n">
        <v>1173</v>
      </c>
      <c r="B1178" s="6" t="n">
        <f aca="false">MIN(42, FLOOR(A1178/32,1)+1)</f>
        <v>37</v>
      </c>
      <c r="C1178" s="6" t="n">
        <f aca="false">ROUND($B$2*(A1178+1)^2.4*1.004^A1178,0)</f>
        <v>226511922948</v>
      </c>
      <c r="D1178" s="6" t="n">
        <f aca="false">ROUND($D$2*(A1178+1)^2.4*1.004^A1178,0)</f>
        <v>201343931509</v>
      </c>
      <c r="E1178" s="6" t="n">
        <f aca="false">ROUND($F$2*(A1178+1)^2.4*1.004^A1178,0)</f>
        <v>176175940070</v>
      </c>
      <c r="F1178" s="6" t="n">
        <f aca="false">ROUND(Building_Levels!$I$2*(A1178+1)^1.9*1.003^A1178,2)</f>
        <v>9858.82</v>
      </c>
      <c r="G1178" s="6" t="n">
        <f aca="false">ROUND((A1178+1)^1.12,1)</f>
        <v>2741.8</v>
      </c>
    </row>
    <row r="1179" customFormat="false" ht="15" hidden="false" customHeight="true" outlineLevel="0" collapsed="false">
      <c r="A1179" s="6" t="n">
        <v>1174</v>
      </c>
      <c r="B1179" s="6" t="n">
        <f aca="false">MIN(42, FLOOR(A1179/32,1)+1)</f>
        <v>37</v>
      </c>
      <c r="C1179" s="6" t="n">
        <f aca="false">ROUND($B$2*(A1179+1)^2.4*1.004^A1179,0)</f>
        <v>227883156843</v>
      </c>
      <c r="D1179" s="6" t="n">
        <f aca="false">ROUND($D$2*(A1179+1)^2.4*1.004^A1179,0)</f>
        <v>202562806082</v>
      </c>
      <c r="E1179" s="6" t="n">
        <f aca="false">ROUND($F$2*(A1179+1)^2.4*1.004^A1179,0)</f>
        <v>177242455322</v>
      </c>
      <c r="F1179" s="6" t="n">
        <f aca="false">ROUND(Building_Levels!$I$2*(A1179+1)^1.9*1.003^A1179,2)</f>
        <v>9904.41</v>
      </c>
      <c r="G1179" s="6" t="n">
        <f aca="false">ROUND((A1179+1)^1.12,1)</f>
        <v>2744.4</v>
      </c>
    </row>
    <row r="1180" customFormat="false" ht="15" hidden="false" customHeight="true" outlineLevel="0" collapsed="false">
      <c r="A1180" s="6" t="n">
        <v>1175</v>
      </c>
      <c r="B1180" s="6" t="n">
        <f aca="false">MIN(42, FLOOR(A1180/32,1)+1)</f>
        <v>37</v>
      </c>
      <c r="C1180" s="6" t="n">
        <f aca="false">ROUND($B$2*(A1180+1)^2.4*1.004^A1180,0)</f>
        <v>229262293231</v>
      </c>
      <c r="D1180" s="6" t="n">
        <f aca="false">ROUND($D$2*(A1180+1)^2.4*1.004^A1180,0)</f>
        <v>203788705095</v>
      </c>
      <c r="E1180" s="6" t="n">
        <f aca="false">ROUND($F$2*(A1180+1)^2.4*1.004^A1180,0)</f>
        <v>178315116958</v>
      </c>
      <c r="F1180" s="6" t="n">
        <f aca="false">ROUND(Building_Levels!$I$2*(A1180+1)^1.9*1.003^A1180,2)</f>
        <v>9950.19</v>
      </c>
      <c r="G1180" s="6" t="n">
        <f aca="false">ROUND((A1180+1)^1.12,1)</f>
        <v>2747</v>
      </c>
    </row>
    <row r="1181" customFormat="false" ht="15" hidden="false" customHeight="true" outlineLevel="0" collapsed="false">
      <c r="A1181" s="6" t="n">
        <v>1176</v>
      </c>
      <c r="B1181" s="6" t="n">
        <f aca="false">MIN(42, FLOOR(A1181/32,1)+1)</f>
        <v>37</v>
      </c>
      <c r="C1181" s="6" t="n">
        <f aca="false">ROUND($B$2*(A1181+1)^2.4*1.004^A1181,0)</f>
        <v>230649375811</v>
      </c>
      <c r="D1181" s="6" t="n">
        <f aca="false">ROUND($D$2*(A1181+1)^2.4*1.004^A1181,0)</f>
        <v>205021667388</v>
      </c>
      <c r="E1181" s="6" t="n">
        <f aca="false">ROUND($F$2*(A1181+1)^2.4*1.004^A1181,0)</f>
        <v>179393958964</v>
      </c>
      <c r="F1181" s="6" t="n">
        <f aca="false">ROUND(Building_Levels!$I$2*(A1181+1)^1.9*1.003^A1181,2)</f>
        <v>9996.17</v>
      </c>
      <c r="G1181" s="6" t="n">
        <f aca="false">ROUND((A1181+1)^1.12,1)</f>
        <v>2749.6</v>
      </c>
    </row>
    <row r="1182" customFormat="false" ht="15" hidden="false" customHeight="true" outlineLevel="0" collapsed="false">
      <c r="A1182" s="6" t="n">
        <v>1177</v>
      </c>
      <c r="B1182" s="6" t="n">
        <f aca="false">MIN(42, FLOOR(A1182/32,1)+1)</f>
        <v>37</v>
      </c>
      <c r="C1182" s="6" t="n">
        <f aca="false">ROUND($B$2*(A1182+1)^2.4*1.004^A1182,0)</f>
        <v>232044448514</v>
      </c>
      <c r="D1182" s="6" t="n">
        <f aca="false">ROUND($D$2*(A1182+1)^2.4*1.004^A1182,0)</f>
        <v>206261732012</v>
      </c>
      <c r="E1182" s="6" t="n">
        <f aca="false">ROUND($F$2*(A1182+1)^2.4*1.004^A1182,0)</f>
        <v>180479015511</v>
      </c>
      <c r="F1182" s="6" t="n">
        <f aca="false">ROUND(Building_Levels!$I$2*(A1182+1)^1.9*1.003^A1182,2)</f>
        <v>10042.35</v>
      </c>
      <c r="G1182" s="6" t="n">
        <f aca="false">ROUND((A1182+1)^1.12,1)</f>
        <v>2752.2</v>
      </c>
    </row>
    <row r="1183" customFormat="false" ht="15" hidden="false" customHeight="true" outlineLevel="0" collapsed="false">
      <c r="A1183" s="6" t="n">
        <v>1178</v>
      </c>
      <c r="B1183" s="6" t="n">
        <f aca="false">MIN(42, FLOOR(A1183/32,1)+1)</f>
        <v>37</v>
      </c>
      <c r="C1183" s="6" t="n">
        <f aca="false">ROUND($B$2*(A1183+1)^2.4*1.004^A1183,0)</f>
        <v>233447555505</v>
      </c>
      <c r="D1183" s="6" t="n">
        <f aca="false">ROUND($D$2*(A1183+1)^2.4*1.004^A1183,0)</f>
        <v>207508938226</v>
      </c>
      <c r="E1183" s="6" t="n">
        <f aca="false">ROUND($F$2*(A1183+1)^2.4*1.004^A1183,0)</f>
        <v>181570320948</v>
      </c>
      <c r="F1183" s="6" t="n">
        <f aca="false">ROUND(Building_Levels!$I$2*(A1183+1)^1.9*1.003^A1183,2)</f>
        <v>10088.73</v>
      </c>
      <c r="G1183" s="6" t="n">
        <f aca="false">ROUND((A1183+1)^1.12,1)</f>
        <v>2754.8</v>
      </c>
    </row>
    <row r="1184" customFormat="false" ht="15" hidden="false" customHeight="true" outlineLevel="0" collapsed="false">
      <c r="A1184" s="6" t="n">
        <v>1179</v>
      </c>
      <c r="B1184" s="6" t="n">
        <f aca="false">MIN(42, FLOOR(A1184/32,1)+1)</f>
        <v>37</v>
      </c>
      <c r="C1184" s="6" t="n">
        <f aca="false">ROUND($B$2*(A1184+1)^2.4*1.004^A1184,0)</f>
        <v>234858741185</v>
      </c>
      <c r="D1184" s="6" t="n">
        <f aca="false">ROUND($D$2*(A1184+1)^2.4*1.004^A1184,0)</f>
        <v>208763325498</v>
      </c>
      <c r="E1184" s="6" t="n">
        <f aca="false">ROUND($F$2*(A1184+1)^2.4*1.004^A1184,0)</f>
        <v>182667909811</v>
      </c>
      <c r="F1184" s="6" t="n">
        <f aca="false">ROUND(Building_Levels!$I$2*(A1184+1)^1.9*1.003^A1184,2)</f>
        <v>10135.31</v>
      </c>
      <c r="G1184" s="6" t="n">
        <f aca="false">ROUND((A1184+1)^1.12,1)</f>
        <v>2757.5</v>
      </c>
    </row>
    <row r="1185" customFormat="false" ht="15" hidden="false" customHeight="true" outlineLevel="0" collapsed="false">
      <c r="A1185" s="6" t="n">
        <v>1180</v>
      </c>
      <c r="B1185" s="6" t="n">
        <f aca="false">MIN(42, FLOOR(A1185/32,1)+1)</f>
        <v>37</v>
      </c>
      <c r="C1185" s="6" t="n">
        <f aca="false">ROUND($B$2*(A1185+1)^2.4*1.004^A1185,0)</f>
        <v>236278050195</v>
      </c>
      <c r="D1185" s="6" t="n">
        <f aca="false">ROUND($D$2*(A1185+1)^2.4*1.004^A1185,0)</f>
        <v>210024933507</v>
      </c>
      <c r="E1185" s="6" t="n">
        <f aca="false">ROUND($F$2*(A1185+1)^2.4*1.004^A1185,0)</f>
        <v>183771816819</v>
      </c>
      <c r="F1185" s="6" t="n">
        <f aca="false">ROUND(Building_Levels!$I$2*(A1185+1)^1.9*1.003^A1185,2)</f>
        <v>10182.09</v>
      </c>
      <c r="G1185" s="6" t="n">
        <f aca="false">ROUND((A1185+1)^1.12,1)</f>
        <v>2760.1</v>
      </c>
    </row>
    <row r="1186" customFormat="false" ht="15" hidden="false" customHeight="true" outlineLevel="0" collapsed="false">
      <c r="A1186" s="6" t="n">
        <v>1181</v>
      </c>
      <c r="B1186" s="6" t="n">
        <f aca="false">MIN(42, FLOOR(A1186/32,1)+1)</f>
        <v>37</v>
      </c>
      <c r="C1186" s="6" t="n">
        <f aca="false">ROUND($B$2*(A1186+1)^2.4*1.004^A1186,0)</f>
        <v>237705527412</v>
      </c>
      <c r="D1186" s="6" t="n">
        <f aca="false">ROUND($D$2*(A1186+1)^2.4*1.004^A1186,0)</f>
        <v>211293802144</v>
      </c>
      <c r="E1186" s="6" t="n">
        <f aca="false">ROUND($F$2*(A1186+1)^2.4*1.004^A1186,0)</f>
        <v>184882076876</v>
      </c>
      <c r="F1186" s="6" t="n">
        <f aca="false">ROUND(Building_Levels!$I$2*(A1186+1)^1.9*1.003^A1186,2)</f>
        <v>10229.07</v>
      </c>
      <c r="G1186" s="6" t="n">
        <f aca="false">ROUND((A1186+1)^1.12,1)</f>
        <v>2762.7</v>
      </c>
    </row>
    <row r="1187" customFormat="false" ht="15" hidden="false" customHeight="true" outlineLevel="0" collapsed="false">
      <c r="A1187" s="6" t="n">
        <v>1182</v>
      </c>
      <c r="B1187" s="6" t="n">
        <f aca="false">MIN(42, FLOOR(A1187/32,1)+1)</f>
        <v>37</v>
      </c>
      <c r="C1187" s="6" t="n">
        <f aca="false">ROUND($B$2*(A1187+1)^2.4*1.004^A1187,0)</f>
        <v>239141217951</v>
      </c>
      <c r="D1187" s="6" t="n">
        <f aca="false">ROUND($D$2*(A1187+1)^2.4*1.004^A1187,0)</f>
        <v>212569971512</v>
      </c>
      <c r="E1187" s="6" t="n">
        <f aca="false">ROUND($F$2*(A1187+1)^2.4*1.004^A1187,0)</f>
        <v>185998725073</v>
      </c>
      <c r="F1187" s="6" t="n">
        <f aca="false">ROUND(Building_Levels!$I$2*(A1187+1)^1.9*1.003^A1187,2)</f>
        <v>10276.26</v>
      </c>
      <c r="G1187" s="6" t="n">
        <f aca="false">ROUND((A1187+1)^1.12,1)</f>
        <v>2765.3</v>
      </c>
    </row>
    <row r="1188" customFormat="false" ht="15" hidden="false" customHeight="true" outlineLevel="0" collapsed="false">
      <c r="A1188" s="6" t="n">
        <v>1183</v>
      </c>
      <c r="B1188" s="6" t="n">
        <f aca="false">MIN(42, FLOOR(A1188/32,1)+1)</f>
        <v>37</v>
      </c>
      <c r="C1188" s="6" t="n">
        <f aca="false">ROUND($B$2*(A1188+1)^2.4*1.004^A1188,0)</f>
        <v>240585167172</v>
      </c>
      <c r="D1188" s="6" t="n">
        <f aca="false">ROUND($D$2*(A1188+1)^2.4*1.004^A1188,0)</f>
        <v>213853481930</v>
      </c>
      <c r="E1188" s="6" t="n">
        <f aca="false">ROUND($F$2*(A1188+1)^2.4*1.004^A1188,0)</f>
        <v>187121796689</v>
      </c>
      <c r="F1188" s="6" t="n">
        <f aca="false">ROUND(Building_Levels!$I$2*(A1188+1)^1.9*1.003^A1188,2)</f>
        <v>10323.65</v>
      </c>
      <c r="G1188" s="6" t="n">
        <f aca="false">ROUND((A1188+1)^1.12,1)</f>
        <v>2767.9</v>
      </c>
    </row>
    <row r="1189" customFormat="false" ht="15" hidden="false" customHeight="true" outlineLevel="0" collapsed="false">
      <c r="A1189" s="6" t="n">
        <v>1184</v>
      </c>
      <c r="B1189" s="6" t="n">
        <f aca="false">MIN(42, FLOOR(A1189/32,1)+1)</f>
        <v>38</v>
      </c>
      <c r="C1189" s="6" t="n">
        <f aca="false">ROUND($B$2*(A1189+1)^2.4*1.004^A1189,0)</f>
        <v>242037420673</v>
      </c>
      <c r="D1189" s="6" t="n">
        <f aca="false">ROUND($D$2*(A1189+1)^2.4*1.004^A1189,0)</f>
        <v>215144373931</v>
      </c>
      <c r="E1189" s="6" t="n">
        <f aca="false">ROUND($F$2*(A1189+1)^2.4*1.004^A1189,0)</f>
        <v>188251327190</v>
      </c>
      <c r="F1189" s="6" t="n">
        <f aca="false">ROUND(Building_Levels!$I$2*(A1189+1)^1.9*1.003^A1189,2)</f>
        <v>10371.24</v>
      </c>
      <c r="G1189" s="6" t="n">
        <f aca="false">ROUND((A1189+1)^1.12,1)</f>
        <v>2770.5</v>
      </c>
    </row>
    <row r="1190" customFormat="false" ht="15" hidden="false" customHeight="true" outlineLevel="0" collapsed="false">
      <c r="A1190" s="6" t="n">
        <v>1185</v>
      </c>
      <c r="B1190" s="6" t="n">
        <f aca="false">MIN(42, FLOOR(A1190/32,1)+1)</f>
        <v>38</v>
      </c>
      <c r="C1190" s="6" t="n">
        <f aca="false">ROUND($B$2*(A1190+1)^2.4*1.004^A1190,0)</f>
        <v>243498024298</v>
      </c>
      <c r="D1190" s="6" t="n">
        <f aca="false">ROUND($D$2*(A1190+1)^2.4*1.004^A1190,0)</f>
        <v>216442688265</v>
      </c>
      <c r="E1190" s="6" t="n">
        <f aca="false">ROUND($F$2*(A1190+1)^2.4*1.004^A1190,0)</f>
        <v>189387352232</v>
      </c>
      <c r="F1190" s="6" t="n">
        <f aca="false">ROUND(Building_Levels!$I$2*(A1190+1)^1.9*1.003^A1190,2)</f>
        <v>10419.04</v>
      </c>
      <c r="G1190" s="6" t="n">
        <f aca="false">ROUND((A1190+1)^1.12,1)</f>
        <v>2773.2</v>
      </c>
    </row>
    <row r="1191" customFormat="false" ht="15" hidden="false" customHeight="true" outlineLevel="0" collapsed="false">
      <c r="A1191" s="6" t="n">
        <v>1186</v>
      </c>
      <c r="B1191" s="6" t="n">
        <f aca="false">MIN(42, FLOOR(A1191/32,1)+1)</f>
        <v>38</v>
      </c>
      <c r="C1191" s="6" t="n">
        <f aca="false">ROUND($B$2*(A1191+1)^2.4*1.004^A1191,0)</f>
        <v>244967024135</v>
      </c>
      <c r="D1191" s="6" t="n">
        <f aca="false">ROUND($D$2*(A1191+1)^2.4*1.004^A1191,0)</f>
        <v>217748465898</v>
      </c>
      <c r="E1191" s="6" t="n">
        <f aca="false">ROUND($F$2*(A1191+1)^2.4*1.004^A1191,0)</f>
        <v>190529907661</v>
      </c>
      <c r="F1191" s="6" t="n">
        <f aca="false">ROUND(Building_Levels!$I$2*(A1191+1)^1.9*1.003^A1191,2)</f>
        <v>10467.04</v>
      </c>
      <c r="G1191" s="6" t="n">
        <f aca="false">ROUND((A1191+1)^1.12,1)</f>
        <v>2775.8</v>
      </c>
    </row>
    <row r="1192" customFormat="false" ht="15" hidden="false" customHeight="true" outlineLevel="0" collapsed="false">
      <c r="A1192" s="6" t="n">
        <v>1187</v>
      </c>
      <c r="B1192" s="6" t="n">
        <f aca="false">MIN(42, FLOOR(A1192/32,1)+1)</f>
        <v>38</v>
      </c>
      <c r="C1192" s="6" t="n">
        <f aca="false">ROUND($B$2*(A1192+1)^2.4*1.004^A1192,0)</f>
        <v>246444466517</v>
      </c>
      <c r="D1192" s="6" t="n">
        <f aca="false">ROUND($D$2*(A1192+1)^2.4*1.004^A1192,0)</f>
        <v>219061748015</v>
      </c>
      <c r="E1192" s="6" t="n">
        <f aca="false">ROUND($F$2*(A1192+1)^2.4*1.004^A1192,0)</f>
        <v>191679029513</v>
      </c>
      <c r="F1192" s="6" t="n">
        <f aca="false">ROUND(Building_Levels!$I$2*(A1192+1)^1.9*1.003^A1192,2)</f>
        <v>10515.26</v>
      </c>
      <c r="G1192" s="6" t="n">
        <f aca="false">ROUND((A1192+1)^1.12,1)</f>
        <v>2778.4</v>
      </c>
    </row>
    <row r="1193" customFormat="false" ht="15" hidden="false" customHeight="true" outlineLevel="0" collapsed="false">
      <c r="A1193" s="6" t="n">
        <v>1188</v>
      </c>
      <c r="B1193" s="6" t="n">
        <f aca="false">MIN(42, FLOOR(A1193/32,1)+1)</f>
        <v>38</v>
      </c>
      <c r="C1193" s="6" t="n">
        <f aca="false">ROUND($B$2*(A1193+1)^2.4*1.004^A1193,0)</f>
        <v>247930398026</v>
      </c>
      <c r="D1193" s="6" t="n">
        <f aca="false">ROUND($D$2*(A1193+1)^2.4*1.004^A1193,0)</f>
        <v>220382576023</v>
      </c>
      <c r="E1193" s="6" t="n">
        <f aca="false">ROUND($F$2*(A1193+1)^2.4*1.004^A1193,0)</f>
        <v>192834754020</v>
      </c>
      <c r="F1193" s="6" t="n">
        <f aca="false">ROUND(Building_Levels!$I$2*(A1193+1)^1.9*1.003^A1193,2)</f>
        <v>10563.68</v>
      </c>
      <c r="G1193" s="6" t="n">
        <f aca="false">ROUND((A1193+1)^1.12,1)</f>
        <v>2781</v>
      </c>
    </row>
    <row r="1194" customFormat="false" ht="15" hidden="false" customHeight="true" outlineLevel="0" collapsed="false">
      <c r="A1194" s="6" t="n">
        <v>1189</v>
      </c>
      <c r="B1194" s="6" t="n">
        <f aca="false">MIN(42, FLOOR(A1194/32,1)+1)</f>
        <v>38</v>
      </c>
      <c r="C1194" s="6" t="n">
        <f aca="false">ROUND($B$2*(A1194+1)^2.4*1.004^A1194,0)</f>
        <v>249424865490</v>
      </c>
      <c r="D1194" s="6" t="n">
        <f aca="false">ROUND($D$2*(A1194+1)^2.4*1.004^A1194,0)</f>
        <v>221710991546</v>
      </c>
      <c r="E1194" s="6" t="n">
        <f aca="false">ROUND($F$2*(A1194+1)^2.4*1.004^A1194,0)</f>
        <v>193997117603</v>
      </c>
      <c r="F1194" s="6" t="n">
        <f aca="false">ROUND(Building_Levels!$I$2*(A1194+1)^1.9*1.003^A1194,2)</f>
        <v>10612.3</v>
      </c>
      <c r="G1194" s="6" t="n">
        <f aca="false">ROUND((A1194+1)^1.12,1)</f>
        <v>2783.6</v>
      </c>
    </row>
    <row r="1195" customFormat="false" ht="15" hidden="false" customHeight="true" outlineLevel="0" collapsed="false">
      <c r="A1195" s="6" t="n">
        <v>1190</v>
      </c>
      <c r="B1195" s="6" t="n">
        <f aca="false">MIN(42, FLOOR(A1195/32,1)+1)</f>
        <v>38</v>
      </c>
      <c r="C1195" s="6" t="n">
        <f aca="false">ROUND($B$2*(A1195+1)^2.4*1.004^A1195,0)</f>
        <v>250927915988</v>
      </c>
      <c r="D1195" s="6" t="n">
        <f aca="false">ROUND($D$2*(A1195+1)^2.4*1.004^A1195,0)</f>
        <v>223047036434</v>
      </c>
      <c r="E1195" s="6" t="n">
        <f aca="false">ROUND($F$2*(A1195+1)^2.4*1.004^A1195,0)</f>
        <v>195166156879</v>
      </c>
      <c r="F1195" s="6" t="n">
        <f aca="false">ROUND(Building_Levels!$I$2*(A1195+1)^1.9*1.003^A1195,2)</f>
        <v>10661.14</v>
      </c>
      <c r="G1195" s="6" t="n">
        <f aca="false">ROUND((A1195+1)^1.12,1)</f>
        <v>2786.3</v>
      </c>
    </row>
    <row r="1196" customFormat="false" ht="15" hidden="false" customHeight="true" outlineLevel="0" collapsed="false">
      <c r="A1196" s="6" t="n">
        <v>1191</v>
      </c>
      <c r="B1196" s="6" t="n">
        <f aca="false">MIN(42, FLOOR(A1196/32,1)+1)</f>
        <v>38</v>
      </c>
      <c r="C1196" s="6" t="n">
        <f aca="false">ROUND($B$2*(A1196+1)^2.4*1.004^A1196,0)</f>
        <v>252439596851</v>
      </c>
      <c r="D1196" s="6" t="n">
        <f aca="false">ROUND($D$2*(A1196+1)^2.4*1.004^A1196,0)</f>
        <v>224390752756</v>
      </c>
      <c r="E1196" s="6" t="n">
        <f aca="false">ROUND($F$2*(A1196+1)^2.4*1.004^A1196,0)</f>
        <v>196341908662</v>
      </c>
      <c r="F1196" s="6" t="n">
        <f aca="false">ROUND(Building_Levels!$I$2*(A1196+1)^1.9*1.003^A1196,2)</f>
        <v>10710.19</v>
      </c>
      <c r="G1196" s="6" t="n">
        <f aca="false">ROUND((A1196+1)^1.12,1)</f>
        <v>2788.9</v>
      </c>
    </row>
    <row r="1197" customFormat="false" ht="15" hidden="false" customHeight="true" outlineLevel="0" collapsed="false">
      <c r="A1197" s="6" t="n">
        <v>1192</v>
      </c>
      <c r="B1197" s="6" t="n">
        <f aca="false">MIN(42, FLOOR(A1197/32,1)+1)</f>
        <v>38</v>
      </c>
      <c r="C1197" s="6" t="n">
        <f aca="false">ROUND($B$2*(A1197+1)^2.4*1.004^A1197,0)</f>
        <v>253959955660</v>
      </c>
      <c r="D1197" s="6" t="n">
        <f aca="false">ROUND($D$2*(A1197+1)^2.4*1.004^A1197,0)</f>
        <v>225742182809</v>
      </c>
      <c r="E1197" s="6" t="n">
        <f aca="false">ROUND($F$2*(A1197+1)^2.4*1.004^A1197,0)</f>
        <v>197524409958</v>
      </c>
      <c r="F1197" s="6" t="n">
        <f aca="false">ROUND(Building_Levels!$I$2*(A1197+1)^1.9*1.003^A1197,2)</f>
        <v>10759.45</v>
      </c>
      <c r="G1197" s="6" t="n">
        <f aca="false">ROUND((A1197+1)^1.12,1)</f>
        <v>2791.5</v>
      </c>
    </row>
    <row r="1198" customFormat="false" ht="15" hidden="false" customHeight="true" outlineLevel="0" collapsed="false">
      <c r="A1198" s="6" t="n">
        <v>1193</v>
      </c>
      <c r="B1198" s="6" t="n">
        <f aca="false">MIN(42, FLOOR(A1198/32,1)+1)</f>
        <v>38</v>
      </c>
      <c r="C1198" s="6" t="n">
        <f aca="false">ROUND($B$2*(A1198+1)^2.4*1.004^A1198,0)</f>
        <v>255489040252</v>
      </c>
      <c r="D1198" s="6" t="n">
        <f aca="false">ROUND($D$2*(A1198+1)^2.4*1.004^A1198,0)</f>
        <v>227101369113</v>
      </c>
      <c r="E1198" s="6" t="n">
        <f aca="false">ROUND($F$2*(A1198+1)^2.4*1.004^A1198,0)</f>
        <v>198713697974</v>
      </c>
      <c r="F1198" s="6" t="n">
        <f aca="false">ROUND(Building_Levels!$I$2*(A1198+1)^1.9*1.003^A1198,2)</f>
        <v>10808.92</v>
      </c>
      <c r="G1198" s="6" t="n">
        <f aca="false">ROUND((A1198+1)^1.12,1)</f>
        <v>2794.1</v>
      </c>
    </row>
    <row r="1199" customFormat="false" ht="15" hidden="false" customHeight="true" outlineLevel="0" collapsed="false">
      <c r="A1199" s="6" t="n">
        <v>1194</v>
      </c>
      <c r="B1199" s="6" t="n">
        <f aca="false">MIN(42, FLOOR(A1199/32,1)+1)</f>
        <v>38</v>
      </c>
      <c r="C1199" s="6" t="n">
        <f aca="false">ROUND($B$2*(A1199+1)^2.4*1.004^A1199,0)</f>
        <v>257026898718</v>
      </c>
      <c r="D1199" s="6" t="n">
        <f aca="false">ROUND($D$2*(A1199+1)^2.4*1.004^A1199,0)</f>
        <v>228468354416</v>
      </c>
      <c r="E1199" s="6" t="n">
        <f aca="false">ROUND($F$2*(A1199+1)^2.4*1.004^A1199,0)</f>
        <v>199909810114</v>
      </c>
      <c r="F1199" s="6" t="n">
        <f aca="false">ROUND(Building_Levels!$I$2*(A1199+1)^1.9*1.003^A1199,2)</f>
        <v>10858.61</v>
      </c>
      <c r="G1199" s="6" t="n">
        <f aca="false">ROUND((A1199+1)^1.12,1)</f>
        <v>2796.7</v>
      </c>
    </row>
    <row r="1200" customFormat="false" ht="15" hidden="false" customHeight="true" outlineLevel="0" collapsed="false">
      <c r="A1200" s="6" t="n">
        <v>1195</v>
      </c>
      <c r="B1200" s="6" t="n">
        <f aca="false">MIN(42, FLOOR(A1200/32,1)+1)</f>
        <v>38</v>
      </c>
      <c r="C1200" s="6" t="n">
        <f aca="false">ROUND($B$2*(A1200+1)^2.4*1.004^A1200,0)</f>
        <v>258573579404</v>
      </c>
      <c r="D1200" s="6" t="n">
        <f aca="false">ROUND($D$2*(A1200+1)^2.4*1.004^A1200,0)</f>
        <v>229843181692</v>
      </c>
      <c r="E1200" s="6" t="n">
        <f aca="false">ROUND($F$2*(A1200+1)^2.4*1.004^A1200,0)</f>
        <v>201112783981</v>
      </c>
      <c r="F1200" s="6" t="n">
        <f aca="false">ROUND(Building_Levels!$I$2*(A1200+1)^1.9*1.003^A1200,2)</f>
        <v>10908.51</v>
      </c>
      <c r="G1200" s="6" t="n">
        <f aca="false">ROUND((A1200+1)^1.12,1)</f>
        <v>2799.4</v>
      </c>
    </row>
    <row r="1201" customFormat="false" ht="15" hidden="false" customHeight="true" outlineLevel="0" collapsed="false">
      <c r="A1201" s="6" t="n">
        <v>1196</v>
      </c>
      <c r="B1201" s="6" t="n">
        <f aca="false">MIN(42, FLOOR(A1201/32,1)+1)</f>
        <v>38</v>
      </c>
      <c r="C1201" s="6" t="n">
        <f aca="false">ROUND($B$2*(A1201+1)^2.4*1.004^A1201,0)</f>
        <v>260129130916</v>
      </c>
      <c r="D1201" s="6" t="n">
        <f aca="false">ROUND($D$2*(A1201+1)^2.4*1.004^A1201,0)</f>
        <v>231225894147</v>
      </c>
      <c r="E1201" s="6" t="n">
        <f aca="false">ROUND($F$2*(A1201+1)^2.4*1.004^A1201,0)</f>
        <v>202322657379</v>
      </c>
      <c r="F1201" s="6" t="n">
        <f aca="false">ROUND(Building_Levels!$I$2*(A1201+1)^1.9*1.003^A1201,2)</f>
        <v>10958.62</v>
      </c>
      <c r="G1201" s="6" t="n">
        <f aca="false">ROUND((A1201+1)^1.12,1)</f>
        <v>2802</v>
      </c>
    </row>
    <row r="1202" customFormat="false" ht="15" hidden="false" customHeight="true" outlineLevel="0" collapsed="false">
      <c r="A1202" s="6" t="n">
        <v>1197</v>
      </c>
      <c r="B1202" s="6" t="n">
        <f aca="false">MIN(42, FLOOR(A1202/32,1)+1)</f>
        <v>38</v>
      </c>
      <c r="C1202" s="6" t="n">
        <f aca="false">ROUND($B$2*(A1202+1)^2.4*1.004^A1202,0)</f>
        <v>261693602116</v>
      </c>
      <c r="D1202" s="6" t="n">
        <f aca="false">ROUND($D$2*(A1202+1)^2.4*1.004^A1202,0)</f>
        <v>232616535215</v>
      </c>
      <c r="E1202" s="6" t="n">
        <f aca="false">ROUND($F$2*(A1202+1)^2.4*1.004^A1202,0)</f>
        <v>203539468313</v>
      </c>
      <c r="F1202" s="6" t="n">
        <f aca="false">ROUND(Building_Levels!$I$2*(A1202+1)^1.9*1.003^A1202,2)</f>
        <v>11008.95</v>
      </c>
      <c r="G1202" s="6" t="n">
        <f aca="false">ROUND((A1202+1)^1.12,1)</f>
        <v>2804.6</v>
      </c>
    </row>
    <row r="1203" customFormat="false" ht="15" hidden="false" customHeight="true" outlineLevel="0" collapsed="false">
      <c r="A1203" s="6" t="n">
        <v>1198</v>
      </c>
      <c r="B1203" s="6" t="n">
        <f aca="false">MIN(42, FLOOR(A1203/32,1)+1)</f>
        <v>38</v>
      </c>
      <c r="C1203" s="6" t="n">
        <f aca="false">ROUND($B$2*(A1203+1)^2.4*1.004^A1203,0)</f>
        <v>263267042130</v>
      </c>
      <c r="D1203" s="6" t="n">
        <f aca="false">ROUND($D$2*(A1203+1)^2.4*1.004^A1203,0)</f>
        <v>234015148560</v>
      </c>
      <c r="E1203" s="6" t="n">
        <f aca="false">ROUND($F$2*(A1203+1)^2.4*1.004^A1203,0)</f>
        <v>204763254990</v>
      </c>
      <c r="F1203" s="6" t="n">
        <f aca="false">ROUND(Building_Levels!$I$2*(A1203+1)^1.9*1.003^A1203,2)</f>
        <v>11059.5</v>
      </c>
      <c r="G1203" s="6" t="n">
        <f aca="false">ROUND((A1203+1)^1.12,1)</f>
        <v>2807.2</v>
      </c>
    </row>
    <row r="1204" customFormat="false" ht="15" hidden="false" customHeight="true" outlineLevel="0" collapsed="false">
      <c r="A1204" s="6" t="n">
        <v>1199</v>
      </c>
      <c r="B1204" s="6" t="n">
        <f aca="false">MIN(42, FLOOR(A1204/32,1)+1)</f>
        <v>38</v>
      </c>
      <c r="C1204" s="6" t="n">
        <f aca="false">ROUND($B$2*(A1204+1)^2.4*1.004^A1204,0)</f>
        <v>264849500343</v>
      </c>
      <c r="D1204" s="6" t="n">
        <f aca="false">ROUND($D$2*(A1204+1)^2.4*1.004^A1204,0)</f>
        <v>235421778082</v>
      </c>
      <c r="E1204" s="6" t="n">
        <f aca="false">ROUND($F$2*(A1204+1)^2.4*1.004^A1204,0)</f>
        <v>205994055822</v>
      </c>
      <c r="F1204" s="6" t="n">
        <f aca="false">ROUND(Building_Levels!$I$2*(A1204+1)^1.9*1.003^A1204,2)</f>
        <v>11110.26</v>
      </c>
      <c r="G1204" s="6" t="n">
        <f aca="false">ROUND((A1204+1)^1.12,1)</f>
        <v>2809.8</v>
      </c>
    </row>
    <row r="1205" customFormat="false" ht="15" hidden="false" customHeight="true" outlineLevel="0" collapsed="false">
      <c r="A1205" s="6" t="n">
        <v>1200</v>
      </c>
      <c r="B1205" s="6" t="n">
        <f aca="false">MIN(42, FLOOR(A1205/32,1)+1)</f>
        <v>38</v>
      </c>
      <c r="C1205" s="6" t="n">
        <f aca="false">ROUND($B$2*(A1205+1)^2.4*1.004^A1205,0)</f>
        <v>266441026402</v>
      </c>
      <c r="D1205" s="6" t="n">
        <f aca="false">ROUND($D$2*(A1205+1)^2.4*1.004^A1205,0)</f>
        <v>236836467913</v>
      </c>
      <c r="E1205" s="6" t="n">
        <f aca="false">ROUND($F$2*(A1205+1)^2.4*1.004^A1205,0)</f>
        <v>207231909424</v>
      </c>
      <c r="F1205" s="6" t="n">
        <f aca="false">ROUND(Building_Levels!$I$2*(A1205+1)^1.9*1.003^A1205,2)</f>
        <v>11161.24</v>
      </c>
      <c r="G1205" s="6" t="n">
        <f aca="false">ROUND((A1205+1)^1.12,1)</f>
        <v>2812.5</v>
      </c>
    </row>
    <row r="1206" customFormat="false" ht="15" hidden="false" customHeight="true" outlineLevel="0" collapsed="false">
      <c r="A1206" s="6" t="n">
        <v>1201</v>
      </c>
      <c r="B1206" s="6" t="n">
        <f aca="false">MIN(42, FLOOR(A1206/32,1)+1)</f>
        <v>38</v>
      </c>
      <c r="C1206" s="6" t="n">
        <f aca="false">ROUND($B$2*(A1206+1)^2.4*1.004^A1206,0)</f>
        <v>268041670222</v>
      </c>
      <c r="D1206" s="6" t="n">
        <f aca="false">ROUND($D$2*(A1206+1)^2.4*1.004^A1206,0)</f>
        <v>238259262419</v>
      </c>
      <c r="E1206" s="6" t="n">
        <f aca="false">ROUND($F$2*(A1206+1)^2.4*1.004^A1206,0)</f>
        <v>208476854617</v>
      </c>
      <c r="F1206" s="6" t="n">
        <f aca="false">ROUND(Building_Levels!$I$2*(A1206+1)^1.9*1.003^A1206,2)</f>
        <v>11212.44</v>
      </c>
      <c r="G1206" s="6" t="n">
        <f aca="false">ROUND((A1206+1)^1.12,1)</f>
        <v>2815.1</v>
      </c>
    </row>
    <row r="1207" customFormat="false" ht="15" hidden="false" customHeight="true" outlineLevel="0" collapsed="false">
      <c r="A1207" s="6" t="n">
        <v>1202</v>
      </c>
      <c r="B1207" s="6" t="n">
        <f aca="false">MIN(42, FLOOR(A1207/32,1)+1)</f>
        <v>38</v>
      </c>
      <c r="C1207" s="6" t="n">
        <f aca="false">ROUND($B$2*(A1207+1)^2.4*1.004^A1207,0)</f>
        <v>269651481980</v>
      </c>
      <c r="D1207" s="6" t="n">
        <f aca="false">ROUND($D$2*(A1207+1)^2.4*1.004^A1207,0)</f>
        <v>239690206204</v>
      </c>
      <c r="E1207" s="6" t="n">
        <f aca="false">ROUND($F$2*(A1207+1)^2.4*1.004^A1207,0)</f>
        <v>209728930429</v>
      </c>
      <c r="F1207" s="6" t="n">
        <f aca="false">ROUND(Building_Levels!$I$2*(A1207+1)^1.9*1.003^A1207,2)</f>
        <v>11263.86</v>
      </c>
      <c r="G1207" s="6" t="n">
        <f aca="false">ROUND((A1207+1)^1.12,1)</f>
        <v>2817.7</v>
      </c>
    </row>
    <row r="1208" customFormat="false" ht="15" hidden="false" customHeight="true" outlineLevel="0" collapsed="false">
      <c r="A1208" s="6" t="n">
        <v>1203</v>
      </c>
      <c r="B1208" s="6" t="n">
        <f aca="false">MIN(42, FLOOR(A1208/32,1)+1)</f>
        <v>38</v>
      </c>
      <c r="C1208" s="6" t="n">
        <f aca="false">ROUND($B$2*(A1208+1)^2.4*1.004^A1208,0)</f>
        <v>271270512122</v>
      </c>
      <c r="D1208" s="6" t="n">
        <f aca="false">ROUND($D$2*(A1208+1)^2.4*1.004^A1208,0)</f>
        <v>241129344109</v>
      </c>
      <c r="E1208" s="6" t="n">
        <f aca="false">ROUND($F$2*(A1208+1)^2.4*1.004^A1208,0)</f>
        <v>210988176095</v>
      </c>
      <c r="F1208" s="6" t="n">
        <f aca="false">ROUND(Building_Levels!$I$2*(A1208+1)^1.9*1.003^A1208,2)</f>
        <v>11315.5</v>
      </c>
      <c r="G1208" s="6" t="n">
        <f aca="false">ROUND((A1208+1)^1.12,1)</f>
        <v>2820.3</v>
      </c>
    </row>
    <row r="1209" customFormat="false" ht="15" hidden="false" customHeight="true" outlineLevel="0" collapsed="false">
      <c r="A1209" s="6" t="n">
        <v>1204</v>
      </c>
      <c r="B1209" s="6" t="n">
        <f aca="false">MIN(42, FLOOR(A1209/32,1)+1)</f>
        <v>38</v>
      </c>
      <c r="C1209" s="6" t="n">
        <f aca="false">ROUND($B$2*(A1209+1)^2.4*1.004^A1209,0)</f>
        <v>272898811363</v>
      </c>
      <c r="D1209" s="6" t="n">
        <f aca="false">ROUND($D$2*(A1209+1)^2.4*1.004^A1209,0)</f>
        <v>242576721211</v>
      </c>
      <c r="E1209" s="6" t="n">
        <f aca="false">ROUND($F$2*(A1209+1)^2.4*1.004^A1209,0)</f>
        <v>212254631060</v>
      </c>
      <c r="F1209" s="6" t="n">
        <f aca="false">ROUND(Building_Levels!$I$2*(A1209+1)^1.9*1.003^A1209,2)</f>
        <v>11367.37</v>
      </c>
      <c r="G1209" s="6" t="n">
        <f aca="false">ROUND((A1209+1)^1.12,1)</f>
        <v>2823</v>
      </c>
    </row>
    <row r="1210" customFormat="false" ht="15" hidden="false" customHeight="true" outlineLevel="0" collapsed="false">
      <c r="A1210" s="6" t="n">
        <v>1205</v>
      </c>
      <c r="B1210" s="6" t="n">
        <f aca="false">MIN(42, FLOOR(A1210/32,1)+1)</f>
        <v>38</v>
      </c>
      <c r="C1210" s="6" t="n">
        <f aca="false">ROUND($B$2*(A1210+1)^2.4*1.004^A1210,0)</f>
        <v>274536430685</v>
      </c>
      <c r="D1210" s="6" t="n">
        <f aca="false">ROUND($D$2*(A1210+1)^2.4*1.004^A1210,0)</f>
        <v>244032382831</v>
      </c>
      <c r="E1210" s="6" t="n">
        <f aca="false">ROUND($F$2*(A1210+1)^2.4*1.004^A1210,0)</f>
        <v>213528334977</v>
      </c>
      <c r="F1210" s="6" t="n">
        <f aca="false">ROUND(Building_Levels!$I$2*(A1210+1)^1.9*1.003^A1210,2)</f>
        <v>11419.45</v>
      </c>
      <c r="G1210" s="6" t="n">
        <f aca="false">ROUND((A1210+1)^1.12,1)</f>
        <v>2825.6</v>
      </c>
    </row>
    <row r="1211" customFormat="false" ht="15" hidden="false" customHeight="true" outlineLevel="0" collapsed="false">
      <c r="A1211" s="6" t="n">
        <v>1206</v>
      </c>
      <c r="B1211" s="6" t="n">
        <f aca="false">MIN(42, FLOOR(A1211/32,1)+1)</f>
        <v>38</v>
      </c>
      <c r="C1211" s="6" t="n">
        <f aca="false">ROUND($B$2*(A1211+1)^2.4*1.004^A1211,0)</f>
        <v>276183421345</v>
      </c>
      <c r="D1211" s="6" t="n">
        <f aca="false">ROUND($D$2*(A1211+1)^2.4*1.004^A1211,0)</f>
        <v>245496374529</v>
      </c>
      <c r="E1211" s="6" t="n">
        <f aca="false">ROUND($F$2*(A1211+1)^2.4*1.004^A1211,0)</f>
        <v>214809327713</v>
      </c>
      <c r="F1211" s="6" t="n">
        <f aca="false">ROUND(Building_Levels!$I$2*(A1211+1)^1.9*1.003^A1211,2)</f>
        <v>11471.76</v>
      </c>
      <c r="G1211" s="6" t="n">
        <f aca="false">ROUND((A1211+1)^1.12,1)</f>
        <v>2828.2</v>
      </c>
    </row>
    <row r="1212" customFormat="false" ht="15" hidden="false" customHeight="true" outlineLevel="0" collapsed="false">
      <c r="A1212" s="6" t="n">
        <v>1207</v>
      </c>
      <c r="B1212" s="6" t="n">
        <f aca="false">MIN(42, FLOOR(A1212/32,1)+1)</f>
        <v>38</v>
      </c>
      <c r="C1212" s="6" t="n">
        <f aca="false">ROUND($B$2*(A1212+1)^2.4*1.004^A1212,0)</f>
        <v>277839834871</v>
      </c>
      <c r="D1212" s="6" t="n">
        <f aca="false">ROUND($D$2*(A1212+1)^2.4*1.004^A1212,0)</f>
        <v>246968742107</v>
      </c>
      <c r="E1212" s="6" t="n">
        <f aca="false">ROUND($F$2*(A1212+1)^2.4*1.004^A1212,0)</f>
        <v>216097649344</v>
      </c>
      <c r="F1212" s="6" t="n">
        <f aca="false">ROUND(Building_Levels!$I$2*(A1212+1)^1.9*1.003^A1212,2)</f>
        <v>11524.3</v>
      </c>
      <c r="G1212" s="6" t="n">
        <f aca="false">ROUND((A1212+1)^1.12,1)</f>
        <v>2830.8</v>
      </c>
    </row>
    <row r="1213" customFormat="false" ht="15" hidden="false" customHeight="true" outlineLevel="0" collapsed="false">
      <c r="A1213" s="6" t="n">
        <v>1208</v>
      </c>
      <c r="B1213" s="6" t="n">
        <f aca="false">MIN(42, FLOOR(A1213/32,1)+1)</f>
        <v>38</v>
      </c>
      <c r="C1213" s="6" t="n">
        <f aca="false">ROUND($B$2*(A1213+1)^2.4*1.004^A1213,0)</f>
        <v>279505723063</v>
      </c>
      <c r="D1213" s="6" t="n">
        <f aca="false">ROUND($D$2*(A1213+1)^2.4*1.004^A1213,0)</f>
        <v>248449531612</v>
      </c>
      <c r="E1213" s="6" t="n">
        <f aca="false">ROUND($F$2*(A1213+1)^2.4*1.004^A1213,0)</f>
        <v>217393340160</v>
      </c>
      <c r="F1213" s="6" t="n">
        <f aca="false">ROUND(Building_Levels!$I$2*(A1213+1)^1.9*1.003^A1213,2)</f>
        <v>11577.06</v>
      </c>
      <c r="G1213" s="6" t="n">
        <f aca="false">ROUND((A1213+1)^1.12,1)</f>
        <v>2833.5</v>
      </c>
    </row>
    <row r="1214" customFormat="false" ht="15" hidden="false" customHeight="true" outlineLevel="0" collapsed="false">
      <c r="A1214" s="6" t="n">
        <v>1209</v>
      </c>
      <c r="B1214" s="6" t="n">
        <f aca="false">MIN(42, FLOOR(A1214/32,1)+1)</f>
        <v>38</v>
      </c>
      <c r="C1214" s="6" t="n">
        <f aca="false">ROUND($B$2*(A1214+1)^2.4*1.004^A1214,0)</f>
        <v>281181138000</v>
      </c>
      <c r="D1214" s="6" t="n">
        <f aca="false">ROUND($D$2*(A1214+1)^2.4*1.004^A1214,0)</f>
        <v>249938789333</v>
      </c>
      <c r="E1214" s="6" t="n">
        <f aca="false">ROUND($F$2*(A1214+1)^2.4*1.004^A1214,0)</f>
        <v>218696440667</v>
      </c>
      <c r="F1214" s="6" t="n">
        <f aca="false">ROUND(Building_Levels!$I$2*(A1214+1)^1.9*1.003^A1214,2)</f>
        <v>11630.04</v>
      </c>
      <c r="G1214" s="6" t="n">
        <f aca="false">ROUND((A1214+1)^1.12,1)</f>
        <v>2836.1</v>
      </c>
    </row>
    <row r="1215" customFormat="false" ht="15" hidden="false" customHeight="true" outlineLevel="0" collapsed="false">
      <c r="A1215" s="6" t="n">
        <v>1210</v>
      </c>
      <c r="B1215" s="6" t="n">
        <f aca="false">MIN(42, FLOOR(A1215/32,1)+1)</f>
        <v>38</v>
      </c>
      <c r="C1215" s="6" t="n">
        <f aca="false">ROUND($B$2*(A1215+1)^2.4*1.004^A1215,0)</f>
        <v>282866132035</v>
      </c>
      <c r="D1215" s="6" t="n">
        <f aca="false">ROUND($D$2*(A1215+1)^2.4*1.004^A1215,0)</f>
        <v>251436561809</v>
      </c>
      <c r="E1215" s="6" t="n">
        <f aca="false">ROUND($F$2*(A1215+1)^2.4*1.004^A1215,0)</f>
        <v>220006991583</v>
      </c>
      <c r="F1215" s="6" t="n">
        <f aca="false">ROUND(Building_Levels!$I$2*(A1215+1)^1.9*1.003^A1215,2)</f>
        <v>11683.26</v>
      </c>
      <c r="G1215" s="6" t="n">
        <f aca="false">ROUND((A1215+1)^1.12,1)</f>
        <v>2838.7</v>
      </c>
    </row>
    <row r="1216" customFormat="false" ht="15" hidden="false" customHeight="true" outlineLevel="0" collapsed="false">
      <c r="A1216" s="6" t="n">
        <v>1211</v>
      </c>
      <c r="B1216" s="6" t="n">
        <f aca="false">MIN(42, FLOOR(A1216/32,1)+1)</f>
        <v>38</v>
      </c>
      <c r="C1216" s="6" t="n">
        <f aca="false">ROUND($B$2*(A1216+1)^2.4*1.004^A1216,0)</f>
        <v>284560757802</v>
      </c>
      <c r="D1216" s="6" t="n">
        <f aca="false">ROUND($D$2*(A1216+1)^2.4*1.004^A1216,0)</f>
        <v>252942895824</v>
      </c>
      <c r="E1216" s="6" t="n">
        <f aca="false">ROUND($F$2*(A1216+1)^2.4*1.004^A1216,0)</f>
        <v>221325033846</v>
      </c>
      <c r="F1216" s="6" t="n">
        <f aca="false">ROUND(Building_Levels!$I$2*(A1216+1)^1.9*1.003^A1216,2)</f>
        <v>11736.7</v>
      </c>
      <c r="G1216" s="6" t="n">
        <f aca="false">ROUND((A1216+1)^1.12,1)</f>
        <v>2841.3</v>
      </c>
    </row>
    <row r="1217" customFormat="false" ht="15" hidden="false" customHeight="true" outlineLevel="0" collapsed="false">
      <c r="A1217" s="6" t="n">
        <v>1212</v>
      </c>
      <c r="B1217" s="6" t="n">
        <f aca="false">MIN(42, FLOOR(A1217/32,1)+1)</f>
        <v>38</v>
      </c>
      <c r="C1217" s="6" t="n">
        <f aca="false">ROUND($B$2*(A1217+1)^2.4*1.004^A1217,0)</f>
        <v>286265068213</v>
      </c>
      <c r="D1217" s="6" t="n">
        <f aca="false">ROUND($D$2*(A1217+1)^2.4*1.004^A1217,0)</f>
        <v>254457838412</v>
      </c>
      <c r="E1217" s="6" t="n">
        <f aca="false">ROUND($F$2*(A1217+1)^2.4*1.004^A1217,0)</f>
        <v>222650608610</v>
      </c>
      <c r="F1217" s="6" t="n">
        <f aca="false">ROUND(Building_Levels!$I$2*(A1217+1)^1.9*1.003^A1217,2)</f>
        <v>11790.37</v>
      </c>
      <c r="G1217" s="6" t="n">
        <f aca="false">ROUND((A1217+1)^1.12,1)</f>
        <v>2844</v>
      </c>
    </row>
    <row r="1218" customFormat="false" ht="15" hidden="false" customHeight="true" outlineLevel="0" collapsed="false">
      <c r="A1218" s="6" t="n">
        <v>1213</v>
      </c>
      <c r="B1218" s="6" t="n">
        <f aca="false">MIN(42, FLOOR(A1218/32,1)+1)</f>
        <v>38</v>
      </c>
      <c r="C1218" s="6" t="n">
        <f aca="false">ROUND($B$2*(A1218+1)^2.4*1.004^A1218,0)</f>
        <v>287979116461</v>
      </c>
      <c r="D1218" s="6" t="n">
        <f aca="false">ROUND($D$2*(A1218+1)^2.4*1.004^A1218,0)</f>
        <v>255981436854</v>
      </c>
      <c r="E1218" s="6" t="n">
        <f aca="false">ROUND($F$2*(A1218+1)^2.4*1.004^A1218,0)</f>
        <v>223983757248</v>
      </c>
      <c r="F1218" s="6" t="n">
        <f aca="false">ROUND(Building_Levels!$I$2*(A1218+1)^1.9*1.003^A1218,2)</f>
        <v>11844.27</v>
      </c>
      <c r="G1218" s="6" t="n">
        <f aca="false">ROUND((A1218+1)^1.12,1)</f>
        <v>2846.6</v>
      </c>
    </row>
    <row r="1219" customFormat="false" ht="15" hidden="false" customHeight="true" outlineLevel="0" collapsed="false">
      <c r="A1219" s="6" t="n">
        <v>1214</v>
      </c>
      <c r="B1219" s="6" t="n">
        <f aca="false">MIN(42, FLOOR(A1219/32,1)+1)</f>
        <v>38</v>
      </c>
      <c r="C1219" s="6" t="n">
        <f aca="false">ROUND($B$2*(A1219+1)^2.4*1.004^A1219,0)</f>
        <v>289702956023</v>
      </c>
      <c r="D1219" s="6" t="n">
        <f aca="false">ROUND($D$2*(A1219+1)^2.4*1.004^A1219,0)</f>
        <v>257513738687</v>
      </c>
      <c r="E1219" s="6" t="n">
        <f aca="false">ROUND($F$2*(A1219+1)^2.4*1.004^A1219,0)</f>
        <v>225324521351</v>
      </c>
      <c r="F1219" s="6" t="n">
        <f aca="false">ROUND(Building_Levels!$I$2*(A1219+1)^1.9*1.003^A1219,2)</f>
        <v>11898.4</v>
      </c>
      <c r="G1219" s="6" t="n">
        <f aca="false">ROUND((A1219+1)^1.12,1)</f>
        <v>2849.2</v>
      </c>
    </row>
    <row r="1220" customFormat="false" ht="15" hidden="false" customHeight="true" outlineLevel="0" collapsed="false">
      <c r="A1220" s="6" t="n">
        <v>1215</v>
      </c>
      <c r="B1220" s="6" t="n">
        <f aca="false">MIN(42, FLOOR(A1220/32,1)+1)</f>
        <v>38</v>
      </c>
      <c r="C1220" s="6" t="n">
        <f aca="false">ROUND($B$2*(A1220+1)^2.4*1.004^A1220,0)</f>
        <v>291436640659</v>
      </c>
      <c r="D1220" s="6" t="n">
        <f aca="false">ROUND($D$2*(A1220+1)^2.4*1.004^A1220,0)</f>
        <v>259054791697</v>
      </c>
      <c r="E1220" s="6" t="n">
        <f aca="false">ROUND($F$2*(A1220+1)^2.4*1.004^A1220,0)</f>
        <v>226672942735</v>
      </c>
      <c r="F1220" s="6" t="n">
        <f aca="false">ROUND(Building_Levels!$I$2*(A1220+1)^1.9*1.003^A1220,2)</f>
        <v>11952.77</v>
      </c>
      <c r="G1220" s="6" t="n">
        <f aca="false">ROUND((A1220+1)^1.12,1)</f>
        <v>2851.8</v>
      </c>
    </row>
    <row r="1221" customFormat="false" ht="15" hidden="false" customHeight="true" outlineLevel="0" collapsed="false">
      <c r="A1221" s="6" t="n">
        <v>1216</v>
      </c>
      <c r="B1221" s="6" t="n">
        <f aca="false">MIN(42, FLOOR(A1221/32,1)+1)</f>
        <v>39</v>
      </c>
      <c r="C1221" s="6" t="n">
        <f aca="false">ROUND($B$2*(A1221+1)^2.4*1.004^A1221,0)</f>
        <v>293180224415</v>
      </c>
      <c r="D1221" s="6" t="n">
        <f aca="false">ROUND($D$2*(A1221+1)^2.4*1.004^A1221,0)</f>
        <v>260604643924</v>
      </c>
      <c r="E1221" s="6" t="n">
        <f aca="false">ROUND($F$2*(A1221+1)^2.4*1.004^A1221,0)</f>
        <v>228029063434</v>
      </c>
      <c r="F1221" s="6" t="n">
        <f aca="false">ROUND(Building_Levels!$I$2*(A1221+1)^1.9*1.003^A1221,2)</f>
        <v>12007.37</v>
      </c>
      <c r="G1221" s="6" t="n">
        <f aca="false">ROUND((A1221+1)^1.12,1)</f>
        <v>2854.5</v>
      </c>
    </row>
    <row r="1222" customFormat="false" ht="15" hidden="false" customHeight="true" outlineLevel="0" collapsed="false">
      <c r="A1222" s="6" t="n">
        <v>1217</v>
      </c>
      <c r="B1222" s="6" t="n">
        <f aca="false">MIN(42, FLOOR(A1222/32,1)+1)</f>
        <v>39</v>
      </c>
      <c r="C1222" s="6" t="n">
        <f aca="false">ROUND($B$2*(A1222+1)^2.4*1.004^A1222,0)</f>
        <v>294933761624</v>
      </c>
      <c r="D1222" s="6" t="n">
        <f aca="false">ROUND($D$2*(A1222+1)^2.4*1.004^A1222,0)</f>
        <v>262163343665</v>
      </c>
      <c r="E1222" s="6" t="n">
        <f aca="false">ROUND($F$2*(A1222+1)^2.4*1.004^A1222,0)</f>
        <v>229392925707</v>
      </c>
      <c r="F1222" s="6" t="n">
        <f aca="false">ROUND(Building_Levels!$I$2*(A1222+1)^1.9*1.003^A1222,2)</f>
        <v>12062.2</v>
      </c>
      <c r="G1222" s="6" t="n">
        <f aca="false">ROUND((A1222+1)^1.12,1)</f>
        <v>2857.1</v>
      </c>
    </row>
    <row r="1223" customFormat="false" ht="15" hidden="false" customHeight="true" outlineLevel="0" collapsed="false">
      <c r="A1223" s="6" t="n">
        <v>1218</v>
      </c>
      <c r="B1223" s="6" t="n">
        <f aca="false">MIN(42, FLOOR(A1223/32,1)+1)</f>
        <v>39</v>
      </c>
      <c r="C1223" s="6" t="n">
        <f aca="false">ROUND($B$2*(A1223+1)^2.4*1.004^A1223,0)</f>
        <v>296697306907</v>
      </c>
      <c r="D1223" s="6" t="n">
        <f aca="false">ROUND($D$2*(A1223+1)^2.4*1.004^A1223,0)</f>
        <v>263730939473</v>
      </c>
      <c r="E1223" s="6" t="n">
        <f aca="false">ROUND($F$2*(A1223+1)^2.4*1.004^A1223,0)</f>
        <v>230764572039</v>
      </c>
      <c r="F1223" s="6" t="n">
        <f aca="false">ROUND(Building_Levels!$I$2*(A1223+1)^1.9*1.003^A1223,2)</f>
        <v>12117.26</v>
      </c>
      <c r="G1223" s="6" t="n">
        <f aca="false">ROUND((A1223+1)^1.12,1)</f>
        <v>2859.7</v>
      </c>
    </row>
    <row r="1224" customFormat="false" ht="15" hidden="false" customHeight="true" outlineLevel="0" collapsed="false">
      <c r="A1224" s="6" t="n">
        <v>1219</v>
      </c>
      <c r="B1224" s="6" t="n">
        <f aca="false">MIN(42, FLOOR(A1224/32,1)+1)</f>
        <v>39</v>
      </c>
      <c r="C1224" s="6" t="n">
        <f aca="false">ROUND($B$2*(A1224+1)^2.4*1.004^A1224,0)</f>
        <v>298470915178</v>
      </c>
      <c r="D1224" s="6" t="n">
        <f aca="false">ROUND($D$2*(A1224+1)^2.4*1.004^A1224,0)</f>
        <v>265307480158</v>
      </c>
      <c r="E1224" s="6" t="n">
        <f aca="false">ROUND($F$2*(A1224+1)^2.4*1.004^A1224,0)</f>
        <v>232144045138</v>
      </c>
      <c r="F1224" s="6" t="n">
        <f aca="false">ROUND(Building_Levels!$I$2*(A1224+1)^1.9*1.003^A1224,2)</f>
        <v>12172.57</v>
      </c>
      <c r="G1224" s="6" t="n">
        <f aca="false">ROUND((A1224+1)^1.12,1)</f>
        <v>2862.4</v>
      </c>
    </row>
    <row r="1225" customFormat="false" ht="15" hidden="false" customHeight="true" outlineLevel="0" collapsed="false">
      <c r="A1225" s="6" t="n">
        <v>1220</v>
      </c>
      <c r="B1225" s="6" t="n">
        <f aca="false">MIN(42, FLOOR(A1225/32,1)+1)</f>
        <v>39</v>
      </c>
      <c r="C1225" s="6" t="n">
        <f aca="false">ROUND($B$2*(A1225+1)^2.4*1.004^A1225,0)</f>
        <v>300254641638</v>
      </c>
      <c r="D1225" s="6" t="n">
        <f aca="false">ROUND($D$2*(A1225+1)^2.4*1.004^A1225,0)</f>
        <v>266893014790</v>
      </c>
      <c r="E1225" s="6" t="n">
        <f aca="false">ROUND($F$2*(A1225+1)^2.4*1.004^A1225,0)</f>
        <v>233531387941</v>
      </c>
      <c r="F1225" s="6" t="n">
        <f aca="false">ROUND(Building_Levels!$I$2*(A1225+1)^1.9*1.003^A1225,2)</f>
        <v>12228.11</v>
      </c>
      <c r="G1225" s="6" t="n">
        <f aca="false">ROUND((A1225+1)^1.12,1)</f>
        <v>2865</v>
      </c>
    </row>
    <row r="1226" customFormat="false" ht="15" hidden="false" customHeight="true" outlineLevel="0" collapsed="false">
      <c r="A1226" s="6" t="n">
        <v>1221</v>
      </c>
      <c r="B1226" s="6" t="n">
        <f aca="false">MIN(42, FLOOR(A1226/32,1)+1)</f>
        <v>39</v>
      </c>
      <c r="C1226" s="6" t="n">
        <f aca="false">ROUND($B$2*(A1226+1)^2.4*1.004^A1226,0)</f>
        <v>302048541785</v>
      </c>
      <c r="D1226" s="6" t="n">
        <f aca="false">ROUND($D$2*(A1226+1)^2.4*1.004^A1226,0)</f>
        <v>268487592697</v>
      </c>
      <c r="E1226" s="6" t="n">
        <f aca="false">ROUND($F$2*(A1226+1)^2.4*1.004^A1226,0)</f>
        <v>234926643610</v>
      </c>
      <c r="F1226" s="6" t="n">
        <f aca="false">ROUND(Building_Levels!$I$2*(A1226+1)^1.9*1.003^A1226,2)</f>
        <v>12283.88</v>
      </c>
      <c r="G1226" s="6" t="n">
        <f aca="false">ROUND((A1226+1)^1.12,1)</f>
        <v>2867.6</v>
      </c>
    </row>
    <row r="1227" customFormat="false" ht="15" hidden="false" customHeight="true" outlineLevel="0" collapsed="false">
      <c r="A1227" s="6" t="n">
        <v>1222</v>
      </c>
      <c r="B1227" s="6" t="n">
        <f aca="false">MIN(42, FLOOR(A1227/32,1)+1)</f>
        <v>39</v>
      </c>
      <c r="C1227" s="6" t="n">
        <f aca="false">ROUND($B$2*(A1227+1)^2.4*1.004^A1227,0)</f>
        <v>303852671408</v>
      </c>
      <c r="D1227" s="6" t="n">
        <f aca="false">ROUND($D$2*(A1227+1)^2.4*1.004^A1227,0)</f>
        <v>270091263474</v>
      </c>
      <c r="E1227" s="6" t="n">
        <f aca="false">ROUND($F$2*(A1227+1)^2.4*1.004^A1227,0)</f>
        <v>236329855540</v>
      </c>
      <c r="F1227" s="6" t="n">
        <f aca="false">ROUND(Building_Levels!$I$2*(A1227+1)^1.9*1.003^A1227,2)</f>
        <v>12339.9</v>
      </c>
      <c r="G1227" s="6" t="n">
        <f aca="false">ROUND((A1227+1)^1.12,1)</f>
        <v>2870.2</v>
      </c>
    </row>
    <row r="1228" customFormat="false" ht="15" hidden="false" customHeight="true" outlineLevel="0" collapsed="false">
      <c r="A1228" s="6" t="n">
        <v>1223</v>
      </c>
      <c r="B1228" s="6" t="n">
        <f aca="false">MIN(42, FLOOR(A1228/32,1)+1)</f>
        <v>39</v>
      </c>
      <c r="C1228" s="6" t="n">
        <f aca="false">ROUND($B$2*(A1228+1)^2.4*1.004^A1228,0)</f>
        <v>305667086596</v>
      </c>
      <c r="D1228" s="6" t="n">
        <f aca="false">ROUND($D$2*(A1228+1)^2.4*1.004^A1228,0)</f>
        <v>271704076974</v>
      </c>
      <c r="E1228" s="6" t="n">
        <f aca="false">ROUND($F$2*(A1228+1)^2.4*1.004^A1228,0)</f>
        <v>237741067352</v>
      </c>
      <c r="F1228" s="6" t="n">
        <f aca="false">ROUND(Building_Levels!$I$2*(A1228+1)^1.9*1.003^A1228,2)</f>
        <v>12396.15</v>
      </c>
      <c r="G1228" s="6" t="n">
        <f aca="false">ROUND((A1228+1)^1.12,1)</f>
        <v>2872.9</v>
      </c>
    </row>
    <row r="1229" customFormat="false" ht="15" hidden="false" customHeight="true" outlineLevel="0" collapsed="false">
      <c r="A1229" s="6" t="n">
        <v>1224</v>
      </c>
      <c r="B1229" s="6" t="n">
        <f aca="false">MIN(42, FLOOR(A1229/32,1)+1)</f>
        <v>39</v>
      </c>
      <c r="C1229" s="6" t="n">
        <f aca="false">ROUND($B$2*(A1229+1)^2.4*1.004^A1229,0)</f>
        <v>307491843732</v>
      </c>
      <c r="D1229" s="6" t="n">
        <f aca="false">ROUND($D$2*(A1229+1)^2.4*1.004^A1229,0)</f>
        <v>273326083318</v>
      </c>
      <c r="E1229" s="6" t="n">
        <f aca="false">ROUND($F$2*(A1229+1)^2.4*1.004^A1229,0)</f>
        <v>239160322903</v>
      </c>
      <c r="F1229" s="6" t="n">
        <f aca="false">ROUND(Building_Levels!$I$2*(A1229+1)^1.9*1.003^A1229,2)</f>
        <v>12452.65</v>
      </c>
      <c r="G1229" s="6" t="n">
        <f aca="false">ROUND((A1229+1)^1.12,1)</f>
        <v>2875.5</v>
      </c>
    </row>
    <row r="1230" customFormat="false" ht="15" hidden="false" customHeight="true" outlineLevel="0" collapsed="false">
      <c r="A1230" s="6" t="n">
        <v>1225</v>
      </c>
      <c r="B1230" s="6" t="n">
        <f aca="false">MIN(42, FLOOR(A1230/32,1)+1)</f>
        <v>39</v>
      </c>
      <c r="C1230" s="6" t="n">
        <f aca="false">ROUND($B$2*(A1230+1)^2.4*1.004^A1230,0)</f>
        <v>309326999501</v>
      </c>
      <c r="D1230" s="6" t="n">
        <f aca="false">ROUND($D$2*(A1230+1)^2.4*1.004^A1230,0)</f>
        <v>274957332890</v>
      </c>
      <c r="E1230" s="6" t="n">
        <f aca="false">ROUND($F$2*(A1230+1)^2.4*1.004^A1230,0)</f>
        <v>240587666279</v>
      </c>
      <c r="F1230" s="6" t="n">
        <f aca="false">ROUND(Building_Levels!$I$2*(A1230+1)^1.9*1.003^A1230,2)</f>
        <v>12509.38</v>
      </c>
      <c r="G1230" s="6" t="n">
        <f aca="false">ROUND((A1230+1)^1.12,1)</f>
        <v>2878.1</v>
      </c>
    </row>
    <row r="1231" customFormat="false" ht="15" hidden="false" customHeight="true" outlineLevel="0" collapsed="false">
      <c r="A1231" s="6" t="n">
        <v>1226</v>
      </c>
      <c r="B1231" s="6" t="n">
        <f aca="false">MIN(42, FLOOR(A1231/32,1)+1)</f>
        <v>39</v>
      </c>
      <c r="C1231" s="6" t="n">
        <f aca="false">ROUND($B$2*(A1231+1)^2.4*1.004^A1231,0)</f>
        <v>311172610887</v>
      </c>
      <c r="D1231" s="6" t="n">
        <f aca="false">ROUND($D$2*(A1231+1)^2.4*1.004^A1231,0)</f>
        <v>276597876344</v>
      </c>
      <c r="E1231" s="6" t="n">
        <f aca="false">ROUND($F$2*(A1231+1)^2.4*1.004^A1231,0)</f>
        <v>242023141801</v>
      </c>
      <c r="F1231" s="6" t="n">
        <f aca="false">ROUND(Building_Levels!$I$2*(A1231+1)^1.9*1.003^A1231,2)</f>
        <v>12566.36</v>
      </c>
      <c r="G1231" s="6" t="n">
        <f aca="false">ROUND((A1231+1)^1.12,1)</f>
        <v>2880.8</v>
      </c>
    </row>
    <row r="1232" customFormat="false" ht="15" hidden="false" customHeight="true" outlineLevel="0" collapsed="false">
      <c r="A1232" s="6" t="n">
        <v>1227</v>
      </c>
      <c r="B1232" s="6" t="n">
        <f aca="false">MIN(42, FLOOR(A1232/32,1)+1)</f>
        <v>39</v>
      </c>
      <c r="C1232" s="6" t="n">
        <f aca="false">ROUND($B$2*(A1232+1)^2.4*1.004^A1232,0)</f>
        <v>313028735177</v>
      </c>
      <c r="D1232" s="6" t="n">
        <f aca="false">ROUND($D$2*(A1232+1)^2.4*1.004^A1232,0)</f>
        <v>278247764602</v>
      </c>
      <c r="E1232" s="6" t="n">
        <f aca="false">ROUND($F$2*(A1232+1)^2.4*1.004^A1232,0)</f>
        <v>243466794026</v>
      </c>
      <c r="F1232" s="6" t="n">
        <f aca="false">ROUND(Building_Levels!$I$2*(A1232+1)^1.9*1.003^A1232,2)</f>
        <v>12623.59</v>
      </c>
      <c r="G1232" s="6" t="n">
        <f aca="false">ROUND((A1232+1)^1.12,1)</f>
        <v>2883.4</v>
      </c>
    </row>
    <row r="1233" customFormat="false" ht="15" hidden="false" customHeight="true" outlineLevel="0" collapsed="false">
      <c r="A1233" s="6" t="n">
        <v>1228</v>
      </c>
      <c r="B1233" s="6" t="n">
        <f aca="false">MIN(42, FLOOR(A1233/32,1)+1)</f>
        <v>39</v>
      </c>
      <c r="C1233" s="6" t="n">
        <f aca="false">ROUND($B$2*(A1233+1)^2.4*1.004^A1233,0)</f>
        <v>314895429961</v>
      </c>
      <c r="D1233" s="6" t="n">
        <f aca="false">ROUND($D$2*(A1233+1)^2.4*1.004^A1233,0)</f>
        <v>279907048854</v>
      </c>
      <c r="E1233" s="6" t="n">
        <f aca="false">ROUND($F$2*(A1233+1)^2.4*1.004^A1233,0)</f>
        <v>244918667747</v>
      </c>
      <c r="F1233" s="6" t="n">
        <f aca="false">ROUND(Building_Levels!$I$2*(A1233+1)^1.9*1.003^A1233,2)</f>
        <v>12681.06</v>
      </c>
      <c r="G1233" s="6" t="n">
        <f aca="false">ROUND((A1233+1)^1.12,1)</f>
        <v>2886</v>
      </c>
    </row>
    <row r="1234" customFormat="false" ht="15" hidden="false" customHeight="true" outlineLevel="0" collapsed="false">
      <c r="A1234" s="6" t="n">
        <v>1229</v>
      </c>
      <c r="B1234" s="6" t="n">
        <f aca="false">MIN(42, FLOOR(A1234/32,1)+1)</f>
        <v>39</v>
      </c>
      <c r="C1234" s="6" t="n">
        <f aca="false">ROUND($B$2*(A1234+1)^2.4*1.004^A1234,0)</f>
        <v>316772753136</v>
      </c>
      <c r="D1234" s="6" t="n">
        <f aca="false">ROUND($D$2*(A1234+1)^2.4*1.004^A1234,0)</f>
        <v>281575780565</v>
      </c>
      <c r="E1234" s="6" t="n">
        <f aca="false">ROUND($F$2*(A1234+1)^2.4*1.004^A1234,0)</f>
        <v>246378807994</v>
      </c>
      <c r="F1234" s="6" t="n">
        <f aca="false">ROUND(Building_Levels!$I$2*(A1234+1)^1.9*1.003^A1234,2)</f>
        <v>12738.77</v>
      </c>
      <c r="G1234" s="6" t="n">
        <f aca="false">ROUND((A1234+1)^1.12,1)</f>
        <v>2888.6</v>
      </c>
    </row>
    <row r="1235" customFormat="false" ht="15" hidden="false" customHeight="true" outlineLevel="0" collapsed="false">
      <c r="A1235" s="6" t="n">
        <v>1230</v>
      </c>
      <c r="B1235" s="6" t="n">
        <f aca="false">MIN(42, FLOOR(A1235/32,1)+1)</f>
        <v>39</v>
      </c>
      <c r="C1235" s="6" t="n">
        <f aca="false">ROUND($B$2*(A1235+1)^2.4*1.004^A1235,0)</f>
        <v>318660762903</v>
      </c>
      <c r="D1235" s="6" t="n">
        <f aca="false">ROUND($D$2*(A1235+1)^2.4*1.004^A1235,0)</f>
        <v>283254011470</v>
      </c>
      <c r="E1235" s="6" t="n">
        <f aca="false">ROUND($F$2*(A1235+1)^2.4*1.004^A1235,0)</f>
        <v>247847260036</v>
      </c>
      <c r="F1235" s="6" t="n">
        <f aca="false">ROUND(Building_Levels!$I$2*(A1235+1)^1.9*1.003^A1235,2)</f>
        <v>12796.73</v>
      </c>
      <c r="G1235" s="6" t="n">
        <f aca="false">ROUND((A1235+1)^1.12,1)</f>
        <v>2891.3</v>
      </c>
    </row>
    <row r="1236" customFormat="false" ht="15" hidden="false" customHeight="true" outlineLevel="0" collapsed="false">
      <c r="A1236" s="6" t="n">
        <v>1231</v>
      </c>
      <c r="B1236" s="6" t="n">
        <f aca="false">MIN(42, FLOOR(A1236/32,1)+1)</f>
        <v>39</v>
      </c>
      <c r="C1236" s="6" t="n">
        <f aca="false">ROUND($B$2*(A1236+1)^2.4*1.004^A1236,0)</f>
        <v>320559517776</v>
      </c>
      <c r="D1236" s="6" t="n">
        <f aca="false">ROUND($D$2*(A1236+1)^2.4*1.004^A1236,0)</f>
        <v>284941793579</v>
      </c>
      <c r="E1236" s="6" t="n">
        <f aca="false">ROUND($F$2*(A1236+1)^2.4*1.004^A1236,0)</f>
        <v>249324069381</v>
      </c>
      <c r="F1236" s="6" t="n">
        <f aca="false">ROUND(Building_Levels!$I$2*(A1236+1)^1.9*1.003^A1236,2)</f>
        <v>12854.94</v>
      </c>
      <c r="G1236" s="6" t="n">
        <f aca="false">ROUND((A1236+1)^1.12,1)</f>
        <v>2893.9</v>
      </c>
    </row>
    <row r="1237" customFormat="false" ht="15" hidden="false" customHeight="true" outlineLevel="0" collapsed="false">
      <c r="A1237" s="6" t="n">
        <v>1232</v>
      </c>
      <c r="B1237" s="6" t="n">
        <f aca="false">MIN(42, FLOOR(A1237/32,1)+1)</f>
        <v>39</v>
      </c>
      <c r="C1237" s="6" t="n">
        <f aca="false">ROUND($B$2*(A1237+1)^2.4*1.004^A1237,0)</f>
        <v>322469076575</v>
      </c>
      <c r="D1237" s="6" t="n">
        <f aca="false">ROUND($D$2*(A1237+1)^2.4*1.004^A1237,0)</f>
        <v>286639179178</v>
      </c>
      <c r="E1237" s="6" t="n">
        <f aca="false">ROUND($F$2*(A1237+1)^2.4*1.004^A1237,0)</f>
        <v>250809281780</v>
      </c>
      <c r="F1237" s="6" t="n">
        <f aca="false">ROUND(Building_Levels!$I$2*(A1237+1)^1.9*1.003^A1237,2)</f>
        <v>12913.4</v>
      </c>
      <c r="G1237" s="6" t="n">
        <f aca="false">ROUND((A1237+1)^1.12,1)</f>
        <v>2896.5</v>
      </c>
    </row>
    <row r="1238" customFormat="false" ht="15" hidden="false" customHeight="true" outlineLevel="0" collapsed="false">
      <c r="A1238" s="6" t="n">
        <v>1233</v>
      </c>
      <c r="B1238" s="6" t="n">
        <f aca="false">MIN(42, FLOOR(A1238/32,1)+1)</f>
        <v>39</v>
      </c>
      <c r="C1238" s="6" t="n">
        <f aca="false">ROUND($B$2*(A1238+1)^2.4*1.004^A1238,0)</f>
        <v>324389498433</v>
      </c>
      <c r="D1238" s="6" t="n">
        <f aca="false">ROUND($D$2*(A1238+1)^2.4*1.004^A1238,0)</f>
        <v>288346220830</v>
      </c>
      <c r="E1238" s="6" t="n">
        <f aca="false">ROUND($F$2*(A1238+1)^2.4*1.004^A1238,0)</f>
        <v>252302943226</v>
      </c>
      <c r="F1238" s="6" t="n">
        <f aca="false">ROUND(Building_Levels!$I$2*(A1238+1)^1.9*1.003^A1238,2)</f>
        <v>12972.1</v>
      </c>
      <c r="G1238" s="6" t="n">
        <f aca="false">ROUND((A1238+1)^1.12,1)</f>
        <v>2899.2</v>
      </c>
    </row>
    <row r="1239" customFormat="false" ht="15" hidden="false" customHeight="true" outlineLevel="0" collapsed="false">
      <c r="A1239" s="6" t="n">
        <v>1234</v>
      </c>
      <c r="B1239" s="6" t="n">
        <f aca="false">MIN(42, FLOOR(A1239/32,1)+1)</f>
        <v>39</v>
      </c>
      <c r="C1239" s="6" t="n">
        <f aca="false">ROUND($B$2*(A1239+1)^2.4*1.004^A1239,0)</f>
        <v>326320842798</v>
      </c>
      <c r="D1239" s="6" t="n">
        <f aca="false">ROUND($D$2*(A1239+1)^2.4*1.004^A1239,0)</f>
        <v>290062971376</v>
      </c>
      <c r="E1239" s="6" t="n">
        <f aca="false">ROUND($F$2*(A1239+1)^2.4*1.004^A1239,0)</f>
        <v>253805099954</v>
      </c>
      <c r="F1239" s="6" t="n">
        <f aca="false">ROUND(Building_Levels!$I$2*(A1239+1)^1.9*1.003^A1239,2)</f>
        <v>13031.06</v>
      </c>
      <c r="G1239" s="6" t="n">
        <f aca="false">ROUND((A1239+1)^1.12,1)</f>
        <v>2901.8</v>
      </c>
    </row>
    <row r="1240" customFormat="false" ht="15" hidden="false" customHeight="true" outlineLevel="0" collapsed="false">
      <c r="A1240" s="6" t="n">
        <v>1235</v>
      </c>
      <c r="B1240" s="6" t="n">
        <f aca="false">MIN(42, FLOOR(A1240/32,1)+1)</f>
        <v>39</v>
      </c>
      <c r="C1240" s="6" t="n">
        <f aca="false">ROUND($B$2*(A1240+1)^2.4*1.004^A1240,0)</f>
        <v>328263169432</v>
      </c>
      <c r="D1240" s="6" t="n">
        <f aca="false">ROUND($D$2*(A1240+1)^2.4*1.004^A1240,0)</f>
        <v>291789483939</v>
      </c>
      <c r="E1240" s="6" t="n">
        <f aca="false">ROUND($F$2*(A1240+1)^2.4*1.004^A1240,0)</f>
        <v>255315798447</v>
      </c>
      <c r="F1240" s="6" t="n">
        <f aca="false">ROUND(Building_Levels!$I$2*(A1240+1)^1.9*1.003^A1240,2)</f>
        <v>13090.27</v>
      </c>
      <c r="G1240" s="6" t="n">
        <f aca="false">ROUND((A1240+1)^1.12,1)</f>
        <v>2904.4</v>
      </c>
    </row>
    <row r="1241" customFormat="false" ht="15" hidden="false" customHeight="true" outlineLevel="0" collapsed="false">
      <c r="A1241" s="6" t="n">
        <v>1236</v>
      </c>
      <c r="B1241" s="6" t="n">
        <f aca="false">MIN(42, FLOOR(A1241/32,1)+1)</f>
        <v>39</v>
      </c>
      <c r="C1241" s="6" t="n">
        <f aca="false">ROUND($B$2*(A1241+1)^2.4*1.004^A1241,0)</f>
        <v>330216538411</v>
      </c>
      <c r="D1241" s="6" t="n">
        <f aca="false">ROUND($D$2*(A1241+1)^2.4*1.004^A1241,0)</f>
        <v>293525811921</v>
      </c>
      <c r="E1241" s="6" t="n">
        <f aca="false">ROUND($F$2*(A1241+1)^2.4*1.004^A1241,0)</f>
        <v>256835085431</v>
      </c>
      <c r="F1241" s="6" t="n">
        <f aca="false">ROUND(Building_Levels!$I$2*(A1241+1)^1.9*1.003^A1241,2)</f>
        <v>13149.73</v>
      </c>
      <c r="G1241" s="6" t="n">
        <f aca="false">ROUND((A1241+1)^1.12,1)</f>
        <v>2907.1</v>
      </c>
    </row>
    <row r="1242" customFormat="false" ht="15" hidden="false" customHeight="true" outlineLevel="0" collapsed="false">
      <c r="A1242" s="6" t="n">
        <v>1237</v>
      </c>
      <c r="B1242" s="6" t="n">
        <f aca="false">MIN(42, FLOOR(A1242/32,1)+1)</f>
        <v>39</v>
      </c>
      <c r="C1242" s="6" t="n">
        <f aca="false">ROUND($B$2*(A1242+1)^2.4*1.004^A1242,0)</f>
        <v>332181010134</v>
      </c>
      <c r="D1242" s="6" t="n">
        <f aca="false">ROUND($D$2*(A1242+1)^2.4*1.004^A1242,0)</f>
        <v>295272009008</v>
      </c>
      <c r="E1242" s="6" t="n">
        <f aca="false">ROUND($F$2*(A1242+1)^2.4*1.004^A1242,0)</f>
        <v>258363007882</v>
      </c>
      <c r="F1242" s="6" t="n">
        <f aca="false">ROUND(Building_Levels!$I$2*(A1242+1)^1.9*1.003^A1242,2)</f>
        <v>13209.44</v>
      </c>
      <c r="G1242" s="6" t="n">
        <f aca="false">ROUND((A1242+1)^1.12,1)</f>
        <v>2909.7</v>
      </c>
    </row>
    <row r="1243" customFormat="false" ht="15" hidden="false" customHeight="true" outlineLevel="0" collapsed="false">
      <c r="A1243" s="6" t="n">
        <v>1238</v>
      </c>
      <c r="B1243" s="6" t="n">
        <f aca="false">MIN(42, FLOOR(A1243/32,1)+1)</f>
        <v>39</v>
      </c>
      <c r="C1243" s="6" t="n">
        <f aca="false">ROUND($B$2*(A1243+1)^2.4*1.004^A1243,0)</f>
        <v>334156645315</v>
      </c>
      <c r="D1243" s="6" t="n">
        <f aca="false">ROUND($D$2*(A1243+1)^2.4*1.004^A1243,0)</f>
        <v>297028129169</v>
      </c>
      <c r="E1243" s="6" t="n">
        <f aca="false">ROUND($F$2*(A1243+1)^2.4*1.004^A1243,0)</f>
        <v>259899613023</v>
      </c>
      <c r="F1243" s="6" t="n">
        <f aca="false">ROUND(Building_Levels!$I$2*(A1243+1)^1.9*1.003^A1243,2)</f>
        <v>13269.41</v>
      </c>
      <c r="G1243" s="6" t="n">
        <f aca="false">ROUND((A1243+1)^1.12,1)</f>
        <v>2912.3</v>
      </c>
    </row>
    <row r="1244" customFormat="false" ht="15" hidden="false" customHeight="true" outlineLevel="0" collapsed="false">
      <c r="A1244" s="6" t="n">
        <v>1239</v>
      </c>
      <c r="B1244" s="6" t="n">
        <f aca="false">MIN(42, FLOOR(A1244/32,1)+1)</f>
        <v>39</v>
      </c>
      <c r="C1244" s="6" t="n">
        <f aca="false">ROUND($B$2*(A1244+1)^2.4*1.004^A1244,0)</f>
        <v>336143504994</v>
      </c>
      <c r="D1244" s="6" t="n">
        <f aca="false">ROUND($D$2*(A1244+1)^2.4*1.004^A1244,0)</f>
        <v>298794226661</v>
      </c>
      <c r="E1244" s="6" t="n">
        <f aca="false">ROUND($F$2*(A1244+1)^2.4*1.004^A1244,0)</f>
        <v>261444948329</v>
      </c>
      <c r="F1244" s="6" t="n">
        <f aca="false">ROUND(Building_Levels!$I$2*(A1244+1)^1.9*1.003^A1244,2)</f>
        <v>13329.64</v>
      </c>
      <c r="G1244" s="6" t="n">
        <f aca="false">ROUND((A1244+1)^1.12,1)</f>
        <v>2915</v>
      </c>
    </row>
    <row r="1245" customFormat="false" ht="15" hidden="false" customHeight="true" outlineLevel="0" collapsed="false">
      <c r="A1245" s="6" t="n">
        <v>1240</v>
      </c>
      <c r="B1245" s="6" t="n">
        <f aca="false">MIN(42, FLOOR(A1245/32,1)+1)</f>
        <v>39</v>
      </c>
      <c r="C1245" s="6" t="n">
        <f aca="false">ROUND($B$2*(A1245+1)^2.4*1.004^A1245,0)</f>
        <v>338141650530</v>
      </c>
      <c r="D1245" s="6" t="n">
        <f aca="false">ROUND($D$2*(A1245+1)^2.4*1.004^A1245,0)</f>
        <v>300570356027</v>
      </c>
      <c r="E1245" s="6" t="n">
        <f aca="false">ROUND($F$2*(A1245+1)^2.4*1.004^A1245,0)</f>
        <v>262999061524</v>
      </c>
      <c r="F1245" s="6" t="n">
        <f aca="false">ROUND(Building_Levels!$I$2*(A1245+1)^1.9*1.003^A1245,2)</f>
        <v>13390.12</v>
      </c>
      <c r="G1245" s="6" t="n">
        <f aca="false">ROUND((A1245+1)^1.12,1)</f>
        <v>2917.6</v>
      </c>
    </row>
    <row r="1246" customFormat="false" ht="15" hidden="false" customHeight="true" outlineLevel="0" collapsed="false">
      <c r="A1246" s="6" t="n">
        <v>1241</v>
      </c>
      <c r="B1246" s="6" t="n">
        <f aca="false">MIN(42, FLOOR(A1246/32,1)+1)</f>
        <v>39</v>
      </c>
      <c r="C1246" s="6" t="n">
        <f aca="false">ROUND($B$2*(A1246+1)^2.4*1.004^A1246,0)</f>
        <v>340151143611</v>
      </c>
      <c r="D1246" s="6" t="n">
        <f aca="false">ROUND($D$2*(A1246+1)^2.4*1.004^A1246,0)</f>
        <v>302356572099</v>
      </c>
      <c r="E1246" s="6" t="n">
        <f aca="false">ROUND($F$2*(A1246+1)^2.4*1.004^A1246,0)</f>
        <v>264562000586</v>
      </c>
      <c r="F1246" s="6" t="n">
        <f aca="false">ROUND(Building_Levels!$I$2*(A1246+1)^1.9*1.003^A1246,2)</f>
        <v>13450.86</v>
      </c>
      <c r="G1246" s="6" t="n">
        <f aca="false">ROUND((A1246+1)^1.12,1)</f>
        <v>2920.2</v>
      </c>
    </row>
    <row r="1247" customFormat="false" ht="15" hidden="false" customHeight="true" outlineLevel="0" collapsed="false">
      <c r="A1247" s="6" t="n">
        <v>1242</v>
      </c>
      <c r="B1247" s="6" t="n">
        <f aca="false">MIN(42, FLOOR(A1247/32,1)+1)</f>
        <v>39</v>
      </c>
      <c r="C1247" s="6" t="n">
        <f aca="false">ROUND($B$2*(A1247+1)^2.4*1.004^A1247,0)</f>
        <v>342172046248</v>
      </c>
      <c r="D1247" s="6" t="n">
        <f aca="false">ROUND($D$2*(A1247+1)^2.4*1.004^A1247,0)</f>
        <v>304152929998</v>
      </c>
      <c r="E1247" s="6" t="n">
        <f aca="false">ROUND($F$2*(A1247+1)^2.4*1.004^A1247,0)</f>
        <v>266133813748</v>
      </c>
      <c r="F1247" s="6" t="n">
        <f aca="false">ROUND(Building_Levels!$I$2*(A1247+1)^1.9*1.003^A1247,2)</f>
        <v>13511.86</v>
      </c>
      <c r="G1247" s="6" t="n">
        <f aca="false">ROUND((A1247+1)^1.12,1)</f>
        <v>2922.9</v>
      </c>
    </row>
    <row r="1248" customFormat="false" ht="15" hidden="false" customHeight="true" outlineLevel="0" collapsed="false">
      <c r="A1248" s="6" t="n">
        <v>1243</v>
      </c>
      <c r="B1248" s="6" t="n">
        <f aca="false">MIN(42, FLOOR(A1248/32,1)+1)</f>
        <v>39</v>
      </c>
      <c r="C1248" s="6" t="n">
        <f aca="false">ROUND($B$2*(A1248+1)^2.4*1.004^A1248,0)</f>
        <v>344204420782</v>
      </c>
      <c r="D1248" s="6" t="n">
        <f aca="false">ROUND($D$2*(A1248+1)^2.4*1.004^A1248,0)</f>
        <v>305959485139</v>
      </c>
      <c r="E1248" s="6" t="n">
        <f aca="false">ROUND($F$2*(A1248+1)^2.4*1.004^A1248,0)</f>
        <v>267714549497</v>
      </c>
      <c r="F1248" s="6" t="n">
        <f aca="false">ROUND(Building_Levels!$I$2*(A1248+1)^1.9*1.003^A1248,2)</f>
        <v>13573.12</v>
      </c>
      <c r="G1248" s="6" t="n">
        <f aca="false">ROUND((A1248+1)^1.12,1)</f>
        <v>2925.5</v>
      </c>
    </row>
    <row r="1249" customFormat="false" ht="15" hidden="false" customHeight="true" outlineLevel="0" collapsed="false">
      <c r="A1249" s="6" t="n">
        <v>1244</v>
      </c>
      <c r="B1249" s="6" t="n">
        <f aca="false">MIN(42, FLOOR(A1249/32,1)+1)</f>
        <v>39</v>
      </c>
      <c r="C1249" s="6" t="n">
        <f aca="false">ROUND($B$2*(A1249+1)^2.4*1.004^A1249,0)</f>
        <v>346248329882</v>
      </c>
      <c r="D1249" s="6" t="n">
        <f aca="false">ROUND($D$2*(A1249+1)^2.4*1.004^A1249,0)</f>
        <v>307776293229</v>
      </c>
      <c r="E1249" s="6" t="n">
        <f aca="false">ROUND($F$2*(A1249+1)^2.4*1.004^A1249,0)</f>
        <v>269304256575</v>
      </c>
      <c r="F1249" s="6" t="n">
        <f aca="false">ROUND(Building_Levels!$I$2*(A1249+1)^1.9*1.003^A1249,2)</f>
        <v>13634.64</v>
      </c>
      <c r="G1249" s="6" t="n">
        <f aca="false">ROUND((A1249+1)^1.12,1)</f>
        <v>2928.1</v>
      </c>
    </row>
    <row r="1250" customFormat="false" ht="15" hidden="false" customHeight="true" outlineLevel="0" collapsed="false">
      <c r="A1250" s="6" t="n">
        <v>1245</v>
      </c>
      <c r="B1250" s="6" t="n">
        <f aca="false">MIN(42, FLOOR(A1250/32,1)+1)</f>
        <v>39</v>
      </c>
      <c r="C1250" s="6" t="n">
        <f aca="false">ROUND($B$2*(A1250+1)^2.4*1.004^A1250,0)</f>
        <v>348303836553</v>
      </c>
      <c r="D1250" s="6" t="n">
        <f aca="false">ROUND($D$2*(A1250+1)^2.4*1.004^A1250,0)</f>
        <v>309603410269</v>
      </c>
      <c r="E1250" s="6" t="n">
        <f aca="false">ROUND($F$2*(A1250+1)^2.4*1.004^A1250,0)</f>
        <v>270902983985</v>
      </c>
      <c r="F1250" s="6" t="n">
        <f aca="false">ROUND(Building_Levels!$I$2*(A1250+1)^1.9*1.003^A1250,2)</f>
        <v>13696.42</v>
      </c>
      <c r="G1250" s="6" t="n">
        <f aca="false">ROUND((A1250+1)^1.12,1)</f>
        <v>2930.8</v>
      </c>
    </row>
    <row r="1251" customFormat="false" ht="15" hidden="false" customHeight="true" outlineLevel="0" collapsed="false">
      <c r="A1251" s="6" t="n">
        <v>1246</v>
      </c>
      <c r="B1251" s="6" t="n">
        <f aca="false">MIN(42, FLOOR(A1251/32,1)+1)</f>
        <v>39</v>
      </c>
      <c r="C1251" s="6" t="n">
        <f aca="false">ROUND($B$2*(A1251+1)^2.4*1.004^A1251,0)</f>
        <v>350371004127</v>
      </c>
      <c r="D1251" s="6" t="n">
        <f aca="false">ROUND($D$2*(A1251+1)^2.4*1.004^A1251,0)</f>
        <v>311440892557</v>
      </c>
      <c r="E1251" s="6" t="n">
        <f aca="false">ROUND($F$2*(A1251+1)^2.4*1.004^A1251,0)</f>
        <v>272510780988</v>
      </c>
      <c r="F1251" s="6" t="n">
        <f aca="false">ROUND(Building_Levels!$I$2*(A1251+1)^1.9*1.003^A1251,2)</f>
        <v>13758.46</v>
      </c>
      <c r="G1251" s="6" t="n">
        <f aca="false">ROUND((A1251+1)^1.12,1)</f>
        <v>2933.4</v>
      </c>
    </row>
    <row r="1252" customFormat="false" ht="15" hidden="false" customHeight="true" outlineLevel="0" collapsed="false">
      <c r="A1252" s="6" t="n">
        <v>1247</v>
      </c>
      <c r="B1252" s="6" t="n">
        <f aca="false">MIN(42, FLOOR(A1252/32,1)+1)</f>
        <v>39</v>
      </c>
      <c r="C1252" s="6" t="n">
        <f aca="false">ROUND($B$2*(A1252+1)^2.4*1.004^A1252,0)</f>
        <v>352449896277</v>
      </c>
      <c r="D1252" s="6" t="n">
        <f aca="false">ROUND($D$2*(A1252+1)^2.4*1.004^A1252,0)</f>
        <v>313288796690</v>
      </c>
      <c r="E1252" s="6" t="n">
        <f aca="false">ROUND($F$2*(A1252+1)^2.4*1.004^A1252,0)</f>
        <v>274127697104</v>
      </c>
      <c r="F1252" s="6" t="n">
        <f aca="false">ROUND(Building_Levels!$I$2*(A1252+1)^1.9*1.003^A1252,2)</f>
        <v>13820.77</v>
      </c>
      <c r="G1252" s="6" t="n">
        <f aca="false">ROUND((A1252+1)^1.12,1)</f>
        <v>2936</v>
      </c>
    </row>
    <row r="1253" customFormat="false" ht="15" hidden="false" customHeight="true" outlineLevel="0" collapsed="false">
      <c r="A1253" s="6" t="n">
        <v>1248</v>
      </c>
      <c r="B1253" s="6" t="n">
        <f aca="false">MIN(42, FLOOR(A1253/32,1)+1)</f>
        <v>40</v>
      </c>
      <c r="C1253" s="6" t="n">
        <f aca="false">ROUND($B$2*(A1253+1)^2.4*1.004^A1253,0)</f>
        <v>354540577008</v>
      </c>
      <c r="D1253" s="6" t="n">
        <f aca="false">ROUND($D$2*(A1253+1)^2.4*1.004^A1253,0)</f>
        <v>315147179563</v>
      </c>
      <c r="E1253" s="6" t="n">
        <f aca="false">ROUND($F$2*(A1253+1)^2.4*1.004^A1253,0)</f>
        <v>275753782117</v>
      </c>
      <c r="F1253" s="6" t="n">
        <f aca="false">ROUND(Building_Levels!$I$2*(A1253+1)^1.9*1.003^A1253,2)</f>
        <v>13883.35</v>
      </c>
      <c r="G1253" s="6" t="n">
        <f aca="false">ROUND((A1253+1)^1.12,1)</f>
        <v>2938.7</v>
      </c>
    </row>
    <row r="1254" customFormat="false" ht="15" hidden="false" customHeight="true" outlineLevel="0" collapsed="false">
      <c r="A1254" s="6" t="n">
        <v>1249</v>
      </c>
      <c r="B1254" s="6" t="n">
        <f aca="false">MIN(42, FLOOR(A1254/32,1)+1)</f>
        <v>40</v>
      </c>
      <c r="C1254" s="6" t="n">
        <f aca="false">ROUND($B$2*(A1254+1)^2.4*1.004^A1254,0)</f>
        <v>356643110667</v>
      </c>
      <c r="D1254" s="6" t="n">
        <f aca="false">ROUND($D$2*(A1254+1)^2.4*1.004^A1254,0)</f>
        <v>317016098370</v>
      </c>
      <c r="E1254" s="6" t="n">
        <f aca="false">ROUND($F$2*(A1254+1)^2.4*1.004^A1254,0)</f>
        <v>277389086074</v>
      </c>
      <c r="F1254" s="6" t="n">
        <f aca="false">ROUND(Building_Levels!$I$2*(A1254+1)^1.9*1.003^A1254,2)</f>
        <v>13946.19</v>
      </c>
      <c r="G1254" s="6" t="n">
        <f aca="false">ROUND((A1254+1)^1.12,1)</f>
        <v>2941.3</v>
      </c>
    </row>
    <row r="1255" customFormat="false" ht="15" hidden="false" customHeight="true" outlineLevel="0" collapsed="false">
      <c r="A1255" s="6" t="n">
        <v>1250</v>
      </c>
      <c r="B1255" s="6" t="n">
        <f aca="false">MIN(42, FLOOR(A1255/32,1)+1)</f>
        <v>40</v>
      </c>
      <c r="C1255" s="6" t="n">
        <f aca="false">ROUND($B$2*(A1255+1)^2.4*1.004^A1255,0)</f>
        <v>358757561939</v>
      </c>
      <c r="D1255" s="6" t="n">
        <f aca="false">ROUND($D$2*(A1255+1)^2.4*1.004^A1255,0)</f>
        <v>318895610612</v>
      </c>
      <c r="E1255" s="6" t="n">
        <f aca="false">ROUND($F$2*(A1255+1)^2.4*1.004^A1255,0)</f>
        <v>279033659286</v>
      </c>
      <c r="F1255" s="6" t="n">
        <f aca="false">ROUND(Building_Levels!$I$2*(A1255+1)^1.9*1.003^A1255,2)</f>
        <v>14009.29</v>
      </c>
      <c r="G1255" s="6" t="n">
        <f aca="false">ROUND((A1255+1)^1.12,1)</f>
        <v>2943.9</v>
      </c>
    </row>
    <row r="1256" customFormat="false" ht="15" hidden="false" customHeight="true" outlineLevel="0" collapsed="false">
      <c r="A1256" s="6" t="n">
        <v>1251</v>
      </c>
      <c r="B1256" s="6" t="n">
        <f aca="false">MIN(42, FLOOR(A1256/32,1)+1)</f>
        <v>40</v>
      </c>
      <c r="C1256" s="6" t="n">
        <f aca="false">ROUND($B$2*(A1256+1)^2.4*1.004^A1256,0)</f>
        <v>360883995851</v>
      </c>
      <c r="D1256" s="6" t="n">
        <f aca="false">ROUND($D$2*(A1256+1)^2.4*1.004^A1256,0)</f>
        <v>320785774090</v>
      </c>
      <c r="E1256" s="6" t="n">
        <f aca="false">ROUND($F$2*(A1256+1)^2.4*1.004^A1256,0)</f>
        <v>280687552329</v>
      </c>
      <c r="F1256" s="6" t="n">
        <f aca="false">ROUND(Building_Levels!$I$2*(A1256+1)^1.9*1.003^A1256,2)</f>
        <v>14072.67</v>
      </c>
      <c r="G1256" s="6" t="n">
        <f aca="false">ROUND((A1256+1)^1.12,1)</f>
        <v>2946.6</v>
      </c>
    </row>
    <row r="1257" customFormat="false" ht="15" hidden="false" customHeight="true" outlineLevel="0" collapsed="false">
      <c r="A1257" s="6" t="n">
        <v>1252</v>
      </c>
      <c r="B1257" s="6" t="n">
        <f aca="false">MIN(42, FLOOR(A1257/32,1)+1)</f>
        <v>40</v>
      </c>
      <c r="C1257" s="6" t="n">
        <f aca="false">ROUND($B$2*(A1257+1)^2.4*1.004^A1257,0)</f>
        <v>363022477776</v>
      </c>
      <c r="D1257" s="6" t="n">
        <f aca="false">ROUND($D$2*(A1257+1)^2.4*1.004^A1257,0)</f>
        <v>322686646912</v>
      </c>
      <c r="E1257" s="6" t="n">
        <f aca="false">ROUND($F$2*(A1257+1)^2.4*1.004^A1257,0)</f>
        <v>282350816048</v>
      </c>
      <c r="F1257" s="6" t="n">
        <f aca="false">ROUND(Building_Levels!$I$2*(A1257+1)^1.9*1.003^A1257,2)</f>
        <v>14136.32</v>
      </c>
      <c r="G1257" s="6" t="n">
        <f aca="false">ROUND((A1257+1)^1.12,1)</f>
        <v>2949.2</v>
      </c>
    </row>
    <row r="1258" customFormat="false" ht="15" hidden="false" customHeight="true" outlineLevel="0" collapsed="false">
      <c r="A1258" s="6" t="n">
        <v>1253</v>
      </c>
      <c r="B1258" s="6" t="n">
        <f aca="false">MIN(42, FLOOR(A1258/32,1)+1)</f>
        <v>40</v>
      </c>
      <c r="C1258" s="6" t="n">
        <f aca="false">ROUND($B$2*(A1258+1)^2.4*1.004^A1258,0)</f>
        <v>365173073430</v>
      </c>
      <c r="D1258" s="6" t="n">
        <f aca="false">ROUND($D$2*(A1258+1)^2.4*1.004^A1258,0)</f>
        <v>324598287493</v>
      </c>
      <c r="E1258" s="6" t="n">
        <f aca="false">ROUND($F$2*(A1258+1)^2.4*1.004^A1258,0)</f>
        <v>284023501556</v>
      </c>
      <c r="F1258" s="6" t="n">
        <f aca="false">ROUND(Building_Levels!$I$2*(A1258+1)^1.9*1.003^A1258,2)</f>
        <v>14200.23</v>
      </c>
      <c r="G1258" s="6" t="n">
        <f aca="false">ROUND((A1258+1)^1.12,1)</f>
        <v>2951.8</v>
      </c>
    </row>
    <row r="1259" customFormat="false" ht="15" hidden="false" customHeight="true" outlineLevel="0" collapsed="false">
      <c r="A1259" s="6" t="n">
        <v>1254</v>
      </c>
      <c r="B1259" s="6" t="n">
        <f aca="false">MIN(42, FLOOR(A1259/32,1)+1)</f>
        <v>40</v>
      </c>
      <c r="C1259" s="6" t="n">
        <f aca="false">ROUND($B$2*(A1259+1)^2.4*1.004^A1259,0)</f>
        <v>367335848876</v>
      </c>
      <c r="D1259" s="6" t="n">
        <f aca="false">ROUND($D$2*(A1259+1)^2.4*1.004^A1259,0)</f>
        <v>326520754557</v>
      </c>
      <c r="E1259" s="6" t="n">
        <f aca="false">ROUND($F$2*(A1259+1)^2.4*1.004^A1259,0)</f>
        <v>285705660237</v>
      </c>
      <c r="F1259" s="6" t="n">
        <f aca="false">ROUND(Building_Levels!$I$2*(A1259+1)^1.9*1.003^A1259,2)</f>
        <v>14264.42</v>
      </c>
      <c r="G1259" s="6" t="n">
        <f aca="false">ROUND((A1259+1)^1.12,1)</f>
        <v>2954.5</v>
      </c>
    </row>
    <row r="1260" customFormat="false" ht="15" hidden="false" customHeight="true" outlineLevel="0" collapsed="false">
      <c r="A1260" s="6" t="n">
        <v>1255</v>
      </c>
      <c r="B1260" s="6" t="n">
        <f aca="false">MIN(42, FLOOR(A1260/32,1)+1)</f>
        <v>40</v>
      </c>
      <c r="C1260" s="6" t="n">
        <f aca="false">ROUND($B$2*(A1260+1)^2.4*1.004^A1260,0)</f>
        <v>369510870529</v>
      </c>
      <c r="D1260" s="6" t="n">
        <f aca="false">ROUND($D$2*(A1260+1)^2.4*1.004^A1260,0)</f>
        <v>328454107137</v>
      </c>
      <c r="E1260" s="6" t="n">
        <f aca="false">ROUND($F$2*(A1260+1)^2.4*1.004^A1260,0)</f>
        <v>287397343745</v>
      </c>
      <c r="F1260" s="6" t="n">
        <f aca="false">ROUND(Building_Levels!$I$2*(A1260+1)^1.9*1.003^A1260,2)</f>
        <v>14328.88</v>
      </c>
      <c r="G1260" s="6" t="n">
        <f aca="false">ROUND((A1260+1)^1.12,1)</f>
        <v>2957.1</v>
      </c>
    </row>
    <row r="1261" customFormat="false" ht="15" hidden="false" customHeight="true" outlineLevel="0" collapsed="false">
      <c r="A1261" s="6" t="n">
        <v>1256</v>
      </c>
      <c r="B1261" s="6" t="n">
        <f aca="false">MIN(42, FLOOR(A1261/32,1)+1)</f>
        <v>40</v>
      </c>
      <c r="C1261" s="6" t="n">
        <f aca="false">ROUND($B$2*(A1261+1)^2.4*1.004^A1261,0)</f>
        <v>371698205153</v>
      </c>
      <c r="D1261" s="6" t="n">
        <f aca="false">ROUND($D$2*(A1261+1)^2.4*1.004^A1261,0)</f>
        <v>330398404580</v>
      </c>
      <c r="E1261" s="6" t="n">
        <f aca="false">ROUND($F$2*(A1261+1)^2.4*1.004^A1261,0)</f>
        <v>289098604008</v>
      </c>
      <c r="F1261" s="6" t="n">
        <f aca="false">ROUND(Building_Levels!$I$2*(A1261+1)^1.9*1.003^A1261,2)</f>
        <v>14393.62</v>
      </c>
      <c r="G1261" s="6" t="n">
        <f aca="false">ROUND((A1261+1)^1.12,1)</f>
        <v>2959.8</v>
      </c>
    </row>
    <row r="1262" customFormat="false" ht="15" hidden="false" customHeight="true" outlineLevel="0" collapsed="false">
      <c r="A1262" s="6" t="n">
        <v>1257</v>
      </c>
      <c r="B1262" s="6" t="n">
        <f aca="false">MIN(42, FLOOR(A1262/32,1)+1)</f>
        <v>40</v>
      </c>
      <c r="C1262" s="6" t="n">
        <f aca="false">ROUND($B$2*(A1262+1)^2.4*1.004^A1262,0)</f>
        <v>373897919863</v>
      </c>
      <c r="D1262" s="6" t="n">
        <f aca="false">ROUND($D$2*(A1262+1)^2.4*1.004^A1262,0)</f>
        <v>332353706545</v>
      </c>
      <c r="E1262" s="6" t="n">
        <f aca="false">ROUND($F$2*(A1262+1)^2.4*1.004^A1262,0)</f>
        <v>290809493227</v>
      </c>
      <c r="F1262" s="6" t="n">
        <f aca="false">ROUND(Building_Levels!$I$2*(A1262+1)^1.9*1.003^A1262,2)</f>
        <v>14458.63</v>
      </c>
      <c r="G1262" s="6" t="n">
        <f aca="false">ROUND((A1262+1)^1.12,1)</f>
        <v>2962.4</v>
      </c>
    </row>
    <row r="1263" customFormat="false" ht="15" hidden="false" customHeight="true" outlineLevel="0" collapsed="false">
      <c r="A1263" s="6" t="n">
        <v>1258</v>
      </c>
      <c r="B1263" s="6" t="n">
        <f aca="false">MIN(42, FLOOR(A1263/32,1)+1)</f>
        <v>40</v>
      </c>
      <c r="C1263" s="6" t="n">
        <f aca="false">ROUND($B$2*(A1263+1)^2.4*1.004^A1263,0)</f>
        <v>376110082132</v>
      </c>
      <c r="D1263" s="6" t="n">
        <f aca="false">ROUND($D$2*(A1263+1)^2.4*1.004^A1263,0)</f>
        <v>334320073006</v>
      </c>
      <c r="E1263" s="6" t="n">
        <f aca="false">ROUND($F$2*(A1263+1)^2.4*1.004^A1263,0)</f>
        <v>292530063880</v>
      </c>
      <c r="F1263" s="6" t="n">
        <f aca="false">ROUND(Building_Levels!$I$2*(A1263+1)^1.9*1.003^A1263,2)</f>
        <v>14523.92</v>
      </c>
      <c r="G1263" s="6" t="n">
        <f aca="false">ROUND((A1263+1)^1.12,1)</f>
        <v>2965</v>
      </c>
    </row>
    <row r="1264" customFormat="false" ht="15" hidden="false" customHeight="true" outlineLevel="0" collapsed="false">
      <c r="A1264" s="6" t="n">
        <v>1259</v>
      </c>
      <c r="B1264" s="6" t="n">
        <f aca="false">MIN(42, FLOOR(A1264/32,1)+1)</f>
        <v>40</v>
      </c>
      <c r="C1264" s="6" t="n">
        <f aca="false">ROUND($B$2*(A1264+1)^2.4*1.004^A1264,0)</f>
        <v>378334759786</v>
      </c>
      <c r="D1264" s="6" t="n">
        <f aca="false">ROUND($D$2*(A1264+1)^2.4*1.004^A1264,0)</f>
        <v>336297564255</v>
      </c>
      <c r="E1264" s="6" t="n">
        <f aca="false">ROUND($F$2*(A1264+1)^2.4*1.004^A1264,0)</f>
        <v>294260368723</v>
      </c>
      <c r="F1264" s="6" t="n">
        <f aca="false">ROUND(Building_Levels!$I$2*(A1264+1)^1.9*1.003^A1264,2)</f>
        <v>14589.48</v>
      </c>
      <c r="G1264" s="6" t="n">
        <f aca="false">ROUND((A1264+1)^1.12,1)</f>
        <v>2967.7</v>
      </c>
    </row>
    <row r="1265" customFormat="false" ht="15" hidden="false" customHeight="true" outlineLevel="0" collapsed="false">
      <c r="A1265" s="6" t="n">
        <v>1260</v>
      </c>
      <c r="B1265" s="6" t="n">
        <f aca="false">MIN(42, FLOOR(A1265/32,1)+1)</f>
        <v>40</v>
      </c>
      <c r="C1265" s="6" t="n">
        <f aca="false">ROUND($B$2*(A1265+1)^2.4*1.004^A1265,0)</f>
        <v>380572021012</v>
      </c>
      <c r="D1265" s="6" t="n">
        <f aca="false">ROUND($D$2*(A1265+1)^2.4*1.004^A1265,0)</f>
        <v>338286240900</v>
      </c>
      <c r="E1265" s="6" t="n">
        <f aca="false">ROUND($F$2*(A1265+1)^2.4*1.004^A1265,0)</f>
        <v>296000460787</v>
      </c>
      <c r="F1265" s="6" t="n">
        <f aca="false">ROUND(Building_Levels!$I$2*(A1265+1)^1.9*1.003^A1265,2)</f>
        <v>14655.32</v>
      </c>
      <c r="G1265" s="6" t="n">
        <f aca="false">ROUND((A1265+1)^1.12,1)</f>
        <v>2970.3</v>
      </c>
    </row>
    <row r="1266" customFormat="false" ht="15" hidden="false" customHeight="true" outlineLevel="0" collapsed="false">
      <c r="A1266" s="6" t="n">
        <v>1261</v>
      </c>
      <c r="B1266" s="6" t="n">
        <f aca="false">MIN(42, FLOOR(A1266/32,1)+1)</f>
        <v>40</v>
      </c>
      <c r="C1266" s="6" t="n">
        <f aca="false">ROUND($B$2*(A1266+1)^2.4*1.004^A1266,0)</f>
        <v>382821934354</v>
      </c>
      <c r="D1266" s="6" t="n">
        <f aca="false">ROUND($D$2*(A1266+1)^2.4*1.004^A1266,0)</f>
        <v>340286163870</v>
      </c>
      <c r="E1266" s="6" t="n">
        <f aca="false">ROUND($F$2*(A1266+1)^2.4*1.004^A1266,0)</f>
        <v>297750393387</v>
      </c>
      <c r="F1266" s="6" t="n">
        <f aca="false">ROUND(Building_Levels!$I$2*(A1266+1)^1.9*1.003^A1266,2)</f>
        <v>14721.44</v>
      </c>
      <c r="G1266" s="6" t="n">
        <f aca="false">ROUND((A1266+1)^1.12,1)</f>
        <v>2972.9</v>
      </c>
    </row>
    <row r="1267" customFormat="false" ht="15" hidden="false" customHeight="true" outlineLevel="0" collapsed="false">
      <c r="A1267" s="6" t="n">
        <v>1262</v>
      </c>
      <c r="B1267" s="6" t="n">
        <f aca="false">MIN(42, FLOOR(A1267/32,1)+1)</f>
        <v>40</v>
      </c>
      <c r="C1267" s="6" t="n">
        <f aca="false">ROUND($B$2*(A1267+1)^2.4*1.004^A1267,0)</f>
        <v>385084568721</v>
      </c>
      <c r="D1267" s="6" t="n">
        <f aca="false">ROUND($D$2*(A1267+1)^2.4*1.004^A1267,0)</f>
        <v>342297394418</v>
      </c>
      <c r="E1267" s="6" t="n">
        <f aca="false">ROUND($F$2*(A1267+1)^2.4*1.004^A1267,0)</f>
        <v>299510220116</v>
      </c>
      <c r="F1267" s="6" t="n">
        <f aca="false">ROUND(Building_Levels!$I$2*(A1267+1)^1.9*1.003^A1267,2)</f>
        <v>14787.85</v>
      </c>
      <c r="G1267" s="6" t="n">
        <f aca="false">ROUND((A1267+1)^1.12,1)</f>
        <v>2975.6</v>
      </c>
    </row>
    <row r="1268" customFormat="false" ht="15" hidden="false" customHeight="true" outlineLevel="0" collapsed="false">
      <c r="A1268" s="6" t="n">
        <v>1263</v>
      </c>
      <c r="B1268" s="6" t="n">
        <f aca="false">MIN(42, FLOOR(A1268/32,1)+1)</f>
        <v>40</v>
      </c>
      <c r="C1268" s="6" t="n">
        <f aca="false">ROUND($B$2*(A1268+1)^2.4*1.004^A1268,0)</f>
        <v>387359993382</v>
      </c>
      <c r="D1268" s="6" t="n">
        <f aca="false">ROUND($D$2*(A1268+1)^2.4*1.004^A1268,0)</f>
        <v>344319994118</v>
      </c>
      <c r="E1268" s="6" t="n">
        <f aca="false">ROUND($F$2*(A1268+1)^2.4*1.004^A1268,0)</f>
        <v>301279994853</v>
      </c>
      <c r="F1268" s="6" t="n">
        <f aca="false">ROUND(Building_Levels!$I$2*(A1268+1)^1.9*1.003^A1268,2)</f>
        <v>14854.53</v>
      </c>
      <c r="G1268" s="6" t="n">
        <f aca="false">ROUND((A1268+1)^1.12,1)</f>
        <v>2978.2</v>
      </c>
    </row>
    <row r="1269" customFormat="false" ht="15" hidden="false" customHeight="true" outlineLevel="0" collapsed="false">
      <c r="A1269" s="6" t="n">
        <v>1264</v>
      </c>
      <c r="B1269" s="6" t="n">
        <f aca="false">MIN(42, FLOOR(A1269/32,1)+1)</f>
        <v>40</v>
      </c>
      <c r="C1269" s="6" t="n">
        <f aca="false">ROUND($B$2*(A1269+1)^2.4*1.004^A1269,0)</f>
        <v>389648277976</v>
      </c>
      <c r="D1269" s="6" t="n">
        <f aca="false">ROUND($D$2*(A1269+1)^2.4*1.004^A1269,0)</f>
        <v>346354024867</v>
      </c>
      <c r="E1269" s="6" t="n">
        <f aca="false">ROUND($F$2*(A1269+1)^2.4*1.004^A1269,0)</f>
        <v>303059771759</v>
      </c>
      <c r="F1269" s="6" t="n">
        <f aca="false">ROUND(Building_Levels!$I$2*(A1269+1)^1.9*1.003^A1269,2)</f>
        <v>14921.5</v>
      </c>
      <c r="G1269" s="6" t="n">
        <f aca="false">ROUND((A1269+1)^1.12,1)</f>
        <v>2980.9</v>
      </c>
    </row>
    <row r="1270" customFormat="false" ht="15" hidden="false" customHeight="true" outlineLevel="0" collapsed="false">
      <c r="A1270" s="6" t="n">
        <v>1265</v>
      </c>
      <c r="B1270" s="6" t="n">
        <f aca="false">MIN(42, FLOOR(A1270/32,1)+1)</f>
        <v>40</v>
      </c>
      <c r="C1270" s="6" t="n">
        <f aca="false">ROUND($B$2*(A1270+1)^2.4*1.004^A1270,0)</f>
        <v>391949492505</v>
      </c>
      <c r="D1270" s="6" t="n">
        <f aca="false">ROUND($D$2*(A1270+1)^2.4*1.004^A1270,0)</f>
        <v>348399548893</v>
      </c>
      <c r="E1270" s="6" t="n">
        <f aca="false">ROUND($F$2*(A1270+1)^2.4*1.004^A1270,0)</f>
        <v>304849605282</v>
      </c>
      <c r="F1270" s="6" t="n">
        <f aca="false">ROUND(Building_Levels!$I$2*(A1270+1)^1.9*1.003^A1270,2)</f>
        <v>14988.75</v>
      </c>
      <c r="G1270" s="6" t="n">
        <f aca="false">ROUND((A1270+1)^1.12,1)</f>
        <v>2983.5</v>
      </c>
    </row>
    <row r="1271" customFormat="false" ht="15" hidden="false" customHeight="true" outlineLevel="0" collapsed="false">
      <c r="A1271" s="6" t="n">
        <v>1266</v>
      </c>
      <c r="B1271" s="6" t="n">
        <f aca="false">MIN(42, FLOOR(A1271/32,1)+1)</f>
        <v>40</v>
      </c>
      <c r="C1271" s="6" t="n">
        <f aca="false">ROUND($B$2*(A1271+1)^2.4*1.004^A1271,0)</f>
        <v>394263707343</v>
      </c>
      <c r="D1271" s="6" t="n">
        <f aca="false">ROUND($D$2*(A1271+1)^2.4*1.004^A1271,0)</f>
        <v>350456628750</v>
      </c>
      <c r="E1271" s="6" t="n">
        <f aca="false">ROUND($F$2*(A1271+1)^2.4*1.004^A1271,0)</f>
        <v>306649550156</v>
      </c>
      <c r="F1271" s="6" t="n">
        <f aca="false">ROUND(Building_Levels!$I$2*(A1271+1)^1.9*1.003^A1271,2)</f>
        <v>15056.29</v>
      </c>
      <c r="G1271" s="6" t="n">
        <f aca="false">ROUND((A1271+1)^1.12,1)</f>
        <v>2986.1</v>
      </c>
    </row>
    <row r="1272" customFormat="false" ht="15" hidden="false" customHeight="true" outlineLevel="0" collapsed="false">
      <c r="A1272" s="6" t="n">
        <v>1267</v>
      </c>
      <c r="B1272" s="6" t="n">
        <f aca="false">MIN(42, FLOOR(A1272/32,1)+1)</f>
        <v>40</v>
      </c>
      <c r="C1272" s="6" t="n">
        <f aca="false">ROUND($B$2*(A1272+1)^2.4*1.004^A1272,0)</f>
        <v>396590993235</v>
      </c>
      <c r="D1272" s="6" t="n">
        <f aca="false">ROUND($D$2*(A1272+1)^2.4*1.004^A1272,0)</f>
        <v>352525327320</v>
      </c>
      <c r="E1272" s="6" t="n">
        <f aca="false">ROUND($F$2*(A1272+1)^2.4*1.004^A1272,0)</f>
        <v>308459661405</v>
      </c>
      <c r="F1272" s="6" t="n">
        <f aca="false">ROUND(Building_Levels!$I$2*(A1272+1)^1.9*1.003^A1272,2)</f>
        <v>15124.11</v>
      </c>
      <c r="G1272" s="6" t="n">
        <f aca="false">ROUND((A1272+1)^1.12,1)</f>
        <v>2988.8</v>
      </c>
    </row>
    <row r="1273" customFormat="false" ht="15" hidden="false" customHeight="true" outlineLevel="0" collapsed="false">
      <c r="A1273" s="6" t="n">
        <v>1268</v>
      </c>
      <c r="B1273" s="6" t="n">
        <f aca="false">MIN(42, FLOOR(A1273/32,1)+1)</f>
        <v>40</v>
      </c>
      <c r="C1273" s="6" t="n">
        <f aca="false">ROUND($B$2*(A1273+1)^2.4*1.004^A1273,0)</f>
        <v>398931421298</v>
      </c>
      <c r="D1273" s="6" t="n">
        <f aca="false">ROUND($D$2*(A1273+1)^2.4*1.004^A1273,0)</f>
        <v>354605707821</v>
      </c>
      <c r="E1273" s="6" t="n">
        <f aca="false">ROUND($F$2*(A1273+1)^2.4*1.004^A1273,0)</f>
        <v>310279994343</v>
      </c>
      <c r="F1273" s="6" t="n">
        <f aca="false">ROUND(Building_Levels!$I$2*(A1273+1)^1.9*1.003^A1273,2)</f>
        <v>15192.22</v>
      </c>
      <c r="G1273" s="6" t="n">
        <f aca="false">ROUND((A1273+1)^1.12,1)</f>
        <v>2991.4</v>
      </c>
    </row>
    <row r="1274" customFormat="false" ht="15" hidden="false" customHeight="true" outlineLevel="0" collapsed="false">
      <c r="A1274" s="6" t="n">
        <v>1269</v>
      </c>
      <c r="B1274" s="6" t="n">
        <f aca="false">MIN(42, FLOOR(A1274/32,1)+1)</f>
        <v>40</v>
      </c>
      <c r="C1274" s="6" t="n">
        <f aca="false">ROUND($B$2*(A1274+1)^2.4*1.004^A1274,0)</f>
        <v>401285063025</v>
      </c>
      <c r="D1274" s="6" t="n">
        <f aca="false">ROUND($D$2*(A1274+1)^2.4*1.004^A1274,0)</f>
        <v>356697833800</v>
      </c>
      <c r="E1274" s="6" t="n">
        <f aca="false">ROUND($F$2*(A1274+1)^2.4*1.004^A1274,0)</f>
        <v>312110604575</v>
      </c>
      <c r="F1274" s="6" t="n">
        <f aca="false">ROUND(Building_Levels!$I$2*(A1274+1)^1.9*1.003^A1274,2)</f>
        <v>15260.62</v>
      </c>
      <c r="G1274" s="6" t="n">
        <f aca="false">ROUND((A1274+1)^1.12,1)</f>
        <v>2994.1</v>
      </c>
    </row>
    <row r="1275" customFormat="false" ht="15" hidden="false" customHeight="true" outlineLevel="0" collapsed="false">
      <c r="A1275" s="6" t="n">
        <v>1270</v>
      </c>
      <c r="B1275" s="6" t="n">
        <f aca="false">MIN(42, FLOOR(A1275/32,1)+1)</f>
        <v>40</v>
      </c>
      <c r="C1275" s="6" t="n">
        <f aca="false">ROUND($B$2*(A1275+1)^2.4*1.004^A1275,0)</f>
        <v>403651990286</v>
      </c>
      <c r="D1275" s="6" t="n">
        <f aca="false">ROUND($D$2*(A1275+1)^2.4*1.004^A1275,0)</f>
        <v>358801769143</v>
      </c>
      <c r="E1275" s="6" t="n">
        <f aca="false">ROUND($F$2*(A1275+1)^2.4*1.004^A1275,0)</f>
        <v>313951548000</v>
      </c>
      <c r="F1275" s="6" t="n">
        <f aca="false">ROUND(Building_Levels!$I$2*(A1275+1)^1.9*1.003^A1275,2)</f>
        <v>15329.31</v>
      </c>
      <c r="G1275" s="6" t="n">
        <f aca="false">ROUND((A1275+1)^1.12,1)</f>
        <v>2996.7</v>
      </c>
    </row>
    <row r="1276" customFormat="false" ht="15" hidden="false" customHeight="true" outlineLevel="0" collapsed="false">
      <c r="A1276" s="6" t="n">
        <v>1271</v>
      </c>
      <c r="B1276" s="6" t="n">
        <f aca="false">MIN(42, FLOOR(A1276/32,1)+1)</f>
        <v>40</v>
      </c>
      <c r="C1276" s="6" t="n">
        <f aca="false">ROUND($B$2*(A1276+1)^2.4*1.004^A1276,0)</f>
        <v>406032275329</v>
      </c>
      <c r="D1276" s="6" t="n">
        <f aca="false">ROUND($D$2*(A1276+1)^2.4*1.004^A1276,0)</f>
        <v>360917578070</v>
      </c>
      <c r="E1276" s="6" t="n">
        <f aca="false">ROUND($F$2*(A1276+1)^2.4*1.004^A1276,0)</f>
        <v>315802880811</v>
      </c>
      <c r="F1276" s="6" t="n">
        <f aca="false">ROUND(Building_Levels!$I$2*(A1276+1)^1.9*1.003^A1276,2)</f>
        <v>15398.29</v>
      </c>
      <c r="G1276" s="6" t="n">
        <f aca="false">ROUND((A1276+1)^1.12,1)</f>
        <v>2999.3</v>
      </c>
    </row>
    <row r="1277" customFormat="false" ht="15" hidden="false" customHeight="true" outlineLevel="0" collapsed="false">
      <c r="A1277" s="6" t="n">
        <v>1272</v>
      </c>
      <c r="B1277" s="6" t="n">
        <f aca="false">MIN(42, FLOOR(A1277/32,1)+1)</f>
        <v>40</v>
      </c>
      <c r="C1277" s="6" t="n">
        <f aca="false">ROUND($B$2*(A1277+1)^2.4*1.004^A1277,0)</f>
        <v>408425990783</v>
      </c>
      <c r="D1277" s="6" t="n">
        <f aca="false">ROUND($D$2*(A1277+1)^2.4*1.004^A1277,0)</f>
        <v>363045325141</v>
      </c>
      <c r="E1277" s="6" t="n">
        <f aca="false">ROUND($F$2*(A1277+1)^2.4*1.004^A1277,0)</f>
        <v>317664659498</v>
      </c>
      <c r="F1277" s="6" t="n">
        <f aca="false">ROUND(Building_Levels!$I$2*(A1277+1)^1.9*1.003^A1277,2)</f>
        <v>15467.56</v>
      </c>
      <c r="G1277" s="6" t="n">
        <f aca="false">ROUND((A1277+1)^1.12,1)</f>
        <v>3002</v>
      </c>
    </row>
    <row r="1278" customFormat="false" ht="15" hidden="false" customHeight="true" outlineLevel="0" collapsed="false">
      <c r="A1278" s="6" t="n">
        <v>1273</v>
      </c>
      <c r="B1278" s="6" t="n">
        <f aca="false">MIN(42, FLOOR(A1278/32,1)+1)</f>
        <v>40</v>
      </c>
      <c r="C1278" s="6" t="n">
        <f aca="false">ROUND($B$2*(A1278+1)^2.4*1.004^A1278,0)</f>
        <v>410833209662</v>
      </c>
      <c r="D1278" s="6" t="n">
        <f aca="false">ROUND($D$2*(A1278+1)^2.4*1.004^A1278,0)</f>
        <v>365185075255</v>
      </c>
      <c r="E1278" s="6" t="n">
        <f aca="false">ROUND($F$2*(A1278+1)^2.4*1.004^A1278,0)</f>
        <v>319536940848</v>
      </c>
      <c r="F1278" s="6" t="n">
        <f aca="false">ROUND(Building_Levels!$I$2*(A1278+1)^1.9*1.003^A1278,2)</f>
        <v>15537.13</v>
      </c>
      <c r="G1278" s="6" t="n">
        <f aca="false">ROUND((A1278+1)^1.12,1)</f>
        <v>3004.6</v>
      </c>
    </row>
    <row r="1279" customFormat="false" ht="15" hidden="false" customHeight="true" outlineLevel="0" collapsed="false">
      <c r="A1279" s="6" t="n">
        <v>1274</v>
      </c>
      <c r="B1279" s="6" t="n">
        <f aca="false">MIN(42, FLOOR(A1279/32,1)+1)</f>
        <v>40</v>
      </c>
      <c r="C1279" s="6" t="n">
        <f aca="false">ROUND($B$2*(A1279+1)^2.4*1.004^A1279,0)</f>
        <v>413254005361</v>
      </c>
      <c r="D1279" s="6" t="n">
        <f aca="false">ROUND($D$2*(A1279+1)^2.4*1.004^A1279,0)</f>
        <v>367336893654</v>
      </c>
      <c r="E1279" s="6" t="n">
        <f aca="false">ROUND($F$2*(A1279+1)^2.4*1.004^A1279,0)</f>
        <v>321419781947</v>
      </c>
      <c r="F1279" s="6" t="n">
        <f aca="false">ROUND(Building_Levels!$I$2*(A1279+1)^1.9*1.003^A1279,2)</f>
        <v>15606.99</v>
      </c>
      <c r="G1279" s="6" t="n">
        <f aca="false">ROUND((A1279+1)^1.12,1)</f>
        <v>3007.3</v>
      </c>
    </row>
    <row r="1280" customFormat="false" ht="15" hidden="false" customHeight="true" outlineLevel="0" collapsed="false">
      <c r="A1280" s="6" t="n">
        <v>1275</v>
      </c>
      <c r="B1280" s="6" t="n">
        <f aca="false">MIN(42, FLOOR(A1280/32,1)+1)</f>
        <v>40</v>
      </c>
      <c r="C1280" s="6" t="n">
        <f aca="false">ROUND($B$2*(A1280+1)^2.4*1.004^A1280,0)</f>
        <v>415688451664</v>
      </c>
      <c r="D1280" s="6" t="n">
        <f aca="false">ROUND($D$2*(A1280+1)^2.4*1.004^A1280,0)</f>
        <v>369500845923</v>
      </c>
      <c r="E1280" s="6" t="n">
        <f aca="false">ROUND($F$2*(A1280+1)^2.4*1.004^A1280,0)</f>
        <v>323313240183</v>
      </c>
      <c r="F1280" s="6" t="n">
        <f aca="false">ROUND(Building_Levels!$I$2*(A1280+1)^1.9*1.003^A1280,2)</f>
        <v>15677.15</v>
      </c>
      <c r="G1280" s="6" t="n">
        <f aca="false">ROUND((A1280+1)^1.12,1)</f>
        <v>3009.9</v>
      </c>
    </row>
    <row r="1281" customFormat="false" ht="15" hidden="false" customHeight="true" outlineLevel="0" collapsed="false">
      <c r="A1281" s="6" t="n">
        <v>1276</v>
      </c>
      <c r="B1281" s="6" t="n">
        <f aca="false">MIN(42, FLOOR(A1281/32,1)+1)</f>
        <v>40</v>
      </c>
      <c r="C1281" s="6" t="n">
        <f aca="false">ROUND($B$2*(A1281+1)^2.4*1.004^A1281,0)</f>
        <v>418136622744</v>
      </c>
      <c r="D1281" s="6" t="n">
        <f aca="false">ROUND($D$2*(A1281+1)^2.4*1.004^A1281,0)</f>
        <v>371676997995</v>
      </c>
      <c r="E1281" s="6" t="n">
        <f aca="false">ROUND($F$2*(A1281+1)^2.4*1.004^A1281,0)</f>
        <v>325217373246</v>
      </c>
      <c r="F1281" s="6" t="n">
        <f aca="false">ROUND(Building_Levels!$I$2*(A1281+1)^1.9*1.003^A1281,2)</f>
        <v>15747.6</v>
      </c>
      <c r="G1281" s="6" t="n">
        <f aca="false">ROUND((A1281+1)^1.12,1)</f>
        <v>3012.5</v>
      </c>
    </row>
    <row r="1282" customFormat="false" ht="15" hidden="false" customHeight="true" outlineLevel="0" collapsed="false">
      <c r="A1282" s="6" t="n">
        <v>1277</v>
      </c>
      <c r="B1282" s="6" t="n">
        <f aca="false">MIN(42, FLOOR(A1282/32,1)+1)</f>
        <v>40</v>
      </c>
      <c r="C1282" s="6" t="n">
        <f aca="false">ROUND($B$2*(A1282+1)^2.4*1.004^A1282,0)</f>
        <v>420598593165</v>
      </c>
      <c r="D1282" s="6" t="n">
        <f aca="false">ROUND($D$2*(A1282+1)^2.4*1.004^A1282,0)</f>
        <v>373865416146</v>
      </c>
      <c r="E1282" s="6" t="n">
        <f aca="false">ROUND($F$2*(A1282+1)^2.4*1.004^A1282,0)</f>
        <v>327132239128</v>
      </c>
      <c r="F1282" s="6" t="n">
        <f aca="false">ROUND(Building_Levels!$I$2*(A1282+1)^1.9*1.003^A1282,2)</f>
        <v>15818.35</v>
      </c>
      <c r="G1282" s="6" t="n">
        <f aca="false">ROUND((A1282+1)^1.12,1)</f>
        <v>3015.2</v>
      </c>
    </row>
    <row r="1283" customFormat="false" ht="15" hidden="false" customHeight="true" outlineLevel="0" collapsed="false">
      <c r="A1283" s="6" t="n">
        <v>1278</v>
      </c>
      <c r="B1283" s="6" t="n">
        <f aca="false">MIN(42, FLOOR(A1283/32,1)+1)</f>
        <v>40</v>
      </c>
      <c r="C1283" s="6" t="n">
        <f aca="false">ROUND($B$2*(A1283+1)^2.4*1.004^A1283,0)</f>
        <v>423074437881</v>
      </c>
      <c r="D1283" s="6" t="n">
        <f aca="false">ROUND($D$2*(A1283+1)^2.4*1.004^A1283,0)</f>
        <v>376066167005</v>
      </c>
      <c r="E1283" s="6" t="n">
        <f aca="false">ROUND($F$2*(A1283+1)^2.4*1.004^A1283,0)</f>
        <v>329057896130</v>
      </c>
      <c r="F1283" s="6" t="n">
        <f aca="false">ROUND(Building_Levels!$I$2*(A1283+1)^1.9*1.003^A1283,2)</f>
        <v>15889.4</v>
      </c>
      <c r="G1283" s="6" t="n">
        <f aca="false">ROUND((A1283+1)^1.12,1)</f>
        <v>3017.8</v>
      </c>
    </row>
    <row r="1284" customFormat="false" ht="15" hidden="false" customHeight="true" outlineLevel="0" collapsed="false">
      <c r="A1284" s="6" t="n">
        <v>1279</v>
      </c>
      <c r="B1284" s="6" t="n">
        <f aca="false">MIN(42, FLOOR(A1284/32,1)+1)</f>
        <v>40</v>
      </c>
      <c r="C1284" s="6" t="n">
        <f aca="false">ROUND($B$2*(A1284+1)^2.4*1.004^A1284,0)</f>
        <v>425564232244</v>
      </c>
      <c r="D1284" s="6" t="n">
        <f aca="false">ROUND($D$2*(A1284+1)^2.4*1.004^A1284,0)</f>
        <v>378279317550</v>
      </c>
      <c r="E1284" s="6" t="n">
        <f aca="false">ROUND($F$2*(A1284+1)^2.4*1.004^A1284,0)</f>
        <v>330994402856</v>
      </c>
      <c r="F1284" s="6" t="n">
        <f aca="false">ROUND(Building_Levels!$I$2*(A1284+1)^1.9*1.003^A1284,2)</f>
        <v>15960.75</v>
      </c>
      <c r="G1284" s="6" t="n">
        <f aca="false">ROUND((A1284+1)^1.12,1)</f>
        <v>3020.5</v>
      </c>
    </row>
    <row r="1285" customFormat="false" ht="15" hidden="false" customHeight="true" outlineLevel="0" collapsed="false">
      <c r="A1285" s="6" t="n">
        <v>1280</v>
      </c>
      <c r="B1285" s="6" t="n">
        <f aca="false">MIN(42, FLOOR(A1285/32,1)+1)</f>
        <v>41</v>
      </c>
      <c r="C1285" s="6" t="n">
        <f aca="false">ROUND($B$2*(A1285+1)^2.4*1.004^A1285,0)</f>
        <v>428068052001</v>
      </c>
      <c r="D1285" s="6" t="n">
        <f aca="false">ROUND($D$2*(A1285+1)^2.4*1.004^A1285,0)</f>
        <v>380504935112</v>
      </c>
      <c r="E1285" s="6" t="n">
        <f aca="false">ROUND($F$2*(A1285+1)^2.4*1.004^A1285,0)</f>
        <v>332941818223</v>
      </c>
      <c r="F1285" s="6" t="n">
        <f aca="false">ROUND(Building_Levels!$I$2*(A1285+1)^1.9*1.003^A1285,2)</f>
        <v>16032.41</v>
      </c>
      <c r="G1285" s="6" t="n">
        <f aca="false">ROUND((A1285+1)^1.12,1)</f>
        <v>3023.1</v>
      </c>
    </row>
    <row r="1286" customFormat="false" ht="15" hidden="false" customHeight="true" outlineLevel="0" collapsed="false">
      <c r="A1286" s="6" t="n">
        <v>1281</v>
      </c>
      <c r="B1286" s="6" t="n">
        <f aca="false">MIN(42, FLOOR(A1286/32,1)+1)</f>
        <v>41</v>
      </c>
      <c r="C1286" s="6" t="n">
        <f aca="false">ROUND($B$2*(A1286+1)^2.4*1.004^A1286,0)</f>
        <v>430585973298</v>
      </c>
      <c r="D1286" s="6" t="n">
        <f aca="false">ROUND($D$2*(A1286+1)^2.4*1.004^A1286,0)</f>
        <v>382743087376</v>
      </c>
      <c r="E1286" s="6" t="n">
        <f aca="false">ROUND($F$2*(A1286+1)^2.4*1.004^A1286,0)</f>
        <v>334900201454</v>
      </c>
      <c r="F1286" s="6" t="n">
        <f aca="false">ROUND(Building_Levels!$I$2*(A1286+1)^1.9*1.003^A1286,2)</f>
        <v>16104.36</v>
      </c>
      <c r="G1286" s="6" t="n">
        <f aca="false">ROUND((A1286+1)^1.12,1)</f>
        <v>3025.8</v>
      </c>
    </row>
    <row r="1287" customFormat="false" ht="15" hidden="false" customHeight="true" outlineLevel="0" collapsed="false">
      <c r="A1287" s="6" t="n">
        <v>1282</v>
      </c>
      <c r="B1287" s="6" t="n">
        <f aca="false">MIN(42, FLOOR(A1287/32,1)+1)</f>
        <v>41</v>
      </c>
      <c r="C1287" s="6" t="n">
        <f aca="false">ROUND($B$2*(A1287+1)^2.4*1.004^A1287,0)</f>
        <v>433118072682</v>
      </c>
      <c r="D1287" s="6" t="n">
        <f aca="false">ROUND($D$2*(A1287+1)^2.4*1.004^A1287,0)</f>
        <v>384993842384</v>
      </c>
      <c r="E1287" s="6" t="n">
        <f aca="false">ROUND($F$2*(A1287+1)^2.4*1.004^A1287,0)</f>
        <v>336869612086</v>
      </c>
      <c r="F1287" s="6" t="n">
        <f aca="false">ROUND(Building_Levels!$I$2*(A1287+1)^1.9*1.003^A1287,2)</f>
        <v>16176.62</v>
      </c>
      <c r="G1287" s="6" t="n">
        <f aca="false">ROUND((A1287+1)^1.12,1)</f>
        <v>3028.4</v>
      </c>
    </row>
    <row r="1288" customFormat="false" ht="15" hidden="false" customHeight="true" outlineLevel="0" collapsed="false">
      <c r="A1288" s="6" t="n">
        <v>1283</v>
      </c>
      <c r="B1288" s="6" t="n">
        <f aca="false">MIN(42, FLOOR(A1288/32,1)+1)</f>
        <v>41</v>
      </c>
      <c r="C1288" s="6" t="n">
        <f aca="false">ROUND($B$2*(A1288+1)^2.4*1.004^A1288,0)</f>
        <v>435664427104</v>
      </c>
      <c r="D1288" s="6" t="n">
        <f aca="false">ROUND($D$2*(A1288+1)^2.4*1.004^A1288,0)</f>
        <v>387257268536</v>
      </c>
      <c r="E1288" s="6" t="n">
        <f aca="false">ROUND($F$2*(A1288+1)^2.4*1.004^A1288,0)</f>
        <v>338850109969</v>
      </c>
      <c r="F1288" s="6" t="n">
        <f aca="false">ROUND(Building_Levels!$I$2*(A1288+1)^1.9*1.003^A1288,2)</f>
        <v>16249.19</v>
      </c>
      <c r="G1288" s="6" t="n">
        <f aca="false">ROUND((A1288+1)^1.12,1)</f>
        <v>3031</v>
      </c>
    </row>
    <row r="1289" customFormat="false" ht="15" hidden="false" customHeight="true" outlineLevel="0" collapsed="false">
      <c r="A1289" s="6" t="n">
        <v>1284</v>
      </c>
      <c r="B1289" s="6" t="n">
        <f aca="false">MIN(42, FLOOR(A1289/32,1)+1)</f>
        <v>41</v>
      </c>
      <c r="C1289" s="6" t="n">
        <f aca="false">ROUND($B$2*(A1289+1)^2.4*1.004^A1289,0)</f>
        <v>438225113917</v>
      </c>
      <c r="D1289" s="6" t="n">
        <f aca="false">ROUND($D$2*(A1289+1)^2.4*1.004^A1289,0)</f>
        <v>389533434593</v>
      </c>
      <c r="E1289" s="6" t="n">
        <f aca="false">ROUND($F$2*(A1289+1)^2.4*1.004^A1289,0)</f>
        <v>340841755269</v>
      </c>
      <c r="F1289" s="6" t="n">
        <f aca="false">ROUND(Building_Levels!$I$2*(A1289+1)^1.9*1.003^A1289,2)</f>
        <v>16322.06</v>
      </c>
      <c r="G1289" s="6" t="n">
        <f aca="false">ROUND((A1289+1)^1.12,1)</f>
        <v>3033.7</v>
      </c>
    </row>
    <row r="1290" customFormat="false" ht="15" hidden="false" customHeight="true" outlineLevel="0" collapsed="false">
      <c r="A1290" s="6" t="n">
        <v>1285</v>
      </c>
      <c r="B1290" s="6" t="n">
        <f aca="false">MIN(42, FLOOR(A1290/32,1)+1)</f>
        <v>41</v>
      </c>
      <c r="C1290" s="6" t="n">
        <f aca="false">ROUND($B$2*(A1290+1)^2.4*1.004^A1290,0)</f>
        <v>440800210885</v>
      </c>
      <c r="D1290" s="6" t="n">
        <f aca="false">ROUND($D$2*(A1290+1)^2.4*1.004^A1290,0)</f>
        <v>391822409676</v>
      </c>
      <c r="E1290" s="6" t="n">
        <f aca="false">ROUND($F$2*(A1290+1)^2.4*1.004^A1290,0)</f>
        <v>342844608466</v>
      </c>
      <c r="F1290" s="6" t="n">
        <f aca="false">ROUND(Building_Levels!$I$2*(A1290+1)^1.9*1.003^A1290,2)</f>
        <v>16395.24</v>
      </c>
      <c r="G1290" s="6" t="n">
        <f aca="false">ROUND((A1290+1)^1.12,1)</f>
        <v>3036.3</v>
      </c>
    </row>
    <row r="1291" customFormat="false" ht="15" hidden="false" customHeight="true" outlineLevel="0" collapsed="false">
      <c r="A1291" s="6" t="n">
        <v>1286</v>
      </c>
      <c r="B1291" s="6" t="n">
        <f aca="false">MIN(42, FLOOR(A1291/32,1)+1)</f>
        <v>41</v>
      </c>
      <c r="C1291" s="6" t="n">
        <f aca="false">ROUND($B$2*(A1291+1)^2.4*1.004^A1291,0)</f>
        <v>443389796179</v>
      </c>
      <c r="D1291" s="6" t="n">
        <f aca="false">ROUND($D$2*(A1291+1)^2.4*1.004^A1291,0)</f>
        <v>394124263270</v>
      </c>
      <c r="E1291" s="6" t="n">
        <f aca="false">ROUND($F$2*(A1291+1)^2.4*1.004^A1291,0)</f>
        <v>344858730361</v>
      </c>
      <c r="F1291" s="6" t="n">
        <f aca="false">ROUND(Building_Levels!$I$2*(A1291+1)^1.9*1.003^A1291,2)</f>
        <v>16468.73</v>
      </c>
      <c r="G1291" s="6" t="n">
        <f aca="false">ROUND((A1291+1)^1.12,1)</f>
        <v>3039</v>
      </c>
    </row>
    <row r="1292" customFormat="false" ht="15" hidden="false" customHeight="true" outlineLevel="0" collapsed="false">
      <c r="A1292" s="6" t="n">
        <v>1287</v>
      </c>
      <c r="B1292" s="6" t="n">
        <f aca="false">MIN(42, FLOOR(A1292/32,1)+1)</f>
        <v>41</v>
      </c>
      <c r="C1292" s="6" t="n">
        <f aca="false">ROUND($B$2*(A1292+1)^2.4*1.004^A1292,0)</f>
        <v>445993948380</v>
      </c>
      <c r="D1292" s="6" t="n">
        <f aca="false">ROUND($D$2*(A1292+1)^2.4*1.004^A1292,0)</f>
        <v>396439065226</v>
      </c>
      <c r="E1292" s="6" t="n">
        <f aca="false">ROUND($F$2*(A1292+1)^2.4*1.004^A1292,0)</f>
        <v>346884182073</v>
      </c>
      <c r="F1292" s="6" t="n">
        <f aca="false">ROUND(Building_Levels!$I$2*(A1292+1)^1.9*1.003^A1292,2)</f>
        <v>16542.53</v>
      </c>
      <c r="G1292" s="6" t="n">
        <f aca="false">ROUND((A1292+1)^1.12,1)</f>
        <v>3041.6</v>
      </c>
    </row>
    <row r="1293" customFormat="false" ht="15" hidden="false" customHeight="true" outlineLevel="0" collapsed="false">
      <c r="A1293" s="6" t="n">
        <v>1288</v>
      </c>
      <c r="B1293" s="6" t="n">
        <f aca="false">MIN(42, FLOOR(A1293/32,1)+1)</f>
        <v>41</v>
      </c>
      <c r="C1293" s="6" t="n">
        <f aca="false">ROUND($B$2*(A1293+1)^2.4*1.004^A1293,0)</f>
        <v>448612746484</v>
      </c>
      <c r="D1293" s="6" t="n">
        <f aca="false">ROUND($D$2*(A1293+1)^2.4*1.004^A1293,0)</f>
        <v>398766885764</v>
      </c>
      <c r="E1293" s="6" t="n">
        <f aca="false">ROUND($F$2*(A1293+1)^2.4*1.004^A1293,0)</f>
        <v>348921025043</v>
      </c>
      <c r="F1293" s="6" t="n">
        <f aca="false">ROUND(Building_Levels!$I$2*(A1293+1)^1.9*1.003^A1293,2)</f>
        <v>16616.65</v>
      </c>
      <c r="G1293" s="6" t="n">
        <f aca="false">ROUND((A1293+1)^1.12,1)</f>
        <v>3044.3</v>
      </c>
    </row>
    <row r="1294" customFormat="false" ht="15" hidden="false" customHeight="true" outlineLevel="0" collapsed="false">
      <c r="A1294" s="6" t="n">
        <v>1289</v>
      </c>
      <c r="B1294" s="6" t="n">
        <f aca="false">MIN(42, FLOOR(A1294/32,1)+1)</f>
        <v>41</v>
      </c>
      <c r="C1294" s="6" t="n">
        <f aca="false">ROUND($B$2*(A1294+1)^2.4*1.004^A1294,0)</f>
        <v>451246269904</v>
      </c>
      <c r="D1294" s="6" t="n">
        <f aca="false">ROUND($D$2*(A1294+1)^2.4*1.004^A1294,0)</f>
        <v>401107795470</v>
      </c>
      <c r="E1294" s="6" t="n">
        <f aca="false">ROUND($F$2*(A1294+1)^2.4*1.004^A1294,0)</f>
        <v>350969321036</v>
      </c>
      <c r="F1294" s="6" t="n">
        <f aca="false">ROUND(Building_Levels!$I$2*(A1294+1)^1.9*1.003^A1294,2)</f>
        <v>16691.07</v>
      </c>
      <c r="G1294" s="6" t="n">
        <f aca="false">ROUND((A1294+1)^1.12,1)</f>
        <v>3046.9</v>
      </c>
    </row>
    <row r="1295" customFormat="false" ht="15" hidden="false" customHeight="true" outlineLevel="0" collapsed="false">
      <c r="A1295" s="6" t="n">
        <v>1290</v>
      </c>
      <c r="B1295" s="6" t="n">
        <f aca="false">MIN(42, FLOOR(A1295/32,1)+1)</f>
        <v>41</v>
      </c>
      <c r="C1295" s="6" t="n">
        <f aca="false">ROUND($B$2*(A1295+1)^2.4*1.004^A1295,0)</f>
        <v>453894598466</v>
      </c>
      <c r="D1295" s="6" t="n">
        <f aca="false">ROUND($D$2*(A1295+1)^2.4*1.004^A1295,0)</f>
        <v>403461865303</v>
      </c>
      <c r="E1295" s="6" t="n">
        <f aca="false">ROUND($F$2*(A1295+1)^2.4*1.004^A1295,0)</f>
        <v>353029132140</v>
      </c>
      <c r="F1295" s="6" t="n">
        <f aca="false">ROUND(Building_Levels!$I$2*(A1295+1)^1.9*1.003^A1295,2)</f>
        <v>16765.81</v>
      </c>
      <c r="G1295" s="6" t="n">
        <f aca="false">ROUND((A1295+1)^1.12,1)</f>
        <v>3049.6</v>
      </c>
    </row>
    <row r="1296" customFormat="false" ht="15" hidden="false" customHeight="true" outlineLevel="0" collapsed="false">
      <c r="A1296" s="6" t="n">
        <v>1291</v>
      </c>
      <c r="B1296" s="6" t="n">
        <f aca="false">MIN(42, FLOOR(A1296/32,1)+1)</f>
        <v>41</v>
      </c>
      <c r="C1296" s="6" t="n">
        <f aca="false">ROUND($B$2*(A1296+1)^2.4*1.004^A1296,0)</f>
        <v>456557812421</v>
      </c>
      <c r="D1296" s="6" t="n">
        <f aca="false">ROUND($D$2*(A1296+1)^2.4*1.004^A1296,0)</f>
        <v>405829166596</v>
      </c>
      <c r="E1296" s="6" t="n">
        <f aca="false">ROUND($F$2*(A1296+1)^2.4*1.004^A1296,0)</f>
        <v>355100520772</v>
      </c>
      <c r="F1296" s="6" t="n">
        <f aca="false">ROUND(Building_Levels!$I$2*(A1296+1)^1.9*1.003^A1296,2)</f>
        <v>16840.87</v>
      </c>
      <c r="G1296" s="6" t="n">
        <f aca="false">ROUND((A1296+1)^1.12,1)</f>
        <v>3052.2</v>
      </c>
    </row>
    <row r="1297" customFormat="false" ht="15" hidden="false" customHeight="true" outlineLevel="0" collapsed="false">
      <c r="A1297" s="6" t="n">
        <v>1292</v>
      </c>
      <c r="B1297" s="6" t="n">
        <f aca="false">MIN(42, FLOOR(A1297/32,1)+1)</f>
        <v>41</v>
      </c>
      <c r="C1297" s="6" t="n">
        <f aca="false">ROUND($B$2*(A1297+1)^2.4*1.004^A1297,0)</f>
        <v>459235992438</v>
      </c>
      <c r="D1297" s="6" t="n">
        <f aca="false">ROUND($D$2*(A1297+1)^2.4*1.004^A1297,0)</f>
        <v>408209771056</v>
      </c>
      <c r="E1297" s="6" t="n">
        <f aca="false">ROUND($F$2*(A1297+1)^2.4*1.004^A1297,0)</f>
        <v>357183549674</v>
      </c>
      <c r="F1297" s="6" t="n">
        <f aca="false">ROUND(Building_Levels!$I$2*(A1297+1)^1.9*1.003^A1297,2)</f>
        <v>16916.24</v>
      </c>
      <c r="G1297" s="6" t="n">
        <f aca="false">ROUND((A1297+1)^1.12,1)</f>
        <v>3054.9</v>
      </c>
    </row>
    <row r="1298" customFormat="false" ht="15" hidden="false" customHeight="true" outlineLevel="0" collapsed="false">
      <c r="A1298" s="6" t="n">
        <v>1293</v>
      </c>
      <c r="B1298" s="6" t="n">
        <f aca="false">MIN(42, FLOOR(A1298/32,1)+1)</f>
        <v>41</v>
      </c>
      <c r="C1298" s="6" t="n">
        <f aca="false">ROUND($B$2*(A1298+1)^2.4*1.004^A1298,0)</f>
        <v>461929219612</v>
      </c>
      <c r="D1298" s="6" t="n">
        <f aca="false">ROUND($D$2*(A1298+1)^2.4*1.004^A1298,0)</f>
        <v>410603750766</v>
      </c>
      <c r="E1298" s="6" t="n">
        <f aca="false">ROUND($F$2*(A1298+1)^2.4*1.004^A1298,0)</f>
        <v>359278281920</v>
      </c>
      <c r="F1298" s="6" t="n">
        <f aca="false">ROUND(Building_Levels!$I$2*(A1298+1)^1.9*1.003^A1298,2)</f>
        <v>16991.93</v>
      </c>
      <c r="G1298" s="6" t="n">
        <f aca="false">ROUND((A1298+1)^1.12,1)</f>
        <v>3057.5</v>
      </c>
    </row>
    <row r="1299" customFormat="false" ht="15" hidden="false" customHeight="true" outlineLevel="0" collapsed="false">
      <c r="A1299" s="6" t="n">
        <v>1294</v>
      </c>
      <c r="B1299" s="6" t="n">
        <f aca="false">MIN(42, FLOOR(A1299/32,1)+1)</f>
        <v>41</v>
      </c>
      <c r="C1299" s="6" t="n">
        <f aca="false">ROUND($B$2*(A1299+1)^2.4*1.004^A1299,0)</f>
        <v>464637575464</v>
      </c>
      <c r="D1299" s="6" t="n">
        <f aca="false">ROUND($D$2*(A1299+1)^2.4*1.004^A1299,0)</f>
        <v>413011178190</v>
      </c>
      <c r="E1299" s="6" t="n">
        <f aca="false">ROUND($F$2*(A1299+1)^2.4*1.004^A1299,0)</f>
        <v>361384780916</v>
      </c>
      <c r="F1299" s="6" t="n">
        <f aca="false">ROUND(Building_Levels!$I$2*(A1299+1)^1.9*1.003^A1299,2)</f>
        <v>17067.94</v>
      </c>
      <c r="G1299" s="6" t="n">
        <f aca="false">ROUND((A1299+1)^1.12,1)</f>
        <v>3060.1</v>
      </c>
    </row>
    <row r="1300" customFormat="false" ht="15" hidden="false" customHeight="true" outlineLevel="0" collapsed="false">
      <c r="A1300" s="6" t="n">
        <v>1295</v>
      </c>
      <c r="B1300" s="6" t="n">
        <f aca="false">MIN(42, FLOOR(A1300/32,1)+1)</f>
        <v>41</v>
      </c>
      <c r="C1300" s="6" t="n">
        <f aca="false">ROUND($B$2*(A1300+1)^2.4*1.004^A1300,0)</f>
        <v>467361141942</v>
      </c>
      <c r="D1300" s="6" t="n">
        <f aca="false">ROUND($D$2*(A1300+1)^2.4*1.004^A1300,0)</f>
        <v>415432126170</v>
      </c>
      <c r="E1300" s="6" t="n">
        <f aca="false">ROUND($F$2*(A1300+1)^2.4*1.004^A1300,0)</f>
        <v>363503110399</v>
      </c>
      <c r="F1300" s="6" t="n">
        <f aca="false">ROUND(Building_Levels!$I$2*(A1300+1)^1.9*1.003^A1300,2)</f>
        <v>17144.27</v>
      </c>
      <c r="G1300" s="6" t="n">
        <f aca="false">ROUND((A1300+1)^1.12,1)</f>
        <v>3062.8</v>
      </c>
    </row>
    <row r="1301" customFormat="false" ht="15" hidden="false" customHeight="true" outlineLevel="0" collapsed="false">
      <c r="A1301" s="6" t="n">
        <v>1296</v>
      </c>
      <c r="B1301" s="6" t="n">
        <f aca="false">MIN(42, FLOOR(A1301/32,1)+1)</f>
        <v>41</v>
      </c>
      <c r="C1301" s="6" t="n">
        <f aca="false">ROUND($B$2*(A1301+1)^2.4*1.004^A1301,0)</f>
        <v>470100001426</v>
      </c>
      <c r="D1301" s="6" t="n">
        <f aca="false">ROUND($D$2*(A1301+1)^2.4*1.004^A1301,0)</f>
        <v>417866667934</v>
      </c>
      <c r="E1301" s="6" t="n">
        <f aca="false">ROUND($F$2*(A1301+1)^2.4*1.004^A1301,0)</f>
        <v>365633334443</v>
      </c>
      <c r="F1301" s="6" t="n">
        <f aca="false">ROUND(Building_Levels!$I$2*(A1301+1)^1.9*1.003^A1301,2)</f>
        <v>17220.92</v>
      </c>
      <c r="G1301" s="6" t="n">
        <f aca="false">ROUND((A1301+1)^1.12,1)</f>
        <v>3065.4</v>
      </c>
    </row>
    <row r="1302" customFormat="false" ht="15" hidden="false" customHeight="true" outlineLevel="0" collapsed="false">
      <c r="A1302" s="6" t="n">
        <v>1297</v>
      </c>
      <c r="B1302" s="6" t="n">
        <f aca="false">MIN(42, FLOOR(A1302/32,1)+1)</f>
        <v>41</v>
      </c>
      <c r="C1302" s="6" t="n">
        <f aca="false">ROUND($B$2*(A1302+1)^2.4*1.004^A1302,0)</f>
        <v>472854236729</v>
      </c>
      <c r="D1302" s="6" t="n">
        <f aca="false">ROUND($D$2*(A1302+1)^2.4*1.004^A1302,0)</f>
        <v>420314877093</v>
      </c>
      <c r="E1302" s="6" t="n">
        <f aca="false">ROUND($F$2*(A1302+1)^2.4*1.004^A1302,0)</f>
        <v>367775517456</v>
      </c>
      <c r="F1302" s="6" t="n">
        <f aca="false">ROUND(Building_Levels!$I$2*(A1302+1)^1.9*1.003^A1302,2)</f>
        <v>17297.89</v>
      </c>
      <c r="G1302" s="6" t="n">
        <f aca="false">ROUND((A1302+1)^1.12,1)</f>
        <v>3068.1</v>
      </c>
    </row>
    <row r="1303" customFormat="false" ht="15" hidden="false" customHeight="true" outlineLevel="0" collapsed="false">
      <c r="A1303" s="6" t="n">
        <v>1298</v>
      </c>
      <c r="B1303" s="6" t="n">
        <f aca="false">MIN(42, FLOOR(A1303/32,1)+1)</f>
        <v>41</v>
      </c>
      <c r="C1303" s="6" t="n">
        <f aca="false">ROUND($B$2*(A1303+1)^2.4*1.004^A1303,0)</f>
        <v>475623931099</v>
      </c>
      <c r="D1303" s="6" t="n">
        <f aca="false">ROUND($D$2*(A1303+1)^2.4*1.004^A1303,0)</f>
        <v>422776827644</v>
      </c>
      <c r="E1303" s="6" t="n">
        <f aca="false">ROUND($F$2*(A1303+1)^2.4*1.004^A1303,0)</f>
        <v>369929724188</v>
      </c>
      <c r="F1303" s="6" t="n">
        <f aca="false">ROUND(Building_Levels!$I$2*(A1303+1)^1.9*1.003^A1303,2)</f>
        <v>17375.19</v>
      </c>
      <c r="G1303" s="6" t="n">
        <f aca="false">ROUND((A1303+1)^1.12,1)</f>
        <v>3070.7</v>
      </c>
    </row>
    <row r="1304" customFormat="false" ht="15" hidden="false" customHeight="true" outlineLevel="0" collapsed="false">
      <c r="A1304" s="6" t="n">
        <v>1299</v>
      </c>
      <c r="B1304" s="6" t="n">
        <f aca="false">MIN(42, FLOOR(A1304/32,1)+1)</f>
        <v>41</v>
      </c>
      <c r="C1304" s="6" t="n">
        <f aca="false">ROUND($B$2*(A1304+1)^2.4*1.004^A1304,0)</f>
        <v>478409168220</v>
      </c>
      <c r="D1304" s="6" t="n">
        <f aca="false">ROUND($D$2*(A1304+1)^2.4*1.004^A1304,0)</f>
        <v>425252593973</v>
      </c>
      <c r="E1304" s="6" t="n">
        <f aca="false">ROUND($F$2*(A1304+1)^2.4*1.004^A1304,0)</f>
        <v>372096019727</v>
      </c>
      <c r="F1304" s="6" t="n">
        <f aca="false">ROUND(Building_Levels!$I$2*(A1304+1)^1.9*1.003^A1304,2)</f>
        <v>17452.81</v>
      </c>
      <c r="G1304" s="6" t="n">
        <f aca="false">ROUND((A1304+1)^1.12,1)</f>
        <v>3073.4</v>
      </c>
    </row>
    <row r="1305" customFormat="false" ht="15" hidden="false" customHeight="true" outlineLevel="0" collapsed="false">
      <c r="A1305" s="6" t="n">
        <v>1300</v>
      </c>
      <c r="B1305" s="6" t="n">
        <f aca="false">MIN(42, FLOOR(A1305/32,1)+1)</f>
        <v>41</v>
      </c>
      <c r="C1305" s="6" t="n">
        <f aca="false">ROUND($B$2*(A1305+1)^2.4*1.004^A1305,0)</f>
        <v>481210032216</v>
      </c>
      <c r="D1305" s="6" t="n">
        <f aca="false">ROUND($D$2*(A1305+1)^2.4*1.004^A1305,0)</f>
        <v>427742250859</v>
      </c>
      <c r="E1305" s="6" t="n">
        <f aca="false">ROUND($F$2*(A1305+1)^2.4*1.004^A1305,0)</f>
        <v>374274469501</v>
      </c>
      <c r="F1305" s="6" t="n">
        <f aca="false">ROUND(Building_Levels!$I$2*(A1305+1)^1.9*1.003^A1305,2)</f>
        <v>17530.77</v>
      </c>
      <c r="G1305" s="6" t="n">
        <f aca="false">ROUND((A1305+1)^1.12,1)</f>
        <v>3076</v>
      </c>
    </row>
    <row r="1306" customFormat="false" ht="15" hidden="false" customHeight="true" outlineLevel="0" collapsed="false">
      <c r="A1306" s="6" t="n">
        <v>1301</v>
      </c>
      <c r="B1306" s="6" t="n">
        <f aca="false">MIN(42, FLOOR(A1306/32,1)+1)</f>
        <v>41</v>
      </c>
      <c r="C1306" s="6" t="n">
        <f aca="false">ROUND($B$2*(A1306+1)^2.4*1.004^A1306,0)</f>
        <v>484026607654</v>
      </c>
      <c r="D1306" s="6" t="n">
        <f aca="false">ROUND($D$2*(A1306+1)^2.4*1.004^A1306,0)</f>
        <v>430245873470</v>
      </c>
      <c r="E1306" s="6" t="n">
        <f aca="false">ROUND($F$2*(A1306+1)^2.4*1.004^A1306,0)</f>
        <v>376465139286</v>
      </c>
      <c r="F1306" s="6" t="n">
        <f aca="false">ROUND(Building_Levels!$I$2*(A1306+1)^1.9*1.003^A1306,2)</f>
        <v>17609.05</v>
      </c>
      <c r="G1306" s="6" t="n">
        <f aca="false">ROUND((A1306+1)^1.12,1)</f>
        <v>3078.7</v>
      </c>
    </row>
    <row r="1307" customFormat="false" ht="15" hidden="false" customHeight="true" outlineLevel="0" collapsed="false">
      <c r="A1307" s="6" t="n">
        <v>1302</v>
      </c>
      <c r="B1307" s="6" t="n">
        <f aca="false">MIN(42, FLOOR(A1307/32,1)+1)</f>
        <v>41</v>
      </c>
      <c r="C1307" s="6" t="n">
        <f aca="false">ROUND($B$2*(A1307+1)^2.4*1.004^A1307,0)</f>
        <v>486858979542</v>
      </c>
      <c r="D1307" s="6" t="n">
        <f aca="false">ROUND($D$2*(A1307+1)^2.4*1.004^A1307,0)</f>
        <v>432763537371</v>
      </c>
      <c r="E1307" s="6" t="n">
        <f aca="false">ROUND($F$2*(A1307+1)^2.4*1.004^A1307,0)</f>
        <v>378668095200</v>
      </c>
      <c r="F1307" s="6" t="n">
        <f aca="false">ROUND(Building_Levels!$I$2*(A1307+1)^1.9*1.003^A1307,2)</f>
        <v>17687.66</v>
      </c>
      <c r="G1307" s="6" t="n">
        <f aca="false">ROUND((A1307+1)^1.12,1)</f>
        <v>3081.3</v>
      </c>
    </row>
    <row r="1308" customFormat="false" ht="15" hidden="false" customHeight="true" outlineLevel="0" collapsed="false">
      <c r="A1308" s="6" t="n">
        <v>1303</v>
      </c>
      <c r="B1308" s="6" t="n">
        <f aca="false">MIN(42, FLOOR(A1308/32,1)+1)</f>
        <v>41</v>
      </c>
      <c r="C1308" s="6" t="n">
        <f aca="false">ROUND($B$2*(A1308+1)^2.4*1.004^A1308,0)</f>
        <v>489707233339</v>
      </c>
      <c r="D1308" s="6" t="n">
        <f aca="false">ROUND($D$2*(A1308+1)^2.4*1.004^A1308,0)</f>
        <v>435295318524</v>
      </c>
      <c r="E1308" s="6" t="n">
        <f aca="false">ROUND($F$2*(A1308+1)^2.4*1.004^A1308,0)</f>
        <v>380883403708</v>
      </c>
      <c r="F1308" s="6" t="n">
        <f aca="false">ROUND(Building_Levels!$I$2*(A1308+1)^1.9*1.003^A1308,2)</f>
        <v>17766.6</v>
      </c>
      <c r="G1308" s="6" t="n">
        <f aca="false">ROUND((A1308+1)^1.12,1)</f>
        <v>3084</v>
      </c>
    </row>
    <row r="1309" customFormat="false" ht="15" hidden="false" customHeight="true" outlineLevel="0" collapsed="false">
      <c r="A1309" s="6" t="n">
        <v>1304</v>
      </c>
      <c r="B1309" s="6" t="n">
        <f aca="false">MIN(42, FLOOR(A1309/32,1)+1)</f>
        <v>41</v>
      </c>
      <c r="C1309" s="6" t="n">
        <f aca="false">ROUND($B$2*(A1309+1)^2.4*1.004^A1309,0)</f>
        <v>492571454948</v>
      </c>
      <c r="D1309" s="6" t="n">
        <f aca="false">ROUND($D$2*(A1309+1)^2.4*1.004^A1309,0)</f>
        <v>437841293287</v>
      </c>
      <c r="E1309" s="6" t="n">
        <f aca="false">ROUND($F$2*(A1309+1)^2.4*1.004^A1309,0)</f>
        <v>383111131626</v>
      </c>
      <c r="F1309" s="6" t="n">
        <f aca="false">ROUND(Building_Levels!$I$2*(A1309+1)^1.9*1.003^A1309,2)</f>
        <v>17845.87</v>
      </c>
      <c r="G1309" s="6" t="n">
        <f aca="false">ROUND((A1309+1)^1.12,1)</f>
        <v>3086.6</v>
      </c>
    </row>
    <row r="1310" customFormat="false" ht="15" hidden="false" customHeight="true" outlineLevel="0" collapsed="false">
      <c r="A1310" s="6" t="n">
        <v>1305</v>
      </c>
      <c r="B1310" s="6" t="n">
        <f aca="false">MIN(42, FLOOR(A1310/32,1)+1)</f>
        <v>41</v>
      </c>
      <c r="C1310" s="6" t="n">
        <f aca="false">ROUND($B$2*(A1310+1)^2.4*1.004^A1310,0)</f>
        <v>495451730725</v>
      </c>
      <c r="D1310" s="6" t="n">
        <f aca="false">ROUND($D$2*(A1310+1)^2.4*1.004^A1310,0)</f>
        <v>440401538422</v>
      </c>
      <c r="E1310" s="6" t="n">
        <f aca="false">ROUND($F$2*(A1310+1)^2.4*1.004^A1310,0)</f>
        <v>385351346120</v>
      </c>
      <c r="F1310" s="6" t="n">
        <f aca="false">ROUND(Building_Levels!$I$2*(A1310+1)^1.9*1.003^A1310,2)</f>
        <v>17925.48</v>
      </c>
      <c r="G1310" s="6" t="n">
        <f aca="false">ROUND((A1310+1)^1.12,1)</f>
        <v>3089.3</v>
      </c>
    </row>
    <row r="1311" customFormat="false" ht="15" hidden="false" customHeight="true" outlineLevel="0" collapsed="false">
      <c r="A1311" s="6" t="n">
        <v>1306</v>
      </c>
      <c r="B1311" s="6" t="n">
        <f aca="false">MIN(42, FLOOR(A1311/32,1)+1)</f>
        <v>41</v>
      </c>
      <c r="C1311" s="6" t="n">
        <f aca="false">ROUND($B$2*(A1311+1)^2.4*1.004^A1311,0)</f>
        <v>498348147479</v>
      </c>
      <c r="D1311" s="6" t="n">
        <f aca="false">ROUND($D$2*(A1311+1)^2.4*1.004^A1311,0)</f>
        <v>442976131093</v>
      </c>
      <c r="E1311" s="6" t="n">
        <f aca="false">ROUND($F$2*(A1311+1)^2.4*1.004^A1311,0)</f>
        <v>387604114706</v>
      </c>
      <c r="F1311" s="6" t="n">
        <f aca="false">ROUND(Building_Levels!$I$2*(A1311+1)^1.9*1.003^A1311,2)</f>
        <v>18005.42</v>
      </c>
      <c r="G1311" s="6" t="n">
        <f aca="false">ROUND((A1311+1)^1.12,1)</f>
        <v>3091.9</v>
      </c>
    </row>
    <row r="1312" customFormat="false" ht="15" hidden="false" customHeight="true" outlineLevel="0" collapsed="false">
      <c r="A1312" s="6" t="n">
        <v>1307</v>
      </c>
      <c r="B1312" s="6" t="n">
        <f aca="false">MIN(42, FLOOR(A1312/32,1)+1)</f>
        <v>41</v>
      </c>
      <c r="C1312" s="6" t="n">
        <f aca="false">ROUND($B$2*(A1312+1)^2.4*1.004^A1312,0)</f>
        <v>501260792475</v>
      </c>
      <c r="D1312" s="6" t="n">
        <f aca="false">ROUND($D$2*(A1312+1)^2.4*1.004^A1312,0)</f>
        <v>445565148866</v>
      </c>
      <c r="E1312" s="6" t="n">
        <f aca="false">ROUND($F$2*(A1312+1)^2.4*1.004^A1312,0)</f>
        <v>389869505258</v>
      </c>
      <c r="F1312" s="6" t="n">
        <f aca="false">ROUND(Building_Levels!$I$2*(A1312+1)^1.9*1.003^A1312,2)</f>
        <v>18085.7</v>
      </c>
      <c r="G1312" s="6" t="n">
        <f aca="false">ROUND((A1312+1)^1.12,1)</f>
        <v>3094.6</v>
      </c>
    </row>
    <row r="1313" customFormat="false" ht="15" hidden="false" customHeight="true" outlineLevel="0" collapsed="false">
      <c r="A1313" s="6" t="n">
        <v>1308</v>
      </c>
      <c r="B1313" s="6" t="n">
        <f aca="false">MIN(42, FLOOR(A1313/32,1)+1)</f>
        <v>41</v>
      </c>
      <c r="C1313" s="6" t="n">
        <f aca="false">ROUND($B$2*(A1313+1)^2.4*1.004^A1313,0)</f>
        <v>504189753433</v>
      </c>
      <c r="D1313" s="6" t="n">
        <f aca="false">ROUND($D$2*(A1313+1)^2.4*1.004^A1313,0)</f>
        <v>448168669719</v>
      </c>
      <c r="E1313" s="6" t="n">
        <f aca="false">ROUND($F$2*(A1313+1)^2.4*1.004^A1313,0)</f>
        <v>392147586004</v>
      </c>
      <c r="F1313" s="6" t="n">
        <f aca="false">ROUND(Building_Levels!$I$2*(A1313+1)^1.9*1.003^A1313,2)</f>
        <v>18166.31</v>
      </c>
      <c r="G1313" s="6" t="n">
        <f aca="false">ROUND((A1313+1)^1.12,1)</f>
        <v>3097.2</v>
      </c>
    </row>
    <row r="1314" customFormat="false" ht="15" hidden="false" customHeight="true" outlineLevel="0" collapsed="false">
      <c r="A1314" s="6" t="n">
        <v>1309</v>
      </c>
      <c r="B1314" s="6" t="n">
        <f aca="false">MIN(42, FLOOR(A1314/32,1)+1)</f>
        <v>41</v>
      </c>
      <c r="C1314" s="6" t="n">
        <f aca="false">ROUND($B$2*(A1314+1)^2.4*1.004^A1314,0)</f>
        <v>507135118538</v>
      </c>
      <c r="D1314" s="6" t="n">
        <f aca="false">ROUND($D$2*(A1314+1)^2.4*1.004^A1314,0)</f>
        <v>450786772034</v>
      </c>
      <c r="E1314" s="6" t="n">
        <f aca="false">ROUND($F$2*(A1314+1)^2.4*1.004^A1314,0)</f>
        <v>394438425530</v>
      </c>
      <c r="F1314" s="6" t="n">
        <f aca="false">ROUND(Building_Levels!$I$2*(A1314+1)^1.9*1.003^A1314,2)</f>
        <v>18247.27</v>
      </c>
      <c r="G1314" s="6" t="n">
        <f aca="false">ROUND((A1314+1)^1.12,1)</f>
        <v>3099.9</v>
      </c>
    </row>
    <row r="1315" customFormat="false" ht="15" hidden="false" customHeight="true" outlineLevel="0" collapsed="false">
      <c r="A1315" s="6" t="n">
        <v>1310</v>
      </c>
      <c r="B1315" s="6" t="n">
        <f aca="false">MIN(42, FLOOR(A1315/32,1)+1)</f>
        <v>41</v>
      </c>
      <c r="C1315" s="6" t="n">
        <f aca="false">ROUND($B$2*(A1315+1)^2.4*1.004^A1315,0)</f>
        <v>510096976433</v>
      </c>
      <c r="D1315" s="6" t="n">
        <f aca="false">ROUND($D$2*(A1315+1)^2.4*1.004^A1315,0)</f>
        <v>453419534607</v>
      </c>
      <c r="E1315" s="6" t="n">
        <f aca="false">ROUND($F$2*(A1315+1)^2.4*1.004^A1315,0)</f>
        <v>396742092781</v>
      </c>
      <c r="F1315" s="6" t="n">
        <f aca="false">ROUND(Building_Levels!$I$2*(A1315+1)^1.9*1.003^A1315,2)</f>
        <v>18328.57</v>
      </c>
      <c r="G1315" s="6" t="n">
        <f aca="false">ROUND((A1315+1)^1.12,1)</f>
        <v>3102.5</v>
      </c>
    </row>
    <row r="1316" customFormat="false" ht="15" hidden="false" customHeight="true" outlineLevel="0" collapsed="false">
      <c r="A1316" s="6" t="n">
        <v>1311</v>
      </c>
      <c r="B1316" s="6" t="n">
        <f aca="false">MIN(42, FLOOR(A1316/32,1)+1)</f>
        <v>41</v>
      </c>
      <c r="C1316" s="6" t="n">
        <f aca="false">ROUND($B$2*(A1316+1)^2.4*1.004^A1316,0)</f>
        <v>513075416228</v>
      </c>
      <c r="D1316" s="6" t="n">
        <f aca="false">ROUND($D$2*(A1316+1)^2.4*1.004^A1316,0)</f>
        <v>456067036647</v>
      </c>
      <c r="E1316" s="6" t="n">
        <f aca="false">ROUND($F$2*(A1316+1)^2.4*1.004^A1316,0)</f>
        <v>399058657066</v>
      </c>
      <c r="F1316" s="6" t="n">
        <f aca="false">ROUND(Building_Levels!$I$2*(A1316+1)^1.9*1.003^A1316,2)</f>
        <v>18410.2</v>
      </c>
      <c r="G1316" s="6" t="n">
        <f aca="false">ROUND((A1316+1)^1.12,1)</f>
        <v>3105.2</v>
      </c>
    </row>
    <row r="1317" customFormat="false" ht="15" hidden="false" customHeight="true" outlineLevel="0" collapsed="false">
      <c r="A1317" s="6" t="n">
        <v>1312</v>
      </c>
      <c r="B1317" s="6" t="n">
        <f aca="false">MIN(42, FLOOR(A1317/32,1)+1)</f>
        <v>42</v>
      </c>
      <c r="C1317" s="6" t="n">
        <f aca="false">ROUND($B$2*(A1317+1)^2.4*1.004^A1317,0)</f>
        <v>516070527500</v>
      </c>
      <c r="D1317" s="6" t="n">
        <f aca="false">ROUND($D$2*(A1317+1)^2.4*1.004^A1317,0)</f>
        <v>458729357778</v>
      </c>
      <c r="E1317" s="6" t="n">
        <f aca="false">ROUND($F$2*(A1317+1)^2.4*1.004^A1317,0)</f>
        <v>401388188056</v>
      </c>
      <c r="F1317" s="6" t="n">
        <f aca="false">ROUND(Building_Levels!$I$2*(A1317+1)^1.9*1.003^A1317,2)</f>
        <v>18492.18</v>
      </c>
      <c r="G1317" s="6" t="n">
        <f aca="false">ROUND((A1317+1)^1.12,1)</f>
        <v>3107.8</v>
      </c>
    </row>
    <row r="1318" customFormat="false" ht="15" hidden="false" customHeight="true" outlineLevel="0" collapsed="false">
      <c r="A1318" s="6" t="n">
        <v>1313</v>
      </c>
      <c r="B1318" s="6" t="n">
        <f aca="false">MIN(42, FLOOR(A1318/32,1)+1)</f>
        <v>42</v>
      </c>
      <c r="C1318" s="6" t="n">
        <f aca="false">ROUND($B$2*(A1318+1)^2.4*1.004^A1318,0)</f>
        <v>519082400296</v>
      </c>
      <c r="D1318" s="6" t="n">
        <f aca="false">ROUND($D$2*(A1318+1)^2.4*1.004^A1318,0)</f>
        <v>461406578041</v>
      </c>
      <c r="E1318" s="6" t="n">
        <f aca="false">ROUND($F$2*(A1318+1)^2.4*1.004^A1318,0)</f>
        <v>403730755786</v>
      </c>
      <c r="F1318" s="6" t="n">
        <f aca="false">ROUND(Building_Levels!$I$2*(A1318+1)^1.9*1.003^A1318,2)</f>
        <v>18574.51</v>
      </c>
      <c r="G1318" s="6" t="n">
        <f aca="false">ROUND((A1318+1)^1.12,1)</f>
        <v>3110.5</v>
      </c>
    </row>
    <row r="1319" customFormat="false" ht="15" hidden="false" customHeight="true" outlineLevel="0" collapsed="false">
      <c r="A1319" s="6" t="n">
        <v>1314</v>
      </c>
      <c r="B1319" s="6" t="n">
        <f aca="false">MIN(42, FLOOR(A1319/32,1)+1)</f>
        <v>42</v>
      </c>
      <c r="C1319" s="6" t="n">
        <f aca="false">ROUND($B$2*(A1319+1)^2.4*1.004^A1319,0)</f>
        <v>522111125134</v>
      </c>
      <c r="D1319" s="6" t="n">
        <f aca="false">ROUND($D$2*(A1319+1)^2.4*1.004^A1319,0)</f>
        <v>464098777897</v>
      </c>
      <c r="E1319" s="6" t="n">
        <f aca="false">ROUND($F$2*(A1319+1)^2.4*1.004^A1319,0)</f>
        <v>406086430660</v>
      </c>
      <c r="F1319" s="6" t="n">
        <f aca="false">ROUND(Building_Levels!$I$2*(A1319+1)^1.9*1.003^A1319,2)</f>
        <v>18657.18</v>
      </c>
      <c r="G1319" s="6" t="n">
        <f aca="false">ROUND((A1319+1)^1.12,1)</f>
        <v>3113.1</v>
      </c>
    </row>
    <row r="1320" customFormat="false" ht="15" hidden="false" customHeight="true" outlineLevel="0" collapsed="false">
      <c r="A1320" s="6" t="n">
        <v>1315</v>
      </c>
      <c r="B1320" s="6" t="n">
        <f aca="false">MIN(42, FLOOR(A1320/32,1)+1)</f>
        <v>42</v>
      </c>
      <c r="C1320" s="6" t="n">
        <f aca="false">ROUND($B$2*(A1320+1)^2.4*1.004^A1320,0)</f>
        <v>525156793007</v>
      </c>
      <c r="D1320" s="6" t="n">
        <f aca="false">ROUND($D$2*(A1320+1)^2.4*1.004^A1320,0)</f>
        <v>466806038228</v>
      </c>
      <c r="E1320" s="6" t="n">
        <f aca="false">ROUND($F$2*(A1320+1)^2.4*1.004^A1320,0)</f>
        <v>408455283450</v>
      </c>
      <c r="F1320" s="6" t="n">
        <f aca="false">ROUND(Building_Levels!$I$2*(A1320+1)^1.9*1.003^A1320,2)</f>
        <v>18740.2</v>
      </c>
      <c r="G1320" s="6" t="n">
        <f aca="false">ROUND((A1320+1)^1.12,1)</f>
        <v>3115.8</v>
      </c>
    </row>
    <row r="1321" customFormat="false" ht="15" hidden="false" customHeight="true" outlineLevel="0" collapsed="false">
      <c r="A1321" s="6" t="n">
        <v>1316</v>
      </c>
      <c r="B1321" s="6" t="n">
        <f aca="false">MIN(42, FLOOR(A1321/32,1)+1)</f>
        <v>42</v>
      </c>
      <c r="C1321" s="6" t="n">
        <f aca="false">ROUND($B$2*(A1321+1)^2.4*1.004^A1321,0)</f>
        <v>528219495385</v>
      </c>
      <c r="D1321" s="6" t="n">
        <f aca="false">ROUND($D$2*(A1321+1)^2.4*1.004^A1321,0)</f>
        <v>469528440342</v>
      </c>
      <c r="E1321" s="6" t="n">
        <f aca="false">ROUND($F$2*(A1321+1)^2.4*1.004^A1321,0)</f>
        <v>410837385300</v>
      </c>
      <c r="F1321" s="6" t="n">
        <f aca="false">ROUND(Building_Levels!$I$2*(A1321+1)^1.9*1.003^A1321,2)</f>
        <v>18823.57</v>
      </c>
      <c r="G1321" s="6" t="n">
        <f aca="false">ROUND((A1321+1)^1.12,1)</f>
        <v>3118.4</v>
      </c>
    </row>
    <row r="1322" customFormat="false" ht="15" hidden="false" customHeight="true" outlineLevel="0" collapsed="false">
      <c r="A1322" s="6" t="n">
        <v>1317</v>
      </c>
      <c r="B1322" s="6" t="n">
        <f aca="false">MIN(42, FLOOR(A1322/32,1)+1)</f>
        <v>42</v>
      </c>
      <c r="C1322" s="6" t="n">
        <f aca="false">ROUND($B$2*(A1322+1)^2.4*1.004^A1322,0)</f>
        <v>531299324217</v>
      </c>
      <c r="D1322" s="6" t="n">
        <f aca="false">ROUND($D$2*(A1322+1)^2.4*1.004^A1322,0)</f>
        <v>472266065971</v>
      </c>
      <c r="E1322" s="6" t="n">
        <f aca="false">ROUND($F$2*(A1322+1)^2.4*1.004^A1322,0)</f>
        <v>413232807725</v>
      </c>
      <c r="F1322" s="6" t="n">
        <f aca="false">ROUND(Building_Levels!$I$2*(A1322+1)^1.9*1.003^A1322,2)</f>
        <v>18907.29</v>
      </c>
      <c r="G1322" s="6" t="n">
        <f aca="false">ROUND((A1322+1)^1.12,1)</f>
        <v>3121.1</v>
      </c>
    </row>
    <row r="1323" customFormat="false" ht="15" hidden="false" customHeight="true" outlineLevel="0" collapsed="false">
      <c r="A1323" s="6" t="n">
        <v>1318</v>
      </c>
      <c r="B1323" s="6" t="n">
        <f aca="false">MIN(42, FLOOR(A1323/32,1)+1)</f>
        <v>42</v>
      </c>
      <c r="C1323" s="6" t="n">
        <f aca="false">ROUND($B$2*(A1323+1)^2.4*1.004^A1323,0)</f>
        <v>534396371935</v>
      </c>
      <c r="D1323" s="6" t="n">
        <f aca="false">ROUND($D$2*(A1323+1)^2.4*1.004^A1323,0)</f>
        <v>475018997276</v>
      </c>
      <c r="E1323" s="6" t="n">
        <f aca="false">ROUND($F$2*(A1323+1)^2.4*1.004^A1323,0)</f>
        <v>415641622616</v>
      </c>
      <c r="F1323" s="6" t="n">
        <f aca="false">ROUND(Building_Levels!$I$2*(A1323+1)^1.9*1.003^A1323,2)</f>
        <v>18991.35</v>
      </c>
      <c r="G1323" s="6" t="n">
        <f aca="false">ROUND((A1323+1)^1.12,1)</f>
        <v>3123.7</v>
      </c>
    </row>
    <row r="1324" customFormat="false" ht="15" hidden="false" customHeight="true" outlineLevel="0" collapsed="false">
      <c r="A1324" s="6" t="n">
        <v>1319</v>
      </c>
      <c r="B1324" s="6" t="n">
        <f aca="false">MIN(42, FLOOR(A1324/32,1)+1)</f>
        <v>42</v>
      </c>
      <c r="C1324" s="6" t="n">
        <f aca="false">ROUND($B$2*(A1324+1)^2.4*1.004^A1324,0)</f>
        <v>537510731453</v>
      </c>
      <c r="D1324" s="6" t="n">
        <f aca="false">ROUND($D$2*(A1324+1)^2.4*1.004^A1324,0)</f>
        <v>477787316847</v>
      </c>
      <c r="E1324" s="6" t="n">
        <f aca="false">ROUND($F$2*(A1324+1)^2.4*1.004^A1324,0)</f>
        <v>418063902241</v>
      </c>
      <c r="F1324" s="6" t="n">
        <f aca="false">ROUND(Building_Levels!$I$2*(A1324+1)^1.9*1.003^A1324,2)</f>
        <v>19075.78</v>
      </c>
      <c r="G1324" s="6" t="n">
        <f aca="false">ROUND((A1324+1)^1.12,1)</f>
        <v>3126.4</v>
      </c>
    </row>
    <row r="1325" customFormat="false" ht="15" hidden="false" customHeight="true" outlineLevel="0" collapsed="false">
      <c r="A1325" s="6" t="n">
        <v>1320</v>
      </c>
      <c r="B1325" s="6" t="n">
        <f aca="false">MIN(42, FLOOR(A1325/32,1)+1)</f>
        <v>42</v>
      </c>
      <c r="C1325" s="6" t="n">
        <f aca="false">ROUND($B$2*(A1325+1)^2.4*1.004^A1325,0)</f>
        <v>540642496174</v>
      </c>
      <c r="D1325" s="6" t="n">
        <f aca="false">ROUND($D$2*(A1325+1)^2.4*1.004^A1325,0)</f>
        <v>480571107710</v>
      </c>
      <c r="E1325" s="6" t="n">
        <f aca="false">ROUND($F$2*(A1325+1)^2.4*1.004^A1325,0)</f>
        <v>420499719246</v>
      </c>
      <c r="F1325" s="6" t="n">
        <f aca="false">ROUND(Building_Levels!$I$2*(A1325+1)^1.9*1.003^A1325,2)</f>
        <v>19160.55</v>
      </c>
      <c r="G1325" s="6" t="n">
        <f aca="false">ROUND((A1325+1)^1.12,1)</f>
        <v>3129</v>
      </c>
    </row>
    <row r="1326" customFormat="false" ht="15" hidden="false" customHeight="true" outlineLevel="0" collapsed="false">
      <c r="A1326" s="6" t="n">
        <v>1321</v>
      </c>
      <c r="B1326" s="6" t="n">
        <f aca="false">MIN(42, FLOOR(A1326/32,1)+1)</f>
        <v>42</v>
      </c>
      <c r="C1326" s="6" t="n">
        <f aca="false">ROUND($B$2*(A1326+1)^2.4*1.004^A1326,0)</f>
        <v>543791759987</v>
      </c>
      <c r="D1326" s="6" t="n">
        <f aca="false">ROUND($D$2*(A1326+1)^2.4*1.004^A1326,0)</f>
        <v>483370453322</v>
      </c>
      <c r="E1326" s="6" t="n">
        <f aca="false">ROUND($F$2*(A1326+1)^2.4*1.004^A1326,0)</f>
        <v>422949146657</v>
      </c>
      <c r="F1326" s="6" t="n">
        <f aca="false">ROUND(Building_Levels!$I$2*(A1326+1)^1.9*1.003^A1326,2)</f>
        <v>19245.69</v>
      </c>
      <c r="G1326" s="6" t="n">
        <f aca="false">ROUND((A1326+1)^1.12,1)</f>
        <v>3131.7</v>
      </c>
    </row>
    <row r="1327" customFormat="false" ht="15" hidden="false" customHeight="true" outlineLevel="0" collapsed="false">
      <c r="A1327" s="6" t="n">
        <v>1322</v>
      </c>
      <c r="B1327" s="6" t="n">
        <f aca="false">MIN(42, FLOOR(A1327/32,1)+1)</f>
        <v>42</v>
      </c>
      <c r="C1327" s="6" t="n">
        <f aca="false">ROUND($B$2*(A1327+1)^2.4*1.004^A1327,0)</f>
        <v>546958617277</v>
      </c>
      <c r="D1327" s="6" t="n">
        <f aca="false">ROUND($D$2*(A1327+1)^2.4*1.004^A1327,0)</f>
        <v>486185437580</v>
      </c>
      <c r="E1327" s="6" t="n">
        <f aca="false">ROUND($F$2*(A1327+1)^2.4*1.004^A1327,0)</f>
        <v>425412257882</v>
      </c>
      <c r="F1327" s="6" t="n">
        <f aca="false">ROUND(Building_Levels!$I$2*(A1327+1)^1.9*1.003^A1327,2)</f>
        <v>19331.18</v>
      </c>
      <c r="G1327" s="6" t="n">
        <f aca="false">ROUND((A1327+1)^1.12,1)</f>
        <v>3134.3</v>
      </c>
    </row>
    <row r="1328" customFormat="false" ht="15" hidden="false" customHeight="true" outlineLevel="0" collapsed="false">
      <c r="A1328" s="6" t="n">
        <v>1323</v>
      </c>
      <c r="B1328" s="6" t="n">
        <f aca="false">MIN(42, FLOOR(A1328/32,1)+1)</f>
        <v>42</v>
      </c>
      <c r="C1328" s="6" t="n">
        <f aca="false">ROUND($B$2*(A1328+1)^2.4*1.004^A1328,0)</f>
        <v>550143162921</v>
      </c>
      <c r="D1328" s="6" t="n">
        <f aca="false">ROUND($D$2*(A1328+1)^2.4*1.004^A1328,0)</f>
        <v>489016144818</v>
      </c>
      <c r="E1328" s="6" t="n">
        <f aca="false">ROUND($F$2*(A1328+1)^2.4*1.004^A1328,0)</f>
        <v>427889126716</v>
      </c>
      <c r="F1328" s="6" t="n">
        <f aca="false">ROUND(Building_Levels!$I$2*(A1328+1)^1.9*1.003^A1328,2)</f>
        <v>19417.02</v>
      </c>
      <c r="G1328" s="6" t="n">
        <f aca="false">ROUND((A1328+1)^1.12,1)</f>
        <v>3137</v>
      </c>
    </row>
    <row r="1329" customFormat="false" ht="15" hidden="false" customHeight="true" outlineLevel="0" collapsed="false">
      <c r="A1329" s="6" t="n">
        <v>1324</v>
      </c>
      <c r="B1329" s="6" t="n">
        <f aca="false">MIN(42, FLOOR(A1329/32,1)+1)</f>
        <v>42</v>
      </c>
      <c r="C1329" s="6" t="n">
        <f aca="false">ROUND($B$2*(A1329+1)^2.4*1.004^A1329,0)</f>
        <v>553345492291</v>
      </c>
      <c r="D1329" s="6" t="n">
        <f aca="false">ROUND($D$2*(A1329+1)^2.4*1.004^A1329,0)</f>
        <v>491862659814</v>
      </c>
      <c r="E1329" s="6" t="n">
        <f aca="false">ROUND($F$2*(A1329+1)^2.4*1.004^A1329,0)</f>
        <v>430379827337</v>
      </c>
      <c r="F1329" s="6" t="n">
        <f aca="false">ROUND(Building_Levels!$I$2*(A1329+1)^1.9*1.003^A1329,2)</f>
        <v>19503.23</v>
      </c>
      <c r="G1329" s="6" t="n">
        <f aca="false">ROUND((A1329+1)^1.12,1)</f>
        <v>3139.7</v>
      </c>
    </row>
    <row r="1330" customFormat="false" ht="15" hidden="false" customHeight="true" outlineLevel="0" collapsed="false">
      <c r="A1330" s="6" t="n">
        <v>1325</v>
      </c>
      <c r="B1330" s="6" t="n">
        <f aca="false">MIN(42, FLOOR(A1330/32,1)+1)</f>
        <v>42</v>
      </c>
      <c r="C1330" s="6" t="n">
        <f aca="false">ROUND($B$2*(A1330+1)^2.4*1.004^A1330,0)</f>
        <v>556565701260</v>
      </c>
      <c r="D1330" s="6" t="n">
        <f aca="false">ROUND($D$2*(A1330+1)^2.4*1.004^A1330,0)</f>
        <v>494725067787</v>
      </c>
      <c r="E1330" s="6" t="n">
        <f aca="false">ROUND($F$2*(A1330+1)^2.4*1.004^A1330,0)</f>
        <v>432884434314</v>
      </c>
      <c r="F1330" s="6" t="n">
        <f aca="false">ROUND(Building_Levels!$I$2*(A1330+1)^1.9*1.003^A1330,2)</f>
        <v>19589.8</v>
      </c>
      <c r="G1330" s="6" t="n">
        <f aca="false">ROUND((A1330+1)^1.12,1)</f>
        <v>3142.3</v>
      </c>
    </row>
    <row r="1331" customFormat="false" ht="15" hidden="false" customHeight="true" outlineLevel="0" collapsed="false">
      <c r="A1331" s="6" t="n">
        <v>1326</v>
      </c>
      <c r="B1331" s="6" t="n">
        <f aca="false">MIN(42, FLOOR(A1331/32,1)+1)</f>
        <v>42</v>
      </c>
      <c r="C1331" s="6" t="n">
        <f aca="false">ROUND($B$2*(A1331+1)^2.4*1.004^A1331,0)</f>
        <v>559803886205</v>
      </c>
      <c r="D1331" s="6" t="n">
        <f aca="false">ROUND($D$2*(A1331+1)^2.4*1.004^A1331,0)</f>
        <v>497603454404</v>
      </c>
      <c r="E1331" s="6" t="n">
        <f aca="false">ROUND($F$2*(A1331+1)^2.4*1.004^A1331,0)</f>
        <v>435403022604</v>
      </c>
      <c r="F1331" s="6" t="n">
        <f aca="false">ROUND(Building_Levels!$I$2*(A1331+1)^1.9*1.003^A1331,2)</f>
        <v>19676.74</v>
      </c>
      <c r="G1331" s="6" t="n">
        <f aca="false">ROUND((A1331+1)^1.12,1)</f>
        <v>3145</v>
      </c>
    </row>
    <row r="1332" customFormat="false" ht="15" hidden="false" customHeight="true" outlineLevel="0" collapsed="false">
      <c r="A1332" s="6" t="n">
        <v>1327</v>
      </c>
      <c r="B1332" s="6" t="n">
        <f aca="false">MIN(42, FLOOR(A1332/32,1)+1)</f>
        <v>42</v>
      </c>
      <c r="C1332" s="6" t="n">
        <f aca="false">ROUND($B$2*(A1332+1)^2.4*1.004^A1332,0)</f>
        <v>563060144003</v>
      </c>
      <c r="D1332" s="6" t="n">
        <f aca="false">ROUND($D$2*(A1332+1)^2.4*1.004^A1332,0)</f>
        <v>500497905780</v>
      </c>
      <c r="E1332" s="6" t="n">
        <f aca="false">ROUND($F$2*(A1332+1)^2.4*1.004^A1332,0)</f>
        <v>437935667558</v>
      </c>
      <c r="F1332" s="6" t="n">
        <f aca="false">ROUND(Building_Levels!$I$2*(A1332+1)^1.9*1.003^A1332,2)</f>
        <v>19764.03</v>
      </c>
      <c r="G1332" s="6" t="n">
        <f aca="false">ROUND((A1332+1)^1.12,1)</f>
        <v>3147.6</v>
      </c>
    </row>
    <row r="1333" customFormat="false" ht="15" hidden="false" customHeight="true" outlineLevel="0" collapsed="false">
      <c r="A1333" s="6" t="n">
        <v>1328</v>
      </c>
      <c r="B1333" s="6" t="n">
        <f aca="false">MIN(42, FLOOR(A1333/32,1)+1)</f>
        <v>42</v>
      </c>
      <c r="C1333" s="6" t="n">
        <f aca="false">ROUND($B$2*(A1333+1)^2.4*1.004^A1333,0)</f>
        <v>566334572040</v>
      </c>
      <c r="D1333" s="6" t="n">
        <f aca="false">ROUND($D$2*(A1333+1)^2.4*1.004^A1333,0)</f>
        <v>503408508480</v>
      </c>
      <c r="E1333" s="6" t="n">
        <f aca="false">ROUND($F$2*(A1333+1)^2.4*1.004^A1333,0)</f>
        <v>440482444920</v>
      </c>
      <c r="F1333" s="6" t="n">
        <f aca="false">ROUND(Building_Levels!$I$2*(A1333+1)^1.9*1.003^A1333,2)</f>
        <v>19851.7</v>
      </c>
      <c r="G1333" s="6" t="n">
        <f aca="false">ROUND((A1333+1)^1.12,1)</f>
        <v>3150.3</v>
      </c>
    </row>
    <row r="1334" customFormat="false" ht="15" hidden="false" customHeight="true" outlineLevel="0" collapsed="false">
      <c r="A1334" s="6" t="n">
        <v>1329</v>
      </c>
      <c r="B1334" s="6" t="n">
        <f aca="false">MIN(42, FLOOR(A1334/32,1)+1)</f>
        <v>42</v>
      </c>
      <c r="C1334" s="6" t="n">
        <f aca="false">ROUND($B$2*(A1334+1)^2.4*1.004^A1334,0)</f>
        <v>569627268213</v>
      </c>
      <c r="D1334" s="6" t="n">
        <f aca="false">ROUND($D$2*(A1334+1)^2.4*1.004^A1334,0)</f>
        <v>506335349523</v>
      </c>
      <c r="E1334" s="6" t="n">
        <f aca="false">ROUND($F$2*(A1334+1)^2.4*1.004^A1334,0)</f>
        <v>443043430832</v>
      </c>
      <c r="F1334" s="6" t="n">
        <f aca="false">ROUND(Building_Levels!$I$2*(A1334+1)^1.9*1.003^A1334,2)</f>
        <v>19939.73</v>
      </c>
      <c r="G1334" s="6" t="n">
        <f aca="false">ROUND((A1334+1)^1.12,1)</f>
        <v>3152.9</v>
      </c>
    </row>
    <row r="1335" customFormat="false" ht="15" hidden="false" customHeight="true" outlineLevel="0" collapsed="false">
      <c r="A1335" s="6" t="n">
        <v>1330</v>
      </c>
      <c r="B1335" s="6" t="n">
        <f aca="false">MIN(42, FLOOR(A1335/32,1)+1)</f>
        <v>42</v>
      </c>
      <c r="C1335" s="6" t="n">
        <f aca="false">ROUND($B$2*(A1335+1)^2.4*1.004^A1335,0)</f>
        <v>572938330929</v>
      </c>
      <c r="D1335" s="6" t="n">
        <f aca="false">ROUND($D$2*(A1335+1)^2.4*1.004^A1335,0)</f>
        <v>509278516381</v>
      </c>
      <c r="E1335" s="6" t="n">
        <f aca="false">ROUND($F$2*(A1335+1)^2.4*1.004^A1335,0)</f>
        <v>445618701834</v>
      </c>
      <c r="F1335" s="6" t="n">
        <f aca="false">ROUND(Building_Levels!$I$2*(A1335+1)^1.9*1.003^A1335,2)</f>
        <v>20028.13</v>
      </c>
      <c r="G1335" s="6" t="n">
        <f aca="false">ROUND((A1335+1)^1.12,1)</f>
        <v>3155.6</v>
      </c>
    </row>
    <row r="1336" customFormat="false" ht="15" hidden="false" customHeight="true" outlineLevel="0" collapsed="false">
      <c r="A1336" s="6" t="n">
        <v>1331</v>
      </c>
      <c r="B1336" s="6" t="n">
        <f aca="false">MIN(42, FLOOR(A1336/32,1)+1)</f>
        <v>42</v>
      </c>
      <c r="C1336" s="6" t="n">
        <f aca="false">ROUND($B$2*(A1336+1)^2.4*1.004^A1336,0)</f>
        <v>576267859110</v>
      </c>
      <c r="D1336" s="6" t="n">
        <f aca="false">ROUND($D$2*(A1336+1)^2.4*1.004^A1336,0)</f>
        <v>512238096987</v>
      </c>
      <c r="E1336" s="6" t="n">
        <f aca="false">ROUND($F$2*(A1336+1)^2.4*1.004^A1336,0)</f>
        <v>448208334864</v>
      </c>
      <c r="F1336" s="6" t="n">
        <f aca="false">ROUND(Building_Levels!$I$2*(A1336+1)^1.9*1.003^A1336,2)</f>
        <v>20116.9</v>
      </c>
      <c r="G1336" s="6" t="n">
        <f aca="false">ROUND((A1336+1)^1.12,1)</f>
        <v>3158.2</v>
      </c>
    </row>
    <row r="1337" customFormat="false" ht="15" hidden="false" customHeight="true" outlineLevel="0" collapsed="false">
      <c r="A1337" s="6" t="n">
        <v>1332</v>
      </c>
      <c r="B1337" s="6" t="n">
        <f aca="false">MIN(42, FLOOR(A1337/32,1)+1)</f>
        <v>42</v>
      </c>
      <c r="C1337" s="6" t="n">
        <f aca="false">ROUND($B$2*(A1337+1)^2.4*1.004^A1337,0)</f>
        <v>579615952197</v>
      </c>
      <c r="D1337" s="6" t="n">
        <f aca="false">ROUND($D$2*(A1337+1)^2.4*1.004^A1337,0)</f>
        <v>515214179731</v>
      </c>
      <c r="E1337" s="6" t="n">
        <f aca="false">ROUND($F$2*(A1337+1)^2.4*1.004^A1337,0)</f>
        <v>450812407264</v>
      </c>
      <c r="F1337" s="6" t="n">
        <f aca="false">ROUND(Building_Levels!$I$2*(A1337+1)^1.9*1.003^A1337,2)</f>
        <v>20206.04</v>
      </c>
      <c r="G1337" s="6" t="n">
        <f aca="false">ROUND((A1337+1)^1.12,1)</f>
        <v>3160.9</v>
      </c>
    </row>
    <row r="1338" customFormat="false" ht="15" hidden="false" customHeight="true" outlineLevel="0" collapsed="false">
      <c r="A1338" s="6" t="n">
        <v>1333</v>
      </c>
      <c r="B1338" s="6" t="n">
        <f aca="false">MIN(42, FLOOR(A1338/32,1)+1)</f>
        <v>42</v>
      </c>
      <c r="C1338" s="6" t="n">
        <f aca="false">ROUND($B$2*(A1338+1)^2.4*1.004^A1338,0)</f>
        <v>582982710149</v>
      </c>
      <c r="D1338" s="6" t="n">
        <f aca="false">ROUND($D$2*(A1338+1)^2.4*1.004^A1338,0)</f>
        <v>518206853465</v>
      </c>
      <c r="E1338" s="6" t="n">
        <f aca="false">ROUND($F$2*(A1338+1)^2.4*1.004^A1338,0)</f>
        <v>453430996782</v>
      </c>
      <c r="F1338" s="6" t="n">
        <f aca="false">ROUND(Building_Levels!$I$2*(A1338+1)^1.9*1.003^A1338,2)</f>
        <v>20295.55</v>
      </c>
      <c r="G1338" s="6" t="n">
        <f aca="false">ROUND((A1338+1)^1.12,1)</f>
        <v>3163.5</v>
      </c>
    </row>
    <row r="1339" customFormat="false" ht="15" hidden="false" customHeight="true" outlineLevel="0" collapsed="false">
      <c r="A1339" s="6" t="n">
        <v>1334</v>
      </c>
      <c r="B1339" s="6" t="n">
        <f aca="false">MIN(42, FLOOR(A1339/32,1)+1)</f>
        <v>42</v>
      </c>
      <c r="C1339" s="6" t="n">
        <f aca="false">ROUND($B$2*(A1339+1)^2.4*1.004^A1339,0)</f>
        <v>586368233448</v>
      </c>
      <c r="D1339" s="6" t="n">
        <f aca="false">ROUND($D$2*(A1339+1)^2.4*1.004^A1339,0)</f>
        <v>521216207509</v>
      </c>
      <c r="E1339" s="6" t="n">
        <f aca="false">ROUND($F$2*(A1339+1)^2.4*1.004^A1339,0)</f>
        <v>456064181571</v>
      </c>
      <c r="F1339" s="6" t="n">
        <f aca="false">ROUND(Building_Levels!$I$2*(A1339+1)^1.9*1.003^A1339,2)</f>
        <v>20385.44</v>
      </c>
      <c r="G1339" s="6" t="n">
        <f aca="false">ROUND((A1339+1)^1.12,1)</f>
        <v>3166.2</v>
      </c>
    </row>
    <row r="1340" customFormat="false" ht="15" hidden="false" customHeight="true" outlineLevel="0" collapsed="false">
      <c r="A1340" s="6" t="n">
        <v>1335</v>
      </c>
      <c r="B1340" s="6" t="n">
        <f aca="false">MIN(42, FLOOR(A1340/32,1)+1)</f>
        <v>42</v>
      </c>
      <c r="C1340" s="6" t="n">
        <f aca="false">ROUND($B$2*(A1340+1)^2.4*1.004^A1340,0)</f>
        <v>589772623103</v>
      </c>
      <c r="D1340" s="6" t="n">
        <f aca="false">ROUND($D$2*(A1340+1)^2.4*1.004^A1340,0)</f>
        <v>524242331647</v>
      </c>
      <c r="E1340" s="6" t="n">
        <f aca="false">ROUND($F$2*(A1340+1)^2.4*1.004^A1340,0)</f>
        <v>458712040191</v>
      </c>
      <c r="F1340" s="6" t="n">
        <f aca="false">ROUND(Building_Levels!$I$2*(A1340+1)^1.9*1.003^A1340,2)</f>
        <v>20475.71</v>
      </c>
      <c r="G1340" s="6" t="n">
        <f aca="false">ROUND((A1340+1)^1.12,1)</f>
        <v>3168.9</v>
      </c>
    </row>
    <row r="1341" customFormat="false" ht="15" hidden="false" customHeight="true" outlineLevel="0" collapsed="false">
      <c r="A1341" s="6" t="n">
        <v>1336</v>
      </c>
      <c r="B1341" s="6" t="n">
        <f aca="false">MIN(42, FLOOR(A1341/32,1)+1)</f>
        <v>42</v>
      </c>
      <c r="C1341" s="6" t="n">
        <f aca="false">ROUND($B$2*(A1341+1)^2.4*1.004^A1341,0)</f>
        <v>593195980649</v>
      </c>
      <c r="D1341" s="6" t="n">
        <f aca="false">ROUND($D$2*(A1341+1)^2.4*1.004^A1341,0)</f>
        <v>527285316132</v>
      </c>
      <c r="E1341" s="6" t="n">
        <f aca="false">ROUND($F$2*(A1341+1)^2.4*1.004^A1341,0)</f>
        <v>461374651616</v>
      </c>
      <c r="F1341" s="6" t="n">
        <f aca="false">ROUND(Building_Levels!$I$2*(A1341+1)^1.9*1.003^A1341,2)</f>
        <v>20566.35</v>
      </c>
      <c r="G1341" s="6" t="n">
        <f aca="false">ROUND((A1341+1)^1.12,1)</f>
        <v>3171.5</v>
      </c>
    </row>
    <row r="1342" customFormat="false" ht="15" hidden="false" customHeight="true" outlineLevel="0" collapsed="false">
      <c r="A1342" s="6" t="n">
        <v>1337</v>
      </c>
      <c r="B1342" s="6" t="n">
        <f aca="false">MIN(42, FLOOR(A1342/32,1)+1)</f>
        <v>42</v>
      </c>
      <c r="C1342" s="6" t="n">
        <f aca="false">ROUND($B$2*(A1342+1)^2.4*1.004^A1342,0)</f>
        <v>596638408153</v>
      </c>
      <c r="D1342" s="6" t="n">
        <f aca="false">ROUND($D$2*(A1342+1)^2.4*1.004^A1342,0)</f>
        <v>530345251691</v>
      </c>
      <c r="E1342" s="6" t="n">
        <f aca="false">ROUND($F$2*(A1342+1)^2.4*1.004^A1342,0)</f>
        <v>464052095230</v>
      </c>
      <c r="F1342" s="6" t="n">
        <f aca="false">ROUND(Building_Levels!$I$2*(A1342+1)^1.9*1.003^A1342,2)</f>
        <v>20657.38</v>
      </c>
      <c r="G1342" s="6" t="n">
        <f aca="false">ROUND((A1342+1)^1.12,1)</f>
        <v>3174.2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6"/>
    <col collapsed="false" customWidth="true" hidden="false" outlineLevel="0" max="3" min="3" style="1" width="22"/>
    <col collapsed="false" customWidth="true" hidden="false" outlineLevel="0" max="4" min="4" style="1" width="18"/>
    <col collapsed="false" customWidth="true" hidden="false" outlineLevel="0" max="7" min="5" style="1" width="10"/>
    <col collapsed="false" customWidth="true" hidden="false" outlineLevel="0" max="9" min="8" style="1" width="12"/>
    <col collapsed="false" customWidth="true" hidden="false" outlineLevel="0" max="10" min="10" style="1" width="14"/>
    <col collapsed="false" customWidth="true" hidden="false" outlineLevel="0" max="12" min="12" style="1" width="24"/>
  </cols>
  <sheetData>
    <row r="1" customFormat="false" ht="15" hidden="false" customHeight="true" outlineLevel="0" collapsed="false">
      <c r="A1" s="5" t="s">
        <v>1237</v>
      </c>
      <c r="B1" s="5" t="s">
        <v>246</v>
      </c>
      <c r="C1" s="5" t="s">
        <v>1238</v>
      </c>
      <c r="D1" s="5" t="s">
        <v>1239</v>
      </c>
      <c r="E1" s="5" t="s">
        <v>1240</v>
      </c>
      <c r="F1" s="5" t="s">
        <v>1241</v>
      </c>
      <c r="G1" s="5" t="s">
        <v>1242</v>
      </c>
      <c r="H1" s="5" t="s">
        <v>1243</v>
      </c>
      <c r="I1" s="5" t="s">
        <v>1244</v>
      </c>
      <c r="J1" s="5" t="s">
        <v>1245</v>
      </c>
      <c r="L1" s="8" t="s">
        <v>1246</v>
      </c>
    </row>
    <row r="2" customFormat="false" ht="15" hidden="false" customHeight="true" outlineLevel="0" collapsed="false">
      <c r="A2" s="6" t="s">
        <v>1247</v>
      </c>
      <c r="B2" s="6" t="n">
        <v>1</v>
      </c>
      <c r="C2" s="6" t="s">
        <v>1248</v>
      </c>
      <c r="D2" s="6" t="s">
        <v>1249</v>
      </c>
      <c r="E2" s="9" t="n">
        <v>8</v>
      </c>
      <c r="F2" s="9" t="n">
        <v>14</v>
      </c>
      <c r="G2" s="9" t="n">
        <v>60</v>
      </c>
      <c r="H2" s="9" t="n">
        <v>18</v>
      </c>
      <c r="I2" s="9" t="n">
        <v>2</v>
      </c>
      <c r="J2" s="6" t="n">
        <f aca="false">ROUND(I2*$L$2,2)</f>
        <v>0.81</v>
      </c>
      <c r="L2" s="6" t="n">
        <f aca="false">4383/(12*900)</f>
        <v>0.405833333333333</v>
      </c>
    </row>
    <row r="3" customFormat="false" ht="15" hidden="false" customHeight="true" outlineLevel="0" collapsed="false">
      <c r="A3" s="6" t="s">
        <v>1250</v>
      </c>
      <c r="B3" s="6" t="n">
        <v>1</v>
      </c>
      <c r="C3" s="6" t="s">
        <v>1251</v>
      </c>
      <c r="D3" s="6" t="s">
        <v>1252</v>
      </c>
      <c r="E3" s="9" t="n">
        <v>10</v>
      </c>
      <c r="F3" s="9" t="n">
        <v>22</v>
      </c>
      <c r="G3" s="9" t="n">
        <v>80</v>
      </c>
      <c r="H3" s="9" t="n">
        <v>16</v>
      </c>
      <c r="I3" s="9" t="n">
        <v>3</v>
      </c>
      <c r="J3" s="6" t="n">
        <f aca="false">ROUND(I3*$L$2,2)</f>
        <v>1.22</v>
      </c>
      <c r="L3" s="7" t="s">
        <v>1253</v>
      </c>
    </row>
    <row r="4" customFormat="false" ht="15" hidden="false" customHeight="true" outlineLevel="0" collapsed="false">
      <c r="A4" s="6" t="s">
        <v>1254</v>
      </c>
      <c r="B4" s="6" t="n">
        <v>1</v>
      </c>
      <c r="C4" s="6" t="s">
        <v>1255</v>
      </c>
      <c r="D4" s="6" t="s">
        <v>1256</v>
      </c>
      <c r="E4" s="9" t="n">
        <v>22</v>
      </c>
      <c r="F4" s="9" t="n">
        <v>10</v>
      </c>
      <c r="G4" s="9" t="n">
        <v>85</v>
      </c>
      <c r="H4" s="9" t="n">
        <v>17</v>
      </c>
      <c r="I4" s="9" t="n">
        <v>3</v>
      </c>
      <c r="J4" s="6" t="n">
        <f aca="false">ROUND(I4*$L$2,2)</f>
        <v>1.22</v>
      </c>
    </row>
    <row r="5" customFormat="false" ht="15" hidden="false" customHeight="true" outlineLevel="0" collapsed="false">
      <c r="A5" s="6" t="s">
        <v>1257</v>
      </c>
      <c r="B5" s="6" t="n">
        <v>1</v>
      </c>
      <c r="C5" s="6" t="s">
        <v>1258</v>
      </c>
      <c r="D5" s="6" t="s">
        <v>1259</v>
      </c>
      <c r="E5" s="9" t="n">
        <v>14</v>
      </c>
      <c r="F5" s="9" t="n">
        <v>6</v>
      </c>
      <c r="G5" s="9" t="n">
        <v>45</v>
      </c>
      <c r="H5" s="9" t="n">
        <v>18</v>
      </c>
      <c r="I5" s="9" t="n">
        <v>2</v>
      </c>
      <c r="J5" s="6" t="n">
        <f aca="false">ROUND(I5*$L$2,2)</f>
        <v>0.81</v>
      </c>
    </row>
    <row r="6" customFormat="false" ht="15" hidden="false" customHeight="true" outlineLevel="0" collapsed="false">
      <c r="A6" s="6" t="s">
        <v>1260</v>
      </c>
      <c r="B6" s="6" t="n">
        <v>1</v>
      </c>
      <c r="C6" s="6" t="s">
        <v>1261</v>
      </c>
      <c r="D6" s="6" t="s">
        <v>1259</v>
      </c>
      <c r="E6" s="9" t="n">
        <v>18</v>
      </c>
      <c r="F6" s="9" t="n">
        <v>8</v>
      </c>
      <c r="G6" s="9" t="n">
        <v>50</v>
      </c>
      <c r="H6" s="9" t="n">
        <v>19</v>
      </c>
      <c r="I6" s="9" t="n">
        <v>3</v>
      </c>
      <c r="J6" s="6" t="n">
        <f aca="false">ROUND(I6*$L$2,2)</f>
        <v>1.22</v>
      </c>
    </row>
    <row r="7" customFormat="false" ht="15" hidden="false" customHeight="true" outlineLevel="0" collapsed="false">
      <c r="A7" s="6" t="s">
        <v>1262</v>
      </c>
      <c r="B7" s="6" t="n">
        <v>1</v>
      </c>
      <c r="C7" s="6" t="s">
        <v>1263</v>
      </c>
      <c r="D7" s="6" t="s">
        <v>1264</v>
      </c>
      <c r="E7" s="9" t="n">
        <v>16</v>
      </c>
      <c r="F7" s="9" t="n">
        <v>8</v>
      </c>
      <c r="G7" s="9" t="n">
        <v>55</v>
      </c>
      <c r="H7" s="9" t="n">
        <v>26</v>
      </c>
      <c r="I7" s="9" t="n">
        <v>3</v>
      </c>
      <c r="J7" s="6" t="n">
        <f aca="false">ROUND(I7*$L$2,2)</f>
        <v>1.22</v>
      </c>
    </row>
    <row r="8" customFormat="false" ht="15" hidden="false" customHeight="true" outlineLevel="0" collapsed="false">
      <c r="A8" s="6" t="s">
        <v>1265</v>
      </c>
      <c r="B8" s="6" t="n">
        <v>1</v>
      </c>
      <c r="C8" s="6" t="s">
        <v>1266</v>
      </c>
      <c r="D8" s="6" t="s">
        <v>1267</v>
      </c>
      <c r="E8" s="9" t="n">
        <v>4</v>
      </c>
      <c r="F8" s="9" t="n">
        <v>4</v>
      </c>
      <c r="G8" s="9" t="n">
        <v>30</v>
      </c>
      <c r="H8" s="9" t="n">
        <v>34</v>
      </c>
      <c r="I8" s="9" t="n">
        <v>1</v>
      </c>
      <c r="J8" s="6" t="n">
        <f aca="false">ROUND(I8*$L$2,2)</f>
        <v>0.41</v>
      </c>
    </row>
    <row r="9" customFormat="false" ht="15" hidden="false" customHeight="true" outlineLevel="0" collapsed="false">
      <c r="A9" s="6" t="s">
        <v>1268</v>
      </c>
      <c r="B9" s="6" t="n">
        <v>1</v>
      </c>
      <c r="C9" s="6" t="s">
        <v>1269</v>
      </c>
      <c r="D9" s="6" t="s">
        <v>1270</v>
      </c>
      <c r="E9" s="9" t="n">
        <v>8</v>
      </c>
      <c r="F9" s="9" t="n">
        <v>26</v>
      </c>
      <c r="G9" s="9" t="n">
        <v>95</v>
      </c>
      <c r="H9" s="9" t="n">
        <v>15</v>
      </c>
      <c r="I9" s="9" t="n">
        <v>3</v>
      </c>
      <c r="J9" s="6" t="n">
        <f aca="false">ROUND(I9*$L$2,2)</f>
        <v>1.22</v>
      </c>
    </row>
    <row r="10" customFormat="false" ht="15" hidden="false" customHeight="true" outlineLevel="0" collapsed="false">
      <c r="A10" s="6" t="s">
        <v>1271</v>
      </c>
      <c r="B10" s="6" t="n">
        <v>1</v>
      </c>
      <c r="C10" s="6" t="s">
        <v>1272</v>
      </c>
      <c r="D10" s="6" t="s">
        <v>356</v>
      </c>
      <c r="E10" s="9" t="n">
        <v>2</v>
      </c>
      <c r="F10" s="9" t="n">
        <v>6</v>
      </c>
      <c r="G10" s="9" t="n">
        <v>50</v>
      </c>
      <c r="H10" s="9" t="n">
        <v>20</v>
      </c>
      <c r="I10" s="9" t="n">
        <v>2</v>
      </c>
      <c r="J10" s="6" t="n">
        <f aca="false">ROUND(I10*$L$2,2)</f>
        <v>0.81</v>
      </c>
    </row>
    <row r="11" customFormat="false" ht="15" hidden="false" customHeight="true" outlineLevel="0" collapsed="false">
      <c r="A11" s="6" t="s">
        <v>1273</v>
      </c>
      <c r="B11" s="6" t="n">
        <v>1</v>
      </c>
      <c r="C11" s="6" t="s">
        <v>1274</v>
      </c>
      <c r="D11" s="6" t="s">
        <v>1275</v>
      </c>
      <c r="E11" s="9" t="n">
        <v>30</v>
      </c>
      <c r="F11" s="9" t="n">
        <v>20</v>
      </c>
      <c r="G11" s="9" t="n">
        <v>120</v>
      </c>
      <c r="H11" s="9" t="n">
        <v>17</v>
      </c>
      <c r="I11" s="9" t="n">
        <v>6</v>
      </c>
      <c r="J11" s="6" t="n">
        <f aca="false">ROUND(I11*$L$2,2)</f>
        <v>2.44</v>
      </c>
    </row>
    <row r="12" customFormat="false" ht="15" hidden="false" customHeight="true" outlineLevel="0" collapsed="false">
      <c r="A12" s="6" t="s">
        <v>1276</v>
      </c>
      <c r="B12" s="6" t="n">
        <v>1</v>
      </c>
      <c r="C12" s="6" t="s">
        <v>1277</v>
      </c>
      <c r="D12" s="6" t="s">
        <v>1249</v>
      </c>
      <c r="E12" s="9" t="n">
        <v>6</v>
      </c>
      <c r="F12" s="9" t="n">
        <v>8</v>
      </c>
      <c r="G12" s="9" t="n">
        <v>50</v>
      </c>
      <c r="H12" s="9" t="n">
        <v>16</v>
      </c>
      <c r="I12" s="9" t="n">
        <v>1</v>
      </c>
      <c r="J12" s="6" t="n">
        <f aca="false">ROUND(I12*$L$2,2)</f>
        <v>0.41</v>
      </c>
    </row>
    <row r="13" customFormat="false" ht="15" hidden="false" customHeight="true" outlineLevel="0" collapsed="false">
      <c r="A13" s="6" t="s">
        <v>1278</v>
      </c>
      <c r="B13" s="6" t="n">
        <v>1</v>
      </c>
      <c r="C13" s="6" t="s">
        <v>1279</v>
      </c>
      <c r="D13" s="6" t="s">
        <v>1264</v>
      </c>
      <c r="E13" s="9" t="n">
        <v>14</v>
      </c>
      <c r="F13" s="9" t="n">
        <v>6</v>
      </c>
      <c r="G13" s="9" t="n">
        <v>40</v>
      </c>
      <c r="H13" s="9" t="n">
        <v>30</v>
      </c>
      <c r="I13" s="9" t="n">
        <v>2</v>
      </c>
      <c r="J13" s="6" t="n">
        <f aca="false">ROUND(I13*$L$2,2)</f>
        <v>0.81</v>
      </c>
    </row>
    <row r="14" customFormat="false" ht="15" hidden="false" customHeight="true" outlineLevel="0" collapsed="false">
      <c r="A14" s="6" t="s">
        <v>1280</v>
      </c>
      <c r="B14" s="6" t="n">
        <v>1</v>
      </c>
      <c r="C14" s="6" t="s">
        <v>1281</v>
      </c>
      <c r="D14" s="6" t="s">
        <v>1275</v>
      </c>
      <c r="E14" s="9" t="n">
        <v>26</v>
      </c>
      <c r="F14" s="9" t="n">
        <v>16</v>
      </c>
      <c r="G14" s="9" t="n">
        <v>105</v>
      </c>
      <c r="H14" s="9" t="n">
        <v>16</v>
      </c>
      <c r="I14" s="9" t="n">
        <v>5</v>
      </c>
      <c r="J14" s="6" t="n">
        <f aca="false">ROUND(I14*$L$2,2)</f>
        <v>2.03</v>
      </c>
    </row>
    <row r="15" customFormat="false" ht="15" hidden="false" customHeight="true" outlineLevel="0" collapsed="false">
      <c r="A15" s="6" t="s">
        <v>1282</v>
      </c>
      <c r="B15" s="6" t="n">
        <v>1</v>
      </c>
      <c r="C15" s="6" t="s">
        <v>1283</v>
      </c>
      <c r="D15" s="6" t="s">
        <v>1284</v>
      </c>
      <c r="E15" s="9" t="n">
        <v>20</v>
      </c>
      <c r="F15" s="9" t="n">
        <v>4</v>
      </c>
      <c r="G15" s="9" t="n">
        <v>60</v>
      </c>
      <c r="H15" s="9" t="n">
        <v>8</v>
      </c>
      <c r="I15" s="9" t="n">
        <v>4</v>
      </c>
      <c r="J15" s="6" t="n">
        <f aca="false">ROUND(I15*$L$2,2)</f>
        <v>1.62</v>
      </c>
    </row>
    <row r="16" customFormat="false" ht="15" hidden="false" customHeight="true" outlineLevel="0" collapsed="false">
      <c r="A16" s="6" t="s">
        <v>1285</v>
      </c>
      <c r="B16" s="6" t="n">
        <v>1</v>
      </c>
      <c r="C16" s="6" t="s">
        <v>1286</v>
      </c>
      <c r="D16" s="6" t="s">
        <v>1287</v>
      </c>
      <c r="E16" s="9" t="n">
        <v>6</v>
      </c>
      <c r="F16" s="9" t="n">
        <v>6</v>
      </c>
      <c r="G16" s="9" t="n">
        <v>40</v>
      </c>
      <c r="H16" s="9" t="n">
        <v>15</v>
      </c>
      <c r="I16" s="9" t="n">
        <v>4</v>
      </c>
      <c r="J16" s="6" t="n">
        <f aca="false">ROUND(I16*$L$2,2)</f>
        <v>1.62</v>
      </c>
    </row>
    <row r="17" customFormat="false" ht="15" hidden="false" customHeight="true" outlineLevel="0" collapsed="false">
      <c r="A17" s="6" t="s">
        <v>1288</v>
      </c>
      <c r="B17" s="6" t="n">
        <v>1</v>
      </c>
      <c r="C17" s="6" t="s">
        <v>1289</v>
      </c>
      <c r="D17" s="6" t="s">
        <v>1287</v>
      </c>
      <c r="E17" s="9" t="n">
        <v>10</v>
      </c>
      <c r="F17" s="9" t="n">
        <v>8</v>
      </c>
      <c r="G17" s="9" t="n">
        <v>55</v>
      </c>
      <c r="H17" s="9" t="n">
        <v>20</v>
      </c>
      <c r="I17" s="9" t="n">
        <v>4</v>
      </c>
      <c r="J17" s="6" t="n">
        <f aca="false">ROUND(I17*$L$2,2)</f>
        <v>1.62</v>
      </c>
    </row>
    <row r="18" customFormat="false" ht="15" hidden="false" customHeight="true" outlineLevel="0" collapsed="false">
      <c r="A18" s="6" t="s">
        <v>1290</v>
      </c>
      <c r="B18" s="6" t="n">
        <v>1</v>
      </c>
      <c r="C18" s="6" t="s">
        <v>1291</v>
      </c>
      <c r="D18" s="6" t="s">
        <v>1292</v>
      </c>
      <c r="E18" s="9" t="n">
        <v>20</v>
      </c>
      <c r="F18" s="9" t="n">
        <v>14</v>
      </c>
      <c r="G18" s="9" t="n">
        <v>70</v>
      </c>
      <c r="H18" s="9" t="n">
        <v>20</v>
      </c>
      <c r="I18" s="9" t="n">
        <v>5</v>
      </c>
      <c r="J18" s="6" t="n">
        <f aca="false">ROUND(I18*$L$2,2)</f>
        <v>2.03</v>
      </c>
    </row>
    <row r="19" customFormat="false" ht="15" hidden="false" customHeight="true" outlineLevel="0" collapsed="false">
      <c r="A19" s="6" t="s">
        <v>1293</v>
      </c>
      <c r="B19" s="6" t="n">
        <v>1</v>
      </c>
      <c r="C19" s="6" t="s">
        <v>1294</v>
      </c>
      <c r="D19" s="6" t="s">
        <v>1292</v>
      </c>
      <c r="E19" s="9" t="n">
        <v>26</v>
      </c>
      <c r="F19" s="9" t="n">
        <v>22</v>
      </c>
      <c r="G19" s="9" t="n">
        <v>110</v>
      </c>
      <c r="H19" s="9" t="n">
        <v>18</v>
      </c>
      <c r="I19" s="9" t="n">
        <v>6</v>
      </c>
      <c r="J19" s="6" t="n">
        <f aca="false">ROUND(I19*$L$2,2)</f>
        <v>2.44</v>
      </c>
    </row>
    <row r="20" customFormat="false" ht="15" hidden="false" customHeight="true" outlineLevel="0" collapsed="false">
      <c r="A20" s="6" t="s">
        <v>1295</v>
      </c>
      <c r="B20" s="6" t="n">
        <v>2</v>
      </c>
      <c r="C20" s="6" t="s">
        <v>1296</v>
      </c>
      <c r="D20" s="6" t="s">
        <v>1249</v>
      </c>
      <c r="E20" s="9" t="n">
        <v>26</v>
      </c>
      <c r="F20" s="9" t="n">
        <v>24</v>
      </c>
      <c r="G20" s="9" t="n">
        <v>110</v>
      </c>
      <c r="H20" s="9" t="n">
        <v>16</v>
      </c>
      <c r="I20" s="9" t="n">
        <v>4</v>
      </c>
      <c r="J20" s="6" t="n">
        <f aca="false">ROUND(I20*$L$2,2)</f>
        <v>1.62</v>
      </c>
    </row>
    <row r="21" customFormat="false" ht="15" hidden="false" customHeight="true" outlineLevel="0" collapsed="false">
      <c r="A21" s="6" t="s">
        <v>1297</v>
      </c>
      <c r="B21" s="6" t="n">
        <v>2</v>
      </c>
      <c r="C21" s="6" t="s">
        <v>1298</v>
      </c>
      <c r="D21" s="6" t="s">
        <v>1252</v>
      </c>
      <c r="E21" s="9" t="n">
        <v>20</v>
      </c>
      <c r="F21" s="9" t="n">
        <v>34</v>
      </c>
      <c r="G21" s="9" t="n">
        <v>120</v>
      </c>
      <c r="H21" s="9" t="n">
        <v>14</v>
      </c>
      <c r="I21" s="9" t="n">
        <v>4</v>
      </c>
      <c r="J21" s="6" t="n">
        <f aca="false">ROUND(I21*$L$2,2)</f>
        <v>1.62</v>
      </c>
    </row>
    <row r="22" customFormat="false" ht="15" hidden="false" customHeight="true" outlineLevel="0" collapsed="false">
      <c r="A22" s="6" t="s">
        <v>1299</v>
      </c>
      <c r="B22" s="6" t="n">
        <v>2</v>
      </c>
      <c r="C22" s="6" t="s">
        <v>1300</v>
      </c>
      <c r="D22" s="6" t="s">
        <v>1259</v>
      </c>
      <c r="E22" s="9" t="n">
        <v>30</v>
      </c>
      <c r="F22" s="9" t="n">
        <v>12</v>
      </c>
      <c r="G22" s="9" t="n">
        <v>70</v>
      </c>
      <c r="H22" s="9" t="n">
        <v>15</v>
      </c>
      <c r="I22" s="9" t="n">
        <v>4</v>
      </c>
      <c r="J22" s="6" t="n">
        <f aca="false">ROUND(I22*$L$2,2)</f>
        <v>1.62</v>
      </c>
    </row>
    <row r="23" customFormat="false" ht="15" hidden="false" customHeight="true" outlineLevel="0" collapsed="false">
      <c r="A23" s="6" t="s">
        <v>1301</v>
      </c>
      <c r="B23" s="6" t="n">
        <v>2</v>
      </c>
      <c r="C23" s="6" t="s">
        <v>1302</v>
      </c>
      <c r="D23" s="6" t="s">
        <v>1259</v>
      </c>
      <c r="E23" s="9" t="n">
        <v>34</v>
      </c>
      <c r="F23" s="9" t="n">
        <v>10</v>
      </c>
      <c r="G23" s="9" t="n">
        <v>65</v>
      </c>
      <c r="H23" s="9" t="n">
        <v>15</v>
      </c>
      <c r="I23" s="9" t="n">
        <v>5</v>
      </c>
      <c r="J23" s="6" t="n">
        <f aca="false">ROUND(I23*$L$2,2)</f>
        <v>2.03</v>
      </c>
    </row>
    <row r="24" customFormat="false" ht="15" hidden="false" customHeight="true" outlineLevel="0" collapsed="false">
      <c r="A24" s="6" t="s">
        <v>1303</v>
      </c>
      <c r="B24" s="6" t="n">
        <v>2</v>
      </c>
      <c r="C24" s="6" t="s">
        <v>1304</v>
      </c>
      <c r="D24" s="6" t="s">
        <v>1267</v>
      </c>
      <c r="E24" s="9" t="n">
        <v>14</v>
      </c>
      <c r="F24" s="9" t="n">
        <v>10</v>
      </c>
      <c r="G24" s="9" t="n">
        <v>70</v>
      </c>
      <c r="H24" s="9" t="n">
        <v>40</v>
      </c>
      <c r="I24" s="9" t="n">
        <v>4</v>
      </c>
      <c r="J24" s="6" t="n">
        <f aca="false">ROUND(I24*$L$2,2)</f>
        <v>1.62</v>
      </c>
    </row>
    <row r="25" customFormat="false" ht="15" hidden="false" customHeight="true" outlineLevel="0" collapsed="false">
      <c r="A25" s="6" t="s">
        <v>1305</v>
      </c>
      <c r="B25" s="6" t="n">
        <v>2</v>
      </c>
      <c r="C25" s="6" t="s">
        <v>1306</v>
      </c>
      <c r="D25" s="6" t="s">
        <v>1307</v>
      </c>
      <c r="E25" s="9" t="n">
        <v>40</v>
      </c>
      <c r="F25" s="9" t="n">
        <v>18</v>
      </c>
      <c r="G25" s="9" t="n">
        <v>110</v>
      </c>
      <c r="H25" s="9" t="n">
        <v>34</v>
      </c>
      <c r="I25" s="9" t="n">
        <v>6</v>
      </c>
      <c r="J25" s="6" t="n">
        <f aca="false">ROUND(I25*$L$2,2)</f>
        <v>2.44</v>
      </c>
    </row>
    <row r="26" customFormat="false" ht="15" hidden="false" customHeight="true" outlineLevel="0" collapsed="false">
      <c r="A26" s="6" t="s">
        <v>1308</v>
      </c>
      <c r="B26" s="6" t="n">
        <v>2</v>
      </c>
      <c r="C26" s="6" t="s">
        <v>1309</v>
      </c>
      <c r="D26" s="6" t="s">
        <v>1275</v>
      </c>
      <c r="E26" s="9" t="n">
        <v>52</v>
      </c>
      <c r="F26" s="9" t="n">
        <v>36</v>
      </c>
      <c r="G26" s="9" t="n">
        <v>160</v>
      </c>
      <c r="H26" s="9" t="n">
        <v>30</v>
      </c>
      <c r="I26" s="9" t="n">
        <v>9</v>
      </c>
      <c r="J26" s="6" t="n">
        <f aca="false">ROUND(I26*$L$2,2)</f>
        <v>3.65</v>
      </c>
    </row>
    <row r="27" customFormat="false" ht="15" hidden="false" customHeight="true" outlineLevel="0" collapsed="false">
      <c r="A27" s="6" t="s">
        <v>1310</v>
      </c>
      <c r="B27" s="6" t="n">
        <v>2</v>
      </c>
      <c r="C27" s="6" t="s">
        <v>1311</v>
      </c>
      <c r="D27" s="6" t="s">
        <v>1264</v>
      </c>
      <c r="E27" s="9" t="n">
        <v>28</v>
      </c>
      <c r="F27" s="9" t="n">
        <v>12</v>
      </c>
      <c r="G27" s="9" t="n">
        <v>75</v>
      </c>
      <c r="H27" s="9" t="n">
        <v>38</v>
      </c>
      <c r="I27" s="9" t="n">
        <v>6</v>
      </c>
      <c r="J27" s="6" t="n">
        <f aca="false">ROUND(I27*$L$2,2)</f>
        <v>2.44</v>
      </c>
    </row>
    <row r="28" customFormat="false" ht="15" hidden="false" customHeight="true" outlineLevel="0" collapsed="false">
      <c r="A28" s="6" t="s">
        <v>1312</v>
      </c>
      <c r="B28" s="6" t="n">
        <v>2</v>
      </c>
      <c r="C28" s="6" t="s">
        <v>1313</v>
      </c>
      <c r="D28" s="6" t="s">
        <v>1284</v>
      </c>
      <c r="E28" s="9" t="n">
        <v>30</v>
      </c>
      <c r="F28" s="9" t="n">
        <v>20</v>
      </c>
      <c r="G28" s="9" t="n">
        <v>180</v>
      </c>
      <c r="H28" s="9" t="n">
        <v>8</v>
      </c>
      <c r="I28" s="9" t="n">
        <v>6</v>
      </c>
      <c r="J28" s="6" t="n">
        <f aca="false">ROUND(I28*$L$2,2)</f>
        <v>2.44</v>
      </c>
    </row>
    <row r="29" customFormat="false" ht="15" hidden="false" customHeight="true" outlineLevel="0" collapsed="false">
      <c r="A29" s="6" t="s">
        <v>1314</v>
      </c>
      <c r="B29" s="6" t="n">
        <v>2</v>
      </c>
      <c r="C29" s="6" t="s">
        <v>1315</v>
      </c>
      <c r="D29" s="6" t="s">
        <v>1284</v>
      </c>
      <c r="E29" s="9" t="n">
        <v>44</v>
      </c>
      <c r="F29" s="9" t="n">
        <v>8</v>
      </c>
      <c r="G29" s="9" t="n">
        <v>90</v>
      </c>
      <c r="H29" s="9" t="n">
        <v>7</v>
      </c>
      <c r="I29" s="9" t="n">
        <v>7</v>
      </c>
      <c r="J29" s="6" t="n">
        <f aca="false">ROUND(I29*$L$2,2)</f>
        <v>2.84</v>
      </c>
    </row>
    <row r="30" customFormat="false" ht="15" hidden="false" customHeight="true" outlineLevel="0" collapsed="false">
      <c r="A30" s="6" t="s">
        <v>1316</v>
      </c>
      <c r="B30" s="6" t="n">
        <v>2</v>
      </c>
      <c r="C30" s="6" t="s">
        <v>1317</v>
      </c>
      <c r="D30" s="6" t="s">
        <v>1284</v>
      </c>
      <c r="E30" s="9" t="n">
        <v>60</v>
      </c>
      <c r="F30" s="9" t="n">
        <v>8</v>
      </c>
      <c r="G30" s="9" t="n">
        <v>100</v>
      </c>
      <c r="H30" s="9" t="n">
        <v>6</v>
      </c>
      <c r="I30" s="9" t="n">
        <v>9</v>
      </c>
      <c r="J30" s="6" t="n">
        <f aca="false">ROUND(I30*$L$2,2)</f>
        <v>3.65</v>
      </c>
    </row>
    <row r="31" customFormat="false" ht="15" hidden="false" customHeight="true" outlineLevel="0" collapsed="false">
      <c r="A31" s="6" t="s">
        <v>1318</v>
      </c>
      <c r="B31" s="6" t="n">
        <v>2</v>
      </c>
      <c r="C31" s="6" t="s">
        <v>1319</v>
      </c>
      <c r="D31" s="6" t="s">
        <v>1320</v>
      </c>
      <c r="E31" s="9" t="n">
        <v>6</v>
      </c>
      <c r="F31" s="9" t="n">
        <v>10</v>
      </c>
      <c r="G31" s="9" t="n">
        <v>80</v>
      </c>
      <c r="H31" s="9" t="n">
        <v>12</v>
      </c>
      <c r="I31" s="9" t="n">
        <v>20</v>
      </c>
      <c r="J31" s="6" t="n">
        <f aca="false">ROUND(I31*$L$2,2)</f>
        <v>8.12</v>
      </c>
    </row>
    <row r="32" customFormat="false" ht="15" hidden="false" customHeight="true" outlineLevel="0" collapsed="false">
      <c r="A32" s="6" t="s">
        <v>1321</v>
      </c>
      <c r="B32" s="6" t="n">
        <v>2</v>
      </c>
      <c r="C32" s="6" t="s">
        <v>1322</v>
      </c>
      <c r="D32" s="6" t="s">
        <v>1323</v>
      </c>
      <c r="E32" s="9" t="n">
        <v>4</v>
      </c>
      <c r="F32" s="9" t="n">
        <v>4</v>
      </c>
      <c r="G32" s="9" t="n">
        <v>35</v>
      </c>
      <c r="H32" s="9" t="n">
        <v>24</v>
      </c>
      <c r="I32" s="9" t="n">
        <v>6</v>
      </c>
      <c r="J32" s="6" t="n">
        <f aca="false">ROUND(I32*$L$2,2)</f>
        <v>2.44</v>
      </c>
    </row>
    <row r="33" customFormat="false" ht="15" hidden="false" customHeight="true" outlineLevel="0" collapsed="false">
      <c r="A33" s="6" t="s">
        <v>1324</v>
      </c>
      <c r="B33" s="6" t="n">
        <v>2</v>
      </c>
      <c r="C33" s="6" t="s">
        <v>1325</v>
      </c>
      <c r="D33" s="6" t="s">
        <v>356</v>
      </c>
      <c r="E33" s="9" t="n">
        <v>2</v>
      </c>
      <c r="F33" s="9" t="n">
        <v>10</v>
      </c>
      <c r="G33" s="9" t="n">
        <v>120</v>
      </c>
      <c r="H33" s="9" t="n">
        <v>14</v>
      </c>
      <c r="I33" s="9" t="n">
        <v>4</v>
      </c>
      <c r="J33" s="6" t="n">
        <f aca="false">ROUND(I33*$L$2,2)</f>
        <v>1.62</v>
      </c>
    </row>
    <row r="34" customFormat="false" ht="15" hidden="false" customHeight="true" outlineLevel="0" collapsed="false">
      <c r="A34" s="6" t="s">
        <v>1326</v>
      </c>
      <c r="B34" s="6" t="n">
        <v>2</v>
      </c>
      <c r="C34" s="6" t="s">
        <v>1327</v>
      </c>
      <c r="D34" s="6" t="s">
        <v>1252</v>
      </c>
      <c r="E34" s="9" t="n">
        <v>26</v>
      </c>
      <c r="F34" s="9" t="n">
        <v>30</v>
      </c>
      <c r="G34" s="9" t="n">
        <v>125</v>
      </c>
      <c r="H34" s="9" t="n">
        <v>14</v>
      </c>
      <c r="I34" s="9" t="n">
        <v>5</v>
      </c>
      <c r="J34" s="6" t="n">
        <f aca="false">ROUND(I34*$L$2,2)</f>
        <v>2.03</v>
      </c>
    </row>
    <row r="35" customFormat="false" ht="15" hidden="false" customHeight="true" outlineLevel="0" collapsed="false">
      <c r="A35" s="6" t="s">
        <v>1328</v>
      </c>
      <c r="B35" s="6" t="n">
        <v>2</v>
      </c>
      <c r="C35" s="6" t="s">
        <v>1329</v>
      </c>
      <c r="D35" s="6" t="s">
        <v>1249</v>
      </c>
      <c r="E35" s="9" t="n">
        <v>30</v>
      </c>
      <c r="F35" s="9" t="n">
        <v>28</v>
      </c>
      <c r="G35" s="9" t="n">
        <v>120</v>
      </c>
      <c r="H35" s="9" t="n">
        <v>15</v>
      </c>
      <c r="I35" s="9" t="n">
        <v>5</v>
      </c>
      <c r="J35" s="6" t="n">
        <f aca="false">ROUND(I35*$L$2,2)</f>
        <v>2.03</v>
      </c>
    </row>
    <row r="36" customFormat="false" ht="15" hidden="false" customHeight="true" outlineLevel="0" collapsed="false">
      <c r="A36" s="6" t="s">
        <v>1330</v>
      </c>
      <c r="B36" s="6" t="n">
        <v>2</v>
      </c>
      <c r="C36" s="6" t="s">
        <v>1331</v>
      </c>
      <c r="D36" s="6" t="s">
        <v>1292</v>
      </c>
      <c r="E36" s="9" t="n">
        <v>38</v>
      </c>
      <c r="F36" s="9" t="n">
        <v>26</v>
      </c>
      <c r="G36" s="9" t="n">
        <v>120</v>
      </c>
      <c r="H36" s="9" t="n">
        <v>20</v>
      </c>
      <c r="I36" s="9" t="n">
        <v>8</v>
      </c>
      <c r="J36" s="6" t="n">
        <f aca="false">ROUND(I36*$L$2,2)</f>
        <v>3.25</v>
      </c>
    </row>
    <row r="37" customFormat="false" ht="15" hidden="false" customHeight="true" outlineLevel="0" collapsed="false">
      <c r="A37" s="6" t="s">
        <v>1332</v>
      </c>
      <c r="B37" s="6" t="n">
        <v>2</v>
      </c>
      <c r="C37" s="6" t="s">
        <v>1333</v>
      </c>
      <c r="D37" s="6" t="s">
        <v>1292</v>
      </c>
      <c r="E37" s="9" t="n">
        <v>30</v>
      </c>
      <c r="F37" s="9" t="n">
        <v>34</v>
      </c>
      <c r="G37" s="9" t="n">
        <v>110</v>
      </c>
      <c r="H37" s="9" t="n">
        <v>16</v>
      </c>
      <c r="I37" s="9" t="n">
        <v>8</v>
      </c>
      <c r="J37" s="6" t="n">
        <f aca="false">ROUND(I37*$L$2,2)</f>
        <v>3.25</v>
      </c>
    </row>
    <row r="38" customFormat="false" ht="15" hidden="false" customHeight="true" outlineLevel="0" collapsed="false">
      <c r="A38" s="6" t="s">
        <v>1334</v>
      </c>
      <c r="B38" s="6" t="n">
        <v>3</v>
      </c>
      <c r="C38" s="6" t="s">
        <v>1335</v>
      </c>
      <c r="D38" s="6" t="s">
        <v>1249</v>
      </c>
      <c r="E38" s="9" t="n">
        <v>44</v>
      </c>
      <c r="F38" s="9" t="n">
        <v>26</v>
      </c>
      <c r="G38" s="9" t="n">
        <v>115</v>
      </c>
      <c r="H38" s="9" t="n">
        <v>15</v>
      </c>
      <c r="I38" s="9" t="n">
        <v>6</v>
      </c>
      <c r="J38" s="6" t="n">
        <f aca="false">ROUND(I38*$L$2,2)</f>
        <v>2.44</v>
      </c>
    </row>
    <row r="39" customFormat="false" ht="15" hidden="false" customHeight="true" outlineLevel="0" collapsed="false">
      <c r="A39" s="6" t="s">
        <v>1336</v>
      </c>
      <c r="B39" s="6" t="n">
        <v>3</v>
      </c>
      <c r="C39" s="6" t="s">
        <v>1337</v>
      </c>
      <c r="D39" s="6" t="s">
        <v>1256</v>
      </c>
      <c r="E39" s="9" t="n">
        <v>54</v>
      </c>
      <c r="F39" s="9" t="n">
        <v>28</v>
      </c>
      <c r="G39" s="9" t="n">
        <v>125</v>
      </c>
      <c r="H39" s="9" t="n">
        <v>15</v>
      </c>
      <c r="I39" s="9" t="n">
        <v>8</v>
      </c>
      <c r="J39" s="6" t="n">
        <f aca="false">ROUND(I39*$L$2,2)</f>
        <v>3.25</v>
      </c>
    </row>
    <row r="40" customFormat="false" ht="15" hidden="false" customHeight="true" outlineLevel="0" collapsed="false">
      <c r="A40" s="6" t="s">
        <v>1338</v>
      </c>
      <c r="B40" s="6" t="n">
        <v>3</v>
      </c>
      <c r="C40" s="6" t="s">
        <v>1339</v>
      </c>
      <c r="D40" s="6" t="s">
        <v>1264</v>
      </c>
      <c r="E40" s="9" t="n">
        <v>46</v>
      </c>
      <c r="F40" s="9" t="n">
        <v>22</v>
      </c>
      <c r="G40" s="9" t="n">
        <v>110</v>
      </c>
      <c r="H40" s="9" t="n">
        <v>32</v>
      </c>
      <c r="I40" s="9" t="n">
        <v>8</v>
      </c>
      <c r="J40" s="6" t="n">
        <f aca="false">ROUND(I40*$L$2,2)</f>
        <v>3.25</v>
      </c>
    </row>
    <row r="41" customFormat="false" ht="15" hidden="false" customHeight="true" outlineLevel="0" collapsed="false">
      <c r="A41" s="6" t="s">
        <v>1340</v>
      </c>
      <c r="B41" s="6" t="n">
        <v>3</v>
      </c>
      <c r="C41" s="6" t="s">
        <v>1341</v>
      </c>
      <c r="D41" s="6" t="s">
        <v>1307</v>
      </c>
      <c r="E41" s="9" t="n">
        <v>62</v>
      </c>
      <c r="F41" s="9" t="n">
        <v>34</v>
      </c>
      <c r="G41" s="9" t="n">
        <v>150</v>
      </c>
      <c r="H41" s="9" t="n">
        <v>30</v>
      </c>
      <c r="I41" s="9" t="n">
        <v>10</v>
      </c>
      <c r="J41" s="6" t="n">
        <f aca="false">ROUND(I41*$L$2,2)</f>
        <v>4.06</v>
      </c>
    </row>
    <row r="42" customFormat="false" ht="15" hidden="false" customHeight="true" outlineLevel="0" collapsed="false">
      <c r="A42" s="6" t="s">
        <v>1342</v>
      </c>
      <c r="B42" s="6" t="n">
        <v>3</v>
      </c>
      <c r="C42" s="6" t="s">
        <v>1343</v>
      </c>
      <c r="D42" s="6" t="s">
        <v>1284</v>
      </c>
      <c r="E42" s="9" t="n">
        <v>80</v>
      </c>
      <c r="F42" s="9" t="n">
        <v>10</v>
      </c>
      <c r="G42" s="9" t="n">
        <v>110</v>
      </c>
      <c r="H42" s="9" t="n">
        <v>8</v>
      </c>
      <c r="I42" s="9" t="n">
        <v>11</v>
      </c>
      <c r="J42" s="6" t="n">
        <f aca="false">ROUND(I42*$L$2,2)</f>
        <v>4.46</v>
      </c>
    </row>
    <row r="43" customFormat="false" ht="15" hidden="false" customHeight="true" outlineLevel="0" collapsed="false">
      <c r="A43" s="6" t="s">
        <v>1344</v>
      </c>
      <c r="B43" s="6" t="n">
        <v>3</v>
      </c>
      <c r="C43" s="6" t="s">
        <v>1345</v>
      </c>
      <c r="D43" s="6" t="s">
        <v>1284</v>
      </c>
      <c r="E43" s="9" t="n">
        <v>95</v>
      </c>
      <c r="F43" s="9" t="n">
        <v>8</v>
      </c>
      <c r="G43" s="9" t="n">
        <v>115</v>
      </c>
      <c r="H43" s="9" t="n">
        <v>6</v>
      </c>
      <c r="I43" s="9" t="n">
        <v>13</v>
      </c>
      <c r="J43" s="6" t="n">
        <f aca="false">ROUND(I43*$L$2,2)</f>
        <v>5.28</v>
      </c>
    </row>
    <row r="44" customFormat="false" ht="15" hidden="false" customHeight="true" outlineLevel="0" collapsed="false">
      <c r="A44" s="6" t="s">
        <v>1346</v>
      </c>
      <c r="B44" s="6" t="n">
        <v>3</v>
      </c>
      <c r="C44" s="6" t="s">
        <v>1347</v>
      </c>
      <c r="D44" s="6" t="s">
        <v>1284</v>
      </c>
      <c r="E44" s="9" t="n">
        <v>34</v>
      </c>
      <c r="F44" s="9" t="n">
        <v>20</v>
      </c>
      <c r="G44" s="9" t="n">
        <v>100</v>
      </c>
      <c r="H44" s="9" t="n">
        <v>13</v>
      </c>
      <c r="I44" s="9" t="n">
        <v>8</v>
      </c>
      <c r="J44" s="6" t="n">
        <f aca="false">ROUND(I44*$L$2,2)</f>
        <v>3.25</v>
      </c>
    </row>
    <row r="45" customFormat="false" ht="15" hidden="false" customHeight="true" outlineLevel="0" collapsed="false">
      <c r="A45" s="6" t="s">
        <v>1348</v>
      </c>
      <c r="B45" s="6" t="n">
        <v>3</v>
      </c>
      <c r="C45" s="6" t="s">
        <v>1349</v>
      </c>
      <c r="D45" s="6" t="s">
        <v>1320</v>
      </c>
      <c r="E45" s="9" t="n">
        <v>8</v>
      </c>
      <c r="F45" s="9" t="n">
        <v>14</v>
      </c>
      <c r="G45" s="9" t="n">
        <v>95</v>
      </c>
      <c r="H45" s="9" t="n">
        <v>12</v>
      </c>
      <c r="I45" s="9" t="n">
        <v>28</v>
      </c>
      <c r="J45" s="6" t="n">
        <f aca="false">ROUND(I45*$L$2,2)</f>
        <v>11.36</v>
      </c>
    </row>
    <row r="46" customFormat="false" ht="15" hidden="false" customHeight="true" outlineLevel="0" collapsed="false">
      <c r="A46" s="6" t="s">
        <v>1350</v>
      </c>
      <c r="B46" s="6" t="n">
        <v>3</v>
      </c>
      <c r="C46" s="6" t="s">
        <v>1351</v>
      </c>
      <c r="D46" s="6" t="s">
        <v>1352</v>
      </c>
      <c r="E46" s="9" t="n">
        <v>60</v>
      </c>
      <c r="F46" s="9" t="n">
        <v>26</v>
      </c>
      <c r="G46" s="9" t="n">
        <v>180</v>
      </c>
      <c r="H46" s="9" t="n">
        <v>30</v>
      </c>
      <c r="I46" s="9" t="n">
        <v>10</v>
      </c>
      <c r="J46" s="6" t="n">
        <f aca="false">ROUND(I46*$L$2,2)</f>
        <v>4.06</v>
      </c>
    </row>
    <row r="47" customFormat="false" ht="15" hidden="false" customHeight="true" outlineLevel="0" collapsed="false">
      <c r="A47" s="6" t="s">
        <v>1353</v>
      </c>
      <c r="B47" s="6" t="n">
        <v>3</v>
      </c>
      <c r="C47" s="6" t="s">
        <v>1354</v>
      </c>
      <c r="D47" s="6" t="s">
        <v>1355</v>
      </c>
      <c r="E47" s="9" t="n">
        <v>40</v>
      </c>
      <c r="F47" s="9" t="n">
        <v>20</v>
      </c>
      <c r="G47" s="9" t="n">
        <v>140</v>
      </c>
      <c r="H47" s="9" t="n">
        <v>34</v>
      </c>
      <c r="I47" s="9" t="n">
        <v>8</v>
      </c>
      <c r="J47" s="6" t="n">
        <f aca="false">ROUND(I47*$L$2,2)</f>
        <v>3.25</v>
      </c>
    </row>
    <row r="48" customFormat="false" ht="15" hidden="false" customHeight="true" outlineLevel="0" collapsed="false">
      <c r="A48" s="6" t="s">
        <v>1356</v>
      </c>
      <c r="B48" s="6" t="n">
        <v>3</v>
      </c>
      <c r="C48" s="6" t="s">
        <v>1357</v>
      </c>
      <c r="D48" s="6" t="s">
        <v>1355</v>
      </c>
      <c r="E48" s="9" t="n">
        <v>72</v>
      </c>
      <c r="F48" s="9" t="n">
        <v>44</v>
      </c>
      <c r="G48" s="9" t="n">
        <v>260</v>
      </c>
      <c r="H48" s="9" t="n">
        <v>28</v>
      </c>
      <c r="I48" s="9" t="n">
        <v>13</v>
      </c>
      <c r="J48" s="6" t="n">
        <f aca="false">ROUND(I48*$L$2,2)</f>
        <v>5.28</v>
      </c>
    </row>
    <row r="49" customFormat="false" ht="15" hidden="false" customHeight="true" outlineLevel="0" collapsed="false">
      <c r="A49" s="6" t="s">
        <v>1358</v>
      </c>
      <c r="B49" s="6" t="n">
        <v>3</v>
      </c>
      <c r="C49" s="6" t="s">
        <v>1359</v>
      </c>
      <c r="D49" s="6" t="s">
        <v>1360</v>
      </c>
      <c r="E49" s="9" t="n">
        <v>44</v>
      </c>
      <c r="F49" s="9" t="n">
        <v>50</v>
      </c>
      <c r="G49" s="9" t="n">
        <v>320</v>
      </c>
      <c r="H49" s="9" t="n">
        <v>22</v>
      </c>
      <c r="I49" s="9" t="n">
        <v>12</v>
      </c>
      <c r="J49" s="6" t="n">
        <f aca="false">ROUND(I49*$L$2,2)</f>
        <v>4.87</v>
      </c>
    </row>
    <row r="50" customFormat="false" ht="15" hidden="false" customHeight="true" outlineLevel="0" collapsed="false">
      <c r="A50" s="6" t="s">
        <v>1361</v>
      </c>
      <c r="B50" s="6" t="n">
        <v>3</v>
      </c>
      <c r="C50" s="6" t="s">
        <v>1362</v>
      </c>
      <c r="D50" s="6" t="s">
        <v>1363</v>
      </c>
      <c r="E50" s="9" t="n">
        <v>110</v>
      </c>
      <c r="F50" s="9" t="n">
        <v>70</v>
      </c>
      <c r="G50" s="9" t="n">
        <v>420</v>
      </c>
      <c r="H50" s="9" t="n">
        <v>20</v>
      </c>
      <c r="I50" s="9" t="n">
        <v>20</v>
      </c>
      <c r="J50" s="6" t="n">
        <f aca="false">ROUND(I50*$L$2,2)</f>
        <v>8.12</v>
      </c>
    </row>
    <row r="51" customFormat="false" ht="15" hidden="false" customHeight="true" outlineLevel="0" collapsed="false">
      <c r="A51" s="6" t="s">
        <v>1364</v>
      </c>
      <c r="B51" s="6" t="n">
        <v>3</v>
      </c>
      <c r="C51" s="6" t="s">
        <v>1365</v>
      </c>
      <c r="D51" s="6" t="s">
        <v>1352</v>
      </c>
      <c r="E51" s="9" t="n">
        <v>90</v>
      </c>
      <c r="F51" s="9" t="n">
        <v>6</v>
      </c>
      <c r="G51" s="9" t="n">
        <v>90</v>
      </c>
      <c r="H51" s="9" t="n">
        <v>26</v>
      </c>
      <c r="I51" s="9" t="n">
        <v>8</v>
      </c>
      <c r="J51" s="6" t="n">
        <f aca="false">ROUND(I51*$L$2,2)</f>
        <v>3.25</v>
      </c>
    </row>
    <row r="52" customFormat="false" ht="15" hidden="false" customHeight="true" outlineLevel="0" collapsed="false">
      <c r="A52" s="6" t="s">
        <v>1366</v>
      </c>
      <c r="B52" s="6" t="n">
        <v>3</v>
      </c>
      <c r="C52" s="6" t="s">
        <v>1367</v>
      </c>
      <c r="D52" s="6" t="s">
        <v>356</v>
      </c>
      <c r="E52" s="9" t="n">
        <v>2</v>
      </c>
      <c r="F52" s="9" t="n">
        <v>12</v>
      </c>
      <c r="G52" s="9" t="n">
        <v>110</v>
      </c>
      <c r="H52" s="9" t="n">
        <v>16</v>
      </c>
      <c r="I52" s="9" t="n">
        <v>10</v>
      </c>
      <c r="J52" s="6" t="n">
        <f aca="false">ROUND(I52*$L$2,2)</f>
        <v>4.06</v>
      </c>
    </row>
    <row r="53" customFormat="false" ht="15" hidden="false" customHeight="true" outlineLevel="0" collapsed="false">
      <c r="A53" s="6" t="s">
        <v>1368</v>
      </c>
      <c r="B53" s="6" t="n">
        <v>3</v>
      </c>
      <c r="C53" s="6" t="s">
        <v>1369</v>
      </c>
      <c r="D53" s="6" t="s">
        <v>1323</v>
      </c>
      <c r="E53" s="9" t="n">
        <v>4</v>
      </c>
      <c r="F53" s="9" t="n">
        <v>6</v>
      </c>
      <c r="G53" s="9" t="n">
        <v>60</v>
      </c>
      <c r="H53" s="9" t="n">
        <v>20</v>
      </c>
      <c r="I53" s="9" t="n">
        <v>10</v>
      </c>
      <c r="J53" s="6" t="n">
        <f aca="false">ROUND(I53*$L$2,2)</f>
        <v>4.06</v>
      </c>
    </row>
    <row r="54" customFormat="false" ht="15" hidden="false" customHeight="true" outlineLevel="0" collapsed="false">
      <c r="A54" s="6" t="s">
        <v>1370</v>
      </c>
      <c r="B54" s="6" t="n">
        <v>3</v>
      </c>
      <c r="C54" s="6" t="s">
        <v>1371</v>
      </c>
      <c r="D54" s="6" t="s">
        <v>1292</v>
      </c>
      <c r="E54" s="9" t="n">
        <v>66</v>
      </c>
      <c r="F54" s="9" t="n">
        <v>40</v>
      </c>
      <c r="G54" s="9" t="n">
        <v>170</v>
      </c>
      <c r="H54" s="9" t="n">
        <v>18</v>
      </c>
      <c r="I54" s="9" t="n">
        <v>13</v>
      </c>
      <c r="J54" s="6" t="n">
        <f aca="false">ROUND(I54*$L$2,2)</f>
        <v>5.28</v>
      </c>
    </row>
    <row r="55" customFormat="false" ht="15" hidden="false" customHeight="true" outlineLevel="0" collapsed="false">
      <c r="A55" s="6" t="s">
        <v>1372</v>
      </c>
      <c r="B55" s="6" t="n">
        <v>3</v>
      </c>
      <c r="C55" s="6" t="s">
        <v>1373</v>
      </c>
      <c r="D55" s="6" t="s">
        <v>1292</v>
      </c>
      <c r="E55" s="9" t="n">
        <v>58</v>
      </c>
      <c r="F55" s="9" t="n">
        <v>30</v>
      </c>
      <c r="G55" s="9" t="n">
        <v>130</v>
      </c>
      <c r="H55" s="9" t="n">
        <v>16</v>
      </c>
      <c r="I55" s="9" t="n">
        <v>13</v>
      </c>
      <c r="J55" s="6" t="n">
        <f aca="false">ROUND(I55*$L$2,2)</f>
        <v>5.28</v>
      </c>
    </row>
    <row r="56" customFormat="false" ht="15" hidden="false" customHeight="true" outlineLevel="0" collapsed="false">
      <c r="A56" s="6" t="s">
        <v>1374</v>
      </c>
      <c r="B56" s="6" t="n">
        <v>4</v>
      </c>
      <c r="C56" s="6" t="s">
        <v>1375</v>
      </c>
      <c r="D56" s="6" t="s">
        <v>1249</v>
      </c>
      <c r="E56" s="9" t="n">
        <v>70</v>
      </c>
      <c r="F56" s="9" t="n">
        <v>44</v>
      </c>
      <c r="G56" s="9" t="n">
        <v>150</v>
      </c>
      <c r="H56" s="9" t="n">
        <v>18</v>
      </c>
      <c r="I56" s="9" t="n">
        <v>9</v>
      </c>
      <c r="J56" s="6" t="n">
        <f aca="false">ROUND(I56*$L$2,2)</f>
        <v>3.65</v>
      </c>
    </row>
    <row r="57" customFormat="false" ht="15" hidden="false" customHeight="true" outlineLevel="0" collapsed="false">
      <c r="A57" s="6" t="s">
        <v>1376</v>
      </c>
      <c r="B57" s="6" t="n">
        <v>4</v>
      </c>
      <c r="C57" s="6" t="s">
        <v>1377</v>
      </c>
      <c r="D57" s="6" t="s">
        <v>1378</v>
      </c>
      <c r="E57" s="9" t="n">
        <v>95</v>
      </c>
      <c r="F57" s="9" t="n">
        <v>40</v>
      </c>
      <c r="G57" s="9" t="n">
        <v>140</v>
      </c>
      <c r="H57" s="9" t="n">
        <v>12</v>
      </c>
      <c r="I57" s="9" t="n">
        <v>11</v>
      </c>
      <c r="J57" s="6" t="n">
        <f aca="false">ROUND(I57*$L$2,2)</f>
        <v>4.46</v>
      </c>
    </row>
    <row r="58" customFormat="false" ht="15" hidden="false" customHeight="true" outlineLevel="0" collapsed="false">
      <c r="A58" s="6" t="s">
        <v>1379</v>
      </c>
      <c r="B58" s="6" t="n">
        <v>4</v>
      </c>
      <c r="C58" s="6" t="s">
        <v>1380</v>
      </c>
      <c r="D58" s="6" t="s">
        <v>1256</v>
      </c>
      <c r="E58" s="9" t="n">
        <v>88</v>
      </c>
      <c r="F58" s="9" t="n">
        <v>46</v>
      </c>
      <c r="G58" s="9" t="n">
        <v>160</v>
      </c>
      <c r="H58" s="9" t="n">
        <v>17</v>
      </c>
      <c r="I58" s="9" t="n">
        <v>11</v>
      </c>
      <c r="J58" s="6" t="n">
        <f aca="false">ROUND(I58*$L$2,2)</f>
        <v>4.46</v>
      </c>
    </row>
    <row r="59" customFormat="false" ht="15" hidden="false" customHeight="true" outlineLevel="0" collapsed="false">
      <c r="A59" s="6" t="s">
        <v>1381</v>
      </c>
      <c r="B59" s="6" t="n">
        <v>4</v>
      </c>
      <c r="C59" s="6" t="s">
        <v>1382</v>
      </c>
      <c r="D59" s="6" t="s">
        <v>1383</v>
      </c>
      <c r="E59" s="9" t="n">
        <v>80</v>
      </c>
      <c r="F59" s="9" t="n">
        <v>42</v>
      </c>
      <c r="G59" s="9" t="n">
        <v>145</v>
      </c>
      <c r="H59" s="9" t="n">
        <v>15</v>
      </c>
      <c r="I59" s="9" t="n">
        <v>11</v>
      </c>
      <c r="J59" s="6" t="n">
        <f aca="false">ROUND(I59*$L$2,2)</f>
        <v>4.46</v>
      </c>
    </row>
    <row r="60" customFormat="false" ht="15" hidden="false" customHeight="true" outlineLevel="0" collapsed="false">
      <c r="A60" s="6" t="s">
        <v>1384</v>
      </c>
      <c r="B60" s="6" t="n">
        <v>4</v>
      </c>
      <c r="C60" s="6" t="s">
        <v>1385</v>
      </c>
      <c r="D60" s="6" t="s">
        <v>1287</v>
      </c>
      <c r="E60" s="9" t="n">
        <v>30</v>
      </c>
      <c r="F60" s="9" t="n">
        <v>40</v>
      </c>
      <c r="G60" s="9" t="n">
        <v>140</v>
      </c>
      <c r="H60" s="9" t="n">
        <v>15</v>
      </c>
      <c r="I60" s="9" t="n">
        <v>9</v>
      </c>
      <c r="J60" s="6" t="n">
        <f aca="false">ROUND(I60*$L$2,2)</f>
        <v>3.65</v>
      </c>
    </row>
    <row r="61" customFormat="false" ht="15" hidden="false" customHeight="true" outlineLevel="0" collapsed="false">
      <c r="A61" s="6" t="s">
        <v>1386</v>
      </c>
      <c r="B61" s="6" t="n">
        <v>4</v>
      </c>
      <c r="C61" s="6" t="s">
        <v>1387</v>
      </c>
      <c r="D61" s="6" t="s">
        <v>1323</v>
      </c>
      <c r="E61" s="9" t="n">
        <v>60</v>
      </c>
      <c r="F61" s="9" t="n">
        <v>20</v>
      </c>
      <c r="G61" s="9" t="n">
        <v>90</v>
      </c>
      <c r="H61" s="9" t="n">
        <v>14</v>
      </c>
      <c r="I61" s="9" t="n">
        <v>10</v>
      </c>
      <c r="J61" s="6" t="n">
        <f aca="false">ROUND(I61*$L$2,2)</f>
        <v>4.06</v>
      </c>
    </row>
    <row r="62" customFormat="false" ht="15" hidden="false" customHeight="true" outlineLevel="0" collapsed="false">
      <c r="A62" s="6" t="s">
        <v>1388</v>
      </c>
      <c r="B62" s="6" t="n">
        <v>4</v>
      </c>
      <c r="C62" s="6" t="s">
        <v>1389</v>
      </c>
      <c r="D62" s="6" t="s">
        <v>1256</v>
      </c>
      <c r="E62" s="9" t="n">
        <v>84</v>
      </c>
      <c r="F62" s="9" t="n">
        <v>40</v>
      </c>
      <c r="G62" s="9" t="n">
        <v>150</v>
      </c>
      <c r="H62" s="9" t="n">
        <v>20</v>
      </c>
      <c r="I62" s="9" t="n">
        <v>12</v>
      </c>
      <c r="J62" s="6" t="n">
        <f aca="false">ROUND(I62*$L$2,2)</f>
        <v>4.87</v>
      </c>
    </row>
    <row r="63" customFormat="false" ht="15" hidden="false" customHeight="true" outlineLevel="0" collapsed="false">
      <c r="A63" s="6" t="s">
        <v>1390</v>
      </c>
      <c r="B63" s="6" t="n">
        <v>4</v>
      </c>
      <c r="C63" s="6" t="s">
        <v>1391</v>
      </c>
      <c r="D63" s="6" t="s">
        <v>1267</v>
      </c>
      <c r="E63" s="9" t="n">
        <v>66</v>
      </c>
      <c r="F63" s="9" t="n">
        <v>44</v>
      </c>
      <c r="G63" s="9" t="n">
        <v>180</v>
      </c>
      <c r="H63" s="9" t="n">
        <v>44</v>
      </c>
      <c r="I63" s="9" t="n">
        <v>11</v>
      </c>
      <c r="J63" s="6" t="n">
        <f aca="false">ROUND(I63*$L$2,2)</f>
        <v>4.46</v>
      </c>
    </row>
    <row r="64" customFormat="false" ht="15" hidden="false" customHeight="true" outlineLevel="0" collapsed="false">
      <c r="A64" s="6" t="s">
        <v>1392</v>
      </c>
      <c r="B64" s="6" t="n">
        <v>4</v>
      </c>
      <c r="C64" s="6" t="s">
        <v>1393</v>
      </c>
      <c r="D64" s="6" t="s">
        <v>1394</v>
      </c>
      <c r="E64" s="9" t="n">
        <v>100</v>
      </c>
      <c r="F64" s="9" t="n">
        <v>70</v>
      </c>
      <c r="G64" s="9" t="n">
        <v>260</v>
      </c>
      <c r="H64" s="9" t="n">
        <v>38</v>
      </c>
      <c r="I64" s="9" t="n">
        <v>15</v>
      </c>
      <c r="J64" s="6" t="n">
        <f aca="false">ROUND(I64*$L$2,2)</f>
        <v>6.09</v>
      </c>
    </row>
    <row r="65" customFormat="false" ht="15" hidden="false" customHeight="true" outlineLevel="0" collapsed="false">
      <c r="A65" s="6" t="s">
        <v>1395</v>
      </c>
      <c r="B65" s="6" t="n">
        <v>4</v>
      </c>
      <c r="C65" s="6" t="s">
        <v>1396</v>
      </c>
      <c r="D65" s="6" t="s">
        <v>1394</v>
      </c>
      <c r="E65" s="9" t="n">
        <v>150</v>
      </c>
      <c r="F65" s="9" t="n">
        <v>120</v>
      </c>
      <c r="G65" s="9" t="n">
        <v>420</v>
      </c>
      <c r="H65" s="9" t="n">
        <v>24</v>
      </c>
      <c r="I65" s="9" t="n">
        <v>24</v>
      </c>
      <c r="J65" s="6" t="n">
        <f aca="false">ROUND(I65*$L$2,2)</f>
        <v>9.74</v>
      </c>
    </row>
    <row r="66" customFormat="false" ht="15" hidden="false" customHeight="true" outlineLevel="0" collapsed="false">
      <c r="A66" s="6" t="s">
        <v>1397</v>
      </c>
      <c r="B66" s="6" t="n">
        <v>4</v>
      </c>
      <c r="C66" s="6" t="s">
        <v>1398</v>
      </c>
      <c r="D66" s="6" t="s">
        <v>1284</v>
      </c>
      <c r="E66" s="9" t="n">
        <v>160</v>
      </c>
      <c r="F66" s="9" t="n">
        <v>40</v>
      </c>
      <c r="G66" s="9" t="n">
        <v>220</v>
      </c>
      <c r="H66" s="9" t="n">
        <v>26</v>
      </c>
      <c r="I66" s="9" t="n">
        <v>20</v>
      </c>
      <c r="J66" s="6" t="n">
        <f aca="false">ROUND(I66*$L$2,2)</f>
        <v>8.12</v>
      </c>
    </row>
    <row r="67" customFormat="false" ht="15" hidden="false" customHeight="true" outlineLevel="0" collapsed="false">
      <c r="A67" s="6" t="s">
        <v>1399</v>
      </c>
      <c r="B67" s="6" t="n">
        <v>4</v>
      </c>
      <c r="C67" s="6" t="s">
        <v>1400</v>
      </c>
      <c r="D67" s="6" t="s">
        <v>1284</v>
      </c>
      <c r="E67" s="9" t="n">
        <v>180</v>
      </c>
      <c r="F67" s="9" t="n">
        <v>30</v>
      </c>
      <c r="G67" s="9" t="n">
        <v>190</v>
      </c>
      <c r="H67" s="9" t="n">
        <v>26</v>
      </c>
      <c r="I67" s="9" t="n">
        <v>22</v>
      </c>
      <c r="J67" s="6" t="n">
        <f aca="false">ROUND(I67*$L$2,2)</f>
        <v>8.93</v>
      </c>
    </row>
    <row r="68" customFormat="false" ht="15" hidden="false" customHeight="true" outlineLevel="0" collapsed="false">
      <c r="A68" s="6" t="s">
        <v>1401</v>
      </c>
      <c r="B68" s="6" t="n">
        <v>4</v>
      </c>
      <c r="C68" s="6" t="s">
        <v>1402</v>
      </c>
      <c r="D68" s="6" t="s">
        <v>1403</v>
      </c>
      <c r="E68" s="9" t="n">
        <v>90</v>
      </c>
      <c r="F68" s="9" t="n">
        <v>60</v>
      </c>
      <c r="G68" s="9" t="n">
        <v>220</v>
      </c>
      <c r="H68" s="9" t="n">
        <v>32</v>
      </c>
      <c r="I68" s="9" t="n">
        <v>14</v>
      </c>
      <c r="J68" s="6" t="n">
        <f aca="false">ROUND(I68*$L$2,2)</f>
        <v>5.68</v>
      </c>
    </row>
    <row r="69" customFormat="false" ht="15" hidden="false" customHeight="true" outlineLevel="0" collapsed="false">
      <c r="A69" s="6" t="s">
        <v>1404</v>
      </c>
      <c r="B69" s="6" t="n">
        <v>4</v>
      </c>
      <c r="C69" s="6" t="s">
        <v>1405</v>
      </c>
      <c r="D69" s="6" t="s">
        <v>1406</v>
      </c>
      <c r="E69" s="9" t="n">
        <v>130</v>
      </c>
      <c r="F69" s="9" t="n">
        <v>50</v>
      </c>
      <c r="G69" s="9" t="n">
        <v>180</v>
      </c>
      <c r="H69" s="9" t="n">
        <v>90</v>
      </c>
      <c r="I69" s="9" t="n">
        <v>18</v>
      </c>
      <c r="J69" s="6" t="n">
        <f aca="false">ROUND(I69*$L$2,2)</f>
        <v>7.31</v>
      </c>
    </row>
    <row r="70" customFormat="false" ht="15" hidden="false" customHeight="true" outlineLevel="0" collapsed="false">
      <c r="A70" s="6" t="s">
        <v>1407</v>
      </c>
      <c r="B70" s="6" t="n">
        <v>4</v>
      </c>
      <c r="C70" s="6" t="s">
        <v>1408</v>
      </c>
      <c r="D70" s="6" t="s">
        <v>1409</v>
      </c>
      <c r="E70" s="9" t="n">
        <v>180</v>
      </c>
      <c r="F70" s="9" t="n">
        <v>40</v>
      </c>
      <c r="G70" s="9" t="n">
        <v>240</v>
      </c>
      <c r="H70" s="9" t="n">
        <v>70</v>
      </c>
      <c r="I70" s="9" t="n">
        <v>24</v>
      </c>
      <c r="J70" s="6" t="n">
        <f aca="false">ROUND(I70*$L$2,2)</f>
        <v>9.74</v>
      </c>
    </row>
    <row r="71" customFormat="false" ht="15" hidden="false" customHeight="true" outlineLevel="0" collapsed="false">
      <c r="A71" s="6" t="s">
        <v>1410</v>
      </c>
      <c r="B71" s="6" t="n">
        <v>4</v>
      </c>
      <c r="C71" s="6" t="s">
        <v>1411</v>
      </c>
      <c r="D71" s="6" t="s">
        <v>1355</v>
      </c>
      <c r="E71" s="9" t="n">
        <v>130</v>
      </c>
      <c r="F71" s="9" t="n">
        <v>80</v>
      </c>
      <c r="G71" s="9" t="n">
        <v>420</v>
      </c>
      <c r="H71" s="9" t="n">
        <v>40</v>
      </c>
      <c r="I71" s="9" t="n">
        <v>20</v>
      </c>
      <c r="J71" s="6" t="n">
        <f aca="false">ROUND(I71*$L$2,2)</f>
        <v>8.12</v>
      </c>
    </row>
    <row r="72" customFormat="false" ht="15" hidden="false" customHeight="true" outlineLevel="0" collapsed="false">
      <c r="A72" s="6" t="s">
        <v>1412</v>
      </c>
      <c r="B72" s="6" t="n">
        <v>4</v>
      </c>
      <c r="C72" s="6" t="s">
        <v>1413</v>
      </c>
      <c r="D72" s="6" t="s">
        <v>1363</v>
      </c>
      <c r="E72" s="9" t="n">
        <v>240</v>
      </c>
      <c r="F72" s="9" t="n">
        <v>160</v>
      </c>
      <c r="G72" s="9" t="n">
        <v>900</v>
      </c>
      <c r="H72" s="9" t="n">
        <v>28</v>
      </c>
      <c r="I72" s="9" t="n">
        <v>42</v>
      </c>
      <c r="J72" s="6" t="n">
        <f aca="false">ROUND(I72*$L$2,2)</f>
        <v>17.05</v>
      </c>
    </row>
    <row r="73" customFormat="false" ht="15" hidden="false" customHeight="true" outlineLevel="0" collapsed="false">
      <c r="A73" s="6" t="s">
        <v>1414</v>
      </c>
      <c r="B73" s="6" t="n">
        <v>4</v>
      </c>
      <c r="C73" s="6" t="s">
        <v>1415</v>
      </c>
      <c r="D73" s="6" t="s">
        <v>1292</v>
      </c>
      <c r="E73" s="9" t="n">
        <v>150</v>
      </c>
      <c r="F73" s="9" t="n">
        <v>90</v>
      </c>
      <c r="G73" s="9" t="n">
        <v>320</v>
      </c>
      <c r="H73" s="9" t="n">
        <v>26</v>
      </c>
      <c r="I73" s="9" t="n">
        <v>26</v>
      </c>
      <c r="J73" s="6" t="n">
        <f aca="false">ROUND(I73*$L$2,2)</f>
        <v>10.55</v>
      </c>
    </row>
    <row r="74" customFormat="false" ht="15" hidden="false" customHeight="true" outlineLevel="0" collapsed="false">
      <c r="A74" s="6" t="s">
        <v>1416</v>
      </c>
      <c r="B74" s="6" t="n">
        <v>5</v>
      </c>
      <c r="C74" s="6" t="s">
        <v>1417</v>
      </c>
      <c r="D74" s="6" t="s">
        <v>1256</v>
      </c>
      <c r="E74" s="9" t="n">
        <v>180</v>
      </c>
      <c r="F74" s="9" t="n">
        <v>120</v>
      </c>
      <c r="G74" s="9" t="n">
        <v>380</v>
      </c>
      <c r="H74" s="9" t="n">
        <v>26</v>
      </c>
      <c r="I74" s="9" t="n">
        <v>20</v>
      </c>
      <c r="J74" s="6" t="n">
        <f aca="false">ROUND(I74*$L$2,2)</f>
        <v>8.12</v>
      </c>
    </row>
    <row r="75" customFormat="false" ht="15" hidden="false" customHeight="true" outlineLevel="0" collapsed="false">
      <c r="A75" s="6" t="s">
        <v>1418</v>
      </c>
      <c r="B75" s="6" t="n">
        <v>5</v>
      </c>
      <c r="C75" s="6" t="s">
        <v>1419</v>
      </c>
      <c r="D75" s="6" t="s">
        <v>1275</v>
      </c>
      <c r="E75" s="9" t="n">
        <v>220</v>
      </c>
      <c r="F75" s="9" t="n">
        <v>150</v>
      </c>
      <c r="G75" s="9" t="n">
        <v>460</v>
      </c>
      <c r="H75" s="9" t="n">
        <v>24</v>
      </c>
      <c r="I75" s="9" t="n">
        <v>26</v>
      </c>
      <c r="J75" s="6" t="n">
        <f aca="false">ROUND(I75*$L$2,2)</f>
        <v>10.55</v>
      </c>
    </row>
    <row r="76" customFormat="false" ht="15" hidden="false" customHeight="true" outlineLevel="0" collapsed="false">
      <c r="A76" s="6" t="s">
        <v>1420</v>
      </c>
      <c r="B76" s="6" t="n">
        <v>5</v>
      </c>
      <c r="C76" s="6" t="s">
        <v>1421</v>
      </c>
      <c r="D76" s="6" t="s">
        <v>1394</v>
      </c>
      <c r="E76" s="9" t="n">
        <v>260</v>
      </c>
      <c r="F76" s="9" t="n">
        <v>180</v>
      </c>
      <c r="G76" s="9" t="n">
        <v>620</v>
      </c>
      <c r="H76" s="9" t="n">
        <v>44</v>
      </c>
      <c r="I76" s="9" t="n">
        <v>32</v>
      </c>
      <c r="J76" s="6" t="n">
        <f aca="false">ROUND(I76*$L$2,2)</f>
        <v>12.99</v>
      </c>
    </row>
    <row r="77" customFormat="false" ht="15" hidden="false" customHeight="true" outlineLevel="0" collapsed="false">
      <c r="A77" s="6" t="s">
        <v>1422</v>
      </c>
      <c r="B77" s="6" t="n">
        <v>5</v>
      </c>
      <c r="C77" s="6" t="s">
        <v>1423</v>
      </c>
      <c r="D77" s="6" t="s">
        <v>1424</v>
      </c>
      <c r="E77" s="9" t="n">
        <v>180</v>
      </c>
      <c r="F77" s="9" t="n">
        <v>60</v>
      </c>
      <c r="G77" s="9" t="n">
        <v>300</v>
      </c>
      <c r="H77" s="9" t="n">
        <v>40</v>
      </c>
      <c r="I77" s="9" t="n">
        <v>20</v>
      </c>
      <c r="J77" s="6" t="n">
        <f aca="false">ROUND(I77*$L$2,2)</f>
        <v>8.12</v>
      </c>
    </row>
    <row r="78" customFormat="false" ht="15" hidden="false" customHeight="true" outlineLevel="0" collapsed="false">
      <c r="A78" s="6" t="s">
        <v>1425</v>
      </c>
      <c r="B78" s="6" t="n">
        <v>5</v>
      </c>
      <c r="C78" s="6" t="s">
        <v>1426</v>
      </c>
      <c r="D78" s="6" t="s">
        <v>1427</v>
      </c>
      <c r="E78" s="9" t="n">
        <v>60</v>
      </c>
      <c r="F78" s="9" t="n">
        <v>90</v>
      </c>
      <c r="G78" s="9" t="n">
        <v>260</v>
      </c>
      <c r="H78" s="9" t="n">
        <v>26</v>
      </c>
      <c r="I78" s="9" t="n">
        <v>18</v>
      </c>
      <c r="J78" s="6" t="n">
        <f aca="false">ROUND(I78*$L$2,2)</f>
        <v>7.31</v>
      </c>
    </row>
    <row r="79" customFormat="false" ht="15" hidden="false" customHeight="true" outlineLevel="0" collapsed="false">
      <c r="A79" s="6" t="s">
        <v>1428</v>
      </c>
      <c r="B79" s="6" t="n">
        <v>5</v>
      </c>
      <c r="C79" s="6" t="s">
        <v>1429</v>
      </c>
      <c r="D79" s="6" t="s">
        <v>356</v>
      </c>
      <c r="E79" s="9" t="n">
        <v>60</v>
      </c>
      <c r="F79" s="9" t="n">
        <v>140</v>
      </c>
      <c r="G79" s="9" t="n">
        <v>520</v>
      </c>
      <c r="H79" s="9" t="n">
        <v>50</v>
      </c>
      <c r="I79" s="9" t="n">
        <v>22</v>
      </c>
      <c r="J79" s="6" t="n">
        <f aca="false">ROUND(I79*$L$2,2)</f>
        <v>8.93</v>
      </c>
    </row>
    <row r="80" customFormat="false" ht="15" hidden="false" customHeight="true" outlineLevel="0" collapsed="false">
      <c r="A80" s="6" t="s">
        <v>1430</v>
      </c>
      <c r="B80" s="6" t="n">
        <v>5</v>
      </c>
      <c r="C80" s="6" t="s">
        <v>1431</v>
      </c>
      <c r="D80" s="6" t="s">
        <v>1270</v>
      </c>
      <c r="E80" s="9" t="n">
        <v>220</v>
      </c>
      <c r="F80" s="9" t="n">
        <v>120</v>
      </c>
      <c r="G80" s="9" t="n">
        <v>520</v>
      </c>
      <c r="H80" s="9" t="n">
        <v>80</v>
      </c>
      <c r="I80" s="9" t="n">
        <v>26</v>
      </c>
      <c r="J80" s="6" t="n">
        <f aca="false">ROUND(I80*$L$2,2)</f>
        <v>10.55</v>
      </c>
    </row>
    <row r="81" customFormat="false" ht="15" hidden="false" customHeight="true" outlineLevel="0" collapsed="false">
      <c r="A81" s="6" t="s">
        <v>1432</v>
      </c>
      <c r="B81" s="6" t="n">
        <v>5</v>
      </c>
      <c r="C81" s="6" t="s">
        <v>1433</v>
      </c>
      <c r="D81" s="6" t="s">
        <v>1427</v>
      </c>
      <c r="E81" s="9" t="n">
        <v>240</v>
      </c>
      <c r="F81" s="9" t="n">
        <v>160</v>
      </c>
      <c r="G81" s="9" t="n">
        <v>640</v>
      </c>
      <c r="H81" s="9" t="n">
        <v>70</v>
      </c>
      <c r="I81" s="9" t="n">
        <v>30</v>
      </c>
      <c r="J81" s="6" t="n">
        <f aca="false">ROUND(I81*$L$2,2)</f>
        <v>12.18</v>
      </c>
    </row>
    <row r="82" customFormat="false" ht="15" hidden="false" customHeight="true" outlineLevel="0" collapsed="false">
      <c r="A82" s="6" t="s">
        <v>1434</v>
      </c>
      <c r="B82" s="6" t="n">
        <v>5</v>
      </c>
      <c r="C82" s="6" t="s">
        <v>1435</v>
      </c>
      <c r="D82" s="6" t="s">
        <v>1355</v>
      </c>
      <c r="E82" s="9" t="n">
        <v>300</v>
      </c>
      <c r="F82" s="9" t="n">
        <v>200</v>
      </c>
      <c r="G82" s="9" t="n">
        <v>820</v>
      </c>
      <c r="H82" s="9" t="n">
        <v>64</v>
      </c>
      <c r="I82" s="9" t="n">
        <v>36</v>
      </c>
      <c r="J82" s="6" t="n">
        <f aca="false">ROUND(I82*$L$2,2)</f>
        <v>14.61</v>
      </c>
    </row>
    <row r="83" customFormat="false" ht="15" hidden="false" customHeight="true" outlineLevel="0" collapsed="false">
      <c r="A83" s="6" t="s">
        <v>1436</v>
      </c>
      <c r="B83" s="6" t="n">
        <v>5</v>
      </c>
      <c r="C83" s="6" t="s">
        <v>1437</v>
      </c>
      <c r="D83" s="6" t="s">
        <v>1438</v>
      </c>
      <c r="E83" s="9" t="n">
        <v>380</v>
      </c>
      <c r="F83" s="9" t="n">
        <v>260</v>
      </c>
      <c r="G83" s="9" t="n">
        <v>1200</v>
      </c>
      <c r="H83" s="9" t="n">
        <v>56</v>
      </c>
      <c r="I83" s="9" t="n">
        <v>48</v>
      </c>
      <c r="J83" s="6" t="n">
        <f aca="false">ROUND(I83*$L$2,2)</f>
        <v>19.48</v>
      </c>
    </row>
    <row r="84" customFormat="false" ht="15" hidden="false" customHeight="true" outlineLevel="0" collapsed="false">
      <c r="A84" s="6" t="s">
        <v>1439</v>
      </c>
      <c r="B84" s="6" t="n">
        <v>5</v>
      </c>
      <c r="C84" s="6" t="s">
        <v>1440</v>
      </c>
      <c r="D84" s="6" t="s">
        <v>1363</v>
      </c>
      <c r="E84" s="9" t="n">
        <v>480</v>
      </c>
      <c r="F84" s="9" t="n">
        <v>300</v>
      </c>
      <c r="G84" s="9" t="n">
        <v>1600</v>
      </c>
      <c r="H84" s="9" t="n">
        <v>60</v>
      </c>
      <c r="I84" s="9" t="n">
        <v>60</v>
      </c>
      <c r="J84" s="6" t="n">
        <f aca="false">ROUND(I84*$L$2,2)</f>
        <v>24.35</v>
      </c>
    </row>
    <row r="85" customFormat="false" ht="15" hidden="false" customHeight="true" outlineLevel="0" collapsed="false">
      <c r="A85" s="6" t="s">
        <v>1441</v>
      </c>
      <c r="B85" s="6" t="n">
        <v>5</v>
      </c>
      <c r="C85" s="6" t="s">
        <v>1442</v>
      </c>
      <c r="D85" s="6" t="s">
        <v>1443</v>
      </c>
      <c r="E85" s="9" t="n">
        <v>360</v>
      </c>
      <c r="F85" s="9" t="n">
        <v>280</v>
      </c>
      <c r="G85" s="9" t="n">
        <v>1800</v>
      </c>
      <c r="H85" s="9" t="n">
        <v>50</v>
      </c>
      <c r="I85" s="9" t="n">
        <v>66</v>
      </c>
      <c r="J85" s="6" t="n">
        <f aca="false">ROUND(I85*$L$2,2)</f>
        <v>26.79</v>
      </c>
    </row>
    <row r="86" customFormat="false" ht="15" hidden="false" customHeight="true" outlineLevel="0" collapsed="false">
      <c r="A86" s="6" t="s">
        <v>1444</v>
      </c>
      <c r="B86" s="6" t="n">
        <v>5</v>
      </c>
      <c r="C86" s="6" t="s">
        <v>1445</v>
      </c>
      <c r="D86" s="6" t="s">
        <v>1409</v>
      </c>
      <c r="E86" s="9" t="n">
        <v>320</v>
      </c>
      <c r="F86" s="9" t="n">
        <v>90</v>
      </c>
      <c r="G86" s="9" t="n">
        <v>380</v>
      </c>
      <c r="H86" s="9" t="n">
        <v>120</v>
      </c>
      <c r="I86" s="9" t="n">
        <v>30</v>
      </c>
      <c r="J86" s="6" t="n">
        <f aca="false">ROUND(I86*$L$2,2)</f>
        <v>12.18</v>
      </c>
    </row>
    <row r="87" customFormat="false" ht="15" hidden="false" customHeight="true" outlineLevel="0" collapsed="false">
      <c r="A87" s="6" t="s">
        <v>1446</v>
      </c>
      <c r="B87" s="6" t="n">
        <v>5</v>
      </c>
      <c r="C87" s="6" t="s">
        <v>1447</v>
      </c>
      <c r="D87" s="6" t="s">
        <v>356</v>
      </c>
      <c r="E87" s="9" t="n">
        <v>120</v>
      </c>
      <c r="F87" s="9" t="n">
        <v>220</v>
      </c>
      <c r="G87" s="9" t="n">
        <v>900</v>
      </c>
      <c r="H87" s="9" t="n">
        <v>54</v>
      </c>
      <c r="I87" s="9" t="n">
        <v>32</v>
      </c>
      <c r="J87" s="6" t="n">
        <f aca="false">ROUND(I87*$L$2,2)</f>
        <v>12.99</v>
      </c>
    </row>
    <row r="88" customFormat="false" ht="15" hidden="false" customHeight="true" outlineLevel="0" collapsed="false">
      <c r="A88" s="6" t="s">
        <v>1448</v>
      </c>
      <c r="B88" s="6" t="n">
        <v>5</v>
      </c>
      <c r="C88" s="6" t="s">
        <v>1449</v>
      </c>
      <c r="D88" s="6" t="s">
        <v>1284</v>
      </c>
      <c r="E88" s="9" t="n">
        <v>520</v>
      </c>
      <c r="F88" s="9" t="n">
        <v>180</v>
      </c>
      <c r="G88" s="9" t="n">
        <v>1100</v>
      </c>
      <c r="H88" s="9" t="n">
        <v>30</v>
      </c>
      <c r="I88" s="9" t="n">
        <v>56</v>
      </c>
      <c r="J88" s="6" t="n">
        <f aca="false">ROUND(I88*$L$2,2)</f>
        <v>22.73</v>
      </c>
    </row>
    <row r="89" customFormat="false" ht="15" hidden="false" customHeight="true" outlineLevel="0" collapsed="false">
      <c r="A89" s="6" t="s">
        <v>1450</v>
      </c>
      <c r="B89" s="6" t="n">
        <v>5</v>
      </c>
      <c r="C89" s="6" t="s">
        <v>1451</v>
      </c>
      <c r="D89" s="6" t="s">
        <v>1267</v>
      </c>
      <c r="E89" s="9" t="n">
        <v>10</v>
      </c>
      <c r="F89" s="9" t="n">
        <v>20</v>
      </c>
      <c r="G89" s="9" t="n">
        <v>80</v>
      </c>
      <c r="H89" s="9" t="n">
        <v>150</v>
      </c>
      <c r="I89" s="9" t="n">
        <v>8</v>
      </c>
      <c r="J89" s="6" t="n">
        <f aca="false">ROUND(I89*$L$2,2)</f>
        <v>3.25</v>
      </c>
    </row>
    <row r="90" customFormat="false" ht="15" hidden="false" customHeight="true" outlineLevel="0" collapsed="false">
      <c r="A90" s="6" t="s">
        <v>1452</v>
      </c>
      <c r="B90" s="6" t="n">
        <v>5</v>
      </c>
      <c r="C90" s="6" t="s">
        <v>1453</v>
      </c>
      <c r="D90" s="6" t="s">
        <v>1454</v>
      </c>
      <c r="E90" s="9" t="n">
        <v>420</v>
      </c>
      <c r="F90" s="9" t="n">
        <v>420</v>
      </c>
      <c r="G90" s="9" t="n">
        <v>2200</v>
      </c>
      <c r="H90" s="9" t="n">
        <v>0</v>
      </c>
      <c r="I90" s="9" t="n">
        <v>44</v>
      </c>
      <c r="J90" s="6" t="n">
        <f aca="false">ROUND(I90*$L$2,2)</f>
        <v>17.86</v>
      </c>
    </row>
    <row r="91" customFormat="false" ht="15" hidden="false" customHeight="true" outlineLevel="0" collapsed="false">
      <c r="A91" s="6" t="s">
        <v>1455</v>
      </c>
      <c r="B91" s="6" t="n">
        <v>5</v>
      </c>
      <c r="C91" s="6" t="s">
        <v>1456</v>
      </c>
      <c r="D91" s="6" t="s">
        <v>1292</v>
      </c>
      <c r="E91" s="9" t="n">
        <v>520</v>
      </c>
      <c r="F91" s="9" t="n">
        <v>300</v>
      </c>
      <c r="G91" s="9" t="n">
        <v>1300</v>
      </c>
      <c r="H91" s="9" t="n">
        <v>60</v>
      </c>
      <c r="I91" s="9" t="n">
        <v>62</v>
      </c>
      <c r="J91" s="6" t="n">
        <f aca="false">ROUND(I91*$L$2,2)</f>
        <v>25.16</v>
      </c>
    </row>
    <row r="92" customFormat="false" ht="15" hidden="false" customHeight="true" outlineLevel="0" collapsed="false">
      <c r="A92" s="6" t="s">
        <v>1457</v>
      </c>
      <c r="B92" s="6" t="n">
        <v>6</v>
      </c>
      <c r="C92" s="6" t="s">
        <v>1458</v>
      </c>
      <c r="D92" s="6" t="s">
        <v>1459</v>
      </c>
      <c r="E92" s="9" t="n">
        <v>700</v>
      </c>
      <c r="F92" s="9" t="n">
        <v>360</v>
      </c>
      <c r="G92" s="9" t="n">
        <v>1800</v>
      </c>
      <c r="H92" s="9" t="n">
        <v>70</v>
      </c>
      <c r="I92" s="9" t="n">
        <v>70</v>
      </c>
      <c r="J92" s="6" t="n">
        <f aca="false">ROUND(I92*$L$2,2)</f>
        <v>28.41</v>
      </c>
    </row>
    <row r="93" customFormat="false" ht="15" hidden="false" customHeight="true" outlineLevel="0" collapsed="false">
      <c r="A93" s="6" t="s">
        <v>1460</v>
      </c>
      <c r="B93" s="6" t="n">
        <v>6</v>
      </c>
      <c r="C93" s="6" t="s">
        <v>1461</v>
      </c>
      <c r="D93" s="6" t="s">
        <v>1424</v>
      </c>
      <c r="E93" s="9" t="n">
        <v>560</v>
      </c>
      <c r="F93" s="9" t="n">
        <v>420</v>
      </c>
      <c r="G93" s="9" t="n">
        <v>2400</v>
      </c>
      <c r="H93" s="9" t="n">
        <v>55</v>
      </c>
      <c r="I93" s="9" t="n">
        <v>76</v>
      </c>
      <c r="J93" s="6" t="n">
        <f aca="false">ROUND(I93*$L$2,2)</f>
        <v>30.84</v>
      </c>
    </row>
    <row r="94" customFormat="false" ht="15" hidden="false" customHeight="true" outlineLevel="0" collapsed="false">
      <c r="A94" s="6" t="s">
        <v>1462</v>
      </c>
      <c r="B94" s="6" t="n">
        <v>6</v>
      </c>
      <c r="C94" s="6" t="s">
        <v>1463</v>
      </c>
      <c r="D94" s="6" t="s">
        <v>1270</v>
      </c>
      <c r="E94" s="9" t="n">
        <v>520</v>
      </c>
      <c r="F94" s="9" t="n">
        <v>560</v>
      </c>
      <c r="G94" s="9" t="n">
        <v>2600</v>
      </c>
      <c r="H94" s="9" t="n">
        <v>54</v>
      </c>
      <c r="I94" s="9" t="n">
        <v>74</v>
      </c>
      <c r="J94" s="6" t="n">
        <f aca="false">ROUND(I94*$L$2,2)</f>
        <v>30.03</v>
      </c>
    </row>
    <row r="95" customFormat="false" ht="15" hidden="false" customHeight="true" outlineLevel="0" collapsed="false">
      <c r="A95" s="6" t="s">
        <v>1464</v>
      </c>
      <c r="B95" s="6" t="n">
        <v>6</v>
      </c>
      <c r="C95" s="6" t="s">
        <v>1465</v>
      </c>
      <c r="D95" s="6" t="s">
        <v>1363</v>
      </c>
      <c r="E95" s="9" t="n">
        <v>980</v>
      </c>
      <c r="F95" s="9" t="n">
        <v>700</v>
      </c>
      <c r="G95" s="9" t="n">
        <v>4200</v>
      </c>
      <c r="H95" s="9" t="n">
        <v>44</v>
      </c>
      <c r="I95" s="9" t="n">
        <v>120</v>
      </c>
      <c r="J95" s="6" t="n">
        <f aca="false">ROUND(I95*$L$2,2)</f>
        <v>48.7</v>
      </c>
    </row>
    <row r="96" customFormat="false" ht="15" hidden="false" customHeight="true" outlineLevel="0" collapsed="false">
      <c r="A96" s="6" t="s">
        <v>1466</v>
      </c>
      <c r="B96" s="6" t="n">
        <v>6</v>
      </c>
      <c r="C96" s="6" t="s">
        <v>1467</v>
      </c>
      <c r="D96" s="6" t="s">
        <v>1468</v>
      </c>
      <c r="E96" s="9" t="n">
        <v>1500</v>
      </c>
      <c r="F96" s="9" t="n">
        <v>1100</v>
      </c>
      <c r="G96" s="9" t="n">
        <v>8000</v>
      </c>
      <c r="H96" s="9" t="n">
        <v>40</v>
      </c>
      <c r="I96" s="9" t="n">
        <v>240</v>
      </c>
      <c r="J96" s="6" t="n">
        <f aca="false">ROUND(I96*$L$2,2)</f>
        <v>97.4</v>
      </c>
    </row>
    <row r="97" customFormat="false" ht="15" hidden="false" customHeight="true" outlineLevel="0" collapsed="false">
      <c r="A97" s="6" t="s">
        <v>1469</v>
      </c>
      <c r="B97" s="6" t="n">
        <v>6</v>
      </c>
      <c r="C97" s="6" t="s">
        <v>1470</v>
      </c>
      <c r="D97" s="6" t="s">
        <v>1427</v>
      </c>
      <c r="E97" s="9" t="n">
        <v>480</v>
      </c>
      <c r="F97" s="9" t="n">
        <v>420</v>
      </c>
      <c r="G97" s="9" t="n">
        <v>2000</v>
      </c>
      <c r="H97" s="9" t="n">
        <v>60</v>
      </c>
      <c r="I97" s="9" t="n">
        <v>66</v>
      </c>
      <c r="J97" s="6" t="n">
        <f aca="false">ROUND(I97*$L$2,2)</f>
        <v>26.79</v>
      </c>
    </row>
    <row r="98" customFormat="false" ht="15" hidden="false" customHeight="true" outlineLevel="0" collapsed="false">
      <c r="A98" s="6" t="s">
        <v>1471</v>
      </c>
      <c r="B98" s="6" t="n">
        <v>6</v>
      </c>
      <c r="C98" s="6" t="s">
        <v>1472</v>
      </c>
      <c r="D98" s="6" t="s">
        <v>1287</v>
      </c>
      <c r="E98" s="9" t="n">
        <v>300</v>
      </c>
      <c r="F98" s="9" t="n">
        <v>380</v>
      </c>
      <c r="G98" s="9" t="n">
        <v>1800</v>
      </c>
      <c r="H98" s="9" t="n">
        <v>62</v>
      </c>
      <c r="I98" s="9" t="n">
        <v>60</v>
      </c>
      <c r="J98" s="6" t="n">
        <f aca="false">ROUND(I98*$L$2,2)</f>
        <v>24.35</v>
      </c>
    </row>
    <row r="99" customFormat="false" ht="15" hidden="false" customHeight="true" outlineLevel="0" collapsed="false">
      <c r="A99" s="6" t="s">
        <v>1473</v>
      </c>
      <c r="B99" s="6" t="n">
        <v>6</v>
      </c>
      <c r="C99" s="6" t="s">
        <v>1474</v>
      </c>
      <c r="D99" s="6" t="s">
        <v>1323</v>
      </c>
      <c r="E99" s="9" t="n">
        <v>520</v>
      </c>
      <c r="F99" s="9" t="n">
        <v>220</v>
      </c>
      <c r="G99" s="9" t="n">
        <v>1100</v>
      </c>
      <c r="H99" s="9" t="n">
        <v>90</v>
      </c>
      <c r="I99" s="9" t="n">
        <v>64</v>
      </c>
      <c r="J99" s="6" t="n">
        <f aca="false">ROUND(I99*$L$2,2)</f>
        <v>25.97</v>
      </c>
    </row>
    <row r="100" customFormat="false" ht="15" hidden="false" customHeight="true" outlineLevel="0" collapsed="false">
      <c r="A100" s="6" t="s">
        <v>1475</v>
      </c>
      <c r="B100" s="6" t="n">
        <v>6</v>
      </c>
      <c r="C100" s="6" t="s">
        <v>1476</v>
      </c>
      <c r="D100" s="6" t="s">
        <v>1275</v>
      </c>
      <c r="E100" s="9" t="n">
        <v>900</v>
      </c>
      <c r="F100" s="9" t="n">
        <v>640</v>
      </c>
      <c r="G100" s="9" t="n">
        <v>3400</v>
      </c>
      <c r="H100" s="9" t="n">
        <v>58</v>
      </c>
      <c r="I100" s="9" t="n">
        <v>110</v>
      </c>
      <c r="J100" s="6" t="n">
        <f aca="false">ROUND(I100*$L$2,2)</f>
        <v>44.64</v>
      </c>
    </row>
    <row r="101" customFormat="false" ht="15" hidden="false" customHeight="true" outlineLevel="0" collapsed="false">
      <c r="A101" s="6" t="s">
        <v>1477</v>
      </c>
      <c r="B101" s="6" t="n">
        <v>6</v>
      </c>
      <c r="C101" s="6" t="s">
        <v>1478</v>
      </c>
      <c r="D101" s="6" t="s">
        <v>1256</v>
      </c>
      <c r="E101" s="9" t="n">
        <v>540</v>
      </c>
      <c r="F101" s="9" t="n">
        <v>420</v>
      </c>
      <c r="G101" s="9" t="n">
        <v>2200</v>
      </c>
      <c r="H101" s="9" t="n">
        <v>30</v>
      </c>
      <c r="I101" s="9" t="n">
        <v>64</v>
      </c>
      <c r="J101" s="6" t="n">
        <f aca="false">ROUND(I101*$L$2,2)</f>
        <v>25.97</v>
      </c>
    </row>
    <row r="102" customFormat="false" ht="15" hidden="false" customHeight="true" outlineLevel="0" collapsed="false">
      <c r="A102" s="6" t="s">
        <v>1479</v>
      </c>
      <c r="B102" s="6" t="n">
        <v>6</v>
      </c>
      <c r="C102" s="6" t="s">
        <v>1480</v>
      </c>
      <c r="D102" s="6" t="s">
        <v>356</v>
      </c>
      <c r="E102" s="9" t="n">
        <v>80</v>
      </c>
      <c r="F102" s="9" t="n">
        <v>360</v>
      </c>
      <c r="G102" s="9" t="n">
        <v>2600</v>
      </c>
      <c r="H102" s="9" t="n">
        <v>58</v>
      </c>
      <c r="I102" s="9" t="n">
        <v>44</v>
      </c>
      <c r="J102" s="6" t="n">
        <f aca="false">ROUND(I102*$L$2,2)</f>
        <v>17.86</v>
      </c>
    </row>
    <row r="103" customFormat="false" ht="15" hidden="false" customHeight="true" outlineLevel="0" collapsed="false">
      <c r="A103" s="6" t="s">
        <v>1481</v>
      </c>
      <c r="B103" s="6" t="n">
        <v>6</v>
      </c>
      <c r="C103" s="6" t="s">
        <v>1482</v>
      </c>
      <c r="D103" s="6" t="s">
        <v>1287</v>
      </c>
      <c r="E103" s="9" t="n">
        <v>120</v>
      </c>
      <c r="F103" s="9" t="n">
        <v>340</v>
      </c>
      <c r="G103" s="9" t="n">
        <v>1600</v>
      </c>
      <c r="H103" s="9" t="n">
        <v>56</v>
      </c>
      <c r="I103" s="9" t="n">
        <v>44</v>
      </c>
      <c r="J103" s="6" t="n">
        <f aca="false">ROUND(I103*$L$2,2)</f>
        <v>17.86</v>
      </c>
    </row>
    <row r="104" customFormat="false" ht="15" hidden="false" customHeight="true" outlineLevel="0" collapsed="false">
      <c r="A104" s="6" t="s">
        <v>1483</v>
      </c>
      <c r="B104" s="6" t="n">
        <v>6</v>
      </c>
      <c r="C104" s="6" t="s">
        <v>1484</v>
      </c>
      <c r="D104" s="6" t="s">
        <v>1320</v>
      </c>
      <c r="E104" s="9" t="n">
        <v>60</v>
      </c>
      <c r="F104" s="9" t="n">
        <v>180</v>
      </c>
      <c r="G104" s="9" t="n">
        <v>1200</v>
      </c>
      <c r="H104" s="9" t="n">
        <v>48</v>
      </c>
      <c r="I104" s="9" t="n">
        <v>140</v>
      </c>
      <c r="J104" s="6" t="n">
        <f aca="false">ROUND(I104*$L$2,2)</f>
        <v>56.82</v>
      </c>
    </row>
    <row r="105" customFormat="false" ht="15" hidden="false" customHeight="true" outlineLevel="0" collapsed="false">
      <c r="A105" s="6" t="s">
        <v>1485</v>
      </c>
      <c r="B105" s="6" t="n">
        <v>6</v>
      </c>
      <c r="C105" s="6" t="s">
        <v>1486</v>
      </c>
      <c r="D105" s="6" t="s">
        <v>1454</v>
      </c>
      <c r="E105" s="9" t="n">
        <v>900</v>
      </c>
      <c r="F105" s="9" t="n">
        <v>900</v>
      </c>
      <c r="G105" s="9" t="n">
        <v>5200</v>
      </c>
      <c r="H105" s="9" t="n">
        <v>0</v>
      </c>
      <c r="I105" s="9" t="n">
        <v>90</v>
      </c>
      <c r="J105" s="6" t="n">
        <f aca="false">ROUND(I105*$L$2,2)</f>
        <v>36.53</v>
      </c>
    </row>
    <row r="106" customFormat="false" ht="15" hidden="false" customHeight="true" outlineLevel="0" collapsed="false">
      <c r="A106" s="6" t="s">
        <v>1487</v>
      </c>
      <c r="B106" s="6" t="n">
        <v>6</v>
      </c>
      <c r="C106" s="6" t="s">
        <v>1488</v>
      </c>
      <c r="D106" s="6" t="s">
        <v>356</v>
      </c>
      <c r="E106" s="9" t="n">
        <v>200</v>
      </c>
      <c r="F106" s="9" t="n">
        <v>460</v>
      </c>
      <c r="G106" s="9" t="n">
        <v>2800</v>
      </c>
      <c r="H106" s="9" t="n">
        <v>52</v>
      </c>
      <c r="I106" s="9" t="n">
        <v>56</v>
      </c>
      <c r="J106" s="6" t="n">
        <f aca="false">ROUND(I106*$L$2,2)</f>
        <v>22.73</v>
      </c>
    </row>
    <row r="107" customFormat="false" ht="15" hidden="false" customHeight="true" outlineLevel="0" collapsed="false">
      <c r="A107" s="6" t="s">
        <v>1489</v>
      </c>
      <c r="B107" s="6" t="n">
        <v>6</v>
      </c>
      <c r="C107" s="6" t="s">
        <v>1490</v>
      </c>
      <c r="D107" s="6" t="s">
        <v>1491</v>
      </c>
      <c r="E107" s="9" t="n">
        <v>2400</v>
      </c>
      <c r="F107" s="9" t="n">
        <v>600</v>
      </c>
      <c r="G107" s="9" t="n">
        <v>5000</v>
      </c>
      <c r="H107" s="9" t="n">
        <v>26</v>
      </c>
      <c r="I107" s="9" t="n">
        <v>400</v>
      </c>
      <c r="J107" s="6" t="n">
        <f aca="false">ROUND(I107*$L$2,2)</f>
        <v>162.33</v>
      </c>
    </row>
    <row r="108" customFormat="false" ht="15" hidden="false" customHeight="true" outlineLevel="0" collapsed="false">
      <c r="A108" s="6" t="s">
        <v>1492</v>
      </c>
      <c r="B108" s="6" t="n">
        <v>6</v>
      </c>
      <c r="C108" s="6" t="s">
        <v>1493</v>
      </c>
      <c r="D108" s="6" t="s">
        <v>1292</v>
      </c>
      <c r="E108" s="9" t="n">
        <v>1200</v>
      </c>
      <c r="F108" s="9" t="n">
        <v>800</v>
      </c>
      <c r="G108" s="9" t="n">
        <v>4600</v>
      </c>
      <c r="H108" s="9" t="n">
        <v>52</v>
      </c>
      <c r="I108" s="9" t="n">
        <v>150</v>
      </c>
      <c r="J108" s="6" t="n">
        <f aca="false">ROUND(I108*$L$2,2)</f>
        <v>60.88</v>
      </c>
    </row>
    <row r="109" customFormat="false" ht="15" hidden="false" customHeight="true" outlineLevel="0" collapsed="false">
      <c r="A109" s="6" t="s">
        <v>1494</v>
      </c>
      <c r="B109" s="6" t="n">
        <v>6</v>
      </c>
      <c r="C109" s="6" t="s">
        <v>1495</v>
      </c>
      <c r="D109" s="6" t="s">
        <v>1292</v>
      </c>
      <c r="E109" s="9" t="n">
        <v>1050</v>
      </c>
      <c r="F109" s="9" t="n">
        <v>620</v>
      </c>
      <c r="G109" s="9" t="n">
        <v>3600</v>
      </c>
      <c r="H109" s="9" t="n">
        <v>50</v>
      </c>
      <c r="I109" s="9" t="n">
        <v>130</v>
      </c>
      <c r="J109" s="6" t="n">
        <f aca="false">ROUND(I109*$L$2,2)</f>
        <v>52.76</v>
      </c>
    </row>
    <row r="110" customFormat="false" ht="15" hidden="false" customHeight="true" outlineLevel="0" collapsed="false">
      <c r="A110" s="6" t="s">
        <v>1496</v>
      </c>
      <c r="B110" s="6" t="n">
        <v>7</v>
      </c>
      <c r="C110" s="6" t="s">
        <v>1497</v>
      </c>
      <c r="D110" s="6" t="s">
        <v>1438</v>
      </c>
      <c r="E110" s="9" t="n">
        <v>1600</v>
      </c>
      <c r="F110" s="9" t="n">
        <v>1200</v>
      </c>
      <c r="G110" s="9" t="n">
        <v>7000</v>
      </c>
      <c r="H110" s="9" t="n">
        <v>70</v>
      </c>
      <c r="I110" s="9" t="n">
        <v>180</v>
      </c>
      <c r="J110" s="6" t="n">
        <f aca="false">ROUND(I110*$L$2,2)</f>
        <v>73.05</v>
      </c>
    </row>
    <row r="111" customFormat="false" ht="15" hidden="false" customHeight="true" outlineLevel="0" collapsed="false">
      <c r="A111" s="6" t="s">
        <v>1498</v>
      </c>
      <c r="B111" s="6" t="n">
        <v>7</v>
      </c>
      <c r="C111" s="6" t="s">
        <v>1499</v>
      </c>
      <c r="D111" s="6" t="s">
        <v>1264</v>
      </c>
      <c r="E111" s="9" t="n">
        <v>1500</v>
      </c>
      <c r="F111" s="9" t="n">
        <v>800</v>
      </c>
      <c r="G111" s="9" t="n">
        <v>5200</v>
      </c>
      <c r="H111" s="9" t="n">
        <v>110</v>
      </c>
      <c r="I111" s="9" t="n">
        <v>160</v>
      </c>
      <c r="J111" s="6" t="n">
        <f aca="false">ROUND(I111*$L$2,2)</f>
        <v>64.93</v>
      </c>
    </row>
    <row r="112" customFormat="false" ht="15" hidden="false" customHeight="true" outlineLevel="0" collapsed="false">
      <c r="A112" s="6" t="s">
        <v>1500</v>
      </c>
      <c r="B112" s="6" t="n">
        <v>7</v>
      </c>
      <c r="C112" s="6" t="s">
        <v>1501</v>
      </c>
      <c r="D112" s="6" t="s">
        <v>1454</v>
      </c>
      <c r="E112" s="9" t="n">
        <v>2000</v>
      </c>
      <c r="F112" s="9" t="n">
        <v>2200</v>
      </c>
      <c r="G112" s="9" t="n">
        <v>12000</v>
      </c>
      <c r="H112" s="9" t="n">
        <v>0</v>
      </c>
      <c r="I112" s="9" t="n">
        <v>220</v>
      </c>
      <c r="J112" s="6" t="n">
        <f aca="false">ROUND(I112*$L$2,2)</f>
        <v>89.28</v>
      </c>
    </row>
    <row r="113" customFormat="false" ht="15" hidden="false" customHeight="true" outlineLevel="0" collapsed="false">
      <c r="A113" s="6" t="s">
        <v>1502</v>
      </c>
      <c r="B113" s="6" t="n">
        <v>7</v>
      </c>
      <c r="C113" s="6" t="s">
        <v>1503</v>
      </c>
      <c r="D113" s="6" t="s">
        <v>356</v>
      </c>
      <c r="E113" s="9" t="n">
        <v>400</v>
      </c>
      <c r="F113" s="9" t="n">
        <v>1600</v>
      </c>
      <c r="G113" s="9" t="n">
        <v>10000</v>
      </c>
      <c r="H113" s="9" t="n">
        <v>44</v>
      </c>
      <c r="I113" s="9" t="n">
        <v>190</v>
      </c>
      <c r="J113" s="6" t="n">
        <f aca="false">ROUND(I113*$L$2,2)</f>
        <v>77.11</v>
      </c>
    </row>
    <row r="114" customFormat="false" ht="15" hidden="false" customHeight="true" outlineLevel="0" collapsed="false">
      <c r="A114" s="6" t="s">
        <v>1504</v>
      </c>
      <c r="B114" s="6" t="n">
        <v>7</v>
      </c>
      <c r="C114" s="6" t="s">
        <v>1505</v>
      </c>
      <c r="D114" s="6" t="s">
        <v>1287</v>
      </c>
      <c r="E114" s="9" t="n">
        <v>600</v>
      </c>
      <c r="F114" s="9" t="n">
        <v>1400</v>
      </c>
      <c r="G114" s="9" t="n">
        <v>8000</v>
      </c>
      <c r="H114" s="9" t="n">
        <v>50</v>
      </c>
      <c r="I114" s="9" t="n">
        <v>170</v>
      </c>
      <c r="J114" s="6" t="n">
        <f aca="false">ROUND(I114*$L$2,2)</f>
        <v>68.99</v>
      </c>
    </row>
    <row r="115" customFormat="false" ht="15" hidden="false" customHeight="true" outlineLevel="0" collapsed="false">
      <c r="A115" s="6" t="s">
        <v>1506</v>
      </c>
      <c r="B115" s="6" t="n">
        <v>7</v>
      </c>
      <c r="C115" s="6" t="s">
        <v>1507</v>
      </c>
      <c r="D115" s="6" t="s">
        <v>1323</v>
      </c>
      <c r="E115" s="9" t="n">
        <v>900</v>
      </c>
      <c r="F115" s="9" t="n">
        <v>500</v>
      </c>
      <c r="G115" s="9" t="n">
        <v>3000</v>
      </c>
      <c r="H115" s="9" t="n">
        <v>120</v>
      </c>
      <c r="I115" s="9" t="n">
        <v>150</v>
      </c>
      <c r="J115" s="6" t="n">
        <f aca="false">ROUND(I115*$L$2,2)</f>
        <v>60.88</v>
      </c>
    </row>
    <row r="116" customFormat="false" ht="15" hidden="false" customHeight="true" outlineLevel="0" collapsed="false">
      <c r="A116" s="6" t="s">
        <v>1508</v>
      </c>
      <c r="B116" s="6" t="n">
        <v>7</v>
      </c>
      <c r="C116" s="6" t="s">
        <v>1509</v>
      </c>
      <c r="D116" s="6" t="s">
        <v>1454</v>
      </c>
      <c r="E116" s="9" t="n">
        <v>2400</v>
      </c>
      <c r="F116" s="9" t="n">
        <v>2600</v>
      </c>
      <c r="G116" s="9" t="n">
        <v>16000</v>
      </c>
      <c r="H116" s="9" t="n">
        <v>10</v>
      </c>
      <c r="I116" s="9" t="n">
        <v>300</v>
      </c>
      <c r="J116" s="6" t="n">
        <f aca="false">ROUND(I116*$L$2,2)</f>
        <v>121.75</v>
      </c>
    </row>
    <row r="117" customFormat="false" ht="15" hidden="false" customHeight="true" outlineLevel="0" collapsed="false">
      <c r="A117" s="6" t="s">
        <v>1510</v>
      </c>
      <c r="B117" s="6" t="n">
        <v>7</v>
      </c>
      <c r="C117" s="6" t="s">
        <v>1511</v>
      </c>
      <c r="D117" s="6" t="s">
        <v>1468</v>
      </c>
      <c r="E117" s="9" t="n">
        <v>4000</v>
      </c>
      <c r="F117" s="9" t="n">
        <v>3000</v>
      </c>
      <c r="G117" s="9" t="n">
        <v>26000</v>
      </c>
      <c r="H117" s="9" t="n">
        <v>60</v>
      </c>
      <c r="I117" s="9" t="n">
        <v>900</v>
      </c>
      <c r="J117" s="6" t="n">
        <f aca="false">ROUND(I117*$L$2,2)</f>
        <v>365.25</v>
      </c>
    </row>
    <row r="118" customFormat="false" ht="15" hidden="false" customHeight="true" outlineLevel="0" collapsed="false">
      <c r="A118" s="6" t="s">
        <v>1512</v>
      </c>
      <c r="B118" s="6" t="n">
        <v>7</v>
      </c>
      <c r="C118" s="6" t="s">
        <v>1513</v>
      </c>
      <c r="D118" s="6" t="s">
        <v>1514</v>
      </c>
      <c r="E118" s="9" t="n">
        <v>2000</v>
      </c>
      <c r="F118" s="9" t="n">
        <v>2800</v>
      </c>
      <c r="G118" s="9" t="n">
        <v>30000</v>
      </c>
      <c r="H118" s="9" t="n">
        <v>36</v>
      </c>
      <c r="I118" s="9" t="n">
        <v>600</v>
      </c>
      <c r="J118" s="6" t="n">
        <f aca="false">ROUND(I118*$L$2,2)</f>
        <v>243.5</v>
      </c>
    </row>
    <row r="119" customFormat="false" ht="15" hidden="false" customHeight="true" outlineLevel="0" collapsed="false">
      <c r="A119" s="6" t="s">
        <v>1515</v>
      </c>
      <c r="B119" s="6" t="n">
        <v>7</v>
      </c>
      <c r="C119" s="6" t="s">
        <v>1516</v>
      </c>
      <c r="D119" s="6" t="s">
        <v>1292</v>
      </c>
      <c r="E119" s="9" t="n">
        <v>2600</v>
      </c>
      <c r="F119" s="9" t="n">
        <v>1800</v>
      </c>
      <c r="G119" s="9" t="n">
        <v>11000</v>
      </c>
      <c r="H119" s="9" t="n">
        <v>66</v>
      </c>
      <c r="I119" s="9" t="n">
        <v>340</v>
      </c>
      <c r="J119" s="6" t="n">
        <f aca="false">ROUND(I119*$L$2,2)</f>
        <v>137.98</v>
      </c>
    </row>
    <row r="120" customFormat="false" ht="15" hidden="false" customHeight="true" outlineLevel="0" collapsed="false">
      <c r="A120" s="6" t="s">
        <v>1517</v>
      </c>
      <c r="B120" s="6" t="n">
        <v>7</v>
      </c>
      <c r="C120" s="6" t="s">
        <v>1518</v>
      </c>
      <c r="D120" s="6" t="s">
        <v>1292</v>
      </c>
      <c r="E120" s="9" t="n">
        <v>2300</v>
      </c>
      <c r="F120" s="9" t="n">
        <v>1500</v>
      </c>
      <c r="G120" s="9" t="n">
        <v>9000</v>
      </c>
      <c r="H120" s="9" t="n">
        <v>60</v>
      </c>
      <c r="I120" s="9" t="n">
        <v>300</v>
      </c>
      <c r="J120" s="6" t="n">
        <f aca="false">ROUND(I120*$L$2,2)</f>
        <v>121.75</v>
      </c>
    </row>
    <row r="121" customFormat="false" ht="15" hidden="false" customHeight="true" outlineLevel="0" collapsed="false">
      <c r="A121" s="6" t="s">
        <v>1519</v>
      </c>
      <c r="B121" s="6" t="n">
        <v>7</v>
      </c>
      <c r="C121" s="6" t="s">
        <v>1520</v>
      </c>
      <c r="D121" s="6" t="s">
        <v>1459</v>
      </c>
      <c r="E121" s="9" t="n">
        <v>2500</v>
      </c>
      <c r="F121" s="9" t="n">
        <v>1300</v>
      </c>
      <c r="G121" s="9" t="n">
        <v>8000</v>
      </c>
      <c r="H121" s="9" t="n">
        <v>90</v>
      </c>
      <c r="I121" s="9" t="n">
        <v>280</v>
      </c>
      <c r="J121" s="6" t="n">
        <f aca="false">ROUND(I121*$L$2,2)</f>
        <v>113.63</v>
      </c>
    </row>
    <row r="122" customFormat="false" ht="15" hidden="false" customHeight="true" outlineLevel="0" collapsed="false">
      <c r="A122" s="6" t="s">
        <v>1521</v>
      </c>
      <c r="B122" s="6" t="n">
        <v>7</v>
      </c>
      <c r="C122" s="6" t="s">
        <v>1522</v>
      </c>
      <c r="D122" s="6" t="s">
        <v>1270</v>
      </c>
      <c r="E122" s="9" t="n">
        <v>1700</v>
      </c>
      <c r="F122" s="9" t="n">
        <v>1900</v>
      </c>
      <c r="G122" s="9" t="n">
        <v>10000</v>
      </c>
      <c r="H122" s="9" t="n">
        <v>64</v>
      </c>
      <c r="I122" s="9" t="n">
        <v>210</v>
      </c>
      <c r="J122" s="6" t="n">
        <f aca="false">ROUND(I122*$L$2,2)</f>
        <v>85.23</v>
      </c>
    </row>
    <row r="123" customFormat="false" ht="15" hidden="false" customHeight="true" outlineLevel="0" collapsed="false">
      <c r="A123" s="6" t="s">
        <v>1523</v>
      </c>
      <c r="B123" s="6" t="n">
        <v>7</v>
      </c>
      <c r="C123" s="6" t="s">
        <v>1524</v>
      </c>
      <c r="D123" s="6" t="s">
        <v>1275</v>
      </c>
      <c r="E123" s="9" t="n">
        <v>2800</v>
      </c>
      <c r="F123" s="9" t="n">
        <v>1900</v>
      </c>
      <c r="G123" s="9" t="n">
        <v>12000</v>
      </c>
      <c r="H123" s="9" t="n">
        <v>58</v>
      </c>
      <c r="I123" s="9" t="n">
        <v>360</v>
      </c>
      <c r="J123" s="6" t="n">
        <f aca="false">ROUND(I123*$L$2,2)</f>
        <v>146.1</v>
      </c>
    </row>
    <row r="124" customFormat="false" ht="15" hidden="false" customHeight="true" outlineLevel="0" collapsed="false">
      <c r="A124" s="6" t="s">
        <v>1525</v>
      </c>
      <c r="B124" s="6" t="n">
        <v>7</v>
      </c>
      <c r="C124" s="6" t="s">
        <v>1526</v>
      </c>
      <c r="D124" s="6" t="s">
        <v>1320</v>
      </c>
      <c r="E124" s="9" t="n">
        <v>400</v>
      </c>
      <c r="F124" s="9" t="n">
        <v>900</v>
      </c>
      <c r="G124" s="9" t="n">
        <v>6000</v>
      </c>
      <c r="H124" s="9" t="n">
        <v>52</v>
      </c>
      <c r="I124" s="9" t="n">
        <v>500</v>
      </c>
      <c r="J124" s="6" t="n">
        <f aca="false">ROUND(I124*$L$2,2)</f>
        <v>202.92</v>
      </c>
    </row>
    <row r="125" customFormat="false" ht="15" hidden="false" customHeight="true" outlineLevel="0" collapsed="false">
      <c r="A125" s="6" t="s">
        <v>1527</v>
      </c>
      <c r="B125" s="6" t="n">
        <v>7</v>
      </c>
      <c r="C125" s="6" t="s">
        <v>1528</v>
      </c>
      <c r="D125" s="6" t="s">
        <v>1427</v>
      </c>
      <c r="E125" s="9" t="n">
        <v>1300</v>
      </c>
      <c r="F125" s="9" t="n">
        <v>1500</v>
      </c>
      <c r="G125" s="9" t="n">
        <v>7000</v>
      </c>
      <c r="H125" s="9" t="n">
        <v>68</v>
      </c>
      <c r="I125" s="9" t="n">
        <v>200</v>
      </c>
      <c r="J125" s="6" t="n">
        <f aca="false">ROUND(I125*$L$2,2)</f>
        <v>81.17</v>
      </c>
    </row>
    <row r="126" customFormat="false" ht="15" hidden="false" customHeight="true" outlineLevel="0" collapsed="false">
      <c r="A126" s="6" t="s">
        <v>1529</v>
      </c>
      <c r="B126" s="6" t="n">
        <v>7</v>
      </c>
      <c r="C126" s="6" t="s">
        <v>1530</v>
      </c>
      <c r="D126" s="6" t="s">
        <v>1307</v>
      </c>
      <c r="E126" s="9" t="n">
        <v>2700</v>
      </c>
      <c r="F126" s="9" t="n">
        <v>1700</v>
      </c>
      <c r="G126" s="9" t="n">
        <v>10500</v>
      </c>
      <c r="H126" s="9" t="n">
        <v>84</v>
      </c>
      <c r="I126" s="9" t="n">
        <v>330</v>
      </c>
      <c r="J126" s="6" t="n">
        <f aca="false">ROUND(I126*$L$2,2)</f>
        <v>133.93</v>
      </c>
    </row>
    <row r="127" customFormat="false" ht="15" hidden="false" customHeight="true" outlineLevel="0" collapsed="false">
      <c r="A127" s="6" t="s">
        <v>1531</v>
      </c>
      <c r="B127" s="6" t="n">
        <v>7</v>
      </c>
      <c r="C127" s="6" t="s">
        <v>1532</v>
      </c>
      <c r="D127" s="6" t="s">
        <v>1424</v>
      </c>
      <c r="E127" s="9" t="n">
        <v>1900</v>
      </c>
      <c r="F127" s="9" t="n">
        <v>900</v>
      </c>
      <c r="G127" s="9" t="n">
        <v>7000</v>
      </c>
      <c r="H127" s="9" t="n">
        <v>80</v>
      </c>
      <c r="I127" s="9" t="n">
        <v>240</v>
      </c>
      <c r="J127" s="6" t="n">
        <f aca="false">ROUND(I127*$L$2,2)</f>
        <v>97.4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0"/>
    <col collapsed="false" customWidth="true" hidden="false" outlineLevel="0" max="3" min="3" style="1" width="14"/>
    <col collapsed="false" customWidth="true" hidden="false" outlineLevel="0" max="4" min="4" style="1" width="15"/>
    <col collapsed="false" customWidth="true" hidden="false" outlineLevel="0" max="5" min="5" style="1" width="58"/>
  </cols>
  <sheetData>
    <row r="1" customFormat="false" ht="15" hidden="false" customHeight="true" outlineLevel="0" collapsed="false">
      <c r="A1" s="5" t="s">
        <v>1533</v>
      </c>
      <c r="B1" s="5" t="s">
        <v>1534</v>
      </c>
      <c r="C1" s="5" t="s">
        <v>1535</v>
      </c>
      <c r="D1" s="5" t="s">
        <v>1536</v>
      </c>
      <c r="E1" s="5" t="s">
        <v>1537</v>
      </c>
    </row>
    <row r="2" customFormat="false" ht="15" hidden="false" customHeight="true" outlineLevel="0" collapsed="false">
      <c r="A2" s="6" t="s">
        <v>1538</v>
      </c>
      <c r="B2" s="9" t="n">
        <v>1</v>
      </c>
      <c r="C2" s="9" t="n">
        <v>1</v>
      </c>
      <c r="D2" s="9" t="n">
        <v>1</v>
      </c>
      <c r="E2" s="6" t="s">
        <v>1539</v>
      </c>
    </row>
    <row r="3" customFormat="false" ht="15" hidden="false" customHeight="true" outlineLevel="0" collapsed="false">
      <c r="A3" s="6" t="s">
        <v>1540</v>
      </c>
      <c r="B3" s="9" t="n">
        <v>1.35</v>
      </c>
      <c r="C3" s="9" t="n">
        <v>1.25</v>
      </c>
      <c r="D3" s="9" t="n">
        <v>1.5</v>
      </c>
      <c r="E3" s="6" t="s">
        <v>1541</v>
      </c>
    </row>
    <row r="4" customFormat="false" ht="15" hidden="false" customHeight="true" outlineLevel="0" collapsed="false">
      <c r="A4" s="6" t="s">
        <v>1542</v>
      </c>
      <c r="B4" s="9" t="n">
        <v>1.8</v>
      </c>
      <c r="C4" s="9" t="n">
        <v>1.6</v>
      </c>
      <c r="D4" s="9" t="n">
        <v>2.5</v>
      </c>
      <c r="E4" s="6" t="s">
        <v>1543</v>
      </c>
    </row>
    <row r="5" customFormat="false" ht="15" hidden="false" customHeight="true" outlineLevel="0" collapsed="false">
      <c r="A5" s="6" t="s">
        <v>1544</v>
      </c>
      <c r="B5" s="9" t="n">
        <v>2.4</v>
      </c>
      <c r="C5" s="9" t="n">
        <v>2.1</v>
      </c>
      <c r="D5" s="9" t="n">
        <v>4</v>
      </c>
      <c r="E5" s="6" t="s">
        <v>1545</v>
      </c>
    </row>
    <row r="6" customFormat="false" ht="15" hidden="false" customHeight="true" outlineLevel="0" collapsed="false">
      <c r="A6" s="6" t="s">
        <v>1546</v>
      </c>
      <c r="B6" s="9" t="n">
        <v>3.2</v>
      </c>
      <c r="C6" s="9" t="n">
        <v>2.8</v>
      </c>
      <c r="D6" s="9" t="n">
        <v>7</v>
      </c>
      <c r="E6" s="6" t="s">
        <v>1547</v>
      </c>
    </row>
    <row r="7" customFormat="false" ht="15" hidden="false" customHeight="true" outlineLevel="0" collapsed="false">
      <c r="A7" s="6" t="s">
        <v>1548</v>
      </c>
      <c r="B7" s="9" t="n">
        <v>4.2</v>
      </c>
      <c r="C7" s="9" t="n">
        <v>3.7</v>
      </c>
      <c r="D7" s="9" t="n">
        <v>12</v>
      </c>
      <c r="E7" s="6" t="s">
        <v>1549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0"/>
    <col collapsed="false" customWidth="true" hidden="false" outlineLevel="0" max="5" min="5" style="1" width="12"/>
    <col collapsed="false" customWidth="true" hidden="false" outlineLevel="0" max="6" min="6" style="1" width="60"/>
  </cols>
  <sheetData>
    <row r="1" customFormat="false" ht="15" hidden="false" customHeight="true" outlineLevel="0" collapsed="false">
      <c r="A1" s="5" t="s">
        <v>1550</v>
      </c>
      <c r="B1" s="5" t="s">
        <v>1551</v>
      </c>
      <c r="C1" s="5" t="s">
        <v>1552</v>
      </c>
      <c r="D1" s="5" t="s">
        <v>1553</v>
      </c>
      <c r="E1" s="5" t="s">
        <v>1554</v>
      </c>
      <c r="F1" s="5" t="s">
        <v>1555</v>
      </c>
    </row>
    <row r="2" customFormat="false" ht="15" hidden="false" customHeight="true" outlineLevel="0" collapsed="false">
      <c r="A2" s="6" t="s">
        <v>1556</v>
      </c>
      <c r="B2" s="9" t="n">
        <v>1</v>
      </c>
      <c r="C2" s="9" t="n">
        <v>1</v>
      </c>
      <c r="D2" s="9" t="n">
        <v>1</v>
      </c>
      <c r="E2" s="9" t="n">
        <v>1</v>
      </c>
      <c r="F2" s="6" t="s">
        <v>1557</v>
      </c>
    </row>
    <row r="3" customFormat="false" ht="15" hidden="false" customHeight="true" outlineLevel="0" collapsed="false">
      <c r="A3" s="6" t="s">
        <v>1558</v>
      </c>
      <c r="B3" s="9" t="n">
        <v>1.2</v>
      </c>
      <c r="C3" s="9" t="n">
        <v>0.85</v>
      </c>
      <c r="D3" s="9" t="n">
        <v>0.95</v>
      </c>
      <c r="E3" s="9" t="n">
        <v>1.05</v>
      </c>
      <c r="F3" s="6" t="s">
        <v>1559</v>
      </c>
    </row>
    <row r="4" customFormat="false" ht="15" hidden="false" customHeight="true" outlineLevel="0" collapsed="false">
      <c r="A4" s="6" t="s">
        <v>1560</v>
      </c>
      <c r="B4" s="9" t="n">
        <v>0.85</v>
      </c>
      <c r="C4" s="9" t="n">
        <v>1.25</v>
      </c>
      <c r="D4" s="9" t="n">
        <v>1.15</v>
      </c>
      <c r="E4" s="9" t="n">
        <v>0.92</v>
      </c>
      <c r="F4" s="6" t="s">
        <v>1561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22"/>
    <col collapsed="false" customWidth="true" hidden="false" outlineLevel="0" max="4" min="4" style="1" width="24"/>
    <col collapsed="false" customWidth="true" hidden="false" outlineLevel="0" max="5" min="5" style="1" width="20"/>
    <col collapsed="false" customWidth="true" hidden="false" outlineLevel="0" max="6" min="6" style="1" width="14"/>
    <col collapsed="false" customWidth="true" hidden="false" outlineLevel="0" max="7" min="7" style="1" width="18"/>
    <col collapsed="false" customWidth="true" hidden="false" outlineLevel="0" max="9" min="8" style="1" width="10"/>
    <col collapsed="false" customWidth="true" hidden="false" outlineLevel="0" max="10" min="10" style="1" width="11"/>
    <col collapsed="false" customWidth="true" hidden="false" outlineLevel="0" max="12" min="11" style="1" width="10"/>
    <col collapsed="false" customWidth="true" hidden="false" outlineLevel="0" max="14" min="13" style="1" width="13"/>
  </cols>
  <sheetData>
    <row r="1" customFormat="false" ht="23.25" hidden="false" customHeight="true" outlineLevel="0" collapsed="false">
      <c r="A1" s="5" t="s">
        <v>246</v>
      </c>
      <c r="B1" s="5" t="s">
        <v>1562</v>
      </c>
      <c r="C1" s="5" t="s">
        <v>1238</v>
      </c>
      <c r="D1" s="5" t="s">
        <v>1237</v>
      </c>
      <c r="E1" s="5" t="s">
        <v>1550</v>
      </c>
      <c r="F1" s="5" t="s">
        <v>1533</v>
      </c>
      <c r="G1" s="5" t="s">
        <v>1239</v>
      </c>
      <c r="H1" s="5" t="s">
        <v>1563</v>
      </c>
      <c r="I1" s="5" t="s">
        <v>1564</v>
      </c>
      <c r="J1" s="5" t="s">
        <v>1565</v>
      </c>
      <c r="K1" s="5" t="s">
        <v>1566</v>
      </c>
      <c r="L1" s="5" t="s">
        <v>1567</v>
      </c>
      <c r="M1" s="5" t="s">
        <v>1568</v>
      </c>
      <c r="N1" s="5" t="s">
        <v>1569</v>
      </c>
    </row>
    <row r="2" customFormat="false" ht="15" hidden="false" customHeight="true" outlineLevel="0" collapsed="false">
      <c r="A2" s="6" t="n">
        <v>1</v>
      </c>
      <c r="B2" s="6" t="s">
        <v>1248</v>
      </c>
      <c r="C2" s="6" t="s">
        <v>1248</v>
      </c>
      <c r="D2" s="6" t="str">
        <f aca="false">A2&amp;"|"&amp;C2</f>
        <v>1|Militia</v>
      </c>
      <c r="E2" s="6" t="s">
        <v>1556</v>
      </c>
      <c r="F2" s="6" t="s">
        <v>1538</v>
      </c>
      <c r="G2" s="6" t="str">
        <f aca="false">INDEX(Archetypes!$D$2:$D$127, MATCH(D2, Archetypes!$A$2:$A$127, 0))</f>
        <v>Line Infantry</v>
      </c>
      <c r="H2" s="6" t="n">
        <f aca="false">ROUND(INDEX(Archetypes!$E$2:$E$127, MATCH(D2, Archetypes!$A$2:$A$127, 0))*INDEX(Unit_Grades!$B$2:$B$7, MATCH(F2, Unit_Grades!$A$2:$A$7, 0))*INDEX(Unit_Paths!$B$2:$B$4, MATCH(E2, Unit_Paths!$A$2:$A$4, 0)),1)</f>
        <v>8</v>
      </c>
      <c r="I2" s="6" t="n">
        <f aca="false">ROUND(INDEX(Archetypes!$F$2:$F$127, MATCH(D2, Archetypes!$A$2:$A$127, 0))*INDEX(Unit_Grades!$B$2:$B$7, MATCH(F2, Unit_Grades!$A$2:$A$7, 0))*INDEX(Unit_Paths!$C$2:$C$4, MATCH(E2, Unit_Paths!$A$2:$A$4, 0)),1)</f>
        <v>14</v>
      </c>
      <c r="J2" s="6" t="n">
        <f aca="false">ROUND(INDEX(Archetypes!$G$2:$G$127, MATCH(D2, Archetypes!$A$2:$A$127, 0))*INDEX(Unit_Grades!$B$2:$B$7, MATCH(F2, Unit_Grades!$A$2:$A$7, 0))*INDEX(Unit_Paths!$D$2:$D$4, MATCH(E2, Unit_Paths!$A$2:$A$4, 0)),0)</f>
        <v>60</v>
      </c>
      <c r="K2" s="6" t="n">
        <f aca="false">ROUND(INDEX(Archetypes!$H$2:$H$127, MATCH(D2, Archetypes!$A$2:$A$127, 0))*INDEX(Unit_Paths!$E$2:$E$4, MATCH(E2, Unit_Paths!$A$2:$A$4, 0)),1)</f>
        <v>18</v>
      </c>
      <c r="L2" s="6" t="n">
        <f aca="false">ROUND(INDEX(Archetypes!$I$2:$I$127, MATCH(D2, Archetypes!$A$2:$A$127, 0))*INDEX(Unit_Grades!$C$2:$C$7, MATCH(F2, Unit_Grades!$A$2:$A$7, 0)),1)</f>
        <v>2</v>
      </c>
      <c r="M2" s="6" t="n">
        <f aca="false">ROUND(INDEX(Archetypes!$J$2:$J$127, MATCH(D2, Archetypes!$A$2:$A$127, 0))*INDEX(Unit_Grades!$D$2:$D$7, MATCH(F2, Unit_Grades!$A$2:$A$7, 0)),1)</f>
        <v>0.8</v>
      </c>
      <c r="N2" s="6" t="n">
        <f aca="false">ROUND(M2/24,2)</f>
        <v>0.03</v>
      </c>
    </row>
    <row r="3" customFormat="false" ht="15" hidden="false" customHeight="true" outlineLevel="0" collapsed="false">
      <c r="A3" s="6" t="n">
        <v>1</v>
      </c>
      <c r="B3" s="6" t="s">
        <v>1570</v>
      </c>
      <c r="C3" s="6" t="s">
        <v>1248</v>
      </c>
      <c r="D3" s="6" t="str">
        <f aca="false">A3&amp;"|"&amp;C3</f>
        <v>1|Militia</v>
      </c>
      <c r="E3" s="6" t="s">
        <v>1556</v>
      </c>
      <c r="F3" s="6" t="s">
        <v>1540</v>
      </c>
      <c r="G3" s="6" t="str">
        <f aca="false">INDEX(Archetypes!$D$2:$D$127, MATCH(D3, Archetypes!$A$2:$A$127, 0))</f>
        <v>Line Infantry</v>
      </c>
      <c r="H3" s="6" t="n">
        <f aca="false">ROUND(INDEX(Archetypes!$E$2:$E$127, MATCH(D3, Archetypes!$A$2:$A$127, 0))*INDEX(Unit_Grades!$B$2:$B$7, MATCH(F3, Unit_Grades!$A$2:$A$7, 0))*INDEX(Unit_Paths!$B$2:$B$4, MATCH(E3, Unit_Paths!$A$2:$A$4, 0)),1)</f>
        <v>10.8</v>
      </c>
      <c r="I3" s="6" t="n">
        <f aca="false">ROUND(INDEX(Archetypes!$F$2:$F$127, MATCH(D3, Archetypes!$A$2:$A$127, 0))*INDEX(Unit_Grades!$B$2:$B$7, MATCH(F3, Unit_Grades!$A$2:$A$7, 0))*INDEX(Unit_Paths!$C$2:$C$4, MATCH(E3, Unit_Paths!$A$2:$A$4, 0)),1)</f>
        <v>18.9</v>
      </c>
      <c r="J3" s="6" t="n">
        <f aca="false">ROUND(INDEX(Archetypes!$G$2:$G$127, MATCH(D3, Archetypes!$A$2:$A$127, 0))*INDEX(Unit_Grades!$B$2:$B$7, MATCH(F3, Unit_Grades!$A$2:$A$7, 0))*INDEX(Unit_Paths!$D$2:$D$4, MATCH(E3, Unit_Paths!$A$2:$A$4, 0)),0)</f>
        <v>81</v>
      </c>
      <c r="K3" s="6" t="n">
        <f aca="false">ROUND(INDEX(Archetypes!$H$2:$H$127, MATCH(D3, Archetypes!$A$2:$A$127, 0))*INDEX(Unit_Paths!$E$2:$E$4, MATCH(E3, Unit_Paths!$A$2:$A$4, 0)),1)</f>
        <v>18</v>
      </c>
      <c r="L3" s="6" t="n">
        <f aca="false">ROUND(INDEX(Archetypes!$I$2:$I$127, MATCH(D3, Archetypes!$A$2:$A$127, 0))*INDEX(Unit_Grades!$C$2:$C$7, MATCH(F3, Unit_Grades!$A$2:$A$7, 0)),1)</f>
        <v>2.5</v>
      </c>
      <c r="M3" s="6" t="n">
        <f aca="false">ROUND(INDEX(Archetypes!$J$2:$J$127, MATCH(D3, Archetypes!$A$2:$A$127, 0))*INDEX(Unit_Grades!$D$2:$D$7, MATCH(F3, Unit_Grades!$A$2:$A$7, 0)),1)</f>
        <v>1.2</v>
      </c>
      <c r="N3" s="6" t="n">
        <f aca="false">ROUND(M3/24,2)</f>
        <v>0.05</v>
      </c>
    </row>
    <row r="4" customFormat="false" ht="15" hidden="false" customHeight="true" outlineLevel="0" collapsed="false">
      <c r="A4" s="6" t="n">
        <v>1</v>
      </c>
      <c r="B4" s="6" t="s">
        <v>1571</v>
      </c>
      <c r="C4" s="6" t="s">
        <v>1248</v>
      </c>
      <c r="D4" s="6" t="str">
        <f aca="false">A4&amp;"|"&amp;C4</f>
        <v>1|Militia</v>
      </c>
      <c r="E4" s="6" t="s">
        <v>1556</v>
      </c>
      <c r="F4" s="6" t="s">
        <v>1542</v>
      </c>
      <c r="G4" s="6" t="str">
        <f aca="false">INDEX(Archetypes!$D$2:$D$127, MATCH(D4, Archetypes!$A$2:$A$127, 0))</f>
        <v>Line Infantry</v>
      </c>
      <c r="H4" s="6" t="n">
        <f aca="false">ROUND(INDEX(Archetypes!$E$2:$E$127, MATCH(D4, Archetypes!$A$2:$A$127, 0))*INDEX(Unit_Grades!$B$2:$B$7, MATCH(F4, Unit_Grades!$A$2:$A$7, 0))*INDEX(Unit_Paths!$B$2:$B$4, MATCH(E4, Unit_Paths!$A$2:$A$4, 0)),1)</f>
        <v>14.4</v>
      </c>
      <c r="I4" s="6" t="n">
        <f aca="false">ROUND(INDEX(Archetypes!$F$2:$F$127, MATCH(D4, Archetypes!$A$2:$A$127, 0))*INDEX(Unit_Grades!$B$2:$B$7, MATCH(F4, Unit_Grades!$A$2:$A$7, 0))*INDEX(Unit_Paths!$C$2:$C$4, MATCH(E4, Unit_Paths!$A$2:$A$4, 0)),1)</f>
        <v>25.2</v>
      </c>
      <c r="J4" s="6" t="n">
        <f aca="false">ROUND(INDEX(Archetypes!$G$2:$G$127, MATCH(D4, Archetypes!$A$2:$A$127, 0))*INDEX(Unit_Grades!$B$2:$B$7, MATCH(F4, Unit_Grades!$A$2:$A$7, 0))*INDEX(Unit_Paths!$D$2:$D$4, MATCH(E4, Unit_Paths!$A$2:$A$4, 0)),0)</f>
        <v>108</v>
      </c>
      <c r="K4" s="6" t="n">
        <f aca="false">ROUND(INDEX(Archetypes!$H$2:$H$127, MATCH(D4, Archetypes!$A$2:$A$127, 0))*INDEX(Unit_Paths!$E$2:$E$4, MATCH(E4, Unit_Paths!$A$2:$A$4, 0)),1)</f>
        <v>18</v>
      </c>
      <c r="L4" s="6" t="n">
        <f aca="false">ROUND(INDEX(Archetypes!$I$2:$I$127, MATCH(D4, Archetypes!$A$2:$A$127, 0))*INDEX(Unit_Grades!$C$2:$C$7, MATCH(F4, Unit_Grades!$A$2:$A$7, 0)),1)</f>
        <v>3.2</v>
      </c>
      <c r="M4" s="6" t="n">
        <f aca="false">ROUND(INDEX(Archetypes!$J$2:$J$127, MATCH(D4, Archetypes!$A$2:$A$127, 0))*INDEX(Unit_Grades!$D$2:$D$7, MATCH(F4, Unit_Grades!$A$2:$A$7, 0)),1)</f>
        <v>2</v>
      </c>
      <c r="N4" s="6" t="n">
        <f aca="false">ROUND(M4/24,2)</f>
        <v>0.08</v>
      </c>
    </row>
    <row r="5" customFormat="false" ht="15" hidden="false" customHeight="true" outlineLevel="0" collapsed="false">
      <c r="A5" s="6" t="n">
        <v>1</v>
      </c>
      <c r="B5" s="6" t="s">
        <v>1572</v>
      </c>
      <c r="C5" s="6" t="s">
        <v>1248</v>
      </c>
      <c r="D5" s="6" t="str">
        <f aca="false">A5&amp;"|"&amp;C5</f>
        <v>1|Militia</v>
      </c>
      <c r="E5" s="6" t="s">
        <v>1556</v>
      </c>
      <c r="F5" s="6" t="s">
        <v>1544</v>
      </c>
      <c r="G5" s="6" t="str">
        <f aca="false">INDEX(Archetypes!$D$2:$D$127, MATCH(D5, Archetypes!$A$2:$A$127, 0))</f>
        <v>Line Infantry</v>
      </c>
      <c r="H5" s="6" t="n">
        <f aca="false">ROUND(INDEX(Archetypes!$E$2:$E$127, MATCH(D5, Archetypes!$A$2:$A$127, 0))*INDEX(Unit_Grades!$B$2:$B$7, MATCH(F5, Unit_Grades!$A$2:$A$7, 0))*INDEX(Unit_Paths!$B$2:$B$4, MATCH(E5, Unit_Paths!$A$2:$A$4, 0)),1)</f>
        <v>19.2</v>
      </c>
      <c r="I5" s="6" t="n">
        <f aca="false">ROUND(INDEX(Archetypes!$F$2:$F$127, MATCH(D5, Archetypes!$A$2:$A$127, 0))*INDEX(Unit_Grades!$B$2:$B$7, MATCH(F5, Unit_Grades!$A$2:$A$7, 0))*INDEX(Unit_Paths!$C$2:$C$4, MATCH(E5, Unit_Paths!$A$2:$A$4, 0)),1)</f>
        <v>33.6</v>
      </c>
      <c r="J5" s="6" t="n">
        <f aca="false">ROUND(INDEX(Archetypes!$G$2:$G$127, MATCH(D5, Archetypes!$A$2:$A$127, 0))*INDEX(Unit_Grades!$B$2:$B$7, MATCH(F5, Unit_Grades!$A$2:$A$7, 0))*INDEX(Unit_Paths!$D$2:$D$4, MATCH(E5, Unit_Paths!$A$2:$A$4, 0)),0)</f>
        <v>144</v>
      </c>
      <c r="K5" s="6" t="n">
        <f aca="false">ROUND(INDEX(Archetypes!$H$2:$H$127, MATCH(D5, Archetypes!$A$2:$A$127, 0))*INDEX(Unit_Paths!$E$2:$E$4, MATCH(E5, Unit_Paths!$A$2:$A$4, 0)),1)</f>
        <v>18</v>
      </c>
      <c r="L5" s="6" t="n">
        <f aca="false">ROUND(INDEX(Archetypes!$I$2:$I$127, MATCH(D5, Archetypes!$A$2:$A$127, 0))*INDEX(Unit_Grades!$C$2:$C$7, MATCH(F5, Unit_Grades!$A$2:$A$7, 0)),1)</f>
        <v>4.2</v>
      </c>
      <c r="M5" s="6" t="n">
        <f aca="false">ROUND(INDEX(Archetypes!$J$2:$J$127, MATCH(D5, Archetypes!$A$2:$A$127, 0))*INDEX(Unit_Grades!$D$2:$D$7, MATCH(F5, Unit_Grades!$A$2:$A$7, 0)),1)</f>
        <v>3.2</v>
      </c>
      <c r="N5" s="6" t="n">
        <f aca="false">ROUND(M5/24,2)</f>
        <v>0.13</v>
      </c>
    </row>
    <row r="6" customFormat="false" ht="15" hidden="false" customHeight="true" outlineLevel="0" collapsed="false">
      <c r="A6" s="6" t="n">
        <v>1</v>
      </c>
      <c r="B6" s="6" t="s">
        <v>1573</v>
      </c>
      <c r="C6" s="6" t="s">
        <v>1248</v>
      </c>
      <c r="D6" s="6" t="str">
        <f aca="false">A6&amp;"|"&amp;C6</f>
        <v>1|Militia</v>
      </c>
      <c r="E6" s="6" t="s">
        <v>1556</v>
      </c>
      <c r="F6" s="6" t="s">
        <v>1546</v>
      </c>
      <c r="G6" s="6" t="str">
        <f aca="false">INDEX(Archetypes!$D$2:$D$127, MATCH(D6, Archetypes!$A$2:$A$127, 0))</f>
        <v>Line Infantry</v>
      </c>
      <c r="H6" s="6" t="n">
        <f aca="false">ROUND(INDEX(Archetypes!$E$2:$E$127, MATCH(D6, Archetypes!$A$2:$A$127, 0))*INDEX(Unit_Grades!$B$2:$B$7, MATCH(F6, Unit_Grades!$A$2:$A$7, 0))*INDEX(Unit_Paths!$B$2:$B$4, MATCH(E6, Unit_Paths!$A$2:$A$4, 0)),1)</f>
        <v>25.6</v>
      </c>
      <c r="I6" s="6" t="n">
        <f aca="false">ROUND(INDEX(Archetypes!$F$2:$F$127, MATCH(D6, Archetypes!$A$2:$A$127, 0))*INDEX(Unit_Grades!$B$2:$B$7, MATCH(F6, Unit_Grades!$A$2:$A$7, 0))*INDEX(Unit_Paths!$C$2:$C$4, MATCH(E6, Unit_Paths!$A$2:$A$4, 0)),1)</f>
        <v>44.8</v>
      </c>
      <c r="J6" s="6" t="n">
        <f aca="false">ROUND(INDEX(Archetypes!$G$2:$G$127, MATCH(D6, Archetypes!$A$2:$A$127, 0))*INDEX(Unit_Grades!$B$2:$B$7, MATCH(F6, Unit_Grades!$A$2:$A$7, 0))*INDEX(Unit_Paths!$D$2:$D$4, MATCH(E6, Unit_Paths!$A$2:$A$4, 0)),0)</f>
        <v>192</v>
      </c>
      <c r="K6" s="6" t="n">
        <f aca="false">ROUND(INDEX(Archetypes!$H$2:$H$127, MATCH(D6, Archetypes!$A$2:$A$127, 0))*INDEX(Unit_Paths!$E$2:$E$4, MATCH(E6, Unit_Paths!$A$2:$A$4, 0)),1)</f>
        <v>18</v>
      </c>
      <c r="L6" s="6" t="n">
        <f aca="false">ROUND(INDEX(Archetypes!$I$2:$I$127, MATCH(D6, Archetypes!$A$2:$A$127, 0))*INDEX(Unit_Grades!$C$2:$C$7, MATCH(F6, Unit_Grades!$A$2:$A$7, 0)),1)</f>
        <v>5.6</v>
      </c>
      <c r="M6" s="6" t="n">
        <f aca="false">ROUND(INDEX(Archetypes!$J$2:$J$127, MATCH(D6, Archetypes!$A$2:$A$127, 0))*INDEX(Unit_Grades!$D$2:$D$7, MATCH(F6, Unit_Grades!$A$2:$A$7, 0)),1)</f>
        <v>5.7</v>
      </c>
      <c r="N6" s="6" t="n">
        <f aca="false">ROUND(M6/24,2)</f>
        <v>0.24</v>
      </c>
    </row>
    <row r="7" customFormat="false" ht="15" hidden="false" customHeight="true" outlineLevel="0" collapsed="false">
      <c r="A7" s="6" t="n">
        <v>1</v>
      </c>
      <c r="B7" s="6" t="s">
        <v>1574</v>
      </c>
      <c r="C7" s="6" t="s">
        <v>1248</v>
      </c>
      <c r="D7" s="6" t="str">
        <f aca="false">A7&amp;"|"&amp;C7</f>
        <v>1|Militia</v>
      </c>
      <c r="E7" s="6" t="s">
        <v>1556</v>
      </c>
      <c r="F7" s="6" t="s">
        <v>1548</v>
      </c>
      <c r="G7" s="6" t="str">
        <f aca="false">INDEX(Archetypes!$D$2:$D$127, MATCH(D7, Archetypes!$A$2:$A$127, 0))</f>
        <v>Line Infantry</v>
      </c>
      <c r="H7" s="6" t="n">
        <f aca="false">ROUND(INDEX(Archetypes!$E$2:$E$127, MATCH(D7, Archetypes!$A$2:$A$127, 0))*INDEX(Unit_Grades!$B$2:$B$7, MATCH(F7, Unit_Grades!$A$2:$A$7, 0))*INDEX(Unit_Paths!$B$2:$B$4, MATCH(E7, Unit_Paths!$A$2:$A$4, 0)),1)</f>
        <v>33.6</v>
      </c>
      <c r="I7" s="6" t="n">
        <f aca="false">ROUND(INDEX(Archetypes!$F$2:$F$127, MATCH(D7, Archetypes!$A$2:$A$127, 0))*INDEX(Unit_Grades!$B$2:$B$7, MATCH(F7, Unit_Grades!$A$2:$A$7, 0))*INDEX(Unit_Paths!$C$2:$C$4, MATCH(E7, Unit_Paths!$A$2:$A$4, 0)),1)</f>
        <v>58.8</v>
      </c>
      <c r="J7" s="6" t="n">
        <f aca="false">ROUND(INDEX(Archetypes!$G$2:$G$127, MATCH(D7, Archetypes!$A$2:$A$127, 0))*INDEX(Unit_Grades!$B$2:$B$7, MATCH(F7, Unit_Grades!$A$2:$A$7, 0))*INDEX(Unit_Paths!$D$2:$D$4, MATCH(E7, Unit_Paths!$A$2:$A$4, 0)),0)</f>
        <v>252</v>
      </c>
      <c r="K7" s="6" t="n">
        <f aca="false">ROUND(INDEX(Archetypes!$H$2:$H$127, MATCH(D7, Archetypes!$A$2:$A$127, 0))*INDEX(Unit_Paths!$E$2:$E$4, MATCH(E7, Unit_Paths!$A$2:$A$4, 0)),1)</f>
        <v>18</v>
      </c>
      <c r="L7" s="6" t="n">
        <f aca="false">ROUND(INDEX(Archetypes!$I$2:$I$127, MATCH(D7, Archetypes!$A$2:$A$127, 0))*INDEX(Unit_Grades!$C$2:$C$7, MATCH(F7, Unit_Grades!$A$2:$A$7, 0)),1)</f>
        <v>7.4</v>
      </c>
      <c r="M7" s="6" t="n">
        <f aca="false">ROUND(INDEX(Archetypes!$J$2:$J$127, MATCH(D7, Archetypes!$A$2:$A$127, 0))*INDEX(Unit_Grades!$D$2:$D$7, MATCH(F7, Unit_Grades!$A$2:$A$7, 0)),1)</f>
        <v>9.7</v>
      </c>
      <c r="N7" s="6" t="n">
        <f aca="false">ROUND(M7/24,2)</f>
        <v>0.4</v>
      </c>
    </row>
    <row r="8" customFormat="false" ht="15" hidden="false" customHeight="true" outlineLevel="0" collapsed="false">
      <c r="A8" s="6" t="n">
        <v>1</v>
      </c>
      <c r="B8" s="6" t="s">
        <v>1575</v>
      </c>
      <c r="C8" s="6" t="s">
        <v>1248</v>
      </c>
      <c r="D8" s="6" t="str">
        <f aca="false">A8&amp;"|"&amp;C8</f>
        <v>1|Militia</v>
      </c>
      <c r="E8" s="6" t="s">
        <v>1558</v>
      </c>
      <c r="F8" s="6" t="s">
        <v>1538</v>
      </c>
      <c r="G8" s="6" t="str">
        <f aca="false">INDEX(Archetypes!$D$2:$D$127, MATCH(D8, Archetypes!$A$2:$A$127, 0))</f>
        <v>Line Infantry</v>
      </c>
      <c r="H8" s="6" t="n">
        <f aca="false">ROUND(INDEX(Archetypes!$E$2:$E$127, MATCH(D8, Archetypes!$A$2:$A$127, 0))*INDEX(Unit_Grades!$B$2:$B$7, MATCH(F8, Unit_Grades!$A$2:$A$7, 0))*INDEX(Unit_Paths!$B$2:$B$4, MATCH(E8, Unit_Paths!$A$2:$A$4, 0)),1)</f>
        <v>9.6</v>
      </c>
      <c r="I8" s="6" t="n">
        <f aca="false">ROUND(INDEX(Archetypes!$F$2:$F$127, MATCH(D8, Archetypes!$A$2:$A$127, 0))*INDEX(Unit_Grades!$B$2:$B$7, MATCH(F8, Unit_Grades!$A$2:$A$7, 0))*INDEX(Unit_Paths!$C$2:$C$4, MATCH(E8, Unit_Paths!$A$2:$A$4, 0)),1)</f>
        <v>11.9</v>
      </c>
      <c r="J8" s="6" t="n">
        <f aca="false">ROUND(INDEX(Archetypes!$G$2:$G$127, MATCH(D8, Archetypes!$A$2:$A$127, 0))*INDEX(Unit_Grades!$B$2:$B$7, MATCH(F8, Unit_Grades!$A$2:$A$7, 0))*INDEX(Unit_Paths!$D$2:$D$4, MATCH(E8, Unit_Paths!$A$2:$A$4, 0)),0)</f>
        <v>57</v>
      </c>
      <c r="K8" s="6" t="n">
        <f aca="false">ROUND(INDEX(Archetypes!$H$2:$H$127, MATCH(D8, Archetypes!$A$2:$A$127, 0))*INDEX(Unit_Paths!$E$2:$E$4, MATCH(E8, Unit_Paths!$A$2:$A$4, 0)),1)</f>
        <v>18.9</v>
      </c>
      <c r="L8" s="6" t="n">
        <f aca="false">ROUND(INDEX(Archetypes!$I$2:$I$127, MATCH(D8, Archetypes!$A$2:$A$127, 0))*INDEX(Unit_Grades!$C$2:$C$7, MATCH(F8, Unit_Grades!$A$2:$A$7, 0)),1)</f>
        <v>2</v>
      </c>
      <c r="M8" s="6" t="n">
        <f aca="false">ROUND(INDEX(Archetypes!$J$2:$J$127, MATCH(D8, Archetypes!$A$2:$A$127, 0))*INDEX(Unit_Grades!$D$2:$D$7, MATCH(F8, Unit_Grades!$A$2:$A$7, 0)),1)</f>
        <v>0.8</v>
      </c>
      <c r="N8" s="6" t="n">
        <f aca="false">ROUND(M8/24,2)</f>
        <v>0.03</v>
      </c>
    </row>
    <row r="9" customFormat="false" ht="15" hidden="false" customHeight="true" outlineLevel="0" collapsed="false">
      <c r="A9" s="6" t="n">
        <v>1</v>
      </c>
      <c r="B9" s="6" t="s">
        <v>1576</v>
      </c>
      <c r="C9" s="6" t="s">
        <v>1248</v>
      </c>
      <c r="D9" s="6" t="str">
        <f aca="false">A9&amp;"|"&amp;C9</f>
        <v>1|Militia</v>
      </c>
      <c r="E9" s="6" t="s">
        <v>1558</v>
      </c>
      <c r="F9" s="6" t="s">
        <v>1540</v>
      </c>
      <c r="G9" s="6" t="str">
        <f aca="false">INDEX(Archetypes!$D$2:$D$127, MATCH(D9, Archetypes!$A$2:$A$127, 0))</f>
        <v>Line Infantry</v>
      </c>
      <c r="H9" s="6" t="n">
        <f aca="false">ROUND(INDEX(Archetypes!$E$2:$E$127, MATCH(D9, Archetypes!$A$2:$A$127, 0))*INDEX(Unit_Grades!$B$2:$B$7, MATCH(F9, Unit_Grades!$A$2:$A$7, 0))*INDEX(Unit_Paths!$B$2:$B$4, MATCH(E9, Unit_Paths!$A$2:$A$4, 0)),1)</f>
        <v>13</v>
      </c>
      <c r="I9" s="6" t="n">
        <f aca="false">ROUND(INDEX(Archetypes!$F$2:$F$127, MATCH(D9, Archetypes!$A$2:$A$127, 0))*INDEX(Unit_Grades!$B$2:$B$7, MATCH(F9, Unit_Grades!$A$2:$A$7, 0))*INDEX(Unit_Paths!$C$2:$C$4, MATCH(E9, Unit_Paths!$A$2:$A$4, 0)),1)</f>
        <v>16.1</v>
      </c>
      <c r="J9" s="6" t="n">
        <f aca="false">ROUND(INDEX(Archetypes!$G$2:$G$127, MATCH(D9, Archetypes!$A$2:$A$127, 0))*INDEX(Unit_Grades!$B$2:$B$7, MATCH(F9, Unit_Grades!$A$2:$A$7, 0))*INDEX(Unit_Paths!$D$2:$D$4, MATCH(E9, Unit_Paths!$A$2:$A$4, 0)),0)</f>
        <v>77</v>
      </c>
      <c r="K9" s="6" t="n">
        <f aca="false">ROUND(INDEX(Archetypes!$H$2:$H$127, MATCH(D9, Archetypes!$A$2:$A$127, 0))*INDEX(Unit_Paths!$E$2:$E$4, MATCH(E9, Unit_Paths!$A$2:$A$4, 0)),1)</f>
        <v>18.9</v>
      </c>
      <c r="L9" s="6" t="n">
        <f aca="false">ROUND(INDEX(Archetypes!$I$2:$I$127, MATCH(D9, Archetypes!$A$2:$A$127, 0))*INDEX(Unit_Grades!$C$2:$C$7, MATCH(F9, Unit_Grades!$A$2:$A$7, 0)),1)</f>
        <v>2.5</v>
      </c>
      <c r="M9" s="6" t="n">
        <f aca="false">ROUND(INDEX(Archetypes!$J$2:$J$127, MATCH(D9, Archetypes!$A$2:$A$127, 0))*INDEX(Unit_Grades!$D$2:$D$7, MATCH(F9, Unit_Grades!$A$2:$A$7, 0)),1)</f>
        <v>1.2</v>
      </c>
      <c r="N9" s="6" t="n">
        <f aca="false">ROUND(M9/24,2)</f>
        <v>0.05</v>
      </c>
    </row>
    <row r="10" customFormat="false" ht="15" hidden="false" customHeight="true" outlineLevel="0" collapsed="false">
      <c r="A10" s="6" t="n">
        <v>1</v>
      </c>
      <c r="B10" s="6" t="s">
        <v>1577</v>
      </c>
      <c r="C10" s="6" t="s">
        <v>1248</v>
      </c>
      <c r="D10" s="6" t="str">
        <f aca="false">A10&amp;"|"&amp;C10</f>
        <v>1|Militia</v>
      </c>
      <c r="E10" s="6" t="s">
        <v>1558</v>
      </c>
      <c r="F10" s="6" t="s">
        <v>1542</v>
      </c>
      <c r="G10" s="6" t="str">
        <f aca="false">INDEX(Archetypes!$D$2:$D$127, MATCH(D10, Archetypes!$A$2:$A$127, 0))</f>
        <v>Line Infantry</v>
      </c>
      <c r="H10" s="6" t="n">
        <f aca="false">ROUND(INDEX(Archetypes!$E$2:$E$127, MATCH(D10, Archetypes!$A$2:$A$127, 0))*INDEX(Unit_Grades!$B$2:$B$7, MATCH(F10, Unit_Grades!$A$2:$A$7, 0))*INDEX(Unit_Paths!$B$2:$B$4, MATCH(E10, Unit_Paths!$A$2:$A$4, 0)),1)</f>
        <v>17.3</v>
      </c>
      <c r="I10" s="6" t="n">
        <f aca="false">ROUND(INDEX(Archetypes!$F$2:$F$127, MATCH(D10, Archetypes!$A$2:$A$127, 0))*INDEX(Unit_Grades!$B$2:$B$7, MATCH(F10, Unit_Grades!$A$2:$A$7, 0))*INDEX(Unit_Paths!$C$2:$C$4, MATCH(E10, Unit_Paths!$A$2:$A$4, 0)),1)</f>
        <v>21.4</v>
      </c>
      <c r="J10" s="6" t="n">
        <f aca="false">ROUND(INDEX(Archetypes!$G$2:$G$127, MATCH(D10, Archetypes!$A$2:$A$127, 0))*INDEX(Unit_Grades!$B$2:$B$7, MATCH(F10, Unit_Grades!$A$2:$A$7, 0))*INDEX(Unit_Paths!$D$2:$D$4, MATCH(E10, Unit_Paths!$A$2:$A$4, 0)),0)</f>
        <v>103</v>
      </c>
      <c r="K10" s="6" t="n">
        <f aca="false">ROUND(INDEX(Archetypes!$H$2:$H$127, MATCH(D10, Archetypes!$A$2:$A$127, 0))*INDEX(Unit_Paths!$E$2:$E$4, MATCH(E10, Unit_Paths!$A$2:$A$4, 0)),1)</f>
        <v>18.9</v>
      </c>
      <c r="L10" s="6" t="n">
        <f aca="false">ROUND(INDEX(Archetypes!$I$2:$I$127, MATCH(D10, Archetypes!$A$2:$A$127, 0))*INDEX(Unit_Grades!$C$2:$C$7, MATCH(F10, Unit_Grades!$A$2:$A$7, 0)),1)</f>
        <v>3.2</v>
      </c>
      <c r="M10" s="6" t="n">
        <f aca="false">ROUND(INDEX(Archetypes!$J$2:$J$127, MATCH(D10, Archetypes!$A$2:$A$127, 0))*INDEX(Unit_Grades!$D$2:$D$7, MATCH(F10, Unit_Grades!$A$2:$A$7, 0)),1)</f>
        <v>2</v>
      </c>
      <c r="N10" s="6" t="n">
        <f aca="false">ROUND(M10/24,2)</f>
        <v>0.08</v>
      </c>
    </row>
    <row r="11" customFormat="false" ht="15" hidden="false" customHeight="true" outlineLevel="0" collapsed="false">
      <c r="A11" s="6" t="n">
        <v>1</v>
      </c>
      <c r="B11" s="6" t="s">
        <v>1578</v>
      </c>
      <c r="C11" s="6" t="s">
        <v>1248</v>
      </c>
      <c r="D11" s="6" t="str">
        <f aca="false">A11&amp;"|"&amp;C11</f>
        <v>1|Militia</v>
      </c>
      <c r="E11" s="6" t="s">
        <v>1558</v>
      </c>
      <c r="F11" s="6" t="s">
        <v>1544</v>
      </c>
      <c r="G11" s="6" t="str">
        <f aca="false">INDEX(Archetypes!$D$2:$D$127, MATCH(D11, Archetypes!$A$2:$A$127, 0))</f>
        <v>Line Infantry</v>
      </c>
      <c r="H11" s="6" t="n">
        <f aca="false">ROUND(INDEX(Archetypes!$E$2:$E$127, MATCH(D11, Archetypes!$A$2:$A$127, 0))*INDEX(Unit_Grades!$B$2:$B$7, MATCH(F11, Unit_Grades!$A$2:$A$7, 0))*INDEX(Unit_Paths!$B$2:$B$4, MATCH(E11, Unit_Paths!$A$2:$A$4, 0)),1)</f>
        <v>23</v>
      </c>
      <c r="I11" s="6" t="n">
        <f aca="false">ROUND(INDEX(Archetypes!$F$2:$F$127, MATCH(D11, Archetypes!$A$2:$A$127, 0))*INDEX(Unit_Grades!$B$2:$B$7, MATCH(F11, Unit_Grades!$A$2:$A$7, 0))*INDEX(Unit_Paths!$C$2:$C$4, MATCH(E11, Unit_Paths!$A$2:$A$4, 0)),1)</f>
        <v>28.6</v>
      </c>
      <c r="J11" s="6" t="n">
        <f aca="false">ROUND(INDEX(Archetypes!$G$2:$G$127, MATCH(D11, Archetypes!$A$2:$A$127, 0))*INDEX(Unit_Grades!$B$2:$B$7, MATCH(F11, Unit_Grades!$A$2:$A$7, 0))*INDEX(Unit_Paths!$D$2:$D$4, MATCH(E11, Unit_Paths!$A$2:$A$4, 0)),0)</f>
        <v>137</v>
      </c>
      <c r="K11" s="6" t="n">
        <f aca="false">ROUND(INDEX(Archetypes!$H$2:$H$127, MATCH(D11, Archetypes!$A$2:$A$127, 0))*INDEX(Unit_Paths!$E$2:$E$4, MATCH(E11, Unit_Paths!$A$2:$A$4, 0)),1)</f>
        <v>18.9</v>
      </c>
      <c r="L11" s="6" t="n">
        <f aca="false">ROUND(INDEX(Archetypes!$I$2:$I$127, MATCH(D11, Archetypes!$A$2:$A$127, 0))*INDEX(Unit_Grades!$C$2:$C$7, MATCH(F11, Unit_Grades!$A$2:$A$7, 0)),1)</f>
        <v>4.2</v>
      </c>
      <c r="M11" s="6" t="n">
        <f aca="false">ROUND(INDEX(Archetypes!$J$2:$J$127, MATCH(D11, Archetypes!$A$2:$A$127, 0))*INDEX(Unit_Grades!$D$2:$D$7, MATCH(F11, Unit_Grades!$A$2:$A$7, 0)),1)</f>
        <v>3.2</v>
      </c>
      <c r="N11" s="6" t="n">
        <f aca="false">ROUND(M11/24,2)</f>
        <v>0.13</v>
      </c>
    </row>
    <row r="12" customFormat="false" ht="15" hidden="false" customHeight="true" outlineLevel="0" collapsed="false">
      <c r="A12" s="6" t="n">
        <v>1</v>
      </c>
      <c r="B12" s="6" t="s">
        <v>1579</v>
      </c>
      <c r="C12" s="6" t="s">
        <v>1248</v>
      </c>
      <c r="D12" s="6" t="str">
        <f aca="false">A12&amp;"|"&amp;C12</f>
        <v>1|Militia</v>
      </c>
      <c r="E12" s="6" t="s">
        <v>1558</v>
      </c>
      <c r="F12" s="6" t="s">
        <v>1546</v>
      </c>
      <c r="G12" s="6" t="str">
        <f aca="false">INDEX(Archetypes!$D$2:$D$127, MATCH(D12, Archetypes!$A$2:$A$127, 0))</f>
        <v>Line Infantry</v>
      </c>
      <c r="H12" s="6" t="n">
        <f aca="false">ROUND(INDEX(Archetypes!$E$2:$E$127, MATCH(D12, Archetypes!$A$2:$A$127, 0))*INDEX(Unit_Grades!$B$2:$B$7, MATCH(F12, Unit_Grades!$A$2:$A$7, 0))*INDEX(Unit_Paths!$B$2:$B$4, MATCH(E12, Unit_Paths!$A$2:$A$4, 0)),1)</f>
        <v>30.7</v>
      </c>
      <c r="I12" s="6" t="n">
        <f aca="false">ROUND(INDEX(Archetypes!$F$2:$F$127, MATCH(D12, Archetypes!$A$2:$A$127, 0))*INDEX(Unit_Grades!$B$2:$B$7, MATCH(F12, Unit_Grades!$A$2:$A$7, 0))*INDEX(Unit_Paths!$C$2:$C$4, MATCH(E12, Unit_Paths!$A$2:$A$4, 0)),1)</f>
        <v>38.1</v>
      </c>
      <c r="J12" s="6" t="n">
        <f aca="false">ROUND(INDEX(Archetypes!$G$2:$G$127, MATCH(D12, Archetypes!$A$2:$A$127, 0))*INDEX(Unit_Grades!$B$2:$B$7, MATCH(F12, Unit_Grades!$A$2:$A$7, 0))*INDEX(Unit_Paths!$D$2:$D$4, MATCH(E12, Unit_Paths!$A$2:$A$4, 0)),0)</f>
        <v>182</v>
      </c>
      <c r="K12" s="6" t="n">
        <f aca="false">ROUND(INDEX(Archetypes!$H$2:$H$127, MATCH(D12, Archetypes!$A$2:$A$127, 0))*INDEX(Unit_Paths!$E$2:$E$4, MATCH(E12, Unit_Paths!$A$2:$A$4, 0)),1)</f>
        <v>18.9</v>
      </c>
      <c r="L12" s="6" t="n">
        <f aca="false">ROUND(INDEX(Archetypes!$I$2:$I$127, MATCH(D12, Archetypes!$A$2:$A$127, 0))*INDEX(Unit_Grades!$C$2:$C$7, MATCH(F12, Unit_Grades!$A$2:$A$7, 0)),1)</f>
        <v>5.6</v>
      </c>
      <c r="M12" s="6" t="n">
        <f aca="false">ROUND(INDEX(Archetypes!$J$2:$J$127, MATCH(D12, Archetypes!$A$2:$A$127, 0))*INDEX(Unit_Grades!$D$2:$D$7, MATCH(F12, Unit_Grades!$A$2:$A$7, 0)),1)</f>
        <v>5.7</v>
      </c>
      <c r="N12" s="6" t="n">
        <f aca="false">ROUND(M12/24,2)</f>
        <v>0.24</v>
      </c>
    </row>
    <row r="13" customFormat="false" ht="15" hidden="false" customHeight="true" outlineLevel="0" collapsed="false">
      <c r="A13" s="6" t="n">
        <v>1</v>
      </c>
      <c r="B13" s="6" t="s">
        <v>1580</v>
      </c>
      <c r="C13" s="6" t="s">
        <v>1248</v>
      </c>
      <c r="D13" s="6" t="str">
        <f aca="false">A13&amp;"|"&amp;C13</f>
        <v>1|Militia</v>
      </c>
      <c r="E13" s="6" t="s">
        <v>1558</v>
      </c>
      <c r="F13" s="6" t="s">
        <v>1548</v>
      </c>
      <c r="G13" s="6" t="str">
        <f aca="false">INDEX(Archetypes!$D$2:$D$127, MATCH(D13, Archetypes!$A$2:$A$127, 0))</f>
        <v>Line Infantry</v>
      </c>
      <c r="H13" s="6" t="n">
        <f aca="false">ROUND(INDEX(Archetypes!$E$2:$E$127, MATCH(D13, Archetypes!$A$2:$A$127, 0))*INDEX(Unit_Grades!$B$2:$B$7, MATCH(F13, Unit_Grades!$A$2:$A$7, 0))*INDEX(Unit_Paths!$B$2:$B$4, MATCH(E13, Unit_Paths!$A$2:$A$4, 0)),1)</f>
        <v>40.3</v>
      </c>
      <c r="I13" s="6" t="n">
        <f aca="false">ROUND(INDEX(Archetypes!$F$2:$F$127, MATCH(D13, Archetypes!$A$2:$A$127, 0))*INDEX(Unit_Grades!$B$2:$B$7, MATCH(F13, Unit_Grades!$A$2:$A$7, 0))*INDEX(Unit_Paths!$C$2:$C$4, MATCH(E13, Unit_Paths!$A$2:$A$4, 0)),1)</f>
        <v>50</v>
      </c>
      <c r="J13" s="6" t="n">
        <f aca="false">ROUND(INDEX(Archetypes!$G$2:$G$127, MATCH(D13, Archetypes!$A$2:$A$127, 0))*INDEX(Unit_Grades!$B$2:$B$7, MATCH(F13, Unit_Grades!$A$2:$A$7, 0))*INDEX(Unit_Paths!$D$2:$D$4, MATCH(E13, Unit_Paths!$A$2:$A$4, 0)),0)</f>
        <v>239</v>
      </c>
      <c r="K13" s="6" t="n">
        <f aca="false">ROUND(INDEX(Archetypes!$H$2:$H$127, MATCH(D13, Archetypes!$A$2:$A$127, 0))*INDEX(Unit_Paths!$E$2:$E$4, MATCH(E13, Unit_Paths!$A$2:$A$4, 0)),1)</f>
        <v>18.9</v>
      </c>
      <c r="L13" s="6" t="n">
        <f aca="false">ROUND(INDEX(Archetypes!$I$2:$I$127, MATCH(D13, Archetypes!$A$2:$A$127, 0))*INDEX(Unit_Grades!$C$2:$C$7, MATCH(F13, Unit_Grades!$A$2:$A$7, 0)),1)</f>
        <v>7.4</v>
      </c>
      <c r="M13" s="6" t="n">
        <f aca="false">ROUND(INDEX(Archetypes!$J$2:$J$127, MATCH(D13, Archetypes!$A$2:$A$127, 0))*INDEX(Unit_Grades!$D$2:$D$7, MATCH(F13, Unit_Grades!$A$2:$A$7, 0)),1)</f>
        <v>9.7</v>
      </c>
      <c r="N13" s="6" t="n">
        <f aca="false">ROUND(M13/24,2)</f>
        <v>0.4</v>
      </c>
    </row>
    <row r="14" customFormat="false" ht="15" hidden="false" customHeight="true" outlineLevel="0" collapsed="false">
      <c r="A14" s="6" t="n">
        <v>1</v>
      </c>
      <c r="B14" s="6" t="s">
        <v>1581</v>
      </c>
      <c r="C14" s="6" t="s">
        <v>1248</v>
      </c>
      <c r="D14" s="6" t="str">
        <f aca="false">A14&amp;"|"&amp;C14</f>
        <v>1|Militia</v>
      </c>
      <c r="E14" s="6" t="s">
        <v>1560</v>
      </c>
      <c r="F14" s="6" t="s">
        <v>1538</v>
      </c>
      <c r="G14" s="6" t="str">
        <f aca="false">INDEX(Archetypes!$D$2:$D$127, MATCH(D14, Archetypes!$A$2:$A$127, 0))</f>
        <v>Line Infantry</v>
      </c>
      <c r="H14" s="6" t="n">
        <f aca="false">ROUND(INDEX(Archetypes!$E$2:$E$127, MATCH(D14, Archetypes!$A$2:$A$127, 0))*INDEX(Unit_Grades!$B$2:$B$7, MATCH(F14, Unit_Grades!$A$2:$A$7, 0))*INDEX(Unit_Paths!$B$2:$B$4, MATCH(E14, Unit_Paths!$A$2:$A$4, 0)),1)</f>
        <v>6.8</v>
      </c>
      <c r="I14" s="6" t="n">
        <f aca="false">ROUND(INDEX(Archetypes!$F$2:$F$127, MATCH(D14, Archetypes!$A$2:$A$127, 0))*INDEX(Unit_Grades!$B$2:$B$7, MATCH(F14, Unit_Grades!$A$2:$A$7, 0))*INDEX(Unit_Paths!$C$2:$C$4, MATCH(E14, Unit_Paths!$A$2:$A$4, 0)),1)</f>
        <v>17.5</v>
      </c>
      <c r="J14" s="6" t="n">
        <f aca="false">ROUND(INDEX(Archetypes!$G$2:$G$127, MATCH(D14, Archetypes!$A$2:$A$127, 0))*INDEX(Unit_Grades!$B$2:$B$7, MATCH(F14, Unit_Grades!$A$2:$A$7, 0))*INDEX(Unit_Paths!$D$2:$D$4, MATCH(E14, Unit_Paths!$A$2:$A$4, 0)),0)</f>
        <v>69</v>
      </c>
      <c r="K14" s="6" t="n">
        <f aca="false">ROUND(INDEX(Archetypes!$H$2:$H$127, MATCH(D14, Archetypes!$A$2:$A$127, 0))*INDEX(Unit_Paths!$E$2:$E$4, MATCH(E14, Unit_Paths!$A$2:$A$4, 0)),1)</f>
        <v>16.6</v>
      </c>
      <c r="L14" s="6" t="n">
        <f aca="false">ROUND(INDEX(Archetypes!$I$2:$I$127, MATCH(D14, Archetypes!$A$2:$A$127, 0))*INDEX(Unit_Grades!$C$2:$C$7, MATCH(F14, Unit_Grades!$A$2:$A$7, 0)),1)</f>
        <v>2</v>
      </c>
      <c r="M14" s="6" t="n">
        <f aca="false">ROUND(INDEX(Archetypes!$J$2:$J$127, MATCH(D14, Archetypes!$A$2:$A$127, 0))*INDEX(Unit_Grades!$D$2:$D$7, MATCH(F14, Unit_Grades!$A$2:$A$7, 0)),1)</f>
        <v>0.8</v>
      </c>
      <c r="N14" s="6" t="n">
        <f aca="false">ROUND(M14/24,2)</f>
        <v>0.03</v>
      </c>
    </row>
    <row r="15" customFormat="false" ht="15" hidden="false" customHeight="true" outlineLevel="0" collapsed="false">
      <c r="A15" s="6" t="n">
        <v>1</v>
      </c>
      <c r="B15" s="6" t="s">
        <v>1582</v>
      </c>
      <c r="C15" s="6" t="s">
        <v>1248</v>
      </c>
      <c r="D15" s="6" t="str">
        <f aca="false">A15&amp;"|"&amp;C15</f>
        <v>1|Militia</v>
      </c>
      <c r="E15" s="6" t="s">
        <v>1560</v>
      </c>
      <c r="F15" s="6" t="s">
        <v>1540</v>
      </c>
      <c r="G15" s="6" t="str">
        <f aca="false">INDEX(Archetypes!$D$2:$D$127, MATCH(D15, Archetypes!$A$2:$A$127, 0))</f>
        <v>Line Infantry</v>
      </c>
      <c r="H15" s="6" t="n">
        <f aca="false">ROUND(INDEX(Archetypes!$E$2:$E$127, MATCH(D15, Archetypes!$A$2:$A$127, 0))*INDEX(Unit_Grades!$B$2:$B$7, MATCH(F15, Unit_Grades!$A$2:$A$7, 0))*INDEX(Unit_Paths!$B$2:$B$4, MATCH(E15, Unit_Paths!$A$2:$A$4, 0)),1)</f>
        <v>9.2</v>
      </c>
      <c r="I15" s="6" t="n">
        <f aca="false">ROUND(INDEX(Archetypes!$F$2:$F$127, MATCH(D15, Archetypes!$A$2:$A$127, 0))*INDEX(Unit_Grades!$B$2:$B$7, MATCH(F15, Unit_Grades!$A$2:$A$7, 0))*INDEX(Unit_Paths!$C$2:$C$4, MATCH(E15, Unit_Paths!$A$2:$A$4, 0)),1)</f>
        <v>23.6</v>
      </c>
      <c r="J15" s="6" t="n">
        <f aca="false">ROUND(INDEX(Archetypes!$G$2:$G$127, MATCH(D15, Archetypes!$A$2:$A$127, 0))*INDEX(Unit_Grades!$B$2:$B$7, MATCH(F15, Unit_Grades!$A$2:$A$7, 0))*INDEX(Unit_Paths!$D$2:$D$4, MATCH(E15, Unit_Paths!$A$2:$A$4, 0)),0)</f>
        <v>93</v>
      </c>
      <c r="K15" s="6" t="n">
        <f aca="false">ROUND(INDEX(Archetypes!$H$2:$H$127, MATCH(D15, Archetypes!$A$2:$A$127, 0))*INDEX(Unit_Paths!$E$2:$E$4, MATCH(E15, Unit_Paths!$A$2:$A$4, 0)),1)</f>
        <v>16.6</v>
      </c>
      <c r="L15" s="6" t="n">
        <f aca="false">ROUND(INDEX(Archetypes!$I$2:$I$127, MATCH(D15, Archetypes!$A$2:$A$127, 0))*INDEX(Unit_Grades!$C$2:$C$7, MATCH(F15, Unit_Grades!$A$2:$A$7, 0)),1)</f>
        <v>2.5</v>
      </c>
      <c r="M15" s="6" t="n">
        <f aca="false">ROUND(INDEX(Archetypes!$J$2:$J$127, MATCH(D15, Archetypes!$A$2:$A$127, 0))*INDEX(Unit_Grades!$D$2:$D$7, MATCH(F15, Unit_Grades!$A$2:$A$7, 0)),1)</f>
        <v>1.2</v>
      </c>
      <c r="N15" s="6" t="n">
        <f aca="false">ROUND(M15/24,2)</f>
        <v>0.05</v>
      </c>
    </row>
    <row r="16" customFormat="false" ht="15" hidden="false" customHeight="true" outlineLevel="0" collapsed="false">
      <c r="A16" s="6" t="n">
        <v>1</v>
      </c>
      <c r="B16" s="6" t="s">
        <v>1583</v>
      </c>
      <c r="C16" s="6" t="s">
        <v>1248</v>
      </c>
      <c r="D16" s="6" t="str">
        <f aca="false">A16&amp;"|"&amp;C16</f>
        <v>1|Militia</v>
      </c>
      <c r="E16" s="6" t="s">
        <v>1560</v>
      </c>
      <c r="F16" s="6" t="s">
        <v>1542</v>
      </c>
      <c r="G16" s="6" t="str">
        <f aca="false">INDEX(Archetypes!$D$2:$D$127, MATCH(D16, Archetypes!$A$2:$A$127, 0))</f>
        <v>Line Infantry</v>
      </c>
      <c r="H16" s="6" t="n">
        <f aca="false">ROUND(INDEX(Archetypes!$E$2:$E$127, MATCH(D16, Archetypes!$A$2:$A$127, 0))*INDEX(Unit_Grades!$B$2:$B$7, MATCH(F16, Unit_Grades!$A$2:$A$7, 0))*INDEX(Unit_Paths!$B$2:$B$4, MATCH(E16, Unit_Paths!$A$2:$A$4, 0)),1)</f>
        <v>12.2</v>
      </c>
      <c r="I16" s="6" t="n">
        <f aca="false">ROUND(INDEX(Archetypes!$F$2:$F$127, MATCH(D16, Archetypes!$A$2:$A$127, 0))*INDEX(Unit_Grades!$B$2:$B$7, MATCH(F16, Unit_Grades!$A$2:$A$7, 0))*INDEX(Unit_Paths!$C$2:$C$4, MATCH(E16, Unit_Paths!$A$2:$A$4, 0)),1)</f>
        <v>31.5</v>
      </c>
      <c r="J16" s="6" t="n">
        <f aca="false">ROUND(INDEX(Archetypes!$G$2:$G$127, MATCH(D16, Archetypes!$A$2:$A$127, 0))*INDEX(Unit_Grades!$B$2:$B$7, MATCH(F16, Unit_Grades!$A$2:$A$7, 0))*INDEX(Unit_Paths!$D$2:$D$4, MATCH(E16, Unit_Paths!$A$2:$A$4, 0)),0)</f>
        <v>124</v>
      </c>
      <c r="K16" s="6" t="n">
        <f aca="false">ROUND(INDEX(Archetypes!$H$2:$H$127, MATCH(D16, Archetypes!$A$2:$A$127, 0))*INDEX(Unit_Paths!$E$2:$E$4, MATCH(E16, Unit_Paths!$A$2:$A$4, 0)),1)</f>
        <v>16.6</v>
      </c>
      <c r="L16" s="6" t="n">
        <f aca="false">ROUND(INDEX(Archetypes!$I$2:$I$127, MATCH(D16, Archetypes!$A$2:$A$127, 0))*INDEX(Unit_Grades!$C$2:$C$7, MATCH(F16, Unit_Grades!$A$2:$A$7, 0)),1)</f>
        <v>3.2</v>
      </c>
      <c r="M16" s="6" t="n">
        <f aca="false">ROUND(INDEX(Archetypes!$J$2:$J$127, MATCH(D16, Archetypes!$A$2:$A$127, 0))*INDEX(Unit_Grades!$D$2:$D$7, MATCH(F16, Unit_Grades!$A$2:$A$7, 0)),1)</f>
        <v>2</v>
      </c>
      <c r="N16" s="6" t="n">
        <f aca="false">ROUND(M16/24,2)</f>
        <v>0.08</v>
      </c>
    </row>
    <row r="17" customFormat="false" ht="15" hidden="false" customHeight="true" outlineLevel="0" collapsed="false">
      <c r="A17" s="6" t="n">
        <v>1</v>
      </c>
      <c r="B17" s="6" t="s">
        <v>1584</v>
      </c>
      <c r="C17" s="6" t="s">
        <v>1248</v>
      </c>
      <c r="D17" s="6" t="str">
        <f aca="false">A17&amp;"|"&amp;C17</f>
        <v>1|Militia</v>
      </c>
      <c r="E17" s="6" t="s">
        <v>1560</v>
      </c>
      <c r="F17" s="6" t="s">
        <v>1544</v>
      </c>
      <c r="G17" s="6" t="str">
        <f aca="false">INDEX(Archetypes!$D$2:$D$127, MATCH(D17, Archetypes!$A$2:$A$127, 0))</f>
        <v>Line Infantry</v>
      </c>
      <c r="H17" s="6" t="n">
        <f aca="false">ROUND(INDEX(Archetypes!$E$2:$E$127, MATCH(D17, Archetypes!$A$2:$A$127, 0))*INDEX(Unit_Grades!$B$2:$B$7, MATCH(F17, Unit_Grades!$A$2:$A$7, 0))*INDEX(Unit_Paths!$B$2:$B$4, MATCH(E17, Unit_Paths!$A$2:$A$4, 0)),1)</f>
        <v>16.3</v>
      </c>
      <c r="I17" s="6" t="n">
        <f aca="false">ROUND(INDEX(Archetypes!$F$2:$F$127, MATCH(D17, Archetypes!$A$2:$A$127, 0))*INDEX(Unit_Grades!$B$2:$B$7, MATCH(F17, Unit_Grades!$A$2:$A$7, 0))*INDEX(Unit_Paths!$C$2:$C$4, MATCH(E17, Unit_Paths!$A$2:$A$4, 0)),1)</f>
        <v>42</v>
      </c>
      <c r="J17" s="6" t="n">
        <f aca="false">ROUND(INDEX(Archetypes!$G$2:$G$127, MATCH(D17, Archetypes!$A$2:$A$127, 0))*INDEX(Unit_Grades!$B$2:$B$7, MATCH(F17, Unit_Grades!$A$2:$A$7, 0))*INDEX(Unit_Paths!$D$2:$D$4, MATCH(E17, Unit_Paths!$A$2:$A$4, 0)),0)</f>
        <v>166</v>
      </c>
      <c r="K17" s="6" t="n">
        <f aca="false">ROUND(INDEX(Archetypes!$H$2:$H$127, MATCH(D17, Archetypes!$A$2:$A$127, 0))*INDEX(Unit_Paths!$E$2:$E$4, MATCH(E17, Unit_Paths!$A$2:$A$4, 0)),1)</f>
        <v>16.6</v>
      </c>
      <c r="L17" s="6" t="n">
        <f aca="false">ROUND(INDEX(Archetypes!$I$2:$I$127, MATCH(D17, Archetypes!$A$2:$A$127, 0))*INDEX(Unit_Grades!$C$2:$C$7, MATCH(F17, Unit_Grades!$A$2:$A$7, 0)),1)</f>
        <v>4.2</v>
      </c>
      <c r="M17" s="6" t="n">
        <f aca="false">ROUND(INDEX(Archetypes!$J$2:$J$127, MATCH(D17, Archetypes!$A$2:$A$127, 0))*INDEX(Unit_Grades!$D$2:$D$7, MATCH(F17, Unit_Grades!$A$2:$A$7, 0)),1)</f>
        <v>3.2</v>
      </c>
      <c r="N17" s="6" t="n">
        <f aca="false">ROUND(M17/24,2)</f>
        <v>0.13</v>
      </c>
    </row>
    <row r="18" customFormat="false" ht="15" hidden="false" customHeight="true" outlineLevel="0" collapsed="false">
      <c r="A18" s="6" t="n">
        <v>1</v>
      </c>
      <c r="B18" s="6" t="s">
        <v>1585</v>
      </c>
      <c r="C18" s="6" t="s">
        <v>1248</v>
      </c>
      <c r="D18" s="6" t="str">
        <f aca="false">A18&amp;"|"&amp;C18</f>
        <v>1|Militia</v>
      </c>
      <c r="E18" s="6" t="s">
        <v>1560</v>
      </c>
      <c r="F18" s="6" t="s">
        <v>1546</v>
      </c>
      <c r="G18" s="6" t="str">
        <f aca="false">INDEX(Archetypes!$D$2:$D$127, MATCH(D18, Archetypes!$A$2:$A$127, 0))</f>
        <v>Line Infantry</v>
      </c>
      <c r="H18" s="6" t="n">
        <f aca="false">ROUND(INDEX(Archetypes!$E$2:$E$127, MATCH(D18, Archetypes!$A$2:$A$127, 0))*INDEX(Unit_Grades!$B$2:$B$7, MATCH(F18, Unit_Grades!$A$2:$A$7, 0))*INDEX(Unit_Paths!$B$2:$B$4, MATCH(E18, Unit_Paths!$A$2:$A$4, 0)),1)</f>
        <v>21.8</v>
      </c>
      <c r="I18" s="6" t="n">
        <f aca="false">ROUND(INDEX(Archetypes!$F$2:$F$127, MATCH(D18, Archetypes!$A$2:$A$127, 0))*INDEX(Unit_Grades!$B$2:$B$7, MATCH(F18, Unit_Grades!$A$2:$A$7, 0))*INDEX(Unit_Paths!$C$2:$C$4, MATCH(E18, Unit_Paths!$A$2:$A$4, 0)),1)</f>
        <v>56</v>
      </c>
      <c r="J18" s="6" t="n">
        <f aca="false">ROUND(INDEX(Archetypes!$G$2:$G$127, MATCH(D18, Archetypes!$A$2:$A$127, 0))*INDEX(Unit_Grades!$B$2:$B$7, MATCH(F18, Unit_Grades!$A$2:$A$7, 0))*INDEX(Unit_Paths!$D$2:$D$4, MATCH(E18, Unit_Paths!$A$2:$A$4, 0)),0)</f>
        <v>221</v>
      </c>
      <c r="K18" s="6" t="n">
        <f aca="false">ROUND(INDEX(Archetypes!$H$2:$H$127, MATCH(D18, Archetypes!$A$2:$A$127, 0))*INDEX(Unit_Paths!$E$2:$E$4, MATCH(E18, Unit_Paths!$A$2:$A$4, 0)),1)</f>
        <v>16.6</v>
      </c>
      <c r="L18" s="6" t="n">
        <f aca="false">ROUND(INDEX(Archetypes!$I$2:$I$127, MATCH(D18, Archetypes!$A$2:$A$127, 0))*INDEX(Unit_Grades!$C$2:$C$7, MATCH(F18, Unit_Grades!$A$2:$A$7, 0)),1)</f>
        <v>5.6</v>
      </c>
      <c r="M18" s="6" t="n">
        <f aca="false">ROUND(INDEX(Archetypes!$J$2:$J$127, MATCH(D18, Archetypes!$A$2:$A$127, 0))*INDEX(Unit_Grades!$D$2:$D$7, MATCH(F18, Unit_Grades!$A$2:$A$7, 0)),1)</f>
        <v>5.7</v>
      </c>
      <c r="N18" s="6" t="n">
        <f aca="false">ROUND(M18/24,2)</f>
        <v>0.24</v>
      </c>
    </row>
    <row r="19" customFormat="false" ht="15" hidden="false" customHeight="true" outlineLevel="0" collapsed="false">
      <c r="A19" s="6" t="n">
        <v>1</v>
      </c>
      <c r="B19" s="6" t="s">
        <v>1586</v>
      </c>
      <c r="C19" s="6" t="s">
        <v>1248</v>
      </c>
      <c r="D19" s="6" t="str">
        <f aca="false">A19&amp;"|"&amp;C19</f>
        <v>1|Militia</v>
      </c>
      <c r="E19" s="6" t="s">
        <v>1560</v>
      </c>
      <c r="F19" s="6" t="s">
        <v>1548</v>
      </c>
      <c r="G19" s="6" t="str">
        <f aca="false">INDEX(Archetypes!$D$2:$D$127, MATCH(D19, Archetypes!$A$2:$A$127, 0))</f>
        <v>Line Infantry</v>
      </c>
      <c r="H19" s="6" t="n">
        <f aca="false">ROUND(INDEX(Archetypes!$E$2:$E$127, MATCH(D19, Archetypes!$A$2:$A$127, 0))*INDEX(Unit_Grades!$B$2:$B$7, MATCH(F19, Unit_Grades!$A$2:$A$7, 0))*INDEX(Unit_Paths!$B$2:$B$4, MATCH(E19, Unit_Paths!$A$2:$A$4, 0)),1)</f>
        <v>28.6</v>
      </c>
      <c r="I19" s="6" t="n">
        <f aca="false">ROUND(INDEX(Archetypes!$F$2:$F$127, MATCH(D19, Archetypes!$A$2:$A$127, 0))*INDEX(Unit_Grades!$B$2:$B$7, MATCH(F19, Unit_Grades!$A$2:$A$7, 0))*INDEX(Unit_Paths!$C$2:$C$4, MATCH(E19, Unit_Paths!$A$2:$A$4, 0)),1)</f>
        <v>73.5</v>
      </c>
      <c r="J19" s="6" t="n">
        <f aca="false">ROUND(INDEX(Archetypes!$G$2:$G$127, MATCH(D19, Archetypes!$A$2:$A$127, 0))*INDEX(Unit_Grades!$B$2:$B$7, MATCH(F19, Unit_Grades!$A$2:$A$7, 0))*INDEX(Unit_Paths!$D$2:$D$4, MATCH(E19, Unit_Paths!$A$2:$A$4, 0)),0)</f>
        <v>290</v>
      </c>
      <c r="K19" s="6" t="n">
        <f aca="false">ROUND(INDEX(Archetypes!$H$2:$H$127, MATCH(D19, Archetypes!$A$2:$A$127, 0))*INDEX(Unit_Paths!$E$2:$E$4, MATCH(E19, Unit_Paths!$A$2:$A$4, 0)),1)</f>
        <v>16.6</v>
      </c>
      <c r="L19" s="6" t="n">
        <f aca="false">ROUND(INDEX(Archetypes!$I$2:$I$127, MATCH(D19, Archetypes!$A$2:$A$127, 0))*INDEX(Unit_Grades!$C$2:$C$7, MATCH(F19, Unit_Grades!$A$2:$A$7, 0)),1)</f>
        <v>7.4</v>
      </c>
      <c r="M19" s="6" t="n">
        <f aca="false">ROUND(INDEX(Archetypes!$J$2:$J$127, MATCH(D19, Archetypes!$A$2:$A$127, 0))*INDEX(Unit_Grades!$D$2:$D$7, MATCH(F19, Unit_Grades!$A$2:$A$7, 0)),1)</f>
        <v>9.7</v>
      </c>
      <c r="N19" s="6" t="n">
        <f aca="false">ROUND(M19/24,2)</f>
        <v>0.4</v>
      </c>
    </row>
    <row r="20" customFormat="false" ht="15" hidden="false" customHeight="true" outlineLevel="0" collapsed="false">
      <c r="A20" s="6" t="n">
        <v>1</v>
      </c>
      <c r="B20" s="6" t="s">
        <v>1251</v>
      </c>
      <c r="C20" s="6" t="s">
        <v>1251</v>
      </c>
      <c r="D20" s="6" t="str">
        <f aca="false">A20&amp;"|"&amp;C20</f>
        <v>1|Spearman</v>
      </c>
      <c r="E20" s="6" t="s">
        <v>1556</v>
      </c>
      <c r="F20" s="6" t="s">
        <v>1538</v>
      </c>
      <c r="G20" s="6" t="str">
        <f aca="false">INDEX(Archetypes!$D$2:$D$127, MATCH(D20, Archetypes!$A$2:$A$127, 0))</f>
        <v>Anti-Cavalry</v>
      </c>
      <c r="H20" s="6" t="n">
        <f aca="false">ROUND(INDEX(Archetypes!$E$2:$E$127, MATCH(D20, Archetypes!$A$2:$A$127, 0))*INDEX(Unit_Grades!$B$2:$B$7, MATCH(F20, Unit_Grades!$A$2:$A$7, 0))*INDEX(Unit_Paths!$B$2:$B$4, MATCH(E20, Unit_Paths!$A$2:$A$4, 0)),1)</f>
        <v>10</v>
      </c>
      <c r="I20" s="6" t="n">
        <f aca="false">ROUND(INDEX(Archetypes!$F$2:$F$127, MATCH(D20, Archetypes!$A$2:$A$127, 0))*INDEX(Unit_Grades!$B$2:$B$7, MATCH(F20, Unit_Grades!$A$2:$A$7, 0))*INDEX(Unit_Paths!$C$2:$C$4, MATCH(E20, Unit_Paths!$A$2:$A$4, 0)),1)</f>
        <v>22</v>
      </c>
      <c r="J20" s="6" t="n">
        <f aca="false">ROUND(INDEX(Archetypes!$G$2:$G$127, MATCH(D20, Archetypes!$A$2:$A$127, 0))*INDEX(Unit_Grades!$B$2:$B$7, MATCH(F20, Unit_Grades!$A$2:$A$7, 0))*INDEX(Unit_Paths!$D$2:$D$4, MATCH(E20, Unit_Paths!$A$2:$A$4, 0)),0)</f>
        <v>80</v>
      </c>
      <c r="K20" s="6" t="n">
        <f aca="false">ROUND(INDEX(Archetypes!$H$2:$H$127, MATCH(D20, Archetypes!$A$2:$A$127, 0))*INDEX(Unit_Paths!$E$2:$E$4, MATCH(E20, Unit_Paths!$A$2:$A$4, 0)),1)</f>
        <v>16</v>
      </c>
      <c r="L20" s="6" t="n">
        <f aca="false">ROUND(INDEX(Archetypes!$I$2:$I$127, MATCH(D20, Archetypes!$A$2:$A$127, 0))*INDEX(Unit_Grades!$C$2:$C$7, MATCH(F20, Unit_Grades!$A$2:$A$7, 0)),1)</f>
        <v>3</v>
      </c>
      <c r="M20" s="6" t="n">
        <f aca="false">ROUND(INDEX(Archetypes!$J$2:$J$127, MATCH(D20, Archetypes!$A$2:$A$127, 0))*INDEX(Unit_Grades!$D$2:$D$7, MATCH(F20, Unit_Grades!$A$2:$A$7, 0)),1)</f>
        <v>1.2</v>
      </c>
      <c r="N20" s="6" t="n">
        <f aca="false">ROUND(M20/24,2)</f>
        <v>0.05</v>
      </c>
    </row>
    <row r="21" customFormat="false" ht="15" hidden="false" customHeight="true" outlineLevel="0" collapsed="false">
      <c r="A21" s="6" t="n">
        <v>1</v>
      </c>
      <c r="B21" s="6" t="s">
        <v>1587</v>
      </c>
      <c r="C21" s="6" t="s">
        <v>1251</v>
      </c>
      <c r="D21" s="6" t="str">
        <f aca="false">A21&amp;"|"&amp;C21</f>
        <v>1|Spearman</v>
      </c>
      <c r="E21" s="6" t="s">
        <v>1556</v>
      </c>
      <c r="F21" s="6" t="s">
        <v>1540</v>
      </c>
      <c r="G21" s="6" t="str">
        <f aca="false">INDEX(Archetypes!$D$2:$D$127, MATCH(D21, Archetypes!$A$2:$A$127, 0))</f>
        <v>Anti-Cavalry</v>
      </c>
      <c r="H21" s="6" t="n">
        <f aca="false">ROUND(INDEX(Archetypes!$E$2:$E$127, MATCH(D21, Archetypes!$A$2:$A$127, 0))*INDEX(Unit_Grades!$B$2:$B$7, MATCH(F21, Unit_Grades!$A$2:$A$7, 0))*INDEX(Unit_Paths!$B$2:$B$4, MATCH(E21, Unit_Paths!$A$2:$A$4, 0)),1)</f>
        <v>13.5</v>
      </c>
      <c r="I21" s="6" t="n">
        <f aca="false">ROUND(INDEX(Archetypes!$F$2:$F$127, MATCH(D21, Archetypes!$A$2:$A$127, 0))*INDEX(Unit_Grades!$B$2:$B$7, MATCH(F21, Unit_Grades!$A$2:$A$7, 0))*INDEX(Unit_Paths!$C$2:$C$4, MATCH(E21, Unit_Paths!$A$2:$A$4, 0)),1)</f>
        <v>29.7</v>
      </c>
      <c r="J21" s="6" t="n">
        <f aca="false">ROUND(INDEX(Archetypes!$G$2:$G$127, MATCH(D21, Archetypes!$A$2:$A$127, 0))*INDEX(Unit_Grades!$B$2:$B$7, MATCH(F21, Unit_Grades!$A$2:$A$7, 0))*INDEX(Unit_Paths!$D$2:$D$4, MATCH(E21, Unit_Paths!$A$2:$A$4, 0)),0)</f>
        <v>108</v>
      </c>
      <c r="K21" s="6" t="n">
        <f aca="false">ROUND(INDEX(Archetypes!$H$2:$H$127, MATCH(D21, Archetypes!$A$2:$A$127, 0))*INDEX(Unit_Paths!$E$2:$E$4, MATCH(E21, Unit_Paths!$A$2:$A$4, 0)),1)</f>
        <v>16</v>
      </c>
      <c r="L21" s="6" t="n">
        <f aca="false">ROUND(INDEX(Archetypes!$I$2:$I$127, MATCH(D21, Archetypes!$A$2:$A$127, 0))*INDEX(Unit_Grades!$C$2:$C$7, MATCH(F21, Unit_Grades!$A$2:$A$7, 0)),1)</f>
        <v>3.8</v>
      </c>
      <c r="M21" s="6" t="n">
        <f aca="false">ROUND(INDEX(Archetypes!$J$2:$J$127, MATCH(D21, Archetypes!$A$2:$A$127, 0))*INDEX(Unit_Grades!$D$2:$D$7, MATCH(F21, Unit_Grades!$A$2:$A$7, 0)),1)</f>
        <v>1.8</v>
      </c>
      <c r="N21" s="6" t="n">
        <f aca="false">ROUND(M21/24,2)</f>
        <v>0.08</v>
      </c>
    </row>
    <row r="22" customFormat="false" ht="15" hidden="false" customHeight="true" outlineLevel="0" collapsed="false">
      <c r="A22" s="6" t="n">
        <v>1</v>
      </c>
      <c r="B22" s="6" t="s">
        <v>1588</v>
      </c>
      <c r="C22" s="6" t="s">
        <v>1251</v>
      </c>
      <c r="D22" s="6" t="str">
        <f aca="false">A22&amp;"|"&amp;C22</f>
        <v>1|Spearman</v>
      </c>
      <c r="E22" s="6" t="s">
        <v>1556</v>
      </c>
      <c r="F22" s="6" t="s">
        <v>1542</v>
      </c>
      <c r="G22" s="6" t="str">
        <f aca="false">INDEX(Archetypes!$D$2:$D$127, MATCH(D22, Archetypes!$A$2:$A$127, 0))</f>
        <v>Anti-Cavalry</v>
      </c>
      <c r="H22" s="6" t="n">
        <f aca="false">ROUND(INDEX(Archetypes!$E$2:$E$127, MATCH(D22, Archetypes!$A$2:$A$127, 0))*INDEX(Unit_Grades!$B$2:$B$7, MATCH(F22, Unit_Grades!$A$2:$A$7, 0))*INDEX(Unit_Paths!$B$2:$B$4, MATCH(E22, Unit_Paths!$A$2:$A$4, 0)),1)</f>
        <v>18</v>
      </c>
      <c r="I22" s="6" t="n">
        <f aca="false">ROUND(INDEX(Archetypes!$F$2:$F$127, MATCH(D22, Archetypes!$A$2:$A$127, 0))*INDEX(Unit_Grades!$B$2:$B$7, MATCH(F22, Unit_Grades!$A$2:$A$7, 0))*INDEX(Unit_Paths!$C$2:$C$4, MATCH(E22, Unit_Paths!$A$2:$A$4, 0)),1)</f>
        <v>39.6</v>
      </c>
      <c r="J22" s="6" t="n">
        <f aca="false">ROUND(INDEX(Archetypes!$G$2:$G$127, MATCH(D22, Archetypes!$A$2:$A$127, 0))*INDEX(Unit_Grades!$B$2:$B$7, MATCH(F22, Unit_Grades!$A$2:$A$7, 0))*INDEX(Unit_Paths!$D$2:$D$4, MATCH(E22, Unit_Paths!$A$2:$A$4, 0)),0)</f>
        <v>144</v>
      </c>
      <c r="K22" s="6" t="n">
        <f aca="false">ROUND(INDEX(Archetypes!$H$2:$H$127, MATCH(D22, Archetypes!$A$2:$A$127, 0))*INDEX(Unit_Paths!$E$2:$E$4, MATCH(E22, Unit_Paths!$A$2:$A$4, 0)),1)</f>
        <v>16</v>
      </c>
      <c r="L22" s="6" t="n">
        <f aca="false">ROUND(INDEX(Archetypes!$I$2:$I$127, MATCH(D22, Archetypes!$A$2:$A$127, 0))*INDEX(Unit_Grades!$C$2:$C$7, MATCH(F22, Unit_Grades!$A$2:$A$7, 0)),1)</f>
        <v>4.8</v>
      </c>
      <c r="M22" s="6" t="n">
        <f aca="false">ROUND(INDEX(Archetypes!$J$2:$J$127, MATCH(D22, Archetypes!$A$2:$A$127, 0))*INDEX(Unit_Grades!$D$2:$D$7, MATCH(F22, Unit_Grades!$A$2:$A$7, 0)),1)</f>
        <v>3.1</v>
      </c>
      <c r="N22" s="6" t="n">
        <f aca="false">ROUND(M22/24,2)</f>
        <v>0.13</v>
      </c>
    </row>
    <row r="23" customFormat="false" ht="15" hidden="false" customHeight="true" outlineLevel="0" collapsed="false">
      <c r="A23" s="6" t="n">
        <v>1</v>
      </c>
      <c r="B23" s="6" t="s">
        <v>1589</v>
      </c>
      <c r="C23" s="6" t="s">
        <v>1251</v>
      </c>
      <c r="D23" s="6" t="str">
        <f aca="false">A23&amp;"|"&amp;C23</f>
        <v>1|Spearman</v>
      </c>
      <c r="E23" s="6" t="s">
        <v>1556</v>
      </c>
      <c r="F23" s="6" t="s">
        <v>1544</v>
      </c>
      <c r="G23" s="6" t="str">
        <f aca="false">INDEX(Archetypes!$D$2:$D$127, MATCH(D23, Archetypes!$A$2:$A$127, 0))</f>
        <v>Anti-Cavalry</v>
      </c>
      <c r="H23" s="6" t="n">
        <f aca="false">ROUND(INDEX(Archetypes!$E$2:$E$127, MATCH(D23, Archetypes!$A$2:$A$127, 0))*INDEX(Unit_Grades!$B$2:$B$7, MATCH(F23, Unit_Grades!$A$2:$A$7, 0))*INDEX(Unit_Paths!$B$2:$B$4, MATCH(E23, Unit_Paths!$A$2:$A$4, 0)),1)</f>
        <v>24</v>
      </c>
      <c r="I23" s="6" t="n">
        <f aca="false">ROUND(INDEX(Archetypes!$F$2:$F$127, MATCH(D23, Archetypes!$A$2:$A$127, 0))*INDEX(Unit_Grades!$B$2:$B$7, MATCH(F23, Unit_Grades!$A$2:$A$7, 0))*INDEX(Unit_Paths!$C$2:$C$4, MATCH(E23, Unit_Paths!$A$2:$A$4, 0)),1)</f>
        <v>52.8</v>
      </c>
      <c r="J23" s="6" t="n">
        <f aca="false">ROUND(INDEX(Archetypes!$G$2:$G$127, MATCH(D23, Archetypes!$A$2:$A$127, 0))*INDEX(Unit_Grades!$B$2:$B$7, MATCH(F23, Unit_Grades!$A$2:$A$7, 0))*INDEX(Unit_Paths!$D$2:$D$4, MATCH(E23, Unit_Paths!$A$2:$A$4, 0)),0)</f>
        <v>192</v>
      </c>
      <c r="K23" s="6" t="n">
        <f aca="false">ROUND(INDEX(Archetypes!$H$2:$H$127, MATCH(D23, Archetypes!$A$2:$A$127, 0))*INDEX(Unit_Paths!$E$2:$E$4, MATCH(E23, Unit_Paths!$A$2:$A$4, 0)),1)</f>
        <v>16</v>
      </c>
      <c r="L23" s="6" t="n">
        <f aca="false">ROUND(INDEX(Archetypes!$I$2:$I$127, MATCH(D23, Archetypes!$A$2:$A$127, 0))*INDEX(Unit_Grades!$C$2:$C$7, MATCH(F23, Unit_Grades!$A$2:$A$7, 0)),1)</f>
        <v>6.3</v>
      </c>
      <c r="M23" s="6" t="n">
        <f aca="false">ROUND(INDEX(Archetypes!$J$2:$J$127, MATCH(D23, Archetypes!$A$2:$A$127, 0))*INDEX(Unit_Grades!$D$2:$D$7, MATCH(F23, Unit_Grades!$A$2:$A$7, 0)),1)</f>
        <v>4.9</v>
      </c>
      <c r="N23" s="6" t="n">
        <f aca="false">ROUND(M23/24,2)</f>
        <v>0.2</v>
      </c>
    </row>
    <row r="24" customFormat="false" ht="15" hidden="false" customHeight="true" outlineLevel="0" collapsed="false">
      <c r="A24" s="6" t="n">
        <v>1</v>
      </c>
      <c r="B24" s="6" t="s">
        <v>1590</v>
      </c>
      <c r="C24" s="6" t="s">
        <v>1251</v>
      </c>
      <c r="D24" s="6" t="str">
        <f aca="false">A24&amp;"|"&amp;C24</f>
        <v>1|Spearman</v>
      </c>
      <c r="E24" s="6" t="s">
        <v>1556</v>
      </c>
      <c r="F24" s="6" t="s">
        <v>1546</v>
      </c>
      <c r="G24" s="6" t="str">
        <f aca="false">INDEX(Archetypes!$D$2:$D$127, MATCH(D24, Archetypes!$A$2:$A$127, 0))</f>
        <v>Anti-Cavalry</v>
      </c>
      <c r="H24" s="6" t="n">
        <f aca="false">ROUND(INDEX(Archetypes!$E$2:$E$127, MATCH(D24, Archetypes!$A$2:$A$127, 0))*INDEX(Unit_Grades!$B$2:$B$7, MATCH(F24, Unit_Grades!$A$2:$A$7, 0))*INDEX(Unit_Paths!$B$2:$B$4, MATCH(E24, Unit_Paths!$A$2:$A$4, 0)),1)</f>
        <v>32</v>
      </c>
      <c r="I24" s="6" t="n">
        <f aca="false">ROUND(INDEX(Archetypes!$F$2:$F$127, MATCH(D24, Archetypes!$A$2:$A$127, 0))*INDEX(Unit_Grades!$B$2:$B$7, MATCH(F24, Unit_Grades!$A$2:$A$7, 0))*INDEX(Unit_Paths!$C$2:$C$4, MATCH(E24, Unit_Paths!$A$2:$A$4, 0)),1)</f>
        <v>70.4</v>
      </c>
      <c r="J24" s="6" t="n">
        <f aca="false">ROUND(INDEX(Archetypes!$G$2:$G$127, MATCH(D24, Archetypes!$A$2:$A$127, 0))*INDEX(Unit_Grades!$B$2:$B$7, MATCH(F24, Unit_Grades!$A$2:$A$7, 0))*INDEX(Unit_Paths!$D$2:$D$4, MATCH(E24, Unit_Paths!$A$2:$A$4, 0)),0)</f>
        <v>256</v>
      </c>
      <c r="K24" s="6" t="n">
        <f aca="false">ROUND(INDEX(Archetypes!$H$2:$H$127, MATCH(D24, Archetypes!$A$2:$A$127, 0))*INDEX(Unit_Paths!$E$2:$E$4, MATCH(E24, Unit_Paths!$A$2:$A$4, 0)),1)</f>
        <v>16</v>
      </c>
      <c r="L24" s="6" t="n">
        <f aca="false">ROUND(INDEX(Archetypes!$I$2:$I$127, MATCH(D24, Archetypes!$A$2:$A$127, 0))*INDEX(Unit_Grades!$C$2:$C$7, MATCH(F24, Unit_Grades!$A$2:$A$7, 0)),1)</f>
        <v>8.4</v>
      </c>
      <c r="M24" s="6" t="n">
        <f aca="false">ROUND(INDEX(Archetypes!$J$2:$J$127, MATCH(D24, Archetypes!$A$2:$A$127, 0))*INDEX(Unit_Grades!$D$2:$D$7, MATCH(F24, Unit_Grades!$A$2:$A$7, 0)),1)</f>
        <v>8.5</v>
      </c>
      <c r="N24" s="6" t="n">
        <f aca="false">ROUND(M24/24,2)</f>
        <v>0.35</v>
      </c>
    </row>
    <row r="25" customFormat="false" ht="15" hidden="false" customHeight="true" outlineLevel="0" collapsed="false">
      <c r="A25" s="6" t="n">
        <v>1</v>
      </c>
      <c r="B25" s="6" t="s">
        <v>1591</v>
      </c>
      <c r="C25" s="6" t="s">
        <v>1251</v>
      </c>
      <c r="D25" s="6" t="str">
        <f aca="false">A25&amp;"|"&amp;C25</f>
        <v>1|Spearman</v>
      </c>
      <c r="E25" s="6" t="s">
        <v>1556</v>
      </c>
      <c r="F25" s="6" t="s">
        <v>1548</v>
      </c>
      <c r="G25" s="6" t="str">
        <f aca="false">INDEX(Archetypes!$D$2:$D$127, MATCH(D25, Archetypes!$A$2:$A$127, 0))</f>
        <v>Anti-Cavalry</v>
      </c>
      <c r="H25" s="6" t="n">
        <f aca="false">ROUND(INDEX(Archetypes!$E$2:$E$127, MATCH(D25, Archetypes!$A$2:$A$127, 0))*INDEX(Unit_Grades!$B$2:$B$7, MATCH(F25, Unit_Grades!$A$2:$A$7, 0))*INDEX(Unit_Paths!$B$2:$B$4, MATCH(E25, Unit_Paths!$A$2:$A$4, 0)),1)</f>
        <v>42</v>
      </c>
      <c r="I25" s="6" t="n">
        <f aca="false">ROUND(INDEX(Archetypes!$F$2:$F$127, MATCH(D25, Archetypes!$A$2:$A$127, 0))*INDEX(Unit_Grades!$B$2:$B$7, MATCH(F25, Unit_Grades!$A$2:$A$7, 0))*INDEX(Unit_Paths!$C$2:$C$4, MATCH(E25, Unit_Paths!$A$2:$A$4, 0)),1)</f>
        <v>92.4</v>
      </c>
      <c r="J25" s="6" t="n">
        <f aca="false">ROUND(INDEX(Archetypes!$G$2:$G$127, MATCH(D25, Archetypes!$A$2:$A$127, 0))*INDEX(Unit_Grades!$B$2:$B$7, MATCH(F25, Unit_Grades!$A$2:$A$7, 0))*INDEX(Unit_Paths!$D$2:$D$4, MATCH(E25, Unit_Paths!$A$2:$A$4, 0)),0)</f>
        <v>336</v>
      </c>
      <c r="K25" s="6" t="n">
        <f aca="false">ROUND(INDEX(Archetypes!$H$2:$H$127, MATCH(D25, Archetypes!$A$2:$A$127, 0))*INDEX(Unit_Paths!$E$2:$E$4, MATCH(E25, Unit_Paths!$A$2:$A$4, 0)),1)</f>
        <v>16</v>
      </c>
      <c r="L25" s="6" t="n">
        <f aca="false">ROUND(INDEX(Archetypes!$I$2:$I$127, MATCH(D25, Archetypes!$A$2:$A$127, 0))*INDEX(Unit_Grades!$C$2:$C$7, MATCH(F25, Unit_Grades!$A$2:$A$7, 0)),1)</f>
        <v>11.1</v>
      </c>
      <c r="M25" s="6" t="n">
        <f aca="false">ROUND(INDEX(Archetypes!$J$2:$J$127, MATCH(D25, Archetypes!$A$2:$A$127, 0))*INDEX(Unit_Grades!$D$2:$D$7, MATCH(F25, Unit_Grades!$A$2:$A$7, 0)),1)</f>
        <v>14.6</v>
      </c>
      <c r="N25" s="6" t="n">
        <f aca="false">ROUND(M25/24,2)</f>
        <v>0.61</v>
      </c>
    </row>
    <row r="26" customFormat="false" ht="15" hidden="false" customHeight="true" outlineLevel="0" collapsed="false">
      <c r="A26" s="6" t="n">
        <v>1</v>
      </c>
      <c r="B26" s="6" t="s">
        <v>1592</v>
      </c>
      <c r="C26" s="6" t="s">
        <v>1251</v>
      </c>
      <c r="D26" s="6" t="str">
        <f aca="false">A26&amp;"|"&amp;C26</f>
        <v>1|Spearman</v>
      </c>
      <c r="E26" s="6" t="s">
        <v>1558</v>
      </c>
      <c r="F26" s="6" t="s">
        <v>1538</v>
      </c>
      <c r="G26" s="6" t="str">
        <f aca="false">INDEX(Archetypes!$D$2:$D$127, MATCH(D26, Archetypes!$A$2:$A$127, 0))</f>
        <v>Anti-Cavalry</v>
      </c>
      <c r="H26" s="6" t="n">
        <f aca="false">ROUND(INDEX(Archetypes!$E$2:$E$127, MATCH(D26, Archetypes!$A$2:$A$127, 0))*INDEX(Unit_Grades!$B$2:$B$7, MATCH(F26, Unit_Grades!$A$2:$A$7, 0))*INDEX(Unit_Paths!$B$2:$B$4, MATCH(E26, Unit_Paths!$A$2:$A$4, 0)),1)</f>
        <v>12</v>
      </c>
      <c r="I26" s="6" t="n">
        <f aca="false">ROUND(INDEX(Archetypes!$F$2:$F$127, MATCH(D26, Archetypes!$A$2:$A$127, 0))*INDEX(Unit_Grades!$B$2:$B$7, MATCH(F26, Unit_Grades!$A$2:$A$7, 0))*INDEX(Unit_Paths!$C$2:$C$4, MATCH(E26, Unit_Paths!$A$2:$A$4, 0)),1)</f>
        <v>18.7</v>
      </c>
      <c r="J26" s="6" t="n">
        <f aca="false">ROUND(INDEX(Archetypes!$G$2:$G$127, MATCH(D26, Archetypes!$A$2:$A$127, 0))*INDEX(Unit_Grades!$B$2:$B$7, MATCH(F26, Unit_Grades!$A$2:$A$7, 0))*INDEX(Unit_Paths!$D$2:$D$4, MATCH(E26, Unit_Paths!$A$2:$A$4, 0)),0)</f>
        <v>76</v>
      </c>
      <c r="K26" s="6" t="n">
        <f aca="false">ROUND(INDEX(Archetypes!$H$2:$H$127, MATCH(D26, Archetypes!$A$2:$A$127, 0))*INDEX(Unit_Paths!$E$2:$E$4, MATCH(E26, Unit_Paths!$A$2:$A$4, 0)),1)</f>
        <v>16.8</v>
      </c>
      <c r="L26" s="6" t="n">
        <f aca="false">ROUND(INDEX(Archetypes!$I$2:$I$127, MATCH(D26, Archetypes!$A$2:$A$127, 0))*INDEX(Unit_Grades!$C$2:$C$7, MATCH(F26, Unit_Grades!$A$2:$A$7, 0)),1)</f>
        <v>3</v>
      </c>
      <c r="M26" s="6" t="n">
        <f aca="false">ROUND(INDEX(Archetypes!$J$2:$J$127, MATCH(D26, Archetypes!$A$2:$A$127, 0))*INDEX(Unit_Grades!$D$2:$D$7, MATCH(F26, Unit_Grades!$A$2:$A$7, 0)),1)</f>
        <v>1.2</v>
      </c>
      <c r="N26" s="6" t="n">
        <f aca="false">ROUND(M26/24,2)</f>
        <v>0.05</v>
      </c>
    </row>
    <row r="27" customFormat="false" ht="15" hidden="false" customHeight="true" outlineLevel="0" collapsed="false">
      <c r="A27" s="6" t="n">
        <v>1</v>
      </c>
      <c r="B27" s="6" t="s">
        <v>1593</v>
      </c>
      <c r="C27" s="6" t="s">
        <v>1251</v>
      </c>
      <c r="D27" s="6" t="str">
        <f aca="false">A27&amp;"|"&amp;C27</f>
        <v>1|Spearman</v>
      </c>
      <c r="E27" s="6" t="s">
        <v>1558</v>
      </c>
      <c r="F27" s="6" t="s">
        <v>1540</v>
      </c>
      <c r="G27" s="6" t="str">
        <f aca="false">INDEX(Archetypes!$D$2:$D$127, MATCH(D27, Archetypes!$A$2:$A$127, 0))</f>
        <v>Anti-Cavalry</v>
      </c>
      <c r="H27" s="6" t="n">
        <f aca="false">ROUND(INDEX(Archetypes!$E$2:$E$127, MATCH(D27, Archetypes!$A$2:$A$127, 0))*INDEX(Unit_Grades!$B$2:$B$7, MATCH(F27, Unit_Grades!$A$2:$A$7, 0))*INDEX(Unit_Paths!$B$2:$B$4, MATCH(E27, Unit_Paths!$A$2:$A$4, 0)),1)</f>
        <v>16.2</v>
      </c>
      <c r="I27" s="6" t="n">
        <f aca="false">ROUND(INDEX(Archetypes!$F$2:$F$127, MATCH(D27, Archetypes!$A$2:$A$127, 0))*INDEX(Unit_Grades!$B$2:$B$7, MATCH(F27, Unit_Grades!$A$2:$A$7, 0))*INDEX(Unit_Paths!$C$2:$C$4, MATCH(E27, Unit_Paths!$A$2:$A$4, 0)),1)</f>
        <v>25.2</v>
      </c>
      <c r="J27" s="6" t="n">
        <f aca="false">ROUND(INDEX(Archetypes!$G$2:$G$127, MATCH(D27, Archetypes!$A$2:$A$127, 0))*INDEX(Unit_Grades!$B$2:$B$7, MATCH(F27, Unit_Grades!$A$2:$A$7, 0))*INDEX(Unit_Paths!$D$2:$D$4, MATCH(E27, Unit_Paths!$A$2:$A$4, 0)),0)</f>
        <v>103</v>
      </c>
      <c r="K27" s="6" t="n">
        <f aca="false">ROUND(INDEX(Archetypes!$H$2:$H$127, MATCH(D27, Archetypes!$A$2:$A$127, 0))*INDEX(Unit_Paths!$E$2:$E$4, MATCH(E27, Unit_Paths!$A$2:$A$4, 0)),1)</f>
        <v>16.8</v>
      </c>
      <c r="L27" s="6" t="n">
        <f aca="false">ROUND(INDEX(Archetypes!$I$2:$I$127, MATCH(D27, Archetypes!$A$2:$A$127, 0))*INDEX(Unit_Grades!$C$2:$C$7, MATCH(F27, Unit_Grades!$A$2:$A$7, 0)),1)</f>
        <v>3.8</v>
      </c>
      <c r="M27" s="6" t="n">
        <f aca="false">ROUND(INDEX(Archetypes!$J$2:$J$127, MATCH(D27, Archetypes!$A$2:$A$127, 0))*INDEX(Unit_Grades!$D$2:$D$7, MATCH(F27, Unit_Grades!$A$2:$A$7, 0)),1)</f>
        <v>1.8</v>
      </c>
      <c r="N27" s="6" t="n">
        <f aca="false">ROUND(M27/24,2)</f>
        <v>0.08</v>
      </c>
    </row>
    <row r="28" customFormat="false" ht="15" hidden="false" customHeight="true" outlineLevel="0" collapsed="false">
      <c r="A28" s="6" t="n">
        <v>1</v>
      </c>
      <c r="B28" s="6" t="s">
        <v>1594</v>
      </c>
      <c r="C28" s="6" t="s">
        <v>1251</v>
      </c>
      <c r="D28" s="6" t="str">
        <f aca="false">A28&amp;"|"&amp;C28</f>
        <v>1|Spearman</v>
      </c>
      <c r="E28" s="6" t="s">
        <v>1558</v>
      </c>
      <c r="F28" s="6" t="s">
        <v>1542</v>
      </c>
      <c r="G28" s="6" t="str">
        <f aca="false">INDEX(Archetypes!$D$2:$D$127, MATCH(D28, Archetypes!$A$2:$A$127, 0))</f>
        <v>Anti-Cavalry</v>
      </c>
      <c r="H28" s="6" t="n">
        <f aca="false">ROUND(INDEX(Archetypes!$E$2:$E$127, MATCH(D28, Archetypes!$A$2:$A$127, 0))*INDEX(Unit_Grades!$B$2:$B$7, MATCH(F28, Unit_Grades!$A$2:$A$7, 0))*INDEX(Unit_Paths!$B$2:$B$4, MATCH(E28, Unit_Paths!$A$2:$A$4, 0)),1)</f>
        <v>21.6</v>
      </c>
      <c r="I28" s="6" t="n">
        <f aca="false">ROUND(INDEX(Archetypes!$F$2:$F$127, MATCH(D28, Archetypes!$A$2:$A$127, 0))*INDEX(Unit_Grades!$B$2:$B$7, MATCH(F28, Unit_Grades!$A$2:$A$7, 0))*INDEX(Unit_Paths!$C$2:$C$4, MATCH(E28, Unit_Paths!$A$2:$A$4, 0)),1)</f>
        <v>33.7</v>
      </c>
      <c r="J28" s="6" t="n">
        <f aca="false">ROUND(INDEX(Archetypes!$G$2:$G$127, MATCH(D28, Archetypes!$A$2:$A$127, 0))*INDEX(Unit_Grades!$B$2:$B$7, MATCH(F28, Unit_Grades!$A$2:$A$7, 0))*INDEX(Unit_Paths!$D$2:$D$4, MATCH(E28, Unit_Paths!$A$2:$A$4, 0)),0)</f>
        <v>137</v>
      </c>
      <c r="K28" s="6" t="n">
        <f aca="false">ROUND(INDEX(Archetypes!$H$2:$H$127, MATCH(D28, Archetypes!$A$2:$A$127, 0))*INDEX(Unit_Paths!$E$2:$E$4, MATCH(E28, Unit_Paths!$A$2:$A$4, 0)),1)</f>
        <v>16.8</v>
      </c>
      <c r="L28" s="6" t="n">
        <f aca="false">ROUND(INDEX(Archetypes!$I$2:$I$127, MATCH(D28, Archetypes!$A$2:$A$127, 0))*INDEX(Unit_Grades!$C$2:$C$7, MATCH(F28, Unit_Grades!$A$2:$A$7, 0)),1)</f>
        <v>4.8</v>
      </c>
      <c r="M28" s="6" t="n">
        <f aca="false">ROUND(INDEX(Archetypes!$J$2:$J$127, MATCH(D28, Archetypes!$A$2:$A$127, 0))*INDEX(Unit_Grades!$D$2:$D$7, MATCH(F28, Unit_Grades!$A$2:$A$7, 0)),1)</f>
        <v>3.1</v>
      </c>
      <c r="N28" s="6" t="n">
        <f aca="false">ROUND(M28/24,2)</f>
        <v>0.13</v>
      </c>
    </row>
    <row r="29" customFormat="false" ht="15" hidden="false" customHeight="true" outlineLevel="0" collapsed="false">
      <c r="A29" s="6" t="n">
        <v>1</v>
      </c>
      <c r="B29" s="6" t="s">
        <v>1595</v>
      </c>
      <c r="C29" s="6" t="s">
        <v>1251</v>
      </c>
      <c r="D29" s="6" t="str">
        <f aca="false">A29&amp;"|"&amp;C29</f>
        <v>1|Spearman</v>
      </c>
      <c r="E29" s="6" t="s">
        <v>1558</v>
      </c>
      <c r="F29" s="6" t="s">
        <v>1544</v>
      </c>
      <c r="G29" s="6" t="str">
        <f aca="false">INDEX(Archetypes!$D$2:$D$127, MATCH(D29, Archetypes!$A$2:$A$127, 0))</f>
        <v>Anti-Cavalry</v>
      </c>
      <c r="H29" s="6" t="n">
        <f aca="false">ROUND(INDEX(Archetypes!$E$2:$E$127, MATCH(D29, Archetypes!$A$2:$A$127, 0))*INDEX(Unit_Grades!$B$2:$B$7, MATCH(F29, Unit_Grades!$A$2:$A$7, 0))*INDEX(Unit_Paths!$B$2:$B$4, MATCH(E29, Unit_Paths!$A$2:$A$4, 0)),1)</f>
        <v>28.8</v>
      </c>
      <c r="I29" s="6" t="n">
        <f aca="false">ROUND(INDEX(Archetypes!$F$2:$F$127, MATCH(D29, Archetypes!$A$2:$A$127, 0))*INDEX(Unit_Grades!$B$2:$B$7, MATCH(F29, Unit_Grades!$A$2:$A$7, 0))*INDEX(Unit_Paths!$C$2:$C$4, MATCH(E29, Unit_Paths!$A$2:$A$4, 0)),1)</f>
        <v>44.9</v>
      </c>
      <c r="J29" s="6" t="n">
        <f aca="false">ROUND(INDEX(Archetypes!$G$2:$G$127, MATCH(D29, Archetypes!$A$2:$A$127, 0))*INDEX(Unit_Grades!$B$2:$B$7, MATCH(F29, Unit_Grades!$A$2:$A$7, 0))*INDEX(Unit_Paths!$D$2:$D$4, MATCH(E29, Unit_Paths!$A$2:$A$4, 0)),0)</f>
        <v>182</v>
      </c>
      <c r="K29" s="6" t="n">
        <f aca="false">ROUND(INDEX(Archetypes!$H$2:$H$127, MATCH(D29, Archetypes!$A$2:$A$127, 0))*INDEX(Unit_Paths!$E$2:$E$4, MATCH(E29, Unit_Paths!$A$2:$A$4, 0)),1)</f>
        <v>16.8</v>
      </c>
      <c r="L29" s="6" t="n">
        <f aca="false">ROUND(INDEX(Archetypes!$I$2:$I$127, MATCH(D29, Archetypes!$A$2:$A$127, 0))*INDEX(Unit_Grades!$C$2:$C$7, MATCH(F29, Unit_Grades!$A$2:$A$7, 0)),1)</f>
        <v>6.3</v>
      </c>
      <c r="M29" s="6" t="n">
        <f aca="false">ROUND(INDEX(Archetypes!$J$2:$J$127, MATCH(D29, Archetypes!$A$2:$A$127, 0))*INDEX(Unit_Grades!$D$2:$D$7, MATCH(F29, Unit_Grades!$A$2:$A$7, 0)),1)</f>
        <v>4.9</v>
      </c>
      <c r="N29" s="6" t="n">
        <f aca="false">ROUND(M29/24,2)</f>
        <v>0.2</v>
      </c>
    </row>
    <row r="30" customFormat="false" ht="15" hidden="false" customHeight="true" outlineLevel="0" collapsed="false">
      <c r="A30" s="6" t="n">
        <v>1</v>
      </c>
      <c r="B30" s="6" t="s">
        <v>1596</v>
      </c>
      <c r="C30" s="6" t="s">
        <v>1251</v>
      </c>
      <c r="D30" s="6" t="str">
        <f aca="false">A30&amp;"|"&amp;C30</f>
        <v>1|Spearman</v>
      </c>
      <c r="E30" s="6" t="s">
        <v>1558</v>
      </c>
      <c r="F30" s="6" t="s">
        <v>1546</v>
      </c>
      <c r="G30" s="6" t="str">
        <f aca="false">INDEX(Archetypes!$D$2:$D$127, MATCH(D30, Archetypes!$A$2:$A$127, 0))</f>
        <v>Anti-Cavalry</v>
      </c>
      <c r="H30" s="6" t="n">
        <f aca="false">ROUND(INDEX(Archetypes!$E$2:$E$127, MATCH(D30, Archetypes!$A$2:$A$127, 0))*INDEX(Unit_Grades!$B$2:$B$7, MATCH(F30, Unit_Grades!$A$2:$A$7, 0))*INDEX(Unit_Paths!$B$2:$B$4, MATCH(E30, Unit_Paths!$A$2:$A$4, 0)),1)</f>
        <v>38.4</v>
      </c>
      <c r="I30" s="6" t="n">
        <f aca="false">ROUND(INDEX(Archetypes!$F$2:$F$127, MATCH(D30, Archetypes!$A$2:$A$127, 0))*INDEX(Unit_Grades!$B$2:$B$7, MATCH(F30, Unit_Grades!$A$2:$A$7, 0))*INDEX(Unit_Paths!$C$2:$C$4, MATCH(E30, Unit_Paths!$A$2:$A$4, 0)),1)</f>
        <v>59.8</v>
      </c>
      <c r="J30" s="6" t="n">
        <f aca="false">ROUND(INDEX(Archetypes!$G$2:$G$127, MATCH(D30, Archetypes!$A$2:$A$127, 0))*INDEX(Unit_Grades!$B$2:$B$7, MATCH(F30, Unit_Grades!$A$2:$A$7, 0))*INDEX(Unit_Paths!$D$2:$D$4, MATCH(E30, Unit_Paths!$A$2:$A$4, 0)),0)</f>
        <v>243</v>
      </c>
      <c r="K30" s="6" t="n">
        <f aca="false">ROUND(INDEX(Archetypes!$H$2:$H$127, MATCH(D30, Archetypes!$A$2:$A$127, 0))*INDEX(Unit_Paths!$E$2:$E$4, MATCH(E30, Unit_Paths!$A$2:$A$4, 0)),1)</f>
        <v>16.8</v>
      </c>
      <c r="L30" s="6" t="n">
        <f aca="false">ROUND(INDEX(Archetypes!$I$2:$I$127, MATCH(D30, Archetypes!$A$2:$A$127, 0))*INDEX(Unit_Grades!$C$2:$C$7, MATCH(F30, Unit_Grades!$A$2:$A$7, 0)),1)</f>
        <v>8.4</v>
      </c>
      <c r="M30" s="6" t="n">
        <f aca="false">ROUND(INDEX(Archetypes!$J$2:$J$127, MATCH(D30, Archetypes!$A$2:$A$127, 0))*INDEX(Unit_Grades!$D$2:$D$7, MATCH(F30, Unit_Grades!$A$2:$A$7, 0)),1)</f>
        <v>8.5</v>
      </c>
      <c r="N30" s="6" t="n">
        <f aca="false">ROUND(M30/24,2)</f>
        <v>0.35</v>
      </c>
    </row>
    <row r="31" customFormat="false" ht="15" hidden="false" customHeight="true" outlineLevel="0" collapsed="false">
      <c r="A31" s="6" t="n">
        <v>1</v>
      </c>
      <c r="B31" s="6" t="s">
        <v>1597</v>
      </c>
      <c r="C31" s="6" t="s">
        <v>1251</v>
      </c>
      <c r="D31" s="6" t="str">
        <f aca="false">A31&amp;"|"&amp;C31</f>
        <v>1|Spearman</v>
      </c>
      <c r="E31" s="6" t="s">
        <v>1558</v>
      </c>
      <c r="F31" s="6" t="s">
        <v>1548</v>
      </c>
      <c r="G31" s="6" t="str">
        <f aca="false">INDEX(Archetypes!$D$2:$D$127, MATCH(D31, Archetypes!$A$2:$A$127, 0))</f>
        <v>Anti-Cavalry</v>
      </c>
      <c r="H31" s="6" t="n">
        <f aca="false">ROUND(INDEX(Archetypes!$E$2:$E$127, MATCH(D31, Archetypes!$A$2:$A$127, 0))*INDEX(Unit_Grades!$B$2:$B$7, MATCH(F31, Unit_Grades!$A$2:$A$7, 0))*INDEX(Unit_Paths!$B$2:$B$4, MATCH(E31, Unit_Paths!$A$2:$A$4, 0)),1)</f>
        <v>50.4</v>
      </c>
      <c r="I31" s="6" t="n">
        <f aca="false">ROUND(INDEX(Archetypes!$F$2:$F$127, MATCH(D31, Archetypes!$A$2:$A$127, 0))*INDEX(Unit_Grades!$B$2:$B$7, MATCH(F31, Unit_Grades!$A$2:$A$7, 0))*INDEX(Unit_Paths!$C$2:$C$4, MATCH(E31, Unit_Paths!$A$2:$A$4, 0)),1)</f>
        <v>78.5</v>
      </c>
      <c r="J31" s="6" t="n">
        <f aca="false">ROUND(INDEX(Archetypes!$G$2:$G$127, MATCH(D31, Archetypes!$A$2:$A$127, 0))*INDEX(Unit_Grades!$B$2:$B$7, MATCH(F31, Unit_Grades!$A$2:$A$7, 0))*INDEX(Unit_Paths!$D$2:$D$4, MATCH(E31, Unit_Paths!$A$2:$A$4, 0)),0)</f>
        <v>319</v>
      </c>
      <c r="K31" s="6" t="n">
        <f aca="false">ROUND(INDEX(Archetypes!$H$2:$H$127, MATCH(D31, Archetypes!$A$2:$A$127, 0))*INDEX(Unit_Paths!$E$2:$E$4, MATCH(E31, Unit_Paths!$A$2:$A$4, 0)),1)</f>
        <v>16.8</v>
      </c>
      <c r="L31" s="6" t="n">
        <f aca="false">ROUND(INDEX(Archetypes!$I$2:$I$127, MATCH(D31, Archetypes!$A$2:$A$127, 0))*INDEX(Unit_Grades!$C$2:$C$7, MATCH(F31, Unit_Grades!$A$2:$A$7, 0)),1)</f>
        <v>11.1</v>
      </c>
      <c r="M31" s="6" t="n">
        <f aca="false">ROUND(INDEX(Archetypes!$J$2:$J$127, MATCH(D31, Archetypes!$A$2:$A$127, 0))*INDEX(Unit_Grades!$D$2:$D$7, MATCH(F31, Unit_Grades!$A$2:$A$7, 0)),1)</f>
        <v>14.6</v>
      </c>
      <c r="N31" s="6" t="n">
        <f aca="false">ROUND(M31/24,2)</f>
        <v>0.61</v>
      </c>
    </row>
    <row r="32" customFormat="false" ht="15" hidden="false" customHeight="true" outlineLevel="0" collapsed="false">
      <c r="A32" s="6" t="n">
        <v>1</v>
      </c>
      <c r="B32" s="6" t="s">
        <v>1598</v>
      </c>
      <c r="C32" s="6" t="s">
        <v>1251</v>
      </c>
      <c r="D32" s="6" t="str">
        <f aca="false">A32&amp;"|"&amp;C32</f>
        <v>1|Spearman</v>
      </c>
      <c r="E32" s="6" t="s">
        <v>1560</v>
      </c>
      <c r="F32" s="6" t="s">
        <v>1538</v>
      </c>
      <c r="G32" s="6" t="str">
        <f aca="false">INDEX(Archetypes!$D$2:$D$127, MATCH(D32, Archetypes!$A$2:$A$127, 0))</f>
        <v>Anti-Cavalry</v>
      </c>
      <c r="H32" s="6" t="n">
        <f aca="false">ROUND(INDEX(Archetypes!$E$2:$E$127, MATCH(D32, Archetypes!$A$2:$A$127, 0))*INDEX(Unit_Grades!$B$2:$B$7, MATCH(F32, Unit_Grades!$A$2:$A$7, 0))*INDEX(Unit_Paths!$B$2:$B$4, MATCH(E32, Unit_Paths!$A$2:$A$4, 0)),1)</f>
        <v>8.5</v>
      </c>
      <c r="I32" s="6" t="n">
        <f aca="false">ROUND(INDEX(Archetypes!$F$2:$F$127, MATCH(D32, Archetypes!$A$2:$A$127, 0))*INDEX(Unit_Grades!$B$2:$B$7, MATCH(F32, Unit_Grades!$A$2:$A$7, 0))*INDEX(Unit_Paths!$C$2:$C$4, MATCH(E32, Unit_Paths!$A$2:$A$4, 0)),1)</f>
        <v>27.5</v>
      </c>
      <c r="J32" s="6" t="n">
        <f aca="false">ROUND(INDEX(Archetypes!$G$2:$G$127, MATCH(D32, Archetypes!$A$2:$A$127, 0))*INDEX(Unit_Grades!$B$2:$B$7, MATCH(F32, Unit_Grades!$A$2:$A$7, 0))*INDEX(Unit_Paths!$D$2:$D$4, MATCH(E32, Unit_Paths!$A$2:$A$4, 0)),0)</f>
        <v>92</v>
      </c>
      <c r="K32" s="6" t="n">
        <f aca="false">ROUND(INDEX(Archetypes!$H$2:$H$127, MATCH(D32, Archetypes!$A$2:$A$127, 0))*INDEX(Unit_Paths!$E$2:$E$4, MATCH(E32, Unit_Paths!$A$2:$A$4, 0)),1)</f>
        <v>14.7</v>
      </c>
      <c r="L32" s="6" t="n">
        <f aca="false">ROUND(INDEX(Archetypes!$I$2:$I$127, MATCH(D32, Archetypes!$A$2:$A$127, 0))*INDEX(Unit_Grades!$C$2:$C$7, MATCH(F32, Unit_Grades!$A$2:$A$7, 0)),1)</f>
        <v>3</v>
      </c>
      <c r="M32" s="6" t="n">
        <f aca="false">ROUND(INDEX(Archetypes!$J$2:$J$127, MATCH(D32, Archetypes!$A$2:$A$127, 0))*INDEX(Unit_Grades!$D$2:$D$7, MATCH(F32, Unit_Grades!$A$2:$A$7, 0)),1)</f>
        <v>1.2</v>
      </c>
      <c r="N32" s="6" t="n">
        <f aca="false">ROUND(M32/24,2)</f>
        <v>0.05</v>
      </c>
    </row>
    <row r="33" customFormat="false" ht="15" hidden="false" customHeight="true" outlineLevel="0" collapsed="false">
      <c r="A33" s="6" t="n">
        <v>1</v>
      </c>
      <c r="B33" s="6" t="s">
        <v>1599</v>
      </c>
      <c r="C33" s="6" t="s">
        <v>1251</v>
      </c>
      <c r="D33" s="6" t="str">
        <f aca="false">A33&amp;"|"&amp;C33</f>
        <v>1|Spearman</v>
      </c>
      <c r="E33" s="6" t="s">
        <v>1560</v>
      </c>
      <c r="F33" s="6" t="s">
        <v>1540</v>
      </c>
      <c r="G33" s="6" t="str">
        <f aca="false">INDEX(Archetypes!$D$2:$D$127, MATCH(D33, Archetypes!$A$2:$A$127, 0))</f>
        <v>Anti-Cavalry</v>
      </c>
      <c r="H33" s="6" t="n">
        <f aca="false">ROUND(INDEX(Archetypes!$E$2:$E$127, MATCH(D33, Archetypes!$A$2:$A$127, 0))*INDEX(Unit_Grades!$B$2:$B$7, MATCH(F33, Unit_Grades!$A$2:$A$7, 0))*INDEX(Unit_Paths!$B$2:$B$4, MATCH(E33, Unit_Paths!$A$2:$A$4, 0)),1)</f>
        <v>11.5</v>
      </c>
      <c r="I33" s="6" t="n">
        <f aca="false">ROUND(INDEX(Archetypes!$F$2:$F$127, MATCH(D33, Archetypes!$A$2:$A$127, 0))*INDEX(Unit_Grades!$B$2:$B$7, MATCH(F33, Unit_Grades!$A$2:$A$7, 0))*INDEX(Unit_Paths!$C$2:$C$4, MATCH(E33, Unit_Paths!$A$2:$A$4, 0)),1)</f>
        <v>37.1</v>
      </c>
      <c r="J33" s="6" t="n">
        <f aca="false">ROUND(INDEX(Archetypes!$G$2:$G$127, MATCH(D33, Archetypes!$A$2:$A$127, 0))*INDEX(Unit_Grades!$B$2:$B$7, MATCH(F33, Unit_Grades!$A$2:$A$7, 0))*INDEX(Unit_Paths!$D$2:$D$4, MATCH(E33, Unit_Paths!$A$2:$A$4, 0)),0)</f>
        <v>124</v>
      </c>
      <c r="K33" s="6" t="n">
        <f aca="false">ROUND(INDEX(Archetypes!$H$2:$H$127, MATCH(D33, Archetypes!$A$2:$A$127, 0))*INDEX(Unit_Paths!$E$2:$E$4, MATCH(E33, Unit_Paths!$A$2:$A$4, 0)),1)</f>
        <v>14.7</v>
      </c>
      <c r="L33" s="6" t="n">
        <f aca="false">ROUND(INDEX(Archetypes!$I$2:$I$127, MATCH(D33, Archetypes!$A$2:$A$127, 0))*INDEX(Unit_Grades!$C$2:$C$7, MATCH(F33, Unit_Grades!$A$2:$A$7, 0)),1)</f>
        <v>3.8</v>
      </c>
      <c r="M33" s="6" t="n">
        <f aca="false">ROUND(INDEX(Archetypes!$J$2:$J$127, MATCH(D33, Archetypes!$A$2:$A$127, 0))*INDEX(Unit_Grades!$D$2:$D$7, MATCH(F33, Unit_Grades!$A$2:$A$7, 0)),1)</f>
        <v>1.8</v>
      </c>
      <c r="N33" s="6" t="n">
        <f aca="false">ROUND(M33/24,2)</f>
        <v>0.08</v>
      </c>
    </row>
    <row r="34" customFormat="false" ht="15" hidden="false" customHeight="true" outlineLevel="0" collapsed="false">
      <c r="A34" s="6" t="n">
        <v>1</v>
      </c>
      <c r="B34" s="6" t="s">
        <v>1600</v>
      </c>
      <c r="C34" s="6" t="s">
        <v>1251</v>
      </c>
      <c r="D34" s="6" t="str">
        <f aca="false">A34&amp;"|"&amp;C34</f>
        <v>1|Spearman</v>
      </c>
      <c r="E34" s="6" t="s">
        <v>1560</v>
      </c>
      <c r="F34" s="6" t="s">
        <v>1542</v>
      </c>
      <c r="G34" s="6" t="str">
        <f aca="false">INDEX(Archetypes!$D$2:$D$127, MATCH(D34, Archetypes!$A$2:$A$127, 0))</f>
        <v>Anti-Cavalry</v>
      </c>
      <c r="H34" s="6" t="n">
        <f aca="false">ROUND(INDEX(Archetypes!$E$2:$E$127, MATCH(D34, Archetypes!$A$2:$A$127, 0))*INDEX(Unit_Grades!$B$2:$B$7, MATCH(F34, Unit_Grades!$A$2:$A$7, 0))*INDEX(Unit_Paths!$B$2:$B$4, MATCH(E34, Unit_Paths!$A$2:$A$4, 0)),1)</f>
        <v>15.3</v>
      </c>
      <c r="I34" s="6" t="n">
        <f aca="false">ROUND(INDEX(Archetypes!$F$2:$F$127, MATCH(D34, Archetypes!$A$2:$A$127, 0))*INDEX(Unit_Grades!$B$2:$B$7, MATCH(F34, Unit_Grades!$A$2:$A$7, 0))*INDEX(Unit_Paths!$C$2:$C$4, MATCH(E34, Unit_Paths!$A$2:$A$4, 0)),1)</f>
        <v>49.5</v>
      </c>
      <c r="J34" s="6" t="n">
        <f aca="false">ROUND(INDEX(Archetypes!$G$2:$G$127, MATCH(D34, Archetypes!$A$2:$A$127, 0))*INDEX(Unit_Grades!$B$2:$B$7, MATCH(F34, Unit_Grades!$A$2:$A$7, 0))*INDEX(Unit_Paths!$D$2:$D$4, MATCH(E34, Unit_Paths!$A$2:$A$4, 0)),0)</f>
        <v>166</v>
      </c>
      <c r="K34" s="6" t="n">
        <f aca="false">ROUND(INDEX(Archetypes!$H$2:$H$127, MATCH(D34, Archetypes!$A$2:$A$127, 0))*INDEX(Unit_Paths!$E$2:$E$4, MATCH(E34, Unit_Paths!$A$2:$A$4, 0)),1)</f>
        <v>14.7</v>
      </c>
      <c r="L34" s="6" t="n">
        <f aca="false">ROUND(INDEX(Archetypes!$I$2:$I$127, MATCH(D34, Archetypes!$A$2:$A$127, 0))*INDEX(Unit_Grades!$C$2:$C$7, MATCH(F34, Unit_Grades!$A$2:$A$7, 0)),1)</f>
        <v>4.8</v>
      </c>
      <c r="M34" s="6" t="n">
        <f aca="false">ROUND(INDEX(Archetypes!$J$2:$J$127, MATCH(D34, Archetypes!$A$2:$A$127, 0))*INDEX(Unit_Grades!$D$2:$D$7, MATCH(F34, Unit_Grades!$A$2:$A$7, 0)),1)</f>
        <v>3.1</v>
      </c>
      <c r="N34" s="6" t="n">
        <f aca="false">ROUND(M34/24,2)</f>
        <v>0.13</v>
      </c>
    </row>
    <row r="35" customFormat="false" ht="15" hidden="false" customHeight="true" outlineLevel="0" collapsed="false">
      <c r="A35" s="6" t="n">
        <v>1</v>
      </c>
      <c r="B35" s="6" t="s">
        <v>1601</v>
      </c>
      <c r="C35" s="6" t="s">
        <v>1251</v>
      </c>
      <c r="D35" s="6" t="str">
        <f aca="false">A35&amp;"|"&amp;C35</f>
        <v>1|Spearman</v>
      </c>
      <c r="E35" s="6" t="s">
        <v>1560</v>
      </c>
      <c r="F35" s="6" t="s">
        <v>1544</v>
      </c>
      <c r="G35" s="6" t="str">
        <f aca="false">INDEX(Archetypes!$D$2:$D$127, MATCH(D35, Archetypes!$A$2:$A$127, 0))</f>
        <v>Anti-Cavalry</v>
      </c>
      <c r="H35" s="6" t="n">
        <f aca="false">ROUND(INDEX(Archetypes!$E$2:$E$127, MATCH(D35, Archetypes!$A$2:$A$127, 0))*INDEX(Unit_Grades!$B$2:$B$7, MATCH(F35, Unit_Grades!$A$2:$A$7, 0))*INDEX(Unit_Paths!$B$2:$B$4, MATCH(E35, Unit_Paths!$A$2:$A$4, 0)),1)</f>
        <v>20.4</v>
      </c>
      <c r="I35" s="6" t="n">
        <f aca="false">ROUND(INDEX(Archetypes!$F$2:$F$127, MATCH(D35, Archetypes!$A$2:$A$127, 0))*INDEX(Unit_Grades!$B$2:$B$7, MATCH(F35, Unit_Grades!$A$2:$A$7, 0))*INDEX(Unit_Paths!$C$2:$C$4, MATCH(E35, Unit_Paths!$A$2:$A$4, 0)),1)</f>
        <v>66</v>
      </c>
      <c r="J35" s="6" t="n">
        <f aca="false">ROUND(INDEX(Archetypes!$G$2:$G$127, MATCH(D35, Archetypes!$A$2:$A$127, 0))*INDEX(Unit_Grades!$B$2:$B$7, MATCH(F35, Unit_Grades!$A$2:$A$7, 0))*INDEX(Unit_Paths!$D$2:$D$4, MATCH(E35, Unit_Paths!$A$2:$A$4, 0)),0)</f>
        <v>221</v>
      </c>
      <c r="K35" s="6" t="n">
        <f aca="false">ROUND(INDEX(Archetypes!$H$2:$H$127, MATCH(D35, Archetypes!$A$2:$A$127, 0))*INDEX(Unit_Paths!$E$2:$E$4, MATCH(E35, Unit_Paths!$A$2:$A$4, 0)),1)</f>
        <v>14.7</v>
      </c>
      <c r="L35" s="6" t="n">
        <f aca="false">ROUND(INDEX(Archetypes!$I$2:$I$127, MATCH(D35, Archetypes!$A$2:$A$127, 0))*INDEX(Unit_Grades!$C$2:$C$7, MATCH(F35, Unit_Grades!$A$2:$A$7, 0)),1)</f>
        <v>6.3</v>
      </c>
      <c r="M35" s="6" t="n">
        <f aca="false">ROUND(INDEX(Archetypes!$J$2:$J$127, MATCH(D35, Archetypes!$A$2:$A$127, 0))*INDEX(Unit_Grades!$D$2:$D$7, MATCH(F35, Unit_Grades!$A$2:$A$7, 0)),1)</f>
        <v>4.9</v>
      </c>
      <c r="N35" s="6" t="n">
        <f aca="false">ROUND(M35/24,2)</f>
        <v>0.2</v>
      </c>
    </row>
    <row r="36" customFormat="false" ht="15" hidden="false" customHeight="true" outlineLevel="0" collapsed="false">
      <c r="A36" s="6" t="n">
        <v>1</v>
      </c>
      <c r="B36" s="6" t="s">
        <v>1602</v>
      </c>
      <c r="C36" s="6" t="s">
        <v>1251</v>
      </c>
      <c r="D36" s="6" t="str">
        <f aca="false">A36&amp;"|"&amp;C36</f>
        <v>1|Spearman</v>
      </c>
      <c r="E36" s="6" t="s">
        <v>1560</v>
      </c>
      <c r="F36" s="6" t="s">
        <v>1546</v>
      </c>
      <c r="G36" s="6" t="str">
        <f aca="false">INDEX(Archetypes!$D$2:$D$127, MATCH(D36, Archetypes!$A$2:$A$127, 0))</f>
        <v>Anti-Cavalry</v>
      </c>
      <c r="H36" s="6" t="n">
        <f aca="false">ROUND(INDEX(Archetypes!$E$2:$E$127, MATCH(D36, Archetypes!$A$2:$A$127, 0))*INDEX(Unit_Grades!$B$2:$B$7, MATCH(F36, Unit_Grades!$A$2:$A$7, 0))*INDEX(Unit_Paths!$B$2:$B$4, MATCH(E36, Unit_Paths!$A$2:$A$4, 0)),1)</f>
        <v>27.2</v>
      </c>
      <c r="I36" s="6" t="n">
        <f aca="false">ROUND(INDEX(Archetypes!$F$2:$F$127, MATCH(D36, Archetypes!$A$2:$A$127, 0))*INDEX(Unit_Grades!$B$2:$B$7, MATCH(F36, Unit_Grades!$A$2:$A$7, 0))*INDEX(Unit_Paths!$C$2:$C$4, MATCH(E36, Unit_Paths!$A$2:$A$4, 0)),1)</f>
        <v>88</v>
      </c>
      <c r="J36" s="6" t="n">
        <f aca="false">ROUND(INDEX(Archetypes!$G$2:$G$127, MATCH(D36, Archetypes!$A$2:$A$127, 0))*INDEX(Unit_Grades!$B$2:$B$7, MATCH(F36, Unit_Grades!$A$2:$A$7, 0))*INDEX(Unit_Paths!$D$2:$D$4, MATCH(E36, Unit_Paths!$A$2:$A$4, 0)),0)</f>
        <v>294</v>
      </c>
      <c r="K36" s="6" t="n">
        <f aca="false">ROUND(INDEX(Archetypes!$H$2:$H$127, MATCH(D36, Archetypes!$A$2:$A$127, 0))*INDEX(Unit_Paths!$E$2:$E$4, MATCH(E36, Unit_Paths!$A$2:$A$4, 0)),1)</f>
        <v>14.7</v>
      </c>
      <c r="L36" s="6" t="n">
        <f aca="false">ROUND(INDEX(Archetypes!$I$2:$I$127, MATCH(D36, Archetypes!$A$2:$A$127, 0))*INDEX(Unit_Grades!$C$2:$C$7, MATCH(F36, Unit_Grades!$A$2:$A$7, 0)),1)</f>
        <v>8.4</v>
      </c>
      <c r="M36" s="6" t="n">
        <f aca="false">ROUND(INDEX(Archetypes!$J$2:$J$127, MATCH(D36, Archetypes!$A$2:$A$127, 0))*INDEX(Unit_Grades!$D$2:$D$7, MATCH(F36, Unit_Grades!$A$2:$A$7, 0)),1)</f>
        <v>8.5</v>
      </c>
      <c r="N36" s="6" t="n">
        <f aca="false">ROUND(M36/24,2)</f>
        <v>0.35</v>
      </c>
    </row>
    <row r="37" customFormat="false" ht="15" hidden="false" customHeight="true" outlineLevel="0" collapsed="false">
      <c r="A37" s="6" t="n">
        <v>1</v>
      </c>
      <c r="B37" s="6" t="s">
        <v>1603</v>
      </c>
      <c r="C37" s="6" t="s">
        <v>1251</v>
      </c>
      <c r="D37" s="6" t="str">
        <f aca="false">A37&amp;"|"&amp;C37</f>
        <v>1|Spearman</v>
      </c>
      <c r="E37" s="6" t="s">
        <v>1560</v>
      </c>
      <c r="F37" s="6" t="s">
        <v>1548</v>
      </c>
      <c r="G37" s="6" t="str">
        <f aca="false">INDEX(Archetypes!$D$2:$D$127, MATCH(D37, Archetypes!$A$2:$A$127, 0))</f>
        <v>Anti-Cavalry</v>
      </c>
      <c r="H37" s="6" t="n">
        <f aca="false">ROUND(INDEX(Archetypes!$E$2:$E$127, MATCH(D37, Archetypes!$A$2:$A$127, 0))*INDEX(Unit_Grades!$B$2:$B$7, MATCH(F37, Unit_Grades!$A$2:$A$7, 0))*INDEX(Unit_Paths!$B$2:$B$4, MATCH(E37, Unit_Paths!$A$2:$A$4, 0)),1)</f>
        <v>35.7</v>
      </c>
      <c r="I37" s="6" t="n">
        <f aca="false">ROUND(INDEX(Archetypes!$F$2:$F$127, MATCH(D37, Archetypes!$A$2:$A$127, 0))*INDEX(Unit_Grades!$B$2:$B$7, MATCH(F37, Unit_Grades!$A$2:$A$7, 0))*INDEX(Unit_Paths!$C$2:$C$4, MATCH(E37, Unit_Paths!$A$2:$A$4, 0)),1)</f>
        <v>115.5</v>
      </c>
      <c r="J37" s="6" t="n">
        <f aca="false">ROUND(INDEX(Archetypes!$G$2:$G$127, MATCH(D37, Archetypes!$A$2:$A$127, 0))*INDEX(Unit_Grades!$B$2:$B$7, MATCH(F37, Unit_Grades!$A$2:$A$7, 0))*INDEX(Unit_Paths!$D$2:$D$4, MATCH(E37, Unit_Paths!$A$2:$A$4, 0)),0)</f>
        <v>386</v>
      </c>
      <c r="K37" s="6" t="n">
        <f aca="false">ROUND(INDEX(Archetypes!$H$2:$H$127, MATCH(D37, Archetypes!$A$2:$A$127, 0))*INDEX(Unit_Paths!$E$2:$E$4, MATCH(E37, Unit_Paths!$A$2:$A$4, 0)),1)</f>
        <v>14.7</v>
      </c>
      <c r="L37" s="6" t="n">
        <f aca="false">ROUND(INDEX(Archetypes!$I$2:$I$127, MATCH(D37, Archetypes!$A$2:$A$127, 0))*INDEX(Unit_Grades!$C$2:$C$7, MATCH(F37, Unit_Grades!$A$2:$A$7, 0)),1)</f>
        <v>11.1</v>
      </c>
      <c r="M37" s="6" t="n">
        <f aca="false">ROUND(INDEX(Archetypes!$J$2:$J$127, MATCH(D37, Archetypes!$A$2:$A$127, 0))*INDEX(Unit_Grades!$D$2:$D$7, MATCH(F37, Unit_Grades!$A$2:$A$7, 0)),1)</f>
        <v>14.6</v>
      </c>
      <c r="N37" s="6" t="n">
        <f aca="false">ROUND(M37/24,2)</f>
        <v>0.61</v>
      </c>
    </row>
    <row r="38" customFormat="false" ht="15" hidden="false" customHeight="true" outlineLevel="0" collapsed="false">
      <c r="A38" s="6" t="n">
        <v>1</v>
      </c>
      <c r="B38" s="6" t="s">
        <v>1255</v>
      </c>
      <c r="C38" s="6" t="s">
        <v>1255</v>
      </c>
      <c r="D38" s="6" t="str">
        <f aca="false">A38&amp;"|"&amp;C38</f>
        <v>1|Axeman</v>
      </c>
      <c r="E38" s="6" t="s">
        <v>1556</v>
      </c>
      <c r="F38" s="6" t="s">
        <v>1538</v>
      </c>
      <c r="G38" s="6" t="str">
        <f aca="false">INDEX(Archetypes!$D$2:$D$127, MATCH(D38, Archetypes!$A$2:$A$127, 0))</f>
        <v>Shock Infantry</v>
      </c>
      <c r="H38" s="6" t="n">
        <f aca="false">ROUND(INDEX(Archetypes!$E$2:$E$127, MATCH(D38, Archetypes!$A$2:$A$127, 0))*INDEX(Unit_Grades!$B$2:$B$7, MATCH(F38, Unit_Grades!$A$2:$A$7, 0))*INDEX(Unit_Paths!$B$2:$B$4, MATCH(E38, Unit_Paths!$A$2:$A$4, 0)),1)</f>
        <v>22</v>
      </c>
      <c r="I38" s="6" t="n">
        <f aca="false">ROUND(INDEX(Archetypes!$F$2:$F$127, MATCH(D38, Archetypes!$A$2:$A$127, 0))*INDEX(Unit_Grades!$B$2:$B$7, MATCH(F38, Unit_Grades!$A$2:$A$7, 0))*INDEX(Unit_Paths!$C$2:$C$4, MATCH(E38, Unit_Paths!$A$2:$A$4, 0)),1)</f>
        <v>10</v>
      </c>
      <c r="J38" s="6" t="n">
        <f aca="false">ROUND(INDEX(Archetypes!$G$2:$G$127, MATCH(D38, Archetypes!$A$2:$A$127, 0))*INDEX(Unit_Grades!$B$2:$B$7, MATCH(F38, Unit_Grades!$A$2:$A$7, 0))*INDEX(Unit_Paths!$D$2:$D$4, MATCH(E38, Unit_Paths!$A$2:$A$4, 0)),0)</f>
        <v>85</v>
      </c>
      <c r="K38" s="6" t="n">
        <f aca="false">ROUND(INDEX(Archetypes!$H$2:$H$127, MATCH(D38, Archetypes!$A$2:$A$127, 0))*INDEX(Unit_Paths!$E$2:$E$4, MATCH(E38, Unit_Paths!$A$2:$A$4, 0)),1)</f>
        <v>17</v>
      </c>
      <c r="L38" s="6" t="n">
        <f aca="false">ROUND(INDEX(Archetypes!$I$2:$I$127, MATCH(D38, Archetypes!$A$2:$A$127, 0))*INDEX(Unit_Grades!$C$2:$C$7, MATCH(F38, Unit_Grades!$A$2:$A$7, 0)),1)</f>
        <v>3</v>
      </c>
      <c r="M38" s="6" t="n">
        <f aca="false">ROUND(INDEX(Archetypes!$J$2:$J$127, MATCH(D38, Archetypes!$A$2:$A$127, 0))*INDEX(Unit_Grades!$D$2:$D$7, MATCH(F38, Unit_Grades!$A$2:$A$7, 0)),1)</f>
        <v>1.2</v>
      </c>
      <c r="N38" s="6" t="n">
        <f aca="false">ROUND(M38/24,2)</f>
        <v>0.05</v>
      </c>
    </row>
    <row r="39" customFormat="false" ht="15" hidden="false" customHeight="true" outlineLevel="0" collapsed="false">
      <c r="A39" s="6" t="n">
        <v>1</v>
      </c>
      <c r="B39" s="6" t="s">
        <v>1604</v>
      </c>
      <c r="C39" s="6" t="s">
        <v>1255</v>
      </c>
      <c r="D39" s="6" t="str">
        <f aca="false">A39&amp;"|"&amp;C39</f>
        <v>1|Axeman</v>
      </c>
      <c r="E39" s="6" t="s">
        <v>1556</v>
      </c>
      <c r="F39" s="6" t="s">
        <v>1540</v>
      </c>
      <c r="G39" s="6" t="str">
        <f aca="false">INDEX(Archetypes!$D$2:$D$127, MATCH(D39, Archetypes!$A$2:$A$127, 0))</f>
        <v>Shock Infantry</v>
      </c>
      <c r="H39" s="6" t="n">
        <f aca="false">ROUND(INDEX(Archetypes!$E$2:$E$127, MATCH(D39, Archetypes!$A$2:$A$127, 0))*INDEX(Unit_Grades!$B$2:$B$7, MATCH(F39, Unit_Grades!$A$2:$A$7, 0))*INDEX(Unit_Paths!$B$2:$B$4, MATCH(E39, Unit_Paths!$A$2:$A$4, 0)),1)</f>
        <v>29.7</v>
      </c>
      <c r="I39" s="6" t="n">
        <f aca="false">ROUND(INDEX(Archetypes!$F$2:$F$127, MATCH(D39, Archetypes!$A$2:$A$127, 0))*INDEX(Unit_Grades!$B$2:$B$7, MATCH(F39, Unit_Grades!$A$2:$A$7, 0))*INDEX(Unit_Paths!$C$2:$C$4, MATCH(E39, Unit_Paths!$A$2:$A$4, 0)),1)</f>
        <v>13.5</v>
      </c>
      <c r="J39" s="6" t="n">
        <f aca="false">ROUND(INDEX(Archetypes!$G$2:$G$127, MATCH(D39, Archetypes!$A$2:$A$127, 0))*INDEX(Unit_Grades!$B$2:$B$7, MATCH(F39, Unit_Grades!$A$2:$A$7, 0))*INDEX(Unit_Paths!$D$2:$D$4, MATCH(E39, Unit_Paths!$A$2:$A$4, 0)),0)</f>
        <v>115</v>
      </c>
      <c r="K39" s="6" t="n">
        <f aca="false">ROUND(INDEX(Archetypes!$H$2:$H$127, MATCH(D39, Archetypes!$A$2:$A$127, 0))*INDEX(Unit_Paths!$E$2:$E$4, MATCH(E39, Unit_Paths!$A$2:$A$4, 0)),1)</f>
        <v>17</v>
      </c>
      <c r="L39" s="6" t="n">
        <f aca="false">ROUND(INDEX(Archetypes!$I$2:$I$127, MATCH(D39, Archetypes!$A$2:$A$127, 0))*INDEX(Unit_Grades!$C$2:$C$7, MATCH(F39, Unit_Grades!$A$2:$A$7, 0)),1)</f>
        <v>3.8</v>
      </c>
      <c r="M39" s="6" t="n">
        <f aca="false">ROUND(INDEX(Archetypes!$J$2:$J$127, MATCH(D39, Archetypes!$A$2:$A$127, 0))*INDEX(Unit_Grades!$D$2:$D$7, MATCH(F39, Unit_Grades!$A$2:$A$7, 0)),1)</f>
        <v>1.8</v>
      </c>
      <c r="N39" s="6" t="n">
        <f aca="false">ROUND(M39/24,2)</f>
        <v>0.08</v>
      </c>
    </row>
    <row r="40" customFormat="false" ht="15" hidden="false" customHeight="true" outlineLevel="0" collapsed="false">
      <c r="A40" s="6" t="n">
        <v>1</v>
      </c>
      <c r="B40" s="6" t="s">
        <v>1605</v>
      </c>
      <c r="C40" s="6" t="s">
        <v>1255</v>
      </c>
      <c r="D40" s="6" t="str">
        <f aca="false">A40&amp;"|"&amp;C40</f>
        <v>1|Axeman</v>
      </c>
      <c r="E40" s="6" t="s">
        <v>1556</v>
      </c>
      <c r="F40" s="6" t="s">
        <v>1542</v>
      </c>
      <c r="G40" s="6" t="str">
        <f aca="false">INDEX(Archetypes!$D$2:$D$127, MATCH(D40, Archetypes!$A$2:$A$127, 0))</f>
        <v>Shock Infantry</v>
      </c>
      <c r="H40" s="6" t="n">
        <f aca="false">ROUND(INDEX(Archetypes!$E$2:$E$127, MATCH(D40, Archetypes!$A$2:$A$127, 0))*INDEX(Unit_Grades!$B$2:$B$7, MATCH(F40, Unit_Grades!$A$2:$A$7, 0))*INDEX(Unit_Paths!$B$2:$B$4, MATCH(E40, Unit_Paths!$A$2:$A$4, 0)),1)</f>
        <v>39.6</v>
      </c>
      <c r="I40" s="6" t="n">
        <f aca="false">ROUND(INDEX(Archetypes!$F$2:$F$127, MATCH(D40, Archetypes!$A$2:$A$127, 0))*INDEX(Unit_Grades!$B$2:$B$7, MATCH(F40, Unit_Grades!$A$2:$A$7, 0))*INDEX(Unit_Paths!$C$2:$C$4, MATCH(E40, Unit_Paths!$A$2:$A$4, 0)),1)</f>
        <v>18</v>
      </c>
      <c r="J40" s="6" t="n">
        <f aca="false">ROUND(INDEX(Archetypes!$G$2:$G$127, MATCH(D40, Archetypes!$A$2:$A$127, 0))*INDEX(Unit_Grades!$B$2:$B$7, MATCH(F40, Unit_Grades!$A$2:$A$7, 0))*INDEX(Unit_Paths!$D$2:$D$4, MATCH(E40, Unit_Paths!$A$2:$A$4, 0)),0)</f>
        <v>153</v>
      </c>
      <c r="K40" s="6" t="n">
        <f aca="false">ROUND(INDEX(Archetypes!$H$2:$H$127, MATCH(D40, Archetypes!$A$2:$A$127, 0))*INDEX(Unit_Paths!$E$2:$E$4, MATCH(E40, Unit_Paths!$A$2:$A$4, 0)),1)</f>
        <v>17</v>
      </c>
      <c r="L40" s="6" t="n">
        <f aca="false">ROUND(INDEX(Archetypes!$I$2:$I$127, MATCH(D40, Archetypes!$A$2:$A$127, 0))*INDEX(Unit_Grades!$C$2:$C$7, MATCH(F40, Unit_Grades!$A$2:$A$7, 0)),1)</f>
        <v>4.8</v>
      </c>
      <c r="M40" s="6" t="n">
        <f aca="false">ROUND(INDEX(Archetypes!$J$2:$J$127, MATCH(D40, Archetypes!$A$2:$A$127, 0))*INDEX(Unit_Grades!$D$2:$D$7, MATCH(F40, Unit_Grades!$A$2:$A$7, 0)),1)</f>
        <v>3.1</v>
      </c>
      <c r="N40" s="6" t="n">
        <f aca="false">ROUND(M40/24,2)</f>
        <v>0.13</v>
      </c>
    </row>
    <row r="41" customFormat="false" ht="15" hidden="false" customHeight="true" outlineLevel="0" collapsed="false">
      <c r="A41" s="6" t="n">
        <v>1</v>
      </c>
      <c r="B41" s="6" t="s">
        <v>1606</v>
      </c>
      <c r="C41" s="6" t="s">
        <v>1255</v>
      </c>
      <c r="D41" s="6" t="str">
        <f aca="false">A41&amp;"|"&amp;C41</f>
        <v>1|Axeman</v>
      </c>
      <c r="E41" s="6" t="s">
        <v>1556</v>
      </c>
      <c r="F41" s="6" t="s">
        <v>1544</v>
      </c>
      <c r="G41" s="6" t="str">
        <f aca="false">INDEX(Archetypes!$D$2:$D$127, MATCH(D41, Archetypes!$A$2:$A$127, 0))</f>
        <v>Shock Infantry</v>
      </c>
      <c r="H41" s="6" t="n">
        <f aca="false">ROUND(INDEX(Archetypes!$E$2:$E$127, MATCH(D41, Archetypes!$A$2:$A$127, 0))*INDEX(Unit_Grades!$B$2:$B$7, MATCH(F41, Unit_Grades!$A$2:$A$7, 0))*INDEX(Unit_Paths!$B$2:$B$4, MATCH(E41, Unit_Paths!$A$2:$A$4, 0)),1)</f>
        <v>52.8</v>
      </c>
      <c r="I41" s="6" t="n">
        <f aca="false">ROUND(INDEX(Archetypes!$F$2:$F$127, MATCH(D41, Archetypes!$A$2:$A$127, 0))*INDEX(Unit_Grades!$B$2:$B$7, MATCH(F41, Unit_Grades!$A$2:$A$7, 0))*INDEX(Unit_Paths!$C$2:$C$4, MATCH(E41, Unit_Paths!$A$2:$A$4, 0)),1)</f>
        <v>24</v>
      </c>
      <c r="J41" s="6" t="n">
        <f aca="false">ROUND(INDEX(Archetypes!$G$2:$G$127, MATCH(D41, Archetypes!$A$2:$A$127, 0))*INDEX(Unit_Grades!$B$2:$B$7, MATCH(F41, Unit_Grades!$A$2:$A$7, 0))*INDEX(Unit_Paths!$D$2:$D$4, MATCH(E41, Unit_Paths!$A$2:$A$4, 0)),0)</f>
        <v>204</v>
      </c>
      <c r="K41" s="6" t="n">
        <f aca="false">ROUND(INDEX(Archetypes!$H$2:$H$127, MATCH(D41, Archetypes!$A$2:$A$127, 0))*INDEX(Unit_Paths!$E$2:$E$4, MATCH(E41, Unit_Paths!$A$2:$A$4, 0)),1)</f>
        <v>17</v>
      </c>
      <c r="L41" s="6" t="n">
        <f aca="false">ROUND(INDEX(Archetypes!$I$2:$I$127, MATCH(D41, Archetypes!$A$2:$A$127, 0))*INDEX(Unit_Grades!$C$2:$C$7, MATCH(F41, Unit_Grades!$A$2:$A$7, 0)),1)</f>
        <v>6.3</v>
      </c>
      <c r="M41" s="6" t="n">
        <f aca="false">ROUND(INDEX(Archetypes!$J$2:$J$127, MATCH(D41, Archetypes!$A$2:$A$127, 0))*INDEX(Unit_Grades!$D$2:$D$7, MATCH(F41, Unit_Grades!$A$2:$A$7, 0)),1)</f>
        <v>4.9</v>
      </c>
      <c r="N41" s="6" t="n">
        <f aca="false">ROUND(M41/24,2)</f>
        <v>0.2</v>
      </c>
    </row>
    <row r="42" customFormat="false" ht="15" hidden="false" customHeight="true" outlineLevel="0" collapsed="false">
      <c r="A42" s="6" t="n">
        <v>1</v>
      </c>
      <c r="B42" s="6" t="s">
        <v>1607</v>
      </c>
      <c r="C42" s="6" t="s">
        <v>1255</v>
      </c>
      <c r="D42" s="6" t="str">
        <f aca="false">A42&amp;"|"&amp;C42</f>
        <v>1|Axeman</v>
      </c>
      <c r="E42" s="6" t="s">
        <v>1556</v>
      </c>
      <c r="F42" s="6" t="s">
        <v>1546</v>
      </c>
      <c r="G42" s="6" t="str">
        <f aca="false">INDEX(Archetypes!$D$2:$D$127, MATCH(D42, Archetypes!$A$2:$A$127, 0))</f>
        <v>Shock Infantry</v>
      </c>
      <c r="H42" s="6" t="n">
        <f aca="false">ROUND(INDEX(Archetypes!$E$2:$E$127, MATCH(D42, Archetypes!$A$2:$A$127, 0))*INDEX(Unit_Grades!$B$2:$B$7, MATCH(F42, Unit_Grades!$A$2:$A$7, 0))*INDEX(Unit_Paths!$B$2:$B$4, MATCH(E42, Unit_Paths!$A$2:$A$4, 0)),1)</f>
        <v>70.4</v>
      </c>
      <c r="I42" s="6" t="n">
        <f aca="false">ROUND(INDEX(Archetypes!$F$2:$F$127, MATCH(D42, Archetypes!$A$2:$A$127, 0))*INDEX(Unit_Grades!$B$2:$B$7, MATCH(F42, Unit_Grades!$A$2:$A$7, 0))*INDEX(Unit_Paths!$C$2:$C$4, MATCH(E42, Unit_Paths!$A$2:$A$4, 0)),1)</f>
        <v>32</v>
      </c>
      <c r="J42" s="6" t="n">
        <f aca="false">ROUND(INDEX(Archetypes!$G$2:$G$127, MATCH(D42, Archetypes!$A$2:$A$127, 0))*INDEX(Unit_Grades!$B$2:$B$7, MATCH(F42, Unit_Grades!$A$2:$A$7, 0))*INDEX(Unit_Paths!$D$2:$D$4, MATCH(E42, Unit_Paths!$A$2:$A$4, 0)),0)</f>
        <v>272</v>
      </c>
      <c r="K42" s="6" t="n">
        <f aca="false">ROUND(INDEX(Archetypes!$H$2:$H$127, MATCH(D42, Archetypes!$A$2:$A$127, 0))*INDEX(Unit_Paths!$E$2:$E$4, MATCH(E42, Unit_Paths!$A$2:$A$4, 0)),1)</f>
        <v>17</v>
      </c>
      <c r="L42" s="6" t="n">
        <f aca="false">ROUND(INDEX(Archetypes!$I$2:$I$127, MATCH(D42, Archetypes!$A$2:$A$127, 0))*INDEX(Unit_Grades!$C$2:$C$7, MATCH(F42, Unit_Grades!$A$2:$A$7, 0)),1)</f>
        <v>8.4</v>
      </c>
      <c r="M42" s="6" t="n">
        <f aca="false">ROUND(INDEX(Archetypes!$J$2:$J$127, MATCH(D42, Archetypes!$A$2:$A$127, 0))*INDEX(Unit_Grades!$D$2:$D$7, MATCH(F42, Unit_Grades!$A$2:$A$7, 0)),1)</f>
        <v>8.5</v>
      </c>
      <c r="N42" s="6" t="n">
        <f aca="false">ROUND(M42/24,2)</f>
        <v>0.35</v>
      </c>
    </row>
    <row r="43" customFormat="false" ht="15" hidden="false" customHeight="true" outlineLevel="0" collapsed="false">
      <c r="A43" s="6" t="n">
        <v>1</v>
      </c>
      <c r="B43" s="6" t="s">
        <v>1608</v>
      </c>
      <c r="C43" s="6" t="s">
        <v>1255</v>
      </c>
      <c r="D43" s="6" t="str">
        <f aca="false">A43&amp;"|"&amp;C43</f>
        <v>1|Axeman</v>
      </c>
      <c r="E43" s="6" t="s">
        <v>1556</v>
      </c>
      <c r="F43" s="6" t="s">
        <v>1548</v>
      </c>
      <c r="G43" s="6" t="str">
        <f aca="false">INDEX(Archetypes!$D$2:$D$127, MATCH(D43, Archetypes!$A$2:$A$127, 0))</f>
        <v>Shock Infantry</v>
      </c>
      <c r="H43" s="6" t="n">
        <f aca="false">ROUND(INDEX(Archetypes!$E$2:$E$127, MATCH(D43, Archetypes!$A$2:$A$127, 0))*INDEX(Unit_Grades!$B$2:$B$7, MATCH(F43, Unit_Grades!$A$2:$A$7, 0))*INDEX(Unit_Paths!$B$2:$B$4, MATCH(E43, Unit_Paths!$A$2:$A$4, 0)),1)</f>
        <v>92.4</v>
      </c>
      <c r="I43" s="6" t="n">
        <f aca="false">ROUND(INDEX(Archetypes!$F$2:$F$127, MATCH(D43, Archetypes!$A$2:$A$127, 0))*INDEX(Unit_Grades!$B$2:$B$7, MATCH(F43, Unit_Grades!$A$2:$A$7, 0))*INDEX(Unit_Paths!$C$2:$C$4, MATCH(E43, Unit_Paths!$A$2:$A$4, 0)),1)</f>
        <v>42</v>
      </c>
      <c r="J43" s="6" t="n">
        <f aca="false">ROUND(INDEX(Archetypes!$G$2:$G$127, MATCH(D43, Archetypes!$A$2:$A$127, 0))*INDEX(Unit_Grades!$B$2:$B$7, MATCH(F43, Unit_Grades!$A$2:$A$7, 0))*INDEX(Unit_Paths!$D$2:$D$4, MATCH(E43, Unit_Paths!$A$2:$A$4, 0)),0)</f>
        <v>357</v>
      </c>
      <c r="K43" s="6" t="n">
        <f aca="false">ROUND(INDEX(Archetypes!$H$2:$H$127, MATCH(D43, Archetypes!$A$2:$A$127, 0))*INDEX(Unit_Paths!$E$2:$E$4, MATCH(E43, Unit_Paths!$A$2:$A$4, 0)),1)</f>
        <v>17</v>
      </c>
      <c r="L43" s="6" t="n">
        <f aca="false">ROUND(INDEX(Archetypes!$I$2:$I$127, MATCH(D43, Archetypes!$A$2:$A$127, 0))*INDEX(Unit_Grades!$C$2:$C$7, MATCH(F43, Unit_Grades!$A$2:$A$7, 0)),1)</f>
        <v>11.1</v>
      </c>
      <c r="M43" s="6" t="n">
        <f aca="false">ROUND(INDEX(Archetypes!$J$2:$J$127, MATCH(D43, Archetypes!$A$2:$A$127, 0))*INDEX(Unit_Grades!$D$2:$D$7, MATCH(F43, Unit_Grades!$A$2:$A$7, 0)),1)</f>
        <v>14.6</v>
      </c>
      <c r="N43" s="6" t="n">
        <f aca="false">ROUND(M43/24,2)</f>
        <v>0.61</v>
      </c>
    </row>
    <row r="44" customFormat="false" ht="15" hidden="false" customHeight="true" outlineLevel="0" collapsed="false">
      <c r="A44" s="6" t="n">
        <v>1</v>
      </c>
      <c r="B44" s="6" t="s">
        <v>1609</v>
      </c>
      <c r="C44" s="6" t="s">
        <v>1255</v>
      </c>
      <c r="D44" s="6" t="str">
        <f aca="false">A44&amp;"|"&amp;C44</f>
        <v>1|Axeman</v>
      </c>
      <c r="E44" s="6" t="s">
        <v>1558</v>
      </c>
      <c r="F44" s="6" t="s">
        <v>1538</v>
      </c>
      <c r="G44" s="6" t="str">
        <f aca="false">INDEX(Archetypes!$D$2:$D$127, MATCH(D44, Archetypes!$A$2:$A$127, 0))</f>
        <v>Shock Infantry</v>
      </c>
      <c r="H44" s="6" t="n">
        <f aca="false">ROUND(INDEX(Archetypes!$E$2:$E$127, MATCH(D44, Archetypes!$A$2:$A$127, 0))*INDEX(Unit_Grades!$B$2:$B$7, MATCH(F44, Unit_Grades!$A$2:$A$7, 0))*INDEX(Unit_Paths!$B$2:$B$4, MATCH(E44, Unit_Paths!$A$2:$A$4, 0)),1)</f>
        <v>26.4</v>
      </c>
      <c r="I44" s="6" t="n">
        <f aca="false">ROUND(INDEX(Archetypes!$F$2:$F$127, MATCH(D44, Archetypes!$A$2:$A$127, 0))*INDEX(Unit_Grades!$B$2:$B$7, MATCH(F44, Unit_Grades!$A$2:$A$7, 0))*INDEX(Unit_Paths!$C$2:$C$4, MATCH(E44, Unit_Paths!$A$2:$A$4, 0)),1)</f>
        <v>8.5</v>
      </c>
      <c r="J44" s="6" t="n">
        <f aca="false">ROUND(INDEX(Archetypes!$G$2:$G$127, MATCH(D44, Archetypes!$A$2:$A$127, 0))*INDEX(Unit_Grades!$B$2:$B$7, MATCH(F44, Unit_Grades!$A$2:$A$7, 0))*INDEX(Unit_Paths!$D$2:$D$4, MATCH(E44, Unit_Paths!$A$2:$A$4, 0)),0)</f>
        <v>81</v>
      </c>
      <c r="K44" s="6" t="n">
        <f aca="false">ROUND(INDEX(Archetypes!$H$2:$H$127, MATCH(D44, Archetypes!$A$2:$A$127, 0))*INDEX(Unit_Paths!$E$2:$E$4, MATCH(E44, Unit_Paths!$A$2:$A$4, 0)),1)</f>
        <v>17.9</v>
      </c>
      <c r="L44" s="6" t="n">
        <f aca="false">ROUND(INDEX(Archetypes!$I$2:$I$127, MATCH(D44, Archetypes!$A$2:$A$127, 0))*INDEX(Unit_Grades!$C$2:$C$7, MATCH(F44, Unit_Grades!$A$2:$A$7, 0)),1)</f>
        <v>3</v>
      </c>
      <c r="M44" s="6" t="n">
        <f aca="false">ROUND(INDEX(Archetypes!$J$2:$J$127, MATCH(D44, Archetypes!$A$2:$A$127, 0))*INDEX(Unit_Grades!$D$2:$D$7, MATCH(F44, Unit_Grades!$A$2:$A$7, 0)),1)</f>
        <v>1.2</v>
      </c>
      <c r="N44" s="6" t="n">
        <f aca="false">ROUND(M44/24,2)</f>
        <v>0.05</v>
      </c>
    </row>
    <row r="45" customFormat="false" ht="15" hidden="false" customHeight="true" outlineLevel="0" collapsed="false">
      <c r="A45" s="6" t="n">
        <v>1</v>
      </c>
      <c r="B45" s="6" t="s">
        <v>1610</v>
      </c>
      <c r="C45" s="6" t="s">
        <v>1255</v>
      </c>
      <c r="D45" s="6" t="str">
        <f aca="false">A45&amp;"|"&amp;C45</f>
        <v>1|Axeman</v>
      </c>
      <c r="E45" s="6" t="s">
        <v>1558</v>
      </c>
      <c r="F45" s="6" t="s">
        <v>1540</v>
      </c>
      <c r="G45" s="6" t="str">
        <f aca="false">INDEX(Archetypes!$D$2:$D$127, MATCH(D45, Archetypes!$A$2:$A$127, 0))</f>
        <v>Shock Infantry</v>
      </c>
      <c r="H45" s="6" t="n">
        <f aca="false">ROUND(INDEX(Archetypes!$E$2:$E$127, MATCH(D45, Archetypes!$A$2:$A$127, 0))*INDEX(Unit_Grades!$B$2:$B$7, MATCH(F45, Unit_Grades!$A$2:$A$7, 0))*INDEX(Unit_Paths!$B$2:$B$4, MATCH(E45, Unit_Paths!$A$2:$A$4, 0)),1)</f>
        <v>35.6</v>
      </c>
      <c r="I45" s="6" t="n">
        <f aca="false">ROUND(INDEX(Archetypes!$F$2:$F$127, MATCH(D45, Archetypes!$A$2:$A$127, 0))*INDEX(Unit_Grades!$B$2:$B$7, MATCH(F45, Unit_Grades!$A$2:$A$7, 0))*INDEX(Unit_Paths!$C$2:$C$4, MATCH(E45, Unit_Paths!$A$2:$A$4, 0)),1)</f>
        <v>11.5</v>
      </c>
      <c r="J45" s="6" t="n">
        <f aca="false">ROUND(INDEX(Archetypes!$G$2:$G$127, MATCH(D45, Archetypes!$A$2:$A$127, 0))*INDEX(Unit_Grades!$B$2:$B$7, MATCH(F45, Unit_Grades!$A$2:$A$7, 0))*INDEX(Unit_Paths!$D$2:$D$4, MATCH(E45, Unit_Paths!$A$2:$A$4, 0)),0)</f>
        <v>109</v>
      </c>
      <c r="K45" s="6" t="n">
        <f aca="false">ROUND(INDEX(Archetypes!$H$2:$H$127, MATCH(D45, Archetypes!$A$2:$A$127, 0))*INDEX(Unit_Paths!$E$2:$E$4, MATCH(E45, Unit_Paths!$A$2:$A$4, 0)),1)</f>
        <v>17.9</v>
      </c>
      <c r="L45" s="6" t="n">
        <f aca="false">ROUND(INDEX(Archetypes!$I$2:$I$127, MATCH(D45, Archetypes!$A$2:$A$127, 0))*INDEX(Unit_Grades!$C$2:$C$7, MATCH(F45, Unit_Grades!$A$2:$A$7, 0)),1)</f>
        <v>3.8</v>
      </c>
      <c r="M45" s="6" t="n">
        <f aca="false">ROUND(INDEX(Archetypes!$J$2:$J$127, MATCH(D45, Archetypes!$A$2:$A$127, 0))*INDEX(Unit_Grades!$D$2:$D$7, MATCH(F45, Unit_Grades!$A$2:$A$7, 0)),1)</f>
        <v>1.8</v>
      </c>
      <c r="N45" s="6" t="n">
        <f aca="false">ROUND(M45/24,2)</f>
        <v>0.08</v>
      </c>
    </row>
    <row r="46" customFormat="false" ht="15" hidden="false" customHeight="true" outlineLevel="0" collapsed="false">
      <c r="A46" s="6" t="n">
        <v>1</v>
      </c>
      <c r="B46" s="6" t="s">
        <v>1611</v>
      </c>
      <c r="C46" s="6" t="s">
        <v>1255</v>
      </c>
      <c r="D46" s="6" t="str">
        <f aca="false">A46&amp;"|"&amp;C46</f>
        <v>1|Axeman</v>
      </c>
      <c r="E46" s="6" t="s">
        <v>1558</v>
      </c>
      <c r="F46" s="6" t="s">
        <v>1542</v>
      </c>
      <c r="G46" s="6" t="str">
        <f aca="false">INDEX(Archetypes!$D$2:$D$127, MATCH(D46, Archetypes!$A$2:$A$127, 0))</f>
        <v>Shock Infantry</v>
      </c>
      <c r="H46" s="6" t="n">
        <f aca="false">ROUND(INDEX(Archetypes!$E$2:$E$127, MATCH(D46, Archetypes!$A$2:$A$127, 0))*INDEX(Unit_Grades!$B$2:$B$7, MATCH(F46, Unit_Grades!$A$2:$A$7, 0))*INDEX(Unit_Paths!$B$2:$B$4, MATCH(E46, Unit_Paths!$A$2:$A$4, 0)),1)</f>
        <v>47.5</v>
      </c>
      <c r="I46" s="6" t="n">
        <f aca="false">ROUND(INDEX(Archetypes!$F$2:$F$127, MATCH(D46, Archetypes!$A$2:$A$127, 0))*INDEX(Unit_Grades!$B$2:$B$7, MATCH(F46, Unit_Grades!$A$2:$A$7, 0))*INDEX(Unit_Paths!$C$2:$C$4, MATCH(E46, Unit_Paths!$A$2:$A$4, 0)),1)</f>
        <v>15.3</v>
      </c>
      <c r="J46" s="6" t="n">
        <f aca="false">ROUND(INDEX(Archetypes!$G$2:$G$127, MATCH(D46, Archetypes!$A$2:$A$127, 0))*INDEX(Unit_Grades!$B$2:$B$7, MATCH(F46, Unit_Grades!$A$2:$A$7, 0))*INDEX(Unit_Paths!$D$2:$D$4, MATCH(E46, Unit_Paths!$A$2:$A$4, 0)),0)</f>
        <v>145</v>
      </c>
      <c r="K46" s="6" t="n">
        <f aca="false">ROUND(INDEX(Archetypes!$H$2:$H$127, MATCH(D46, Archetypes!$A$2:$A$127, 0))*INDEX(Unit_Paths!$E$2:$E$4, MATCH(E46, Unit_Paths!$A$2:$A$4, 0)),1)</f>
        <v>17.9</v>
      </c>
      <c r="L46" s="6" t="n">
        <f aca="false">ROUND(INDEX(Archetypes!$I$2:$I$127, MATCH(D46, Archetypes!$A$2:$A$127, 0))*INDEX(Unit_Grades!$C$2:$C$7, MATCH(F46, Unit_Grades!$A$2:$A$7, 0)),1)</f>
        <v>4.8</v>
      </c>
      <c r="M46" s="6" t="n">
        <f aca="false">ROUND(INDEX(Archetypes!$J$2:$J$127, MATCH(D46, Archetypes!$A$2:$A$127, 0))*INDEX(Unit_Grades!$D$2:$D$7, MATCH(F46, Unit_Grades!$A$2:$A$7, 0)),1)</f>
        <v>3.1</v>
      </c>
      <c r="N46" s="6" t="n">
        <f aca="false">ROUND(M46/24,2)</f>
        <v>0.13</v>
      </c>
    </row>
    <row r="47" customFormat="false" ht="15" hidden="false" customHeight="true" outlineLevel="0" collapsed="false">
      <c r="A47" s="6" t="n">
        <v>1</v>
      </c>
      <c r="B47" s="6" t="s">
        <v>1612</v>
      </c>
      <c r="C47" s="6" t="s">
        <v>1255</v>
      </c>
      <c r="D47" s="6" t="str">
        <f aca="false">A47&amp;"|"&amp;C47</f>
        <v>1|Axeman</v>
      </c>
      <c r="E47" s="6" t="s">
        <v>1558</v>
      </c>
      <c r="F47" s="6" t="s">
        <v>1544</v>
      </c>
      <c r="G47" s="6" t="str">
        <f aca="false">INDEX(Archetypes!$D$2:$D$127, MATCH(D47, Archetypes!$A$2:$A$127, 0))</f>
        <v>Shock Infantry</v>
      </c>
      <c r="H47" s="6" t="n">
        <f aca="false">ROUND(INDEX(Archetypes!$E$2:$E$127, MATCH(D47, Archetypes!$A$2:$A$127, 0))*INDEX(Unit_Grades!$B$2:$B$7, MATCH(F47, Unit_Grades!$A$2:$A$7, 0))*INDEX(Unit_Paths!$B$2:$B$4, MATCH(E47, Unit_Paths!$A$2:$A$4, 0)),1)</f>
        <v>63.4</v>
      </c>
      <c r="I47" s="6" t="n">
        <f aca="false">ROUND(INDEX(Archetypes!$F$2:$F$127, MATCH(D47, Archetypes!$A$2:$A$127, 0))*INDEX(Unit_Grades!$B$2:$B$7, MATCH(F47, Unit_Grades!$A$2:$A$7, 0))*INDEX(Unit_Paths!$C$2:$C$4, MATCH(E47, Unit_Paths!$A$2:$A$4, 0)),1)</f>
        <v>20.4</v>
      </c>
      <c r="J47" s="6" t="n">
        <f aca="false">ROUND(INDEX(Archetypes!$G$2:$G$127, MATCH(D47, Archetypes!$A$2:$A$127, 0))*INDEX(Unit_Grades!$B$2:$B$7, MATCH(F47, Unit_Grades!$A$2:$A$7, 0))*INDEX(Unit_Paths!$D$2:$D$4, MATCH(E47, Unit_Paths!$A$2:$A$4, 0)),0)</f>
        <v>194</v>
      </c>
      <c r="K47" s="6" t="n">
        <f aca="false">ROUND(INDEX(Archetypes!$H$2:$H$127, MATCH(D47, Archetypes!$A$2:$A$127, 0))*INDEX(Unit_Paths!$E$2:$E$4, MATCH(E47, Unit_Paths!$A$2:$A$4, 0)),1)</f>
        <v>17.9</v>
      </c>
      <c r="L47" s="6" t="n">
        <f aca="false">ROUND(INDEX(Archetypes!$I$2:$I$127, MATCH(D47, Archetypes!$A$2:$A$127, 0))*INDEX(Unit_Grades!$C$2:$C$7, MATCH(F47, Unit_Grades!$A$2:$A$7, 0)),1)</f>
        <v>6.3</v>
      </c>
      <c r="M47" s="6" t="n">
        <f aca="false">ROUND(INDEX(Archetypes!$J$2:$J$127, MATCH(D47, Archetypes!$A$2:$A$127, 0))*INDEX(Unit_Grades!$D$2:$D$7, MATCH(F47, Unit_Grades!$A$2:$A$7, 0)),1)</f>
        <v>4.9</v>
      </c>
      <c r="N47" s="6" t="n">
        <f aca="false">ROUND(M47/24,2)</f>
        <v>0.2</v>
      </c>
    </row>
    <row r="48" customFormat="false" ht="15" hidden="false" customHeight="true" outlineLevel="0" collapsed="false">
      <c r="A48" s="6" t="n">
        <v>1</v>
      </c>
      <c r="B48" s="6" t="s">
        <v>1613</v>
      </c>
      <c r="C48" s="6" t="s">
        <v>1255</v>
      </c>
      <c r="D48" s="6" t="str">
        <f aca="false">A48&amp;"|"&amp;C48</f>
        <v>1|Axeman</v>
      </c>
      <c r="E48" s="6" t="s">
        <v>1558</v>
      </c>
      <c r="F48" s="6" t="s">
        <v>1546</v>
      </c>
      <c r="G48" s="6" t="str">
        <f aca="false">INDEX(Archetypes!$D$2:$D$127, MATCH(D48, Archetypes!$A$2:$A$127, 0))</f>
        <v>Shock Infantry</v>
      </c>
      <c r="H48" s="6" t="n">
        <f aca="false">ROUND(INDEX(Archetypes!$E$2:$E$127, MATCH(D48, Archetypes!$A$2:$A$127, 0))*INDEX(Unit_Grades!$B$2:$B$7, MATCH(F48, Unit_Grades!$A$2:$A$7, 0))*INDEX(Unit_Paths!$B$2:$B$4, MATCH(E48, Unit_Paths!$A$2:$A$4, 0)),1)</f>
        <v>84.5</v>
      </c>
      <c r="I48" s="6" t="n">
        <f aca="false">ROUND(INDEX(Archetypes!$F$2:$F$127, MATCH(D48, Archetypes!$A$2:$A$127, 0))*INDEX(Unit_Grades!$B$2:$B$7, MATCH(F48, Unit_Grades!$A$2:$A$7, 0))*INDEX(Unit_Paths!$C$2:$C$4, MATCH(E48, Unit_Paths!$A$2:$A$4, 0)),1)</f>
        <v>27.2</v>
      </c>
      <c r="J48" s="6" t="n">
        <f aca="false">ROUND(INDEX(Archetypes!$G$2:$G$127, MATCH(D48, Archetypes!$A$2:$A$127, 0))*INDEX(Unit_Grades!$B$2:$B$7, MATCH(F48, Unit_Grades!$A$2:$A$7, 0))*INDEX(Unit_Paths!$D$2:$D$4, MATCH(E48, Unit_Paths!$A$2:$A$4, 0)),0)</f>
        <v>258</v>
      </c>
      <c r="K48" s="6" t="n">
        <f aca="false">ROUND(INDEX(Archetypes!$H$2:$H$127, MATCH(D48, Archetypes!$A$2:$A$127, 0))*INDEX(Unit_Paths!$E$2:$E$4, MATCH(E48, Unit_Paths!$A$2:$A$4, 0)),1)</f>
        <v>17.9</v>
      </c>
      <c r="L48" s="6" t="n">
        <f aca="false">ROUND(INDEX(Archetypes!$I$2:$I$127, MATCH(D48, Archetypes!$A$2:$A$127, 0))*INDEX(Unit_Grades!$C$2:$C$7, MATCH(F48, Unit_Grades!$A$2:$A$7, 0)),1)</f>
        <v>8.4</v>
      </c>
      <c r="M48" s="6" t="n">
        <f aca="false">ROUND(INDEX(Archetypes!$J$2:$J$127, MATCH(D48, Archetypes!$A$2:$A$127, 0))*INDEX(Unit_Grades!$D$2:$D$7, MATCH(F48, Unit_Grades!$A$2:$A$7, 0)),1)</f>
        <v>8.5</v>
      </c>
      <c r="N48" s="6" t="n">
        <f aca="false">ROUND(M48/24,2)</f>
        <v>0.35</v>
      </c>
    </row>
    <row r="49" customFormat="false" ht="15" hidden="false" customHeight="true" outlineLevel="0" collapsed="false">
      <c r="A49" s="6" t="n">
        <v>1</v>
      </c>
      <c r="B49" s="6" t="s">
        <v>1614</v>
      </c>
      <c r="C49" s="6" t="s">
        <v>1255</v>
      </c>
      <c r="D49" s="6" t="str">
        <f aca="false">A49&amp;"|"&amp;C49</f>
        <v>1|Axeman</v>
      </c>
      <c r="E49" s="6" t="s">
        <v>1558</v>
      </c>
      <c r="F49" s="6" t="s">
        <v>1548</v>
      </c>
      <c r="G49" s="6" t="str">
        <f aca="false">INDEX(Archetypes!$D$2:$D$127, MATCH(D49, Archetypes!$A$2:$A$127, 0))</f>
        <v>Shock Infantry</v>
      </c>
      <c r="H49" s="6" t="n">
        <f aca="false">ROUND(INDEX(Archetypes!$E$2:$E$127, MATCH(D49, Archetypes!$A$2:$A$127, 0))*INDEX(Unit_Grades!$B$2:$B$7, MATCH(F49, Unit_Grades!$A$2:$A$7, 0))*INDEX(Unit_Paths!$B$2:$B$4, MATCH(E49, Unit_Paths!$A$2:$A$4, 0)),1)</f>
        <v>110.9</v>
      </c>
      <c r="I49" s="6" t="n">
        <f aca="false">ROUND(INDEX(Archetypes!$F$2:$F$127, MATCH(D49, Archetypes!$A$2:$A$127, 0))*INDEX(Unit_Grades!$B$2:$B$7, MATCH(F49, Unit_Grades!$A$2:$A$7, 0))*INDEX(Unit_Paths!$C$2:$C$4, MATCH(E49, Unit_Paths!$A$2:$A$4, 0)),1)</f>
        <v>35.7</v>
      </c>
      <c r="J49" s="6" t="n">
        <f aca="false">ROUND(INDEX(Archetypes!$G$2:$G$127, MATCH(D49, Archetypes!$A$2:$A$127, 0))*INDEX(Unit_Grades!$B$2:$B$7, MATCH(F49, Unit_Grades!$A$2:$A$7, 0))*INDEX(Unit_Paths!$D$2:$D$4, MATCH(E49, Unit_Paths!$A$2:$A$4, 0)),0)</f>
        <v>339</v>
      </c>
      <c r="K49" s="6" t="n">
        <f aca="false">ROUND(INDEX(Archetypes!$H$2:$H$127, MATCH(D49, Archetypes!$A$2:$A$127, 0))*INDEX(Unit_Paths!$E$2:$E$4, MATCH(E49, Unit_Paths!$A$2:$A$4, 0)),1)</f>
        <v>17.9</v>
      </c>
      <c r="L49" s="6" t="n">
        <f aca="false">ROUND(INDEX(Archetypes!$I$2:$I$127, MATCH(D49, Archetypes!$A$2:$A$127, 0))*INDEX(Unit_Grades!$C$2:$C$7, MATCH(F49, Unit_Grades!$A$2:$A$7, 0)),1)</f>
        <v>11.1</v>
      </c>
      <c r="M49" s="6" t="n">
        <f aca="false">ROUND(INDEX(Archetypes!$J$2:$J$127, MATCH(D49, Archetypes!$A$2:$A$127, 0))*INDEX(Unit_Grades!$D$2:$D$7, MATCH(F49, Unit_Grades!$A$2:$A$7, 0)),1)</f>
        <v>14.6</v>
      </c>
      <c r="N49" s="6" t="n">
        <f aca="false">ROUND(M49/24,2)</f>
        <v>0.61</v>
      </c>
    </row>
    <row r="50" customFormat="false" ht="15" hidden="false" customHeight="true" outlineLevel="0" collapsed="false">
      <c r="A50" s="6" t="n">
        <v>1</v>
      </c>
      <c r="B50" s="6" t="s">
        <v>1615</v>
      </c>
      <c r="C50" s="6" t="s">
        <v>1255</v>
      </c>
      <c r="D50" s="6" t="str">
        <f aca="false">A50&amp;"|"&amp;C50</f>
        <v>1|Axeman</v>
      </c>
      <c r="E50" s="6" t="s">
        <v>1560</v>
      </c>
      <c r="F50" s="6" t="s">
        <v>1538</v>
      </c>
      <c r="G50" s="6" t="str">
        <f aca="false">INDEX(Archetypes!$D$2:$D$127, MATCH(D50, Archetypes!$A$2:$A$127, 0))</f>
        <v>Shock Infantry</v>
      </c>
      <c r="H50" s="6" t="n">
        <f aca="false">ROUND(INDEX(Archetypes!$E$2:$E$127, MATCH(D50, Archetypes!$A$2:$A$127, 0))*INDEX(Unit_Grades!$B$2:$B$7, MATCH(F50, Unit_Grades!$A$2:$A$7, 0))*INDEX(Unit_Paths!$B$2:$B$4, MATCH(E50, Unit_Paths!$A$2:$A$4, 0)),1)</f>
        <v>18.7</v>
      </c>
      <c r="I50" s="6" t="n">
        <f aca="false">ROUND(INDEX(Archetypes!$F$2:$F$127, MATCH(D50, Archetypes!$A$2:$A$127, 0))*INDEX(Unit_Grades!$B$2:$B$7, MATCH(F50, Unit_Grades!$A$2:$A$7, 0))*INDEX(Unit_Paths!$C$2:$C$4, MATCH(E50, Unit_Paths!$A$2:$A$4, 0)),1)</f>
        <v>12.5</v>
      </c>
      <c r="J50" s="6" t="n">
        <f aca="false">ROUND(INDEX(Archetypes!$G$2:$G$127, MATCH(D50, Archetypes!$A$2:$A$127, 0))*INDEX(Unit_Grades!$B$2:$B$7, MATCH(F50, Unit_Grades!$A$2:$A$7, 0))*INDEX(Unit_Paths!$D$2:$D$4, MATCH(E50, Unit_Paths!$A$2:$A$4, 0)),0)</f>
        <v>98</v>
      </c>
      <c r="K50" s="6" t="n">
        <f aca="false">ROUND(INDEX(Archetypes!$H$2:$H$127, MATCH(D50, Archetypes!$A$2:$A$127, 0))*INDEX(Unit_Paths!$E$2:$E$4, MATCH(E50, Unit_Paths!$A$2:$A$4, 0)),1)</f>
        <v>15.6</v>
      </c>
      <c r="L50" s="6" t="n">
        <f aca="false">ROUND(INDEX(Archetypes!$I$2:$I$127, MATCH(D50, Archetypes!$A$2:$A$127, 0))*INDEX(Unit_Grades!$C$2:$C$7, MATCH(F50, Unit_Grades!$A$2:$A$7, 0)),1)</f>
        <v>3</v>
      </c>
      <c r="M50" s="6" t="n">
        <f aca="false">ROUND(INDEX(Archetypes!$J$2:$J$127, MATCH(D50, Archetypes!$A$2:$A$127, 0))*INDEX(Unit_Grades!$D$2:$D$7, MATCH(F50, Unit_Grades!$A$2:$A$7, 0)),1)</f>
        <v>1.2</v>
      </c>
      <c r="N50" s="6" t="n">
        <f aca="false">ROUND(M50/24,2)</f>
        <v>0.05</v>
      </c>
    </row>
    <row r="51" customFormat="false" ht="15" hidden="false" customHeight="true" outlineLevel="0" collapsed="false">
      <c r="A51" s="6" t="n">
        <v>1</v>
      </c>
      <c r="B51" s="6" t="s">
        <v>1616</v>
      </c>
      <c r="C51" s="6" t="s">
        <v>1255</v>
      </c>
      <c r="D51" s="6" t="str">
        <f aca="false">A51&amp;"|"&amp;C51</f>
        <v>1|Axeman</v>
      </c>
      <c r="E51" s="6" t="s">
        <v>1560</v>
      </c>
      <c r="F51" s="6" t="s">
        <v>1540</v>
      </c>
      <c r="G51" s="6" t="str">
        <f aca="false">INDEX(Archetypes!$D$2:$D$127, MATCH(D51, Archetypes!$A$2:$A$127, 0))</f>
        <v>Shock Infantry</v>
      </c>
      <c r="H51" s="6" t="n">
        <f aca="false">ROUND(INDEX(Archetypes!$E$2:$E$127, MATCH(D51, Archetypes!$A$2:$A$127, 0))*INDEX(Unit_Grades!$B$2:$B$7, MATCH(F51, Unit_Grades!$A$2:$A$7, 0))*INDEX(Unit_Paths!$B$2:$B$4, MATCH(E51, Unit_Paths!$A$2:$A$4, 0)),1)</f>
        <v>25.2</v>
      </c>
      <c r="I51" s="6" t="n">
        <f aca="false">ROUND(INDEX(Archetypes!$F$2:$F$127, MATCH(D51, Archetypes!$A$2:$A$127, 0))*INDEX(Unit_Grades!$B$2:$B$7, MATCH(F51, Unit_Grades!$A$2:$A$7, 0))*INDEX(Unit_Paths!$C$2:$C$4, MATCH(E51, Unit_Paths!$A$2:$A$4, 0)),1)</f>
        <v>16.9</v>
      </c>
      <c r="J51" s="6" t="n">
        <f aca="false">ROUND(INDEX(Archetypes!$G$2:$G$127, MATCH(D51, Archetypes!$A$2:$A$127, 0))*INDEX(Unit_Grades!$B$2:$B$7, MATCH(F51, Unit_Grades!$A$2:$A$7, 0))*INDEX(Unit_Paths!$D$2:$D$4, MATCH(E51, Unit_Paths!$A$2:$A$4, 0)),0)</f>
        <v>132</v>
      </c>
      <c r="K51" s="6" t="n">
        <f aca="false">ROUND(INDEX(Archetypes!$H$2:$H$127, MATCH(D51, Archetypes!$A$2:$A$127, 0))*INDEX(Unit_Paths!$E$2:$E$4, MATCH(E51, Unit_Paths!$A$2:$A$4, 0)),1)</f>
        <v>15.6</v>
      </c>
      <c r="L51" s="6" t="n">
        <f aca="false">ROUND(INDEX(Archetypes!$I$2:$I$127, MATCH(D51, Archetypes!$A$2:$A$127, 0))*INDEX(Unit_Grades!$C$2:$C$7, MATCH(F51, Unit_Grades!$A$2:$A$7, 0)),1)</f>
        <v>3.8</v>
      </c>
      <c r="M51" s="6" t="n">
        <f aca="false">ROUND(INDEX(Archetypes!$J$2:$J$127, MATCH(D51, Archetypes!$A$2:$A$127, 0))*INDEX(Unit_Grades!$D$2:$D$7, MATCH(F51, Unit_Grades!$A$2:$A$7, 0)),1)</f>
        <v>1.8</v>
      </c>
      <c r="N51" s="6" t="n">
        <f aca="false">ROUND(M51/24,2)</f>
        <v>0.08</v>
      </c>
    </row>
    <row r="52" customFormat="false" ht="15" hidden="false" customHeight="true" outlineLevel="0" collapsed="false">
      <c r="A52" s="6" t="n">
        <v>1</v>
      </c>
      <c r="B52" s="6" t="s">
        <v>1617</v>
      </c>
      <c r="C52" s="6" t="s">
        <v>1255</v>
      </c>
      <c r="D52" s="6" t="str">
        <f aca="false">A52&amp;"|"&amp;C52</f>
        <v>1|Axeman</v>
      </c>
      <c r="E52" s="6" t="s">
        <v>1560</v>
      </c>
      <c r="F52" s="6" t="s">
        <v>1542</v>
      </c>
      <c r="G52" s="6" t="str">
        <f aca="false">INDEX(Archetypes!$D$2:$D$127, MATCH(D52, Archetypes!$A$2:$A$127, 0))</f>
        <v>Shock Infantry</v>
      </c>
      <c r="H52" s="6" t="n">
        <f aca="false">ROUND(INDEX(Archetypes!$E$2:$E$127, MATCH(D52, Archetypes!$A$2:$A$127, 0))*INDEX(Unit_Grades!$B$2:$B$7, MATCH(F52, Unit_Grades!$A$2:$A$7, 0))*INDEX(Unit_Paths!$B$2:$B$4, MATCH(E52, Unit_Paths!$A$2:$A$4, 0)),1)</f>
        <v>33.7</v>
      </c>
      <c r="I52" s="6" t="n">
        <f aca="false">ROUND(INDEX(Archetypes!$F$2:$F$127, MATCH(D52, Archetypes!$A$2:$A$127, 0))*INDEX(Unit_Grades!$B$2:$B$7, MATCH(F52, Unit_Grades!$A$2:$A$7, 0))*INDEX(Unit_Paths!$C$2:$C$4, MATCH(E52, Unit_Paths!$A$2:$A$4, 0)),1)</f>
        <v>22.5</v>
      </c>
      <c r="J52" s="6" t="n">
        <f aca="false">ROUND(INDEX(Archetypes!$G$2:$G$127, MATCH(D52, Archetypes!$A$2:$A$127, 0))*INDEX(Unit_Grades!$B$2:$B$7, MATCH(F52, Unit_Grades!$A$2:$A$7, 0))*INDEX(Unit_Paths!$D$2:$D$4, MATCH(E52, Unit_Paths!$A$2:$A$4, 0)),0)</f>
        <v>176</v>
      </c>
      <c r="K52" s="6" t="n">
        <f aca="false">ROUND(INDEX(Archetypes!$H$2:$H$127, MATCH(D52, Archetypes!$A$2:$A$127, 0))*INDEX(Unit_Paths!$E$2:$E$4, MATCH(E52, Unit_Paths!$A$2:$A$4, 0)),1)</f>
        <v>15.6</v>
      </c>
      <c r="L52" s="6" t="n">
        <f aca="false">ROUND(INDEX(Archetypes!$I$2:$I$127, MATCH(D52, Archetypes!$A$2:$A$127, 0))*INDEX(Unit_Grades!$C$2:$C$7, MATCH(F52, Unit_Grades!$A$2:$A$7, 0)),1)</f>
        <v>4.8</v>
      </c>
      <c r="M52" s="6" t="n">
        <f aca="false">ROUND(INDEX(Archetypes!$J$2:$J$127, MATCH(D52, Archetypes!$A$2:$A$127, 0))*INDEX(Unit_Grades!$D$2:$D$7, MATCH(F52, Unit_Grades!$A$2:$A$7, 0)),1)</f>
        <v>3.1</v>
      </c>
      <c r="N52" s="6" t="n">
        <f aca="false">ROUND(M52/24,2)</f>
        <v>0.13</v>
      </c>
    </row>
    <row r="53" customFormat="false" ht="15" hidden="false" customHeight="true" outlineLevel="0" collapsed="false">
      <c r="A53" s="6" t="n">
        <v>1</v>
      </c>
      <c r="B53" s="6" t="s">
        <v>1618</v>
      </c>
      <c r="C53" s="6" t="s">
        <v>1255</v>
      </c>
      <c r="D53" s="6" t="str">
        <f aca="false">A53&amp;"|"&amp;C53</f>
        <v>1|Axeman</v>
      </c>
      <c r="E53" s="6" t="s">
        <v>1560</v>
      </c>
      <c r="F53" s="6" t="s">
        <v>1544</v>
      </c>
      <c r="G53" s="6" t="str">
        <f aca="false">INDEX(Archetypes!$D$2:$D$127, MATCH(D53, Archetypes!$A$2:$A$127, 0))</f>
        <v>Shock Infantry</v>
      </c>
      <c r="H53" s="6" t="n">
        <f aca="false">ROUND(INDEX(Archetypes!$E$2:$E$127, MATCH(D53, Archetypes!$A$2:$A$127, 0))*INDEX(Unit_Grades!$B$2:$B$7, MATCH(F53, Unit_Grades!$A$2:$A$7, 0))*INDEX(Unit_Paths!$B$2:$B$4, MATCH(E53, Unit_Paths!$A$2:$A$4, 0)),1)</f>
        <v>44.9</v>
      </c>
      <c r="I53" s="6" t="n">
        <f aca="false">ROUND(INDEX(Archetypes!$F$2:$F$127, MATCH(D53, Archetypes!$A$2:$A$127, 0))*INDEX(Unit_Grades!$B$2:$B$7, MATCH(F53, Unit_Grades!$A$2:$A$7, 0))*INDEX(Unit_Paths!$C$2:$C$4, MATCH(E53, Unit_Paths!$A$2:$A$4, 0)),1)</f>
        <v>30</v>
      </c>
      <c r="J53" s="6" t="n">
        <f aca="false">ROUND(INDEX(Archetypes!$G$2:$G$127, MATCH(D53, Archetypes!$A$2:$A$127, 0))*INDEX(Unit_Grades!$B$2:$B$7, MATCH(F53, Unit_Grades!$A$2:$A$7, 0))*INDEX(Unit_Paths!$D$2:$D$4, MATCH(E53, Unit_Paths!$A$2:$A$4, 0)),0)</f>
        <v>235</v>
      </c>
      <c r="K53" s="6" t="n">
        <f aca="false">ROUND(INDEX(Archetypes!$H$2:$H$127, MATCH(D53, Archetypes!$A$2:$A$127, 0))*INDEX(Unit_Paths!$E$2:$E$4, MATCH(E53, Unit_Paths!$A$2:$A$4, 0)),1)</f>
        <v>15.6</v>
      </c>
      <c r="L53" s="6" t="n">
        <f aca="false">ROUND(INDEX(Archetypes!$I$2:$I$127, MATCH(D53, Archetypes!$A$2:$A$127, 0))*INDEX(Unit_Grades!$C$2:$C$7, MATCH(F53, Unit_Grades!$A$2:$A$7, 0)),1)</f>
        <v>6.3</v>
      </c>
      <c r="M53" s="6" t="n">
        <f aca="false">ROUND(INDEX(Archetypes!$J$2:$J$127, MATCH(D53, Archetypes!$A$2:$A$127, 0))*INDEX(Unit_Grades!$D$2:$D$7, MATCH(F53, Unit_Grades!$A$2:$A$7, 0)),1)</f>
        <v>4.9</v>
      </c>
      <c r="N53" s="6" t="n">
        <f aca="false">ROUND(M53/24,2)</f>
        <v>0.2</v>
      </c>
    </row>
    <row r="54" customFormat="false" ht="15" hidden="false" customHeight="true" outlineLevel="0" collapsed="false">
      <c r="A54" s="6" t="n">
        <v>1</v>
      </c>
      <c r="B54" s="6" t="s">
        <v>1619</v>
      </c>
      <c r="C54" s="6" t="s">
        <v>1255</v>
      </c>
      <c r="D54" s="6" t="str">
        <f aca="false">A54&amp;"|"&amp;C54</f>
        <v>1|Axeman</v>
      </c>
      <c r="E54" s="6" t="s">
        <v>1560</v>
      </c>
      <c r="F54" s="6" t="s">
        <v>1546</v>
      </c>
      <c r="G54" s="6" t="str">
        <f aca="false">INDEX(Archetypes!$D$2:$D$127, MATCH(D54, Archetypes!$A$2:$A$127, 0))</f>
        <v>Shock Infantry</v>
      </c>
      <c r="H54" s="6" t="n">
        <f aca="false">ROUND(INDEX(Archetypes!$E$2:$E$127, MATCH(D54, Archetypes!$A$2:$A$127, 0))*INDEX(Unit_Grades!$B$2:$B$7, MATCH(F54, Unit_Grades!$A$2:$A$7, 0))*INDEX(Unit_Paths!$B$2:$B$4, MATCH(E54, Unit_Paths!$A$2:$A$4, 0)),1)</f>
        <v>59.8</v>
      </c>
      <c r="I54" s="6" t="n">
        <f aca="false">ROUND(INDEX(Archetypes!$F$2:$F$127, MATCH(D54, Archetypes!$A$2:$A$127, 0))*INDEX(Unit_Grades!$B$2:$B$7, MATCH(F54, Unit_Grades!$A$2:$A$7, 0))*INDEX(Unit_Paths!$C$2:$C$4, MATCH(E54, Unit_Paths!$A$2:$A$4, 0)),1)</f>
        <v>40</v>
      </c>
      <c r="J54" s="6" t="n">
        <f aca="false">ROUND(INDEX(Archetypes!$G$2:$G$127, MATCH(D54, Archetypes!$A$2:$A$127, 0))*INDEX(Unit_Grades!$B$2:$B$7, MATCH(F54, Unit_Grades!$A$2:$A$7, 0))*INDEX(Unit_Paths!$D$2:$D$4, MATCH(E54, Unit_Paths!$A$2:$A$4, 0)),0)</f>
        <v>313</v>
      </c>
      <c r="K54" s="6" t="n">
        <f aca="false">ROUND(INDEX(Archetypes!$H$2:$H$127, MATCH(D54, Archetypes!$A$2:$A$127, 0))*INDEX(Unit_Paths!$E$2:$E$4, MATCH(E54, Unit_Paths!$A$2:$A$4, 0)),1)</f>
        <v>15.6</v>
      </c>
      <c r="L54" s="6" t="n">
        <f aca="false">ROUND(INDEX(Archetypes!$I$2:$I$127, MATCH(D54, Archetypes!$A$2:$A$127, 0))*INDEX(Unit_Grades!$C$2:$C$7, MATCH(F54, Unit_Grades!$A$2:$A$7, 0)),1)</f>
        <v>8.4</v>
      </c>
      <c r="M54" s="6" t="n">
        <f aca="false">ROUND(INDEX(Archetypes!$J$2:$J$127, MATCH(D54, Archetypes!$A$2:$A$127, 0))*INDEX(Unit_Grades!$D$2:$D$7, MATCH(F54, Unit_Grades!$A$2:$A$7, 0)),1)</f>
        <v>8.5</v>
      </c>
      <c r="N54" s="6" t="n">
        <f aca="false">ROUND(M54/24,2)</f>
        <v>0.35</v>
      </c>
    </row>
    <row r="55" customFormat="false" ht="15" hidden="false" customHeight="true" outlineLevel="0" collapsed="false">
      <c r="A55" s="6" t="n">
        <v>1</v>
      </c>
      <c r="B55" s="6" t="s">
        <v>1620</v>
      </c>
      <c r="C55" s="6" t="s">
        <v>1255</v>
      </c>
      <c r="D55" s="6" t="str">
        <f aca="false">A55&amp;"|"&amp;C55</f>
        <v>1|Axeman</v>
      </c>
      <c r="E55" s="6" t="s">
        <v>1560</v>
      </c>
      <c r="F55" s="6" t="s">
        <v>1548</v>
      </c>
      <c r="G55" s="6" t="str">
        <f aca="false">INDEX(Archetypes!$D$2:$D$127, MATCH(D55, Archetypes!$A$2:$A$127, 0))</f>
        <v>Shock Infantry</v>
      </c>
      <c r="H55" s="6" t="n">
        <f aca="false">ROUND(INDEX(Archetypes!$E$2:$E$127, MATCH(D55, Archetypes!$A$2:$A$127, 0))*INDEX(Unit_Grades!$B$2:$B$7, MATCH(F55, Unit_Grades!$A$2:$A$7, 0))*INDEX(Unit_Paths!$B$2:$B$4, MATCH(E55, Unit_Paths!$A$2:$A$4, 0)),1)</f>
        <v>78.5</v>
      </c>
      <c r="I55" s="6" t="n">
        <f aca="false">ROUND(INDEX(Archetypes!$F$2:$F$127, MATCH(D55, Archetypes!$A$2:$A$127, 0))*INDEX(Unit_Grades!$B$2:$B$7, MATCH(F55, Unit_Grades!$A$2:$A$7, 0))*INDEX(Unit_Paths!$C$2:$C$4, MATCH(E55, Unit_Paths!$A$2:$A$4, 0)),1)</f>
        <v>52.5</v>
      </c>
      <c r="J55" s="6" t="n">
        <f aca="false">ROUND(INDEX(Archetypes!$G$2:$G$127, MATCH(D55, Archetypes!$A$2:$A$127, 0))*INDEX(Unit_Grades!$B$2:$B$7, MATCH(F55, Unit_Grades!$A$2:$A$7, 0))*INDEX(Unit_Paths!$D$2:$D$4, MATCH(E55, Unit_Paths!$A$2:$A$4, 0)),0)</f>
        <v>411</v>
      </c>
      <c r="K55" s="6" t="n">
        <f aca="false">ROUND(INDEX(Archetypes!$H$2:$H$127, MATCH(D55, Archetypes!$A$2:$A$127, 0))*INDEX(Unit_Paths!$E$2:$E$4, MATCH(E55, Unit_Paths!$A$2:$A$4, 0)),1)</f>
        <v>15.6</v>
      </c>
      <c r="L55" s="6" t="n">
        <f aca="false">ROUND(INDEX(Archetypes!$I$2:$I$127, MATCH(D55, Archetypes!$A$2:$A$127, 0))*INDEX(Unit_Grades!$C$2:$C$7, MATCH(F55, Unit_Grades!$A$2:$A$7, 0)),1)</f>
        <v>11.1</v>
      </c>
      <c r="M55" s="6" t="n">
        <f aca="false">ROUND(INDEX(Archetypes!$J$2:$J$127, MATCH(D55, Archetypes!$A$2:$A$127, 0))*INDEX(Unit_Grades!$D$2:$D$7, MATCH(F55, Unit_Grades!$A$2:$A$7, 0)),1)</f>
        <v>14.6</v>
      </c>
      <c r="N55" s="6" t="n">
        <f aca="false">ROUND(M55/24,2)</f>
        <v>0.61</v>
      </c>
    </row>
    <row r="56" customFormat="false" ht="15" hidden="false" customHeight="true" outlineLevel="0" collapsed="false">
      <c r="A56" s="6" t="n">
        <v>1</v>
      </c>
      <c r="B56" s="6" t="s">
        <v>1258</v>
      </c>
      <c r="C56" s="6" t="s">
        <v>1258</v>
      </c>
      <c r="D56" s="6" t="str">
        <f aca="false">A56&amp;"|"&amp;C56</f>
        <v>1|Slinger</v>
      </c>
      <c r="E56" s="6" t="s">
        <v>1556</v>
      </c>
      <c r="F56" s="6" t="s">
        <v>1538</v>
      </c>
      <c r="G56" s="6" t="str">
        <f aca="false">INDEX(Archetypes!$D$2:$D$127, MATCH(D56, Archetypes!$A$2:$A$127, 0))</f>
        <v>Ranged</v>
      </c>
      <c r="H56" s="6" t="n">
        <f aca="false">ROUND(INDEX(Archetypes!$E$2:$E$127, MATCH(D56, Archetypes!$A$2:$A$127, 0))*INDEX(Unit_Grades!$B$2:$B$7, MATCH(F56, Unit_Grades!$A$2:$A$7, 0))*INDEX(Unit_Paths!$B$2:$B$4, MATCH(E56, Unit_Paths!$A$2:$A$4, 0)),1)</f>
        <v>14</v>
      </c>
      <c r="I56" s="6" t="n">
        <f aca="false">ROUND(INDEX(Archetypes!$F$2:$F$127, MATCH(D56, Archetypes!$A$2:$A$127, 0))*INDEX(Unit_Grades!$B$2:$B$7, MATCH(F56, Unit_Grades!$A$2:$A$7, 0))*INDEX(Unit_Paths!$C$2:$C$4, MATCH(E56, Unit_Paths!$A$2:$A$4, 0)),1)</f>
        <v>6</v>
      </c>
      <c r="J56" s="6" t="n">
        <f aca="false">ROUND(INDEX(Archetypes!$G$2:$G$127, MATCH(D56, Archetypes!$A$2:$A$127, 0))*INDEX(Unit_Grades!$B$2:$B$7, MATCH(F56, Unit_Grades!$A$2:$A$7, 0))*INDEX(Unit_Paths!$D$2:$D$4, MATCH(E56, Unit_Paths!$A$2:$A$4, 0)),0)</f>
        <v>45</v>
      </c>
      <c r="K56" s="6" t="n">
        <f aca="false">ROUND(INDEX(Archetypes!$H$2:$H$127, MATCH(D56, Archetypes!$A$2:$A$127, 0))*INDEX(Unit_Paths!$E$2:$E$4, MATCH(E56, Unit_Paths!$A$2:$A$4, 0)),1)</f>
        <v>18</v>
      </c>
      <c r="L56" s="6" t="n">
        <f aca="false">ROUND(INDEX(Archetypes!$I$2:$I$127, MATCH(D56, Archetypes!$A$2:$A$127, 0))*INDEX(Unit_Grades!$C$2:$C$7, MATCH(F56, Unit_Grades!$A$2:$A$7, 0)),1)</f>
        <v>2</v>
      </c>
      <c r="M56" s="6" t="n">
        <f aca="false">ROUND(INDEX(Archetypes!$J$2:$J$127, MATCH(D56, Archetypes!$A$2:$A$127, 0))*INDEX(Unit_Grades!$D$2:$D$7, MATCH(F56, Unit_Grades!$A$2:$A$7, 0)),1)</f>
        <v>0.8</v>
      </c>
      <c r="N56" s="6" t="n">
        <f aca="false">ROUND(M56/24,2)</f>
        <v>0.03</v>
      </c>
    </row>
    <row r="57" customFormat="false" ht="15" hidden="false" customHeight="true" outlineLevel="0" collapsed="false">
      <c r="A57" s="6" t="n">
        <v>1</v>
      </c>
      <c r="B57" s="6" t="s">
        <v>1621</v>
      </c>
      <c r="C57" s="6" t="s">
        <v>1258</v>
      </c>
      <c r="D57" s="6" t="str">
        <f aca="false">A57&amp;"|"&amp;C57</f>
        <v>1|Slinger</v>
      </c>
      <c r="E57" s="6" t="s">
        <v>1556</v>
      </c>
      <c r="F57" s="6" t="s">
        <v>1540</v>
      </c>
      <c r="G57" s="6" t="str">
        <f aca="false">INDEX(Archetypes!$D$2:$D$127, MATCH(D57, Archetypes!$A$2:$A$127, 0))</f>
        <v>Ranged</v>
      </c>
      <c r="H57" s="6" t="n">
        <f aca="false">ROUND(INDEX(Archetypes!$E$2:$E$127, MATCH(D57, Archetypes!$A$2:$A$127, 0))*INDEX(Unit_Grades!$B$2:$B$7, MATCH(F57, Unit_Grades!$A$2:$A$7, 0))*INDEX(Unit_Paths!$B$2:$B$4, MATCH(E57, Unit_Paths!$A$2:$A$4, 0)),1)</f>
        <v>18.9</v>
      </c>
      <c r="I57" s="6" t="n">
        <f aca="false">ROUND(INDEX(Archetypes!$F$2:$F$127, MATCH(D57, Archetypes!$A$2:$A$127, 0))*INDEX(Unit_Grades!$B$2:$B$7, MATCH(F57, Unit_Grades!$A$2:$A$7, 0))*INDEX(Unit_Paths!$C$2:$C$4, MATCH(E57, Unit_Paths!$A$2:$A$4, 0)),1)</f>
        <v>8.1</v>
      </c>
      <c r="J57" s="6" t="n">
        <f aca="false">ROUND(INDEX(Archetypes!$G$2:$G$127, MATCH(D57, Archetypes!$A$2:$A$127, 0))*INDEX(Unit_Grades!$B$2:$B$7, MATCH(F57, Unit_Grades!$A$2:$A$7, 0))*INDEX(Unit_Paths!$D$2:$D$4, MATCH(E57, Unit_Paths!$A$2:$A$4, 0)),0)</f>
        <v>61</v>
      </c>
      <c r="K57" s="6" t="n">
        <f aca="false">ROUND(INDEX(Archetypes!$H$2:$H$127, MATCH(D57, Archetypes!$A$2:$A$127, 0))*INDEX(Unit_Paths!$E$2:$E$4, MATCH(E57, Unit_Paths!$A$2:$A$4, 0)),1)</f>
        <v>18</v>
      </c>
      <c r="L57" s="6" t="n">
        <f aca="false">ROUND(INDEX(Archetypes!$I$2:$I$127, MATCH(D57, Archetypes!$A$2:$A$127, 0))*INDEX(Unit_Grades!$C$2:$C$7, MATCH(F57, Unit_Grades!$A$2:$A$7, 0)),1)</f>
        <v>2.5</v>
      </c>
      <c r="M57" s="6" t="n">
        <f aca="false">ROUND(INDEX(Archetypes!$J$2:$J$127, MATCH(D57, Archetypes!$A$2:$A$127, 0))*INDEX(Unit_Grades!$D$2:$D$7, MATCH(F57, Unit_Grades!$A$2:$A$7, 0)),1)</f>
        <v>1.2</v>
      </c>
      <c r="N57" s="6" t="n">
        <f aca="false">ROUND(M57/24,2)</f>
        <v>0.05</v>
      </c>
    </row>
    <row r="58" customFormat="false" ht="15" hidden="false" customHeight="true" outlineLevel="0" collapsed="false">
      <c r="A58" s="6" t="n">
        <v>1</v>
      </c>
      <c r="B58" s="6" t="s">
        <v>1622</v>
      </c>
      <c r="C58" s="6" t="s">
        <v>1258</v>
      </c>
      <c r="D58" s="6" t="str">
        <f aca="false">A58&amp;"|"&amp;C58</f>
        <v>1|Slinger</v>
      </c>
      <c r="E58" s="6" t="s">
        <v>1556</v>
      </c>
      <c r="F58" s="6" t="s">
        <v>1542</v>
      </c>
      <c r="G58" s="6" t="str">
        <f aca="false">INDEX(Archetypes!$D$2:$D$127, MATCH(D58, Archetypes!$A$2:$A$127, 0))</f>
        <v>Ranged</v>
      </c>
      <c r="H58" s="6" t="n">
        <f aca="false">ROUND(INDEX(Archetypes!$E$2:$E$127, MATCH(D58, Archetypes!$A$2:$A$127, 0))*INDEX(Unit_Grades!$B$2:$B$7, MATCH(F58, Unit_Grades!$A$2:$A$7, 0))*INDEX(Unit_Paths!$B$2:$B$4, MATCH(E58, Unit_Paths!$A$2:$A$4, 0)),1)</f>
        <v>25.2</v>
      </c>
      <c r="I58" s="6" t="n">
        <f aca="false">ROUND(INDEX(Archetypes!$F$2:$F$127, MATCH(D58, Archetypes!$A$2:$A$127, 0))*INDEX(Unit_Grades!$B$2:$B$7, MATCH(F58, Unit_Grades!$A$2:$A$7, 0))*INDEX(Unit_Paths!$C$2:$C$4, MATCH(E58, Unit_Paths!$A$2:$A$4, 0)),1)</f>
        <v>10.8</v>
      </c>
      <c r="J58" s="6" t="n">
        <f aca="false">ROUND(INDEX(Archetypes!$G$2:$G$127, MATCH(D58, Archetypes!$A$2:$A$127, 0))*INDEX(Unit_Grades!$B$2:$B$7, MATCH(F58, Unit_Grades!$A$2:$A$7, 0))*INDEX(Unit_Paths!$D$2:$D$4, MATCH(E58, Unit_Paths!$A$2:$A$4, 0)),0)</f>
        <v>81</v>
      </c>
      <c r="K58" s="6" t="n">
        <f aca="false">ROUND(INDEX(Archetypes!$H$2:$H$127, MATCH(D58, Archetypes!$A$2:$A$127, 0))*INDEX(Unit_Paths!$E$2:$E$4, MATCH(E58, Unit_Paths!$A$2:$A$4, 0)),1)</f>
        <v>18</v>
      </c>
      <c r="L58" s="6" t="n">
        <f aca="false">ROUND(INDEX(Archetypes!$I$2:$I$127, MATCH(D58, Archetypes!$A$2:$A$127, 0))*INDEX(Unit_Grades!$C$2:$C$7, MATCH(F58, Unit_Grades!$A$2:$A$7, 0)),1)</f>
        <v>3.2</v>
      </c>
      <c r="M58" s="6" t="n">
        <f aca="false">ROUND(INDEX(Archetypes!$J$2:$J$127, MATCH(D58, Archetypes!$A$2:$A$127, 0))*INDEX(Unit_Grades!$D$2:$D$7, MATCH(F58, Unit_Grades!$A$2:$A$7, 0)),1)</f>
        <v>2</v>
      </c>
      <c r="N58" s="6" t="n">
        <f aca="false">ROUND(M58/24,2)</f>
        <v>0.08</v>
      </c>
    </row>
    <row r="59" customFormat="false" ht="15" hidden="false" customHeight="true" outlineLevel="0" collapsed="false">
      <c r="A59" s="6" t="n">
        <v>1</v>
      </c>
      <c r="B59" s="6" t="s">
        <v>1623</v>
      </c>
      <c r="C59" s="6" t="s">
        <v>1258</v>
      </c>
      <c r="D59" s="6" t="str">
        <f aca="false">A59&amp;"|"&amp;C59</f>
        <v>1|Slinger</v>
      </c>
      <c r="E59" s="6" t="s">
        <v>1556</v>
      </c>
      <c r="F59" s="6" t="s">
        <v>1544</v>
      </c>
      <c r="G59" s="6" t="str">
        <f aca="false">INDEX(Archetypes!$D$2:$D$127, MATCH(D59, Archetypes!$A$2:$A$127, 0))</f>
        <v>Ranged</v>
      </c>
      <c r="H59" s="6" t="n">
        <f aca="false">ROUND(INDEX(Archetypes!$E$2:$E$127, MATCH(D59, Archetypes!$A$2:$A$127, 0))*INDEX(Unit_Grades!$B$2:$B$7, MATCH(F59, Unit_Grades!$A$2:$A$7, 0))*INDEX(Unit_Paths!$B$2:$B$4, MATCH(E59, Unit_Paths!$A$2:$A$4, 0)),1)</f>
        <v>33.6</v>
      </c>
      <c r="I59" s="6" t="n">
        <f aca="false">ROUND(INDEX(Archetypes!$F$2:$F$127, MATCH(D59, Archetypes!$A$2:$A$127, 0))*INDEX(Unit_Grades!$B$2:$B$7, MATCH(F59, Unit_Grades!$A$2:$A$7, 0))*INDEX(Unit_Paths!$C$2:$C$4, MATCH(E59, Unit_Paths!$A$2:$A$4, 0)),1)</f>
        <v>14.4</v>
      </c>
      <c r="J59" s="6" t="n">
        <f aca="false">ROUND(INDEX(Archetypes!$G$2:$G$127, MATCH(D59, Archetypes!$A$2:$A$127, 0))*INDEX(Unit_Grades!$B$2:$B$7, MATCH(F59, Unit_Grades!$A$2:$A$7, 0))*INDEX(Unit_Paths!$D$2:$D$4, MATCH(E59, Unit_Paths!$A$2:$A$4, 0)),0)</f>
        <v>108</v>
      </c>
      <c r="K59" s="6" t="n">
        <f aca="false">ROUND(INDEX(Archetypes!$H$2:$H$127, MATCH(D59, Archetypes!$A$2:$A$127, 0))*INDEX(Unit_Paths!$E$2:$E$4, MATCH(E59, Unit_Paths!$A$2:$A$4, 0)),1)</f>
        <v>18</v>
      </c>
      <c r="L59" s="6" t="n">
        <f aca="false">ROUND(INDEX(Archetypes!$I$2:$I$127, MATCH(D59, Archetypes!$A$2:$A$127, 0))*INDEX(Unit_Grades!$C$2:$C$7, MATCH(F59, Unit_Grades!$A$2:$A$7, 0)),1)</f>
        <v>4.2</v>
      </c>
      <c r="M59" s="6" t="n">
        <f aca="false">ROUND(INDEX(Archetypes!$J$2:$J$127, MATCH(D59, Archetypes!$A$2:$A$127, 0))*INDEX(Unit_Grades!$D$2:$D$7, MATCH(F59, Unit_Grades!$A$2:$A$7, 0)),1)</f>
        <v>3.2</v>
      </c>
      <c r="N59" s="6" t="n">
        <f aca="false">ROUND(M59/24,2)</f>
        <v>0.13</v>
      </c>
    </row>
    <row r="60" customFormat="false" ht="15" hidden="false" customHeight="true" outlineLevel="0" collapsed="false">
      <c r="A60" s="6" t="n">
        <v>1</v>
      </c>
      <c r="B60" s="6" t="s">
        <v>1624</v>
      </c>
      <c r="C60" s="6" t="s">
        <v>1258</v>
      </c>
      <c r="D60" s="6" t="str">
        <f aca="false">A60&amp;"|"&amp;C60</f>
        <v>1|Slinger</v>
      </c>
      <c r="E60" s="6" t="s">
        <v>1556</v>
      </c>
      <c r="F60" s="6" t="s">
        <v>1546</v>
      </c>
      <c r="G60" s="6" t="str">
        <f aca="false">INDEX(Archetypes!$D$2:$D$127, MATCH(D60, Archetypes!$A$2:$A$127, 0))</f>
        <v>Ranged</v>
      </c>
      <c r="H60" s="6" t="n">
        <f aca="false">ROUND(INDEX(Archetypes!$E$2:$E$127, MATCH(D60, Archetypes!$A$2:$A$127, 0))*INDEX(Unit_Grades!$B$2:$B$7, MATCH(F60, Unit_Grades!$A$2:$A$7, 0))*INDEX(Unit_Paths!$B$2:$B$4, MATCH(E60, Unit_Paths!$A$2:$A$4, 0)),1)</f>
        <v>44.8</v>
      </c>
      <c r="I60" s="6" t="n">
        <f aca="false">ROUND(INDEX(Archetypes!$F$2:$F$127, MATCH(D60, Archetypes!$A$2:$A$127, 0))*INDEX(Unit_Grades!$B$2:$B$7, MATCH(F60, Unit_Grades!$A$2:$A$7, 0))*INDEX(Unit_Paths!$C$2:$C$4, MATCH(E60, Unit_Paths!$A$2:$A$4, 0)),1)</f>
        <v>19.2</v>
      </c>
      <c r="J60" s="6" t="n">
        <f aca="false">ROUND(INDEX(Archetypes!$G$2:$G$127, MATCH(D60, Archetypes!$A$2:$A$127, 0))*INDEX(Unit_Grades!$B$2:$B$7, MATCH(F60, Unit_Grades!$A$2:$A$7, 0))*INDEX(Unit_Paths!$D$2:$D$4, MATCH(E60, Unit_Paths!$A$2:$A$4, 0)),0)</f>
        <v>144</v>
      </c>
      <c r="K60" s="6" t="n">
        <f aca="false">ROUND(INDEX(Archetypes!$H$2:$H$127, MATCH(D60, Archetypes!$A$2:$A$127, 0))*INDEX(Unit_Paths!$E$2:$E$4, MATCH(E60, Unit_Paths!$A$2:$A$4, 0)),1)</f>
        <v>18</v>
      </c>
      <c r="L60" s="6" t="n">
        <f aca="false">ROUND(INDEX(Archetypes!$I$2:$I$127, MATCH(D60, Archetypes!$A$2:$A$127, 0))*INDEX(Unit_Grades!$C$2:$C$7, MATCH(F60, Unit_Grades!$A$2:$A$7, 0)),1)</f>
        <v>5.6</v>
      </c>
      <c r="M60" s="6" t="n">
        <f aca="false">ROUND(INDEX(Archetypes!$J$2:$J$127, MATCH(D60, Archetypes!$A$2:$A$127, 0))*INDEX(Unit_Grades!$D$2:$D$7, MATCH(F60, Unit_Grades!$A$2:$A$7, 0)),1)</f>
        <v>5.7</v>
      </c>
      <c r="N60" s="6" t="n">
        <f aca="false">ROUND(M60/24,2)</f>
        <v>0.24</v>
      </c>
    </row>
    <row r="61" customFormat="false" ht="15" hidden="false" customHeight="true" outlineLevel="0" collapsed="false">
      <c r="A61" s="6" t="n">
        <v>1</v>
      </c>
      <c r="B61" s="6" t="s">
        <v>1625</v>
      </c>
      <c r="C61" s="6" t="s">
        <v>1258</v>
      </c>
      <c r="D61" s="6" t="str">
        <f aca="false">A61&amp;"|"&amp;C61</f>
        <v>1|Slinger</v>
      </c>
      <c r="E61" s="6" t="s">
        <v>1556</v>
      </c>
      <c r="F61" s="6" t="s">
        <v>1548</v>
      </c>
      <c r="G61" s="6" t="str">
        <f aca="false">INDEX(Archetypes!$D$2:$D$127, MATCH(D61, Archetypes!$A$2:$A$127, 0))</f>
        <v>Ranged</v>
      </c>
      <c r="H61" s="6" t="n">
        <f aca="false">ROUND(INDEX(Archetypes!$E$2:$E$127, MATCH(D61, Archetypes!$A$2:$A$127, 0))*INDEX(Unit_Grades!$B$2:$B$7, MATCH(F61, Unit_Grades!$A$2:$A$7, 0))*INDEX(Unit_Paths!$B$2:$B$4, MATCH(E61, Unit_Paths!$A$2:$A$4, 0)),1)</f>
        <v>58.8</v>
      </c>
      <c r="I61" s="6" t="n">
        <f aca="false">ROUND(INDEX(Archetypes!$F$2:$F$127, MATCH(D61, Archetypes!$A$2:$A$127, 0))*INDEX(Unit_Grades!$B$2:$B$7, MATCH(F61, Unit_Grades!$A$2:$A$7, 0))*INDEX(Unit_Paths!$C$2:$C$4, MATCH(E61, Unit_Paths!$A$2:$A$4, 0)),1)</f>
        <v>25.2</v>
      </c>
      <c r="J61" s="6" t="n">
        <f aca="false">ROUND(INDEX(Archetypes!$G$2:$G$127, MATCH(D61, Archetypes!$A$2:$A$127, 0))*INDEX(Unit_Grades!$B$2:$B$7, MATCH(F61, Unit_Grades!$A$2:$A$7, 0))*INDEX(Unit_Paths!$D$2:$D$4, MATCH(E61, Unit_Paths!$A$2:$A$4, 0)),0)</f>
        <v>189</v>
      </c>
      <c r="K61" s="6" t="n">
        <f aca="false">ROUND(INDEX(Archetypes!$H$2:$H$127, MATCH(D61, Archetypes!$A$2:$A$127, 0))*INDEX(Unit_Paths!$E$2:$E$4, MATCH(E61, Unit_Paths!$A$2:$A$4, 0)),1)</f>
        <v>18</v>
      </c>
      <c r="L61" s="6" t="n">
        <f aca="false">ROUND(INDEX(Archetypes!$I$2:$I$127, MATCH(D61, Archetypes!$A$2:$A$127, 0))*INDEX(Unit_Grades!$C$2:$C$7, MATCH(F61, Unit_Grades!$A$2:$A$7, 0)),1)</f>
        <v>7.4</v>
      </c>
      <c r="M61" s="6" t="n">
        <f aca="false">ROUND(INDEX(Archetypes!$J$2:$J$127, MATCH(D61, Archetypes!$A$2:$A$127, 0))*INDEX(Unit_Grades!$D$2:$D$7, MATCH(F61, Unit_Grades!$A$2:$A$7, 0)),1)</f>
        <v>9.7</v>
      </c>
      <c r="N61" s="6" t="n">
        <f aca="false">ROUND(M61/24,2)</f>
        <v>0.4</v>
      </c>
    </row>
    <row r="62" customFormat="false" ht="15" hidden="false" customHeight="true" outlineLevel="0" collapsed="false">
      <c r="A62" s="6" t="n">
        <v>1</v>
      </c>
      <c r="B62" s="6" t="s">
        <v>1626</v>
      </c>
      <c r="C62" s="6" t="s">
        <v>1258</v>
      </c>
      <c r="D62" s="6" t="str">
        <f aca="false">A62&amp;"|"&amp;C62</f>
        <v>1|Slinger</v>
      </c>
      <c r="E62" s="6" t="s">
        <v>1558</v>
      </c>
      <c r="F62" s="6" t="s">
        <v>1538</v>
      </c>
      <c r="G62" s="6" t="str">
        <f aca="false">INDEX(Archetypes!$D$2:$D$127, MATCH(D62, Archetypes!$A$2:$A$127, 0))</f>
        <v>Ranged</v>
      </c>
      <c r="H62" s="6" t="n">
        <f aca="false">ROUND(INDEX(Archetypes!$E$2:$E$127, MATCH(D62, Archetypes!$A$2:$A$127, 0))*INDEX(Unit_Grades!$B$2:$B$7, MATCH(F62, Unit_Grades!$A$2:$A$7, 0))*INDEX(Unit_Paths!$B$2:$B$4, MATCH(E62, Unit_Paths!$A$2:$A$4, 0)),1)</f>
        <v>16.8</v>
      </c>
      <c r="I62" s="6" t="n">
        <f aca="false">ROUND(INDEX(Archetypes!$F$2:$F$127, MATCH(D62, Archetypes!$A$2:$A$127, 0))*INDEX(Unit_Grades!$B$2:$B$7, MATCH(F62, Unit_Grades!$A$2:$A$7, 0))*INDEX(Unit_Paths!$C$2:$C$4, MATCH(E62, Unit_Paths!$A$2:$A$4, 0)),1)</f>
        <v>5.1</v>
      </c>
      <c r="J62" s="6" t="n">
        <f aca="false">ROUND(INDEX(Archetypes!$G$2:$G$127, MATCH(D62, Archetypes!$A$2:$A$127, 0))*INDEX(Unit_Grades!$B$2:$B$7, MATCH(F62, Unit_Grades!$A$2:$A$7, 0))*INDEX(Unit_Paths!$D$2:$D$4, MATCH(E62, Unit_Paths!$A$2:$A$4, 0)),0)</f>
        <v>43</v>
      </c>
      <c r="K62" s="6" t="n">
        <f aca="false">ROUND(INDEX(Archetypes!$H$2:$H$127, MATCH(D62, Archetypes!$A$2:$A$127, 0))*INDEX(Unit_Paths!$E$2:$E$4, MATCH(E62, Unit_Paths!$A$2:$A$4, 0)),1)</f>
        <v>18.9</v>
      </c>
      <c r="L62" s="6" t="n">
        <f aca="false">ROUND(INDEX(Archetypes!$I$2:$I$127, MATCH(D62, Archetypes!$A$2:$A$127, 0))*INDEX(Unit_Grades!$C$2:$C$7, MATCH(F62, Unit_Grades!$A$2:$A$7, 0)),1)</f>
        <v>2</v>
      </c>
      <c r="M62" s="6" t="n">
        <f aca="false">ROUND(INDEX(Archetypes!$J$2:$J$127, MATCH(D62, Archetypes!$A$2:$A$127, 0))*INDEX(Unit_Grades!$D$2:$D$7, MATCH(F62, Unit_Grades!$A$2:$A$7, 0)),1)</f>
        <v>0.8</v>
      </c>
      <c r="N62" s="6" t="n">
        <f aca="false">ROUND(M62/24,2)</f>
        <v>0.03</v>
      </c>
    </row>
    <row r="63" customFormat="false" ht="15" hidden="false" customHeight="true" outlineLevel="0" collapsed="false">
      <c r="A63" s="6" t="n">
        <v>1</v>
      </c>
      <c r="B63" s="6" t="s">
        <v>1627</v>
      </c>
      <c r="C63" s="6" t="s">
        <v>1258</v>
      </c>
      <c r="D63" s="6" t="str">
        <f aca="false">A63&amp;"|"&amp;C63</f>
        <v>1|Slinger</v>
      </c>
      <c r="E63" s="6" t="s">
        <v>1558</v>
      </c>
      <c r="F63" s="6" t="s">
        <v>1540</v>
      </c>
      <c r="G63" s="6" t="str">
        <f aca="false">INDEX(Archetypes!$D$2:$D$127, MATCH(D63, Archetypes!$A$2:$A$127, 0))</f>
        <v>Ranged</v>
      </c>
      <c r="H63" s="6" t="n">
        <f aca="false">ROUND(INDEX(Archetypes!$E$2:$E$127, MATCH(D63, Archetypes!$A$2:$A$127, 0))*INDEX(Unit_Grades!$B$2:$B$7, MATCH(F63, Unit_Grades!$A$2:$A$7, 0))*INDEX(Unit_Paths!$B$2:$B$4, MATCH(E63, Unit_Paths!$A$2:$A$4, 0)),1)</f>
        <v>22.7</v>
      </c>
      <c r="I63" s="6" t="n">
        <f aca="false">ROUND(INDEX(Archetypes!$F$2:$F$127, MATCH(D63, Archetypes!$A$2:$A$127, 0))*INDEX(Unit_Grades!$B$2:$B$7, MATCH(F63, Unit_Grades!$A$2:$A$7, 0))*INDEX(Unit_Paths!$C$2:$C$4, MATCH(E63, Unit_Paths!$A$2:$A$4, 0)),1)</f>
        <v>6.9</v>
      </c>
      <c r="J63" s="6" t="n">
        <f aca="false">ROUND(INDEX(Archetypes!$G$2:$G$127, MATCH(D63, Archetypes!$A$2:$A$127, 0))*INDEX(Unit_Grades!$B$2:$B$7, MATCH(F63, Unit_Grades!$A$2:$A$7, 0))*INDEX(Unit_Paths!$D$2:$D$4, MATCH(E63, Unit_Paths!$A$2:$A$4, 0)),0)</f>
        <v>58</v>
      </c>
      <c r="K63" s="6" t="n">
        <f aca="false">ROUND(INDEX(Archetypes!$H$2:$H$127, MATCH(D63, Archetypes!$A$2:$A$127, 0))*INDEX(Unit_Paths!$E$2:$E$4, MATCH(E63, Unit_Paths!$A$2:$A$4, 0)),1)</f>
        <v>18.9</v>
      </c>
      <c r="L63" s="6" t="n">
        <f aca="false">ROUND(INDEX(Archetypes!$I$2:$I$127, MATCH(D63, Archetypes!$A$2:$A$127, 0))*INDEX(Unit_Grades!$C$2:$C$7, MATCH(F63, Unit_Grades!$A$2:$A$7, 0)),1)</f>
        <v>2.5</v>
      </c>
      <c r="M63" s="6" t="n">
        <f aca="false">ROUND(INDEX(Archetypes!$J$2:$J$127, MATCH(D63, Archetypes!$A$2:$A$127, 0))*INDEX(Unit_Grades!$D$2:$D$7, MATCH(F63, Unit_Grades!$A$2:$A$7, 0)),1)</f>
        <v>1.2</v>
      </c>
      <c r="N63" s="6" t="n">
        <f aca="false">ROUND(M63/24,2)</f>
        <v>0.05</v>
      </c>
    </row>
    <row r="64" customFormat="false" ht="15" hidden="false" customHeight="true" outlineLevel="0" collapsed="false">
      <c r="A64" s="6" t="n">
        <v>1</v>
      </c>
      <c r="B64" s="6" t="s">
        <v>1628</v>
      </c>
      <c r="C64" s="6" t="s">
        <v>1258</v>
      </c>
      <c r="D64" s="6" t="str">
        <f aca="false">A64&amp;"|"&amp;C64</f>
        <v>1|Slinger</v>
      </c>
      <c r="E64" s="6" t="s">
        <v>1558</v>
      </c>
      <c r="F64" s="6" t="s">
        <v>1542</v>
      </c>
      <c r="G64" s="6" t="str">
        <f aca="false">INDEX(Archetypes!$D$2:$D$127, MATCH(D64, Archetypes!$A$2:$A$127, 0))</f>
        <v>Ranged</v>
      </c>
      <c r="H64" s="6" t="n">
        <f aca="false">ROUND(INDEX(Archetypes!$E$2:$E$127, MATCH(D64, Archetypes!$A$2:$A$127, 0))*INDEX(Unit_Grades!$B$2:$B$7, MATCH(F64, Unit_Grades!$A$2:$A$7, 0))*INDEX(Unit_Paths!$B$2:$B$4, MATCH(E64, Unit_Paths!$A$2:$A$4, 0)),1)</f>
        <v>30.2</v>
      </c>
      <c r="I64" s="6" t="n">
        <f aca="false">ROUND(INDEX(Archetypes!$F$2:$F$127, MATCH(D64, Archetypes!$A$2:$A$127, 0))*INDEX(Unit_Grades!$B$2:$B$7, MATCH(F64, Unit_Grades!$A$2:$A$7, 0))*INDEX(Unit_Paths!$C$2:$C$4, MATCH(E64, Unit_Paths!$A$2:$A$4, 0)),1)</f>
        <v>9.2</v>
      </c>
      <c r="J64" s="6" t="n">
        <f aca="false">ROUND(INDEX(Archetypes!$G$2:$G$127, MATCH(D64, Archetypes!$A$2:$A$127, 0))*INDEX(Unit_Grades!$B$2:$B$7, MATCH(F64, Unit_Grades!$A$2:$A$7, 0))*INDEX(Unit_Paths!$D$2:$D$4, MATCH(E64, Unit_Paths!$A$2:$A$4, 0)),0)</f>
        <v>77</v>
      </c>
      <c r="K64" s="6" t="n">
        <f aca="false">ROUND(INDEX(Archetypes!$H$2:$H$127, MATCH(D64, Archetypes!$A$2:$A$127, 0))*INDEX(Unit_Paths!$E$2:$E$4, MATCH(E64, Unit_Paths!$A$2:$A$4, 0)),1)</f>
        <v>18.9</v>
      </c>
      <c r="L64" s="6" t="n">
        <f aca="false">ROUND(INDEX(Archetypes!$I$2:$I$127, MATCH(D64, Archetypes!$A$2:$A$127, 0))*INDEX(Unit_Grades!$C$2:$C$7, MATCH(F64, Unit_Grades!$A$2:$A$7, 0)),1)</f>
        <v>3.2</v>
      </c>
      <c r="M64" s="6" t="n">
        <f aca="false">ROUND(INDEX(Archetypes!$J$2:$J$127, MATCH(D64, Archetypes!$A$2:$A$127, 0))*INDEX(Unit_Grades!$D$2:$D$7, MATCH(F64, Unit_Grades!$A$2:$A$7, 0)),1)</f>
        <v>2</v>
      </c>
      <c r="N64" s="6" t="n">
        <f aca="false">ROUND(M64/24,2)</f>
        <v>0.08</v>
      </c>
    </row>
    <row r="65" customFormat="false" ht="15" hidden="false" customHeight="true" outlineLevel="0" collapsed="false">
      <c r="A65" s="6" t="n">
        <v>1</v>
      </c>
      <c r="B65" s="6" t="s">
        <v>1629</v>
      </c>
      <c r="C65" s="6" t="s">
        <v>1258</v>
      </c>
      <c r="D65" s="6" t="str">
        <f aca="false">A65&amp;"|"&amp;C65</f>
        <v>1|Slinger</v>
      </c>
      <c r="E65" s="6" t="s">
        <v>1558</v>
      </c>
      <c r="F65" s="6" t="s">
        <v>1544</v>
      </c>
      <c r="G65" s="6" t="str">
        <f aca="false">INDEX(Archetypes!$D$2:$D$127, MATCH(D65, Archetypes!$A$2:$A$127, 0))</f>
        <v>Ranged</v>
      </c>
      <c r="H65" s="6" t="n">
        <f aca="false">ROUND(INDEX(Archetypes!$E$2:$E$127, MATCH(D65, Archetypes!$A$2:$A$127, 0))*INDEX(Unit_Grades!$B$2:$B$7, MATCH(F65, Unit_Grades!$A$2:$A$7, 0))*INDEX(Unit_Paths!$B$2:$B$4, MATCH(E65, Unit_Paths!$A$2:$A$4, 0)),1)</f>
        <v>40.3</v>
      </c>
      <c r="I65" s="6" t="n">
        <f aca="false">ROUND(INDEX(Archetypes!$F$2:$F$127, MATCH(D65, Archetypes!$A$2:$A$127, 0))*INDEX(Unit_Grades!$B$2:$B$7, MATCH(F65, Unit_Grades!$A$2:$A$7, 0))*INDEX(Unit_Paths!$C$2:$C$4, MATCH(E65, Unit_Paths!$A$2:$A$4, 0)),1)</f>
        <v>12.2</v>
      </c>
      <c r="J65" s="6" t="n">
        <f aca="false">ROUND(INDEX(Archetypes!$G$2:$G$127, MATCH(D65, Archetypes!$A$2:$A$127, 0))*INDEX(Unit_Grades!$B$2:$B$7, MATCH(F65, Unit_Grades!$A$2:$A$7, 0))*INDEX(Unit_Paths!$D$2:$D$4, MATCH(E65, Unit_Paths!$A$2:$A$4, 0)),0)</f>
        <v>103</v>
      </c>
      <c r="K65" s="6" t="n">
        <f aca="false">ROUND(INDEX(Archetypes!$H$2:$H$127, MATCH(D65, Archetypes!$A$2:$A$127, 0))*INDEX(Unit_Paths!$E$2:$E$4, MATCH(E65, Unit_Paths!$A$2:$A$4, 0)),1)</f>
        <v>18.9</v>
      </c>
      <c r="L65" s="6" t="n">
        <f aca="false">ROUND(INDEX(Archetypes!$I$2:$I$127, MATCH(D65, Archetypes!$A$2:$A$127, 0))*INDEX(Unit_Grades!$C$2:$C$7, MATCH(F65, Unit_Grades!$A$2:$A$7, 0)),1)</f>
        <v>4.2</v>
      </c>
      <c r="M65" s="6" t="n">
        <f aca="false">ROUND(INDEX(Archetypes!$J$2:$J$127, MATCH(D65, Archetypes!$A$2:$A$127, 0))*INDEX(Unit_Grades!$D$2:$D$7, MATCH(F65, Unit_Grades!$A$2:$A$7, 0)),1)</f>
        <v>3.2</v>
      </c>
      <c r="N65" s="6" t="n">
        <f aca="false">ROUND(M65/24,2)</f>
        <v>0.13</v>
      </c>
    </row>
    <row r="66" customFormat="false" ht="15" hidden="false" customHeight="true" outlineLevel="0" collapsed="false">
      <c r="A66" s="6" t="n">
        <v>1</v>
      </c>
      <c r="B66" s="6" t="s">
        <v>1630</v>
      </c>
      <c r="C66" s="6" t="s">
        <v>1258</v>
      </c>
      <c r="D66" s="6" t="str">
        <f aca="false">A66&amp;"|"&amp;C66</f>
        <v>1|Slinger</v>
      </c>
      <c r="E66" s="6" t="s">
        <v>1558</v>
      </c>
      <c r="F66" s="6" t="s">
        <v>1546</v>
      </c>
      <c r="G66" s="6" t="str">
        <f aca="false">INDEX(Archetypes!$D$2:$D$127, MATCH(D66, Archetypes!$A$2:$A$127, 0))</f>
        <v>Ranged</v>
      </c>
      <c r="H66" s="6" t="n">
        <f aca="false">ROUND(INDEX(Archetypes!$E$2:$E$127, MATCH(D66, Archetypes!$A$2:$A$127, 0))*INDEX(Unit_Grades!$B$2:$B$7, MATCH(F66, Unit_Grades!$A$2:$A$7, 0))*INDEX(Unit_Paths!$B$2:$B$4, MATCH(E66, Unit_Paths!$A$2:$A$4, 0)),1)</f>
        <v>53.8</v>
      </c>
      <c r="I66" s="6" t="n">
        <f aca="false">ROUND(INDEX(Archetypes!$F$2:$F$127, MATCH(D66, Archetypes!$A$2:$A$127, 0))*INDEX(Unit_Grades!$B$2:$B$7, MATCH(F66, Unit_Grades!$A$2:$A$7, 0))*INDEX(Unit_Paths!$C$2:$C$4, MATCH(E66, Unit_Paths!$A$2:$A$4, 0)),1)</f>
        <v>16.3</v>
      </c>
      <c r="J66" s="6" t="n">
        <f aca="false">ROUND(INDEX(Archetypes!$G$2:$G$127, MATCH(D66, Archetypes!$A$2:$A$127, 0))*INDEX(Unit_Grades!$B$2:$B$7, MATCH(F66, Unit_Grades!$A$2:$A$7, 0))*INDEX(Unit_Paths!$D$2:$D$4, MATCH(E66, Unit_Paths!$A$2:$A$4, 0)),0)</f>
        <v>137</v>
      </c>
      <c r="K66" s="6" t="n">
        <f aca="false">ROUND(INDEX(Archetypes!$H$2:$H$127, MATCH(D66, Archetypes!$A$2:$A$127, 0))*INDEX(Unit_Paths!$E$2:$E$4, MATCH(E66, Unit_Paths!$A$2:$A$4, 0)),1)</f>
        <v>18.9</v>
      </c>
      <c r="L66" s="6" t="n">
        <f aca="false">ROUND(INDEX(Archetypes!$I$2:$I$127, MATCH(D66, Archetypes!$A$2:$A$127, 0))*INDEX(Unit_Grades!$C$2:$C$7, MATCH(F66, Unit_Grades!$A$2:$A$7, 0)),1)</f>
        <v>5.6</v>
      </c>
      <c r="M66" s="6" t="n">
        <f aca="false">ROUND(INDEX(Archetypes!$J$2:$J$127, MATCH(D66, Archetypes!$A$2:$A$127, 0))*INDEX(Unit_Grades!$D$2:$D$7, MATCH(F66, Unit_Grades!$A$2:$A$7, 0)),1)</f>
        <v>5.7</v>
      </c>
      <c r="N66" s="6" t="n">
        <f aca="false">ROUND(M66/24,2)</f>
        <v>0.24</v>
      </c>
    </row>
    <row r="67" customFormat="false" ht="15" hidden="false" customHeight="true" outlineLevel="0" collapsed="false">
      <c r="A67" s="6" t="n">
        <v>1</v>
      </c>
      <c r="B67" s="6" t="s">
        <v>1631</v>
      </c>
      <c r="C67" s="6" t="s">
        <v>1258</v>
      </c>
      <c r="D67" s="6" t="str">
        <f aca="false">A67&amp;"|"&amp;C67</f>
        <v>1|Slinger</v>
      </c>
      <c r="E67" s="6" t="s">
        <v>1558</v>
      </c>
      <c r="F67" s="6" t="s">
        <v>1548</v>
      </c>
      <c r="G67" s="6" t="str">
        <f aca="false">INDEX(Archetypes!$D$2:$D$127, MATCH(D67, Archetypes!$A$2:$A$127, 0))</f>
        <v>Ranged</v>
      </c>
      <c r="H67" s="6" t="n">
        <f aca="false">ROUND(INDEX(Archetypes!$E$2:$E$127, MATCH(D67, Archetypes!$A$2:$A$127, 0))*INDEX(Unit_Grades!$B$2:$B$7, MATCH(F67, Unit_Grades!$A$2:$A$7, 0))*INDEX(Unit_Paths!$B$2:$B$4, MATCH(E67, Unit_Paths!$A$2:$A$4, 0)),1)</f>
        <v>70.6</v>
      </c>
      <c r="I67" s="6" t="n">
        <f aca="false">ROUND(INDEX(Archetypes!$F$2:$F$127, MATCH(D67, Archetypes!$A$2:$A$127, 0))*INDEX(Unit_Grades!$B$2:$B$7, MATCH(F67, Unit_Grades!$A$2:$A$7, 0))*INDEX(Unit_Paths!$C$2:$C$4, MATCH(E67, Unit_Paths!$A$2:$A$4, 0)),1)</f>
        <v>21.4</v>
      </c>
      <c r="J67" s="6" t="n">
        <f aca="false">ROUND(INDEX(Archetypes!$G$2:$G$127, MATCH(D67, Archetypes!$A$2:$A$127, 0))*INDEX(Unit_Grades!$B$2:$B$7, MATCH(F67, Unit_Grades!$A$2:$A$7, 0))*INDEX(Unit_Paths!$D$2:$D$4, MATCH(E67, Unit_Paths!$A$2:$A$4, 0)),0)</f>
        <v>180</v>
      </c>
      <c r="K67" s="6" t="n">
        <f aca="false">ROUND(INDEX(Archetypes!$H$2:$H$127, MATCH(D67, Archetypes!$A$2:$A$127, 0))*INDEX(Unit_Paths!$E$2:$E$4, MATCH(E67, Unit_Paths!$A$2:$A$4, 0)),1)</f>
        <v>18.9</v>
      </c>
      <c r="L67" s="6" t="n">
        <f aca="false">ROUND(INDEX(Archetypes!$I$2:$I$127, MATCH(D67, Archetypes!$A$2:$A$127, 0))*INDEX(Unit_Grades!$C$2:$C$7, MATCH(F67, Unit_Grades!$A$2:$A$7, 0)),1)</f>
        <v>7.4</v>
      </c>
      <c r="M67" s="6" t="n">
        <f aca="false">ROUND(INDEX(Archetypes!$J$2:$J$127, MATCH(D67, Archetypes!$A$2:$A$127, 0))*INDEX(Unit_Grades!$D$2:$D$7, MATCH(F67, Unit_Grades!$A$2:$A$7, 0)),1)</f>
        <v>9.7</v>
      </c>
      <c r="N67" s="6" t="n">
        <f aca="false">ROUND(M67/24,2)</f>
        <v>0.4</v>
      </c>
    </row>
    <row r="68" customFormat="false" ht="15" hidden="false" customHeight="true" outlineLevel="0" collapsed="false">
      <c r="A68" s="6" t="n">
        <v>1</v>
      </c>
      <c r="B68" s="6" t="s">
        <v>1632</v>
      </c>
      <c r="C68" s="6" t="s">
        <v>1258</v>
      </c>
      <c r="D68" s="6" t="str">
        <f aca="false">A68&amp;"|"&amp;C68</f>
        <v>1|Slinger</v>
      </c>
      <c r="E68" s="6" t="s">
        <v>1560</v>
      </c>
      <c r="F68" s="6" t="s">
        <v>1538</v>
      </c>
      <c r="G68" s="6" t="str">
        <f aca="false">INDEX(Archetypes!$D$2:$D$127, MATCH(D68, Archetypes!$A$2:$A$127, 0))</f>
        <v>Ranged</v>
      </c>
      <c r="H68" s="6" t="n">
        <f aca="false">ROUND(INDEX(Archetypes!$E$2:$E$127, MATCH(D68, Archetypes!$A$2:$A$127, 0))*INDEX(Unit_Grades!$B$2:$B$7, MATCH(F68, Unit_Grades!$A$2:$A$7, 0))*INDEX(Unit_Paths!$B$2:$B$4, MATCH(E68, Unit_Paths!$A$2:$A$4, 0)),1)</f>
        <v>11.9</v>
      </c>
      <c r="I68" s="6" t="n">
        <f aca="false">ROUND(INDEX(Archetypes!$F$2:$F$127, MATCH(D68, Archetypes!$A$2:$A$127, 0))*INDEX(Unit_Grades!$B$2:$B$7, MATCH(F68, Unit_Grades!$A$2:$A$7, 0))*INDEX(Unit_Paths!$C$2:$C$4, MATCH(E68, Unit_Paths!$A$2:$A$4, 0)),1)</f>
        <v>7.5</v>
      </c>
      <c r="J68" s="6" t="n">
        <f aca="false">ROUND(INDEX(Archetypes!$G$2:$G$127, MATCH(D68, Archetypes!$A$2:$A$127, 0))*INDEX(Unit_Grades!$B$2:$B$7, MATCH(F68, Unit_Grades!$A$2:$A$7, 0))*INDEX(Unit_Paths!$D$2:$D$4, MATCH(E68, Unit_Paths!$A$2:$A$4, 0)),0)</f>
        <v>52</v>
      </c>
      <c r="K68" s="6" t="n">
        <f aca="false">ROUND(INDEX(Archetypes!$H$2:$H$127, MATCH(D68, Archetypes!$A$2:$A$127, 0))*INDEX(Unit_Paths!$E$2:$E$4, MATCH(E68, Unit_Paths!$A$2:$A$4, 0)),1)</f>
        <v>16.6</v>
      </c>
      <c r="L68" s="6" t="n">
        <f aca="false">ROUND(INDEX(Archetypes!$I$2:$I$127, MATCH(D68, Archetypes!$A$2:$A$127, 0))*INDEX(Unit_Grades!$C$2:$C$7, MATCH(F68, Unit_Grades!$A$2:$A$7, 0)),1)</f>
        <v>2</v>
      </c>
      <c r="M68" s="6" t="n">
        <f aca="false">ROUND(INDEX(Archetypes!$J$2:$J$127, MATCH(D68, Archetypes!$A$2:$A$127, 0))*INDEX(Unit_Grades!$D$2:$D$7, MATCH(F68, Unit_Grades!$A$2:$A$7, 0)),1)</f>
        <v>0.8</v>
      </c>
      <c r="N68" s="6" t="n">
        <f aca="false">ROUND(M68/24,2)</f>
        <v>0.03</v>
      </c>
    </row>
    <row r="69" customFormat="false" ht="15" hidden="false" customHeight="true" outlineLevel="0" collapsed="false">
      <c r="A69" s="6" t="n">
        <v>1</v>
      </c>
      <c r="B69" s="6" t="s">
        <v>1633</v>
      </c>
      <c r="C69" s="6" t="s">
        <v>1258</v>
      </c>
      <c r="D69" s="6" t="str">
        <f aca="false">A69&amp;"|"&amp;C69</f>
        <v>1|Slinger</v>
      </c>
      <c r="E69" s="6" t="s">
        <v>1560</v>
      </c>
      <c r="F69" s="6" t="s">
        <v>1540</v>
      </c>
      <c r="G69" s="6" t="str">
        <f aca="false">INDEX(Archetypes!$D$2:$D$127, MATCH(D69, Archetypes!$A$2:$A$127, 0))</f>
        <v>Ranged</v>
      </c>
      <c r="H69" s="6" t="n">
        <f aca="false">ROUND(INDEX(Archetypes!$E$2:$E$127, MATCH(D69, Archetypes!$A$2:$A$127, 0))*INDEX(Unit_Grades!$B$2:$B$7, MATCH(F69, Unit_Grades!$A$2:$A$7, 0))*INDEX(Unit_Paths!$B$2:$B$4, MATCH(E69, Unit_Paths!$A$2:$A$4, 0)),1)</f>
        <v>16.1</v>
      </c>
      <c r="I69" s="6" t="n">
        <f aca="false">ROUND(INDEX(Archetypes!$F$2:$F$127, MATCH(D69, Archetypes!$A$2:$A$127, 0))*INDEX(Unit_Grades!$B$2:$B$7, MATCH(F69, Unit_Grades!$A$2:$A$7, 0))*INDEX(Unit_Paths!$C$2:$C$4, MATCH(E69, Unit_Paths!$A$2:$A$4, 0)),1)</f>
        <v>10.1</v>
      </c>
      <c r="J69" s="6" t="n">
        <f aca="false">ROUND(INDEX(Archetypes!$G$2:$G$127, MATCH(D69, Archetypes!$A$2:$A$127, 0))*INDEX(Unit_Grades!$B$2:$B$7, MATCH(F69, Unit_Grades!$A$2:$A$7, 0))*INDEX(Unit_Paths!$D$2:$D$4, MATCH(E69, Unit_Paths!$A$2:$A$4, 0)),0)</f>
        <v>70</v>
      </c>
      <c r="K69" s="6" t="n">
        <f aca="false">ROUND(INDEX(Archetypes!$H$2:$H$127, MATCH(D69, Archetypes!$A$2:$A$127, 0))*INDEX(Unit_Paths!$E$2:$E$4, MATCH(E69, Unit_Paths!$A$2:$A$4, 0)),1)</f>
        <v>16.6</v>
      </c>
      <c r="L69" s="6" t="n">
        <f aca="false">ROUND(INDEX(Archetypes!$I$2:$I$127, MATCH(D69, Archetypes!$A$2:$A$127, 0))*INDEX(Unit_Grades!$C$2:$C$7, MATCH(F69, Unit_Grades!$A$2:$A$7, 0)),1)</f>
        <v>2.5</v>
      </c>
      <c r="M69" s="6" t="n">
        <f aca="false">ROUND(INDEX(Archetypes!$J$2:$J$127, MATCH(D69, Archetypes!$A$2:$A$127, 0))*INDEX(Unit_Grades!$D$2:$D$7, MATCH(F69, Unit_Grades!$A$2:$A$7, 0)),1)</f>
        <v>1.2</v>
      </c>
      <c r="N69" s="6" t="n">
        <f aca="false">ROUND(M69/24,2)</f>
        <v>0.05</v>
      </c>
    </row>
    <row r="70" customFormat="false" ht="15" hidden="false" customHeight="true" outlineLevel="0" collapsed="false">
      <c r="A70" s="6" t="n">
        <v>1</v>
      </c>
      <c r="B70" s="6" t="s">
        <v>1634</v>
      </c>
      <c r="C70" s="6" t="s">
        <v>1258</v>
      </c>
      <c r="D70" s="6" t="str">
        <f aca="false">A70&amp;"|"&amp;C70</f>
        <v>1|Slinger</v>
      </c>
      <c r="E70" s="6" t="s">
        <v>1560</v>
      </c>
      <c r="F70" s="6" t="s">
        <v>1542</v>
      </c>
      <c r="G70" s="6" t="str">
        <f aca="false">INDEX(Archetypes!$D$2:$D$127, MATCH(D70, Archetypes!$A$2:$A$127, 0))</f>
        <v>Ranged</v>
      </c>
      <c r="H70" s="6" t="n">
        <f aca="false">ROUND(INDEX(Archetypes!$E$2:$E$127, MATCH(D70, Archetypes!$A$2:$A$127, 0))*INDEX(Unit_Grades!$B$2:$B$7, MATCH(F70, Unit_Grades!$A$2:$A$7, 0))*INDEX(Unit_Paths!$B$2:$B$4, MATCH(E70, Unit_Paths!$A$2:$A$4, 0)),1)</f>
        <v>21.4</v>
      </c>
      <c r="I70" s="6" t="n">
        <f aca="false">ROUND(INDEX(Archetypes!$F$2:$F$127, MATCH(D70, Archetypes!$A$2:$A$127, 0))*INDEX(Unit_Grades!$B$2:$B$7, MATCH(F70, Unit_Grades!$A$2:$A$7, 0))*INDEX(Unit_Paths!$C$2:$C$4, MATCH(E70, Unit_Paths!$A$2:$A$4, 0)),1)</f>
        <v>13.5</v>
      </c>
      <c r="J70" s="6" t="n">
        <f aca="false">ROUND(INDEX(Archetypes!$G$2:$G$127, MATCH(D70, Archetypes!$A$2:$A$127, 0))*INDEX(Unit_Grades!$B$2:$B$7, MATCH(F70, Unit_Grades!$A$2:$A$7, 0))*INDEX(Unit_Paths!$D$2:$D$4, MATCH(E70, Unit_Paths!$A$2:$A$4, 0)),0)</f>
        <v>93</v>
      </c>
      <c r="K70" s="6" t="n">
        <f aca="false">ROUND(INDEX(Archetypes!$H$2:$H$127, MATCH(D70, Archetypes!$A$2:$A$127, 0))*INDEX(Unit_Paths!$E$2:$E$4, MATCH(E70, Unit_Paths!$A$2:$A$4, 0)),1)</f>
        <v>16.6</v>
      </c>
      <c r="L70" s="6" t="n">
        <f aca="false">ROUND(INDEX(Archetypes!$I$2:$I$127, MATCH(D70, Archetypes!$A$2:$A$127, 0))*INDEX(Unit_Grades!$C$2:$C$7, MATCH(F70, Unit_Grades!$A$2:$A$7, 0)),1)</f>
        <v>3.2</v>
      </c>
      <c r="M70" s="6" t="n">
        <f aca="false">ROUND(INDEX(Archetypes!$J$2:$J$127, MATCH(D70, Archetypes!$A$2:$A$127, 0))*INDEX(Unit_Grades!$D$2:$D$7, MATCH(F70, Unit_Grades!$A$2:$A$7, 0)),1)</f>
        <v>2</v>
      </c>
      <c r="N70" s="6" t="n">
        <f aca="false">ROUND(M70/24,2)</f>
        <v>0.08</v>
      </c>
    </row>
    <row r="71" customFormat="false" ht="15" hidden="false" customHeight="true" outlineLevel="0" collapsed="false">
      <c r="A71" s="6" t="n">
        <v>1</v>
      </c>
      <c r="B71" s="6" t="s">
        <v>1635</v>
      </c>
      <c r="C71" s="6" t="s">
        <v>1258</v>
      </c>
      <c r="D71" s="6" t="str">
        <f aca="false">A71&amp;"|"&amp;C71</f>
        <v>1|Slinger</v>
      </c>
      <c r="E71" s="6" t="s">
        <v>1560</v>
      </c>
      <c r="F71" s="6" t="s">
        <v>1544</v>
      </c>
      <c r="G71" s="6" t="str">
        <f aca="false">INDEX(Archetypes!$D$2:$D$127, MATCH(D71, Archetypes!$A$2:$A$127, 0))</f>
        <v>Ranged</v>
      </c>
      <c r="H71" s="6" t="n">
        <f aca="false">ROUND(INDEX(Archetypes!$E$2:$E$127, MATCH(D71, Archetypes!$A$2:$A$127, 0))*INDEX(Unit_Grades!$B$2:$B$7, MATCH(F71, Unit_Grades!$A$2:$A$7, 0))*INDEX(Unit_Paths!$B$2:$B$4, MATCH(E71, Unit_Paths!$A$2:$A$4, 0)),1)</f>
        <v>28.6</v>
      </c>
      <c r="I71" s="6" t="n">
        <f aca="false">ROUND(INDEX(Archetypes!$F$2:$F$127, MATCH(D71, Archetypes!$A$2:$A$127, 0))*INDEX(Unit_Grades!$B$2:$B$7, MATCH(F71, Unit_Grades!$A$2:$A$7, 0))*INDEX(Unit_Paths!$C$2:$C$4, MATCH(E71, Unit_Paths!$A$2:$A$4, 0)),1)</f>
        <v>18</v>
      </c>
      <c r="J71" s="6" t="n">
        <f aca="false">ROUND(INDEX(Archetypes!$G$2:$G$127, MATCH(D71, Archetypes!$A$2:$A$127, 0))*INDEX(Unit_Grades!$B$2:$B$7, MATCH(F71, Unit_Grades!$A$2:$A$7, 0))*INDEX(Unit_Paths!$D$2:$D$4, MATCH(E71, Unit_Paths!$A$2:$A$4, 0)),0)</f>
        <v>124</v>
      </c>
      <c r="K71" s="6" t="n">
        <f aca="false">ROUND(INDEX(Archetypes!$H$2:$H$127, MATCH(D71, Archetypes!$A$2:$A$127, 0))*INDEX(Unit_Paths!$E$2:$E$4, MATCH(E71, Unit_Paths!$A$2:$A$4, 0)),1)</f>
        <v>16.6</v>
      </c>
      <c r="L71" s="6" t="n">
        <f aca="false">ROUND(INDEX(Archetypes!$I$2:$I$127, MATCH(D71, Archetypes!$A$2:$A$127, 0))*INDEX(Unit_Grades!$C$2:$C$7, MATCH(F71, Unit_Grades!$A$2:$A$7, 0)),1)</f>
        <v>4.2</v>
      </c>
      <c r="M71" s="6" t="n">
        <f aca="false">ROUND(INDEX(Archetypes!$J$2:$J$127, MATCH(D71, Archetypes!$A$2:$A$127, 0))*INDEX(Unit_Grades!$D$2:$D$7, MATCH(F71, Unit_Grades!$A$2:$A$7, 0)),1)</f>
        <v>3.2</v>
      </c>
      <c r="N71" s="6" t="n">
        <f aca="false">ROUND(M71/24,2)</f>
        <v>0.13</v>
      </c>
    </row>
    <row r="72" customFormat="false" ht="15" hidden="false" customHeight="true" outlineLevel="0" collapsed="false">
      <c r="A72" s="6" t="n">
        <v>1</v>
      </c>
      <c r="B72" s="6" t="s">
        <v>1636</v>
      </c>
      <c r="C72" s="6" t="s">
        <v>1258</v>
      </c>
      <c r="D72" s="6" t="str">
        <f aca="false">A72&amp;"|"&amp;C72</f>
        <v>1|Slinger</v>
      </c>
      <c r="E72" s="6" t="s">
        <v>1560</v>
      </c>
      <c r="F72" s="6" t="s">
        <v>1546</v>
      </c>
      <c r="G72" s="6" t="str">
        <f aca="false">INDEX(Archetypes!$D$2:$D$127, MATCH(D72, Archetypes!$A$2:$A$127, 0))</f>
        <v>Ranged</v>
      </c>
      <c r="H72" s="6" t="n">
        <f aca="false">ROUND(INDEX(Archetypes!$E$2:$E$127, MATCH(D72, Archetypes!$A$2:$A$127, 0))*INDEX(Unit_Grades!$B$2:$B$7, MATCH(F72, Unit_Grades!$A$2:$A$7, 0))*INDEX(Unit_Paths!$B$2:$B$4, MATCH(E72, Unit_Paths!$A$2:$A$4, 0)),1)</f>
        <v>38.1</v>
      </c>
      <c r="I72" s="6" t="n">
        <f aca="false">ROUND(INDEX(Archetypes!$F$2:$F$127, MATCH(D72, Archetypes!$A$2:$A$127, 0))*INDEX(Unit_Grades!$B$2:$B$7, MATCH(F72, Unit_Grades!$A$2:$A$7, 0))*INDEX(Unit_Paths!$C$2:$C$4, MATCH(E72, Unit_Paths!$A$2:$A$4, 0)),1)</f>
        <v>24</v>
      </c>
      <c r="J72" s="6" t="n">
        <f aca="false">ROUND(INDEX(Archetypes!$G$2:$G$127, MATCH(D72, Archetypes!$A$2:$A$127, 0))*INDEX(Unit_Grades!$B$2:$B$7, MATCH(F72, Unit_Grades!$A$2:$A$7, 0))*INDEX(Unit_Paths!$D$2:$D$4, MATCH(E72, Unit_Paths!$A$2:$A$4, 0)),0)</f>
        <v>166</v>
      </c>
      <c r="K72" s="6" t="n">
        <f aca="false">ROUND(INDEX(Archetypes!$H$2:$H$127, MATCH(D72, Archetypes!$A$2:$A$127, 0))*INDEX(Unit_Paths!$E$2:$E$4, MATCH(E72, Unit_Paths!$A$2:$A$4, 0)),1)</f>
        <v>16.6</v>
      </c>
      <c r="L72" s="6" t="n">
        <f aca="false">ROUND(INDEX(Archetypes!$I$2:$I$127, MATCH(D72, Archetypes!$A$2:$A$127, 0))*INDEX(Unit_Grades!$C$2:$C$7, MATCH(F72, Unit_Grades!$A$2:$A$7, 0)),1)</f>
        <v>5.6</v>
      </c>
      <c r="M72" s="6" t="n">
        <f aca="false">ROUND(INDEX(Archetypes!$J$2:$J$127, MATCH(D72, Archetypes!$A$2:$A$127, 0))*INDEX(Unit_Grades!$D$2:$D$7, MATCH(F72, Unit_Grades!$A$2:$A$7, 0)),1)</f>
        <v>5.7</v>
      </c>
      <c r="N72" s="6" t="n">
        <f aca="false">ROUND(M72/24,2)</f>
        <v>0.24</v>
      </c>
    </row>
    <row r="73" customFormat="false" ht="15" hidden="false" customHeight="true" outlineLevel="0" collapsed="false">
      <c r="A73" s="6" t="n">
        <v>1</v>
      </c>
      <c r="B73" s="6" t="s">
        <v>1637</v>
      </c>
      <c r="C73" s="6" t="s">
        <v>1258</v>
      </c>
      <c r="D73" s="6" t="str">
        <f aca="false">A73&amp;"|"&amp;C73</f>
        <v>1|Slinger</v>
      </c>
      <c r="E73" s="6" t="s">
        <v>1560</v>
      </c>
      <c r="F73" s="6" t="s">
        <v>1548</v>
      </c>
      <c r="G73" s="6" t="str">
        <f aca="false">INDEX(Archetypes!$D$2:$D$127, MATCH(D73, Archetypes!$A$2:$A$127, 0))</f>
        <v>Ranged</v>
      </c>
      <c r="H73" s="6" t="n">
        <f aca="false">ROUND(INDEX(Archetypes!$E$2:$E$127, MATCH(D73, Archetypes!$A$2:$A$127, 0))*INDEX(Unit_Grades!$B$2:$B$7, MATCH(F73, Unit_Grades!$A$2:$A$7, 0))*INDEX(Unit_Paths!$B$2:$B$4, MATCH(E73, Unit_Paths!$A$2:$A$4, 0)),1)</f>
        <v>50</v>
      </c>
      <c r="I73" s="6" t="n">
        <f aca="false">ROUND(INDEX(Archetypes!$F$2:$F$127, MATCH(D73, Archetypes!$A$2:$A$127, 0))*INDEX(Unit_Grades!$B$2:$B$7, MATCH(F73, Unit_Grades!$A$2:$A$7, 0))*INDEX(Unit_Paths!$C$2:$C$4, MATCH(E73, Unit_Paths!$A$2:$A$4, 0)),1)</f>
        <v>31.5</v>
      </c>
      <c r="J73" s="6" t="n">
        <f aca="false">ROUND(INDEX(Archetypes!$G$2:$G$127, MATCH(D73, Archetypes!$A$2:$A$127, 0))*INDEX(Unit_Grades!$B$2:$B$7, MATCH(F73, Unit_Grades!$A$2:$A$7, 0))*INDEX(Unit_Paths!$D$2:$D$4, MATCH(E73, Unit_Paths!$A$2:$A$4, 0)),0)</f>
        <v>217</v>
      </c>
      <c r="K73" s="6" t="n">
        <f aca="false">ROUND(INDEX(Archetypes!$H$2:$H$127, MATCH(D73, Archetypes!$A$2:$A$127, 0))*INDEX(Unit_Paths!$E$2:$E$4, MATCH(E73, Unit_Paths!$A$2:$A$4, 0)),1)</f>
        <v>16.6</v>
      </c>
      <c r="L73" s="6" t="n">
        <f aca="false">ROUND(INDEX(Archetypes!$I$2:$I$127, MATCH(D73, Archetypes!$A$2:$A$127, 0))*INDEX(Unit_Grades!$C$2:$C$7, MATCH(F73, Unit_Grades!$A$2:$A$7, 0)),1)</f>
        <v>7.4</v>
      </c>
      <c r="M73" s="6" t="n">
        <f aca="false">ROUND(INDEX(Archetypes!$J$2:$J$127, MATCH(D73, Archetypes!$A$2:$A$127, 0))*INDEX(Unit_Grades!$D$2:$D$7, MATCH(F73, Unit_Grades!$A$2:$A$7, 0)),1)</f>
        <v>9.7</v>
      </c>
      <c r="N73" s="6" t="n">
        <f aca="false">ROUND(M73/24,2)</f>
        <v>0.4</v>
      </c>
    </row>
    <row r="74" customFormat="false" ht="15" hidden="false" customHeight="true" outlineLevel="0" collapsed="false">
      <c r="A74" s="6" t="n">
        <v>1</v>
      </c>
      <c r="B74" s="6" t="s">
        <v>1261</v>
      </c>
      <c r="C74" s="6" t="s">
        <v>1261</v>
      </c>
      <c r="D74" s="6" t="str">
        <f aca="false">A74&amp;"|"&amp;C74</f>
        <v>1|Hunter-Archer</v>
      </c>
      <c r="E74" s="6" t="s">
        <v>1556</v>
      </c>
      <c r="F74" s="6" t="s">
        <v>1538</v>
      </c>
      <c r="G74" s="6" t="str">
        <f aca="false">INDEX(Archetypes!$D$2:$D$127, MATCH(D74, Archetypes!$A$2:$A$127, 0))</f>
        <v>Ranged</v>
      </c>
      <c r="H74" s="6" t="n">
        <f aca="false">ROUND(INDEX(Archetypes!$E$2:$E$127, MATCH(D74, Archetypes!$A$2:$A$127, 0))*INDEX(Unit_Grades!$B$2:$B$7, MATCH(F74, Unit_Grades!$A$2:$A$7, 0))*INDEX(Unit_Paths!$B$2:$B$4, MATCH(E74, Unit_Paths!$A$2:$A$4, 0)),1)</f>
        <v>18</v>
      </c>
      <c r="I74" s="6" t="n">
        <f aca="false">ROUND(INDEX(Archetypes!$F$2:$F$127, MATCH(D74, Archetypes!$A$2:$A$127, 0))*INDEX(Unit_Grades!$B$2:$B$7, MATCH(F74, Unit_Grades!$A$2:$A$7, 0))*INDEX(Unit_Paths!$C$2:$C$4, MATCH(E74, Unit_Paths!$A$2:$A$4, 0)),1)</f>
        <v>8</v>
      </c>
      <c r="J74" s="6" t="n">
        <f aca="false">ROUND(INDEX(Archetypes!$G$2:$G$127, MATCH(D74, Archetypes!$A$2:$A$127, 0))*INDEX(Unit_Grades!$B$2:$B$7, MATCH(F74, Unit_Grades!$A$2:$A$7, 0))*INDEX(Unit_Paths!$D$2:$D$4, MATCH(E74, Unit_Paths!$A$2:$A$4, 0)),0)</f>
        <v>50</v>
      </c>
      <c r="K74" s="6" t="n">
        <f aca="false">ROUND(INDEX(Archetypes!$H$2:$H$127, MATCH(D74, Archetypes!$A$2:$A$127, 0))*INDEX(Unit_Paths!$E$2:$E$4, MATCH(E74, Unit_Paths!$A$2:$A$4, 0)),1)</f>
        <v>19</v>
      </c>
      <c r="L74" s="6" t="n">
        <f aca="false">ROUND(INDEX(Archetypes!$I$2:$I$127, MATCH(D74, Archetypes!$A$2:$A$127, 0))*INDEX(Unit_Grades!$C$2:$C$7, MATCH(F74, Unit_Grades!$A$2:$A$7, 0)),1)</f>
        <v>3</v>
      </c>
      <c r="M74" s="6" t="n">
        <f aca="false">ROUND(INDEX(Archetypes!$J$2:$J$127, MATCH(D74, Archetypes!$A$2:$A$127, 0))*INDEX(Unit_Grades!$D$2:$D$7, MATCH(F74, Unit_Grades!$A$2:$A$7, 0)),1)</f>
        <v>1.2</v>
      </c>
      <c r="N74" s="6" t="n">
        <f aca="false">ROUND(M74/24,2)</f>
        <v>0.05</v>
      </c>
    </row>
    <row r="75" customFormat="false" ht="15" hidden="false" customHeight="true" outlineLevel="0" collapsed="false">
      <c r="A75" s="6" t="n">
        <v>1</v>
      </c>
      <c r="B75" s="6" t="s">
        <v>1638</v>
      </c>
      <c r="C75" s="6" t="s">
        <v>1261</v>
      </c>
      <c r="D75" s="6" t="str">
        <f aca="false">A75&amp;"|"&amp;C75</f>
        <v>1|Hunter-Archer</v>
      </c>
      <c r="E75" s="6" t="s">
        <v>1556</v>
      </c>
      <c r="F75" s="6" t="s">
        <v>1540</v>
      </c>
      <c r="G75" s="6" t="str">
        <f aca="false">INDEX(Archetypes!$D$2:$D$127, MATCH(D75, Archetypes!$A$2:$A$127, 0))</f>
        <v>Ranged</v>
      </c>
      <c r="H75" s="6" t="n">
        <f aca="false">ROUND(INDEX(Archetypes!$E$2:$E$127, MATCH(D75, Archetypes!$A$2:$A$127, 0))*INDEX(Unit_Grades!$B$2:$B$7, MATCH(F75, Unit_Grades!$A$2:$A$7, 0))*INDEX(Unit_Paths!$B$2:$B$4, MATCH(E75, Unit_Paths!$A$2:$A$4, 0)),1)</f>
        <v>24.3</v>
      </c>
      <c r="I75" s="6" t="n">
        <f aca="false">ROUND(INDEX(Archetypes!$F$2:$F$127, MATCH(D75, Archetypes!$A$2:$A$127, 0))*INDEX(Unit_Grades!$B$2:$B$7, MATCH(F75, Unit_Grades!$A$2:$A$7, 0))*INDEX(Unit_Paths!$C$2:$C$4, MATCH(E75, Unit_Paths!$A$2:$A$4, 0)),1)</f>
        <v>10.8</v>
      </c>
      <c r="J75" s="6" t="n">
        <f aca="false">ROUND(INDEX(Archetypes!$G$2:$G$127, MATCH(D75, Archetypes!$A$2:$A$127, 0))*INDEX(Unit_Grades!$B$2:$B$7, MATCH(F75, Unit_Grades!$A$2:$A$7, 0))*INDEX(Unit_Paths!$D$2:$D$4, MATCH(E75, Unit_Paths!$A$2:$A$4, 0)),0)</f>
        <v>68</v>
      </c>
      <c r="K75" s="6" t="n">
        <f aca="false">ROUND(INDEX(Archetypes!$H$2:$H$127, MATCH(D75, Archetypes!$A$2:$A$127, 0))*INDEX(Unit_Paths!$E$2:$E$4, MATCH(E75, Unit_Paths!$A$2:$A$4, 0)),1)</f>
        <v>19</v>
      </c>
      <c r="L75" s="6" t="n">
        <f aca="false">ROUND(INDEX(Archetypes!$I$2:$I$127, MATCH(D75, Archetypes!$A$2:$A$127, 0))*INDEX(Unit_Grades!$C$2:$C$7, MATCH(F75, Unit_Grades!$A$2:$A$7, 0)),1)</f>
        <v>3.8</v>
      </c>
      <c r="M75" s="6" t="n">
        <f aca="false">ROUND(INDEX(Archetypes!$J$2:$J$127, MATCH(D75, Archetypes!$A$2:$A$127, 0))*INDEX(Unit_Grades!$D$2:$D$7, MATCH(F75, Unit_Grades!$A$2:$A$7, 0)),1)</f>
        <v>1.8</v>
      </c>
      <c r="N75" s="6" t="n">
        <f aca="false">ROUND(M75/24,2)</f>
        <v>0.08</v>
      </c>
    </row>
    <row r="76" customFormat="false" ht="15" hidden="false" customHeight="true" outlineLevel="0" collapsed="false">
      <c r="A76" s="6" t="n">
        <v>1</v>
      </c>
      <c r="B76" s="6" t="s">
        <v>1639</v>
      </c>
      <c r="C76" s="6" t="s">
        <v>1261</v>
      </c>
      <c r="D76" s="6" t="str">
        <f aca="false">A76&amp;"|"&amp;C76</f>
        <v>1|Hunter-Archer</v>
      </c>
      <c r="E76" s="6" t="s">
        <v>1556</v>
      </c>
      <c r="F76" s="6" t="s">
        <v>1542</v>
      </c>
      <c r="G76" s="6" t="str">
        <f aca="false">INDEX(Archetypes!$D$2:$D$127, MATCH(D76, Archetypes!$A$2:$A$127, 0))</f>
        <v>Ranged</v>
      </c>
      <c r="H76" s="6" t="n">
        <f aca="false">ROUND(INDEX(Archetypes!$E$2:$E$127, MATCH(D76, Archetypes!$A$2:$A$127, 0))*INDEX(Unit_Grades!$B$2:$B$7, MATCH(F76, Unit_Grades!$A$2:$A$7, 0))*INDEX(Unit_Paths!$B$2:$B$4, MATCH(E76, Unit_Paths!$A$2:$A$4, 0)),1)</f>
        <v>32.4</v>
      </c>
      <c r="I76" s="6" t="n">
        <f aca="false">ROUND(INDEX(Archetypes!$F$2:$F$127, MATCH(D76, Archetypes!$A$2:$A$127, 0))*INDEX(Unit_Grades!$B$2:$B$7, MATCH(F76, Unit_Grades!$A$2:$A$7, 0))*INDEX(Unit_Paths!$C$2:$C$4, MATCH(E76, Unit_Paths!$A$2:$A$4, 0)),1)</f>
        <v>14.4</v>
      </c>
      <c r="J76" s="6" t="n">
        <f aca="false">ROUND(INDEX(Archetypes!$G$2:$G$127, MATCH(D76, Archetypes!$A$2:$A$127, 0))*INDEX(Unit_Grades!$B$2:$B$7, MATCH(F76, Unit_Grades!$A$2:$A$7, 0))*INDEX(Unit_Paths!$D$2:$D$4, MATCH(E76, Unit_Paths!$A$2:$A$4, 0)),0)</f>
        <v>90</v>
      </c>
      <c r="K76" s="6" t="n">
        <f aca="false">ROUND(INDEX(Archetypes!$H$2:$H$127, MATCH(D76, Archetypes!$A$2:$A$127, 0))*INDEX(Unit_Paths!$E$2:$E$4, MATCH(E76, Unit_Paths!$A$2:$A$4, 0)),1)</f>
        <v>19</v>
      </c>
      <c r="L76" s="6" t="n">
        <f aca="false">ROUND(INDEX(Archetypes!$I$2:$I$127, MATCH(D76, Archetypes!$A$2:$A$127, 0))*INDEX(Unit_Grades!$C$2:$C$7, MATCH(F76, Unit_Grades!$A$2:$A$7, 0)),1)</f>
        <v>4.8</v>
      </c>
      <c r="M76" s="6" t="n">
        <f aca="false">ROUND(INDEX(Archetypes!$J$2:$J$127, MATCH(D76, Archetypes!$A$2:$A$127, 0))*INDEX(Unit_Grades!$D$2:$D$7, MATCH(F76, Unit_Grades!$A$2:$A$7, 0)),1)</f>
        <v>3.1</v>
      </c>
      <c r="N76" s="6" t="n">
        <f aca="false">ROUND(M76/24,2)</f>
        <v>0.13</v>
      </c>
    </row>
    <row r="77" customFormat="false" ht="15" hidden="false" customHeight="true" outlineLevel="0" collapsed="false">
      <c r="A77" s="6" t="n">
        <v>1</v>
      </c>
      <c r="B77" s="6" t="s">
        <v>1640</v>
      </c>
      <c r="C77" s="6" t="s">
        <v>1261</v>
      </c>
      <c r="D77" s="6" t="str">
        <f aca="false">A77&amp;"|"&amp;C77</f>
        <v>1|Hunter-Archer</v>
      </c>
      <c r="E77" s="6" t="s">
        <v>1556</v>
      </c>
      <c r="F77" s="6" t="s">
        <v>1544</v>
      </c>
      <c r="G77" s="6" t="str">
        <f aca="false">INDEX(Archetypes!$D$2:$D$127, MATCH(D77, Archetypes!$A$2:$A$127, 0))</f>
        <v>Ranged</v>
      </c>
      <c r="H77" s="6" t="n">
        <f aca="false">ROUND(INDEX(Archetypes!$E$2:$E$127, MATCH(D77, Archetypes!$A$2:$A$127, 0))*INDEX(Unit_Grades!$B$2:$B$7, MATCH(F77, Unit_Grades!$A$2:$A$7, 0))*INDEX(Unit_Paths!$B$2:$B$4, MATCH(E77, Unit_Paths!$A$2:$A$4, 0)),1)</f>
        <v>43.2</v>
      </c>
      <c r="I77" s="6" t="n">
        <f aca="false">ROUND(INDEX(Archetypes!$F$2:$F$127, MATCH(D77, Archetypes!$A$2:$A$127, 0))*INDEX(Unit_Grades!$B$2:$B$7, MATCH(F77, Unit_Grades!$A$2:$A$7, 0))*INDEX(Unit_Paths!$C$2:$C$4, MATCH(E77, Unit_Paths!$A$2:$A$4, 0)),1)</f>
        <v>19.2</v>
      </c>
      <c r="J77" s="6" t="n">
        <f aca="false">ROUND(INDEX(Archetypes!$G$2:$G$127, MATCH(D77, Archetypes!$A$2:$A$127, 0))*INDEX(Unit_Grades!$B$2:$B$7, MATCH(F77, Unit_Grades!$A$2:$A$7, 0))*INDEX(Unit_Paths!$D$2:$D$4, MATCH(E77, Unit_Paths!$A$2:$A$4, 0)),0)</f>
        <v>120</v>
      </c>
      <c r="K77" s="6" t="n">
        <f aca="false">ROUND(INDEX(Archetypes!$H$2:$H$127, MATCH(D77, Archetypes!$A$2:$A$127, 0))*INDEX(Unit_Paths!$E$2:$E$4, MATCH(E77, Unit_Paths!$A$2:$A$4, 0)),1)</f>
        <v>19</v>
      </c>
      <c r="L77" s="6" t="n">
        <f aca="false">ROUND(INDEX(Archetypes!$I$2:$I$127, MATCH(D77, Archetypes!$A$2:$A$127, 0))*INDEX(Unit_Grades!$C$2:$C$7, MATCH(F77, Unit_Grades!$A$2:$A$7, 0)),1)</f>
        <v>6.3</v>
      </c>
      <c r="M77" s="6" t="n">
        <f aca="false">ROUND(INDEX(Archetypes!$J$2:$J$127, MATCH(D77, Archetypes!$A$2:$A$127, 0))*INDEX(Unit_Grades!$D$2:$D$7, MATCH(F77, Unit_Grades!$A$2:$A$7, 0)),1)</f>
        <v>4.9</v>
      </c>
      <c r="N77" s="6" t="n">
        <f aca="false">ROUND(M77/24,2)</f>
        <v>0.2</v>
      </c>
    </row>
    <row r="78" customFormat="false" ht="15" hidden="false" customHeight="true" outlineLevel="0" collapsed="false">
      <c r="A78" s="6" t="n">
        <v>1</v>
      </c>
      <c r="B78" s="6" t="s">
        <v>1641</v>
      </c>
      <c r="C78" s="6" t="s">
        <v>1261</v>
      </c>
      <c r="D78" s="6" t="str">
        <f aca="false">A78&amp;"|"&amp;C78</f>
        <v>1|Hunter-Archer</v>
      </c>
      <c r="E78" s="6" t="s">
        <v>1556</v>
      </c>
      <c r="F78" s="6" t="s">
        <v>1546</v>
      </c>
      <c r="G78" s="6" t="str">
        <f aca="false">INDEX(Archetypes!$D$2:$D$127, MATCH(D78, Archetypes!$A$2:$A$127, 0))</f>
        <v>Ranged</v>
      </c>
      <c r="H78" s="6" t="n">
        <f aca="false">ROUND(INDEX(Archetypes!$E$2:$E$127, MATCH(D78, Archetypes!$A$2:$A$127, 0))*INDEX(Unit_Grades!$B$2:$B$7, MATCH(F78, Unit_Grades!$A$2:$A$7, 0))*INDEX(Unit_Paths!$B$2:$B$4, MATCH(E78, Unit_Paths!$A$2:$A$4, 0)),1)</f>
        <v>57.6</v>
      </c>
      <c r="I78" s="6" t="n">
        <f aca="false">ROUND(INDEX(Archetypes!$F$2:$F$127, MATCH(D78, Archetypes!$A$2:$A$127, 0))*INDEX(Unit_Grades!$B$2:$B$7, MATCH(F78, Unit_Grades!$A$2:$A$7, 0))*INDEX(Unit_Paths!$C$2:$C$4, MATCH(E78, Unit_Paths!$A$2:$A$4, 0)),1)</f>
        <v>25.6</v>
      </c>
      <c r="J78" s="6" t="n">
        <f aca="false">ROUND(INDEX(Archetypes!$G$2:$G$127, MATCH(D78, Archetypes!$A$2:$A$127, 0))*INDEX(Unit_Grades!$B$2:$B$7, MATCH(F78, Unit_Grades!$A$2:$A$7, 0))*INDEX(Unit_Paths!$D$2:$D$4, MATCH(E78, Unit_Paths!$A$2:$A$4, 0)),0)</f>
        <v>160</v>
      </c>
      <c r="K78" s="6" t="n">
        <f aca="false">ROUND(INDEX(Archetypes!$H$2:$H$127, MATCH(D78, Archetypes!$A$2:$A$127, 0))*INDEX(Unit_Paths!$E$2:$E$4, MATCH(E78, Unit_Paths!$A$2:$A$4, 0)),1)</f>
        <v>19</v>
      </c>
      <c r="L78" s="6" t="n">
        <f aca="false">ROUND(INDEX(Archetypes!$I$2:$I$127, MATCH(D78, Archetypes!$A$2:$A$127, 0))*INDEX(Unit_Grades!$C$2:$C$7, MATCH(F78, Unit_Grades!$A$2:$A$7, 0)),1)</f>
        <v>8.4</v>
      </c>
      <c r="M78" s="6" t="n">
        <f aca="false">ROUND(INDEX(Archetypes!$J$2:$J$127, MATCH(D78, Archetypes!$A$2:$A$127, 0))*INDEX(Unit_Grades!$D$2:$D$7, MATCH(F78, Unit_Grades!$A$2:$A$7, 0)),1)</f>
        <v>8.5</v>
      </c>
      <c r="N78" s="6" t="n">
        <f aca="false">ROUND(M78/24,2)</f>
        <v>0.35</v>
      </c>
    </row>
    <row r="79" customFormat="false" ht="15" hidden="false" customHeight="true" outlineLevel="0" collapsed="false">
      <c r="A79" s="6" t="n">
        <v>1</v>
      </c>
      <c r="B79" s="6" t="s">
        <v>1642</v>
      </c>
      <c r="C79" s="6" t="s">
        <v>1261</v>
      </c>
      <c r="D79" s="6" t="str">
        <f aca="false">A79&amp;"|"&amp;C79</f>
        <v>1|Hunter-Archer</v>
      </c>
      <c r="E79" s="6" t="s">
        <v>1556</v>
      </c>
      <c r="F79" s="6" t="s">
        <v>1548</v>
      </c>
      <c r="G79" s="6" t="str">
        <f aca="false">INDEX(Archetypes!$D$2:$D$127, MATCH(D79, Archetypes!$A$2:$A$127, 0))</f>
        <v>Ranged</v>
      </c>
      <c r="H79" s="6" t="n">
        <f aca="false">ROUND(INDEX(Archetypes!$E$2:$E$127, MATCH(D79, Archetypes!$A$2:$A$127, 0))*INDEX(Unit_Grades!$B$2:$B$7, MATCH(F79, Unit_Grades!$A$2:$A$7, 0))*INDEX(Unit_Paths!$B$2:$B$4, MATCH(E79, Unit_Paths!$A$2:$A$4, 0)),1)</f>
        <v>75.6</v>
      </c>
      <c r="I79" s="6" t="n">
        <f aca="false">ROUND(INDEX(Archetypes!$F$2:$F$127, MATCH(D79, Archetypes!$A$2:$A$127, 0))*INDEX(Unit_Grades!$B$2:$B$7, MATCH(F79, Unit_Grades!$A$2:$A$7, 0))*INDEX(Unit_Paths!$C$2:$C$4, MATCH(E79, Unit_Paths!$A$2:$A$4, 0)),1)</f>
        <v>33.6</v>
      </c>
      <c r="J79" s="6" t="n">
        <f aca="false">ROUND(INDEX(Archetypes!$G$2:$G$127, MATCH(D79, Archetypes!$A$2:$A$127, 0))*INDEX(Unit_Grades!$B$2:$B$7, MATCH(F79, Unit_Grades!$A$2:$A$7, 0))*INDEX(Unit_Paths!$D$2:$D$4, MATCH(E79, Unit_Paths!$A$2:$A$4, 0)),0)</f>
        <v>210</v>
      </c>
      <c r="K79" s="6" t="n">
        <f aca="false">ROUND(INDEX(Archetypes!$H$2:$H$127, MATCH(D79, Archetypes!$A$2:$A$127, 0))*INDEX(Unit_Paths!$E$2:$E$4, MATCH(E79, Unit_Paths!$A$2:$A$4, 0)),1)</f>
        <v>19</v>
      </c>
      <c r="L79" s="6" t="n">
        <f aca="false">ROUND(INDEX(Archetypes!$I$2:$I$127, MATCH(D79, Archetypes!$A$2:$A$127, 0))*INDEX(Unit_Grades!$C$2:$C$7, MATCH(F79, Unit_Grades!$A$2:$A$7, 0)),1)</f>
        <v>11.1</v>
      </c>
      <c r="M79" s="6" t="n">
        <f aca="false">ROUND(INDEX(Archetypes!$J$2:$J$127, MATCH(D79, Archetypes!$A$2:$A$127, 0))*INDEX(Unit_Grades!$D$2:$D$7, MATCH(F79, Unit_Grades!$A$2:$A$7, 0)),1)</f>
        <v>14.6</v>
      </c>
      <c r="N79" s="6" t="n">
        <f aca="false">ROUND(M79/24,2)</f>
        <v>0.61</v>
      </c>
    </row>
    <row r="80" customFormat="false" ht="15" hidden="false" customHeight="true" outlineLevel="0" collapsed="false">
      <c r="A80" s="6" t="n">
        <v>1</v>
      </c>
      <c r="B80" s="6" t="s">
        <v>1643</v>
      </c>
      <c r="C80" s="6" t="s">
        <v>1261</v>
      </c>
      <c r="D80" s="6" t="str">
        <f aca="false">A80&amp;"|"&amp;C80</f>
        <v>1|Hunter-Archer</v>
      </c>
      <c r="E80" s="6" t="s">
        <v>1558</v>
      </c>
      <c r="F80" s="6" t="s">
        <v>1538</v>
      </c>
      <c r="G80" s="6" t="str">
        <f aca="false">INDEX(Archetypes!$D$2:$D$127, MATCH(D80, Archetypes!$A$2:$A$127, 0))</f>
        <v>Ranged</v>
      </c>
      <c r="H80" s="6" t="n">
        <f aca="false">ROUND(INDEX(Archetypes!$E$2:$E$127, MATCH(D80, Archetypes!$A$2:$A$127, 0))*INDEX(Unit_Grades!$B$2:$B$7, MATCH(F80, Unit_Grades!$A$2:$A$7, 0))*INDEX(Unit_Paths!$B$2:$B$4, MATCH(E80, Unit_Paths!$A$2:$A$4, 0)),1)</f>
        <v>21.6</v>
      </c>
      <c r="I80" s="6" t="n">
        <f aca="false">ROUND(INDEX(Archetypes!$F$2:$F$127, MATCH(D80, Archetypes!$A$2:$A$127, 0))*INDEX(Unit_Grades!$B$2:$B$7, MATCH(F80, Unit_Grades!$A$2:$A$7, 0))*INDEX(Unit_Paths!$C$2:$C$4, MATCH(E80, Unit_Paths!$A$2:$A$4, 0)),1)</f>
        <v>6.8</v>
      </c>
      <c r="J80" s="6" t="n">
        <f aca="false">ROUND(INDEX(Archetypes!$G$2:$G$127, MATCH(D80, Archetypes!$A$2:$A$127, 0))*INDEX(Unit_Grades!$B$2:$B$7, MATCH(F80, Unit_Grades!$A$2:$A$7, 0))*INDEX(Unit_Paths!$D$2:$D$4, MATCH(E80, Unit_Paths!$A$2:$A$4, 0)),0)</f>
        <v>48</v>
      </c>
      <c r="K80" s="6" t="n">
        <f aca="false">ROUND(INDEX(Archetypes!$H$2:$H$127, MATCH(D80, Archetypes!$A$2:$A$127, 0))*INDEX(Unit_Paths!$E$2:$E$4, MATCH(E80, Unit_Paths!$A$2:$A$4, 0)),1)</f>
        <v>20</v>
      </c>
      <c r="L80" s="6" t="n">
        <f aca="false">ROUND(INDEX(Archetypes!$I$2:$I$127, MATCH(D80, Archetypes!$A$2:$A$127, 0))*INDEX(Unit_Grades!$C$2:$C$7, MATCH(F80, Unit_Grades!$A$2:$A$7, 0)),1)</f>
        <v>3</v>
      </c>
      <c r="M80" s="6" t="n">
        <f aca="false">ROUND(INDEX(Archetypes!$J$2:$J$127, MATCH(D80, Archetypes!$A$2:$A$127, 0))*INDEX(Unit_Grades!$D$2:$D$7, MATCH(F80, Unit_Grades!$A$2:$A$7, 0)),1)</f>
        <v>1.2</v>
      </c>
      <c r="N80" s="6" t="n">
        <f aca="false">ROUND(M80/24,2)</f>
        <v>0.05</v>
      </c>
    </row>
    <row r="81" customFormat="false" ht="15" hidden="false" customHeight="true" outlineLevel="0" collapsed="false">
      <c r="A81" s="6" t="n">
        <v>1</v>
      </c>
      <c r="B81" s="6" t="s">
        <v>1644</v>
      </c>
      <c r="C81" s="6" t="s">
        <v>1261</v>
      </c>
      <c r="D81" s="6" t="str">
        <f aca="false">A81&amp;"|"&amp;C81</f>
        <v>1|Hunter-Archer</v>
      </c>
      <c r="E81" s="6" t="s">
        <v>1558</v>
      </c>
      <c r="F81" s="6" t="s">
        <v>1540</v>
      </c>
      <c r="G81" s="6" t="str">
        <f aca="false">INDEX(Archetypes!$D$2:$D$127, MATCH(D81, Archetypes!$A$2:$A$127, 0))</f>
        <v>Ranged</v>
      </c>
      <c r="H81" s="6" t="n">
        <f aca="false">ROUND(INDEX(Archetypes!$E$2:$E$127, MATCH(D81, Archetypes!$A$2:$A$127, 0))*INDEX(Unit_Grades!$B$2:$B$7, MATCH(F81, Unit_Grades!$A$2:$A$7, 0))*INDEX(Unit_Paths!$B$2:$B$4, MATCH(E81, Unit_Paths!$A$2:$A$4, 0)),1)</f>
        <v>29.2</v>
      </c>
      <c r="I81" s="6" t="n">
        <f aca="false">ROUND(INDEX(Archetypes!$F$2:$F$127, MATCH(D81, Archetypes!$A$2:$A$127, 0))*INDEX(Unit_Grades!$B$2:$B$7, MATCH(F81, Unit_Grades!$A$2:$A$7, 0))*INDEX(Unit_Paths!$C$2:$C$4, MATCH(E81, Unit_Paths!$A$2:$A$4, 0)),1)</f>
        <v>9.2</v>
      </c>
      <c r="J81" s="6" t="n">
        <f aca="false">ROUND(INDEX(Archetypes!$G$2:$G$127, MATCH(D81, Archetypes!$A$2:$A$127, 0))*INDEX(Unit_Grades!$B$2:$B$7, MATCH(F81, Unit_Grades!$A$2:$A$7, 0))*INDEX(Unit_Paths!$D$2:$D$4, MATCH(E81, Unit_Paths!$A$2:$A$4, 0)),0)</f>
        <v>64</v>
      </c>
      <c r="K81" s="6" t="n">
        <f aca="false">ROUND(INDEX(Archetypes!$H$2:$H$127, MATCH(D81, Archetypes!$A$2:$A$127, 0))*INDEX(Unit_Paths!$E$2:$E$4, MATCH(E81, Unit_Paths!$A$2:$A$4, 0)),1)</f>
        <v>20</v>
      </c>
      <c r="L81" s="6" t="n">
        <f aca="false">ROUND(INDEX(Archetypes!$I$2:$I$127, MATCH(D81, Archetypes!$A$2:$A$127, 0))*INDEX(Unit_Grades!$C$2:$C$7, MATCH(F81, Unit_Grades!$A$2:$A$7, 0)),1)</f>
        <v>3.8</v>
      </c>
      <c r="M81" s="6" t="n">
        <f aca="false">ROUND(INDEX(Archetypes!$J$2:$J$127, MATCH(D81, Archetypes!$A$2:$A$127, 0))*INDEX(Unit_Grades!$D$2:$D$7, MATCH(F81, Unit_Grades!$A$2:$A$7, 0)),1)</f>
        <v>1.8</v>
      </c>
      <c r="N81" s="6" t="n">
        <f aca="false">ROUND(M81/24,2)</f>
        <v>0.08</v>
      </c>
    </row>
    <row r="82" customFormat="false" ht="15" hidden="false" customHeight="true" outlineLevel="0" collapsed="false">
      <c r="A82" s="6" t="n">
        <v>1</v>
      </c>
      <c r="B82" s="6" t="s">
        <v>1645</v>
      </c>
      <c r="C82" s="6" t="s">
        <v>1261</v>
      </c>
      <c r="D82" s="6" t="str">
        <f aca="false">A82&amp;"|"&amp;C82</f>
        <v>1|Hunter-Archer</v>
      </c>
      <c r="E82" s="6" t="s">
        <v>1558</v>
      </c>
      <c r="F82" s="6" t="s">
        <v>1542</v>
      </c>
      <c r="G82" s="6" t="str">
        <f aca="false">INDEX(Archetypes!$D$2:$D$127, MATCH(D82, Archetypes!$A$2:$A$127, 0))</f>
        <v>Ranged</v>
      </c>
      <c r="H82" s="6" t="n">
        <f aca="false">ROUND(INDEX(Archetypes!$E$2:$E$127, MATCH(D82, Archetypes!$A$2:$A$127, 0))*INDEX(Unit_Grades!$B$2:$B$7, MATCH(F82, Unit_Grades!$A$2:$A$7, 0))*INDEX(Unit_Paths!$B$2:$B$4, MATCH(E82, Unit_Paths!$A$2:$A$4, 0)),1)</f>
        <v>38.9</v>
      </c>
      <c r="I82" s="6" t="n">
        <f aca="false">ROUND(INDEX(Archetypes!$F$2:$F$127, MATCH(D82, Archetypes!$A$2:$A$127, 0))*INDEX(Unit_Grades!$B$2:$B$7, MATCH(F82, Unit_Grades!$A$2:$A$7, 0))*INDEX(Unit_Paths!$C$2:$C$4, MATCH(E82, Unit_Paths!$A$2:$A$4, 0)),1)</f>
        <v>12.2</v>
      </c>
      <c r="J82" s="6" t="n">
        <f aca="false">ROUND(INDEX(Archetypes!$G$2:$G$127, MATCH(D82, Archetypes!$A$2:$A$127, 0))*INDEX(Unit_Grades!$B$2:$B$7, MATCH(F82, Unit_Grades!$A$2:$A$7, 0))*INDEX(Unit_Paths!$D$2:$D$4, MATCH(E82, Unit_Paths!$A$2:$A$4, 0)),0)</f>
        <v>86</v>
      </c>
      <c r="K82" s="6" t="n">
        <f aca="false">ROUND(INDEX(Archetypes!$H$2:$H$127, MATCH(D82, Archetypes!$A$2:$A$127, 0))*INDEX(Unit_Paths!$E$2:$E$4, MATCH(E82, Unit_Paths!$A$2:$A$4, 0)),1)</f>
        <v>20</v>
      </c>
      <c r="L82" s="6" t="n">
        <f aca="false">ROUND(INDEX(Archetypes!$I$2:$I$127, MATCH(D82, Archetypes!$A$2:$A$127, 0))*INDEX(Unit_Grades!$C$2:$C$7, MATCH(F82, Unit_Grades!$A$2:$A$7, 0)),1)</f>
        <v>4.8</v>
      </c>
      <c r="M82" s="6" t="n">
        <f aca="false">ROUND(INDEX(Archetypes!$J$2:$J$127, MATCH(D82, Archetypes!$A$2:$A$127, 0))*INDEX(Unit_Grades!$D$2:$D$7, MATCH(F82, Unit_Grades!$A$2:$A$7, 0)),1)</f>
        <v>3.1</v>
      </c>
      <c r="N82" s="6" t="n">
        <f aca="false">ROUND(M82/24,2)</f>
        <v>0.13</v>
      </c>
    </row>
    <row r="83" customFormat="false" ht="15" hidden="false" customHeight="true" outlineLevel="0" collapsed="false">
      <c r="A83" s="6" t="n">
        <v>1</v>
      </c>
      <c r="B83" s="6" t="s">
        <v>1646</v>
      </c>
      <c r="C83" s="6" t="s">
        <v>1261</v>
      </c>
      <c r="D83" s="6" t="str">
        <f aca="false">A83&amp;"|"&amp;C83</f>
        <v>1|Hunter-Archer</v>
      </c>
      <c r="E83" s="6" t="s">
        <v>1558</v>
      </c>
      <c r="F83" s="6" t="s">
        <v>1544</v>
      </c>
      <c r="G83" s="6" t="str">
        <f aca="false">INDEX(Archetypes!$D$2:$D$127, MATCH(D83, Archetypes!$A$2:$A$127, 0))</f>
        <v>Ranged</v>
      </c>
      <c r="H83" s="6" t="n">
        <f aca="false">ROUND(INDEX(Archetypes!$E$2:$E$127, MATCH(D83, Archetypes!$A$2:$A$127, 0))*INDEX(Unit_Grades!$B$2:$B$7, MATCH(F83, Unit_Grades!$A$2:$A$7, 0))*INDEX(Unit_Paths!$B$2:$B$4, MATCH(E83, Unit_Paths!$A$2:$A$4, 0)),1)</f>
        <v>51.8</v>
      </c>
      <c r="I83" s="6" t="n">
        <f aca="false">ROUND(INDEX(Archetypes!$F$2:$F$127, MATCH(D83, Archetypes!$A$2:$A$127, 0))*INDEX(Unit_Grades!$B$2:$B$7, MATCH(F83, Unit_Grades!$A$2:$A$7, 0))*INDEX(Unit_Paths!$C$2:$C$4, MATCH(E83, Unit_Paths!$A$2:$A$4, 0)),1)</f>
        <v>16.3</v>
      </c>
      <c r="J83" s="6" t="n">
        <f aca="false">ROUND(INDEX(Archetypes!$G$2:$G$127, MATCH(D83, Archetypes!$A$2:$A$127, 0))*INDEX(Unit_Grades!$B$2:$B$7, MATCH(F83, Unit_Grades!$A$2:$A$7, 0))*INDEX(Unit_Paths!$D$2:$D$4, MATCH(E83, Unit_Paths!$A$2:$A$4, 0)),0)</f>
        <v>114</v>
      </c>
      <c r="K83" s="6" t="n">
        <f aca="false">ROUND(INDEX(Archetypes!$H$2:$H$127, MATCH(D83, Archetypes!$A$2:$A$127, 0))*INDEX(Unit_Paths!$E$2:$E$4, MATCH(E83, Unit_Paths!$A$2:$A$4, 0)),1)</f>
        <v>20</v>
      </c>
      <c r="L83" s="6" t="n">
        <f aca="false">ROUND(INDEX(Archetypes!$I$2:$I$127, MATCH(D83, Archetypes!$A$2:$A$127, 0))*INDEX(Unit_Grades!$C$2:$C$7, MATCH(F83, Unit_Grades!$A$2:$A$7, 0)),1)</f>
        <v>6.3</v>
      </c>
      <c r="M83" s="6" t="n">
        <f aca="false">ROUND(INDEX(Archetypes!$J$2:$J$127, MATCH(D83, Archetypes!$A$2:$A$127, 0))*INDEX(Unit_Grades!$D$2:$D$7, MATCH(F83, Unit_Grades!$A$2:$A$7, 0)),1)</f>
        <v>4.9</v>
      </c>
      <c r="N83" s="6" t="n">
        <f aca="false">ROUND(M83/24,2)</f>
        <v>0.2</v>
      </c>
    </row>
    <row r="84" customFormat="false" ht="15" hidden="false" customHeight="true" outlineLevel="0" collapsed="false">
      <c r="A84" s="6" t="n">
        <v>1</v>
      </c>
      <c r="B84" s="6" t="s">
        <v>1647</v>
      </c>
      <c r="C84" s="6" t="s">
        <v>1261</v>
      </c>
      <c r="D84" s="6" t="str">
        <f aca="false">A84&amp;"|"&amp;C84</f>
        <v>1|Hunter-Archer</v>
      </c>
      <c r="E84" s="6" t="s">
        <v>1558</v>
      </c>
      <c r="F84" s="6" t="s">
        <v>1546</v>
      </c>
      <c r="G84" s="6" t="str">
        <f aca="false">INDEX(Archetypes!$D$2:$D$127, MATCH(D84, Archetypes!$A$2:$A$127, 0))</f>
        <v>Ranged</v>
      </c>
      <c r="H84" s="6" t="n">
        <f aca="false">ROUND(INDEX(Archetypes!$E$2:$E$127, MATCH(D84, Archetypes!$A$2:$A$127, 0))*INDEX(Unit_Grades!$B$2:$B$7, MATCH(F84, Unit_Grades!$A$2:$A$7, 0))*INDEX(Unit_Paths!$B$2:$B$4, MATCH(E84, Unit_Paths!$A$2:$A$4, 0)),1)</f>
        <v>69.1</v>
      </c>
      <c r="I84" s="6" t="n">
        <f aca="false">ROUND(INDEX(Archetypes!$F$2:$F$127, MATCH(D84, Archetypes!$A$2:$A$127, 0))*INDEX(Unit_Grades!$B$2:$B$7, MATCH(F84, Unit_Grades!$A$2:$A$7, 0))*INDEX(Unit_Paths!$C$2:$C$4, MATCH(E84, Unit_Paths!$A$2:$A$4, 0)),1)</f>
        <v>21.8</v>
      </c>
      <c r="J84" s="6" t="n">
        <f aca="false">ROUND(INDEX(Archetypes!$G$2:$G$127, MATCH(D84, Archetypes!$A$2:$A$127, 0))*INDEX(Unit_Grades!$B$2:$B$7, MATCH(F84, Unit_Grades!$A$2:$A$7, 0))*INDEX(Unit_Paths!$D$2:$D$4, MATCH(E84, Unit_Paths!$A$2:$A$4, 0)),0)</f>
        <v>152</v>
      </c>
      <c r="K84" s="6" t="n">
        <f aca="false">ROUND(INDEX(Archetypes!$H$2:$H$127, MATCH(D84, Archetypes!$A$2:$A$127, 0))*INDEX(Unit_Paths!$E$2:$E$4, MATCH(E84, Unit_Paths!$A$2:$A$4, 0)),1)</f>
        <v>20</v>
      </c>
      <c r="L84" s="6" t="n">
        <f aca="false">ROUND(INDEX(Archetypes!$I$2:$I$127, MATCH(D84, Archetypes!$A$2:$A$127, 0))*INDEX(Unit_Grades!$C$2:$C$7, MATCH(F84, Unit_Grades!$A$2:$A$7, 0)),1)</f>
        <v>8.4</v>
      </c>
      <c r="M84" s="6" t="n">
        <f aca="false">ROUND(INDEX(Archetypes!$J$2:$J$127, MATCH(D84, Archetypes!$A$2:$A$127, 0))*INDEX(Unit_Grades!$D$2:$D$7, MATCH(F84, Unit_Grades!$A$2:$A$7, 0)),1)</f>
        <v>8.5</v>
      </c>
      <c r="N84" s="6" t="n">
        <f aca="false">ROUND(M84/24,2)</f>
        <v>0.35</v>
      </c>
    </row>
    <row r="85" customFormat="false" ht="15" hidden="false" customHeight="true" outlineLevel="0" collapsed="false">
      <c r="A85" s="6" t="n">
        <v>1</v>
      </c>
      <c r="B85" s="6" t="s">
        <v>1648</v>
      </c>
      <c r="C85" s="6" t="s">
        <v>1261</v>
      </c>
      <c r="D85" s="6" t="str">
        <f aca="false">A85&amp;"|"&amp;C85</f>
        <v>1|Hunter-Archer</v>
      </c>
      <c r="E85" s="6" t="s">
        <v>1558</v>
      </c>
      <c r="F85" s="6" t="s">
        <v>1548</v>
      </c>
      <c r="G85" s="6" t="str">
        <f aca="false">INDEX(Archetypes!$D$2:$D$127, MATCH(D85, Archetypes!$A$2:$A$127, 0))</f>
        <v>Ranged</v>
      </c>
      <c r="H85" s="6" t="n">
        <f aca="false">ROUND(INDEX(Archetypes!$E$2:$E$127, MATCH(D85, Archetypes!$A$2:$A$127, 0))*INDEX(Unit_Grades!$B$2:$B$7, MATCH(F85, Unit_Grades!$A$2:$A$7, 0))*INDEX(Unit_Paths!$B$2:$B$4, MATCH(E85, Unit_Paths!$A$2:$A$4, 0)),1)</f>
        <v>90.7</v>
      </c>
      <c r="I85" s="6" t="n">
        <f aca="false">ROUND(INDEX(Archetypes!$F$2:$F$127, MATCH(D85, Archetypes!$A$2:$A$127, 0))*INDEX(Unit_Grades!$B$2:$B$7, MATCH(F85, Unit_Grades!$A$2:$A$7, 0))*INDEX(Unit_Paths!$C$2:$C$4, MATCH(E85, Unit_Paths!$A$2:$A$4, 0)),1)</f>
        <v>28.6</v>
      </c>
      <c r="J85" s="6" t="n">
        <f aca="false">ROUND(INDEX(Archetypes!$G$2:$G$127, MATCH(D85, Archetypes!$A$2:$A$127, 0))*INDEX(Unit_Grades!$B$2:$B$7, MATCH(F85, Unit_Grades!$A$2:$A$7, 0))*INDEX(Unit_Paths!$D$2:$D$4, MATCH(E85, Unit_Paths!$A$2:$A$4, 0)),0)</f>
        <v>200</v>
      </c>
      <c r="K85" s="6" t="n">
        <f aca="false">ROUND(INDEX(Archetypes!$H$2:$H$127, MATCH(D85, Archetypes!$A$2:$A$127, 0))*INDEX(Unit_Paths!$E$2:$E$4, MATCH(E85, Unit_Paths!$A$2:$A$4, 0)),1)</f>
        <v>20</v>
      </c>
      <c r="L85" s="6" t="n">
        <f aca="false">ROUND(INDEX(Archetypes!$I$2:$I$127, MATCH(D85, Archetypes!$A$2:$A$127, 0))*INDEX(Unit_Grades!$C$2:$C$7, MATCH(F85, Unit_Grades!$A$2:$A$7, 0)),1)</f>
        <v>11.1</v>
      </c>
      <c r="M85" s="6" t="n">
        <f aca="false">ROUND(INDEX(Archetypes!$J$2:$J$127, MATCH(D85, Archetypes!$A$2:$A$127, 0))*INDEX(Unit_Grades!$D$2:$D$7, MATCH(F85, Unit_Grades!$A$2:$A$7, 0)),1)</f>
        <v>14.6</v>
      </c>
      <c r="N85" s="6" t="n">
        <f aca="false">ROUND(M85/24,2)</f>
        <v>0.61</v>
      </c>
    </row>
    <row r="86" customFormat="false" ht="15" hidden="false" customHeight="true" outlineLevel="0" collapsed="false">
      <c r="A86" s="6" t="n">
        <v>1</v>
      </c>
      <c r="B86" s="6" t="s">
        <v>1649</v>
      </c>
      <c r="C86" s="6" t="s">
        <v>1261</v>
      </c>
      <c r="D86" s="6" t="str">
        <f aca="false">A86&amp;"|"&amp;C86</f>
        <v>1|Hunter-Archer</v>
      </c>
      <c r="E86" s="6" t="s">
        <v>1560</v>
      </c>
      <c r="F86" s="6" t="s">
        <v>1538</v>
      </c>
      <c r="G86" s="6" t="str">
        <f aca="false">INDEX(Archetypes!$D$2:$D$127, MATCH(D86, Archetypes!$A$2:$A$127, 0))</f>
        <v>Ranged</v>
      </c>
      <c r="H86" s="6" t="n">
        <f aca="false">ROUND(INDEX(Archetypes!$E$2:$E$127, MATCH(D86, Archetypes!$A$2:$A$127, 0))*INDEX(Unit_Grades!$B$2:$B$7, MATCH(F86, Unit_Grades!$A$2:$A$7, 0))*INDEX(Unit_Paths!$B$2:$B$4, MATCH(E86, Unit_Paths!$A$2:$A$4, 0)),1)</f>
        <v>15.3</v>
      </c>
      <c r="I86" s="6" t="n">
        <f aca="false">ROUND(INDEX(Archetypes!$F$2:$F$127, MATCH(D86, Archetypes!$A$2:$A$127, 0))*INDEX(Unit_Grades!$B$2:$B$7, MATCH(F86, Unit_Grades!$A$2:$A$7, 0))*INDEX(Unit_Paths!$C$2:$C$4, MATCH(E86, Unit_Paths!$A$2:$A$4, 0)),1)</f>
        <v>10</v>
      </c>
      <c r="J86" s="6" t="n">
        <f aca="false">ROUND(INDEX(Archetypes!$G$2:$G$127, MATCH(D86, Archetypes!$A$2:$A$127, 0))*INDEX(Unit_Grades!$B$2:$B$7, MATCH(F86, Unit_Grades!$A$2:$A$7, 0))*INDEX(Unit_Paths!$D$2:$D$4, MATCH(E86, Unit_Paths!$A$2:$A$4, 0)),0)</f>
        <v>57</v>
      </c>
      <c r="K86" s="6" t="n">
        <f aca="false">ROUND(INDEX(Archetypes!$H$2:$H$127, MATCH(D86, Archetypes!$A$2:$A$127, 0))*INDEX(Unit_Paths!$E$2:$E$4, MATCH(E86, Unit_Paths!$A$2:$A$4, 0)),1)</f>
        <v>17.5</v>
      </c>
      <c r="L86" s="6" t="n">
        <f aca="false">ROUND(INDEX(Archetypes!$I$2:$I$127, MATCH(D86, Archetypes!$A$2:$A$127, 0))*INDEX(Unit_Grades!$C$2:$C$7, MATCH(F86, Unit_Grades!$A$2:$A$7, 0)),1)</f>
        <v>3</v>
      </c>
      <c r="M86" s="6" t="n">
        <f aca="false">ROUND(INDEX(Archetypes!$J$2:$J$127, MATCH(D86, Archetypes!$A$2:$A$127, 0))*INDEX(Unit_Grades!$D$2:$D$7, MATCH(F86, Unit_Grades!$A$2:$A$7, 0)),1)</f>
        <v>1.2</v>
      </c>
      <c r="N86" s="6" t="n">
        <f aca="false">ROUND(M86/24,2)</f>
        <v>0.05</v>
      </c>
    </row>
    <row r="87" customFormat="false" ht="15" hidden="false" customHeight="true" outlineLevel="0" collapsed="false">
      <c r="A87" s="6" t="n">
        <v>1</v>
      </c>
      <c r="B87" s="6" t="s">
        <v>1650</v>
      </c>
      <c r="C87" s="6" t="s">
        <v>1261</v>
      </c>
      <c r="D87" s="6" t="str">
        <f aca="false">A87&amp;"|"&amp;C87</f>
        <v>1|Hunter-Archer</v>
      </c>
      <c r="E87" s="6" t="s">
        <v>1560</v>
      </c>
      <c r="F87" s="6" t="s">
        <v>1540</v>
      </c>
      <c r="G87" s="6" t="str">
        <f aca="false">INDEX(Archetypes!$D$2:$D$127, MATCH(D87, Archetypes!$A$2:$A$127, 0))</f>
        <v>Ranged</v>
      </c>
      <c r="H87" s="6" t="n">
        <f aca="false">ROUND(INDEX(Archetypes!$E$2:$E$127, MATCH(D87, Archetypes!$A$2:$A$127, 0))*INDEX(Unit_Grades!$B$2:$B$7, MATCH(F87, Unit_Grades!$A$2:$A$7, 0))*INDEX(Unit_Paths!$B$2:$B$4, MATCH(E87, Unit_Paths!$A$2:$A$4, 0)),1)</f>
        <v>20.7</v>
      </c>
      <c r="I87" s="6" t="n">
        <f aca="false">ROUND(INDEX(Archetypes!$F$2:$F$127, MATCH(D87, Archetypes!$A$2:$A$127, 0))*INDEX(Unit_Grades!$B$2:$B$7, MATCH(F87, Unit_Grades!$A$2:$A$7, 0))*INDEX(Unit_Paths!$C$2:$C$4, MATCH(E87, Unit_Paths!$A$2:$A$4, 0)),1)</f>
        <v>13.5</v>
      </c>
      <c r="J87" s="6" t="n">
        <f aca="false">ROUND(INDEX(Archetypes!$G$2:$G$127, MATCH(D87, Archetypes!$A$2:$A$127, 0))*INDEX(Unit_Grades!$B$2:$B$7, MATCH(F87, Unit_Grades!$A$2:$A$7, 0))*INDEX(Unit_Paths!$D$2:$D$4, MATCH(E87, Unit_Paths!$A$2:$A$4, 0)),0)</f>
        <v>78</v>
      </c>
      <c r="K87" s="6" t="n">
        <f aca="false">ROUND(INDEX(Archetypes!$H$2:$H$127, MATCH(D87, Archetypes!$A$2:$A$127, 0))*INDEX(Unit_Paths!$E$2:$E$4, MATCH(E87, Unit_Paths!$A$2:$A$4, 0)),1)</f>
        <v>17.5</v>
      </c>
      <c r="L87" s="6" t="n">
        <f aca="false">ROUND(INDEX(Archetypes!$I$2:$I$127, MATCH(D87, Archetypes!$A$2:$A$127, 0))*INDEX(Unit_Grades!$C$2:$C$7, MATCH(F87, Unit_Grades!$A$2:$A$7, 0)),1)</f>
        <v>3.8</v>
      </c>
      <c r="M87" s="6" t="n">
        <f aca="false">ROUND(INDEX(Archetypes!$J$2:$J$127, MATCH(D87, Archetypes!$A$2:$A$127, 0))*INDEX(Unit_Grades!$D$2:$D$7, MATCH(F87, Unit_Grades!$A$2:$A$7, 0)),1)</f>
        <v>1.8</v>
      </c>
      <c r="N87" s="6" t="n">
        <f aca="false">ROUND(M87/24,2)</f>
        <v>0.08</v>
      </c>
    </row>
    <row r="88" customFormat="false" ht="15" hidden="false" customHeight="true" outlineLevel="0" collapsed="false">
      <c r="A88" s="6" t="n">
        <v>1</v>
      </c>
      <c r="B88" s="6" t="s">
        <v>1651</v>
      </c>
      <c r="C88" s="6" t="s">
        <v>1261</v>
      </c>
      <c r="D88" s="6" t="str">
        <f aca="false">A88&amp;"|"&amp;C88</f>
        <v>1|Hunter-Archer</v>
      </c>
      <c r="E88" s="6" t="s">
        <v>1560</v>
      </c>
      <c r="F88" s="6" t="s">
        <v>1542</v>
      </c>
      <c r="G88" s="6" t="str">
        <f aca="false">INDEX(Archetypes!$D$2:$D$127, MATCH(D88, Archetypes!$A$2:$A$127, 0))</f>
        <v>Ranged</v>
      </c>
      <c r="H88" s="6" t="n">
        <f aca="false">ROUND(INDEX(Archetypes!$E$2:$E$127, MATCH(D88, Archetypes!$A$2:$A$127, 0))*INDEX(Unit_Grades!$B$2:$B$7, MATCH(F88, Unit_Grades!$A$2:$A$7, 0))*INDEX(Unit_Paths!$B$2:$B$4, MATCH(E88, Unit_Paths!$A$2:$A$4, 0)),1)</f>
        <v>27.5</v>
      </c>
      <c r="I88" s="6" t="n">
        <f aca="false">ROUND(INDEX(Archetypes!$F$2:$F$127, MATCH(D88, Archetypes!$A$2:$A$127, 0))*INDEX(Unit_Grades!$B$2:$B$7, MATCH(F88, Unit_Grades!$A$2:$A$7, 0))*INDEX(Unit_Paths!$C$2:$C$4, MATCH(E88, Unit_Paths!$A$2:$A$4, 0)),1)</f>
        <v>18</v>
      </c>
      <c r="J88" s="6" t="n">
        <f aca="false">ROUND(INDEX(Archetypes!$G$2:$G$127, MATCH(D88, Archetypes!$A$2:$A$127, 0))*INDEX(Unit_Grades!$B$2:$B$7, MATCH(F88, Unit_Grades!$A$2:$A$7, 0))*INDEX(Unit_Paths!$D$2:$D$4, MATCH(E88, Unit_Paths!$A$2:$A$4, 0)),0)</f>
        <v>103</v>
      </c>
      <c r="K88" s="6" t="n">
        <f aca="false">ROUND(INDEX(Archetypes!$H$2:$H$127, MATCH(D88, Archetypes!$A$2:$A$127, 0))*INDEX(Unit_Paths!$E$2:$E$4, MATCH(E88, Unit_Paths!$A$2:$A$4, 0)),1)</f>
        <v>17.5</v>
      </c>
      <c r="L88" s="6" t="n">
        <f aca="false">ROUND(INDEX(Archetypes!$I$2:$I$127, MATCH(D88, Archetypes!$A$2:$A$127, 0))*INDEX(Unit_Grades!$C$2:$C$7, MATCH(F88, Unit_Grades!$A$2:$A$7, 0)),1)</f>
        <v>4.8</v>
      </c>
      <c r="M88" s="6" t="n">
        <f aca="false">ROUND(INDEX(Archetypes!$J$2:$J$127, MATCH(D88, Archetypes!$A$2:$A$127, 0))*INDEX(Unit_Grades!$D$2:$D$7, MATCH(F88, Unit_Grades!$A$2:$A$7, 0)),1)</f>
        <v>3.1</v>
      </c>
      <c r="N88" s="6" t="n">
        <f aca="false">ROUND(M88/24,2)</f>
        <v>0.13</v>
      </c>
    </row>
    <row r="89" customFormat="false" ht="15" hidden="false" customHeight="true" outlineLevel="0" collapsed="false">
      <c r="A89" s="6" t="n">
        <v>1</v>
      </c>
      <c r="B89" s="6" t="s">
        <v>1652</v>
      </c>
      <c r="C89" s="6" t="s">
        <v>1261</v>
      </c>
      <c r="D89" s="6" t="str">
        <f aca="false">A89&amp;"|"&amp;C89</f>
        <v>1|Hunter-Archer</v>
      </c>
      <c r="E89" s="6" t="s">
        <v>1560</v>
      </c>
      <c r="F89" s="6" t="s">
        <v>1544</v>
      </c>
      <c r="G89" s="6" t="str">
        <f aca="false">INDEX(Archetypes!$D$2:$D$127, MATCH(D89, Archetypes!$A$2:$A$127, 0))</f>
        <v>Ranged</v>
      </c>
      <c r="H89" s="6" t="n">
        <f aca="false">ROUND(INDEX(Archetypes!$E$2:$E$127, MATCH(D89, Archetypes!$A$2:$A$127, 0))*INDEX(Unit_Grades!$B$2:$B$7, MATCH(F89, Unit_Grades!$A$2:$A$7, 0))*INDEX(Unit_Paths!$B$2:$B$4, MATCH(E89, Unit_Paths!$A$2:$A$4, 0)),1)</f>
        <v>36.7</v>
      </c>
      <c r="I89" s="6" t="n">
        <f aca="false">ROUND(INDEX(Archetypes!$F$2:$F$127, MATCH(D89, Archetypes!$A$2:$A$127, 0))*INDEX(Unit_Grades!$B$2:$B$7, MATCH(F89, Unit_Grades!$A$2:$A$7, 0))*INDEX(Unit_Paths!$C$2:$C$4, MATCH(E89, Unit_Paths!$A$2:$A$4, 0)),1)</f>
        <v>24</v>
      </c>
      <c r="J89" s="6" t="n">
        <f aca="false">ROUND(INDEX(Archetypes!$G$2:$G$127, MATCH(D89, Archetypes!$A$2:$A$127, 0))*INDEX(Unit_Grades!$B$2:$B$7, MATCH(F89, Unit_Grades!$A$2:$A$7, 0))*INDEX(Unit_Paths!$D$2:$D$4, MATCH(E89, Unit_Paths!$A$2:$A$4, 0)),0)</f>
        <v>138</v>
      </c>
      <c r="K89" s="6" t="n">
        <f aca="false">ROUND(INDEX(Archetypes!$H$2:$H$127, MATCH(D89, Archetypes!$A$2:$A$127, 0))*INDEX(Unit_Paths!$E$2:$E$4, MATCH(E89, Unit_Paths!$A$2:$A$4, 0)),1)</f>
        <v>17.5</v>
      </c>
      <c r="L89" s="6" t="n">
        <f aca="false">ROUND(INDEX(Archetypes!$I$2:$I$127, MATCH(D89, Archetypes!$A$2:$A$127, 0))*INDEX(Unit_Grades!$C$2:$C$7, MATCH(F89, Unit_Grades!$A$2:$A$7, 0)),1)</f>
        <v>6.3</v>
      </c>
      <c r="M89" s="6" t="n">
        <f aca="false">ROUND(INDEX(Archetypes!$J$2:$J$127, MATCH(D89, Archetypes!$A$2:$A$127, 0))*INDEX(Unit_Grades!$D$2:$D$7, MATCH(F89, Unit_Grades!$A$2:$A$7, 0)),1)</f>
        <v>4.9</v>
      </c>
      <c r="N89" s="6" t="n">
        <f aca="false">ROUND(M89/24,2)</f>
        <v>0.2</v>
      </c>
    </row>
    <row r="90" customFormat="false" ht="15" hidden="false" customHeight="true" outlineLevel="0" collapsed="false">
      <c r="A90" s="6" t="n">
        <v>1</v>
      </c>
      <c r="B90" s="6" t="s">
        <v>1653</v>
      </c>
      <c r="C90" s="6" t="s">
        <v>1261</v>
      </c>
      <c r="D90" s="6" t="str">
        <f aca="false">A90&amp;"|"&amp;C90</f>
        <v>1|Hunter-Archer</v>
      </c>
      <c r="E90" s="6" t="s">
        <v>1560</v>
      </c>
      <c r="F90" s="6" t="s">
        <v>1546</v>
      </c>
      <c r="G90" s="6" t="str">
        <f aca="false">INDEX(Archetypes!$D$2:$D$127, MATCH(D90, Archetypes!$A$2:$A$127, 0))</f>
        <v>Ranged</v>
      </c>
      <c r="H90" s="6" t="n">
        <f aca="false">ROUND(INDEX(Archetypes!$E$2:$E$127, MATCH(D90, Archetypes!$A$2:$A$127, 0))*INDEX(Unit_Grades!$B$2:$B$7, MATCH(F90, Unit_Grades!$A$2:$A$7, 0))*INDEX(Unit_Paths!$B$2:$B$4, MATCH(E90, Unit_Paths!$A$2:$A$4, 0)),1)</f>
        <v>49</v>
      </c>
      <c r="I90" s="6" t="n">
        <f aca="false">ROUND(INDEX(Archetypes!$F$2:$F$127, MATCH(D90, Archetypes!$A$2:$A$127, 0))*INDEX(Unit_Grades!$B$2:$B$7, MATCH(F90, Unit_Grades!$A$2:$A$7, 0))*INDEX(Unit_Paths!$C$2:$C$4, MATCH(E90, Unit_Paths!$A$2:$A$4, 0)),1)</f>
        <v>32</v>
      </c>
      <c r="J90" s="6" t="n">
        <f aca="false">ROUND(INDEX(Archetypes!$G$2:$G$127, MATCH(D90, Archetypes!$A$2:$A$127, 0))*INDEX(Unit_Grades!$B$2:$B$7, MATCH(F90, Unit_Grades!$A$2:$A$7, 0))*INDEX(Unit_Paths!$D$2:$D$4, MATCH(E90, Unit_Paths!$A$2:$A$4, 0)),0)</f>
        <v>184</v>
      </c>
      <c r="K90" s="6" t="n">
        <f aca="false">ROUND(INDEX(Archetypes!$H$2:$H$127, MATCH(D90, Archetypes!$A$2:$A$127, 0))*INDEX(Unit_Paths!$E$2:$E$4, MATCH(E90, Unit_Paths!$A$2:$A$4, 0)),1)</f>
        <v>17.5</v>
      </c>
      <c r="L90" s="6" t="n">
        <f aca="false">ROUND(INDEX(Archetypes!$I$2:$I$127, MATCH(D90, Archetypes!$A$2:$A$127, 0))*INDEX(Unit_Grades!$C$2:$C$7, MATCH(F90, Unit_Grades!$A$2:$A$7, 0)),1)</f>
        <v>8.4</v>
      </c>
      <c r="M90" s="6" t="n">
        <f aca="false">ROUND(INDEX(Archetypes!$J$2:$J$127, MATCH(D90, Archetypes!$A$2:$A$127, 0))*INDEX(Unit_Grades!$D$2:$D$7, MATCH(F90, Unit_Grades!$A$2:$A$7, 0)),1)</f>
        <v>8.5</v>
      </c>
      <c r="N90" s="6" t="n">
        <f aca="false">ROUND(M90/24,2)</f>
        <v>0.35</v>
      </c>
    </row>
    <row r="91" customFormat="false" ht="15" hidden="false" customHeight="true" outlineLevel="0" collapsed="false">
      <c r="A91" s="6" t="n">
        <v>1</v>
      </c>
      <c r="B91" s="6" t="s">
        <v>1654</v>
      </c>
      <c r="C91" s="6" t="s">
        <v>1261</v>
      </c>
      <c r="D91" s="6" t="str">
        <f aca="false">A91&amp;"|"&amp;C91</f>
        <v>1|Hunter-Archer</v>
      </c>
      <c r="E91" s="6" t="s">
        <v>1560</v>
      </c>
      <c r="F91" s="6" t="s">
        <v>1548</v>
      </c>
      <c r="G91" s="6" t="str">
        <f aca="false">INDEX(Archetypes!$D$2:$D$127, MATCH(D91, Archetypes!$A$2:$A$127, 0))</f>
        <v>Ranged</v>
      </c>
      <c r="H91" s="6" t="n">
        <f aca="false">ROUND(INDEX(Archetypes!$E$2:$E$127, MATCH(D91, Archetypes!$A$2:$A$127, 0))*INDEX(Unit_Grades!$B$2:$B$7, MATCH(F91, Unit_Grades!$A$2:$A$7, 0))*INDEX(Unit_Paths!$B$2:$B$4, MATCH(E91, Unit_Paths!$A$2:$A$4, 0)),1)</f>
        <v>64.3</v>
      </c>
      <c r="I91" s="6" t="n">
        <f aca="false">ROUND(INDEX(Archetypes!$F$2:$F$127, MATCH(D91, Archetypes!$A$2:$A$127, 0))*INDEX(Unit_Grades!$B$2:$B$7, MATCH(F91, Unit_Grades!$A$2:$A$7, 0))*INDEX(Unit_Paths!$C$2:$C$4, MATCH(E91, Unit_Paths!$A$2:$A$4, 0)),1)</f>
        <v>42</v>
      </c>
      <c r="J91" s="6" t="n">
        <f aca="false">ROUND(INDEX(Archetypes!$G$2:$G$127, MATCH(D91, Archetypes!$A$2:$A$127, 0))*INDEX(Unit_Grades!$B$2:$B$7, MATCH(F91, Unit_Grades!$A$2:$A$7, 0))*INDEX(Unit_Paths!$D$2:$D$4, MATCH(E91, Unit_Paths!$A$2:$A$4, 0)),0)</f>
        <v>241</v>
      </c>
      <c r="K91" s="6" t="n">
        <f aca="false">ROUND(INDEX(Archetypes!$H$2:$H$127, MATCH(D91, Archetypes!$A$2:$A$127, 0))*INDEX(Unit_Paths!$E$2:$E$4, MATCH(E91, Unit_Paths!$A$2:$A$4, 0)),1)</f>
        <v>17.5</v>
      </c>
      <c r="L91" s="6" t="n">
        <f aca="false">ROUND(INDEX(Archetypes!$I$2:$I$127, MATCH(D91, Archetypes!$A$2:$A$127, 0))*INDEX(Unit_Grades!$C$2:$C$7, MATCH(F91, Unit_Grades!$A$2:$A$7, 0)),1)</f>
        <v>11.1</v>
      </c>
      <c r="M91" s="6" t="n">
        <f aca="false">ROUND(INDEX(Archetypes!$J$2:$J$127, MATCH(D91, Archetypes!$A$2:$A$127, 0))*INDEX(Unit_Grades!$D$2:$D$7, MATCH(F91, Unit_Grades!$A$2:$A$7, 0)),1)</f>
        <v>14.6</v>
      </c>
      <c r="N91" s="6" t="n">
        <f aca="false">ROUND(M91/24,2)</f>
        <v>0.61</v>
      </c>
    </row>
    <row r="92" customFormat="false" ht="15" hidden="false" customHeight="true" outlineLevel="0" collapsed="false">
      <c r="A92" s="6" t="n">
        <v>1</v>
      </c>
      <c r="B92" s="6" t="s">
        <v>1263</v>
      </c>
      <c r="C92" s="6" t="s">
        <v>1263</v>
      </c>
      <c r="D92" s="6" t="str">
        <f aca="false">A92&amp;"|"&amp;C92</f>
        <v>1|Raider</v>
      </c>
      <c r="E92" s="6" t="s">
        <v>1556</v>
      </c>
      <c r="F92" s="6" t="s">
        <v>1538</v>
      </c>
      <c r="G92" s="6" t="str">
        <f aca="false">INDEX(Archetypes!$D$2:$D$127, MATCH(D92, Archetypes!$A$2:$A$127, 0))</f>
        <v>Skirmisher</v>
      </c>
      <c r="H92" s="6" t="n">
        <f aca="false">ROUND(INDEX(Archetypes!$E$2:$E$127, MATCH(D92, Archetypes!$A$2:$A$127, 0))*INDEX(Unit_Grades!$B$2:$B$7, MATCH(F92, Unit_Grades!$A$2:$A$7, 0))*INDEX(Unit_Paths!$B$2:$B$4, MATCH(E92, Unit_Paths!$A$2:$A$4, 0)),1)</f>
        <v>16</v>
      </c>
      <c r="I92" s="6" t="n">
        <f aca="false">ROUND(INDEX(Archetypes!$F$2:$F$127, MATCH(D92, Archetypes!$A$2:$A$127, 0))*INDEX(Unit_Grades!$B$2:$B$7, MATCH(F92, Unit_Grades!$A$2:$A$7, 0))*INDEX(Unit_Paths!$C$2:$C$4, MATCH(E92, Unit_Paths!$A$2:$A$4, 0)),1)</f>
        <v>8</v>
      </c>
      <c r="J92" s="6" t="n">
        <f aca="false">ROUND(INDEX(Archetypes!$G$2:$G$127, MATCH(D92, Archetypes!$A$2:$A$127, 0))*INDEX(Unit_Grades!$B$2:$B$7, MATCH(F92, Unit_Grades!$A$2:$A$7, 0))*INDEX(Unit_Paths!$D$2:$D$4, MATCH(E92, Unit_Paths!$A$2:$A$4, 0)),0)</f>
        <v>55</v>
      </c>
      <c r="K92" s="6" t="n">
        <f aca="false">ROUND(INDEX(Archetypes!$H$2:$H$127, MATCH(D92, Archetypes!$A$2:$A$127, 0))*INDEX(Unit_Paths!$E$2:$E$4, MATCH(E92, Unit_Paths!$A$2:$A$4, 0)),1)</f>
        <v>26</v>
      </c>
      <c r="L92" s="6" t="n">
        <f aca="false">ROUND(INDEX(Archetypes!$I$2:$I$127, MATCH(D92, Archetypes!$A$2:$A$127, 0))*INDEX(Unit_Grades!$C$2:$C$7, MATCH(F92, Unit_Grades!$A$2:$A$7, 0)),1)</f>
        <v>3</v>
      </c>
      <c r="M92" s="6" t="n">
        <f aca="false">ROUND(INDEX(Archetypes!$J$2:$J$127, MATCH(D92, Archetypes!$A$2:$A$127, 0))*INDEX(Unit_Grades!$D$2:$D$7, MATCH(F92, Unit_Grades!$A$2:$A$7, 0)),1)</f>
        <v>1.2</v>
      </c>
      <c r="N92" s="6" t="n">
        <f aca="false">ROUND(M92/24,2)</f>
        <v>0.05</v>
      </c>
    </row>
    <row r="93" customFormat="false" ht="15" hidden="false" customHeight="true" outlineLevel="0" collapsed="false">
      <c r="A93" s="6" t="n">
        <v>1</v>
      </c>
      <c r="B93" s="6" t="s">
        <v>1655</v>
      </c>
      <c r="C93" s="6" t="s">
        <v>1263</v>
      </c>
      <c r="D93" s="6" t="str">
        <f aca="false">A93&amp;"|"&amp;C93</f>
        <v>1|Raider</v>
      </c>
      <c r="E93" s="6" t="s">
        <v>1556</v>
      </c>
      <c r="F93" s="6" t="s">
        <v>1540</v>
      </c>
      <c r="G93" s="6" t="str">
        <f aca="false">INDEX(Archetypes!$D$2:$D$127, MATCH(D93, Archetypes!$A$2:$A$127, 0))</f>
        <v>Skirmisher</v>
      </c>
      <c r="H93" s="6" t="n">
        <f aca="false">ROUND(INDEX(Archetypes!$E$2:$E$127, MATCH(D93, Archetypes!$A$2:$A$127, 0))*INDEX(Unit_Grades!$B$2:$B$7, MATCH(F93, Unit_Grades!$A$2:$A$7, 0))*INDEX(Unit_Paths!$B$2:$B$4, MATCH(E93, Unit_Paths!$A$2:$A$4, 0)),1)</f>
        <v>21.6</v>
      </c>
      <c r="I93" s="6" t="n">
        <f aca="false">ROUND(INDEX(Archetypes!$F$2:$F$127, MATCH(D93, Archetypes!$A$2:$A$127, 0))*INDEX(Unit_Grades!$B$2:$B$7, MATCH(F93, Unit_Grades!$A$2:$A$7, 0))*INDEX(Unit_Paths!$C$2:$C$4, MATCH(E93, Unit_Paths!$A$2:$A$4, 0)),1)</f>
        <v>10.8</v>
      </c>
      <c r="J93" s="6" t="n">
        <f aca="false">ROUND(INDEX(Archetypes!$G$2:$G$127, MATCH(D93, Archetypes!$A$2:$A$127, 0))*INDEX(Unit_Grades!$B$2:$B$7, MATCH(F93, Unit_Grades!$A$2:$A$7, 0))*INDEX(Unit_Paths!$D$2:$D$4, MATCH(E93, Unit_Paths!$A$2:$A$4, 0)),0)</f>
        <v>74</v>
      </c>
      <c r="K93" s="6" t="n">
        <f aca="false">ROUND(INDEX(Archetypes!$H$2:$H$127, MATCH(D93, Archetypes!$A$2:$A$127, 0))*INDEX(Unit_Paths!$E$2:$E$4, MATCH(E93, Unit_Paths!$A$2:$A$4, 0)),1)</f>
        <v>26</v>
      </c>
      <c r="L93" s="6" t="n">
        <f aca="false">ROUND(INDEX(Archetypes!$I$2:$I$127, MATCH(D93, Archetypes!$A$2:$A$127, 0))*INDEX(Unit_Grades!$C$2:$C$7, MATCH(F93, Unit_Grades!$A$2:$A$7, 0)),1)</f>
        <v>3.8</v>
      </c>
      <c r="M93" s="6" t="n">
        <f aca="false">ROUND(INDEX(Archetypes!$J$2:$J$127, MATCH(D93, Archetypes!$A$2:$A$127, 0))*INDEX(Unit_Grades!$D$2:$D$7, MATCH(F93, Unit_Grades!$A$2:$A$7, 0)),1)</f>
        <v>1.8</v>
      </c>
      <c r="N93" s="6" t="n">
        <f aca="false">ROUND(M93/24,2)</f>
        <v>0.08</v>
      </c>
    </row>
    <row r="94" customFormat="false" ht="15" hidden="false" customHeight="true" outlineLevel="0" collapsed="false">
      <c r="A94" s="6" t="n">
        <v>1</v>
      </c>
      <c r="B94" s="6" t="s">
        <v>1656</v>
      </c>
      <c r="C94" s="6" t="s">
        <v>1263</v>
      </c>
      <c r="D94" s="6" t="str">
        <f aca="false">A94&amp;"|"&amp;C94</f>
        <v>1|Raider</v>
      </c>
      <c r="E94" s="6" t="s">
        <v>1556</v>
      </c>
      <c r="F94" s="6" t="s">
        <v>1542</v>
      </c>
      <c r="G94" s="6" t="str">
        <f aca="false">INDEX(Archetypes!$D$2:$D$127, MATCH(D94, Archetypes!$A$2:$A$127, 0))</f>
        <v>Skirmisher</v>
      </c>
      <c r="H94" s="6" t="n">
        <f aca="false">ROUND(INDEX(Archetypes!$E$2:$E$127, MATCH(D94, Archetypes!$A$2:$A$127, 0))*INDEX(Unit_Grades!$B$2:$B$7, MATCH(F94, Unit_Grades!$A$2:$A$7, 0))*INDEX(Unit_Paths!$B$2:$B$4, MATCH(E94, Unit_Paths!$A$2:$A$4, 0)),1)</f>
        <v>28.8</v>
      </c>
      <c r="I94" s="6" t="n">
        <f aca="false">ROUND(INDEX(Archetypes!$F$2:$F$127, MATCH(D94, Archetypes!$A$2:$A$127, 0))*INDEX(Unit_Grades!$B$2:$B$7, MATCH(F94, Unit_Grades!$A$2:$A$7, 0))*INDEX(Unit_Paths!$C$2:$C$4, MATCH(E94, Unit_Paths!$A$2:$A$4, 0)),1)</f>
        <v>14.4</v>
      </c>
      <c r="J94" s="6" t="n">
        <f aca="false">ROUND(INDEX(Archetypes!$G$2:$G$127, MATCH(D94, Archetypes!$A$2:$A$127, 0))*INDEX(Unit_Grades!$B$2:$B$7, MATCH(F94, Unit_Grades!$A$2:$A$7, 0))*INDEX(Unit_Paths!$D$2:$D$4, MATCH(E94, Unit_Paths!$A$2:$A$4, 0)),0)</f>
        <v>99</v>
      </c>
      <c r="K94" s="6" t="n">
        <f aca="false">ROUND(INDEX(Archetypes!$H$2:$H$127, MATCH(D94, Archetypes!$A$2:$A$127, 0))*INDEX(Unit_Paths!$E$2:$E$4, MATCH(E94, Unit_Paths!$A$2:$A$4, 0)),1)</f>
        <v>26</v>
      </c>
      <c r="L94" s="6" t="n">
        <f aca="false">ROUND(INDEX(Archetypes!$I$2:$I$127, MATCH(D94, Archetypes!$A$2:$A$127, 0))*INDEX(Unit_Grades!$C$2:$C$7, MATCH(F94, Unit_Grades!$A$2:$A$7, 0)),1)</f>
        <v>4.8</v>
      </c>
      <c r="M94" s="6" t="n">
        <f aca="false">ROUND(INDEX(Archetypes!$J$2:$J$127, MATCH(D94, Archetypes!$A$2:$A$127, 0))*INDEX(Unit_Grades!$D$2:$D$7, MATCH(F94, Unit_Grades!$A$2:$A$7, 0)),1)</f>
        <v>3.1</v>
      </c>
      <c r="N94" s="6" t="n">
        <f aca="false">ROUND(M94/24,2)</f>
        <v>0.13</v>
      </c>
    </row>
    <row r="95" customFormat="false" ht="15" hidden="false" customHeight="true" outlineLevel="0" collapsed="false">
      <c r="A95" s="6" t="n">
        <v>1</v>
      </c>
      <c r="B95" s="6" t="s">
        <v>1657</v>
      </c>
      <c r="C95" s="6" t="s">
        <v>1263</v>
      </c>
      <c r="D95" s="6" t="str">
        <f aca="false">A95&amp;"|"&amp;C95</f>
        <v>1|Raider</v>
      </c>
      <c r="E95" s="6" t="s">
        <v>1556</v>
      </c>
      <c r="F95" s="6" t="s">
        <v>1544</v>
      </c>
      <c r="G95" s="6" t="str">
        <f aca="false">INDEX(Archetypes!$D$2:$D$127, MATCH(D95, Archetypes!$A$2:$A$127, 0))</f>
        <v>Skirmisher</v>
      </c>
      <c r="H95" s="6" t="n">
        <f aca="false">ROUND(INDEX(Archetypes!$E$2:$E$127, MATCH(D95, Archetypes!$A$2:$A$127, 0))*INDEX(Unit_Grades!$B$2:$B$7, MATCH(F95, Unit_Grades!$A$2:$A$7, 0))*INDEX(Unit_Paths!$B$2:$B$4, MATCH(E95, Unit_Paths!$A$2:$A$4, 0)),1)</f>
        <v>38.4</v>
      </c>
      <c r="I95" s="6" t="n">
        <f aca="false">ROUND(INDEX(Archetypes!$F$2:$F$127, MATCH(D95, Archetypes!$A$2:$A$127, 0))*INDEX(Unit_Grades!$B$2:$B$7, MATCH(F95, Unit_Grades!$A$2:$A$7, 0))*INDEX(Unit_Paths!$C$2:$C$4, MATCH(E95, Unit_Paths!$A$2:$A$4, 0)),1)</f>
        <v>19.2</v>
      </c>
      <c r="J95" s="6" t="n">
        <f aca="false">ROUND(INDEX(Archetypes!$G$2:$G$127, MATCH(D95, Archetypes!$A$2:$A$127, 0))*INDEX(Unit_Grades!$B$2:$B$7, MATCH(F95, Unit_Grades!$A$2:$A$7, 0))*INDEX(Unit_Paths!$D$2:$D$4, MATCH(E95, Unit_Paths!$A$2:$A$4, 0)),0)</f>
        <v>132</v>
      </c>
      <c r="K95" s="6" t="n">
        <f aca="false">ROUND(INDEX(Archetypes!$H$2:$H$127, MATCH(D95, Archetypes!$A$2:$A$127, 0))*INDEX(Unit_Paths!$E$2:$E$4, MATCH(E95, Unit_Paths!$A$2:$A$4, 0)),1)</f>
        <v>26</v>
      </c>
      <c r="L95" s="6" t="n">
        <f aca="false">ROUND(INDEX(Archetypes!$I$2:$I$127, MATCH(D95, Archetypes!$A$2:$A$127, 0))*INDEX(Unit_Grades!$C$2:$C$7, MATCH(F95, Unit_Grades!$A$2:$A$7, 0)),1)</f>
        <v>6.3</v>
      </c>
      <c r="M95" s="6" t="n">
        <f aca="false">ROUND(INDEX(Archetypes!$J$2:$J$127, MATCH(D95, Archetypes!$A$2:$A$127, 0))*INDEX(Unit_Grades!$D$2:$D$7, MATCH(F95, Unit_Grades!$A$2:$A$7, 0)),1)</f>
        <v>4.9</v>
      </c>
      <c r="N95" s="6" t="n">
        <f aca="false">ROUND(M95/24,2)</f>
        <v>0.2</v>
      </c>
    </row>
    <row r="96" customFormat="false" ht="15" hidden="false" customHeight="true" outlineLevel="0" collapsed="false">
      <c r="A96" s="6" t="n">
        <v>1</v>
      </c>
      <c r="B96" s="6" t="s">
        <v>1658</v>
      </c>
      <c r="C96" s="6" t="s">
        <v>1263</v>
      </c>
      <c r="D96" s="6" t="str">
        <f aca="false">A96&amp;"|"&amp;C96</f>
        <v>1|Raider</v>
      </c>
      <c r="E96" s="6" t="s">
        <v>1556</v>
      </c>
      <c r="F96" s="6" t="s">
        <v>1546</v>
      </c>
      <c r="G96" s="6" t="str">
        <f aca="false">INDEX(Archetypes!$D$2:$D$127, MATCH(D96, Archetypes!$A$2:$A$127, 0))</f>
        <v>Skirmisher</v>
      </c>
      <c r="H96" s="6" t="n">
        <f aca="false">ROUND(INDEX(Archetypes!$E$2:$E$127, MATCH(D96, Archetypes!$A$2:$A$127, 0))*INDEX(Unit_Grades!$B$2:$B$7, MATCH(F96, Unit_Grades!$A$2:$A$7, 0))*INDEX(Unit_Paths!$B$2:$B$4, MATCH(E96, Unit_Paths!$A$2:$A$4, 0)),1)</f>
        <v>51.2</v>
      </c>
      <c r="I96" s="6" t="n">
        <f aca="false">ROUND(INDEX(Archetypes!$F$2:$F$127, MATCH(D96, Archetypes!$A$2:$A$127, 0))*INDEX(Unit_Grades!$B$2:$B$7, MATCH(F96, Unit_Grades!$A$2:$A$7, 0))*INDEX(Unit_Paths!$C$2:$C$4, MATCH(E96, Unit_Paths!$A$2:$A$4, 0)),1)</f>
        <v>25.6</v>
      </c>
      <c r="J96" s="6" t="n">
        <f aca="false">ROUND(INDEX(Archetypes!$G$2:$G$127, MATCH(D96, Archetypes!$A$2:$A$127, 0))*INDEX(Unit_Grades!$B$2:$B$7, MATCH(F96, Unit_Grades!$A$2:$A$7, 0))*INDEX(Unit_Paths!$D$2:$D$4, MATCH(E96, Unit_Paths!$A$2:$A$4, 0)),0)</f>
        <v>176</v>
      </c>
      <c r="K96" s="6" t="n">
        <f aca="false">ROUND(INDEX(Archetypes!$H$2:$H$127, MATCH(D96, Archetypes!$A$2:$A$127, 0))*INDEX(Unit_Paths!$E$2:$E$4, MATCH(E96, Unit_Paths!$A$2:$A$4, 0)),1)</f>
        <v>26</v>
      </c>
      <c r="L96" s="6" t="n">
        <f aca="false">ROUND(INDEX(Archetypes!$I$2:$I$127, MATCH(D96, Archetypes!$A$2:$A$127, 0))*INDEX(Unit_Grades!$C$2:$C$7, MATCH(F96, Unit_Grades!$A$2:$A$7, 0)),1)</f>
        <v>8.4</v>
      </c>
      <c r="M96" s="6" t="n">
        <f aca="false">ROUND(INDEX(Archetypes!$J$2:$J$127, MATCH(D96, Archetypes!$A$2:$A$127, 0))*INDEX(Unit_Grades!$D$2:$D$7, MATCH(F96, Unit_Grades!$A$2:$A$7, 0)),1)</f>
        <v>8.5</v>
      </c>
      <c r="N96" s="6" t="n">
        <f aca="false">ROUND(M96/24,2)</f>
        <v>0.35</v>
      </c>
    </row>
    <row r="97" customFormat="false" ht="15" hidden="false" customHeight="true" outlineLevel="0" collapsed="false">
      <c r="A97" s="6" t="n">
        <v>1</v>
      </c>
      <c r="B97" s="6" t="s">
        <v>1659</v>
      </c>
      <c r="C97" s="6" t="s">
        <v>1263</v>
      </c>
      <c r="D97" s="6" t="str">
        <f aca="false">A97&amp;"|"&amp;C97</f>
        <v>1|Raider</v>
      </c>
      <c r="E97" s="6" t="s">
        <v>1556</v>
      </c>
      <c r="F97" s="6" t="s">
        <v>1548</v>
      </c>
      <c r="G97" s="6" t="str">
        <f aca="false">INDEX(Archetypes!$D$2:$D$127, MATCH(D97, Archetypes!$A$2:$A$127, 0))</f>
        <v>Skirmisher</v>
      </c>
      <c r="H97" s="6" t="n">
        <f aca="false">ROUND(INDEX(Archetypes!$E$2:$E$127, MATCH(D97, Archetypes!$A$2:$A$127, 0))*INDEX(Unit_Grades!$B$2:$B$7, MATCH(F97, Unit_Grades!$A$2:$A$7, 0))*INDEX(Unit_Paths!$B$2:$B$4, MATCH(E97, Unit_Paths!$A$2:$A$4, 0)),1)</f>
        <v>67.2</v>
      </c>
      <c r="I97" s="6" t="n">
        <f aca="false">ROUND(INDEX(Archetypes!$F$2:$F$127, MATCH(D97, Archetypes!$A$2:$A$127, 0))*INDEX(Unit_Grades!$B$2:$B$7, MATCH(F97, Unit_Grades!$A$2:$A$7, 0))*INDEX(Unit_Paths!$C$2:$C$4, MATCH(E97, Unit_Paths!$A$2:$A$4, 0)),1)</f>
        <v>33.6</v>
      </c>
      <c r="J97" s="6" t="n">
        <f aca="false">ROUND(INDEX(Archetypes!$G$2:$G$127, MATCH(D97, Archetypes!$A$2:$A$127, 0))*INDEX(Unit_Grades!$B$2:$B$7, MATCH(F97, Unit_Grades!$A$2:$A$7, 0))*INDEX(Unit_Paths!$D$2:$D$4, MATCH(E97, Unit_Paths!$A$2:$A$4, 0)),0)</f>
        <v>231</v>
      </c>
      <c r="K97" s="6" t="n">
        <f aca="false">ROUND(INDEX(Archetypes!$H$2:$H$127, MATCH(D97, Archetypes!$A$2:$A$127, 0))*INDEX(Unit_Paths!$E$2:$E$4, MATCH(E97, Unit_Paths!$A$2:$A$4, 0)),1)</f>
        <v>26</v>
      </c>
      <c r="L97" s="6" t="n">
        <f aca="false">ROUND(INDEX(Archetypes!$I$2:$I$127, MATCH(D97, Archetypes!$A$2:$A$127, 0))*INDEX(Unit_Grades!$C$2:$C$7, MATCH(F97, Unit_Grades!$A$2:$A$7, 0)),1)</f>
        <v>11.1</v>
      </c>
      <c r="M97" s="6" t="n">
        <f aca="false">ROUND(INDEX(Archetypes!$J$2:$J$127, MATCH(D97, Archetypes!$A$2:$A$127, 0))*INDEX(Unit_Grades!$D$2:$D$7, MATCH(F97, Unit_Grades!$A$2:$A$7, 0)),1)</f>
        <v>14.6</v>
      </c>
      <c r="N97" s="6" t="n">
        <f aca="false">ROUND(M97/24,2)</f>
        <v>0.61</v>
      </c>
    </row>
    <row r="98" customFormat="false" ht="15" hidden="false" customHeight="true" outlineLevel="0" collapsed="false">
      <c r="A98" s="6" t="n">
        <v>1</v>
      </c>
      <c r="B98" s="6" t="s">
        <v>1660</v>
      </c>
      <c r="C98" s="6" t="s">
        <v>1263</v>
      </c>
      <c r="D98" s="6" t="str">
        <f aca="false">A98&amp;"|"&amp;C98</f>
        <v>1|Raider</v>
      </c>
      <c r="E98" s="6" t="s">
        <v>1558</v>
      </c>
      <c r="F98" s="6" t="s">
        <v>1538</v>
      </c>
      <c r="G98" s="6" t="str">
        <f aca="false">INDEX(Archetypes!$D$2:$D$127, MATCH(D98, Archetypes!$A$2:$A$127, 0))</f>
        <v>Skirmisher</v>
      </c>
      <c r="H98" s="6" t="n">
        <f aca="false">ROUND(INDEX(Archetypes!$E$2:$E$127, MATCH(D98, Archetypes!$A$2:$A$127, 0))*INDEX(Unit_Grades!$B$2:$B$7, MATCH(F98, Unit_Grades!$A$2:$A$7, 0))*INDEX(Unit_Paths!$B$2:$B$4, MATCH(E98, Unit_Paths!$A$2:$A$4, 0)),1)</f>
        <v>19.2</v>
      </c>
      <c r="I98" s="6" t="n">
        <f aca="false">ROUND(INDEX(Archetypes!$F$2:$F$127, MATCH(D98, Archetypes!$A$2:$A$127, 0))*INDEX(Unit_Grades!$B$2:$B$7, MATCH(F98, Unit_Grades!$A$2:$A$7, 0))*INDEX(Unit_Paths!$C$2:$C$4, MATCH(E98, Unit_Paths!$A$2:$A$4, 0)),1)</f>
        <v>6.8</v>
      </c>
      <c r="J98" s="6" t="n">
        <f aca="false">ROUND(INDEX(Archetypes!$G$2:$G$127, MATCH(D98, Archetypes!$A$2:$A$127, 0))*INDEX(Unit_Grades!$B$2:$B$7, MATCH(F98, Unit_Grades!$A$2:$A$7, 0))*INDEX(Unit_Paths!$D$2:$D$4, MATCH(E98, Unit_Paths!$A$2:$A$4, 0)),0)</f>
        <v>52</v>
      </c>
      <c r="K98" s="6" t="n">
        <f aca="false">ROUND(INDEX(Archetypes!$H$2:$H$127, MATCH(D98, Archetypes!$A$2:$A$127, 0))*INDEX(Unit_Paths!$E$2:$E$4, MATCH(E98, Unit_Paths!$A$2:$A$4, 0)),1)</f>
        <v>27.3</v>
      </c>
      <c r="L98" s="6" t="n">
        <f aca="false">ROUND(INDEX(Archetypes!$I$2:$I$127, MATCH(D98, Archetypes!$A$2:$A$127, 0))*INDEX(Unit_Grades!$C$2:$C$7, MATCH(F98, Unit_Grades!$A$2:$A$7, 0)),1)</f>
        <v>3</v>
      </c>
      <c r="M98" s="6" t="n">
        <f aca="false">ROUND(INDEX(Archetypes!$J$2:$J$127, MATCH(D98, Archetypes!$A$2:$A$127, 0))*INDEX(Unit_Grades!$D$2:$D$7, MATCH(F98, Unit_Grades!$A$2:$A$7, 0)),1)</f>
        <v>1.2</v>
      </c>
      <c r="N98" s="6" t="n">
        <f aca="false">ROUND(M98/24,2)</f>
        <v>0.05</v>
      </c>
    </row>
    <row r="99" customFormat="false" ht="15" hidden="false" customHeight="true" outlineLevel="0" collapsed="false">
      <c r="A99" s="6" t="n">
        <v>1</v>
      </c>
      <c r="B99" s="6" t="s">
        <v>1661</v>
      </c>
      <c r="C99" s="6" t="s">
        <v>1263</v>
      </c>
      <c r="D99" s="6" t="str">
        <f aca="false">A99&amp;"|"&amp;C99</f>
        <v>1|Raider</v>
      </c>
      <c r="E99" s="6" t="s">
        <v>1558</v>
      </c>
      <c r="F99" s="6" t="s">
        <v>1540</v>
      </c>
      <c r="G99" s="6" t="str">
        <f aca="false">INDEX(Archetypes!$D$2:$D$127, MATCH(D99, Archetypes!$A$2:$A$127, 0))</f>
        <v>Skirmisher</v>
      </c>
      <c r="H99" s="6" t="n">
        <f aca="false">ROUND(INDEX(Archetypes!$E$2:$E$127, MATCH(D99, Archetypes!$A$2:$A$127, 0))*INDEX(Unit_Grades!$B$2:$B$7, MATCH(F99, Unit_Grades!$A$2:$A$7, 0))*INDEX(Unit_Paths!$B$2:$B$4, MATCH(E99, Unit_Paths!$A$2:$A$4, 0)),1)</f>
        <v>25.9</v>
      </c>
      <c r="I99" s="6" t="n">
        <f aca="false">ROUND(INDEX(Archetypes!$F$2:$F$127, MATCH(D99, Archetypes!$A$2:$A$127, 0))*INDEX(Unit_Grades!$B$2:$B$7, MATCH(F99, Unit_Grades!$A$2:$A$7, 0))*INDEX(Unit_Paths!$C$2:$C$4, MATCH(E99, Unit_Paths!$A$2:$A$4, 0)),1)</f>
        <v>9.2</v>
      </c>
      <c r="J99" s="6" t="n">
        <f aca="false">ROUND(INDEX(Archetypes!$G$2:$G$127, MATCH(D99, Archetypes!$A$2:$A$127, 0))*INDEX(Unit_Grades!$B$2:$B$7, MATCH(F99, Unit_Grades!$A$2:$A$7, 0))*INDEX(Unit_Paths!$D$2:$D$4, MATCH(E99, Unit_Paths!$A$2:$A$4, 0)),0)</f>
        <v>71</v>
      </c>
      <c r="K99" s="6" t="n">
        <f aca="false">ROUND(INDEX(Archetypes!$H$2:$H$127, MATCH(D99, Archetypes!$A$2:$A$127, 0))*INDEX(Unit_Paths!$E$2:$E$4, MATCH(E99, Unit_Paths!$A$2:$A$4, 0)),1)</f>
        <v>27.3</v>
      </c>
      <c r="L99" s="6" t="n">
        <f aca="false">ROUND(INDEX(Archetypes!$I$2:$I$127, MATCH(D99, Archetypes!$A$2:$A$127, 0))*INDEX(Unit_Grades!$C$2:$C$7, MATCH(F99, Unit_Grades!$A$2:$A$7, 0)),1)</f>
        <v>3.8</v>
      </c>
      <c r="M99" s="6" t="n">
        <f aca="false">ROUND(INDEX(Archetypes!$J$2:$J$127, MATCH(D99, Archetypes!$A$2:$A$127, 0))*INDEX(Unit_Grades!$D$2:$D$7, MATCH(F99, Unit_Grades!$A$2:$A$7, 0)),1)</f>
        <v>1.8</v>
      </c>
      <c r="N99" s="6" t="n">
        <f aca="false">ROUND(M99/24,2)</f>
        <v>0.08</v>
      </c>
    </row>
    <row r="100" customFormat="false" ht="15" hidden="false" customHeight="true" outlineLevel="0" collapsed="false">
      <c r="A100" s="6" t="n">
        <v>1</v>
      </c>
      <c r="B100" s="6" t="s">
        <v>1662</v>
      </c>
      <c r="C100" s="6" t="s">
        <v>1263</v>
      </c>
      <c r="D100" s="6" t="str">
        <f aca="false">A100&amp;"|"&amp;C100</f>
        <v>1|Raider</v>
      </c>
      <c r="E100" s="6" t="s">
        <v>1558</v>
      </c>
      <c r="F100" s="6" t="s">
        <v>1542</v>
      </c>
      <c r="G100" s="6" t="str">
        <f aca="false">INDEX(Archetypes!$D$2:$D$127, MATCH(D100, Archetypes!$A$2:$A$127, 0))</f>
        <v>Skirmisher</v>
      </c>
      <c r="H100" s="6" t="n">
        <f aca="false">ROUND(INDEX(Archetypes!$E$2:$E$127, MATCH(D100, Archetypes!$A$2:$A$127, 0))*INDEX(Unit_Grades!$B$2:$B$7, MATCH(F100, Unit_Grades!$A$2:$A$7, 0))*INDEX(Unit_Paths!$B$2:$B$4, MATCH(E100, Unit_Paths!$A$2:$A$4, 0)),1)</f>
        <v>34.6</v>
      </c>
      <c r="I100" s="6" t="n">
        <f aca="false">ROUND(INDEX(Archetypes!$F$2:$F$127, MATCH(D100, Archetypes!$A$2:$A$127, 0))*INDEX(Unit_Grades!$B$2:$B$7, MATCH(F100, Unit_Grades!$A$2:$A$7, 0))*INDEX(Unit_Paths!$C$2:$C$4, MATCH(E100, Unit_Paths!$A$2:$A$4, 0)),1)</f>
        <v>12.2</v>
      </c>
      <c r="J100" s="6" t="n">
        <f aca="false">ROUND(INDEX(Archetypes!$G$2:$G$127, MATCH(D100, Archetypes!$A$2:$A$127, 0))*INDEX(Unit_Grades!$B$2:$B$7, MATCH(F100, Unit_Grades!$A$2:$A$7, 0))*INDEX(Unit_Paths!$D$2:$D$4, MATCH(E100, Unit_Paths!$A$2:$A$4, 0)),0)</f>
        <v>94</v>
      </c>
      <c r="K100" s="6" t="n">
        <f aca="false">ROUND(INDEX(Archetypes!$H$2:$H$127, MATCH(D100, Archetypes!$A$2:$A$127, 0))*INDEX(Unit_Paths!$E$2:$E$4, MATCH(E100, Unit_Paths!$A$2:$A$4, 0)),1)</f>
        <v>27.3</v>
      </c>
      <c r="L100" s="6" t="n">
        <f aca="false">ROUND(INDEX(Archetypes!$I$2:$I$127, MATCH(D100, Archetypes!$A$2:$A$127, 0))*INDEX(Unit_Grades!$C$2:$C$7, MATCH(F100, Unit_Grades!$A$2:$A$7, 0)),1)</f>
        <v>4.8</v>
      </c>
      <c r="M100" s="6" t="n">
        <f aca="false">ROUND(INDEX(Archetypes!$J$2:$J$127, MATCH(D100, Archetypes!$A$2:$A$127, 0))*INDEX(Unit_Grades!$D$2:$D$7, MATCH(F100, Unit_Grades!$A$2:$A$7, 0)),1)</f>
        <v>3.1</v>
      </c>
      <c r="N100" s="6" t="n">
        <f aca="false">ROUND(M100/24,2)</f>
        <v>0.13</v>
      </c>
    </row>
    <row r="101" customFormat="false" ht="15" hidden="false" customHeight="true" outlineLevel="0" collapsed="false">
      <c r="A101" s="6" t="n">
        <v>1</v>
      </c>
      <c r="B101" s="6" t="s">
        <v>1663</v>
      </c>
      <c r="C101" s="6" t="s">
        <v>1263</v>
      </c>
      <c r="D101" s="6" t="str">
        <f aca="false">A101&amp;"|"&amp;C101</f>
        <v>1|Raider</v>
      </c>
      <c r="E101" s="6" t="s">
        <v>1558</v>
      </c>
      <c r="F101" s="6" t="s">
        <v>1544</v>
      </c>
      <c r="G101" s="6" t="str">
        <f aca="false">INDEX(Archetypes!$D$2:$D$127, MATCH(D101, Archetypes!$A$2:$A$127, 0))</f>
        <v>Skirmisher</v>
      </c>
      <c r="H101" s="6" t="n">
        <f aca="false">ROUND(INDEX(Archetypes!$E$2:$E$127, MATCH(D101, Archetypes!$A$2:$A$127, 0))*INDEX(Unit_Grades!$B$2:$B$7, MATCH(F101, Unit_Grades!$A$2:$A$7, 0))*INDEX(Unit_Paths!$B$2:$B$4, MATCH(E101, Unit_Paths!$A$2:$A$4, 0)),1)</f>
        <v>46.1</v>
      </c>
      <c r="I101" s="6" t="n">
        <f aca="false">ROUND(INDEX(Archetypes!$F$2:$F$127, MATCH(D101, Archetypes!$A$2:$A$127, 0))*INDEX(Unit_Grades!$B$2:$B$7, MATCH(F101, Unit_Grades!$A$2:$A$7, 0))*INDEX(Unit_Paths!$C$2:$C$4, MATCH(E101, Unit_Paths!$A$2:$A$4, 0)),1)</f>
        <v>16.3</v>
      </c>
      <c r="J101" s="6" t="n">
        <f aca="false">ROUND(INDEX(Archetypes!$G$2:$G$127, MATCH(D101, Archetypes!$A$2:$A$127, 0))*INDEX(Unit_Grades!$B$2:$B$7, MATCH(F101, Unit_Grades!$A$2:$A$7, 0))*INDEX(Unit_Paths!$D$2:$D$4, MATCH(E101, Unit_Paths!$A$2:$A$4, 0)),0)</f>
        <v>125</v>
      </c>
      <c r="K101" s="6" t="n">
        <f aca="false">ROUND(INDEX(Archetypes!$H$2:$H$127, MATCH(D101, Archetypes!$A$2:$A$127, 0))*INDEX(Unit_Paths!$E$2:$E$4, MATCH(E101, Unit_Paths!$A$2:$A$4, 0)),1)</f>
        <v>27.3</v>
      </c>
      <c r="L101" s="6" t="n">
        <f aca="false">ROUND(INDEX(Archetypes!$I$2:$I$127, MATCH(D101, Archetypes!$A$2:$A$127, 0))*INDEX(Unit_Grades!$C$2:$C$7, MATCH(F101, Unit_Grades!$A$2:$A$7, 0)),1)</f>
        <v>6.3</v>
      </c>
      <c r="M101" s="6" t="n">
        <f aca="false">ROUND(INDEX(Archetypes!$J$2:$J$127, MATCH(D101, Archetypes!$A$2:$A$127, 0))*INDEX(Unit_Grades!$D$2:$D$7, MATCH(F101, Unit_Grades!$A$2:$A$7, 0)),1)</f>
        <v>4.9</v>
      </c>
      <c r="N101" s="6" t="n">
        <f aca="false">ROUND(M101/24,2)</f>
        <v>0.2</v>
      </c>
    </row>
    <row r="102" customFormat="false" ht="15" hidden="false" customHeight="true" outlineLevel="0" collapsed="false">
      <c r="A102" s="6" t="n">
        <v>1</v>
      </c>
      <c r="B102" s="6" t="s">
        <v>1664</v>
      </c>
      <c r="C102" s="6" t="s">
        <v>1263</v>
      </c>
      <c r="D102" s="6" t="str">
        <f aca="false">A102&amp;"|"&amp;C102</f>
        <v>1|Raider</v>
      </c>
      <c r="E102" s="6" t="s">
        <v>1558</v>
      </c>
      <c r="F102" s="6" t="s">
        <v>1546</v>
      </c>
      <c r="G102" s="6" t="str">
        <f aca="false">INDEX(Archetypes!$D$2:$D$127, MATCH(D102, Archetypes!$A$2:$A$127, 0))</f>
        <v>Skirmisher</v>
      </c>
      <c r="H102" s="6" t="n">
        <f aca="false">ROUND(INDEX(Archetypes!$E$2:$E$127, MATCH(D102, Archetypes!$A$2:$A$127, 0))*INDEX(Unit_Grades!$B$2:$B$7, MATCH(F102, Unit_Grades!$A$2:$A$7, 0))*INDEX(Unit_Paths!$B$2:$B$4, MATCH(E102, Unit_Paths!$A$2:$A$4, 0)),1)</f>
        <v>61.4</v>
      </c>
      <c r="I102" s="6" t="n">
        <f aca="false">ROUND(INDEX(Archetypes!$F$2:$F$127, MATCH(D102, Archetypes!$A$2:$A$127, 0))*INDEX(Unit_Grades!$B$2:$B$7, MATCH(F102, Unit_Grades!$A$2:$A$7, 0))*INDEX(Unit_Paths!$C$2:$C$4, MATCH(E102, Unit_Paths!$A$2:$A$4, 0)),1)</f>
        <v>21.8</v>
      </c>
      <c r="J102" s="6" t="n">
        <f aca="false">ROUND(INDEX(Archetypes!$G$2:$G$127, MATCH(D102, Archetypes!$A$2:$A$127, 0))*INDEX(Unit_Grades!$B$2:$B$7, MATCH(F102, Unit_Grades!$A$2:$A$7, 0))*INDEX(Unit_Paths!$D$2:$D$4, MATCH(E102, Unit_Paths!$A$2:$A$4, 0)),0)</f>
        <v>167</v>
      </c>
      <c r="K102" s="6" t="n">
        <f aca="false">ROUND(INDEX(Archetypes!$H$2:$H$127, MATCH(D102, Archetypes!$A$2:$A$127, 0))*INDEX(Unit_Paths!$E$2:$E$4, MATCH(E102, Unit_Paths!$A$2:$A$4, 0)),1)</f>
        <v>27.3</v>
      </c>
      <c r="L102" s="6" t="n">
        <f aca="false">ROUND(INDEX(Archetypes!$I$2:$I$127, MATCH(D102, Archetypes!$A$2:$A$127, 0))*INDEX(Unit_Grades!$C$2:$C$7, MATCH(F102, Unit_Grades!$A$2:$A$7, 0)),1)</f>
        <v>8.4</v>
      </c>
      <c r="M102" s="6" t="n">
        <f aca="false">ROUND(INDEX(Archetypes!$J$2:$J$127, MATCH(D102, Archetypes!$A$2:$A$127, 0))*INDEX(Unit_Grades!$D$2:$D$7, MATCH(F102, Unit_Grades!$A$2:$A$7, 0)),1)</f>
        <v>8.5</v>
      </c>
      <c r="N102" s="6" t="n">
        <f aca="false">ROUND(M102/24,2)</f>
        <v>0.35</v>
      </c>
    </row>
    <row r="103" customFormat="false" ht="15" hidden="false" customHeight="true" outlineLevel="0" collapsed="false">
      <c r="A103" s="6" t="n">
        <v>1</v>
      </c>
      <c r="B103" s="6" t="s">
        <v>1665</v>
      </c>
      <c r="C103" s="6" t="s">
        <v>1263</v>
      </c>
      <c r="D103" s="6" t="str">
        <f aca="false">A103&amp;"|"&amp;C103</f>
        <v>1|Raider</v>
      </c>
      <c r="E103" s="6" t="s">
        <v>1558</v>
      </c>
      <c r="F103" s="6" t="s">
        <v>1548</v>
      </c>
      <c r="G103" s="6" t="str">
        <f aca="false">INDEX(Archetypes!$D$2:$D$127, MATCH(D103, Archetypes!$A$2:$A$127, 0))</f>
        <v>Skirmisher</v>
      </c>
      <c r="H103" s="6" t="n">
        <f aca="false">ROUND(INDEX(Archetypes!$E$2:$E$127, MATCH(D103, Archetypes!$A$2:$A$127, 0))*INDEX(Unit_Grades!$B$2:$B$7, MATCH(F103, Unit_Grades!$A$2:$A$7, 0))*INDEX(Unit_Paths!$B$2:$B$4, MATCH(E103, Unit_Paths!$A$2:$A$4, 0)),1)</f>
        <v>80.6</v>
      </c>
      <c r="I103" s="6" t="n">
        <f aca="false">ROUND(INDEX(Archetypes!$F$2:$F$127, MATCH(D103, Archetypes!$A$2:$A$127, 0))*INDEX(Unit_Grades!$B$2:$B$7, MATCH(F103, Unit_Grades!$A$2:$A$7, 0))*INDEX(Unit_Paths!$C$2:$C$4, MATCH(E103, Unit_Paths!$A$2:$A$4, 0)),1)</f>
        <v>28.6</v>
      </c>
      <c r="J103" s="6" t="n">
        <f aca="false">ROUND(INDEX(Archetypes!$G$2:$G$127, MATCH(D103, Archetypes!$A$2:$A$127, 0))*INDEX(Unit_Grades!$B$2:$B$7, MATCH(F103, Unit_Grades!$A$2:$A$7, 0))*INDEX(Unit_Paths!$D$2:$D$4, MATCH(E103, Unit_Paths!$A$2:$A$4, 0)),0)</f>
        <v>219</v>
      </c>
      <c r="K103" s="6" t="n">
        <f aca="false">ROUND(INDEX(Archetypes!$H$2:$H$127, MATCH(D103, Archetypes!$A$2:$A$127, 0))*INDEX(Unit_Paths!$E$2:$E$4, MATCH(E103, Unit_Paths!$A$2:$A$4, 0)),1)</f>
        <v>27.3</v>
      </c>
      <c r="L103" s="6" t="n">
        <f aca="false">ROUND(INDEX(Archetypes!$I$2:$I$127, MATCH(D103, Archetypes!$A$2:$A$127, 0))*INDEX(Unit_Grades!$C$2:$C$7, MATCH(F103, Unit_Grades!$A$2:$A$7, 0)),1)</f>
        <v>11.1</v>
      </c>
      <c r="M103" s="6" t="n">
        <f aca="false">ROUND(INDEX(Archetypes!$J$2:$J$127, MATCH(D103, Archetypes!$A$2:$A$127, 0))*INDEX(Unit_Grades!$D$2:$D$7, MATCH(F103, Unit_Grades!$A$2:$A$7, 0)),1)</f>
        <v>14.6</v>
      </c>
      <c r="N103" s="6" t="n">
        <f aca="false">ROUND(M103/24,2)</f>
        <v>0.61</v>
      </c>
    </row>
    <row r="104" customFormat="false" ht="15" hidden="false" customHeight="true" outlineLevel="0" collapsed="false">
      <c r="A104" s="6" t="n">
        <v>1</v>
      </c>
      <c r="B104" s="6" t="s">
        <v>1666</v>
      </c>
      <c r="C104" s="6" t="s">
        <v>1263</v>
      </c>
      <c r="D104" s="6" t="str">
        <f aca="false">A104&amp;"|"&amp;C104</f>
        <v>1|Raider</v>
      </c>
      <c r="E104" s="6" t="s">
        <v>1560</v>
      </c>
      <c r="F104" s="6" t="s">
        <v>1538</v>
      </c>
      <c r="G104" s="6" t="str">
        <f aca="false">INDEX(Archetypes!$D$2:$D$127, MATCH(D104, Archetypes!$A$2:$A$127, 0))</f>
        <v>Skirmisher</v>
      </c>
      <c r="H104" s="6" t="n">
        <f aca="false">ROUND(INDEX(Archetypes!$E$2:$E$127, MATCH(D104, Archetypes!$A$2:$A$127, 0))*INDEX(Unit_Grades!$B$2:$B$7, MATCH(F104, Unit_Grades!$A$2:$A$7, 0))*INDEX(Unit_Paths!$B$2:$B$4, MATCH(E104, Unit_Paths!$A$2:$A$4, 0)),1)</f>
        <v>13.6</v>
      </c>
      <c r="I104" s="6" t="n">
        <f aca="false">ROUND(INDEX(Archetypes!$F$2:$F$127, MATCH(D104, Archetypes!$A$2:$A$127, 0))*INDEX(Unit_Grades!$B$2:$B$7, MATCH(F104, Unit_Grades!$A$2:$A$7, 0))*INDEX(Unit_Paths!$C$2:$C$4, MATCH(E104, Unit_Paths!$A$2:$A$4, 0)),1)</f>
        <v>10</v>
      </c>
      <c r="J104" s="6" t="n">
        <f aca="false">ROUND(INDEX(Archetypes!$G$2:$G$127, MATCH(D104, Archetypes!$A$2:$A$127, 0))*INDEX(Unit_Grades!$B$2:$B$7, MATCH(F104, Unit_Grades!$A$2:$A$7, 0))*INDEX(Unit_Paths!$D$2:$D$4, MATCH(E104, Unit_Paths!$A$2:$A$4, 0)),0)</f>
        <v>63</v>
      </c>
      <c r="K104" s="6" t="n">
        <f aca="false">ROUND(INDEX(Archetypes!$H$2:$H$127, MATCH(D104, Archetypes!$A$2:$A$127, 0))*INDEX(Unit_Paths!$E$2:$E$4, MATCH(E104, Unit_Paths!$A$2:$A$4, 0)),1)</f>
        <v>23.9</v>
      </c>
      <c r="L104" s="6" t="n">
        <f aca="false">ROUND(INDEX(Archetypes!$I$2:$I$127, MATCH(D104, Archetypes!$A$2:$A$127, 0))*INDEX(Unit_Grades!$C$2:$C$7, MATCH(F104, Unit_Grades!$A$2:$A$7, 0)),1)</f>
        <v>3</v>
      </c>
      <c r="M104" s="6" t="n">
        <f aca="false">ROUND(INDEX(Archetypes!$J$2:$J$127, MATCH(D104, Archetypes!$A$2:$A$127, 0))*INDEX(Unit_Grades!$D$2:$D$7, MATCH(F104, Unit_Grades!$A$2:$A$7, 0)),1)</f>
        <v>1.2</v>
      </c>
      <c r="N104" s="6" t="n">
        <f aca="false">ROUND(M104/24,2)</f>
        <v>0.05</v>
      </c>
    </row>
    <row r="105" customFormat="false" ht="15" hidden="false" customHeight="true" outlineLevel="0" collapsed="false">
      <c r="A105" s="6" t="n">
        <v>1</v>
      </c>
      <c r="B105" s="6" t="s">
        <v>1667</v>
      </c>
      <c r="C105" s="6" t="s">
        <v>1263</v>
      </c>
      <c r="D105" s="6" t="str">
        <f aca="false">A105&amp;"|"&amp;C105</f>
        <v>1|Raider</v>
      </c>
      <c r="E105" s="6" t="s">
        <v>1560</v>
      </c>
      <c r="F105" s="6" t="s">
        <v>1540</v>
      </c>
      <c r="G105" s="6" t="str">
        <f aca="false">INDEX(Archetypes!$D$2:$D$127, MATCH(D105, Archetypes!$A$2:$A$127, 0))</f>
        <v>Skirmisher</v>
      </c>
      <c r="H105" s="6" t="n">
        <f aca="false">ROUND(INDEX(Archetypes!$E$2:$E$127, MATCH(D105, Archetypes!$A$2:$A$127, 0))*INDEX(Unit_Grades!$B$2:$B$7, MATCH(F105, Unit_Grades!$A$2:$A$7, 0))*INDEX(Unit_Paths!$B$2:$B$4, MATCH(E105, Unit_Paths!$A$2:$A$4, 0)),1)</f>
        <v>18.4</v>
      </c>
      <c r="I105" s="6" t="n">
        <f aca="false">ROUND(INDEX(Archetypes!$F$2:$F$127, MATCH(D105, Archetypes!$A$2:$A$127, 0))*INDEX(Unit_Grades!$B$2:$B$7, MATCH(F105, Unit_Grades!$A$2:$A$7, 0))*INDEX(Unit_Paths!$C$2:$C$4, MATCH(E105, Unit_Paths!$A$2:$A$4, 0)),1)</f>
        <v>13.5</v>
      </c>
      <c r="J105" s="6" t="n">
        <f aca="false">ROUND(INDEX(Archetypes!$G$2:$G$127, MATCH(D105, Archetypes!$A$2:$A$127, 0))*INDEX(Unit_Grades!$B$2:$B$7, MATCH(F105, Unit_Grades!$A$2:$A$7, 0))*INDEX(Unit_Paths!$D$2:$D$4, MATCH(E105, Unit_Paths!$A$2:$A$4, 0)),0)</f>
        <v>85</v>
      </c>
      <c r="K105" s="6" t="n">
        <f aca="false">ROUND(INDEX(Archetypes!$H$2:$H$127, MATCH(D105, Archetypes!$A$2:$A$127, 0))*INDEX(Unit_Paths!$E$2:$E$4, MATCH(E105, Unit_Paths!$A$2:$A$4, 0)),1)</f>
        <v>23.9</v>
      </c>
      <c r="L105" s="6" t="n">
        <f aca="false">ROUND(INDEX(Archetypes!$I$2:$I$127, MATCH(D105, Archetypes!$A$2:$A$127, 0))*INDEX(Unit_Grades!$C$2:$C$7, MATCH(F105, Unit_Grades!$A$2:$A$7, 0)),1)</f>
        <v>3.8</v>
      </c>
      <c r="M105" s="6" t="n">
        <f aca="false">ROUND(INDEX(Archetypes!$J$2:$J$127, MATCH(D105, Archetypes!$A$2:$A$127, 0))*INDEX(Unit_Grades!$D$2:$D$7, MATCH(F105, Unit_Grades!$A$2:$A$7, 0)),1)</f>
        <v>1.8</v>
      </c>
      <c r="N105" s="6" t="n">
        <f aca="false">ROUND(M105/24,2)</f>
        <v>0.08</v>
      </c>
    </row>
    <row r="106" customFormat="false" ht="15" hidden="false" customHeight="true" outlineLevel="0" collapsed="false">
      <c r="A106" s="6" t="n">
        <v>1</v>
      </c>
      <c r="B106" s="6" t="s">
        <v>1668</v>
      </c>
      <c r="C106" s="6" t="s">
        <v>1263</v>
      </c>
      <c r="D106" s="6" t="str">
        <f aca="false">A106&amp;"|"&amp;C106</f>
        <v>1|Raider</v>
      </c>
      <c r="E106" s="6" t="s">
        <v>1560</v>
      </c>
      <c r="F106" s="6" t="s">
        <v>1542</v>
      </c>
      <c r="G106" s="6" t="str">
        <f aca="false">INDEX(Archetypes!$D$2:$D$127, MATCH(D106, Archetypes!$A$2:$A$127, 0))</f>
        <v>Skirmisher</v>
      </c>
      <c r="H106" s="6" t="n">
        <f aca="false">ROUND(INDEX(Archetypes!$E$2:$E$127, MATCH(D106, Archetypes!$A$2:$A$127, 0))*INDEX(Unit_Grades!$B$2:$B$7, MATCH(F106, Unit_Grades!$A$2:$A$7, 0))*INDEX(Unit_Paths!$B$2:$B$4, MATCH(E106, Unit_Paths!$A$2:$A$4, 0)),1)</f>
        <v>24.5</v>
      </c>
      <c r="I106" s="6" t="n">
        <f aca="false">ROUND(INDEX(Archetypes!$F$2:$F$127, MATCH(D106, Archetypes!$A$2:$A$127, 0))*INDEX(Unit_Grades!$B$2:$B$7, MATCH(F106, Unit_Grades!$A$2:$A$7, 0))*INDEX(Unit_Paths!$C$2:$C$4, MATCH(E106, Unit_Paths!$A$2:$A$4, 0)),1)</f>
        <v>18</v>
      </c>
      <c r="J106" s="6" t="n">
        <f aca="false">ROUND(INDEX(Archetypes!$G$2:$G$127, MATCH(D106, Archetypes!$A$2:$A$127, 0))*INDEX(Unit_Grades!$B$2:$B$7, MATCH(F106, Unit_Grades!$A$2:$A$7, 0))*INDEX(Unit_Paths!$D$2:$D$4, MATCH(E106, Unit_Paths!$A$2:$A$4, 0)),0)</f>
        <v>114</v>
      </c>
      <c r="K106" s="6" t="n">
        <f aca="false">ROUND(INDEX(Archetypes!$H$2:$H$127, MATCH(D106, Archetypes!$A$2:$A$127, 0))*INDEX(Unit_Paths!$E$2:$E$4, MATCH(E106, Unit_Paths!$A$2:$A$4, 0)),1)</f>
        <v>23.9</v>
      </c>
      <c r="L106" s="6" t="n">
        <f aca="false">ROUND(INDEX(Archetypes!$I$2:$I$127, MATCH(D106, Archetypes!$A$2:$A$127, 0))*INDEX(Unit_Grades!$C$2:$C$7, MATCH(F106, Unit_Grades!$A$2:$A$7, 0)),1)</f>
        <v>4.8</v>
      </c>
      <c r="M106" s="6" t="n">
        <f aca="false">ROUND(INDEX(Archetypes!$J$2:$J$127, MATCH(D106, Archetypes!$A$2:$A$127, 0))*INDEX(Unit_Grades!$D$2:$D$7, MATCH(F106, Unit_Grades!$A$2:$A$7, 0)),1)</f>
        <v>3.1</v>
      </c>
      <c r="N106" s="6" t="n">
        <f aca="false">ROUND(M106/24,2)</f>
        <v>0.13</v>
      </c>
    </row>
    <row r="107" customFormat="false" ht="15" hidden="false" customHeight="true" outlineLevel="0" collapsed="false">
      <c r="A107" s="6" t="n">
        <v>1</v>
      </c>
      <c r="B107" s="6" t="s">
        <v>1669</v>
      </c>
      <c r="C107" s="6" t="s">
        <v>1263</v>
      </c>
      <c r="D107" s="6" t="str">
        <f aca="false">A107&amp;"|"&amp;C107</f>
        <v>1|Raider</v>
      </c>
      <c r="E107" s="6" t="s">
        <v>1560</v>
      </c>
      <c r="F107" s="6" t="s">
        <v>1544</v>
      </c>
      <c r="G107" s="6" t="str">
        <f aca="false">INDEX(Archetypes!$D$2:$D$127, MATCH(D107, Archetypes!$A$2:$A$127, 0))</f>
        <v>Skirmisher</v>
      </c>
      <c r="H107" s="6" t="n">
        <f aca="false">ROUND(INDEX(Archetypes!$E$2:$E$127, MATCH(D107, Archetypes!$A$2:$A$127, 0))*INDEX(Unit_Grades!$B$2:$B$7, MATCH(F107, Unit_Grades!$A$2:$A$7, 0))*INDEX(Unit_Paths!$B$2:$B$4, MATCH(E107, Unit_Paths!$A$2:$A$4, 0)),1)</f>
        <v>32.6</v>
      </c>
      <c r="I107" s="6" t="n">
        <f aca="false">ROUND(INDEX(Archetypes!$F$2:$F$127, MATCH(D107, Archetypes!$A$2:$A$127, 0))*INDEX(Unit_Grades!$B$2:$B$7, MATCH(F107, Unit_Grades!$A$2:$A$7, 0))*INDEX(Unit_Paths!$C$2:$C$4, MATCH(E107, Unit_Paths!$A$2:$A$4, 0)),1)</f>
        <v>24</v>
      </c>
      <c r="J107" s="6" t="n">
        <f aca="false">ROUND(INDEX(Archetypes!$G$2:$G$127, MATCH(D107, Archetypes!$A$2:$A$127, 0))*INDEX(Unit_Grades!$B$2:$B$7, MATCH(F107, Unit_Grades!$A$2:$A$7, 0))*INDEX(Unit_Paths!$D$2:$D$4, MATCH(E107, Unit_Paths!$A$2:$A$4, 0)),0)</f>
        <v>152</v>
      </c>
      <c r="K107" s="6" t="n">
        <f aca="false">ROUND(INDEX(Archetypes!$H$2:$H$127, MATCH(D107, Archetypes!$A$2:$A$127, 0))*INDEX(Unit_Paths!$E$2:$E$4, MATCH(E107, Unit_Paths!$A$2:$A$4, 0)),1)</f>
        <v>23.9</v>
      </c>
      <c r="L107" s="6" t="n">
        <f aca="false">ROUND(INDEX(Archetypes!$I$2:$I$127, MATCH(D107, Archetypes!$A$2:$A$127, 0))*INDEX(Unit_Grades!$C$2:$C$7, MATCH(F107, Unit_Grades!$A$2:$A$7, 0)),1)</f>
        <v>6.3</v>
      </c>
      <c r="M107" s="6" t="n">
        <f aca="false">ROUND(INDEX(Archetypes!$J$2:$J$127, MATCH(D107, Archetypes!$A$2:$A$127, 0))*INDEX(Unit_Grades!$D$2:$D$7, MATCH(F107, Unit_Grades!$A$2:$A$7, 0)),1)</f>
        <v>4.9</v>
      </c>
      <c r="N107" s="6" t="n">
        <f aca="false">ROUND(M107/24,2)</f>
        <v>0.2</v>
      </c>
    </row>
    <row r="108" customFormat="false" ht="15" hidden="false" customHeight="true" outlineLevel="0" collapsed="false">
      <c r="A108" s="6" t="n">
        <v>1</v>
      </c>
      <c r="B108" s="6" t="s">
        <v>1670</v>
      </c>
      <c r="C108" s="6" t="s">
        <v>1263</v>
      </c>
      <c r="D108" s="6" t="str">
        <f aca="false">A108&amp;"|"&amp;C108</f>
        <v>1|Raider</v>
      </c>
      <c r="E108" s="6" t="s">
        <v>1560</v>
      </c>
      <c r="F108" s="6" t="s">
        <v>1546</v>
      </c>
      <c r="G108" s="6" t="str">
        <f aca="false">INDEX(Archetypes!$D$2:$D$127, MATCH(D108, Archetypes!$A$2:$A$127, 0))</f>
        <v>Skirmisher</v>
      </c>
      <c r="H108" s="6" t="n">
        <f aca="false">ROUND(INDEX(Archetypes!$E$2:$E$127, MATCH(D108, Archetypes!$A$2:$A$127, 0))*INDEX(Unit_Grades!$B$2:$B$7, MATCH(F108, Unit_Grades!$A$2:$A$7, 0))*INDEX(Unit_Paths!$B$2:$B$4, MATCH(E108, Unit_Paths!$A$2:$A$4, 0)),1)</f>
        <v>43.5</v>
      </c>
      <c r="I108" s="6" t="n">
        <f aca="false">ROUND(INDEX(Archetypes!$F$2:$F$127, MATCH(D108, Archetypes!$A$2:$A$127, 0))*INDEX(Unit_Grades!$B$2:$B$7, MATCH(F108, Unit_Grades!$A$2:$A$7, 0))*INDEX(Unit_Paths!$C$2:$C$4, MATCH(E108, Unit_Paths!$A$2:$A$4, 0)),1)</f>
        <v>32</v>
      </c>
      <c r="J108" s="6" t="n">
        <f aca="false">ROUND(INDEX(Archetypes!$G$2:$G$127, MATCH(D108, Archetypes!$A$2:$A$127, 0))*INDEX(Unit_Grades!$B$2:$B$7, MATCH(F108, Unit_Grades!$A$2:$A$7, 0))*INDEX(Unit_Paths!$D$2:$D$4, MATCH(E108, Unit_Paths!$A$2:$A$4, 0)),0)</f>
        <v>202</v>
      </c>
      <c r="K108" s="6" t="n">
        <f aca="false">ROUND(INDEX(Archetypes!$H$2:$H$127, MATCH(D108, Archetypes!$A$2:$A$127, 0))*INDEX(Unit_Paths!$E$2:$E$4, MATCH(E108, Unit_Paths!$A$2:$A$4, 0)),1)</f>
        <v>23.9</v>
      </c>
      <c r="L108" s="6" t="n">
        <f aca="false">ROUND(INDEX(Archetypes!$I$2:$I$127, MATCH(D108, Archetypes!$A$2:$A$127, 0))*INDEX(Unit_Grades!$C$2:$C$7, MATCH(F108, Unit_Grades!$A$2:$A$7, 0)),1)</f>
        <v>8.4</v>
      </c>
      <c r="M108" s="6" t="n">
        <f aca="false">ROUND(INDEX(Archetypes!$J$2:$J$127, MATCH(D108, Archetypes!$A$2:$A$127, 0))*INDEX(Unit_Grades!$D$2:$D$7, MATCH(F108, Unit_Grades!$A$2:$A$7, 0)),1)</f>
        <v>8.5</v>
      </c>
      <c r="N108" s="6" t="n">
        <f aca="false">ROUND(M108/24,2)</f>
        <v>0.35</v>
      </c>
    </row>
    <row r="109" customFormat="false" ht="15" hidden="false" customHeight="true" outlineLevel="0" collapsed="false">
      <c r="A109" s="6" t="n">
        <v>1</v>
      </c>
      <c r="B109" s="6" t="s">
        <v>1671</v>
      </c>
      <c r="C109" s="6" t="s">
        <v>1263</v>
      </c>
      <c r="D109" s="6" t="str">
        <f aca="false">A109&amp;"|"&amp;C109</f>
        <v>1|Raider</v>
      </c>
      <c r="E109" s="6" t="s">
        <v>1560</v>
      </c>
      <c r="F109" s="6" t="s">
        <v>1548</v>
      </c>
      <c r="G109" s="6" t="str">
        <f aca="false">INDEX(Archetypes!$D$2:$D$127, MATCH(D109, Archetypes!$A$2:$A$127, 0))</f>
        <v>Skirmisher</v>
      </c>
      <c r="H109" s="6" t="n">
        <f aca="false">ROUND(INDEX(Archetypes!$E$2:$E$127, MATCH(D109, Archetypes!$A$2:$A$127, 0))*INDEX(Unit_Grades!$B$2:$B$7, MATCH(F109, Unit_Grades!$A$2:$A$7, 0))*INDEX(Unit_Paths!$B$2:$B$4, MATCH(E109, Unit_Paths!$A$2:$A$4, 0)),1)</f>
        <v>57.1</v>
      </c>
      <c r="I109" s="6" t="n">
        <f aca="false">ROUND(INDEX(Archetypes!$F$2:$F$127, MATCH(D109, Archetypes!$A$2:$A$127, 0))*INDEX(Unit_Grades!$B$2:$B$7, MATCH(F109, Unit_Grades!$A$2:$A$7, 0))*INDEX(Unit_Paths!$C$2:$C$4, MATCH(E109, Unit_Paths!$A$2:$A$4, 0)),1)</f>
        <v>42</v>
      </c>
      <c r="J109" s="6" t="n">
        <f aca="false">ROUND(INDEX(Archetypes!$G$2:$G$127, MATCH(D109, Archetypes!$A$2:$A$127, 0))*INDEX(Unit_Grades!$B$2:$B$7, MATCH(F109, Unit_Grades!$A$2:$A$7, 0))*INDEX(Unit_Paths!$D$2:$D$4, MATCH(E109, Unit_Paths!$A$2:$A$4, 0)),0)</f>
        <v>266</v>
      </c>
      <c r="K109" s="6" t="n">
        <f aca="false">ROUND(INDEX(Archetypes!$H$2:$H$127, MATCH(D109, Archetypes!$A$2:$A$127, 0))*INDEX(Unit_Paths!$E$2:$E$4, MATCH(E109, Unit_Paths!$A$2:$A$4, 0)),1)</f>
        <v>23.9</v>
      </c>
      <c r="L109" s="6" t="n">
        <f aca="false">ROUND(INDEX(Archetypes!$I$2:$I$127, MATCH(D109, Archetypes!$A$2:$A$127, 0))*INDEX(Unit_Grades!$C$2:$C$7, MATCH(F109, Unit_Grades!$A$2:$A$7, 0)),1)</f>
        <v>11.1</v>
      </c>
      <c r="M109" s="6" t="n">
        <f aca="false">ROUND(INDEX(Archetypes!$J$2:$J$127, MATCH(D109, Archetypes!$A$2:$A$127, 0))*INDEX(Unit_Grades!$D$2:$D$7, MATCH(F109, Unit_Grades!$A$2:$A$7, 0)),1)</f>
        <v>14.6</v>
      </c>
      <c r="N109" s="6" t="n">
        <f aca="false">ROUND(M109/24,2)</f>
        <v>0.61</v>
      </c>
    </row>
    <row r="110" customFormat="false" ht="15" hidden="false" customHeight="true" outlineLevel="0" collapsed="false">
      <c r="A110" s="6" t="n">
        <v>1</v>
      </c>
      <c r="B110" s="6" t="s">
        <v>1266</v>
      </c>
      <c r="C110" s="6" t="s">
        <v>1266</v>
      </c>
      <c r="D110" s="6" t="str">
        <f aca="false">A110&amp;"|"&amp;C110</f>
        <v>1|Scout</v>
      </c>
      <c r="E110" s="6" t="s">
        <v>1556</v>
      </c>
      <c r="F110" s="6" t="s">
        <v>1538</v>
      </c>
      <c r="G110" s="6" t="str">
        <f aca="false">INDEX(Archetypes!$D$2:$D$127, MATCH(D110, Archetypes!$A$2:$A$127, 0))</f>
        <v>Recon</v>
      </c>
      <c r="H110" s="6" t="n">
        <f aca="false">ROUND(INDEX(Archetypes!$E$2:$E$127, MATCH(D110, Archetypes!$A$2:$A$127, 0))*INDEX(Unit_Grades!$B$2:$B$7, MATCH(F110, Unit_Grades!$A$2:$A$7, 0))*INDEX(Unit_Paths!$B$2:$B$4, MATCH(E110, Unit_Paths!$A$2:$A$4, 0)),1)</f>
        <v>4</v>
      </c>
      <c r="I110" s="6" t="n">
        <f aca="false">ROUND(INDEX(Archetypes!$F$2:$F$127, MATCH(D110, Archetypes!$A$2:$A$127, 0))*INDEX(Unit_Grades!$B$2:$B$7, MATCH(F110, Unit_Grades!$A$2:$A$7, 0))*INDEX(Unit_Paths!$C$2:$C$4, MATCH(E110, Unit_Paths!$A$2:$A$4, 0)),1)</f>
        <v>4</v>
      </c>
      <c r="J110" s="6" t="n">
        <f aca="false">ROUND(INDEX(Archetypes!$G$2:$G$127, MATCH(D110, Archetypes!$A$2:$A$127, 0))*INDEX(Unit_Grades!$B$2:$B$7, MATCH(F110, Unit_Grades!$A$2:$A$7, 0))*INDEX(Unit_Paths!$D$2:$D$4, MATCH(E110, Unit_Paths!$A$2:$A$4, 0)),0)</f>
        <v>30</v>
      </c>
      <c r="K110" s="6" t="n">
        <f aca="false">ROUND(INDEX(Archetypes!$H$2:$H$127, MATCH(D110, Archetypes!$A$2:$A$127, 0))*INDEX(Unit_Paths!$E$2:$E$4, MATCH(E110, Unit_Paths!$A$2:$A$4, 0)),1)</f>
        <v>34</v>
      </c>
      <c r="L110" s="6" t="n">
        <f aca="false">ROUND(INDEX(Archetypes!$I$2:$I$127, MATCH(D110, Archetypes!$A$2:$A$127, 0))*INDEX(Unit_Grades!$C$2:$C$7, MATCH(F110, Unit_Grades!$A$2:$A$7, 0)),1)</f>
        <v>1</v>
      </c>
      <c r="M110" s="6" t="n">
        <f aca="false">ROUND(INDEX(Archetypes!$J$2:$J$127, MATCH(D110, Archetypes!$A$2:$A$127, 0))*INDEX(Unit_Grades!$D$2:$D$7, MATCH(F110, Unit_Grades!$A$2:$A$7, 0)),1)</f>
        <v>0.4</v>
      </c>
      <c r="N110" s="6" t="n">
        <f aca="false">ROUND(M110/24,2)</f>
        <v>0.02</v>
      </c>
    </row>
    <row r="111" customFormat="false" ht="15" hidden="false" customHeight="true" outlineLevel="0" collapsed="false">
      <c r="A111" s="6" t="n">
        <v>1</v>
      </c>
      <c r="B111" s="6" t="s">
        <v>1672</v>
      </c>
      <c r="C111" s="6" t="s">
        <v>1266</v>
      </c>
      <c r="D111" s="6" t="str">
        <f aca="false">A111&amp;"|"&amp;C111</f>
        <v>1|Scout</v>
      </c>
      <c r="E111" s="6" t="s">
        <v>1556</v>
      </c>
      <c r="F111" s="6" t="s">
        <v>1540</v>
      </c>
      <c r="G111" s="6" t="str">
        <f aca="false">INDEX(Archetypes!$D$2:$D$127, MATCH(D111, Archetypes!$A$2:$A$127, 0))</f>
        <v>Recon</v>
      </c>
      <c r="H111" s="6" t="n">
        <f aca="false">ROUND(INDEX(Archetypes!$E$2:$E$127, MATCH(D111, Archetypes!$A$2:$A$127, 0))*INDEX(Unit_Grades!$B$2:$B$7, MATCH(F111, Unit_Grades!$A$2:$A$7, 0))*INDEX(Unit_Paths!$B$2:$B$4, MATCH(E111, Unit_Paths!$A$2:$A$4, 0)),1)</f>
        <v>5.4</v>
      </c>
      <c r="I111" s="6" t="n">
        <f aca="false">ROUND(INDEX(Archetypes!$F$2:$F$127, MATCH(D111, Archetypes!$A$2:$A$127, 0))*INDEX(Unit_Grades!$B$2:$B$7, MATCH(F111, Unit_Grades!$A$2:$A$7, 0))*INDEX(Unit_Paths!$C$2:$C$4, MATCH(E111, Unit_Paths!$A$2:$A$4, 0)),1)</f>
        <v>5.4</v>
      </c>
      <c r="J111" s="6" t="n">
        <f aca="false">ROUND(INDEX(Archetypes!$G$2:$G$127, MATCH(D111, Archetypes!$A$2:$A$127, 0))*INDEX(Unit_Grades!$B$2:$B$7, MATCH(F111, Unit_Grades!$A$2:$A$7, 0))*INDEX(Unit_Paths!$D$2:$D$4, MATCH(E111, Unit_Paths!$A$2:$A$4, 0)),0)</f>
        <v>41</v>
      </c>
      <c r="K111" s="6" t="n">
        <f aca="false">ROUND(INDEX(Archetypes!$H$2:$H$127, MATCH(D111, Archetypes!$A$2:$A$127, 0))*INDEX(Unit_Paths!$E$2:$E$4, MATCH(E111, Unit_Paths!$A$2:$A$4, 0)),1)</f>
        <v>34</v>
      </c>
      <c r="L111" s="6" t="n">
        <f aca="false">ROUND(INDEX(Archetypes!$I$2:$I$127, MATCH(D111, Archetypes!$A$2:$A$127, 0))*INDEX(Unit_Grades!$C$2:$C$7, MATCH(F111, Unit_Grades!$A$2:$A$7, 0)),1)</f>
        <v>1.3</v>
      </c>
      <c r="M111" s="6" t="n">
        <f aca="false">ROUND(INDEX(Archetypes!$J$2:$J$127, MATCH(D111, Archetypes!$A$2:$A$127, 0))*INDEX(Unit_Grades!$D$2:$D$7, MATCH(F111, Unit_Grades!$A$2:$A$7, 0)),1)</f>
        <v>0.6</v>
      </c>
      <c r="N111" s="6" t="n">
        <f aca="false">ROUND(M111/24,2)</f>
        <v>0.03</v>
      </c>
    </row>
    <row r="112" customFormat="false" ht="15" hidden="false" customHeight="true" outlineLevel="0" collapsed="false">
      <c r="A112" s="6" t="n">
        <v>1</v>
      </c>
      <c r="B112" s="6" t="s">
        <v>1673</v>
      </c>
      <c r="C112" s="6" t="s">
        <v>1266</v>
      </c>
      <c r="D112" s="6" t="str">
        <f aca="false">A112&amp;"|"&amp;C112</f>
        <v>1|Scout</v>
      </c>
      <c r="E112" s="6" t="s">
        <v>1556</v>
      </c>
      <c r="F112" s="6" t="s">
        <v>1542</v>
      </c>
      <c r="G112" s="6" t="str">
        <f aca="false">INDEX(Archetypes!$D$2:$D$127, MATCH(D112, Archetypes!$A$2:$A$127, 0))</f>
        <v>Recon</v>
      </c>
      <c r="H112" s="6" t="n">
        <f aca="false">ROUND(INDEX(Archetypes!$E$2:$E$127, MATCH(D112, Archetypes!$A$2:$A$127, 0))*INDEX(Unit_Grades!$B$2:$B$7, MATCH(F112, Unit_Grades!$A$2:$A$7, 0))*INDEX(Unit_Paths!$B$2:$B$4, MATCH(E112, Unit_Paths!$A$2:$A$4, 0)),1)</f>
        <v>7.2</v>
      </c>
      <c r="I112" s="6" t="n">
        <f aca="false">ROUND(INDEX(Archetypes!$F$2:$F$127, MATCH(D112, Archetypes!$A$2:$A$127, 0))*INDEX(Unit_Grades!$B$2:$B$7, MATCH(F112, Unit_Grades!$A$2:$A$7, 0))*INDEX(Unit_Paths!$C$2:$C$4, MATCH(E112, Unit_Paths!$A$2:$A$4, 0)),1)</f>
        <v>7.2</v>
      </c>
      <c r="J112" s="6" t="n">
        <f aca="false">ROUND(INDEX(Archetypes!$G$2:$G$127, MATCH(D112, Archetypes!$A$2:$A$127, 0))*INDEX(Unit_Grades!$B$2:$B$7, MATCH(F112, Unit_Grades!$A$2:$A$7, 0))*INDEX(Unit_Paths!$D$2:$D$4, MATCH(E112, Unit_Paths!$A$2:$A$4, 0)),0)</f>
        <v>54</v>
      </c>
      <c r="K112" s="6" t="n">
        <f aca="false">ROUND(INDEX(Archetypes!$H$2:$H$127, MATCH(D112, Archetypes!$A$2:$A$127, 0))*INDEX(Unit_Paths!$E$2:$E$4, MATCH(E112, Unit_Paths!$A$2:$A$4, 0)),1)</f>
        <v>34</v>
      </c>
      <c r="L112" s="6" t="n">
        <f aca="false">ROUND(INDEX(Archetypes!$I$2:$I$127, MATCH(D112, Archetypes!$A$2:$A$127, 0))*INDEX(Unit_Grades!$C$2:$C$7, MATCH(F112, Unit_Grades!$A$2:$A$7, 0)),1)</f>
        <v>1.6</v>
      </c>
      <c r="M112" s="6" t="n">
        <f aca="false">ROUND(INDEX(Archetypes!$J$2:$J$127, MATCH(D112, Archetypes!$A$2:$A$127, 0))*INDEX(Unit_Grades!$D$2:$D$7, MATCH(F112, Unit_Grades!$A$2:$A$7, 0)),1)</f>
        <v>1</v>
      </c>
      <c r="N112" s="6" t="n">
        <f aca="false">ROUND(M112/24,2)</f>
        <v>0.04</v>
      </c>
    </row>
    <row r="113" customFormat="false" ht="15" hidden="false" customHeight="true" outlineLevel="0" collapsed="false">
      <c r="A113" s="6" t="n">
        <v>1</v>
      </c>
      <c r="B113" s="6" t="s">
        <v>1674</v>
      </c>
      <c r="C113" s="6" t="s">
        <v>1266</v>
      </c>
      <c r="D113" s="6" t="str">
        <f aca="false">A113&amp;"|"&amp;C113</f>
        <v>1|Scout</v>
      </c>
      <c r="E113" s="6" t="s">
        <v>1556</v>
      </c>
      <c r="F113" s="6" t="s">
        <v>1544</v>
      </c>
      <c r="G113" s="6" t="str">
        <f aca="false">INDEX(Archetypes!$D$2:$D$127, MATCH(D113, Archetypes!$A$2:$A$127, 0))</f>
        <v>Recon</v>
      </c>
      <c r="H113" s="6" t="n">
        <f aca="false">ROUND(INDEX(Archetypes!$E$2:$E$127, MATCH(D113, Archetypes!$A$2:$A$127, 0))*INDEX(Unit_Grades!$B$2:$B$7, MATCH(F113, Unit_Grades!$A$2:$A$7, 0))*INDEX(Unit_Paths!$B$2:$B$4, MATCH(E113, Unit_Paths!$A$2:$A$4, 0)),1)</f>
        <v>9.6</v>
      </c>
      <c r="I113" s="6" t="n">
        <f aca="false">ROUND(INDEX(Archetypes!$F$2:$F$127, MATCH(D113, Archetypes!$A$2:$A$127, 0))*INDEX(Unit_Grades!$B$2:$B$7, MATCH(F113, Unit_Grades!$A$2:$A$7, 0))*INDEX(Unit_Paths!$C$2:$C$4, MATCH(E113, Unit_Paths!$A$2:$A$4, 0)),1)</f>
        <v>9.6</v>
      </c>
      <c r="J113" s="6" t="n">
        <f aca="false">ROUND(INDEX(Archetypes!$G$2:$G$127, MATCH(D113, Archetypes!$A$2:$A$127, 0))*INDEX(Unit_Grades!$B$2:$B$7, MATCH(F113, Unit_Grades!$A$2:$A$7, 0))*INDEX(Unit_Paths!$D$2:$D$4, MATCH(E113, Unit_Paths!$A$2:$A$4, 0)),0)</f>
        <v>72</v>
      </c>
      <c r="K113" s="6" t="n">
        <f aca="false">ROUND(INDEX(Archetypes!$H$2:$H$127, MATCH(D113, Archetypes!$A$2:$A$127, 0))*INDEX(Unit_Paths!$E$2:$E$4, MATCH(E113, Unit_Paths!$A$2:$A$4, 0)),1)</f>
        <v>34</v>
      </c>
      <c r="L113" s="6" t="n">
        <f aca="false">ROUND(INDEX(Archetypes!$I$2:$I$127, MATCH(D113, Archetypes!$A$2:$A$127, 0))*INDEX(Unit_Grades!$C$2:$C$7, MATCH(F113, Unit_Grades!$A$2:$A$7, 0)),1)</f>
        <v>2.1</v>
      </c>
      <c r="M113" s="6" t="n">
        <f aca="false">ROUND(INDEX(Archetypes!$J$2:$J$127, MATCH(D113, Archetypes!$A$2:$A$127, 0))*INDEX(Unit_Grades!$D$2:$D$7, MATCH(F113, Unit_Grades!$A$2:$A$7, 0)),1)</f>
        <v>1.6</v>
      </c>
      <c r="N113" s="6" t="n">
        <f aca="false">ROUND(M113/24,2)</f>
        <v>0.07</v>
      </c>
    </row>
    <row r="114" customFormat="false" ht="15" hidden="false" customHeight="true" outlineLevel="0" collapsed="false">
      <c r="A114" s="6" t="n">
        <v>1</v>
      </c>
      <c r="B114" s="6" t="s">
        <v>1675</v>
      </c>
      <c r="C114" s="6" t="s">
        <v>1266</v>
      </c>
      <c r="D114" s="6" t="str">
        <f aca="false">A114&amp;"|"&amp;C114</f>
        <v>1|Scout</v>
      </c>
      <c r="E114" s="6" t="s">
        <v>1556</v>
      </c>
      <c r="F114" s="6" t="s">
        <v>1546</v>
      </c>
      <c r="G114" s="6" t="str">
        <f aca="false">INDEX(Archetypes!$D$2:$D$127, MATCH(D114, Archetypes!$A$2:$A$127, 0))</f>
        <v>Recon</v>
      </c>
      <c r="H114" s="6" t="n">
        <f aca="false">ROUND(INDEX(Archetypes!$E$2:$E$127, MATCH(D114, Archetypes!$A$2:$A$127, 0))*INDEX(Unit_Grades!$B$2:$B$7, MATCH(F114, Unit_Grades!$A$2:$A$7, 0))*INDEX(Unit_Paths!$B$2:$B$4, MATCH(E114, Unit_Paths!$A$2:$A$4, 0)),1)</f>
        <v>12.8</v>
      </c>
      <c r="I114" s="6" t="n">
        <f aca="false">ROUND(INDEX(Archetypes!$F$2:$F$127, MATCH(D114, Archetypes!$A$2:$A$127, 0))*INDEX(Unit_Grades!$B$2:$B$7, MATCH(F114, Unit_Grades!$A$2:$A$7, 0))*INDEX(Unit_Paths!$C$2:$C$4, MATCH(E114, Unit_Paths!$A$2:$A$4, 0)),1)</f>
        <v>12.8</v>
      </c>
      <c r="J114" s="6" t="n">
        <f aca="false">ROUND(INDEX(Archetypes!$G$2:$G$127, MATCH(D114, Archetypes!$A$2:$A$127, 0))*INDEX(Unit_Grades!$B$2:$B$7, MATCH(F114, Unit_Grades!$A$2:$A$7, 0))*INDEX(Unit_Paths!$D$2:$D$4, MATCH(E114, Unit_Paths!$A$2:$A$4, 0)),0)</f>
        <v>96</v>
      </c>
      <c r="K114" s="6" t="n">
        <f aca="false">ROUND(INDEX(Archetypes!$H$2:$H$127, MATCH(D114, Archetypes!$A$2:$A$127, 0))*INDEX(Unit_Paths!$E$2:$E$4, MATCH(E114, Unit_Paths!$A$2:$A$4, 0)),1)</f>
        <v>34</v>
      </c>
      <c r="L114" s="6" t="n">
        <f aca="false">ROUND(INDEX(Archetypes!$I$2:$I$127, MATCH(D114, Archetypes!$A$2:$A$127, 0))*INDEX(Unit_Grades!$C$2:$C$7, MATCH(F114, Unit_Grades!$A$2:$A$7, 0)),1)</f>
        <v>2.8</v>
      </c>
      <c r="M114" s="6" t="n">
        <f aca="false">ROUND(INDEX(Archetypes!$J$2:$J$127, MATCH(D114, Archetypes!$A$2:$A$127, 0))*INDEX(Unit_Grades!$D$2:$D$7, MATCH(F114, Unit_Grades!$A$2:$A$7, 0)),1)</f>
        <v>2.9</v>
      </c>
      <c r="N114" s="6" t="n">
        <f aca="false">ROUND(M114/24,2)</f>
        <v>0.12</v>
      </c>
    </row>
    <row r="115" customFormat="false" ht="15" hidden="false" customHeight="true" outlineLevel="0" collapsed="false">
      <c r="A115" s="6" t="n">
        <v>1</v>
      </c>
      <c r="B115" s="6" t="s">
        <v>1676</v>
      </c>
      <c r="C115" s="6" t="s">
        <v>1266</v>
      </c>
      <c r="D115" s="6" t="str">
        <f aca="false">A115&amp;"|"&amp;C115</f>
        <v>1|Scout</v>
      </c>
      <c r="E115" s="6" t="s">
        <v>1556</v>
      </c>
      <c r="F115" s="6" t="s">
        <v>1548</v>
      </c>
      <c r="G115" s="6" t="str">
        <f aca="false">INDEX(Archetypes!$D$2:$D$127, MATCH(D115, Archetypes!$A$2:$A$127, 0))</f>
        <v>Recon</v>
      </c>
      <c r="H115" s="6" t="n">
        <f aca="false">ROUND(INDEX(Archetypes!$E$2:$E$127, MATCH(D115, Archetypes!$A$2:$A$127, 0))*INDEX(Unit_Grades!$B$2:$B$7, MATCH(F115, Unit_Grades!$A$2:$A$7, 0))*INDEX(Unit_Paths!$B$2:$B$4, MATCH(E115, Unit_Paths!$A$2:$A$4, 0)),1)</f>
        <v>16.8</v>
      </c>
      <c r="I115" s="6" t="n">
        <f aca="false">ROUND(INDEX(Archetypes!$F$2:$F$127, MATCH(D115, Archetypes!$A$2:$A$127, 0))*INDEX(Unit_Grades!$B$2:$B$7, MATCH(F115, Unit_Grades!$A$2:$A$7, 0))*INDEX(Unit_Paths!$C$2:$C$4, MATCH(E115, Unit_Paths!$A$2:$A$4, 0)),1)</f>
        <v>16.8</v>
      </c>
      <c r="J115" s="6" t="n">
        <f aca="false">ROUND(INDEX(Archetypes!$G$2:$G$127, MATCH(D115, Archetypes!$A$2:$A$127, 0))*INDEX(Unit_Grades!$B$2:$B$7, MATCH(F115, Unit_Grades!$A$2:$A$7, 0))*INDEX(Unit_Paths!$D$2:$D$4, MATCH(E115, Unit_Paths!$A$2:$A$4, 0)),0)</f>
        <v>126</v>
      </c>
      <c r="K115" s="6" t="n">
        <f aca="false">ROUND(INDEX(Archetypes!$H$2:$H$127, MATCH(D115, Archetypes!$A$2:$A$127, 0))*INDEX(Unit_Paths!$E$2:$E$4, MATCH(E115, Unit_Paths!$A$2:$A$4, 0)),1)</f>
        <v>34</v>
      </c>
      <c r="L115" s="6" t="n">
        <f aca="false">ROUND(INDEX(Archetypes!$I$2:$I$127, MATCH(D115, Archetypes!$A$2:$A$127, 0))*INDEX(Unit_Grades!$C$2:$C$7, MATCH(F115, Unit_Grades!$A$2:$A$7, 0)),1)</f>
        <v>3.7</v>
      </c>
      <c r="M115" s="6" t="n">
        <f aca="false">ROUND(INDEX(Archetypes!$J$2:$J$127, MATCH(D115, Archetypes!$A$2:$A$127, 0))*INDEX(Unit_Grades!$D$2:$D$7, MATCH(F115, Unit_Grades!$A$2:$A$7, 0)),1)</f>
        <v>4.9</v>
      </c>
      <c r="N115" s="6" t="n">
        <f aca="false">ROUND(M115/24,2)</f>
        <v>0.2</v>
      </c>
    </row>
    <row r="116" customFormat="false" ht="15" hidden="false" customHeight="true" outlineLevel="0" collapsed="false">
      <c r="A116" s="6" t="n">
        <v>1</v>
      </c>
      <c r="B116" s="6" t="s">
        <v>1677</v>
      </c>
      <c r="C116" s="6" t="s">
        <v>1266</v>
      </c>
      <c r="D116" s="6" t="str">
        <f aca="false">A116&amp;"|"&amp;C116</f>
        <v>1|Scout</v>
      </c>
      <c r="E116" s="6" t="s">
        <v>1558</v>
      </c>
      <c r="F116" s="6" t="s">
        <v>1538</v>
      </c>
      <c r="G116" s="6" t="str">
        <f aca="false">INDEX(Archetypes!$D$2:$D$127, MATCH(D116, Archetypes!$A$2:$A$127, 0))</f>
        <v>Recon</v>
      </c>
      <c r="H116" s="6" t="n">
        <f aca="false">ROUND(INDEX(Archetypes!$E$2:$E$127, MATCH(D116, Archetypes!$A$2:$A$127, 0))*INDEX(Unit_Grades!$B$2:$B$7, MATCH(F116, Unit_Grades!$A$2:$A$7, 0))*INDEX(Unit_Paths!$B$2:$B$4, MATCH(E116, Unit_Paths!$A$2:$A$4, 0)),1)</f>
        <v>4.8</v>
      </c>
      <c r="I116" s="6" t="n">
        <f aca="false">ROUND(INDEX(Archetypes!$F$2:$F$127, MATCH(D116, Archetypes!$A$2:$A$127, 0))*INDEX(Unit_Grades!$B$2:$B$7, MATCH(F116, Unit_Grades!$A$2:$A$7, 0))*INDEX(Unit_Paths!$C$2:$C$4, MATCH(E116, Unit_Paths!$A$2:$A$4, 0)),1)</f>
        <v>3.4</v>
      </c>
      <c r="J116" s="6" t="n">
        <f aca="false">ROUND(INDEX(Archetypes!$G$2:$G$127, MATCH(D116, Archetypes!$A$2:$A$127, 0))*INDEX(Unit_Grades!$B$2:$B$7, MATCH(F116, Unit_Grades!$A$2:$A$7, 0))*INDEX(Unit_Paths!$D$2:$D$4, MATCH(E116, Unit_Paths!$A$2:$A$4, 0)),0)</f>
        <v>29</v>
      </c>
      <c r="K116" s="6" t="n">
        <f aca="false">ROUND(INDEX(Archetypes!$H$2:$H$127, MATCH(D116, Archetypes!$A$2:$A$127, 0))*INDEX(Unit_Paths!$E$2:$E$4, MATCH(E116, Unit_Paths!$A$2:$A$4, 0)),1)</f>
        <v>35.7</v>
      </c>
      <c r="L116" s="6" t="n">
        <f aca="false">ROUND(INDEX(Archetypes!$I$2:$I$127, MATCH(D116, Archetypes!$A$2:$A$127, 0))*INDEX(Unit_Grades!$C$2:$C$7, MATCH(F116, Unit_Grades!$A$2:$A$7, 0)),1)</f>
        <v>1</v>
      </c>
      <c r="M116" s="6" t="n">
        <f aca="false">ROUND(INDEX(Archetypes!$J$2:$J$127, MATCH(D116, Archetypes!$A$2:$A$127, 0))*INDEX(Unit_Grades!$D$2:$D$7, MATCH(F116, Unit_Grades!$A$2:$A$7, 0)),1)</f>
        <v>0.4</v>
      </c>
      <c r="N116" s="6" t="n">
        <f aca="false">ROUND(M116/24,2)</f>
        <v>0.02</v>
      </c>
    </row>
    <row r="117" customFormat="false" ht="15" hidden="false" customHeight="true" outlineLevel="0" collapsed="false">
      <c r="A117" s="6" t="n">
        <v>1</v>
      </c>
      <c r="B117" s="6" t="s">
        <v>1678</v>
      </c>
      <c r="C117" s="6" t="s">
        <v>1266</v>
      </c>
      <c r="D117" s="6" t="str">
        <f aca="false">A117&amp;"|"&amp;C117</f>
        <v>1|Scout</v>
      </c>
      <c r="E117" s="6" t="s">
        <v>1558</v>
      </c>
      <c r="F117" s="6" t="s">
        <v>1540</v>
      </c>
      <c r="G117" s="6" t="str">
        <f aca="false">INDEX(Archetypes!$D$2:$D$127, MATCH(D117, Archetypes!$A$2:$A$127, 0))</f>
        <v>Recon</v>
      </c>
      <c r="H117" s="6" t="n">
        <f aca="false">ROUND(INDEX(Archetypes!$E$2:$E$127, MATCH(D117, Archetypes!$A$2:$A$127, 0))*INDEX(Unit_Grades!$B$2:$B$7, MATCH(F117, Unit_Grades!$A$2:$A$7, 0))*INDEX(Unit_Paths!$B$2:$B$4, MATCH(E117, Unit_Paths!$A$2:$A$4, 0)),1)</f>
        <v>6.5</v>
      </c>
      <c r="I117" s="6" t="n">
        <f aca="false">ROUND(INDEX(Archetypes!$F$2:$F$127, MATCH(D117, Archetypes!$A$2:$A$127, 0))*INDEX(Unit_Grades!$B$2:$B$7, MATCH(F117, Unit_Grades!$A$2:$A$7, 0))*INDEX(Unit_Paths!$C$2:$C$4, MATCH(E117, Unit_Paths!$A$2:$A$4, 0)),1)</f>
        <v>4.6</v>
      </c>
      <c r="J117" s="6" t="n">
        <f aca="false">ROUND(INDEX(Archetypes!$G$2:$G$127, MATCH(D117, Archetypes!$A$2:$A$127, 0))*INDEX(Unit_Grades!$B$2:$B$7, MATCH(F117, Unit_Grades!$A$2:$A$7, 0))*INDEX(Unit_Paths!$D$2:$D$4, MATCH(E117, Unit_Paths!$A$2:$A$4, 0)),0)</f>
        <v>38</v>
      </c>
      <c r="K117" s="6" t="n">
        <f aca="false">ROUND(INDEX(Archetypes!$H$2:$H$127, MATCH(D117, Archetypes!$A$2:$A$127, 0))*INDEX(Unit_Paths!$E$2:$E$4, MATCH(E117, Unit_Paths!$A$2:$A$4, 0)),1)</f>
        <v>35.7</v>
      </c>
      <c r="L117" s="6" t="n">
        <f aca="false">ROUND(INDEX(Archetypes!$I$2:$I$127, MATCH(D117, Archetypes!$A$2:$A$127, 0))*INDEX(Unit_Grades!$C$2:$C$7, MATCH(F117, Unit_Grades!$A$2:$A$7, 0)),1)</f>
        <v>1.3</v>
      </c>
      <c r="M117" s="6" t="n">
        <f aca="false">ROUND(INDEX(Archetypes!$J$2:$J$127, MATCH(D117, Archetypes!$A$2:$A$127, 0))*INDEX(Unit_Grades!$D$2:$D$7, MATCH(F117, Unit_Grades!$A$2:$A$7, 0)),1)</f>
        <v>0.6</v>
      </c>
      <c r="N117" s="6" t="n">
        <f aca="false">ROUND(M117/24,2)</f>
        <v>0.03</v>
      </c>
    </row>
    <row r="118" customFormat="false" ht="15" hidden="false" customHeight="true" outlineLevel="0" collapsed="false">
      <c r="A118" s="6" t="n">
        <v>1</v>
      </c>
      <c r="B118" s="6" t="s">
        <v>1679</v>
      </c>
      <c r="C118" s="6" t="s">
        <v>1266</v>
      </c>
      <c r="D118" s="6" t="str">
        <f aca="false">A118&amp;"|"&amp;C118</f>
        <v>1|Scout</v>
      </c>
      <c r="E118" s="6" t="s">
        <v>1558</v>
      </c>
      <c r="F118" s="6" t="s">
        <v>1542</v>
      </c>
      <c r="G118" s="6" t="str">
        <f aca="false">INDEX(Archetypes!$D$2:$D$127, MATCH(D118, Archetypes!$A$2:$A$127, 0))</f>
        <v>Recon</v>
      </c>
      <c r="H118" s="6" t="n">
        <f aca="false">ROUND(INDEX(Archetypes!$E$2:$E$127, MATCH(D118, Archetypes!$A$2:$A$127, 0))*INDEX(Unit_Grades!$B$2:$B$7, MATCH(F118, Unit_Grades!$A$2:$A$7, 0))*INDEX(Unit_Paths!$B$2:$B$4, MATCH(E118, Unit_Paths!$A$2:$A$4, 0)),1)</f>
        <v>8.6</v>
      </c>
      <c r="I118" s="6" t="n">
        <f aca="false">ROUND(INDEX(Archetypes!$F$2:$F$127, MATCH(D118, Archetypes!$A$2:$A$127, 0))*INDEX(Unit_Grades!$B$2:$B$7, MATCH(F118, Unit_Grades!$A$2:$A$7, 0))*INDEX(Unit_Paths!$C$2:$C$4, MATCH(E118, Unit_Paths!$A$2:$A$4, 0)),1)</f>
        <v>6.1</v>
      </c>
      <c r="J118" s="6" t="n">
        <f aca="false">ROUND(INDEX(Archetypes!$G$2:$G$127, MATCH(D118, Archetypes!$A$2:$A$127, 0))*INDEX(Unit_Grades!$B$2:$B$7, MATCH(F118, Unit_Grades!$A$2:$A$7, 0))*INDEX(Unit_Paths!$D$2:$D$4, MATCH(E118, Unit_Paths!$A$2:$A$4, 0)),0)</f>
        <v>51</v>
      </c>
      <c r="K118" s="6" t="n">
        <f aca="false">ROUND(INDEX(Archetypes!$H$2:$H$127, MATCH(D118, Archetypes!$A$2:$A$127, 0))*INDEX(Unit_Paths!$E$2:$E$4, MATCH(E118, Unit_Paths!$A$2:$A$4, 0)),1)</f>
        <v>35.7</v>
      </c>
      <c r="L118" s="6" t="n">
        <f aca="false">ROUND(INDEX(Archetypes!$I$2:$I$127, MATCH(D118, Archetypes!$A$2:$A$127, 0))*INDEX(Unit_Grades!$C$2:$C$7, MATCH(F118, Unit_Grades!$A$2:$A$7, 0)),1)</f>
        <v>1.6</v>
      </c>
      <c r="M118" s="6" t="n">
        <f aca="false">ROUND(INDEX(Archetypes!$J$2:$J$127, MATCH(D118, Archetypes!$A$2:$A$127, 0))*INDEX(Unit_Grades!$D$2:$D$7, MATCH(F118, Unit_Grades!$A$2:$A$7, 0)),1)</f>
        <v>1</v>
      </c>
      <c r="N118" s="6" t="n">
        <f aca="false">ROUND(M118/24,2)</f>
        <v>0.04</v>
      </c>
    </row>
    <row r="119" customFormat="false" ht="15" hidden="false" customHeight="true" outlineLevel="0" collapsed="false">
      <c r="A119" s="6" t="n">
        <v>1</v>
      </c>
      <c r="B119" s="6" t="s">
        <v>1680</v>
      </c>
      <c r="C119" s="6" t="s">
        <v>1266</v>
      </c>
      <c r="D119" s="6" t="str">
        <f aca="false">A119&amp;"|"&amp;C119</f>
        <v>1|Scout</v>
      </c>
      <c r="E119" s="6" t="s">
        <v>1558</v>
      </c>
      <c r="F119" s="6" t="s">
        <v>1544</v>
      </c>
      <c r="G119" s="6" t="str">
        <f aca="false">INDEX(Archetypes!$D$2:$D$127, MATCH(D119, Archetypes!$A$2:$A$127, 0))</f>
        <v>Recon</v>
      </c>
      <c r="H119" s="6" t="n">
        <f aca="false">ROUND(INDEX(Archetypes!$E$2:$E$127, MATCH(D119, Archetypes!$A$2:$A$127, 0))*INDEX(Unit_Grades!$B$2:$B$7, MATCH(F119, Unit_Grades!$A$2:$A$7, 0))*INDEX(Unit_Paths!$B$2:$B$4, MATCH(E119, Unit_Paths!$A$2:$A$4, 0)),1)</f>
        <v>11.5</v>
      </c>
      <c r="I119" s="6" t="n">
        <f aca="false">ROUND(INDEX(Archetypes!$F$2:$F$127, MATCH(D119, Archetypes!$A$2:$A$127, 0))*INDEX(Unit_Grades!$B$2:$B$7, MATCH(F119, Unit_Grades!$A$2:$A$7, 0))*INDEX(Unit_Paths!$C$2:$C$4, MATCH(E119, Unit_Paths!$A$2:$A$4, 0)),1)</f>
        <v>8.2</v>
      </c>
      <c r="J119" s="6" t="n">
        <f aca="false">ROUND(INDEX(Archetypes!$G$2:$G$127, MATCH(D119, Archetypes!$A$2:$A$127, 0))*INDEX(Unit_Grades!$B$2:$B$7, MATCH(F119, Unit_Grades!$A$2:$A$7, 0))*INDEX(Unit_Paths!$D$2:$D$4, MATCH(E119, Unit_Paths!$A$2:$A$4, 0)),0)</f>
        <v>68</v>
      </c>
      <c r="K119" s="6" t="n">
        <f aca="false">ROUND(INDEX(Archetypes!$H$2:$H$127, MATCH(D119, Archetypes!$A$2:$A$127, 0))*INDEX(Unit_Paths!$E$2:$E$4, MATCH(E119, Unit_Paths!$A$2:$A$4, 0)),1)</f>
        <v>35.7</v>
      </c>
      <c r="L119" s="6" t="n">
        <f aca="false">ROUND(INDEX(Archetypes!$I$2:$I$127, MATCH(D119, Archetypes!$A$2:$A$127, 0))*INDEX(Unit_Grades!$C$2:$C$7, MATCH(F119, Unit_Grades!$A$2:$A$7, 0)),1)</f>
        <v>2.1</v>
      </c>
      <c r="M119" s="6" t="n">
        <f aca="false">ROUND(INDEX(Archetypes!$J$2:$J$127, MATCH(D119, Archetypes!$A$2:$A$127, 0))*INDEX(Unit_Grades!$D$2:$D$7, MATCH(F119, Unit_Grades!$A$2:$A$7, 0)),1)</f>
        <v>1.6</v>
      </c>
      <c r="N119" s="6" t="n">
        <f aca="false">ROUND(M119/24,2)</f>
        <v>0.07</v>
      </c>
    </row>
    <row r="120" customFormat="false" ht="15" hidden="false" customHeight="true" outlineLevel="0" collapsed="false">
      <c r="A120" s="6" t="n">
        <v>1</v>
      </c>
      <c r="B120" s="6" t="s">
        <v>1681</v>
      </c>
      <c r="C120" s="6" t="s">
        <v>1266</v>
      </c>
      <c r="D120" s="6" t="str">
        <f aca="false">A120&amp;"|"&amp;C120</f>
        <v>1|Scout</v>
      </c>
      <c r="E120" s="6" t="s">
        <v>1558</v>
      </c>
      <c r="F120" s="6" t="s">
        <v>1546</v>
      </c>
      <c r="G120" s="6" t="str">
        <f aca="false">INDEX(Archetypes!$D$2:$D$127, MATCH(D120, Archetypes!$A$2:$A$127, 0))</f>
        <v>Recon</v>
      </c>
      <c r="H120" s="6" t="n">
        <f aca="false">ROUND(INDEX(Archetypes!$E$2:$E$127, MATCH(D120, Archetypes!$A$2:$A$127, 0))*INDEX(Unit_Grades!$B$2:$B$7, MATCH(F120, Unit_Grades!$A$2:$A$7, 0))*INDEX(Unit_Paths!$B$2:$B$4, MATCH(E120, Unit_Paths!$A$2:$A$4, 0)),1)</f>
        <v>15.4</v>
      </c>
      <c r="I120" s="6" t="n">
        <f aca="false">ROUND(INDEX(Archetypes!$F$2:$F$127, MATCH(D120, Archetypes!$A$2:$A$127, 0))*INDEX(Unit_Grades!$B$2:$B$7, MATCH(F120, Unit_Grades!$A$2:$A$7, 0))*INDEX(Unit_Paths!$C$2:$C$4, MATCH(E120, Unit_Paths!$A$2:$A$4, 0)),1)</f>
        <v>10.9</v>
      </c>
      <c r="J120" s="6" t="n">
        <f aca="false">ROUND(INDEX(Archetypes!$G$2:$G$127, MATCH(D120, Archetypes!$A$2:$A$127, 0))*INDEX(Unit_Grades!$B$2:$B$7, MATCH(F120, Unit_Grades!$A$2:$A$7, 0))*INDEX(Unit_Paths!$D$2:$D$4, MATCH(E120, Unit_Paths!$A$2:$A$4, 0)),0)</f>
        <v>91</v>
      </c>
      <c r="K120" s="6" t="n">
        <f aca="false">ROUND(INDEX(Archetypes!$H$2:$H$127, MATCH(D120, Archetypes!$A$2:$A$127, 0))*INDEX(Unit_Paths!$E$2:$E$4, MATCH(E120, Unit_Paths!$A$2:$A$4, 0)),1)</f>
        <v>35.7</v>
      </c>
      <c r="L120" s="6" t="n">
        <f aca="false">ROUND(INDEX(Archetypes!$I$2:$I$127, MATCH(D120, Archetypes!$A$2:$A$127, 0))*INDEX(Unit_Grades!$C$2:$C$7, MATCH(F120, Unit_Grades!$A$2:$A$7, 0)),1)</f>
        <v>2.8</v>
      </c>
      <c r="M120" s="6" t="n">
        <f aca="false">ROUND(INDEX(Archetypes!$J$2:$J$127, MATCH(D120, Archetypes!$A$2:$A$127, 0))*INDEX(Unit_Grades!$D$2:$D$7, MATCH(F120, Unit_Grades!$A$2:$A$7, 0)),1)</f>
        <v>2.9</v>
      </c>
      <c r="N120" s="6" t="n">
        <f aca="false">ROUND(M120/24,2)</f>
        <v>0.12</v>
      </c>
    </row>
    <row r="121" customFormat="false" ht="15" hidden="false" customHeight="true" outlineLevel="0" collapsed="false">
      <c r="A121" s="6" t="n">
        <v>1</v>
      </c>
      <c r="B121" s="6" t="s">
        <v>1682</v>
      </c>
      <c r="C121" s="6" t="s">
        <v>1266</v>
      </c>
      <c r="D121" s="6" t="str">
        <f aca="false">A121&amp;"|"&amp;C121</f>
        <v>1|Scout</v>
      </c>
      <c r="E121" s="6" t="s">
        <v>1558</v>
      </c>
      <c r="F121" s="6" t="s">
        <v>1548</v>
      </c>
      <c r="G121" s="6" t="str">
        <f aca="false">INDEX(Archetypes!$D$2:$D$127, MATCH(D121, Archetypes!$A$2:$A$127, 0))</f>
        <v>Recon</v>
      </c>
      <c r="H121" s="6" t="n">
        <f aca="false">ROUND(INDEX(Archetypes!$E$2:$E$127, MATCH(D121, Archetypes!$A$2:$A$127, 0))*INDEX(Unit_Grades!$B$2:$B$7, MATCH(F121, Unit_Grades!$A$2:$A$7, 0))*INDEX(Unit_Paths!$B$2:$B$4, MATCH(E121, Unit_Paths!$A$2:$A$4, 0)),1)</f>
        <v>20.2</v>
      </c>
      <c r="I121" s="6" t="n">
        <f aca="false">ROUND(INDEX(Archetypes!$F$2:$F$127, MATCH(D121, Archetypes!$A$2:$A$127, 0))*INDEX(Unit_Grades!$B$2:$B$7, MATCH(F121, Unit_Grades!$A$2:$A$7, 0))*INDEX(Unit_Paths!$C$2:$C$4, MATCH(E121, Unit_Paths!$A$2:$A$4, 0)),1)</f>
        <v>14.3</v>
      </c>
      <c r="J121" s="6" t="n">
        <f aca="false">ROUND(INDEX(Archetypes!$G$2:$G$127, MATCH(D121, Archetypes!$A$2:$A$127, 0))*INDEX(Unit_Grades!$B$2:$B$7, MATCH(F121, Unit_Grades!$A$2:$A$7, 0))*INDEX(Unit_Paths!$D$2:$D$4, MATCH(E121, Unit_Paths!$A$2:$A$4, 0)),0)</f>
        <v>120</v>
      </c>
      <c r="K121" s="6" t="n">
        <f aca="false">ROUND(INDEX(Archetypes!$H$2:$H$127, MATCH(D121, Archetypes!$A$2:$A$127, 0))*INDEX(Unit_Paths!$E$2:$E$4, MATCH(E121, Unit_Paths!$A$2:$A$4, 0)),1)</f>
        <v>35.7</v>
      </c>
      <c r="L121" s="6" t="n">
        <f aca="false">ROUND(INDEX(Archetypes!$I$2:$I$127, MATCH(D121, Archetypes!$A$2:$A$127, 0))*INDEX(Unit_Grades!$C$2:$C$7, MATCH(F121, Unit_Grades!$A$2:$A$7, 0)),1)</f>
        <v>3.7</v>
      </c>
      <c r="M121" s="6" t="n">
        <f aca="false">ROUND(INDEX(Archetypes!$J$2:$J$127, MATCH(D121, Archetypes!$A$2:$A$127, 0))*INDEX(Unit_Grades!$D$2:$D$7, MATCH(F121, Unit_Grades!$A$2:$A$7, 0)),1)</f>
        <v>4.9</v>
      </c>
      <c r="N121" s="6" t="n">
        <f aca="false">ROUND(M121/24,2)</f>
        <v>0.2</v>
      </c>
    </row>
    <row r="122" customFormat="false" ht="15" hidden="false" customHeight="true" outlineLevel="0" collapsed="false">
      <c r="A122" s="6" t="n">
        <v>1</v>
      </c>
      <c r="B122" s="6" t="s">
        <v>1683</v>
      </c>
      <c r="C122" s="6" t="s">
        <v>1266</v>
      </c>
      <c r="D122" s="6" t="str">
        <f aca="false">A122&amp;"|"&amp;C122</f>
        <v>1|Scout</v>
      </c>
      <c r="E122" s="6" t="s">
        <v>1560</v>
      </c>
      <c r="F122" s="6" t="s">
        <v>1538</v>
      </c>
      <c r="G122" s="6" t="str">
        <f aca="false">INDEX(Archetypes!$D$2:$D$127, MATCH(D122, Archetypes!$A$2:$A$127, 0))</f>
        <v>Recon</v>
      </c>
      <c r="H122" s="6" t="n">
        <f aca="false">ROUND(INDEX(Archetypes!$E$2:$E$127, MATCH(D122, Archetypes!$A$2:$A$127, 0))*INDEX(Unit_Grades!$B$2:$B$7, MATCH(F122, Unit_Grades!$A$2:$A$7, 0))*INDEX(Unit_Paths!$B$2:$B$4, MATCH(E122, Unit_Paths!$A$2:$A$4, 0)),1)</f>
        <v>3.4</v>
      </c>
      <c r="I122" s="6" t="n">
        <f aca="false">ROUND(INDEX(Archetypes!$F$2:$F$127, MATCH(D122, Archetypes!$A$2:$A$127, 0))*INDEX(Unit_Grades!$B$2:$B$7, MATCH(F122, Unit_Grades!$A$2:$A$7, 0))*INDEX(Unit_Paths!$C$2:$C$4, MATCH(E122, Unit_Paths!$A$2:$A$4, 0)),1)</f>
        <v>5</v>
      </c>
      <c r="J122" s="6" t="n">
        <f aca="false">ROUND(INDEX(Archetypes!$G$2:$G$127, MATCH(D122, Archetypes!$A$2:$A$127, 0))*INDEX(Unit_Grades!$B$2:$B$7, MATCH(F122, Unit_Grades!$A$2:$A$7, 0))*INDEX(Unit_Paths!$D$2:$D$4, MATCH(E122, Unit_Paths!$A$2:$A$4, 0)),0)</f>
        <v>35</v>
      </c>
      <c r="K122" s="6" t="n">
        <f aca="false">ROUND(INDEX(Archetypes!$H$2:$H$127, MATCH(D122, Archetypes!$A$2:$A$127, 0))*INDEX(Unit_Paths!$E$2:$E$4, MATCH(E122, Unit_Paths!$A$2:$A$4, 0)),1)</f>
        <v>31.3</v>
      </c>
      <c r="L122" s="6" t="n">
        <f aca="false">ROUND(INDEX(Archetypes!$I$2:$I$127, MATCH(D122, Archetypes!$A$2:$A$127, 0))*INDEX(Unit_Grades!$C$2:$C$7, MATCH(F122, Unit_Grades!$A$2:$A$7, 0)),1)</f>
        <v>1</v>
      </c>
      <c r="M122" s="6" t="n">
        <f aca="false">ROUND(INDEX(Archetypes!$J$2:$J$127, MATCH(D122, Archetypes!$A$2:$A$127, 0))*INDEX(Unit_Grades!$D$2:$D$7, MATCH(F122, Unit_Grades!$A$2:$A$7, 0)),1)</f>
        <v>0.4</v>
      </c>
      <c r="N122" s="6" t="n">
        <f aca="false">ROUND(M122/24,2)</f>
        <v>0.02</v>
      </c>
    </row>
    <row r="123" customFormat="false" ht="15" hidden="false" customHeight="true" outlineLevel="0" collapsed="false">
      <c r="A123" s="6" t="n">
        <v>1</v>
      </c>
      <c r="B123" s="6" t="s">
        <v>1684</v>
      </c>
      <c r="C123" s="6" t="s">
        <v>1266</v>
      </c>
      <c r="D123" s="6" t="str">
        <f aca="false">A123&amp;"|"&amp;C123</f>
        <v>1|Scout</v>
      </c>
      <c r="E123" s="6" t="s">
        <v>1560</v>
      </c>
      <c r="F123" s="6" t="s">
        <v>1540</v>
      </c>
      <c r="G123" s="6" t="str">
        <f aca="false">INDEX(Archetypes!$D$2:$D$127, MATCH(D123, Archetypes!$A$2:$A$127, 0))</f>
        <v>Recon</v>
      </c>
      <c r="H123" s="6" t="n">
        <f aca="false">ROUND(INDEX(Archetypes!$E$2:$E$127, MATCH(D123, Archetypes!$A$2:$A$127, 0))*INDEX(Unit_Grades!$B$2:$B$7, MATCH(F123, Unit_Grades!$A$2:$A$7, 0))*INDEX(Unit_Paths!$B$2:$B$4, MATCH(E123, Unit_Paths!$A$2:$A$4, 0)),1)</f>
        <v>4.6</v>
      </c>
      <c r="I123" s="6" t="n">
        <f aca="false">ROUND(INDEX(Archetypes!$F$2:$F$127, MATCH(D123, Archetypes!$A$2:$A$127, 0))*INDEX(Unit_Grades!$B$2:$B$7, MATCH(F123, Unit_Grades!$A$2:$A$7, 0))*INDEX(Unit_Paths!$C$2:$C$4, MATCH(E123, Unit_Paths!$A$2:$A$4, 0)),1)</f>
        <v>6.8</v>
      </c>
      <c r="J123" s="6" t="n">
        <f aca="false">ROUND(INDEX(Archetypes!$G$2:$G$127, MATCH(D123, Archetypes!$A$2:$A$127, 0))*INDEX(Unit_Grades!$B$2:$B$7, MATCH(F123, Unit_Grades!$A$2:$A$7, 0))*INDEX(Unit_Paths!$D$2:$D$4, MATCH(E123, Unit_Paths!$A$2:$A$4, 0)),0)</f>
        <v>47</v>
      </c>
      <c r="K123" s="6" t="n">
        <f aca="false">ROUND(INDEX(Archetypes!$H$2:$H$127, MATCH(D123, Archetypes!$A$2:$A$127, 0))*INDEX(Unit_Paths!$E$2:$E$4, MATCH(E123, Unit_Paths!$A$2:$A$4, 0)),1)</f>
        <v>31.3</v>
      </c>
      <c r="L123" s="6" t="n">
        <f aca="false">ROUND(INDEX(Archetypes!$I$2:$I$127, MATCH(D123, Archetypes!$A$2:$A$127, 0))*INDEX(Unit_Grades!$C$2:$C$7, MATCH(F123, Unit_Grades!$A$2:$A$7, 0)),1)</f>
        <v>1.3</v>
      </c>
      <c r="M123" s="6" t="n">
        <f aca="false">ROUND(INDEX(Archetypes!$J$2:$J$127, MATCH(D123, Archetypes!$A$2:$A$127, 0))*INDEX(Unit_Grades!$D$2:$D$7, MATCH(F123, Unit_Grades!$A$2:$A$7, 0)),1)</f>
        <v>0.6</v>
      </c>
      <c r="N123" s="6" t="n">
        <f aca="false">ROUND(M123/24,2)</f>
        <v>0.03</v>
      </c>
    </row>
    <row r="124" customFormat="false" ht="15" hidden="false" customHeight="true" outlineLevel="0" collapsed="false">
      <c r="A124" s="6" t="n">
        <v>1</v>
      </c>
      <c r="B124" s="6" t="s">
        <v>1685</v>
      </c>
      <c r="C124" s="6" t="s">
        <v>1266</v>
      </c>
      <c r="D124" s="6" t="str">
        <f aca="false">A124&amp;"|"&amp;C124</f>
        <v>1|Scout</v>
      </c>
      <c r="E124" s="6" t="s">
        <v>1560</v>
      </c>
      <c r="F124" s="6" t="s">
        <v>1542</v>
      </c>
      <c r="G124" s="6" t="str">
        <f aca="false">INDEX(Archetypes!$D$2:$D$127, MATCH(D124, Archetypes!$A$2:$A$127, 0))</f>
        <v>Recon</v>
      </c>
      <c r="H124" s="6" t="n">
        <f aca="false">ROUND(INDEX(Archetypes!$E$2:$E$127, MATCH(D124, Archetypes!$A$2:$A$127, 0))*INDEX(Unit_Grades!$B$2:$B$7, MATCH(F124, Unit_Grades!$A$2:$A$7, 0))*INDEX(Unit_Paths!$B$2:$B$4, MATCH(E124, Unit_Paths!$A$2:$A$4, 0)),1)</f>
        <v>6.1</v>
      </c>
      <c r="I124" s="6" t="n">
        <f aca="false">ROUND(INDEX(Archetypes!$F$2:$F$127, MATCH(D124, Archetypes!$A$2:$A$127, 0))*INDEX(Unit_Grades!$B$2:$B$7, MATCH(F124, Unit_Grades!$A$2:$A$7, 0))*INDEX(Unit_Paths!$C$2:$C$4, MATCH(E124, Unit_Paths!$A$2:$A$4, 0)),1)</f>
        <v>9</v>
      </c>
      <c r="J124" s="6" t="n">
        <f aca="false">ROUND(INDEX(Archetypes!$G$2:$G$127, MATCH(D124, Archetypes!$A$2:$A$127, 0))*INDEX(Unit_Grades!$B$2:$B$7, MATCH(F124, Unit_Grades!$A$2:$A$7, 0))*INDEX(Unit_Paths!$D$2:$D$4, MATCH(E124, Unit_Paths!$A$2:$A$4, 0)),0)</f>
        <v>62</v>
      </c>
      <c r="K124" s="6" t="n">
        <f aca="false">ROUND(INDEX(Archetypes!$H$2:$H$127, MATCH(D124, Archetypes!$A$2:$A$127, 0))*INDEX(Unit_Paths!$E$2:$E$4, MATCH(E124, Unit_Paths!$A$2:$A$4, 0)),1)</f>
        <v>31.3</v>
      </c>
      <c r="L124" s="6" t="n">
        <f aca="false">ROUND(INDEX(Archetypes!$I$2:$I$127, MATCH(D124, Archetypes!$A$2:$A$127, 0))*INDEX(Unit_Grades!$C$2:$C$7, MATCH(F124, Unit_Grades!$A$2:$A$7, 0)),1)</f>
        <v>1.6</v>
      </c>
      <c r="M124" s="6" t="n">
        <f aca="false">ROUND(INDEX(Archetypes!$J$2:$J$127, MATCH(D124, Archetypes!$A$2:$A$127, 0))*INDEX(Unit_Grades!$D$2:$D$7, MATCH(F124, Unit_Grades!$A$2:$A$7, 0)),1)</f>
        <v>1</v>
      </c>
      <c r="N124" s="6" t="n">
        <f aca="false">ROUND(M124/24,2)</f>
        <v>0.04</v>
      </c>
    </row>
    <row r="125" customFormat="false" ht="15" hidden="false" customHeight="true" outlineLevel="0" collapsed="false">
      <c r="A125" s="6" t="n">
        <v>1</v>
      </c>
      <c r="B125" s="6" t="s">
        <v>1686</v>
      </c>
      <c r="C125" s="6" t="s">
        <v>1266</v>
      </c>
      <c r="D125" s="6" t="str">
        <f aca="false">A125&amp;"|"&amp;C125</f>
        <v>1|Scout</v>
      </c>
      <c r="E125" s="6" t="s">
        <v>1560</v>
      </c>
      <c r="F125" s="6" t="s">
        <v>1544</v>
      </c>
      <c r="G125" s="6" t="str">
        <f aca="false">INDEX(Archetypes!$D$2:$D$127, MATCH(D125, Archetypes!$A$2:$A$127, 0))</f>
        <v>Recon</v>
      </c>
      <c r="H125" s="6" t="n">
        <f aca="false">ROUND(INDEX(Archetypes!$E$2:$E$127, MATCH(D125, Archetypes!$A$2:$A$127, 0))*INDEX(Unit_Grades!$B$2:$B$7, MATCH(F125, Unit_Grades!$A$2:$A$7, 0))*INDEX(Unit_Paths!$B$2:$B$4, MATCH(E125, Unit_Paths!$A$2:$A$4, 0)),1)</f>
        <v>8.2</v>
      </c>
      <c r="I125" s="6" t="n">
        <f aca="false">ROUND(INDEX(Archetypes!$F$2:$F$127, MATCH(D125, Archetypes!$A$2:$A$127, 0))*INDEX(Unit_Grades!$B$2:$B$7, MATCH(F125, Unit_Grades!$A$2:$A$7, 0))*INDEX(Unit_Paths!$C$2:$C$4, MATCH(E125, Unit_Paths!$A$2:$A$4, 0)),1)</f>
        <v>12</v>
      </c>
      <c r="J125" s="6" t="n">
        <f aca="false">ROUND(INDEX(Archetypes!$G$2:$G$127, MATCH(D125, Archetypes!$A$2:$A$127, 0))*INDEX(Unit_Grades!$B$2:$B$7, MATCH(F125, Unit_Grades!$A$2:$A$7, 0))*INDEX(Unit_Paths!$D$2:$D$4, MATCH(E125, Unit_Paths!$A$2:$A$4, 0)),0)</f>
        <v>83</v>
      </c>
      <c r="K125" s="6" t="n">
        <f aca="false">ROUND(INDEX(Archetypes!$H$2:$H$127, MATCH(D125, Archetypes!$A$2:$A$127, 0))*INDEX(Unit_Paths!$E$2:$E$4, MATCH(E125, Unit_Paths!$A$2:$A$4, 0)),1)</f>
        <v>31.3</v>
      </c>
      <c r="L125" s="6" t="n">
        <f aca="false">ROUND(INDEX(Archetypes!$I$2:$I$127, MATCH(D125, Archetypes!$A$2:$A$127, 0))*INDEX(Unit_Grades!$C$2:$C$7, MATCH(F125, Unit_Grades!$A$2:$A$7, 0)),1)</f>
        <v>2.1</v>
      </c>
      <c r="M125" s="6" t="n">
        <f aca="false">ROUND(INDEX(Archetypes!$J$2:$J$127, MATCH(D125, Archetypes!$A$2:$A$127, 0))*INDEX(Unit_Grades!$D$2:$D$7, MATCH(F125, Unit_Grades!$A$2:$A$7, 0)),1)</f>
        <v>1.6</v>
      </c>
      <c r="N125" s="6" t="n">
        <f aca="false">ROUND(M125/24,2)</f>
        <v>0.07</v>
      </c>
    </row>
    <row r="126" customFormat="false" ht="15" hidden="false" customHeight="true" outlineLevel="0" collapsed="false">
      <c r="A126" s="6" t="n">
        <v>1</v>
      </c>
      <c r="B126" s="6" t="s">
        <v>1687</v>
      </c>
      <c r="C126" s="6" t="s">
        <v>1266</v>
      </c>
      <c r="D126" s="6" t="str">
        <f aca="false">A126&amp;"|"&amp;C126</f>
        <v>1|Scout</v>
      </c>
      <c r="E126" s="6" t="s">
        <v>1560</v>
      </c>
      <c r="F126" s="6" t="s">
        <v>1546</v>
      </c>
      <c r="G126" s="6" t="str">
        <f aca="false">INDEX(Archetypes!$D$2:$D$127, MATCH(D126, Archetypes!$A$2:$A$127, 0))</f>
        <v>Recon</v>
      </c>
      <c r="H126" s="6" t="n">
        <f aca="false">ROUND(INDEX(Archetypes!$E$2:$E$127, MATCH(D126, Archetypes!$A$2:$A$127, 0))*INDEX(Unit_Grades!$B$2:$B$7, MATCH(F126, Unit_Grades!$A$2:$A$7, 0))*INDEX(Unit_Paths!$B$2:$B$4, MATCH(E126, Unit_Paths!$A$2:$A$4, 0)),1)</f>
        <v>10.9</v>
      </c>
      <c r="I126" s="6" t="n">
        <f aca="false">ROUND(INDEX(Archetypes!$F$2:$F$127, MATCH(D126, Archetypes!$A$2:$A$127, 0))*INDEX(Unit_Grades!$B$2:$B$7, MATCH(F126, Unit_Grades!$A$2:$A$7, 0))*INDEX(Unit_Paths!$C$2:$C$4, MATCH(E126, Unit_Paths!$A$2:$A$4, 0)),1)</f>
        <v>16</v>
      </c>
      <c r="J126" s="6" t="n">
        <f aca="false">ROUND(INDEX(Archetypes!$G$2:$G$127, MATCH(D126, Archetypes!$A$2:$A$127, 0))*INDEX(Unit_Grades!$B$2:$B$7, MATCH(F126, Unit_Grades!$A$2:$A$7, 0))*INDEX(Unit_Paths!$D$2:$D$4, MATCH(E126, Unit_Paths!$A$2:$A$4, 0)),0)</f>
        <v>110</v>
      </c>
      <c r="K126" s="6" t="n">
        <f aca="false">ROUND(INDEX(Archetypes!$H$2:$H$127, MATCH(D126, Archetypes!$A$2:$A$127, 0))*INDEX(Unit_Paths!$E$2:$E$4, MATCH(E126, Unit_Paths!$A$2:$A$4, 0)),1)</f>
        <v>31.3</v>
      </c>
      <c r="L126" s="6" t="n">
        <f aca="false">ROUND(INDEX(Archetypes!$I$2:$I$127, MATCH(D126, Archetypes!$A$2:$A$127, 0))*INDEX(Unit_Grades!$C$2:$C$7, MATCH(F126, Unit_Grades!$A$2:$A$7, 0)),1)</f>
        <v>2.8</v>
      </c>
      <c r="M126" s="6" t="n">
        <f aca="false">ROUND(INDEX(Archetypes!$J$2:$J$127, MATCH(D126, Archetypes!$A$2:$A$127, 0))*INDEX(Unit_Grades!$D$2:$D$7, MATCH(F126, Unit_Grades!$A$2:$A$7, 0)),1)</f>
        <v>2.9</v>
      </c>
      <c r="N126" s="6" t="n">
        <f aca="false">ROUND(M126/24,2)</f>
        <v>0.12</v>
      </c>
    </row>
    <row r="127" customFormat="false" ht="15" hidden="false" customHeight="true" outlineLevel="0" collapsed="false">
      <c r="A127" s="6" t="n">
        <v>1</v>
      </c>
      <c r="B127" s="6" t="s">
        <v>1688</v>
      </c>
      <c r="C127" s="6" t="s">
        <v>1266</v>
      </c>
      <c r="D127" s="6" t="str">
        <f aca="false">A127&amp;"|"&amp;C127</f>
        <v>1|Scout</v>
      </c>
      <c r="E127" s="6" t="s">
        <v>1560</v>
      </c>
      <c r="F127" s="6" t="s">
        <v>1548</v>
      </c>
      <c r="G127" s="6" t="str">
        <f aca="false">INDEX(Archetypes!$D$2:$D$127, MATCH(D127, Archetypes!$A$2:$A$127, 0))</f>
        <v>Recon</v>
      </c>
      <c r="H127" s="6" t="n">
        <f aca="false">ROUND(INDEX(Archetypes!$E$2:$E$127, MATCH(D127, Archetypes!$A$2:$A$127, 0))*INDEX(Unit_Grades!$B$2:$B$7, MATCH(F127, Unit_Grades!$A$2:$A$7, 0))*INDEX(Unit_Paths!$B$2:$B$4, MATCH(E127, Unit_Paths!$A$2:$A$4, 0)),1)</f>
        <v>14.3</v>
      </c>
      <c r="I127" s="6" t="n">
        <f aca="false">ROUND(INDEX(Archetypes!$F$2:$F$127, MATCH(D127, Archetypes!$A$2:$A$127, 0))*INDEX(Unit_Grades!$B$2:$B$7, MATCH(F127, Unit_Grades!$A$2:$A$7, 0))*INDEX(Unit_Paths!$C$2:$C$4, MATCH(E127, Unit_Paths!$A$2:$A$4, 0)),1)</f>
        <v>21</v>
      </c>
      <c r="J127" s="6" t="n">
        <f aca="false">ROUND(INDEX(Archetypes!$G$2:$G$127, MATCH(D127, Archetypes!$A$2:$A$127, 0))*INDEX(Unit_Grades!$B$2:$B$7, MATCH(F127, Unit_Grades!$A$2:$A$7, 0))*INDEX(Unit_Paths!$D$2:$D$4, MATCH(E127, Unit_Paths!$A$2:$A$4, 0)),0)</f>
        <v>145</v>
      </c>
      <c r="K127" s="6" t="n">
        <f aca="false">ROUND(INDEX(Archetypes!$H$2:$H$127, MATCH(D127, Archetypes!$A$2:$A$127, 0))*INDEX(Unit_Paths!$E$2:$E$4, MATCH(E127, Unit_Paths!$A$2:$A$4, 0)),1)</f>
        <v>31.3</v>
      </c>
      <c r="L127" s="6" t="n">
        <f aca="false">ROUND(INDEX(Archetypes!$I$2:$I$127, MATCH(D127, Archetypes!$A$2:$A$127, 0))*INDEX(Unit_Grades!$C$2:$C$7, MATCH(F127, Unit_Grades!$A$2:$A$7, 0)),1)</f>
        <v>3.7</v>
      </c>
      <c r="M127" s="6" t="n">
        <f aca="false">ROUND(INDEX(Archetypes!$J$2:$J$127, MATCH(D127, Archetypes!$A$2:$A$127, 0))*INDEX(Unit_Grades!$D$2:$D$7, MATCH(F127, Unit_Grades!$A$2:$A$7, 0)),1)</f>
        <v>4.9</v>
      </c>
      <c r="N127" s="6" t="n">
        <f aca="false">ROUND(M127/24,2)</f>
        <v>0.2</v>
      </c>
    </row>
    <row r="128" customFormat="false" ht="15" hidden="false" customHeight="true" outlineLevel="0" collapsed="false">
      <c r="A128" s="6" t="n">
        <v>1</v>
      </c>
      <c r="B128" s="6" t="s">
        <v>1269</v>
      </c>
      <c r="C128" s="6" t="s">
        <v>1269</v>
      </c>
      <c r="D128" s="6" t="str">
        <f aca="false">A128&amp;"|"&amp;C128</f>
        <v>1|Shield Bearer</v>
      </c>
      <c r="E128" s="6" t="s">
        <v>1556</v>
      </c>
      <c r="F128" s="6" t="s">
        <v>1538</v>
      </c>
      <c r="G128" s="6" t="str">
        <f aca="false">INDEX(Archetypes!$D$2:$D$127, MATCH(D128, Archetypes!$A$2:$A$127, 0))</f>
        <v>Screen</v>
      </c>
      <c r="H128" s="6" t="n">
        <f aca="false">ROUND(INDEX(Archetypes!$E$2:$E$127, MATCH(D128, Archetypes!$A$2:$A$127, 0))*INDEX(Unit_Grades!$B$2:$B$7, MATCH(F128, Unit_Grades!$A$2:$A$7, 0))*INDEX(Unit_Paths!$B$2:$B$4, MATCH(E128, Unit_Paths!$A$2:$A$4, 0)),1)</f>
        <v>8</v>
      </c>
      <c r="I128" s="6" t="n">
        <f aca="false">ROUND(INDEX(Archetypes!$F$2:$F$127, MATCH(D128, Archetypes!$A$2:$A$127, 0))*INDEX(Unit_Grades!$B$2:$B$7, MATCH(F128, Unit_Grades!$A$2:$A$7, 0))*INDEX(Unit_Paths!$C$2:$C$4, MATCH(E128, Unit_Paths!$A$2:$A$4, 0)),1)</f>
        <v>26</v>
      </c>
      <c r="J128" s="6" t="n">
        <f aca="false">ROUND(INDEX(Archetypes!$G$2:$G$127, MATCH(D128, Archetypes!$A$2:$A$127, 0))*INDEX(Unit_Grades!$B$2:$B$7, MATCH(F128, Unit_Grades!$A$2:$A$7, 0))*INDEX(Unit_Paths!$D$2:$D$4, MATCH(E128, Unit_Paths!$A$2:$A$4, 0)),0)</f>
        <v>95</v>
      </c>
      <c r="K128" s="6" t="n">
        <f aca="false">ROUND(INDEX(Archetypes!$H$2:$H$127, MATCH(D128, Archetypes!$A$2:$A$127, 0))*INDEX(Unit_Paths!$E$2:$E$4, MATCH(E128, Unit_Paths!$A$2:$A$4, 0)),1)</f>
        <v>15</v>
      </c>
      <c r="L128" s="6" t="n">
        <f aca="false">ROUND(INDEX(Archetypes!$I$2:$I$127, MATCH(D128, Archetypes!$A$2:$A$127, 0))*INDEX(Unit_Grades!$C$2:$C$7, MATCH(F128, Unit_Grades!$A$2:$A$7, 0)),1)</f>
        <v>3</v>
      </c>
      <c r="M128" s="6" t="n">
        <f aca="false">ROUND(INDEX(Archetypes!$J$2:$J$127, MATCH(D128, Archetypes!$A$2:$A$127, 0))*INDEX(Unit_Grades!$D$2:$D$7, MATCH(F128, Unit_Grades!$A$2:$A$7, 0)),1)</f>
        <v>1.2</v>
      </c>
      <c r="N128" s="6" t="n">
        <f aca="false">ROUND(M128/24,2)</f>
        <v>0.05</v>
      </c>
    </row>
    <row r="129" customFormat="false" ht="15" hidden="false" customHeight="true" outlineLevel="0" collapsed="false">
      <c r="A129" s="6" t="n">
        <v>1</v>
      </c>
      <c r="B129" s="6" t="s">
        <v>1689</v>
      </c>
      <c r="C129" s="6" t="s">
        <v>1269</v>
      </c>
      <c r="D129" s="6" t="str">
        <f aca="false">A129&amp;"|"&amp;C129</f>
        <v>1|Shield Bearer</v>
      </c>
      <c r="E129" s="6" t="s">
        <v>1556</v>
      </c>
      <c r="F129" s="6" t="s">
        <v>1540</v>
      </c>
      <c r="G129" s="6" t="str">
        <f aca="false">INDEX(Archetypes!$D$2:$D$127, MATCH(D129, Archetypes!$A$2:$A$127, 0))</f>
        <v>Screen</v>
      </c>
      <c r="H129" s="6" t="n">
        <f aca="false">ROUND(INDEX(Archetypes!$E$2:$E$127, MATCH(D129, Archetypes!$A$2:$A$127, 0))*INDEX(Unit_Grades!$B$2:$B$7, MATCH(F129, Unit_Grades!$A$2:$A$7, 0))*INDEX(Unit_Paths!$B$2:$B$4, MATCH(E129, Unit_Paths!$A$2:$A$4, 0)),1)</f>
        <v>10.8</v>
      </c>
      <c r="I129" s="6" t="n">
        <f aca="false">ROUND(INDEX(Archetypes!$F$2:$F$127, MATCH(D129, Archetypes!$A$2:$A$127, 0))*INDEX(Unit_Grades!$B$2:$B$7, MATCH(F129, Unit_Grades!$A$2:$A$7, 0))*INDEX(Unit_Paths!$C$2:$C$4, MATCH(E129, Unit_Paths!$A$2:$A$4, 0)),1)</f>
        <v>35.1</v>
      </c>
      <c r="J129" s="6" t="n">
        <f aca="false">ROUND(INDEX(Archetypes!$G$2:$G$127, MATCH(D129, Archetypes!$A$2:$A$127, 0))*INDEX(Unit_Grades!$B$2:$B$7, MATCH(F129, Unit_Grades!$A$2:$A$7, 0))*INDEX(Unit_Paths!$D$2:$D$4, MATCH(E129, Unit_Paths!$A$2:$A$4, 0)),0)</f>
        <v>128</v>
      </c>
      <c r="K129" s="6" t="n">
        <f aca="false">ROUND(INDEX(Archetypes!$H$2:$H$127, MATCH(D129, Archetypes!$A$2:$A$127, 0))*INDEX(Unit_Paths!$E$2:$E$4, MATCH(E129, Unit_Paths!$A$2:$A$4, 0)),1)</f>
        <v>15</v>
      </c>
      <c r="L129" s="6" t="n">
        <f aca="false">ROUND(INDEX(Archetypes!$I$2:$I$127, MATCH(D129, Archetypes!$A$2:$A$127, 0))*INDEX(Unit_Grades!$C$2:$C$7, MATCH(F129, Unit_Grades!$A$2:$A$7, 0)),1)</f>
        <v>3.8</v>
      </c>
      <c r="M129" s="6" t="n">
        <f aca="false">ROUND(INDEX(Archetypes!$J$2:$J$127, MATCH(D129, Archetypes!$A$2:$A$127, 0))*INDEX(Unit_Grades!$D$2:$D$7, MATCH(F129, Unit_Grades!$A$2:$A$7, 0)),1)</f>
        <v>1.8</v>
      </c>
      <c r="N129" s="6" t="n">
        <f aca="false">ROUND(M129/24,2)</f>
        <v>0.08</v>
      </c>
    </row>
    <row r="130" customFormat="false" ht="15" hidden="false" customHeight="true" outlineLevel="0" collapsed="false">
      <c r="A130" s="6" t="n">
        <v>1</v>
      </c>
      <c r="B130" s="6" t="s">
        <v>1690</v>
      </c>
      <c r="C130" s="6" t="s">
        <v>1269</v>
      </c>
      <c r="D130" s="6" t="str">
        <f aca="false">A130&amp;"|"&amp;C130</f>
        <v>1|Shield Bearer</v>
      </c>
      <c r="E130" s="6" t="s">
        <v>1556</v>
      </c>
      <c r="F130" s="6" t="s">
        <v>1542</v>
      </c>
      <c r="G130" s="6" t="str">
        <f aca="false">INDEX(Archetypes!$D$2:$D$127, MATCH(D130, Archetypes!$A$2:$A$127, 0))</f>
        <v>Screen</v>
      </c>
      <c r="H130" s="6" t="n">
        <f aca="false">ROUND(INDEX(Archetypes!$E$2:$E$127, MATCH(D130, Archetypes!$A$2:$A$127, 0))*INDEX(Unit_Grades!$B$2:$B$7, MATCH(F130, Unit_Grades!$A$2:$A$7, 0))*INDEX(Unit_Paths!$B$2:$B$4, MATCH(E130, Unit_Paths!$A$2:$A$4, 0)),1)</f>
        <v>14.4</v>
      </c>
      <c r="I130" s="6" t="n">
        <f aca="false">ROUND(INDEX(Archetypes!$F$2:$F$127, MATCH(D130, Archetypes!$A$2:$A$127, 0))*INDEX(Unit_Grades!$B$2:$B$7, MATCH(F130, Unit_Grades!$A$2:$A$7, 0))*INDEX(Unit_Paths!$C$2:$C$4, MATCH(E130, Unit_Paths!$A$2:$A$4, 0)),1)</f>
        <v>46.8</v>
      </c>
      <c r="J130" s="6" t="n">
        <f aca="false">ROUND(INDEX(Archetypes!$G$2:$G$127, MATCH(D130, Archetypes!$A$2:$A$127, 0))*INDEX(Unit_Grades!$B$2:$B$7, MATCH(F130, Unit_Grades!$A$2:$A$7, 0))*INDEX(Unit_Paths!$D$2:$D$4, MATCH(E130, Unit_Paths!$A$2:$A$4, 0)),0)</f>
        <v>171</v>
      </c>
      <c r="K130" s="6" t="n">
        <f aca="false">ROUND(INDEX(Archetypes!$H$2:$H$127, MATCH(D130, Archetypes!$A$2:$A$127, 0))*INDEX(Unit_Paths!$E$2:$E$4, MATCH(E130, Unit_Paths!$A$2:$A$4, 0)),1)</f>
        <v>15</v>
      </c>
      <c r="L130" s="6" t="n">
        <f aca="false">ROUND(INDEX(Archetypes!$I$2:$I$127, MATCH(D130, Archetypes!$A$2:$A$127, 0))*INDEX(Unit_Grades!$C$2:$C$7, MATCH(F130, Unit_Grades!$A$2:$A$7, 0)),1)</f>
        <v>4.8</v>
      </c>
      <c r="M130" s="6" t="n">
        <f aca="false">ROUND(INDEX(Archetypes!$J$2:$J$127, MATCH(D130, Archetypes!$A$2:$A$127, 0))*INDEX(Unit_Grades!$D$2:$D$7, MATCH(F130, Unit_Grades!$A$2:$A$7, 0)),1)</f>
        <v>3.1</v>
      </c>
      <c r="N130" s="6" t="n">
        <f aca="false">ROUND(M130/24,2)</f>
        <v>0.13</v>
      </c>
    </row>
    <row r="131" customFormat="false" ht="15" hidden="false" customHeight="true" outlineLevel="0" collapsed="false">
      <c r="A131" s="6" t="n">
        <v>1</v>
      </c>
      <c r="B131" s="6" t="s">
        <v>1691</v>
      </c>
      <c r="C131" s="6" t="s">
        <v>1269</v>
      </c>
      <c r="D131" s="6" t="str">
        <f aca="false">A131&amp;"|"&amp;C131</f>
        <v>1|Shield Bearer</v>
      </c>
      <c r="E131" s="6" t="s">
        <v>1556</v>
      </c>
      <c r="F131" s="6" t="s">
        <v>1544</v>
      </c>
      <c r="G131" s="6" t="str">
        <f aca="false">INDEX(Archetypes!$D$2:$D$127, MATCH(D131, Archetypes!$A$2:$A$127, 0))</f>
        <v>Screen</v>
      </c>
      <c r="H131" s="6" t="n">
        <f aca="false">ROUND(INDEX(Archetypes!$E$2:$E$127, MATCH(D131, Archetypes!$A$2:$A$127, 0))*INDEX(Unit_Grades!$B$2:$B$7, MATCH(F131, Unit_Grades!$A$2:$A$7, 0))*INDEX(Unit_Paths!$B$2:$B$4, MATCH(E131, Unit_Paths!$A$2:$A$4, 0)),1)</f>
        <v>19.2</v>
      </c>
      <c r="I131" s="6" t="n">
        <f aca="false">ROUND(INDEX(Archetypes!$F$2:$F$127, MATCH(D131, Archetypes!$A$2:$A$127, 0))*INDEX(Unit_Grades!$B$2:$B$7, MATCH(F131, Unit_Grades!$A$2:$A$7, 0))*INDEX(Unit_Paths!$C$2:$C$4, MATCH(E131, Unit_Paths!$A$2:$A$4, 0)),1)</f>
        <v>62.4</v>
      </c>
      <c r="J131" s="6" t="n">
        <f aca="false">ROUND(INDEX(Archetypes!$G$2:$G$127, MATCH(D131, Archetypes!$A$2:$A$127, 0))*INDEX(Unit_Grades!$B$2:$B$7, MATCH(F131, Unit_Grades!$A$2:$A$7, 0))*INDEX(Unit_Paths!$D$2:$D$4, MATCH(E131, Unit_Paths!$A$2:$A$4, 0)),0)</f>
        <v>228</v>
      </c>
      <c r="K131" s="6" t="n">
        <f aca="false">ROUND(INDEX(Archetypes!$H$2:$H$127, MATCH(D131, Archetypes!$A$2:$A$127, 0))*INDEX(Unit_Paths!$E$2:$E$4, MATCH(E131, Unit_Paths!$A$2:$A$4, 0)),1)</f>
        <v>15</v>
      </c>
      <c r="L131" s="6" t="n">
        <f aca="false">ROUND(INDEX(Archetypes!$I$2:$I$127, MATCH(D131, Archetypes!$A$2:$A$127, 0))*INDEX(Unit_Grades!$C$2:$C$7, MATCH(F131, Unit_Grades!$A$2:$A$7, 0)),1)</f>
        <v>6.3</v>
      </c>
      <c r="M131" s="6" t="n">
        <f aca="false">ROUND(INDEX(Archetypes!$J$2:$J$127, MATCH(D131, Archetypes!$A$2:$A$127, 0))*INDEX(Unit_Grades!$D$2:$D$7, MATCH(F131, Unit_Grades!$A$2:$A$7, 0)),1)</f>
        <v>4.9</v>
      </c>
      <c r="N131" s="6" t="n">
        <f aca="false">ROUND(M131/24,2)</f>
        <v>0.2</v>
      </c>
    </row>
    <row r="132" customFormat="false" ht="15" hidden="false" customHeight="true" outlineLevel="0" collapsed="false">
      <c r="A132" s="6" t="n">
        <v>1</v>
      </c>
      <c r="B132" s="6" t="s">
        <v>1692</v>
      </c>
      <c r="C132" s="6" t="s">
        <v>1269</v>
      </c>
      <c r="D132" s="6" t="str">
        <f aca="false">A132&amp;"|"&amp;C132</f>
        <v>1|Shield Bearer</v>
      </c>
      <c r="E132" s="6" t="s">
        <v>1556</v>
      </c>
      <c r="F132" s="6" t="s">
        <v>1546</v>
      </c>
      <c r="G132" s="6" t="str">
        <f aca="false">INDEX(Archetypes!$D$2:$D$127, MATCH(D132, Archetypes!$A$2:$A$127, 0))</f>
        <v>Screen</v>
      </c>
      <c r="H132" s="6" t="n">
        <f aca="false">ROUND(INDEX(Archetypes!$E$2:$E$127, MATCH(D132, Archetypes!$A$2:$A$127, 0))*INDEX(Unit_Grades!$B$2:$B$7, MATCH(F132, Unit_Grades!$A$2:$A$7, 0))*INDEX(Unit_Paths!$B$2:$B$4, MATCH(E132, Unit_Paths!$A$2:$A$4, 0)),1)</f>
        <v>25.6</v>
      </c>
      <c r="I132" s="6" t="n">
        <f aca="false">ROUND(INDEX(Archetypes!$F$2:$F$127, MATCH(D132, Archetypes!$A$2:$A$127, 0))*INDEX(Unit_Grades!$B$2:$B$7, MATCH(F132, Unit_Grades!$A$2:$A$7, 0))*INDEX(Unit_Paths!$C$2:$C$4, MATCH(E132, Unit_Paths!$A$2:$A$4, 0)),1)</f>
        <v>83.2</v>
      </c>
      <c r="J132" s="6" t="n">
        <f aca="false">ROUND(INDEX(Archetypes!$G$2:$G$127, MATCH(D132, Archetypes!$A$2:$A$127, 0))*INDEX(Unit_Grades!$B$2:$B$7, MATCH(F132, Unit_Grades!$A$2:$A$7, 0))*INDEX(Unit_Paths!$D$2:$D$4, MATCH(E132, Unit_Paths!$A$2:$A$4, 0)),0)</f>
        <v>304</v>
      </c>
      <c r="K132" s="6" t="n">
        <f aca="false">ROUND(INDEX(Archetypes!$H$2:$H$127, MATCH(D132, Archetypes!$A$2:$A$127, 0))*INDEX(Unit_Paths!$E$2:$E$4, MATCH(E132, Unit_Paths!$A$2:$A$4, 0)),1)</f>
        <v>15</v>
      </c>
      <c r="L132" s="6" t="n">
        <f aca="false">ROUND(INDEX(Archetypes!$I$2:$I$127, MATCH(D132, Archetypes!$A$2:$A$127, 0))*INDEX(Unit_Grades!$C$2:$C$7, MATCH(F132, Unit_Grades!$A$2:$A$7, 0)),1)</f>
        <v>8.4</v>
      </c>
      <c r="M132" s="6" t="n">
        <f aca="false">ROUND(INDEX(Archetypes!$J$2:$J$127, MATCH(D132, Archetypes!$A$2:$A$127, 0))*INDEX(Unit_Grades!$D$2:$D$7, MATCH(F132, Unit_Grades!$A$2:$A$7, 0)),1)</f>
        <v>8.5</v>
      </c>
      <c r="N132" s="6" t="n">
        <f aca="false">ROUND(M132/24,2)</f>
        <v>0.35</v>
      </c>
    </row>
    <row r="133" customFormat="false" ht="15" hidden="false" customHeight="true" outlineLevel="0" collapsed="false">
      <c r="A133" s="6" t="n">
        <v>1</v>
      </c>
      <c r="B133" s="6" t="s">
        <v>1693</v>
      </c>
      <c r="C133" s="6" t="s">
        <v>1269</v>
      </c>
      <c r="D133" s="6" t="str">
        <f aca="false">A133&amp;"|"&amp;C133</f>
        <v>1|Shield Bearer</v>
      </c>
      <c r="E133" s="6" t="s">
        <v>1556</v>
      </c>
      <c r="F133" s="6" t="s">
        <v>1548</v>
      </c>
      <c r="G133" s="6" t="str">
        <f aca="false">INDEX(Archetypes!$D$2:$D$127, MATCH(D133, Archetypes!$A$2:$A$127, 0))</f>
        <v>Screen</v>
      </c>
      <c r="H133" s="6" t="n">
        <f aca="false">ROUND(INDEX(Archetypes!$E$2:$E$127, MATCH(D133, Archetypes!$A$2:$A$127, 0))*INDEX(Unit_Grades!$B$2:$B$7, MATCH(F133, Unit_Grades!$A$2:$A$7, 0))*INDEX(Unit_Paths!$B$2:$B$4, MATCH(E133, Unit_Paths!$A$2:$A$4, 0)),1)</f>
        <v>33.6</v>
      </c>
      <c r="I133" s="6" t="n">
        <f aca="false">ROUND(INDEX(Archetypes!$F$2:$F$127, MATCH(D133, Archetypes!$A$2:$A$127, 0))*INDEX(Unit_Grades!$B$2:$B$7, MATCH(F133, Unit_Grades!$A$2:$A$7, 0))*INDEX(Unit_Paths!$C$2:$C$4, MATCH(E133, Unit_Paths!$A$2:$A$4, 0)),1)</f>
        <v>109.2</v>
      </c>
      <c r="J133" s="6" t="n">
        <f aca="false">ROUND(INDEX(Archetypes!$G$2:$G$127, MATCH(D133, Archetypes!$A$2:$A$127, 0))*INDEX(Unit_Grades!$B$2:$B$7, MATCH(F133, Unit_Grades!$A$2:$A$7, 0))*INDEX(Unit_Paths!$D$2:$D$4, MATCH(E133, Unit_Paths!$A$2:$A$4, 0)),0)</f>
        <v>399</v>
      </c>
      <c r="K133" s="6" t="n">
        <f aca="false">ROUND(INDEX(Archetypes!$H$2:$H$127, MATCH(D133, Archetypes!$A$2:$A$127, 0))*INDEX(Unit_Paths!$E$2:$E$4, MATCH(E133, Unit_Paths!$A$2:$A$4, 0)),1)</f>
        <v>15</v>
      </c>
      <c r="L133" s="6" t="n">
        <f aca="false">ROUND(INDEX(Archetypes!$I$2:$I$127, MATCH(D133, Archetypes!$A$2:$A$127, 0))*INDEX(Unit_Grades!$C$2:$C$7, MATCH(F133, Unit_Grades!$A$2:$A$7, 0)),1)</f>
        <v>11.1</v>
      </c>
      <c r="M133" s="6" t="n">
        <f aca="false">ROUND(INDEX(Archetypes!$J$2:$J$127, MATCH(D133, Archetypes!$A$2:$A$127, 0))*INDEX(Unit_Grades!$D$2:$D$7, MATCH(F133, Unit_Grades!$A$2:$A$7, 0)),1)</f>
        <v>14.6</v>
      </c>
      <c r="N133" s="6" t="n">
        <f aca="false">ROUND(M133/24,2)</f>
        <v>0.61</v>
      </c>
    </row>
    <row r="134" customFormat="false" ht="15" hidden="false" customHeight="true" outlineLevel="0" collapsed="false">
      <c r="A134" s="6" t="n">
        <v>1</v>
      </c>
      <c r="B134" s="6" t="s">
        <v>1694</v>
      </c>
      <c r="C134" s="6" t="s">
        <v>1269</v>
      </c>
      <c r="D134" s="6" t="str">
        <f aca="false">A134&amp;"|"&amp;C134</f>
        <v>1|Shield Bearer</v>
      </c>
      <c r="E134" s="6" t="s">
        <v>1558</v>
      </c>
      <c r="F134" s="6" t="s">
        <v>1538</v>
      </c>
      <c r="G134" s="6" t="str">
        <f aca="false">INDEX(Archetypes!$D$2:$D$127, MATCH(D134, Archetypes!$A$2:$A$127, 0))</f>
        <v>Screen</v>
      </c>
      <c r="H134" s="6" t="n">
        <f aca="false">ROUND(INDEX(Archetypes!$E$2:$E$127, MATCH(D134, Archetypes!$A$2:$A$127, 0))*INDEX(Unit_Grades!$B$2:$B$7, MATCH(F134, Unit_Grades!$A$2:$A$7, 0))*INDEX(Unit_Paths!$B$2:$B$4, MATCH(E134, Unit_Paths!$A$2:$A$4, 0)),1)</f>
        <v>9.6</v>
      </c>
      <c r="I134" s="6" t="n">
        <f aca="false">ROUND(INDEX(Archetypes!$F$2:$F$127, MATCH(D134, Archetypes!$A$2:$A$127, 0))*INDEX(Unit_Grades!$B$2:$B$7, MATCH(F134, Unit_Grades!$A$2:$A$7, 0))*INDEX(Unit_Paths!$C$2:$C$4, MATCH(E134, Unit_Paths!$A$2:$A$4, 0)),1)</f>
        <v>22.1</v>
      </c>
      <c r="J134" s="6" t="n">
        <f aca="false">ROUND(INDEX(Archetypes!$G$2:$G$127, MATCH(D134, Archetypes!$A$2:$A$127, 0))*INDEX(Unit_Grades!$B$2:$B$7, MATCH(F134, Unit_Grades!$A$2:$A$7, 0))*INDEX(Unit_Paths!$D$2:$D$4, MATCH(E134, Unit_Paths!$A$2:$A$4, 0)),0)</f>
        <v>90</v>
      </c>
      <c r="K134" s="6" t="n">
        <f aca="false">ROUND(INDEX(Archetypes!$H$2:$H$127, MATCH(D134, Archetypes!$A$2:$A$127, 0))*INDEX(Unit_Paths!$E$2:$E$4, MATCH(E134, Unit_Paths!$A$2:$A$4, 0)),1)</f>
        <v>15.8</v>
      </c>
      <c r="L134" s="6" t="n">
        <f aca="false">ROUND(INDEX(Archetypes!$I$2:$I$127, MATCH(D134, Archetypes!$A$2:$A$127, 0))*INDEX(Unit_Grades!$C$2:$C$7, MATCH(F134, Unit_Grades!$A$2:$A$7, 0)),1)</f>
        <v>3</v>
      </c>
      <c r="M134" s="6" t="n">
        <f aca="false">ROUND(INDEX(Archetypes!$J$2:$J$127, MATCH(D134, Archetypes!$A$2:$A$127, 0))*INDEX(Unit_Grades!$D$2:$D$7, MATCH(F134, Unit_Grades!$A$2:$A$7, 0)),1)</f>
        <v>1.2</v>
      </c>
      <c r="N134" s="6" t="n">
        <f aca="false">ROUND(M134/24,2)</f>
        <v>0.05</v>
      </c>
    </row>
    <row r="135" customFormat="false" ht="15" hidden="false" customHeight="true" outlineLevel="0" collapsed="false">
      <c r="A135" s="6" t="n">
        <v>1</v>
      </c>
      <c r="B135" s="6" t="s">
        <v>1695</v>
      </c>
      <c r="C135" s="6" t="s">
        <v>1269</v>
      </c>
      <c r="D135" s="6" t="str">
        <f aca="false">A135&amp;"|"&amp;C135</f>
        <v>1|Shield Bearer</v>
      </c>
      <c r="E135" s="6" t="s">
        <v>1558</v>
      </c>
      <c r="F135" s="6" t="s">
        <v>1540</v>
      </c>
      <c r="G135" s="6" t="str">
        <f aca="false">INDEX(Archetypes!$D$2:$D$127, MATCH(D135, Archetypes!$A$2:$A$127, 0))</f>
        <v>Screen</v>
      </c>
      <c r="H135" s="6" t="n">
        <f aca="false">ROUND(INDEX(Archetypes!$E$2:$E$127, MATCH(D135, Archetypes!$A$2:$A$127, 0))*INDEX(Unit_Grades!$B$2:$B$7, MATCH(F135, Unit_Grades!$A$2:$A$7, 0))*INDEX(Unit_Paths!$B$2:$B$4, MATCH(E135, Unit_Paths!$A$2:$A$4, 0)),1)</f>
        <v>13</v>
      </c>
      <c r="I135" s="6" t="n">
        <f aca="false">ROUND(INDEX(Archetypes!$F$2:$F$127, MATCH(D135, Archetypes!$A$2:$A$127, 0))*INDEX(Unit_Grades!$B$2:$B$7, MATCH(F135, Unit_Grades!$A$2:$A$7, 0))*INDEX(Unit_Paths!$C$2:$C$4, MATCH(E135, Unit_Paths!$A$2:$A$4, 0)),1)</f>
        <v>29.8</v>
      </c>
      <c r="J135" s="6" t="n">
        <f aca="false">ROUND(INDEX(Archetypes!$G$2:$G$127, MATCH(D135, Archetypes!$A$2:$A$127, 0))*INDEX(Unit_Grades!$B$2:$B$7, MATCH(F135, Unit_Grades!$A$2:$A$7, 0))*INDEX(Unit_Paths!$D$2:$D$4, MATCH(E135, Unit_Paths!$A$2:$A$4, 0)),0)</f>
        <v>122</v>
      </c>
      <c r="K135" s="6" t="n">
        <f aca="false">ROUND(INDEX(Archetypes!$H$2:$H$127, MATCH(D135, Archetypes!$A$2:$A$127, 0))*INDEX(Unit_Paths!$E$2:$E$4, MATCH(E135, Unit_Paths!$A$2:$A$4, 0)),1)</f>
        <v>15.8</v>
      </c>
      <c r="L135" s="6" t="n">
        <f aca="false">ROUND(INDEX(Archetypes!$I$2:$I$127, MATCH(D135, Archetypes!$A$2:$A$127, 0))*INDEX(Unit_Grades!$C$2:$C$7, MATCH(F135, Unit_Grades!$A$2:$A$7, 0)),1)</f>
        <v>3.8</v>
      </c>
      <c r="M135" s="6" t="n">
        <f aca="false">ROUND(INDEX(Archetypes!$J$2:$J$127, MATCH(D135, Archetypes!$A$2:$A$127, 0))*INDEX(Unit_Grades!$D$2:$D$7, MATCH(F135, Unit_Grades!$A$2:$A$7, 0)),1)</f>
        <v>1.8</v>
      </c>
      <c r="N135" s="6" t="n">
        <f aca="false">ROUND(M135/24,2)</f>
        <v>0.08</v>
      </c>
    </row>
    <row r="136" customFormat="false" ht="15" hidden="false" customHeight="true" outlineLevel="0" collapsed="false">
      <c r="A136" s="6" t="n">
        <v>1</v>
      </c>
      <c r="B136" s="6" t="s">
        <v>1696</v>
      </c>
      <c r="C136" s="6" t="s">
        <v>1269</v>
      </c>
      <c r="D136" s="6" t="str">
        <f aca="false">A136&amp;"|"&amp;C136</f>
        <v>1|Shield Bearer</v>
      </c>
      <c r="E136" s="6" t="s">
        <v>1558</v>
      </c>
      <c r="F136" s="6" t="s">
        <v>1542</v>
      </c>
      <c r="G136" s="6" t="str">
        <f aca="false">INDEX(Archetypes!$D$2:$D$127, MATCH(D136, Archetypes!$A$2:$A$127, 0))</f>
        <v>Screen</v>
      </c>
      <c r="H136" s="6" t="n">
        <f aca="false">ROUND(INDEX(Archetypes!$E$2:$E$127, MATCH(D136, Archetypes!$A$2:$A$127, 0))*INDEX(Unit_Grades!$B$2:$B$7, MATCH(F136, Unit_Grades!$A$2:$A$7, 0))*INDEX(Unit_Paths!$B$2:$B$4, MATCH(E136, Unit_Paths!$A$2:$A$4, 0)),1)</f>
        <v>17.3</v>
      </c>
      <c r="I136" s="6" t="n">
        <f aca="false">ROUND(INDEX(Archetypes!$F$2:$F$127, MATCH(D136, Archetypes!$A$2:$A$127, 0))*INDEX(Unit_Grades!$B$2:$B$7, MATCH(F136, Unit_Grades!$A$2:$A$7, 0))*INDEX(Unit_Paths!$C$2:$C$4, MATCH(E136, Unit_Paths!$A$2:$A$4, 0)),1)</f>
        <v>39.8</v>
      </c>
      <c r="J136" s="6" t="n">
        <f aca="false">ROUND(INDEX(Archetypes!$G$2:$G$127, MATCH(D136, Archetypes!$A$2:$A$127, 0))*INDEX(Unit_Grades!$B$2:$B$7, MATCH(F136, Unit_Grades!$A$2:$A$7, 0))*INDEX(Unit_Paths!$D$2:$D$4, MATCH(E136, Unit_Paths!$A$2:$A$4, 0)),0)</f>
        <v>162</v>
      </c>
      <c r="K136" s="6" t="n">
        <f aca="false">ROUND(INDEX(Archetypes!$H$2:$H$127, MATCH(D136, Archetypes!$A$2:$A$127, 0))*INDEX(Unit_Paths!$E$2:$E$4, MATCH(E136, Unit_Paths!$A$2:$A$4, 0)),1)</f>
        <v>15.8</v>
      </c>
      <c r="L136" s="6" t="n">
        <f aca="false">ROUND(INDEX(Archetypes!$I$2:$I$127, MATCH(D136, Archetypes!$A$2:$A$127, 0))*INDEX(Unit_Grades!$C$2:$C$7, MATCH(F136, Unit_Grades!$A$2:$A$7, 0)),1)</f>
        <v>4.8</v>
      </c>
      <c r="M136" s="6" t="n">
        <f aca="false">ROUND(INDEX(Archetypes!$J$2:$J$127, MATCH(D136, Archetypes!$A$2:$A$127, 0))*INDEX(Unit_Grades!$D$2:$D$7, MATCH(F136, Unit_Grades!$A$2:$A$7, 0)),1)</f>
        <v>3.1</v>
      </c>
      <c r="N136" s="6" t="n">
        <f aca="false">ROUND(M136/24,2)</f>
        <v>0.13</v>
      </c>
    </row>
    <row r="137" customFormat="false" ht="15" hidden="false" customHeight="true" outlineLevel="0" collapsed="false">
      <c r="A137" s="6" t="n">
        <v>1</v>
      </c>
      <c r="B137" s="6" t="s">
        <v>1697</v>
      </c>
      <c r="C137" s="6" t="s">
        <v>1269</v>
      </c>
      <c r="D137" s="6" t="str">
        <f aca="false">A137&amp;"|"&amp;C137</f>
        <v>1|Shield Bearer</v>
      </c>
      <c r="E137" s="6" t="s">
        <v>1558</v>
      </c>
      <c r="F137" s="6" t="s">
        <v>1544</v>
      </c>
      <c r="G137" s="6" t="str">
        <f aca="false">INDEX(Archetypes!$D$2:$D$127, MATCH(D137, Archetypes!$A$2:$A$127, 0))</f>
        <v>Screen</v>
      </c>
      <c r="H137" s="6" t="n">
        <f aca="false">ROUND(INDEX(Archetypes!$E$2:$E$127, MATCH(D137, Archetypes!$A$2:$A$127, 0))*INDEX(Unit_Grades!$B$2:$B$7, MATCH(F137, Unit_Grades!$A$2:$A$7, 0))*INDEX(Unit_Paths!$B$2:$B$4, MATCH(E137, Unit_Paths!$A$2:$A$4, 0)),1)</f>
        <v>23</v>
      </c>
      <c r="I137" s="6" t="n">
        <f aca="false">ROUND(INDEX(Archetypes!$F$2:$F$127, MATCH(D137, Archetypes!$A$2:$A$127, 0))*INDEX(Unit_Grades!$B$2:$B$7, MATCH(F137, Unit_Grades!$A$2:$A$7, 0))*INDEX(Unit_Paths!$C$2:$C$4, MATCH(E137, Unit_Paths!$A$2:$A$4, 0)),1)</f>
        <v>53</v>
      </c>
      <c r="J137" s="6" t="n">
        <f aca="false">ROUND(INDEX(Archetypes!$G$2:$G$127, MATCH(D137, Archetypes!$A$2:$A$127, 0))*INDEX(Unit_Grades!$B$2:$B$7, MATCH(F137, Unit_Grades!$A$2:$A$7, 0))*INDEX(Unit_Paths!$D$2:$D$4, MATCH(E137, Unit_Paths!$A$2:$A$4, 0)),0)</f>
        <v>217</v>
      </c>
      <c r="K137" s="6" t="n">
        <f aca="false">ROUND(INDEX(Archetypes!$H$2:$H$127, MATCH(D137, Archetypes!$A$2:$A$127, 0))*INDEX(Unit_Paths!$E$2:$E$4, MATCH(E137, Unit_Paths!$A$2:$A$4, 0)),1)</f>
        <v>15.8</v>
      </c>
      <c r="L137" s="6" t="n">
        <f aca="false">ROUND(INDEX(Archetypes!$I$2:$I$127, MATCH(D137, Archetypes!$A$2:$A$127, 0))*INDEX(Unit_Grades!$C$2:$C$7, MATCH(F137, Unit_Grades!$A$2:$A$7, 0)),1)</f>
        <v>6.3</v>
      </c>
      <c r="M137" s="6" t="n">
        <f aca="false">ROUND(INDEX(Archetypes!$J$2:$J$127, MATCH(D137, Archetypes!$A$2:$A$127, 0))*INDEX(Unit_Grades!$D$2:$D$7, MATCH(F137, Unit_Grades!$A$2:$A$7, 0)),1)</f>
        <v>4.9</v>
      </c>
      <c r="N137" s="6" t="n">
        <f aca="false">ROUND(M137/24,2)</f>
        <v>0.2</v>
      </c>
    </row>
    <row r="138" customFormat="false" ht="15" hidden="false" customHeight="true" outlineLevel="0" collapsed="false">
      <c r="A138" s="6" t="n">
        <v>1</v>
      </c>
      <c r="B138" s="6" t="s">
        <v>1698</v>
      </c>
      <c r="C138" s="6" t="s">
        <v>1269</v>
      </c>
      <c r="D138" s="6" t="str">
        <f aca="false">A138&amp;"|"&amp;C138</f>
        <v>1|Shield Bearer</v>
      </c>
      <c r="E138" s="6" t="s">
        <v>1558</v>
      </c>
      <c r="F138" s="6" t="s">
        <v>1546</v>
      </c>
      <c r="G138" s="6" t="str">
        <f aca="false">INDEX(Archetypes!$D$2:$D$127, MATCH(D138, Archetypes!$A$2:$A$127, 0))</f>
        <v>Screen</v>
      </c>
      <c r="H138" s="6" t="n">
        <f aca="false">ROUND(INDEX(Archetypes!$E$2:$E$127, MATCH(D138, Archetypes!$A$2:$A$127, 0))*INDEX(Unit_Grades!$B$2:$B$7, MATCH(F138, Unit_Grades!$A$2:$A$7, 0))*INDEX(Unit_Paths!$B$2:$B$4, MATCH(E138, Unit_Paths!$A$2:$A$4, 0)),1)</f>
        <v>30.7</v>
      </c>
      <c r="I138" s="6" t="n">
        <f aca="false">ROUND(INDEX(Archetypes!$F$2:$F$127, MATCH(D138, Archetypes!$A$2:$A$127, 0))*INDEX(Unit_Grades!$B$2:$B$7, MATCH(F138, Unit_Grades!$A$2:$A$7, 0))*INDEX(Unit_Paths!$C$2:$C$4, MATCH(E138, Unit_Paths!$A$2:$A$4, 0)),1)</f>
        <v>70.7</v>
      </c>
      <c r="J138" s="6" t="n">
        <f aca="false">ROUND(INDEX(Archetypes!$G$2:$G$127, MATCH(D138, Archetypes!$A$2:$A$127, 0))*INDEX(Unit_Grades!$B$2:$B$7, MATCH(F138, Unit_Grades!$A$2:$A$7, 0))*INDEX(Unit_Paths!$D$2:$D$4, MATCH(E138, Unit_Paths!$A$2:$A$4, 0)),0)</f>
        <v>289</v>
      </c>
      <c r="K138" s="6" t="n">
        <f aca="false">ROUND(INDEX(Archetypes!$H$2:$H$127, MATCH(D138, Archetypes!$A$2:$A$127, 0))*INDEX(Unit_Paths!$E$2:$E$4, MATCH(E138, Unit_Paths!$A$2:$A$4, 0)),1)</f>
        <v>15.8</v>
      </c>
      <c r="L138" s="6" t="n">
        <f aca="false">ROUND(INDEX(Archetypes!$I$2:$I$127, MATCH(D138, Archetypes!$A$2:$A$127, 0))*INDEX(Unit_Grades!$C$2:$C$7, MATCH(F138, Unit_Grades!$A$2:$A$7, 0)),1)</f>
        <v>8.4</v>
      </c>
      <c r="M138" s="6" t="n">
        <f aca="false">ROUND(INDEX(Archetypes!$J$2:$J$127, MATCH(D138, Archetypes!$A$2:$A$127, 0))*INDEX(Unit_Grades!$D$2:$D$7, MATCH(F138, Unit_Grades!$A$2:$A$7, 0)),1)</f>
        <v>8.5</v>
      </c>
      <c r="N138" s="6" t="n">
        <f aca="false">ROUND(M138/24,2)</f>
        <v>0.35</v>
      </c>
    </row>
    <row r="139" customFormat="false" ht="15" hidden="false" customHeight="true" outlineLevel="0" collapsed="false">
      <c r="A139" s="6" t="n">
        <v>1</v>
      </c>
      <c r="B139" s="6" t="s">
        <v>1699</v>
      </c>
      <c r="C139" s="6" t="s">
        <v>1269</v>
      </c>
      <c r="D139" s="6" t="str">
        <f aca="false">A139&amp;"|"&amp;C139</f>
        <v>1|Shield Bearer</v>
      </c>
      <c r="E139" s="6" t="s">
        <v>1558</v>
      </c>
      <c r="F139" s="6" t="s">
        <v>1548</v>
      </c>
      <c r="G139" s="6" t="str">
        <f aca="false">INDEX(Archetypes!$D$2:$D$127, MATCH(D139, Archetypes!$A$2:$A$127, 0))</f>
        <v>Screen</v>
      </c>
      <c r="H139" s="6" t="n">
        <f aca="false">ROUND(INDEX(Archetypes!$E$2:$E$127, MATCH(D139, Archetypes!$A$2:$A$127, 0))*INDEX(Unit_Grades!$B$2:$B$7, MATCH(F139, Unit_Grades!$A$2:$A$7, 0))*INDEX(Unit_Paths!$B$2:$B$4, MATCH(E139, Unit_Paths!$A$2:$A$4, 0)),1)</f>
        <v>40.3</v>
      </c>
      <c r="I139" s="6" t="n">
        <f aca="false">ROUND(INDEX(Archetypes!$F$2:$F$127, MATCH(D139, Archetypes!$A$2:$A$127, 0))*INDEX(Unit_Grades!$B$2:$B$7, MATCH(F139, Unit_Grades!$A$2:$A$7, 0))*INDEX(Unit_Paths!$C$2:$C$4, MATCH(E139, Unit_Paths!$A$2:$A$4, 0)),1)</f>
        <v>92.8</v>
      </c>
      <c r="J139" s="6" t="n">
        <f aca="false">ROUND(INDEX(Archetypes!$G$2:$G$127, MATCH(D139, Archetypes!$A$2:$A$127, 0))*INDEX(Unit_Grades!$B$2:$B$7, MATCH(F139, Unit_Grades!$A$2:$A$7, 0))*INDEX(Unit_Paths!$D$2:$D$4, MATCH(E139, Unit_Paths!$A$2:$A$4, 0)),0)</f>
        <v>379</v>
      </c>
      <c r="K139" s="6" t="n">
        <f aca="false">ROUND(INDEX(Archetypes!$H$2:$H$127, MATCH(D139, Archetypes!$A$2:$A$127, 0))*INDEX(Unit_Paths!$E$2:$E$4, MATCH(E139, Unit_Paths!$A$2:$A$4, 0)),1)</f>
        <v>15.8</v>
      </c>
      <c r="L139" s="6" t="n">
        <f aca="false">ROUND(INDEX(Archetypes!$I$2:$I$127, MATCH(D139, Archetypes!$A$2:$A$127, 0))*INDEX(Unit_Grades!$C$2:$C$7, MATCH(F139, Unit_Grades!$A$2:$A$7, 0)),1)</f>
        <v>11.1</v>
      </c>
      <c r="M139" s="6" t="n">
        <f aca="false">ROUND(INDEX(Archetypes!$J$2:$J$127, MATCH(D139, Archetypes!$A$2:$A$127, 0))*INDEX(Unit_Grades!$D$2:$D$7, MATCH(F139, Unit_Grades!$A$2:$A$7, 0)),1)</f>
        <v>14.6</v>
      </c>
      <c r="N139" s="6" t="n">
        <f aca="false">ROUND(M139/24,2)</f>
        <v>0.61</v>
      </c>
    </row>
    <row r="140" customFormat="false" ht="15" hidden="false" customHeight="true" outlineLevel="0" collapsed="false">
      <c r="A140" s="6" t="n">
        <v>1</v>
      </c>
      <c r="B140" s="6" t="s">
        <v>1700</v>
      </c>
      <c r="C140" s="6" t="s">
        <v>1269</v>
      </c>
      <c r="D140" s="6" t="str">
        <f aca="false">A140&amp;"|"&amp;C140</f>
        <v>1|Shield Bearer</v>
      </c>
      <c r="E140" s="6" t="s">
        <v>1560</v>
      </c>
      <c r="F140" s="6" t="s">
        <v>1538</v>
      </c>
      <c r="G140" s="6" t="str">
        <f aca="false">INDEX(Archetypes!$D$2:$D$127, MATCH(D140, Archetypes!$A$2:$A$127, 0))</f>
        <v>Screen</v>
      </c>
      <c r="H140" s="6" t="n">
        <f aca="false">ROUND(INDEX(Archetypes!$E$2:$E$127, MATCH(D140, Archetypes!$A$2:$A$127, 0))*INDEX(Unit_Grades!$B$2:$B$7, MATCH(F140, Unit_Grades!$A$2:$A$7, 0))*INDEX(Unit_Paths!$B$2:$B$4, MATCH(E140, Unit_Paths!$A$2:$A$4, 0)),1)</f>
        <v>6.8</v>
      </c>
      <c r="I140" s="6" t="n">
        <f aca="false">ROUND(INDEX(Archetypes!$F$2:$F$127, MATCH(D140, Archetypes!$A$2:$A$127, 0))*INDEX(Unit_Grades!$B$2:$B$7, MATCH(F140, Unit_Grades!$A$2:$A$7, 0))*INDEX(Unit_Paths!$C$2:$C$4, MATCH(E140, Unit_Paths!$A$2:$A$4, 0)),1)</f>
        <v>32.5</v>
      </c>
      <c r="J140" s="6" t="n">
        <f aca="false">ROUND(INDEX(Archetypes!$G$2:$G$127, MATCH(D140, Archetypes!$A$2:$A$127, 0))*INDEX(Unit_Grades!$B$2:$B$7, MATCH(F140, Unit_Grades!$A$2:$A$7, 0))*INDEX(Unit_Paths!$D$2:$D$4, MATCH(E140, Unit_Paths!$A$2:$A$4, 0)),0)</f>
        <v>109</v>
      </c>
      <c r="K140" s="6" t="n">
        <f aca="false">ROUND(INDEX(Archetypes!$H$2:$H$127, MATCH(D140, Archetypes!$A$2:$A$127, 0))*INDEX(Unit_Paths!$E$2:$E$4, MATCH(E140, Unit_Paths!$A$2:$A$4, 0)),1)</f>
        <v>13.8</v>
      </c>
      <c r="L140" s="6" t="n">
        <f aca="false">ROUND(INDEX(Archetypes!$I$2:$I$127, MATCH(D140, Archetypes!$A$2:$A$127, 0))*INDEX(Unit_Grades!$C$2:$C$7, MATCH(F140, Unit_Grades!$A$2:$A$7, 0)),1)</f>
        <v>3</v>
      </c>
      <c r="M140" s="6" t="n">
        <f aca="false">ROUND(INDEX(Archetypes!$J$2:$J$127, MATCH(D140, Archetypes!$A$2:$A$127, 0))*INDEX(Unit_Grades!$D$2:$D$7, MATCH(F140, Unit_Grades!$A$2:$A$7, 0)),1)</f>
        <v>1.2</v>
      </c>
      <c r="N140" s="6" t="n">
        <f aca="false">ROUND(M140/24,2)</f>
        <v>0.05</v>
      </c>
    </row>
    <row r="141" customFormat="false" ht="15" hidden="false" customHeight="true" outlineLevel="0" collapsed="false">
      <c r="A141" s="6" t="n">
        <v>1</v>
      </c>
      <c r="B141" s="6" t="s">
        <v>1701</v>
      </c>
      <c r="C141" s="6" t="s">
        <v>1269</v>
      </c>
      <c r="D141" s="6" t="str">
        <f aca="false">A141&amp;"|"&amp;C141</f>
        <v>1|Shield Bearer</v>
      </c>
      <c r="E141" s="6" t="s">
        <v>1560</v>
      </c>
      <c r="F141" s="6" t="s">
        <v>1540</v>
      </c>
      <c r="G141" s="6" t="str">
        <f aca="false">INDEX(Archetypes!$D$2:$D$127, MATCH(D141, Archetypes!$A$2:$A$127, 0))</f>
        <v>Screen</v>
      </c>
      <c r="H141" s="6" t="n">
        <f aca="false">ROUND(INDEX(Archetypes!$E$2:$E$127, MATCH(D141, Archetypes!$A$2:$A$127, 0))*INDEX(Unit_Grades!$B$2:$B$7, MATCH(F141, Unit_Grades!$A$2:$A$7, 0))*INDEX(Unit_Paths!$B$2:$B$4, MATCH(E141, Unit_Paths!$A$2:$A$4, 0)),1)</f>
        <v>9.2</v>
      </c>
      <c r="I141" s="6" t="n">
        <f aca="false">ROUND(INDEX(Archetypes!$F$2:$F$127, MATCH(D141, Archetypes!$A$2:$A$127, 0))*INDEX(Unit_Grades!$B$2:$B$7, MATCH(F141, Unit_Grades!$A$2:$A$7, 0))*INDEX(Unit_Paths!$C$2:$C$4, MATCH(E141, Unit_Paths!$A$2:$A$4, 0)),1)</f>
        <v>43.9</v>
      </c>
      <c r="J141" s="6" t="n">
        <f aca="false">ROUND(INDEX(Archetypes!$G$2:$G$127, MATCH(D141, Archetypes!$A$2:$A$127, 0))*INDEX(Unit_Grades!$B$2:$B$7, MATCH(F141, Unit_Grades!$A$2:$A$7, 0))*INDEX(Unit_Paths!$D$2:$D$4, MATCH(E141, Unit_Paths!$A$2:$A$4, 0)),0)</f>
        <v>147</v>
      </c>
      <c r="K141" s="6" t="n">
        <f aca="false">ROUND(INDEX(Archetypes!$H$2:$H$127, MATCH(D141, Archetypes!$A$2:$A$127, 0))*INDEX(Unit_Paths!$E$2:$E$4, MATCH(E141, Unit_Paths!$A$2:$A$4, 0)),1)</f>
        <v>13.8</v>
      </c>
      <c r="L141" s="6" t="n">
        <f aca="false">ROUND(INDEX(Archetypes!$I$2:$I$127, MATCH(D141, Archetypes!$A$2:$A$127, 0))*INDEX(Unit_Grades!$C$2:$C$7, MATCH(F141, Unit_Grades!$A$2:$A$7, 0)),1)</f>
        <v>3.8</v>
      </c>
      <c r="M141" s="6" t="n">
        <f aca="false">ROUND(INDEX(Archetypes!$J$2:$J$127, MATCH(D141, Archetypes!$A$2:$A$127, 0))*INDEX(Unit_Grades!$D$2:$D$7, MATCH(F141, Unit_Grades!$A$2:$A$7, 0)),1)</f>
        <v>1.8</v>
      </c>
      <c r="N141" s="6" t="n">
        <f aca="false">ROUND(M141/24,2)</f>
        <v>0.08</v>
      </c>
    </row>
    <row r="142" customFormat="false" ht="15" hidden="false" customHeight="true" outlineLevel="0" collapsed="false">
      <c r="A142" s="6" t="n">
        <v>1</v>
      </c>
      <c r="B142" s="6" t="s">
        <v>1702</v>
      </c>
      <c r="C142" s="6" t="s">
        <v>1269</v>
      </c>
      <c r="D142" s="6" t="str">
        <f aca="false">A142&amp;"|"&amp;C142</f>
        <v>1|Shield Bearer</v>
      </c>
      <c r="E142" s="6" t="s">
        <v>1560</v>
      </c>
      <c r="F142" s="6" t="s">
        <v>1542</v>
      </c>
      <c r="G142" s="6" t="str">
        <f aca="false">INDEX(Archetypes!$D$2:$D$127, MATCH(D142, Archetypes!$A$2:$A$127, 0))</f>
        <v>Screen</v>
      </c>
      <c r="H142" s="6" t="n">
        <f aca="false">ROUND(INDEX(Archetypes!$E$2:$E$127, MATCH(D142, Archetypes!$A$2:$A$127, 0))*INDEX(Unit_Grades!$B$2:$B$7, MATCH(F142, Unit_Grades!$A$2:$A$7, 0))*INDEX(Unit_Paths!$B$2:$B$4, MATCH(E142, Unit_Paths!$A$2:$A$4, 0)),1)</f>
        <v>12.2</v>
      </c>
      <c r="I142" s="6" t="n">
        <f aca="false">ROUND(INDEX(Archetypes!$F$2:$F$127, MATCH(D142, Archetypes!$A$2:$A$127, 0))*INDEX(Unit_Grades!$B$2:$B$7, MATCH(F142, Unit_Grades!$A$2:$A$7, 0))*INDEX(Unit_Paths!$C$2:$C$4, MATCH(E142, Unit_Paths!$A$2:$A$4, 0)),1)</f>
        <v>58.5</v>
      </c>
      <c r="J142" s="6" t="n">
        <f aca="false">ROUND(INDEX(Archetypes!$G$2:$G$127, MATCH(D142, Archetypes!$A$2:$A$127, 0))*INDEX(Unit_Grades!$B$2:$B$7, MATCH(F142, Unit_Grades!$A$2:$A$7, 0))*INDEX(Unit_Paths!$D$2:$D$4, MATCH(E142, Unit_Paths!$A$2:$A$4, 0)),0)</f>
        <v>197</v>
      </c>
      <c r="K142" s="6" t="n">
        <f aca="false">ROUND(INDEX(Archetypes!$H$2:$H$127, MATCH(D142, Archetypes!$A$2:$A$127, 0))*INDEX(Unit_Paths!$E$2:$E$4, MATCH(E142, Unit_Paths!$A$2:$A$4, 0)),1)</f>
        <v>13.8</v>
      </c>
      <c r="L142" s="6" t="n">
        <f aca="false">ROUND(INDEX(Archetypes!$I$2:$I$127, MATCH(D142, Archetypes!$A$2:$A$127, 0))*INDEX(Unit_Grades!$C$2:$C$7, MATCH(F142, Unit_Grades!$A$2:$A$7, 0)),1)</f>
        <v>4.8</v>
      </c>
      <c r="M142" s="6" t="n">
        <f aca="false">ROUND(INDEX(Archetypes!$J$2:$J$127, MATCH(D142, Archetypes!$A$2:$A$127, 0))*INDEX(Unit_Grades!$D$2:$D$7, MATCH(F142, Unit_Grades!$A$2:$A$7, 0)),1)</f>
        <v>3.1</v>
      </c>
      <c r="N142" s="6" t="n">
        <f aca="false">ROUND(M142/24,2)</f>
        <v>0.13</v>
      </c>
    </row>
    <row r="143" customFormat="false" ht="15" hidden="false" customHeight="true" outlineLevel="0" collapsed="false">
      <c r="A143" s="6" t="n">
        <v>1</v>
      </c>
      <c r="B143" s="6" t="s">
        <v>1703</v>
      </c>
      <c r="C143" s="6" t="s">
        <v>1269</v>
      </c>
      <c r="D143" s="6" t="str">
        <f aca="false">A143&amp;"|"&amp;C143</f>
        <v>1|Shield Bearer</v>
      </c>
      <c r="E143" s="6" t="s">
        <v>1560</v>
      </c>
      <c r="F143" s="6" t="s">
        <v>1544</v>
      </c>
      <c r="G143" s="6" t="str">
        <f aca="false">INDEX(Archetypes!$D$2:$D$127, MATCH(D143, Archetypes!$A$2:$A$127, 0))</f>
        <v>Screen</v>
      </c>
      <c r="H143" s="6" t="n">
        <f aca="false">ROUND(INDEX(Archetypes!$E$2:$E$127, MATCH(D143, Archetypes!$A$2:$A$127, 0))*INDEX(Unit_Grades!$B$2:$B$7, MATCH(F143, Unit_Grades!$A$2:$A$7, 0))*INDEX(Unit_Paths!$B$2:$B$4, MATCH(E143, Unit_Paths!$A$2:$A$4, 0)),1)</f>
        <v>16.3</v>
      </c>
      <c r="I143" s="6" t="n">
        <f aca="false">ROUND(INDEX(Archetypes!$F$2:$F$127, MATCH(D143, Archetypes!$A$2:$A$127, 0))*INDEX(Unit_Grades!$B$2:$B$7, MATCH(F143, Unit_Grades!$A$2:$A$7, 0))*INDEX(Unit_Paths!$C$2:$C$4, MATCH(E143, Unit_Paths!$A$2:$A$4, 0)),1)</f>
        <v>78</v>
      </c>
      <c r="J143" s="6" t="n">
        <f aca="false">ROUND(INDEX(Archetypes!$G$2:$G$127, MATCH(D143, Archetypes!$A$2:$A$127, 0))*INDEX(Unit_Grades!$B$2:$B$7, MATCH(F143, Unit_Grades!$A$2:$A$7, 0))*INDEX(Unit_Paths!$D$2:$D$4, MATCH(E143, Unit_Paths!$A$2:$A$4, 0)),0)</f>
        <v>262</v>
      </c>
      <c r="K143" s="6" t="n">
        <f aca="false">ROUND(INDEX(Archetypes!$H$2:$H$127, MATCH(D143, Archetypes!$A$2:$A$127, 0))*INDEX(Unit_Paths!$E$2:$E$4, MATCH(E143, Unit_Paths!$A$2:$A$4, 0)),1)</f>
        <v>13.8</v>
      </c>
      <c r="L143" s="6" t="n">
        <f aca="false">ROUND(INDEX(Archetypes!$I$2:$I$127, MATCH(D143, Archetypes!$A$2:$A$127, 0))*INDEX(Unit_Grades!$C$2:$C$7, MATCH(F143, Unit_Grades!$A$2:$A$7, 0)),1)</f>
        <v>6.3</v>
      </c>
      <c r="M143" s="6" t="n">
        <f aca="false">ROUND(INDEX(Archetypes!$J$2:$J$127, MATCH(D143, Archetypes!$A$2:$A$127, 0))*INDEX(Unit_Grades!$D$2:$D$7, MATCH(F143, Unit_Grades!$A$2:$A$7, 0)),1)</f>
        <v>4.9</v>
      </c>
      <c r="N143" s="6" t="n">
        <f aca="false">ROUND(M143/24,2)</f>
        <v>0.2</v>
      </c>
    </row>
    <row r="144" customFormat="false" ht="15" hidden="false" customHeight="true" outlineLevel="0" collapsed="false">
      <c r="A144" s="6" t="n">
        <v>1</v>
      </c>
      <c r="B144" s="6" t="s">
        <v>1704</v>
      </c>
      <c r="C144" s="6" t="s">
        <v>1269</v>
      </c>
      <c r="D144" s="6" t="str">
        <f aca="false">A144&amp;"|"&amp;C144</f>
        <v>1|Shield Bearer</v>
      </c>
      <c r="E144" s="6" t="s">
        <v>1560</v>
      </c>
      <c r="F144" s="6" t="s">
        <v>1546</v>
      </c>
      <c r="G144" s="6" t="str">
        <f aca="false">INDEX(Archetypes!$D$2:$D$127, MATCH(D144, Archetypes!$A$2:$A$127, 0))</f>
        <v>Screen</v>
      </c>
      <c r="H144" s="6" t="n">
        <f aca="false">ROUND(INDEX(Archetypes!$E$2:$E$127, MATCH(D144, Archetypes!$A$2:$A$127, 0))*INDEX(Unit_Grades!$B$2:$B$7, MATCH(F144, Unit_Grades!$A$2:$A$7, 0))*INDEX(Unit_Paths!$B$2:$B$4, MATCH(E144, Unit_Paths!$A$2:$A$4, 0)),1)</f>
        <v>21.8</v>
      </c>
      <c r="I144" s="6" t="n">
        <f aca="false">ROUND(INDEX(Archetypes!$F$2:$F$127, MATCH(D144, Archetypes!$A$2:$A$127, 0))*INDEX(Unit_Grades!$B$2:$B$7, MATCH(F144, Unit_Grades!$A$2:$A$7, 0))*INDEX(Unit_Paths!$C$2:$C$4, MATCH(E144, Unit_Paths!$A$2:$A$4, 0)),1)</f>
        <v>104</v>
      </c>
      <c r="J144" s="6" t="n">
        <f aca="false">ROUND(INDEX(Archetypes!$G$2:$G$127, MATCH(D144, Archetypes!$A$2:$A$127, 0))*INDEX(Unit_Grades!$B$2:$B$7, MATCH(F144, Unit_Grades!$A$2:$A$7, 0))*INDEX(Unit_Paths!$D$2:$D$4, MATCH(E144, Unit_Paths!$A$2:$A$4, 0)),0)</f>
        <v>350</v>
      </c>
      <c r="K144" s="6" t="n">
        <f aca="false">ROUND(INDEX(Archetypes!$H$2:$H$127, MATCH(D144, Archetypes!$A$2:$A$127, 0))*INDEX(Unit_Paths!$E$2:$E$4, MATCH(E144, Unit_Paths!$A$2:$A$4, 0)),1)</f>
        <v>13.8</v>
      </c>
      <c r="L144" s="6" t="n">
        <f aca="false">ROUND(INDEX(Archetypes!$I$2:$I$127, MATCH(D144, Archetypes!$A$2:$A$127, 0))*INDEX(Unit_Grades!$C$2:$C$7, MATCH(F144, Unit_Grades!$A$2:$A$7, 0)),1)</f>
        <v>8.4</v>
      </c>
      <c r="M144" s="6" t="n">
        <f aca="false">ROUND(INDEX(Archetypes!$J$2:$J$127, MATCH(D144, Archetypes!$A$2:$A$127, 0))*INDEX(Unit_Grades!$D$2:$D$7, MATCH(F144, Unit_Grades!$A$2:$A$7, 0)),1)</f>
        <v>8.5</v>
      </c>
      <c r="N144" s="6" t="n">
        <f aca="false">ROUND(M144/24,2)</f>
        <v>0.35</v>
      </c>
    </row>
    <row r="145" customFormat="false" ht="15" hidden="false" customHeight="true" outlineLevel="0" collapsed="false">
      <c r="A145" s="6" t="n">
        <v>1</v>
      </c>
      <c r="B145" s="6" t="s">
        <v>1705</v>
      </c>
      <c r="C145" s="6" t="s">
        <v>1269</v>
      </c>
      <c r="D145" s="6" t="str">
        <f aca="false">A145&amp;"|"&amp;C145</f>
        <v>1|Shield Bearer</v>
      </c>
      <c r="E145" s="6" t="s">
        <v>1560</v>
      </c>
      <c r="F145" s="6" t="s">
        <v>1548</v>
      </c>
      <c r="G145" s="6" t="str">
        <f aca="false">INDEX(Archetypes!$D$2:$D$127, MATCH(D145, Archetypes!$A$2:$A$127, 0))</f>
        <v>Screen</v>
      </c>
      <c r="H145" s="6" t="n">
        <f aca="false">ROUND(INDEX(Archetypes!$E$2:$E$127, MATCH(D145, Archetypes!$A$2:$A$127, 0))*INDEX(Unit_Grades!$B$2:$B$7, MATCH(F145, Unit_Grades!$A$2:$A$7, 0))*INDEX(Unit_Paths!$B$2:$B$4, MATCH(E145, Unit_Paths!$A$2:$A$4, 0)),1)</f>
        <v>28.6</v>
      </c>
      <c r="I145" s="6" t="n">
        <f aca="false">ROUND(INDEX(Archetypes!$F$2:$F$127, MATCH(D145, Archetypes!$A$2:$A$127, 0))*INDEX(Unit_Grades!$B$2:$B$7, MATCH(F145, Unit_Grades!$A$2:$A$7, 0))*INDEX(Unit_Paths!$C$2:$C$4, MATCH(E145, Unit_Paths!$A$2:$A$4, 0)),1)</f>
        <v>136.5</v>
      </c>
      <c r="J145" s="6" t="n">
        <f aca="false">ROUND(INDEX(Archetypes!$G$2:$G$127, MATCH(D145, Archetypes!$A$2:$A$127, 0))*INDEX(Unit_Grades!$B$2:$B$7, MATCH(F145, Unit_Grades!$A$2:$A$7, 0))*INDEX(Unit_Paths!$D$2:$D$4, MATCH(E145, Unit_Paths!$A$2:$A$4, 0)),0)</f>
        <v>459</v>
      </c>
      <c r="K145" s="6" t="n">
        <f aca="false">ROUND(INDEX(Archetypes!$H$2:$H$127, MATCH(D145, Archetypes!$A$2:$A$127, 0))*INDEX(Unit_Paths!$E$2:$E$4, MATCH(E145, Unit_Paths!$A$2:$A$4, 0)),1)</f>
        <v>13.8</v>
      </c>
      <c r="L145" s="6" t="n">
        <f aca="false">ROUND(INDEX(Archetypes!$I$2:$I$127, MATCH(D145, Archetypes!$A$2:$A$127, 0))*INDEX(Unit_Grades!$C$2:$C$7, MATCH(F145, Unit_Grades!$A$2:$A$7, 0)),1)</f>
        <v>11.1</v>
      </c>
      <c r="M145" s="6" t="n">
        <f aca="false">ROUND(INDEX(Archetypes!$J$2:$J$127, MATCH(D145, Archetypes!$A$2:$A$127, 0))*INDEX(Unit_Grades!$D$2:$D$7, MATCH(F145, Unit_Grades!$A$2:$A$7, 0)),1)</f>
        <v>14.6</v>
      </c>
      <c r="N145" s="6" t="n">
        <f aca="false">ROUND(M145/24,2)</f>
        <v>0.61</v>
      </c>
    </row>
    <row r="146" customFormat="false" ht="15" hidden="false" customHeight="true" outlineLevel="0" collapsed="false">
      <c r="A146" s="6" t="n">
        <v>1</v>
      </c>
      <c r="B146" s="6" t="s">
        <v>1272</v>
      </c>
      <c r="C146" s="6" t="s">
        <v>1272</v>
      </c>
      <c r="D146" s="6" t="str">
        <f aca="false">A146&amp;"|"&amp;C146</f>
        <v>1|Loot Carrier</v>
      </c>
      <c r="E146" s="6" t="s">
        <v>1556</v>
      </c>
      <c r="F146" s="6" t="s">
        <v>1538</v>
      </c>
      <c r="G146" s="6" t="str">
        <f aca="false">INDEX(Archetypes!$D$2:$D$127, MATCH(D146, Archetypes!$A$2:$A$127, 0))</f>
        <v>Logistics</v>
      </c>
      <c r="H146" s="6" t="n">
        <f aca="false">ROUND(INDEX(Archetypes!$E$2:$E$127, MATCH(D146, Archetypes!$A$2:$A$127, 0))*INDEX(Unit_Grades!$B$2:$B$7, MATCH(F146, Unit_Grades!$A$2:$A$7, 0))*INDEX(Unit_Paths!$B$2:$B$4, MATCH(E146, Unit_Paths!$A$2:$A$4, 0)),1)</f>
        <v>2</v>
      </c>
      <c r="I146" s="6" t="n">
        <f aca="false">ROUND(INDEX(Archetypes!$F$2:$F$127, MATCH(D146, Archetypes!$A$2:$A$127, 0))*INDEX(Unit_Grades!$B$2:$B$7, MATCH(F146, Unit_Grades!$A$2:$A$7, 0))*INDEX(Unit_Paths!$C$2:$C$4, MATCH(E146, Unit_Paths!$A$2:$A$4, 0)),1)</f>
        <v>6</v>
      </c>
      <c r="J146" s="6" t="n">
        <f aca="false">ROUND(INDEX(Archetypes!$G$2:$G$127, MATCH(D146, Archetypes!$A$2:$A$127, 0))*INDEX(Unit_Grades!$B$2:$B$7, MATCH(F146, Unit_Grades!$A$2:$A$7, 0))*INDEX(Unit_Paths!$D$2:$D$4, MATCH(E146, Unit_Paths!$A$2:$A$4, 0)),0)</f>
        <v>50</v>
      </c>
      <c r="K146" s="6" t="n">
        <f aca="false">ROUND(INDEX(Archetypes!$H$2:$H$127, MATCH(D146, Archetypes!$A$2:$A$127, 0))*INDEX(Unit_Paths!$E$2:$E$4, MATCH(E146, Unit_Paths!$A$2:$A$4, 0)),1)</f>
        <v>20</v>
      </c>
      <c r="L146" s="6" t="n">
        <f aca="false">ROUND(INDEX(Archetypes!$I$2:$I$127, MATCH(D146, Archetypes!$A$2:$A$127, 0))*INDEX(Unit_Grades!$C$2:$C$7, MATCH(F146, Unit_Grades!$A$2:$A$7, 0)),1)</f>
        <v>2</v>
      </c>
      <c r="M146" s="6" t="n">
        <f aca="false">ROUND(INDEX(Archetypes!$J$2:$J$127, MATCH(D146, Archetypes!$A$2:$A$127, 0))*INDEX(Unit_Grades!$D$2:$D$7, MATCH(F146, Unit_Grades!$A$2:$A$7, 0)),1)</f>
        <v>0.8</v>
      </c>
      <c r="N146" s="6" t="n">
        <f aca="false">ROUND(M146/24,2)</f>
        <v>0.03</v>
      </c>
    </row>
    <row r="147" customFormat="false" ht="15" hidden="false" customHeight="true" outlineLevel="0" collapsed="false">
      <c r="A147" s="6" t="n">
        <v>1</v>
      </c>
      <c r="B147" s="6" t="s">
        <v>1706</v>
      </c>
      <c r="C147" s="6" t="s">
        <v>1272</v>
      </c>
      <c r="D147" s="6" t="str">
        <f aca="false">A147&amp;"|"&amp;C147</f>
        <v>1|Loot Carrier</v>
      </c>
      <c r="E147" s="6" t="s">
        <v>1556</v>
      </c>
      <c r="F147" s="6" t="s">
        <v>1540</v>
      </c>
      <c r="G147" s="6" t="str">
        <f aca="false">INDEX(Archetypes!$D$2:$D$127, MATCH(D147, Archetypes!$A$2:$A$127, 0))</f>
        <v>Logistics</v>
      </c>
      <c r="H147" s="6" t="n">
        <f aca="false">ROUND(INDEX(Archetypes!$E$2:$E$127, MATCH(D147, Archetypes!$A$2:$A$127, 0))*INDEX(Unit_Grades!$B$2:$B$7, MATCH(F147, Unit_Grades!$A$2:$A$7, 0))*INDEX(Unit_Paths!$B$2:$B$4, MATCH(E147, Unit_Paths!$A$2:$A$4, 0)),1)</f>
        <v>2.7</v>
      </c>
      <c r="I147" s="6" t="n">
        <f aca="false">ROUND(INDEX(Archetypes!$F$2:$F$127, MATCH(D147, Archetypes!$A$2:$A$127, 0))*INDEX(Unit_Grades!$B$2:$B$7, MATCH(F147, Unit_Grades!$A$2:$A$7, 0))*INDEX(Unit_Paths!$C$2:$C$4, MATCH(E147, Unit_Paths!$A$2:$A$4, 0)),1)</f>
        <v>8.1</v>
      </c>
      <c r="J147" s="6" t="n">
        <f aca="false">ROUND(INDEX(Archetypes!$G$2:$G$127, MATCH(D147, Archetypes!$A$2:$A$127, 0))*INDEX(Unit_Grades!$B$2:$B$7, MATCH(F147, Unit_Grades!$A$2:$A$7, 0))*INDEX(Unit_Paths!$D$2:$D$4, MATCH(E147, Unit_Paths!$A$2:$A$4, 0)),0)</f>
        <v>68</v>
      </c>
      <c r="K147" s="6" t="n">
        <f aca="false">ROUND(INDEX(Archetypes!$H$2:$H$127, MATCH(D147, Archetypes!$A$2:$A$127, 0))*INDEX(Unit_Paths!$E$2:$E$4, MATCH(E147, Unit_Paths!$A$2:$A$4, 0)),1)</f>
        <v>20</v>
      </c>
      <c r="L147" s="6" t="n">
        <f aca="false">ROUND(INDEX(Archetypes!$I$2:$I$127, MATCH(D147, Archetypes!$A$2:$A$127, 0))*INDEX(Unit_Grades!$C$2:$C$7, MATCH(F147, Unit_Grades!$A$2:$A$7, 0)),1)</f>
        <v>2.5</v>
      </c>
      <c r="M147" s="6" t="n">
        <f aca="false">ROUND(INDEX(Archetypes!$J$2:$J$127, MATCH(D147, Archetypes!$A$2:$A$127, 0))*INDEX(Unit_Grades!$D$2:$D$7, MATCH(F147, Unit_Grades!$A$2:$A$7, 0)),1)</f>
        <v>1.2</v>
      </c>
      <c r="N147" s="6" t="n">
        <f aca="false">ROUND(M147/24,2)</f>
        <v>0.05</v>
      </c>
    </row>
    <row r="148" customFormat="false" ht="15" hidden="false" customHeight="true" outlineLevel="0" collapsed="false">
      <c r="A148" s="6" t="n">
        <v>1</v>
      </c>
      <c r="B148" s="6" t="s">
        <v>1707</v>
      </c>
      <c r="C148" s="6" t="s">
        <v>1272</v>
      </c>
      <c r="D148" s="6" t="str">
        <f aca="false">A148&amp;"|"&amp;C148</f>
        <v>1|Loot Carrier</v>
      </c>
      <c r="E148" s="6" t="s">
        <v>1556</v>
      </c>
      <c r="F148" s="6" t="s">
        <v>1542</v>
      </c>
      <c r="G148" s="6" t="str">
        <f aca="false">INDEX(Archetypes!$D$2:$D$127, MATCH(D148, Archetypes!$A$2:$A$127, 0))</f>
        <v>Logistics</v>
      </c>
      <c r="H148" s="6" t="n">
        <f aca="false">ROUND(INDEX(Archetypes!$E$2:$E$127, MATCH(D148, Archetypes!$A$2:$A$127, 0))*INDEX(Unit_Grades!$B$2:$B$7, MATCH(F148, Unit_Grades!$A$2:$A$7, 0))*INDEX(Unit_Paths!$B$2:$B$4, MATCH(E148, Unit_Paths!$A$2:$A$4, 0)),1)</f>
        <v>3.6</v>
      </c>
      <c r="I148" s="6" t="n">
        <f aca="false">ROUND(INDEX(Archetypes!$F$2:$F$127, MATCH(D148, Archetypes!$A$2:$A$127, 0))*INDEX(Unit_Grades!$B$2:$B$7, MATCH(F148, Unit_Grades!$A$2:$A$7, 0))*INDEX(Unit_Paths!$C$2:$C$4, MATCH(E148, Unit_Paths!$A$2:$A$4, 0)),1)</f>
        <v>10.8</v>
      </c>
      <c r="J148" s="6" t="n">
        <f aca="false">ROUND(INDEX(Archetypes!$G$2:$G$127, MATCH(D148, Archetypes!$A$2:$A$127, 0))*INDEX(Unit_Grades!$B$2:$B$7, MATCH(F148, Unit_Grades!$A$2:$A$7, 0))*INDEX(Unit_Paths!$D$2:$D$4, MATCH(E148, Unit_Paths!$A$2:$A$4, 0)),0)</f>
        <v>90</v>
      </c>
      <c r="K148" s="6" t="n">
        <f aca="false">ROUND(INDEX(Archetypes!$H$2:$H$127, MATCH(D148, Archetypes!$A$2:$A$127, 0))*INDEX(Unit_Paths!$E$2:$E$4, MATCH(E148, Unit_Paths!$A$2:$A$4, 0)),1)</f>
        <v>20</v>
      </c>
      <c r="L148" s="6" t="n">
        <f aca="false">ROUND(INDEX(Archetypes!$I$2:$I$127, MATCH(D148, Archetypes!$A$2:$A$127, 0))*INDEX(Unit_Grades!$C$2:$C$7, MATCH(F148, Unit_Grades!$A$2:$A$7, 0)),1)</f>
        <v>3.2</v>
      </c>
      <c r="M148" s="6" t="n">
        <f aca="false">ROUND(INDEX(Archetypes!$J$2:$J$127, MATCH(D148, Archetypes!$A$2:$A$127, 0))*INDEX(Unit_Grades!$D$2:$D$7, MATCH(F148, Unit_Grades!$A$2:$A$7, 0)),1)</f>
        <v>2</v>
      </c>
      <c r="N148" s="6" t="n">
        <f aca="false">ROUND(M148/24,2)</f>
        <v>0.08</v>
      </c>
    </row>
    <row r="149" customFormat="false" ht="15" hidden="false" customHeight="true" outlineLevel="0" collapsed="false">
      <c r="A149" s="6" t="n">
        <v>1</v>
      </c>
      <c r="B149" s="6" t="s">
        <v>1708</v>
      </c>
      <c r="C149" s="6" t="s">
        <v>1272</v>
      </c>
      <c r="D149" s="6" t="str">
        <f aca="false">A149&amp;"|"&amp;C149</f>
        <v>1|Loot Carrier</v>
      </c>
      <c r="E149" s="6" t="s">
        <v>1556</v>
      </c>
      <c r="F149" s="6" t="s">
        <v>1544</v>
      </c>
      <c r="G149" s="6" t="str">
        <f aca="false">INDEX(Archetypes!$D$2:$D$127, MATCH(D149, Archetypes!$A$2:$A$127, 0))</f>
        <v>Logistics</v>
      </c>
      <c r="H149" s="6" t="n">
        <f aca="false">ROUND(INDEX(Archetypes!$E$2:$E$127, MATCH(D149, Archetypes!$A$2:$A$127, 0))*INDEX(Unit_Grades!$B$2:$B$7, MATCH(F149, Unit_Grades!$A$2:$A$7, 0))*INDEX(Unit_Paths!$B$2:$B$4, MATCH(E149, Unit_Paths!$A$2:$A$4, 0)),1)</f>
        <v>4.8</v>
      </c>
      <c r="I149" s="6" t="n">
        <f aca="false">ROUND(INDEX(Archetypes!$F$2:$F$127, MATCH(D149, Archetypes!$A$2:$A$127, 0))*INDEX(Unit_Grades!$B$2:$B$7, MATCH(F149, Unit_Grades!$A$2:$A$7, 0))*INDEX(Unit_Paths!$C$2:$C$4, MATCH(E149, Unit_Paths!$A$2:$A$4, 0)),1)</f>
        <v>14.4</v>
      </c>
      <c r="J149" s="6" t="n">
        <f aca="false">ROUND(INDEX(Archetypes!$G$2:$G$127, MATCH(D149, Archetypes!$A$2:$A$127, 0))*INDEX(Unit_Grades!$B$2:$B$7, MATCH(F149, Unit_Grades!$A$2:$A$7, 0))*INDEX(Unit_Paths!$D$2:$D$4, MATCH(E149, Unit_Paths!$A$2:$A$4, 0)),0)</f>
        <v>120</v>
      </c>
      <c r="K149" s="6" t="n">
        <f aca="false">ROUND(INDEX(Archetypes!$H$2:$H$127, MATCH(D149, Archetypes!$A$2:$A$127, 0))*INDEX(Unit_Paths!$E$2:$E$4, MATCH(E149, Unit_Paths!$A$2:$A$4, 0)),1)</f>
        <v>20</v>
      </c>
      <c r="L149" s="6" t="n">
        <f aca="false">ROUND(INDEX(Archetypes!$I$2:$I$127, MATCH(D149, Archetypes!$A$2:$A$127, 0))*INDEX(Unit_Grades!$C$2:$C$7, MATCH(F149, Unit_Grades!$A$2:$A$7, 0)),1)</f>
        <v>4.2</v>
      </c>
      <c r="M149" s="6" t="n">
        <f aca="false">ROUND(INDEX(Archetypes!$J$2:$J$127, MATCH(D149, Archetypes!$A$2:$A$127, 0))*INDEX(Unit_Grades!$D$2:$D$7, MATCH(F149, Unit_Grades!$A$2:$A$7, 0)),1)</f>
        <v>3.2</v>
      </c>
      <c r="N149" s="6" t="n">
        <f aca="false">ROUND(M149/24,2)</f>
        <v>0.13</v>
      </c>
    </row>
    <row r="150" customFormat="false" ht="15" hidden="false" customHeight="true" outlineLevel="0" collapsed="false">
      <c r="A150" s="6" t="n">
        <v>1</v>
      </c>
      <c r="B150" s="6" t="s">
        <v>1709</v>
      </c>
      <c r="C150" s="6" t="s">
        <v>1272</v>
      </c>
      <c r="D150" s="6" t="str">
        <f aca="false">A150&amp;"|"&amp;C150</f>
        <v>1|Loot Carrier</v>
      </c>
      <c r="E150" s="6" t="s">
        <v>1556</v>
      </c>
      <c r="F150" s="6" t="s">
        <v>1546</v>
      </c>
      <c r="G150" s="6" t="str">
        <f aca="false">INDEX(Archetypes!$D$2:$D$127, MATCH(D150, Archetypes!$A$2:$A$127, 0))</f>
        <v>Logistics</v>
      </c>
      <c r="H150" s="6" t="n">
        <f aca="false">ROUND(INDEX(Archetypes!$E$2:$E$127, MATCH(D150, Archetypes!$A$2:$A$127, 0))*INDEX(Unit_Grades!$B$2:$B$7, MATCH(F150, Unit_Grades!$A$2:$A$7, 0))*INDEX(Unit_Paths!$B$2:$B$4, MATCH(E150, Unit_Paths!$A$2:$A$4, 0)),1)</f>
        <v>6.4</v>
      </c>
      <c r="I150" s="6" t="n">
        <f aca="false">ROUND(INDEX(Archetypes!$F$2:$F$127, MATCH(D150, Archetypes!$A$2:$A$127, 0))*INDEX(Unit_Grades!$B$2:$B$7, MATCH(F150, Unit_Grades!$A$2:$A$7, 0))*INDEX(Unit_Paths!$C$2:$C$4, MATCH(E150, Unit_Paths!$A$2:$A$4, 0)),1)</f>
        <v>19.2</v>
      </c>
      <c r="J150" s="6" t="n">
        <f aca="false">ROUND(INDEX(Archetypes!$G$2:$G$127, MATCH(D150, Archetypes!$A$2:$A$127, 0))*INDEX(Unit_Grades!$B$2:$B$7, MATCH(F150, Unit_Grades!$A$2:$A$7, 0))*INDEX(Unit_Paths!$D$2:$D$4, MATCH(E150, Unit_Paths!$A$2:$A$4, 0)),0)</f>
        <v>160</v>
      </c>
      <c r="K150" s="6" t="n">
        <f aca="false">ROUND(INDEX(Archetypes!$H$2:$H$127, MATCH(D150, Archetypes!$A$2:$A$127, 0))*INDEX(Unit_Paths!$E$2:$E$4, MATCH(E150, Unit_Paths!$A$2:$A$4, 0)),1)</f>
        <v>20</v>
      </c>
      <c r="L150" s="6" t="n">
        <f aca="false">ROUND(INDEX(Archetypes!$I$2:$I$127, MATCH(D150, Archetypes!$A$2:$A$127, 0))*INDEX(Unit_Grades!$C$2:$C$7, MATCH(F150, Unit_Grades!$A$2:$A$7, 0)),1)</f>
        <v>5.6</v>
      </c>
      <c r="M150" s="6" t="n">
        <f aca="false">ROUND(INDEX(Archetypes!$J$2:$J$127, MATCH(D150, Archetypes!$A$2:$A$127, 0))*INDEX(Unit_Grades!$D$2:$D$7, MATCH(F150, Unit_Grades!$A$2:$A$7, 0)),1)</f>
        <v>5.7</v>
      </c>
      <c r="N150" s="6" t="n">
        <f aca="false">ROUND(M150/24,2)</f>
        <v>0.24</v>
      </c>
    </row>
    <row r="151" customFormat="false" ht="15" hidden="false" customHeight="true" outlineLevel="0" collapsed="false">
      <c r="A151" s="6" t="n">
        <v>1</v>
      </c>
      <c r="B151" s="6" t="s">
        <v>1710</v>
      </c>
      <c r="C151" s="6" t="s">
        <v>1272</v>
      </c>
      <c r="D151" s="6" t="str">
        <f aca="false">A151&amp;"|"&amp;C151</f>
        <v>1|Loot Carrier</v>
      </c>
      <c r="E151" s="6" t="s">
        <v>1556</v>
      </c>
      <c r="F151" s="6" t="s">
        <v>1548</v>
      </c>
      <c r="G151" s="6" t="str">
        <f aca="false">INDEX(Archetypes!$D$2:$D$127, MATCH(D151, Archetypes!$A$2:$A$127, 0))</f>
        <v>Logistics</v>
      </c>
      <c r="H151" s="6" t="n">
        <f aca="false">ROUND(INDEX(Archetypes!$E$2:$E$127, MATCH(D151, Archetypes!$A$2:$A$127, 0))*INDEX(Unit_Grades!$B$2:$B$7, MATCH(F151, Unit_Grades!$A$2:$A$7, 0))*INDEX(Unit_Paths!$B$2:$B$4, MATCH(E151, Unit_Paths!$A$2:$A$4, 0)),1)</f>
        <v>8.4</v>
      </c>
      <c r="I151" s="6" t="n">
        <f aca="false">ROUND(INDEX(Archetypes!$F$2:$F$127, MATCH(D151, Archetypes!$A$2:$A$127, 0))*INDEX(Unit_Grades!$B$2:$B$7, MATCH(F151, Unit_Grades!$A$2:$A$7, 0))*INDEX(Unit_Paths!$C$2:$C$4, MATCH(E151, Unit_Paths!$A$2:$A$4, 0)),1)</f>
        <v>25.2</v>
      </c>
      <c r="J151" s="6" t="n">
        <f aca="false">ROUND(INDEX(Archetypes!$G$2:$G$127, MATCH(D151, Archetypes!$A$2:$A$127, 0))*INDEX(Unit_Grades!$B$2:$B$7, MATCH(F151, Unit_Grades!$A$2:$A$7, 0))*INDEX(Unit_Paths!$D$2:$D$4, MATCH(E151, Unit_Paths!$A$2:$A$4, 0)),0)</f>
        <v>210</v>
      </c>
      <c r="K151" s="6" t="n">
        <f aca="false">ROUND(INDEX(Archetypes!$H$2:$H$127, MATCH(D151, Archetypes!$A$2:$A$127, 0))*INDEX(Unit_Paths!$E$2:$E$4, MATCH(E151, Unit_Paths!$A$2:$A$4, 0)),1)</f>
        <v>20</v>
      </c>
      <c r="L151" s="6" t="n">
        <f aca="false">ROUND(INDEX(Archetypes!$I$2:$I$127, MATCH(D151, Archetypes!$A$2:$A$127, 0))*INDEX(Unit_Grades!$C$2:$C$7, MATCH(F151, Unit_Grades!$A$2:$A$7, 0)),1)</f>
        <v>7.4</v>
      </c>
      <c r="M151" s="6" t="n">
        <f aca="false">ROUND(INDEX(Archetypes!$J$2:$J$127, MATCH(D151, Archetypes!$A$2:$A$127, 0))*INDEX(Unit_Grades!$D$2:$D$7, MATCH(F151, Unit_Grades!$A$2:$A$7, 0)),1)</f>
        <v>9.7</v>
      </c>
      <c r="N151" s="6" t="n">
        <f aca="false">ROUND(M151/24,2)</f>
        <v>0.4</v>
      </c>
    </row>
    <row r="152" customFormat="false" ht="15" hidden="false" customHeight="true" outlineLevel="0" collapsed="false">
      <c r="A152" s="6" t="n">
        <v>1</v>
      </c>
      <c r="B152" s="6" t="s">
        <v>1711</v>
      </c>
      <c r="C152" s="6" t="s">
        <v>1272</v>
      </c>
      <c r="D152" s="6" t="str">
        <f aca="false">A152&amp;"|"&amp;C152</f>
        <v>1|Loot Carrier</v>
      </c>
      <c r="E152" s="6" t="s">
        <v>1558</v>
      </c>
      <c r="F152" s="6" t="s">
        <v>1538</v>
      </c>
      <c r="G152" s="6" t="str">
        <f aca="false">INDEX(Archetypes!$D$2:$D$127, MATCH(D152, Archetypes!$A$2:$A$127, 0))</f>
        <v>Logistics</v>
      </c>
      <c r="H152" s="6" t="n">
        <f aca="false">ROUND(INDEX(Archetypes!$E$2:$E$127, MATCH(D152, Archetypes!$A$2:$A$127, 0))*INDEX(Unit_Grades!$B$2:$B$7, MATCH(F152, Unit_Grades!$A$2:$A$7, 0))*INDEX(Unit_Paths!$B$2:$B$4, MATCH(E152, Unit_Paths!$A$2:$A$4, 0)),1)</f>
        <v>2.4</v>
      </c>
      <c r="I152" s="6" t="n">
        <f aca="false">ROUND(INDEX(Archetypes!$F$2:$F$127, MATCH(D152, Archetypes!$A$2:$A$127, 0))*INDEX(Unit_Grades!$B$2:$B$7, MATCH(F152, Unit_Grades!$A$2:$A$7, 0))*INDEX(Unit_Paths!$C$2:$C$4, MATCH(E152, Unit_Paths!$A$2:$A$4, 0)),1)</f>
        <v>5.1</v>
      </c>
      <c r="J152" s="6" t="n">
        <f aca="false">ROUND(INDEX(Archetypes!$G$2:$G$127, MATCH(D152, Archetypes!$A$2:$A$127, 0))*INDEX(Unit_Grades!$B$2:$B$7, MATCH(F152, Unit_Grades!$A$2:$A$7, 0))*INDEX(Unit_Paths!$D$2:$D$4, MATCH(E152, Unit_Paths!$A$2:$A$4, 0)),0)</f>
        <v>48</v>
      </c>
      <c r="K152" s="6" t="n">
        <f aca="false">ROUND(INDEX(Archetypes!$H$2:$H$127, MATCH(D152, Archetypes!$A$2:$A$127, 0))*INDEX(Unit_Paths!$E$2:$E$4, MATCH(E152, Unit_Paths!$A$2:$A$4, 0)),1)</f>
        <v>21</v>
      </c>
      <c r="L152" s="6" t="n">
        <f aca="false">ROUND(INDEX(Archetypes!$I$2:$I$127, MATCH(D152, Archetypes!$A$2:$A$127, 0))*INDEX(Unit_Grades!$C$2:$C$7, MATCH(F152, Unit_Grades!$A$2:$A$7, 0)),1)</f>
        <v>2</v>
      </c>
      <c r="M152" s="6" t="n">
        <f aca="false">ROUND(INDEX(Archetypes!$J$2:$J$127, MATCH(D152, Archetypes!$A$2:$A$127, 0))*INDEX(Unit_Grades!$D$2:$D$7, MATCH(F152, Unit_Grades!$A$2:$A$7, 0)),1)</f>
        <v>0.8</v>
      </c>
      <c r="N152" s="6" t="n">
        <f aca="false">ROUND(M152/24,2)</f>
        <v>0.03</v>
      </c>
    </row>
    <row r="153" customFormat="false" ht="15" hidden="false" customHeight="true" outlineLevel="0" collapsed="false">
      <c r="A153" s="6" t="n">
        <v>1</v>
      </c>
      <c r="B153" s="6" t="s">
        <v>1712</v>
      </c>
      <c r="C153" s="6" t="s">
        <v>1272</v>
      </c>
      <c r="D153" s="6" t="str">
        <f aca="false">A153&amp;"|"&amp;C153</f>
        <v>1|Loot Carrier</v>
      </c>
      <c r="E153" s="6" t="s">
        <v>1558</v>
      </c>
      <c r="F153" s="6" t="s">
        <v>1540</v>
      </c>
      <c r="G153" s="6" t="str">
        <f aca="false">INDEX(Archetypes!$D$2:$D$127, MATCH(D153, Archetypes!$A$2:$A$127, 0))</f>
        <v>Logistics</v>
      </c>
      <c r="H153" s="6" t="n">
        <f aca="false">ROUND(INDEX(Archetypes!$E$2:$E$127, MATCH(D153, Archetypes!$A$2:$A$127, 0))*INDEX(Unit_Grades!$B$2:$B$7, MATCH(F153, Unit_Grades!$A$2:$A$7, 0))*INDEX(Unit_Paths!$B$2:$B$4, MATCH(E153, Unit_Paths!$A$2:$A$4, 0)),1)</f>
        <v>3.2</v>
      </c>
      <c r="I153" s="6" t="n">
        <f aca="false">ROUND(INDEX(Archetypes!$F$2:$F$127, MATCH(D153, Archetypes!$A$2:$A$127, 0))*INDEX(Unit_Grades!$B$2:$B$7, MATCH(F153, Unit_Grades!$A$2:$A$7, 0))*INDEX(Unit_Paths!$C$2:$C$4, MATCH(E153, Unit_Paths!$A$2:$A$4, 0)),1)</f>
        <v>6.9</v>
      </c>
      <c r="J153" s="6" t="n">
        <f aca="false">ROUND(INDEX(Archetypes!$G$2:$G$127, MATCH(D153, Archetypes!$A$2:$A$127, 0))*INDEX(Unit_Grades!$B$2:$B$7, MATCH(F153, Unit_Grades!$A$2:$A$7, 0))*INDEX(Unit_Paths!$D$2:$D$4, MATCH(E153, Unit_Paths!$A$2:$A$4, 0)),0)</f>
        <v>64</v>
      </c>
      <c r="K153" s="6" t="n">
        <f aca="false">ROUND(INDEX(Archetypes!$H$2:$H$127, MATCH(D153, Archetypes!$A$2:$A$127, 0))*INDEX(Unit_Paths!$E$2:$E$4, MATCH(E153, Unit_Paths!$A$2:$A$4, 0)),1)</f>
        <v>21</v>
      </c>
      <c r="L153" s="6" t="n">
        <f aca="false">ROUND(INDEX(Archetypes!$I$2:$I$127, MATCH(D153, Archetypes!$A$2:$A$127, 0))*INDEX(Unit_Grades!$C$2:$C$7, MATCH(F153, Unit_Grades!$A$2:$A$7, 0)),1)</f>
        <v>2.5</v>
      </c>
      <c r="M153" s="6" t="n">
        <f aca="false">ROUND(INDEX(Archetypes!$J$2:$J$127, MATCH(D153, Archetypes!$A$2:$A$127, 0))*INDEX(Unit_Grades!$D$2:$D$7, MATCH(F153, Unit_Grades!$A$2:$A$7, 0)),1)</f>
        <v>1.2</v>
      </c>
      <c r="N153" s="6" t="n">
        <f aca="false">ROUND(M153/24,2)</f>
        <v>0.05</v>
      </c>
    </row>
    <row r="154" customFormat="false" ht="15" hidden="false" customHeight="true" outlineLevel="0" collapsed="false">
      <c r="A154" s="6" t="n">
        <v>1</v>
      </c>
      <c r="B154" s="6" t="s">
        <v>1713</v>
      </c>
      <c r="C154" s="6" t="s">
        <v>1272</v>
      </c>
      <c r="D154" s="6" t="str">
        <f aca="false">A154&amp;"|"&amp;C154</f>
        <v>1|Loot Carrier</v>
      </c>
      <c r="E154" s="6" t="s">
        <v>1558</v>
      </c>
      <c r="F154" s="6" t="s">
        <v>1542</v>
      </c>
      <c r="G154" s="6" t="str">
        <f aca="false">INDEX(Archetypes!$D$2:$D$127, MATCH(D154, Archetypes!$A$2:$A$127, 0))</f>
        <v>Logistics</v>
      </c>
      <c r="H154" s="6" t="n">
        <f aca="false">ROUND(INDEX(Archetypes!$E$2:$E$127, MATCH(D154, Archetypes!$A$2:$A$127, 0))*INDEX(Unit_Grades!$B$2:$B$7, MATCH(F154, Unit_Grades!$A$2:$A$7, 0))*INDEX(Unit_Paths!$B$2:$B$4, MATCH(E154, Unit_Paths!$A$2:$A$4, 0)),1)</f>
        <v>4.3</v>
      </c>
      <c r="I154" s="6" t="n">
        <f aca="false">ROUND(INDEX(Archetypes!$F$2:$F$127, MATCH(D154, Archetypes!$A$2:$A$127, 0))*INDEX(Unit_Grades!$B$2:$B$7, MATCH(F154, Unit_Grades!$A$2:$A$7, 0))*INDEX(Unit_Paths!$C$2:$C$4, MATCH(E154, Unit_Paths!$A$2:$A$4, 0)),1)</f>
        <v>9.2</v>
      </c>
      <c r="J154" s="6" t="n">
        <f aca="false">ROUND(INDEX(Archetypes!$G$2:$G$127, MATCH(D154, Archetypes!$A$2:$A$127, 0))*INDEX(Unit_Grades!$B$2:$B$7, MATCH(F154, Unit_Grades!$A$2:$A$7, 0))*INDEX(Unit_Paths!$D$2:$D$4, MATCH(E154, Unit_Paths!$A$2:$A$4, 0)),0)</f>
        <v>86</v>
      </c>
      <c r="K154" s="6" t="n">
        <f aca="false">ROUND(INDEX(Archetypes!$H$2:$H$127, MATCH(D154, Archetypes!$A$2:$A$127, 0))*INDEX(Unit_Paths!$E$2:$E$4, MATCH(E154, Unit_Paths!$A$2:$A$4, 0)),1)</f>
        <v>21</v>
      </c>
      <c r="L154" s="6" t="n">
        <f aca="false">ROUND(INDEX(Archetypes!$I$2:$I$127, MATCH(D154, Archetypes!$A$2:$A$127, 0))*INDEX(Unit_Grades!$C$2:$C$7, MATCH(F154, Unit_Grades!$A$2:$A$7, 0)),1)</f>
        <v>3.2</v>
      </c>
      <c r="M154" s="6" t="n">
        <f aca="false">ROUND(INDEX(Archetypes!$J$2:$J$127, MATCH(D154, Archetypes!$A$2:$A$127, 0))*INDEX(Unit_Grades!$D$2:$D$7, MATCH(F154, Unit_Grades!$A$2:$A$7, 0)),1)</f>
        <v>2</v>
      </c>
      <c r="N154" s="6" t="n">
        <f aca="false">ROUND(M154/24,2)</f>
        <v>0.08</v>
      </c>
    </row>
    <row r="155" customFormat="false" ht="15" hidden="false" customHeight="true" outlineLevel="0" collapsed="false">
      <c r="A155" s="6" t="n">
        <v>1</v>
      </c>
      <c r="B155" s="6" t="s">
        <v>1714</v>
      </c>
      <c r="C155" s="6" t="s">
        <v>1272</v>
      </c>
      <c r="D155" s="6" t="str">
        <f aca="false">A155&amp;"|"&amp;C155</f>
        <v>1|Loot Carrier</v>
      </c>
      <c r="E155" s="6" t="s">
        <v>1558</v>
      </c>
      <c r="F155" s="6" t="s">
        <v>1544</v>
      </c>
      <c r="G155" s="6" t="str">
        <f aca="false">INDEX(Archetypes!$D$2:$D$127, MATCH(D155, Archetypes!$A$2:$A$127, 0))</f>
        <v>Logistics</v>
      </c>
      <c r="H155" s="6" t="n">
        <f aca="false">ROUND(INDEX(Archetypes!$E$2:$E$127, MATCH(D155, Archetypes!$A$2:$A$127, 0))*INDEX(Unit_Grades!$B$2:$B$7, MATCH(F155, Unit_Grades!$A$2:$A$7, 0))*INDEX(Unit_Paths!$B$2:$B$4, MATCH(E155, Unit_Paths!$A$2:$A$4, 0)),1)</f>
        <v>5.8</v>
      </c>
      <c r="I155" s="6" t="n">
        <f aca="false">ROUND(INDEX(Archetypes!$F$2:$F$127, MATCH(D155, Archetypes!$A$2:$A$127, 0))*INDEX(Unit_Grades!$B$2:$B$7, MATCH(F155, Unit_Grades!$A$2:$A$7, 0))*INDEX(Unit_Paths!$C$2:$C$4, MATCH(E155, Unit_Paths!$A$2:$A$4, 0)),1)</f>
        <v>12.2</v>
      </c>
      <c r="J155" s="6" t="n">
        <f aca="false">ROUND(INDEX(Archetypes!$G$2:$G$127, MATCH(D155, Archetypes!$A$2:$A$127, 0))*INDEX(Unit_Grades!$B$2:$B$7, MATCH(F155, Unit_Grades!$A$2:$A$7, 0))*INDEX(Unit_Paths!$D$2:$D$4, MATCH(E155, Unit_Paths!$A$2:$A$4, 0)),0)</f>
        <v>114</v>
      </c>
      <c r="K155" s="6" t="n">
        <f aca="false">ROUND(INDEX(Archetypes!$H$2:$H$127, MATCH(D155, Archetypes!$A$2:$A$127, 0))*INDEX(Unit_Paths!$E$2:$E$4, MATCH(E155, Unit_Paths!$A$2:$A$4, 0)),1)</f>
        <v>21</v>
      </c>
      <c r="L155" s="6" t="n">
        <f aca="false">ROUND(INDEX(Archetypes!$I$2:$I$127, MATCH(D155, Archetypes!$A$2:$A$127, 0))*INDEX(Unit_Grades!$C$2:$C$7, MATCH(F155, Unit_Grades!$A$2:$A$7, 0)),1)</f>
        <v>4.2</v>
      </c>
      <c r="M155" s="6" t="n">
        <f aca="false">ROUND(INDEX(Archetypes!$J$2:$J$127, MATCH(D155, Archetypes!$A$2:$A$127, 0))*INDEX(Unit_Grades!$D$2:$D$7, MATCH(F155, Unit_Grades!$A$2:$A$7, 0)),1)</f>
        <v>3.2</v>
      </c>
      <c r="N155" s="6" t="n">
        <f aca="false">ROUND(M155/24,2)</f>
        <v>0.13</v>
      </c>
    </row>
    <row r="156" customFormat="false" ht="15" hidden="false" customHeight="true" outlineLevel="0" collapsed="false">
      <c r="A156" s="6" t="n">
        <v>1</v>
      </c>
      <c r="B156" s="6" t="s">
        <v>1715</v>
      </c>
      <c r="C156" s="6" t="s">
        <v>1272</v>
      </c>
      <c r="D156" s="6" t="str">
        <f aca="false">A156&amp;"|"&amp;C156</f>
        <v>1|Loot Carrier</v>
      </c>
      <c r="E156" s="6" t="s">
        <v>1558</v>
      </c>
      <c r="F156" s="6" t="s">
        <v>1546</v>
      </c>
      <c r="G156" s="6" t="str">
        <f aca="false">INDEX(Archetypes!$D$2:$D$127, MATCH(D156, Archetypes!$A$2:$A$127, 0))</f>
        <v>Logistics</v>
      </c>
      <c r="H156" s="6" t="n">
        <f aca="false">ROUND(INDEX(Archetypes!$E$2:$E$127, MATCH(D156, Archetypes!$A$2:$A$127, 0))*INDEX(Unit_Grades!$B$2:$B$7, MATCH(F156, Unit_Grades!$A$2:$A$7, 0))*INDEX(Unit_Paths!$B$2:$B$4, MATCH(E156, Unit_Paths!$A$2:$A$4, 0)),1)</f>
        <v>7.7</v>
      </c>
      <c r="I156" s="6" t="n">
        <f aca="false">ROUND(INDEX(Archetypes!$F$2:$F$127, MATCH(D156, Archetypes!$A$2:$A$127, 0))*INDEX(Unit_Grades!$B$2:$B$7, MATCH(F156, Unit_Grades!$A$2:$A$7, 0))*INDEX(Unit_Paths!$C$2:$C$4, MATCH(E156, Unit_Paths!$A$2:$A$4, 0)),1)</f>
        <v>16.3</v>
      </c>
      <c r="J156" s="6" t="n">
        <f aca="false">ROUND(INDEX(Archetypes!$G$2:$G$127, MATCH(D156, Archetypes!$A$2:$A$127, 0))*INDEX(Unit_Grades!$B$2:$B$7, MATCH(F156, Unit_Grades!$A$2:$A$7, 0))*INDEX(Unit_Paths!$D$2:$D$4, MATCH(E156, Unit_Paths!$A$2:$A$4, 0)),0)</f>
        <v>152</v>
      </c>
      <c r="K156" s="6" t="n">
        <f aca="false">ROUND(INDEX(Archetypes!$H$2:$H$127, MATCH(D156, Archetypes!$A$2:$A$127, 0))*INDEX(Unit_Paths!$E$2:$E$4, MATCH(E156, Unit_Paths!$A$2:$A$4, 0)),1)</f>
        <v>21</v>
      </c>
      <c r="L156" s="6" t="n">
        <f aca="false">ROUND(INDEX(Archetypes!$I$2:$I$127, MATCH(D156, Archetypes!$A$2:$A$127, 0))*INDEX(Unit_Grades!$C$2:$C$7, MATCH(F156, Unit_Grades!$A$2:$A$7, 0)),1)</f>
        <v>5.6</v>
      </c>
      <c r="M156" s="6" t="n">
        <f aca="false">ROUND(INDEX(Archetypes!$J$2:$J$127, MATCH(D156, Archetypes!$A$2:$A$127, 0))*INDEX(Unit_Grades!$D$2:$D$7, MATCH(F156, Unit_Grades!$A$2:$A$7, 0)),1)</f>
        <v>5.7</v>
      </c>
      <c r="N156" s="6" t="n">
        <f aca="false">ROUND(M156/24,2)</f>
        <v>0.24</v>
      </c>
    </row>
    <row r="157" customFormat="false" ht="15" hidden="false" customHeight="true" outlineLevel="0" collapsed="false">
      <c r="A157" s="6" t="n">
        <v>1</v>
      </c>
      <c r="B157" s="6" t="s">
        <v>1716</v>
      </c>
      <c r="C157" s="6" t="s">
        <v>1272</v>
      </c>
      <c r="D157" s="6" t="str">
        <f aca="false">A157&amp;"|"&amp;C157</f>
        <v>1|Loot Carrier</v>
      </c>
      <c r="E157" s="6" t="s">
        <v>1558</v>
      </c>
      <c r="F157" s="6" t="s">
        <v>1548</v>
      </c>
      <c r="G157" s="6" t="str">
        <f aca="false">INDEX(Archetypes!$D$2:$D$127, MATCH(D157, Archetypes!$A$2:$A$127, 0))</f>
        <v>Logistics</v>
      </c>
      <c r="H157" s="6" t="n">
        <f aca="false">ROUND(INDEX(Archetypes!$E$2:$E$127, MATCH(D157, Archetypes!$A$2:$A$127, 0))*INDEX(Unit_Grades!$B$2:$B$7, MATCH(F157, Unit_Grades!$A$2:$A$7, 0))*INDEX(Unit_Paths!$B$2:$B$4, MATCH(E157, Unit_Paths!$A$2:$A$4, 0)),1)</f>
        <v>10.1</v>
      </c>
      <c r="I157" s="6" t="n">
        <f aca="false">ROUND(INDEX(Archetypes!$F$2:$F$127, MATCH(D157, Archetypes!$A$2:$A$127, 0))*INDEX(Unit_Grades!$B$2:$B$7, MATCH(F157, Unit_Grades!$A$2:$A$7, 0))*INDEX(Unit_Paths!$C$2:$C$4, MATCH(E157, Unit_Paths!$A$2:$A$4, 0)),1)</f>
        <v>21.4</v>
      </c>
      <c r="J157" s="6" t="n">
        <f aca="false">ROUND(INDEX(Archetypes!$G$2:$G$127, MATCH(D157, Archetypes!$A$2:$A$127, 0))*INDEX(Unit_Grades!$B$2:$B$7, MATCH(F157, Unit_Grades!$A$2:$A$7, 0))*INDEX(Unit_Paths!$D$2:$D$4, MATCH(E157, Unit_Paths!$A$2:$A$4, 0)),0)</f>
        <v>200</v>
      </c>
      <c r="K157" s="6" t="n">
        <f aca="false">ROUND(INDEX(Archetypes!$H$2:$H$127, MATCH(D157, Archetypes!$A$2:$A$127, 0))*INDEX(Unit_Paths!$E$2:$E$4, MATCH(E157, Unit_Paths!$A$2:$A$4, 0)),1)</f>
        <v>21</v>
      </c>
      <c r="L157" s="6" t="n">
        <f aca="false">ROUND(INDEX(Archetypes!$I$2:$I$127, MATCH(D157, Archetypes!$A$2:$A$127, 0))*INDEX(Unit_Grades!$C$2:$C$7, MATCH(F157, Unit_Grades!$A$2:$A$7, 0)),1)</f>
        <v>7.4</v>
      </c>
      <c r="M157" s="6" t="n">
        <f aca="false">ROUND(INDEX(Archetypes!$J$2:$J$127, MATCH(D157, Archetypes!$A$2:$A$127, 0))*INDEX(Unit_Grades!$D$2:$D$7, MATCH(F157, Unit_Grades!$A$2:$A$7, 0)),1)</f>
        <v>9.7</v>
      </c>
      <c r="N157" s="6" t="n">
        <f aca="false">ROUND(M157/24,2)</f>
        <v>0.4</v>
      </c>
    </row>
    <row r="158" customFormat="false" ht="15" hidden="false" customHeight="true" outlineLevel="0" collapsed="false">
      <c r="A158" s="6" t="n">
        <v>1</v>
      </c>
      <c r="B158" s="6" t="s">
        <v>1717</v>
      </c>
      <c r="C158" s="6" t="s">
        <v>1272</v>
      </c>
      <c r="D158" s="6" t="str">
        <f aca="false">A158&amp;"|"&amp;C158</f>
        <v>1|Loot Carrier</v>
      </c>
      <c r="E158" s="6" t="s">
        <v>1560</v>
      </c>
      <c r="F158" s="6" t="s">
        <v>1538</v>
      </c>
      <c r="G158" s="6" t="str">
        <f aca="false">INDEX(Archetypes!$D$2:$D$127, MATCH(D158, Archetypes!$A$2:$A$127, 0))</f>
        <v>Logistics</v>
      </c>
      <c r="H158" s="6" t="n">
        <f aca="false">ROUND(INDEX(Archetypes!$E$2:$E$127, MATCH(D158, Archetypes!$A$2:$A$127, 0))*INDEX(Unit_Grades!$B$2:$B$7, MATCH(F158, Unit_Grades!$A$2:$A$7, 0))*INDEX(Unit_Paths!$B$2:$B$4, MATCH(E158, Unit_Paths!$A$2:$A$4, 0)),1)</f>
        <v>1.7</v>
      </c>
      <c r="I158" s="6" t="n">
        <f aca="false">ROUND(INDEX(Archetypes!$F$2:$F$127, MATCH(D158, Archetypes!$A$2:$A$127, 0))*INDEX(Unit_Grades!$B$2:$B$7, MATCH(F158, Unit_Grades!$A$2:$A$7, 0))*INDEX(Unit_Paths!$C$2:$C$4, MATCH(E158, Unit_Paths!$A$2:$A$4, 0)),1)</f>
        <v>7.5</v>
      </c>
      <c r="J158" s="6" t="n">
        <f aca="false">ROUND(INDEX(Archetypes!$G$2:$G$127, MATCH(D158, Archetypes!$A$2:$A$127, 0))*INDEX(Unit_Grades!$B$2:$B$7, MATCH(F158, Unit_Grades!$A$2:$A$7, 0))*INDEX(Unit_Paths!$D$2:$D$4, MATCH(E158, Unit_Paths!$A$2:$A$4, 0)),0)</f>
        <v>57</v>
      </c>
      <c r="K158" s="6" t="n">
        <f aca="false">ROUND(INDEX(Archetypes!$H$2:$H$127, MATCH(D158, Archetypes!$A$2:$A$127, 0))*INDEX(Unit_Paths!$E$2:$E$4, MATCH(E158, Unit_Paths!$A$2:$A$4, 0)),1)</f>
        <v>18.4</v>
      </c>
      <c r="L158" s="6" t="n">
        <f aca="false">ROUND(INDEX(Archetypes!$I$2:$I$127, MATCH(D158, Archetypes!$A$2:$A$127, 0))*INDEX(Unit_Grades!$C$2:$C$7, MATCH(F158, Unit_Grades!$A$2:$A$7, 0)),1)</f>
        <v>2</v>
      </c>
      <c r="M158" s="6" t="n">
        <f aca="false">ROUND(INDEX(Archetypes!$J$2:$J$127, MATCH(D158, Archetypes!$A$2:$A$127, 0))*INDEX(Unit_Grades!$D$2:$D$7, MATCH(F158, Unit_Grades!$A$2:$A$7, 0)),1)</f>
        <v>0.8</v>
      </c>
      <c r="N158" s="6" t="n">
        <f aca="false">ROUND(M158/24,2)</f>
        <v>0.03</v>
      </c>
    </row>
    <row r="159" customFormat="false" ht="15" hidden="false" customHeight="true" outlineLevel="0" collapsed="false">
      <c r="A159" s="6" t="n">
        <v>1</v>
      </c>
      <c r="B159" s="6" t="s">
        <v>1718</v>
      </c>
      <c r="C159" s="6" t="s">
        <v>1272</v>
      </c>
      <c r="D159" s="6" t="str">
        <f aca="false">A159&amp;"|"&amp;C159</f>
        <v>1|Loot Carrier</v>
      </c>
      <c r="E159" s="6" t="s">
        <v>1560</v>
      </c>
      <c r="F159" s="6" t="s">
        <v>1540</v>
      </c>
      <c r="G159" s="6" t="str">
        <f aca="false">INDEX(Archetypes!$D$2:$D$127, MATCH(D159, Archetypes!$A$2:$A$127, 0))</f>
        <v>Logistics</v>
      </c>
      <c r="H159" s="6" t="n">
        <f aca="false">ROUND(INDEX(Archetypes!$E$2:$E$127, MATCH(D159, Archetypes!$A$2:$A$127, 0))*INDEX(Unit_Grades!$B$2:$B$7, MATCH(F159, Unit_Grades!$A$2:$A$7, 0))*INDEX(Unit_Paths!$B$2:$B$4, MATCH(E159, Unit_Paths!$A$2:$A$4, 0)),1)</f>
        <v>2.3</v>
      </c>
      <c r="I159" s="6" t="n">
        <f aca="false">ROUND(INDEX(Archetypes!$F$2:$F$127, MATCH(D159, Archetypes!$A$2:$A$127, 0))*INDEX(Unit_Grades!$B$2:$B$7, MATCH(F159, Unit_Grades!$A$2:$A$7, 0))*INDEX(Unit_Paths!$C$2:$C$4, MATCH(E159, Unit_Paths!$A$2:$A$4, 0)),1)</f>
        <v>10.1</v>
      </c>
      <c r="J159" s="6" t="n">
        <f aca="false">ROUND(INDEX(Archetypes!$G$2:$G$127, MATCH(D159, Archetypes!$A$2:$A$127, 0))*INDEX(Unit_Grades!$B$2:$B$7, MATCH(F159, Unit_Grades!$A$2:$A$7, 0))*INDEX(Unit_Paths!$D$2:$D$4, MATCH(E159, Unit_Paths!$A$2:$A$4, 0)),0)</f>
        <v>78</v>
      </c>
      <c r="K159" s="6" t="n">
        <f aca="false">ROUND(INDEX(Archetypes!$H$2:$H$127, MATCH(D159, Archetypes!$A$2:$A$127, 0))*INDEX(Unit_Paths!$E$2:$E$4, MATCH(E159, Unit_Paths!$A$2:$A$4, 0)),1)</f>
        <v>18.4</v>
      </c>
      <c r="L159" s="6" t="n">
        <f aca="false">ROUND(INDEX(Archetypes!$I$2:$I$127, MATCH(D159, Archetypes!$A$2:$A$127, 0))*INDEX(Unit_Grades!$C$2:$C$7, MATCH(F159, Unit_Grades!$A$2:$A$7, 0)),1)</f>
        <v>2.5</v>
      </c>
      <c r="M159" s="6" t="n">
        <f aca="false">ROUND(INDEX(Archetypes!$J$2:$J$127, MATCH(D159, Archetypes!$A$2:$A$127, 0))*INDEX(Unit_Grades!$D$2:$D$7, MATCH(F159, Unit_Grades!$A$2:$A$7, 0)),1)</f>
        <v>1.2</v>
      </c>
      <c r="N159" s="6" t="n">
        <f aca="false">ROUND(M159/24,2)</f>
        <v>0.05</v>
      </c>
    </row>
    <row r="160" customFormat="false" ht="15" hidden="false" customHeight="true" outlineLevel="0" collapsed="false">
      <c r="A160" s="6" t="n">
        <v>1</v>
      </c>
      <c r="B160" s="6" t="s">
        <v>1719</v>
      </c>
      <c r="C160" s="6" t="s">
        <v>1272</v>
      </c>
      <c r="D160" s="6" t="str">
        <f aca="false">A160&amp;"|"&amp;C160</f>
        <v>1|Loot Carrier</v>
      </c>
      <c r="E160" s="6" t="s">
        <v>1560</v>
      </c>
      <c r="F160" s="6" t="s">
        <v>1542</v>
      </c>
      <c r="G160" s="6" t="str">
        <f aca="false">INDEX(Archetypes!$D$2:$D$127, MATCH(D160, Archetypes!$A$2:$A$127, 0))</f>
        <v>Logistics</v>
      </c>
      <c r="H160" s="6" t="n">
        <f aca="false">ROUND(INDEX(Archetypes!$E$2:$E$127, MATCH(D160, Archetypes!$A$2:$A$127, 0))*INDEX(Unit_Grades!$B$2:$B$7, MATCH(F160, Unit_Grades!$A$2:$A$7, 0))*INDEX(Unit_Paths!$B$2:$B$4, MATCH(E160, Unit_Paths!$A$2:$A$4, 0)),1)</f>
        <v>3.1</v>
      </c>
      <c r="I160" s="6" t="n">
        <f aca="false">ROUND(INDEX(Archetypes!$F$2:$F$127, MATCH(D160, Archetypes!$A$2:$A$127, 0))*INDEX(Unit_Grades!$B$2:$B$7, MATCH(F160, Unit_Grades!$A$2:$A$7, 0))*INDEX(Unit_Paths!$C$2:$C$4, MATCH(E160, Unit_Paths!$A$2:$A$4, 0)),1)</f>
        <v>13.5</v>
      </c>
      <c r="J160" s="6" t="n">
        <f aca="false">ROUND(INDEX(Archetypes!$G$2:$G$127, MATCH(D160, Archetypes!$A$2:$A$127, 0))*INDEX(Unit_Grades!$B$2:$B$7, MATCH(F160, Unit_Grades!$A$2:$A$7, 0))*INDEX(Unit_Paths!$D$2:$D$4, MATCH(E160, Unit_Paths!$A$2:$A$4, 0)),0)</f>
        <v>103</v>
      </c>
      <c r="K160" s="6" t="n">
        <f aca="false">ROUND(INDEX(Archetypes!$H$2:$H$127, MATCH(D160, Archetypes!$A$2:$A$127, 0))*INDEX(Unit_Paths!$E$2:$E$4, MATCH(E160, Unit_Paths!$A$2:$A$4, 0)),1)</f>
        <v>18.4</v>
      </c>
      <c r="L160" s="6" t="n">
        <f aca="false">ROUND(INDEX(Archetypes!$I$2:$I$127, MATCH(D160, Archetypes!$A$2:$A$127, 0))*INDEX(Unit_Grades!$C$2:$C$7, MATCH(F160, Unit_Grades!$A$2:$A$7, 0)),1)</f>
        <v>3.2</v>
      </c>
      <c r="M160" s="6" t="n">
        <f aca="false">ROUND(INDEX(Archetypes!$J$2:$J$127, MATCH(D160, Archetypes!$A$2:$A$127, 0))*INDEX(Unit_Grades!$D$2:$D$7, MATCH(F160, Unit_Grades!$A$2:$A$7, 0)),1)</f>
        <v>2</v>
      </c>
      <c r="N160" s="6" t="n">
        <f aca="false">ROUND(M160/24,2)</f>
        <v>0.08</v>
      </c>
    </row>
    <row r="161" customFormat="false" ht="15" hidden="false" customHeight="true" outlineLevel="0" collapsed="false">
      <c r="A161" s="6" t="n">
        <v>1</v>
      </c>
      <c r="B161" s="6" t="s">
        <v>1720</v>
      </c>
      <c r="C161" s="6" t="s">
        <v>1272</v>
      </c>
      <c r="D161" s="6" t="str">
        <f aca="false">A161&amp;"|"&amp;C161</f>
        <v>1|Loot Carrier</v>
      </c>
      <c r="E161" s="6" t="s">
        <v>1560</v>
      </c>
      <c r="F161" s="6" t="s">
        <v>1544</v>
      </c>
      <c r="G161" s="6" t="str">
        <f aca="false">INDEX(Archetypes!$D$2:$D$127, MATCH(D161, Archetypes!$A$2:$A$127, 0))</f>
        <v>Logistics</v>
      </c>
      <c r="H161" s="6" t="n">
        <f aca="false">ROUND(INDEX(Archetypes!$E$2:$E$127, MATCH(D161, Archetypes!$A$2:$A$127, 0))*INDEX(Unit_Grades!$B$2:$B$7, MATCH(F161, Unit_Grades!$A$2:$A$7, 0))*INDEX(Unit_Paths!$B$2:$B$4, MATCH(E161, Unit_Paths!$A$2:$A$4, 0)),1)</f>
        <v>4.1</v>
      </c>
      <c r="I161" s="6" t="n">
        <f aca="false">ROUND(INDEX(Archetypes!$F$2:$F$127, MATCH(D161, Archetypes!$A$2:$A$127, 0))*INDEX(Unit_Grades!$B$2:$B$7, MATCH(F161, Unit_Grades!$A$2:$A$7, 0))*INDEX(Unit_Paths!$C$2:$C$4, MATCH(E161, Unit_Paths!$A$2:$A$4, 0)),1)</f>
        <v>18</v>
      </c>
      <c r="J161" s="6" t="n">
        <f aca="false">ROUND(INDEX(Archetypes!$G$2:$G$127, MATCH(D161, Archetypes!$A$2:$A$127, 0))*INDEX(Unit_Grades!$B$2:$B$7, MATCH(F161, Unit_Grades!$A$2:$A$7, 0))*INDEX(Unit_Paths!$D$2:$D$4, MATCH(E161, Unit_Paths!$A$2:$A$4, 0)),0)</f>
        <v>138</v>
      </c>
      <c r="K161" s="6" t="n">
        <f aca="false">ROUND(INDEX(Archetypes!$H$2:$H$127, MATCH(D161, Archetypes!$A$2:$A$127, 0))*INDEX(Unit_Paths!$E$2:$E$4, MATCH(E161, Unit_Paths!$A$2:$A$4, 0)),1)</f>
        <v>18.4</v>
      </c>
      <c r="L161" s="6" t="n">
        <f aca="false">ROUND(INDEX(Archetypes!$I$2:$I$127, MATCH(D161, Archetypes!$A$2:$A$127, 0))*INDEX(Unit_Grades!$C$2:$C$7, MATCH(F161, Unit_Grades!$A$2:$A$7, 0)),1)</f>
        <v>4.2</v>
      </c>
      <c r="M161" s="6" t="n">
        <f aca="false">ROUND(INDEX(Archetypes!$J$2:$J$127, MATCH(D161, Archetypes!$A$2:$A$127, 0))*INDEX(Unit_Grades!$D$2:$D$7, MATCH(F161, Unit_Grades!$A$2:$A$7, 0)),1)</f>
        <v>3.2</v>
      </c>
      <c r="N161" s="6" t="n">
        <f aca="false">ROUND(M161/24,2)</f>
        <v>0.13</v>
      </c>
    </row>
    <row r="162" customFormat="false" ht="15" hidden="false" customHeight="true" outlineLevel="0" collapsed="false">
      <c r="A162" s="6" t="n">
        <v>1</v>
      </c>
      <c r="B162" s="6" t="s">
        <v>1721</v>
      </c>
      <c r="C162" s="6" t="s">
        <v>1272</v>
      </c>
      <c r="D162" s="6" t="str">
        <f aca="false">A162&amp;"|"&amp;C162</f>
        <v>1|Loot Carrier</v>
      </c>
      <c r="E162" s="6" t="s">
        <v>1560</v>
      </c>
      <c r="F162" s="6" t="s">
        <v>1546</v>
      </c>
      <c r="G162" s="6" t="str">
        <f aca="false">INDEX(Archetypes!$D$2:$D$127, MATCH(D162, Archetypes!$A$2:$A$127, 0))</f>
        <v>Logistics</v>
      </c>
      <c r="H162" s="6" t="n">
        <f aca="false">ROUND(INDEX(Archetypes!$E$2:$E$127, MATCH(D162, Archetypes!$A$2:$A$127, 0))*INDEX(Unit_Grades!$B$2:$B$7, MATCH(F162, Unit_Grades!$A$2:$A$7, 0))*INDEX(Unit_Paths!$B$2:$B$4, MATCH(E162, Unit_Paths!$A$2:$A$4, 0)),1)</f>
        <v>5.4</v>
      </c>
      <c r="I162" s="6" t="n">
        <f aca="false">ROUND(INDEX(Archetypes!$F$2:$F$127, MATCH(D162, Archetypes!$A$2:$A$127, 0))*INDEX(Unit_Grades!$B$2:$B$7, MATCH(F162, Unit_Grades!$A$2:$A$7, 0))*INDEX(Unit_Paths!$C$2:$C$4, MATCH(E162, Unit_Paths!$A$2:$A$4, 0)),1)</f>
        <v>24</v>
      </c>
      <c r="J162" s="6" t="n">
        <f aca="false">ROUND(INDEX(Archetypes!$G$2:$G$127, MATCH(D162, Archetypes!$A$2:$A$127, 0))*INDEX(Unit_Grades!$B$2:$B$7, MATCH(F162, Unit_Grades!$A$2:$A$7, 0))*INDEX(Unit_Paths!$D$2:$D$4, MATCH(E162, Unit_Paths!$A$2:$A$4, 0)),0)</f>
        <v>184</v>
      </c>
      <c r="K162" s="6" t="n">
        <f aca="false">ROUND(INDEX(Archetypes!$H$2:$H$127, MATCH(D162, Archetypes!$A$2:$A$127, 0))*INDEX(Unit_Paths!$E$2:$E$4, MATCH(E162, Unit_Paths!$A$2:$A$4, 0)),1)</f>
        <v>18.4</v>
      </c>
      <c r="L162" s="6" t="n">
        <f aca="false">ROUND(INDEX(Archetypes!$I$2:$I$127, MATCH(D162, Archetypes!$A$2:$A$127, 0))*INDEX(Unit_Grades!$C$2:$C$7, MATCH(F162, Unit_Grades!$A$2:$A$7, 0)),1)</f>
        <v>5.6</v>
      </c>
      <c r="M162" s="6" t="n">
        <f aca="false">ROUND(INDEX(Archetypes!$J$2:$J$127, MATCH(D162, Archetypes!$A$2:$A$127, 0))*INDEX(Unit_Grades!$D$2:$D$7, MATCH(F162, Unit_Grades!$A$2:$A$7, 0)),1)</f>
        <v>5.7</v>
      </c>
      <c r="N162" s="6" t="n">
        <f aca="false">ROUND(M162/24,2)</f>
        <v>0.24</v>
      </c>
    </row>
    <row r="163" customFormat="false" ht="15" hidden="false" customHeight="true" outlineLevel="0" collapsed="false">
      <c r="A163" s="6" t="n">
        <v>1</v>
      </c>
      <c r="B163" s="6" t="s">
        <v>1722</v>
      </c>
      <c r="C163" s="6" t="s">
        <v>1272</v>
      </c>
      <c r="D163" s="6" t="str">
        <f aca="false">A163&amp;"|"&amp;C163</f>
        <v>1|Loot Carrier</v>
      </c>
      <c r="E163" s="6" t="s">
        <v>1560</v>
      </c>
      <c r="F163" s="6" t="s">
        <v>1548</v>
      </c>
      <c r="G163" s="6" t="str">
        <f aca="false">INDEX(Archetypes!$D$2:$D$127, MATCH(D163, Archetypes!$A$2:$A$127, 0))</f>
        <v>Logistics</v>
      </c>
      <c r="H163" s="6" t="n">
        <f aca="false">ROUND(INDEX(Archetypes!$E$2:$E$127, MATCH(D163, Archetypes!$A$2:$A$127, 0))*INDEX(Unit_Grades!$B$2:$B$7, MATCH(F163, Unit_Grades!$A$2:$A$7, 0))*INDEX(Unit_Paths!$B$2:$B$4, MATCH(E163, Unit_Paths!$A$2:$A$4, 0)),1)</f>
        <v>7.1</v>
      </c>
      <c r="I163" s="6" t="n">
        <f aca="false">ROUND(INDEX(Archetypes!$F$2:$F$127, MATCH(D163, Archetypes!$A$2:$A$127, 0))*INDEX(Unit_Grades!$B$2:$B$7, MATCH(F163, Unit_Grades!$A$2:$A$7, 0))*INDEX(Unit_Paths!$C$2:$C$4, MATCH(E163, Unit_Paths!$A$2:$A$4, 0)),1)</f>
        <v>31.5</v>
      </c>
      <c r="J163" s="6" t="n">
        <f aca="false">ROUND(INDEX(Archetypes!$G$2:$G$127, MATCH(D163, Archetypes!$A$2:$A$127, 0))*INDEX(Unit_Grades!$B$2:$B$7, MATCH(F163, Unit_Grades!$A$2:$A$7, 0))*INDEX(Unit_Paths!$D$2:$D$4, MATCH(E163, Unit_Paths!$A$2:$A$4, 0)),0)</f>
        <v>241</v>
      </c>
      <c r="K163" s="6" t="n">
        <f aca="false">ROUND(INDEX(Archetypes!$H$2:$H$127, MATCH(D163, Archetypes!$A$2:$A$127, 0))*INDEX(Unit_Paths!$E$2:$E$4, MATCH(E163, Unit_Paths!$A$2:$A$4, 0)),1)</f>
        <v>18.4</v>
      </c>
      <c r="L163" s="6" t="n">
        <f aca="false">ROUND(INDEX(Archetypes!$I$2:$I$127, MATCH(D163, Archetypes!$A$2:$A$127, 0))*INDEX(Unit_Grades!$C$2:$C$7, MATCH(F163, Unit_Grades!$A$2:$A$7, 0)),1)</f>
        <v>7.4</v>
      </c>
      <c r="M163" s="6" t="n">
        <f aca="false">ROUND(INDEX(Archetypes!$J$2:$J$127, MATCH(D163, Archetypes!$A$2:$A$127, 0))*INDEX(Unit_Grades!$D$2:$D$7, MATCH(F163, Unit_Grades!$A$2:$A$7, 0)),1)</f>
        <v>9.7</v>
      </c>
      <c r="N163" s="6" t="n">
        <f aca="false">ROUND(M163/24,2)</f>
        <v>0.4</v>
      </c>
    </row>
    <row r="164" customFormat="false" ht="15" hidden="false" customHeight="true" outlineLevel="0" collapsed="false">
      <c r="A164" s="6" t="n">
        <v>1</v>
      </c>
      <c r="B164" s="6" t="s">
        <v>1274</v>
      </c>
      <c r="C164" s="6" t="s">
        <v>1274</v>
      </c>
      <c r="D164" s="6" t="str">
        <f aca="false">A164&amp;"|"&amp;C164</f>
        <v>1|Chief Guard</v>
      </c>
      <c r="E164" s="6" t="s">
        <v>1556</v>
      </c>
      <c r="F164" s="6" t="s">
        <v>1538</v>
      </c>
      <c r="G164" s="6" t="str">
        <f aca="false">INDEX(Archetypes!$D$2:$D$127, MATCH(D164, Archetypes!$A$2:$A$127, 0))</f>
        <v>Elite Shock</v>
      </c>
      <c r="H164" s="6" t="n">
        <f aca="false">ROUND(INDEX(Archetypes!$E$2:$E$127, MATCH(D164, Archetypes!$A$2:$A$127, 0))*INDEX(Unit_Grades!$B$2:$B$7, MATCH(F164, Unit_Grades!$A$2:$A$7, 0))*INDEX(Unit_Paths!$B$2:$B$4, MATCH(E164, Unit_Paths!$A$2:$A$4, 0)),1)</f>
        <v>30</v>
      </c>
      <c r="I164" s="6" t="n">
        <f aca="false">ROUND(INDEX(Archetypes!$F$2:$F$127, MATCH(D164, Archetypes!$A$2:$A$127, 0))*INDEX(Unit_Grades!$B$2:$B$7, MATCH(F164, Unit_Grades!$A$2:$A$7, 0))*INDEX(Unit_Paths!$C$2:$C$4, MATCH(E164, Unit_Paths!$A$2:$A$4, 0)),1)</f>
        <v>20</v>
      </c>
      <c r="J164" s="6" t="n">
        <f aca="false">ROUND(INDEX(Archetypes!$G$2:$G$127, MATCH(D164, Archetypes!$A$2:$A$127, 0))*INDEX(Unit_Grades!$B$2:$B$7, MATCH(F164, Unit_Grades!$A$2:$A$7, 0))*INDEX(Unit_Paths!$D$2:$D$4, MATCH(E164, Unit_Paths!$A$2:$A$4, 0)),0)</f>
        <v>120</v>
      </c>
      <c r="K164" s="6" t="n">
        <f aca="false">ROUND(INDEX(Archetypes!$H$2:$H$127, MATCH(D164, Archetypes!$A$2:$A$127, 0))*INDEX(Unit_Paths!$E$2:$E$4, MATCH(E164, Unit_Paths!$A$2:$A$4, 0)),1)</f>
        <v>17</v>
      </c>
      <c r="L164" s="6" t="n">
        <f aca="false">ROUND(INDEX(Archetypes!$I$2:$I$127, MATCH(D164, Archetypes!$A$2:$A$127, 0))*INDEX(Unit_Grades!$C$2:$C$7, MATCH(F164, Unit_Grades!$A$2:$A$7, 0)),1)</f>
        <v>6</v>
      </c>
      <c r="M164" s="6" t="n">
        <f aca="false">ROUND(INDEX(Archetypes!$J$2:$J$127, MATCH(D164, Archetypes!$A$2:$A$127, 0))*INDEX(Unit_Grades!$D$2:$D$7, MATCH(F164, Unit_Grades!$A$2:$A$7, 0)),1)</f>
        <v>2.4</v>
      </c>
      <c r="N164" s="6" t="n">
        <f aca="false">ROUND(M164/24,2)</f>
        <v>0.1</v>
      </c>
    </row>
    <row r="165" customFormat="false" ht="15" hidden="false" customHeight="true" outlineLevel="0" collapsed="false">
      <c r="A165" s="6" t="n">
        <v>1</v>
      </c>
      <c r="B165" s="6" t="s">
        <v>1723</v>
      </c>
      <c r="C165" s="6" t="s">
        <v>1274</v>
      </c>
      <c r="D165" s="6" t="str">
        <f aca="false">A165&amp;"|"&amp;C165</f>
        <v>1|Chief Guard</v>
      </c>
      <c r="E165" s="6" t="s">
        <v>1556</v>
      </c>
      <c r="F165" s="6" t="s">
        <v>1540</v>
      </c>
      <c r="G165" s="6" t="str">
        <f aca="false">INDEX(Archetypes!$D$2:$D$127, MATCH(D165, Archetypes!$A$2:$A$127, 0))</f>
        <v>Elite Shock</v>
      </c>
      <c r="H165" s="6" t="n">
        <f aca="false">ROUND(INDEX(Archetypes!$E$2:$E$127, MATCH(D165, Archetypes!$A$2:$A$127, 0))*INDEX(Unit_Grades!$B$2:$B$7, MATCH(F165, Unit_Grades!$A$2:$A$7, 0))*INDEX(Unit_Paths!$B$2:$B$4, MATCH(E165, Unit_Paths!$A$2:$A$4, 0)),1)</f>
        <v>40.5</v>
      </c>
      <c r="I165" s="6" t="n">
        <f aca="false">ROUND(INDEX(Archetypes!$F$2:$F$127, MATCH(D165, Archetypes!$A$2:$A$127, 0))*INDEX(Unit_Grades!$B$2:$B$7, MATCH(F165, Unit_Grades!$A$2:$A$7, 0))*INDEX(Unit_Paths!$C$2:$C$4, MATCH(E165, Unit_Paths!$A$2:$A$4, 0)),1)</f>
        <v>27</v>
      </c>
      <c r="J165" s="6" t="n">
        <f aca="false">ROUND(INDEX(Archetypes!$G$2:$G$127, MATCH(D165, Archetypes!$A$2:$A$127, 0))*INDEX(Unit_Grades!$B$2:$B$7, MATCH(F165, Unit_Grades!$A$2:$A$7, 0))*INDEX(Unit_Paths!$D$2:$D$4, MATCH(E165, Unit_Paths!$A$2:$A$4, 0)),0)</f>
        <v>162</v>
      </c>
      <c r="K165" s="6" t="n">
        <f aca="false">ROUND(INDEX(Archetypes!$H$2:$H$127, MATCH(D165, Archetypes!$A$2:$A$127, 0))*INDEX(Unit_Paths!$E$2:$E$4, MATCH(E165, Unit_Paths!$A$2:$A$4, 0)),1)</f>
        <v>17</v>
      </c>
      <c r="L165" s="6" t="n">
        <f aca="false">ROUND(INDEX(Archetypes!$I$2:$I$127, MATCH(D165, Archetypes!$A$2:$A$127, 0))*INDEX(Unit_Grades!$C$2:$C$7, MATCH(F165, Unit_Grades!$A$2:$A$7, 0)),1)</f>
        <v>7.5</v>
      </c>
      <c r="M165" s="6" t="n">
        <f aca="false">ROUND(INDEX(Archetypes!$J$2:$J$127, MATCH(D165, Archetypes!$A$2:$A$127, 0))*INDEX(Unit_Grades!$D$2:$D$7, MATCH(F165, Unit_Grades!$A$2:$A$7, 0)),1)</f>
        <v>3.7</v>
      </c>
      <c r="N165" s="6" t="n">
        <f aca="false">ROUND(M165/24,2)</f>
        <v>0.15</v>
      </c>
    </row>
    <row r="166" customFormat="false" ht="15" hidden="false" customHeight="true" outlineLevel="0" collapsed="false">
      <c r="A166" s="6" t="n">
        <v>1</v>
      </c>
      <c r="B166" s="6" t="s">
        <v>1724</v>
      </c>
      <c r="C166" s="6" t="s">
        <v>1274</v>
      </c>
      <c r="D166" s="6" t="str">
        <f aca="false">A166&amp;"|"&amp;C166</f>
        <v>1|Chief Guard</v>
      </c>
      <c r="E166" s="6" t="s">
        <v>1556</v>
      </c>
      <c r="F166" s="6" t="s">
        <v>1542</v>
      </c>
      <c r="G166" s="6" t="str">
        <f aca="false">INDEX(Archetypes!$D$2:$D$127, MATCH(D166, Archetypes!$A$2:$A$127, 0))</f>
        <v>Elite Shock</v>
      </c>
      <c r="H166" s="6" t="n">
        <f aca="false">ROUND(INDEX(Archetypes!$E$2:$E$127, MATCH(D166, Archetypes!$A$2:$A$127, 0))*INDEX(Unit_Grades!$B$2:$B$7, MATCH(F166, Unit_Grades!$A$2:$A$7, 0))*INDEX(Unit_Paths!$B$2:$B$4, MATCH(E166, Unit_Paths!$A$2:$A$4, 0)),1)</f>
        <v>54</v>
      </c>
      <c r="I166" s="6" t="n">
        <f aca="false">ROUND(INDEX(Archetypes!$F$2:$F$127, MATCH(D166, Archetypes!$A$2:$A$127, 0))*INDEX(Unit_Grades!$B$2:$B$7, MATCH(F166, Unit_Grades!$A$2:$A$7, 0))*INDEX(Unit_Paths!$C$2:$C$4, MATCH(E166, Unit_Paths!$A$2:$A$4, 0)),1)</f>
        <v>36</v>
      </c>
      <c r="J166" s="6" t="n">
        <f aca="false">ROUND(INDEX(Archetypes!$G$2:$G$127, MATCH(D166, Archetypes!$A$2:$A$127, 0))*INDEX(Unit_Grades!$B$2:$B$7, MATCH(F166, Unit_Grades!$A$2:$A$7, 0))*INDEX(Unit_Paths!$D$2:$D$4, MATCH(E166, Unit_Paths!$A$2:$A$4, 0)),0)</f>
        <v>216</v>
      </c>
      <c r="K166" s="6" t="n">
        <f aca="false">ROUND(INDEX(Archetypes!$H$2:$H$127, MATCH(D166, Archetypes!$A$2:$A$127, 0))*INDEX(Unit_Paths!$E$2:$E$4, MATCH(E166, Unit_Paths!$A$2:$A$4, 0)),1)</f>
        <v>17</v>
      </c>
      <c r="L166" s="6" t="n">
        <f aca="false">ROUND(INDEX(Archetypes!$I$2:$I$127, MATCH(D166, Archetypes!$A$2:$A$127, 0))*INDEX(Unit_Grades!$C$2:$C$7, MATCH(F166, Unit_Grades!$A$2:$A$7, 0)),1)</f>
        <v>9.6</v>
      </c>
      <c r="M166" s="6" t="n">
        <f aca="false">ROUND(INDEX(Archetypes!$J$2:$J$127, MATCH(D166, Archetypes!$A$2:$A$127, 0))*INDEX(Unit_Grades!$D$2:$D$7, MATCH(F166, Unit_Grades!$A$2:$A$7, 0)),1)</f>
        <v>6.1</v>
      </c>
      <c r="N166" s="6" t="n">
        <f aca="false">ROUND(M166/24,2)</f>
        <v>0.25</v>
      </c>
    </row>
    <row r="167" customFormat="false" ht="15" hidden="false" customHeight="true" outlineLevel="0" collapsed="false">
      <c r="A167" s="6" t="n">
        <v>1</v>
      </c>
      <c r="B167" s="6" t="s">
        <v>1725</v>
      </c>
      <c r="C167" s="6" t="s">
        <v>1274</v>
      </c>
      <c r="D167" s="6" t="str">
        <f aca="false">A167&amp;"|"&amp;C167</f>
        <v>1|Chief Guard</v>
      </c>
      <c r="E167" s="6" t="s">
        <v>1556</v>
      </c>
      <c r="F167" s="6" t="s">
        <v>1544</v>
      </c>
      <c r="G167" s="6" t="str">
        <f aca="false">INDEX(Archetypes!$D$2:$D$127, MATCH(D167, Archetypes!$A$2:$A$127, 0))</f>
        <v>Elite Shock</v>
      </c>
      <c r="H167" s="6" t="n">
        <f aca="false">ROUND(INDEX(Archetypes!$E$2:$E$127, MATCH(D167, Archetypes!$A$2:$A$127, 0))*INDEX(Unit_Grades!$B$2:$B$7, MATCH(F167, Unit_Grades!$A$2:$A$7, 0))*INDEX(Unit_Paths!$B$2:$B$4, MATCH(E167, Unit_Paths!$A$2:$A$4, 0)),1)</f>
        <v>72</v>
      </c>
      <c r="I167" s="6" t="n">
        <f aca="false">ROUND(INDEX(Archetypes!$F$2:$F$127, MATCH(D167, Archetypes!$A$2:$A$127, 0))*INDEX(Unit_Grades!$B$2:$B$7, MATCH(F167, Unit_Grades!$A$2:$A$7, 0))*INDEX(Unit_Paths!$C$2:$C$4, MATCH(E167, Unit_Paths!$A$2:$A$4, 0)),1)</f>
        <v>48</v>
      </c>
      <c r="J167" s="6" t="n">
        <f aca="false">ROUND(INDEX(Archetypes!$G$2:$G$127, MATCH(D167, Archetypes!$A$2:$A$127, 0))*INDEX(Unit_Grades!$B$2:$B$7, MATCH(F167, Unit_Grades!$A$2:$A$7, 0))*INDEX(Unit_Paths!$D$2:$D$4, MATCH(E167, Unit_Paths!$A$2:$A$4, 0)),0)</f>
        <v>288</v>
      </c>
      <c r="K167" s="6" t="n">
        <f aca="false">ROUND(INDEX(Archetypes!$H$2:$H$127, MATCH(D167, Archetypes!$A$2:$A$127, 0))*INDEX(Unit_Paths!$E$2:$E$4, MATCH(E167, Unit_Paths!$A$2:$A$4, 0)),1)</f>
        <v>17</v>
      </c>
      <c r="L167" s="6" t="n">
        <f aca="false">ROUND(INDEX(Archetypes!$I$2:$I$127, MATCH(D167, Archetypes!$A$2:$A$127, 0))*INDEX(Unit_Grades!$C$2:$C$7, MATCH(F167, Unit_Grades!$A$2:$A$7, 0)),1)</f>
        <v>12.6</v>
      </c>
      <c r="M167" s="6" t="n">
        <f aca="false">ROUND(INDEX(Archetypes!$J$2:$J$127, MATCH(D167, Archetypes!$A$2:$A$127, 0))*INDEX(Unit_Grades!$D$2:$D$7, MATCH(F167, Unit_Grades!$A$2:$A$7, 0)),1)</f>
        <v>9.8</v>
      </c>
      <c r="N167" s="6" t="n">
        <f aca="false">ROUND(M167/24,2)</f>
        <v>0.41</v>
      </c>
    </row>
    <row r="168" customFormat="false" ht="15" hidden="false" customHeight="true" outlineLevel="0" collapsed="false">
      <c r="A168" s="6" t="n">
        <v>1</v>
      </c>
      <c r="B168" s="6" t="s">
        <v>1726</v>
      </c>
      <c r="C168" s="6" t="s">
        <v>1274</v>
      </c>
      <c r="D168" s="6" t="str">
        <f aca="false">A168&amp;"|"&amp;C168</f>
        <v>1|Chief Guard</v>
      </c>
      <c r="E168" s="6" t="s">
        <v>1556</v>
      </c>
      <c r="F168" s="6" t="s">
        <v>1546</v>
      </c>
      <c r="G168" s="6" t="str">
        <f aca="false">INDEX(Archetypes!$D$2:$D$127, MATCH(D168, Archetypes!$A$2:$A$127, 0))</f>
        <v>Elite Shock</v>
      </c>
      <c r="H168" s="6" t="n">
        <f aca="false">ROUND(INDEX(Archetypes!$E$2:$E$127, MATCH(D168, Archetypes!$A$2:$A$127, 0))*INDEX(Unit_Grades!$B$2:$B$7, MATCH(F168, Unit_Grades!$A$2:$A$7, 0))*INDEX(Unit_Paths!$B$2:$B$4, MATCH(E168, Unit_Paths!$A$2:$A$4, 0)),1)</f>
        <v>96</v>
      </c>
      <c r="I168" s="6" t="n">
        <f aca="false">ROUND(INDEX(Archetypes!$F$2:$F$127, MATCH(D168, Archetypes!$A$2:$A$127, 0))*INDEX(Unit_Grades!$B$2:$B$7, MATCH(F168, Unit_Grades!$A$2:$A$7, 0))*INDEX(Unit_Paths!$C$2:$C$4, MATCH(E168, Unit_Paths!$A$2:$A$4, 0)),1)</f>
        <v>64</v>
      </c>
      <c r="J168" s="6" t="n">
        <f aca="false">ROUND(INDEX(Archetypes!$G$2:$G$127, MATCH(D168, Archetypes!$A$2:$A$127, 0))*INDEX(Unit_Grades!$B$2:$B$7, MATCH(F168, Unit_Grades!$A$2:$A$7, 0))*INDEX(Unit_Paths!$D$2:$D$4, MATCH(E168, Unit_Paths!$A$2:$A$4, 0)),0)</f>
        <v>384</v>
      </c>
      <c r="K168" s="6" t="n">
        <f aca="false">ROUND(INDEX(Archetypes!$H$2:$H$127, MATCH(D168, Archetypes!$A$2:$A$127, 0))*INDEX(Unit_Paths!$E$2:$E$4, MATCH(E168, Unit_Paths!$A$2:$A$4, 0)),1)</f>
        <v>17</v>
      </c>
      <c r="L168" s="6" t="n">
        <f aca="false">ROUND(INDEX(Archetypes!$I$2:$I$127, MATCH(D168, Archetypes!$A$2:$A$127, 0))*INDEX(Unit_Grades!$C$2:$C$7, MATCH(F168, Unit_Grades!$A$2:$A$7, 0)),1)</f>
        <v>16.8</v>
      </c>
      <c r="M168" s="6" t="n">
        <f aca="false">ROUND(INDEX(Archetypes!$J$2:$J$127, MATCH(D168, Archetypes!$A$2:$A$127, 0))*INDEX(Unit_Grades!$D$2:$D$7, MATCH(F168, Unit_Grades!$A$2:$A$7, 0)),1)</f>
        <v>17.1</v>
      </c>
      <c r="N168" s="6" t="n">
        <f aca="false">ROUND(M168/24,2)</f>
        <v>0.71</v>
      </c>
    </row>
    <row r="169" customFormat="false" ht="15" hidden="false" customHeight="true" outlineLevel="0" collapsed="false">
      <c r="A169" s="6" t="n">
        <v>1</v>
      </c>
      <c r="B169" s="6" t="s">
        <v>1727</v>
      </c>
      <c r="C169" s="6" t="s">
        <v>1274</v>
      </c>
      <c r="D169" s="6" t="str">
        <f aca="false">A169&amp;"|"&amp;C169</f>
        <v>1|Chief Guard</v>
      </c>
      <c r="E169" s="6" t="s">
        <v>1556</v>
      </c>
      <c r="F169" s="6" t="s">
        <v>1548</v>
      </c>
      <c r="G169" s="6" t="str">
        <f aca="false">INDEX(Archetypes!$D$2:$D$127, MATCH(D169, Archetypes!$A$2:$A$127, 0))</f>
        <v>Elite Shock</v>
      </c>
      <c r="H169" s="6" t="n">
        <f aca="false">ROUND(INDEX(Archetypes!$E$2:$E$127, MATCH(D169, Archetypes!$A$2:$A$127, 0))*INDEX(Unit_Grades!$B$2:$B$7, MATCH(F169, Unit_Grades!$A$2:$A$7, 0))*INDEX(Unit_Paths!$B$2:$B$4, MATCH(E169, Unit_Paths!$A$2:$A$4, 0)),1)</f>
        <v>126</v>
      </c>
      <c r="I169" s="6" t="n">
        <f aca="false">ROUND(INDEX(Archetypes!$F$2:$F$127, MATCH(D169, Archetypes!$A$2:$A$127, 0))*INDEX(Unit_Grades!$B$2:$B$7, MATCH(F169, Unit_Grades!$A$2:$A$7, 0))*INDEX(Unit_Paths!$C$2:$C$4, MATCH(E169, Unit_Paths!$A$2:$A$4, 0)),1)</f>
        <v>84</v>
      </c>
      <c r="J169" s="6" t="n">
        <f aca="false">ROUND(INDEX(Archetypes!$G$2:$G$127, MATCH(D169, Archetypes!$A$2:$A$127, 0))*INDEX(Unit_Grades!$B$2:$B$7, MATCH(F169, Unit_Grades!$A$2:$A$7, 0))*INDEX(Unit_Paths!$D$2:$D$4, MATCH(E169, Unit_Paths!$A$2:$A$4, 0)),0)</f>
        <v>504</v>
      </c>
      <c r="K169" s="6" t="n">
        <f aca="false">ROUND(INDEX(Archetypes!$H$2:$H$127, MATCH(D169, Archetypes!$A$2:$A$127, 0))*INDEX(Unit_Paths!$E$2:$E$4, MATCH(E169, Unit_Paths!$A$2:$A$4, 0)),1)</f>
        <v>17</v>
      </c>
      <c r="L169" s="6" t="n">
        <f aca="false">ROUND(INDEX(Archetypes!$I$2:$I$127, MATCH(D169, Archetypes!$A$2:$A$127, 0))*INDEX(Unit_Grades!$C$2:$C$7, MATCH(F169, Unit_Grades!$A$2:$A$7, 0)),1)</f>
        <v>22.2</v>
      </c>
      <c r="M169" s="6" t="n">
        <f aca="false">ROUND(INDEX(Archetypes!$J$2:$J$127, MATCH(D169, Archetypes!$A$2:$A$127, 0))*INDEX(Unit_Grades!$D$2:$D$7, MATCH(F169, Unit_Grades!$A$2:$A$7, 0)),1)</f>
        <v>29.3</v>
      </c>
      <c r="N169" s="6" t="n">
        <f aca="false">ROUND(M169/24,2)</f>
        <v>1.22</v>
      </c>
    </row>
    <row r="170" customFormat="false" ht="15" hidden="false" customHeight="true" outlineLevel="0" collapsed="false">
      <c r="A170" s="6" t="n">
        <v>1</v>
      </c>
      <c r="B170" s="6" t="s">
        <v>1728</v>
      </c>
      <c r="C170" s="6" t="s">
        <v>1274</v>
      </c>
      <c r="D170" s="6" t="str">
        <f aca="false">A170&amp;"|"&amp;C170</f>
        <v>1|Chief Guard</v>
      </c>
      <c r="E170" s="6" t="s">
        <v>1558</v>
      </c>
      <c r="F170" s="6" t="s">
        <v>1538</v>
      </c>
      <c r="G170" s="6" t="str">
        <f aca="false">INDEX(Archetypes!$D$2:$D$127, MATCH(D170, Archetypes!$A$2:$A$127, 0))</f>
        <v>Elite Shock</v>
      </c>
      <c r="H170" s="6" t="n">
        <f aca="false">ROUND(INDEX(Archetypes!$E$2:$E$127, MATCH(D170, Archetypes!$A$2:$A$127, 0))*INDEX(Unit_Grades!$B$2:$B$7, MATCH(F170, Unit_Grades!$A$2:$A$7, 0))*INDEX(Unit_Paths!$B$2:$B$4, MATCH(E170, Unit_Paths!$A$2:$A$4, 0)),1)</f>
        <v>36</v>
      </c>
      <c r="I170" s="6" t="n">
        <f aca="false">ROUND(INDEX(Archetypes!$F$2:$F$127, MATCH(D170, Archetypes!$A$2:$A$127, 0))*INDEX(Unit_Grades!$B$2:$B$7, MATCH(F170, Unit_Grades!$A$2:$A$7, 0))*INDEX(Unit_Paths!$C$2:$C$4, MATCH(E170, Unit_Paths!$A$2:$A$4, 0)),1)</f>
        <v>17</v>
      </c>
      <c r="J170" s="6" t="n">
        <f aca="false">ROUND(INDEX(Archetypes!$G$2:$G$127, MATCH(D170, Archetypes!$A$2:$A$127, 0))*INDEX(Unit_Grades!$B$2:$B$7, MATCH(F170, Unit_Grades!$A$2:$A$7, 0))*INDEX(Unit_Paths!$D$2:$D$4, MATCH(E170, Unit_Paths!$A$2:$A$4, 0)),0)</f>
        <v>114</v>
      </c>
      <c r="K170" s="6" t="n">
        <f aca="false">ROUND(INDEX(Archetypes!$H$2:$H$127, MATCH(D170, Archetypes!$A$2:$A$127, 0))*INDEX(Unit_Paths!$E$2:$E$4, MATCH(E170, Unit_Paths!$A$2:$A$4, 0)),1)</f>
        <v>17.9</v>
      </c>
      <c r="L170" s="6" t="n">
        <f aca="false">ROUND(INDEX(Archetypes!$I$2:$I$127, MATCH(D170, Archetypes!$A$2:$A$127, 0))*INDEX(Unit_Grades!$C$2:$C$7, MATCH(F170, Unit_Grades!$A$2:$A$7, 0)),1)</f>
        <v>6</v>
      </c>
      <c r="M170" s="6" t="n">
        <f aca="false">ROUND(INDEX(Archetypes!$J$2:$J$127, MATCH(D170, Archetypes!$A$2:$A$127, 0))*INDEX(Unit_Grades!$D$2:$D$7, MATCH(F170, Unit_Grades!$A$2:$A$7, 0)),1)</f>
        <v>2.4</v>
      </c>
      <c r="N170" s="6" t="n">
        <f aca="false">ROUND(M170/24,2)</f>
        <v>0.1</v>
      </c>
    </row>
    <row r="171" customFormat="false" ht="15" hidden="false" customHeight="true" outlineLevel="0" collapsed="false">
      <c r="A171" s="6" t="n">
        <v>1</v>
      </c>
      <c r="B171" s="6" t="s">
        <v>1729</v>
      </c>
      <c r="C171" s="6" t="s">
        <v>1274</v>
      </c>
      <c r="D171" s="6" t="str">
        <f aca="false">A171&amp;"|"&amp;C171</f>
        <v>1|Chief Guard</v>
      </c>
      <c r="E171" s="6" t="s">
        <v>1558</v>
      </c>
      <c r="F171" s="6" t="s">
        <v>1540</v>
      </c>
      <c r="G171" s="6" t="str">
        <f aca="false">INDEX(Archetypes!$D$2:$D$127, MATCH(D171, Archetypes!$A$2:$A$127, 0))</f>
        <v>Elite Shock</v>
      </c>
      <c r="H171" s="6" t="n">
        <f aca="false">ROUND(INDEX(Archetypes!$E$2:$E$127, MATCH(D171, Archetypes!$A$2:$A$127, 0))*INDEX(Unit_Grades!$B$2:$B$7, MATCH(F171, Unit_Grades!$A$2:$A$7, 0))*INDEX(Unit_Paths!$B$2:$B$4, MATCH(E171, Unit_Paths!$A$2:$A$4, 0)),1)</f>
        <v>48.6</v>
      </c>
      <c r="I171" s="6" t="n">
        <f aca="false">ROUND(INDEX(Archetypes!$F$2:$F$127, MATCH(D171, Archetypes!$A$2:$A$127, 0))*INDEX(Unit_Grades!$B$2:$B$7, MATCH(F171, Unit_Grades!$A$2:$A$7, 0))*INDEX(Unit_Paths!$C$2:$C$4, MATCH(E171, Unit_Paths!$A$2:$A$4, 0)),1)</f>
        <v>23</v>
      </c>
      <c r="J171" s="6" t="n">
        <f aca="false">ROUND(INDEX(Archetypes!$G$2:$G$127, MATCH(D171, Archetypes!$A$2:$A$127, 0))*INDEX(Unit_Grades!$B$2:$B$7, MATCH(F171, Unit_Grades!$A$2:$A$7, 0))*INDEX(Unit_Paths!$D$2:$D$4, MATCH(E171, Unit_Paths!$A$2:$A$4, 0)),0)</f>
        <v>154</v>
      </c>
      <c r="K171" s="6" t="n">
        <f aca="false">ROUND(INDEX(Archetypes!$H$2:$H$127, MATCH(D171, Archetypes!$A$2:$A$127, 0))*INDEX(Unit_Paths!$E$2:$E$4, MATCH(E171, Unit_Paths!$A$2:$A$4, 0)),1)</f>
        <v>17.9</v>
      </c>
      <c r="L171" s="6" t="n">
        <f aca="false">ROUND(INDEX(Archetypes!$I$2:$I$127, MATCH(D171, Archetypes!$A$2:$A$127, 0))*INDEX(Unit_Grades!$C$2:$C$7, MATCH(F171, Unit_Grades!$A$2:$A$7, 0)),1)</f>
        <v>7.5</v>
      </c>
      <c r="M171" s="6" t="n">
        <f aca="false">ROUND(INDEX(Archetypes!$J$2:$J$127, MATCH(D171, Archetypes!$A$2:$A$127, 0))*INDEX(Unit_Grades!$D$2:$D$7, MATCH(F171, Unit_Grades!$A$2:$A$7, 0)),1)</f>
        <v>3.7</v>
      </c>
      <c r="N171" s="6" t="n">
        <f aca="false">ROUND(M171/24,2)</f>
        <v>0.15</v>
      </c>
    </row>
    <row r="172" customFormat="false" ht="15" hidden="false" customHeight="true" outlineLevel="0" collapsed="false">
      <c r="A172" s="6" t="n">
        <v>1</v>
      </c>
      <c r="B172" s="6" t="s">
        <v>1730</v>
      </c>
      <c r="C172" s="6" t="s">
        <v>1274</v>
      </c>
      <c r="D172" s="6" t="str">
        <f aca="false">A172&amp;"|"&amp;C172</f>
        <v>1|Chief Guard</v>
      </c>
      <c r="E172" s="6" t="s">
        <v>1558</v>
      </c>
      <c r="F172" s="6" t="s">
        <v>1542</v>
      </c>
      <c r="G172" s="6" t="str">
        <f aca="false">INDEX(Archetypes!$D$2:$D$127, MATCH(D172, Archetypes!$A$2:$A$127, 0))</f>
        <v>Elite Shock</v>
      </c>
      <c r="H172" s="6" t="n">
        <f aca="false">ROUND(INDEX(Archetypes!$E$2:$E$127, MATCH(D172, Archetypes!$A$2:$A$127, 0))*INDEX(Unit_Grades!$B$2:$B$7, MATCH(F172, Unit_Grades!$A$2:$A$7, 0))*INDEX(Unit_Paths!$B$2:$B$4, MATCH(E172, Unit_Paths!$A$2:$A$4, 0)),1)</f>
        <v>64.8</v>
      </c>
      <c r="I172" s="6" t="n">
        <f aca="false">ROUND(INDEX(Archetypes!$F$2:$F$127, MATCH(D172, Archetypes!$A$2:$A$127, 0))*INDEX(Unit_Grades!$B$2:$B$7, MATCH(F172, Unit_Grades!$A$2:$A$7, 0))*INDEX(Unit_Paths!$C$2:$C$4, MATCH(E172, Unit_Paths!$A$2:$A$4, 0)),1)</f>
        <v>30.6</v>
      </c>
      <c r="J172" s="6" t="n">
        <f aca="false">ROUND(INDEX(Archetypes!$G$2:$G$127, MATCH(D172, Archetypes!$A$2:$A$127, 0))*INDEX(Unit_Grades!$B$2:$B$7, MATCH(F172, Unit_Grades!$A$2:$A$7, 0))*INDEX(Unit_Paths!$D$2:$D$4, MATCH(E172, Unit_Paths!$A$2:$A$4, 0)),0)</f>
        <v>205</v>
      </c>
      <c r="K172" s="6" t="n">
        <f aca="false">ROUND(INDEX(Archetypes!$H$2:$H$127, MATCH(D172, Archetypes!$A$2:$A$127, 0))*INDEX(Unit_Paths!$E$2:$E$4, MATCH(E172, Unit_Paths!$A$2:$A$4, 0)),1)</f>
        <v>17.9</v>
      </c>
      <c r="L172" s="6" t="n">
        <f aca="false">ROUND(INDEX(Archetypes!$I$2:$I$127, MATCH(D172, Archetypes!$A$2:$A$127, 0))*INDEX(Unit_Grades!$C$2:$C$7, MATCH(F172, Unit_Grades!$A$2:$A$7, 0)),1)</f>
        <v>9.6</v>
      </c>
      <c r="M172" s="6" t="n">
        <f aca="false">ROUND(INDEX(Archetypes!$J$2:$J$127, MATCH(D172, Archetypes!$A$2:$A$127, 0))*INDEX(Unit_Grades!$D$2:$D$7, MATCH(F172, Unit_Grades!$A$2:$A$7, 0)),1)</f>
        <v>6.1</v>
      </c>
      <c r="N172" s="6" t="n">
        <f aca="false">ROUND(M172/24,2)</f>
        <v>0.25</v>
      </c>
    </row>
    <row r="173" customFormat="false" ht="15" hidden="false" customHeight="true" outlineLevel="0" collapsed="false">
      <c r="A173" s="6" t="n">
        <v>1</v>
      </c>
      <c r="B173" s="6" t="s">
        <v>1731</v>
      </c>
      <c r="C173" s="6" t="s">
        <v>1274</v>
      </c>
      <c r="D173" s="6" t="str">
        <f aca="false">A173&amp;"|"&amp;C173</f>
        <v>1|Chief Guard</v>
      </c>
      <c r="E173" s="6" t="s">
        <v>1558</v>
      </c>
      <c r="F173" s="6" t="s">
        <v>1544</v>
      </c>
      <c r="G173" s="6" t="str">
        <f aca="false">INDEX(Archetypes!$D$2:$D$127, MATCH(D173, Archetypes!$A$2:$A$127, 0))</f>
        <v>Elite Shock</v>
      </c>
      <c r="H173" s="6" t="n">
        <f aca="false">ROUND(INDEX(Archetypes!$E$2:$E$127, MATCH(D173, Archetypes!$A$2:$A$127, 0))*INDEX(Unit_Grades!$B$2:$B$7, MATCH(F173, Unit_Grades!$A$2:$A$7, 0))*INDEX(Unit_Paths!$B$2:$B$4, MATCH(E173, Unit_Paths!$A$2:$A$4, 0)),1)</f>
        <v>86.4</v>
      </c>
      <c r="I173" s="6" t="n">
        <f aca="false">ROUND(INDEX(Archetypes!$F$2:$F$127, MATCH(D173, Archetypes!$A$2:$A$127, 0))*INDEX(Unit_Grades!$B$2:$B$7, MATCH(F173, Unit_Grades!$A$2:$A$7, 0))*INDEX(Unit_Paths!$C$2:$C$4, MATCH(E173, Unit_Paths!$A$2:$A$4, 0)),1)</f>
        <v>40.8</v>
      </c>
      <c r="J173" s="6" t="n">
        <f aca="false">ROUND(INDEX(Archetypes!$G$2:$G$127, MATCH(D173, Archetypes!$A$2:$A$127, 0))*INDEX(Unit_Grades!$B$2:$B$7, MATCH(F173, Unit_Grades!$A$2:$A$7, 0))*INDEX(Unit_Paths!$D$2:$D$4, MATCH(E173, Unit_Paths!$A$2:$A$4, 0)),0)</f>
        <v>274</v>
      </c>
      <c r="K173" s="6" t="n">
        <f aca="false">ROUND(INDEX(Archetypes!$H$2:$H$127, MATCH(D173, Archetypes!$A$2:$A$127, 0))*INDEX(Unit_Paths!$E$2:$E$4, MATCH(E173, Unit_Paths!$A$2:$A$4, 0)),1)</f>
        <v>17.9</v>
      </c>
      <c r="L173" s="6" t="n">
        <f aca="false">ROUND(INDEX(Archetypes!$I$2:$I$127, MATCH(D173, Archetypes!$A$2:$A$127, 0))*INDEX(Unit_Grades!$C$2:$C$7, MATCH(F173, Unit_Grades!$A$2:$A$7, 0)),1)</f>
        <v>12.6</v>
      </c>
      <c r="M173" s="6" t="n">
        <f aca="false">ROUND(INDEX(Archetypes!$J$2:$J$127, MATCH(D173, Archetypes!$A$2:$A$127, 0))*INDEX(Unit_Grades!$D$2:$D$7, MATCH(F173, Unit_Grades!$A$2:$A$7, 0)),1)</f>
        <v>9.8</v>
      </c>
      <c r="N173" s="6" t="n">
        <f aca="false">ROUND(M173/24,2)</f>
        <v>0.41</v>
      </c>
    </row>
    <row r="174" customFormat="false" ht="15" hidden="false" customHeight="true" outlineLevel="0" collapsed="false">
      <c r="A174" s="6" t="n">
        <v>1</v>
      </c>
      <c r="B174" s="6" t="s">
        <v>1732</v>
      </c>
      <c r="C174" s="6" t="s">
        <v>1274</v>
      </c>
      <c r="D174" s="6" t="str">
        <f aca="false">A174&amp;"|"&amp;C174</f>
        <v>1|Chief Guard</v>
      </c>
      <c r="E174" s="6" t="s">
        <v>1558</v>
      </c>
      <c r="F174" s="6" t="s">
        <v>1546</v>
      </c>
      <c r="G174" s="6" t="str">
        <f aca="false">INDEX(Archetypes!$D$2:$D$127, MATCH(D174, Archetypes!$A$2:$A$127, 0))</f>
        <v>Elite Shock</v>
      </c>
      <c r="H174" s="6" t="n">
        <f aca="false">ROUND(INDEX(Archetypes!$E$2:$E$127, MATCH(D174, Archetypes!$A$2:$A$127, 0))*INDEX(Unit_Grades!$B$2:$B$7, MATCH(F174, Unit_Grades!$A$2:$A$7, 0))*INDEX(Unit_Paths!$B$2:$B$4, MATCH(E174, Unit_Paths!$A$2:$A$4, 0)),1)</f>
        <v>115.2</v>
      </c>
      <c r="I174" s="6" t="n">
        <f aca="false">ROUND(INDEX(Archetypes!$F$2:$F$127, MATCH(D174, Archetypes!$A$2:$A$127, 0))*INDEX(Unit_Grades!$B$2:$B$7, MATCH(F174, Unit_Grades!$A$2:$A$7, 0))*INDEX(Unit_Paths!$C$2:$C$4, MATCH(E174, Unit_Paths!$A$2:$A$4, 0)),1)</f>
        <v>54.4</v>
      </c>
      <c r="J174" s="6" t="n">
        <f aca="false">ROUND(INDEX(Archetypes!$G$2:$G$127, MATCH(D174, Archetypes!$A$2:$A$127, 0))*INDEX(Unit_Grades!$B$2:$B$7, MATCH(F174, Unit_Grades!$A$2:$A$7, 0))*INDEX(Unit_Paths!$D$2:$D$4, MATCH(E174, Unit_Paths!$A$2:$A$4, 0)),0)</f>
        <v>365</v>
      </c>
      <c r="K174" s="6" t="n">
        <f aca="false">ROUND(INDEX(Archetypes!$H$2:$H$127, MATCH(D174, Archetypes!$A$2:$A$127, 0))*INDEX(Unit_Paths!$E$2:$E$4, MATCH(E174, Unit_Paths!$A$2:$A$4, 0)),1)</f>
        <v>17.9</v>
      </c>
      <c r="L174" s="6" t="n">
        <f aca="false">ROUND(INDEX(Archetypes!$I$2:$I$127, MATCH(D174, Archetypes!$A$2:$A$127, 0))*INDEX(Unit_Grades!$C$2:$C$7, MATCH(F174, Unit_Grades!$A$2:$A$7, 0)),1)</f>
        <v>16.8</v>
      </c>
      <c r="M174" s="6" t="n">
        <f aca="false">ROUND(INDEX(Archetypes!$J$2:$J$127, MATCH(D174, Archetypes!$A$2:$A$127, 0))*INDEX(Unit_Grades!$D$2:$D$7, MATCH(F174, Unit_Grades!$A$2:$A$7, 0)),1)</f>
        <v>17.1</v>
      </c>
      <c r="N174" s="6" t="n">
        <f aca="false">ROUND(M174/24,2)</f>
        <v>0.71</v>
      </c>
    </row>
    <row r="175" customFormat="false" ht="15" hidden="false" customHeight="true" outlineLevel="0" collapsed="false">
      <c r="A175" s="6" t="n">
        <v>1</v>
      </c>
      <c r="B175" s="6" t="s">
        <v>1733</v>
      </c>
      <c r="C175" s="6" t="s">
        <v>1274</v>
      </c>
      <c r="D175" s="6" t="str">
        <f aca="false">A175&amp;"|"&amp;C175</f>
        <v>1|Chief Guard</v>
      </c>
      <c r="E175" s="6" t="s">
        <v>1558</v>
      </c>
      <c r="F175" s="6" t="s">
        <v>1548</v>
      </c>
      <c r="G175" s="6" t="str">
        <f aca="false">INDEX(Archetypes!$D$2:$D$127, MATCH(D175, Archetypes!$A$2:$A$127, 0))</f>
        <v>Elite Shock</v>
      </c>
      <c r="H175" s="6" t="n">
        <f aca="false">ROUND(INDEX(Archetypes!$E$2:$E$127, MATCH(D175, Archetypes!$A$2:$A$127, 0))*INDEX(Unit_Grades!$B$2:$B$7, MATCH(F175, Unit_Grades!$A$2:$A$7, 0))*INDEX(Unit_Paths!$B$2:$B$4, MATCH(E175, Unit_Paths!$A$2:$A$4, 0)),1)</f>
        <v>151.2</v>
      </c>
      <c r="I175" s="6" t="n">
        <f aca="false">ROUND(INDEX(Archetypes!$F$2:$F$127, MATCH(D175, Archetypes!$A$2:$A$127, 0))*INDEX(Unit_Grades!$B$2:$B$7, MATCH(F175, Unit_Grades!$A$2:$A$7, 0))*INDEX(Unit_Paths!$C$2:$C$4, MATCH(E175, Unit_Paths!$A$2:$A$4, 0)),1)</f>
        <v>71.4</v>
      </c>
      <c r="J175" s="6" t="n">
        <f aca="false">ROUND(INDEX(Archetypes!$G$2:$G$127, MATCH(D175, Archetypes!$A$2:$A$127, 0))*INDEX(Unit_Grades!$B$2:$B$7, MATCH(F175, Unit_Grades!$A$2:$A$7, 0))*INDEX(Unit_Paths!$D$2:$D$4, MATCH(E175, Unit_Paths!$A$2:$A$4, 0)),0)</f>
        <v>479</v>
      </c>
      <c r="K175" s="6" t="n">
        <f aca="false">ROUND(INDEX(Archetypes!$H$2:$H$127, MATCH(D175, Archetypes!$A$2:$A$127, 0))*INDEX(Unit_Paths!$E$2:$E$4, MATCH(E175, Unit_Paths!$A$2:$A$4, 0)),1)</f>
        <v>17.9</v>
      </c>
      <c r="L175" s="6" t="n">
        <f aca="false">ROUND(INDEX(Archetypes!$I$2:$I$127, MATCH(D175, Archetypes!$A$2:$A$127, 0))*INDEX(Unit_Grades!$C$2:$C$7, MATCH(F175, Unit_Grades!$A$2:$A$7, 0)),1)</f>
        <v>22.2</v>
      </c>
      <c r="M175" s="6" t="n">
        <f aca="false">ROUND(INDEX(Archetypes!$J$2:$J$127, MATCH(D175, Archetypes!$A$2:$A$127, 0))*INDEX(Unit_Grades!$D$2:$D$7, MATCH(F175, Unit_Grades!$A$2:$A$7, 0)),1)</f>
        <v>29.3</v>
      </c>
      <c r="N175" s="6" t="n">
        <f aca="false">ROUND(M175/24,2)</f>
        <v>1.22</v>
      </c>
    </row>
    <row r="176" customFormat="false" ht="15" hidden="false" customHeight="true" outlineLevel="0" collapsed="false">
      <c r="A176" s="6" t="n">
        <v>1</v>
      </c>
      <c r="B176" s="6" t="s">
        <v>1734</v>
      </c>
      <c r="C176" s="6" t="s">
        <v>1274</v>
      </c>
      <c r="D176" s="6" t="str">
        <f aca="false">A176&amp;"|"&amp;C176</f>
        <v>1|Chief Guard</v>
      </c>
      <c r="E176" s="6" t="s">
        <v>1560</v>
      </c>
      <c r="F176" s="6" t="s">
        <v>1538</v>
      </c>
      <c r="G176" s="6" t="str">
        <f aca="false">INDEX(Archetypes!$D$2:$D$127, MATCH(D176, Archetypes!$A$2:$A$127, 0))</f>
        <v>Elite Shock</v>
      </c>
      <c r="H176" s="6" t="n">
        <f aca="false">ROUND(INDEX(Archetypes!$E$2:$E$127, MATCH(D176, Archetypes!$A$2:$A$127, 0))*INDEX(Unit_Grades!$B$2:$B$7, MATCH(F176, Unit_Grades!$A$2:$A$7, 0))*INDEX(Unit_Paths!$B$2:$B$4, MATCH(E176, Unit_Paths!$A$2:$A$4, 0)),1)</f>
        <v>25.5</v>
      </c>
      <c r="I176" s="6" t="n">
        <f aca="false">ROUND(INDEX(Archetypes!$F$2:$F$127, MATCH(D176, Archetypes!$A$2:$A$127, 0))*INDEX(Unit_Grades!$B$2:$B$7, MATCH(F176, Unit_Grades!$A$2:$A$7, 0))*INDEX(Unit_Paths!$C$2:$C$4, MATCH(E176, Unit_Paths!$A$2:$A$4, 0)),1)</f>
        <v>25</v>
      </c>
      <c r="J176" s="6" t="n">
        <f aca="false">ROUND(INDEX(Archetypes!$G$2:$G$127, MATCH(D176, Archetypes!$A$2:$A$127, 0))*INDEX(Unit_Grades!$B$2:$B$7, MATCH(F176, Unit_Grades!$A$2:$A$7, 0))*INDEX(Unit_Paths!$D$2:$D$4, MATCH(E176, Unit_Paths!$A$2:$A$4, 0)),0)</f>
        <v>138</v>
      </c>
      <c r="K176" s="6" t="n">
        <f aca="false">ROUND(INDEX(Archetypes!$H$2:$H$127, MATCH(D176, Archetypes!$A$2:$A$127, 0))*INDEX(Unit_Paths!$E$2:$E$4, MATCH(E176, Unit_Paths!$A$2:$A$4, 0)),1)</f>
        <v>15.6</v>
      </c>
      <c r="L176" s="6" t="n">
        <f aca="false">ROUND(INDEX(Archetypes!$I$2:$I$127, MATCH(D176, Archetypes!$A$2:$A$127, 0))*INDEX(Unit_Grades!$C$2:$C$7, MATCH(F176, Unit_Grades!$A$2:$A$7, 0)),1)</f>
        <v>6</v>
      </c>
      <c r="M176" s="6" t="n">
        <f aca="false">ROUND(INDEX(Archetypes!$J$2:$J$127, MATCH(D176, Archetypes!$A$2:$A$127, 0))*INDEX(Unit_Grades!$D$2:$D$7, MATCH(F176, Unit_Grades!$A$2:$A$7, 0)),1)</f>
        <v>2.4</v>
      </c>
      <c r="N176" s="6" t="n">
        <f aca="false">ROUND(M176/24,2)</f>
        <v>0.1</v>
      </c>
    </row>
    <row r="177" customFormat="false" ht="15" hidden="false" customHeight="true" outlineLevel="0" collapsed="false">
      <c r="A177" s="6" t="n">
        <v>1</v>
      </c>
      <c r="B177" s="6" t="s">
        <v>1735</v>
      </c>
      <c r="C177" s="6" t="s">
        <v>1274</v>
      </c>
      <c r="D177" s="6" t="str">
        <f aca="false">A177&amp;"|"&amp;C177</f>
        <v>1|Chief Guard</v>
      </c>
      <c r="E177" s="6" t="s">
        <v>1560</v>
      </c>
      <c r="F177" s="6" t="s">
        <v>1540</v>
      </c>
      <c r="G177" s="6" t="str">
        <f aca="false">INDEX(Archetypes!$D$2:$D$127, MATCH(D177, Archetypes!$A$2:$A$127, 0))</f>
        <v>Elite Shock</v>
      </c>
      <c r="H177" s="6" t="n">
        <f aca="false">ROUND(INDEX(Archetypes!$E$2:$E$127, MATCH(D177, Archetypes!$A$2:$A$127, 0))*INDEX(Unit_Grades!$B$2:$B$7, MATCH(F177, Unit_Grades!$A$2:$A$7, 0))*INDEX(Unit_Paths!$B$2:$B$4, MATCH(E177, Unit_Paths!$A$2:$A$4, 0)),1)</f>
        <v>34.4</v>
      </c>
      <c r="I177" s="6" t="n">
        <f aca="false">ROUND(INDEX(Archetypes!$F$2:$F$127, MATCH(D177, Archetypes!$A$2:$A$127, 0))*INDEX(Unit_Grades!$B$2:$B$7, MATCH(F177, Unit_Grades!$A$2:$A$7, 0))*INDEX(Unit_Paths!$C$2:$C$4, MATCH(E177, Unit_Paths!$A$2:$A$4, 0)),1)</f>
        <v>33.8</v>
      </c>
      <c r="J177" s="6" t="n">
        <f aca="false">ROUND(INDEX(Archetypes!$G$2:$G$127, MATCH(D177, Archetypes!$A$2:$A$127, 0))*INDEX(Unit_Grades!$B$2:$B$7, MATCH(F177, Unit_Grades!$A$2:$A$7, 0))*INDEX(Unit_Paths!$D$2:$D$4, MATCH(E177, Unit_Paths!$A$2:$A$4, 0)),0)</f>
        <v>186</v>
      </c>
      <c r="K177" s="6" t="n">
        <f aca="false">ROUND(INDEX(Archetypes!$H$2:$H$127, MATCH(D177, Archetypes!$A$2:$A$127, 0))*INDEX(Unit_Paths!$E$2:$E$4, MATCH(E177, Unit_Paths!$A$2:$A$4, 0)),1)</f>
        <v>15.6</v>
      </c>
      <c r="L177" s="6" t="n">
        <f aca="false">ROUND(INDEX(Archetypes!$I$2:$I$127, MATCH(D177, Archetypes!$A$2:$A$127, 0))*INDEX(Unit_Grades!$C$2:$C$7, MATCH(F177, Unit_Grades!$A$2:$A$7, 0)),1)</f>
        <v>7.5</v>
      </c>
      <c r="M177" s="6" t="n">
        <f aca="false">ROUND(INDEX(Archetypes!$J$2:$J$127, MATCH(D177, Archetypes!$A$2:$A$127, 0))*INDEX(Unit_Grades!$D$2:$D$7, MATCH(F177, Unit_Grades!$A$2:$A$7, 0)),1)</f>
        <v>3.7</v>
      </c>
      <c r="N177" s="6" t="n">
        <f aca="false">ROUND(M177/24,2)</f>
        <v>0.15</v>
      </c>
    </row>
    <row r="178" customFormat="false" ht="15" hidden="false" customHeight="true" outlineLevel="0" collapsed="false">
      <c r="A178" s="6" t="n">
        <v>1</v>
      </c>
      <c r="B178" s="6" t="s">
        <v>1736</v>
      </c>
      <c r="C178" s="6" t="s">
        <v>1274</v>
      </c>
      <c r="D178" s="6" t="str">
        <f aca="false">A178&amp;"|"&amp;C178</f>
        <v>1|Chief Guard</v>
      </c>
      <c r="E178" s="6" t="s">
        <v>1560</v>
      </c>
      <c r="F178" s="6" t="s">
        <v>1542</v>
      </c>
      <c r="G178" s="6" t="str">
        <f aca="false">INDEX(Archetypes!$D$2:$D$127, MATCH(D178, Archetypes!$A$2:$A$127, 0))</f>
        <v>Elite Shock</v>
      </c>
      <c r="H178" s="6" t="n">
        <f aca="false">ROUND(INDEX(Archetypes!$E$2:$E$127, MATCH(D178, Archetypes!$A$2:$A$127, 0))*INDEX(Unit_Grades!$B$2:$B$7, MATCH(F178, Unit_Grades!$A$2:$A$7, 0))*INDEX(Unit_Paths!$B$2:$B$4, MATCH(E178, Unit_Paths!$A$2:$A$4, 0)),1)</f>
        <v>45.9</v>
      </c>
      <c r="I178" s="6" t="n">
        <f aca="false">ROUND(INDEX(Archetypes!$F$2:$F$127, MATCH(D178, Archetypes!$A$2:$A$127, 0))*INDEX(Unit_Grades!$B$2:$B$7, MATCH(F178, Unit_Grades!$A$2:$A$7, 0))*INDEX(Unit_Paths!$C$2:$C$4, MATCH(E178, Unit_Paths!$A$2:$A$4, 0)),1)</f>
        <v>45</v>
      </c>
      <c r="J178" s="6" t="n">
        <f aca="false">ROUND(INDEX(Archetypes!$G$2:$G$127, MATCH(D178, Archetypes!$A$2:$A$127, 0))*INDEX(Unit_Grades!$B$2:$B$7, MATCH(F178, Unit_Grades!$A$2:$A$7, 0))*INDEX(Unit_Paths!$D$2:$D$4, MATCH(E178, Unit_Paths!$A$2:$A$4, 0)),0)</f>
        <v>248</v>
      </c>
      <c r="K178" s="6" t="n">
        <f aca="false">ROUND(INDEX(Archetypes!$H$2:$H$127, MATCH(D178, Archetypes!$A$2:$A$127, 0))*INDEX(Unit_Paths!$E$2:$E$4, MATCH(E178, Unit_Paths!$A$2:$A$4, 0)),1)</f>
        <v>15.6</v>
      </c>
      <c r="L178" s="6" t="n">
        <f aca="false">ROUND(INDEX(Archetypes!$I$2:$I$127, MATCH(D178, Archetypes!$A$2:$A$127, 0))*INDEX(Unit_Grades!$C$2:$C$7, MATCH(F178, Unit_Grades!$A$2:$A$7, 0)),1)</f>
        <v>9.6</v>
      </c>
      <c r="M178" s="6" t="n">
        <f aca="false">ROUND(INDEX(Archetypes!$J$2:$J$127, MATCH(D178, Archetypes!$A$2:$A$127, 0))*INDEX(Unit_Grades!$D$2:$D$7, MATCH(F178, Unit_Grades!$A$2:$A$7, 0)),1)</f>
        <v>6.1</v>
      </c>
      <c r="N178" s="6" t="n">
        <f aca="false">ROUND(M178/24,2)</f>
        <v>0.25</v>
      </c>
    </row>
    <row r="179" customFormat="false" ht="15" hidden="false" customHeight="true" outlineLevel="0" collapsed="false">
      <c r="A179" s="6" t="n">
        <v>1</v>
      </c>
      <c r="B179" s="6" t="s">
        <v>1737</v>
      </c>
      <c r="C179" s="6" t="s">
        <v>1274</v>
      </c>
      <c r="D179" s="6" t="str">
        <f aca="false">A179&amp;"|"&amp;C179</f>
        <v>1|Chief Guard</v>
      </c>
      <c r="E179" s="6" t="s">
        <v>1560</v>
      </c>
      <c r="F179" s="6" t="s">
        <v>1544</v>
      </c>
      <c r="G179" s="6" t="str">
        <f aca="false">INDEX(Archetypes!$D$2:$D$127, MATCH(D179, Archetypes!$A$2:$A$127, 0))</f>
        <v>Elite Shock</v>
      </c>
      <c r="H179" s="6" t="n">
        <f aca="false">ROUND(INDEX(Archetypes!$E$2:$E$127, MATCH(D179, Archetypes!$A$2:$A$127, 0))*INDEX(Unit_Grades!$B$2:$B$7, MATCH(F179, Unit_Grades!$A$2:$A$7, 0))*INDEX(Unit_Paths!$B$2:$B$4, MATCH(E179, Unit_Paths!$A$2:$A$4, 0)),1)</f>
        <v>61.2</v>
      </c>
      <c r="I179" s="6" t="n">
        <f aca="false">ROUND(INDEX(Archetypes!$F$2:$F$127, MATCH(D179, Archetypes!$A$2:$A$127, 0))*INDEX(Unit_Grades!$B$2:$B$7, MATCH(F179, Unit_Grades!$A$2:$A$7, 0))*INDEX(Unit_Paths!$C$2:$C$4, MATCH(E179, Unit_Paths!$A$2:$A$4, 0)),1)</f>
        <v>60</v>
      </c>
      <c r="J179" s="6" t="n">
        <f aca="false">ROUND(INDEX(Archetypes!$G$2:$G$127, MATCH(D179, Archetypes!$A$2:$A$127, 0))*INDEX(Unit_Grades!$B$2:$B$7, MATCH(F179, Unit_Grades!$A$2:$A$7, 0))*INDEX(Unit_Paths!$D$2:$D$4, MATCH(E179, Unit_Paths!$A$2:$A$4, 0)),0)</f>
        <v>331</v>
      </c>
      <c r="K179" s="6" t="n">
        <f aca="false">ROUND(INDEX(Archetypes!$H$2:$H$127, MATCH(D179, Archetypes!$A$2:$A$127, 0))*INDEX(Unit_Paths!$E$2:$E$4, MATCH(E179, Unit_Paths!$A$2:$A$4, 0)),1)</f>
        <v>15.6</v>
      </c>
      <c r="L179" s="6" t="n">
        <f aca="false">ROUND(INDEX(Archetypes!$I$2:$I$127, MATCH(D179, Archetypes!$A$2:$A$127, 0))*INDEX(Unit_Grades!$C$2:$C$7, MATCH(F179, Unit_Grades!$A$2:$A$7, 0)),1)</f>
        <v>12.6</v>
      </c>
      <c r="M179" s="6" t="n">
        <f aca="false">ROUND(INDEX(Archetypes!$J$2:$J$127, MATCH(D179, Archetypes!$A$2:$A$127, 0))*INDEX(Unit_Grades!$D$2:$D$7, MATCH(F179, Unit_Grades!$A$2:$A$7, 0)),1)</f>
        <v>9.8</v>
      </c>
      <c r="N179" s="6" t="n">
        <f aca="false">ROUND(M179/24,2)</f>
        <v>0.41</v>
      </c>
    </row>
    <row r="180" customFormat="false" ht="15" hidden="false" customHeight="true" outlineLevel="0" collapsed="false">
      <c r="A180" s="6" t="n">
        <v>1</v>
      </c>
      <c r="B180" s="6" t="s">
        <v>1738</v>
      </c>
      <c r="C180" s="6" t="s">
        <v>1274</v>
      </c>
      <c r="D180" s="6" t="str">
        <f aca="false">A180&amp;"|"&amp;C180</f>
        <v>1|Chief Guard</v>
      </c>
      <c r="E180" s="6" t="s">
        <v>1560</v>
      </c>
      <c r="F180" s="6" t="s">
        <v>1546</v>
      </c>
      <c r="G180" s="6" t="str">
        <f aca="false">INDEX(Archetypes!$D$2:$D$127, MATCH(D180, Archetypes!$A$2:$A$127, 0))</f>
        <v>Elite Shock</v>
      </c>
      <c r="H180" s="6" t="n">
        <f aca="false">ROUND(INDEX(Archetypes!$E$2:$E$127, MATCH(D180, Archetypes!$A$2:$A$127, 0))*INDEX(Unit_Grades!$B$2:$B$7, MATCH(F180, Unit_Grades!$A$2:$A$7, 0))*INDEX(Unit_Paths!$B$2:$B$4, MATCH(E180, Unit_Paths!$A$2:$A$4, 0)),1)</f>
        <v>81.6</v>
      </c>
      <c r="I180" s="6" t="n">
        <f aca="false">ROUND(INDEX(Archetypes!$F$2:$F$127, MATCH(D180, Archetypes!$A$2:$A$127, 0))*INDEX(Unit_Grades!$B$2:$B$7, MATCH(F180, Unit_Grades!$A$2:$A$7, 0))*INDEX(Unit_Paths!$C$2:$C$4, MATCH(E180, Unit_Paths!$A$2:$A$4, 0)),1)</f>
        <v>80</v>
      </c>
      <c r="J180" s="6" t="n">
        <f aca="false">ROUND(INDEX(Archetypes!$G$2:$G$127, MATCH(D180, Archetypes!$A$2:$A$127, 0))*INDEX(Unit_Grades!$B$2:$B$7, MATCH(F180, Unit_Grades!$A$2:$A$7, 0))*INDEX(Unit_Paths!$D$2:$D$4, MATCH(E180, Unit_Paths!$A$2:$A$4, 0)),0)</f>
        <v>442</v>
      </c>
      <c r="K180" s="6" t="n">
        <f aca="false">ROUND(INDEX(Archetypes!$H$2:$H$127, MATCH(D180, Archetypes!$A$2:$A$127, 0))*INDEX(Unit_Paths!$E$2:$E$4, MATCH(E180, Unit_Paths!$A$2:$A$4, 0)),1)</f>
        <v>15.6</v>
      </c>
      <c r="L180" s="6" t="n">
        <f aca="false">ROUND(INDEX(Archetypes!$I$2:$I$127, MATCH(D180, Archetypes!$A$2:$A$127, 0))*INDEX(Unit_Grades!$C$2:$C$7, MATCH(F180, Unit_Grades!$A$2:$A$7, 0)),1)</f>
        <v>16.8</v>
      </c>
      <c r="M180" s="6" t="n">
        <f aca="false">ROUND(INDEX(Archetypes!$J$2:$J$127, MATCH(D180, Archetypes!$A$2:$A$127, 0))*INDEX(Unit_Grades!$D$2:$D$7, MATCH(F180, Unit_Grades!$A$2:$A$7, 0)),1)</f>
        <v>17.1</v>
      </c>
      <c r="N180" s="6" t="n">
        <f aca="false">ROUND(M180/24,2)</f>
        <v>0.71</v>
      </c>
    </row>
    <row r="181" customFormat="false" ht="15" hidden="false" customHeight="true" outlineLevel="0" collapsed="false">
      <c r="A181" s="6" t="n">
        <v>1</v>
      </c>
      <c r="B181" s="6" t="s">
        <v>1739</v>
      </c>
      <c r="C181" s="6" t="s">
        <v>1274</v>
      </c>
      <c r="D181" s="6" t="str">
        <f aca="false">A181&amp;"|"&amp;C181</f>
        <v>1|Chief Guard</v>
      </c>
      <c r="E181" s="6" t="s">
        <v>1560</v>
      </c>
      <c r="F181" s="6" t="s">
        <v>1548</v>
      </c>
      <c r="G181" s="6" t="str">
        <f aca="false">INDEX(Archetypes!$D$2:$D$127, MATCH(D181, Archetypes!$A$2:$A$127, 0))</f>
        <v>Elite Shock</v>
      </c>
      <c r="H181" s="6" t="n">
        <f aca="false">ROUND(INDEX(Archetypes!$E$2:$E$127, MATCH(D181, Archetypes!$A$2:$A$127, 0))*INDEX(Unit_Grades!$B$2:$B$7, MATCH(F181, Unit_Grades!$A$2:$A$7, 0))*INDEX(Unit_Paths!$B$2:$B$4, MATCH(E181, Unit_Paths!$A$2:$A$4, 0)),1)</f>
        <v>107.1</v>
      </c>
      <c r="I181" s="6" t="n">
        <f aca="false">ROUND(INDEX(Archetypes!$F$2:$F$127, MATCH(D181, Archetypes!$A$2:$A$127, 0))*INDEX(Unit_Grades!$B$2:$B$7, MATCH(F181, Unit_Grades!$A$2:$A$7, 0))*INDEX(Unit_Paths!$C$2:$C$4, MATCH(E181, Unit_Paths!$A$2:$A$4, 0)),1)</f>
        <v>105</v>
      </c>
      <c r="J181" s="6" t="n">
        <f aca="false">ROUND(INDEX(Archetypes!$G$2:$G$127, MATCH(D181, Archetypes!$A$2:$A$127, 0))*INDEX(Unit_Grades!$B$2:$B$7, MATCH(F181, Unit_Grades!$A$2:$A$7, 0))*INDEX(Unit_Paths!$D$2:$D$4, MATCH(E181, Unit_Paths!$A$2:$A$4, 0)),0)</f>
        <v>580</v>
      </c>
      <c r="K181" s="6" t="n">
        <f aca="false">ROUND(INDEX(Archetypes!$H$2:$H$127, MATCH(D181, Archetypes!$A$2:$A$127, 0))*INDEX(Unit_Paths!$E$2:$E$4, MATCH(E181, Unit_Paths!$A$2:$A$4, 0)),1)</f>
        <v>15.6</v>
      </c>
      <c r="L181" s="6" t="n">
        <f aca="false">ROUND(INDEX(Archetypes!$I$2:$I$127, MATCH(D181, Archetypes!$A$2:$A$127, 0))*INDEX(Unit_Grades!$C$2:$C$7, MATCH(F181, Unit_Grades!$A$2:$A$7, 0)),1)</f>
        <v>22.2</v>
      </c>
      <c r="M181" s="6" t="n">
        <f aca="false">ROUND(INDEX(Archetypes!$J$2:$J$127, MATCH(D181, Archetypes!$A$2:$A$127, 0))*INDEX(Unit_Grades!$D$2:$D$7, MATCH(F181, Unit_Grades!$A$2:$A$7, 0)),1)</f>
        <v>29.3</v>
      </c>
      <c r="N181" s="6" t="n">
        <f aca="false">ROUND(M181/24,2)</f>
        <v>1.22</v>
      </c>
    </row>
    <row r="182" customFormat="false" ht="15" hidden="false" customHeight="true" outlineLevel="0" collapsed="false">
      <c r="A182" s="6" t="n">
        <v>1</v>
      </c>
      <c r="B182" s="6" t="s">
        <v>1277</v>
      </c>
      <c r="C182" s="6" t="s">
        <v>1277</v>
      </c>
      <c r="D182" s="6" t="str">
        <f aca="false">A182&amp;"|"&amp;C182</f>
        <v>1|Slave Levy</v>
      </c>
      <c r="E182" s="6" t="s">
        <v>1556</v>
      </c>
      <c r="F182" s="6" t="s">
        <v>1538</v>
      </c>
      <c r="G182" s="6" t="str">
        <f aca="false">INDEX(Archetypes!$D$2:$D$127, MATCH(D182, Archetypes!$A$2:$A$127, 0))</f>
        <v>Line Infantry</v>
      </c>
      <c r="H182" s="6" t="n">
        <f aca="false">ROUND(INDEX(Archetypes!$E$2:$E$127, MATCH(D182, Archetypes!$A$2:$A$127, 0))*INDEX(Unit_Grades!$B$2:$B$7, MATCH(F182, Unit_Grades!$A$2:$A$7, 0))*INDEX(Unit_Paths!$B$2:$B$4, MATCH(E182, Unit_Paths!$A$2:$A$4, 0)),1)</f>
        <v>6</v>
      </c>
      <c r="I182" s="6" t="n">
        <f aca="false">ROUND(INDEX(Archetypes!$F$2:$F$127, MATCH(D182, Archetypes!$A$2:$A$127, 0))*INDEX(Unit_Grades!$B$2:$B$7, MATCH(F182, Unit_Grades!$A$2:$A$7, 0))*INDEX(Unit_Paths!$C$2:$C$4, MATCH(E182, Unit_Paths!$A$2:$A$4, 0)),1)</f>
        <v>8</v>
      </c>
      <c r="J182" s="6" t="n">
        <f aca="false">ROUND(INDEX(Archetypes!$G$2:$G$127, MATCH(D182, Archetypes!$A$2:$A$127, 0))*INDEX(Unit_Grades!$B$2:$B$7, MATCH(F182, Unit_Grades!$A$2:$A$7, 0))*INDEX(Unit_Paths!$D$2:$D$4, MATCH(E182, Unit_Paths!$A$2:$A$4, 0)),0)</f>
        <v>50</v>
      </c>
      <c r="K182" s="6" t="n">
        <f aca="false">ROUND(INDEX(Archetypes!$H$2:$H$127, MATCH(D182, Archetypes!$A$2:$A$127, 0))*INDEX(Unit_Paths!$E$2:$E$4, MATCH(E182, Unit_Paths!$A$2:$A$4, 0)),1)</f>
        <v>16</v>
      </c>
      <c r="L182" s="6" t="n">
        <f aca="false">ROUND(INDEX(Archetypes!$I$2:$I$127, MATCH(D182, Archetypes!$A$2:$A$127, 0))*INDEX(Unit_Grades!$C$2:$C$7, MATCH(F182, Unit_Grades!$A$2:$A$7, 0)),1)</f>
        <v>1</v>
      </c>
      <c r="M182" s="6" t="n">
        <f aca="false">ROUND(INDEX(Archetypes!$J$2:$J$127, MATCH(D182, Archetypes!$A$2:$A$127, 0))*INDEX(Unit_Grades!$D$2:$D$7, MATCH(F182, Unit_Grades!$A$2:$A$7, 0)),1)</f>
        <v>0.4</v>
      </c>
      <c r="N182" s="6" t="n">
        <f aca="false">ROUND(M182/24,2)</f>
        <v>0.02</v>
      </c>
    </row>
    <row r="183" customFormat="false" ht="15" hidden="false" customHeight="true" outlineLevel="0" collapsed="false">
      <c r="A183" s="6" t="n">
        <v>1</v>
      </c>
      <c r="B183" s="6" t="s">
        <v>1740</v>
      </c>
      <c r="C183" s="6" t="s">
        <v>1277</v>
      </c>
      <c r="D183" s="6" t="str">
        <f aca="false">A183&amp;"|"&amp;C183</f>
        <v>1|Slave Levy</v>
      </c>
      <c r="E183" s="6" t="s">
        <v>1556</v>
      </c>
      <c r="F183" s="6" t="s">
        <v>1540</v>
      </c>
      <c r="G183" s="6" t="str">
        <f aca="false">INDEX(Archetypes!$D$2:$D$127, MATCH(D183, Archetypes!$A$2:$A$127, 0))</f>
        <v>Line Infantry</v>
      </c>
      <c r="H183" s="6" t="n">
        <f aca="false">ROUND(INDEX(Archetypes!$E$2:$E$127, MATCH(D183, Archetypes!$A$2:$A$127, 0))*INDEX(Unit_Grades!$B$2:$B$7, MATCH(F183, Unit_Grades!$A$2:$A$7, 0))*INDEX(Unit_Paths!$B$2:$B$4, MATCH(E183, Unit_Paths!$A$2:$A$4, 0)),1)</f>
        <v>8.1</v>
      </c>
      <c r="I183" s="6" t="n">
        <f aca="false">ROUND(INDEX(Archetypes!$F$2:$F$127, MATCH(D183, Archetypes!$A$2:$A$127, 0))*INDEX(Unit_Grades!$B$2:$B$7, MATCH(F183, Unit_Grades!$A$2:$A$7, 0))*INDEX(Unit_Paths!$C$2:$C$4, MATCH(E183, Unit_Paths!$A$2:$A$4, 0)),1)</f>
        <v>10.8</v>
      </c>
      <c r="J183" s="6" t="n">
        <f aca="false">ROUND(INDEX(Archetypes!$G$2:$G$127, MATCH(D183, Archetypes!$A$2:$A$127, 0))*INDEX(Unit_Grades!$B$2:$B$7, MATCH(F183, Unit_Grades!$A$2:$A$7, 0))*INDEX(Unit_Paths!$D$2:$D$4, MATCH(E183, Unit_Paths!$A$2:$A$4, 0)),0)</f>
        <v>68</v>
      </c>
      <c r="K183" s="6" t="n">
        <f aca="false">ROUND(INDEX(Archetypes!$H$2:$H$127, MATCH(D183, Archetypes!$A$2:$A$127, 0))*INDEX(Unit_Paths!$E$2:$E$4, MATCH(E183, Unit_Paths!$A$2:$A$4, 0)),1)</f>
        <v>16</v>
      </c>
      <c r="L183" s="6" t="n">
        <f aca="false">ROUND(INDEX(Archetypes!$I$2:$I$127, MATCH(D183, Archetypes!$A$2:$A$127, 0))*INDEX(Unit_Grades!$C$2:$C$7, MATCH(F183, Unit_Grades!$A$2:$A$7, 0)),1)</f>
        <v>1.3</v>
      </c>
      <c r="M183" s="6" t="n">
        <f aca="false">ROUND(INDEX(Archetypes!$J$2:$J$127, MATCH(D183, Archetypes!$A$2:$A$127, 0))*INDEX(Unit_Grades!$D$2:$D$7, MATCH(F183, Unit_Grades!$A$2:$A$7, 0)),1)</f>
        <v>0.6</v>
      </c>
      <c r="N183" s="6" t="n">
        <f aca="false">ROUND(M183/24,2)</f>
        <v>0.03</v>
      </c>
    </row>
    <row r="184" customFormat="false" ht="15" hidden="false" customHeight="true" outlineLevel="0" collapsed="false">
      <c r="A184" s="6" t="n">
        <v>1</v>
      </c>
      <c r="B184" s="6" t="s">
        <v>1741</v>
      </c>
      <c r="C184" s="6" t="s">
        <v>1277</v>
      </c>
      <c r="D184" s="6" t="str">
        <f aca="false">A184&amp;"|"&amp;C184</f>
        <v>1|Slave Levy</v>
      </c>
      <c r="E184" s="6" t="s">
        <v>1556</v>
      </c>
      <c r="F184" s="6" t="s">
        <v>1542</v>
      </c>
      <c r="G184" s="6" t="str">
        <f aca="false">INDEX(Archetypes!$D$2:$D$127, MATCH(D184, Archetypes!$A$2:$A$127, 0))</f>
        <v>Line Infantry</v>
      </c>
      <c r="H184" s="6" t="n">
        <f aca="false">ROUND(INDEX(Archetypes!$E$2:$E$127, MATCH(D184, Archetypes!$A$2:$A$127, 0))*INDEX(Unit_Grades!$B$2:$B$7, MATCH(F184, Unit_Grades!$A$2:$A$7, 0))*INDEX(Unit_Paths!$B$2:$B$4, MATCH(E184, Unit_Paths!$A$2:$A$4, 0)),1)</f>
        <v>10.8</v>
      </c>
      <c r="I184" s="6" t="n">
        <f aca="false">ROUND(INDEX(Archetypes!$F$2:$F$127, MATCH(D184, Archetypes!$A$2:$A$127, 0))*INDEX(Unit_Grades!$B$2:$B$7, MATCH(F184, Unit_Grades!$A$2:$A$7, 0))*INDEX(Unit_Paths!$C$2:$C$4, MATCH(E184, Unit_Paths!$A$2:$A$4, 0)),1)</f>
        <v>14.4</v>
      </c>
      <c r="J184" s="6" t="n">
        <f aca="false">ROUND(INDEX(Archetypes!$G$2:$G$127, MATCH(D184, Archetypes!$A$2:$A$127, 0))*INDEX(Unit_Grades!$B$2:$B$7, MATCH(F184, Unit_Grades!$A$2:$A$7, 0))*INDEX(Unit_Paths!$D$2:$D$4, MATCH(E184, Unit_Paths!$A$2:$A$4, 0)),0)</f>
        <v>90</v>
      </c>
      <c r="K184" s="6" t="n">
        <f aca="false">ROUND(INDEX(Archetypes!$H$2:$H$127, MATCH(D184, Archetypes!$A$2:$A$127, 0))*INDEX(Unit_Paths!$E$2:$E$4, MATCH(E184, Unit_Paths!$A$2:$A$4, 0)),1)</f>
        <v>16</v>
      </c>
      <c r="L184" s="6" t="n">
        <f aca="false">ROUND(INDEX(Archetypes!$I$2:$I$127, MATCH(D184, Archetypes!$A$2:$A$127, 0))*INDEX(Unit_Grades!$C$2:$C$7, MATCH(F184, Unit_Grades!$A$2:$A$7, 0)),1)</f>
        <v>1.6</v>
      </c>
      <c r="M184" s="6" t="n">
        <f aca="false">ROUND(INDEX(Archetypes!$J$2:$J$127, MATCH(D184, Archetypes!$A$2:$A$127, 0))*INDEX(Unit_Grades!$D$2:$D$7, MATCH(F184, Unit_Grades!$A$2:$A$7, 0)),1)</f>
        <v>1</v>
      </c>
      <c r="N184" s="6" t="n">
        <f aca="false">ROUND(M184/24,2)</f>
        <v>0.04</v>
      </c>
    </row>
    <row r="185" customFormat="false" ht="15" hidden="false" customHeight="true" outlineLevel="0" collapsed="false">
      <c r="A185" s="6" t="n">
        <v>1</v>
      </c>
      <c r="B185" s="6" t="s">
        <v>1742</v>
      </c>
      <c r="C185" s="6" t="s">
        <v>1277</v>
      </c>
      <c r="D185" s="6" t="str">
        <f aca="false">A185&amp;"|"&amp;C185</f>
        <v>1|Slave Levy</v>
      </c>
      <c r="E185" s="6" t="s">
        <v>1556</v>
      </c>
      <c r="F185" s="6" t="s">
        <v>1544</v>
      </c>
      <c r="G185" s="6" t="str">
        <f aca="false">INDEX(Archetypes!$D$2:$D$127, MATCH(D185, Archetypes!$A$2:$A$127, 0))</f>
        <v>Line Infantry</v>
      </c>
      <c r="H185" s="6" t="n">
        <f aca="false">ROUND(INDEX(Archetypes!$E$2:$E$127, MATCH(D185, Archetypes!$A$2:$A$127, 0))*INDEX(Unit_Grades!$B$2:$B$7, MATCH(F185, Unit_Grades!$A$2:$A$7, 0))*INDEX(Unit_Paths!$B$2:$B$4, MATCH(E185, Unit_Paths!$A$2:$A$4, 0)),1)</f>
        <v>14.4</v>
      </c>
      <c r="I185" s="6" t="n">
        <f aca="false">ROUND(INDEX(Archetypes!$F$2:$F$127, MATCH(D185, Archetypes!$A$2:$A$127, 0))*INDEX(Unit_Grades!$B$2:$B$7, MATCH(F185, Unit_Grades!$A$2:$A$7, 0))*INDEX(Unit_Paths!$C$2:$C$4, MATCH(E185, Unit_Paths!$A$2:$A$4, 0)),1)</f>
        <v>19.2</v>
      </c>
      <c r="J185" s="6" t="n">
        <f aca="false">ROUND(INDEX(Archetypes!$G$2:$G$127, MATCH(D185, Archetypes!$A$2:$A$127, 0))*INDEX(Unit_Grades!$B$2:$B$7, MATCH(F185, Unit_Grades!$A$2:$A$7, 0))*INDEX(Unit_Paths!$D$2:$D$4, MATCH(E185, Unit_Paths!$A$2:$A$4, 0)),0)</f>
        <v>120</v>
      </c>
      <c r="K185" s="6" t="n">
        <f aca="false">ROUND(INDEX(Archetypes!$H$2:$H$127, MATCH(D185, Archetypes!$A$2:$A$127, 0))*INDEX(Unit_Paths!$E$2:$E$4, MATCH(E185, Unit_Paths!$A$2:$A$4, 0)),1)</f>
        <v>16</v>
      </c>
      <c r="L185" s="6" t="n">
        <f aca="false">ROUND(INDEX(Archetypes!$I$2:$I$127, MATCH(D185, Archetypes!$A$2:$A$127, 0))*INDEX(Unit_Grades!$C$2:$C$7, MATCH(F185, Unit_Grades!$A$2:$A$7, 0)),1)</f>
        <v>2.1</v>
      </c>
      <c r="M185" s="6" t="n">
        <f aca="false">ROUND(INDEX(Archetypes!$J$2:$J$127, MATCH(D185, Archetypes!$A$2:$A$127, 0))*INDEX(Unit_Grades!$D$2:$D$7, MATCH(F185, Unit_Grades!$A$2:$A$7, 0)),1)</f>
        <v>1.6</v>
      </c>
      <c r="N185" s="6" t="n">
        <f aca="false">ROUND(M185/24,2)</f>
        <v>0.07</v>
      </c>
    </row>
    <row r="186" customFormat="false" ht="15" hidden="false" customHeight="true" outlineLevel="0" collapsed="false">
      <c r="A186" s="6" t="n">
        <v>1</v>
      </c>
      <c r="B186" s="6" t="s">
        <v>1743</v>
      </c>
      <c r="C186" s="6" t="s">
        <v>1277</v>
      </c>
      <c r="D186" s="6" t="str">
        <f aca="false">A186&amp;"|"&amp;C186</f>
        <v>1|Slave Levy</v>
      </c>
      <c r="E186" s="6" t="s">
        <v>1556</v>
      </c>
      <c r="F186" s="6" t="s">
        <v>1546</v>
      </c>
      <c r="G186" s="6" t="str">
        <f aca="false">INDEX(Archetypes!$D$2:$D$127, MATCH(D186, Archetypes!$A$2:$A$127, 0))</f>
        <v>Line Infantry</v>
      </c>
      <c r="H186" s="6" t="n">
        <f aca="false">ROUND(INDEX(Archetypes!$E$2:$E$127, MATCH(D186, Archetypes!$A$2:$A$127, 0))*INDEX(Unit_Grades!$B$2:$B$7, MATCH(F186, Unit_Grades!$A$2:$A$7, 0))*INDEX(Unit_Paths!$B$2:$B$4, MATCH(E186, Unit_Paths!$A$2:$A$4, 0)),1)</f>
        <v>19.2</v>
      </c>
      <c r="I186" s="6" t="n">
        <f aca="false">ROUND(INDEX(Archetypes!$F$2:$F$127, MATCH(D186, Archetypes!$A$2:$A$127, 0))*INDEX(Unit_Grades!$B$2:$B$7, MATCH(F186, Unit_Grades!$A$2:$A$7, 0))*INDEX(Unit_Paths!$C$2:$C$4, MATCH(E186, Unit_Paths!$A$2:$A$4, 0)),1)</f>
        <v>25.6</v>
      </c>
      <c r="J186" s="6" t="n">
        <f aca="false">ROUND(INDEX(Archetypes!$G$2:$G$127, MATCH(D186, Archetypes!$A$2:$A$127, 0))*INDEX(Unit_Grades!$B$2:$B$7, MATCH(F186, Unit_Grades!$A$2:$A$7, 0))*INDEX(Unit_Paths!$D$2:$D$4, MATCH(E186, Unit_Paths!$A$2:$A$4, 0)),0)</f>
        <v>160</v>
      </c>
      <c r="K186" s="6" t="n">
        <f aca="false">ROUND(INDEX(Archetypes!$H$2:$H$127, MATCH(D186, Archetypes!$A$2:$A$127, 0))*INDEX(Unit_Paths!$E$2:$E$4, MATCH(E186, Unit_Paths!$A$2:$A$4, 0)),1)</f>
        <v>16</v>
      </c>
      <c r="L186" s="6" t="n">
        <f aca="false">ROUND(INDEX(Archetypes!$I$2:$I$127, MATCH(D186, Archetypes!$A$2:$A$127, 0))*INDEX(Unit_Grades!$C$2:$C$7, MATCH(F186, Unit_Grades!$A$2:$A$7, 0)),1)</f>
        <v>2.8</v>
      </c>
      <c r="M186" s="6" t="n">
        <f aca="false">ROUND(INDEX(Archetypes!$J$2:$J$127, MATCH(D186, Archetypes!$A$2:$A$127, 0))*INDEX(Unit_Grades!$D$2:$D$7, MATCH(F186, Unit_Grades!$A$2:$A$7, 0)),1)</f>
        <v>2.9</v>
      </c>
      <c r="N186" s="6" t="n">
        <f aca="false">ROUND(M186/24,2)</f>
        <v>0.12</v>
      </c>
    </row>
    <row r="187" customFormat="false" ht="15" hidden="false" customHeight="true" outlineLevel="0" collapsed="false">
      <c r="A187" s="6" t="n">
        <v>1</v>
      </c>
      <c r="B187" s="6" t="s">
        <v>1744</v>
      </c>
      <c r="C187" s="6" t="s">
        <v>1277</v>
      </c>
      <c r="D187" s="6" t="str">
        <f aca="false">A187&amp;"|"&amp;C187</f>
        <v>1|Slave Levy</v>
      </c>
      <c r="E187" s="6" t="s">
        <v>1556</v>
      </c>
      <c r="F187" s="6" t="s">
        <v>1548</v>
      </c>
      <c r="G187" s="6" t="str">
        <f aca="false">INDEX(Archetypes!$D$2:$D$127, MATCH(D187, Archetypes!$A$2:$A$127, 0))</f>
        <v>Line Infantry</v>
      </c>
      <c r="H187" s="6" t="n">
        <f aca="false">ROUND(INDEX(Archetypes!$E$2:$E$127, MATCH(D187, Archetypes!$A$2:$A$127, 0))*INDEX(Unit_Grades!$B$2:$B$7, MATCH(F187, Unit_Grades!$A$2:$A$7, 0))*INDEX(Unit_Paths!$B$2:$B$4, MATCH(E187, Unit_Paths!$A$2:$A$4, 0)),1)</f>
        <v>25.2</v>
      </c>
      <c r="I187" s="6" t="n">
        <f aca="false">ROUND(INDEX(Archetypes!$F$2:$F$127, MATCH(D187, Archetypes!$A$2:$A$127, 0))*INDEX(Unit_Grades!$B$2:$B$7, MATCH(F187, Unit_Grades!$A$2:$A$7, 0))*INDEX(Unit_Paths!$C$2:$C$4, MATCH(E187, Unit_Paths!$A$2:$A$4, 0)),1)</f>
        <v>33.6</v>
      </c>
      <c r="J187" s="6" t="n">
        <f aca="false">ROUND(INDEX(Archetypes!$G$2:$G$127, MATCH(D187, Archetypes!$A$2:$A$127, 0))*INDEX(Unit_Grades!$B$2:$B$7, MATCH(F187, Unit_Grades!$A$2:$A$7, 0))*INDEX(Unit_Paths!$D$2:$D$4, MATCH(E187, Unit_Paths!$A$2:$A$4, 0)),0)</f>
        <v>210</v>
      </c>
      <c r="K187" s="6" t="n">
        <f aca="false">ROUND(INDEX(Archetypes!$H$2:$H$127, MATCH(D187, Archetypes!$A$2:$A$127, 0))*INDEX(Unit_Paths!$E$2:$E$4, MATCH(E187, Unit_Paths!$A$2:$A$4, 0)),1)</f>
        <v>16</v>
      </c>
      <c r="L187" s="6" t="n">
        <f aca="false">ROUND(INDEX(Archetypes!$I$2:$I$127, MATCH(D187, Archetypes!$A$2:$A$127, 0))*INDEX(Unit_Grades!$C$2:$C$7, MATCH(F187, Unit_Grades!$A$2:$A$7, 0)),1)</f>
        <v>3.7</v>
      </c>
      <c r="M187" s="6" t="n">
        <f aca="false">ROUND(INDEX(Archetypes!$J$2:$J$127, MATCH(D187, Archetypes!$A$2:$A$127, 0))*INDEX(Unit_Grades!$D$2:$D$7, MATCH(F187, Unit_Grades!$A$2:$A$7, 0)),1)</f>
        <v>4.9</v>
      </c>
      <c r="N187" s="6" t="n">
        <f aca="false">ROUND(M187/24,2)</f>
        <v>0.2</v>
      </c>
    </row>
    <row r="188" customFormat="false" ht="15" hidden="false" customHeight="true" outlineLevel="0" collapsed="false">
      <c r="A188" s="6" t="n">
        <v>1</v>
      </c>
      <c r="B188" s="6" t="s">
        <v>1745</v>
      </c>
      <c r="C188" s="6" t="s">
        <v>1277</v>
      </c>
      <c r="D188" s="6" t="str">
        <f aca="false">A188&amp;"|"&amp;C188</f>
        <v>1|Slave Levy</v>
      </c>
      <c r="E188" s="6" t="s">
        <v>1558</v>
      </c>
      <c r="F188" s="6" t="s">
        <v>1538</v>
      </c>
      <c r="G188" s="6" t="str">
        <f aca="false">INDEX(Archetypes!$D$2:$D$127, MATCH(D188, Archetypes!$A$2:$A$127, 0))</f>
        <v>Line Infantry</v>
      </c>
      <c r="H188" s="6" t="n">
        <f aca="false">ROUND(INDEX(Archetypes!$E$2:$E$127, MATCH(D188, Archetypes!$A$2:$A$127, 0))*INDEX(Unit_Grades!$B$2:$B$7, MATCH(F188, Unit_Grades!$A$2:$A$7, 0))*INDEX(Unit_Paths!$B$2:$B$4, MATCH(E188, Unit_Paths!$A$2:$A$4, 0)),1)</f>
        <v>7.2</v>
      </c>
      <c r="I188" s="6" t="n">
        <f aca="false">ROUND(INDEX(Archetypes!$F$2:$F$127, MATCH(D188, Archetypes!$A$2:$A$127, 0))*INDEX(Unit_Grades!$B$2:$B$7, MATCH(F188, Unit_Grades!$A$2:$A$7, 0))*INDEX(Unit_Paths!$C$2:$C$4, MATCH(E188, Unit_Paths!$A$2:$A$4, 0)),1)</f>
        <v>6.8</v>
      </c>
      <c r="J188" s="6" t="n">
        <f aca="false">ROUND(INDEX(Archetypes!$G$2:$G$127, MATCH(D188, Archetypes!$A$2:$A$127, 0))*INDEX(Unit_Grades!$B$2:$B$7, MATCH(F188, Unit_Grades!$A$2:$A$7, 0))*INDEX(Unit_Paths!$D$2:$D$4, MATCH(E188, Unit_Paths!$A$2:$A$4, 0)),0)</f>
        <v>48</v>
      </c>
      <c r="K188" s="6" t="n">
        <f aca="false">ROUND(INDEX(Archetypes!$H$2:$H$127, MATCH(D188, Archetypes!$A$2:$A$127, 0))*INDEX(Unit_Paths!$E$2:$E$4, MATCH(E188, Unit_Paths!$A$2:$A$4, 0)),1)</f>
        <v>16.8</v>
      </c>
      <c r="L188" s="6" t="n">
        <f aca="false">ROUND(INDEX(Archetypes!$I$2:$I$127, MATCH(D188, Archetypes!$A$2:$A$127, 0))*INDEX(Unit_Grades!$C$2:$C$7, MATCH(F188, Unit_Grades!$A$2:$A$7, 0)),1)</f>
        <v>1</v>
      </c>
      <c r="M188" s="6" t="n">
        <f aca="false">ROUND(INDEX(Archetypes!$J$2:$J$127, MATCH(D188, Archetypes!$A$2:$A$127, 0))*INDEX(Unit_Grades!$D$2:$D$7, MATCH(F188, Unit_Grades!$A$2:$A$7, 0)),1)</f>
        <v>0.4</v>
      </c>
      <c r="N188" s="6" t="n">
        <f aca="false">ROUND(M188/24,2)</f>
        <v>0.02</v>
      </c>
    </row>
    <row r="189" customFormat="false" ht="15" hidden="false" customHeight="true" outlineLevel="0" collapsed="false">
      <c r="A189" s="6" t="n">
        <v>1</v>
      </c>
      <c r="B189" s="6" t="s">
        <v>1746</v>
      </c>
      <c r="C189" s="6" t="s">
        <v>1277</v>
      </c>
      <c r="D189" s="6" t="str">
        <f aca="false">A189&amp;"|"&amp;C189</f>
        <v>1|Slave Levy</v>
      </c>
      <c r="E189" s="6" t="s">
        <v>1558</v>
      </c>
      <c r="F189" s="6" t="s">
        <v>1540</v>
      </c>
      <c r="G189" s="6" t="str">
        <f aca="false">INDEX(Archetypes!$D$2:$D$127, MATCH(D189, Archetypes!$A$2:$A$127, 0))</f>
        <v>Line Infantry</v>
      </c>
      <c r="H189" s="6" t="n">
        <f aca="false">ROUND(INDEX(Archetypes!$E$2:$E$127, MATCH(D189, Archetypes!$A$2:$A$127, 0))*INDEX(Unit_Grades!$B$2:$B$7, MATCH(F189, Unit_Grades!$A$2:$A$7, 0))*INDEX(Unit_Paths!$B$2:$B$4, MATCH(E189, Unit_Paths!$A$2:$A$4, 0)),1)</f>
        <v>9.7</v>
      </c>
      <c r="I189" s="6" t="n">
        <f aca="false">ROUND(INDEX(Archetypes!$F$2:$F$127, MATCH(D189, Archetypes!$A$2:$A$127, 0))*INDEX(Unit_Grades!$B$2:$B$7, MATCH(F189, Unit_Grades!$A$2:$A$7, 0))*INDEX(Unit_Paths!$C$2:$C$4, MATCH(E189, Unit_Paths!$A$2:$A$4, 0)),1)</f>
        <v>9.2</v>
      </c>
      <c r="J189" s="6" t="n">
        <f aca="false">ROUND(INDEX(Archetypes!$G$2:$G$127, MATCH(D189, Archetypes!$A$2:$A$127, 0))*INDEX(Unit_Grades!$B$2:$B$7, MATCH(F189, Unit_Grades!$A$2:$A$7, 0))*INDEX(Unit_Paths!$D$2:$D$4, MATCH(E189, Unit_Paths!$A$2:$A$4, 0)),0)</f>
        <v>64</v>
      </c>
      <c r="K189" s="6" t="n">
        <f aca="false">ROUND(INDEX(Archetypes!$H$2:$H$127, MATCH(D189, Archetypes!$A$2:$A$127, 0))*INDEX(Unit_Paths!$E$2:$E$4, MATCH(E189, Unit_Paths!$A$2:$A$4, 0)),1)</f>
        <v>16.8</v>
      </c>
      <c r="L189" s="6" t="n">
        <f aca="false">ROUND(INDEX(Archetypes!$I$2:$I$127, MATCH(D189, Archetypes!$A$2:$A$127, 0))*INDEX(Unit_Grades!$C$2:$C$7, MATCH(F189, Unit_Grades!$A$2:$A$7, 0)),1)</f>
        <v>1.3</v>
      </c>
      <c r="M189" s="6" t="n">
        <f aca="false">ROUND(INDEX(Archetypes!$J$2:$J$127, MATCH(D189, Archetypes!$A$2:$A$127, 0))*INDEX(Unit_Grades!$D$2:$D$7, MATCH(F189, Unit_Grades!$A$2:$A$7, 0)),1)</f>
        <v>0.6</v>
      </c>
      <c r="N189" s="6" t="n">
        <f aca="false">ROUND(M189/24,2)</f>
        <v>0.03</v>
      </c>
    </row>
    <row r="190" customFormat="false" ht="15" hidden="false" customHeight="true" outlineLevel="0" collapsed="false">
      <c r="A190" s="6" t="n">
        <v>1</v>
      </c>
      <c r="B190" s="6" t="s">
        <v>1747</v>
      </c>
      <c r="C190" s="6" t="s">
        <v>1277</v>
      </c>
      <c r="D190" s="6" t="str">
        <f aca="false">A190&amp;"|"&amp;C190</f>
        <v>1|Slave Levy</v>
      </c>
      <c r="E190" s="6" t="s">
        <v>1558</v>
      </c>
      <c r="F190" s="6" t="s">
        <v>1542</v>
      </c>
      <c r="G190" s="6" t="str">
        <f aca="false">INDEX(Archetypes!$D$2:$D$127, MATCH(D190, Archetypes!$A$2:$A$127, 0))</f>
        <v>Line Infantry</v>
      </c>
      <c r="H190" s="6" t="n">
        <f aca="false">ROUND(INDEX(Archetypes!$E$2:$E$127, MATCH(D190, Archetypes!$A$2:$A$127, 0))*INDEX(Unit_Grades!$B$2:$B$7, MATCH(F190, Unit_Grades!$A$2:$A$7, 0))*INDEX(Unit_Paths!$B$2:$B$4, MATCH(E190, Unit_Paths!$A$2:$A$4, 0)),1)</f>
        <v>13</v>
      </c>
      <c r="I190" s="6" t="n">
        <f aca="false">ROUND(INDEX(Archetypes!$F$2:$F$127, MATCH(D190, Archetypes!$A$2:$A$127, 0))*INDEX(Unit_Grades!$B$2:$B$7, MATCH(F190, Unit_Grades!$A$2:$A$7, 0))*INDEX(Unit_Paths!$C$2:$C$4, MATCH(E190, Unit_Paths!$A$2:$A$4, 0)),1)</f>
        <v>12.2</v>
      </c>
      <c r="J190" s="6" t="n">
        <f aca="false">ROUND(INDEX(Archetypes!$G$2:$G$127, MATCH(D190, Archetypes!$A$2:$A$127, 0))*INDEX(Unit_Grades!$B$2:$B$7, MATCH(F190, Unit_Grades!$A$2:$A$7, 0))*INDEX(Unit_Paths!$D$2:$D$4, MATCH(E190, Unit_Paths!$A$2:$A$4, 0)),0)</f>
        <v>86</v>
      </c>
      <c r="K190" s="6" t="n">
        <f aca="false">ROUND(INDEX(Archetypes!$H$2:$H$127, MATCH(D190, Archetypes!$A$2:$A$127, 0))*INDEX(Unit_Paths!$E$2:$E$4, MATCH(E190, Unit_Paths!$A$2:$A$4, 0)),1)</f>
        <v>16.8</v>
      </c>
      <c r="L190" s="6" t="n">
        <f aca="false">ROUND(INDEX(Archetypes!$I$2:$I$127, MATCH(D190, Archetypes!$A$2:$A$127, 0))*INDEX(Unit_Grades!$C$2:$C$7, MATCH(F190, Unit_Grades!$A$2:$A$7, 0)),1)</f>
        <v>1.6</v>
      </c>
      <c r="M190" s="6" t="n">
        <f aca="false">ROUND(INDEX(Archetypes!$J$2:$J$127, MATCH(D190, Archetypes!$A$2:$A$127, 0))*INDEX(Unit_Grades!$D$2:$D$7, MATCH(F190, Unit_Grades!$A$2:$A$7, 0)),1)</f>
        <v>1</v>
      </c>
      <c r="N190" s="6" t="n">
        <f aca="false">ROUND(M190/24,2)</f>
        <v>0.04</v>
      </c>
    </row>
    <row r="191" customFormat="false" ht="15" hidden="false" customHeight="true" outlineLevel="0" collapsed="false">
      <c r="A191" s="6" t="n">
        <v>1</v>
      </c>
      <c r="B191" s="6" t="s">
        <v>1748</v>
      </c>
      <c r="C191" s="6" t="s">
        <v>1277</v>
      </c>
      <c r="D191" s="6" t="str">
        <f aca="false">A191&amp;"|"&amp;C191</f>
        <v>1|Slave Levy</v>
      </c>
      <c r="E191" s="6" t="s">
        <v>1558</v>
      </c>
      <c r="F191" s="6" t="s">
        <v>1544</v>
      </c>
      <c r="G191" s="6" t="str">
        <f aca="false">INDEX(Archetypes!$D$2:$D$127, MATCH(D191, Archetypes!$A$2:$A$127, 0))</f>
        <v>Line Infantry</v>
      </c>
      <c r="H191" s="6" t="n">
        <f aca="false">ROUND(INDEX(Archetypes!$E$2:$E$127, MATCH(D191, Archetypes!$A$2:$A$127, 0))*INDEX(Unit_Grades!$B$2:$B$7, MATCH(F191, Unit_Grades!$A$2:$A$7, 0))*INDEX(Unit_Paths!$B$2:$B$4, MATCH(E191, Unit_Paths!$A$2:$A$4, 0)),1)</f>
        <v>17.3</v>
      </c>
      <c r="I191" s="6" t="n">
        <f aca="false">ROUND(INDEX(Archetypes!$F$2:$F$127, MATCH(D191, Archetypes!$A$2:$A$127, 0))*INDEX(Unit_Grades!$B$2:$B$7, MATCH(F191, Unit_Grades!$A$2:$A$7, 0))*INDEX(Unit_Paths!$C$2:$C$4, MATCH(E191, Unit_Paths!$A$2:$A$4, 0)),1)</f>
        <v>16.3</v>
      </c>
      <c r="J191" s="6" t="n">
        <f aca="false">ROUND(INDEX(Archetypes!$G$2:$G$127, MATCH(D191, Archetypes!$A$2:$A$127, 0))*INDEX(Unit_Grades!$B$2:$B$7, MATCH(F191, Unit_Grades!$A$2:$A$7, 0))*INDEX(Unit_Paths!$D$2:$D$4, MATCH(E191, Unit_Paths!$A$2:$A$4, 0)),0)</f>
        <v>114</v>
      </c>
      <c r="K191" s="6" t="n">
        <f aca="false">ROUND(INDEX(Archetypes!$H$2:$H$127, MATCH(D191, Archetypes!$A$2:$A$127, 0))*INDEX(Unit_Paths!$E$2:$E$4, MATCH(E191, Unit_Paths!$A$2:$A$4, 0)),1)</f>
        <v>16.8</v>
      </c>
      <c r="L191" s="6" t="n">
        <f aca="false">ROUND(INDEX(Archetypes!$I$2:$I$127, MATCH(D191, Archetypes!$A$2:$A$127, 0))*INDEX(Unit_Grades!$C$2:$C$7, MATCH(F191, Unit_Grades!$A$2:$A$7, 0)),1)</f>
        <v>2.1</v>
      </c>
      <c r="M191" s="6" t="n">
        <f aca="false">ROUND(INDEX(Archetypes!$J$2:$J$127, MATCH(D191, Archetypes!$A$2:$A$127, 0))*INDEX(Unit_Grades!$D$2:$D$7, MATCH(F191, Unit_Grades!$A$2:$A$7, 0)),1)</f>
        <v>1.6</v>
      </c>
      <c r="N191" s="6" t="n">
        <f aca="false">ROUND(M191/24,2)</f>
        <v>0.07</v>
      </c>
    </row>
    <row r="192" customFormat="false" ht="15" hidden="false" customHeight="true" outlineLevel="0" collapsed="false">
      <c r="A192" s="6" t="n">
        <v>1</v>
      </c>
      <c r="B192" s="6" t="s">
        <v>1749</v>
      </c>
      <c r="C192" s="6" t="s">
        <v>1277</v>
      </c>
      <c r="D192" s="6" t="str">
        <f aca="false">A192&amp;"|"&amp;C192</f>
        <v>1|Slave Levy</v>
      </c>
      <c r="E192" s="6" t="s">
        <v>1558</v>
      </c>
      <c r="F192" s="6" t="s">
        <v>1546</v>
      </c>
      <c r="G192" s="6" t="str">
        <f aca="false">INDEX(Archetypes!$D$2:$D$127, MATCH(D192, Archetypes!$A$2:$A$127, 0))</f>
        <v>Line Infantry</v>
      </c>
      <c r="H192" s="6" t="n">
        <f aca="false">ROUND(INDEX(Archetypes!$E$2:$E$127, MATCH(D192, Archetypes!$A$2:$A$127, 0))*INDEX(Unit_Grades!$B$2:$B$7, MATCH(F192, Unit_Grades!$A$2:$A$7, 0))*INDEX(Unit_Paths!$B$2:$B$4, MATCH(E192, Unit_Paths!$A$2:$A$4, 0)),1)</f>
        <v>23</v>
      </c>
      <c r="I192" s="6" t="n">
        <f aca="false">ROUND(INDEX(Archetypes!$F$2:$F$127, MATCH(D192, Archetypes!$A$2:$A$127, 0))*INDEX(Unit_Grades!$B$2:$B$7, MATCH(F192, Unit_Grades!$A$2:$A$7, 0))*INDEX(Unit_Paths!$C$2:$C$4, MATCH(E192, Unit_Paths!$A$2:$A$4, 0)),1)</f>
        <v>21.8</v>
      </c>
      <c r="J192" s="6" t="n">
        <f aca="false">ROUND(INDEX(Archetypes!$G$2:$G$127, MATCH(D192, Archetypes!$A$2:$A$127, 0))*INDEX(Unit_Grades!$B$2:$B$7, MATCH(F192, Unit_Grades!$A$2:$A$7, 0))*INDEX(Unit_Paths!$D$2:$D$4, MATCH(E192, Unit_Paths!$A$2:$A$4, 0)),0)</f>
        <v>152</v>
      </c>
      <c r="K192" s="6" t="n">
        <f aca="false">ROUND(INDEX(Archetypes!$H$2:$H$127, MATCH(D192, Archetypes!$A$2:$A$127, 0))*INDEX(Unit_Paths!$E$2:$E$4, MATCH(E192, Unit_Paths!$A$2:$A$4, 0)),1)</f>
        <v>16.8</v>
      </c>
      <c r="L192" s="6" t="n">
        <f aca="false">ROUND(INDEX(Archetypes!$I$2:$I$127, MATCH(D192, Archetypes!$A$2:$A$127, 0))*INDEX(Unit_Grades!$C$2:$C$7, MATCH(F192, Unit_Grades!$A$2:$A$7, 0)),1)</f>
        <v>2.8</v>
      </c>
      <c r="M192" s="6" t="n">
        <f aca="false">ROUND(INDEX(Archetypes!$J$2:$J$127, MATCH(D192, Archetypes!$A$2:$A$127, 0))*INDEX(Unit_Grades!$D$2:$D$7, MATCH(F192, Unit_Grades!$A$2:$A$7, 0)),1)</f>
        <v>2.9</v>
      </c>
      <c r="N192" s="6" t="n">
        <f aca="false">ROUND(M192/24,2)</f>
        <v>0.12</v>
      </c>
    </row>
    <row r="193" customFormat="false" ht="15" hidden="false" customHeight="true" outlineLevel="0" collapsed="false">
      <c r="A193" s="6" t="n">
        <v>1</v>
      </c>
      <c r="B193" s="6" t="s">
        <v>1750</v>
      </c>
      <c r="C193" s="6" t="s">
        <v>1277</v>
      </c>
      <c r="D193" s="6" t="str">
        <f aca="false">A193&amp;"|"&amp;C193</f>
        <v>1|Slave Levy</v>
      </c>
      <c r="E193" s="6" t="s">
        <v>1558</v>
      </c>
      <c r="F193" s="6" t="s">
        <v>1548</v>
      </c>
      <c r="G193" s="6" t="str">
        <f aca="false">INDEX(Archetypes!$D$2:$D$127, MATCH(D193, Archetypes!$A$2:$A$127, 0))</f>
        <v>Line Infantry</v>
      </c>
      <c r="H193" s="6" t="n">
        <f aca="false">ROUND(INDEX(Archetypes!$E$2:$E$127, MATCH(D193, Archetypes!$A$2:$A$127, 0))*INDEX(Unit_Grades!$B$2:$B$7, MATCH(F193, Unit_Grades!$A$2:$A$7, 0))*INDEX(Unit_Paths!$B$2:$B$4, MATCH(E193, Unit_Paths!$A$2:$A$4, 0)),1)</f>
        <v>30.2</v>
      </c>
      <c r="I193" s="6" t="n">
        <f aca="false">ROUND(INDEX(Archetypes!$F$2:$F$127, MATCH(D193, Archetypes!$A$2:$A$127, 0))*INDEX(Unit_Grades!$B$2:$B$7, MATCH(F193, Unit_Grades!$A$2:$A$7, 0))*INDEX(Unit_Paths!$C$2:$C$4, MATCH(E193, Unit_Paths!$A$2:$A$4, 0)),1)</f>
        <v>28.6</v>
      </c>
      <c r="J193" s="6" t="n">
        <f aca="false">ROUND(INDEX(Archetypes!$G$2:$G$127, MATCH(D193, Archetypes!$A$2:$A$127, 0))*INDEX(Unit_Grades!$B$2:$B$7, MATCH(F193, Unit_Grades!$A$2:$A$7, 0))*INDEX(Unit_Paths!$D$2:$D$4, MATCH(E193, Unit_Paths!$A$2:$A$4, 0)),0)</f>
        <v>200</v>
      </c>
      <c r="K193" s="6" t="n">
        <f aca="false">ROUND(INDEX(Archetypes!$H$2:$H$127, MATCH(D193, Archetypes!$A$2:$A$127, 0))*INDEX(Unit_Paths!$E$2:$E$4, MATCH(E193, Unit_Paths!$A$2:$A$4, 0)),1)</f>
        <v>16.8</v>
      </c>
      <c r="L193" s="6" t="n">
        <f aca="false">ROUND(INDEX(Archetypes!$I$2:$I$127, MATCH(D193, Archetypes!$A$2:$A$127, 0))*INDEX(Unit_Grades!$C$2:$C$7, MATCH(F193, Unit_Grades!$A$2:$A$7, 0)),1)</f>
        <v>3.7</v>
      </c>
      <c r="M193" s="6" t="n">
        <f aca="false">ROUND(INDEX(Archetypes!$J$2:$J$127, MATCH(D193, Archetypes!$A$2:$A$127, 0))*INDEX(Unit_Grades!$D$2:$D$7, MATCH(F193, Unit_Grades!$A$2:$A$7, 0)),1)</f>
        <v>4.9</v>
      </c>
      <c r="N193" s="6" t="n">
        <f aca="false">ROUND(M193/24,2)</f>
        <v>0.2</v>
      </c>
    </row>
    <row r="194" customFormat="false" ht="15" hidden="false" customHeight="true" outlineLevel="0" collapsed="false">
      <c r="A194" s="6" t="n">
        <v>1</v>
      </c>
      <c r="B194" s="6" t="s">
        <v>1751</v>
      </c>
      <c r="C194" s="6" t="s">
        <v>1277</v>
      </c>
      <c r="D194" s="6" t="str">
        <f aca="false">A194&amp;"|"&amp;C194</f>
        <v>1|Slave Levy</v>
      </c>
      <c r="E194" s="6" t="s">
        <v>1560</v>
      </c>
      <c r="F194" s="6" t="s">
        <v>1538</v>
      </c>
      <c r="G194" s="6" t="str">
        <f aca="false">INDEX(Archetypes!$D$2:$D$127, MATCH(D194, Archetypes!$A$2:$A$127, 0))</f>
        <v>Line Infantry</v>
      </c>
      <c r="H194" s="6" t="n">
        <f aca="false">ROUND(INDEX(Archetypes!$E$2:$E$127, MATCH(D194, Archetypes!$A$2:$A$127, 0))*INDEX(Unit_Grades!$B$2:$B$7, MATCH(F194, Unit_Grades!$A$2:$A$7, 0))*INDEX(Unit_Paths!$B$2:$B$4, MATCH(E194, Unit_Paths!$A$2:$A$4, 0)),1)</f>
        <v>5.1</v>
      </c>
      <c r="I194" s="6" t="n">
        <f aca="false">ROUND(INDEX(Archetypes!$F$2:$F$127, MATCH(D194, Archetypes!$A$2:$A$127, 0))*INDEX(Unit_Grades!$B$2:$B$7, MATCH(F194, Unit_Grades!$A$2:$A$7, 0))*INDEX(Unit_Paths!$C$2:$C$4, MATCH(E194, Unit_Paths!$A$2:$A$4, 0)),1)</f>
        <v>10</v>
      </c>
      <c r="J194" s="6" t="n">
        <f aca="false">ROUND(INDEX(Archetypes!$G$2:$G$127, MATCH(D194, Archetypes!$A$2:$A$127, 0))*INDEX(Unit_Grades!$B$2:$B$7, MATCH(F194, Unit_Grades!$A$2:$A$7, 0))*INDEX(Unit_Paths!$D$2:$D$4, MATCH(E194, Unit_Paths!$A$2:$A$4, 0)),0)</f>
        <v>57</v>
      </c>
      <c r="K194" s="6" t="n">
        <f aca="false">ROUND(INDEX(Archetypes!$H$2:$H$127, MATCH(D194, Archetypes!$A$2:$A$127, 0))*INDEX(Unit_Paths!$E$2:$E$4, MATCH(E194, Unit_Paths!$A$2:$A$4, 0)),1)</f>
        <v>14.7</v>
      </c>
      <c r="L194" s="6" t="n">
        <f aca="false">ROUND(INDEX(Archetypes!$I$2:$I$127, MATCH(D194, Archetypes!$A$2:$A$127, 0))*INDEX(Unit_Grades!$C$2:$C$7, MATCH(F194, Unit_Grades!$A$2:$A$7, 0)),1)</f>
        <v>1</v>
      </c>
      <c r="M194" s="6" t="n">
        <f aca="false">ROUND(INDEX(Archetypes!$J$2:$J$127, MATCH(D194, Archetypes!$A$2:$A$127, 0))*INDEX(Unit_Grades!$D$2:$D$7, MATCH(F194, Unit_Grades!$A$2:$A$7, 0)),1)</f>
        <v>0.4</v>
      </c>
      <c r="N194" s="6" t="n">
        <f aca="false">ROUND(M194/24,2)</f>
        <v>0.02</v>
      </c>
    </row>
    <row r="195" customFormat="false" ht="15" hidden="false" customHeight="true" outlineLevel="0" collapsed="false">
      <c r="A195" s="6" t="n">
        <v>1</v>
      </c>
      <c r="B195" s="6" t="s">
        <v>1752</v>
      </c>
      <c r="C195" s="6" t="s">
        <v>1277</v>
      </c>
      <c r="D195" s="6" t="str">
        <f aca="false">A195&amp;"|"&amp;C195</f>
        <v>1|Slave Levy</v>
      </c>
      <c r="E195" s="6" t="s">
        <v>1560</v>
      </c>
      <c r="F195" s="6" t="s">
        <v>1540</v>
      </c>
      <c r="G195" s="6" t="str">
        <f aca="false">INDEX(Archetypes!$D$2:$D$127, MATCH(D195, Archetypes!$A$2:$A$127, 0))</f>
        <v>Line Infantry</v>
      </c>
      <c r="H195" s="6" t="n">
        <f aca="false">ROUND(INDEX(Archetypes!$E$2:$E$127, MATCH(D195, Archetypes!$A$2:$A$127, 0))*INDEX(Unit_Grades!$B$2:$B$7, MATCH(F195, Unit_Grades!$A$2:$A$7, 0))*INDEX(Unit_Paths!$B$2:$B$4, MATCH(E195, Unit_Paths!$A$2:$A$4, 0)),1)</f>
        <v>6.9</v>
      </c>
      <c r="I195" s="6" t="n">
        <f aca="false">ROUND(INDEX(Archetypes!$F$2:$F$127, MATCH(D195, Archetypes!$A$2:$A$127, 0))*INDEX(Unit_Grades!$B$2:$B$7, MATCH(F195, Unit_Grades!$A$2:$A$7, 0))*INDEX(Unit_Paths!$C$2:$C$4, MATCH(E195, Unit_Paths!$A$2:$A$4, 0)),1)</f>
        <v>13.5</v>
      </c>
      <c r="J195" s="6" t="n">
        <f aca="false">ROUND(INDEX(Archetypes!$G$2:$G$127, MATCH(D195, Archetypes!$A$2:$A$127, 0))*INDEX(Unit_Grades!$B$2:$B$7, MATCH(F195, Unit_Grades!$A$2:$A$7, 0))*INDEX(Unit_Paths!$D$2:$D$4, MATCH(E195, Unit_Paths!$A$2:$A$4, 0)),0)</f>
        <v>78</v>
      </c>
      <c r="K195" s="6" t="n">
        <f aca="false">ROUND(INDEX(Archetypes!$H$2:$H$127, MATCH(D195, Archetypes!$A$2:$A$127, 0))*INDEX(Unit_Paths!$E$2:$E$4, MATCH(E195, Unit_Paths!$A$2:$A$4, 0)),1)</f>
        <v>14.7</v>
      </c>
      <c r="L195" s="6" t="n">
        <f aca="false">ROUND(INDEX(Archetypes!$I$2:$I$127, MATCH(D195, Archetypes!$A$2:$A$127, 0))*INDEX(Unit_Grades!$C$2:$C$7, MATCH(F195, Unit_Grades!$A$2:$A$7, 0)),1)</f>
        <v>1.3</v>
      </c>
      <c r="M195" s="6" t="n">
        <f aca="false">ROUND(INDEX(Archetypes!$J$2:$J$127, MATCH(D195, Archetypes!$A$2:$A$127, 0))*INDEX(Unit_Grades!$D$2:$D$7, MATCH(F195, Unit_Grades!$A$2:$A$7, 0)),1)</f>
        <v>0.6</v>
      </c>
      <c r="N195" s="6" t="n">
        <f aca="false">ROUND(M195/24,2)</f>
        <v>0.03</v>
      </c>
    </row>
    <row r="196" customFormat="false" ht="15" hidden="false" customHeight="true" outlineLevel="0" collapsed="false">
      <c r="A196" s="6" t="n">
        <v>1</v>
      </c>
      <c r="B196" s="6" t="s">
        <v>1753</v>
      </c>
      <c r="C196" s="6" t="s">
        <v>1277</v>
      </c>
      <c r="D196" s="6" t="str">
        <f aca="false">A196&amp;"|"&amp;C196</f>
        <v>1|Slave Levy</v>
      </c>
      <c r="E196" s="6" t="s">
        <v>1560</v>
      </c>
      <c r="F196" s="6" t="s">
        <v>1542</v>
      </c>
      <c r="G196" s="6" t="str">
        <f aca="false">INDEX(Archetypes!$D$2:$D$127, MATCH(D196, Archetypes!$A$2:$A$127, 0))</f>
        <v>Line Infantry</v>
      </c>
      <c r="H196" s="6" t="n">
        <f aca="false">ROUND(INDEX(Archetypes!$E$2:$E$127, MATCH(D196, Archetypes!$A$2:$A$127, 0))*INDEX(Unit_Grades!$B$2:$B$7, MATCH(F196, Unit_Grades!$A$2:$A$7, 0))*INDEX(Unit_Paths!$B$2:$B$4, MATCH(E196, Unit_Paths!$A$2:$A$4, 0)),1)</f>
        <v>9.2</v>
      </c>
      <c r="I196" s="6" t="n">
        <f aca="false">ROUND(INDEX(Archetypes!$F$2:$F$127, MATCH(D196, Archetypes!$A$2:$A$127, 0))*INDEX(Unit_Grades!$B$2:$B$7, MATCH(F196, Unit_Grades!$A$2:$A$7, 0))*INDEX(Unit_Paths!$C$2:$C$4, MATCH(E196, Unit_Paths!$A$2:$A$4, 0)),1)</f>
        <v>18</v>
      </c>
      <c r="J196" s="6" t="n">
        <f aca="false">ROUND(INDEX(Archetypes!$G$2:$G$127, MATCH(D196, Archetypes!$A$2:$A$127, 0))*INDEX(Unit_Grades!$B$2:$B$7, MATCH(F196, Unit_Grades!$A$2:$A$7, 0))*INDEX(Unit_Paths!$D$2:$D$4, MATCH(E196, Unit_Paths!$A$2:$A$4, 0)),0)</f>
        <v>103</v>
      </c>
      <c r="K196" s="6" t="n">
        <f aca="false">ROUND(INDEX(Archetypes!$H$2:$H$127, MATCH(D196, Archetypes!$A$2:$A$127, 0))*INDEX(Unit_Paths!$E$2:$E$4, MATCH(E196, Unit_Paths!$A$2:$A$4, 0)),1)</f>
        <v>14.7</v>
      </c>
      <c r="L196" s="6" t="n">
        <f aca="false">ROUND(INDEX(Archetypes!$I$2:$I$127, MATCH(D196, Archetypes!$A$2:$A$127, 0))*INDEX(Unit_Grades!$C$2:$C$7, MATCH(F196, Unit_Grades!$A$2:$A$7, 0)),1)</f>
        <v>1.6</v>
      </c>
      <c r="M196" s="6" t="n">
        <f aca="false">ROUND(INDEX(Archetypes!$J$2:$J$127, MATCH(D196, Archetypes!$A$2:$A$127, 0))*INDEX(Unit_Grades!$D$2:$D$7, MATCH(F196, Unit_Grades!$A$2:$A$7, 0)),1)</f>
        <v>1</v>
      </c>
      <c r="N196" s="6" t="n">
        <f aca="false">ROUND(M196/24,2)</f>
        <v>0.04</v>
      </c>
    </row>
    <row r="197" customFormat="false" ht="15" hidden="false" customHeight="true" outlineLevel="0" collapsed="false">
      <c r="A197" s="6" t="n">
        <v>1</v>
      </c>
      <c r="B197" s="6" t="s">
        <v>1754</v>
      </c>
      <c r="C197" s="6" t="s">
        <v>1277</v>
      </c>
      <c r="D197" s="6" t="str">
        <f aca="false">A197&amp;"|"&amp;C197</f>
        <v>1|Slave Levy</v>
      </c>
      <c r="E197" s="6" t="s">
        <v>1560</v>
      </c>
      <c r="F197" s="6" t="s">
        <v>1544</v>
      </c>
      <c r="G197" s="6" t="str">
        <f aca="false">INDEX(Archetypes!$D$2:$D$127, MATCH(D197, Archetypes!$A$2:$A$127, 0))</f>
        <v>Line Infantry</v>
      </c>
      <c r="H197" s="6" t="n">
        <f aca="false">ROUND(INDEX(Archetypes!$E$2:$E$127, MATCH(D197, Archetypes!$A$2:$A$127, 0))*INDEX(Unit_Grades!$B$2:$B$7, MATCH(F197, Unit_Grades!$A$2:$A$7, 0))*INDEX(Unit_Paths!$B$2:$B$4, MATCH(E197, Unit_Paths!$A$2:$A$4, 0)),1)</f>
        <v>12.2</v>
      </c>
      <c r="I197" s="6" t="n">
        <f aca="false">ROUND(INDEX(Archetypes!$F$2:$F$127, MATCH(D197, Archetypes!$A$2:$A$127, 0))*INDEX(Unit_Grades!$B$2:$B$7, MATCH(F197, Unit_Grades!$A$2:$A$7, 0))*INDEX(Unit_Paths!$C$2:$C$4, MATCH(E197, Unit_Paths!$A$2:$A$4, 0)),1)</f>
        <v>24</v>
      </c>
      <c r="J197" s="6" t="n">
        <f aca="false">ROUND(INDEX(Archetypes!$G$2:$G$127, MATCH(D197, Archetypes!$A$2:$A$127, 0))*INDEX(Unit_Grades!$B$2:$B$7, MATCH(F197, Unit_Grades!$A$2:$A$7, 0))*INDEX(Unit_Paths!$D$2:$D$4, MATCH(E197, Unit_Paths!$A$2:$A$4, 0)),0)</f>
        <v>138</v>
      </c>
      <c r="K197" s="6" t="n">
        <f aca="false">ROUND(INDEX(Archetypes!$H$2:$H$127, MATCH(D197, Archetypes!$A$2:$A$127, 0))*INDEX(Unit_Paths!$E$2:$E$4, MATCH(E197, Unit_Paths!$A$2:$A$4, 0)),1)</f>
        <v>14.7</v>
      </c>
      <c r="L197" s="6" t="n">
        <f aca="false">ROUND(INDEX(Archetypes!$I$2:$I$127, MATCH(D197, Archetypes!$A$2:$A$127, 0))*INDEX(Unit_Grades!$C$2:$C$7, MATCH(F197, Unit_Grades!$A$2:$A$7, 0)),1)</f>
        <v>2.1</v>
      </c>
      <c r="M197" s="6" t="n">
        <f aca="false">ROUND(INDEX(Archetypes!$J$2:$J$127, MATCH(D197, Archetypes!$A$2:$A$127, 0))*INDEX(Unit_Grades!$D$2:$D$7, MATCH(F197, Unit_Grades!$A$2:$A$7, 0)),1)</f>
        <v>1.6</v>
      </c>
      <c r="N197" s="6" t="n">
        <f aca="false">ROUND(M197/24,2)</f>
        <v>0.07</v>
      </c>
    </row>
    <row r="198" customFormat="false" ht="15" hidden="false" customHeight="true" outlineLevel="0" collapsed="false">
      <c r="A198" s="6" t="n">
        <v>1</v>
      </c>
      <c r="B198" s="6" t="s">
        <v>1755</v>
      </c>
      <c r="C198" s="6" t="s">
        <v>1277</v>
      </c>
      <c r="D198" s="6" t="str">
        <f aca="false">A198&amp;"|"&amp;C198</f>
        <v>1|Slave Levy</v>
      </c>
      <c r="E198" s="6" t="s">
        <v>1560</v>
      </c>
      <c r="F198" s="6" t="s">
        <v>1546</v>
      </c>
      <c r="G198" s="6" t="str">
        <f aca="false">INDEX(Archetypes!$D$2:$D$127, MATCH(D198, Archetypes!$A$2:$A$127, 0))</f>
        <v>Line Infantry</v>
      </c>
      <c r="H198" s="6" t="n">
        <f aca="false">ROUND(INDEX(Archetypes!$E$2:$E$127, MATCH(D198, Archetypes!$A$2:$A$127, 0))*INDEX(Unit_Grades!$B$2:$B$7, MATCH(F198, Unit_Grades!$A$2:$A$7, 0))*INDEX(Unit_Paths!$B$2:$B$4, MATCH(E198, Unit_Paths!$A$2:$A$4, 0)),1)</f>
        <v>16.3</v>
      </c>
      <c r="I198" s="6" t="n">
        <f aca="false">ROUND(INDEX(Archetypes!$F$2:$F$127, MATCH(D198, Archetypes!$A$2:$A$127, 0))*INDEX(Unit_Grades!$B$2:$B$7, MATCH(F198, Unit_Grades!$A$2:$A$7, 0))*INDEX(Unit_Paths!$C$2:$C$4, MATCH(E198, Unit_Paths!$A$2:$A$4, 0)),1)</f>
        <v>32</v>
      </c>
      <c r="J198" s="6" t="n">
        <f aca="false">ROUND(INDEX(Archetypes!$G$2:$G$127, MATCH(D198, Archetypes!$A$2:$A$127, 0))*INDEX(Unit_Grades!$B$2:$B$7, MATCH(F198, Unit_Grades!$A$2:$A$7, 0))*INDEX(Unit_Paths!$D$2:$D$4, MATCH(E198, Unit_Paths!$A$2:$A$4, 0)),0)</f>
        <v>184</v>
      </c>
      <c r="K198" s="6" t="n">
        <f aca="false">ROUND(INDEX(Archetypes!$H$2:$H$127, MATCH(D198, Archetypes!$A$2:$A$127, 0))*INDEX(Unit_Paths!$E$2:$E$4, MATCH(E198, Unit_Paths!$A$2:$A$4, 0)),1)</f>
        <v>14.7</v>
      </c>
      <c r="L198" s="6" t="n">
        <f aca="false">ROUND(INDEX(Archetypes!$I$2:$I$127, MATCH(D198, Archetypes!$A$2:$A$127, 0))*INDEX(Unit_Grades!$C$2:$C$7, MATCH(F198, Unit_Grades!$A$2:$A$7, 0)),1)</f>
        <v>2.8</v>
      </c>
      <c r="M198" s="6" t="n">
        <f aca="false">ROUND(INDEX(Archetypes!$J$2:$J$127, MATCH(D198, Archetypes!$A$2:$A$127, 0))*INDEX(Unit_Grades!$D$2:$D$7, MATCH(F198, Unit_Grades!$A$2:$A$7, 0)),1)</f>
        <v>2.9</v>
      </c>
      <c r="N198" s="6" t="n">
        <f aca="false">ROUND(M198/24,2)</f>
        <v>0.12</v>
      </c>
    </row>
    <row r="199" customFormat="false" ht="15" hidden="false" customHeight="true" outlineLevel="0" collapsed="false">
      <c r="A199" s="6" t="n">
        <v>1</v>
      </c>
      <c r="B199" s="6" t="s">
        <v>1756</v>
      </c>
      <c r="C199" s="6" t="s">
        <v>1277</v>
      </c>
      <c r="D199" s="6" t="str">
        <f aca="false">A199&amp;"|"&amp;C199</f>
        <v>1|Slave Levy</v>
      </c>
      <c r="E199" s="6" t="s">
        <v>1560</v>
      </c>
      <c r="F199" s="6" t="s">
        <v>1548</v>
      </c>
      <c r="G199" s="6" t="str">
        <f aca="false">INDEX(Archetypes!$D$2:$D$127, MATCH(D199, Archetypes!$A$2:$A$127, 0))</f>
        <v>Line Infantry</v>
      </c>
      <c r="H199" s="6" t="n">
        <f aca="false">ROUND(INDEX(Archetypes!$E$2:$E$127, MATCH(D199, Archetypes!$A$2:$A$127, 0))*INDEX(Unit_Grades!$B$2:$B$7, MATCH(F199, Unit_Grades!$A$2:$A$7, 0))*INDEX(Unit_Paths!$B$2:$B$4, MATCH(E199, Unit_Paths!$A$2:$A$4, 0)),1)</f>
        <v>21.4</v>
      </c>
      <c r="I199" s="6" t="n">
        <f aca="false">ROUND(INDEX(Archetypes!$F$2:$F$127, MATCH(D199, Archetypes!$A$2:$A$127, 0))*INDEX(Unit_Grades!$B$2:$B$7, MATCH(F199, Unit_Grades!$A$2:$A$7, 0))*INDEX(Unit_Paths!$C$2:$C$4, MATCH(E199, Unit_Paths!$A$2:$A$4, 0)),1)</f>
        <v>42</v>
      </c>
      <c r="J199" s="6" t="n">
        <f aca="false">ROUND(INDEX(Archetypes!$G$2:$G$127, MATCH(D199, Archetypes!$A$2:$A$127, 0))*INDEX(Unit_Grades!$B$2:$B$7, MATCH(F199, Unit_Grades!$A$2:$A$7, 0))*INDEX(Unit_Paths!$D$2:$D$4, MATCH(E199, Unit_Paths!$A$2:$A$4, 0)),0)</f>
        <v>241</v>
      </c>
      <c r="K199" s="6" t="n">
        <f aca="false">ROUND(INDEX(Archetypes!$H$2:$H$127, MATCH(D199, Archetypes!$A$2:$A$127, 0))*INDEX(Unit_Paths!$E$2:$E$4, MATCH(E199, Unit_Paths!$A$2:$A$4, 0)),1)</f>
        <v>14.7</v>
      </c>
      <c r="L199" s="6" t="n">
        <f aca="false">ROUND(INDEX(Archetypes!$I$2:$I$127, MATCH(D199, Archetypes!$A$2:$A$127, 0))*INDEX(Unit_Grades!$C$2:$C$7, MATCH(F199, Unit_Grades!$A$2:$A$7, 0)),1)</f>
        <v>3.7</v>
      </c>
      <c r="M199" s="6" t="n">
        <f aca="false">ROUND(INDEX(Archetypes!$J$2:$J$127, MATCH(D199, Archetypes!$A$2:$A$127, 0))*INDEX(Unit_Grades!$D$2:$D$7, MATCH(F199, Unit_Grades!$A$2:$A$7, 0)),1)</f>
        <v>4.9</v>
      </c>
      <c r="N199" s="6" t="n">
        <f aca="false">ROUND(M199/24,2)</f>
        <v>0.2</v>
      </c>
    </row>
    <row r="200" customFormat="false" ht="15" hidden="false" customHeight="true" outlineLevel="0" collapsed="false">
      <c r="A200" s="6" t="n">
        <v>1</v>
      </c>
      <c r="B200" s="6" t="s">
        <v>1279</v>
      </c>
      <c r="C200" s="6" t="s">
        <v>1279</v>
      </c>
      <c r="D200" s="6" t="str">
        <f aca="false">A200&amp;"|"&amp;C200</f>
        <v>1|War Dog Pack</v>
      </c>
      <c r="E200" s="6" t="s">
        <v>1556</v>
      </c>
      <c r="F200" s="6" t="s">
        <v>1538</v>
      </c>
      <c r="G200" s="6" t="str">
        <f aca="false">INDEX(Archetypes!$D$2:$D$127, MATCH(D200, Archetypes!$A$2:$A$127, 0))</f>
        <v>Skirmisher</v>
      </c>
      <c r="H200" s="6" t="n">
        <f aca="false">ROUND(INDEX(Archetypes!$E$2:$E$127, MATCH(D200, Archetypes!$A$2:$A$127, 0))*INDEX(Unit_Grades!$B$2:$B$7, MATCH(F200, Unit_Grades!$A$2:$A$7, 0))*INDEX(Unit_Paths!$B$2:$B$4, MATCH(E200, Unit_Paths!$A$2:$A$4, 0)),1)</f>
        <v>14</v>
      </c>
      <c r="I200" s="6" t="n">
        <f aca="false">ROUND(INDEX(Archetypes!$F$2:$F$127, MATCH(D200, Archetypes!$A$2:$A$127, 0))*INDEX(Unit_Grades!$B$2:$B$7, MATCH(F200, Unit_Grades!$A$2:$A$7, 0))*INDEX(Unit_Paths!$C$2:$C$4, MATCH(E200, Unit_Paths!$A$2:$A$4, 0)),1)</f>
        <v>6</v>
      </c>
      <c r="J200" s="6" t="n">
        <f aca="false">ROUND(INDEX(Archetypes!$G$2:$G$127, MATCH(D200, Archetypes!$A$2:$A$127, 0))*INDEX(Unit_Grades!$B$2:$B$7, MATCH(F200, Unit_Grades!$A$2:$A$7, 0))*INDEX(Unit_Paths!$D$2:$D$4, MATCH(E200, Unit_Paths!$A$2:$A$4, 0)),0)</f>
        <v>40</v>
      </c>
      <c r="K200" s="6" t="n">
        <f aca="false">ROUND(INDEX(Archetypes!$H$2:$H$127, MATCH(D200, Archetypes!$A$2:$A$127, 0))*INDEX(Unit_Paths!$E$2:$E$4, MATCH(E200, Unit_Paths!$A$2:$A$4, 0)),1)</f>
        <v>30</v>
      </c>
      <c r="L200" s="6" t="n">
        <f aca="false">ROUND(INDEX(Archetypes!$I$2:$I$127, MATCH(D200, Archetypes!$A$2:$A$127, 0))*INDEX(Unit_Grades!$C$2:$C$7, MATCH(F200, Unit_Grades!$A$2:$A$7, 0)),1)</f>
        <v>2</v>
      </c>
      <c r="M200" s="6" t="n">
        <f aca="false">ROUND(INDEX(Archetypes!$J$2:$J$127, MATCH(D200, Archetypes!$A$2:$A$127, 0))*INDEX(Unit_Grades!$D$2:$D$7, MATCH(F200, Unit_Grades!$A$2:$A$7, 0)),1)</f>
        <v>0.8</v>
      </c>
      <c r="N200" s="6" t="n">
        <f aca="false">ROUND(M200/24,2)</f>
        <v>0.03</v>
      </c>
    </row>
    <row r="201" customFormat="false" ht="15" hidden="false" customHeight="true" outlineLevel="0" collapsed="false">
      <c r="A201" s="6" t="n">
        <v>1</v>
      </c>
      <c r="B201" s="6" t="s">
        <v>1757</v>
      </c>
      <c r="C201" s="6" t="s">
        <v>1279</v>
      </c>
      <c r="D201" s="6" t="str">
        <f aca="false">A201&amp;"|"&amp;C201</f>
        <v>1|War Dog Pack</v>
      </c>
      <c r="E201" s="6" t="s">
        <v>1556</v>
      </c>
      <c r="F201" s="6" t="s">
        <v>1540</v>
      </c>
      <c r="G201" s="6" t="str">
        <f aca="false">INDEX(Archetypes!$D$2:$D$127, MATCH(D201, Archetypes!$A$2:$A$127, 0))</f>
        <v>Skirmisher</v>
      </c>
      <c r="H201" s="6" t="n">
        <f aca="false">ROUND(INDEX(Archetypes!$E$2:$E$127, MATCH(D201, Archetypes!$A$2:$A$127, 0))*INDEX(Unit_Grades!$B$2:$B$7, MATCH(F201, Unit_Grades!$A$2:$A$7, 0))*INDEX(Unit_Paths!$B$2:$B$4, MATCH(E201, Unit_Paths!$A$2:$A$4, 0)),1)</f>
        <v>18.9</v>
      </c>
      <c r="I201" s="6" t="n">
        <f aca="false">ROUND(INDEX(Archetypes!$F$2:$F$127, MATCH(D201, Archetypes!$A$2:$A$127, 0))*INDEX(Unit_Grades!$B$2:$B$7, MATCH(F201, Unit_Grades!$A$2:$A$7, 0))*INDEX(Unit_Paths!$C$2:$C$4, MATCH(E201, Unit_Paths!$A$2:$A$4, 0)),1)</f>
        <v>8.1</v>
      </c>
      <c r="J201" s="6" t="n">
        <f aca="false">ROUND(INDEX(Archetypes!$G$2:$G$127, MATCH(D201, Archetypes!$A$2:$A$127, 0))*INDEX(Unit_Grades!$B$2:$B$7, MATCH(F201, Unit_Grades!$A$2:$A$7, 0))*INDEX(Unit_Paths!$D$2:$D$4, MATCH(E201, Unit_Paths!$A$2:$A$4, 0)),0)</f>
        <v>54</v>
      </c>
      <c r="K201" s="6" t="n">
        <f aca="false">ROUND(INDEX(Archetypes!$H$2:$H$127, MATCH(D201, Archetypes!$A$2:$A$127, 0))*INDEX(Unit_Paths!$E$2:$E$4, MATCH(E201, Unit_Paths!$A$2:$A$4, 0)),1)</f>
        <v>30</v>
      </c>
      <c r="L201" s="6" t="n">
        <f aca="false">ROUND(INDEX(Archetypes!$I$2:$I$127, MATCH(D201, Archetypes!$A$2:$A$127, 0))*INDEX(Unit_Grades!$C$2:$C$7, MATCH(F201, Unit_Grades!$A$2:$A$7, 0)),1)</f>
        <v>2.5</v>
      </c>
      <c r="M201" s="6" t="n">
        <f aca="false">ROUND(INDEX(Archetypes!$J$2:$J$127, MATCH(D201, Archetypes!$A$2:$A$127, 0))*INDEX(Unit_Grades!$D$2:$D$7, MATCH(F201, Unit_Grades!$A$2:$A$7, 0)),1)</f>
        <v>1.2</v>
      </c>
      <c r="N201" s="6" t="n">
        <f aca="false">ROUND(M201/24,2)</f>
        <v>0.05</v>
      </c>
    </row>
    <row r="202" customFormat="false" ht="15" hidden="false" customHeight="true" outlineLevel="0" collapsed="false">
      <c r="A202" s="6" t="n">
        <v>1</v>
      </c>
      <c r="B202" s="6" t="s">
        <v>1758</v>
      </c>
      <c r="C202" s="6" t="s">
        <v>1279</v>
      </c>
      <c r="D202" s="6" t="str">
        <f aca="false">A202&amp;"|"&amp;C202</f>
        <v>1|War Dog Pack</v>
      </c>
      <c r="E202" s="6" t="s">
        <v>1556</v>
      </c>
      <c r="F202" s="6" t="s">
        <v>1542</v>
      </c>
      <c r="G202" s="6" t="str">
        <f aca="false">INDEX(Archetypes!$D$2:$D$127, MATCH(D202, Archetypes!$A$2:$A$127, 0))</f>
        <v>Skirmisher</v>
      </c>
      <c r="H202" s="6" t="n">
        <f aca="false">ROUND(INDEX(Archetypes!$E$2:$E$127, MATCH(D202, Archetypes!$A$2:$A$127, 0))*INDEX(Unit_Grades!$B$2:$B$7, MATCH(F202, Unit_Grades!$A$2:$A$7, 0))*INDEX(Unit_Paths!$B$2:$B$4, MATCH(E202, Unit_Paths!$A$2:$A$4, 0)),1)</f>
        <v>25.2</v>
      </c>
      <c r="I202" s="6" t="n">
        <f aca="false">ROUND(INDEX(Archetypes!$F$2:$F$127, MATCH(D202, Archetypes!$A$2:$A$127, 0))*INDEX(Unit_Grades!$B$2:$B$7, MATCH(F202, Unit_Grades!$A$2:$A$7, 0))*INDEX(Unit_Paths!$C$2:$C$4, MATCH(E202, Unit_Paths!$A$2:$A$4, 0)),1)</f>
        <v>10.8</v>
      </c>
      <c r="J202" s="6" t="n">
        <f aca="false">ROUND(INDEX(Archetypes!$G$2:$G$127, MATCH(D202, Archetypes!$A$2:$A$127, 0))*INDEX(Unit_Grades!$B$2:$B$7, MATCH(F202, Unit_Grades!$A$2:$A$7, 0))*INDEX(Unit_Paths!$D$2:$D$4, MATCH(E202, Unit_Paths!$A$2:$A$4, 0)),0)</f>
        <v>72</v>
      </c>
      <c r="K202" s="6" t="n">
        <f aca="false">ROUND(INDEX(Archetypes!$H$2:$H$127, MATCH(D202, Archetypes!$A$2:$A$127, 0))*INDEX(Unit_Paths!$E$2:$E$4, MATCH(E202, Unit_Paths!$A$2:$A$4, 0)),1)</f>
        <v>30</v>
      </c>
      <c r="L202" s="6" t="n">
        <f aca="false">ROUND(INDEX(Archetypes!$I$2:$I$127, MATCH(D202, Archetypes!$A$2:$A$127, 0))*INDEX(Unit_Grades!$C$2:$C$7, MATCH(F202, Unit_Grades!$A$2:$A$7, 0)),1)</f>
        <v>3.2</v>
      </c>
      <c r="M202" s="6" t="n">
        <f aca="false">ROUND(INDEX(Archetypes!$J$2:$J$127, MATCH(D202, Archetypes!$A$2:$A$127, 0))*INDEX(Unit_Grades!$D$2:$D$7, MATCH(F202, Unit_Grades!$A$2:$A$7, 0)),1)</f>
        <v>2</v>
      </c>
      <c r="N202" s="6" t="n">
        <f aca="false">ROUND(M202/24,2)</f>
        <v>0.08</v>
      </c>
    </row>
    <row r="203" customFormat="false" ht="15" hidden="false" customHeight="true" outlineLevel="0" collapsed="false">
      <c r="A203" s="6" t="n">
        <v>1</v>
      </c>
      <c r="B203" s="6" t="s">
        <v>1759</v>
      </c>
      <c r="C203" s="6" t="s">
        <v>1279</v>
      </c>
      <c r="D203" s="6" t="str">
        <f aca="false">A203&amp;"|"&amp;C203</f>
        <v>1|War Dog Pack</v>
      </c>
      <c r="E203" s="6" t="s">
        <v>1556</v>
      </c>
      <c r="F203" s="6" t="s">
        <v>1544</v>
      </c>
      <c r="G203" s="6" t="str">
        <f aca="false">INDEX(Archetypes!$D$2:$D$127, MATCH(D203, Archetypes!$A$2:$A$127, 0))</f>
        <v>Skirmisher</v>
      </c>
      <c r="H203" s="6" t="n">
        <f aca="false">ROUND(INDEX(Archetypes!$E$2:$E$127, MATCH(D203, Archetypes!$A$2:$A$127, 0))*INDEX(Unit_Grades!$B$2:$B$7, MATCH(F203, Unit_Grades!$A$2:$A$7, 0))*INDEX(Unit_Paths!$B$2:$B$4, MATCH(E203, Unit_Paths!$A$2:$A$4, 0)),1)</f>
        <v>33.6</v>
      </c>
      <c r="I203" s="6" t="n">
        <f aca="false">ROUND(INDEX(Archetypes!$F$2:$F$127, MATCH(D203, Archetypes!$A$2:$A$127, 0))*INDEX(Unit_Grades!$B$2:$B$7, MATCH(F203, Unit_Grades!$A$2:$A$7, 0))*INDEX(Unit_Paths!$C$2:$C$4, MATCH(E203, Unit_Paths!$A$2:$A$4, 0)),1)</f>
        <v>14.4</v>
      </c>
      <c r="J203" s="6" t="n">
        <f aca="false">ROUND(INDEX(Archetypes!$G$2:$G$127, MATCH(D203, Archetypes!$A$2:$A$127, 0))*INDEX(Unit_Grades!$B$2:$B$7, MATCH(F203, Unit_Grades!$A$2:$A$7, 0))*INDEX(Unit_Paths!$D$2:$D$4, MATCH(E203, Unit_Paths!$A$2:$A$4, 0)),0)</f>
        <v>96</v>
      </c>
      <c r="K203" s="6" t="n">
        <f aca="false">ROUND(INDEX(Archetypes!$H$2:$H$127, MATCH(D203, Archetypes!$A$2:$A$127, 0))*INDEX(Unit_Paths!$E$2:$E$4, MATCH(E203, Unit_Paths!$A$2:$A$4, 0)),1)</f>
        <v>30</v>
      </c>
      <c r="L203" s="6" t="n">
        <f aca="false">ROUND(INDEX(Archetypes!$I$2:$I$127, MATCH(D203, Archetypes!$A$2:$A$127, 0))*INDEX(Unit_Grades!$C$2:$C$7, MATCH(F203, Unit_Grades!$A$2:$A$7, 0)),1)</f>
        <v>4.2</v>
      </c>
      <c r="M203" s="6" t="n">
        <f aca="false">ROUND(INDEX(Archetypes!$J$2:$J$127, MATCH(D203, Archetypes!$A$2:$A$127, 0))*INDEX(Unit_Grades!$D$2:$D$7, MATCH(F203, Unit_Grades!$A$2:$A$7, 0)),1)</f>
        <v>3.2</v>
      </c>
      <c r="N203" s="6" t="n">
        <f aca="false">ROUND(M203/24,2)</f>
        <v>0.13</v>
      </c>
    </row>
    <row r="204" customFormat="false" ht="15" hidden="false" customHeight="true" outlineLevel="0" collapsed="false">
      <c r="A204" s="6" t="n">
        <v>1</v>
      </c>
      <c r="B204" s="6" t="s">
        <v>1760</v>
      </c>
      <c r="C204" s="6" t="s">
        <v>1279</v>
      </c>
      <c r="D204" s="6" t="str">
        <f aca="false">A204&amp;"|"&amp;C204</f>
        <v>1|War Dog Pack</v>
      </c>
      <c r="E204" s="6" t="s">
        <v>1556</v>
      </c>
      <c r="F204" s="6" t="s">
        <v>1546</v>
      </c>
      <c r="G204" s="6" t="str">
        <f aca="false">INDEX(Archetypes!$D$2:$D$127, MATCH(D204, Archetypes!$A$2:$A$127, 0))</f>
        <v>Skirmisher</v>
      </c>
      <c r="H204" s="6" t="n">
        <f aca="false">ROUND(INDEX(Archetypes!$E$2:$E$127, MATCH(D204, Archetypes!$A$2:$A$127, 0))*INDEX(Unit_Grades!$B$2:$B$7, MATCH(F204, Unit_Grades!$A$2:$A$7, 0))*INDEX(Unit_Paths!$B$2:$B$4, MATCH(E204, Unit_Paths!$A$2:$A$4, 0)),1)</f>
        <v>44.8</v>
      </c>
      <c r="I204" s="6" t="n">
        <f aca="false">ROUND(INDEX(Archetypes!$F$2:$F$127, MATCH(D204, Archetypes!$A$2:$A$127, 0))*INDEX(Unit_Grades!$B$2:$B$7, MATCH(F204, Unit_Grades!$A$2:$A$7, 0))*INDEX(Unit_Paths!$C$2:$C$4, MATCH(E204, Unit_Paths!$A$2:$A$4, 0)),1)</f>
        <v>19.2</v>
      </c>
      <c r="J204" s="6" t="n">
        <f aca="false">ROUND(INDEX(Archetypes!$G$2:$G$127, MATCH(D204, Archetypes!$A$2:$A$127, 0))*INDEX(Unit_Grades!$B$2:$B$7, MATCH(F204, Unit_Grades!$A$2:$A$7, 0))*INDEX(Unit_Paths!$D$2:$D$4, MATCH(E204, Unit_Paths!$A$2:$A$4, 0)),0)</f>
        <v>128</v>
      </c>
      <c r="K204" s="6" t="n">
        <f aca="false">ROUND(INDEX(Archetypes!$H$2:$H$127, MATCH(D204, Archetypes!$A$2:$A$127, 0))*INDEX(Unit_Paths!$E$2:$E$4, MATCH(E204, Unit_Paths!$A$2:$A$4, 0)),1)</f>
        <v>30</v>
      </c>
      <c r="L204" s="6" t="n">
        <f aca="false">ROUND(INDEX(Archetypes!$I$2:$I$127, MATCH(D204, Archetypes!$A$2:$A$127, 0))*INDEX(Unit_Grades!$C$2:$C$7, MATCH(F204, Unit_Grades!$A$2:$A$7, 0)),1)</f>
        <v>5.6</v>
      </c>
      <c r="M204" s="6" t="n">
        <f aca="false">ROUND(INDEX(Archetypes!$J$2:$J$127, MATCH(D204, Archetypes!$A$2:$A$127, 0))*INDEX(Unit_Grades!$D$2:$D$7, MATCH(F204, Unit_Grades!$A$2:$A$7, 0)),1)</f>
        <v>5.7</v>
      </c>
      <c r="N204" s="6" t="n">
        <f aca="false">ROUND(M204/24,2)</f>
        <v>0.24</v>
      </c>
    </row>
    <row r="205" customFormat="false" ht="15" hidden="false" customHeight="true" outlineLevel="0" collapsed="false">
      <c r="A205" s="6" t="n">
        <v>1</v>
      </c>
      <c r="B205" s="6" t="s">
        <v>1761</v>
      </c>
      <c r="C205" s="6" t="s">
        <v>1279</v>
      </c>
      <c r="D205" s="6" t="str">
        <f aca="false">A205&amp;"|"&amp;C205</f>
        <v>1|War Dog Pack</v>
      </c>
      <c r="E205" s="6" t="s">
        <v>1556</v>
      </c>
      <c r="F205" s="6" t="s">
        <v>1548</v>
      </c>
      <c r="G205" s="6" t="str">
        <f aca="false">INDEX(Archetypes!$D$2:$D$127, MATCH(D205, Archetypes!$A$2:$A$127, 0))</f>
        <v>Skirmisher</v>
      </c>
      <c r="H205" s="6" t="n">
        <f aca="false">ROUND(INDEX(Archetypes!$E$2:$E$127, MATCH(D205, Archetypes!$A$2:$A$127, 0))*INDEX(Unit_Grades!$B$2:$B$7, MATCH(F205, Unit_Grades!$A$2:$A$7, 0))*INDEX(Unit_Paths!$B$2:$B$4, MATCH(E205, Unit_Paths!$A$2:$A$4, 0)),1)</f>
        <v>58.8</v>
      </c>
      <c r="I205" s="6" t="n">
        <f aca="false">ROUND(INDEX(Archetypes!$F$2:$F$127, MATCH(D205, Archetypes!$A$2:$A$127, 0))*INDEX(Unit_Grades!$B$2:$B$7, MATCH(F205, Unit_Grades!$A$2:$A$7, 0))*INDEX(Unit_Paths!$C$2:$C$4, MATCH(E205, Unit_Paths!$A$2:$A$4, 0)),1)</f>
        <v>25.2</v>
      </c>
      <c r="J205" s="6" t="n">
        <f aca="false">ROUND(INDEX(Archetypes!$G$2:$G$127, MATCH(D205, Archetypes!$A$2:$A$127, 0))*INDEX(Unit_Grades!$B$2:$B$7, MATCH(F205, Unit_Grades!$A$2:$A$7, 0))*INDEX(Unit_Paths!$D$2:$D$4, MATCH(E205, Unit_Paths!$A$2:$A$4, 0)),0)</f>
        <v>168</v>
      </c>
      <c r="K205" s="6" t="n">
        <f aca="false">ROUND(INDEX(Archetypes!$H$2:$H$127, MATCH(D205, Archetypes!$A$2:$A$127, 0))*INDEX(Unit_Paths!$E$2:$E$4, MATCH(E205, Unit_Paths!$A$2:$A$4, 0)),1)</f>
        <v>30</v>
      </c>
      <c r="L205" s="6" t="n">
        <f aca="false">ROUND(INDEX(Archetypes!$I$2:$I$127, MATCH(D205, Archetypes!$A$2:$A$127, 0))*INDEX(Unit_Grades!$C$2:$C$7, MATCH(F205, Unit_Grades!$A$2:$A$7, 0)),1)</f>
        <v>7.4</v>
      </c>
      <c r="M205" s="6" t="n">
        <f aca="false">ROUND(INDEX(Archetypes!$J$2:$J$127, MATCH(D205, Archetypes!$A$2:$A$127, 0))*INDEX(Unit_Grades!$D$2:$D$7, MATCH(F205, Unit_Grades!$A$2:$A$7, 0)),1)</f>
        <v>9.7</v>
      </c>
      <c r="N205" s="6" t="n">
        <f aca="false">ROUND(M205/24,2)</f>
        <v>0.4</v>
      </c>
    </row>
    <row r="206" customFormat="false" ht="15" hidden="false" customHeight="true" outlineLevel="0" collapsed="false">
      <c r="A206" s="6" t="n">
        <v>1</v>
      </c>
      <c r="B206" s="6" t="s">
        <v>1762</v>
      </c>
      <c r="C206" s="6" t="s">
        <v>1279</v>
      </c>
      <c r="D206" s="6" t="str">
        <f aca="false">A206&amp;"|"&amp;C206</f>
        <v>1|War Dog Pack</v>
      </c>
      <c r="E206" s="6" t="s">
        <v>1558</v>
      </c>
      <c r="F206" s="6" t="s">
        <v>1538</v>
      </c>
      <c r="G206" s="6" t="str">
        <f aca="false">INDEX(Archetypes!$D$2:$D$127, MATCH(D206, Archetypes!$A$2:$A$127, 0))</f>
        <v>Skirmisher</v>
      </c>
      <c r="H206" s="6" t="n">
        <f aca="false">ROUND(INDEX(Archetypes!$E$2:$E$127, MATCH(D206, Archetypes!$A$2:$A$127, 0))*INDEX(Unit_Grades!$B$2:$B$7, MATCH(F206, Unit_Grades!$A$2:$A$7, 0))*INDEX(Unit_Paths!$B$2:$B$4, MATCH(E206, Unit_Paths!$A$2:$A$4, 0)),1)</f>
        <v>16.8</v>
      </c>
      <c r="I206" s="6" t="n">
        <f aca="false">ROUND(INDEX(Archetypes!$F$2:$F$127, MATCH(D206, Archetypes!$A$2:$A$127, 0))*INDEX(Unit_Grades!$B$2:$B$7, MATCH(F206, Unit_Grades!$A$2:$A$7, 0))*INDEX(Unit_Paths!$C$2:$C$4, MATCH(E206, Unit_Paths!$A$2:$A$4, 0)),1)</f>
        <v>5.1</v>
      </c>
      <c r="J206" s="6" t="n">
        <f aca="false">ROUND(INDEX(Archetypes!$G$2:$G$127, MATCH(D206, Archetypes!$A$2:$A$127, 0))*INDEX(Unit_Grades!$B$2:$B$7, MATCH(F206, Unit_Grades!$A$2:$A$7, 0))*INDEX(Unit_Paths!$D$2:$D$4, MATCH(E206, Unit_Paths!$A$2:$A$4, 0)),0)</f>
        <v>38</v>
      </c>
      <c r="K206" s="6" t="n">
        <f aca="false">ROUND(INDEX(Archetypes!$H$2:$H$127, MATCH(D206, Archetypes!$A$2:$A$127, 0))*INDEX(Unit_Paths!$E$2:$E$4, MATCH(E206, Unit_Paths!$A$2:$A$4, 0)),1)</f>
        <v>31.5</v>
      </c>
      <c r="L206" s="6" t="n">
        <f aca="false">ROUND(INDEX(Archetypes!$I$2:$I$127, MATCH(D206, Archetypes!$A$2:$A$127, 0))*INDEX(Unit_Grades!$C$2:$C$7, MATCH(F206, Unit_Grades!$A$2:$A$7, 0)),1)</f>
        <v>2</v>
      </c>
      <c r="M206" s="6" t="n">
        <f aca="false">ROUND(INDEX(Archetypes!$J$2:$J$127, MATCH(D206, Archetypes!$A$2:$A$127, 0))*INDEX(Unit_Grades!$D$2:$D$7, MATCH(F206, Unit_Grades!$A$2:$A$7, 0)),1)</f>
        <v>0.8</v>
      </c>
      <c r="N206" s="6" t="n">
        <f aca="false">ROUND(M206/24,2)</f>
        <v>0.03</v>
      </c>
    </row>
    <row r="207" customFormat="false" ht="15" hidden="false" customHeight="true" outlineLevel="0" collapsed="false">
      <c r="A207" s="6" t="n">
        <v>1</v>
      </c>
      <c r="B207" s="6" t="s">
        <v>1763</v>
      </c>
      <c r="C207" s="6" t="s">
        <v>1279</v>
      </c>
      <c r="D207" s="6" t="str">
        <f aca="false">A207&amp;"|"&amp;C207</f>
        <v>1|War Dog Pack</v>
      </c>
      <c r="E207" s="6" t="s">
        <v>1558</v>
      </c>
      <c r="F207" s="6" t="s">
        <v>1540</v>
      </c>
      <c r="G207" s="6" t="str">
        <f aca="false">INDEX(Archetypes!$D$2:$D$127, MATCH(D207, Archetypes!$A$2:$A$127, 0))</f>
        <v>Skirmisher</v>
      </c>
      <c r="H207" s="6" t="n">
        <f aca="false">ROUND(INDEX(Archetypes!$E$2:$E$127, MATCH(D207, Archetypes!$A$2:$A$127, 0))*INDEX(Unit_Grades!$B$2:$B$7, MATCH(F207, Unit_Grades!$A$2:$A$7, 0))*INDEX(Unit_Paths!$B$2:$B$4, MATCH(E207, Unit_Paths!$A$2:$A$4, 0)),1)</f>
        <v>22.7</v>
      </c>
      <c r="I207" s="6" t="n">
        <f aca="false">ROUND(INDEX(Archetypes!$F$2:$F$127, MATCH(D207, Archetypes!$A$2:$A$127, 0))*INDEX(Unit_Grades!$B$2:$B$7, MATCH(F207, Unit_Grades!$A$2:$A$7, 0))*INDEX(Unit_Paths!$C$2:$C$4, MATCH(E207, Unit_Paths!$A$2:$A$4, 0)),1)</f>
        <v>6.9</v>
      </c>
      <c r="J207" s="6" t="n">
        <f aca="false">ROUND(INDEX(Archetypes!$G$2:$G$127, MATCH(D207, Archetypes!$A$2:$A$127, 0))*INDEX(Unit_Grades!$B$2:$B$7, MATCH(F207, Unit_Grades!$A$2:$A$7, 0))*INDEX(Unit_Paths!$D$2:$D$4, MATCH(E207, Unit_Paths!$A$2:$A$4, 0)),0)</f>
        <v>51</v>
      </c>
      <c r="K207" s="6" t="n">
        <f aca="false">ROUND(INDEX(Archetypes!$H$2:$H$127, MATCH(D207, Archetypes!$A$2:$A$127, 0))*INDEX(Unit_Paths!$E$2:$E$4, MATCH(E207, Unit_Paths!$A$2:$A$4, 0)),1)</f>
        <v>31.5</v>
      </c>
      <c r="L207" s="6" t="n">
        <f aca="false">ROUND(INDEX(Archetypes!$I$2:$I$127, MATCH(D207, Archetypes!$A$2:$A$127, 0))*INDEX(Unit_Grades!$C$2:$C$7, MATCH(F207, Unit_Grades!$A$2:$A$7, 0)),1)</f>
        <v>2.5</v>
      </c>
      <c r="M207" s="6" t="n">
        <f aca="false">ROUND(INDEX(Archetypes!$J$2:$J$127, MATCH(D207, Archetypes!$A$2:$A$127, 0))*INDEX(Unit_Grades!$D$2:$D$7, MATCH(F207, Unit_Grades!$A$2:$A$7, 0)),1)</f>
        <v>1.2</v>
      </c>
      <c r="N207" s="6" t="n">
        <f aca="false">ROUND(M207/24,2)</f>
        <v>0.05</v>
      </c>
    </row>
    <row r="208" customFormat="false" ht="15" hidden="false" customHeight="true" outlineLevel="0" collapsed="false">
      <c r="A208" s="6" t="n">
        <v>1</v>
      </c>
      <c r="B208" s="6" t="s">
        <v>1764</v>
      </c>
      <c r="C208" s="6" t="s">
        <v>1279</v>
      </c>
      <c r="D208" s="6" t="str">
        <f aca="false">A208&amp;"|"&amp;C208</f>
        <v>1|War Dog Pack</v>
      </c>
      <c r="E208" s="6" t="s">
        <v>1558</v>
      </c>
      <c r="F208" s="6" t="s">
        <v>1542</v>
      </c>
      <c r="G208" s="6" t="str">
        <f aca="false">INDEX(Archetypes!$D$2:$D$127, MATCH(D208, Archetypes!$A$2:$A$127, 0))</f>
        <v>Skirmisher</v>
      </c>
      <c r="H208" s="6" t="n">
        <f aca="false">ROUND(INDEX(Archetypes!$E$2:$E$127, MATCH(D208, Archetypes!$A$2:$A$127, 0))*INDEX(Unit_Grades!$B$2:$B$7, MATCH(F208, Unit_Grades!$A$2:$A$7, 0))*INDEX(Unit_Paths!$B$2:$B$4, MATCH(E208, Unit_Paths!$A$2:$A$4, 0)),1)</f>
        <v>30.2</v>
      </c>
      <c r="I208" s="6" t="n">
        <f aca="false">ROUND(INDEX(Archetypes!$F$2:$F$127, MATCH(D208, Archetypes!$A$2:$A$127, 0))*INDEX(Unit_Grades!$B$2:$B$7, MATCH(F208, Unit_Grades!$A$2:$A$7, 0))*INDEX(Unit_Paths!$C$2:$C$4, MATCH(E208, Unit_Paths!$A$2:$A$4, 0)),1)</f>
        <v>9.2</v>
      </c>
      <c r="J208" s="6" t="n">
        <f aca="false">ROUND(INDEX(Archetypes!$G$2:$G$127, MATCH(D208, Archetypes!$A$2:$A$127, 0))*INDEX(Unit_Grades!$B$2:$B$7, MATCH(F208, Unit_Grades!$A$2:$A$7, 0))*INDEX(Unit_Paths!$D$2:$D$4, MATCH(E208, Unit_Paths!$A$2:$A$4, 0)),0)</f>
        <v>68</v>
      </c>
      <c r="K208" s="6" t="n">
        <f aca="false">ROUND(INDEX(Archetypes!$H$2:$H$127, MATCH(D208, Archetypes!$A$2:$A$127, 0))*INDEX(Unit_Paths!$E$2:$E$4, MATCH(E208, Unit_Paths!$A$2:$A$4, 0)),1)</f>
        <v>31.5</v>
      </c>
      <c r="L208" s="6" t="n">
        <f aca="false">ROUND(INDEX(Archetypes!$I$2:$I$127, MATCH(D208, Archetypes!$A$2:$A$127, 0))*INDEX(Unit_Grades!$C$2:$C$7, MATCH(F208, Unit_Grades!$A$2:$A$7, 0)),1)</f>
        <v>3.2</v>
      </c>
      <c r="M208" s="6" t="n">
        <f aca="false">ROUND(INDEX(Archetypes!$J$2:$J$127, MATCH(D208, Archetypes!$A$2:$A$127, 0))*INDEX(Unit_Grades!$D$2:$D$7, MATCH(F208, Unit_Grades!$A$2:$A$7, 0)),1)</f>
        <v>2</v>
      </c>
      <c r="N208" s="6" t="n">
        <f aca="false">ROUND(M208/24,2)</f>
        <v>0.08</v>
      </c>
    </row>
    <row r="209" customFormat="false" ht="15" hidden="false" customHeight="true" outlineLevel="0" collapsed="false">
      <c r="A209" s="6" t="n">
        <v>1</v>
      </c>
      <c r="B209" s="6" t="s">
        <v>1765</v>
      </c>
      <c r="C209" s="6" t="s">
        <v>1279</v>
      </c>
      <c r="D209" s="6" t="str">
        <f aca="false">A209&amp;"|"&amp;C209</f>
        <v>1|War Dog Pack</v>
      </c>
      <c r="E209" s="6" t="s">
        <v>1558</v>
      </c>
      <c r="F209" s="6" t="s">
        <v>1544</v>
      </c>
      <c r="G209" s="6" t="str">
        <f aca="false">INDEX(Archetypes!$D$2:$D$127, MATCH(D209, Archetypes!$A$2:$A$127, 0))</f>
        <v>Skirmisher</v>
      </c>
      <c r="H209" s="6" t="n">
        <f aca="false">ROUND(INDEX(Archetypes!$E$2:$E$127, MATCH(D209, Archetypes!$A$2:$A$127, 0))*INDEX(Unit_Grades!$B$2:$B$7, MATCH(F209, Unit_Grades!$A$2:$A$7, 0))*INDEX(Unit_Paths!$B$2:$B$4, MATCH(E209, Unit_Paths!$A$2:$A$4, 0)),1)</f>
        <v>40.3</v>
      </c>
      <c r="I209" s="6" t="n">
        <f aca="false">ROUND(INDEX(Archetypes!$F$2:$F$127, MATCH(D209, Archetypes!$A$2:$A$127, 0))*INDEX(Unit_Grades!$B$2:$B$7, MATCH(F209, Unit_Grades!$A$2:$A$7, 0))*INDEX(Unit_Paths!$C$2:$C$4, MATCH(E209, Unit_Paths!$A$2:$A$4, 0)),1)</f>
        <v>12.2</v>
      </c>
      <c r="J209" s="6" t="n">
        <f aca="false">ROUND(INDEX(Archetypes!$G$2:$G$127, MATCH(D209, Archetypes!$A$2:$A$127, 0))*INDEX(Unit_Grades!$B$2:$B$7, MATCH(F209, Unit_Grades!$A$2:$A$7, 0))*INDEX(Unit_Paths!$D$2:$D$4, MATCH(E209, Unit_Paths!$A$2:$A$4, 0)),0)</f>
        <v>91</v>
      </c>
      <c r="K209" s="6" t="n">
        <f aca="false">ROUND(INDEX(Archetypes!$H$2:$H$127, MATCH(D209, Archetypes!$A$2:$A$127, 0))*INDEX(Unit_Paths!$E$2:$E$4, MATCH(E209, Unit_Paths!$A$2:$A$4, 0)),1)</f>
        <v>31.5</v>
      </c>
      <c r="L209" s="6" t="n">
        <f aca="false">ROUND(INDEX(Archetypes!$I$2:$I$127, MATCH(D209, Archetypes!$A$2:$A$127, 0))*INDEX(Unit_Grades!$C$2:$C$7, MATCH(F209, Unit_Grades!$A$2:$A$7, 0)),1)</f>
        <v>4.2</v>
      </c>
      <c r="M209" s="6" t="n">
        <f aca="false">ROUND(INDEX(Archetypes!$J$2:$J$127, MATCH(D209, Archetypes!$A$2:$A$127, 0))*INDEX(Unit_Grades!$D$2:$D$7, MATCH(F209, Unit_Grades!$A$2:$A$7, 0)),1)</f>
        <v>3.2</v>
      </c>
      <c r="N209" s="6" t="n">
        <f aca="false">ROUND(M209/24,2)</f>
        <v>0.13</v>
      </c>
    </row>
    <row r="210" customFormat="false" ht="15" hidden="false" customHeight="true" outlineLevel="0" collapsed="false">
      <c r="A210" s="6" t="n">
        <v>1</v>
      </c>
      <c r="B210" s="6" t="s">
        <v>1766</v>
      </c>
      <c r="C210" s="6" t="s">
        <v>1279</v>
      </c>
      <c r="D210" s="6" t="str">
        <f aca="false">A210&amp;"|"&amp;C210</f>
        <v>1|War Dog Pack</v>
      </c>
      <c r="E210" s="6" t="s">
        <v>1558</v>
      </c>
      <c r="F210" s="6" t="s">
        <v>1546</v>
      </c>
      <c r="G210" s="6" t="str">
        <f aca="false">INDEX(Archetypes!$D$2:$D$127, MATCH(D210, Archetypes!$A$2:$A$127, 0))</f>
        <v>Skirmisher</v>
      </c>
      <c r="H210" s="6" t="n">
        <f aca="false">ROUND(INDEX(Archetypes!$E$2:$E$127, MATCH(D210, Archetypes!$A$2:$A$127, 0))*INDEX(Unit_Grades!$B$2:$B$7, MATCH(F210, Unit_Grades!$A$2:$A$7, 0))*INDEX(Unit_Paths!$B$2:$B$4, MATCH(E210, Unit_Paths!$A$2:$A$4, 0)),1)</f>
        <v>53.8</v>
      </c>
      <c r="I210" s="6" t="n">
        <f aca="false">ROUND(INDEX(Archetypes!$F$2:$F$127, MATCH(D210, Archetypes!$A$2:$A$127, 0))*INDEX(Unit_Grades!$B$2:$B$7, MATCH(F210, Unit_Grades!$A$2:$A$7, 0))*INDEX(Unit_Paths!$C$2:$C$4, MATCH(E210, Unit_Paths!$A$2:$A$4, 0)),1)</f>
        <v>16.3</v>
      </c>
      <c r="J210" s="6" t="n">
        <f aca="false">ROUND(INDEX(Archetypes!$G$2:$G$127, MATCH(D210, Archetypes!$A$2:$A$127, 0))*INDEX(Unit_Grades!$B$2:$B$7, MATCH(F210, Unit_Grades!$A$2:$A$7, 0))*INDEX(Unit_Paths!$D$2:$D$4, MATCH(E210, Unit_Paths!$A$2:$A$4, 0)),0)</f>
        <v>122</v>
      </c>
      <c r="K210" s="6" t="n">
        <f aca="false">ROUND(INDEX(Archetypes!$H$2:$H$127, MATCH(D210, Archetypes!$A$2:$A$127, 0))*INDEX(Unit_Paths!$E$2:$E$4, MATCH(E210, Unit_Paths!$A$2:$A$4, 0)),1)</f>
        <v>31.5</v>
      </c>
      <c r="L210" s="6" t="n">
        <f aca="false">ROUND(INDEX(Archetypes!$I$2:$I$127, MATCH(D210, Archetypes!$A$2:$A$127, 0))*INDEX(Unit_Grades!$C$2:$C$7, MATCH(F210, Unit_Grades!$A$2:$A$7, 0)),1)</f>
        <v>5.6</v>
      </c>
      <c r="M210" s="6" t="n">
        <f aca="false">ROUND(INDEX(Archetypes!$J$2:$J$127, MATCH(D210, Archetypes!$A$2:$A$127, 0))*INDEX(Unit_Grades!$D$2:$D$7, MATCH(F210, Unit_Grades!$A$2:$A$7, 0)),1)</f>
        <v>5.7</v>
      </c>
      <c r="N210" s="6" t="n">
        <f aca="false">ROUND(M210/24,2)</f>
        <v>0.24</v>
      </c>
    </row>
    <row r="211" customFormat="false" ht="15" hidden="false" customHeight="true" outlineLevel="0" collapsed="false">
      <c r="A211" s="6" t="n">
        <v>1</v>
      </c>
      <c r="B211" s="6" t="s">
        <v>1767</v>
      </c>
      <c r="C211" s="6" t="s">
        <v>1279</v>
      </c>
      <c r="D211" s="6" t="str">
        <f aca="false">A211&amp;"|"&amp;C211</f>
        <v>1|War Dog Pack</v>
      </c>
      <c r="E211" s="6" t="s">
        <v>1558</v>
      </c>
      <c r="F211" s="6" t="s">
        <v>1548</v>
      </c>
      <c r="G211" s="6" t="str">
        <f aca="false">INDEX(Archetypes!$D$2:$D$127, MATCH(D211, Archetypes!$A$2:$A$127, 0))</f>
        <v>Skirmisher</v>
      </c>
      <c r="H211" s="6" t="n">
        <f aca="false">ROUND(INDEX(Archetypes!$E$2:$E$127, MATCH(D211, Archetypes!$A$2:$A$127, 0))*INDEX(Unit_Grades!$B$2:$B$7, MATCH(F211, Unit_Grades!$A$2:$A$7, 0))*INDEX(Unit_Paths!$B$2:$B$4, MATCH(E211, Unit_Paths!$A$2:$A$4, 0)),1)</f>
        <v>70.6</v>
      </c>
      <c r="I211" s="6" t="n">
        <f aca="false">ROUND(INDEX(Archetypes!$F$2:$F$127, MATCH(D211, Archetypes!$A$2:$A$127, 0))*INDEX(Unit_Grades!$B$2:$B$7, MATCH(F211, Unit_Grades!$A$2:$A$7, 0))*INDEX(Unit_Paths!$C$2:$C$4, MATCH(E211, Unit_Paths!$A$2:$A$4, 0)),1)</f>
        <v>21.4</v>
      </c>
      <c r="J211" s="6" t="n">
        <f aca="false">ROUND(INDEX(Archetypes!$G$2:$G$127, MATCH(D211, Archetypes!$A$2:$A$127, 0))*INDEX(Unit_Grades!$B$2:$B$7, MATCH(F211, Unit_Grades!$A$2:$A$7, 0))*INDEX(Unit_Paths!$D$2:$D$4, MATCH(E211, Unit_Paths!$A$2:$A$4, 0)),0)</f>
        <v>160</v>
      </c>
      <c r="K211" s="6" t="n">
        <f aca="false">ROUND(INDEX(Archetypes!$H$2:$H$127, MATCH(D211, Archetypes!$A$2:$A$127, 0))*INDEX(Unit_Paths!$E$2:$E$4, MATCH(E211, Unit_Paths!$A$2:$A$4, 0)),1)</f>
        <v>31.5</v>
      </c>
      <c r="L211" s="6" t="n">
        <f aca="false">ROUND(INDEX(Archetypes!$I$2:$I$127, MATCH(D211, Archetypes!$A$2:$A$127, 0))*INDEX(Unit_Grades!$C$2:$C$7, MATCH(F211, Unit_Grades!$A$2:$A$7, 0)),1)</f>
        <v>7.4</v>
      </c>
      <c r="M211" s="6" t="n">
        <f aca="false">ROUND(INDEX(Archetypes!$J$2:$J$127, MATCH(D211, Archetypes!$A$2:$A$127, 0))*INDEX(Unit_Grades!$D$2:$D$7, MATCH(F211, Unit_Grades!$A$2:$A$7, 0)),1)</f>
        <v>9.7</v>
      </c>
      <c r="N211" s="6" t="n">
        <f aca="false">ROUND(M211/24,2)</f>
        <v>0.4</v>
      </c>
    </row>
    <row r="212" customFormat="false" ht="15" hidden="false" customHeight="true" outlineLevel="0" collapsed="false">
      <c r="A212" s="6" t="n">
        <v>1</v>
      </c>
      <c r="B212" s="6" t="s">
        <v>1768</v>
      </c>
      <c r="C212" s="6" t="s">
        <v>1279</v>
      </c>
      <c r="D212" s="6" t="str">
        <f aca="false">A212&amp;"|"&amp;C212</f>
        <v>1|War Dog Pack</v>
      </c>
      <c r="E212" s="6" t="s">
        <v>1560</v>
      </c>
      <c r="F212" s="6" t="s">
        <v>1538</v>
      </c>
      <c r="G212" s="6" t="str">
        <f aca="false">INDEX(Archetypes!$D$2:$D$127, MATCH(D212, Archetypes!$A$2:$A$127, 0))</f>
        <v>Skirmisher</v>
      </c>
      <c r="H212" s="6" t="n">
        <f aca="false">ROUND(INDEX(Archetypes!$E$2:$E$127, MATCH(D212, Archetypes!$A$2:$A$127, 0))*INDEX(Unit_Grades!$B$2:$B$7, MATCH(F212, Unit_Grades!$A$2:$A$7, 0))*INDEX(Unit_Paths!$B$2:$B$4, MATCH(E212, Unit_Paths!$A$2:$A$4, 0)),1)</f>
        <v>11.9</v>
      </c>
      <c r="I212" s="6" t="n">
        <f aca="false">ROUND(INDEX(Archetypes!$F$2:$F$127, MATCH(D212, Archetypes!$A$2:$A$127, 0))*INDEX(Unit_Grades!$B$2:$B$7, MATCH(F212, Unit_Grades!$A$2:$A$7, 0))*INDEX(Unit_Paths!$C$2:$C$4, MATCH(E212, Unit_Paths!$A$2:$A$4, 0)),1)</f>
        <v>7.5</v>
      </c>
      <c r="J212" s="6" t="n">
        <f aca="false">ROUND(INDEX(Archetypes!$G$2:$G$127, MATCH(D212, Archetypes!$A$2:$A$127, 0))*INDEX(Unit_Grades!$B$2:$B$7, MATCH(F212, Unit_Grades!$A$2:$A$7, 0))*INDEX(Unit_Paths!$D$2:$D$4, MATCH(E212, Unit_Paths!$A$2:$A$4, 0)),0)</f>
        <v>46</v>
      </c>
      <c r="K212" s="6" t="n">
        <f aca="false">ROUND(INDEX(Archetypes!$H$2:$H$127, MATCH(D212, Archetypes!$A$2:$A$127, 0))*INDEX(Unit_Paths!$E$2:$E$4, MATCH(E212, Unit_Paths!$A$2:$A$4, 0)),1)</f>
        <v>27.6</v>
      </c>
      <c r="L212" s="6" t="n">
        <f aca="false">ROUND(INDEX(Archetypes!$I$2:$I$127, MATCH(D212, Archetypes!$A$2:$A$127, 0))*INDEX(Unit_Grades!$C$2:$C$7, MATCH(F212, Unit_Grades!$A$2:$A$7, 0)),1)</f>
        <v>2</v>
      </c>
      <c r="M212" s="6" t="n">
        <f aca="false">ROUND(INDEX(Archetypes!$J$2:$J$127, MATCH(D212, Archetypes!$A$2:$A$127, 0))*INDEX(Unit_Grades!$D$2:$D$7, MATCH(F212, Unit_Grades!$A$2:$A$7, 0)),1)</f>
        <v>0.8</v>
      </c>
      <c r="N212" s="6" t="n">
        <f aca="false">ROUND(M212/24,2)</f>
        <v>0.03</v>
      </c>
    </row>
    <row r="213" customFormat="false" ht="15" hidden="false" customHeight="true" outlineLevel="0" collapsed="false">
      <c r="A213" s="6" t="n">
        <v>1</v>
      </c>
      <c r="B213" s="6" t="s">
        <v>1769</v>
      </c>
      <c r="C213" s="6" t="s">
        <v>1279</v>
      </c>
      <c r="D213" s="6" t="str">
        <f aca="false">A213&amp;"|"&amp;C213</f>
        <v>1|War Dog Pack</v>
      </c>
      <c r="E213" s="6" t="s">
        <v>1560</v>
      </c>
      <c r="F213" s="6" t="s">
        <v>1540</v>
      </c>
      <c r="G213" s="6" t="str">
        <f aca="false">INDEX(Archetypes!$D$2:$D$127, MATCH(D213, Archetypes!$A$2:$A$127, 0))</f>
        <v>Skirmisher</v>
      </c>
      <c r="H213" s="6" t="n">
        <f aca="false">ROUND(INDEX(Archetypes!$E$2:$E$127, MATCH(D213, Archetypes!$A$2:$A$127, 0))*INDEX(Unit_Grades!$B$2:$B$7, MATCH(F213, Unit_Grades!$A$2:$A$7, 0))*INDEX(Unit_Paths!$B$2:$B$4, MATCH(E213, Unit_Paths!$A$2:$A$4, 0)),1)</f>
        <v>16.1</v>
      </c>
      <c r="I213" s="6" t="n">
        <f aca="false">ROUND(INDEX(Archetypes!$F$2:$F$127, MATCH(D213, Archetypes!$A$2:$A$127, 0))*INDEX(Unit_Grades!$B$2:$B$7, MATCH(F213, Unit_Grades!$A$2:$A$7, 0))*INDEX(Unit_Paths!$C$2:$C$4, MATCH(E213, Unit_Paths!$A$2:$A$4, 0)),1)</f>
        <v>10.1</v>
      </c>
      <c r="J213" s="6" t="n">
        <f aca="false">ROUND(INDEX(Archetypes!$G$2:$G$127, MATCH(D213, Archetypes!$A$2:$A$127, 0))*INDEX(Unit_Grades!$B$2:$B$7, MATCH(F213, Unit_Grades!$A$2:$A$7, 0))*INDEX(Unit_Paths!$D$2:$D$4, MATCH(E213, Unit_Paths!$A$2:$A$4, 0)),0)</f>
        <v>62</v>
      </c>
      <c r="K213" s="6" t="n">
        <f aca="false">ROUND(INDEX(Archetypes!$H$2:$H$127, MATCH(D213, Archetypes!$A$2:$A$127, 0))*INDEX(Unit_Paths!$E$2:$E$4, MATCH(E213, Unit_Paths!$A$2:$A$4, 0)),1)</f>
        <v>27.6</v>
      </c>
      <c r="L213" s="6" t="n">
        <f aca="false">ROUND(INDEX(Archetypes!$I$2:$I$127, MATCH(D213, Archetypes!$A$2:$A$127, 0))*INDEX(Unit_Grades!$C$2:$C$7, MATCH(F213, Unit_Grades!$A$2:$A$7, 0)),1)</f>
        <v>2.5</v>
      </c>
      <c r="M213" s="6" t="n">
        <f aca="false">ROUND(INDEX(Archetypes!$J$2:$J$127, MATCH(D213, Archetypes!$A$2:$A$127, 0))*INDEX(Unit_Grades!$D$2:$D$7, MATCH(F213, Unit_Grades!$A$2:$A$7, 0)),1)</f>
        <v>1.2</v>
      </c>
      <c r="N213" s="6" t="n">
        <f aca="false">ROUND(M213/24,2)</f>
        <v>0.05</v>
      </c>
    </row>
    <row r="214" customFormat="false" ht="15" hidden="false" customHeight="true" outlineLevel="0" collapsed="false">
      <c r="A214" s="6" t="n">
        <v>1</v>
      </c>
      <c r="B214" s="6" t="s">
        <v>1770</v>
      </c>
      <c r="C214" s="6" t="s">
        <v>1279</v>
      </c>
      <c r="D214" s="6" t="str">
        <f aca="false">A214&amp;"|"&amp;C214</f>
        <v>1|War Dog Pack</v>
      </c>
      <c r="E214" s="6" t="s">
        <v>1560</v>
      </c>
      <c r="F214" s="6" t="s">
        <v>1542</v>
      </c>
      <c r="G214" s="6" t="str">
        <f aca="false">INDEX(Archetypes!$D$2:$D$127, MATCH(D214, Archetypes!$A$2:$A$127, 0))</f>
        <v>Skirmisher</v>
      </c>
      <c r="H214" s="6" t="n">
        <f aca="false">ROUND(INDEX(Archetypes!$E$2:$E$127, MATCH(D214, Archetypes!$A$2:$A$127, 0))*INDEX(Unit_Grades!$B$2:$B$7, MATCH(F214, Unit_Grades!$A$2:$A$7, 0))*INDEX(Unit_Paths!$B$2:$B$4, MATCH(E214, Unit_Paths!$A$2:$A$4, 0)),1)</f>
        <v>21.4</v>
      </c>
      <c r="I214" s="6" t="n">
        <f aca="false">ROUND(INDEX(Archetypes!$F$2:$F$127, MATCH(D214, Archetypes!$A$2:$A$127, 0))*INDEX(Unit_Grades!$B$2:$B$7, MATCH(F214, Unit_Grades!$A$2:$A$7, 0))*INDEX(Unit_Paths!$C$2:$C$4, MATCH(E214, Unit_Paths!$A$2:$A$4, 0)),1)</f>
        <v>13.5</v>
      </c>
      <c r="J214" s="6" t="n">
        <f aca="false">ROUND(INDEX(Archetypes!$G$2:$G$127, MATCH(D214, Archetypes!$A$2:$A$127, 0))*INDEX(Unit_Grades!$B$2:$B$7, MATCH(F214, Unit_Grades!$A$2:$A$7, 0))*INDEX(Unit_Paths!$D$2:$D$4, MATCH(E214, Unit_Paths!$A$2:$A$4, 0)),0)</f>
        <v>83</v>
      </c>
      <c r="K214" s="6" t="n">
        <f aca="false">ROUND(INDEX(Archetypes!$H$2:$H$127, MATCH(D214, Archetypes!$A$2:$A$127, 0))*INDEX(Unit_Paths!$E$2:$E$4, MATCH(E214, Unit_Paths!$A$2:$A$4, 0)),1)</f>
        <v>27.6</v>
      </c>
      <c r="L214" s="6" t="n">
        <f aca="false">ROUND(INDEX(Archetypes!$I$2:$I$127, MATCH(D214, Archetypes!$A$2:$A$127, 0))*INDEX(Unit_Grades!$C$2:$C$7, MATCH(F214, Unit_Grades!$A$2:$A$7, 0)),1)</f>
        <v>3.2</v>
      </c>
      <c r="M214" s="6" t="n">
        <f aca="false">ROUND(INDEX(Archetypes!$J$2:$J$127, MATCH(D214, Archetypes!$A$2:$A$127, 0))*INDEX(Unit_Grades!$D$2:$D$7, MATCH(F214, Unit_Grades!$A$2:$A$7, 0)),1)</f>
        <v>2</v>
      </c>
      <c r="N214" s="6" t="n">
        <f aca="false">ROUND(M214/24,2)</f>
        <v>0.08</v>
      </c>
    </row>
    <row r="215" customFormat="false" ht="15" hidden="false" customHeight="true" outlineLevel="0" collapsed="false">
      <c r="A215" s="6" t="n">
        <v>1</v>
      </c>
      <c r="B215" s="6" t="s">
        <v>1771</v>
      </c>
      <c r="C215" s="6" t="s">
        <v>1279</v>
      </c>
      <c r="D215" s="6" t="str">
        <f aca="false">A215&amp;"|"&amp;C215</f>
        <v>1|War Dog Pack</v>
      </c>
      <c r="E215" s="6" t="s">
        <v>1560</v>
      </c>
      <c r="F215" s="6" t="s">
        <v>1544</v>
      </c>
      <c r="G215" s="6" t="str">
        <f aca="false">INDEX(Archetypes!$D$2:$D$127, MATCH(D215, Archetypes!$A$2:$A$127, 0))</f>
        <v>Skirmisher</v>
      </c>
      <c r="H215" s="6" t="n">
        <f aca="false">ROUND(INDEX(Archetypes!$E$2:$E$127, MATCH(D215, Archetypes!$A$2:$A$127, 0))*INDEX(Unit_Grades!$B$2:$B$7, MATCH(F215, Unit_Grades!$A$2:$A$7, 0))*INDEX(Unit_Paths!$B$2:$B$4, MATCH(E215, Unit_Paths!$A$2:$A$4, 0)),1)</f>
        <v>28.6</v>
      </c>
      <c r="I215" s="6" t="n">
        <f aca="false">ROUND(INDEX(Archetypes!$F$2:$F$127, MATCH(D215, Archetypes!$A$2:$A$127, 0))*INDEX(Unit_Grades!$B$2:$B$7, MATCH(F215, Unit_Grades!$A$2:$A$7, 0))*INDEX(Unit_Paths!$C$2:$C$4, MATCH(E215, Unit_Paths!$A$2:$A$4, 0)),1)</f>
        <v>18</v>
      </c>
      <c r="J215" s="6" t="n">
        <f aca="false">ROUND(INDEX(Archetypes!$G$2:$G$127, MATCH(D215, Archetypes!$A$2:$A$127, 0))*INDEX(Unit_Grades!$B$2:$B$7, MATCH(F215, Unit_Grades!$A$2:$A$7, 0))*INDEX(Unit_Paths!$D$2:$D$4, MATCH(E215, Unit_Paths!$A$2:$A$4, 0)),0)</f>
        <v>110</v>
      </c>
      <c r="K215" s="6" t="n">
        <f aca="false">ROUND(INDEX(Archetypes!$H$2:$H$127, MATCH(D215, Archetypes!$A$2:$A$127, 0))*INDEX(Unit_Paths!$E$2:$E$4, MATCH(E215, Unit_Paths!$A$2:$A$4, 0)),1)</f>
        <v>27.6</v>
      </c>
      <c r="L215" s="6" t="n">
        <f aca="false">ROUND(INDEX(Archetypes!$I$2:$I$127, MATCH(D215, Archetypes!$A$2:$A$127, 0))*INDEX(Unit_Grades!$C$2:$C$7, MATCH(F215, Unit_Grades!$A$2:$A$7, 0)),1)</f>
        <v>4.2</v>
      </c>
      <c r="M215" s="6" t="n">
        <f aca="false">ROUND(INDEX(Archetypes!$J$2:$J$127, MATCH(D215, Archetypes!$A$2:$A$127, 0))*INDEX(Unit_Grades!$D$2:$D$7, MATCH(F215, Unit_Grades!$A$2:$A$7, 0)),1)</f>
        <v>3.2</v>
      </c>
      <c r="N215" s="6" t="n">
        <f aca="false">ROUND(M215/24,2)</f>
        <v>0.13</v>
      </c>
    </row>
    <row r="216" customFormat="false" ht="15" hidden="false" customHeight="true" outlineLevel="0" collapsed="false">
      <c r="A216" s="6" t="n">
        <v>1</v>
      </c>
      <c r="B216" s="6" t="s">
        <v>1772</v>
      </c>
      <c r="C216" s="6" t="s">
        <v>1279</v>
      </c>
      <c r="D216" s="6" t="str">
        <f aca="false">A216&amp;"|"&amp;C216</f>
        <v>1|War Dog Pack</v>
      </c>
      <c r="E216" s="6" t="s">
        <v>1560</v>
      </c>
      <c r="F216" s="6" t="s">
        <v>1546</v>
      </c>
      <c r="G216" s="6" t="str">
        <f aca="false">INDEX(Archetypes!$D$2:$D$127, MATCH(D216, Archetypes!$A$2:$A$127, 0))</f>
        <v>Skirmisher</v>
      </c>
      <c r="H216" s="6" t="n">
        <f aca="false">ROUND(INDEX(Archetypes!$E$2:$E$127, MATCH(D216, Archetypes!$A$2:$A$127, 0))*INDEX(Unit_Grades!$B$2:$B$7, MATCH(F216, Unit_Grades!$A$2:$A$7, 0))*INDEX(Unit_Paths!$B$2:$B$4, MATCH(E216, Unit_Paths!$A$2:$A$4, 0)),1)</f>
        <v>38.1</v>
      </c>
      <c r="I216" s="6" t="n">
        <f aca="false">ROUND(INDEX(Archetypes!$F$2:$F$127, MATCH(D216, Archetypes!$A$2:$A$127, 0))*INDEX(Unit_Grades!$B$2:$B$7, MATCH(F216, Unit_Grades!$A$2:$A$7, 0))*INDEX(Unit_Paths!$C$2:$C$4, MATCH(E216, Unit_Paths!$A$2:$A$4, 0)),1)</f>
        <v>24</v>
      </c>
      <c r="J216" s="6" t="n">
        <f aca="false">ROUND(INDEX(Archetypes!$G$2:$G$127, MATCH(D216, Archetypes!$A$2:$A$127, 0))*INDEX(Unit_Grades!$B$2:$B$7, MATCH(F216, Unit_Grades!$A$2:$A$7, 0))*INDEX(Unit_Paths!$D$2:$D$4, MATCH(E216, Unit_Paths!$A$2:$A$4, 0)),0)</f>
        <v>147</v>
      </c>
      <c r="K216" s="6" t="n">
        <f aca="false">ROUND(INDEX(Archetypes!$H$2:$H$127, MATCH(D216, Archetypes!$A$2:$A$127, 0))*INDEX(Unit_Paths!$E$2:$E$4, MATCH(E216, Unit_Paths!$A$2:$A$4, 0)),1)</f>
        <v>27.6</v>
      </c>
      <c r="L216" s="6" t="n">
        <f aca="false">ROUND(INDEX(Archetypes!$I$2:$I$127, MATCH(D216, Archetypes!$A$2:$A$127, 0))*INDEX(Unit_Grades!$C$2:$C$7, MATCH(F216, Unit_Grades!$A$2:$A$7, 0)),1)</f>
        <v>5.6</v>
      </c>
      <c r="M216" s="6" t="n">
        <f aca="false">ROUND(INDEX(Archetypes!$J$2:$J$127, MATCH(D216, Archetypes!$A$2:$A$127, 0))*INDEX(Unit_Grades!$D$2:$D$7, MATCH(F216, Unit_Grades!$A$2:$A$7, 0)),1)</f>
        <v>5.7</v>
      </c>
      <c r="N216" s="6" t="n">
        <f aca="false">ROUND(M216/24,2)</f>
        <v>0.24</v>
      </c>
    </row>
    <row r="217" customFormat="false" ht="15" hidden="false" customHeight="true" outlineLevel="0" collapsed="false">
      <c r="A217" s="6" t="n">
        <v>1</v>
      </c>
      <c r="B217" s="6" t="s">
        <v>1773</v>
      </c>
      <c r="C217" s="6" t="s">
        <v>1279</v>
      </c>
      <c r="D217" s="6" t="str">
        <f aca="false">A217&amp;"|"&amp;C217</f>
        <v>1|War Dog Pack</v>
      </c>
      <c r="E217" s="6" t="s">
        <v>1560</v>
      </c>
      <c r="F217" s="6" t="s">
        <v>1548</v>
      </c>
      <c r="G217" s="6" t="str">
        <f aca="false">INDEX(Archetypes!$D$2:$D$127, MATCH(D217, Archetypes!$A$2:$A$127, 0))</f>
        <v>Skirmisher</v>
      </c>
      <c r="H217" s="6" t="n">
        <f aca="false">ROUND(INDEX(Archetypes!$E$2:$E$127, MATCH(D217, Archetypes!$A$2:$A$127, 0))*INDEX(Unit_Grades!$B$2:$B$7, MATCH(F217, Unit_Grades!$A$2:$A$7, 0))*INDEX(Unit_Paths!$B$2:$B$4, MATCH(E217, Unit_Paths!$A$2:$A$4, 0)),1)</f>
        <v>50</v>
      </c>
      <c r="I217" s="6" t="n">
        <f aca="false">ROUND(INDEX(Archetypes!$F$2:$F$127, MATCH(D217, Archetypes!$A$2:$A$127, 0))*INDEX(Unit_Grades!$B$2:$B$7, MATCH(F217, Unit_Grades!$A$2:$A$7, 0))*INDEX(Unit_Paths!$C$2:$C$4, MATCH(E217, Unit_Paths!$A$2:$A$4, 0)),1)</f>
        <v>31.5</v>
      </c>
      <c r="J217" s="6" t="n">
        <f aca="false">ROUND(INDEX(Archetypes!$G$2:$G$127, MATCH(D217, Archetypes!$A$2:$A$127, 0))*INDEX(Unit_Grades!$B$2:$B$7, MATCH(F217, Unit_Grades!$A$2:$A$7, 0))*INDEX(Unit_Paths!$D$2:$D$4, MATCH(E217, Unit_Paths!$A$2:$A$4, 0)),0)</f>
        <v>193</v>
      </c>
      <c r="K217" s="6" t="n">
        <f aca="false">ROUND(INDEX(Archetypes!$H$2:$H$127, MATCH(D217, Archetypes!$A$2:$A$127, 0))*INDEX(Unit_Paths!$E$2:$E$4, MATCH(E217, Unit_Paths!$A$2:$A$4, 0)),1)</f>
        <v>27.6</v>
      </c>
      <c r="L217" s="6" t="n">
        <f aca="false">ROUND(INDEX(Archetypes!$I$2:$I$127, MATCH(D217, Archetypes!$A$2:$A$127, 0))*INDEX(Unit_Grades!$C$2:$C$7, MATCH(F217, Unit_Grades!$A$2:$A$7, 0)),1)</f>
        <v>7.4</v>
      </c>
      <c r="M217" s="6" t="n">
        <f aca="false">ROUND(INDEX(Archetypes!$J$2:$J$127, MATCH(D217, Archetypes!$A$2:$A$127, 0))*INDEX(Unit_Grades!$D$2:$D$7, MATCH(F217, Unit_Grades!$A$2:$A$7, 0)),1)</f>
        <v>9.7</v>
      </c>
      <c r="N217" s="6" t="n">
        <f aca="false">ROUND(M217/24,2)</f>
        <v>0.4</v>
      </c>
    </row>
    <row r="218" customFormat="false" ht="15" hidden="false" customHeight="true" outlineLevel="0" collapsed="false">
      <c r="A218" s="6" t="n">
        <v>1</v>
      </c>
      <c r="B218" s="6" t="s">
        <v>1281</v>
      </c>
      <c r="C218" s="6" t="s">
        <v>1281</v>
      </c>
      <c r="D218" s="6" t="str">
        <f aca="false">A218&amp;"|"&amp;C218</f>
        <v>1|Totem Warrior</v>
      </c>
      <c r="E218" s="6" t="s">
        <v>1556</v>
      </c>
      <c r="F218" s="6" t="s">
        <v>1538</v>
      </c>
      <c r="G218" s="6" t="str">
        <f aca="false">INDEX(Archetypes!$D$2:$D$127, MATCH(D218, Archetypes!$A$2:$A$127, 0))</f>
        <v>Elite Shock</v>
      </c>
      <c r="H218" s="6" t="n">
        <f aca="false">ROUND(INDEX(Archetypes!$E$2:$E$127, MATCH(D218, Archetypes!$A$2:$A$127, 0))*INDEX(Unit_Grades!$B$2:$B$7, MATCH(F218, Unit_Grades!$A$2:$A$7, 0))*INDEX(Unit_Paths!$B$2:$B$4, MATCH(E218, Unit_Paths!$A$2:$A$4, 0)),1)</f>
        <v>26</v>
      </c>
      <c r="I218" s="6" t="n">
        <f aca="false">ROUND(INDEX(Archetypes!$F$2:$F$127, MATCH(D218, Archetypes!$A$2:$A$127, 0))*INDEX(Unit_Grades!$B$2:$B$7, MATCH(F218, Unit_Grades!$A$2:$A$7, 0))*INDEX(Unit_Paths!$C$2:$C$4, MATCH(E218, Unit_Paths!$A$2:$A$4, 0)),1)</f>
        <v>16</v>
      </c>
      <c r="J218" s="6" t="n">
        <f aca="false">ROUND(INDEX(Archetypes!$G$2:$G$127, MATCH(D218, Archetypes!$A$2:$A$127, 0))*INDEX(Unit_Grades!$B$2:$B$7, MATCH(F218, Unit_Grades!$A$2:$A$7, 0))*INDEX(Unit_Paths!$D$2:$D$4, MATCH(E218, Unit_Paths!$A$2:$A$4, 0)),0)</f>
        <v>105</v>
      </c>
      <c r="K218" s="6" t="n">
        <f aca="false">ROUND(INDEX(Archetypes!$H$2:$H$127, MATCH(D218, Archetypes!$A$2:$A$127, 0))*INDEX(Unit_Paths!$E$2:$E$4, MATCH(E218, Unit_Paths!$A$2:$A$4, 0)),1)</f>
        <v>16</v>
      </c>
      <c r="L218" s="6" t="n">
        <f aca="false">ROUND(INDEX(Archetypes!$I$2:$I$127, MATCH(D218, Archetypes!$A$2:$A$127, 0))*INDEX(Unit_Grades!$C$2:$C$7, MATCH(F218, Unit_Grades!$A$2:$A$7, 0)),1)</f>
        <v>5</v>
      </c>
      <c r="M218" s="6" t="n">
        <f aca="false">ROUND(INDEX(Archetypes!$J$2:$J$127, MATCH(D218, Archetypes!$A$2:$A$127, 0))*INDEX(Unit_Grades!$D$2:$D$7, MATCH(F218, Unit_Grades!$A$2:$A$7, 0)),1)</f>
        <v>2</v>
      </c>
      <c r="N218" s="6" t="n">
        <f aca="false">ROUND(M218/24,2)</f>
        <v>0.08</v>
      </c>
    </row>
    <row r="219" customFormat="false" ht="15" hidden="false" customHeight="true" outlineLevel="0" collapsed="false">
      <c r="A219" s="6" t="n">
        <v>1</v>
      </c>
      <c r="B219" s="6" t="s">
        <v>1774</v>
      </c>
      <c r="C219" s="6" t="s">
        <v>1281</v>
      </c>
      <c r="D219" s="6" t="str">
        <f aca="false">A219&amp;"|"&amp;C219</f>
        <v>1|Totem Warrior</v>
      </c>
      <c r="E219" s="6" t="s">
        <v>1556</v>
      </c>
      <c r="F219" s="6" t="s">
        <v>1540</v>
      </c>
      <c r="G219" s="6" t="str">
        <f aca="false">INDEX(Archetypes!$D$2:$D$127, MATCH(D219, Archetypes!$A$2:$A$127, 0))</f>
        <v>Elite Shock</v>
      </c>
      <c r="H219" s="6" t="n">
        <f aca="false">ROUND(INDEX(Archetypes!$E$2:$E$127, MATCH(D219, Archetypes!$A$2:$A$127, 0))*INDEX(Unit_Grades!$B$2:$B$7, MATCH(F219, Unit_Grades!$A$2:$A$7, 0))*INDEX(Unit_Paths!$B$2:$B$4, MATCH(E219, Unit_Paths!$A$2:$A$4, 0)),1)</f>
        <v>35.1</v>
      </c>
      <c r="I219" s="6" t="n">
        <f aca="false">ROUND(INDEX(Archetypes!$F$2:$F$127, MATCH(D219, Archetypes!$A$2:$A$127, 0))*INDEX(Unit_Grades!$B$2:$B$7, MATCH(F219, Unit_Grades!$A$2:$A$7, 0))*INDEX(Unit_Paths!$C$2:$C$4, MATCH(E219, Unit_Paths!$A$2:$A$4, 0)),1)</f>
        <v>21.6</v>
      </c>
      <c r="J219" s="6" t="n">
        <f aca="false">ROUND(INDEX(Archetypes!$G$2:$G$127, MATCH(D219, Archetypes!$A$2:$A$127, 0))*INDEX(Unit_Grades!$B$2:$B$7, MATCH(F219, Unit_Grades!$A$2:$A$7, 0))*INDEX(Unit_Paths!$D$2:$D$4, MATCH(E219, Unit_Paths!$A$2:$A$4, 0)),0)</f>
        <v>142</v>
      </c>
      <c r="K219" s="6" t="n">
        <f aca="false">ROUND(INDEX(Archetypes!$H$2:$H$127, MATCH(D219, Archetypes!$A$2:$A$127, 0))*INDEX(Unit_Paths!$E$2:$E$4, MATCH(E219, Unit_Paths!$A$2:$A$4, 0)),1)</f>
        <v>16</v>
      </c>
      <c r="L219" s="6" t="n">
        <f aca="false">ROUND(INDEX(Archetypes!$I$2:$I$127, MATCH(D219, Archetypes!$A$2:$A$127, 0))*INDEX(Unit_Grades!$C$2:$C$7, MATCH(F219, Unit_Grades!$A$2:$A$7, 0)),1)</f>
        <v>6.3</v>
      </c>
      <c r="M219" s="6" t="n">
        <f aca="false">ROUND(INDEX(Archetypes!$J$2:$J$127, MATCH(D219, Archetypes!$A$2:$A$127, 0))*INDEX(Unit_Grades!$D$2:$D$7, MATCH(F219, Unit_Grades!$A$2:$A$7, 0)),1)</f>
        <v>3</v>
      </c>
      <c r="N219" s="6" t="n">
        <f aca="false">ROUND(M219/24,2)</f>
        <v>0.13</v>
      </c>
    </row>
    <row r="220" customFormat="false" ht="15" hidden="false" customHeight="true" outlineLevel="0" collapsed="false">
      <c r="A220" s="6" t="n">
        <v>1</v>
      </c>
      <c r="B220" s="6" t="s">
        <v>1775</v>
      </c>
      <c r="C220" s="6" t="s">
        <v>1281</v>
      </c>
      <c r="D220" s="6" t="str">
        <f aca="false">A220&amp;"|"&amp;C220</f>
        <v>1|Totem Warrior</v>
      </c>
      <c r="E220" s="6" t="s">
        <v>1556</v>
      </c>
      <c r="F220" s="6" t="s">
        <v>1542</v>
      </c>
      <c r="G220" s="6" t="str">
        <f aca="false">INDEX(Archetypes!$D$2:$D$127, MATCH(D220, Archetypes!$A$2:$A$127, 0))</f>
        <v>Elite Shock</v>
      </c>
      <c r="H220" s="6" t="n">
        <f aca="false">ROUND(INDEX(Archetypes!$E$2:$E$127, MATCH(D220, Archetypes!$A$2:$A$127, 0))*INDEX(Unit_Grades!$B$2:$B$7, MATCH(F220, Unit_Grades!$A$2:$A$7, 0))*INDEX(Unit_Paths!$B$2:$B$4, MATCH(E220, Unit_Paths!$A$2:$A$4, 0)),1)</f>
        <v>46.8</v>
      </c>
      <c r="I220" s="6" t="n">
        <f aca="false">ROUND(INDEX(Archetypes!$F$2:$F$127, MATCH(D220, Archetypes!$A$2:$A$127, 0))*INDEX(Unit_Grades!$B$2:$B$7, MATCH(F220, Unit_Grades!$A$2:$A$7, 0))*INDEX(Unit_Paths!$C$2:$C$4, MATCH(E220, Unit_Paths!$A$2:$A$4, 0)),1)</f>
        <v>28.8</v>
      </c>
      <c r="J220" s="6" t="n">
        <f aca="false">ROUND(INDEX(Archetypes!$G$2:$G$127, MATCH(D220, Archetypes!$A$2:$A$127, 0))*INDEX(Unit_Grades!$B$2:$B$7, MATCH(F220, Unit_Grades!$A$2:$A$7, 0))*INDEX(Unit_Paths!$D$2:$D$4, MATCH(E220, Unit_Paths!$A$2:$A$4, 0)),0)</f>
        <v>189</v>
      </c>
      <c r="K220" s="6" t="n">
        <f aca="false">ROUND(INDEX(Archetypes!$H$2:$H$127, MATCH(D220, Archetypes!$A$2:$A$127, 0))*INDEX(Unit_Paths!$E$2:$E$4, MATCH(E220, Unit_Paths!$A$2:$A$4, 0)),1)</f>
        <v>16</v>
      </c>
      <c r="L220" s="6" t="n">
        <f aca="false">ROUND(INDEX(Archetypes!$I$2:$I$127, MATCH(D220, Archetypes!$A$2:$A$127, 0))*INDEX(Unit_Grades!$C$2:$C$7, MATCH(F220, Unit_Grades!$A$2:$A$7, 0)),1)</f>
        <v>8</v>
      </c>
      <c r="M220" s="6" t="n">
        <f aca="false">ROUND(INDEX(Archetypes!$J$2:$J$127, MATCH(D220, Archetypes!$A$2:$A$127, 0))*INDEX(Unit_Grades!$D$2:$D$7, MATCH(F220, Unit_Grades!$A$2:$A$7, 0)),1)</f>
        <v>5.1</v>
      </c>
      <c r="N220" s="6" t="n">
        <f aca="false">ROUND(M220/24,2)</f>
        <v>0.21</v>
      </c>
    </row>
    <row r="221" customFormat="false" ht="15" hidden="false" customHeight="true" outlineLevel="0" collapsed="false">
      <c r="A221" s="6" t="n">
        <v>1</v>
      </c>
      <c r="B221" s="6" t="s">
        <v>1776</v>
      </c>
      <c r="C221" s="6" t="s">
        <v>1281</v>
      </c>
      <c r="D221" s="6" t="str">
        <f aca="false">A221&amp;"|"&amp;C221</f>
        <v>1|Totem Warrior</v>
      </c>
      <c r="E221" s="6" t="s">
        <v>1556</v>
      </c>
      <c r="F221" s="6" t="s">
        <v>1544</v>
      </c>
      <c r="G221" s="6" t="str">
        <f aca="false">INDEX(Archetypes!$D$2:$D$127, MATCH(D221, Archetypes!$A$2:$A$127, 0))</f>
        <v>Elite Shock</v>
      </c>
      <c r="H221" s="6" t="n">
        <f aca="false">ROUND(INDEX(Archetypes!$E$2:$E$127, MATCH(D221, Archetypes!$A$2:$A$127, 0))*INDEX(Unit_Grades!$B$2:$B$7, MATCH(F221, Unit_Grades!$A$2:$A$7, 0))*INDEX(Unit_Paths!$B$2:$B$4, MATCH(E221, Unit_Paths!$A$2:$A$4, 0)),1)</f>
        <v>62.4</v>
      </c>
      <c r="I221" s="6" t="n">
        <f aca="false">ROUND(INDEX(Archetypes!$F$2:$F$127, MATCH(D221, Archetypes!$A$2:$A$127, 0))*INDEX(Unit_Grades!$B$2:$B$7, MATCH(F221, Unit_Grades!$A$2:$A$7, 0))*INDEX(Unit_Paths!$C$2:$C$4, MATCH(E221, Unit_Paths!$A$2:$A$4, 0)),1)</f>
        <v>38.4</v>
      </c>
      <c r="J221" s="6" t="n">
        <f aca="false">ROUND(INDEX(Archetypes!$G$2:$G$127, MATCH(D221, Archetypes!$A$2:$A$127, 0))*INDEX(Unit_Grades!$B$2:$B$7, MATCH(F221, Unit_Grades!$A$2:$A$7, 0))*INDEX(Unit_Paths!$D$2:$D$4, MATCH(E221, Unit_Paths!$A$2:$A$4, 0)),0)</f>
        <v>252</v>
      </c>
      <c r="K221" s="6" t="n">
        <f aca="false">ROUND(INDEX(Archetypes!$H$2:$H$127, MATCH(D221, Archetypes!$A$2:$A$127, 0))*INDEX(Unit_Paths!$E$2:$E$4, MATCH(E221, Unit_Paths!$A$2:$A$4, 0)),1)</f>
        <v>16</v>
      </c>
      <c r="L221" s="6" t="n">
        <f aca="false">ROUND(INDEX(Archetypes!$I$2:$I$127, MATCH(D221, Archetypes!$A$2:$A$127, 0))*INDEX(Unit_Grades!$C$2:$C$7, MATCH(F221, Unit_Grades!$A$2:$A$7, 0)),1)</f>
        <v>10.5</v>
      </c>
      <c r="M221" s="6" t="n">
        <f aca="false">ROUND(INDEX(Archetypes!$J$2:$J$127, MATCH(D221, Archetypes!$A$2:$A$127, 0))*INDEX(Unit_Grades!$D$2:$D$7, MATCH(F221, Unit_Grades!$A$2:$A$7, 0)),1)</f>
        <v>8.1</v>
      </c>
      <c r="N221" s="6" t="n">
        <f aca="false">ROUND(M221/24,2)</f>
        <v>0.34</v>
      </c>
    </row>
    <row r="222" customFormat="false" ht="15" hidden="false" customHeight="true" outlineLevel="0" collapsed="false">
      <c r="A222" s="6" t="n">
        <v>1</v>
      </c>
      <c r="B222" s="6" t="s">
        <v>1777</v>
      </c>
      <c r="C222" s="6" t="s">
        <v>1281</v>
      </c>
      <c r="D222" s="6" t="str">
        <f aca="false">A222&amp;"|"&amp;C222</f>
        <v>1|Totem Warrior</v>
      </c>
      <c r="E222" s="6" t="s">
        <v>1556</v>
      </c>
      <c r="F222" s="6" t="s">
        <v>1546</v>
      </c>
      <c r="G222" s="6" t="str">
        <f aca="false">INDEX(Archetypes!$D$2:$D$127, MATCH(D222, Archetypes!$A$2:$A$127, 0))</f>
        <v>Elite Shock</v>
      </c>
      <c r="H222" s="6" t="n">
        <f aca="false">ROUND(INDEX(Archetypes!$E$2:$E$127, MATCH(D222, Archetypes!$A$2:$A$127, 0))*INDEX(Unit_Grades!$B$2:$B$7, MATCH(F222, Unit_Grades!$A$2:$A$7, 0))*INDEX(Unit_Paths!$B$2:$B$4, MATCH(E222, Unit_Paths!$A$2:$A$4, 0)),1)</f>
        <v>83.2</v>
      </c>
      <c r="I222" s="6" t="n">
        <f aca="false">ROUND(INDEX(Archetypes!$F$2:$F$127, MATCH(D222, Archetypes!$A$2:$A$127, 0))*INDEX(Unit_Grades!$B$2:$B$7, MATCH(F222, Unit_Grades!$A$2:$A$7, 0))*INDEX(Unit_Paths!$C$2:$C$4, MATCH(E222, Unit_Paths!$A$2:$A$4, 0)),1)</f>
        <v>51.2</v>
      </c>
      <c r="J222" s="6" t="n">
        <f aca="false">ROUND(INDEX(Archetypes!$G$2:$G$127, MATCH(D222, Archetypes!$A$2:$A$127, 0))*INDEX(Unit_Grades!$B$2:$B$7, MATCH(F222, Unit_Grades!$A$2:$A$7, 0))*INDEX(Unit_Paths!$D$2:$D$4, MATCH(E222, Unit_Paths!$A$2:$A$4, 0)),0)</f>
        <v>336</v>
      </c>
      <c r="K222" s="6" t="n">
        <f aca="false">ROUND(INDEX(Archetypes!$H$2:$H$127, MATCH(D222, Archetypes!$A$2:$A$127, 0))*INDEX(Unit_Paths!$E$2:$E$4, MATCH(E222, Unit_Paths!$A$2:$A$4, 0)),1)</f>
        <v>16</v>
      </c>
      <c r="L222" s="6" t="n">
        <f aca="false">ROUND(INDEX(Archetypes!$I$2:$I$127, MATCH(D222, Archetypes!$A$2:$A$127, 0))*INDEX(Unit_Grades!$C$2:$C$7, MATCH(F222, Unit_Grades!$A$2:$A$7, 0)),1)</f>
        <v>14</v>
      </c>
      <c r="M222" s="6" t="n">
        <f aca="false">ROUND(INDEX(Archetypes!$J$2:$J$127, MATCH(D222, Archetypes!$A$2:$A$127, 0))*INDEX(Unit_Grades!$D$2:$D$7, MATCH(F222, Unit_Grades!$A$2:$A$7, 0)),1)</f>
        <v>14.2</v>
      </c>
      <c r="N222" s="6" t="n">
        <f aca="false">ROUND(M222/24,2)</f>
        <v>0.59</v>
      </c>
    </row>
    <row r="223" customFormat="false" ht="15" hidden="false" customHeight="true" outlineLevel="0" collapsed="false">
      <c r="A223" s="6" t="n">
        <v>1</v>
      </c>
      <c r="B223" s="6" t="s">
        <v>1778</v>
      </c>
      <c r="C223" s="6" t="s">
        <v>1281</v>
      </c>
      <c r="D223" s="6" t="str">
        <f aca="false">A223&amp;"|"&amp;C223</f>
        <v>1|Totem Warrior</v>
      </c>
      <c r="E223" s="6" t="s">
        <v>1556</v>
      </c>
      <c r="F223" s="6" t="s">
        <v>1548</v>
      </c>
      <c r="G223" s="6" t="str">
        <f aca="false">INDEX(Archetypes!$D$2:$D$127, MATCH(D223, Archetypes!$A$2:$A$127, 0))</f>
        <v>Elite Shock</v>
      </c>
      <c r="H223" s="6" t="n">
        <f aca="false">ROUND(INDEX(Archetypes!$E$2:$E$127, MATCH(D223, Archetypes!$A$2:$A$127, 0))*INDEX(Unit_Grades!$B$2:$B$7, MATCH(F223, Unit_Grades!$A$2:$A$7, 0))*INDEX(Unit_Paths!$B$2:$B$4, MATCH(E223, Unit_Paths!$A$2:$A$4, 0)),1)</f>
        <v>109.2</v>
      </c>
      <c r="I223" s="6" t="n">
        <f aca="false">ROUND(INDEX(Archetypes!$F$2:$F$127, MATCH(D223, Archetypes!$A$2:$A$127, 0))*INDEX(Unit_Grades!$B$2:$B$7, MATCH(F223, Unit_Grades!$A$2:$A$7, 0))*INDEX(Unit_Paths!$C$2:$C$4, MATCH(E223, Unit_Paths!$A$2:$A$4, 0)),1)</f>
        <v>67.2</v>
      </c>
      <c r="J223" s="6" t="n">
        <f aca="false">ROUND(INDEX(Archetypes!$G$2:$G$127, MATCH(D223, Archetypes!$A$2:$A$127, 0))*INDEX(Unit_Grades!$B$2:$B$7, MATCH(F223, Unit_Grades!$A$2:$A$7, 0))*INDEX(Unit_Paths!$D$2:$D$4, MATCH(E223, Unit_Paths!$A$2:$A$4, 0)),0)</f>
        <v>441</v>
      </c>
      <c r="K223" s="6" t="n">
        <f aca="false">ROUND(INDEX(Archetypes!$H$2:$H$127, MATCH(D223, Archetypes!$A$2:$A$127, 0))*INDEX(Unit_Paths!$E$2:$E$4, MATCH(E223, Unit_Paths!$A$2:$A$4, 0)),1)</f>
        <v>16</v>
      </c>
      <c r="L223" s="6" t="n">
        <f aca="false">ROUND(INDEX(Archetypes!$I$2:$I$127, MATCH(D223, Archetypes!$A$2:$A$127, 0))*INDEX(Unit_Grades!$C$2:$C$7, MATCH(F223, Unit_Grades!$A$2:$A$7, 0)),1)</f>
        <v>18.5</v>
      </c>
      <c r="M223" s="6" t="n">
        <f aca="false">ROUND(INDEX(Archetypes!$J$2:$J$127, MATCH(D223, Archetypes!$A$2:$A$127, 0))*INDEX(Unit_Grades!$D$2:$D$7, MATCH(F223, Unit_Grades!$A$2:$A$7, 0)),1)</f>
        <v>24.4</v>
      </c>
      <c r="N223" s="6" t="n">
        <f aca="false">ROUND(M223/24,2)</f>
        <v>1.02</v>
      </c>
    </row>
    <row r="224" customFormat="false" ht="15" hidden="false" customHeight="true" outlineLevel="0" collapsed="false">
      <c r="A224" s="6" t="n">
        <v>1</v>
      </c>
      <c r="B224" s="6" t="s">
        <v>1779</v>
      </c>
      <c r="C224" s="6" t="s">
        <v>1281</v>
      </c>
      <c r="D224" s="6" t="str">
        <f aca="false">A224&amp;"|"&amp;C224</f>
        <v>1|Totem Warrior</v>
      </c>
      <c r="E224" s="6" t="s">
        <v>1558</v>
      </c>
      <c r="F224" s="6" t="s">
        <v>1538</v>
      </c>
      <c r="G224" s="6" t="str">
        <f aca="false">INDEX(Archetypes!$D$2:$D$127, MATCH(D224, Archetypes!$A$2:$A$127, 0))</f>
        <v>Elite Shock</v>
      </c>
      <c r="H224" s="6" t="n">
        <f aca="false">ROUND(INDEX(Archetypes!$E$2:$E$127, MATCH(D224, Archetypes!$A$2:$A$127, 0))*INDEX(Unit_Grades!$B$2:$B$7, MATCH(F224, Unit_Grades!$A$2:$A$7, 0))*INDEX(Unit_Paths!$B$2:$B$4, MATCH(E224, Unit_Paths!$A$2:$A$4, 0)),1)</f>
        <v>31.2</v>
      </c>
      <c r="I224" s="6" t="n">
        <f aca="false">ROUND(INDEX(Archetypes!$F$2:$F$127, MATCH(D224, Archetypes!$A$2:$A$127, 0))*INDEX(Unit_Grades!$B$2:$B$7, MATCH(F224, Unit_Grades!$A$2:$A$7, 0))*INDEX(Unit_Paths!$C$2:$C$4, MATCH(E224, Unit_Paths!$A$2:$A$4, 0)),1)</f>
        <v>13.6</v>
      </c>
      <c r="J224" s="6" t="n">
        <f aca="false">ROUND(INDEX(Archetypes!$G$2:$G$127, MATCH(D224, Archetypes!$A$2:$A$127, 0))*INDEX(Unit_Grades!$B$2:$B$7, MATCH(F224, Unit_Grades!$A$2:$A$7, 0))*INDEX(Unit_Paths!$D$2:$D$4, MATCH(E224, Unit_Paths!$A$2:$A$4, 0)),0)</f>
        <v>100</v>
      </c>
      <c r="K224" s="6" t="n">
        <f aca="false">ROUND(INDEX(Archetypes!$H$2:$H$127, MATCH(D224, Archetypes!$A$2:$A$127, 0))*INDEX(Unit_Paths!$E$2:$E$4, MATCH(E224, Unit_Paths!$A$2:$A$4, 0)),1)</f>
        <v>16.8</v>
      </c>
      <c r="L224" s="6" t="n">
        <f aca="false">ROUND(INDEX(Archetypes!$I$2:$I$127, MATCH(D224, Archetypes!$A$2:$A$127, 0))*INDEX(Unit_Grades!$C$2:$C$7, MATCH(F224, Unit_Grades!$A$2:$A$7, 0)),1)</f>
        <v>5</v>
      </c>
      <c r="M224" s="6" t="n">
        <f aca="false">ROUND(INDEX(Archetypes!$J$2:$J$127, MATCH(D224, Archetypes!$A$2:$A$127, 0))*INDEX(Unit_Grades!$D$2:$D$7, MATCH(F224, Unit_Grades!$A$2:$A$7, 0)),1)</f>
        <v>2</v>
      </c>
      <c r="N224" s="6" t="n">
        <f aca="false">ROUND(M224/24,2)</f>
        <v>0.08</v>
      </c>
    </row>
    <row r="225" customFormat="false" ht="15" hidden="false" customHeight="true" outlineLevel="0" collapsed="false">
      <c r="A225" s="6" t="n">
        <v>1</v>
      </c>
      <c r="B225" s="6" t="s">
        <v>1780</v>
      </c>
      <c r="C225" s="6" t="s">
        <v>1281</v>
      </c>
      <c r="D225" s="6" t="str">
        <f aca="false">A225&amp;"|"&amp;C225</f>
        <v>1|Totem Warrior</v>
      </c>
      <c r="E225" s="6" t="s">
        <v>1558</v>
      </c>
      <c r="F225" s="6" t="s">
        <v>1540</v>
      </c>
      <c r="G225" s="6" t="str">
        <f aca="false">INDEX(Archetypes!$D$2:$D$127, MATCH(D225, Archetypes!$A$2:$A$127, 0))</f>
        <v>Elite Shock</v>
      </c>
      <c r="H225" s="6" t="n">
        <f aca="false">ROUND(INDEX(Archetypes!$E$2:$E$127, MATCH(D225, Archetypes!$A$2:$A$127, 0))*INDEX(Unit_Grades!$B$2:$B$7, MATCH(F225, Unit_Grades!$A$2:$A$7, 0))*INDEX(Unit_Paths!$B$2:$B$4, MATCH(E225, Unit_Paths!$A$2:$A$4, 0)),1)</f>
        <v>42.1</v>
      </c>
      <c r="I225" s="6" t="n">
        <f aca="false">ROUND(INDEX(Archetypes!$F$2:$F$127, MATCH(D225, Archetypes!$A$2:$A$127, 0))*INDEX(Unit_Grades!$B$2:$B$7, MATCH(F225, Unit_Grades!$A$2:$A$7, 0))*INDEX(Unit_Paths!$C$2:$C$4, MATCH(E225, Unit_Paths!$A$2:$A$4, 0)),1)</f>
        <v>18.4</v>
      </c>
      <c r="J225" s="6" t="n">
        <f aca="false">ROUND(INDEX(Archetypes!$G$2:$G$127, MATCH(D225, Archetypes!$A$2:$A$127, 0))*INDEX(Unit_Grades!$B$2:$B$7, MATCH(F225, Unit_Grades!$A$2:$A$7, 0))*INDEX(Unit_Paths!$D$2:$D$4, MATCH(E225, Unit_Paths!$A$2:$A$4, 0)),0)</f>
        <v>135</v>
      </c>
      <c r="K225" s="6" t="n">
        <f aca="false">ROUND(INDEX(Archetypes!$H$2:$H$127, MATCH(D225, Archetypes!$A$2:$A$127, 0))*INDEX(Unit_Paths!$E$2:$E$4, MATCH(E225, Unit_Paths!$A$2:$A$4, 0)),1)</f>
        <v>16.8</v>
      </c>
      <c r="L225" s="6" t="n">
        <f aca="false">ROUND(INDEX(Archetypes!$I$2:$I$127, MATCH(D225, Archetypes!$A$2:$A$127, 0))*INDEX(Unit_Grades!$C$2:$C$7, MATCH(F225, Unit_Grades!$A$2:$A$7, 0)),1)</f>
        <v>6.3</v>
      </c>
      <c r="M225" s="6" t="n">
        <f aca="false">ROUND(INDEX(Archetypes!$J$2:$J$127, MATCH(D225, Archetypes!$A$2:$A$127, 0))*INDEX(Unit_Grades!$D$2:$D$7, MATCH(F225, Unit_Grades!$A$2:$A$7, 0)),1)</f>
        <v>3</v>
      </c>
      <c r="N225" s="6" t="n">
        <f aca="false">ROUND(M225/24,2)</f>
        <v>0.13</v>
      </c>
    </row>
    <row r="226" customFormat="false" ht="15" hidden="false" customHeight="true" outlineLevel="0" collapsed="false">
      <c r="A226" s="6" t="n">
        <v>1</v>
      </c>
      <c r="B226" s="6" t="s">
        <v>1781</v>
      </c>
      <c r="C226" s="6" t="s">
        <v>1281</v>
      </c>
      <c r="D226" s="6" t="str">
        <f aca="false">A226&amp;"|"&amp;C226</f>
        <v>1|Totem Warrior</v>
      </c>
      <c r="E226" s="6" t="s">
        <v>1558</v>
      </c>
      <c r="F226" s="6" t="s">
        <v>1542</v>
      </c>
      <c r="G226" s="6" t="str">
        <f aca="false">INDEX(Archetypes!$D$2:$D$127, MATCH(D226, Archetypes!$A$2:$A$127, 0))</f>
        <v>Elite Shock</v>
      </c>
      <c r="H226" s="6" t="n">
        <f aca="false">ROUND(INDEX(Archetypes!$E$2:$E$127, MATCH(D226, Archetypes!$A$2:$A$127, 0))*INDEX(Unit_Grades!$B$2:$B$7, MATCH(F226, Unit_Grades!$A$2:$A$7, 0))*INDEX(Unit_Paths!$B$2:$B$4, MATCH(E226, Unit_Paths!$A$2:$A$4, 0)),1)</f>
        <v>56.2</v>
      </c>
      <c r="I226" s="6" t="n">
        <f aca="false">ROUND(INDEX(Archetypes!$F$2:$F$127, MATCH(D226, Archetypes!$A$2:$A$127, 0))*INDEX(Unit_Grades!$B$2:$B$7, MATCH(F226, Unit_Grades!$A$2:$A$7, 0))*INDEX(Unit_Paths!$C$2:$C$4, MATCH(E226, Unit_Paths!$A$2:$A$4, 0)),1)</f>
        <v>24.5</v>
      </c>
      <c r="J226" s="6" t="n">
        <f aca="false">ROUND(INDEX(Archetypes!$G$2:$G$127, MATCH(D226, Archetypes!$A$2:$A$127, 0))*INDEX(Unit_Grades!$B$2:$B$7, MATCH(F226, Unit_Grades!$A$2:$A$7, 0))*INDEX(Unit_Paths!$D$2:$D$4, MATCH(E226, Unit_Paths!$A$2:$A$4, 0)),0)</f>
        <v>180</v>
      </c>
      <c r="K226" s="6" t="n">
        <f aca="false">ROUND(INDEX(Archetypes!$H$2:$H$127, MATCH(D226, Archetypes!$A$2:$A$127, 0))*INDEX(Unit_Paths!$E$2:$E$4, MATCH(E226, Unit_Paths!$A$2:$A$4, 0)),1)</f>
        <v>16.8</v>
      </c>
      <c r="L226" s="6" t="n">
        <f aca="false">ROUND(INDEX(Archetypes!$I$2:$I$127, MATCH(D226, Archetypes!$A$2:$A$127, 0))*INDEX(Unit_Grades!$C$2:$C$7, MATCH(F226, Unit_Grades!$A$2:$A$7, 0)),1)</f>
        <v>8</v>
      </c>
      <c r="M226" s="6" t="n">
        <f aca="false">ROUND(INDEX(Archetypes!$J$2:$J$127, MATCH(D226, Archetypes!$A$2:$A$127, 0))*INDEX(Unit_Grades!$D$2:$D$7, MATCH(F226, Unit_Grades!$A$2:$A$7, 0)),1)</f>
        <v>5.1</v>
      </c>
      <c r="N226" s="6" t="n">
        <f aca="false">ROUND(M226/24,2)</f>
        <v>0.21</v>
      </c>
    </row>
    <row r="227" customFormat="false" ht="15" hidden="false" customHeight="true" outlineLevel="0" collapsed="false">
      <c r="A227" s="6" t="n">
        <v>1</v>
      </c>
      <c r="B227" s="6" t="s">
        <v>1782</v>
      </c>
      <c r="C227" s="6" t="s">
        <v>1281</v>
      </c>
      <c r="D227" s="6" t="str">
        <f aca="false">A227&amp;"|"&amp;C227</f>
        <v>1|Totem Warrior</v>
      </c>
      <c r="E227" s="6" t="s">
        <v>1558</v>
      </c>
      <c r="F227" s="6" t="s">
        <v>1544</v>
      </c>
      <c r="G227" s="6" t="str">
        <f aca="false">INDEX(Archetypes!$D$2:$D$127, MATCH(D227, Archetypes!$A$2:$A$127, 0))</f>
        <v>Elite Shock</v>
      </c>
      <c r="H227" s="6" t="n">
        <f aca="false">ROUND(INDEX(Archetypes!$E$2:$E$127, MATCH(D227, Archetypes!$A$2:$A$127, 0))*INDEX(Unit_Grades!$B$2:$B$7, MATCH(F227, Unit_Grades!$A$2:$A$7, 0))*INDEX(Unit_Paths!$B$2:$B$4, MATCH(E227, Unit_Paths!$A$2:$A$4, 0)),1)</f>
        <v>74.9</v>
      </c>
      <c r="I227" s="6" t="n">
        <f aca="false">ROUND(INDEX(Archetypes!$F$2:$F$127, MATCH(D227, Archetypes!$A$2:$A$127, 0))*INDEX(Unit_Grades!$B$2:$B$7, MATCH(F227, Unit_Grades!$A$2:$A$7, 0))*INDEX(Unit_Paths!$C$2:$C$4, MATCH(E227, Unit_Paths!$A$2:$A$4, 0)),1)</f>
        <v>32.6</v>
      </c>
      <c r="J227" s="6" t="n">
        <f aca="false">ROUND(INDEX(Archetypes!$G$2:$G$127, MATCH(D227, Archetypes!$A$2:$A$127, 0))*INDEX(Unit_Grades!$B$2:$B$7, MATCH(F227, Unit_Grades!$A$2:$A$7, 0))*INDEX(Unit_Paths!$D$2:$D$4, MATCH(E227, Unit_Paths!$A$2:$A$4, 0)),0)</f>
        <v>239</v>
      </c>
      <c r="K227" s="6" t="n">
        <f aca="false">ROUND(INDEX(Archetypes!$H$2:$H$127, MATCH(D227, Archetypes!$A$2:$A$127, 0))*INDEX(Unit_Paths!$E$2:$E$4, MATCH(E227, Unit_Paths!$A$2:$A$4, 0)),1)</f>
        <v>16.8</v>
      </c>
      <c r="L227" s="6" t="n">
        <f aca="false">ROUND(INDEX(Archetypes!$I$2:$I$127, MATCH(D227, Archetypes!$A$2:$A$127, 0))*INDEX(Unit_Grades!$C$2:$C$7, MATCH(F227, Unit_Grades!$A$2:$A$7, 0)),1)</f>
        <v>10.5</v>
      </c>
      <c r="M227" s="6" t="n">
        <f aca="false">ROUND(INDEX(Archetypes!$J$2:$J$127, MATCH(D227, Archetypes!$A$2:$A$127, 0))*INDEX(Unit_Grades!$D$2:$D$7, MATCH(F227, Unit_Grades!$A$2:$A$7, 0)),1)</f>
        <v>8.1</v>
      </c>
      <c r="N227" s="6" t="n">
        <f aca="false">ROUND(M227/24,2)</f>
        <v>0.34</v>
      </c>
    </row>
    <row r="228" customFormat="false" ht="15" hidden="false" customHeight="true" outlineLevel="0" collapsed="false">
      <c r="A228" s="6" t="n">
        <v>1</v>
      </c>
      <c r="B228" s="6" t="s">
        <v>1783</v>
      </c>
      <c r="C228" s="6" t="s">
        <v>1281</v>
      </c>
      <c r="D228" s="6" t="str">
        <f aca="false">A228&amp;"|"&amp;C228</f>
        <v>1|Totem Warrior</v>
      </c>
      <c r="E228" s="6" t="s">
        <v>1558</v>
      </c>
      <c r="F228" s="6" t="s">
        <v>1546</v>
      </c>
      <c r="G228" s="6" t="str">
        <f aca="false">INDEX(Archetypes!$D$2:$D$127, MATCH(D228, Archetypes!$A$2:$A$127, 0))</f>
        <v>Elite Shock</v>
      </c>
      <c r="H228" s="6" t="n">
        <f aca="false">ROUND(INDEX(Archetypes!$E$2:$E$127, MATCH(D228, Archetypes!$A$2:$A$127, 0))*INDEX(Unit_Grades!$B$2:$B$7, MATCH(F228, Unit_Grades!$A$2:$A$7, 0))*INDEX(Unit_Paths!$B$2:$B$4, MATCH(E228, Unit_Paths!$A$2:$A$4, 0)),1)</f>
        <v>99.8</v>
      </c>
      <c r="I228" s="6" t="n">
        <f aca="false">ROUND(INDEX(Archetypes!$F$2:$F$127, MATCH(D228, Archetypes!$A$2:$A$127, 0))*INDEX(Unit_Grades!$B$2:$B$7, MATCH(F228, Unit_Grades!$A$2:$A$7, 0))*INDEX(Unit_Paths!$C$2:$C$4, MATCH(E228, Unit_Paths!$A$2:$A$4, 0)),1)</f>
        <v>43.5</v>
      </c>
      <c r="J228" s="6" t="n">
        <f aca="false">ROUND(INDEX(Archetypes!$G$2:$G$127, MATCH(D228, Archetypes!$A$2:$A$127, 0))*INDEX(Unit_Grades!$B$2:$B$7, MATCH(F228, Unit_Grades!$A$2:$A$7, 0))*INDEX(Unit_Paths!$D$2:$D$4, MATCH(E228, Unit_Paths!$A$2:$A$4, 0)),0)</f>
        <v>319</v>
      </c>
      <c r="K228" s="6" t="n">
        <f aca="false">ROUND(INDEX(Archetypes!$H$2:$H$127, MATCH(D228, Archetypes!$A$2:$A$127, 0))*INDEX(Unit_Paths!$E$2:$E$4, MATCH(E228, Unit_Paths!$A$2:$A$4, 0)),1)</f>
        <v>16.8</v>
      </c>
      <c r="L228" s="6" t="n">
        <f aca="false">ROUND(INDEX(Archetypes!$I$2:$I$127, MATCH(D228, Archetypes!$A$2:$A$127, 0))*INDEX(Unit_Grades!$C$2:$C$7, MATCH(F228, Unit_Grades!$A$2:$A$7, 0)),1)</f>
        <v>14</v>
      </c>
      <c r="M228" s="6" t="n">
        <f aca="false">ROUND(INDEX(Archetypes!$J$2:$J$127, MATCH(D228, Archetypes!$A$2:$A$127, 0))*INDEX(Unit_Grades!$D$2:$D$7, MATCH(F228, Unit_Grades!$A$2:$A$7, 0)),1)</f>
        <v>14.2</v>
      </c>
      <c r="N228" s="6" t="n">
        <f aca="false">ROUND(M228/24,2)</f>
        <v>0.59</v>
      </c>
    </row>
    <row r="229" customFormat="false" ht="15" hidden="false" customHeight="true" outlineLevel="0" collapsed="false">
      <c r="A229" s="6" t="n">
        <v>1</v>
      </c>
      <c r="B229" s="6" t="s">
        <v>1784</v>
      </c>
      <c r="C229" s="6" t="s">
        <v>1281</v>
      </c>
      <c r="D229" s="6" t="str">
        <f aca="false">A229&amp;"|"&amp;C229</f>
        <v>1|Totem Warrior</v>
      </c>
      <c r="E229" s="6" t="s">
        <v>1558</v>
      </c>
      <c r="F229" s="6" t="s">
        <v>1548</v>
      </c>
      <c r="G229" s="6" t="str">
        <f aca="false">INDEX(Archetypes!$D$2:$D$127, MATCH(D229, Archetypes!$A$2:$A$127, 0))</f>
        <v>Elite Shock</v>
      </c>
      <c r="H229" s="6" t="n">
        <f aca="false">ROUND(INDEX(Archetypes!$E$2:$E$127, MATCH(D229, Archetypes!$A$2:$A$127, 0))*INDEX(Unit_Grades!$B$2:$B$7, MATCH(F229, Unit_Grades!$A$2:$A$7, 0))*INDEX(Unit_Paths!$B$2:$B$4, MATCH(E229, Unit_Paths!$A$2:$A$4, 0)),1)</f>
        <v>131</v>
      </c>
      <c r="I229" s="6" t="n">
        <f aca="false">ROUND(INDEX(Archetypes!$F$2:$F$127, MATCH(D229, Archetypes!$A$2:$A$127, 0))*INDEX(Unit_Grades!$B$2:$B$7, MATCH(F229, Unit_Grades!$A$2:$A$7, 0))*INDEX(Unit_Paths!$C$2:$C$4, MATCH(E229, Unit_Paths!$A$2:$A$4, 0)),1)</f>
        <v>57.1</v>
      </c>
      <c r="J229" s="6" t="n">
        <f aca="false">ROUND(INDEX(Archetypes!$G$2:$G$127, MATCH(D229, Archetypes!$A$2:$A$127, 0))*INDEX(Unit_Grades!$B$2:$B$7, MATCH(F229, Unit_Grades!$A$2:$A$7, 0))*INDEX(Unit_Paths!$D$2:$D$4, MATCH(E229, Unit_Paths!$A$2:$A$4, 0)),0)</f>
        <v>419</v>
      </c>
      <c r="K229" s="6" t="n">
        <f aca="false">ROUND(INDEX(Archetypes!$H$2:$H$127, MATCH(D229, Archetypes!$A$2:$A$127, 0))*INDEX(Unit_Paths!$E$2:$E$4, MATCH(E229, Unit_Paths!$A$2:$A$4, 0)),1)</f>
        <v>16.8</v>
      </c>
      <c r="L229" s="6" t="n">
        <f aca="false">ROUND(INDEX(Archetypes!$I$2:$I$127, MATCH(D229, Archetypes!$A$2:$A$127, 0))*INDEX(Unit_Grades!$C$2:$C$7, MATCH(F229, Unit_Grades!$A$2:$A$7, 0)),1)</f>
        <v>18.5</v>
      </c>
      <c r="M229" s="6" t="n">
        <f aca="false">ROUND(INDEX(Archetypes!$J$2:$J$127, MATCH(D229, Archetypes!$A$2:$A$127, 0))*INDEX(Unit_Grades!$D$2:$D$7, MATCH(F229, Unit_Grades!$A$2:$A$7, 0)),1)</f>
        <v>24.4</v>
      </c>
      <c r="N229" s="6" t="n">
        <f aca="false">ROUND(M229/24,2)</f>
        <v>1.02</v>
      </c>
    </row>
    <row r="230" customFormat="false" ht="15" hidden="false" customHeight="true" outlineLevel="0" collapsed="false">
      <c r="A230" s="6" t="n">
        <v>1</v>
      </c>
      <c r="B230" s="6" t="s">
        <v>1785</v>
      </c>
      <c r="C230" s="6" t="s">
        <v>1281</v>
      </c>
      <c r="D230" s="6" t="str">
        <f aca="false">A230&amp;"|"&amp;C230</f>
        <v>1|Totem Warrior</v>
      </c>
      <c r="E230" s="6" t="s">
        <v>1560</v>
      </c>
      <c r="F230" s="6" t="s">
        <v>1538</v>
      </c>
      <c r="G230" s="6" t="str">
        <f aca="false">INDEX(Archetypes!$D$2:$D$127, MATCH(D230, Archetypes!$A$2:$A$127, 0))</f>
        <v>Elite Shock</v>
      </c>
      <c r="H230" s="6" t="n">
        <f aca="false">ROUND(INDEX(Archetypes!$E$2:$E$127, MATCH(D230, Archetypes!$A$2:$A$127, 0))*INDEX(Unit_Grades!$B$2:$B$7, MATCH(F230, Unit_Grades!$A$2:$A$7, 0))*INDEX(Unit_Paths!$B$2:$B$4, MATCH(E230, Unit_Paths!$A$2:$A$4, 0)),1)</f>
        <v>22.1</v>
      </c>
      <c r="I230" s="6" t="n">
        <f aca="false">ROUND(INDEX(Archetypes!$F$2:$F$127, MATCH(D230, Archetypes!$A$2:$A$127, 0))*INDEX(Unit_Grades!$B$2:$B$7, MATCH(F230, Unit_Grades!$A$2:$A$7, 0))*INDEX(Unit_Paths!$C$2:$C$4, MATCH(E230, Unit_Paths!$A$2:$A$4, 0)),1)</f>
        <v>20</v>
      </c>
      <c r="J230" s="6" t="n">
        <f aca="false">ROUND(INDEX(Archetypes!$G$2:$G$127, MATCH(D230, Archetypes!$A$2:$A$127, 0))*INDEX(Unit_Grades!$B$2:$B$7, MATCH(F230, Unit_Grades!$A$2:$A$7, 0))*INDEX(Unit_Paths!$D$2:$D$4, MATCH(E230, Unit_Paths!$A$2:$A$4, 0)),0)</f>
        <v>121</v>
      </c>
      <c r="K230" s="6" t="n">
        <f aca="false">ROUND(INDEX(Archetypes!$H$2:$H$127, MATCH(D230, Archetypes!$A$2:$A$127, 0))*INDEX(Unit_Paths!$E$2:$E$4, MATCH(E230, Unit_Paths!$A$2:$A$4, 0)),1)</f>
        <v>14.7</v>
      </c>
      <c r="L230" s="6" t="n">
        <f aca="false">ROUND(INDEX(Archetypes!$I$2:$I$127, MATCH(D230, Archetypes!$A$2:$A$127, 0))*INDEX(Unit_Grades!$C$2:$C$7, MATCH(F230, Unit_Grades!$A$2:$A$7, 0)),1)</f>
        <v>5</v>
      </c>
      <c r="M230" s="6" t="n">
        <f aca="false">ROUND(INDEX(Archetypes!$J$2:$J$127, MATCH(D230, Archetypes!$A$2:$A$127, 0))*INDEX(Unit_Grades!$D$2:$D$7, MATCH(F230, Unit_Grades!$A$2:$A$7, 0)),1)</f>
        <v>2</v>
      </c>
      <c r="N230" s="6" t="n">
        <f aca="false">ROUND(M230/24,2)</f>
        <v>0.08</v>
      </c>
    </row>
    <row r="231" customFormat="false" ht="15" hidden="false" customHeight="true" outlineLevel="0" collapsed="false">
      <c r="A231" s="6" t="n">
        <v>1</v>
      </c>
      <c r="B231" s="6" t="s">
        <v>1786</v>
      </c>
      <c r="C231" s="6" t="s">
        <v>1281</v>
      </c>
      <c r="D231" s="6" t="str">
        <f aca="false">A231&amp;"|"&amp;C231</f>
        <v>1|Totem Warrior</v>
      </c>
      <c r="E231" s="6" t="s">
        <v>1560</v>
      </c>
      <c r="F231" s="6" t="s">
        <v>1540</v>
      </c>
      <c r="G231" s="6" t="str">
        <f aca="false">INDEX(Archetypes!$D$2:$D$127, MATCH(D231, Archetypes!$A$2:$A$127, 0))</f>
        <v>Elite Shock</v>
      </c>
      <c r="H231" s="6" t="n">
        <f aca="false">ROUND(INDEX(Archetypes!$E$2:$E$127, MATCH(D231, Archetypes!$A$2:$A$127, 0))*INDEX(Unit_Grades!$B$2:$B$7, MATCH(F231, Unit_Grades!$A$2:$A$7, 0))*INDEX(Unit_Paths!$B$2:$B$4, MATCH(E231, Unit_Paths!$A$2:$A$4, 0)),1)</f>
        <v>29.8</v>
      </c>
      <c r="I231" s="6" t="n">
        <f aca="false">ROUND(INDEX(Archetypes!$F$2:$F$127, MATCH(D231, Archetypes!$A$2:$A$127, 0))*INDEX(Unit_Grades!$B$2:$B$7, MATCH(F231, Unit_Grades!$A$2:$A$7, 0))*INDEX(Unit_Paths!$C$2:$C$4, MATCH(E231, Unit_Paths!$A$2:$A$4, 0)),1)</f>
        <v>27</v>
      </c>
      <c r="J231" s="6" t="n">
        <f aca="false">ROUND(INDEX(Archetypes!$G$2:$G$127, MATCH(D231, Archetypes!$A$2:$A$127, 0))*INDEX(Unit_Grades!$B$2:$B$7, MATCH(F231, Unit_Grades!$A$2:$A$7, 0))*INDEX(Unit_Paths!$D$2:$D$4, MATCH(E231, Unit_Paths!$A$2:$A$4, 0)),0)</f>
        <v>163</v>
      </c>
      <c r="K231" s="6" t="n">
        <f aca="false">ROUND(INDEX(Archetypes!$H$2:$H$127, MATCH(D231, Archetypes!$A$2:$A$127, 0))*INDEX(Unit_Paths!$E$2:$E$4, MATCH(E231, Unit_Paths!$A$2:$A$4, 0)),1)</f>
        <v>14.7</v>
      </c>
      <c r="L231" s="6" t="n">
        <f aca="false">ROUND(INDEX(Archetypes!$I$2:$I$127, MATCH(D231, Archetypes!$A$2:$A$127, 0))*INDEX(Unit_Grades!$C$2:$C$7, MATCH(F231, Unit_Grades!$A$2:$A$7, 0)),1)</f>
        <v>6.3</v>
      </c>
      <c r="M231" s="6" t="n">
        <f aca="false">ROUND(INDEX(Archetypes!$J$2:$J$127, MATCH(D231, Archetypes!$A$2:$A$127, 0))*INDEX(Unit_Grades!$D$2:$D$7, MATCH(F231, Unit_Grades!$A$2:$A$7, 0)),1)</f>
        <v>3</v>
      </c>
      <c r="N231" s="6" t="n">
        <f aca="false">ROUND(M231/24,2)</f>
        <v>0.13</v>
      </c>
    </row>
    <row r="232" customFormat="false" ht="15" hidden="false" customHeight="true" outlineLevel="0" collapsed="false">
      <c r="A232" s="6" t="n">
        <v>1</v>
      </c>
      <c r="B232" s="6" t="s">
        <v>1787</v>
      </c>
      <c r="C232" s="6" t="s">
        <v>1281</v>
      </c>
      <c r="D232" s="6" t="str">
        <f aca="false">A232&amp;"|"&amp;C232</f>
        <v>1|Totem Warrior</v>
      </c>
      <c r="E232" s="6" t="s">
        <v>1560</v>
      </c>
      <c r="F232" s="6" t="s">
        <v>1542</v>
      </c>
      <c r="G232" s="6" t="str">
        <f aca="false">INDEX(Archetypes!$D$2:$D$127, MATCH(D232, Archetypes!$A$2:$A$127, 0))</f>
        <v>Elite Shock</v>
      </c>
      <c r="H232" s="6" t="n">
        <f aca="false">ROUND(INDEX(Archetypes!$E$2:$E$127, MATCH(D232, Archetypes!$A$2:$A$127, 0))*INDEX(Unit_Grades!$B$2:$B$7, MATCH(F232, Unit_Grades!$A$2:$A$7, 0))*INDEX(Unit_Paths!$B$2:$B$4, MATCH(E232, Unit_Paths!$A$2:$A$4, 0)),1)</f>
        <v>39.8</v>
      </c>
      <c r="I232" s="6" t="n">
        <f aca="false">ROUND(INDEX(Archetypes!$F$2:$F$127, MATCH(D232, Archetypes!$A$2:$A$127, 0))*INDEX(Unit_Grades!$B$2:$B$7, MATCH(F232, Unit_Grades!$A$2:$A$7, 0))*INDEX(Unit_Paths!$C$2:$C$4, MATCH(E232, Unit_Paths!$A$2:$A$4, 0)),1)</f>
        <v>36</v>
      </c>
      <c r="J232" s="6" t="n">
        <f aca="false">ROUND(INDEX(Archetypes!$G$2:$G$127, MATCH(D232, Archetypes!$A$2:$A$127, 0))*INDEX(Unit_Grades!$B$2:$B$7, MATCH(F232, Unit_Grades!$A$2:$A$7, 0))*INDEX(Unit_Paths!$D$2:$D$4, MATCH(E232, Unit_Paths!$A$2:$A$4, 0)),0)</f>
        <v>217</v>
      </c>
      <c r="K232" s="6" t="n">
        <f aca="false">ROUND(INDEX(Archetypes!$H$2:$H$127, MATCH(D232, Archetypes!$A$2:$A$127, 0))*INDEX(Unit_Paths!$E$2:$E$4, MATCH(E232, Unit_Paths!$A$2:$A$4, 0)),1)</f>
        <v>14.7</v>
      </c>
      <c r="L232" s="6" t="n">
        <f aca="false">ROUND(INDEX(Archetypes!$I$2:$I$127, MATCH(D232, Archetypes!$A$2:$A$127, 0))*INDEX(Unit_Grades!$C$2:$C$7, MATCH(F232, Unit_Grades!$A$2:$A$7, 0)),1)</f>
        <v>8</v>
      </c>
      <c r="M232" s="6" t="n">
        <f aca="false">ROUND(INDEX(Archetypes!$J$2:$J$127, MATCH(D232, Archetypes!$A$2:$A$127, 0))*INDEX(Unit_Grades!$D$2:$D$7, MATCH(F232, Unit_Grades!$A$2:$A$7, 0)),1)</f>
        <v>5.1</v>
      </c>
      <c r="N232" s="6" t="n">
        <f aca="false">ROUND(M232/24,2)</f>
        <v>0.21</v>
      </c>
    </row>
    <row r="233" customFormat="false" ht="15" hidden="false" customHeight="true" outlineLevel="0" collapsed="false">
      <c r="A233" s="6" t="n">
        <v>1</v>
      </c>
      <c r="B233" s="6" t="s">
        <v>1788</v>
      </c>
      <c r="C233" s="6" t="s">
        <v>1281</v>
      </c>
      <c r="D233" s="6" t="str">
        <f aca="false">A233&amp;"|"&amp;C233</f>
        <v>1|Totem Warrior</v>
      </c>
      <c r="E233" s="6" t="s">
        <v>1560</v>
      </c>
      <c r="F233" s="6" t="s">
        <v>1544</v>
      </c>
      <c r="G233" s="6" t="str">
        <f aca="false">INDEX(Archetypes!$D$2:$D$127, MATCH(D233, Archetypes!$A$2:$A$127, 0))</f>
        <v>Elite Shock</v>
      </c>
      <c r="H233" s="6" t="n">
        <f aca="false">ROUND(INDEX(Archetypes!$E$2:$E$127, MATCH(D233, Archetypes!$A$2:$A$127, 0))*INDEX(Unit_Grades!$B$2:$B$7, MATCH(F233, Unit_Grades!$A$2:$A$7, 0))*INDEX(Unit_Paths!$B$2:$B$4, MATCH(E233, Unit_Paths!$A$2:$A$4, 0)),1)</f>
        <v>53</v>
      </c>
      <c r="I233" s="6" t="n">
        <f aca="false">ROUND(INDEX(Archetypes!$F$2:$F$127, MATCH(D233, Archetypes!$A$2:$A$127, 0))*INDEX(Unit_Grades!$B$2:$B$7, MATCH(F233, Unit_Grades!$A$2:$A$7, 0))*INDEX(Unit_Paths!$C$2:$C$4, MATCH(E233, Unit_Paths!$A$2:$A$4, 0)),1)</f>
        <v>48</v>
      </c>
      <c r="J233" s="6" t="n">
        <f aca="false">ROUND(INDEX(Archetypes!$G$2:$G$127, MATCH(D233, Archetypes!$A$2:$A$127, 0))*INDEX(Unit_Grades!$B$2:$B$7, MATCH(F233, Unit_Grades!$A$2:$A$7, 0))*INDEX(Unit_Paths!$D$2:$D$4, MATCH(E233, Unit_Paths!$A$2:$A$4, 0)),0)</f>
        <v>290</v>
      </c>
      <c r="K233" s="6" t="n">
        <f aca="false">ROUND(INDEX(Archetypes!$H$2:$H$127, MATCH(D233, Archetypes!$A$2:$A$127, 0))*INDEX(Unit_Paths!$E$2:$E$4, MATCH(E233, Unit_Paths!$A$2:$A$4, 0)),1)</f>
        <v>14.7</v>
      </c>
      <c r="L233" s="6" t="n">
        <f aca="false">ROUND(INDEX(Archetypes!$I$2:$I$127, MATCH(D233, Archetypes!$A$2:$A$127, 0))*INDEX(Unit_Grades!$C$2:$C$7, MATCH(F233, Unit_Grades!$A$2:$A$7, 0)),1)</f>
        <v>10.5</v>
      </c>
      <c r="M233" s="6" t="n">
        <f aca="false">ROUND(INDEX(Archetypes!$J$2:$J$127, MATCH(D233, Archetypes!$A$2:$A$127, 0))*INDEX(Unit_Grades!$D$2:$D$7, MATCH(F233, Unit_Grades!$A$2:$A$7, 0)),1)</f>
        <v>8.1</v>
      </c>
      <c r="N233" s="6" t="n">
        <f aca="false">ROUND(M233/24,2)</f>
        <v>0.34</v>
      </c>
    </row>
    <row r="234" customFormat="false" ht="15" hidden="false" customHeight="true" outlineLevel="0" collapsed="false">
      <c r="A234" s="6" t="n">
        <v>1</v>
      </c>
      <c r="B234" s="6" t="s">
        <v>1789</v>
      </c>
      <c r="C234" s="6" t="s">
        <v>1281</v>
      </c>
      <c r="D234" s="6" t="str">
        <f aca="false">A234&amp;"|"&amp;C234</f>
        <v>1|Totem Warrior</v>
      </c>
      <c r="E234" s="6" t="s">
        <v>1560</v>
      </c>
      <c r="F234" s="6" t="s">
        <v>1546</v>
      </c>
      <c r="G234" s="6" t="str">
        <f aca="false">INDEX(Archetypes!$D$2:$D$127, MATCH(D234, Archetypes!$A$2:$A$127, 0))</f>
        <v>Elite Shock</v>
      </c>
      <c r="H234" s="6" t="n">
        <f aca="false">ROUND(INDEX(Archetypes!$E$2:$E$127, MATCH(D234, Archetypes!$A$2:$A$127, 0))*INDEX(Unit_Grades!$B$2:$B$7, MATCH(F234, Unit_Grades!$A$2:$A$7, 0))*INDEX(Unit_Paths!$B$2:$B$4, MATCH(E234, Unit_Paths!$A$2:$A$4, 0)),1)</f>
        <v>70.7</v>
      </c>
      <c r="I234" s="6" t="n">
        <f aca="false">ROUND(INDEX(Archetypes!$F$2:$F$127, MATCH(D234, Archetypes!$A$2:$A$127, 0))*INDEX(Unit_Grades!$B$2:$B$7, MATCH(F234, Unit_Grades!$A$2:$A$7, 0))*INDEX(Unit_Paths!$C$2:$C$4, MATCH(E234, Unit_Paths!$A$2:$A$4, 0)),1)</f>
        <v>64</v>
      </c>
      <c r="J234" s="6" t="n">
        <f aca="false">ROUND(INDEX(Archetypes!$G$2:$G$127, MATCH(D234, Archetypes!$A$2:$A$127, 0))*INDEX(Unit_Grades!$B$2:$B$7, MATCH(F234, Unit_Grades!$A$2:$A$7, 0))*INDEX(Unit_Paths!$D$2:$D$4, MATCH(E234, Unit_Paths!$A$2:$A$4, 0)),0)</f>
        <v>386</v>
      </c>
      <c r="K234" s="6" t="n">
        <f aca="false">ROUND(INDEX(Archetypes!$H$2:$H$127, MATCH(D234, Archetypes!$A$2:$A$127, 0))*INDEX(Unit_Paths!$E$2:$E$4, MATCH(E234, Unit_Paths!$A$2:$A$4, 0)),1)</f>
        <v>14.7</v>
      </c>
      <c r="L234" s="6" t="n">
        <f aca="false">ROUND(INDEX(Archetypes!$I$2:$I$127, MATCH(D234, Archetypes!$A$2:$A$127, 0))*INDEX(Unit_Grades!$C$2:$C$7, MATCH(F234, Unit_Grades!$A$2:$A$7, 0)),1)</f>
        <v>14</v>
      </c>
      <c r="M234" s="6" t="n">
        <f aca="false">ROUND(INDEX(Archetypes!$J$2:$J$127, MATCH(D234, Archetypes!$A$2:$A$127, 0))*INDEX(Unit_Grades!$D$2:$D$7, MATCH(F234, Unit_Grades!$A$2:$A$7, 0)),1)</f>
        <v>14.2</v>
      </c>
      <c r="N234" s="6" t="n">
        <f aca="false">ROUND(M234/24,2)</f>
        <v>0.59</v>
      </c>
    </row>
    <row r="235" customFormat="false" ht="15" hidden="false" customHeight="true" outlineLevel="0" collapsed="false">
      <c r="A235" s="6" t="n">
        <v>1</v>
      </c>
      <c r="B235" s="6" t="s">
        <v>1790</v>
      </c>
      <c r="C235" s="6" t="s">
        <v>1281</v>
      </c>
      <c r="D235" s="6" t="str">
        <f aca="false">A235&amp;"|"&amp;C235</f>
        <v>1|Totem Warrior</v>
      </c>
      <c r="E235" s="6" t="s">
        <v>1560</v>
      </c>
      <c r="F235" s="6" t="s">
        <v>1548</v>
      </c>
      <c r="G235" s="6" t="str">
        <f aca="false">INDEX(Archetypes!$D$2:$D$127, MATCH(D235, Archetypes!$A$2:$A$127, 0))</f>
        <v>Elite Shock</v>
      </c>
      <c r="H235" s="6" t="n">
        <f aca="false">ROUND(INDEX(Archetypes!$E$2:$E$127, MATCH(D235, Archetypes!$A$2:$A$127, 0))*INDEX(Unit_Grades!$B$2:$B$7, MATCH(F235, Unit_Grades!$A$2:$A$7, 0))*INDEX(Unit_Paths!$B$2:$B$4, MATCH(E235, Unit_Paths!$A$2:$A$4, 0)),1)</f>
        <v>92.8</v>
      </c>
      <c r="I235" s="6" t="n">
        <f aca="false">ROUND(INDEX(Archetypes!$F$2:$F$127, MATCH(D235, Archetypes!$A$2:$A$127, 0))*INDEX(Unit_Grades!$B$2:$B$7, MATCH(F235, Unit_Grades!$A$2:$A$7, 0))*INDEX(Unit_Paths!$C$2:$C$4, MATCH(E235, Unit_Paths!$A$2:$A$4, 0)),1)</f>
        <v>84</v>
      </c>
      <c r="J235" s="6" t="n">
        <f aca="false">ROUND(INDEX(Archetypes!$G$2:$G$127, MATCH(D235, Archetypes!$A$2:$A$127, 0))*INDEX(Unit_Grades!$B$2:$B$7, MATCH(F235, Unit_Grades!$A$2:$A$7, 0))*INDEX(Unit_Paths!$D$2:$D$4, MATCH(E235, Unit_Paths!$A$2:$A$4, 0)),0)</f>
        <v>507</v>
      </c>
      <c r="K235" s="6" t="n">
        <f aca="false">ROUND(INDEX(Archetypes!$H$2:$H$127, MATCH(D235, Archetypes!$A$2:$A$127, 0))*INDEX(Unit_Paths!$E$2:$E$4, MATCH(E235, Unit_Paths!$A$2:$A$4, 0)),1)</f>
        <v>14.7</v>
      </c>
      <c r="L235" s="6" t="n">
        <f aca="false">ROUND(INDEX(Archetypes!$I$2:$I$127, MATCH(D235, Archetypes!$A$2:$A$127, 0))*INDEX(Unit_Grades!$C$2:$C$7, MATCH(F235, Unit_Grades!$A$2:$A$7, 0)),1)</f>
        <v>18.5</v>
      </c>
      <c r="M235" s="6" t="n">
        <f aca="false">ROUND(INDEX(Archetypes!$J$2:$J$127, MATCH(D235, Archetypes!$A$2:$A$127, 0))*INDEX(Unit_Grades!$D$2:$D$7, MATCH(F235, Unit_Grades!$A$2:$A$7, 0)),1)</f>
        <v>24.4</v>
      </c>
      <c r="N235" s="6" t="n">
        <f aca="false">ROUND(M235/24,2)</f>
        <v>1.02</v>
      </c>
    </row>
    <row r="236" customFormat="false" ht="15" hidden="false" customHeight="true" outlineLevel="0" collapsed="false">
      <c r="A236" s="6" t="n">
        <v>1</v>
      </c>
      <c r="B236" s="6" t="s">
        <v>1283</v>
      </c>
      <c r="C236" s="6" t="s">
        <v>1283</v>
      </c>
      <c r="D236" s="6" t="str">
        <f aca="false">A236&amp;"|"&amp;C236</f>
        <v>1|Stone Thrower</v>
      </c>
      <c r="E236" s="6" t="s">
        <v>1556</v>
      </c>
      <c r="F236" s="6" t="s">
        <v>1538</v>
      </c>
      <c r="G236" s="6" t="str">
        <f aca="false">INDEX(Archetypes!$D$2:$D$127, MATCH(D236, Archetypes!$A$2:$A$127, 0))</f>
        <v>Siege</v>
      </c>
      <c r="H236" s="6" t="n">
        <f aca="false">ROUND(INDEX(Archetypes!$E$2:$E$127, MATCH(D236, Archetypes!$A$2:$A$127, 0))*INDEX(Unit_Grades!$B$2:$B$7, MATCH(F236, Unit_Grades!$A$2:$A$7, 0))*INDEX(Unit_Paths!$B$2:$B$4, MATCH(E236, Unit_Paths!$A$2:$A$4, 0)),1)</f>
        <v>20</v>
      </c>
      <c r="I236" s="6" t="n">
        <f aca="false">ROUND(INDEX(Archetypes!$F$2:$F$127, MATCH(D236, Archetypes!$A$2:$A$127, 0))*INDEX(Unit_Grades!$B$2:$B$7, MATCH(F236, Unit_Grades!$A$2:$A$7, 0))*INDEX(Unit_Paths!$C$2:$C$4, MATCH(E236, Unit_Paths!$A$2:$A$4, 0)),1)</f>
        <v>4</v>
      </c>
      <c r="J236" s="6" t="n">
        <f aca="false">ROUND(INDEX(Archetypes!$G$2:$G$127, MATCH(D236, Archetypes!$A$2:$A$127, 0))*INDEX(Unit_Grades!$B$2:$B$7, MATCH(F236, Unit_Grades!$A$2:$A$7, 0))*INDEX(Unit_Paths!$D$2:$D$4, MATCH(E236, Unit_Paths!$A$2:$A$4, 0)),0)</f>
        <v>60</v>
      </c>
      <c r="K236" s="6" t="n">
        <f aca="false">ROUND(INDEX(Archetypes!$H$2:$H$127, MATCH(D236, Archetypes!$A$2:$A$127, 0))*INDEX(Unit_Paths!$E$2:$E$4, MATCH(E236, Unit_Paths!$A$2:$A$4, 0)),1)</f>
        <v>8</v>
      </c>
      <c r="L236" s="6" t="n">
        <f aca="false">ROUND(INDEX(Archetypes!$I$2:$I$127, MATCH(D236, Archetypes!$A$2:$A$127, 0))*INDEX(Unit_Grades!$C$2:$C$7, MATCH(F236, Unit_Grades!$A$2:$A$7, 0)),1)</f>
        <v>4</v>
      </c>
      <c r="M236" s="6" t="n">
        <f aca="false">ROUND(INDEX(Archetypes!$J$2:$J$127, MATCH(D236, Archetypes!$A$2:$A$127, 0))*INDEX(Unit_Grades!$D$2:$D$7, MATCH(F236, Unit_Grades!$A$2:$A$7, 0)),1)</f>
        <v>1.6</v>
      </c>
      <c r="N236" s="6" t="n">
        <f aca="false">ROUND(M236/24,2)</f>
        <v>0.07</v>
      </c>
    </row>
    <row r="237" customFormat="false" ht="15" hidden="false" customHeight="true" outlineLevel="0" collapsed="false">
      <c r="A237" s="6" t="n">
        <v>1</v>
      </c>
      <c r="B237" s="6" t="s">
        <v>1791</v>
      </c>
      <c r="C237" s="6" t="s">
        <v>1283</v>
      </c>
      <c r="D237" s="6" t="str">
        <f aca="false">A237&amp;"|"&amp;C237</f>
        <v>1|Stone Thrower</v>
      </c>
      <c r="E237" s="6" t="s">
        <v>1556</v>
      </c>
      <c r="F237" s="6" t="s">
        <v>1540</v>
      </c>
      <c r="G237" s="6" t="str">
        <f aca="false">INDEX(Archetypes!$D$2:$D$127, MATCH(D237, Archetypes!$A$2:$A$127, 0))</f>
        <v>Siege</v>
      </c>
      <c r="H237" s="6" t="n">
        <f aca="false">ROUND(INDEX(Archetypes!$E$2:$E$127, MATCH(D237, Archetypes!$A$2:$A$127, 0))*INDEX(Unit_Grades!$B$2:$B$7, MATCH(F237, Unit_Grades!$A$2:$A$7, 0))*INDEX(Unit_Paths!$B$2:$B$4, MATCH(E237, Unit_Paths!$A$2:$A$4, 0)),1)</f>
        <v>27</v>
      </c>
      <c r="I237" s="6" t="n">
        <f aca="false">ROUND(INDEX(Archetypes!$F$2:$F$127, MATCH(D237, Archetypes!$A$2:$A$127, 0))*INDEX(Unit_Grades!$B$2:$B$7, MATCH(F237, Unit_Grades!$A$2:$A$7, 0))*INDEX(Unit_Paths!$C$2:$C$4, MATCH(E237, Unit_Paths!$A$2:$A$4, 0)),1)</f>
        <v>5.4</v>
      </c>
      <c r="J237" s="6" t="n">
        <f aca="false">ROUND(INDEX(Archetypes!$G$2:$G$127, MATCH(D237, Archetypes!$A$2:$A$127, 0))*INDEX(Unit_Grades!$B$2:$B$7, MATCH(F237, Unit_Grades!$A$2:$A$7, 0))*INDEX(Unit_Paths!$D$2:$D$4, MATCH(E237, Unit_Paths!$A$2:$A$4, 0)),0)</f>
        <v>81</v>
      </c>
      <c r="K237" s="6" t="n">
        <f aca="false">ROUND(INDEX(Archetypes!$H$2:$H$127, MATCH(D237, Archetypes!$A$2:$A$127, 0))*INDEX(Unit_Paths!$E$2:$E$4, MATCH(E237, Unit_Paths!$A$2:$A$4, 0)),1)</f>
        <v>8</v>
      </c>
      <c r="L237" s="6" t="n">
        <f aca="false">ROUND(INDEX(Archetypes!$I$2:$I$127, MATCH(D237, Archetypes!$A$2:$A$127, 0))*INDEX(Unit_Grades!$C$2:$C$7, MATCH(F237, Unit_Grades!$A$2:$A$7, 0)),1)</f>
        <v>5</v>
      </c>
      <c r="M237" s="6" t="n">
        <f aca="false">ROUND(INDEX(Archetypes!$J$2:$J$127, MATCH(D237, Archetypes!$A$2:$A$127, 0))*INDEX(Unit_Grades!$D$2:$D$7, MATCH(F237, Unit_Grades!$A$2:$A$7, 0)),1)</f>
        <v>2.4</v>
      </c>
      <c r="N237" s="6" t="n">
        <f aca="false">ROUND(M237/24,2)</f>
        <v>0.1</v>
      </c>
    </row>
    <row r="238" customFormat="false" ht="15" hidden="false" customHeight="true" outlineLevel="0" collapsed="false">
      <c r="A238" s="6" t="n">
        <v>1</v>
      </c>
      <c r="B238" s="6" t="s">
        <v>1792</v>
      </c>
      <c r="C238" s="6" t="s">
        <v>1283</v>
      </c>
      <c r="D238" s="6" t="str">
        <f aca="false">A238&amp;"|"&amp;C238</f>
        <v>1|Stone Thrower</v>
      </c>
      <c r="E238" s="6" t="s">
        <v>1556</v>
      </c>
      <c r="F238" s="6" t="s">
        <v>1542</v>
      </c>
      <c r="G238" s="6" t="str">
        <f aca="false">INDEX(Archetypes!$D$2:$D$127, MATCH(D238, Archetypes!$A$2:$A$127, 0))</f>
        <v>Siege</v>
      </c>
      <c r="H238" s="6" t="n">
        <f aca="false">ROUND(INDEX(Archetypes!$E$2:$E$127, MATCH(D238, Archetypes!$A$2:$A$127, 0))*INDEX(Unit_Grades!$B$2:$B$7, MATCH(F238, Unit_Grades!$A$2:$A$7, 0))*INDEX(Unit_Paths!$B$2:$B$4, MATCH(E238, Unit_Paths!$A$2:$A$4, 0)),1)</f>
        <v>36</v>
      </c>
      <c r="I238" s="6" t="n">
        <f aca="false">ROUND(INDEX(Archetypes!$F$2:$F$127, MATCH(D238, Archetypes!$A$2:$A$127, 0))*INDEX(Unit_Grades!$B$2:$B$7, MATCH(F238, Unit_Grades!$A$2:$A$7, 0))*INDEX(Unit_Paths!$C$2:$C$4, MATCH(E238, Unit_Paths!$A$2:$A$4, 0)),1)</f>
        <v>7.2</v>
      </c>
      <c r="J238" s="6" t="n">
        <f aca="false">ROUND(INDEX(Archetypes!$G$2:$G$127, MATCH(D238, Archetypes!$A$2:$A$127, 0))*INDEX(Unit_Grades!$B$2:$B$7, MATCH(F238, Unit_Grades!$A$2:$A$7, 0))*INDEX(Unit_Paths!$D$2:$D$4, MATCH(E238, Unit_Paths!$A$2:$A$4, 0)),0)</f>
        <v>108</v>
      </c>
      <c r="K238" s="6" t="n">
        <f aca="false">ROUND(INDEX(Archetypes!$H$2:$H$127, MATCH(D238, Archetypes!$A$2:$A$127, 0))*INDEX(Unit_Paths!$E$2:$E$4, MATCH(E238, Unit_Paths!$A$2:$A$4, 0)),1)</f>
        <v>8</v>
      </c>
      <c r="L238" s="6" t="n">
        <f aca="false">ROUND(INDEX(Archetypes!$I$2:$I$127, MATCH(D238, Archetypes!$A$2:$A$127, 0))*INDEX(Unit_Grades!$C$2:$C$7, MATCH(F238, Unit_Grades!$A$2:$A$7, 0)),1)</f>
        <v>6.4</v>
      </c>
      <c r="M238" s="6" t="n">
        <f aca="false">ROUND(INDEX(Archetypes!$J$2:$J$127, MATCH(D238, Archetypes!$A$2:$A$127, 0))*INDEX(Unit_Grades!$D$2:$D$7, MATCH(F238, Unit_Grades!$A$2:$A$7, 0)),1)</f>
        <v>4.1</v>
      </c>
      <c r="N238" s="6" t="n">
        <f aca="false">ROUND(M238/24,2)</f>
        <v>0.17</v>
      </c>
    </row>
    <row r="239" customFormat="false" ht="15" hidden="false" customHeight="true" outlineLevel="0" collapsed="false">
      <c r="A239" s="6" t="n">
        <v>1</v>
      </c>
      <c r="B239" s="6" t="s">
        <v>1793</v>
      </c>
      <c r="C239" s="6" t="s">
        <v>1283</v>
      </c>
      <c r="D239" s="6" t="str">
        <f aca="false">A239&amp;"|"&amp;C239</f>
        <v>1|Stone Thrower</v>
      </c>
      <c r="E239" s="6" t="s">
        <v>1556</v>
      </c>
      <c r="F239" s="6" t="s">
        <v>1544</v>
      </c>
      <c r="G239" s="6" t="str">
        <f aca="false">INDEX(Archetypes!$D$2:$D$127, MATCH(D239, Archetypes!$A$2:$A$127, 0))</f>
        <v>Siege</v>
      </c>
      <c r="H239" s="6" t="n">
        <f aca="false">ROUND(INDEX(Archetypes!$E$2:$E$127, MATCH(D239, Archetypes!$A$2:$A$127, 0))*INDEX(Unit_Grades!$B$2:$B$7, MATCH(F239, Unit_Grades!$A$2:$A$7, 0))*INDEX(Unit_Paths!$B$2:$B$4, MATCH(E239, Unit_Paths!$A$2:$A$4, 0)),1)</f>
        <v>48</v>
      </c>
      <c r="I239" s="6" t="n">
        <f aca="false">ROUND(INDEX(Archetypes!$F$2:$F$127, MATCH(D239, Archetypes!$A$2:$A$127, 0))*INDEX(Unit_Grades!$B$2:$B$7, MATCH(F239, Unit_Grades!$A$2:$A$7, 0))*INDEX(Unit_Paths!$C$2:$C$4, MATCH(E239, Unit_Paths!$A$2:$A$4, 0)),1)</f>
        <v>9.6</v>
      </c>
      <c r="J239" s="6" t="n">
        <f aca="false">ROUND(INDEX(Archetypes!$G$2:$G$127, MATCH(D239, Archetypes!$A$2:$A$127, 0))*INDEX(Unit_Grades!$B$2:$B$7, MATCH(F239, Unit_Grades!$A$2:$A$7, 0))*INDEX(Unit_Paths!$D$2:$D$4, MATCH(E239, Unit_Paths!$A$2:$A$4, 0)),0)</f>
        <v>144</v>
      </c>
      <c r="K239" s="6" t="n">
        <f aca="false">ROUND(INDEX(Archetypes!$H$2:$H$127, MATCH(D239, Archetypes!$A$2:$A$127, 0))*INDEX(Unit_Paths!$E$2:$E$4, MATCH(E239, Unit_Paths!$A$2:$A$4, 0)),1)</f>
        <v>8</v>
      </c>
      <c r="L239" s="6" t="n">
        <f aca="false">ROUND(INDEX(Archetypes!$I$2:$I$127, MATCH(D239, Archetypes!$A$2:$A$127, 0))*INDEX(Unit_Grades!$C$2:$C$7, MATCH(F239, Unit_Grades!$A$2:$A$7, 0)),1)</f>
        <v>8.4</v>
      </c>
      <c r="M239" s="6" t="n">
        <f aca="false">ROUND(INDEX(Archetypes!$J$2:$J$127, MATCH(D239, Archetypes!$A$2:$A$127, 0))*INDEX(Unit_Grades!$D$2:$D$7, MATCH(F239, Unit_Grades!$A$2:$A$7, 0)),1)</f>
        <v>6.5</v>
      </c>
      <c r="N239" s="6" t="n">
        <f aca="false">ROUND(M239/24,2)</f>
        <v>0.27</v>
      </c>
    </row>
    <row r="240" customFormat="false" ht="15" hidden="false" customHeight="true" outlineLevel="0" collapsed="false">
      <c r="A240" s="6" t="n">
        <v>1</v>
      </c>
      <c r="B240" s="6" t="s">
        <v>1794</v>
      </c>
      <c r="C240" s="6" t="s">
        <v>1283</v>
      </c>
      <c r="D240" s="6" t="str">
        <f aca="false">A240&amp;"|"&amp;C240</f>
        <v>1|Stone Thrower</v>
      </c>
      <c r="E240" s="6" t="s">
        <v>1556</v>
      </c>
      <c r="F240" s="6" t="s">
        <v>1546</v>
      </c>
      <c r="G240" s="6" t="str">
        <f aca="false">INDEX(Archetypes!$D$2:$D$127, MATCH(D240, Archetypes!$A$2:$A$127, 0))</f>
        <v>Siege</v>
      </c>
      <c r="H240" s="6" t="n">
        <f aca="false">ROUND(INDEX(Archetypes!$E$2:$E$127, MATCH(D240, Archetypes!$A$2:$A$127, 0))*INDEX(Unit_Grades!$B$2:$B$7, MATCH(F240, Unit_Grades!$A$2:$A$7, 0))*INDEX(Unit_Paths!$B$2:$B$4, MATCH(E240, Unit_Paths!$A$2:$A$4, 0)),1)</f>
        <v>64</v>
      </c>
      <c r="I240" s="6" t="n">
        <f aca="false">ROUND(INDEX(Archetypes!$F$2:$F$127, MATCH(D240, Archetypes!$A$2:$A$127, 0))*INDEX(Unit_Grades!$B$2:$B$7, MATCH(F240, Unit_Grades!$A$2:$A$7, 0))*INDEX(Unit_Paths!$C$2:$C$4, MATCH(E240, Unit_Paths!$A$2:$A$4, 0)),1)</f>
        <v>12.8</v>
      </c>
      <c r="J240" s="6" t="n">
        <f aca="false">ROUND(INDEX(Archetypes!$G$2:$G$127, MATCH(D240, Archetypes!$A$2:$A$127, 0))*INDEX(Unit_Grades!$B$2:$B$7, MATCH(F240, Unit_Grades!$A$2:$A$7, 0))*INDEX(Unit_Paths!$D$2:$D$4, MATCH(E240, Unit_Paths!$A$2:$A$4, 0)),0)</f>
        <v>192</v>
      </c>
      <c r="K240" s="6" t="n">
        <f aca="false">ROUND(INDEX(Archetypes!$H$2:$H$127, MATCH(D240, Archetypes!$A$2:$A$127, 0))*INDEX(Unit_Paths!$E$2:$E$4, MATCH(E240, Unit_Paths!$A$2:$A$4, 0)),1)</f>
        <v>8</v>
      </c>
      <c r="L240" s="6" t="n">
        <f aca="false">ROUND(INDEX(Archetypes!$I$2:$I$127, MATCH(D240, Archetypes!$A$2:$A$127, 0))*INDEX(Unit_Grades!$C$2:$C$7, MATCH(F240, Unit_Grades!$A$2:$A$7, 0)),1)</f>
        <v>11.2</v>
      </c>
      <c r="M240" s="6" t="n">
        <f aca="false">ROUND(INDEX(Archetypes!$J$2:$J$127, MATCH(D240, Archetypes!$A$2:$A$127, 0))*INDEX(Unit_Grades!$D$2:$D$7, MATCH(F240, Unit_Grades!$A$2:$A$7, 0)),1)</f>
        <v>11.3</v>
      </c>
      <c r="N240" s="6" t="n">
        <f aca="false">ROUND(M240/24,2)</f>
        <v>0.47</v>
      </c>
    </row>
    <row r="241" customFormat="false" ht="15" hidden="false" customHeight="true" outlineLevel="0" collapsed="false">
      <c r="A241" s="6" t="n">
        <v>1</v>
      </c>
      <c r="B241" s="6" t="s">
        <v>1795</v>
      </c>
      <c r="C241" s="6" t="s">
        <v>1283</v>
      </c>
      <c r="D241" s="6" t="str">
        <f aca="false">A241&amp;"|"&amp;C241</f>
        <v>1|Stone Thrower</v>
      </c>
      <c r="E241" s="6" t="s">
        <v>1556</v>
      </c>
      <c r="F241" s="6" t="s">
        <v>1548</v>
      </c>
      <c r="G241" s="6" t="str">
        <f aca="false">INDEX(Archetypes!$D$2:$D$127, MATCH(D241, Archetypes!$A$2:$A$127, 0))</f>
        <v>Siege</v>
      </c>
      <c r="H241" s="6" t="n">
        <f aca="false">ROUND(INDEX(Archetypes!$E$2:$E$127, MATCH(D241, Archetypes!$A$2:$A$127, 0))*INDEX(Unit_Grades!$B$2:$B$7, MATCH(F241, Unit_Grades!$A$2:$A$7, 0))*INDEX(Unit_Paths!$B$2:$B$4, MATCH(E241, Unit_Paths!$A$2:$A$4, 0)),1)</f>
        <v>84</v>
      </c>
      <c r="I241" s="6" t="n">
        <f aca="false">ROUND(INDEX(Archetypes!$F$2:$F$127, MATCH(D241, Archetypes!$A$2:$A$127, 0))*INDEX(Unit_Grades!$B$2:$B$7, MATCH(F241, Unit_Grades!$A$2:$A$7, 0))*INDEX(Unit_Paths!$C$2:$C$4, MATCH(E241, Unit_Paths!$A$2:$A$4, 0)),1)</f>
        <v>16.8</v>
      </c>
      <c r="J241" s="6" t="n">
        <f aca="false">ROUND(INDEX(Archetypes!$G$2:$G$127, MATCH(D241, Archetypes!$A$2:$A$127, 0))*INDEX(Unit_Grades!$B$2:$B$7, MATCH(F241, Unit_Grades!$A$2:$A$7, 0))*INDEX(Unit_Paths!$D$2:$D$4, MATCH(E241, Unit_Paths!$A$2:$A$4, 0)),0)</f>
        <v>252</v>
      </c>
      <c r="K241" s="6" t="n">
        <f aca="false">ROUND(INDEX(Archetypes!$H$2:$H$127, MATCH(D241, Archetypes!$A$2:$A$127, 0))*INDEX(Unit_Paths!$E$2:$E$4, MATCH(E241, Unit_Paths!$A$2:$A$4, 0)),1)</f>
        <v>8</v>
      </c>
      <c r="L241" s="6" t="n">
        <f aca="false">ROUND(INDEX(Archetypes!$I$2:$I$127, MATCH(D241, Archetypes!$A$2:$A$127, 0))*INDEX(Unit_Grades!$C$2:$C$7, MATCH(F241, Unit_Grades!$A$2:$A$7, 0)),1)</f>
        <v>14.8</v>
      </c>
      <c r="M241" s="6" t="n">
        <f aca="false">ROUND(INDEX(Archetypes!$J$2:$J$127, MATCH(D241, Archetypes!$A$2:$A$127, 0))*INDEX(Unit_Grades!$D$2:$D$7, MATCH(F241, Unit_Grades!$A$2:$A$7, 0)),1)</f>
        <v>19.4</v>
      </c>
      <c r="N241" s="6" t="n">
        <f aca="false">ROUND(M241/24,2)</f>
        <v>0.81</v>
      </c>
    </row>
    <row r="242" customFormat="false" ht="15" hidden="false" customHeight="true" outlineLevel="0" collapsed="false">
      <c r="A242" s="6" t="n">
        <v>1</v>
      </c>
      <c r="B242" s="6" t="s">
        <v>1796</v>
      </c>
      <c r="C242" s="6" t="s">
        <v>1283</v>
      </c>
      <c r="D242" s="6" t="str">
        <f aca="false">A242&amp;"|"&amp;C242</f>
        <v>1|Stone Thrower</v>
      </c>
      <c r="E242" s="6" t="s">
        <v>1558</v>
      </c>
      <c r="F242" s="6" t="s">
        <v>1538</v>
      </c>
      <c r="G242" s="6" t="str">
        <f aca="false">INDEX(Archetypes!$D$2:$D$127, MATCH(D242, Archetypes!$A$2:$A$127, 0))</f>
        <v>Siege</v>
      </c>
      <c r="H242" s="6" t="n">
        <f aca="false">ROUND(INDEX(Archetypes!$E$2:$E$127, MATCH(D242, Archetypes!$A$2:$A$127, 0))*INDEX(Unit_Grades!$B$2:$B$7, MATCH(F242, Unit_Grades!$A$2:$A$7, 0))*INDEX(Unit_Paths!$B$2:$B$4, MATCH(E242, Unit_Paths!$A$2:$A$4, 0)),1)</f>
        <v>24</v>
      </c>
      <c r="I242" s="6" t="n">
        <f aca="false">ROUND(INDEX(Archetypes!$F$2:$F$127, MATCH(D242, Archetypes!$A$2:$A$127, 0))*INDEX(Unit_Grades!$B$2:$B$7, MATCH(F242, Unit_Grades!$A$2:$A$7, 0))*INDEX(Unit_Paths!$C$2:$C$4, MATCH(E242, Unit_Paths!$A$2:$A$4, 0)),1)</f>
        <v>3.4</v>
      </c>
      <c r="J242" s="6" t="n">
        <f aca="false">ROUND(INDEX(Archetypes!$G$2:$G$127, MATCH(D242, Archetypes!$A$2:$A$127, 0))*INDEX(Unit_Grades!$B$2:$B$7, MATCH(F242, Unit_Grades!$A$2:$A$7, 0))*INDEX(Unit_Paths!$D$2:$D$4, MATCH(E242, Unit_Paths!$A$2:$A$4, 0)),0)</f>
        <v>57</v>
      </c>
      <c r="K242" s="6" t="n">
        <f aca="false">ROUND(INDEX(Archetypes!$H$2:$H$127, MATCH(D242, Archetypes!$A$2:$A$127, 0))*INDEX(Unit_Paths!$E$2:$E$4, MATCH(E242, Unit_Paths!$A$2:$A$4, 0)),1)</f>
        <v>8.4</v>
      </c>
      <c r="L242" s="6" t="n">
        <f aca="false">ROUND(INDEX(Archetypes!$I$2:$I$127, MATCH(D242, Archetypes!$A$2:$A$127, 0))*INDEX(Unit_Grades!$C$2:$C$7, MATCH(F242, Unit_Grades!$A$2:$A$7, 0)),1)</f>
        <v>4</v>
      </c>
      <c r="M242" s="6" t="n">
        <f aca="false">ROUND(INDEX(Archetypes!$J$2:$J$127, MATCH(D242, Archetypes!$A$2:$A$127, 0))*INDEX(Unit_Grades!$D$2:$D$7, MATCH(F242, Unit_Grades!$A$2:$A$7, 0)),1)</f>
        <v>1.6</v>
      </c>
      <c r="N242" s="6" t="n">
        <f aca="false">ROUND(M242/24,2)</f>
        <v>0.07</v>
      </c>
    </row>
    <row r="243" customFormat="false" ht="15" hidden="false" customHeight="true" outlineLevel="0" collapsed="false">
      <c r="A243" s="6" t="n">
        <v>1</v>
      </c>
      <c r="B243" s="6" t="s">
        <v>1797</v>
      </c>
      <c r="C243" s="6" t="s">
        <v>1283</v>
      </c>
      <c r="D243" s="6" t="str">
        <f aca="false">A243&amp;"|"&amp;C243</f>
        <v>1|Stone Thrower</v>
      </c>
      <c r="E243" s="6" t="s">
        <v>1558</v>
      </c>
      <c r="F243" s="6" t="s">
        <v>1540</v>
      </c>
      <c r="G243" s="6" t="str">
        <f aca="false">INDEX(Archetypes!$D$2:$D$127, MATCH(D243, Archetypes!$A$2:$A$127, 0))</f>
        <v>Siege</v>
      </c>
      <c r="H243" s="6" t="n">
        <f aca="false">ROUND(INDEX(Archetypes!$E$2:$E$127, MATCH(D243, Archetypes!$A$2:$A$127, 0))*INDEX(Unit_Grades!$B$2:$B$7, MATCH(F243, Unit_Grades!$A$2:$A$7, 0))*INDEX(Unit_Paths!$B$2:$B$4, MATCH(E243, Unit_Paths!$A$2:$A$4, 0)),1)</f>
        <v>32.4</v>
      </c>
      <c r="I243" s="6" t="n">
        <f aca="false">ROUND(INDEX(Archetypes!$F$2:$F$127, MATCH(D243, Archetypes!$A$2:$A$127, 0))*INDEX(Unit_Grades!$B$2:$B$7, MATCH(F243, Unit_Grades!$A$2:$A$7, 0))*INDEX(Unit_Paths!$C$2:$C$4, MATCH(E243, Unit_Paths!$A$2:$A$4, 0)),1)</f>
        <v>4.6</v>
      </c>
      <c r="J243" s="6" t="n">
        <f aca="false">ROUND(INDEX(Archetypes!$G$2:$G$127, MATCH(D243, Archetypes!$A$2:$A$127, 0))*INDEX(Unit_Grades!$B$2:$B$7, MATCH(F243, Unit_Grades!$A$2:$A$7, 0))*INDEX(Unit_Paths!$D$2:$D$4, MATCH(E243, Unit_Paths!$A$2:$A$4, 0)),0)</f>
        <v>77</v>
      </c>
      <c r="K243" s="6" t="n">
        <f aca="false">ROUND(INDEX(Archetypes!$H$2:$H$127, MATCH(D243, Archetypes!$A$2:$A$127, 0))*INDEX(Unit_Paths!$E$2:$E$4, MATCH(E243, Unit_Paths!$A$2:$A$4, 0)),1)</f>
        <v>8.4</v>
      </c>
      <c r="L243" s="6" t="n">
        <f aca="false">ROUND(INDEX(Archetypes!$I$2:$I$127, MATCH(D243, Archetypes!$A$2:$A$127, 0))*INDEX(Unit_Grades!$C$2:$C$7, MATCH(F243, Unit_Grades!$A$2:$A$7, 0)),1)</f>
        <v>5</v>
      </c>
      <c r="M243" s="6" t="n">
        <f aca="false">ROUND(INDEX(Archetypes!$J$2:$J$127, MATCH(D243, Archetypes!$A$2:$A$127, 0))*INDEX(Unit_Grades!$D$2:$D$7, MATCH(F243, Unit_Grades!$A$2:$A$7, 0)),1)</f>
        <v>2.4</v>
      </c>
      <c r="N243" s="6" t="n">
        <f aca="false">ROUND(M243/24,2)</f>
        <v>0.1</v>
      </c>
    </row>
    <row r="244" customFormat="false" ht="15" hidden="false" customHeight="true" outlineLevel="0" collapsed="false">
      <c r="A244" s="6" t="n">
        <v>1</v>
      </c>
      <c r="B244" s="6" t="s">
        <v>1798</v>
      </c>
      <c r="C244" s="6" t="s">
        <v>1283</v>
      </c>
      <c r="D244" s="6" t="str">
        <f aca="false">A244&amp;"|"&amp;C244</f>
        <v>1|Stone Thrower</v>
      </c>
      <c r="E244" s="6" t="s">
        <v>1558</v>
      </c>
      <c r="F244" s="6" t="s">
        <v>1542</v>
      </c>
      <c r="G244" s="6" t="str">
        <f aca="false">INDEX(Archetypes!$D$2:$D$127, MATCH(D244, Archetypes!$A$2:$A$127, 0))</f>
        <v>Siege</v>
      </c>
      <c r="H244" s="6" t="n">
        <f aca="false">ROUND(INDEX(Archetypes!$E$2:$E$127, MATCH(D244, Archetypes!$A$2:$A$127, 0))*INDEX(Unit_Grades!$B$2:$B$7, MATCH(F244, Unit_Grades!$A$2:$A$7, 0))*INDEX(Unit_Paths!$B$2:$B$4, MATCH(E244, Unit_Paths!$A$2:$A$4, 0)),1)</f>
        <v>43.2</v>
      </c>
      <c r="I244" s="6" t="n">
        <f aca="false">ROUND(INDEX(Archetypes!$F$2:$F$127, MATCH(D244, Archetypes!$A$2:$A$127, 0))*INDEX(Unit_Grades!$B$2:$B$7, MATCH(F244, Unit_Grades!$A$2:$A$7, 0))*INDEX(Unit_Paths!$C$2:$C$4, MATCH(E244, Unit_Paths!$A$2:$A$4, 0)),1)</f>
        <v>6.1</v>
      </c>
      <c r="J244" s="6" t="n">
        <f aca="false">ROUND(INDEX(Archetypes!$G$2:$G$127, MATCH(D244, Archetypes!$A$2:$A$127, 0))*INDEX(Unit_Grades!$B$2:$B$7, MATCH(F244, Unit_Grades!$A$2:$A$7, 0))*INDEX(Unit_Paths!$D$2:$D$4, MATCH(E244, Unit_Paths!$A$2:$A$4, 0)),0)</f>
        <v>103</v>
      </c>
      <c r="K244" s="6" t="n">
        <f aca="false">ROUND(INDEX(Archetypes!$H$2:$H$127, MATCH(D244, Archetypes!$A$2:$A$127, 0))*INDEX(Unit_Paths!$E$2:$E$4, MATCH(E244, Unit_Paths!$A$2:$A$4, 0)),1)</f>
        <v>8.4</v>
      </c>
      <c r="L244" s="6" t="n">
        <f aca="false">ROUND(INDEX(Archetypes!$I$2:$I$127, MATCH(D244, Archetypes!$A$2:$A$127, 0))*INDEX(Unit_Grades!$C$2:$C$7, MATCH(F244, Unit_Grades!$A$2:$A$7, 0)),1)</f>
        <v>6.4</v>
      </c>
      <c r="M244" s="6" t="n">
        <f aca="false">ROUND(INDEX(Archetypes!$J$2:$J$127, MATCH(D244, Archetypes!$A$2:$A$127, 0))*INDEX(Unit_Grades!$D$2:$D$7, MATCH(F244, Unit_Grades!$A$2:$A$7, 0)),1)</f>
        <v>4.1</v>
      </c>
      <c r="N244" s="6" t="n">
        <f aca="false">ROUND(M244/24,2)</f>
        <v>0.17</v>
      </c>
    </row>
    <row r="245" customFormat="false" ht="15" hidden="false" customHeight="true" outlineLevel="0" collapsed="false">
      <c r="A245" s="6" t="n">
        <v>1</v>
      </c>
      <c r="B245" s="6" t="s">
        <v>1799</v>
      </c>
      <c r="C245" s="6" t="s">
        <v>1283</v>
      </c>
      <c r="D245" s="6" t="str">
        <f aca="false">A245&amp;"|"&amp;C245</f>
        <v>1|Stone Thrower</v>
      </c>
      <c r="E245" s="6" t="s">
        <v>1558</v>
      </c>
      <c r="F245" s="6" t="s">
        <v>1544</v>
      </c>
      <c r="G245" s="6" t="str">
        <f aca="false">INDEX(Archetypes!$D$2:$D$127, MATCH(D245, Archetypes!$A$2:$A$127, 0))</f>
        <v>Siege</v>
      </c>
      <c r="H245" s="6" t="n">
        <f aca="false">ROUND(INDEX(Archetypes!$E$2:$E$127, MATCH(D245, Archetypes!$A$2:$A$127, 0))*INDEX(Unit_Grades!$B$2:$B$7, MATCH(F245, Unit_Grades!$A$2:$A$7, 0))*INDEX(Unit_Paths!$B$2:$B$4, MATCH(E245, Unit_Paths!$A$2:$A$4, 0)),1)</f>
        <v>57.6</v>
      </c>
      <c r="I245" s="6" t="n">
        <f aca="false">ROUND(INDEX(Archetypes!$F$2:$F$127, MATCH(D245, Archetypes!$A$2:$A$127, 0))*INDEX(Unit_Grades!$B$2:$B$7, MATCH(F245, Unit_Grades!$A$2:$A$7, 0))*INDEX(Unit_Paths!$C$2:$C$4, MATCH(E245, Unit_Paths!$A$2:$A$4, 0)),1)</f>
        <v>8.2</v>
      </c>
      <c r="J245" s="6" t="n">
        <f aca="false">ROUND(INDEX(Archetypes!$G$2:$G$127, MATCH(D245, Archetypes!$A$2:$A$127, 0))*INDEX(Unit_Grades!$B$2:$B$7, MATCH(F245, Unit_Grades!$A$2:$A$7, 0))*INDEX(Unit_Paths!$D$2:$D$4, MATCH(E245, Unit_Paths!$A$2:$A$4, 0)),0)</f>
        <v>137</v>
      </c>
      <c r="K245" s="6" t="n">
        <f aca="false">ROUND(INDEX(Archetypes!$H$2:$H$127, MATCH(D245, Archetypes!$A$2:$A$127, 0))*INDEX(Unit_Paths!$E$2:$E$4, MATCH(E245, Unit_Paths!$A$2:$A$4, 0)),1)</f>
        <v>8.4</v>
      </c>
      <c r="L245" s="6" t="n">
        <f aca="false">ROUND(INDEX(Archetypes!$I$2:$I$127, MATCH(D245, Archetypes!$A$2:$A$127, 0))*INDEX(Unit_Grades!$C$2:$C$7, MATCH(F245, Unit_Grades!$A$2:$A$7, 0)),1)</f>
        <v>8.4</v>
      </c>
      <c r="M245" s="6" t="n">
        <f aca="false">ROUND(INDEX(Archetypes!$J$2:$J$127, MATCH(D245, Archetypes!$A$2:$A$127, 0))*INDEX(Unit_Grades!$D$2:$D$7, MATCH(F245, Unit_Grades!$A$2:$A$7, 0)),1)</f>
        <v>6.5</v>
      </c>
      <c r="N245" s="6" t="n">
        <f aca="false">ROUND(M245/24,2)</f>
        <v>0.27</v>
      </c>
    </row>
    <row r="246" customFormat="false" ht="15" hidden="false" customHeight="true" outlineLevel="0" collapsed="false">
      <c r="A246" s="6" t="n">
        <v>1</v>
      </c>
      <c r="B246" s="6" t="s">
        <v>1800</v>
      </c>
      <c r="C246" s="6" t="s">
        <v>1283</v>
      </c>
      <c r="D246" s="6" t="str">
        <f aca="false">A246&amp;"|"&amp;C246</f>
        <v>1|Stone Thrower</v>
      </c>
      <c r="E246" s="6" t="s">
        <v>1558</v>
      </c>
      <c r="F246" s="6" t="s">
        <v>1546</v>
      </c>
      <c r="G246" s="6" t="str">
        <f aca="false">INDEX(Archetypes!$D$2:$D$127, MATCH(D246, Archetypes!$A$2:$A$127, 0))</f>
        <v>Siege</v>
      </c>
      <c r="H246" s="6" t="n">
        <f aca="false">ROUND(INDEX(Archetypes!$E$2:$E$127, MATCH(D246, Archetypes!$A$2:$A$127, 0))*INDEX(Unit_Grades!$B$2:$B$7, MATCH(F246, Unit_Grades!$A$2:$A$7, 0))*INDEX(Unit_Paths!$B$2:$B$4, MATCH(E246, Unit_Paths!$A$2:$A$4, 0)),1)</f>
        <v>76.8</v>
      </c>
      <c r="I246" s="6" t="n">
        <f aca="false">ROUND(INDEX(Archetypes!$F$2:$F$127, MATCH(D246, Archetypes!$A$2:$A$127, 0))*INDEX(Unit_Grades!$B$2:$B$7, MATCH(F246, Unit_Grades!$A$2:$A$7, 0))*INDEX(Unit_Paths!$C$2:$C$4, MATCH(E246, Unit_Paths!$A$2:$A$4, 0)),1)</f>
        <v>10.9</v>
      </c>
      <c r="J246" s="6" t="n">
        <f aca="false">ROUND(INDEX(Archetypes!$G$2:$G$127, MATCH(D246, Archetypes!$A$2:$A$127, 0))*INDEX(Unit_Grades!$B$2:$B$7, MATCH(F246, Unit_Grades!$A$2:$A$7, 0))*INDEX(Unit_Paths!$D$2:$D$4, MATCH(E246, Unit_Paths!$A$2:$A$4, 0)),0)</f>
        <v>182</v>
      </c>
      <c r="K246" s="6" t="n">
        <f aca="false">ROUND(INDEX(Archetypes!$H$2:$H$127, MATCH(D246, Archetypes!$A$2:$A$127, 0))*INDEX(Unit_Paths!$E$2:$E$4, MATCH(E246, Unit_Paths!$A$2:$A$4, 0)),1)</f>
        <v>8.4</v>
      </c>
      <c r="L246" s="6" t="n">
        <f aca="false">ROUND(INDEX(Archetypes!$I$2:$I$127, MATCH(D246, Archetypes!$A$2:$A$127, 0))*INDEX(Unit_Grades!$C$2:$C$7, MATCH(F246, Unit_Grades!$A$2:$A$7, 0)),1)</f>
        <v>11.2</v>
      </c>
      <c r="M246" s="6" t="n">
        <f aca="false">ROUND(INDEX(Archetypes!$J$2:$J$127, MATCH(D246, Archetypes!$A$2:$A$127, 0))*INDEX(Unit_Grades!$D$2:$D$7, MATCH(F246, Unit_Grades!$A$2:$A$7, 0)),1)</f>
        <v>11.3</v>
      </c>
      <c r="N246" s="6" t="n">
        <f aca="false">ROUND(M246/24,2)</f>
        <v>0.47</v>
      </c>
    </row>
    <row r="247" customFormat="false" ht="15" hidden="false" customHeight="true" outlineLevel="0" collapsed="false">
      <c r="A247" s="6" t="n">
        <v>1</v>
      </c>
      <c r="B247" s="6" t="s">
        <v>1801</v>
      </c>
      <c r="C247" s="6" t="s">
        <v>1283</v>
      </c>
      <c r="D247" s="6" t="str">
        <f aca="false">A247&amp;"|"&amp;C247</f>
        <v>1|Stone Thrower</v>
      </c>
      <c r="E247" s="6" t="s">
        <v>1558</v>
      </c>
      <c r="F247" s="6" t="s">
        <v>1548</v>
      </c>
      <c r="G247" s="6" t="str">
        <f aca="false">INDEX(Archetypes!$D$2:$D$127, MATCH(D247, Archetypes!$A$2:$A$127, 0))</f>
        <v>Siege</v>
      </c>
      <c r="H247" s="6" t="n">
        <f aca="false">ROUND(INDEX(Archetypes!$E$2:$E$127, MATCH(D247, Archetypes!$A$2:$A$127, 0))*INDEX(Unit_Grades!$B$2:$B$7, MATCH(F247, Unit_Grades!$A$2:$A$7, 0))*INDEX(Unit_Paths!$B$2:$B$4, MATCH(E247, Unit_Paths!$A$2:$A$4, 0)),1)</f>
        <v>100.8</v>
      </c>
      <c r="I247" s="6" t="n">
        <f aca="false">ROUND(INDEX(Archetypes!$F$2:$F$127, MATCH(D247, Archetypes!$A$2:$A$127, 0))*INDEX(Unit_Grades!$B$2:$B$7, MATCH(F247, Unit_Grades!$A$2:$A$7, 0))*INDEX(Unit_Paths!$C$2:$C$4, MATCH(E247, Unit_Paths!$A$2:$A$4, 0)),1)</f>
        <v>14.3</v>
      </c>
      <c r="J247" s="6" t="n">
        <f aca="false">ROUND(INDEX(Archetypes!$G$2:$G$127, MATCH(D247, Archetypes!$A$2:$A$127, 0))*INDEX(Unit_Grades!$B$2:$B$7, MATCH(F247, Unit_Grades!$A$2:$A$7, 0))*INDEX(Unit_Paths!$D$2:$D$4, MATCH(E247, Unit_Paths!$A$2:$A$4, 0)),0)</f>
        <v>239</v>
      </c>
      <c r="K247" s="6" t="n">
        <f aca="false">ROUND(INDEX(Archetypes!$H$2:$H$127, MATCH(D247, Archetypes!$A$2:$A$127, 0))*INDEX(Unit_Paths!$E$2:$E$4, MATCH(E247, Unit_Paths!$A$2:$A$4, 0)),1)</f>
        <v>8.4</v>
      </c>
      <c r="L247" s="6" t="n">
        <f aca="false">ROUND(INDEX(Archetypes!$I$2:$I$127, MATCH(D247, Archetypes!$A$2:$A$127, 0))*INDEX(Unit_Grades!$C$2:$C$7, MATCH(F247, Unit_Grades!$A$2:$A$7, 0)),1)</f>
        <v>14.8</v>
      </c>
      <c r="M247" s="6" t="n">
        <f aca="false">ROUND(INDEX(Archetypes!$J$2:$J$127, MATCH(D247, Archetypes!$A$2:$A$127, 0))*INDEX(Unit_Grades!$D$2:$D$7, MATCH(F247, Unit_Grades!$A$2:$A$7, 0)),1)</f>
        <v>19.4</v>
      </c>
      <c r="N247" s="6" t="n">
        <f aca="false">ROUND(M247/24,2)</f>
        <v>0.81</v>
      </c>
    </row>
    <row r="248" customFormat="false" ht="15" hidden="false" customHeight="true" outlineLevel="0" collapsed="false">
      <c r="A248" s="6" t="n">
        <v>1</v>
      </c>
      <c r="B248" s="6" t="s">
        <v>1802</v>
      </c>
      <c r="C248" s="6" t="s">
        <v>1283</v>
      </c>
      <c r="D248" s="6" t="str">
        <f aca="false">A248&amp;"|"&amp;C248</f>
        <v>1|Stone Thrower</v>
      </c>
      <c r="E248" s="6" t="s">
        <v>1560</v>
      </c>
      <c r="F248" s="6" t="s">
        <v>1538</v>
      </c>
      <c r="G248" s="6" t="str">
        <f aca="false">INDEX(Archetypes!$D$2:$D$127, MATCH(D248, Archetypes!$A$2:$A$127, 0))</f>
        <v>Siege</v>
      </c>
      <c r="H248" s="6" t="n">
        <f aca="false">ROUND(INDEX(Archetypes!$E$2:$E$127, MATCH(D248, Archetypes!$A$2:$A$127, 0))*INDEX(Unit_Grades!$B$2:$B$7, MATCH(F248, Unit_Grades!$A$2:$A$7, 0))*INDEX(Unit_Paths!$B$2:$B$4, MATCH(E248, Unit_Paths!$A$2:$A$4, 0)),1)</f>
        <v>17</v>
      </c>
      <c r="I248" s="6" t="n">
        <f aca="false">ROUND(INDEX(Archetypes!$F$2:$F$127, MATCH(D248, Archetypes!$A$2:$A$127, 0))*INDEX(Unit_Grades!$B$2:$B$7, MATCH(F248, Unit_Grades!$A$2:$A$7, 0))*INDEX(Unit_Paths!$C$2:$C$4, MATCH(E248, Unit_Paths!$A$2:$A$4, 0)),1)</f>
        <v>5</v>
      </c>
      <c r="J248" s="6" t="n">
        <f aca="false">ROUND(INDEX(Archetypes!$G$2:$G$127, MATCH(D248, Archetypes!$A$2:$A$127, 0))*INDEX(Unit_Grades!$B$2:$B$7, MATCH(F248, Unit_Grades!$A$2:$A$7, 0))*INDEX(Unit_Paths!$D$2:$D$4, MATCH(E248, Unit_Paths!$A$2:$A$4, 0)),0)</f>
        <v>69</v>
      </c>
      <c r="K248" s="6" t="n">
        <f aca="false">ROUND(INDEX(Archetypes!$H$2:$H$127, MATCH(D248, Archetypes!$A$2:$A$127, 0))*INDEX(Unit_Paths!$E$2:$E$4, MATCH(E248, Unit_Paths!$A$2:$A$4, 0)),1)</f>
        <v>7.4</v>
      </c>
      <c r="L248" s="6" t="n">
        <f aca="false">ROUND(INDEX(Archetypes!$I$2:$I$127, MATCH(D248, Archetypes!$A$2:$A$127, 0))*INDEX(Unit_Grades!$C$2:$C$7, MATCH(F248, Unit_Grades!$A$2:$A$7, 0)),1)</f>
        <v>4</v>
      </c>
      <c r="M248" s="6" t="n">
        <f aca="false">ROUND(INDEX(Archetypes!$J$2:$J$127, MATCH(D248, Archetypes!$A$2:$A$127, 0))*INDEX(Unit_Grades!$D$2:$D$7, MATCH(F248, Unit_Grades!$A$2:$A$7, 0)),1)</f>
        <v>1.6</v>
      </c>
      <c r="N248" s="6" t="n">
        <f aca="false">ROUND(M248/24,2)</f>
        <v>0.07</v>
      </c>
    </row>
    <row r="249" customFormat="false" ht="15" hidden="false" customHeight="true" outlineLevel="0" collapsed="false">
      <c r="A249" s="6" t="n">
        <v>1</v>
      </c>
      <c r="B249" s="6" t="s">
        <v>1803</v>
      </c>
      <c r="C249" s="6" t="s">
        <v>1283</v>
      </c>
      <c r="D249" s="6" t="str">
        <f aca="false">A249&amp;"|"&amp;C249</f>
        <v>1|Stone Thrower</v>
      </c>
      <c r="E249" s="6" t="s">
        <v>1560</v>
      </c>
      <c r="F249" s="6" t="s">
        <v>1540</v>
      </c>
      <c r="G249" s="6" t="str">
        <f aca="false">INDEX(Archetypes!$D$2:$D$127, MATCH(D249, Archetypes!$A$2:$A$127, 0))</f>
        <v>Siege</v>
      </c>
      <c r="H249" s="6" t="n">
        <f aca="false">ROUND(INDEX(Archetypes!$E$2:$E$127, MATCH(D249, Archetypes!$A$2:$A$127, 0))*INDEX(Unit_Grades!$B$2:$B$7, MATCH(F249, Unit_Grades!$A$2:$A$7, 0))*INDEX(Unit_Paths!$B$2:$B$4, MATCH(E249, Unit_Paths!$A$2:$A$4, 0)),1)</f>
        <v>23</v>
      </c>
      <c r="I249" s="6" t="n">
        <f aca="false">ROUND(INDEX(Archetypes!$F$2:$F$127, MATCH(D249, Archetypes!$A$2:$A$127, 0))*INDEX(Unit_Grades!$B$2:$B$7, MATCH(F249, Unit_Grades!$A$2:$A$7, 0))*INDEX(Unit_Paths!$C$2:$C$4, MATCH(E249, Unit_Paths!$A$2:$A$4, 0)),1)</f>
        <v>6.8</v>
      </c>
      <c r="J249" s="6" t="n">
        <f aca="false">ROUND(INDEX(Archetypes!$G$2:$G$127, MATCH(D249, Archetypes!$A$2:$A$127, 0))*INDEX(Unit_Grades!$B$2:$B$7, MATCH(F249, Unit_Grades!$A$2:$A$7, 0))*INDEX(Unit_Paths!$D$2:$D$4, MATCH(E249, Unit_Paths!$A$2:$A$4, 0)),0)</f>
        <v>93</v>
      </c>
      <c r="K249" s="6" t="n">
        <f aca="false">ROUND(INDEX(Archetypes!$H$2:$H$127, MATCH(D249, Archetypes!$A$2:$A$127, 0))*INDEX(Unit_Paths!$E$2:$E$4, MATCH(E249, Unit_Paths!$A$2:$A$4, 0)),1)</f>
        <v>7.4</v>
      </c>
      <c r="L249" s="6" t="n">
        <f aca="false">ROUND(INDEX(Archetypes!$I$2:$I$127, MATCH(D249, Archetypes!$A$2:$A$127, 0))*INDEX(Unit_Grades!$C$2:$C$7, MATCH(F249, Unit_Grades!$A$2:$A$7, 0)),1)</f>
        <v>5</v>
      </c>
      <c r="M249" s="6" t="n">
        <f aca="false">ROUND(INDEX(Archetypes!$J$2:$J$127, MATCH(D249, Archetypes!$A$2:$A$127, 0))*INDEX(Unit_Grades!$D$2:$D$7, MATCH(F249, Unit_Grades!$A$2:$A$7, 0)),1)</f>
        <v>2.4</v>
      </c>
      <c r="N249" s="6" t="n">
        <f aca="false">ROUND(M249/24,2)</f>
        <v>0.1</v>
      </c>
    </row>
    <row r="250" customFormat="false" ht="15" hidden="false" customHeight="true" outlineLevel="0" collapsed="false">
      <c r="A250" s="6" t="n">
        <v>1</v>
      </c>
      <c r="B250" s="6" t="s">
        <v>1804</v>
      </c>
      <c r="C250" s="6" t="s">
        <v>1283</v>
      </c>
      <c r="D250" s="6" t="str">
        <f aca="false">A250&amp;"|"&amp;C250</f>
        <v>1|Stone Thrower</v>
      </c>
      <c r="E250" s="6" t="s">
        <v>1560</v>
      </c>
      <c r="F250" s="6" t="s">
        <v>1542</v>
      </c>
      <c r="G250" s="6" t="str">
        <f aca="false">INDEX(Archetypes!$D$2:$D$127, MATCH(D250, Archetypes!$A$2:$A$127, 0))</f>
        <v>Siege</v>
      </c>
      <c r="H250" s="6" t="n">
        <f aca="false">ROUND(INDEX(Archetypes!$E$2:$E$127, MATCH(D250, Archetypes!$A$2:$A$127, 0))*INDEX(Unit_Grades!$B$2:$B$7, MATCH(F250, Unit_Grades!$A$2:$A$7, 0))*INDEX(Unit_Paths!$B$2:$B$4, MATCH(E250, Unit_Paths!$A$2:$A$4, 0)),1)</f>
        <v>30.6</v>
      </c>
      <c r="I250" s="6" t="n">
        <f aca="false">ROUND(INDEX(Archetypes!$F$2:$F$127, MATCH(D250, Archetypes!$A$2:$A$127, 0))*INDEX(Unit_Grades!$B$2:$B$7, MATCH(F250, Unit_Grades!$A$2:$A$7, 0))*INDEX(Unit_Paths!$C$2:$C$4, MATCH(E250, Unit_Paths!$A$2:$A$4, 0)),1)</f>
        <v>9</v>
      </c>
      <c r="J250" s="6" t="n">
        <f aca="false">ROUND(INDEX(Archetypes!$G$2:$G$127, MATCH(D250, Archetypes!$A$2:$A$127, 0))*INDEX(Unit_Grades!$B$2:$B$7, MATCH(F250, Unit_Grades!$A$2:$A$7, 0))*INDEX(Unit_Paths!$D$2:$D$4, MATCH(E250, Unit_Paths!$A$2:$A$4, 0)),0)</f>
        <v>124</v>
      </c>
      <c r="K250" s="6" t="n">
        <f aca="false">ROUND(INDEX(Archetypes!$H$2:$H$127, MATCH(D250, Archetypes!$A$2:$A$127, 0))*INDEX(Unit_Paths!$E$2:$E$4, MATCH(E250, Unit_Paths!$A$2:$A$4, 0)),1)</f>
        <v>7.4</v>
      </c>
      <c r="L250" s="6" t="n">
        <f aca="false">ROUND(INDEX(Archetypes!$I$2:$I$127, MATCH(D250, Archetypes!$A$2:$A$127, 0))*INDEX(Unit_Grades!$C$2:$C$7, MATCH(F250, Unit_Grades!$A$2:$A$7, 0)),1)</f>
        <v>6.4</v>
      </c>
      <c r="M250" s="6" t="n">
        <f aca="false">ROUND(INDEX(Archetypes!$J$2:$J$127, MATCH(D250, Archetypes!$A$2:$A$127, 0))*INDEX(Unit_Grades!$D$2:$D$7, MATCH(F250, Unit_Grades!$A$2:$A$7, 0)),1)</f>
        <v>4.1</v>
      </c>
      <c r="N250" s="6" t="n">
        <f aca="false">ROUND(M250/24,2)</f>
        <v>0.17</v>
      </c>
    </row>
    <row r="251" customFormat="false" ht="15" hidden="false" customHeight="true" outlineLevel="0" collapsed="false">
      <c r="A251" s="6" t="n">
        <v>1</v>
      </c>
      <c r="B251" s="6" t="s">
        <v>1805</v>
      </c>
      <c r="C251" s="6" t="s">
        <v>1283</v>
      </c>
      <c r="D251" s="6" t="str">
        <f aca="false">A251&amp;"|"&amp;C251</f>
        <v>1|Stone Thrower</v>
      </c>
      <c r="E251" s="6" t="s">
        <v>1560</v>
      </c>
      <c r="F251" s="6" t="s">
        <v>1544</v>
      </c>
      <c r="G251" s="6" t="str">
        <f aca="false">INDEX(Archetypes!$D$2:$D$127, MATCH(D251, Archetypes!$A$2:$A$127, 0))</f>
        <v>Siege</v>
      </c>
      <c r="H251" s="6" t="n">
        <f aca="false">ROUND(INDEX(Archetypes!$E$2:$E$127, MATCH(D251, Archetypes!$A$2:$A$127, 0))*INDEX(Unit_Grades!$B$2:$B$7, MATCH(F251, Unit_Grades!$A$2:$A$7, 0))*INDEX(Unit_Paths!$B$2:$B$4, MATCH(E251, Unit_Paths!$A$2:$A$4, 0)),1)</f>
        <v>40.8</v>
      </c>
      <c r="I251" s="6" t="n">
        <f aca="false">ROUND(INDEX(Archetypes!$F$2:$F$127, MATCH(D251, Archetypes!$A$2:$A$127, 0))*INDEX(Unit_Grades!$B$2:$B$7, MATCH(F251, Unit_Grades!$A$2:$A$7, 0))*INDEX(Unit_Paths!$C$2:$C$4, MATCH(E251, Unit_Paths!$A$2:$A$4, 0)),1)</f>
        <v>12</v>
      </c>
      <c r="J251" s="6" t="n">
        <f aca="false">ROUND(INDEX(Archetypes!$G$2:$G$127, MATCH(D251, Archetypes!$A$2:$A$127, 0))*INDEX(Unit_Grades!$B$2:$B$7, MATCH(F251, Unit_Grades!$A$2:$A$7, 0))*INDEX(Unit_Paths!$D$2:$D$4, MATCH(E251, Unit_Paths!$A$2:$A$4, 0)),0)</f>
        <v>166</v>
      </c>
      <c r="K251" s="6" t="n">
        <f aca="false">ROUND(INDEX(Archetypes!$H$2:$H$127, MATCH(D251, Archetypes!$A$2:$A$127, 0))*INDEX(Unit_Paths!$E$2:$E$4, MATCH(E251, Unit_Paths!$A$2:$A$4, 0)),1)</f>
        <v>7.4</v>
      </c>
      <c r="L251" s="6" t="n">
        <f aca="false">ROUND(INDEX(Archetypes!$I$2:$I$127, MATCH(D251, Archetypes!$A$2:$A$127, 0))*INDEX(Unit_Grades!$C$2:$C$7, MATCH(F251, Unit_Grades!$A$2:$A$7, 0)),1)</f>
        <v>8.4</v>
      </c>
      <c r="M251" s="6" t="n">
        <f aca="false">ROUND(INDEX(Archetypes!$J$2:$J$127, MATCH(D251, Archetypes!$A$2:$A$127, 0))*INDEX(Unit_Grades!$D$2:$D$7, MATCH(F251, Unit_Grades!$A$2:$A$7, 0)),1)</f>
        <v>6.5</v>
      </c>
      <c r="N251" s="6" t="n">
        <f aca="false">ROUND(M251/24,2)</f>
        <v>0.27</v>
      </c>
    </row>
    <row r="252" customFormat="false" ht="15" hidden="false" customHeight="true" outlineLevel="0" collapsed="false">
      <c r="A252" s="6" t="n">
        <v>1</v>
      </c>
      <c r="B252" s="6" t="s">
        <v>1806</v>
      </c>
      <c r="C252" s="6" t="s">
        <v>1283</v>
      </c>
      <c r="D252" s="6" t="str">
        <f aca="false">A252&amp;"|"&amp;C252</f>
        <v>1|Stone Thrower</v>
      </c>
      <c r="E252" s="6" t="s">
        <v>1560</v>
      </c>
      <c r="F252" s="6" t="s">
        <v>1546</v>
      </c>
      <c r="G252" s="6" t="str">
        <f aca="false">INDEX(Archetypes!$D$2:$D$127, MATCH(D252, Archetypes!$A$2:$A$127, 0))</f>
        <v>Siege</v>
      </c>
      <c r="H252" s="6" t="n">
        <f aca="false">ROUND(INDEX(Archetypes!$E$2:$E$127, MATCH(D252, Archetypes!$A$2:$A$127, 0))*INDEX(Unit_Grades!$B$2:$B$7, MATCH(F252, Unit_Grades!$A$2:$A$7, 0))*INDEX(Unit_Paths!$B$2:$B$4, MATCH(E252, Unit_Paths!$A$2:$A$4, 0)),1)</f>
        <v>54.4</v>
      </c>
      <c r="I252" s="6" t="n">
        <f aca="false">ROUND(INDEX(Archetypes!$F$2:$F$127, MATCH(D252, Archetypes!$A$2:$A$127, 0))*INDEX(Unit_Grades!$B$2:$B$7, MATCH(F252, Unit_Grades!$A$2:$A$7, 0))*INDEX(Unit_Paths!$C$2:$C$4, MATCH(E252, Unit_Paths!$A$2:$A$4, 0)),1)</f>
        <v>16</v>
      </c>
      <c r="J252" s="6" t="n">
        <f aca="false">ROUND(INDEX(Archetypes!$G$2:$G$127, MATCH(D252, Archetypes!$A$2:$A$127, 0))*INDEX(Unit_Grades!$B$2:$B$7, MATCH(F252, Unit_Grades!$A$2:$A$7, 0))*INDEX(Unit_Paths!$D$2:$D$4, MATCH(E252, Unit_Paths!$A$2:$A$4, 0)),0)</f>
        <v>221</v>
      </c>
      <c r="K252" s="6" t="n">
        <f aca="false">ROUND(INDEX(Archetypes!$H$2:$H$127, MATCH(D252, Archetypes!$A$2:$A$127, 0))*INDEX(Unit_Paths!$E$2:$E$4, MATCH(E252, Unit_Paths!$A$2:$A$4, 0)),1)</f>
        <v>7.4</v>
      </c>
      <c r="L252" s="6" t="n">
        <f aca="false">ROUND(INDEX(Archetypes!$I$2:$I$127, MATCH(D252, Archetypes!$A$2:$A$127, 0))*INDEX(Unit_Grades!$C$2:$C$7, MATCH(F252, Unit_Grades!$A$2:$A$7, 0)),1)</f>
        <v>11.2</v>
      </c>
      <c r="M252" s="6" t="n">
        <f aca="false">ROUND(INDEX(Archetypes!$J$2:$J$127, MATCH(D252, Archetypes!$A$2:$A$127, 0))*INDEX(Unit_Grades!$D$2:$D$7, MATCH(F252, Unit_Grades!$A$2:$A$7, 0)),1)</f>
        <v>11.3</v>
      </c>
      <c r="N252" s="6" t="n">
        <f aca="false">ROUND(M252/24,2)</f>
        <v>0.47</v>
      </c>
    </row>
    <row r="253" customFormat="false" ht="15" hidden="false" customHeight="true" outlineLevel="0" collapsed="false">
      <c r="A253" s="6" t="n">
        <v>1</v>
      </c>
      <c r="B253" s="6" t="s">
        <v>1807</v>
      </c>
      <c r="C253" s="6" t="s">
        <v>1283</v>
      </c>
      <c r="D253" s="6" t="str">
        <f aca="false">A253&amp;"|"&amp;C253</f>
        <v>1|Stone Thrower</v>
      </c>
      <c r="E253" s="6" t="s">
        <v>1560</v>
      </c>
      <c r="F253" s="6" t="s">
        <v>1548</v>
      </c>
      <c r="G253" s="6" t="str">
        <f aca="false">INDEX(Archetypes!$D$2:$D$127, MATCH(D253, Archetypes!$A$2:$A$127, 0))</f>
        <v>Siege</v>
      </c>
      <c r="H253" s="6" t="n">
        <f aca="false">ROUND(INDEX(Archetypes!$E$2:$E$127, MATCH(D253, Archetypes!$A$2:$A$127, 0))*INDEX(Unit_Grades!$B$2:$B$7, MATCH(F253, Unit_Grades!$A$2:$A$7, 0))*INDEX(Unit_Paths!$B$2:$B$4, MATCH(E253, Unit_Paths!$A$2:$A$4, 0)),1)</f>
        <v>71.4</v>
      </c>
      <c r="I253" s="6" t="n">
        <f aca="false">ROUND(INDEX(Archetypes!$F$2:$F$127, MATCH(D253, Archetypes!$A$2:$A$127, 0))*INDEX(Unit_Grades!$B$2:$B$7, MATCH(F253, Unit_Grades!$A$2:$A$7, 0))*INDEX(Unit_Paths!$C$2:$C$4, MATCH(E253, Unit_Paths!$A$2:$A$4, 0)),1)</f>
        <v>21</v>
      </c>
      <c r="J253" s="6" t="n">
        <f aca="false">ROUND(INDEX(Archetypes!$G$2:$G$127, MATCH(D253, Archetypes!$A$2:$A$127, 0))*INDEX(Unit_Grades!$B$2:$B$7, MATCH(F253, Unit_Grades!$A$2:$A$7, 0))*INDEX(Unit_Paths!$D$2:$D$4, MATCH(E253, Unit_Paths!$A$2:$A$4, 0)),0)</f>
        <v>290</v>
      </c>
      <c r="K253" s="6" t="n">
        <f aca="false">ROUND(INDEX(Archetypes!$H$2:$H$127, MATCH(D253, Archetypes!$A$2:$A$127, 0))*INDEX(Unit_Paths!$E$2:$E$4, MATCH(E253, Unit_Paths!$A$2:$A$4, 0)),1)</f>
        <v>7.4</v>
      </c>
      <c r="L253" s="6" t="n">
        <f aca="false">ROUND(INDEX(Archetypes!$I$2:$I$127, MATCH(D253, Archetypes!$A$2:$A$127, 0))*INDEX(Unit_Grades!$C$2:$C$7, MATCH(F253, Unit_Grades!$A$2:$A$7, 0)),1)</f>
        <v>14.8</v>
      </c>
      <c r="M253" s="6" t="n">
        <f aca="false">ROUND(INDEX(Archetypes!$J$2:$J$127, MATCH(D253, Archetypes!$A$2:$A$127, 0))*INDEX(Unit_Grades!$D$2:$D$7, MATCH(F253, Unit_Grades!$A$2:$A$7, 0)),1)</f>
        <v>19.4</v>
      </c>
      <c r="N253" s="6" t="n">
        <f aca="false">ROUND(M253/24,2)</f>
        <v>0.81</v>
      </c>
    </row>
    <row r="254" customFormat="false" ht="15" hidden="false" customHeight="true" outlineLevel="0" collapsed="false">
      <c r="A254" s="6" t="n">
        <v>1</v>
      </c>
      <c r="B254" s="6" t="s">
        <v>1286</v>
      </c>
      <c r="C254" s="6" t="s">
        <v>1286</v>
      </c>
      <c r="D254" s="6" t="str">
        <f aca="false">A254&amp;"|"&amp;C254</f>
        <v>1|Village Witch</v>
      </c>
      <c r="E254" s="6" t="s">
        <v>1556</v>
      </c>
      <c r="F254" s="6" t="s">
        <v>1538</v>
      </c>
      <c r="G254" s="6" t="str">
        <f aca="false">INDEX(Archetypes!$D$2:$D$127, MATCH(D254, Archetypes!$A$2:$A$127, 0))</f>
        <v>Support</v>
      </c>
      <c r="H254" s="6" t="n">
        <f aca="false">ROUND(INDEX(Archetypes!$E$2:$E$127, MATCH(D254, Archetypes!$A$2:$A$127, 0))*INDEX(Unit_Grades!$B$2:$B$7, MATCH(F254, Unit_Grades!$A$2:$A$7, 0))*INDEX(Unit_Paths!$B$2:$B$4, MATCH(E254, Unit_Paths!$A$2:$A$4, 0)),1)</f>
        <v>6</v>
      </c>
      <c r="I254" s="6" t="n">
        <f aca="false">ROUND(INDEX(Archetypes!$F$2:$F$127, MATCH(D254, Archetypes!$A$2:$A$127, 0))*INDEX(Unit_Grades!$B$2:$B$7, MATCH(F254, Unit_Grades!$A$2:$A$7, 0))*INDEX(Unit_Paths!$C$2:$C$4, MATCH(E254, Unit_Paths!$A$2:$A$4, 0)),1)</f>
        <v>6</v>
      </c>
      <c r="J254" s="6" t="n">
        <f aca="false">ROUND(INDEX(Archetypes!$G$2:$G$127, MATCH(D254, Archetypes!$A$2:$A$127, 0))*INDEX(Unit_Grades!$B$2:$B$7, MATCH(F254, Unit_Grades!$A$2:$A$7, 0))*INDEX(Unit_Paths!$D$2:$D$4, MATCH(E254, Unit_Paths!$A$2:$A$4, 0)),0)</f>
        <v>40</v>
      </c>
      <c r="K254" s="6" t="n">
        <f aca="false">ROUND(INDEX(Archetypes!$H$2:$H$127, MATCH(D254, Archetypes!$A$2:$A$127, 0))*INDEX(Unit_Paths!$E$2:$E$4, MATCH(E254, Unit_Paths!$A$2:$A$4, 0)),1)</f>
        <v>15</v>
      </c>
      <c r="L254" s="6" t="n">
        <f aca="false">ROUND(INDEX(Archetypes!$I$2:$I$127, MATCH(D254, Archetypes!$A$2:$A$127, 0))*INDEX(Unit_Grades!$C$2:$C$7, MATCH(F254, Unit_Grades!$A$2:$A$7, 0)),1)</f>
        <v>4</v>
      </c>
      <c r="M254" s="6" t="n">
        <f aca="false">ROUND(INDEX(Archetypes!$J$2:$J$127, MATCH(D254, Archetypes!$A$2:$A$127, 0))*INDEX(Unit_Grades!$D$2:$D$7, MATCH(F254, Unit_Grades!$A$2:$A$7, 0)),1)</f>
        <v>1.6</v>
      </c>
      <c r="N254" s="6" t="n">
        <f aca="false">ROUND(M254/24,2)</f>
        <v>0.07</v>
      </c>
    </row>
    <row r="255" customFormat="false" ht="15" hidden="false" customHeight="true" outlineLevel="0" collapsed="false">
      <c r="A255" s="6" t="n">
        <v>1</v>
      </c>
      <c r="B255" s="6" t="s">
        <v>1808</v>
      </c>
      <c r="C255" s="6" t="s">
        <v>1286</v>
      </c>
      <c r="D255" s="6" t="str">
        <f aca="false">A255&amp;"|"&amp;C255</f>
        <v>1|Village Witch</v>
      </c>
      <c r="E255" s="6" t="s">
        <v>1556</v>
      </c>
      <c r="F255" s="6" t="s">
        <v>1540</v>
      </c>
      <c r="G255" s="6" t="str">
        <f aca="false">INDEX(Archetypes!$D$2:$D$127, MATCH(D255, Archetypes!$A$2:$A$127, 0))</f>
        <v>Support</v>
      </c>
      <c r="H255" s="6" t="n">
        <f aca="false">ROUND(INDEX(Archetypes!$E$2:$E$127, MATCH(D255, Archetypes!$A$2:$A$127, 0))*INDEX(Unit_Grades!$B$2:$B$7, MATCH(F255, Unit_Grades!$A$2:$A$7, 0))*INDEX(Unit_Paths!$B$2:$B$4, MATCH(E255, Unit_Paths!$A$2:$A$4, 0)),1)</f>
        <v>8.1</v>
      </c>
      <c r="I255" s="6" t="n">
        <f aca="false">ROUND(INDEX(Archetypes!$F$2:$F$127, MATCH(D255, Archetypes!$A$2:$A$127, 0))*INDEX(Unit_Grades!$B$2:$B$7, MATCH(F255, Unit_Grades!$A$2:$A$7, 0))*INDEX(Unit_Paths!$C$2:$C$4, MATCH(E255, Unit_Paths!$A$2:$A$4, 0)),1)</f>
        <v>8.1</v>
      </c>
      <c r="J255" s="6" t="n">
        <f aca="false">ROUND(INDEX(Archetypes!$G$2:$G$127, MATCH(D255, Archetypes!$A$2:$A$127, 0))*INDEX(Unit_Grades!$B$2:$B$7, MATCH(F255, Unit_Grades!$A$2:$A$7, 0))*INDEX(Unit_Paths!$D$2:$D$4, MATCH(E255, Unit_Paths!$A$2:$A$4, 0)),0)</f>
        <v>54</v>
      </c>
      <c r="K255" s="6" t="n">
        <f aca="false">ROUND(INDEX(Archetypes!$H$2:$H$127, MATCH(D255, Archetypes!$A$2:$A$127, 0))*INDEX(Unit_Paths!$E$2:$E$4, MATCH(E255, Unit_Paths!$A$2:$A$4, 0)),1)</f>
        <v>15</v>
      </c>
      <c r="L255" s="6" t="n">
        <f aca="false">ROUND(INDEX(Archetypes!$I$2:$I$127, MATCH(D255, Archetypes!$A$2:$A$127, 0))*INDEX(Unit_Grades!$C$2:$C$7, MATCH(F255, Unit_Grades!$A$2:$A$7, 0)),1)</f>
        <v>5</v>
      </c>
      <c r="M255" s="6" t="n">
        <f aca="false">ROUND(INDEX(Archetypes!$J$2:$J$127, MATCH(D255, Archetypes!$A$2:$A$127, 0))*INDEX(Unit_Grades!$D$2:$D$7, MATCH(F255, Unit_Grades!$A$2:$A$7, 0)),1)</f>
        <v>2.4</v>
      </c>
      <c r="N255" s="6" t="n">
        <f aca="false">ROUND(M255/24,2)</f>
        <v>0.1</v>
      </c>
    </row>
    <row r="256" customFormat="false" ht="15" hidden="false" customHeight="true" outlineLevel="0" collapsed="false">
      <c r="A256" s="6" t="n">
        <v>1</v>
      </c>
      <c r="B256" s="6" t="s">
        <v>1809</v>
      </c>
      <c r="C256" s="6" t="s">
        <v>1286</v>
      </c>
      <c r="D256" s="6" t="str">
        <f aca="false">A256&amp;"|"&amp;C256</f>
        <v>1|Village Witch</v>
      </c>
      <c r="E256" s="6" t="s">
        <v>1556</v>
      </c>
      <c r="F256" s="6" t="s">
        <v>1542</v>
      </c>
      <c r="G256" s="6" t="str">
        <f aca="false">INDEX(Archetypes!$D$2:$D$127, MATCH(D256, Archetypes!$A$2:$A$127, 0))</f>
        <v>Support</v>
      </c>
      <c r="H256" s="6" t="n">
        <f aca="false">ROUND(INDEX(Archetypes!$E$2:$E$127, MATCH(D256, Archetypes!$A$2:$A$127, 0))*INDEX(Unit_Grades!$B$2:$B$7, MATCH(F256, Unit_Grades!$A$2:$A$7, 0))*INDEX(Unit_Paths!$B$2:$B$4, MATCH(E256, Unit_Paths!$A$2:$A$4, 0)),1)</f>
        <v>10.8</v>
      </c>
      <c r="I256" s="6" t="n">
        <f aca="false">ROUND(INDEX(Archetypes!$F$2:$F$127, MATCH(D256, Archetypes!$A$2:$A$127, 0))*INDEX(Unit_Grades!$B$2:$B$7, MATCH(F256, Unit_Grades!$A$2:$A$7, 0))*INDEX(Unit_Paths!$C$2:$C$4, MATCH(E256, Unit_Paths!$A$2:$A$4, 0)),1)</f>
        <v>10.8</v>
      </c>
      <c r="J256" s="6" t="n">
        <f aca="false">ROUND(INDEX(Archetypes!$G$2:$G$127, MATCH(D256, Archetypes!$A$2:$A$127, 0))*INDEX(Unit_Grades!$B$2:$B$7, MATCH(F256, Unit_Grades!$A$2:$A$7, 0))*INDEX(Unit_Paths!$D$2:$D$4, MATCH(E256, Unit_Paths!$A$2:$A$4, 0)),0)</f>
        <v>72</v>
      </c>
      <c r="K256" s="6" t="n">
        <f aca="false">ROUND(INDEX(Archetypes!$H$2:$H$127, MATCH(D256, Archetypes!$A$2:$A$127, 0))*INDEX(Unit_Paths!$E$2:$E$4, MATCH(E256, Unit_Paths!$A$2:$A$4, 0)),1)</f>
        <v>15</v>
      </c>
      <c r="L256" s="6" t="n">
        <f aca="false">ROUND(INDEX(Archetypes!$I$2:$I$127, MATCH(D256, Archetypes!$A$2:$A$127, 0))*INDEX(Unit_Grades!$C$2:$C$7, MATCH(F256, Unit_Grades!$A$2:$A$7, 0)),1)</f>
        <v>6.4</v>
      </c>
      <c r="M256" s="6" t="n">
        <f aca="false">ROUND(INDEX(Archetypes!$J$2:$J$127, MATCH(D256, Archetypes!$A$2:$A$127, 0))*INDEX(Unit_Grades!$D$2:$D$7, MATCH(F256, Unit_Grades!$A$2:$A$7, 0)),1)</f>
        <v>4.1</v>
      </c>
      <c r="N256" s="6" t="n">
        <f aca="false">ROUND(M256/24,2)</f>
        <v>0.17</v>
      </c>
    </row>
    <row r="257" customFormat="false" ht="15" hidden="false" customHeight="true" outlineLevel="0" collapsed="false">
      <c r="A257" s="6" t="n">
        <v>1</v>
      </c>
      <c r="B257" s="6" t="s">
        <v>1810</v>
      </c>
      <c r="C257" s="6" t="s">
        <v>1286</v>
      </c>
      <c r="D257" s="6" t="str">
        <f aca="false">A257&amp;"|"&amp;C257</f>
        <v>1|Village Witch</v>
      </c>
      <c r="E257" s="6" t="s">
        <v>1556</v>
      </c>
      <c r="F257" s="6" t="s">
        <v>1544</v>
      </c>
      <c r="G257" s="6" t="str">
        <f aca="false">INDEX(Archetypes!$D$2:$D$127, MATCH(D257, Archetypes!$A$2:$A$127, 0))</f>
        <v>Support</v>
      </c>
      <c r="H257" s="6" t="n">
        <f aca="false">ROUND(INDEX(Archetypes!$E$2:$E$127, MATCH(D257, Archetypes!$A$2:$A$127, 0))*INDEX(Unit_Grades!$B$2:$B$7, MATCH(F257, Unit_Grades!$A$2:$A$7, 0))*INDEX(Unit_Paths!$B$2:$B$4, MATCH(E257, Unit_Paths!$A$2:$A$4, 0)),1)</f>
        <v>14.4</v>
      </c>
      <c r="I257" s="6" t="n">
        <f aca="false">ROUND(INDEX(Archetypes!$F$2:$F$127, MATCH(D257, Archetypes!$A$2:$A$127, 0))*INDEX(Unit_Grades!$B$2:$B$7, MATCH(F257, Unit_Grades!$A$2:$A$7, 0))*INDEX(Unit_Paths!$C$2:$C$4, MATCH(E257, Unit_Paths!$A$2:$A$4, 0)),1)</f>
        <v>14.4</v>
      </c>
      <c r="J257" s="6" t="n">
        <f aca="false">ROUND(INDEX(Archetypes!$G$2:$G$127, MATCH(D257, Archetypes!$A$2:$A$127, 0))*INDEX(Unit_Grades!$B$2:$B$7, MATCH(F257, Unit_Grades!$A$2:$A$7, 0))*INDEX(Unit_Paths!$D$2:$D$4, MATCH(E257, Unit_Paths!$A$2:$A$4, 0)),0)</f>
        <v>96</v>
      </c>
      <c r="K257" s="6" t="n">
        <f aca="false">ROUND(INDEX(Archetypes!$H$2:$H$127, MATCH(D257, Archetypes!$A$2:$A$127, 0))*INDEX(Unit_Paths!$E$2:$E$4, MATCH(E257, Unit_Paths!$A$2:$A$4, 0)),1)</f>
        <v>15</v>
      </c>
      <c r="L257" s="6" t="n">
        <f aca="false">ROUND(INDEX(Archetypes!$I$2:$I$127, MATCH(D257, Archetypes!$A$2:$A$127, 0))*INDEX(Unit_Grades!$C$2:$C$7, MATCH(F257, Unit_Grades!$A$2:$A$7, 0)),1)</f>
        <v>8.4</v>
      </c>
      <c r="M257" s="6" t="n">
        <f aca="false">ROUND(INDEX(Archetypes!$J$2:$J$127, MATCH(D257, Archetypes!$A$2:$A$127, 0))*INDEX(Unit_Grades!$D$2:$D$7, MATCH(F257, Unit_Grades!$A$2:$A$7, 0)),1)</f>
        <v>6.5</v>
      </c>
      <c r="N257" s="6" t="n">
        <f aca="false">ROUND(M257/24,2)</f>
        <v>0.27</v>
      </c>
    </row>
    <row r="258" customFormat="false" ht="15" hidden="false" customHeight="true" outlineLevel="0" collapsed="false">
      <c r="A258" s="6" t="n">
        <v>1</v>
      </c>
      <c r="B258" s="6" t="s">
        <v>1811</v>
      </c>
      <c r="C258" s="6" t="s">
        <v>1286</v>
      </c>
      <c r="D258" s="6" t="str">
        <f aca="false">A258&amp;"|"&amp;C258</f>
        <v>1|Village Witch</v>
      </c>
      <c r="E258" s="6" t="s">
        <v>1556</v>
      </c>
      <c r="F258" s="6" t="s">
        <v>1546</v>
      </c>
      <c r="G258" s="6" t="str">
        <f aca="false">INDEX(Archetypes!$D$2:$D$127, MATCH(D258, Archetypes!$A$2:$A$127, 0))</f>
        <v>Support</v>
      </c>
      <c r="H258" s="6" t="n">
        <f aca="false">ROUND(INDEX(Archetypes!$E$2:$E$127, MATCH(D258, Archetypes!$A$2:$A$127, 0))*INDEX(Unit_Grades!$B$2:$B$7, MATCH(F258, Unit_Grades!$A$2:$A$7, 0))*INDEX(Unit_Paths!$B$2:$B$4, MATCH(E258, Unit_Paths!$A$2:$A$4, 0)),1)</f>
        <v>19.2</v>
      </c>
      <c r="I258" s="6" t="n">
        <f aca="false">ROUND(INDEX(Archetypes!$F$2:$F$127, MATCH(D258, Archetypes!$A$2:$A$127, 0))*INDEX(Unit_Grades!$B$2:$B$7, MATCH(F258, Unit_Grades!$A$2:$A$7, 0))*INDEX(Unit_Paths!$C$2:$C$4, MATCH(E258, Unit_Paths!$A$2:$A$4, 0)),1)</f>
        <v>19.2</v>
      </c>
      <c r="J258" s="6" t="n">
        <f aca="false">ROUND(INDEX(Archetypes!$G$2:$G$127, MATCH(D258, Archetypes!$A$2:$A$127, 0))*INDEX(Unit_Grades!$B$2:$B$7, MATCH(F258, Unit_Grades!$A$2:$A$7, 0))*INDEX(Unit_Paths!$D$2:$D$4, MATCH(E258, Unit_Paths!$A$2:$A$4, 0)),0)</f>
        <v>128</v>
      </c>
      <c r="K258" s="6" t="n">
        <f aca="false">ROUND(INDEX(Archetypes!$H$2:$H$127, MATCH(D258, Archetypes!$A$2:$A$127, 0))*INDEX(Unit_Paths!$E$2:$E$4, MATCH(E258, Unit_Paths!$A$2:$A$4, 0)),1)</f>
        <v>15</v>
      </c>
      <c r="L258" s="6" t="n">
        <f aca="false">ROUND(INDEX(Archetypes!$I$2:$I$127, MATCH(D258, Archetypes!$A$2:$A$127, 0))*INDEX(Unit_Grades!$C$2:$C$7, MATCH(F258, Unit_Grades!$A$2:$A$7, 0)),1)</f>
        <v>11.2</v>
      </c>
      <c r="M258" s="6" t="n">
        <f aca="false">ROUND(INDEX(Archetypes!$J$2:$J$127, MATCH(D258, Archetypes!$A$2:$A$127, 0))*INDEX(Unit_Grades!$D$2:$D$7, MATCH(F258, Unit_Grades!$A$2:$A$7, 0)),1)</f>
        <v>11.3</v>
      </c>
      <c r="N258" s="6" t="n">
        <f aca="false">ROUND(M258/24,2)</f>
        <v>0.47</v>
      </c>
    </row>
    <row r="259" customFormat="false" ht="15" hidden="false" customHeight="true" outlineLevel="0" collapsed="false">
      <c r="A259" s="6" t="n">
        <v>1</v>
      </c>
      <c r="B259" s="6" t="s">
        <v>1812</v>
      </c>
      <c r="C259" s="6" t="s">
        <v>1286</v>
      </c>
      <c r="D259" s="6" t="str">
        <f aca="false">A259&amp;"|"&amp;C259</f>
        <v>1|Village Witch</v>
      </c>
      <c r="E259" s="6" t="s">
        <v>1556</v>
      </c>
      <c r="F259" s="6" t="s">
        <v>1548</v>
      </c>
      <c r="G259" s="6" t="str">
        <f aca="false">INDEX(Archetypes!$D$2:$D$127, MATCH(D259, Archetypes!$A$2:$A$127, 0))</f>
        <v>Support</v>
      </c>
      <c r="H259" s="6" t="n">
        <f aca="false">ROUND(INDEX(Archetypes!$E$2:$E$127, MATCH(D259, Archetypes!$A$2:$A$127, 0))*INDEX(Unit_Grades!$B$2:$B$7, MATCH(F259, Unit_Grades!$A$2:$A$7, 0))*INDEX(Unit_Paths!$B$2:$B$4, MATCH(E259, Unit_Paths!$A$2:$A$4, 0)),1)</f>
        <v>25.2</v>
      </c>
      <c r="I259" s="6" t="n">
        <f aca="false">ROUND(INDEX(Archetypes!$F$2:$F$127, MATCH(D259, Archetypes!$A$2:$A$127, 0))*INDEX(Unit_Grades!$B$2:$B$7, MATCH(F259, Unit_Grades!$A$2:$A$7, 0))*INDEX(Unit_Paths!$C$2:$C$4, MATCH(E259, Unit_Paths!$A$2:$A$4, 0)),1)</f>
        <v>25.2</v>
      </c>
      <c r="J259" s="6" t="n">
        <f aca="false">ROUND(INDEX(Archetypes!$G$2:$G$127, MATCH(D259, Archetypes!$A$2:$A$127, 0))*INDEX(Unit_Grades!$B$2:$B$7, MATCH(F259, Unit_Grades!$A$2:$A$7, 0))*INDEX(Unit_Paths!$D$2:$D$4, MATCH(E259, Unit_Paths!$A$2:$A$4, 0)),0)</f>
        <v>168</v>
      </c>
      <c r="K259" s="6" t="n">
        <f aca="false">ROUND(INDEX(Archetypes!$H$2:$H$127, MATCH(D259, Archetypes!$A$2:$A$127, 0))*INDEX(Unit_Paths!$E$2:$E$4, MATCH(E259, Unit_Paths!$A$2:$A$4, 0)),1)</f>
        <v>15</v>
      </c>
      <c r="L259" s="6" t="n">
        <f aca="false">ROUND(INDEX(Archetypes!$I$2:$I$127, MATCH(D259, Archetypes!$A$2:$A$127, 0))*INDEX(Unit_Grades!$C$2:$C$7, MATCH(F259, Unit_Grades!$A$2:$A$7, 0)),1)</f>
        <v>14.8</v>
      </c>
      <c r="M259" s="6" t="n">
        <f aca="false">ROUND(INDEX(Archetypes!$J$2:$J$127, MATCH(D259, Archetypes!$A$2:$A$127, 0))*INDEX(Unit_Grades!$D$2:$D$7, MATCH(F259, Unit_Grades!$A$2:$A$7, 0)),1)</f>
        <v>19.4</v>
      </c>
      <c r="N259" s="6" t="n">
        <f aca="false">ROUND(M259/24,2)</f>
        <v>0.81</v>
      </c>
    </row>
    <row r="260" customFormat="false" ht="15" hidden="false" customHeight="true" outlineLevel="0" collapsed="false">
      <c r="A260" s="6" t="n">
        <v>1</v>
      </c>
      <c r="B260" s="6" t="s">
        <v>1813</v>
      </c>
      <c r="C260" s="6" t="s">
        <v>1286</v>
      </c>
      <c r="D260" s="6" t="str">
        <f aca="false">A260&amp;"|"&amp;C260</f>
        <v>1|Village Witch</v>
      </c>
      <c r="E260" s="6" t="s">
        <v>1558</v>
      </c>
      <c r="F260" s="6" t="s">
        <v>1538</v>
      </c>
      <c r="G260" s="6" t="str">
        <f aca="false">INDEX(Archetypes!$D$2:$D$127, MATCH(D260, Archetypes!$A$2:$A$127, 0))</f>
        <v>Support</v>
      </c>
      <c r="H260" s="6" t="n">
        <f aca="false">ROUND(INDEX(Archetypes!$E$2:$E$127, MATCH(D260, Archetypes!$A$2:$A$127, 0))*INDEX(Unit_Grades!$B$2:$B$7, MATCH(F260, Unit_Grades!$A$2:$A$7, 0))*INDEX(Unit_Paths!$B$2:$B$4, MATCH(E260, Unit_Paths!$A$2:$A$4, 0)),1)</f>
        <v>7.2</v>
      </c>
      <c r="I260" s="6" t="n">
        <f aca="false">ROUND(INDEX(Archetypes!$F$2:$F$127, MATCH(D260, Archetypes!$A$2:$A$127, 0))*INDEX(Unit_Grades!$B$2:$B$7, MATCH(F260, Unit_Grades!$A$2:$A$7, 0))*INDEX(Unit_Paths!$C$2:$C$4, MATCH(E260, Unit_Paths!$A$2:$A$4, 0)),1)</f>
        <v>5.1</v>
      </c>
      <c r="J260" s="6" t="n">
        <f aca="false">ROUND(INDEX(Archetypes!$G$2:$G$127, MATCH(D260, Archetypes!$A$2:$A$127, 0))*INDEX(Unit_Grades!$B$2:$B$7, MATCH(F260, Unit_Grades!$A$2:$A$7, 0))*INDEX(Unit_Paths!$D$2:$D$4, MATCH(E260, Unit_Paths!$A$2:$A$4, 0)),0)</f>
        <v>38</v>
      </c>
      <c r="K260" s="6" t="n">
        <f aca="false">ROUND(INDEX(Archetypes!$H$2:$H$127, MATCH(D260, Archetypes!$A$2:$A$127, 0))*INDEX(Unit_Paths!$E$2:$E$4, MATCH(E260, Unit_Paths!$A$2:$A$4, 0)),1)</f>
        <v>15.8</v>
      </c>
      <c r="L260" s="6" t="n">
        <f aca="false">ROUND(INDEX(Archetypes!$I$2:$I$127, MATCH(D260, Archetypes!$A$2:$A$127, 0))*INDEX(Unit_Grades!$C$2:$C$7, MATCH(F260, Unit_Grades!$A$2:$A$7, 0)),1)</f>
        <v>4</v>
      </c>
      <c r="M260" s="6" t="n">
        <f aca="false">ROUND(INDEX(Archetypes!$J$2:$J$127, MATCH(D260, Archetypes!$A$2:$A$127, 0))*INDEX(Unit_Grades!$D$2:$D$7, MATCH(F260, Unit_Grades!$A$2:$A$7, 0)),1)</f>
        <v>1.6</v>
      </c>
      <c r="N260" s="6" t="n">
        <f aca="false">ROUND(M260/24,2)</f>
        <v>0.07</v>
      </c>
    </row>
    <row r="261" customFormat="false" ht="15" hidden="false" customHeight="true" outlineLevel="0" collapsed="false">
      <c r="A261" s="6" t="n">
        <v>1</v>
      </c>
      <c r="B261" s="6" t="s">
        <v>1814</v>
      </c>
      <c r="C261" s="6" t="s">
        <v>1286</v>
      </c>
      <c r="D261" s="6" t="str">
        <f aca="false">A261&amp;"|"&amp;C261</f>
        <v>1|Village Witch</v>
      </c>
      <c r="E261" s="6" t="s">
        <v>1558</v>
      </c>
      <c r="F261" s="6" t="s">
        <v>1540</v>
      </c>
      <c r="G261" s="6" t="str">
        <f aca="false">INDEX(Archetypes!$D$2:$D$127, MATCH(D261, Archetypes!$A$2:$A$127, 0))</f>
        <v>Support</v>
      </c>
      <c r="H261" s="6" t="n">
        <f aca="false">ROUND(INDEX(Archetypes!$E$2:$E$127, MATCH(D261, Archetypes!$A$2:$A$127, 0))*INDEX(Unit_Grades!$B$2:$B$7, MATCH(F261, Unit_Grades!$A$2:$A$7, 0))*INDEX(Unit_Paths!$B$2:$B$4, MATCH(E261, Unit_Paths!$A$2:$A$4, 0)),1)</f>
        <v>9.7</v>
      </c>
      <c r="I261" s="6" t="n">
        <f aca="false">ROUND(INDEX(Archetypes!$F$2:$F$127, MATCH(D261, Archetypes!$A$2:$A$127, 0))*INDEX(Unit_Grades!$B$2:$B$7, MATCH(F261, Unit_Grades!$A$2:$A$7, 0))*INDEX(Unit_Paths!$C$2:$C$4, MATCH(E261, Unit_Paths!$A$2:$A$4, 0)),1)</f>
        <v>6.9</v>
      </c>
      <c r="J261" s="6" t="n">
        <f aca="false">ROUND(INDEX(Archetypes!$G$2:$G$127, MATCH(D261, Archetypes!$A$2:$A$127, 0))*INDEX(Unit_Grades!$B$2:$B$7, MATCH(F261, Unit_Grades!$A$2:$A$7, 0))*INDEX(Unit_Paths!$D$2:$D$4, MATCH(E261, Unit_Paths!$A$2:$A$4, 0)),0)</f>
        <v>51</v>
      </c>
      <c r="K261" s="6" t="n">
        <f aca="false">ROUND(INDEX(Archetypes!$H$2:$H$127, MATCH(D261, Archetypes!$A$2:$A$127, 0))*INDEX(Unit_Paths!$E$2:$E$4, MATCH(E261, Unit_Paths!$A$2:$A$4, 0)),1)</f>
        <v>15.8</v>
      </c>
      <c r="L261" s="6" t="n">
        <f aca="false">ROUND(INDEX(Archetypes!$I$2:$I$127, MATCH(D261, Archetypes!$A$2:$A$127, 0))*INDEX(Unit_Grades!$C$2:$C$7, MATCH(F261, Unit_Grades!$A$2:$A$7, 0)),1)</f>
        <v>5</v>
      </c>
      <c r="M261" s="6" t="n">
        <f aca="false">ROUND(INDEX(Archetypes!$J$2:$J$127, MATCH(D261, Archetypes!$A$2:$A$127, 0))*INDEX(Unit_Grades!$D$2:$D$7, MATCH(F261, Unit_Grades!$A$2:$A$7, 0)),1)</f>
        <v>2.4</v>
      </c>
      <c r="N261" s="6" t="n">
        <f aca="false">ROUND(M261/24,2)</f>
        <v>0.1</v>
      </c>
    </row>
    <row r="262" customFormat="false" ht="15" hidden="false" customHeight="true" outlineLevel="0" collapsed="false">
      <c r="A262" s="6" t="n">
        <v>1</v>
      </c>
      <c r="B262" s="6" t="s">
        <v>1815</v>
      </c>
      <c r="C262" s="6" t="s">
        <v>1286</v>
      </c>
      <c r="D262" s="6" t="str">
        <f aca="false">A262&amp;"|"&amp;C262</f>
        <v>1|Village Witch</v>
      </c>
      <c r="E262" s="6" t="s">
        <v>1558</v>
      </c>
      <c r="F262" s="6" t="s">
        <v>1542</v>
      </c>
      <c r="G262" s="6" t="str">
        <f aca="false">INDEX(Archetypes!$D$2:$D$127, MATCH(D262, Archetypes!$A$2:$A$127, 0))</f>
        <v>Support</v>
      </c>
      <c r="H262" s="6" t="n">
        <f aca="false">ROUND(INDEX(Archetypes!$E$2:$E$127, MATCH(D262, Archetypes!$A$2:$A$127, 0))*INDEX(Unit_Grades!$B$2:$B$7, MATCH(F262, Unit_Grades!$A$2:$A$7, 0))*INDEX(Unit_Paths!$B$2:$B$4, MATCH(E262, Unit_Paths!$A$2:$A$4, 0)),1)</f>
        <v>13</v>
      </c>
      <c r="I262" s="6" t="n">
        <f aca="false">ROUND(INDEX(Archetypes!$F$2:$F$127, MATCH(D262, Archetypes!$A$2:$A$127, 0))*INDEX(Unit_Grades!$B$2:$B$7, MATCH(F262, Unit_Grades!$A$2:$A$7, 0))*INDEX(Unit_Paths!$C$2:$C$4, MATCH(E262, Unit_Paths!$A$2:$A$4, 0)),1)</f>
        <v>9.2</v>
      </c>
      <c r="J262" s="6" t="n">
        <f aca="false">ROUND(INDEX(Archetypes!$G$2:$G$127, MATCH(D262, Archetypes!$A$2:$A$127, 0))*INDEX(Unit_Grades!$B$2:$B$7, MATCH(F262, Unit_Grades!$A$2:$A$7, 0))*INDEX(Unit_Paths!$D$2:$D$4, MATCH(E262, Unit_Paths!$A$2:$A$4, 0)),0)</f>
        <v>68</v>
      </c>
      <c r="K262" s="6" t="n">
        <f aca="false">ROUND(INDEX(Archetypes!$H$2:$H$127, MATCH(D262, Archetypes!$A$2:$A$127, 0))*INDEX(Unit_Paths!$E$2:$E$4, MATCH(E262, Unit_Paths!$A$2:$A$4, 0)),1)</f>
        <v>15.8</v>
      </c>
      <c r="L262" s="6" t="n">
        <f aca="false">ROUND(INDEX(Archetypes!$I$2:$I$127, MATCH(D262, Archetypes!$A$2:$A$127, 0))*INDEX(Unit_Grades!$C$2:$C$7, MATCH(F262, Unit_Grades!$A$2:$A$7, 0)),1)</f>
        <v>6.4</v>
      </c>
      <c r="M262" s="6" t="n">
        <f aca="false">ROUND(INDEX(Archetypes!$J$2:$J$127, MATCH(D262, Archetypes!$A$2:$A$127, 0))*INDEX(Unit_Grades!$D$2:$D$7, MATCH(F262, Unit_Grades!$A$2:$A$7, 0)),1)</f>
        <v>4.1</v>
      </c>
      <c r="N262" s="6" t="n">
        <f aca="false">ROUND(M262/24,2)</f>
        <v>0.17</v>
      </c>
    </row>
    <row r="263" customFormat="false" ht="15" hidden="false" customHeight="true" outlineLevel="0" collapsed="false">
      <c r="A263" s="6" t="n">
        <v>1</v>
      </c>
      <c r="B263" s="6" t="s">
        <v>1816</v>
      </c>
      <c r="C263" s="6" t="s">
        <v>1286</v>
      </c>
      <c r="D263" s="6" t="str">
        <f aca="false">A263&amp;"|"&amp;C263</f>
        <v>1|Village Witch</v>
      </c>
      <c r="E263" s="6" t="s">
        <v>1558</v>
      </c>
      <c r="F263" s="6" t="s">
        <v>1544</v>
      </c>
      <c r="G263" s="6" t="str">
        <f aca="false">INDEX(Archetypes!$D$2:$D$127, MATCH(D263, Archetypes!$A$2:$A$127, 0))</f>
        <v>Support</v>
      </c>
      <c r="H263" s="6" t="n">
        <f aca="false">ROUND(INDEX(Archetypes!$E$2:$E$127, MATCH(D263, Archetypes!$A$2:$A$127, 0))*INDEX(Unit_Grades!$B$2:$B$7, MATCH(F263, Unit_Grades!$A$2:$A$7, 0))*INDEX(Unit_Paths!$B$2:$B$4, MATCH(E263, Unit_Paths!$A$2:$A$4, 0)),1)</f>
        <v>17.3</v>
      </c>
      <c r="I263" s="6" t="n">
        <f aca="false">ROUND(INDEX(Archetypes!$F$2:$F$127, MATCH(D263, Archetypes!$A$2:$A$127, 0))*INDEX(Unit_Grades!$B$2:$B$7, MATCH(F263, Unit_Grades!$A$2:$A$7, 0))*INDEX(Unit_Paths!$C$2:$C$4, MATCH(E263, Unit_Paths!$A$2:$A$4, 0)),1)</f>
        <v>12.2</v>
      </c>
      <c r="J263" s="6" t="n">
        <f aca="false">ROUND(INDEX(Archetypes!$G$2:$G$127, MATCH(D263, Archetypes!$A$2:$A$127, 0))*INDEX(Unit_Grades!$B$2:$B$7, MATCH(F263, Unit_Grades!$A$2:$A$7, 0))*INDEX(Unit_Paths!$D$2:$D$4, MATCH(E263, Unit_Paths!$A$2:$A$4, 0)),0)</f>
        <v>91</v>
      </c>
      <c r="K263" s="6" t="n">
        <f aca="false">ROUND(INDEX(Archetypes!$H$2:$H$127, MATCH(D263, Archetypes!$A$2:$A$127, 0))*INDEX(Unit_Paths!$E$2:$E$4, MATCH(E263, Unit_Paths!$A$2:$A$4, 0)),1)</f>
        <v>15.8</v>
      </c>
      <c r="L263" s="6" t="n">
        <f aca="false">ROUND(INDEX(Archetypes!$I$2:$I$127, MATCH(D263, Archetypes!$A$2:$A$127, 0))*INDEX(Unit_Grades!$C$2:$C$7, MATCH(F263, Unit_Grades!$A$2:$A$7, 0)),1)</f>
        <v>8.4</v>
      </c>
      <c r="M263" s="6" t="n">
        <f aca="false">ROUND(INDEX(Archetypes!$J$2:$J$127, MATCH(D263, Archetypes!$A$2:$A$127, 0))*INDEX(Unit_Grades!$D$2:$D$7, MATCH(F263, Unit_Grades!$A$2:$A$7, 0)),1)</f>
        <v>6.5</v>
      </c>
      <c r="N263" s="6" t="n">
        <f aca="false">ROUND(M263/24,2)</f>
        <v>0.27</v>
      </c>
    </row>
    <row r="264" customFormat="false" ht="15" hidden="false" customHeight="true" outlineLevel="0" collapsed="false">
      <c r="A264" s="6" t="n">
        <v>1</v>
      </c>
      <c r="B264" s="6" t="s">
        <v>1817</v>
      </c>
      <c r="C264" s="6" t="s">
        <v>1286</v>
      </c>
      <c r="D264" s="6" t="str">
        <f aca="false">A264&amp;"|"&amp;C264</f>
        <v>1|Village Witch</v>
      </c>
      <c r="E264" s="6" t="s">
        <v>1558</v>
      </c>
      <c r="F264" s="6" t="s">
        <v>1546</v>
      </c>
      <c r="G264" s="6" t="str">
        <f aca="false">INDEX(Archetypes!$D$2:$D$127, MATCH(D264, Archetypes!$A$2:$A$127, 0))</f>
        <v>Support</v>
      </c>
      <c r="H264" s="6" t="n">
        <f aca="false">ROUND(INDEX(Archetypes!$E$2:$E$127, MATCH(D264, Archetypes!$A$2:$A$127, 0))*INDEX(Unit_Grades!$B$2:$B$7, MATCH(F264, Unit_Grades!$A$2:$A$7, 0))*INDEX(Unit_Paths!$B$2:$B$4, MATCH(E264, Unit_Paths!$A$2:$A$4, 0)),1)</f>
        <v>23</v>
      </c>
      <c r="I264" s="6" t="n">
        <f aca="false">ROUND(INDEX(Archetypes!$F$2:$F$127, MATCH(D264, Archetypes!$A$2:$A$127, 0))*INDEX(Unit_Grades!$B$2:$B$7, MATCH(F264, Unit_Grades!$A$2:$A$7, 0))*INDEX(Unit_Paths!$C$2:$C$4, MATCH(E264, Unit_Paths!$A$2:$A$4, 0)),1)</f>
        <v>16.3</v>
      </c>
      <c r="J264" s="6" t="n">
        <f aca="false">ROUND(INDEX(Archetypes!$G$2:$G$127, MATCH(D264, Archetypes!$A$2:$A$127, 0))*INDEX(Unit_Grades!$B$2:$B$7, MATCH(F264, Unit_Grades!$A$2:$A$7, 0))*INDEX(Unit_Paths!$D$2:$D$4, MATCH(E264, Unit_Paths!$A$2:$A$4, 0)),0)</f>
        <v>122</v>
      </c>
      <c r="K264" s="6" t="n">
        <f aca="false">ROUND(INDEX(Archetypes!$H$2:$H$127, MATCH(D264, Archetypes!$A$2:$A$127, 0))*INDEX(Unit_Paths!$E$2:$E$4, MATCH(E264, Unit_Paths!$A$2:$A$4, 0)),1)</f>
        <v>15.8</v>
      </c>
      <c r="L264" s="6" t="n">
        <f aca="false">ROUND(INDEX(Archetypes!$I$2:$I$127, MATCH(D264, Archetypes!$A$2:$A$127, 0))*INDEX(Unit_Grades!$C$2:$C$7, MATCH(F264, Unit_Grades!$A$2:$A$7, 0)),1)</f>
        <v>11.2</v>
      </c>
      <c r="M264" s="6" t="n">
        <f aca="false">ROUND(INDEX(Archetypes!$J$2:$J$127, MATCH(D264, Archetypes!$A$2:$A$127, 0))*INDEX(Unit_Grades!$D$2:$D$7, MATCH(F264, Unit_Grades!$A$2:$A$7, 0)),1)</f>
        <v>11.3</v>
      </c>
      <c r="N264" s="6" t="n">
        <f aca="false">ROUND(M264/24,2)</f>
        <v>0.47</v>
      </c>
    </row>
    <row r="265" customFormat="false" ht="15" hidden="false" customHeight="true" outlineLevel="0" collapsed="false">
      <c r="A265" s="6" t="n">
        <v>1</v>
      </c>
      <c r="B265" s="6" t="s">
        <v>1818</v>
      </c>
      <c r="C265" s="6" t="s">
        <v>1286</v>
      </c>
      <c r="D265" s="6" t="str">
        <f aca="false">A265&amp;"|"&amp;C265</f>
        <v>1|Village Witch</v>
      </c>
      <c r="E265" s="6" t="s">
        <v>1558</v>
      </c>
      <c r="F265" s="6" t="s">
        <v>1548</v>
      </c>
      <c r="G265" s="6" t="str">
        <f aca="false">INDEX(Archetypes!$D$2:$D$127, MATCH(D265, Archetypes!$A$2:$A$127, 0))</f>
        <v>Support</v>
      </c>
      <c r="H265" s="6" t="n">
        <f aca="false">ROUND(INDEX(Archetypes!$E$2:$E$127, MATCH(D265, Archetypes!$A$2:$A$127, 0))*INDEX(Unit_Grades!$B$2:$B$7, MATCH(F265, Unit_Grades!$A$2:$A$7, 0))*INDEX(Unit_Paths!$B$2:$B$4, MATCH(E265, Unit_Paths!$A$2:$A$4, 0)),1)</f>
        <v>30.2</v>
      </c>
      <c r="I265" s="6" t="n">
        <f aca="false">ROUND(INDEX(Archetypes!$F$2:$F$127, MATCH(D265, Archetypes!$A$2:$A$127, 0))*INDEX(Unit_Grades!$B$2:$B$7, MATCH(F265, Unit_Grades!$A$2:$A$7, 0))*INDEX(Unit_Paths!$C$2:$C$4, MATCH(E265, Unit_Paths!$A$2:$A$4, 0)),1)</f>
        <v>21.4</v>
      </c>
      <c r="J265" s="6" t="n">
        <f aca="false">ROUND(INDEX(Archetypes!$G$2:$G$127, MATCH(D265, Archetypes!$A$2:$A$127, 0))*INDEX(Unit_Grades!$B$2:$B$7, MATCH(F265, Unit_Grades!$A$2:$A$7, 0))*INDEX(Unit_Paths!$D$2:$D$4, MATCH(E265, Unit_Paths!$A$2:$A$4, 0)),0)</f>
        <v>160</v>
      </c>
      <c r="K265" s="6" t="n">
        <f aca="false">ROUND(INDEX(Archetypes!$H$2:$H$127, MATCH(D265, Archetypes!$A$2:$A$127, 0))*INDEX(Unit_Paths!$E$2:$E$4, MATCH(E265, Unit_Paths!$A$2:$A$4, 0)),1)</f>
        <v>15.8</v>
      </c>
      <c r="L265" s="6" t="n">
        <f aca="false">ROUND(INDEX(Archetypes!$I$2:$I$127, MATCH(D265, Archetypes!$A$2:$A$127, 0))*INDEX(Unit_Grades!$C$2:$C$7, MATCH(F265, Unit_Grades!$A$2:$A$7, 0)),1)</f>
        <v>14.8</v>
      </c>
      <c r="M265" s="6" t="n">
        <f aca="false">ROUND(INDEX(Archetypes!$J$2:$J$127, MATCH(D265, Archetypes!$A$2:$A$127, 0))*INDEX(Unit_Grades!$D$2:$D$7, MATCH(F265, Unit_Grades!$A$2:$A$7, 0)),1)</f>
        <v>19.4</v>
      </c>
      <c r="N265" s="6" t="n">
        <f aca="false">ROUND(M265/24,2)</f>
        <v>0.81</v>
      </c>
    </row>
    <row r="266" customFormat="false" ht="15" hidden="false" customHeight="true" outlineLevel="0" collapsed="false">
      <c r="A266" s="6" t="n">
        <v>1</v>
      </c>
      <c r="B266" s="6" t="s">
        <v>1819</v>
      </c>
      <c r="C266" s="6" t="s">
        <v>1286</v>
      </c>
      <c r="D266" s="6" t="str">
        <f aca="false">A266&amp;"|"&amp;C266</f>
        <v>1|Village Witch</v>
      </c>
      <c r="E266" s="6" t="s">
        <v>1560</v>
      </c>
      <c r="F266" s="6" t="s">
        <v>1538</v>
      </c>
      <c r="G266" s="6" t="str">
        <f aca="false">INDEX(Archetypes!$D$2:$D$127, MATCH(D266, Archetypes!$A$2:$A$127, 0))</f>
        <v>Support</v>
      </c>
      <c r="H266" s="6" t="n">
        <f aca="false">ROUND(INDEX(Archetypes!$E$2:$E$127, MATCH(D266, Archetypes!$A$2:$A$127, 0))*INDEX(Unit_Grades!$B$2:$B$7, MATCH(F266, Unit_Grades!$A$2:$A$7, 0))*INDEX(Unit_Paths!$B$2:$B$4, MATCH(E266, Unit_Paths!$A$2:$A$4, 0)),1)</f>
        <v>5.1</v>
      </c>
      <c r="I266" s="6" t="n">
        <f aca="false">ROUND(INDEX(Archetypes!$F$2:$F$127, MATCH(D266, Archetypes!$A$2:$A$127, 0))*INDEX(Unit_Grades!$B$2:$B$7, MATCH(F266, Unit_Grades!$A$2:$A$7, 0))*INDEX(Unit_Paths!$C$2:$C$4, MATCH(E266, Unit_Paths!$A$2:$A$4, 0)),1)</f>
        <v>7.5</v>
      </c>
      <c r="J266" s="6" t="n">
        <f aca="false">ROUND(INDEX(Archetypes!$G$2:$G$127, MATCH(D266, Archetypes!$A$2:$A$127, 0))*INDEX(Unit_Grades!$B$2:$B$7, MATCH(F266, Unit_Grades!$A$2:$A$7, 0))*INDEX(Unit_Paths!$D$2:$D$4, MATCH(E266, Unit_Paths!$A$2:$A$4, 0)),0)</f>
        <v>46</v>
      </c>
      <c r="K266" s="6" t="n">
        <f aca="false">ROUND(INDEX(Archetypes!$H$2:$H$127, MATCH(D266, Archetypes!$A$2:$A$127, 0))*INDEX(Unit_Paths!$E$2:$E$4, MATCH(E266, Unit_Paths!$A$2:$A$4, 0)),1)</f>
        <v>13.8</v>
      </c>
      <c r="L266" s="6" t="n">
        <f aca="false">ROUND(INDEX(Archetypes!$I$2:$I$127, MATCH(D266, Archetypes!$A$2:$A$127, 0))*INDEX(Unit_Grades!$C$2:$C$7, MATCH(F266, Unit_Grades!$A$2:$A$7, 0)),1)</f>
        <v>4</v>
      </c>
      <c r="M266" s="6" t="n">
        <f aca="false">ROUND(INDEX(Archetypes!$J$2:$J$127, MATCH(D266, Archetypes!$A$2:$A$127, 0))*INDEX(Unit_Grades!$D$2:$D$7, MATCH(F266, Unit_Grades!$A$2:$A$7, 0)),1)</f>
        <v>1.6</v>
      </c>
      <c r="N266" s="6" t="n">
        <f aca="false">ROUND(M266/24,2)</f>
        <v>0.07</v>
      </c>
    </row>
    <row r="267" customFormat="false" ht="15" hidden="false" customHeight="true" outlineLevel="0" collapsed="false">
      <c r="A267" s="6" t="n">
        <v>1</v>
      </c>
      <c r="B267" s="6" t="s">
        <v>1820</v>
      </c>
      <c r="C267" s="6" t="s">
        <v>1286</v>
      </c>
      <c r="D267" s="6" t="str">
        <f aca="false">A267&amp;"|"&amp;C267</f>
        <v>1|Village Witch</v>
      </c>
      <c r="E267" s="6" t="s">
        <v>1560</v>
      </c>
      <c r="F267" s="6" t="s">
        <v>1540</v>
      </c>
      <c r="G267" s="6" t="str">
        <f aca="false">INDEX(Archetypes!$D$2:$D$127, MATCH(D267, Archetypes!$A$2:$A$127, 0))</f>
        <v>Support</v>
      </c>
      <c r="H267" s="6" t="n">
        <f aca="false">ROUND(INDEX(Archetypes!$E$2:$E$127, MATCH(D267, Archetypes!$A$2:$A$127, 0))*INDEX(Unit_Grades!$B$2:$B$7, MATCH(F267, Unit_Grades!$A$2:$A$7, 0))*INDEX(Unit_Paths!$B$2:$B$4, MATCH(E267, Unit_Paths!$A$2:$A$4, 0)),1)</f>
        <v>6.9</v>
      </c>
      <c r="I267" s="6" t="n">
        <f aca="false">ROUND(INDEX(Archetypes!$F$2:$F$127, MATCH(D267, Archetypes!$A$2:$A$127, 0))*INDEX(Unit_Grades!$B$2:$B$7, MATCH(F267, Unit_Grades!$A$2:$A$7, 0))*INDEX(Unit_Paths!$C$2:$C$4, MATCH(E267, Unit_Paths!$A$2:$A$4, 0)),1)</f>
        <v>10.1</v>
      </c>
      <c r="J267" s="6" t="n">
        <f aca="false">ROUND(INDEX(Archetypes!$G$2:$G$127, MATCH(D267, Archetypes!$A$2:$A$127, 0))*INDEX(Unit_Grades!$B$2:$B$7, MATCH(F267, Unit_Grades!$A$2:$A$7, 0))*INDEX(Unit_Paths!$D$2:$D$4, MATCH(E267, Unit_Paths!$A$2:$A$4, 0)),0)</f>
        <v>62</v>
      </c>
      <c r="K267" s="6" t="n">
        <f aca="false">ROUND(INDEX(Archetypes!$H$2:$H$127, MATCH(D267, Archetypes!$A$2:$A$127, 0))*INDEX(Unit_Paths!$E$2:$E$4, MATCH(E267, Unit_Paths!$A$2:$A$4, 0)),1)</f>
        <v>13.8</v>
      </c>
      <c r="L267" s="6" t="n">
        <f aca="false">ROUND(INDEX(Archetypes!$I$2:$I$127, MATCH(D267, Archetypes!$A$2:$A$127, 0))*INDEX(Unit_Grades!$C$2:$C$7, MATCH(F267, Unit_Grades!$A$2:$A$7, 0)),1)</f>
        <v>5</v>
      </c>
      <c r="M267" s="6" t="n">
        <f aca="false">ROUND(INDEX(Archetypes!$J$2:$J$127, MATCH(D267, Archetypes!$A$2:$A$127, 0))*INDEX(Unit_Grades!$D$2:$D$7, MATCH(F267, Unit_Grades!$A$2:$A$7, 0)),1)</f>
        <v>2.4</v>
      </c>
      <c r="N267" s="6" t="n">
        <f aca="false">ROUND(M267/24,2)</f>
        <v>0.1</v>
      </c>
    </row>
    <row r="268" customFormat="false" ht="15" hidden="false" customHeight="true" outlineLevel="0" collapsed="false">
      <c r="A268" s="6" t="n">
        <v>1</v>
      </c>
      <c r="B268" s="6" t="s">
        <v>1821</v>
      </c>
      <c r="C268" s="6" t="s">
        <v>1286</v>
      </c>
      <c r="D268" s="6" t="str">
        <f aca="false">A268&amp;"|"&amp;C268</f>
        <v>1|Village Witch</v>
      </c>
      <c r="E268" s="6" t="s">
        <v>1560</v>
      </c>
      <c r="F268" s="6" t="s">
        <v>1542</v>
      </c>
      <c r="G268" s="6" t="str">
        <f aca="false">INDEX(Archetypes!$D$2:$D$127, MATCH(D268, Archetypes!$A$2:$A$127, 0))</f>
        <v>Support</v>
      </c>
      <c r="H268" s="6" t="n">
        <f aca="false">ROUND(INDEX(Archetypes!$E$2:$E$127, MATCH(D268, Archetypes!$A$2:$A$127, 0))*INDEX(Unit_Grades!$B$2:$B$7, MATCH(F268, Unit_Grades!$A$2:$A$7, 0))*INDEX(Unit_Paths!$B$2:$B$4, MATCH(E268, Unit_Paths!$A$2:$A$4, 0)),1)</f>
        <v>9.2</v>
      </c>
      <c r="I268" s="6" t="n">
        <f aca="false">ROUND(INDEX(Archetypes!$F$2:$F$127, MATCH(D268, Archetypes!$A$2:$A$127, 0))*INDEX(Unit_Grades!$B$2:$B$7, MATCH(F268, Unit_Grades!$A$2:$A$7, 0))*INDEX(Unit_Paths!$C$2:$C$4, MATCH(E268, Unit_Paths!$A$2:$A$4, 0)),1)</f>
        <v>13.5</v>
      </c>
      <c r="J268" s="6" t="n">
        <f aca="false">ROUND(INDEX(Archetypes!$G$2:$G$127, MATCH(D268, Archetypes!$A$2:$A$127, 0))*INDEX(Unit_Grades!$B$2:$B$7, MATCH(F268, Unit_Grades!$A$2:$A$7, 0))*INDEX(Unit_Paths!$D$2:$D$4, MATCH(E268, Unit_Paths!$A$2:$A$4, 0)),0)</f>
        <v>83</v>
      </c>
      <c r="K268" s="6" t="n">
        <f aca="false">ROUND(INDEX(Archetypes!$H$2:$H$127, MATCH(D268, Archetypes!$A$2:$A$127, 0))*INDEX(Unit_Paths!$E$2:$E$4, MATCH(E268, Unit_Paths!$A$2:$A$4, 0)),1)</f>
        <v>13.8</v>
      </c>
      <c r="L268" s="6" t="n">
        <f aca="false">ROUND(INDEX(Archetypes!$I$2:$I$127, MATCH(D268, Archetypes!$A$2:$A$127, 0))*INDEX(Unit_Grades!$C$2:$C$7, MATCH(F268, Unit_Grades!$A$2:$A$7, 0)),1)</f>
        <v>6.4</v>
      </c>
      <c r="M268" s="6" t="n">
        <f aca="false">ROUND(INDEX(Archetypes!$J$2:$J$127, MATCH(D268, Archetypes!$A$2:$A$127, 0))*INDEX(Unit_Grades!$D$2:$D$7, MATCH(F268, Unit_Grades!$A$2:$A$7, 0)),1)</f>
        <v>4.1</v>
      </c>
      <c r="N268" s="6" t="n">
        <f aca="false">ROUND(M268/24,2)</f>
        <v>0.17</v>
      </c>
    </row>
    <row r="269" customFormat="false" ht="15" hidden="false" customHeight="true" outlineLevel="0" collapsed="false">
      <c r="A269" s="6" t="n">
        <v>1</v>
      </c>
      <c r="B269" s="6" t="s">
        <v>1822</v>
      </c>
      <c r="C269" s="6" t="s">
        <v>1286</v>
      </c>
      <c r="D269" s="6" t="str">
        <f aca="false">A269&amp;"|"&amp;C269</f>
        <v>1|Village Witch</v>
      </c>
      <c r="E269" s="6" t="s">
        <v>1560</v>
      </c>
      <c r="F269" s="6" t="s">
        <v>1544</v>
      </c>
      <c r="G269" s="6" t="str">
        <f aca="false">INDEX(Archetypes!$D$2:$D$127, MATCH(D269, Archetypes!$A$2:$A$127, 0))</f>
        <v>Support</v>
      </c>
      <c r="H269" s="6" t="n">
        <f aca="false">ROUND(INDEX(Archetypes!$E$2:$E$127, MATCH(D269, Archetypes!$A$2:$A$127, 0))*INDEX(Unit_Grades!$B$2:$B$7, MATCH(F269, Unit_Grades!$A$2:$A$7, 0))*INDEX(Unit_Paths!$B$2:$B$4, MATCH(E269, Unit_Paths!$A$2:$A$4, 0)),1)</f>
        <v>12.2</v>
      </c>
      <c r="I269" s="6" t="n">
        <f aca="false">ROUND(INDEX(Archetypes!$F$2:$F$127, MATCH(D269, Archetypes!$A$2:$A$127, 0))*INDEX(Unit_Grades!$B$2:$B$7, MATCH(F269, Unit_Grades!$A$2:$A$7, 0))*INDEX(Unit_Paths!$C$2:$C$4, MATCH(E269, Unit_Paths!$A$2:$A$4, 0)),1)</f>
        <v>18</v>
      </c>
      <c r="J269" s="6" t="n">
        <f aca="false">ROUND(INDEX(Archetypes!$G$2:$G$127, MATCH(D269, Archetypes!$A$2:$A$127, 0))*INDEX(Unit_Grades!$B$2:$B$7, MATCH(F269, Unit_Grades!$A$2:$A$7, 0))*INDEX(Unit_Paths!$D$2:$D$4, MATCH(E269, Unit_Paths!$A$2:$A$4, 0)),0)</f>
        <v>110</v>
      </c>
      <c r="K269" s="6" t="n">
        <f aca="false">ROUND(INDEX(Archetypes!$H$2:$H$127, MATCH(D269, Archetypes!$A$2:$A$127, 0))*INDEX(Unit_Paths!$E$2:$E$4, MATCH(E269, Unit_Paths!$A$2:$A$4, 0)),1)</f>
        <v>13.8</v>
      </c>
      <c r="L269" s="6" t="n">
        <f aca="false">ROUND(INDEX(Archetypes!$I$2:$I$127, MATCH(D269, Archetypes!$A$2:$A$127, 0))*INDEX(Unit_Grades!$C$2:$C$7, MATCH(F269, Unit_Grades!$A$2:$A$7, 0)),1)</f>
        <v>8.4</v>
      </c>
      <c r="M269" s="6" t="n">
        <f aca="false">ROUND(INDEX(Archetypes!$J$2:$J$127, MATCH(D269, Archetypes!$A$2:$A$127, 0))*INDEX(Unit_Grades!$D$2:$D$7, MATCH(F269, Unit_Grades!$A$2:$A$7, 0)),1)</f>
        <v>6.5</v>
      </c>
      <c r="N269" s="6" t="n">
        <f aca="false">ROUND(M269/24,2)</f>
        <v>0.27</v>
      </c>
    </row>
    <row r="270" customFormat="false" ht="15" hidden="false" customHeight="true" outlineLevel="0" collapsed="false">
      <c r="A270" s="6" t="n">
        <v>1</v>
      </c>
      <c r="B270" s="6" t="s">
        <v>1823</v>
      </c>
      <c r="C270" s="6" t="s">
        <v>1286</v>
      </c>
      <c r="D270" s="6" t="str">
        <f aca="false">A270&amp;"|"&amp;C270</f>
        <v>1|Village Witch</v>
      </c>
      <c r="E270" s="6" t="s">
        <v>1560</v>
      </c>
      <c r="F270" s="6" t="s">
        <v>1546</v>
      </c>
      <c r="G270" s="6" t="str">
        <f aca="false">INDEX(Archetypes!$D$2:$D$127, MATCH(D270, Archetypes!$A$2:$A$127, 0))</f>
        <v>Support</v>
      </c>
      <c r="H270" s="6" t="n">
        <f aca="false">ROUND(INDEX(Archetypes!$E$2:$E$127, MATCH(D270, Archetypes!$A$2:$A$127, 0))*INDEX(Unit_Grades!$B$2:$B$7, MATCH(F270, Unit_Grades!$A$2:$A$7, 0))*INDEX(Unit_Paths!$B$2:$B$4, MATCH(E270, Unit_Paths!$A$2:$A$4, 0)),1)</f>
        <v>16.3</v>
      </c>
      <c r="I270" s="6" t="n">
        <f aca="false">ROUND(INDEX(Archetypes!$F$2:$F$127, MATCH(D270, Archetypes!$A$2:$A$127, 0))*INDEX(Unit_Grades!$B$2:$B$7, MATCH(F270, Unit_Grades!$A$2:$A$7, 0))*INDEX(Unit_Paths!$C$2:$C$4, MATCH(E270, Unit_Paths!$A$2:$A$4, 0)),1)</f>
        <v>24</v>
      </c>
      <c r="J270" s="6" t="n">
        <f aca="false">ROUND(INDEX(Archetypes!$G$2:$G$127, MATCH(D270, Archetypes!$A$2:$A$127, 0))*INDEX(Unit_Grades!$B$2:$B$7, MATCH(F270, Unit_Grades!$A$2:$A$7, 0))*INDEX(Unit_Paths!$D$2:$D$4, MATCH(E270, Unit_Paths!$A$2:$A$4, 0)),0)</f>
        <v>147</v>
      </c>
      <c r="K270" s="6" t="n">
        <f aca="false">ROUND(INDEX(Archetypes!$H$2:$H$127, MATCH(D270, Archetypes!$A$2:$A$127, 0))*INDEX(Unit_Paths!$E$2:$E$4, MATCH(E270, Unit_Paths!$A$2:$A$4, 0)),1)</f>
        <v>13.8</v>
      </c>
      <c r="L270" s="6" t="n">
        <f aca="false">ROUND(INDEX(Archetypes!$I$2:$I$127, MATCH(D270, Archetypes!$A$2:$A$127, 0))*INDEX(Unit_Grades!$C$2:$C$7, MATCH(F270, Unit_Grades!$A$2:$A$7, 0)),1)</f>
        <v>11.2</v>
      </c>
      <c r="M270" s="6" t="n">
        <f aca="false">ROUND(INDEX(Archetypes!$J$2:$J$127, MATCH(D270, Archetypes!$A$2:$A$127, 0))*INDEX(Unit_Grades!$D$2:$D$7, MATCH(F270, Unit_Grades!$A$2:$A$7, 0)),1)</f>
        <v>11.3</v>
      </c>
      <c r="N270" s="6" t="n">
        <f aca="false">ROUND(M270/24,2)</f>
        <v>0.47</v>
      </c>
    </row>
    <row r="271" customFormat="false" ht="15" hidden="false" customHeight="true" outlineLevel="0" collapsed="false">
      <c r="A271" s="6" t="n">
        <v>1</v>
      </c>
      <c r="B271" s="6" t="s">
        <v>1824</v>
      </c>
      <c r="C271" s="6" t="s">
        <v>1286</v>
      </c>
      <c r="D271" s="6" t="str">
        <f aca="false">A271&amp;"|"&amp;C271</f>
        <v>1|Village Witch</v>
      </c>
      <c r="E271" s="6" t="s">
        <v>1560</v>
      </c>
      <c r="F271" s="6" t="s">
        <v>1548</v>
      </c>
      <c r="G271" s="6" t="str">
        <f aca="false">INDEX(Archetypes!$D$2:$D$127, MATCH(D271, Archetypes!$A$2:$A$127, 0))</f>
        <v>Support</v>
      </c>
      <c r="H271" s="6" t="n">
        <f aca="false">ROUND(INDEX(Archetypes!$E$2:$E$127, MATCH(D271, Archetypes!$A$2:$A$127, 0))*INDEX(Unit_Grades!$B$2:$B$7, MATCH(F271, Unit_Grades!$A$2:$A$7, 0))*INDEX(Unit_Paths!$B$2:$B$4, MATCH(E271, Unit_Paths!$A$2:$A$4, 0)),1)</f>
        <v>21.4</v>
      </c>
      <c r="I271" s="6" t="n">
        <f aca="false">ROUND(INDEX(Archetypes!$F$2:$F$127, MATCH(D271, Archetypes!$A$2:$A$127, 0))*INDEX(Unit_Grades!$B$2:$B$7, MATCH(F271, Unit_Grades!$A$2:$A$7, 0))*INDEX(Unit_Paths!$C$2:$C$4, MATCH(E271, Unit_Paths!$A$2:$A$4, 0)),1)</f>
        <v>31.5</v>
      </c>
      <c r="J271" s="6" t="n">
        <f aca="false">ROUND(INDEX(Archetypes!$G$2:$G$127, MATCH(D271, Archetypes!$A$2:$A$127, 0))*INDEX(Unit_Grades!$B$2:$B$7, MATCH(F271, Unit_Grades!$A$2:$A$7, 0))*INDEX(Unit_Paths!$D$2:$D$4, MATCH(E271, Unit_Paths!$A$2:$A$4, 0)),0)</f>
        <v>193</v>
      </c>
      <c r="K271" s="6" t="n">
        <f aca="false">ROUND(INDEX(Archetypes!$H$2:$H$127, MATCH(D271, Archetypes!$A$2:$A$127, 0))*INDEX(Unit_Paths!$E$2:$E$4, MATCH(E271, Unit_Paths!$A$2:$A$4, 0)),1)</f>
        <v>13.8</v>
      </c>
      <c r="L271" s="6" t="n">
        <f aca="false">ROUND(INDEX(Archetypes!$I$2:$I$127, MATCH(D271, Archetypes!$A$2:$A$127, 0))*INDEX(Unit_Grades!$C$2:$C$7, MATCH(F271, Unit_Grades!$A$2:$A$7, 0)),1)</f>
        <v>14.8</v>
      </c>
      <c r="M271" s="6" t="n">
        <f aca="false">ROUND(INDEX(Archetypes!$J$2:$J$127, MATCH(D271, Archetypes!$A$2:$A$127, 0))*INDEX(Unit_Grades!$D$2:$D$7, MATCH(F271, Unit_Grades!$A$2:$A$7, 0)),1)</f>
        <v>19.4</v>
      </c>
      <c r="N271" s="6" t="n">
        <f aca="false">ROUND(M271/24,2)</f>
        <v>0.81</v>
      </c>
    </row>
    <row r="272" customFormat="false" ht="15" hidden="false" customHeight="true" outlineLevel="0" collapsed="false">
      <c r="A272" s="6" t="n">
        <v>1</v>
      </c>
      <c r="B272" s="6" t="s">
        <v>1289</v>
      </c>
      <c r="C272" s="6" t="s">
        <v>1289</v>
      </c>
      <c r="D272" s="6" t="str">
        <f aca="false">A272&amp;"|"&amp;C272</f>
        <v>1|Beast Tamer</v>
      </c>
      <c r="E272" s="6" t="s">
        <v>1556</v>
      </c>
      <c r="F272" s="6" t="s">
        <v>1538</v>
      </c>
      <c r="G272" s="6" t="str">
        <f aca="false">INDEX(Archetypes!$D$2:$D$127, MATCH(D272, Archetypes!$A$2:$A$127, 0))</f>
        <v>Support</v>
      </c>
      <c r="H272" s="6" t="n">
        <f aca="false">ROUND(INDEX(Archetypes!$E$2:$E$127, MATCH(D272, Archetypes!$A$2:$A$127, 0))*INDEX(Unit_Grades!$B$2:$B$7, MATCH(F272, Unit_Grades!$A$2:$A$7, 0))*INDEX(Unit_Paths!$B$2:$B$4, MATCH(E272, Unit_Paths!$A$2:$A$4, 0)),1)</f>
        <v>10</v>
      </c>
      <c r="I272" s="6" t="n">
        <f aca="false">ROUND(INDEX(Archetypes!$F$2:$F$127, MATCH(D272, Archetypes!$A$2:$A$127, 0))*INDEX(Unit_Grades!$B$2:$B$7, MATCH(F272, Unit_Grades!$A$2:$A$7, 0))*INDEX(Unit_Paths!$C$2:$C$4, MATCH(E272, Unit_Paths!$A$2:$A$4, 0)),1)</f>
        <v>8</v>
      </c>
      <c r="J272" s="6" t="n">
        <f aca="false">ROUND(INDEX(Archetypes!$G$2:$G$127, MATCH(D272, Archetypes!$A$2:$A$127, 0))*INDEX(Unit_Grades!$B$2:$B$7, MATCH(F272, Unit_Grades!$A$2:$A$7, 0))*INDEX(Unit_Paths!$D$2:$D$4, MATCH(E272, Unit_Paths!$A$2:$A$4, 0)),0)</f>
        <v>55</v>
      </c>
      <c r="K272" s="6" t="n">
        <f aca="false">ROUND(INDEX(Archetypes!$H$2:$H$127, MATCH(D272, Archetypes!$A$2:$A$127, 0))*INDEX(Unit_Paths!$E$2:$E$4, MATCH(E272, Unit_Paths!$A$2:$A$4, 0)),1)</f>
        <v>20</v>
      </c>
      <c r="L272" s="6" t="n">
        <f aca="false">ROUND(INDEX(Archetypes!$I$2:$I$127, MATCH(D272, Archetypes!$A$2:$A$127, 0))*INDEX(Unit_Grades!$C$2:$C$7, MATCH(F272, Unit_Grades!$A$2:$A$7, 0)),1)</f>
        <v>4</v>
      </c>
      <c r="M272" s="6" t="n">
        <f aca="false">ROUND(INDEX(Archetypes!$J$2:$J$127, MATCH(D272, Archetypes!$A$2:$A$127, 0))*INDEX(Unit_Grades!$D$2:$D$7, MATCH(F272, Unit_Grades!$A$2:$A$7, 0)),1)</f>
        <v>1.6</v>
      </c>
      <c r="N272" s="6" t="n">
        <f aca="false">ROUND(M272/24,2)</f>
        <v>0.07</v>
      </c>
    </row>
    <row r="273" customFormat="false" ht="15" hidden="false" customHeight="true" outlineLevel="0" collapsed="false">
      <c r="A273" s="6" t="n">
        <v>1</v>
      </c>
      <c r="B273" s="6" t="s">
        <v>1825</v>
      </c>
      <c r="C273" s="6" t="s">
        <v>1289</v>
      </c>
      <c r="D273" s="6" t="str">
        <f aca="false">A273&amp;"|"&amp;C273</f>
        <v>1|Beast Tamer</v>
      </c>
      <c r="E273" s="6" t="s">
        <v>1556</v>
      </c>
      <c r="F273" s="6" t="s">
        <v>1540</v>
      </c>
      <c r="G273" s="6" t="str">
        <f aca="false">INDEX(Archetypes!$D$2:$D$127, MATCH(D273, Archetypes!$A$2:$A$127, 0))</f>
        <v>Support</v>
      </c>
      <c r="H273" s="6" t="n">
        <f aca="false">ROUND(INDEX(Archetypes!$E$2:$E$127, MATCH(D273, Archetypes!$A$2:$A$127, 0))*INDEX(Unit_Grades!$B$2:$B$7, MATCH(F273, Unit_Grades!$A$2:$A$7, 0))*INDEX(Unit_Paths!$B$2:$B$4, MATCH(E273, Unit_Paths!$A$2:$A$4, 0)),1)</f>
        <v>13.5</v>
      </c>
      <c r="I273" s="6" t="n">
        <f aca="false">ROUND(INDEX(Archetypes!$F$2:$F$127, MATCH(D273, Archetypes!$A$2:$A$127, 0))*INDEX(Unit_Grades!$B$2:$B$7, MATCH(F273, Unit_Grades!$A$2:$A$7, 0))*INDEX(Unit_Paths!$C$2:$C$4, MATCH(E273, Unit_Paths!$A$2:$A$4, 0)),1)</f>
        <v>10.8</v>
      </c>
      <c r="J273" s="6" t="n">
        <f aca="false">ROUND(INDEX(Archetypes!$G$2:$G$127, MATCH(D273, Archetypes!$A$2:$A$127, 0))*INDEX(Unit_Grades!$B$2:$B$7, MATCH(F273, Unit_Grades!$A$2:$A$7, 0))*INDEX(Unit_Paths!$D$2:$D$4, MATCH(E273, Unit_Paths!$A$2:$A$4, 0)),0)</f>
        <v>74</v>
      </c>
      <c r="K273" s="6" t="n">
        <f aca="false">ROUND(INDEX(Archetypes!$H$2:$H$127, MATCH(D273, Archetypes!$A$2:$A$127, 0))*INDEX(Unit_Paths!$E$2:$E$4, MATCH(E273, Unit_Paths!$A$2:$A$4, 0)),1)</f>
        <v>20</v>
      </c>
      <c r="L273" s="6" t="n">
        <f aca="false">ROUND(INDEX(Archetypes!$I$2:$I$127, MATCH(D273, Archetypes!$A$2:$A$127, 0))*INDEX(Unit_Grades!$C$2:$C$7, MATCH(F273, Unit_Grades!$A$2:$A$7, 0)),1)</f>
        <v>5</v>
      </c>
      <c r="M273" s="6" t="n">
        <f aca="false">ROUND(INDEX(Archetypes!$J$2:$J$127, MATCH(D273, Archetypes!$A$2:$A$127, 0))*INDEX(Unit_Grades!$D$2:$D$7, MATCH(F273, Unit_Grades!$A$2:$A$7, 0)),1)</f>
        <v>2.4</v>
      </c>
      <c r="N273" s="6" t="n">
        <f aca="false">ROUND(M273/24,2)</f>
        <v>0.1</v>
      </c>
    </row>
    <row r="274" customFormat="false" ht="15" hidden="false" customHeight="true" outlineLevel="0" collapsed="false">
      <c r="A274" s="6" t="n">
        <v>1</v>
      </c>
      <c r="B274" s="6" t="s">
        <v>1826</v>
      </c>
      <c r="C274" s="6" t="s">
        <v>1289</v>
      </c>
      <c r="D274" s="6" t="str">
        <f aca="false">A274&amp;"|"&amp;C274</f>
        <v>1|Beast Tamer</v>
      </c>
      <c r="E274" s="6" t="s">
        <v>1556</v>
      </c>
      <c r="F274" s="6" t="s">
        <v>1542</v>
      </c>
      <c r="G274" s="6" t="str">
        <f aca="false">INDEX(Archetypes!$D$2:$D$127, MATCH(D274, Archetypes!$A$2:$A$127, 0))</f>
        <v>Support</v>
      </c>
      <c r="H274" s="6" t="n">
        <f aca="false">ROUND(INDEX(Archetypes!$E$2:$E$127, MATCH(D274, Archetypes!$A$2:$A$127, 0))*INDEX(Unit_Grades!$B$2:$B$7, MATCH(F274, Unit_Grades!$A$2:$A$7, 0))*INDEX(Unit_Paths!$B$2:$B$4, MATCH(E274, Unit_Paths!$A$2:$A$4, 0)),1)</f>
        <v>18</v>
      </c>
      <c r="I274" s="6" t="n">
        <f aca="false">ROUND(INDEX(Archetypes!$F$2:$F$127, MATCH(D274, Archetypes!$A$2:$A$127, 0))*INDEX(Unit_Grades!$B$2:$B$7, MATCH(F274, Unit_Grades!$A$2:$A$7, 0))*INDEX(Unit_Paths!$C$2:$C$4, MATCH(E274, Unit_Paths!$A$2:$A$4, 0)),1)</f>
        <v>14.4</v>
      </c>
      <c r="J274" s="6" t="n">
        <f aca="false">ROUND(INDEX(Archetypes!$G$2:$G$127, MATCH(D274, Archetypes!$A$2:$A$127, 0))*INDEX(Unit_Grades!$B$2:$B$7, MATCH(F274, Unit_Grades!$A$2:$A$7, 0))*INDEX(Unit_Paths!$D$2:$D$4, MATCH(E274, Unit_Paths!$A$2:$A$4, 0)),0)</f>
        <v>99</v>
      </c>
      <c r="K274" s="6" t="n">
        <f aca="false">ROUND(INDEX(Archetypes!$H$2:$H$127, MATCH(D274, Archetypes!$A$2:$A$127, 0))*INDEX(Unit_Paths!$E$2:$E$4, MATCH(E274, Unit_Paths!$A$2:$A$4, 0)),1)</f>
        <v>20</v>
      </c>
      <c r="L274" s="6" t="n">
        <f aca="false">ROUND(INDEX(Archetypes!$I$2:$I$127, MATCH(D274, Archetypes!$A$2:$A$127, 0))*INDEX(Unit_Grades!$C$2:$C$7, MATCH(F274, Unit_Grades!$A$2:$A$7, 0)),1)</f>
        <v>6.4</v>
      </c>
      <c r="M274" s="6" t="n">
        <f aca="false">ROUND(INDEX(Archetypes!$J$2:$J$127, MATCH(D274, Archetypes!$A$2:$A$127, 0))*INDEX(Unit_Grades!$D$2:$D$7, MATCH(F274, Unit_Grades!$A$2:$A$7, 0)),1)</f>
        <v>4.1</v>
      </c>
      <c r="N274" s="6" t="n">
        <f aca="false">ROUND(M274/24,2)</f>
        <v>0.17</v>
      </c>
    </row>
    <row r="275" customFormat="false" ht="15" hidden="false" customHeight="true" outlineLevel="0" collapsed="false">
      <c r="A275" s="6" t="n">
        <v>1</v>
      </c>
      <c r="B275" s="6" t="s">
        <v>1827</v>
      </c>
      <c r="C275" s="6" t="s">
        <v>1289</v>
      </c>
      <c r="D275" s="6" t="str">
        <f aca="false">A275&amp;"|"&amp;C275</f>
        <v>1|Beast Tamer</v>
      </c>
      <c r="E275" s="6" t="s">
        <v>1556</v>
      </c>
      <c r="F275" s="6" t="s">
        <v>1544</v>
      </c>
      <c r="G275" s="6" t="str">
        <f aca="false">INDEX(Archetypes!$D$2:$D$127, MATCH(D275, Archetypes!$A$2:$A$127, 0))</f>
        <v>Support</v>
      </c>
      <c r="H275" s="6" t="n">
        <f aca="false">ROUND(INDEX(Archetypes!$E$2:$E$127, MATCH(D275, Archetypes!$A$2:$A$127, 0))*INDEX(Unit_Grades!$B$2:$B$7, MATCH(F275, Unit_Grades!$A$2:$A$7, 0))*INDEX(Unit_Paths!$B$2:$B$4, MATCH(E275, Unit_Paths!$A$2:$A$4, 0)),1)</f>
        <v>24</v>
      </c>
      <c r="I275" s="6" t="n">
        <f aca="false">ROUND(INDEX(Archetypes!$F$2:$F$127, MATCH(D275, Archetypes!$A$2:$A$127, 0))*INDEX(Unit_Grades!$B$2:$B$7, MATCH(F275, Unit_Grades!$A$2:$A$7, 0))*INDEX(Unit_Paths!$C$2:$C$4, MATCH(E275, Unit_Paths!$A$2:$A$4, 0)),1)</f>
        <v>19.2</v>
      </c>
      <c r="J275" s="6" t="n">
        <f aca="false">ROUND(INDEX(Archetypes!$G$2:$G$127, MATCH(D275, Archetypes!$A$2:$A$127, 0))*INDEX(Unit_Grades!$B$2:$B$7, MATCH(F275, Unit_Grades!$A$2:$A$7, 0))*INDEX(Unit_Paths!$D$2:$D$4, MATCH(E275, Unit_Paths!$A$2:$A$4, 0)),0)</f>
        <v>132</v>
      </c>
      <c r="K275" s="6" t="n">
        <f aca="false">ROUND(INDEX(Archetypes!$H$2:$H$127, MATCH(D275, Archetypes!$A$2:$A$127, 0))*INDEX(Unit_Paths!$E$2:$E$4, MATCH(E275, Unit_Paths!$A$2:$A$4, 0)),1)</f>
        <v>20</v>
      </c>
      <c r="L275" s="6" t="n">
        <f aca="false">ROUND(INDEX(Archetypes!$I$2:$I$127, MATCH(D275, Archetypes!$A$2:$A$127, 0))*INDEX(Unit_Grades!$C$2:$C$7, MATCH(F275, Unit_Grades!$A$2:$A$7, 0)),1)</f>
        <v>8.4</v>
      </c>
      <c r="M275" s="6" t="n">
        <f aca="false">ROUND(INDEX(Archetypes!$J$2:$J$127, MATCH(D275, Archetypes!$A$2:$A$127, 0))*INDEX(Unit_Grades!$D$2:$D$7, MATCH(F275, Unit_Grades!$A$2:$A$7, 0)),1)</f>
        <v>6.5</v>
      </c>
      <c r="N275" s="6" t="n">
        <f aca="false">ROUND(M275/24,2)</f>
        <v>0.27</v>
      </c>
    </row>
    <row r="276" customFormat="false" ht="15" hidden="false" customHeight="true" outlineLevel="0" collapsed="false">
      <c r="A276" s="6" t="n">
        <v>1</v>
      </c>
      <c r="B276" s="6" t="s">
        <v>1828</v>
      </c>
      <c r="C276" s="6" t="s">
        <v>1289</v>
      </c>
      <c r="D276" s="6" t="str">
        <f aca="false">A276&amp;"|"&amp;C276</f>
        <v>1|Beast Tamer</v>
      </c>
      <c r="E276" s="6" t="s">
        <v>1556</v>
      </c>
      <c r="F276" s="6" t="s">
        <v>1546</v>
      </c>
      <c r="G276" s="6" t="str">
        <f aca="false">INDEX(Archetypes!$D$2:$D$127, MATCH(D276, Archetypes!$A$2:$A$127, 0))</f>
        <v>Support</v>
      </c>
      <c r="H276" s="6" t="n">
        <f aca="false">ROUND(INDEX(Archetypes!$E$2:$E$127, MATCH(D276, Archetypes!$A$2:$A$127, 0))*INDEX(Unit_Grades!$B$2:$B$7, MATCH(F276, Unit_Grades!$A$2:$A$7, 0))*INDEX(Unit_Paths!$B$2:$B$4, MATCH(E276, Unit_Paths!$A$2:$A$4, 0)),1)</f>
        <v>32</v>
      </c>
      <c r="I276" s="6" t="n">
        <f aca="false">ROUND(INDEX(Archetypes!$F$2:$F$127, MATCH(D276, Archetypes!$A$2:$A$127, 0))*INDEX(Unit_Grades!$B$2:$B$7, MATCH(F276, Unit_Grades!$A$2:$A$7, 0))*INDEX(Unit_Paths!$C$2:$C$4, MATCH(E276, Unit_Paths!$A$2:$A$4, 0)),1)</f>
        <v>25.6</v>
      </c>
      <c r="J276" s="6" t="n">
        <f aca="false">ROUND(INDEX(Archetypes!$G$2:$G$127, MATCH(D276, Archetypes!$A$2:$A$127, 0))*INDEX(Unit_Grades!$B$2:$B$7, MATCH(F276, Unit_Grades!$A$2:$A$7, 0))*INDEX(Unit_Paths!$D$2:$D$4, MATCH(E276, Unit_Paths!$A$2:$A$4, 0)),0)</f>
        <v>176</v>
      </c>
      <c r="K276" s="6" t="n">
        <f aca="false">ROUND(INDEX(Archetypes!$H$2:$H$127, MATCH(D276, Archetypes!$A$2:$A$127, 0))*INDEX(Unit_Paths!$E$2:$E$4, MATCH(E276, Unit_Paths!$A$2:$A$4, 0)),1)</f>
        <v>20</v>
      </c>
      <c r="L276" s="6" t="n">
        <f aca="false">ROUND(INDEX(Archetypes!$I$2:$I$127, MATCH(D276, Archetypes!$A$2:$A$127, 0))*INDEX(Unit_Grades!$C$2:$C$7, MATCH(F276, Unit_Grades!$A$2:$A$7, 0)),1)</f>
        <v>11.2</v>
      </c>
      <c r="M276" s="6" t="n">
        <f aca="false">ROUND(INDEX(Archetypes!$J$2:$J$127, MATCH(D276, Archetypes!$A$2:$A$127, 0))*INDEX(Unit_Grades!$D$2:$D$7, MATCH(F276, Unit_Grades!$A$2:$A$7, 0)),1)</f>
        <v>11.3</v>
      </c>
      <c r="N276" s="6" t="n">
        <f aca="false">ROUND(M276/24,2)</f>
        <v>0.47</v>
      </c>
    </row>
    <row r="277" customFormat="false" ht="15" hidden="false" customHeight="true" outlineLevel="0" collapsed="false">
      <c r="A277" s="6" t="n">
        <v>1</v>
      </c>
      <c r="B277" s="6" t="s">
        <v>1829</v>
      </c>
      <c r="C277" s="6" t="s">
        <v>1289</v>
      </c>
      <c r="D277" s="6" t="str">
        <f aca="false">A277&amp;"|"&amp;C277</f>
        <v>1|Beast Tamer</v>
      </c>
      <c r="E277" s="6" t="s">
        <v>1556</v>
      </c>
      <c r="F277" s="6" t="s">
        <v>1548</v>
      </c>
      <c r="G277" s="6" t="str">
        <f aca="false">INDEX(Archetypes!$D$2:$D$127, MATCH(D277, Archetypes!$A$2:$A$127, 0))</f>
        <v>Support</v>
      </c>
      <c r="H277" s="6" t="n">
        <f aca="false">ROUND(INDEX(Archetypes!$E$2:$E$127, MATCH(D277, Archetypes!$A$2:$A$127, 0))*INDEX(Unit_Grades!$B$2:$B$7, MATCH(F277, Unit_Grades!$A$2:$A$7, 0))*INDEX(Unit_Paths!$B$2:$B$4, MATCH(E277, Unit_Paths!$A$2:$A$4, 0)),1)</f>
        <v>42</v>
      </c>
      <c r="I277" s="6" t="n">
        <f aca="false">ROUND(INDEX(Archetypes!$F$2:$F$127, MATCH(D277, Archetypes!$A$2:$A$127, 0))*INDEX(Unit_Grades!$B$2:$B$7, MATCH(F277, Unit_Grades!$A$2:$A$7, 0))*INDEX(Unit_Paths!$C$2:$C$4, MATCH(E277, Unit_Paths!$A$2:$A$4, 0)),1)</f>
        <v>33.6</v>
      </c>
      <c r="J277" s="6" t="n">
        <f aca="false">ROUND(INDEX(Archetypes!$G$2:$G$127, MATCH(D277, Archetypes!$A$2:$A$127, 0))*INDEX(Unit_Grades!$B$2:$B$7, MATCH(F277, Unit_Grades!$A$2:$A$7, 0))*INDEX(Unit_Paths!$D$2:$D$4, MATCH(E277, Unit_Paths!$A$2:$A$4, 0)),0)</f>
        <v>231</v>
      </c>
      <c r="K277" s="6" t="n">
        <f aca="false">ROUND(INDEX(Archetypes!$H$2:$H$127, MATCH(D277, Archetypes!$A$2:$A$127, 0))*INDEX(Unit_Paths!$E$2:$E$4, MATCH(E277, Unit_Paths!$A$2:$A$4, 0)),1)</f>
        <v>20</v>
      </c>
      <c r="L277" s="6" t="n">
        <f aca="false">ROUND(INDEX(Archetypes!$I$2:$I$127, MATCH(D277, Archetypes!$A$2:$A$127, 0))*INDEX(Unit_Grades!$C$2:$C$7, MATCH(F277, Unit_Grades!$A$2:$A$7, 0)),1)</f>
        <v>14.8</v>
      </c>
      <c r="M277" s="6" t="n">
        <f aca="false">ROUND(INDEX(Archetypes!$J$2:$J$127, MATCH(D277, Archetypes!$A$2:$A$127, 0))*INDEX(Unit_Grades!$D$2:$D$7, MATCH(F277, Unit_Grades!$A$2:$A$7, 0)),1)</f>
        <v>19.4</v>
      </c>
      <c r="N277" s="6" t="n">
        <f aca="false">ROUND(M277/24,2)</f>
        <v>0.81</v>
      </c>
    </row>
    <row r="278" customFormat="false" ht="15" hidden="false" customHeight="true" outlineLevel="0" collapsed="false">
      <c r="A278" s="6" t="n">
        <v>1</v>
      </c>
      <c r="B278" s="6" t="s">
        <v>1830</v>
      </c>
      <c r="C278" s="6" t="s">
        <v>1289</v>
      </c>
      <c r="D278" s="6" t="str">
        <f aca="false">A278&amp;"|"&amp;C278</f>
        <v>1|Beast Tamer</v>
      </c>
      <c r="E278" s="6" t="s">
        <v>1558</v>
      </c>
      <c r="F278" s="6" t="s">
        <v>1538</v>
      </c>
      <c r="G278" s="6" t="str">
        <f aca="false">INDEX(Archetypes!$D$2:$D$127, MATCH(D278, Archetypes!$A$2:$A$127, 0))</f>
        <v>Support</v>
      </c>
      <c r="H278" s="6" t="n">
        <f aca="false">ROUND(INDEX(Archetypes!$E$2:$E$127, MATCH(D278, Archetypes!$A$2:$A$127, 0))*INDEX(Unit_Grades!$B$2:$B$7, MATCH(F278, Unit_Grades!$A$2:$A$7, 0))*INDEX(Unit_Paths!$B$2:$B$4, MATCH(E278, Unit_Paths!$A$2:$A$4, 0)),1)</f>
        <v>12</v>
      </c>
      <c r="I278" s="6" t="n">
        <f aca="false">ROUND(INDEX(Archetypes!$F$2:$F$127, MATCH(D278, Archetypes!$A$2:$A$127, 0))*INDEX(Unit_Grades!$B$2:$B$7, MATCH(F278, Unit_Grades!$A$2:$A$7, 0))*INDEX(Unit_Paths!$C$2:$C$4, MATCH(E278, Unit_Paths!$A$2:$A$4, 0)),1)</f>
        <v>6.8</v>
      </c>
      <c r="J278" s="6" t="n">
        <f aca="false">ROUND(INDEX(Archetypes!$G$2:$G$127, MATCH(D278, Archetypes!$A$2:$A$127, 0))*INDEX(Unit_Grades!$B$2:$B$7, MATCH(F278, Unit_Grades!$A$2:$A$7, 0))*INDEX(Unit_Paths!$D$2:$D$4, MATCH(E278, Unit_Paths!$A$2:$A$4, 0)),0)</f>
        <v>52</v>
      </c>
      <c r="K278" s="6" t="n">
        <f aca="false">ROUND(INDEX(Archetypes!$H$2:$H$127, MATCH(D278, Archetypes!$A$2:$A$127, 0))*INDEX(Unit_Paths!$E$2:$E$4, MATCH(E278, Unit_Paths!$A$2:$A$4, 0)),1)</f>
        <v>21</v>
      </c>
      <c r="L278" s="6" t="n">
        <f aca="false">ROUND(INDEX(Archetypes!$I$2:$I$127, MATCH(D278, Archetypes!$A$2:$A$127, 0))*INDEX(Unit_Grades!$C$2:$C$7, MATCH(F278, Unit_Grades!$A$2:$A$7, 0)),1)</f>
        <v>4</v>
      </c>
      <c r="M278" s="6" t="n">
        <f aca="false">ROUND(INDEX(Archetypes!$J$2:$J$127, MATCH(D278, Archetypes!$A$2:$A$127, 0))*INDEX(Unit_Grades!$D$2:$D$7, MATCH(F278, Unit_Grades!$A$2:$A$7, 0)),1)</f>
        <v>1.6</v>
      </c>
      <c r="N278" s="6" t="n">
        <f aca="false">ROUND(M278/24,2)</f>
        <v>0.07</v>
      </c>
    </row>
    <row r="279" customFormat="false" ht="15" hidden="false" customHeight="true" outlineLevel="0" collapsed="false">
      <c r="A279" s="6" t="n">
        <v>1</v>
      </c>
      <c r="B279" s="6" t="s">
        <v>1831</v>
      </c>
      <c r="C279" s="6" t="s">
        <v>1289</v>
      </c>
      <c r="D279" s="6" t="str">
        <f aca="false">A279&amp;"|"&amp;C279</f>
        <v>1|Beast Tamer</v>
      </c>
      <c r="E279" s="6" t="s">
        <v>1558</v>
      </c>
      <c r="F279" s="6" t="s">
        <v>1540</v>
      </c>
      <c r="G279" s="6" t="str">
        <f aca="false">INDEX(Archetypes!$D$2:$D$127, MATCH(D279, Archetypes!$A$2:$A$127, 0))</f>
        <v>Support</v>
      </c>
      <c r="H279" s="6" t="n">
        <f aca="false">ROUND(INDEX(Archetypes!$E$2:$E$127, MATCH(D279, Archetypes!$A$2:$A$127, 0))*INDEX(Unit_Grades!$B$2:$B$7, MATCH(F279, Unit_Grades!$A$2:$A$7, 0))*INDEX(Unit_Paths!$B$2:$B$4, MATCH(E279, Unit_Paths!$A$2:$A$4, 0)),1)</f>
        <v>16.2</v>
      </c>
      <c r="I279" s="6" t="n">
        <f aca="false">ROUND(INDEX(Archetypes!$F$2:$F$127, MATCH(D279, Archetypes!$A$2:$A$127, 0))*INDEX(Unit_Grades!$B$2:$B$7, MATCH(F279, Unit_Grades!$A$2:$A$7, 0))*INDEX(Unit_Paths!$C$2:$C$4, MATCH(E279, Unit_Paths!$A$2:$A$4, 0)),1)</f>
        <v>9.2</v>
      </c>
      <c r="J279" s="6" t="n">
        <f aca="false">ROUND(INDEX(Archetypes!$G$2:$G$127, MATCH(D279, Archetypes!$A$2:$A$127, 0))*INDEX(Unit_Grades!$B$2:$B$7, MATCH(F279, Unit_Grades!$A$2:$A$7, 0))*INDEX(Unit_Paths!$D$2:$D$4, MATCH(E279, Unit_Paths!$A$2:$A$4, 0)),0)</f>
        <v>71</v>
      </c>
      <c r="K279" s="6" t="n">
        <f aca="false">ROUND(INDEX(Archetypes!$H$2:$H$127, MATCH(D279, Archetypes!$A$2:$A$127, 0))*INDEX(Unit_Paths!$E$2:$E$4, MATCH(E279, Unit_Paths!$A$2:$A$4, 0)),1)</f>
        <v>21</v>
      </c>
      <c r="L279" s="6" t="n">
        <f aca="false">ROUND(INDEX(Archetypes!$I$2:$I$127, MATCH(D279, Archetypes!$A$2:$A$127, 0))*INDEX(Unit_Grades!$C$2:$C$7, MATCH(F279, Unit_Grades!$A$2:$A$7, 0)),1)</f>
        <v>5</v>
      </c>
      <c r="M279" s="6" t="n">
        <f aca="false">ROUND(INDEX(Archetypes!$J$2:$J$127, MATCH(D279, Archetypes!$A$2:$A$127, 0))*INDEX(Unit_Grades!$D$2:$D$7, MATCH(F279, Unit_Grades!$A$2:$A$7, 0)),1)</f>
        <v>2.4</v>
      </c>
      <c r="N279" s="6" t="n">
        <f aca="false">ROUND(M279/24,2)</f>
        <v>0.1</v>
      </c>
    </row>
    <row r="280" customFormat="false" ht="15" hidden="false" customHeight="true" outlineLevel="0" collapsed="false">
      <c r="A280" s="6" t="n">
        <v>1</v>
      </c>
      <c r="B280" s="6" t="s">
        <v>1832</v>
      </c>
      <c r="C280" s="6" t="s">
        <v>1289</v>
      </c>
      <c r="D280" s="6" t="str">
        <f aca="false">A280&amp;"|"&amp;C280</f>
        <v>1|Beast Tamer</v>
      </c>
      <c r="E280" s="6" t="s">
        <v>1558</v>
      </c>
      <c r="F280" s="6" t="s">
        <v>1542</v>
      </c>
      <c r="G280" s="6" t="str">
        <f aca="false">INDEX(Archetypes!$D$2:$D$127, MATCH(D280, Archetypes!$A$2:$A$127, 0))</f>
        <v>Support</v>
      </c>
      <c r="H280" s="6" t="n">
        <f aca="false">ROUND(INDEX(Archetypes!$E$2:$E$127, MATCH(D280, Archetypes!$A$2:$A$127, 0))*INDEX(Unit_Grades!$B$2:$B$7, MATCH(F280, Unit_Grades!$A$2:$A$7, 0))*INDEX(Unit_Paths!$B$2:$B$4, MATCH(E280, Unit_Paths!$A$2:$A$4, 0)),1)</f>
        <v>21.6</v>
      </c>
      <c r="I280" s="6" t="n">
        <f aca="false">ROUND(INDEX(Archetypes!$F$2:$F$127, MATCH(D280, Archetypes!$A$2:$A$127, 0))*INDEX(Unit_Grades!$B$2:$B$7, MATCH(F280, Unit_Grades!$A$2:$A$7, 0))*INDEX(Unit_Paths!$C$2:$C$4, MATCH(E280, Unit_Paths!$A$2:$A$4, 0)),1)</f>
        <v>12.2</v>
      </c>
      <c r="J280" s="6" t="n">
        <f aca="false">ROUND(INDEX(Archetypes!$G$2:$G$127, MATCH(D280, Archetypes!$A$2:$A$127, 0))*INDEX(Unit_Grades!$B$2:$B$7, MATCH(F280, Unit_Grades!$A$2:$A$7, 0))*INDEX(Unit_Paths!$D$2:$D$4, MATCH(E280, Unit_Paths!$A$2:$A$4, 0)),0)</f>
        <v>94</v>
      </c>
      <c r="K280" s="6" t="n">
        <f aca="false">ROUND(INDEX(Archetypes!$H$2:$H$127, MATCH(D280, Archetypes!$A$2:$A$127, 0))*INDEX(Unit_Paths!$E$2:$E$4, MATCH(E280, Unit_Paths!$A$2:$A$4, 0)),1)</f>
        <v>21</v>
      </c>
      <c r="L280" s="6" t="n">
        <f aca="false">ROUND(INDEX(Archetypes!$I$2:$I$127, MATCH(D280, Archetypes!$A$2:$A$127, 0))*INDEX(Unit_Grades!$C$2:$C$7, MATCH(F280, Unit_Grades!$A$2:$A$7, 0)),1)</f>
        <v>6.4</v>
      </c>
      <c r="M280" s="6" t="n">
        <f aca="false">ROUND(INDEX(Archetypes!$J$2:$J$127, MATCH(D280, Archetypes!$A$2:$A$127, 0))*INDEX(Unit_Grades!$D$2:$D$7, MATCH(F280, Unit_Grades!$A$2:$A$7, 0)),1)</f>
        <v>4.1</v>
      </c>
      <c r="N280" s="6" t="n">
        <f aca="false">ROUND(M280/24,2)</f>
        <v>0.17</v>
      </c>
    </row>
    <row r="281" customFormat="false" ht="15" hidden="false" customHeight="true" outlineLevel="0" collapsed="false">
      <c r="A281" s="6" t="n">
        <v>1</v>
      </c>
      <c r="B281" s="6" t="s">
        <v>1833</v>
      </c>
      <c r="C281" s="6" t="s">
        <v>1289</v>
      </c>
      <c r="D281" s="6" t="str">
        <f aca="false">A281&amp;"|"&amp;C281</f>
        <v>1|Beast Tamer</v>
      </c>
      <c r="E281" s="6" t="s">
        <v>1558</v>
      </c>
      <c r="F281" s="6" t="s">
        <v>1544</v>
      </c>
      <c r="G281" s="6" t="str">
        <f aca="false">INDEX(Archetypes!$D$2:$D$127, MATCH(D281, Archetypes!$A$2:$A$127, 0))</f>
        <v>Support</v>
      </c>
      <c r="H281" s="6" t="n">
        <f aca="false">ROUND(INDEX(Archetypes!$E$2:$E$127, MATCH(D281, Archetypes!$A$2:$A$127, 0))*INDEX(Unit_Grades!$B$2:$B$7, MATCH(F281, Unit_Grades!$A$2:$A$7, 0))*INDEX(Unit_Paths!$B$2:$B$4, MATCH(E281, Unit_Paths!$A$2:$A$4, 0)),1)</f>
        <v>28.8</v>
      </c>
      <c r="I281" s="6" t="n">
        <f aca="false">ROUND(INDEX(Archetypes!$F$2:$F$127, MATCH(D281, Archetypes!$A$2:$A$127, 0))*INDEX(Unit_Grades!$B$2:$B$7, MATCH(F281, Unit_Grades!$A$2:$A$7, 0))*INDEX(Unit_Paths!$C$2:$C$4, MATCH(E281, Unit_Paths!$A$2:$A$4, 0)),1)</f>
        <v>16.3</v>
      </c>
      <c r="J281" s="6" t="n">
        <f aca="false">ROUND(INDEX(Archetypes!$G$2:$G$127, MATCH(D281, Archetypes!$A$2:$A$127, 0))*INDEX(Unit_Grades!$B$2:$B$7, MATCH(F281, Unit_Grades!$A$2:$A$7, 0))*INDEX(Unit_Paths!$D$2:$D$4, MATCH(E281, Unit_Paths!$A$2:$A$4, 0)),0)</f>
        <v>125</v>
      </c>
      <c r="K281" s="6" t="n">
        <f aca="false">ROUND(INDEX(Archetypes!$H$2:$H$127, MATCH(D281, Archetypes!$A$2:$A$127, 0))*INDEX(Unit_Paths!$E$2:$E$4, MATCH(E281, Unit_Paths!$A$2:$A$4, 0)),1)</f>
        <v>21</v>
      </c>
      <c r="L281" s="6" t="n">
        <f aca="false">ROUND(INDEX(Archetypes!$I$2:$I$127, MATCH(D281, Archetypes!$A$2:$A$127, 0))*INDEX(Unit_Grades!$C$2:$C$7, MATCH(F281, Unit_Grades!$A$2:$A$7, 0)),1)</f>
        <v>8.4</v>
      </c>
      <c r="M281" s="6" t="n">
        <f aca="false">ROUND(INDEX(Archetypes!$J$2:$J$127, MATCH(D281, Archetypes!$A$2:$A$127, 0))*INDEX(Unit_Grades!$D$2:$D$7, MATCH(F281, Unit_Grades!$A$2:$A$7, 0)),1)</f>
        <v>6.5</v>
      </c>
      <c r="N281" s="6" t="n">
        <f aca="false">ROUND(M281/24,2)</f>
        <v>0.27</v>
      </c>
    </row>
    <row r="282" customFormat="false" ht="15" hidden="false" customHeight="true" outlineLevel="0" collapsed="false">
      <c r="A282" s="6" t="n">
        <v>1</v>
      </c>
      <c r="B282" s="6" t="s">
        <v>1834</v>
      </c>
      <c r="C282" s="6" t="s">
        <v>1289</v>
      </c>
      <c r="D282" s="6" t="str">
        <f aca="false">A282&amp;"|"&amp;C282</f>
        <v>1|Beast Tamer</v>
      </c>
      <c r="E282" s="6" t="s">
        <v>1558</v>
      </c>
      <c r="F282" s="6" t="s">
        <v>1546</v>
      </c>
      <c r="G282" s="6" t="str">
        <f aca="false">INDEX(Archetypes!$D$2:$D$127, MATCH(D282, Archetypes!$A$2:$A$127, 0))</f>
        <v>Support</v>
      </c>
      <c r="H282" s="6" t="n">
        <f aca="false">ROUND(INDEX(Archetypes!$E$2:$E$127, MATCH(D282, Archetypes!$A$2:$A$127, 0))*INDEX(Unit_Grades!$B$2:$B$7, MATCH(F282, Unit_Grades!$A$2:$A$7, 0))*INDEX(Unit_Paths!$B$2:$B$4, MATCH(E282, Unit_Paths!$A$2:$A$4, 0)),1)</f>
        <v>38.4</v>
      </c>
      <c r="I282" s="6" t="n">
        <f aca="false">ROUND(INDEX(Archetypes!$F$2:$F$127, MATCH(D282, Archetypes!$A$2:$A$127, 0))*INDEX(Unit_Grades!$B$2:$B$7, MATCH(F282, Unit_Grades!$A$2:$A$7, 0))*INDEX(Unit_Paths!$C$2:$C$4, MATCH(E282, Unit_Paths!$A$2:$A$4, 0)),1)</f>
        <v>21.8</v>
      </c>
      <c r="J282" s="6" t="n">
        <f aca="false">ROUND(INDEX(Archetypes!$G$2:$G$127, MATCH(D282, Archetypes!$A$2:$A$127, 0))*INDEX(Unit_Grades!$B$2:$B$7, MATCH(F282, Unit_Grades!$A$2:$A$7, 0))*INDEX(Unit_Paths!$D$2:$D$4, MATCH(E282, Unit_Paths!$A$2:$A$4, 0)),0)</f>
        <v>167</v>
      </c>
      <c r="K282" s="6" t="n">
        <f aca="false">ROUND(INDEX(Archetypes!$H$2:$H$127, MATCH(D282, Archetypes!$A$2:$A$127, 0))*INDEX(Unit_Paths!$E$2:$E$4, MATCH(E282, Unit_Paths!$A$2:$A$4, 0)),1)</f>
        <v>21</v>
      </c>
      <c r="L282" s="6" t="n">
        <f aca="false">ROUND(INDEX(Archetypes!$I$2:$I$127, MATCH(D282, Archetypes!$A$2:$A$127, 0))*INDEX(Unit_Grades!$C$2:$C$7, MATCH(F282, Unit_Grades!$A$2:$A$7, 0)),1)</f>
        <v>11.2</v>
      </c>
      <c r="M282" s="6" t="n">
        <f aca="false">ROUND(INDEX(Archetypes!$J$2:$J$127, MATCH(D282, Archetypes!$A$2:$A$127, 0))*INDEX(Unit_Grades!$D$2:$D$7, MATCH(F282, Unit_Grades!$A$2:$A$7, 0)),1)</f>
        <v>11.3</v>
      </c>
      <c r="N282" s="6" t="n">
        <f aca="false">ROUND(M282/24,2)</f>
        <v>0.47</v>
      </c>
    </row>
    <row r="283" customFormat="false" ht="15" hidden="false" customHeight="true" outlineLevel="0" collapsed="false">
      <c r="A283" s="6" t="n">
        <v>1</v>
      </c>
      <c r="B283" s="6" t="s">
        <v>1835</v>
      </c>
      <c r="C283" s="6" t="s">
        <v>1289</v>
      </c>
      <c r="D283" s="6" t="str">
        <f aca="false">A283&amp;"|"&amp;C283</f>
        <v>1|Beast Tamer</v>
      </c>
      <c r="E283" s="6" t="s">
        <v>1558</v>
      </c>
      <c r="F283" s="6" t="s">
        <v>1548</v>
      </c>
      <c r="G283" s="6" t="str">
        <f aca="false">INDEX(Archetypes!$D$2:$D$127, MATCH(D283, Archetypes!$A$2:$A$127, 0))</f>
        <v>Support</v>
      </c>
      <c r="H283" s="6" t="n">
        <f aca="false">ROUND(INDEX(Archetypes!$E$2:$E$127, MATCH(D283, Archetypes!$A$2:$A$127, 0))*INDEX(Unit_Grades!$B$2:$B$7, MATCH(F283, Unit_Grades!$A$2:$A$7, 0))*INDEX(Unit_Paths!$B$2:$B$4, MATCH(E283, Unit_Paths!$A$2:$A$4, 0)),1)</f>
        <v>50.4</v>
      </c>
      <c r="I283" s="6" t="n">
        <f aca="false">ROUND(INDEX(Archetypes!$F$2:$F$127, MATCH(D283, Archetypes!$A$2:$A$127, 0))*INDEX(Unit_Grades!$B$2:$B$7, MATCH(F283, Unit_Grades!$A$2:$A$7, 0))*INDEX(Unit_Paths!$C$2:$C$4, MATCH(E283, Unit_Paths!$A$2:$A$4, 0)),1)</f>
        <v>28.6</v>
      </c>
      <c r="J283" s="6" t="n">
        <f aca="false">ROUND(INDEX(Archetypes!$G$2:$G$127, MATCH(D283, Archetypes!$A$2:$A$127, 0))*INDEX(Unit_Grades!$B$2:$B$7, MATCH(F283, Unit_Grades!$A$2:$A$7, 0))*INDEX(Unit_Paths!$D$2:$D$4, MATCH(E283, Unit_Paths!$A$2:$A$4, 0)),0)</f>
        <v>219</v>
      </c>
      <c r="K283" s="6" t="n">
        <f aca="false">ROUND(INDEX(Archetypes!$H$2:$H$127, MATCH(D283, Archetypes!$A$2:$A$127, 0))*INDEX(Unit_Paths!$E$2:$E$4, MATCH(E283, Unit_Paths!$A$2:$A$4, 0)),1)</f>
        <v>21</v>
      </c>
      <c r="L283" s="6" t="n">
        <f aca="false">ROUND(INDEX(Archetypes!$I$2:$I$127, MATCH(D283, Archetypes!$A$2:$A$127, 0))*INDEX(Unit_Grades!$C$2:$C$7, MATCH(F283, Unit_Grades!$A$2:$A$7, 0)),1)</f>
        <v>14.8</v>
      </c>
      <c r="M283" s="6" t="n">
        <f aca="false">ROUND(INDEX(Archetypes!$J$2:$J$127, MATCH(D283, Archetypes!$A$2:$A$127, 0))*INDEX(Unit_Grades!$D$2:$D$7, MATCH(F283, Unit_Grades!$A$2:$A$7, 0)),1)</f>
        <v>19.4</v>
      </c>
      <c r="N283" s="6" t="n">
        <f aca="false">ROUND(M283/24,2)</f>
        <v>0.81</v>
      </c>
    </row>
    <row r="284" customFormat="false" ht="15" hidden="false" customHeight="true" outlineLevel="0" collapsed="false">
      <c r="A284" s="6" t="n">
        <v>1</v>
      </c>
      <c r="B284" s="6" t="s">
        <v>1836</v>
      </c>
      <c r="C284" s="6" t="s">
        <v>1289</v>
      </c>
      <c r="D284" s="6" t="str">
        <f aca="false">A284&amp;"|"&amp;C284</f>
        <v>1|Beast Tamer</v>
      </c>
      <c r="E284" s="6" t="s">
        <v>1560</v>
      </c>
      <c r="F284" s="6" t="s">
        <v>1538</v>
      </c>
      <c r="G284" s="6" t="str">
        <f aca="false">INDEX(Archetypes!$D$2:$D$127, MATCH(D284, Archetypes!$A$2:$A$127, 0))</f>
        <v>Support</v>
      </c>
      <c r="H284" s="6" t="n">
        <f aca="false">ROUND(INDEX(Archetypes!$E$2:$E$127, MATCH(D284, Archetypes!$A$2:$A$127, 0))*INDEX(Unit_Grades!$B$2:$B$7, MATCH(F284, Unit_Grades!$A$2:$A$7, 0))*INDEX(Unit_Paths!$B$2:$B$4, MATCH(E284, Unit_Paths!$A$2:$A$4, 0)),1)</f>
        <v>8.5</v>
      </c>
      <c r="I284" s="6" t="n">
        <f aca="false">ROUND(INDEX(Archetypes!$F$2:$F$127, MATCH(D284, Archetypes!$A$2:$A$127, 0))*INDEX(Unit_Grades!$B$2:$B$7, MATCH(F284, Unit_Grades!$A$2:$A$7, 0))*INDEX(Unit_Paths!$C$2:$C$4, MATCH(E284, Unit_Paths!$A$2:$A$4, 0)),1)</f>
        <v>10</v>
      </c>
      <c r="J284" s="6" t="n">
        <f aca="false">ROUND(INDEX(Archetypes!$G$2:$G$127, MATCH(D284, Archetypes!$A$2:$A$127, 0))*INDEX(Unit_Grades!$B$2:$B$7, MATCH(F284, Unit_Grades!$A$2:$A$7, 0))*INDEX(Unit_Paths!$D$2:$D$4, MATCH(E284, Unit_Paths!$A$2:$A$4, 0)),0)</f>
        <v>63</v>
      </c>
      <c r="K284" s="6" t="n">
        <f aca="false">ROUND(INDEX(Archetypes!$H$2:$H$127, MATCH(D284, Archetypes!$A$2:$A$127, 0))*INDEX(Unit_Paths!$E$2:$E$4, MATCH(E284, Unit_Paths!$A$2:$A$4, 0)),1)</f>
        <v>18.4</v>
      </c>
      <c r="L284" s="6" t="n">
        <f aca="false">ROUND(INDEX(Archetypes!$I$2:$I$127, MATCH(D284, Archetypes!$A$2:$A$127, 0))*INDEX(Unit_Grades!$C$2:$C$7, MATCH(F284, Unit_Grades!$A$2:$A$7, 0)),1)</f>
        <v>4</v>
      </c>
      <c r="M284" s="6" t="n">
        <f aca="false">ROUND(INDEX(Archetypes!$J$2:$J$127, MATCH(D284, Archetypes!$A$2:$A$127, 0))*INDEX(Unit_Grades!$D$2:$D$7, MATCH(F284, Unit_Grades!$A$2:$A$7, 0)),1)</f>
        <v>1.6</v>
      </c>
      <c r="N284" s="6" t="n">
        <f aca="false">ROUND(M284/24,2)</f>
        <v>0.07</v>
      </c>
    </row>
    <row r="285" customFormat="false" ht="15" hidden="false" customHeight="true" outlineLevel="0" collapsed="false">
      <c r="A285" s="6" t="n">
        <v>1</v>
      </c>
      <c r="B285" s="6" t="s">
        <v>1837</v>
      </c>
      <c r="C285" s="6" t="s">
        <v>1289</v>
      </c>
      <c r="D285" s="6" t="str">
        <f aca="false">A285&amp;"|"&amp;C285</f>
        <v>1|Beast Tamer</v>
      </c>
      <c r="E285" s="6" t="s">
        <v>1560</v>
      </c>
      <c r="F285" s="6" t="s">
        <v>1540</v>
      </c>
      <c r="G285" s="6" t="str">
        <f aca="false">INDEX(Archetypes!$D$2:$D$127, MATCH(D285, Archetypes!$A$2:$A$127, 0))</f>
        <v>Support</v>
      </c>
      <c r="H285" s="6" t="n">
        <f aca="false">ROUND(INDEX(Archetypes!$E$2:$E$127, MATCH(D285, Archetypes!$A$2:$A$127, 0))*INDEX(Unit_Grades!$B$2:$B$7, MATCH(F285, Unit_Grades!$A$2:$A$7, 0))*INDEX(Unit_Paths!$B$2:$B$4, MATCH(E285, Unit_Paths!$A$2:$A$4, 0)),1)</f>
        <v>11.5</v>
      </c>
      <c r="I285" s="6" t="n">
        <f aca="false">ROUND(INDEX(Archetypes!$F$2:$F$127, MATCH(D285, Archetypes!$A$2:$A$127, 0))*INDEX(Unit_Grades!$B$2:$B$7, MATCH(F285, Unit_Grades!$A$2:$A$7, 0))*INDEX(Unit_Paths!$C$2:$C$4, MATCH(E285, Unit_Paths!$A$2:$A$4, 0)),1)</f>
        <v>13.5</v>
      </c>
      <c r="J285" s="6" t="n">
        <f aca="false">ROUND(INDEX(Archetypes!$G$2:$G$127, MATCH(D285, Archetypes!$A$2:$A$127, 0))*INDEX(Unit_Grades!$B$2:$B$7, MATCH(F285, Unit_Grades!$A$2:$A$7, 0))*INDEX(Unit_Paths!$D$2:$D$4, MATCH(E285, Unit_Paths!$A$2:$A$4, 0)),0)</f>
        <v>85</v>
      </c>
      <c r="K285" s="6" t="n">
        <f aca="false">ROUND(INDEX(Archetypes!$H$2:$H$127, MATCH(D285, Archetypes!$A$2:$A$127, 0))*INDEX(Unit_Paths!$E$2:$E$4, MATCH(E285, Unit_Paths!$A$2:$A$4, 0)),1)</f>
        <v>18.4</v>
      </c>
      <c r="L285" s="6" t="n">
        <f aca="false">ROUND(INDEX(Archetypes!$I$2:$I$127, MATCH(D285, Archetypes!$A$2:$A$127, 0))*INDEX(Unit_Grades!$C$2:$C$7, MATCH(F285, Unit_Grades!$A$2:$A$7, 0)),1)</f>
        <v>5</v>
      </c>
      <c r="M285" s="6" t="n">
        <f aca="false">ROUND(INDEX(Archetypes!$J$2:$J$127, MATCH(D285, Archetypes!$A$2:$A$127, 0))*INDEX(Unit_Grades!$D$2:$D$7, MATCH(F285, Unit_Grades!$A$2:$A$7, 0)),1)</f>
        <v>2.4</v>
      </c>
      <c r="N285" s="6" t="n">
        <f aca="false">ROUND(M285/24,2)</f>
        <v>0.1</v>
      </c>
    </row>
    <row r="286" customFormat="false" ht="15" hidden="false" customHeight="true" outlineLevel="0" collapsed="false">
      <c r="A286" s="6" t="n">
        <v>1</v>
      </c>
      <c r="B286" s="6" t="s">
        <v>1838</v>
      </c>
      <c r="C286" s="6" t="s">
        <v>1289</v>
      </c>
      <c r="D286" s="6" t="str">
        <f aca="false">A286&amp;"|"&amp;C286</f>
        <v>1|Beast Tamer</v>
      </c>
      <c r="E286" s="6" t="s">
        <v>1560</v>
      </c>
      <c r="F286" s="6" t="s">
        <v>1542</v>
      </c>
      <c r="G286" s="6" t="str">
        <f aca="false">INDEX(Archetypes!$D$2:$D$127, MATCH(D286, Archetypes!$A$2:$A$127, 0))</f>
        <v>Support</v>
      </c>
      <c r="H286" s="6" t="n">
        <f aca="false">ROUND(INDEX(Archetypes!$E$2:$E$127, MATCH(D286, Archetypes!$A$2:$A$127, 0))*INDEX(Unit_Grades!$B$2:$B$7, MATCH(F286, Unit_Grades!$A$2:$A$7, 0))*INDEX(Unit_Paths!$B$2:$B$4, MATCH(E286, Unit_Paths!$A$2:$A$4, 0)),1)</f>
        <v>15.3</v>
      </c>
      <c r="I286" s="6" t="n">
        <f aca="false">ROUND(INDEX(Archetypes!$F$2:$F$127, MATCH(D286, Archetypes!$A$2:$A$127, 0))*INDEX(Unit_Grades!$B$2:$B$7, MATCH(F286, Unit_Grades!$A$2:$A$7, 0))*INDEX(Unit_Paths!$C$2:$C$4, MATCH(E286, Unit_Paths!$A$2:$A$4, 0)),1)</f>
        <v>18</v>
      </c>
      <c r="J286" s="6" t="n">
        <f aca="false">ROUND(INDEX(Archetypes!$G$2:$G$127, MATCH(D286, Archetypes!$A$2:$A$127, 0))*INDEX(Unit_Grades!$B$2:$B$7, MATCH(F286, Unit_Grades!$A$2:$A$7, 0))*INDEX(Unit_Paths!$D$2:$D$4, MATCH(E286, Unit_Paths!$A$2:$A$4, 0)),0)</f>
        <v>114</v>
      </c>
      <c r="K286" s="6" t="n">
        <f aca="false">ROUND(INDEX(Archetypes!$H$2:$H$127, MATCH(D286, Archetypes!$A$2:$A$127, 0))*INDEX(Unit_Paths!$E$2:$E$4, MATCH(E286, Unit_Paths!$A$2:$A$4, 0)),1)</f>
        <v>18.4</v>
      </c>
      <c r="L286" s="6" t="n">
        <f aca="false">ROUND(INDEX(Archetypes!$I$2:$I$127, MATCH(D286, Archetypes!$A$2:$A$127, 0))*INDEX(Unit_Grades!$C$2:$C$7, MATCH(F286, Unit_Grades!$A$2:$A$7, 0)),1)</f>
        <v>6.4</v>
      </c>
      <c r="M286" s="6" t="n">
        <f aca="false">ROUND(INDEX(Archetypes!$J$2:$J$127, MATCH(D286, Archetypes!$A$2:$A$127, 0))*INDEX(Unit_Grades!$D$2:$D$7, MATCH(F286, Unit_Grades!$A$2:$A$7, 0)),1)</f>
        <v>4.1</v>
      </c>
      <c r="N286" s="6" t="n">
        <f aca="false">ROUND(M286/24,2)</f>
        <v>0.17</v>
      </c>
    </row>
    <row r="287" customFormat="false" ht="15" hidden="false" customHeight="true" outlineLevel="0" collapsed="false">
      <c r="A287" s="6" t="n">
        <v>1</v>
      </c>
      <c r="B287" s="6" t="s">
        <v>1839</v>
      </c>
      <c r="C287" s="6" t="s">
        <v>1289</v>
      </c>
      <c r="D287" s="6" t="str">
        <f aca="false">A287&amp;"|"&amp;C287</f>
        <v>1|Beast Tamer</v>
      </c>
      <c r="E287" s="6" t="s">
        <v>1560</v>
      </c>
      <c r="F287" s="6" t="s">
        <v>1544</v>
      </c>
      <c r="G287" s="6" t="str">
        <f aca="false">INDEX(Archetypes!$D$2:$D$127, MATCH(D287, Archetypes!$A$2:$A$127, 0))</f>
        <v>Support</v>
      </c>
      <c r="H287" s="6" t="n">
        <f aca="false">ROUND(INDEX(Archetypes!$E$2:$E$127, MATCH(D287, Archetypes!$A$2:$A$127, 0))*INDEX(Unit_Grades!$B$2:$B$7, MATCH(F287, Unit_Grades!$A$2:$A$7, 0))*INDEX(Unit_Paths!$B$2:$B$4, MATCH(E287, Unit_Paths!$A$2:$A$4, 0)),1)</f>
        <v>20.4</v>
      </c>
      <c r="I287" s="6" t="n">
        <f aca="false">ROUND(INDEX(Archetypes!$F$2:$F$127, MATCH(D287, Archetypes!$A$2:$A$127, 0))*INDEX(Unit_Grades!$B$2:$B$7, MATCH(F287, Unit_Grades!$A$2:$A$7, 0))*INDEX(Unit_Paths!$C$2:$C$4, MATCH(E287, Unit_Paths!$A$2:$A$4, 0)),1)</f>
        <v>24</v>
      </c>
      <c r="J287" s="6" t="n">
        <f aca="false">ROUND(INDEX(Archetypes!$G$2:$G$127, MATCH(D287, Archetypes!$A$2:$A$127, 0))*INDEX(Unit_Grades!$B$2:$B$7, MATCH(F287, Unit_Grades!$A$2:$A$7, 0))*INDEX(Unit_Paths!$D$2:$D$4, MATCH(E287, Unit_Paths!$A$2:$A$4, 0)),0)</f>
        <v>152</v>
      </c>
      <c r="K287" s="6" t="n">
        <f aca="false">ROUND(INDEX(Archetypes!$H$2:$H$127, MATCH(D287, Archetypes!$A$2:$A$127, 0))*INDEX(Unit_Paths!$E$2:$E$4, MATCH(E287, Unit_Paths!$A$2:$A$4, 0)),1)</f>
        <v>18.4</v>
      </c>
      <c r="L287" s="6" t="n">
        <f aca="false">ROUND(INDEX(Archetypes!$I$2:$I$127, MATCH(D287, Archetypes!$A$2:$A$127, 0))*INDEX(Unit_Grades!$C$2:$C$7, MATCH(F287, Unit_Grades!$A$2:$A$7, 0)),1)</f>
        <v>8.4</v>
      </c>
      <c r="M287" s="6" t="n">
        <f aca="false">ROUND(INDEX(Archetypes!$J$2:$J$127, MATCH(D287, Archetypes!$A$2:$A$127, 0))*INDEX(Unit_Grades!$D$2:$D$7, MATCH(F287, Unit_Grades!$A$2:$A$7, 0)),1)</f>
        <v>6.5</v>
      </c>
      <c r="N287" s="6" t="n">
        <f aca="false">ROUND(M287/24,2)</f>
        <v>0.27</v>
      </c>
    </row>
    <row r="288" customFormat="false" ht="15" hidden="false" customHeight="true" outlineLevel="0" collapsed="false">
      <c r="A288" s="6" t="n">
        <v>1</v>
      </c>
      <c r="B288" s="6" t="s">
        <v>1840</v>
      </c>
      <c r="C288" s="6" t="s">
        <v>1289</v>
      </c>
      <c r="D288" s="6" t="str">
        <f aca="false">A288&amp;"|"&amp;C288</f>
        <v>1|Beast Tamer</v>
      </c>
      <c r="E288" s="6" t="s">
        <v>1560</v>
      </c>
      <c r="F288" s="6" t="s">
        <v>1546</v>
      </c>
      <c r="G288" s="6" t="str">
        <f aca="false">INDEX(Archetypes!$D$2:$D$127, MATCH(D288, Archetypes!$A$2:$A$127, 0))</f>
        <v>Support</v>
      </c>
      <c r="H288" s="6" t="n">
        <f aca="false">ROUND(INDEX(Archetypes!$E$2:$E$127, MATCH(D288, Archetypes!$A$2:$A$127, 0))*INDEX(Unit_Grades!$B$2:$B$7, MATCH(F288, Unit_Grades!$A$2:$A$7, 0))*INDEX(Unit_Paths!$B$2:$B$4, MATCH(E288, Unit_Paths!$A$2:$A$4, 0)),1)</f>
        <v>27.2</v>
      </c>
      <c r="I288" s="6" t="n">
        <f aca="false">ROUND(INDEX(Archetypes!$F$2:$F$127, MATCH(D288, Archetypes!$A$2:$A$127, 0))*INDEX(Unit_Grades!$B$2:$B$7, MATCH(F288, Unit_Grades!$A$2:$A$7, 0))*INDEX(Unit_Paths!$C$2:$C$4, MATCH(E288, Unit_Paths!$A$2:$A$4, 0)),1)</f>
        <v>32</v>
      </c>
      <c r="J288" s="6" t="n">
        <f aca="false">ROUND(INDEX(Archetypes!$G$2:$G$127, MATCH(D288, Archetypes!$A$2:$A$127, 0))*INDEX(Unit_Grades!$B$2:$B$7, MATCH(F288, Unit_Grades!$A$2:$A$7, 0))*INDEX(Unit_Paths!$D$2:$D$4, MATCH(E288, Unit_Paths!$A$2:$A$4, 0)),0)</f>
        <v>202</v>
      </c>
      <c r="K288" s="6" t="n">
        <f aca="false">ROUND(INDEX(Archetypes!$H$2:$H$127, MATCH(D288, Archetypes!$A$2:$A$127, 0))*INDEX(Unit_Paths!$E$2:$E$4, MATCH(E288, Unit_Paths!$A$2:$A$4, 0)),1)</f>
        <v>18.4</v>
      </c>
      <c r="L288" s="6" t="n">
        <f aca="false">ROUND(INDEX(Archetypes!$I$2:$I$127, MATCH(D288, Archetypes!$A$2:$A$127, 0))*INDEX(Unit_Grades!$C$2:$C$7, MATCH(F288, Unit_Grades!$A$2:$A$7, 0)),1)</f>
        <v>11.2</v>
      </c>
      <c r="M288" s="6" t="n">
        <f aca="false">ROUND(INDEX(Archetypes!$J$2:$J$127, MATCH(D288, Archetypes!$A$2:$A$127, 0))*INDEX(Unit_Grades!$D$2:$D$7, MATCH(F288, Unit_Grades!$A$2:$A$7, 0)),1)</f>
        <v>11.3</v>
      </c>
      <c r="N288" s="6" t="n">
        <f aca="false">ROUND(M288/24,2)</f>
        <v>0.47</v>
      </c>
    </row>
    <row r="289" customFormat="false" ht="15" hidden="false" customHeight="true" outlineLevel="0" collapsed="false">
      <c r="A289" s="6" t="n">
        <v>1</v>
      </c>
      <c r="B289" s="6" t="s">
        <v>1841</v>
      </c>
      <c r="C289" s="6" t="s">
        <v>1289</v>
      </c>
      <c r="D289" s="6" t="str">
        <f aca="false">A289&amp;"|"&amp;C289</f>
        <v>1|Beast Tamer</v>
      </c>
      <c r="E289" s="6" t="s">
        <v>1560</v>
      </c>
      <c r="F289" s="6" t="s">
        <v>1548</v>
      </c>
      <c r="G289" s="6" t="str">
        <f aca="false">INDEX(Archetypes!$D$2:$D$127, MATCH(D289, Archetypes!$A$2:$A$127, 0))</f>
        <v>Support</v>
      </c>
      <c r="H289" s="6" t="n">
        <f aca="false">ROUND(INDEX(Archetypes!$E$2:$E$127, MATCH(D289, Archetypes!$A$2:$A$127, 0))*INDEX(Unit_Grades!$B$2:$B$7, MATCH(F289, Unit_Grades!$A$2:$A$7, 0))*INDEX(Unit_Paths!$B$2:$B$4, MATCH(E289, Unit_Paths!$A$2:$A$4, 0)),1)</f>
        <v>35.7</v>
      </c>
      <c r="I289" s="6" t="n">
        <f aca="false">ROUND(INDEX(Archetypes!$F$2:$F$127, MATCH(D289, Archetypes!$A$2:$A$127, 0))*INDEX(Unit_Grades!$B$2:$B$7, MATCH(F289, Unit_Grades!$A$2:$A$7, 0))*INDEX(Unit_Paths!$C$2:$C$4, MATCH(E289, Unit_Paths!$A$2:$A$4, 0)),1)</f>
        <v>42</v>
      </c>
      <c r="J289" s="6" t="n">
        <f aca="false">ROUND(INDEX(Archetypes!$G$2:$G$127, MATCH(D289, Archetypes!$A$2:$A$127, 0))*INDEX(Unit_Grades!$B$2:$B$7, MATCH(F289, Unit_Grades!$A$2:$A$7, 0))*INDEX(Unit_Paths!$D$2:$D$4, MATCH(E289, Unit_Paths!$A$2:$A$4, 0)),0)</f>
        <v>266</v>
      </c>
      <c r="K289" s="6" t="n">
        <f aca="false">ROUND(INDEX(Archetypes!$H$2:$H$127, MATCH(D289, Archetypes!$A$2:$A$127, 0))*INDEX(Unit_Paths!$E$2:$E$4, MATCH(E289, Unit_Paths!$A$2:$A$4, 0)),1)</f>
        <v>18.4</v>
      </c>
      <c r="L289" s="6" t="n">
        <f aca="false">ROUND(INDEX(Archetypes!$I$2:$I$127, MATCH(D289, Archetypes!$A$2:$A$127, 0))*INDEX(Unit_Grades!$C$2:$C$7, MATCH(F289, Unit_Grades!$A$2:$A$7, 0)),1)</f>
        <v>14.8</v>
      </c>
      <c r="M289" s="6" t="n">
        <f aca="false">ROUND(INDEX(Archetypes!$J$2:$J$127, MATCH(D289, Archetypes!$A$2:$A$127, 0))*INDEX(Unit_Grades!$D$2:$D$7, MATCH(F289, Unit_Grades!$A$2:$A$7, 0)),1)</f>
        <v>19.4</v>
      </c>
      <c r="N289" s="6" t="n">
        <f aca="false">ROUND(M289/24,2)</f>
        <v>0.81</v>
      </c>
    </row>
    <row r="290" customFormat="false" ht="15" hidden="false" customHeight="true" outlineLevel="0" collapsed="false">
      <c r="A290" s="6" t="n">
        <v>1</v>
      </c>
      <c r="B290" s="6" t="s">
        <v>1291</v>
      </c>
      <c r="C290" s="6" t="s">
        <v>1291</v>
      </c>
      <c r="D290" s="6" t="str">
        <f aca="false">A290&amp;"|"&amp;C290</f>
        <v>1|Qi Novice</v>
      </c>
      <c r="E290" s="6" t="s">
        <v>1556</v>
      </c>
      <c r="F290" s="6" t="s">
        <v>1538</v>
      </c>
      <c r="G290" s="6" t="str">
        <f aca="false">INDEX(Archetypes!$D$2:$D$127, MATCH(D290, Archetypes!$A$2:$A$127, 0))</f>
        <v>Cultivator</v>
      </c>
      <c r="H290" s="6" t="n">
        <f aca="false">ROUND(INDEX(Archetypes!$E$2:$E$127, MATCH(D290, Archetypes!$A$2:$A$127, 0))*INDEX(Unit_Grades!$B$2:$B$7, MATCH(F290, Unit_Grades!$A$2:$A$7, 0))*INDEX(Unit_Paths!$B$2:$B$4, MATCH(E290, Unit_Paths!$A$2:$A$4, 0)),1)</f>
        <v>20</v>
      </c>
      <c r="I290" s="6" t="n">
        <f aca="false">ROUND(INDEX(Archetypes!$F$2:$F$127, MATCH(D290, Archetypes!$A$2:$A$127, 0))*INDEX(Unit_Grades!$B$2:$B$7, MATCH(F290, Unit_Grades!$A$2:$A$7, 0))*INDEX(Unit_Paths!$C$2:$C$4, MATCH(E290, Unit_Paths!$A$2:$A$4, 0)),1)</f>
        <v>14</v>
      </c>
      <c r="J290" s="6" t="n">
        <f aca="false">ROUND(INDEX(Archetypes!$G$2:$G$127, MATCH(D290, Archetypes!$A$2:$A$127, 0))*INDEX(Unit_Grades!$B$2:$B$7, MATCH(F290, Unit_Grades!$A$2:$A$7, 0))*INDEX(Unit_Paths!$D$2:$D$4, MATCH(E290, Unit_Paths!$A$2:$A$4, 0)),0)</f>
        <v>70</v>
      </c>
      <c r="K290" s="6" t="n">
        <f aca="false">ROUND(INDEX(Archetypes!$H$2:$H$127, MATCH(D290, Archetypes!$A$2:$A$127, 0))*INDEX(Unit_Paths!$E$2:$E$4, MATCH(E290, Unit_Paths!$A$2:$A$4, 0)),1)</f>
        <v>20</v>
      </c>
      <c r="L290" s="6" t="n">
        <f aca="false">ROUND(INDEX(Archetypes!$I$2:$I$127, MATCH(D290, Archetypes!$A$2:$A$127, 0))*INDEX(Unit_Grades!$C$2:$C$7, MATCH(F290, Unit_Grades!$A$2:$A$7, 0)),1)</f>
        <v>5</v>
      </c>
      <c r="M290" s="6" t="n">
        <f aca="false">ROUND(INDEX(Archetypes!$J$2:$J$127, MATCH(D290, Archetypes!$A$2:$A$127, 0))*INDEX(Unit_Grades!$D$2:$D$7, MATCH(F290, Unit_Grades!$A$2:$A$7, 0)),1)</f>
        <v>2</v>
      </c>
      <c r="N290" s="6" t="n">
        <f aca="false">ROUND(M290/24,2)</f>
        <v>0.08</v>
      </c>
    </row>
    <row r="291" customFormat="false" ht="15" hidden="false" customHeight="true" outlineLevel="0" collapsed="false">
      <c r="A291" s="6" t="n">
        <v>1</v>
      </c>
      <c r="B291" s="6" t="s">
        <v>1842</v>
      </c>
      <c r="C291" s="6" t="s">
        <v>1291</v>
      </c>
      <c r="D291" s="6" t="str">
        <f aca="false">A291&amp;"|"&amp;C291</f>
        <v>1|Qi Novice</v>
      </c>
      <c r="E291" s="6" t="s">
        <v>1556</v>
      </c>
      <c r="F291" s="6" t="s">
        <v>1540</v>
      </c>
      <c r="G291" s="6" t="str">
        <f aca="false">INDEX(Archetypes!$D$2:$D$127, MATCH(D291, Archetypes!$A$2:$A$127, 0))</f>
        <v>Cultivator</v>
      </c>
      <c r="H291" s="6" t="n">
        <f aca="false">ROUND(INDEX(Archetypes!$E$2:$E$127, MATCH(D291, Archetypes!$A$2:$A$127, 0))*INDEX(Unit_Grades!$B$2:$B$7, MATCH(F291, Unit_Grades!$A$2:$A$7, 0))*INDEX(Unit_Paths!$B$2:$B$4, MATCH(E291, Unit_Paths!$A$2:$A$4, 0)),1)</f>
        <v>27</v>
      </c>
      <c r="I291" s="6" t="n">
        <f aca="false">ROUND(INDEX(Archetypes!$F$2:$F$127, MATCH(D291, Archetypes!$A$2:$A$127, 0))*INDEX(Unit_Grades!$B$2:$B$7, MATCH(F291, Unit_Grades!$A$2:$A$7, 0))*INDEX(Unit_Paths!$C$2:$C$4, MATCH(E291, Unit_Paths!$A$2:$A$4, 0)),1)</f>
        <v>18.9</v>
      </c>
      <c r="J291" s="6" t="n">
        <f aca="false">ROUND(INDEX(Archetypes!$G$2:$G$127, MATCH(D291, Archetypes!$A$2:$A$127, 0))*INDEX(Unit_Grades!$B$2:$B$7, MATCH(F291, Unit_Grades!$A$2:$A$7, 0))*INDEX(Unit_Paths!$D$2:$D$4, MATCH(E291, Unit_Paths!$A$2:$A$4, 0)),0)</f>
        <v>95</v>
      </c>
      <c r="K291" s="6" t="n">
        <f aca="false">ROUND(INDEX(Archetypes!$H$2:$H$127, MATCH(D291, Archetypes!$A$2:$A$127, 0))*INDEX(Unit_Paths!$E$2:$E$4, MATCH(E291, Unit_Paths!$A$2:$A$4, 0)),1)</f>
        <v>20</v>
      </c>
      <c r="L291" s="6" t="n">
        <f aca="false">ROUND(INDEX(Archetypes!$I$2:$I$127, MATCH(D291, Archetypes!$A$2:$A$127, 0))*INDEX(Unit_Grades!$C$2:$C$7, MATCH(F291, Unit_Grades!$A$2:$A$7, 0)),1)</f>
        <v>6.3</v>
      </c>
      <c r="M291" s="6" t="n">
        <f aca="false">ROUND(INDEX(Archetypes!$J$2:$J$127, MATCH(D291, Archetypes!$A$2:$A$127, 0))*INDEX(Unit_Grades!$D$2:$D$7, MATCH(F291, Unit_Grades!$A$2:$A$7, 0)),1)</f>
        <v>3</v>
      </c>
      <c r="N291" s="6" t="n">
        <f aca="false">ROUND(M291/24,2)</f>
        <v>0.13</v>
      </c>
    </row>
    <row r="292" customFormat="false" ht="15" hidden="false" customHeight="true" outlineLevel="0" collapsed="false">
      <c r="A292" s="6" t="n">
        <v>1</v>
      </c>
      <c r="B292" s="6" t="s">
        <v>1843</v>
      </c>
      <c r="C292" s="6" t="s">
        <v>1291</v>
      </c>
      <c r="D292" s="6" t="str">
        <f aca="false">A292&amp;"|"&amp;C292</f>
        <v>1|Qi Novice</v>
      </c>
      <c r="E292" s="6" t="s">
        <v>1556</v>
      </c>
      <c r="F292" s="6" t="s">
        <v>1542</v>
      </c>
      <c r="G292" s="6" t="str">
        <f aca="false">INDEX(Archetypes!$D$2:$D$127, MATCH(D292, Archetypes!$A$2:$A$127, 0))</f>
        <v>Cultivator</v>
      </c>
      <c r="H292" s="6" t="n">
        <f aca="false">ROUND(INDEX(Archetypes!$E$2:$E$127, MATCH(D292, Archetypes!$A$2:$A$127, 0))*INDEX(Unit_Grades!$B$2:$B$7, MATCH(F292, Unit_Grades!$A$2:$A$7, 0))*INDEX(Unit_Paths!$B$2:$B$4, MATCH(E292, Unit_Paths!$A$2:$A$4, 0)),1)</f>
        <v>36</v>
      </c>
      <c r="I292" s="6" t="n">
        <f aca="false">ROUND(INDEX(Archetypes!$F$2:$F$127, MATCH(D292, Archetypes!$A$2:$A$127, 0))*INDEX(Unit_Grades!$B$2:$B$7, MATCH(F292, Unit_Grades!$A$2:$A$7, 0))*INDEX(Unit_Paths!$C$2:$C$4, MATCH(E292, Unit_Paths!$A$2:$A$4, 0)),1)</f>
        <v>25.2</v>
      </c>
      <c r="J292" s="6" t="n">
        <f aca="false">ROUND(INDEX(Archetypes!$G$2:$G$127, MATCH(D292, Archetypes!$A$2:$A$127, 0))*INDEX(Unit_Grades!$B$2:$B$7, MATCH(F292, Unit_Grades!$A$2:$A$7, 0))*INDEX(Unit_Paths!$D$2:$D$4, MATCH(E292, Unit_Paths!$A$2:$A$4, 0)),0)</f>
        <v>126</v>
      </c>
      <c r="K292" s="6" t="n">
        <f aca="false">ROUND(INDEX(Archetypes!$H$2:$H$127, MATCH(D292, Archetypes!$A$2:$A$127, 0))*INDEX(Unit_Paths!$E$2:$E$4, MATCH(E292, Unit_Paths!$A$2:$A$4, 0)),1)</f>
        <v>20</v>
      </c>
      <c r="L292" s="6" t="n">
        <f aca="false">ROUND(INDEX(Archetypes!$I$2:$I$127, MATCH(D292, Archetypes!$A$2:$A$127, 0))*INDEX(Unit_Grades!$C$2:$C$7, MATCH(F292, Unit_Grades!$A$2:$A$7, 0)),1)</f>
        <v>8</v>
      </c>
      <c r="M292" s="6" t="n">
        <f aca="false">ROUND(INDEX(Archetypes!$J$2:$J$127, MATCH(D292, Archetypes!$A$2:$A$127, 0))*INDEX(Unit_Grades!$D$2:$D$7, MATCH(F292, Unit_Grades!$A$2:$A$7, 0)),1)</f>
        <v>5.1</v>
      </c>
      <c r="N292" s="6" t="n">
        <f aca="false">ROUND(M292/24,2)</f>
        <v>0.21</v>
      </c>
    </row>
    <row r="293" customFormat="false" ht="15" hidden="false" customHeight="true" outlineLevel="0" collapsed="false">
      <c r="A293" s="6" t="n">
        <v>1</v>
      </c>
      <c r="B293" s="6" t="s">
        <v>1844</v>
      </c>
      <c r="C293" s="6" t="s">
        <v>1291</v>
      </c>
      <c r="D293" s="6" t="str">
        <f aca="false">A293&amp;"|"&amp;C293</f>
        <v>1|Qi Novice</v>
      </c>
      <c r="E293" s="6" t="s">
        <v>1556</v>
      </c>
      <c r="F293" s="6" t="s">
        <v>1544</v>
      </c>
      <c r="G293" s="6" t="str">
        <f aca="false">INDEX(Archetypes!$D$2:$D$127, MATCH(D293, Archetypes!$A$2:$A$127, 0))</f>
        <v>Cultivator</v>
      </c>
      <c r="H293" s="6" t="n">
        <f aca="false">ROUND(INDEX(Archetypes!$E$2:$E$127, MATCH(D293, Archetypes!$A$2:$A$127, 0))*INDEX(Unit_Grades!$B$2:$B$7, MATCH(F293, Unit_Grades!$A$2:$A$7, 0))*INDEX(Unit_Paths!$B$2:$B$4, MATCH(E293, Unit_Paths!$A$2:$A$4, 0)),1)</f>
        <v>48</v>
      </c>
      <c r="I293" s="6" t="n">
        <f aca="false">ROUND(INDEX(Archetypes!$F$2:$F$127, MATCH(D293, Archetypes!$A$2:$A$127, 0))*INDEX(Unit_Grades!$B$2:$B$7, MATCH(F293, Unit_Grades!$A$2:$A$7, 0))*INDEX(Unit_Paths!$C$2:$C$4, MATCH(E293, Unit_Paths!$A$2:$A$4, 0)),1)</f>
        <v>33.6</v>
      </c>
      <c r="J293" s="6" t="n">
        <f aca="false">ROUND(INDEX(Archetypes!$G$2:$G$127, MATCH(D293, Archetypes!$A$2:$A$127, 0))*INDEX(Unit_Grades!$B$2:$B$7, MATCH(F293, Unit_Grades!$A$2:$A$7, 0))*INDEX(Unit_Paths!$D$2:$D$4, MATCH(E293, Unit_Paths!$A$2:$A$4, 0)),0)</f>
        <v>168</v>
      </c>
      <c r="K293" s="6" t="n">
        <f aca="false">ROUND(INDEX(Archetypes!$H$2:$H$127, MATCH(D293, Archetypes!$A$2:$A$127, 0))*INDEX(Unit_Paths!$E$2:$E$4, MATCH(E293, Unit_Paths!$A$2:$A$4, 0)),1)</f>
        <v>20</v>
      </c>
      <c r="L293" s="6" t="n">
        <f aca="false">ROUND(INDEX(Archetypes!$I$2:$I$127, MATCH(D293, Archetypes!$A$2:$A$127, 0))*INDEX(Unit_Grades!$C$2:$C$7, MATCH(F293, Unit_Grades!$A$2:$A$7, 0)),1)</f>
        <v>10.5</v>
      </c>
      <c r="M293" s="6" t="n">
        <f aca="false">ROUND(INDEX(Archetypes!$J$2:$J$127, MATCH(D293, Archetypes!$A$2:$A$127, 0))*INDEX(Unit_Grades!$D$2:$D$7, MATCH(F293, Unit_Grades!$A$2:$A$7, 0)),1)</f>
        <v>8.1</v>
      </c>
      <c r="N293" s="6" t="n">
        <f aca="false">ROUND(M293/24,2)</f>
        <v>0.34</v>
      </c>
    </row>
    <row r="294" customFormat="false" ht="15" hidden="false" customHeight="true" outlineLevel="0" collapsed="false">
      <c r="A294" s="6" t="n">
        <v>1</v>
      </c>
      <c r="B294" s="6" t="s">
        <v>1845</v>
      </c>
      <c r="C294" s="6" t="s">
        <v>1291</v>
      </c>
      <c r="D294" s="6" t="str">
        <f aca="false">A294&amp;"|"&amp;C294</f>
        <v>1|Qi Novice</v>
      </c>
      <c r="E294" s="6" t="s">
        <v>1556</v>
      </c>
      <c r="F294" s="6" t="s">
        <v>1546</v>
      </c>
      <c r="G294" s="6" t="str">
        <f aca="false">INDEX(Archetypes!$D$2:$D$127, MATCH(D294, Archetypes!$A$2:$A$127, 0))</f>
        <v>Cultivator</v>
      </c>
      <c r="H294" s="6" t="n">
        <f aca="false">ROUND(INDEX(Archetypes!$E$2:$E$127, MATCH(D294, Archetypes!$A$2:$A$127, 0))*INDEX(Unit_Grades!$B$2:$B$7, MATCH(F294, Unit_Grades!$A$2:$A$7, 0))*INDEX(Unit_Paths!$B$2:$B$4, MATCH(E294, Unit_Paths!$A$2:$A$4, 0)),1)</f>
        <v>64</v>
      </c>
      <c r="I294" s="6" t="n">
        <f aca="false">ROUND(INDEX(Archetypes!$F$2:$F$127, MATCH(D294, Archetypes!$A$2:$A$127, 0))*INDEX(Unit_Grades!$B$2:$B$7, MATCH(F294, Unit_Grades!$A$2:$A$7, 0))*INDEX(Unit_Paths!$C$2:$C$4, MATCH(E294, Unit_Paths!$A$2:$A$4, 0)),1)</f>
        <v>44.8</v>
      </c>
      <c r="J294" s="6" t="n">
        <f aca="false">ROUND(INDEX(Archetypes!$G$2:$G$127, MATCH(D294, Archetypes!$A$2:$A$127, 0))*INDEX(Unit_Grades!$B$2:$B$7, MATCH(F294, Unit_Grades!$A$2:$A$7, 0))*INDEX(Unit_Paths!$D$2:$D$4, MATCH(E294, Unit_Paths!$A$2:$A$4, 0)),0)</f>
        <v>224</v>
      </c>
      <c r="K294" s="6" t="n">
        <f aca="false">ROUND(INDEX(Archetypes!$H$2:$H$127, MATCH(D294, Archetypes!$A$2:$A$127, 0))*INDEX(Unit_Paths!$E$2:$E$4, MATCH(E294, Unit_Paths!$A$2:$A$4, 0)),1)</f>
        <v>20</v>
      </c>
      <c r="L294" s="6" t="n">
        <f aca="false">ROUND(INDEX(Archetypes!$I$2:$I$127, MATCH(D294, Archetypes!$A$2:$A$127, 0))*INDEX(Unit_Grades!$C$2:$C$7, MATCH(F294, Unit_Grades!$A$2:$A$7, 0)),1)</f>
        <v>14</v>
      </c>
      <c r="M294" s="6" t="n">
        <f aca="false">ROUND(INDEX(Archetypes!$J$2:$J$127, MATCH(D294, Archetypes!$A$2:$A$127, 0))*INDEX(Unit_Grades!$D$2:$D$7, MATCH(F294, Unit_Grades!$A$2:$A$7, 0)),1)</f>
        <v>14.2</v>
      </c>
      <c r="N294" s="6" t="n">
        <f aca="false">ROUND(M294/24,2)</f>
        <v>0.59</v>
      </c>
    </row>
    <row r="295" customFormat="false" ht="15" hidden="false" customHeight="true" outlineLevel="0" collapsed="false">
      <c r="A295" s="6" t="n">
        <v>1</v>
      </c>
      <c r="B295" s="6" t="s">
        <v>1846</v>
      </c>
      <c r="C295" s="6" t="s">
        <v>1291</v>
      </c>
      <c r="D295" s="6" t="str">
        <f aca="false">A295&amp;"|"&amp;C295</f>
        <v>1|Qi Novice</v>
      </c>
      <c r="E295" s="6" t="s">
        <v>1556</v>
      </c>
      <c r="F295" s="6" t="s">
        <v>1548</v>
      </c>
      <c r="G295" s="6" t="str">
        <f aca="false">INDEX(Archetypes!$D$2:$D$127, MATCH(D295, Archetypes!$A$2:$A$127, 0))</f>
        <v>Cultivator</v>
      </c>
      <c r="H295" s="6" t="n">
        <f aca="false">ROUND(INDEX(Archetypes!$E$2:$E$127, MATCH(D295, Archetypes!$A$2:$A$127, 0))*INDEX(Unit_Grades!$B$2:$B$7, MATCH(F295, Unit_Grades!$A$2:$A$7, 0))*INDEX(Unit_Paths!$B$2:$B$4, MATCH(E295, Unit_Paths!$A$2:$A$4, 0)),1)</f>
        <v>84</v>
      </c>
      <c r="I295" s="6" t="n">
        <f aca="false">ROUND(INDEX(Archetypes!$F$2:$F$127, MATCH(D295, Archetypes!$A$2:$A$127, 0))*INDEX(Unit_Grades!$B$2:$B$7, MATCH(F295, Unit_Grades!$A$2:$A$7, 0))*INDEX(Unit_Paths!$C$2:$C$4, MATCH(E295, Unit_Paths!$A$2:$A$4, 0)),1)</f>
        <v>58.8</v>
      </c>
      <c r="J295" s="6" t="n">
        <f aca="false">ROUND(INDEX(Archetypes!$G$2:$G$127, MATCH(D295, Archetypes!$A$2:$A$127, 0))*INDEX(Unit_Grades!$B$2:$B$7, MATCH(F295, Unit_Grades!$A$2:$A$7, 0))*INDEX(Unit_Paths!$D$2:$D$4, MATCH(E295, Unit_Paths!$A$2:$A$4, 0)),0)</f>
        <v>294</v>
      </c>
      <c r="K295" s="6" t="n">
        <f aca="false">ROUND(INDEX(Archetypes!$H$2:$H$127, MATCH(D295, Archetypes!$A$2:$A$127, 0))*INDEX(Unit_Paths!$E$2:$E$4, MATCH(E295, Unit_Paths!$A$2:$A$4, 0)),1)</f>
        <v>20</v>
      </c>
      <c r="L295" s="6" t="n">
        <f aca="false">ROUND(INDEX(Archetypes!$I$2:$I$127, MATCH(D295, Archetypes!$A$2:$A$127, 0))*INDEX(Unit_Grades!$C$2:$C$7, MATCH(F295, Unit_Grades!$A$2:$A$7, 0)),1)</f>
        <v>18.5</v>
      </c>
      <c r="M295" s="6" t="n">
        <f aca="false">ROUND(INDEX(Archetypes!$J$2:$J$127, MATCH(D295, Archetypes!$A$2:$A$127, 0))*INDEX(Unit_Grades!$D$2:$D$7, MATCH(F295, Unit_Grades!$A$2:$A$7, 0)),1)</f>
        <v>24.4</v>
      </c>
      <c r="N295" s="6" t="n">
        <f aca="false">ROUND(M295/24,2)</f>
        <v>1.02</v>
      </c>
    </row>
    <row r="296" customFormat="false" ht="15" hidden="false" customHeight="true" outlineLevel="0" collapsed="false">
      <c r="A296" s="6" t="n">
        <v>1</v>
      </c>
      <c r="B296" s="6" t="s">
        <v>1847</v>
      </c>
      <c r="C296" s="6" t="s">
        <v>1291</v>
      </c>
      <c r="D296" s="6" t="str">
        <f aca="false">A296&amp;"|"&amp;C296</f>
        <v>1|Qi Novice</v>
      </c>
      <c r="E296" s="6" t="s">
        <v>1558</v>
      </c>
      <c r="F296" s="6" t="s">
        <v>1538</v>
      </c>
      <c r="G296" s="6" t="str">
        <f aca="false">INDEX(Archetypes!$D$2:$D$127, MATCH(D296, Archetypes!$A$2:$A$127, 0))</f>
        <v>Cultivator</v>
      </c>
      <c r="H296" s="6" t="n">
        <f aca="false">ROUND(INDEX(Archetypes!$E$2:$E$127, MATCH(D296, Archetypes!$A$2:$A$127, 0))*INDEX(Unit_Grades!$B$2:$B$7, MATCH(F296, Unit_Grades!$A$2:$A$7, 0))*INDEX(Unit_Paths!$B$2:$B$4, MATCH(E296, Unit_Paths!$A$2:$A$4, 0)),1)</f>
        <v>24</v>
      </c>
      <c r="I296" s="6" t="n">
        <f aca="false">ROUND(INDEX(Archetypes!$F$2:$F$127, MATCH(D296, Archetypes!$A$2:$A$127, 0))*INDEX(Unit_Grades!$B$2:$B$7, MATCH(F296, Unit_Grades!$A$2:$A$7, 0))*INDEX(Unit_Paths!$C$2:$C$4, MATCH(E296, Unit_Paths!$A$2:$A$4, 0)),1)</f>
        <v>11.9</v>
      </c>
      <c r="J296" s="6" t="n">
        <f aca="false">ROUND(INDEX(Archetypes!$G$2:$G$127, MATCH(D296, Archetypes!$A$2:$A$127, 0))*INDEX(Unit_Grades!$B$2:$B$7, MATCH(F296, Unit_Grades!$A$2:$A$7, 0))*INDEX(Unit_Paths!$D$2:$D$4, MATCH(E296, Unit_Paths!$A$2:$A$4, 0)),0)</f>
        <v>67</v>
      </c>
      <c r="K296" s="6" t="n">
        <f aca="false">ROUND(INDEX(Archetypes!$H$2:$H$127, MATCH(D296, Archetypes!$A$2:$A$127, 0))*INDEX(Unit_Paths!$E$2:$E$4, MATCH(E296, Unit_Paths!$A$2:$A$4, 0)),1)</f>
        <v>21</v>
      </c>
      <c r="L296" s="6" t="n">
        <f aca="false">ROUND(INDEX(Archetypes!$I$2:$I$127, MATCH(D296, Archetypes!$A$2:$A$127, 0))*INDEX(Unit_Grades!$C$2:$C$7, MATCH(F296, Unit_Grades!$A$2:$A$7, 0)),1)</f>
        <v>5</v>
      </c>
      <c r="M296" s="6" t="n">
        <f aca="false">ROUND(INDEX(Archetypes!$J$2:$J$127, MATCH(D296, Archetypes!$A$2:$A$127, 0))*INDEX(Unit_Grades!$D$2:$D$7, MATCH(F296, Unit_Grades!$A$2:$A$7, 0)),1)</f>
        <v>2</v>
      </c>
      <c r="N296" s="6" t="n">
        <f aca="false">ROUND(M296/24,2)</f>
        <v>0.08</v>
      </c>
    </row>
    <row r="297" customFormat="false" ht="15" hidden="false" customHeight="true" outlineLevel="0" collapsed="false">
      <c r="A297" s="6" t="n">
        <v>1</v>
      </c>
      <c r="B297" s="6" t="s">
        <v>1848</v>
      </c>
      <c r="C297" s="6" t="s">
        <v>1291</v>
      </c>
      <c r="D297" s="6" t="str">
        <f aca="false">A297&amp;"|"&amp;C297</f>
        <v>1|Qi Novice</v>
      </c>
      <c r="E297" s="6" t="s">
        <v>1558</v>
      </c>
      <c r="F297" s="6" t="s">
        <v>1540</v>
      </c>
      <c r="G297" s="6" t="str">
        <f aca="false">INDEX(Archetypes!$D$2:$D$127, MATCH(D297, Archetypes!$A$2:$A$127, 0))</f>
        <v>Cultivator</v>
      </c>
      <c r="H297" s="6" t="n">
        <f aca="false">ROUND(INDEX(Archetypes!$E$2:$E$127, MATCH(D297, Archetypes!$A$2:$A$127, 0))*INDEX(Unit_Grades!$B$2:$B$7, MATCH(F297, Unit_Grades!$A$2:$A$7, 0))*INDEX(Unit_Paths!$B$2:$B$4, MATCH(E297, Unit_Paths!$A$2:$A$4, 0)),1)</f>
        <v>32.4</v>
      </c>
      <c r="I297" s="6" t="n">
        <f aca="false">ROUND(INDEX(Archetypes!$F$2:$F$127, MATCH(D297, Archetypes!$A$2:$A$127, 0))*INDEX(Unit_Grades!$B$2:$B$7, MATCH(F297, Unit_Grades!$A$2:$A$7, 0))*INDEX(Unit_Paths!$C$2:$C$4, MATCH(E297, Unit_Paths!$A$2:$A$4, 0)),1)</f>
        <v>16.1</v>
      </c>
      <c r="J297" s="6" t="n">
        <f aca="false">ROUND(INDEX(Archetypes!$G$2:$G$127, MATCH(D297, Archetypes!$A$2:$A$127, 0))*INDEX(Unit_Grades!$B$2:$B$7, MATCH(F297, Unit_Grades!$A$2:$A$7, 0))*INDEX(Unit_Paths!$D$2:$D$4, MATCH(E297, Unit_Paths!$A$2:$A$4, 0)),0)</f>
        <v>90</v>
      </c>
      <c r="K297" s="6" t="n">
        <f aca="false">ROUND(INDEX(Archetypes!$H$2:$H$127, MATCH(D297, Archetypes!$A$2:$A$127, 0))*INDEX(Unit_Paths!$E$2:$E$4, MATCH(E297, Unit_Paths!$A$2:$A$4, 0)),1)</f>
        <v>21</v>
      </c>
      <c r="L297" s="6" t="n">
        <f aca="false">ROUND(INDEX(Archetypes!$I$2:$I$127, MATCH(D297, Archetypes!$A$2:$A$127, 0))*INDEX(Unit_Grades!$C$2:$C$7, MATCH(F297, Unit_Grades!$A$2:$A$7, 0)),1)</f>
        <v>6.3</v>
      </c>
      <c r="M297" s="6" t="n">
        <f aca="false">ROUND(INDEX(Archetypes!$J$2:$J$127, MATCH(D297, Archetypes!$A$2:$A$127, 0))*INDEX(Unit_Grades!$D$2:$D$7, MATCH(F297, Unit_Grades!$A$2:$A$7, 0)),1)</f>
        <v>3</v>
      </c>
      <c r="N297" s="6" t="n">
        <f aca="false">ROUND(M297/24,2)</f>
        <v>0.13</v>
      </c>
    </row>
    <row r="298" customFormat="false" ht="15" hidden="false" customHeight="true" outlineLevel="0" collapsed="false">
      <c r="A298" s="6" t="n">
        <v>1</v>
      </c>
      <c r="B298" s="6" t="s">
        <v>1849</v>
      </c>
      <c r="C298" s="6" t="s">
        <v>1291</v>
      </c>
      <c r="D298" s="6" t="str">
        <f aca="false">A298&amp;"|"&amp;C298</f>
        <v>1|Qi Novice</v>
      </c>
      <c r="E298" s="6" t="s">
        <v>1558</v>
      </c>
      <c r="F298" s="6" t="s">
        <v>1542</v>
      </c>
      <c r="G298" s="6" t="str">
        <f aca="false">INDEX(Archetypes!$D$2:$D$127, MATCH(D298, Archetypes!$A$2:$A$127, 0))</f>
        <v>Cultivator</v>
      </c>
      <c r="H298" s="6" t="n">
        <f aca="false">ROUND(INDEX(Archetypes!$E$2:$E$127, MATCH(D298, Archetypes!$A$2:$A$127, 0))*INDEX(Unit_Grades!$B$2:$B$7, MATCH(F298, Unit_Grades!$A$2:$A$7, 0))*INDEX(Unit_Paths!$B$2:$B$4, MATCH(E298, Unit_Paths!$A$2:$A$4, 0)),1)</f>
        <v>43.2</v>
      </c>
      <c r="I298" s="6" t="n">
        <f aca="false">ROUND(INDEX(Archetypes!$F$2:$F$127, MATCH(D298, Archetypes!$A$2:$A$127, 0))*INDEX(Unit_Grades!$B$2:$B$7, MATCH(F298, Unit_Grades!$A$2:$A$7, 0))*INDEX(Unit_Paths!$C$2:$C$4, MATCH(E298, Unit_Paths!$A$2:$A$4, 0)),1)</f>
        <v>21.4</v>
      </c>
      <c r="J298" s="6" t="n">
        <f aca="false">ROUND(INDEX(Archetypes!$G$2:$G$127, MATCH(D298, Archetypes!$A$2:$A$127, 0))*INDEX(Unit_Grades!$B$2:$B$7, MATCH(F298, Unit_Grades!$A$2:$A$7, 0))*INDEX(Unit_Paths!$D$2:$D$4, MATCH(E298, Unit_Paths!$A$2:$A$4, 0)),0)</f>
        <v>120</v>
      </c>
      <c r="K298" s="6" t="n">
        <f aca="false">ROUND(INDEX(Archetypes!$H$2:$H$127, MATCH(D298, Archetypes!$A$2:$A$127, 0))*INDEX(Unit_Paths!$E$2:$E$4, MATCH(E298, Unit_Paths!$A$2:$A$4, 0)),1)</f>
        <v>21</v>
      </c>
      <c r="L298" s="6" t="n">
        <f aca="false">ROUND(INDEX(Archetypes!$I$2:$I$127, MATCH(D298, Archetypes!$A$2:$A$127, 0))*INDEX(Unit_Grades!$C$2:$C$7, MATCH(F298, Unit_Grades!$A$2:$A$7, 0)),1)</f>
        <v>8</v>
      </c>
      <c r="M298" s="6" t="n">
        <f aca="false">ROUND(INDEX(Archetypes!$J$2:$J$127, MATCH(D298, Archetypes!$A$2:$A$127, 0))*INDEX(Unit_Grades!$D$2:$D$7, MATCH(F298, Unit_Grades!$A$2:$A$7, 0)),1)</f>
        <v>5.1</v>
      </c>
      <c r="N298" s="6" t="n">
        <f aca="false">ROUND(M298/24,2)</f>
        <v>0.21</v>
      </c>
    </row>
    <row r="299" customFormat="false" ht="15" hidden="false" customHeight="true" outlineLevel="0" collapsed="false">
      <c r="A299" s="6" t="n">
        <v>1</v>
      </c>
      <c r="B299" s="6" t="s">
        <v>1850</v>
      </c>
      <c r="C299" s="6" t="s">
        <v>1291</v>
      </c>
      <c r="D299" s="6" t="str">
        <f aca="false">A299&amp;"|"&amp;C299</f>
        <v>1|Qi Novice</v>
      </c>
      <c r="E299" s="6" t="s">
        <v>1558</v>
      </c>
      <c r="F299" s="6" t="s">
        <v>1544</v>
      </c>
      <c r="G299" s="6" t="str">
        <f aca="false">INDEX(Archetypes!$D$2:$D$127, MATCH(D299, Archetypes!$A$2:$A$127, 0))</f>
        <v>Cultivator</v>
      </c>
      <c r="H299" s="6" t="n">
        <f aca="false">ROUND(INDEX(Archetypes!$E$2:$E$127, MATCH(D299, Archetypes!$A$2:$A$127, 0))*INDEX(Unit_Grades!$B$2:$B$7, MATCH(F299, Unit_Grades!$A$2:$A$7, 0))*INDEX(Unit_Paths!$B$2:$B$4, MATCH(E299, Unit_Paths!$A$2:$A$4, 0)),1)</f>
        <v>57.6</v>
      </c>
      <c r="I299" s="6" t="n">
        <f aca="false">ROUND(INDEX(Archetypes!$F$2:$F$127, MATCH(D299, Archetypes!$A$2:$A$127, 0))*INDEX(Unit_Grades!$B$2:$B$7, MATCH(F299, Unit_Grades!$A$2:$A$7, 0))*INDEX(Unit_Paths!$C$2:$C$4, MATCH(E299, Unit_Paths!$A$2:$A$4, 0)),1)</f>
        <v>28.6</v>
      </c>
      <c r="J299" s="6" t="n">
        <f aca="false">ROUND(INDEX(Archetypes!$G$2:$G$127, MATCH(D299, Archetypes!$A$2:$A$127, 0))*INDEX(Unit_Grades!$B$2:$B$7, MATCH(F299, Unit_Grades!$A$2:$A$7, 0))*INDEX(Unit_Paths!$D$2:$D$4, MATCH(E299, Unit_Paths!$A$2:$A$4, 0)),0)</f>
        <v>160</v>
      </c>
      <c r="K299" s="6" t="n">
        <f aca="false">ROUND(INDEX(Archetypes!$H$2:$H$127, MATCH(D299, Archetypes!$A$2:$A$127, 0))*INDEX(Unit_Paths!$E$2:$E$4, MATCH(E299, Unit_Paths!$A$2:$A$4, 0)),1)</f>
        <v>21</v>
      </c>
      <c r="L299" s="6" t="n">
        <f aca="false">ROUND(INDEX(Archetypes!$I$2:$I$127, MATCH(D299, Archetypes!$A$2:$A$127, 0))*INDEX(Unit_Grades!$C$2:$C$7, MATCH(F299, Unit_Grades!$A$2:$A$7, 0)),1)</f>
        <v>10.5</v>
      </c>
      <c r="M299" s="6" t="n">
        <f aca="false">ROUND(INDEX(Archetypes!$J$2:$J$127, MATCH(D299, Archetypes!$A$2:$A$127, 0))*INDEX(Unit_Grades!$D$2:$D$7, MATCH(F299, Unit_Grades!$A$2:$A$7, 0)),1)</f>
        <v>8.1</v>
      </c>
      <c r="N299" s="6" t="n">
        <f aca="false">ROUND(M299/24,2)</f>
        <v>0.34</v>
      </c>
    </row>
    <row r="300" customFormat="false" ht="15" hidden="false" customHeight="true" outlineLevel="0" collapsed="false">
      <c r="A300" s="6" t="n">
        <v>1</v>
      </c>
      <c r="B300" s="6" t="s">
        <v>1851</v>
      </c>
      <c r="C300" s="6" t="s">
        <v>1291</v>
      </c>
      <c r="D300" s="6" t="str">
        <f aca="false">A300&amp;"|"&amp;C300</f>
        <v>1|Qi Novice</v>
      </c>
      <c r="E300" s="6" t="s">
        <v>1558</v>
      </c>
      <c r="F300" s="6" t="s">
        <v>1546</v>
      </c>
      <c r="G300" s="6" t="str">
        <f aca="false">INDEX(Archetypes!$D$2:$D$127, MATCH(D300, Archetypes!$A$2:$A$127, 0))</f>
        <v>Cultivator</v>
      </c>
      <c r="H300" s="6" t="n">
        <f aca="false">ROUND(INDEX(Archetypes!$E$2:$E$127, MATCH(D300, Archetypes!$A$2:$A$127, 0))*INDEX(Unit_Grades!$B$2:$B$7, MATCH(F300, Unit_Grades!$A$2:$A$7, 0))*INDEX(Unit_Paths!$B$2:$B$4, MATCH(E300, Unit_Paths!$A$2:$A$4, 0)),1)</f>
        <v>76.8</v>
      </c>
      <c r="I300" s="6" t="n">
        <f aca="false">ROUND(INDEX(Archetypes!$F$2:$F$127, MATCH(D300, Archetypes!$A$2:$A$127, 0))*INDEX(Unit_Grades!$B$2:$B$7, MATCH(F300, Unit_Grades!$A$2:$A$7, 0))*INDEX(Unit_Paths!$C$2:$C$4, MATCH(E300, Unit_Paths!$A$2:$A$4, 0)),1)</f>
        <v>38.1</v>
      </c>
      <c r="J300" s="6" t="n">
        <f aca="false">ROUND(INDEX(Archetypes!$G$2:$G$127, MATCH(D300, Archetypes!$A$2:$A$127, 0))*INDEX(Unit_Grades!$B$2:$B$7, MATCH(F300, Unit_Grades!$A$2:$A$7, 0))*INDEX(Unit_Paths!$D$2:$D$4, MATCH(E300, Unit_Paths!$A$2:$A$4, 0)),0)</f>
        <v>213</v>
      </c>
      <c r="K300" s="6" t="n">
        <f aca="false">ROUND(INDEX(Archetypes!$H$2:$H$127, MATCH(D300, Archetypes!$A$2:$A$127, 0))*INDEX(Unit_Paths!$E$2:$E$4, MATCH(E300, Unit_Paths!$A$2:$A$4, 0)),1)</f>
        <v>21</v>
      </c>
      <c r="L300" s="6" t="n">
        <f aca="false">ROUND(INDEX(Archetypes!$I$2:$I$127, MATCH(D300, Archetypes!$A$2:$A$127, 0))*INDEX(Unit_Grades!$C$2:$C$7, MATCH(F300, Unit_Grades!$A$2:$A$7, 0)),1)</f>
        <v>14</v>
      </c>
      <c r="M300" s="6" t="n">
        <f aca="false">ROUND(INDEX(Archetypes!$J$2:$J$127, MATCH(D300, Archetypes!$A$2:$A$127, 0))*INDEX(Unit_Grades!$D$2:$D$7, MATCH(F300, Unit_Grades!$A$2:$A$7, 0)),1)</f>
        <v>14.2</v>
      </c>
      <c r="N300" s="6" t="n">
        <f aca="false">ROUND(M300/24,2)</f>
        <v>0.59</v>
      </c>
    </row>
    <row r="301" customFormat="false" ht="15" hidden="false" customHeight="true" outlineLevel="0" collapsed="false">
      <c r="A301" s="6" t="n">
        <v>1</v>
      </c>
      <c r="B301" s="6" t="s">
        <v>1852</v>
      </c>
      <c r="C301" s="6" t="s">
        <v>1291</v>
      </c>
      <c r="D301" s="6" t="str">
        <f aca="false">A301&amp;"|"&amp;C301</f>
        <v>1|Qi Novice</v>
      </c>
      <c r="E301" s="6" t="s">
        <v>1558</v>
      </c>
      <c r="F301" s="6" t="s">
        <v>1548</v>
      </c>
      <c r="G301" s="6" t="str">
        <f aca="false">INDEX(Archetypes!$D$2:$D$127, MATCH(D301, Archetypes!$A$2:$A$127, 0))</f>
        <v>Cultivator</v>
      </c>
      <c r="H301" s="6" t="n">
        <f aca="false">ROUND(INDEX(Archetypes!$E$2:$E$127, MATCH(D301, Archetypes!$A$2:$A$127, 0))*INDEX(Unit_Grades!$B$2:$B$7, MATCH(F301, Unit_Grades!$A$2:$A$7, 0))*INDEX(Unit_Paths!$B$2:$B$4, MATCH(E301, Unit_Paths!$A$2:$A$4, 0)),1)</f>
        <v>100.8</v>
      </c>
      <c r="I301" s="6" t="n">
        <f aca="false">ROUND(INDEX(Archetypes!$F$2:$F$127, MATCH(D301, Archetypes!$A$2:$A$127, 0))*INDEX(Unit_Grades!$B$2:$B$7, MATCH(F301, Unit_Grades!$A$2:$A$7, 0))*INDEX(Unit_Paths!$C$2:$C$4, MATCH(E301, Unit_Paths!$A$2:$A$4, 0)),1)</f>
        <v>50</v>
      </c>
      <c r="J301" s="6" t="n">
        <f aca="false">ROUND(INDEX(Archetypes!$G$2:$G$127, MATCH(D301, Archetypes!$A$2:$A$127, 0))*INDEX(Unit_Grades!$B$2:$B$7, MATCH(F301, Unit_Grades!$A$2:$A$7, 0))*INDEX(Unit_Paths!$D$2:$D$4, MATCH(E301, Unit_Paths!$A$2:$A$4, 0)),0)</f>
        <v>279</v>
      </c>
      <c r="K301" s="6" t="n">
        <f aca="false">ROUND(INDEX(Archetypes!$H$2:$H$127, MATCH(D301, Archetypes!$A$2:$A$127, 0))*INDEX(Unit_Paths!$E$2:$E$4, MATCH(E301, Unit_Paths!$A$2:$A$4, 0)),1)</f>
        <v>21</v>
      </c>
      <c r="L301" s="6" t="n">
        <f aca="false">ROUND(INDEX(Archetypes!$I$2:$I$127, MATCH(D301, Archetypes!$A$2:$A$127, 0))*INDEX(Unit_Grades!$C$2:$C$7, MATCH(F301, Unit_Grades!$A$2:$A$7, 0)),1)</f>
        <v>18.5</v>
      </c>
      <c r="M301" s="6" t="n">
        <f aca="false">ROUND(INDEX(Archetypes!$J$2:$J$127, MATCH(D301, Archetypes!$A$2:$A$127, 0))*INDEX(Unit_Grades!$D$2:$D$7, MATCH(F301, Unit_Grades!$A$2:$A$7, 0)),1)</f>
        <v>24.4</v>
      </c>
      <c r="N301" s="6" t="n">
        <f aca="false">ROUND(M301/24,2)</f>
        <v>1.02</v>
      </c>
    </row>
    <row r="302" customFormat="false" ht="15" hidden="false" customHeight="true" outlineLevel="0" collapsed="false">
      <c r="A302" s="6" t="n">
        <v>1</v>
      </c>
      <c r="B302" s="6" t="s">
        <v>1853</v>
      </c>
      <c r="C302" s="6" t="s">
        <v>1291</v>
      </c>
      <c r="D302" s="6" t="str">
        <f aca="false">A302&amp;"|"&amp;C302</f>
        <v>1|Qi Novice</v>
      </c>
      <c r="E302" s="6" t="s">
        <v>1560</v>
      </c>
      <c r="F302" s="6" t="s">
        <v>1538</v>
      </c>
      <c r="G302" s="6" t="str">
        <f aca="false">INDEX(Archetypes!$D$2:$D$127, MATCH(D302, Archetypes!$A$2:$A$127, 0))</f>
        <v>Cultivator</v>
      </c>
      <c r="H302" s="6" t="n">
        <f aca="false">ROUND(INDEX(Archetypes!$E$2:$E$127, MATCH(D302, Archetypes!$A$2:$A$127, 0))*INDEX(Unit_Grades!$B$2:$B$7, MATCH(F302, Unit_Grades!$A$2:$A$7, 0))*INDEX(Unit_Paths!$B$2:$B$4, MATCH(E302, Unit_Paths!$A$2:$A$4, 0)),1)</f>
        <v>17</v>
      </c>
      <c r="I302" s="6" t="n">
        <f aca="false">ROUND(INDEX(Archetypes!$F$2:$F$127, MATCH(D302, Archetypes!$A$2:$A$127, 0))*INDEX(Unit_Grades!$B$2:$B$7, MATCH(F302, Unit_Grades!$A$2:$A$7, 0))*INDEX(Unit_Paths!$C$2:$C$4, MATCH(E302, Unit_Paths!$A$2:$A$4, 0)),1)</f>
        <v>17.5</v>
      </c>
      <c r="J302" s="6" t="n">
        <f aca="false">ROUND(INDEX(Archetypes!$G$2:$G$127, MATCH(D302, Archetypes!$A$2:$A$127, 0))*INDEX(Unit_Grades!$B$2:$B$7, MATCH(F302, Unit_Grades!$A$2:$A$7, 0))*INDEX(Unit_Paths!$D$2:$D$4, MATCH(E302, Unit_Paths!$A$2:$A$4, 0)),0)</f>
        <v>81</v>
      </c>
      <c r="K302" s="6" t="n">
        <f aca="false">ROUND(INDEX(Archetypes!$H$2:$H$127, MATCH(D302, Archetypes!$A$2:$A$127, 0))*INDEX(Unit_Paths!$E$2:$E$4, MATCH(E302, Unit_Paths!$A$2:$A$4, 0)),1)</f>
        <v>18.4</v>
      </c>
      <c r="L302" s="6" t="n">
        <f aca="false">ROUND(INDEX(Archetypes!$I$2:$I$127, MATCH(D302, Archetypes!$A$2:$A$127, 0))*INDEX(Unit_Grades!$C$2:$C$7, MATCH(F302, Unit_Grades!$A$2:$A$7, 0)),1)</f>
        <v>5</v>
      </c>
      <c r="M302" s="6" t="n">
        <f aca="false">ROUND(INDEX(Archetypes!$J$2:$J$127, MATCH(D302, Archetypes!$A$2:$A$127, 0))*INDEX(Unit_Grades!$D$2:$D$7, MATCH(F302, Unit_Grades!$A$2:$A$7, 0)),1)</f>
        <v>2</v>
      </c>
      <c r="N302" s="6" t="n">
        <f aca="false">ROUND(M302/24,2)</f>
        <v>0.08</v>
      </c>
    </row>
    <row r="303" customFormat="false" ht="15" hidden="false" customHeight="true" outlineLevel="0" collapsed="false">
      <c r="A303" s="6" t="n">
        <v>1</v>
      </c>
      <c r="B303" s="6" t="s">
        <v>1854</v>
      </c>
      <c r="C303" s="6" t="s">
        <v>1291</v>
      </c>
      <c r="D303" s="6" t="str">
        <f aca="false">A303&amp;"|"&amp;C303</f>
        <v>1|Qi Novice</v>
      </c>
      <c r="E303" s="6" t="s">
        <v>1560</v>
      </c>
      <c r="F303" s="6" t="s">
        <v>1540</v>
      </c>
      <c r="G303" s="6" t="str">
        <f aca="false">INDEX(Archetypes!$D$2:$D$127, MATCH(D303, Archetypes!$A$2:$A$127, 0))</f>
        <v>Cultivator</v>
      </c>
      <c r="H303" s="6" t="n">
        <f aca="false">ROUND(INDEX(Archetypes!$E$2:$E$127, MATCH(D303, Archetypes!$A$2:$A$127, 0))*INDEX(Unit_Grades!$B$2:$B$7, MATCH(F303, Unit_Grades!$A$2:$A$7, 0))*INDEX(Unit_Paths!$B$2:$B$4, MATCH(E303, Unit_Paths!$A$2:$A$4, 0)),1)</f>
        <v>23</v>
      </c>
      <c r="I303" s="6" t="n">
        <f aca="false">ROUND(INDEX(Archetypes!$F$2:$F$127, MATCH(D303, Archetypes!$A$2:$A$127, 0))*INDEX(Unit_Grades!$B$2:$B$7, MATCH(F303, Unit_Grades!$A$2:$A$7, 0))*INDEX(Unit_Paths!$C$2:$C$4, MATCH(E303, Unit_Paths!$A$2:$A$4, 0)),1)</f>
        <v>23.6</v>
      </c>
      <c r="J303" s="6" t="n">
        <f aca="false">ROUND(INDEX(Archetypes!$G$2:$G$127, MATCH(D303, Archetypes!$A$2:$A$127, 0))*INDEX(Unit_Grades!$B$2:$B$7, MATCH(F303, Unit_Grades!$A$2:$A$7, 0))*INDEX(Unit_Paths!$D$2:$D$4, MATCH(E303, Unit_Paths!$A$2:$A$4, 0)),0)</f>
        <v>109</v>
      </c>
      <c r="K303" s="6" t="n">
        <f aca="false">ROUND(INDEX(Archetypes!$H$2:$H$127, MATCH(D303, Archetypes!$A$2:$A$127, 0))*INDEX(Unit_Paths!$E$2:$E$4, MATCH(E303, Unit_Paths!$A$2:$A$4, 0)),1)</f>
        <v>18.4</v>
      </c>
      <c r="L303" s="6" t="n">
        <f aca="false">ROUND(INDEX(Archetypes!$I$2:$I$127, MATCH(D303, Archetypes!$A$2:$A$127, 0))*INDEX(Unit_Grades!$C$2:$C$7, MATCH(F303, Unit_Grades!$A$2:$A$7, 0)),1)</f>
        <v>6.3</v>
      </c>
      <c r="M303" s="6" t="n">
        <f aca="false">ROUND(INDEX(Archetypes!$J$2:$J$127, MATCH(D303, Archetypes!$A$2:$A$127, 0))*INDEX(Unit_Grades!$D$2:$D$7, MATCH(F303, Unit_Grades!$A$2:$A$7, 0)),1)</f>
        <v>3</v>
      </c>
      <c r="N303" s="6" t="n">
        <f aca="false">ROUND(M303/24,2)</f>
        <v>0.13</v>
      </c>
    </row>
    <row r="304" customFormat="false" ht="15" hidden="false" customHeight="true" outlineLevel="0" collapsed="false">
      <c r="A304" s="6" t="n">
        <v>1</v>
      </c>
      <c r="B304" s="6" t="s">
        <v>1855</v>
      </c>
      <c r="C304" s="6" t="s">
        <v>1291</v>
      </c>
      <c r="D304" s="6" t="str">
        <f aca="false">A304&amp;"|"&amp;C304</f>
        <v>1|Qi Novice</v>
      </c>
      <c r="E304" s="6" t="s">
        <v>1560</v>
      </c>
      <c r="F304" s="6" t="s">
        <v>1542</v>
      </c>
      <c r="G304" s="6" t="str">
        <f aca="false">INDEX(Archetypes!$D$2:$D$127, MATCH(D304, Archetypes!$A$2:$A$127, 0))</f>
        <v>Cultivator</v>
      </c>
      <c r="H304" s="6" t="n">
        <f aca="false">ROUND(INDEX(Archetypes!$E$2:$E$127, MATCH(D304, Archetypes!$A$2:$A$127, 0))*INDEX(Unit_Grades!$B$2:$B$7, MATCH(F304, Unit_Grades!$A$2:$A$7, 0))*INDEX(Unit_Paths!$B$2:$B$4, MATCH(E304, Unit_Paths!$A$2:$A$4, 0)),1)</f>
        <v>30.6</v>
      </c>
      <c r="I304" s="6" t="n">
        <f aca="false">ROUND(INDEX(Archetypes!$F$2:$F$127, MATCH(D304, Archetypes!$A$2:$A$127, 0))*INDEX(Unit_Grades!$B$2:$B$7, MATCH(F304, Unit_Grades!$A$2:$A$7, 0))*INDEX(Unit_Paths!$C$2:$C$4, MATCH(E304, Unit_Paths!$A$2:$A$4, 0)),1)</f>
        <v>31.5</v>
      </c>
      <c r="J304" s="6" t="n">
        <f aca="false">ROUND(INDEX(Archetypes!$G$2:$G$127, MATCH(D304, Archetypes!$A$2:$A$127, 0))*INDEX(Unit_Grades!$B$2:$B$7, MATCH(F304, Unit_Grades!$A$2:$A$7, 0))*INDEX(Unit_Paths!$D$2:$D$4, MATCH(E304, Unit_Paths!$A$2:$A$4, 0)),0)</f>
        <v>145</v>
      </c>
      <c r="K304" s="6" t="n">
        <f aca="false">ROUND(INDEX(Archetypes!$H$2:$H$127, MATCH(D304, Archetypes!$A$2:$A$127, 0))*INDEX(Unit_Paths!$E$2:$E$4, MATCH(E304, Unit_Paths!$A$2:$A$4, 0)),1)</f>
        <v>18.4</v>
      </c>
      <c r="L304" s="6" t="n">
        <f aca="false">ROUND(INDEX(Archetypes!$I$2:$I$127, MATCH(D304, Archetypes!$A$2:$A$127, 0))*INDEX(Unit_Grades!$C$2:$C$7, MATCH(F304, Unit_Grades!$A$2:$A$7, 0)),1)</f>
        <v>8</v>
      </c>
      <c r="M304" s="6" t="n">
        <f aca="false">ROUND(INDEX(Archetypes!$J$2:$J$127, MATCH(D304, Archetypes!$A$2:$A$127, 0))*INDEX(Unit_Grades!$D$2:$D$7, MATCH(F304, Unit_Grades!$A$2:$A$7, 0)),1)</f>
        <v>5.1</v>
      </c>
      <c r="N304" s="6" t="n">
        <f aca="false">ROUND(M304/24,2)</f>
        <v>0.21</v>
      </c>
    </row>
    <row r="305" customFormat="false" ht="15" hidden="false" customHeight="true" outlineLevel="0" collapsed="false">
      <c r="A305" s="6" t="n">
        <v>1</v>
      </c>
      <c r="B305" s="6" t="s">
        <v>1856</v>
      </c>
      <c r="C305" s="6" t="s">
        <v>1291</v>
      </c>
      <c r="D305" s="6" t="str">
        <f aca="false">A305&amp;"|"&amp;C305</f>
        <v>1|Qi Novice</v>
      </c>
      <c r="E305" s="6" t="s">
        <v>1560</v>
      </c>
      <c r="F305" s="6" t="s">
        <v>1544</v>
      </c>
      <c r="G305" s="6" t="str">
        <f aca="false">INDEX(Archetypes!$D$2:$D$127, MATCH(D305, Archetypes!$A$2:$A$127, 0))</f>
        <v>Cultivator</v>
      </c>
      <c r="H305" s="6" t="n">
        <f aca="false">ROUND(INDEX(Archetypes!$E$2:$E$127, MATCH(D305, Archetypes!$A$2:$A$127, 0))*INDEX(Unit_Grades!$B$2:$B$7, MATCH(F305, Unit_Grades!$A$2:$A$7, 0))*INDEX(Unit_Paths!$B$2:$B$4, MATCH(E305, Unit_Paths!$A$2:$A$4, 0)),1)</f>
        <v>40.8</v>
      </c>
      <c r="I305" s="6" t="n">
        <f aca="false">ROUND(INDEX(Archetypes!$F$2:$F$127, MATCH(D305, Archetypes!$A$2:$A$127, 0))*INDEX(Unit_Grades!$B$2:$B$7, MATCH(F305, Unit_Grades!$A$2:$A$7, 0))*INDEX(Unit_Paths!$C$2:$C$4, MATCH(E305, Unit_Paths!$A$2:$A$4, 0)),1)</f>
        <v>42</v>
      </c>
      <c r="J305" s="6" t="n">
        <f aca="false">ROUND(INDEX(Archetypes!$G$2:$G$127, MATCH(D305, Archetypes!$A$2:$A$127, 0))*INDEX(Unit_Grades!$B$2:$B$7, MATCH(F305, Unit_Grades!$A$2:$A$7, 0))*INDEX(Unit_Paths!$D$2:$D$4, MATCH(E305, Unit_Paths!$A$2:$A$4, 0)),0)</f>
        <v>193</v>
      </c>
      <c r="K305" s="6" t="n">
        <f aca="false">ROUND(INDEX(Archetypes!$H$2:$H$127, MATCH(D305, Archetypes!$A$2:$A$127, 0))*INDEX(Unit_Paths!$E$2:$E$4, MATCH(E305, Unit_Paths!$A$2:$A$4, 0)),1)</f>
        <v>18.4</v>
      </c>
      <c r="L305" s="6" t="n">
        <f aca="false">ROUND(INDEX(Archetypes!$I$2:$I$127, MATCH(D305, Archetypes!$A$2:$A$127, 0))*INDEX(Unit_Grades!$C$2:$C$7, MATCH(F305, Unit_Grades!$A$2:$A$7, 0)),1)</f>
        <v>10.5</v>
      </c>
      <c r="M305" s="6" t="n">
        <f aca="false">ROUND(INDEX(Archetypes!$J$2:$J$127, MATCH(D305, Archetypes!$A$2:$A$127, 0))*INDEX(Unit_Grades!$D$2:$D$7, MATCH(F305, Unit_Grades!$A$2:$A$7, 0)),1)</f>
        <v>8.1</v>
      </c>
      <c r="N305" s="6" t="n">
        <f aca="false">ROUND(M305/24,2)</f>
        <v>0.34</v>
      </c>
    </row>
    <row r="306" customFormat="false" ht="15" hidden="false" customHeight="true" outlineLevel="0" collapsed="false">
      <c r="A306" s="6" t="n">
        <v>1</v>
      </c>
      <c r="B306" s="6" t="s">
        <v>1857</v>
      </c>
      <c r="C306" s="6" t="s">
        <v>1291</v>
      </c>
      <c r="D306" s="6" t="str">
        <f aca="false">A306&amp;"|"&amp;C306</f>
        <v>1|Qi Novice</v>
      </c>
      <c r="E306" s="6" t="s">
        <v>1560</v>
      </c>
      <c r="F306" s="6" t="s">
        <v>1546</v>
      </c>
      <c r="G306" s="6" t="str">
        <f aca="false">INDEX(Archetypes!$D$2:$D$127, MATCH(D306, Archetypes!$A$2:$A$127, 0))</f>
        <v>Cultivator</v>
      </c>
      <c r="H306" s="6" t="n">
        <f aca="false">ROUND(INDEX(Archetypes!$E$2:$E$127, MATCH(D306, Archetypes!$A$2:$A$127, 0))*INDEX(Unit_Grades!$B$2:$B$7, MATCH(F306, Unit_Grades!$A$2:$A$7, 0))*INDEX(Unit_Paths!$B$2:$B$4, MATCH(E306, Unit_Paths!$A$2:$A$4, 0)),1)</f>
        <v>54.4</v>
      </c>
      <c r="I306" s="6" t="n">
        <f aca="false">ROUND(INDEX(Archetypes!$F$2:$F$127, MATCH(D306, Archetypes!$A$2:$A$127, 0))*INDEX(Unit_Grades!$B$2:$B$7, MATCH(F306, Unit_Grades!$A$2:$A$7, 0))*INDEX(Unit_Paths!$C$2:$C$4, MATCH(E306, Unit_Paths!$A$2:$A$4, 0)),1)</f>
        <v>56</v>
      </c>
      <c r="J306" s="6" t="n">
        <f aca="false">ROUND(INDEX(Archetypes!$G$2:$G$127, MATCH(D306, Archetypes!$A$2:$A$127, 0))*INDEX(Unit_Grades!$B$2:$B$7, MATCH(F306, Unit_Grades!$A$2:$A$7, 0))*INDEX(Unit_Paths!$D$2:$D$4, MATCH(E306, Unit_Paths!$A$2:$A$4, 0)),0)</f>
        <v>258</v>
      </c>
      <c r="K306" s="6" t="n">
        <f aca="false">ROUND(INDEX(Archetypes!$H$2:$H$127, MATCH(D306, Archetypes!$A$2:$A$127, 0))*INDEX(Unit_Paths!$E$2:$E$4, MATCH(E306, Unit_Paths!$A$2:$A$4, 0)),1)</f>
        <v>18.4</v>
      </c>
      <c r="L306" s="6" t="n">
        <f aca="false">ROUND(INDEX(Archetypes!$I$2:$I$127, MATCH(D306, Archetypes!$A$2:$A$127, 0))*INDEX(Unit_Grades!$C$2:$C$7, MATCH(F306, Unit_Grades!$A$2:$A$7, 0)),1)</f>
        <v>14</v>
      </c>
      <c r="M306" s="6" t="n">
        <f aca="false">ROUND(INDEX(Archetypes!$J$2:$J$127, MATCH(D306, Archetypes!$A$2:$A$127, 0))*INDEX(Unit_Grades!$D$2:$D$7, MATCH(F306, Unit_Grades!$A$2:$A$7, 0)),1)</f>
        <v>14.2</v>
      </c>
      <c r="N306" s="6" t="n">
        <f aca="false">ROUND(M306/24,2)</f>
        <v>0.59</v>
      </c>
    </row>
    <row r="307" customFormat="false" ht="15" hidden="false" customHeight="true" outlineLevel="0" collapsed="false">
      <c r="A307" s="6" t="n">
        <v>1</v>
      </c>
      <c r="B307" s="6" t="s">
        <v>1858</v>
      </c>
      <c r="C307" s="6" t="s">
        <v>1291</v>
      </c>
      <c r="D307" s="6" t="str">
        <f aca="false">A307&amp;"|"&amp;C307</f>
        <v>1|Qi Novice</v>
      </c>
      <c r="E307" s="6" t="s">
        <v>1560</v>
      </c>
      <c r="F307" s="6" t="s">
        <v>1548</v>
      </c>
      <c r="G307" s="6" t="str">
        <f aca="false">INDEX(Archetypes!$D$2:$D$127, MATCH(D307, Archetypes!$A$2:$A$127, 0))</f>
        <v>Cultivator</v>
      </c>
      <c r="H307" s="6" t="n">
        <f aca="false">ROUND(INDEX(Archetypes!$E$2:$E$127, MATCH(D307, Archetypes!$A$2:$A$127, 0))*INDEX(Unit_Grades!$B$2:$B$7, MATCH(F307, Unit_Grades!$A$2:$A$7, 0))*INDEX(Unit_Paths!$B$2:$B$4, MATCH(E307, Unit_Paths!$A$2:$A$4, 0)),1)</f>
        <v>71.4</v>
      </c>
      <c r="I307" s="6" t="n">
        <f aca="false">ROUND(INDEX(Archetypes!$F$2:$F$127, MATCH(D307, Archetypes!$A$2:$A$127, 0))*INDEX(Unit_Grades!$B$2:$B$7, MATCH(F307, Unit_Grades!$A$2:$A$7, 0))*INDEX(Unit_Paths!$C$2:$C$4, MATCH(E307, Unit_Paths!$A$2:$A$4, 0)),1)</f>
        <v>73.5</v>
      </c>
      <c r="J307" s="6" t="n">
        <f aca="false">ROUND(INDEX(Archetypes!$G$2:$G$127, MATCH(D307, Archetypes!$A$2:$A$127, 0))*INDEX(Unit_Grades!$B$2:$B$7, MATCH(F307, Unit_Grades!$A$2:$A$7, 0))*INDEX(Unit_Paths!$D$2:$D$4, MATCH(E307, Unit_Paths!$A$2:$A$4, 0)),0)</f>
        <v>338</v>
      </c>
      <c r="K307" s="6" t="n">
        <f aca="false">ROUND(INDEX(Archetypes!$H$2:$H$127, MATCH(D307, Archetypes!$A$2:$A$127, 0))*INDEX(Unit_Paths!$E$2:$E$4, MATCH(E307, Unit_Paths!$A$2:$A$4, 0)),1)</f>
        <v>18.4</v>
      </c>
      <c r="L307" s="6" t="n">
        <f aca="false">ROUND(INDEX(Archetypes!$I$2:$I$127, MATCH(D307, Archetypes!$A$2:$A$127, 0))*INDEX(Unit_Grades!$C$2:$C$7, MATCH(F307, Unit_Grades!$A$2:$A$7, 0)),1)</f>
        <v>18.5</v>
      </c>
      <c r="M307" s="6" t="n">
        <f aca="false">ROUND(INDEX(Archetypes!$J$2:$J$127, MATCH(D307, Archetypes!$A$2:$A$127, 0))*INDEX(Unit_Grades!$D$2:$D$7, MATCH(F307, Unit_Grades!$A$2:$A$7, 0)),1)</f>
        <v>24.4</v>
      </c>
      <c r="N307" s="6" t="n">
        <f aca="false">ROUND(M307/24,2)</f>
        <v>1.02</v>
      </c>
    </row>
    <row r="308" customFormat="false" ht="15" hidden="false" customHeight="true" outlineLevel="0" collapsed="false">
      <c r="A308" s="6" t="n">
        <v>1</v>
      </c>
      <c r="B308" s="6" t="s">
        <v>1294</v>
      </c>
      <c r="C308" s="6" t="s">
        <v>1294</v>
      </c>
      <c r="D308" s="6" t="str">
        <f aca="false">A308&amp;"|"&amp;C308</f>
        <v>1|Body Refiner</v>
      </c>
      <c r="E308" s="6" t="s">
        <v>1556</v>
      </c>
      <c r="F308" s="6" t="s">
        <v>1538</v>
      </c>
      <c r="G308" s="6" t="str">
        <f aca="false">INDEX(Archetypes!$D$2:$D$127, MATCH(D308, Archetypes!$A$2:$A$127, 0))</f>
        <v>Cultivator</v>
      </c>
      <c r="H308" s="6" t="n">
        <f aca="false">ROUND(INDEX(Archetypes!$E$2:$E$127, MATCH(D308, Archetypes!$A$2:$A$127, 0))*INDEX(Unit_Grades!$B$2:$B$7, MATCH(F308, Unit_Grades!$A$2:$A$7, 0))*INDEX(Unit_Paths!$B$2:$B$4, MATCH(E308, Unit_Paths!$A$2:$A$4, 0)),1)</f>
        <v>26</v>
      </c>
      <c r="I308" s="6" t="n">
        <f aca="false">ROUND(INDEX(Archetypes!$F$2:$F$127, MATCH(D308, Archetypes!$A$2:$A$127, 0))*INDEX(Unit_Grades!$B$2:$B$7, MATCH(F308, Unit_Grades!$A$2:$A$7, 0))*INDEX(Unit_Paths!$C$2:$C$4, MATCH(E308, Unit_Paths!$A$2:$A$4, 0)),1)</f>
        <v>22</v>
      </c>
      <c r="J308" s="6" t="n">
        <f aca="false">ROUND(INDEX(Archetypes!$G$2:$G$127, MATCH(D308, Archetypes!$A$2:$A$127, 0))*INDEX(Unit_Grades!$B$2:$B$7, MATCH(F308, Unit_Grades!$A$2:$A$7, 0))*INDEX(Unit_Paths!$D$2:$D$4, MATCH(E308, Unit_Paths!$A$2:$A$4, 0)),0)</f>
        <v>110</v>
      </c>
      <c r="K308" s="6" t="n">
        <f aca="false">ROUND(INDEX(Archetypes!$H$2:$H$127, MATCH(D308, Archetypes!$A$2:$A$127, 0))*INDEX(Unit_Paths!$E$2:$E$4, MATCH(E308, Unit_Paths!$A$2:$A$4, 0)),1)</f>
        <v>18</v>
      </c>
      <c r="L308" s="6" t="n">
        <f aca="false">ROUND(INDEX(Archetypes!$I$2:$I$127, MATCH(D308, Archetypes!$A$2:$A$127, 0))*INDEX(Unit_Grades!$C$2:$C$7, MATCH(F308, Unit_Grades!$A$2:$A$7, 0)),1)</f>
        <v>6</v>
      </c>
      <c r="M308" s="6" t="n">
        <f aca="false">ROUND(INDEX(Archetypes!$J$2:$J$127, MATCH(D308, Archetypes!$A$2:$A$127, 0))*INDEX(Unit_Grades!$D$2:$D$7, MATCH(F308, Unit_Grades!$A$2:$A$7, 0)),1)</f>
        <v>2.4</v>
      </c>
      <c r="N308" s="6" t="n">
        <f aca="false">ROUND(M308/24,2)</f>
        <v>0.1</v>
      </c>
    </row>
    <row r="309" customFormat="false" ht="15" hidden="false" customHeight="true" outlineLevel="0" collapsed="false">
      <c r="A309" s="6" t="n">
        <v>1</v>
      </c>
      <c r="B309" s="6" t="s">
        <v>1859</v>
      </c>
      <c r="C309" s="6" t="s">
        <v>1294</v>
      </c>
      <c r="D309" s="6" t="str">
        <f aca="false">A309&amp;"|"&amp;C309</f>
        <v>1|Body Refiner</v>
      </c>
      <c r="E309" s="6" t="s">
        <v>1556</v>
      </c>
      <c r="F309" s="6" t="s">
        <v>1540</v>
      </c>
      <c r="G309" s="6" t="str">
        <f aca="false">INDEX(Archetypes!$D$2:$D$127, MATCH(D309, Archetypes!$A$2:$A$127, 0))</f>
        <v>Cultivator</v>
      </c>
      <c r="H309" s="6" t="n">
        <f aca="false">ROUND(INDEX(Archetypes!$E$2:$E$127, MATCH(D309, Archetypes!$A$2:$A$127, 0))*INDEX(Unit_Grades!$B$2:$B$7, MATCH(F309, Unit_Grades!$A$2:$A$7, 0))*INDEX(Unit_Paths!$B$2:$B$4, MATCH(E309, Unit_Paths!$A$2:$A$4, 0)),1)</f>
        <v>35.1</v>
      </c>
      <c r="I309" s="6" t="n">
        <f aca="false">ROUND(INDEX(Archetypes!$F$2:$F$127, MATCH(D309, Archetypes!$A$2:$A$127, 0))*INDEX(Unit_Grades!$B$2:$B$7, MATCH(F309, Unit_Grades!$A$2:$A$7, 0))*INDEX(Unit_Paths!$C$2:$C$4, MATCH(E309, Unit_Paths!$A$2:$A$4, 0)),1)</f>
        <v>29.7</v>
      </c>
      <c r="J309" s="6" t="n">
        <f aca="false">ROUND(INDEX(Archetypes!$G$2:$G$127, MATCH(D309, Archetypes!$A$2:$A$127, 0))*INDEX(Unit_Grades!$B$2:$B$7, MATCH(F309, Unit_Grades!$A$2:$A$7, 0))*INDEX(Unit_Paths!$D$2:$D$4, MATCH(E309, Unit_Paths!$A$2:$A$4, 0)),0)</f>
        <v>149</v>
      </c>
      <c r="K309" s="6" t="n">
        <f aca="false">ROUND(INDEX(Archetypes!$H$2:$H$127, MATCH(D309, Archetypes!$A$2:$A$127, 0))*INDEX(Unit_Paths!$E$2:$E$4, MATCH(E309, Unit_Paths!$A$2:$A$4, 0)),1)</f>
        <v>18</v>
      </c>
      <c r="L309" s="6" t="n">
        <f aca="false">ROUND(INDEX(Archetypes!$I$2:$I$127, MATCH(D309, Archetypes!$A$2:$A$127, 0))*INDEX(Unit_Grades!$C$2:$C$7, MATCH(F309, Unit_Grades!$A$2:$A$7, 0)),1)</f>
        <v>7.5</v>
      </c>
      <c r="M309" s="6" t="n">
        <f aca="false">ROUND(INDEX(Archetypes!$J$2:$J$127, MATCH(D309, Archetypes!$A$2:$A$127, 0))*INDEX(Unit_Grades!$D$2:$D$7, MATCH(F309, Unit_Grades!$A$2:$A$7, 0)),1)</f>
        <v>3.7</v>
      </c>
      <c r="N309" s="6" t="n">
        <f aca="false">ROUND(M309/24,2)</f>
        <v>0.15</v>
      </c>
    </row>
    <row r="310" customFormat="false" ht="15" hidden="false" customHeight="true" outlineLevel="0" collapsed="false">
      <c r="A310" s="6" t="n">
        <v>1</v>
      </c>
      <c r="B310" s="6" t="s">
        <v>1860</v>
      </c>
      <c r="C310" s="6" t="s">
        <v>1294</v>
      </c>
      <c r="D310" s="6" t="str">
        <f aca="false">A310&amp;"|"&amp;C310</f>
        <v>1|Body Refiner</v>
      </c>
      <c r="E310" s="6" t="s">
        <v>1556</v>
      </c>
      <c r="F310" s="6" t="s">
        <v>1542</v>
      </c>
      <c r="G310" s="6" t="str">
        <f aca="false">INDEX(Archetypes!$D$2:$D$127, MATCH(D310, Archetypes!$A$2:$A$127, 0))</f>
        <v>Cultivator</v>
      </c>
      <c r="H310" s="6" t="n">
        <f aca="false">ROUND(INDEX(Archetypes!$E$2:$E$127, MATCH(D310, Archetypes!$A$2:$A$127, 0))*INDEX(Unit_Grades!$B$2:$B$7, MATCH(F310, Unit_Grades!$A$2:$A$7, 0))*INDEX(Unit_Paths!$B$2:$B$4, MATCH(E310, Unit_Paths!$A$2:$A$4, 0)),1)</f>
        <v>46.8</v>
      </c>
      <c r="I310" s="6" t="n">
        <f aca="false">ROUND(INDEX(Archetypes!$F$2:$F$127, MATCH(D310, Archetypes!$A$2:$A$127, 0))*INDEX(Unit_Grades!$B$2:$B$7, MATCH(F310, Unit_Grades!$A$2:$A$7, 0))*INDEX(Unit_Paths!$C$2:$C$4, MATCH(E310, Unit_Paths!$A$2:$A$4, 0)),1)</f>
        <v>39.6</v>
      </c>
      <c r="J310" s="6" t="n">
        <f aca="false">ROUND(INDEX(Archetypes!$G$2:$G$127, MATCH(D310, Archetypes!$A$2:$A$127, 0))*INDEX(Unit_Grades!$B$2:$B$7, MATCH(F310, Unit_Grades!$A$2:$A$7, 0))*INDEX(Unit_Paths!$D$2:$D$4, MATCH(E310, Unit_Paths!$A$2:$A$4, 0)),0)</f>
        <v>198</v>
      </c>
      <c r="K310" s="6" t="n">
        <f aca="false">ROUND(INDEX(Archetypes!$H$2:$H$127, MATCH(D310, Archetypes!$A$2:$A$127, 0))*INDEX(Unit_Paths!$E$2:$E$4, MATCH(E310, Unit_Paths!$A$2:$A$4, 0)),1)</f>
        <v>18</v>
      </c>
      <c r="L310" s="6" t="n">
        <f aca="false">ROUND(INDEX(Archetypes!$I$2:$I$127, MATCH(D310, Archetypes!$A$2:$A$127, 0))*INDEX(Unit_Grades!$C$2:$C$7, MATCH(F310, Unit_Grades!$A$2:$A$7, 0)),1)</f>
        <v>9.6</v>
      </c>
      <c r="M310" s="6" t="n">
        <f aca="false">ROUND(INDEX(Archetypes!$J$2:$J$127, MATCH(D310, Archetypes!$A$2:$A$127, 0))*INDEX(Unit_Grades!$D$2:$D$7, MATCH(F310, Unit_Grades!$A$2:$A$7, 0)),1)</f>
        <v>6.1</v>
      </c>
      <c r="N310" s="6" t="n">
        <f aca="false">ROUND(M310/24,2)</f>
        <v>0.25</v>
      </c>
    </row>
    <row r="311" customFormat="false" ht="15" hidden="false" customHeight="true" outlineLevel="0" collapsed="false">
      <c r="A311" s="6" t="n">
        <v>1</v>
      </c>
      <c r="B311" s="6" t="s">
        <v>1861</v>
      </c>
      <c r="C311" s="6" t="s">
        <v>1294</v>
      </c>
      <c r="D311" s="6" t="str">
        <f aca="false">A311&amp;"|"&amp;C311</f>
        <v>1|Body Refiner</v>
      </c>
      <c r="E311" s="6" t="s">
        <v>1556</v>
      </c>
      <c r="F311" s="6" t="s">
        <v>1544</v>
      </c>
      <c r="G311" s="6" t="str">
        <f aca="false">INDEX(Archetypes!$D$2:$D$127, MATCH(D311, Archetypes!$A$2:$A$127, 0))</f>
        <v>Cultivator</v>
      </c>
      <c r="H311" s="6" t="n">
        <f aca="false">ROUND(INDEX(Archetypes!$E$2:$E$127, MATCH(D311, Archetypes!$A$2:$A$127, 0))*INDEX(Unit_Grades!$B$2:$B$7, MATCH(F311, Unit_Grades!$A$2:$A$7, 0))*INDEX(Unit_Paths!$B$2:$B$4, MATCH(E311, Unit_Paths!$A$2:$A$4, 0)),1)</f>
        <v>62.4</v>
      </c>
      <c r="I311" s="6" t="n">
        <f aca="false">ROUND(INDEX(Archetypes!$F$2:$F$127, MATCH(D311, Archetypes!$A$2:$A$127, 0))*INDEX(Unit_Grades!$B$2:$B$7, MATCH(F311, Unit_Grades!$A$2:$A$7, 0))*INDEX(Unit_Paths!$C$2:$C$4, MATCH(E311, Unit_Paths!$A$2:$A$4, 0)),1)</f>
        <v>52.8</v>
      </c>
      <c r="J311" s="6" t="n">
        <f aca="false">ROUND(INDEX(Archetypes!$G$2:$G$127, MATCH(D311, Archetypes!$A$2:$A$127, 0))*INDEX(Unit_Grades!$B$2:$B$7, MATCH(F311, Unit_Grades!$A$2:$A$7, 0))*INDEX(Unit_Paths!$D$2:$D$4, MATCH(E311, Unit_Paths!$A$2:$A$4, 0)),0)</f>
        <v>264</v>
      </c>
      <c r="K311" s="6" t="n">
        <f aca="false">ROUND(INDEX(Archetypes!$H$2:$H$127, MATCH(D311, Archetypes!$A$2:$A$127, 0))*INDEX(Unit_Paths!$E$2:$E$4, MATCH(E311, Unit_Paths!$A$2:$A$4, 0)),1)</f>
        <v>18</v>
      </c>
      <c r="L311" s="6" t="n">
        <f aca="false">ROUND(INDEX(Archetypes!$I$2:$I$127, MATCH(D311, Archetypes!$A$2:$A$127, 0))*INDEX(Unit_Grades!$C$2:$C$7, MATCH(F311, Unit_Grades!$A$2:$A$7, 0)),1)</f>
        <v>12.6</v>
      </c>
      <c r="M311" s="6" t="n">
        <f aca="false">ROUND(INDEX(Archetypes!$J$2:$J$127, MATCH(D311, Archetypes!$A$2:$A$127, 0))*INDEX(Unit_Grades!$D$2:$D$7, MATCH(F311, Unit_Grades!$A$2:$A$7, 0)),1)</f>
        <v>9.8</v>
      </c>
      <c r="N311" s="6" t="n">
        <f aca="false">ROUND(M311/24,2)</f>
        <v>0.41</v>
      </c>
    </row>
    <row r="312" customFormat="false" ht="15" hidden="false" customHeight="true" outlineLevel="0" collapsed="false">
      <c r="A312" s="6" t="n">
        <v>1</v>
      </c>
      <c r="B312" s="6" t="s">
        <v>1862</v>
      </c>
      <c r="C312" s="6" t="s">
        <v>1294</v>
      </c>
      <c r="D312" s="6" t="str">
        <f aca="false">A312&amp;"|"&amp;C312</f>
        <v>1|Body Refiner</v>
      </c>
      <c r="E312" s="6" t="s">
        <v>1556</v>
      </c>
      <c r="F312" s="6" t="s">
        <v>1546</v>
      </c>
      <c r="G312" s="6" t="str">
        <f aca="false">INDEX(Archetypes!$D$2:$D$127, MATCH(D312, Archetypes!$A$2:$A$127, 0))</f>
        <v>Cultivator</v>
      </c>
      <c r="H312" s="6" t="n">
        <f aca="false">ROUND(INDEX(Archetypes!$E$2:$E$127, MATCH(D312, Archetypes!$A$2:$A$127, 0))*INDEX(Unit_Grades!$B$2:$B$7, MATCH(F312, Unit_Grades!$A$2:$A$7, 0))*INDEX(Unit_Paths!$B$2:$B$4, MATCH(E312, Unit_Paths!$A$2:$A$4, 0)),1)</f>
        <v>83.2</v>
      </c>
      <c r="I312" s="6" t="n">
        <f aca="false">ROUND(INDEX(Archetypes!$F$2:$F$127, MATCH(D312, Archetypes!$A$2:$A$127, 0))*INDEX(Unit_Grades!$B$2:$B$7, MATCH(F312, Unit_Grades!$A$2:$A$7, 0))*INDEX(Unit_Paths!$C$2:$C$4, MATCH(E312, Unit_Paths!$A$2:$A$4, 0)),1)</f>
        <v>70.4</v>
      </c>
      <c r="J312" s="6" t="n">
        <f aca="false">ROUND(INDEX(Archetypes!$G$2:$G$127, MATCH(D312, Archetypes!$A$2:$A$127, 0))*INDEX(Unit_Grades!$B$2:$B$7, MATCH(F312, Unit_Grades!$A$2:$A$7, 0))*INDEX(Unit_Paths!$D$2:$D$4, MATCH(E312, Unit_Paths!$A$2:$A$4, 0)),0)</f>
        <v>352</v>
      </c>
      <c r="K312" s="6" t="n">
        <f aca="false">ROUND(INDEX(Archetypes!$H$2:$H$127, MATCH(D312, Archetypes!$A$2:$A$127, 0))*INDEX(Unit_Paths!$E$2:$E$4, MATCH(E312, Unit_Paths!$A$2:$A$4, 0)),1)</f>
        <v>18</v>
      </c>
      <c r="L312" s="6" t="n">
        <f aca="false">ROUND(INDEX(Archetypes!$I$2:$I$127, MATCH(D312, Archetypes!$A$2:$A$127, 0))*INDEX(Unit_Grades!$C$2:$C$7, MATCH(F312, Unit_Grades!$A$2:$A$7, 0)),1)</f>
        <v>16.8</v>
      </c>
      <c r="M312" s="6" t="n">
        <f aca="false">ROUND(INDEX(Archetypes!$J$2:$J$127, MATCH(D312, Archetypes!$A$2:$A$127, 0))*INDEX(Unit_Grades!$D$2:$D$7, MATCH(F312, Unit_Grades!$A$2:$A$7, 0)),1)</f>
        <v>17.1</v>
      </c>
      <c r="N312" s="6" t="n">
        <f aca="false">ROUND(M312/24,2)</f>
        <v>0.71</v>
      </c>
    </row>
    <row r="313" customFormat="false" ht="15" hidden="false" customHeight="true" outlineLevel="0" collapsed="false">
      <c r="A313" s="6" t="n">
        <v>1</v>
      </c>
      <c r="B313" s="6" t="s">
        <v>1863</v>
      </c>
      <c r="C313" s="6" t="s">
        <v>1294</v>
      </c>
      <c r="D313" s="6" t="str">
        <f aca="false">A313&amp;"|"&amp;C313</f>
        <v>1|Body Refiner</v>
      </c>
      <c r="E313" s="6" t="s">
        <v>1556</v>
      </c>
      <c r="F313" s="6" t="s">
        <v>1548</v>
      </c>
      <c r="G313" s="6" t="str">
        <f aca="false">INDEX(Archetypes!$D$2:$D$127, MATCH(D313, Archetypes!$A$2:$A$127, 0))</f>
        <v>Cultivator</v>
      </c>
      <c r="H313" s="6" t="n">
        <f aca="false">ROUND(INDEX(Archetypes!$E$2:$E$127, MATCH(D313, Archetypes!$A$2:$A$127, 0))*INDEX(Unit_Grades!$B$2:$B$7, MATCH(F313, Unit_Grades!$A$2:$A$7, 0))*INDEX(Unit_Paths!$B$2:$B$4, MATCH(E313, Unit_Paths!$A$2:$A$4, 0)),1)</f>
        <v>109.2</v>
      </c>
      <c r="I313" s="6" t="n">
        <f aca="false">ROUND(INDEX(Archetypes!$F$2:$F$127, MATCH(D313, Archetypes!$A$2:$A$127, 0))*INDEX(Unit_Grades!$B$2:$B$7, MATCH(F313, Unit_Grades!$A$2:$A$7, 0))*INDEX(Unit_Paths!$C$2:$C$4, MATCH(E313, Unit_Paths!$A$2:$A$4, 0)),1)</f>
        <v>92.4</v>
      </c>
      <c r="J313" s="6" t="n">
        <f aca="false">ROUND(INDEX(Archetypes!$G$2:$G$127, MATCH(D313, Archetypes!$A$2:$A$127, 0))*INDEX(Unit_Grades!$B$2:$B$7, MATCH(F313, Unit_Grades!$A$2:$A$7, 0))*INDEX(Unit_Paths!$D$2:$D$4, MATCH(E313, Unit_Paths!$A$2:$A$4, 0)),0)</f>
        <v>462</v>
      </c>
      <c r="K313" s="6" t="n">
        <f aca="false">ROUND(INDEX(Archetypes!$H$2:$H$127, MATCH(D313, Archetypes!$A$2:$A$127, 0))*INDEX(Unit_Paths!$E$2:$E$4, MATCH(E313, Unit_Paths!$A$2:$A$4, 0)),1)</f>
        <v>18</v>
      </c>
      <c r="L313" s="6" t="n">
        <f aca="false">ROUND(INDEX(Archetypes!$I$2:$I$127, MATCH(D313, Archetypes!$A$2:$A$127, 0))*INDEX(Unit_Grades!$C$2:$C$7, MATCH(F313, Unit_Grades!$A$2:$A$7, 0)),1)</f>
        <v>22.2</v>
      </c>
      <c r="M313" s="6" t="n">
        <f aca="false">ROUND(INDEX(Archetypes!$J$2:$J$127, MATCH(D313, Archetypes!$A$2:$A$127, 0))*INDEX(Unit_Grades!$D$2:$D$7, MATCH(F313, Unit_Grades!$A$2:$A$7, 0)),1)</f>
        <v>29.3</v>
      </c>
      <c r="N313" s="6" t="n">
        <f aca="false">ROUND(M313/24,2)</f>
        <v>1.22</v>
      </c>
    </row>
    <row r="314" customFormat="false" ht="15" hidden="false" customHeight="true" outlineLevel="0" collapsed="false">
      <c r="A314" s="6" t="n">
        <v>1</v>
      </c>
      <c r="B314" s="6" t="s">
        <v>1864</v>
      </c>
      <c r="C314" s="6" t="s">
        <v>1294</v>
      </c>
      <c r="D314" s="6" t="str">
        <f aca="false">A314&amp;"|"&amp;C314</f>
        <v>1|Body Refiner</v>
      </c>
      <c r="E314" s="6" t="s">
        <v>1558</v>
      </c>
      <c r="F314" s="6" t="s">
        <v>1538</v>
      </c>
      <c r="G314" s="6" t="str">
        <f aca="false">INDEX(Archetypes!$D$2:$D$127, MATCH(D314, Archetypes!$A$2:$A$127, 0))</f>
        <v>Cultivator</v>
      </c>
      <c r="H314" s="6" t="n">
        <f aca="false">ROUND(INDEX(Archetypes!$E$2:$E$127, MATCH(D314, Archetypes!$A$2:$A$127, 0))*INDEX(Unit_Grades!$B$2:$B$7, MATCH(F314, Unit_Grades!$A$2:$A$7, 0))*INDEX(Unit_Paths!$B$2:$B$4, MATCH(E314, Unit_Paths!$A$2:$A$4, 0)),1)</f>
        <v>31.2</v>
      </c>
      <c r="I314" s="6" t="n">
        <f aca="false">ROUND(INDEX(Archetypes!$F$2:$F$127, MATCH(D314, Archetypes!$A$2:$A$127, 0))*INDEX(Unit_Grades!$B$2:$B$7, MATCH(F314, Unit_Grades!$A$2:$A$7, 0))*INDEX(Unit_Paths!$C$2:$C$4, MATCH(E314, Unit_Paths!$A$2:$A$4, 0)),1)</f>
        <v>18.7</v>
      </c>
      <c r="J314" s="6" t="n">
        <f aca="false">ROUND(INDEX(Archetypes!$G$2:$G$127, MATCH(D314, Archetypes!$A$2:$A$127, 0))*INDEX(Unit_Grades!$B$2:$B$7, MATCH(F314, Unit_Grades!$A$2:$A$7, 0))*INDEX(Unit_Paths!$D$2:$D$4, MATCH(E314, Unit_Paths!$A$2:$A$4, 0)),0)</f>
        <v>105</v>
      </c>
      <c r="K314" s="6" t="n">
        <f aca="false">ROUND(INDEX(Archetypes!$H$2:$H$127, MATCH(D314, Archetypes!$A$2:$A$127, 0))*INDEX(Unit_Paths!$E$2:$E$4, MATCH(E314, Unit_Paths!$A$2:$A$4, 0)),1)</f>
        <v>18.9</v>
      </c>
      <c r="L314" s="6" t="n">
        <f aca="false">ROUND(INDEX(Archetypes!$I$2:$I$127, MATCH(D314, Archetypes!$A$2:$A$127, 0))*INDEX(Unit_Grades!$C$2:$C$7, MATCH(F314, Unit_Grades!$A$2:$A$7, 0)),1)</f>
        <v>6</v>
      </c>
      <c r="M314" s="6" t="n">
        <f aca="false">ROUND(INDEX(Archetypes!$J$2:$J$127, MATCH(D314, Archetypes!$A$2:$A$127, 0))*INDEX(Unit_Grades!$D$2:$D$7, MATCH(F314, Unit_Grades!$A$2:$A$7, 0)),1)</f>
        <v>2.4</v>
      </c>
      <c r="N314" s="6" t="n">
        <f aca="false">ROUND(M314/24,2)</f>
        <v>0.1</v>
      </c>
    </row>
    <row r="315" customFormat="false" ht="15" hidden="false" customHeight="true" outlineLevel="0" collapsed="false">
      <c r="A315" s="6" t="n">
        <v>1</v>
      </c>
      <c r="B315" s="6" t="s">
        <v>1865</v>
      </c>
      <c r="C315" s="6" t="s">
        <v>1294</v>
      </c>
      <c r="D315" s="6" t="str">
        <f aca="false">A315&amp;"|"&amp;C315</f>
        <v>1|Body Refiner</v>
      </c>
      <c r="E315" s="6" t="s">
        <v>1558</v>
      </c>
      <c r="F315" s="6" t="s">
        <v>1540</v>
      </c>
      <c r="G315" s="6" t="str">
        <f aca="false">INDEX(Archetypes!$D$2:$D$127, MATCH(D315, Archetypes!$A$2:$A$127, 0))</f>
        <v>Cultivator</v>
      </c>
      <c r="H315" s="6" t="n">
        <f aca="false">ROUND(INDEX(Archetypes!$E$2:$E$127, MATCH(D315, Archetypes!$A$2:$A$127, 0))*INDEX(Unit_Grades!$B$2:$B$7, MATCH(F315, Unit_Grades!$A$2:$A$7, 0))*INDEX(Unit_Paths!$B$2:$B$4, MATCH(E315, Unit_Paths!$A$2:$A$4, 0)),1)</f>
        <v>42.1</v>
      </c>
      <c r="I315" s="6" t="n">
        <f aca="false">ROUND(INDEX(Archetypes!$F$2:$F$127, MATCH(D315, Archetypes!$A$2:$A$127, 0))*INDEX(Unit_Grades!$B$2:$B$7, MATCH(F315, Unit_Grades!$A$2:$A$7, 0))*INDEX(Unit_Paths!$C$2:$C$4, MATCH(E315, Unit_Paths!$A$2:$A$4, 0)),1)</f>
        <v>25.2</v>
      </c>
      <c r="J315" s="6" t="n">
        <f aca="false">ROUND(INDEX(Archetypes!$G$2:$G$127, MATCH(D315, Archetypes!$A$2:$A$127, 0))*INDEX(Unit_Grades!$B$2:$B$7, MATCH(F315, Unit_Grades!$A$2:$A$7, 0))*INDEX(Unit_Paths!$D$2:$D$4, MATCH(E315, Unit_Paths!$A$2:$A$4, 0)),0)</f>
        <v>141</v>
      </c>
      <c r="K315" s="6" t="n">
        <f aca="false">ROUND(INDEX(Archetypes!$H$2:$H$127, MATCH(D315, Archetypes!$A$2:$A$127, 0))*INDEX(Unit_Paths!$E$2:$E$4, MATCH(E315, Unit_Paths!$A$2:$A$4, 0)),1)</f>
        <v>18.9</v>
      </c>
      <c r="L315" s="6" t="n">
        <f aca="false">ROUND(INDEX(Archetypes!$I$2:$I$127, MATCH(D315, Archetypes!$A$2:$A$127, 0))*INDEX(Unit_Grades!$C$2:$C$7, MATCH(F315, Unit_Grades!$A$2:$A$7, 0)),1)</f>
        <v>7.5</v>
      </c>
      <c r="M315" s="6" t="n">
        <f aca="false">ROUND(INDEX(Archetypes!$J$2:$J$127, MATCH(D315, Archetypes!$A$2:$A$127, 0))*INDEX(Unit_Grades!$D$2:$D$7, MATCH(F315, Unit_Grades!$A$2:$A$7, 0)),1)</f>
        <v>3.7</v>
      </c>
      <c r="N315" s="6" t="n">
        <f aca="false">ROUND(M315/24,2)</f>
        <v>0.15</v>
      </c>
    </row>
    <row r="316" customFormat="false" ht="15" hidden="false" customHeight="true" outlineLevel="0" collapsed="false">
      <c r="A316" s="6" t="n">
        <v>1</v>
      </c>
      <c r="B316" s="6" t="s">
        <v>1866</v>
      </c>
      <c r="C316" s="6" t="s">
        <v>1294</v>
      </c>
      <c r="D316" s="6" t="str">
        <f aca="false">A316&amp;"|"&amp;C316</f>
        <v>1|Body Refiner</v>
      </c>
      <c r="E316" s="6" t="s">
        <v>1558</v>
      </c>
      <c r="F316" s="6" t="s">
        <v>1542</v>
      </c>
      <c r="G316" s="6" t="str">
        <f aca="false">INDEX(Archetypes!$D$2:$D$127, MATCH(D316, Archetypes!$A$2:$A$127, 0))</f>
        <v>Cultivator</v>
      </c>
      <c r="H316" s="6" t="n">
        <f aca="false">ROUND(INDEX(Archetypes!$E$2:$E$127, MATCH(D316, Archetypes!$A$2:$A$127, 0))*INDEX(Unit_Grades!$B$2:$B$7, MATCH(F316, Unit_Grades!$A$2:$A$7, 0))*INDEX(Unit_Paths!$B$2:$B$4, MATCH(E316, Unit_Paths!$A$2:$A$4, 0)),1)</f>
        <v>56.2</v>
      </c>
      <c r="I316" s="6" t="n">
        <f aca="false">ROUND(INDEX(Archetypes!$F$2:$F$127, MATCH(D316, Archetypes!$A$2:$A$127, 0))*INDEX(Unit_Grades!$B$2:$B$7, MATCH(F316, Unit_Grades!$A$2:$A$7, 0))*INDEX(Unit_Paths!$C$2:$C$4, MATCH(E316, Unit_Paths!$A$2:$A$4, 0)),1)</f>
        <v>33.7</v>
      </c>
      <c r="J316" s="6" t="n">
        <f aca="false">ROUND(INDEX(Archetypes!$G$2:$G$127, MATCH(D316, Archetypes!$A$2:$A$127, 0))*INDEX(Unit_Grades!$B$2:$B$7, MATCH(F316, Unit_Grades!$A$2:$A$7, 0))*INDEX(Unit_Paths!$D$2:$D$4, MATCH(E316, Unit_Paths!$A$2:$A$4, 0)),0)</f>
        <v>188</v>
      </c>
      <c r="K316" s="6" t="n">
        <f aca="false">ROUND(INDEX(Archetypes!$H$2:$H$127, MATCH(D316, Archetypes!$A$2:$A$127, 0))*INDEX(Unit_Paths!$E$2:$E$4, MATCH(E316, Unit_Paths!$A$2:$A$4, 0)),1)</f>
        <v>18.9</v>
      </c>
      <c r="L316" s="6" t="n">
        <f aca="false">ROUND(INDEX(Archetypes!$I$2:$I$127, MATCH(D316, Archetypes!$A$2:$A$127, 0))*INDEX(Unit_Grades!$C$2:$C$7, MATCH(F316, Unit_Grades!$A$2:$A$7, 0)),1)</f>
        <v>9.6</v>
      </c>
      <c r="M316" s="6" t="n">
        <f aca="false">ROUND(INDEX(Archetypes!$J$2:$J$127, MATCH(D316, Archetypes!$A$2:$A$127, 0))*INDEX(Unit_Grades!$D$2:$D$7, MATCH(F316, Unit_Grades!$A$2:$A$7, 0)),1)</f>
        <v>6.1</v>
      </c>
      <c r="N316" s="6" t="n">
        <f aca="false">ROUND(M316/24,2)</f>
        <v>0.25</v>
      </c>
    </row>
    <row r="317" customFormat="false" ht="15" hidden="false" customHeight="true" outlineLevel="0" collapsed="false">
      <c r="A317" s="6" t="n">
        <v>1</v>
      </c>
      <c r="B317" s="6" t="s">
        <v>1867</v>
      </c>
      <c r="C317" s="6" t="s">
        <v>1294</v>
      </c>
      <c r="D317" s="6" t="str">
        <f aca="false">A317&amp;"|"&amp;C317</f>
        <v>1|Body Refiner</v>
      </c>
      <c r="E317" s="6" t="s">
        <v>1558</v>
      </c>
      <c r="F317" s="6" t="s">
        <v>1544</v>
      </c>
      <c r="G317" s="6" t="str">
        <f aca="false">INDEX(Archetypes!$D$2:$D$127, MATCH(D317, Archetypes!$A$2:$A$127, 0))</f>
        <v>Cultivator</v>
      </c>
      <c r="H317" s="6" t="n">
        <f aca="false">ROUND(INDEX(Archetypes!$E$2:$E$127, MATCH(D317, Archetypes!$A$2:$A$127, 0))*INDEX(Unit_Grades!$B$2:$B$7, MATCH(F317, Unit_Grades!$A$2:$A$7, 0))*INDEX(Unit_Paths!$B$2:$B$4, MATCH(E317, Unit_Paths!$A$2:$A$4, 0)),1)</f>
        <v>74.9</v>
      </c>
      <c r="I317" s="6" t="n">
        <f aca="false">ROUND(INDEX(Archetypes!$F$2:$F$127, MATCH(D317, Archetypes!$A$2:$A$127, 0))*INDEX(Unit_Grades!$B$2:$B$7, MATCH(F317, Unit_Grades!$A$2:$A$7, 0))*INDEX(Unit_Paths!$C$2:$C$4, MATCH(E317, Unit_Paths!$A$2:$A$4, 0)),1)</f>
        <v>44.9</v>
      </c>
      <c r="J317" s="6" t="n">
        <f aca="false">ROUND(INDEX(Archetypes!$G$2:$G$127, MATCH(D317, Archetypes!$A$2:$A$127, 0))*INDEX(Unit_Grades!$B$2:$B$7, MATCH(F317, Unit_Grades!$A$2:$A$7, 0))*INDEX(Unit_Paths!$D$2:$D$4, MATCH(E317, Unit_Paths!$A$2:$A$4, 0)),0)</f>
        <v>251</v>
      </c>
      <c r="K317" s="6" t="n">
        <f aca="false">ROUND(INDEX(Archetypes!$H$2:$H$127, MATCH(D317, Archetypes!$A$2:$A$127, 0))*INDEX(Unit_Paths!$E$2:$E$4, MATCH(E317, Unit_Paths!$A$2:$A$4, 0)),1)</f>
        <v>18.9</v>
      </c>
      <c r="L317" s="6" t="n">
        <f aca="false">ROUND(INDEX(Archetypes!$I$2:$I$127, MATCH(D317, Archetypes!$A$2:$A$127, 0))*INDEX(Unit_Grades!$C$2:$C$7, MATCH(F317, Unit_Grades!$A$2:$A$7, 0)),1)</f>
        <v>12.6</v>
      </c>
      <c r="M317" s="6" t="n">
        <f aca="false">ROUND(INDEX(Archetypes!$J$2:$J$127, MATCH(D317, Archetypes!$A$2:$A$127, 0))*INDEX(Unit_Grades!$D$2:$D$7, MATCH(F317, Unit_Grades!$A$2:$A$7, 0)),1)</f>
        <v>9.8</v>
      </c>
      <c r="N317" s="6" t="n">
        <f aca="false">ROUND(M317/24,2)</f>
        <v>0.41</v>
      </c>
    </row>
    <row r="318" customFormat="false" ht="15" hidden="false" customHeight="true" outlineLevel="0" collapsed="false">
      <c r="A318" s="6" t="n">
        <v>1</v>
      </c>
      <c r="B318" s="6" t="s">
        <v>1868</v>
      </c>
      <c r="C318" s="6" t="s">
        <v>1294</v>
      </c>
      <c r="D318" s="6" t="str">
        <f aca="false">A318&amp;"|"&amp;C318</f>
        <v>1|Body Refiner</v>
      </c>
      <c r="E318" s="6" t="s">
        <v>1558</v>
      </c>
      <c r="F318" s="6" t="s">
        <v>1546</v>
      </c>
      <c r="G318" s="6" t="str">
        <f aca="false">INDEX(Archetypes!$D$2:$D$127, MATCH(D318, Archetypes!$A$2:$A$127, 0))</f>
        <v>Cultivator</v>
      </c>
      <c r="H318" s="6" t="n">
        <f aca="false">ROUND(INDEX(Archetypes!$E$2:$E$127, MATCH(D318, Archetypes!$A$2:$A$127, 0))*INDEX(Unit_Grades!$B$2:$B$7, MATCH(F318, Unit_Grades!$A$2:$A$7, 0))*INDEX(Unit_Paths!$B$2:$B$4, MATCH(E318, Unit_Paths!$A$2:$A$4, 0)),1)</f>
        <v>99.8</v>
      </c>
      <c r="I318" s="6" t="n">
        <f aca="false">ROUND(INDEX(Archetypes!$F$2:$F$127, MATCH(D318, Archetypes!$A$2:$A$127, 0))*INDEX(Unit_Grades!$B$2:$B$7, MATCH(F318, Unit_Grades!$A$2:$A$7, 0))*INDEX(Unit_Paths!$C$2:$C$4, MATCH(E318, Unit_Paths!$A$2:$A$4, 0)),1)</f>
        <v>59.8</v>
      </c>
      <c r="J318" s="6" t="n">
        <f aca="false">ROUND(INDEX(Archetypes!$G$2:$G$127, MATCH(D318, Archetypes!$A$2:$A$127, 0))*INDEX(Unit_Grades!$B$2:$B$7, MATCH(F318, Unit_Grades!$A$2:$A$7, 0))*INDEX(Unit_Paths!$D$2:$D$4, MATCH(E318, Unit_Paths!$A$2:$A$4, 0)),0)</f>
        <v>334</v>
      </c>
      <c r="K318" s="6" t="n">
        <f aca="false">ROUND(INDEX(Archetypes!$H$2:$H$127, MATCH(D318, Archetypes!$A$2:$A$127, 0))*INDEX(Unit_Paths!$E$2:$E$4, MATCH(E318, Unit_Paths!$A$2:$A$4, 0)),1)</f>
        <v>18.9</v>
      </c>
      <c r="L318" s="6" t="n">
        <f aca="false">ROUND(INDEX(Archetypes!$I$2:$I$127, MATCH(D318, Archetypes!$A$2:$A$127, 0))*INDEX(Unit_Grades!$C$2:$C$7, MATCH(F318, Unit_Grades!$A$2:$A$7, 0)),1)</f>
        <v>16.8</v>
      </c>
      <c r="M318" s="6" t="n">
        <f aca="false">ROUND(INDEX(Archetypes!$J$2:$J$127, MATCH(D318, Archetypes!$A$2:$A$127, 0))*INDEX(Unit_Grades!$D$2:$D$7, MATCH(F318, Unit_Grades!$A$2:$A$7, 0)),1)</f>
        <v>17.1</v>
      </c>
      <c r="N318" s="6" t="n">
        <f aca="false">ROUND(M318/24,2)</f>
        <v>0.71</v>
      </c>
    </row>
    <row r="319" customFormat="false" ht="15" hidden="false" customHeight="true" outlineLevel="0" collapsed="false">
      <c r="A319" s="6" t="n">
        <v>1</v>
      </c>
      <c r="B319" s="6" t="s">
        <v>1869</v>
      </c>
      <c r="C319" s="6" t="s">
        <v>1294</v>
      </c>
      <c r="D319" s="6" t="str">
        <f aca="false">A319&amp;"|"&amp;C319</f>
        <v>1|Body Refiner</v>
      </c>
      <c r="E319" s="6" t="s">
        <v>1558</v>
      </c>
      <c r="F319" s="6" t="s">
        <v>1548</v>
      </c>
      <c r="G319" s="6" t="str">
        <f aca="false">INDEX(Archetypes!$D$2:$D$127, MATCH(D319, Archetypes!$A$2:$A$127, 0))</f>
        <v>Cultivator</v>
      </c>
      <c r="H319" s="6" t="n">
        <f aca="false">ROUND(INDEX(Archetypes!$E$2:$E$127, MATCH(D319, Archetypes!$A$2:$A$127, 0))*INDEX(Unit_Grades!$B$2:$B$7, MATCH(F319, Unit_Grades!$A$2:$A$7, 0))*INDEX(Unit_Paths!$B$2:$B$4, MATCH(E319, Unit_Paths!$A$2:$A$4, 0)),1)</f>
        <v>131</v>
      </c>
      <c r="I319" s="6" t="n">
        <f aca="false">ROUND(INDEX(Archetypes!$F$2:$F$127, MATCH(D319, Archetypes!$A$2:$A$127, 0))*INDEX(Unit_Grades!$B$2:$B$7, MATCH(F319, Unit_Grades!$A$2:$A$7, 0))*INDEX(Unit_Paths!$C$2:$C$4, MATCH(E319, Unit_Paths!$A$2:$A$4, 0)),1)</f>
        <v>78.5</v>
      </c>
      <c r="J319" s="6" t="n">
        <f aca="false">ROUND(INDEX(Archetypes!$G$2:$G$127, MATCH(D319, Archetypes!$A$2:$A$127, 0))*INDEX(Unit_Grades!$B$2:$B$7, MATCH(F319, Unit_Grades!$A$2:$A$7, 0))*INDEX(Unit_Paths!$D$2:$D$4, MATCH(E319, Unit_Paths!$A$2:$A$4, 0)),0)</f>
        <v>439</v>
      </c>
      <c r="K319" s="6" t="n">
        <f aca="false">ROUND(INDEX(Archetypes!$H$2:$H$127, MATCH(D319, Archetypes!$A$2:$A$127, 0))*INDEX(Unit_Paths!$E$2:$E$4, MATCH(E319, Unit_Paths!$A$2:$A$4, 0)),1)</f>
        <v>18.9</v>
      </c>
      <c r="L319" s="6" t="n">
        <f aca="false">ROUND(INDEX(Archetypes!$I$2:$I$127, MATCH(D319, Archetypes!$A$2:$A$127, 0))*INDEX(Unit_Grades!$C$2:$C$7, MATCH(F319, Unit_Grades!$A$2:$A$7, 0)),1)</f>
        <v>22.2</v>
      </c>
      <c r="M319" s="6" t="n">
        <f aca="false">ROUND(INDEX(Archetypes!$J$2:$J$127, MATCH(D319, Archetypes!$A$2:$A$127, 0))*INDEX(Unit_Grades!$D$2:$D$7, MATCH(F319, Unit_Grades!$A$2:$A$7, 0)),1)</f>
        <v>29.3</v>
      </c>
      <c r="N319" s="6" t="n">
        <f aca="false">ROUND(M319/24,2)</f>
        <v>1.22</v>
      </c>
    </row>
    <row r="320" customFormat="false" ht="15" hidden="false" customHeight="true" outlineLevel="0" collapsed="false">
      <c r="A320" s="6" t="n">
        <v>1</v>
      </c>
      <c r="B320" s="6" t="s">
        <v>1870</v>
      </c>
      <c r="C320" s="6" t="s">
        <v>1294</v>
      </c>
      <c r="D320" s="6" t="str">
        <f aca="false">A320&amp;"|"&amp;C320</f>
        <v>1|Body Refiner</v>
      </c>
      <c r="E320" s="6" t="s">
        <v>1560</v>
      </c>
      <c r="F320" s="6" t="s">
        <v>1538</v>
      </c>
      <c r="G320" s="6" t="str">
        <f aca="false">INDEX(Archetypes!$D$2:$D$127, MATCH(D320, Archetypes!$A$2:$A$127, 0))</f>
        <v>Cultivator</v>
      </c>
      <c r="H320" s="6" t="n">
        <f aca="false">ROUND(INDEX(Archetypes!$E$2:$E$127, MATCH(D320, Archetypes!$A$2:$A$127, 0))*INDEX(Unit_Grades!$B$2:$B$7, MATCH(F320, Unit_Grades!$A$2:$A$7, 0))*INDEX(Unit_Paths!$B$2:$B$4, MATCH(E320, Unit_Paths!$A$2:$A$4, 0)),1)</f>
        <v>22.1</v>
      </c>
      <c r="I320" s="6" t="n">
        <f aca="false">ROUND(INDEX(Archetypes!$F$2:$F$127, MATCH(D320, Archetypes!$A$2:$A$127, 0))*INDEX(Unit_Grades!$B$2:$B$7, MATCH(F320, Unit_Grades!$A$2:$A$7, 0))*INDEX(Unit_Paths!$C$2:$C$4, MATCH(E320, Unit_Paths!$A$2:$A$4, 0)),1)</f>
        <v>27.5</v>
      </c>
      <c r="J320" s="6" t="n">
        <f aca="false">ROUND(INDEX(Archetypes!$G$2:$G$127, MATCH(D320, Archetypes!$A$2:$A$127, 0))*INDEX(Unit_Grades!$B$2:$B$7, MATCH(F320, Unit_Grades!$A$2:$A$7, 0))*INDEX(Unit_Paths!$D$2:$D$4, MATCH(E320, Unit_Paths!$A$2:$A$4, 0)),0)</f>
        <v>126</v>
      </c>
      <c r="K320" s="6" t="n">
        <f aca="false">ROUND(INDEX(Archetypes!$H$2:$H$127, MATCH(D320, Archetypes!$A$2:$A$127, 0))*INDEX(Unit_Paths!$E$2:$E$4, MATCH(E320, Unit_Paths!$A$2:$A$4, 0)),1)</f>
        <v>16.6</v>
      </c>
      <c r="L320" s="6" t="n">
        <f aca="false">ROUND(INDEX(Archetypes!$I$2:$I$127, MATCH(D320, Archetypes!$A$2:$A$127, 0))*INDEX(Unit_Grades!$C$2:$C$7, MATCH(F320, Unit_Grades!$A$2:$A$7, 0)),1)</f>
        <v>6</v>
      </c>
      <c r="M320" s="6" t="n">
        <f aca="false">ROUND(INDEX(Archetypes!$J$2:$J$127, MATCH(D320, Archetypes!$A$2:$A$127, 0))*INDEX(Unit_Grades!$D$2:$D$7, MATCH(F320, Unit_Grades!$A$2:$A$7, 0)),1)</f>
        <v>2.4</v>
      </c>
      <c r="N320" s="6" t="n">
        <f aca="false">ROUND(M320/24,2)</f>
        <v>0.1</v>
      </c>
    </row>
    <row r="321" customFormat="false" ht="15" hidden="false" customHeight="true" outlineLevel="0" collapsed="false">
      <c r="A321" s="6" t="n">
        <v>1</v>
      </c>
      <c r="B321" s="6" t="s">
        <v>1871</v>
      </c>
      <c r="C321" s="6" t="s">
        <v>1294</v>
      </c>
      <c r="D321" s="6" t="str">
        <f aca="false">A321&amp;"|"&amp;C321</f>
        <v>1|Body Refiner</v>
      </c>
      <c r="E321" s="6" t="s">
        <v>1560</v>
      </c>
      <c r="F321" s="6" t="s">
        <v>1540</v>
      </c>
      <c r="G321" s="6" t="str">
        <f aca="false">INDEX(Archetypes!$D$2:$D$127, MATCH(D321, Archetypes!$A$2:$A$127, 0))</f>
        <v>Cultivator</v>
      </c>
      <c r="H321" s="6" t="n">
        <f aca="false">ROUND(INDEX(Archetypes!$E$2:$E$127, MATCH(D321, Archetypes!$A$2:$A$127, 0))*INDEX(Unit_Grades!$B$2:$B$7, MATCH(F321, Unit_Grades!$A$2:$A$7, 0))*INDEX(Unit_Paths!$B$2:$B$4, MATCH(E321, Unit_Paths!$A$2:$A$4, 0)),1)</f>
        <v>29.8</v>
      </c>
      <c r="I321" s="6" t="n">
        <f aca="false">ROUND(INDEX(Archetypes!$F$2:$F$127, MATCH(D321, Archetypes!$A$2:$A$127, 0))*INDEX(Unit_Grades!$B$2:$B$7, MATCH(F321, Unit_Grades!$A$2:$A$7, 0))*INDEX(Unit_Paths!$C$2:$C$4, MATCH(E321, Unit_Paths!$A$2:$A$4, 0)),1)</f>
        <v>37.1</v>
      </c>
      <c r="J321" s="6" t="n">
        <f aca="false">ROUND(INDEX(Archetypes!$G$2:$G$127, MATCH(D321, Archetypes!$A$2:$A$127, 0))*INDEX(Unit_Grades!$B$2:$B$7, MATCH(F321, Unit_Grades!$A$2:$A$7, 0))*INDEX(Unit_Paths!$D$2:$D$4, MATCH(E321, Unit_Paths!$A$2:$A$4, 0)),0)</f>
        <v>171</v>
      </c>
      <c r="K321" s="6" t="n">
        <f aca="false">ROUND(INDEX(Archetypes!$H$2:$H$127, MATCH(D321, Archetypes!$A$2:$A$127, 0))*INDEX(Unit_Paths!$E$2:$E$4, MATCH(E321, Unit_Paths!$A$2:$A$4, 0)),1)</f>
        <v>16.6</v>
      </c>
      <c r="L321" s="6" t="n">
        <f aca="false">ROUND(INDEX(Archetypes!$I$2:$I$127, MATCH(D321, Archetypes!$A$2:$A$127, 0))*INDEX(Unit_Grades!$C$2:$C$7, MATCH(F321, Unit_Grades!$A$2:$A$7, 0)),1)</f>
        <v>7.5</v>
      </c>
      <c r="M321" s="6" t="n">
        <f aca="false">ROUND(INDEX(Archetypes!$J$2:$J$127, MATCH(D321, Archetypes!$A$2:$A$127, 0))*INDEX(Unit_Grades!$D$2:$D$7, MATCH(F321, Unit_Grades!$A$2:$A$7, 0)),1)</f>
        <v>3.7</v>
      </c>
      <c r="N321" s="6" t="n">
        <f aca="false">ROUND(M321/24,2)</f>
        <v>0.15</v>
      </c>
    </row>
    <row r="322" customFormat="false" ht="15" hidden="false" customHeight="true" outlineLevel="0" collapsed="false">
      <c r="A322" s="6" t="n">
        <v>1</v>
      </c>
      <c r="B322" s="6" t="s">
        <v>1872</v>
      </c>
      <c r="C322" s="6" t="s">
        <v>1294</v>
      </c>
      <c r="D322" s="6" t="str">
        <f aca="false">A322&amp;"|"&amp;C322</f>
        <v>1|Body Refiner</v>
      </c>
      <c r="E322" s="6" t="s">
        <v>1560</v>
      </c>
      <c r="F322" s="6" t="s">
        <v>1542</v>
      </c>
      <c r="G322" s="6" t="str">
        <f aca="false">INDEX(Archetypes!$D$2:$D$127, MATCH(D322, Archetypes!$A$2:$A$127, 0))</f>
        <v>Cultivator</v>
      </c>
      <c r="H322" s="6" t="n">
        <f aca="false">ROUND(INDEX(Archetypes!$E$2:$E$127, MATCH(D322, Archetypes!$A$2:$A$127, 0))*INDEX(Unit_Grades!$B$2:$B$7, MATCH(F322, Unit_Grades!$A$2:$A$7, 0))*INDEX(Unit_Paths!$B$2:$B$4, MATCH(E322, Unit_Paths!$A$2:$A$4, 0)),1)</f>
        <v>39.8</v>
      </c>
      <c r="I322" s="6" t="n">
        <f aca="false">ROUND(INDEX(Archetypes!$F$2:$F$127, MATCH(D322, Archetypes!$A$2:$A$127, 0))*INDEX(Unit_Grades!$B$2:$B$7, MATCH(F322, Unit_Grades!$A$2:$A$7, 0))*INDEX(Unit_Paths!$C$2:$C$4, MATCH(E322, Unit_Paths!$A$2:$A$4, 0)),1)</f>
        <v>49.5</v>
      </c>
      <c r="J322" s="6" t="n">
        <f aca="false">ROUND(INDEX(Archetypes!$G$2:$G$127, MATCH(D322, Archetypes!$A$2:$A$127, 0))*INDEX(Unit_Grades!$B$2:$B$7, MATCH(F322, Unit_Grades!$A$2:$A$7, 0))*INDEX(Unit_Paths!$D$2:$D$4, MATCH(E322, Unit_Paths!$A$2:$A$4, 0)),0)</f>
        <v>228</v>
      </c>
      <c r="K322" s="6" t="n">
        <f aca="false">ROUND(INDEX(Archetypes!$H$2:$H$127, MATCH(D322, Archetypes!$A$2:$A$127, 0))*INDEX(Unit_Paths!$E$2:$E$4, MATCH(E322, Unit_Paths!$A$2:$A$4, 0)),1)</f>
        <v>16.6</v>
      </c>
      <c r="L322" s="6" t="n">
        <f aca="false">ROUND(INDEX(Archetypes!$I$2:$I$127, MATCH(D322, Archetypes!$A$2:$A$127, 0))*INDEX(Unit_Grades!$C$2:$C$7, MATCH(F322, Unit_Grades!$A$2:$A$7, 0)),1)</f>
        <v>9.6</v>
      </c>
      <c r="M322" s="6" t="n">
        <f aca="false">ROUND(INDEX(Archetypes!$J$2:$J$127, MATCH(D322, Archetypes!$A$2:$A$127, 0))*INDEX(Unit_Grades!$D$2:$D$7, MATCH(F322, Unit_Grades!$A$2:$A$7, 0)),1)</f>
        <v>6.1</v>
      </c>
      <c r="N322" s="6" t="n">
        <f aca="false">ROUND(M322/24,2)</f>
        <v>0.25</v>
      </c>
    </row>
    <row r="323" customFormat="false" ht="15" hidden="false" customHeight="true" outlineLevel="0" collapsed="false">
      <c r="A323" s="6" t="n">
        <v>1</v>
      </c>
      <c r="B323" s="6" t="s">
        <v>1873</v>
      </c>
      <c r="C323" s="6" t="s">
        <v>1294</v>
      </c>
      <c r="D323" s="6" t="str">
        <f aca="false">A323&amp;"|"&amp;C323</f>
        <v>1|Body Refiner</v>
      </c>
      <c r="E323" s="6" t="s">
        <v>1560</v>
      </c>
      <c r="F323" s="6" t="s">
        <v>1544</v>
      </c>
      <c r="G323" s="6" t="str">
        <f aca="false">INDEX(Archetypes!$D$2:$D$127, MATCH(D323, Archetypes!$A$2:$A$127, 0))</f>
        <v>Cultivator</v>
      </c>
      <c r="H323" s="6" t="n">
        <f aca="false">ROUND(INDEX(Archetypes!$E$2:$E$127, MATCH(D323, Archetypes!$A$2:$A$127, 0))*INDEX(Unit_Grades!$B$2:$B$7, MATCH(F323, Unit_Grades!$A$2:$A$7, 0))*INDEX(Unit_Paths!$B$2:$B$4, MATCH(E323, Unit_Paths!$A$2:$A$4, 0)),1)</f>
        <v>53</v>
      </c>
      <c r="I323" s="6" t="n">
        <f aca="false">ROUND(INDEX(Archetypes!$F$2:$F$127, MATCH(D323, Archetypes!$A$2:$A$127, 0))*INDEX(Unit_Grades!$B$2:$B$7, MATCH(F323, Unit_Grades!$A$2:$A$7, 0))*INDEX(Unit_Paths!$C$2:$C$4, MATCH(E323, Unit_Paths!$A$2:$A$4, 0)),1)</f>
        <v>66</v>
      </c>
      <c r="J323" s="6" t="n">
        <f aca="false">ROUND(INDEX(Archetypes!$G$2:$G$127, MATCH(D323, Archetypes!$A$2:$A$127, 0))*INDEX(Unit_Grades!$B$2:$B$7, MATCH(F323, Unit_Grades!$A$2:$A$7, 0))*INDEX(Unit_Paths!$D$2:$D$4, MATCH(E323, Unit_Paths!$A$2:$A$4, 0)),0)</f>
        <v>304</v>
      </c>
      <c r="K323" s="6" t="n">
        <f aca="false">ROUND(INDEX(Archetypes!$H$2:$H$127, MATCH(D323, Archetypes!$A$2:$A$127, 0))*INDEX(Unit_Paths!$E$2:$E$4, MATCH(E323, Unit_Paths!$A$2:$A$4, 0)),1)</f>
        <v>16.6</v>
      </c>
      <c r="L323" s="6" t="n">
        <f aca="false">ROUND(INDEX(Archetypes!$I$2:$I$127, MATCH(D323, Archetypes!$A$2:$A$127, 0))*INDEX(Unit_Grades!$C$2:$C$7, MATCH(F323, Unit_Grades!$A$2:$A$7, 0)),1)</f>
        <v>12.6</v>
      </c>
      <c r="M323" s="6" t="n">
        <f aca="false">ROUND(INDEX(Archetypes!$J$2:$J$127, MATCH(D323, Archetypes!$A$2:$A$127, 0))*INDEX(Unit_Grades!$D$2:$D$7, MATCH(F323, Unit_Grades!$A$2:$A$7, 0)),1)</f>
        <v>9.8</v>
      </c>
      <c r="N323" s="6" t="n">
        <f aca="false">ROUND(M323/24,2)</f>
        <v>0.41</v>
      </c>
    </row>
    <row r="324" customFormat="false" ht="15" hidden="false" customHeight="true" outlineLevel="0" collapsed="false">
      <c r="A324" s="6" t="n">
        <v>1</v>
      </c>
      <c r="B324" s="6" t="s">
        <v>1874</v>
      </c>
      <c r="C324" s="6" t="s">
        <v>1294</v>
      </c>
      <c r="D324" s="6" t="str">
        <f aca="false">A324&amp;"|"&amp;C324</f>
        <v>1|Body Refiner</v>
      </c>
      <c r="E324" s="6" t="s">
        <v>1560</v>
      </c>
      <c r="F324" s="6" t="s">
        <v>1546</v>
      </c>
      <c r="G324" s="6" t="str">
        <f aca="false">INDEX(Archetypes!$D$2:$D$127, MATCH(D324, Archetypes!$A$2:$A$127, 0))</f>
        <v>Cultivator</v>
      </c>
      <c r="H324" s="6" t="n">
        <f aca="false">ROUND(INDEX(Archetypes!$E$2:$E$127, MATCH(D324, Archetypes!$A$2:$A$127, 0))*INDEX(Unit_Grades!$B$2:$B$7, MATCH(F324, Unit_Grades!$A$2:$A$7, 0))*INDEX(Unit_Paths!$B$2:$B$4, MATCH(E324, Unit_Paths!$A$2:$A$4, 0)),1)</f>
        <v>70.7</v>
      </c>
      <c r="I324" s="6" t="n">
        <f aca="false">ROUND(INDEX(Archetypes!$F$2:$F$127, MATCH(D324, Archetypes!$A$2:$A$127, 0))*INDEX(Unit_Grades!$B$2:$B$7, MATCH(F324, Unit_Grades!$A$2:$A$7, 0))*INDEX(Unit_Paths!$C$2:$C$4, MATCH(E324, Unit_Paths!$A$2:$A$4, 0)),1)</f>
        <v>88</v>
      </c>
      <c r="J324" s="6" t="n">
        <f aca="false">ROUND(INDEX(Archetypes!$G$2:$G$127, MATCH(D324, Archetypes!$A$2:$A$127, 0))*INDEX(Unit_Grades!$B$2:$B$7, MATCH(F324, Unit_Grades!$A$2:$A$7, 0))*INDEX(Unit_Paths!$D$2:$D$4, MATCH(E324, Unit_Paths!$A$2:$A$4, 0)),0)</f>
        <v>405</v>
      </c>
      <c r="K324" s="6" t="n">
        <f aca="false">ROUND(INDEX(Archetypes!$H$2:$H$127, MATCH(D324, Archetypes!$A$2:$A$127, 0))*INDEX(Unit_Paths!$E$2:$E$4, MATCH(E324, Unit_Paths!$A$2:$A$4, 0)),1)</f>
        <v>16.6</v>
      </c>
      <c r="L324" s="6" t="n">
        <f aca="false">ROUND(INDEX(Archetypes!$I$2:$I$127, MATCH(D324, Archetypes!$A$2:$A$127, 0))*INDEX(Unit_Grades!$C$2:$C$7, MATCH(F324, Unit_Grades!$A$2:$A$7, 0)),1)</f>
        <v>16.8</v>
      </c>
      <c r="M324" s="6" t="n">
        <f aca="false">ROUND(INDEX(Archetypes!$J$2:$J$127, MATCH(D324, Archetypes!$A$2:$A$127, 0))*INDEX(Unit_Grades!$D$2:$D$7, MATCH(F324, Unit_Grades!$A$2:$A$7, 0)),1)</f>
        <v>17.1</v>
      </c>
      <c r="N324" s="6" t="n">
        <f aca="false">ROUND(M324/24,2)</f>
        <v>0.71</v>
      </c>
    </row>
    <row r="325" customFormat="false" ht="15" hidden="false" customHeight="true" outlineLevel="0" collapsed="false">
      <c r="A325" s="6" t="n">
        <v>1</v>
      </c>
      <c r="B325" s="6" t="s">
        <v>1875</v>
      </c>
      <c r="C325" s="6" t="s">
        <v>1294</v>
      </c>
      <c r="D325" s="6" t="str">
        <f aca="false">A325&amp;"|"&amp;C325</f>
        <v>1|Body Refiner</v>
      </c>
      <c r="E325" s="6" t="s">
        <v>1560</v>
      </c>
      <c r="F325" s="6" t="s">
        <v>1548</v>
      </c>
      <c r="G325" s="6" t="str">
        <f aca="false">INDEX(Archetypes!$D$2:$D$127, MATCH(D325, Archetypes!$A$2:$A$127, 0))</f>
        <v>Cultivator</v>
      </c>
      <c r="H325" s="6" t="n">
        <f aca="false">ROUND(INDEX(Archetypes!$E$2:$E$127, MATCH(D325, Archetypes!$A$2:$A$127, 0))*INDEX(Unit_Grades!$B$2:$B$7, MATCH(F325, Unit_Grades!$A$2:$A$7, 0))*INDEX(Unit_Paths!$B$2:$B$4, MATCH(E325, Unit_Paths!$A$2:$A$4, 0)),1)</f>
        <v>92.8</v>
      </c>
      <c r="I325" s="6" t="n">
        <f aca="false">ROUND(INDEX(Archetypes!$F$2:$F$127, MATCH(D325, Archetypes!$A$2:$A$127, 0))*INDEX(Unit_Grades!$B$2:$B$7, MATCH(F325, Unit_Grades!$A$2:$A$7, 0))*INDEX(Unit_Paths!$C$2:$C$4, MATCH(E325, Unit_Paths!$A$2:$A$4, 0)),1)</f>
        <v>115.5</v>
      </c>
      <c r="J325" s="6" t="n">
        <f aca="false">ROUND(INDEX(Archetypes!$G$2:$G$127, MATCH(D325, Archetypes!$A$2:$A$127, 0))*INDEX(Unit_Grades!$B$2:$B$7, MATCH(F325, Unit_Grades!$A$2:$A$7, 0))*INDEX(Unit_Paths!$D$2:$D$4, MATCH(E325, Unit_Paths!$A$2:$A$4, 0)),0)</f>
        <v>531</v>
      </c>
      <c r="K325" s="6" t="n">
        <f aca="false">ROUND(INDEX(Archetypes!$H$2:$H$127, MATCH(D325, Archetypes!$A$2:$A$127, 0))*INDEX(Unit_Paths!$E$2:$E$4, MATCH(E325, Unit_Paths!$A$2:$A$4, 0)),1)</f>
        <v>16.6</v>
      </c>
      <c r="L325" s="6" t="n">
        <f aca="false">ROUND(INDEX(Archetypes!$I$2:$I$127, MATCH(D325, Archetypes!$A$2:$A$127, 0))*INDEX(Unit_Grades!$C$2:$C$7, MATCH(F325, Unit_Grades!$A$2:$A$7, 0)),1)</f>
        <v>22.2</v>
      </c>
      <c r="M325" s="6" t="n">
        <f aca="false">ROUND(INDEX(Archetypes!$J$2:$J$127, MATCH(D325, Archetypes!$A$2:$A$127, 0))*INDEX(Unit_Grades!$D$2:$D$7, MATCH(F325, Unit_Grades!$A$2:$A$7, 0)),1)</f>
        <v>29.3</v>
      </c>
      <c r="N325" s="6" t="n">
        <f aca="false">ROUND(M325/24,2)</f>
        <v>1.22</v>
      </c>
    </row>
    <row r="326" customFormat="false" ht="15" hidden="false" customHeight="true" outlineLevel="0" collapsed="false">
      <c r="A326" s="6" t="n">
        <v>2</v>
      </c>
      <c r="B326" s="6" t="s">
        <v>1296</v>
      </c>
      <c r="C326" s="6" t="s">
        <v>1296</v>
      </c>
      <c r="D326" s="6" t="str">
        <f aca="false">A326&amp;"|"&amp;C326</f>
        <v>2|Swordsman</v>
      </c>
      <c r="E326" s="6" t="s">
        <v>1556</v>
      </c>
      <c r="F326" s="6" t="s">
        <v>1538</v>
      </c>
      <c r="G326" s="6" t="str">
        <f aca="false">INDEX(Archetypes!$D$2:$D$127, MATCH(D326, Archetypes!$A$2:$A$127, 0))</f>
        <v>Line Infantry</v>
      </c>
      <c r="H326" s="6" t="n">
        <f aca="false">ROUND(INDEX(Archetypes!$E$2:$E$127, MATCH(D326, Archetypes!$A$2:$A$127, 0))*INDEX(Unit_Grades!$B$2:$B$7, MATCH(F326, Unit_Grades!$A$2:$A$7, 0))*INDEX(Unit_Paths!$B$2:$B$4, MATCH(E326, Unit_Paths!$A$2:$A$4, 0)),1)</f>
        <v>26</v>
      </c>
      <c r="I326" s="6" t="n">
        <f aca="false">ROUND(INDEX(Archetypes!$F$2:$F$127, MATCH(D326, Archetypes!$A$2:$A$127, 0))*INDEX(Unit_Grades!$B$2:$B$7, MATCH(F326, Unit_Grades!$A$2:$A$7, 0))*INDEX(Unit_Paths!$C$2:$C$4, MATCH(E326, Unit_Paths!$A$2:$A$4, 0)),1)</f>
        <v>24</v>
      </c>
      <c r="J326" s="6" t="n">
        <f aca="false">ROUND(INDEX(Archetypes!$G$2:$G$127, MATCH(D326, Archetypes!$A$2:$A$127, 0))*INDEX(Unit_Grades!$B$2:$B$7, MATCH(F326, Unit_Grades!$A$2:$A$7, 0))*INDEX(Unit_Paths!$D$2:$D$4, MATCH(E326, Unit_Paths!$A$2:$A$4, 0)),0)</f>
        <v>110</v>
      </c>
      <c r="K326" s="6" t="n">
        <f aca="false">ROUND(INDEX(Archetypes!$H$2:$H$127, MATCH(D326, Archetypes!$A$2:$A$127, 0))*INDEX(Unit_Paths!$E$2:$E$4, MATCH(E326, Unit_Paths!$A$2:$A$4, 0)),1)</f>
        <v>16</v>
      </c>
      <c r="L326" s="6" t="n">
        <f aca="false">ROUND(INDEX(Archetypes!$I$2:$I$127, MATCH(D326, Archetypes!$A$2:$A$127, 0))*INDEX(Unit_Grades!$C$2:$C$7, MATCH(F326, Unit_Grades!$A$2:$A$7, 0)),1)</f>
        <v>4</v>
      </c>
      <c r="M326" s="6" t="n">
        <f aca="false">ROUND(INDEX(Archetypes!$J$2:$J$127, MATCH(D326, Archetypes!$A$2:$A$127, 0))*INDEX(Unit_Grades!$D$2:$D$7, MATCH(F326, Unit_Grades!$A$2:$A$7, 0)),1)</f>
        <v>1.6</v>
      </c>
      <c r="N326" s="6" t="n">
        <f aca="false">ROUND(M326/24,2)</f>
        <v>0.07</v>
      </c>
    </row>
    <row r="327" customFormat="false" ht="15" hidden="false" customHeight="true" outlineLevel="0" collapsed="false">
      <c r="A327" s="6" t="n">
        <v>2</v>
      </c>
      <c r="B327" s="6" t="s">
        <v>1876</v>
      </c>
      <c r="C327" s="6" t="s">
        <v>1296</v>
      </c>
      <c r="D327" s="6" t="str">
        <f aca="false">A327&amp;"|"&amp;C327</f>
        <v>2|Swordsman</v>
      </c>
      <c r="E327" s="6" t="s">
        <v>1556</v>
      </c>
      <c r="F327" s="6" t="s">
        <v>1540</v>
      </c>
      <c r="G327" s="6" t="str">
        <f aca="false">INDEX(Archetypes!$D$2:$D$127, MATCH(D327, Archetypes!$A$2:$A$127, 0))</f>
        <v>Line Infantry</v>
      </c>
      <c r="H327" s="6" t="n">
        <f aca="false">ROUND(INDEX(Archetypes!$E$2:$E$127, MATCH(D327, Archetypes!$A$2:$A$127, 0))*INDEX(Unit_Grades!$B$2:$B$7, MATCH(F327, Unit_Grades!$A$2:$A$7, 0))*INDEX(Unit_Paths!$B$2:$B$4, MATCH(E327, Unit_Paths!$A$2:$A$4, 0)),1)</f>
        <v>35.1</v>
      </c>
      <c r="I327" s="6" t="n">
        <f aca="false">ROUND(INDEX(Archetypes!$F$2:$F$127, MATCH(D327, Archetypes!$A$2:$A$127, 0))*INDEX(Unit_Grades!$B$2:$B$7, MATCH(F327, Unit_Grades!$A$2:$A$7, 0))*INDEX(Unit_Paths!$C$2:$C$4, MATCH(E327, Unit_Paths!$A$2:$A$4, 0)),1)</f>
        <v>32.4</v>
      </c>
      <c r="J327" s="6" t="n">
        <f aca="false">ROUND(INDEX(Archetypes!$G$2:$G$127, MATCH(D327, Archetypes!$A$2:$A$127, 0))*INDEX(Unit_Grades!$B$2:$B$7, MATCH(F327, Unit_Grades!$A$2:$A$7, 0))*INDEX(Unit_Paths!$D$2:$D$4, MATCH(E327, Unit_Paths!$A$2:$A$4, 0)),0)</f>
        <v>149</v>
      </c>
      <c r="K327" s="6" t="n">
        <f aca="false">ROUND(INDEX(Archetypes!$H$2:$H$127, MATCH(D327, Archetypes!$A$2:$A$127, 0))*INDEX(Unit_Paths!$E$2:$E$4, MATCH(E327, Unit_Paths!$A$2:$A$4, 0)),1)</f>
        <v>16</v>
      </c>
      <c r="L327" s="6" t="n">
        <f aca="false">ROUND(INDEX(Archetypes!$I$2:$I$127, MATCH(D327, Archetypes!$A$2:$A$127, 0))*INDEX(Unit_Grades!$C$2:$C$7, MATCH(F327, Unit_Grades!$A$2:$A$7, 0)),1)</f>
        <v>5</v>
      </c>
      <c r="M327" s="6" t="n">
        <f aca="false">ROUND(INDEX(Archetypes!$J$2:$J$127, MATCH(D327, Archetypes!$A$2:$A$127, 0))*INDEX(Unit_Grades!$D$2:$D$7, MATCH(F327, Unit_Grades!$A$2:$A$7, 0)),1)</f>
        <v>2.4</v>
      </c>
      <c r="N327" s="6" t="n">
        <f aca="false">ROUND(M327/24,2)</f>
        <v>0.1</v>
      </c>
    </row>
    <row r="328" customFormat="false" ht="15" hidden="false" customHeight="true" outlineLevel="0" collapsed="false">
      <c r="A328" s="6" t="n">
        <v>2</v>
      </c>
      <c r="B328" s="6" t="s">
        <v>1877</v>
      </c>
      <c r="C328" s="6" t="s">
        <v>1296</v>
      </c>
      <c r="D328" s="6" t="str">
        <f aca="false">A328&amp;"|"&amp;C328</f>
        <v>2|Swordsman</v>
      </c>
      <c r="E328" s="6" t="s">
        <v>1556</v>
      </c>
      <c r="F328" s="6" t="s">
        <v>1542</v>
      </c>
      <c r="G328" s="6" t="str">
        <f aca="false">INDEX(Archetypes!$D$2:$D$127, MATCH(D328, Archetypes!$A$2:$A$127, 0))</f>
        <v>Line Infantry</v>
      </c>
      <c r="H328" s="6" t="n">
        <f aca="false">ROUND(INDEX(Archetypes!$E$2:$E$127, MATCH(D328, Archetypes!$A$2:$A$127, 0))*INDEX(Unit_Grades!$B$2:$B$7, MATCH(F328, Unit_Grades!$A$2:$A$7, 0))*INDEX(Unit_Paths!$B$2:$B$4, MATCH(E328, Unit_Paths!$A$2:$A$4, 0)),1)</f>
        <v>46.8</v>
      </c>
      <c r="I328" s="6" t="n">
        <f aca="false">ROUND(INDEX(Archetypes!$F$2:$F$127, MATCH(D328, Archetypes!$A$2:$A$127, 0))*INDEX(Unit_Grades!$B$2:$B$7, MATCH(F328, Unit_Grades!$A$2:$A$7, 0))*INDEX(Unit_Paths!$C$2:$C$4, MATCH(E328, Unit_Paths!$A$2:$A$4, 0)),1)</f>
        <v>43.2</v>
      </c>
      <c r="J328" s="6" t="n">
        <f aca="false">ROUND(INDEX(Archetypes!$G$2:$G$127, MATCH(D328, Archetypes!$A$2:$A$127, 0))*INDEX(Unit_Grades!$B$2:$B$7, MATCH(F328, Unit_Grades!$A$2:$A$7, 0))*INDEX(Unit_Paths!$D$2:$D$4, MATCH(E328, Unit_Paths!$A$2:$A$4, 0)),0)</f>
        <v>198</v>
      </c>
      <c r="K328" s="6" t="n">
        <f aca="false">ROUND(INDEX(Archetypes!$H$2:$H$127, MATCH(D328, Archetypes!$A$2:$A$127, 0))*INDEX(Unit_Paths!$E$2:$E$4, MATCH(E328, Unit_Paths!$A$2:$A$4, 0)),1)</f>
        <v>16</v>
      </c>
      <c r="L328" s="6" t="n">
        <f aca="false">ROUND(INDEX(Archetypes!$I$2:$I$127, MATCH(D328, Archetypes!$A$2:$A$127, 0))*INDEX(Unit_Grades!$C$2:$C$7, MATCH(F328, Unit_Grades!$A$2:$A$7, 0)),1)</f>
        <v>6.4</v>
      </c>
      <c r="M328" s="6" t="n">
        <f aca="false">ROUND(INDEX(Archetypes!$J$2:$J$127, MATCH(D328, Archetypes!$A$2:$A$127, 0))*INDEX(Unit_Grades!$D$2:$D$7, MATCH(F328, Unit_Grades!$A$2:$A$7, 0)),1)</f>
        <v>4.1</v>
      </c>
      <c r="N328" s="6" t="n">
        <f aca="false">ROUND(M328/24,2)</f>
        <v>0.17</v>
      </c>
    </row>
    <row r="329" customFormat="false" ht="15" hidden="false" customHeight="true" outlineLevel="0" collapsed="false">
      <c r="A329" s="6" t="n">
        <v>2</v>
      </c>
      <c r="B329" s="6" t="s">
        <v>1878</v>
      </c>
      <c r="C329" s="6" t="s">
        <v>1296</v>
      </c>
      <c r="D329" s="6" t="str">
        <f aca="false">A329&amp;"|"&amp;C329</f>
        <v>2|Swordsman</v>
      </c>
      <c r="E329" s="6" t="s">
        <v>1556</v>
      </c>
      <c r="F329" s="6" t="s">
        <v>1544</v>
      </c>
      <c r="G329" s="6" t="str">
        <f aca="false">INDEX(Archetypes!$D$2:$D$127, MATCH(D329, Archetypes!$A$2:$A$127, 0))</f>
        <v>Line Infantry</v>
      </c>
      <c r="H329" s="6" t="n">
        <f aca="false">ROUND(INDEX(Archetypes!$E$2:$E$127, MATCH(D329, Archetypes!$A$2:$A$127, 0))*INDEX(Unit_Grades!$B$2:$B$7, MATCH(F329, Unit_Grades!$A$2:$A$7, 0))*INDEX(Unit_Paths!$B$2:$B$4, MATCH(E329, Unit_Paths!$A$2:$A$4, 0)),1)</f>
        <v>62.4</v>
      </c>
      <c r="I329" s="6" t="n">
        <f aca="false">ROUND(INDEX(Archetypes!$F$2:$F$127, MATCH(D329, Archetypes!$A$2:$A$127, 0))*INDEX(Unit_Grades!$B$2:$B$7, MATCH(F329, Unit_Grades!$A$2:$A$7, 0))*INDEX(Unit_Paths!$C$2:$C$4, MATCH(E329, Unit_Paths!$A$2:$A$4, 0)),1)</f>
        <v>57.6</v>
      </c>
      <c r="J329" s="6" t="n">
        <f aca="false">ROUND(INDEX(Archetypes!$G$2:$G$127, MATCH(D329, Archetypes!$A$2:$A$127, 0))*INDEX(Unit_Grades!$B$2:$B$7, MATCH(F329, Unit_Grades!$A$2:$A$7, 0))*INDEX(Unit_Paths!$D$2:$D$4, MATCH(E329, Unit_Paths!$A$2:$A$4, 0)),0)</f>
        <v>264</v>
      </c>
      <c r="K329" s="6" t="n">
        <f aca="false">ROUND(INDEX(Archetypes!$H$2:$H$127, MATCH(D329, Archetypes!$A$2:$A$127, 0))*INDEX(Unit_Paths!$E$2:$E$4, MATCH(E329, Unit_Paths!$A$2:$A$4, 0)),1)</f>
        <v>16</v>
      </c>
      <c r="L329" s="6" t="n">
        <f aca="false">ROUND(INDEX(Archetypes!$I$2:$I$127, MATCH(D329, Archetypes!$A$2:$A$127, 0))*INDEX(Unit_Grades!$C$2:$C$7, MATCH(F329, Unit_Grades!$A$2:$A$7, 0)),1)</f>
        <v>8.4</v>
      </c>
      <c r="M329" s="6" t="n">
        <f aca="false">ROUND(INDEX(Archetypes!$J$2:$J$127, MATCH(D329, Archetypes!$A$2:$A$127, 0))*INDEX(Unit_Grades!$D$2:$D$7, MATCH(F329, Unit_Grades!$A$2:$A$7, 0)),1)</f>
        <v>6.5</v>
      </c>
      <c r="N329" s="6" t="n">
        <f aca="false">ROUND(M329/24,2)</f>
        <v>0.27</v>
      </c>
    </row>
    <row r="330" customFormat="false" ht="15" hidden="false" customHeight="true" outlineLevel="0" collapsed="false">
      <c r="A330" s="6" t="n">
        <v>2</v>
      </c>
      <c r="B330" s="6" t="s">
        <v>1879</v>
      </c>
      <c r="C330" s="6" t="s">
        <v>1296</v>
      </c>
      <c r="D330" s="6" t="str">
        <f aca="false">A330&amp;"|"&amp;C330</f>
        <v>2|Swordsman</v>
      </c>
      <c r="E330" s="6" t="s">
        <v>1556</v>
      </c>
      <c r="F330" s="6" t="s">
        <v>1546</v>
      </c>
      <c r="G330" s="6" t="str">
        <f aca="false">INDEX(Archetypes!$D$2:$D$127, MATCH(D330, Archetypes!$A$2:$A$127, 0))</f>
        <v>Line Infantry</v>
      </c>
      <c r="H330" s="6" t="n">
        <f aca="false">ROUND(INDEX(Archetypes!$E$2:$E$127, MATCH(D330, Archetypes!$A$2:$A$127, 0))*INDEX(Unit_Grades!$B$2:$B$7, MATCH(F330, Unit_Grades!$A$2:$A$7, 0))*INDEX(Unit_Paths!$B$2:$B$4, MATCH(E330, Unit_Paths!$A$2:$A$4, 0)),1)</f>
        <v>83.2</v>
      </c>
      <c r="I330" s="6" t="n">
        <f aca="false">ROUND(INDEX(Archetypes!$F$2:$F$127, MATCH(D330, Archetypes!$A$2:$A$127, 0))*INDEX(Unit_Grades!$B$2:$B$7, MATCH(F330, Unit_Grades!$A$2:$A$7, 0))*INDEX(Unit_Paths!$C$2:$C$4, MATCH(E330, Unit_Paths!$A$2:$A$4, 0)),1)</f>
        <v>76.8</v>
      </c>
      <c r="J330" s="6" t="n">
        <f aca="false">ROUND(INDEX(Archetypes!$G$2:$G$127, MATCH(D330, Archetypes!$A$2:$A$127, 0))*INDEX(Unit_Grades!$B$2:$B$7, MATCH(F330, Unit_Grades!$A$2:$A$7, 0))*INDEX(Unit_Paths!$D$2:$D$4, MATCH(E330, Unit_Paths!$A$2:$A$4, 0)),0)</f>
        <v>352</v>
      </c>
      <c r="K330" s="6" t="n">
        <f aca="false">ROUND(INDEX(Archetypes!$H$2:$H$127, MATCH(D330, Archetypes!$A$2:$A$127, 0))*INDEX(Unit_Paths!$E$2:$E$4, MATCH(E330, Unit_Paths!$A$2:$A$4, 0)),1)</f>
        <v>16</v>
      </c>
      <c r="L330" s="6" t="n">
        <f aca="false">ROUND(INDEX(Archetypes!$I$2:$I$127, MATCH(D330, Archetypes!$A$2:$A$127, 0))*INDEX(Unit_Grades!$C$2:$C$7, MATCH(F330, Unit_Grades!$A$2:$A$7, 0)),1)</f>
        <v>11.2</v>
      </c>
      <c r="M330" s="6" t="n">
        <f aca="false">ROUND(INDEX(Archetypes!$J$2:$J$127, MATCH(D330, Archetypes!$A$2:$A$127, 0))*INDEX(Unit_Grades!$D$2:$D$7, MATCH(F330, Unit_Grades!$A$2:$A$7, 0)),1)</f>
        <v>11.3</v>
      </c>
      <c r="N330" s="6" t="n">
        <f aca="false">ROUND(M330/24,2)</f>
        <v>0.47</v>
      </c>
    </row>
    <row r="331" customFormat="false" ht="15" hidden="false" customHeight="true" outlineLevel="0" collapsed="false">
      <c r="A331" s="6" t="n">
        <v>2</v>
      </c>
      <c r="B331" s="6" t="s">
        <v>1880</v>
      </c>
      <c r="C331" s="6" t="s">
        <v>1296</v>
      </c>
      <c r="D331" s="6" t="str">
        <f aca="false">A331&amp;"|"&amp;C331</f>
        <v>2|Swordsman</v>
      </c>
      <c r="E331" s="6" t="s">
        <v>1556</v>
      </c>
      <c r="F331" s="6" t="s">
        <v>1548</v>
      </c>
      <c r="G331" s="6" t="str">
        <f aca="false">INDEX(Archetypes!$D$2:$D$127, MATCH(D331, Archetypes!$A$2:$A$127, 0))</f>
        <v>Line Infantry</v>
      </c>
      <c r="H331" s="6" t="n">
        <f aca="false">ROUND(INDEX(Archetypes!$E$2:$E$127, MATCH(D331, Archetypes!$A$2:$A$127, 0))*INDEX(Unit_Grades!$B$2:$B$7, MATCH(F331, Unit_Grades!$A$2:$A$7, 0))*INDEX(Unit_Paths!$B$2:$B$4, MATCH(E331, Unit_Paths!$A$2:$A$4, 0)),1)</f>
        <v>109.2</v>
      </c>
      <c r="I331" s="6" t="n">
        <f aca="false">ROUND(INDEX(Archetypes!$F$2:$F$127, MATCH(D331, Archetypes!$A$2:$A$127, 0))*INDEX(Unit_Grades!$B$2:$B$7, MATCH(F331, Unit_Grades!$A$2:$A$7, 0))*INDEX(Unit_Paths!$C$2:$C$4, MATCH(E331, Unit_Paths!$A$2:$A$4, 0)),1)</f>
        <v>100.8</v>
      </c>
      <c r="J331" s="6" t="n">
        <f aca="false">ROUND(INDEX(Archetypes!$G$2:$G$127, MATCH(D331, Archetypes!$A$2:$A$127, 0))*INDEX(Unit_Grades!$B$2:$B$7, MATCH(F331, Unit_Grades!$A$2:$A$7, 0))*INDEX(Unit_Paths!$D$2:$D$4, MATCH(E331, Unit_Paths!$A$2:$A$4, 0)),0)</f>
        <v>462</v>
      </c>
      <c r="K331" s="6" t="n">
        <f aca="false">ROUND(INDEX(Archetypes!$H$2:$H$127, MATCH(D331, Archetypes!$A$2:$A$127, 0))*INDEX(Unit_Paths!$E$2:$E$4, MATCH(E331, Unit_Paths!$A$2:$A$4, 0)),1)</f>
        <v>16</v>
      </c>
      <c r="L331" s="6" t="n">
        <f aca="false">ROUND(INDEX(Archetypes!$I$2:$I$127, MATCH(D331, Archetypes!$A$2:$A$127, 0))*INDEX(Unit_Grades!$C$2:$C$7, MATCH(F331, Unit_Grades!$A$2:$A$7, 0)),1)</f>
        <v>14.8</v>
      </c>
      <c r="M331" s="6" t="n">
        <f aca="false">ROUND(INDEX(Archetypes!$J$2:$J$127, MATCH(D331, Archetypes!$A$2:$A$127, 0))*INDEX(Unit_Grades!$D$2:$D$7, MATCH(F331, Unit_Grades!$A$2:$A$7, 0)),1)</f>
        <v>19.4</v>
      </c>
      <c r="N331" s="6" t="n">
        <f aca="false">ROUND(M331/24,2)</f>
        <v>0.81</v>
      </c>
    </row>
    <row r="332" customFormat="false" ht="15" hidden="false" customHeight="true" outlineLevel="0" collapsed="false">
      <c r="A332" s="6" t="n">
        <v>2</v>
      </c>
      <c r="B332" s="6" t="s">
        <v>1881</v>
      </c>
      <c r="C332" s="6" t="s">
        <v>1296</v>
      </c>
      <c r="D332" s="6" t="str">
        <f aca="false">A332&amp;"|"&amp;C332</f>
        <v>2|Swordsman</v>
      </c>
      <c r="E332" s="6" t="s">
        <v>1558</v>
      </c>
      <c r="F332" s="6" t="s">
        <v>1538</v>
      </c>
      <c r="G332" s="6" t="str">
        <f aca="false">INDEX(Archetypes!$D$2:$D$127, MATCH(D332, Archetypes!$A$2:$A$127, 0))</f>
        <v>Line Infantry</v>
      </c>
      <c r="H332" s="6" t="n">
        <f aca="false">ROUND(INDEX(Archetypes!$E$2:$E$127, MATCH(D332, Archetypes!$A$2:$A$127, 0))*INDEX(Unit_Grades!$B$2:$B$7, MATCH(F332, Unit_Grades!$A$2:$A$7, 0))*INDEX(Unit_Paths!$B$2:$B$4, MATCH(E332, Unit_Paths!$A$2:$A$4, 0)),1)</f>
        <v>31.2</v>
      </c>
      <c r="I332" s="6" t="n">
        <f aca="false">ROUND(INDEX(Archetypes!$F$2:$F$127, MATCH(D332, Archetypes!$A$2:$A$127, 0))*INDEX(Unit_Grades!$B$2:$B$7, MATCH(F332, Unit_Grades!$A$2:$A$7, 0))*INDEX(Unit_Paths!$C$2:$C$4, MATCH(E332, Unit_Paths!$A$2:$A$4, 0)),1)</f>
        <v>20.4</v>
      </c>
      <c r="J332" s="6" t="n">
        <f aca="false">ROUND(INDEX(Archetypes!$G$2:$G$127, MATCH(D332, Archetypes!$A$2:$A$127, 0))*INDEX(Unit_Grades!$B$2:$B$7, MATCH(F332, Unit_Grades!$A$2:$A$7, 0))*INDEX(Unit_Paths!$D$2:$D$4, MATCH(E332, Unit_Paths!$A$2:$A$4, 0)),0)</f>
        <v>105</v>
      </c>
      <c r="K332" s="6" t="n">
        <f aca="false">ROUND(INDEX(Archetypes!$H$2:$H$127, MATCH(D332, Archetypes!$A$2:$A$127, 0))*INDEX(Unit_Paths!$E$2:$E$4, MATCH(E332, Unit_Paths!$A$2:$A$4, 0)),1)</f>
        <v>16.8</v>
      </c>
      <c r="L332" s="6" t="n">
        <f aca="false">ROUND(INDEX(Archetypes!$I$2:$I$127, MATCH(D332, Archetypes!$A$2:$A$127, 0))*INDEX(Unit_Grades!$C$2:$C$7, MATCH(F332, Unit_Grades!$A$2:$A$7, 0)),1)</f>
        <v>4</v>
      </c>
      <c r="M332" s="6" t="n">
        <f aca="false">ROUND(INDEX(Archetypes!$J$2:$J$127, MATCH(D332, Archetypes!$A$2:$A$127, 0))*INDEX(Unit_Grades!$D$2:$D$7, MATCH(F332, Unit_Grades!$A$2:$A$7, 0)),1)</f>
        <v>1.6</v>
      </c>
      <c r="N332" s="6" t="n">
        <f aca="false">ROUND(M332/24,2)</f>
        <v>0.07</v>
      </c>
    </row>
    <row r="333" customFormat="false" ht="15" hidden="false" customHeight="true" outlineLevel="0" collapsed="false">
      <c r="A333" s="6" t="n">
        <v>2</v>
      </c>
      <c r="B333" s="6" t="s">
        <v>1882</v>
      </c>
      <c r="C333" s="6" t="s">
        <v>1296</v>
      </c>
      <c r="D333" s="6" t="str">
        <f aca="false">A333&amp;"|"&amp;C333</f>
        <v>2|Swordsman</v>
      </c>
      <c r="E333" s="6" t="s">
        <v>1558</v>
      </c>
      <c r="F333" s="6" t="s">
        <v>1540</v>
      </c>
      <c r="G333" s="6" t="str">
        <f aca="false">INDEX(Archetypes!$D$2:$D$127, MATCH(D333, Archetypes!$A$2:$A$127, 0))</f>
        <v>Line Infantry</v>
      </c>
      <c r="H333" s="6" t="n">
        <f aca="false">ROUND(INDEX(Archetypes!$E$2:$E$127, MATCH(D333, Archetypes!$A$2:$A$127, 0))*INDEX(Unit_Grades!$B$2:$B$7, MATCH(F333, Unit_Grades!$A$2:$A$7, 0))*INDEX(Unit_Paths!$B$2:$B$4, MATCH(E333, Unit_Paths!$A$2:$A$4, 0)),1)</f>
        <v>42.1</v>
      </c>
      <c r="I333" s="6" t="n">
        <f aca="false">ROUND(INDEX(Archetypes!$F$2:$F$127, MATCH(D333, Archetypes!$A$2:$A$127, 0))*INDEX(Unit_Grades!$B$2:$B$7, MATCH(F333, Unit_Grades!$A$2:$A$7, 0))*INDEX(Unit_Paths!$C$2:$C$4, MATCH(E333, Unit_Paths!$A$2:$A$4, 0)),1)</f>
        <v>27.5</v>
      </c>
      <c r="J333" s="6" t="n">
        <f aca="false">ROUND(INDEX(Archetypes!$G$2:$G$127, MATCH(D333, Archetypes!$A$2:$A$127, 0))*INDEX(Unit_Grades!$B$2:$B$7, MATCH(F333, Unit_Grades!$A$2:$A$7, 0))*INDEX(Unit_Paths!$D$2:$D$4, MATCH(E333, Unit_Paths!$A$2:$A$4, 0)),0)</f>
        <v>141</v>
      </c>
      <c r="K333" s="6" t="n">
        <f aca="false">ROUND(INDEX(Archetypes!$H$2:$H$127, MATCH(D333, Archetypes!$A$2:$A$127, 0))*INDEX(Unit_Paths!$E$2:$E$4, MATCH(E333, Unit_Paths!$A$2:$A$4, 0)),1)</f>
        <v>16.8</v>
      </c>
      <c r="L333" s="6" t="n">
        <f aca="false">ROUND(INDEX(Archetypes!$I$2:$I$127, MATCH(D333, Archetypes!$A$2:$A$127, 0))*INDEX(Unit_Grades!$C$2:$C$7, MATCH(F333, Unit_Grades!$A$2:$A$7, 0)),1)</f>
        <v>5</v>
      </c>
      <c r="M333" s="6" t="n">
        <f aca="false">ROUND(INDEX(Archetypes!$J$2:$J$127, MATCH(D333, Archetypes!$A$2:$A$127, 0))*INDEX(Unit_Grades!$D$2:$D$7, MATCH(F333, Unit_Grades!$A$2:$A$7, 0)),1)</f>
        <v>2.4</v>
      </c>
      <c r="N333" s="6" t="n">
        <f aca="false">ROUND(M333/24,2)</f>
        <v>0.1</v>
      </c>
    </row>
    <row r="334" customFormat="false" ht="15" hidden="false" customHeight="true" outlineLevel="0" collapsed="false">
      <c r="A334" s="6" t="n">
        <v>2</v>
      </c>
      <c r="B334" s="6" t="s">
        <v>1883</v>
      </c>
      <c r="C334" s="6" t="s">
        <v>1296</v>
      </c>
      <c r="D334" s="6" t="str">
        <f aca="false">A334&amp;"|"&amp;C334</f>
        <v>2|Swordsman</v>
      </c>
      <c r="E334" s="6" t="s">
        <v>1558</v>
      </c>
      <c r="F334" s="6" t="s">
        <v>1542</v>
      </c>
      <c r="G334" s="6" t="str">
        <f aca="false">INDEX(Archetypes!$D$2:$D$127, MATCH(D334, Archetypes!$A$2:$A$127, 0))</f>
        <v>Line Infantry</v>
      </c>
      <c r="H334" s="6" t="n">
        <f aca="false">ROUND(INDEX(Archetypes!$E$2:$E$127, MATCH(D334, Archetypes!$A$2:$A$127, 0))*INDEX(Unit_Grades!$B$2:$B$7, MATCH(F334, Unit_Grades!$A$2:$A$7, 0))*INDEX(Unit_Paths!$B$2:$B$4, MATCH(E334, Unit_Paths!$A$2:$A$4, 0)),1)</f>
        <v>56.2</v>
      </c>
      <c r="I334" s="6" t="n">
        <f aca="false">ROUND(INDEX(Archetypes!$F$2:$F$127, MATCH(D334, Archetypes!$A$2:$A$127, 0))*INDEX(Unit_Grades!$B$2:$B$7, MATCH(F334, Unit_Grades!$A$2:$A$7, 0))*INDEX(Unit_Paths!$C$2:$C$4, MATCH(E334, Unit_Paths!$A$2:$A$4, 0)),1)</f>
        <v>36.7</v>
      </c>
      <c r="J334" s="6" t="n">
        <f aca="false">ROUND(INDEX(Archetypes!$G$2:$G$127, MATCH(D334, Archetypes!$A$2:$A$127, 0))*INDEX(Unit_Grades!$B$2:$B$7, MATCH(F334, Unit_Grades!$A$2:$A$7, 0))*INDEX(Unit_Paths!$D$2:$D$4, MATCH(E334, Unit_Paths!$A$2:$A$4, 0)),0)</f>
        <v>188</v>
      </c>
      <c r="K334" s="6" t="n">
        <f aca="false">ROUND(INDEX(Archetypes!$H$2:$H$127, MATCH(D334, Archetypes!$A$2:$A$127, 0))*INDEX(Unit_Paths!$E$2:$E$4, MATCH(E334, Unit_Paths!$A$2:$A$4, 0)),1)</f>
        <v>16.8</v>
      </c>
      <c r="L334" s="6" t="n">
        <f aca="false">ROUND(INDEX(Archetypes!$I$2:$I$127, MATCH(D334, Archetypes!$A$2:$A$127, 0))*INDEX(Unit_Grades!$C$2:$C$7, MATCH(F334, Unit_Grades!$A$2:$A$7, 0)),1)</f>
        <v>6.4</v>
      </c>
      <c r="M334" s="6" t="n">
        <f aca="false">ROUND(INDEX(Archetypes!$J$2:$J$127, MATCH(D334, Archetypes!$A$2:$A$127, 0))*INDEX(Unit_Grades!$D$2:$D$7, MATCH(F334, Unit_Grades!$A$2:$A$7, 0)),1)</f>
        <v>4.1</v>
      </c>
      <c r="N334" s="6" t="n">
        <f aca="false">ROUND(M334/24,2)</f>
        <v>0.17</v>
      </c>
    </row>
    <row r="335" customFormat="false" ht="15" hidden="false" customHeight="true" outlineLevel="0" collapsed="false">
      <c r="A335" s="6" t="n">
        <v>2</v>
      </c>
      <c r="B335" s="6" t="s">
        <v>1884</v>
      </c>
      <c r="C335" s="6" t="s">
        <v>1296</v>
      </c>
      <c r="D335" s="6" t="str">
        <f aca="false">A335&amp;"|"&amp;C335</f>
        <v>2|Swordsman</v>
      </c>
      <c r="E335" s="6" t="s">
        <v>1558</v>
      </c>
      <c r="F335" s="6" t="s">
        <v>1544</v>
      </c>
      <c r="G335" s="6" t="str">
        <f aca="false">INDEX(Archetypes!$D$2:$D$127, MATCH(D335, Archetypes!$A$2:$A$127, 0))</f>
        <v>Line Infantry</v>
      </c>
      <c r="H335" s="6" t="n">
        <f aca="false">ROUND(INDEX(Archetypes!$E$2:$E$127, MATCH(D335, Archetypes!$A$2:$A$127, 0))*INDEX(Unit_Grades!$B$2:$B$7, MATCH(F335, Unit_Grades!$A$2:$A$7, 0))*INDEX(Unit_Paths!$B$2:$B$4, MATCH(E335, Unit_Paths!$A$2:$A$4, 0)),1)</f>
        <v>74.9</v>
      </c>
      <c r="I335" s="6" t="n">
        <f aca="false">ROUND(INDEX(Archetypes!$F$2:$F$127, MATCH(D335, Archetypes!$A$2:$A$127, 0))*INDEX(Unit_Grades!$B$2:$B$7, MATCH(F335, Unit_Grades!$A$2:$A$7, 0))*INDEX(Unit_Paths!$C$2:$C$4, MATCH(E335, Unit_Paths!$A$2:$A$4, 0)),1)</f>
        <v>49</v>
      </c>
      <c r="J335" s="6" t="n">
        <f aca="false">ROUND(INDEX(Archetypes!$G$2:$G$127, MATCH(D335, Archetypes!$A$2:$A$127, 0))*INDEX(Unit_Grades!$B$2:$B$7, MATCH(F335, Unit_Grades!$A$2:$A$7, 0))*INDEX(Unit_Paths!$D$2:$D$4, MATCH(E335, Unit_Paths!$A$2:$A$4, 0)),0)</f>
        <v>251</v>
      </c>
      <c r="K335" s="6" t="n">
        <f aca="false">ROUND(INDEX(Archetypes!$H$2:$H$127, MATCH(D335, Archetypes!$A$2:$A$127, 0))*INDEX(Unit_Paths!$E$2:$E$4, MATCH(E335, Unit_Paths!$A$2:$A$4, 0)),1)</f>
        <v>16.8</v>
      </c>
      <c r="L335" s="6" t="n">
        <f aca="false">ROUND(INDEX(Archetypes!$I$2:$I$127, MATCH(D335, Archetypes!$A$2:$A$127, 0))*INDEX(Unit_Grades!$C$2:$C$7, MATCH(F335, Unit_Grades!$A$2:$A$7, 0)),1)</f>
        <v>8.4</v>
      </c>
      <c r="M335" s="6" t="n">
        <f aca="false">ROUND(INDEX(Archetypes!$J$2:$J$127, MATCH(D335, Archetypes!$A$2:$A$127, 0))*INDEX(Unit_Grades!$D$2:$D$7, MATCH(F335, Unit_Grades!$A$2:$A$7, 0)),1)</f>
        <v>6.5</v>
      </c>
      <c r="N335" s="6" t="n">
        <f aca="false">ROUND(M335/24,2)</f>
        <v>0.27</v>
      </c>
    </row>
    <row r="336" customFormat="false" ht="15" hidden="false" customHeight="true" outlineLevel="0" collapsed="false">
      <c r="A336" s="6" t="n">
        <v>2</v>
      </c>
      <c r="B336" s="6" t="s">
        <v>1885</v>
      </c>
      <c r="C336" s="6" t="s">
        <v>1296</v>
      </c>
      <c r="D336" s="6" t="str">
        <f aca="false">A336&amp;"|"&amp;C336</f>
        <v>2|Swordsman</v>
      </c>
      <c r="E336" s="6" t="s">
        <v>1558</v>
      </c>
      <c r="F336" s="6" t="s">
        <v>1546</v>
      </c>
      <c r="G336" s="6" t="str">
        <f aca="false">INDEX(Archetypes!$D$2:$D$127, MATCH(D336, Archetypes!$A$2:$A$127, 0))</f>
        <v>Line Infantry</v>
      </c>
      <c r="H336" s="6" t="n">
        <f aca="false">ROUND(INDEX(Archetypes!$E$2:$E$127, MATCH(D336, Archetypes!$A$2:$A$127, 0))*INDEX(Unit_Grades!$B$2:$B$7, MATCH(F336, Unit_Grades!$A$2:$A$7, 0))*INDEX(Unit_Paths!$B$2:$B$4, MATCH(E336, Unit_Paths!$A$2:$A$4, 0)),1)</f>
        <v>99.8</v>
      </c>
      <c r="I336" s="6" t="n">
        <f aca="false">ROUND(INDEX(Archetypes!$F$2:$F$127, MATCH(D336, Archetypes!$A$2:$A$127, 0))*INDEX(Unit_Grades!$B$2:$B$7, MATCH(F336, Unit_Grades!$A$2:$A$7, 0))*INDEX(Unit_Paths!$C$2:$C$4, MATCH(E336, Unit_Paths!$A$2:$A$4, 0)),1)</f>
        <v>65.3</v>
      </c>
      <c r="J336" s="6" t="n">
        <f aca="false">ROUND(INDEX(Archetypes!$G$2:$G$127, MATCH(D336, Archetypes!$A$2:$A$127, 0))*INDEX(Unit_Grades!$B$2:$B$7, MATCH(F336, Unit_Grades!$A$2:$A$7, 0))*INDEX(Unit_Paths!$D$2:$D$4, MATCH(E336, Unit_Paths!$A$2:$A$4, 0)),0)</f>
        <v>334</v>
      </c>
      <c r="K336" s="6" t="n">
        <f aca="false">ROUND(INDEX(Archetypes!$H$2:$H$127, MATCH(D336, Archetypes!$A$2:$A$127, 0))*INDEX(Unit_Paths!$E$2:$E$4, MATCH(E336, Unit_Paths!$A$2:$A$4, 0)),1)</f>
        <v>16.8</v>
      </c>
      <c r="L336" s="6" t="n">
        <f aca="false">ROUND(INDEX(Archetypes!$I$2:$I$127, MATCH(D336, Archetypes!$A$2:$A$127, 0))*INDEX(Unit_Grades!$C$2:$C$7, MATCH(F336, Unit_Grades!$A$2:$A$7, 0)),1)</f>
        <v>11.2</v>
      </c>
      <c r="M336" s="6" t="n">
        <f aca="false">ROUND(INDEX(Archetypes!$J$2:$J$127, MATCH(D336, Archetypes!$A$2:$A$127, 0))*INDEX(Unit_Grades!$D$2:$D$7, MATCH(F336, Unit_Grades!$A$2:$A$7, 0)),1)</f>
        <v>11.3</v>
      </c>
      <c r="N336" s="6" t="n">
        <f aca="false">ROUND(M336/24,2)</f>
        <v>0.47</v>
      </c>
    </row>
    <row r="337" customFormat="false" ht="15" hidden="false" customHeight="true" outlineLevel="0" collapsed="false">
      <c r="A337" s="6" t="n">
        <v>2</v>
      </c>
      <c r="B337" s="6" t="s">
        <v>1886</v>
      </c>
      <c r="C337" s="6" t="s">
        <v>1296</v>
      </c>
      <c r="D337" s="6" t="str">
        <f aca="false">A337&amp;"|"&amp;C337</f>
        <v>2|Swordsman</v>
      </c>
      <c r="E337" s="6" t="s">
        <v>1558</v>
      </c>
      <c r="F337" s="6" t="s">
        <v>1548</v>
      </c>
      <c r="G337" s="6" t="str">
        <f aca="false">INDEX(Archetypes!$D$2:$D$127, MATCH(D337, Archetypes!$A$2:$A$127, 0))</f>
        <v>Line Infantry</v>
      </c>
      <c r="H337" s="6" t="n">
        <f aca="false">ROUND(INDEX(Archetypes!$E$2:$E$127, MATCH(D337, Archetypes!$A$2:$A$127, 0))*INDEX(Unit_Grades!$B$2:$B$7, MATCH(F337, Unit_Grades!$A$2:$A$7, 0))*INDEX(Unit_Paths!$B$2:$B$4, MATCH(E337, Unit_Paths!$A$2:$A$4, 0)),1)</f>
        <v>131</v>
      </c>
      <c r="I337" s="6" t="n">
        <f aca="false">ROUND(INDEX(Archetypes!$F$2:$F$127, MATCH(D337, Archetypes!$A$2:$A$127, 0))*INDEX(Unit_Grades!$B$2:$B$7, MATCH(F337, Unit_Grades!$A$2:$A$7, 0))*INDEX(Unit_Paths!$C$2:$C$4, MATCH(E337, Unit_Paths!$A$2:$A$4, 0)),1)</f>
        <v>85.7</v>
      </c>
      <c r="J337" s="6" t="n">
        <f aca="false">ROUND(INDEX(Archetypes!$G$2:$G$127, MATCH(D337, Archetypes!$A$2:$A$127, 0))*INDEX(Unit_Grades!$B$2:$B$7, MATCH(F337, Unit_Grades!$A$2:$A$7, 0))*INDEX(Unit_Paths!$D$2:$D$4, MATCH(E337, Unit_Paths!$A$2:$A$4, 0)),0)</f>
        <v>439</v>
      </c>
      <c r="K337" s="6" t="n">
        <f aca="false">ROUND(INDEX(Archetypes!$H$2:$H$127, MATCH(D337, Archetypes!$A$2:$A$127, 0))*INDEX(Unit_Paths!$E$2:$E$4, MATCH(E337, Unit_Paths!$A$2:$A$4, 0)),1)</f>
        <v>16.8</v>
      </c>
      <c r="L337" s="6" t="n">
        <f aca="false">ROUND(INDEX(Archetypes!$I$2:$I$127, MATCH(D337, Archetypes!$A$2:$A$127, 0))*INDEX(Unit_Grades!$C$2:$C$7, MATCH(F337, Unit_Grades!$A$2:$A$7, 0)),1)</f>
        <v>14.8</v>
      </c>
      <c r="M337" s="6" t="n">
        <f aca="false">ROUND(INDEX(Archetypes!$J$2:$J$127, MATCH(D337, Archetypes!$A$2:$A$127, 0))*INDEX(Unit_Grades!$D$2:$D$7, MATCH(F337, Unit_Grades!$A$2:$A$7, 0)),1)</f>
        <v>19.4</v>
      </c>
      <c r="N337" s="6" t="n">
        <f aca="false">ROUND(M337/24,2)</f>
        <v>0.81</v>
      </c>
    </row>
    <row r="338" customFormat="false" ht="15" hidden="false" customHeight="true" outlineLevel="0" collapsed="false">
      <c r="A338" s="6" t="n">
        <v>2</v>
      </c>
      <c r="B338" s="6" t="s">
        <v>1887</v>
      </c>
      <c r="C338" s="6" t="s">
        <v>1296</v>
      </c>
      <c r="D338" s="6" t="str">
        <f aca="false">A338&amp;"|"&amp;C338</f>
        <v>2|Swordsman</v>
      </c>
      <c r="E338" s="6" t="s">
        <v>1560</v>
      </c>
      <c r="F338" s="6" t="s">
        <v>1538</v>
      </c>
      <c r="G338" s="6" t="str">
        <f aca="false">INDEX(Archetypes!$D$2:$D$127, MATCH(D338, Archetypes!$A$2:$A$127, 0))</f>
        <v>Line Infantry</v>
      </c>
      <c r="H338" s="6" t="n">
        <f aca="false">ROUND(INDEX(Archetypes!$E$2:$E$127, MATCH(D338, Archetypes!$A$2:$A$127, 0))*INDEX(Unit_Grades!$B$2:$B$7, MATCH(F338, Unit_Grades!$A$2:$A$7, 0))*INDEX(Unit_Paths!$B$2:$B$4, MATCH(E338, Unit_Paths!$A$2:$A$4, 0)),1)</f>
        <v>22.1</v>
      </c>
      <c r="I338" s="6" t="n">
        <f aca="false">ROUND(INDEX(Archetypes!$F$2:$F$127, MATCH(D338, Archetypes!$A$2:$A$127, 0))*INDEX(Unit_Grades!$B$2:$B$7, MATCH(F338, Unit_Grades!$A$2:$A$7, 0))*INDEX(Unit_Paths!$C$2:$C$4, MATCH(E338, Unit_Paths!$A$2:$A$4, 0)),1)</f>
        <v>30</v>
      </c>
      <c r="J338" s="6" t="n">
        <f aca="false">ROUND(INDEX(Archetypes!$G$2:$G$127, MATCH(D338, Archetypes!$A$2:$A$127, 0))*INDEX(Unit_Grades!$B$2:$B$7, MATCH(F338, Unit_Grades!$A$2:$A$7, 0))*INDEX(Unit_Paths!$D$2:$D$4, MATCH(E338, Unit_Paths!$A$2:$A$4, 0)),0)</f>
        <v>126</v>
      </c>
      <c r="K338" s="6" t="n">
        <f aca="false">ROUND(INDEX(Archetypes!$H$2:$H$127, MATCH(D338, Archetypes!$A$2:$A$127, 0))*INDEX(Unit_Paths!$E$2:$E$4, MATCH(E338, Unit_Paths!$A$2:$A$4, 0)),1)</f>
        <v>14.7</v>
      </c>
      <c r="L338" s="6" t="n">
        <f aca="false">ROUND(INDEX(Archetypes!$I$2:$I$127, MATCH(D338, Archetypes!$A$2:$A$127, 0))*INDEX(Unit_Grades!$C$2:$C$7, MATCH(F338, Unit_Grades!$A$2:$A$7, 0)),1)</f>
        <v>4</v>
      </c>
      <c r="M338" s="6" t="n">
        <f aca="false">ROUND(INDEX(Archetypes!$J$2:$J$127, MATCH(D338, Archetypes!$A$2:$A$127, 0))*INDEX(Unit_Grades!$D$2:$D$7, MATCH(F338, Unit_Grades!$A$2:$A$7, 0)),1)</f>
        <v>1.6</v>
      </c>
      <c r="N338" s="6" t="n">
        <f aca="false">ROUND(M338/24,2)</f>
        <v>0.07</v>
      </c>
    </row>
    <row r="339" customFormat="false" ht="15" hidden="false" customHeight="true" outlineLevel="0" collapsed="false">
      <c r="A339" s="6" t="n">
        <v>2</v>
      </c>
      <c r="B339" s="6" t="s">
        <v>1888</v>
      </c>
      <c r="C339" s="6" t="s">
        <v>1296</v>
      </c>
      <c r="D339" s="6" t="str">
        <f aca="false">A339&amp;"|"&amp;C339</f>
        <v>2|Swordsman</v>
      </c>
      <c r="E339" s="6" t="s">
        <v>1560</v>
      </c>
      <c r="F339" s="6" t="s">
        <v>1540</v>
      </c>
      <c r="G339" s="6" t="str">
        <f aca="false">INDEX(Archetypes!$D$2:$D$127, MATCH(D339, Archetypes!$A$2:$A$127, 0))</f>
        <v>Line Infantry</v>
      </c>
      <c r="H339" s="6" t="n">
        <f aca="false">ROUND(INDEX(Archetypes!$E$2:$E$127, MATCH(D339, Archetypes!$A$2:$A$127, 0))*INDEX(Unit_Grades!$B$2:$B$7, MATCH(F339, Unit_Grades!$A$2:$A$7, 0))*INDEX(Unit_Paths!$B$2:$B$4, MATCH(E339, Unit_Paths!$A$2:$A$4, 0)),1)</f>
        <v>29.8</v>
      </c>
      <c r="I339" s="6" t="n">
        <f aca="false">ROUND(INDEX(Archetypes!$F$2:$F$127, MATCH(D339, Archetypes!$A$2:$A$127, 0))*INDEX(Unit_Grades!$B$2:$B$7, MATCH(F339, Unit_Grades!$A$2:$A$7, 0))*INDEX(Unit_Paths!$C$2:$C$4, MATCH(E339, Unit_Paths!$A$2:$A$4, 0)),1)</f>
        <v>40.5</v>
      </c>
      <c r="J339" s="6" t="n">
        <f aca="false">ROUND(INDEX(Archetypes!$G$2:$G$127, MATCH(D339, Archetypes!$A$2:$A$127, 0))*INDEX(Unit_Grades!$B$2:$B$7, MATCH(F339, Unit_Grades!$A$2:$A$7, 0))*INDEX(Unit_Paths!$D$2:$D$4, MATCH(E339, Unit_Paths!$A$2:$A$4, 0)),0)</f>
        <v>171</v>
      </c>
      <c r="K339" s="6" t="n">
        <f aca="false">ROUND(INDEX(Archetypes!$H$2:$H$127, MATCH(D339, Archetypes!$A$2:$A$127, 0))*INDEX(Unit_Paths!$E$2:$E$4, MATCH(E339, Unit_Paths!$A$2:$A$4, 0)),1)</f>
        <v>14.7</v>
      </c>
      <c r="L339" s="6" t="n">
        <f aca="false">ROUND(INDEX(Archetypes!$I$2:$I$127, MATCH(D339, Archetypes!$A$2:$A$127, 0))*INDEX(Unit_Grades!$C$2:$C$7, MATCH(F339, Unit_Grades!$A$2:$A$7, 0)),1)</f>
        <v>5</v>
      </c>
      <c r="M339" s="6" t="n">
        <f aca="false">ROUND(INDEX(Archetypes!$J$2:$J$127, MATCH(D339, Archetypes!$A$2:$A$127, 0))*INDEX(Unit_Grades!$D$2:$D$7, MATCH(F339, Unit_Grades!$A$2:$A$7, 0)),1)</f>
        <v>2.4</v>
      </c>
      <c r="N339" s="6" t="n">
        <f aca="false">ROUND(M339/24,2)</f>
        <v>0.1</v>
      </c>
    </row>
    <row r="340" customFormat="false" ht="15" hidden="false" customHeight="true" outlineLevel="0" collapsed="false">
      <c r="A340" s="6" t="n">
        <v>2</v>
      </c>
      <c r="B340" s="6" t="s">
        <v>1889</v>
      </c>
      <c r="C340" s="6" t="s">
        <v>1296</v>
      </c>
      <c r="D340" s="6" t="str">
        <f aca="false">A340&amp;"|"&amp;C340</f>
        <v>2|Swordsman</v>
      </c>
      <c r="E340" s="6" t="s">
        <v>1560</v>
      </c>
      <c r="F340" s="6" t="s">
        <v>1542</v>
      </c>
      <c r="G340" s="6" t="str">
        <f aca="false">INDEX(Archetypes!$D$2:$D$127, MATCH(D340, Archetypes!$A$2:$A$127, 0))</f>
        <v>Line Infantry</v>
      </c>
      <c r="H340" s="6" t="n">
        <f aca="false">ROUND(INDEX(Archetypes!$E$2:$E$127, MATCH(D340, Archetypes!$A$2:$A$127, 0))*INDEX(Unit_Grades!$B$2:$B$7, MATCH(F340, Unit_Grades!$A$2:$A$7, 0))*INDEX(Unit_Paths!$B$2:$B$4, MATCH(E340, Unit_Paths!$A$2:$A$4, 0)),1)</f>
        <v>39.8</v>
      </c>
      <c r="I340" s="6" t="n">
        <f aca="false">ROUND(INDEX(Archetypes!$F$2:$F$127, MATCH(D340, Archetypes!$A$2:$A$127, 0))*INDEX(Unit_Grades!$B$2:$B$7, MATCH(F340, Unit_Grades!$A$2:$A$7, 0))*INDEX(Unit_Paths!$C$2:$C$4, MATCH(E340, Unit_Paths!$A$2:$A$4, 0)),1)</f>
        <v>54</v>
      </c>
      <c r="J340" s="6" t="n">
        <f aca="false">ROUND(INDEX(Archetypes!$G$2:$G$127, MATCH(D340, Archetypes!$A$2:$A$127, 0))*INDEX(Unit_Grades!$B$2:$B$7, MATCH(F340, Unit_Grades!$A$2:$A$7, 0))*INDEX(Unit_Paths!$D$2:$D$4, MATCH(E340, Unit_Paths!$A$2:$A$4, 0)),0)</f>
        <v>228</v>
      </c>
      <c r="K340" s="6" t="n">
        <f aca="false">ROUND(INDEX(Archetypes!$H$2:$H$127, MATCH(D340, Archetypes!$A$2:$A$127, 0))*INDEX(Unit_Paths!$E$2:$E$4, MATCH(E340, Unit_Paths!$A$2:$A$4, 0)),1)</f>
        <v>14.7</v>
      </c>
      <c r="L340" s="6" t="n">
        <f aca="false">ROUND(INDEX(Archetypes!$I$2:$I$127, MATCH(D340, Archetypes!$A$2:$A$127, 0))*INDEX(Unit_Grades!$C$2:$C$7, MATCH(F340, Unit_Grades!$A$2:$A$7, 0)),1)</f>
        <v>6.4</v>
      </c>
      <c r="M340" s="6" t="n">
        <f aca="false">ROUND(INDEX(Archetypes!$J$2:$J$127, MATCH(D340, Archetypes!$A$2:$A$127, 0))*INDEX(Unit_Grades!$D$2:$D$7, MATCH(F340, Unit_Grades!$A$2:$A$7, 0)),1)</f>
        <v>4.1</v>
      </c>
      <c r="N340" s="6" t="n">
        <f aca="false">ROUND(M340/24,2)</f>
        <v>0.17</v>
      </c>
    </row>
    <row r="341" customFormat="false" ht="15" hidden="false" customHeight="true" outlineLevel="0" collapsed="false">
      <c r="A341" s="6" t="n">
        <v>2</v>
      </c>
      <c r="B341" s="6" t="s">
        <v>1890</v>
      </c>
      <c r="C341" s="6" t="s">
        <v>1296</v>
      </c>
      <c r="D341" s="6" t="str">
        <f aca="false">A341&amp;"|"&amp;C341</f>
        <v>2|Swordsman</v>
      </c>
      <c r="E341" s="6" t="s">
        <v>1560</v>
      </c>
      <c r="F341" s="6" t="s">
        <v>1544</v>
      </c>
      <c r="G341" s="6" t="str">
        <f aca="false">INDEX(Archetypes!$D$2:$D$127, MATCH(D341, Archetypes!$A$2:$A$127, 0))</f>
        <v>Line Infantry</v>
      </c>
      <c r="H341" s="6" t="n">
        <f aca="false">ROUND(INDEX(Archetypes!$E$2:$E$127, MATCH(D341, Archetypes!$A$2:$A$127, 0))*INDEX(Unit_Grades!$B$2:$B$7, MATCH(F341, Unit_Grades!$A$2:$A$7, 0))*INDEX(Unit_Paths!$B$2:$B$4, MATCH(E341, Unit_Paths!$A$2:$A$4, 0)),1)</f>
        <v>53</v>
      </c>
      <c r="I341" s="6" t="n">
        <f aca="false">ROUND(INDEX(Archetypes!$F$2:$F$127, MATCH(D341, Archetypes!$A$2:$A$127, 0))*INDEX(Unit_Grades!$B$2:$B$7, MATCH(F341, Unit_Grades!$A$2:$A$7, 0))*INDEX(Unit_Paths!$C$2:$C$4, MATCH(E341, Unit_Paths!$A$2:$A$4, 0)),1)</f>
        <v>72</v>
      </c>
      <c r="J341" s="6" t="n">
        <f aca="false">ROUND(INDEX(Archetypes!$G$2:$G$127, MATCH(D341, Archetypes!$A$2:$A$127, 0))*INDEX(Unit_Grades!$B$2:$B$7, MATCH(F341, Unit_Grades!$A$2:$A$7, 0))*INDEX(Unit_Paths!$D$2:$D$4, MATCH(E341, Unit_Paths!$A$2:$A$4, 0)),0)</f>
        <v>304</v>
      </c>
      <c r="K341" s="6" t="n">
        <f aca="false">ROUND(INDEX(Archetypes!$H$2:$H$127, MATCH(D341, Archetypes!$A$2:$A$127, 0))*INDEX(Unit_Paths!$E$2:$E$4, MATCH(E341, Unit_Paths!$A$2:$A$4, 0)),1)</f>
        <v>14.7</v>
      </c>
      <c r="L341" s="6" t="n">
        <f aca="false">ROUND(INDEX(Archetypes!$I$2:$I$127, MATCH(D341, Archetypes!$A$2:$A$127, 0))*INDEX(Unit_Grades!$C$2:$C$7, MATCH(F341, Unit_Grades!$A$2:$A$7, 0)),1)</f>
        <v>8.4</v>
      </c>
      <c r="M341" s="6" t="n">
        <f aca="false">ROUND(INDEX(Archetypes!$J$2:$J$127, MATCH(D341, Archetypes!$A$2:$A$127, 0))*INDEX(Unit_Grades!$D$2:$D$7, MATCH(F341, Unit_Grades!$A$2:$A$7, 0)),1)</f>
        <v>6.5</v>
      </c>
      <c r="N341" s="6" t="n">
        <f aca="false">ROUND(M341/24,2)</f>
        <v>0.27</v>
      </c>
    </row>
    <row r="342" customFormat="false" ht="15" hidden="false" customHeight="true" outlineLevel="0" collapsed="false">
      <c r="A342" s="6" t="n">
        <v>2</v>
      </c>
      <c r="B342" s="6" t="s">
        <v>1891</v>
      </c>
      <c r="C342" s="6" t="s">
        <v>1296</v>
      </c>
      <c r="D342" s="6" t="str">
        <f aca="false">A342&amp;"|"&amp;C342</f>
        <v>2|Swordsman</v>
      </c>
      <c r="E342" s="6" t="s">
        <v>1560</v>
      </c>
      <c r="F342" s="6" t="s">
        <v>1546</v>
      </c>
      <c r="G342" s="6" t="str">
        <f aca="false">INDEX(Archetypes!$D$2:$D$127, MATCH(D342, Archetypes!$A$2:$A$127, 0))</f>
        <v>Line Infantry</v>
      </c>
      <c r="H342" s="6" t="n">
        <f aca="false">ROUND(INDEX(Archetypes!$E$2:$E$127, MATCH(D342, Archetypes!$A$2:$A$127, 0))*INDEX(Unit_Grades!$B$2:$B$7, MATCH(F342, Unit_Grades!$A$2:$A$7, 0))*INDEX(Unit_Paths!$B$2:$B$4, MATCH(E342, Unit_Paths!$A$2:$A$4, 0)),1)</f>
        <v>70.7</v>
      </c>
      <c r="I342" s="6" t="n">
        <f aca="false">ROUND(INDEX(Archetypes!$F$2:$F$127, MATCH(D342, Archetypes!$A$2:$A$127, 0))*INDEX(Unit_Grades!$B$2:$B$7, MATCH(F342, Unit_Grades!$A$2:$A$7, 0))*INDEX(Unit_Paths!$C$2:$C$4, MATCH(E342, Unit_Paths!$A$2:$A$4, 0)),1)</f>
        <v>96</v>
      </c>
      <c r="J342" s="6" t="n">
        <f aca="false">ROUND(INDEX(Archetypes!$G$2:$G$127, MATCH(D342, Archetypes!$A$2:$A$127, 0))*INDEX(Unit_Grades!$B$2:$B$7, MATCH(F342, Unit_Grades!$A$2:$A$7, 0))*INDEX(Unit_Paths!$D$2:$D$4, MATCH(E342, Unit_Paths!$A$2:$A$4, 0)),0)</f>
        <v>405</v>
      </c>
      <c r="K342" s="6" t="n">
        <f aca="false">ROUND(INDEX(Archetypes!$H$2:$H$127, MATCH(D342, Archetypes!$A$2:$A$127, 0))*INDEX(Unit_Paths!$E$2:$E$4, MATCH(E342, Unit_Paths!$A$2:$A$4, 0)),1)</f>
        <v>14.7</v>
      </c>
      <c r="L342" s="6" t="n">
        <f aca="false">ROUND(INDEX(Archetypes!$I$2:$I$127, MATCH(D342, Archetypes!$A$2:$A$127, 0))*INDEX(Unit_Grades!$C$2:$C$7, MATCH(F342, Unit_Grades!$A$2:$A$7, 0)),1)</f>
        <v>11.2</v>
      </c>
      <c r="M342" s="6" t="n">
        <f aca="false">ROUND(INDEX(Archetypes!$J$2:$J$127, MATCH(D342, Archetypes!$A$2:$A$127, 0))*INDEX(Unit_Grades!$D$2:$D$7, MATCH(F342, Unit_Grades!$A$2:$A$7, 0)),1)</f>
        <v>11.3</v>
      </c>
      <c r="N342" s="6" t="n">
        <f aca="false">ROUND(M342/24,2)</f>
        <v>0.47</v>
      </c>
    </row>
    <row r="343" customFormat="false" ht="15" hidden="false" customHeight="true" outlineLevel="0" collapsed="false">
      <c r="A343" s="6" t="n">
        <v>2</v>
      </c>
      <c r="B343" s="6" t="s">
        <v>1892</v>
      </c>
      <c r="C343" s="6" t="s">
        <v>1296</v>
      </c>
      <c r="D343" s="6" t="str">
        <f aca="false">A343&amp;"|"&amp;C343</f>
        <v>2|Swordsman</v>
      </c>
      <c r="E343" s="6" t="s">
        <v>1560</v>
      </c>
      <c r="F343" s="6" t="s">
        <v>1548</v>
      </c>
      <c r="G343" s="6" t="str">
        <f aca="false">INDEX(Archetypes!$D$2:$D$127, MATCH(D343, Archetypes!$A$2:$A$127, 0))</f>
        <v>Line Infantry</v>
      </c>
      <c r="H343" s="6" t="n">
        <f aca="false">ROUND(INDEX(Archetypes!$E$2:$E$127, MATCH(D343, Archetypes!$A$2:$A$127, 0))*INDEX(Unit_Grades!$B$2:$B$7, MATCH(F343, Unit_Grades!$A$2:$A$7, 0))*INDEX(Unit_Paths!$B$2:$B$4, MATCH(E343, Unit_Paths!$A$2:$A$4, 0)),1)</f>
        <v>92.8</v>
      </c>
      <c r="I343" s="6" t="n">
        <f aca="false">ROUND(INDEX(Archetypes!$F$2:$F$127, MATCH(D343, Archetypes!$A$2:$A$127, 0))*INDEX(Unit_Grades!$B$2:$B$7, MATCH(F343, Unit_Grades!$A$2:$A$7, 0))*INDEX(Unit_Paths!$C$2:$C$4, MATCH(E343, Unit_Paths!$A$2:$A$4, 0)),1)</f>
        <v>126</v>
      </c>
      <c r="J343" s="6" t="n">
        <f aca="false">ROUND(INDEX(Archetypes!$G$2:$G$127, MATCH(D343, Archetypes!$A$2:$A$127, 0))*INDEX(Unit_Grades!$B$2:$B$7, MATCH(F343, Unit_Grades!$A$2:$A$7, 0))*INDEX(Unit_Paths!$D$2:$D$4, MATCH(E343, Unit_Paths!$A$2:$A$4, 0)),0)</f>
        <v>531</v>
      </c>
      <c r="K343" s="6" t="n">
        <f aca="false">ROUND(INDEX(Archetypes!$H$2:$H$127, MATCH(D343, Archetypes!$A$2:$A$127, 0))*INDEX(Unit_Paths!$E$2:$E$4, MATCH(E343, Unit_Paths!$A$2:$A$4, 0)),1)</f>
        <v>14.7</v>
      </c>
      <c r="L343" s="6" t="n">
        <f aca="false">ROUND(INDEX(Archetypes!$I$2:$I$127, MATCH(D343, Archetypes!$A$2:$A$127, 0))*INDEX(Unit_Grades!$C$2:$C$7, MATCH(F343, Unit_Grades!$A$2:$A$7, 0)),1)</f>
        <v>14.8</v>
      </c>
      <c r="M343" s="6" t="n">
        <f aca="false">ROUND(INDEX(Archetypes!$J$2:$J$127, MATCH(D343, Archetypes!$A$2:$A$127, 0))*INDEX(Unit_Grades!$D$2:$D$7, MATCH(F343, Unit_Grades!$A$2:$A$7, 0)),1)</f>
        <v>19.4</v>
      </c>
      <c r="N343" s="6" t="n">
        <f aca="false">ROUND(M343/24,2)</f>
        <v>0.81</v>
      </c>
    </row>
    <row r="344" customFormat="false" ht="15" hidden="false" customHeight="true" outlineLevel="0" collapsed="false">
      <c r="A344" s="6" t="n">
        <v>2</v>
      </c>
      <c r="B344" s="6" t="s">
        <v>1298</v>
      </c>
      <c r="C344" s="6" t="s">
        <v>1298</v>
      </c>
      <c r="D344" s="6" t="str">
        <f aca="false">A344&amp;"|"&amp;C344</f>
        <v>2|Pikeman</v>
      </c>
      <c r="E344" s="6" t="s">
        <v>1556</v>
      </c>
      <c r="F344" s="6" t="s">
        <v>1538</v>
      </c>
      <c r="G344" s="6" t="str">
        <f aca="false">INDEX(Archetypes!$D$2:$D$127, MATCH(D344, Archetypes!$A$2:$A$127, 0))</f>
        <v>Anti-Cavalry</v>
      </c>
      <c r="H344" s="6" t="n">
        <f aca="false">ROUND(INDEX(Archetypes!$E$2:$E$127, MATCH(D344, Archetypes!$A$2:$A$127, 0))*INDEX(Unit_Grades!$B$2:$B$7, MATCH(F344, Unit_Grades!$A$2:$A$7, 0))*INDEX(Unit_Paths!$B$2:$B$4, MATCH(E344, Unit_Paths!$A$2:$A$4, 0)),1)</f>
        <v>20</v>
      </c>
      <c r="I344" s="6" t="n">
        <f aca="false">ROUND(INDEX(Archetypes!$F$2:$F$127, MATCH(D344, Archetypes!$A$2:$A$127, 0))*INDEX(Unit_Grades!$B$2:$B$7, MATCH(F344, Unit_Grades!$A$2:$A$7, 0))*INDEX(Unit_Paths!$C$2:$C$4, MATCH(E344, Unit_Paths!$A$2:$A$4, 0)),1)</f>
        <v>34</v>
      </c>
      <c r="J344" s="6" t="n">
        <f aca="false">ROUND(INDEX(Archetypes!$G$2:$G$127, MATCH(D344, Archetypes!$A$2:$A$127, 0))*INDEX(Unit_Grades!$B$2:$B$7, MATCH(F344, Unit_Grades!$A$2:$A$7, 0))*INDEX(Unit_Paths!$D$2:$D$4, MATCH(E344, Unit_Paths!$A$2:$A$4, 0)),0)</f>
        <v>120</v>
      </c>
      <c r="K344" s="6" t="n">
        <f aca="false">ROUND(INDEX(Archetypes!$H$2:$H$127, MATCH(D344, Archetypes!$A$2:$A$127, 0))*INDEX(Unit_Paths!$E$2:$E$4, MATCH(E344, Unit_Paths!$A$2:$A$4, 0)),1)</f>
        <v>14</v>
      </c>
      <c r="L344" s="6" t="n">
        <f aca="false">ROUND(INDEX(Archetypes!$I$2:$I$127, MATCH(D344, Archetypes!$A$2:$A$127, 0))*INDEX(Unit_Grades!$C$2:$C$7, MATCH(F344, Unit_Grades!$A$2:$A$7, 0)),1)</f>
        <v>4</v>
      </c>
      <c r="M344" s="6" t="n">
        <f aca="false">ROUND(INDEX(Archetypes!$J$2:$J$127, MATCH(D344, Archetypes!$A$2:$A$127, 0))*INDEX(Unit_Grades!$D$2:$D$7, MATCH(F344, Unit_Grades!$A$2:$A$7, 0)),1)</f>
        <v>1.6</v>
      </c>
      <c r="N344" s="6" t="n">
        <f aca="false">ROUND(M344/24,2)</f>
        <v>0.07</v>
      </c>
    </row>
    <row r="345" customFormat="false" ht="15" hidden="false" customHeight="true" outlineLevel="0" collapsed="false">
      <c r="A345" s="6" t="n">
        <v>2</v>
      </c>
      <c r="B345" s="6" t="s">
        <v>1893</v>
      </c>
      <c r="C345" s="6" t="s">
        <v>1298</v>
      </c>
      <c r="D345" s="6" t="str">
        <f aca="false">A345&amp;"|"&amp;C345</f>
        <v>2|Pikeman</v>
      </c>
      <c r="E345" s="6" t="s">
        <v>1556</v>
      </c>
      <c r="F345" s="6" t="s">
        <v>1540</v>
      </c>
      <c r="G345" s="6" t="str">
        <f aca="false">INDEX(Archetypes!$D$2:$D$127, MATCH(D345, Archetypes!$A$2:$A$127, 0))</f>
        <v>Anti-Cavalry</v>
      </c>
      <c r="H345" s="6" t="n">
        <f aca="false">ROUND(INDEX(Archetypes!$E$2:$E$127, MATCH(D345, Archetypes!$A$2:$A$127, 0))*INDEX(Unit_Grades!$B$2:$B$7, MATCH(F345, Unit_Grades!$A$2:$A$7, 0))*INDEX(Unit_Paths!$B$2:$B$4, MATCH(E345, Unit_Paths!$A$2:$A$4, 0)),1)</f>
        <v>27</v>
      </c>
      <c r="I345" s="6" t="n">
        <f aca="false">ROUND(INDEX(Archetypes!$F$2:$F$127, MATCH(D345, Archetypes!$A$2:$A$127, 0))*INDEX(Unit_Grades!$B$2:$B$7, MATCH(F345, Unit_Grades!$A$2:$A$7, 0))*INDEX(Unit_Paths!$C$2:$C$4, MATCH(E345, Unit_Paths!$A$2:$A$4, 0)),1)</f>
        <v>45.9</v>
      </c>
      <c r="J345" s="6" t="n">
        <f aca="false">ROUND(INDEX(Archetypes!$G$2:$G$127, MATCH(D345, Archetypes!$A$2:$A$127, 0))*INDEX(Unit_Grades!$B$2:$B$7, MATCH(F345, Unit_Grades!$A$2:$A$7, 0))*INDEX(Unit_Paths!$D$2:$D$4, MATCH(E345, Unit_Paths!$A$2:$A$4, 0)),0)</f>
        <v>162</v>
      </c>
      <c r="K345" s="6" t="n">
        <f aca="false">ROUND(INDEX(Archetypes!$H$2:$H$127, MATCH(D345, Archetypes!$A$2:$A$127, 0))*INDEX(Unit_Paths!$E$2:$E$4, MATCH(E345, Unit_Paths!$A$2:$A$4, 0)),1)</f>
        <v>14</v>
      </c>
      <c r="L345" s="6" t="n">
        <f aca="false">ROUND(INDEX(Archetypes!$I$2:$I$127, MATCH(D345, Archetypes!$A$2:$A$127, 0))*INDEX(Unit_Grades!$C$2:$C$7, MATCH(F345, Unit_Grades!$A$2:$A$7, 0)),1)</f>
        <v>5</v>
      </c>
      <c r="M345" s="6" t="n">
        <f aca="false">ROUND(INDEX(Archetypes!$J$2:$J$127, MATCH(D345, Archetypes!$A$2:$A$127, 0))*INDEX(Unit_Grades!$D$2:$D$7, MATCH(F345, Unit_Grades!$A$2:$A$7, 0)),1)</f>
        <v>2.4</v>
      </c>
      <c r="N345" s="6" t="n">
        <f aca="false">ROUND(M345/24,2)</f>
        <v>0.1</v>
      </c>
    </row>
    <row r="346" customFormat="false" ht="15" hidden="false" customHeight="true" outlineLevel="0" collapsed="false">
      <c r="A346" s="6" t="n">
        <v>2</v>
      </c>
      <c r="B346" s="6" t="s">
        <v>1894</v>
      </c>
      <c r="C346" s="6" t="s">
        <v>1298</v>
      </c>
      <c r="D346" s="6" t="str">
        <f aca="false">A346&amp;"|"&amp;C346</f>
        <v>2|Pikeman</v>
      </c>
      <c r="E346" s="6" t="s">
        <v>1556</v>
      </c>
      <c r="F346" s="6" t="s">
        <v>1542</v>
      </c>
      <c r="G346" s="6" t="str">
        <f aca="false">INDEX(Archetypes!$D$2:$D$127, MATCH(D346, Archetypes!$A$2:$A$127, 0))</f>
        <v>Anti-Cavalry</v>
      </c>
      <c r="H346" s="6" t="n">
        <f aca="false">ROUND(INDEX(Archetypes!$E$2:$E$127, MATCH(D346, Archetypes!$A$2:$A$127, 0))*INDEX(Unit_Grades!$B$2:$B$7, MATCH(F346, Unit_Grades!$A$2:$A$7, 0))*INDEX(Unit_Paths!$B$2:$B$4, MATCH(E346, Unit_Paths!$A$2:$A$4, 0)),1)</f>
        <v>36</v>
      </c>
      <c r="I346" s="6" t="n">
        <f aca="false">ROUND(INDEX(Archetypes!$F$2:$F$127, MATCH(D346, Archetypes!$A$2:$A$127, 0))*INDEX(Unit_Grades!$B$2:$B$7, MATCH(F346, Unit_Grades!$A$2:$A$7, 0))*INDEX(Unit_Paths!$C$2:$C$4, MATCH(E346, Unit_Paths!$A$2:$A$4, 0)),1)</f>
        <v>61.2</v>
      </c>
      <c r="J346" s="6" t="n">
        <f aca="false">ROUND(INDEX(Archetypes!$G$2:$G$127, MATCH(D346, Archetypes!$A$2:$A$127, 0))*INDEX(Unit_Grades!$B$2:$B$7, MATCH(F346, Unit_Grades!$A$2:$A$7, 0))*INDEX(Unit_Paths!$D$2:$D$4, MATCH(E346, Unit_Paths!$A$2:$A$4, 0)),0)</f>
        <v>216</v>
      </c>
      <c r="K346" s="6" t="n">
        <f aca="false">ROUND(INDEX(Archetypes!$H$2:$H$127, MATCH(D346, Archetypes!$A$2:$A$127, 0))*INDEX(Unit_Paths!$E$2:$E$4, MATCH(E346, Unit_Paths!$A$2:$A$4, 0)),1)</f>
        <v>14</v>
      </c>
      <c r="L346" s="6" t="n">
        <f aca="false">ROUND(INDEX(Archetypes!$I$2:$I$127, MATCH(D346, Archetypes!$A$2:$A$127, 0))*INDEX(Unit_Grades!$C$2:$C$7, MATCH(F346, Unit_Grades!$A$2:$A$7, 0)),1)</f>
        <v>6.4</v>
      </c>
      <c r="M346" s="6" t="n">
        <f aca="false">ROUND(INDEX(Archetypes!$J$2:$J$127, MATCH(D346, Archetypes!$A$2:$A$127, 0))*INDEX(Unit_Grades!$D$2:$D$7, MATCH(F346, Unit_Grades!$A$2:$A$7, 0)),1)</f>
        <v>4.1</v>
      </c>
      <c r="N346" s="6" t="n">
        <f aca="false">ROUND(M346/24,2)</f>
        <v>0.17</v>
      </c>
    </row>
    <row r="347" customFormat="false" ht="15" hidden="false" customHeight="true" outlineLevel="0" collapsed="false">
      <c r="A347" s="6" t="n">
        <v>2</v>
      </c>
      <c r="B347" s="6" t="s">
        <v>1895</v>
      </c>
      <c r="C347" s="6" t="s">
        <v>1298</v>
      </c>
      <c r="D347" s="6" t="str">
        <f aca="false">A347&amp;"|"&amp;C347</f>
        <v>2|Pikeman</v>
      </c>
      <c r="E347" s="6" t="s">
        <v>1556</v>
      </c>
      <c r="F347" s="6" t="s">
        <v>1544</v>
      </c>
      <c r="G347" s="6" t="str">
        <f aca="false">INDEX(Archetypes!$D$2:$D$127, MATCH(D347, Archetypes!$A$2:$A$127, 0))</f>
        <v>Anti-Cavalry</v>
      </c>
      <c r="H347" s="6" t="n">
        <f aca="false">ROUND(INDEX(Archetypes!$E$2:$E$127, MATCH(D347, Archetypes!$A$2:$A$127, 0))*INDEX(Unit_Grades!$B$2:$B$7, MATCH(F347, Unit_Grades!$A$2:$A$7, 0))*INDEX(Unit_Paths!$B$2:$B$4, MATCH(E347, Unit_Paths!$A$2:$A$4, 0)),1)</f>
        <v>48</v>
      </c>
      <c r="I347" s="6" t="n">
        <f aca="false">ROUND(INDEX(Archetypes!$F$2:$F$127, MATCH(D347, Archetypes!$A$2:$A$127, 0))*INDEX(Unit_Grades!$B$2:$B$7, MATCH(F347, Unit_Grades!$A$2:$A$7, 0))*INDEX(Unit_Paths!$C$2:$C$4, MATCH(E347, Unit_Paths!$A$2:$A$4, 0)),1)</f>
        <v>81.6</v>
      </c>
      <c r="J347" s="6" t="n">
        <f aca="false">ROUND(INDEX(Archetypes!$G$2:$G$127, MATCH(D347, Archetypes!$A$2:$A$127, 0))*INDEX(Unit_Grades!$B$2:$B$7, MATCH(F347, Unit_Grades!$A$2:$A$7, 0))*INDEX(Unit_Paths!$D$2:$D$4, MATCH(E347, Unit_Paths!$A$2:$A$4, 0)),0)</f>
        <v>288</v>
      </c>
      <c r="K347" s="6" t="n">
        <f aca="false">ROUND(INDEX(Archetypes!$H$2:$H$127, MATCH(D347, Archetypes!$A$2:$A$127, 0))*INDEX(Unit_Paths!$E$2:$E$4, MATCH(E347, Unit_Paths!$A$2:$A$4, 0)),1)</f>
        <v>14</v>
      </c>
      <c r="L347" s="6" t="n">
        <f aca="false">ROUND(INDEX(Archetypes!$I$2:$I$127, MATCH(D347, Archetypes!$A$2:$A$127, 0))*INDEX(Unit_Grades!$C$2:$C$7, MATCH(F347, Unit_Grades!$A$2:$A$7, 0)),1)</f>
        <v>8.4</v>
      </c>
      <c r="M347" s="6" t="n">
        <f aca="false">ROUND(INDEX(Archetypes!$J$2:$J$127, MATCH(D347, Archetypes!$A$2:$A$127, 0))*INDEX(Unit_Grades!$D$2:$D$7, MATCH(F347, Unit_Grades!$A$2:$A$7, 0)),1)</f>
        <v>6.5</v>
      </c>
      <c r="N347" s="6" t="n">
        <f aca="false">ROUND(M347/24,2)</f>
        <v>0.27</v>
      </c>
    </row>
    <row r="348" customFormat="false" ht="15" hidden="false" customHeight="true" outlineLevel="0" collapsed="false">
      <c r="A348" s="6" t="n">
        <v>2</v>
      </c>
      <c r="B348" s="6" t="s">
        <v>1896</v>
      </c>
      <c r="C348" s="6" t="s">
        <v>1298</v>
      </c>
      <c r="D348" s="6" t="str">
        <f aca="false">A348&amp;"|"&amp;C348</f>
        <v>2|Pikeman</v>
      </c>
      <c r="E348" s="6" t="s">
        <v>1556</v>
      </c>
      <c r="F348" s="6" t="s">
        <v>1546</v>
      </c>
      <c r="G348" s="6" t="str">
        <f aca="false">INDEX(Archetypes!$D$2:$D$127, MATCH(D348, Archetypes!$A$2:$A$127, 0))</f>
        <v>Anti-Cavalry</v>
      </c>
      <c r="H348" s="6" t="n">
        <f aca="false">ROUND(INDEX(Archetypes!$E$2:$E$127, MATCH(D348, Archetypes!$A$2:$A$127, 0))*INDEX(Unit_Grades!$B$2:$B$7, MATCH(F348, Unit_Grades!$A$2:$A$7, 0))*INDEX(Unit_Paths!$B$2:$B$4, MATCH(E348, Unit_Paths!$A$2:$A$4, 0)),1)</f>
        <v>64</v>
      </c>
      <c r="I348" s="6" t="n">
        <f aca="false">ROUND(INDEX(Archetypes!$F$2:$F$127, MATCH(D348, Archetypes!$A$2:$A$127, 0))*INDEX(Unit_Grades!$B$2:$B$7, MATCH(F348, Unit_Grades!$A$2:$A$7, 0))*INDEX(Unit_Paths!$C$2:$C$4, MATCH(E348, Unit_Paths!$A$2:$A$4, 0)),1)</f>
        <v>108.8</v>
      </c>
      <c r="J348" s="6" t="n">
        <f aca="false">ROUND(INDEX(Archetypes!$G$2:$G$127, MATCH(D348, Archetypes!$A$2:$A$127, 0))*INDEX(Unit_Grades!$B$2:$B$7, MATCH(F348, Unit_Grades!$A$2:$A$7, 0))*INDEX(Unit_Paths!$D$2:$D$4, MATCH(E348, Unit_Paths!$A$2:$A$4, 0)),0)</f>
        <v>384</v>
      </c>
      <c r="K348" s="6" t="n">
        <f aca="false">ROUND(INDEX(Archetypes!$H$2:$H$127, MATCH(D348, Archetypes!$A$2:$A$127, 0))*INDEX(Unit_Paths!$E$2:$E$4, MATCH(E348, Unit_Paths!$A$2:$A$4, 0)),1)</f>
        <v>14</v>
      </c>
      <c r="L348" s="6" t="n">
        <f aca="false">ROUND(INDEX(Archetypes!$I$2:$I$127, MATCH(D348, Archetypes!$A$2:$A$127, 0))*INDEX(Unit_Grades!$C$2:$C$7, MATCH(F348, Unit_Grades!$A$2:$A$7, 0)),1)</f>
        <v>11.2</v>
      </c>
      <c r="M348" s="6" t="n">
        <f aca="false">ROUND(INDEX(Archetypes!$J$2:$J$127, MATCH(D348, Archetypes!$A$2:$A$127, 0))*INDEX(Unit_Grades!$D$2:$D$7, MATCH(F348, Unit_Grades!$A$2:$A$7, 0)),1)</f>
        <v>11.3</v>
      </c>
      <c r="N348" s="6" t="n">
        <f aca="false">ROUND(M348/24,2)</f>
        <v>0.47</v>
      </c>
    </row>
    <row r="349" customFormat="false" ht="15" hidden="false" customHeight="true" outlineLevel="0" collapsed="false">
      <c r="A349" s="6" t="n">
        <v>2</v>
      </c>
      <c r="B349" s="6" t="s">
        <v>1897</v>
      </c>
      <c r="C349" s="6" t="s">
        <v>1298</v>
      </c>
      <c r="D349" s="6" t="str">
        <f aca="false">A349&amp;"|"&amp;C349</f>
        <v>2|Pikeman</v>
      </c>
      <c r="E349" s="6" t="s">
        <v>1556</v>
      </c>
      <c r="F349" s="6" t="s">
        <v>1548</v>
      </c>
      <c r="G349" s="6" t="str">
        <f aca="false">INDEX(Archetypes!$D$2:$D$127, MATCH(D349, Archetypes!$A$2:$A$127, 0))</f>
        <v>Anti-Cavalry</v>
      </c>
      <c r="H349" s="6" t="n">
        <f aca="false">ROUND(INDEX(Archetypes!$E$2:$E$127, MATCH(D349, Archetypes!$A$2:$A$127, 0))*INDEX(Unit_Grades!$B$2:$B$7, MATCH(F349, Unit_Grades!$A$2:$A$7, 0))*INDEX(Unit_Paths!$B$2:$B$4, MATCH(E349, Unit_Paths!$A$2:$A$4, 0)),1)</f>
        <v>84</v>
      </c>
      <c r="I349" s="6" t="n">
        <f aca="false">ROUND(INDEX(Archetypes!$F$2:$F$127, MATCH(D349, Archetypes!$A$2:$A$127, 0))*INDEX(Unit_Grades!$B$2:$B$7, MATCH(F349, Unit_Grades!$A$2:$A$7, 0))*INDEX(Unit_Paths!$C$2:$C$4, MATCH(E349, Unit_Paths!$A$2:$A$4, 0)),1)</f>
        <v>142.8</v>
      </c>
      <c r="J349" s="6" t="n">
        <f aca="false">ROUND(INDEX(Archetypes!$G$2:$G$127, MATCH(D349, Archetypes!$A$2:$A$127, 0))*INDEX(Unit_Grades!$B$2:$B$7, MATCH(F349, Unit_Grades!$A$2:$A$7, 0))*INDEX(Unit_Paths!$D$2:$D$4, MATCH(E349, Unit_Paths!$A$2:$A$4, 0)),0)</f>
        <v>504</v>
      </c>
      <c r="K349" s="6" t="n">
        <f aca="false">ROUND(INDEX(Archetypes!$H$2:$H$127, MATCH(D349, Archetypes!$A$2:$A$127, 0))*INDEX(Unit_Paths!$E$2:$E$4, MATCH(E349, Unit_Paths!$A$2:$A$4, 0)),1)</f>
        <v>14</v>
      </c>
      <c r="L349" s="6" t="n">
        <f aca="false">ROUND(INDEX(Archetypes!$I$2:$I$127, MATCH(D349, Archetypes!$A$2:$A$127, 0))*INDEX(Unit_Grades!$C$2:$C$7, MATCH(F349, Unit_Grades!$A$2:$A$7, 0)),1)</f>
        <v>14.8</v>
      </c>
      <c r="M349" s="6" t="n">
        <f aca="false">ROUND(INDEX(Archetypes!$J$2:$J$127, MATCH(D349, Archetypes!$A$2:$A$127, 0))*INDEX(Unit_Grades!$D$2:$D$7, MATCH(F349, Unit_Grades!$A$2:$A$7, 0)),1)</f>
        <v>19.4</v>
      </c>
      <c r="N349" s="6" t="n">
        <f aca="false">ROUND(M349/24,2)</f>
        <v>0.81</v>
      </c>
    </row>
    <row r="350" customFormat="false" ht="15" hidden="false" customHeight="true" outlineLevel="0" collapsed="false">
      <c r="A350" s="6" t="n">
        <v>2</v>
      </c>
      <c r="B350" s="6" t="s">
        <v>1898</v>
      </c>
      <c r="C350" s="6" t="s">
        <v>1298</v>
      </c>
      <c r="D350" s="6" t="str">
        <f aca="false">A350&amp;"|"&amp;C350</f>
        <v>2|Pikeman</v>
      </c>
      <c r="E350" s="6" t="s">
        <v>1558</v>
      </c>
      <c r="F350" s="6" t="s">
        <v>1538</v>
      </c>
      <c r="G350" s="6" t="str">
        <f aca="false">INDEX(Archetypes!$D$2:$D$127, MATCH(D350, Archetypes!$A$2:$A$127, 0))</f>
        <v>Anti-Cavalry</v>
      </c>
      <c r="H350" s="6" t="n">
        <f aca="false">ROUND(INDEX(Archetypes!$E$2:$E$127, MATCH(D350, Archetypes!$A$2:$A$127, 0))*INDEX(Unit_Grades!$B$2:$B$7, MATCH(F350, Unit_Grades!$A$2:$A$7, 0))*INDEX(Unit_Paths!$B$2:$B$4, MATCH(E350, Unit_Paths!$A$2:$A$4, 0)),1)</f>
        <v>24</v>
      </c>
      <c r="I350" s="6" t="n">
        <f aca="false">ROUND(INDEX(Archetypes!$F$2:$F$127, MATCH(D350, Archetypes!$A$2:$A$127, 0))*INDEX(Unit_Grades!$B$2:$B$7, MATCH(F350, Unit_Grades!$A$2:$A$7, 0))*INDEX(Unit_Paths!$C$2:$C$4, MATCH(E350, Unit_Paths!$A$2:$A$4, 0)),1)</f>
        <v>28.9</v>
      </c>
      <c r="J350" s="6" t="n">
        <f aca="false">ROUND(INDEX(Archetypes!$G$2:$G$127, MATCH(D350, Archetypes!$A$2:$A$127, 0))*INDEX(Unit_Grades!$B$2:$B$7, MATCH(F350, Unit_Grades!$A$2:$A$7, 0))*INDEX(Unit_Paths!$D$2:$D$4, MATCH(E350, Unit_Paths!$A$2:$A$4, 0)),0)</f>
        <v>114</v>
      </c>
      <c r="K350" s="6" t="n">
        <f aca="false">ROUND(INDEX(Archetypes!$H$2:$H$127, MATCH(D350, Archetypes!$A$2:$A$127, 0))*INDEX(Unit_Paths!$E$2:$E$4, MATCH(E350, Unit_Paths!$A$2:$A$4, 0)),1)</f>
        <v>14.7</v>
      </c>
      <c r="L350" s="6" t="n">
        <f aca="false">ROUND(INDEX(Archetypes!$I$2:$I$127, MATCH(D350, Archetypes!$A$2:$A$127, 0))*INDEX(Unit_Grades!$C$2:$C$7, MATCH(F350, Unit_Grades!$A$2:$A$7, 0)),1)</f>
        <v>4</v>
      </c>
      <c r="M350" s="6" t="n">
        <f aca="false">ROUND(INDEX(Archetypes!$J$2:$J$127, MATCH(D350, Archetypes!$A$2:$A$127, 0))*INDEX(Unit_Grades!$D$2:$D$7, MATCH(F350, Unit_Grades!$A$2:$A$7, 0)),1)</f>
        <v>1.6</v>
      </c>
      <c r="N350" s="6" t="n">
        <f aca="false">ROUND(M350/24,2)</f>
        <v>0.07</v>
      </c>
    </row>
    <row r="351" customFormat="false" ht="15" hidden="false" customHeight="true" outlineLevel="0" collapsed="false">
      <c r="A351" s="6" t="n">
        <v>2</v>
      </c>
      <c r="B351" s="6" t="s">
        <v>1899</v>
      </c>
      <c r="C351" s="6" t="s">
        <v>1298</v>
      </c>
      <c r="D351" s="6" t="str">
        <f aca="false">A351&amp;"|"&amp;C351</f>
        <v>2|Pikeman</v>
      </c>
      <c r="E351" s="6" t="s">
        <v>1558</v>
      </c>
      <c r="F351" s="6" t="s">
        <v>1540</v>
      </c>
      <c r="G351" s="6" t="str">
        <f aca="false">INDEX(Archetypes!$D$2:$D$127, MATCH(D351, Archetypes!$A$2:$A$127, 0))</f>
        <v>Anti-Cavalry</v>
      </c>
      <c r="H351" s="6" t="n">
        <f aca="false">ROUND(INDEX(Archetypes!$E$2:$E$127, MATCH(D351, Archetypes!$A$2:$A$127, 0))*INDEX(Unit_Grades!$B$2:$B$7, MATCH(F351, Unit_Grades!$A$2:$A$7, 0))*INDEX(Unit_Paths!$B$2:$B$4, MATCH(E351, Unit_Paths!$A$2:$A$4, 0)),1)</f>
        <v>32.4</v>
      </c>
      <c r="I351" s="6" t="n">
        <f aca="false">ROUND(INDEX(Archetypes!$F$2:$F$127, MATCH(D351, Archetypes!$A$2:$A$127, 0))*INDEX(Unit_Grades!$B$2:$B$7, MATCH(F351, Unit_Grades!$A$2:$A$7, 0))*INDEX(Unit_Paths!$C$2:$C$4, MATCH(E351, Unit_Paths!$A$2:$A$4, 0)),1)</f>
        <v>39</v>
      </c>
      <c r="J351" s="6" t="n">
        <f aca="false">ROUND(INDEX(Archetypes!$G$2:$G$127, MATCH(D351, Archetypes!$A$2:$A$127, 0))*INDEX(Unit_Grades!$B$2:$B$7, MATCH(F351, Unit_Grades!$A$2:$A$7, 0))*INDEX(Unit_Paths!$D$2:$D$4, MATCH(E351, Unit_Paths!$A$2:$A$4, 0)),0)</f>
        <v>154</v>
      </c>
      <c r="K351" s="6" t="n">
        <f aca="false">ROUND(INDEX(Archetypes!$H$2:$H$127, MATCH(D351, Archetypes!$A$2:$A$127, 0))*INDEX(Unit_Paths!$E$2:$E$4, MATCH(E351, Unit_Paths!$A$2:$A$4, 0)),1)</f>
        <v>14.7</v>
      </c>
      <c r="L351" s="6" t="n">
        <f aca="false">ROUND(INDEX(Archetypes!$I$2:$I$127, MATCH(D351, Archetypes!$A$2:$A$127, 0))*INDEX(Unit_Grades!$C$2:$C$7, MATCH(F351, Unit_Grades!$A$2:$A$7, 0)),1)</f>
        <v>5</v>
      </c>
      <c r="M351" s="6" t="n">
        <f aca="false">ROUND(INDEX(Archetypes!$J$2:$J$127, MATCH(D351, Archetypes!$A$2:$A$127, 0))*INDEX(Unit_Grades!$D$2:$D$7, MATCH(F351, Unit_Grades!$A$2:$A$7, 0)),1)</f>
        <v>2.4</v>
      </c>
      <c r="N351" s="6" t="n">
        <f aca="false">ROUND(M351/24,2)</f>
        <v>0.1</v>
      </c>
    </row>
    <row r="352" customFormat="false" ht="15" hidden="false" customHeight="true" outlineLevel="0" collapsed="false">
      <c r="A352" s="6" t="n">
        <v>2</v>
      </c>
      <c r="B352" s="6" t="s">
        <v>1900</v>
      </c>
      <c r="C352" s="6" t="s">
        <v>1298</v>
      </c>
      <c r="D352" s="6" t="str">
        <f aca="false">A352&amp;"|"&amp;C352</f>
        <v>2|Pikeman</v>
      </c>
      <c r="E352" s="6" t="s">
        <v>1558</v>
      </c>
      <c r="F352" s="6" t="s">
        <v>1542</v>
      </c>
      <c r="G352" s="6" t="str">
        <f aca="false">INDEX(Archetypes!$D$2:$D$127, MATCH(D352, Archetypes!$A$2:$A$127, 0))</f>
        <v>Anti-Cavalry</v>
      </c>
      <c r="H352" s="6" t="n">
        <f aca="false">ROUND(INDEX(Archetypes!$E$2:$E$127, MATCH(D352, Archetypes!$A$2:$A$127, 0))*INDEX(Unit_Grades!$B$2:$B$7, MATCH(F352, Unit_Grades!$A$2:$A$7, 0))*INDEX(Unit_Paths!$B$2:$B$4, MATCH(E352, Unit_Paths!$A$2:$A$4, 0)),1)</f>
        <v>43.2</v>
      </c>
      <c r="I352" s="6" t="n">
        <f aca="false">ROUND(INDEX(Archetypes!$F$2:$F$127, MATCH(D352, Archetypes!$A$2:$A$127, 0))*INDEX(Unit_Grades!$B$2:$B$7, MATCH(F352, Unit_Grades!$A$2:$A$7, 0))*INDEX(Unit_Paths!$C$2:$C$4, MATCH(E352, Unit_Paths!$A$2:$A$4, 0)),1)</f>
        <v>52</v>
      </c>
      <c r="J352" s="6" t="n">
        <f aca="false">ROUND(INDEX(Archetypes!$G$2:$G$127, MATCH(D352, Archetypes!$A$2:$A$127, 0))*INDEX(Unit_Grades!$B$2:$B$7, MATCH(F352, Unit_Grades!$A$2:$A$7, 0))*INDEX(Unit_Paths!$D$2:$D$4, MATCH(E352, Unit_Paths!$A$2:$A$4, 0)),0)</f>
        <v>205</v>
      </c>
      <c r="K352" s="6" t="n">
        <f aca="false">ROUND(INDEX(Archetypes!$H$2:$H$127, MATCH(D352, Archetypes!$A$2:$A$127, 0))*INDEX(Unit_Paths!$E$2:$E$4, MATCH(E352, Unit_Paths!$A$2:$A$4, 0)),1)</f>
        <v>14.7</v>
      </c>
      <c r="L352" s="6" t="n">
        <f aca="false">ROUND(INDEX(Archetypes!$I$2:$I$127, MATCH(D352, Archetypes!$A$2:$A$127, 0))*INDEX(Unit_Grades!$C$2:$C$7, MATCH(F352, Unit_Grades!$A$2:$A$7, 0)),1)</f>
        <v>6.4</v>
      </c>
      <c r="M352" s="6" t="n">
        <f aca="false">ROUND(INDEX(Archetypes!$J$2:$J$127, MATCH(D352, Archetypes!$A$2:$A$127, 0))*INDEX(Unit_Grades!$D$2:$D$7, MATCH(F352, Unit_Grades!$A$2:$A$7, 0)),1)</f>
        <v>4.1</v>
      </c>
      <c r="N352" s="6" t="n">
        <f aca="false">ROUND(M352/24,2)</f>
        <v>0.17</v>
      </c>
    </row>
    <row r="353" customFormat="false" ht="15" hidden="false" customHeight="true" outlineLevel="0" collapsed="false">
      <c r="A353" s="6" t="n">
        <v>2</v>
      </c>
      <c r="B353" s="6" t="s">
        <v>1901</v>
      </c>
      <c r="C353" s="6" t="s">
        <v>1298</v>
      </c>
      <c r="D353" s="6" t="str">
        <f aca="false">A353&amp;"|"&amp;C353</f>
        <v>2|Pikeman</v>
      </c>
      <c r="E353" s="6" t="s">
        <v>1558</v>
      </c>
      <c r="F353" s="6" t="s">
        <v>1544</v>
      </c>
      <c r="G353" s="6" t="str">
        <f aca="false">INDEX(Archetypes!$D$2:$D$127, MATCH(D353, Archetypes!$A$2:$A$127, 0))</f>
        <v>Anti-Cavalry</v>
      </c>
      <c r="H353" s="6" t="n">
        <f aca="false">ROUND(INDEX(Archetypes!$E$2:$E$127, MATCH(D353, Archetypes!$A$2:$A$127, 0))*INDEX(Unit_Grades!$B$2:$B$7, MATCH(F353, Unit_Grades!$A$2:$A$7, 0))*INDEX(Unit_Paths!$B$2:$B$4, MATCH(E353, Unit_Paths!$A$2:$A$4, 0)),1)</f>
        <v>57.6</v>
      </c>
      <c r="I353" s="6" t="n">
        <f aca="false">ROUND(INDEX(Archetypes!$F$2:$F$127, MATCH(D353, Archetypes!$A$2:$A$127, 0))*INDEX(Unit_Grades!$B$2:$B$7, MATCH(F353, Unit_Grades!$A$2:$A$7, 0))*INDEX(Unit_Paths!$C$2:$C$4, MATCH(E353, Unit_Paths!$A$2:$A$4, 0)),1)</f>
        <v>69.4</v>
      </c>
      <c r="J353" s="6" t="n">
        <f aca="false">ROUND(INDEX(Archetypes!$G$2:$G$127, MATCH(D353, Archetypes!$A$2:$A$127, 0))*INDEX(Unit_Grades!$B$2:$B$7, MATCH(F353, Unit_Grades!$A$2:$A$7, 0))*INDEX(Unit_Paths!$D$2:$D$4, MATCH(E353, Unit_Paths!$A$2:$A$4, 0)),0)</f>
        <v>274</v>
      </c>
      <c r="K353" s="6" t="n">
        <f aca="false">ROUND(INDEX(Archetypes!$H$2:$H$127, MATCH(D353, Archetypes!$A$2:$A$127, 0))*INDEX(Unit_Paths!$E$2:$E$4, MATCH(E353, Unit_Paths!$A$2:$A$4, 0)),1)</f>
        <v>14.7</v>
      </c>
      <c r="L353" s="6" t="n">
        <f aca="false">ROUND(INDEX(Archetypes!$I$2:$I$127, MATCH(D353, Archetypes!$A$2:$A$127, 0))*INDEX(Unit_Grades!$C$2:$C$7, MATCH(F353, Unit_Grades!$A$2:$A$7, 0)),1)</f>
        <v>8.4</v>
      </c>
      <c r="M353" s="6" t="n">
        <f aca="false">ROUND(INDEX(Archetypes!$J$2:$J$127, MATCH(D353, Archetypes!$A$2:$A$127, 0))*INDEX(Unit_Grades!$D$2:$D$7, MATCH(F353, Unit_Grades!$A$2:$A$7, 0)),1)</f>
        <v>6.5</v>
      </c>
      <c r="N353" s="6" t="n">
        <f aca="false">ROUND(M353/24,2)</f>
        <v>0.27</v>
      </c>
    </row>
    <row r="354" customFormat="false" ht="15" hidden="false" customHeight="true" outlineLevel="0" collapsed="false">
      <c r="A354" s="6" t="n">
        <v>2</v>
      </c>
      <c r="B354" s="6" t="s">
        <v>1902</v>
      </c>
      <c r="C354" s="6" t="s">
        <v>1298</v>
      </c>
      <c r="D354" s="6" t="str">
        <f aca="false">A354&amp;"|"&amp;C354</f>
        <v>2|Pikeman</v>
      </c>
      <c r="E354" s="6" t="s">
        <v>1558</v>
      </c>
      <c r="F354" s="6" t="s">
        <v>1546</v>
      </c>
      <c r="G354" s="6" t="str">
        <f aca="false">INDEX(Archetypes!$D$2:$D$127, MATCH(D354, Archetypes!$A$2:$A$127, 0))</f>
        <v>Anti-Cavalry</v>
      </c>
      <c r="H354" s="6" t="n">
        <f aca="false">ROUND(INDEX(Archetypes!$E$2:$E$127, MATCH(D354, Archetypes!$A$2:$A$127, 0))*INDEX(Unit_Grades!$B$2:$B$7, MATCH(F354, Unit_Grades!$A$2:$A$7, 0))*INDEX(Unit_Paths!$B$2:$B$4, MATCH(E354, Unit_Paths!$A$2:$A$4, 0)),1)</f>
        <v>76.8</v>
      </c>
      <c r="I354" s="6" t="n">
        <f aca="false">ROUND(INDEX(Archetypes!$F$2:$F$127, MATCH(D354, Archetypes!$A$2:$A$127, 0))*INDEX(Unit_Grades!$B$2:$B$7, MATCH(F354, Unit_Grades!$A$2:$A$7, 0))*INDEX(Unit_Paths!$C$2:$C$4, MATCH(E354, Unit_Paths!$A$2:$A$4, 0)),1)</f>
        <v>92.5</v>
      </c>
      <c r="J354" s="6" t="n">
        <f aca="false">ROUND(INDEX(Archetypes!$G$2:$G$127, MATCH(D354, Archetypes!$A$2:$A$127, 0))*INDEX(Unit_Grades!$B$2:$B$7, MATCH(F354, Unit_Grades!$A$2:$A$7, 0))*INDEX(Unit_Paths!$D$2:$D$4, MATCH(E354, Unit_Paths!$A$2:$A$4, 0)),0)</f>
        <v>365</v>
      </c>
      <c r="K354" s="6" t="n">
        <f aca="false">ROUND(INDEX(Archetypes!$H$2:$H$127, MATCH(D354, Archetypes!$A$2:$A$127, 0))*INDEX(Unit_Paths!$E$2:$E$4, MATCH(E354, Unit_Paths!$A$2:$A$4, 0)),1)</f>
        <v>14.7</v>
      </c>
      <c r="L354" s="6" t="n">
        <f aca="false">ROUND(INDEX(Archetypes!$I$2:$I$127, MATCH(D354, Archetypes!$A$2:$A$127, 0))*INDEX(Unit_Grades!$C$2:$C$7, MATCH(F354, Unit_Grades!$A$2:$A$7, 0)),1)</f>
        <v>11.2</v>
      </c>
      <c r="M354" s="6" t="n">
        <f aca="false">ROUND(INDEX(Archetypes!$J$2:$J$127, MATCH(D354, Archetypes!$A$2:$A$127, 0))*INDEX(Unit_Grades!$D$2:$D$7, MATCH(F354, Unit_Grades!$A$2:$A$7, 0)),1)</f>
        <v>11.3</v>
      </c>
      <c r="N354" s="6" t="n">
        <f aca="false">ROUND(M354/24,2)</f>
        <v>0.47</v>
      </c>
    </row>
    <row r="355" customFormat="false" ht="15" hidden="false" customHeight="true" outlineLevel="0" collapsed="false">
      <c r="A355" s="6" t="n">
        <v>2</v>
      </c>
      <c r="B355" s="6" t="s">
        <v>1903</v>
      </c>
      <c r="C355" s="6" t="s">
        <v>1298</v>
      </c>
      <c r="D355" s="6" t="str">
        <f aca="false">A355&amp;"|"&amp;C355</f>
        <v>2|Pikeman</v>
      </c>
      <c r="E355" s="6" t="s">
        <v>1558</v>
      </c>
      <c r="F355" s="6" t="s">
        <v>1548</v>
      </c>
      <c r="G355" s="6" t="str">
        <f aca="false">INDEX(Archetypes!$D$2:$D$127, MATCH(D355, Archetypes!$A$2:$A$127, 0))</f>
        <v>Anti-Cavalry</v>
      </c>
      <c r="H355" s="6" t="n">
        <f aca="false">ROUND(INDEX(Archetypes!$E$2:$E$127, MATCH(D355, Archetypes!$A$2:$A$127, 0))*INDEX(Unit_Grades!$B$2:$B$7, MATCH(F355, Unit_Grades!$A$2:$A$7, 0))*INDEX(Unit_Paths!$B$2:$B$4, MATCH(E355, Unit_Paths!$A$2:$A$4, 0)),1)</f>
        <v>100.8</v>
      </c>
      <c r="I355" s="6" t="n">
        <f aca="false">ROUND(INDEX(Archetypes!$F$2:$F$127, MATCH(D355, Archetypes!$A$2:$A$127, 0))*INDEX(Unit_Grades!$B$2:$B$7, MATCH(F355, Unit_Grades!$A$2:$A$7, 0))*INDEX(Unit_Paths!$C$2:$C$4, MATCH(E355, Unit_Paths!$A$2:$A$4, 0)),1)</f>
        <v>121.4</v>
      </c>
      <c r="J355" s="6" t="n">
        <f aca="false">ROUND(INDEX(Archetypes!$G$2:$G$127, MATCH(D355, Archetypes!$A$2:$A$127, 0))*INDEX(Unit_Grades!$B$2:$B$7, MATCH(F355, Unit_Grades!$A$2:$A$7, 0))*INDEX(Unit_Paths!$D$2:$D$4, MATCH(E355, Unit_Paths!$A$2:$A$4, 0)),0)</f>
        <v>479</v>
      </c>
      <c r="K355" s="6" t="n">
        <f aca="false">ROUND(INDEX(Archetypes!$H$2:$H$127, MATCH(D355, Archetypes!$A$2:$A$127, 0))*INDEX(Unit_Paths!$E$2:$E$4, MATCH(E355, Unit_Paths!$A$2:$A$4, 0)),1)</f>
        <v>14.7</v>
      </c>
      <c r="L355" s="6" t="n">
        <f aca="false">ROUND(INDEX(Archetypes!$I$2:$I$127, MATCH(D355, Archetypes!$A$2:$A$127, 0))*INDEX(Unit_Grades!$C$2:$C$7, MATCH(F355, Unit_Grades!$A$2:$A$7, 0)),1)</f>
        <v>14.8</v>
      </c>
      <c r="M355" s="6" t="n">
        <f aca="false">ROUND(INDEX(Archetypes!$J$2:$J$127, MATCH(D355, Archetypes!$A$2:$A$127, 0))*INDEX(Unit_Grades!$D$2:$D$7, MATCH(F355, Unit_Grades!$A$2:$A$7, 0)),1)</f>
        <v>19.4</v>
      </c>
      <c r="N355" s="6" t="n">
        <f aca="false">ROUND(M355/24,2)</f>
        <v>0.81</v>
      </c>
    </row>
    <row r="356" customFormat="false" ht="15" hidden="false" customHeight="true" outlineLevel="0" collapsed="false">
      <c r="A356" s="6" t="n">
        <v>2</v>
      </c>
      <c r="B356" s="6" t="s">
        <v>1904</v>
      </c>
      <c r="C356" s="6" t="s">
        <v>1298</v>
      </c>
      <c r="D356" s="6" t="str">
        <f aca="false">A356&amp;"|"&amp;C356</f>
        <v>2|Pikeman</v>
      </c>
      <c r="E356" s="6" t="s">
        <v>1560</v>
      </c>
      <c r="F356" s="6" t="s">
        <v>1538</v>
      </c>
      <c r="G356" s="6" t="str">
        <f aca="false">INDEX(Archetypes!$D$2:$D$127, MATCH(D356, Archetypes!$A$2:$A$127, 0))</f>
        <v>Anti-Cavalry</v>
      </c>
      <c r="H356" s="6" t="n">
        <f aca="false">ROUND(INDEX(Archetypes!$E$2:$E$127, MATCH(D356, Archetypes!$A$2:$A$127, 0))*INDEX(Unit_Grades!$B$2:$B$7, MATCH(F356, Unit_Grades!$A$2:$A$7, 0))*INDEX(Unit_Paths!$B$2:$B$4, MATCH(E356, Unit_Paths!$A$2:$A$4, 0)),1)</f>
        <v>17</v>
      </c>
      <c r="I356" s="6" t="n">
        <f aca="false">ROUND(INDEX(Archetypes!$F$2:$F$127, MATCH(D356, Archetypes!$A$2:$A$127, 0))*INDEX(Unit_Grades!$B$2:$B$7, MATCH(F356, Unit_Grades!$A$2:$A$7, 0))*INDEX(Unit_Paths!$C$2:$C$4, MATCH(E356, Unit_Paths!$A$2:$A$4, 0)),1)</f>
        <v>42.5</v>
      </c>
      <c r="J356" s="6" t="n">
        <f aca="false">ROUND(INDEX(Archetypes!$G$2:$G$127, MATCH(D356, Archetypes!$A$2:$A$127, 0))*INDEX(Unit_Grades!$B$2:$B$7, MATCH(F356, Unit_Grades!$A$2:$A$7, 0))*INDEX(Unit_Paths!$D$2:$D$4, MATCH(E356, Unit_Paths!$A$2:$A$4, 0)),0)</f>
        <v>138</v>
      </c>
      <c r="K356" s="6" t="n">
        <f aca="false">ROUND(INDEX(Archetypes!$H$2:$H$127, MATCH(D356, Archetypes!$A$2:$A$127, 0))*INDEX(Unit_Paths!$E$2:$E$4, MATCH(E356, Unit_Paths!$A$2:$A$4, 0)),1)</f>
        <v>12.9</v>
      </c>
      <c r="L356" s="6" t="n">
        <f aca="false">ROUND(INDEX(Archetypes!$I$2:$I$127, MATCH(D356, Archetypes!$A$2:$A$127, 0))*INDEX(Unit_Grades!$C$2:$C$7, MATCH(F356, Unit_Grades!$A$2:$A$7, 0)),1)</f>
        <v>4</v>
      </c>
      <c r="M356" s="6" t="n">
        <f aca="false">ROUND(INDEX(Archetypes!$J$2:$J$127, MATCH(D356, Archetypes!$A$2:$A$127, 0))*INDEX(Unit_Grades!$D$2:$D$7, MATCH(F356, Unit_Grades!$A$2:$A$7, 0)),1)</f>
        <v>1.6</v>
      </c>
      <c r="N356" s="6" t="n">
        <f aca="false">ROUND(M356/24,2)</f>
        <v>0.07</v>
      </c>
    </row>
    <row r="357" customFormat="false" ht="15" hidden="false" customHeight="true" outlineLevel="0" collapsed="false">
      <c r="A357" s="6" t="n">
        <v>2</v>
      </c>
      <c r="B357" s="6" t="s">
        <v>1905</v>
      </c>
      <c r="C357" s="6" t="s">
        <v>1298</v>
      </c>
      <c r="D357" s="6" t="str">
        <f aca="false">A357&amp;"|"&amp;C357</f>
        <v>2|Pikeman</v>
      </c>
      <c r="E357" s="6" t="s">
        <v>1560</v>
      </c>
      <c r="F357" s="6" t="s">
        <v>1540</v>
      </c>
      <c r="G357" s="6" t="str">
        <f aca="false">INDEX(Archetypes!$D$2:$D$127, MATCH(D357, Archetypes!$A$2:$A$127, 0))</f>
        <v>Anti-Cavalry</v>
      </c>
      <c r="H357" s="6" t="n">
        <f aca="false">ROUND(INDEX(Archetypes!$E$2:$E$127, MATCH(D357, Archetypes!$A$2:$A$127, 0))*INDEX(Unit_Grades!$B$2:$B$7, MATCH(F357, Unit_Grades!$A$2:$A$7, 0))*INDEX(Unit_Paths!$B$2:$B$4, MATCH(E357, Unit_Paths!$A$2:$A$4, 0)),1)</f>
        <v>23</v>
      </c>
      <c r="I357" s="6" t="n">
        <f aca="false">ROUND(INDEX(Archetypes!$F$2:$F$127, MATCH(D357, Archetypes!$A$2:$A$127, 0))*INDEX(Unit_Grades!$B$2:$B$7, MATCH(F357, Unit_Grades!$A$2:$A$7, 0))*INDEX(Unit_Paths!$C$2:$C$4, MATCH(E357, Unit_Paths!$A$2:$A$4, 0)),1)</f>
        <v>57.4</v>
      </c>
      <c r="J357" s="6" t="n">
        <f aca="false">ROUND(INDEX(Archetypes!$G$2:$G$127, MATCH(D357, Archetypes!$A$2:$A$127, 0))*INDEX(Unit_Grades!$B$2:$B$7, MATCH(F357, Unit_Grades!$A$2:$A$7, 0))*INDEX(Unit_Paths!$D$2:$D$4, MATCH(E357, Unit_Paths!$A$2:$A$4, 0)),0)</f>
        <v>186</v>
      </c>
      <c r="K357" s="6" t="n">
        <f aca="false">ROUND(INDEX(Archetypes!$H$2:$H$127, MATCH(D357, Archetypes!$A$2:$A$127, 0))*INDEX(Unit_Paths!$E$2:$E$4, MATCH(E357, Unit_Paths!$A$2:$A$4, 0)),1)</f>
        <v>12.9</v>
      </c>
      <c r="L357" s="6" t="n">
        <f aca="false">ROUND(INDEX(Archetypes!$I$2:$I$127, MATCH(D357, Archetypes!$A$2:$A$127, 0))*INDEX(Unit_Grades!$C$2:$C$7, MATCH(F357, Unit_Grades!$A$2:$A$7, 0)),1)</f>
        <v>5</v>
      </c>
      <c r="M357" s="6" t="n">
        <f aca="false">ROUND(INDEX(Archetypes!$J$2:$J$127, MATCH(D357, Archetypes!$A$2:$A$127, 0))*INDEX(Unit_Grades!$D$2:$D$7, MATCH(F357, Unit_Grades!$A$2:$A$7, 0)),1)</f>
        <v>2.4</v>
      </c>
      <c r="N357" s="6" t="n">
        <f aca="false">ROUND(M357/24,2)</f>
        <v>0.1</v>
      </c>
    </row>
    <row r="358" customFormat="false" ht="15" hidden="false" customHeight="true" outlineLevel="0" collapsed="false">
      <c r="A358" s="6" t="n">
        <v>2</v>
      </c>
      <c r="B358" s="6" t="s">
        <v>1906</v>
      </c>
      <c r="C358" s="6" t="s">
        <v>1298</v>
      </c>
      <c r="D358" s="6" t="str">
        <f aca="false">A358&amp;"|"&amp;C358</f>
        <v>2|Pikeman</v>
      </c>
      <c r="E358" s="6" t="s">
        <v>1560</v>
      </c>
      <c r="F358" s="6" t="s">
        <v>1542</v>
      </c>
      <c r="G358" s="6" t="str">
        <f aca="false">INDEX(Archetypes!$D$2:$D$127, MATCH(D358, Archetypes!$A$2:$A$127, 0))</f>
        <v>Anti-Cavalry</v>
      </c>
      <c r="H358" s="6" t="n">
        <f aca="false">ROUND(INDEX(Archetypes!$E$2:$E$127, MATCH(D358, Archetypes!$A$2:$A$127, 0))*INDEX(Unit_Grades!$B$2:$B$7, MATCH(F358, Unit_Grades!$A$2:$A$7, 0))*INDEX(Unit_Paths!$B$2:$B$4, MATCH(E358, Unit_Paths!$A$2:$A$4, 0)),1)</f>
        <v>30.6</v>
      </c>
      <c r="I358" s="6" t="n">
        <f aca="false">ROUND(INDEX(Archetypes!$F$2:$F$127, MATCH(D358, Archetypes!$A$2:$A$127, 0))*INDEX(Unit_Grades!$B$2:$B$7, MATCH(F358, Unit_Grades!$A$2:$A$7, 0))*INDEX(Unit_Paths!$C$2:$C$4, MATCH(E358, Unit_Paths!$A$2:$A$4, 0)),1)</f>
        <v>76.5</v>
      </c>
      <c r="J358" s="6" t="n">
        <f aca="false">ROUND(INDEX(Archetypes!$G$2:$G$127, MATCH(D358, Archetypes!$A$2:$A$127, 0))*INDEX(Unit_Grades!$B$2:$B$7, MATCH(F358, Unit_Grades!$A$2:$A$7, 0))*INDEX(Unit_Paths!$D$2:$D$4, MATCH(E358, Unit_Paths!$A$2:$A$4, 0)),0)</f>
        <v>248</v>
      </c>
      <c r="K358" s="6" t="n">
        <f aca="false">ROUND(INDEX(Archetypes!$H$2:$H$127, MATCH(D358, Archetypes!$A$2:$A$127, 0))*INDEX(Unit_Paths!$E$2:$E$4, MATCH(E358, Unit_Paths!$A$2:$A$4, 0)),1)</f>
        <v>12.9</v>
      </c>
      <c r="L358" s="6" t="n">
        <f aca="false">ROUND(INDEX(Archetypes!$I$2:$I$127, MATCH(D358, Archetypes!$A$2:$A$127, 0))*INDEX(Unit_Grades!$C$2:$C$7, MATCH(F358, Unit_Grades!$A$2:$A$7, 0)),1)</f>
        <v>6.4</v>
      </c>
      <c r="M358" s="6" t="n">
        <f aca="false">ROUND(INDEX(Archetypes!$J$2:$J$127, MATCH(D358, Archetypes!$A$2:$A$127, 0))*INDEX(Unit_Grades!$D$2:$D$7, MATCH(F358, Unit_Grades!$A$2:$A$7, 0)),1)</f>
        <v>4.1</v>
      </c>
      <c r="N358" s="6" t="n">
        <f aca="false">ROUND(M358/24,2)</f>
        <v>0.17</v>
      </c>
    </row>
    <row r="359" customFormat="false" ht="15" hidden="false" customHeight="true" outlineLevel="0" collapsed="false">
      <c r="A359" s="6" t="n">
        <v>2</v>
      </c>
      <c r="B359" s="6" t="s">
        <v>1907</v>
      </c>
      <c r="C359" s="6" t="s">
        <v>1298</v>
      </c>
      <c r="D359" s="6" t="str">
        <f aca="false">A359&amp;"|"&amp;C359</f>
        <v>2|Pikeman</v>
      </c>
      <c r="E359" s="6" t="s">
        <v>1560</v>
      </c>
      <c r="F359" s="6" t="s">
        <v>1544</v>
      </c>
      <c r="G359" s="6" t="str">
        <f aca="false">INDEX(Archetypes!$D$2:$D$127, MATCH(D359, Archetypes!$A$2:$A$127, 0))</f>
        <v>Anti-Cavalry</v>
      </c>
      <c r="H359" s="6" t="n">
        <f aca="false">ROUND(INDEX(Archetypes!$E$2:$E$127, MATCH(D359, Archetypes!$A$2:$A$127, 0))*INDEX(Unit_Grades!$B$2:$B$7, MATCH(F359, Unit_Grades!$A$2:$A$7, 0))*INDEX(Unit_Paths!$B$2:$B$4, MATCH(E359, Unit_Paths!$A$2:$A$4, 0)),1)</f>
        <v>40.8</v>
      </c>
      <c r="I359" s="6" t="n">
        <f aca="false">ROUND(INDEX(Archetypes!$F$2:$F$127, MATCH(D359, Archetypes!$A$2:$A$127, 0))*INDEX(Unit_Grades!$B$2:$B$7, MATCH(F359, Unit_Grades!$A$2:$A$7, 0))*INDEX(Unit_Paths!$C$2:$C$4, MATCH(E359, Unit_Paths!$A$2:$A$4, 0)),1)</f>
        <v>102</v>
      </c>
      <c r="J359" s="6" t="n">
        <f aca="false">ROUND(INDEX(Archetypes!$G$2:$G$127, MATCH(D359, Archetypes!$A$2:$A$127, 0))*INDEX(Unit_Grades!$B$2:$B$7, MATCH(F359, Unit_Grades!$A$2:$A$7, 0))*INDEX(Unit_Paths!$D$2:$D$4, MATCH(E359, Unit_Paths!$A$2:$A$4, 0)),0)</f>
        <v>331</v>
      </c>
      <c r="K359" s="6" t="n">
        <f aca="false">ROUND(INDEX(Archetypes!$H$2:$H$127, MATCH(D359, Archetypes!$A$2:$A$127, 0))*INDEX(Unit_Paths!$E$2:$E$4, MATCH(E359, Unit_Paths!$A$2:$A$4, 0)),1)</f>
        <v>12.9</v>
      </c>
      <c r="L359" s="6" t="n">
        <f aca="false">ROUND(INDEX(Archetypes!$I$2:$I$127, MATCH(D359, Archetypes!$A$2:$A$127, 0))*INDEX(Unit_Grades!$C$2:$C$7, MATCH(F359, Unit_Grades!$A$2:$A$7, 0)),1)</f>
        <v>8.4</v>
      </c>
      <c r="M359" s="6" t="n">
        <f aca="false">ROUND(INDEX(Archetypes!$J$2:$J$127, MATCH(D359, Archetypes!$A$2:$A$127, 0))*INDEX(Unit_Grades!$D$2:$D$7, MATCH(F359, Unit_Grades!$A$2:$A$7, 0)),1)</f>
        <v>6.5</v>
      </c>
      <c r="N359" s="6" t="n">
        <f aca="false">ROUND(M359/24,2)</f>
        <v>0.27</v>
      </c>
    </row>
    <row r="360" customFormat="false" ht="15" hidden="false" customHeight="true" outlineLevel="0" collapsed="false">
      <c r="A360" s="6" t="n">
        <v>2</v>
      </c>
      <c r="B360" s="6" t="s">
        <v>1908</v>
      </c>
      <c r="C360" s="6" t="s">
        <v>1298</v>
      </c>
      <c r="D360" s="6" t="str">
        <f aca="false">A360&amp;"|"&amp;C360</f>
        <v>2|Pikeman</v>
      </c>
      <c r="E360" s="6" t="s">
        <v>1560</v>
      </c>
      <c r="F360" s="6" t="s">
        <v>1546</v>
      </c>
      <c r="G360" s="6" t="str">
        <f aca="false">INDEX(Archetypes!$D$2:$D$127, MATCH(D360, Archetypes!$A$2:$A$127, 0))</f>
        <v>Anti-Cavalry</v>
      </c>
      <c r="H360" s="6" t="n">
        <f aca="false">ROUND(INDEX(Archetypes!$E$2:$E$127, MATCH(D360, Archetypes!$A$2:$A$127, 0))*INDEX(Unit_Grades!$B$2:$B$7, MATCH(F360, Unit_Grades!$A$2:$A$7, 0))*INDEX(Unit_Paths!$B$2:$B$4, MATCH(E360, Unit_Paths!$A$2:$A$4, 0)),1)</f>
        <v>54.4</v>
      </c>
      <c r="I360" s="6" t="n">
        <f aca="false">ROUND(INDEX(Archetypes!$F$2:$F$127, MATCH(D360, Archetypes!$A$2:$A$127, 0))*INDEX(Unit_Grades!$B$2:$B$7, MATCH(F360, Unit_Grades!$A$2:$A$7, 0))*INDEX(Unit_Paths!$C$2:$C$4, MATCH(E360, Unit_Paths!$A$2:$A$4, 0)),1)</f>
        <v>136</v>
      </c>
      <c r="J360" s="6" t="n">
        <f aca="false">ROUND(INDEX(Archetypes!$G$2:$G$127, MATCH(D360, Archetypes!$A$2:$A$127, 0))*INDEX(Unit_Grades!$B$2:$B$7, MATCH(F360, Unit_Grades!$A$2:$A$7, 0))*INDEX(Unit_Paths!$D$2:$D$4, MATCH(E360, Unit_Paths!$A$2:$A$4, 0)),0)</f>
        <v>442</v>
      </c>
      <c r="K360" s="6" t="n">
        <f aca="false">ROUND(INDEX(Archetypes!$H$2:$H$127, MATCH(D360, Archetypes!$A$2:$A$127, 0))*INDEX(Unit_Paths!$E$2:$E$4, MATCH(E360, Unit_Paths!$A$2:$A$4, 0)),1)</f>
        <v>12.9</v>
      </c>
      <c r="L360" s="6" t="n">
        <f aca="false">ROUND(INDEX(Archetypes!$I$2:$I$127, MATCH(D360, Archetypes!$A$2:$A$127, 0))*INDEX(Unit_Grades!$C$2:$C$7, MATCH(F360, Unit_Grades!$A$2:$A$7, 0)),1)</f>
        <v>11.2</v>
      </c>
      <c r="M360" s="6" t="n">
        <f aca="false">ROUND(INDEX(Archetypes!$J$2:$J$127, MATCH(D360, Archetypes!$A$2:$A$127, 0))*INDEX(Unit_Grades!$D$2:$D$7, MATCH(F360, Unit_Grades!$A$2:$A$7, 0)),1)</f>
        <v>11.3</v>
      </c>
      <c r="N360" s="6" t="n">
        <f aca="false">ROUND(M360/24,2)</f>
        <v>0.47</v>
      </c>
    </row>
    <row r="361" customFormat="false" ht="15" hidden="false" customHeight="true" outlineLevel="0" collapsed="false">
      <c r="A361" s="6" t="n">
        <v>2</v>
      </c>
      <c r="B361" s="6" t="s">
        <v>1909</v>
      </c>
      <c r="C361" s="6" t="s">
        <v>1298</v>
      </c>
      <c r="D361" s="6" t="str">
        <f aca="false">A361&amp;"|"&amp;C361</f>
        <v>2|Pikeman</v>
      </c>
      <c r="E361" s="6" t="s">
        <v>1560</v>
      </c>
      <c r="F361" s="6" t="s">
        <v>1548</v>
      </c>
      <c r="G361" s="6" t="str">
        <f aca="false">INDEX(Archetypes!$D$2:$D$127, MATCH(D361, Archetypes!$A$2:$A$127, 0))</f>
        <v>Anti-Cavalry</v>
      </c>
      <c r="H361" s="6" t="n">
        <f aca="false">ROUND(INDEX(Archetypes!$E$2:$E$127, MATCH(D361, Archetypes!$A$2:$A$127, 0))*INDEX(Unit_Grades!$B$2:$B$7, MATCH(F361, Unit_Grades!$A$2:$A$7, 0))*INDEX(Unit_Paths!$B$2:$B$4, MATCH(E361, Unit_Paths!$A$2:$A$4, 0)),1)</f>
        <v>71.4</v>
      </c>
      <c r="I361" s="6" t="n">
        <f aca="false">ROUND(INDEX(Archetypes!$F$2:$F$127, MATCH(D361, Archetypes!$A$2:$A$127, 0))*INDEX(Unit_Grades!$B$2:$B$7, MATCH(F361, Unit_Grades!$A$2:$A$7, 0))*INDEX(Unit_Paths!$C$2:$C$4, MATCH(E361, Unit_Paths!$A$2:$A$4, 0)),1)</f>
        <v>178.5</v>
      </c>
      <c r="J361" s="6" t="n">
        <f aca="false">ROUND(INDEX(Archetypes!$G$2:$G$127, MATCH(D361, Archetypes!$A$2:$A$127, 0))*INDEX(Unit_Grades!$B$2:$B$7, MATCH(F361, Unit_Grades!$A$2:$A$7, 0))*INDEX(Unit_Paths!$D$2:$D$4, MATCH(E361, Unit_Paths!$A$2:$A$4, 0)),0)</f>
        <v>580</v>
      </c>
      <c r="K361" s="6" t="n">
        <f aca="false">ROUND(INDEX(Archetypes!$H$2:$H$127, MATCH(D361, Archetypes!$A$2:$A$127, 0))*INDEX(Unit_Paths!$E$2:$E$4, MATCH(E361, Unit_Paths!$A$2:$A$4, 0)),1)</f>
        <v>12.9</v>
      </c>
      <c r="L361" s="6" t="n">
        <f aca="false">ROUND(INDEX(Archetypes!$I$2:$I$127, MATCH(D361, Archetypes!$A$2:$A$127, 0))*INDEX(Unit_Grades!$C$2:$C$7, MATCH(F361, Unit_Grades!$A$2:$A$7, 0)),1)</f>
        <v>14.8</v>
      </c>
      <c r="M361" s="6" t="n">
        <f aca="false">ROUND(INDEX(Archetypes!$J$2:$J$127, MATCH(D361, Archetypes!$A$2:$A$127, 0))*INDEX(Unit_Grades!$D$2:$D$7, MATCH(F361, Unit_Grades!$A$2:$A$7, 0)),1)</f>
        <v>19.4</v>
      </c>
      <c r="N361" s="6" t="n">
        <f aca="false">ROUND(M361/24,2)</f>
        <v>0.81</v>
      </c>
    </row>
    <row r="362" customFormat="false" ht="15" hidden="false" customHeight="true" outlineLevel="0" collapsed="false">
      <c r="A362" s="6" t="n">
        <v>2</v>
      </c>
      <c r="B362" s="6" t="s">
        <v>1300</v>
      </c>
      <c r="C362" s="6" t="s">
        <v>1300</v>
      </c>
      <c r="D362" s="6" t="str">
        <f aca="false">A362&amp;"|"&amp;C362</f>
        <v>2|Crossbowman</v>
      </c>
      <c r="E362" s="6" t="s">
        <v>1556</v>
      </c>
      <c r="F362" s="6" t="s">
        <v>1538</v>
      </c>
      <c r="G362" s="6" t="str">
        <f aca="false">INDEX(Archetypes!$D$2:$D$127, MATCH(D362, Archetypes!$A$2:$A$127, 0))</f>
        <v>Ranged</v>
      </c>
      <c r="H362" s="6" t="n">
        <f aca="false">ROUND(INDEX(Archetypes!$E$2:$E$127, MATCH(D362, Archetypes!$A$2:$A$127, 0))*INDEX(Unit_Grades!$B$2:$B$7, MATCH(F362, Unit_Grades!$A$2:$A$7, 0))*INDEX(Unit_Paths!$B$2:$B$4, MATCH(E362, Unit_Paths!$A$2:$A$4, 0)),1)</f>
        <v>30</v>
      </c>
      <c r="I362" s="6" t="n">
        <f aca="false">ROUND(INDEX(Archetypes!$F$2:$F$127, MATCH(D362, Archetypes!$A$2:$A$127, 0))*INDEX(Unit_Grades!$B$2:$B$7, MATCH(F362, Unit_Grades!$A$2:$A$7, 0))*INDEX(Unit_Paths!$C$2:$C$4, MATCH(E362, Unit_Paths!$A$2:$A$4, 0)),1)</f>
        <v>12</v>
      </c>
      <c r="J362" s="6" t="n">
        <f aca="false">ROUND(INDEX(Archetypes!$G$2:$G$127, MATCH(D362, Archetypes!$A$2:$A$127, 0))*INDEX(Unit_Grades!$B$2:$B$7, MATCH(F362, Unit_Grades!$A$2:$A$7, 0))*INDEX(Unit_Paths!$D$2:$D$4, MATCH(E362, Unit_Paths!$A$2:$A$4, 0)),0)</f>
        <v>70</v>
      </c>
      <c r="K362" s="6" t="n">
        <f aca="false">ROUND(INDEX(Archetypes!$H$2:$H$127, MATCH(D362, Archetypes!$A$2:$A$127, 0))*INDEX(Unit_Paths!$E$2:$E$4, MATCH(E362, Unit_Paths!$A$2:$A$4, 0)),1)</f>
        <v>15</v>
      </c>
      <c r="L362" s="6" t="n">
        <f aca="false">ROUND(INDEX(Archetypes!$I$2:$I$127, MATCH(D362, Archetypes!$A$2:$A$127, 0))*INDEX(Unit_Grades!$C$2:$C$7, MATCH(F362, Unit_Grades!$A$2:$A$7, 0)),1)</f>
        <v>4</v>
      </c>
      <c r="M362" s="6" t="n">
        <f aca="false">ROUND(INDEX(Archetypes!$J$2:$J$127, MATCH(D362, Archetypes!$A$2:$A$127, 0))*INDEX(Unit_Grades!$D$2:$D$7, MATCH(F362, Unit_Grades!$A$2:$A$7, 0)),1)</f>
        <v>1.6</v>
      </c>
      <c r="N362" s="6" t="n">
        <f aca="false">ROUND(M362/24,2)</f>
        <v>0.07</v>
      </c>
    </row>
    <row r="363" customFormat="false" ht="15" hidden="false" customHeight="true" outlineLevel="0" collapsed="false">
      <c r="A363" s="6" t="n">
        <v>2</v>
      </c>
      <c r="B363" s="6" t="s">
        <v>1910</v>
      </c>
      <c r="C363" s="6" t="s">
        <v>1300</v>
      </c>
      <c r="D363" s="6" t="str">
        <f aca="false">A363&amp;"|"&amp;C363</f>
        <v>2|Crossbowman</v>
      </c>
      <c r="E363" s="6" t="s">
        <v>1556</v>
      </c>
      <c r="F363" s="6" t="s">
        <v>1540</v>
      </c>
      <c r="G363" s="6" t="str">
        <f aca="false">INDEX(Archetypes!$D$2:$D$127, MATCH(D363, Archetypes!$A$2:$A$127, 0))</f>
        <v>Ranged</v>
      </c>
      <c r="H363" s="6" t="n">
        <f aca="false">ROUND(INDEX(Archetypes!$E$2:$E$127, MATCH(D363, Archetypes!$A$2:$A$127, 0))*INDEX(Unit_Grades!$B$2:$B$7, MATCH(F363, Unit_Grades!$A$2:$A$7, 0))*INDEX(Unit_Paths!$B$2:$B$4, MATCH(E363, Unit_Paths!$A$2:$A$4, 0)),1)</f>
        <v>40.5</v>
      </c>
      <c r="I363" s="6" t="n">
        <f aca="false">ROUND(INDEX(Archetypes!$F$2:$F$127, MATCH(D363, Archetypes!$A$2:$A$127, 0))*INDEX(Unit_Grades!$B$2:$B$7, MATCH(F363, Unit_Grades!$A$2:$A$7, 0))*INDEX(Unit_Paths!$C$2:$C$4, MATCH(E363, Unit_Paths!$A$2:$A$4, 0)),1)</f>
        <v>16.2</v>
      </c>
      <c r="J363" s="6" t="n">
        <f aca="false">ROUND(INDEX(Archetypes!$G$2:$G$127, MATCH(D363, Archetypes!$A$2:$A$127, 0))*INDEX(Unit_Grades!$B$2:$B$7, MATCH(F363, Unit_Grades!$A$2:$A$7, 0))*INDEX(Unit_Paths!$D$2:$D$4, MATCH(E363, Unit_Paths!$A$2:$A$4, 0)),0)</f>
        <v>95</v>
      </c>
      <c r="K363" s="6" t="n">
        <f aca="false">ROUND(INDEX(Archetypes!$H$2:$H$127, MATCH(D363, Archetypes!$A$2:$A$127, 0))*INDEX(Unit_Paths!$E$2:$E$4, MATCH(E363, Unit_Paths!$A$2:$A$4, 0)),1)</f>
        <v>15</v>
      </c>
      <c r="L363" s="6" t="n">
        <f aca="false">ROUND(INDEX(Archetypes!$I$2:$I$127, MATCH(D363, Archetypes!$A$2:$A$127, 0))*INDEX(Unit_Grades!$C$2:$C$7, MATCH(F363, Unit_Grades!$A$2:$A$7, 0)),1)</f>
        <v>5</v>
      </c>
      <c r="M363" s="6" t="n">
        <f aca="false">ROUND(INDEX(Archetypes!$J$2:$J$127, MATCH(D363, Archetypes!$A$2:$A$127, 0))*INDEX(Unit_Grades!$D$2:$D$7, MATCH(F363, Unit_Grades!$A$2:$A$7, 0)),1)</f>
        <v>2.4</v>
      </c>
      <c r="N363" s="6" t="n">
        <f aca="false">ROUND(M363/24,2)</f>
        <v>0.1</v>
      </c>
    </row>
    <row r="364" customFormat="false" ht="15" hidden="false" customHeight="true" outlineLevel="0" collapsed="false">
      <c r="A364" s="6" t="n">
        <v>2</v>
      </c>
      <c r="B364" s="6" t="s">
        <v>1911</v>
      </c>
      <c r="C364" s="6" t="s">
        <v>1300</v>
      </c>
      <c r="D364" s="6" t="str">
        <f aca="false">A364&amp;"|"&amp;C364</f>
        <v>2|Crossbowman</v>
      </c>
      <c r="E364" s="6" t="s">
        <v>1556</v>
      </c>
      <c r="F364" s="6" t="s">
        <v>1542</v>
      </c>
      <c r="G364" s="6" t="str">
        <f aca="false">INDEX(Archetypes!$D$2:$D$127, MATCH(D364, Archetypes!$A$2:$A$127, 0))</f>
        <v>Ranged</v>
      </c>
      <c r="H364" s="6" t="n">
        <f aca="false">ROUND(INDEX(Archetypes!$E$2:$E$127, MATCH(D364, Archetypes!$A$2:$A$127, 0))*INDEX(Unit_Grades!$B$2:$B$7, MATCH(F364, Unit_Grades!$A$2:$A$7, 0))*INDEX(Unit_Paths!$B$2:$B$4, MATCH(E364, Unit_Paths!$A$2:$A$4, 0)),1)</f>
        <v>54</v>
      </c>
      <c r="I364" s="6" t="n">
        <f aca="false">ROUND(INDEX(Archetypes!$F$2:$F$127, MATCH(D364, Archetypes!$A$2:$A$127, 0))*INDEX(Unit_Grades!$B$2:$B$7, MATCH(F364, Unit_Grades!$A$2:$A$7, 0))*INDEX(Unit_Paths!$C$2:$C$4, MATCH(E364, Unit_Paths!$A$2:$A$4, 0)),1)</f>
        <v>21.6</v>
      </c>
      <c r="J364" s="6" t="n">
        <f aca="false">ROUND(INDEX(Archetypes!$G$2:$G$127, MATCH(D364, Archetypes!$A$2:$A$127, 0))*INDEX(Unit_Grades!$B$2:$B$7, MATCH(F364, Unit_Grades!$A$2:$A$7, 0))*INDEX(Unit_Paths!$D$2:$D$4, MATCH(E364, Unit_Paths!$A$2:$A$4, 0)),0)</f>
        <v>126</v>
      </c>
      <c r="K364" s="6" t="n">
        <f aca="false">ROUND(INDEX(Archetypes!$H$2:$H$127, MATCH(D364, Archetypes!$A$2:$A$127, 0))*INDEX(Unit_Paths!$E$2:$E$4, MATCH(E364, Unit_Paths!$A$2:$A$4, 0)),1)</f>
        <v>15</v>
      </c>
      <c r="L364" s="6" t="n">
        <f aca="false">ROUND(INDEX(Archetypes!$I$2:$I$127, MATCH(D364, Archetypes!$A$2:$A$127, 0))*INDEX(Unit_Grades!$C$2:$C$7, MATCH(F364, Unit_Grades!$A$2:$A$7, 0)),1)</f>
        <v>6.4</v>
      </c>
      <c r="M364" s="6" t="n">
        <f aca="false">ROUND(INDEX(Archetypes!$J$2:$J$127, MATCH(D364, Archetypes!$A$2:$A$127, 0))*INDEX(Unit_Grades!$D$2:$D$7, MATCH(F364, Unit_Grades!$A$2:$A$7, 0)),1)</f>
        <v>4.1</v>
      </c>
      <c r="N364" s="6" t="n">
        <f aca="false">ROUND(M364/24,2)</f>
        <v>0.17</v>
      </c>
    </row>
    <row r="365" customFormat="false" ht="15" hidden="false" customHeight="true" outlineLevel="0" collapsed="false">
      <c r="A365" s="6" t="n">
        <v>2</v>
      </c>
      <c r="B365" s="6" t="s">
        <v>1912</v>
      </c>
      <c r="C365" s="6" t="s">
        <v>1300</v>
      </c>
      <c r="D365" s="6" t="str">
        <f aca="false">A365&amp;"|"&amp;C365</f>
        <v>2|Crossbowman</v>
      </c>
      <c r="E365" s="6" t="s">
        <v>1556</v>
      </c>
      <c r="F365" s="6" t="s">
        <v>1544</v>
      </c>
      <c r="G365" s="6" t="str">
        <f aca="false">INDEX(Archetypes!$D$2:$D$127, MATCH(D365, Archetypes!$A$2:$A$127, 0))</f>
        <v>Ranged</v>
      </c>
      <c r="H365" s="6" t="n">
        <f aca="false">ROUND(INDEX(Archetypes!$E$2:$E$127, MATCH(D365, Archetypes!$A$2:$A$127, 0))*INDEX(Unit_Grades!$B$2:$B$7, MATCH(F365, Unit_Grades!$A$2:$A$7, 0))*INDEX(Unit_Paths!$B$2:$B$4, MATCH(E365, Unit_Paths!$A$2:$A$4, 0)),1)</f>
        <v>72</v>
      </c>
      <c r="I365" s="6" t="n">
        <f aca="false">ROUND(INDEX(Archetypes!$F$2:$F$127, MATCH(D365, Archetypes!$A$2:$A$127, 0))*INDEX(Unit_Grades!$B$2:$B$7, MATCH(F365, Unit_Grades!$A$2:$A$7, 0))*INDEX(Unit_Paths!$C$2:$C$4, MATCH(E365, Unit_Paths!$A$2:$A$4, 0)),1)</f>
        <v>28.8</v>
      </c>
      <c r="J365" s="6" t="n">
        <f aca="false">ROUND(INDEX(Archetypes!$G$2:$G$127, MATCH(D365, Archetypes!$A$2:$A$127, 0))*INDEX(Unit_Grades!$B$2:$B$7, MATCH(F365, Unit_Grades!$A$2:$A$7, 0))*INDEX(Unit_Paths!$D$2:$D$4, MATCH(E365, Unit_Paths!$A$2:$A$4, 0)),0)</f>
        <v>168</v>
      </c>
      <c r="K365" s="6" t="n">
        <f aca="false">ROUND(INDEX(Archetypes!$H$2:$H$127, MATCH(D365, Archetypes!$A$2:$A$127, 0))*INDEX(Unit_Paths!$E$2:$E$4, MATCH(E365, Unit_Paths!$A$2:$A$4, 0)),1)</f>
        <v>15</v>
      </c>
      <c r="L365" s="6" t="n">
        <f aca="false">ROUND(INDEX(Archetypes!$I$2:$I$127, MATCH(D365, Archetypes!$A$2:$A$127, 0))*INDEX(Unit_Grades!$C$2:$C$7, MATCH(F365, Unit_Grades!$A$2:$A$7, 0)),1)</f>
        <v>8.4</v>
      </c>
      <c r="M365" s="6" t="n">
        <f aca="false">ROUND(INDEX(Archetypes!$J$2:$J$127, MATCH(D365, Archetypes!$A$2:$A$127, 0))*INDEX(Unit_Grades!$D$2:$D$7, MATCH(F365, Unit_Grades!$A$2:$A$7, 0)),1)</f>
        <v>6.5</v>
      </c>
      <c r="N365" s="6" t="n">
        <f aca="false">ROUND(M365/24,2)</f>
        <v>0.27</v>
      </c>
    </row>
    <row r="366" customFormat="false" ht="15" hidden="false" customHeight="true" outlineLevel="0" collapsed="false">
      <c r="A366" s="6" t="n">
        <v>2</v>
      </c>
      <c r="B366" s="6" t="s">
        <v>1913</v>
      </c>
      <c r="C366" s="6" t="s">
        <v>1300</v>
      </c>
      <c r="D366" s="6" t="str">
        <f aca="false">A366&amp;"|"&amp;C366</f>
        <v>2|Crossbowman</v>
      </c>
      <c r="E366" s="6" t="s">
        <v>1556</v>
      </c>
      <c r="F366" s="6" t="s">
        <v>1546</v>
      </c>
      <c r="G366" s="6" t="str">
        <f aca="false">INDEX(Archetypes!$D$2:$D$127, MATCH(D366, Archetypes!$A$2:$A$127, 0))</f>
        <v>Ranged</v>
      </c>
      <c r="H366" s="6" t="n">
        <f aca="false">ROUND(INDEX(Archetypes!$E$2:$E$127, MATCH(D366, Archetypes!$A$2:$A$127, 0))*INDEX(Unit_Grades!$B$2:$B$7, MATCH(F366, Unit_Grades!$A$2:$A$7, 0))*INDEX(Unit_Paths!$B$2:$B$4, MATCH(E366, Unit_Paths!$A$2:$A$4, 0)),1)</f>
        <v>96</v>
      </c>
      <c r="I366" s="6" t="n">
        <f aca="false">ROUND(INDEX(Archetypes!$F$2:$F$127, MATCH(D366, Archetypes!$A$2:$A$127, 0))*INDEX(Unit_Grades!$B$2:$B$7, MATCH(F366, Unit_Grades!$A$2:$A$7, 0))*INDEX(Unit_Paths!$C$2:$C$4, MATCH(E366, Unit_Paths!$A$2:$A$4, 0)),1)</f>
        <v>38.4</v>
      </c>
      <c r="J366" s="6" t="n">
        <f aca="false">ROUND(INDEX(Archetypes!$G$2:$G$127, MATCH(D366, Archetypes!$A$2:$A$127, 0))*INDEX(Unit_Grades!$B$2:$B$7, MATCH(F366, Unit_Grades!$A$2:$A$7, 0))*INDEX(Unit_Paths!$D$2:$D$4, MATCH(E366, Unit_Paths!$A$2:$A$4, 0)),0)</f>
        <v>224</v>
      </c>
      <c r="K366" s="6" t="n">
        <f aca="false">ROUND(INDEX(Archetypes!$H$2:$H$127, MATCH(D366, Archetypes!$A$2:$A$127, 0))*INDEX(Unit_Paths!$E$2:$E$4, MATCH(E366, Unit_Paths!$A$2:$A$4, 0)),1)</f>
        <v>15</v>
      </c>
      <c r="L366" s="6" t="n">
        <f aca="false">ROUND(INDEX(Archetypes!$I$2:$I$127, MATCH(D366, Archetypes!$A$2:$A$127, 0))*INDEX(Unit_Grades!$C$2:$C$7, MATCH(F366, Unit_Grades!$A$2:$A$7, 0)),1)</f>
        <v>11.2</v>
      </c>
      <c r="M366" s="6" t="n">
        <f aca="false">ROUND(INDEX(Archetypes!$J$2:$J$127, MATCH(D366, Archetypes!$A$2:$A$127, 0))*INDEX(Unit_Grades!$D$2:$D$7, MATCH(F366, Unit_Grades!$A$2:$A$7, 0)),1)</f>
        <v>11.3</v>
      </c>
      <c r="N366" s="6" t="n">
        <f aca="false">ROUND(M366/24,2)</f>
        <v>0.47</v>
      </c>
    </row>
    <row r="367" customFormat="false" ht="15" hidden="false" customHeight="true" outlineLevel="0" collapsed="false">
      <c r="A367" s="6" t="n">
        <v>2</v>
      </c>
      <c r="B367" s="6" t="s">
        <v>1914</v>
      </c>
      <c r="C367" s="6" t="s">
        <v>1300</v>
      </c>
      <c r="D367" s="6" t="str">
        <f aca="false">A367&amp;"|"&amp;C367</f>
        <v>2|Crossbowman</v>
      </c>
      <c r="E367" s="6" t="s">
        <v>1556</v>
      </c>
      <c r="F367" s="6" t="s">
        <v>1548</v>
      </c>
      <c r="G367" s="6" t="str">
        <f aca="false">INDEX(Archetypes!$D$2:$D$127, MATCH(D367, Archetypes!$A$2:$A$127, 0))</f>
        <v>Ranged</v>
      </c>
      <c r="H367" s="6" t="n">
        <f aca="false">ROUND(INDEX(Archetypes!$E$2:$E$127, MATCH(D367, Archetypes!$A$2:$A$127, 0))*INDEX(Unit_Grades!$B$2:$B$7, MATCH(F367, Unit_Grades!$A$2:$A$7, 0))*INDEX(Unit_Paths!$B$2:$B$4, MATCH(E367, Unit_Paths!$A$2:$A$4, 0)),1)</f>
        <v>126</v>
      </c>
      <c r="I367" s="6" t="n">
        <f aca="false">ROUND(INDEX(Archetypes!$F$2:$F$127, MATCH(D367, Archetypes!$A$2:$A$127, 0))*INDEX(Unit_Grades!$B$2:$B$7, MATCH(F367, Unit_Grades!$A$2:$A$7, 0))*INDEX(Unit_Paths!$C$2:$C$4, MATCH(E367, Unit_Paths!$A$2:$A$4, 0)),1)</f>
        <v>50.4</v>
      </c>
      <c r="J367" s="6" t="n">
        <f aca="false">ROUND(INDEX(Archetypes!$G$2:$G$127, MATCH(D367, Archetypes!$A$2:$A$127, 0))*INDEX(Unit_Grades!$B$2:$B$7, MATCH(F367, Unit_Grades!$A$2:$A$7, 0))*INDEX(Unit_Paths!$D$2:$D$4, MATCH(E367, Unit_Paths!$A$2:$A$4, 0)),0)</f>
        <v>294</v>
      </c>
      <c r="K367" s="6" t="n">
        <f aca="false">ROUND(INDEX(Archetypes!$H$2:$H$127, MATCH(D367, Archetypes!$A$2:$A$127, 0))*INDEX(Unit_Paths!$E$2:$E$4, MATCH(E367, Unit_Paths!$A$2:$A$4, 0)),1)</f>
        <v>15</v>
      </c>
      <c r="L367" s="6" t="n">
        <f aca="false">ROUND(INDEX(Archetypes!$I$2:$I$127, MATCH(D367, Archetypes!$A$2:$A$127, 0))*INDEX(Unit_Grades!$C$2:$C$7, MATCH(F367, Unit_Grades!$A$2:$A$7, 0)),1)</f>
        <v>14.8</v>
      </c>
      <c r="M367" s="6" t="n">
        <f aca="false">ROUND(INDEX(Archetypes!$J$2:$J$127, MATCH(D367, Archetypes!$A$2:$A$127, 0))*INDEX(Unit_Grades!$D$2:$D$7, MATCH(F367, Unit_Grades!$A$2:$A$7, 0)),1)</f>
        <v>19.4</v>
      </c>
      <c r="N367" s="6" t="n">
        <f aca="false">ROUND(M367/24,2)</f>
        <v>0.81</v>
      </c>
    </row>
    <row r="368" customFormat="false" ht="15" hidden="false" customHeight="true" outlineLevel="0" collapsed="false">
      <c r="A368" s="6" t="n">
        <v>2</v>
      </c>
      <c r="B368" s="6" t="s">
        <v>1915</v>
      </c>
      <c r="C368" s="6" t="s">
        <v>1300</v>
      </c>
      <c r="D368" s="6" t="str">
        <f aca="false">A368&amp;"|"&amp;C368</f>
        <v>2|Crossbowman</v>
      </c>
      <c r="E368" s="6" t="s">
        <v>1558</v>
      </c>
      <c r="F368" s="6" t="s">
        <v>1538</v>
      </c>
      <c r="G368" s="6" t="str">
        <f aca="false">INDEX(Archetypes!$D$2:$D$127, MATCH(D368, Archetypes!$A$2:$A$127, 0))</f>
        <v>Ranged</v>
      </c>
      <c r="H368" s="6" t="n">
        <f aca="false">ROUND(INDEX(Archetypes!$E$2:$E$127, MATCH(D368, Archetypes!$A$2:$A$127, 0))*INDEX(Unit_Grades!$B$2:$B$7, MATCH(F368, Unit_Grades!$A$2:$A$7, 0))*INDEX(Unit_Paths!$B$2:$B$4, MATCH(E368, Unit_Paths!$A$2:$A$4, 0)),1)</f>
        <v>36</v>
      </c>
      <c r="I368" s="6" t="n">
        <f aca="false">ROUND(INDEX(Archetypes!$F$2:$F$127, MATCH(D368, Archetypes!$A$2:$A$127, 0))*INDEX(Unit_Grades!$B$2:$B$7, MATCH(F368, Unit_Grades!$A$2:$A$7, 0))*INDEX(Unit_Paths!$C$2:$C$4, MATCH(E368, Unit_Paths!$A$2:$A$4, 0)),1)</f>
        <v>10.2</v>
      </c>
      <c r="J368" s="6" t="n">
        <f aca="false">ROUND(INDEX(Archetypes!$G$2:$G$127, MATCH(D368, Archetypes!$A$2:$A$127, 0))*INDEX(Unit_Grades!$B$2:$B$7, MATCH(F368, Unit_Grades!$A$2:$A$7, 0))*INDEX(Unit_Paths!$D$2:$D$4, MATCH(E368, Unit_Paths!$A$2:$A$4, 0)),0)</f>
        <v>67</v>
      </c>
      <c r="K368" s="6" t="n">
        <f aca="false">ROUND(INDEX(Archetypes!$H$2:$H$127, MATCH(D368, Archetypes!$A$2:$A$127, 0))*INDEX(Unit_Paths!$E$2:$E$4, MATCH(E368, Unit_Paths!$A$2:$A$4, 0)),1)</f>
        <v>15.8</v>
      </c>
      <c r="L368" s="6" t="n">
        <f aca="false">ROUND(INDEX(Archetypes!$I$2:$I$127, MATCH(D368, Archetypes!$A$2:$A$127, 0))*INDEX(Unit_Grades!$C$2:$C$7, MATCH(F368, Unit_Grades!$A$2:$A$7, 0)),1)</f>
        <v>4</v>
      </c>
      <c r="M368" s="6" t="n">
        <f aca="false">ROUND(INDEX(Archetypes!$J$2:$J$127, MATCH(D368, Archetypes!$A$2:$A$127, 0))*INDEX(Unit_Grades!$D$2:$D$7, MATCH(F368, Unit_Grades!$A$2:$A$7, 0)),1)</f>
        <v>1.6</v>
      </c>
      <c r="N368" s="6" t="n">
        <f aca="false">ROUND(M368/24,2)</f>
        <v>0.07</v>
      </c>
    </row>
    <row r="369" customFormat="false" ht="15" hidden="false" customHeight="true" outlineLevel="0" collapsed="false">
      <c r="A369" s="6" t="n">
        <v>2</v>
      </c>
      <c r="B369" s="6" t="s">
        <v>1916</v>
      </c>
      <c r="C369" s="6" t="s">
        <v>1300</v>
      </c>
      <c r="D369" s="6" t="str">
        <f aca="false">A369&amp;"|"&amp;C369</f>
        <v>2|Crossbowman</v>
      </c>
      <c r="E369" s="6" t="s">
        <v>1558</v>
      </c>
      <c r="F369" s="6" t="s">
        <v>1540</v>
      </c>
      <c r="G369" s="6" t="str">
        <f aca="false">INDEX(Archetypes!$D$2:$D$127, MATCH(D369, Archetypes!$A$2:$A$127, 0))</f>
        <v>Ranged</v>
      </c>
      <c r="H369" s="6" t="n">
        <f aca="false">ROUND(INDEX(Archetypes!$E$2:$E$127, MATCH(D369, Archetypes!$A$2:$A$127, 0))*INDEX(Unit_Grades!$B$2:$B$7, MATCH(F369, Unit_Grades!$A$2:$A$7, 0))*INDEX(Unit_Paths!$B$2:$B$4, MATCH(E369, Unit_Paths!$A$2:$A$4, 0)),1)</f>
        <v>48.6</v>
      </c>
      <c r="I369" s="6" t="n">
        <f aca="false">ROUND(INDEX(Archetypes!$F$2:$F$127, MATCH(D369, Archetypes!$A$2:$A$127, 0))*INDEX(Unit_Grades!$B$2:$B$7, MATCH(F369, Unit_Grades!$A$2:$A$7, 0))*INDEX(Unit_Paths!$C$2:$C$4, MATCH(E369, Unit_Paths!$A$2:$A$4, 0)),1)</f>
        <v>13.8</v>
      </c>
      <c r="J369" s="6" t="n">
        <f aca="false">ROUND(INDEX(Archetypes!$G$2:$G$127, MATCH(D369, Archetypes!$A$2:$A$127, 0))*INDEX(Unit_Grades!$B$2:$B$7, MATCH(F369, Unit_Grades!$A$2:$A$7, 0))*INDEX(Unit_Paths!$D$2:$D$4, MATCH(E369, Unit_Paths!$A$2:$A$4, 0)),0)</f>
        <v>90</v>
      </c>
      <c r="K369" s="6" t="n">
        <f aca="false">ROUND(INDEX(Archetypes!$H$2:$H$127, MATCH(D369, Archetypes!$A$2:$A$127, 0))*INDEX(Unit_Paths!$E$2:$E$4, MATCH(E369, Unit_Paths!$A$2:$A$4, 0)),1)</f>
        <v>15.8</v>
      </c>
      <c r="L369" s="6" t="n">
        <f aca="false">ROUND(INDEX(Archetypes!$I$2:$I$127, MATCH(D369, Archetypes!$A$2:$A$127, 0))*INDEX(Unit_Grades!$C$2:$C$7, MATCH(F369, Unit_Grades!$A$2:$A$7, 0)),1)</f>
        <v>5</v>
      </c>
      <c r="M369" s="6" t="n">
        <f aca="false">ROUND(INDEX(Archetypes!$J$2:$J$127, MATCH(D369, Archetypes!$A$2:$A$127, 0))*INDEX(Unit_Grades!$D$2:$D$7, MATCH(F369, Unit_Grades!$A$2:$A$7, 0)),1)</f>
        <v>2.4</v>
      </c>
      <c r="N369" s="6" t="n">
        <f aca="false">ROUND(M369/24,2)</f>
        <v>0.1</v>
      </c>
    </row>
    <row r="370" customFormat="false" ht="15" hidden="false" customHeight="true" outlineLevel="0" collapsed="false">
      <c r="A370" s="6" t="n">
        <v>2</v>
      </c>
      <c r="B370" s="6" t="s">
        <v>1917</v>
      </c>
      <c r="C370" s="6" t="s">
        <v>1300</v>
      </c>
      <c r="D370" s="6" t="str">
        <f aca="false">A370&amp;"|"&amp;C370</f>
        <v>2|Crossbowman</v>
      </c>
      <c r="E370" s="6" t="s">
        <v>1558</v>
      </c>
      <c r="F370" s="6" t="s">
        <v>1542</v>
      </c>
      <c r="G370" s="6" t="str">
        <f aca="false">INDEX(Archetypes!$D$2:$D$127, MATCH(D370, Archetypes!$A$2:$A$127, 0))</f>
        <v>Ranged</v>
      </c>
      <c r="H370" s="6" t="n">
        <f aca="false">ROUND(INDEX(Archetypes!$E$2:$E$127, MATCH(D370, Archetypes!$A$2:$A$127, 0))*INDEX(Unit_Grades!$B$2:$B$7, MATCH(F370, Unit_Grades!$A$2:$A$7, 0))*INDEX(Unit_Paths!$B$2:$B$4, MATCH(E370, Unit_Paths!$A$2:$A$4, 0)),1)</f>
        <v>64.8</v>
      </c>
      <c r="I370" s="6" t="n">
        <f aca="false">ROUND(INDEX(Archetypes!$F$2:$F$127, MATCH(D370, Archetypes!$A$2:$A$127, 0))*INDEX(Unit_Grades!$B$2:$B$7, MATCH(F370, Unit_Grades!$A$2:$A$7, 0))*INDEX(Unit_Paths!$C$2:$C$4, MATCH(E370, Unit_Paths!$A$2:$A$4, 0)),1)</f>
        <v>18.4</v>
      </c>
      <c r="J370" s="6" t="n">
        <f aca="false">ROUND(INDEX(Archetypes!$G$2:$G$127, MATCH(D370, Archetypes!$A$2:$A$127, 0))*INDEX(Unit_Grades!$B$2:$B$7, MATCH(F370, Unit_Grades!$A$2:$A$7, 0))*INDEX(Unit_Paths!$D$2:$D$4, MATCH(E370, Unit_Paths!$A$2:$A$4, 0)),0)</f>
        <v>120</v>
      </c>
      <c r="K370" s="6" t="n">
        <f aca="false">ROUND(INDEX(Archetypes!$H$2:$H$127, MATCH(D370, Archetypes!$A$2:$A$127, 0))*INDEX(Unit_Paths!$E$2:$E$4, MATCH(E370, Unit_Paths!$A$2:$A$4, 0)),1)</f>
        <v>15.8</v>
      </c>
      <c r="L370" s="6" t="n">
        <f aca="false">ROUND(INDEX(Archetypes!$I$2:$I$127, MATCH(D370, Archetypes!$A$2:$A$127, 0))*INDEX(Unit_Grades!$C$2:$C$7, MATCH(F370, Unit_Grades!$A$2:$A$7, 0)),1)</f>
        <v>6.4</v>
      </c>
      <c r="M370" s="6" t="n">
        <f aca="false">ROUND(INDEX(Archetypes!$J$2:$J$127, MATCH(D370, Archetypes!$A$2:$A$127, 0))*INDEX(Unit_Grades!$D$2:$D$7, MATCH(F370, Unit_Grades!$A$2:$A$7, 0)),1)</f>
        <v>4.1</v>
      </c>
      <c r="N370" s="6" t="n">
        <f aca="false">ROUND(M370/24,2)</f>
        <v>0.17</v>
      </c>
    </row>
    <row r="371" customFormat="false" ht="15" hidden="false" customHeight="true" outlineLevel="0" collapsed="false">
      <c r="A371" s="6" t="n">
        <v>2</v>
      </c>
      <c r="B371" s="6" t="s">
        <v>1918</v>
      </c>
      <c r="C371" s="6" t="s">
        <v>1300</v>
      </c>
      <c r="D371" s="6" t="str">
        <f aca="false">A371&amp;"|"&amp;C371</f>
        <v>2|Crossbowman</v>
      </c>
      <c r="E371" s="6" t="s">
        <v>1558</v>
      </c>
      <c r="F371" s="6" t="s">
        <v>1544</v>
      </c>
      <c r="G371" s="6" t="str">
        <f aca="false">INDEX(Archetypes!$D$2:$D$127, MATCH(D371, Archetypes!$A$2:$A$127, 0))</f>
        <v>Ranged</v>
      </c>
      <c r="H371" s="6" t="n">
        <f aca="false">ROUND(INDEX(Archetypes!$E$2:$E$127, MATCH(D371, Archetypes!$A$2:$A$127, 0))*INDEX(Unit_Grades!$B$2:$B$7, MATCH(F371, Unit_Grades!$A$2:$A$7, 0))*INDEX(Unit_Paths!$B$2:$B$4, MATCH(E371, Unit_Paths!$A$2:$A$4, 0)),1)</f>
        <v>86.4</v>
      </c>
      <c r="I371" s="6" t="n">
        <f aca="false">ROUND(INDEX(Archetypes!$F$2:$F$127, MATCH(D371, Archetypes!$A$2:$A$127, 0))*INDEX(Unit_Grades!$B$2:$B$7, MATCH(F371, Unit_Grades!$A$2:$A$7, 0))*INDEX(Unit_Paths!$C$2:$C$4, MATCH(E371, Unit_Paths!$A$2:$A$4, 0)),1)</f>
        <v>24.5</v>
      </c>
      <c r="J371" s="6" t="n">
        <f aca="false">ROUND(INDEX(Archetypes!$G$2:$G$127, MATCH(D371, Archetypes!$A$2:$A$127, 0))*INDEX(Unit_Grades!$B$2:$B$7, MATCH(F371, Unit_Grades!$A$2:$A$7, 0))*INDEX(Unit_Paths!$D$2:$D$4, MATCH(E371, Unit_Paths!$A$2:$A$4, 0)),0)</f>
        <v>160</v>
      </c>
      <c r="K371" s="6" t="n">
        <f aca="false">ROUND(INDEX(Archetypes!$H$2:$H$127, MATCH(D371, Archetypes!$A$2:$A$127, 0))*INDEX(Unit_Paths!$E$2:$E$4, MATCH(E371, Unit_Paths!$A$2:$A$4, 0)),1)</f>
        <v>15.8</v>
      </c>
      <c r="L371" s="6" t="n">
        <f aca="false">ROUND(INDEX(Archetypes!$I$2:$I$127, MATCH(D371, Archetypes!$A$2:$A$127, 0))*INDEX(Unit_Grades!$C$2:$C$7, MATCH(F371, Unit_Grades!$A$2:$A$7, 0)),1)</f>
        <v>8.4</v>
      </c>
      <c r="M371" s="6" t="n">
        <f aca="false">ROUND(INDEX(Archetypes!$J$2:$J$127, MATCH(D371, Archetypes!$A$2:$A$127, 0))*INDEX(Unit_Grades!$D$2:$D$7, MATCH(F371, Unit_Grades!$A$2:$A$7, 0)),1)</f>
        <v>6.5</v>
      </c>
      <c r="N371" s="6" t="n">
        <f aca="false">ROUND(M371/24,2)</f>
        <v>0.27</v>
      </c>
    </row>
    <row r="372" customFormat="false" ht="15" hidden="false" customHeight="true" outlineLevel="0" collapsed="false">
      <c r="A372" s="6" t="n">
        <v>2</v>
      </c>
      <c r="B372" s="6" t="s">
        <v>1919</v>
      </c>
      <c r="C372" s="6" t="s">
        <v>1300</v>
      </c>
      <c r="D372" s="6" t="str">
        <f aca="false">A372&amp;"|"&amp;C372</f>
        <v>2|Crossbowman</v>
      </c>
      <c r="E372" s="6" t="s">
        <v>1558</v>
      </c>
      <c r="F372" s="6" t="s">
        <v>1546</v>
      </c>
      <c r="G372" s="6" t="str">
        <f aca="false">INDEX(Archetypes!$D$2:$D$127, MATCH(D372, Archetypes!$A$2:$A$127, 0))</f>
        <v>Ranged</v>
      </c>
      <c r="H372" s="6" t="n">
        <f aca="false">ROUND(INDEX(Archetypes!$E$2:$E$127, MATCH(D372, Archetypes!$A$2:$A$127, 0))*INDEX(Unit_Grades!$B$2:$B$7, MATCH(F372, Unit_Grades!$A$2:$A$7, 0))*INDEX(Unit_Paths!$B$2:$B$4, MATCH(E372, Unit_Paths!$A$2:$A$4, 0)),1)</f>
        <v>115.2</v>
      </c>
      <c r="I372" s="6" t="n">
        <f aca="false">ROUND(INDEX(Archetypes!$F$2:$F$127, MATCH(D372, Archetypes!$A$2:$A$127, 0))*INDEX(Unit_Grades!$B$2:$B$7, MATCH(F372, Unit_Grades!$A$2:$A$7, 0))*INDEX(Unit_Paths!$C$2:$C$4, MATCH(E372, Unit_Paths!$A$2:$A$4, 0)),1)</f>
        <v>32.6</v>
      </c>
      <c r="J372" s="6" t="n">
        <f aca="false">ROUND(INDEX(Archetypes!$G$2:$G$127, MATCH(D372, Archetypes!$A$2:$A$127, 0))*INDEX(Unit_Grades!$B$2:$B$7, MATCH(F372, Unit_Grades!$A$2:$A$7, 0))*INDEX(Unit_Paths!$D$2:$D$4, MATCH(E372, Unit_Paths!$A$2:$A$4, 0)),0)</f>
        <v>213</v>
      </c>
      <c r="K372" s="6" t="n">
        <f aca="false">ROUND(INDEX(Archetypes!$H$2:$H$127, MATCH(D372, Archetypes!$A$2:$A$127, 0))*INDEX(Unit_Paths!$E$2:$E$4, MATCH(E372, Unit_Paths!$A$2:$A$4, 0)),1)</f>
        <v>15.8</v>
      </c>
      <c r="L372" s="6" t="n">
        <f aca="false">ROUND(INDEX(Archetypes!$I$2:$I$127, MATCH(D372, Archetypes!$A$2:$A$127, 0))*INDEX(Unit_Grades!$C$2:$C$7, MATCH(F372, Unit_Grades!$A$2:$A$7, 0)),1)</f>
        <v>11.2</v>
      </c>
      <c r="M372" s="6" t="n">
        <f aca="false">ROUND(INDEX(Archetypes!$J$2:$J$127, MATCH(D372, Archetypes!$A$2:$A$127, 0))*INDEX(Unit_Grades!$D$2:$D$7, MATCH(F372, Unit_Grades!$A$2:$A$7, 0)),1)</f>
        <v>11.3</v>
      </c>
      <c r="N372" s="6" t="n">
        <f aca="false">ROUND(M372/24,2)</f>
        <v>0.47</v>
      </c>
    </row>
    <row r="373" customFormat="false" ht="15" hidden="false" customHeight="true" outlineLevel="0" collapsed="false">
      <c r="A373" s="6" t="n">
        <v>2</v>
      </c>
      <c r="B373" s="6" t="s">
        <v>1920</v>
      </c>
      <c r="C373" s="6" t="s">
        <v>1300</v>
      </c>
      <c r="D373" s="6" t="str">
        <f aca="false">A373&amp;"|"&amp;C373</f>
        <v>2|Crossbowman</v>
      </c>
      <c r="E373" s="6" t="s">
        <v>1558</v>
      </c>
      <c r="F373" s="6" t="s">
        <v>1548</v>
      </c>
      <c r="G373" s="6" t="str">
        <f aca="false">INDEX(Archetypes!$D$2:$D$127, MATCH(D373, Archetypes!$A$2:$A$127, 0))</f>
        <v>Ranged</v>
      </c>
      <c r="H373" s="6" t="n">
        <f aca="false">ROUND(INDEX(Archetypes!$E$2:$E$127, MATCH(D373, Archetypes!$A$2:$A$127, 0))*INDEX(Unit_Grades!$B$2:$B$7, MATCH(F373, Unit_Grades!$A$2:$A$7, 0))*INDEX(Unit_Paths!$B$2:$B$4, MATCH(E373, Unit_Paths!$A$2:$A$4, 0)),1)</f>
        <v>151.2</v>
      </c>
      <c r="I373" s="6" t="n">
        <f aca="false">ROUND(INDEX(Archetypes!$F$2:$F$127, MATCH(D373, Archetypes!$A$2:$A$127, 0))*INDEX(Unit_Grades!$B$2:$B$7, MATCH(F373, Unit_Grades!$A$2:$A$7, 0))*INDEX(Unit_Paths!$C$2:$C$4, MATCH(E373, Unit_Paths!$A$2:$A$4, 0)),1)</f>
        <v>42.8</v>
      </c>
      <c r="J373" s="6" t="n">
        <f aca="false">ROUND(INDEX(Archetypes!$G$2:$G$127, MATCH(D373, Archetypes!$A$2:$A$127, 0))*INDEX(Unit_Grades!$B$2:$B$7, MATCH(F373, Unit_Grades!$A$2:$A$7, 0))*INDEX(Unit_Paths!$D$2:$D$4, MATCH(E373, Unit_Paths!$A$2:$A$4, 0)),0)</f>
        <v>279</v>
      </c>
      <c r="K373" s="6" t="n">
        <f aca="false">ROUND(INDEX(Archetypes!$H$2:$H$127, MATCH(D373, Archetypes!$A$2:$A$127, 0))*INDEX(Unit_Paths!$E$2:$E$4, MATCH(E373, Unit_Paths!$A$2:$A$4, 0)),1)</f>
        <v>15.8</v>
      </c>
      <c r="L373" s="6" t="n">
        <f aca="false">ROUND(INDEX(Archetypes!$I$2:$I$127, MATCH(D373, Archetypes!$A$2:$A$127, 0))*INDEX(Unit_Grades!$C$2:$C$7, MATCH(F373, Unit_Grades!$A$2:$A$7, 0)),1)</f>
        <v>14.8</v>
      </c>
      <c r="M373" s="6" t="n">
        <f aca="false">ROUND(INDEX(Archetypes!$J$2:$J$127, MATCH(D373, Archetypes!$A$2:$A$127, 0))*INDEX(Unit_Grades!$D$2:$D$7, MATCH(F373, Unit_Grades!$A$2:$A$7, 0)),1)</f>
        <v>19.4</v>
      </c>
      <c r="N373" s="6" t="n">
        <f aca="false">ROUND(M373/24,2)</f>
        <v>0.81</v>
      </c>
    </row>
    <row r="374" customFormat="false" ht="15" hidden="false" customHeight="true" outlineLevel="0" collapsed="false">
      <c r="A374" s="6" t="n">
        <v>2</v>
      </c>
      <c r="B374" s="6" t="s">
        <v>1921</v>
      </c>
      <c r="C374" s="6" t="s">
        <v>1300</v>
      </c>
      <c r="D374" s="6" t="str">
        <f aca="false">A374&amp;"|"&amp;C374</f>
        <v>2|Crossbowman</v>
      </c>
      <c r="E374" s="6" t="s">
        <v>1560</v>
      </c>
      <c r="F374" s="6" t="s">
        <v>1538</v>
      </c>
      <c r="G374" s="6" t="str">
        <f aca="false">INDEX(Archetypes!$D$2:$D$127, MATCH(D374, Archetypes!$A$2:$A$127, 0))</f>
        <v>Ranged</v>
      </c>
      <c r="H374" s="6" t="n">
        <f aca="false">ROUND(INDEX(Archetypes!$E$2:$E$127, MATCH(D374, Archetypes!$A$2:$A$127, 0))*INDEX(Unit_Grades!$B$2:$B$7, MATCH(F374, Unit_Grades!$A$2:$A$7, 0))*INDEX(Unit_Paths!$B$2:$B$4, MATCH(E374, Unit_Paths!$A$2:$A$4, 0)),1)</f>
        <v>25.5</v>
      </c>
      <c r="I374" s="6" t="n">
        <f aca="false">ROUND(INDEX(Archetypes!$F$2:$F$127, MATCH(D374, Archetypes!$A$2:$A$127, 0))*INDEX(Unit_Grades!$B$2:$B$7, MATCH(F374, Unit_Grades!$A$2:$A$7, 0))*INDEX(Unit_Paths!$C$2:$C$4, MATCH(E374, Unit_Paths!$A$2:$A$4, 0)),1)</f>
        <v>15</v>
      </c>
      <c r="J374" s="6" t="n">
        <f aca="false">ROUND(INDEX(Archetypes!$G$2:$G$127, MATCH(D374, Archetypes!$A$2:$A$127, 0))*INDEX(Unit_Grades!$B$2:$B$7, MATCH(F374, Unit_Grades!$A$2:$A$7, 0))*INDEX(Unit_Paths!$D$2:$D$4, MATCH(E374, Unit_Paths!$A$2:$A$4, 0)),0)</f>
        <v>81</v>
      </c>
      <c r="K374" s="6" t="n">
        <f aca="false">ROUND(INDEX(Archetypes!$H$2:$H$127, MATCH(D374, Archetypes!$A$2:$A$127, 0))*INDEX(Unit_Paths!$E$2:$E$4, MATCH(E374, Unit_Paths!$A$2:$A$4, 0)),1)</f>
        <v>13.8</v>
      </c>
      <c r="L374" s="6" t="n">
        <f aca="false">ROUND(INDEX(Archetypes!$I$2:$I$127, MATCH(D374, Archetypes!$A$2:$A$127, 0))*INDEX(Unit_Grades!$C$2:$C$7, MATCH(F374, Unit_Grades!$A$2:$A$7, 0)),1)</f>
        <v>4</v>
      </c>
      <c r="M374" s="6" t="n">
        <f aca="false">ROUND(INDEX(Archetypes!$J$2:$J$127, MATCH(D374, Archetypes!$A$2:$A$127, 0))*INDEX(Unit_Grades!$D$2:$D$7, MATCH(F374, Unit_Grades!$A$2:$A$7, 0)),1)</f>
        <v>1.6</v>
      </c>
      <c r="N374" s="6" t="n">
        <f aca="false">ROUND(M374/24,2)</f>
        <v>0.07</v>
      </c>
    </row>
    <row r="375" customFormat="false" ht="15" hidden="false" customHeight="true" outlineLevel="0" collapsed="false">
      <c r="A375" s="6" t="n">
        <v>2</v>
      </c>
      <c r="B375" s="6" t="s">
        <v>1922</v>
      </c>
      <c r="C375" s="6" t="s">
        <v>1300</v>
      </c>
      <c r="D375" s="6" t="str">
        <f aca="false">A375&amp;"|"&amp;C375</f>
        <v>2|Crossbowman</v>
      </c>
      <c r="E375" s="6" t="s">
        <v>1560</v>
      </c>
      <c r="F375" s="6" t="s">
        <v>1540</v>
      </c>
      <c r="G375" s="6" t="str">
        <f aca="false">INDEX(Archetypes!$D$2:$D$127, MATCH(D375, Archetypes!$A$2:$A$127, 0))</f>
        <v>Ranged</v>
      </c>
      <c r="H375" s="6" t="n">
        <f aca="false">ROUND(INDEX(Archetypes!$E$2:$E$127, MATCH(D375, Archetypes!$A$2:$A$127, 0))*INDEX(Unit_Grades!$B$2:$B$7, MATCH(F375, Unit_Grades!$A$2:$A$7, 0))*INDEX(Unit_Paths!$B$2:$B$4, MATCH(E375, Unit_Paths!$A$2:$A$4, 0)),1)</f>
        <v>34.4</v>
      </c>
      <c r="I375" s="6" t="n">
        <f aca="false">ROUND(INDEX(Archetypes!$F$2:$F$127, MATCH(D375, Archetypes!$A$2:$A$127, 0))*INDEX(Unit_Grades!$B$2:$B$7, MATCH(F375, Unit_Grades!$A$2:$A$7, 0))*INDEX(Unit_Paths!$C$2:$C$4, MATCH(E375, Unit_Paths!$A$2:$A$4, 0)),1)</f>
        <v>20.3</v>
      </c>
      <c r="J375" s="6" t="n">
        <f aca="false">ROUND(INDEX(Archetypes!$G$2:$G$127, MATCH(D375, Archetypes!$A$2:$A$127, 0))*INDEX(Unit_Grades!$B$2:$B$7, MATCH(F375, Unit_Grades!$A$2:$A$7, 0))*INDEX(Unit_Paths!$D$2:$D$4, MATCH(E375, Unit_Paths!$A$2:$A$4, 0)),0)</f>
        <v>109</v>
      </c>
      <c r="K375" s="6" t="n">
        <f aca="false">ROUND(INDEX(Archetypes!$H$2:$H$127, MATCH(D375, Archetypes!$A$2:$A$127, 0))*INDEX(Unit_Paths!$E$2:$E$4, MATCH(E375, Unit_Paths!$A$2:$A$4, 0)),1)</f>
        <v>13.8</v>
      </c>
      <c r="L375" s="6" t="n">
        <f aca="false">ROUND(INDEX(Archetypes!$I$2:$I$127, MATCH(D375, Archetypes!$A$2:$A$127, 0))*INDEX(Unit_Grades!$C$2:$C$7, MATCH(F375, Unit_Grades!$A$2:$A$7, 0)),1)</f>
        <v>5</v>
      </c>
      <c r="M375" s="6" t="n">
        <f aca="false">ROUND(INDEX(Archetypes!$J$2:$J$127, MATCH(D375, Archetypes!$A$2:$A$127, 0))*INDEX(Unit_Grades!$D$2:$D$7, MATCH(F375, Unit_Grades!$A$2:$A$7, 0)),1)</f>
        <v>2.4</v>
      </c>
      <c r="N375" s="6" t="n">
        <f aca="false">ROUND(M375/24,2)</f>
        <v>0.1</v>
      </c>
    </row>
    <row r="376" customFormat="false" ht="15" hidden="false" customHeight="true" outlineLevel="0" collapsed="false">
      <c r="A376" s="6" t="n">
        <v>2</v>
      </c>
      <c r="B376" s="6" t="s">
        <v>1923</v>
      </c>
      <c r="C376" s="6" t="s">
        <v>1300</v>
      </c>
      <c r="D376" s="6" t="str">
        <f aca="false">A376&amp;"|"&amp;C376</f>
        <v>2|Crossbowman</v>
      </c>
      <c r="E376" s="6" t="s">
        <v>1560</v>
      </c>
      <c r="F376" s="6" t="s">
        <v>1542</v>
      </c>
      <c r="G376" s="6" t="str">
        <f aca="false">INDEX(Archetypes!$D$2:$D$127, MATCH(D376, Archetypes!$A$2:$A$127, 0))</f>
        <v>Ranged</v>
      </c>
      <c r="H376" s="6" t="n">
        <f aca="false">ROUND(INDEX(Archetypes!$E$2:$E$127, MATCH(D376, Archetypes!$A$2:$A$127, 0))*INDEX(Unit_Grades!$B$2:$B$7, MATCH(F376, Unit_Grades!$A$2:$A$7, 0))*INDEX(Unit_Paths!$B$2:$B$4, MATCH(E376, Unit_Paths!$A$2:$A$4, 0)),1)</f>
        <v>45.9</v>
      </c>
      <c r="I376" s="6" t="n">
        <f aca="false">ROUND(INDEX(Archetypes!$F$2:$F$127, MATCH(D376, Archetypes!$A$2:$A$127, 0))*INDEX(Unit_Grades!$B$2:$B$7, MATCH(F376, Unit_Grades!$A$2:$A$7, 0))*INDEX(Unit_Paths!$C$2:$C$4, MATCH(E376, Unit_Paths!$A$2:$A$4, 0)),1)</f>
        <v>27</v>
      </c>
      <c r="J376" s="6" t="n">
        <f aca="false">ROUND(INDEX(Archetypes!$G$2:$G$127, MATCH(D376, Archetypes!$A$2:$A$127, 0))*INDEX(Unit_Grades!$B$2:$B$7, MATCH(F376, Unit_Grades!$A$2:$A$7, 0))*INDEX(Unit_Paths!$D$2:$D$4, MATCH(E376, Unit_Paths!$A$2:$A$4, 0)),0)</f>
        <v>145</v>
      </c>
      <c r="K376" s="6" t="n">
        <f aca="false">ROUND(INDEX(Archetypes!$H$2:$H$127, MATCH(D376, Archetypes!$A$2:$A$127, 0))*INDEX(Unit_Paths!$E$2:$E$4, MATCH(E376, Unit_Paths!$A$2:$A$4, 0)),1)</f>
        <v>13.8</v>
      </c>
      <c r="L376" s="6" t="n">
        <f aca="false">ROUND(INDEX(Archetypes!$I$2:$I$127, MATCH(D376, Archetypes!$A$2:$A$127, 0))*INDEX(Unit_Grades!$C$2:$C$7, MATCH(F376, Unit_Grades!$A$2:$A$7, 0)),1)</f>
        <v>6.4</v>
      </c>
      <c r="M376" s="6" t="n">
        <f aca="false">ROUND(INDEX(Archetypes!$J$2:$J$127, MATCH(D376, Archetypes!$A$2:$A$127, 0))*INDEX(Unit_Grades!$D$2:$D$7, MATCH(F376, Unit_Grades!$A$2:$A$7, 0)),1)</f>
        <v>4.1</v>
      </c>
      <c r="N376" s="6" t="n">
        <f aca="false">ROUND(M376/24,2)</f>
        <v>0.17</v>
      </c>
    </row>
    <row r="377" customFormat="false" ht="15" hidden="false" customHeight="true" outlineLevel="0" collapsed="false">
      <c r="A377" s="6" t="n">
        <v>2</v>
      </c>
      <c r="B377" s="6" t="s">
        <v>1924</v>
      </c>
      <c r="C377" s="6" t="s">
        <v>1300</v>
      </c>
      <c r="D377" s="6" t="str">
        <f aca="false">A377&amp;"|"&amp;C377</f>
        <v>2|Crossbowman</v>
      </c>
      <c r="E377" s="6" t="s">
        <v>1560</v>
      </c>
      <c r="F377" s="6" t="s">
        <v>1544</v>
      </c>
      <c r="G377" s="6" t="str">
        <f aca="false">INDEX(Archetypes!$D$2:$D$127, MATCH(D377, Archetypes!$A$2:$A$127, 0))</f>
        <v>Ranged</v>
      </c>
      <c r="H377" s="6" t="n">
        <f aca="false">ROUND(INDEX(Archetypes!$E$2:$E$127, MATCH(D377, Archetypes!$A$2:$A$127, 0))*INDEX(Unit_Grades!$B$2:$B$7, MATCH(F377, Unit_Grades!$A$2:$A$7, 0))*INDEX(Unit_Paths!$B$2:$B$4, MATCH(E377, Unit_Paths!$A$2:$A$4, 0)),1)</f>
        <v>61.2</v>
      </c>
      <c r="I377" s="6" t="n">
        <f aca="false">ROUND(INDEX(Archetypes!$F$2:$F$127, MATCH(D377, Archetypes!$A$2:$A$127, 0))*INDEX(Unit_Grades!$B$2:$B$7, MATCH(F377, Unit_Grades!$A$2:$A$7, 0))*INDEX(Unit_Paths!$C$2:$C$4, MATCH(E377, Unit_Paths!$A$2:$A$4, 0)),1)</f>
        <v>36</v>
      </c>
      <c r="J377" s="6" t="n">
        <f aca="false">ROUND(INDEX(Archetypes!$G$2:$G$127, MATCH(D377, Archetypes!$A$2:$A$127, 0))*INDEX(Unit_Grades!$B$2:$B$7, MATCH(F377, Unit_Grades!$A$2:$A$7, 0))*INDEX(Unit_Paths!$D$2:$D$4, MATCH(E377, Unit_Paths!$A$2:$A$4, 0)),0)</f>
        <v>193</v>
      </c>
      <c r="K377" s="6" t="n">
        <f aca="false">ROUND(INDEX(Archetypes!$H$2:$H$127, MATCH(D377, Archetypes!$A$2:$A$127, 0))*INDEX(Unit_Paths!$E$2:$E$4, MATCH(E377, Unit_Paths!$A$2:$A$4, 0)),1)</f>
        <v>13.8</v>
      </c>
      <c r="L377" s="6" t="n">
        <f aca="false">ROUND(INDEX(Archetypes!$I$2:$I$127, MATCH(D377, Archetypes!$A$2:$A$127, 0))*INDEX(Unit_Grades!$C$2:$C$7, MATCH(F377, Unit_Grades!$A$2:$A$7, 0)),1)</f>
        <v>8.4</v>
      </c>
      <c r="M377" s="6" t="n">
        <f aca="false">ROUND(INDEX(Archetypes!$J$2:$J$127, MATCH(D377, Archetypes!$A$2:$A$127, 0))*INDEX(Unit_Grades!$D$2:$D$7, MATCH(F377, Unit_Grades!$A$2:$A$7, 0)),1)</f>
        <v>6.5</v>
      </c>
      <c r="N377" s="6" t="n">
        <f aca="false">ROUND(M377/24,2)</f>
        <v>0.27</v>
      </c>
    </row>
    <row r="378" customFormat="false" ht="15" hidden="false" customHeight="true" outlineLevel="0" collapsed="false">
      <c r="A378" s="6" t="n">
        <v>2</v>
      </c>
      <c r="B378" s="6" t="s">
        <v>1925</v>
      </c>
      <c r="C378" s="6" t="s">
        <v>1300</v>
      </c>
      <c r="D378" s="6" t="str">
        <f aca="false">A378&amp;"|"&amp;C378</f>
        <v>2|Crossbowman</v>
      </c>
      <c r="E378" s="6" t="s">
        <v>1560</v>
      </c>
      <c r="F378" s="6" t="s">
        <v>1546</v>
      </c>
      <c r="G378" s="6" t="str">
        <f aca="false">INDEX(Archetypes!$D$2:$D$127, MATCH(D378, Archetypes!$A$2:$A$127, 0))</f>
        <v>Ranged</v>
      </c>
      <c r="H378" s="6" t="n">
        <f aca="false">ROUND(INDEX(Archetypes!$E$2:$E$127, MATCH(D378, Archetypes!$A$2:$A$127, 0))*INDEX(Unit_Grades!$B$2:$B$7, MATCH(F378, Unit_Grades!$A$2:$A$7, 0))*INDEX(Unit_Paths!$B$2:$B$4, MATCH(E378, Unit_Paths!$A$2:$A$4, 0)),1)</f>
        <v>81.6</v>
      </c>
      <c r="I378" s="6" t="n">
        <f aca="false">ROUND(INDEX(Archetypes!$F$2:$F$127, MATCH(D378, Archetypes!$A$2:$A$127, 0))*INDEX(Unit_Grades!$B$2:$B$7, MATCH(F378, Unit_Grades!$A$2:$A$7, 0))*INDEX(Unit_Paths!$C$2:$C$4, MATCH(E378, Unit_Paths!$A$2:$A$4, 0)),1)</f>
        <v>48</v>
      </c>
      <c r="J378" s="6" t="n">
        <f aca="false">ROUND(INDEX(Archetypes!$G$2:$G$127, MATCH(D378, Archetypes!$A$2:$A$127, 0))*INDEX(Unit_Grades!$B$2:$B$7, MATCH(F378, Unit_Grades!$A$2:$A$7, 0))*INDEX(Unit_Paths!$D$2:$D$4, MATCH(E378, Unit_Paths!$A$2:$A$4, 0)),0)</f>
        <v>258</v>
      </c>
      <c r="K378" s="6" t="n">
        <f aca="false">ROUND(INDEX(Archetypes!$H$2:$H$127, MATCH(D378, Archetypes!$A$2:$A$127, 0))*INDEX(Unit_Paths!$E$2:$E$4, MATCH(E378, Unit_Paths!$A$2:$A$4, 0)),1)</f>
        <v>13.8</v>
      </c>
      <c r="L378" s="6" t="n">
        <f aca="false">ROUND(INDEX(Archetypes!$I$2:$I$127, MATCH(D378, Archetypes!$A$2:$A$127, 0))*INDEX(Unit_Grades!$C$2:$C$7, MATCH(F378, Unit_Grades!$A$2:$A$7, 0)),1)</f>
        <v>11.2</v>
      </c>
      <c r="M378" s="6" t="n">
        <f aca="false">ROUND(INDEX(Archetypes!$J$2:$J$127, MATCH(D378, Archetypes!$A$2:$A$127, 0))*INDEX(Unit_Grades!$D$2:$D$7, MATCH(F378, Unit_Grades!$A$2:$A$7, 0)),1)</f>
        <v>11.3</v>
      </c>
      <c r="N378" s="6" t="n">
        <f aca="false">ROUND(M378/24,2)</f>
        <v>0.47</v>
      </c>
    </row>
    <row r="379" customFormat="false" ht="15" hidden="false" customHeight="true" outlineLevel="0" collapsed="false">
      <c r="A379" s="6" t="n">
        <v>2</v>
      </c>
      <c r="B379" s="6" t="s">
        <v>1926</v>
      </c>
      <c r="C379" s="6" t="s">
        <v>1300</v>
      </c>
      <c r="D379" s="6" t="str">
        <f aca="false">A379&amp;"|"&amp;C379</f>
        <v>2|Crossbowman</v>
      </c>
      <c r="E379" s="6" t="s">
        <v>1560</v>
      </c>
      <c r="F379" s="6" t="s">
        <v>1548</v>
      </c>
      <c r="G379" s="6" t="str">
        <f aca="false">INDEX(Archetypes!$D$2:$D$127, MATCH(D379, Archetypes!$A$2:$A$127, 0))</f>
        <v>Ranged</v>
      </c>
      <c r="H379" s="6" t="n">
        <f aca="false">ROUND(INDEX(Archetypes!$E$2:$E$127, MATCH(D379, Archetypes!$A$2:$A$127, 0))*INDEX(Unit_Grades!$B$2:$B$7, MATCH(F379, Unit_Grades!$A$2:$A$7, 0))*INDEX(Unit_Paths!$B$2:$B$4, MATCH(E379, Unit_Paths!$A$2:$A$4, 0)),1)</f>
        <v>107.1</v>
      </c>
      <c r="I379" s="6" t="n">
        <f aca="false">ROUND(INDEX(Archetypes!$F$2:$F$127, MATCH(D379, Archetypes!$A$2:$A$127, 0))*INDEX(Unit_Grades!$B$2:$B$7, MATCH(F379, Unit_Grades!$A$2:$A$7, 0))*INDEX(Unit_Paths!$C$2:$C$4, MATCH(E379, Unit_Paths!$A$2:$A$4, 0)),1)</f>
        <v>63</v>
      </c>
      <c r="J379" s="6" t="n">
        <f aca="false">ROUND(INDEX(Archetypes!$G$2:$G$127, MATCH(D379, Archetypes!$A$2:$A$127, 0))*INDEX(Unit_Grades!$B$2:$B$7, MATCH(F379, Unit_Grades!$A$2:$A$7, 0))*INDEX(Unit_Paths!$D$2:$D$4, MATCH(E379, Unit_Paths!$A$2:$A$4, 0)),0)</f>
        <v>338</v>
      </c>
      <c r="K379" s="6" t="n">
        <f aca="false">ROUND(INDEX(Archetypes!$H$2:$H$127, MATCH(D379, Archetypes!$A$2:$A$127, 0))*INDEX(Unit_Paths!$E$2:$E$4, MATCH(E379, Unit_Paths!$A$2:$A$4, 0)),1)</f>
        <v>13.8</v>
      </c>
      <c r="L379" s="6" t="n">
        <f aca="false">ROUND(INDEX(Archetypes!$I$2:$I$127, MATCH(D379, Archetypes!$A$2:$A$127, 0))*INDEX(Unit_Grades!$C$2:$C$7, MATCH(F379, Unit_Grades!$A$2:$A$7, 0)),1)</f>
        <v>14.8</v>
      </c>
      <c r="M379" s="6" t="n">
        <f aca="false">ROUND(INDEX(Archetypes!$J$2:$J$127, MATCH(D379, Archetypes!$A$2:$A$127, 0))*INDEX(Unit_Grades!$D$2:$D$7, MATCH(F379, Unit_Grades!$A$2:$A$7, 0)),1)</f>
        <v>19.4</v>
      </c>
      <c r="N379" s="6" t="n">
        <f aca="false">ROUND(M379/24,2)</f>
        <v>0.81</v>
      </c>
    </row>
    <row r="380" customFormat="false" ht="15" hidden="false" customHeight="true" outlineLevel="0" collapsed="false">
      <c r="A380" s="6" t="n">
        <v>2</v>
      </c>
      <c r="B380" s="6" t="s">
        <v>1302</v>
      </c>
      <c r="C380" s="6" t="s">
        <v>1302</v>
      </c>
      <c r="D380" s="6" t="str">
        <f aca="false">A380&amp;"|"&amp;C380</f>
        <v>2|Longbowman</v>
      </c>
      <c r="E380" s="6" t="s">
        <v>1556</v>
      </c>
      <c r="F380" s="6" t="s">
        <v>1538</v>
      </c>
      <c r="G380" s="6" t="str">
        <f aca="false">INDEX(Archetypes!$D$2:$D$127, MATCH(D380, Archetypes!$A$2:$A$127, 0))</f>
        <v>Ranged</v>
      </c>
      <c r="H380" s="6" t="n">
        <f aca="false">ROUND(INDEX(Archetypes!$E$2:$E$127, MATCH(D380, Archetypes!$A$2:$A$127, 0))*INDEX(Unit_Grades!$B$2:$B$7, MATCH(F380, Unit_Grades!$A$2:$A$7, 0))*INDEX(Unit_Paths!$B$2:$B$4, MATCH(E380, Unit_Paths!$A$2:$A$4, 0)),1)</f>
        <v>34</v>
      </c>
      <c r="I380" s="6" t="n">
        <f aca="false">ROUND(INDEX(Archetypes!$F$2:$F$127, MATCH(D380, Archetypes!$A$2:$A$127, 0))*INDEX(Unit_Grades!$B$2:$B$7, MATCH(F380, Unit_Grades!$A$2:$A$7, 0))*INDEX(Unit_Paths!$C$2:$C$4, MATCH(E380, Unit_Paths!$A$2:$A$4, 0)),1)</f>
        <v>10</v>
      </c>
      <c r="J380" s="6" t="n">
        <f aca="false">ROUND(INDEX(Archetypes!$G$2:$G$127, MATCH(D380, Archetypes!$A$2:$A$127, 0))*INDEX(Unit_Grades!$B$2:$B$7, MATCH(F380, Unit_Grades!$A$2:$A$7, 0))*INDEX(Unit_Paths!$D$2:$D$4, MATCH(E380, Unit_Paths!$A$2:$A$4, 0)),0)</f>
        <v>65</v>
      </c>
      <c r="K380" s="6" t="n">
        <f aca="false">ROUND(INDEX(Archetypes!$H$2:$H$127, MATCH(D380, Archetypes!$A$2:$A$127, 0))*INDEX(Unit_Paths!$E$2:$E$4, MATCH(E380, Unit_Paths!$A$2:$A$4, 0)),1)</f>
        <v>15</v>
      </c>
      <c r="L380" s="6" t="n">
        <f aca="false">ROUND(INDEX(Archetypes!$I$2:$I$127, MATCH(D380, Archetypes!$A$2:$A$127, 0))*INDEX(Unit_Grades!$C$2:$C$7, MATCH(F380, Unit_Grades!$A$2:$A$7, 0)),1)</f>
        <v>5</v>
      </c>
      <c r="M380" s="6" t="n">
        <f aca="false">ROUND(INDEX(Archetypes!$J$2:$J$127, MATCH(D380, Archetypes!$A$2:$A$127, 0))*INDEX(Unit_Grades!$D$2:$D$7, MATCH(F380, Unit_Grades!$A$2:$A$7, 0)),1)</f>
        <v>2</v>
      </c>
      <c r="N380" s="6" t="n">
        <f aca="false">ROUND(M380/24,2)</f>
        <v>0.08</v>
      </c>
    </row>
    <row r="381" customFormat="false" ht="15" hidden="false" customHeight="true" outlineLevel="0" collapsed="false">
      <c r="A381" s="6" t="n">
        <v>2</v>
      </c>
      <c r="B381" s="6" t="s">
        <v>1927</v>
      </c>
      <c r="C381" s="6" t="s">
        <v>1302</v>
      </c>
      <c r="D381" s="6" t="str">
        <f aca="false">A381&amp;"|"&amp;C381</f>
        <v>2|Longbowman</v>
      </c>
      <c r="E381" s="6" t="s">
        <v>1556</v>
      </c>
      <c r="F381" s="6" t="s">
        <v>1540</v>
      </c>
      <c r="G381" s="6" t="str">
        <f aca="false">INDEX(Archetypes!$D$2:$D$127, MATCH(D381, Archetypes!$A$2:$A$127, 0))</f>
        <v>Ranged</v>
      </c>
      <c r="H381" s="6" t="n">
        <f aca="false">ROUND(INDEX(Archetypes!$E$2:$E$127, MATCH(D381, Archetypes!$A$2:$A$127, 0))*INDEX(Unit_Grades!$B$2:$B$7, MATCH(F381, Unit_Grades!$A$2:$A$7, 0))*INDEX(Unit_Paths!$B$2:$B$4, MATCH(E381, Unit_Paths!$A$2:$A$4, 0)),1)</f>
        <v>45.9</v>
      </c>
      <c r="I381" s="6" t="n">
        <f aca="false">ROUND(INDEX(Archetypes!$F$2:$F$127, MATCH(D381, Archetypes!$A$2:$A$127, 0))*INDEX(Unit_Grades!$B$2:$B$7, MATCH(F381, Unit_Grades!$A$2:$A$7, 0))*INDEX(Unit_Paths!$C$2:$C$4, MATCH(E381, Unit_Paths!$A$2:$A$4, 0)),1)</f>
        <v>13.5</v>
      </c>
      <c r="J381" s="6" t="n">
        <f aca="false">ROUND(INDEX(Archetypes!$G$2:$G$127, MATCH(D381, Archetypes!$A$2:$A$127, 0))*INDEX(Unit_Grades!$B$2:$B$7, MATCH(F381, Unit_Grades!$A$2:$A$7, 0))*INDEX(Unit_Paths!$D$2:$D$4, MATCH(E381, Unit_Paths!$A$2:$A$4, 0)),0)</f>
        <v>88</v>
      </c>
      <c r="K381" s="6" t="n">
        <f aca="false">ROUND(INDEX(Archetypes!$H$2:$H$127, MATCH(D381, Archetypes!$A$2:$A$127, 0))*INDEX(Unit_Paths!$E$2:$E$4, MATCH(E381, Unit_Paths!$A$2:$A$4, 0)),1)</f>
        <v>15</v>
      </c>
      <c r="L381" s="6" t="n">
        <f aca="false">ROUND(INDEX(Archetypes!$I$2:$I$127, MATCH(D381, Archetypes!$A$2:$A$127, 0))*INDEX(Unit_Grades!$C$2:$C$7, MATCH(F381, Unit_Grades!$A$2:$A$7, 0)),1)</f>
        <v>6.3</v>
      </c>
      <c r="M381" s="6" t="n">
        <f aca="false">ROUND(INDEX(Archetypes!$J$2:$J$127, MATCH(D381, Archetypes!$A$2:$A$127, 0))*INDEX(Unit_Grades!$D$2:$D$7, MATCH(F381, Unit_Grades!$A$2:$A$7, 0)),1)</f>
        <v>3</v>
      </c>
      <c r="N381" s="6" t="n">
        <f aca="false">ROUND(M381/24,2)</f>
        <v>0.13</v>
      </c>
    </row>
    <row r="382" customFormat="false" ht="15" hidden="false" customHeight="true" outlineLevel="0" collapsed="false">
      <c r="A382" s="6" t="n">
        <v>2</v>
      </c>
      <c r="B382" s="6" t="s">
        <v>1928</v>
      </c>
      <c r="C382" s="6" t="s">
        <v>1302</v>
      </c>
      <c r="D382" s="6" t="str">
        <f aca="false">A382&amp;"|"&amp;C382</f>
        <v>2|Longbowman</v>
      </c>
      <c r="E382" s="6" t="s">
        <v>1556</v>
      </c>
      <c r="F382" s="6" t="s">
        <v>1542</v>
      </c>
      <c r="G382" s="6" t="str">
        <f aca="false">INDEX(Archetypes!$D$2:$D$127, MATCH(D382, Archetypes!$A$2:$A$127, 0))</f>
        <v>Ranged</v>
      </c>
      <c r="H382" s="6" t="n">
        <f aca="false">ROUND(INDEX(Archetypes!$E$2:$E$127, MATCH(D382, Archetypes!$A$2:$A$127, 0))*INDEX(Unit_Grades!$B$2:$B$7, MATCH(F382, Unit_Grades!$A$2:$A$7, 0))*INDEX(Unit_Paths!$B$2:$B$4, MATCH(E382, Unit_Paths!$A$2:$A$4, 0)),1)</f>
        <v>61.2</v>
      </c>
      <c r="I382" s="6" t="n">
        <f aca="false">ROUND(INDEX(Archetypes!$F$2:$F$127, MATCH(D382, Archetypes!$A$2:$A$127, 0))*INDEX(Unit_Grades!$B$2:$B$7, MATCH(F382, Unit_Grades!$A$2:$A$7, 0))*INDEX(Unit_Paths!$C$2:$C$4, MATCH(E382, Unit_Paths!$A$2:$A$4, 0)),1)</f>
        <v>18</v>
      </c>
      <c r="J382" s="6" t="n">
        <f aca="false">ROUND(INDEX(Archetypes!$G$2:$G$127, MATCH(D382, Archetypes!$A$2:$A$127, 0))*INDEX(Unit_Grades!$B$2:$B$7, MATCH(F382, Unit_Grades!$A$2:$A$7, 0))*INDEX(Unit_Paths!$D$2:$D$4, MATCH(E382, Unit_Paths!$A$2:$A$4, 0)),0)</f>
        <v>117</v>
      </c>
      <c r="K382" s="6" t="n">
        <f aca="false">ROUND(INDEX(Archetypes!$H$2:$H$127, MATCH(D382, Archetypes!$A$2:$A$127, 0))*INDEX(Unit_Paths!$E$2:$E$4, MATCH(E382, Unit_Paths!$A$2:$A$4, 0)),1)</f>
        <v>15</v>
      </c>
      <c r="L382" s="6" t="n">
        <f aca="false">ROUND(INDEX(Archetypes!$I$2:$I$127, MATCH(D382, Archetypes!$A$2:$A$127, 0))*INDEX(Unit_Grades!$C$2:$C$7, MATCH(F382, Unit_Grades!$A$2:$A$7, 0)),1)</f>
        <v>8</v>
      </c>
      <c r="M382" s="6" t="n">
        <f aca="false">ROUND(INDEX(Archetypes!$J$2:$J$127, MATCH(D382, Archetypes!$A$2:$A$127, 0))*INDEX(Unit_Grades!$D$2:$D$7, MATCH(F382, Unit_Grades!$A$2:$A$7, 0)),1)</f>
        <v>5.1</v>
      </c>
      <c r="N382" s="6" t="n">
        <f aca="false">ROUND(M382/24,2)</f>
        <v>0.21</v>
      </c>
    </row>
    <row r="383" customFormat="false" ht="15" hidden="false" customHeight="true" outlineLevel="0" collapsed="false">
      <c r="A383" s="6" t="n">
        <v>2</v>
      </c>
      <c r="B383" s="6" t="s">
        <v>1929</v>
      </c>
      <c r="C383" s="6" t="s">
        <v>1302</v>
      </c>
      <c r="D383" s="6" t="str">
        <f aca="false">A383&amp;"|"&amp;C383</f>
        <v>2|Longbowman</v>
      </c>
      <c r="E383" s="6" t="s">
        <v>1556</v>
      </c>
      <c r="F383" s="6" t="s">
        <v>1544</v>
      </c>
      <c r="G383" s="6" t="str">
        <f aca="false">INDEX(Archetypes!$D$2:$D$127, MATCH(D383, Archetypes!$A$2:$A$127, 0))</f>
        <v>Ranged</v>
      </c>
      <c r="H383" s="6" t="n">
        <f aca="false">ROUND(INDEX(Archetypes!$E$2:$E$127, MATCH(D383, Archetypes!$A$2:$A$127, 0))*INDEX(Unit_Grades!$B$2:$B$7, MATCH(F383, Unit_Grades!$A$2:$A$7, 0))*INDEX(Unit_Paths!$B$2:$B$4, MATCH(E383, Unit_Paths!$A$2:$A$4, 0)),1)</f>
        <v>81.6</v>
      </c>
      <c r="I383" s="6" t="n">
        <f aca="false">ROUND(INDEX(Archetypes!$F$2:$F$127, MATCH(D383, Archetypes!$A$2:$A$127, 0))*INDEX(Unit_Grades!$B$2:$B$7, MATCH(F383, Unit_Grades!$A$2:$A$7, 0))*INDEX(Unit_Paths!$C$2:$C$4, MATCH(E383, Unit_Paths!$A$2:$A$4, 0)),1)</f>
        <v>24</v>
      </c>
      <c r="J383" s="6" t="n">
        <f aca="false">ROUND(INDEX(Archetypes!$G$2:$G$127, MATCH(D383, Archetypes!$A$2:$A$127, 0))*INDEX(Unit_Grades!$B$2:$B$7, MATCH(F383, Unit_Grades!$A$2:$A$7, 0))*INDEX(Unit_Paths!$D$2:$D$4, MATCH(E383, Unit_Paths!$A$2:$A$4, 0)),0)</f>
        <v>156</v>
      </c>
      <c r="K383" s="6" t="n">
        <f aca="false">ROUND(INDEX(Archetypes!$H$2:$H$127, MATCH(D383, Archetypes!$A$2:$A$127, 0))*INDEX(Unit_Paths!$E$2:$E$4, MATCH(E383, Unit_Paths!$A$2:$A$4, 0)),1)</f>
        <v>15</v>
      </c>
      <c r="L383" s="6" t="n">
        <f aca="false">ROUND(INDEX(Archetypes!$I$2:$I$127, MATCH(D383, Archetypes!$A$2:$A$127, 0))*INDEX(Unit_Grades!$C$2:$C$7, MATCH(F383, Unit_Grades!$A$2:$A$7, 0)),1)</f>
        <v>10.5</v>
      </c>
      <c r="M383" s="6" t="n">
        <f aca="false">ROUND(INDEX(Archetypes!$J$2:$J$127, MATCH(D383, Archetypes!$A$2:$A$127, 0))*INDEX(Unit_Grades!$D$2:$D$7, MATCH(F383, Unit_Grades!$A$2:$A$7, 0)),1)</f>
        <v>8.1</v>
      </c>
      <c r="N383" s="6" t="n">
        <f aca="false">ROUND(M383/24,2)</f>
        <v>0.34</v>
      </c>
    </row>
    <row r="384" customFormat="false" ht="15" hidden="false" customHeight="true" outlineLevel="0" collapsed="false">
      <c r="A384" s="6" t="n">
        <v>2</v>
      </c>
      <c r="B384" s="6" t="s">
        <v>1930</v>
      </c>
      <c r="C384" s="6" t="s">
        <v>1302</v>
      </c>
      <c r="D384" s="6" t="str">
        <f aca="false">A384&amp;"|"&amp;C384</f>
        <v>2|Longbowman</v>
      </c>
      <c r="E384" s="6" t="s">
        <v>1556</v>
      </c>
      <c r="F384" s="6" t="s">
        <v>1546</v>
      </c>
      <c r="G384" s="6" t="str">
        <f aca="false">INDEX(Archetypes!$D$2:$D$127, MATCH(D384, Archetypes!$A$2:$A$127, 0))</f>
        <v>Ranged</v>
      </c>
      <c r="H384" s="6" t="n">
        <f aca="false">ROUND(INDEX(Archetypes!$E$2:$E$127, MATCH(D384, Archetypes!$A$2:$A$127, 0))*INDEX(Unit_Grades!$B$2:$B$7, MATCH(F384, Unit_Grades!$A$2:$A$7, 0))*INDEX(Unit_Paths!$B$2:$B$4, MATCH(E384, Unit_Paths!$A$2:$A$4, 0)),1)</f>
        <v>108.8</v>
      </c>
      <c r="I384" s="6" t="n">
        <f aca="false">ROUND(INDEX(Archetypes!$F$2:$F$127, MATCH(D384, Archetypes!$A$2:$A$127, 0))*INDEX(Unit_Grades!$B$2:$B$7, MATCH(F384, Unit_Grades!$A$2:$A$7, 0))*INDEX(Unit_Paths!$C$2:$C$4, MATCH(E384, Unit_Paths!$A$2:$A$4, 0)),1)</f>
        <v>32</v>
      </c>
      <c r="J384" s="6" t="n">
        <f aca="false">ROUND(INDEX(Archetypes!$G$2:$G$127, MATCH(D384, Archetypes!$A$2:$A$127, 0))*INDEX(Unit_Grades!$B$2:$B$7, MATCH(F384, Unit_Grades!$A$2:$A$7, 0))*INDEX(Unit_Paths!$D$2:$D$4, MATCH(E384, Unit_Paths!$A$2:$A$4, 0)),0)</f>
        <v>208</v>
      </c>
      <c r="K384" s="6" t="n">
        <f aca="false">ROUND(INDEX(Archetypes!$H$2:$H$127, MATCH(D384, Archetypes!$A$2:$A$127, 0))*INDEX(Unit_Paths!$E$2:$E$4, MATCH(E384, Unit_Paths!$A$2:$A$4, 0)),1)</f>
        <v>15</v>
      </c>
      <c r="L384" s="6" t="n">
        <f aca="false">ROUND(INDEX(Archetypes!$I$2:$I$127, MATCH(D384, Archetypes!$A$2:$A$127, 0))*INDEX(Unit_Grades!$C$2:$C$7, MATCH(F384, Unit_Grades!$A$2:$A$7, 0)),1)</f>
        <v>14</v>
      </c>
      <c r="M384" s="6" t="n">
        <f aca="false">ROUND(INDEX(Archetypes!$J$2:$J$127, MATCH(D384, Archetypes!$A$2:$A$127, 0))*INDEX(Unit_Grades!$D$2:$D$7, MATCH(F384, Unit_Grades!$A$2:$A$7, 0)),1)</f>
        <v>14.2</v>
      </c>
      <c r="N384" s="6" t="n">
        <f aca="false">ROUND(M384/24,2)</f>
        <v>0.59</v>
      </c>
    </row>
    <row r="385" customFormat="false" ht="15" hidden="false" customHeight="true" outlineLevel="0" collapsed="false">
      <c r="A385" s="6" t="n">
        <v>2</v>
      </c>
      <c r="B385" s="6" t="s">
        <v>1931</v>
      </c>
      <c r="C385" s="6" t="s">
        <v>1302</v>
      </c>
      <c r="D385" s="6" t="str">
        <f aca="false">A385&amp;"|"&amp;C385</f>
        <v>2|Longbowman</v>
      </c>
      <c r="E385" s="6" t="s">
        <v>1556</v>
      </c>
      <c r="F385" s="6" t="s">
        <v>1548</v>
      </c>
      <c r="G385" s="6" t="str">
        <f aca="false">INDEX(Archetypes!$D$2:$D$127, MATCH(D385, Archetypes!$A$2:$A$127, 0))</f>
        <v>Ranged</v>
      </c>
      <c r="H385" s="6" t="n">
        <f aca="false">ROUND(INDEX(Archetypes!$E$2:$E$127, MATCH(D385, Archetypes!$A$2:$A$127, 0))*INDEX(Unit_Grades!$B$2:$B$7, MATCH(F385, Unit_Grades!$A$2:$A$7, 0))*INDEX(Unit_Paths!$B$2:$B$4, MATCH(E385, Unit_Paths!$A$2:$A$4, 0)),1)</f>
        <v>142.8</v>
      </c>
      <c r="I385" s="6" t="n">
        <f aca="false">ROUND(INDEX(Archetypes!$F$2:$F$127, MATCH(D385, Archetypes!$A$2:$A$127, 0))*INDEX(Unit_Grades!$B$2:$B$7, MATCH(F385, Unit_Grades!$A$2:$A$7, 0))*INDEX(Unit_Paths!$C$2:$C$4, MATCH(E385, Unit_Paths!$A$2:$A$4, 0)),1)</f>
        <v>42</v>
      </c>
      <c r="J385" s="6" t="n">
        <f aca="false">ROUND(INDEX(Archetypes!$G$2:$G$127, MATCH(D385, Archetypes!$A$2:$A$127, 0))*INDEX(Unit_Grades!$B$2:$B$7, MATCH(F385, Unit_Grades!$A$2:$A$7, 0))*INDEX(Unit_Paths!$D$2:$D$4, MATCH(E385, Unit_Paths!$A$2:$A$4, 0)),0)</f>
        <v>273</v>
      </c>
      <c r="K385" s="6" t="n">
        <f aca="false">ROUND(INDEX(Archetypes!$H$2:$H$127, MATCH(D385, Archetypes!$A$2:$A$127, 0))*INDEX(Unit_Paths!$E$2:$E$4, MATCH(E385, Unit_Paths!$A$2:$A$4, 0)),1)</f>
        <v>15</v>
      </c>
      <c r="L385" s="6" t="n">
        <f aca="false">ROUND(INDEX(Archetypes!$I$2:$I$127, MATCH(D385, Archetypes!$A$2:$A$127, 0))*INDEX(Unit_Grades!$C$2:$C$7, MATCH(F385, Unit_Grades!$A$2:$A$7, 0)),1)</f>
        <v>18.5</v>
      </c>
      <c r="M385" s="6" t="n">
        <f aca="false">ROUND(INDEX(Archetypes!$J$2:$J$127, MATCH(D385, Archetypes!$A$2:$A$127, 0))*INDEX(Unit_Grades!$D$2:$D$7, MATCH(F385, Unit_Grades!$A$2:$A$7, 0)),1)</f>
        <v>24.4</v>
      </c>
      <c r="N385" s="6" t="n">
        <f aca="false">ROUND(M385/24,2)</f>
        <v>1.02</v>
      </c>
    </row>
    <row r="386" customFormat="false" ht="15" hidden="false" customHeight="true" outlineLevel="0" collapsed="false">
      <c r="A386" s="6" t="n">
        <v>2</v>
      </c>
      <c r="B386" s="6" t="s">
        <v>1932</v>
      </c>
      <c r="C386" s="6" t="s">
        <v>1302</v>
      </c>
      <c r="D386" s="6" t="str">
        <f aca="false">A386&amp;"|"&amp;C386</f>
        <v>2|Longbowman</v>
      </c>
      <c r="E386" s="6" t="s">
        <v>1558</v>
      </c>
      <c r="F386" s="6" t="s">
        <v>1538</v>
      </c>
      <c r="G386" s="6" t="str">
        <f aca="false">INDEX(Archetypes!$D$2:$D$127, MATCH(D386, Archetypes!$A$2:$A$127, 0))</f>
        <v>Ranged</v>
      </c>
      <c r="H386" s="6" t="n">
        <f aca="false">ROUND(INDEX(Archetypes!$E$2:$E$127, MATCH(D386, Archetypes!$A$2:$A$127, 0))*INDEX(Unit_Grades!$B$2:$B$7, MATCH(F386, Unit_Grades!$A$2:$A$7, 0))*INDEX(Unit_Paths!$B$2:$B$4, MATCH(E386, Unit_Paths!$A$2:$A$4, 0)),1)</f>
        <v>40.8</v>
      </c>
      <c r="I386" s="6" t="n">
        <f aca="false">ROUND(INDEX(Archetypes!$F$2:$F$127, MATCH(D386, Archetypes!$A$2:$A$127, 0))*INDEX(Unit_Grades!$B$2:$B$7, MATCH(F386, Unit_Grades!$A$2:$A$7, 0))*INDEX(Unit_Paths!$C$2:$C$4, MATCH(E386, Unit_Paths!$A$2:$A$4, 0)),1)</f>
        <v>8.5</v>
      </c>
      <c r="J386" s="6" t="n">
        <f aca="false">ROUND(INDEX(Archetypes!$G$2:$G$127, MATCH(D386, Archetypes!$A$2:$A$127, 0))*INDEX(Unit_Grades!$B$2:$B$7, MATCH(F386, Unit_Grades!$A$2:$A$7, 0))*INDEX(Unit_Paths!$D$2:$D$4, MATCH(E386, Unit_Paths!$A$2:$A$4, 0)),0)</f>
        <v>62</v>
      </c>
      <c r="K386" s="6" t="n">
        <f aca="false">ROUND(INDEX(Archetypes!$H$2:$H$127, MATCH(D386, Archetypes!$A$2:$A$127, 0))*INDEX(Unit_Paths!$E$2:$E$4, MATCH(E386, Unit_Paths!$A$2:$A$4, 0)),1)</f>
        <v>15.8</v>
      </c>
      <c r="L386" s="6" t="n">
        <f aca="false">ROUND(INDEX(Archetypes!$I$2:$I$127, MATCH(D386, Archetypes!$A$2:$A$127, 0))*INDEX(Unit_Grades!$C$2:$C$7, MATCH(F386, Unit_Grades!$A$2:$A$7, 0)),1)</f>
        <v>5</v>
      </c>
      <c r="M386" s="6" t="n">
        <f aca="false">ROUND(INDEX(Archetypes!$J$2:$J$127, MATCH(D386, Archetypes!$A$2:$A$127, 0))*INDEX(Unit_Grades!$D$2:$D$7, MATCH(F386, Unit_Grades!$A$2:$A$7, 0)),1)</f>
        <v>2</v>
      </c>
      <c r="N386" s="6" t="n">
        <f aca="false">ROUND(M386/24,2)</f>
        <v>0.08</v>
      </c>
    </row>
    <row r="387" customFormat="false" ht="15" hidden="false" customHeight="true" outlineLevel="0" collapsed="false">
      <c r="A387" s="6" t="n">
        <v>2</v>
      </c>
      <c r="B387" s="6" t="s">
        <v>1933</v>
      </c>
      <c r="C387" s="6" t="s">
        <v>1302</v>
      </c>
      <c r="D387" s="6" t="str">
        <f aca="false">A387&amp;"|"&amp;C387</f>
        <v>2|Longbowman</v>
      </c>
      <c r="E387" s="6" t="s">
        <v>1558</v>
      </c>
      <c r="F387" s="6" t="s">
        <v>1540</v>
      </c>
      <c r="G387" s="6" t="str">
        <f aca="false">INDEX(Archetypes!$D$2:$D$127, MATCH(D387, Archetypes!$A$2:$A$127, 0))</f>
        <v>Ranged</v>
      </c>
      <c r="H387" s="6" t="n">
        <f aca="false">ROUND(INDEX(Archetypes!$E$2:$E$127, MATCH(D387, Archetypes!$A$2:$A$127, 0))*INDEX(Unit_Grades!$B$2:$B$7, MATCH(F387, Unit_Grades!$A$2:$A$7, 0))*INDEX(Unit_Paths!$B$2:$B$4, MATCH(E387, Unit_Paths!$A$2:$A$4, 0)),1)</f>
        <v>55.1</v>
      </c>
      <c r="I387" s="6" t="n">
        <f aca="false">ROUND(INDEX(Archetypes!$F$2:$F$127, MATCH(D387, Archetypes!$A$2:$A$127, 0))*INDEX(Unit_Grades!$B$2:$B$7, MATCH(F387, Unit_Grades!$A$2:$A$7, 0))*INDEX(Unit_Paths!$C$2:$C$4, MATCH(E387, Unit_Paths!$A$2:$A$4, 0)),1)</f>
        <v>11.5</v>
      </c>
      <c r="J387" s="6" t="n">
        <f aca="false">ROUND(INDEX(Archetypes!$G$2:$G$127, MATCH(D387, Archetypes!$A$2:$A$127, 0))*INDEX(Unit_Grades!$B$2:$B$7, MATCH(F387, Unit_Grades!$A$2:$A$7, 0))*INDEX(Unit_Paths!$D$2:$D$4, MATCH(E387, Unit_Paths!$A$2:$A$4, 0)),0)</f>
        <v>83</v>
      </c>
      <c r="K387" s="6" t="n">
        <f aca="false">ROUND(INDEX(Archetypes!$H$2:$H$127, MATCH(D387, Archetypes!$A$2:$A$127, 0))*INDEX(Unit_Paths!$E$2:$E$4, MATCH(E387, Unit_Paths!$A$2:$A$4, 0)),1)</f>
        <v>15.8</v>
      </c>
      <c r="L387" s="6" t="n">
        <f aca="false">ROUND(INDEX(Archetypes!$I$2:$I$127, MATCH(D387, Archetypes!$A$2:$A$127, 0))*INDEX(Unit_Grades!$C$2:$C$7, MATCH(F387, Unit_Grades!$A$2:$A$7, 0)),1)</f>
        <v>6.3</v>
      </c>
      <c r="M387" s="6" t="n">
        <f aca="false">ROUND(INDEX(Archetypes!$J$2:$J$127, MATCH(D387, Archetypes!$A$2:$A$127, 0))*INDEX(Unit_Grades!$D$2:$D$7, MATCH(F387, Unit_Grades!$A$2:$A$7, 0)),1)</f>
        <v>3</v>
      </c>
      <c r="N387" s="6" t="n">
        <f aca="false">ROUND(M387/24,2)</f>
        <v>0.13</v>
      </c>
    </row>
    <row r="388" customFormat="false" ht="15" hidden="false" customHeight="true" outlineLevel="0" collapsed="false">
      <c r="A388" s="6" t="n">
        <v>2</v>
      </c>
      <c r="B388" s="6" t="s">
        <v>1934</v>
      </c>
      <c r="C388" s="6" t="s">
        <v>1302</v>
      </c>
      <c r="D388" s="6" t="str">
        <f aca="false">A388&amp;"|"&amp;C388</f>
        <v>2|Longbowman</v>
      </c>
      <c r="E388" s="6" t="s">
        <v>1558</v>
      </c>
      <c r="F388" s="6" t="s">
        <v>1542</v>
      </c>
      <c r="G388" s="6" t="str">
        <f aca="false">INDEX(Archetypes!$D$2:$D$127, MATCH(D388, Archetypes!$A$2:$A$127, 0))</f>
        <v>Ranged</v>
      </c>
      <c r="H388" s="6" t="n">
        <f aca="false">ROUND(INDEX(Archetypes!$E$2:$E$127, MATCH(D388, Archetypes!$A$2:$A$127, 0))*INDEX(Unit_Grades!$B$2:$B$7, MATCH(F388, Unit_Grades!$A$2:$A$7, 0))*INDEX(Unit_Paths!$B$2:$B$4, MATCH(E388, Unit_Paths!$A$2:$A$4, 0)),1)</f>
        <v>73.4</v>
      </c>
      <c r="I388" s="6" t="n">
        <f aca="false">ROUND(INDEX(Archetypes!$F$2:$F$127, MATCH(D388, Archetypes!$A$2:$A$127, 0))*INDEX(Unit_Grades!$B$2:$B$7, MATCH(F388, Unit_Grades!$A$2:$A$7, 0))*INDEX(Unit_Paths!$C$2:$C$4, MATCH(E388, Unit_Paths!$A$2:$A$4, 0)),1)</f>
        <v>15.3</v>
      </c>
      <c r="J388" s="6" t="n">
        <f aca="false">ROUND(INDEX(Archetypes!$G$2:$G$127, MATCH(D388, Archetypes!$A$2:$A$127, 0))*INDEX(Unit_Grades!$B$2:$B$7, MATCH(F388, Unit_Grades!$A$2:$A$7, 0))*INDEX(Unit_Paths!$D$2:$D$4, MATCH(E388, Unit_Paths!$A$2:$A$4, 0)),0)</f>
        <v>111</v>
      </c>
      <c r="K388" s="6" t="n">
        <f aca="false">ROUND(INDEX(Archetypes!$H$2:$H$127, MATCH(D388, Archetypes!$A$2:$A$127, 0))*INDEX(Unit_Paths!$E$2:$E$4, MATCH(E388, Unit_Paths!$A$2:$A$4, 0)),1)</f>
        <v>15.8</v>
      </c>
      <c r="L388" s="6" t="n">
        <f aca="false">ROUND(INDEX(Archetypes!$I$2:$I$127, MATCH(D388, Archetypes!$A$2:$A$127, 0))*INDEX(Unit_Grades!$C$2:$C$7, MATCH(F388, Unit_Grades!$A$2:$A$7, 0)),1)</f>
        <v>8</v>
      </c>
      <c r="M388" s="6" t="n">
        <f aca="false">ROUND(INDEX(Archetypes!$J$2:$J$127, MATCH(D388, Archetypes!$A$2:$A$127, 0))*INDEX(Unit_Grades!$D$2:$D$7, MATCH(F388, Unit_Grades!$A$2:$A$7, 0)),1)</f>
        <v>5.1</v>
      </c>
      <c r="N388" s="6" t="n">
        <f aca="false">ROUND(M388/24,2)</f>
        <v>0.21</v>
      </c>
    </row>
    <row r="389" customFormat="false" ht="15" hidden="false" customHeight="true" outlineLevel="0" collapsed="false">
      <c r="A389" s="6" t="n">
        <v>2</v>
      </c>
      <c r="B389" s="6" t="s">
        <v>1935</v>
      </c>
      <c r="C389" s="6" t="s">
        <v>1302</v>
      </c>
      <c r="D389" s="6" t="str">
        <f aca="false">A389&amp;"|"&amp;C389</f>
        <v>2|Longbowman</v>
      </c>
      <c r="E389" s="6" t="s">
        <v>1558</v>
      </c>
      <c r="F389" s="6" t="s">
        <v>1544</v>
      </c>
      <c r="G389" s="6" t="str">
        <f aca="false">INDEX(Archetypes!$D$2:$D$127, MATCH(D389, Archetypes!$A$2:$A$127, 0))</f>
        <v>Ranged</v>
      </c>
      <c r="H389" s="6" t="n">
        <f aca="false">ROUND(INDEX(Archetypes!$E$2:$E$127, MATCH(D389, Archetypes!$A$2:$A$127, 0))*INDEX(Unit_Grades!$B$2:$B$7, MATCH(F389, Unit_Grades!$A$2:$A$7, 0))*INDEX(Unit_Paths!$B$2:$B$4, MATCH(E389, Unit_Paths!$A$2:$A$4, 0)),1)</f>
        <v>97.9</v>
      </c>
      <c r="I389" s="6" t="n">
        <f aca="false">ROUND(INDEX(Archetypes!$F$2:$F$127, MATCH(D389, Archetypes!$A$2:$A$127, 0))*INDEX(Unit_Grades!$B$2:$B$7, MATCH(F389, Unit_Grades!$A$2:$A$7, 0))*INDEX(Unit_Paths!$C$2:$C$4, MATCH(E389, Unit_Paths!$A$2:$A$4, 0)),1)</f>
        <v>20.4</v>
      </c>
      <c r="J389" s="6" t="n">
        <f aca="false">ROUND(INDEX(Archetypes!$G$2:$G$127, MATCH(D389, Archetypes!$A$2:$A$127, 0))*INDEX(Unit_Grades!$B$2:$B$7, MATCH(F389, Unit_Grades!$A$2:$A$7, 0))*INDEX(Unit_Paths!$D$2:$D$4, MATCH(E389, Unit_Paths!$A$2:$A$4, 0)),0)</f>
        <v>148</v>
      </c>
      <c r="K389" s="6" t="n">
        <f aca="false">ROUND(INDEX(Archetypes!$H$2:$H$127, MATCH(D389, Archetypes!$A$2:$A$127, 0))*INDEX(Unit_Paths!$E$2:$E$4, MATCH(E389, Unit_Paths!$A$2:$A$4, 0)),1)</f>
        <v>15.8</v>
      </c>
      <c r="L389" s="6" t="n">
        <f aca="false">ROUND(INDEX(Archetypes!$I$2:$I$127, MATCH(D389, Archetypes!$A$2:$A$127, 0))*INDEX(Unit_Grades!$C$2:$C$7, MATCH(F389, Unit_Grades!$A$2:$A$7, 0)),1)</f>
        <v>10.5</v>
      </c>
      <c r="M389" s="6" t="n">
        <f aca="false">ROUND(INDEX(Archetypes!$J$2:$J$127, MATCH(D389, Archetypes!$A$2:$A$127, 0))*INDEX(Unit_Grades!$D$2:$D$7, MATCH(F389, Unit_Grades!$A$2:$A$7, 0)),1)</f>
        <v>8.1</v>
      </c>
      <c r="N389" s="6" t="n">
        <f aca="false">ROUND(M389/24,2)</f>
        <v>0.34</v>
      </c>
    </row>
    <row r="390" customFormat="false" ht="15" hidden="false" customHeight="true" outlineLevel="0" collapsed="false">
      <c r="A390" s="6" t="n">
        <v>2</v>
      </c>
      <c r="B390" s="6" t="s">
        <v>1936</v>
      </c>
      <c r="C390" s="6" t="s">
        <v>1302</v>
      </c>
      <c r="D390" s="6" t="str">
        <f aca="false">A390&amp;"|"&amp;C390</f>
        <v>2|Longbowman</v>
      </c>
      <c r="E390" s="6" t="s">
        <v>1558</v>
      </c>
      <c r="F390" s="6" t="s">
        <v>1546</v>
      </c>
      <c r="G390" s="6" t="str">
        <f aca="false">INDEX(Archetypes!$D$2:$D$127, MATCH(D390, Archetypes!$A$2:$A$127, 0))</f>
        <v>Ranged</v>
      </c>
      <c r="H390" s="6" t="n">
        <f aca="false">ROUND(INDEX(Archetypes!$E$2:$E$127, MATCH(D390, Archetypes!$A$2:$A$127, 0))*INDEX(Unit_Grades!$B$2:$B$7, MATCH(F390, Unit_Grades!$A$2:$A$7, 0))*INDEX(Unit_Paths!$B$2:$B$4, MATCH(E390, Unit_Paths!$A$2:$A$4, 0)),1)</f>
        <v>130.6</v>
      </c>
      <c r="I390" s="6" t="n">
        <f aca="false">ROUND(INDEX(Archetypes!$F$2:$F$127, MATCH(D390, Archetypes!$A$2:$A$127, 0))*INDEX(Unit_Grades!$B$2:$B$7, MATCH(F390, Unit_Grades!$A$2:$A$7, 0))*INDEX(Unit_Paths!$C$2:$C$4, MATCH(E390, Unit_Paths!$A$2:$A$4, 0)),1)</f>
        <v>27.2</v>
      </c>
      <c r="J390" s="6" t="n">
        <f aca="false">ROUND(INDEX(Archetypes!$G$2:$G$127, MATCH(D390, Archetypes!$A$2:$A$127, 0))*INDEX(Unit_Grades!$B$2:$B$7, MATCH(F390, Unit_Grades!$A$2:$A$7, 0))*INDEX(Unit_Paths!$D$2:$D$4, MATCH(E390, Unit_Paths!$A$2:$A$4, 0)),0)</f>
        <v>198</v>
      </c>
      <c r="K390" s="6" t="n">
        <f aca="false">ROUND(INDEX(Archetypes!$H$2:$H$127, MATCH(D390, Archetypes!$A$2:$A$127, 0))*INDEX(Unit_Paths!$E$2:$E$4, MATCH(E390, Unit_Paths!$A$2:$A$4, 0)),1)</f>
        <v>15.8</v>
      </c>
      <c r="L390" s="6" t="n">
        <f aca="false">ROUND(INDEX(Archetypes!$I$2:$I$127, MATCH(D390, Archetypes!$A$2:$A$127, 0))*INDEX(Unit_Grades!$C$2:$C$7, MATCH(F390, Unit_Grades!$A$2:$A$7, 0)),1)</f>
        <v>14</v>
      </c>
      <c r="M390" s="6" t="n">
        <f aca="false">ROUND(INDEX(Archetypes!$J$2:$J$127, MATCH(D390, Archetypes!$A$2:$A$127, 0))*INDEX(Unit_Grades!$D$2:$D$7, MATCH(F390, Unit_Grades!$A$2:$A$7, 0)),1)</f>
        <v>14.2</v>
      </c>
      <c r="N390" s="6" t="n">
        <f aca="false">ROUND(M390/24,2)</f>
        <v>0.59</v>
      </c>
    </row>
    <row r="391" customFormat="false" ht="15" hidden="false" customHeight="true" outlineLevel="0" collapsed="false">
      <c r="A391" s="6" t="n">
        <v>2</v>
      </c>
      <c r="B391" s="6" t="s">
        <v>1937</v>
      </c>
      <c r="C391" s="6" t="s">
        <v>1302</v>
      </c>
      <c r="D391" s="6" t="str">
        <f aca="false">A391&amp;"|"&amp;C391</f>
        <v>2|Longbowman</v>
      </c>
      <c r="E391" s="6" t="s">
        <v>1558</v>
      </c>
      <c r="F391" s="6" t="s">
        <v>1548</v>
      </c>
      <c r="G391" s="6" t="str">
        <f aca="false">INDEX(Archetypes!$D$2:$D$127, MATCH(D391, Archetypes!$A$2:$A$127, 0))</f>
        <v>Ranged</v>
      </c>
      <c r="H391" s="6" t="n">
        <f aca="false">ROUND(INDEX(Archetypes!$E$2:$E$127, MATCH(D391, Archetypes!$A$2:$A$127, 0))*INDEX(Unit_Grades!$B$2:$B$7, MATCH(F391, Unit_Grades!$A$2:$A$7, 0))*INDEX(Unit_Paths!$B$2:$B$4, MATCH(E391, Unit_Paths!$A$2:$A$4, 0)),1)</f>
        <v>171.4</v>
      </c>
      <c r="I391" s="6" t="n">
        <f aca="false">ROUND(INDEX(Archetypes!$F$2:$F$127, MATCH(D391, Archetypes!$A$2:$A$127, 0))*INDEX(Unit_Grades!$B$2:$B$7, MATCH(F391, Unit_Grades!$A$2:$A$7, 0))*INDEX(Unit_Paths!$C$2:$C$4, MATCH(E391, Unit_Paths!$A$2:$A$4, 0)),1)</f>
        <v>35.7</v>
      </c>
      <c r="J391" s="6" t="n">
        <f aca="false">ROUND(INDEX(Archetypes!$G$2:$G$127, MATCH(D391, Archetypes!$A$2:$A$127, 0))*INDEX(Unit_Grades!$B$2:$B$7, MATCH(F391, Unit_Grades!$A$2:$A$7, 0))*INDEX(Unit_Paths!$D$2:$D$4, MATCH(E391, Unit_Paths!$A$2:$A$4, 0)),0)</f>
        <v>259</v>
      </c>
      <c r="K391" s="6" t="n">
        <f aca="false">ROUND(INDEX(Archetypes!$H$2:$H$127, MATCH(D391, Archetypes!$A$2:$A$127, 0))*INDEX(Unit_Paths!$E$2:$E$4, MATCH(E391, Unit_Paths!$A$2:$A$4, 0)),1)</f>
        <v>15.8</v>
      </c>
      <c r="L391" s="6" t="n">
        <f aca="false">ROUND(INDEX(Archetypes!$I$2:$I$127, MATCH(D391, Archetypes!$A$2:$A$127, 0))*INDEX(Unit_Grades!$C$2:$C$7, MATCH(F391, Unit_Grades!$A$2:$A$7, 0)),1)</f>
        <v>18.5</v>
      </c>
      <c r="M391" s="6" t="n">
        <f aca="false">ROUND(INDEX(Archetypes!$J$2:$J$127, MATCH(D391, Archetypes!$A$2:$A$127, 0))*INDEX(Unit_Grades!$D$2:$D$7, MATCH(F391, Unit_Grades!$A$2:$A$7, 0)),1)</f>
        <v>24.4</v>
      </c>
      <c r="N391" s="6" t="n">
        <f aca="false">ROUND(M391/24,2)</f>
        <v>1.02</v>
      </c>
    </row>
    <row r="392" customFormat="false" ht="15" hidden="false" customHeight="true" outlineLevel="0" collapsed="false">
      <c r="A392" s="6" t="n">
        <v>2</v>
      </c>
      <c r="B392" s="6" t="s">
        <v>1938</v>
      </c>
      <c r="C392" s="6" t="s">
        <v>1302</v>
      </c>
      <c r="D392" s="6" t="str">
        <f aca="false">A392&amp;"|"&amp;C392</f>
        <v>2|Longbowman</v>
      </c>
      <c r="E392" s="6" t="s">
        <v>1560</v>
      </c>
      <c r="F392" s="6" t="s">
        <v>1538</v>
      </c>
      <c r="G392" s="6" t="str">
        <f aca="false">INDEX(Archetypes!$D$2:$D$127, MATCH(D392, Archetypes!$A$2:$A$127, 0))</f>
        <v>Ranged</v>
      </c>
      <c r="H392" s="6" t="n">
        <f aca="false">ROUND(INDEX(Archetypes!$E$2:$E$127, MATCH(D392, Archetypes!$A$2:$A$127, 0))*INDEX(Unit_Grades!$B$2:$B$7, MATCH(F392, Unit_Grades!$A$2:$A$7, 0))*INDEX(Unit_Paths!$B$2:$B$4, MATCH(E392, Unit_Paths!$A$2:$A$4, 0)),1)</f>
        <v>28.9</v>
      </c>
      <c r="I392" s="6" t="n">
        <f aca="false">ROUND(INDEX(Archetypes!$F$2:$F$127, MATCH(D392, Archetypes!$A$2:$A$127, 0))*INDEX(Unit_Grades!$B$2:$B$7, MATCH(F392, Unit_Grades!$A$2:$A$7, 0))*INDEX(Unit_Paths!$C$2:$C$4, MATCH(E392, Unit_Paths!$A$2:$A$4, 0)),1)</f>
        <v>12.5</v>
      </c>
      <c r="J392" s="6" t="n">
        <f aca="false">ROUND(INDEX(Archetypes!$G$2:$G$127, MATCH(D392, Archetypes!$A$2:$A$127, 0))*INDEX(Unit_Grades!$B$2:$B$7, MATCH(F392, Unit_Grades!$A$2:$A$7, 0))*INDEX(Unit_Paths!$D$2:$D$4, MATCH(E392, Unit_Paths!$A$2:$A$4, 0)),0)</f>
        <v>75</v>
      </c>
      <c r="K392" s="6" t="n">
        <f aca="false">ROUND(INDEX(Archetypes!$H$2:$H$127, MATCH(D392, Archetypes!$A$2:$A$127, 0))*INDEX(Unit_Paths!$E$2:$E$4, MATCH(E392, Unit_Paths!$A$2:$A$4, 0)),1)</f>
        <v>13.8</v>
      </c>
      <c r="L392" s="6" t="n">
        <f aca="false">ROUND(INDEX(Archetypes!$I$2:$I$127, MATCH(D392, Archetypes!$A$2:$A$127, 0))*INDEX(Unit_Grades!$C$2:$C$7, MATCH(F392, Unit_Grades!$A$2:$A$7, 0)),1)</f>
        <v>5</v>
      </c>
      <c r="M392" s="6" t="n">
        <f aca="false">ROUND(INDEX(Archetypes!$J$2:$J$127, MATCH(D392, Archetypes!$A$2:$A$127, 0))*INDEX(Unit_Grades!$D$2:$D$7, MATCH(F392, Unit_Grades!$A$2:$A$7, 0)),1)</f>
        <v>2</v>
      </c>
      <c r="N392" s="6" t="n">
        <f aca="false">ROUND(M392/24,2)</f>
        <v>0.08</v>
      </c>
    </row>
    <row r="393" customFormat="false" ht="15" hidden="false" customHeight="true" outlineLevel="0" collapsed="false">
      <c r="A393" s="6" t="n">
        <v>2</v>
      </c>
      <c r="B393" s="6" t="s">
        <v>1939</v>
      </c>
      <c r="C393" s="6" t="s">
        <v>1302</v>
      </c>
      <c r="D393" s="6" t="str">
        <f aca="false">A393&amp;"|"&amp;C393</f>
        <v>2|Longbowman</v>
      </c>
      <c r="E393" s="6" t="s">
        <v>1560</v>
      </c>
      <c r="F393" s="6" t="s">
        <v>1540</v>
      </c>
      <c r="G393" s="6" t="str">
        <f aca="false">INDEX(Archetypes!$D$2:$D$127, MATCH(D393, Archetypes!$A$2:$A$127, 0))</f>
        <v>Ranged</v>
      </c>
      <c r="H393" s="6" t="n">
        <f aca="false">ROUND(INDEX(Archetypes!$E$2:$E$127, MATCH(D393, Archetypes!$A$2:$A$127, 0))*INDEX(Unit_Grades!$B$2:$B$7, MATCH(F393, Unit_Grades!$A$2:$A$7, 0))*INDEX(Unit_Paths!$B$2:$B$4, MATCH(E393, Unit_Paths!$A$2:$A$4, 0)),1)</f>
        <v>39</v>
      </c>
      <c r="I393" s="6" t="n">
        <f aca="false">ROUND(INDEX(Archetypes!$F$2:$F$127, MATCH(D393, Archetypes!$A$2:$A$127, 0))*INDEX(Unit_Grades!$B$2:$B$7, MATCH(F393, Unit_Grades!$A$2:$A$7, 0))*INDEX(Unit_Paths!$C$2:$C$4, MATCH(E393, Unit_Paths!$A$2:$A$4, 0)),1)</f>
        <v>16.9</v>
      </c>
      <c r="J393" s="6" t="n">
        <f aca="false">ROUND(INDEX(Archetypes!$G$2:$G$127, MATCH(D393, Archetypes!$A$2:$A$127, 0))*INDEX(Unit_Grades!$B$2:$B$7, MATCH(F393, Unit_Grades!$A$2:$A$7, 0))*INDEX(Unit_Paths!$D$2:$D$4, MATCH(E393, Unit_Paths!$A$2:$A$4, 0)),0)</f>
        <v>101</v>
      </c>
      <c r="K393" s="6" t="n">
        <f aca="false">ROUND(INDEX(Archetypes!$H$2:$H$127, MATCH(D393, Archetypes!$A$2:$A$127, 0))*INDEX(Unit_Paths!$E$2:$E$4, MATCH(E393, Unit_Paths!$A$2:$A$4, 0)),1)</f>
        <v>13.8</v>
      </c>
      <c r="L393" s="6" t="n">
        <f aca="false">ROUND(INDEX(Archetypes!$I$2:$I$127, MATCH(D393, Archetypes!$A$2:$A$127, 0))*INDEX(Unit_Grades!$C$2:$C$7, MATCH(F393, Unit_Grades!$A$2:$A$7, 0)),1)</f>
        <v>6.3</v>
      </c>
      <c r="M393" s="6" t="n">
        <f aca="false">ROUND(INDEX(Archetypes!$J$2:$J$127, MATCH(D393, Archetypes!$A$2:$A$127, 0))*INDEX(Unit_Grades!$D$2:$D$7, MATCH(F393, Unit_Grades!$A$2:$A$7, 0)),1)</f>
        <v>3</v>
      </c>
      <c r="N393" s="6" t="n">
        <f aca="false">ROUND(M393/24,2)</f>
        <v>0.13</v>
      </c>
    </row>
    <row r="394" customFormat="false" ht="15" hidden="false" customHeight="true" outlineLevel="0" collapsed="false">
      <c r="A394" s="6" t="n">
        <v>2</v>
      </c>
      <c r="B394" s="6" t="s">
        <v>1940</v>
      </c>
      <c r="C394" s="6" t="s">
        <v>1302</v>
      </c>
      <c r="D394" s="6" t="str">
        <f aca="false">A394&amp;"|"&amp;C394</f>
        <v>2|Longbowman</v>
      </c>
      <c r="E394" s="6" t="s">
        <v>1560</v>
      </c>
      <c r="F394" s="6" t="s">
        <v>1542</v>
      </c>
      <c r="G394" s="6" t="str">
        <f aca="false">INDEX(Archetypes!$D$2:$D$127, MATCH(D394, Archetypes!$A$2:$A$127, 0))</f>
        <v>Ranged</v>
      </c>
      <c r="H394" s="6" t="n">
        <f aca="false">ROUND(INDEX(Archetypes!$E$2:$E$127, MATCH(D394, Archetypes!$A$2:$A$127, 0))*INDEX(Unit_Grades!$B$2:$B$7, MATCH(F394, Unit_Grades!$A$2:$A$7, 0))*INDEX(Unit_Paths!$B$2:$B$4, MATCH(E394, Unit_Paths!$A$2:$A$4, 0)),1)</f>
        <v>52</v>
      </c>
      <c r="I394" s="6" t="n">
        <f aca="false">ROUND(INDEX(Archetypes!$F$2:$F$127, MATCH(D394, Archetypes!$A$2:$A$127, 0))*INDEX(Unit_Grades!$B$2:$B$7, MATCH(F394, Unit_Grades!$A$2:$A$7, 0))*INDEX(Unit_Paths!$C$2:$C$4, MATCH(E394, Unit_Paths!$A$2:$A$4, 0)),1)</f>
        <v>22.5</v>
      </c>
      <c r="J394" s="6" t="n">
        <f aca="false">ROUND(INDEX(Archetypes!$G$2:$G$127, MATCH(D394, Archetypes!$A$2:$A$127, 0))*INDEX(Unit_Grades!$B$2:$B$7, MATCH(F394, Unit_Grades!$A$2:$A$7, 0))*INDEX(Unit_Paths!$D$2:$D$4, MATCH(E394, Unit_Paths!$A$2:$A$4, 0)),0)</f>
        <v>135</v>
      </c>
      <c r="K394" s="6" t="n">
        <f aca="false">ROUND(INDEX(Archetypes!$H$2:$H$127, MATCH(D394, Archetypes!$A$2:$A$127, 0))*INDEX(Unit_Paths!$E$2:$E$4, MATCH(E394, Unit_Paths!$A$2:$A$4, 0)),1)</f>
        <v>13.8</v>
      </c>
      <c r="L394" s="6" t="n">
        <f aca="false">ROUND(INDEX(Archetypes!$I$2:$I$127, MATCH(D394, Archetypes!$A$2:$A$127, 0))*INDEX(Unit_Grades!$C$2:$C$7, MATCH(F394, Unit_Grades!$A$2:$A$7, 0)),1)</f>
        <v>8</v>
      </c>
      <c r="M394" s="6" t="n">
        <f aca="false">ROUND(INDEX(Archetypes!$J$2:$J$127, MATCH(D394, Archetypes!$A$2:$A$127, 0))*INDEX(Unit_Grades!$D$2:$D$7, MATCH(F394, Unit_Grades!$A$2:$A$7, 0)),1)</f>
        <v>5.1</v>
      </c>
      <c r="N394" s="6" t="n">
        <f aca="false">ROUND(M394/24,2)</f>
        <v>0.21</v>
      </c>
    </row>
    <row r="395" customFormat="false" ht="15" hidden="false" customHeight="true" outlineLevel="0" collapsed="false">
      <c r="A395" s="6" t="n">
        <v>2</v>
      </c>
      <c r="B395" s="6" t="s">
        <v>1941</v>
      </c>
      <c r="C395" s="6" t="s">
        <v>1302</v>
      </c>
      <c r="D395" s="6" t="str">
        <f aca="false">A395&amp;"|"&amp;C395</f>
        <v>2|Longbowman</v>
      </c>
      <c r="E395" s="6" t="s">
        <v>1560</v>
      </c>
      <c r="F395" s="6" t="s">
        <v>1544</v>
      </c>
      <c r="G395" s="6" t="str">
        <f aca="false">INDEX(Archetypes!$D$2:$D$127, MATCH(D395, Archetypes!$A$2:$A$127, 0))</f>
        <v>Ranged</v>
      </c>
      <c r="H395" s="6" t="n">
        <f aca="false">ROUND(INDEX(Archetypes!$E$2:$E$127, MATCH(D395, Archetypes!$A$2:$A$127, 0))*INDEX(Unit_Grades!$B$2:$B$7, MATCH(F395, Unit_Grades!$A$2:$A$7, 0))*INDEX(Unit_Paths!$B$2:$B$4, MATCH(E395, Unit_Paths!$A$2:$A$4, 0)),1)</f>
        <v>69.4</v>
      </c>
      <c r="I395" s="6" t="n">
        <f aca="false">ROUND(INDEX(Archetypes!$F$2:$F$127, MATCH(D395, Archetypes!$A$2:$A$127, 0))*INDEX(Unit_Grades!$B$2:$B$7, MATCH(F395, Unit_Grades!$A$2:$A$7, 0))*INDEX(Unit_Paths!$C$2:$C$4, MATCH(E395, Unit_Paths!$A$2:$A$4, 0)),1)</f>
        <v>30</v>
      </c>
      <c r="J395" s="6" t="n">
        <f aca="false">ROUND(INDEX(Archetypes!$G$2:$G$127, MATCH(D395, Archetypes!$A$2:$A$127, 0))*INDEX(Unit_Grades!$B$2:$B$7, MATCH(F395, Unit_Grades!$A$2:$A$7, 0))*INDEX(Unit_Paths!$D$2:$D$4, MATCH(E395, Unit_Paths!$A$2:$A$4, 0)),0)</f>
        <v>179</v>
      </c>
      <c r="K395" s="6" t="n">
        <f aca="false">ROUND(INDEX(Archetypes!$H$2:$H$127, MATCH(D395, Archetypes!$A$2:$A$127, 0))*INDEX(Unit_Paths!$E$2:$E$4, MATCH(E395, Unit_Paths!$A$2:$A$4, 0)),1)</f>
        <v>13.8</v>
      </c>
      <c r="L395" s="6" t="n">
        <f aca="false">ROUND(INDEX(Archetypes!$I$2:$I$127, MATCH(D395, Archetypes!$A$2:$A$127, 0))*INDEX(Unit_Grades!$C$2:$C$7, MATCH(F395, Unit_Grades!$A$2:$A$7, 0)),1)</f>
        <v>10.5</v>
      </c>
      <c r="M395" s="6" t="n">
        <f aca="false">ROUND(INDEX(Archetypes!$J$2:$J$127, MATCH(D395, Archetypes!$A$2:$A$127, 0))*INDEX(Unit_Grades!$D$2:$D$7, MATCH(F395, Unit_Grades!$A$2:$A$7, 0)),1)</f>
        <v>8.1</v>
      </c>
      <c r="N395" s="6" t="n">
        <f aca="false">ROUND(M395/24,2)</f>
        <v>0.34</v>
      </c>
    </row>
    <row r="396" customFormat="false" ht="15" hidden="false" customHeight="true" outlineLevel="0" collapsed="false">
      <c r="A396" s="6" t="n">
        <v>2</v>
      </c>
      <c r="B396" s="6" t="s">
        <v>1942</v>
      </c>
      <c r="C396" s="6" t="s">
        <v>1302</v>
      </c>
      <c r="D396" s="6" t="str">
        <f aca="false">A396&amp;"|"&amp;C396</f>
        <v>2|Longbowman</v>
      </c>
      <c r="E396" s="6" t="s">
        <v>1560</v>
      </c>
      <c r="F396" s="6" t="s">
        <v>1546</v>
      </c>
      <c r="G396" s="6" t="str">
        <f aca="false">INDEX(Archetypes!$D$2:$D$127, MATCH(D396, Archetypes!$A$2:$A$127, 0))</f>
        <v>Ranged</v>
      </c>
      <c r="H396" s="6" t="n">
        <f aca="false">ROUND(INDEX(Archetypes!$E$2:$E$127, MATCH(D396, Archetypes!$A$2:$A$127, 0))*INDEX(Unit_Grades!$B$2:$B$7, MATCH(F396, Unit_Grades!$A$2:$A$7, 0))*INDEX(Unit_Paths!$B$2:$B$4, MATCH(E396, Unit_Paths!$A$2:$A$4, 0)),1)</f>
        <v>92.5</v>
      </c>
      <c r="I396" s="6" t="n">
        <f aca="false">ROUND(INDEX(Archetypes!$F$2:$F$127, MATCH(D396, Archetypes!$A$2:$A$127, 0))*INDEX(Unit_Grades!$B$2:$B$7, MATCH(F396, Unit_Grades!$A$2:$A$7, 0))*INDEX(Unit_Paths!$C$2:$C$4, MATCH(E396, Unit_Paths!$A$2:$A$4, 0)),1)</f>
        <v>40</v>
      </c>
      <c r="J396" s="6" t="n">
        <f aca="false">ROUND(INDEX(Archetypes!$G$2:$G$127, MATCH(D396, Archetypes!$A$2:$A$127, 0))*INDEX(Unit_Grades!$B$2:$B$7, MATCH(F396, Unit_Grades!$A$2:$A$7, 0))*INDEX(Unit_Paths!$D$2:$D$4, MATCH(E396, Unit_Paths!$A$2:$A$4, 0)),0)</f>
        <v>239</v>
      </c>
      <c r="K396" s="6" t="n">
        <f aca="false">ROUND(INDEX(Archetypes!$H$2:$H$127, MATCH(D396, Archetypes!$A$2:$A$127, 0))*INDEX(Unit_Paths!$E$2:$E$4, MATCH(E396, Unit_Paths!$A$2:$A$4, 0)),1)</f>
        <v>13.8</v>
      </c>
      <c r="L396" s="6" t="n">
        <f aca="false">ROUND(INDEX(Archetypes!$I$2:$I$127, MATCH(D396, Archetypes!$A$2:$A$127, 0))*INDEX(Unit_Grades!$C$2:$C$7, MATCH(F396, Unit_Grades!$A$2:$A$7, 0)),1)</f>
        <v>14</v>
      </c>
      <c r="M396" s="6" t="n">
        <f aca="false">ROUND(INDEX(Archetypes!$J$2:$J$127, MATCH(D396, Archetypes!$A$2:$A$127, 0))*INDEX(Unit_Grades!$D$2:$D$7, MATCH(F396, Unit_Grades!$A$2:$A$7, 0)),1)</f>
        <v>14.2</v>
      </c>
      <c r="N396" s="6" t="n">
        <f aca="false">ROUND(M396/24,2)</f>
        <v>0.59</v>
      </c>
    </row>
    <row r="397" customFormat="false" ht="15" hidden="false" customHeight="true" outlineLevel="0" collapsed="false">
      <c r="A397" s="6" t="n">
        <v>2</v>
      </c>
      <c r="B397" s="6" t="s">
        <v>1943</v>
      </c>
      <c r="C397" s="6" t="s">
        <v>1302</v>
      </c>
      <c r="D397" s="6" t="str">
        <f aca="false">A397&amp;"|"&amp;C397</f>
        <v>2|Longbowman</v>
      </c>
      <c r="E397" s="6" t="s">
        <v>1560</v>
      </c>
      <c r="F397" s="6" t="s">
        <v>1548</v>
      </c>
      <c r="G397" s="6" t="str">
        <f aca="false">INDEX(Archetypes!$D$2:$D$127, MATCH(D397, Archetypes!$A$2:$A$127, 0))</f>
        <v>Ranged</v>
      </c>
      <c r="H397" s="6" t="n">
        <f aca="false">ROUND(INDEX(Archetypes!$E$2:$E$127, MATCH(D397, Archetypes!$A$2:$A$127, 0))*INDEX(Unit_Grades!$B$2:$B$7, MATCH(F397, Unit_Grades!$A$2:$A$7, 0))*INDEX(Unit_Paths!$B$2:$B$4, MATCH(E397, Unit_Paths!$A$2:$A$4, 0)),1)</f>
        <v>121.4</v>
      </c>
      <c r="I397" s="6" t="n">
        <f aca="false">ROUND(INDEX(Archetypes!$F$2:$F$127, MATCH(D397, Archetypes!$A$2:$A$127, 0))*INDEX(Unit_Grades!$B$2:$B$7, MATCH(F397, Unit_Grades!$A$2:$A$7, 0))*INDEX(Unit_Paths!$C$2:$C$4, MATCH(E397, Unit_Paths!$A$2:$A$4, 0)),1)</f>
        <v>52.5</v>
      </c>
      <c r="J397" s="6" t="n">
        <f aca="false">ROUND(INDEX(Archetypes!$G$2:$G$127, MATCH(D397, Archetypes!$A$2:$A$127, 0))*INDEX(Unit_Grades!$B$2:$B$7, MATCH(F397, Unit_Grades!$A$2:$A$7, 0))*INDEX(Unit_Paths!$D$2:$D$4, MATCH(E397, Unit_Paths!$A$2:$A$4, 0)),0)</f>
        <v>314</v>
      </c>
      <c r="K397" s="6" t="n">
        <f aca="false">ROUND(INDEX(Archetypes!$H$2:$H$127, MATCH(D397, Archetypes!$A$2:$A$127, 0))*INDEX(Unit_Paths!$E$2:$E$4, MATCH(E397, Unit_Paths!$A$2:$A$4, 0)),1)</f>
        <v>13.8</v>
      </c>
      <c r="L397" s="6" t="n">
        <f aca="false">ROUND(INDEX(Archetypes!$I$2:$I$127, MATCH(D397, Archetypes!$A$2:$A$127, 0))*INDEX(Unit_Grades!$C$2:$C$7, MATCH(F397, Unit_Grades!$A$2:$A$7, 0)),1)</f>
        <v>18.5</v>
      </c>
      <c r="M397" s="6" t="n">
        <f aca="false">ROUND(INDEX(Archetypes!$J$2:$J$127, MATCH(D397, Archetypes!$A$2:$A$127, 0))*INDEX(Unit_Grades!$D$2:$D$7, MATCH(F397, Unit_Grades!$A$2:$A$7, 0)),1)</f>
        <v>24.4</v>
      </c>
      <c r="N397" s="6" t="n">
        <f aca="false">ROUND(M397/24,2)</f>
        <v>1.02</v>
      </c>
    </row>
    <row r="398" customFormat="false" ht="15" hidden="false" customHeight="true" outlineLevel="0" collapsed="false">
      <c r="A398" s="6" t="n">
        <v>2</v>
      </c>
      <c r="B398" s="6" t="s">
        <v>1304</v>
      </c>
      <c r="C398" s="6" t="s">
        <v>1304</v>
      </c>
      <c r="D398" s="6" t="str">
        <f aca="false">A398&amp;"|"&amp;C398</f>
        <v>2|Scout Cavalry</v>
      </c>
      <c r="E398" s="6" t="s">
        <v>1556</v>
      </c>
      <c r="F398" s="6" t="s">
        <v>1538</v>
      </c>
      <c r="G398" s="6" t="str">
        <f aca="false">INDEX(Archetypes!$D$2:$D$127, MATCH(D398, Archetypes!$A$2:$A$127, 0))</f>
        <v>Recon</v>
      </c>
      <c r="H398" s="6" t="n">
        <f aca="false">ROUND(INDEX(Archetypes!$E$2:$E$127, MATCH(D398, Archetypes!$A$2:$A$127, 0))*INDEX(Unit_Grades!$B$2:$B$7, MATCH(F398, Unit_Grades!$A$2:$A$7, 0))*INDEX(Unit_Paths!$B$2:$B$4, MATCH(E398, Unit_Paths!$A$2:$A$4, 0)),1)</f>
        <v>14</v>
      </c>
      <c r="I398" s="6" t="n">
        <f aca="false">ROUND(INDEX(Archetypes!$F$2:$F$127, MATCH(D398, Archetypes!$A$2:$A$127, 0))*INDEX(Unit_Grades!$B$2:$B$7, MATCH(F398, Unit_Grades!$A$2:$A$7, 0))*INDEX(Unit_Paths!$C$2:$C$4, MATCH(E398, Unit_Paths!$A$2:$A$4, 0)),1)</f>
        <v>10</v>
      </c>
      <c r="J398" s="6" t="n">
        <f aca="false">ROUND(INDEX(Archetypes!$G$2:$G$127, MATCH(D398, Archetypes!$A$2:$A$127, 0))*INDEX(Unit_Grades!$B$2:$B$7, MATCH(F398, Unit_Grades!$A$2:$A$7, 0))*INDEX(Unit_Paths!$D$2:$D$4, MATCH(E398, Unit_Paths!$A$2:$A$4, 0)),0)</f>
        <v>70</v>
      </c>
      <c r="K398" s="6" t="n">
        <f aca="false">ROUND(INDEX(Archetypes!$H$2:$H$127, MATCH(D398, Archetypes!$A$2:$A$127, 0))*INDEX(Unit_Paths!$E$2:$E$4, MATCH(E398, Unit_Paths!$A$2:$A$4, 0)),1)</f>
        <v>40</v>
      </c>
      <c r="L398" s="6" t="n">
        <f aca="false">ROUND(INDEX(Archetypes!$I$2:$I$127, MATCH(D398, Archetypes!$A$2:$A$127, 0))*INDEX(Unit_Grades!$C$2:$C$7, MATCH(F398, Unit_Grades!$A$2:$A$7, 0)),1)</f>
        <v>4</v>
      </c>
      <c r="M398" s="6" t="n">
        <f aca="false">ROUND(INDEX(Archetypes!$J$2:$J$127, MATCH(D398, Archetypes!$A$2:$A$127, 0))*INDEX(Unit_Grades!$D$2:$D$7, MATCH(F398, Unit_Grades!$A$2:$A$7, 0)),1)</f>
        <v>1.6</v>
      </c>
      <c r="N398" s="6" t="n">
        <f aca="false">ROUND(M398/24,2)</f>
        <v>0.07</v>
      </c>
    </row>
    <row r="399" customFormat="false" ht="15" hidden="false" customHeight="true" outlineLevel="0" collapsed="false">
      <c r="A399" s="6" t="n">
        <v>2</v>
      </c>
      <c r="B399" s="6" t="s">
        <v>1944</v>
      </c>
      <c r="C399" s="6" t="s">
        <v>1304</v>
      </c>
      <c r="D399" s="6" t="str">
        <f aca="false">A399&amp;"|"&amp;C399</f>
        <v>2|Scout Cavalry</v>
      </c>
      <c r="E399" s="6" t="s">
        <v>1556</v>
      </c>
      <c r="F399" s="6" t="s">
        <v>1540</v>
      </c>
      <c r="G399" s="6" t="str">
        <f aca="false">INDEX(Archetypes!$D$2:$D$127, MATCH(D399, Archetypes!$A$2:$A$127, 0))</f>
        <v>Recon</v>
      </c>
      <c r="H399" s="6" t="n">
        <f aca="false">ROUND(INDEX(Archetypes!$E$2:$E$127, MATCH(D399, Archetypes!$A$2:$A$127, 0))*INDEX(Unit_Grades!$B$2:$B$7, MATCH(F399, Unit_Grades!$A$2:$A$7, 0))*INDEX(Unit_Paths!$B$2:$B$4, MATCH(E399, Unit_Paths!$A$2:$A$4, 0)),1)</f>
        <v>18.9</v>
      </c>
      <c r="I399" s="6" t="n">
        <f aca="false">ROUND(INDEX(Archetypes!$F$2:$F$127, MATCH(D399, Archetypes!$A$2:$A$127, 0))*INDEX(Unit_Grades!$B$2:$B$7, MATCH(F399, Unit_Grades!$A$2:$A$7, 0))*INDEX(Unit_Paths!$C$2:$C$4, MATCH(E399, Unit_Paths!$A$2:$A$4, 0)),1)</f>
        <v>13.5</v>
      </c>
      <c r="J399" s="6" t="n">
        <f aca="false">ROUND(INDEX(Archetypes!$G$2:$G$127, MATCH(D399, Archetypes!$A$2:$A$127, 0))*INDEX(Unit_Grades!$B$2:$B$7, MATCH(F399, Unit_Grades!$A$2:$A$7, 0))*INDEX(Unit_Paths!$D$2:$D$4, MATCH(E399, Unit_Paths!$A$2:$A$4, 0)),0)</f>
        <v>95</v>
      </c>
      <c r="K399" s="6" t="n">
        <f aca="false">ROUND(INDEX(Archetypes!$H$2:$H$127, MATCH(D399, Archetypes!$A$2:$A$127, 0))*INDEX(Unit_Paths!$E$2:$E$4, MATCH(E399, Unit_Paths!$A$2:$A$4, 0)),1)</f>
        <v>40</v>
      </c>
      <c r="L399" s="6" t="n">
        <f aca="false">ROUND(INDEX(Archetypes!$I$2:$I$127, MATCH(D399, Archetypes!$A$2:$A$127, 0))*INDEX(Unit_Grades!$C$2:$C$7, MATCH(F399, Unit_Grades!$A$2:$A$7, 0)),1)</f>
        <v>5</v>
      </c>
      <c r="M399" s="6" t="n">
        <f aca="false">ROUND(INDEX(Archetypes!$J$2:$J$127, MATCH(D399, Archetypes!$A$2:$A$127, 0))*INDEX(Unit_Grades!$D$2:$D$7, MATCH(F399, Unit_Grades!$A$2:$A$7, 0)),1)</f>
        <v>2.4</v>
      </c>
      <c r="N399" s="6" t="n">
        <f aca="false">ROUND(M399/24,2)</f>
        <v>0.1</v>
      </c>
    </row>
    <row r="400" customFormat="false" ht="15" hidden="false" customHeight="true" outlineLevel="0" collapsed="false">
      <c r="A400" s="6" t="n">
        <v>2</v>
      </c>
      <c r="B400" s="6" t="s">
        <v>1945</v>
      </c>
      <c r="C400" s="6" t="s">
        <v>1304</v>
      </c>
      <c r="D400" s="6" t="str">
        <f aca="false">A400&amp;"|"&amp;C400</f>
        <v>2|Scout Cavalry</v>
      </c>
      <c r="E400" s="6" t="s">
        <v>1556</v>
      </c>
      <c r="F400" s="6" t="s">
        <v>1542</v>
      </c>
      <c r="G400" s="6" t="str">
        <f aca="false">INDEX(Archetypes!$D$2:$D$127, MATCH(D400, Archetypes!$A$2:$A$127, 0))</f>
        <v>Recon</v>
      </c>
      <c r="H400" s="6" t="n">
        <f aca="false">ROUND(INDEX(Archetypes!$E$2:$E$127, MATCH(D400, Archetypes!$A$2:$A$127, 0))*INDEX(Unit_Grades!$B$2:$B$7, MATCH(F400, Unit_Grades!$A$2:$A$7, 0))*INDEX(Unit_Paths!$B$2:$B$4, MATCH(E400, Unit_Paths!$A$2:$A$4, 0)),1)</f>
        <v>25.2</v>
      </c>
      <c r="I400" s="6" t="n">
        <f aca="false">ROUND(INDEX(Archetypes!$F$2:$F$127, MATCH(D400, Archetypes!$A$2:$A$127, 0))*INDEX(Unit_Grades!$B$2:$B$7, MATCH(F400, Unit_Grades!$A$2:$A$7, 0))*INDEX(Unit_Paths!$C$2:$C$4, MATCH(E400, Unit_Paths!$A$2:$A$4, 0)),1)</f>
        <v>18</v>
      </c>
      <c r="J400" s="6" t="n">
        <f aca="false">ROUND(INDEX(Archetypes!$G$2:$G$127, MATCH(D400, Archetypes!$A$2:$A$127, 0))*INDEX(Unit_Grades!$B$2:$B$7, MATCH(F400, Unit_Grades!$A$2:$A$7, 0))*INDEX(Unit_Paths!$D$2:$D$4, MATCH(E400, Unit_Paths!$A$2:$A$4, 0)),0)</f>
        <v>126</v>
      </c>
      <c r="K400" s="6" t="n">
        <f aca="false">ROUND(INDEX(Archetypes!$H$2:$H$127, MATCH(D400, Archetypes!$A$2:$A$127, 0))*INDEX(Unit_Paths!$E$2:$E$4, MATCH(E400, Unit_Paths!$A$2:$A$4, 0)),1)</f>
        <v>40</v>
      </c>
      <c r="L400" s="6" t="n">
        <f aca="false">ROUND(INDEX(Archetypes!$I$2:$I$127, MATCH(D400, Archetypes!$A$2:$A$127, 0))*INDEX(Unit_Grades!$C$2:$C$7, MATCH(F400, Unit_Grades!$A$2:$A$7, 0)),1)</f>
        <v>6.4</v>
      </c>
      <c r="M400" s="6" t="n">
        <f aca="false">ROUND(INDEX(Archetypes!$J$2:$J$127, MATCH(D400, Archetypes!$A$2:$A$127, 0))*INDEX(Unit_Grades!$D$2:$D$7, MATCH(F400, Unit_Grades!$A$2:$A$7, 0)),1)</f>
        <v>4.1</v>
      </c>
      <c r="N400" s="6" t="n">
        <f aca="false">ROUND(M400/24,2)</f>
        <v>0.17</v>
      </c>
    </row>
    <row r="401" customFormat="false" ht="15" hidden="false" customHeight="true" outlineLevel="0" collapsed="false">
      <c r="A401" s="6" t="n">
        <v>2</v>
      </c>
      <c r="B401" s="6" t="s">
        <v>1946</v>
      </c>
      <c r="C401" s="6" t="s">
        <v>1304</v>
      </c>
      <c r="D401" s="6" t="str">
        <f aca="false">A401&amp;"|"&amp;C401</f>
        <v>2|Scout Cavalry</v>
      </c>
      <c r="E401" s="6" t="s">
        <v>1556</v>
      </c>
      <c r="F401" s="6" t="s">
        <v>1544</v>
      </c>
      <c r="G401" s="6" t="str">
        <f aca="false">INDEX(Archetypes!$D$2:$D$127, MATCH(D401, Archetypes!$A$2:$A$127, 0))</f>
        <v>Recon</v>
      </c>
      <c r="H401" s="6" t="n">
        <f aca="false">ROUND(INDEX(Archetypes!$E$2:$E$127, MATCH(D401, Archetypes!$A$2:$A$127, 0))*INDEX(Unit_Grades!$B$2:$B$7, MATCH(F401, Unit_Grades!$A$2:$A$7, 0))*INDEX(Unit_Paths!$B$2:$B$4, MATCH(E401, Unit_Paths!$A$2:$A$4, 0)),1)</f>
        <v>33.6</v>
      </c>
      <c r="I401" s="6" t="n">
        <f aca="false">ROUND(INDEX(Archetypes!$F$2:$F$127, MATCH(D401, Archetypes!$A$2:$A$127, 0))*INDEX(Unit_Grades!$B$2:$B$7, MATCH(F401, Unit_Grades!$A$2:$A$7, 0))*INDEX(Unit_Paths!$C$2:$C$4, MATCH(E401, Unit_Paths!$A$2:$A$4, 0)),1)</f>
        <v>24</v>
      </c>
      <c r="J401" s="6" t="n">
        <f aca="false">ROUND(INDEX(Archetypes!$G$2:$G$127, MATCH(D401, Archetypes!$A$2:$A$127, 0))*INDEX(Unit_Grades!$B$2:$B$7, MATCH(F401, Unit_Grades!$A$2:$A$7, 0))*INDEX(Unit_Paths!$D$2:$D$4, MATCH(E401, Unit_Paths!$A$2:$A$4, 0)),0)</f>
        <v>168</v>
      </c>
      <c r="K401" s="6" t="n">
        <f aca="false">ROUND(INDEX(Archetypes!$H$2:$H$127, MATCH(D401, Archetypes!$A$2:$A$127, 0))*INDEX(Unit_Paths!$E$2:$E$4, MATCH(E401, Unit_Paths!$A$2:$A$4, 0)),1)</f>
        <v>40</v>
      </c>
      <c r="L401" s="6" t="n">
        <f aca="false">ROUND(INDEX(Archetypes!$I$2:$I$127, MATCH(D401, Archetypes!$A$2:$A$127, 0))*INDEX(Unit_Grades!$C$2:$C$7, MATCH(F401, Unit_Grades!$A$2:$A$7, 0)),1)</f>
        <v>8.4</v>
      </c>
      <c r="M401" s="6" t="n">
        <f aca="false">ROUND(INDEX(Archetypes!$J$2:$J$127, MATCH(D401, Archetypes!$A$2:$A$127, 0))*INDEX(Unit_Grades!$D$2:$D$7, MATCH(F401, Unit_Grades!$A$2:$A$7, 0)),1)</f>
        <v>6.5</v>
      </c>
      <c r="N401" s="6" t="n">
        <f aca="false">ROUND(M401/24,2)</f>
        <v>0.27</v>
      </c>
    </row>
    <row r="402" customFormat="false" ht="15" hidden="false" customHeight="true" outlineLevel="0" collapsed="false">
      <c r="A402" s="6" t="n">
        <v>2</v>
      </c>
      <c r="B402" s="6" t="s">
        <v>1947</v>
      </c>
      <c r="C402" s="6" t="s">
        <v>1304</v>
      </c>
      <c r="D402" s="6" t="str">
        <f aca="false">A402&amp;"|"&amp;C402</f>
        <v>2|Scout Cavalry</v>
      </c>
      <c r="E402" s="6" t="s">
        <v>1556</v>
      </c>
      <c r="F402" s="6" t="s">
        <v>1546</v>
      </c>
      <c r="G402" s="6" t="str">
        <f aca="false">INDEX(Archetypes!$D$2:$D$127, MATCH(D402, Archetypes!$A$2:$A$127, 0))</f>
        <v>Recon</v>
      </c>
      <c r="H402" s="6" t="n">
        <f aca="false">ROUND(INDEX(Archetypes!$E$2:$E$127, MATCH(D402, Archetypes!$A$2:$A$127, 0))*INDEX(Unit_Grades!$B$2:$B$7, MATCH(F402, Unit_Grades!$A$2:$A$7, 0))*INDEX(Unit_Paths!$B$2:$B$4, MATCH(E402, Unit_Paths!$A$2:$A$4, 0)),1)</f>
        <v>44.8</v>
      </c>
      <c r="I402" s="6" t="n">
        <f aca="false">ROUND(INDEX(Archetypes!$F$2:$F$127, MATCH(D402, Archetypes!$A$2:$A$127, 0))*INDEX(Unit_Grades!$B$2:$B$7, MATCH(F402, Unit_Grades!$A$2:$A$7, 0))*INDEX(Unit_Paths!$C$2:$C$4, MATCH(E402, Unit_Paths!$A$2:$A$4, 0)),1)</f>
        <v>32</v>
      </c>
      <c r="J402" s="6" t="n">
        <f aca="false">ROUND(INDEX(Archetypes!$G$2:$G$127, MATCH(D402, Archetypes!$A$2:$A$127, 0))*INDEX(Unit_Grades!$B$2:$B$7, MATCH(F402, Unit_Grades!$A$2:$A$7, 0))*INDEX(Unit_Paths!$D$2:$D$4, MATCH(E402, Unit_Paths!$A$2:$A$4, 0)),0)</f>
        <v>224</v>
      </c>
      <c r="K402" s="6" t="n">
        <f aca="false">ROUND(INDEX(Archetypes!$H$2:$H$127, MATCH(D402, Archetypes!$A$2:$A$127, 0))*INDEX(Unit_Paths!$E$2:$E$4, MATCH(E402, Unit_Paths!$A$2:$A$4, 0)),1)</f>
        <v>40</v>
      </c>
      <c r="L402" s="6" t="n">
        <f aca="false">ROUND(INDEX(Archetypes!$I$2:$I$127, MATCH(D402, Archetypes!$A$2:$A$127, 0))*INDEX(Unit_Grades!$C$2:$C$7, MATCH(F402, Unit_Grades!$A$2:$A$7, 0)),1)</f>
        <v>11.2</v>
      </c>
      <c r="M402" s="6" t="n">
        <f aca="false">ROUND(INDEX(Archetypes!$J$2:$J$127, MATCH(D402, Archetypes!$A$2:$A$127, 0))*INDEX(Unit_Grades!$D$2:$D$7, MATCH(F402, Unit_Grades!$A$2:$A$7, 0)),1)</f>
        <v>11.3</v>
      </c>
      <c r="N402" s="6" t="n">
        <f aca="false">ROUND(M402/24,2)</f>
        <v>0.47</v>
      </c>
    </row>
    <row r="403" customFormat="false" ht="15" hidden="false" customHeight="true" outlineLevel="0" collapsed="false">
      <c r="A403" s="6" t="n">
        <v>2</v>
      </c>
      <c r="B403" s="6" t="s">
        <v>1948</v>
      </c>
      <c r="C403" s="6" t="s">
        <v>1304</v>
      </c>
      <c r="D403" s="6" t="str">
        <f aca="false">A403&amp;"|"&amp;C403</f>
        <v>2|Scout Cavalry</v>
      </c>
      <c r="E403" s="6" t="s">
        <v>1556</v>
      </c>
      <c r="F403" s="6" t="s">
        <v>1548</v>
      </c>
      <c r="G403" s="6" t="str">
        <f aca="false">INDEX(Archetypes!$D$2:$D$127, MATCH(D403, Archetypes!$A$2:$A$127, 0))</f>
        <v>Recon</v>
      </c>
      <c r="H403" s="6" t="n">
        <f aca="false">ROUND(INDEX(Archetypes!$E$2:$E$127, MATCH(D403, Archetypes!$A$2:$A$127, 0))*INDEX(Unit_Grades!$B$2:$B$7, MATCH(F403, Unit_Grades!$A$2:$A$7, 0))*INDEX(Unit_Paths!$B$2:$B$4, MATCH(E403, Unit_Paths!$A$2:$A$4, 0)),1)</f>
        <v>58.8</v>
      </c>
      <c r="I403" s="6" t="n">
        <f aca="false">ROUND(INDEX(Archetypes!$F$2:$F$127, MATCH(D403, Archetypes!$A$2:$A$127, 0))*INDEX(Unit_Grades!$B$2:$B$7, MATCH(F403, Unit_Grades!$A$2:$A$7, 0))*INDEX(Unit_Paths!$C$2:$C$4, MATCH(E403, Unit_Paths!$A$2:$A$4, 0)),1)</f>
        <v>42</v>
      </c>
      <c r="J403" s="6" t="n">
        <f aca="false">ROUND(INDEX(Archetypes!$G$2:$G$127, MATCH(D403, Archetypes!$A$2:$A$127, 0))*INDEX(Unit_Grades!$B$2:$B$7, MATCH(F403, Unit_Grades!$A$2:$A$7, 0))*INDEX(Unit_Paths!$D$2:$D$4, MATCH(E403, Unit_Paths!$A$2:$A$4, 0)),0)</f>
        <v>294</v>
      </c>
      <c r="K403" s="6" t="n">
        <f aca="false">ROUND(INDEX(Archetypes!$H$2:$H$127, MATCH(D403, Archetypes!$A$2:$A$127, 0))*INDEX(Unit_Paths!$E$2:$E$4, MATCH(E403, Unit_Paths!$A$2:$A$4, 0)),1)</f>
        <v>40</v>
      </c>
      <c r="L403" s="6" t="n">
        <f aca="false">ROUND(INDEX(Archetypes!$I$2:$I$127, MATCH(D403, Archetypes!$A$2:$A$127, 0))*INDEX(Unit_Grades!$C$2:$C$7, MATCH(F403, Unit_Grades!$A$2:$A$7, 0)),1)</f>
        <v>14.8</v>
      </c>
      <c r="M403" s="6" t="n">
        <f aca="false">ROUND(INDEX(Archetypes!$J$2:$J$127, MATCH(D403, Archetypes!$A$2:$A$127, 0))*INDEX(Unit_Grades!$D$2:$D$7, MATCH(F403, Unit_Grades!$A$2:$A$7, 0)),1)</f>
        <v>19.4</v>
      </c>
      <c r="N403" s="6" t="n">
        <f aca="false">ROUND(M403/24,2)</f>
        <v>0.81</v>
      </c>
    </row>
    <row r="404" customFormat="false" ht="15" hidden="false" customHeight="true" outlineLevel="0" collapsed="false">
      <c r="A404" s="6" t="n">
        <v>2</v>
      </c>
      <c r="B404" s="6" t="s">
        <v>1949</v>
      </c>
      <c r="C404" s="6" t="s">
        <v>1304</v>
      </c>
      <c r="D404" s="6" t="str">
        <f aca="false">A404&amp;"|"&amp;C404</f>
        <v>2|Scout Cavalry</v>
      </c>
      <c r="E404" s="6" t="s">
        <v>1558</v>
      </c>
      <c r="F404" s="6" t="s">
        <v>1538</v>
      </c>
      <c r="G404" s="6" t="str">
        <f aca="false">INDEX(Archetypes!$D$2:$D$127, MATCH(D404, Archetypes!$A$2:$A$127, 0))</f>
        <v>Recon</v>
      </c>
      <c r="H404" s="6" t="n">
        <f aca="false">ROUND(INDEX(Archetypes!$E$2:$E$127, MATCH(D404, Archetypes!$A$2:$A$127, 0))*INDEX(Unit_Grades!$B$2:$B$7, MATCH(F404, Unit_Grades!$A$2:$A$7, 0))*INDEX(Unit_Paths!$B$2:$B$4, MATCH(E404, Unit_Paths!$A$2:$A$4, 0)),1)</f>
        <v>16.8</v>
      </c>
      <c r="I404" s="6" t="n">
        <f aca="false">ROUND(INDEX(Archetypes!$F$2:$F$127, MATCH(D404, Archetypes!$A$2:$A$127, 0))*INDEX(Unit_Grades!$B$2:$B$7, MATCH(F404, Unit_Grades!$A$2:$A$7, 0))*INDEX(Unit_Paths!$C$2:$C$4, MATCH(E404, Unit_Paths!$A$2:$A$4, 0)),1)</f>
        <v>8.5</v>
      </c>
      <c r="J404" s="6" t="n">
        <f aca="false">ROUND(INDEX(Archetypes!$G$2:$G$127, MATCH(D404, Archetypes!$A$2:$A$127, 0))*INDEX(Unit_Grades!$B$2:$B$7, MATCH(F404, Unit_Grades!$A$2:$A$7, 0))*INDEX(Unit_Paths!$D$2:$D$4, MATCH(E404, Unit_Paths!$A$2:$A$4, 0)),0)</f>
        <v>67</v>
      </c>
      <c r="K404" s="6" t="n">
        <f aca="false">ROUND(INDEX(Archetypes!$H$2:$H$127, MATCH(D404, Archetypes!$A$2:$A$127, 0))*INDEX(Unit_Paths!$E$2:$E$4, MATCH(E404, Unit_Paths!$A$2:$A$4, 0)),1)</f>
        <v>42</v>
      </c>
      <c r="L404" s="6" t="n">
        <f aca="false">ROUND(INDEX(Archetypes!$I$2:$I$127, MATCH(D404, Archetypes!$A$2:$A$127, 0))*INDEX(Unit_Grades!$C$2:$C$7, MATCH(F404, Unit_Grades!$A$2:$A$7, 0)),1)</f>
        <v>4</v>
      </c>
      <c r="M404" s="6" t="n">
        <f aca="false">ROUND(INDEX(Archetypes!$J$2:$J$127, MATCH(D404, Archetypes!$A$2:$A$127, 0))*INDEX(Unit_Grades!$D$2:$D$7, MATCH(F404, Unit_Grades!$A$2:$A$7, 0)),1)</f>
        <v>1.6</v>
      </c>
      <c r="N404" s="6" t="n">
        <f aca="false">ROUND(M404/24,2)</f>
        <v>0.07</v>
      </c>
    </row>
    <row r="405" customFormat="false" ht="15" hidden="false" customHeight="true" outlineLevel="0" collapsed="false">
      <c r="A405" s="6" t="n">
        <v>2</v>
      </c>
      <c r="B405" s="6" t="s">
        <v>1950</v>
      </c>
      <c r="C405" s="6" t="s">
        <v>1304</v>
      </c>
      <c r="D405" s="6" t="str">
        <f aca="false">A405&amp;"|"&amp;C405</f>
        <v>2|Scout Cavalry</v>
      </c>
      <c r="E405" s="6" t="s">
        <v>1558</v>
      </c>
      <c r="F405" s="6" t="s">
        <v>1540</v>
      </c>
      <c r="G405" s="6" t="str">
        <f aca="false">INDEX(Archetypes!$D$2:$D$127, MATCH(D405, Archetypes!$A$2:$A$127, 0))</f>
        <v>Recon</v>
      </c>
      <c r="H405" s="6" t="n">
        <f aca="false">ROUND(INDEX(Archetypes!$E$2:$E$127, MATCH(D405, Archetypes!$A$2:$A$127, 0))*INDEX(Unit_Grades!$B$2:$B$7, MATCH(F405, Unit_Grades!$A$2:$A$7, 0))*INDEX(Unit_Paths!$B$2:$B$4, MATCH(E405, Unit_Paths!$A$2:$A$4, 0)),1)</f>
        <v>22.7</v>
      </c>
      <c r="I405" s="6" t="n">
        <f aca="false">ROUND(INDEX(Archetypes!$F$2:$F$127, MATCH(D405, Archetypes!$A$2:$A$127, 0))*INDEX(Unit_Grades!$B$2:$B$7, MATCH(F405, Unit_Grades!$A$2:$A$7, 0))*INDEX(Unit_Paths!$C$2:$C$4, MATCH(E405, Unit_Paths!$A$2:$A$4, 0)),1)</f>
        <v>11.5</v>
      </c>
      <c r="J405" s="6" t="n">
        <f aca="false">ROUND(INDEX(Archetypes!$G$2:$G$127, MATCH(D405, Archetypes!$A$2:$A$127, 0))*INDEX(Unit_Grades!$B$2:$B$7, MATCH(F405, Unit_Grades!$A$2:$A$7, 0))*INDEX(Unit_Paths!$D$2:$D$4, MATCH(E405, Unit_Paths!$A$2:$A$4, 0)),0)</f>
        <v>90</v>
      </c>
      <c r="K405" s="6" t="n">
        <f aca="false">ROUND(INDEX(Archetypes!$H$2:$H$127, MATCH(D405, Archetypes!$A$2:$A$127, 0))*INDEX(Unit_Paths!$E$2:$E$4, MATCH(E405, Unit_Paths!$A$2:$A$4, 0)),1)</f>
        <v>42</v>
      </c>
      <c r="L405" s="6" t="n">
        <f aca="false">ROUND(INDEX(Archetypes!$I$2:$I$127, MATCH(D405, Archetypes!$A$2:$A$127, 0))*INDEX(Unit_Grades!$C$2:$C$7, MATCH(F405, Unit_Grades!$A$2:$A$7, 0)),1)</f>
        <v>5</v>
      </c>
      <c r="M405" s="6" t="n">
        <f aca="false">ROUND(INDEX(Archetypes!$J$2:$J$127, MATCH(D405, Archetypes!$A$2:$A$127, 0))*INDEX(Unit_Grades!$D$2:$D$7, MATCH(F405, Unit_Grades!$A$2:$A$7, 0)),1)</f>
        <v>2.4</v>
      </c>
      <c r="N405" s="6" t="n">
        <f aca="false">ROUND(M405/24,2)</f>
        <v>0.1</v>
      </c>
    </row>
    <row r="406" customFormat="false" ht="15" hidden="false" customHeight="true" outlineLevel="0" collapsed="false">
      <c r="A406" s="6" t="n">
        <v>2</v>
      </c>
      <c r="B406" s="6" t="s">
        <v>1951</v>
      </c>
      <c r="C406" s="6" t="s">
        <v>1304</v>
      </c>
      <c r="D406" s="6" t="str">
        <f aca="false">A406&amp;"|"&amp;C406</f>
        <v>2|Scout Cavalry</v>
      </c>
      <c r="E406" s="6" t="s">
        <v>1558</v>
      </c>
      <c r="F406" s="6" t="s">
        <v>1542</v>
      </c>
      <c r="G406" s="6" t="str">
        <f aca="false">INDEX(Archetypes!$D$2:$D$127, MATCH(D406, Archetypes!$A$2:$A$127, 0))</f>
        <v>Recon</v>
      </c>
      <c r="H406" s="6" t="n">
        <f aca="false">ROUND(INDEX(Archetypes!$E$2:$E$127, MATCH(D406, Archetypes!$A$2:$A$127, 0))*INDEX(Unit_Grades!$B$2:$B$7, MATCH(F406, Unit_Grades!$A$2:$A$7, 0))*INDEX(Unit_Paths!$B$2:$B$4, MATCH(E406, Unit_Paths!$A$2:$A$4, 0)),1)</f>
        <v>30.2</v>
      </c>
      <c r="I406" s="6" t="n">
        <f aca="false">ROUND(INDEX(Archetypes!$F$2:$F$127, MATCH(D406, Archetypes!$A$2:$A$127, 0))*INDEX(Unit_Grades!$B$2:$B$7, MATCH(F406, Unit_Grades!$A$2:$A$7, 0))*INDEX(Unit_Paths!$C$2:$C$4, MATCH(E406, Unit_Paths!$A$2:$A$4, 0)),1)</f>
        <v>15.3</v>
      </c>
      <c r="J406" s="6" t="n">
        <f aca="false">ROUND(INDEX(Archetypes!$G$2:$G$127, MATCH(D406, Archetypes!$A$2:$A$127, 0))*INDEX(Unit_Grades!$B$2:$B$7, MATCH(F406, Unit_Grades!$A$2:$A$7, 0))*INDEX(Unit_Paths!$D$2:$D$4, MATCH(E406, Unit_Paths!$A$2:$A$4, 0)),0)</f>
        <v>120</v>
      </c>
      <c r="K406" s="6" t="n">
        <f aca="false">ROUND(INDEX(Archetypes!$H$2:$H$127, MATCH(D406, Archetypes!$A$2:$A$127, 0))*INDEX(Unit_Paths!$E$2:$E$4, MATCH(E406, Unit_Paths!$A$2:$A$4, 0)),1)</f>
        <v>42</v>
      </c>
      <c r="L406" s="6" t="n">
        <f aca="false">ROUND(INDEX(Archetypes!$I$2:$I$127, MATCH(D406, Archetypes!$A$2:$A$127, 0))*INDEX(Unit_Grades!$C$2:$C$7, MATCH(F406, Unit_Grades!$A$2:$A$7, 0)),1)</f>
        <v>6.4</v>
      </c>
      <c r="M406" s="6" t="n">
        <f aca="false">ROUND(INDEX(Archetypes!$J$2:$J$127, MATCH(D406, Archetypes!$A$2:$A$127, 0))*INDEX(Unit_Grades!$D$2:$D$7, MATCH(F406, Unit_Grades!$A$2:$A$7, 0)),1)</f>
        <v>4.1</v>
      </c>
      <c r="N406" s="6" t="n">
        <f aca="false">ROUND(M406/24,2)</f>
        <v>0.17</v>
      </c>
    </row>
    <row r="407" customFormat="false" ht="15" hidden="false" customHeight="true" outlineLevel="0" collapsed="false">
      <c r="A407" s="6" t="n">
        <v>2</v>
      </c>
      <c r="B407" s="6" t="s">
        <v>1952</v>
      </c>
      <c r="C407" s="6" t="s">
        <v>1304</v>
      </c>
      <c r="D407" s="6" t="str">
        <f aca="false">A407&amp;"|"&amp;C407</f>
        <v>2|Scout Cavalry</v>
      </c>
      <c r="E407" s="6" t="s">
        <v>1558</v>
      </c>
      <c r="F407" s="6" t="s">
        <v>1544</v>
      </c>
      <c r="G407" s="6" t="str">
        <f aca="false">INDEX(Archetypes!$D$2:$D$127, MATCH(D407, Archetypes!$A$2:$A$127, 0))</f>
        <v>Recon</v>
      </c>
      <c r="H407" s="6" t="n">
        <f aca="false">ROUND(INDEX(Archetypes!$E$2:$E$127, MATCH(D407, Archetypes!$A$2:$A$127, 0))*INDEX(Unit_Grades!$B$2:$B$7, MATCH(F407, Unit_Grades!$A$2:$A$7, 0))*INDEX(Unit_Paths!$B$2:$B$4, MATCH(E407, Unit_Paths!$A$2:$A$4, 0)),1)</f>
        <v>40.3</v>
      </c>
      <c r="I407" s="6" t="n">
        <f aca="false">ROUND(INDEX(Archetypes!$F$2:$F$127, MATCH(D407, Archetypes!$A$2:$A$127, 0))*INDEX(Unit_Grades!$B$2:$B$7, MATCH(F407, Unit_Grades!$A$2:$A$7, 0))*INDEX(Unit_Paths!$C$2:$C$4, MATCH(E407, Unit_Paths!$A$2:$A$4, 0)),1)</f>
        <v>20.4</v>
      </c>
      <c r="J407" s="6" t="n">
        <f aca="false">ROUND(INDEX(Archetypes!$G$2:$G$127, MATCH(D407, Archetypes!$A$2:$A$127, 0))*INDEX(Unit_Grades!$B$2:$B$7, MATCH(F407, Unit_Grades!$A$2:$A$7, 0))*INDEX(Unit_Paths!$D$2:$D$4, MATCH(E407, Unit_Paths!$A$2:$A$4, 0)),0)</f>
        <v>160</v>
      </c>
      <c r="K407" s="6" t="n">
        <f aca="false">ROUND(INDEX(Archetypes!$H$2:$H$127, MATCH(D407, Archetypes!$A$2:$A$127, 0))*INDEX(Unit_Paths!$E$2:$E$4, MATCH(E407, Unit_Paths!$A$2:$A$4, 0)),1)</f>
        <v>42</v>
      </c>
      <c r="L407" s="6" t="n">
        <f aca="false">ROUND(INDEX(Archetypes!$I$2:$I$127, MATCH(D407, Archetypes!$A$2:$A$127, 0))*INDEX(Unit_Grades!$C$2:$C$7, MATCH(F407, Unit_Grades!$A$2:$A$7, 0)),1)</f>
        <v>8.4</v>
      </c>
      <c r="M407" s="6" t="n">
        <f aca="false">ROUND(INDEX(Archetypes!$J$2:$J$127, MATCH(D407, Archetypes!$A$2:$A$127, 0))*INDEX(Unit_Grades!$D$2:$D$7, MATCH(F407, Unit_Grades!$A$2:$A$7, 0)),1)</f>
        <v>6.5</v>
      </c>
      <c r="N407" s="6" t="n">
        <f aca="false">ROUND(M407/24,2)</f>
        <v>0.27</v>
      </c>
    </row>
    <row r="408" customFormat="false" ht="15" hidden="false" customHeight="true" outlineLevel="0" collapsed="false">
      <c r="A408" s="6" t="n">
        <v>2</v>
      </c>
      <c r="B408" s="6" t="s">
        <v>1953</v>
      </c>
      <c r="C408" s="6" t="s">
        <v>1304</v>
      </c>
      <c r="D408" s="6" t="str">
        <f aca="false">A408&amp;"|"&amp;C408</f>
        <v>2|Scout Cavalry</v>
      </c>
      <c r="E408" s="6" t="s">
        <v>1558</v>
      </c>
      <c r="F408" s="6" t="s">
        <v>1546</v>
      </c>
      <c r="G408" s="6" t="str">
        <f aca="false">INDEX(Archetypes!$D$2:$D$127, MATCH(D408, Archetypes!$A$2:$A$127, 0))</f>
        <v>Recon</v>
      </c>
      <c r="H408" s="6" t="n">
        <f aca="false">ROUND(INDEX(Archetypes!$E$2:$E$127, MATCH(D408, Archetypes!$A$2:$A$127, 0))*INDEX(Unit_Grades!$B$2:$B$7, MATCH(F408, Unit_Grades!$A$2:$A$7, 0))*INDEX(Unit_Paths!$B$2:$B$4, MATCH(E408, Unit_Paths!$A$2:$A$4, 0)),1)</f>
        <v>53.8</v>
      </c>
      <c r="I408" s="6" t="n">
        <f aca="false">ROUND(INDEX(Archetypes!$F$2:$F$127, MATCH(D408, Archetypes!$A$2:$A$127, 0))*INDEX(Unit_Grades!$B$2:$B$7, MATCH(F408, Unit_Grades!$A$2:$A$7, 0))*INDEX(Unit_Paths!$C$2:$C$4, MATCH(E408, Unit_Paths!$A$2:$A$4, 0)),1)</f>
        <v>27.2</v>
      </c>
      <c r="J408" s="6" t="n">
        <f aca="false">ROUND(INDEX(Archetypes!$G$2:$G$127, MATCH(D408, Archetypes!$A$2:$A$127, 0))*INDEX(Unit_Grades!$B$2:$B$7, MATCH(F408, Unit_Grades!$A$2:$A$7, 0))*INDEX(Unit_Paths!$D$2:$D$4, MATCH(E408, Unit_Paths!$A$2:$A$4, 0)),0)</f>
        <v>213</v>
      </c>
      <c r="K408" s="6" t="n">
        <f aca="false">ROUND(INDEX(Archetypes!$H$2:$H$127, MATCH(D408, Archetypes!$A$2:$A$127, 0))*INDEX(Unit_Paths!$E$2:$E$4, MATCH(E408, Unit_Paths!$A$2:$A$4, 0)),1)</f>
        <v>42</v>
      </c>
      <c r="L408" s="6" t="n">
        <f aca="false">ROUND(INDEX(Archetypes!$I$2:$I$127, MATCH(D408, Archetypes!$A$2:$A$127, 0))*INDEX(Unit_Grades!$C$2:$C$7, MATCH(F408, Unit_Grades!$A$2:$A$7, 0)),1)</f>
        <v>11.2</v>
      </c>
      <c r="M408" s="6" t="n">
        <f aca="false">ROUND(INDEX(Archetypes!$J$2:$J$127, MATCH(D408, Archetypes!$A$2:$A$127, 0))*INDEX(Unit_Grades!$D$2:$D$7, MATCH(F408, Unit_Grades!$A$2:$A$7, 0)),1)</f>
        <v>11.3</v>
      </c>
      <c r="N408" s="6" t="n">
        <f aca="false">ROUND(M408/24,2)</f>
        <v>0.47</v>
      </c>
    </row>
    <row r="409" customFormat="false" ht="15" hidden="false" customHeight="true" outlineLevel="0" collapsed="false">
      <c r="A409" s="6" t="n">
        <v>2</v>
      </c>
      <c r="B409" s="6" t="s">
        <v>1954</v>
      </c>
      <c r="C409" s="6" t="s">
        <v>1304</v>
      </c>
      <c r="D409" s="6" t="str">
        <f aca="false">A409&amp;"|"&amp;C409</f>
        <v>2|Scout Cavalry</v>
      </c>
      <c r="E409" s="6" t="s">
        <v>1558</v>
      </c>
      <c r="F409" s="6" t="s">
        <v>1548</v>
      </c>
      <c r="G409" s="6" t="str">
        <f aca="false">INDEX(Archetypes!$D$2:$D$127, MATCH(D409, Archetypes!$A$2:$A$127, 0))</f>
        <v>Recon</v>
      </c>
      <c r="H409" s="6" t="n">
        <f aca="false">ROUND(INDEX(Archetypes!$E$2:$E$127, MATCH(D409, Archetypes!$A$2:$A$127, 0))*INDEX(Unit_Grades!$B$2:$B$7, MATCH(F409, Unit_Grades!$A$2:$A$7, 0))*INDEX(Unit_Paths!$B$2:$B$4, MATCH(E409, Unit_Paths!$A$2:$A$4, 0)),1)</f>
        <v>70.6</v>
      </c>
      <c r="I409" s="6" t="n">
        <f aca="false">ROUND(INDEX(Archetypes!$F$2:$F$127, MATCH(D409, Archetypes!$A$2:$A$127, 0))*INDEX(Unit_Grades!$B$2:$B$7, MATCH(F409, Unit_Grades!$A$2:$A$7, 0))*INDEX(Unit_Paths!$C$2:$C$4, MATCH(E409, Unit_Paths!$A$2:$A$4, 0)),1)</f>
        <v>35.7</v>
      </c>
      <c r="J409" s="6" t="n">
        <f aca="false">ROUND(INDEX(Archetypes!$G$2:$G$127, MATCH(D409, Archetypes!$A$2:$A$127, 0))*INDEX(Unit_Grades!$B$2:$B$7, MATCH(F409, Unit_Grades!$A$2:$A$7, 0))*INDEX(Unit_Paths!$D$2:$D$4, MATCH(E409, Unit_Paths!$A$2:$A$4, 0)),0)</f>
        <v>279</v>
      </c>
      <c r="K409" s="6" t="n">
        <f aca="false">ROUND(INDEX(Archetypes!$H$2:$H$127, MATCH(D409, Archetypes!$A$2:$A$127, 0))*INDEX(Unit_Paths!$E$2:$E$4, MATCH(E409, Unit_Paths!$A$2:$A$4, 0)),1)</f>
        <v>42</v>
      </c>
      <c r="L409" s="6" t="n">
        <f aca="false">ROUND(INDEX(Archetypes!$I$2:$I$127, MATCH(D409, Archetypes!$A$2:$A$127, 0))*INDEX(Unit_Grades!$C$2:$C$7, MATCH(F409, Unit_Grades!$A$2:$A$7, 0)),1)</f>
        <v>14.8</v>
      </c>
      <c r="M409" s="6" t="n">
        <f aca="false">ROUND(INDEX(Archetypes!$J$2:$J$127, MATCH(D409, Archetypes!$A$2:$A$127, 0))*INDEX(Unit_Grades!$D$2:$D$7, MATCH(F409, Unit_Grades!$A$2:$A$7, 0)),1)</f>
        <v>19.4</v>
      </c>
      <c r="N409" s="6" t="n">
        <f aca="false">ROUND(M409/24,2)</f>
        <v>0.81</v>
      </c>
    </row>
    <row r="410" customFormat="false" ht="15" hidden="false" customHeight="true" outlineLevel="0" collapsed="false">
      <c r="A410" s="6" t="n">
        <v>2</v>
      </c>
      <c r="B410" s="6" t="s">
        <v>1955</v>
      </c>
      <c r="C410" s="6" t="s">
        <v>1304</v>
      </c>
      <c r="D410" s="6" t="str">
        <f aca="false">A410&amp;"|"&amp;C410</f>
        <v>2|Scout Cavalry</v>
      </c>
      <c r="E410" s="6" t="s">
        <v>1560</v>
      </c>
      <c r="F410" s="6" t="s">
        <v>1538</v>
      </c>
      <c r="G410" s="6" t="str">
        <f aca="false">INDEX(Archetypes!$D$2:$D$127, MATCH(D410, Archetypes!$A$2:$A$127, 0))</f>
        <v>Recon</v>
      </c>
      <c r="H410" s="6" t="n">
        <f aca="false">ROUND(INDEX(Archetypes!$E$2:$E$127, MATCH(D410, Archetypes!$A$2:$A$127, 0))*INDEX(Unit_Grades!$B$2:$B$7, MATCH(F410, Unit_Grades!$A$2:$A$7, 0))*INDEX(Unit_Paths!$B$2:$B$4, MATCH(E410, Unit_Paths!$A$2:$A$4, 0)),1)</f>
        <v>11.9</v>
      </c>
      <c r="I410" s="6" t="n">
        <f aca="false">ROUND(INDEX(Archetypes!$F$2:$F$127, MATCH(D410, Archetypes!$A$2:$A$127, 0))*INDEX(Unit_Grades!$B$2:$B$7, MATCH(F410, Unit_Grades!$A$2:$A$7, 0))*INDEX(Unit_Paths!$C$2:$C$4, MATCH(E410, Unit_Paths!$A$2:$A$4, 0)),1)</f>
        <v>12.5</v>
      </c>
      <c r="J410" s="6" t="n">
        <f aca="false">ROUND(INDEX(Archetypes!$G$2:$G$127, MATCH(D410, Archetypes!$A$2:$A$127, 0))*INDEX(Unit_Grades!$B$2:$B$7, MATCH(F410, Unit_Grades!$A$2:$A$7, 0))*INDEX(Unit_Paths!$D$2:$D$4, MATCH(E410, Unit_Paths!$A$2:$A$4, 0)),0)</f>
        <v>81</v>
      </c>
      <c r="K410" s="6" t="n">
        <f aca="false">ROUND(INDEX(Archetypes!$H$2:$H$127, MATCH(D410, Archetypes!$A$2:$A$127, 0))*INDEX(Unit_Paths!$E$2:$E$4, MATCH(E410, Unit_Paths!$A$2:$A$4, 0)),1)</f>
        <v>36.8</v>
      </c>
      <c r="L410" s="6" t="n">
        <f aca="false">ROUND(INDEX(Archetypes!$I$2:$I$127, MATCH(D410, Archetypes!$A$2:$A$127, 0))*INDEX(Unit_Grades!$C$2:$C$7, MATCH(F410, Unit_Grades!$A$2:$A$7, 0)),1)</f>
        <v>4</v>
      </c>
      <c r="M410" s="6" t="n">
        <f aca="false">ROUND(INDEX(Archetypes!$J$2:$J$127, MATCH(D410, Archetypes!$A$2:$A$127, 0))*INDEX(Unit_Grades!$D$2:$D$7, MATCH(F410, Unit_Grades!$A$2:$A$7, 0)),1)</f>
        <v>1.6</v>
      </c>
      <c r="N410" s="6" t="n">
        <f aca="false">ROUND(M410/24,2)</f>
        <v>0.07</v>
      </c>
    </row>
    <row r="411" customFormat="false" ht="15" hidden="false" customHeight="true" outlineLevel="0" collapsed="false">
      <c r="A411" s="6" t="n">
        <v>2</v>
      </c>
      <c r="B411" s="6" t="s">
        <v>1956</v>
      </c>
      <c r="C411" s="6" t="s">
        <v>1304</v>
      </c>
      <c r="D411" s="6" t="str">
        <f aca="false">A411&amp;"|"&amp;C411</f>
        <v>2|Scout Cavalry</v>
      </c>
      <c r="E411" s="6" t="s">
        <v>1560</v>
      </c>
      <c r="F411" s="6" t="s">
        <v>1540</v>
      </c>
      <c r="G411" s="6" t="str">
        <f aca="false">INDEX(Archetypes!$D$2:$D$127, MATCH(D411, Archetypes!$A$2:$A$127, 0))</f>
        <v>Recon</v>
      </c>
      <c r="H411" s="6" t="n">
        <f aca="false">ROUND(INDEX(Archetypes!$E$2:$E$127, MATCH(D411, Archetypes!$A$2:$A$127, 0))*INDEX(Unit_Grades!$B$2:$B$7, MATCH(F411, Unit_Grades!$A$2:$A$7, 0))*INDEX(Unit_Paths!$B$2:$B$4, MATCH(E411, Unit_Paths!$A$2:$A$4, 0)),1)</f>
        <v>16.1</v>
      </c>
      <c r="I411" s="6" t="n">
        <f aca="false">ROUND(INDEX(Archetypes!$F$2:$F$127, MATCH(D411, Archetypes!$A$2:$A$127, 0))*INDEX(Unit_Grades!$B$2:$B$7, MATCH(F411, Unit_Grades!$A$2:$A$7, 0))*INDEX(Unit_Paths!$C$2:$C$4, MATCH(E411, Unit_Paths!$A$2:$A$4, 0)),1)</f>
        <v>16.9</v>
      </c>
      <c r="J411" s="6" t="n">
        <f aca="false">ROUND(INDEX(Archetypes!$G$2:$G$127, MATCH(D411, Archetypes!$A$2:$A$127, 0))*INDEX(Unit_Grades!$B$2:$B$7, MATCH(F411, Unit_Grades!$A$2:$A$7, 0))*INDEX(Unit_Paths!$D$2:$D$4, MATCH(E411, Unit_Paths!$A$2:$A$4, 0)),0)</f>
        <v>109</v>
      </c>
      <c r="K411" s="6" t="n">
        <f aca="false">ROUND(INDEX(Archetypes!$H$2:$H$127, MATCH(D411, Archetypes!$A$2:$A$127, 0))*INDEX(Unit_Paths!$E$2:$E$4, MATCH(E411, Unit_Paths!$A$2:$A$4, 0)),1)</f>
        <v>36.8</v>
      </c>
      <c r="L411" s="6" t="n">
        <f aca="false">ROUND(INDEX(Archetypes!$I$2:$I$127, MATCH(D411, Archetypes!$A$2:$A$127, 0))*INDEX(Unit_Grades!$C$2:$C$7, MATCH(F411, Unit_Grades!$A$2:$A$7, 0)),1)</f>
        <v>5</v>
      </c>
      <c r="M411" s="6" t="n">
        <f aca="false">ROUND(INDEX(Archetypes!$J$2:$J$127, MATCH(D411, Archetypes!$A$2:$A$127, 0))*INDEX(Unit_Grades!$D$2:$D$7, MATCH(F411, Unit_Grades!$A$2:$A$7, 0)),1)</f>
        <v>2.4</v>
      </c>
      <c r="N411" s="6" t="n">
        <f aca="false">ROUND(M411/24,2)</f>
        <v>0.1</v>
      </c>
    </row>
    <row r="412" customFormat="false" ht="15" hidden="false" customHeight="true" outlineLevel="0" collapsed="false">
      <c r="A412" s="6" t="n">
        <v>2</v>
      </c>
      <c r="B412" s="6" t="s">
        <v>1957</v>
      </c>
      <c r="C412" s="6" t="s">
        <v>1304</v>
      </c>
      <c r="D412" s="6" t="str">
        <f aca="false">A412&amp;"|"&amp;C412</f>
        <v>2|Scout Cavalry</v>
      </c>
      <c r="E412" s="6" t="s">
        <v>1560</v>
      </c>
      <c r="F412" s="6" t="s">
        <v>1542</v>
      </c>
      <c r="G412" s="6" t="str">
        <f aca="false">INDEX(Archetypes!$D$2:$D$127, MATCH(D412, Archetypes!$A$2:$A$127, 0))</f>
        <v>Recon</v>
      </c>
      <c r="H412" s="6" t="n">
        <f aca="false">ROUND(INDEX(Archetypes!$E$2:$E$127, MATCH(D412, Archetypes!$A$2:$A$127, 0))*INDEX(Unit_Grades!$B$2:$B$7, MATCH(F412, Unit_Grades!$A$2:$A$7, 0))*INDEX(Unit_Paths!$B$2:$B$4, MATCH(E412, Unit_Paths!$A$2:$A$4, 0)),1)</f>
        <v>21.4</v>
      </c>
      <c r="I412" s="6" t="n">
        <f aca="false">ROUND(INDEX(Archetypes!$F$2:$F$127, MATCH(D412, Archetypes!$A$2:$A$127, 0))*INDEX(Unit_Grades!$B$2:$B$7, MATCH(F412, Unit_Grades!$A$2:$A$7, 0))*INDEX(Unit_Paths!$C$2:$C$4, MATCH(E412, Unit_Paths!$A$2:$A$4, 0)),1)</f>
        <v>22.5</v>
      </c>
      <c r="J412" s="6" t="n">
        <f aca="false">ROUND(INDEX(Archetypes!$G$2:$G$127, MATCH(D412, Archetypes!$A$2:$A$127, 0))*INDEX(Unit_Grades!$B$2:$B$7, MATCH(F412, Unit_Grades!$A$2:$A$7, 0))*INDEX(Unit_Paths!$D$2:$D$4, MATCH(E412, Unit_Paths!$A$2:$A$4, 0)),0)</f>
        <v>145</v>
      </c>
      <c r="K412" s="6" t="n">
        <f aca="false">ROUND(INDEX(Archetypes!$H$2:$H$127, MATCH(D412, Archetypes!$A$2:$A$127, 0))*INDEX(Unit_Paths!$E$2:$E$4, MATCH(E412, Unit_Paths!$A$2:$A$4, 0)),1)</f>
        <v>36.8</v>
      </c>
      <c r="L412" s="6" t="n">
        <f aca="false">ROUND(INDEX(Archetypes!$I$2:$I$127, MATCH(D412, Archetypes!$A$2:$A$127, 0))*INDEX(Unit_Grades!$C$2:$C$7, MATCH(F412, Unit_Grades!$A$2:$A$7, 0)),1)</f>
        <v>6.4</v>
      </c>
      <c r="M412" s="6" t="n">
        <f aca="false">ROUND(INDEX(Archetypes!$J$2:$J$127, MATCH(D412, Archetypes!$A$2:$A$127, 0))*INDEX(Unit_Grades!$D$2:$D$7, MATCH(F412, Unit_Grades!$A$2:$A$7, 0)),1)</f>
        <v>4.1</v>
      </c>
      <c r="N412" s="6" t="n">
        <f aca="false">ROUND(M412/24,2)</f>
        <v>0.17</v>
      </c>
    </row>
    <row r="413" customFormat="false" ht="15" hidden="false" customHeight="true" outlineLevel="0" collapsed="false">
      <c r="A413" s="6" t="n">
        <v>2</v>
      </c>
      <c r="B413" s="6" t="s">
        <v>1958</v>
      </c>
      <c r="C413" s="6" t="s">
        <v>1304</v>
      </c>
      <c r="D413" s="6" t="str">
        <f aca="false">A413&amp;"|"&amp;C413</f>
        <v>2|Scout Cavalry</v>
      </c>
      <c r="E413" s="6" t="s">
        <v>1560</v>
      </c>
      <c r="F413" s="6" t="s">
        <v>1544</v>
      </c>
      <c r="G413" s="6" t="str">
        <f aca="false">INDEX(Archetypes!$D$2:$D$127, MATCH(D413, Archetypes!$A$2:$A$127, 0))</f>
        <v>Recon</v>
      </c>
      <c r="H413" s="6" t="n">
        <f aca="false">ROUND(INDEX(Archetypes!$E$2:$E$127, MATCH(D413, Archetypes!$A$2:$A$127, 0))*INDEX(Unit_Grades!$B$2:$B$7, MATCH(F413, Unit_Grades!$A$2:$A$7, 0))*INDEX(Unit_Paths!$B$2:$B$4, MATCH(E413, Unit_Paths!$A$2:$A$4, 0)),1)</f>
        <v>28.6</v>
      </c>
      <c r="I413" s="6" t="n">
        <f aca="false">ROUND(INDEX(Archetypes!$F$2:$F$127, MATCH(D413, Archetypes!$A$2:$A$127, 0))*INDEX(Unit_Grades!$B$2:$B$7, MATCH(F413, Unit_Grades!$A$2:$A$7, 0))*INDEX(Unit_Paths!$C$2:$C$4, MATCH(E413, Unit_Paths!$A$2:$A$4, 0)),1)</f>
        <v>30</v>
      </c>
      <c r="J413" s="6" t="n">
        <f aca="false">ROUND(INDEX(Archetypes!$G$2:$G$127, MATCH(D413, Archetypes!$A$2:$A$127, 0))*INDEX(Unit_Grades!$B$2:$B$7, MATCH(F413, Unit_Grades!$A$2:$A$7, 0))*INDEX(Unit_Paths!$D$2:$D$4, MATCH(E413, Unit_Paths!$A$2:$A$4, 0)),0)</f>
        <v>193</v>
      </c>
      <c r="K413" s="6" t="n">
        <f aca="false">ROUND(INDEX(Archetypes!$H$2:$H$127, MATCH(D413, Archetypes!$A$2:$A$127, 0))*INDEX(Unit_Paths!$E$2:$E$4, MATCH(E413, Unit_Paths!$A$2:$A$4, 0)),1)</f>
        <v>36.8</v>
      </c>
      <c r="L413" s="6" t="n">
        <f aca="false">ROUND(INDEX(Archetypes!$I$2:$I$127, MATCH(D413, Archetypes!$A$2:$A$127, 0))*INDEX(Unit_Grades!$C$2:$C$7, MATCH(F413, Unit_Grades!$A$2:$A$7, 0)),1)</f>
        <v>8.4</v>
      </c>
      <c r="M413" s="6" t="n">
        <f aca="false">ROUND(INDEX(Archetypes!$J$2:$J$127, MATCH(D413, Archetypes!$A$2:$A$127, 0))*INDEX(Unit_Grades!$D$2:$D$7, MATCH(F413, Unit_Grades!$A$2:$A$7, 0)),1)</f>
        <v>6.5</v>
      </c>
      <c r="N413" s="6" t="n">
        <f aca="false">ROUND(M413/24,2)</f>
        <v>0.27</v>
      </c>
    </row>
    <row r="414" customFormat="false" ht="15" hidden="false" customHeight="true" outlineLevel="0" collapsed="false">
      <c r="A414" s="6" t="n">
        <v>2</v>
      </c>
      <c r="B414" s="6" t="s">
        <v>1959</v>
      </c>
      <c r="C414" s="6" t="s">
        <v>1304</v>
      </c>
      <c r="D414" s="6" t="str">
        <f aca="false">A414&amp;"|"&amp;C414</f>
        <v>2|Scout Cavalry</v>
      </c>
      <c r="E414" s="6" t="s">
        <v>1560</v>
      </c>
      <c r="F414" s="6" t="s">
        <v>1546</v>
      </c>
      <c r="G414" s="6" t="str">
        <f aca="false">INDEX(Archetypes!$D$2:$D$127, MATCH(D414, Archetypes!$A$2:$A$127, 0))</f>
        <v>Recon</v>
      </c>
      <c r="H414" s="6" t="n">
        <f aca="false">ROUND(INDEX(Archetypes!$E$2:$E$127, MATCH(D414, Archetypes!$A$2:$A$127, 0))*INDEX(Unit_Grades!$B$2:$B$7, MATCH(F414, Unit_Grades!$A$2:$A$7, 0))*INDEX(Unit_Paths!$B$2:$B$4, MATCH(E414, Unit_Paths!$A$2:$A$4, 0)),1)</f>
        <v>38.1</v>
      </c>
      <c r="I414" s="6" t="n">
        <f aca="false">ROUND(INDEX(Archetypes!$F$2:$F$127, MATCH(D414, Archetypes!$A$2:$A$127, 0))*INDEX(Unit_Grades!$B$2:$B$7, MATCH(F414, Unit_Grades!$A$2:$A$7, 0))*INDEX(Unit_Paths!$C$2:$C$4, MATCH(E414, Unit_Paths!$A$2:$A$4, 0)),1)</f>
        <v>40</v>
      </c>
      <c r="J414" s="6" t="n">
        <f aca="false">ROUND(INDEX(Archetypes!$G$2:$G$127, MATCH(D414, Archetypes!$A$2:$A$127, 0))*INDEX(Unit_Grades!$B$2:$B$7, MATCH(F414, Unit_Grades!$A$2:$A$7, 0))*INDEX(Unit_Paths!$D$2:$D$4, MATCH(E414, Unit_Paths!$A$2:$A$4, 0)),0)</f>
        <v>258</v>
      </c>
      <c r="K414" s="6" t="n">
        <f aca="false">ROUND(INDEX(Archetypes!$H$2:$H$127, MATCH(D414, Archetypes!$A$2:$A$127, 0))*INDEX(Unit_Paths!$E$2:$E$4, MATCH(E414, Unit_Paths!$A$2:$A$4, 0)),1)</f>
        <v>36.8</v>
      </c>
      <c r="L414" s="6" t="n">
        <f aca="false">ROUND(INDEX(Archetypes!$I$2:$I$127, MATCH(D414, Archetypes!$A$2:$A$127, 0))*INDEX(Unit_Grades!$C$2:$C$7, MATCH(F414, Unit_Grades!$A$2:$A$7, 0)),1)</f>
        <v>11.2</v>
      </c>
      <c r="M414" s="6" t="n">
        <f aca="false">ROUND(INDEX(Archetypes!$J$2:$J$127, MATCH(D414, Archetypes!$A$2:$A$127, 0))*INDEX(Unit_Grades!$D$2:$D$7, MATCH(F414, Unit_Grades!$A$2:$A$7, 0)),1)</f>
        <v>11.3</v>
      </c>
      <c r="N414" s="6" t="n">
        <f aca="false">ROUND(M414/24,2)</f>
        <v>0.47</v>
      </c>
    </row>
    <row r="415" customFormat="false" ht="15" hidden="false" customHeight="true" outlineLevel="0" collapsed="false">
      <c r="A415" s="6" t="n">
        <v>2</v>
      </c>
      <c r="B415" s="6" t="s">
        <v>1960</v>
      </c>
      <c r="C415" s="6" t="s">
        <v>1304</v>
      </c>
      <c r="D415" s="6" t="str">
        <f aca="false">A415&amp;"|"&amp;C415</f>
        <v>2|Scout Cavalry</v>
      </c>
      <c r="E415" s="6" t="s">
        <v>1560</v>
      </c>
      <c r="F415" s="6" t="s">
        <v>1548</v>
      </c>
      <c r="G415" s="6" t="str">
        <f aca="false">INDEX(Archetypes!$D$2:$D$127, MATCH(D415, Archetypes!$A$2:$A$127, 0))</f>
        <v>Recon</v>
      </c>
      <c r="H415" s="6" t="n">
        <f aca="false">ROUND(INDEX(Archetypes!$E$2:$E$127, MATCH(D415, Archetypes!$A$2:$A$127, 0))*INDEX(Unit_Grades!$B$2:$B$7, MATCH(F415, Unit_Grades!$A$2:$A$7, 0))*INDEX(Unit_Paths!$B$2:$B$4, MATCH(E415, Unit_Paths!$A$2:$A$4, 0)),1)</f>
        <v>50</v>
      </c>
      <c r="I415" s="6" t="n">
        <f aca="false">ROUND(INDEX(Archetypes!$F$2:$F$127, MATCH(D415, Archetypes!$A$2:$A$127, 0))*INDEX(Unit_Grades!$B$2:$B$7, MATCH(F415, Unit_Grades!$A$2:$A$7, 0))*INDEX(Unit_Paths!$C$2:$C$4, MATCH(E415, Unit_Paths!$A$2:$A$4, 0)),1)</f>
        <v>52.5</v>
      </c>
      <c r="J415" s="6" t="n">
        <f aca="false">ROUND(INDEX(Archetypes!$G$2:$G$127, MATCH(D415, Archetypes!$A$2:$A$127, 0))*INDEX(Unit_Grades!$B$2:$B$7, MATCH(F415, Unit_Grades!$A$2:$A$7, 0))*INDEX(Unit_Paths!$D$2:$D$4, MATCH(E415, Unit_Paths!$A$2:$A$4, 0)),0)</f>
        <v>338</v>
      </c>
      <c r="K415" s="6" t="n">
        <f aca="false">ROUND(INDEX(Archetypes!$H$2:$H$127, MATCH(D415, Archetypes!$A$2:$A$127, 0))*INDEX(Unit_Paths!$E$2:$E$4, MATCH(E415, Unit_Paths!$A$2:$A$4, 0)),1)</f>
        <v>36.8</v>
      </c>
      <c r="L415" s="6" t="n">
        <f aca="false">ROUND(INDEX(Archetypes!$I$2:$I$127, MATCH(D415, Archetypes!$A$2:$A$127, 0))*INDEX(Unit_Grades!$C$2:$C$7, MATCH(F415, Unit_Grades!$A$2:$A$7, 0)),1)</f>
        <v>14.8</v>
      </c>
      <c r="M415" s="6" t="n">
        <f aca="false">ROUND(INDEX(Archetypes!$J$2:$J$127, MATCH(D415, Archetypes!$A$2:$A$127, 0))*INDEX(Unit_Grades!$D$2:$D$7, MATCH(F415, Unit_Grades!$A$2:$A$7, 0)),1)</f>
        <v>19.4</v>
      </c>
      <c r="N415" s="6" t="n">
        <f aca="false">ROUND(M415/24,2)</f>
        <v>0.81</v>
      </c>
    </row>
    <row r="416" customFormat="false" ht="15" hidden="false" customHeight="true" outlineLevel="0" collapsed="false">
      <c r="A416" s="6" t="n">
        <v>2</v>
      </c>
      <c r="B416" s="6" t="s">
        <v>1306</v>
      </c>
      <c r="C416" s="6" t="s">
        <v>1306</v>
      </c>
      <c r="D416" s="6" t="str">
        <f aca="false">A416&amp;"|"&amp;C416</f>
        <v>2|Lancer</v>
      </c>
      <c r="E416" s="6" t="s">
        <v>1556</v>
      </c>
      <c r="F416" s="6" t="s">
        <v>1538</v>
      </c>
      <c r="G416" s="6" t="str">
        <f aca="false">INDEX(Archetypes!$D$2:$D$127, MATCH(D416, Archetypes!$A$2:$A$127, 0))</f>
        <v>Shock Cavalry</v>
      </c>
      <c r="H416" s="6" t="n">
        <f aca="false">ROUND(INDEX(Archetypes!$E$2:$E$127, MATCH(D416, Archetypes!$A$2:$A$127, 0))*INDEX(Unit_Grades!$B$2:$B$7, MATCH(F416, Unit_Grades!$A$2:$A$7, 0))*INDEX(Unit_Paths!$B$2:$B$4, MATCH(E416, Unit_Paths!$A$2:$A$4, 0)),1)</f>
        <v>40</v>
      </c>
      <c r="I416" s="6" t="n">
        <f aca="false">ROUND(INDEX(Archetypes!$F$2:$F$127, MATCH(D416, Archetypes!$A$2:$A$127, 0))*INDEX(Unit_Grades!$B$2:$B$7, MATCH(F416, Unit_Grades!$A$2:$A$7, 0))*INDEX(Unit_Paths!$C$2:$C$4, MATCH(E416, Unit_Paths!$A$2:$A$4, 0)),1)</f>
        <v>18</v>
      </c>
      <c r="J416" s="6" t="n">
        <f aca="false">ROUND(INDEX(Archetypes!$G$2:$G$127, MATCH(D416, Archetypes!$A$2:$A$127, 0))*INDEX(Unit_Grades!$B$2:$B$7, MATCH(F416, Unit_Grades!$A$2:$A$7, 0))*INDEX(Unit_Paths!$D$2:$D$4, MATCH(E416, Unit_Paths!$A$2:$A$4, 0)),0)</f>
        <v>110</v>
      </c>
      <c r="K416" s="6" t="n">
        <f aca="false">ROUND(INDEX(Archetypes!$H$2:$H$127, MATCH(D416, Archetypes!$A$2:$A$127, 0))*INDEX(Unit_Paths!$E$2:$E$4, MATCH(E416, Unit_Paths!$A$2:$A$4, 0)),1)</f>
        <v>34</v>
      </c>
      <c r="L416" s="6" t="n">
        <f aca="false">ROUND(INDEX(Archetypes!$I$2:$I$127, MATCH(D416, Archetypes!$A$2:$A$127, 0))*INDEX(Unit_Grades!$C$2:$C$7, MATCH(F416, Unit_Grades!$A$2:$A$7, 0)),1)</f>
        <v>6</v>
      </c>
      <c r="M416" s="6" t="n">
        <f aca="false">ROUND(INDEX(Archetypes!$J$2:$J$127, MATCH(D416, Archetypes!$A$2:$A$127, 0))*INDEX(Unit_Grades!$D$2:$D$7, MATCH(F416, Unit_Grades!$A$2:$A$7, 0)),1)</f>
        <v>2.4</v>
      </c>
      <c r="N416" s="6" t="n">
        <f aca="false">ROUND(M416/24,2)</f>
        <v>0.1</v>
      </c>
    </row>
    <row r="417" customFormat="false" ht="15" hidden="false" customHeight="true" outlineLevel="0" collapsed="false">
      <c r="A417" s="6" t="n">
        <v>2</v>
      </c>
      <c r="B417" s="6" t="s">
        <v>1961</v>
      </c>
      <c r="C417" s="6" t="s">
        <v>1306</v>
      </c>
      <c r="D417" s="6" t="str">
        <f aca="false">A417&amp;"|"&amp;C417</f>
        <v>2|Lancer</v>
      </c>
      <c r="E417" s="6" t="s">
        <v>1556</v>
      </c>
      <c r="F417" s="6" t="s">
        <v>1540</v>
      </c>
      <c r="G417" s="6" t="str">
        <f aca="false">INDEX(Archetypes!$D$2:$D$127, MATCH(D417, Archetypes!$A$2:$A$127, 0))</f>
        <v>Shock Cavalry</v>
      </c>
      <c r="H417" s="6" t="n">
        <f aca="false">ROUND(INDEX(Archetypes!$E$2:$E$127, MATCH(D417, Archetypes!$A$2:$A$127, 0))*INDEX(Unit_Grades!$B$2:$B$7, MATCH(F417, Unit_Grades!$A$2:$A$7, 0))*INDEX(Unit_Paths!$B$2:$B$4, MATCH(E417, Unit_Paths!$A$2:$A$4, 0)),1)</f>
        <v>54</v>
      </c>
      <c r="I417" s="6" t="n">
        <f aca="false">ROUND(INDEX(Archetypes!$F$2:$F$127, MATCH(D417, Archetypes!$A$2:$A$127, 0))*INDEX(Unit_Grades!$B$2:$B$7, MATCH(F417, Unit_Grades!$A$2:$A$7, 0))*INDEX(Unit_Paths!$C$2:$C$4, MATCH(E417, Unit_Paths!$A$2:$A$4, 0)),1)</f>
        <v>24.3</v>
      </c>
      <c r="J417" s="6" t="n">
        <f aca="false">ROUND(INDEX(Archetypes!$G$2:$G$127, MATCH(D417, Archetypes!$A$2:$A$127, 0))*INDEX(Unit_Grades!$B$2:$B$7, MATCH(F417, Unit_Grades!$A$2:$A$7, 0))*INDEX(Unit_Paths!$D$2:$D$4, MATCH(E417, Unit_Paths!$A$2:$A$4, 0)),0)</f>
        <v>149</v>
      </c>
      <c r="K417" s="6" t="n">
        <f aca="false">ROUND(INDEX(Archetypes!$H$2:$H$127, MATCH(D417, Archetypes!$A$2:$A$127, 0))*INDEX(Unit_Paths!$E$2:$E$4, MATCH(E417, Unit_Paths!$A$2:$A$4, 0)),1)</f>
        <v>34</v>
      </c>
      <c r="L417" s="6" t="n">
        <f aca="false">ROUND(INDEX(Archetypes!$I$2:$I$127, MATCH(D417, Archetypes!$A$2:$A$127, 0))*INDEX(Unit_Grades!$C$2:$C$7, MATCH(F417, Unit_Grades!$A$2:$A$7, 0)),1)</f>
        <v>7.5</v>
      </c>
      <c r="M417" s="6" t="n">
        <f aca="false">ROUND(INDEX(Archetypes!$J$2:$J$127, MATCH(D417, Archetypes!$A$2:$A$127, 0))*INDEX(Unit_Grades!$D$2:$D$7, MATCH(F417, Unit_Grades!$A$2:$A$7, 0)),1)</f>
        <v>3.7</v>
      </c>
      <c r="N417" s="6" t="n">
        <f aca="false">ROUND(M417/24,2)</f>
        <v>0.15</v>
      </c>
    </row>
    <row r="418" customFormat="false" ht="15" hidden="false" customHeight="true" outlineLevel="0" collapsed="false">
      <c r="A418" s="6" t="n">
        <v>2</v>
      </c>
      <c r="B418" s="6" t="s">
        <v>1962</v>
      </c>
      <c r="C418" s="6" t="s">
        <v>1306</v>
      </c>
      <c r="D418" s="6" t="str">
        <f aca="false">A418&amp;"|"&amp;C418</f>
        <v>2|Lancer</v>
      </c>
      <c r="E418" s="6" t="s">
        <v>1556</v>
      </c>
      <c r="F418" s="6" t="s">
        <v>1542</v>
      </c>
      <c r="G418" s="6" t="str">
        <f aca="false">INDEX(Archetypes!$D$2:$D$127, MATCH(D418, Archetypes!$A$2:$A$127, 0))</f>
        <v>Shock Cavalry</v>
      </c>
      <c r="H418" s="6" t="n">
        <f aca="false">ROUND(INDEX(Archetypes!$E$2:$E$127, MATCH(D418, Archetypes!$A$2:$A$127, 0))*INDEX(Unit_Grades!$B$2:$B$7, MATCH(F418, Unit_Grades!$A$2:$A$7, 0))*INDEX(Unit_Paths!$B$2:$B$4, MATCH(E418, Unit_Paths!$A$2:$A$4, 0)),1)</f>
        <v>72</v>
      </c>
      <c r="I418" s="6" t="n">
        <f aca="false">ROUND(INDEX(Archetypes!$F$2:$F$127, MATCH(D418, Archetypes!$A$2:$A$127, 0))*INDEX(Unit_Grades!$B$2:$B$7, MATCH(F418, Unit_Grades!$A$2:$A$7, 0))*INDEX(Unit_Paths!$C$2:$C$4, MATCH(E418, Unit_Paths!$A$2:$A$4, 0)),1)</f>
        <v>32.4</v>
      </c>
      <c r="J418" s="6" t="n">
        <f aca="false">ROUND(INDEX(Archetypes!$G$2:$G$127, MATCH(D418, Archetypes!$A$2:$A$127, 0))*INDEX(Unit_Grades!$B$2:$B$7, MATCH(F418, Unit_Grades!$A$2:$A$7, 0))*INDEX(Unit_Paths!$D$2:$D$4, MATCH(E418, Unit_Paths!$A$2:$A$4, 0)),0)</f>
        <v>198</v>
      </c>
      <c r="K418" s="6" t="n">
        <f aca="false">ROUND(INDEX(Archetypes!$H$2:$H$127, MATCH(D418, Archetypes!$A$2:$A$127, 0))*INDEX(Unit_Paths!$E$2:$E$4, MATCH(E418, Unit_Paths!$A$2:$A$4, 0)),1)</f>
        <v>34</v>
      </c>
      <c r="L418" s="6" t="n">
        <f aca="false">ROUND(INDEX(Archetypes!$I$2:$I$127, MATCH(D418, Archetypes!$A$2:$A$127, 0))*INDEX(Unit_Grades!$C$2:$C$7, MATCH(F418, Unit_Grades!$A$2:$A$7, 0)),1)</f>
        <v>9.6</v>
      </c>
      <c r="M418" s="6" t="n">
        <f aca="false">ROUND(INDEX(Archetypes!$J$2:$J$127, MATCH(D418, Archetypes!$A$2:$A$127, 0))*INDEX(Unit_Grades!$D$2:$D$7, MATCH(F418, Unit_Grades!$A$2:$A$7, 0)),1)</f>
        <v>6.1</v>
      </c>
      <c r="N418" s="6" t="n">
        <f aca="false">ROUND(M418/24,2)</f>
        <v>0.25</v>
      </c>
    </row>
    <row r="419" customFormat="false" ht="15" hidden="false" customHeight="true" outlineLevel="0" collapsed="false">
      <c r="A419" s="6" t="n">
        <v>2</v>
      </c>
      <c r="B419" s="6" t="s">
        <v>1963</v>
      </c>
      <c r="C419" s="6" t="s">
        <v>1306</v>
      </c>
      <c r="D419" s="6" t="str">
        <f aca="false">A419&amp;"|"&amp;C419</f>
        <v>2|Lancer</v>
      </c>
      <c r="E419" s="6" t="s">
        <v>1556</v>
      </c>
      <c r="F419" s="6" t="s">
        <v>1544</v>
      </c>
      <c r="G419" s="6" t="str">
        <f aca="false">INDEX(Archetypes!$D$2:$D$127, MATCH(D419, Archetypes!$A$2:$A$127, 0))</f>
        <v>Shock Cavalry</v>
      </c>
      <c r="H419" s="6" t="n">
        <f aca="false">ROUND(INDEX(Archetypes!$E$2:$E$127, MATCH(D419, Archetypes!$A$2:$A$127, 0))*INDEX(Unit_Grades!$B$2:$B$7, MATCH(F419, Unit_Grades!$A$2:$A$7, 0))*INDEX(Unit_Paths!$B$2:$B$4, MATCH(E419, Unit_Paths!$A$2:$A$4, 0)),1)</f>
        <v>96</v>
      </c>
      <c r="I419" s="6" t="n">
        <f aca="false">ROUND(INDEX(Archetypes!$F$2:$F$127, MATCH(D419, Archetypes!$A$2:$A$127, 0))*INDEX(Unit_Grades!$B$2:$B$7, MATCH(F419, Unit_Grades!$A$2:$A$7, 0))*INDEX(Unit_Paths!$C$2:$C$4, MATCH(E419, Unit_Paths!$A$2:$A$4, 0)),1)</f>
        <v>43.2</v>
      </c>
      <c r="J419" s="6" t="n">
        <f aca="false">ROUND(INDEX(Archetypes!$G$2:$G$127, MATCH(D419, Archetypes!$A$2:$A$127, 0))*INDEX(Unit_Grades!$B$2:$B$7, MATCH(F419, Unit_Grades!$A$2:$A$7, 0))*INDEX(Unit_Paths!$D$2:$D$4, MATCH(E419, Unit_Paths!$A$2:$A$4, 0)),0)</f>
        <v>264</v>
      </c>
      <c r="K419" s="6" t="n">
        <f aca="false">ROUND(INDEX(Archetypes!$H$2:$H$127, MATCH(D419, Archetypes!$A$2:$A$127, 0))*INDEX(Unit_Paths!$E$2:$E$4, MATCH(E419, Unit_Paths!$A$2:$A$4, 0)),1)</f>
        <v>34</v>
      </c>
      <c r="L419" s="6" t="n">
        <f aca="false">ROUND(INDEX(Archetypes!$I$2:$I$127, MATCH(D419, Archetypes!$A$2:$A$127, 0))*INDEX(Unit_Grades!$C$2:$C$7, MATCH(F419, Unit_Grades!$A$2:$A$7, 0)),1)</f>
        <v>12.6</v>
      </c>
      <c r="M419" s="6" t="n">
        <f aca="false">ROUND(INDEX(Archetypes!$J$2:$J$127, MATCH(D419, Archetypes!$A$2:$A$127, 0))*INDEX(Unit_Grades!$D$2:$D$7, MATCH(F419, Unit_Grades!$A$2:$A$7, 0)),1)</f>
        <v>9.8</v>
      </c>
      <c r="N419" s="6" t="n">
        <f aca="false">ROUND(M419/24,2)</f>
        <v>0.41</v>
      </c>
    </row>
    <row r="420" customFormat="false" ht="15" hidden="false" customHeight="true" outlineLevel="0" collapsed="false">
      <c r="A420" s="6" t="n">
        <v>2</v>
      </c>
      <c r="B420" s="6" t="s">
        <v>1964</v>
      </c>
      <c r="C420" s="6" t="s">
        <v>1306</v>
      </c>
      <c r="D420" s="6" t="str">
        <f aca="false">A420&amp;"|"&amp;C420</f>
        <v>2|Lancer</v>
      </c>
      <c r="E420" s="6" t="s">
        <v>1556</v>
      </c>
      <c r="F420" s="6" t="s">
        <v>1546</v>
      </c>
      <c r="G420" s="6" t="str">
        <f aca="false">INDEX(Archetypes!$D$2:$D$127, MATCH(D420, Archetypes!$A$2:$A$127, 0))</f>
        <v>Shock Cavalry</v>
      </c>
      <c r="H420" s="6" t="n">
        <f aca="false">ROUND(INDEX(Archetypes!$E$2:$E$127, MATCH(D420, Archetypes!$A$2:$A$127, 0))*INDEX(Unit_Grades!$B$2:$B$7, MATCH(F420, Unit_Grades!$A$2:$A$7, 0))*INDEX(Unit_Paths!$B$2:$B$4, MATCH(E420, Unit_Paths!$A$2:$A$4, 0)),1)</f>
        <v>128</v>
      </c>
      <c r="I420" s="6" t="n">
        <f aca="false">ROUND(INDEX(Archetypes!$F$2:$F$127, MATCH(D420, Archetypes!$A$2:$A$127, 0))*INDEX(Unit_Grades!$B$2:$B$7, MATCH(F420, Unit_Grades!$A$2:$A$7, 0))*INDEX(Unit_Paths!$C$2:$C$4, MATCH(E420, Unit_Paths!$A$2:$A$4, 0)),1)</f>
        <v>57.6</v>
      </c>
      <c r="J420" s="6" t="n">
        <f aca="false">ROUND(INDEX(Archetypes!$G$2:$G$127, MATCH(D420, Archetypes!$A$2:$A$127, 0))*INDEX(Unit_Grades!$B$2:$B$7, MATCH(F420, Unit_Grades!$A$2:$A$7, 0))*INDEX(Unit_Paths!$D$2:$D$4, MATCH(E420, Unit_Paths!$A$2:$A$4, 0)),0)</f>
        <v>352</v>
      </c>
      <c r="K420" s="6" t="n">
        <f aca="false">ROUND(INDEX(Archetypes!$H$2:$H$127, MATCH(D420, Archetypes!$A$2:$A$127, 0))*INDEX(Unit_Paths!$E$2:$E$4, MATCH(E420, Unit_Paths!$A$2:$A$4, 0)),1)</f>
        <v>34</v>
      </c>
      <c r="L420" s="6" t="n">
        <f aca="false">ROUND(INDEX(Archetypes!$I$2:$I$127, MATCH(D420, Archetypes!$A$2:$A$127, 0))*INDEX(Unit_Grades!$C$2:$C$7, MATCH(F420, Unit_Grades!$A$2:$A$7, 0)),1)</f>
        <v>16.8</v>
      </c>
      <c r="M420" s="6" t="n">
        <f aca="false">ROUND(INDEX(Archetypes!$J$2:$J$127, MATCH(D420, Archetypes!$A$2:$A$127, 0))*INDEX(Unit_Grades!$D$2:$D$7, MATCH(F420, Unit_Grades!$A$2:$A$7, 0)),1)</f>
        <v>17.1</v>
      </c>
      <c r="N420" s="6" t="n">
        <f aca="false">ROUND(M420/24,2)</f>
        <v>0.71</v>
      </c>
    </row>
    <row r="421" customFormat="false" ht="15" hidden="false" customHeight="true" outlineLevel="0" collapsed="false">
      <c r="A421" s="6" t="n">
        <v>2</v>
      </c>
      <c r="B421" s="6" t="s">
        <v>1965</v>
      </c>
      <c r="C421" s="6" t="s">
        <v>1306</v>
      </c>
      <c r="D421" s="6" t="str">
        <f aca="false">A421&amp;"|"&amp;C421</f>
        <v>2|Lancer</v>
      </c>
      <c r="E421" s="6" t="s">
        <v>1556</v>
      </c>
      <c r="F421" s="6" t="s">
        <v>1548</v>
      </c>
      <c r="G421" s="6" t="str">
        <f aca="false">INDEX(Archetypes!$D$2:$D$127, MATCH(D421, Archetypes!$A$2:$A$127, 0))</f>
        <v>Shock Cavalry</v>
      </c>
      <c r="H421" s="6" t="n">
        <f aca="false">ROUND(INDEX(Archetypes!$E$2:$E$127, MATCH(D421, Archetypes!$A$2:$A$127, 0))*INDEX(Unit_Grades!$B$2:$B$7, MATCH(F421, Unit_Grades!$A$2:$A$7, 0))*INDEX(Unit_Paths!$B$2:$B$4, MATCH(E421, Unit_Paths!$A$2:$A$4, 0)),1)</f>
        <v>168</v>
      </c>
      <c r="I421" s="6" t="n">
        <f aca="false">ROUND(INDEX(Archetypes!$F$2:$F$127, MATCH(D421, Archetypes!$A$2:$A$127, 0))*INDEX(Unit_Grades!$B$2:$B$7, MATCH(F421, Unit_Grades!$A$2:$A$7, 0))*INDEX(Unit_Paths!$C$2:$C$4, MATCH(E421, Unit_Paths!$A$2:$A$4, 0)),1)</f>
        <v>75.6</v>
      </c>
      <c r="J421" s="6" t="n">
        <f aca="false">ROUND(INDEX(Archetypes!$G$2:$G$127, MATCH(D421, Archetypes!$A$2:$A$127, 0))*INDEX(Unit_Grades!$B$2:$B$7, MATCH(F421, Unit_Grades!$A$2:$A$7, 0))*INDEX(Unit_Paths!$D$2:$D$4, MATCH(E421, Unit_Paths!$A$2:$A$4, 0)),0)</f>
        <v>462</v>
      </c>
      <c r="K421" s="6" t="n">
        <f aca="false">ROUND(INDEX(Archetypes!$H$2:$H$127, MATCH(D421, Archetypes!$A$2:$A$127, 0))*INDEX(Unit_Paths!$E$2:$E$4, MATCH(E421, Unit_Paths!$A$2:$A$4, 0)),1)</f>
        <v>34</v>
      </c>
      <c r="L421" s="6" t="n">
        <f aca="false">ROUND(INDEX(Archetypes!$I$2:$I$127, MATCH(D421, Archetypes!$A$2:$A$127, 0))*INDEX(Unit_Grades!$C$2:$C$7, MATCH(F421, Unit_Grades!$A$2:$A$7, 0)),1)</f>
        <v>22.2</v>
      </c>
      <c r="M421" s="6" t="n">
        <f aca="false">ROUND(INDEX(Archetypes!$J$2:$J$127, MATCH(D421, Archetypes!$A$2:$A$127, 0))*INDEX(Unit_Grades!$D$2:$D$7, MATCH(F421, Unit_Grades!$A$2:$A$7, 0)),1)</f>
        <v>29.3</v>
      </c>
      <c r="N421" s="6" t="n">
        <f aca="false">ROUND(M421/24,2)</f>
        <v>1.22</v>
      </c>
    </row>
    <row r="422" customFormat="false" ht="15" hidden="false" customHeight="true" outlineLevel="0" collapsed="false">
      <c r="A422" s="6" t="n">
        <v>2</v>
      </c>
      <c r="B422" s="6" t="s">
        <v>1966</v>
      </c>
      <c r="C422" s="6" t="s">
        <v>1306</v>
      </c>
      <c r="D422" s="6" t="str">
        <f aca="false">A422&amp;"|"&amp;C422</f>
        <v>2|Lancer</v>
      </c>
      <c r="E422" s="6" t="s">
        <v>1558</v>
      </c>
      <c r="F422" s="6" t="s">
        <v>1538</v>
      </c>
      <c r="G422" s="6" t="str">
        <f aca="false">INDEX(Archetypes!$D$2:$D$127, MATCH(D422, Archetypes!$A$2:$A$127, 0))</f>
        <v>Shock Cavalry</v>
      </c>
      <c r="H422" s="6" t="n">
        <f aca="false">ROUND(INDEX(Archetypes!$E$2:$E$127, MATCH(D422, Archetypes!$A$2:$A$127, 0))*INDEX(Unit_Grades!$B$2:$B$7, MATCH(F422, Unit_Grades!$A$2:$A$7, 0))*INDEX(Unit_Paths!$B$2:$B$4, MATCH(E422, Unit_Paths!$A$2:$A$4, 0)),1)</f>
        <v>48</v>
      </c>
      <c r="I422" s="6" t="n">
        <f aca="false">ROUND(INDEX(Archetypes!$F$2:$F$127, MATCH(D422, Archetypes!$A$2:$A$127, 0))*INDEX(Unit_Grades!$B$2:$B$7, MATCH(F422, Unit_Grades!$A$2:$A$7, 0))*INDEX(Unit_Paths!$C$2:$C$4, MATCH(E422, Unit_Paths!$A$2:$A$4, 0)),1)</f>
        <v>15.3</v>
      </c>
      <c r="J422" s="6" t="n">
        <f aca="false">ROUND(INDEX(Archetypes!$G$2:$G$127, MATCH(D422, Archetypes!$A$2:$A$127, 0))*INDEX(Unit_Grades!$B$2:$B$7, MATCH(F422, Unit_Grades!$A$2:$A$7, 0))*INDEX(Unit_Paths!$D$2:$D$4, MATCH(E422, Unit_Paths!$A$2:$A$4, 0)),0)</f>
        <v>105</v>
      </c>
      <c r="K422" s="6" t="n">
        <f aca="false">ROUND(INDEX(Archetypes!$H$2:$H$127, MATCH(D422, Archetypes!$A$2:$A$127, 0))*INDEX(Unit_Paths!$E$2:$E$4, MATCH(E422, Unit_Paths!$A$2:$A$4, 0)),1)</f>
        <v>35.7</v>
      </c>
      <c r="L422" s="6" t="n">
        <f aca="false">ROUND(INDEX(Archetypes!$I$2:$I$127, MATCH(D422, Archetypes!$A$2:$A$127, 0))*INDEX(Unit_Grades!$C$2:$C$7, MATCH(F422, Unit_Grades!$A$2:$A$7, 0)),1)</f>
        <v>6</v>
      </c>
      <c r="M422" s="6" t="n">
        <f aca="false">ROUND(INDEX(Archetypes!$J$2:$J$127, MATCH(D422, Archetypes!$A$2:$A$127, 0))*INDEX(Unit_Grades!$D$2:$D$7, MATCH(F422, Unit_Grades!$A$2:$A$7, 0)),1)</f>
        <v>2.4</v>
      </c>
      <c r="N422" s="6" t="n">
        <f aca="false">ROUND(M422/24,2)</f>
        <v>0.1</v>
      </c>
    </row>
    <row r="423" customFormat="false" ht="15" hidden="false" customHeight="true" outlineLevel="0" collapsed="false">
      <c r="A423" s="6" t="n">
        <v>2</v>
      </c>
      <c r="B423" s="6" t="s">
        <v>1967</v>
      </c>
      <c r="C423" s="6" t="s">
        <v>1306</v>
      </c>
      <c r="D423" s="6" t="str">
        <f aca="false">A423&amp;"|"&amp;C423</f>
        <v>2|Lancer</v>
      </c>
      <c r="E423" s="6" t="s">
        <v>1558</v>
      </c>
      <c r="F423" s="6" t="s">
        <v>1540</v>
      </c>
      <c r="G423" s="6" t="str">
        <f aca="false">INDEX(Archetypes!$D$2:$D$127, MATCH(D423, Archetypes!$A$2:$A$127, 0))</f>
        <v>Shock Cavalry</v>
      </c>
      <c r="H423" s="6" t="n">
        <f aca="false">ROUND(INDEX(Archetypes!$E$2:$E$127, MATCH(D423, Archetypes!$A$2:$A$127, 0))*INDEX(Unit_Grades!$B$2:$B$7, MATCH(F423, Unit_Grades!$A$2:$A$7, 0))*INDEX(Unit_Paths!$B$2:$B$4, MATCH(E423, Unit_Paths!$A$2:$A$4, 0)),1)</f>
        <v>64.8</v>
      </c>
      <c r="I423" s="6" t="n">
        <f aca="false">ROUND(INDEX(Archetypes!$F$2:$F$127, MATCH(D423, Archetypes!$A$2:$A$127, 0))*INDEX(Unit_Grades!$B$2:$B$7, MATCH(F423, Unit_Grades!$A$2:$A$7, 0))*INDEX(Unit_Paths!$C$2:$C$4, MATCH(E423, Unit_Paths!$A$2:$A$4, 0)),1)</f>
        <v>20.7</v>
      </c>
      <c r="J423" s="6" t="n">
        <f aca="false">ROUND(INDEX(Archetypes!$G$2:$G$127, MATCH(D423, Archetypes!$A$2:$A$127, 0))*INDEX(Unit_Grades!$B$2:$B$7, MATCH(F423, Unit_Grades!$A$2:$A$7, 0))*INDEX(Unit_Paths!$D$2:$D$4, MATCH(E423, Unit_Paths!$A$2:$A$4, 0)),0)</f>
        <v>141</v>
      </c>
      <c r="K423" s="6" t="n">
        <f aca="false">ROUND(INDEX(Archetypes!$H$2:$H$127, MATCH(D423, Archetypes!$A$2:$A$127, 0))*INDEX(Unit_Paths!$E$2:$E$4, MATCH(E423, Unit_Paths!$A$2:$A$4, 0)),1)</f>
        <v>35.7</v>
      </c>
      <c r="L423" s="6" t="n">
        <f aca="false">ROUND(INDEX(Archetypes!$I$2:$I$127, MATCH(D423, Archetypes!$A$2:$A$127, 0))*INDEX(Unit_Grades!$C$2:$C$7, MATCH(F423, Unit_Grades!$A$2:$A$7, 0)),1)</f>
        <v>7.5</v>
      </c>
      <c r="M423" s="6" t="n">
        <f aca="false">ROUND(INDEX(Archetypes!$J$2:$J$127, MATCH(D423, Archetypes!$A$2:$A$127, 0))*INDEX(Unit_Grades!$D$2:$D$7, MATCH(F423, Unit_Grades!$A$2:$A$7, 0)),1)</f>
        <v>3.7</v>
      </c>
      <c r="N423" s="6" t="n">
        <f aca="false">ROUND(M423/24,2)</f>
        <v>0.15</v>
      </c>
    </row>
    <row r="424" customFormat="false" ht="15" hidden="false" customHeight="true" outlineLevel="0" collapsed="false">
      <c r="A424" s="6" t="n">
        <v>2</v>
      </c>
      <c r="B424" s="6" t="s">
        <v>1968</v>
      </c>
      <c r="C424" s="6" t="s">
        <v>1306</v>
      </c>
      <c r="D424" s="6" t="str">
        <f aca="false">A424&amp;"|"&amp;C424</f>
        <v>2|Lancer</v>
      </c>
      <c r="E424" s="6" t="s">
        <v>1558</v>
      </c>
      <c r="F424" s="6" t="s">
        <v>1542</v>
      </c>
      <c r="G424" s="6" t="str">
        <f aca="false">INDEX(Archetypes!$D$2:$D$127, MATCH(D424, Archetypes!$A$2:$A$127, 0))</f>
        <v>Shock Cavalry</v>
      </c>
      <c r="H424" s="6" t="n">
        <f aca="false">ROUND(INDEX(Archetypes!$E$2:$E$127, MATCH(D424, Archetypes!$A$2:$A$127, 0))*INDEX(Unit_Grades!$B$2:$B$7, MATCH(F424, Unit_Grades!$A$2:$A$7, 0))*INDEX(Unit_Paths!$B$2:$B$4, MATCH(E424, Unit_Paths!$A$2:$A$4, 0)),1)</f>
        <v>86.4</v>
      </c>
      <c r="I424" s="6" t="n">
        <f aca="false">ROUND(INDEX(Archetypes!$F$2:$F$127, MATCH(D424, Archetypes!$A$2:$A$127, 0))*INDEX(Unit_Grades!$B$2:$B$7, MATCH(F424, Unit_Grades!$A$2:$A$7, 0))*INDEX(Unit_Paths!$C$2:$C$4, MATCH(E424, Unit_Paths!$A$2:$A$4, 0)),1)</f>
        <v>27.5</v>
      </c>
      <c r="J424" s="6" t="n">
        <f aca="false">ROUND(INDEX(Archetypes!$G$2:$G$127, MATCH(D424, Archetypes!$A$2:$A$127, 0))*INDEX(Unit_Grades!$B$2:$B$7, MATCH(F424, Unit_Grades!$A$2:$A$7, 0))*INDEX(Unit_Paths!$D$2:$D$4, MATCH(E424, Unit_Paths!$A$2:$A$4, 0)),0)</f>
        <v>188</v>
      </c>
      <c r="K424" s="6" t="n">
        <f aca="false">ROUND(INDEX(Archetypes!$H$2:$H$127, MATCH(D424, Archetypes!$A$2:$A$127, 0))*INDEX(Unit_Paths!$E$2:$E$4, MATCH(E424, Unit_Paths!$A$2:$A$4, 0)),1)</f>
        <v>35.7</v>
      </c>
      <c r="L424" s="6" t="n">
        <f aca="false">ROUND(INDEX(Archetypes!$I$2:$I$127, MATCH(D424, Archetypes!$A$2:$A$127, 0))*INDEX(Unit_Grades!$C$2:$C$7, MATCH(F424, Unit_Grades!$A$2:$A$7, 0)),1)</f>
        <v>9.6</v>
      </c>
      <c r="M424" s="6" t="n">
        <f aca="false">ROUND(INDEX(Archetypes!$J$2:$J$127, MATCH(D424, Archetypes!$A$2:$A$127, 0))*INDEX(Unit_Grades!$D$2:$D$7, MATCH(F424, Unit_Grades!$A$2:$A$7, 0)),1)</f>
        <v>6.1</v>
      </c>
      <c r="N424" s="6" t="n">
        <f aca="false">ROUND(M424/24,2)</f>
        <v>0.25</v>
      </c>
    </row>
    <row r="425" customFormat="false" ht="15" hidden="false" customHeight="true" outlineLevel="0" collapsed="false">
      <c r="A425" s="6" t="n">
        <v>2</v>
      </c>
      <c r="B425" s="6" t="s">
        <v>1969</v>
      </c>
      <c r="C425" s="6" t="s">
        <v>1306</v>
      </c>
      <c r="D425" s="6" t="str">
        <f aca="false">A425&amp;"|"&amp;C425</f>
        <v>2|Lancer</v>
      </c>
      <c r="E425" s="6" t="s">
        <v>1558</v>
      </c>
      <c r="F425" s="6" t="s">
        <v>1544</v>
      </c>
      <c r="G425" s="6" t="str">
        <f aca="false">INDEX(Archetypes!$D$2:$D$127, MATCH(D425, Archetypes!$A$2:$A$127, 0))</f>
        <v>Shock Cavalry</v>
      </c>
      <c r="H425" s="6" t="n">
        <f aca="false">ROUND(INDEX(Archetypes!$E$2:$E$127, MATCH(D425, Archetypes!$A$2:$A$127, 0))*INDEX(Unit_Grades!$B$2:$B$7, MATCH(F425, Unit_Grades!$A$2:$A$7, 0))*INDEX(Unit_Paths!$B$2:$B$4, MATCH(E425, Unit_Paths!$A$2:$A$4, 0)),1)</f>
        <v>115.2</v>
      </c>
      <c r="I425" s="6" t="n">
        <f aca="false">ROUND(INDEX(Archetypes!$F$2:$F$127, MATCH(D425, Archetypes!$A$2:$A$127, 0))*INDEX(Unit_Grades!$B$2:$B$7, MATCH(F425, Unit_Grades!$A$2:$A$7, 0))*INDEX(Unit_Paths!$C$2:$C$4, MATCH(E425, Unit_Paths!$A$2:$A$4, 0)),1)</f>
        <v>36.7</v>
      </c>
      <c r="J425" s="6" t="n">
        <f aca="false">ROUND(INDEX(Archetypes!$G$2:$G$127, MATCH(D425, Archetypes!$A$2:$A$127, 0))*INDEX(Unit_Grades!$B$2:$B$7, MATCH(F425, Unit_Grades!$A$2:$A$7, 0))*INDEX(Unit_Paths!$D$2:$D$4, MATCH(E425, Unit_Paths!$A$2:$A$4, 0)),0)</f>
        <v>251</v>
      </c>
      <c r="K425" s="6" t="n">
        <f aca="false">ROUND(INDEX(Archetypes!$H$2:$H$127, MATCH(D425, Archetypes!$A$2:$A$127, 0))*INDEX(Unit_Paths!$E$2:$E$4, MATCH(E425, Unit_Paths!$A$2:$A$4, 0)),1)</f>
        <v>35.7</v>
      </c>
      <c r="L425" s="6" t="n">
        <f aca="false">ROUND(INDEX(Archetypes!$I$2:$I$127, MATCH(D425, Archetypes!$A$2:$A$127, 0))*INDEX(Unit_Grades!$C$2:$C$7, MATCH(F425, Unit_Grades!$A$2:$A$7, 0)),1)</f>
        <v>12.6</v>
      </c>
      <c r="M425" s="6" t="n">
        <f aca="false">ROUND(INDEX(Archetypes!$J$2:$J$127, MATCH(D425, Archetypes!$A$2:$A$127, 0))*INDEX(Unit_Grades!$D$2:$D$7, MATCH(F425, Unit_Grades!$A$2:$A$7, 0)),1)</f>
        <v>9.8</v>
      </c>
      <c r="N425" s="6" t="n">
        <f aca="false">ROUND(M425/24,2)</f>
        <v>0.41</v>
      </c>
    </row>
    <row r="426" customFormat="false" ht="15" hidden="false" customHeight="true" outlineLevel="0" collapsed="false">
      <c r="A426" s="6" t="n">
        <v>2</v>
      </c>
      <c r="B426" s="6" t="s">
        <v>1970</v>
      </c>
      <c r="C426" s="6" t="s">
        <v>1306</v>
      </c>
      <c r="D426" s="6" t="str">
        <f aca="false">A426&amp;"|"&amp;C426</f>
        <v>2|Lancer</v>
      </c>
      <c r="E426" s="6" t="s">
        <v>1558</v>
      </c>
      <c r="F426" s="6" t="s">
        <v>1546</v>
      </c>
      <c r="G426" s="6" t="str">
        <f aca="false">INDEX(Archetypes!$D$2:$D$127, MATCH(D426, Archetypes!$A$2:$A$127, 0))</f>
        <v>Shock Cavalry</v>
      </c>
      <c r="H426" s="6" t="n">
        <f aca="false">ROUND(INDEX(Archetypes!$E$2:$E$127, MATCH(D426, Archetypes!$A$2:$A$127, 0))*INDEX(Unit_Grades!$B$2:$B$7, MATCH(F426, Unit_Grades!$A$2:$A$7, 0))*INDEX(Unit_Paths!$B$2:$B$4, MATCH(E426, Unit_Paths!$A$2:$A$4, 0)),1)</f>
        <v>153.6</v>
      </c>
      <c r="I426" s="6" t="n">
        <f aca="false">ROUND(INDEX(Archetypes!$F$2:$F$127, MATCH(D426, Archetypes!$A$2:$A$127, 0))*INDEX(Unit_Grades!$B$2:$B$7, MATCH(F426, Unit_Grades!$A$2:$A$7, 0))*INDEX(Unit_Paths!$C$2:$C$4, MATCH(E426, Unit_Paths!$A$2:$A$4, 0)),1)</f>
        <v>49</v>
      </c>
      <c r="J426" s="6" t="n">
        <f aca="false">ROUND(INDEX(Archetypes!$G$2:$G$127, MATCH(D426, Archetypes!$A$2:$A$127, 0))*INDEX(Unit_Grades!$B$2:$B$7, MATCH(F426, Unit_Grades!$A$2:$A$7, 0))*INDEX(Unit_Paths!$D$2:$D$4, MATCH(E426, Unit_Paths!$A$2:$A$4, 0)),0)</f>
        <v>334</v>
      </c>
      <c r="K426" s="6" t="n">
        <f aca="false">ROUND(INDEX(Archetypes!$H$2:$H$127, MATCH(D426, Archetypes!$A$2:$A$127, 0))*INDEX(Unit_Paths!$E$2:$E$4, MATCH(E426, Unit_Paths!$A$2:$A$4, 0)),1)</f>
        <v>35.7</v>
      </c>
      <c r="L426" s="6" t="n">
        <f aca="false">ROUND(INDEX(Archetypes!$I$2:$I$127, MATCH(D426, Archetypes!$A$2:$A$127, 0))*INDEX(Unit_Grades!$C$2:$C$7, MATCH(F426, Unit_Grades!$A$2:$A$7, 0)),1)</f>
        <v>16.8</v>
      </c>
      <c r="M426" s="6" t="n">
        <f aca="false">ROUND(INDEX(Archetypes!$J$2:$J$127, MATCH(D426, Archetypes!$A$2:$A$127, 0))*INDEX(Unit_Grades!$D$2:$D$7, MATCH(F426, Unit_Grades!$A$2:$A$7, 0)),1)</f>
        <v>17.1</v>
      </c>
      <c r="N426" s="6" t="n">
        <f aca="false">ROUND(M426/24,2)</f>
        <v>0.71</v>
      </c>
    </row>
    <row r="427" customFormat="false" ht="15" hidden="false" customHeight="true" outlineLevel="0" collapsed="false">
      <c r="A427" s="6" t="n">
        <v>2</v>
      </c>
      <c r="B427" s="6" t="s">
        <v>1971</v>
      </c>
      <c r="C427" s="6" t="s">
        <v>1306</v>
      </c>
      <c r="D427" s="6" t="str">
        <f aca="false">A427&amp;"|"&amp;C427</f>
        <v>2|Lancer</v>
      </c>
      <c r="E427" s="6" t="s">
        <v>1558</v>
      </c>
      <c r="F427" s="6" t="s">
        <v>1548</v>
      </c>
      <c r="G427" s="6" t="str">
        <f aca="false">INDEX(Archetypes!$D$2:$D$127, MATCH(D427, Archetypes!$A$2:$A$127, 0))</f>
        <v>Shock Cavalry</v>
      </c>
      <c r="H427" s="6" t="n">
        <f aca="false">ROUND(INDEX(Archetypes!$E$2:$E$127, MATCH(D427, Archetypes!$A$2:$A$127, 0))*INDEX(Unit_Grades!$B$2:$B$7, MATCH(F427, Unit_Grades!$A$2:$A$7, 0))*INDEX(Unit_Paths!$B$2:$B$4, MATCH(E427, Unit_Paths!$A$2:$A$4, 0)),1)</f>
        <v>201.6</v>
      </c>
      <c r="I427" s="6" t="n">
        <f aca="false">ROUND(INDEX(Archetypes!$F$2:$F$127, MATCH(D427, Archetypes!$A$2:$A$127, 0))*INDEX(Unit_Grades!$B$2:$B$7, MATCH(F427, Unit_Grades!$A$2:$A$7, 0))*INDEX(Unit_Paths!$C$2:$C$4, MATCH(E427, Unit_Paths!$A$2:$A$4, 0)),1)</f>
        <v>64.3</v>
      </c>
      <c r="J427" s="6" t="n">
        <f aca="false">ROUND(INDEX(Archetypes!$G$2:$G$127, MATCH(D427, Archetypes!$A$2:$A$127, 0))*INDEX(Unit_Grades!$B$2:$B$7, MATCH(F427, Unit_Grades!$A$2:$A$7, 0))*INDEX(Unit_Paths!$D$2:$D$4, MATCH(E427, Unit_Paths!$A$2:$A$4, 0)),0)</f>
        <v>439</v>
      </c>
      <c r="K427" s="6" t="n">
        <f aca="false">ROUND(INDEX(Archetypes!$H$2:$H$127, MATCH(D427, Archetypes!$A$2:$A$127, 0))*INDEX(Unit_Paths!$E$2:$E$4, MATCH(E427, Unit_Paths!$A$2:$A$4, 0)),1)</f>
        <v>35.7</v>
      </c>
      <c r="L427" s="6" t="n">
        <f aca="false">ROUND(INDEX(Archetypes!$I$2:$I$127, MATCH(D427, Archetypes!$A$2:$A$127, 0))*INDEX(Unit_Grades!$C$2:$C$7, MATCH(F427, Unit_Grades!$A$2:$A$7, 0)),1)</f>
        <v>22.2</v>
      </c>
      <c r="M427" s="6" t="n">
        <f aca="false">ROUND(INDEX(Archetypes!$J$2:$J$127, MATCH(D427, Archetypes!$A$2:$A$127, 0))*INDEX(Unit_Grades!$D$2:$D$7, MATCH(F427, Unit_Grades!$A$2:$A$7, 0)),1)</f>
        <v>29.3</v>
      </c>
      <c r="N427" s="6" t="n">
        <f aca="false">ROUND(M427/24,2)</f>
        <v>1.22</v>
      </c>
    </row>
    <row r="428" customFormat="false" ht="15" hidden="false" customHeight="true" outlineLevel="0" collapsed="false">
      <c r="A428" s="6" t="n">
        <v>2</v>
      </c>
      <c r="B428" s="6" t="s">
        <v>1972</v>
      </c>
      <c r="C428" s="6" t="s">
        <v>1306</v>
      </c>
      <c r="D428" s="6" t="str">
        <f aca="false">A428&amp;"|"&amp;C428</f>
        <v>2|Lancer</v>
      </c>
      <c r="E428" s="6" t="s">
        <v>1560</v>
      </c>
      <c r="F428" s="6" t="s">
        <v>1538</v>
      </c>
      <c r="G428" s="6" t="str">
        <f aca="false">INDEX(Archetypes!$D$2:$D$127, MATCH(D428, Archetypes!$A$2:$A$127, 0))</f>
        <v>Shock Cavalry</v>
      </c>
      <c r="H428" s="6" t="n">
        <f aca="false">ROUND(INDEX(Archetypes!$E$2:$E$127, MATCH(D428, Archetypes!$A$2:$A$127, 0))*INDEX(Unit_Grades!$B$2:$B$7, MATCH(F428, Unit_Grades!$A$2:$A$7, 0))*INDEX(Unit_Paths!$B$2:$B$4, MATCH(E428, Unit_Paths!$A$2:$A$4, 0)),1)</f>
        <v>34</v>
      </c>
      <c r="I428" s="6" t="n">
        <f aca="false">ROUND(INDEX(Archetypes!$F$2:$F$127, MATCH(D428, Archetypes!$A$2:$A$127, 0))*INDEX(Unit_Grades!$B$2:$B$7, MATCH(F428, Unit_Grades!$A$2:$A$7, 0))*INDEX(Unit_Paths!$C$2:$C$4, MATCH(E428, Unit_Paths!$A$2:$A$4, 0)),1)</f>
        <v>22.5</v>
      </c>
      <c r="J428" s="6" t="n">
        <f aca="false">ROUND(INDEX(Archetypes!$G$2:$G$127, MATCH(D428, Archetypes!$A$2:$A$127, 0))*INDEX(Unit_Grades!$B$2:$B$7, MATCH(F428, Unit_Grades!$A$2:$A$7, 0))*INDEX(Unit_Paths!$D$2:$D$4, MATCH(E428, Unit_Paths!$A$2:$A$4, 0)),0)</f>
        <v>126</v>
      </c>
      <c r="K428" s="6" t="n">
        <f aca="false">ROUND(INDEX(Archetypes!$H$2:$H$127, MATCH(D428, Archetypes!$A$2:$A$127, 0))*INDEX(Unit_Paths!$E$2:$E$4, MATCH(E428, Unit_Paths!$A$2:$A$4, 0)),1)</f>
        <v>31.3</v>
      </c>
      <c r="L428" s="6" t="n">
        <f aca="false">ROUND(INDEX(Archetypes!$I$2:$I$127, MATCH(D428, Archetypes!$A$2:$A$127, 0))*INDEX(Unit_Grades!$C$2:$C$7, MATCH(F428, Unit_Grades!$A$2:$A$7, 0)),1)</f>
        <v>6</v>
      </c>
      <c r="M428" s="6" t="n">
        <f aca="false">ROUND(INDEX(Archetypes!$J$2:$J$127, MATCH(D428, Archetypes!$A$2:$A$127, 0))*INDEX(Unit_Grades!$D$2:$D$7, MATCH(F428, Unit_Grades!$A$2:$A$7, 0)),1)</f>
        <v>2.4</v>
      </c>
      <c r="N428" s="6" t="n">
        <f aca="false">ROUND(M428/24,2)</f>
        <v>0.1</v>
      </c>
    </row>
    <row r="429" customFormat="false" ht="15" hidden="false" customHeight="true" outlineLevel="0" collapsed="false">
      <c r="A429" s="6" t="n">
        <v>2</v>
      </c>
      <c r="B429" s="6" t="s">
        <v>1973</v>
      </c>
      <c r="C429" s="6" t="s">
        <v>1306</v>
      </c>
      <c r="D429" s="6" t="str">
        <f aca="false">A429&amp;"|"&amp;C429</f>
        <v>2|Lancer</v>
      </c>
      <c r="E429" s="6" t="s">
        <v>1560</v>
      </c>
      <c r="F429" s="6" t="s">
        <v>1540</v>
      </c>
      <c r="G429" s="6" t="str">
        <f aca="false">INDEX(Archetypes!$D$2:$D$127, MATCH(D429, Archetypes!$A$2:$A$127, 0))</f>
        <v>Shock Cavalry</v>
      </c>
      <c r="H429" s="6" t="n">
        <f aca="false">ROUND(INDEX(Archetypes!$E$2:$E$127, MATCH(D429, Archetypes!$A$2:$A$127, 0))*INDEX(Unit_Grades!$B$2:$B$7, MATCH(F429, Unit_Grades!$A$2:$A$7, 0))*INDEX(Unit_Paths!$B$2:$B$4, MATCH(E429, Unit_Paths!$A$2:$A$4, 0)),1)</f>
        <v>45.9</v>
      </c>
      <c r="I429" s="6" t="n">
        <f aca="false">ROUND(INDEX(Archetypes!$F$2:$F$127, MATCH(D429, Archetypes!$A$2:$A$127, 0))*INDEX(Unit_Grades!$B$2:$B$7, MATCH(F429, Unit_Grades!$A$2:$A$7, 0))*INDEX(Unit_Paths!$C$2:$C$4, MATCH(E429, Unit_Paths!$A$2:$A$4, 0)),1)</f>
        <v>30.4</v>
      </c>
      <c r="J429" s="6" t="n">
        <f aca="false">ROUND(INDEX(Archetypes!$G$2:$G$127, MATCH(D429, Archetypes!$A$2:$A$127, 0))*INDEX(Unit_Grades!$B$2:$B$7, MATCH(F429, Unit_Grades!$A$2:$A$7, 0))*INDEX(Unit_Paths!$D$2:$D$4, MATCH(E429, Unit_Paths!$A$2:$A$4, 0)),0)</f>
        <v>171</v>
      </c>
      <c r="K429" s="6" t="n">
        <f aca="false">ROUND(INDEX(Archetypes!$H$2:$H$127, MATCH(D429, Archetypes!$A$2:$A$127, 0))*INDEX(Unit_Paths!$E$2:$E$4, MATCH(E429, Unit_Paths!$A$2:$A$4, 0)),1)</f>
        <v>31.3</v>
      </c>
      <c r="L429" s="6" t="n">
        <f aca="false">ROUND(INDEX(Archetypes!$I$2:$I$127, MATCH(D429, Archetypes!$A$2:$A$127, 0))*INDEX(Unit_Grades!$C$2:$C$7, MATCH(F429, Unit_Grades!$A$2:$A$7, 0)),1)</f>
        <v>7.5</v>
      </c>
      <c r="M429" s="6" t="n">
        <f aca="false">ROUND(INDEX(Archetypes!$J$2:$J$127, MATCH(D429, Archetypes!$A$2:$A$127, 0))*INDEX(Unit_Grades!$D$2:$D$7, MATCH(F429, Unit_Grades!$A$2:$A$7, 0)),1)</f>
        <v>3.7</v>
      </c>
      <c r="N429" s="6" t="n">
        <f aca="false">ROUND(M429/24,2)</f>
        <v>0.15</v>
      </c>
    </row>
    <row r="430" customFormat="false" ht="15" hidden="false" customHeight="true" outlineLevel="0" collapsed="false">
      <c r="A430" s="6" t="n">
        <v>2</v>
      </c>
      <c r="B430" s="6" t="s">
        <v>1974</v>
      </c>
      <c r="C430" s="6" t="s">
        <v>1306</v>
      </c>
      <c r="D430" s="6" t="str">
        <f aca="false">A430&amp;"|"&amp;C430</f>
        <v>2|Lancer</v>
      </c>
      <c r="E430" s="6" t="s">
        <v>1560</v>
      </c>
      <c r="F430" s="6" t="s">
        <v>1542</v>
      </c>
      <c r="G430" s="6" t="str">
        <f aca="false">INDEX(Archetypes!$D$2:$D$127, MATCH(D430, Archetypes!$A$2:$A$127, 0))</f>
        <v>Shock Cavalry</v>
      </c>
      <c r="H430" s="6" t="n">
        <f aca="false">ROUND(INDEX(Archetypes!$E$2:$E$127, MATCH(D430, Archetypes!$A$2:$A$127, 0))*INDEX(Unit_Grades!$B$2:$B$7, MATCH(F430, Unit_Grades!$A$2:$A$7, 0))*INDEX(Unit_Paths!$B$2:$B$4, MATCH(E430, Unit_Paths!$A$2:$A$4, 0)),1)</f>
        <v>61.2</v>
      </c>
      <c r="I430" s="6" t="n">
        <f aca="false">ROUND(INDEX(Archetypes!$F$2:$F$127, MATCH(D430, Archetypes!$A$2:$A$127, 0))*INDEX(Unit_Grades!$B$2:$B$7, MATCH(F430, Unit_Grades!$A$2:$A$7, 0))*INDEX(Unit_Paths!$C$2:$C$4, MATCH(E430, Unit_Paths!$A$2:$A$4, 0)),1)</f>
        <v>40.5</v>
      </c>
      <c r="J430" s="6" t="n">
        <f aca="false">ROUND(INDEX(Archetypes!$G$2:$G$127, MATCH(D430, Archetypes!$A$2:$A$127, 0))*INDEX(Unit_Grades!$B$2:$B$7, MATCH(F430, Unit_Grades!$A$2:$A$7, 0))*INDEX(Unit_Paths!$D$2:$D$4, MATCH(E430, Unit_Paths!$A$2:$A$4, 0)),0)</f>
        <v>228</v>
      </c>
      <c r="K430" s="6" t="n">
        <f aca="false">ROUND(INDEX(Archetypes!$H$2:$H$127, MATCH(D430, Archetypes!$A$2:$A$127, 0))*INDEX(Unit_Paths!$E$2:$E$4, MATCH(E430, Unit_Paths!$A$2:$A$4, 0)),1)</f>
        <v>31.3</v>
      </c>
      <c r="L430" s="6" t="n">
        <f aca="false">ROUND(INDEX(Archetypes!$I$2:$I$127, MATCH(D430, Archetypes!$A$2:$A$127, 0))*INDEX(Unit_Grades!$C$2:$C$7, MATCH(F430, Unit_Grades!$A$2:$A$7, 0)),1)</f>
        <v>9.6</v>
      </c>
      <c r="M430" s="6" t="n">
        <f aca="false">ROUND(INDEX(Archetypes!$J$2:$J$127, MATCH(D430, Archetypes!$A$2:$A$127, 0))*INDEX(Unit_Grades!$D$2:$D$7, MATCH(F430, Unit_Grades!$A$2:$A$7, 0)),1)</f>
        <v>6.1</v>
      </c>
      <c r="N430" s="6" t="n">
        <f aca="false">ROUND(M430/24,2)</f>
        <v>0.25</v>
      </c>
    </row>
    <row r="431" customFormat="false" ht="15" hidden="false" customHeight="true" outlineLevel="0" collapsed="false">
      <c r="A431" s="6" t="n">
        <v>2</v>
      </c>
      <c r="B431" s="6" t="s">
        <v>1975</v>
      </c>
      <c r="C431" s="6" t="s">
        <v>1306</v>
      </c>
      <c r="D431" s="6" t="str">
        <f aca="false">A431&amp;"|"&amp;C431</f>
        <v>2|Lancer</v>
      </c>
      <c r="E431" s="6" t="s">
        <v>1560</v>
      </c>
      <c r="F431" s="6" t="s">
        <v>1544</v>
      </c>
      <c r="G431" s="6" t="str">
        <f aca="false">INDEX(Archetypes!$D$2:$D$127, MATCH(D431, Archetypes!$A$2:$A$127, 0))</f>
        <v>Shock Cavalry</v>
      </c>
      <c r="H431" s="6" t="n">
        <f aca="false">ROUND(INDEX(Archetypes!$E$2:$E$127, MATCH(D431, Archetypes!$A$2:$A$127, 0))*INDEX(Unit_Grades!$B$2:$B$7, MATCH(F431, Unit_Grades!$A$2:$A$7, 0))*INDEX(Unit_Paths!$B$2:$B$4, MATCH(E431, Unit_Paths!$A$2:$A$4, 0)),1)</f>
        <v>81.6</v>
      </c>
      <c r="I431" s="6" t="n">
        <f aca="false">ROUND(INDEX(Archetypes!$F$2:$F$127, MATCH(D431, Archetypes!$A$2:$A$127, 0))*INDEX(Unit_Grades!$B$2:$B$7, MATCH(F431, Unit_Grades!$A$2:$A$7, 0))*INDEX(Unit_Paths!$C$2:$C$4, MATCH(E431, Unit_Paths!$A$2:$A$4, 0)),1)</f>
        <v>54</v>
      </c>
      <c r="J431" s="6" t="n">
        <f aca="false">ROUND(INDEX(Archetypes!$G$2:$G$127, MATCH(D431, Archetypes!$A$2:$A$127, 0))*INDEX(Unit_Grades!$B$2:$B$7, MATCH(F431, Unit_Grades!$A$2:$A$7, 0))*INDEX(Unit_Paths!$D$2:$D$4, MATCH(E431, Unit_Paths!$A$2:$A$4, 0)),0)</f>
        <v>304</v>
      </c>
      <c r="K431" s="6" t="n">
        <f aca="false">ROUND(INDEX(Archetypes!$H$2:$H$127, MATCH(D431, Archetypes!$A$2:$A$127, 0))*INDEX(Unit_Paths!$E$2:$E$4, MATCH(E431, Unit_Paths!$A$2:$A$4, 0)),1)</f>
        <v>31.3</v>
      </c>
      <c r="L431" s="6" t="n">
        <f aca="false">ROUND(INDEX(Archetypes!$I$2:$I$127, MATCH(D431, Archetypes!$A$2:$A$127, 0))*INDEX(Unit_Grades!$C$2:$C$7, MATCH(F431, Unit_Grades!$A$2:$A$7, 0)),1)</f>
        <v>12.6</v>
      </c>
      <c r="M431" s="6" t="n">
        <f aca="false">ROUND(INDEX(Archetypes!$J$2:$J$127, MATCH(D431, Archetypes!$A$2:$A$127, 0))*INDEX(Unit_Grades!$D$2:$D$7, MATCH(F431, Unit_Grades!$A$2:$A$7, 0)),1)</f>
        <v>9.8</v>
      </c>
      <c r="N431" s="6" t="n">
        <f aca="false">ROUND(M431/24,2)</f>
        <v>0.41</v>
      </c>
    </row>
    <row r="432" customFormat="false" ht="15" hidden="false" customHeight="true" outlineLevel="0" collapsed="false">
      <c r="A432" s="6" t="n">
        <v>2</v>
      </c>
      <c r="B432" s="6" t="s">
        <v>1976</v>
      </c>
      <c r="C432" s="6" t="s">
        <v>1306</v>
      </c>
      <c r="D432" s="6" t="str">
        <f aca="false">A432&amp;"|"&amp;C432</f>
        <v>2|Lancer</v>
      </c>
      <c r="E432" s="6" t="s">
        <v>1560</v>
      </c>
      <c r="F432" s="6" t="s">
        <v>1546</v>
      </c>
      <c r="G432" s="6" t="str">
        <f aca="false">INDEX(Archetypes!$D$2:$D$127, MATCH(D432, Archetypes!$A$2:$A$127, 0))</f>
        <v>Shock Cavalry</v>
      </c>
      <c r="H432" s="6" t="n">
        <f aca="false">ROUND(INDEX(Archetypes!$E$2:$E$127, MATCH(D432, Archetypes!$A$2:$A$127, 0))*INDEX(Unit_Grades!$B$2:$B$7, MATCH(F432, Unit_Grades!$A$2:$A$7, 0))*INDEX(Unit_Paths!$B$2:$B$4, MATCH(E432, Unit_Paths!$A$2:$A$4, 0)),1)</f>
        <v>108.8</v>
      </c>
      <c r="I432" s="6" t="n">
        <f aca="false">ROUND(INDEX(Archetypes!$F$2:$F$127, MATCH(D432, Archetypes!$A$2:$A$127, 0))*INDEX(Unit_Grades!$B$2:$B$7, MATCH(F432, Unit_Grades!$A$2:$A$7, 0))*INDEX(Unit_Paths!$C$2:$C$4, MATCH(E432, Unit_Paths!$A$2:$A$4, 0)),1)</f>
        <v>72</v>
      </c>
      <c r="J432" s="6" t="n">
        <f aca="false">ROUND(INDEX(Archetypes!$G$2:$G$127, MATCH(D432, Archetypes!$A$2:$A$127, 0))*INDEX(Unit_Grades!$B$2:$B$7, MATCH(F432, Unit_Grades!$A$2:$A$7, 0))*INDEX(Unit_Paths!$D$2:$D$4, MATCH(E432, Unit_Paths!$A$2:$A$4, 0)),0)</f>
        <v>405</v>
      </c>
      <c r="K432" s="6" t="n">
        <f aca="false">ROUND(INDEX(Archetypes!$H$2:$H$127, MATCH(D432, Archetypes!$A$2:$A$127, 0))*INDEX(Unit_Paths!$E$2:$E$4, MATCH(E432, Unit_Paths!$A$2:$A$4, 0)),1)</f>
        <v>31.3</v>
      </c>
      <c r="L432" s="6" t="n">
        <f aca="false">ROUND(INDEX(Archetypes!$I$2:$I$127, MATCH(D432, Archetypes!$A$2:$A$127, 0))*INDEX(Unit_Grades!$C$2:$C$7, MATCH(F432, Unit_Grades!$A$2:$A$7, 0)),1)</f>
        <v>16.8</v>
      </c>
      <c r="M432" s="6" t="n">
        <f aca="false">ROUND(INDEX(Archetypes!$J$2:$J$127, MATCH(D432, Archetypes!$A$2:$A$127, 0))*INDEX(Unit_Grades!$D$2:$D$7, MATCH(F432, Unit_Grades!$A$2:$A$7, 0)),1)</f>
        <v>17.1</v>
      </c>
      <c r="N432" s="6" t="n">
        <f aca="false">ROUND(M432/24,2)</f>
        <v>0.71</v>
      </c>
    </row>
    <row r="433" customFormat="false" ht="15" hidden="false" customHeight="true" outlineLevel="0" collapsed="false">
      <c r="A433" s="6" t="n">
        <v>2</v>
      </c>
      <c r="B433" s="6" t="s">
        <v>1977</v>
      </c>
      <c r="C433" s="6" t="s">
        <v>1306</v>
      </c>
      <c r="D433" s="6" t="str">
        <f aca="false">A433&amp;"|"&amp;C433</f>
        <v>2|Lancer</v>
      </c>
      <c r="E433" s="6" t="s">
        <v>1560</v>
      </c>
      <c r="F433" s="6" t="s">
        <v>1548</v>
      </c>
      <c r="G433" s="6" t="str">
        <f aca="false">INDEX(Archetypes!$D$2:$D$127, MATCH(D433, Archetypes!$A$2:$A$127, 0))</f>
        <v>Shock Cavalry</v>
      </c>
      <c r="H433" s="6" t="n">
        <f aca="false">ROUND(INDEX(Archetypes!$E$2:$E$127, MATCH(D433, Archetypes!$A$2:$A$127, 0))*INDEX(Unit_Grades!$B$2:$B$7, MATCH(F433, Unit_Grades!$A$2:$A$7, 0))*INDEX(Unit_Paths!$B$2:$B$4, MATCH(E433, Unit_Paths!$A$2:$A$4, 0)),1)</f>
        <v>142.8</v>
      </c>
      <c r="I433" s="6" t="n">
        <f aca="false">ROUND(INDEX(Archetypes!$F$2:$F$127, MATCH(D433, Archetypes!$A$2:$A$127, 0))*INDEX(Unit_Grades!$B$2:$B$7, MATCH(F433, Unit_Grades!$A$2:$A$7, 0))*INDEX(Unit_Paths!$C$2:$C$4, MATCH(E433, Unit_Paths!$A$2:$A$4, 0)),1)</f>
        <v>94.5</v>
      </c>
      <c r="J433" s="6" t="n">
        <f aca="false">ROUND(INDEX(Archetypes!$G$2:$G$127, MATCH(D433, Archetypes!$A$2:$A$127, 0))*INDEX(Unit_Grades!$B$2:$B$7, MATCH(F433, Unit_Grades!$A$2:$A$7, 0))*INDEX(Unit_Paths!$D$2:$D$4, MATCH(E433, Unit_Paths!$A$2:$A$4, 0)),0)</f>
        <v>531</v>
      </c>
      <c r="K433" s="6" t="n">
        <f aca="false">ROUND(INDEX(Archetypes!$H$2:$H$127, MATCH(D433, Archetypes!$A$2:$A$127, 0))*INDEX(Unit_Paths!$E$2:$E$4, MATCH(E433, Unit_Paths!$A$2:$A$4, 0)),1)</f>
        <v>31.3</v>
      </c>
      <c r="L433" s="6" t="n">
        <f aca="false">ROUND(INDEX(Archetypes!$I$2:$I$127, MATCH(D433, Archetypes!$A$2:$A$127, 0))*INDEX(Unit_Grades!$C$2:$C$7, MATCH(F433, Unit_Grades!$A$2:$A$7, 0)),1)</f>
        <v>22.2</v>
      </c>
      <c r="M433" s="6" t="n">
        <f aca="false">ROUND(INDEX(Archetypes!$J$2:$J$127, MATCH(D433, Archetypes!$A$2:$A$127, 0))*INDEX(Unit_Grades!$D$2:$D$7, MATCH(F433, Unit_Grades!$A$2:$A$7, 0)),1)</f>
        <v>29.3</v>
      </c>
      <c r="N433" s="6" t="n">
        <f aca="false">ROUND(M433/24,2)</f>
        <v>1.22</v>
      </c>
    </row>
    <row r="434" customFormat="false" ht="15" hidden="false" customHeight="true" outlineLevel="0" collapsed="false">
      <c r="A434" s="6" t="n">
        <v>2</v>
      </c>
      <c r="B434" s="6" t="s">
        <v>1309</v>
      </c>
      <c r="C434" s="6" t="s">
        <v>1309</v>
      </c>
      <c r="D434" s="6" t="str">
        <f aca="false">A434&amp;"|"&amp;C434</f>
        <v>2|Knight</v>
      </c>
      <c r="E434" s="6" t="s">
        <v>1556</v>
      </c>
      <c r="F434" s="6" t="s">
        <v>1538</v>
      </c>
      <c r="G434" s="6" t="str">
        <f aca="false">INDEX(Archetypes!$D$2:$D$127, MATCH(D434, Archetypes!$A$2:$A$127, 0))</f>
        <v>Elite Shock</v>
      </c>
      <c r="H434" s="6" t="n">
        <f aca="false">ROUND(INDEX(Archetypes!$E$2:$E$127, MATCH(D434, Archetypes!$A$2:$A$127, 0))*INDEX(Unit_Grades!$B$2:$B$7, MATCH(F434, Unit_Grades!$A$2:$A$7, 0))*INDEX(Unit_Paths!$B$2:$B$4, MATCH(E434, Unit_Paths!$A$2:$A$4, 0)),1)</f>
        <v>52</v>
      </c>
      <c r="I434" s="6" t="n">
        <f aca="false">ROUND(INDEX(Archetypes!$F$2:$F$127, MATCH(D434, Archetypes!$A$2:$A$127, 0))*INDEX(Unit_Grades!$B$2:$B$7, MATCH(F434, Unit_Grades!$A$2:$A$7, 0))*INDEX(Unit_Paths!$C$2:$C$4, MATCH(E434, Unit_Paths!$A$2:$A$4, 0)),1)</f>
        <v>36</v>
      </c>
      <c r="J434" s="6" t="n">
        <f aca="false">ROUND(INDEX(Archetypes!$G$2:$G$127, MATCH(D434, Archetypes!$A$2:$A$127, 0))*INDEX(Unit_Grades!$B$2:$B$7, MATCH(F434, Unit_Grades!$A$2:$A$7, 0))*INDEX(Unit_Paths!$D$2:$D$4, MATCH(E434, Unit_Paths!$A$2:$A$4, 0)),0)</f>
        <v>160</v>
      </c>
      <c r="K434" s="6" t="n">
        <f aca="false">ROUND(INDEX(Archetypes!$H$2:$H$127, MATCH(D434, Archetypes!$A$2:$A$127, 0))*INDEX(Unit_Paths!$E$2:$E$4, MATCH(E434, Unit_Paths!$A$2:$A$4, 0)),1)</f>
        <v>30</v>
      </c>
      <c r="L434" s="6" t="n">
        <f aca="false">ROUND(INDEX(Archetypes!$I$2:$I$127, MATCH(D434, Archetypes!$A$2:$A$127, 0))*INDEX(Unit_Grades!$C$2:$C$7, MATCH(F434, Unit_Grades!$A$2:$A$7, 0)),1)</f>
        <v>9</v>
      </c>
      <c r="M434" s="6" t="n">
        <f aca="false">ROUND(INDEX(Archetypes!$J$2:$J$127, MATCH(D434, Archetypes!$A$2:$A$127, 0))*INDEX(Unit_Grades!$D$2:$D$7, MATCH(F434, Unit_Grades!$A$2:$A$7, 0)),1)</f>
        <v>3.7</v>
      </c>
      <c r="N434" s="6" t="n">
        <f aca="false">ROUND(M434/24,2)</f>
        <v>0.15</v>
      </c>
    </row>
    <row r="435" customFormat="false" ht="15" hidden="false" customHeight="true" outlineLevel="0" collapsed="false">
      <c r="A435" s="6" t="n">
        <v>2</v>
      </c>
      <c r="B435" s="6" t="s">
        <v>1978</v>
      </c>
      <c r="C435" s="6" t="s">
        <v>1309</v>
      </c>
      <c r="D435" s="6" t="str">
        <f aca="false">A435&amp;"|"&amp;C435</f>
        <v>2|Knight</v>
      </c>
      <c r="E435" s="6" t="s">
        <v>1556</v>
      </c>
      <c r="F435" s="6" t="s">
        <v>1540</v>
      </c>
      <c r="G435" s="6" t="str">
        <f aca="false">INDEX(Archetypes!$D$2:$D$127, MATCH(D435, Archetypes!$A$2:$A$127, 0))</f>
        <v>Elite Shock</v>
      </c>
      <c r="H435" s="6" t="n">
        <f aca="false">ROUND(INDEX(Archetypes!$E$2:$E$127, MATCH(D435, Archetypes!$A$2:$A$127, 0))*INDEX(Unit_Grades!$B$2:$B$7, MATCH(F435, Unit_Grades!$A$2:$A$7, 0))*INDEX(Unit_Paths!$B$2:$B$4, MATCH(E435, Unit_Paths!$A$2:$A$4, 0)),1)</f>
        <v>70.2</v>
      </c>
      <c r="I435" s="6" t="n">
        <f aca="false">ROUND(INDEX(Archetypes!$F$2:$F$127, MATCH(D435, Archetypes!$A$2:$A$127, 0))*INDEX(Unit_Grades!$B$2:$B$7, MATCH(F435, Unit_Grades!$A$2:$A$7, 0))*INDEX(Unit_Paths!$C$2:$C$4, MATCH(E435, Unit_Paths!$A$2:$A$4, 0)),1)</f>
        <v>48.6</v>
      </c>
      <c r="J435" s="6" t="n">
        <f aca="false">ROUND(INDEX(Archetypes!$G$2:$G$127, MATCH(D435, Archetypes!$A$2:$A$127, 0))*INDEX(Unit_Grades!$B$2:$B$7, MATCH(F435, Unit_Grades!$A$2:$A$7, 0))*INDEX(Unit_Paths!$D$2:$D$4, MATCH(E435, Unit_Paths!$A$2:$A$4, 0)),0)</f>
        <v>216</v>
      </c>
      <c r="K435" s="6" t="n">
        <f aca="false">ROUND(INDEX(Archetypes!$H$2:$H$127, MATCH(D435, Archetypes!$A$2:$A$127, 0))*INDEX(Unit_Paths!$E$2:$E$4, MATCH(E435, Unit_Paths!$A$2:$A$4, 0)),1)</f>
        <v>30</v>
      </c>
      <c r="L435" s="6" t="n">
        <f aca="false">ROUND(INDEX(Archetypes!$I$2:$I$127, MATCH(D435, Archetypes!$A$2:$A$127, 0))*INDEX(Unit_Grades!$C$2:$C$7, MATCH(F435, Unit_Grades!$A$2:$A$7, 0)),1)</f>
        <v>11.3</v>
      </c>
      <c r="M435" s="6" t="n">
        <f aca="false">ROUND(INDEX(Archetypes!$J$2:$J$127, MATCH(D435, Archetypes!$A$2:$A$127, 0))*INDEX(Unit_Grades!$D$2:$D$7, MATCH(F435, Unit_Grades!$A$2:$A$7, 0)),1)</f>
        <v>5.5</v>
      </c>
      <c r="N435" s="6" t="n">
        <f aca="false">ROUND(M435/24,2)</f>
        <v>0.23</v>
      </c>
    </row>
    <row r="436" customFormat="false" ht="15" hidden="false" customHeight="true" outlineLevel="0" collapsed="false">
      <c r="A436" s="6" t="n">
        <v>2</v>
      </c>
      <c r="B436" s="6" t="s">
        <v>1979</v>
      </c>
      <c r="C436" s="6" t="s">
        <v>1309</v>
      </c>
      <c r="D436" s="6" t="str">
        <f aca="false">A436&amp;"|"&amp;C436</f>
        <v>2|Knight</v>
      </c>
      <c r="E436" s="6" t="s">
        <v>1556</v>
      </c>
      <c r="F436" s="6" t="s">
        <v>1542</v>
      </c>
      <c r="G436" s="6" t="str">
        <f aca="false">INDEX(Archetypes!$D$2:$D$127, MATCH(D436, Archetypes!$A$2:$A$127, 0))</f>
        <v>Elite Shock</v>
      </c>
      <c r="H436" s="6" t="n">
        <f aca="false">ROUND(INDEX(Archetypes!$E$2:$E$127, MATCH(D436, Archetypes!$A$2:$A$127, 0))*INDEX(Unit_Grades!$B$2:$B$7, MATCH(F436, Unit_Grades!$A$2:$A$7, 0))*INDEX(Unit_Paths!$B$2:$B$4, MATCH(E436, Unit_Paths!$A$2:$A$4, 0)),1)</f>
        <v>93.6</v>
      </c>
      <c r="I436" s="6" t="n">
        <f aca="false">ROUND(INDEX(Archetypes!$F$2:$F$127, MATCH(D436, Archetypes!$A$2:$A$127, 0))*INDEX(Unit_Grades!$B$2:$B$7, MATCH(F436, Unit_Grades!$A$2:$A$7, 0))*INDEX(Unit_Paths!$C$2:$C$4, MATCH(E436, Unit_Paths!$A$2:$A$4, 0)),1)</f>
        <v>64.8</v>
      </c>
      <c r="J436" s="6" t="n">
        <f aca="false">ROUND(INDEX(Archetypes!$G$2:$G$127, MATCH(D436, Archetypes!$A$2:$A$127, 0))*INDEX(Unit_Grades!$B$2:$B$7, MATCH(F436, Unit_Grades!$A$2:$A$7, 0))*INDEX(Unit_Paths!$D$2:$D$4, MATCH(E436, Unit_Paths!$A$2:$A$4, 0)),0)</f>
        <v>288</v>
      </c>
      <c r="K436" s="6" t="n">
        <f aca="false">ROUND(INDEX(Archetypes!$H$2:$H$127, MATCH(D436, Archetypes!$A$2:$A$127, 0))*INDEX(Unit_Paths!$E$2:$E$4, MATCH(E436, Unit_Paths!$A$2:$A$4, 0)),1)</f>
        <v>30</v>
      </c>
      <c r="L436" s="6" t="n">
        <f aca="false">ROUND(INDEX(Archetypes!$I$2:$I$127, MATCH(D436, Archetypes!$A$2:$A$127, 0))*INDEX(Unit_Grades!$C$2:$C$7, MATCH(F436, Unit_Grades!$A$2:$A$7, 0)),1)</f>
        <v>14.4</v>
      </c>
      <c r="M436" s="6" t="n">
        <f aca="false">ROUND(INDEX(Archetypes!$J$2:$J$127, MATCH(D436, Archetypes!$A$2:$A$127, 0))*INDEX(Unit_Grades!$D$2:$D$7, MATCH(F436, Unit_Grades!$A$2:$A$7, 0)),1)</f>
        <v>9.1</v>
      </c>
      <c r="N436" s="6" t="n">
        <f aca="false">ROUND(M436/24,2)</f>
        <v>0.38</v>
      </c>
    </row>
    <row r="437" customFormat="false" ht="15" hidden="false" customHeight="true" outlineLevel="0" collapsed="false">
      <c r="A437" s="6" t="n">
        <v>2</v>
      </c>
      <c r="B437" s="6" t="s">
        <v>1980</v>
      </c>
      <c r="C437" s="6" t="s">
        <v>1309</v>
      </c>
      <c r="D437" s="6" t="str">
        <f aca="false">A437&amp;"|"&amp;C437</f>
        <v>2|Knight</v>
      </c>
      <c r="E437" s="6" t="s">
        <v>1556</v>
      </c>
      <c r="F437" s="6" t="s">
        <v>1544</v>
      </c>
      <c r="G437" s="6" t="str">
        <f aca="false">INDEX(Archetypes!$D$2:$D$127, MATCH(D437, Archetypes!$A$2:$A$127, 0))</f>
        <v>Elite Shock</v>
      </c>
      <c r="H437" s="6" t="n">
        <f aca="false">ROUND(INDEX(Archetypes!$E$2:$E$127, MATCH(D437, Archetypes!$A$2:$A$127, 0))*INDEX(Unit_Grades!$B$2:$B$7, MATCH(F437, Unit_Grades!$A$2:$A$7, 0))*INDEX(Unit_Paths!$B$2:$B$4, MATCH(E437, Unit_Paths!$A$2:$A$4, 0)),1)</f>
        <v>124.8</v>
      </c>
      <c r="I437" s="6" t="n">
        <f aca="false">ROUND(INDEX(Archetypes!$F$2:$F$127, MATCH(D437, Archetypes!$A$2:$A$127, 0))*INDEX(Unit_Grades!$B$2:$B$7, MATCH(F437, Unit_Grades!$A$2:$A$7, 0))*INDEX(Unit_Paths!$C$2:$C$4, MATCH(E437, Unit_Paths!$A$2:$A$4, 0)),1)</f>
        <v>86.4</v>
      </c>
      <c r="J437" s="6" t="n">
        <f aca="false">ROUND(INDEX(Archetypes!$G$2:$G$127, MATCH(D437, Archetypes!$A$2:$A$127, 0))*INDEX(Unit_Grades!$B$2:$B$7, MATCH(F437, Unit_Grades!$A$2:$A$7, 0))*INDEX(Unit_Paths!$D$2:$D$4, MATCH(E437, Unit_Paths!$A$2:$A$4, 0)),0)</f>
        <v>384</v>
      </c>
      <c r="K437" s="6" t="n">
        <f aca="false">ROUND(INDEX(Archetypes!$H$2:$H$127, MATCH(D437, Archetypes!$A$2:$A$127, 0))*INDEX(Unit_Paths!$E$2:$E$4, MATCH(E437, Unit_Paths!$A$2:$A$4, 0)),1)</f>
        <v>30</v>
      </c>
      <c r="L437" s="6" t="n">
        <f aca="false">ROUND(INDEX(Archetypes!$I$2:$I$127, MATCH(D437, Archetypes!$A$2:$A$127, 0))*INDEX(Unit_Grades!$C$2:$C$7, MATCH(F437, Unit_Grades!$A$2:$A$7, 0)),1)</f>
        <v>18.9</v>
      </c>
      <c r="M437" s="6" t="n">
        <f aca="false">ROUND(INDEX(Archetypes!$J$2:$J$127, MATCH(D437, Archetypes!$A$2:$A$127, 0))*INDEX(Unit_Grades!$D$2:$D$7, MATCH(F437, Unit_Grades!$A$2:$A$7, 0)),1)</f>
        <v>14.6</v>
      </c>
      <c r="N437" s="6" t="n">
        <f aca="false">ROUND(M437/24,2)</f>
        <v>0.61</v>
      </c>
    </row>
    <row r="438" customFormat="false" ht="15" hidden="false" customHeight="true" outlineLevel="0" collapsed="false">
      <c r="A438" s="6" t="n">
        <v>2</v>
      </c>
      <c r="B438" s="6" t="s">
        <v>1981</v>
      </c>
      <c r="C438" s="6" t="s">
        <v>1309</v>
      </c>
      <c r="D438" s="6" t="str">
        <f aca="false">A438&amp;"|"&amp;C438</f>
        <v>2|Knight</v>
      </c>
      <c r="E438" s="6" t="s">
        <v>1556</v>
      </c>
      <c r="F438" s="6" t="s">
        <v>1546</v>
      </c>
      <c r="G438" s="6" t="str">
        <f aca="false">INDEX(Archetypes!$D$2:$D$127, MATCH(D438, Archetypes!$A$2:$A$127, 0))</f>
        <v>Elite Shock</v>
      </c>
      <c r="H438" s="6" t="n">
        <f aca="false">ROUND(INDEX(Archetypes!$E$2:$E$127, MATCH(D438, Archetypes!$A$2:$A$127, 0))*INDEX(Unit_Grades!$B$2:$B$7, MATCH(F438, Unit_Grades!$A$2:$A$7, 0))*INDEX(Unit_Paths!$B$2:$B$4, MATCH(E438, Unit_Paths!$A$2:$A$4, 0)),1)</f>
        <v>166.4</v>
      </c>
      <c r="I438" s="6" t="n">
        <f aca="false">ROUND(INDEX(Archetypes!$F$2:$F$127, MATCH(D438, Archetypes!$A$2:$A$127, 0))*INDEX(Unit_Grades!$B$2:$B$7, MATCH(F438, Unit_Grades!$A$2:$A$7, 0))*INDEX(Unit_Paths!$C$2:$C$4, MATCH(E438, Unit_Paths!$A$2:$A$4, 0)),1)</f>
        <v>115.2</v>
      </c>
      <c r="J438" s="6" t="n">
        <f aca="false">ROUND(INDEX(Archetypes!$G$2:$G$127, MATCH(D438, Archetypes!$A$2:$A$127, 0))*INDEX(Unit_Grades!$B$2:$B$7, MATCH(F438, Unit_Grades!$A$2:$A$7, 0))*INDEX(Unit_Paths!$D$2:$D$4, MATCH(E438, Unit_Paths!$A$2:$A$4, 0)),0)</f>
        <v>512</v>
      </c>
      <c r="K438" s="6" t="n">
        <f aca="false">ROUND(INDEX(Archetypes!$H$2:$H$127, MATCH(D438, Archetypes!$A$2:$A$127, 0))*INDEX(Unit_Paths!$E$2:$E$4, MATCH(E438, Unit_Paths!$A$2:$A$4, 0)),1)</f>
        <v>30</v>
      </c>
      <c r="L438" s="6" t="n">
        <f aca="false">ROUND(INDEX(Archetypes!$I$2:$I$127, MATCH(D438, Archetypes!$A$2:$A$127, 0))*INDEX(Unit_Grades!$C$2:$C$7, MATCH(F438, Unit_Grades!$A$2:$A$7, 0)),1)</f>
        <v>25.2</v>
      </c>
      <c r="M438" s="6" t="n">
        <f aca="false">ROUND(INDEX(Archetypes!$J$2:$J$127, MATCH(D438, Archetypes!$A$2:$A$127, 0))*INDEX(Unit_Grades!$D$2:$D$7, MATCH(F438, Unit_Grades!$A$2:$A$7, 0)),1)</f>
        <v>25.6</v>
      </c>
      <c r="N438" s="6" t="n">
        <f aca="false">ROUND(M438/24,2)</f>
        <v>1.07</v>
      </c>
    </row>
    <row r="439" customFormat="false" ht="15" hidden="false" customHeight="true" outlineLevel="0" collapsed="false">
      <c r="A439" s="6" t="n">
        <v>2</v>
      </c>
      <c r="B439" s="6" t="s">
        <v>1982</v>
      </c>
      <c r="C439" s="6" t="s">
        <v>1309</v>
      </c>
      <c r="D439" s="6" t="str">
        <f aca="false">A439&amp;"|"&amp;C439</f>
        <v>2|Knight</v>
      </c>
      <c r="E439" s="6" t="s">
        <v>1556</v>
      </c>
      <c r="F439" s="6" t="s">
        <v>1548</v>
      </c>
      <c r="G439" s="6" t="str">
        <f aca="false">INDEX(Archetypes!$D$2:$D$127, MATCH(D439, Archetypes!$A$2:$A$127, 0))</f>
        <v>Elite Shock</v>
      </c>
      <c r="H439" s="6" t="n">
        <f aca="false">ROUND(INDEX(Archetypes!$E$2:$E$127, MATCH(D439, Archetypes!$A$2:$A$127, 0))*INDEX(Unit_Grades!$B$2:$B$7, MATCH(F439, Unit_Grades!$A$2:$A$7, 0))*INDEX(Unit_Paths!$B$2:$B$4, MATCH(E439, Unit_Paths!$A$2:$A$4, 0)),1)</f>
        <v>218.4</v>
      </c>
      <c r="I439" s="6" t="n">
        <f aca="false">ROUND(INDEX(Archetypes!$F$2:$F$127, MATCH(D439, Archetypes!$A$2:$A$127, 0))*INDEX(Unit_Grades!$B$2:$B$7, MATCH(F439, Unit_Grades!$A$2:$A$7, 0))*INDEX(Unit_Paths!$C$2:$C$4, MATCH(E439, Unit_Paths!$A$2:$A$4, 0)),1)</f>
        <v>151.2</v>
      </c>
      <c r="J439" s="6" t="n">
        <f aca="false">ROUND(INDEX(Archetypes!$G$2:$G$127, MATCH(D439, Archetypes!$A$2:$A$127, 0))*INDEX(Unit_Grades!$B$2:$B$7, MATCH(F439, Unit_Grades!$A$2:$A$7, 0))*INDEX(Unit_Paths!$D$2:$D$4, MATCH(E439, Unit_Paths!$A$2:$A$4, 0)),0)</f>
        <v>672</v>
      </c>
      <c r="K439" s="6" t="n">
        <f aca="false">ROUND(INDEX(Archetypes!$H$2:$H$127, MATCH(D439, Archetypes!$A$2:$A$127, 0))*INDEX(Unit_Paths!$E$2:$E$4, MATCH(E439, Unit_Paths!$A$2:$A$4, 0)),1)</f>
        <v>30</v>
      </c>
      <c r="L439" s="6" t="n">
        <f aca="false">ROUND(INDEX(Archetypes!$I$2:$I$127, MATCH(D439, Archetypes!$A$2:$A$127, 0))*INDEX(Unit_Grades!$C$2:$C$7, MATCH(F439, Unit_Grades!$A$2:$A$7, 0)),1)</f>
        <v>33.3</v>
      </c>
      <c r="M439" s="6" t="n">
        <f aca="false">ROUND(INDEX(Archetypes!$J$2:$J$127, MATCH(D439, Archetypes!$A$2:$A$127, 0))*INDEX(Unit_Grades!$D$2:$D$7, MATCH(F439, Unit_Grades!$A$2:$A$7, 0)),1)</f>
        <v>43.8</v>
      </c>
      <c r="N439" s="6" t="n">
        <f aca="false">ROUND(M439/24,2)</f>
        <v>1.83</v>
      </c>
    </row>
    <row r="440" customFormat="false" ht="15" hidden="false" customHeight="true" outlineLevel="0" collapsed="false">
      <c r="A440" s="6" t="n">
        <v>2</v>
      </c>
      <c r="B440" s="6" t="s">
        <v>1983</v>
      </c>
      <c r="C440" s="6" t="s">
        <v>1309</v>
      </c>
      <c r="D440" s="6" t="str">
        <f aca="false">A440&amp;"|"&amp;C440</f>
        <v>2|Knight</v>
      </c>
      <c r="E440" s="6" t="s">
        <v>1558</v>
      </c>
      <c r="F440" s="6" t="s">
        <v>1538</v>
      </c>
      <c r="G440" s="6" t="str">
        <f aca="false">INDEX(Archetypes!$D$2:$D$127, MATCH(D440, Archetypes!$A$2:$A$127, 0))</f>
        <v>Elite Shock</v>
      </c>
      <c r="H440" s="6" t="n">
        <f aca="false">ROUND(INDEX(Archetypes!$E$2:$E$127, MATCH(D440, Archetypes!$A$2:$A$127, 0))*INDEX(Unit_Grades!$B$2:$B$7, MATCH(F440, Unit_Grades!$A$2:$A$7, 0))*INDEX(Unit_Paths!$B$2:$B$4, MATCH(E440, Unit_Paths!$A$2:$A$4, 0)),1)</f>
        <v>62.4</v>
      </c>
      <c r="I440" s="6" t="n">
        <f aca="false">ROUND(INDEX(Archetypes!$F$2:$F$127, MATCH(D440, Archetypes!$A$2:$A$127, 0))*INDEX(Unit_Grades!$B$2:$B$7, MATCH(F440, Unit_Grades!$A$2:$A$7, 0))*INDEX(Unit_Paths!$C$2:$C$4, MATCH(E440, Unit_Paths!$A$2:$A$4, 0)),1)</f>
        <v>30.6</v>
      </c>
      <c r="J440" s="6" t="n">
        <f aca="false">ROUND(INDEX(Archetypes!$G$2:$G$127, MATCH(D440, Archetypes!$A$2:$A$127, 0))*INDEX(Unit_Grades!$B$2:$B$7, MATCH(F440, Unit_Grades!$A$2:$A$7, 0))*INDEX(Unit_Paths!$D$2:$D$4, MATCH(E440, Unit_Paths!$A$2:$A$4, 0)),0)</f>
        <v>152</v>
      </c>
      <c r="K440" s="6" t="n">
        <f aca="false">ROUND(INDEX(Archetypes!$H$2:$H$127, MATCH(D440, Archetypes!$A$2:$A$127, 0))*INDEX(Unit_Paths!$E$2:$E$4, MATCH(E440, Unit_Paths!$A$2:$A$4, 0)),1)</f>
        <v>31.5</v>
      </c>
      <c r="L440" s="6" t="n">
        <f aca="false">ROUND(INDEX(Archetypes!$I$2:$I$127, MATCH(D440, Archetypes!$A$2:$A$127, 0))*INDEX(Unit_Grades!$C$2:$C$7, MATCH(F440, Unit_Grades!$A$2:$A$7, 0)),1)</f>
        <v>9</v>
      </c>
      <c r="M440" s="6" t="n">
        <f aca="false">ROUND(INDEX(Archetypes!$J$2:$J$127, MATCH(D440, Archetypes!$A$2:$A$127, 0))*INDEX(Unit_Grades!$D$2:$D$7, MATCH(F440, Unit_Grades!$A$2:$A$7, 0)),1)</f>
        <v>3.7</v>
      </c>
      <c r="N440" s="6" t="n">
        <f aca="false">ROUND(M440/24,2)</f>
        <v>0.15</v>
      </c>
    </row>
    <row r="441" customFormat="false" ht="15" hidden="false" customHeight="true" outlineLevel="0" collapsed="false">
      <c r="A441" s="6" t="n">
        <v>2</v>
      </c>
      <c r="B441" s="6" t="s">
        <v>1984</v>
      </c>
      <c r="C441" s="6" t="s">
        <v>1309</v>
      </c>
      <c r="D441" s="6" t="str">
        <f aca="false">A441&amp;"|"&amp;C441</f>
        <v>2|Knight</v>
      </c>
      <c r="E441" s="6" t="s">
        <v>1558</v>
      </c>
      <c r="F441" s="6" t="s">
        <v>1540</v>
      </c>
      <c r="G441" s="6" t="str">
        <f aca="false">INDEX(Archetypes!$D$2:$D$127, MATCH(D441, Archetypes!$A$2:$A$127, 0))</f>
        <v>Elite Shock</v>
      </c>
      <c r="H441" s="6" t="n">
        <f aca="false">ROUND(INDEX(Archetypes!$E$2:$E$127, MATCH(D441, Archetypes!$A$2:$A$127, 0))*INDEX(Unit_Grades!$B$2:$B$7, MATCH(F441, Unit_Grades!$A$2:$A$7, 0))*INDEX(Unit_Paths!$B$2:$B$4, MATCH(E441, Unit_Paths!$A$2:$A$4, 0)),1)</f>
        <v>84.2</v>
      </c>
      <c r="I441" s="6" t="n">
        <f aca="false">ROUND(INDEX(Archetypes!$F$2:$F$127, MATCH(D441, Archetypes!$A$2:$A$127, 0))*INDEX(Unit_Grades!$B$2:$B$7, MATCH(F441, Unit_Grades!$A$2:$A$7, 0))*INDEX(Unit_Paths!$C$2:$C$4, MATCH(E441, Unit_Paths!$A$2:$A$4, 0)),1)</f>
        <v>41.3</v>
      </c>
      <c r="J441" s="6" t="n">
        <f aca="false">ROUND(INDEX(Archetypes!$G$2:$G$127, MATCH(D441, Archetypes!$A$2:$A$127, 0))*INDEX(Unit_Grades!$B$2:$B$7, MATCH(F441, Unit_Grades!$A$2:$A$7, 0))*INDEX(Unit_Paths!$D$2:$D$4, MATCH(E441, Unit_Paths!$A$2:$A$4, 0)),0)</f>
        <v>205</v>
      </c>
      <c r="K441" s="6" t="n">
        <f aca="false">ROUND(INDEX(Archetypes!$H$2:$H$127, MATCH(D441, Archetypes!$A$2:$A$127, 0))*INDEX(Unit_Paths!$E$2:$E$4, MATCH(E441, Unit_Paths!$A$2:$A$4, 0)),1)</f>
        <v>31.5</v>
      </c>
      <c r="L441" s="6" t="n">
        <f aca="false">ROUND(INDEX(Archetypes!$I$2:$I$127, MATCH(D441, Archetypes!$A$2:$A$127, 0))*INDEX(Unit_Grades!$C$2:$C$7, MATCH(F441, Unit_Grades!$A$2:$A$7, 0)),1)</f>
        <v>11.3</v>
      </c>
      <c r="M441" s="6" t="n">
        <f aca="false">ROUND(INDEX(Archetypes!$J$2:$J$127, MATCH(D441, Archetypes!$A$2:$A$127, 0))*INDEX(Unit_Grades!$D$2:$D$7, MATCH(F441, Unit_Grades!$A$2:$A$7, 0)),1)</f>
        <v>5.5</v>
      </c>
      <c r="N441" s="6" t="n">
        <f aca="false">ROUND(M441/24,2)</f>
        <v>0.23</v>
      </c>
    </row>
    <row r="442" customFormat="false" ht="15" hidden="false" customHeight="true" outlineLevel="0" collapsed="false">
      <c r="A442" s="6" t="n">
        <v>2</v>
      </c>
      <c r="B442" s="6" t="s">
        <v>1985</v>
      </c>
      <c r="C442" s="6" t="s">
        <v>1309</v>
      </c>
      <c r="D442" s="6" t="str">
        <f aca="false">A442&amp;"|"&amp;C442</f>
        <v>2|Knight</v>
      </c>
      <c r="E442" s="6" t="s">
        <v>1558</v>
      </c>
      <c r="F442" s="6" t="s">
        <v>1542</v>
      </c>
      <c r="G442" s="6" t="str">
        <f aca="false">INDEX(Archetypes!$D$2:$D$127, MATCH(D442, Archetypes!$A$2:$A$127, 0))</f>
        <v>Elite Shock</v>
      </c>
      <c r="H442" s="6" t="n">
        <f aca="false">ROUND(INDEX(Archetypes!$E$2:$E$127, MATCH(D442, Archetypes!$A$2:$A$127, 0))*INDEX(Unit_Grades!$B$2:$B$7, MATCH(F442, Unit_Grades!$A$2:$A$7, 0))*INDEX(Unit_Paths!$B$2:$B$4, MATCH(E442, Unit_Paths!$A$2:$A$4, 0)),1)</f>
        <v>112.3</v>
      </c>
      <c r="I442" s="6" t="n">
        <f aca="false">ROUND(INDEX(Archetypes!$F$2:$F$127, MATCH(D442, Archetypes!$A$2:$A$127, 0))*INDEX(Unit_Grades!$B$2:$B$7, MATCH(F442, Unit_Grades!$A$2:$A$7, 0))*INDEX(Unit_Paths!$C$2:$C$4, MATCH(E442, Unit_Paths!$A$2:$A$4, 0)),1)</f>
        <v>55.1</v>
      </c>
      <c r="J442" s="6" t="n">
        <f aca="false">ROUND(INDEX(Archetypes!$G$2:$G$127, MATCH(D442, Archetypes!$A$2:$A$127, 0))*INDEX(Unit_Grades!$B$2:$B$7, MATCH(F442, Unit_Grades!$A$2:$A$7, 0))*INDEX(Unit_Paths!$D$2:$D$4, MATCH(E442, Unit_Paths!$A$2:$A$4, 0)),0)</f>
        <v>274</v>
      </c>
      <c r="K442" s="6" t="n">
        <f aca="false">ROUND(INDEX(Archetypes!$H$2:$H$127, MATCH(D442, Archetypes!$A$2:$A$127, 0))*INDEX(Unit_Paths!$E$2:$E$4, MATCH(E442, Unit_Paths!$A$2:$A$4, 0)),1)</f>
        <v>31.5</v>
      </c>
      <c r="L442" s="6" t="n">
        <f aca="false">ROUND(INDEX(Archetypes!$I$2:$I$127, MATCH(D442, Archetypes!$A$2:$A$127, 0))*INDEX(Unit_Grades!$C$2:$C$7, MATCH(F442, Unit_Grades!$A$2:$A$7, 0)),1)</f>
        <v>14.4</v>
      </c>
      <c r="M442" s="6" t="n">
        <f aca="false">ROUND(INDEX(Archetypes!$J$2:$J$127, MATCH(D442, Archetypes!$A$2:$A$127, 0))*INDEX(Unit_Grades!$D$2:$D$7, MATCH(F442, Unit_Grades!$A$2:$A$7, 0)),1)</f>
        <v>9.1</v>
      </c>
      <c r="N442" s="6" t="n">
        <f aca="false">ROUND(M442/24,2)</f>
        <v>0.38</v>
      </c>
    </row>
    <row r="443" customFormat="false" ht="15" hidden="false" customHeight="true" outlineLevel="0" collapsed="false">
      <c r="A443" s="6" t="n">
        <v>2</v>
      </c>
      <c r="B443" s="6" t="s">
        <v>1986</v>
      </c>
      <c r="C443" s="6" t="s">
        <v>1309</v>
      </c>
      <c r="D443" s="6" t="str">
        <f aca="false">A443&amp;"|"&amp;C443</f>
        <v>2|Knight</v>
      </c>
      <c r="E443" s="6" t="s">
        <v>1558</v>
      </c>
      <c r="F443" s="6" t="s">
        <v>1544</v>
      </c>
      <c r="G443" s="6" t="str">
        <f aca="false">INDEX(Archetypes!$D$2:$D$127, MATCH(D443, Archetypes!$A$2:$A$127, 0))</f>
        <v>Elite Shock</v>
      </c>
      <c r="H443" s="6" t="n">
        <f aca="false">ROUND(INDEX(Archetypes!$E$2:$E$127, MATCH(D443, Archetypes!$A$2:$A$127, 0))*INDEX(Unit_Grades!$B$2:$B$7, MATCH(F443, Unit_Grades!$A$2:$A$7, 0))*INDEX(Unit_Paths!$B$2:$B$4, MATCH(E443, Unit_Paths!$A$2:$A$4, 0)),1)</f>
        <v>149.8</v>
      </c>
      <c r="I443" s="6" t="n">
        <f aca="false">ROUND(INDEX(Archetypes!$F$2:$F$127, MATCH(D443, Archetypes!$A$2:$A$127, 0))*INDEX(Unit_Grades!$B$2:$B$7, MATCH(F443, Unit_Grades!$A$2:$A$7, 0))*INDEX(Unit_Paths!$C$2:$C$4, MATCH(E443, Unit_Paths!$A$2:$A$4, 0)),1)</f>
        <v>73.4</v>
      </c>
      <c r="J443" s="6" t="n">
        <f aca="false">ROUND(INDEX(Archetypes!$G$2:$G$127, MATCH(D443, Archetypes!$A$2:$A$127, 0))*INDEX(Unit_Grades!$B$2:$B$7, MATCH(F443, Unit_Grades!$A$2:$A$7, 0))*INDEX(Unit_Paths!$D$2:$D$4, MATCH(E443, Unit_Paths!$A$2:$A$4, 0)),0)</f>
        <v>365</v>
      </c>
      <c r="K443" s="6" t="n">
        <f aca="false">ROUND(INDEX(Archetypes!$H$2:$H$127, MATCH(D443, Archetypes!$A$2:$A$127, 0))*INDEX(Unit_Paths!$E$2:$E$4, MATCH(E443, Unit_Paths!$A$2:$A$4, 0)),1)</f>
        <v>31.5</v>
      </c>
      <c r="L443" s="6" t="n">
        <f aca="false">ROUND(INDEX(Archetypes!$I$2:$I$127, MATCH(D443, Archetypes!$A$2:$A$127, 0))*INDEX(Unit_Grades!$C$2:$C$7, MATCH(F443, Unit_Grades!$A$2:$A$7, 0)),1)</f>
        <v>18.9</v>
      </c>
      <c r="M443" s="6" t="n">
        <f aca="false">ROUND(INDEX(Archetypes!$J$2:$J$127, MATCH(D443, Archetypes!$A$2:$A$127, 0))*INDEX(Unit_Grades!$D$2:$D$7, MATCH(F443, Unit_Grades!$A$2:$A$7, 0)),1)</f>
        <v>14.6</v>
      </c>
      <c r="N443" s="6" t="n">
        <f aca="false">ROUND(M443/24,2)</f>
        <v>0.61</v>
      </c>
    </row>
    <row r="444" customFormat="false" ht="15" hidden="false" customHeight="true" outlineLevel="0" collapsed="false">
      <c r="A444" s="6" t="n">
        <v>2</v>
      </c>
      <c r="B444" s="6" t="s">
        <v>1987</v>
      </c>
      <c r="C444" s="6" t="s">
        <v>1309</v>
      </c>
      <c r="D444" s="6" t="str">
        <f aca="false">A444&amp;"|"&amp;C444</f>
        <v>2|Knight</v>
      </c>
      <c r="E444" s="6" t="s">
        <v>1558</v>
      </c>
      <c r="F444" s="6" t="s">
        <v>1546</v>
      </c>
      <c r="G444" s="6" t="str">
        <f aca="false">INDEX(Archetypes!$D$2:$D$127, MATCH(D444, Archetypes!$A$2:$A$127, 0))</f>
        <v>Elite Shock</v>
      </c>
      <c r="H444" s="6" t="n">
        <f aca="false">ROUND(INDEX(Archetypes!$E$2:$E$127, MATCH(D444, Archetypes!$A$2:$A$127, 0))*INDEX(Unit_Grades!$B$2:$B$7, MATCH(F444, Unit_Grades!$A$2:$A$7, 0))*INDEX(Unit_Paths!$B$2:$B$4, MATCH(E444, Unit_Paths!$A$2:$A$4, 0)),1)</f>
        <v>199.7</v>
      </c>
      <c r="I444" s="6" t="n">
        <f aca="false">ROUND(INDEX(Archetypes!$F$2:$F$127, MATCH(D444, Archetypes!$A$2:$A$127, 0))*INDEX(Unit_Grades!$B$2:$B$7, MATCH(F444, Unit_Grades!$A$2:$A$7, 0))*INDEX(Unit_Paths!$C$2:$C$4, MATCH(E444, Unit_Paths!$A$2:$A$4, 0)),1)</f>
        <v>97.9</v>
      </c>
      <c r="J444" s="6" t="n">
        <f aca="false">ROUND(INDEX(Archetypes!$G$2:$G$127, MATCH(D444, Archetypes!$A$2:$A$127, 0))*INDEX(Unit_Grades!$B$2:$B$7, MATCH(F444, Unit_Grades!$A$2:$A$7, 0))*INDEX(Unit_Paths!$D$2:$D$4, MATCH(E444, Unit_Paths!$A$2:$A$4, 0)),0)</f>
        <v>486</v>
      </c>
      <c r="K444" s="6" t="n">
        <f aca="false">ROUND(INDEX(Archetypes!$H$2:$H$127, MATCH(D444, Archetypes!$A$2:$A$127, 0))*INDEX(Unit_Paths!$E$2:$E$4, MATCH(E444, Unit_Paths!$A$2:$A$4, 0)),1)</f>
        <v>31.5</v>
      </c>
      <c r="L444" s="6" t="n">
        <f aca="false">ROUND(INDEX(Archetypes!$I$2:$I$127, MATCH(D444, Archetypes!$A$2:$A$127, 0))*INDEX(Unit_Grades!$C$2:$C$7, MATCH(F444, Unit_Grades!$A$2:$A$7, 0)),1)</f>
        <v>25.2</v>
      </c>
      <c r="M444" s="6" t="n">
        <f aca="false">ROUND(INDEX(Archetypes!$J$2:$J$127, MATCH(D444, Archetypes!$A$2:$A$127, 0))*INDEX(Unit_Grades!$D$2:$D$7, MATCH(F444, Unit_Grades!$A$2:$A$7, 0)),1)</f>
        <v>25.6</v>
      </c>
      <c r="N444" s="6" t="n">
        <f aca="false">ROUND(M444/24,2)</f>
        <v>1.07</v>
      </c>
    </row>
    <row r="445" customFormat="false" ht="15" hidden="false" customHeight="true" outlineLevel="0" collapsed="false">
      <c r="A445" s="6" t="n">
        <v>2</v>
      </c>
      <c r="B445" s="6" t="s">
        <v>1988</v>
      </c>
      <c r="C445" s="6" t="s">
        <v>1309</v>
      </c>
      <c r="D445" s="6" t="str">
        <f aca="false">A445&amp;"|"&amp;C445</f>
        <v>2|Knight</v>
      </c>
      <c r="E445" s="6" t="s">
        <v>1558</v>
      </c>
      <c r="F445" s="6" t="s">
        <v>1548</v>
      </c>
      <c r="G445" s="6" t="str">
        <f aca="false">INDEX(Archetypes!$D$2:$D$127, MATCH(D445, Archetypes!$A$2:$A$127, 0))</f>
        <v>Elite Shock</v>
      </c>
      <c r="H445" s="6" t="n">
        <f aca="false">ROUND(INDEX(Archetypes!$E$2:$E$127, MATCH(D445, Archetypes!$A$2:$A$127, 0))*INDEX(Unit_Grades!$B$2:$B$7, MATCH(F445, Unit_Grades!$A$2:$A$7, 0))*INDEX(Unit_Paths!$B$2:$B$4, MATCH(E445, Unit_Paths!$A$2:$A$4, 0)),1)</f>
        <v>262.1</v>
      </c>
      <c r="I445" s="6" t="n">
        <f aca="false">ROUND(INDEX(Archetypes!$F$2:$F$127, MATCH(D445, Archetypes!$A$2:$A$127, 0))*INDEX(Unit_Grades!$B$2:$B$7, MATCH(F445, Unit_Grades!$A$2:$A$7, 0))*INDEX(Unit_Paths!$C$2:$C$4, MATCH(E445, Unit_Paths!$A$2:$A$4, 0)),1)</f>
        <v>128.5</v>
      </c>
      <c r="J445" s="6" t="n">
        <f aca="false">ROUND(INDEX(Archetypes!$G$2:$G$127, MATCH(D445, Archetypes!$A$2:$A$127, 0))*INDEX(Unit_Grades!$B$2:$B$7, MATCH(F445, Unit_Grades!$A$2:$A$7, 0))*INDEX(Unit_Paths!$D$2:$D$4, MATCH(E445, Unit_Paths!$A$2:$A$4, 0)),0)</f>
        <v>638</v>
      </c>
      <c r="K445" s="6" t="n">
        <f aca="false">ROUND(INDEX(Archetypes!$H$2:$H$127, MATCH(D445, Archetypes!$A$2:$A$127, 0))*INDEX(Unit_Paths!$E$2:$E$4, MATCH(E445, Unit_Paths!$A$2:$A$4, 0)),1)</f>
        <v>31.5</v>
      </c>
      <c r="L445" s="6" t="n">
        <f aca="false">ROUND(INDEX(Archetypes!$I$2:$I$127, MATCH(D445, Archetypes!$A$2:$A$127, 0))*INDEX(Unit_Grades!$C$2:$C$7, MATCH(F445, Unit_Grades!$A$2:$A$7, 0)),1)</f>
        <v>33.3</v>
      </c>
      <c r="M445" s="6" t="n">
        <f aca="false">ROUND(INDEX(Archetypes!$J$2:$J$127, MATCH(D445, Archetypes!$A$2:$A$127, 0))*INDEX(Unit_Grades!$D$2:$D$7, MATCH(F445, Unit_Grades!$A$2:$A$7, 0)),1)</f>
        <v>43.8</v>
      </c>
      <c r="N445" s="6" t="n">
        <f aca="false">ROUND(M445/24,2)</f>
        <v>1.83</v>
      </c>
    </row>
    <row r="446" customFormat="false" ht="15" hidden="false" customHeight="true" outlineLevel="0" collapsed="false">
      <c r="A446" s="6" t="n">
        <v>2</v>
      </c>
      <c r="B446" s="6" t="s">
        <v>1989</v>
      </c>
      <c r="C446" s="6" t="s">
        <v>1309</v>
      </c>
      <c r="D446" s="6" t="str">
        <f aca="false">A446&amp;"|"&amp;C446</f>
        <v>2|Knight</v>
      </c>
      <c r="E446" s="6" t="s">
        <v>1560</v>
      </c>
      <c r="F446" s="6" t="s">
        <v>1538</v>
      </c>
      <c r="G446" s="6" t="str">
        <f aca="false">INDEX(Archetypes!$D$2:$D$127, MATCH(D446, Archetypes!$A$2:$A$127, 0))</f>
        <v>Elite Shock</v>
      </c>
      <c r="H446" s="6" t="n">
        <f aca="false">ROUND(INDEX(Archetypes!$E$2:$E$127, MATCH(D446, Archetypes!$A$2:$A$127, 0))*INDEX(Unit_Grades!$B$2:$B$7, MATCH(F446, Unit_Grades!$A$2:$A$7, 0))*INDEX(Unit_Paths!$B$2:$B$4, MATCH(E446, Unit_Paths!$A$2:$A$4, 0)),1)</f>
        <v>44.2</v>
      </c>
      <c r="I446" s="6" t="n">
        <f aca="false">ROUND(INDEX(Archetypes!$F$2:$F$127, MATCH(D446, Archetypes!$A$2:$A$127, 0))*INDEX(Unit_Grades!$B$2:$B$7, MATCH(F446, Unit_Grades!$A$2:$A$7, 0))*INDEX(Unit_Paths!$C$2:$C$4, MATCH(E446, Unit_Paths!$A$2:$A$4, 0)),1)</f>
        <v>45</v>
      </c>
      <c r="J446" s="6" t="n">
        <f aca="false">ROUND(INDEX(Archetypes!$G$2:$G$127, MATCH(D446, Archetypes!$A$2:$A$127, 0))*INDEX(Unit_Grades!$B$2:$B$7, MATCH(F446, Unit_Grades!$A$2:$A$7, 0))*INDEX(Unit_Paths!$D$2:$D$4, MATCH(E446, Unit_Paths!$A$2:$A$4, 0)),0)</f>
        <v>184</v>
      </c>
      <c r="K446" s="6" t="n">
        <f aca="false">ROUND(INDEX(Archetypes!$H$2:$H$127, MATCH(D446, Archetypes!$A$2:$A$127, 0))*INDEX(Unit_Paths!$E$2:$E$4, MATCH(E446, Unit_Paths!$A$2:$A$4, 0)),1)</f>
        <v>27.6</v>
      </c>
      <c r="L446" s="6" t="n">
        <f aca="false">ROUND(INDEX(Archetypes!$I$2:$I$127, MATCH(D446, Archetypes!$A$2:$A$127, 0))*INDEX(Unit_Grades!$C$2:$C$7, MATCH(F446, Unit_Grades!$A$2:$A$7, 0)),1)</f>
        <v>9</v>
      </c>
      <c r="M446" s="6" t="n">
        <f aca="false">ROUND(INDEX(Archetypes!$J$2:$J$127, MATCH(D446, Archetypes!$A$2:$A$127, 0))*INDEX(Unit_Grades!$D$2:$D$7, MATCH(F446, Unit_Grades!$A$2:$A$7, 0)),1)</f>
        <v>3.7</v>
      </c>
      <c r="N446" s="6" t="n">
        <f aca="false">ROUND(M446/24,2)</f>
        <v>0.15</v>
      </c>
    </row>
    <row r="447" customFormat="false" ht="15" hidden="false" customHeight="true" outlineLevel="0" collapsed="false">
      <c r="A447" s="6" t="n">
        <v>2</v>
      </c>
      <c r="B447" s="6" t="s">
        <v>1990</v>
      </c>
      <c r="C447" s="6" t="s">
        <v>1309</v>
      </c>
      <c r="D447" s="6" t="str">
        <f aca="false">A447&amp;"|"&amp;C447</f>
        <v>2|Knight</v>
      </c>
      <c r="E447" s="6" t="s">
        <v>1560</v>
      </c>
      <c r="F447" s="6" t="s">
        <v>1540</v>
      </c>
      <c r="G447" s="6" t="str">
        <f aca="false">INDEX(Archetypes!$D$2:$D$127, MATCH(D447, Archetypes!$A$2:$A$127, 0))</f>
        <v>Elite Shock</v>
      </c>
      <c r="H447" s="6" t="n">
        <f aca="false">ROUND(INDEX(Archetypes!$E$2:$E$127, MATCH(D447, Archetypes!$A$2:$A$127, 0))*INDEX(Unit_Grades!$B$2:$B$7, MATCH(F447, Unit_Grades!$A$2:$A$7, 0))*INDEX(Unit_Paths!$B$2:$B$4, MATCH(E447, Unit_Paths!$A$2:$A$4, 0)),1)</f>
        <v>59.7</v>
      </c>
      <c r="I447" s="6" t="n">
        <f aca="false">ROUND(INDEX(Archetypes!$F$2:$F$127, MATCH(D447, Archetypes!$A$2:$A$127, 0))*INDEX(Unit_Grades!$B$2:$B$7, MATCH(F447, Unit_Grades!$A$2:$A$7, 0))*INDEX(Unit_Paths!$C$2:$C$4, MATCH(E447, Unit_Paths!$A$2:$A$4, 0)),1)</f>
        <v>60.8</v>
      </c>
      <c r="J447" s="6" t="n">
        <f aca="false">ROUND(INDEX(Archetypes!$G$2:$G$127, MATCH(D447, Archetypes!$A$2:$A$127, 0))*INDEX(Unit_Grades!$B$2:$B$7, MATCH(F447, Unit_Grades!$A$2:$A$7, 0))*INDEX(Unit_Paths!$D$2:$D$4, MATCH(E447, Unit_Paths!$A$2:$A$4, 0)),0)</f>
        <v>248</v>
      </c>
      <c r="K447" s="6" t="n">
        <f aca="false">ROUND(INDEX(Archetypes!$H$2:$H$127, MATCH(D447, Archetypes!$A$2:$A$127, 0))*INDEX(Unit_Paths!$E$2:$E$4, MATCH(E447, Unit_Paths!$A$2:$A$4, 0)),1)</f>
        <v>27.6</v>
      </c>
      <c r="L447" s="6" t="n">
        <f aca="false">ROUND(INDEX(Archetypes!$I$2:$I$127, MATCH(D447, Archetypes!$A$2:$A$127, 0))*INDEX(Unit_Grades!$C$2:$C$7, MATCH(F447, Unit_Grades!$A$2:$A$7, 0)),1)</f>
        <v>11.3</v>
      </c>
      <c r="M447" s="6" t="n">
        <f aca="false">ROUND(INDEX(Archetypes!$J$2:$J$127, MATCH(D447, Archetypes!$A$2:$A$127, 0))*INDEX(Unit_Grades!$D$2:$D$7, MATCH(F447, Unit_Grades!$A$2:$A$7, 0)),1)</f>
        <v>5.5</v>
      </c>
      <c r="N447" s="6" t="n">
        <f aca="false">ROUND(M447/24,2)</f>
        <v>0.23</v>
      </c>
    </row>
    <row r="448" customFormat="false" ht="15" hidden="false" customHeight="true" outlineLevel="0" collapsed="false">
      <c r="A448" s="6" t="n">
        <v>2</v>
      </c>
      <c r="B448" s="6" t="s">
        <v>1991</v>
      </c>
      <c r="C448" s="6" t="s">
        <v>1309</v>
      </c>
      <c r="D448" s="6" t="str">
        <f aca="false">A448&amp;"|"&amp;C448</f>
        <v>2|Knight</v>
      </c>
      <c r="E448" s="6" t="s">
        <v>1560</v>
      </c>
      <c r="F448" s="6" t="s">
        <v>1542</v>
      </c>
      <c r="G448" s="6" t="str">
        <f aca="false">INDEX(Archetypes!$D$2:$D$127, MATCH(D448, Archetypes!$A$2:$A$127, 0))</f>
        <v>Elite Shock</v>
      </c>
      <c r="H448" s="6" t="n">
        <f aca="false">ROUND(INDEX(Archetypes!$E$2:$E$127, MATCH(D448, Archetypes!$A$2:$A$127, 0))*INDEX(Unit_Grades!$B$2:$B$7, MATCH(F448, Unit_Grades!$A$2:$A$7, 0))*INDEX(Unit_Paths!$B$2:$B$4, MATCH(E448, Unit_Paths!$A$2:$A$4, 0)),1)</f>
        <v>79.6</v>
      </c>
      <c r="I448" s="6" t="n">
        <f aca="false">ROUND(INDEX(Archetypes!$F$2:$F$127, MATCH(D448, Archetypes!$A$2:$A$127, 0))*INDEX(Unit_Grades!$B$2:$B$7, MATCH(F448, Unit_Grades!$A$2:$A$7, 0))*INDEX(Unit_Paths!$C$2:$C$4, MATCH(E448, Unit_Paths!$A$2:$A$4, 0)),1)</f>
        <v>81</v>
      </c>
      <c r="J448" s="6" t="n">
        <f aca="false">ROUND(INDEX(Archetypes!$G$2:$G$127, MATCH(D448, Archetypes!$A$2:$A$127, 0))*INDEX(Unit_Grades!$B$2:$B$7, MATCH(F448, Unit_Grades!$A$2:$A$7, 0))*INDEX(Unit_Paths!$D$2:$D$4, MATCH(E448, Unit_Paths!$A$2:$A$4, 0)),0)</f>
        <v>331</v>
      </c>
      <c r="K448" s="6" t="n">
        <f aca="false">ROUND(INDEX(Archetypes!$H$2:$H$127, MATCH(D448, Archetypes!$A$2:$A$127, 0))*INDEX(Unit_Paths!$E$2:$E$4, MATCH(E448, Unit_Paths!$A$2:$A$4, 0)),1)</f>
        <v>27.6</v>
      </c>
      <c r="L448" s="6" t="n">
        <f aca="false">ROUND(INDEX(Archetypes!$I$2:$I$127, MATCH(D448, Archetypes!$A$2:$A$127, 0))*INDEX(Unit_Grades!$C$2:$C$7, MATCH(F448, Unit_Grades!$A$2:$A$7, 0)),1)</f>
        <v>14.4</v>
      </c>
      <c r="M448" s="6" t="n">
        <f aca="false">ROUND(INDEX(Archetypes!$J$2:$J$127, MATCH(D448, Archetypes!$A$2:$A$127, 0))*INDEX(Unit_Grades!$D$2:$D$7, MATCH(F448, Unit_Grades!$A$2:$A$7, 0)),1)</f>
        <v>9.1</v>
      </c>
      <c r="N448" s="6" t="n">
        <f aca="false">ROUND(M448/24,2)</f>
        <v>0.38</v>
      </c>
    </row>
    <row r="449" customFormat="false" ht="15" hidden="false" customHeight="true" outlineLevel="0" collapsed="false">
      <c r="A449" s="6" t="n">
        <v>2</v>
      </c>
      <c r="B449" s="6" t="s">
        <v>1992</v>
      </c>
      <c r="C449" s="6" t="s">
        <v>1309</v>
      </c>
      <c r="D449" s="6" t="str">
        <f aca="false">A449&amp;"|"&amp;C449</f>
        <v>2|Knight</v>
      </c>
      <c r="E449" s="6" t="s">
        <v>1560</v>
      </c>
      <c r="F449" s="6" t="s">
        <v>1544</v>
      </c>
      <c r="G449" s="6" t="str">
        <f aca="false">INDEX(Archetypes!$D$2:$D$127, MATCH(D449, Archetypes!$A$2:$A$127, 0))</f>
        <v>Elite Shock</v>
      </c>
      <c r="H449" s="6" t="n">
        <f aca="false">ROUND(INDEX(Archetypes!$E$2:$E$127, MATCH(D449, Archetypes!$A$2:$A$127, 0))*INDEX(Unit_Grades!$B$2:$B$7, MATCH(F449, Unit_Grades!$A$2:$A$7, 0))*INDEX(Unit_Paths!$B$2:$B$4, MATCH(E449, Unit_Paths!$A$2:$A$4, 0)),1)</f>
        <v>106.1</v>
      </c>
      <c r="I449" s="6" t="n">
        <f aca="false">ROUND(INDEX(Archetypes!$F$2:$F$127, MATCH(D449, Archetypes!$A$2:$A$127, 0))*INDEX(Unit_Grades!$B$2:$B$7, MATCH(F449, Unit_Grades!$A$2:$A$7, 0))*INDEX(Unit_Paths!$C$2:$C$4, MATCH(E449, Unit_Paths!$A$2:$A$4, 0)),1)</f>
        <v>108</v>
      </c>
      <c r="J449" s="6" t="n">
        <f aca="false">ROUND(INDEX(Archetypes!$G$2:$G$127, MATCH(D449, Archetypes!$A$2:$A$127, 0))*INDEX(Unit_Grades!$B$2:$B$7, MATCH(F449, Unit_Grades!$A$2:$A$7, 0))*INDEX(Unit_Paths!$D$2:$D$4, MATCH(E449, Unit_Paths!$A$2:$A$4, 0)),0)</f>
        <v>442</v>
      </c>
      <c r="K449" s="6" t="n">
        <f aca="false">ROUND(INDEX(Archetypes!$H$2:$H$127, MATCH(D449, Archetypes!$A$2:$A$127, 0))*INDEX(Unit_Paths!$E$2:$E$4, MATCH(E449, Unit_Paths!$A$2:$A$4, 0)),1)</f>
        <v>27.6</v>
      </c>
      <c r="L449" s="6" t="n">
        <f aca="false">ROUND(INDEX(Archetypes!$I$2:$I$127, MATCH(D449, Archetypes!$A$2:$A$127, 0))*INDEX(Unit_Grades!$C$2:$C$7, MATCH(F449, Unit_Grades!$A$2:$A$7, 0)),1)</f>
        <v>18.9</v>
      </c>
      <c r="M449" s="6" t="n">
        <f aca="false">ROUND(INDEX(Archetypes!$J$2:$J$127, MATCH(D449, Archetypes!$A$2:$A$127, 0))*INDEX(Unit_Grades!$D$2:$D$7, MATCH(F449, Unit_Grades!$A$2:$A$7, 0)),1)</f>
        <v>14.6</v>
      </c>
      <c r="N449" s="6" t="n">
        <f aca="false">ROUND(M449/24,2)</f>
        <v>0.61</v>
      </c>
    </row>
    <row r="450" customFormat="false" ht="15" hidden="false" customHeight="true" outlineLevel="0" collapsed="false">
      <c r="A450" s="6" t="n">
        <v>2</v>
      </c>
      <c r="B450" s="6" t="s">
        <v>1993</v>
      </c>
      <c r="C450" s="6" t="s">
        <v>1309</v>
      </c>
      <c r="D450" s="6" t="str">
        <f aca="false">A450&amp;"|"&amp;C450</f>
        <v>2|Knight</v>
      </c>
      <c r="E450" s="6" t="s">
        <v>1560</v>
      </c>
      <c r="F450" s="6" t="s">
        <v>1546</v>
      </c>
      <c r="G450" s="6" t="str">
        <f aca="false">INDEX(Archetypes!$D$2:$D$127, MATCH(D450, Archetypes!$A$2:$A$127, 0))</f>
        <v>Elite Shock</v>
      </c>
      <c r="H450" s="6" t="n">
        <f aca="false">ROUND(INDEX(Archetypes!$E$2:$E$127, MATCH(D450, Archetypes!$A$2:$A$127, 0))*INDEX(Unit_Grades!$B$2:$B$7, MATCH(F450, Unit_Grades!$A$2:$A$7, 0))*INDEX(Unit_Paths!$B$2:$B$4, MATCH(E450, Unit_Paths!$A$2:$A$4, 0)),1)</f>
        <v>141.4</v>
      </c>
      <c r="I450" s="6" t="n">
        <f aca="false">ROUND(INDEX(Archetypes!$F$2:$F$127, MATCH(D450, Archetypes!$A$2:$A$127, 0))*INDEX(Unit_Grades!$B$2:$B$7, MATCH(F450, Unit_Grades!$A$2:$A$7, 0))*INDEX(Unit_Paths!$C$2:$C$4, MATCH(E450, Unit_Paths!$A$2:$A$4, 0)),1)</f>
        <v>144</v>
      </c>
      <c r="J450" s="6" t="n">
        <f aca="false">ROUND(INDEX(Archetypes!$G$2:$G$127, MATCH(D450, Archetypes!$A$2:$A$127, 0))*INDEX(Unit_Grades!$B$2:$B$7, MATCH(F450, Unit_Grades!$A$2:$A$7, 0))*INDEX(Unit_Paths!$D$2:$D$4, MATCH(E450, Unit_Paths!$A$2:$A$4, 0)),0)</f>
        <v>589</v>
      </c>
      <c r="K450" s="6" t="n">
        <f aca="false">ROUND(INDEX(Archetypes!$H$2:$H$127, MATCH(D450, Archetypes!$A$2:$A$127, 0))*INDEX(Unit_Paths!$E$2:$E$4, MATCH(E450, Unit_Paths!$A$2:$A$4, 0)),1)</f>
        <v>27.6</v>
      </c>
      <c r="L450" s="6" t="n">
        <f aca="false">ROUND(INDEX(Archetypes!$I$2:$I$127, MATCH(D450, Archetypes!$A$2:$A$127, 0))*INDEX(Unit_Grades!$C$2:$C$7, MATCH(F450, Unit_Grades!$A$2:$A$7, 0)),1)</f>
        <v>25.2</v>
      </c>
      <c r="M450" s="6" t="n">
        <f aca="false">ROUND(INDEX(Archetypes!$J$2:$J$127, MATCH(D450, Archetypes!$A$2:$A$127, 0))*INDEX(Unit_Grades!$D$2:$D$7, MATCH(F450, Unit_Grades!$A$2:$A$7, 0)),1)</f>
        <v>25.6</v>
      </c>
      <c r="N450" s="6" t="n">
        <f aca="false">ROUND(M450/24,2)</f>
        <v>1.07</v>
      </c>
    </row>
    <row r="451" customFormat="false" ht="15" hidden="false" customHeight="true" outlineLevel="0" collapsed="false">
      <c r="A451" s="6" t="n">
        <v>2</v>
      </c>
      <c r="B451" s="6" t="s">
        <v>1994</v>
      </c>
      <c r="C451" s="6" t="s">
        <v>1309</v>
      </c>
      <c r="D451" s="6" t="str">
        <f aca="false">A451&amp;"|"&amp;C451</f>
        <v>2|Knight</v>
      </c>
      <c r="E451" s="6" t="s">
        <v>1560</v>
      </c>
      <c r="F451" s="6" t="s">
        <v>1548</v>
      </c>
      <c r="G451" s="6" t="str">
        <f aca="false">INDEX(Archetypes!$D$2:$D$127, MATCH(D451, Archetypes!$A$2:$A$127, 0))</f>
        <v>Elite Shock</v>
      </c>
      <c r="H451" s="6" t="n">
        <f aca="false">ROUND(INDEX(Archetypes!$E$2:$E$127, MATCH(D451, Archetypes!$A$2:$A$127, 0))*INDEX(Unit_Grades!$B$2:$B$7, MATCH(F451, Unit_Grades!$A$2:$A$7, 0))*INDEX(Unit_Paths!$B$2:$B$4, MATCH(E451, Unit_Paths!$A$2:$A$4, 0)),1)</f>
        <v>185.6</v>
      </c>
      <c r="I451" s="6" t="n">
        <f aca="false">ROUND(INDEX(Archetypes!$F$2:$F$127, MATCH(D451, Archetypes!$A$2:$A$127, 0))*INDEX(Unit_Grades!$B$2:$B$7, MATCH(F451, Unit_Grades!$A$2:$A$7, 0))*INDEX(Unit_Paths!$C$2:$C$4, MATCH(E451, Unit_Paths!$A$2:$A$4, 0)),1)</f>
        <v>189</v>
      </c>
      <c r="J451" s="6" t="n">
        <f aca="false">ROUND(INDEX(Archetypes!$G$2:$G$127, MATCH(D451, Archetypes!$A$2:$A$127, 0))*INDEX(Unit_Grades!$B$2:$B$7, MATCH(F451, Unit_Grades!$A$2:$A$7, 0))*INDEX(Unit_Paths!$D$2:$D$4, MATCH(E451, Unit_Paths!$A$2:$A$4, 0)),0)</f>
        <v>773</v>
      </c>
      <c r="K451" s="6" t="n">
        <f aca="false">ROUND(INDEX(Archetypes!$H$2:$H$127, MATCH(D451, Archetypes!$A$2:$A$127, 0))*INDEX(Unit_Paths!$E$2:$E$4, MATCH(E451, Unit_Paths!$A$2:$A$4, 0)),1)</f>
        <v>27.6</v>
      </c>
      <c r="L451" s="6" t="n">
        <f aca="false">ROUND(INDEX(Archetypes!$I$2:$I$127, MATCH(D451, Archetypes!$A$2:$A$127, 0))*INDEX(Unit_Grades!$C$2:$C$7, MATCH(F451, Unit_Grades!$A$2:$A$7, 0)),1)</f>
        <v>33.3</v>
      </c>
      <c r="M451" s="6" t="n">
        <f aca="false">ROUND(INDEX(Archetypes!$J$2:$J$127, MATCH(D451, Archetypes!$A$2:$A$127, 0))*INDEX(Unit_Grades!$D$2:$D$7, MATCH(F451, Unit_Grades!$A$2:$A$7, 0)),1)</f>
        <v>43.8</v>
      </c>
      <c r="N451" s="6" t="n">
        <f aca="false">ROUND(M451/24,2)</f>
        <v>1.83</v>
      </c>
    </row>
    <row r="452" customFormat="false" ht="15" hidden="false" customHeight="true" outlineLevel="0" collapsed="false">
      <c r="A452" s="6" t="n">
        <v>2</v>
      </c>
      <c r="B452" s="6" t="s">
        <v>1311</v>
      </c>
      <c r="C452" s="6" t="s">
        <v>1311</v>
      </c>
      <c r="D452" s="6" t="str">
        <f aca="false">A452&amp;"|"&amp;C452</f>
        <v>2|Horse Archer</v>
      </c>
      <c r="E452" s="6" t="s">
        <v>1556</v>
      </c>
      <c r="F452" s="6" t="s">
        <v>1538</v>
      </c>
      <c r="G452" s="6" t="str">
        <f aca="false">INDEX(Archetypes!$D$2:$D$127, MATCH(D452, Archetypes!$A$2:$A$127, 0))</f>
        <v>Skirmisher</v>
      </c>
      <c r="H452" s="6" t="n">
        <f aca="false">ROUND(INDEX(Archetypes!$E$2:$E$127, MATCH(D452, Archetypes!$A$2:$A$127, 0))*INDEX(Unit_Grades!$B$2:$B$7, MATCH(F452, Unit_Grades!$A$2:$A$7, 0))*INDEX(Unit_Paths!$B$2:$B$4, MATCH(E452, Unit_Paths!$A$2:$A$4, 0)),1)</f>
        <v>28</v>
      </c>
      <c r="I452" s="6" t="n">
        <f aca="false">ROUND(INDEX(Archetypes!$F$2:$F$127, MATCH(D452, Archetypes!$A$2:$A$127, 0))*INDEX(Unit_Grades!$B$2:$B$7, MATCH(F452, Unit_Grades!$A$2:$A$7, 0))*INDEX(Unit_Paths!$C$2:$C$4, MATCH(E452, Unit_Paths!$A$2:$A$4, 0)),1)</f>
        <v>12</v>
      </c>
      <c r="J452" s="6" t="n">
        <f aca="false">ROUND(INDEX(Archetypes!$G$2:$G$127, MATCH(D452, Archetypes!$A$2:$A$127, 0))*INDEX(Unit_Grades!$B$2:$B$7, MATCH(F452, Unit_Grades!$A$2:$A$7, 0))*INDEX(Unit_Paths!$D$2:$D$4, MATCH(E452, Unit_Paths!$A$2:$A$4, 0)),0)</f>
        <v>75</v>
      </c>
      <c r="K452" s="6" t="n">
        <f aca="false">ROUND(INDEX(Archetypes!$H$2:$H$127, MATCH(D452, Archetypes!$A$2:$A$127, 0))*INDEX(Unit_Paths!$E$2:$E$4, MATCH(E452, Unit_Paths!$A$2:$A$4, 0)),1)</f>
        <v>38</v>
      </c>
      <c r="L452" s="6" t="n">
        <f aca="false">ROUND(INDEX(Archetypes!$I$2:$I$127, MATCH(D452, Archetypes!$A$2:$A$127, 0))*INDEX(Unit_Grades!$C$2:$C$7, MATCH(F452, Unit_Grades!$A$2:$A$7, 0)),1)</f>
        <v>6</v>
      </c>
      <c r="M452" s="6" t="n">
        <f aca="false">ROUND(INDEX(Archetypes!$J$2:$J$127, MATCH(D452, Archetypes!$A$2:$A$127, 0))*INDEX(Unit_Grades!$D$2:$D$7, MATCH(F452, Unit_Grades!$A$2:$A$7, 0)),1)</f>
        <v>2.4</v>
      </c>
      <c r="N452" s="6" t="n">
        <f aca="false">ROUND(M452/24,2)</f>
        <v>0.1</v>
      </c>
    </row>
    <row r="453" customFormat="false" ht="15" hidden="false" customHeight="true" outlineLevel="0" collapsed="false">
      <c r="A453" s="6" t="n">
        <v>2</v>
      </c>
      <c r="B453" s="6" t="s">
        <v>1995</v>
      </c>
      <c r="C453" s="6" t="s">
        <v>1311</v>
      </c>
      <c r="D453" s="6" t="str">
        <f aca="false">A453&amp;"|"&amp;C453</f>
        <v>2|Horse Archer</v>
      </c>
      <c r="E453" s="6" t="s">
        <v>1556</v>
      </c>
      <c r="F453" s="6" t="s">
        <v>1540</v>
      </c>
      <c r="G453" s="6" t="str">
        <f aca="false">INDEX(Archetypes!$D$2:$D$127, MATCH(D453, Archetypes!$A$2:$A$127, 0))</f>
        <v>Skirmisher</v>
      </c>
      <c r="H453" s="6" t="n">
        <f aca="false">ROUND(INDEX(Archetypes!$E$2:$E$127, MATCH(D453, Archetypes!$A$2:$A$127, 0))*INDEX(Unit_Grades!$B$2:$B$7, MATCH(F453, Unit_Grades!$A$2:$A$7, 0))*INDEX(Unit_Paths!$B$2:$B$4, MATCH(E453, Unit_Paths!$A$2:$A$4, 0)),1)</f>
        <v>37.8</v>
      </c>
      <c r="I453" s="6" t="n">
        <f aca="false">ROUND(INDEX(Archetypes!$F$2:$F$127, MATCH(D453, Archetypes!$A$2:$A$127, 0))*INDEX(Unit_Grades!$B$2:$B$7, MATCH(F453, Unit_Grades!$A$2:$A$7, 0))*INDEX(Unit_Paths!$C$2:$C$4, MATCH(E453, Unit_Paths!$A$2:$A$4, 0)),1)</f>
        <v>16.2</v>
      </c>
      <c r="J453" s="6" t="n">
        <f aca="false">ROUND(INDEX(Archetypes!$G$2:$G$127, MATCH(D453, Archetypes!$A$2:$A$127, 0))*INDEX(Unit_Grades!$B$2:$B$7, MATCH(F453, Unit_Grades!$A$2:$A$7, 0))*INDEX(Unit_Paths!$D$2:$D$4, MATCH(E453, Unit_Paths!$A$2:$A$4, 0)),0)</f>
        <v>101</v>
      </c>
      <c r="K453" s="6" t="n">
        <f aca="false">ROUND(INDEX(Archetypes!$H$2:$H$127, MATCH(D453, Archetypes!$A$2:$A$127, 0))*INDEX(Unit_Paths!$E$2:$E$4, MATCH(E453, Unit_Paths!$A$2:$A$4, 0)),1)</f>
        <v>38</v>
      </c>
      <c r="L453" s="6" t="n">
        <f aca="false">ROUND(INDEX(Archetypes!$I$2:$I$127, MATCH(D453, Archetypes!$A$2:$A$127, 0))*INDEX(Unit_Grades!$C$2:$C$7, MATCH(F453, Unit_Grades!$A$2:$A$7, 0)),1)</f>
        <v>7.5</v>
      </c>
      <c r="M453" s="6" t="n">
        <f aca="false">ROUND(INDEX(Archetypes!$J$2:$J$127, MATCH(D453, Archetypes!$A$2:$A$127, 0))*INDEX(Unit_Grades!$D$2:$D$7, MATCH(F453, Unit_Grades!$A$2:$A$7, 0)),1)</f>
        <v>3.7</v>
      </c>
      <c r="N453" s="6" t="n">
        <f aca="false">ROUND(M453/24,2)</f>
        <v>0.15</v>
      </c>
    </row>
    <row r="454" customFormat="false" ht="15" hidden="false" customHeight="true" outlineLevel="0" collapsed="false">
      <c r="A454" s="6" t="n">
        <v>2</v>
      </c>
      <c r="B454" s="6" t="s">
        <v>1996</v>
      </c>
      <c r="C454" s="6" t="s">
        <v>1311</v>
      </c>
      <c r="D454" s="6" t="str">
        <f aca="false">A454&amp;"|"&amp;C454</f>
        <v>2|Horse Archer</v>
      </c>
      <c r="E454" s="6" t="s">
        <v>1556</v>
      </c>
      <c r="F454" s="6" t="s">
        <v>1542</v>
      </c>
      <c r="G454" s="6" t="str">
        <f aca="false">INDEX(Archetypes!$D$2:$D$127, MATCH(D454, Archetypes!$A$2:$A$127, 0))</f>
        <v>Skirmisher</v>
      </c>
      <c r="H454" s="6" t="n">
        <f aca="false">ROUND(INDEX(Archetypes!$E$2:$E$127, MATCH(D454, Archetypes!$A$2:$A$127, 0))*INDEX(Unit_Grades!$B$2:$B$7, MATCH(F454, Unit_Grades!$A$2:$A$7, 0))*INDEX(Unit_Paths!$B$2:$B$4, MATCH(E454, Unit_Paths!$A$2:$A$4, 0)),1)</f>
        <v>50.4</v>
      </c>
      <c r="I454" s="6" t="n">
        <f aca="false">ROUND(INDEX(Archetypes!$F$2:$F$127, MATCH(D454, Archetypes!$A$2:$A$127, 0))*INDEX(Unit_Grades!$B$2:$B$7, MATCH(F454, Unit_Grades!$A$2:$A$7, 0))*INDEX(Unit_Paths!$C$2:$C$4, MATCH(E454, Unit_Paths!$A$2:$A$4, 0)),1)</f>
        <v>21.6</v>
      </c>
      <c r="J454" s="6" t="n">
        <f aca="false">ROUND(INDEX(Archetypes!$G$2:$G$127, MATCH(D454, Archetypes!$A$2:$A$127, 0))*INDEX(Unit_Grades!$B$2:$B$7, MATCH(F454, Unit_Grades!$A$2:$A$7, 0))*INDEX(Unit_Paths!$D$2:$D$4, MATCH(E454, Unit_Paths!$A$2:$A$4, 0)),0)</f>
        <v>135</v>
      </c>
      <c r="K454" s="6" t="n">
        <f aca="false">ROUND(INDEX(Archetypes!$H$2:$H$127, MATCH(D454, Archetypes!$A$2:$A$127, 0))*INDEX(Unit_Paths!$E$2:$E$4, MATCH(E454, Unit_Paths!$A$2:$A$4, 0)),1)</f>
        <v>38</v>
      </c>
      <c r="L454" s="6" t="n">
        <f aca="false">ROUND(INDEX(Archetypes!$I$2:$I$127, MATCH(D454, Archetypes!$A$2:$A$127, 0))*INDEX(Unit_Grades!$C$2:$C$7, MATCH(F454, Unit_Grades!$A$2:$A$7, 0)),1)</f>
        <v>9.6</v>
      </c>
      <c r="M454" s="6" t="n">
        <f aca="false">ROUND(INDEX(Archetypes!$J$2:$J$127, MATCH(D454, Archetypes!$A$2:$A$127, 0))*INDEX(Unit_Grades!$D$2:$D$7, MATCH(F454, Unit_Grades!$A$2:$A$7, 0)),1)</f>
        <v>6.1</v>
      </c>
      <c r="N454" s="6" t="n">
        <f aca="false">ROUND(M454/24,2)</f>
        <v>0.25</v>
      </c>
    </row>
    <row r="455" customFormat="false" ht="15" hidden="false" customHeight="true" outlineLevel="0" collapsed="false">
      <c r="A455" s="6" t="n">
        <v>2</v>
      </c>
      <c r="B455" s="6" t="s">
        <v>1997</v>
      </c>
      <c r="C455" s="6" t="s">
        <v>1311</v>
      </c>
      <c r="D455" s="6" t="str">
        <f aca="false">A455&amp;"|"&amp;C455</f>
        <v>2|Horse Archer</v>
      </c>
      <c r="E455" s="6" t="s">
        <v>1556</v>
      </c>
      <c r="F455" s="6" t="s">
        <v>1544</v>
      </c>
      <c r="G455" s="6" t="str">
        <f aca="false">INDEX(Archetypes!$D$2:$D$127, MATCH(D455, Archetypes!$A$2:$A$127, 0))</f>
        <v>Skirmisher</v>
      </c>
      <c r="H455" s="6" t="n">
        <f aca="false">ROUND(INDEX(Archetypes!$E$2:$E$127, MATCH(D455, Archetypes!$A$2:$A$127, 0))*INDEX(Unit_Grades!$B$2:$B$7, MATCH(F455, Unit_Grades!$A$2:$A$7, 0))*INDEX(Unit_Paths!$B$2:$B$4, MATCH(E455, Unit_Paths!$A$2:$A$4, 0)),1)</f>
        <v>67.2</v>
      </c>
      <c r="I455" s="6" t="n">
        <f aca="false">ROUND(INDEX(Archetypes!$F$2:$F$127, MATCH(D455, Archetypes!$A$2:$A$127, 0))*INDEX(Unit_Grades!$B$2:$B$7, MATCH(F455, Unit_Grades!$A$2:$A$7, 0))*INDEX(Unit_Paths!$C$2:$C$4, MATCH(E455, Unit_Paths!$A$2:$A$4, 0)),1)</f>
        <v>28.8</v>
      </c>
      <c r="J455" s="6" t="n">
        <f aca="false">ROUND(INDEX(Archetypes!$G$2:$G$127, MATCH(D455, Archetypes!$A$2:$A$127, 0))*INDEX(Unit_Grades!$B$2:$B$7, MATCH(F455, Unit_Grades!$A$2:$A$7, 0))*INDEX(Unit_Paths!$D$2:$D$4, MATCH(E455, Unit_Paths!$A$2:$A$4, 0)),0)</f>
        <v>180</v>
      </c>
      <c r="K455" s="6" t="n">
        <f aca="false">ROUND(INDEX(Archetypes!$H$2:$H$127, MATCH(D455, Archetypes!$A$2:$A$127, 0))*INDEX(Unit_Paths!$E$2:$E$4, MATCH(E455, Unit_Paths!$A$2:$A$4, 0)),1)</f>
        <v>38</v>
      </c>
      <c r="L455" s="6" t="n">
        <f aca="false">ROUND(INDEX(Archetypes!$I$2:$I$127, MATCH(D455, Archetypes!$A$2:$A$127, 0))*INDEX(Unit_Grades!$C$2:$C$7, MATCH(F455, Unit_Grades!$A$2:$A$7, 0)),1)</f>
        <v>12.6</v>
      </c>
      <c r="M455" s="6" t="n">
        <f aca="false">ROUND(INDEX(Archetypes!$J$2:$J$127, MATCH(D455, Archetypes!$A$2:$A$127, 0))*INDEX(Unit_Grades!$D$2:$D$7, MATCH(F455, Unit_Grades!$A$2:$A$7, 0)),1)</f>
        <v>9.8</v>
      </c>
      <c r="N455" s="6" t="n">
        <f aca="false">ROUND(M455/24,2)</f>
        <v>0.41</v>
      </c>
    </row>
    <row r="456" customFormat="false" ht="15" hidden="false" customHeight="true" outlineLevel="0" collapsed="false">
      <c r="A456" s="6" t="n">
        <v>2</v>
      </c>
      <c r="B456" s="6" t="s">
        <v>1998</v>
      </c>
      <c r="C456" s="6" t="s">
        <v>1311</v>
      </c>
      <c r="D456" s="6" t="str">
        <f aca="false">A456&amp;"|"&amp;C456</f>
        <v>2|Horse Archer</v>
      </c>
      <c r="E456" s="6" t="s">
        <v>1556</v>
      </c>
      <c r="F456" s="6" t="s">
        <v>1546</v>
      </c>
      <c r="G456" s="6" t="str">
        <f aca="false">INDEX(Archetypes!$D$2:$D$127, MATCH(D456, Archetypes!$A$2:$A$127, 0))</f>
        <v>Skirmisher</v>
      </c>
      <c r="H456" s="6" t="n">
        <f aca="false">ROUND(INDEX(Archetypes!$E$2:$E$127, MATCH(D456, Archetypes!$A$2:$A$127, 0))*INDEX(Unit_Grades!$B$2:$B$7, MATCH(F456, Unit_Grades!$A$2:$A$7, 0))*INDEX(Unit_Paths!$B$2:$B$4, MATCH(E456, Unit_Paths!$A$2:$A$4, 0)),1)</f>
        <v>89.6</v>
      </c>
      <c r="I456" s="6" t="n">
        <f aca="false">ROUND(INDEX(Archetypes!$F$2:$F$127, MATCH(D456, Archetypes!$A$2:$A$127, 0))*INDEX(Unit_Grades!$B$2:$B$7, MATCH(F456, Unit_Grades!$A$2:$A$7, 0))*INDEX(Unit_Paths!$C$2:$C$4, MATCH(E456, Unit_Paths!$A$2:$A$4, 0)),1)</f>
        <v>38.4</v>
      </c>
      <c r="J456" s="6" t="n">
        <f aca="false">ROUND(INDEX(Archetypes!$G$2:$G$127, MATCH(D456, Archetypes!$A$2:$A$127, 0))*INDEX(Unit_Grades!$B$2:$B$7, MATCH(F456, Unit_Grades!$A$2:$A$7, 0))*INDEX(Unit_Paths!$D$2:$D$4, MATCH(E456, Unit_Paths!$A$2:$A$4, 0)),0)</f>
        <v>240</v>
      </c>
      <c r="K456" s="6" t="n">
        <f aca="false">ROUND(INDEX(Archetypes!$H$2:$H$127, MATCH(D456, Archetypes!$A$2:$A$127, 0))*INDEX(Unit_Paths!$E$2:$E$4, MATCH(E456, Unit_Paths!$A$2:$A$4, 0)),1)</f>
        <v>38</v>
      </c>
      <c r="L456" s="6" t="n">
        <f aca="false">ROUND(INDEX(Archetypes!$I$2:$I$127, MATCH(D456, Archetypes!$A$2:$A$127, 0))*INDEX(Unit_Grades!$C$2:$C$7, MATCH(F456, Unit_Grades!$A$2:$A$7, 0)),1)</f>
        <v>16.8</v>
      </c>
      <c r="M456" s="6" t="n">
        <f aca="false">ROUND(INDEX(Archetypes!$J$2:$J$127, MATCH(D456, Archetypes!$A$2:$A$127, 0))*INDEX(Unit_Grades!$D$2:$D$7, MATCH(F456, Unit_Grades!$A$2:$A$7, 0)),1)</f>
        <v>17.1</v>
      </c>
      <c r="N456" s="6" t="n">
        <f aca="false">ROUND(M456/24,2)</f>
        <v>0.71</v>
      </c>
    </row>
    <row r="457" customFormat="false" ht="15" hidden="false" customHeight="true" outlineLevel="0" collapsed="false">
      <c r="A457" s="6" t="n">
        <v>2</v>
      </c>
      <c r="B457" s="6" t="s">
        <v>1999</v>
      </c>
      <c r="C457" s="6" t="s">
        <v>1311</v>
      </c>
      <c r="D457" s="6" t="str">
        <f aca="false">A457&amp;"|"&amp;C457</f>
        <v>2|Horse Archer</v>
      </c>
      <c r="E457" s="6" t="s">
        <v>1556</v>
      </c>
      <c r="F457" s="6" t="s">
        <v>1548</v>
      </c>
      <c r="G457" s="6" t="str">
        <f aca="false">INDEX(Archetypes!$D$2:$D$127, MATCH(D457, Archetypes!$A$2:$A$127, 0))</f>
        <v>Skirmisher</v>
      </c>
      <c r="H457" s="6" t="n">
        <f aca="false">ROUND(INDEX(Archetypes!$E$2:$E$127, MATCH(D457, Archetypes!$A$2:$A$127, 0))*INDEX(Unit_Grades!$B$2:$B$7, MATCH(F457, Unit_Grades!$A$2:$A$7, 0))*INDEX(Unit_Paths!$B$2:$B$4, MATCH(E457, Unit_Paths!$A$2:$A$4, 0)),1)</f>
        <v>117.6</v>
      </c>
      <c r="I457" s="6" t="n">
        <f aca="false">ROUND(INDEX(Archetypes!$F$2:$F$127, MATCH(D457, Archetypes!$A$2:$A$127, 0))*INDEX(Unit_Grades!$B$2:$B$7, MATCH(F457, Unit_Grades!$A$2:$A$7, 0))*INDEX(Unit_Paths!$C$2:$C$4, MATCH(E457, Unit_Paths!$A$2:$A$4, 0)),1)</f>
        <v>50.4</v>
      </c>
      <c r="J457" s="6" t="n">
        <f aca="false">ROUND(INDEX(Archetypes!$G$2:$G$127, MATCH(D457, Archetypes!$A$2:$A$127, 0))*INDEX(Unit_Grades!$B$2:$B$7, MATCH(F457, Unit_Grades!$A$2:$A$7, 0))*INDEX(Unit_Paths!$D$2:$D$4, MATCH(E457, Unit_Paths!$A$2:$A$4, 0)),0)</f>
        <v>315</v>
      </c>
      <c r="K457" s="6" t="n">
        <f aca="false">ROUND(INDEX(Archetypes!$H$2:$H$127, MATCH(D457, Archetypes!$A$2:$A$127, 0))*INDEX(Unit_Paths!$E$2:$E$4, MATCH(E457, Unit_Paths!$A$2:$A$4, 0)),1)</f>
        <v>38</v>
      </c>
      <c r="L457" s="6" t="n">
        <f aca="false">ROUND(INDEX(Archetypes!$I$2:$I$127, MATCH(D457, Archetypes!$A$2:$A$127, 0))*INDEX(Unit_Grades!$C$2:$C$7, MATCH(F457, Unit_Grades!$A$2:$A$7, 0)),1)</f>
        <v>22.2</v>
      </c>
      <c r="M457" s="6" t="n">
        <f aca="false">ROUND(INDEX(Archetypes!$J$2:$J$127, MATCH(D457, Archetypes!$A$2:$A$127, 0))*INDEX(Unit_Grades!$D$2:$D$7, MATCH(F457, Unit_Grades!$A$2:$A$7, 0)),1)</f>
        <v>29.3</v>
      </c>
      <c r="N457" s="6" t="n">
        <f aca="false">ROUND(M457/24,2)</f>
        <v>1.22</v>
      </c>
    </row>
    <row r="458" customFormat="false" ht="15" hidden="false" customHeight="true" outlineLevel="0" collapsed="false">
      <c r="A458" s="6" t="n">
        <v>2</v>
      </c>
      <c r="B458" s="6" t="s">
        <v>2000</v>
      </c>
      <c r="C458" s="6" t="s">
        <v>1311</v>
      </c>
      <c r="D458" s="6" t="str">
        <f aca="false">A458&amp;"|"&amp;C458</f>
        <v>2|Horse Archer</v>
      </c>
      <c r="E458" s="6" t="s">
        <v>1558</v>
      </c>
      <c r="F458" s="6" t="s">
        <v>1538</v>
      </c>
      <c r="G458" s="6" t="str">
        <f aca="false">INDEX(Archetypes!$D$2:$D$127, MATCH(D458, Archetypes!$A$2:$A$127, 0))</f>
        <v>Skirmisher</v>
      </c>
      <c r="H458" s="6" t="n">
        <f aca="false">ROUND(INDEX(Archetypes!$E$2:$E$127, MATCH(D458, Archetypes!$A$2:$A$127, 0))*INDEX(Unit_Grades!$B$2:$B$7, MATCH(F458, Unit_Grades!$A$2:$A$7, 0))*INDEX(Unit_Paths!$B$2:$B$4, MATCH(E458, Unit_Paths!$A$2:$A$4, 0)),1)</f>
        <v>33.6</v>
      </c>
      <c r="I458" s="6" t="n">
        <f aca="false">ROUND(INDEX(Archetypes!$F$2:$F$127, MATCH(D458, Archetypes!$A$2:$A$127, 0))*INDEX(Unit_Grades!$B$2:$B$7, MATCH(F458, Unit_Grades!$A$2:$A$7, 0))*INDEX(Unit_Paths!$C$2:$C$4, MATCH(E458, Unit_Paths!$A$2:$A$4, 0)),1)</f>
        <v>10.2</v>
      </c>
      <c r="J458" s="6" t="n">
        <f aca="false">ROUND(INDEX(Archetypes!$G$2:$G$127, MATCH(D458, Archetypes!$A$2:$A$127, 0))*INDEX(Unit_Grades!$B$2:$B$7, MATCH(F458, Unit_Grades!$A$2:$A$7, 0))*INDEX(Unit_Paths!$D$2:$D$4, MATCH(E458, Unit_Paths!$A$2:$A$4, 0)),0)</f>
        <v>71</v>
      </c>
      <c r="K458" s="6" t="n">
        <f aca="false">ROUND(INDEX(Archetypes!$H$2:$H$127, MATCH(D458, Archetypes!$A$2:$A$127, 0))*INDEX(Unit_Paths!$E$2:$E$4, MATCH(E458, Unit_Paths!$A$2:$A$4, 0)),1)</f>
        <v>39.9</v>
      </c>
      <c r="L458" s="6" t="n">
        <f aca="false">ROUND(INDEX(Archetypes!$I$2:$I$127, MATCH(D458, Archetypes!$A$2:$A$127, 0))*INDEX(Unit_Grades!$C$2:$C$7, MATCH(F458, Unit_Grades!$A$2:$A$7, 0)),1)</f>
        <v>6</v>
      </c>
      <c r="M458" s="6" t="n">
        <f aca="false">ROUND(INDEX(Archetypes!$J$2:$J$127, MATCH(D458, Archetypes!$A$2:$A$127, 0))*INDEX(Unit_Grades!$D$2:$D$7, MATCH(F458, Unit_Grades!$A$2:$A$7, 0)),1)</f>
        <v>2.4</v>
      </c>
      <c r="N458" s="6" t="n">
        <f aca="false">ROUND(M458/24,2)</f>
        <v>0.1</v>
      </c>
    </row>
    <row r="459" customFormat="false" ht="15" hidden="false" customHeight="true" outlineLevel="0" collapsed="false">
      <c r="A459" s="6" t="n">
        <v>2</v>
      </c>
      <c r="B459" s="6" t="s">
        <v>2001</v>
      </c>
      <c r="C459" s="6" t="s">
        <v>1311</v>
      </c>
      <c r="D459" s="6" t="str">
        <f aca="false">A459&amp;"|"&amp;C459</f>
        <v>2|Horse Archer</v>
      </c>
      <c r="E459" s="6" t="s">
        <v>1558</v>
      </c>
      <c r="F459" s="6" t="s">
        <v>1540</v>
      </c>
      <c r="G459" s="6" t="str">
        <f aca="false">INDEX(Archetypes!$D$2:$D$127, MATCH(D459, Archetypes!$A$2:$A$127, 0))</f>
        <v>Skirmisher</v>
      </c>
      <c r="H459" s="6" t="n">
        <f aca="false">ROUND(INDEX(Archetypes!$E$2:$E$127, MATCH(D459, Archetypes!$A$2:$A$127, 0))*INDEX(Unit_Grades!$B$2:$B$7, MATCH(F459, Unit_Grades!$A$2:$A$7, 0))*INDEX(Unit_Paths!$B$2:$B$4, MATCH(E459, Unit_Paths!$A$2:$A$4, 0)),1)</f>
        <v>45.4</v>
      </c>
      <c r="I459" s="6" t="n">
        <f aca="false">ROUND(INDEX(Archetypes!$F$2:$F$127, MATCH(D459, Archetypes!$A$2:$A$127, 0))*INDEX(Unit_Grades!$B$2:$B$7, MATCH(F459, Unit_Grades!$A$2:$A$7, 0))*INDEX(Unit_Paths!$C$2:$C$4, MATCH(E459, Unit_Paths!$A$2:$A$4, 0)),1)</f>
        <v>13.8</v>
      </c>
      <c r="J459" s="6" t="n">
        <f aca="false">ROUND(INDEX(Archetypes!$G$2:$G$127, MATCH(D459, Archetypes!$A$2:$A$127, 0))*INDEX(Unit_Grades!$B$2:$B$7, MATCH(F459, Unit_Grades!$A$2:$A$7, 0))*INDEX(Unit_Paths!$D$2:$D$4, MATCH(E459, Unit_Paths!$A$2:$A$4, 0)),0)</f>
        <v>96</v>
      </c>
      <c r="K459" s="6" t="n">
        <f aca="false">ROUND(INDEX(Archetypes!$H$2:$H$127, MATCH(D459, Archetypes!$A$2:$A$127, 0))*INDEX(Unit_Paths!$E$2:$E$4, MATCH(E459, Unit_Paths!$A$2:$A$4, 0)),1)</f>
        <v>39.9</v>
      </c>
      <c r="L459" s="6" t="n">
        <f aca="false">ROUND(INDEX(Archetypes!$I$2:$I$127, MATCH(D459, Archetypes!$A$2:$A$127, 0))*INDEX(Unit_Grades!$C$2:$C$7, MATCH(F459, Unit_Grades!$A$2:$A$7, 0)),1)</f>
        <v>7.5</v>
      </c>
      <c r="M459" s="6" t="n">
        <f aca="false">ROUND(INDEX(Archetypes!$J$2:$J$127, MATCH(D459, Archetypes!$A$2:$A$127, 0))*INDEX(Unit_Grades!$D$2:$D$7, MATCH(F459, Unit_Grades!$A$2:$A$7, 0)),1)</f>
        <v>3.7</v>
      </c>
      <c r="N459" s="6" t="n">
        <f aca="false">ROUND(M459/24,2)</f>
        <v>0.15</v>
      </c>
    </row>
    <row r="460" customFormat="false" ht="15" hidden="false" customHeight="true" outlineLevel="0" collapsed="false">
      <c r="A460" s="6" t="n">
        <v>2</v>
      </c>
      <c r="B460" s="6" t="s">
        <v>2002</v>
      </c>
      <c r="C460" s="6" t="s">
        <v>1311</v>
      </c>
      <c r="D460" s="6" t="str">
        <f aca="false">A460&amp;"|"&amp;C460</f>
        <v>2|Horse Archer</v>
      </c>
      <c r="E460" s="6" t="s">
        <v>1558</v>
      </c>
      <c r="F460" s="6" t="s">
        <v>1542</v>
      </c>
      <c r="G460" s="6" t="str">
        <f aca="false">INDEX(Archetypes!$D$2:$D$127, MATCH(D460, Archetypes!$A$2:$A$127, 0))</f>
        <v>Skirmisher</v>
      </c>
      <c r="H460" s="6" t="n">
        <f aca="false">ROUND(INDEX(Archetypes!$E$2:$E$127, MATCH(D460, Archetypes!$A$2:$A$127, 0))*INDEX(Unit_Grades!$B$2:$B$7, MATCH(F460, Unit_Grades!$A$2:$A$7, 0))*INDEX(Unit_Paths!$B$2:$B$4, MATCH(E460, Unit_Paths!$A$2:$A$4, 0)),1)</f>
        <v>60.5</v>
      </c>
      <c r="I460" s="6" t="n">
        <f aca="false">ROUND(INDEX(Archetypes!$F$2:$F$127, MATCH(D460, Archetypes!$A$2:$A$127, 0))*INDEX(Unit_Grades!$B$2:$B$7, MATCH(F460, Unit_Grades!$A$2:$A$7, 0))*INDEX(Unit_Paths!$C$2:$C$4, MATCH(E460, Unit_Paths!$A$2:$A$4, 0)),1)</f>
        <v>18.4</v>
      </c>
      <c r="J460" s="6" t="n">
        <f aca="false">ROUND(INDEX(Archetypes!$G$2:$G$127, MATCH(D460, Archetypes!$A$2:$A$127, 0))*INDEX(Unit_Grades!$B$2:$B$7, MATCH(F460, Unit_Grades!$A$2:$A$7, 0))*INDEX(Unit_Paths!$D$2:$D$4, MATCH(E460, Unit_Paths!$A$2:$A$4, 0)),0)</f>
        <v>128</v>
      </c>
      <c r="K460" s="6" t="n">
        <f aca="false">ROUND(INDEX(Archetypes!$H$2:$H$127, MATCH(D460, Archetypes!$A$2:$A$127, 0))*INDEX(Unit_Paths!$E$2:$E$4, MATCH(E460, Unit_Paths!$A$2:$A$4, 0)),1)</f>
        <v>39.9</v>
      </c>
      <c r="L460" s="6" t="n">
        <f aca="false">ROUND(INDEX(Archetypes!$I$2:$I$127, MATCH(D460, Archetypes!$A$2:$A$127, 0))*INDEX(Unit_Grades!$C$2:$C$7, MATCH(F460, Unit_Grades!$A$2:$A$7, 0)),1)</f>
        <v>9.6</v>
      </c>
      <c r="M460" s="6" t="n">
        <f aca="false">ROUND(INDEX(Archetypes!$J$2:$J$127, MATCH(D460, Archetypes!$A$2:$A$127, 0))*INDEX(Unit_Grades!$D$2:$D$7, MATCH(F460, Unit_Grades!$A$2:$A$7, 0)),1)</f>
        <v>6.1</v>
      </c>
      <c r="N460" s="6" t="n">
        <f aca="false">ROUND(M460/24,2)</f>
        <v>0.25</v>
      </c>
    </row>
    <row r="461" customFormat="false" ht="15" hidden="false" customHeight="true" outlineLevel="0" collapsed="false">
      <c r="A461" s="6" t="n">
        <v>2</v>
      </c>
      <c r="B461" s="6" t="s">
        <v>2003</v>
      </c>
      <c r="C461" s="6" t="s">
        <v>1311</v>
      </c>
      <c r="D461" s="6" t="str">
        <f aca="false">A461&amp;"|"&amp;C461</f>
        <v>2|Horse Archer</v>
      </c>
      <c r="E461" s="6" t="s">
        <v>1558</v>
      </c>
      <c r="F461" s="6" t="s">
        <v>1544</v>
      </c>
      <c r="G461" s="6" t="str">
        <f aca="false">INDEX(Archetypes!$D$2:$D$127, MATCH(D461, Archetypes!$A$2:$A$127, 0))</f>
        <v>Skirmisher</v>
      </c>
      <c r="H461" s="6" t="n">
        <f aca="false">ROUND(INDEX(Archetypes!$E$2:$E$127, MATCH(D461, Archetypes!$A$2:$A$127, 0))*INDEX(Unit_Grades!$B$2:$B$7, MATCH(F461, Unit_Grades!$A$2:$A$7, 0))*INDEX(Unit_Paths!$B$2:$B$4, MATCH(E461, Unit_Paths!$A$2:$A$4, 0)),1)</f>
        <v>80.6</v>
      </c>
      <c r="I461" s="6" t="n">
        <f aca="false">ROUND(INDEX(Archetypes!$F$2:$F$127, MATCH(D461, Archetypes!$A$2:$A$127, 0))*INDEX(Unit_Grades!$B$2:$B$7, MATCH(F461, Unit_Grades!$A$2:$A$7, 0))*INDEX(Unit_Paths!$C$2:$C$4, MATCH(E461, Unit_Paths!$A$2:$A$4, 0)),1)</f>
        <v>24.5</v>
      </c>
      <c r="J461" s="6" t="n">
        <f aca="false">ROUND(INDEX(Archetypes!$G$2:$G$127, MATCH(D461, Archetypes!$A$2:$A$127, 0))*INDEX(Unit_Grades!$B$2:$B$7, MATCH(F461, Unit_Grades!$A$2:$A$7, 0))*INDEX(Unit_Paths!$D$2:$D$4, MATCH(E461, Unit_Paths!$A$2:$A$4, 0)),0)</f>
        <v>171</v>
      </c>
      <c r="K461" s="6" t="n">
        <f aca="false">ROUND(INDEX(Archetypes!$H$2:$H$127, MATCH(D461, Archetypes!$A$2:$A$127, 0))*INDEX(Unit_Paths!$E$2:$E$4, MATCH(E461, Unit_Paths!$A$2:$A$4, 0)),1)</f>
        <v>39.9</v>
      </c>
      <c r="L461" s="6" t="n">
        <f aca="false">ROUND(INDEX(Archetypes!$I$2:$I$127, MATCH(D461, Archetypes!$A$2:$A$127, 0))*INDEX(Unit_Grades!$C$2:$C$7, MATCH(F461, Unit_Grades!$A$2:$A$7, 0)),1)</f>
        <v>12.6</v>
      </c>
      <c r="M461" s="6" t="n">
        <f aca="false">ROUND(INDEX(Archetypes!$J$2:$J$127, MATCH(D461, Archetypes!$A$2:$A$127, 0))*INDEX(Unit_Grades!$D$2:$D$7, MATCH(F461, Unit_Grades!$A$2:$A$7, 0)),1)</f>
        <v>9.8</v>
      </c>
      <c r="N461" s="6" t="n">
        <f aca="false">ROUND(M461/24,2)</f>
        <v>0.41</v>
      </c>
    </row>
    <row r="462" customFormat="false" ht="15" hidden="false" customHeight="true" outlineLevel="0" collapsed="false">
      <c r="A462" s="6" t="n">
        <v>2</v>
      </c>
      <c r="B462" s="6" t="s">
        <v>2004</v>
      </c>
      <c r="C462" s="6" t="s">
        <v>1311</v>
      </c>
      <c r="D462" s="6" t="str">
        <f aca="false">A462&amp;"|"&amp;C462</f>
        <v>2|Horse Archer</v>
      </c>
      <c r="E462" s="6" t="s">
        <v>1558</v>
      </c>
      <c r="F462" s="6" t="s">
        <v>1546</v>
      </c>
      <c r="G462" s="6" t="str">
        <f aca="false">INDEX(Archetypes!$D$2:$D$127, MATCH(D462, Archetypes!$A$2:$A$127, 0))</f>
        <v>Skirmisher</v>
      </c>
      <c r="H462" s="6" t="n">
        <f aca="false">ROUND(INDEX(Archetypes!$E$2:$E$127, MATCH(D462, Archetypes!$A$2:$A$127, 0))*INDEX(Unit_Grades!$B$2:$B$7, MATCH(F462, Unit_Grades!$A$2:$A$7, 0))*INDEX(Unit_Paths!$B$2:$B$4, MATCH(E462, Unit_Paths!$A$2:$A$4, 0)),1)</f>
        <v>107.5</v>
      </c>
      <c r="I462" s="6" t="n">
        <f aca="false">ROUND(INDEX(Archetypes!$F$2:$F$127, MATCH(D462, Archetypes!$A$2:$A$127, 0))*INDEX(Unit_Grades!$B$2:$B$7, MATCH(F462, Unit_Grades!$A$2:$A$7, 0))*INDEX(Unit_Paths!$C$2:$C$4, MATCH(E462, Unit_Paths!$A$2:$A$4, 0)),1)</f>
        <v>32.6</v>
      </c>
      <c r="J462" s="6" t="n">
        <f aca="false">ROUND(INDEX(Archetypes!$G$2:$G$127, MATCH(D462, Archetypes!$A$2:$A$127, 0))*INDEX(Unit_Grades!$B$2:$B$7, MATCH(F462, Unit_Grades!$A$2:$A$7, 0))*INDEX(Unit_Paths!$D$2:$D$4, MATCH(E462, Unit_Paths!$A$2:$A$4, 0)),0)</f>
        <v>228</v>
      </c>
      <c r="K462" s="6" t="n">
        <f aca="false">ROUND(INDEX(Archetypes!$H$2:$H$127, MATCH(D462, Archetypes!$A$2:$A$127, 0))*INDEX(Unit_Paths!$E$2:$E$4, MATCH(E462, Unit_Paths!$A$2:$A$4, 0)),1)</f>
        <v>39.9</v>
      </c>
      <c r="L462" s="6" t="n">
        <f aca="false">ROUND(INDEX(Archetypes!$I$2:$I$127, MATCH(D462, Archetypes!$A$2:$A$127, 0))*INDEX(Unit_Grades!$C$2:$C$7, MATCH(F462, Unit_Grades!$A$2:$A$7, 0)),1)</f>
        <v>16.8</v>
      </c>
      <c r="M462" s="6" t="n">
        <f aca="false">ROUND(INDEX(Archetypes!$J$2:$J$127, MATCH(D462, Archetypes!$A$2:$A$127, 0))*INDEX(Unit_Grades!$D$2:$D$7, MATCH(F462, Unit_Grades!$A$2:$A$7, 0)),1)</f>
        <v>17.1</v>
      </c>
      <c r="N462" s="6" t="n">
        <f aca="false">ROUND(M462/24,2)</f>
        <v>0.71</v>
      </c>
    </row>
    <row r="463" customFormat="false" ht="15" hidden="false" customHeight="true" outlineLevel="0" collapsed="false">
      <c r="A463" s="6" t="n">
        <v>2</v>
      </c>
      <c r="B463" s="6" t="s">
        <v>2005</v>
      </c>
      <c r="C463" s="6" t="s">
        <v>1311</v>
      </c>
      <c r="D463" s="6" t="str">
        <f aca="false">A463&amp;"|"&amp;C463</f>
        <v>2|Horse Archer</v>
      </c>
      <c r="E463" s="6" t="s">
        <v>1558</v>
      </c>
      <c r="F463" s="6" t="s">
        <v>1548</v>
      </c>
      <c r="G463" s="6" t="str">
        <f aca="false">INDEX(Archetypes!$D$2:$D$127, MATCH(D463, Archetypes!$A$2:$A$127, 0))</f>
        <v>Skirmisher</v>
      </c>
      <c r="H463" s="6" t="n">
        <f aca="false">ROUND(INDEX(Archetypes!$E$2:$E$127, MATCH(D463, Archetypes!$A$2:$A$127, 0))*INDEX(Unit_Grades!$B$2:$B$7, MATCH(F463, Unit_Grades!$A$2:$A$7, 0))*INDEX(Unit_Paths!$B$2:$B$4, MATCH(E463, Unit_Paths!$A$2:$A$4, 0)),1)</f>
        <v>141.1</v>
      </c>
      <c r="I463" s="6" t="n">
        <f aca="false">ROUND(INDEX(Archetypes!$F$2:$F$127, MATCH(D463, Archetypes!$A$2:$A$127, 0))*INDEX(Unit_Grades!$B$2:$B$7, MATCH(F463, Unit_Grades!$A$2:$A$7, 0))*INDEX(Unit_Paths!$C$2:$C$4, MATCH(E463, Unit_Paths!$A$2:$A$4, 0)),1)</f>
        <v>42.8</v>
      </c>
      <c r="J463" s="6" t="n">
        <f aca="false">ROUND(INDEX(Archetypes!$G$2:$G$127, MATCH(D463, Archetypes!$A$2:$A$127, 0))*INDEX(Unit_Grades!$B$2:$B$7, MATCH(F463, Unit_Grades!$A$2:$A$7, 0))*INDEX(Unit_Paths!$D$2:$D$4, MATCH(E463, Unit_Paths!$A$2:$A$4, 0)),0)</f>
        <v>299</v>
      </c>
      <c r="K463" s="6" t="n">
        <f aca="false">ROUND(INDEX(Archetypes!$H$2:$H$127, MATCH(D463, Archetypes!$A$2:$A$127, 0))*INDEX(Unit_Paths!$E$2:$E$4, MATCH(E463, Unit_Paths!$A$2:$A$4, 0)),1)</f>
        <v>39.9</v>
      </c>
      <c r="L463" s="6" t="n">
        <f aca="false">ROUND(INDEX(Archetypes!$I$2:$I$127, MATCH(D463, Archetypes!$A$2:$A$127, 0))*INDEX(Unit_Grades!$C$2:$C$7, MATCH(F463, Unit_Grades!$A$2:$A$7, 0)),1)</f>
        <v>22.2</v>
      </c>
      <c r="M463" s="6" t="n">
        <f aca="false">ROUND(INDEX(Archetypes!$J$2:$J$127, MATCH(D463, Archetypes!$A$2:$A$127, 0))*INDEX(Unit_Grades!$D$2:$D$7, MATCH(F463, Unit_Grades!$A$2:$A$7, 0)),1)</f>
        <v>29.3</v>
      </c>
      <c r="N463" s="6" t="n">
        <f aca="false">ROUND(M463/24,2)</f>
        <v>1.22</v>
      </c>
    </row>
    <row r="464" customFormat="false" ht="15" hidden="false" customHeight="true" outlineLevel="0" collapsed="false">
      <c r="A464" s="6" t="n">
        <v>2</v>
      </c>
      <c r="B464" s="6" t="s">
        <v>2006</v>
      </c>
      <c r="C464" s="6" t="s">
        <v>1311</v>
      </c>
      <c r="D464" s="6" t="str">
        <f aca="false">A464&amp;"|"&amp;C464</f>
        <v>2|Horse Archer</v>
      </c>
      <c r="E464" s="6" t="s">
        <v>1560</v>
      </c>
      <c r="F464" s="6" t="s">
        <v>1538</v>
      </c>
      <c r="G464" s="6" t="str">
        <f aca="false">INDEX(Archetypes!$D$2:$D$127, MATCH(D464, Archetypes!$A$2:$A$127, 0))</f>
        <v>Skirmisher</v>
      </c>
      <c r="H464" s="6" t="n">
        <f aca="false">ROUND(INDEX(Archetypes!$E$2:$E$127, MATCH(D464, Archetypes!$A$2:$A$127, 0))*INDEX(Unit_Grades!$B$2:$B$7, MATCH(F464, Unit_Grades!$A$2:$A$7, 0))*INDEX(Unit_Paths!$B$2:$B$4, MATCH(E464, Unit_Paths!$A$2:$A$4, 0)),1)</f>
        <v>23.8</v>
      </c>
      <c r="I464" s="6" t="n">
        <f aca="false">ROUND(INDEX(Archetypes!$F$2:$F$127, MATCH(D464, Archetypes!$A$2:$A$127, 0))*INDEX(Unit_Grades!$B$2:$B$7, MATCH(F464, Unit_Grades!$A$2:$A$7, 0))*INDEX(Unit_Paths!$C$2:$C$4, MATCH(E464, Unit_Paths!$A$2:$A$4, 0)),1)</f>
        <v>15</v>
      </c>
      <c r="J464" s="6" t="n">
        <f aca="false">ROUND(INDEX(Archetypes!$G$2:$G$127, MATCH(D464, Archetypes!$A$2:$A$127, 0))*INDEX(Unit_Grades!$B$2:$B$7, MATCH(F464, Unit_Grades!$A$2:$A$7, 0))*INDEX(Unit_Paths!$D$2:$D$4, MATCH(E464, Unit_Paths!$A$2:$A$4, 0)),0)</f>
        <v>86</v>
      </c>
      <c r="K464" s="6" t="n">
        <f aca="false">ROUND(INDEX(Archetypes!$H$2:$H$127, MATCH(D464, Archetypes!$A$2:$A$127, 0))*INDEX(Unit_Paths!$E$2:$E$4, MATCH(E464, Unit_Paths!$A$2:$A$4, 0)),1)</f>
        <v>35</v>
      </c>
      <c r="L464" s="6" t="n">
        <f aca="false">ROUND(INDEX(Archetypes!$I$2:$I$127, MATCH(D464, Archetypes!$A$2:$A$127, 0))*INDEX(Unit_Grades!$C$2:$C$7, MATCH(F464, Unit_Grades!$A$2:$A$7, 0)),1)</f>
        <v>6</v>
      </c>
      <c r="M464" s="6" t="n">
        <f aca="false">ROUND(INDEX(Archetypes!$J$2:$J$127, MATCH(D464, Archetypes!$A$2:$A$127, 0))*INDEX(Unit_Grades!$D$2:$D$7, MATCH(F464, Unit_Grades!$A$2:$A$7, 0)),1)</f>
        <v>2.4</v>
      </c>
      <c r="N464" s="6" t="n">
        <f aca="false">ROUND(M464/24,2)</f>
        <v>0.1</v>
      </c>
    </row>
    <row r="465" customFormat="false" ht="15" hidden="false" customHeight="true" outlineLevel="0" collapsed="false">
      <c r="A465" s="6" t="n">
        <v>2</v>
      </c>
      <c r="B465" s="6" t="s">
        <v>2007</v>
      </c>
      <c r="C465" s="6" t="s">
        <v>1311</v>
      </c>
      <c r="D465" s="6" t="str">
        <f aca="false">A465&amp;"|"&amp;C465</f>
        <v>2|Horse Archer</v>
      </c>
      <c r="E465" s="6" t="s">
        <v>1560</v>
      </c>
      <c r="F465" s="6" t="s">
        <v>1540</v>
      </c>
      <c r="G465" s="6" t="str">
        <f aca="false">INDEX(Archetypes!$D$2:$D$127, MATCH(D465, Archetypes!$A$2:$A$127, 0))</f>
        <v>Skirmisher</v>
      </c>
      <c r="H465" s="6" t="n">
        <f aca="false">ROUND(INDEX(Archetypes!$E$2:$E$127, MATCH(D465, Archetypes!$A$2:$A$127, 0))*INDEX(Unit_Grades!$B$2:$B$7, MATCH(F465, Unit_Grades!$A$2:$A$7, 0))*INDEX(Unit_Paths!$B$2:$B$4, MATCH(E465, Unit_Paths!$A$2:$A$4, 0)),1)</f>
        <v>32.1</v>
      </c>
      <c r="I465" s="6" t="n">
        <f aca="false">ROUND(INDEX(Archetypes!$F$2:$F$127, MATCH(D465, Archetypes!$A$2:$A$127, 0))*INDEX(Unit_Grades!$B$2:$B$7, MATCH(F465, Unit_Grades!$A$2:$A$7, 0))*INDEX(Unit_Paths!$C$2:$C$4, MATCH(E465, Unit_Paths!$A$2:$A$4, 0)),1)</f>
        <v>20.3</v>
      </c>
      <c r="J465" s="6" t="n">
        <f aca="false">ROUND(INDEX(Archetypes!$G$2:$G$127, MATCH(D465, Archetypes!$A$2:$A$127, 0))*INDEX(Unit_Grades!$B$2:$B$7, MATCH(F465, Unit_Grades!$A$2:$A$7, 0))*INDEX(Unit_Paths!$D$2:$D$4, MATCH(E465, Unit_Paths!$A$2:$A$4, 0)),0)</f>
        <v>116</v>
      </c>
      <c r="K465" s="6" t="n">
        <f aca="false">ROUND(INDEX(Archetypes!$H$2:$H$127, MATCH(D465, Archetypes!$A$2:$A$127, 0))*INDEX(Unit_Paths!$E$2:$E$4, MATCH(E465, Unit_Paths!$A$2:$A$4, 0)),1)</f>
        <v>35</v>
      </c>
      <c r="L465" s="6" t="n">
        <f aca="false">ROUND(INDEX(Archetypes!$I$2:$I$127, MATCH(D465, Archetypes!$A$2:$A$127, 0))*INDEX(Unit_Grades!$C$2:$C$7, MATCH(F465, Unit_Grades!$A$2:$A$7, 0)),1)</f>
        <v>7.5</v>
      </c>
      <c r="M465" s="6" t="n">
        <f aca="false">ROUND(INDEX(Archetypes!$J$2:$J$127, MATCH(D465, Archetypes!$A$2:$A$127, 0))*INDEX(Unit_Grades!$D$2:$D$7, MATCH(F465, Unit_Grades!$A$2:$A$7, 0)),1)</f>
        <v>3.7</v>
      </c>
      <c r="N465" s="6" t="n">
        <f aca="false">ROUND(M465/24,2)</f>
        <v>0.15</v>
      </c>
    </row>
    <row r="466" customFormat="false" ht="15" hidden="false" customHeight="true" outlineLevel="0" collapsed="false">
      <c r="A466" s="6" t="n">
        <v>2</v>
      </c>
      <c r="B466" s="6" t="s">
        <v>2008</v>
      </c>
      <c r="C466" s="6" t="s">
        <v>1311</v>
      </c>
      <c r="D466" s="6" t="str">
        <f aca="false">A466&amp;"|"&amp;C466</f>
        <v>2|Horse Archer</v>
      </c>
      <c r="E466" s="6" t="s">
        <v>1560</v>
      </c>
      <c r="F466" s="6" t="s">
        <v>1542</v>
      </c>
      <c r="G466" s="6" t="str">
        <f aca="false">INDEX(Archetypes!$D$2:$D$127, MATCH(D466, Archetypes!$A$2:$A$127, 0))</f>
        <v>Skirmisher</v>
      </c>
      <c r="H466" s="6" t="n">
        <f aca="false">ROUND(INDEX(Archetypes!$E$2:$E$127, MATCH(D466, Archetypes!$A$2:$A$127, 0))*INDEX(Unit_Grades!$B$2:$B$7, MATCH(F466, Unit_Grades!$A$2:$A$7, 0))*INDEX(Unit_Paths!$B$2:$B$4, MATCH(E466, Unit_Paths!$A$2:$A$4, 0)),1)</f>
        <v>42.8</v>
      </c>
      <c r="I466" s="6" t="n">
        <f aca="false">ROUND(INDEX(Archetypes!$F$2:$F$127, MATCH(D466, Archetypes!$A$2:$A$127, 0))*INDEX(Unit_Grades!$B$2:$B$7, MATCH(F466, Unit_Grades!$A$2:$A$7, 0))*INDEX(Unit_Paths!$C$2:$C$4, MATCH(E466, Unit_Paths!$A$2:$A$4, 0)),1)</f>
        <v>27</v>
      </c>
      <c r="J466" s="6" t="n">
        <f aca="false">ROUND(INDEX(Archetypes!$G$2:$G$127, MATCH(D466, Archetypes!$A$2:$A$127, 0))*INDEX(Unit_Grades!$B$2:$B$7, MATCH(F466, Unit_Grades!$A$2:$A$7, 0))*INDEX(Unit_Paths!$D$2:$D$4, MATCH(E466, Unit_Paths!$A$2:$A$4, 0)),0)</f>
        <v>155</v>
      </c>
      <c r="K466" s="6" t="n">
        <f aca="false">ROUND(INDEX(Archetypes!$H$2:$H$127, MATCH(D466, Archetypes!$A$2:$A$127, 0))*INDEX(Unit_Paths!$E$2:$E$4, MATCH(E466, Unit_Paths!$A$2:$A$4, 0)),1)</f>
        <v>35</v>
      </c>
      <c r="L466" s="6" t="n">
        <f aca="false">ROUND(INDEX(Archetypes!$I$2:$I$127, MATCH(D466, Archetypes!$A$2:$A$127, 0))*INDEX(Unit_Grades!$C$2:$C$7, MATCH(F466, Unit_Grades!$A$2:$A$7, 0)),1)</f>
        <v>9.6</v>
      </c>
      <c r="M466" s="6" t="n">
        <f aca="false">ROUND(INDEX(Archetypes!$J$2:$J$127, MATCH(D466, Archetypes!$A$2:$A$127, 0))*INDEX(Unit_Grades!$D$2:$D$7, MATCH(F466, Unit_Grades!$A$2:$A$7, 0)),1)</f>
        <v>6.1</v>
      </c>
      <c r="N466" s="6" t="n">
        <f aca="false">ROUND(M466/24,2)</f>
        <v>0.25</v>
      </c>
    </row>
    <row r="467" customFormat="false" ht="15" hidden="false" customHeight="true" outlineLevel="0" collapsed="false">
      <c r="A467" s="6" t="n">
        <v>2</v>
      </c>
      <c r="B467" s="6" t="s">
        <v>2009</v>
      </c>
      <c r="C467" s="6" t="s">
        <v>1311</v>
      </c>
      <c r="D467" s="6" t="str">
        <f aca="false">A467&amp;"|"&amp;C467</f>
        <v>2|Horse Archer</v>
      </c>
      <c r="E467" s="6" t="s">
        <v>1560</v>
      </c>
      <c r="F467" s="6" t="s">
        <v>1544</v>
      </c>
      <c r="G467" s="6" t="str">
        <f aca="false">INDEX(Archetypes!$D$2:$D$127, MATCH(D467, Archetypes!$A$2:$A$127, 0))</f>
        <v>Skirmisher</v>
      </c>
      <c r="H467" s="6" t="n">
        <f aca="false">ROUND(INDEX(Archetypes!$E$2:$E$127, MATCH(D467, Archetypes!$A$2:$A$127, 0))*INDEX(Unit_Grades!$B$2:$B$7, MATCH(F467, Unit_Grades!$A$2:$A$7, 0))*INDEX(Unit_Paths!$B$2:$B$4, MATCH(E467, Unit_Paths!$A$2:$A$4, 0)),1)</f>
        <v>57.1</v>
      </c>
      <c r="I467" s="6" t="n">
        <f aca="false">ROUND(INDEX(Archetypes!$F$2:$F$127, MATCH(D467, Archetypes!$A$2:$A$127, 0))*INDEX(Unit_Grades!$B$2:$B$7, MATCH(F467, Unit_Grades!$A$2:$A$7, 0))*INDEX(Unit_Paths!$C$2:$C$4, MATCH(E467, Unit_Paths!$A$2:$A$4, 0)),1)</f>
        <v>36</v>
      </c>
      <c r="J467" s="6" t="n">
        <f aca="false">ROUND(INDEX(Archetypes!$G$2:$G$127, MATCH(D467, Archetypes!$A$2:$A$127, 0))*INDEX(Unit_Grades!$B$2:$B$7, MATCH(F467, Unit_Grades!$A$2:$A$7, 0))*INDEX(Unit_Paths!$D$2:$D$4, MATCH(E467, Unit_Paths!$A$2:$A$4, 0)),0)</f>
        <v>207</v>
      </c>
      <c r="K467" s="6" t="n">
        <f aca="false">ROUND(INDEX(Archetypes!$H$2:$H$127, MATCH(D467, Archetypes!$A$2:$A$127, 0))*INDEX(Unit_Paths!$E$2:$E$4, MATCH(E467, Unit_Paths!$A$2:$A$4, 0)),1)</f>
        <v>35</v>
      </c>
      <c r="L467" s="6" t="n">
        <f aca="false">ROUND(INDEX(Archetypes!$I$2:$I$127, MATCH(D467, Archetypes!$A$2:$A$127, 0))*INDEX(Unit_Grades!$C$2:$C$7, MATCH(F467, Unit_Grades!$A$2:$A$7, 0)),1)</f>
        <v>12.6</v>
      </c>
      <c r="M467" s="6" t="n">
        <f aca="false">ROUND(INDEX(Archetypes!$J$2:$J$127, MATCH(D467, Archetypes!$A$2:$A$127, 0))*INDEX(Unit_Grades!$D$2:$D$7, MATCH(F467, Unit_Grades!$A$2:$A$7, 0)),1)</f>
        <v>9.8</v>
      </c>
      <c r="N467" s="6" t="n">
        <f aca="false">ROUND(M467/24,2)</f>
        <v>0.41</v>
      </c>
    </row>
    <row r="468" customFormat="false" ht="15" hidden="false" customHeight="true" outlineLevel="0" collapsed="false">
      <c r="A468" s="6" t="n">
        <v>2</v>
      </c>
      <c r="B468" s="6" t="s">
        <v>2010</v>
      </c>
      <c r="C468" s="6" t="s">
        <v>1311</v>
      </c>
      <c r="D468" s="6" t="str">
        <f aca="false">A468&amp;"|"&amp;C468</f>
        <v>2|Horse Archer</v>
      </c>
      <c r="E468" s="6" t="s">
        <v>1560</v>
      </c>
      <c r="F468" s="6" t="s">
        <v>1546</v>
      </c>
      <c r="G468" s="6" t="str">
        <f aca="false">INDEX(Archetypes!$D$2:$D$127, MATCH(D468, Archetypes!$A$2:$A$127, 0))</f>
        <v>Skirmisher</v>
      </c>
      <c r="H468" s="6" t="n">
        <f aca="false">ROUND(INDEX(Archetypes!$E$2:$E$127, MATCH(D468, Archetypes!$A$2:$A$127, 0))*INDEX(Unit_Grades!$B$2:$B$7, MATCH(F468, Unit_Grades!$A$2:$A$7, 0))*INDEX(Unit_Paths!$B$2:$B$4, MATCH(E468, Unit_Paths!$A$2:$A$4, 0)),1)</f>
        <v>76.2</v>
      </c>
      <c r="I468" s="6" t="n">
        <f aca="false">ROUND(INDEX(Archetypes!$F$2:$F$127, MATCH(D468, Archetypes!$A$2:$A$127, 0))*INDEX(Unit_Grades!$B$2:$B$7, MATCH(F468, Unit_Grades!$A$2:$A$7, 0))*INDEX(Unit_Paths!$C$2:$C$4, MATCH(E468, Unit_Paths!$A$2:$A$4, 0)),1)</f>
        <v>48</v>
      </c>
      <c r="J468" s="6" t="n">
        <f aca="false">ROUND(INDEX(Archetypes!$G$2:$G$127, MATCH(D468, Archetypes!$A$2:$A$127, 0))*INDEX(Unit_Grades!$B$2:$B$7, MATCH(F468, Unit_Grades!$A$2:$A$7, 0))*INDEX(Unit_Paths!$D$2:$D$4, MATCH(E468, Unit_Paths!$A$2:$A$4, 0)),0)</f>
        <v>276</v>
      </c>
      <c r="K468" s="6" t="n">
        <f aca="false">ROUND(INDEX(Archetypes!$H$2:$H$127, MATCH(D468, Archetypes!$A$2:$A$127, 0))*INDEX(Unit_Paths!$E$2:$E$4, MATCH(E468, Unit_Paths!$A$2:$A$4, 0)),1)</f>
        <v>35</v>
      </c>
      <c r="L468" s="6" t="n">
        <f aca="false">ROUND(INDEX(Archetypes!$I$2:$I$127, MATCH(D468, Archetypes!$A$2:$A$127, 0))*INDEX(Unit_Grades!$C$2:$C$7, MATCH(F468, Unit_Grades!$A$2:$A$7, 0)),1)</f>
        <v>16.8</v>
      </c>
      <c r="M468" s="6" t="n">
        <f aca="false">ROUND(INDEX(Archetypes!$J$2:$J$127, MATCH(D468, Archetypes!$A$2:$A$127, 0))*INDEX(Unit_Grades!$D$2:$D$7, MATCH(F468, Unit_Grades!$A$2:$A$7, 0)),1)</f>
        <v>17.1</v>
      </c>
      <c r="N468" s="6" t="n">
        <f aca="false">ROUND(M468/24,2)</f>
        <v>0.71</v>
      </c>
    </row>
    <row r="469" customFormat="false" ht="15" hidden="false" customHeight="true" outlineLevel="0" collapsed="false">
      <c r="A469" s="6" t="n">
        <v>2</v>
      </c>
      <c r="B469" s="6" t="s">
        <v>2011</v>
      </c>
      <c r="C469" s="6" t="s">
        <v>1311</v>
      </c>
      <c r="D469" s="6" t="str">
        <f aca="false">A469&amp;"|"&amp;C469</f>
        <v>2|Horse Archer</v>
      </c>
      <c r="E469" s="6" t="s">
        <v>1560</v>
      </c>
      <c r="F469" s="6" t="s">
        <v>1548</v>
      </c>
      <c r="G469" s="6" t="str">
        <f aca="false">INDEX(Archetypes!$D$2:$D$127, MATCH(D469, Archetypes!$A$2:$A$127, 0))</f>
        <v>Skirmisher</v>
      </c>
      <c r="H469" s="6" t="n">
        <f aca="false">ROUND(INDEX(Archetypes!$E$2:$E$127, MATCH(D469, Archetypes!$A$2:$A$127, 0))*INDEX(Unit_Grades!$B$2:$B$7, MATCH(F469, Unit_Grades!$A$2:$A$7, 0))*INDEX(Unit_Paths!$B$2:$B$4, MATCH(E469, Unit_Paths!$A$2:$A$4, 0)),1)</f>
        <v>100</v>
      </c>
      <c r="I469" s="6" t="n">
        <f aca="false">ROUND(INDEX(Archetypes!$F$2:$F$127, MATCH(D469, Archetypes!$A$2:$A$127, 0))*INDEX(Unit_Grades!$B$2:$B$7, MATCH(F469, Unit_Grades!$A$2:$A$7, 0))*INDEX(Unit_Paths!$C$2:$C$4, MATCH(E469, Unit_Paths!$A$2:$A$4, 0)),1)</f>
        <v>63</v>
      </c>
      <c r="J469" s="6" t="n">
        <f aca="false">ROUND(INDEX(Archetypes!$G$2:$G$127, MATCH(D469, Archetypes!$A$2:$A$127, 0))*INDEX(Unit_Grades!$B$2:$B$7, MATCH(F469, Unit_Grades!$A$2:$A$7, 0))*INDEX(Unit_Paths!$D$2:$D$4, MATCH(E469, Unit_Paths!$A$2:$A$4, 0)),0)</f>
        <v>362</v>
      </c>
      <c r="K469" s="6" t="n">
        <f aca="false">ROUND(INDEX(Archetypes!$H$2:$H$127, MATCH(D469, Archetypes!$A$2:$A$127, 0))*INDEX(Unit_Paths!$E$2:$E$4, MATCH(E469, Unit_Paths!$A$2:$A$4, 0)),1)</f>
        <v>35</v>
      </c>
      <c r="L469" s="6" t="n">
        <f aca="false">ROUND(INDEX(Archetypes!$I$2:$I$127, MATCH(D469, Archetypes!$A$2:$A$127, 0))*INDEX(Unit_Grades!$C$2:$C$7, MATCH(F469, Unit_Grades!$A$2:$A$7, 0)),1)</f>
        <v>22.2</v>
      </c>
      <c r="M469" s="6" t="n">
        <f aca="false">ROUND(INDEX(Archetypes!$J$2:$J$127, MATCH(D469, Archetypes!$A$2:$A$127, 0))*INDEX(Unit_Grades!$D$2:$D$7, MATCH(F469, Unit_Grades!$A$2:$A$7, 0)),1)</f>
        <v>29.3</v>
      </c>
      <c r="N469" s="6" t="n">
        <f aca="false">ROUND(M469/24,2)</f>
        <v>1.22</v>
      </c>
    </row>
    <row r="470" customFormat="false" ht="15" hidden="false" customHeight="true" outlineLevel="0" collapsed="false">
      <c r="A470" s="6" t="n">
        <v>2</v>
      </c>
      <c r="B470" s="6" t="s">
        <v>1313</v>
      </c>
      <c r="C470" s="6" t="s">
        <v>1313</v>
      </c>
      <c r="D470" s="6" t="str">
        <f aca="false">A470&amp;"|"&amp;C470</f>
        <v>2|Ram Crew</v>
      </c>
      <c r="E470" s="6" t="s">
        <v>1556</v>
      </c>
      <c r="F470" s="6" t="s">
        <v>1538</v>
      </c>
      <c r="G470" s="6" t="str">
        <f aca="false">INDEX(Archetypes!$D$2:$D$127, MATCH(D470, Archetypes!$A$2:$A$127, 0))</f>
        <v>Siege</v>
      </c>
      <c r="H470" s="6" t="n">
        <f aca="false">ROUND(INDEX(Archetypes!$E$2:$E$127, MATCH(D470, Archetypes!$A$2:$A$127, 0))*INDEX(Unit_Grades!$B$2:$B$7, MATCH(F470, Unit_Grades!$A$2:$A$7, 0))*INDEX(Unit_Paths!$B$2:$B$4, MATCH(E470, Unit_Paths!$A$2:$A$4, 0)),1)</f>
        <v>30</v>
      </c>
      <c r="I470" s="6" t="n">
        <f aca="false">ROUND(INDEX(Archetypes!$F$2:$F$127, MATCH(D470, Archetypes!$A$2:$A$127, 0))*INDEX(Unit_Grades!$B$2:$B$7, MATCH(F470, Unit_Grades!$A$2:$A$7, 0))*INDEX(Unit_Paths!$C$2:$C$4, MATCH(E470, Unit_Paths!$A$2:$A$4, 0)),1)</f>
        <v>20</v>
      </c>
      <c r="J470" s="6" t="n">
        <f aca="false">ROUND(INDEX(Archetypes!$G$2:$G$127, MATCH(D470, Archetypes!$A$2:$A$127, 0))*INDEX(Unit_Grades!$B$2:$B$7, MATCH(F470, Unit_Grades!$A$2:$A$7, 0))*INDEX(Unit_Paths!$D$2:$D$4, MATCH(E470, Unit_Paths!$A$2:$A$4, 0)),0)</f>
        <v>180</v>
      </c>
      <c r="K470" s="6" t="n">
        <f aca="false">ROUND(INDEX(Archetypes!$H$2:$H$127, MATCH(D470, Archetypes!$A$2:$A$127, 0))*INDEX(Unit_Paths!$E$2:$E$4, MATCH(E470, Unit_Paths!$A$2:$A$4, 0)),1)</f>
        <v>8</v>
      </c>
      <c r="L470" s="6" t="n">
        <f aca="false">ROUND(INDEX(Archetypes!$I$2:$I$127, MATCH(D470, Archetypes!$A$2:$A$127, 0))*INDEX(Unit_Grades!$C$2:$C$7, MATCH(F470, Unit_Grades!$A$2:$A$7, 0)),1)</f>
        <v>6</v>
      </c>
      <c r="M470" s="6" t="n">
        <f aca="false">ROUND(INDEX(Archetypes!$J$2:$J$127, MATCH(D470, Archetypes!$A$2:$A$127, 0))*INDEX(Unit_Grades!$D$2:$D$7, MATCH(F470, Unit_Grades!$A$2:$A$7, 0)),1)</f>
        <v>2.4</v>
      </c>
      <c r="N470" s="6" t="n">
        <f aca="false">ROUND(M470/24,2)</f>
        <v>0.1</v>
      </c>
    </row>
    <row r="471" customFormat="false" ht="15" hidden="false" customHeight="true" outlineLevel="0" collapsed="false">
      <c r="A471" s="6" t="n">
        <v>2</v>
      </c>
      <c r="B471" s="6" t="s">
        <v>2012</v>
      </c>
      <c r="C471" s="6" t="s">
        <v>1313</v>
      </c>
      <c r="D471" s="6" t="str">
        <f aca="false">A471&amp;"|"&amp;C471</f>
        <v>2|Ram Crew</v>
      </c>
      <c r="E471" s="6" t="s">
        <v>1556</v>
      </c>
      <c r="F471" s="6" t="s">
        <v>1540</v>
      </c>
      <c r="G471" s="6" t="str">
        <f aca="false">INDEX(Archetypes!$D$2:$D$127, MATCH(D471, Archetypes!$A$2:$A$127, 0))</f>
        <v>Siege</v>
      </c>
      <c r="H471" s="6" t="n">
        <f aca="false">ROUND(INDEX(Archetypes!$E$2:$E$127, MATCH(D471, Archetypes!$A$2:$A$127, 0))*INDEX(Unit_Grades!$B$2:$B$7, MATCH(F471, Unit_Grades!$A$2:$A$7, 0))*INDEX(Unit_Paths!$B$2:$B$4, MATCH(E471, Unit_Paths!$A$2:$A$4, 0)),1)</f>
        <v>40.5</v>
      </c>
      <c r="I471" s="6" t="n">
        <f aca="false">ROUND(INDEX(Archetypes!$F$2:$F$127, MATCH(D471, Archetypes!$A$2:$A$127, 0))*INDEX(Unit_Grades!$B$2:$B$7, MATCH(F471, Unit_Grades!$A$2:$A$7, 0))*INDEX(Unit_Paths!$C$2:$C$4, MATCH(E471, Unit_Paths!$A$2:$A$4, 0)),1)</f>
        <v>27</v>
      </c>
      <c r="J471" s="6" t="n">
        <f aca="false">ROUND(INDEX(Archetypes!$G$2:$G$127, MATCH(D471, Archetypes!$A$2:$A$127, 0))*INDEX(Unit_Grades!$B$2:$B$7, MATCH(F471, Unit_Grades!$A$2:$A$7, 0))*INDEX(Unit_Paths!$D$2:$D$4, MATCH(E471, Unit_Paths!$A$2:$A$4, 0)),0)</f>
        <v>243</v>
      </c>
      <c r="K471" s="6" t="n">
        <f aca="false">ROUND(INDEX(Archetypes!$H$2:$H$127, MATCH(D471, Archetypes!$A$2:$A$127, 0))*INDEX(Unit_Paths!$E$2:$E$4, MATCH(E471, Unit_Paths!$A$2:$A$4, 0)),1)</f>
        <v>8</v>
      </c>
      <c r="L471" s="6" t="n">
        <f aca="false">ROUND(INDEX(Archetypes!$I$2:$I$127, MATCH(D471, Archetypes!$A$2:$A$127, 0))*INDEX(Unit_Grades!$C$2:$C$7, MATCH(F471, Unit_Grades!$A$2:$A$7, 0)),1)</f>
        <v>7.5</v>
      </c>
      <c r="M471" s="6" t="n">
        <f aca="false">ROUND(INDEX(Archetypes!$J$2:$J$127, MATCH(D471, Archetypes!$A$2:$A$127, 0))*INDEX(Unit_Grades!$D$2:$D$7, MATCH(F471, Unit_Grades!$A$2:$A$7, 0)),1)</f>
        <v>3.7</v>
      </c>
      <c r="N471" s="6" t="n">
        <f aca="false">ROUND(M471/24,2)</f>
        <v>0.15</v>
      </c>
    </row>
    <row r="472" customFormat="false" ht="15" hidden="false" customHeight="true" outlineLevel="0" collapsed="false">
      <c r="A472" s="6" t="n">
        <v>2</v>
      </c>
      <c r="B472" s="6" t="s">
        <v>2013</v>
      </c>
      <c r="C472" s="6" t="s">
        <v>1313</v>
      </c>
      <c r="D472" s="6" t="str">
        <f aca="false">A472&amp;"|"&amp;C472</f>
        <v>2|Ram Crew</v>
      </c>
      <c r="E472" s="6" t="s">
        <v>1556</v>
      </c>
      <c r="F472" s="6" t="s">
        <v>1542</v>
      </c>
      <c r="G472" s="6" t="str">
        <f aca="false">INDEX(Archetypes!$D$2:$D$127, MATCH(D472, Archetypes!$A$2:$A$127, 0))</f>
        <v>Siege</v>
      </c>
      <c r="H472" s="6" t="n">
        <f aca="false">ROUND(INDEX(Archetypes!$E$2:$E$127, MATCH(D472, Archetypes!$A$2:$A$127, 0))*INDEX(Unit_Grades!$B$2:$B$7, MATCH(F472, Unit_Grades!$A$2:$A$7, 0))*INDEX(Unit_Paths!$B$2:$B$4, MATCH(E472, Unit_Paths!$A$2:$A$4, 0)),1)</f>
        <v>54</v>
      </c>
      <c r="I472" s="6" t="n">
        <f aca="false">ROUND(INDEX(Archetypes!$F$2:$F$127, MATCH(D472, Archetypes!$A$2:$A$127, 0))*INDEX(Unit_Grades!$B$2:$B$7, MATCH(F472, Unit_Grades!$A$2:$A$7, 0))*INDEX(Unit_Paths!$C$2:$C$4, MATCH(E472, Unit_Paths!$A$2:$A$4, 0)),1)</f>
        <v>36</v>
      </c>
      <c r="J472" s="6" t="n">
        <f aca="false">ROUND(INDEX(Archetypes!$G$2:$G$127, MATCH(D472, Archetypes!$A$2:$A$127, 0))*INDEX(Unit_Grades!$B$2:$B$7, MATCH(F472, Unit_Grades!$A$2:$A$7, 0))*INDEX(Unit_Paths!$D$2:$D$4, MATCH(E472, Unit_Paths!$A$2:$A$4, 0)),0)</f>
        <v>324</v>
      </c>
      <c r="K472" s="6" t="n">
        <f aca="false">ROUND(INDEX(Archetypes!$H$2:$H$127, MATCH(D472, Archetypes!$A$2:$A$127, 0))*INDEX(Unit_Paths!$E$2:$E$4, MATCH(E472, Unit_Paths!$A$2:$A$4, 0)),1)</f>
        <v>8</v>
      </c>
      <c r="L472" s="6" t="n">
        <f aca="false">ROUND(INDEX(Archetypes!$I$2:$I$127, MATCH(D472, Archetypes!$A$2:$A$127, 0))*INDEX(Unit_Grades!$C$2:$C$7, MATCH(F472, Unit_Grades!$A$2:$A$7, 0)),1)</f>
        <v>9.6</v>
      </c>
      <c r="M472" s="6" t="n">
        <f aca="false">ROUND(INDEX(Archetypes!$J$2:$J$127, MATCH(D472, Archetypes!$A$2:$A$127, 0))*INDEX(Unit_Grades!$D$2:$D$7, MATCH(F472, Unit_Grades!$A$2:$A$7, 0)),1)</f>
        <v>6.1</v>
      </c>
      <c r="N472" s="6" t="n">
        <f aca="false">ROUND(M472/24,2)</f>
        <v>0.25</v>
      </c>
    </row>
    <row r="473" customFormat="false" ht="15" hidden="false" customHeight="true" outlineLevel="0" collapsed="false">
      <c r="A473" s="6" t="n">
        <v>2</v>
      </c>
      <c r="B473" s="6" t="s">
        <v>2014</v>
      </c>
      <c r="C473" s="6" t="s">
        <v>1313</v>
      </c>
      <c r="D473" s="6" t="str">
        <f aca="false">A473&amp;"|"&amp;C473</f>
        <v>2|Ram Crew</v>
      </c>
      <c r="E473" s="6" t="s">
        <v>1556</v>
      </c>
      <c r="F473" s="6" t="s">
        <v>1544</v>
      </c>
      <c r="G473" s="6" t="str">
        <f aca="false">INDEX(Archetypes!$D$2:$D$127, MATCH(D473, Archetypes!$A$2:$A$127, 0))</f>
        <v>Siege</v>
      </c>
      <c r="H473" s="6" t="n">
        <f aca="false">ROUND(INDEX(Archetypes!$E$2:$E$127, MATCH(D473, Archetypes!$A$2:$A$127, 0))*INDEX(Unit_Grades!$B$2:$B$7, MATCH(F473, Unit_Grades!$A$2:$A$7, 0))*INDEX(Unit_Paths!$B$2:$B$4, MATCH(E473, Unit_Paths!$A$2:$A$4, 0)),1)</f>
        <v>72</v>
      </c>
      <c r="I473" s="6" t="n">
        <f aca="false">ROUND(INDEX(Archetypes!$F$2:$F$127, MATCH(D473, Archetypes!$A$2:$A$127, 0))*INDEX(Unit_Grades!$B$2:$B$7, MATCH(F473, Unit_Grades!$A$2:$A$7, 0))*INDEX(Unit_Paths!$C$2:$C$4, MATCH(E473, Unit_Paths!$A$2:$A$4, 0)),1)</f>
        <v>48</v>
      </c>
      <c r="J473" s="6" t="n">
        <f aca="false">ROUND(INDEX(Archetypes!$G$2:$G$127, MATCH(D473, Archetypes!$A$2:$A$127, 0))*INDEX(Unit_Grades!$B$2:$B$7, MATCH(F473, Unit_Grades!$A$2:$A$7, 0))*INDEX(Unit_Paths!$D$2:$D$4, MATCH(E473, Unit_Paths!$A$2:$A$4, 0)),0)</f>
        <v>432</v>
      </c>
      <c r="K473" s="6" t="n">
        <f aca="false">ROUND(INDEX(Archetypes!$H$2:$H$127, MATCH(D473, Archetypes!$A$2:$A$127, 0))*INDEX(Unit_Paths!$E$2:$E$4, MATCH(E473, Unit_Paths!$A$2:$A$4, 0)),1)</f>
        <v>8</v>
      </c>
      <c r="L473" s="6" t="n">
        <f aca="false">ROUND(INDEX(Archetypes!$I$2:$I$127, MATCH(D473, Archetypes!$A$2:$A$127, 0))*INDEX(Unit_Grades!$C$2:$C$7, MATCH(F473, Unit_Grades!$A$2:$A$7, 0)),1)</f>
        <v>12.6</v>
      </c>
      <c r="M473" s="6" t="n">
        <f aca="false">ROUND(INDEX(Archetypes!$J$2:$J$127, MATCH(D473, Archetypes!$A$2:$A$127, 0))*INDEX(Unit_Grades!$D$2:$D$7, MATCH(F473, Unit_Grades!$A$2:$A$7, 0)),1)</f>
        <v>9.8</v>
      </c>
      <c r="N473" s="6" t="n">
        <f aca="false">ROUND(M473/24,2)</f>
        <v>0.41</v>
      </c>
    </row>
    <row r="474" customFormat="false" ht="15" hidden="false" customHeight="true" outlineLevel="0" collapsed="false">
      <c r="A474" s="6" t="n">
        <v>2</v>
      </c>
      <c r="B474" s="6" t="s">
        <v>2015</v>
      </c>
      <c r="C474" s="6" t="s">
        <v>1313</v>
      </c>
      <c r="D474" s="6" t="str">
        <f aca="false">A474&amp;"|"&amp;C474</f>
        <v>2|Ram Crew</v>
      </c>
      <c r="E474" s="6" t="s">
        <v>1556</v>
      </c>
      <c r="F474" s="6" t="s">
        <v>1546</v>
      </c>
      <c r="G474" s="6" t="str">
        <f aca="false">INDEX(Archetypes!$D$2:$D$127, MATCH(D474, Archetypes!$A$2:$A$127, 0))</f>
        <v>Siege</v>
      </c>
      <c r="H474" s="6" t="n">
        <f aca="false">ROUND(INDEX(Archetypes!$E$2:$E$127, MATCH(D474, Archetypes!$A$2:$A$127, 0))*INDEX(Unit_Grades!$B$2:$B$7, MATCH(F474, Unit_Grades!$A$2:$A$7, 0))*INDEX(Unit_Paths!$B$2:$B$4, MATCH(E474, Unit_Paths!$A$2:$A$4, 0)),1)</f>
        <v>96</v>
      </c>
      <c r="I474" s="6" t="n">
        <f aca="false">ROUND(INDEX(Archetypes!$F$2:$F$127, MATCH(D474, Archetypes!$A$2:$A$127, 0))*INDEX(Unit_Grades!$B$2:$B$7, MATCH(F474, Unit_Grades!$A$2:$A$7, 0))*INDEX(Unit_Paths!$C$2:$C$4, MATCH(E474, Unit_Paths!$A$2:$A$4, 0)),1)</f>
        <v>64</v>
      </c>
      <c r="J474" s="6" t="n">
        <f aca="false">ROUND(INDEX(Archetypes!$G$2:$G$127, MATCH(D474, Archetypes!$A$2:$A$127, 0))*INDEX(Unit_Grades!$B$2:$B$7, MATCH(F474, Unit_Grades!$A$2:$A$7, 0))*INDEX(Unit_Paths!$D$2:$D$4, MATCH(E474, Unit_Paths!$A$2:$A$4, 0)),0)</f>
        <v>576</v>
      </c>
      <c r="K474" s="6" t="n">
        <f aca="false">ROUND(INDEX(Archetypes!$H$2:$H$127, MATCH(D474, Archetypes!$A$2:$A$127, 0))*INDEX(Unit_Paths!$E$2:$E$4, MATCH(E474, Unit_Paths!$A$2:$A$4, 0)),1)</f>
        <v>8</v>
      </c>
      <c r="L474" s="6" t="n">
        <f aca="false">ROUND(INDEX(Archetypes!$I$2:$I$127, MATCH(D474, Archetypes!$A$2:$A$127, 0))*INDEX(Unit_Grades!$C$2:$C$7, MATCH(F474, Unit_Grades!$A$2:$A$7, 0)),1)</f>
        <v>16.8</v>
      </c>
      <c r="M474" s="6" t="n">
        <f aca="false">ROUND(INDEX(Archetypes!$J$2:$J$127, MATCH(D474, Archetypes!$A$2:$A$127, 0))*INDEX(Unit_Grades!$D$2:$D$7, MATCH(F474, Unit_Grades!$A$2:$A$7, 0)),1)</f>
        <v>17.1</v>
      </c>
      <c r="N474" s="6" t="n">
        <f aca="false">ROUND(M474/24,2)</f>
        <v>0.71</v>
      </c>
    </row>
    <row r="475" customFormat="false" ht="15" hidden="false" customHeight="true" outlineLevel="0" collapsed="false">
      <c r="A475" s="6" t="n">
        <v>2</v>
      </c>
      <c r="B475" s="6" t="s">
        <v>2016</v>
      </c>
      <c r="C475" s="6" t="s">
        <v>1313</v>
      </c>
      <c r="D475" s="6" t="str">
        <f aca="false">A475&amp;"|"&amp;C475</f>
        <v>2|Ram Crew</v>
      </c>
      <c r="E475" s="6" t="s">
        <v>1556</v>
      </c>
      <c r="F475" s="6" t="s">
        <v>1548</v>
      </c>
      <c r="G475" s="6" t="str">
        <f aca="false">INDEX(Archetypes!$D$2:$D$127, MATCH(D475, Archetypes!$A$2:$A$127, 0))</f>
        <v>Siege</v>
      </c>
      <c r="H475" s="6" t="n">
        <f aca="false">ROUND(INDEX(Archetypes!$E$2:$E$127, MATCH(D475, Archetypes!$A$2:$A$127, 0))*INDEX(Unit_Grades!$B$2:$B$7, MATCH(F475, Unit_Grades!$A$2:$A$7, 0))*INDEX(Unit_Paths!$B$2:$B$4, MATCH(E475, Unit_Paths!$A$2:$A$4, 0)),1)</f>
        <v>126</v>
      </c>
      <c r="I475" s="6" t="n">
        <f aca="false">ROUND(INDEX(Archetypes!$F$2:$F$127, MATCH(D475, Archetypes!$A$2:$A$127, 0))*INDEX(Unit_Grades!$B$2:$B$7, MATCH(F475, Unit_Grades!$A$2:$A$7, 0))*INDEX(Unit_Paths!$C$2:$C$4, MATCH(E475, Unit_Paths!$A$2:$A$4, 0)),1)</f>
        <v>84</v>
      </c>
      <c r="J475" s="6" t="n">
        <f aca="false">ROUND(INDEX(Archetypes!$G$2:$G$127, MATCH(D475, Archetypes!$A$2:$A$127, 0))*INDEX(Unit_Grades!$B$2:$B$7, MATCH(F475, Unit_Grades!$A$2:$A$7, 0))*INDEX(Unit_Paths!$D$2:$D$4, MATCH(E475, Unit_Paths!$A$2:$A$4, 0)),0)</f>
        <v>756</v>
      </c>
      <c r="K475" s="6" t="n">
        <f aca="false">ROUND(INDEX(Archetypes!$H$2:$H$127, MATCH(D475, Archetypes!$A$2:$A$127, 0))*INDEX(Unit_Paths!$E$2:$E$4, MATCH(E475, Unit_Paths!$A$2:$A$4, 0)),1)</f>
        <v>8</v>
      </c>
      <c r="L475" s="6" t="n">
        <f aca="false">ROUND(INDEX(Archetypes!$I$2:$I$127, MATCH(D475, Archetypes!$A$2:$A$127, 0))*INDEX(Unit_Grades!$C$2:$C$7, MATCH(F475, Unit_Grades!$A$2:$A$7, 0)),1)</f>
        <v>22.2</v>
      </c>
      <c r="M475" s="6" t="n">
        <f aca="false">ROUND(INDEX(Archetypes!$J$2:$J$127, MATCH(D475, Archetypes!$A$2:$A$127, 0))*INDEX(Unit_Grades!$D$2:$D$7, MATCH(F475, Unit_Grades!$A$2:$A$7, 0)),1)</f>
        <v>29.3</v>
      </c>
      <c r="N475" s="6" t="n">
        <f aca="false">ROUND(M475/24,2)</f>
        <v>1.22</v>
      </c>
    </row>
    <row r="476" customFormat="false" ht="15" hidden="false" customHeight="true" outlineLevel="0" collapsed="false">
      <c r="A476" s="6" t="n">
        <v>2</v>
      </c>
      <c r="B476" s="6" t="s">
        <v>2017</v>
      </c>
      <c r="C476" s="6" t="s">
        <v>1313</v>
      </c>
      <c r="D476" s="6" t="str">
        <f aca="false">A476&amp;"|"&amp;C476</f>
        <v>2|Ram Crew</v>
      </c>
      <c r="E476" s="6" t="s">
        <v>1558</v>
      </c>
      <c r="F476" s="6" t="s">
        <v>1538</v>
      </c>
      <c r="G476" s="6" t="str">
        <f aca="false">INDEX(Archetypes!$D$2:$D$127, MATCH(D476, Archetypes!$A$2:$A$127, 0))</f>
        <v>Siege</v>
      </c>
      <c r="H476" s="6" t="n">
        <f aca="false">ROUND(INDEX(Archetypes!$E$2:$E$127, MATCH(D476, Archetypes!$A$2:$A$127, 0))*INDEX(Unit_Grades!$B$2:$B$7, MATCH(F476, Unit_Grades!$A$2:$A$7, 0))*INDEX(Unit_Paths!$B$2:$B$4, MATCH(E476, Unit_Paths!$A$2:$A$4, 0)),1)</f>
        <v>36</v>
      </c>
      <c r="I476" s="6" t="n">
        <f aca="false">ROUND(INDEX(Archetypes!$F$2:$F$127, MATCH(D476, Archetypes!$A$2:$A$127, 0))*INDEX(Unit_Grades!$B$2:$B$7, MATCH(F476, Unit_Grades!$A$2:$A$7, 0))*INDEX(Unit_Paths!$C$2:$C$4, MATCH(E476, Unit_Paths!$A$2:$A$4, 0)),1)</f>
        <v>17</v>
      </c>
      <c r="J476" s="6" t="n">
        <f aca="false">ROUND(INDEX(Archetypes!$G$2:$G$127, MATCH(D476, Archetypes!$A$2:$A$127, 0))*INDEX(Unit_Grades!$B$2:$B$7, MATCH(F476, Unit_Grades!$A$2:$A$7, 0))*INDEX(Unit_Paths!$D$2:$D$4, MATCH(E476, Unit_Paths!$A$2:$A$4, 0)),0)</f>
        <v>171</v>
      </c>
      <c r="K476" s="6" t="n">
        <f aca="false">ROUND(INDEX(Archetypes!$H$2:$H$127, MATCH(D476, Archetypes!$A$2:$A$127, 0))*INDEX(Unit_Paths!$E$2:$E$4, MATCH(E476, Unit_Paths!$A$2:$A$4, 0)),1)</f>
        <v>8.4</v>
      </c>
      <c r="L476" s="6" t="n">
        <f aca="false">ROUND(INDEX(Archetypes!$I$2:$I$127, MATCH(D476, Archetypes!$A$2:$A$127, 0))*INDEX(Unit_Grades!$C$2:$C$7, MATCH(F476, Unit_Grades!$A$2:$A$7, 0)),1)</f>
        <v>6</v>
      </c>
      <c r="M476" s="6" t="n">
        <f aca="false">ROUND(INDEX(Archetypes!$J$2:$J$127, MATCH(D476, Archetypes!$A$2:$A$127, 0))*INDEX(Unit_Grades!$D$2:$D$7, MATCH(F476, Unit_Grades!$A$2:$A$7, 0)),1)</f>
        <v>2.4</v>
      </c>
      <c r="N476" s="6" t="n">
        <f aca="false">ROUND(M476/24,2)</f>
        <v>0.1</v>
      </c>
    </row>
    <row r="477" customFormat="false" ht="15" hidden="false" customHeight="true" outlineLevel="0" collapsed="false">
      <c r="A477" s="6" t="n">
        <v>2</v>
      </c>
      <c r="B477" s="6" t="s">
        <v>2018</v>
      </c>
      <c r="C477" s="6" t="s">
        <v>1313</v>
      </c>
      <c r="D477" s="6" t="str">
        <f aca="false">A477&amp;"|"&amp;C477</f>
        <v>2|Ram Crew</v>
      </c>
      <c r="E477" s="6" t="s">
        <v>1558</v>
      </c>
      <c r="F477" s="6" t="s">
        <v>1540</v>
      </c>
      <c r="G477" s="6" t="str">
        <f aca="false">INDEX(Archetypes!$D$2:$D$127, MATCH(D477, Archetypes!$A$2:$A$127, 0))</f>
        <v>Siege</v>
      </c>
      <c r="H477" s="6" t="n">
        <f aca="false">ROUND(INDEX(Archetypes!$E$2:$E$127, MATCH(D477, Archetypes!$A$2:$A$127, 0))*INDEX(Unit_Grades!$B$2:$B$7, MATCH(F477, Unit_Grades!$A$2:$A$7, 0))*INDEX(Unit_Paths!$B$2:$B$4, MATCH(E477, Unit_Paths!$A$2:$A$4, 0)),1)</f>
        <v>48.6</v>
      </c>
      <c r="I477" s="6" t="n">
        <f aca="false">ROUND(INDEX(Archetypes!$F$2:$F$127, MATCH(D477, Archetypes!$A$2:$A$127, 0))*INDEX(Unit_Grades!$B$2:$B$7, MATCH(F477, Unit_Grades!$A$2:$A$7, 0))*INDEX(Unit_Paths!$C$2:$C$4, MATCH(E477, Unit_Paths!$A$2:$A$4, 0)),1)</f>
        <v>23</v>
      </c>
      <c r="J477" s="6" t="n">
        <f aca="false">ROUND(INDEX(Archetypes!$G$2:$G$127, MATCH(D477, Archetypes!$A$2:$A$127, 0))*INDEX(Unit_Grades!$B$2:$B$7, MATCH(F477, Unit_Grades!$A$2:$A$7, 0))*INDEX(Unit_Paths!$D$2:$D$4, MATCH(E477, Unit_Paths!$A$2:$A$4, 0)),0)</f>
        <v>231</v>
      </c>
      <c r="K477" s="6" t="n">
        <f aca="false">ROUND(INDEX(Archetypes!$H$2:$H$127, MATCH(D477, Archetypes!$A$2:$A$127, 0))*INDEX(Unit_Paths!$E$2:$E$4, MATCH(E477, Unit_Paths!$A$2:$A$4, 0)),1)</f>
        <v>8.4</v>
      </c>
      <c r="L477" s="6" t="n">
        <f aca="false">ROUND(INDEX(Archetypes!$I$2:$I$127, MATCH(D477, Archetypes!$A$2:$A$127, 0))*INDEX(Unit_Grades!$C$2:$C$7, MATCH(F477, Unit_Grades!$A$2:$A$7, 0)),1)</f>
        <v>7.5</v>
      </c>
      <c r="M477" s="6" t="n">
        <f aca="false">ROUND(INDEX(Archetypes!$J$2:$J$127, MATCH(D477, Archetypes!$A$2:$A$127, 0))*INDEX(Unit_Grades!$D$2:$D$7, MATCH(F477, Unit_Grades!$A$2:$A$7, 0)),1)</f>
        <v>3.7</v>
      </c>
      <c r="N477" s="6" t="n">
        <f aca="false">ROUND(M477/24,2)</f>
        <v>0.15</v>
      </c>
    </row>
    <row r="478" customFormat="false" ht="15" hidden="false" customHeight="true" outlineLevel="0" collapsed="false">
      <c r="A478" s="6" t="n">
        <v>2</v>
      </c>
      <c r="B478" s="6" t="s">
        <v>2019</v>
      </c>
      <c r="C478" s="6" t="s">
        <v>1313</v>
      </c>
      <c r="D478" s="6" t="str">
        <f aca="false">A478&amp;"|"&amp;C478</f>
        <v>2|Ram Crew</v>
      </c>
      <c r="E478" s="6" t="s">
        <v>1558</v>
      </c>
      <c r="F478" s="6" t="s">
        <v>1542</v>
      </c>
      <c r="G478" s="6" t="str">
        <f aca="false">INDEX(Archetypes!$D$2:$D$127, MATCH(D478, Archetypes!$A$2:$A$127, 0))</f>
        <v>Siege</v>
      </c>
      <c r="H478" s="6" t="n">
        <f aca="false">ROUND(INDEX(Archetypes!$E$2:$E$127, MATCH(D478, Archetypes!$A$2:$A$127, 0))*INDEX(Unit_Grades!$B$2:$B$7, MATCH(F478, Unit_Grades!$A$2:$A$7, 0))*INDEX(Unit_Paths!$B$2:$B$4, MATCH(E478, Unit_Paths!$A$2:$A$4, 0)),1)</f>
        <v>64.8</v>
      </c>
      <c r="I478" s="6" t="n">
        <f aca="false">ROUND(INDEX(Archetypes!$F$2:$F$127, MATCH(D478, Archetypes!$A$2:$A$127, 0))*INDEX(Unit_Grades!$B$2:$B$7, MATCH(F478, Unit_Grades!$A$2:$A$7, 0))*INDEX(Unit_Paths!$C$2:$C$4, MATCH(E478, Unit_Paths!$A$2:$A$4, 0)),1)</f>
        <v>30.6</v>
      </c>
      <c r="J478" s="6" t="n">
        <f aca="false">ROUND(INDEX(Archetypes!$G$2:$G$127, MATCH(D478, Archetypes!$A$2:$A$127, 0))*INDEX(Unit_Grades!$B$2:$B$7, MATCH(F478, Unit_Grades!$A$2:$A$7, 0))*INDEX(Unit_Paths!$D$2:$D$4, MATCH(E478, Unit_Paths!$A$2:$A$4, 0)),0)</f>
        <v>308</v>
      </c>
      <c r="K478" s="6" t="n">
        <f aca="false">ROUND(INDEX(Archetypes!$H$2:$H$127, MATCH(D478, Archetypes!$A$2:$A$127, 0))*INDEX(Unit_Paths!$E$2:$E$4, MATCH(E478, Unit_Paths!$A$2:$A$4, 0)),1)</f>
        <v>8.4</v>
      </c>
      <c r="L478" s="6" t="n">
        <f aca="false">ROUND(INDEX(Archetypes!$I$2:$I$127, MATCH(D478, Archetypes!$A$2:$A$127, 0))*INDEX(Unit_Grades!$C$2:$C$7, MATCH(F478, Unit_Grades!$A$2:$A$7, 0)),1)</f>
        <v>9.6</v>
      </c>
      <c r="M478" s="6" t="n">
        <f aca="false">ROUND(INDEX(Archetypes!$J$2:$J$127, MATCH(D478, Archetypes!$A$2:$A$127, 0))*INDEX(Unit_Grades!$D$2:$D$7, MATCH(F478, Unit_Grades!$A$2:$A$7, 0)),1)</f>
        <v>6.1</v>
      </c>
      <c r="N478" s="6" t="n">
        <f aca="false">ROUND(M478/24,2)</f>
        <v>0.25</v>
      </c>
    </row>
    <row r="479" customFormat="false" ht="15" hidden="false" customHeight="true" outlineLevel="0" collapsed="false">
      <c r="A479" s="6" t="n">
        <v>2</v>
      </c>
      <c r="B479" s="6" t="s">
        <v>2020</v>
      </c>
      <c r="C479" s="6" t="s">
        <v>1313</v>
      </c>
      <c r="D479" s="6" t="str">
        <f aca="false">A479&amp;"|"&amp;C479</f>
        <v>2|Ram Crew</v>
      </c>
      <c r="E479" s="6" t="s">
        <v>1558</v>
      </c>
      <c r="F479" s="6" t="s">
        <v>1544</v>
      </c>
      <c r="G479" s="6" t="str">
        <f aca="false">INDEX(Archetypes!$D$2:$D$127, MATCH(D479, Archetypes!$A$2:$A$127, 0))</f>
        <v>Siege</v>
      </c>
      <c r="H479" s="6" t="n">
        <f aca="false">ROUND(INDEX(Archetypes!$E$2:$E$127, MATCH(D479, Archetypes!$A$2:$A$127, 0))*INDEX(Unit_Grades!$B$2:$B$7, MATCH(F479, Unit_Grades!$A$2:$A$7, 0))*INDEX(Unit_Paths!$B$2:$B$4, MATCH(E479, Unit_Paths!$A$2:$A$4, 0)),1)</f>
        <v>86.4</v>
      </c>
      <c r="I479" s="6" t="n">
        <f aca="false">ROUND(INDEX(Archetypes!$F$2:$F$127, MATCH(D479, Archetypes!$A$2:$A$127, 0))*INDEX(Unit_Grades!$B$2:$B$7, MATCH(F479, Unit_Grades!$A$2:$A$7, 0))*INDEX(Unit_Paths!$C$2:$C$4, MATCH(E479, Unit_Paths!$A$2:$A$4, 0)),1)</f>
        <v>40.8</v>
      </c>
      <c r="J479" s="6" t="n">
        <f aca="false">ROUND(INDEX(Archetypes!$G$2:$G$127, MATCH(D479, Archetypes!$A$2:$A$127, 0))*INDEX(Unit_Grades!$B$2:$B$7, MATCH(F479, Unit_Grades!$A$2:$A$7, 0))*INDEX(Unit_Paths!$D$2:$D$4, MATCH(E479, Unit_Paths!$A$2:$A$4, 0)),0)</f>
        <v>410</v>
      </c>
      <c r="K479" s="6" t="n">
        <f aca="false">ROUND(INDEX(Archetypes!$H$2:$H$127, MATCH(D479, Archetypes!$A$2:$A$127, 0))*INDEX(Unit_Paths!$E$2:$E$4, MATCH(E479, Unit_Paths!$A$2:$A$4, 0)),1)</f>
        <v>8.4</v>
      </c>
      <c r="L479" s="6" t="n">
        <f aca="false">ROUND(INDEX(Archetypes!$I$2:$I$127, MATCH(D479, Archetypes!$A$2:$A$127, 0))*INDEX(Unit_Grades!$C$2:$C$7, MATCH(F479, Unit_Grades!$A$2:$A$7, 0)),1)</f>
        <v>12.6</v>
      </c>
      <c r="M479" s="6" t="n">
        <f aca="false">ROUND(INDEX(Archetypes!$J$2:$J$127, MATCH(D479, Archetypes!$A$2:$A$127, 0))*INDEX(Unit_Grades!$D$2:$D$7, MATCH(F479, Unit_Grades!$A$2:$A$7, 0)),1)</f>
        <v>9.8</v>
      </c>
      <c r="N479" s="6" t="n">
        <f aca="false">ROUND(M479/24,2)</f>
        <v>0.41</v>
      </c>
    </row>
    <row r="480" customFormat="false" ht="15" hidden="false" customHeight="true" outlineLevel="0" collapsed="false">
      <c r="A480" s="6" t="n">
        <v>2</v>
      </c>
      <c r="B480" s="6" t="s">
        <v>2021</v>
      </c>
      <c r="C480" s="6" t="s">
        <v>1313</v>
      </c>
      <c r="D480" s="6" t="str">
        <f aca="false">A480&amp;"|"&amp;C480</f>
        <v>2|Ram Crew</v>
      </c>
      <c r="E480" s="6" t="s">
        <v>1558</v>
      </c>
      <c r="F480" s="6" t="s">
        <v>1546</v>
      </c>
      <c r="G480" s="6" t="str">
        <f aca="false">INDEX(Archetypes!$D$2:$D$127, MATCH(D480, Archetypes!$A$2:$A$127, 0))</f>
        <v>Siege</v>
      </c>
      <c r="H480" s="6" t="n">
        <f aca="false">ROUND(INDEX(Archetypes!$E$2:$E$127, MATCH(D480, Archetypes!$A$2:$A$127, 0))*INDEX(Unit_Grades!$B$2:$B$7, MATCH(F480, Unit_Grades!$A$2:$A$7, 0))*INDEX(Unit_Paths!$B$2:$B$4, MATCH(E480, Unit_Paths!$A$2:$A$4, 0)),1)</f>
        <v>115.2</v>
      </c>
      <c r="I480" s="6" t="n">
        <f aca="false">ROUND(INDEX(Archetypes!$F$2:$F$127, MATCH(D480, Archetypes!$A$2:$A$127, 0))*INDEX(Unit_Grades!$B$2:$B$7, MATCH(F480, Unit_Grades!$A$2:$A$7, 0))*INDEX(Unit_Paths!$C$2:$C$4, MATCH(E480, Unit_Paths!$A$2:$A$4, 0)),1)</f>
        <v>54.4</v>
      </c>
      <c r="J480" s="6" t="n">
        <f aca="false">ROUND(INDEX(Archetypes!$G$2:$G$127, MATCH(D480, Archetypes!$A$2:$A$127, 0))*INDEX(Unit_Grades!$B$2:$B$7, MATCH(F480, Unit_Grades!$A$2:$A$7, 0))*INDEX(Unit_Paths!$D$2:$D$4, MATCH(E480, Unit_Paths!$A$2:$A$4, 0)),0)</f>
        <v>547</v>
      </c>
      <c r="K480" s="6" t="n">
        <f aca="false">ROUND(INDEX(Archetypes!$H$2:$H$127, MATCH(D480, Archetypes!$A$2:$A$127, 0))*INDEX(Unit_Paths!$E$2:$E$4, MATCH(E480, Unit_Paths!$A$2:$A$4, 0)),1)</f>
        <v>8.4</v>
      </c>
      <c r="L480" s="6" t="n">
        <f aca="false">ROUND(INDEX(Archetypes!$I$2:$I$127, MATCH(D480, Archetypes!$A$2:$A$127, 0))*INDEX(Unit_Grades!$C$2:$C$7, MATCH(F480, Unit_Grades!$A$2:$A$7, 0)),1)</f>
        <v>16.8</v>
      </c>
      <c r="M480" s="6" t="n">
        <f aca="false">ROUND(INDEX(Archetypes!$J$2:$J$127, MATCH(D480, Archetypes!$A$2:$A$127, 0))*INDEX(Unit_Grades!$D$2:$D$7, MATCH(F480, Unit_Grades!$A$2:$A$7, 0)),1)</f>
        <v>17.1</v>
      </c>
      <c r="N480" s="6" t="n">
        <f aca="false">ROUND(M480/24,2)</f>
        <v>0.71</v>
      </c>
    </row>
    <row r="481" customFormat="false" ht="15" hidden="false" customHeight="true" outlineLevel="0" collapsed="false">
      <c r="A481" s="6" t="n">
        <v>2</v>
      </c>
      <c r="B481" s="6" t="s">
        <v>2022</v>
      </c>
      <c r="C481" s="6" t="s">
        <v>1313</v>
      </c>
      <c r="D481" s="6" t="str">
        <f aca="false">A481&amp;"|"&amp;C481</f>
        <v>2|Ram Crew</v>
      </c>
      <c r="E481" s="6" t="s">
        <v>1558</v>
      </c>
      <c r="F481" s="6" t="s">
        <v>1548</v>
      </c>
      <c r="G481" s="6" t="str">
        <f aca="false">INDEX(Archetypes!$D$2:$D$127, MATCH(D481, Archetypes!$A$2:$A$127, 0))</f>
        <v>Siege</v>
      </c>
      <c r="H481" s="6" t="n">
        <f aca="false">ROUND(INDEX(Archetypes!$E$2:$E$127, MATCH(D481, Archetypes!$A$2:$A$127, 0))*INDEX(Unit_Grades!$B$2:$B$7, MATCH(F481, Unit_Grades!$A$2:$A$7, 0))*INDEX(Unit_Paths!$B$2:$B$4, MATCH(E481, Unit_Paths!$A$2:$A$4, 0)),1)</f>
        <v>151.2</v>
      </c>
      <c r="I481" s="6" t="n">
        <f aca="false">ROUND(INDEX(Archetypes!$F$2:$F$127, MATCH(D481, Archetypes!$A$2:$A$127, 0))*INDEX(Unit_Grades!$B$2:$B$7, MATCH(F481, Unit_Grades!$A$2:$A$7, 0))*INDEX(Unit_Paths!$C$2:$C$4, MATCH(E481, Unit_Paths!$A$2:$A$4, 0)),1)</f>
        <v>71.4</v>
      </c>
      <c r="J481" s="6" t="n">
        <f aca="false">ROUND(INDEX(Archetypes!$G$2:$G$127, MATCH(D481, Archetypes!$A$2:$A$127, 0))*INDEX(Unit_Grades!$B$2:$B$7, MATCH(F481, Unit_Grades!$A$2:$A$7, 0))*INDEX(Unit_Paths!$D$2:$D$4, MATCH(E481, Unit_Paths!$A$2:$A$4, 0)),0)</f>
        <v>718</v>
      </c>
      <c r="K481" s="6" t="n">
        <f aca="false">ROUND(INDEX(Archetypes!$H$2:$H$127, MATCH(D481, Archetypes!$A$2:$A$127, 0))*INDEX(Unit_Paths!$E$2:$E$4, MATCH(E481, Unit_Paths!$A$2:$A$4, 0)),1)</f>
        <v>8.4</v>
      </c>
      <c r="L481" s="6" t="n">
        <f aca="false">ROUND(INDEX(Archetypes!$I$2:$I$127, MATCH(D481, Archetypes!$A$2:$A$127, 0))*INDEX(Unit_Grades!$C$2:$C$7, MATCH(F481, Unit_Grades!$A$2:$A$7, 0)),1)</f>
        <v>22.2</v>
      </c>
      <c r="M481" s="6" t="n">
        <f aca="false">ROUND(INDEX(Archetypes!$J$2:$J$127, MATCH(D481, Archetypes!$A$2:$A$127, 0))*INDEX(Unit_Grades!$D$2:$D$7, MATCH(F481, Unit_Grades!$A$2:$A$7, 0)),1)</f>
        <v>29.3</v>
      </c>
      <c r="N481" s="6" t="n">
        <f aca="false">ROUND(M481/24,2)</f>
        <v>1.22</v>
      </c>
    </row>
    <row r="482" customFormat="false" ht="15" hidden="false" customHeight="true" outlineLevel="0" collapsed="false">
      <c r="A482" s="6" t="n">
        <v>2</v>
      </c>
      <c r="B482" s="6" t="s">
        <v>2023</v>
      </c>
      <c r="C482" s="6" t="s">
        <v>1313</v>
      </c>
      <c r="D482" s="6" t="str">
        <f aca="false">A482&amp;"|"&amp;C482</f>
        <v>2|Ram Crew</v>
      </c>
      <c r="E482" s="6" t="s">
        <v>1560</v>
      </c>
      <c r="F482" s="6" t="s">
        <v>1538</v>
      </c>
      <c r="G482" s="6" t="str">
        <f aca="false">INDEX(Archetypes!$D$2:$D$127, MATCH(D482, Archetypes!$A$2:$A$127, 0))</f>
        <v>Siege</v>
      </c>
      <c r="H482" s="6" t="n">
        <f aca="false">ROUND(INDEX(Archetypes!$E$2:$E$127, MATCH(D482, Archetypes!$A$2:$A$127, 0))*INDEX(Unit_Grades!$B$2:$B$7, MATCH(F482, Unit_Grades!$A$2:$A$7, 0))*INDEX(Unit_Paths!$B$2:$B$4, MATCH(E482, Unit_Paths!$A$2:$A$4, 0)),1)</f>
        <v>25.5</v>
      </c>
      <c r="I482" s="6" t="n">
        <f aca="false">ROUND(INDEX(Archetypes!$F$2:$F$127, MATCH(D482, Archetypes!$A$2:$A$127, 0))*INDEX(Unit_Grades!$B$2:$B$7, MATCH(F482, Unit_Grades!$A$2:$A$7, 0))*INDEX(Unit_Paths!$C$2:$C$4, MATCH(E482, Unit_Paths!$A$2:$A$4, 0)),1)</f>
        <v>25</v>
      </c>
      <c r="J482" s="6" t="n">
        <f aca="false">ROUND(INDEX(Archetypes!$G$2:$G$127, MATCH(D482, Archetypes!$A$2:$A$127, 0))*INDEX(Unit_Grades!$B$2:$B$7, MATCH(F482, Unit_Grades!$A$2:$A$7, 0))*INDEX(Unit_Paths!$D$2:$D$4, MATCH(E482, Unit_Paths!$A$2:$A$4, 0)),0)</f>
        <v>207</v>
      </c>
      <c r="K482" s="6" t="n">
        <f aca="false">ROUND(INDEX(Archetypes!$H$2:$H$127, MATCH(D482, Archetypes!$A$2:$A$127, 0))*INDEX(Unit_Paths!$E$2:$E$4, MATCH(E482, Unit_Paths!$A$2:$A$4, 0)),1)</f>
        <v>7.4</v>
      </c>
      <c r="L482" s="6" t="n">
        <f aca="false">ROUND(INDEX(Archetypes!$I$2:$I$127, MATCH(D482, Archetypes!$A$2:$A$127, 0))*INDEX(Unit_Grades!$C$2:$C$7, MATCH(F482, Unit_Grades!$A$2:$A$7, 0)),1)</f>
        <v>6</v>
      </c>
      <c r="M482" s="6" t="n">
        <f aca="false">ROUND(INDEX(Archetypes!$J$2:$J$127, MATCH(D482, Archetypes!$A$2:$A$127, 0))*INDEX(Unit_Grades!$D$2:$D$7, MATCH(F482, Unit_Grades!$A$2:$A$7, 0)),1)</f>
        <v>2.4</v>
      </c>
      <c r="N482" s="6" t="n">
        <f aca="false">ROUND(M482/24,2)</f>
        <v>0.1</v>
      </c>
    </row>
    <row r="483" customFormat="false" ht="15" hidden="false" customHeight="true" outlineLevel="0" collapsed="false">
      <c r="A483" s="6" t="n">
        <v>2</v>
      </c>
      <c r="B483" s="6" t="s">
        <v>2024</v>
      </c>
      <c r="C483" s="6" t="s">
        <v>1313</v>
      </c>
      <c r="D483" s="6" t="str">
        <f aca="false">A483&amp;"|"&amp;C483</f>
        <v>2|Ram Crew</v>
      </c>
      <c r="E483" s="6" t="s">
        <v>1560</v>
      </c>
      <c r="F483" s="6" t="s">
        <v>1540</v>
      </c>
      <c r="G483" s="6" t="str">
        <f aca="false">INDEX(Archetypes!$D$2:$D$127, MATCH(D483, Archetypes!$A$2:$A$127, 0))</f>
        <v>Siege</v>
      </c>
      <c r="H483" s="6" t="n">
        <f aca="false">ROUND(INDEX(Archetypes!$E$2:$E$127, MATCH(D483, Archetypes!$A$2:$A$127, 0))*INDEX(Unit_Grades!$B$2:$B$7, MATCH(F483, Unit_Grades!$A$2:$A$7, 0))*INDEX(Unit_Paths!$B$2:$B$4, MATCH(E483, Unit_Paths!$A$2:$A$4, 0)),1)</f>
        <v>34.4</v>
      </c>
      <c r="I483" s="6" t="n">
        <f aca="false">ROUND(INDEX(Archetypes!$F$2:$F$127, MATCH(D483, Archetypes!$A$2:$A$127, 0))*INDEX(Unit_Grades!$B$2:$B$7, MATCH(F483, Unit_Grades!$A$2:$A$7, 0))*INDEX(Unit_Paths!$C$2:$C$4, MATCH(E483, Unit_Paths!$A$2:$A$4, 0)),1)</f>
        <v>33.8</v>
      </c>
      <c r="J483" s="6" t="n">
        <f aca="false">ROUND(INDEX(Archetypes!$G$2:$G$127, MATCH(D483, Archetypes!$A$2:$A$127, 0))*INDEX(Unit_Grades!$B$2:$B$7, MATCH(F483, Unit_Grades!$A$2:$A$7, 0))*INDEX(Unit_Paths!$D$2:$D$4, MATCH(E483, Unit_Paths!$A$2:$A$4, 0)),0)</f>
        <v>279</v>
      </c>
      <c r="K483" s="6" t="n">
        <f aca="false">ROUND(INDEX(Archetypes!$H$2:$H$127, MATCH(D483, Archetypes!$A$2:$A$127, 0))*INDEX(Unit_Paths!$E$2:$E$4, MATCH(E483, Unit_Paths!$A$2:$A$4, 0)),1)</f>
        <v>7.4</v>
      </c>
      <c r="L483" s="6" t="n">
        <f aca="false">ROUND(INDEX(Archetypes!$I$2:$I$127, MATCH(D483, Archetypes!$A$2:$A$127, 0))*INDEX(Unit_Grades!$C$2:$C$7, MATCH(F483, Unit_Grades!$A$2:$A$7, 0)),1)</f>
        <v>7.5</v>
      </c>
      <c r="M483" s="6" t="n">
        <f aca="false">ROUND(INDEX(Archetypes!$J$2:$J$127, MATCH(D483, Archetypes!$A$2:$A$127, 0))*INDEX(Unit_Grades!$D$2:$D$7, MATCH(F483, Unit_Grades!$A$2:$A$7, 0)),1)</f>
        <v>3.7</v>
      </c>
      <c r="N483" s="6" t="n">
        <f aca="false">ROUND(M483/24,2)</f>
        <v>0.15</v>
      </c>
    </row>
    <row r="484" customFormat="false" ht="15" hidden="false" customHeight="true" outlineLevel="0" collapsed="false">
      <c r="A484" s="6" t="n">
        <v>2</v>
      </c>
      <c r="B484" s="6" t="s">
        <v>2025</v>
      </c>
      <c r="C484" s="6" t="s">
        <v>1313</v>
      </c>
      <c r="D484" s="6" t="str">
        <f aca="false">A484&amp;"|"&amp;C484</f>
        <v>2|Ram Crew</v>
      </c>
      <c r="E484" s="6" t="s">
        <v>1560</v>
      </c>
      <c r="F484" s="6" t="s">
        <v>1542</v>
      </c>
      <c r="G484" s="6" t="str">
        <f aca="false">INDEX(Archetypes!$D$2:$D$127, MATCH(D484, Archetypes!$A$2:$A$127, 0))</f>
        <v>Siege</v>
      </c>
      <c r="H484" s="6" t="n">
        <f aca="false">ROUND(INDEX(Archetypes!$E$2:$E$127, MATCH(D484, Archetypes!$A$2:$A$127, 0))*INDEX(Unit_Grades!$B$2:$B$7, MATCH(F484, Unit_Grades!$A$2:$A$7, 0))*INDEX(Unit_Paths!$B$2:$B$4, MATCH(E484, Unit_Paths!$A$2:$A$4, 0)),1)</f>
        <v>45.9</v>
      </c>
      <c r="I484" s="6" t="n">
        <f aca="false">ROUND(INDEX(Archetypes!$F$2:$F$127, MATCH(D484, Archetypes!$A$2:$A$127, 0))*INDEX(Unit_Grades!$B$2:$B$7, MATCH(F484, Unit_Grades!$A$2:$A$7, 0))*INDEX(Unit_Paths!$C$2:$C$4, MATCH(E484, Unit_Paths!$A$2:$A$4, 0)),1)</f>
        <v>45</v>
      </c>
      <c r="J484" s="6" t="n">
        <f aca="false">ROUND(INDEX(Archetypes!$G$2:$G$127, MATCH(D484, Archetypes!$A$2:$A$127, 0))*INDEX(Unit_Grades!$B$2:$B$7, MATCH(F484, Unit_Grades!$A$2:$A$7, 0))*INDEX(Unit_Paths!$D$2:$D$4, MATCH(E484, Unit_Paths!$A$2:$A$4, 0)),0)</f>
        <v>373</v>
      </c>
      <c r="K484" s="6" t="n">
        <f aca="false">ROUND(INDEX(Archetypes!$H$2:$H$127, MATCH(D484, Archetypes!$A$2:$A$127, 0))*INDEX(Unit_Paths!$E$2:$E$4, MATCH(E484, Unit_Paths!$A$2:$A$4, 0)),1)</f>
        <v>7.4</v>
      </c>
      <c r="L484" s="6" t="n">
        <f aca="false">ROUND(INDEX(Archetypes!$I$2:$I$127, MATCH(D484, Archetypes!$A$2:$A$127, 0))*INDEX(Unit_Grades!$C$2:$C$7, MATCH(F484, Unit_Grades!$A$2:$A$7, 0)),1)</f>
        <v>9.6</v>
      </c>
      <c r="M484" s="6" t="n">
        <f aca="false">ROUND(INDEX(Archetypes!$J$2:$J$127, MATCH(D484, Archetypes!$A$2:$A$127, 0))*INDEX(Unit_Grades!$D$2:$D$7, MATCH(F484, Unit_Grades!$A$2:$A$7, 0)),1)</f>
        <v>6.1</v>
      </c>
      <c r="N484" s="6" t="n">
        <f aca="false">ROUND(M484/24,2)</f>
        <v>0.25</v>
      </c>
    </row>
    <row r="485" customFormat="false" ht="15" hidden="false" customHeight="true" outlineLevel="0" collapsed="false">
      <c r="A485" s="6" t="n">
        <v>2</v>
      </c>
      <c r="B485" s="6" t="s">
        <v>2026</v>
      </c>
      <c r="C485" s="6" t="s">
        <v>1313</v>
      </c>
      <c r="D485" s="6" t="str">
        <f aca="false">A485&amp;"|"&amp;C485</f>
        <v>2|Ram Crew</v>
      </c>
      <c r="E485" s="6" t="s">
        <v>1560</v>
      </c>
      <c r="F485" s="6" t="s">
        <v>1544</v>
      </c>
      <c r="G485" s="6" t="str">
        <f aca="false">INDEX(Archetypes!$D$2:$D$127, MATCH(D485, Archetypes!$A$2:$A$127, 0))</f>
        <v>Siege</v>
      </c>
      <c r="H485" s="6" t="n">
        <f aca="false">ROUND(INDEX(Archetypes!$E$2:$E$127, MATCH(D485, Archetypes!$A$2:$A$127, 0))*INDEX(Unit_Grades!$B$2:$B$7, MATCH(F485, Unit_Grades!$A$2:$A$7, 0))*INDEX(Unit_Paths!$B$2:$B$4, MATCH(E485, Unit_Paths!$A$2:$A$4, 0)),1)</f>
        <v>61.2</v>
      </c>
      <c r="I485" s="6" t="n">
        <f aca="false">ROUND(INDEX(Archetypes!$F$2:$F$127, MATCH(D485, Archetypes!$A$2:$A$127, 0))*INDEX(Unit_Grades!$B$2:$B$7, MATCH(F485, Unit_Grades!$A$2:$A$7, 0))*INDEX(Unit_Paths!$C$2:$C$4, MATCH(E485, Unit_Paths!$A$2:$A$4, 0)),1)</f>
        <v>60</v>
      </c>
      <c r="J485" s="6" t="n">
        <f aca="false">ROUND(INDEX(Archetypes!$G$2:$G$127, MATCH(D485, Archetypes!$A$2:$A$127, 0))*INDEX(Unit_Grades!$B$2:$B$7, MATCH(F485, Unit_Grades!$A$2:$A$7, 0))*INDEX(Unit_Paths!$D$2:$D$4, MATCH(E485, Unit_Paths!$A$2:$A$4, 0)),0)</f>
        <v>497</v>
      </c>
      <c r="K485" s="6" t="n">
        <f aca="false">ROUND(INDEX(Archetypes!$H$2:$H$127, MATCH(D485, Archetypes!$A$2:$A$127, 0))*INDEX(Unit_Paths!$E$2:$E$4, MATCH(E485, Unit_Paths!$A$2:$A$4, 0)),1)</f>
        <v>7.4</v>
      </c>
      <c r="L485" s="6" t="n">
        <f aca="false">ROUND(INDEX(Archetypes!$I$2:$I$127, MATCH(D485, Archetypes!$A$2:$A$127, 0))*INDEX(Unit_Grades!$C$2:$C$7, MATCH(F485, Unit_Grades!$A$2:$A$7, 0)),1)</f>
        <v>12.6</v>
      </c>
      <c r="M485" s="6" t="n">
        <f aca="false">ROUND(INDEX(Archetypes!$J$2:$J$127, MATCH(D485, Archetypes!$A$2:$A$127, 0))*INDEX(Unit_Grades!$D$2:$D$7, MATCH(F485, Unit_Grades!$A$2:$A$7, 0)),1)</f>
        <v>9.8</v>
      </c>
      <c r="N485" s="6" t="n">
        <f aca="false">ROUND(M485/24,2)</f>
        <v>0.41</v>
      </c>
    </row>
    <row r="486" customFormat="false" ht="15" hidden="false" customHeight="true" outlineLevel="0" collapsed="false">
      <c r="A486" s="6" t="n">
        <v>2</v>
      </c>
      <c r="B486" s="6" t="s">
        <v>2027</v>
      </c>
      <c r="C486" s="6" t="s">
        <v>1313</v>
      </c>
      <c r="D486" s="6" t="str">
        <f aca="false">A486&amp;"|"&amp;C486</f>
        <v>2|Ram Crew</v>
      </c>
      <c r="E486" s="6" t="s">
        <v>1560</v>
      </c>
      <c r="F486" s="6" t="s">
        <v>1546</v>
      </c>
      <c r="G486" s="6" t="str">
        <f aca="false">INDEX(Archetypes!$D$2:$D$127, MATCH(D486, Archetypes!$A$2:$A$127, 0))</f>
        <v>Siege</v>
      </c>
      <c r="H486" s="6" t="n">
        <f aca="false">ROUND(INDEX(Archetypes!$E$2:$E$127, MATCH(D486, Archetypes!$A$2:$A$127, 0))*INDEX(Unit_Grades!$B$2:$B$7, MATCH(F486, Unit_Grades!$A$2:$A$7, 0))*INDEX(Unit_Paths!$B$2:$B$4, MATCH(E486, Unit_Paths!$A$2:$A$4, 0)),1)</f>
        <v>81.6</v>
      </c>
      <c r="I486" s="6" t="n">
        <f aca="false">ROUND(INDEX(Archetypes!$F$2:$F$127, MATCH(D486, Archetypes!$A$2:$A$127, 0))*INDEX(Unit_Grades!$B$2:$B$7, MATCH(F486, Unit_Grades!$A$2:$A$7, 0))*INDEX(Unit_Paths!$C$2:$C$4, MATCH(E486, Unit_Paths!$A$2:$A$4, 0)),1)</f>
        <v>80</v>
      </c>
      <c r="J486" s="6" t="n">
        <f aca="false">ROUND(INDEX(Archetypes!$G$2:$G$127, MATCH(D486, Archetypes!$A$2:$A$127, 0))*INDEX(Unit_Grades!$B$2:$B$7, MATCH(F486, Unit_Grades!$A$2:$A$7, 0))*INDEX(Unit_Paths!$D$2:$D$4, MATCH(E486, Unit_Paths!$A$2:$A$4, 0)),0)</f>
        <v>662</v>
      </c>
      <c r="K486" s="6" t="n">
        <f aca="false">ROUND(INDEX(Archetypes!$H$2:$H$127, MATCH(D486, Archetypes!$A$2:$A$127, 0))*INDEX(Unit_Paths!$E$2:$E$4, MATCH(E486, Unit_Paths!$A$2:$A$4, 0)),1)</f>
        <v>7.4</v>
      </c>
      <c r="L486" s="6" t="n">
        <f aca="false">ROUND(INDEX(Archetypes!$I$2:$I$127, MATCH(D486, Archetypes!$A$2:$A$127, 0))*INDEX(Unit_Grades!$C$2:$C$7, MATCH(F486, Unit_Grades!$A$2:$A$7, 0)),1)</f>
        <v>16.8</v>
      </c>
      <c r="M486" s="6" t="n">
        <f aca="false">ROUND(INDEX(Archetypes!$J$2:$J$127, MATCH(D486, Archetypes!$A$2:$A$127, 0))*INDEX(Unit_Grades!$D$2:$D$7, MATCH(F486, Unit_Grades!$A$2:$A$7, 0)),1)</f>
        <v>17.1</v>
      </c>
      <c r="N486" s="6" t="n">
        <f aca="false">ROUND(M486/24,2)</f>
        <v>0.71</v>
      </c>
    </row>
    <row r="487" customFormat="false" ht="15" hidden="false" customHeight="true" outlineLevel="0" collapsed="false">
      <c r="A487" s="6" t="n">
        <v>2</v>
      </c>
      <c r="B487" s="6" t="s">
        <v>2028</v>
      </c>
      <c r="C487" s="6" t="s">
        <v>1313</v>
      </c>
      <c r="D487" s="6" t="str">
        <f aca="false">A487&amp;"|"&amp;C487</f>
        <v>2|Ram Crew</v>
      </c>
      <c r="E487" s="6" t="s">
        <v>1560</v>
      </c>
      <c r="F487" s="6" t="s">
        <v>1548</v>
      </c>
      <c r="G487" s="6" t="str">
        <f aca="false">INDEX(Archetypes!$D$2:$D$127, MATCH(D487, Archetypes!$A$2:$A$127, 0))</f>
        <v>Siege</v>
      </c>
      <c r="H487" s="6" t="n">
        <f aca="false">ROUND(INDEX(Archetypes!$E$2:$E$127, MATCH(D487, Archetypes!$A$2:$A$127, 0))*INDEX(Unit_Grades!$B$2:$B$7, MATCH(F487, Unit_Grades!$A$2:$A$7, 0))*INDEX(Unit_Paths!$B$2:$B$4, MATCH(E487, Unit_Paths!$A$2:$A$4, 0)),1)</f>
        <v>107.1</v>
      </c>
      <c r="I487" s="6" t="n">
        <f aca="false">ROUND(INDEX(Archetypes!$F$2:$F$127, MATCH(D487, Archetypes!$A$2:$A$127, 0))*INDEX(Unit_Grades!$B$2:$B$7, MATCH(F487, Unit_Grades!$A$2:$A$7, 0))*INDEX(Unit_Paths!$C$2:$C$4, MATCH(E487, Unit_Paths!$A$2:$A$4, 0)),1)</f>
        <v>105</v>
      </c>
      <c r="J487" s="6" t="n">
        <f aca="false">ROUND(INDEX(Archetypes!$G$2:$G$127, MATCH(D487, Archetypes!$A$2:$A$127, 0))*INDEX(Unit_Grades!$B$2:$B$7, MATCH(F487, Unit_Grades!$A$2:$A$7, 0))*INDEX(Unit_Paths!$D$2:$D$4, MATCH(E487, Unit_Paths!$A$2:$A$4, 0)),0)</f>
        <v>869</v>
      </c>
      <c r="K487" s="6" t="n">
        <f aca="false">ROUND(INDEX(Archetypes!$H$2:$H$127, MATCH(D487, Archetypes!$A$2:$A$127, 0))*INDEX(Unit_Paths!$E$2:$E$4, MATCH(E487, Unit_Paths!$A$2:$A$4, 0)),1)</f>
        <v>7.4</v>
      </c>
      <c r="L487" s="6" t="n">
        <f aca="false">ROUND(INDEX(Archetypes!$I$2:$I$127, MATCH(D487, Archetypes!$A$2:$A$127, 0))*INDEX(Unit_Grades!$C$2:$C$7, MATCH(F487, Unit_Grades!$A$2:$A$7, 0)),1)</f>
        <v>22.2</v>
      </c>
      <c r="M487" s="6" t="n">
        <f aca="false">ROUND(INDEX(Archetypes!$J$2:$J$127, MATCH(D487, Archetypes!$A$2:$A$127, 0))*INDEX(Unit_Grades!$D$2:$D$7, MATCH(F487, Unit_Grades!$A$2:$A$7, 0)),1)</f>
        <v>29.3</v>
      </c>
      <c r="N487" s="6" t="n">
        <f aca="false">ROUND(M487/24,2)</f>
        <v>1.22</v>
      </c>
    </row>
    <row r="488" customFormat="false" ht="15" hidden="false" customHeight="true" outlineLevel="0" collapsed="false">
      <c r="A488" s="6" t="n">
        <v>2</v>
      </c>
      <c r="B488" s="6" t="s">
        <v>1315</v>
      </c>
      <c r="C488" s="6" t="s">
        <v>1315</v>
      </c>
      <c r="D488" s="6" t="str">
        <f aca="false">A488&amp;"|"&amp;C488</f>
        <v>2|Catapult</v>
      </c>
      <c r="E488" s="6" t="s">
        <v>1556</v>
      </c>
      <c r="F488" s="6" t="s">
        <v>1538</v>
      </c>
      <c r="G488" s="6" t="str">
        <f aca="false">INDEX(Archetypes!$D$2:$D$127, MATCH(D488, Archetypes!$A$2:$A$127, 0))</f>
        <v>Siege</v>
      </c>
      <c r="H488" s="6" t="n">
        <f aca="false">ROUND(INDEX(Archetypes!$E$2:$E$127, MATCH(D488, Archetypes!$A$2:$A$127, 0))*INDEX(Unit_Grades!$B$2:$B$7, MATCH(F488, Unit_Grades!$A$2:$A$7, 0))*INDEX(Unit_Paths!$B$2:$B$4, MATCH(E488, Unit_Paths!$A$2:$A$4, 0)),1)</f>
        <v>44</v>
      </c>
      <c r="I488" s="6" t="n">
        <f aca="false">ROUND(INDEX(Archetypes!$F$2:$F$127, MATCH(D488, Archetypes!$A$2:$A$127, 0))*INDEX(Unit_Grades!$B$2:$B$7, MATCH(F488, Unit_Grades!$A$2:$A$7, 0))*INDEX(Unit_Paths!$C$2:$C$4, MATCH(E488, Unit_Paths!$A$2:$A$4, 0)),1)</f>
        <v>8</v>
      </c>
      <c r="J488" s="6" t="n">
        <f aca="false">ROUND(INDEX(Archetypes!$G$2:$G$127, MATCH(D488, Archetypes!$A$2:$A$127, 0))*INDEX(Unit_Grades!$B$2:$B$7, MATCH(F488, Unit_Grades!$A$2:$A$7, 0))*INDEX(Unit_Paths!$D$2:$D$4, MATCH(E488, Unit_Paths!$A$2:$A$4, 0)),0)</f>
        <v>90</v>
      </c>
      <c r="K488" s="6" t="n">
        <f aca="false">ROUND(INDEX(Archetypes!$H$2:$H$127, MATCH(D488, Archetypes!$A$2:$A$127, 0))*INDEX(Unit_Paths!$E$2:$E$4, MATCH(E488, Unit_Paths!$A$2:$A$4, 0)),1)</f>
        <v>7</v>
      </c>
      <c r="L488" s="6" t="n">
        <f aca="false">ROUND(INDEX(Archetypes!$I$2:$I$127, MATCH(D488, Archetypes!$A$2:$A$127, 0))*INDEX(Unit_Grades!$C$2:$C$7, MATCH(F488, Unit_Grades!$A$2:$A$7, 0)),1)</f>
        <v>7</v>
      </c>
      <c r="M488" s="6" t="n">
        <f aca="false">ROUND(INDEX(Archetypes!$J$2:$J$127, MATCH(D488, Archetypes!$A$2:$A$127, 0))*INDEX(Unit_Grades!$D$2:$D$7, MATCH(F488, Unit_Grades!$A$2:$A$7, 0)),1)</f>
        <v>2.8</v>
      </c>
      <c r="N488" s="6" t="n">
        <f aca="false">ROUND(M488/24,2)</f>
        <v>0.12</v>
      </c>
    </row>
    <row r="489" customFormat="false" ht="15" hidden="false" customHeight="true" outlineLevel="0" collapsed="false">
      <c r="A489" s="6" t="n">
        <v>2</v>
      </c>
      <c r="B489" s="6" t="s">
        <v>2029</v>
      </c>
      <c r="C489" s="6" t="s">
        <v>1315</v>
      </c>
      <c r="D489" s="6" t="str">
        <f aca="false">A489&amp;"|"&amp;C489</f>
        <v>2|Catapult</v>
      </c>
      <c r="E489" s="6" t="s">
        <v>1556</v>
      </c>
      <c r="F489" s="6" t="s">
        <v>1540</v>
      </c>
      <c r="G489" s="6" t="str">
        <f aca="false">INDEX(Archetypes!$D$2:$D$127, MATCH(D489, Archetypes!$A$2:$A$127, 0))</f>
        <v>Siege</v>
      </c>
      <c r="H489" s="6" t="n">
        <f aca="false">ROUND(INDEX(Archetypes!$E$2:$E$127, MATCH(D489, Archetypes!$A$2:$A$127, 0))*INDEX(Unit_Grades!$B$2:$B$7, MATCH(F489, Unit_Grades!$A$2:$A$7, 0))*INDEX(Unit_Paths!$B$2:$B$4, MATCH(E489, Unit_Paths!$A$2:$A$4, 0)),1)</f>
        <v>59.4</v>
      </c>
      <c r="I489" s="6" t="n">
        <f aca="false">ROUND(INDEX(Archetypes!$F$2:$F$127, MATCH(D489, Archetypes!$A$2:$A$127, 0))*INDEX(Unit_Grades!$B$2:$B$7, MATCH(F489, Unit_Grades!$A$2:$A$7, 0))*INDEX(Unit_Paths!$C$2:$C$4, MATCH(E489, Unit_Paths!$A$2:$A$4, 0)),1)</f>
        <v>10.8</v>
      </c>
      <c r="J489" s="6" t="n">
        <f aca="false">ROUND(INDEX(Archetypes!$G$2:$G$127, MATCH(D489, Archetypes!$A$2:$A$127, 0))*INDEX(Unit_Grades!$B$2:$B$7, MATCH(F489, Unit_Grades!$A$2:$A$7, 0))*INDEX(Unit_Paths!$D$2:$D$4, MATCH(E489, Unit_Paths!$A$2:$A$4, 0)),0)</f>
        <v>122</v>
      </c>
      <c r="K489" s="6" t="n">
        <f aca="false">ROUND(INDEX(Archetypes!$H$2:$H$127, MATCH(D489, Archetypes!$A$2:$A$127, 0))*INDEX(Unit_Paths!$E$2:$E$4, MATCH(E489, Unit_Paths!$A$2:$A$4, 0)),1)</f>
        <v>7</v>
      </c>
      <c r="L489" s="6" t="n">
        <f aca="false">ROUND(INDEX(Archetypes!$I$2:$I$127, MATCH(D489, Archetypes!$A$2:$A$127, 0))*INDEX(Unit_Grades!$C$2:$C$7, MATCH(F489, Unit_Grades!$A$2:$A$7, 0)),1)</f>
        <v>8.8</v>
      </c>
      <c r="M489" s="6" t="n">
        <f aca="false">ROUND(INDEX(Archetypes!$J$2:$J$127, MATCH(D489, Archetypes!$A$2:$A$127, 0))*INDEX(Unit_Grades!$D$2:$D$7, MATCH(F489, Unit_Grades!$A$2:$A$7, 0)),1)</f>
        <v>4.3</v>
      </c>
      <c r="N489" s="6" t="n">
        <f aca="false">ROUND(M489/24,2)</f>
        <v>0.18</v>
      </c>
    </row>
    <row r="490" customFormat="false" ht="15" hidden="false" customHeight="true" outlineLevel="0" collapsed="false">
      <c r="A490" s="6" t="n">
        <v>2</v>
      </c>
      <c r="B490" s="6" t="s">
        <v>2030</v>
      </c>
      <c r="C490" s="6" t="s">
        <v>1315</v>
      </c>
      <c r="D490" s="6" t="str">
        <f aca="false">A490&amp;"|"&amp;C490</f>
        <v>2|Catapult</v>
      </c>
      <c r="E490" s="6" t="s">
        <v>1556</v>
      </c>
      <c r="F490" s="6" t="s">
        <v>1542</v>
      </c>
      <c r="G490" s="6" t="str">
        <f aca="false">INDEX(Archetypes!$D$2:$D$127, MATCH(D490, Archetypes!$A$2:$A$127, 0))</f>
        <v>Siege</v>
      </c>
      <c r="H490" s="6" t="n">
        <f aca="false">ROUND(INDEX(Archetypes!$E$2:$E$127, MATCH(D490, Archetypes!$A$2:$A$127, 0))*INDEX(Unit_Grades!$B$2:$B$7, MATCH(F490, Unit_Grades!$A$2:$A$7, 0))*INDEX(Unit_Paths!$B$2:$B$4, MATCH(E490, Unit_Paths!$A$2:$A$4, 0)),1)</f>
        <v>79.2</v>
      </c>
      <c r="I490" s="6" t="n">
        <f aca="false">ROUND(INDEX(Archetypes!$F$2:$F$127, MATCH(D490, Archetypes!$A$2:$A$127, 0))*INDEX(Unit_Grades!$B$2:$B$7, MATCH(F490, Unit_Grades!$A$2:$A$7, 0))*INDEX(Unit_Paths!$C$2:$C$4, MATCH(E490, Unit_Paths!$A$2:$A$4, 0)),1)</f>
        <v>14.4</v>
      </c>
      <c r="J490" s="6" t="n">
        <f aca="false">ROUND(INDEX(Archetypes!$G$2:$G$127, MATCH(D490, Archetypes!$A$2:$A$127, 0))*INDEX(Unit_Grades!$B$2:$B$7, MATCH(F490, Unit_Grades!$A$2:$A$7, 0))*INDEX(Unit_Paths!$D$2:$D$4, MATCH(E490, Unit_Paths!$A$2:$A$4, 0)),0)</f>
        <v>162</v>
      </c>
      <c r="K490" s="6" t="n">
        <f aca="false">ROUND(INDEX(Archetypes!$H$2:$H$127, MATCH(D490, Archetypes!$A$2:$A$127, 0))*INDEX(Unit_Paths!$E$2:$E$4, MATCH(E490, Unit_Paths!$A$2:$A$4, 0)),1)</f>
        <v>7</v>
      </c>
      <c r="L490" s="6" t="n">
        <f aca="false">ROUND(INDEX(Archetypes!$I$2:$I$127, MATCH(D490, Archetypes!$A$2:$A$127, 0))*INDEX(Unit_Grades!$C$2:$C$7, MATCH(F490, Unit_Grades!$A$2:$A$7, 0)),1)</f>
        <v>11.2</v>
      </c>
      <c r="M490" s="6" t="n">
        <f aca="false">ROUND(INDEX(Archetypes!$J$2:$J$127, MATCH(D490, Archetypes!$A$2:$A$127, 0))*INDEX(Unit_Grades!$D$2:$D$7, MATCH(F490, Unit_Grades!$A$2:$A$7, 0)),1)</f>
        <v>7.1</v>
      </c>
      <c r="N490" s="6" t="n">
        <f aca="false">ROUND(M490/24,2)</f>
        <v>0.3</v>
      </c>
    </row>
    <row r="491" customFormat="false" ht="15" hidden="false" customHeight="true" outlineLevel="0" collapsed="false">
      <c r="A491" s="6" t="n">
        <v>2</v>
      </c>
      <c r="B491" s="6" t="s">
        <v>2031</v>
      </c>
      <c r="C491" s="6" t="s">
        <v>1315</v>
      </c>
      <c r="D491" s="6" t="str">
        <f aca="false">A491&amp;"|"&amp;C491</f>
        <v>2|Catapult</v>
      </c>
      <c r="E491" s="6" t="s">
        <v>1556</v>
      </c>
      <c r="F491" s="6" t="s">
        <v>1544</v>
      </c>
      <c r="G491" s="6" t="str">
        <f aca="false">INDEX(Archetypes!$D$2:$D$127, MATCH(D491, Archetypes!$A$2:$A$127, 0))</f>
        <v>Siege</v>
      </c>
      <c r="H491" s="6" t="n">
        <f aca="false">ROUND(INDEX(Archetypes!$E$2:$E$127, MATCH(D491, Archetypes!$A$2:$A$127, 0))*INDEX(Unit_Grades!$B$2:$B$7, MATCH(F491, Unit_Grades!$A$2:$A$7, 0))*INDEX(Unit_Paths!$B$2:$B$4, MATCH(E491, Unit_Paths!$A$2:$A$4, 0)),1)</f>
        <v>105.6</v>
      </c>
      <c r="I491" s="6" t="n">
        <f aca="false">ROUND(INDEX(Archetypes!$F$2:$F$127, MATCH(D491, Archetypes!$A$2:$A$127, 0))*INDEX(Unit_Grades!$B$2:$B$7, MATCH(F491, Unit_Grades!$A$2:$A$7, 0))*INDEX(Unit_Paths!$C$2:$C$4, MATCH(E491, Unit_Paths!$A$2:$A$4, 0)),1)</f>
        <v>19.2</v>
      </c>
      <c r="J491" s="6" t="n">
        <f aca="false">ROUND(INDEX(Archetypes!$G$2:$G$127, MATCH(D491, Archetypes!$A$2:$A$127, 0))*INDEX(Unit_Grades!$B$2:$B$7, MATCH(F491, Unit_Grades!$A$2:$A$7, 0))*INDEX(Unit_Paths!$D$2:$D$4, MATCH(E491, Unit_Paths!$A$2:$A$4, 0)),0)</f>
        <v>216</v>
      </c>
      <c r="K491" s="6" t="n">
        <f aca="false">ROUND(INDEX(Archetypes!$H$2:$H$127, MATCH(D491, Archetypes!$A$2:$A$127, 0))*INDEX(Unit_Paths!$E$2:$E$4, MATCH(E491, Unit_Paths!$A$2:$A$4, 0)),1)</f>
        <v>7</v>
      </c>
      <c r="L491" s="6" t="n">
        <f aca="false">ROUND(INDEX(Archetypes!$I$2:$I$127, MATCH(D491, Archetypes!$A$2:$A$127, 0))*INDEX(Unit_Grades!$C$2:$C$7, MATCH(F491, Unit_Grades!$A$2:$A$7, 0)),1)</f>
        <v>14.7</v>
      </c>
      <c r="M491" s="6" t="n">
        <f aca="false">ROUND(INDEX(Archetypes!$J$2:$J$127, MATCH(D491, Archetypes!$A$2:$A$127, 0))*INDEX(Unit_Grades!$D$2:$D$7, MATCH(F491, Unit_Grades!$A$2:$A$7, 0)),1)</f>
        <v>11.4</v>
      </c>
      <c r="N491" s="6" t="n">
        <f aca="false">ROUND(M491/24,2)</f>
        <v>0.48</v>
      </c>
    </row>
    <row r="492" customFormat="false" ht="15" hidden="false" customHeight="true" outlineLevel="0" collapsed="false">
      <c r="A492" s="6" t="n">
        <v>2</v>
      </c>
      <c r="B492" s="6" t="s">
        <v>2032</v>
      </c>
      <c r="C492" s="6" t="s">
        <v>1315</v>
      </c>
      <c r="D492" s="6" t="str">
        <f aca="false">A492&amp;"|"&amp;C492</f>
        <v>2|Catapult</v>
      </c>
      <c r="E492" s="6" t="s">
        <v>1556</v>
      </c>
      <c r="F492" s="6" t="s">
        <v>1546</v>
      </c>
      <c r="G492" s="6" t="str">
        <f aca="false">INDEX(Archetypes!$D$2:$D$127, MATCH(D492, Archetypes!$A$2:$A$127, 0))</f>
        <v>Siege</v>
      </c>
      <c r="H492" s="6" t="n">
        <f aca="false">ROUND(INDEX(Archetypes!$E$2:$E$127, MATCH(D492, Archetypes!$A$2:$A$127, 0))*INDEX(Unit_Grades!$B$2:$B$7, MATCH(F492, Unit_Grades!$A$2:$A$7, 0))*INDEX(Unit_Paths!$B$2:$B$4, MATCH(E492, Unit_Paths!$A$2:$A$4, 0)),1)</f>
        <v>140.8</v>
      </c>
      <c r="I492" s="6" t="n">
        <f aca="false">ROUND(INDEX(Archetypes!$F$2:$F$127, MATCH(D492, Archetypes!$A$2:$A$127, 0))*INDEX(Unit_Grades!$B$2:$B$7, MATCH(F492, Unit_Grades!$A$2:$A$7, 0))*INDEX(Unit_Paths!$C$2:$C$4, MATCH(E492, Unit_Paths!$A$2:$A$4, 0)),1)</f>
        <v>25.6</v>
      </c>
      <c r="J492" s="6" t="n">
        <f aca="false">ROUND(INDEX(Archetypes!$G$2:$G$127, MATCH(D492, Archetypes!$A$2:$A$127, 0))*INDEX(Unit_Grades!$B$2:$B$7, MATCH(F492, Unit_Grades!$A$2:$A$7, 0))*INDEX(Unit_Paths!$D$2:$D$4, MATCH(E492, Unit_Paths!$A$2:$A$4, 0)),0)</f>
        <v>288</v>
      </c>
      <c r="K492" s="6" t="n">
        <f aca="false">ROUND(INDEX(Archetypes!$H$2:$H$127, MATCH(D492, Archetypes!$A$2:$A$127, 0))*INDEX(Unit_Paths!$E$2:$E$4, MATCH(E492, Unit_Paths!$A$2:$A$4, 0)),1)</f>
        <v>7</v>
      </c>
      <c r="L492" s="6" t="n">
        <f aca="false">ROUND(INDEX(Archetypes!$I$2:$I$127, MATCH(D492, Archetypes!$A$2:$A$127, 0))*INDEX(Unit_Grades!$C$2:$C$7, MATCH(F492, Unit_Grades!$A$2:$A$7, 0)),1)</f>
        <v>19.6</v>
      </c>
      <c r="M492" s="6" t="n">
        <f aca="false">ROUND(INDEX(Archetypes!$J$2:$J$127, MATCH(D492, Archetypes!$A$2:$A$127, 0))*INDEX(Unit_Grades!$D$2:$D$7, MATCH(F492, Unit_Grades!$A$2:$A$7, 0)),1)</f>
        <v>19.9</v>
      </c>
      <c r="N492" s="6" t="n">
        <f aca="false">ROUND(M492/24,2)</f>
        <v>0.83</v>
      </c>
    </row>
    <row r="493" customFormat="false" ht="15" hidden="false" customHeight="true" outlineLevel="0" collapsed="false">
      <c r="A493" s="6" t="n">
        <v>2</v>
      </c>
      <c r="B493" s="6" t="s">
        <v>2033</v>
      </c>
      <c r="C493" s="6" t="s">
        <v>1315</v>
      </c>
      <c r="D493" s="6" t="str">
        <f aca="false">A493&amp;"|"&amp;C493</f>
        <v>2|Catapult</v>
      </c>
      <c r="E493" s="6" t="s">
        <v>1556</v>
      </c>
      <c r="F493" s="6" t="s">
        <v>1548</v>
      </c>
      <c r="G493" s="6" t="str">
        <f aca="false">INDEX(Archetypes!$D$2:$D$127, MATCH(D493, Archetypes!$A$2:$A$127, 0))</f>
        <v>Siege</v>
      </c>
      <c r="H493" s="6" t="n">
        <f aca="false">ROUND(INDEX(Archetypes!$E$2:$E$127, MATCH(D493, Archetypes!$A$2:$A$127, 0))*INDEX(Unit_Grades!$B$2:$B$7, MATCH(F493, Unit_Grades!$A$2:$A$7, 0))*INDEX(Unit_Paths!$B$2:$B$4, MATCH(E493, Unit_Paths!$A$2:$A$4, 0)),1)</f>
        <v>184.8</v>
      </c>
      <c r="I493" s="6" t="n">
        <f aca="false">ROUND(INDEX(Archetypes!$F$2:$F$127, MATCH(D493, Archetypes!$A$2:$A$127, 0))*INDEX(Unit_Grades!$B$2:$B$7, MATCH(F493, Unit_Grades!$A$2:$A$7, 0))*INDEX(Unit_Paths!$C$2:$C$4, MATCH(E493, Unit_Paths!$A$2:$A$4, 0)),1)</f>
        <v>33.6</v>
      </c>
      <c r="J493" s="6" t="n">
        <f aca="false">ROUND(INDEX(Archetypes!$G$2:$G$127, MATCH(D493, Archetypes!$A$2:$A$127, 0))*INDEX(Unit_Grades!$B$2:$B$7, MATCH(F493, Unit_Grades!$A$2:$A$7, 0))*INDEX(Unit_Paths!$D$2:$D$4, MATCH(E493, Unit_Paths!$A$2:$A$4, 0)),0)</f>
        <v>378</v>
      </c>
      <c r="K493" s="6" t="n">
        <f aca="false">ROUND(INDEX(Archetypes!$H$2:$H$127, MATCH(D493, Archetypes!$A$2:$A$127, 0))*INDEX(Unit_Paths!$E$2:$E$4, MATCH(E493, Unit_Paths!$A$2:$A$4, 0)),1)</f>
        <v>7</v>
      </c>
      <c r="L493" s="6" t="n">
        <f aca="false">ROUND(INDEX(Archetypes!$I$2:$I$127, MATCH(D493, Archetypes!$A$2:$A$127, 0))*INDEX(Unit_Grades!$C$2:$C$7, MATCH(F493, Unit_Grades!$A$2:$A$7, 0)),1)</f>
        <v>25.9</v>
      </c>
      <c r="M493" s="6" t="n">
        <f aca="false">ROUND(INDEX(Archetypes!$J$2:$J$127, MATCH(D493, Archetypes!$A$2:$A$127, 0))*INDEX(Unit_Grades!$D$2:$D$7, MATCH(F493, Unit_Grades!$A$2:$A$7, 0)),1)</f>
        <v>34.1</v>
      </c>
      <c r="N493" s="6" t="n">
        <f aca="false">ROUND(M493/24,2)</f>
        <v>1.42</v>
      </c>
    </row>
    <row r="494" customFormat="false" ht="15" hidden="false" customHeight="true" outlineLevel="0" collapsed="false">
      <c r="A494" s="6" t="n">
        <v>2</v>
      </c>
      <c r="B494" s="6" t="s">
        <v>2034</v>
      </c>
      <c r="C494" s="6" t="s">
        <v>1315</v>
      </c>
      <c r="D494" s="6" t="str">
        <f aca="false">A494&amp;"|"&amp;C494</f>
        <v>2|Catapult</v>
      </c>
      <c r="E494" s="6" t="s">
        <v>1558</v>
      </c>
      <c r="F494" s="6" t="s">
        <v>1538</v>
      </c>
      <c r="G494" s="6" t="str">
        <f aca="false">INDEX(Archetypes!$D$2:$D$127, MATCH(D494, Archetypes!$A$2:$A$127, 0))</f>
        <v>Siege</v>
      </c>
      <c r="H494" s="6" t="n">
        <f aca="false">ROUND(INDEX(Archetypes!$E$2:$E$127, MATCH(D494, Archetypes!$A$2:$A$127, 0))*INDEX(Unit_Grades!$B$2:$B$7, MATCH(F494, Unit_Grades!$A$2:$A$7, 0))*INDEX(Unit_Paths!$B$2:$B$4, MATCH(E494, Unit_Paths!$A$2:$A$4, 0)),1)</f>
        <v>52.8</v>
      </c>
      <c r="I494" s="6" t="n">
        <f aca="false">ROUND(INDEX(Archetypes!$F$2:$F$127, MATCH(D494, Archetypes!$A$2:$A$127, 0))*INDEX(Unit_Grades!$B$2:$B$7, MATCH(F494, Unit_Grades!$A$2:$A$7, 0))*INDEX(Unit_Paths!$C$2:$C$4, MATCH(E494, Unit_Paths!$A$2:$A$4, 0)),1)</f>
        <v>6.8</v>
      </c>
      <c r="J494" s="6" t="n">
        <f aca="false">ROUND(INDEX(Archetypes!$G$2:$G$127, MATCH(D494, Archetypes!$A$2:$A$127, 0))*INDEX(Unit_Grades!$B$2:$B$7, MATCH(F494, Unit_Grades!$A$2:$A$7, 0))*INDEX(Unit_Paths!$D$2:$D$4, MATCH(E494, Unit_Paths!$A$2:$A$4, 0)),0)</f>
        <v>86</v>
      </c>
      <c r="K494" s="6" t="n">
        <f aca="false">ROUND(INDEX(Archetypes!$H$2:$H$127, MATCH(D494, Archetypes!$A$2:$A$127, 0))*INDEX(Unit_Paths!$E$2:$E$4, MATCH(E494, Unit_Paths!$A$2:$A$4, 0)),1)</f>
        <v>7.4</v>
      </c>
      <c r="L494" s="6" t="n">
        <f aca="false">ROUND(INDEX(Archetypes!$I$2:$I$127, MATCH(D494, Archetypes!$A$2:$A$127, 0))*INDEX(Unit_Grades!$C$2:$C$7, MATCH(F494, Unit_Grades!$A$2:$A$7, 0)),1)</f>
        <v>7</v>
      </c>
      <c r="M494" s="6" t="n">
        <f aca="false">ROUND(INDEX(Archetypes!$J$2:$J$127, MATCH(D494, Archetypes!$A$2:$A$127, 0))*INDEX(Unit_Grades!$D$2:$D$7, MATCH(F494, Unit_Grades!$A$2:$A$7, 0)),1)</f>
        <v>2.8</v>
      </c>
      <c r="N494" s="6" t="n">
        <f aca="false">ROUND(M494/24,2)</f>
        <v>0.12</v>
      </c>
    </row>
    <row r="495" customFormat="false" ht="15" hidden="false" customHeight="true" outlineLevel="0" collapsed="false">
      <c r="A495" s="6" t="n">
        <v>2</v>
      </c>
      <c r="B495" s="6" t="s">
        <v>2035</v>
      </c>
      <c r="C495" s="6" t="s">
        <v>1315</v>
      </c>
      <c r="D495" s="6" t="str">
        <f aca="false">A495&amp;"|"&amp;C495</f>
        <v>2|Catapult</v>
      </c>
      <c r="E495" s="6" t="s">
        <v>1558</v>
      </c>
      <c r="F495" s="6" t="s">
        <v>1540</v>
      </c>
      <c r="G495" s="6" t="str">
        <f aca="false">INDEX(Archetypes!$D$2:$D$127, MATCH(D495, Archetypes!$A$2:$A$127, 0))</f>
        <v>Siege</v>
      </c>
      <c r="H495" s="6" t="n">
        <f aca="false">ROUND(INDEX(Archetypes!$E$2:$E$127, MATCH(D495, Archetypes!$A$2:$A$127, 0))*INDEX(Unit_Grades!$B$2:$B$7, MATCH(F495, Unit_Grades!$A$2:$A$7, 0))*INDEX(Unit_Paths!$B$2:$B$4, MATCH(E495, Unit_Paths!$A$2:$A$4, 0)),1)</f>
        <v>71.3</v>
      </c>
      <c r="I495" s="6" t="n">
        <f aca="false">ROUND(INDEX(Archetypes!$F$2:$F$127, MATCH(D495, Archetypes!$A$2:$A$127, 0))*INDEX(Unit_Grades!$B$2:$B$7, MATCH(F495, Unit_Grades!$A$2:$A$7, 0))*INDEX(Unit_Paths!$C$2:$C$4, MATCH(E495, Unit_Paths!$A$2:$A$4, 0)),1)</f>
        <v>9.2</v>
      </c>
      <c r="J495" s="6" t="n">
        <f aca="false">ROUND(INDEX(Archetypes!$G$2:$G$127, MATCH(D495, Archetypes!$A$2:$A$127, 0))*INDEX(Unit_Grades!$B$2:$B$7, MATCH(F495, Unit_Grades!$A$2:$A$7, 0))*INDEX(Unit_Paths!$D$2:$D$4, MATCH(E495, Unit_Paths!$A$2:$A$4, 0)),0)</f>
        <v>115</v>
      </c>
      <c r="K495" s="6" t="n">
        <f aca="false">ROUND(INDEX(Archetypes!$H$2:$H$127, MATCH(D495, Archetypes!$A$2:$A$127, 0))*INDEX(Unit_Paths!$E$2:$E$4, MATCH(E495, Unit_Paths!$A$2:$A$4, 0)),1)</f>
        <v>7.4</v>
      </c>
      <c r="L495" s="6" t="n">
        <f aca="false">ROUND(INDEX(Archetypes!$I$2:$I$127, MATCH(D495, Archetypes!$A$2:$A$127, 0))*INDEX(Unit_Grades!$C$2:$C$7, MATCH(F495, Unit_Grades!$A$2:$A$7, 0)),1)</f>
        <v>8.8</v>
      </c>
      <c r="M495" s="6" t="n">
        <f aca="false">ROUND(INDEX(Archetypes!$J$2:$J$127, MATCH(D495, Archetypes!$A$2:$A$127, 0))*INDEX(Unit_Grades!$D$2:$D$7, MATCH(F495, Unit_Grades!$A$2:$A$7, 0)),1)</f>
        <v>4.3</v>
      </c>
      <c r="N495" s="6" t="n">
        <f aca="false">ROUND(M495/24,2)</f>
        <v>0.18</v>
      </c>
    </row>
    <row r="496" customFormat="false" ht="15" hidden="false" customHeight="true" outlineLevel="0" collapsed="false">
      <c r="A496" s="6" t="n">
        <v>2</v>
      </c>
      <c r="B496" s="6" t="s">
        <v>2036</v>
      </c>
      <c r="C496" s="6" t="s">
        <v>1315</v>
      </c>
      <c r="D496" s="6" t="str">
        <f aca="false">A496&amp;"|"&amp;C496</f>
        <v>2|Catapult</v>
      </c>
      <c r="E496" s="6" t="s">
        <v>1558</v>
      </c>
      <c r="F496" s="6" t="s">
        <v>1542</v>
      </c>
      <c r="G496" s="6" t="str">
        <f aca="false">INDEX(Archetypes!$D$2:$D$127, MATCH(D496, Archetypes!$A$2:$A$127, 0))</f>
        <v>Siege</v>
      </c>
      <c r="H496" s="6" t="n">
        <f aca="false">ROUND(INDEX(Archetypes!$E$2:$E$127, MATCH(D496, Archetypes!$A$2:$A$127, 0))*INDEX(Unit_Grades!$B$2:$B$7, MATCH(F496, Unit_Grades!$A$2:$A$7, 0))*INDEX(Unit_Paths!$B$2:$B$4, MATCH(E496, Unit_Paths!$A$2:$A$4, 0)),1)</f>
        <v>95</v>
      </c>
      <c r="I496" s="6" t="n">
        <f aca="false">ROUND(INDEX(Archetypes!$F$2:$F$127, MATCH(D496, Archetypes!$A$2:$A$127, 0))*INDEX(Unit_Grades!$B$2:$B$7, MATCH(F496, Unit_Grades!$A$2:$A$7, 0))*INDEX(Unit_Paths!$C$2:$C$4, MATCH(E496, Unit_Paths!$A$2:$A$4, 0)),1)</f>
        <v>12.2</v>
      </c>
      <c r="J496" s="6" t="n">
        <f aca="false">ROUND(INDEX(Archetypes!$G$2:$G$127, MATCH(D496, Archetypes!$A$2:$A$127, 0))*INDEX(Unit_Grades!$B$2:$B$7, MATCH(F496, Unit_Grades!$A$2:$A$7, 0))*INDEX(Unit_Paths!$D$2:$D$4, MATCH(E496, Unit_Paths!$A$2:$A$4, 0)),0)</f>
        <v>154</v>
      </c>
      <c r="K496" s="6" t="n">
        <f aca="false">ROUND(INDEX(Archetypes!$H$2:$H$127, MATCH(D496, Archetypes!$A$2:$A$127, 0))*INDEX(Unit_Paths!$E$2:$E$4, MATCH(E496, Unit_Paths!$A$2:$A$4, 0)),1)</f>
        <v>7.4</v>
      </c>
      <c r="L496" s="6" t="n">
        <f aca="false">ROUND(INDEX(Archetypes!$I$2:$I$127, MATCH(D496, Archetypes!$A$2:$A$127, 0))*INDEX(Unit_Grades!$C$2:$C$7, MATCH(F496, Unit_Grades!$A$2:$A$7, 0)),1)</f>
        <v>11.2</v>
      </c>
      <c r="M496" s="6" t="n">
        <f aca="false">ROUND(INDEX(Archetypes!$J$2:$J$127, MATCH(D496, Archetypes!$A$2:$A$127, 0))*INDEX(Unit_Grades!$D$2:$D$7, MATCH(F496, Unit_Grades!$A$2:$A$7, 0)),1)</f>
        <v>7.1</v>
      </c>
      <c r="N496" s="6" t="n">
        <f aca="false">ROUND(M496/24,2)</f>
        <v>0.3</v>
      </c>
    </row>
    <row r="497" customFormat="false" ht="15" hidden="false" customHeight="true" outlineLevel="0" collapsed="false">
      <c r="A497" s="6" t="n">
        <v>2</v>
      </c>
      <c r="B497" s="6" t="s">
        <v>2037</v>
      </c>
      <c r="C497" s="6" t="s">
        <v>1315</v>
      </c>
      <c r="D497" s="6" t="str">
        <f aca="false">A497&amp;"|"&amp;C497</f>
        <v>2|Catapult</v>
      </c>
      <c r="E497" s="6" t="s">
        <v>1558</v>
      </c>
      <c r="F497" s="6" t="s">
        <v>1544</v>
      </c>
      <c r="G497" s="6" t="str">
        <f aca="false">INDEX(Archetypes!$D$2:$D$127, MATCH(D497, Archetypes!$A$2:$A$127, 0))</f>
        <v>Siege</v>
      </c>
      <c r="H497" s="6" t="n">
        <f aca="false">ROUND(INDEX(Archetypes!$E$2:$E$127, MATCH(D497, Archetypes!$A$2:$A$127, 0))*INDEX(Unit_Grades!$B$2:$B$7, MATCH(F497, Unit_Grades!$A$2:$A$7, 0))*INDEX(Unit_Paths!$B$2:$B$4, MATCH(E497, Unit_Paths!$A$2:$A$4, 0)),1)</f>
        <v>126.7</v>
      </c>
      <c r="I497" s="6" t="n">
        <f aca="false">ROUND(INDEX(Archetypes!$F$2:$F$127, MATCH(D497, Archetypes!$A$2:$A$127, 0))*INDEX(Unit_Grades!$B$2:$B$7, MATCH(F497, Unit_Grades!$A$2:$A$7, 0))*INDEX(Unit_Paths!$C$2:$C$4, MATCH(E497, Unit_Paths!$A$2:$A$4, 0)),1)</f>
        <v>16.3</v>
      </c>
      <c r="J497" s="6" t="n">
        <f aca="false">ROUND(INDEX(Archetypes!$G$2:$G$127, MATCH(D497, Archetypes!$A$2:$A$127, 0))*INDEX(Unit_Grades!$B$2:$B$7, MATCH(F497, Unit_Grades!$A$2:$A$7, 0))*INDEX(Unit_Paths!$D$2:$D$4, MATCH(E497, Unit_Paths!$A$2:$A$4, 0)),0)</f>
        <v>205</v>
      </c>
      <c r="K497" s="6" t="n">
        <f aca="false">ROUND(INDEX(Archetypes!$H$2:$H$127, MATCH(D497, Archetypes!$A$2:$A$127, 0))*INDEX(Unit_Paths!$E$2:$E$4, MATCH(E497, Unit_Paths!$A$2:$A$4, 0)),1)</f>
        <v>7.4</v>
      </c>
      <c r="L497" s="6" t="n">
        <f aca="false">ROUND(INDEX(Archetypes!$I$2:$I$127, MATCH(D497, Archetypes!$A$2:$A$127, 0))*INDEX(Unit_Grades!$C$2:$C$7, MATCH(F497, Unit_Grades!$A$2:$A$7, 0)),1)</f>
        <v>14.7</v>
      </c>
      <c r="M497" s="6" t="n">
        <f aca="false">ROUND(INDEX(Archetypes!$J$2:$J$127, MATCH(D497, Archetypes!$A$2:$A$127, 0))*INDEX(Unit_Grades!$D$2:$D$7, MATCH(F497, Unit_Grades!$A$2:$A$7, 0)),1)</f>
        <v>11.4</v>
      </c>
      <c r="N497" s="6" t="n">
        <f aca="false">ROUND(M497/24,2)</f>
        <v>0.48</v>
      </c>
    </row>
    <row r="498" customFormat="false" ht="15" hidden="false" customHeight="true" outlineLevel="0" collapsed="false">
      <c r="A498" s="6" t="n">
        <v>2</v>
      </c>
      <c r="B498" s="6" t="s">
        <v>2038</v>
      </c>
      <c r="C498" s="6" t="s">
        <v>1315</v>
      </c>
      <c r="D498" s="6" t="str">
        <f aca="false">A498&amp;"|"&amp;C498</f>
        <v>2|Catapult</v>
      </c>
      <c r="E498" s="6" t="s">
        <v>1558</v>
      </c>
      <c r="F498" s="6" t="s">
        <v>1546</v>
      </c>
      <c r="G498" s="6" t="str">
        <f aca="false">INDEX(Archetypes!$D$2:$D$127, MATCH(D498, Archetypes!$A$2:$A$127, 0))</f>
        <v>Siege</v>
      </c>
      <c r="H498" s="6" t="n">
        <f aca="false">ROUND(INDEX(Archetypes!$E$2:$E$127, MATCH(D498, Archetypes!$A$2:$A$127, 0))*INDEX(Unit_Grades!$B$2:$B$7, MATCH(F498, Unit_Grades!$A$2:$A$7, 0))*INDEX(Unit_Paths!$B$2:$B$4, MATCH(E498, Unit_Paths!$A$2:$A$4, 0)),1)</f>
        <v>169</v>
      </c>
      <c r="I498" s="6" t="n">
        <f aca="false">ROUND(INDEX(Archetypes!$F$2:$F$127, MATCH(D498, Archetypes!$A$2:$A$127, 0))*INDEX(Unit_Grades!$B$2:$B$7, MATCH(F498, Unit_Grades!$A$2:$A$7, 0))*INDEX(Unit_Paths!$C$2:$C$4, MATCH(E498, Unit_Paths!$A$2:$A$4, 0)),1)</f>
        <v>21.8</v>
      </c>
      <c r="J498" s="6" t="n">
        <f aca="false">ROUND(INDEX(Archetypes!$G$2:$G$127, MATCH(D498, Archetypes!$A$2:$A$127, 0))*INDEX(Unit_Grades!$B$2:$B$7, MATCH(F498, Unit_Grades!$A$2:$A$7, 0))*INDEX(Unit_Paths!$D$2:$D$4, MATCH(E498, Unit_Paths!$A$2:$A$4, 0)),0)</f>
        <v>274</v>
      </c>
      <c r="K498" s="6" t="n">
        <f aca="false">ROUND(INDEX(Archetypes!$H$2:$H$127, MATCH(D498, Archetypes!$A$2:$A$127, 0))*INDEX(Unit_Paths!$E$2:$E$4, MATCH(E498, Unit_Paths!$A$2:$A$4, 0)),1)</f>
        <v>7.4</v>
      </c>
      <c r="L498" s="6" t="n">
        <f aca="false">ROUND(INDEX(Archetypes!$I$2:$I$127, MATCH(D498, Archetypes!$A$2:$A$127, 0))*INDEX(Unit_Grades!$C$2:$C$7, MATCH(F498, Unit_Grades!$A$2:$A$7, 0)),1)</f>
        <v>19.6</v>
      </c>
      <c r="M498" s="6" t="n">
        <f aca="false">ROUND(INDEX(Archetypes!$J$2:$J$127, MATCH(D498, Archetypes!$A$2:$A$127, 0))*INDEX(Unit_Grades!$D$2:$D$7, MATCH(F498, Unit_Grades!$A$2:$A$7, 0)),1)</f>
        <v>19.9</v>
      </c>
      <c r="N498" s="6" t="n">
        <f aca="false">ROUND(M498/24,2)</f>
        <v>0.83</v>
      </c>
    </row>
    <row r="499" customFormat="false" ht="15" hidden="false" customHeight="true" outlineLevel="0" collapsed="false">
      <c r="A499" s="6" t="n">
        <v>2</v>
      </c>
      <c r="B499" s="6" t="s">
        <v>2039</v>
      </c>
      <c r="C499" s="6" t="s">
        <v>1315</v>
      </c>
      <c r="D499" s="6" t="str">
        <f aca="false">A499&amp;"|"&amp;C499</f>
        <v>2|Catapult</v>
      </c>
      <c r="E499" s="6" t="s">
        <v>1558</v>
      </c>
      <c r="F499" s="6" t="s">
        <v>1548</v>
      </c>
      <c r="G499" s="6" t="str">
        <f aca="false">INDEX(Archetypes!$D$2:$D$127, MATCH(D499, Archetypes!$A$2:$A$127, 0))</f>
        <v>Siege</v>
      </c>
      <c r="H499" s="6" t="n">
        <f aca="false">ROUND(INDEX(Archetypes!$E$2:$E$127, MATCH(D499, Archetypes!$A$2:$A$127, 0))*INDEX(Unit_Grades!$B$2:$B$7, MATCH(F499, Unit_Grades!$A$2:$A$7, 0))*INDEX(Unit_Paths!$B$2:$B$4, MATCH(E499, Unit_Paths!$A$2:$A$4, 0)),1)</f>
        <v>221.8</v>
      </c>
      <c r="I499" s="6" t="n">
        <f aca="false">ROUND(INDEX(Archetypes!$F$2:$F$127, MATCH(D499, Archetypes!$A$2:$A$127, 0))*INDEX(Unit_Grades!$B$2:$B$7, MATCH(F499, Unit_Grades!$A$2:$A$7, 0))*INDEX(Unit_Paths!$C$2:$C$4, MATCH(E499, Unit_Paths!$A$2:$A$4, 0)),1)</f>
        <v>28.6</v>
      </c>
      <c r="J499" s="6" t="n">
        <f aca="false">ROUND(INDEX(Archetypes!$G$2:$G$127, MATCH(D499, Archetypes!$A$2:$A$127, 0))*INDEX(Unit_Grades!$B$2:$B$7, MATCH(F499, Unit_Grades!$A$2:$A$7, 0))*INDEX(Unit_Paths!$D$2:$D$4, MATCH(E499, Unit_Paths!$A$2:$A$4, 0)),0)</f>
        <v>359</v>
      </c>
      <c r="K499" s="6" t="n">
        <f aca="false">ROUND(INDEX(Archetypes!$H$2:$H$127, MATCH(D499, Archetypes!$A$2:$A$127, 0))*INDEX(Unit_Paths!$E$2:$E$4, MATCH(E499, Unit_Paths!$A$2:$A$4, 0)),1)</f>
        <v>7.4</v>
      </c>
      <c r="L499" s="6" t="n">
        <f aca="false">ROUND(INDEX(Archetypes!$I$2:$I$127, MATCH(D499, Archetypes!$A$2:$A$127, 0))*INDEX(Unit_Grades!$C$2:$C$7, MATCH(F499, Unit_Grades!$A$2:$A$7, 0)),1)</f>
        <v>25.9</v>
      </c>
      <c r="M499" s="6" t="n">
        <f aca="false">ROUND(INDEX(Archetypes!$J$2:$J$127, MATCH(D499, Archetypes!$A$2:$A$127, 0))*INDEX(Unit_Grades!$D$2:$D$7, MATCH(F499, Unit_Grades!$A$2:$A$7, 0)),1)</f>
        <v>34.1</v>
      </c>
      <c r="N499" s="6" t="n">
        <f aca="false">ROUND(M499/24,2)</f>
        <v>1.42</v>
      </c>
    </row>
    <row r="500" customFormat="false" ht="15" hidden="false" customHeight="true" outlineLevel="0" collapsed="false">
      <c r="A500" s="6" t="n">
        <v>2</v>
      </c>
      <c r="B500" s="6" t="s">
        <v>2040</v>
      </c>
      <c r="C500" s="6" t="s">
        <v>1315</v>
      </c>
      <c r="D500" s="6" t="str">
        <f aca="false">A500&amp;"|"&amp;C500</f>
        <v>2|Catapult</v>
      </c>
      <c r="E500" s="6" t="s">
        <v>1560</v>
      </c>
      <c r="F500" s="6" t="s">
        <v>1538</v>
      </c>
      <c r="G500" s="6" t="str">
        <f aca="false">INDEX(Archetypes!$D$2:$D$127, MATCH(D500, Archetypes!$A$2:$A$127, 0))</f>
        <v>Siege</v>
      </c>
      <c r="H500" s="6" t="n">
        <f aca="false">ROUND(INDEX(Archetypes!$E$2:$E$127, MATCH(D500, Archetypes!$A$2:$A$127, 0))*INDEX(Unit_Grades!$B$2:$B$7, MATCH(F500, Unit_Grades!$A$2:$A$7, 0))*INDEX(Unit_Paths!$B$2:$B$4, MATCH(E500, Unit_Paths!$A$2:$A$4, 0)),1)</f>
        <v>37.4</v>
      </c>
      <c r="I500" s="6" t="n">
        <f aca="false">ROUND(INDEX(Archetypes!$F$2:$F$127, MATCH(D500, Archetypes!$A$2:$A$127, 0))*INDEX(Unit_Grades!$B$2:$B$7, MATCH(F500, Unit_Grades!$A$2:$A$7, 0))*INDEX(Unit_Paths!$C$2:$C$4, MATCH(E500, Unit_Paths!$A$2:$A$4, 0)),1)</f>
        <v>10</v>
      </c>
      <c r="J500" s="6" t="n">
        <f aca="false">ROUND(INDEX(Archetypes!$G$2:$G$127, MATCH(D500, Archetypes!$A$2:$A$127, 0))*INDEX(Unit_Grades!$B$2:$B$7, MATCH(F500, Unit_Grades!$A$2:$A$7, 0))*INDEX(Unit_Paths!$D$2:$D$4, MATCH(E500, Unit_Paths!$A$2:$A$4, 0)),0)</f>
        <v>103</v>
      </c>
      <c r="K500" s="6" t="n">
        <f aca="false">ROUND(INDEX(Archetypes!$H$2:$H$127, MATCH(D500, Archetypes!$A$2:$A$127, 0))*INDEX(Unit_Paths!$E$2:$E$4, MATCH(E500, Unit_Paths!$A$2:$A$4, 0)),1)</f>
        <v>6.4</v>
      </c>
      <c r="L500" s="6" t="n">
        <f aca="false">ROUND(INDEX(Archetypes!$I$2:$I$127, MATCH(D500, Archetypes!$A$2:$A$127, 0))*INDEX(Unit_Grades!$C$2:$C$7, MATCH(F500, Unit_Grades!$A$2:$A$7, 0)),1)</f>
        <v>7</v>
      </c>
      <c r="M500" s="6" t="n">
        <f aca="false">ROUND(INDEX(Archetypes!$J$2:$J$127, MATCH(D500, Archetypes!$A$2:$A$127, 0))*INDEX(Unit_Grades!$D$2:$D$7, MATCH(F500, Unit_Grades!$A$2:$A$7, 0)),1)</f>
        <v>2.8</v>
      </c>
      <c r="N500" s="6" t="n">
        <f aca="false">ROUND(M500/24,2)</f>
        <v>0.12</v>
      </c>
    </row>
    <row r="501" customFormat="false" ht="15" hidden="false" customHeight="true" outlineLevel="0" collapsed="false">
      <c r="A501" s="6" t="n">
        <v>2</v>
      </c>
      <c r="B501" s="6" t="s">
        <v>2041</v>
      </c>
      <c r="C501" s="6" t="s">
        <v>1315</v>
      </c>
      <c r="D501" s="6" t="str">
        <f aca="false">A501&amp;"|"&amp;C501</f>
        <v>2|Catapult</v>
      </c>
      <c r="E501" s="6" t="s">
        <v>1560</v>
      </c>
      <c r="F501" s="6" t="s">
        <v>1540</v>
      </c>
      <c r="G501" s="6" t="str">
        <f aca="false">INDEX(Archetypes!$D$2:$D$127, MATCH(D501, Archetypes!$A$2:$A$127, 0))</f>
        <v>Siege</v>
      </c>
      <c r="H501" s="6" t="n">
        <f aca="false">ROUND(INDEX(Archetypes!$E$2:$E$127, MATCH(D501, Archetypes!$A$2:$A$127, 0))*INDEX(Unit_Grades!$B$2:$B$7, MATCH(F501, Unit_Grades!$A$2:$A$7, 0))*INDEX(Unit_Paths!$B$2:$B$4, MATCH(E501, Unit_Paths!$A$2:$A$4, 0)),1)</f>
        <v>50.5</v>
      </c>
      <c r="I501" s="6" t="n">
        <f aca="false">ROUND(INDEX(Archetypes!$F$2:$F$127, MATCH(D501, Archetypes!$A$2:$A$127, 0))*INDEX(Unit_Grades!$B$2:$B$7, MATCH(F501, Unit_Grades!$A$2:$A$7, 0))*INDEX(Unit_Paths!$C$2:$C$4, MATCH(E501, Unit_Paths!$A$2:$A$4, 0)),1)</f>
        <v>13.5</v>
      </c>
      <c r="J501" s="6" t="n">
        <f aca="false">ROUND(INDEX(Archetypes!$G$2:$G$127, MATCH(D501, Archetypes!$A$2:$A$127, 0))*INDEX(Unit_Grades!$B$2:$B$7, MATCH(F501, Unit_Grades!$A$2:$A$7, 0))*INDEX(Unit_Paths!$D$2:$D$4, MATCH(E501, Unit_Paths!$A$2:$A$4, 0)),0)</f>
        <v>140</v>
      </c>
      <c r="K501" s="6" t="n">
        <f aca="false">ROUND(INDEX(Archetypes!$H$2:$H$127, MATCH(D501, Archetypes!$A$2:$A$127, 0))*INDEX(Unit_Paths!$E$2:$E$4, MATCH(E501, Unit_Paths!$A$2:$A$4, 0)),1)</f>
        <v>6.4</v>
      </c>
      <c r="L501" s="6" t="n">
        <f aca="false">ROUND(INDEX(Archetypes!$I$2:$I$127, MATCH(D501, Archetypes!$A$2:$A$127, 0))*INDEX(Unit_Grades!$C$2:$C$7, MATCH(F501, Unit_Grades!$A$2:$A$7, 0)),1)</f>
        <v>8.8</v>
      </c>
      <c r="M501" s="6" t="n">
        <f aca="false">ROUND(INDEX(Archetypes!$J$2:$J$127, MATCH(D501, Archetypes!$A$2:$A$127, 0))*INDEX(Unit_Grades!$D$2:$D$7, MATCH(F501, Unit_Grades!$A$2:$A$7, 0)),1)</f>
        <v>4.3</v>
      </c>
      <c r="N501" s="6" t="n">
        <f aca="false">ROUND(M501/24,2)</f>
        <v>0.18</v>
      </c>
    </row>
    <row r="502" customFormat="false" ht="15" hidden="false" customHeight="true" outlineLevel="0" collapsed="false">
      <c r="A502" s="6" t="n">
        <v>2</v>
      </c>
      <c r="B502" s="6" t="s">
        <v>2042</v>
      </c>
      <c r="C502" s="6" t="s">
        <v>1315</v>
      </c>
      <c r="D502" s="6" t="str">
        <f aca="false">A502&amp;"|"&amp;C502</f>
        <v>2|Catapult</v>
      </c>
      <c r="E502" s="6" t="s">
        <v>1560</v>
      </c>
      <c r="F502" s="6" t="s">
        <v>1542</v>
      </c>
      <c r="G502" s="6" t="str">
        <f aca="false">INDEX(Archetypes!$D$2:$D$127, MATCH(D502, Archetypes!$A$2:$A$127, 0))</f>
        <v>Siege</v>
      </c>
      <c r="H502" s="6" t="n">
        <f aca="false">ROUND(INDEX(Archetypes!$E$2:$E$127, MATCH(D502, Archetypes!$A$2:$A$127, 0))*INDEX(Unit_Grades!$B$2:$B$7, MATCH(F502, Unit_Grades!$A$2:$A$7, 0))*INDEX(Unit_Paths!$B$2:$B$4, MATCH(E502, Unit_Paths!$A$2:$A$4, 0)),1)</f>
        <v>67.3</v>
      </c>
      <c r="I502" s="6" t="n">
        <f aca="false">ROUND(INDEX(Archetypes!$F$2:$F$127, MATCH(D502, Archetypes!$A$2:$A$127, 0))*INDEX(Unit_Grades!$B$2:$B$7, MATCH(F502, Unit_Grades!$A$2:$A$7, 0))*INDEX(Unit_Paths!$C$2:$C$4, MATCH(E502, Unit_Paths!$A$2:$A$4, 0)),1)</f>
        <v>18</v>
      </c>
      <c r="J502" s="6" t="n">
        <f aca="false">ROUND(INDEX(Archetypes!$G$2:$G$127, MATCH(D502, Archetypes!$A$2:$A$127, 0))*INDEX(Unit_Grades!$B$2:$B$7, MATCH(F502, Unit_Grades!$A$2:$A$7, 0))*INDEX(Unit_Paths!$D$2:$D$4, MATCH(E502, Unit_Paths!$A$2:$A$4, 0)),0)</f>
        <v>186</v>
      </c>
      <c r="K502" s="6" t="n">
        <f aca="false">ROUND(INDEX(Archetypes!$H$2:$H$127, MATCH(D502, Archetypes!$A$2:$A$127, 0))*INDEX(Unit_Paths!$E$2:$E$4, MATCH(E502, Unit_Paths!$A$2:$A$4, 0)),1)</f>
        <v>6.4</v>
      </c>
      <c r="L502" s="6" t="n">
        <f aca="false">ROUND(INDEX(Archetypes!$I$2:$I$127, MATCH(D502, Archetypes!$A$2:$A$127, 0))*INDEX(Unit_Grades!$C$2:$C$7, MATCH(F502, Unit_Grades!$A$2:$A$7, 0)),1)</f>
        <v>11.2</v>
      </c>
      <c r="M502" s="6" t="n">
        <f aca="false">ROUND(INDEX(Archetypes!$J$2:$J$127, MATCH(D502, Archetypes!$A$2:$A$127, 0))*INDEX(Unit_Grades!$D$2:$D$7, MATCH(F502, Unit_Grades!$A$2:$A$7, 0)),1)</f>
        <v>7.1</v>
      </c>
      <c r="N502" s="6" t="n">
        <f aca="false">ROUND(M502/24,2)</f>
        <v>0.3</v>
      </c>
    </row>
    <row r="503" customFormat="false" ht="15" hidden="false" customHeight="true" outlineLevel="0" collapsed="false">
      <c r="A503" s="6" t="n">
        <v>2</v>
      </c>
      <c r="B503" s="6" t="s">
        <v>2043</v>
      </c>
      <c r="C503" s="6" t="s">
        <v>1315</v>
      </c>
      <c r="D503" s="6" t="str">
        <f aca="false">A503&amp;"|"&amp;C503</f>
        <v>2|Catapult</v>
      </c>
      <c r="E503" s="6" t="s">
        <v>1560</v>
      </c>
      <c r="F503" s="6" t="s">
        <v>1544</v>
      </c>
      <c r="G503" s="6" t="str">
        <f aca="false">INDEX(Archetypes!$D$2:$D$127, MATCH(D503, Archetypes!$A$2:$A$127, 0))</f>
        <v>Siege</v>
      </c>
      <c r="H503" s="6" t="n">
        <f aca="false">ROUND(INDEX(Archetypes!$E$2:$E$127, MATCH(D503, Archetypes!$A$2:$A$127, 0))*INDEX(Unit_Grades!$B$2:$B$7, MATCH(F503, Unit_Grades!$A$2:$A$7, 0))*INDEX(Unit_Paths!$B$2:$B$4, MATCH(E503, Unit_Paths!$A$2:$A$4, 0)),1)</f>
        <v>89.8</v>
      </c>
      <c r="I503" s="6" t="n">
        <f aca="false">ROUND(INDEX(Archetypes!$F$2:$F$127, MATCH(D503, Archetypes!$A$2:$A$127, 0))*INDEX(Unit_Grades!$B$2:$B$7, MATCH(F503, Unit_Grades!$A$2:$A$7, 0))*INDEX(Unit_Paths!$C$2:$C$4, MATCH(E503, Unit_Paths!$A$2:$A$4, 0)),1)</f>
        <v>24</v>
      </c>
      <c r="J503" s="6" t="n">
        <f aca="false">ROUND(INDEX(Archetypes!$G$2:$G$127, MATCH(D503, Archetypes!$A$2:$A$127, 0))*INDEX(Unit_Grades!$B$2:$B$7, MATCH(F503, Unit_Grades!$A$2:$A$7, 0))*INDEX(Unit_Paths!$D$2:$D$4, MATCH(E503, Unit_Paths!$A$2:$A$4, 0)),0)</f>
        <v>248</v>
      </c>
      <c r="K503" s="6" t="n">
        <f aca="false">ROUND(INDEX(Archetypes!$H$2:$H$127, MATCH(D503, Archetypes!$A$2:$A$127, 0))*INDEX(Unit_Paths!$E$2:$E$4, MATCH(E503, Unit_Paths!$A$2:$A$4, 0)),1)</f>
        <v>6.4</v>
      </c>
      <c r="L503" s="6" t="n">
        <f aca="false">ROUND(INDEX(Archetypes!$I$2:$I$127, MATCH(D503, Archetypes!$A$2:$A$127, 0))*INDEX(Unit_Grades!$C$2:$C$7, MATCH(F503, Unit_Grades!$A$2:$A$7, 0)),1)</f>
        <v>14.7</v>
      </c>
      <c r="M503" s="6" t="n">
        <f aca="false">ROUND(INDEX(Archetypes!$J$2:$J$127, MATCH(D503, Archetypes!$A$2:$A$127, 0))*INDEX(Unit_Grades!$D$2:$D$7, MATCH(F503, Unit_Grades!$A$2:$A$7, 0)),1)</f>
        <v>11.4</v>
      </c>
      <c r="N503" s="6" t="n">
        <f aca="false">ROUND(M503/24,2)</f>
        <v>0.48</v>
      </c>
    </row>
    <row r="504" customFormat="false" ht="15" hidden="false" customHeight="true" outlineLevel="0" collapsed="false">
      <c r="A504" s="6" t="n">
        <v>2</v>
      </c>
      <c r="B504" s="6" t="s">
        <v>2044</v>
      </c>
      <c r="C504" s="6" t="s">
        <v>1315</v>
      </c>
      <c r="D504" s="6" t="str">
        <f aca="false">A504&amp;"|"&amp;C504</f>
        <v>2|Catapult</v>
      </c>
      <c r="E504" s="6" t="s">
        <v>1560</v>
      </c>
      <c r="F504" s="6" t="s">
        <v>1546</v>
      </c>
      <c r="G504" s="6" t="str">
        <f aca="false">INDEX(Archetypes!$D$2:$D$127, MATCH(D504, Archetypes!$A$2:$A$127, 0))</f>
        <v>Siege</v>
      </c>
      <c r="H504" s="6" t="n">
        <f aca="false">ROUND(INDEX(Archetypes!$E$2:$E$127, MATCH(D504, Archetypes!$A$2:$A$127, 0))*INDEX(Unit_Grades!$B$2:$B$7, MATCH(F504, Unit_Grades!$A$2:$A$7, 0))*INDEX(Unit_Paths!$B$2:$B$4, MATCH(E504, Unit_Paths!$A$2:$A$4, 0)),1)</f>
        <v>119.7</v>
      </c>
      <c r="I504" s="6" t="n">
        <f aca="false">ROUND(INDEX(Archetypes!$F$2:$F$127, MATCH(D504, Archetypes!$A$2:$A$127, 0))*INDEX(Unit_Grades!$B$2:$B$7, MATCH(F504, Unit_Grades!$A$2:$A$7, 0))*INDEX(Unit_Paths!$C$2:$C$4, MATCH(E504, Unit_Paths!$A$2:$A$4, 0)),1)</f>
        <v>32</v>
      </c>
      <c r="J504" s="6" t="n">
        <f aca="false">ROUND(INDEX(Archetypes!$G$2:$G$127, MATCH(D504, Archetypes!$A$2:$A$127, 0))*INDEX(Unit_Grades!$B$2:$B$7, MATCH(F504, Unit_Grades!$A$2:$A$7, 0))*INDEX(Unit_Paths!$D$2:$D$4, MATCH(E504, Unit_Paths!$A$2:$A$4, 0)),0)</f>
        <v>331</v>
      </c>
      <c r="K504" s="6" t="n">
        <f aca="false">ROUND(INDEX(Archetypes!$H$2:$H$127, MATCH(D504, Archetypes!$A$2:$A$127, 0))*INDEX(Unit_Paths!$E$2:$E$4, MATCH(E504, Unit_Paths!$A$2:$A$4, 0)),1)</f>
        <v>6.4</v>
      </c>
      <c r="L504" s="6" t="n">
        <f aca="false">ROUND(INDEX(Archetypes!$I$2:$I$127, MATCH(D504, Archetypes!$A$2:$A$127, 0))*INDEX(Unit_Grades!$C$2:$C$7, MATCH(F504, Unit_Grades!$A$2:$A$7, 0)),1)</f>
        <v>19.6</v>
      </c>
      <c r="M504" s="6" t="n">
        <f aca="false">ROUND(INDEX(Archetypes!$J$2:$J$127, MATCH(D504, Archetypes!$A$2:$A$127, 0))*INDEX(Unit_Grades!$D$2:$D$7, MATCH(F504, Unit_Grades!$A$2:$A$7, 0)),1)</f>
        <v>19.9</v>
      </c>
      <c r="N504" s="6" t="n">
        <f aca="false">ROUND(M504/24,2)</f>
        <v>0.83</v>
      </c>
    </row>
    <row r="505" customFormat="false" ht="15" hidden="false" customHeight="true" outlineLevel="0" collapsed="false">
      <c r="A505" s="6" t="n">
        <v>2</v>
      </c>
      <c r="B505" s="6" t="s">
        <v>2045</v>
      </c>
      <c r="C505" s="6" t="s">
        <v>1315</v>
      </c>
      <c r="D505" s="6" t="str">
        <f aca="false">A505&amp;"|"&amp;C505</f>
        <v>2|Catapult</v>
      </c>
      <c r="E505" s="6" t="s">
        <v>1560</v>
      </c>
      <c r="F505" s="6" t="s">
        <v>1548</v>
      </c>
      <c r="G505" s="6" t="str">
        <f aca="false">INDEX(Archetypes!$D$2:$D$127, MATCH(D505, Archetypes!$A$2:$A$127, 0))</f>
        <v>Siege</v>
      </c>
      <c r="H505" s="6" t="n">
        <f aca="false">ROUND(INDEX(Archetypes!$E$2:$E$127, MATCH(D505, Archetypes!$A$2:$A$127, 0))*INDEX(Unit_Grades!$B$2:$B$7, MATCH(F505, Unit_Grades!$A$2:$A$7, 0))*INDEX(Unit_Paths!$B$2:$B$4, MATCH(E505, Unit_Paths!$A$2:$A$4, 0)),1)</f>
        <v>157.1</v>
      </c>
      <c r="I505" s="6" t="n">
        <f aca="false">ROUND(INDEX(Archetypes!$F$2:$F$127, MATCH(D505, Archetypes!$A$2:$A$127, 0))*INDEX(Unit_Grades!$B$2:$B$7, MATCH(F505, Unit_Grades!$A$2:$A$7, 0))*INDEX(Unit_Paths!$C$2:$C$4, MATCH(E505, Unit_Paths!$A$2:$A$4, 0)),1)</f>
        <v>42</v>
      </c>
      <c r="J505" s="6" t="n">
        <f aca="false">ROUND(INDEX(Archetypes!$G$2:$G$127, MATCH(D505, Archetypes!$A$2:$A$127, 0))*INDEX(Unit_Grades!$B$2:$B$7, MATCH(F505, Unit_Grades!$A$2:$A$7, 0))*INDEX(Unit_Paths!$D$2:$D$4, MATCH(E505, Unit_Paths!$A$2:$A$4, 0)),0)</f>
        <v>435</v>
      </c>
      <c r="K505" s="6" t="n">
        <f aca="false">ROUND(INDEX(Archetypes!$H$2:$H$127, MATCH(D505, Archetypes!$A$2:$A$127, 0))*INDEX(Unit_Paths!$E$2:$E$4, MATCH(E505, Unit_Paths!$A$2:$A$4, 0)),1)</f>
        <v>6.4</v>
      </c>
      <c r="L505" s="6" t="n">
        <f aca="false">ROUND(INDEX(Archetypes!$I$2:$I$127, MATCH(D505, Archetypes!$A$2:$A$127, 0))*INDEX(Unit_Grades!$C$2:$C$7, MATCH(F505, Unit_Grades!$A$2:$A$7, 0)),1)</f>
        <v>25.9</v>
      </c>
      <c r="M505" s="6" t="n">
        <f aca="false">ROUND(INDEX(Archetypes!$J$2:$J$127, MATCH(D505, Archetypes!$A$2:$A$127, 0))*INDEX(Unit_Grades!$D$2:$D$7, MATCH(F505, Unit_Grades!$A$2:$A$7, 0)),1)</f>
        <v>34.1</v>
      </c>
      <c r="N505" s="6" t="n">
        <f aca="false">ROUND(M505/24,2)</f>
        <v>1.42</v>
      </c>
    </row>
    <row r="506" customFormat="false" ht="15" hidden="false" customHeight="true" outlineLevel="0" collapsed="false">
      <c r="A506" s="6" t="n">
        <v>2</v>
      </c>
      <c r="B506" s="6" t="s">
        <v>1317</v>
      </c>
      <c r="C506" s="6" t="s">
        <v>1317</v>
      </c>
      <c r="D506" s="6" t="str">
        <f aca="false">A506&amp;"|"&amp;C506</f>
        <v>2|Trebuchet</v>
      </c>
      <c r="E506" s="6" t="s">
        <v>1556</v>
      </c>
      <c r="F506" s="6" t="s">
        <v>1538</v>
      </c>
      <c r="G506" s="6" t="str">
        <f aca="false">INDEX(Archetypes!$D$2:$D$127, MATCH(D506, Archetypes!$A$2:$A$127, 0))</f>
        <v>Siege</v>
      </c>
      <c r="H506" s="6" t="n">
        <f aca="false">ROUND(INDEX(Archetypes!$E$2:$E$127, MATCH(D506, Archetypes!$A$2:$A$127, 0))*INDEX(Unit_Grades!$B$2:$B$7, MATCH(F506, Unit_Grades!$A$2:$A$7, 0))*INDEX(Unit_Paths!$B$2:$B$4, MATCH(E506, Unit_Paths!$A$2:$A$4, 0)),1)</f>
        <v>60</v>
      </c>
      <c r="I506" s="6" t="n">
        <f aca="false">ROUND(INDEX(Archetypes!$F$2:$F$127, MATCH(D506, Archetypes!$A$2:$A$127, 0))*INDEX(Unit_Grades!$B$2:$B$7, MATCH(F506, Unit_Grades!$A$2:$A$7, 0))*INDEX(Unit_Paths!$C$2:$C$4, MATCH(E506, Unit_Paths!$A$2:$A$4, 0)),1)</f>
        <v>8</v>
      </c>
      <c r="J506" s="6" t="n">
        <f aca="false">ROUND(INDEX(Archetypes!$G$2:$G$127, MATCH(D506, Archetypes!$A$2:$A$127, 0))*INDEX(Unit_Grades!$B$2:$B$7, MATCH(F506, Unit_Grades!$A$2:$A$7, 0))*INDEX(Unit_Paths!$D$2:$D$4, MATCH(E506, Unit_Paths!$A$2:$A$4, 0)),0)</f>
        <v>100</v>
      </c>
      <c r="K506" s="6" t="n">
        <f aca="false">ROUND(INDEX(Archetypes!$H$2:$H$127, MATCH(D506, Archetypes!$A$2:$A$127, 0))*INDEX(Unit_Paths!$E$2:$E$4, MATCH(E506, Unit_Paths!$A$2:$A$4, 0)),1)</f>
        <v>6</v>
      </c>
      <c r="L506" s="6" t="n">
        <f aca="false">ROUND(INDEX(Archetypes!$I$2:$I$127, MATCH(D506, Archetypes!$A$2:$A$127, 0))*INDEX(Unit_Grades!$C$2:$C$7, MATCH(F506, Unit_Grades!$A$2:$A$7, 0)),1)</f>
        <v>9</v>
      </c>
      <c r="M506" s="6" t="n">
        <f aca="false">ROUND(INDEX(Archetypes!$J$2:$J$127, MATCH(D506, Archetypes!$A$2:$A$127, 0))*INDEX(Unit_Grades!$D$2:$D$7, MATCH(F506, Unit_Grades!$A$2:$A$7, 0)),1)</f>
        <v>3.7</v>
      </c>
      <c r="N506" s="6" t="n">
        <f aca="false">ROUND(M506/24,2)</f>
        <v>0.15</v>
      </c>
    </row>
    <row r="507" customFormat="false" ht="15" hidden="false" customHeight="true" outlineLevel="0" collapsed="false">
      <c r="A507" s="6" t="n">
        <v>2</v>
      </c>
      <c r="B507" s="6" t="s">
        <v>2046</v>
      </c>
      <c r="C507" s="6" t="s">
        <v>1317</v>
      </c>
      <c r="D507" s="6" t="str">
        <f aca="false">A507&amp;"|"&amp;C507</f>
        <v>2|Trebuchet</v>
      </c>
      <c r="E507" s="6" t="s">
        <v>1556</v>
      </c>
      <c r="F507" s="6" t="s">
        <v>1540</v>
      </c>
      <c r="G507" s="6" t="str">
        <f aca="false">INDEX(Archetypes!$D$2:$D$127, MATCH(D507, Archetypes!$A$2:$A$127, 0))</f>
        <v>Siege</v>
      </c>
      <c r="H507" s="6" t="n">
        <f aca="false">ROUND(INDEX(Archetypes!$E$2:$E$127, MATCH(D507, Archetypes!$A$2:$A$127, 0))*INDEX(Unit_Grades!$B$2:$B$7, MATCH(F507, Unit_Grades!$A$2:$A$7, 0))*INDEX(Unit_Paths!$B$2:$B$4, MATCH(E507, Unit_Paths!$A$2:$A$4, 0)),1)</f>
        <v>81</v>
      </c>
      <c r="I507" s="6" t="n">
        <f aca="false">ROUND(INDEX(Archetypes!$F$2:$F$127, MATCH(D507, Archetypes!$A$2:$A$127, 0))*INDEX(Unit_Grades!$B$2:$B$7, MATCH(F507, Unit_Grades!$A$2:$A$7, 0))*INDEX(Unit_Paths!$C$2:$C$4, MATCH(E507, Unit_Paths!$A$2:$A$4, 0)),1)</f>
        <v>10.8</v>
      </c>
      <c r="J507" s="6" t="n">
        <f aca="false">ROUND(INDEX(Archetypes!$G$2:$G$127, MATCH(D507, Archetypes!$A$2:$A$127, 0))*INDEX(Unit_Grades!$B$2:$B$7, MATCH(F507, Unit_Grades!$A$2:$A$7, 0))*INDEX(Unit_Paths!$D$2:$D$4, MATCH(E507, Unit_Paths!$A$2:$A$4, 0)),0)</f>
        <v>135</v>
      </c>
      <c r="K507" s="6" t="n">
        <f aca="false">ROUND(INDEX(Archetypes!$H$2:$H$127, MATCH(D507, Archetypes!$A$2:$A$127, 0))*INDEX(Unit_Paths!$E$2:$E$4, MATCH(E507, Unit_Paths!$A$2:$A$4, 0)),1)</f>
        <v>6</v>
      </c>
      <c r="L507" s="6" t="n">
        <f aca="false">ROUND(INDEX(Archetypes!$I$2:$I$127, MATCH(D507, Archetypes!$A$2:$A$127, 0))*INDEX(Unit_Grades!$C$2:$C$7, MATCH(F507, Unit_Grades!$A$2:$A$7, 0)),1)</f>
        <v>11.3</v>
      </c>
      <c r="M507" s="6" t="n">
        <f aca="false">ROUND(INDEX(Archetypes!$J$2:$J$127, MATCH(D507, Archetypes!$A$2:$A$127, 0))*INDEX(Unit_Grades!$D$2:$D$7, MATCH(F507, Unit_Grades!$A$2:$A$7, 0)),1)</f>
        <v>5.5</v>
      </c>
      <c r="N507" s="6" t="n">
        <f aca="false">ROUND(M507/24,2)</f>
        <v>0.23</v>
      </c>
    </row>
    <row r="508" customFormat="false" ht="15" hidden="false" customHeight="true" outlineLevel="0" collapsed="false">
      <c r="A508" s="6" t="n">
        <v>2</v>
      </c>
      <c r="B508" s="6" t="s">
        <v>2047</v>
      </c>
      <c r="C508" s="6" t="s">
        <v>1317</v>
      </c>
      <c r="D508" s="6" t="str">
        <f aca="false">A508&amp;"|"&amp;C508</f>
        <v>2|Trebuchet</v>
      </c>
      <c r="E508" s="6" t="s">
        <v>1556</v>
      </c>
      <c r="F508" s="6" t="s">
        <v>1542</v>
      </c>
      <c r="G508" s="6" t="str">
        <f aca="false">INDEX(Archetypes!$D$2:$D$127, MATCH(D508, Archetypes!$A$2:$A$127, 0))</f>
        <v>Siege</v>
      </c>
      <c r="H508" s="6" t="n">
        <f aca="false">ROUND(INDEX(Archetypes!$E$2:$E$127, MATCH(D508, Archetypes!$A$2:$A$127, 0))*INDEX(Unit_Grades!$B$2:$B$7, MATCH(F508, Unit_Grades!$A$2:$A$7, 0))*INDEX(Unit_Paths!$B$2:$B$4, MATCH(E508, Unit_Paths!$A$2:$A$4, 0)),1)</f>
        <v>108</v>
      </c>
      <c r="I508" s="6" t="n">
        <f aca="false">ROUND(INDEX(Archetypes!$F$2:$F$127, MATCH(D508, Archetypes!$A$2:$A$127, 0))*INDEX(Unit_Grades!$B$2:$B$7, MATCH(F508, Unit_Grades!$A$2:$A$7, 0))*INDEX(Unit_Paths!$C$2:$C$4, MATCH(E508, Unit_Paths!$A$2:$A$4, 0)),1)</f>
        <v>14.4</v>
      </c>
      <c r="J508" s="6" t="n">
        <f aca="false">ROUND(INDEX(Archetypes!$G$2:$G$127, MATCH(D508, Archetypes!$A$2:$A$127, 0))*INDEX(Unit_Grades!$B$2:$B$7, MATCH(F508, Unit_Grades!$A$2:$A$7, 0))*INDEX(Unit_Paths!$D$2:$D$4, MATCH(E508, Unit_Paths!$A$2:$A$4, 0)),0)</f>
        <v>180</v>
      </c>
      <c r="K508" s="6" t="n">
        <f aca="false">ROUND(INDEX(Archetypes!$H$2:$H$127, MATCH(D508, Archetypes!$A$2:$A$127, 0))*INDEX(Unit_Paths!$E$2:$E$4, MATCH(E508, Unit_Paths!$A$2:$A$4, 0)),1)</f>
        <v>6</v>
      </c>
      <c r="L508" s="6" t="n">
        <f aca="false">ROUND(INDEX(Archetypes!$I$2:$I$127, MATCH(D508, Archetypes!$A$2:$A$127, 0))*INDEX(Unit_Grades!$C$2:$C$7, MATCH(F508, Unit_Grades!$A$2:$A$7, 0)),1)</f>
        <v>14.4</v>
      </c>
      <c r="M508" s="6" t="n">
        <f aca="false">ROUND(INDEX(Archetypes!$J$2:$J$127, MATCH(D508, Archetypes!$A$2:$A$127, 0))*INDEX(Unit_Grades!$D$2:$D$7, MATCH(F508, Unit_Grades!$A$2:$A$7, 0)),1)</f>
        <v>9.1</v>
      </c>
      <c r="N508" s="6" t="n">
        <f aca="false">ROUND(M508/24,2)</f>
        <v>0.38</v>
      </c>
    </row>
    <row r="509" customFormat="false" ht="15" hidden="false" customHeight="true" outlineLevel="0" collapsed="false">
      <c r="A509" s="6" t="n">
        <v>2</v>
      </c>
      <c r="B509" s="6" t="s">
        <v>2048</v>
      </c>
      <c r="C509" s="6" t="s">
        <v>1317</v>
      </c>
      <c r="D509" s="6" t="str">
        <f aca="false">A509&amp;"|"&amp;C509</f>
        <v>2|Trebuchet</v>
      </c>
      <c r="E509" s="6" t="s">
        <v>1556</v>
      </c>
      <c r="F509" s="6" t="s">
        <v>1544</v>
      </c>
      <c r="G509" s="6" t="str">
        <f aca="false">INDEX(Archetypes!$D$2:$D$127, MATCH(D509, Archetypes!$A$2:$A$127, 0))</f>
        <v>Siege</v>
      </c>
      <c r="H509" s="6" t="n">
        <f aca="false">ROUND(INDEX(Archetypes!$E$2:$E$127, MATCH(D509, Archetypes!$A$2:$A$127, 0))*INDEX(Unit_Grades!$B$2:$B$7, MATCH(F509, Unit_Grades!$A$2:$A$7, 0))*INDEX(Unit_Paths!$B$2:$B$4, MATCH(E509, Unit_Paths!$A$2:$A$4, 0)),1)</f>
        <v>144</v>
      </c>
      <c r="I509" s="6" t="n">
        <f aca="false">ROUND(INDEX(Archetypes!$F$2:$F$127, MATCH(D509, Archetypes!$A$2:$A$127, 0))*INDEX(Unit_Grades!$B$2:$B$7, MATCH(F509, Unit_Grades!$A$2:$A$7, 0))*INDEX(Unit_Paths!$C$2:$C$4, MATCH(E509, Unit_Paths!$A$2:$A$4, 0)),1)</f>
        <v>19.2</v>
      </c>
      <c r="J509" s="6" t="n">
        <f aca="false">ROUND(INDEX(Archetypes!$G$2:$G$127, MATCH(D509, Archetypes!$A$2:$A$127, 0))*INDEX(Unit_Grades!$B$2:$B$7, MATCH(F509, Unit_Grades!$A$2:$A$7, 0))*INDEX(Unit_Paths!$D$2:$D$4, MATCH(E509, Unit_Paths!$A$2:$A$4, 0)),0)</f>
        <v>240</v>
      </c>
      <c r="K509" s="6" t="n">
        <f aca="false">ROUND(INDEX(Archetypes!$H$2:$H$127, MATCH(D509, Archetypes!$A$2:$A$127, 0))*INDEX(Unit_Paths!$E$2:$E$4, MATCH(E509, Unit_Paths!$A$2:$A$4, 0)),1)</f>
        <v>6</v>
      </c>
      <c r="L509" s="6" t="n">
        <f aca="false">ROUND(INDEX(Archetypes!$I$2:$I$127, MATCH(D509, Archetypes!$A$2:$A$127, 0))*INDEX(Unit_Grades!$C$2:$C$7, MATCH(F509, Unit_Grades!$A$2:$A$7, 0)),1)</f>
        <v>18.9</v>
      </c>
      <c r="M509" s="6" t="n">
        <f aca="false">ROUND(INDEX(Archetypes!$J$2:$J$127, MATCH(D509, Archetypes!$A$2:$A$127, 0))*INDEX(Unit_Grades!$D$2:$D$7, MATCH(F509, Unit_Grades!$A$2:$A$7, 0)),1)</f>
        <v>14.6</v>
      </c>
      <c r="N509" s="6" t="n">
        <f aca="false">ROUND(M509/24,2)</f>
        <v>0.61</v>
      </c>
    </row>
    <row r="510" customFormat="false" ht="15" hidden="false" customHeight="true" outlineLevel="0" collapsed="false">
      <c r="A510" s="6" t="n">
        <v>2</v>
      </c>
      <c r="B510" s="6" t="s">
        <v>2049</v>
      </c>
      <c r="C510" s="6" t="s">
        <v>1317</v>
      </c>
      <c r="D510" s="6" t="str">
        <f aca="false">A510&amp;"|"&amp;C510</f>
        <v>2|Trebuchet</v>
      </c>
      <c r="E510" s="6" t="s">
        <v>1556</v>
      </c>
      <c r="F510" s="6" t="s">
        <v>1546</v>
      </c>
      <c r="G510" s="6" t="str">
        <f aca="false">INDEX(Archetypes!$D$2:$D$127, MATCH(D510, Archetypes!$A$2:$A$127, 0))</f>
        <v>Siege</v>
      </c>
      <c r="H510" s="6" t="n">
        <f aca="false">ROUND(INDEX(Archetypes!$E$2:$E$127, MATCH(D510, Archetypes!$A$2:$A$127, 0))*INDEX(Unit_Grades!$B$2:$B$7, MATCH(F510, Unit_Grades!$A$2:$A$7, 0))*INDEX(Unit_Paths!$B$2:$B$4, MATCH(E510, Unit_Paths!$A$2:$A$4, 0)),1)</f>
        <v>192</v>
      </c>
      <c r="I510" s="6" t="n">
        <f aca="false">ROUND(INDEX(Archetypes!$F$2:$F$127, MATCH(D510, Archetypes!$A$2:$A$127, 0))*INDEX(Unit_Grades!$B$2:$B$7, MATCH(F510, Unit_Grades!$A$2:$A$7, 0))*INDEX(Unit_Paths!$C$2:$C$4, MATCH(E510, Unit_Paths!$A$2:$A$4, 0)),1)</f>
        <v>25.6</v>
      </c>
      <c r="J510" s="6" t="n">
        <f aca="false">ROUND(INDEX(Archetypes!$G$2:$G$127, MATCH(D510, Archetypes!$A$2:$A$127, 0))*INDEX(Unit_Grades!$B$2:$B$7, MATCH(F510, Unit_Grades!$A$2:$A$7, 0))*INDEX(Unit_Paths!$D$2:$D$4, MATCH(E510, Unit_Paths!$A$2:$A$4, 0)),0)</f>
        <v>320</v>
      </c>
      <c r="K510" s="6" t="n">
        <f aca="false">ROUND(INDEX(Archetypes!$H$2:$H$127, MATCH(D510, Archetypes!$A$2:$A$127, 0))*INDEX(Unit_Paths!$E$2:$E$4, MATCH(E510, Unit_Paths!$A$2:$A$4, 0)),1)</f>
        <v>6</v>
      </c>
      <c r="L510" s="6" t="n">
        <f aca="false">ROUND(INDEX(Archetypes!$I$2:$I$127, MATCH(D510, Archetypes!$A$2:$A$127, 0))*INDEX(Unit_Grades!$C$2:$C$7, MATCH(F510, Unit_Grades!$A$2:$A$7, 0)),1)</f>
        <v>25.2</v>
      </c>
      <c r="M510" s="6" t="n">
        <f aca="false">ROUND(INDEX(Archetypes!$J$2:$J$127, MATCH(D510, Archetypes!$A$2:$A$127, 0))*INDEX(Unit_Grades!$D$2:$D$7, MATCH(F510, Unit_Grades!$A$2:$A$7, 0)),1)</f>
        <v>25.6</v>
      </c>
      <c r="N510" s="6" t="n">
        <f aca="false">ROUND(M510/24,2)</f>
        <v>1.07</v>
      </c>
    </row>
    <row r="511" customFormat="false" ht="15" hidden="false" customHeight="true" outlineLevel="0" collapsed="false">
      <c r="A511" s="6" t="n">
        <v>2</v>
      </c>
      <c r="B511" s="6" t="s">
        <v>2050</v>
      </c>
      <c r="C511" s="6" t="s">
        <v>1317</v>
      </c>
      <c r="D511" s="6" t="str">
        <f aca="false">A511&amp;"|"&amp;C511</f>
        <v>2|Trebuchet</v>
      </c>
      <c r="E511" s="6" t="s">
        <v>1556</v>
      </c>
      <c r="F511" s="6" t="s">
        <v>1548</v>
      </c>
      <c r="G511" s="6" t="str">
        <f aca="false">INDEX(Archetypes!$D$2:$D$127, MATCH(D511, Archetypes!$A$2:$A$127, 0))</f>
        <v>Siege</v>
      </c>
      <c r="H511" s="6" t="n">
        <f aca="false">ROUND(INDEX(Archetypes!$E$2:$E$127, MATCH(D511, Archetypes!$A$2:$A$127, 0))*INDEX(Unit_Grades!$B$2:$B$7, MATCH(F511, Unit_Grades!$A$2:$A$7, 0))*INDEX(Unit_Paths!$B$2:$B$4, MATCH(E511, Unit_Paths!$A$2:$A$4, 0)),1)</f>
        <v>252</v>
      </c>
      <c r="I511" s="6" t="n">
        <f aca="false">ROUND(INDEX(Archetypes!$F$2:$F$127, MATCH(D511, Archetypes!$A$2:$A$127, 0))*INDEX(Unit_Grades!$B$2:$B$7, MATCH(F511, Unit_Grades!$A$2:$A$7, 0))*INDEX(Unit_Paths!$C$2:$C$4, MATCH(E511, Unit_Paths!$A$2:$A$4, 0)),1)</f>
        <v>33.6</v>
      </c>
      <c r="J511" s="6" t="n">
        <f aca="false">ROUND(INDEX(Archetypes!$G$2:$G$127, MATCH(D511, Archetypes!$A$2:$A$127, 0))*INDEX(Unit_Grades!$B$2:$B$7, MATCH(F511, Unit_Grades!$A$2:$A$7, 0))*INDEX(Unit_Paths!$D$2:$D$4, MATCH(E511, Unit_Paths!$A$2:$A$4, 0)),0)</f>
        <v>420</v>
      </c>
      <c r="K511" s="6" t="n">
        <f aca="false">ROUND(INDEX(Archetypes!$H$2:$H$127, MATCH(D511, Archetypes!$A$2:$A$127, 0))*INDEX(Unit_Paths!$E$2:$E$4, MATCH(E511, Unit_Paths!$A$2:$A$4, 0)),1)</f>
        <v>6</v>
      </c>
      <c r="L511" s="6" t="n">
        <f aca="false">ROUND(INDEX(Archetypes!$I$2:$I$127, MATCH(D511, Archetypes!$A$2:$A$127, 0))*INDEX(Unit_Grades!$C$2:$C$7, MATCH(F511, Unit_Grades!$A$2:$A$7, 0)),1)</f>
        <v>33.3</v>
      </c>
      <c r="M511" s="6" t="n">
        <f aca="false">ROUND(INDEX(Archetypes!$J$2:$J$127, MATCH(D511, Archetypes!$A$2:$A$127, 0))*INDEX(Unit_Grades!$D$2:$D$7, MATCH(F511, Unit_Grades!$A$2:$A$7, 0)),1)</f>
        <v>43.8</v>
      </c>
      <c r="N511" s="6" t="n">
        <f aca="false">ROUND(M511/24,2)</f>
        <v>1.83</v>
      </c>
    </row>
    <row r="512" customFormat="false" ht="15" hidden="false" customHeight="true" outlineLevel="0" collapsed="false">
      <c r="A512" s="6" t="n">
        <v>2</v>
      </c>
      <c r="B512" s="6" t="s">
        <v>2051</v>
      </c>
      <c r="C512" s="6" t="s">
        <v>1317</v>
      </c>
      <c r="D512" s="6" t="str">
        <f aca="false">A512&amp;"|"&amp;C512</f>
        <v>2|Trebuchet</v>
      </c>
      <c r="E512" s="6" t="s">
        <v>1558</v>
      </c>
      <c r="F512" s="6" t="s">
        <v>1538</v>
      </c>
      <c r="G512" s="6" t="str">
        <f aca="false">INDEX(Archetypes!$D$2:$D$127, MATCH(D512, Archetypes!$A$2:$A$127, 0))</f>
        <v>Siege</v>
      </c>
      <c r="H512" s="6" t="n">
        <f aca="false">ROUND(INDEX(Archetypes!$E$2:$E$127, MATCH(D512, Archetypes!$A$2:$A$127, 0))*INDEX(Unit_Grades!$B$2:$B$7, MATCH(F512, Unit_Grades!$A$2:$A$7, 0))*INDEX(Unit_Paths!$B$2:$B$4, MATCH(E512, Unit_Paths!$A$2:$A$4, 0)),1)</f>
        <v>72</v>
      </c>
      <c r="I512" s="6" t="n">
        <f aca="false">ROUND(INDEX(Archetypes!$F$2:$F$127, MATCH(D512, Archetypes!$A$2:$A$127, 0))*INDEX(Unit_Grades!$B$2:$B$7, MATCH(F512, Unit_Grades!$A$2:$A$7, 0))*INDEX(Unit_Paths!$C$2:$C$4, MATCH(E512, Unit_Paths!$A$2:$A$4, 0)),1)</f>
        <v>6.8</v>
      </c>
      <c r="J512" s="6" t="n">
        <f aca="false">ROUND(INDEX(Archetypes!$G$2:$G$127, MATCH(D512, Archetypes!$A$2:$A$127, 0))*INDEX(Unit_Grades!$B$2:$B$7, MATCH(F512, Unit_Grades!$A$2:$A$7, 0))*INDEX(Unit_Paths!$D$2:$D$4, MATCH(E512, Unit_Paths!$A$2:$A$4, 0)),0)</f>
        <v>95</v>
      </c>
      <c r="K512" s="6" t="n">
        <f aca="false">ROUND(INDEX(Archetypes!$H$2:$H$127, MATCH(D512, Archetypes!$A$2:$A$127, 0))*INDEX(Unit_Paths!$E$2:$E$4, MATCH(E512, Unit_Paths!$A$2:$A$4, 0)),1)</f>
        <v>6.3</v>
      </c>
      <c r="L512" s="6" t="n">
        <f aca="false">ROUND(INDEX(Archetypes!$I$2:$I$127, MATCH(D512, Archetypes!$A$2:$A$127, 0))*INDEX(Unit_Grades!$C$2:$C$7, MATCH(F512, Unit_Grades!$A$2:$A$7, 0)),1)</f>
        <v>9</v>
      </c>
      <c r="M512" s="6" t="n">
        <f aca="false">ROUND(INDEX(Archetypes!$J$2:$J$127, MATCH(D512, Archetypes!$A$2:$A$127, 0))*INDEX(Unit_Grades!$D$2:$D$7, MATCH(F512, Unit_Grades!$A$2:$A$7, 0)),1)</f>
        <v>3.7</v>
      </c>
      <c r="N512" s="6" t="n">
        <f aca="false">ROUND(M512/24,2)</f>
        <v>0.15</v>
      </c>
    </row>
    <row r="513" customFormat="false" ht="15" hidden="false" customHeight="true" outlineLevel="0" collapsed="false">
      <c r="A513" s="6" t="n">
        <v>2</v>
      </c>
      <c r="B513" s="6" t="s">
        <v>2052</v>
      </c>
      <c r="C513" s="6" t="s">
        <v>1317</v>
      </c>
      <c r="D513" s="6" t="str">
        <f aca="false">A513&amp;"|"&amp;C513</f>
        <v>2|Trebuchet</v>
      </c>
      <c r="E513" s="6" t="s">
        <v>1558</v>
      </c>
      <c r="F513" s="6" t="s">
        <v>1540</v>
      </c>
      <c r="G513" s="6" t="str">
        <f aca="false">INDEX(Archetypes!$D$2:$D$127, MATCH(D513, Archetypes!$A$2:$A$127, 0))</f>
        <v>Siege</v>
      </c>
      <c r="H513" s="6" t="n">
        <f aca="false">ROUND(INDEX(Archetypes!$E$2:$E$127, MATCH(D513, Archetypes!$A$2:$A$127, 0))*INDEX(Unit_Grades!$B$2:$B$7, MATCH(F513, Unit_Grades!$A$2:$A$7, 0))*INDEX(Unit_Paths!$B$2:$B$4, MATCH(E513, Unit_Paths!$A$2:$A$4, 0)),1)</f>
        <v>97.2</v>
      </c>
      <c r="I513" s="6" t="n">
        <f aca="false">ROUND(INDEX(Archetypes!$F$2:$F$127, MATCH(D513, Archetypes!$A$2:$A$127, 0))*INDEX(Unit_Grades!$B$2:$B$7, MATCH(F513, Unit_Grades!$A$2:$A$7, 0))*INDEX(Unit_Paths!$C$2:$C$4, MATCH(E513, Unit_Paths!$A$2:$A$4, 0)),1)</f>
        <v>9.2</v>
      </c>
      <c r="J513" s="6" t="n">
        <f aca="false">ROUND(INDEX(Archetypes!$G$2:$G$127, MATCH(D513, Archetypes!$A$2:$A$127, 0))*INDEX(Unit_Grades!$B$2:$B$7, MATCH(F513, Unit_Grades!$A$2:$A$7, 0))*INDEX(Unit_Paths!$D$2:$D$4, MATCH(E513, Unit_Paths!$A$2:$A$4, 0)),0)</f>
        <v>128</v>
      </c>
      <c r="K513" s="6" t="n">
        <f aca="false">ROUND(INDEX(Archetypes!$H$2:$H$127, MATCH(D513, Archetypes!$A$2:$A$127, 0))*INDEX(Unit_Paths!$E$2:$E$4, MATCH(E513, Unit_Paths!$A$2:$A$4, 0)),1)</f>
        <v>6.3</v>
      </c>
      <c r="L513" s="6" t="n">
        <f aca="false">ROUND(INDEX(Archetypes!$I$2:$I$127, MATCH(D513, Archetypes!$A$2:$A$127, 0))*INDEX(Unit_Grades!$C$2:$C$7, MATCH(F513, Unit_Grades!$A$2:$A$7, 0)),1)</f>
        <v>11.3</v>
      </c>
      <c r="M513" s="6" t="n">
        <f aca="false">ROUND(INDEX(Archetypes!$J$2:$J$127, MATCH(D513, Archetypes!$A$2:$A$127, 0))*INDEX(Unit_Grades!$D$2:$D$7, MATCH(F513, Unit_Grades!$A$2:$A$7, 0)),1)</f>
        <v>5.5</v>
      </c>
      <c r="N513" s="6" t="n">
        <f aca="false">ROUND(M513/24,2)</f>
        <v>0.23</v>
      </c>
    </row>
    <row r="514" customFormat="false" ht="15" hidden="false" customHeight="true" outlineLevel="0" collapsed="false">
      <c r="A514" s="6" t="n">
        <v>2</v>
      </c>
      <c r="B514" s="6" t="s">
        <v>2053</v>
      </c>
      <c r="C514" s="6" t="s">
        <v>1317</v>
      </c>
      <c r="D514" s="6" t="str">
        <f aca="false">A514&amp;"|"&amp;C514</f>
        <v>2|Trebuchet</v>
      </c>
      <c r="E514" s="6" t="s">
        <v>1558</v>
      </c>
      <c r="F514" s="6" t="s">
        <v>1542</v>
      </c>
      <c r="G514" s="6" t="str">
        <f aca="false">INDEX(Archetypes!$D$2:$D$127, MATCH(D514, Archetypes!$A$2:$A$127, 0))</f>
        <v>Siege</v>
      </c>
      <c r="H514" s="6" t="n">
        <f aca="false">ROUND(INDEX(Archetypes!$E$2:$E$127, MATCH(D514, Archetypes!$A$2:$A$127, 0))*INDEX(Unit_Grades!$B$2:$B$7, MATCH(F514, Unit_Grades!$A$2:$A$7, 0))*INDEX(Unit_Paths!$B$2:$B$4, MATCH(E514, Unit_Paths!$A$2:$A$4, 0)),1)</f>
        <v>129.6</v>
      </c>
      <c r="I514" s="6" t="n">
        <f aca="false">ROUND(INDEX(Archetypes!$F$2:$F$127, MATCH(D514, Archetypes!$A$2:$A$127, 0))*INDEX(Unit_Grades!$B$2:$B$7, MATCH(F514, Unit_Grades!$A$2:$A$7, 0))*INDEX(Unit_Paths!$C$2:$C$4, MATCH(E514, Unit_Paths!$A$2:$A$4, 0)),1)</f>
        <v>12.2</v>
      </c>
      <c r="J514" s="6" t="n">
        <f aca="false">ROUND(INDEX(Archetypes!$G$2:$G$127, MATCH(D514, Archetypes!$A$2:$A$127, 0))*INDEX(Unit_Grades!$B$2:$B$7, MATCH(F514, Unit_Grades!$A$2:$A$7, 0))*INDEX(Unit_Paths!$D$2:$D$4, MATCH(E514, Unit_Paths!$A$2:$A$4, 0)),0)</f>
        <v>171</v>
      </c>
      <c r="K514" s="6" t="n">
        <f aca="false">ROUND(INDEX(Archetypes!$H$2:$H$127, MATCH(D514, Archetypes!$A$2:$A$127, 0))*INDEX(Unit_Paths!$E$2:$E$4, MATCH(E514, Unit_Paths!$A$2:$A$4, 0)),1)</f>
        <v>6.3</v>
      </c>
      <c r="L514" s="6" t="n">
        <f aca="false">ROUND(INDEX(Archetypes!$I$2:$I$127, MATCH(D514, Archetypes!$A$2:$A$127, 0))*INDEX(Unit_Grades!$C$2:$C$7, MATCH(F514, Unit_Grades!$A$2:$A$7, 0)),1)</f>
        <v>14.4</v>
      </c>
      <c r="M514" s="6" t="n">
        <f aca="false">ROUND(INDEX(Archetypes!$J$2:$J$127, MATCH(D514, Archetypes!$A$2:$A$127, 0))*INDEX(Unit_Grades!$D$2:$D$7, MATCH(F514, Unit_Grades!$A$2:$A$7, 0)),1)</f>
        <v>9.1</v>
      </c>
      <c r="N514" s="6" t="n">
        <f aca="false">ROUND(M514/24,2)</f>
        <v>0.38</v>
      </c>
    </row>
    <row r="515" customFormat="false" ht="15" hidden="false" customHeight="true" outlineLevel="0" collapsed="false">
      <c r="A515" s="6" t="n">
        <v>2</v>
      </c>
      <c r="B515" s="6" t="s">
        <v>2054</v>
      </c>
      <c r="C515" s="6" t="s">
        <v>1317</v>
      </c>
      <c r="D515" s="6" t="str">
        <f aca="false">A515&amp;"|"&amp;C515</f>
        <v>2|Trebuchet</v>
      </c>
      <c r="E515" s="6" t="s">
        <v>1558</v>
      </c>
      <c r="F515" s="6" t="s">
        <v>1544</v>
      </c>
      <c r="G515" s="6" t="str">
        <f aca="false">INDEX(Archetypes!$D$2:$D$127, MATCH(D515, Archetypes!$A$2:$A$127, 0))</f>
        <v>Siege</v>
      </c>
      <c r="H515" s="6" t="n">
        <f aca="false">ROUND(INDEX(Archetypes!$E$2:$E$127, MATCH(D515, Archetypes!$A$2:$A$127, 0))*INDEX(Unit_Grades!$B$2:$B$7, MATCH(F515, Unit_Grades!$A$2:$A$7, 0))*INDEX(Unit_Paths!$B$2:$B$4, MATCH(E515, Unit_Paths!$A$2:$A$4, 0)),1)</f>
        <v>172.8</v>
      </c>
      <c r="I515" s="6" t="n">
        <f aca="false">ROUND(INDEX(Archetypes!$F$2:$F$127, MATCH(D515, Archetypes!$A$2:$A$127, 0))*INDEX(Unit_Grades!$B$2:$B$7, MATCH(F515, Unit_Grades!$A$2:$A$7, 0))*INDEX(Unit_Paths!$C$2:$C$4, MATCH(E515, Unit_Paths!$A$2:$A$4, 0)),1)</f>
        <v>16.3</v>
      </c>
      <c r="J515" s="6" t="n">
        <f aca="false">ROUND(INDEX(Archetypes!$G$2:$G$127, MATCH(D515, Archetypes!$A$2:$A$127, 0))*INDEX(Unit_Grades!$B$2:$B$7, MATCH(F515, Unit_Grades!$A$2:$A$7, 0))*INDEX(Unit_Paths!$D$2:$D$4, MATCH(E515, Unit_Paths!$A$2:$A$4, 0)),0)</f>
        <v>228</v>
      </c>
      <c r="K515" s="6" t="n">
        <f aca="false">ROUND(INDEX(Archetypes!$H$2:$H$127, MATCH(D515, Archetypes!$A$2:$A$127, 0))*INDEX(Unit_Paths!$E$2:$E$4, MATCH(E515, Unit_Paths!$A$2:$A$4, 0)),1)</f>
        <v>6.3</v>
      </c>
      <c r="L515" s="6" t="n">
        <f aca="false">ROUND(INDEX(Archetypes!$I$2:$I$127, MATCH(D515, Archetypes!$A$2:$A$127, 0))*INDEX(Unit_Grades!$C$2:$C$7, MATCH(F515, Unit_Grades!$A$2:$A$7, 0)),1)</f>
        <v>18.9</v>
      </c>
      <c r="M515" s="6" t="n">
        <f aca="false">ROUND(INDEX(Archetypes!$J$2:$J$127, MATCH(D515, Archetypes!$A$2:$A$127, 0))*INDEX(Unit_Grades!$D$2:$D$7, MATCH(F515, Unit_Grades!$A$2:$A$7, 0)),1)</f>
        <v>14.6</v>
      </c>
      <c r="N515" s="6" t="n">
        <f aca="false">ROUND(M515/24,2)</f>
        <v>0.61</v>
      </c>
    </row>
    <row r="516" customFormat="false" ht="15" hidden="false" customHeight="true" outlineLevel="0" collapsed="false">
      <c r="A516" s="6" t="n">
        <v>2</v>
      </c>
      <c r="B516" s="6" t="s">
        <v>2055</v>
      </c>
      <c r="C516" s="6" t="s">
        <v>1317</v>
      </c>
      <c r="D516" s="6" t="str">
        <f aca="false">A516&amp;"|"&amp;C516</f>
        <v>2|Trebuchet</v>
      </c>
      <c r="E516" s="6" t="s">
        <v>1558</v>
      </c>
      <c r="F516" s="6" t="s">
        <v>1546</v>
      </c>
      <c r="G516" s="6" t="str">
        <f aca="false">INDEX(Archetypes!$D$2:$D$127, MATCH(D516, Archetypes!$A$2:$A$127, 0))</f>
        <v>Siege</v>
      </c>
      <c r="H516" s="6" t="n">
        <f aca="false">ROUND(INDEX(Archetypes!$E$2:$E$127, MATCH(D516, Archetypes!$A$2:$A$127, 0))*INDEX(Unit_Grades!$B$2:$B$7, MATCH(F516, Unit_Grades!$A$2:$A$7, 0))*INDEX(Unit_Paths!$B$2:$B$4, MATCH(E516, Unit_Paths!$A$2:$A$4, 0)),1)</f>
        <v>230.4</v>
      </c>
      <c r="I516" s="6" t="n">
        <f aca="false">ROUND(INDEX(Archetypes!$F$2:$F$127, MATCH(D516, Archetypes!$A$2:$A$127, 0))*INDEX(Unit_Grades!$B$2:$B$7, MATCH(F516, Unit_Grades!$A$2:$A$7, 0))*INDEX(Unit_Paths!$C$2:$C$4, MATCH(E516, Unit_Paths!$A$2:$A$4, 0)),1)</f>
        <v>21.8</v>
      </c>
      <c r="J516" s="6" t="n">
        <f aca="false">ROUND(INDEX(Archetypes!$G$2:$G$127, MATCH(D516, Archetypes!$A$2:$A$127, 0))*INDEX(Unit_Grades!$B$2:$B$7, MATCH(F516, Unit_Grades!$A$2:$A$7, 0))*INDEX(Unit_Paths!$D$2:$D$4, MATCH(E516, Unit_Paths!$A$2:$A$4, 0)),0)</f>
        <v>304</v>
      </c>
      <c r="K516" s="6" t="n">
        <f aca="false">ROUND(INDEX(Archetypes!$H$2:$H$127, MATCH(D516, Archetypes!$A$2:$A$127, 0))*INDEX(Unit_Paths!$E$2:$E$4, MATCH(E516, Unit_Paths!$A$2:$A$4, 0)),1)</f>
        <v>6.3</v>
      </c>
      <c r="L516" s="6" t="n">
        <f aca="false">ROUND(INDEX(Archetypes!$I$2:$I$127, MATCH(D516, Archetypes!$A$2:$A$127, 0))*INDEX(Unit_Grades!$C$2:$C$7, MATCH(F516, Unit_Grades!$A$2:$A$7, 0)),1)</f>
        <v>25.2</v>
      </c>
      <c r="M516" s="6" t="n">
        <f aca="false">ROUND(INDEX(Archetypes!$J$2:$J$127, MATCH(D516, Archetypes!$A$2:$A$127, 0))*INDEX(Unit_Grades!$D$2:$D$7, MATCH(F516, Unit_Grades!$A$2:$A$7, 0)),1)</f>
        <v>25.6</v>
      </c>
      <c r="N516" s="6" t="n">
        <f aca="false">ROUND(M516/24,2)</f>
        <v>1.07</v>
      </c>
    </row>
    <row r="517" customFormat="false" ht="15" hidden="false" customHeight="true" outlineLevel="0" collapsed="false">
      <c r="A517" s="6" t="n">
        <v>2</v>
      </c>
      <c r="B517" s="6" t="s">
        <v>2056</v>
      </c>
      <c r="C517" s="6" t="s">
        <v>1317</v>
      </c>
      <c r="D517" s="6" t="str">
        <f aca="false">A517&amp;"|"&amp;C517</f>
        <v>2|Trebuchet</v>
      </c>
      <c r="E517" s="6" t="s">
        <v>1558</v>
      </c>
      <c r="F517" s="6" t="s">
        <v>1548</v>
      </c>
      <c r="G517" s="6" t="str">
        <f aca="false">INDEX(Archetypes!$D$2:$D$127, MATCH(D517, Archetypes!$A$2:$A$127, 0))</f>
        <v>Siege</v>
      </c>
      <c r="H517" s="6" t="n">
        <f aca="false">ROUND(INDEX(Archetypes!$E$2:$E$127, MATCH(D517, Archetypes!$A$2:$A$127, 0))*INDEX(Unit_Grades!$B$2:$B$7, MATCH(F517, Unit_Grades!$A$2:$A$7, 0))*INDEX(Unit_Paths!$B$2:$B$4, MATCH(E517, Unit_Paths!$A$2:$A$4, 0)),1)</f>
        <v>302.4</v>
      </c>
      <c r="I517" s="6" t="n">
        <f aca="false">ROUND(INDEX(Archetypes!$F$2:$F$127, MATCH(D517, Archetypes!$A$2:$A$127, 0))*INDEX(Unit_Grades!$B$2:$B$7, MATCH(F517, Unit_Grades!$A$2:$A$7, 0))*INDEX(Unit_Paths!$C$2:$C$4, MATCH(E517, Unit_Paths!$A$2:$A$4, 0)),1)</f>
        <v>28.6</v>
      </c>
      <c r="J517" s="6" t="n">
        <f aca="false">ROUND(INDEX(Archetypes!$G$2:$G$127, MATCH(D517, Archetypes!$A$2:$A$127, 0))*INDEX(Unit_Grades!$B$2:$B$7, MATCH(F517, Unit_Grades!$A$2:$A$7, 0))*INDEX(Unit_Paths!$D$2:$D$4, MATCH(E517, Unit_Paths!$A$2:$A$4, 0)),0)</f>
        <v>399</v>
      </c>
      <c r="K517" s="6" t="n">
        <f aca="false">ROUND(INDEX(Archetypes!$H$2:$H$127, MATCH(D517, Archetypes!$A$2:$A$127, 0))*INDEX(Unit_Paths!$E$2:$E$4, MATCH(E517, Unit_Paths!$A$2:$A$4, 0)),1)</f>
        <v>6.3</v>
      </c>
      <c r="L517" s="6" t="n">
        <f aca="false">ROUND(INDEX(Archetypes!$I$2:$I$127, MATCH(D517, Archetypes!$A$2:$A$127, 0))*INDEX(Unit_Grades!$C$2:$C$7, MATCH(F517, Unit_Grades!$A$2:$A$7, 0)),1)</f>
        <v>33.3</v>
      </c>
      <c r="M517" s="6" t="n">
        <f aca="false">ROUND(INDEX(Archetypes!$J$2:$J$127, MATCH(D517, Archetypes!$A$2:$A$127, 0))*INDEX(Unit_Grades!$D$2:$D$7, MATCH(F517, Unit_Grades!$A$2:$A$7, 0)),1)</f>
        <v>43.8</v>
      </c>
      <c r="N517" s="6" t="n">
        <f aca="false">ROUND(M517/24,2)</f>
        <v>1.83</v>
      </c>
    </row>
    <row r="518" customFormat="false" ht="15" hidden="false" customHeight="true" outlineLevel="0" collapsed="false">
      <c r="A518" s="6" t="n">
        <v>2</v>
      </c>
      <c r="B518" s="6" t="s">
        <v>2057</v>
      </c>
      <c r="C518" s="6" t="s">
        <v>1317</v>
      </c>
      <c r="D518" s="6" t="str">
        <f aca="false">A518&amp;"|"&amp;C518</f>
        <v>2|Trebuchet</v>
      </c>
      <c r="E518" s="6" t="s">
        <v>1560</v>
      </c>
      <c r="F518" s="6" t="s">
        <v>1538</v>
      </c>
      <c r="G518" s="6" t="str">
        <f aca="false">INDEX(Archetypes!$D$2:$D$127, MATCH(D518, Archetypes!$A$2:$A$127, 0))</f>
        <v>Siege</v>
      </c>
      <c r="H518" s="6" t="n">
        <f aca="false">ROUND(INDEX(Archetypes!$E$2:$E$127, MATCH(D518, Archetypes!$A$2:$A$127, 0))*INDEX(Unit_Grades!$B$2:$B$7, MATCH(F518, Unit_Grades!$A$2:$A$7, 0))*INDEX(Unit_Paths!$B$2:$B$4, MATCH(E518, Unit_Paths!$A$2:$A$4, 0)),1)</f>
        <v>51</v>
      </c>
      <c r="I518" s="6" t="n">
        <f aca="false">ROUND(INDEX(Archetypes!$F$2:$F$127, MATCH(D518, Archetypes!$A$2:$A$127, 0))*INDEX(Unit_Grades!$B$2:$B$7, MATCH(F518, Unit_Grades!$A$2:$A$7, 0))*INDEX(Unit_Paths!$C$2:$C$4, MATCH(E518, Unit_Paths!$A$2:$A$4, 0)),1)</f>
        <v>10</v>
      </c>
      <c r="J518" s="6" t="n">
        <f aca="false">ROUND(INDEX(Archetypes!$G$2:$G$127, MATCH(D518, Archetypes!$A$2:$A$127, 0))*INDEX(Unit_Grades!$B$2:$B$7, MATCH(F518, Unit_Grades!$A$2:$A$7, 0))*INDEX(Unit_Paths!$D$2:$D$4, MATCH(E518, Unit_Paths!$A$2:$A$4, 0)),0)</f>
        <v>115</v>
      </c>
      <c r="K518" s="6" t="n">
        <f aca="false">ROUND(INDEX(Archetypes!$H$2:$H$127, MATCH(D518, Archetypes!$A$2:$A$127, 0))*INDEX(Unit_Paths!$E$2:$E$4, MATCH(E518, Unit_Paths!$A$2:$A$4, 0)),1)</f>
        <v>5.5</v>
      </c>
      <c r="L518" s="6" t="n">
        <f aca="false">ROUND(INDEX(Archetypes!$I$2:$I$127, MATCH(D518, Archetypes!$A$2:$A$127, 0))*INDEX(Unit_Grades!$C$2:$C$7, MATCH(F518, Unit_Grades!$A$2:$A$7, 0)),1)</f>
        <v>9</v>
      </c>
      <c r="M518" s="6" t="n">
        <f aca="false">ROUND(INDEX(Archetypes!$J$2:$J$127, MATCH(D518, Archetypes!$A$2:$A$127, 0))*INDEX(Unit_Grades!$D$2:$D$7, MATCH(F518, Unit_Grades!$A$2:$A$7, 0)),1)</f>
        <v>3.7</v>
      </c>
      <c r="N518" s="6" t="n">
        <f aca="false">ROUND(M518/24,2)</f>
        <v>0.15</v>
      </c>
    </row>
    <row r="519" customFormat="false" ht="15" hidden="false" customHeight="true" outlineLevel="0" collapsed="false">
      <c r="A519" s="6" t="n">
        <v>2</v>
      </c>
      <c r="B519" s="6" t="s">
        <v>2058</v>
      </c>
      <c r="C519" s="6" t="s">
        <v>1317</v>
      </c>
      <c r="D519" s="6" t="str">
        <f aca="false">A519&amp;"|"&amp;C519</f>
        <v>2|Trebuchet</v>
      </c>
      <c r="E519" s="6" t="s">
        <v>1560</v>
      </c>
      <c r="F519" s="6" t="s">
        <v>1540</v>
      </c>
      <c r="G519" s="6" t="str">
        <f aca="false">INDEX(Archetypes!$D$2:$D$127, MATCH(D519, Archetypes!$A$2:$A$127, 0))</f>
        <v>Siege</v>
      </c>
      <c r="H519" s="6" t="n">
        <f aca="false">ROUND(INDEX(Archetypes!$E$2:$E$127, MATCH(D519, Archetypes!$A$2:$A$127, 0))*INDEX(Unit_Grades!$B$2:$B$7, MATCH(F519, Unit_Grades!$A$2:$A$7, 0))*INDEX(Unit_Paths!$B$2:$B$4, MATCH(E519, Unit_Paths!$A$2:$A$4, 0)),1)</f>
        <v>68.9</v>
      </c>
      <c r="I519" s="6" t="n">
        <f aca="false">ROUND(INDEX(Archetypes!$F$2:$F$127, MATCH(D519, Archetypes!$A$2:$A$127, 0))*INDEX(Unit_Grades!$B$2:$B$7, MATCH(F519, Unit_Grades!$A$2:$A$7, 0))*INDEX(Unit_Paths!$C$2:$C$4, MATCH(E519, Unit_Paths!$A$2:$A$4, 0)),1)</f>
        <v>13.5</v>
      </c>
      <c r="J519" s="6" t="n">
        <f aca="false">ROUND(INDEX(Archetypes!$G$2:$G$127, MATCH(D519, Archetypes!$A$2:$A$127, 0))*INDEX(Unit_Grades!$B$2:$B$7, MATCH(F519, Unit_Grades!$A$2:$A$7, 0))*INDEX(Unit_Paths!$D$2:$D$4, MATCH(E519, Unit_Paths!$A$2:$A$4, 0)),0)</f>
        <v>155</v>
      </c>
      <c r="K519" s="6" t="n">
        <f aca="false">ROUND(INDEX(Archetypes!$H$2:$H$127, MATCH(D519, Archetypes!$A$2:$A$127, 0))*INDEX(Unit_Paths!$E$2:$E$4, MATCH(E519, Unit_Paths!$A$2:$A$4, 0)),1)</f>
        <v>5.5</v>
      </c>
      <c r="L519" s="6" t="n">
        <f aca="false">ROUND(INDEX(Archetypes!$I$2:$I$127, MATCH(D519, Archetypes!$A$2:$A$127, 0))*INDEX(Unit_Grades!$C$2:$C$7, MATCH(F519, Unit_Grades!$A$2:$A$7, 0)),1)</f>
        <v>11.3</v>
      </c>
      <c r="M519" s="6" t="n">
        <f aca="false">ROUND(INDEX(Archetypes!$J$2:$J$127, MATCH(D519, Archetypes!$A$2:$A$127, 0))*INDEX(Unit_Grades!$D$2:$D$7, MATCH(F519, Unit_Grades!$A$2:$A$7, 0)),1)</f>
        <v>5.5</v>
      </c>
      <c r="N519" s="6" t="n">
        <f aca="false">ROUND(M519/24,2)</f>
        <v>0.23</v>
      </c>
    </row>
    <row r="520" customFormat="false" ht="15" hidden="false" customHeight="true" outlineLevel="0" collapsed="false">
      <c r="A520" s="6" t="n">
        <v>2</v>
      </c>
      <c r="B520" s="6" t="s">
        <v>2059</v>
      </c>
      <c r="C520" s="6" t="s">
        <v>1317</v>
      </c>
      <c r="D520" s="6" t="str">
        <f aca="false">A520&amp;"|"&amp;C520</f>
        <v>2|Trebuchet</v>
      </c>
      <c r="E520" s="6" t="s">
        <v>1560</v>
      </c>
      <c r="F520" s="6" t="s">
        <v>1542</v>
      </c>
      <c r="G520" s="6" t="str">
        <f aca="false">INDEX(Archetypes!$D$2:$D$127, MATCH(D520, Archetypes!$A$2:$A$127, 0))</f>
        <v>Siege</v>
      </c>
      <c r="H520" s="6" t="n">
        <f aca="false">ROUND(INDEX(Archetypes!$E$2:$E$127, MATCH(D520, Archetypes!$A$2:$A$127, 0))*INDEX(Unit_Grades!$B$2:$B$7, MATCH(F520, Unit_Grades!$A$2:$A$7, 0))*INDEX(Unit_Paths!$B$2:$B$4, MATCH(E520, Unit_Paths!$A$2:$A$4, 0)),1)</f>
        <v>91.8</v>
      </c>
      <c r="I520" s="6" t="n">
        <f aca="false">ROUND(INDEX(Archetypes!$F$2:$F$127, MATCH(D520, Archetypes!$A$2:$A$127, 0))*INDEX(Unit_Grades!$B$2:$B$7, MATCH(F520, Unit_Grades!$A$2:$A$7, 0))*INDEX(Unit_Paths!$C$2:$C$4, MATCH(E520, Unit_Paths!$A$2:$A$4, 0)),1)</f>
        <v>18</v>
      </c>
      <c r="J520" s="6" t="n">
        <f aca="false">ROUND(INDEX(Archetypes!$G$2:$G$127, MATCH(D520, Archetypes!$A$2:$A$127, 0))*INDEX(Unit_Grades!$B$2:$B$7, MATCH(F520, Unit_Grades!$A$2:$A$7, 0))*INDEX(Unit_Paths!$D$2:$D$4, MATCH(E520, Unit_Paths!$A$2:$A$4, 0)),0)</f>
        <v>207</v>
      </c>
      <c r="K520" s="6" t="n">
        <f aca="false">ROUND(INDEX(Archetypes!$H$2:$H$127, MATCH(D520, Archetypes!$A$2:$A$127, 0))*INDEX(Unit_Paths!$E$2:$E$4, MATCH(E520, Unit_Paths!$A$2:$A$4, 0)),1)</f>
        <v>5.5</v>
      </c>
      <c r="L520" s="6" t="n">
        <f aca="false">ROUND(INDEX(Archetypes!$I$2:$I$127, MATCH(D520, Archetypes!$A$2:$A$127, 0))*INDEX(Unit_Grades!$C$2:$C$7, MATCH(F520, Unit_Grades!$A$2:$A$7, 0)),1)</f>
        <v>14.4</v>
      </c>
      <c r="M520" s="6" t="n">
        <f aca="false">ROUND(INDEX(Archetypes!$J$2:$J$127, MATCH(D520, Archetypes!$A$2:$A$127, 0))*INDEX(Unit_Grades!$D$2:$D$7, MATCH(F520, Unit_Grades!$A$2:$A$7, 0)),1)</f>
        <v>9.1</v>
      </c>
      <c r="N520" s="6" t="n">
        <f aca="false">ROUND(M520/24,2)</f>
        <v>0.38</v>
      </c>
    </row>
    <row r="521" customFormat="false" ht="15" hidden="false" customHeight="true" outlineLevel="0" collapsed="false">
      <c r="A521" s="6" t="n">
        <v>2</v>
      </c>
      <c r="B521" s="6" t="s">
        <v>2060</v>
      </c>
      <c r="C521" s="6" t="s">
        <v>1317</v>
      </c>
      <c r="D521" s="6" t="str">
        <f aca="false">A521&amp;"|"&amp;C521</f>
        <v>2|Trebuchet</v>
      </c>
      <c r="E521" s="6" t="s">
        <v>1560</v>
      </c>
      <c r="F521" s="6" t="s">
        <v>1544</v>
      </c>
      <c r="G521" s="6" t="str">
        <f aca="false">INDEX(Archetypes!$D$2:$D$127, MATCH(D521, Archetypes!$A$2:$A$127, 0))</f>
        <v>Siege</v>
      </c>
      <c r="H521" s="6" t="n">
        <f aca="false">ROUND(INDEX(Archetypes!$E$2:$E$127, MATCH(D521, Archetypes!$A$2:$A$127, 0))*INDEX(Unit_Grades!$B$2:$B$7, MATCH(F521, Unit_Grades!$A$2:$A$7, 0))*INDEX(Unit_Paths!$B$2:$B$4, MATCH(E521, Unit_Paths!$A$2:$A$4, 0)),1)</f>
        <v>122.4</v>
      </c>
      <c r="I521" s="6" t="n">
        <f aca="false">ROUND(INDEX(Archetypes!$F$2:$F$127, MATCH(D521, Archetypes!$A$2:$A$127, 0))*INDEX(Unit_Grades!$B$2:$B$7, MATCH(F521, Unit_Grades!$A$2:$A$7, 0))*INDEX(Unit_Paths!$C$2:$C$4, MATCH(E521, Unit_Paths!$A$2:$A$4, 0)),1)</f>
        <v>24</v>
      </c>
      <c r="J521" s="6" t="n">
        <f aca="false">ROUND(INDEX(Archetypes!$G$2:$G$127, MATCH(D521, Archetypes!$A$2:$A$127, 0))*INDEX(Unit_Grades!$B$2:$B$7, MATCH(F521, Unit_Grades!$A$2:$A$7, 0))*INDEX(Unit_Paths!$D$2:$D$4, MATCH(E521, Unit_Paths!$A$2:$A$4, 0)),0)</f>
        <v>276</v>
      </c>
      <c r="K521" s="6" t="n">
        <f aca="false">ROUND(INDEX(Archetypes!$H$2:$H$127, MATCH(D521, Archetypes!$A$2:$A$127, 0))*INDEX(Unit_Paths!$E$2:$E$4, MATCH(E521, Unit_Paths!$A$2:$A$4, 0)),1)</f>
        <v>5.5</v>
      </c>
      <c r="L521" s="6" t="n">
        <f aca="false">ROUND(INDEX(Archetypes!$I$2:$I$127, MATCH(D521, Archetypes!$A$2:$A$127, 0))*INDEX(Unit_Grades!$C$2:$C$7, MATCH(F521, Unit_Grades!$A$2:$A$7, 0)),1)</f>
        <v>18.9</v>
      </c>
      <c r="M521" s="6" t="n">
        <f aca="false">ROUND(INDEX(Archetypes!$J$2:$J$127, MATCH(D521, Archetypes!$A$2:$A$127, 0))*INDEX(Unit_Grades!$D$2:$D$7, MATCH(F521, Unit_Grades!$A$2:$A$7, 0)),1)</f>
        <v>14.6</v>
      </c>
      <c r="N521" s="6" t="n">
        <f aca="false">ROUND(M521/24,2)</f>
        <v>0.61</v>
      </c>
    </row>
    <row r="522" customFormat="false" ht="15" hidden="false" customHeight="true" outlineLevel="0" collapsed="false">
      <c r="A522" s="6" t="n">
        <v>2</v>
      </c>
      <c r="B522" s="6" t="s">
        <v>2061</v>
      </c>
      <c r="C522" s="6" t="s">
        <v>1317</v>
      </c>
      <c r="D522" s="6" t="str">
        <f aca="false">A522&amp;"|"&amp;C522</f>
        <v>2|Trebuchet</v>
      </c>
      <c r="E522" s="6" t="s">
        <v>1560</v>
      </c>
      <c r="F522" s="6" t="s">
        <v>1546</v>
      </c>
      <c r="G522" s="6" t="str">
        <f aca="false">INDEX(Archetypes!$D$2:$D$127, MATCH(D522, Archetypes!$A$2:$A$127, 0))</f>
        <v>Siege</v>
      </c>
      <c r="H522" s="6" t="n">
        <f aca="false">ROUND(INDEX(Archetypes!$E$2:$E$127, MATCH(D522, Archetypes!$A$2:$A$127, 0))*INDEX(Unit_Grades!$B$2:$B$7, MATCH(F522, Unit_Grades!$A$2:$A$7, 0))*INDEX(Unit_Paths!$B$2:$B$4, MATCH(E522, Unit_Paths!$A$2:$A$4, 0)),1)</f>
        <v>163.2</v>
      </c>
      <c r="I522" s="6" t="n">
        <f aca="false">ROUND(INDEX(Archetypes!$F$2:$F$127, MATCH(D522, Archetypes!$A$2:$A$127, 0))*INDEX(Unit_Grades!$B$2:$B$7, MATCH(F522, Unit_Grades!$A$2:$A$7, 0))*INDEX(Unit_Paths!$C$2:$C$4, MATCH(E522, Unit_Paths!$A$2:$A$4, 0)),1)</f>
        <v>32</v>
      </c>
      <c r="J522" s="6" t="n">
        <f aca="false">ROUND(INDEX(Archetypes!$G$2:$G$127, MATCH(D522, Archetypes!$A$2:$A$127, 0))*INDEX(Unit_Grades!$B$2:$B$7, MATCH(F522, Unit_Grades!$A$2:$A$7, 0))*INDEX(Unit_Paths!$D$2:$D$4, MATCH(E522, Unit_Paths!$A$2:$A$4, 0)),0)</f>
        <v>368</v>
      </c>
      <c r="K522" s="6" t="n">
        <f aca="false">ROUND(INDEX(Archetypes!$H$2:$H$127, MATCH(D522, Archetypes!$A$2:$A$127, 0))*INDEX(Unit_Paths!$E$2:$E$4, MATCH(E522, Unit_Paths!$A$2:$A$4, 0)),1)</f>
        <v>5.5</v>
      </c>
      <c r="L522" s="6" t="n">
        <f aca="false">ROUND(INDEX(Archetypes!$I$2:$I$127, MATCH(D522, Archetypes!$A$2:$A$127, 0))*INDEX(Unit_Grades!$C$2:$C$7, MATCH(F522, Unit_Grades!$A$2:$A$7, 0)),1)</f>
        <v>25.2</v>
      </c>
      <c r="M522" s="6" t="n">
        <f aca="false">ROUND(INDEX(Archetypes!$J$2:$J$127, MATCH(D522, Archetypes!$A$2:$A$127, 0))*INDEX(Unit_Grades!$D$2:$D$7, MATCH(F522, Unit_Grades!$A$2:$A$7, 0)),1)</f>
        <v>25.6</v>
      </c>
      <c r="N522" s="6" t="n">
        <f aca="false">ROUND(M522/24,2)</f>
        <v>1.07</v>
      </c>
    </row>
    <row r="523" customFormat="false" ht="15" hidden="false" customHeight="true" outlineLevel="0" collapsed="false">
      <c r="A523" s="6" t="n">
        <v>2</v>
      </c>
      <c r="B523" s="6" t="s">
        <v>2062</v>
      </c>
      <c r="C523" s="6" t="s">
        <v>1317</v>
      </c>
      <c r="D523" s="6" t="str">
        <f aca="false">A523&amp;"|"&amp;C523</f>
        <v>2|Trebuchet</v>
      </c>
      <c r="E523" s="6" t="s">
        <v>1560</v>
      </c>
      <c r="F523" s="6" t="s">
        <v>1548</v>
      </c>
      <c r="G523" s="6" t="str">
        <f aca="false">INDEX(Archetypes!$D$2:$D$127, MATCH(D523, Archetypes!$A$2:$A$127, 0))</f>
        <v>Siege</v>
      </c>
      <c r="H523" s="6" t="n">
        <f aca="false">ROUND(INDEX(Archetypes!$E$2:$E$127, MATCH(D523, Archetypes!$A$2:$A$127, 0))*INDEX(Unit_Grades!$B$2:$B$7, MATCH(F523, Unit_Grades!$A$2:$A$7, 0))*INDEX(Unit_Paths!$B$2:$B$4, MATCH(E523, Unit_Paths!$A$2:$A$4, 0)),1)</f>
        <v>214.2</v>
      </c>
      <c r="I523" s="6" t="n">
        <f aca="false">ROUND(INDEX(Archetypes!$F$2:$F$127, MATCH(D523, Archetypes!$A$2:$A$127, 0))*INDEX(Unit_Grades!$B$2:$B$7, MATCH(F523, Unit_Grades!$A$2:$A$7, 0))*INDEX(Unit_Paths!$C$2:$C$4, MATCH(E523, Unit_Paths!$A$2:$A$4, 0)),1)</f>
        <v>42</v>
      </c>
      <c r="J523" s="6" t="n">
        <f aca="false">ROUND(INDEX(Archetypes!$G$2:$G$127, MATCH(D523, Archetypes!$A$2:$A$127, 0))*INDEX(Unit_Grades!$B$2:$B$7, MATCH(F523, Unit_Grades!$A$2:$A$7, 0))*INDEX(Unit_Paths!$D$2:$D$4, MATCH(E523, Unit_Paths!$A$2:$A$4, 0)),0)</f>
        <v>483</v>
      </c>
      <c r="K523" s="6" t="n">
        <f aca="false">ROUND(INDEX(Archetypes!$H$2:$H$127, MATCH(D523, Archetypes!$A$2:$A$127, 0))*INDEX(Unit_Paths!$E$2:$E$4, MATCH(E523, Unit_Paths!$A$2:$A$4, 0)),1)</f>
        <v>5.5</v>
      </c>
      <c r="L523" s="6" t="n">
        <f aca="false">ROUND(INDEX(Archetypes!$I$2:$I$127, MATCH(D523, Archetypes!$A$2:$A$127, 0))*INDEX(Unit_Grades!$C$2:$C$7, MATCH(F523, Unit_Grades!$A$2:$A$7, 0)),1)</f>
        <v>33.3</v>
      </c>
      <c r="M523" s="6" t="n">
        <f aca="false">ROUND(INDEX(Archetypes!$J$2:$J$127, MATCH(D523, Archetypes!$A$2:$A$127, 0))*INDEX(Unit_Grades!$D$2:$D$7, MATCH(F523, Unit_Grades!$A$2:$A$7, 0)),1)</f>
        <v>43.8</v>
      </c>
      <c r="N523" s="6" t="n">
        <f aca="false">ROUND(M523/24,2)</f>
        <v>1.83</v>
      </c>
    </row>
    <row r="524" customFormat="false" ht="15" hidden="false" customHeight="true" outlineLevel="0" collapsed="false">
      <c r="A524" s="6" t="n">
        <v>2</v>
      </c>
      <c r="B524" s="6" t="s">
        <v>1319</v>
      </c>
      <c r="C524" s="6" t="s">
        <v>1319</v>
      </c>
      <c r="D524" s="6" t="str">
        <f aca="false">A524&amp;"|"&amp;C524</f>
        <v>2|Noble</v>
      </c>
      <c r="E524" s="6" t="s">
        <v>1556</v>
      </c>
      <c r="F524" s="6" t="s">
        <v>1538</v>
      </c>
      <c r="G524" s="6" t="str">
        <f aca="false">INDEX(Archetypes!$D$2:$D$127, MATCH(D524, Archetypes!$A$2:$A$127, 0))</f>
        <v>Conquest</v>
      </c>
      <c r="H524" s="6" t="n">
        <f aca="false">ROUND(INDEX(Archetypes!$E$2:$E$127, MATCH(D524, Archetypes!$A$2:$A$127, 0))*INDEX(Unit_Grades!$B$2:$B$7, MATCH(F524, Unit_Grades!$A$2:$A$7, 0))*INDEX(Unit_Paths!$B$2:$B$4, MATCH(E524, Unit_Paths!$A$2:$A$4, 0)),1)</f>
        <v>6</v>
      </c>
      <c r="I524" s="6" t="n">
        <f aca="false">ROUND(INDEX(Archetypes!$F$2:$F$127, MATCH(D524, Archetypes!$A$2:$A$127, 0))*INDEX(Unit_Grades!$B$2:$B$7, MATCH(F524, Unit_Grades!$A$2:$A$7, 0))*INDEX(Unit_Paths!$C$2:$C$4, MATCH(E524, Unit_Paths!$A$2:$A$4, 0)),1)</f>
        <v>10</v>
      </c>
      <c r="J524" s="6" t="n">
        <f aca="false">ROUND(INDEX(Archetypes!$G$2:$G$127, MATCH(D524, Archetypes!$A$2:$A$127, 0))*INDEX(Unit_Grades!$B$2:$B$7, MATCH(F524, Unit_Grades!$A$2:$A$7, 0))*INDEX(Unit_Paths!$D$2:$D$4, MATCH(E524, Unit_Paths!$A$2:$A$4, 0)),0)</f>
        <v>80</v>
      </c>
      <c r="K524" s="6" t="n">
        <f aca="false">ROUND(INDEX(Archetypes!$H$2:$H$127, MATCH(D524, Archetypes!$A$2:$A$127, 0))*INDEX(Unit_Paths!$E$2:$E$4, MATCH(E524, Unit_Paths!$A$2:$A$4, 0)),1)</f>
        <v>12</v>
      </c>
      <c r="L524" s="6" t="n">
        <f aca="false">ROUND(INDEX(Archetypes!$I$2:$I$127, MATCH(D524, Archetypes!$A$2:$A$127, 0))*INDEX(Unit_Grades!$C$2:$C$7, MATCH(F524, Unit_Grades!$A$2:$A$7, 0)),1)</f>
        <v>20</v>
      </c>
      <c r="M524" s="6" t="n">
        <f aca="false">ROUND(INDEX(Archetypes!$J$2:$J$127, MATCH(D524, Archetypes!$A$2:$A$127, 0))*INDEX(Unit_Grades!$D$2:$D$7, MATCH(F524, Unit_Grades!$A$2:$A$7, 0)),1)</f>
        <v>8.1</v>
      </c>
      <c r="N524" s="6" t="n">
        <f aca="false">ROUND(M524/24,2)</f>
        <v>0.34</v>
      </c>
    </row>
    <row r="525" customFormat="false" ht="15" hidden="false" customHeight="true" outlineLevel="0" collapsed="false">
      <c r="A525" s="6" t="n">
        <v>2</v>
      </c>
      <c r="B525" s="6" t="s">
        <v>2063</v>
      </c>
      <c r="C525" s="6" t="s">
        <v>1319</v>
      </c>
      <c r="D525" s="6" t="str">
        <f aca="false">A525&amp;"|"&amp;C525</f>
        <v>2|Noble</v>
      </c>
      <c r="E525" s="6" t="s">
        <v>1556</v>
      </c>
      <c r="F525" s="6" t="s">
        <v>1540</v>
      </c>
      <c r="G525" s="6" t="str">
        <f aca="false">INDEX(Archetypes!$D$2:$D$127, MATCH(D525, Archetypes!$A$2:$A$127, 0))</f>
        <v>Conquest</v>
      </c>
      <c r="H525" s="6" t="n">
        <f aca="false">ROUND(INDEX(Archetypes!$E$2:$E$127, MATCH(D525, Archetypes!$A$2:$A$127, 0))*INDEX(Unit_Grades!$B$2:$B$7, MATCH(F525, Unit_Grades!$A$2:$A$7, 0))*INDEX(Unit_Paths!$B$2:$B$4, MATCH(E525, Unit_Paths!$A$2:$A$4, 0)),1)</f>
        <v>8.1</v>
      </c>
      <c r="I525" s="6" t="n">
        <f aca="false">ROUND(INDEX(Archetypes!$F$2:$F$127, MATCH(D525, Archetypes!$A$2:$A$127, 0))*INDEX(Unit_Grades!$B$2:$B$7, MATCH(F525, Unit_Grades!$A$2:$A$7, 0))*INDEX(Unit_Paths!$C$2:$C$4, MATCH(E525, Unit_Paths!$A$2:$A$4, 0)),1)</f>
        <v>13.5</v>
      </c>
      <c r="J525" s="6" t="n">
        <f aca="false">ROUND(INDEX(Archetypes!$G$2:$G$127, MATCH(D525, Archetypes!$A$2:$A$127, 0))*INDEX(Unit_Grades!$B$2:$B$7, MATCH(F525, Unit_Grades!$A$2:$A$7, 0))*INDEX(Unit_Paths!$D$2:$D$4, MATCH(E525, Unit_Paths!$A$2:$A$4, 0)),0)</f>
        <v>108</v>
      </c>
      <c r="K525" s="6" t="n">
        <f aca="false">ROUND(INDEX(Archetypes!$H$2:$H$127, MATCH(D525, Archetypes!$A$2:$A$127, 0))*INDEX(Unit_Paths!$E$2:$E$4, MATCH(E525, Unit_Paths!$A$2:$A$4, 0)),1)</f>
        <v>12</v>
      </c>
      <c r="L525" s="6" t="n">
        <f aca="false">ROUND(INDEX(Archetypes!$I$2:$I$127, MATCH(D525, Archetypes!$A$2:$A$127, 0))*INDEX(Unit_Grades!$C$2:$C$7, MATCH(F525, Unit_Grades!$A$2:$A$7, 0)),1)</f>
        <v>25</v>
      </c>
      <c r="M525" s="6" t="n">
        <f aca="false">ROUND(INDEX(Archetypes!$J$2:$J$127, MATCH(D525, Archetypes!$A$2:$A$127, 0))*INDEX(Unit_Grades!$D$2:$D$7, MATCH(F525, Unit_Grades!$A$2:$A$7, 0)),1)</f>
        <v>12.2</v>
      </c>
      <c r="N525" s="6" t="n">
        <f aca="false">ROUND(M525/24,2)</f>
        <v>0.51</v>
      </c>
    </row>
    <row r="526" customFormat="false" ht="15" hidden="false" customHeight="true" outlineLevel="0" collapsed="false">
      <c r="A526" s="6" t="n">
        <v>2</v>
      </c>
      <c r="B526" s="6" t="s">
        <v>2064</v>
      </c>
      <c r="C526" s="6" t="s">
        <v>1319</v>
      </c>
      <c r="D526" s="6" t="str">
        <f aca="false">A526&amp;"|"&amp;C526</f>
        <v>2|Noble</v>
      </c>
      <c r="E526" s="6" t="s">
        <v>1556</v>
      </c>
      <c r="F526" s="6" t="s">
        <v>1542</v>
      </c>
      <c r="G526" s="6" t="str">
        <f aca="false">INDEX(Archetypes!$D$2:$D$127, MATCH(D526, Archetypes!$A$2:$A$127, 0))</f>
        <v>Conquest</v>
      </c>
      <c r="H526" s="6" t="n">
        <f aca="false">ROUND(INDEX(Archetypes!$E$2:$E$127, MATCH(D526, Archetypes!$A$2:$A$127, 0))*INDEX(Unit_Grades!$B$2:$B$7, MATCH(F526, Unit_Grades!$A$2:$A$7, 0))*INDEX(Unit_Paths!$B$2:$B$4, MATCH(E526, Unit_Paths!$A$2:$A$4, 0)),1)</f>
        <v>10.8</v>
      </c>
      <c r="I526" s="6" t="n">
        <f aca="false">ROUND(INDEX(Archetypes!$F$2:$F$127, MATCH(D526, Archetypes!$A$2:$A$127, 0))*INDEX(Unit_Grades!$B$2:$B$7, MATCH(F526, Unit_Grades!$A$2:$A$7, 0))*INDEX(Unit_Paths!$C$2:$C$4, MATCH(E526, Unit_Paths!$A$2:$A$4, 0)),1)</f>
        <v>18</v>
      </c>
      <c r="J526" s="6" t="n">
        <f aca="false">ROUND(INDEX(Archetypes!$G$2:$G$127, MATCH(D526, Archetypes!$A$2:$A$127, 0))*INDEX(Unit_Grades!$B$2:$B$7, MATCH(F526, Unit_Grades!$A$2:$A$7, 0))*INDEX(Unit_Paths!$D$2:$D$4, MATCH(E526, Unit_Paths!$A$2:$A$4, 0)),0)</f>
        <v>144</v>
      </c>
      <c r="K526" s="6" t="n">
        <f aca="false">ROUND(INDEX(Archetypes!$H$2:$H$127, MATCH(D526, Archetypes!$A$2:$A$127, 0))*INDEX(Unit_Paths!$E$2:$E$4, MATCH(E526, Unit_Paths!$A$2:$A$4, 0)),1)</f>
        <v>12</v>
      </c>
      <c r="L526" s="6" t="n">
        <f aca="false">ROUND(INDEX(Archetypes!$I$2:$I$127, MATCH(D526, Archetypes!$A$2:$A$127, 0))*INDEX(Unit_Grades!$C$2:$C$7, MATCH(F526, Unit_Grades!$A$2:$A$7, 0)),1)</f>
        <v>32</v>
      </c>
      <c r="M526" s="6" t="n">
        <f aca="false">ROUND(INDEX(Archetypes!$J$2:$J$127, MATCH(D526, Archetypes!$A$2:$A$127, 0))*INDEX(Unit_Grades!$D$2:$D$7, MATCH(F526, Unit_Grades!$A$2:$A$7, 0)),1)</f>
        <v>20.3</v>
      </c>
      <c r="N526" s="6" t="n">
        <f aca="false">ROUND(M526/24,2)</f>
        <v>0.85</v>
      </c>
    </row>
    <row r="527" customFormat="false" ht="15" hidden="false" customHeight="true" outlineLevel="0" collapsed="false">
      <c r="A527" s="6" t="n">
        <v>2</v>
      </c>
      <c r="B527" s="6" t="s">
        <v>2065</v>
      </c>
      <c r="C527" s="6" t="s">
        <v>1319</v>
      </c>
      <c r="D527" s="6" t="str">
        <f aca="false">A527&amp;"|"&amp;C527</f>
        <v>2|Noble</v>
      </c>
      <c r="E527" s="6" t="s">
        <v>1556</v>
      </c>
      <c r="F527" s="6" t="s">
        <v>1544</v>
      </c>
      <c r="G527" s="6" t="str">
        <f aca="false">INDEX(Archetypes!$D$2:$D$127, MATCH(D527, Archetypes!$A$2:$A$127, 0))</f>
        <v>Conquest</v>
      </c>
      <c r="H527" s="6" t="n">
        <f aca="false">ROUND(INDEX(Archetypes!$E$2:$E$127, MATCH(D527, Archetypes!$A$2:$A$127, 0))*INDEX(Unit_Grades!$B$2:$B$7, MATCH(F527, Unit_Grades!$A$2:$A$7, 0))*INDEX(Unit_Paths!$B$2:$B$4, MATCH(E527, Unit_Paths!$A$2:$A$4, 0)),1)</f>
        <v>14.4</v>
      </c>
      <c r="I527" s="6" t="n">
        <f aca="false">ROUND(INDEX(Archetypes!$F$2:$F$127, MATCH(D527, Archetypes!$A$2:$A$127, 0))*INDEX(Unit_Grades!$B$2:$B$7, MATCH(F527, Unit_Grades!$A$2:$A$7, 0))*INDEX(Unit_Paths!$C$2:$C$4, MATCH(E527, Unit_Paths!$A$2:$A$4, 0)),1)</f>
        <v>24</v>
      </c>
      <c r="J527" s="6" t="n">
        <f aca="false">ROUND(INDEX(Archetypes!$G$2:$G$127, MATCH(D527, Archetypes!$A$2:$A$127, 0))*INDEX(Unit_Grades!$B$2:$B$7, MATCH(F527, Unit_Grades!$A$2:$A$7, 0))*INDEX(Unit_Paths!$D$2:$D$4, MATCH(E527, Unit_Paths!$A$2:$A$4, 0)),0)</f>
        <v>192</v>
      </c>
      <c r="K527" s="6" t="n">
        <f aca="false">ROUND(INDEX(Archetypes!$H$2:$H$127, MATCH(D527, Archetypes!$A$2:$A$127, 0))*INDEX(Unit_Paths!$E$2:$E$4, MATCH(E527, Unit_Paths!$A$2:$A$4, 0)),1)</f>
        <v>12</v>
      </c>
      <c r="L527" s="6" t="n">
        <f aca="false">ROUND(INDEX(Archetypes!$I$2:$I$127, MATCH(D527, Archetypes!$A$2:$A$127, 0))*INDEX(Unit_Grades!$C$2:$C$7, MATCH(F527, Unit_Grades!$A$2:$A$7, 0)),1)</f>
        <v>42</v>
      </c>
      <c r="M527" s="6" t="n">
        <f aca="false">ROUND(INDEX(Archetypes!$J$2:$J$127, MATCH(D527, Archetypes!$A$2:$A$127, 0))*INDEX(Unit_Grades!$D$2:$D$7, MATCH(F527, Unit_Grades!$A$2:$A$7, 0)),1)</f>
        <v>32.5</v>
      </c>
      <c r="N527" s="6" t="n">
        <f aca="false">ROUND(M527/24,2)</f>
        <v>1.35</v>
      </c>
    </row>
    <row r="528" customFormat="false" ht="15" hidden="false" customHeight="true" outlineLevel="0" collapsed="false">
      <c r="A528" s="6" t="n">
        <v>2</v>
      </c>
      <c r="B528" s="6" t="s">
        <v>2066</v>
      </c>
      <c r="C528" s="6" t="s">
        <v>1319</v>
      </c>
      <c r="D528" s="6" t="str">
        <f aca="false">A528&amp;"|"&amp;C528</f>
        <v>2|Noble</v>
      </c>
      <c r="E528" s="6" t="s">
        <v>1556</v>
      </c>
      <c r="F528" s="6" t="s">
        <v>1546</v>
      </c>
      <c r="G528" s="6" t="str">
        <f aca="false">INDEX(Archetypes!$D$2:$D$127, MATCH(D528, Archetypes!$A$2:$A$127, 0))</f>
        <v>Conquest</v>
      </c>
      <c r="H528" s="6" t="n">
        <f aca="false">ROUND(INDEX(Archetypes!$E$2:$E$127, MATCH(D528, Archetypes!$A$2:$A$127, 0))*INDEX(Unit_Grades!$B$2:$B$7, MATCH(F528, Unit_Grades!$A$2:$A$7, 0))*INDEX(Unit_Paths!$B$2:$B$4, MATCH(E528, Unit_Paths!$A$2:$A$4, 0)),1)</f>
        <v>19.2</v>
      </c>
      <c r="I528" s="6" t="n">
        <f aca="false">ROUND(INDEX(Archetypes!$F$2:$F$127, MATCH(D528, Archetypes!$A$2:$A$127, 0))*INDEX(Unit_Grades!$B$2:$B$7, MATCH(F528, Unit_Grades!$A$2:$A$7, 0))*INDEX(Unit_Paths!$C$2:$C$4, MATCH(E528, Unit_Paths!$A$2:$A$4, 0)),1)</f>
        <v>32</v>
      </c>
      <c r="J528" s="6" t="n">
        <f aca="false">ROUND(INDEX(Archetypes!$G$2:$G$127, MATCH(D528, Archetypes!$A$2:$A$127, 0))*INDEX(Unit_Grades!$B$2:$B$7, MATCH(F528, Unit_Grades!$A$2:$A$7, 0))*INDEX(Unit_Paths!$D$2:$D$4, MATCH(E528, Unit_Paths!$A$2:$A$4, 0)),0)</f>
        <v>256</v>
      </c>
      <c r="K528" s="6" t="n">
        <f aca="false">ROUND(INDEX(Archetypes!$H$2:$H$127, MATCH(D528, Archetypes!$A$2:$A$127, 0))*INDEX(Unit_Paths!$E$2:$E$4, MATCH(E528, Unit_Paths!$A$2:$A$4, 0)),1)</f>
        <v>12</v>
      </c>
      <c r="L528" s="6" t="n">
        <f aca="false">ROUND(INDEX(Archetypes!$I$2:$I$127, MATCH(D528, Archetypes!$A$2:$A$127, 0))*INDEX(Unit_Grades!$C$2:$C$7, MATCH(F528, Unit_Grades!$A$2:$A$7, 0)),1)</f>
        <v>56</v>
      </c>
      <c r="M528" s="6" t="n">
        <f aca="false">ROUND(INDEX(Archetypes!$J$2:$J$127, MATCH(D528, Archetypes!$A$2:$A$127, 0))*INDEX(Unit_Grades!$D$2:$D$7, MATCH(F528, Unit_Grades!$A$2:$A$7, 0)),1)</f>
        <v>56.8</v>
      </c>
      <c r="N528" s="6" t="n">
        <f aca="false">ROUND(M528/24,2)</f>
        <v>2.37</v>
      </c>
    </row>
    <row r="529" customFormat="false" ht="15" hidden="false" customHeight="true" outlineLevel="0" collapsed="false">
      <c r="A529" s="6" t="n">
        <v>2</v>
      </c>
      <c r="B529" s="6" t="s">
        <v>2067</v>
      </c>
      <c r="C529" s="6" t="s">
        <v>1319</v>
      </c>
      <c r="D529" s="6" t="str">
        <f aca="false">A529&amp;"|"&amp;C529</f>
        <v>2|Noble</v>
      </c>
      <c r="E529" s="6" t="s">
        <v>1556</v>
      </c>
      <c r="F529" s="6" t="s">
        <v>1548</v>
      </c>
      <c r="G529" s="6" t="str">
        <f aca="false">INDEX(Archetypes!$D$2:$D$127, MATCH(D529, Archetypes!$A$2:$A$127, 0))</f>
        <v>Conquest</v>
      </c>
      <c r="H529" s="6" t="n">
        <f aca="false">ROUND(INDEX(Archetypes!$E$2:$E$127, MATCH(D529, Archetypes!$A$2:$A$127, 0))*INDEX(Unit_Grades!$B$2:$B$7, MATCH(F529, Unit_Grades!$A$2:$A$7, 0))*INDEX(Unit_Paths!$B$2:$B$4, MATCH(E529, Unit_Paths!$A$2:$A$4, 0)),1)</f>
        <v>25.2</v>
      </c>
      <c r="I529" s="6" t="n">
        <f aca="false">ROUND(INDEX(Archetypes!$F$2:$F$127, MATCH(D529, Archetypes!$A$2:$A$127, 0))*INDEX(Unit_Grades!$B$2:$B$7, MATCH(F529, Unit_Grades!$A$2:$A$7, 0))*INDEX(Unit_Paths!$C$2:$C$4, MATCH(E529, Unit_Paths!$A$2:$A$4, 0)),1)</f>
        <v>42</v>
      </c>
      <c r="J529" s="6" t="n">
        <f aca="false">ROUND(INDEX(Archetypes!$G$2:$G$127, MATCH(D529, Archetypes!$A$2:$A$127, 0))*INDEX(Unit_Grades!$B$2:$B$7, MATCH(F529, Unit_Grades!$A$2:$A$7, 0))*INDEX(Unit_Paths!$D$2:$D$4, MATCH(E529, Unit_Paths!$A$2:$A$4, 0)),0)</f>
        <v>336</v>
      </c>
      <c r="K529" s="6" t="n">
        <f aca="false">ROUND(INDEX(Archetypes!$H$2:$H$127, MATCH(D529, Archetypes!$A$2:$A$127, 0))*INDEX(Unit_Paths!$E$2:$E$4, MATCH(E529, Unit_Paths!$A$2:$A$4, 0)),1)</f>
        <v>12</v>
      </c>
      <c r="L529" s="6" t="n">
        <f aca="false">ROUND(INDEX(Archetypes!$I$2:$I$127, MATCH(D529, Archetypes!$A$2:$A$127, 0))*INDEX(Unit_Grades!$C$2:$C$7, MATCH(F529, Unit_Grades!$A$2:$A$7, 0)),1)</f>
        <v>74</v>
      </c>
      <c r="M529" s="6" t="n">
        <f aca="false">ROUND(INDEX(Archetypes!$J$2:$J$127, MATCH(D529, Archetypes!$A$2:$A$127, 0))*INDEX(Unit_Grades!$D$2:$D$7, MATCH(F529, Unit_Grades!$A$2:$A$7, 0)),1)</f>
        <v>97.4</v>
      </c>
      <c r="N529" s="6" t="n">
        <f aca="false">ROUND(M529/24,2)</f>
        <v>4.06</v>
      </c>
    </row>
    <row r="530" customFormat="false" ht="15" hidden="false" customHeight="true" outlineLevel="0" collapsed="false">
      <c r="A530" s="6" t="n">
        <v>2</v>
      </c>
      <c r="B530" s="6" t="s">
        <v>2068</v>
      </c>
      <c r="C530" s="6" t="s">
        <v>1319</v>
      </c>
      <c r="D530" s="6" t="str">
        <f aca="false">A530&amp;"|"&amp;C530</f>
        <v>2|Noble</v>
      </c>
      <c r="E530" s="6" t="s">
        <v>1558</v>
      </c>
      <c r="F530" s="6" t="s">
        <v>1538</v>
      </c>
      <c r="G530" s="6" t="str">
        <f aca="false">INDEX(Archetypes!$D$2:$D$127, MATCH(D530, Archetypes!$A$2:$A$127, 0))</f>
        <v>Conquest</v>
      </c>
      <c r="H530" s="6" t="n">
        <f aca="false">ROUND(INDEX(Archetypes!$E$2:$E$127, MATCH(D530, Archetypes!$A$2:$A$127, 0))*INDEX(Unit_Grades!$B$2:$B$7, MATCH(F530, Unit_Grades!$A$2:$A$7, 0))*INDEX(Unit_Paths!$B$2:$B$4, MATCH(E530, Unit_Paths!$A$2:$A$4, 0)),1)</f>
        <v>7.2</v>
      </c>
      <c r="I530" s="6" t="n">
        <f aca="false">ROUND(INDEX(Archetypes!$F$2:$F$127, MATCH(D530, Archetypes!$A$2:$A$127, 0))*INDEX(Unit_Grades!$B$2:$B$7, MATCH(F530, Unit_Grades!$A$2:$A$7, 0))*INDEX(Unit_Paths!$C$2:$C$4, MATCH(E530, Unit_Paths!$A$2:$A$4, 0)),1)</f>
        <v>8.5</v>
      </c>
      <c r="J530" s="6" t="n">
        <f aca="false">ROUND(INDEX(Archetypes!$G$2:$G$127, MATCH(D530, Archetypes!$A$2:$A$127, 0))*INDEX(Unit_Grades!$B$2:$B$7, MATCH(F530, Unit_Grades!$A$2:$A$7, 0))*INDEX(Unit_Paths!$D$2:$D$4, MATCH(E530, Unit_Paths!$A$2:$A$4, 0)),0)</f>
        <v>76</v>
      </c>
      <c r="K530" s="6" t="n">
        <f aca="false">ROUND(INDEX(Archetypes!$H$2:$H$127, MATCH(D530, Archetypes!$A$2:$A$127, 0))*INDEX(Unit_Paths!$E$2:$E$4, MATCH(E530, Unit_Paths!$A$2:$A$4, 0)),1)</f>
        <v>12.6</v>
      </c>
      <c r="L530" s="6" t="n">
        <f aca="false">ROUND(INDEX(Archetypes!$I$2:$I$127, MATCH(D530, Archetypes!$A$2:$A$127, 0))*INDEX(Unit_Grades!$C$2:$C$7, MATCH(F530, Unit_Grades!$A$2:$A$7, 0)),1)</f>
        <v>20</v>
      </c>
      <c r="M530" s="6" t="n">
        <f aca="false">ROUND(INDEX(Archetypes!$J$2:$J$127, MATCH(D530, Archetypes!$A$2:$A$127, 0))*INDEX(Unit_Grades!$D$2:$D$7, MATCH(F530, Unit_Grades!$A$2:$A$7, 0)),1)</f>
        <v>8.1</v>
      </c>
      <c r="N530" s="6" t="n">
        <f aca="false">ROUND(M530/24,2)</f>
        <v>0.34</v>
      </c>
    </row>
    <row r="531" customFormat="false" ht="15" hidden="false" customHeight="true" outlineLevel="0" collapsed="false">
      <c r="A531" s="6" t="n">
        <v>2</v>
      </c>
      <c r="B531" s="6" t="s">
        <v>2069</v>
      </c>
      <c r="C531" s="6" t="s">
        <v>1319</v>
      </c>
      <c r="D531" s="6" t="str">
        <f aca="false">A531&amp;"|"&amp;C531</f>
        <v>2|Noble</v>
      </c>
      <c r="E531" s="6" t="s">
        <v>1558</v>
      </c>
      <c r="F531" s="6" t="s">
        <v>1540</v>
      </c>
      <c r="G531" s="6" t="str">
        <f aca="false">INDEX(Archetypes!$D$2:$D$127, MATCH(D531, Archetypes!$A$2:$A$127, 0))</f>
        <v>Conquest</v>
      </c>
      <c r="H531" s="6" t="n">
        <f aca="false">ROUND(INDEX(Archetypes!$E$2:$E$127, MATCH(D531, Archetypes!$A$2:$A$127, 0))*INDEX(Unit_Grades!$B$2:$B$7, MATCH(F531, Unit_Grades!$A$2:$A$7, 0))*INDEX(Unit_Paths!$B$2:$B$4, MATCH(E531, Unit_Paths!$A$2:$A$4, 0)),1)</f>
        <v>9.7</v>
      </c>
      <c r="I531" s="6" t="n">
        <f aca="false">ROUND(INDEX(Archetypes!$F$2:$F$127, MATCH(D531, Archetypes!$A$2:$A$127, 0))*INDEX(Unit_Grades!$B$2:$B$7, MATCH(F531, Unit_Grades!$A$2:$A$7, 0))*INDEX(Unit_Paths!$C$2:$C$4, MATCH(E531, Unit_Paths!$A$2:$A$4, 0)),1)</f>
        <v>11.5</v>
      </c>
      <c r="J531" s="6" t="n">
        <f aca="false">ROUND(INDEX(Archetypes!$G$2:$G$127, MATCH(D531, Archetypes!$A$2:$A$127, 0))*INDEX(Unit_Grades!$B$2:$B$7, MATCH(F531, Unit_Grades!$A$2:$A$7, 0))*INDEX(Unit_Paths!$D$2:$D$4, MATCH(E531, Unit_Paths!$A$2:$A$4, 0)),0)</f>
        <v>103</v>
      </c>
      <c r="K531" s="6" t="n">
        <f aca="false">ROUND(INDEX(Archetypes!$H$2:$H$127, MATCH(D531, Archetypes!$A$2:$A$127, 0))*INDEX(Unit_Paths!$E$2:$E$4, MATCH(E531, Unit_Paths!$A$2:$A$4, 0)),1)</f>
        <v>12.6</v>
      </c>
      <c r="L531" s="6" t="n">
        <f aca="false">ROUND(INDEX(Archetypes!$I$2:$I$127, MATCH(D531, Archetypes!$A$2:$A$127, 0))*INDEX(Unit_Grades!$C$2:$C$7, MATCH(F531, Unit_Grades!$A$2:$A$7, 0)),1)</f>
        <v>25</v>
      </c>
      <c r="M531" s="6" t="n">
        <f aca="false">ROUND(INDEX(Archetypes!$J$2:$J$127, MATCH(D531, Archetypes!$A$2:$A$127, 0))*INDEX(Unit_Grades!$D$2:$D$7, MATCH(F531, Unit_Grades!$A$2:$A$7, 0)),1)</f>
        <v>12.2</v>
      </c>
      <c r="N531" s="6" t="n">
        <f aca="false">ROUND(M531/24,2)</f>
        <v>0.51</v>
      </c>
    </row>
    <row r="532" customFormat="false" ht="15" hidden="false" customHeight="true" outlineLevel="0" collapsed="false">
      <c r="A532" s="6" t="n">
        <v>2</v>
      </c>
      <c r="B532" s="6" t="s">
        <v>2070</v>
      </c>
      <c r="C532" s="6" t="s">
        <v>1319</v>
      </c>
      <c r="D532" s="6" t="str">
        <f aca="false">A532&amp;"|"&amp;C532</f>
        <v>2|Noble</v>
      </c>
      <c r="E532" s="6" t="s">
        <v>1558</v>
      </c>
      <c r="F532" s="6" t="s">
        <v>1542</v>
      </c>
      <c r="G532" s="6" t="str">
        <f aca="false">INDEX(Archetypes!$D$2:$D$127, MATCH(D532, Archetypes!$A$2:$A$127, 0))</f>
        <v>Conquest</v>
      </c>
      <c r="H532" s="6" t="n">
        <f aca="false">ROUND(INDEX(Archetypes!$E$2:$E$127, MATCH(D532, Archetypes!$A$2:$A$127, 0))*INDEX(Unit_Grades!$B$2:$B$7, MATCH(F532, Unit_Grades!$A$2:$A$7, 0))*INDEX(Unit_Paths!$B$2:$B$4, MATCH(E532, Unit_Paths!$A$2:$A$4, 0)),1)</f>
        <v>13</v>
      </c>
      <c r="I532" s="6" t="n">
        <f aca="false">ROUND(INDEX(Archetypes!$F$2:$F$127, MATCH(D532, Archetypes!$A$2:$A$127, 0))*INDEX(Unit_Grades!$B$2:$B$7, MATCH(F532, Unit_Grades!$A$2:$A$7, 0))*INDEX(Unit_Paths!$C$2:$C$4, MATCH(E532, Unit_Paths!$A$2:$A$4, 0)),1)</f>
        <v>15.3</v>
      </c>
      <c r="J532" s="6" t="n">
        <f aca="false">ROUND(INDEX(Archetypes!$G$2:$G$127, MATCH(D532, Archetypes!$A$2:$A$127, 0))*INDEX(Unit_Grades!$B$2:$B$7, MATCH(F532, Unit_Grades!$A$2:$A$7, 0))*INDEX(Unit_Paths!$D$2:$D$4, MATCH(E532, Unit_Paths!$A$2:$A$4, 0)),0)</f>
        <v>137</v>
      </c>
      <c r="K532" s="6" t="n">
        <f aca="false">ROUND(INDEX(Archetypes!$H$2:$H$127, MATCH(D532, Archetypes!$A$2:$A$127, 0))*INDEX(Unit_Paths!$E$2:$E$4, MATCH(E532, Unit_Paths!$A$2:$A$4, 0)),1)</f>
        <v>12.6</v>
      </c>
      <c r="L532" s="6" t="n">
        <f aca="false">ROUND(INDEX(Archetypes!$I$2:$I$127, MATCH(D532, Archetypes!$A$2:$A$127, 0))*INDEX(Unit_Grades!$C$2:$C$7, MATCH(F532, Unit_Grades!$A$2:$A$7, 0)),1)</f>
        <v>32</v>
      </c>
      <c r="M532" s="6" t="n">
        <f aca="false">ROUND(INDEX(Archetypes!$J$2:$J$127, MATCH(D532, Archetypes!$A$2:$A$127, 0))*INDEX(Unit_Grades!$D$2:$D$7, MATCH(F532, Unit_Grades!$A$2:$A$7, 0)),1)</f>
        <v>20.3</v>
      </c>
      <c r="N532" s="6" t="n">
        <f aca="false">ROUND(M532/24,2)</f>
        <v>0.85</v>
      </c>
    </row>
    <row r="533" customFormat="false" ht="15" hidden="false" customHeight="true" outlineLevel="0" collapsed="false">
      <c r="A533" s="6" t="n">
        <v>2</v>
      </c>
      <c r="B533" s="6" t="s">
        <v>2071</v>
      </c>
      <c r="C533" s="6" t="s">
        <v>1319</v>
      </c>
      <c r="D533" s="6" t="str">
        <f aca="false">A533&amp;"|"&amp;C533</f>
        <v>2|Noble</v>
      </c>
      <c r="E533" s="6" t="s">
        <v>1558</v>
      </c>
      <c r="F533" s="6" t="s">
        <v>1544</v>
      </c>
      <c r="G533" s="6" t="str">
        <f aca="false">INDEX(Archetypes!$D$2:$D$127, MATCH(D533, Archetypes!$A$2:$A$127, 0))</f>
        <v>Conquest</v>
      </c>
      <c r="H533" s="6" t="n">
        <f aca="false">ROUND(INDEX(Archetypes!$E$2:$E$127, MATCH(D533, Archetypes!$A$2:$A$127, 0))*INDEX(Unit_Grades!$B$2:$B$7, MATCH(F533, Unit_Grades!$A$2:$A$7, 0))*INDEX(Unit_Paths!$B$2:$B$4, MATCH(E533, Unit_Paths!$A$2:$A$4, 0)),1)</f>
        <v>17.3</v>
      </c>
      <c r="I533" s="6" t="n">
        <f aca="false">ROUND(INDEX(Archetypes!$F$2:$F$127, MATCH(D533, Archetypes!$A$2:$A$127, 0))*INDEX(Unit_Grades!$B$2:$B$7, MATCH(F533, Unit_Grades!$A$2:$A$7, 0))*INDEX(Unit_Paths!$C$2:$C$4, MATCH(E533, Unit_Paths!$A$2:$A$4, 0)),1)</f>
        <v>20.4</v>
      </c>
      <c r="J533" s="6" t="n">
        <f aca="false">ROUND(INDEX(Archetypes!$G$2:$G$127, MATCH(D533, Archetypes!$A$2:$A$127, 0))*INDEX(Unit_Grades!$B$2:$B$7, MATCH(F533, Unit_Grades!$A$2:$A$7, 0))*INDEX(Unit_Paths!$D$2:$D$4, MATCH(E533, Unit_Paths!$A$2:$A$4, 0)),0)</f>
        <v>182</v>
      </c>
      <c r="K533" s="6" t="n">
        <f aca="false">ROUND(INDEX(Archetypes!$H$2:$H$127, MATCH(D533, Archetypes!$A$2:$A$127, 0))*INDEX(Unit_Paths!$E$2:$E$4, MATCH(E533, Unit_Paths!$A$2:$A$4, 0)),1)</f>
        <v>12.6</v>
      </c>
      <c r="L533" s="6" t="n">
        <f aca="false">ROUND(INDEX(Archetypes!$I$2:$I$127, MATCH(D533, Archetypes!$A$2:$A$127, 0))*INDEX(Unit_Grades!$C$2:$C$7, MATCH(F533, Unit_Grades!$A$2:$A$7, 0)),1)</f>
        <v>42</v>
      </c>
      <c r="M533" s="6" t="n">
        <f aca="false">ROUND(INDEX(Archetypes!$J$2:$J$127, MATCH(D533, Archetypes!$A$2:$A$127, 0))*INDEX(Unit_Grades!$D$2:$D$7, MATCH(F533, Unit_Grades!$A$2:$A$7, 0)),1)</f>
        <v>32.5</v>
      </c>
      <c r="N533" s="6" t="n">
        <f aca="false">ROUND(M533/24,2)</f>
        <v>1.35</v>
      </c>
    </row>
    <row r="534" customFormat="false" ht="15" hidden="false" customHeight="true" outlineLevel="0" collapsed="false">
      <c r="A534" s="6" t="n">
        <v>2</v>
      </c>
      <c r="B534" s="6" t="s">
        <v>2072</v>
      </c>
      <c r="C534" s="6" t="s">
        <v>1319</v>
      </c>
      <c r="D534" s="6" t="str">
        <f aca="false">A534&amp;"|"&amp;C534</f>
        <v>2|Noble</v>
      </c>
      <c r="E534" s="6" t="s">
        <v>1558</v>
      </c>
      <c r="F534" s="6" t="s">
        <v>1546</v>
      </c>
      <c r="G534" s="6" t="str">
        <f aca="false">INDEX(Archetypes!$D$2:$D$127, MATCH(D534, Archetypes!$A$2:$A$127, 0))</f>
        <v>Conquest</v>
      </c>
      <c r="H534" s="6" t="n">
        <f aca="false">ROUND(INDEX(Archetypes!$E$2:$E$127, MATCH(D534, Archetypes!$A$2:$A$127, 0))*INDEX(Unit_Grades!$B$2:$B$7, MATCH(F534, Unit_Grades!$A$2:$A$7, 0))*INDEX(Unit_Paths!$B$2:$B$4, MATCH(E534, Unit_Paths!$A$2:$A$4, 0)),1)</f>
        <v>23</v>
      </c>
      <c r="I534" s="6" t="n">
        <f aca="false">ROUND(INDEX(Archetypes!$F$2:$F$127, MATCH(D534, Archetypes!$A$2:$A$127, 0))*INDEX(Unit_Grades!$B$2:$B$7, MATCH(F534, Unit_Grades!$A$2:$A$7, 0))*INDEX(Unit_Paths!$C$2:$C$4, MATCH(E534, Unit_Paths!$A$2:$A$4, 0)),1)</f>
        <v>27.2</v>
      </c>
      <c r="J534" s="6" t="n">
        <f aca="false">ROUND(INDEX(Archetypes!$G$2:$G$127, MATCH(D534, Archetypes!$A$2:$A$127, 0))*INDEX(Unit_Grades!$B$2:$B$7, MATCH(F534, Unit_Grades!$A$2:$A$7, 0))*INDEX(Unit_Paths!$D$2:$D$4, MATCH(E534, Unit_Paths!$A$2:$A$4, 0)),0)</f>
        <v>243</v>
      </c>
      <c r="K534" s="6" t="n">
        <f aca="false">ROUND(INDEX(Archetypes!$H$2:$H$127, MATCH(D534, Archetypes!$A$2:$A$127, 0))*INDEX(Unit_Paths!$E$2:$E$4, MATCH(E534, Unit_Paths!$A$2:$A$4, 0)),1)</f>
        <v>12.6</v>
      </c>
      <c r="L534" s="6" t="n">
        <f aca="false">ROUND(INDEX(Archetypes!$I$2:$I$127, MATCH(D534, Archetypes!$A$2:$A$127, 0))*INDEX(Unit_Grades!$C$2:$C$7, MATCH(F534, Unit_Grades!$A$2:$A$7, 0)),1)</f>
        <v>56</v>
      </c>
      <c r="M534" s="6" t="n">
        <f aca="false">ROUND(INDEX(Archetypes!$J$2:$J$127, MATCH(D534, Archetypes!$A$2:$A$127, 0))*INDEX(Unit_Grades!$D$2:$D$7, MATCH(F534, Unit_Grades!$A$2:$A$7, 0)),1)</f>
        <v>56.8</v>
      </c>
      <c r="N534" s="6" t="n">
        <f aca="false">ROUND(M534/24,2)</f>
        <v>2.37</v>
      </c>
    </row>
    <row r="535" customFormat="false" ht="15" hidden="false" customHeight="true" outlineLevel="0" collapsed="false">
      <c r="A535" s="6" t="n">
        <v>2</v>
      </c>
      <c r="B535" s="6" t="s">
        <v>2073</v>
      </c>
      <c r="C535" s="6" t="s">
        <v>1319</v>
      </c>
      <c r="D535" s="6" t="str">
        <f aca="false">A535&amp;"|"&amp;C535</f>
        <v>2|Noble</v>
      </c>
      <c r="E535" s="6" t="s">
        <v>1558</v>
      </c>
      <c r="F535" s="6" t="s">
        <v>1548</v>
      </c>
      <c r="G535" s="6" t="str">
        <f aca="false">INDEX(Archetypes!$D$2:$D$127, MATCH(D535, Archetypes!$A$2:$A$127, 0))</f>
        <v>Conquest</v>
      </c>
      <c r="H535" s="6" t="n">
        <f aca="false">ROUND(INDEX(Archetypes!$E$2:$E$127, MATCH(D535, Archetypes!$A$2:$A$127, 0))*INDEX(Unit_Grades!$B$2:$B$7, MATCH(F535, Unit_Grades!$A$2:$A$7, 0))*INDEX(Unit_Paths!$B$2:$B$4, MATCH(E535, Unit_Paths!$A$2:$A$4, 0)),1)</f>
        <v>30.2</v>
      </c>
      <c r="I535" s="6" t="n">
        <f aca="false">ROUND(INDEX(Archetypes!$F$2:$F$127, MATCH(D535, Archetypes!$A$2:$A$127, 0))*INDEX(Unit_Grades!$B$2:$B$7, MATCH(F535, Unit_Grades!$A$2:$A$7, 0))*INDEX(Unit_Paths!$C$2:$C$4, MATCH(E535, Unit_Paths!$A$2:$A$4, 0)),1)</f>
        <v>35.7</v>
      </c>
      <c r="J535" s="6" t="n">
        <f aca="false">ROUND(INDEX(Archetypes!$G$2:$G$127, MATCH(D535, Archetypes!$A$2:$A$127, 0))*INDEX(Unit_Grades!$B$2:$B$7, MATCH(F535, Unit_Grades!$A$2:$A$7, 0))*INDEX(Unit_Paths!$D$2:$D$4, MATCH(E535, Unit_Paths!$A$2:$A$4, 0)),0)</f>
        <v>319</v>
      </c>
      <c r="K535" s="6" t="n">
        <f aca="false">ROUND(INDEX(Archetypes!$H$2:$H$127, MATCH(D535, Archetypes!$A$2:$A$127, 0))*INDEX(Unit_Paths!$E$2:$E$4, MATCH(E535, Unit_Paths!$A$2:$A$4, 0)),1)</f>
        <v>12.6</v>
      </c>
      <c r="L535" s="6" t="n">
        <f aca="false">ROUND(INDEX(Archetypes!$I$2:$I$127, MATCH(D535, Archetypes!$A$2:$A$127, 0))*INDEX(Unit_Grades!$C$2:$C$7, MATCH(F535, Unit_Grades!$A$2:$A$7, 0)),1)</f>
        <v>74</v>
      </c>
      <c r="M535" s="6" t="n">
        <f aca="false">ROUND(INDEX(Archetypes!$J$2:$J$127, MATCH(D535, Archetypes!$A$2:$A$127, 0))*INDEX(Unit_Grades!$D$2:$D$7, MATCH(F535, Unit_Grades!$A$2:$A$7, 0)),1)</f>
        <v>97.4</v>
      </c>
      <c r="N535" s="6" t="n">
        <f aca="false">ROUND(M535/24,2)</f>
        <v>4.06</v>
      </c>
    </row>
    <row r="536" customFormat="false" ht="15" hidden="false" customHeight="true" outlineLevel="0" collapsed="false">
      <c r="A536" s="6" t="n">
        <v>2</v>
      </c>
      <c r="B536" s="6" t="s">
        <v>2074</v>
      </c>
      <c r="C536" s="6" t="s">
        <v>1319</v>
      </c>
      <c r="D536" s="6" t="str">
        <f aca="false">A536&amp;"|"&amp;C536</f>
        <v>2|Noble</v>
      </c>
      <c r="E536" s="6" t="s">
        <v>1560</v>
      </c>
      <c r="F536" s="6" t="s">
        <v>1538</v>
      </c>
      <c r="G536" s="6" t="str">
        <f aca="false">INDEX(Archetypes!$D$2:$D$127, MATCH(D536, Archetypes!$A$2:$A$127, 0))</f>
        <v>Conquest</v>
      </c>
      <c r="H536" s="6" t="n">
        <f aca="false">ROUND(INDEX(Archetypes!$E$2:$E$127, MATCH(D536, Archetypes!$A$2:$A$127, 0))*INDEX(Unit_Grades!$B$2:$B$7, MATCH(F536, Unit_Grades!$A$2:$A$7, 0))*INDEX(Unit_Paths!$B$2:$B$4, MATCH(E536, Unit_Paths!$A$2:$A$4, 0)),1)</f>
        <v>5.1</v>
      </c>
      <c r="I536" s="6" t="n">
        <f aca="false">ROUND(INDEX(Archetypes!$F$2:$F$127, MATCH(D536, Archetypes!$A$2:$A$127, 0))*INDEX(Unit_Grades!$B$2:$B$7, MATCH(F536, Unit_Grades!$A$2:$A$7, 0))*INDEX(Unit_Paths!$C$2:$C$4, MATCH(E536, Unit_Paths!$A$2:$A$4, 0)),1)</f>
        <v>12.5</v>
      </c>
      <c r="J536" s="6" t="n">
        <f aca="false">ROUND(INDEX(Archetypes!$G$2:$G$127, MATCH(D536, Archetypes!$A$2:$A$127, 0))*INDEX(Unit_Grades!$B$2:$B$7, MATCH(F536, Unit_Grades!$A$2:$A$7, 0))*INDEX(Unit_Paths!$D$2:$D$4, MATCH(E536, Unit_Paths!$A$2:$A$4, 0)),0)</f>
        <v>92</v>
      </c>
      <c r="K536" s="6" t="n">
        <f aca="false">ROUND(INDEX(Archetypes!$H$2:$H$127, MATCH(D536, Archetypes!$A$2:$A$127, 0))*INDEX(Unit_Paths!$E$2:$E$4, MATCH(E536, Unit_Paths!$A$2:$A$4, 0)),1)</f>
        <v>11</v>
      </c>
      <c r="L536" s="6" t="n">
        <f aca="false">ROUND(INDEX(Archetypes!$I$2:$I$127, MATCH(D536, Archetypes!$A$2:$A$127, 0))*INDEX(Unit_Grades!$C$2:$C$7, MATCH(F536, Unit_Grades!$A$2:$A$7, 0)),1)</f>
        <v>20</v>
      </c>
      <c r="M536" s="6" t="n">
        <f aca="false">ROUND(INDEX(Archetypes!$J$2:$J$127, MATCH(D536, Archetypes!$A$2:$A$127, 0))*INDEX(Unit_Grades!$D$2:$D$7, MATCH(F536, Unit_Grades!$A$2:$A$7, 0)),1)</f>
        <v>8.1</v>
      </c>
      <c r="N536" s="6" t="n">
        <f aca="false">ROUND(M536/24,2)</f>
        <v>0.34</v>
      </c>
    </row>
    <row r="537" customFormat="false" ht="15" hidden="false" customHeight="true" outlineLevel="0" collapsed="false">
      <c r="A537" s="6" t="n">
        <v>2</v>
      </c>
      <c r="B537" s="6" t="s">
        <v>2075</v>
      </c>
      <c r="C537" s="6" t="s">
        <v>1319</v>
      </c>
      <c r="D537" s="6" t="str">
        <f aca="false">A537&amp;"|"&amp;C537</f>
        <v>2|Noble</v>
      </c>
      <c r="E537" s="6" t="s">
        <v>1560</v>
      </c>
      <c r="F537" s="6" t="s">
        <v>1540</v>
      </c>
      <c r="G537" s="6" t="str">
        <f aca="false">INDEX(Archetypes!$D$2:$D$127, MATCH(D537, Archetypes!$A$2:$A$127, 0))</f>
        <v>Conquest</v>
      </c>
      <c r="H537" s="6" t="n">
        <f aca="false">ROUND(INDEX(Archetypes!$E$2:$E$127, MATCH(D537, Archetypes!$A$2:$A$127, 0))*INDEX(Unit_Grades!$B$2:$B$7, MATCH(F537, Unit_Grades!$A$2:$A$7, 0))*INDEX(Unit_Paths!$B$2:$B$4, MATCH(E537, Unit_Paths!$A$2:$A$4, 0)),1)</f>
        <v>6.9</v>
      </c>
      <c r="I537" s="6" t="n">
        <f aca="false">ROUND(INDEX(Archetypes!$F$2:$F$127, MATCH(D537, Archetypes!$A$2:$A$127, 0))*INDEX(Unit_Grades!$B$2:$B$7, MATCH(F537, Unit_Grades!$A$2:$A$7, 0))*INDEX(Unit_Paths!$C$2:$C$4, MATCH(E537, Unit_Paths!$A$2:$A$4, 0)),1)</f>
        <v>16.9</v>
      </c>
      <c r="J537" s="6" t="n">
        <f aca="false">ROUND(INDEX(Archetypes!$G$2:$G$127, MATCH(D537, Archetypes!$A$2:$A$127, 0))*INDEX(Unit_Grades!$B$2:$B$7, MATCH(F537, Unit_Grades!$A$2:$A$7, 0))*INDEX(Unit_Paths!$D$2:$D$4, MATCH(E537, Unit_Paths!$A$2:$A$4, 0)),0)</f>
        <v>124</v>
      </c>
      <c r="K537" s="6" t="n">
        <f aca="false">ROUND(INDEX(Archetypes!$H$2:$H$127, MATCH(D537, Archetypes!$A$2:$A$127, 0))*INDEX(Unit_Paths!$E$2:$E$4, MATCH(E537, Unit_Paths!$A$2:$A$4, 0)),1)</f>
        <v>11</v>
      </c>
      <c r="L537" s="6" t="n">
        <f aca="false">ROUND(INDEX(Archetypes!$I$2:$I$127, MATCH(D537, Archetypes!$A$2:$A$127, 0))*INDEX(Unit_Grades!$C$2:$C$7, MATCH(F537, Unit_Grades!$A$2:$A$7, 0)),1)</f>
        <v>25</v>
      </c>
      <c r="M537" s="6" t="n">
        <f aca="false">ROUND(INDEX(Archetypes!$J$2:$J$127, MATCH(D537, Archetypes!$A$2:$A$127, 0))*INDEX(Unit_Grades!$D$2:$D$7, MATCH(F537, Unit_Grades!$A$2:$A$7, 0)),1)</f>
        <v>12.2</v>
      </c>
      <c r="N537" s="6" t="n">
        <f aca="false">ROUND(M537/24,2)</f>
        <v>0.51</v>
      </c>
    </row>
    <row r="538" customFormat="false" ht="15" hidden="false" customHeight="true" outlineLevel="0" collapsed="false">
      <c r="A538" s="6" t="n">
        <v>2</v>
      </c>
      <c r="B538" s="6" t="s">
        <v>2076</v>
      </c>
      <c r="C538" s="6" t="s">
        <v>1319</v>
      </c>
      <c r="D538" s="6" t="str">
        <f aca="false">A538&amp;"|"&amp;C538</f>
        <v>2|Noble</v>
      </c>
      <c r="E538" s="6" t="s">
        <v>1560</v>
      </c>
      <c r="F538" s="6" t="s">
        <v>1542</v>
      </c>
      <c r="G538" s="6" t="str">
        <f aca="false">INDEX(Archetypes!$D$2:$D$127, MATCH(D538, Archetypes!$A$2:$A$127, 0))</f>
        <v>Conquest</v>
      </c>
      <c r="H538" s="6" t="n">
        <f aca="false">ROUND(INDEX(Archetypes!$E$2:$E$127, MATCH(D538, Archetypes!$A$2:$A$127, 0))*INDEX(Unit_Grades!$B$2:$B$7, MATCH(F538, Unit_Grades!$A$2:$A$7, 0))*INDEX(Unit_Paths!$B$2:$B$4, MATCH(E538, Unit_Paths!$A$2:$A$4, 0)),1)</f>
        <v>9.2</v>
      </c>
      <c r="I538" s="6" t="n">
        <f aca="false">ROUND(INDEX(Archetypes!$F$2:$F$127, MATCH(D538, Archetypes!$A$2:$A$127, 0))*INDEX(Unit_Grades!$B$2:$B$7, MATCH(F538, Unit_Grades!$A$2:$A$7, 0))*INDEX(Unit_Paths!$C$2:$C$4, MATCH(E538, Unit_Paths!$A$2:$A$4, 0)),1)</f>
        <v>22.5</v>
      </c>
      <c r="J538" s="6" t="n">
        <f aca="false">ROUND(INDEX(Archetypes!$G$2:$G$127, MATCH(D538, Archetypes!$A$2:$A$127, 0))*INDEX(Unit_Grades!$B$2:$B$7, MATCH(F538, Unit_Grades!$A$2:$A$7, 0))*INDEX(Unit_Paths!$D$2:$D$4, MATCH(E538, Unit_Paths!$A$2:$A$4, 0)),0)</f>
        <v>166</v>
      </c>
      <c r="K538" s="6" t="n">
        <f aca="false">ROUND(INDEX(Archetypes!$H$2:$H$127, MATCH(D538, Archetypes!$A$2:$A$127, 0))*INDEX(Unit_Paths!$E$2:$E$4, MATCH(E538, Unit_Paths!$A$2:$A$4, 0)),1)</f>
        <v>11</v>
      </c>
      <c r="L538" s="6" t="n">
        <f aca="false">ROUND(INDEX(Archetypes!$I$2:$I$127, MATCH(D538, Archetypes!$A$2:$A$127, 0))*INDEX(Unit_Grades!$C$2:$C$7, MATCH(F538, Unit_Grades!$A$2:$A$7, 0)),1)</f>
        <v>32</v>
      </c>
      <c r="M538" s="6" t="n">
        <f aca="false">ROUND(INDEX(Archetypes!$J$2:$J$127, MATCH(D538, Archetypes!$A$2:$A$127, 0))*INDEX(Unit_Grades!$D$2:$D$7, MATCH(F538, Unit_Grades!$A$2:$A$7, 0)),1)</f>
        <v>20.3</v>
      </c>
      <c r="N538" s="6" t="n">
        <f aca="false">ROUND(M538/24,2)</f>
        <v>0.85</v>
      </c>
    </row>
    <row r="539" customFormat="false" ht="15" hidden="false" customHeight="true" outlineLevel="0" collapsed="false">
      <c r="A539" s="6" t="n">
        <v>2</v>
      </c>
      <c r="B539" s="6" t="s">
        <v>2077</v>
      </c>
      <c r="C539" s="6" t="s">
        <v>1319</v>
      </c>
      <c r="D539" s="6" t="str">
        <f aca="false">A539&amp;"|"&amp;C539</f>
        <v>2|Noble</v>
      </c>
      <c r="E539" s="6" t="s">
        <v>1560</v>
      </c>
      <c r="F539" s="6" t="s">
        <v>1544</v>
      </c>
      <c r="G539" s="6" t="str">
        <f aca="false">INDEX(Archetypes!$D$2:$D$127, MATCH(D539, Archetypes!$A$2:$A$127, 0))</f>
        <v>Conquest</v>
      </c>
      <c r="H539" s="6" t="n">
        <f aca="false">ROUND(INDEX(Archetypes!$E$2:$E$127, MATCH(D539, Archetypes!$A$2:$A$127, 0))*INDEX(Unit_Grades!$B$2:$B$7, MATCH(F539, Unit_Grades!$A$2:$A$7, 0))*INDEX(Unit_Paths!$B$2:$B$4, MATCH(E539, Unit_Paths!$A$2:$A$4, 0)),1)</f>
        <v>12.2</v>
      </c>
      <c r="I539" s="6" t="n">
        <f aca="false">ROUND(INDEX(Archetypes!$F$2:$F$127, MATCH(D539, Archetypes!$A$2:$A$127, 0))*INDEX(Unit_Grades!$B$2:$B$7, MATCH(F539, Unit_Grades!$A$2:$A$7, 0))*INDEX(Unit_Paths!$C$2:$C$4, MATCH(E539, Unit_Paths!$A$2:$A$4, 0)),1)</f>
        <v>30</v>
      </c>
      <c r="J539" s="6" t="n">
        <f aca="false">ROUND(INDEX(Archetypes!$G$2:$G$127, MATCH(D539, Archetypes!$A$2:$A$127, 0))*INDEX(Unit_Grades!$B$2:$B$7, MATCH(F539, Unit_Grades!$A$2:$A$7, 0))*INDEX(Unit_Paths!$D$2:$D$4, MATCH(E539, Unit_Paths!$A$2:$A$4, 0)),0)</f>
        <v>221</v>
      </c>
      <c r="K539" s="6" t="n">
        <f aca="false">ROUND(INDEX(Archetypes!$H$2:$H$127, MATCH(D539, Archetypes!$A$2:$A$127, 0))*INDEX(Unit_Paths!$E$2:$E$4, MATCH(E539, Unit_Paths!$A$2:$A$4, 0)),1)</f>
        <v>11</v>
      </c>
      <c r="L539" s="6" t="n">
        <f aca="false">ROUND(INDEX(Archetypes!$I$2:$I$127, MATCH(D539, Archetypes!$A$2:$A$127, 0))*INDEX(Unit_Grades!$C$2:$C$7, MATCH(F539, Unit_Grades!$A$2:$A$7, 0)),1)</f>
        <v>42</v>
      </c>
      <c r="M539" s="6" t="n">
        <f aca="false">ROUND(INDEX(Archetypes!$J$2:$J$127, MATCH(D539, Archetypes!$A$2:$A$127, 0))*INDEX(Unit_Grades!$D$2:$D$7, MATCH(F539, Unit_Grades!$A$2:$A$7, 0)),1)</f>
        <v>32.5</v>
      </c>
      <c r="N539" s="6" t="n">
        <f aca="false">ROUND(M539/24,2)</f>
        <v>1.35</v>
      </c>
    </row>
    <row r="540" customFormat="false" ht="15" hidden="false" customHeight="true" outlineLevel="0" collapsed="false">
      <c r="A540" s="6" t="n">
        <v>2</v>
      </c>
      <c r="B540" s="6" t="s">
        <v>2078</v>
      </c>
      <c r="C540" s="6" t="s">
        <v>1319</v>
      </c>
      <c r="D540" s="6" t="str">
        <f aca="false">A540&amp;"|"&amp;C540</f>
        <v>2|Noble</v>
      </c>
      <c r="E540" s="6" t="s">
        <v>1560</v>
      </c>
      <c r="F540" s="6" t="s">
        <v>1546</v>
      </c>
      <c r="G540" s="6" t="str">
        <f aca="false">INDEX(Archetypes!$D$2:$D$127, MATCH(D540, Archetypes!$A$2:$A$127, 0))</f>
        <v>Conquest</v>
      </c>
      <c r="H540" s="6" t="n">
        <f aca="false">ROUND(INDEX(Archetypes!$E$2:$E$127, MATCH(D540, Archetypes!$A$2:$A$127, 0))*INDEX(Unit_Grades!$B$2:$B$7, MATCH(F540, Unit_Grades!$A$2:$A$7, 0))*INDEX(Unit_Paths!$B$2:$B$4, MATCH(E540, Unit_Paths!$A$2:$A$4, 0)),1)</f>
        <v>16.3</v>
      </c>
      <c r="I540" s="6" t="n">
        <f aca="false">ROUND(INDEX(Archetypes!$F$2:$F$127, MATCH(D540, Archetypes!$A$2:$A$127, 0))*INDEX(Unit_Grades!$B$2:$B$7, MATCH(F540, Unit_Grades!$A$2:$A$7, 0))*INDEX(Unit_Paths!$C$2:$C$4, MATCH(E540, Unit_Paths!$A$2:$A$4, 0)),1)</f>
        <v>40</v>
      </c>
      <c r="J540" s="6" t="n">
        <f aca="false">ROUND(INDEX(Archetypes!$G$2:$G$127, MATCH(D540, Archetypes!$A$2:$A$127, 0))*INDEX(Unit_Grades!$B$2:$B$7, MATCH(F540, Unit_Grades!$A$2:$A$7, 0))*INDEX(Unit_Paths!$D$2:$D$4, MATCH(E540, Unit_Paths!$A$2:$A$4, 0)),0)</f>
        <v>294</v>
      </c>
      <c r="K540" s="6" t="n">
        <f aca="false">ROUND(INDEX(Archetypes!$H$2:$H$127, MATCH(D540, Archetypes!$A$2:$A$127, 0))*INDEX(Unit_Paths!$E$2:$E$4, MATCH(E540, Unit_Paths!$A$2:$A$4, 0)),1)</f>
        <v>11</v>
      </c>
      <c r="L540" s="6" t="n">
        <f aca="false">ROUND(INDEX(Archetypes!$I$2:$I$127, MATCH(D540, Archetypes!$A$2:$A$127, 0))*INDEX(Unit_Grades!$C$2:$C$7, MATCH(F540, Unit_Grades!$A$2:$A$7, 0)),1)</f>
        <v>56</v>
      </c>
      <c r="M540" s="6" t="n">
        <f aca="false">ROUND(INDEX(Archetypes!$J$2:$J$127, MATCH(D540, Archetypes!$A$2:$A$127, 0))*INDEX(Unit_Grades!$D$2:$D$7, MATCH(F540, Unit_Grades!$A$2:$A$7, 0)),1)</f>
        <v>56.8</v>
      </c>
      <c r="N540" s="6" t="n">
        <f aca="false">ROUND(M540/24,2)</f>
        <v>2.37</v>
      </c>
    </row>
    <row r="541" customFormat="false" ht="15" hidden="false" customHeight="true" outlineLevel="0" collapsed="false">
      <c r="A541" s="6" t="n">
        <v>2</v>
      </c>
      <c r="B541" s="6" t="s">
        <v>2079</v>
      </c>
      <c r="C541" s="6" t="s">
        <v>1319</v>
      </c>
      <c r="D541" s="6" t="str">
        <f aca="false">A541&amp;"|"&amp;C541</f>
        <v>2|Noble</v>
      </c>
      <c r="E541" s="6" t="s">
        <v>1560</v>
      </c>
      <c r="F541" s="6" t="s">
        <v>1548</v>
      </c>
      <c r="G541" s="6" t="str">
        <f aca="false">INDEX(Archetypes!$D$2:$D$127, MATCH(D541, Archetypes!$A$2:$A$127, 0))</f>
        <v>Conquest</v>
      </c>
      <c r="H541" s="6" t="n">
        <f aca="false">ROUND(INDEX(Archetypes!$E$2:$E$127, MATCH(D541, Archetypes!$A$2:$A$127, 0))*INDEX(Unit_Grades!$B$2:$B$7, MATCH(F541, Unit_Grades!$A$2:$A$7, 0))*INDEX(Unit_Paths!$B$2:$B$4, MATCH(E541, Unit_Paths!$A$2:$A$4, 0)),1)</f>
        <v>21.4</v>
      </c>
      <c r="I541" s="6" t="n">
        <f aca="false">ROUND(INDEX(Archetypes!$F$2:$F$127, MATCH(D541, Archetypes!$A$2:$A$127, 0))*INDEX(Unit_Grades!$B$2:$B$7, MATCH(F541, Unit_Grades!$A$2:$A$7, 0))*INDEX(Unit_Paths!$C$2:$C$4, MATCH(E541, Unit_Paths!$A$2:$A$4, 0)),1)</f>
        <v>52.5</v>
      </c>
      <c r="J541" s="6" t="n">
        <f aca="false">ROUND(INDEX(Archetypes!$G$2:$G$127, MATCH(D541, Archetypes!$A$2:$A$127, 0))*INDEX(Unit_Grades!$B$2:$B$7, MATCH(F541, Unit_Grades!$A$2:$A$7, 0))*INDEX(Unit_Paths!$D$2:$D$4, MATCH(E541, Unit_Paths!$A$2:$A$4, 0)),0)</f>
        <v>386</v>
      </c>
      <c r="K541" s="6" t="n">
        <f aca="false">ROUND(INDEX(Archetypes!$H$2:$H$127, MATCH(D541, Archetypes!$A$2:$A$127, 0))*INDEX(Unit_Paths!$E$2:$E$4, MATCH(E541, Unit_Paths!$A$2:$A$4, 0)),1)</f>
        <v>11</v>
      </c>
      <c r="L541" s="6" t="n">
        <f aca="false">ROUND(INDEX(Archetypes!$I$2:$I$127, MATCH(D541, Archetypes!$A$2:$A$127, 0))*INDEX(Unit_Grades!$C$2:$C$7, MATCH(F541, Unit_Grades!$A$2:$A$7, 0)),1)</f>
        <v>74</v>
      </c>
      <c r="M541" s="6" t="n">
        <f aca="false">ROUND(INDEX(Archetypes!$J$2:$J$127, MATCH(D541, Archetypes!$A$2:$A$127, 0))*INDEX(Unit_Grades!$D$2:$D$7, MATCH(F541, Unit_Grades!$A$2:$A$7, 0)),1)</f>
        <v>97.4</v>
      </c>
      <c r="N541" s="6" t="n">
        <f aca="false">ROUND(M541/24,2)</f>
        <v>4.06</v>
      </c>
    </row>
    <row r="542" customFormat="false" ht="15" hidden="false" customHeight="true" outlineLevel="0" collapsed="false">
      <c r="A542" s="6" t="n">
        <v>2</v>
      </c>
      <c r="B542" s="6" t="s">
        <v>1322</v>
      </c>
      <c r="C542" s="6" t="s">
        <v>1322</v>
      </c>
      <c r="D542" s="6" t="str">
        <f aca="false">A542&amp;"|"&amp;C542</f>
        <v>2|Spy</v>
      </c>
      <c r="E542" s="6" t="s">
        <v>1556</v>
      </c>
      <c r="F542" s="6" t="s">
        <v>1538</v>
      </c>
      <c r="G542" s="6" t="str">
        <f aca="false">INDEX(Archetypes!$D$2:$D$127, MATCH(D542, Archetypes!$A$2:$A$127, 0))</f>
        <v>Agent</v>
      </c>
      <c r="H542" s="6" t="n">
        <f aca="false">ROUND(INDEX(Archetypes!$E$2:$E$127, MATCH(D542, Archetypes!$A$2:$A$127, 0))*INDEX(Unit_Grades!$B$2:$B$7, MATCH(F542, Unit_Grades!$A$2:$A$7, 0))*INDEX(Unit_Paths!$B$2:$B$4, MATCH(E542, Unit_Paths!$A$2:$A$4, 0)),1)</f>
        <v>4</v>
      </c>
      <c r="I542" s="6" t="n">
        <f aca="false">ROUND(INDEX(Archetypes!$F$2:$F$127, MATCH(D542, Archetypes!$A$2:$A$127, 0))*INDEX(Unit_Grades!$B$2:$B$7, MATCH(F542, Unit_Grades!$A$2:$A$7, 0))*INDEX(Unit_Paths!$C$2:$C$4, MATCH(E542, Unit_Paths!$A$2:$A$4, 0)),1)</f>
        <v>4</v>
      </c>
      <c r="J542" s="6" t="n">
        <f aca="false">ROUND(INDEX(Archetypes!$G$2:$G$127, MATCH(D542, Archetypes!$A$2:$A$127, 0))*INDEX(Unit_Grades!$B$2:$B$7, MATCH(F542, Unit_Grades!$A$2:$A$7, 0))*INDEX(Unit_Paths!$D$2:$D$4, MATCH(E542, Unit_Paths!$A$2:$A$4, 0)),0)</f>
        <v>35</v>
      </c>
      <c r="K542" s="6" t="n">
        <f aca="false">ROUND(INDEX(Archetypes!$H$2:$H$127, MATCH(D542, Archetypes!$A$2:$A$127, 0))*INDEX(Unit_Paths!$E$2:$E$4, MATCH(E542, Unit_Paths!$A$2:$A$4, 0)),1)</f>
        <v>24</v>
      </c>
      <c r="L542" s="6" t="n">
        <f aca="false">ROUND(INDEX(Archetypes!$I$2:$I$127, MATCH(D542, Archetypes!$A$2:$A$127, 0))*INDEX(Unit_Grades!$C$2:$C$7, MATCH(F542, Unit_Grades!$A$2:$A$7, 0)),1)</f>
        <v>6</v>
      </c>
      <c r="M542" s="6" t="n">
        <f aca="false">ROUND(INDEX(Archetypes!$J$2:$J$127, MATCH(D542, Archetypes!$A$2:$A$127, 0))*INDEX(Unit_Grades!$D$2:$D$7, MATCH(F542, Unit_Grades!$A$2:$A$7, 0)),1)</f>
        <v>2.4</v>
      </c>
      <c r="N542" s="6" t="n">
        <f aca="false">ROUND(M542/24,2)</f>
        <v>0.1</v>
      </c>
    </row>
    <row r="543" customFormat="false" ht="15" hidden="false" customHeight="true" outlineLevel="0" collapsed="false">
      <c r="A543" s="6" t="n">
        <v>2</v>
      </c>
      <c r="B543" s="6" t="s">
        <v>2080</v>
      </c>
      <c r="C543" s="6" t="s">
        <v>1322</v>
      </c>
      <c r="D543" s="6" t="str">
        <f aca="false">A543&amp;"|"&amp;C543</f>
        <v>2|Spy</v>
      </c>
      <c r="E543" s="6" t="s">
        <v>1556</v>
      </c>
      <c r="F543" s="6" t="s">
        <v>1540</v>
      </c>
      <c r="G543" s="6" t="str">
        <f aca="false">INDEX(Archetypes!$D$2:$D$127, MATCH(D543, Archetypes!$A$2:$A$127, 0))</f>
        <v>Agent</v>
      </c>
      <c r="H543" s="6" t="n">
        <f aca="false">ROUND(INDEX(Archetypes!$E$2:$E$127, MATCH(D543, Archetypes!$A$2:$A$127, 0))*INDEX(Unit_Grades!$B$2:$B$7, MATCH(F543, Unit_Grades!$A$2:$A$7, 0))*INDEX(Unit_Paths!$B$2:$B$4, MATCH(E543, Unit_Paths!$A$2:$A$4, 0)),1)</f>
        <v>5.4</v>
      </c>
      <c r="I543" s="6" t="n">
        <f aca="false">ROUND(INDEX(Archetypes!$F$2:$F$127, MATCH(D543, Archetypes!$A$2:$A$127, 0))*INDEX(Unit_Grades!$B$2:$B$7, MATCH(F543, Unit_Grades!$A$2:$A$7, 0))*INDEX(Unit_Paths!$C$2:$C$4, MATCH(E543, Unit_Paths!$A$2:$A$4, 0)),1)</f>
        <v>5.4</v>
      </c>
      <c r="J543" s="6" t="n">
        <f aca="false">ROUND(INDEX(Archetypes!$G$2:$G$127, MATCH(D543, Archetypes!$A$2:$A$127, 0))*INDEX(Unit_Grades!$B$2:$B$7, MATCH(F543, Unit_Grades!$A$2:$A$7, 0))*INDEX(Unit_Paths!$D$2:$D$4, MATCH(E543, Unit_Paths!$A$2:$A$4, 0)),0)</f>
        <v>47</v>
      </c>
      <c r="K543" s="6" t="n">
        <f aca="false">ROUND(INDEX(Archetypes!$H$2:$H$127, MATCH(D543, Archetypes!$A$2:$A$127, 0))*INDEX(Unit_Paths!$E$2:$E$4, MATCH(E543, Unit_Paths!$A$2:$A$4, 0)),1)</f>
        <v>24</v>
      </c>
      <c r="L543" s="6" t="n">
        <f aca="false">ROUND(INDEX(Archetypes!$I$2:$I$127, MATCH(D543, Archetypes!$A$2:$A$127, 0))*INDEX(Unit_Grades!$C$2:$C$7, MATCH(F543, Unit_Grades!$A$2:$A$7, 0)),1)</f>
        <v>7.5</v>
      </c>
      <c r="M543" s="6" t="n">
        <f aca="false">ROUND(INDEX(Archetypes!$J$2:$J$127, MATCH(D543, Archetypes!$A$2:$A$127, 0))*INDEX(Unit_Grades!$D$2:$D$7, MATCH(F543, Unit_Grades!$A$2:$A$7, 0)),1)</f>
        <v>3.7</v>
      </c>
      <c r="N543" s="6" t="n">
        <f aca="false">ROUND(M543/24,2)</f>
        <v>0.15</v>
      </c>
    </row>
    <row r="544" customFormat="false" ht="15" hidden="false" customHeight="true" outlineLevel="0" collapsed="false">
      <c r="A544" s="6" t="n">
        <v>2</v>
      </c>
      <c r="B544" s="6" t="s">
        <v>2081</v>
      </c>
      <c r="C544" s="6" t="s">
        <v>1322</v>
      </c>
      <c r="D544" s="6" t="str">
        <f aca="false">A544&amp;"|"&amp;C544</f>
        <v>2|Spy</v>
      </c>
      <c r="E544" s="6" t="s">
        <v>1556</v>
      </c>
      <c r="F544" s="6" t="s">
        <v>1542</v>
      </c>
      <c r="G544" s="6" t="str">
        <f aca="false">INDEX(Archetypes!$D$2:$D$127, MATCH(D544, Archetypes!$A$2:$A$127, 0))</f>
        <v>Agent</v>
      </c>
      <c r="H544" s="6" t="n">
        <f aca="false">ROUND(INDEX(Archetypes!$E$2:$E$127, MATCH(D544, Archetypes!$A$2:$A$127, 0))*INDEX(Unit_Grades!$B$2:$B$7, MATCH(F544, Unit_Grades!$A$2:$A$7, 0))*INDEX(Unit_Paths!$B$2:$B$4, MATCH(E544, Unit_Paths!$A$2:$A$4, 0)),1)</f>
        <v>7.2</v>
      </c>
      <c r="I544" s="6" t="n">
        <f aca="false">ROUND(INDEX(Archetypes!$F$2:$F$127, MATCH(D544, Archetypes!$A$2:$A$127, 0))*INDEX(Unit_Grades!$B$2:$B$7, MATCH(F544, Unit_Grades!$A$2:$A$7, 0))*INDEX(Unit_Paths!$C$2:$C$4, MATCH(E544, Unit_Paths!$A$2:$A$4, 0)),1)</f>
        <v>7.2</v>
      </c>
      <c r="J544" s="6" t="n">
        <f aca="false">ROUND(INDEX(Archetypes!$G$2:$G$127, MATCH(D544, Archetypes!$A$2:$A$127, 0))*INDEX(Unit_Grades!$B$2:$B$7, MATCH(F544, Unit_Grades!$A$2:$A$7, 0))*INDEX(Unit_Paths!$D$2:$D$4, MATCH(E544, Unit_Paths!$A$2:$A$4, 0)),0)</f>
        <v>63</v>
      </c>
      <c r="K544" s="6" t="n">
        <f aca="false">ROUND(INDEX(Archetypes!$H$2:$H$127, MATCH(D544, Archetypes!$A$2:$A$127, 0))*INDEX(Unit_Paths!$E$2:$E$4, MATCH(E544, Unit_Paths!$A$2:$A$4, 0)),1)</f>
        <v>24</v>
      </c>
      <c r="L544" s="6" t="n">
        <f aca="false">ROUND(INDEX(Archetypes!$I$2:$I$127, MATCH(D544, Archetypes!$A$2:$A$127, 0))*INDEX(Unit_Grades!$C$2:$C$7, MATCH(F544, Unit_Grades!$A$2:$A$7, 0)),1)</f>
        <v>9.6</v>
      </c>
      <c r="M544" s="6" t="n">
        <f aca="false">ROUND(INDEX(Archetypes!$J$2:$J$127, MATCH(D544, Archetypes!$A$2:$A$127, 0))*INDEX(Unit_Grades!$D$2:$D$7, MATCH(F544, Unit_Grades!$A$2:$A$7, 0)),1)</f>
        <v>6.1</v>
      </c>
      <c r="N544" s="6" t="n">
        <f aca="false">ROUND(M544/24,2)</f>
        <v>0.25</v>
      </c>
    </row>
    <row r="545" customFormat="false" ht="15" hidden="false" customHeight="true" outlineLevel="0" collapsed="false">
      <c r="A545" s="6" t="n">
        <v>2</v>
      </c>
      <c r="B545" s="6" t="s">
        <v>2082</v>
      </c>
      <c r="C545" s="6" t="s">
        <v>1322</v>
      </c>
      <c r="D545" s="6" t="str">
        <f aca="false">A545&amp;"|"&amp;C545</f>
        <v>2|Spy</v>
      </c>
      <c r="E545" s="6" t="s">
        <v>1556</v>
      </c>
      <c r="F545" s="6" t="s">
        <v>1544</v>
      </c>
      <c r="G545" s="6" t="str">
        <f aca="false">INDEX(Archetypes!$D$2:$D$127, MATCH(D545, Archetypes!$A$2:$A$127, 0))</f>
        <v>Agent</v>
      </c>
      <c r="H545" s="6" t="n">
        <f aca="false">ROUND(INDEX(Archetypes!$E$2:$E$127, MATCH(D545, Archetypes!$A$2:$A$127, 0))*INDEX(Unit_Grades!$B$2:$B$7, MATCH(F545, Unit_Grades!$A$2:$A$7, 0))*INDEX(Unit_Paths!$B$2:$B$4, MATCH(E545, Unit_Paths!$A$2:$A$4, 0)),1)</f>
        <v>9.6</v>
      </c>
      <c r="I545" s="6" t="n">
        <f aca="false">ROUND(INDEX(Archetypes!$F$2:$F$127, MATCH(D545, Archetypes!$A$2:$A$127, 0))*INDEX(Unit_Grades!$B$2:$B$7, MATCH(F545, Unit_Grades!$A$2:$A$7, 0))*INDEX(Unit_Paths!$C$2:$C$4, MATCH(E545, Unit_Paths!$A$2:$A$4, 0)),1)</f>
        <v>9.6</v>
      </c>
      <c r="J545" s="6" t="n">
        <f aca="false">ROUND(INDEX(Archetypes!$G$2:$G$127, MATCH(D545, Archetypes!$A$2:$A$127, 0))*INDEX(Unit_Grades!$B$2:$B$7, MATCH(F545, Unit_Grades!$A$2:$A$7, 0))*INDEX(Unit_Paths!$D$2:$D$4, MATCH(E545, Unit_Paths!$A$2:$A$4, 0)),0)</f>
        <v>84</v>
      </c>
      <c r="K545" s="6" t="n">
        <f aca="false">ROUND(INDEX(Archetypes!$H$2:$H$127, MATCH(D545, Archetypes!$A$2:$A$127, 0))*INDEX(Unit_Paths!$E$2:$E$4, MATCH(E545, Unit_Paths!$A$2:$A$4, 0)),1)</f>
        <v>24</v>
      </c>
      <c r="L545" s="6" t="n">
        <f aca="false">ROUND(INDEX(Archetypes!$I$2:$I$127, MATCH(D545, Archetypes!$A$2:$A$127, 0))*INDEX(Unit_Grades!$C$2:$C$7, MATCH(F545, Unit_Grades!$A$2:$A$7, 0)),1)</f>
        <v>12.6</v>
      </c>
      <c r="M545" s="6" t="n">
        <f aca="false">ROUND(INDEX(Archetypes!$J$2:$J$127, MATCH(D545, Archetypes!$A$2:$A$127, 0))*INDEX(Unit_Grades!$D$2:$D$7, MATCH(F545, Unit_Grades!$A$2:$A$7, 0)),1)</f>
        <v>9.8</v>
      </c>
      <c r="N545" s="6" t="n">
        <f aca="false">ROUND(M545/24,2)</f>
        <v>0.41</v>
      </c>
    </row>
    <row r="546" customFormat="false" ht="15" hidden="false" customHeight="true" outlineLevel="0" collapsed="false">
      <c r="A546" s="6" t="n">
        <v>2</v>
      </c>
      <c r="B546" s="6" t="s">
        <v>2083</v>
      </c>
      <c r="C546" s="6" t="s">
        <v>1322</v>
      </c>
      <c r="D546" s="6" t="str">
        <f aca="false">A546&amp;"|"&amp;C546</f>
        <v>2|Spy</v>
      </c>
      <c r="E546" s="6" t="s">
        <v>1556</v>
      </c>
      <c r="F546" s="6" t="s">
        <v>1546</v>
      </c>
      <c r="G546" s="6" t="str">
        <f aca="false">INDEX(Archetypes!$D$2:$D$127, MATCH(D546, Archetypes!$A$2:$A$127, 0))</f>
        <v>Agent</v>
      </c>
      <c r="H546" s="6" t="n">
        <f aca="false">ROUND(INDEX(Archetypes!$E$2:$E$127, MATCH(D546, Archetypes!$A$2:$A$127, 0))*INDEX(Unit_Grades!$B$2:$B$7, MATCH(F546, Unit_Grades!$A$2:$A$7, 0))*INDEX(Unit_Paths!$B$2:$B$4, MATCH(E546, Unit_Paths!$A$2:$A$4, 0)),1)</f>
        <v>12.8</v>
      </c>
      <c r="I546" s="6" t="n">
        <f aca="false">ROUND(INDEX(Archetypes!$F$2:$F$127, MATCH(D546, Archetypes!$A$2:$A$127, 0))*INDEX(Unit_Grades!$B$2:$B$7, MATCH(F546, Unit_Grades!$A$2:$A$7, 0))*INDEX(Unit_Paths!$C$2:$C$4, MATCH(E546, Unit_Paths!$A$2:$A$4, 0)),1)</f>
        <v>12.8</v>
      </c>
      <c r="J546" s="6" t="n">
        <f aca="false">ROUND(INDEX(Archetypes!$G$2:$G$127, MATCH(D546, Archetypes!$A$2:$A$127, 0))*INDEX(Unit_Grades!$B$2:$B$7, MATCH(F546, Unit_Grades!$A$2:$A$7, 0))*INDEX(Unit_Paths!$D$2:$D$4, MATCH(E546, Unit_Paths!$A$2:$A$4, 0)),0)</f>
        <v>112</v>
      </c>
      <c r="K546" s="6" t="n">
        <f aca="false">ROUND(INDEX(Archetypes!$H$2:$H$127, MATCH(D546, Archetypes!$A$2:$A$127, 0))*INDEX(Unit_Paths!$E$2:$E$4, MATCH(E546, Unit_Paths!$A$2:$A$4, 0)),1)</f>
        <v>24</v>
      </c>
      <c r="L546" s="6" t="n">
        <f aca="false">ROUND(INDEX(Archetypes!$I$2:$I$127, MATCH(D546, Archetypes!$A$2:$A$127, 0))*INDEX(Unit_Grades!$C$2:$C$7, MATCH(F546, Unit_Grades!$A$2:$A$7, 0)),1)</f>
        <v>16.8</v>
      </c>
      <c r="M546" s="6" t="n">
        <f aca="false">ROUND(INDEX(Archetypes!$J$2:$J$127, MATCH(D546, Archetypes!$A$2:$A$127, 0))*INDEX(Unit_Grades!$D$2:$D$7, MATCH(F546, Unit_Grades!$A$2:$A$7, 0)),1)</f>
        <v>17.1</v>
      </c>
      <c r="N546" s="6" t="n">
        <f aca="false">ROUND(M546/24,2)</f>
        <v>0.71</v>
      </c>
    </row>
    <row r="547" customFormat="false" ht="15" hidden="false" customHeight="true" outlineLevel="0" collapsed="false">
      <c r="A547" s="6" t="n">
        <v>2</v>
      </c>
      <c r="B547" s="6" t="s">
        <v>2084</v>
      </c>
      <c r="C547" s="6" t="s">
        <v>1322</v>
      </c>
      <c r="D547" s="6" t="str">
        <f aca="false">A547&amp;"|"&amp;C547</f>
        <v>2|Spy</v>
      </c>
      <c r="E547" s="6" t="s">
        <v>1556</v>
      </c>
      <c r="F547" s="6" t="s">
        <v>1548</v>
      </c>
      <c r="G547" s="6" t="str">
        <f aca="false">INDEX(Archetypes!$D$2:$D$127, MATCH(D547, Archetypes!$A$2:$A$127, 0))</f>
        <v>Agent</v>
      </c>
      <c r="H547" s="6" t="n">
        <f aca="false">ROUND(INDEX(Archetypes!$E$2:$E$127, MATCH(D547, Archetypes!$A$2:$A$127, 0))*INDEX(Unit_Grades!$B$2:$B$7, MATCH(F547, Unit_Grades!$A$2:$A$7, 0))*INDEX(Unit_Paths!$B$2:$B$4, MATCH(E547, Unit_Paths!$A$2:$A$4, 0)),1)</f>
        <v>16.8</v>
      </c>
      <c r="I547" s="6" t="n">
        <f aca="false">ROUND(INDEX(Archetypes!$F$2:$F$127, MATCH(D547, Archetypes!$A$2:$A$127, 0))*INDEX(Unit_Grades!$B$2:$B$7, MATCH(F547, Unit_Grades!$A$2:$A$7, 0))*INDEX(Unit_Paths!$C$2:$C$4, MATCH(E547, Unit_Paths!$A$2:$A$4, 0)),1)</f>
        <v>16.8</v>
      </c>
      <c r="J547" s="6" t="n">
        <f aca="false">ROUND(INDEX(Archetypes!$G$2:$G$127, MATCH(D547, Archetypes!$A$2:$A$127, 0))*INDEX(Unit_Grades!$B$2:$B$7, MATCH(F547, Unit_Grades!$A$2:$A$7, 0))*INDEX(Unit_Paths!$D$2:$D$4, MATCH(E547, Unit_Paths!$A$2:$A$4, 0)),0)</f>
        <v>147</v>
      </c>
      <c r="K547" s="6" t="n">
        <f aca="false">ROUND(INDEX(Archetypes!$H$2:$H$127, MATCH(D547, Archetypes!$A$2:$A$127, 0))*INDEX(Unit_Paths!$E$2:$E$4, MATCH(E547, Unit_Paths!$A$2:$A$4, 0)),1)</f>
        <v>24</v>
      </c>
      <c r="L547" s="6" t="n">
        <f aca="false">ROUND(INDEX(Archetypes!$I$2:$I$127, MATCH(D547, Archetypes!$A$2:$A$127, 0))*INDEX(Unit_Grades!$C$2:$C$7, MATCH(F547, Unit_Grades!$A$2:$A$7, 0)),1)</f>
        <v>22.2</v>
      </c>
      <c r="M547" s="6" t="n">
        <f aca="false">ROUND(INDEX(Archetypes!$J$2:$J$127, MATCH(D547, Archetypes!$A$2:$A$127, 0))*INDEX(Unit_Grades!$D$2:$D$7, MATCH(F547, Unit_Grades!$A$2:$A$7, 0)),1)</f>
        <v>29.3</v>
      </c>
      <c r="N547" s="6" t="n">
        <f aca="false">ROUND(M547/24,2)</f>
        <v>1.22</v>
      </c>
    </row>
    <row r="548" customFormat="false" ht="15" hidden="false" customHeight="true" outlineLevel="0" collapsed="false">
      <c r="A548" s="6" t="n">
        <v>2</v>
      </c>
      <c r="B548" s="6" t="s">
        <v>2085</v>
      </c>
      <c r="C548" s="6" t="s">
        <v>1322</v>
      </c>
      <c r="D548" s="6" t="str">
        <f aca="false">A548&amp;"|"&amp;C548</f>
        <v>2|Spy</v>
      </c>
      <c r="E548" s="6" t="s">
        <v>1558</v>
      </c>
      <c r="F548" s="6" t="s">
        <v>1538</v>
      </c>
      <c r="G548" s="6" t="str">
        <f aca="false">INDEX(Archetypes!$D$2:$D$127, MATCH(D548, Archetypes!$A$2:$A$127, 0))</f>
        <v>Agent</v>
      </c>
      <c r="H548" s="6" t="n">
        <f aca="false">ROUND(INDEX(Archetypes!$E$2:$E$127, MATCH(D548, Archetypes!$A$2:$A$127, 0))*INDEX(Unit_Grades!$B$2:$B$7, MATCH(F548, Unit_Grades!$A$2:$A$7, 0))*INDEX(Unit_Paths!$B$2:$B$4, MATCH(E548, Unit_Paths!$A$2:$A$4, 0)),1)</f>
        <v>4.8</v>
      </c>
      <c r="I548" s="6" t="n">
        <f aca="false">ROUND(INDEX(Archetypes!$F$2:$F$127, MATCH(D548, Archetypes!$A$2:$A$127, 0))*INDEX(Unit_Grades!$B$2:$B$7, MATCH(F548, Unit_Grades!$A$2:$A$7, 0))*INDEX(Unit_Paths!$C$2:$C$4, MATCH(E548, Unit_Paths!$A$2:$A$4, 0)),1)</f>
        <v>3.4</v>
      </c>
      <c r="J548" s="6" t="n">
        <f aca="false">ROUND(INDEX(Archetypes!$G$2:$G$127, MATCH(D548, Archetypes!$A$2:$A$127, 0))*INDEX(Unit_Grades!$B$2:$B$7, MATCH(F548, Unit_Grades!$A$2:$A$7, 0))*INDEX(Unit_Paths!$D$2:$D$4, MATCH(E548, Unit_Paths!$A$2:$A$4, 0)),0)</f>
        <v>33</v>
      </c>
      <c r="K548" s="6" t="n">
        <f aca="false">ROUND(INDEX(Archetypes!$H$2:$H$127, MATCH(D548, Archetypes!$A$2:$A$127, 0))*INDEX(Unit_Paths!$E$2:$E$4, MATCH(E548, Unit_Paths!$A$2:$A$4, 0)),1)</f>
        <v>25.2</v>
      </c>
      <c r="L548" s="6" t="n">
        <f aca="false">ROUND(INDEX(Archetypes!$I$2:$I$127, MATCH(D548, Archetypes!$A$2:$A$127, 0))*INDEX(Unit_Grades!$C$2:$C$7, MATCH(F548, Unit_Grades!$A$2:$A$7, 0)),1)</f>
        <v>6</v>
      </c>
      <c r="M548" s="6" t="n">
        <f aca="false">ROUND(INDEX(Archetypes!$J$2:$J$127, MATCH(D548, Archetypes!$A$2:$A$127, 0))*INDEX(Unit_Grades!$D$2:$D$7, MATCH(F548, Unit_Grades!$A$2:$A$7, 0)),1)</f>
        <v>2.4</v>
      </c>
      <c r="N548" s="6" t="n">
        <f aca="false">ROUND(M548/24,2)</f>
        <v>0.1</v>
      </c>
    </row>
    <row r="549" customFormat="false" ht="15" hidden="false" customHeight="true" outlineLevel="0" collapsed="false">
      <c r="A549" s="6" t="n">
        <v>2</v>
      </c>
      <c r="B549" s="6" t="s">
        <v>2086</v>
      </c>
      <c r="C549" s="6" t="s">
        <v>1322</v>
      </c>
      <c r="D549" s="6" t="str">
        <f aca="false">A549&amp;"|"&amp;C549</f>
        <v>2|Spy</v>
      </c>
      <c r="E549" s="6" t="s">
        <v>1558</v>
      </c>
      <c r="F549" s="6" t="s">
        <v>1540</v>
      </c>
      <c r="G549" s="6" t="str">
        <f aca="false">INDEX(Archetypes!$D$2:$D$127, MATCH(D549, Archetypes!$A$2:$A$127, 0))</f>
        <v>Agent</v>
      </c>
      <c r="H549" s="6" t="n">
        <f aca="false">ROUND(INDEX(Archetypes!$E$2:$E$127, MATCH(D549, Archetypes!$A$2:$A$127, 0))*INDEX(Unit_Grades!$B$2:$B$7, MATCH(F549, Unit_Grades!$A$2:$A$7, 0))*INDEX(Unit_Paths!$B$2:$B$4, MATCH(E549, Unit_Paths!$A$2:$A$4, 0)),1)</f>
        <v>6.5</v>
      </c>
      <c r="I549" s="6" t="n">
        <f aca="false">ROUND(INDEX(Archetypes!$F$2:$F$127, MATCH(D549, Archetypes!$A$2:$A$127, 0))*INDEX(Unit_Grades!$B$2:$B$7, MATCH(F549, Unit_Grades!$A$2:$A$7, 0))*INDEX(Unit_Paths!$C$2:$C$4, MATCH(E549, Unit_Paths!$A$2:$A$4, 0)),1)</f>
        <v>4.6</v>
      </c>
      <c r="J549" s="6" t="n">
        <f aca="false">ROUND(INDEX(Archetypes!$G$2:$G$127, MATCH(D549, Archetypes!$A$2:$A$127, 0))*INDEX(Unit_Grades!$B$2:$B$7, MATCH(F549, Unit_Grades!$A$2:$A$7, 0))*INDEX(Unit_Paths!$D$2:$D$4, MATCH(E549, Unit_Paths!$A$2:$A$4, 0)),0)</f>
        <v>45</v>
      </c>
      <c r="K549" s="6" t="n">
        <f aca="false">ROUND(INDEX(Archetypes!$H$2:$H$127, MATCH(D549, Archetypes!$A$2:$A$127, 0))*INDEX(Unit_Paths!$E$2:$E$4, MATCH(E549, Unit_Paths!$A$2:$A$4, 0)),1)</f>
        <v>25.2</v>
      </c>
      <c r="L549" s="6" t="n">
        <f aca="false">ROUND(INDEX(Archetypes!$I$2:$I$127, MATCH(D549, Archetypes!$A$2:$A$127, 0))*INDEX(Unit_Grades!$C$2:$C$7, MATCH(F549, Unit_Grades!$A$2:$A$7, 0)),1)</f>
        <v>7.5</v>
      </c>
      <c r="M549" s="6" t="n">
        <f aca="false">ROUND(INDEX(Archetypes!$J$2:$J$127, MATCH(D549, Archetypes!$A$2:$A$127, 0))*INDEX(Unit_Grades!$D$2:$D$7, MATCH(F549, Unit_Grades!$A$2:$A$7, 0)),1)</f>
        <v>3.7</v>
      </c>
      <c r="N549" s="6" t="n">
        <f aca="false">ROUND(M549/24,2)</f>
        <v>0.15</v>
      </c>
    </row>
    <row r="550" customFormat="false" ht="15" hidden="false" customHeight="true" outlineLevel="0" collapsed="false">
      <c r="A550" s="6" t="n">
        <v>2</v>
      </c>
      <c r="B550" s="6" t="s">
        <v>2087</v>
      </c>
      <c r="C550" s="6" t="s">
        <v>1322</v>
      </c>
      <c r="D550" s="6" t="str">
        <f aca="false">A550&amp;"|"&amp;C550</f>
        <v>2|Spy</v>
      </c>
      <c r="E550" s="6" t="s">
        <v>1558</v>
      </c>
      <c r="F550" s="6" t="s">
        <v>1542</v>
      </c>
      <c r="G550" s="6" t="str">
        <f aca="false">INDEX(Archetypes!$D$2:$D$127, MATCH(D550, Archetypes!$A$2:$A$127, 0))</f>
        <v>Agent</v>
      </c>
      <c r="H550" s="6" t="n">
        <f aca="false">ROUND(INDEX(Archetypes!$E$2:$E$127, MATCH(D550, Archetypes!$A$2:$A$127, 0))*INDEX(Unit_Grades!$B$2:$B$7, MATCH(F550, Unit_Grades!$A$2:$A$7, 0))*INDEX(Unit_Paths!$B$2:$B$4, MATCH(E550, Unit_Paths!$A$2:$A$4, 0)),1)</f>
        <v>8.6</v>
      </c>
      <c r="I550" s="6" t="n">
        <f aca="false">ROUND(INDEX(Archetypes!$F$2:$F$127, MATCH(D550, Archetypes!$A$2:$A$127, 0))*INDEX(Unit_Grades!$B$2:$B$7, MATCH(F550, Unit_Grades!$A$2:$A$7, 0))*INDEX(Unit_Paths!$C$2:$C$4, MATCH(E550, Unit_Paths!$A$2:$A$4, 0)),1)</f>
        <v>6.1</v>
      </c>
      <c r="J550" s="6" t="n">
        <f aca="false">ROUND(INDEX(Archetypes!$G$2:$G$127, MATCH(D550, Archetypes!$A$2:$A$127, 0))*INDEX(Unit_Grades!$B$2:$B$7, MATCH(F550, Unit_Grades!$A$2:$A$7, 0))*INDEX(Unit_Paths!$D$2:$D$4, MATCH(E550, Unit_Paths!$A$2:$A$4, 0)),0)</f>
        <v>60</v>
      </c>
      <c r="K550" s="6" t="n">
        <f aca="false">ROUND(INDEX(Archetypes!$H$2:$H$127, MATCH(D550, Archetypes!$A$2:$A$127, 0))*INDEX(Unit_Paths!$E$2:$E$4, MATCH(E550, Unit_Paths!$A$2:$A$4, 0)),1)</f>
        <v>25.2</v>
      </c>
      <c r="L550" s="6" t="n">
        <f aca="false">ROUND(INDEX(Archetypes!$I$2:$I$127, MATCH(D550, Archetypes!$A$2:$A$127, 0))*INDEX(Unit_Grades!$C$2:$C$7, MATCH(F550, Unit_Grades!$A$2:$A$7, 0)),1)</f>
        <v>9.6</v>
      </c>
      <c r="M550" s="6" t="n">
        <f aca="false">ROUND(INDEX(Archetypes!$J$2:$J$127, MATCH(D550, Archetypes!$A$2:$A$127, 0))*INDEX(Unit_Grades!$D$2:$D$7, MATCH(F550, Unit_Grades!$A$2:$A$7, 0)),1)</f>
        <v>6.1</v>
      </c>
      <c r="N550" s="6" t="n">
        <f aca="false">ROUND(M550/24,2)</f>
        <v>0.25</v>
      </c>
    </row>
    <row r="551" customFormat="false" ht="15" hidden="false" customHeight="true" outlineLevel="0" collapsed="false">
      <c r="A551" s="6" t="n">
        <v>2</v>
      </c>
      <c r="B551" s="6" t="s">
        <v>2088</v>
      </c>
      <c r="C551" s="6" t="s">
        <v>1322</v>
      </c>
      <c r="D551" s="6" t="str">
        <f aca="false">A551&amp;"|"&amp;C551</f>
        <v>2|Spy</v>
      </c>
      <c r="E551" s="6" t="s">
        <v>1558</v>
      </c>
      <c r="F551" s="6" t="s">
        <v>1544</v>
      </c>
      <c r="G551" s="6" t="str">
        <f aca="false">INDEX(Archetypes!$D$2:$D$127, MATCH(D551, Archetypes!$A$2:$A$127, 0))</f>
        <v>Agent</v>
      </c>
      <c r="H551" s="6" t="n">
        <f aca="false">ROUND(INDEX(Archetypes!$E$2:$E$127, MATCH(D551, Archetypes!$A$2:$A$127, 0))*INDEX(Unit_Grades!$B$2:$B$7, MATCH(F551, Unit_Grades!$A$2:$A$7, 0))*INDEX(Unit_Paths!$B$2:$B$4, MATCH(E551, Unit_Paths!$A$2:$A$4, 0)),1)</f>
        <v>11.5</v>
      </c>
      <c r="I551" s="6" t="n">
        <f aca="false">ROUND(INDEX(Archetypes!$F$2:$F$127, MATCH(D551, Archetypes!$A$2:$A$127, 0))*INDEX(Unit_Grades!$B$2:$B$7, MATCH(F551, Unit_Grades!$A$2:$A$7, 0))*INDEX(Unit_Paths!$C$2:$C$4, MATCH(E551, Unit_Paths!$A$2:$A$4, 0)),1)</f>
        <v>8.2</v>
      </c>
      <c r="J551" s="6" t="n">
        <f aca="false">ROUND(INDEX(Archetypes!$G$2:$G$127, MATCH(D551, Archetypes!$A$2:$A$127, 0))*INDEX(Unit_Grades!$B$2:$B$7, MATCH(F551, Unit_Grades!$A$2:$A$7, 0))*INDEX(Unit_Paths!$D$2:$D$4, MATCH(E551, Unit_Paths!$A$2:$A$4, 0)),0)</f>
        <v>80</v>
      </c>
      <c r="K551" s="6" t="n">
        <f aca="false">ROUND(INDEX(Archetypes!$H$2:$H$127, MATCH(D551, Archetypes!$A$2:$A$127, 0))*INDEX(Unit_Paths!$E$2:$E$4, MATCH(E551, Unit_Paths!$A$2:$A$4, 0)),1)</f>
        <v>25.2</v>
      </c>
      <c r="L551" s="6" t="n">
        <f aca="false">ROUND(INDEX(Archetypes!$I$2:$I$127, MATCH(D551, Archetypes!$A$2:$A$127, 0))*INDEX(Unit_Grades!$C$2:$C$7, MATCH(F551, Unit_Grades!$A$2:$A$7, 0)),1)</f>
        <v>12.6</v>
      </c>
      <c r="M551" s="6" t="n">
        <f aca="false">ROUND(INDEX(Archetypes!$J$2:$J$127, MATCH(D551, Archetypes!$A$2:$A$127, 0))*INDEX(Unit_Grades!$D$2:$D$7, MATCH(F551, Unit_Grades!$A$2:$A$7, 0)),1)</f>
        <v>9.8</v>
      </c>
      <c r="N551" s="6" t="n">
        <f aca="false">ROUND(M551/24,2)</f>
        <v>0.41</v>
      </c>
    </row>
    <row r="552" customFormat="false" ht="15" hidden="false" customHeight="true" outlineLevel="0" collapsed="false">
      <c r="A552" s="6" t="n">
        <v>2</v>
      </c>
      <c r="B552" s="6" t="s">
        <v>2089</v>
      </c>
      <c r="C552" s="6" t="s">
        <v>1322</v>
      </c>
      <c r="D552" s="6" t="str">
        <f aca="false">A552&amp;"|"&amp;C552</f>
        <v>2|Spy</v>
      </c>
      <c r="E552" s="6" t="s">
        <v>1558</v>
      </c>
      <c r="F552" s="6" t="s">
        <v>1546</v>
      </c>
      <c r="G552" s="6" t="str">
        <f aca="false">INDEX(Archetypes!$D$2:$D$127, MATCH(D552, Archetypes!$A$2:$A$127, 0))</f>
        <v>Agent</v>
      </c>
      <c r="H552" s="6" t="n">
        <f aca="false">ROUND(INDEX(Archetypes!$E$2:$E$127, MATCH(D552, Archetypes!$A$2:$A$127, 0))*INDEX(Unit_Grades!$B$2:$B$7, MATCH(F552, Unit_Grades!$A$2:$A$7, 0))*INDEX(Unit_Paths!$B$2:$B$4, MATCH(E552, Unit_Paths!$A$2:$A$4, 0)),1)</f>
        <v>15.4</v>
      </c>
      <c r="I552" s="6" t="n">
        <f aca="false">ROUND(INDEX(Archetypes!$F$2:$F$127, MATCH(D552, Archetypes!$A$2:$A$127, 0))*INDEX(Unit_Grades!$B$2:$B$7, MATCH(F552, Unit_Grades!$A$2:$A$7, 0))*INDEX(Unit_Paths!$C$2:$C$4, MATCH(E552, Unit_Paths!$A$2:$A$4, 0)),1)</f>
        <v>10.9</v>
      </c>
      <c r="J552" s="6" t="n">
        <f aca="false">ROUND(INDEX(Archetypes!$G$2:$G$127, MATCH(D552, Archetypes!$A$2:$A$127, 0))*INDEX(Unit_Grades!$B$2:$B$7, MATCH(F552, Unit_Grades!$A$2:$A$7, 0))*INDEX(Unit_Paths!$D$2:$D$4, MATCH(E552, Unit_Paths!$A$2:$A$4, 0)),0)</f>
        <v>106</v>
      </c>
      <c r="K552" s="6" t="n">
        <f aca="false">ROUND(INDEX(Archetypes!$H$2:$H$127, MATCH(D552, Archetypes!$A$2:$A$127, 0))*INDEX(Unit_Paths!$E$2:$E$4, MATCH(E552, Unit_Paths!$A$2:$A$4, 0)),1)</f>
        <v>25.2</v>
      </c>
      <c r="L552" s="6" t="n">
        <f aca="false">ROUND(INDEX(Archetypes!$I$2:$I$127, MATCH(D552, Archetypes!$A$2:$A$127, 0))*INDEX(Unit_Grades!$C$2:$C$7, MATCH(F552, Unit_Grades!$A$2:$A$7, 0)),1)</f>
        <v>16.8</v>
      </c>
      <c r="M552" s="6" t="n">
        <f aca="false">ROUND(INDEX(Archetypes!$J$2:$J$127, MATCH(D552, Archetypes!$A$2:$A$127, 0))*INDEX(Unit_Grades!$D$2:$D$7, MATCH(F552, Unit_Grades!$A$2:$A$7, 0)),1)</f>
        <v>17.1</v>
      </c>
      <c r="N552" s="6" t="n">
        <f aca="false">ROUND(M552/24,2)</f>
        <v>0.71</v>
      </c>
    </row>
    <row r="553" customFormat="false" ht="15" hidden="false" customHeight="true" outlineLevel="0" collapsed="false">
      <c r="A553" s="6" t="n">
        <v>2</v>
      </c>
      <c r="B553" s="6" t="s">
        <v>2090</v>
      </c>
      <c r="C553" s="6" t="s">
        <v>1322</v>
      </c>
      <c r="D553" s="6" t="str">
        <f aca="false">A553&amp;"|"&amp;C553</f>
        <v>2|Spy</v>
      </c>
      <c r="E553" s="6" t="s">
        <v>1558</v>
      </c>
      <c r="F553" s="6" t="s">
        <v>1548</v>
      </c>
      <c r="G553" s="6" t="str">
        <f aca="false">INDEX(Archetypes!$D$2:$D$127, MATCH(D553, Archetypes!$A$2:$A$127, 0))</f>
        <v>Agent</v>
      </c>
      <c r="H553" s="6" t="n">
        <f aca="false">ROUND(INDEX(Archetypes!$E$2:$E$127, MATCH(D553, Archetypes!$A$2:$A$127, 0))*INDEX(Unit_Grades!$B$2:$B$7, MATCH(F553, Unit_Grades!$A$2:$A$7, 0))*INDEX(Unit_Paths!$B$2:$B$4, MATCH(E553, Unit_Paths!$A$2:$A$4, 0)),1)</f>
        <v>20.2</v>
      </c>
      <c r="I553" s="6" t="n">
        <f aca="false">ROUND(INDEX(Archetypes!$F$2:$F$127, MATCH(D553, Archetypes!$A$2:$A$127, 0))*INDEX(Unit_Grades!$B$2:$B$7, MATCH(F553, Unit_Grades!$A$2:$A$7, 0))*INDEX(Unit_Paths!$C$2:$C$4, MATCH(E553, Unit_Paths!$A$2:$A$4, 0)),1)</f>
        <v>14.3</v>
      </c>
      <c r="J553" s="6" t="n">
        <f aca="false">ROUND(INDEX(Archetypes!$G$2:$G$127, MATCH(D553, Archetypes!$A$2:$A$127, 0))*INDEX(Unit_Grades!$B$2:$B$7, MATCH(F553, Unit_Grades!$A$2:$A$7, 0))*INDEX(Unit_Paths!$D$2:$D$4, MATCH(E553, Unit_Paths!$A$2:$A$4, 0)),0)</f>
        <v>140</v>
      </c>
      <c r="K553" s="6" t="n">
        <f aca="false">ROUND(INDEX(Archetypes!$H$2:$H$127, MATCH(D553, Archetypes!$A$2:$A$127, 0))*INDEX(Unit_Paths!$E$2:$E$4, MATCH(E553, Unit_Paths!$A$2:$A$4, 0)),1)</f>
        <v>25.2</v>
      </c>
      <c r="L553" s="6" t="n">
        <f aca="false">ROUND(INDEX(Archetypes!$I$2:$I$127, MATCH(D553, Archetypes!$A$2:$A$127, 0))*INDEX(Unit_Grades!$C$2:$C$7, MATCH(F553, Unit_Grades!$A$2:$A$7, 0)),1)</f>
        <v>22.2</v>
      </c>
      <c r="M553" s="6" t="n">
        <f aca="false">ROUND(INDEX(Archetypes!$J$2:$J$127, MATCH(D553, Archetypes!$A$2:$A$127, 0))*INDEX(Unit_Grades!$D$2:$D$7, MATCH(F553, Unit_Grades!$A$2:$A$7, 0)),1)</f>
        <v>29.3</v>
      </c>
      <c r="N553" s="6" t="n">
        <f aca="false">ROUND(M553/24,2)</f>
        <v>1.22</v>
      </c>
    </row>
    <row r="554" customFormat="false" ht="15" hidden="false" customHeight="true" outlineLevel="0" collapsed="false">
      <c r="A554" s="6" t="n">
        <v>2</v>
      </c>
      <c r="B554" s="6" t="s">
        <v>2091</v>
      </c>
      <c r="C554" s="6" t="s">
        <v>1322</v>
      </c>
      <c r="D554" s="6" t="str">
        <f aca="false">A554&amp;"|"&amp;C554</f>
        <v>2|Spy</v>
      </c>
      <c r="E554" s="6" t="s">
        <v>1560</v>
      </c>
      <c r="F554" s="6" t="s">
        <v>1538</v>
      </c>
      <c r="G554" s="6" t="str">
        <f aca="false">INDEX(Archetypes!$D$2:$D$127, MATCH(D554, Archetypes!$A$2:$A$127, 0))</f>
        <v>Agent</v>
      </c>
      <c r="H554" s="6" t="n">
        <f aca="false">ROUND(INDEX(Archetypes!$E$2:$E$127, MATCH(D554, Archetypes!$A$2:$A$127, 0))*INDEX(Unit_Grades!$B$2:$B$7, MATCH(F554, Unit_Grades!$A$2:$A$7, 0))*INDEX(Unit_Paths!$B$2:$B$4, MATCH(E554, Unit_Paths!$A$2:$A$4, 0)),1)</f>
        <v>3.4</v>
      </c>
      <c r="I554" s="6" t="n">
        <f aca="false">ROUND(INDEX(Archetypes!$F$2:$F$127, MATCH(D554, Archetypes!$A$2:$A$127, 0))*INDEX(Unit_Grades!$B$2:$B$7, MATCH(F554, Unit_Grades!$A$2:$A$7, 0))*INDEX(Unit_Paths!$C$2:$C$4, MATCH(E554, Unit_Paths!$A$2:$A$4, 0)),1)</f>
        <v>5</v>
      </c>
      <c r="J554" s="6" t="n">
        <f aca="false">ROUND(INDEX(Archetypes!$G$2:$G$127, MATCH(D554, Archetypes!$A$2:$A$127, 0))*INDEX(Unit_Grades!$B$2:$B$7, MATCH(F554, Unit_Grades!$A$2:$A$7, 0))*INDEX(Unit_Paths!$D$2:$D$4, MATCH(E554, Unit_Paths!$A$2:$A$4, 0)),0)</f>
        <v>40</v>
      </c>
      <c r="K554" s="6" t="n">
        <f aca="false">ROUND(INDEX(Archetypes!$H$2:$H$127, MATCH(D554, Archetypes!$A$2:$A$127, 0))*INDEX(Unit_Paths!$E$2:$E$4, MATCH(E554, Unit_Paths!$A$2:$A$4, 0)),1)</f>
        <v>22.1</v>
      </c>
      <c r="L554" s="6" t="n">
        <f aca="false">ROUND(INDEX(Archetypes!$I$2:$I$127, MATCH(D554, Archetypes!$A$2:$A$127, 0))*INDEX(Unit_Grades!$C$2:$C$7, MATCH(F554, Unit_Grades!$A$2:$A$7, 0)),1)</f>
        <v>6</v>
      </c>
      <c r="M554" s="6" t="n">
        <f aca="false">ROUND(INDEX(Archetypes!$J$2:$J$127, MATCH(D554, Archetypes!$A$2:$A$127, 0))*INDEX(Unit_Grades!$D$2:$D$7, MATCH(F554, Unit_Grades!$A$2:$A$7, 0)),1)</f>
        <v>2.4</v>
      </c>
      <c r="N554" s="6" t="n">
        <f aca="false">ROUND(M554/24,2)</f>
        <v>0.1</v>
      </c>
    </row>
    <row r="555" customFormat="false" ht="15" hidden="false" customHeight="true" outlineLevel="0" collapsed="false">
      <c r="A555" s="6" t="n">
        <v>2</v>
      </c>
      <c r="B555" s="6" t="s">
        <v>2092</v>
      </c>
      <c r="C555" s="6" t="s">
        <v>1322</v>
      </c>
      <c r="D555" s="6" t="str">
        <f aca="false">A555&amp;"|"&amp;C555</f>
        <v>2|Spy</v>
      </c>
      <c r="E555" s="6" t="s">
        <v>1560</v>
      </c>
      <c r="F555" s="6" t="s">
        <v>1540</v>
      </c>
      <c r="G555" s="6" t="str">
        <f aca="false">INDEX(Archetypes!$D$2:$D$127, MATCH(D555, Archetypes!$A$2:$A$127, 0))</f>
        <v>Agent</v>
      </c>
      <c r="H555" s="6" t="n">
        <f aca="false">ROUND(INDEX(Archetypes!$E$2:$E$127, MATCH(D555, Archetypes!$A$2:$A$127, 0))*INDEX(Unit_Grades!$B$2:$B$7, MATCH(F555, Unit_Grades!$A$2:$A$7, 0))*INDEX(Unit_Paths!$B$2:$B$4, MATCH(E555, Unit_Paths!$A$2:$A$4, 0)),1)</f>
        <v>4.6</v>
      </c>
      <c r="I555" s="6" t="n">
        <f aca="false">ROUND(INDEX(Archetypes!$F$2:$F$127, MATCH(D555, Archetypes!$A$2:$A$127, 0))*INDEX(Unit_Grades!$B$2:$B$7, MATCH(F555, Unit_Grades!$A$2:$A$7, 0))*INDEX(Unit_Paths!$C$2:$C$4, MATCH(E555, Unit_Paths!$A$2:$A$4, 0)),1)</f>
        <v>6.8</v>
      </c>
      <c r="J555" s="6" t="n">
        <f aca="false">ROUND(INDEX(Archetypes!$G$2:$G$127, MATCH(D555, Archetypes!$A$2:$A$127, 0))*INDEX(Unit_Grades!$B$2:$B$7, MATCH(F555, Unit_Grades!$A$2:$A$7, 0))*INDEX(Unit_Paths!$D$2:$D$4, MATCH(E555, Unit_Paths!$A$2:$A$4, 0)),0)</f>
        <v>54</v>
      </c>
      <c r="K555" s="6" t="n">
        <f aca="false">ROUND(INDEX(Archetypes!$H$2:$H$127, MATCH(D555, Archetypes!$A$2:$A$127, 0))*INDEX(Unit_Paths!$E$2:$E$4, MATCH(E555, Unit_Paths!$A$2:$A$4, 0)),1)</f>
        <v>22.1</v>
      </c>
      <c r="L555" s="6" t="n">
        <f aca="false">ROUND(INDEX(Archetypes!$I$2:$I$127, MATCH(D555, Archetypes!$A$2:$A$127, 0))*INDEX(Unit_Grades!$C$2:$C$7, MATCH(F555, Unit_Grades!$A$2:$A$7, 0)),1)</f>
        <v>7.5</v>
      </c>
      <c r="M555" s="6" t="n">
        <f aca="false">ROUND(INDEX(Archetypes!$J$2:$J$127, MATCH(D555, Archetypes!$A$2:$A$127, 0))*INDEX(Unit_Grades!$D$2:$D$7, MATCH(F555, Unit_Grades!$A$2:$A$7, 0)),1)</f>
        <v>3.7</v>
      </c>
      <c r="N555" s="6" t="n">
        <f aca="false">ROUND(M555/24,2)</f>
        <v>0.15</v>
      </c>
    </row>
    <row r="556" customFormat="false" ht="15" hidden="false" customHeight="true" outlineLevel="0" collapsed="false">
      <c r="A556" s="6" t="n">
        <v>2</v>
      </c>
      <c r="B556" s="6" t="s">
        <v>2093</v>
      </c>
      <c r="C556" s="6" t="s">
        <v>1322</v>
      </c>
      <c r="D556" s="6" t="str">
        <f aca="false">A556&amp;"|"&amp;C556</f>
        <v>2|Spy</v>
      </c>
      <c r="E556" s="6" t="s">
        <v>1560</v>
      </c>
      <c r="F556" s="6" t="s">
        <v>1542</v>
      </c>
      <c r="G556" s="6" t="str">
        <f aca="false">INDEX(Archetypes!$D$2:$D$127, MATCH(D556, Archetypes!$A$2:$A$127, 0))</f>
        <v>Agent</v>
      </c>
      <c r="H556" s="6" t="n">
        <f aca="false">ROUND(INDEX(Archetypes!$E$2:$E$127, MATCH(D556, Archetypes!$A$2:$A$127, 0))*INDEX(Unit_Grades!$B$2:$B$7, MATCH(F556, Unit_Grades!$A$2:$A$7, 0))*INDEX(Unit_Paths!$B$2:$B$4, MATCH(E556, Unit_Paths!$A$2:$A$4, 0)),1)</f>
        <v>6.1</v>
      </c>
      <c r="I556" s="6" t="n">
        <f aca="false">ROUND(INDEX(Archetypes!$F$2:$F$127, MATCH(D556, Archetypes!$A$2:$A$127, 0))*INDEX(Unit_Grades!$B$2:$B$7, MATCH(F556, Unit_Grades!$A$2:$A$7, 0))*INDEX(Unit_Paths!$C$2:$C$4, MATCH(E556, Unit_Paths!$A$2:$A$4, 0)),1)</f>
        <v>9</v>
      </c>
      <c r="J556" s="6" t="n">
        <f aca="false">ROUND(INDEX(Archetypes!$G$2:$G$127, MATCH(D556, Archetypes!$A$2:$A$127, 0))*INDEX(Unit_Grades!$B$2:$B$7, MATCH(F556, Unit_Grades!$A$2:$A$7, 0))*INDEX(Unit_Paths!$D$2:$D$4, MATCH(E556, Unit_Paths!$A$2:$A$4, 0)),0)</f>
        <v>72</v>
      </c>
      <c r="K556" s="6" t="n">
        <f aca="false">ROUND(INDEX(Archetypes!$H$2:$H$127, MATCH(D556, Archetypes!$A$2:$A$127, 0))*INDEX(Unit_Paths!$E$2:$E$4, MATCH(E556, Unit_Paths!$A$2:$A$4, 0)),1)</f>
        <v>22.1</v>
      </c>
      <c r="L556" s="6" t="n">
        <f aca="false">ROUND(INDEX(Archetypes!$I$2:$I$127, MATCH(D556, Archetypes!$A$2:$A$127, 0))*INDEX(Unit_Grades!$C$2:$C$7, MATCH(F556, Unit_Grades!$A$2:$A$7, 0)),1)</f>
        <v>9.6</v>
      </c>
      <c r="M556" s="6" t="n">
        <f aca="false">ROUND(INDEX(Archetypes!$J$2:$J$127, MATCH(D556, Archetypes!$A$2:$A$127, 0))*INDEX(Unit_Grades!$D$2:$D$7, MATCH(F556, Unit_Grades!$A$2:$A$7, 0)),1)</f>
        <v>6.1</v>
      </c>
      <c r="N556" s="6" t="n">
        <f aca="false">ROUND(M556/24,2)</f>
        <v>0.25</v>
      </c>
    </row>
    <row r="557" customFormat="false" ht="15" hidden="false" customHeight="true" outlineLevel="0" collapsed="false">
      <c r="A557" s="6" t="n">
        <v>2</v>
      </c>
      <c r="B557" s="6" t="s">
        <v>2094</v>
      </c>
      <c r="C557" s="6" t="s">
        <v>1322</v>
      </c>
      <c r="D557" s="6" t="str">
        <f aca="false">A557&amp;"|"&amp;C557</f>
        <v>2|Spy</v>
      </c>
      <c r="E557" s="6" t="s">
        <v>1560</v>
      </c>
      <c r="F557" s="6" t="s">
        <v>1544</v>
      </c>
      <c r="G557" s="6" t="str">
        <f aca="false">INDEX(Archetypes!$D$2:$D$127, MATCH(D557, Archetypes!$A$2:$A$127, 0))</f>
        <v>Agent</v>
      </c>
      <c r="H557" s="6" t="n">
        <f aca="false">ROUND(INDEX(Archetypes!$E$2:$E$127, MATCH(D557, Archetypes!$A$2:$A$127, 0))*INDEX(Unit_Grades!$B$2:$B$7, MATCH(F557, Unit_Grades!$A$2:$A$7, 0))*INDEX(Unit_Paths!$B$2:$B$4, MATCH(E557, Unit_Paths!$A$2:$A$4, 0)),1)</f>
        <v>8.2</v>
      </c>
      <c r="I557" s="6" t="n">
        <f aca="false">ROUND(INDEX(Archetypes!$F$2:$F$127, MATCH(D557, Archetypes!$A$2:$A$127, 0))*INDEX(Unit_Grades!$B$2:$B$7, MATCH(F557, Unit_Grades!$A$2:$A$7, 0))*INDEX(Unit_Paths!$C$2:$C$4, MATCH(E557, Unit_Paths!$A$2:$A$4, 0)),1)</f>
        <v>12</v>
      </c>
      <c r="J557" s="6" t="n">
        <f aca="false">ROUND(INDEX(Archetypes!$G$2:$G$127, MATCH(D557, Archetypes!$A$2:$A$127, 0))*INDEX(Unit_Grades!$B$2:$B$7, MATCH(F557, Unit_Grades!$A$2:$A$7, 0))*INDEX(Unit_Paths!$D$2:$D$4, MATCH(E557, Unit_Paths!$A$2:$A$4, 0)),0)</f>
        <v>97</v>
      </c>
      <c r="K557" s="6" t="n">
        <f aca="false">ROUND(INDEX(Archetypes!$H$2:$H$127, MATCH(D557, Archetypes!$A$2:$A$127, 0))*INDEX(Unit_Paths!$E$2:$E$4, MATCH(E557, Unit_Paths!$A$2:$A$4, 0)),1)</f>
        <v>22.1</v>
      </c>
      <c r="L557" s="6" t="n">
        <f aca="false">ROUND(INDEX(Archetypes!$I$2:$I$127, MATCH(D557, Archetypes!$A$2:$A$127, 0))*INDEX(Unit_Grades!$C$2:$C$7, MATCH(F557, Unit_Grades!$A$2:$A$7, 0)),1)</f>
        <v>12.6</v>
      </c>
      <c r="M557" s="6" t="n">
        <f aca="false">ROUND(INDEX(Archetypes!$J$2:$J$127, MATCH(D557, Archetypes!$A$2:$A$127, 0))*INDEX(Unit_Grades!$D$2:$D$7, MATCH(F557, Unit_Grades!$A$2:$A$7, 0)),1)</f>
        <v>9.8</v>
      </c>
      <c r="N557" s="6" t="n">
        <f aca="false">ROUND(M557/24,2)</f>
        <v>0.41</v>
      </c>
    </row>
    <row r="558" customFormat="false" ht="15" hidden="false" customHeight="true" outlineLevel="0" collapsed="false">
      <c r="A558" s="6" t="n">
        <v>2</v>
      </c>
      <c r="B558" s="6" t="s">
        <v>2095</v>
      </c>
      <c r="C558" s="6" t="s">
        <v>1322</v>
      </c>
      <c r="D558" s="6" t="str">
        <f aca="false">A558&amp;"|"&amp;C558</f>
        <v>2|Spy</v>
      </c>
      <c r="E558" s="6" t="s">
        <v>1560</v>
      </c>
      <c r="F558" s="6" t="s">
        <v>1546</v>
      </c>
      <c r="G558" s="6" t="str">
        <f aca="false">INDEX(Archetypes!$D$2:$D$127, MATCH(D558, Archetypes!$A$2:$A$127, 0))</f>
        <v>Agent</v>
      </c>
      <c r="H558" s="6" t="n">
        <f aca="false">ROUND(INDEX(Archetypes!$E$2:$E$127, MATCH(D558, Archetypes!$A$2:$A$127, 0))*INDEX(Unit_Grades!$B$2:$B$7, MATCH(F558, Unit_Grades!$A$2:$A$7, 0))*INDEX(Unit_Paths!$B$2:$B$4, MATCH(E558, Unit_Paths!$A$2:$A$4, 0)),1)</f>
        <v>10.9</v>
      </c>
      <c r="I558" s="6" t="n">
        <f aca="false">ROUND(INDEX(Archetypes!$F$2:$F$127, MATCH(D558, Archetypes!$A$2:$A$127, 0))*INDEX(Unit_Grades!$B$2:$B$7, MATCH(F558, Unit_Grades!$A$2:$A$7, 0))*INDEX(Unit_Paths!$C$2:$C$4, MATCH(E558, Unit_Paths!$A$2:$A$4, 0)),1)</f>
        <v>16</v>
      </c>
      <c r="J558" s="6" t="n">
        <f aca="false">ROUND(INDEX(Archetypes!$G$2:$G$127, MATCH(D558, Archetypes!$A$2:$A$127, 0))*INDEX(Unit_Grades!$B$2:$B$7, MATCH(F558, Unit_Grades!$A$2:$A$7, 0))*INDEX(Unit_Paths!$D$2:$D$4, MATCH(E558, Unit_Paths!$A$2:$A$4, 0)),0)</f>
        <v>129</v>
      </c>
      <c r="K558" s="6" t="n">
        <f aca="false">ROUND(INDEX(Archetypes!$H$2:$H$127, MATCH(D558, Archetypes!$A$2:$A$127, 0))*INDEX(Unit_Paths!$E$2:$E$4, MATCH(E558, Unit_Paths!$A$2:$A$4, 0)),1)</f>
        <v>22.1</v>
      </c>
      <c r="L558" s="6" t="n">
        <f aca="false">ROUND(INDEX(Archetypes!$I$2:$I$127, MATCH(D558, Archetypes!$A$2:$A$127, 0))*INDEX(Unit_Grades!$C$2:$C$7, MATCH(F558, Unit_Grades!$A$2:$A$7, 0)),1)</f>
        <v>16.8</v>
      </c>
      <c r="M558" s="6" t="n">
        <f aca="false">ROUND(INDEX(Archetypes!$J$2:$J$127, MATCH(D558, Archetypes!$A$2:$A$127, 0))*INDEX(Unit_Grades!$D$2:$D$7, MATCH(F558, Unit_Grades!$A$2:$A$7, 0)),1)</f>
        <v>17.1</v>
      </c>
      <c r="N558" s="6" t="n">
        <f aca="false">ROUND(M558/24,2)</f>
        <v>0.71</v>
      </c>
    </row>
    <row r="559" customFormat="false" ht="15" hidden="false" customHeight="true" outlineLevel="0" collapsed="false">
      <c r="A559" s="6" t="n">
        <v>2</v>
      </c>
      <c r="B559" s="6" t="s">
        <v>2096</v>
      </c>
      <c r="C559" s="6" t="s">
        <v>1322</v>
      </c>
      <c r="D559" s="6" t="str">
        <f aca="false">A559&amp;"|"&amp;C559</f>
        <v>2|Spy</v>
      </c>
      <c r="E559" s="6" t="s">
        <v>1560</v>
      </c>
      <c r="F559" s="6" t="s">
        <v>1548</v>
      </c>
      <c r="G559" s="6" t="str">
        <f aca="false">INDEX(Archetypes!$D$2:$D$127, MATCH(D559, Archetypes!$A$2:$A$127, 0))</f>
        <v>Agent</v>
      </c>
      <c r="H559" s="6" t="n">
        <f aca="false">ROUND(INDEX(Archetypes!$E$2:$E$127, MATCH(D559, Archetypes!$A$2:$A$127, 0))*INDEX(Unit_Grades!$B$2:$B$7, MATCH(F559, Unit_Grades!$A$2:$A$7, 0))*INDEX(Unit_Paths!$B$2:$B$4, MATCH(E559, Unit_Paths!$A$2:$A$4, 0)),1)</f>
        <v>14.3</v>
      </c>
      <c r="I559" s="6" t="n">
        <f aca="false">ROUND(INDEX(Archetypes!$F$2:$F$127, MATCH(D559, Archetypes!$A$2:$A$127, 0))*INDEX(Unit_Grades!$B$2:$B$7, MATCH(F559, Unit_Grades!$A$2:$A$7, 0))*INDEX(Unit_Paths!$C$2:$C$4, MATCH(E559, Unit_Paths!$A$2:$A$4, 0)),1)</f>
        <v>21</v>
      </c>
      <c r="J559" s="6" t="n">
        <f aca="false">ROUND(INDEX(Archetypes!$G$2:$G$127, MATCH(D559, Archetypes!$A$2:$A$127, 0))*INDEX(Unit_Grades!$B$2:$B$7, MATCH(F559, Unit_Grades!$A$2:$A$7, 0))*INDEX(Unit_Paths!$D$2:$D$4, MATCH(E559, Unit_Paths!$A$2:$A$4, 0)),0)</f>
        <v>169</v>
      </c>
      <c r="K559" s="6" t="n">
        <f aca="false">ROUND(INDEX(Archetypes!$H$2:$H$127, MATCH(D559, Archetypes!$A$2:$A$127, 0))*INDEX(Unit_Paths!$E$2:$E$4, MATCH(E559, Unit_Paths!$A$2:$A$4, 0)),1)</f>
        <v>22.1</v>
      </c>
      <c r="L559" s="6" t="n">
        <f aca="false">ROUND(INDEX(Archetypes!$I$2:$I$127, MATCH(D559, Archetypes!$A$2:$A$127, 0))*INDEX(Unit_Grades!$C$2:$C$7, MATCH(F559, Unit_Grades!$A$2:$A$7, 0)),1)</f>
        <v>22.2</v>
      </c>
      <c r="M559" s="6" t="n">
        <f aca="false">ROUND(INDEX(Archetypes!$J$2:$J$127, MATCH(D559, Archetypes!$A$2:$A$127, 0))*INDEX(Unit_Grades!$D$2:$D$7, MATCH(F559, Unit_Grades!$A$2:$A$7, 0)),1)</f>
        <v>29.3</v>
      </c>
      <c r="N559" s="6" t="n">
        <f aca="false">ROUND(M559/24,2)</f>
        <v>1.22</v>
      </c>
    </row>
    <row r="560" customFormat="false" ht="15" hidden="false" customHeight="true" outlineLevel="0" collapsed="false">
      <c r="A560" s="6" t="n">
        <v>2</v>
      </c>
      <c r="B560" s="6" t="s">
        <v>1325</v>
      </c>
      <c r="C560" s="6" t="s">
        <v>1325</v>
      </c>
      <c r="D560" s="6" t="str">
        <f aca="false">A560&amp;"|"&amp;C560</f>
        <v>2|Supply Train</v>
      </c>
      <c r="E560" s="6" t="s">
        <v>1556</v>
      </c>
      <c r="F560" s="6" t="s">
        <v>1538</v>
      </c>
      <c r="G560" s="6" t="str">
        <f aca="false">INDEX(Archetypes!$D$2:$D$127, MATCH(D560, Archetypes!$A$2:$A$127, 0))</f>
        <v>Logistics</v>
      </c>
      <c r="H560" s="6" t="n">
        <f aca="false">ROUND(INDEX(Archetypes!$E$2:$E$127, MATCH(D560, Archetypes!$A$2:$A$127, 0))*INDEX(Unit_Grades!$B$2:$B$7, MATCH(F560, Unit_Grades!$A$2:$A$7, 0))*INDEX(Unit_Paths!$B$2:$B$4, MATCH(E560, Unit_Paths!$A$2:$A$4, 0)),1)</f>
        <v>2</v>
      </c>
      <c r="I560" s="6" t="n">
        <f aca="false">ROUND(INDEX(Archetypes!$F$2:$F$127, MATCH(D560, Archetypes!$A$2:$A$127, 0))*INDEX(Unit_Grades!$B$2:$B$7, MATCH(F560, Unit_Grades!$A$2:$A$7, 0))*INDEX(Unit_Paths!$C$2:$C$4, MATCH(E560, Unit_Paths!$A$2:$A$4, 0)),1)</f>
        <v>10</v>
      </c>
      <c r="J560" s="6" t="n">
        <f aca="false">ROUND(INDEX(Archetypes!$G$2:$G$127, MATCH(D560, Archetypes!$A$2:$A$127, 0))*INDEX(Unit_Grades!$B$2:$B$7, MATCH(F560, Unit_Grades!$A$2:$A$7, 0))*INDEX(Unit_Paths!$D$2:$D$4, MATCH(E560, Unit_Paths!$A$2:$A$4, 0)),0)</f>
        <v>120</v>
      </c>
      <c r="K560" s="6" t="n">
        <f aca="false">ROUND(INDEX(Archetypes!$H$2:$H$127, MATCH(D560, Archetypes!$A$2:$A$127, 0))*INDEX(Unit_Paths!$E$2:$E$4, MATCH(E560, Unit_Paths!$A$2:$A$4, 0)),1)</f>
        <v>14</v>
      </c>
      <c r="L560" s="6" t="n">
        <f aca="false">ROUND(INDEX(Archetypes!$I$2:$I$127, MATCH(D560, Archetypes!$A$2:$A$127, 0))*INDEX(Unit_Grades!$C$2:$C$7, MATCH(F560, Unit_Grades!$A$2:$A$7, 0)),1)</f>
        <v>4</v>
      </c>
      <c r="M560" s="6" t="n">
        <f aca="false">ROUND(INDEX(Archetypes!$J$2:$J$127, MATCH(D560, Archetypes!$A$2:$A$127, 0))*INDEX(Unit_Grades!$D$2:$D$7, MATCH(F560, Unit_Grades!$A$2:$A$7, 0)),1)</f>
        <v>1.6</v>
      </c>
      <c r="N560" s="6" t="n">
        <f aca="false">ROUND(M560/24,2)</f>
        <v>0.07</v>
      </c>
    </row>
    <row r="561" customFormat="false" ht="15" hidden="false" customHeight="true" outlineLevel="0" collapsed="false">
      <c r="A561" s="6" t="n">
        <v>2</v>
      </c>
      <c r="B561" s="6" t="s">
        <v>2097</v>
      </c>
      <c r="C561" s="6" t="s">
        <v>1325</v>
      </c>
      <c r="D561" s="6" t="str">
        <f aca="false">A561&amp;"|"&amp;C561</f>
        <v>2|Supply Train</v>
      </c>
      <c r="E561" s="6" t="s">
        <v>1556</v>
      </c>
      <c r="F561" s="6" t="s">
        <v>1540</v>
      </c>
      <c r="G561" s="6" t="str">
        <f aca="false">INDEX(Archetypes!$D$2:$D$127, MATCH(D561, Archetypes!$A$2:$A$127, 0))</f>
        <v>Logistics</v>
      </c>
      <c r="H561" s="6" t="n">
        <f aca="false">ROUND(INDEX(Archetypes!$E$2:$E$127, MATCH(D561, Archetypes!$A$2:$A$127, 0))*INDEX(Unit_Grades!$B$2:$B$7, MATCH(F561, Unit_Grades!$A$2:$A$7, 0))*INDEX(Unit_Paths!$B$2:$B$4, MATCH(E561, Unit_Paths!$A$2:$A$4, 0)),1)</f>
        <v>2.7</v>
      </c>
      <c r="I561" s="6" t="n">
        <f aca="false">ROUND(INDEX(Archetypes!$F$2:$F$127, MATCH(D561, Archetypes!$A$2:$A$127, 0))*INDEX(Unit_Grades!$B$2:$B$7, MATCH(F561, Unit_Grades!$A$2:$A$7, 0))*INDEX(Unit_Paths!$C$2:$C$4, MATCH(E561, Unit_Paths!$A$2:$A$4, 0)),1)</f>
        <v>13.5</v>
      </c>
      <c r="J561" s="6" t="n">
        <f aca="false">ROUND(INDEX(Archetypes!$G$2:$G$127, MATCH(D561, Archetypes!$A$2:$A$127, 0))*INDEX(Unit_Grades!$B$2:$B$7, MATCH(F561, Unit_Grades!$A$2:$A$7, 0))*INDEX(Unit_Paths!$D$2:$D$4, MATCH(E561, Unit_Paths!$A$2:$A$4, 0)),0)</f>
        <v>162</v>
      </c>
      <c r="K561" s="6" t="n">
        <f aca="false">ROUND(INDEX(Archetypes!$H$2:$H$127, MATCH(D561, Archetypes!$A$2:$A$127, 0))*INDEX(Unit_Paths!$E$2:$E$4, MATCH(E561, Unit_Paths!$A$2:$A$4, 0)),1)</f>
        <v>14</v>
      </c>
      <c r="L561" s="6" t="n">
        <f aca="false">ROUND(INDEX(Archetypes!$I$2:$I$127, MATCH(D561, Archetypes!$A$2:$A$127, 0))*INDEX(Unit_Grades!$C$2:$C$7, MATCH(F561, Unit_Grades!$A$2:$A$7, 0)),1)</f>
        <v>5</v>
      </c>
      <c r="M561" s="6" t="n">
        <f aca="false">ROUND(INDEX(Archetypes!$J$2:$J$127, MATCH(D561, Archetypes!$A$2:$A$127, 0))*INDEX(Unit_Grades!$D$2:$D$7, MATCH(F561, Unit_Grades!$A$2:$A$7, 0)),1)</f>
        <v>2.4</v>
      </c>
      <c r="N561" s="6" t="n">
        <f aca="false">ROUND(M561/24,2)</f>
        <v>0.1</v>
      </c>
    </row>
    <row r="562" customFormat="false" ht="15" hidden="false" customHeight="true" outlineLevel="0" collapsed="false">
      <c r="A562" s="6" t="n">
        <v>2</v>
      </c>
      <c r="B562" s="6" t="s">
        <v>2098</v>
      </c>
      <c r="C562" s="6" t="s">
        <v>1325</v>
      </c>
      <c r="D562" s="6" t="str">
        <f aca="false">A562&amp;"|"&amp;C562</f>
        <v>2|Supply Train</v>
      </c>
      <c r="E562" s="6" t="s">
        <v>1556</v>
      </c>
      <c r="F562" s="6" t="s">
        <v>1542</v>
      </c>
      <c r="G562" s="6" t="str">
        <f aca="false">INDEX(Archetypes!$D$2:$D$127, MATCH(D562, Archetypes!$A$2:$A$127, 0))</f>
        <v>Logistics</v>
      </c>
      <c r="H562" s="6" t="n">
        <f aca="false">ROUND(INDEX(Archetypes!$E$2:$E$127, MATCH(D562, Archetypes!$A$2:$A$127, 0))*INDEX(Unit_Grades!$B$2:$B$7, MATCH(F562, Unit_Grades!$A$2:$A$7, 0))*INDEX(Unit_Paths!$B$2:$B$4, MATCH(E562, Unit_Paths!$A$2:$A$4, 0)),1)</f>
        <v>3.6</v>
      </c>
      <c r="I562" s="6" t="n">
        <f aca="false">ROUND(INDEX(Archetypes!$F$2:$F$127, MATCH(D562, Archetypes!$A$2:$A$127, 0))*INDEX(Unit_Grades!$B$2:$B$7, MATCH(F562, Unit_Grades!$A$2:$A$7, 0))*INDEX(Unit_Paths!$C$2:$C$4, MATCH(E562, Unit_Paths!$A$2:$A$4, 0)),1)</f>
        <v>18</v>
      </c>
      <c r="J562" s="6" t="n">
        <f aca="false">ROUND(INDEX(Archetypes!$G$2:$G$127, MATCH(D562, Archetypes!$A$2:$A$127, 0))*INDEX(Unit_Grades!$B$2:$B$7, MATCH(F562, Unit_Grades!$A$2:$A$7, 0))*INDEX(Unit_Paths!$D$2:$D$4, MATCH(E562, Unit_Paths!$A$2:$A$4, 0)),0)</f>
        <v>216</v>
      </c>
      <c r="K562" s="6" t="n">
        <f aca="false">ROUND(INDEX(Archetypes!$H$2:$H$127, MATCH(D562, Archetypes!$A$2:$A$127, 0))*INDEX(Unit_Paths!$E$2:$E$4, MATCH(E562, Unit_Paths!$A$2:$A$4, 0)),1)</f>
        <v>14</v>
      </c>
      <c r="L562" s="6" t="n">
        <f aca="false">ROUND(INDEX(Archetypes!$I$2:$I$127, MATCH(D562, Archetypes!$A$2:$A$127, 0))*INDEX(Unit_Grades!$C$2:$C$7, MATCH(F562, Unit_Grades!$A$2:$A$7, 0)),1)</f>
        <v>6.4</v>
      </c>
      <c r="M562" s="6" t="n">
        <f aca="false">ROUND(INDEX(Archetypes!$J$2:$J$127, MATCH(D562, Archetypes!$A$2:$A$127, 0))*INDEX(Unit_Grades!$D$2:$D$7, MATCH(F562, Unit_Grades!$A$2:$A$7, 0)),1)</f>
        <v>4.1</v>
      </c>
      <c r="N562" s="6" t="n">
        <f aca="false">ROUND(M562/24,2)</f>
        <v>0.17</v>
      </c>
    </row>
    <row r="563" customFormat="false" ht="15" hidden="false" customHeight="true" outlineLevel="0" collapsed="false">
      <c r="A563" s="6" t="n">
        <v>2</v>
      </c>
      <c r="B563" s="6" t="s">
        <v>2099</v>
      </c>
      <c r="C563" s="6" t="s">
        <v>1325</v>
      </c>
      <c r="D563" s="6" t="str">
        <f aca="false">A563&amp;"|"&amp;C563</f>
        <v>2|Supply Train</v>
      </c>
      <c r="E563" s="6" t="s">
        <v>1556</v>
      </c>
      <c r="F563" s="6" t="s">
        <v>1544</v>
      </c>
      <c r="G563" s="6" t="str">
        <f aca="false">INDEX(Archetypes!$D$2:$D$127, MATCH(D563, Archetypes!$A$2:$A$127, 0))</f>
        <v>Logistics</v>
      </c>
      <c r="H563" s="6" t="n">
        <f aca="false">ROUND(INDEX(Archetypes!$E$2:$E$127, MATCH(D563, Archetypes!$A$2:$A$127, 0))*INDEX(Unit_Grades!$B$2:$B$7, MATCH(F563, Unit_Grades!$A$2:$A$7, 0))*INDEX(Unit_Paths!$B$2:$B$4, MATCH(E563, Unit_Paths!$A$2:$A$4, 0)),1)</f>
        <v>4.8</v>
      </c>
      <c r="I563" s="6" t="n">
        <f aca="false">ROUND(INDEX(Archetypes!$F$2:$F$127, MATCH(D563, Archetypes!$A$2:$A$127, 0))*INDEX(Unit_Grades!$B$2:$B$7, MATCH(F563, Unit_Grades!$A$2:$A$7, 0))*INDEX(Unit_Paths!$C$2:$C$4, MATCH(E563, Unit_Paths!$A$2:$A$4, 0)),1)</f>
        <v>24</v>
      </c>
      <c r="J563" s="6" t="n">
        <f aca="false">ROUND(INDEX(Archetypes!$G$2:$G$127, MATCH(D563, Archetypes!$A$2:$A$127, 0))*INDEX(Unit_Grades!$B$2:$B$7, MATCH(F563, Unit_Grades!$A$2:$A$7, 0))*INDEX(Unit_Paths!$D$2:$D$4, MATCH(E563, Unit_Paths!$A$2:$A$4, 0)),0)</f>
        <v>288</v>
      </c>
      <c r="K563" s="6" t="n">
        <f aca="false">ROUND(INDEX(Archetypes!$H$2:$H$127, MATCH(D563, Archetypes!$A$2:$A$127, 0))*INDEX(Unit_Paths!$E$2:$E$4, MATCH(E563, Unit_Paths!$A$2:$A$4, 0)),1)</f>
        <v>14</v>
      </c>
      <c r="L563" s="6" t="n">
        <f aca="false">ROUND(INDEX(Archetypes!$I$2:$I$127, MATCH(D563, Archetypes!$A$2:$A$127, 0))*INDEX(Unit_Grades!$C$2:$C$7, MATCH(F563, Unit_Grades!$A$2:$A$7, 0)),1)</f>
        <v>8.4</v>
      </c>
      <c r="M563" s="6" t="n">
        <f aca="false">ROUND(INDEX(Archetypes!$J$2:$J$127, MATCH(D563, Archetypes!$A$2:$A$127, 0))*INDEX(Unit_Grades!$D$2:$D$7, MATCH(F563, Unit_Grades!$A$2:$A$7, 0)),1)</f>
        <v>6.5</v>
      </c>
      <c r="N563" s="6" t="n">
        <f aca="false">ROUND(M563/24,2)</f>
        <v>0.27</v>
      </c>
    </row>
    <row r="564" customFormat="false" ht="15" hidden="false" customHeight="true" outlineLevel="0" collapsed="false">
      <c r="A564" s="6" t="n">
        <v>2</v>
      </c>
      <c r="B564" s="6" t="s">
        <v>2100</v>
      </c>
      <c r="C564" s="6" t="s">
        <v>1325</v>
      </c>
      <c r="D564" s="6" t="str">
        <f aca="false">A564&amp;"|"&amp;C564</f>
        <v>2|Supply Train</v>
      </c>
      <c r="E564" s="6" t="s">
        <v>1556</v>
      </c>
      <c r="F564" s="6" t="s">
        <v>1546</v>
      </c>
      <c r="G564" s="6" t="str">
        <f aca="false">INDEX(Archetypes!$D$2:$D$127, MATCH(D564, Archetypes!$A$2:$A$127, 0))</f>
        <v>Logistics</v>
      </c>
      <c r="H564" s="6" t="n">
        <f aca="false">ROUND(INDEX(Archetypes!$E$2:$E$127, MATCH(D564, Archetypes!$A$2:$A$127, 0))*INDEX(Unit_Grades!$B$2:$B$7, MATCH(F564, Unit_Grades!$A$2:$A$7, 0))*INDEX(Unit_Paths!$B$2:$B$4, MATCH(E564, Unit_Paths!$A$2:$A$4, 0)),1)</f>
        <v>6.4</v>
      </c>
      <c r="I564" s="6" t="n">
        <f aca="false">ROUND(INDEX(Archetypes!$F$2:$F$127, MATCH(D564, Archetypes!$A$2:$A$127, 0))*INDEX(Unit_Grades!$B$2:$B$7, MATCH(F564, Unit_Grades!$A$2:$A$7, 0))*INDEX(Unit_Paths!$C$2:$C$4, MATCH(E564, Unit_Paths!$A$2:$A$4, 0)),1)</f>
        <v>32</v>
      </c>
      <c r="J564" s="6" t="n">
        <f aca="false">ROUND(INDEX(Archetypes!$G$2:$G$127, MATCH(D564, Archetypes!$A$2:$A$127, 0))*INDEX(Unit_Grades!$B$2:$B$7, MATCH(F564, Unit_Grades!$A$2:$A$7, 0))*INDEX(Unit_Paths!$D$2:$D$4, MATCH(E564, Unit_Paths!$A$2:$A$4, 0)),0)</f>
        <v>384</v>
      </c>
      <c r="K564" s="6" t="n">
        <f aca="false">ROUND(INDEX(Archetypes!$H$2:$H$127, MATCH(D564, Archetypes!$A$2:$A$127, 0))*INDEX(Unit_Paths!$E$2:$E$4, MATCH(E564, Unit_Paths!$A$2:$A$4, 0)),1)</f>
        <v>14</v>
      </c>
      <c r="L564" s="6" t="n">
        <f aca="false">ROUND(INDEX(Archetypes!$I$2:$I$127, MATCH(D564, Archetypes!$A$2:$A$127, 0))*INDEX(Unit_Grades!$C$2:$C$7, MATCH(F564, Unit_Grades!$A$2:$A$7, 0)),1)</f>
        <v>11.2</v>
      </c>
      <c r="M564" s="6" t="n">
        <f aca="false">ROUND(INDEX(Archetypes!$J$2:$J$127, MATCH(D564, Archetypes!$A$2:$A$127, 0))*INDEX(Unit_Grades!$D$2:$D$7, MATCH(F564, Unit_Grades!$A$2:$A$7, 0)),1)</f>
        <v>11.3</v>
      </c>
      <c r="N564" s="6" t="n">
        <f aca="false">ROUND(M564/24,2)</f>
        <v>0.47</v>
      </c>
    </row>
    <row r="565" customFormat="false" ht="15" hidden="false" customHeight="true" outlineLevel="0" collapsed="false">
      <c r="A565" s="6" t="n">
        <v>2</v>
      </c>
      <c r="B565" s="6" t="s">
        <v>2101</v>
      </c>
      <c r="C565" s="6" t="s">
        <v>1325</v>
      </c>
      <c r="D565" s="6" t="str">
        <f aca="false">A565&amp;"|"&amp;C565</f>
        <v>2|Supply Train</v>
      </c>
      <c r="E565" s="6" t="s">
        <v>1556</v>
      </c>
      <c r="F565" s="6" t="s">
        <v>1548</v>
      </c>
      <c r="G565" s="6" t="str">
        <f aca="false">INDEX(Archetypes!$D$2:$D$127, MATCH(D565, Archetypes!$A$2:$A$127, 0))</f>
        <v>Logistics</v>
      </c>
      <c r="H565" s="6" t="n">
        <f aca="false">ROUND(INDEX(Archetypes!$E$2:$E$127, MATCH(D565, Archetypes!$A$2:$A$127, 0))*INDEX(Unit_Grades!$B$2:$B$7, MATCH(F565, Unit_Grades!$A$2:$A$7, 0))*INDEX(Unit_Paths!$B$2:$B$4, MATCH(E565, Unit_Paths!$A$2:$A$4, 0)),1)</f>
        <v>8.4</v>
      </c>
      <c r="I565" s="6" t="n">
        <f aca="false">ROUND(INDEX(Archetypes!$F$2:$F$127, MATCH(D565, Archetypes!$A$2:$A$127, 0))*INDEX(Unit_Grades!$B$2:$B$7, MATCH(F565, Unit_Grades!$A$2:$A$7, 0))*INDEX(Unit_Paths!$C$2:$C$4, MATCH(E565, Unit_Paths!$A$2:$A$4, 0)),1)</f>
        <v>42</v>
      </c>
      <c r="J565" s="6" t="n">
        <f aca="false">ROUND(INDEX(Archetypes!$G$2:$G$127, MATCH(D565, Archetypes!$A$2:$A$127, 0))*INDEX(Unit_Grades!$B$2:$B$7, MATCH(F565, Unit_Grades!$A$2:$A$7, 0))*INDEX(Unit_Paths!$D$2:$D$4, MATCH(E565, Unit_Paths!$A$2:$A$4, 0)),0)</f>
        <v>504</v>
      </c>
      <c r="K565" s="6" t="n">
        <f aca="false">ROUND(INDEX(Archetypes!$H$2:$H$127, MATCH(D565, Archetypes!$A$2:$A$127, 0))*INDEX(Unit_Paths!$E$2:$E$4, MATCH(E565, Unit_Paths!$A$2:$A$4, 0)),1)</f>
        <v>14</v>
      </c>
      <c r="L565" s="6" t="n">
        <f aca="false">ROUND(INDEX(Archetypes!$I$2:$I$127, MATCH(D565, Archetypes!$A$2:$A$127, 0))*INDEX(Unit_Grades!$C$2:$C$7, MATCH(F565, Unit_Grades!$A$2:$A$7, 0)),1)</f>
        <v>14.8</v>
      </c>
      <c r="M565" s="6" t="n">
        <f aca="false">ROUND(INDEX(Archetypes!$J$2:$J$127, MATCH(D565, Archetypes!$A$2:$A$127, 0))*INDEX(Unit_Grades!$D$2:$D$7, MATCH(F565, Unit_Grades!$A$2:$A$7, 0)),1)</f>
        <v>19.4</v>
      </c>
      <c r="N565" s="6" t="n">
        <f aca="false">ROUND(M565/24,2)</f>
        <v>0.81</v>
      </c>
    </row>
    <row r="566" customFormat="false" ht="15" hidden="false" customHeight="true" outlineLevel="0" collapsed="false">
      <c r="A566" s="6" t="n">
        <v>2</v>
      </c>
      <c r="B566" s="6" t="s">
        <v>2102</v>
      </c>
      <c r="C566" s="6" t="s">
        <v>1325</v>
      </c>
      <c r="D566" s="6" t="str">
        <f aca="false">A566&amp;"|"&amp;C566</f>
        <v>2|Supply Train</v>
      </c>
      <c r="E566" s="6" t="s">
        <v>1558</v>
      </c>
      <c r="F566" s="6" t="s">
        <v>1538</v>
      </c>
      <c r="G566" s="6" t="str">
        <f aca="false">INDEX(Archetypes!$D$2:$D$127, MATCH(D566, Archetypes!$A$2:$A$127, 0))</f>
        <v>Logistics</v>
      </c>
      <c r="H566" s="6" t="n">
        <f aca="false">ROUND(INDEX(Archetypes!$E$2:$E$127, MATCH(D566, Archetypes!$A$2:$A$127, 0))*INDEX(Unit_Grades!$B$2:$B$7, MATCH(F566, Unit_Grades!$A$2:$A$7, 0))*INDEX(Unit_Paths!$B$2:$B$4, MATCH(E566, Unit_Paths!$A$2:$A$4, 0)),1)</f>
        <v>2.4</v>
      </c>
      <c r="I566" s="6" t="n">
        <f aca="false">ROUND(INDEX(Archetypes!$F$2:$F$127, MATCH(D566, Archetypes!$A$2:$A$127, 0))*INDEX(Unit_Grades!$B$2:$B$7, MATCH(F566, Unit_Grades!$A$2:$A$7, 0))*INDEX(Unit_Paths!$C$2:$C$4, MATCH(E566, Unit_Paths!$A$2:$A$4, 0)),1)</f>
        <v>8.5</v>
      </c>
      <c r="J566" s="6" t="n">
        <f aca="false">ROUND(INDEX(Archetypes!$G$2:$G$127, MATCH(D566, Archetypes!$A$2:$A$127, 0))*INDEX(Unit_Grades!$B$2:$B$7, MATCH(F566, Unit_Grades!$A$2:$A$7, 0))*INDEX(Unit_Paths!$D$2:$D$4, MATCH(E566, Unit_Paths!$A$2:$A$4, 0)),0)</f>
        <v>114</v>
      </c>
      <c r="K566" s="6" t="n">
        <f aca="false">ROUND(INDEX(Archetypes!$H$2:$H$127, MATCH(D566, Archetypes!$A$2:$A$127, 0))*INDEX(Unit_Paths!$E$2:$E$4, MATCH(E566, Unit_Paths!$A$2:$A$4, 0)),1)</f>
        <v>14.7</v>
      </c>
      <c r="L566" s="6" t="n">
        <f aca="false">ROUND(INDEX(Archetypes!$I$2:$I$127, MATCH(D566, Archetypes!$A$2:$A$127, 0))*INDEX(Unit_Grades!$C$2:$C$7, MATCH(F566, Unit_Grades!$A$2:$A$7, 0)),1)</f>
        <v>4</v>
      </c>
      <c r="M566" s="6" t="n">
        <f aca="false">ROUND(INDEX(Archetypes!$J$2:$J$127, MATCH(D566, Archetypes!$A$2:$A$127, 0))*INDEX(Unit_Grades!$D$2:$D$7, MATCH(F566, Unit_Grades!$A$2:$A$7, 0)),1)</f>
        <v>1.6</v>
      </c>
      <c r="N566" s="6" t="n">
        <f aca="false">ROUND(M566/24,2)</f>
        <v>0.07</v>
      </c>
    </row>
    <row r="567" customFormat="false" ht="15" hidden="false" customHeight="true" outlineLevel="0" collapsed="false">
      <c r="A567" s="6" t="n">
        <v>2</v>
      </c>
      <c r="B567" s="6" t="s">
        <v>2103</v>
      </c>
      <c r="C567" s="6" t="s">
        <v>1325</v>
      </c>
      <c r="D567" s="6" t="str">
        <f aca="false">A567&amp;"|"&amp;C567</f>
        <v>2|Supply Train</v>
      </c>
      <c r="E567" s="6" t="s">
        <v>1558</v>
      </c>
      <c r="F567" s="6" t="s">
        <v>1540</v>
      </c>
      <c r="G567" s="6" t="str">
        <f aca="false">INDEX(Archetypes!$D$2:$D$127, MATCH(D567, Archetypes!$A$2:$A$127, 0))</f>
        <v>Logistics</v>
      </c>
      <c r="H567" s="6" t="n">
        <f aca="false">ROUND(INDEX(Archetypes!$E$2:$E$127, MATCH(D567, Archetypes!$A$2:$A$127, 0))*INDEX(Unit_Grades!$B$2:$B$7, MATCH(F567, Unit_Grades!$A$2:$A$7, 0))*INDEX(Unit_Paths!$B$2:$B$4, MATCH(E567, Unit_Paths!$A$2:$A$4, 0)),1)</f>
        <v>3.2</v>
      </c>
      <c r="I567" s="6" t="n">
        <f aca="false">ROUND(INDEX(Archetypes!$F$2:$F$127, MATCH(D567, Archetypes!$A$2:$A$127, 0))*INDEX(Unit_Grades!$B$2:$B$7, MATCH(F567, Unit_Grades!$A$2:$A$7, 0))*INDEX(Unit_Paths!$C$2:$C$4, MATCH(E567, Unit_Paths!$A$2:$A$4, 0)),1)</f>
        <v>11.5</v>
      </c>
      <c r="J567" s="6" t="n">
        <f aca="false">ROUND(INDEX(Archetypes!$G$2:$G$127, MATCH(D567, Archetypes!$A$2:$A$127, 0))*INDEX(Unit_Grades!$B$2:$B$7, MATCH(F567, Unit_Grades!$A$2:$A$7, 0))*INDEX(Unit_Paths!$D$2:$D$4, MATCH(E567, Unit_Paths!$A$2:$A$4, 0)),0)</f>
        <v>154</v>
      </c>
      <c r="K567" s="6" t="n">
        <f aca="false">ROUND(INDEX(Archetypes!$H$2:$H$127, MATCH(D567, Archetypes!$A$2:$A$127, 0))*INDEX(Unit_Paths!$E$2:$E$4, MATCH(E567, Unit_Paths!$A$2:$A$4, 0)),1)</f>
        <v>14.7</v>
      </c>
      <c r="L567" s="6" t="n">
        <f aca="false">ROUND(INDEX(Archetypes!$I$2:$I$127, MATCH(D567, Archetypes!$A$2:$A$127, 0))*INDEX(Unit_Grades!$C$2:$C$7, MATCH(F567, Unit_Grades!$A$2:$A$7, 0)),1)</f>
        <v>5</v>
      </c>
      <c r="M567" s="6" t="n">
        <f aca="false">ROUND(INDEX(Archetypes!$J$2:$J$127, MATCH(D567, Archetypes!$A$2:$A$127, 0))*INDEX(Unit_Grades!$D$2:$D$7, MATCH(F567, Unit_Grades!$A$2:$A$7, 0)),1)</f>
        <v>2.4</v>
      </c>
      <c r="N567" s="6" t="n">
        <f aca="false">ROUND(M567/24,2)</f>
        <v>0.1</v>
      </c>
    </row>
    <row r="568" customFormat="false" ht="15" hidden="false" customHeight="true" outlineLevel="0" collapsed="false">
      <c r="A568" s="6" t="n">
        <v>2</v>
      </c>
      <c r="B568" s="6" t="s">
        <v>2104</v>
      </c>
      <c r="C568" s="6" t="s">
        <v>1325</v>
      </c>
      <c r="D568" s="6" t="str">
        <f aca="false">A568&amp;"|"&amp;C568</f>
        <v>2|Supply Train</v>
      </c>
      <c r="E568" s="6" t="s">
        <v>1558</v>
      </c>
      <c r="F568" s="6" t="s">
        <v>1542</v>
      </c>
      <c r="G568" s="6" t="str">
        <f aca="false">INDEX(Archetypes!$D$2:$D$127, MATCH(D568, Archetypes!$A$2:$A$127, 0))</f>
        <v>Logistics</v>
      </c>
      <c r="H568" s="6" t="n">
        <f aca="false">ROUND(INDEX(Archetypes!$E$2:$E$127, MATCH(D568, Archetypes!$A$2:$A$127, 0))*INDEX(Unit_Grades!$B$2:$B$7, MATCH(F568, Unit_Grades!$A$2:$A$7, 0))*INDEX(Unit_Paths!$B$2:$B$4, MATCH(E568, Unit_Paths!$A$2:$A$4, 0)),1)</f>
        <v>4.3</v>
      </c>
      <c r="I568" s="6" t="n">
        <f aca="false">ROUND(INDEX(Archetypes!$F$2:$F$127, MATCH(D568, Archetypes!$A$2:$A$127, 0))*INDEX(Unit_Grades!$B$2:$B$7, MATCH(F568, Unit_Grades!$A$2:$A$7, 0))*INDEX(Unit_Paths!$C$2:$C$4, MATCH(E568, Unit_Paths!$A$2:$A$4, 0)),1)</f>
        <v>15.3</v>
      </c>
      <c r="J568" s="6" t="n">
        <f aca="false">ROUND(INDEX(Archetypes!$G$2:$G$127, MATCH(D568, Archetypes!$A$2:$A$127, 0))*INDEX(Unit_Grades!$B$2:$B$7, MATCH(F568, Unit_Grades!$A$2:$A$7, 0))*INDEX(Unit_Paths!$D$2:$D$4, MATCH(E568, Unit_Paths!$A$2:$A$4, 0)),0)</f>
        <v>205</v>
      </c>
      <c r="K568" s="6" t="n">
        <f aca="false">ROUND(INDEX(Archetypes!$H$2:$H$127, MATCH(D568, Archetypes!$A$2:$A$127, 0))*INDEX(Unit_Paths!$E$2:$E$4, MATCH(E568, Unit_Paths!$A$2:$A$4, 0)),1)</f>
        <v>14.7</v>
      </c>
      <c r="L568" s="6" t="n">
        <f aca="false">ROUND(INDEX(Archetypes!$I$2:$I$127, MATCH(D568, Archetypes!$A$2:$A$127, 0))*INDEX(Unit_Grades!$C$2:$C$7, MATCH(F568, Unit_Grades!$A$2:$A$7, 0)),1)</f>
        <v>6.4</v>
      </c>
      <c r="M568" s="6" t="n">
        <f aca="false">ROUND(INDEX(Archetypes!$J$2:$J$127, MATCH(D568, Archetypes!$A$2:$A$127, 0))*INDEX(Unit_Grades!$D$2:$D$7, MATCH(F568, Unit_Grades!$A$2:$A$7, 0)),1)</f>
        <v>4.1</v>
      </c>
      <c r="N568" s="6" t="n">
        <f aca="false">ROUND(M568/24,2)</f>
        <v>0.17</v>
      </c>
    </row>
    <row r="569" customFormat="false" ht="15" hidden="false" customHeight="true" outlineLevel="0" collapsed="false">
      <c r="A569" s="6" t="n">
        <v>2</v>
      </c>
      <c r="B569" s="6" t="s">
        <v>2105</v>
      </c>
      <c r="C569" s="6" t="s">
        <v>1325</v>
      </c>
      <c r="D569" s="6" t="str">
        <f aca="false">A569&amp;"|"&amp;C569</f>
        <v>2|Supply Train</v>
      </c>
      <c r="E569" s="6" t="s">
        <v>1558</v>
      </c>
      <c r="F569" s="6" t="s">
        <v>1544</v>
      </c>
      <c r="G569" s="6" t="str">
        <f aca="false">INDEX(Archetypes!$D$2:$D$127, MATCH(D569, Archetypes!$A$2:$A$127, 0))</f>
        <v>Logistics</v>
      </c>
      <c r="H569" s="6" t="n">
        <f aca="false">ROUND(INDEX(Archetypes!$E$2:$E$127, MATCH(D569, Archetypes!$A$2:$A$127, 0))*INDEX(Unit_Grades!$B$2:$B$7, MATCH(F569, Unit_Grades!$A$2:$A$7, 0))*INDEX(Unit_Paths!$B$2:$B$4, MATCH(E569, Unit_Paths!$A$2:$A$4, 0)),1)</f>
        <v>5.8</v>
      </c>
      <c r="I569" s="6" t="n">
        <f aca="false">ROUND(INDEX(Archetypes!$F$2:$F$127, MATCH(D569, Archetypes!$A$2:$A$127, 0))*INDEX(Unit_Grades!$B$2:$B$7, MATCH(F569, Unit_Grades!$A$2:$A$7, 0))*INDEX(Unit_Paths!$C$2:$C$4, MATCH(E569, Unit_Paths!$A$2:$A$4, 0)),1)</f>
        <v>20.4</v>
      </c>
      <c r="J569" s="6" t="n">
        <f aca="false">ROUND(INDEX(Archetypes!$G$2:$G$127, MATCH(D569, Archetypes!$A$2:$A$127, 0))*INDEX(Unit_Grades!$B$2:$B$7, MATCH(F569, Unit_Grades!$A$2:$A$7, 0))*INDEX(Unit_Paths!$D$2:$D$4, MATCH(E569, Unit_Paths!$A$2:$A$4, 0)),0)</f>
        <v>274</v>
      </c>
      <c r="K569" s="6" t="n">
        <f aca="false">ROUND(INDEX(Archetypes!$H$2:$H$127, MATCH(D569, Archetypes!$A$2:$A$127, 0))*INDEX(Unit_Paths!$E$2:$E$4, MATCH(E569, Unit_Paths!$A$2:$A$4, 0)),1)</f>
        <v>14.7</v>
      </c>
      <c r="L569" s="6" t="n">
        <f aca="false">ROUND(INDEX(Archetypes!$I$2:$I$127, MATCH(D569, Archetypes!$A$2:$A$127, 0))*INDEX(Unit_Grades!$C$2:$C$7, MATCH(F569, Unit_Grades!$A$2:$A$7, 0)),1)</f>
        <v>8.4</v>
      </c>
      <c r="M569" s="6" t="n">
        <f aca="false">ROUND(INDEX(Archetypes!$J$2:$J$127, MATCH(D569, Archetypes!$A$2:$A$127, 0))*INDEX(Unit_Grades!$D$2:$D$7, MATCH(F569, Unit_Grades!$A$2:$A$7, 0)),1)</f>
        <v>6.5</v>
      </c>
      <c r="N569" s="6" t="n">
        <f aca="false">ROUND(M569/24,2)</f>
        <v>0.27</v>
      </c>
    </row>
    <row r="570" customFormat="false" ht="15" hidden="false" customHeight="true" outlineLevel="0" collapsed="false">
      <c r="A570" s="6" t="n">
        <v>2</v>
      </c>
      <c r="B570" s="6" t="s">
        <v>2106</v>
      </c>
      <c r="C570" s="6" t="s">
        <v>1325</v>
      </c>
      <c r="D570" s="6" t="str">
        <f aca="false">A570&amp;"|"&amp;C570</f>
        <v>2|Supply Train</v>
      </c>
      <c r="E570" s="6" t="s">
        <v>1558</v>
      </c>
      <c r="F570" s="6" t="s">
        <v>1546</v>
      </c>
      <c r="G570" s="6" t="str">
        <f aca="false">INDEX(Archetypes!$D$2:$D$127, MATCH(D570, Archetypes!$A$2:$A$127, 0))</f>
        <v>Logistics</v>
      </c>
      <c r="H570" s="6" t="n">
        <f aca="false">ROUND(INDEX(Archetypes!$E$2:$E$127, MATCH(D570, Archetypes!$A$2:$A$127, 0))*INDEX(Unit_Grades!$B$2:$B$7, MATCH(F570, Unit_Grades!$A$2:$A$7, 0))*INDEX(Unit_Paths!$B$2:$B$4, MATCH(E570, Unit_Paths!$A$2:$A$4, 0)),1)</f>
        <v>7.7</v>
      </c>
      <c r="I570" s="6" t="n">
        <f aca="false">ROUND(INDEX(Archetypes!$F$2:$F$127, MATCH(D570, Archetypes!$A$2:$A$127, 0))*INDEX(Unit_Grades!$B$2:$B$7, MATCH(F570, Unit_Grades!$A$2:$A$7, 0))*INDEX(Unit_Paths!$C$2:$C$4, MATCH(E570, Unit_Paths!$A$2:$A$4, 0)),1)</f>
        <v>27.2</v>
      </c>
      <c r="J570" s="6" t="n">
        <f aca="false">ROUND(INDEX(Archetypes!$G$2:$G$127, MATCH(D570, Archetypes!$A$2:$A$127, 0))*INDEX(Unit_Grades!$B$2:$B$7, MATCH(F570, Unit_Grades!$A$2:$A$7, 0))*INDEX(Unit_Paths!$D$2:$D$4, MATCH(E570, Unit_Paths!$A$2:$A$4, 0)),0)</f>
        <v>365</v>
      </c>
      <c r="K570" s="6" t="n">
        <f aca="false">ROUND(INDEX(Archetypes!$H$2:$H$127, MATCH(D570, Archetypes!$A$2:$A$127, 0))*INDEX(Unit_Paths!$E$2:$E$4, MATCH(E570, Unit_Paths!$A$2:$A$4, 0)),1)</f>
        <v>14.7</v>
      </c>
      <c r="L570" s="6" t="n">
        <f aca="false">ROUND(INDEX(Archetypes!$I$2:$I$127, MATCH(D570, Archetypes!$A$2:$A$127, 0))*INDEX(Unit_Grades!$C$2:$C$7, MATCH(F570, Unit_Grades!$A$2:$A$7, 0)),1)</f>
        <v>11.2</v>
      </c>
      <c r="M570" s="6" t="n">
        <f aca="false">ROUND(INDEX(Archetypes!$J$2:$J$127, MATCH(D570, Archetypes!$A$2:$A$127, 0))*INDEX(Unit_Grades!$D$2:$D$7, MATCH(F570, Unit_Grades!$A$2:$A$7, 0)),1)</f>
        <v>11.3</v>
      </c>
      <c r="N570" s="6" t="n">
        <f aca="false">ROUND(M570/24,2)</f>
        <v>0.47</v>
      </c>
    </row>
    <row r="571" customFormat="false" ht="15" hidden="false" customHeight="true" outlineLevel="0" collapsed="false">
      <c r="A571" s="6" t="n">
        <v>2</v>
      </c>
      <c r="B571" s="6" t="s">
        <v>2107</v>
      </c>
      <c r="C571" s="6" t="s">
        <v>1325</v>
      </c>
      <c r="D571" s="6" t="str">
        <f aca="false">A571&amp;"|"&amp;C571</f>
        <v>2|Supply Train</v>
      </c>
      <c r="E571" s="6" t="s">
        <v>1558</v>
      </c>
      <c r="F571" s="6" t="s">
        <v>1548</v>
      </c>
      <c r="G571" s="6" t="str">
        <f aca="false">INDEX(Archetypes!$D$2:$D$127, MATCH(D571, Archetypes!$A$2:$A$127, 0))</f>
        <v>Logistics</v>
      </c>
      <c r="H571" s="6" t="n">
        <f aca="false">ROUND(INDEX(Archetypes!$E$2:$E$127, MATCH(D571, Archetypes!$A$2:$A$127, 0))*INDEX(Unit_Grades!$B$2:$B$7, MATCH(F571, Unit_Grades!$A$2:$A$7, 0))*INDEX(Unit_Paths!$B$2:$B$4, MATCH(E571, Unit_Paths!$A$2:$A$4, 0)),1)</f>
        <v>10.1</v>
      </c>
      <c r="I571" s="6" t="n">
        <f aca="false">ROUND(INDEX(Archetypes!$F$2:$F$127, MATCH(D571, Archetypes!$A$2:$A$127, 0))*INDEX(Unit_Grades!$B$2:$B$7, MATCH(F571, Unit_Grades!$A$2:$A$7, 0))*INDEX(Unit_Paths!$C$2:$C$4, MATCH(E571, Unit_Paths!$A$2:$A$4, 0)),1)</f>
        <v>35.7</v>
      </c>
      <c r="J571" s="6" t="n">
        <f aca="false">ROUND(INDEX(Archetypes!$G$2:$G$127, MATCH(D571, Archetypes!$A$2:$A$127, 0))*INDEX(Unit_Grades!$B$2:$B$7, MATCH(F571, Unit_Grades!$A$2:$A$7, 0))*INDEX(Unit_Paths!$D$2:$D$4, MATCH(E571, Unit_Paths!$A$2:$A$4, 0)),0)</f>
        <v>479</v>
      </c>
      <c r="K571" s="6" t="n">
        <f aca="false">ROUND(INDEX(Archetypes!$H$2:$H$127, MATCH(D571, Archetypes!$A$2:$A$127, 0))*INDEX(Unit_Paths!$E$2:$E$4, MATCH(E571, Unit_Paths!$A$2:$A$4, 0)),1)</f>
        <v>14.7</v>
      </c>
      <c r="L571" s="6" t="n">
        <f aca="false">ROUND(INDEX(Archetypes!$I$2:$I$127, MATCH(D571, Archetypes!$A$2:$A$127, 0))*INDEX(Unit_Grades!$C$2:$C$7, MATCH(F571, Unit_Grades!$A$2:$A$7, 0)),1)</f>
        <v>14.8</v>
      </c>
      <c r="M571" s="6" t="n">
        <f aca="false">ROUND(INDEX(Archetypes!$J$2:$J$127, MATCH(D571, Archetypes!$A$2:$A$127, 0))*INDEX(Unit_Grades!$D$2:$D$7, MATCH(F571, Unit_Grades!$A$2:$A$7, 0)),1)</f>
        <v>19.4</v>
      </c>
      <c r="N571" s="6" t="n">
        <f aca="false">ROUND(M571/24,2)</f>
        <v>0.81</v>
      </c>
    </row>
    <row r="572" customFormat="false" ht="15" hidden="false" customHeight="true" outlineLevel="0" collapsed="false">
      <c r="A572" s="6" t="n">
        <v>2</v>
      </c>
      <c r="B572" s="6" t="s">
        <v>2108</v>
      </c>
      <c r="C572" s="6" t="s">
        <v>1325</v>
      </c>
      <c r="D572" s="6" t="str">
        <f aca="false">A572&amp;"|"&amp;C572</f>
        <v>2|Supply Train</v>
      </c>
      <c r="E572" s="6" t="s">
        <v>1560</v>
      </c>
      <c r="F572" s="6" t="s">
        <v>1538</v>
      </c>
      <c r="G572" s="6" t="str">
        <f aca="false">INDEX(Archetypes!$D$2:$D$127, MATCH(D572, Archetypes!$A$2:$A$127, 0))</f>
        <v>Logistics</v>
      </c>
      <c r="H572" s="6" t="n">
        <f aca="false">ROUND(INDEX(Archetypes!$E$2:$E$127, MATCH(D572, Archetypes!$A$2:$A$127, 0))*INDEX(Unit_Grades!$B$2:$B$7, MATCH(F572, Unit_Grades!$A$2:$A$7, 0))*INDEX(Unit_Paths!$B$2:$B$4, MATCH(E572, Unit_Paths!$A$2:$A$4, 0)),1)</f>
        <v>1.7</v>
      </c>
      <c r="I572" s="6" t="n">
        <f aca="false">ROUND(INDEX(Archetypes!$F$2:$F$127, MATCH(D572, Archetypes!$A$2:$A$127, 0))*INDEX(Unit_Grades!$B$2:$B$7, MATCH(F572, Unit_Grades!$A$2:$A$7, 0))*INDEX(Unit_Paths!$C$2:$C$4, MATCH(E572, Unit_Paths!$A$2:$A$4, 0)),1)</f>
        <v>12.5</v>
      </c>
      <c r="J572" s="6" t="n">
        <f aca="false">ROUND(INDEX(Archetypes!$G$2:$G$127, MATCH(D572, Archetypes!$A$2:$A$127, 0))*INDEX(Unit_Grades!$B$2:$B$7, MATCH(F572, Unit_Grades!$A$2:$A$7, 0))*INDEX(Unit_Paths!$D$2:$D$4, MATCH(E572, Unit_Paths!$A$2:$A$4, 0)),0)</f>
        <v>138</v>
      </c>
      <c r="K572" s="6" t="n">
        <f aca="false">ROUND(INDEX(Archetypes!$H$2:$H$127, MATCH(D572, Archetypes!$A$2:$A$127, 0))*INDEX(Unit_Paths!$E$2:$E$4, MATCH(E572, Unit_Paths!$A$2:$A$4, 0)),1)</f>
        <v>12.9</v>
      </c>
      <c r="L572" s="6" t="n">
        <f aca="false">ROUND(INDEX(Archetypes!$I$2:$I$127, MATCH(D572, Archetypes!$A$2:$A$127, 0))*INDEX(Unit_Grades!$C$2:$C$7, MATCH(F572, Unit_Grades!$A$2:$A$7, 0)),1)</f>
        <v>4</v>
      </c>
      <c r="M572" s="6" t="n">
        <f aca="false">ROUND(INDEX(Archetypes!$J$2:$J$127, MATCH(D572, Archetypes!$A$2:$A$127, 0))*INDEX(Unit_Grades!$D$2:$D$7, MATCH(F572, Unit_Grades!$A$2:$A$7, 0)),1)</f>
        <v>1.6</v>
      </c>
      <c r="N572" s="6" t="n">
        <f aca="false">ROUND(M572/24,2)</f>
        <v>0.07</v>
      </c>
    </row>
    <row r="573" customFormat="false" ht="15" hidden="false" customHeight="true" outlineLevel="0" collapsed="false">
      <c r="A573" s="6" t="n">
        <v>2</v>
      </c>
      <c r="B573" s="6" t="s">
        <v>2109</v>
      </c>
      <c r="C573" s="6" t="s">
        <v>1325</v>
      </c>
      <c r="D573" s="6" t="str">
        <f aca="false">A573&amp;"|"&amp;C573</f>
        <v>2|Supply Train</v>
      </c>
      <c r="E573" s="6" t="s">
        <v>1560</v>
      </c>
      <c r="F573" s="6" t="s">
        <v>1540</v>
      </c>
      <c r="G573" s="6" t="str">
        <f aca="false">INDEX(Archetypes!$D$2:$D$127, MATCH(D573, Archetypes!$A$2:$A$127, 0))</f>
        <v>Logistics</v>
      </c>
      <c r="H573" s="6" t="n">
        <f aca="false">ROUND(INDEX(Archetypes!$E$2:$E$127, MATCH(D573, Archetypes!$A$2:$A$127, 0))*INDEX(Unit_Grades!$B$2:$B$7, MATCH(F573, Unit_Grades!$A$2:$A$7, 0))*INDEX(Unit_Paths!$B$2:$B$4, MATCH(E573, Unit_Paths!$A$2:$A$4, 0)),1)</f>
        <v>2.3</v>
      </c>
      <c r="I573" s="6" t="n">
        <f aca="false">ROUND(INDEX(Archetypes!$F$2:$F$127, MATCH(D573, Archetypes!$A$2:$A$127, 0))*INDEX(Unit_Grades!$B$2:$B$7, MATCH(F573, Unit_Grades!$A$2:$A$7, 0))*INDEX(Unit_Paths!$C$2:$C$4, MATCH(E573, Unit_Paths!$A$2:$A$4, 0)),1)</f>
        <v>16.9</v>
      </c>
      <c r="J573" s="6" t="n">
        <f aca="false">ROUND(INDEX(Archetypes!$G$2:$G$127, MATCH(D573, Archetypes!$A$2:$A$127, 0))*INDEX(Unit_Grades!$B$2:$B$7, MATCH(F573, Unit_Grades!$A$2:$A$7, 0))*INDEX(Unit_Paths!$D$2:$D$4, MATCH(E573, Unit_Paths!$A$2:$A$4, 0)),0)</f>
        <v>186</v>
      </c>
      <c r="K573" s="6" t="n">
        <f aca="false">ROUND(INDEX(Archetypes!$H$2:$H$127, MATCH(D573, Archetypes!$A$2:$A$127, 0))*INDEX(Unit_Paths!$E$2:$E$4, MATCH(E573, Unit_Paths!$A$2:$A$4, 0)),1)</f>
        <v>12.9</v>
      </c>
      <c r="L573" s="6" t="n">
        <f aca="false">ROUND(INDEX(Archetypes!$I$2:$I$127, MATCH(D573, Archetypes!$A$2:$A$127, 0))*INDEX(Unit_Grades!$C$2:$C$7, MATCH(F573, Unit_Grades!$A$2:$A$7, 0)),1)</f>
        <v>5</v>
      </c>
      <c r="M573" s="6" t="n">
        <f aca="false">ROUND(INDEX(Archetypes!$J$2:$J$127, MATCH(D573, Archetypes!$A$2:$A$127, 0))*INDEX(Unit_Grades!$D$2:$D$7, MATCH(F573, Unit_Grades!$A$2:$A$7, 0)),1)</f>
        <v>2.4</v>
      </c>
      <c r="N573" s="6" t="n">
        <f aca="false">ROUND(M573/24,2)</f>
        <v>0.1</v>
      </c>
    </row>
    <row r="574" customFormat="false" ht="15" hidden="false" customHeight="true" outlineLevel="0" collapsed="false">
      <c r="A574" s="6" t="n">
        <v>2</v>
      </c>
      <c r="B574" s="6" t="s">
        <v>2110</v>
      </c>
      <c r="C574" s="6" t="s">
        <v>1325</v>
      </c>
      <c r="D574" s="6" t="str">
        <f aca="false">A574&amp;"|"&amp;C574</f>
        <v>2|Supply Train</v>
      </c>
      <c r="E574" s="6" t="s">
        <v>1560</v>
      </c>
      <c r="F574" s="6" t="s">
        <v>1542</v>
      </c>
      <c r="G574" s="6" t="str">
        <f aca="false">INDEX(Archetypes!$D$2:$D$127, MATCH(D574, Archetypes!$A$2:$A$127, 0))</f>
        <v>Logistics</v>
      </c>
      <c r="H574" s="6" t="n">
        <f aca="false">ROUND(INDEX(Archetypes!$E$2:$E$127, MATCH(D574, Archetypes!$A$2:$A$127, 0))*INDEX(Unit_Grades!$B$2:$B$7, MATCH(F574, Unit_Grades!$A$2:$A$7, 0))*INDEX(Unit_Paths!$B$2:$B$4, MATCH(E574, Unit_Paths!$A$2:$A$4, 0)),1)</f>
        <v>3.1</v>
      </c>
      <c r="I574" s="6" t="n">
        <f aca="false">ROUND(INDEX(Archetypes!$F$2:$F$127, MATCH(D574, Archetypes!$A$2:$A$127, 0))*INDEX(Unit_Grades!$B$2:$B$7, MATCH(F574, Unit_Grades!$A$2:$A$7, 0))*INDEX(Unit_Paths!$C$2:$C$4, MATCH(E574, Unit_Paths!$A$2:$A$4, 0)),1)</f>
        <v>22.5</v>
      </c>
      <c r="J574" s="6" t="n">
        <f aca="false">ROUND(INDEX(Archetypes!$G$2:$G$127, MATCH(D574, Archetypes!$A$2:$A$127, 0))*INDEX(Unit_Grades!$B$2:$B$7, MATCH(F574, Unit_Grades!$A$2:$A$7, 0))*INDEX(Unit_Paths!$D$2:$D$4, MATCH(E574, Unit_Paths!$A$2:$A$4, 0)),0)</f>
        <v>248</v>
      </c>
      <c r="K574" s="6" t="n">
        <f aca="false">ROUND(INDEX(Archetypes!$H$2:$H$127, MATCH(D574, Archetypes!$A$2:$A$127, 0))*INDEX(Unit_Paths!$E$2:$E$4, MATCH(E574, Unit_Paths!$A$2:$A$4, 0)),1)</f>
        <v>12.9</v>
      </c>
      <c r="L574" s="6" t="n">
        <f aca="false">ROUND(INDEX(Archetypes!$I$2:$I$127, MATCH(D574, Archetypes!$A$2:$A$127, 0))*INDEX(Unit_Grades!$C$2:$C$7, MATCH(F574, Unit_Grades!$A$2:$A$7, 0)),1)</f>
        <v>6.4</v>
      </c>
      <c r="M574" s="6" t="n">
        <f aca="false">ROUND(INDEX(Archetypes!$J$2:$J$127, MATCH(D574, Archetypes!$A$2:$A$127, 0))*INDEX(Unit_Grades!$D$2:$D$7, MATCH(F574, Unit_Grades!$A$2:$A$7, 0)),1)</f>
        <v>4.1</v>
      </c>
      <c r="N574" s="6" t="n">
        <f aca="false">ROUND(M574/24,2)</f>
        <v>0.17</v>
      </c>
    </row>
    <row r="575" customFormat="false" ht="15" hidden="false" customHeight="true" outlineLevel="0" collapsed="false">
      <c r="A575" s="6" t="n">
        <v>2</v>
      </c>
      <c r="B575" s="6" t="s">
        <v>2111</v>
      </c>
      <c r="C575" s="6" t="s">
        <v>1325</v>
      </c>
      <c r="D575" s="6" t="str">
        <f aca="false">A575&amp;"|"&amp;C575</f>
        <v>2|Supply Train</v>
      </c>
      <c r="E575" s="6" t="s">
        <v>1560</v>
      </c>
      <c r="F575" s="6" t="s">
        <v>1544</v>
      </c>
      <c r="G575" s="6" t="str">
        <f aca="false">INDEX(Archetypes!$D$2:$D$127, MATCH(D575, Archetypes!$A$2:$A$127, 0))</f>
        <v>Logistics</v>
      </c>
      <c r="H575" s="6" t="n">
        <f aca="false">ROUND(INDEX(Archetypes!$E$2:$E$127, MATCH(D575, Archetypes!$A$2:$A$127, 0))*INDEX(Unit_Grades!$B$2:$B$7, MATCH(F575, Unit_Grades!$A$2:$A$7, 0))*INDEX(Unit_Paths!$B$2:$B$4, MATCH(E575, Unit_Paths!$A$2:$A$4, 0)),1)</f>
        <v>4.1</v>
      </c>
      <c r="I575" s="6" t="n">
        <f aca="false">ROUND(INDEX(Archetypes!$F$2:$F$127, MATCH(D575, Archetypes!$A$2:$A$127, 0))*INDEX(Unit_Grades!$B$2:$B$7, MATCH(F575, Unit_Grades!$A$2:$A$7, 0))*INDEX(Unit_Paths!$C$2:$C$4, MATCH(E575, Unit_Paths!$A$2:$A$4, 0)),1)</f>
        <v>30</v>
      </c>
      <c r="J575" s="6" t="n">
        <f aca="false">ROUND(INDEX(Archetypes!$G$2:$G$127, MATCH(D575, Archetypes!$A$2:$A$127, 0))*INDEX(Unit_Grades!$B$2:$B$7, MATCH(F575, Unit_Grades!$A$2:$A$7, 0))*INDEX(Unit_Paths!$D$2:$D$4, MATCH(E575, Unit_Paths!$A$2:$A$4, 0)),0)</f>
        <v>331</v>
      </c>
      <c r="K575" s="6" t="n">
        <f aca="false">ROUND(INDEX(Archetypes!$H$2:$H$127, MATCH(D575, Archetypes!$A$2:$A$127, 0))*INDEX(Unit_Paths!$E$2:$E$4, MATCH(E575, Unit_Paths!$A$2:$A$4, 0)),1)</f>
        <v>12.9</v>
      </c>
      <c r="L575" s="6" t="n">
        <f aca="false">ROUND(INDEX(Archetypes!$I$2:$I$127, MATCH(D575, Archetypes!$A$2:$A$127, 0))*INDEX(Unit_Grades!$C$2:$C$7, MATCH(F575, Unit_Grades!$A$2:$A$7, 0)),1)</f>
        <v>8.4</v>
      </c>
      <c r="M575" s="6" t="n">
        <f aca="false">ROUND(INDEX(Archetypes!$J$2:$J$127, MATCH(D575, Archetypes!$A$2:$A$127, 0))*INDEX(Unit_Grades!$D$2:$D$7, MATCH(F575, Unit_Grades!$A$2:$A$7, 0)),1)</f>
        <v>6.5</v>
      </c>
      <c r="N575" s="6" t="n">
        <f aca="false">ROUND(M575/24,2)</f>
        <v>0.27</v>
      </c>
    </row>
    <row r="576" customFormat="false" ht="15" hidden="false" customHeight="true" outlineLevel="0" collapsed="false">
      <c r="A576" s="6" t="n">
        <v>2</v>
      </c>
      <c r="B576" s="6" t="s">
        <v>2112</v>
      </c>
      <c r="C576" s="6" t="s">
        <v>1325</v>
      </c>
      <c r="D576" s="6" t="str">
        <f aca="false">A576&amp;"|"&amp;C576</f>
        <v>2|Supply Train</v>
      </c>
      <c r="E576" s="6" t="s">
        <v>1560</v>
      </c>
      <c r="F576" s="6" t="s">
        <v>1546</v>
      </c>
      <c r="G576" s="6" t="str">
        <f aca="false">INDEX(Archetypes!$D$2:$D$127, MATCH(D576, Archetypes!$A$2:$A$127, 0))</f>
        <v>Logistics</v>
      </c>
      <c r="H576" s="6" t="n">
        <f aca="false">ROUND(INDEX(Archetypes!$E$2:$E$127, MATCH(D576, Archetypes!$A$2:$A$127, 0))*INDEX(Unit_Grades!$B$2:$B$7, MATCH(F576, Unit_Grades!$A$2:$A$7, 0))*INDEX(Unit_Paths!$B$2:$B$4, MATCH(E576, Unit_Paths!$A$2:$A$4, 0)),1)</f>
        <v>5.4</v>
      </c>
      <c r="I576" s="6" t="n">
        <f aca="false">ROUND(INDEX(Archetypes!$F$2:$F$127, MATCH(D576, Archetypes!$A$2:$A$127, 0))*INDEX(Unit_Grades!$B$2:$B$7, MATCH(F576, Unit_Grades!$A$2:$A$7, 0))*INDEX(Unit_Paths!$C$2:$C$4, MATCH(E576, Unit_Paths!$A$2:$A$4, 0)),1)</f>
        <v>40</v>
      </c>
      <c r="J576" s="6" t="n">
        <f aca="false">ROUND(INDEX(Archetypes!$G$2:$G$127, MATCH(D576, Archetypes!$A$2:$A$127, 0))*INDEX(Unit_Grades!$B$2:$B$7, MATCH(F576, Unit_Grades!$A$2:$A$7, 0))*INDEX(Unit_Paths!$D$2:$D$4, MATCH(E576, Unit_Paths!$A$2:$A$4, 0)),0)</f>
        <v>442</v>
      </c>
      <c r="K576" s="6" t="n">
        <f aca="false">ROUND(INDEX(Archetypes!$H$2:$H$127, MATCH(D576, Archetypes!$A$2:$A$127, 0))*INDEX(Unit_Paths!$E$2:$E$4, MATCH(E576, Unit_Paths!$A$2:$A$4, 0)),1)</f>
        <v>12.9</v>
      </c>
      <c r="L576" s="6" t="n">
        <f aca="false">ROUND(INDEX(Archetypes!$I$2:$I$127, MATCH(D576, Archetypes!$A$2:$A$127, 0))*INDEX(Unit_Grades!$C$2:$C$7, MATCH(F576, Unit_Grades!$A$2:$A$7, 0)),1)</f>
        <v>11.2</v>
      </c>
      <c r="M576" s="6" t="n">
        <f aca="false">ROUND(INDEX(Archetypes!$J$2:$J$127, MATCH(D576, Archetypes!$A$2:$A$127, 0))*INDEX(Unit_Grades!$D$2:$D$7, MATCH(F576, Unit_Grades!$A$2:$A$7, 0)),1)</f>
        <v>11.3</v>
      </c>
      <c r="N576" s="6" t="n">
        <f aca="false">ROUND(M576/24,2)</f>
        <v>0.47</v>
      </c>
    </row>
    <row r="577" customFormat="false" ht="15" hidden="false" customHeight="true" outlineLevel="0" collapsed="false">
      <c r="A577" s="6" t="n">
        <v>2</v>
      </c>
      <c r="B577" s="6" t="s">
        <v>2113</v>
      </c>
      <c r="C577" s="6" t="s">
        <v>1325</v>
      </c>
      <c r="D577" s="6" t="str">
        <f aca="false">A577&amp;"|"&amp;C577</f>
        <v>2|Supply Train</v>
      </c>
      <c r="E577" s="6" t="s">
        <v>1560</v>
      </c>
      <c r="F577" s="6" t="s">
        <v>1548</v>
      </c>
      <c r="G577" s="6" t="str">
        <f aca="false">INDEX(Archetypes!$D$2:$D$127, MATCH(D577, Archetypes!$A$2:$A$127, 0))</f>
        <v>Logistics</v>
      </c>
      <c r="H577" s="6" t="n">
        <f aca="false">ROUND(INDEX(Archetypes!$E$2:$E$127, MATCH(D577, Archetypes!$A$2:$A$127, 0))*INDEX(Unit_Grades!$B$2:$B$7, MATCH(F577, Unit_Grades!$A$2:$A$7, 0))*INDEX(Unit_Paths!$B$2:$B$4, MATCH(E577, Unit_Paths!$A$2:$A$4, 0)),1)</f>
        <v>7.1</v>
      </c>
      <c r="I577" s="6" t="n">
        <f aca="false">ROUND(INDEX(Archetypes!$F$2:$F$127, MATCH(D577, Archetypes!$A$2:$A$127, 0))*INDEX(Unit_Grades!$B$2:$B$7, MATCH(F577, Unit_Grades!$A$2:$A$7, 0))*INDEX(Unit_Paths!$C$2:$C$4, MATCH(E577, Unit_Paths!$A$2:$A$4, 0)),1)</f>
        <v>52.5</v>
      </c>
      <c r="J577" s="6" t="n">
        <f aca="false">ROUND(INDEX(Archetypes!$G$2:$G$127, MATCH(D577, Archetypes!$A$2:$A$127, 0))*INDEX(Unit_Grades!$B$2:$B$7, MATCH(F577, Unit_Grades!$A$2:$A$7, 0))*INDEX(Unit_Paths!$D$2:$D$4, MATCH(E577, Unit_Paths!$A$2:$A$4, 0)),0)</f>
        <v>580</v>
      </c>
      <c r="K577" s="6" t="n">
        <f aca="false">ROUND(INDEX(Archetypes!$H$2:$H$127, MATCH(D577, Archetypes!$A$2:$A$127, 0))*INDEX(Unit_Paths!$E$2:$E$4, MATCH(E577, Unit_Paths!$A$2:$A$4, 0)),1)</f>
        <v>12.9</v>
      </c>
      <c r="L577" s="6" t="n">
        <f aca="false">ROUND(INDEX(Archetypes!$I$2:$I$127, MATCH(D577, Archetypes!$A$2:$A$127, 0))*INDEX(Unit_Grades!$C$2:$C$7, MATCH(F577, Unit_Grades!$A$2:$A$7, 0)),1)</f>
        <v>14.8</v>
      </c>
      <c r="M577" s="6" t="n">
        <f aca="false">ROUND(INDEX(Archetypes!$J$2:$J$127, MATCH(D577, Archetypes!$A$2:$A$127, 0))*INDEX(Unit_Grades!$D$2:$D$7, MATCH(F577, Unit_Grades!$A$2:$A$7, 0)),1)</f>
        <v>19.4</v>
      </c>
      <c r="N577" s="6" t="n">
        <f aca="false">ROUND(M577/24,2)</f>
        <v>0.81</v>
      </c>
    </row>
    <row r="578" customFormat="false" ht="15" hidden="false" customHeight="true" outlineLevel="0" collapsed="false">
      <c r="A578" s="6" t="n">
        <v>2</v>
      </c>
      <c r="B578" s="6" t="s">
        <v>1327</v>
      </c>
      <c r="C578" s="6" t="s">
        <v>1327</v>
      </c>
      <c r="D578" s="6" t="str">
        <f aca="false">A578&amp;"|"&amp;C578</f>
        <v>2|Halberdier</v>
      </c>
      <c r="E578" s="6" t="s">
        <v>1556</v>
      </c>
      <c r="F578" s="6" t="s">
        <v>1538</v>
      </c>
      <c r="G578" s="6" t="str">
        <f aca="false">INDEX(Archetypes!$D$2:$D$127, MATCH(D578, Archetypes!$A$2:$A$127, 0))</f>
        <v>Anti-Cavalry</v>
      </c>
      <c r="H578" s="6" t="n">
        <f aca="false">ROUND(INDEX(Archetypes!$E$2:$E$127, MATCH(D578, Archetypes!$A$2:$A$127, 0))*INDEX(Unit_Grades!$B$2:$B$7, MATCH(F578, Unit_Grades!$A$2:$A$7, 0))*INDEX(Unit_Paths!$B$2:$B$4, MATCH(E578, Unit_Paths!$A$2:$A$4, 0)),1)</f>
        <v>26</v>
      </c>
      <c r="I578" s="6" t="n">
        <f aca="false">ROUND(INDEX(Archetypes!$F$2:$F$127, MATCH(D578, Archetypes!$A$2:$A$127, 0))*INDEX(Unit_Grades!$B$2:$B$7, MATCH(F578, Unit_Grades!$A$2:$A$7, 0))*INDEX(Unit_Paths!$C$2:$C$4, MATCH(E578, Unit_Paths!$A$2:$A$4, 0)),1)</f>
        <v>30</v>
      </c>
      <c r="J578" s="6" t="n">
        <f aca="false">ROUND(INDEX(Archetypes!$G$2:$G$127, MATCH(D578, Archetypes!$A$2:$A$127, 0))*INDEX(Unit_Grades!$B$2:$B$7, MATCH(F578, Unit_Grades!$A$2:$A$7, 0))*INDEX(Unit_Paths!$D$2:$D$4, MATCH(E578, Unit_Paths!$A$2:$A$4, 0)),0)</f>
        <v>125</v>
      </c>
      <c r="K578" s="6" t="n">
        <f aca="false">ROUND(INDEX(Archetypes!$H$2:$H$127, MATCH(D578, Archetypes!$A$2:$A$127, 0))*INDEX(Unit_Paths!$E$2:$E$4, MATCH(E578, Unit_Paths!$A$2:$A$4, 0)),1)</f>
        <v>14</v>
      </c>
      <c r="L578" s="6" t="n">
        <f aca="false">ROUND(INDEX(Archetypes!$I$2:$I$127, MATCH(D578, Archetypes!$A$2:$A$127, 0))*INDEX(Unit_Grades!$C$2:$C$7, MATCH(F578, Unit_Grades!$A$2:$A$7, 0)),1)</f>
        <v>5</v>
      </c>
      <c r="M578" s="6" t="n">
        <f aca="false">ROUND(INDEX(Archetypes!$J$2:$J$127, MATCH(D578, Archetypes!$A$2:$A$127, 0))*INDEX(Unit_Grades!$D$2:$D$7, MATCH(F578, Unit_Grades!$A$2:$A$7, 0)),1)</f>
        <v>2</v>
      </c>
      <c r="N578" s="6" t="n">
        <f aca="false">ROUND(M578/24,2)</f>
        <v>0.08</v>
      </c>
    </row>
    <row r="579" customFormat="false" ht="15" hidden="false" customHeight="true" outlineLevel="0" collapsed="false">
      <c r="A579" s="6" t="n">
        <v>2</v>
      </c>
      <c r="B579" s="6" t="s">
        <v>2114</v>
      </c>
      <c r="C579" s="6" t="s">
        <v>1327</v>
      </c>
      <c r="D579" s="6" t="str">
        <f aca="false">A579&amp;"|"&amp;C579</f>
        <v>2|Halberdier</v>
      </c>
      <c r="E579" s="6" t="s">
        <v>1556</v>
      </c>
      <c r="F579" s="6" t="s">
        <v>1540</v>
      </c>
      <c r="G579" s="6" t="str">
        <f aca="false">INDEX(Archetypes!$D$2:$D$127, MATCH(D579, Archetypes!$A$2:$A$127, 0))</f>
        <v>Anti-Cavalry</v>
      </c>
      <c r="H579" s="6" t="n">
        <f aca="false">ROUND(INDEX(Archetypes!$E$2:$E$127, MATCH(D579, Archetypes!$A$2:$A$127, 0))*INDEX(Unit_Grades!$B$2:$B$7, MATCH(F579, Unit_Grades!$A$2:$A$7, 0))*INDEX(Unit_Paths!$B$2:$B$4, MATCH(E579, Unit_Paths!$A$2:$A$4, 0)),1)</f>
        <v>35.1</v>
      </c>
      <c r="I579" s="6" t="n">
        <f aca="false">ROUND(INDEX(Archetypes!$F$2:$F$127, MATCH(D579, Archetypes!$A$2:$A$127, 0))*INDEX(Unit_Grades!$B$2:$B$7, MATCH(F579, Unit_Grades!$A$2:$A$7, 0))*INDEX(Unit_Paths!$C$2:$C$4, MATCH(E579, Unit_Paths!$A$2:$A$4, 0)),1)</f>
        <v>40.5</v>
      </c>
      <c r="J579" s="6" t="n">
        <f aca="false">ROUND(INDEX(Archetypes!$G$2:$G$127, MATCH(D579, Archetypes!$A$2:$A$127, 0))*INDEX(Unit_Grades!$B$2:$B$7, MATCH(F579, Unit_Grades!$A$2:$A$7, 0))*INDEX(Unit_Paths!$D$2:$D$4, MATCH(E579, Unit_Paths!$A$2:$A$4, 0)),0)</f>
        <v>169</v>
      </c>
      <c r="K579" s="6" t="n">
        <f aca="false">ROUND(INDEX(Archetypes!$H$2:$H$127, MATCH(D579, Archetypes!$A$2:$A$127, 0))*INDEX(Unit_Paths!$E$2:$E$4, MATCH(E579, Unit_Paths!$A$2:$A$4, 0)),1)</f>
        <v>14</v>
      </c>
      <c r="L579" s="6" t="n">
        <f aca="false">ROUND(INDEX(Archetypes!$I$2:$I$127, MATCH(D579, Archetypes!$A$2:$A$127, 0))*INDEX(Unit_Grades!$C$2:$C$7, MATCH(F579, Unit_Grades!$A$2:$A$7, 0)),1)</f>
        <v>6.3</v>
      </c>
      <c r="M579" s="6" t="n">
        <f aca="false">ROUND(INDEX(Archetypes!$J$2:$J$127, MATCH(D579, Archetypes!$A$2:$A$127, 0))*INDEX(Unit_Grades!$D$2:$D$7, MATCH(F579, Unit_Grades!$A$2:$A$7, 0)),1)</f>
        <v>3</v>
      </c>
      <c r="N579" s="6" t="n">
        <f aca="false">ROUND(M579/24,2)</f>
        <v>0.13</v>
      </c>
    </row>
    <row r="580" customFormat="false" ht="15" hidden="false" customHeight="true" outlineLevel="0" collapsed="false">
      <c r="A580" s="6" t="n">
        <v>2</v>
      </c>
      <c r="B580" s="6" t="s">
        <v>2115</v>
      </c>
      <c r="C580" s="6" t="s">
        <v>1327</v>
      </c>
      <c r="D580" s="6" t="str">
        <f aca="false">A580&amp;"|"&amp;C580</f>
        <v>2|Halberdier</v>
      </c>
      <c r="E580" s="6" t="s">
        <v>1556</v>
      </c>
      <c r="F580" s="6" t="s">
        <v>1542</v>
      </c>
      <c r="G580" s="6" t="str">
        <f aca="false">INDEX(Archetypes!$D$2:$D$127, MATCH(D580, Archetypes!$A$2:$A$127, 0))</f>
        <v>Anti-Cavalry</v>
      </c>
      <c r="H580" s="6" t="n">
        <f aca="false">ROUND(INDEX(Archetypes!$E$2:$E$127, MATCH(D580, Archetypes!$A$2:$A$127, 0))*INDEX(Unit_Grades!$B$2:$B$7, MATCH(F580, Unit_Grades!$A$2:$A$7, 0))*INDEX(Unit_Paths!$B$2:$B$4, MATCH(E580, Unit_Paths!$A$2:$A$4, 0)),1)</f>
        <v>46.8</v>
      </c>
      <c r="I580" s="6" t="n">
        <f aca="false">ROUND(INDEX(Archetypes!$F$2:$F$127, MATCH(D580, Archetypes!$A$2:$A$127, 0))*INDEX(Unit_Grades!$B$2:$B$7, MATCH(F580, Unit_Grades!$A$2:$A$7, 0))*INDEX(Unit_Paths!$C$2:$C$4, MATCH(E580, Unit_Paths!$A$2:$A$4, 0)),1)</f>
        <v>54</v>
      </c>
      <c r="J580" s="6" t="n">
        <f aca="false">ROUND(INDEX(Archetypes!$G$2:$G$127, MATCH(D580, Archetypes!$A$2:$A$127, 0))*INDEX(Unit_Grades!$B$2:$B$7, MATCH(F580, Unit_Grades!$A$2:$A$7, 0))*INDEX(Unit_Paths!$D$2:$D$4, MATCH(E580, Unit_Paths!$A$2:$A$4, 0)),0)</f>
        <v>225</v>
      </c>
      <c r="K580" s="6" t="n">
        <f aca="false">ROUND(INDEX(Archetypes!$H$2:$H$127, MATCH(D580, Archetypes!$A$2:$A$127, 0))*INDEX(Unit_Paths!$E$2:$E$4, MATCH(E580, Unit_Paths!$A$2:$A$4, 0)),1)</f>
        <v>14</v>
      </c>
      <c r="L580" s="6" t="n">
        <f aca="false">ROUND(INDEX(Archetypes!$I$2:$I$127, MATCH(D580, Archetypes!$A$2:$A$127, 0))*INDEX(Unit_Grades!$C$2:$C$7, MATCH(F580, Unit_Grades!$A$2:$A$7, 0)),1)</f>
        <v>8</v>
      </c>
      <c r="M580" s="6" t="n">
        <f aca="false">ROUND(INDEX(Archetypes!$J$2:$J$127, MATCH(D580, Archetypes!$A$2:$A$127, 0))*INDEX(Unit_Grades!$D$2:$D$7, MATCH(F580, Unit_Grades!$A$2:$A$7, 0)),1)</f>
        <v>5.1</v>
      </c>
      <c r="N580" s="6" t="n">
        <f aca="false">ROUND(M580/24,2)</f>
        <v>0.21</v>
      </c>
    </row>
    <row r="581" customFormat="false" ht="15" hidden="false" customHeight="true" outlineLevel="0" collapsed="false">
      <c r="A581" s="6" t="n">
        <v>2</v>
      </c>
      <c r="B581" s="6" t="s">
        <v>2116</v>
      </c>
      <c r="C581" s="6" t="s">
        <v>1327</v>
      </c>
      <c r="D581" s="6" t="str">
        <f aca="false">A581&amp;"|"&amp;C581</f>
        <v>2|Halberdier</v>
      </c>
      <c r="E581" s="6" t="s">
        <v>1556</v>
      </c>
      <c r="F581" s="6" t="s">
        <v>1544</v>
      </c>
      <c r="G581" s="6" t="str">
        <f aca="false">INDEX(Archetypes!$D$2:$D$127, MATCH(D581, Archetypes!$A$2:$A$127, 0))</f>
        <v>Anti-Cavalry</v>
      </c>
      <c r="H581" s="6" t="n">
        <f aca="false">ROUND(INDEX(Archetypes!$E$2:$E$127, MATCH(D581, Archetypes!$A$2:$A$127, 0))*INDEX(Unit_Grades!$B$2:$B$7, MATCH(F581, Unit_Grades!$A$2:$A$7, 0))*INDEX(Unit_Paths!$B$2:$B$4, MATCH(E581, Unit_Paths!$A$2:$A$4, 0)),1)</f>
        <v>62.4</v>
      </c>
      <c r="I581" s="6" t="n">
        <f aca="false">ROUND(INDEX(Archetypes!$F$2:$F$127, MATCH(D581, Archetypes!$A$2:$A$127, 0))*INDEX(Unit_Grades!$B$2:$B$7, MATCH(F581, Unit_Grades!$A$2:$A$7, 0))*INDEX(Unit_Paths!$C$2:$C$4, MATCH(E581, Unit_Paths!$A$2:$A$4, 0)),1)</f>
        <v>72</v>
      </c>
      <c r="J581" s="6" t="n">
        <f aca="false">ROUND(INDEX(Archetypes!$G$2:$G$127, MATCH(D581, Archetypes!$A$2:$A$127, 0))*INDEX(Unit_Grades!$B$2:$B$7, MATCH(F581, Unit_Grades!$A$2:$A$7, 0))*INDEX(Unit_Paths!$D$2:$D$4, MATCH(E581, Unit_Paths!$A$2:$A$4, 0)),0)</f>
        <v>300</v>
      </c>
      <c r="K581" s="6" t="n">
        <f aca="false">ROUND(INDEX(Archetypes!$H$2:$H$127, MATCH(D581, Archetypes!$A$2:$A$127, 0))*INDEX(Unit_Paths!$E$2:$E$4, MATCH(E581, Unit_Paths!$A$2:$A$4, 0)),1)</f>
        <v>14</v>
      </c>
      <c r="L581" s="6" t="n">
        <f aca="false">ROUND(INDEX(Archetypes!$I$2:$I$127, MATCH(D581, Archetypes!$A$2:$A$127, 0))*INDEX(Unit_Grades!$C$2:$C$7, MATCH(F581, Unit_Grades!$A$2:$A$7, 0)),1)</f>
        <v>10.5</v>
      </c>
      <c r="M581" s="6" t="n">
        <f aca="false">ROUND(INDEX(Archetypes!$J$2:$J$127, MATCH(D581, Archetypes!$A$2:$A$127, 0))*INDEX(Unit_Grades!$D$2:$D$7, MATCH(F581, Unit_Grades!$A$2:$A$7, 0)),1)</f>
        <v>8.1</v>
      </c>
      <c r="N581" s="6" t="n">
        <f aca="false">ROUND(M581/24,2)</f>
        <v>0.34</v>
      </c>
    </row>
    <row r="582" customFormat="false" ht="15" hidden="false" customHeight="true" outlineLevel="0" collapsed="false">
      <c r="A582" s="6" t="n">
        <v>2</v>
      </c>
      <c r="B582" s="6" t="s">
        <v>2117</v>
      </c>
      <c r="C582" s="6" t="s">
        <v>1327</v>
      </c>
      <c r="D582" s="6" t="str">
        <f aca="false">A582&amp;"|"&amp;C582</f>
        <v>2|Halberdier</v>
      </c>
      <c r="E582" s="6" t="s">
        <v>1556</v>
      </c>
      <c r="F582" s="6" t="s">
        <v>1546</v>
      </c>
      <c r="G582" s="6" t="str">
        <f aca="false">INDEX(Archetypes!$D$2:$D$127, MATCH(D582, Archetypes!$A$2:$A$127, 0))</f>
        <v>Anti-Cavalry</v>
      </c>
      <c r="H582" s="6" t="n">
        <f aca="false">ROUND(INDEX(Archetypes!$E$2:$E$127, MATCH(D582, Archetypes!$A$2:$A$127, 0))*INDEX(Unit_Grades!$B$2:$B$7, MATCH(F582, Unit_Grades!$A$2:$A$7, 0))*INDEX(Unit_Paths!$B$2:$B$4, MATCH(E582, Unit_Paths!$A$2:$A$4, 0)),1)</f>
        <v>83.2</v>
      </c>
      <c r="I582" s="6" t="n">
        <f aca="false">ROUND(INDEX(Archetypes!$F$2:$F$127, MATCH(D582, Archetypes!$A$2:$A$127, 0))*INDEX(Unit_Grades!$B$2:$B$7, MATCH(F582, Unit_Grades!$A$2:$A$7, 0))*INDEX(Unit_Paths!$C$2:$C$4, MATCH(E582, Unit_Paths!$A$2:$A$4, 0)),1)</f>
        <v>96</v>
      </c>
      <c r="J582" s="6" t="n">
        <f aca="false">ROUND(INDEX(Archetypes!$G$2:$G$127, MATCH(D582, Archetypes!$A$2:$A$127, 0))*INDEX(Unit_Grades!$B$2:$B$7, MATCH(F582, Unit_Grades!$A$2:$A$7, 0))*INDEX(Unit_Paths!$D$2:$D$4, MATCH(E582, Unit_Paths!$A$2:$A$4, 0)),0)</f>
        <v>400</v>
      </c>
      <c r="K582" s="6" t="n">
        <f aca="false">ROUND(INDEX(Archetypes!$H$2:$H$127, MATCH(D582, Archetypes!$A$2:$A$127, 0))*INDEX(Unit_Paths!$E$2:$E$4, MATCH(E582, Unit_Paths!$A$2:$A$4, 0)),1)</f>
        <v>14</v>
      </c>
      <c r="L582" s="6" t="n">
        <f aca="false">ROUND(INDEX(Archetypes!$I$2:$I$127, MATCH(D582, Archetypes!$A$2:$A$127, 0))*INDEX(Unit_Grades!$C$2:$C$7, MATCH(F582, Unit_Grades!$A$2:$A$7, 0)),1)</f>
        <v>14</v>
      </c>
      <c r="M582" s="6" t="n">
        <f aca="false">ROUND(INDEX(Archetypes!$J$2:$J$127, MATCH(D582, Archetypes!$A$2:$A$127, 0))*INDEX(Unit_Grades!$D$2:$D$7, MATCH(F582, Unit_Grades!$A$2:$A$7, 0)),1)</f>
        <v>14.2</v>
      </c>
      <c r="N582" s="6" t="n">
        <f aca="false">ROUND(M582/24,2)</f>
        <v>0.59</v>
      </c>
    </row>
    <row r="583" customFormat="false" ht="15" hidden="false" customHeight="true" outlineLevel="0" collapsed="false">
      <c r="A583" s="6" t="n">
        <v>2</v>
      </c>
      <c r="B583" s="6" t="s">
        <v>2118</v>
      </c>
      <c r="C583" s="6" t="s">
        <v>1327</v>
      </c>
      <c r="D583" s="6" t="str">
        <f aca="false">A583&amp;"|"&amp;C583</f>
        <v>2|Halberdier</v>
      </c>
      <c r="E583" s="6" t="s">
        <v>1556</v>
      </c>
      <c r="F583" s="6" t="s">
        <v>1548</v>
      </c>
      <c r="G583" s="6" t="str">
        <f aca="false">INDEX(Archetypes!$D$2:$D$127, MATCH(D583, Archetypes!$A$2:$A$127, 0))</f>
        <v>Anti-Cavalry</v>
      </c>
      <c r="H583" s="6" t="n">
        <f aca="false">ROUND(INDEX(Archetypes!$E$2:$E$127, MATCH(D583, Archetypes!$A$2:$A$127, 0))*INDEX(Unit_Grades!$B$2:$B$7, MATCH(F583, Unit_Grades!$A$2:$A$7, 0))*INDEX(Unit_Paths!$B$2:$B$4, MATCH(E583, Unit_Paths!$A$2:$A$4, 0)),1)</f>
        <v>109.2</v>
      </c>
      <c r="I583" s="6" t="n">
        <f aca="false">ROUND(INDEX(Archetypes!$F$2:$F$127, MATCH(D583, Archetypes!$A$2:$A$127, 0))*INDEX(Unit_Grades!$B$2:$B$7, MATCH(F583, Unit_Grades!$A$2:$A$7, 0))*INDEX(Unit_Paths!$C$2:$C$4, MATCH(E583, Unit_Paths!$A$2:$A$4, 0)),1)</f>
        <v>126</v>
      </c>
      <c r="J583" s="6" t="n">
        <f aca="false">ROUND(INDEX(Archetypes!$G$2:$G$127, MATCH(D583, Archetypes!$A$2:$A$127, 0))*INDEX(Unit_Grades!$B$2:$B$7, MATCH(F583, Unit_Grades!$A$2:$A$7, 0))*INDEX(Unit_Paths!$D$2:$D$4, MATCH(E583, Unit_Paths!$A$2:$A$4, 0)),0)</f>
        <v>525</v>
      </c>
      <c r="K583" s="6" t="n">
        <f aca="false">ROUND(INDEX(Archetypes!$H$2:$H$127, MATCH(D583, Archetypes!$A$2:$A$127, 0))*INDEX(Unit_Paths!$E$2:$E$4, MATCH(E583, Unit_Paths!$A$2:$A$4, 0)),1)</f>
        <v>14</v>
      </c>
      <c r="L583" s="6" t="n">
        <f aca="false">ROUND(INDEX(Archetypes!$I$2:$I$127, MATCH(D583, Archetypes!$A$2:$A$127, 0))*INDEX(Unit_Grades!$C$2:$C$7, MATCH(F583, Unit_Grades!$A$2:$A$7, 0)),1)</f>
        <v>18.5</v>
      </c>
      <c r="M583" s="6" t="n">
        <f aca="false">ROUND(INDEX(Archetypes!$J$2:$J$127, MATCH(D583, Archetypes!$A$2:$A$127, 0))*INDEX(Unit_Grades!$D$2:$D$7, MATCH(F583, Unit_Grades!$A$2:$A$7, 0)),1)</f>
        <v>24.4</v>
      </c>
      <c r="N583" s="6" t="n">
        <f aca="false">ROUND(M583/24,2)</f>
        <v>1.02</v>
      </c>
    </row>
    <row r="584" customFormat="false" ht="15" hidden="false" customHeight="true" outlineLevel="0" collapsed="false">
      <c r="A584" s="6" t="n">
        <v>2</v>
      </c>
      <c r="B584" s="6" t="s">
        <v>2119</v>
      </c>
      <c r="C584" s="6" t="s">
        <v>1327</v>
      </c>
      <c r="D584" s="6" t="str">
        <f aca="false">A584&amp;"|"&amp;C584</f>
        <v>2|Halberdier</v>
      </c>
      <c r="E584" s="6" t="s">
        <v>1558</v>
      </c>
      <c r="F584" s="6" t="s">
        <v>1538</v>
      </c>
      <c r="G584" s="6" t="str">
        <f aca="false">INDEX(Archetypes!$D$2:$D$127, MATCH(D584, Archetypes!$A$2:$A$127, 0))</f>
        <v>Anti-Cavalry</v>
      </c>
      <c r="H584" s="6" t="n">
        <f aca="false">ROUND(INDEX(Archetypes!$E$2:$E$127, MATCH(D584, Archetypes!$A$2:$A$127, 0))*INDEX(Unit_Grades!$B$2:$B$7, MATCH(F584, Unit_Grades!$A$2:$A$7, 0))*INDEX(Unit_Paths!$B$2:$B$4, MATCH(E584, Unit_Paths!$A$2:$A$4, 0)),1)</f>
        <v>31.2</v>
      </c>
      <c r="I584" s="6" t="n">
        <f aca="false">ROUND(INDEX(Archetypes!$F$2:$F$127, MATCH(D584, Archetypes!$A$2:$A$127, 0))*INDEX(Unit_Grades!$B$2:$B$7, MATCH(F584, Unit_Grades!$A$2:$A$7, 0))*INDEX(Unit_Paths!$C$2:$C$4, MATCH(E584, Unit_Paths!$A$2:$A$4, 0)),1)</f>
        <v>25.5</v>
      </c>
      <c r="J584" s="6" t="n">
        <f aca="false">ROUND(INDEX(Archetypes!$G$2:$G$127, MATCH(D584, Archetypes!$A$2:$A$127, 0))*INDEX(Unit_Grades!$B$2:$B$7, MATCH(F584, Unit_Grades!$A$2:$A$7, 0))*INDEX(Unit_Paths!$D$2:$D$4, MATCH(E584, Unit_Paths!$A$2:$A$4, 0)),0)</f>
        <v>119</v>
      </c>
      <c r="K584" s="6" t="n">
        <f aca="false">ROUND(INDEX(Archetypes!$H$2:$H$127, MATCH(D584, Archetypes!$A$2:$A$127, 0))*INDEX(Unit_Paths!$E$2:$E$4, MATCH(E584, Unit_Paths!$A$2:$A$4, 0)),1)</f>
        <v>14.7</v>
      </c>
      <c r="L584" s="6" t="n">
        <f aca="false">ROUND(INDEX(Archetypes!$I$2:$I$127, MATCH(D584, Archetypes!$A$2:$A$127, 0))*INDEX(Unit_Grades!$C$2:$C$7, MATCH(F584, Unit_Grades!$A$2:$A$7, 0)),1)</f>
        <v>5</v>
      </c>
      <c r="M584" s="6" t="n">
        <f aca="false">ROUND(INDEX(Archetypes!$J$2:$J$127, MATCH(D584, Archetypes!$A$2:$A$127, 0))*INDEX(Unit_Grades!$D$2:$D$7, MATCH(F584, Unit_Grades!$A$2:$A$7, 0)),1)</f>
        <v>2</v>
      </c>
      <c r="N584" s="6" t="n">
        <f aca="false">ROUND(M584/24,2)</f>
        <v>0.08</v>
      </c>
    </row>
    <row r="585" customFormat="false" ht="15" hidden="false" customHeight="true" outlineLevel="0" collapsed="false">
      <c r="A585" s="6" t="n">
        <v>2</v>
      </c>
      <c r="B585" s="6" t="s">
        <v>2120</v>
      </c>
      <c r="C585" s="6" t="s">
        <v>1327</v>
      </c>
      <c r="D585" s="6" t="str">
        <f aca="false">A585&amp;"|"&amp;C585</f>
        <v>2|Halberdier</v>
      </c>
      <c r="E585" s="6" t="s">
        <v>1558</v>
      </c>
      <c r="F585" s="6" t="s">
        <v>1540</v>
      </c>
      <c r="G585" s="6" t="str">
        <f aca="false">INDEX(Archetypes!$D$2:$D$127, MATCH(D585, Archetypes!$A$2:$A$127, 0))</f>
        <v>Anti-Cavalry</v>
      </c>
      <c r="H585" s="6" t="n">
        <f aca="false">ROUND(INDEX(Archetypes!$E$2:$E$127, MATCH(D585, Archetypes!$A$2:$A$127, 0))*INDEX(Unit_Grades!$B$2:$B$7, MATCH(F585, Unit_Grades!$A$2:$A$7, 0))*INDEX(Unit_Paths!$B$2:$B$4, MATCH(E585, Unit_Paths!$A$2:$A$4, 0)),1)</f>
        <v>42.1</v>
      </c>
      <c r="I585" s="6" t="n">
        <f aca="false">ROUND(INDEX(Archetypes!$F$2:$F$127, MATCH(D585, Archetypes!$A$2:$A$127, 0))*INDEX(Unit_Grades!$B$2:$B$7, MATCH(F585, Unit_Grades!$A$2:$A$7, 0))*INDEX(Unit_Paths!$C$2:$C$4, MATCH(E585, Unit_Paths!$A$2:$A$4, 0)),1)</f>
        <v>34.4</v>
      </c>
      <c r="J585" s="6" t="n">
        <f aca="false">ROUND(INDEX(Archetypes!$G$2:$G$127, MATCH(D585, Archetypes!$A$2:$A$127, 0))*INDEX(Unit_Grades!$B$2:$B$7, MATCH(F585, Unit_Grades!$A$2:$A$7, 0))*INDEX(Unit_Paths!$D$2:$D$4, MATCH(E585, Unit_Paths!$A$2:$A$4, 0)),0)</f>
        <v>160</v>
      </c>
      <c r="K585" s="6" t="n">
        <f aca="false">ROUND(INDEX(Archetypes!$H$2:$H$127, MATCH(D585, Archetypes!$A$2:$A$127, 0))*INDEX(Unit_Paths!$E$2:$E$4, MATCH(E585, Unit_Paths!$A$2:$A$4, 0)),1)</f>
        <v>14.7</v>
      </c>
      <c r="L585" s="6" t="n">
        <f aca="false">ROUND(INDEX(Archetypes!$I$2:$I$127, MATCH(D585, Archetypes!$A$2:$A$127, 0))*INDEX(Unit_Grades!$C$2:$C$7, MATCH(F585, Unit_Grades!$A$2:$A$7, 0)),1)</f>
        <v>6.3</v>
      </c>
      <c r="M585" s="6" t="n">
        <f aca="false">ROUND(INDEX(Archetypes!$J$2:$J$127, MATCH(D585, Archetypes!$A$2:$A$127, 0))*INDEX(Unit_Grades!$D$2:$D$7, MATCH(F585, Unit_Grades!$A$2:$A$7, 0)),1)</f>
        <v>3</v>
      </c>
      <c r="N585" s="6" t="n">
        <f aca="false">ROUND(M585/24,2)</f>
        <v>0.13</v>
      </c>
    </row>
    <row r="586" customFormat="false" ht="15" hidden="false" customHeight="true" outlineLevel="0" collapsed="false">
      <c r="A586" s="6" t="n">
        <v>2</v>
      </c>
      <c r="B586" s="6" t="s">
        <v>2121</v>
      </c>
      <c r="C586" s="6" t="s">
        <v>1327</v>
      </c>
      <c r="D586" s="6" t="str">
        <f aca="false">A586&amp;"|"&amp;C586</f>
        <v>2|Halberdier</v>
      </c>
      <c r="E586" s="6" t="s">
        <v>1558</v>
      </c>
      <c r="F586" s="6" t="s">
        <v>1542</v>
      </c>
      <c r="G586" s="6" t="str">
        <f aca="false">INDEX(Archetypes!$D$2:$D$127, MATCH(D586, Archetypes!$A$2:$A$127, 0))</f>
        <v>Anti-Cavalry</v>
      </c>
      <c r="H586" s="6" t="n">
        <f aca="false">ROUND(INDEX(Archetypes!$E$2:$E$127, MATCH(D586, Archetypes!$A$2:$A$127, 0))*INDEX(Unit_Grades!$B$2:$B$7, MATCH(F586, Unit_Grades!$A$2:$A$7, 0))*INDEX(Unit_Paths!$B$2:$B$4, MATCH(E586, Unit_Paths!$A$2:$A$4, 0)),1)</f>
        <v>56.2</v>
      </c>
      <c r="I586" s="6" t="n">
        <f aca="false">ROUND(INDEX(Archetypes!$F$2:$F$127, MATCH(D586, Archetypes!$A$2:$A$127, 0))*INDEX(Unit_Grades!$B$2:$B$7, MATCH(F586, Unit_Grades!$A$2:$A$7, 0))*INDEX(Unit_Paths!$C$2:$C$4, MATCH(E586, Unit_Paths!$A$2:$A$4, 0)),1)</f>
        <v>45.9</v>
      </c>
      <c r="J586" s="6" t="n">
        <f aca="false">ROUND(INDEX(Archetypes!$G$2:$G$127, MATCH(D586, Archetypes!$A$2:$A$127, 0))*INDEX(Unit_Grades!$B$2:$B$7, MATCH(F586, Unit_Grades!$A$2:$A$7, 0))*INDEX(Unit_Paths!$D$2:$D$4, MATCH(E586, Unit_Paths!$A$2:$A$4, 0)),0)</f>
        <v>214</v>
      </c>
      <c r="K586" s="6" t="n">
        <f aca="false">ROUND(INDEX(Archetypes!$H$2:$H$127, MATCH(D586, Archetypes!$A$2:$A$127, 0))*INDEX(Unit_Paths!$E$2:$E$4, MATCH(E586, Unit_Paths!$A$2:$A$4, 0)),1)</f>
        <v>14.7</v>
      </c>
      <c r="L586" s="6" t="n">
        <f aca="false">ROUND(INDEX(Archetypes!$I$2:$I$127, MATCH(D586, Archetypes!$A$2:$A$127, 0))*INDEX(Unit_Grades!$C$2:$C$7, MATCH(F586, Unit_Grades!$A$2:$A$7, 0)),1)</f>
        <v>8</v>
      </c>
      <c r="M586" s="6" t="n">
        <f aca="false">ROUND(INDEX(Archetypes!$J$2:$J$127, MATCH(D586, Archetypes!$A$2:$A$127, 0))*INDEX(Unit_Grades!$D$2:$D$7, MATCH(F586, Unit_Grades!$A$2:$A$7, 0)),1)</f>
        <v>5.1</v>
      </c>
      <c r="N586" s="6" t="n">
        <f aca="false">ROUND(M586/24,2)</f>
        <v>0.21</v>
      </c>
    </row>
    <row r="587" customFormat="false" ht="15" hidden="false" customHeight="true" outlineLevel="0" collapsed="false">
      <c r="A587" s="6" t="n">
        <v>2</v>
      </c>
      <c r="B587" s="6" t="s">
        <v>2122</v>
      </c>
      <c r="C587" s="6" t="s">
        <v>1327</v>
      </c>
      <c r="D587" s="6" t="str">
        <f aca="false">A587&amp;"|"&amp;C587</f>
        <v>2|Halberdier</v>
      </c>
      <c r="E587" s="6" t="s">
        <v>1558</v>
      </c>
      <c r="F587" s="6" t="s">
        <v>1544</v>
      </c>
      <c r="G587" s="6" t="str">
        <f aca="false">INDEX(Archetypes!$D$2:$D$127, MATCH(D587, Archetypes!$A$2:$A$127, 0))</f>
        <v>Anti-Cavalry</v>
      </c>
      <c r="H587" s="6" t="n">
        <f aca="false">ROUND(INDEX(Archetypes!$E$2:$E$127, MATCH(D587, Archetypes!$A$2:$A$127, 0))*INDEX(Unit_Grades!$B$2:$B$7, MATCH(F587, Unit_Grades!$A$2:$A$7, 0))*INDEX(Unit_Paths!$B$2:$B$4, MATCH(E587, Unit_Paths!$A$2:$A$4, 0)),1)</f>
        <v>74.9</v>
      </c>
      <c r="I587" s="6" t="n">
        <f aca="false">ROUND(INDEX(Archetypes!$F$2:$F$127, MATCH(D587, Archetypes!$A$2:$A$127, 0))*INDEX(Unit_Grades!$B$2:$B$7, MATCH(F587, Unit_Grades!$A$2:$A$7, 0))*INDEX(Unit_Paths!$C$2:$C$4, MATCH(E587, Unit_Paths!$A$2:$A$4, 0)),1)</f>
        <v>61.2</v>
      </c>
      <c r="J587" s="6" t="n">
        <f aca="false">ROUND(INDEX(Archetypes!$G$2:$G$127, MATCH(D587, Archetypes!$A$2:$A$127, 0))*INDEX(Unit_Grades!$B$2:$B$7, MATCH(F587, Unit_Grades!$A$2:$A$7, 0))*INDEX(Unit_Paths!$D$2:$D$4, MATCH(E587, Unit_Paths!$A$2:$A$4, 0)),0)</f>
        <v>285</v>
      </c>
      <c r="K587" s="6" t="n">
        <f aca="false">ROUND(INDEX(Archetypes!$H$2:$H$127, MATCH(D587, Archetypes!$A$2:$A$127, 0))*INDEX(Unit_Paths!$E$2:$E$4, MATCH(E587, Unit_Paths!$A$2:$A$4, 0)),1)</f>
        <v>14.7</v>
      </c>
      <c r="L587" s="6" t="n">
        <f aca="false">ROUND(INDEX(Archetypes!$I$2:$I$127, MATCH(D587, Archetypes!$A$2:$A$127, 0))*INDEX(Unit_Grades!$C$2:$C$7, MATCH(F587, Unit_Grades!$A$2:$A$7, 0)),1)</f>
        <v>10.5</v>
      </c>
      <c r="M587" s="6" t="n">
        <f aca="false">ROUND(INDEX(Archetypes!$J$2:$J$127, MATCH(D587, Archetypes!$A$2:$A$127, 0))*INDEX(Unit_Grades!$D$2:$D$7, MATCH(F587, Unit_Grades!$A$2:$A$7, 0)),1)</f>
        <v>8.1</v>
      </c>
      <c r="N587" s="6" t="n">
        <f aca="false">ROUND(M587/24,2)</f>
        <v>0.34</v>
      </c>
    </row>
    <row r="588" customFormat="false" ht="15" hidden="false" customHeight="true" outlineLevel="0" collapsed="false">
      <c r="A588" s="6" t="n">
        <v>2</v>
      </c>
      <c r="B588" s="6" t="s">
        <v>2123</v>
      </c>
      <c r="C588" s="6" t="s">
        <v>1327</v>
      </c>
      <c r="D588" s="6" t="str">
        <f aca="false">A588&amp;"|"&amp;C588</f>
        <v>2|Halberdier</v>
      </c>
      <c r="E588" s="6" t="s">
        <v>1558</v>
      </c>
      <c r="F588" s="6" t="s">
        <v>1546</v>
      </c>
      <c r="G588" s="6" t="str">
        <f aca="false">INDEX(Archetypes!$D$2:$D$127, MATCH(D588, Archetypes!$A$2:$A$127, 0))</f>
        <v>Anti-Cavalry</v>
      </c>
      <c r="H588" s="6" t="n">
        <f aca="false">ROUND(INDEX(Archetypes!$E$2:$E$127, MATCH(D588, Archetypes!$A$2:$A$127, 0))*INDEX(Unit_Grades!$B$2:$B$7, MATCH(F588, Unit_Grades!$A$2:$A$7, 0))*INDEX(Unit_Paths!$B$2:$B$4, MATCH(E588, Unit_Paths!$A$2:$A$4, 0)),1)</f>
        <v>99.8</v>
      </c>
      <c r="I588" s="6" t="n">
        <f aca="false">ROUND(INDEX(Archetypes!$F$2:$F$127, MATCH(D588, Archetypes!$A$2:$A$127, 0))*INDEX(Unit_Grades!$B$2:$B$7, MATCH(F588, Unit_Grades!$A$2:$A$7, 0))*INDEX(Unit_Paths!$C$2:$C$4, MATCH(E588, Unit_Paths!$A$2:$A$4, 0)),1)</f>
        <v>81.6</v>
      </c>
      <c r="J588" s="6" t="n">
        <f aca="false">ROUND(INDEX(Archetypes!$G$2:$G$127, MATCH(D588, Archetypes!$A$2:$A$127, 0))*INDEX(Unit_Grades!$B$2:$B$7, MATCH(F588, Unit_Grades!$A$2:$A$7, 0))*INDEX(Unit_Paths!$D$2:$D$4, MATCH(E588, Unit_Paths!$A$2:$A$4, 0)),0)</f>
        <v>380</v>
      </c>
      <c r="K588" s="6" t="n">
        <f aca="false">ROUND(INDEX(Archetypes!$H$2:$H$127, MATCH(D588, Archetypes!$A$2:$A$127, 0))*INDEX(Unit_Paths!$E$2:$E$4, MATCH(E588, Unit_Paths!$A$2:$A$4, 0)),1)</f>
        <v>14.7</v>
      </c>
      <c r="L588" s="6" t="n">
        <f aca="false">ROUND(INDEX(Archetypes!$I$2:$I$127, MATCH(D588, Archetypes!$A$2:$A$127, 0))*INDEX(Unit_Grades!$C$2:$C$7, MATCH(F588, Unit_Grades!$A$2:$A$7, 0)),1)</f>
        <v>14</v>
      </c>
      <c r="M588" s="6" t="n">
        <f aca="false">ROUND(INDEX(Archetypes!$J$2:$J$127, MATCH(D588, Archetypes!$A$2:$A$127, 0))*INDEX(Unit_Grades!$D$2:$D$7, MATCH(F588, Unit_Grades!$A$2:$A$7, 0)),1)</f>
        <v>14.2</v>
      </c>
      <c r="N588" s="6" t="n">
        <f aca="false">ROUND(M588/24,2)</f>
        <v>0.59</v>
      </c>
    </row>
    <row r="589" customFormat="false" ht="15" hidden="false" customHeight="true" outlineLevel="0" collapsed="false">
      <c r="A589" s="6" t="n">
        <v>2</v>
      </c>
      <c r="B589" s="6" t="s">
        <v>2124</v>
      </c>
      <c r="C589" s="6" t="s">
        <v>1327</v>
      </c>
      <c r="D589" s="6" t="str">
        <f aca="false">A589&amp;"|"&amp;C589</f>
        <v>2|Halberdier</v>
      </c>
      <c r="E589" s="6" t="s">
        <v>1558</v>
      </c>
      <c r="F589" s="6" t="s">
        <v>1548</v>
      </c>
      <c r="G589" s="6" t="str">
        <f aca="false">INDEX(Archetypes!$D$2:$D$127, MATCH(D589, Archetypes!$A$2:$A$127, 0))</f>
        <v>Anti-Cavalry</v>
      </c>
      <c r="H589" s="6" t="n">
        <f aca="false">ROUND(INDEX(Archetypes!$E$2:$E$127, MATCH(D589, Archetypes!$A$2:$A$127, 0))*INDEX(Unit_Grades!$B$2:$B$7, MATCH(F589, Unit_Grades!$A$2:$A$7, 0))*INDEX(Unit_Paths!$B$2:$B$4, MATCH(E589, Unit_Paths!$A$2:$A$4, 0)),1)</f>
        <v>131</v>
      </c>
      <c r="I589" s="6" t="n">
        <f aca="false">ROUND(INDEX(Archetypes!$F$2:$F$127, MATCH(D589, Archetypes!$A$2:$A$127, 0))*INDEX(Unit_Grades!$B$2:$B$7, MATCH(F589, Unit_Grades!$A$2:$A$7, 0))*INDEX(Unit_Paths!$C$2:$C$4, MATCH(E589, Unit_Paths!$A$2:$A$4, 0)),1)</f>
        <v>107.1</v>
      </c>
      <c r="J589" s="6" t="n">
        <f aca="false">ROUND(INDEX(Archetypes!$G$2:$G$127, MATCH(D589, Archetypes!$A$2:$A$127, 0))*INDEX(Unit_Grades!$B$2:$B$7, MATCH(F589, Unit_Grades!$A$2:$A$7, 0))*INDEX(Unit_Paths!$D$2:$D$4, MATCH(E589, Unit_Paths!$A$2:$A$4, 0)),0)</f>
        <v>499</v>
      </c>
      <c r="K589" s="6" t="n">
        <f aca="false">ROUND(INDEX(Archetypes!$H$2:$H$127, MATCH(D589, Archetypes!$A$2:$A$127, 0))*INDEX(Unit_Paths!$E$2:$E$4, MATCH(E589, Unit_Paths!$A$2:$A$4, 0)),1)</f>
        <v>14.7</v>
      </c>
      <c r="L589" s="6" t="n">
        <f aca="false">ROUND(INDEX(Archetypes!$I$2:$I$127, MATCH(D589, Archetypes!$A$2:$A$127, 0))*INDEX(Unit_Grades!$C$2:$C$7, MATCH(F589, Unit_Grades!$A$2:$A$7, 0)),1)</f>
        <v>18.5</v>
      </c>
      <c r="M589" s="6" t="n">
        <f aca="false">ROUND(INDEX(Archetypes!$J$2:$J$127, MATCH(D589, Archetypes!$A$2:$A$127, 0))*INDEX(Unit_Grades!$D$2:$D$7, MATCH(F589, Unit_Grades!$A$2:$A$7, 0)),1)</f>
        <v>24.4</v>
      </c>
      <c r="N589" s="6" t="n">
        <f aca="false">ROUND(M589/24,2)</f>
        <v>1.02</v>
      </c>
    </row>
    <row r="590" customFormat="false" ht="15" hidden="false" customHeight="true" outlineLevel="0" collapsed="false">
      <c r="A590" s="6" t="n">
        <v>2</v>
      </c>
      <c r="B590" s="6" t="s">
        <v>2125</v>
      </c>
      <c r="C590" s="6" t="s">
        <v>1327</v>
      </c>
      <c r="D590" s="6" t="str">
        <f aca="false">A590&amp;"|"&amp;C590</f>
        <v>2|Halberdier</v>
      </c>
      <c r="E590" s="6" t="s">
        <v>1560</v>
      </c>
      <c r="F590" s="6" t="s">
        <v>1538</v>
      </c>
      <c r="G590" s="6" t="str">
        <f aca="false">INDEX(Archetypes!$D$2:$D$127, MATCH(D590, Archetypes!$A$2:$A$127, 0))</f>
        <v>Anti-Cavalry</v>
      </c>
      <c r="H590" s="6" t="n">
        <f aca="false">ROUND(INDEX(Archetypes!$E$2:$E$127, MATCH(D590, Archetypes!$A$2:$A$127, 0))*INDEX(Unit_Grades!$B$2:$B$7, MATCH(F590, Unit_Grades!$A$2:$A$7, 0))*INDEX(Unit_Paths!$B$2:$B$4, MATCH(E590, Unit_Paths!$A$2:$A$4, 0)),1)</f>
        <v>22.1</v>
      </c>
      <c r="I590" s="6" t="n">
        <f aca="false">ROUND(INDEX(Archetypes!$F$2:$F$127, MATCH(D590, Archetypes!$A$2:$A$127, 0))*INDEX(Unit_Grades!$B$2:$B$7, MATCH(F590, Unit_Grades!$A$2:$A$7, 0))*INDEX(Unit_Paths!$C$2:$C$4, MATCH(E590, Unit_Paths!$A$2:$A$4, 0)),1)</f>
        <v>37.5</v>
      </c>
      <c r="J590" s="6" t="n">
        <f aca="false">ROUND(INDEX(Archetypes!$G$2:$G$127, MATCH(D590, Archetypes!$A$2:$A$127, 0))*INDEX(Unit_Grades!$B$2:$B$7, MATCH(F590, Unit_Grades!$A$2:$A$7, 0))*INDEX(Unit_Paths!$D$2:$D$4, MATCH(E590, Unit_Paths!$A$2:$A$4, 0)),0)</f>
        <v>144</v>
      </c>
      <c r="K590" s="6" t="n">
        <f aca="false">ROUND(INDEX(Archetypes!$H$2:$H$127, MATCH(D590, Archetypes!$A$2:$A$127, 0))*INDEX(Unit_Paths!$E$2:$E$4, MATCH(E590, Unit_Paths!$A$2:$A$4, 0)),1)</f>
        <v>12.9</v>
      </c>
      <c r="L590" s="6" t="n">
        <f aca="false">ROUND(INDEX(Archetypes!$I$2:$I$127, MATCH(D590, Archetypes!$A$2:$A$127, 0))*INDEX(Unit_Grades!$C$2:$C$7, MATCH(F590, Unit_Grades!$A$2:$A$7, 0)),1)</f>
        <v>5</v>
      </c>
      <c r="M590" s="6" t="n">
        <f aca="false">ROUND(INDEX(Archetypes!$J$2:$J$127, MATCH(D590, Archetypes!$A$2:$A$127, 0))*INDEX(Unit_Grades!$D$2:$D$7, MATCH(F590, Unit_Grades!$A$2:$A$7, 0)),1)</f>
        <v>2</v>
      </c>
      <c r="N590" s="6" t="n">
        <f aca="false">ROUND(M590/24,2)</f>
        <v>0.08</v>
      </c>
    </row>
    <row r="591" customFormat="false" ht="15" hidden="false" customHeight="true" outlineLevel="0" collapsed="false">
      <c r="A591" s="6" t="n">
        <v>2</v>
      </c>
      <c r="B591" s="6" t="s">
        <v>2126</v>
      </c>
      <c r="C591" s="6" t="s">
        <v>1327</v>
      </c>
      <c r="D591" s="6" t="str">
        <f aca="false">A591&amp;"|"&amp;C591</f>
        <v>2|Halberdier</v>
      </c>
      <c r="E591" s="6" t="s">
        <v>1560</v>
      </c>
      <c r="F591" s="6" t="s">
        <v>1540</v>
      </c>
      <c r="G591" s="6" t="str">
        <f aca="false">INDEX(Archetypes!$D$2:$D$127, MATCH(D591, Archetypes!$A$2:$A$127, 0))</f>
        <v>Anti-Cavalry</v>
      </c>
      <c r="H591" s="6" t="n">
        <f aca="false">ROUND(INDEX(Archetypes!$E$2:$E$127, MATCH(D591, Archetypes!$A$2:$A$127, 0))*INDEX(Unit_Grades!$B$2:$B$7, MATCH(F591, Unit_Grades!$A$2:$A$7, 0))*INDEX(Unit_Paths!$B$2:$B$4, MATCH(E591, Unit_Paths!$A$2:$A$4, 0)),1)</f>
        <v>29.8</v>
      </c>
      <c r="I591" s="6" t="n">
        <f aca="false">ROUND(INDEX(Archetypes!$F$2:$F$127, MATCH(D591, Archetypes!$A$2:$A$127, 0))*INDEX(Unit_Grades!$B$2:$B$7, MATCH(F591, Unit_Grades!$A$2:$A$7, 0))*INDEX(Unit_Paths!$C$2:$C$4, MATCH(E591, Unit_Paths!$A$2:$A$4, 0)),1)</f>
        <v>50.6</v>
      </c>
      <c r="J591" s="6" t="n">
        <f aca="false">ROUND(INDEX(Archetypes!$G$2:$G$127, MATCH(D591, Archetypes!$A$2:$A$127, 0))*INDEX(Unit_Grades!$B$2:$B$7, MATCH(F591, Unit_Grades!$A$2:$A$7, 0))*INDEX(Unit_Paths!$D$2:$D$4, MATCH(E591, Unit_Paths!$A$2:$A$4, 0)),0)</f>
        <v>194</v>
      </c>
      <c r="K591" s="6" t="n">
        <f aca="false">ROUND(INDEX(Archetypes!$H$2:$H$127, MATCH(D591, Archetypes!$A$2:$A$127, 0))*INDEX(Unit_Paths!$E$2:$E$4, MATCH(E591, Unit_Paths!$A$2:$A$4, 0)),1)</f>
        <v>12.9</v>
      </c>
      <c r="L591" s="6" t="n">
        <f aca="false">ROUND(INDEX(Archetypes!$I$2:$I$127, MATCH(D591, Archetypes!$A$2:$A$127, 0))*INDEX(Unit_Grades!$C$2:$C$7, MATCH(F591, Unit_Grades!$A$2:$A$7, 0)),1)</f>
        <v>6.3</v>
      </c>
      <c r="M591" s="6" t="n">
        <f aca="false">ROUND(INDEX(Archetypes!$J$2:$J$127, MATCH(D591, Archetypes!$A$2:$A$127, 0))*INDEX(Unit_Grades!$D$2:$D$7, MATCH(F591, Unit_Grades!$A$2:$A$7, 0)),1)</f>
        <v>3</v>
      </c>
      <c r="N591" s="6" t="n">
        <f aca="false">ROUND(M591/24,2)</f>
        <v>0.13</v>
      </c>
    </row>
    <row r="592" customFormat="false" ht="15" hidden="false" customHeight="true" outlineLevel="0" collapsed="false">
      <c r="A592" s="6" t="n">
        <v>2</v>
      </c>
      <c r="B592" s="6" t="s">
        <v>2127</v>
      </c>
      <c r="C592" s="6" t="s">
        <v>1327</v>
      </c>
      <c r="D592" s="6" t="str">
        <f aca="false">A592&amp;"|"&amp;C592</f>
        <v>2|Halberdier</v>
      </c>
      <c r="E592" s="6" t="s">
        <v>1560</v>
      </c>
      <c r="F592" s="6" t="s">
        <v>1542</v>
      </c>
      <c r="G592" s="6" t="str">
        <f aca="false">INDEX(Archetypes!$D$2:$D$127, MATCH(D592, Archetypes!$A$2:$A$127, 0))</f>
        <v>Anti-Cavalry</v>
      </c>
      <c r="H592" s="6" t="n">
        <f aca="false">ROUND(INDEX(Archetypes!$E$2:$E$127, MATCH(D592, Archetypes!$A$2:$A$127, 0))*INDEX(Unit_Grades!$B$2:$B$7, MATCH(F592, Unit_Grades!$A$2:$A$7, 0))*INDEX(Unit_Paths!$B$2:$B$4, MATCH(E592, Unit_Paths!$A$2:$A$4, 0)),1)</f>
        <v>39.8</v>
      </c>
      <c r="I592" s="6" t="n">
        <f aca="false">ROUND(INDEX(Archetypes!$F$2:$F$127, MATCH(D592, Archetypes!$A$2:$A$127, 0))*INDEX(Unit_Grades!$B$2:$B$7, MATCH(F592, Unit_Grades!$A$2:$A$7, 0))*INDEX(Unit_Paths!$C$2:$C$4, MATCH(E592, Unit_Paths!$A$2:$A$4, 0)),1)</f>
        <v>67.5</v>
      </c>
      <c r="J592" s="6" t="n">
        <f aca="false">ROUND(INDEX(Archetypes!$G$2:$G$127, MATCH(D592, Archetypes!$A$2:$A$127, 0))*INDEX(Unit_Grades!$B$2:$B$7, MATCH(F592, Unit_Grades!$A$2:$A$7, 0))*INDEX(Unit_Paths!$D$2:$D$4, MATCH(E592, Unit_Paths!$A$2:$A$4, 0)),0)</f>
        <v>259</v>
      </c>
      <c r="K592" s="6" t="n">
        <f aca="false">ROUND(INDEX(Archetypes!$H$2:$H$127, MATCH(D592, Archetypes!$A$2:$A$127, 0))*INDEX(Unit_Paths!$E$2:$E$4, MATCH(E592, Unit_Paths!$A$2:$A$4, 0)),1)</f>
        <v>12.9</v>
      </c>
      <c r="L592" s="6" t="n">
        <f aca="false">ROUND(INDEX(Archetypes!$I$2:$I$127, MATCH(D592, Archetypes!$A$2:$A$127, 0))*INDEX(Unit_Grades!$C$2:$C$7, MATCH(F592, Unit_Grades!$A$2:$A$7, 0)),1)</f>
        <v>8</v>
      </c>
      <c r="M592" s="6" t="n">
        <f aca="false">ROUND(INDEX(Archetypes!$J$2:$J$127, MATCH(D592, Archetypes!$A$2:$A$127, 0))*INDEX(Unit_Grades!$D$2:$D$7, MATCH(F592, Unit_Grades!$A$2:$A$7, 0)),1)</f>
        <v>5.1</v>
      </c>
      <c r="N592" s="6" t="n">
        <f aca="false">ROUND(M592/24,2)</f>
        <v>0.21</v>
      </c>
    </row>
    <row r="593" customFormat="false" ht="15" hidden="false" customHeight="true" outlineLevel="0" collapsed="false">
      <c r="A593" s="6" t="n">
        <v>2</v>
      </c>
      <c r="B593" s="6" t="s">
        <v>2128</v>
      </c>
      <c r="C593" s="6" t="s">
        <v>1327</v>
      </c>
      <c r="D593" s="6" t="str">
        <f aca="false">A593&amp;"|"&amp;C593</f>
        <v>2|Halberdier</v>
      </c>
      <c r="E593" s="6" t="s">
        <v>1560</v>
      </c>
      <c r="F593" s="6" t="s">
        <v>1544</v>
      </c>
      <c r="G593" s="6" t="str">
        <f aca="false">INDEX(Archetypes!$D$2:$D$127, MATCH(D593, Archetypes!$A$2:$A$127, 0))</f>
        <v>Anti-Cavalry</v>
      </c>
      <c r="H593" s="6" t="n">
        <f aca="false">ROUND(INDEX(Archetypes!$E$2:$E$127, MATCH(D593, Archetypes!$A$2:$A$127, 0))*INDEX(Unit_Grades!$B$2:$B$7, MATCH(F593, Unit_Grades!$A$2:$A$7, 0))*INDEX(Unit_Paths!$B$2:$B$4, MATCH(E593, Unit_Paths!$A$2:$A$4, 0)),1)</f>
        <v>53</v>
      </c>
      <c r="I593" s="6" t="n">
        <f aca="false">ROUND(INDEX(Archetypes!$F$2:$F$127, MATCH(D593, Archetypes!$A$2:$A$127, 0))*INDEX(Unit_Grades!$B$2:$B$7, MATCH(F593, Unit_Grades!$A$2:$A$7, 0))*INDEX(Unit_Paths!$C$2:$C$4, MATCH(E593, Unit_Paths!$A$2:$A$4, 0)),1)</f>
        <v>90</v>
      </c>
      <c r="J593" s="6" t="n">
        <f aca="false">ROUND(INDEX(Archetypes!$G$2:$G$127, MATCH(D593, Archetypes!$A$2:$A$127, 0))*INDEX(Unit_Grades!$B$2:$B$7, MATCH(F593, Unit_Grades!$A$2:$A$7, 0))*INDEX(Unit_Paths!$D$2:$D$4, MATCH(E593, Unit_Paths!$A$2:$A$4, 0)),0)</f>
        <v>345</v>
      </c>
      <c r="K593" s="6" t="n">
        <f aca="false">ROUND(INDEX(Archetypes!$H$2:$H$127, MATCH(D593, Archetypes!$A$2:$A$127, 0))*INDEX(Unit_Paths!$E$2:$E$4, MATCH(E593, Unit_Paths!$A$2:$A$4, 0)),1)</f>
        <v>12.9</v>
      </c>
      <c r="L593" s="6" t="n">
        <f aca="false">ROUND(INDEX(Archetypes!$I$2:$I$127, MATCH(D593, Archetypes!$A$2:$A$127, 0))*INDEX(Unit_Grades!$C$2:$C$7, MATCH(F593, Unit_Grades!$A$2:$A$7, 0)),1)</f>
        <v>10.5</v>
      </c>
      <c r="M593" s="6" t="n">
        <f aca="false">ROUND(INDEX(Archetypes!$J$2:$J$127, MATCH(D593, Archetypes!$A$2:$A$127, 0))*INDEX(Unit_Grades!$D$2:$D$7, MATCH(F593, Unit_Grades!$A$2:$A$7, 0)),1)</f>
        <v>8.1</v>
      </c>
      <c r="N593" s="6" t="n">
        <f aca="false">ROUND(M593/24,2)</f>
        <v>0.34</v>
      </c>
    </row>
    <row r="594" customFormat="false" ht="15" hidden="false" customHeight="true" outlineLevel="0" collapsed="false">
      <c r="A594" s="6" t="n">
        <v>2</v>
      </c>
      <c r="B594" s="6" t="s">
        <v>2129</v>
      </c>
      <c r="C594" s="6" t="s">
        <v>1327</v>
      </c>
      <c r="D594" s="6" t="str">
        <f aca="false">A594&amp;"|"&amp;C594</f>
        <v>2|Halberdier</v>
      </c>
      <c r="E594" s="6" t="s">
        <v>1560</v>
      </c>
      <c r="F594" s="6" t="s">
        <v>1546</v>
      </c>
      <c r="G594" s="6" t="str">
        <f aca="false">INDEX(Archetypes!$D$2:$D$127, MATCH(D594, Archetypes!$A$2:$A$127, 0))</f>
        <v>Anti-Cavalry</v>
      </c>
      <c r="H594" s="6" t="n">
        <f aca="false">ROUND(INDEX(Archetypes!$E$2:$E$127, MATCH(D594, Archetypes!$A$2:$A$127, 0))*INDEX(Unit_Grades!$B$2:$B$7, MATCH(F594, Unit_Grades!$A$2:$A$7, 0))*INDEX(Unit_Paths!$B$2:$B$4, MATCH(E594, Unit_Paths!$A$2:$A$4, 0)),1)</f>
        <v>70.7</v>
      </c>
      <c r="I594" s="6" t="n">
        <f aca="false">ROUND(INDEX(Archetypes!$F$2:$F$127, MATCH(D594, Archetypes!$A$2:$A$127, 0))*INDEX(Unit_Grades!$B$2:$B$7, MATCH(F594, Unit_Grades!$A$2:$A$7, 0))*INDEX(Unit_Paths!$C$2:$C$4, MATCH(E594, Unit_Paths!$A$2:$A$4, 0)),1)</f>
        <v>120</v>
      </c>
      <c r="J594" s="6" t="n">
        <f aca="false">ROUND(INDEX(Archetypes!$G$2:$G$127, MATCH(D594, Archetypes!$A$2:$A$127, 0))*INDEX(Unit_Grades!$B$2:$B$7, MATCH(F594, Unit_Grades!$A$2:$A$7, 0))*INDEX(Unit_Paths!$D$2:$D$4, MATCH(E594, Unit_Paths!$A$2:$A$4, 0)),0)</f>
        <v>460</v>
      </c>
      <c r="K594" s="6" t="n">
        <f aca="false">ROUND(INDEX(Archetypes!$H$2:$H$127, MATCH(D594, Archetypes!$A$2:$A$127, 0))*INDEX(Unit_Paths!$E$2:$E$4, MATCH(E594, Unit_Paths!$A$2:$A$4, 0)),1)</f>
        <v>12.9</v>
      </c>
      <c r="L594" s="6" t="n">
        <f aca="false">ROUND(INDEX(Archetypes!$I$2:$I$127, MATCH(D594, Archetypes!$A$2:$A$127, 0))*INDEX(Unit_Grades!$C$2:$C$7, MATCH(F594, Unit_Grades!$A$2:$A$7, 0)),1)</f>
        <v>14</v>
      </c>
      <c r="M594" s="6" t="n">
        <f aca="false">ROUND(INDEX(Archetypes!$J$2:$J$127, MATCH(D594, Archetypes!$A$2:$A$127, 0))*INDEX(Unit_Grades!$D$2:$D$7, MATCH(F594, Unit_Grades!$A$2:$A$7, 0)),1)</f>
        <v>14.2</v>
      </c>
      <c r="N594" s="6" t="n">
        <f aca="false">ROUND(M594/24,2)</f>
        <v>0.59</v>
      </c>
    </row>
    <row r="595" customFormat="false" ht="15" hidden="false" customHeight="true" outlineLevel="0" collapsed="false">
      <c r="A595" s="6" t="n">
        <v>2</v>
      </c>
      <c r="B595" s="6" t="s">
        <v>2130</v>
      </c>
      <c r="C595" s="6" t="s">
        <v>1327</v>
      </c>
      <c r="D595" s="6" t="str">
        <f aca="false">A595&amp;"|"&amp;C595</f>
        <v>2|Halberdier</v>
      </c>
      <c r="E595" s="6" t="s">
        <v>1560</v>
      </c>
      <c r="F595" s="6" t="s">
        <v>1548</v>
      </c>
      <c r="G595" s="6" t="str">
        <f aca="false">INDEX(Archetypes!$D$2:$D$127, MATCH(D595, Archetypes!$A$2:$A$127, 0))</f>
        <v>Anti-Cavalry</v>
      </c>
      <c r="H595" s="6" t="n">
        <f aca="false">ROUND(INDEX(Archetypes!$E$2:$E$127, MATCH(D595, Archetypes!$A$2:$A$127, 0))*INDEX(Unit_Grades!$B$2:$B$7, MATCH(F595, Unit_Grades!$A$2:$A$7, 0))*INDEX(Unit_Paths!$B$2:$B$4, MATCH(E595, Unit_Paths!$A$2:$A$4, 0)),1)</f>
        <v>92.8</v>
      </c>
      <c r="I595" s="6" t="n">
        <f aca="false">ROUND(INDEX(Archetypes!$F$2:$F$127, MATCH(D595, Archetypes!$A$2:$A$127, 0))*INDEX(Unit_Grades!$B$2:$B$7, MATCH(F595, Unit_Grades!$A$2:$A$7, 0))*INDEX(Unit_Paths!$C$2:$C$4, MATCH(E595, Unit_Paths!$A$2:$A$4, 0)),1)</f>
        <v>157.5</v>
      </c>
      <c r="J595" s="6" t="n">
        <f aca="false">ROUND(INDEX(Archetypes!$G$2:$G$127, MATCH(D595, Archetypes!$A$2:$A$127, 0))*INDEX(Unit_Grades!$B$2:$B$7, MATCH(F595, Unit_Grades!$A$2:$A$7, 0))*INDEX(Unit_Paths!$D$2:$D$4, MATCH(E595, Unit_Paths!$A$2:$A$4, 0)),0)</f>
        <v>604</v>
      </c>
      <c r="K595" s="6" t="n">
        <f aca="false">ROUND(INDEX(Archetypes!$H$2:$H$127, MATCH(D595, Archetypes!$A$2:$A$127, 0))*INDEX(Unit_Paths!$E$2:$E$4, MATCH(E595, Unit_Paths!$A$2:$A$4, 0)),1)</f>
        <v>12.9</v>
      </c>
      <c r="L595" s="6" t="n">
        <f aca="false">ROUND(INDEX(Archetypes!$I$2:$I$127, MATCH(D595, Archetypes!$A$2:$A$127, 0))*INDEX(Unit_Grades!$C$2:$C$7, MATCH(F595, Unit_Grades!$A$2:$A$7, 0)),1)</f>
        <v>18.5</v>
      </c>
      <c r="M595" s="6" t="n">
        <f aca="false">ROUND(INDEX(Archetypes!$J$2:$J$127, MATCH(D595, Archetypes!$A$2:$A$127, 0))*INDEX(Unit_Grades!$D$2:$D$7, MATCH(F595, Unit_Grades!$A$2:$A$7, 0)),1)</f>
        <v>24.4</v>
      </c>
      <c r="N595" s="6" t="n">
        <f aca="false">ROUND(M595/24,2)</f>
        <v>1.02</v>
      </c>
    </row>
    <row r="596" customFormat="false" ht="15" hidden="false" customHeight="true" outlineLevel="0" collapsed="false">
      <c r="A596" s="6" t="n">
        <v>2</v>
      </c>
      <c r="B596" s="6" t="s">
        <v>1329</v>
      </c>
      <c r="C596" s="6" t="s">
        <v>1329</v>
      </c>
      <c r="D596" s="6" t="str">
        <f aca="false">A596&amp;"|"&amp;C596</f>
        <v>2|Man-at-Arms</v>
      </c>
      <c r="E596" s="6" t="s">
        <v>1556</v>
      </c>
      <c r="F596" s="6" t="s">
        <v>1538</v>
      </c>
      <c r="G596" s="6" t="str">
        <f aca="false">INDEX(Archetypes!$D$2:$D$127, MATCH(D596, Archetypes!$A$2:$A$127, 0))</f>
        <v>Line Infantry</v>
      </c>
      <c r="H596" s="6" t="n">
        <f aca="false">ROUND(INDEX(Archetypes!$E$2:$E$127, MATCH(D596, Archetypes!$A$2:$A$127, 0))*INDEX(Unit_Grades!$B$2:$B$7, MATCH(F596, Unit_Grades!$A$2:$A$7, 0))*INDEX(Unit_Paths!$B$2:$B$4, MATCH(E596, Unit_Paths!$A$2:$A$4, 0)),1)</f>
        <v>30</v>
      </c>
      <c r="I596" s="6" t="n">
        <f aca="false">ROUND(INDEX(Archetypes!$F$2:$F$127, MATCH(D596, Archetypes!$A$2:$A$127, 0))*INDEX(Unit_Grades!$B$2:$B$7, MATCH(F596, Unit_Grades!$A$2:$A$7, 0))*INDEX(Unit_Paths!$C$2:$C$4, MATCH(E596, Unit_Paths!$A$2:$A$4, 0)),1)</f>
        <v>28</v>
      </c>
      <c r="J596" s="6" t="n">
        <f aca="false">ROUND(INDEX(Archetypes!$G$2:$G$127, MATCH(D596, Archetypes!$A$2:$A$127, 0))*INDEX(Unit_Grades!$B$2:$B$7, MATCH(F596, Unit_Grades!$A$2:$A$7, 0))*INDEX(Unit_Paths!$D$2:$D$4, MATCH(E596, Unit_Paths!$A$2:$A$4, 0)),0)</f>
        <v>120</v>
      </c>
      <c r="K596" s="6" t="n">
        <f aca="false">ROUND(INDEX(Archetypes!$H$2:$H$127, MATCH(D596, Archetypes!$A$2:$A$127, 0))*INDEX(Unit_Paths!$E$2:$E$4, MATCH(E596, Unit_Paths!$A$2:$A$4, 0)),1)</f>
        <v>15</v>
      </c>
      <c r="L596" s="6" t="n">
        <f aca="false">ROUND(INDEX(Archetypes!$I$2:$I$127, MATCH(D596, Archetypes!$A$2:$A$127, 0))*INDEX(Unit_Grades!$C$2:$C$7, MATCH(F596, Unit_Grades!$A$2:$A$7, 0)),1)</f>
        <v>5</v>
      </c>
      <c r="M596" s="6" t="n">
        <f aca="false">ROUND(INDEX(Archetypes!$J$2:$J$127, MATCH(D596, Archetypes!$A$2:$A$127, 0))*INDEX(Unit_Grades!$D$2:$D$7, MATCH(F596, Unit_Grades!$A$2:$A$7, 0)),1)</f>
        <v>2</v>
      </c>
      <c r="N596" s="6" t="n">
        <f aca="false">ROUND(M596/24,2)</f>
        <v>0.08</v>
      </c>
    </row>
    <row r="597" customFormat="false" ht="15" hidden="false" customHeight="true" outlineLevel="0" collapsed="false">
      <c r="A597" s="6" t="n">
        <v>2</v>
      </c>
      <c r="B597" s="6" t="s">
        <v>2131</v>
      </c>
      <c r="C597" s="6" t="s">
        <v>1329</v>
      </c>
      <c r="D597" s="6" t="str">
        <f aca="false">A597&amp;"|"&amp;C597</f>
        <v>2|Man-at-Arms</v>
      </c>
      <c r="E597" s="6" t="s">
        <v>1556</v>
      </c>
      <c r="F597" s="6" t="s">
        <v>1540</v>
      </c>
      <c r="G597" s="6" t="str">
        <f aca="false">INDEX(Archetypes!$D$2:$D$127, MATCH(D597, Archetypes!$A$2:$A$127, 0))</f>
        <v>Line Infantry</v>
      </c>
      <c r="H597" s="6" t="n">
        <f aca="false">ROUND(INDEX(Archetypes!$E$2:$E$127, MATCH(D597, Archetypes!$A$2:$A$127, 0))*INDEX(Unit_Grades!$B$2:$B$7, MATCH(F597, Unit_Grades!$A$2:$A$7, 0))*INDEX(Unit_Paths!$B$2:$B$4, MATCH(E597, Unit_Paths!$A$2:$A$4, 0)),1)</f>
        <v>40.5</v>
      </c>
      <c r="I597" s="6" t="n">
        <f aca="false">ROUND(INDEX(Archetypes!$F$2:$F$127, MATCH(D597, Archetypes!$A$2:$A$127, 0))*INDEX(Unit_Grades!$B$2:$B$7, MATCH(F597, Unit_Grades!$A$2:$A$7, 0))*INDEX(Unit_Paths!$C$2:$C$4, MATCH(E597, Unit_Paths!$A$2:$A$4, 0)),1)</f>
        <v>37.8</v>
      </c>
      <c r="J597" s="6" t="n">
        <f aca="false">ROUND(INDEX(Archetypes!$G$2:$G$127, MATCH(D597, Archetypes!$A$2:$A$127, 0))*INDEX(Unit_Grades!$B$2:$B$7, MATCH(F597, Unit_Grades!$A$2:$A$7, 0))*INDEX(Unit_Paths!$D$2:$D$4, MATCH(E597, Unit_Paths!$A$2:$A$4, 0)),0)</f>
        <v>162</v>
      </c>
      <c r="K597" s="6" t="n">
        <f aca="false">ROUND(INDEX(Archetypes!$H$2:$H$127, MATCH(D597, Archetypes!$A$2:$A$127, 0))*INDEX(Unit_Paths!$E$2:$E$4, MATCH(E597, Unit_Paths!$A$2:$A$4, 0)),1)</f>
        <v>15</v>
      </c>
      <c r="L597" s="6" t="n">
        <f aca="false">ROUND(INDEX(Archetypes!$I$2:$I$127, MATCH(D597, Archetypes!$A$2:$A$127, 0))*INDEX(Unit_Grades!$C$2:$C$7, MATCH(F597, Unit_Grades!$A$2:$A$7, 0)),1)</f>
        <v>6.3</v>
      </c>
      <c r="M597" s="6" t="n">
        <f aca="false">ROUND(INDEX(Archetypes!$J$2:$J$127, MATCH(D597, Archetypes!$A$2:$A$127, 0))*INDEX(Unit_Grades!$D$2:$D$7, MATCH(F597, Unit_Grades!$A$2:$A$7, 0)),1)</f>
        <v>3</v>
      </c>
      <c r="N597" s="6" t="n">
        <f aca="false">ROUND(M597/24,2)</f>
        <v>0.13</v>
      </c>
    </row>
    <row r="598" customFormat="false" ht="15" hidden="false" customHeight="true" outlineLevel="0" collapsed="false">
      <c r="A598" s="6" t="n">
        <v>2</v>
      </c>
      <c r="B598" s="6" t="s">
        <v>2132</v>
      </c>
      <c r="C598" s="6" t="s">
        <v>1329</v>
      </c>
      <c r="D598" s="6" t="str">
        <f aca="false">A598&amp;"|"&amp;C598</f>
        <v>2|Man-at-Arms</v>
      </c>
      <c r="E598" s="6" t="s">
        <v>1556</v>
      </c>
      <c r="F598" s="6" t="s">
        <v>1542</v>
      </c>
      <c r="G598" s="6" t="str">
        <f aca="false">INDEX(Archetypes!$D$2:$D$127, MATCH(D598, Archetypes!$A$2:$A$127, 0))</f>
        <v>Line Infantry</v>
      </c>
      <c r="H598" s="6" t="n">
        <f aca="false">ROUND(INDEX(Archetypes!$E$2:$E$127, MATCH(D598, Archetypes!$A$2:$A$127, 0))*INDEX(Unit_Grades!$B$2:$B$7, MATCH(F598, Unit_Grades!$A$2:$A$7, 0))*INDEX(Unit_Paths!$B$2:$B$4, MATCH(E598, Unit_Paths!$A$2:$A$4, 0)),1)</f>
        <v>54</v>
      </c>
      <c r="I598" s="6" t="n">
        <f aca="false">ROUND(INDEX(Archetypes!$F$2:$F$127, MATCH(D598, Archetypes!$A$2:$A$127, 0))*INDEX(Unit_Grades!$B$2:$B$7, MATCH(F598, Unit_Grades!$A$2:$A$7, 0))*INDEX(Unit_Paths!$C$2:$C$4, MATCH(E598, Unit_Paths!$A$2:$A$4, 0)),1)</f>
        <v>50.4</v>
      </c>
      <c r="J598" s="6" t="n">
        <f aca="false">ROUND(INDEX(Archetypes!$G$2:$G$127, MATCH(D598, Archetypes!$A$2:$A$127, 0))*INDEX(Unit_Grades!$B$2:$B$7, MATCH(F598, Unit_Grades!$A$2:$A$7, 0))*INDEX(Unit_Paths!$D$2:$D$4, MATCH(E598, Unit_Paths!$A$2:$A$4, 0)),0)</f>
        <v>216</v>
      </c>
      <c r="K598" s="6" t="n">
        <f aca="false">ROUND(INDEX(Archetypes!$H$2:$H$127, MATCH(D598, Archetypes!$A$2:$A$127, 0))*INDEX(Unit_Paths!$E$2:$E$4, MATCH(E598, Unit_Paths!$A$2:$A$4, 0)),1)</f>
        <v>15</v>
      </c>
      <c r="L598" s="6" t="n">
        <f aca="false">ROUND(INDEX(Archetypes!$I$2:$I$127, MATCH(D598, Archetypes!$A$2:$A$127, 0))*INDEX(Unit_Grades!$C$2:$C$7, MATCH(F598, Unit_Grades!$A$2:$A$7, 0)),1)</f>
        <v>8</v>
      </c>
      <c r="M598" s="6" t="n">
        <f aca="false">ROUND(INDEX(Archetypes!$J$2:$J$127, MATCH(D598, Archetypes!$A$2:$A$127, 0))*INDEX(Unit_Grades!$D$2:$D$7, MATCH(F598, Unit_Grades!$A$2:$A$7, 0)),1)</f>
        <v>5.1</v>
      </c>
      <c r="N598" s="6" t="n">
        <f aca="false">ROUND(M598/24,2)</f>
        <v>0.21</v>
      </c>
    </row>
    <row r="599" customFormat="false" ht="15" hidden="false" customHeight="true" outlineLevel="0" collapsed="false">
      <c r="A599" s="6" t="n">
        <v>2</v>
      </c>
      <c r="B599" s="6" t="s">
        <v>2133</v>
      </c>
      <c r="C599" s="6" t="s">
        <v>1329</v>
      </c>
      <c r="D599" s="6" t="str">
        <f aca="false">A599&amp;"|"&amp;C599</f>
        <v>2|Man-at-Arms</v>
      </c>
      <c r="E599" s="6" t="s">
        <v>1556</v>
      </c>
      <c r="F599" s="6" t="s">
        <v>1544</v>
      </c>
      <c r="G599" s="6" t="str">
        <f aca="false">INDEX(Archetypes!$D$2:$D$127, MATCH(D599, Archetypes!$A$2:$A$127, 0))</f>
        <v>Line Infantry</v>
      </c>
      <c r="H599" s="6" t="n">
        <f aca="false">ROUND(INDEX(Archetypes!$E$2:$E$127, MATCH(D599, Archetypes!$A$2:$A$127, 0))*INDEX(Unit_Grades!$B$2:$B$7, MATCH(F599, Unit_Grades!$A$2:$A$7, 0))*INDEX(Unit_Paths!$B$2:$B$4, MATCH(E599, Unit_Paths!$A$2:$A$4, 0)),1)</f>
        <v>72</v>
      </c>
      <c r="I599" s="6" t="n">
        <f aca="false">ROUND(INDEX(Archetypes!$F$2:$F$127, MATCH(D599, Archetypes!$A$2:$A$127, 0))*INDEX(Unit_Grades!$B$2:$B$7, MATCH(F599, Unit_Grades!$A$2:$A$7, 0))*INDEX(Unit_Paths!$C$2:$C$4, MATCH(E599, Unit_Paths!$A$2:$A$4, 0)),1)</f>
        <v>67.2</v>
      </c>
      <c r="J599" s="6" t="n">
        <f aca="false">ROUND(INDEX(Archetypes!$G$2:$G$127, MATCH(D599, Archetypes!$A$2:$A$127, 0))*INDEX(Unit_Grades!$B$2:$B$7, MATCH(F599, Unit_Grades!$A$2:$A$7, 0))*INDEX(Unit_Paths!$D$2:$D$4, MATCH(E599, Unit_Paths!$A$2:$A$4, 0)),0)</f>
        <v>288</v>
      </c>
      <c r="K599" s="6" t="n">
        <f aca="false">ROUND(INDEX(Archetypes!$H$2:$H$127, MATCH(D599, Archetypes!$A$2:$A$127, 0))*INDEX(Unit_Paths!$E$2:$E$4, MATCH(E599, Unit_Paths!$A$2:$A$4, 0)),1)</f>
        <v>15</v>
      </c>
      <c r="L599" s="6" t="n">
        <f aca="false">ROUND(INDEX(Archetypes!$I$2:$I$127, MATCH(D599, Archetypes!$A$2:$A$127, 0))*INDEX(Unit_Grades!$C$2:$C$7, MATCH(F599, Unit_Grades!$A$2:$A$7, 0)),1)</f>
        <v>10.5</v>
      </c>
      <c r="M599" s="6" t="n">
        <f aca="false">ROUND(INDEX(Archetypes!$J$2:$J$127, MATCH(D599, Archetypes!$A$2:$A$127, 0))*INDEX(Unit_Grades!$D$2:$D$7, MATCH(F599, Unit_Grades!$A$2:$A$7, 0)),1)</f>
        <v>8.1</v>
      </c>
      <c r="N599" s="6" t="n">
        <f aca="false">ROUND(M599/24,2)</f>
        <v>0.34</v>
      </c>
    </row>
    <row r="600" customFormat="false" ht="15" hidden="false" customHeight="true" outlineLevel="0" collapsed="false">
      <c r="A600" s="6" t="n">
        <v>2</v>
      </c>
      <c r="B600" s="6" t="s">
        <v>2134</v>
      </c>
      <c r="C600" s="6" t="s">
        <v>1329</v>
      </c>
      <c r="D600" s="6" t="str">
        <f aca="false">A600&amp;"|"&amp;C600</f>
        <v>2|Man-at-Arms</v>
      </c>
      <c r="E600" s="6" t="s">
        <v>1556</v>
      </c>
      <c r="F600" s="6" t="s">
        <v>1546</v>
      </c>
      <c r="G600" s="6" t="str">
        <f aca="false">INDEX(Archetypes!$D$2:$D$127, MATCH(D600, Archetypes!$A$2:$A$127, 0))</f>
        <v>Line Infantry</v>
      </c>
      <c r="H600" s="6" t="n">
        <f aca="false">ROUND(INDEX(Archetypes!$E$2:$E$127, MATCH(D600, Archetypes!$A$2:$A$127, 0))*INDEX(Unit_Grades!$B$2:$B$7, MATCH(F600, Unit_Grades!$A$2:$A$7, 0))*INDEX(Unit_Paths!$B$2:$B$4, MATCH(E600, Unit_Paths!$A$2:$A$4, 0)),1)</f>
        <v>96</v>
      </c>
      <c r="I600" s="6" t="n">
        <f aca="false">ROUND(INDEX(Archetypes!$F$2:$F$127, MATCH(D600, Archetypes!$A$2:$A$127, 0))*INDEX(Unit_Grades!$B$2:$B$7, MATCH(F600, Unit_Grades!$A$2:$A$7, 0))*INDEX(Unit_Paths!$C$2:$C$4, MATCH(E600, Unit_Paths!$A$2:$A$4, 0)),1)</f>
        <v>89.6</v>
      </c>
      <c r="J600" s="6" t="n">
        <f aca="false">ROUND(INDEX(Archetypes!$G$2:$G$127, MATCH(D600, Archetypes!$A$2:$A$127, 0))*INDEX(Unit_Grades!$B$2:$B$7, MATCH(F600, Unit_Grades!$A$2:$A$7, 0))*INDEX(Unit_Paths!$D$2:$D$4, MATCH(E600, Unit_Paths!$A$2:$A$4, 0)),0)</f>
        <v>384</v>
      </c>
      <c r="K600" s="6" t="n">
        <f aca="false">ROUND(INDEX(Archetypes!$H$2:$H$127, MATCH(D600, Archetypes!$A$2:$A$127, 0))*INDEX(Unit_Paths!$E$2:$E$4, MATCH(E600, Unit_Paths!$A$2:$A$4, 0)),1)</f>
        <v>15</v>
      </c>
      <c r="L600" s="6" t="n">
        <f aca="false">ROUND(INDEX(Archetypes!$I$2:$I$127, MATCH(D600, Archetypes!$A$2:$A$127, 0))*INDEX(Unit_Grades!$C$2:$C$7, MATCH(F600, Unit_Grades!$A$2:$A$7, 0)),1)</f>
        <v>14</v>
      </c>
      <c r="M600" s="6" t="n">
        <f aca="false">ROUND(INDEX(Archetypes!$J$2:$J$127, MATCH(D600, Archetypes!$A$2:$A$127, 0))*INDEX(Unit_Grades!$D$2:$D$7, MATCH(F600, Unit_Grades!$A$2:$A$7, 0)),1)</f>
        <v>14.2</v>
      </c>
      <c r="N600" s="6" t="n">
        <f aca="false">ROUND(M600/24,2)</f>
        <v>0.59</v>
      </c>
    </row>
    <row r="601" customFormat="false" ht="15" hidden="false" customHeight="true" outlineLevel="0" collapsed="false">
      <c r="A601" s="6" t="n">
        <v>2</v>
      </c>
      <c r="B601" s="6" t="s">
        <v>2135</v>
      </c>
      <c r="C601" s="6" t="s">
        <v>1329</v>
      </c>
      <c r="D601" s="6" t="str">
        <f aca="false">A601&amp;"|"&amp;C601</f>
        <v>2|Man-at-Arms</v>
      </c>
      <c r="E601" s="6" t="s">
        <v>1556</v>
      </c>
      <c r="F601" s="6" t="s">
        <v>1548</v>
      </c>
      <c r="G601" s="6" t="str">
        <f aca="false">INDEX(Archetypes!$D$2:$D$127, MATCH(D601, Archetypes!$A$2:$A$127, 0))</f>
        <v>Line Infantry</v>
      </c>
      <c r="H601" s="6" t="n">
        <f aca="false">ROUND(INDEX(Archetypes!$E$2:$E$127, MATCH(D601, Archetypes!$A$2:$A$127, 0))*INDEX(Unit_Grades!$B$2:$B$7, MATCH(F601, Unit_Grades!$A$2:$A$7, 0))*INDEX(Unit_Paths!$B$2:$B$4, MATCH(E601, Unit_Paths!$A$2:$A$4, 0)),1)</f>
        <v>126</v>
      </c>
      <c r="I601" s="6" t="n">
        <f aca="false">ROUND(INDEX(Archetypes!$F$2:$F$127, MATCH(D601, Archetypes!$A$2:$A$127, 0))*INDEX(Unit_Grades!$B$2:$B$7, MATCH(F601, Unit_Grades!$A$2:$A$7, 0))*INDEX(Unit_Paths!$C$2:$C$4, MATCH(E601, Unit_Paths!$A$2:$A$4, 0)),1)</f>
        <v>117.6</v>
      </c>
      <c r="J601" s="6" t="n">
        <f aca="false">ROUND(INDEX(Archetypes!$G$2:$G$127, MATCH(D601, Archetypes!$A$2:$A$127, 0))*INDEX(Unit_Grades!$B$2:$B$7, MATCH(F601, Unit_Grades!$A$2:$A$7, 0))*INDEX(Unit_Paths!$D$2:$D$4, MATCH(E601, Unit_Paths!$A$2:$A$4, 0)),0)</f>
        <v>504</v>
      </c>
      <c r="K601" s="6" t="n">
        <f aca="false">ROUND(INDEX(Archetypes!$H$2:$H$127, MATCH(D601, Archetypes!$A$2:$A$127, 0))*INDEX(Unit_Paths!$E$2:$E$4, MATCH(E601, Unit_Paths!$A$2:$A$4, 0)),1)</f>
        <v>15</v>
      </c>
      <c r="L601" s="6" t="n">
        <f aca="false">ROUND(INDEX(Archetypes!$I$2:$I$127, MATCH(D601, Archetypes!$A$2:$A$127, 0))*INDEX(Unit_Grades!$C$2:$C$7, MATCH(F601, Unit_Grades!$A$2:$A$7, 0)),1)</f>
        <v>18.5</v>
      </c>
      <c r="M601" s="6" t="n">
        <f aca="false">ROUND(INDEX(Archetypes!$J$2:$J$127, MATCH(D601, Archetypes!$A$2:$A$127, 0))*INDEX(Unit_Grades!$D$2:$D$7, MATCH(F601, Unit_Grades!$A$2:$A$7, 0)),1)</f>
        <v>24.4</v>
      </c>
      <c r="N601" s="6" t="n">
        <f aca="false">ROUND(M601/24,2)</f>
        <v>1.02</v>
      </c>
    </row>
    <row r="602" customFormat="false" ht="15" hidden="false" customHeight="true" outlineLevel="0" collapsed="false">
      <c r="A602" s="6" t="n">
        <v>2</v>
      </c>
      <c r="B602" s="6" t="s">
        <v>2136</v>
      </c>
      <c r="C602" s="6" t="s">
        <v>1329</v>
      </c>
      <c r="D602" s="6" t="str">
        <f aca="false">A602&amp;"|"&amp;C602</f>
        <v>2|Man-at-Arms</v>
      </c>
      <c r="E602" s="6" t="s">
        <v>1558</v>
      </c>
      <c r="F602" s="6" t="s">
        <v>1538</v>
      </c>
      <c r="G602" s="6" t="str">
        <f aca="false">INDEX(Archetypes!$D$2:$D$127, MATCH(D602, Archetypes!$A$2:$A$127, 0))</f>
        <v>Line Infantry</v>
      </c>
      <c r="H602" s="6" t="n">
        <f aca="false">ROUND(INDEX(Archetypes!$E$2:$E$127, MATCH(D602, Archetypes!$A$2:$A$127, 0))*INDEX(Unit_Grades!$B$2:$B$7, MATCH(F602, Unit_Grades!$A$2:$A$7, 0))*INDEX(Unit_Paths!$B$2:$B$4, MATCH(E602, Unit_Paths!$A$2:$A$4, 0)),1)</f>
        <v>36</v>
      </c>
      <c r="I602" s="6" t="n">
        <f aca="false">ROUND(INDEX(Archetypes!$F$2:$F$127, MATCH(D602, Archetypes!$A$2:$A$127, 0))*INDEX(Unit_Grades!$B$2:$B$7, MATCH(F602, Unit_Grades!$A$2:$A$7, 0))*INDEX(Unit_Paths!$C$2:$C$4, MATCH(E602, Unit_Paths!$A$2:$A$4, 0)),1)</f>
        <v>23.8</v>
      </c>
      <c r="J602" s="6" t="n">
        <f aca="false">ROUND(INDEX(Archetypes!$G$2:$G$127, MATCH(D602, Archetypes!$A$2:$A$127, 0))*INDEX(Unit_Grades!$B$2:$B$7, MATCH(F602, Unit_Grades!$A$2:$A$7, 0))*INDEX(Unit_Paths!$D$2:$D$4, MATCH(E602, Unit_Paths!$A$2:$A$4, 0)),0)</f>
        <v>114</v>
      </c>
      <c r="K602" s="6" t="n">
        <f aca="false">ROUND(INDEX(Archetypes!$H$2:$H$127, MATCH(D602, Archetypes!$A$2:$A$127, 0))*INDEX(Unit_Paths!$E$2:$E$4, MATCH(E602, Unit_Paths!$A$2:$A$4, 0)),1)</f>
        <v>15.8</v>
      </c>
      <c r="L602" s="6" t="n">
        <f aca="false">ROUND(INDEX(Archetypes!$I$2:$I$127, MATCH(D602, Archetypes!$A$2:$A$127, 0))*INDEX(Unit_Grades!$C$2:$C$7, MATCH(F602, Unit_Grades!$A$2:$A$7, 0)),1)</f>
        <v>5</v>
      </c>
      <c r="M602" s="6" t="n">
        <f aca="false">ROUND(INDEX(Archetypes!$J$2:$J$127, MATCH(D602, Archetypes!$A$2:$A$127, 0))*INDEX(Unit_Grades!$D$2:$D$7, MATCH(F602, Unit_Grades!$A$2:$A$7, 0)),1)</f>
        <v>2</v>
      </c>
      <c r="N602" s="6" t="n">
        <f aca="false">ROUND(M602/24,2)</f>
        <v>0.08</v>
      </c>
    </row>
    <row r="603" customFormat="false" ht="15" hidden="false" customHeight="true" outlineLevel="0" collapsed="false">
      <c r="A603" s="6" t="n">
        <v>2</v>
      </c>
      <c r="B603" s="6" t="s">
        <v>2137</v>
      </c>
      <c r="C603" s="6" t="s">
        <v>1329</v>
      </c>
      <c r="D603" s="6" t="str">
        <f aca="false">A603&amp;"|"&amp;C603</f>
        <v>2|Man-at-Arms</v>
      </c>
      <c r="E603" s="6" t="s">
        <v>1558</v>
      </c>
      <c r="F603" s="6" t="s">
        <v>1540</v>
      </c>
      <c r="G603" s="6" t="str">
        <f aca="false">INDEX(Archetypes!$D$2:$D$127, MATCH(D603, Archetypes!$A$2:$A$127, 0))</f>
        <v>Line Infantry</v>
      </c>
      <c r="H603" s="6" t="n">
        <f aca="false">ROUND(INDEX(Archetypes!$E$2:$E$127, MATCH(D603, Archetypes!$A$2:$A$127, 0))*INDEX(Unit_Grades!$B$2:$B$7, MATCH(F603, Unit_Grades!$A$2:$A$7, 0))*INDEX(Unit_Paths!$B$2:$B$4, MATCH(E603, Unit_Paths!$A$2:$A$4, 0)),1)</f>
        <v>48.6</v>
      </c>
      <c r="I603" s="6" t="n">
        <f aca="false">ROUND(INDEX(Archetypes!$F$2:$F$127, MATCH(D603, Archetypes!$A$2:$A$127, 0))*INDEX(Unit_Grades!$B$2:$B$7, MATCH(F603, Unit_Grades!$A$2:$A$7, 0))*INDEX(Unit_Paths!$C$2:$C$4, MATCH(E603, Unit_Paths!$A$2:$A$4, 0)),1)</f>
        <v>32.1</v>
      </c>
      <c r="J603" s="6" t="n">
        <f aca="false">ROUND(INDEX(Archetypes!$G$2:$G$127, MATCH(D603, Archetypes!$A$2:$A$127, 0))*INDEX(Unit_Grades!$B$2:$B$7, MATCH(F603, Unit_Grades!$A$2:$A$7, 0))*INDEX(Unit_Paths!$D$2:$D$4, MATCH(E603, Unit_Paths!$A$2:$A$4, 0)),0)</f>
        <v>154</v>
      </c>
      <c r="K603" s="6" t="n">
        <f aca="false">ROUND(INDEX(Archetypes!$H$2:$H$127, MATCH(D603, Archetypes!$A$2:$A$127, 0))*INDEX(Unit_Paths!$E$2:$E$4, MATCH(E603, Unit_Paths!$A$2:$A$4, 0)),1)</f>
        <v>15.8</v>
      </c>
      <c r="L603" s="6" t="n">
        <f aca="false">ROUND(INDEX(Archetypes!$I$2:$I$127, MATCH(D603, Archetypes!$A$2:$A$127, 0))*INDEX(Unit_Grades!$C$2:$C$7, MATCH(F603, Unit_Grades!$A$2:$A$7, 0)),1)</f>
        <v>6.3</v>
      </c>
      <c r="M603" s="6" t="n">
        <f aca="false">ROUND(INDEX(Archetypes!$J$2:$J$127, MATCH(D603, Archetypes!$A$2:$A$127, 0))*INDEX(Unit_Grades!$D$2:$D$7, MATCH(F603, Unit_Grades!$A$2:$A$7, 0)),1)</f>
        <v>3</v>
      </c>
      <c r="N603" s="6" t="n">
        <f aca="false">ROUND(M603/24,2)</f>
        <v>0.13</v>
      </c>
    </row>
    <row r="604" customFormat="false" ht="15" hidden="false" customHeight="true" outlineLevel="0" collapsed="false">
      <c r="A604" s="6" t="n">
        <v>2</v>
      </c>
      <c r="B604" s="6" t="s">
        <v>2138</v>
      </c>
      <c r="C604" s="6" t="s">
        <v>1329</v>
      </c>
      <c r="D604" s="6" t="str">
        <f aca="false">A604&amp;"|"&amp;C604</f>
        <v>2|Man-at-Arms</v>
      </c>
      <c r="E604" s="6" t="s">
        <v>1558</v>
      </c>
      <c r="F604" s="6" t="s">
        <v>1542</v>
      </c>
      <c r="G604" s="6" t="str">
        <f aca="false">INDEX(Archetypes!$D$2:$D$127, MATCH(D604, Archetypes!$A$2:$A$127, 0))</f>
        <v>Line Infantry</v>
      </c>
      <c r="H604" s="6" t="n">
        <f aca="false">ROUND(INDEX(Archetypes!$E$2:$E$127, MATCH(D604, Archetypes!$A$2:$A$127, 0))*INDEX(Unit_Grades!$B$2:$B$7, MATCH(F604, Unit_Grades!$A$2:$A$7, 0))*INDEX(Unit_Paths!$B$2:$B$4, MATCH(E604, Unit_Paths!$A$2:$A$4, 0)),1)</f>
        <v>64.8</v>
      </c>
      <c r="I604" s="6" t="n">
        <f aca="false">ROUND(INDEX(Archetypes!$F$2:$F$127, MATCH(D604, Archetypes!$A$2:$A$127, 0))*INDEX(Unit_Grades!$B$2:$B$7, MATCH(F604, Unit_Grades!$A$2:$A$7, 0))*INDEX(Unit_Paths!$C$2:$C$4, MATCH(E604, Unit_Paths!$A$2:$A$4, 0)),1)</f>
        <v>42.8</v>
      </c>
      <c r="J604" s="6" t="n">
        <f aca="false">ROUND(INDEX(Archetypes!$G$2:$G$127, MATCH(D604, Archetypes!$A$2:$A$127, 0))*INDEX(Unit_Grades!$B$2:$B$7, MATCH(F604, Unit_Grades!$A$2:$A$7, 0))*INDEX(Unit_Paths!$D$2:$D$4, MATCH(E604, Unit_Paths!$A$2:$A$4, 0)),0)</f>
        <v>205</v>
      </c>
      <c r="K604" s="6" t="n">
        <f aca="false">ROUND(INDEX(Archetypes!$H$2:$H$127, MATCH(D604, Archetypes!$A$2:$A$127, 0))*INDEX(Unit_Paths!$E$2:$E$4, MATCH(E604, Unit_Paths!$A$2:$A$4, 0)),1)</f>
        <v>15.8</v>
      </c>
      <c r="L604" s="6" t="n">
        <f aca="false">ROUND(INDEX(Archetypes!$I$2:$I$127, MATCH(D604, Archetypes!$A$2:$A$127, 0))*INDEX(Unit_Grades!$C$2:$C$7, MATCH(F604, Unit_Grades!$A$2:$A$7, 0)),1)</f>
        <v>8</v>
      </c>
      <c r="M604" s="6" t="n">
        <f aca="false">ROUND(INDEX(Archetypes!$J$2:$J$127, MATCH(D604, Archetypes!$A$2:$A$127, 0))*INDEX(Unit_Grades!$D$2:$D$7, MATCH(F604, Unit_Grades!$A$2:$A$7, 0)),1)</f>
        <v>5.1</v>
      </c>
      <c r="N604" s="6" t="n">
        <f aca="false">ROUND(M604/24,2)</f>
        <v>0.21</v>
      </c>
    </row>
    <row r="605" customFormat="false" ht="15" hidden="false" customHeight="true" outlineLevel="0" collapsed="false">
      <c r="A605" s="6" t="n">
        <v>2</v>
      </c>
      <c r="B605" s="6" t="s">
        <v>2139</v>
      </c>
      <c r="C605" s="6" t="s">
        <v>1329</v>
      </c>
      <c r="D605" s="6" t="str">
        <f aca="false">A605&amp;"|"&amp;C605</f>
        <v>2|Man-at-Arms</v>
      </c>
      <c r="E605" s="6" t="s">
        <v>1558</v>
      </c>
      <c r="F605" s="6" t="s">
        <v>1544</v>
      </c>
      <c r="G605" s="6" t="str">
        <f aca="false">INDEX(Archetypes!$D$2:$D$127, MATCH(D605, Archetypes!$A$2:$A$127, 0))</f>
        <v>Line Infantry</v>
      </c>
      <c r="H605" s="6" t="n">
        <f aca="false">ROUND(INDEX(Archetypes!$E$2:$E$127, MATCH(D605, Archetypes!$A$2:$A$127, 0))*INDEX(Unit_Grades!$B$2:$B$7, MATCH(F605, Unit_Grades!$A$2:$A$7, 0))*INDEX(Unit_Paths!$B$2:$B$4, MATCH(E605, Unit_Paths!$A$2:$A$4, 0)),1)</f>
        <v>86.4</v>
      </c>
      <c r="I605" s="6" t="n">
        <f aca="false">ROUND(INDEX(Archetypes!$F$2:$F$127, MATCH(D605, Archetypes!$A$2:$A$127, 0))*INDEX(Unit_Grades!$B$2:$B$7, MATCH(F605, Unit_Grades!$A$2:$A$7, 0))*INDEX(Unit_Paths!$C$2:$C$4, MATCH(E605, Unit_Paths!$A$2:$A$4, 0)),1)</f>
        <v>57.1</v>
      </c>
      <c r="J605" s="6" t="n">
        <f aca="false">ROUND(INDEX(Archetypes!$G$2:$G$127, MATCH(D605, Archetypes!$A$2:$A$127, 0))*INDEX(Unit_Grades!$B$2:$B$7, MATCH(F605, Unit_Grades!$A$2:$A$7, 0))*INDEX(Unit_Paths!$D$2:$D$4, MATCH(E605, Unit_Paths!$A$2:$A$4, 0)),0)</f>
        <v>274</v>
      </c>
      <c r="K605" s="6" t="n">
        <f aca="false">ROUND(INDEX(Archetypes!$H$2:$H$127, MATCH(D605, Archetypes!$A$2:$A$127, 0))*INDEX(Unit_Paths!$E$2:$E$4, MATCH(E605, Unit_Paths!$A$2:$A$4, 0)),1)</f>
        <v>15.8</v>
      </c>
      <c r="L605" s="6" t="n">
        <f aca="false">ROUND(INDEX(Archetypes!$I$2:$I$127, MATCH(D605, Archetypes!$A$2:$A$127, 0))*INDEX(Unit_Grades!$C$2:$C$7, MATCH(F605, Unit_Grades!$A$2:$A$7, 0)),1)</f>
        <v>10.5</v>
      </c>
      <c r="M605" s="6" t="n">
        <f aca="false">ROUND(INDEX(Archetypes!$J$2:$J$127, MATCH(D605, Archetypes!$A$2:$A$127, 0))*INDEX(Unit_Grades!$D$2:$D$7, MATCH(F605, Unit_Grades!$A$2:$A$7, 0)),1)</f>
        <v>8.1</v>
      </c>
      <c r="N605" s="6" t="n">
        <f aca="false">ROUND(M605/24,2)</f>
        <v>0.34</v>
      </c>
    </row>
    <row r="606" customFormat="false" ht="15" hidden="false" customHeight="true" outlineLevel="0" collapsed="false">
      <c r="A606" s="6" t="n">
        <v>2</v>
      </c>
      <c r="B606" s="6" t="s">
        <v>2140</v>
      </c>
      <c r="C606" s="6" t="s">
        <v>1329</v>
      </c>
      <c r="D606" s="6" t="str">
        <f aca="false">A606&amp;"|"&amp;C606</f>
        <v>2|Man-at-Arms</v>
      </c>
      <c r="E606" s="6" t="s">
        <v>1558</v>
      </c>
      <c r="F606" s="6" t="s">
        <v>1546</v>
      </c>
      <c r="G606" s="6" t="str">
        <f aca="false">INDEX(Archetypes!$D$2:$D$127, MATCH(D606, Archetypes!$A$2:$A$127, 0))</f>
        <v>Line Infantry</v>
      </c>
      <c r="H606" s="6" t="n">
        <f aca="false">ROUND(INDEX(Archetypes!$E$2:$E$127, MATCH(D606, Archetypes!$A$2:$A$127, 0))*INDEX(Unit_Grades!$B$2:$B$7, MATCH(F606, Unit_Grades!$A$2:$A$7, 0))*INDEX(Unit_Paths!$B$2:$B$4, MATCH(E606, Unit_Paths!$A$2:$A$4, 0)),1)</f>
        <v>115.2</v>
      </c>
      <c r="I606" s="6" t="n">
        <f aca="false">ROUND(INDEX(Archetypes!$F$2:$F$127, MATCH(D606, Archetypes!$A$2:$A$127, 0))*INDEX(Unit_Grades!$B$2:$B$7, MATCH(F606, Unit_Grades!$A$2:$A$7, 0))*INDEX(Unit_Paths!$C$2:$C$4, MATCH(E606, Unit_Paths!$A$2:$A$4, 0)),1)</f>
        <v>76.2</v>
      </c>
      <c r="J606" s="6" t="n">
        <f aca="false">ROUND(INDEX(Archetypes!$G$2:$G$127, MATCH(D606, Archetypes!$A$2:$A$127, 0))*INDEX(Unit_Grades!$B$2:$B$7, MATCH(F606, Unit_Grades!$A$2:$A$7, 0))*INDEX(Unit_Paths!$D$2:$D$4, MATCH(E606, Unit_Paths!$A$2:$A$4, 0)),0)</f>
        <v>365</v>
      </c>
      <c r="K606" s="6" t="n">
        <f aca="false">ROUND(INDEX(Archetypes!$H$2:$H$127, MATCH(D606, Archetypes!$A$2:$A$127, 0))*INDEX(Unit_Paths!$E$2:$E$4, MATCH(E606, Unit_Paths!$A$2:$A$4, 0)),1)</f>
        <v>15.8</v>
      </c>
      <c r="L606" s="6" t="n">
        <f aca="false">ROUND(INDEX(Archetypes!$I$2:$I$127, MATCH(D606, Archetypes!$A$2:$A$127, 0))*INDEX(Unit_Grades!$C$2:$C$7, MATCH(F606, Unit_Grades!$A$2:$A$7, 0)),1)</f>
        <v>14</v>
      </c>
      <c r="M606" s="6" t="n">
        <f aca="false">ROUND(INDEX(Archetypes!$J$2:$J$127, MATCH(D606, Archetypes!$A$2:$A$127, 0))*INDEX(Unit_Grades!$D$2:$D$7, MATCH(F606, Unit_Grades!$A$2:$A$7, 0)),1)</f>
        <v>14.2</v>
      </c>
      <c r="N606" s="6" t="n">
        <f aca="false">ROUND(M606/24,2)</f>
        <v>0.59</v>
      </c>
    </row>
    <row r="607" customFormat="false" ht="15" hidden="false" customHeight="true" outlineLevel="0" collapsed="false">
      <c r="A607" s="6" t="n">
        <v>2</v>
      </c>
      <c r="B607" s="6" t="s">
        <v>2141</v>
      </c>
      <c r="C607" s="6" t="s">
        <v>1329</v>
      </c>
      <c r="D607" s="6" t="str">
        <f aca="false">A607&amp;"|"&amp;C607</f>
        <v>2|Man-at-Arms</v>
      </c>
      <c r="E607" s="6" t="s">
        <v>1558</v>
      </c>
      <c r="F607" s="6" t="s">
        <v>1548</v>
      </c>
      <c r="G607" s="6" t="str">
        <f aca="false">INDEX(Archetypes!$D$2:$D$127, MATCH(D607, Archetypes!$A$2:$A$127, 0))</f>
        <v>Line Infantry</v>
      </c>
      <c r="H607" s="6" t="n">
        <f aca="false">ROUND(INDEX(Archetypes!$E$2:$E$127, MATCH(D607, Archetypes!$A$2:$A$127, 0))*INDEX(Unit_Grades!$B$2:$B$7, MATCH(F607, Unit_Grades!$A$2:$A$7, 0))*INDEX(Unit_Paths!$B$2:$B$4, MATCH(E607, Unit_Paths!$A$2:$A$4, 0)),1)</f>
        <v>151.2</v>
      </c>
      <c r="I607" s="6" t="n">
        <f aca="false">ROUND(INDEX(Archetypes!$F$2:$F$127, MATCH(D607, Archetypes!$A$2:$A$127, 0))*INDEX(Unit_Grades!$B$2:$B$7, MATCH(F607, Unit_Grades!$A$2:$A$7, 0))*INDEX(Unit_Paths!$C$2:$C$4, MATCH(E607, Unit_Paths!$A$2:$A$4, 0)),1)</f>
        <v>100</v>
      </c>
      <c r="J607" s="6" t="n">
        <f aca="false">ROUND(INDEX(Archetypes!$G$2:$G$127, MATCH(D607, Archetypes!$A$2:$A$127, 0))*INDEX(Unit_Grades!$B$2:$B$7, MATCH(F607, Unit_Grades!$A$2:$A$7, 0))*INDEX(Unit_Paths!$D$2:$D$4, MATCH(E607, Unit_Paths!$A$2:$A$4, 0)),0)</f>
        <v>479</v>
      </c>
      <c r="K607" s="6" t="n">
        <f aca="false">ROUND(INDEX(Archetypes!$H$2:$H$127, MATCH(D607, Archetypes!$A$2:$A$127, 0))*INDEX(Unit_Paths!$E$2:$E$4, MATCH(E607, Unit_Paths!$A$2:$A$4, 0)),1)</f>
        <v>15.8</v>
      </c>
      <c r="L607" s="6" t="n">
        <f aca="false">ROUND(INDEX(Archetypes!$I$2:$I$127, MATCH(D607, Archetypes!$A$2:$A$127, 0))*INDEX(Unit_Grades!$C$2:$C$7, MATCH(F607, Unit_Grades!$A$2:$A$7, 0)),1)</f>
        <v>18.5</v>
      </c>
      <c r="M607" s="6" t="n">
        <f aca="false">ROUND(INDEX(Archetypes!$J$2:$J$127, MATCH(D607, Archetypes!$A$2:$A$127, 0))*INDEX(Unit_Grades!$D$2:$D$7, MATCH(F607, Unit_Grades!$A$2:$A$7, 0)),1)</f>
        <v>24.4</v>
      </c>
      <c r="N607" s="6" t="n">
        <f aca="false">ROUND(M607/24,2)</f>
        <v>1.02</v>
      </c>
    </row>
    <row r="608" customFormat="false" ht="15" hidden="false" customHeight="true" outlineLevel="0" collapsed="false">
      <c r="A608" s="6" t="n">
        <v>2</v>
      </c>
      <c r="B608" s="6" t="s">
        <v>2142</v>
      </c>
      <c r="C608" s="6" t="s">
        <v>1329</v>
      </c>
      <c r="D608" s="6" t="str">
        <f aca="false">A608&amp;"|"&amp;C608</f>
        <v>2|Man-at-Arms</v>
      </c>
      <c r="E608" s="6" t="s">
        <v>1560</v>
      </c>
      <c r="F608" s="6" t="s">
        <v>1538</v>
      </c>
      <c r="G608" s="6" t="str">
        <f aca="false">INDEX(Archetypes!$D$2:$D$127, MATCH(D608, Archetypes!$A$2:$A$127, 0))</f>
        <v>Line Infantry</v>
      </c>
      <c r="H608" s="6" t="n">
        <f aca="false">ROUND(INDEX(Archetypes!$E$2:$E$127, MATCH(D608, Archetypes!$A$2:$A$127, 0))*INDEX(Unit_Grades!$B$2:$B$7, MATCH(F608, Unit_Grades!$A$2:$A$7, 0))*INDEX(Unit_Paths!$B$2:$B$4, MATCH(E608, Unit_Paths!$A$2:$A$4, 0)),1)</f>
        <v>25.5</v>
      </c>
      <c r="I608" s="6" t="n">
        <f aca="false">ROUND(INDEX(Archetypes!$F$2:$F$127, MATCH(D608, Archetypes!$A$2:$A$127, 0))*INDEX(Unit_Grades!$B$2:$B$7, MATCH(F608, Unit_Grades!$A$2:$A$7, 0))*INDEX(Unit_Paths!$C$2:$C$4, MATCH(E608, Unit_Paths!$A$2:$A$4, 0)),1)</f>
        <v>35</v>
      </c>
      <c r="J608" s="6" t="n">
        <f aca="false">ROUND(INDEX(Archetypes!$G$2:$G$127, MATCH(D608, Archetypes!$A$2:$A$127, 0))*INDEX(Unit_Grades!$B$2:$B$7, MATCH(F608, Unit_Grades!$A$2:$A$7, 0))*INDEX(Unit_Paths!$D$2:$D$4, MATCH(E608, Unit_Paths!$A$2:$A$4, 0)),0)</f>
        <v>138</v>
      </c>
      <c r="K608" s="6" t="n">
        <f aca="false">ROUND(INDEX(Archetypes!$H$2:$H$127, MATCH(D608, Archetypes!$A$2:$A$127, 0))*INDEX(Unit_Paths!$E$2:$E$4, MATCH(E608, Unit_Paths!$A$2:$A$4, 0)),1)</f>
        <v>13.8</v>
      </c>
      <c r="L608" s="6" t="n">
        <f aca="false">ROUND(INDEX(Archetypes!$I$2:$I$127, MATCH(D608, Archetypes!$A$2:$A$127, 0))*INDEX(Unit_Grades!$C$2:$C$7, MATCH(F608, Unit_Grades!$A$2:$A$7, 0)),1)</f>
        <v>5</v>
      </c>
      <c r="M608" s="6" t="n">
        <f aca="false">ROUND(INDEX(Archetypes!$J$2:$J$127, MATCH(D608, Archetypes!$A$2:$A$127, 0))*INDEX(Unit_Grades!$D$2:$D$7, MATCH(F608, Unit_Grades!$A$2:$A$7, 0)),1)</f>
        <v>2</v>
      </c>
      <c r="N608" s="6" t="n">
        <f aca="false">ROUND(M608/24,2)</f>
        <v>0.08</v>
      </c>
    </row>
    <row r="609" customFormat="false" ht="15" hidden="false" customHeight="true" outlineLevel="0" collapsed="false">
      <c r="A609" s="6" t="n">
        <v>2</v>
      </c>
      <c r="B609" s="6" t="s">
        <v>2143</v>
      </c>
      <c r="C609" s="6" t="s">
        <v>1329</v>
      </c>
      <c r="D609" s="6" t="str">
        <f aca="false">A609&amp;"|"&amp;C609</f>
        <v>2|Man-at-Arms</v>
      </c>
      <c r="E609" s="6" t="s">
        <v>1560</v>
      </c>
      <c r="F609" s="6" t="s">
        <v>1540</v>
      </c>
      <c r="G609" s="6" t="str">
        <f aca="false">INDEX(Archetypes!$D$2:$D$127, MATCH(D609, Archetypes!$A$2:$A$127, 0))</f>
        <v>Line Infantry</v>
      </c>
      <c r="H609" s="6" t="n">
        <f aca="false">ROUND(INDEX(Archetypes!$E$2:$E$127, MATCH(D609, Archetypes!$A$2:$A$127, 0))*INDEX(Unit_Grades!$B$2:$B$7, MATCH(F609, Unit_Grades!$A$2:$A$7, 0))*INDEX(Unit_Paths!$B$2:$B$4, MATCH(E609, Unit_Paths!$A$2:$A$4, 0)),1)</f>
        <v>34.4</v>
      </c>
      <c r="I609" s="6" t="n">
        <f aca="false">ROUND(INDEX(Archetypes!$F$2:$F$127, MATCH(D609, Archetypes!$A$2:$A$127, 0))*INDEX(Unit_Grades!$B$2:$B$7, MATCH(F609, Unit_Grades!$A$2:$A$7, 0))*INDEX(Unit_Paths!$C$2:$C$4, MATCH(E609, Unit_Paths!$A$2:$A$4, 0)),1)</f>
        <v>47.3</v>
      </c>
      <c r="J609" s="6" t="n">
        <f aca="false">ROUND(INDEX(Archetypes!$G$2:$G$127, MATCH(D609, Archetypes!$A$2:$A$127, 0))*INDEX(Unit_Grades!$B$2:$B$7, MATCH(F609, Unit_Grades!$A$2:$A$7, 0))*INDEX(Unit_Paths!$D$2:$D$4, MATCH(E609, Unit_Paths!$A$2:$A$4, 0)),0)</f>
        <v>186</v>
      </c>
      <c r="K609" s="6" t="n">
        <f aca="false">ROUND(INDEX(Archetypes!$H$2:$H$127, MATCH(D609, Archetypes!$A$2:$A$127, 0))*INDEX(Unit_Paths!$E$2:$E$4, MATCH(E609, Unit_Paths!$A$2:$A$4, 0)),1)</f>
        <v>13.8</v>
      </c>
      <c r="L609" s="6" t="n">
        <f aca="false">ROUND(INDEX(Archetypes!$I$2:$I$127, MATCH(D609, Archetypes!$A$2:$A$127, 0))*INDEX(Unit_Grades!$C$2:$C$7, MATCH(F609, Unit_Grades!$A$2:$A$7, 0)),1)</f>
        <v>6.3</v>
      </c>
      <c r="M609" s="6" t="n">
        <f aca="false">ROUND(INDEX(Archetypes!$J$2:$J$127, MATCH(D609, Archetypes!$A$2:$A$127, 0))*INDEX(Unit_Grades!$D$2:$D$7, MATCH(F609, Unit_Grades!$A$2:$A$7, 0)),1)</f>
        <v>3</v>
      </c>
      <c r="N609" s="6" t="n">
        <f aca="false">ROUND(M609/24,2)</f>
        <v>0.13</v>
      </c>
    </row>
    <row r="610" customFormat="false" ht="15" hidden="false" customHeight="true" outlineLevel="0" collapsed="false">
      <c r="A610" s="6" t="n">
        <v>2</v>
      </c>
      <c r="B610" s="6" t="s">
        <v>2144</v>
      </c>
      <c r="C610" s="6" t="s">
        <v>1329</v>
      </c>
      <c r="D610" s="6" t="str">
        <f aca="false">A610&amp;"|"&amp;C610</f>
        <v>2|Man-at-Arms</v>
      </c>
      <c r="E610" s="6" t="s">
        <v>1560</v>
      </c>
      <c r="F610" s="6" t="s">
        <v>1542</v>
      </c>
      <c r="G610" s="6" t="str">
        <f aca="false">INDEX(Archetypes!$D$2:$D$127, MATCH(D610, Archetypes!$A$2:$A$127, 0))</f>
        <v>Line Infantry</v>
      </c>
      <c r="H610" s="6" t="n">
        <f aca="false">ROUND(INDEX(Archetypes!$E$2:$E$127, MATCH(D610, Archetypes!$A$2:$A$127, 0))*INDEX(Unit_Grades!$B$2:$B$7, MATCH(F610, Unit_Grades!$A$2:$A$7, 0))*INDEX(Unit_Paths!$B$2:$B$4, MATCH(E610, Unit_Paths!$A$2:$A$4, 0)),1)</f>
        <v>45.9</v>
      </c>
      <c r="I610" s="6" t="n">
        <f aca="false">ROUND(INDEX(Archetypes!$F$2:$F$127, MATCH(D610, Archetypes!$A$2:$A$127, 0))*INDEX(Unit_Grades!$B$2:$B$7, MATCH(F610, Unit_Grades!$A$2:$A$7, 0))*INDEX(Unit_Paths!$C$2:$C$4, MATCH(E610, Unit_Paths!$A$2:$A$4, 0)),1)</f>
        <v>63</v>
      </c>
      <c r="J610" s="6" t="n">
        <f aca="false">ROUND(INDEX(Archetypes!$G$2:$G$127, MATCH(D610, Archetypes!$A$2:$A$127, 0))*INDEX(Unit_Grades!$B$2:$B$7, MATCH(F610, Unit_Grades!$A$2:$A$7, 0))*INDEX(Unit_Paths!$D$2:$D$4, MATCH(E610, Unit_Paths!$A$2:$A$4, 0)),0)</f>
        <v>248</v>
      </c>
      <c r="K610" s="6" t="n">
        <f aca="false">ROUND(INDEX(Archetypes!$H$2:$H$127, MATCH(D610, Archetypes!$A$2:$A$127, 0))*INDEX(Unit_Paths!$E$2:$E$4, MATCH(E610, Unit_Paths!$A$2:$A$4, 0)),1)</f>
        <v>13.8</v>
      </c>
      <c r="L610" s="6" t="n">
        <f aca="false">ROUND(INDEX(Archetypes!$I$2:$I$127, MATCH(D610, Archetypes!$A$2:$A$127, 0))*INDEX(Unit_Grades!$C$2:$C$7, MATCH(F610, Unit_Grades!$A$2:$A$7, 0)),1)</f>
        <v>8</v>
      </c>
      <c r="M610" s="6" t="n">
        <f aca="false">ROUND(INDEX(Archetypes!$J$2:$J$127, MATCH(D610, Archetypes!$A$2:$A$127, 0))*INDEX(Unit_Grades!$D$2:$D$7, MATCH(F610, Unit_Grades!$A$2:$A$7, 0)),1)</f>
        <v>5.1</v>
      </c>
      <c r="N610" s="6" t="n">
        <f aca="false">ROUND(M610/24,2)</f>
        <v>0.21</v>
      </c>
    </row>
    <row r="611" customFormat="false" ht="15" hidden="false" customHeight="true" outlineLevel="0" collapsed="false">
      <c r="A611" s="6" t="n">
        <v>2</v>
      </c>
      <c r="B611" s="6" t="s">
        <v>2145</v>
      </c>
      <c r="C611" s="6" t="s">
        <v>1329</v>
      </c>
      <c r="D611" s="6" t="str">
        <f aca="false">A611&amp;"|"&amp;C611</f>
        <v>2|Man-at-Arms</v>
      </c>
      <c r="E611" s="6" t="s">
        <v>1560</v>
      </c>
      <c r="F611" s="6" t="s">
        <v>1544</v>
      </c>
      <c r="G611" s="6" t="str">
        <f aca="false">INDEX(Archetypes!$D$2:$D$127, MATCH(D611, Archetypes!$A$2:$A$127, 0))</f>
        <v>Line Infantry</v>
      </c>
      <c r="H611" s="6" t="n">
        <f aca="false">ROUND(INDEX(Archetypes!$E$2:$E$127, MATCH(D611, Archetypes!$A$2:$A$127, 0))*INDEX(Unit_Grades!$B$2:$B$7, MATCH(F611, Unit_Grades!$A$2:$A$7, 0))*INDEX(Unit_Paths!$B$2:$B$4, MATCH(E611, Unit_Paths!$A$2:$A$4, 0)),1)</f>
        <v>61.2</v>
      </c>
      <c r="I611" s="6" t="n">
        <f aca="false">ROUND(INDEX(Archetypes!$F$2:$F$127, MATCH(D611, Archetypes!$A$2:$A$127, 0))*INDEX(Unit_Grades!$B$2:$B$7, MATCH(F611, Unit_Grades!$A$2:$A$7, 0))*INDEX(Unit_Paths!$C$2:$C$4, MATCH(E611, Unit_Paths!$A$2:$A$4, 0)),1)</f>
        <v>84</v>
      </c>
      <c r="J611" s="6" t="n">
        <f aca="false">ROUND(INDEX(Archetypes!$G$2:$G$127, MATCH(D611, Archetypes!$A$2:$A$127, 0))*INDEX(Unit_Grades!$B$2:$B$7, MATCH(F611, Unit_Grades!$A$2:$A$7, 0))*INDEX(Unit_Paths!$D$2:$D$4, MATCH(E611, Unit_Paths!$A$2:$A$4, 0)),0)</f>
        <v>331</v>
      </c>
      <c r="K611" s="6" t="n">
        <f aca="false">ROUND(INDEX(Archetypes!$H$2:$H$127, MATCH(D611, Archetypes!$A$2:$A$127, 0))*INDEX(Unit_Paths!$E$2:$E$4, MATCH(E611, Unit_Paths!$A$2:$A$4, 0)),1)</f>
        <v>13.8</v>
      </c>
      <c r="L611" s="6" t="n">
        <f aca="false">ROUND(INDEX(Archetypes!$I$2:$I$127, MATCH(D611, Archetypes!$A$2:$A$127, 0))*INDEX(Unit_Grades!$C$2:$C$7, MATCH(F611, Unit_Grades!$A$2:$A$7, 0)),1)</f>
        <v>10.5</v>
      </c>
      <c r="M611" s="6" t="n">
        <f aca="false">ROUND(INDEX(Archetypes!$J$2:$J$127, MATCH(D611, Archetypes!$A$2:$A$127, 0))*INDEX(Unit_Grades!$D$2:$D$7, MATCH(F611, Unit_Grades!$A$2:$A$7, 0)),1)</f>
        <v>8.1</v>
      </c>
      <c r="N611" s="6" t="n">
        <f aca="false">ROUND(M611/24,2)</f>
        <v>0.34</v>
      </c>
    </row>
    <row r="612" customFormat="false" ht="15" hidden="false" customHeight="true" outlineLevel="0" collapsed="false">
      <c r="A612" s="6" t="n">
        <v>2</v>
      </c>
      <c r="B612" s="6" t="s">
        <v>2146</v>
      </c>
      <c r="C612" s="6" t="s">
        <v>1329</v>
      </c>
      <c r="D612" s="6" t="str">
        <f aca="false">A612&amp;"|"&amp;C612</f>
        <v>2|Man-at-Arms</v>
      </c>
      <c r="E612" s="6" t="s">
        <v>1560</v>
      </c>
      <c r="F612" s="6" t="s">
        <v>1546</v>
      </c>
      <c r="G612" s="6" t="str">
        <f aca="false">INDEX(Archetypes!$D$2:$D$127, MATCH(D612, Archetypes!$A$2:$A$127, 0))</f>
        <v>Line Infantry</v>
      </c>
      <c r="H612" s="6" t="n">
        <f aca="false">ROUND(INDEX(Archetypes!$E$2:$E$127, MATCH(D612, Archetypes!$A$2:$A$127, 0))*INDEX(Unit_Grades!$B$2:$B$7, MATCH(F612, Unit_Grades!$A$2:$A$7, 0))*INDEX(Unit_Paths!$B$2:$B$4, MATCH(E612, Unit_Paths!$A$2:$A$4, 0)),1)</f>
        <v>81.6</v>
      </c>
      <c r="I612" s="6" t="n">
        <f aca="false">ROUND(INDEX(Archetypes!$F$2:$F$127, MATCH(D612, Archetypes!$A$2:$A$127, 0))*INDEX(Unit_Grades!$B$2:$B$7, MATCH(F612, Unit_Grades!$A$2:$A$7, 0))*INDEX(Unit_Paths!$C$2:$C$4, MATCH(E612, Unit_Paths!$A$2:$A$4, 0)),1)</f>
        <v>112</v>
      </c>
      <c r="J612" s="6" t="n">
        <f aca="false">ROUND(INDEX(Archetypes!$G$2:$G$127, MATCH(D612, Archetypes!$A$2:$A$127, 0))*INDEX(Unit_Grades!$B$2:$B$7, MATCH(F612, Unit_Grades!$A$2:$A$7, 0))*INDEX(Unit_Paths!$D$2:$D$4, MATCH(E612, Unit_Paths!$A$2:$A$4, 0)),0)</f>
        <v>442</v>
      </c>
      <c r="K612" s="6" t="n">
        <f aca="false">ROUND(INDEX(Archetypes!$H$2:$H$127, MATCH(D612, Archetypes!$A$2:$A$127, 0))*INDEX(Unit_Paths!$E$2:$E$4, MATCH(E612, Unit_Paths!$A$2:$A$4, 0)),1)</f>
        <v>13.8</v>
      </c>
      <c r="L612" s="6" t="n">
        <f aca="false">ROUND(INDEX(Archetypes!$I$2:$I$127, MATCH(D612, Archetypes!$A$2:$A$127, 0))*INDEX(Unit_Grades!$C$2:$C$7, MATCH(F612, Unit_Grades!$A$2:$A$7, 0)),1)</f>
        <v>14</v>
      </c>
      <c r="M612" s="6" t="n">
        <f aca="false">ROUND(INDEX(Archetypes!$J$2:$J$127, MATCH(D612, Archetypes!$A$2:$A$127, 0))*INDEX(Unit_Grades!$D$2:$D$7, MATCH(F612, Unit_Grades!$A$2:$A$7, 0)),1)</f>
        <v>14.2</v>
      </c>
      <c r="N612" s="6" t="n">
        <f aca="false">ROUND(M612/24,2)</f>
        <v>0.59</v>
      </c>
    </row>
    <row r="613" customFormat="false" ht="15" hidden="false" customHeight="true" outlineLevel="0" collapsed="false">
      <c r="A613" s="6" t="n">
        <v>2</v>
      </c>
      <c r="B613" s="6" t="s">
        <v>2147</v>
      </c>
      <c r="C613" s="6" t="s">
        <v>1329</v>
      </c>
      <c r="D613" s="6" t="str">
        <f aca="false">A613&amp;"|"&amp;C613</f>
        <v>2|Man-at-Arms</v>
      </c>
      <c r="E613" s="6" t="s">
        <v>1560</v>
      </c>
      <c r="F613" s="6" t="s">
        <v>1548</v>
      </c>
      <c r="G613" s="6" t="str">
        <f aca="false">INDEX(Archetypes!$D$2:$D$127, MATCH(D613, Archetypes!$A$2:$A$127, 0))</f>
        <v>Line Infantry</v>
      </c>
      <c r="H613" s="6" t="n">
        <f aca="false">ROUND(INDEX(Archetypes!$E$2:$E$127, MATCH(D613, Archetypes!$A$2:$A$127, 0))*INDEX(Unit_Grades!$B$2:$B$7, MATCH(F613, Unit_Grades!$A$2:$A$7, 0))*INDEX(Unit_Paths!$B$2:$B$4, MATCH(E613, Unit_Paths!$A$2:$A$4, 0)),1)</f>
        <v>107.1</v>
      </c>
      <c r="I613" s="6" t="n">
        <f aca="false">ROUND(INDEX(Archetypes!$F$2:$F$127, MATCH(D613, Archetypes!$A$2:$A$127, 0))*INDEX(Unit_Grades!$B$2:$B$7, MATCH(F613, Unit_Grades!$A$2:$A$7, 0))*INDEX(Unit_Paths!$C$2:$C$4, MATCH(E613, Unit_Paths!$A$2:$A$4, 0)),1)</f>
        <v>147</v>
      </c>
      <c r="J613" s="6" t="n">
        <f aca="false">ROUND(INDEX(Archetypes!$G$2:$G$127, MATCH(D613, Archetypes!$A$2:$A$127, 0))*INDEX(Unit_Grades!$B$2:$B$7, MATCH(F613, Unit_Grades!$A$2:$A$7, 0))*INDEX(Unit_Paths!$D$2:$D$4, MATCH(E613, Unit_Paths!$A$2:$A$4, 0)),0)</f>
        <v>580</v>
      </c>
      <c r="K613" s="6" t="n">
        <f aca="false">ROUND(INDEX(Archetypes!$H$2:$H$127, MATCH(D613, Archetypes!$A$2:$A$127, 0))*INDEX(Unit_Paths!$E$2:$E$4, MATCH(E613, Unit_Paths!$A$2:$A$4, 0)),1)</f>
        <v>13.8</v>
      </c>
      <c r="L613" s="6" t="n">
        <f aca="false">ROUND(INDEX(Archetypes!$I$2:$I$127, MATCH(D613, Archetypes!$A$2:$A$127, 0))*INDEX(Unit_Grades!$C$2:$C$7, MATCH(F613, Unit_Grades!$A$2:$A$7, 0)),1)</f>
        <v>18.5</v>
      </c>
      <c r="M613" s="6" t="n">
        <f aca="false">ROUND(INDEX(Archetypes!$J$2:$J$127, MATCH(D613, Archetypes!$A$2:$A$127, 0))*INDEX(Unit_Grades!$D$2:$D$7, MATCH(F613, Unit_Grades!$A$2:$A$7, 0)),1)</f>
        <v>24.4</v>
      </c>
      <c r="N613" s="6" t="n">
        <f aca="false">ROUND(M613/24,2)</f>
        <v>1.02</v>
      </c>
    </row>
    <row r="614" customFormat="false" ht="15" hidden="false" customHeight="true" outlineLevel="0" collapsed="false">
      <c r="A614" s="6" t="n">
        <v>2</v>
      </c>
      <c r="B614" s="6" t="s">
        <v>1331</v>
      </c>
      <c r="C614" s="6" t="s">
        <v>1331</v>
      </c>
      <c r="D614" s="6" t="str">
        <f aca="false">A614&amp;"|"&amp;C614</f>
        <v>2|Sect Disciple</v>
      </c>
      <c r="E614" s="6" t="s">
        <v>1556</v>
      </c>
      <c r="F614" s="6" t="s">
        <v>1538</v>
      </c>
      <c r="G614" s="6" t="str">
        <f aca="false">INDEX(Archetypes!$D$2:$D$127, MATCH(D614, Archetypes!$A$2:$A$127, 0))</f>
        <v>Cultivator</v>
      </c>
      <c r="H614" s="6" t="n">
        <f aca="false">ROUND(INDEX(Archetypes!$E$2:$E$127, MATCH(D614, Archetypes!$A$2:$A$127, 0))*INDEX(Unit_Grades!$B$2:$B$7, MATCH(F614, Unit_Grades!$A$2:$A$7, 0))*INDEX(Unit_Paths!$B$2:$B$4, MATCH(E614, Unit_Paths!$A$2:$A$4, 0)),1)</f>
        <v>38</v>
      </c>
      <c r="I614" s="6" t="n">
        <f aca="false">ROUND(INDEX(Archetypes!$F$2:$F$127, MATCH(D614, Archetypes!$A$2:$A$127, 0))*INDEX(Unit_Grades!$B$2:$B$7, MATCH(F614, Unit_Grades!$A$2:$A$7, 0))*INDEX(Unit_Paths!$C$2:$C$4, MATCH(E614, Unit_Paths!$A$2:$A$4, 0)),1)</f>
        <v>26</v>
      </c>
      <c r="J614" s="6" t="n">
        <f aca="false">ROUND(INDEX(Archetypes!$G$2:$G$127, MATCH(D614, Archetypes!$A$2:$A$127, 0))*INDEX(Unit_Grades!$B$2:$B$7, MATCH(F614, Unit_Grades!$A$2:$A$7, 0))*INDEX(Unit_Paths!$D$2:$D$4, MATCH(E614, Unit_Paths!$A$2:$A$4, 0)),0)</f>
        <v>120</v>
      </c>
      <c r="K614" s="6" t="n">
        <f aca="false">ROUND(INDEX(Archetypes!$H$2:$H$127, MATCH(D614, Archetypes!$A$2:$A$127, 0))*INDEX(Unit_Paths!$E$2:$E$4, MATCH(E614, Unit_Paths!$A$2:$A$4, 0)),1)</f>
        <v>20</v>
      </c>
      <c r="L614" s="6" t="n">
        <f aca="false">ROUND(INDEX(Archetypes!$I$2:$I$127, MATCH(D614, Archetypes!$A$2:$A$127, 0))*INDEX(Unit_Grades!$C$2:$C$7, MATCH(F614, Unit_Grades!$A$2:$A$7, 0)),1)</f>
        <v>8</v>
      </c>
      <c r="M614" s="6" t="n">
        <f aca="false">ROUND(INDEX(Archetypes!$J$2:$J$127, MATCH(D614, Archetypes!$A$2:$A$127, 0))*INDEX(Unit_Grades!$D$2:$D$7, MATCH(F614, Unit_Grades!$A$2:$A$7, 0)),1)</f>
        <v>3.3</v>
      </c>
      <c r="N614" s="6" t="n">
        <f aca="false">ROUND(M614/24,2)</f>
        <v>0.14</v>
      </c>
    </row>
    <row r="615" customFormat="false" ht="15" hidden="false" customHeight="true" outlineLevel="0" collapsed="false">
      <c r="A615" s="6" t="n">
        <v>2</v>
      </c>
      <c r="B615" s="6" t="s">
        <v>2148</v>
      </c>
      <c r="C615" s="6" t="s">
        <v>1331</v>
      </c>
      <c r="D615" s="6" t="str">
        <f aca="false">A615&amp;"|"&amp;C615</f>
        <v>2|Sect Disciple</v>
      </c>
      <c r="E615" s="6" t="s">
        <v>1556</v>
      </c>
      <c r="F615" s="6" t="s">
        <v>1540</v>
      </c>
      <c r="G615" s="6" t="str">
        <f aca="false">INDEX(Archetypes!$D$2:$D$127, MATCH(D615, Archetypes!$A$2:$A$127, 0))</f>
        <v>Cultivator</v>
      </c>
      <c r="H615" s="6" t="n">
        <f aca="false">ROUND(INDEX(Archetypes!$E$2:$E$127, MATCH(D615, Archetypes!$A$2:$A$127, 0))*INDEX(Unit_Grades!$B$2:$B$7, MATCH(F615, Unit_Grades!$A$2:$A$7, 0))*INDEX(Unit_Paths!$B$2:$B$4, MATCH(E615, Unit_Paths!$A$2:$A$4, 0)),1)</f>
        <v>51.3</v>
      </c>
      <c r="I615" s="6" t="n">
        <f aca="false">ROUND(INDEX(Archetypes!$F$2:$F$127, MATCH(D615, Archetypes!$A$2:$A$127, 0))*INDEX(Unit_Grades!$B$2:$B$7, MATCH(F615, Unit_Grades!$A$2:$A$7, 0))*INDEX(Unit_Paths!$C$2:$C$4, MATCH(E615, Unit_Paths!$A$2:$A$4, 0)),1)</f>
        <v>35.1</v>
      </c>
      <c r="J615" s="6" t="n">
        <f aca="false">ROUND(INDEX(Archetypes!$G$2:$G$127, MATCH(D615, Archetypes!$A$2:$A$127, 0))*INDEX(Unit_Grades!$B$2:$B$7, MATCH(F615, Unit_Grades!$A$2:$A$7, 0))*INDEX(Unit_Paths!$D$2:$D$4, MATCH(E615, Unit_Paths!$A$2:$A$4, 0)),0)</f>
        <v>162</v>
      </c>
      <c r="K615" s="6" t="n">
        <f aca="false">ROUND(INDEX(Archetypes!$H$2:$H$127, MATCH(D615, Archetypes!$A$2:$A$127, 0))*INDEX(Unit_Paths!$E$2:$E$4, MATCH(E615, Unit_Paths!$A$2:$A$4, 0)),1)</f>
        <v>20</v>
      </c>
      <c r="L615" s="6" t="n">
        <f aca="false">ROUND(INDEX(Archetypes!$I$2:$I$127, MATCH(D615, Archetypes!$A$2:$A$127, 0))*INDEX(Unit_Grades!$C$2:$C$7, MATCH(F615, Unit_Grades!$A$2:$A$7, 0)),1)</f>
        <v>10</v>
      </c>
      <c r="M615" s="6" t="n">
        <f aca="false">ROUND(INDEX(Archetypes!$J$2:$J$127, MATCH(D615, Archetypes!$A$2:$A$127, 0))*INDEX(Unit_Grades!$D$2:$D$7, MATCH(F615, Unit_Grades!$A$2:$A$7, 0)),1)</f>
        <v>4.9</v>
      </c>
      <c r="N615" s="6" t="n">
        <f aca="false">ROUND(M615/24,2)</f>
        <v>0.2</v>
      </c>
    </row>
    <row r="616" customFormat="false" ht="15" hidden="false" customHeight="true" outlineLevel="0" collapsed="false">
      <c r="A616" s="6" t="n">
        <v>2</v>
      </c>
      <c r="B616" s="6" t="s">
        <v>2149</v>
      </c>
      <c r="C616" s="6" t="s">
        <v>1331</v>
      </c>
      <c r="D616" s="6" t="str">
        <f aca="false">A616&amp;"|"&amp;C616</f>
        <v>2|Sect Disciple</v>
      </c>
      <c r="E616" s="6" t="s">
        <v>1556</v>
      </c>
      <c r="F616" s="6" t="s">
        <v>1542</v>
      </c>
      <c r="G616" s="6" t="str">
        <f aca="false">INDEX(Archetypes!$D$2:$D$127, MATCH(D616, Archetypes!$A$2:$A$127, 0))</f>
        <v>Cultivator</v>
      </c>
      <c r="H616" s="6" t="n">
        <f aca="false">ROUND(INDEX(Archetypes!$E$2:$E$127, MATCH(D616, Archetypes!$A$2:$A$127, 0))*INDEX(Unit_Grades!$B$2:$B$7, MATCH(F616, Unit_Grades!$A$2:$A$7, 0))*INDEX(Unit_Paths!$B$2:$B$4, MATCH(E616, Unit_Paths!$A$2:$A$4, 0)),1)</f>
        <v>68.4</v>
      </c>
      <c r="I616" s="6" t="n">
        <f aca="false">ROUND(INDEX(Archetypes!$F$2:$F$127, MATCH(D616, Archetypes!$A$2:$A$127, 0))*INDEX(Unit_Grades!$B$2:$B$7, MATCH(F616, Unit_Grades!$A$2:$A$7, 0))*INDEX(Unit_Paths!$C$2:$C$4, MATCH(E616, Unit_Paths!$A$2:$A$4, 0)),1)</f>
        <v>46.8</v>
      </c>
      <c r="J616" s="6" t="n">
        <f aca="false">ROUND(INDEX(Archetypes!$G$2:$G$127, MATCH(D616, Archetypes!$A$2:$A$127, 0))*INDEX(Unit_Grades!$B$2:$B$7, MATCH(F616, Unit_Grades!$A$2:$A$7, 0))*INDEX(Unit_Paths!$D$2:$D$4, MATCH(E616, Unit_Paths!$A$2:$A$4, 0)),0)</f>
        <v>216</v>
      </c>
      <c r="K616" s="6" t="n">
        <f aca="false">ROUND(INDEX(Archetypes!$H$2:$H$127, MATCH(D616, Archetypes!$A$2:$A$127, 0))*INDEX(Unit_Paths!$E$2:$E$4, MATCH(E616, Unit_Paths!$A$2:$A$4, 0)),1)</f>
        <v>20</v>
      </c>
      <c r="L616" s="6" t="n">
        <f aca="false">ROUND(INDEX(Archetypes!$I$2:$I$127, MATCH(D616, Archetypes!$A$2:$A$127, 0))*INDEX(Unit_Grades!$C$2:$C$7, MATCH(F616, Unit_Grades!$A$2:$A$7, 0)),1)</f>
        <v>12.8</v>
      </c>
      <c r="M616" s="6" t="n">
        <f aca="false">ROUND(INDEX(Archetypes!$J$2:$J$127, MATCH(D616, Archetypes!$A$2:$A$127, 0))*INDEX(Unit_Grades!$D$2:$D$7, MATCH(F616, Unit_Grades!$A$2:$A$7, 0)),1)</f>
        <v>8.1</v>
      </c>
      <c r="N616" s="6" t="n">
        <f aca="false">ROUND(M616/24,2)</f>
        <v>0.34</v>
      </c>
    </row>
    <row r="617" customFormat="false" ht="15" hidden="false" customHeight="true" outlineLevel="0" collapsed="false">
      <c r="A617" s="6" t="n">
        <v>2</v>
      </c>
      <c r="B617" s="6" t="s">
        <v>2150</v>
      </c>
      <c r="C617" s="6" t="s">
        <v>1331</v>
      </c>
      <c r="D617" s="6" t="str">
        <f aca="false">A617&amp;"|"&amp;C617</f>
        <v>2|Sect Disciple</v>
      </c>
      <c r="E617" s="6" t="s">
        <v>1556</v>
      </c>
      <c r="F617" s="6" t="s">
        <v>1544</v>
      </c>
      <c r="G617" s="6" t="str">
        <f aca="false">INDEX(Archetypes!$D$2:$D$127, MATCH(D617, Archetypes!$A$2:$A$127, 0))</f>
        <v>Cultivator</v>
      </c>
      <c r="H617" s="6" t="n">
        <f aca="false">ROUND(INDEX(Archetypes!$E$2:$E$127, MATCH(D617, Archetypes!$A$2:$A$127, 0))*INDEX(Unit_Grades!$B$2:$B$7, MATCH(F617, Unit_Grades!$A$2:$A$7, 0))*INDEX(Unit_Paths!$B$2:$B$4, MATCH(E617, Unit_Paths!$A$2:$A$4, 0)),1)</f>
        <v>91.2</v>
      </c>
      <c r="I617" s="6" t="n">
        <f aca="false">ROUND(INDEX(Archetypes!$F$2:$F$127, MATCH(D617, Archetypes!$A$2:$A$127, 0))*INDEX(Unit_Grades!$B$2:$B$7, MATCH(F617, Unit_Grades!$A$2:$A$7, 0))*INDEX(Unit_Paths!$C$2:$C$4, MATCH(E617, Unit_Paths!$A$2:$A$4, 0)),1)</f>
        <v>62.4</v>
      </c>
      <c r="J617" s="6" t="n">
        <f aca="false">ROUND(INDEX(Archetypes!$G$2:$G$127, MATCH(D617, Archetypes!$A$2:$A$127, 0))*INDEX(Unit_Grades!$B$2:$B$7, MATCH(F617, Unit_Grades!$A$2:$A$7, 0))*INDEX(Unit_Paths!$D$2:$D$4, MATCH(E617, Unit_Paths!$A$2:$A$4, 0)),0)</f>
        <v>288</v>
      </c>
      <c r="K617" s="6" t="n">
        <f aca="false">ROUND(INDEX(Archetypes!$H$2:$H$127, MATCH(D617, Archetypes!$A$2:$A$127, 0))*INDEX(Unit_Paths!$E$2:$E$4, MATCH(E617, Unit_Paths!$A$2:$A$4, 0)),1)</f>
        <v>20</v>
      </c>
      <c r="L617" s="6" t="n">
        <f aca="false">ROUND(INDEX(Archetypes!$I$2:$I$127, MATCH(D617, Archetypes!$A$2:$A$127, 0))*INDEX(Unit_Grades!$C$2:$C$7, MATCH(F617, Unit_Grades!$A$2:$A$7, 0)),1)</f>
        <v>16.8</v>
      </c>
      <c r="M617" s="6" t="n">
        <f aca="false">ROUND(INDEX(Archetypes!$J$2:$J$127, MATCH(D617, Archetypes!$A$2:$A$127, 0))*INDEX(Unit_Grades!$D$2:$D$7, MATCH(F617, Unit_Grades!$A$2:$A$7, 0)),1)</f>
        <v>13</v>
      </c>
      <c r="N617" s="6" t="n">
        <f aca="false">ROUND(M617/24,2)</f>
        <v>0.54</v>
      </c>
    </row>
    <row r="618" customFormat="false" ht="15" hidden="false" customHeight="true" outlineLevel="0" collapsed="false">
      <c r="A618" s="6" t="n">
        <v>2</v>
      </c>
      <c r="B618" s="6" t="s">
        <v>2151</v>
      </c>
      <c r="C618" s="6" t="s">
        <v>1331</v>
      </c>
      <c r="D618" s="6" t="str">
        <f aca="false">A618&amp;"|"&amp;C618</f>
        <v>2|Sect Disciple</v>
      </c>
      <c r="E618" s="6" t="s">
        <v>1556</v>
      </c>
      <c r="F618" s="6" t="s">
        <v>1546</v>
      </c>
      <c r="G618" s="6" t="str">
        <f aca="false">INDEX(Archetypes!$D$2:$D$127, MATCH(D618, Archetypes!$A$2:$A$127, 0))</f>
        <v>Cultivator</v>
      </c>
      <c r="H618" s="6" t="n">
        <f aca="false">ROUND(INDEX(Archetypes!$E$2:$E$127, MATCH(D618, Archetypes!$A$2:$A$127, 0))*INDEX(Unit_Grades!$B$2:$B$7, MATCH(F618, Unit_Grades!$A$2:$A$7, 0))*INDEX(Unit_Paths!$B$2:$B$4, MATCH(E618, Unit_Paths!$A$2:$A$4, 0)),1)</f>
        <v>121.6</v>
      </c>
      <c r="I618" s="6" t="n">
        <f aca="false">ROUND(INDEX(Archetypes!$F$2:$F$127, MATCH(D618, Archetypes!$A$2:$A$127, 0))*INDEX(Unit_Grades!$B$2:$B$7, MATCH(F618, Unit_Grades!$A$2:$A$7, 0))*INDEX(Unit_Paths!$C$2:$C$4, MATCH(E618, Unit_Paths!$A$2:$A$4, 0)),1)</f>
        <v>83.2</v>
      </c>
      <c r="J618" s="6" t="n">
        <f aca="false">ROUND(INDEX(Archetypes!$G$2:$G$127, MATCH(D618, Archetypes!$A$2:$A$127, 0))*INDEX(Unit_Grades!$B$2:$B$7, MATCH(F618, Unit_Grades!$A$2:$A$7, 0))*INDEX(Unit_Paths!$D$2:$D$4, MATCH(E618, Unit_Paths!$A$2:$A$4, 0)),0)</f>
        <v>384</v>
      </c>
      <c r="K618" s="6" t="n">
        <f aca="false">ROUND(INDEX(Archetypes!$H$2:$H$127, MATCH(D618, Archetypes!$A$2:$A$127, 0))*INDEX(Unit_Paths!$E$2:$E$4, MATCH(E618, Unit_Paths!$A$2:$A$4, 0)),1)</f>
        <v>20</v>
      </c>
      <c r="L618" s="6" t="n">
        <f aca="false">ROUND(INDEX(Archetypes!$I$2:$I$127, MATCH(D618, Archetypes!$A$2:$A$127, 0))*INDEX(Unit_Grades!$C$2:$C$7, MATCH(F618, Unit_Grades!$A$2:$A$7, 0)),1)</f>
        <v>22.4</v>
      </c>
      <c r="M618" s="6" t="n">
        <f aca="false">ROUND(INDEX(Archetypes!$J$2:$J$127, MATCH(D618, Archetypes!$A$2:$A$127, 0))*INDEX(Unit_Grades!$D$2:$D$7, MATCH(F618, Unit_Grades!$A$2:$A$7, 0)),1)</f>
        <v>22.8</v>
      </c>
      <c r="N618" s="6" t="n">
        <f aca="false">ROUND(M618/24,2)</f>
        <v>0.95</v>
      </c>
    </row>
    <row r="619" customFormat="false" ht="15" hidden="false" customHeight="true" outlineLevel="0" collapsed="false">
      <c r="A619" s="6" t="n">
        <v>2</v>
      </c>
      <c r="B619" s="6" t="s">
        <v>2152</v>
      </c>
      <c r="C619" s="6" t="s">
        <v>1331</v>
      </c>
      <c r="D619" s="6" t="str">
        <f aca="false">A619&amp;"|"&amp;C619</f>
        <v>2|Sect Disciple</v>
      </c>
      <c r="E619" s="6" t="s">
        <v>1556</v>
      </c>
      <c r="F619" s="6" t="s">
        <v>1548</v>
      </c>
      <c r="G619" s="6" t="str">
        <f aca="false">INDEX(Archetypes!$D$2:$D$127, MATCH(D619, Archetypes!$A$2:$A$127, 0))</f>
        <v>Cultivator</v>
      </c>
      <c r="H619" s="6" t="n">
        <f aca="false">ROUND(INDEX(Archetypes!$E$2:$E$127, MATCH(D619, Archetypes!$A$2:$A$127, 0))*INDEX(Unit_Grades!$B$2:$B$7, MATCH(F619, Unit_Grades!$A$2:$A$7, 0))*INDEX(Unit_Paths!$B$2:$B$4, MATCH(E619, Unit_Paths!$A$2:$A$4, 0)),1)</f>
        <v>159.6</v>
      </c>
      <c r="I619" s="6" t="n">
        <f aca="false">ROUND(INDEX(Archetypes!$F$2:$F$127, MATCH(D619, Archetypes!$A$2:$A$127, 0))*INDEX(Unit_Grades!$B$2:$B$7, MATCH(F619, Unit_Grades!$A$2:$A$7, 0))*INDEX(Unit_Paths!$C$2:$C$4, MATCH(E619, Unit_Paths!$A$2:$A$4, 0)),1)</f>
        <v>109.2</v>
      </c>
      <c r="J619" s="6" t="n">
        <f aca="false">ROUND(INDEX(Archetypes!$G$2:$G$127, MATCH(D619, Archetypes!$A$2:$A$127, 0))*INDEX(Unit_Grades!$B$2:$B$7, MATCH(F619, Unit_Grades!$A$2:$A$7, 0))*INDEX(Unit_Paths!$D$2:$D$4, MATCH(E619, Unit_Paths!$A$2:$A$4, 0)),0)</f>
        <v>504</v>
      </c>
      <c r="K619" s="6" t="n">
        <f aca="false">ROUND(INDEX(Archetypes!$H$2:$H$127, MATCH(D619, Archetypes!$A$2:$A$127, 0))*INDEX(Unit_Paths!$E$2:$E$4, MATCH(E619, Unit_Paths!$A$2:$A$4, 0)),1)</f>
        <v>20</v>
      </c>
      <c r="L619" s="6" t="n">
        <f aca="false">ROUND(INDEX(Archetypes!$I$2:$I$127, MATCH(D619, Archetypes!$A$2:$A$127, 0))*INDEX(Unit_Grades!$C$2:$C$7, MATCH(F619, Unit_Grades!$A$2:$A$7, 0)),1)</f>
        <v>29.6</v>
      </c>
      <c r="M619" s="6" t="n">
        <f aca="false">ROUND(INDEX(Archetypes!$J$2:$J$127, MATCH(D619, Archetypes!$A$2:$A$127, 0))*INDEX(Unit_Grades!$D$2:$D$7, MATCH(F619, Unit_Grades!$A$2:$A$7, 0)),1)</f>
        <v>39</v>
      </c>
      <c r="N619" s="6" t="n">
        <f aca="false">ROUND(M619/24,2)</f>
        <v>1.63</v>
      </c>
    </row>
    <row r="620" customFormat="false" ht="15" hidden="false" customHeight="true" outlineLevel="0" collapsed="false">
      <c r="A620" s="6" t="n">
        <v>2</v>
      </c>
      <c r="B620" s="6" t="s">
        <v>2153</v>
      </c>
      <c r="C620" s="6" t="s">
        <v>1331</v>
      </c>
      <c r="D620" s="6" t="str">
        <f aca="false">A620&amp;"|"&amp;C620</f>
        <v>2|Sect Disciple</v>
      </c>
      <c r="E620" s="6" t="s">
        <v>1558</v>
      </c>
      <c r="F620" s="6" t="s">
        <v>1538</v>
      </c>
      <c r="G620" s="6" t="str">
        <f aca="false">INDEX(Archetypes!$D$2:$D$127, MATCH(D620, Archetypes!$A$2:$A$127, 0))</f>
        <v>Cultivator</v>
      </c>
      <c r="H620" s="6" t="n">
        <f aca="false">ROUND(INDEX(Archetypes!$E$2:$E$127, MATCH(D620, Archetypes!$A$2:$A$127, 0))*INDEX(Unit_Grades!$B$2:$B$7, MATCH(F620, Unit_Grades!$A$2:$A$7, 0))*INDEX(Unit_Paths!$B$2:$B$4, MATCH(E620, Unit_Paths!$A$2:$A$4, 0)),1)</f>
        <v>45.6</v>
      </c>
      <c r="I620" s="6" t="n">
        <f aca="false">ROUND(INDEX(Archetypes!$F$2:$F$127, MATCH(D620, Archetypes!$A$2:$A$127, 0))*INDEX(Unit_Grades!$B$2:$B$7, MATCH(F620, Unit_Grades!$A$2:$A$7, 0))*INDEX(Unit_Paths!$C$2:$C$4, MATCH(E620, Unit_Paths!$A$2:$A$4, 0)),1)</f>
        <v>22.1</v>
      </c>
      <c r="J620" s="6" t="n">
        <f aca="false">ROUND(INDEX(Archetypes!$G$2:$G$127, MATCH(D620, Archetypes!$A$2:$A$127, 0))*INDEX(Unit_Grades!$B$2:$B$7, MATCH(F620, Unit_Grades!$A$2:$A$7, 0))*INDEX(Unit_Paths!$D$2:$D$4, MATCH(E620, Unit_Paths!$A$2:$A$4, 0)),0)</f>
        <v>114</v>
      </c>
      <c r="K620" s="6" t="n">
        <f aca="false">ROUND(INDEX(Archetypes!$H$2:$H$127, MATCH(D620, Archetypes!$A$2:$A$127, 0))*INDEX(Unit_Paths!$E$2:$E$4, MATCH(E620, Unit_Paths!$A$2:$A$4, 0)),1)</f>
        <v>21</v>
      </c>
      <c r="L620" s="6" t="n">
        <f aca="false">ROUND(INDEX(Archetypes!$I$2:$I$127, MATCH(D620, Archetypes!$A$2:$A$127, 0))*INDEX(Unit_Grades!$C$2:$C$7, MATCH(F620, Unit_Grades!$A$2:$A$7, 0)),1)</f>
        <v>8</v>
      </c>
      <c r="M620" s="6" t="n">
        <f aca="false">ROUND(INDEX(Archetypes!$J$2:$J$127, MATCH(D620, Archetypes!$A$2:$A$127, 0))*INDEX(Unit_Grades!$D$2:$D$7, MATCH(F620, Unit_Grades!$A$2:$A$7, 0)),1)</f>
        <v>3.3</v>
      </c>
      <c r="N620" s="6" t="n">
        <f aca="false">ROUND(M620/24,2)</f>
        <v>0.14</v>
      </c>
    </row>
    <row r="621" customFormat="false" ht="15" hidden="false" customHeight="true" outlineLevel="0" collapsed="false">
      <c r="A621" s="6" t="n">
        <v>2</v>
      </c>
      <c r="B621" s="6" t="s">
        <v>2154</v>
      </c>
      <c r="C621" s="6" t="s">
        <v>1331</v>
      </c>
      <c r="D621" s="6" t="str">
        <f aca="false">A621&amp;"|"&amp;C621</f>
        <v>2|Sect Disciple</v>
      </c>
      <c r="E621" s="6" t="s">
        <v>1558</v>
      </c>
      <c r="F621" s="6" t="s">
        <v>1540</v>
      </c>
      <c r="G621" s="6" t="str">
        <f aca="false">INDEX(Archetypes!$D$2:$D$127, MATCH(D621, Archetypes!$A$2:$A$127, 0))</f>
        <v>Cultivator</v>
      </c>
      <c r="H621" s="6" t="n">
        <f aca="false">ROUND(INDEX(Archetypes!$E$2:$E$127, MATCH(D621, Archetypes!$A$2:$A$127, 0))*INDEX(Unit_Grades!$B$2:$B$7, MATCH(F621, Unit_Grades!$A$2:$A$7, 0))*INDEX(Unit_Paths!$B$2:$B$4, MATCH(E621, Unit_Paths!$A$2:$A$4, 0)),1)</f>
        <v>61.6</v>
      </c>
      <c r="I621" s="6" t="n">
        <f aca="false">ROUND(INDEX(Archetypes!$F$2:$F$127, MATCH(D621, Archetypes!$A$2:$A$127, 0))*INDEX(Unit_Grades!$B$2:$B$7, MATCH(F621, Unit_Grades!$A$2:$A$7, 0))*INDEX(Unit_Paths!$C$2:$C$4, MATCH(E621, Unit_Paths!$A$2:$A$4, 0)),1)</f>
        <v>29.8</v>
      </c>
      <c r="J621" s="6" t="n">
        <f aca="false">ROUND(INDEX(Archetypes!$G$2:$G$127, MATCH(D621, Archetypes!$A$2:$A$127, 0))*INDEX(Unit_Grades!$B$2:$B$7, MATCH(F621, Unit_Grades!$A$2:$A$7, 0))*INDEX(Unit_Paths!$D$2:$D$4, MATCH(E621, Unit_Paths!$A$2:$A$4, 0)),0)</f>
        <v>154</v>
      </c>
      <c r="K621" s="6" t="n">
        <f aca="false">ROUND(INDEX(Archetypes!$H$2:$H$127, MATCH(D621, Archetypes!$A$2:$A$127, 0))*INDEX(Unit_Paths!$E$2:$E$4, MATCH(E621, Unit_Paths!$A$2:$A$4, 0)),1)</f>
        <v>21</v>
      </c>
      <c r="L621" s="6" t="n">
        <f aca="false">ROUND(INDEX(Archetypes!$I$2:$I$127, MATCH(D621, Archetypes!$A$2:$A$127, 0))*INDEX(Unit_Grades!$C$2:$C$7, MATCH(F621, Unit_Grades!$A$2:$A$7, 0)),1)</f>
        <v>10</v>
      </c>
      <c r="M621" s="6" t="n">
        <f aca="false">ROUND(INDEX(Archetypes!$J$2:$J$127, MATCH(D621, Archetypes!$A$2:$A$127, 0))*INDEX(Unit_Grades!$D$2:$D$7, MATCH(F621, Unit_Grades!$A$2:$A$7, 0)),1)</f>
        <v>4.9</v>
      </c>
      <c r="N621" s="6" t="n">
        <f aca="false">ROUND(M621/24,2)</f>
        <v>0.2</v>
      </c>
    </row>
    <row r="622" customFormat="false" ht="15" hidden="false" customHeight="true" outlineLevel="0" collapsed="false">
      <c r="A622" s="6" t="n">
        <v>2</v>
      </c>
      <c r="B622" s="6" t="s">
        <v>2155</v>
      </c>
      <c r="C622" s="6" t="s">
        <v>1331</v>
      </c>
      <c r="D622" s="6" t="str">
        <f aca="false">A622&amp;"|"&amp;C622</f>
        <v>2|Sect Disciple</v>
      </c>
      <c r="E622" s="6" t="s">
        <v>1558</v>
      </c>
      <c r="F622" s="6" t="s">
        <v>1542</v>
      </c>
      <c r="G622" s="6" t="str">
        <f aca="false">INDEX(Archetypes!$D$2:$D$127, MATCH(D622, Archetypes!$A$2:$A$127, 0))</f>
        <v>Cultivator</v>
      </c>
      <c r="H622" s="6" t="n">
        <f aca="false">ROUND(INDEX(Archetypes!$E$2:$E$127, MATCH(D622, Archetypes!$A$2:$A$127, 0))*INDEX(Unit_Grades!$B$2:$B$7, MATCH(F622, Unit_Grades!$A$2:$A$7, 0))*INDEX(Unit_Paths!$B$2:$B$4, MATCH(E622, Unit_Paths!$A$2:$A$4, 0)),1)</f>
        <v>82.1</v>
      </c>
      <c r="I622" s="6" t="n">
        <f aca="false">ROUND(INDEX(Archetypes!$F$2:$F$127, MATCH(D622, Archetypes!$A$2:$A$127, 0))*INDEX(Unit_Grades!$B$2:$B$7, MATCH(F622, Unit_Grades!$A$2:$A$7, 0))*INDEX(Unit_Paths!$C$2:$C$4, MATCH(E622, Unit_Paths!$A$2:$A$4, 0)),1)</f>
        <v>39.8</v>
      </c>
      <c r="J622" s="6" t="n">
        <f aca="false">ROUND(INDEX(Archetypes!$G$2:$G$127, MATCH(D622, Archetypes!$A$2:$A$127, 0))*INDEX(Unit_Grades!$B$2:$B$7, MATCH(F622, Unit_Grades!$A$2:$A$7, 0))*INDEX(Unit_Paths!$D$2:$D$4, MATCH(E622, Unit_Paths!$A$2:$A$4, 0)),0)</f>
        <v>205</v>
      </c>
      <c r="K622" s="6" t="n">
        <f aca="false">ROUND(INDEX(Archetypes!$H$2:$H$127, MATCH(D622, Archetypes!$A$2:$A$127, 0))*INDEX(Unit_Paths!$E$2:$E$4, MATCH(E622, Unit_Paths!$A$2:$A$4, 0)),1)</f>
        <v>21</v>
      </c>
      <c r="L622" s="6" t="n">
        <f aca="false">ROUND(INDEX(Archetypes!$I$2:$I$127, MATCH(D622, Archetypes!$A$2:$A$127, 0))*INDEX(Unit_Grades!$C$2:$C$7, MATCH(F622, Unit_Grades!$A$2:$A$7, 0)),1)</f>
        <v>12.8</v>
      </c>
      <c r="M622" s="6" t="n">
        <f aca="false">ROUND(INDEX(Archetypes!$J$2:$J$127, MATCH(D622, Archetypes!$A$2:$A$127, 0))*INDEX(Unit_Grades!$D$2:$D$7, MATCH(F622, Unit_Grades!$A$2:$A$7, 0)),1)</f>
        <v>8.1</v>
      </c>
      <c r="N622" s="6" t="n">
        <f aca="false">ROUND(M622/24,2)</f>
        <v>0.34</v>
      </c>
    </row>
    <row r="623" customFormat="false" ht="15" hidden="false" customHeight="true" outlineLevel="0" collapsed="false">
      <c r="A623" s="6" t="n">
        <v>2</v>
      </c>
      <c r="B623" s="6" t="s">
        <v>2156</v>
      </c>
      <c r="C623" s="6" t="s">
        <v>1331</v>
      </c>
      <c r="D623" s="6" t="str">
        <f aca="false">A623&amp;"|"&amp;C623</f>
        <v>2|Sect Disciple</v>
      </c>
      <c r="E623" s="6" t="s">
        <v>1558</v>
      </c>
      <c r="F623" s="6" t="s">
        <v>1544</v>
      </c>
      <c r="G623" s="6" t="str">
        <f aca="false">INDEX(Archetypes!$D$2:$D$127, MATCH(D623, Archetypes!$A$2:$A$127, 0))</f>
        <v>Cultivator</v>
      </c>
      <c r="H623" s="6" t="n">
        <f aca="false">ROUND(INDEX(Archetypes!$E$2:$E$127, MATCH(D623, Archetypes!$A$2:$A$127, 0))*INDEX(Unit_Grades!$B$2:$B$7, MATCH(F623, Unit_Grades!$A$2:$A$7, 0))*INDEX(Unit_Paths!$B$2:$B$4, MATCH(E623, Unit_Paths!$A$2:$A$4, 0)),1)</f>
        <v>109.4</v>
      </c>
      <c r="I623" s="6" t="n">
        <f aca="false">ROUND(INDEX(Archetypes!$F$2:$F$127, MATCH(D623, Archetypes!$A$2:$A$127, 0))*INDEX(Unit_Grades!$B$2:$B$7, MATCH(F623, Unit_Grades!$A$2:$A$7, 0))*INDEX(Unit_Paths!$C$2:$C$4, MATCH(E623, Unit_Paths!$A$2:$A$4, 0)),1)</f>
        <v>53</v>
      </c>
      <c r="J623" s="6" t="n">
        <f aca="false">ROUND(INDEX(Archetypes!$G$2:$G$127, MATCH(D623, Archetypes!$A$2:$A$127, 0))*INDEX(Unit_Grades!$B$2:$B$7, MATCH(F623, Unit_Grades!$A$2:$A$7, 0))*INDEX(Unit_Paths!$D$2:$D$4, MATCH(E623, Unit_Paths!$A$2:$A$4, 0)),0)</f>
        <v>274</v>
      </c>
      <c r="K623" s="6" t="n">
        <f aca="false">ROUND(INDEX(Archetypes!$H$2:$H$127, MATCH(D623, Archetypes!$A$2:$A$127, 0))*INDEX(Unit_Paths!$E$2:$E$4, MATCH(E623, Unit_Paths!$A$2:$A$4, 0)),1)</f>
        <v>21</v>
      </c>
      <c r="L623" s="6" t="n">
        <f aca="false">ROUND(INDEX(Archetypes!$I$2:$I$127, MATCH(D623, Archetypes!$A$2:$A$127, 0))*INDEX(Unit_Grades!$C$2:$C$7, MATCH(F623, Unit_Grades!$A$2:$A$7, 0)),1)</f>
        <v>16.8</v>
      </c>
      <c r="M623" s="6" t="n">
        <f aca="false">ROUND(INDEX(Archetypes!$J$2:$J$127, MATCH(D623, Archetypes!$A$2:$A$127, 0))*INDEX(Unit_Grades!$D$2:$D$7, MATCH(F623, Unit_Grades!$A$2:$A$7, 0)),1)</f>
        <v>13</v>
      </c>
      <c r="N623" s="6" t="n">
        <f aca="false">ROUND(M623/24,2)</f>
        <v>0.54</v>
      </c>
    </row>
    <row r="624" customFormat="false" ht="15" hidden="false" customHeight="true" outlineLevel="0" collapsed="false">
      <c r="A624" s="6" t="n">
        <v>2</v>
      </c>
      <c r="B624" s="6" t="s">
        <v>2157</v>
      </c>
      <c r="C624" s="6" t="s">
        <v>1331</v>
      </c>
      <c r="D624" s="6" t="str">
        <f aca="false">A624&amp;"|"&amp;C624</f>
        <v>2|Sect Disciple</v>
      </c>
      <c r="E624" s="6" t="s">
        <v>1558</v>
      </c>
      <c r="F624" s="6" t="s">
        <v>1546</v>
      </c>
      <c r="G624" s="6" t="str">
        <f aca="false">INDEX(Archetypes!$D$2:$D$127, MATCH(D624, Archetypes!$A$2:$A$127, 0))</f>
        <v>Cultivator</v>
      </c>
      <c r="H624" s="6" t="n">
        <f aca="false">ROUND(INDEX(Archetypes!$E$2:$E$127, MATCH(D624, Archetypes!$A$2:$A$127, 0))*INDEX(Unit_Grades!$B$2:$B$7, MATCH(F624, Unit_Grades!$A$2:$A$7, 0))*INDEX(Unit_Paths!$B$2:$B$4, MATCH(E624, Unit_Paths!$A$2:$A$4, 0)),1)</f>
        <v>145.9</v>
      </c>
      <c r="I624" s="6" t="n">
        <f aca="false">ROUND(INDEX(Archetypes!$F$2:$F$127, MATCH(D624, Archetypes!$A$2:$A$127, 0))*INDEX(Unit_Grades!$B$2:$B$7, MATCH(F624, Unit_Grades!$A$2:$A$7, 0))*INDEX(Unit_Paths!$C$2:$C$4, MATCH(E624, Unit_Paths!$A$2:$A$4, 0)),1)</f>
        <v>70.7</v>
      </c>
      <c r="J624" s="6" t="n">
        <f aca="false">ROUND(INDEX(Archetypes!$G$2:$G$127, MATCH(D624, Archetypes!$A$2:$A$127, 0))*INDEX(Unit_Grades!$B$2:$B$7, MATCH(F624, Unit_Grades!$A$2:$A$7, 0))*INDEX(Unit_Paths!$D$2:$D$4, MATCH(E624, Unit_Paths!$A$2:$A$4, 0)),0)</f>
        <v>365</v>
      </c>
      <c r="K624" s="6" t="n">
        <f aca="false">ROUND(INDEX(Archetypes!$H$2:$H$127, MATCH(D624, Archetypes!$A$2:$A$127, 0))*INDEX(Unit_Paths!$E$2:$E$4, MATCH(E624, Unit_Paths!$A$2:$A$4, 0)),1)</f>
        <v>21</v>
      </c>
      <c r="L624" s="6" t="n">
        <f aca="false">ROUND(INDEX(Archetypes!$I$2:$I$127, MATCH(D624, Archetypes!$A$2:$A$127, 0))*INDEX(Unit_Grades!$C$2:$C$7, MATCH(F624, Unit_Grades!$A$2:$A$7, 0)),1)</f>
        <v>22.4</v>
      </c>
      <c r="M624" s="6" t="n">
        <f aca="false">ROUND(INDEX(Archetypes!$J$2:$J$127, MATCH(D624, Archetypes!$A$2:$A$127, 0))*INDEX(Unit_Grades!$D$2:$D$7, MATCH(F624, Unit_Grades!$A$2:$A$7, 0)),1)</f>
        <v>22.8</v>
      </c>
      <c r="N624" s="6" t="n">
        <f aca="false">ROUND(M624/24,2)</f>
        <v>0.95</v>
      </c>
    </row>
    <row r="625" customFormat="false" ht="15" hidden="false" customHeight="true" outlineLevel="0" collapsed="false">
      <c r="A625" s="6" t="n">
        <v>2</v>
      </c>
      <c r="B625" s="6" t="s">
        <v>2158</v>
      </c>
      <c r="C625" s="6" t="s">
        <v>1331</v>
      </c>
      <c r="D625" s="6" t="str">
        <f aca="false">A625&amp;"|"&amp;C625</f>
        <v>2|Sect Disciple</v>
      </c>
      <c r="E625" s="6" t="s">
        <v>1558</v>
      </c>
      <c r="F625" s="6" t="s">
        <v>1548</v>
      </c>
      <c r="G625" s="6" t="str">
        <f aca="false">INDEX(Archetypes!$D$2:$D$127, MATCH(D625, Archetypes!$A$2:$A$127, 0))</f>
        <v>Cultivator</v>
      </c>
      <c r="H625" s="6" t="n">
        <f aca="false">ROUND(INDEX(Archetypes!$E$2:$E$127, MATCH(D625, Archetypes!$A$2:$A$127, 0))*INDEX(Unit_Grades!$B$2:$B$7, MATCH(F625, Unit_Grades!$A$2:$A$7, 0))*INDEX(Unit_Paths!$B$2:$B$4, MATCH(E625, Unit_Paths!$A$2:$A$4, 0)),1)</f>
        <v>191.5</v>
      </c>
      <c r="I625" s="6" t="n">
        <f aca="false">ROUND(INDEX(Archetypes!$F$2:$F$127, MATCH(D625, Archetypes!$A$2:$A$127, 0))*INDEX(Unit_Grades!$B$2:$B$7, MATCH(F625, Unit_Grades!$A$2:$A$7, 0))*INDEX(Unit_Paths!$C$2:$C$4, MATCH(E625, Unit_Paths!$A$2:$A$4, 0)),1)</f>
        <v>92.8</v>
      </c>
      <c r="J625" s="6" t="n">
        <f aca="false">ROUND(INDEX(Archetypes!$G$2:$G$127, MATCH(D625, Archetypes!$A$2:$A$127, 0))*INDEX(Unit_Grades!$B$2:$B$7, MATCH(F625, Unit_Grades!$A$2:$A$7, 0))*INDEX(Unit_Paths!$D$2:$D$4, MATCH(E625, Unit_Paths!$A$2:$A$4, 0)),0)</f>
        <v>479</v>
      </c>
      <c r="K625" s="6" t="n">
        <f aca="false">ROUND(INDEX(Archetypes!$H$2:$H$127, MATCH(D625, Archetypes!$A$2:$A$127, 0))*INDEX(Unit_Paths!$E$2:$E$4, MATCH(E625, Unit_Paths!$A$2:$A$4, 0)),1)</f>
        <v>21</v>
      </c>
      <c r="L625" s="6" t="n">
        <f aca="false">ROUND(INDEX(Archetypes!$I$2:$I$127, MATCH(D625, Archetypes!$A$2:$A$127, 0))*INDEX(Unit_Grades!$C$2:$C$7, MATCH(F625, Unit_Grades!$A$2:$A$7, 0)),1)</f>
        <v>29.6</v>
      </c>
      <c r="M625" s="6" t="n">
        <f aca="false">ROUND(INDEX(Archetypes!$J$2:$J$127, MATCH(D625, Archetypes!$A$2:$A$127, 0))*INDEX(Unit_Grades!$D$2:$D$7, MATCH(F625, Unit_Grades!$A$2:$A$7, 0)),1)</f>
        <v>39</v>
      </c>
      <c r="N625" s="6" t="n">
        <f aca="false">ROUND(M625/24,2)</f>
        <v>1.63</v>
      </c>
    </row>
    <row r="626" customFormat="false" ht="15" hidden="false" customHeight="true" outlineLevel="0" collapsed="false">
      <c r="A626" s="6" t="n">
        <v>2</v>
      </c>
      <c r="B626" s="6" t="s">
        <v>2159</v>
      </c>
      <c r="C626" s="6" t="s">
        <v>1331</v>
      </c>
      <c r="D626" s="6" t="str">
        <f aca="false">A626&amp;"|"&amp;C626</f>
        <v>2|Sect Disciple</v>
      </c>
      <c r="E626" s="6" t="s">
        <v>1560</v>
      </c>
      <c r="F626" s="6" t="s">
        <v>1538</v>
      </c>
      <c r="G626" s="6" t="str">
        <f aca="false">INDEX(Archetypes!$D$2:$D$127, MATCH(D626, Archetypes!$A$2:$A$127, 0))</f>
        <v>Cultivator</v>
      </c>
      <c r="H626" s="6" t="n">
        <f aca="false">ROUND(INDEX(Archetypes!$E$2:$E$127, MATCH(D626, Archetypes!$A$2:$A$127, 0))*INDEX(Unit_Grades!$B$2:$B$7, MATCH(F626, Unit_Grades!$A$2:$A$7, 0))*INDEX(Unit_Paths!$B$2:$B$4, MATCH(E626, Unit_Paths!$A$2:$A$4, 0)),1)</f>
        <v>32.3</v>
      </c>
      <c r="I626" s="6" t="n">
        <f aca="false">ROUND(INDEX(Archetypes!$F$2:$F$127, MATCH(D626, Archetypes!$A$2:$A$127, 0))*INDEX(Unit_Grades!$B$2:$B$7, MATCH(F626, Unit_Grades!$A$2:$A$7, 0))*INDEX(Unit_Paths!$C$2:$C$4, MATCH(E626, Unit_Paths!$A$2:$A$4, 0)),1)</f>
        <v>32.5</v>
      </c>
      <c r="J626" s="6" t="n">
        <f aca="false">ROUND(INDEX(Archetypes!$G$2:$G$127, MATCH(D626, Archetypes!$A$2:$A$127, 0))*INDEX(Unit_Grades!$B$2:$B$7, MATCH(F626, Unit_Grades!$A$2:$A$7, 0))*INDEX(Unit_Paths!$D$2:$D$4, MATCH(E626, Unit_Paths!$A$2:$A$4, 0)),0)</f>
        <v>138</v>
      </c>
      <c r="K626" s="6" t="n">
        <f aca="false">ROUND(INDEX(Archetypes!$H$2:$H$127, MATCH(D626, Archetypes!$A$2:$A$127, 0))*INDEX(Unit_Paths!$E$2:$E$4, MATCH(E626, Unit_Paths!$A$2:$A$4, 0)),1)</f>
        <v>18.4</v>
      </c>
      <c r="L626" s="6" t="n">
        <f aca="false">ROUND(INDEX(Archetypes!$I$2:$I$127, MATCH(D626, Archetypes!$A$2:$A$127, 0))*INDEX(Unit_Grades!$C$2:$C$7, MATCH(F626, Unit_Grades!$A$2:$A$7, 0)),1)</f>
        <v>8</v>
      </c>
      <c r="M626" s="6" t="n">
        <f aca="false">ROUND(INDEX(Archetypes!$J$2:$J$127, MATCH(D626, Archetypes!$A$2:$A$127, 0))*INDEX(Unit_Grades!$D$2:$D$7, MATCH(F626, Unit_Grades!$A$2:$A$7, 0)),1)</f>
        <v>3.3</v>
      </c>
      <c r="N626" s="6" t="n">
        <f aca="false">ROUND(M626/24,2)</f>
        <v>0.14</v>
      </c>
    </row>
    <row r="627" customFormat="false" ht="15" hidden="false" customHeight="true" outlineLevel="0" collapsed="false">
      <c r="A627" s="6" t="n">
        <v>2</v>
      </c>
      <c r="B627" s="6" t="s">
        <v>2160</v>
      </c>
      <c r="C627" s="6" t="s">
        <v>1331</v>
      </c>
      <c r="D627" s="6" t="str">
        <f aca="false">A627&amp;"|"&amp;C627</f>
        <v>2|Sect Disciple</v>
      </c>
      <c r="E627" s="6" t="s">
        <v>1560</v>
      </c>
      <c r="F627" s="6" t="s">
        <v>1540</v>
      </c>
      <c r="G627" s="6" t="str">
        <f aca="false">INDEX(Archetypes!$D$2:$D$127, MATCH(D627, Archetypes!$A$2:$A$127, 0))</f>
        <v>Cultivator</v>
      </c>
      <c r="H627" s="6" t="n">
        <f aca="false">ROUND(INDEX(Archetypes!$E$2:$E$127, MATCH(D627, Archetypes!$A$2:$A$127, 0))*INDEX(Unit_Grades!$B$2:$B$7, MATCH(F627, Unit_Grades!$A$2:$A$7, 0))*INDEX(Unit_Paths!$B$2:$B$4, MATCH(E627, Unit_Paths!$A$2:$A$4, 0)),1)</f>
        <v>43.6</v>
      </c>
      <c r="I627" s="6" t="n">
        <f aca="false">ROUND(INDEX(Archetypes!$F$2:$F$127, MATCH(D627, Archetypes!$A$2:$A$127, 0))*INDEX(Unit_Grades!$B$2:$B$7, MATCH(F627, Unit_Grades!$A$2:$A$7, 0))*INDEX(Unit_Paths!$C$2:$C$4, MATCH(E627, Unit_Paths!$A$2:$A$4, 0)),1)</f>
        <v>43.9</v>
      </c>
      <c r="J627" s="6" t="n">
        <f aca="false">ROUND(INDEX(Archetypes!$G$2:$G$127, MATCH(D627, Archetypes!$A$2:$A$127, 0))*INDEX(Unit_Grades!$B$2:$B$7, MATCH(F627, Unit_Grades!$A$2:$A$7, 0))*INDEX(Unit_Paths!$D$2:$D$4, MATCH(E627, Unit_Paths!$A$2:$A$4, 0)),0)</f>
        <v>186</v>
      </c>
      <c r="K627" s="6" t="n">
        <f aca="false">ROUND(INDEX(Archetypes!$H$2:$H$127, MATCH(D627, Archetypes!$A$2:$A$127, 0))*INDEX(Unit_Paths!$E$2:$E$4, MATCH(E627, Unit_Paths!$A$2:$A$4, 0)),1)</f>
        <v>18.4</v>
      </c>
      <c r="L627" s="6" t="n">
        <f aca="false">ROUND(INDEX(Archetypes!$I$2:$I$127, MATCH(D627, Archetypes!$A$2:$A$127, 0))*INDEX(Unit_Grades!$C$2:$C$7, MATCH(F627, Unit_Grades!$A$2:$A$7, 0)),1)</f>
        <v>10</v>
      </c>
      <c r="M627" s="6" t="n">
        <f aca="false">ROUND(INDEX(Archetypes!$J$2:$J$127, MATCH(D627, Archetypes!$A$2:$A$127, 0))*INDEX(Unit_Grades!$D$2:$D$7, MATCH(F627, Unit_Grades!$A$2:$A$7, 0)),1)</f>
        <v>4.9</v>
      </c>
      <c r="N627" s="6" t="n">
        <f aca="false">ROUND(M627/24,2)</f>
        <v>0.2</v>
      </c>
    </row>
    <row r="628" customFormat="false" ht="15" hidden="false" customHeight="true" outlineLevel="0" collapsed="false">
      <c r="A628" s="6" t="n">
        <v>2</v>
      </c>
      <c r="B628" s="6" t="s">
        <v>2161</v>
      </c>
      <c r="C628" s="6" t="s">
        <v>1331</v>
      </c>
      <c r="D628" s="6" t="str">
        <f aca="false">A628&amp;"|"&amp;C628</f>
        <v>2|Sect Disciple</v>
      </c>
      <c r="E628" s="6" t="s">
        <v>1560</v>
      </c>
      <c r="F628" s="6" t="s">
        <v>1542</v>
      </c>
      <c r="G628" s="6" t="str">
        <f aca="false">INDEX(Archetypes!$D$2:$D$127, MATCH(D628, Archetypes!$A$2:$A$127, 0))</f>
        <v>Cultivator</v>
      </c>
      <c r="H628" s="6" t="n">
        <f aca="false">ROUND(INDEX(Archetypes!$E$2:$E$127, MATCH(D628, Archetypes!$A$2:$A$127, 0))*INDEX(Unit_Grades!$B$2:$B$7, MATCH(F628, Unit_Grades!$A$2:$A$7, 0))*INDEX(Unit_Paths!$B$2:$B$4, MATCH(E628, Unit_Paths!$A$2:$A$4, 0)),1)</f>
        <v>58.1</v>
      </c>
      <c r="I628" s="6" t="n">
        <f aca="false">ROUND(INDEX(Archetypes!$F$2:$F$127, MATCH(D628, Archetypes!$A$2:$A$127, 0))*INDEX(Unit_Grades!$B$2:$B$7, MATCH(F628, Unit_Grades!$A$2:$A$7, 0))*INDEX(Unit_Paths!$C$2:$C$4, MATCH(E628, Unit_Paths!$A$2:$A$4, 0)),1)</f>
        <v>58.5</v>
      </c>
      <c r="J628" s="6" t="n">
        <f aca="false">ROUND(INDEX(Archetypes!$G$2:$G$127, MATCH(D628, Archetypes!$A$2:$A$127, 0))*INDEX(Unit_Grades!$B$2:$B$7, MATCH(F628, Unit_Grades!$A$2:$A$7, 0))*INDEX(Unit_Paths!$D$2:$D$4, MATCH(E628, Unit_Paths!$A$2:$A$4, 0)),0)</f>
        <v>248</v>
      </c>
      <c r="K628" s="6" t="n">
        <f aca="false">ROUND(INDEX(Archetypes!$H$2:$H$127, MATCH(D628, Archetypes!$A$2:$A$127, 0))*INDEX(Unit_Paths!$E$2:$E$4, MATCH(E628, Unit_Paths!$A$2:$A$4, 0)),1)</f>
        <v>18.4</v>
      </c>
      <c r="L628" s="6" t="n">
        <f aca="false">ROUND(INDEX(Archetypes!$I$2:$I$127, MATCH(D628, Archetypes!$A$2:$A$127, 0))*INDEX(Unit_Grades!$C$2:$C$7, MATCH(F628, Unit_Grades!$A$2:$A$7, 0)),1)</f>
        <v>12.8</v>
      </c>
      <c r="M628" s="6" t="n">
        <f aca="false">ROUND(INDEX(Archetypes!$J$2:$J$127, MATCH(D628, Archetypes!$A$2:$A$127, 0))*INDEX(Unit_Grades!$D$2:$D$7, MATCH(F628, Unit_Grades!$A$2:$A$7, 0)),1)</f>
        <v>8.1</v>
      </c>
      <c r="N628" s="6" t="n">
        <f aca="false">ROUND(M628/24,2)</f>
        <v>0.34</v>
      </c>
    </row>
    <row r="629" customFormat="false" ht="15" hidden="false" customHeight="true" outlineLevel="0" collapsed="false">
      <c r="A629" s="6" t="n">
        <v>2</v>
      </c>
      <c r="B629" s="6" t="s">
        <v>2162</v>
      </c>
      <c r="C629" s="6" t="s">
        <v>1331</v>
      </c>
      <c r="D629" s="6" t="str">
        <f aca="false">A629&amp;"|"&amp;C629</f>
        <v>2|Sect Disciple</v>
      </c>
      <c r="E629" s="6" t="s">
        <v>1560</v>
      </c>
      <c r="F629" s="6" t="s">
        <v>1544</v>
      </c>
      <c r="G629" s="6" t="str">
        <f aca="false">INDEX(Archetypes!$D$2:$D$127, MATCH(D629, Archetypes!$A$2:$A$127, 0))</f>
        <v>Cultivator</v>
      </c>
      <c r="H629" s="6" t="n">
        <f aca="false">ROUND(INDEX(Archetypes!$E$2:$E$127, MATCH(D629, Archetypes!$A$2:$A$127, 0))*INDEX(Unit_Grades!$B$2:$B$7, MATCH(F629, Unit_Grades!$A$2:$A$7, 0))*INDEX(Unit_Paths!$B$2:$B$4, MATCH(E629, Unit_Paths!$A$2:$A$4, 0)),1)</f>
        <v>77.5</v>
      </c>
      <c r="I629" s="6" t="n">
        <f aca="false">ROUND(INDEX(Archetypes!$F$2:$F$127, MATCH(D629, Archetypes!$A$2:$A$127, 0))*INDEX(Unit_Grades!$B$2:$B$7, MATCH(F629, Unit_Grades!$A$2:$A$7, 0))*INDEX(Unit_Paths!$C$2:$C$4, MATCH(E629, Unit_Paths!$A$2:$A$4, 0)),1)</f>
        <v>78</v>
      </c>
      <c r="J629" s="6" t="n">
        <f aca="false">ROUND(INDEX(Archetypes!$G$2:$G$127, MATCH(D629, Archetypes!$A$2:$A$127, 0))*INDEX(Unit_Grades!$B$2:$B$7, MATCH(F629, Unit_Grades!$A$2:$A$7, 0))*INDEX(Unit_Paths!$D$2:$D$4, MATCH(E629, Unit_Paths!$A$2:$A$4, 0)),0)</f>
        <v>331</v>
      </c>
      <c r="K629" s="6" t="n">
        <f aca="false">ROUND(INDEX(Archetypes!$H$2:$H$127, MATCH(D629, Archetypes!$A$2:$A$127, 0))*INDEX(Unit_Paths!$E$2:$E$4, MATCH(E629, Unit_Paths!$A$2:$A$4, 0)),1)</f>
        <v>18.4</v>
      </c>
      <c r="L629" s="6" t="n">
        <f aca="false">ROUND(INDEX(Archetypes!$I$2:$I$127, MATCH(D629, Archetypes!$A$2:$A$127, 0))*INDEX(Unit_Grades!$C$2:$C$7, MATCH(F629, Unit_Grades!$A$2:$A$7, 0)),1)</f>
        <v>16.8</v>
      </c>
      <c r="M629" s="6" t="n">
        <f aca="false">ROUND(INDEX(Archetypes!$J$2:$J$127, MATCH(D629, Archetypes!$A$2:$A$127, 0))*INDEX(Unit_Grades!$D$2:$D$7, MATCH(F629, Unit_Grades!$A$2:$A$7, 0)),1)</f>
        <v>13</v>
      </c>
      <c r="N629" s="6" t="n">
        <f aca="false">ROUND(M629/24,2)</f>
        <v>0.54</v>
      </c>
    </row>
    <row r="630" customFormat="false" ht="15" hidden="false" customHeight="true" outlineLevel="0" collapsed="false">
      <c r="A630" s="6" t="n">
        <v>2</v>
      </c>
      <c r="B630" s="6" t="s">
        <v>2163</v>
      </c>
      <c r="C630" s="6" t="s">
        <v>1331</v>
      </c>
      <c r="D630" s="6" t="str">
        <f aca="false">A630&amp;"|"&amp;C630</f>
        <v>2|Sect Disciple</v>
      </c>
      <c r="E630" s="6" t="s">
        <v>1560</v>
      </c>
      <c r="F630" s="6" t="s">
        <v>1546</v>
      </c>
      <c r="G630" s="6" t="str">
        <f aca="false">INDEX(Archetypes!$D$2:$D$127, MATCH(D630, Archetypes!$A$2:$A$127, 0))</f>
        <v>Cultivator</v>
      </c>
      <c r="H630" s="6" t="n">
        <f aca="false">ROUND(INDEX(Archetypes!$E$2:$E$127, MATCH(D630, Archetypes!$A$2:$A$127, 0))*INDEX(Unit_Grades!$B$2:$B$7, MATCH(F630, Unit_Grades!$A$2:$A$7, 0))*INDEX(Unit_Paths!$B$2:$B$4, MATCH(E630, Unit_Paths!$A$2:$A$4, 0)),1)</f>
        <v>103.4</v>
      </c>
      <c r="I630" s="6" t="n">
        <f aca="false">ROUND(INDEX(Archetypes!$F$2:$F$127, MATCH(D630, Archetypes!$A$2:$A$127, 0))*INDEX(Unit_Grades!$B$2:$B$7, MATCH(F630, Unit_Grades!$A$2:$A$7, 0))*INDEX(Unit_Paths!$C$2:$C$4, MATCH(E630, Unit_Paths!$A$2:$A$4, 0)),1)</f>
        <v>104</v>
      </c>
      <c r="J630" s="6" t="n">
        <f aca="false">ROUND(INDEX(Archetypes!$G$2:$G$127, MATCH(D630, Archetypes!$A$2:$A$127, 0))*INDEX(Unit_Grades!$B$2:$B$7, MATCH(F630, Unit_Grades!$A$2:$A$7, 0))*INDEX(Unit_Paths!$D$2:$D$4, MATCH(E630, Unit_Paths!$A$2:$A$4, 0)),0)</f>
        <v>442</v>
      </c>
      <c r="K630" s="6" t="n">
        <f aca="false">ROUND(INDEX(Archetypes!$H$2:$H$127, MATCH(D630, Archetypes!$A$2:$A$127, 0))*INDEX(Unit_Paths!$E$2:$E$4, MATCH(E630, Unit_Paths!$A$2:$A$4, 0)),1)</f>
        <v>18.4</v>
      </c>
      <c r="L630" s="6" t="n">
        <f aca="false">ROUND(INDEX(Archetypes!$I$2:$I$127, MATCH(D630, Archetypes!$A$2:$A$127, 0))*INDEX(Unit_Grades!$C$2:$C$7, MATCH(F630, Unit_Grades!$A$2:$A$7, 0)),1)</f>
        <v>22.4</v>
      </c>
      <c r="M630" s="6" t="n">
        <f aca="false">ROUND(INDEX(Archetypes!$J$2:$J$127, MATCH(D630, Archetypes!$A$2:$A$127, 0))*INDEX(Unit_Grades!$D$2:$D$7, MATCH(F630, Unit_Grades!$A$2:$A$7, 0)),1)</f>
        <v>22.8</v>
      </c>
      <c r="N630" s="6" t="n">
        <f aca="false">ROUND(M630/24,2)</f>
        <v>0.95</v>
      </c>
    </row>
    <row r="631" customFormat="false" ht="15" hidden="false" customHeight="true" outlineLevel="0" collapsed="false">
      <c r="A631" s="6" t="n">
        <v>2</v>
      </c>
      <c r="B631" s="6" t="s">
        <v>2164</v>
      </c>
      <c r="C631" s="6" t="s">
        <v>1331</v>
      </c>
      <c r="D631" s="6" t="str">
        <f aca="false">A631&amp;"|"&amp;C631</f>
        <v>2|Sect Disciple</v>
      </c>
      <c r="E631" s="6" t="s">
        <v>1560</v>
      </c>
      <c r="F631" s="6" t="s">
        <v>1548</v>
      </c>
      <c r="G631" s="6" t="str">
        <f aca="false">INDEX(Archetypes!$D$2:$D$127, MATCH(D631, Archetypes!$A$2:$A$127, 0))</f>
        <v>Cultivator</v>
      </c>
      <c r="H631" s="6" t="n">
        <f aca="false">ROUND(INDEX(Archetypes!$E$2:$E$127, MATCH(D631, Archetypes!$A$2:$A$127, 0))*INDEX(Unit_Grades!$B$2:$B$7, MATCH(F631, Unit_Grades!$A$2:$A$7, 0))*INDEX(Unit_Paths!$B$2:$B$4, MATCH(E631, Unit_Paths!$A$2:$A$4, 0)),1)</f>
        <v>135.7</v>
      </c>
      <c r="I631" s="6" t="n">
        <f aca="false">ROUND(INDEX(Archetypes!$F$2:$F$127, MATCH(D631, Archetypes!$A$2:$A$127, 0))*INDEX(Unit_Grades!$B$2:$B$7, MATCH(F631, Unit_Grades!$A$2:$A$7, 0))*INDEX(Unit_Paths!$C$2:$C$4, MATCH(E631, Unit_Paths!$A$2:$A$4, 0)),1)</f>
        <v>136.5</v>
      </c>
      <c r="J631" s="6" t="n">
        <f aca="false">ROUND(INDEX(Archetypes!$G$2:$G$127, MATCH(D631, Archetypes!$A$2:$A$127, 0))*INDEX(Unit_Grades!$B$2:$B$7, MATCH(F631, Unit_Grades!$A$2:$A$7, 0))*INDEX(Unit_Paths!$D$2:$D$4, MATCH(E631, Unit_Paths!$A$2:$A$4, 0)),0)</f>
        <v>580</v>
      </c>
      <c r="K631" s="6" t="n">
        <f aca="false">ROUND(INDEX(Archetypes!$H$2:$H$127, MATCH(D631, Archetypes!$A$2:$A$127, 0))*INDEX(Unit_Paths!$E$2:$E$4, MATCH(E631, Unit_Paths!$A$2:$A$4, 0)),1)</f>
        <v>18.4</v>
      </c>
      <c r="L631" s="6" t="n">
        <f aca="false">ROUND(INDEX(Archetypes!$I$2:$I$127, MATCH(D631, Archetypes!$A$2:$A$127, 0))*INDEX(Unit_Grades!$C$2:$C$7, MATCH(F631, Unit_Grades!$A$2:$A$7, 0)),1)</f>
        <v>29.6</v>
      </c>
      <c r="M631" s="6" t="n">
        <f aca="false">ROUND(INDEX(Archetypes!$J$2:$J$127, MATCH(D631, Archetypes!$A$2:$A$127, 0))*INDEX(Unit_Grades!$D$2:$D$7, MATCH(F631, Unit_Grades!$A$2:$A$7, 0)),1)</f>
        <v>39</v>
      </c>
      <c r="N631" s="6" t="n">
        <f aca="false">ROUND(M631/24,2)</f>
        <v>1.63</v>
      </c>
    </row>
    <row r="632" customFormat="false" ht="15" hidden="false" customHeight="true" outlineLevel="0" collapsed="false">
      <c r="A632" s="6" t="n">
        <v>2</v>
      </c>
      <c r="B632" s="6" t="s">
        <v>1333</v>
      </c>
      <c r="C632" s="6" t="s">
        <v>1333</v>
      </c>
      <c r="D632" s="6" t="str">
        <f aca="false">A632&amp;"|"&amp;C632</f>
        <v>2|Array Adept</v>
      </c>
      <c r="E632" s="6" t="s">
        <v>1556</v>
      </c>
      <c r="F632" s="6" t="s">
        <v>1538</v>
      </c>
      <c r="G632" s="6" t="str">
        <f aca="false">INDEX(Archetypes!$D$2:$D$127, MATCH(D632, Archetypes!$A$2:$A$127, 0))</f>
        <v>Cultivator</v>
      </c>
      <c r="H632" s="6" t="n">
        <f aca="false">ROUND(INDEX(Archetypes!$E$2:$E$127, MATCH(D632, Archetypes!$A$2:$A$127, 0))*INDEX(Unit_Grades!$B$2:$B$7, MATCH(F632, Unit_Grades!$A$2:$A$7, 0))*INDEX(Unit_Paths!$B$2:$B$4, MATCH(E632, Unit_Paths!$A$2:$A$4, 0)),1)</f>
        <v>30</v>
      </c>
      <c r="I632" s="6" t="n">
        <f aca="false">ROUND(INDEX(Archetypes!$F$2:$F$127, MATCH(D632, Archetypes!$A$2:$A$127, 0))*INDEX(Unit_Grades!$B$2:$B$7, MATCH(F632, Unit_Grades!$A$2:$A$7, 0))*INDEX(Unit_Paths!$C$2:$C$4, MATCH(E632, Unit_Paths!$A$2:$A$4, 0)),1)</f>
        <v>34</v>
      </c>
      <c r="J632" s="6" t="n">
        <f aca="false">ROUND(INDEX(Archetypes!$G$2:$G$127, MATCH(D632, Archetypes!$A$2:$A$127, 0))*INDEX(Unit_Grades!$B$2:$B$7, MATCH(F632, Unit_Grades!$A$2:$A$7, 0))*INDEX(Unit_Paths!$D$2:$D$4, MATCH(E632, Unit_Paths!$A$2:$A$4, 0)),0)</f>
        <v>110</v>
      </c>
      <c r="K632" s="6" t="n">
        <f aca="false">ROUND(INDEX(Archetypes!$H$2:$H$127, MATCH(D632, Archetypes!$A$2:$A$127, 0))*INDEX(Unit_Paths!$E$2:$E$4, MATCH(E632, Unit_Paths!$A$2:$A$4, 0)),1)</f>
        <v>16</v>
      </c>
      <c r="L632" s="6" t="n">
        <f aca="false">ROUND(INDEX(Archetypes!$I$2:$I$127, MATCH(D632, Archetypes!$A$2:$A$127, 0))*INDEX(Unit_Grades!$C$2:$C$7, MATCH(F632, Unit_Grades!$A$2:$A$7, 0)),1)</f>
        <v>8</v>
      </c>
      <c r="M632" s="6" t="n">
        <f aca="false">ROUND(INDEX(Archetypes!$J$2:$J$127, MATCH(D632, Archetypes!$A$2:$A$127, 0))*INDEX(Unit_Grades!$D$2:$D$7, MATCH(F632, Unit_Grades!$A$2:$A$7, 0)),1)</f>
        <v>3.3</v>
      </c>
      <c r="N632" s="6" t="n">
        <f aca="false">ROUND(M632/24,2)</f>
        <v>0.14</v>
      </c>
    </row>
    <row r="633" customFormat="false" ht="15" hidden="false" customHeight="true" outlineLevel="0" collapsed="false">
      <c r="A633" s="6" t="n">
        <v>2</v>
      </c>
      <c r="B633" s="6" t="s">
        <v>2165</v>
      </c>
      <c r="C633" s="6" t="s">
        <v>1333</v>
      </c>
      <c r="D633" s="6" t="str">
        <f aca="false">A633&amp;"|"&amp;C633</f>
        <v>2|Array Adept</v>
      </c>
      <c r="E633" s="6" t="s">
        <v>1556</v>
      </c>
      <c r="F633" s="6" t="s">
        <v>1540</v>
      </c>
      <c r="G633" s="6" t="str">
        <f aca="false">INDEX(Archetypes!$D$2:$D$127, MATCH(D633, Archetypes!$A$2:$A$127, 0))</f>
        <v>Cultivator</v>
      </c>
      <c r="H633" s="6" t="n">
        <f aca="false">ROUND(INDEX(Archetypes!$E$2:$E$127, MATCH(D633, Archetypes!$A$2:$A$127, 0))*INDEX(Unit_Grades!$B$2:$B$7, MATCH(F633, Unit_Grades!$A$2:$A$7, 0))*INDEX(Unit_Paths!$B$2:$B$4, MATCH(E633, Unit_Paths!$A$2:$A$4, 0)),1)</f>
        <v>40.5</v>
      </c>
      <c r="I633" s="6" t="n">
        <f aca="false">ROUND(INDEX(Archetypes!$F$2:$F$127, MATCH(D633, Archetypes!$A$2:$A$127, 0))*INDEX(Unit_Grades!$B$2:$B$7, MATCH(F633, Unit_Grades!$A$2:$A$7, 0))*INDEX(Unit_Paths!$C$2:$C$4, MATCH(E633, Unit_Paths!$A$2:$A$4, 0)),1)</f>
        <v>45.9</v>
      </c>
      <c r="J633" s="6" t="n">
        <f aca="false">ROUND(INDEX(Archetypes!$G$2:$G$127, MATCH(D633, Archetypes!$A$2:$A$127, 0))*INDEX(Unit_Grades!$B$2:$B$7, MATCH(F633, Unit_Grades!$A$2:$A$7, 0))*INDEX(Unit_Paths!$D$2:$D$4, MATCH(E633, Unit_Paths!$A$2:$A$4, 0)),0)</f>
        <v>149</v>
      </c>
      <c r="K633" s="6" t="n">
        <f aca="false">ROUND(INDEX(Archetypes!$H$2:$H$127, MATCH(D633, Archetypes!$A$2:$A$127, 0))*INDEX(Unit_Paths!$E$2:$E$4, MATCH(E633, Unit_Paths!$A$2:$A$4, 0)),1)</f>
        <v>16</v>
      </c>
      <c r="L633" s="6" t="n">
        <f aca="false">ROUND(INDEX(Archetypes!$I$2:$I$127, MATCH(D633, Archetypes!$A$2:$A$127, 0))*INDEX(Unit_Grades!$C$2:$C$7, MATCH(F633, Unit_Grades!$A$2:$A$7, 0)),1)</f>
        <v>10</v>
      </c>
      <c r="M633" s="6" t="n">
        <f aca="false">ROUND(INDEX(Archetypes!$J$2:$J$127, MATCH(D633, Archetypes!$A$2:$A$127, 0))*INDEX(Unit_Grades!$D$2:$D$7, MATCH(F633, Unit_Grades!$A$2:$A$7, 0)),1)</f>
        <v>4.9</v>
      </c>
      <c r="N633" s="6" t="n">
        <f aca="false">ROUND(M633/24,2)</f>
        <v>0.2</v>
      </c>
    </row>
    <row r="634" customFormat="false" ht="15" hidden="false" customHeight="true" outlineLevel="0" collapsed="false">
      <c r="A634" s="6" t="n">
        <v>2</v>
      </c>
      <c r="B634" s="6" t="s">
        <v>2166</v>
      </c>
      <c r="C634" s="6" t="s">
        <v>1333</v>
      </c>
      <c r="D634" s="6" t="str">
        <f aca="false">A634&amp;"|"&amp;C634</f>
        <v>2|Array Adept</v>
      </c>
      <c r="E634" s="6" t="s">
        <v>1556</v>
      </c>
      <c r="F634" s="6" t="s">
        <v>1542</v>
      </c>
      <c r="G634" s="6" t="str">
        <f aca="false">INDEX(Archetypes!$D$2:$D$127, MATCH(D634, Archetypes!$A$2:$A$127, 0))</f>
        <v>Cultivator</v>
      </c>
      <c r="H634" s="6" t="n">
        <f aca="false">ROUND(INDEX(Archetypes!$E$2:$E$127, MATCH(D634, Archetypes!$A$2:$A$127, 0))*INDEX(Unit_Grades!$B$2:$B$7, MATCH(F634, Unit_Grades!$A$2:$A$7, 0))*INDEX(Unit_Paths!$B$2:$B$4, MATCH(E634, Unit_Paths!$A$2:$A$4, 0)),1)</f>
        <v>54</v>
      </c>
      <c r="I634" s="6" t="n">
        <f aca="false">ROUND(INDEX(Archetypes!$F$2:$F$127, MATCH(D634, Archetypes!$A$2:$A$127, 0))*INDEX(Unit_Grades!$B$2:$B$7, MATCH(F634, Unit_Grades!$A$2:$A$7, 0))*INDEX(Unit_Paths!$C$2:$C$4, MATCH(E634, Unit_Paths!$A$2:$A$4, 0)),1)</f>
        <v>61.2</v>
      </c>
      <c r="J634" s="6" t="n">
        <f aca="false">ROUND(INDEX(Archetypes!$G$2:$G$127, MATCH(D634, Archetypes!$A$2:$A$127, 0))*INDEX(Unit_Grades!$B$2:$B$7, MATCH(F634, Unit_Grades!$A$2:$A$7, 0))*INDEX(Unit_Paths!$D$2:$D$4, MATCH(E634, Unit_Paths!$A$2:$A$4, 0)),0)</f>
        <v>198</v>
      </c>
      <c r="K634" s="6" t="n">
        <f aca="false">ROUND(INDEX(Archetypes!$H$2:$H$127, MATCH(D634, Archetypes!$A$2:$A$127, 0))*INDEX(Unit_Paths!$E$2:$E$4, MATCH(E634, Unit_Paths!$A$2:$A$4, 0)),1)</f>
        <v>16</v>
      </c>
      <c r="L634" s="6" t="n">
        <f aca="false">ROUND(INDEX(Archetypes!$I$2:$I$127, MATCH(D634, Archetypes!$A$2:$A$127, 0))*INDEX(Unit_Grades!$C$2:$C$7, MATCH(F634, Unit_Grades!$A$2:$A$7, 0)),1)</f>
        <v>12.8</v>
      </c>
      <c r="M634" s="6" t="n">
        <f aca="false">ROUND(INDEX(Archetypes!$J$2:$J$127, MATCH(D634, Archetypes!$A$2:$A$127, 0))*INDEX(Unit_Grades!$D$2:$D$7, MATCH(F634, Unit_Grades!$A$2:$A$7, 0)),1)</f>
        <v>8.1</v>
      </c>
      <c r="N634" s="6" t="n">
        <f aca="false">ROUND(M634/24,2)</f>
        <v>0.34</v>
      </c>
    </row>
    <row r="635" customFormat="false" ht="15" hidden="false" customHeight="true" outlineLevel="0" collapsed="false">
      <c r="A635" s="6" t="n">
        <v>2</v>
      </c>
      <c r="B635" s="6" t="s">
        <v>2167</v>
      </c>
      <c r="C635" s="6" t="s">
        <v>1333</v>
      </c>
      <c r="D635" s="6" t="str">
        <f aca="false">A635&amp;"|"&amp;C635</f>
        <v>2|Array Adept</v>
      </c>
      <c r="E635" s="6" t="s">
        <v>1556</v>
      </c>
      <c r="F635" s="6" t="s">
        <v>1544</v>
      </c>
      <c r="G635" s="6" t="str">
        <f aca="false">INDEX(Archetypes!$D$2:$D$127, MATCH(D635, Archetypes!$A$2:$A$127, 0))</f>
        <v>Cultivator</v>
      </c>
      <c r="H635" s="6" t="n">
        <f aca="false">ROUND(INDEX(Archetypes!$E$2:$E$127, MATCH(D635, Archetypes!$A$2:$A$127, 0))*INDEX(Unit_Grades!$B$2:$B$7, MATCH(F635, Unit_Grades!$A$2:$A$7, 0))*INDEX(Unit_Paths!$B$2:$B$4, MATCH(E635, Unit_Paths!$A$2:$A$4, 0)),1)</f>
        <v>72</v>
      </c>
      <c r="I635" s="6" t="n">
        <f aca="false">ROUND(INDEX(Archetypes!$F$2:$F$127, MATCH(D635, Archetypes!$A$2:$A$127, 0))*INDEX(Unit_Grades!$B$2:$B$7, MATCH(F635, Unit_Grades!$A$2:$A$7, 0))*INDEX(Unit_Paths!$C$2:$C$4, MATCH(E635, Unit_Paths!$A$2:$A$4, 0)),1)</f>
        <v>81.6</v>
      </c>
      <c r="J635" s="6" t="n">
        <f aca="false">ROUND(INDEX(Archetypes!$G$2:$G$127, MATCH(D635, Archetypes!$A$2:$A$127, 0))*INDEX(Unit_Grades!$B$2:$B$7, MATCH(F635, Unit_Grades!$A$2:$A$7, 0))*INDEX(Unit_Paths!$D$2:$D$4, MATCH(E635, Unit_Paths!$A$2:$A$4, 0)),0)</f>
        <v>264</v>
      </c>
      <c r="K635" s="6" t="n">
        <f aca="false">ROUND(INDEX(Archetypes!$H$2:$H$127, MATCH(D635, Archetypes!$A$2:$A$127, 0))*INDEX(Unit_Paths!$E$2:$E$4, MATCH(E635, Unit_Paths!$A$2:$A$4, 0)),1)</f>
        <v>16</v>
      </c>
      <c r="L635" s="6" t="n">
        <f aca="false">ROUND(INDEX(Archetypes!$I$2:$I$127, MATCH(D635, Archetypes!$A$2:$A$127, 0))*INDEX(Unit_Grades!$C$2:$C$7, MATCH(F635, Unit_Grades!$A$2:$A$7, 0)),1)</f>
        <v>16.8</v>
      </c>
      <c r="M635" s="6" t="n">
        <f aca="false">ROUND(INDEX(Archetypes!$J$2:$J$127, MATCH(D635, Archetypes!$A$2:$A$127, 0))*INDEX(Unit_Grades!$D$2:$D$7, MATCH(F635, Unit_Grades!$A$2:$A$7, 0)),1)</f>
        <v>13</v>
      </c>
      <c r="N635" s="6" t="n">
        <f aca="false">ROUND(M635/24,2)</f>
        <v>0.54</v>
      </c>
    </row>
    <row r="636" customFormat="false" ht="15" hidden="false" customHeight="true" outlineLevel="0" collapsed="false">
      <c r="A636" s="6" t="n">
        <v>2</v>
      </c>
      <c r="B636" s="6" t="s">
        <v>2168</v>
      </c>
      <c r="C636" s="6" t="s">
        <v>1333</v>
      </c>
      <c r="D636" s="6" t="str">
        <f aca="false">A636&amp;"|"&amp;C636</f>
        <v>2|Array Adept</v>
      </c>
      <c r="E636" s="6" t="s">
        <v>1556</v>
      </c>
      <c r="F636" s="6" t="s">
        <v>1546</v>
      </c>
      <c r="G636" s="6" t="str">
        <f aca="false">INDEX(Archetypes!$D$2:$D$127, MATCH(D636, Archetypes!$A$2:$A$127, 0))</f>
        <v>Cultivator</v>
      </c>
      <c r="H636" s="6" t="n">
        <f aca="false">ROUND(INDEX(Archetypes!$E$2:$E$127, MATCH(D636, Archetypes!$A$2:$A$127, 0))*INDEX(Unit_Grades!$B$2:$B$7, MATCH(F636, Unit_Grades!$A$2:$A$7, 0))*INDEX(Unit_Paths!$B$2:$B$4, MATCH(E636, Unit_Paths!$A$2:$A$4, 0)),1)</f>
        <v>96</v>
      </c>
      <c r="I636" s="6" t="n">
        <f aca="false">ROUND(INDEX(Archetypes!$F$2:$F$127, MATCH(D636, Archetypes!$A$2:$A$127, 0))*INDEX(Unit_Grades!$B$2:$B$7, MATCH(F636, Unit_Grades!$A$2:$A$7, 0))*INDEX(Unit_Paths!$C$2:$C$4, MATCH(E636, Unit_Paths!$A$2:$A$4, 0)),1)</f>
        <v>108.8</v>
      </c>
      <c r="J636" s="6" t="n">
        <f aca="false">ROUND(INDEX(Archetypes!$G$2:$G$127, MATCH(D636, Archetypes!$A$2:$A$127, 0))*INDEX(Unit_Grades!$B$2:$B$7, MATCH(F636, Unit_Grades!$A$2:$A$7, 0))*INDEX(Unit_Paths!$D$2:$D$4, MATCH(E636, Unit_Paths!$A$2:$A$4, 0)),0)</f>
        <v>352</v>
      </c>
      <c r="K636" s="6" t="n">
        <f aca="false">ROUND(INDEX(Archetypes!$H$2:$H$127, MATCH(D636, Archetypes!$A$2:$A$127, 0))*INDEX(Unit_Paths!$E$2:$E$4, MATCH(E636, Unit_Paths!$A$2:$A$4, 0)),1)</f>
        <v>16</v>
      </c>
      <c r="L636" s="6" t="n">
        <f aca="false">ROUND(INDEX(Archetypes!$I$2:$I$127, MATCH(D636, Archetypes!$A$2:$A$127, 0))*INDEX(Unit_Grades!$C$2:$C$7, MATCH(F636, Unit_Grades!$A$2:$A$7, 0)),1)</f>
        <v>22.4</v>
      </c>
      <c r="M636" s="6" t="n">
        <f aca="false">ROUND(INDEX(Archetypes!$J$2:$J$127, MATCH(D636, Archetypes!$A$2:$A$127, 0))*INDEX(Unit_Grades!$D$2:$D$7, MATCH(F636, Unit_Grades!$A$2:$A$7, 0)),1)</f>
        <v>22.8</v>
      </c>
      <c r="N636" s="6" t="n">
        <f aca="false">ROUND(M636/24,2)</f>
        <v>0.95</v>
      </c>
    </row>
    <row r="637" customFormat="false" ht="15" hidden="false" customHeight="true" outlineLevel="0" collapsed="false">
      <c r="A637" s="6" t="n">
        <v>2</v>
      </c>
      <c r="B637" s="6" t="s">
        <v>2169</v>
      </c>
      <c r="C637" s="6" t="s">
        <v>1333</v>
      </c>
      <c r="D637" s="6" t="str">
        <f aca="false">A637&amp;"|"&amp;C637</f>
        <v>2|Array Adept</v>
      </c>
      <c r="E637" s="6" t="s">
        <v>1556</v>
      </c>
      <c r="F637" s="6" t="s">
        <v>1548</v>
      </c>
      <c r="G637" s="6" t="str">
        <f aca="false">INDEX(Archetypes!$D$2:$D$127, MATCH(D637, Archetypes!$A$2:$A$127, 0))</f>
        <v>Cultivator</v>
      </c>
      <c r="H637" s="6" t="n">
        <f aca="false">ROUND(INDEX(Archetypes!$E$2:$E$127, MATCH(D637, Archetypes!$A$2:$A$127, 0))*INDEX(Unit_Grades!$B$2:$B$7, MATCH(F637, Unit_Grades!$A$2:$A$7, 0))*INDEX(Unit_Paths!$B$2:$B$4, MATCH(E637, Unit_Paths!$A$2:$A$4, 0)),1)</f>
        <v>126</v>
      </c>
      <c r="I637" s="6" t="n">
        <f aca="false">ROUND(INDEX(Archetypes!$F$2:$F$127, MATCH(D637, Archetypes!$A$2:$A$127, 0))*INDEX(Unit_Grades!$B$2:$B$7, MATCH(F637, Unit_Grades!$A$2:$A$7, 0))*INDEX(Unit_Paths!$C$2:$C$4, MATCH(E637, Unit_Paths!$A$2:$A$4, 0)),1)</f>
        <v>142.8</v>
      </c>
      <c r="J637" s="6" t="n">
        <f aca="false">ROUND(INDEX(Archetypes!$G$2:$G$127, MATCH(D637, Archetypes!$A$2:$A$127, 0))*INDEX(Unit_Grades!$B$2:$B$7, MATCH(F637, Unit_Grades!$A$2:$A$7, 0))*INDEX(Unit_Paths!$D$2:$D$4, MATCH(E637, Unit_Paths!$A$2:$A$4, 0)),0)</f>
        <v>462</v>
      </c>
      <c r="K637" s="6" t="n">
        <f aca="false">ROUND(INDEX(Archetypes!$H$2:$H$127, MATCH(D637, Archetypes!$A$2:$A$127, 0))*INDEX(Unit_Paths!$E$2:$E$4, MATCH(E637, Unit_Paths!$A$2:$A$4, 0)),1)</f>
        <v>16</v>
      </c>
      <c r="L637" s="6" t="n">
        <f aca="false">ROUND(INDEX(Archetypes!$I$2:$I$127, MATCH(D637, Archetypes!$A$2:$A$127, 0))*INDEX(Unit_Grades!$C$2:$C$7, MATCH(F637, Unit_Grades!$A$2:$A$7, 0)),1)</f>
        <v>29.6</v>
      </c>
      <c r="M637" s="6" t="n">
        <f aca="false">ROUND(INDEX(Archetypes!$J$2:$J$127, MATCH(D637, Archetypes!$A$2:$A$127, 0))*INDEX(Unit_Grades!$D$2:$D$7, MATCH(F637, Unit_Grades!$A$2:$A$7, 0)),1)</f>
        <v>39</v>
      </c>
      <c r="N637" s="6" t="n">
        <f aca="false">ROUND(M637/24,2)</f>
        <v>1.63</v>
      </c>
    </row>
    <row r="638" customFormat="false" ht="15" hidden="false" customHeight="true" outlineLevel="0" collapsed="false">
      <c r="A638" s="6" t="n">
        <v>2</v>
      </c>
      <c r="B638" s="6" t="s">
        <v>2170</v>
      </c>
      <c r="C638" s="6" t="s">
        <v>1333</v>
      </c>
      <c r="D638" s="6" t="str">
        <f aca="false">A638&amp;"|"&amp;C638</f>
        <v>2|Array Adept</v>
      </c>
      <c r="E638" s="6" t="s">
        <v>1558</v>
      </c>
      <c r="F638" s="6" t="s">
        <v>1538</v>
      </c>
      <c r="G638" s="6" t="str">
        <f aca="false">INDEX(Archetypes!$D$2:$D$127, MATCH(D638, Archetypes!$A$2:$A$127, 0))</f>
        <v>Cultivator</v>
      </c>
      <c r="H638" s="6" t="n">
        <f aca="false">ROUND(INDEX(Archetypes!$E$2:$E$127, MATCH(D638, Archetypes!$A$2:$A$127, 0))*INDEX(Unit_Grades!$B$2:$B$7, MATCH(F638, Unit_Grades!$A$2:$A$7, 0))*INDEX(Unit_Paths!$B$2:$B$4, MATCH(E638, Unit_Paths!$A$2:$A$4, 0)),1)</f>
        <v>36</v>
      </c>
      <c r="I638" s="6" t="n">
        <f aca="false">ROUND(INDEX(Archetypes!$F$2:$F$127, MATCH(D638, Archetypes!$A$2:$A$127, 0))*INDEX(Unit_Grades!$B$2:$B$7, MATCH(F638, Unit_Grades!$A$2:$A$7, 0))*INDEX(Unit_Paths!$C$2:$C$4, MATCH(E638, Unit_Paths!$A$2:$A$4, 0)),1)</f>
        <v>28.9</v>
      </c>
      <c r="J638" s="6" t="n">
        <f aca="false">ROUND(INDEX(Archetypes!$G$2:$G$127, MATCH(D638, Archetypes!$A$2:$A$127, 0))*INDEX(Unit_Grades!$B$2:$B$7, MATCH(F638, Unit_Grades!$A$2:$A$7, 0))*INDEX(Unit_Paths!$D$2:$D$4, MATCH(E638, Unit_Paths!$A$2:$A$4, 0)),0)</f>
        <v>105</v>
      </c>
      <c r="K638" s="6" t="n">
        <f aca="false">ROUND(INDEX(Archetypes!$H$2:$H$127, MATCH(D638, Archetypes!$A$2:$A$127, 0))*INDEX(Unit_Paths!$E$2:$E$4, MATCH(E638, Unit_Paths!$A$2:$A$4, 0)),1)</f>
        <v>16.8</v>
      </c>
      <c r="L638" s="6" t="n">
        <f aca="false">ROUND(INDEX(Archetypes!$I$2:$I$127, MATCH(D638, Archetypes!$A$2:$A$127, 0))*INDEX(Unit_Grades!$C$2:$C$7, MATCH(F638, Unit_Grades!$A$2:$A$7, 0)),1)</f>
        <v>8</v>
      </c>
      <c r="M638" s="6" t="n">
        <f aca="false">ROUND(INDEX(Archetypes!$J$2:$J$127, MATCH(D638, Archetypes!$A$2:$A$127, 0))*INDEX(Unit_Grades!$D$2:$D$7, MATCH(F638, Unit_Grades!$A$2:$A$7, 0)),1)</f>
        <v>3.3</v>
      </c>
      <c r="N638" s="6" t="n">
        <f aca="false">ROUND(M638/24,2)</f>
        <v>0.14</v>
      </c>
    </row>
    <row r="639" customFormat="false" ht="15" hidden="false" customHeight="true" outlineLevel="0" collapsed="false">
      <c r="A639" s="6" t="n">
        <v>2</v>
      </c>
      <c r="B639" s="6" t="s">
        <v>2171</v>
      </c>
      <c r="C639" s="6" t="s">
        <v>1333</v>
      </c>
      <c r="D639" s="6" t="str">
        <f aca="false">A639&amp;"|"&amp;C639</f>
        <v>2|Array Adept</v>
      </c>
      <c r="E639" s="6" t="s">
        <v>1558</v>
      </c>
      <c r="F639" s="6" t="s">
        <v>1540</v>
      </c>
      <c r="G639" s="6" t="str">
        <f aca="false">INDEX(Archetypes!$D$2:$D$127, MATCH(D639, Archetypes!$A$2:$A$127, 0))</f>
        <v>Cultivator</v>
      </c>
      <c r="H639" s="6" t="n">
        <f aca="false">ROUND(INDEX(Archetypes!$E$2:$E$127, MATCH(D639, Archetypes!$A$2:$A$127, 0))*INDEX(Unit_Grades!$B$2:$B$7, MATCH(F639, Unit_Grades!$A$2:$A$7, 0))*INDEX(Unit_Paths!$B$2:$B$4, MATCH(E639, Unit_Paths!$A$2:$A$4, 0)),1)</f>
        <v>48.6</v>
      </c>
      <c r="I639" s="6" t="n">
        <f aca="false">ROUND(INDEX(Archetypes!$F$2:$F$127, MATCH(D639, Archetypes!$A$2:$A$127, 0))*INDEX(Unit_Grades!$B$2:$B$7, MATCH(F639, Unit_Grades!$A$2:$A$7, 0))*INDEX(Unit_Paths!$C$2:$C$4, MATCH(E639, Unit_Paths!$A$2:$A$4, 0)),1)</f>
        <v>39</v>
      </c>
      <c r="J639" s="6" t="n">
        <f aca="false">ROUND(INDEX(Archetypes!$G$2:$G$127, MATCH(D639, Archetypes!$A$2:$A$127, 0))*INDEX(Unit_Grades!$B$2:$B$7, MATCH(F639, Unit_Grades!$A$2:$A$7, 0))*INDEX(Unit_Paths!$D$2:$D$4, MATCH(E639, Unit_Paths!$A$2:$A$4, 0)),0)</f>
        <v>141</v>
      </c>
      <c r="K639" s="6" t="n">
        <f aca="false">ROUND(INDEX(Archetypes!$H$2:$H$127, MATCH(D639, Archetypes!$A$2:$A$127, 0))*INDEX(Unit_Paths!$E$2:$E$4, MATCH(E639, Unit_Paths!$A$2:$A$4, 0)),1)</f>
        <v>16.8</v>
      </c>
      <c r="L639" s="6" t="n">
        <f aca="false">ROUND(INDEX(Archetypes!$I$2:$I$127, MATCH(D639, Archetypes!$A$2:$A$127, 0))*INDEX(Unit_Grades!$C$2:$C$7, MATCH(F639, Unit_Grades!$A$2:$A$7, 0)),1)</f>
        <v>10</v>
      </c>
      <c r="M639" s="6" t="n">
        <f aca="false">ROUND(INDEX(Archetypes!$J$2:$J$127, MATCH(D639, Archetypes!$A$2:$A$127, 0))*INDEX(Unit_Grades!$D$2:$D$7, MATCH(F639, Unit_Grades!$A$2:$A$7, 0)),1)</f>
        <v>4.9</v>
      </c>
      <c r="N639" s="6" t="n">
        <f aca="false">ROUND(M639/24,2)</f>
        <v>0.2</v>
      </c>
    </row>
    <row r="640" customFormat="false" ht="15" hidden="false" customHeight="true" outlineLevel="0" collapsed="false">
      <c r="A640" s="6" t="n">
        <v>2</v>
      </c>
      <c r="B640" s="6" t="s">
        <v>2172</v>
      </c>
      <c r="C640" s="6" t="s">
        <v>1333</v>
      </c>
      <c r="D640" s="6" t="str">
        <f aca="false">A640&amp;"|"&amp;C640</f>
        <v>2|Array Adept</v>
      </c>
      <c r="E640" s="6" t="s">
        <v>1558</v>
      </c>
      <c r="F640" s="6" t="s">
        <v>1542</v>
      </c>
      <c r="G640" s="6" t="str">
        <f aca="false">INDEX(Archetypes!$D$2:$D$127, MATCH(D640, Archetypes!$A$2:$A$127, 0))</f>
        <v>Cultivator</v>
      </c>
      <c r="H640" s="6" t="n">
        <f aca="false">ROUND(INDEX(Archetypes!$E$2:$E$127, MATCH(D640, Archetypes!$A$2:$A$127, 0))*INDEX(Unit_Grades!$B$2:$B$7, MATCH(F640, Unit_Grades!$A$2:$A$7, 0))*INDEX(Unit_Paths!$B$2:$B$4, MATCH(E640, Unit_Paths!$A$2:$A$4, 0)),1)</f>
        <v>64.8</v>
      </c>
      <c r="I640" s="6" t="n">
        <f aca="false">ROUND(INDEX(Archetypes!$F$2:$F$127, MATCH(D640, Archetypes!$A$2:$A$127, 0))*INDEX(Unit_Grades!$B$2:$B$7, MATCH(F640, Unit_Grades!$A$2:$A$7, 0))*INDEX(Unit_Paths!$C$2:$C$4, MATCH(E640, Unit_Paths!$A$2:$A$4, 0)),1)</f>
        <v>52</v>
      </c>
      <c r="J640" s="6" t="n">
        <f aca="false">ROUND(INDEX(Archetypes!$G$2:$G$127, MATCH(D640, Archetypes!$A$2:$A$127, 0))*INDEX(Unit_Grades!$B$2:$B$7, MATCH(F640, Unit_Grades!$A$2:$A$7, 0))*INDEX(Unit_Paths!$D$2:$D$4, MATCH(E640, Unit_Paths!$A$2:$A$4, 0)),0)</f>
        <v>188</v>
      </c>
      <c r="K640" s="6" t="n">
        <f aca="false">ROUND(INDEX(Archetypes!$H$2:$H$127, MATCH(D640, Archetypes!$A$2:$A$127, 0))*INDEX(Unit_Paths!$E$2:$E$4, MATCH(E640, Unit_Paths!$A$2:$A$4, 0)),1)</f>
        <v>16.8</v>
      </c>
      <c r="L640" s="6" t="n">
        <f aca="false">ROUND(INDEX(Archetypes!$I$2:$I$127, MATCH(D640, Archetypes!$A$2:$A$127, 0))*INDEX(Unit_Grades!$C$2:$C$7, MATCH(F640, Unit_Grades!$A$2:$A$7, 0)),1)</f>
        <v>12.8</v>
      </c>
      <c r="M640" s="6" t="n">
        <f aca="false">ROUND(INDEX(Archetypes!$J$2:$J$127, MATCH(D640, Archetypes!$A$2:$A$127, 0))*INDEX(Unit_Grades!$D$2:$D$7, MATCH(F640, Unit_Grades!$A$2:$A$7, 0)),1)</f>
        <v>8.1</v>
      </c>
      <c r="N640" s="6" t="n">
        <f aca="false">ROUND(M640/24,2)</f>
        <v>0.34</v>
      </c>
    </row>
    <row r="641" customFormat="false" ht="15" hidden="false" customHeight="true" outlineLevel="0" collapsed="false">
      <c r="A641" s="6" t="n">
        <v>2</v>
      </c>
      <c r="B641" s="6" t="s">
        <v>2173</v>
      </c>
      <c r="C641" s="6" t="s">
        <v>1333</v>
      </c>
      <c r="D641" s="6" t="str">
        <f aca="false">A641&amp;"|"&amp;C641</f>
        <v>2|Array Adept</v>
      </c>
      <c r="E641" s="6" t="s">
        <v>1558</v>
      </c>
      <c r="F641" s="6" t="s">
        <v>1544</v>
      </c>
      <c r="G641" s="6" t="str">
        <f aca="false">INDEX(Archetypes!$D$2:$D$127, MATCH(D641, Archetypes!$A$2:$A$127, 0))</f>
        <v>Cultivator</v>
      </c>
      <c r="H641" s="6" t="n">
        <f aca="false">ROUND(INDEX(Archetypes!$E$2:$E$127, MATCH(D641, Archetypes!$A$2:$A$127, 0))*INDEX(Unit_Grades!$B$2:$B$7, MATCH(F641, Unit_Grades!$A$2:$A$7, 0))*INDEX(Unit_Paths!$B$2:$B$4, MATCH(E641, Unit_Paths!$A$2:$A$4, 0)),1)</f>
        <v>86.4</v>
      </c>
      <c r="I641" s="6" t="n">
        <f aca="false">ROUND(INDEX(Archetypes!$F$2:$F$127, MATCH(D641, Archetypes!$A$2:$A$127, 0))*INDEX(Unit_Grades!$B$2:$B$7, MATCH(F641, Unit_Grades!$A$2:$A$7, 0))*INDEX(Unit_Paths!$C$2:$C$4, MATCH(E641, Unit_Paths!$A$2:$A$4, 0)),1)</f>
        <v>69.4</v>
      </c>
      <c r="J641" s="6" t="n">
        <f aca="false">ROUND(INDEX(Archetypes!$G$2:$G$127, MATCH(D641, Archetypes!$A$2:$A$127, 0))*INDEX(Unit_Grades!$B$2:$B$7, MATCH(F641, Unit_Grades!$A$2:$A$7, 0))*INDEX(Unit_Paths!$D$2:$D$4, MATCH(E641, Unit_Paths!$A$2:$A$4, 0)),0)</f>
        <v>251</v>
      </c>
      <c r="K641" s="6" t="n">
        <f aca="false">ROUND(INDEX(Archetypes!$H$2:$H$127, MATCH(D641, Archetypes!$A$2:$A$127, 0))*INDEX(Unit_Paths!$E$2:$E$4, MATCH(E641, Unit_Paths!$A$2:$A$4, 0)),1)</f>
        <v>16.8</v>
      </c>
      <c r="L641" s="6" t="n">
        <f aca="false">ROUND(INDEX(Archetypes!$I$2:$I$127, MATCH(D641, Archetypes!$A$2:$A$127, 0))*INDEX(Unit_Grades!$C$2:$C$7, MATCH(F641, Unit_Grades!$A$2:$A$7, 0)),1)</f>
        <v>16.8</v>
      </c>
      <c r="M641" s="6" t="n">
        <f aca="false">ROUND(INDEX(Archetypes!$J$2:$J$127, MATCH(D641, Archetypes!$A$2:$A$127, 0))*INDEX(Unit_Grades!$D$2:$D$7, MATCH(F641, Unit_Grades!$A$2:$A$7, 0)),1)</f>
        <v>13</v>
      </c>
      <c r="N641" s="6" t="n">
        <f aca="false">ROUND(M641/24,2)</f>
        <v>0.54</v>
      </c>
    </row>
    <row r="642" customFormat="false" ht="15" hidden="false" customHeight="true" outlineLevel="0" collapsed="false">
      <c r="A642" s="6" t="n">
        <v>2</v>
      </c>
      <c r="B642" s="6" t="s">
        <v>2174</v>
      </c>
      <c r="C642" s="6" t="s">
        <v>1333</v>
      </c>
      <c r="D642" s="6" t="str">
        <f aca="false">A642&amp;"|"&amp;C642</f>
        <v>2|Array Adept</v>
      </c>
      <c r="E642" s="6" t="s">
        <v>1558</v>
      </c>
      <c r="F642" s="6" t="s">
        <v>1546</v>
      </c>
      <c r="G642" s="6" t="str">
        <f aca="false">INDEX(Archetypes!$D$2:$D$127, MATCH(D642, Archetypes!$A$2:$A$127, 0))</f>
        <v>Cultivator</v>
      </c>
      <c r="H642" s="6" t="n">
        <f aca="false">ROUND(INDEX(Archetypes!$E$2:$E$127, MATCH(D642, Archetypes!$A$2:$A$127, 0))*INDEX(Unit_Grades!$B$2:$B$7, MATCH(F642, Unit_Grades!$A$2:$A$7, 0))*INDEX(Unit_Paths!$B$2:$B$4, MATCH(E642, Unit_Paths!$A$2:$A$4, 0)),1)</f>
        <v>115.2</v>
      </c>
      <c r="I642" s="6" t="n">
        <f aca="false">ROUND(INDEX(Archetypes!$F$2:$F$127, MATCH(D642, Archetypes!$A$2:$A$127, 0))*INDEX(Unit_Grades!$B$2:$B$7, MATCH(F642, Unit_Grades!$A$2:$A$7, 0))*INDEX(Unit_Paths!$C$2:$C$4, MATCH(E642, Unit_Paths!$A$2:$A$4, 0)),1)</f>
        <v>92.5</v>
      </c>
      <c r="J642" s="6" t="n">
        <f aca="false">ROUND(INDEX(Archetypes!$G$2:$G$127, MATCH(D642, Archetypes!$A$2:$A$127, 0))*INDEX(Unit_Grades!$B$2:$B$7, MATCH(F642, Unit_Grades!$A$2:$A$7, 0))*INDEX(Unit_Paths!$D$2:$D$4, MATCH(E642, Unit_Paths!$A$2:$A$4, 0)),0)</f>
        <v>334</v>
      </c>
      <c r="K642" s="6" t="n">
        <f aca="false">ROUND(INDEX(Archetypes!$H$2:$H$127, MATCH(D642, Archetypes!$A$2:$A$127, 0))*INDEX(Unit_Paths!$E$2:$E$4, MATCH(E642, Unit_Paths!$A$2:$A$4, 0)),1)</f>
        <v>16.8</v>
      </c>
      <c r="L642" s="6" t="n">
        <f aca="false">ROUND(INDEX(Archetypes!$I$2:$I$127, MATCH(D642, Archetypes!$A$2:$A$127, 0))*INDEX(Unit_Grades!$C$2:$C$7, MATCH(F642, Unit_Grades!$A$2:$A$7, 0)),1)</f>
        <v>22.4</v>
      </c>
      <c r="M642" s="6" t="n">
        <f aca="false">ROUND(INDEX(Archetypes!$J$2:$J$127, MATCH(D642, Archetypes!$A$2:$A$127, 0))*INDEX(Unit_Grades!$D$2:$D$7, MATCH(F642, Unit_Grades!$A$2:$A$7, 0)),1)</f>
        <v>22.8</v>
      </c>
      <c r="N642" s="6" t="n">
        <f aca="false">ROUND(M642/24,2)</f>
        <v>0.95</v>
      </c>
    </row>
    <row r="643" customFormat="false" ht="15" hidden="false" customHeight="true" outlineLevel="0" collapsed="false">
      <c r="A643" s="6" t="n">
        <v>2</v>
      </c>
      <c r="B643" s="6" t="s">
        <v>2175</v>
      </c>
      <c r="C643" s="6" t="s">
        <v>1333</v>
      </c>
      <c r="D643" s="6" t="str">
        <f aca="false">A643&amp;"|"&amp;C643</f>
        <v>2|Array Adept</v>
      </c>
      <c r="E643" s="6" t="s">
        <v>1558</v>
      </c>
      <c r="F643" s="6" t="s">
        <v>1548</v>
      </c>
      <c r="G643" s="6" t="str">
        <f aca="false">INDEX(Archetypes!$D$2:$D$127, MATCH(D643, Archetypes!$A$2:$A$127, 0))</f>
        <v>Cultivator</v>
      </c>
      <c r="H643" s="6" t="n">
        <f aca="false">ROUND(INDEX(Archetypes!$E$2:$E$127, MATCH(D643, Archetypes!$A$2:$A$127, 0))*INDEX(Unit_Grades!$B$2:$B$7, MATCH(F643, Unit_Grades!$A$2:$A$7, 0))*INDEX(Unit_Paths!$B$2:$B$4, MATCH(E643, Unit_Paths!$A$2:$A$4, 0)),1)</f>
        <v>151.2</v>
      </c>
      <c r="I643" s="6" t="n">
        <f aca="false">ROUND(INDEX(Archetypes!$F$2:$F$127, MATCH(D643, Archetypes!$A$2:$A$127, 0))*INDEX(Unit_Grades!$B$2:$B$7, MATCH(F643, Unit_Grades!$A$2:$A$7, 0))*INDEX(Unit_Paths!$C$2:$C$4, MATCH(E643, Unit_Paths!$A$2:$A$4, 0)),1)</f>
        <v>121.4</v>
      </c>
      <c r="J643" s="6" t="n">
        <f aca="false">ROUND(INDEX(Archetypes!$G$2:$G$127, MATCH(D643, Archetypes!$A$2:$A$127, 0))*INDEX(Unit_Grades!$B$2:$B$7, MATCH(F643, Unit_Grades!$A$2:$A$7, 0))*INDEX(Unit_Paths!$D$2:$D$4, MATCH(E643, Unit_Paths!$A$2:$A$4, 0)),0)</f>
        <v>439</v>
      </c>
      <c r="K643" s="6" t="n">
        <f aca="false">ROUND(INDEX(Archetypes!$H$2:$H$127, MATCH(D643, Archetypes!$A$2:$A$127, 0))*INDEX(Unit_Paths!$E$2:$E$4, MATCH(E643, Unit_Paths!$A$2:$A$4, 0)),1)</f>
        <v>16.8</v>
      </c>
      <c r="L643" s="6" t="n">
        <f aca="false">ROUND(INDEX(Archetypes!$I$2:$I$127, MATCH(D643, Archetypes!$A$2:$A$127, 0))*INDEX(Unit_Grades!$C$2:$C$7, MATCH(F643, Unit_Grades!$A$2:$A$7, 0)),1)</f>
        <v>29.6</v>
      </c>
      <c r="M643" s="6" t="n">
        <f aca="false">ROUND(INDEX(Archetypes!$J$2:$J$127, MATCH(D643, Archetypes!$A$2:$A$127, 0))*INDEX(Unit_Grades!$D$2:$D$7, MATCH(F643, Unit_Grades!$A$2:$A$7, 0)),1)</f>
        <v>39</v>
      </c>
      <c r="N643" s="6" t="n">
        <f aca="false">ROUND(M643/24,2)</f>
        <v>1.63</v>
      </c>
    </row>
    <row r="644" customFormat="false" ht="15" hidden="false" customHeight="true" outlineLevel="0" collapsed="false">
      <c r="A644" s="6" t="n">
        <v>2</v>
      </c>
      <c r="B644" s="6" t="s">
        <v>2176</v>
      </c>
      <c r="C644" s="6" t="s">
        <v>1333</v>
      </c>
      <c r="D644" s="6" t="str">
        <f aca="false">A644&amp;"|"&amp;C644</f>
        <v>2|Array Adept</v>
      </c>
      <c r="E644" s="6" t="s">
        <v>1560</v>
      </c>
      <c r="F644" s="6" t="s">
        <v>1538</v>
      </c>
      <c r="G644" s="6" t="str">
        <f aca="false">INDEX(Archetypes!$D$2:$D$127, MATCH(D644, Archetypes!$A$2:$A$127, 0))</f>
        <v>Cultivator</v>
      </c>
      <c r="H644" s="6" t="n">
        <f aca="false">ROUND(INDEX(Archetypes!$E$2:$E$127, MATCH(D644, Archetypes!$A$2:$A$127, 0))*INDEX(Unit_Grades!$B$2:$B$7, MATCH(F644, Unit_Grades!$A$2:$A$7, 0))*INDEX(Unit_Paths!$B$2:$B$4, MATCH(E644, Unit_Paths!$A$2:$A$4, 0)),1)</f>
        <v>25.5</v>
      </c>
      <c r="I644" s="6" t="n">
        <f aca="false">ROUND(INDEX(Archetypes!$F$2:$F$127, MATCH(D644, Archetypes!$A$2:$A$127, 0))*INDEX(Unit_Grades!$B$2:$B$7, MATCH(F644, Unit_Grades!$A$2:$A$7, 0))*INDEX(Unit_Paths!$C$2:$C$4, MATCH(E644, Unit_Paths!$A$2:$A$4, 0)),1)</f>
        <v>42.5</v>
      </c>
      <c r="J644" s="6" t="n">
        <f aca="false">ROUND(INDEX(Archetypes!$G$2:$G$127, MATCH(D644, Archetypes!$A$2:$A$127, 0))*INDEX(Unit_Grades!$B$2:$B$7, MATCH(F644, Unit_Grades!$A$2:$A$7, 0))*INDEX(Unit_Paths!$D$2:$D$4, MATCH(E644, Unit_Paths!$A$2:$A$4, 0)),0)</f>
        <v>126</v>
      </c>
      <c r="K644" s="6" t="n">
        <f aca="false">ROUND(INDEX(Archetypes!$H$2:$H$127, MATCH(D644, Archetypes!$A$2:$A$127, 0))*INDEX(Unit_Paths!$E$2:$E$4, MATCH(E644, Unit_Paths!$A$2:$A$4, 0)),1)</f>
        <v>14.7</v>
      </c>
      <c r="L644" s="6" t="n">
        <f aca="false">ROUND(INDEX(Archetypes!$I$2:$I$127, MATCH(D644, Archetypes!$A$2:$A$127, 0))*INDEX(Unit_Grades!$C$2:$C$7, MATCH(F644, Unit_Grades!$A$2:$A$7, 0)),1)</f>
        <v>8</v>
      </c>
      <c r="M644" s="6" t="n">
        <f aca="false">ROUND(INDEX(Archetypes!$J$2:$J$127, MATCH(D644, Archetypes!$A$2:$A$127, 0))*INDEX(Unit_Grades!$D$2:$D$7, MATCH(F644, Unit_Grades!$A$2:$A$7, 0)),1)</f>
        <v>3.3</v>
      </c>
      <c r="N644" s="6" t="n">
        <f aca="false">ROUND(M644/24,2)</f>
        <v>0.14</v>
      </c>
    </row>
    <row r="645" customFormat="false" ht="15" hidden="false" customHeight="true" outlineLevel="0" collapsed="false">
      <c r="A645" s="6" t="n">
        <v>2</v>
      </c>
      <c r="B645" s="6" t="s">
        <v>2177</v>
      </c>
      <c r="C645" s="6" t="s">
        <v>1333</v>
      </c>
      <c r="D645" s="6" t="str">
        <f aca="false">A645&amp;"|"&amp;C645</f>
        <v>2|Array Adept</v>
      </c>
      <c r="E645" s="6" t="s">
        <v>1560</v>
      </c>
      <c r="F645" s="6" t="s">
        <v>1540</v>
      </c>
      <c r="G645" s="6" t="str">
        <f aca="false">INDEX(Archetypes!$D$2:$D$127, MATCH(D645, Archetypes!$A$2:$A$127, 0))</f>
        <v>Cultivator</v>
      </c>
      <c r="H645" s="6" t="n">
        <f aca="false">ROUND(INDEX(Archetypes!$E$2:$E$127, MATCH(D645, Archetypes!$A$2:$A$127, 0))*INDEX(Unit_Grades!$B$2:$B$7, MATCH(F645, Unit_Grades!$A$2:$A$7, 0))*INDEX(Unit_Paths!$B$2:$B$4, MATCH(E645, Unit_Paths!$A$2:$A$4, 0)),1)</f>
        <v>34.4</v>
      </c>
      <c r="I645" s="6" t="n">
        <f aca="false">ROUND(INDEX(Archetypes!$F$2:$F$127, MATCH(D645, Archetypes!$A$2:$A$127, 0))*INDEX(Unit_Grades!$B$2:$B$7, MATCH(F645, Unit_Grades!$A$2:$A$7, 0))*INDEX(Unit_Paths!$C$2:$C$4, MATCH(E645, Unit_Paths!$A$2:$A$4, 0)),1)</f>
        <v>57.4</v>
      </c>
      <c r="J645" s="6" t="n">
        <f aca="false">ROUND(INDEX(Archetypes!$G$2:$G$127, MATCH(D645, Archetypes!$A$2:$A$127, 0))*INDEX(Unit_Grades!$B$2:$B$7, MATCH(F645, Unit_Grades!$A$2:$A$7, 0))*INDEX(Unit_Paths!$D$2:$D$4, MATCH(E645, Unit_Paths!$A$2:$A$4, 0)),0)</f>
        <v>171</v>
      </c>
      <c r="K645" s="6" t="n">
        <f aca="false">ROUND(INDEX(Archetypes!$H$2:$H$127, MATCH(D645, Archetypes!$A$2:$A$127, 0))*INDEX(Unit_Paths!$E$2:$E$4, MATCH(E645, Unit_Paths!$A$2:$A$4, 0)),1)</f>
        <v>14.7</v>
      </c>
      <c r="L645" s="6" t="n">
        <f aca="false">ROUND(INDEX(Archetypes!$I$2:$I$127, MATCH(D645, Archetypes!$A$2:$A$127, 0))*INDEX(Unit_Grades!$C$2:$C$7, MATCH(F645, Unit_Grades!$A$2:$A$7, 0)),1)</f>
        <v>10</v>
      </c>
      <c r="M645" s="6" t="n">
        <f aca="false">ROUND(INDEX(Archetypes!$J$2:$J$127, MATCH(D645, Archetypes!$A$2:$A$127, 0))*INDEX(Unit_Grades!$D$2:$D$7, MATCH(F645, Unit_Grades!$A$2:$A$7, 0)),1)</f>
        <v>4.9</v>
      </c>
      <c r="N645" s="6" t="n">
        <f aca="false">ROUND(M645/24,2)</f>
        <v>0.2</v>
      </c>
    </row>
    <row r="646" customFormat="false" ht="15" hidden="false" customHeight="true" outlineLevel="0" collapsed="false">
      <c r="A646" s="6" t="n">
        <v>2</v>
      </c>
      <c r="B646" s="6" t="s">
        <v>2178</v>
      </c>
      <c r="C646" s="6" t="s">
        <v>1333</v>
      </c>
      <c r="D646" s="6" t="str">
        <f aca="false">A646&amp;"|"&amp;C646</f>
        <v>2|Array Adept</v>
      </c>
      <c r="E646" s="6" t="s">
        <v>1560</v>
      </c>
      <c r="F646" s="6" t="s">
        <v>1542</v>
      </c>
      <c r="G646" s="6" t="str">
        <f aca="false">INDEX(Archetypes!$D$2:$D$127, MATCH(D646, Archetypes!$A$2:$A$127, 0))</f>
        <v>Cultivator</v>
      </c>
      <c r="H646" s="6" t="n">
        <f aca="false">ROUND(INDEX(Archetypes!$E$2:$E$127, MATCH(D646, Archetypes!$A$2:$A$127, 0))*INDEX(Unit_Grades!$B$2:$B$7, MATCH(F646, Unit_Grades!$A$2:$A$7, 0))*INDEX(Unit_Paths!$B$2:$B$4, MATCH(E646, Unit_Paths!$A$2:$A$4, 0)),1)</f>
        <v>45.9</v>
      </c>
      <c r="I646" s="6" t="n">
        <f aca="false">ROUND(INDEX(Archetypes!$F$2:$F$127, MATCH(D646, Archetypes!$A$2:$A$127, 0))*INDEX(Unit_Grades!$B$2:$B$7, MATCH(F646, Unit_Grades!$A$2:$A$7, 0))*INDEX(Unit_Paths!$C$2:$C$4, MATCH(E646, Unit_Paths!$A$2:$A$4, 0)),1)</f>
        <v>76.5</v>
      </c>
      <c r="J646" s="6" t="n">
        <f aca="false">ROUND(INDEX(Archetypes!$G$2:$G$127, MATCH(D646, Archetypes!$A$2:$A$127, 0))*INDEX(Unit_Grades!$B$2:$B$7, MATCH(F646, Unit_Grades!$A$2:$A$7, 0))*INDEX(Unit_Paths!$D$2:$D$4, MATCH(E646, Unit_Paths!$A$2:$A$4, 0)),0)</f>
        <v>228</v>
      </c>
      <c r="K646" s="6" t="n">
        <f aca="false">ROUND(INDEX(Archetypes!$H$2:$H$127, MATCH(D646, Archetypes!$A$2:$A$127, 0))*INDEX(Unit_Paths!$E$2:$E$4, MATCH(E646, Unit_Paths!$A$2:$A$4, 0)),1)</f>
        <v>14.7</v>
      </c>
      <c r="L646" s="6" t="n">
        <f aca="false">ROUND(INDEX(Archetypes!$I$2:$I$127, MATCH(D646, Archetypes!$A$2:$A$127, 0))*INDEX(Unit_Grades!$C$2:$C$7, MATCH(F646, Unit_Grades!$A$2:$A$7, 0)),1)</f>
        <v>12.8</v>
      </c>
      <c r="M646" s="6" t="n">
        <f aca="false">ROUND(INDEX(Archetypes!$J$2:$J$127, MATCH(D646, Archetypes!$A$2:$A$127, 0))*INDEX(Unit_Grades!$D$2:$D$7, MATCH(F646, Unit_Grades!$A$2:$A$7, 0)),1)</f>
        <v>8.1</v>
      </c>
      <c r="N646" s="6" t="n">
        <f aca="false">ROUND(M646/24,2)</f>
        <v>0.34</v>
      </c>
    </row>
    <row r="647" customFormat="false" ht="15" hidden="false" customHeight="true" outlineLevel="0" collapsed="false">
      <c r="A647" s="6" t="n">
        <v>2</v>
      </c>
      <c r="B647" s="6" t="s">
        <v>2179</v>
      </c>
      <c r="C647" s="6" t="s">
        <v>1333</v>
      </c>
      <c r="D647" s="6" t="str">
        <f aca="false">A647&amp;"|"&amp;C647</f>
        <v>2|Array Adept</v>
      </c>
      <c r="E647" s="6" t="s">
        <v>1560</v>
      </c>
      <c r="F647" s="6" t="s">
        <v>1544</v>
      </c>
      <c r="G647" s="6" t="str">
        <f aca="false">INDEX(Archetypes!$D$2:$D$127, MATCH(D647, Archetypes!$A$2:$A$127, 0))</f>
        <v>Cultivator</v>
      </c>
      <c r="H647" s="6" t="n">
        <f aca="false">ROUND(INDEX(Archetypes!$E$2:$E$127, MATCH(D647, Archetypes!$A$2:$A$127, 0))*INDEX(Unit_Grades!$B$2:$B$7, MATCH(F647, Unit_Grades!$A$2:$A$7, 0))*INDEX(Unit_Paths!$B$2:$B$4, MATCH(E647, Unit_Paths!$A$2:$A$4, 0)),1)</f>
        <v>61.2</v>
      </c>
      <c r="I647" s="6" t="n">
        <f aca="false">ROUND(INDEX(Archetypes!$F$2:$F$127, MATCH(D647, Archetypes!$A$2:$A$127, 0))*INDEX(Unit_Grades!$B$2:$B$7, MATCH(F647, Unit_Grades!$A$2:$A$7, 0))*INDEX(Unit_Paths!$C$2:$C$4, MATCH(E647, Unit_Paths!$A$2:$A$4, 0)),1)</f>
        <v>102</v>
      </c>
      <c r="J647" s="6" t="n">
        <f aca="false">ROUND(INDEX(Archetypes!$G$2:$G$127, MATCH(D647, Archetypes!$A$2:$A$127, 0))*INDEX(Unit_Grades!$B$2:$B$7, MATCH(F647, Unit_Grades!$A$2:$A$7, 0))*INDEX(Unit_Paths!$D$2:$D$4, MATCH(E647, Unit_Paths!$A$2:$A$4, 0)),0)</f>
        <v>304</v>
      </c>
      <c r="K647" s="6" t="n">
        <f aca="false">ROUND(INDEX(Archetypes!$H$2:$H$127, MATCH(D647, Archetypes!$A$2:$A$127, 0))*INDEX(Unit_Paths!$E$2:$E$4, MATCH(E647, Unit_Paths!$A$2:$A$4, 0)),1)</f>
        <v>14.7</v>
      </c>
      <c r="L647" s="6" t="n">
        <f aca="false">ROUND(INDEX(Archetypes!$I$2:$I$127, MATCH(D647, Archetypes!$A$2:$A$127, 0))*INDEX(Unit_Grades!$C$2:$C$7, MATCH(F647, Unit_Grades!$A$2:$A$7, 0)),1)</f>
        <v>16.8</v>
      </c>
      <c r="M647" s="6" t="n">
        <f aca="false">ROUND(INDEX(Archetypes!$J$2:$J$127, MATCH(D647, Archetypes!$A$2:$A$127, 0))*INDEX(Unit_Grades!$D$2:$D$7, MATCH(F647, Unit_Grades!$A$2:$A$7, 0)),1)</f>
        <v>13</v>
      </c>
      <c r="N647" s="6" t="n">
        <f aca="false">ROUND(M647/24,2)</f>
        <v>0.54</v>
      </c>
    </row>
    <row r="648" customFormat="false" ht="15" hidden="false" customHeight="true" outlineLevel="0" collapsed="false">
      <c r="A648" s="6" t="n">
        <v>2</v>
      </c>
      <c r="B648" s="6" t="s">
        <v>2180</v>
      </c>
      <c r="C648" s="6" t="s">
        <v>1333</v>
      </c>
      <c r="D648" s="6" t="str">
        <f aca="false">A648&amp;"|"&amp;C648</f>
        <v>2|Array Adept</v>
      </c>
      <c r="E648" s="6" t="s">
        <v>1560</v>
      </c>
      <c r="F648" s="6" t="s">
        <v>1546</v>
      </c>
      <c r="G648" s="6" t="str">
        <f aca="false">INDEX(Archetypes!$D$2:$D$127, MATCH(D648, Archetypes!$A$2:$A$127, 0))</f>
        <v>Cultivator</v>
      </c>
      <c r="H648" s="6" t="n">
        <f aca="false">ROUND(INDEX(Archetypes!$E$2:$E$127, MATCH(D648, Archetypes!$A$2:$A$127, 0))*INDEX(Unit_Grades!$B$2:$B$7, MATCH(F648, Unit_Grades!$A$2:$A$7, 0))*INDEX(Unit_Paths!$B$2:$B$4, MATCH(E648, Unit_Paths!$A$2:$A$4, 0)),1)</f>
        <v>81.6</v>
      </c>
      <c r="I648" s="6" t="n">
        <f aca="false">ROUND(INDEX(Archetypes!$F$2:$F$127, MATCH(D648, Archetypes!$A$2:$A$127, 0))*INDEX(Unit_Grades!$B$2:$B$7, MATCH(F648, Unit_Grades!$A$2:$A$7, 0))*INDEX(Unit_Paths!$C$2:$C$4, MATCH(E648, Unit_Paths!$A$2:$A$4, 0)),1)</f>
        <v>136</v>
      </c>
      <c r="J648" s="6" t="n">
        <f aca="false">ROUND(INDEX(Archetypes!$G$2:$G$127, MATCH(D648, Archetypes!$A$2:$A$127, 0))*INDEX(Unit_Grades!$B$2:$B$7, MATCH(F648, Unit_Grades!$A$2:$A$7, 0))*INDEX(Unit_Paths!$D$2:$D$4, MATCH(E648, Unit_Paths!$A$2:$A$4, 0)),0)</f>
        <v>405</v>
      </c>
      <c r="K648" s="6" t="n">
        <f aca="false">ROUND(INDEX(Archetypes!$H$2:$H$127, MATCH(D648, Archetypes!$A$2:$A$127, 0))*INDEX(Unit_Paths!$E$2:$E$4, MATCH(E648, Unit_Paths!$A$2:$A$4, 0)),1)</f>
        <v>14.7</v>
      </c>
      <c r="L648" s="6" t="n">
        <f aca="false">ROUND(INDEX(Archetypes!$I$2:$I$127, MATCH(D648, Archetypes!$A$2:$A$127, 0))*INDEX(Unit_Grades!$C$2:$C$7, MATCH(F648, Unit_Grades!$A$2:$A$7, 0)),1)</f>
        <v>22.4</v>
      </c>
      <c r="M648" s="6" t="n">
        <f aca="false">ROUND(INDEX(Archetypes!$J$2:$J$127, MATCH(D648, Archetypes!$A$2:$A$127, 0))*INDEX(Unit_Grades!$D$2:$D$7, MATCH(F648, Unit_Grades!$A$2:$A$7, 0)),1)</f>
        <v>22.8</v>
      </c>
      <c r="N648" s="6" t="n">
        <f aca="false">ROUND(M648/24,2)</f>
        <v>0.95</v>
      </c>
    </row>
    <row r="649" customFormat="false" ht="15" hidden="false" customHeight="true" outlineLevel="0" collapsed="false">
      <c r="A649" s="6" t="n">
        <v>2</v>
      </c>
      <c r="B649" s="6" t="s">
        <v>2181</v>
      </c>
      <c r="C649" s="6" t="s">
        <v>1333</v>
      </c>
      <c r="D649" s="6" t="str">
        <f aca="false">A649&amp;"|"&amp;C649</f>
        <v>2|Array Adept</v>
      </c>
      <c r="E649" s="6" t="s">
        <v>1560</v>
      </c>
      <c r="F649" s="6" t="s">
        <v>1548</v>
      </c>
      <c r="G649" s="6" t="str">
        <f aca="false">INDEX(Archetypes!$D$2:$D$127, MATCH(D649, Archetypes!$A$2:$A$127, 0))</f>
        <v>Cultivator</v>
      </c>
      <c r="H649" s="6" t="n">
        <f aca="false">ROUND(INDEX(Archetypes!$E$2:$E$127, MATCH(D649, Archetypes!$A$2:$A$127, 0))*INDEX(Unit_Grades!$B$2:$B$7, MATCH(F649, Unit_Grades!$A$2:$A$7, 0))*INDEX(Unit_Paths!$B$2:$B$4, MATCH(E649, Unit_Paths!$A$2:$A$4, 0)),1)</f>
        <v>107.1</v>
      </c>
      <c r="I649" s="6" t="n">
        <f aca="false">ROUND(INDEX(Archetypes!$F$2:$F$127, MATCH(D649, Archetypes!$A$2:$A$127, 0))*INDEX(Unit_Grades!$B$2:$B$7, MATCH(F649, Unit_Grades!$A$2:$A$7, 0))*INDEX(Unit_Paths!$C$2:$C$4, MATCH(E649, Unit_Paths!$A$2:$A$4, 0)),1)</f>
        <v>178.5</v>
      </c>
      <c r="J649" s="6" t="n">
        <f aca="false">ROUND(INDEX(Archetypes!$G$2:$G$127, MATCH(D649, Archetypes!$A$2:$A$127, 0))*INDEX(Unit_Grades!$B$2:$B$7, MATCH(F649, Unit_Grades!$A$2:$A$7, 0))*INDEX(Unit_Paths!$D$2:$D$4, MATCH(E649, Unit_Paths!$A$2:$A$4, 0)),0)</f>
        <v>531</v>
      </c>
      <c r="K649" s="6" t="n">
        <f aca="false">ROUND(INDEX(Archetypes!$H$2:$H$127, MATCH(D649, Archetypes!$A$2:$A$127, 0))*INDEX(Unit_Paths!$E$2:$E$4, MATCH(E649, Unit_Paths!$A$2:$A$4, 0)),1)</f>
        <v>14.7</v>
      </c>
      <c r="L649" s="6" t="n">
        <f aca="false">ROUND(INDEX(Archetypes!$I$2:$I$127, MATCH(D649, Archetypes!$A$2:$A$127, 0))*INDEX(Unit_Grades!$C$2:$C$7, MATCH(F649, Unit_Grades!$A$2:$A$7, 0)),1)</f>
        <v>29.6</v>
      </c>
      <c r="M649" s="6" t="n">
        <f aca="false">ROUND(INDEX(Archetypes!$J$2:$J$127, MATCH(D649, Archetypes!$A$2:$A$127, 0))*INDEX(Unit_Grades!$D$2:$D$7, MATCH(F649, Unit_Grades!$A$2:$A$7, 0)),1)</f>
        <v>39</v>
      </c>
      <c r="N649" s="6" t="n">
        <f aca="false">ROUND(M649/24,2)</f>
        <v>1.63</v>
      </c>
    </row>
    <row r="650" customFormat="false" ht="15" hidden="false" customHeight="true" outlineLevel="0" collapsed="false">
      <c r="A650" s="6" t="n">
        <v>3</v>
      </c>
      <c r="B650" s="6" t="s">
        <v>1335</v>
      </c>
      <c r="C650" s="6" t="s">
        <v>1335</v>
      </c>
      <c r="D650" s="6" t="str">
        <f aca="false">A650&amp;"|"&amp;C650</f>
        <v>3|Musketeer</v>
      </c>
      <c r="E650" s="6" t="s">
        <v>1556</v>
      </c>
      <c r="F650" s="6" t="s">
        <v>1538</v>
      </c>
      <c r="G650" s="6" t="str">
        <f aca="false">INDEX(Archetypes!$D$2:$D$127, MATCH(D650, Archetypes!$A$2:$A$127, 0))</f>
        <v>Line Infantry</v>
      </c>
      <c r="H650" s="6" t="n">
        <f aca="false">ROUND(INDEX(Archetypes!$E$2:$E$127, MATCH(D650, Archetypes!$A$2:$A$127, 0))*INDEX(Unit_Grades!$B$2:$B$7, MATCH(F650, Unit_Grades!$A$2:$A$7, 0))*INDEX(Unit_Paths!$B$2:$B$4, MATCH(E650, Unit_Paths!$A$2:$A$4, 0)),1)</f>
        <v>44</v>
      </c>
      <c r="I650" s="6" t="n">
        <f aca="false">ROUND(INDEX(Archetypes!$F$2:$F$127, MATCH(D650, Archetypes!$A$2:$A$127, 0))*INDEX(Unit_Grades!$B$2:$B$7, MATCH(F650, Unit_Grades!$A$2:$A$7, 0))*INDEX(Unit_Paths!$C$2:$C$4, MATCH(E650, Unit_Paths!$A$2:$A$4, 0)),1)</f>
        <v>26</v>
      </c>
      <c r="J650" s="6" t="n">
        <f aca="false">ROUND(INDEX(Archetypes!$G$2:$G$127, MATCH(D650, Archetypes!$A$2:$A$127, 0))*INDEX(Unit_Grades!$B$2:$B$7, MATCH(F650, Unit_Grades!$A$2:$A$7, 0))*INDEX(Unit_Paths!$D$2:$D$4, MATCH(E650, Unit_Paths!$A$2:$A$4, 0)),0)</f>
        <v>115</v>
      </c>
      <c r="K650" s="6" t="n">
        <f aca="false">ROUND(INDEX(Archetypes!$H$2:$H$127, MATCH(D650, Archetypes!$A$2:$A$127, 0))*INDEX(Unit_Paths!$E$2:$E$4, MATCH(E650, Unit_Paths!$A$2:$A$4, 0)),1)</f>
        <v>15</v>
      </c>
      <c r="L650" s="6" t="n">
        <f aca="false">ROUND(INDEX(Archetypes!$I$2:$I$127, MATCH(D650, Archetypes!$A$2:$A$127, 0))*INDEX(Unit_Grades!$C$2:$C$7, MATCH(F650, Unit_Grades!$A$2:$A$7, 0)),1)</f>
        <v>6</v>
      </c>
      <c r="M650" s="6" t="n">
        <f aca="false">ROUND(INDEX(Archetypes!$J$2:$J$127, MATCH(D650, Archetypes!$A$2:$A$127, 0))*INDEX(Unit_Grades!$D$2:$D$7, MATCH(F650, Unit_Grades!$A$2:$A$7, 0)),1)</f>
        <v>2.4</v>
      </c>
      <c r="N650" s="6" t="n">
        <f aca="false">ROUND(M650/24,2)</f>
        <v>0.1</v>
      </c>
    </row>
    <row r="651" customFormat="false" ht="15" hidden="false" customHeight="true" outlineLevel="0" collapsed="false">
      <c r="A651" s="6" t="n">
        <v>3</v>
      </c>
      <c r="B651" s="6" t="s">
        <v>2182</v>
      </c>
      <c r="C651" s="6" t="s">
        <v>1335</v>
      </c>
      <c r="D651" s="6" t="str">
        <f aca="false">A651&amp;"|"&amp;C651</f>
        <v>3|Musketeer</v>
      </c>
      <c r="E651" s="6" t="s">
        <v>1556</v>
      </c>
      <c r="F651" s="6" t="s">
        <v>1540</v>
      </c>
      <c r="G651" s="6" t="str">
        <f aca="false">INDEX(Archetypes!$D$2:$D$127, MATCH(D651, Archetypes!$A$2:$A$127, 0))</f>
        <v>Line Infantry</v>
      </c>
      <c r="H651" s="6" t="n">
        <f aca="false">ROUND(INDEX(Archetypes!$E$2:$E$127, MATCH(D651, Archetypes!$A$2:$A$127, 0))*INDEX(Unit_Grades!$B$2:$B$7, MATCH(F651, Unit_Grades!$A$2:$A$7, 0))*INDEX(Unit_Paths!$B$2:$B$4, MATCH(E651, Unit_Paths!$A$2:$A$4, 0)),1)</f>
        <v>59.4</v>
      </c>
      <c r="I651" s="6" t="n">
        <f aca="false">ROUND(INDEX(Archetypes!$F$2:$F$127, MATCH(D651, Archetypes!$A$2:$A$127, 0))*INDEX(Unit_Grades!$B$2:$B$7, MATCH(F651, Unit_Grades!$A$2:$A$7, 0))*INDEX(Unit_Paths!$C$2:$C$4, MATCH(E651, Unit_Paths!$A$2:$A$4, 0)),1)</f>
        <v>35.1</v>
      </c>
      <c r="J651" s="6" t="n">
        <f aca="false">ROUND(INDEX(Archetypes!$G$2:$G$127, MATCH(D651, Archetypes!$A$2:$A$127, 0))*INDEX(Unit_Grades!$B$2:$B$7, MATCH(F651, Unit_Grades!$A$2:$A$7, 0))*INDEX(Unit_Paths!$D$2:$D$4, MATCH(E651, Unit_Paths!$A$2:$A$4, 0)),0)</f>
        <v>155</v>
      </c>
      <c r="K651" s="6" t="n">
        <f aca="false">ROUND(INDEX(Archetypes!$H$2:$H$127, MATCH(D651, Archetypes!$A$2:$A$127, 0))*INDEX(Unit_Paths!$E$2:$E$4, MATCH(E651, Unit_Paths!$A$2:$A$4, 0)),1)</f>
        <v>15</v>
      </c>
      <c r="L651" s="6" t="n">
        <f aca="false">ROUND(INDEX(Archetypes!$I$2:$I$127, MATCH(D651, Archetypes!$A$2:$A$127, 0))*INDEX(Unit_Grades!$C$2:$C$7, MATCH(F651, Unit_Grades!$A$2:$A$7, 0)),1)</f>
        <v>7.5</v>
      </c>
      <c r="M651" s="6" t="n">
        <f aca="false">ROUND(INDEX(Archetypes!$J$2:$J$127, MATCH(D651, Archetypes!$A$2:$A$127, 0))*INDEX(Unit_Grades!$D$2:$D$7, MATCH(F651, Unit_Grades!$A$2:$A$7, 0)),1)</f>
        <v>3.7</v>
      </c>
      <c r="N651" s="6" t="n">
        <f aca="false">ROUND(M651/24,2)</f>
        <v>0.15</v>
      </c>
    </row>
    <row r="652" customFormat="false" ht="15" hidden="false" customHeight="true" outlineLevel="0" collapsed="false">
      <c r="A652" s="6" t="n">
        <v>3</v>
      </c>
      <c r="B652" s="6" t="s">
        <v>2183</v>
      </c>
      <c r="C652" s="6" t="s">
        <v>1335</v>
      </c>
      <c r="D652" s="6" t="str">
        <f aca="false">A652&amp;"|"&amp;C652</f>
        <v>3|Musketeer</v>
      </c>
      <c r="E652" s="6" t="s">
        <v>1556</v>
      </c>
      <c r="F652" s="6" t="s">
        <v>1542</v>
      </c>
      <c r="G652" s="6" t="str">
        <f aca="false">INDEX(Archetypes!$D$2:$D$127, MATCH(D652, Archetypes!$A$2:$A$127, 0))</f>
        <v>Line Infantry</v>
      </c>
      <c r="H652" s="6" t="n">
        <f aca="false">ROUND(INDEX(Archetypes!$E$2:$E$127, MATCH(D652, Archetypes!$A$2:$A$127, 0))*INDEX(Unit_Grades!$B$2:$B$7, MATCH(F652, Unit_Grades!$A$2:$A$7, 0))*INDEX(Unit_Paths!$B$2:$B$4, MATCH(E652, Unit_Paths!$A$2:$A$4, 0)),1)</f>
        <v>79.2</v>
      </c>
      <c r="I652" s="6" t="n">
        <f aca="false">ROUND(INDEX(Archetypes!$F$2:$F$127, MATCH(D652, Archetypes!$A$2:$A$127, 0))*INDEX(Unit_Grades!$B$2:$B$7, MATCH(F652, Unit_Grades!$A$2:$A$7, 0))*INDEX(Unit_Paths!$C$2:$C$4, MATCH(E652, Unit_Paths!$A$2:$A$4, 0)),1)</f>
        <v>46.8</v>
      </c>
      <c r="J652" s="6" t="n">
        <f aca="false">ROUND(INDEX(Archetypes!$G$2:$G$127, MATCH(D652, Archetypes!$A$2:$A$127, 0))*INDEX(Unit_Grades!$B$2:$B$7, MATCH(F652, Unit_Grades!$A$2:$A$7, 0))*INDEX(Unit_Paths!$D$2:$D$4, MATCH(E652, Unit_Paths!$A$2:$A$4, 0)),0)</f>
        <v>207</v>
      </c>
      <c r="K652" s="6" t="n">
        <f aca="false">ROUND(INDEX(Archetypes!$H$2:$H$127, MATCH(D652, Archetypes!$A$2:$A$127, 0))*INDEX(Unit_Paths!$E$2:$E$4, MATCH(E652, Unit_Paths!$A$2:$A$4, 0)),1)</f>
        <v>15</v>
      </c>
      <c r="L652" s="6" t="n">
        <f aca="false">ROUND(INDEX(Archetypes!$I$2:$I$127, MATCH(D652, Archetypes!$A$2:$A$127, 0))*INDEX(Unit_Grades!$C$2:$C$7, MATCH(F652, Unit_Grades!$A$2:$A$7, 0)),1)</f>
        <v>9.6</v>
      </c>
      <c r="M652" s="6" t="n">
        <f aca="false">ROUND(INDEX(Archetypes!$J$2:$J$127, MATCH(D652, Archetypes!$A$2:$A$127, 0))*INDEX(Unit_Grades!$D$2:$D$7, MATCH(F652, Unit_Grades!$A$2:$A$7, 0)),1)</f>
        <v>6.1</v>
      </c>
      <c r="N652" s="6" t="n">
        <f aca="false">ROUND(M652/24,2)</f>
        <v>0.25</v>
      </c>
    </row>
    <row r="653" customFormat="false" ht="15" hidden="false" customHeight="true" outlineLevel="0" collapsed="false">
      <c r="A653" s="6" t="n">
        <v>3</v>
      </c>
      <c r="B653" s="6" t="s">
        <v>2184</v>
      </c>
      <c r="C653" s="6" t="s">
        <v>1335</v>
      </c>
      <c r="D653" s="6" t="str">
        <f aca="false">A653&amp;"|"&amp;C653</f>
        <v>3|Musketeer</v>
      </c>
      <c r="E653" s="6" t="s">
        <v>1556</v>
      </c>
      <c r="F653" s="6" t="s">
        <v>1544</v>
      </c>
      <c r="G653" s="6" t="str">
        <f aca="false">INDEX(Archetypes!$D$2:$D$127, MATCH(D653, Archetypes!$A$2:$A$127, 0))</f>
        <v>Line Infantry</v>
      </c>
      <c r="H653" s="6" t="n">
        <f aca="false">ROUND(INDEX(Archetypes!$E$2:$E$127, MATCH(D653, Archetypes!$A$2:$A$127, 0))*INDEX(Unit_Grades!$B$2:$B$7, MATCH(F653, Unit_Grades!$A$2:$A$7, 0))*INDEX(Unit_Paths!$B$2:$B$4, MATCH(E653, Unit_Paths!$A$2:$A$4, 0)),1)</f>
        <v>105.6</v>
      </c>
      <c r="I653" s="6" t="n">
        <f aca="false">ROUND(INDEX(Archetypes!$F$2:$F$127, MATCH(D653, Archetypes!$A$2:$A$127, 0))*INDEX(Unit_Grades!$B$2:$B$7, MATCH(F653, Unit_Grades!$A$2:$A$7, 0))*INDEX(Unit_Paths!$C$2:$C$4, MATCH(E653, Unit_Paths!$A$2:$A$4, 0)),1)</f>
        <v>62.4</v>
      </c>
      <c r="J653" s="6" t="n">
        <f aca="false">ROUND(INDEX(Archetypes!$G$2:$G$127, MATCH(D653, Archetypes!$A$2:$A$127, 0))*INDEX(Unit_Grades!$B$2:$B$7, MATCH(F653, Unit_Grades!$A$2:$A$7, 0))*INDEX(Unit_Paths!$D$2:$D$4, MATCH(E653, Unit_Paths!$A$2:$A$4, 0)),0)</f>
        <v>276</v>
      </c>
      <c r="K653" s="6" t="n">
        <f aca="false">ROUND(INDEX(Archetypes!$H$2:$H$127, MATCH(D653, Archetypes!$A$2:$A$127, 0))*INDEX(Unit_Paths!$E$2:$E$4, MATCH(E653, Unit_Paths!$A$2:$A$4, 0)),1)</f>
        <v>15</v>
      </c>
      <c r="L653" s="6" t="n">
        <f aca="false">ROUND(INDEX(Archetypes!$I$2:$I$127, MATCH(D653, Archetypes!$A$2:$A$127, 0))*INDEX(Unit_Grades!$C$2:$C$7, MATCH(F653, Unit_Grades!$A$2:$A$7, 0)),1)</f>
        <v>12.6</v>
      </c>
      <c r="M653" s="6" t="n">
        <f aca="false">ROUND(INDEX(Archetypes!$J$2:$J$127, MATCH(D653, Archetypes!$A$2:$A$127, 0))*INDEX(Unit_Grades!$D$2:$D$7, MATCH(F653, Unit_Grades!$A$2:$A$7, 0)),1)</f>
        <v>9.8</v>
      </c>
      <c r="N653" s="6" t="n">
        <f aca="false">ROUND(M653/24,2)</f>
        <v>0.41</v>
      </c>
    </row>
    <row r="654" customFormat="false" ht="15" hidden="false" customHeight="true" outlineLevel="0" collapsed="false">
      <c r="A654" s="6" t="n">
        <v>3</v>
      </c>
      <c r="B654" s="6" t="s">
        <v>2185</v>
      </c>
      <c r="C654" s="6" t="s">
        <v>1335</v>
      </c>
      <c r="D654" s="6" t="str">
        <f aca="false">A654&amp;"|"&amp;C654</f>
        <v>3|Musketeer</v>
      </c>
      <c r="E654" s="6" t="s">
        <v>1556</v>
      </c>
      <c r="F654" s="6" t="s">
        <v>1546</v>
      </c>
      <c r="G654" s="6" t="str">
        <f aca="false">INDEX(Archetypes!$D$2:$D$127, MATCH(D654, Archetypes!$A$2:$A$127, 0))</f>
        <v>Line Infantry</v>
      </c>
      <c r="H654" s="6" t="n">
        <f aca="false">ROUND(INDEX(Archetypes!$E$2:$E$127, MATCH(D654, Archetypes!$A$2:$A$127, 0))*INDEX(Unit_Grades!$B$2:$B$7, MATCH(F654, Unit_Grades!$A$2:$A$7, 0))*INDEX(Unit_Paths!$B$2:$B$4, MATCH(E654, Unit_Paths!$A$2:$A$4, 0)),1)</f>
        <v>140.8</v>
      </c>
      <c r="I654" s="6" t="n">
        <f aca="false">ROUND(INDEX(Archetypes!$F$2:$F$127, MATCH(D654, Archetypes!$A$2:$A$127, 0))*INDEX(Unit_Grades!$B$2:$B$7, MATCH(F654, Unit_Grades!$A$2:$A$7, 0))*INDEX(Unit_Paths!$C$2:$C$4, MATCH(E654, Unit_Paths!$A$2:$A$4, 0)),1)</f>
        <v>83.2</v>
      </c>
      <c r="J654" s="6" t="n">
        <f aca="false">ROUND(INDEX(Archetypes!$G$2:$G$127, MATCH(D654, Archetypes!$A$2:$A$127, 0))*INDEX(Unit_Grades!$B$2:$B$7, MATCH(F654, Unit_Grades!$A$2:$A$7, 0))*INDEX(Unit_Paths!$D$2:$D$4, MATCH(E654, Unit_Paths!$A$2:$A$4, 0)),0)</f>
        <v>368</v>
      </c>
      <c r="K654" s="6" t="n">
        <f aca="false">ROUND(INDEX(Archetypes!$H$2:$H$127, MATCH(D654, Archetypes!$A$2:$A$127, 0))*INDEX(Unit_Paths!$E$2:$E$4, MATCH(E654, Unit_Paths!$A$2:$A$4, 0)),1)</f>
        <v>15</v>
      </c>
      <c r="L654" s="6" t="n">
        <f aca="false">ROUND(INDEX(Archetypes!$I$2:$I$127, MATCH(D654, Archetypes!$A$2:$A$127, 0))*INDEX(Unit_Grades!$C$2:$C$7, MATCH(F654, Unit_Grades!$A$2:$A$7, 0)),1)</f>
        <v>16.8</v>
      </c>
      <c r="M654" s="6" t="n">
        <f aca="false">ROUND(INDEX(Archetypes!$J$2:$J$127, MATCH(D654, Archetypes!$A$2:$A$127, 0))*INDEX(Unit_Grades!$D$2:$D$7, MATCH(F654, Unit_Grades!$A$2:$A$7, 0)),1)</f>
        <v>17.1</v>
      </c>
      <c r="N654" s="6" t="n">
        <f aca="false">ROUND(M654/24,2)</f>
        <v>0.71</v>
      </c>
    </row>
    <row r="655" customFormat="false" ht="15" hidden="false" customHeight="true" outlineLevel="0" collapsed="false">
      <c r="A655" s="6" t="n">
        <v>3</v>
      </c>
      <c r="B655" s="6" t="s">
        <v>2186</v>
      </c>
      <c r="C655" s="6" t="s">
        <v>1335</v>
      </c>
      <c r="D655" s="6" t="str">
        <f aca="false">A655&amp;"|"&amp;C655</f>
        <v>3|Musketeer</v>
      </c>
      <c r="E655" s="6" t="s">
        <v>1556</v>
      </c>
      <c r="F655" s="6" t="s">
        <v>1548</v>
      </c>
      <c r="G655" s="6" t="str">
        <f aca="false">INDEX(Archetypes!$D$2:$D$127, MATCH(D655, Archetypes!$A$2:$A$127, 0))</f>
        <v>Line Infantry</v>
      </c>
      <c r="H655" s="6" t="n">
        <f aca="false">ROUND(INDEX(Archetypes!$E$2:$E$127, MATCH(D655, Archetypes!$A$2:$A$127, 0))*INDEX(Unit_Grades!$B$2:$B$7, MATCH(F655, Unit_Grades!$A$2:$A$7, 0))*INDEX(Unit_Paths!$B$2:$B$4, MATCH(E655, Unit_Paths!$A$2:$A$4, 0)),1)</f>
        <v>184.8</v>
      </c>
      <c r="I655" s="6" t="n">
        <f aca="false">ROUND(INDEX(Archetypes!$F$2:$F$127, MATCH(D655, Archetypes!$A$2:$A$127, 0))*INDEX(Unit_Grades!$B$2:$B$7, MATCH(F655, Unit_Grades!$A$2:$A$7, 0))*INDEX(Unit_Paths!$C$2:$C$4, MATCH(E655, Unit_Paths!$A$2:$A$4, 0)),1)</f>
        <v>109.2</v>
      </c>
      <c r="J655" s="6" t="n">
        <f aca="false">ROUND(INDEX(Archetypes!$G$2:$G$127, MATCH(D655, Archetypes!$A$2:$A$127, 0))*INDEX(Unit_Grades!$B$2:$B$7, MATCH(F655, Unit_Grades!$A$2:$A$7, 0))*INDEX(Unit_Paths!$D$2:$D$4, MATCH(E655, Unit_Paths!$A$2:$A$4, 0)),0)</f>
        <v>483</v>
      </c>
      <c r="K655" s="6" t="n">
        <f aca="false">ROUND(INDEX(Archetypes!$H$2:$H$127, MATCH(D655, Archetypes!$A$2:$A$127, 0))*INDEX(Unit_Paths!$E$2:$E$4, MATCH(E655, Unit_Paths!$A$2:$A$4, 0)),1)</f>
        <v>15</v>
      </c>
      <c r="L655" s="6" t="n">
        <f aca="false">ROUND(INDEX(Archetypes!$I$2:$I$127, MATCH(D655, Archetypes!$A$2:$A$127, 0))*INDEX(Unit_Grades!$C$2:$C$7, MATCH(F655, Unit_Grades!$A$2:$A$7, 0)),1)</f>
        <v>22.2</v>
      </c>
      <c r="M655" s="6" t="n">
        <f aca="false">ROUND(INDEX(Archetypes!$J$2:$J$127, MATCH(D655, Archetypes!$A$2:$A$127, 0))*INDEX(Unit_Grades!$D$2:$D$7, MATCH(F655, Unit_Grades!$A$2:$A$7, 0)),1)</f>
        <v>29.3</v>
      </c>
      <c r="N655" s="6" t="n">
        <f aca="false">ROUND(M655/24,2)</f>
        <v>1.22</v>
      </c>
    </row>
    <row r="656" customFormat="false" ht="15" hidden="false" customHeight="true" outlineLevel="0" collapsed="false">
      <c r="A656" s="6" t="n">
        <v>3</v>
      </c>
      <c r="B656" s="6" t="s">
        <v>2187</v>
      </c>
      <c r="C656" s="6" t="s">
        <v>1335</v>
      </c>
      <c r="D656" s="6" t="str">
        <f aca="false">A656&amp;"|"&amp;C656</f>
        <v>3|Musketeer</v>
      </c>
      <c r="E656" s="6" t="s">
        <v>1558</v>
      </c>
      <c r="F656" s="6" t="s">
        <v>1538</v>
      </c>
      <c r="G656" s="6" t="str">
        <f aca="false">INDEX(Archetypes!$D$2:$D$127, MATCH(D656, Archetypes!$A$2:$A$127, 0))</f>
        <v>Line Infantry</v>
      </c>
      <c r="H656" s="6" t="n">
        <f aca="false">ROUND(INDEX(Archetypes!$E$2:$E$127, MATCH(D656, Archetypes!$A$2:$A$127, 0))*INDEX(Unit_Grades!$B$2:$B$7, MATCH(F656, Unit_Grades!$A$2:$A$7, 0))*INDEX(Unit_Paths!$B$2:$B$4, MATCH(E656, Unit_Paths!$A$2:$A$4, 0)),1)</f>
        <v>52.8</v>
      </c>
      <c r="I656" s="6" t="n">
        <f aca="false">ROUND(INDEX(Archetypes!$F$2:$F$127, MATCH(D656, Archetypes!$A$2:$A$127, 0))*INDEX(Unit_Grades!$B$2:$B$7, MATCH(F656, Unit_Grades!$A$2:$A$7, 0))*INDEX(Unit_Paths!$C$2:$C$4, MATCH(E656, Unit_Paths!$A$2:$A$4, 0)),1)</f>
        <v>22.1</v>
      </c>
      <c r="J656" s="6" t="n">
        <f aca="false">ROUND(INDEX(Archetypes!$G$2:$G$127, MATCH(D656, Archetypes!$A$2:$A$127, 0))*INDEX(Unit_Grades!$B$2:$B$7, MATCH(F656, Unit_Grades!$A$2:$A$7, 0))*INDEX(Unit_Paths!$D$2:$D$4, MATCH(E656, Unit_Paths!$A$2:$A$4, 0)),0)</f>
        <v>109</v>
      </c>
      <c r="K656" s="6" t="n">
        <f aca="false">ROUND(INDEX(Archetypes!$H$2:$H$127, MATCH(D656, Archetypes!$A$2:$A$127, 0))*INDEX(Unit_Paths!$E$2:$E$4, MATCH(E656, Unit_Paths!$A$2:$A$4, 0)),1)</f>
        <v>15.8</v>
      </c>
      <c r="L656" s="6" t="n">
        <f aca="false">ROUND(INDEX(Archetypes!$I$2:$I$127, MATCH(D656, Archetypes!$A$2:$A$127, 0))*INDEX(Unit_Grades!$C$2:$C$7, MATCH(F656, Unit_Grades!$A$2:$A$7, 0)),1)</f>
        <v>6</v>
      </c>
      <c r="M656" s="6" t="n">
        <f aca="false">ROUND(INDEX(Archetypes!$J$2:$J$127, MATCH(D656, Archetypes!$A$2:$A$127, 0))*INDEX(Unit_Grades!$D$2:$D$7, MATCH(F656, Unit_Grades!$A$2:$A$7, 0)),1)</f>
        <v>2.4</v>
      </c>
      <c r="N656" s="6" t="n">
        <f aca="false">ROUND(M656/24,2)</f>
        <v>0.1</v>
      </c>
    </row>
    <row r="657" customFormat="false" ht="15" hidden="false" customHeight="true" outlineLevel="0" collapsed="false">
      <c r="A657" s="6" t="n">
        <v>3</v>
      </c>
      <c r="B657" s="6" t="s">
        <v>2188</v>
      </c>
      <c r="C657" s="6" t="s">
        <v>1335</v>
      </c>
      <c r="D657" s="6" t="str">
        <f aca="false">A657&amp;"|"&amp;C657</f>
        <v>3|Musketeer</v>
      </c>
      <c r="E657" s="6" t="s">
        <v>1558</v>
      </c>
      <c r="F657" s="6" t="s">
        <v>1540</v>
      </c>
      <c r="G657" s="6" t="str">
        <f aca="false">INDEX(Archetypes!$D$2:$D$127, MATCH(D657, Archetypes!$A$2:$A$127, 0))</f>
        <v>Line Infantry</v>
      </c>
      <c r="H657" s="6" t="n">
        <f aca="false">ROUND(INDEX(Archetypes!$E$2:$E$127, MATCH(D657, Archetypes!$A$2:$A$127, 0))*INDEX(Unit_Grades!$B$2:$B$7, MATCH(F657, Unit_Grades!$A$2:$A$7, 0))*INDEX(Unit_Paths!$B$2:$B$4, MATCH(E657, Unit_Paths!$A$2:$A$4, 0)),1)</f>
        <v>71.3</v>
      </c>
      <c r="I657" s="6" t="n">
        <f aca="false">ROUND(INDEX(Archetypes!$F$2:$F$127, MATCH(D657, Archetypes!$A$2:$A$127, 0))*INDEX(Unit_Grades!$B$2:$B$7, MATCH(F657, Unit_Grades!$A$2:$A$7, 0))*INDEX(Unit_Paths!$C$2:$C$4, MATCH(E657, Unit_Paths!$A$2:$A$4, 0)),1)</f>
        <v>29.8</v>
      </c>
      <c r="J657" s="6" t="n">
        <f aca="false">ROUND(INDEX(Archetypes!$G$2:$G$127, MATCH(D657, Archetypes!$A$2:$A$127, 0))*INDEX(Unit_Grades!$B$2:$B$7, MATCH(F657, Unit_Grades!$A$2:$A$7, 0))*INDEX(Unit_Paths!$D$2:$D$4, MATCH(E657, Unit_Paths!$A$2:$A$4, 0)),0)</f>
        <v>147</v>
      </c>
      <c r="K657" s="6" t="n">
        <f aca="false">ROUND(INDEX(Archetypes!$H$2:$H$127, MATCH(D657, Archetypes!$A$2:$A$127, 0))*INDEX(Unit_Paths!$E$2:$E$4, MATCH(E657, Unit_Paths!$A$2:$A$4, 0)),1)</f>
        <v>15.8</v>
      </c>
      <c r="L657" s="6" t="n">
        <f aca="false">ROUND(INDEX(Archetypes!$I$2:$I$127, MATCH(D657, Archetypes!$A$2:$A$127, 0))*INDEX(Unit_Grades!$C$2:$C$7, MATCH(F657, Unit_Grades!$A$2:$A$7, 0)),1)</f>
        <v>7.5</v>
      </c>
      <c r="M657" s="6" t="n">
        <f aca="false">ROUND(INDEX(Archetypes!$J$2:$J$127, MATCH(D657, Archetypes!$A$2:$A$127, 0))*INDEX(Unit_Grades!$D$2:$D$7, MATCH(F657, Unit_Grades!$A$2:$A$7, 0)),1)</f>
        <v>3.7</v>
      </c>
      <c r="N657" s="6" t="n">
        <f aca="false">ROUND(M657/24,2)</f>
        <v>0.15</v>
      </c>
    </row>
    <row r="658" customFormat="false" ht="15" hidden="false" customHeight="true" outlineLevel="0" collapsed="false">
      <c r="A658" s="6" t="n">
        <v>3</v>
      </c>
      <c r="B658" s="6" t="s">
        <v>2189</v>
      </c>
      <c r="C658" s="6" t="s">
        <v>1335</v>
      </c>
      <c r="D658" s="6" t="str">
        <f aca="false">A658&amp;"|"&amp;C658</f>
        <v>3|Musketeer</v>
      </c>
      <c r="E658" s="6" t="s">
        <v>1558</v>
      </c>
      <c r="F658" s="6" t="s">
        <v>1542</v>
      </c>
      <c r="G658" s="6" t="str">
        <f aca="false">INDEX(Archetypes!$D$2:$D$127, MATCH(D658, Archetypes!$A$2:$A$127, 0))</f>
        <v>Line Infantry</v>
      </c>
      <c r="H658" s="6" t="n">
        <f aca="false">ROUND(INDEX(Archetypes!$E$2:$E$127, MATCH(D658, Archetypes!$A$2:$A$127, 0))*INDEX(Unit_Grades!$B$2:$B$7, MATCH(F658, Unit_Grades!$A$2:$A$7, 0))*INDEX(Unit_Paths!$B$2:$B$4, MATCH(E658, Unit_Paths!$A$2:$A$4, 0)),1)</f>
        <v>95</v>
      </c>
      <c r="I658" s="6" t="n">
        <f aca="false">ROUND(INDEX(Archetypes!$F$2:$F$127, MATCH(D658, Archetypes!$A$2:$A$127, 0))*INDEX(Unit_Grades!$B$2:$B$7, MATCH(F658, Unit_Grades!$A$2:$A$7, 0))*INDEX(Unit_Paths!$C$2:$C$4, MATCH(E658, Unit_Paths!$A$2:$A$4, 0)),1)</f>
        <v>39.8</v>
      </c>
      <c r="J658" s="6" t="n">
        <f aca="false">ROUND(INDEX(Archetypes!$G$2:$G$127, MATCH(D658, Archetypes!$A$2:$A$127, 0))*INDEX(Unit_Grades!$B$2:$B$7, MATCH(F658, Unit_Grades!$A$2:$A$7, 0))*INDEX(Unit_Paths!$D$2:$D$4, MATCH(E658, Unit_Paths!$A$2:$A$4, 0)),0)</f>
        <v>197</v>
      </c>
      <c r="K658" s="6" t="n">
        <f aca="false">ROUND(INDEX(Archetypes!$H$2:$H$127, MATCH(D658, Archetypes!$A$2:$A$127, 0))*INDEX(Unit_Paths!$E$2:$E$4, MATCH(E658, Unit_Paths!$A$2:$A$4, 0)),1)</f>
        <v>15.8</v>
      </c>
      <c r="L658" s="6" t="n">
        <f aca="false">ROUND(INDEX(Archetypes!$I$2:$I$127, MATCH(D658, Archetypes!$A$2:$A$127, 0))*INDEX(Unit_Grades!$C$2:$C$7, MATCH(F658, Unit_Grades!$A$2:$A$7, 0)),1)</f>
        <v>9.6</v>
      </c>
      <c r="M658" s="6" t="n">
        <f aca="false">ROUND(INDEX(Archetypes!$J$2:$J$127, MATCH(D658, Archetypes!$A$2:$A$127, 0))*INDEX(Unit_Grades!$D$2:$D$7, MATCH(F658, Unit_Grades!$A$2:$A$7, 0)),1)</f>
        <v>6.1</v>
      </c>
      <c r="N658" s="6" t="n">
        <f aca="false">ROUND(M658/24,2)</f>
        <v>0.25</v>
      </c>
    </row>
    <row r="659" customFormat="false" ht="15" hidden="false" customHeight="true" outlineLevel="0" collapsed="false">
      <c r="A659" s="6" t="n">
        <v>3</v>
      </c>
      <c r="B659" s="6" t="s">
        <v>2190</v>
      </c>
      <c r="C659" s="6" t="s">
        <v>1335</v>
      </c>
      <c r="D659" s="6" t="str">
        <f aca="false">A659&amp;"|"&amp;C659</f>
        <v>3|Musketeer</v>
      </c>
      <c r="E659" s="6" t="s">
        <v>1558</v>
      </c>
      <c r="F659" s="6" t="s">
        <v>1544</v>
      </c>
      <c r="G659" s="6" t="str">
        <f aca="false">INDEX(Archetypes!$D$2:$D$127, MATCH(D659, Archetypes!$A$2:$A$127, 0))</f>
        <v>Line Infantry</v>
      </c>
      <c r="H659" s="6" t="n">
        <f aca="false">ROUND(INDEX(Archetypes!$E$2:$E$127, MATCH(D659, Archetypes!$A$2:$A$127, 0))*INDEX(Unit_Grades!$B$2:$B$7, MATCH(F659, Unit_Grades!$A$2:$A$7, 0))*INDEX(Unit_Paths!$B$2:$B$4, MATCH(E659, Unit_Paths!$A$2:$A$4, 0)),1)</f>
        <v>126.7</v>
      </c>
      <c r="I659" s="6" t="n">
        <f aca="false">ROUND(INDEX(Archetypes!$F$2:$F$127, MATCH(D659, Archetypes!$A$2:$A$127, 0))*INDEX(Unit_Grades!$B$2:$B$7, MATCH(F659, Unit_Grades!$A$2:$A$7, 0))*INDEX(Unit_Paths!$C$2:$C$4, MATCH(E659, Unit_Paths!$A$2:$A$4, 0)),1)</f>
        <v>53</v>
      </c>
      <c r="J659" s="6" t="n">
        <f aca="false">ROUND(INDEX(Archetypes!$G$2:$G$127, MATCH(D659, Archetypes!$A$2:$A$127, 0))*INDEX(Unit_Grades!$B$2:$B$7, MATCH(F659, Unit_Grades!$A$2:$A$7, 0))*INDEX(Unit_Paths!$D$2:$D$4, MATCH(E659, Unit_Paths!$A$2:$A$4, 0)),0)</f>
        <v>262</v>
      </c>
      <c r="K659" s="6" t="n">
        <f aca="false">ROUND(INDEX(Archetypes!$H$2:$H$127, MATCH(D659, Archetypes!$A$2:$A$127, 0))*INDEX(Unit_Paths!$E$2:$E$4, MATCH(E659, Unit_Paths!$A$2:$A$4, 0)),1)</f>
        <v>15.8</v>
      </c>
      <c r="L659" s="6" t="n">
        <f aca="false">ROUND(INDEX(Archetypes!$I$2:$I$127, MATCH(D659, Archetypes!$A$2:$A$127, 0))*INDEX(Unit_Grades!$C$2:$C$7, MATCH(F659, Unit_Grades!$A$2:$A$7, 0)),1)</f>
        <v>12.6</v>
      </c>
      <c r="M659" s="6" t="n">
        <f aca="false">ROUND(INDEX(Archetypes!$J$2:$J$127, MATCH(D659, Archetypes!$A$2:$A$127, 0))*INDEX(Unit_Grades!$D$2:$D$7, MATCH(F659, Unit_Grades!$A$2:$A$7, 0)),1)</f>
        <v>9.8</v>
      </c>
      <c r="N659" s="6" t="n">
        <f aca="false">ROUND(M659/24,2)</f>
        <v>0.41</v>
      </c>
    </row>
    <row r="660" customFormat="false" ht="15" hidden="false" customHeight="true" outlineLevel="0" collapsed="false">
      <c r="A660" s="6" t="n">
        <v>3</v>
      </c>
      <c r="B660" s="6" t="s">
        <v>2191</v>
      </c>
      <c r="C660" s="6" t="s">
        <v>1335</v>
      </c>
      <c r="D660" s="6" t="str">
        <f aca="false">A660&amp;"|"&amp;C660</f>
        <v>3|Musketeer</v>
      </c>
      <c r="E660" s="6" t="s">
        <v>1558</v>
      </c>
      <c r="F660" s="6" t="s">
        <v>1546</v>
      </c>
      <c r="G660" s="6" t="str">
        <f aca="false">INDEX(Archetypes!$D$2:$D$127, MATCH(D660, Archetypes!$A$2:$A$127, 0))</f>
        <v>Line Infantry</v>
      </c>
      <c r="H660" s="6" t="n">
        <f aca="false">ROUND(INDEX(Archetypes!$E$2:$E$127, MATCH(D660, Archetypes!$A$2:$A$127, 0))*INDEX(Unit_Grades!$B$2:$B$7, MATCH(F660, Unit_Grades!$A$2:$A$7, 0))*INDEX(Unit_Paths!$B$2:$B$4, MATCH(E660, Unit_Paths!$A$2:$A$4, 0)),1)</f>
        <v>169</v>
      </c>
      <c r="I660" s="6" t="n">
        <f aca="false">ROUND(INDEX(Archetypes!$F$2:$F$127, MATCH(D660, Archetypes!$A$2:$A$127, 0))*INDEX(Unit_Grades!$B$2:$B$7, MATCH(F660, Unit_Grades!$A$2:$A$7, 0))*INDEX(Unit_Paths!$C$2:$C$4, MATCH(E660, Unit_Paths!$A$2:$A$4, 0)),1)</f>
        <v>70.7</v>
      </c>
      <c r="J660" s="6" t="n">
        <f aca="false">ROUND(INDEX(Archetypes!$G$2:$G$127, MATCH(D660, Archetypes!$A$2:$A$127, 0))*INDEX(Unit_Grades!$B$2:$B$7, MATCH(F660, Unit_Grades!$A$2:$A$7, 0))*INDEX(Unit_Paths!$D$2:$D$4, MATCH(E660, Unit_Paths!$A$2:$A$4, 0)),0)</f>
        <v>350</v>
      </c>
      <c r="K660" s="6" t="n">
        <f aca="false">ROUND(INDEX(Archetypes!$H$2:$H$127, MATCH(D660, Archetypes!$A$2:$A$127, 0))*INDEX(Unit_Paths!$E$2:$E$4, MATCH(E660, Unit_Paths!$A$2:$A$4, 0)),1)</f>
        <v>15.8</v>
      </c>
      <c r="L660" s="6" t="n">
        <f aca="false">ROUND(INDEX(Archetypes!$I$2:$I$127, MATCH(D660, Archetypes!$A$2:$A$127, 0))*INDEX(Unit_Grades!$C$2:$C$7, MATCH(F660, Unit_Grades!$A$2:$A$7, 0)),1)</f>
        <v>16.8</v>
      </c>
      <c r="M660" s="6" t="n">
        <f aca="false">ROUND(INDEX(Archetypes!$J$2:$J$127, MATCH(D660, Archetypes!$A$2:$A$127, 0))*INDEX(Unit_Grades!$D$2:$D$7, MATCH(F660, Unit_Grades!$A$2:$A$7, 0)),1)</f>
        <v>17.1</v>
      </c>
      <c r="N660" s="6" t="n">
        <f aca="false">ROUND(M660/24,2)</f>
        <v>0.71</v>
      </c>
    </row>
    <row r="661" customFormat="false" ht="15" hidden="false" customHeight="true" outlineLevel="0" collapsed="false">
      <c r="A661" s="6" t="n">
        <v>3</v>
      </c>
      <c r="B661" s="6" t="s">
        <v>2192</v>
      </c>
      <c r="C661" s="6" t="s">
        <v>1335</v>
      </c>
      <c r="D661" s="6" t="str">
        <f aca="false">A661&amp;"|"&amp;C661</f>
        <v>3|Musketeer</v>
      </c>
      <c r="E661" s="6" t="s">
        <v>1558</v>
      </c>
      <c r="F661" s="6" t="s">
        <v>1548</v>
      </c>
      <c r="G661" s="6" t="str">
        <f aca="false">INDEX(Archetypes!$D$2:$D$127, MATCH(D661, Archetypes!$A$2:$A$127, 0))</f>
        <v>Line Infantry</v>
      </c>
      <c r="H661" s="6" t="n">
        <f aca="false">ROUND(INDEX(Archetypes!$E$2:$E$127, MATCH(D661, Archetypes!$A$2:$A$127, 0))*INDEX(Unit_Grades!$B$2:$B$7, MATCH(F661, Unit_Grades!$A$2:$A$7, 0))*INDEX(Unit_Paths!$B$2:$B$4, MATCH(E661, Unit_Paths!$A$2:$A$4, 0)),1)</f>
        <v>221.8</v>
      </c>
      <c r="I661" s="6" t="n">
        <f aca="false">ROUND(INDEX(Archetypes!$F$2:$F$127, MATCH(D661, Archetypes!$A$2:$A$127, 0))*INDEX(Unit_Grades!$B$2:$B$7, MATCH(F661, Unit_Grades!$A$2:$A$7, 0))*INDEX(Unit_Paths!$C$2:$C$4, MATCH(E661, Unit_Paths!$A$2:$A$4, 0)),1)</f>
        <v>92.8</v>
      </c>
      <c r="J661" s="6" t="n">
        <f aca="false">ROUND(INDEX(Archetypes!$G$2:$G$127, MATCH(D661, Archetypes!$A$2:$A$127, 0))*INDEX(Unit_Grades!$B$2:$B$7, MATCH(F661, Unit_Grades!$A$2:$A$7, 0))*INDEX(Unit_Paths!$D$2:$D$4, MATCH(E661, Unit_Paths!$A$2:$A$4, 0)),0)</f>
        <v>459</v>
      </c>
      <c r="K661" s="6" t="n">
        <f aca="false">ROUND(INDEX(Archetypes!$H$2:$H$127, MATCH(D661, Archetypes!$A$2:$A$127, 0))*INDEX(Unit_Paths!$E$2:$E$4, MATCH(E661, Unit_Paths!$A$2:$A$4, 0)),1)</f>
        <v>15.8</v>
      </c>
      <c r="L661" s="6" t="n">
        <f aca="false">ROUND(INDEX(Archetypes!$I$2:$I$127, MATCH(D661, Archetypes!$A$2:$A$127, 0))*INDEX(Unit_Grades!$C$2:$C$7, MATCH(F661, Unit_Grades!$A$2:$A$7, 0)),1)</f>
        <v>22.2</v>
      </c>
      <c r="M661" s="6" t="n">
        <f aca="false">ROUND(INDEX(Archetypes!$J$2:$J$127, MATCH(D661, Archetypes!$A$2:$A$127, 0))*INDEX(Unit_Grades!$D$2:$D$7, MATCH(F661, Unit_Grades!$A$2:$A$7, 0)),1)</f>
        <v>29.3</v>
      </c>
      <c r="N661" s="6" t="n">
        <f aca="false">ROUND(M661/24,2)</f>
        <v>1.22</v>
      </c>
    </row>
    <row r="662" customFormat="false" ht="15" hidden="false" customHeight="true" outlineLevel="0" collapsed="false">
      <c r="A662" s="6" t="n">
        <v>3</v>
      </c>
      <c r="B662" s="6" t="s">
        <v>2193</v>
      </c>
      <c r="C662" s="6" t="s">
        <v>1335</v>
      </c>
      <c r="D662" s="6" t="str">
        <f aca="false">A662&amp;"|"&amp;C662</f>
        <v>3|Musketeer</v>
      </c>
      <c r="E662" s="6" t="s">
        <v>1560</v>
      </c>
      <c r="F662" s="6" t="s">
        <v>1538</v>
      </c>
      <c r="G662" s="6" t="str">
        <f aca="false">INDEX(Archetypes!$D$2:$D$127, MATCH(D662, Archetypes!$A$2:$A$127, 0))</f>
        <v>Line Infantry</v>
      </c>
      <c r="H662" s="6" t="n">
        <f aca="false">ROUND(INDEX(Archetypes!$E$2:$E$127, MATCH(D662, Archetypes!$A$2:$A$127, 0))*INDEX(Unit_Grades!$B$2:$B$7, MATCH(F662, Unit_Grades!$A$2:$A$7, 0))*INDEX(Unit_Paths!$B$2:$B$4, MATCH(E662, Unit_Paths!$A$2:$A$4, 0)),1)</f>
        <v>37.4</v>
      </c>
      <c r="I662" s="6" t="n">
        <f aca="false">ROUND(INDEX(Archetypes!$F$2:$F$127, MATCH(D662, Archetypes!$A$2:$A$127, 0))*INDEX(Unit_Grades!$B$2:$B$7, MATCH(F662, Unit_Grades!$A$2:$A$7, 0))*INDEX(Unit_Paths!$C$2:$C$4, MATCH(E662, Unit_Paths!$A$2:$A$4, 0)),1)</f>
        <v>32.5</v>
      </c>
      <c r="J662" s="6" t="n">
        <f aca="false">ROUND(INDEX(Archetypes!$G$2:$G$127, MATCH(D662, Archetypes!$A$2:$A$127, 0))*INDEX(Unit_Grades!$B$2:$B$7, MATCH(F662, Unit_Grades!$A$2:$A$7, 0))*INDEX(Unit_Paths!$D$2:$D$4, MATCH(E662, Unit_Paths!$A$2:$A$4, 0)),0)</f>
        <v>132</v>
      </c>
      <c r="K662" s="6" t="n">
        <f aca="false">ROUND(INDEX(Archetypes!$H$2:$H$127, MATCH(D662, Archetypes!$A$2:$A$127, 0))*INDEX(Unit_Paths!$E$2:$E$4, MATCH(E662, Unit_Paths!$A$2:$A$4, 0)),1)</f>
        <v>13.8</v>
      </c>
      <c r="L662" s="6" t="n">
        <f aca="false">ROUND(INDEX(Archetypes!$I$2:$I$127, MATCH(D662, Archetypes!$A$2:$A$127, 0))*INDEX(Unit_Grades!$C$2:$C$7, MATCH(F662, Unit_Grades!$A$2:$A$7, 0)),1)</f>
        <v>6</v>
      </c>
      <c r="M662" s="6" t="n">
        <f aca="false">ROUND(INDEX(Archetypes!$J$2:$J$127, MATCH(D662, Archetypes!$A$2:$A$127, 0))*INDEX(Unit_Grades!$D$2:$D$7, MATCH(F662, Unit_Grades!$A$2:$A$7, 0)),1)</f>
        <v>2.4</v>
      </c>
      <c r="N662" s="6" t="n">
        <f aca="false">ROUND(M662/24,2)</f>
        <v>0.1</v>
      </c>
    </row>
    <row r="663" customFormat="false" ht="15" hidden="false" customHeight="true" outlineLevel="0" collapsed="false">
      <c r="A663" s="6" t="n">
        <v>3</v>
      </c>
      <c r="B663" s="6" t="s">
        <v>2194</v>
      </c>
      <c r="C663" s="6" t="s">
        <v>1335</v>
      </c>
      <c r="D663" s="6" t="str">
        <f aca="false">A663&amp;"|"&amp;C663</f>
        <v>3|Musketeer</v>
      </c>
      <c r="E663" s="6" t="s">
        <v>1560</v>
      </c>
      <c r="F663" s="6" t="s">
        <v>1540</v>
      </c>
      <c r="G663" s="6" t="str">
        <f aca="false">INDEX(Archetypes!$D$2:$D$127, MATCH(D663, Archetypes!$A$2:$A$127, 0))</f>
        <v>Line Infantry</v>
      </c>
      <c r="H663" s="6" t="n">
        <f aca="false">ROUND(INDEX(Archetypes!$E$2:$E$127, MATCH(D663, Archetypes!$A$2:$A$127, 0))*INDEX(Unit_Grades!$B$2:$B$7, MATCH(F663, Unit_Grades!$A$2:$A$7, 0))*INDEX(Unit_Paths!$B$2:$B$4, MATCH(E663, Unit_Paths!$A$2:$A$4, 0)),1)</f>
        <v>50.5</v>
      </c>
      <c r="I663" s="6" t="n">
        <f aca="false">ROUND(INDEX(Archetypes!$F$2:$F$127, MATCH(D663, Archetypes!$A$2:$A$127, 0))*INDEX(Unit_Grades!$B$2:$B$7, MATCH(F663, Unit_Grades!$A$2:$A$7, 0))*INDEX(Unit_Paths!$C$2:$C$4, MATCH(E663, Unit_Paths!$A$2:$A$4, 0)),1)</f>
        <v>43.9</v>
      </c>
      <c r="J663" s="6" t="n">
        <f aca="false">ROUND(INDEX(Archetypes!$G$2:$G$127, MATCH(D663, Archetypes!$A$2:$A$127, 0))*INDEX(Unit_Grades!$B$2:$B$7, MATCH(F663, Unit_Grades!$A$2:$A$7, 0))*INDEX(Unit_Paths!$D$2:$D$4, MATCH(E663, Unit_Paths!$A$2:$A$4, 0)),0)</f>
        <v>179</v>
      </c>
      <c r="K663" s="6" t="n">
        <f aca="false">ROUND(INDEX(Archetypes!$H$2:$H$127, MATCH(D663, Archetypes!$A$2:$A$127, 0))*INDEX(Unit_Paths!$E$2:$E$4, MATCH(E663, Unit_Paths!$A$2:$A$4, 0)),1)</f>
        <v>13.8</v>
      </c>
      <c r="L663" s="6" t="n">
        <f aca="false">ROUND(INDEX(Archetypes!$I$2:$I$127, MATCH(D663, Archetypes!$A$2:$A$127, 0))*INDEX(Unit_Grades!$C$2:$C$7, MATCH(F663, Unit_Grades!$A$2:$A$7, 0)),1)</f>
        <v>7.5</v>
      </c>
      <c r="M663" s="6" t="n">
        <f aca="false">ROUND(INDEX(Archetypes!$J$2:$J$127, MATCH(D663, Archetypes!$A$2:$A$127, 0))*INDEX(Unit_Grades!$D$2:$D$7, MATCH(F663, Unit_Grades!$A$2:$A$7, 0)),1)</f>
        <v>3.7</v>
      </c>
      <c r="N663" s="6" t="n">
        <f aca="false">ROUND(M663/24,2)</f>
        <v>0.15</v>
      </c>
    </row>
    <row r="664" customFormat="false" ht="15" hidden="false" customHeight="true" outlineLevel="0" collapsed="false">
      <c r="A664" s="6" t="n">
        <v>3</v>
      </c>
      <c r="B664" s="6" t="s">
        <v>2195</v>
      </c>
      <c r="C664" s="6" t="s">
        <v>1335</v>
      </c>
      <c r="D664" s="6" t="str">
        <f aca="false">A664&amp;"|"&amp;C664</f>
        <v>3|Musketeer</v>
      </c>
      <c r="E664" s="6" t="s">
        <v>1560</v>
      </c>
      <c r="F664" s="6" t="s">
        <v>1542</v>
      </c>
      <c r="G664" s="6" t="str">
        <f aca="false">INDEX(Archetypes!$D$2:$D$127, MATCH(D664, Archetypes!$A$2:$A$127, 0))</f>
        <v>Line Infantry</v>
      </c>
      <c r="H664" s="6" t="n">
        <f aca="false">ROUND(INDEX(Archetypes!$E$2:$E$127, MATCH(D664, Archetypes!$A$2:$A$127, 0))*INDEX(Unit_Grades!$B$2:$B$7, MATCH(F664, Unit_Grades!$A$2:$A$7, 0))*INDEX(Unit_Paths!$B$2:$B$4, MATCH(E664, Unit_Paths!$A$2:$A$4, 0)),1)</f>
        <v>67.3</v>
      </c>
      <c r="I664" s="6" t="n">
        <f aca="false">ROUND(INDEX(Archetypes!$F$2:$F$127, MATCH(D664, Archetypes!$A$2:$A$127, 0))*INDEX(Unit_Grades!$B$2:$B$7, MATCH(F664, Unit_Grades!$A$2:$A$7, 0))*INDEX(Unit_Paths!$C$2:$C$4, MATCH(E664, Unit_Paths!$A$2:$A$4, 0)),1)</f>
        <v>58.5</v>
      </c>
      <c r="J664" s="6" t="n">
        <f aca="false">ROUND(INDEX(Archetypes!$G$2:$G$127, MATCH(D664, Archetypes!$A$2:$A$127, 0))*INDEX(Unit_Grades!$B$2:$B$7, MATCH(F664, Unit_Grades!$A$2:$A$7, 0))*INDEX(Unit_Paths!$D$2:$D$4, MATCH(E664, Unit_Paths!$A$2:$A$4, 0)),0)</f>
        <v>238</v>
      </c>
      <c r="K664" s="6" t="n">
        <f aca="false">ROUND(INDEX(Archetypes!$H$2:$H$127, MATCH(D664, Archetypes!$A$2:$A$127, 0))*INDEX(Unit_Paths!$E$2:$E$4, MATCH(E664, Unit_Paths!$A$2:$A$4, 0)),1)</f>
        <v>13.8</v>
      </c>
      <c r="L664" s="6" t="n">
        <f aca="false">ROUND(INDEX(Archetypes!$I$2:$I$127, MATCH(D664, Archetypes!$A$2:$A$127, 0))*INDEX(Unit_Grades!$C$2:$C$7, MATCH(F664, Unit_Grades!$A$2:$A$7, 0)),1)</f>
        <v>9.6</v>
      </c>
      <c r="M664" s="6" t="n">
        <f aca="false">ROUND(INDEX(Archetypes!$J$2:$J$127, MATCH(D664, Archetypes!$A$2:$A$127, 0))*INDEX(Unit_Grades!$D$2:$D$7, MATCH(F664, Unit_Grades!$A$2:$A$7, 0)),1)</f>
        <v>6.1</v>
      </c>
      <c r="N664" s="6" t="n">
        <f aca="false">ROUND(M664/24,2)</f>
        <v>0.25</v>
      </c>
    </row>
    <row r="665" customFormat="false" ht="15" hidden="false" customHeight="true" outlineLevel="0" collapsed="false">
      <c r="A665" s="6" t="n">
        <v>3</v>
      </c>
      <c r="B665" s="6" t="s">
        <v>2196</v>
      </c>
      <c r="C665" s="6" t="s">
        <v>1335</v>
      </c>
      <c r="D665" s="6" t="str">
        <f aca="false">A665&amp;"|"&amp;C665</f>
        <v>3|Musketeer</v>
      </c>
      <c r="E665" s="6" t="s">
        <v>1560</v>
      </c>
      <c r="F665" s="6" t="s">
        <v>1544</v>
      </c>
      <c r="G665" s="6" t="str">
        <f aca="false">INDEX(Archetypes!$D$2:$D$127, MATCH(D665, Archetypes!$A$2:$A$127, 0))</f>
        <v>Line Infantry</v>
      </c>
      <c r="H665" s="6" t="n">
        <f aca="false">ROUND(INDEX(Archetypes!$E$2:$E$127, MATCH(D665, Archetypes!$A$2:$A$127, 0))*INDEX(Unit_Grades!$B$2:$B$7, MATCH(F665, Unit_Grades!$A$2:$A$7, 0))*INDEX(Unit_Paths!$B$2:$B$4, MATCH(E665, Unit_Paths!$A$2:$A$4, 0)),1)</f>
        <v>89.8</v>
      </c>
      <c r="I665" s="6" t="n">
        <f aca="false">ROUND(INDEX(Archetypes!$F$2:$F$127, MATCH(D665, Archetypes!$A$2:$A$127, 0))*INDEX(Unit_Grades!$B$2:$B$7, MATCH(F665, Unit_Grades!$A$2:$A$7, 0))*INDEX(Unit_Paths!$C$2:$C$4, MATCH(E665, Unit_Paths!$A$2:$A$4, 0)),1)</f>
        <v>78</v>
      </c>
      <c r="J665" s="6" t="n">
        <f aca="false">ROUND(INDEX(Archetypes!$G$2:$G$127, MATCH(D665, Archetypes!$A$2:$A$127, 0))*INDEX(Unit_Grades!$B$2:$B$7, MATCH(F665, Unit_Grades!$A$2:$A$7, 0))*INDEX(Unit_Paths!$D$2:$D$4, MATCH(E665, Unit_Paths!$A$2:$A$4, 0)),0)</f>
        <v>317</v>
      </c>
      <c r="K665" s="6" t="n">
        <f aca="false">ROUND(INDEX(Archetypes!$H$2:$H$127, MATCH(D665, Archetypes!$A$2:$A$127, 0))*INDEX(Unit_Paths!$E$2:$E$4, MATCH(E665, Unit_Paths!$A$2:$A$4, 0)),1)</f>
        <v>13.8</v>
      </c>
      <c r="L665" s="6" t="n">
        <f aca="false">ROUND(INDEX(Archetypes!$I$2:$I$127, MATCH(D665, Archetypes!$A$2:$A$127, 0))*INDEX(Unit_Grades!$C$2:$C$7, MATCH(F665, Unit_Grades!$A$2:$A$7, 0)),1)</f>
        <v>12.6</v>
      </c>
      <c r="M665" s="6" t="n">
        <f aca="false">ROUND(INDEX(Archetypes!$J$2:$J$127, MATCH(D665, Archetypes!$A$2:$A$127, 0))*INDEX(Unit_Grades!$D$2:$D$7, MATCH(F665, Unit_Grades!$A$2:$A$7, 0)),1)</f>
        <v>9.8</v>
      </c>
      <c r="N665" s="6" t="n">
        <f aca="false">ROUND(M665/24,2)</f>
        <v>0.41</v>
      </c>
    </row>
    <row r="666" customFormat="false" ht="15" hidden="false" customHeight="true" outlineLevel="0" collapsed="false">
      <c r="A666" s="6" t="n">
        <v>3</v>
      </c>
      <c r="B666" s="6" t="s">
        <v>2197</v>
      </c>
      <c r="C666" s="6" t="s">
        <v>1335</v>
      </c>
      <c r="D666" s="6" t="str">
        <f aca="false">A666&amp;"|"&amp;C666</f>
        <v>3|Musketeer</v>
      </c>
      <c r="E666" s="6" t="s">
        <v>1560</v>
      </c>
      <c r="F666" s="6" t="s">
        <v>1546</v>
      </c>
      <c r="G666" s="6" t="str">
        <f aca="false">INDEX(Archetypes!$D$2:$D$127, MATCH(D666, Archetypes!$A$2:$A$127, 0))</f>
        <v>Line Infantry</v>
      </c>
      <c r="H666" s="6" t="n">
        <f aca="false">ROUND(INDEX(Archetypes!$E$2:$E$127, MATCH(D666, Archetypes!$A$2:$A$127, 0))*INDEX(Unit_Grades!$B$2:$B$7, MATCH(F666, Unit_Grades!$A$2:$A$7, 0))*INDEX(Unit_Paths!$B$2:$B$4, MATCH(E666, Unit_Paths!$A$2:$A$4, 0)),1)</f>
        <v>119.7</v>
      </c>
      <c r="I666" s="6" t="n">
        <f aca="false">ROUND(INDEX(Archetypes!$F$2:$F$127, MATCH(D666, Archetypes!$A$2:$A$127, 0))*INDEX(Unit_Grades!$B$2:$B$7, MATCH(F666, Unit_Grades!$A$2:$A$7, 0))*INDEX(Unit_Paths!$C$2:$C$4, MATCH(E666, Unit_Paths!$A$2:$A$4, 0)),1)</f>
        <v>104</v>
      </c>
      <c r="J666" s="6" t="n">
        <f aca="false">ROUND(INDEX(Archetypes!$G$2:$G$127, MATCH(D666, Archetypes!$A$2:$A$127, 0))*INDEX(Unit_Grades!$B$2:$B$7, MATCH(F666, Unit_Grades!$A$2:$A$7, 0))*INDEX(Unit_Paths!$D$2:$D$4, MATCH(E666, Unit_Paths!$A$2:$A$4, 0)),0)</f>
        <v>423</v>
      </c>
      <c r="K666" s="6" t="n">
        <f aca="false">ROUND(INDEX(Archetypes!$H$2:$H$127, MATCH(D666, Archetypes!$A$2:$A$127, 0))*INDEX(Unit_Paths!$E$2:$E$4, MATCH(E666, Unit_Paths!$A$2:$A$4, 0)),1)</f>
        <v>13.8</v>
      </c>
      <c r="L666" s="6" t="n">
        <f aca="false">ROUND(INDEX(Archetypes!$I$2:$I$127, MATCH(D666, Archetypes!$A$2:$A$127, 0))*INDEX(Unit_Grades!$C$2:$C$7, MATCH(F666, Unit_Grades!$A$2:$A$7, 0)),1)</f>
        <v>16.8</v>
      </c>
      <c r="M666" s="6" t="n">
        <f aca="false">ROUND(INDEX(Archetypes!$J$2:$J$127, MATCH(D666, Archetypes!$A$2:$A$127, 0))*INDEX(Unit_Grades!$D$2:$D$7, MATCH(F666, Unit_Grades!$A$2:$A$7, 0)),1)</f>
        <v>17.1</v>
      </c>
      <c r="N666" s="6" t="n">
        <f aca="false">ROUND(M666/24,2)</f>
        <v>0.71</v>
      </c>
    </row>
    <row r="667" customFormat="false" ht="15" hidden="false" customHeight="true" outlineLevel="0" collapsed="false">
      <c r="A667" s="6" t="n">
        <v>3</v>
      </c>
      <c r="B667" s="6" t="s">
        <v>2198</v>
      </c>
      <c r="C667" s="6" t="s">
        <v>1335</v>
      </c>
      <c r="D667" s="6" t="str">
        <f aca="false">A667&amp;"|"&amp;C667</f>
        <v>3|Musketeer</v>
      </c>
      <c r="E667" s="6" t="s">
        <v>1560</v>
      </c>
      <c r="F667" s="6" t="s">
        <v>1548</v>
      </c>
      <c r="G667" s="6" t="str">
        <f aca="false">INDEX(Archetypes!$D$2:$D$127, MATCH(D667, Archetypes!$A$2:$A$127, 0))</f>
        <v>Line Infantry</v>
      </c>
      <c r="H667" s="6" t="n">
        <f aca="false">ROUND(INDEX(Archetypes!$E$2:$E$127, MATCH(D667, Archetypes!$A$2:$A$127, 0))*INDEX(Unit_Grades!$B$2:$B$7, MATCH(F667, Unit_Grades!$A$2:$A$7, 0))*INDEX(Unit_Paths!$B$2:$B$4, MATCH(E667, Unit_Paths!$A$2:$A$4, 0)),1)</f>
        <v>157.1</v>
      </c>
      <c r="I667" s="6" t="n">
        <f aca="false">ROUND(INDEX(Archetypes!$F$2:$F$127, MATCH(D667, Archetypes!$A$2:$A$127, 0))*INDEX(Unit_Grades!$B$2:$B$7, MATCH(F667, Unit_Grades!$A$2:$A$7, 0))*INDEX(Unit_Paths!$C$2:$C$4, MATCH(E667, Unit_Paths!$A$2:$A$4, 0)),1)</f>
        <v>136.5</v>
      </c>
      <c r="J667" s="6" t="n">
        <f aca="false">ROUND(INDEX(Archetypes!$G$2:$G$127, MATCH(D667, Archetypes!$A$2:$A$127, 0))*INDEX(Unit_Grades!$B$2:$B$7, MATCH(F667, Unit_Grades!$A$2:$A$7, 0))*INDEX(Unit_Paths!$D$2:$D$4, MATCH(E667, Unit_Paths!$A$2:$A$4, 0)),0)</f>
        <v>555</v>
      </c>
      <c r="K667" s="6" t="n">
        <f aca="false">ROUND(INDEX(Archetypes!$H$2:$H$127, MATCH(D667, Archetypes!$A$2:$A$127, 0))*INDEX(Unit_Paths!$E$2:$E$4, MATCH(E667, Unit_Paths!$A$2:$A$4, 0)),1)</f>
        <v>13.8</v>
      </c>
      <c r="L667" s="6" t="n">
        <f aca="false">ROUND(INDEX(Archetypes!$I$2:$I$127, MATCH(D667, Archetypes!$A$2:$A$127, 0))*INDEX(Unit_Grades!$C$2:$C$7, MATCH(F667, Unit_Grades!$A$2:$A$7, 0)),1)</f>
        <v>22.2</v>
      </c>
      <c r="M667" s="6" t="n">
        <f aca="false">ROUND(INDEX(Archetypes!$J$2:$J$127, MATCH(D667, Archetypes!$A$2:$A$127, 0))*INDEX(Unit_Grades!$D$2:$D$7, MATCH(F667, Unit_Grades!$A$2:$A$7, 0)),1)</f>
        <v>29.3</v>
      </c>
      <c r="N667" s="6" t="n">
        <f aca="false">ROUND(M667/24,2)</f>
        <v>1.22</v>
      </c>
    </row>
    <row r="668" customFormat="false" ht="15" hidden="false" customHeight="true" outlineLevel="0" collapsed="false">
      <c r="A668" s="6" t="n">
        <v>3</v>
      </c>
      <c r="B668" s="6" t="s">
        <v>1337</v>
      </c>
      <c r="C668" s="6" t="s">
        <v>1337</v>
      </c>
      <c r="D668" s="6" t="str">
        <f aca="false">A668&amp;"|"&amp;C668</f>
        <v>3|Grenadier</v>
      </c>
      <c r="E668" s="6" t="s">
        <v>1556</v>
      </c>
      <c r="F668" s="6" t="s">
        <v>1538</v>
      </c>
      <c r="G668" s="6" t="str">
        <f aca="false">INDEX(Archetypes!$D$2:$D$127, MATCH(D668, Archetypes!$A$2:$A$127, 0))</f>
        <v>Shock Infantry</v>
      </c>
      <c r="H668" s="6" t="n">
        <f aca="false">ROUND(INDEX(Archetypes!$E$2:$E$127, MATCH(D668, Archetypes!$A$2:$A$127, 0))*INDEX(Unit_Grades!$B$2:$B$7, MATCH(F668, Unit_Grades!$A$2:$A$7, 0))*INDEX(Unit_Paths!$B$2:$B$4, MATCH(E668, Unit_Paths!$A$2:$A$4, 0)),1)</f>
        <v>54</v>
      </c>
      <c r="I668" s="6" t="n">
        <f aca="false">ROUND(INDEX(Archetypes!$F$2:$F$127, MATCH(D668, Archetypes!$A$2:$A$127, 0))*INDEX(Unit_Grades!$B$2:$B$7, MATCH(F668, Unit_Grades!$A$2:$A$7, 0))*INDEX(Unit_Paths!$C$2:$C$4, MATCH(E668, Unit_Paths!$A$2:$A$4, 0)),1)</f>
        <v>28</v>
      </c>
      <c r="J668" s="6" t="n">
        <f aca="false">ROUND(INDEX(Archetypes!$G$2:$G$127, MATCH(D668, Archetypes!$A$2:$A$127, 0))*INDEX(Unit_Grades!$B$2:$B$7, MATCH(F668, Unit_Grades!$A$2:$A$7, 0))*INDEX(Unit_Paths!$D$2:$D$4, MATCH(E668, Unit_Paths!$A$2:$A$4, 0)),0)</f>
        <v>125</v>
      </c>
      <c r="K668" s="6" t="n">
        <f aca="false">ROUND(INDEX(Archetypes!$H$2:$H$127, MATCH(D668, Archetypes!$A$2:$A$127, 0))*INDEX(Unit_Paths!$E$2:$E$4, MATCH(E668, Unit_Paths!$A$2:$A$4, 0)),1)</f>
        <v>15</v>
      </c>
      <c r="L668" s="6" t="n">
        <f aca="false">ROUND(INDEX(Archetypes!$I$2:$I$127, MATCH(D668, Archetypes!$A$2:$A$127, 0))*INDEX(Unit_Grades!$C$2:$C$7, MATCH(F668, Unit_Grades!$A$2:$A$7, 0)),1)</f>
        <v>8</v>
      </c>
      <c r="M668" s="6" t="n">
        <f aca="false">ROUND(INDEX(Archetypes!$J$2:$J$127, MATCH(D668, Archetypes!$A$2:$A$127, 0))*INDEX(Unit_Grades!$D$2:$D$7, MATCH(F668, Unit_Grades!$A$2:$A$7, 0)),1)</f>
        <v>3.3</v>
      </c>
      <c r="N668" s="6" t="n">
        <f aca="false">ROUND(M668/24,2)</f>
        <v>0.14</v>
      </c>
    </row>
    <row r="669" customFormat="false" ht="15" hidden="false" customHeight="true" outlineLevel="0" collapsed="false">
      <c r="A669" s="6" t="n">
        <v>3</v>
      </c>
      <c r="B669" s="6" t="s">
        <v>2199</v>
      </c>
      <c r="C669" s="6" t="s">
        <v>1337</v>
      </c>
      <c r="D669" s="6" t="str">
        <f aca="false">A669&amp;"|"&amp;C669</f>
        <v>3|Grenadier</v>
      </c>
      <c r="E669" s="6" t="s">
        <v>1556</v>
      </c>
      <c r="F669" s="6" t="s">
        <v>1540</v>
      </c>
      <c r="G669" s="6" t="str">
        <f aca="false">INDEX(Archetypes!$D$2:$D$127, MATCH(D669, Archetypes!$A$2:$A$127, 0))</f>
        <v>Shock Infantry</v>
      </c>
      <c r="H669" s="6" t="n">
        <f aca="false">ROUND(INDEX(Archetypes!$E$2:$E$127, MATCH(D669, Archetypes!$A$2:$A$127, 0))*INDEX(Unit_Grades!$B$2:$B$7, MATCH(F669, Unit_Grades!$A$2:$A$7, 0))*INDEX(Unit_Paths!$B$2:$B$4, MATCH(E669, Unit_Paths!$A$2:$A$4, 0)),1)</f>
        <v>72.9</v>
      </c>
      <c r="I669" s="6" t="n">
        <f aca="false">ROUND(INDEX(Archetypes!$F$2:$F$127, MATCH(D669, Archetypes!$A$2:$A$127, 0))*INDEX(Unit_Grades!$B$2:$B$7, MATCH(F669, Unit_Grades!$A$2:$A$7, 0))*INDEX(Unit_Paths!$C$2:$C$4, MATCH(E669, Unit_Paths!$A$2:$A$4, 0)),1)</f>
        <v>37.8</v>
      </c>
      <c r="J669" s="6" t="n">
        <f aca="false">ROUND(INDEX(Archetypes!$G$2:$G$127, MATCH(D669, Archetypes!$A$2:$A$127, 0))*INDEX(Unit_Grades!$B$2:$B$7, MATCH(F669, Unit_Grades!$A$2:$A$7, 0))*INDEX(Unit_Paths!$D$2:$D$4, MATCH(E669, Unit_Paths!$A$2:$A$4, 0)),0)</f>
        <v>169</v>
      </c>
      <c r="K669" s="6" t="n">
        <f aca="false">ROUND(INDEX(Archetypes!$H$2:$H$127, MATCH(D669, Archetypes!$A$2:$A$127, 0))*INDEX(Unit_Paths!$E$2:$E$4, MATCH(E669, Unit_Paths!$A$2:$A$4, 0)),1)</f>
        <v>15</v>
      </c>
      <c r="L669" s="6" t="n">
        <f aca="false">ROUND(INDEX(Archetypes!$I$2:$I$127, MATCH(D669, Archetypes!$A$2:$A$127, 0))*INDEX(Unit_Grades!$C$2:$C$7, MATCH(F669, Unit_Grades!$A$2:$A$7, 0)),1)</f>
        <v>10</v>
      </c>
      <c r="M669" s="6" t="n">
        <f aca="false">ROUND(INDEX(Archetypes!$J$2:$J$127, MATCH(D669, Archetypes!$A$2:$A$127, 0))*INDEX(Unit_Grades!$D$2:$D$7, MATCH(F669, Unit_Grades!$A$2:$A$7, 0)),1)</f>
        <v>4.9</v>
      </c>
      <c r="N669" s="6" t="n">
        <f aca="false">ROUND(M669/24,2)</f>
        <v>0.2</v>
      </c>
    </row>
    <row r="670" customFormat="false" ht="15" hidden="false" customHeight="true" outlineLevel="0" collapsed="false">
      <c r="A670" s="6" t="n">
        <v>3</v>
      </c>
      <c r="B670" s="6" t="s">
        <v>2200</v>
      </c>
      <c r="C670" s="6" t="s">
        <v>1337</v>
      </c>
      <c r="D670" s="6" t="str">
        <f aca="false">A670&amp;"|"&amp;C670</f>
        <v>3|Grenadier</v>
      </c>
      <c r="E670" s="6" t="s">
        <v>1556</v>
      </c>
      <c r="F670" s="6" t="s">
        <v>1542</v>
      </c>
      <c r="G670" s="6" t="str">
        <f aca="false">INDEX(Archetypes!$D$2:$D$127, MATCH(D670, Archetypes!$A$2:$A$127, 0))</f>
        <v>Shock Infantry</v>
      </c>
      <c r="H670" s="6" t="n">
        <f aca="false">ROUND(INDEX(Archetypes!$E$2:$E$127, MATCH(D670, Archetypes!$A$2:$A$127, 0))*INDEX(Unit_Grades!$B$2:$B$7, MATCH(F670, Unit_Grades!$A$2:$A$7, 0))*INDEX(Unit_Paths!$B$2:$B$4, MATCH(E670, Unit_Paths!$A$2:$A$4, 0)),1)</f>
        <v>97.2</v>
      </c>
      <c r="I670" s="6" t="n">
        <f aca="false">ROUND(INDEX(Archetypes!$F$2:$F$127, MATCH(D670, Archetypes!$A$2:$A$127, 0))*INDEX(Unit_Grades!$B$2:$B$7, MATCH(F670, Unit_Grades!$A$2:$A$7, 0))*INDEX(Unit_Paths!$C$2:$C$4, MATCH(E670, Unit_Paths!$A$2:$A$4, 0)),1)</f>
        <v>50.4</v>
      </c>
      <c r="J670" s="6" t="n">
        <f aca="false">ROUND(INDEX(Archetypes!$G$2:$G$127, MATCH(D670, Archetypes!$A$2:$A$127, 0))*INDEX(Unit_Grades!$B$2:$B$7, MATCH(F670, Unit_Grades!$A$2:$A$7, 0))*INDEX(Unit_Paths!$D$2:$D$4, MATCH(E670, Unit_Paths!$A$2:$A$4, 0)),0)</f>
        <v>225</v>
      </c>
      <c r="K670" s="6" t="n">
        <f aca="false">ROUND(INDEX(Archetypes!$H$2:$H$127, MATCH(D670, Archetypes!$A$2:$A$127, 0))*INDEX(Unit_Paths!$E$2:$E$4, MATCH(E670, Unit_Paths!$A$2:$A$4, 0)),1)</f>
        <v>15</v>
      </c>
      <c r="L670" s="6" t="n">
        <f aca="false">ROUND(INDEX(Archetypes!$I$2:$I$127, MATCH(D670, Archetypes!$A$2:$A$127, 0))*INDEX(Unit_Grades!$C$2:$C$7, MATCH(F670, Unit_Grades!$A$2:$A$7, 0)),1)</f>
        <v>12.8</v>
      </c>
      <c r="M670" s="6" t="n">
        <f aca="false">ROUND(INDEX(Archetypes!$J$2:$J$127, MATCH(D670, Archetypes!$A$2:$A$127, 0))*INDEX(Unit_Grades!$D$2:$D$7, MATCH(F670, Unit_Grades!$A$2:$A$7, 0)),1)</f>
        <v>8.1</v>
      </c>
      <c r="N670" s="6" t="n">
        <f aca="false">ROUND(M670/24,2)</f>
        <v>0.34</v>
      </c>
    </row>
    <row r="671" customFormat="false" ht="15" hidden="false" customHeight="true" outlineLevel="0" collapsed="false">
      <c r="A671" s="6" t="n">
        <v>3</v>
      </c>
      <c r="B671" s="6" t="s">
        <v>2201</v>
      </c>
      <c r="C671" s="6" t="s">
        <v>1337</v>
      </c>
      <c r="D671" s="6" t="str">
        <f aca="false">A671&amp;"|"&amp;C671</f>
        <v>3|Grenadier</v>
      </c>
      <c r="E671" s="6" t="s">
        <v>1556</v>
      </c>
      <c r="F671" s="6" t="s">
        <v>1544</v>
      </c>
      <c r="G671" s="6" t="str">
        <f aca="false">INDEX(Archetypes!$D$2:$D$127, MATCH(D671, Archetypes!$A$2:$A$127, 0))</f>
        <v>Shock Infantry</v>
      </c>
      <c r="H671" s="6" t="n">
        <f aca="false">ROUND(INDEX(Archetypes!$E$2:$E$127, MATCH(D671, Archetypes!$A$2:$A$127, 0))*INDEX(Unit_Grades!$B$2:$B$7, MATCH(F671, Unit_Grades!$A$2:$A$7, 0))*INDEX(Unit_Paths!$B$2:$B$4, MATCH(E671, Unit_Paths!$A$2:$A$4, 0)),1)</f>
        <v>129.6</v>
      </c>
      <c r="I671" s="6" t="n">
        <f aca="false">ROUND(INDEX(Archetypes!$F$2:$F$127, MATCH(D671, Archetypes!$A$2:$A$127, 0))*INDEX(Unit_Grades!$B$2:$B$7, MATCH(F671, Unit_Grades!$A$2:$A$7, 0))*INDEX(Unit_Paths!$C$2:$C$4, MATCH(E671, Unit_Paths!$A$2:$A$4, 0)),1)</f>
        <v>67.2</v>
      </c>
      <c r="J671" s="6" t="n">
        <f aca="false">ROUND(INDEX(Archetypes!$G$2:$G$127, MATCH(D671, Archetypes!$A$2:$A$127, 0))*INDEX(Unit_Grades!$B$2:$B$7, MATCH(F671, Unit_Grades!$A$2:$A$7, 0))*INDEX(Unit_Paths!$D$2:$D$4, MATCH(E671, Unit_Paths!$A$2:$A$4, 0)),0)</f>
        <v>300</v>
      </c>
      <c r="K671" s="6" t="n">
        <f aca="false">ROUND(INDEX(Archetypes!$H$2:$H$127, MATCH(D671, Archetypes!$A$2:$A$127, 0))*INDEX(Unit_Paths!$E$2:$E$4, MATCH(E671, Unit_Paths!$A$2:$A$4, 0)),1)</f>
        <v>15</v>
      </c>
      <c r="L671" s="6" t="n">
        <f aca="false">ROUND(INDEX(Archetypes!$I$2:$I$127, MATCH(D671, Archetypes!$A$2:$A$127, 0))*INDEX(Unit_Grades!$C$2:$C$7, MATCH(F671, Unit_Grades!$A$2:$A$7, 0)),1)</f>
        <v>16.8</v>
      </c>
      <c r="M671" s="6" t="n">
        <f aca="false">ROUND(INDEX(Archetypes!$J$2:$J$127, MATCH(D671, Archetypes!$A$2:$A$127, 0))*INDEX(Unit_Grades!$D$2:$D$7, MATCH(F671, Unit_Grades!$A$2:$A$7, 0)),1)</f>
        <v>13</v>
      </c>
      <c r="N671" s="6" t="n">
        <f aca="false">ROUND(M671/24,2)</f>
        <v>0.54</v>
      </c>
    </row>
    <row r="672" customFormat="false" ht="15" hidden="false" customHeight="true" outlineLevel="0" collapsed="false">
      <c r="A672" s="6" t="n">
        <v>3</v>
      </c>
      <c r="B672" s="6" t="s">
        <v>2202</v>
      </c>
      <c r="C672" s="6" t="s">
        <v>1337</v>
      </c>
      <c r="D672" s="6" t="str">
        <f aca="false">A672&amp;"|"&amp;C672</f>
        <v>3|Grenadier</v>
      </c>
      <c r="E672" s="6" t="s">
        <v>1556</v>
      </c>
      <c r="F672" s="6" t="s">
        <v>1546</v>
      </c>
      <c r="G672" s="6" t="str">
        <f aca="false">INDEX(Archetypes!$D$2:$D$127, MATCH(D672, Archetypes!$A$2:$A$127, 0))</f>
        <v>Shock Infantry</v>
      </c>
      <c r="H672" s="6" t="n">
        <f aca="false">ROUND(INDEX(Archetypes!$E$2:$E$127, MATCH(D672, Archetypes!$A$2:$A$127, 0))*INDEX(Unit_Grades!$B$2:$B$7, MATCH(F672, Unit_Grades!$A$2:$A$7, 0))*INDEX(Unit_Paths!$B$2:$B$4, MATCH(E672, Unit_Paths!$A$2:$A$4, 0)),1)</f>
        <v>172.8</v>
      </c>
      <c r="I672" s="6" t="n">
        <f aca="false">ROUND(INDEX(Archetypes!$F$2:$F$127, MATCH(D672, Archetypes!$A$2:$A$127, 0))*INDEX(Unit_Grades!$B$2:$B$7, MATCH(F672, Unit_Grades!$A$2:$A$7, 0))*INDEX(Unit_Paths!$C$2:$C$4, MATCH(E672, Unit_Paths!$A$2:$A$4, 0)),1)</f>
        <v>89.6</v>
      </c>
      <c r="J672" s="6" t="n">
        <f aca="false">ROUND(INDEX(Archetypes!$G$2:$G$127, MATCH(D672, Archetypes!$A$2:$A$127, 0))*INDEX(Unit_Grades!$B$2:$B$7, MATCH(F672, Unit_Grades!$A$2:$A$7, 0))*INDEX(Unit_Paths!$D$2:$D$4, MATCH(E672, Unit_Paths!$A$2:$A$4, 0)),0)</f>
        <v>400</v>
      </c>
      <c r="K672" s="6" t="n">
        <f aca="false">ROUND(INDEX(Archetypes!$H$2:$H$127, MATCH(D672, Archetypes!$A$2:$A$127, 0))*INDEX(Unit_Paths!$E$2:$E$4, MATCH(E672, Unit_Paths!$A$2:$A$4, 0)),1)</f>
        <v>15</v>
      </c>
      <c r="L672" s="6" t="n">
        <f aca="false">ROUND(INDEX(Archetypes!$I$2:$I$127, MATCH(D672, Archetypes!$A$2:$A$127, 0))*INDEX(Unit_Grades!$C$2:$C$7, MATCH(F672, Unit_Grades!$A$2:$A$7, 0)),1)</f>
        <v>22.4</v>
      </c>
      <c r="M672" s="6" t="n">
        <f aca="false">ROUND(INDEX(Archetypes!$J$2:$J$127, MATCH(D672, Archetypes!$A$2:$A$127, 0))*INDEX(Unit_Grades!$D$2:$D$7, MATCH(F672, Unit_Grades!$A$2:$A$7, 0)),1)</f>
        <v>22.8</v>
      </c>
      <c r="N672" s="6" t="n">
        <f aca="false">ROUND(M672/24,2)</f>
        <v>0.95</v>
      </c>
    </row>
    <row r="673" customFormat="false" ht="15" hidden="false" customHeight="true" outlineLevel="0" collapsed="false">
      <c r="A673" s="6" t="n">
        <v>3</v>
      </c>
      <c r="B673" s="6" t="s">
        <v>2203</v>
      </c>
      <c r="C673" s="6" t="s">
        <v>1337</v>
      </c>
      <c r="D673" s="6" t="str">
        <f aca="false">A673&amp;"|"&amp;C673</f>
        <v>3|Grenadier</v>
      </c>
      <c r="E673" s="6" t="s">
        <v>1556</v>
      </c>
      <c r="F673" s="6" t="s">
        <v>1548</v>
      </c>
      <c r="G673" s="6" t="str">
        <f aca="false">INDEX(Archetypes!$D$2:$D$127, MATCH(D673, Archetypes!$A$2:$A$127, 0))</f>
        <v>Shock Infantry</v>
      </c>
      <c r="H673" s="6" t="n">
        <f aca="false">ROUND(INDEX(Archetypes!$E$2:$E$127, MATCH(D673, Archetypes!$A$2:$A$127, 0))*INDEX(Unit_Grades!$B$2:$B$7, MATCH(F673, Unit_Grades!$A$2:$A$7, 0))*INDEX(Unit_Paths!$B$2:$B$4, MATCH(E673, Unit_Paths!$A$2:$A$4, 0)),1)</f>
        <v>226.8</v>
      </c>
      <c r="I673" s="6" t="n">
        <f aca="false">ROUND(INDEX(Archetypes!$F$2:$F$127, MATCH(D673, Archetypes!$A$2:$A$127, 0))*INDEX(Unit_Grades!$B$2:$B$7, MATCH(F673, Unit_Grades!$A$2:$A$7, 0))*INDEX(Unit_Paths!$C$2:$C$4, MATCH(E673, Unit_Paths!$A$2:$A$4, 0)),1)</f>
        <v>117.6</v>
      </c>
      <c r="J673" s="6" t="n">
        <f aca="false">ROUND(INDEX(Archetypes!$G$2:$G$127, MATCH(D673, Archetypes!$A$2:$A$127, 0))*INDEX(Unit_Grades!$B$2:$B$7, MATCH(F673, Unit_Grades!$A$2:$A$7, 0))*INDEX(Unit_Paths!$D$2:$D$4, MATCH(E673, Unit_Paths!$A$2:$A$4, 0)),0)</f>
        <v>525</v>
      </c>
      <c r="K673" s="6" t="n">
        <f aca="false">ROUND(INDEX(Archetypes!$H$2:$H$127, MATCH(D673, Archetypes!$A$2:$A$127, 0))*INDEX(Unit_Paths!$E$2:$E$4, MATCH(E673, Unit_Paths!$A$2:$A$4, 0)),1)</f>
        <v>15</v>
      </c>
      <c r="L673" s="6" t="n">
        <f aca="false">ROUND(INDEX(Archetypes!$I$2:$I$127, MATCH(D673, Archetypes!$A$2:$A$127, 0))*INDEX(Unit_Grades!$C$2:$C$7, MATCH(F673, Unit_Grades!$A$2:$A$7, 0)),1)</f>
        <v>29.6</v>
      </c>
      <c r="M673" s="6" t="n">
        <f aca="false">ROUND(INDEX(Archetypes!$J$2:$J$127, MATCH(D673, Archetypes!$A$2:$A$127, 0))*INDEX(Unit_Grades!$D$2:$D$7, MATCH(F673, Unit_Grades!$A$2:$A$7, 0)),1)</f>
        <v>39</v>
      </c>
      <c r="N673" s="6" t="n">
        <f aca="false">ROUND(M673/24,2)</f>
        <v>1.63</v>
      </c>
    </row>
    <row r="674" customFormat="false" ht="15" hidden="false" customHeight="true" outlineLevel="0" collapsed="false">
      <c r="A674" s="6" t="n">
        <v>3</v>
      </c>
      <c r="B674" s="6" t="s">
        <v>2204</v>
      </c>
      <c r="C674" s="6" t="s">
        <v>1337</v>
      </c>
      <c r="D674" s="6" t="str">
        <f aca="false">A674&amp;"|"&amp;C674</f>
        <v>3|Grenadier</v>
      </c>
      <c r="E674" s="6" t="s">
        <v>1558</v>
      </c>
      <c r="F674" s="6" t="s">
        <v>1538</v>
      </c>
      <c r="G674" s="6" t="str">
        <f aca="false">INDEX(Archetypes!$D$2:$D$127, MATCH(D674, Archetypes!$A$2:$A$127, 0))</f>
        <v>Shock Infantry</v>
      </c>
      <c r="H674" s="6" t="n">
        <f aca="false">ROUND(INDEX(Archetypes!$E$2:$E$127, MATCH(D674, Archetypes!$A$2:$A$127, 0))*INDEX(Unit_Grades!$B$2:$B$7, MATCH(F674, Unit_Grades!$A$2:$A$7, 0))*INDEX(Unit_Paths!$B$2:$B$4, MATCH(E674, Unit_Paths!$A$2:$A$4, 0)),1)</f>
        <v>64.8</v>
      </c>
      <c r="I674" s="6" t="n">
        <f aca="false">ROUND(INDEX(Archetypes!$F$2:$F$127, MATCH(D674, Archetypes!$A$2:$A$127, 0))*INDEX(Unit_Grades!$B$2:$B$7, MATCH(F674, Unit_Grades!$A$2:$A$7, 0))*INDEX(Unit_Paths!$C$2:$C$4, MATCH(E674, Unit_Paths!$A$2:$A$4, 0)),1)</f>
        <v>23.8</v>
      </c>
      <c r="J674" s="6" t="n">
        <f aca="false">ROUND(INDEX(Archetypes!$G$2:$G$127, MATCH(D674, Archetypes!$A$2:$A$127, 0))*INDEX(Unit_Grades!$B$2:$B$7, MATCH(F674, Unit_Grades!$A$2:$A$7, 0))*INDEX(Unit_Paths!$D$2:$D$4, MATCH(E674, Unit_Paths!$A$2:$A$4, 0)),0)</f>
        <v>119</v>
      </c>
      <c r="K674" s="6" t="n">
        <f aca="false">ROUND(INDEX(Archetypes!$H$2:$H$127, MATCH(D674, Archetypes!$A$2:$A$127, 0))*INDEX(Unit_Paths!$E$2:$E$4, MATCH(E674, Unit_Paths!$A$2:$A$4, 0)),1)</f>
        <v>15.8</v>
      </c>
      <c r="L674" s="6" t="n">
        <f aca="false">ROUND(INDEX(Archetypes!$I$2:$I$127, MATCH(D674, Archetypes!$A$2:$A$127, 0))*INDEX(Unit_Grades!$C$2:$C$7, MATCH(F674, Unit_Grades!$A$2:$A$7, 0)),1)</f>
        <v>8</v>
      </c>
      <c r="M674" s="6" t="n">
        <f aca="false">ROUND(INDEX(Archetypes!$J$2:$J$127, MATCH(D674, Archetypes!$A$2:$A$127, 0))*INDEX(Unit_Grades!$D$2:$D$7, MATCH(F674, Unit_Grades!$A$2:$A$7, 0)),1)</f>
        <v>3.3</v>
      </c>
      <c r="N674" s="6" t="n">
        <f aca="false">ROUND(M674/24,2)</f>
        <v>0.14</v>
      </c>
    </row>
    <row r="675" customFormat="false" ht="15" hidden="false" customHeight="true" outlineLevel="0" collapsed="false">
      <c r="A675" s="6" t="n">
        <v>3</v>
      </c>
      <c r="B675" s="6" t="s">
        <v>2205</v>
      </c>
      <c r="C675" s="6" t="s">
        <v>1337</v>
      </c>
      <c r="D675" s="6" t="str">
        <f aca="false">A675&amp;"|"&amp;C675</f>
        <v>3|Grenadier</v>
      </c>
      <c r="E675" s="6" t="s">
        <v>1558</v>
      </c>
      <c r="F675" s="6" t="s">
        <v>1540</v>
      </c>
      <c r="G675" s="6" t="str">
        <f aca="false">INDEX(Archetypes!$D$2:$D$127, MATCH(D675, Archetypes!$A$2:$A$127, 0))</f>
        <v>Shock Infantry</v>
      </c>
      <c r="H675" s="6" t="n">
        <f aca="false">ROUND(INDEX(Archetypes!$E$2:$E$127, MATCH(D675, Archetypes!$A$2:$A$127, 0))*INDEX(Unit_Grades!$B$2:$B$7, MATCH(F675, Unit_Grades!$A$2:$A$7, 0))*INDEX(Unit_Paths!$B$2:$B$4, MATCH(E675, Unit_Paths!$A$2:$A$4, 0)),1)</f>
        <v>87.5</v>
      </c>
      <c r="I675" s="6" t="n">
        <f aca="false">ROUND(INDEX(Archetypes!$F$2:$F$127, MATCH(D675, Archetypes!$A$2:$A$127, 0))*INDEX(Unit_Grades!$B$2:$B$7, MATCH(F675, Unit_Grades!$A$2:$A$7, 0))*INDEX(Unit_Paths!$C$2:$C$4, MATCH(E675, Unit_Paths!$A$2:$A$4, 0)),1)</f>
        <v>32.1</v>
      </c>
      <c r="J675" s="6" t="n">
        <f aca="false">ROUND(INDEX(Archetypes!$G$2:$G$127, MATCH(D675, Archetypes!$A$2:$A$127, 0))*INDEX(Unit_Grades!$B$2:$B$7, MATCH(F675, Unit_Grades!$A$2:$A$7, 0))*INDEX(Unit_Paths!$D$2:$D$4, MATCH(E675, Unit_Paths!$A$2:$A$4, 0)),0)</f>
        <v>160</v>
      </c>
      <c r="K675" s="6" t="n">
        <f aca="false">ROUND(INDEX(Archetypes!$H$2:$H$127, MATCH(D675, Archetypes!$A$2:$A$127, 0))*INDEX(Unit_Paths!$E$2:$E$4, MATCH(E675, Unit_Paths!$A$2:$A$4, 0)),1)</f>
        <v>15.8</v>
      </c>
      <c r="L675" s="6" t="n">
        <f aca="false">ROUND(INDEX(Archetypes!$I$2:$I$127, MATCH(D675, Archetypes!$A$2:$A$127, 0))*INDEX(Unit_Grades!$C$2:$C$7, MATCH(F675, Unit_Grades!$A$2:$A$7, 0)),1)</f>
        <v>10</v>
      </c>
      <c r="M675" s="6" t="n">
        <f aca="false">ROUND(INDEX(Archetypes!$J$2:$J$127, MATCH(D675, Archetypes!$A$2:$A$127, 0))*INDEX(Unit_Grades!$D$2:$D$7, MATCH(F675, Unit_Grades!$A$2:$A$7, 0)),1)</f>
        <v>4.9</v>
      </c>
      <c r="N675" s="6" t="n">
        <f aca="false">ROUND(M675/24,2)</f>
        <v>0.2</v>
      </c>
    </row>
    <row r="676" customFormat="false" ht="15" hidden="false" customHeight="true" outlineLevel="0" collapsed="false">
      <c r="A676" s="6" t="n">
        <v>3</v>
      </c>
      <c r="B676" s="6" t="s">
        <v>2206</v>
      </c>
      <c r="C676" s="6" t="s">
        <v>1337</v>
      </c>
      <c r="D676" s="6" t="str">
        <f aca="false">A676&amp;"|"&amp;C676</f>
        <v>3|Grenadier</v>
      </c>
      <c r="E676" s="6" t="s">
        <v>1558</v>
      </c>
      <c r="F676" s="6" t="s">
        <v>1542</v>
      </c>
      <c r="G676" s="6" t="str">
        <f aca="false">INDEX(Archetypes!$D$2:$D$127, MATCH(D676, Archetypes!$A$2:$A$127, 0))</f>
        <v>Shock Infantry</v>
      </c>
      <c r="H676" s="6" t="n">
        <f aca="false">ROUND(INDEX(Archetypes!$E$2:$E$127, MATCH(D676, Archetypes!$A$2:$A$127, 0))*INDEX(Unit_Grades!$B$2:$B$7, MATCH(F676, Unit_Grades!$A$2:$A$7, 0))*INDEX(Unit_Paths!$B$2:$B$4, MATCH(E676, Unit_Paths!$A$2:$A$4, 0)),1)</f>
        <v>116.6</v>
      </c>
      <c r="I676" s="6" t="n">
        <f aca="false">ROUND(INDEX(Archetypes!$F$2:$F$127, MATCH(D676, Archetypes!$A$2:$A$127, 0))*INDEX(Unit_Grades!$B$2:$B$7, MATCH(F676, Unit_Grades!$A$2:$A$7, 0))*INDEX(Unit_Paths!$C$2:$C$4, MATCH(E676, Unit_Paths!$A$2:$A$4, 0)),1)</f>
        <v>42.8</v>
      </c>
      <c r="J676" s="6" t="n">
        <f aca="false">ROUND(INDEX(Archetypes!$G$2:$G$127, MATCH(D676, Archetypes!$A$2:$A$127, 0))*INDEX(Unit_Grades!$B$2:$B$7, MATCH(F676, Unit_Grades!$A$2:$A$7, 0))*INDEX(Unit_Paths!$D$2:$D$4, MATCH(E676, Unit_Paths!$A$2:$A$4, 0)),0)</f>
        <v>214</v>
      </c>
      <c r="K676" s="6" t="n">
        <f aca="false">ROUND(INDEX(Archetypes!$H$2:$H$127, MATCH(D676, Archetypes!$A$2:$A$127, 0))*INDEX(Unit_Paths!$E$2:$E$4, MATCH(E676, Unit_Paths!$A$2:$A$4, 0)),1)</f>
        <v>15.8</v>
      </c>
      <c r="L676" s="6" t="n">
        <f aca="false">ROUND(INDEX(Archetypes!$I$2:$I$127, MATCH(D676, Archetypes!$A$2:$A$127, 0))*INDEX(Unit_Grades!$C$2:$C$7, MATCH(F676, Unit_Grades!$A$2:$A$7, 0)),1)</f>
        <v>12.8</v>
      </c>
      <c r="M676" s="6" t="n">
        <f aca="false">ROUND(INDEX(Archetypes!$J$2:$J$127, MATCH(D676, Archetypes!$A$2:$A$127, 0))*INDEX(Unit_Grades!$D$2:$D$7, MATCH(F676, Unit_Grades!$A$2:$A$7, 0)),1)</f>
        <v>8.1</v>
      </c>
      <c r="N676" s="6" t="n">
        <f aca="false">ROUND(M676/24,2)</f>
        <v>0.34</v>
      </c>
    </row>
    <row r="677" customFormat="false" ht="15" hidden="false" customHeight="true" outlineLevel="0" collapsed="false">
      <c r="A677" s="6" t="n">
        <v>3</v>
      </c>
      <c r="B677" s="6" t="s">
        <v>2207</v>
      </c>
      <c r="C677" s="6" t="s">
        <v>1337</v>
      </c>
      <c r="D677" s="6" t="str">
        <f aca="false">A677&amp;"|"&amp;C677</f>
        <v>3|Grenadier</v>
      </c>
      <c r="E677" s="6" t="s">
        <v>1558</v>
      </c>
      <c r="F677" s="6" t="s">
        <v>1544</v>
      </c>
      <c r="G677" s="6" t="str">
        <f aca="false">INDEX(Archetypes!$D$2:$D$127, MATCH(D677, Archetypes!$A$2:$A$127, 0))</f>
        <v>Shock Infantry</v>
      </c>
      <c r="H677" s="6" t="n">
        <f aca="false">ROUND(INDEX(Archetypes!$E$2:$E$127, MATCH(D677, Archetypes!$A$2:$A$127, 0))*INDEX(Unit_Grades!$B$2:$B$7, MATCH(F677, Unit_Grades!$A$2:$A$7, 0))*INDEX(Unit_Paths!$B$2:$B$4, MATCH(E677, Unit_Paths!$A$2:$A$4, 0)),1)</f>
        <v>155.5</v>
      </c>
      <c r="I677" s="6" t="n">
        <f aca="false">ROUND(INDEX(Archetypes!$F$2:$F$127, MATCH(D677, Archetypes!$A$2:$A$127, 0))*INDEX(Unit_Grades!$B$2:$B$7, MATCH(F677, Unit_Grades!$A$2:$A$7, 0))*INDEX(Unit_Paths!$C$2:$C$4, MATCH(E677, Unit_Paths!$A$2:$A$4, 0)),1)</f>
        <v>57.1</v>
      </c>
      <c r="J677" s="6" t="n">
        <f aca="false">ROUND(INDEX(Archetypes!$G$2:$G$127, MATCH(D677, Archetypes!$A$2:$A$127, 0))*INDEX(Unit_Grades!$B$2:$B$7, MATCH(F677, Unit_Grades!$A$2:$A$7, 0))*INDEX(Unit_Paths!$D$2:$D$4, MATCH(E677, Unit_Paths!$A$2:$A$4, 0)),0)</f>
        <v>285</v>
      </c>
      <c r="K677" s="6" t="n">
        <f aca="false">ROUND(INDEX(Archetypes!$H$2:$H$127, MATCH(D677, Archetypes!$A$2:$A$127, 0))*INDEX(Unit_Paths!$E$2:$E$4, MATCH(E677, Unit_Paths!$A$2:$A$4, 0)),1)</f>
        <v>15.8</v>
      </c>
      <c r="L677" s="6" t="n">
        <f aca="false">ROUND(INDEX(Archetypes!$I$2:$I$127, MATCH(D677, Archetypes!$A$2:$A$127, 0))*INDEX(Unit_Grades!$C$2:$C$7, MATCH(F677, Unit_Grades!$A$2:$A$7, 0)),1)</f>
        <v>16.8</v>
      </c>
      <c r="M677" s="6" t="n">
        <f aca="false">ROUND(INDEX(Archetypes!$J$2:$J$127, MATCH(D677, Archetypes!$A$2:$A$127, 0))*INDEX(Unit_Grades!$D$2:$D$7, MATCH(F677, Unit_Grades!$A$2:$A$7, 0)),1)</f>
        <v>13</v>
      </c>
      <c r="N677" s="6" t="n">
        <f aca="false">ROUND(M677/24,2)</f>
        <v>0.54</v>
      </c>
    </row>
    <row r="678" customFormat="false" ht="15" hidden="false" customHeight="true" outlineLevel="0" collapsed="false">
      <c r="A678" s="6" t="n">
        <v>3</v>
      </c>
      <c r="B678" s="6" t="s">
        <v>2208</v>
      </c>
      <c r="C678" s="6" t="s">
        <v>1337</v>
      </c>
      <c r="D678" s="6" t="str">
        <f aca="false">A678&amp;"|"&amp;C678</f>
        <v>3|Grenadier</v>
      </c>
      <c r="E678" s="6" t="s">
        <v>1558</v>
      </c>
      <c r="F678" s="6" t="s">
        <v>1546</v>
      </c>
      <c r="G678" s="6" t="str">
        <f aca="false">INDEX(Archetypes!$D$2:$D$127, MATCH(D678, Archetypes!$A$2:$A$127, 0))</f>
        <v>Shock Infantry</v>
      </c>
      <c r="H678" s="6" t="n">
        <f aca="false">ROUND(INDEX(Archetypes!$E$2:$E$127, MATCH(D678, Archetypes!$A$2:$A$127, 0))*INDEX(Unit_Grades!$B$2:$B$7, MATCH(F678, Unit_Grades!$A$2:$A$7, 0))*INDEX(Unit_Paths!$B$2:$B$4, MATCH(E678, Unit_Paths!$A$2:$A$4, 0)),1)</f>
        <v>207.4</v>
      </c>
      <c r="I678" s="6" t="n">
        <f aca="false">ROUND(INDEX(Archetypes!$F$2:$F$127, MATCH(D678, Archetypes!$A$2:$A$127, 0))*INDEX(Unit_Grades!$B$2:$B$7, MATCH(F678, Unit_Grades!$A$2:$A$7, 0))*INDEX(Unit_Paths!$C$2:$C$4, MATCH(E678, Unit_Paths!$A$2:$A$4, 0)),1)</f>
        <v>76.2</v>
      </c>
      <c r="J678" s="6" t="n">
        <f aca="false">ROUND(INDEX(Archetypes!$G$2:$G$127, MATCH(D678, Archetypes!$A$2:$A$127, 0))*INDEX(Unit_Grades!$B$2:$B$7, MATCH(F678, Unit_Grades!$A$2:$A$7, 0))*INDEX(Unit_Paths!$D$2:$D$4, MATCH(E678, Unit_Paths!$A$2:$A$4, 0)),0)</f>
        <v>380</v>
      </c>
      <c r="K678" s="6" t="n">
        <f aca="false">ROUND(INDEX(Archetypes!$H$2:$H$127, MATCH(D678, Archetypes!$A$2:$A$127, 0))*INDEX(Unit_Paths!$E$2:$E$4, MATCH(E678, Unit_Paths!$A$2:$A$4, 0)),1)</f>
        <v>15.8</v>
      </c>
      <c r="L678" s="6" t="n">
        <f aca="false">ROUND(INDEX(Archetypes!$I$2:$I$127, MATCH(D678, Archetypes!$A$2:$A$127, 0))*INDEX(Unit_Grades!$C$2:$C$7, MATCH(F678, Unit_Grades!$A$2:$A$7, 0)),1)</f>
        <v>22.4</v>
      </c>
      <c r="M678" s="6" t="n">
        <f aca="false">ROUND(INDEX(Archetypes!$J$2:$J$127, MATCH(D678, Archetypes!$A$2:$A$127, 0))*INDEX(Unit_Grades!$D$2:$D$7, MATCH(F678, Unit_Grades!$A$2:$A$7, 0)),1)</f>
        <v>22.8</v>
      </c>
      <c r="N678" s="6" t="n">
        <f aca="false">ROUND(M678/24,2)</f>
        <v>0.95</v>
      </c>
    </row>
    <row r="679" customFormat="false" ht="15" hidden="false" customHeight="true" outlineLevel="0" collapsed="false">
      <c r="A679" s="6" t="n">
        <v>3</v>
      </c>
      <c r="B679" s="6" t="s">
        <v>2209</v>
      </c>
      <c r="C679" s="6" t="s">
        <v>1337</v>
      </c>
      <c r="D679" s="6" t="str">
        <f aca="false">A679&amp;"|"&amp;C679</f>
        <v>3|Grenadier</v>
      </c>
      <c r="E679" s="6" t="s">
        <v>1558</v>
      </c>
      <c r="F679" s="6" t="s">
        <v>1548</v>
      </c>
      <c r="G679" s="6" t="str">
        <f aca="false">INDEX(Archetypes!$D$2:$D$127, MATCH(D679, Archetypes!$A$2:$A$127, 0))</f>
        <v>Shock Infantry</v>
      </c>
      <c r="H679" s="6" t="n">
        <f aca="false">ROUND(INDEX(Archetypes!$E$2:$E$127, MATCH(D679, Archetypes!$A$2:$A$127, 0))*INDEX(Unit_Grades!$B$2:$B$7, MATCH(F679, Unit_Grades!$A$2:$A$7, 0))*INDEX(Unit_Paths!$B$2:$B$4, MATCH(E679, Unit_Paths!$A$2:$A$4, 0)),1)</f>
        <v>272.2</v>
      </c>
      <c r="I679" s="6" t="n">
        <f aca="false">ROUND(INDEX(Archetypes!$F$2:$F$127, MATCH(D679, Archetypes!$A$2:$A$127, 0))*INDEX(Unit_Grades!$B$2:$B$7, MATCH(F679, Unit_Grades!$A$2:$A$7, 0))*INDEX(Unit_Paths!$C$2:$C$4, MATCH(E679, Unit_Paths!$A$2:$A$4, 0)),1)</f>
        <v>100</v>
      </c>
      <c r="J679" s="6" t="n">
        <f aca="false">ROUND(INDEX(Archetypes!$G$2:$G$127, MATCH(D679, Archetypes!$A$2:$A$127, 0))*INDEX(Unit_Grades!$B$2:$B$7, MATCH(F679, Unit_Grades!$A$2:$A$7, 0))*INDEX(Unit_Paths!$D$2:$D$4, MATCH(E679, Unit_Paths!$A$2:$A$4, 0)),0)</f>
        <v>499</v>
      </c>
      <c r="K679" s="6" t="n">
        <f aca="false">ROUND(INDEX(Archetypes!$H$2:$H$127, MATCH(D679, Archetypes!$A$2:$A$127, 0))*INDEX(Unit_Paths!$E$2:$E$4, MATCH(E679, Unit_Paths!$A$2:$A$4, 0)),1)</f>
        <v>15.8</v>
      </c>
      <c r="L679" s="6" t="n">
        <f aca="false">ROUND(INDEX(Archetypes!$I$2:$I$127, MATCH(D679, Archetypes!$A$2:$A$127, 0))*INDEX(Unit_Grades!$C$2:$C$7, MATCH(F679, Unit_Grades!$A$2:$A$7, 0)),1)</f>
        <v>29.6</v>
      </c>
      <c r="M679" s="6" t="n">
        <f aca="false">ROUND(INDEX(Archetypes!$J$2:$J$127, MATCH(D679, Archetypes!$A$2:$A$127, 0))*INDEX(Unit_Grades!$D$2:$D$7, MATCH(F679, Unit_Grades!$A$2:$A$7, 0)),1)</f>
        <v>39</v>
      </c>
      <c r="N679" s="6" t="n">
        <f aca="false">ROUND(M679/24,2)</f>
        <v>1.63</v>
      </c>
    </row>
    <row r="680" customFormat="false" ht="15" hidden="false" customHeight="true" outlineLevel="0" collapsed="false">
      <c r="A680" s="6" t="n">
        <v>3</v>
      </c>
      <c r="B680" s="6" t="s">
        <v>2210</v>
      </c>
      <c r="C680" s="6" t="s">
        <v>1337</v>
      </c>
      <c r="D680" s="6" t="str">
        <f aca="false">A680&amp;"|"&amp;C680</f>
        <v>3|Grenadier</v>
      </c>
      <c r="E680" s="6" t="s">
        <v>1560</v>
      </c>
      <c r="F680" s="6" t="s">
        <v>1538</v>
      </c>
      <c r="G680" s="6" t="str">
        <f aca="false">INDEX(Archetypes!$D$2:$D$127, MATCH(D680, Archetypes!$A$2:$A$127, 0))</f>
        <v>Shock Infantry</v>
      </c>
      <c r="H680" s="6" t="n">
        <f aca="false">ROUND(INDEX(Archetypes!$E$2:$E$127, MATCH(D680, Archetypes!$A$2:$A$127, 0))*INDEX(Unit_Grades!$B$2:$B$7, MATCH(F680, Unit_Grades!$A$2:$A$7, 0))*INDEX(Unit_Paths!$B$2:$B$4, MATCH(E680, Unit_Paths!$A$2:$A$4, 0)),1)</f>
        <v>45.9</v>
      </c>
      <c r="I680" s="6" t="n">
        <f aca="false">ROUND(INDEX(Archetypes!$F$2:$F$127, MATCH(D680, Archetypes!$A$2:$A$127, 0))*INDEX(Unit_Grades!$B$2:$B$7, MATCH(F680, Unit_Grades!$A$2:$A$7, 0))*INDEX(Unit_Paths!$C$2:$C$4, MATCH(E680, Unit_Paths!$A$2:$A$4, 0)),1)</f>
        <v>35</v>
      </c>
      <c r="J680" s="6" t="n">
        <f aca="false">ROUND(INDEX(Archetypes!$G$2:$G$127, MATCH(D680, Archetypes!$A$2:$A$127, 0))*INDEX(Unit_Grades!$B$2:$B$7, MATCH(F680, Unit_Grades!$A$2:$A$7, 0))*INDEX(Unit_Paths!$D$2:$D$4, MATCH(E680, Unit_Paths!$A$2:$A$4, 0)),0)</f>
        <v>144</v>
      </c>
      <c r="K680" s="6" t="n">
        <f aca="false">ROUND(INDEX(Archetypes!$H$2:$H$127, MATCH(D680, Archetypes!$A$2:$A$127, 0))*INDEX(Unit_Paths!$E$2:$E$4, MATCH(E680, Unit_Paths!$A$2:$A$4, 0)),1)</f>
        <v>13.8</v>
      </c>
      <c r="L680" s="6" t="n">
        <f aca="false">ROUND(INDEX(Archetypes!$I$2:$I$127, MATCH(D680, Archetypes!$A$2:$A$127, 0))*INDEX(Unit_Grades!$C$2:$C$7, MATCH(F680, Unit_Grades!$A$2:$A$7, 0)),1)</f>
        <v>8</v>
      </c>
      <c r="M680" s="6" t="n">
        <f aca="false">ROUND(INDEX(Archetypes!$J$2:$J$127, MATCH(D680, Archetypes!$A$2:$A$127, 0))*INDEX(Unit_Grades!$D$2:$D$7, MATCH(F680, Unit_Grades!$A$2:$A$7, 0)),1)</f>
        <v>3.3</v>
      </c>
      <c r="N680" s="6" t="n">
        <f aca="false">ROUND(M680/24,2)</f>
        <v>0.14</v>
      </c>
    </row>
    <row r="681" customFormat="false" ht="15" hidden="false" customHeight="true" outlineLevel="0" collapsed="false">
      <c r="A681" s="6" t="n">
        <v>3</v>
      </c>
      <c r="B681" s="6" t="s">
        <v>2211</v>
      </c>
      <c r="C681" s="6" t="s">
        <v>1337</v>
      </c>
      <c r="D681" s="6" t="str">
        <f aca="false">A681&amp;"|"&amp;C681</f>
        <v>3|Grenadier</v>
      </c>
      <c r="E681" s="6" t="s">
        <v>1560</v>
      </c>
      <c r="F681" s="6" t="s">
        <v>1540</v>
      </c>
      <c r="G681" s="6" t="str">
        <f aca="false">INDEX(Archetypes!$D$2:$D$127, MATCH(D681, Archetypes!$A$2:$A$127, 0))</f>
        <v>Shock Infantry</v>
      </c>
      <c r="H681" s="6" t="n">
        <f aca="false">ROUND(INDEX(Archetypes!$E$2:$E$127, MATCH(D681, Archetypes!$A$2:$A$127, 0))*INDEX(Unit_Grades!$B$2:$B$7, MATCH(F681, Unit_Grades!$A$2:$A$7, 0))*INDEX(Unit_Paths!$B$2:$B$4, MATCH(E681, Unit_Paths!$A$2:$A$4, 0)),1)</f>
        <v>62</v>
      </c>
      <c r="I681" s="6" t="n">
        <f aca="false">ROUND(INDEX(Archetypes!$F$2:$F$127, MATCH(D681, Archetypes!$A$2:$A$127, 0))*INDEX(Unit_Grades!$B$2:$B$7, MATCH(F681, Unit_Grades!$A$2:$A$7, 0))*INDEX(Unit_Paths!$C$2:$C$4, MATCH(E681, Unit_Paths!$A$2:$A$4, 0)),1)</f>
        <v>47.3</v>
      </c>
      <c r="J681" s="6" t="n">
        <f aca="false">ROUND(INDEX(Archetypes!$G$2:$G$127, MATCH(D681, Archetypes!$A$2:$A$127, 0))*INDEX(Unit_Grades!$B$2:$B$7, MATCH(F681, Unit_Grades!$A$2:$A$7, 0))*INDEX(Unit_Paths!$D$2:$D$4, MATCH(E681, Unit_Paths!$A$2:$A$4, 0)),0)</f>
        <v>194</v>
      </c>
      <c r="K681" s="6" t="n">
        <f aca="false">ROUND(INDEX(Archetypes!$H$2:$H$127, MATCH(D681, Archetypes!$A$2:$A$127, 0))*INDEX(Unit_Paths!$E$2:$E$4, MATCH(E681, Unit_Paths!$A$2:$A$4, 0)),1)</f>
        <v>13.8</v>
      </c>
      <c r="L681" s="6" t="n">
        <f aca="false">ROUND(INDEX(Archetypes!$I$2:$I$127, MATCH(D681, Archetypes!$A$2:$A$127, 0))*INDEX(Unit_Grades!$C$2:$C$7, MATCH(F681, Unit_Grades!$A$2:$A$7, 0)),1)</f>
        <v>10</v>
      </c>
      <c r="M681" s="6" t="n">
        <f aca="false">ROUND(INDEX(Archetypes!$J$2:$J$127, MATCH(D681, Archetypes!$A$2:$A$127, 0))*INDEX(Unit_Grades!$D$2:$D$7, MATCH(F681, Unit_Grades!$A$2:$A$7, 0)),1)</f>
        <v>4.9</v>
      </c>
      <c r="N681" s="6" t="n">
        <f aca="false">ROUND(M681/24,2)</f>
        <v>0.2</v>
      </c>
    </row>
    <row r="682" customFormat="false" ht="15" hidden="false" customHeight="true" outlineLevel="0" collapsed="false">
      <c r="A682" s="6" t="n">
        <v>3</v>
      </c>
      <c r="B682" s="6" t="s">
        <v>2212</v>
      </c>
      <c r="C682" s="6" t="s">
        <v>1337</v>
      </c>
      <c r="D682" s="6" t="str">
        <f aca="false">A682&amp;"|"&amp;C682</f>
        <v>3|Grenadier</v>
      </c>
      <c r="E682" s="6" t="s">
        <v>1560</v>
      </c>
      <c r="F682" s="6" t="s">
        <v>1542</v>
      </c>
      <c r="G682" s="6" t="str">
        <f aca="false">INDEX(Archetypes!$D$2:$D$127, MATCH(D682, Archetypes!$A$2:$A$127, 0))</f>
        <v>Shock Infantry</v>
      </c>
      <c r="H682" s="6" t="n">
        <f aca="false">ROUND(INDEX(Archetypes!$E$2:$E$127, MATCH(D682, Archetypes!$A$2:$A$127, 0))*INDEX(Unit_Grades!$B$2:$B$7, MATCH(F682, Unit_Grades!$A$2:$A$7, 0))*INDEX(Unit_Paths!$B$2:$B$4, MATCH(E682, Unit_Paths!$A$2:$A$4, 0)),1)</f>
        <v>82.6</v>
      </c>
      <c r="I682" s="6" t="n">
        <f aca="false">ROUND(INDEX(Archetypes!$F$2:$F$127, MATCH(D682, Archetypes!$A$2:$A$127, 0))*INDEX(Unit_Grades!$B$2:$B$7, MATCH(F682, Unit_Grades!$A$2:$A$7, 0))*INDEX(Unit_Paths!$C$2:$C$4, MATCH(E682, Unit_Paths!$A$2:$A$4, 0)),1)</f>
        <v>63</v>
      </c>
      <c r="J682" s="6" t="n">
        <f aca="false">ROUND(INDEX(Archetypes!$G$2:$G$127, MATCH(D682, Archetypes!$A$2:$A$127, 0))*INDEX(Unit_Grades!$B$2:$B$7, MATCH(F682, Unit_Grades!$A$2:$A$7, 0))*INDEX(Unit_Paths!$D$2:$D$4, MATCH(E682, Unit_Paths!$A$2:$A$4, 0)),0)</f>
        <v>259</v>
      </c>
      <c r="K682" s="6" t="n">
        <f aca="false">ROUND(INDEX(Archetypes!$H$2:$H$127, MATCH(D682, Archetypes!$A$2:$A$127, 0))*INDEX(Unit_Paths!$E$2:$E$4, MATCH(E682, Unit_Paths!$A$2:$A$4, 0)),1)</f>
        <v>13.8</v>
      </c>
      <c r="L682" s="6" t="n">
        <f aca="false">ROUND(INDEX(Archetypes!$I$2:$I$127, MATCH(D682, Archetypes!$A$2:$A$127, 0))*INDEX(Unit_Grades!$C$2:$C$7, MATCH(F682, Unit_Grades!$A$2:$A$7, 0)),1)</f>
        <v>12.8</v>
      </c>
      <c r="M682" s="6" t="n">
        <f aca="false">ROUND(INDEX(Archetypes!$J$2:$J$127, MATCH(D682, Archetypes!$A$2:$A$127, 0))*INDEX(Unit_Grades!$D$2:$D$7, MATCH(F682, Unit_Grades!$A$2:$A$7, 0)),1)</f>
        <v>8.1</v>
      </c>
      <c r="N682" s="6" t="n">
        <f aca="false">ROUND(M682/24,2)</f>
        <v>0.34</v>
      </c>
    </row>
    <row r="683" customFormat="false" ht="15" hidden="false" customHeight="true" outlineLevel="0" collapsed="false">
      <c r="A683" s="6" t="n">
        <v>3</v>
      </c>
      <c r="B683" s="6" t="s">
        <v>2213</v>
      </c>
      <c r="C683" s="6" t="s">
        <v>1337</v>
      </c>
      <c r="D683" s="6" t="str">
        <f aca="false">A683&amp;"|"&amp;C683</f>
        <v>3|Grenadier</v>
      </c>
      <c r="E683" s="6" t="s">
        <v>1560</v>
      </c>
      <c r="F683" s="6" t="s">
        <v>1544</v>
      </c>
      <c r="G683" s="6" t="str">
        <f aca="false">INDEX(Archetypes!$D$2:$D$127, MATCH(D683, Archetypes!$A$2:$A$127, 0))</f>
        <v>Shock Infantry</v>
      </c>
      <c r="H683" s="6" t="n">
        <f aca="false">ROUND(INDEX(Archetypes!$E$2:$E$127, MATCH(D683, Archetypes!$A$2:$A$127, 0))*INDEX(Unit_Grades!$B$2:$B$7, MATCH(F683, Unit_Grades!$A$2:$A$7, 0))*INDEX(Unit_Paths!$B$2:$B$4, MATCH(E683, Unit_Paths!$A$2:$A$4, 0)),1)</f>
        <v>110.2</v>
      </c>
      <c r="I683" s="6" t="n">
        <f aca="false">ROUND(INDEX(Archetypes!$F$2:$F$127, MATCH(D683, Archetypes!$A$2:$A$127, 0))*INDEX(Unit_Grades!$B$2:$B$7, MATCH(F683, Unit_Grades!$A$2:$A$7, 0))*INDEX(Unit_Paths!$C$2:$C$4, MATCH(E683, Unit_Paths!$A$2:$A$4, 0)),1)</f>
        <v>84</v>
      </c>
      <c r="J683" s="6" t="n">
        <f aca="false">ROUND(INDEX(Archetypes!$G$2:$G$127, MATCH(D683, Archetypes!$A$2:$A$127, 0))*INDEX(Unit_Grades!$B$2:$B$7, MATCH(F683, Unit_Grades!$A$2:$A$7, 0))*INDEX(Unit_Paths!$D$2:$D$4, MATCH(E683, Unit_Paths!$A$2:$A$4, 0)),0)</f>
        <v>345</v>
      </c>
      <c r="K683" s="6" t="n">
        <f aca="false">ROUND(INDEX(Archetypes!$H$2:$H$127, MATCH(D683, Archetypes!$A$2:$A$127, 0))*INDEX(Unit_Paths!$E$2:$E$4, MATCH(E683, Unit_Paths!$A$2:$A$4, 0)),1)</f>
        <v>13.8</v>
      </c>
      <c r="L683" s="6" t="n">
        <f aca="false">ROUND(INDEX(Archetypes!$I$2:$I$127, MATCH(D683, Archetypes!$A$2:$A$127, 0))*INDEX(Unit_Grades!$C$2:$C$7, MATCH(F683, Unit_Grades!$A$2:$A$7, 0)),1)</f>
        <v>16.8</v>
      </c>
      <c r="M683" s="6" t="n">
        <f aca="false">ROUND(INDEX(Archetypes!$J$2:$J$127, MATCH(D683, Archetypes!$A$2:$A$127, 0))*INDEX(Unit_Grades!$D$2:$D$7, MATCH(F683, Unit_Grades!$A$2:$A$7, 0)),1)</f>
        <v>13</v>
      </c>
      <c r="N683" s="6" t="n">
        <f aca="false">ROUND(M683/24,2)</f>
        <v>0.54</v>
      </c>
    </row>
    <row r="684" customFormat="false" ht="15" hidden="false" customHeight="true" outlineLevel="0" collapsed="false">
      <c r="A684" s="6" t="n">
        <v>3</v>
      </c>
      <c r="B684" s="6" t="s">
        <v>2214</v>
      </c>
      <c r="C684" s="6" t="s">
        <v>1337</v>
      </c>
      <c r="D684" s="6" t="str">
        <f aca="false">A684&amp;"|"&amp;C684</f>
        <v>3|Grenadier</v>
      </c>
      <c r="E684" s="6" t="s">
        <v>1560</v>
      </c>
      <c r="F684" s="6" t="s">
        <v>1546</v>
      </c>
      <c r="G684" s="6" t="str">
        <f aca="false">INDEX(Archetypes!$D$2:$D$127, MATCH(D684, Archetypes!$A$2:$A$127, 0))</f>
        <v>Shock Infantry</v>
      </c>
      <c r="H684" s="6" t="n">
        <f aca="false">ROUND(INDEX(Archetypes!$E$2:$E$127, MATCH(D684, Archetypes!$A$2:$A$127, 0))*INDEX(Unit_Grades!$B$2:$B$7, MATCH(F684, Unit_Grades!$A$2:$A$7, 0))*INDEX(Unit_Paths!$B$2:$B$4, MATCH(E684, Unit_Paths!$A$2:$A$4, 0)),1)</f>
        <v>146.9</v>
      </c>
      <c r="I684" s="6" t="n">
        <f aca="false">ROUND(INDEX(Archetypes!$F$2:$F$127, MATCH(D684, Archetypes!$A$2:$A$127, 0))*INDEX(Unit_Grades!$B$2:$B$7, MATCH(F684, Unit_Grades!$A$2:$A$7, 0))*INDEX(Unit_Paths!$C$2:$C$4, MATCH(E684, Unit_Paths!$A$2:$A$4, 0)),1)</f>
        <v>112</v>
      </c>
      <c r="J684" s="6" t="n">
        <f aca="false">ROUND(INDEX(Archetypes!$G$2:$G$127, MATCH(D684, Archetypes!$A$2:$A$127, 0))*INDEX(Unit_Grades!$B$2:$B$7, MATCH(F684, Unit_Grades!$A$2:$A$7, 0))*INDEX(Unit_Paths!$D$2:$D$4, MATCH(E684, Unit_Paths!$A$2:$A$4, 0)),0)</f>
        <v>460</v>
      </c>
      <c r="K684" s="6" t="n">
        <f aca="false">ROUND(INDEX(Archetypes!$H$2:$H$127, MATCH(D684, Archetypes!$A$2:$A$127, 0))*INDEX(Unit_Paths!$E$2:$E$4, MATCH(E684, Unit_Paths!$A$2:$A$4, 0)),1)</f>
        <v>13.8</v>
      </c>
      <c r="L684" s="6" t="n">
        <f aca="false">ROUND(INDEX(Archetypes!$I$2:$I$127, MATCH(D684, Archetypes!$A$2:$A$127, 0))*INDEX(Unit_Grades!$C$2:$C$7, MATCH(F684, Unit_Grades!$A$2:$A$7, 0)),1)</f>
        <v>22.4</v>
      </c>
      <c r="M684" s="6" t="n">
        <f aca="false">ROUND(INDEX(Archetypes!$J$2:$J$127, MATCH(D684, Archetypes!$A$2:$A$127, 0))*INDEX(Unit_Grades!$D$2:$D$7, MATCH(F684, Unit_Grades!$A$2:$A$7, 0)),1)</f>
        <v>22.8</v>
      </c>
      <c r="N684" s="6" t="n">
        <f aca="false">ROUND(M684/24,2)</f>
        <v>0.95</v>
      </c>
    </row>
    <row r="685" customFormat="false" ht="15" hidden="false" customHeight="true" outlineLevel="0" collapsed="false">
      <c r="A685" s="6" t="n">
        <v>3</v>
      </c>
      <c r="B685" s="6" t="s">
        <v>2215</v>
      </c>
      <c r="C685" s="6" t="s">
        <v>1337</v>
      </c>
      <c r="D685" s="6" t="str">
        <f aca="false">A685&amp;"|"&amp;C685</f>
        <v>3|Grenadier</v>
      </c>
      <c r="E685" s="6" t="s">
        <v>1560</v>
      </c>
      <c r="F685" s="6" t="s">
        <v>1548</v>
      </c>
      <c r="G685" s="6" t="str">
        <f aca="false">INDEX(Archetypes!$D$2:$D$127, MATCH(D685, Archetypes!$A$2:$A$127, 0))</f>
        <v>Shock Infantry</v>
      </c>
      <c r="H685" s="6" t="n">
        <f aca="false">ROUND(INDEX(Archetypes!$E$2:$E$127, MATCH(D685, Archetypes!$A$2:$A$127, 0))*INDEX(Unit_Grades!$B$2:$B$7, MATCH(F685, Unit_Grades!$A$2:$A$7, 0))*INDEX(Unit_Paths!$B$2:$B$4, MATCH(E685, Unit_Paths!$A$2:$A$4, 0)),1)</f>
        <v>192.8</v>
      </c>
      <c r="I685" s="6" t="n">
        <f aca="false">ROUND(INDEX(Archetypes!$F$2:$F$127, MATCH(D685, Archetypes!$A$2:$A$127, 0))*INDEX(Unit_Grades!$B$2:$B$7, MATCH(F685, Unit_Grades!$A$2:$A$7, 0))*INDEX(Unit_Paths!$C$2:$C$4, MATCH(E685, Unit_Paths!$A$2:$A$4, 0)),1)</f>
        <v>147</v>
      </c>
      <c r="J685" s="6" t="n">
        <f aca="false">ROUND(INDEX(Archetypes!$G$2:$G$127, MATCH(D685, Archetypes!$A$2:$A$127, 0))*INDEX(Unit_Grades!$B$2:$B$7, MATCH(F685, Unit_Grades!$A$2:$A$7, 0))*INDEX(Unit_Paths!$D$2:$D$4, MATCH(E685, Unit_Paths!$A$2:$A$4, 0)),0)</f>
        <v>604</v>
      </c>
      <c r="K685" s="6" t="n">
        <f aca="false">ROUND(INDEX(Archetypes!$H$2:$H$127, MATCH(D685, Archetypes!$A$2:$A$127, 0))*INDEX(Unit_Paths!$E$2:$E$4, MATCH(E685, Unit_Paths!$A$2:$A$4, 0)),1)</f>
        <v>13.8</v>
      </c>
      <c r="L685" s="6" t="n">
        <f aca="false">ROUND(INDEX(Archetypes!$I$2:$I$127, MATCH(D685, Archetypes!$A$2:$A$127, 0))*INDEX(Unit_Grades!$C$2:$C$7, MATCH(F685, Unit_Grades!$A$2:$A$7, 0)),1)</f>
        <v>29.6</v>
      </c>
      <c r="M685" s="6" t="n">
        <f aca="false">ROUND(INDEX(Archetypes!$J$2:$J$127, MATCH(D685, Archetypes!$A$2:$A$127, 0))*INDEX(Unit_Grades!$D$2:$D$7, MATCH(F685, Unit_Grades!$A$2:$A$7, 0)),1)</f>
        <v>39</v>
      </c>
      <c r="N685" s="6" t="n">
        <f aca="false">ROUND(M685/24,2)</f>
        <v>1.63</v>
      </c>
    </row>
    <row r="686" customFormat="false" ht="15" hidden="false" customHeight="true" outlineLevel="0" collapsed="false">
      <c r="A686" s="6" t="n">
        <v>3</v>
      </c>
      <c r="B686" s="6" t="s">
        <v>1339</v>
      </c>
      <c r="C686" s="6" t="s">
        <v>1339</v>
      </c>
      <c r="D686" s="6" t="str">
        <f aca="false">A686&amp;"|"&amp;C686</f>
        <v>3|Dragoon</v>
      </c>
      <c r="E686" s="6" t="s">
        <v>1556</v>
      </c>
      <c r="F686" s="6" t="s">
        <v>1538</v>
      </c>
      <c r="G686" s="6" t="str">
        <f aca="false">INDEX(Archetypes!$D$2:$D$127, MATCH(D686, Archetypes!$A$2:$A$127, 0))</f>
        <v>Skirmisher</v>
      </c>
      <c r="H686" s="6" t="n">
        <f aca="false">ROUND(INDEX(Archetypes!$E$2:$E$127, MATCH(D686, Archetypes!$A$2:$A$127, 0))*INDEX(Unit_Grades!$B$2:$B$7, MATCH(F686, Unit_Grades!$A$2:$A$7, 0))*INDEX(Unit_Paths!$B$2:$B$4, MATCH(E686, Unit_Paths!$A$2:$A$4, 0)),1)</f>
        <v>46</v>
      </c>
      <c r="I686" s="6" t="n">
        <f aca="false">ROUND(INDEX(Archetypes!$F$2:$F$127, MATCH(D686, Archetypes!$A$2:$A$127, 0))*INDEX(Unit_Grades!$B$2:$B$7, MATCH(F686, Unit_Grades!$A$2:$A$7, 0))*INDEX(Unit_Paths!$C$2:$C$4, MATCH(E686, Unit_Paths!$A$2:$A$4, 0)),1)</f>
        <v>22</v>
      </c>
      <c r="J686" s="6" t="n">
        <f aca="false">ROUND(INDEX(Archetypes!$G$2:$G$127, MATCH(D686, Archetypes!$A$2:$A$127, 0))*INDEX(Unit_Grades!$B$2:$B$7, MATCH(F686, Unit_Grades!$A$2:$A$7, 0))*INDEX(Unit_Paths!$D$2:$D$4, MATCH(E686, Unit_Paths!$A$2:$A$4, 0)),0)</f>
        <v>110</v>
      </c>
      <c r="K686" s="6" t="n">
        <f aca="false">ROUND(INDEX(Archetypes!$H$2:$H$127, MATCH(D686, Archetypes!$A$2:$A$127, 0))*INDEX(Unit_Paths!$E$2:$E$4, MATCH(E686, Unit_Paths!$A$2:$A$4, 0)),1)</f>
        <v>32</v>
      </c>
      <c r="L686" s="6" t="n">
        <f aca="false">ROUND(INDEX(Archetypes!$I$2:$I$127, MATCH(D686, Archetypes!$A$2:$A$127, 0))*INDEX(Unit_Grades!$C$2:$C$7, MATCH(F686, Unit_Grades!$A$2:$A$7, 0)),1)</f>
        <v>8</v>
      </c>
      <c r="M686" s="6" t="n">
        <f aca="false">ROUND(INDEX(Archetypes!$J$2:$J$127, MATCH(D686, Archetypes!$A$2:$A$127, 0))*INDEX(Unit_Grades!$D$2:$D$7, MATCH(F686, Unit_Grades!$A$2:$A$7, 0)),1)</f>
        <v>3.3</v>
      </c>
      <c r="N686" s="6" t="n">
        <f aca="false">ROUND(M686/24,2)</f>
        <v>0.14</v>
      </c>
    </row>
    <row r="687" customFormat="false" ht="15" hidden="false" customHeight="true" outlineLevel="0" collapsed="false">
      <c r="A687" s="6" t="n">
        <v>3</v>
      </c>
      <c r="B687" s="6" t="s">
        <v>2216</v>
      </c>
      <c r="C687" s="6" t="s">
        <v>1339</v>
      </c>
      <c r="D687" s="6" t="str">
        <f aca="false">A687&amp;"|"&amp;C687</f>
        <v>3|Dragoon</v>
      </c>
      <c r="E687" s="6" t="s">
        <v>1556</v>
      </c>
      <c r="F687" s="6" t="s">
        <v>1540</v>
      </c>
      <c r="G687" s="6" t="str">
        <f aca="false">INDEX(Archetypes!$D$2:$D$127, MATCH(D687, Archetypes!$A$2:$A$127, 0))</f>
        <v>Skirmisher</v>
      </c>
      <c r="H687" s="6" t="n">
        <f aca="false">ROUND(INDEX(Archetypes!$E$2:$E$127, MATCH(D687, Archetypes!$A$2:$A$127, 0))*INDEX(Unit_Grades!$B$2:$B$7, MATCH(F687, Unit_Grades!$A$2:$A$7, 0))*INDEX(Unit_Paths!$B$2:$B$4, MATCH(E687, Unit_Paths!$A$2:$A$4, 0)),1)</f>
        <v>62.1</v>
      </c>
      <c r="I687" s="6" t="n">
        <f aca="false">ROUND(INDEX(Archetypes!$F$2:$F$127, MATCH(D687, Archetypes!$A$2:$A$127, 0))*INDEX(Unit_Grades!$B$2:$B$7, MATCH(F687, Unit_Grades!$A$2:$A$7, 0))*INDEX(Unit_Paths!$C$2:$C$4, MATCH(E687, Unit_Paths!$A$2:$A$4, 0)),1)</f>
        <v>29.7</v>
      </c>
      <c r="J687" s="6" t="n">
        <f aca="false">ROUND(INDEX(Archetypes!$G$2:$G$127, MATCH(D687, Archetypes!$A$2:$A$127, 0))*INDEX(Unit_Grades!$B$2:$B$7, MATCH(F687, Unit_Grades!$A$2:$A$7, 0))*INDEX(Unit_Paths!$D$2:$D$4, MATCH(E687, Unit_Paths!$A$2:$A$4, 0)),0)</f>
        <v>149</v>
      </c>
      <c r="K687" s="6" t="n">
        <f aca="false">ROUND(INDEX(Archetypes!$H$2:$H$127, MATCH(D687, Archetypes!$A$2:$A$127, 0))*INDEX(Unit_Paths!$E$2:$E$4, MATCH(E687, Unit_Paths!$A$2:$A$4, 0)),1)</f>
        <v>32</v>
      </c>
      <c r="L687" s="6" t="n">
        <f aca="false">ROUND(INDEX(Archetypes!$I$2:$I$127, MATCH(D687, Archetypes!$A$2:$A$127, 0))*INDEX(Unit_Grades!$C$2:$C$7, MATCH(F687, Unit_Grades!$A$2:$A$7, 0)),1)</f>
        <v>10</v>
      </c>
      <c r="M687" s="6" t="n">
        <f aca="false">ROUND(INDEX(Archetypes!$J$2:$J$127, MATCH(D687, Archetypes!$A$2:$A$127, 0))*INDEX(Unit_Grades!$D$2:$D$7, MATCH(F687, Unit_Grades!$A$2:$A$7, 0)),1)</f>
        <v>4.9</v>
      </c>
      <c r="N687" s="6" t="n">
        <f aca="false">ROUND(M687/24,2)</f>
        <v>0.2</v>
      </c>
    </row>
    <row r="688" customFormat="false" ht="15" hidden="false" customHeight="true" outlineLevel="0" collapsed="false">
      <c r="A688" s="6" t="n">
        <v>3</v>
      </c>
      <c r="B688" s="6" t="s">
        <v>2217</v>
      </c>
      <c r="C688" s="6" t="s">
        <v>1339</v>
      </c>
      <c r="D688" s="6" t="str">
        <f aca="false">A688&amp;"|"&amp;C688</f>
        <v>3|Dragoon</v>
      </c>
      <c r="E688" s="6" t="s">
        <v>1556</v>
      </c>
      <c r="F688" s="6" t="s">
        <v>1542</v>
      </c>
      <c r="G688" s="6" t="str">
        <f aca="false">INDEX(Archetypes!$D$2:$D$127, MATCH(D688, Archetypes!$A$2:$A$127, 0))</f>
        <v>Skirmisher</v>
      </c>
      <c r="H688" s="6" t="n">
        <f aca="false">ROUND(INDEX(Archetypes!$E$2:$E$127, MATCH(D688, Archetypes!$A$2:$A$127, 0))*INDEX(Unit_Grades!$B$2:$B$7, MATCH(F688, Unit_Grades!$A$2:$A$7, 0))*INDEX(Unit_Paths!$B$2:$B$4, MATCH(E688, Unit_Paths!$A$2:$A$4, 0)),1)</f>
        <v>82.8</v>
      </c>
      <c r="I688" s="6" t="n">
        <f aca="false">ROUND(INDEX(Archetypes!$F$2:$F$127, MATCH(D688, Archetypes!$A$2:$A$127, 0))*INDEX(Unit_Grades!$B$2:$B$7, MATCH(F688, Unit_Grades!$A$2:$A$7, 0))*INDEX(Unit_Paths!$C$2:$C$4, MATCH(E688, Unit_Paths!$A$2:$A$4, 0)),1)</f>
        <v>39.6</v>
      </c>
      <c r="J688" s="6" t="n">
        <f aca="false">ROUND(INDEX(Archetypes!$G$2:$G$127, MATCH(D688, Archetypes!$A$2:$A$127, 0))*INDEX(Unit_Grades!$B$2:$B$7, MATCH(F688, Unit_Grades!$A$2:$A$7, 0))*INDEX(Unit_Paths!$D$2:$D$4, MATCH(E688, Unit_Paths!$A$2:$A$4, 0)),0)</f>
        <v>198</v>
      </c>
      <c r="K688" s="6" t="n">
        <f aca="false">ROUND(INDEX(Archetypes!$H$2:$H$127, MATCH(D688, Archetypes!$A$2:$A$127, 0))*INDEX(Unit_Paths!$E$2:$E$4, MATCH(E688, Unit_Paths!$A$2:$A$4, 0)),1)</f>
        <v>32</v>
      </c>
      <c r="L688" s="6" t="n">
        <f aca="false">ROUND(INDEX(Archetypes!$I$2:$I$127, MATCH(D688, Archetypes!$A$2:$A$127, 0))*INDEX(Unit_Grades!$C$2:$C$7, MATCH(F688, Unit_Grades!$A$2:$A$7, 0)),1)</f>
        <v>12.8</v>
      </c>
      <c r="M688" s="6" t="n">
        <f aca="false">ROUND(INDEX(Archetypes!$J$2:$J$127, MATCH(D688, Archetypes!$A$2:$A$127, 0))*INDEX(Unit_Grades!$D$2:$D$7, MATCH(F688, Unit_Grades!$A$2:$A$7, 0)),1)</f>
        <v>8.1</v>
      </c>
      <c r="N688" s="6" t="n">
        <f aca="false">ROUND(M688/24,2)</f>
        <v>0.34</v>
      </c>
    </row>
    <row r="689" customFormat="false" ht="15" hidden="false" customHeight="true" outlineLevel="0" collapsed="false">
      <c r="A689" s="6" t="n">
        <v>3</v>
      </c>
      <c r="B689" s="6" t="s">
        <v>2218</v>
      </c>
      <c r="C689" s="6" t="s">
        <v>1339</v>
      </c>
      <c r="D689" s="6" t="str">
        <f aca="false">A689&amp;"|"&amp;C689</f>
        <v>3|Dragoon</v>
      </c>
      <c r="E689" s="6" t="s">
        <v>1556</v>
      </c>
      <c r="F689" s="6" t="s">
        <v>1544</v>
      </c>
      <c r="G689" s="6" t="str">
        <f aca="false">INDEX(Archetypes!$D$2:$D$127, MATCH(D689, Archetypes!$A$2:$A$127, 0))</f>
        <v>Skirmisher</v>
      </c>
      <c r="H689" s="6" t="n">
        <f aca="false">ROUND(INDEX(Archetypes!$E$2:$E$127, MATCH(D689, Archetypes!$A$2:$A$127, 0))*INDEX(Unit_Grades!$B$2:$B$7, MATCH(F689, Unit_Grades!$A$2:$A$7, 0))*INDEX(Unit_Paths!$B$2:$B$4, MATCH(E689, Unit_Paths!$A$2:$A$4, 0)),1)</f>
        <v>110.4</v>
      </c>
      <c r="I689" s="6" t="n">
        <f aca="false">ROUND(INDEX(Archetypes!$F$2:$F$127, MATCH(D689, Archetypes!$A$2:$A$127, 0))*INDEX(Unit_Grades!$B$2:$B$7, MATCH(F689, Unit_Grades!$A$2:$A$7, 0))*INDEX(Unit_Paths!$C$2:$C$4, MATCH(E689, Unit_Paths!$A$2:$A$4, 0)),1)</f>
        <v>52.8</v>
      </c>
      <c r="J689" s="6" t="n">
        <f aca="false">ROUND(INDEX(Archetypes!$G$2:$G$127, MATCH(D689, Archetypes!$A$2:$A$127, 0))*INDEX(Unit_Grades!$B$2:$B$7, MATCH(F689, Unit_Grades!$A$2:$A$7, 0))*INDEX(Unit_Paths!$D$2:$D$4, MATCH(E689, Unit_Paths!$A$2:$A$4, 0)),0)</f>
        <v>264</v>
      </c>
      <c r="K689" s="6" t="n">
        <f aca="false">ROUND(INDEX(Archetypes!$H$2:$H$127, MATCH(D689, Archetypes!$A$2:$A$127, 0))*INDEX(Unit_Paths!$E$2:$E$4, MATCH(E689, Unit_Paths!$A$2:$A$4, 0)),1)</f>
        <v>32</v>
      </c>
      <c r="L689" s="6" t="n">
        <f aca="false">ROUND(INDEX(Archetypes!$I$2:$I$127, MATCH(D689, Archetypes!$A$2:$A$127, 0))*INDEX(Unit_Grades!$C$2:$C$7, MATCH(F689, Unit_Grades!$A$2:$A$7, 0)),1)</f>
        <v>16.8</v>
      </c>
      <c r="M689" s="6" t="n">
        <f aca="false">ROUND(INDEX(Archetypes!$J$2:$J$127, MATCH(D689, Archetypes!$A$2:$A$127, 0))*INDEX(Unit_Grades!$D$2:$D$7, MATCH(F689, Unit_Grades!$A$2:$A$7, 0)),1)</f>
        <v>13</v>
      </c>
      <c r="N689" s="6" t="n">
        <f aca="false">ROUND(M689/24,2)</f>
        <v>0.54</v>
      </c>
    </row>
    <row r="690" customFormat="false" ht="15" hidden="false" customHeight="true" outlineLevel="0" collapsed="false">
      <c r="A690" s="6" t="n">
        <v>3</v>
      </c>
      <c r="B690" s="6" t="s">
        <v>2219</v>
      </c>
      <c r="C690" s="6" t="s">
        <v>1339</v>
      </c>
      <c r="D690" s="6" t="str">
        <f aca="false">A690&amp;"|"&amp;C690</f>
        <v>3|Dragoon</v>
      </c>
      <c r="E690" s="6" t="s">
        <v>1556</v>
      </c>
      <c r="F690" s="6" t="s">
        <v>1546</v>
      </c>
      <c r="G690" s="6" t="str">
        <f aca="false">INDEX(Archetypes!$D$2:$D$127, MATCH(D690, Archetypes!$A$2:$A$127, 0))</f>
        <v>Skirmisher</v>
      </c>
      <c r="H690" s="6" t="n">
        <f aca="false">ROUND(INDEX(Archetypes!$E$2:$E$127, MATCH(D690, Archetypes!$A$2:$A$127, 0))*INDEX(Unit_Grades!$B$2:$B$7, MATCH(F690, Unit_Grades!$A$2:$A$7, 0))*INDEX(Unit_Paths!$B$2:$B$4, MATCH(E690, Unit_Paths!$A$2:$A$4, 0)),1)</f>
        <v>147.2</v>
      </c>
      <c r="I690" s="6" t="n">
        <f aca="false">ROUND(INDEX(Archetypes!$F$2:$F$127, MATCH(D690, Archetypes!$A$2:$A$127, 0))*INDEX(Unit_Grades!$B$2:$B$7, MATCH(F690, Unit_Grades!$A$2:$A$7, 0))*INDEX(Unit_Paths!$C$2:$C$4, MATCH(E690, Unit_Paths!$A$2:$A$4, 0)),1)</f>
        <v>70.4</v>
      </c>
      <c r="J690" s="6" t="n">
        <f aca="false">ROUND(INDEX(Archetypes!$G$2:$G$127, MATCH(D690, Archetypes!$A$2:$A$127, 0))*INDEX(Unit_Grades!$B$2:$B$7, MATCH(F690, Unit_Grades!$A$2:$A$7, 0))*INDEX(Unit_Paths!$D$2:$D$4, MATCH(E690, Unit_Paths!$A$2:$A$4, 0)),0)</f>
        <v>352</v>
      </c>
      <c r="K690" s="6" t="n">
        <f aca="false">ROUND(INDEX(Archetypes!$H$2:$H$127, MATCH(D690, Archetypes!$A$2:$A$127, 0))*INDEX(Unit_Paths!$E$2:$E$4, MATCH(E690, Unit_Paths!$A$2:$A$4, 0)),1)</f>
        <v>32</v>
      </c>
      <c r="L690" s="6" t="n">
        <f aca="false">ROUND(INDEX(Archetypes!$I$2:$I$127, MATCH(D690, Archetypes!$A$2:$A$127, 0))*INDEX(Unit_Grades!$C$2:$C$7, MATCH(F690, Unit_Grades!$A$2:$A$7, 0)),1)</f>
        <v>22.4</v>
      </c>
      <c r="M690" s="6" t="n">
        <f aca="false">ROUND(INDEX(Archetypes!$J$2:$J$127, MATCH(D690, Archetypes!$A$2:$A$127, 0))*INDEX(Unit_Grades!$D$2:$D$7, MATCH(F690, Unit_Grades!$A$2:$A$7, 0)),1)</f>
        <v>22.8</v>
      </c>
      <c r="N690" s="6" t="n">
        <f aca="false">ROUND(M690/24,2)</f>
        <v>0.95</v>
      </c>
    </row>
    <row r="691" customFormat="false" ht="15" hidden="false" customHeight="true" outlineLevel="0" collapsed="false">
      <c r="A691" s="6" t="n">
        <v>3</v>
      </c>
      <c r="B691" s="6" t="s">
        <v>2220</v>
      </c>
      <c r="C691" s="6" t="s">
        <v>1339</v>
      </c>
      <c r="D691" s="6" t="str">
        <f aca="false">A691&amp;"|"&amp;C691</f>
        <v>3|Dragoon</v>
      </c>
      <c r="E691" s="6" t="s">
        <v>1556</v>
      </c>
      <c r="F691" s="6" t="s">
        <v>1548</v>
      </c>
      <c r="G691" s="6" t="str">
        <f aca="false">INDEX(Archetypes!$D$2:$D$127, MATCH(D691, Archetypes!$A$2:$A$127, 0))</f>
        <v>Skirmisher</v>
      </c>
      <c r="H691" s="6" t="n">
        <f aca="false">ROUND(INDEX(Archetypes!$E$2:$E$127, MATCH(D691, Archetypes!$A$2:$A$127, 0))*INDEX(Unit_Grades!$B$2:$B$7, MATCH(F691, Unit_Grades!$A$2:$A$7, 0))*INDEX(Unit_Paths!$B$2:$B$4, MATCH(E691, Unit_Paths!$A$2:$A$4, 0)),1)</f>
        <v>193.2</v>
      </c>
      <c r="I691" s="6" t="n">
        <f aca="false">ROUND(INDEX(Archetypes!$F$2:$F$127, MATCH(D691, Archetypes!$A$2:$A$127, 0))*INDEX(Unit_Grades!$B$2:$B$7, MATCH(F691, Unit_Grades!$A$2:$A$7, 0))*INDEX(Unit_Paths!$C$2:$C$4, MATCH(E691, Unit_Paths!$A$2:$A$4, 0)),1)</f>
        <v>92.4</v>
      </c>
      <c r="J691" s="6" t="n">
        <f aca="false">ROUND(INDEX(Archetypes!$G$2:$G$127, MATCH(D691, Archetypes!$A$2:$A$127, 0))*INDEX(Unit_Grades!$B$2:$B$7, MATCH(F691, Unit_Grades!$A$2:$A$7, 0))*INDEX(Unit_Paths!$D$2:$D$4, MATCH(E691, Unit_Paths!$A$2:$A$4, 0)),0)</f>
        <v>462</v>
      </c>
      <c r="K691" s="6" t="n">
        <f aca="false">ROUND(INDEX(Archetypes!$H$2:$H$127, MATCH(D691, Archetypes!$A$2:$A$127, 0))*INDEX(Unit_Paths!$E$2:$E$4, MATCH(E691, Unit_Paths!$A$2:$A$4, 0)),1)</f>
        <v>32</v>
      </c>
      <c r="L691" s="6" t="n">
        <f aca="false">ROUND(INDEX(Archetypes!$I$2:$I$127, MATCH(D691, Archetypes!$A$2:$A$127, 0))*INDEX(Unit_Grades!$C$2:$C$7, MATCH(F691, Unit_Grades!$A$2:$A$7, 0)),1)</f>
        <v>29.6</v>
      </c>
      <c r="M691" s="6" t="n">
        <f aca="false">ROUND(INDEX(Archetypes!$J$2:$J$127, MATCH(D691, Archetypes!$A$2:$A$127, 0))*INDEX(Unit_Grades!$D$2:$D$7, MATCH(F691, Unit_Grades!$A$2:$A$7, 0)),1)</f>
        <v>39</v>
      </c>
      <c r="N691" s="6" t="n">
        <f aca="false">ROUND(M691/24,2)</f>
        <v>1.63</v>
      </c>
    </row>
    <row r="692" customFormat="false" ht="15" hidden="false" customHeight="true" outlineLevel="0" collapsed="false">
      <c r="A692" s="6" t="n">
        <v>3</v>
      </c>
      <c r="B692" s="6" t="s">
        <v>2221</v>
      </c>
      <c r="C692" s="6" t="s">
        <v>1339</v>
      </c>
      <c r="D692" s="6" t="str">
        <f aca="false">A692&amp;"|"&amp;C692</f>
        <v>3|Dragoon</v>
      </c>
      <c r="E692" s="6" t="s">
        <v>1558</v>
      </c>
      <c r="F692" s="6" t="s">
        <v>1538</v>
      </c>
      <c r="G692" s="6" t="str">
        <f aca="false">INDEX(Archetypes!$D$2:$D$127, MATCH(D692, Archetypes!$A$2:$A$127, 0))</f>
        <v>Skirmisher</v>
      </c>
      <c r="H692" s="6" t="n">
        <f aca="false">ROUND(INDEX(Archetypes!$E$2:$E$127, MATCH(D692, Archetypes!$A$2:$A$127, 0))*INDEX(Unit_Grades!$B$2:$B$7, MATCH(F692, Unit_Grades!$A$2:$A$7, 0))*INDEX(Unit_Paths!$B$2:$B$4, MATCH(E692, Unit_Paths!$A$2:$A$4, 0)),1)</f>
        <v>55.2</v>
      </c>
      <c r="I692" s="6" t="n">
        <f aca="false">ROUND(INDEX(Archetypes!$F$2:$F$127, MATCH(D692, Archetypes!$A$2:$A$127, 0))*INDEX(Unit_Grades!$B$2:$B$7, MATCH(F692, Unit_Grades!$A$2:$A$7, 0))*INDEX(Unit_Paths!$C$2:$C$4, MATCH(E692, Unit_Paths!$A$2:$A$4, 0)),1)</f>
        <v>18.7</v>
      </c>
      <c r="J692" s="6" t="n">
        <f aca="false">ROUND(INDEX(Archetypes!$G$2:$G$127, MATCH(D692, Archetypes!$A$2:$A$127, 0))*INDEX(Unit_Grades!$B$2:$B$7, MATCH(F692, Unit_Grades!$A$2:$A$7, 0))*INDEX(Unit_Paths!$D$2:$D$4, MATCH(E692, Unit_Paths!$A$2:$A$4, 0)),0)</f>
        <v>105</v>
      </c>
      <c r="K692" s="6" t="n">
        <f aca="false">ROUND(INDEX(Archetypes!$H$2:$H$127, MATCH(D692, Archetypes!$A$2:$A$127, 0))*INDEX(Unit_Paths!$E$2:$E$4, MATCH(E692, Unit_Paths!$A$2:$A$4, 0)),1)</f>
        <v>33.6</v>
      </c>
      <c r="L692" s="6" t="n">
        <f aca="false">ROUND(INDEX(Archetypes!$I$2:$I$127, MATCH(D692, Archetypes!$A$2:$A$127, 0))*INDEX(Unit_Grades!$C$2:$C$7, MATCH(F692, Unit_Grades!$A$2:$A$7, 0)),1)</f>
        <v>8</v>
      </c>
      <c r="M692" s="6" t="n">
        <f aca="false">ROUND(INDEX(Archetypes!$J$2:$J$127, MATCH(D692, Archetypes!$A$2:$A$127, 0))*INDEX(Unit_Grades!$D$2:$D$7, MATCH(F692, Unit_Grades!$A$2:$A$7, 0)),1)</f>
        <v>3.3</v>
      </c>
      <c r="N692" s="6" t="n">
        <f aca="false">ROUND(M692/24,2)</f>
        <v>0.14</v>
      </c>
    </row>
    <row r="693" customFormat="false" ht="15" hidden="false" customHeight="true" outlineLevel="0" collapsed="false">
      <c r="A693" s="6" t="n">
        <v>3</v>
      </c>
      <c r="B693" s="6" t="s">
        <v>2222</v>
      </c>
      <c r="C693" s="6" t="s">
        <v>1339</v>
      </c>
      <c r="D693" s="6" t="str">
        <f aca="false">A693&amp;"|"&amp;C693</f>
        <v>3|Dragoon</v>
      </c>
      <c r="E693" s="6" t="s">
        <v>1558</v>
      </c>
      <c r="F693" s="6" t="s">
        <v>1540</v>
      </c>
      <c r="G693" s="6" t="str">
        <f aca="false">INDEX(Archetypes!$D$2:$D$127, MATCH(D693, Archetypes!$A$2:$A$127, 0))</f>
        <v>Skirmisher</v>
      </c>
      <c r="H693" s="6" t="n">
        <f aca="false">ROUND(INDEX(Archetypes!$E$2:$E$127, MATCH(D693, Archetypes!$A$2:$A$127, 0))*INDEX(Unit_Grades!$B$2:$B$7, MATCH(F693, Unit_Grades!$A$2:$A$7, 0))*INDEX(Unit_Paths!$B$2:$B$4, MATCH(E693, Unit_Paths!$A$2:$A$4, 0)),1)</f>
        <v>74.5</v>
      </c>
      <c r="I693" s="6" t="n">
        <f aca="false">ROUND(INDEX(Archetypes!$F$2:$F$127, MATCH(D693, Archetypes!$A$2:$A$127, 0))*INDEX(Unit_Grades!$B$2:$B$7, MATCH(F693, Unit_Grades!$A$2:$A$7, 0))*INDEX(Unit_Paths!$C$2:$C$4, MATCH(E693, Unit_Paths!$A$2:$A$4, 0)),1)</f>
        <v>25.2</v>
      </c>
      <c r="J693" s="6" t="n">
        <f aca="false">ROUND(INDEX(Archetypes!$G$2:$G$127, MATCH(D693, Archetypes!$A$2:$A$127, 0))*INDEX(Unit_Grades!$B$2:$B$7, MATCH(F693, Unit_Grades!$A$2:$A$7, 0))*INDEX(Unit_Paths!$D$2:$D$4, MATCH(E693, Unit_Paths!$A$2:$A$4, 0)),0)</f>
        <v>141</v>
      </c>
      <c r="K693" s="6" t="n">
        <f aca="false">ROUND(INDEX(Archetypes!$H$2:$H$127, MATCH(D693, Archetypes!$A$2:$A$127, 0))*INDEX(Unit_Paths!$E$2:$E$4, MATCH(E693, Unit_Paths!$A$2:$A$4, 0)),1)</f>
        <v>33.6</v>
      </c>
      <c r="L693" s="6" t="n">
        <f aca="false">ROUND(INDEX(Archetypes!$I$2:$I$127, MATCH(D693, Archetypes!$A$2:$A$127, 0))*INDEX(Unit_Grades!$C$2:$C$7, MATCH(F693, Unit_Grades!$A$2:$A$7, 0)),1)</f>
        <v>10</v>
      </c>
      <c r="M693" s="6" t="n">
        <f aca="false">ROUND(INDEX(Archetypes!$J$2:$J$127, MATCH(D693, Archetypes!$A$2:$A$127, 0))*INDEX(Unit_Grades!$D$2:$D$7, MATCH(F693, Unit_Grades!$A$2:$A$7, 0)),1)</f>
        <v>4.9</v>
      </c>
      <c r="N693" s="6" t="n">
        <f aca="false">ROUND(M693/24,2)</f>
        <v>0.2</v>
      </c>
    </row>
    <row r="694" customFormat="false" ht="15" hidden="false" customHeight="true" outlineLevel="0" collapsed="false">
      <c r="A694" s="6" t="n">
        <v>3</v>
      </c>
      <c r="B694" s="6" t="s">
        <v>2223</v>
      </c>
      <c r="C694" s="6" t="s">
        <v>1339</v>
      </c>
      <c r="D694" s="6" t="str">
        <f aca="false">A694&amp;"|"&amp;C694</f>
        <v>3|Dragoon</v>
      </c>
      <c r="E694" s="6" t="s">
        <v>1558</v>
      </c>
      <c r="F694" s="6" t="s">
        <v>1542</v>
      </c>
      <c r="G694" s="6" t="str">
        <f aca="false">INDEX(Archetypes!$D$2:$D$127, MATCH(D694, Archetypes!$A$2:$A$127, 0))</f>
        <v>Skirmisher</v>
      </c>
      <c r="H694" s="6" t="n">
        <f aca="false">ROUND(INDEX(Archetypes!$E$2:$E$127, MATCH(D694, Archetypes!$A$2:$A$127, 0))*INDEX(Unit_Grades!$B$2:$B$7, MATCH(F694, Unit_Grades!$A$2:$A$7, 0))*INDEX(Unit_Paths!$B$2:$B$4, MATCH(E694, Unit_Paths!$A$2:$A$4, 0)),1)</f>
        <v>99.4</v>
      </c>
      <c r="I694" s="6" t="n">
        <f aca="false">ROUND(INDEX(Archetypes!$F$2:$F$127, MATCH(D694, Archetypes!$A$2:$A$127, 0))*INDEX(Unit_Grades!$B$2:$B$7, MATCH(F694, Unit_Grades!$A$2:$A$7, 0))*INDEX(Unit_Paths!$C$2:$C$4, MATCH(E694, Unit_Paths!$A$2:$A$4, 0)),1)</f>
        <v>33.7</v>
      </c>
      <c r="J694" s="6" t="n">
        <f aca="false">ROUND(INDEX(Archetypes!$G$2:$G$127, MATCH(D694, Archetypes!$A$2:$A$127, 0))*INDEX(Unit_Grades!$B$2:$B$7, MATCH(F694, Unit_Grades!$A$2:$A$7, 0))*INDEX(Unit_Paths!$D$2:$D$4, MATCH(E694, Unit_Paths!$A$2:$A$4, 0)),0)</f>
        <v>188</v>
      </c>
      <c r="K694" s="6" t="n">
        <f aca="false">ROUND(INDEX(Archetypes!$H$2:$H$127, MATCH(D694, Archetypes!$A$2:$A$127, 0))*INDEX(Unit_Paths!$E$2:$E$4, MATCH(E694, Unit_Paths!$A$2:$A$4, 0)),1)</f>
        <v>33.6</v>
      </c>
      <c r="L694" s="6" t="n">
        <f aca="false">ROUND(INDEX(Archetypes!$I$2:$I$127, MATCH(D694, Archetypes!$A$2:$A$127, 0))*INDEX(Unit_Grades!$C$2:$C$7, MATCH(F694, Unit_Grades!$A$2:$A$7, 0)),1)</f>
        <v>12.8</v>
      </c>
      <c r="M694" s="6" t="n">
        <f aca="false">ROUND(INDEX(Archetypes!$J$2:$J$127, MATCH(D694, Archetypes!$A$2:$A$127, 0))*INDEX(Unit_Grades!$D$2:$D$7, MATCH(F694, Unit_Grades!$A$2:$A$7, 0)),1)</f>
        <v>8.1</v>
      </c>
      <c r="N694" s="6" t="n">
        <f aca="false">ROUND(M694/24,2)</f>
        <v>0.34</v>
      </c>
    </row>
    <row r="695" customFormat="false" ht="15" hidden="false" customHeight="true" outlineLevel="0" collapsed="false">
      <c r="A695" s="6" t="n">
        <v>3</v>
      </c>
      <c r="B695" s="6" t="s">
        <v>2224</v>
      </c>
      <c r="C695" s="6" t="s">
        <v>1339</v>
      </c>
      <c r="D695" s="6" t="str">
        <f aca="false">A695&amp;"|"&amp;C695</f>
        <v>3|Dragoon</v>
      </c>
      <c r="E695" s="6" t="s">
        <v>1558</v>
      </c>
      <c r="F695" s="6" t="s">
        <v>1544</v>
      </c>
      <c r="G695" s="6" t="str">
        <f aca="false">INDEX(Archetypes!$D$2:$D$127, MATCH(D695, Archetypes!$A$2:$A$127, 0))</f>
        <v>Skirmisher</v>
      </c>
      <c r="H695" s="6" t="n">
        <f aca="false">ROUND(INDEX(Archetypes!$E$2:$E$127, MATCH(D695, Archetypes!$A$2:$A$127, 0))*INDEX(Unit_Grades!$B$2:$B$7, MATCH(F695, Unit_Grades!$A$2:$A$7, 0))*INDEX(Unit_Paths!$B$2:$B$4, MATCH(E695, Unit_Paths!$A$2:$A$4, 0)),1)</f>
        <v>132.5</v>
      </c>
      <c r="I695" s="6" t="n">
        <f aca="false">ROUND(INDEX(Archetypes!$F$2:$F$127, MATCH(D695, Archetypes!$A$2:$A$127, 0))*INDEX(Unit_Grades!$B$2:$B$7, MATCH(F695, Unit_Grades!$A$2:$A$7, 0))*INDEX(Unit_Paths!$C$2:$C$4, MATCH(E695, Unit_Paths!$A$2:$A$4, 0)),1)</f>
        <v>44.9</v>
      </c>
      <c r="J695" s="6" t="n">
        <f aca="false">ROUND(INDEX(Archetypes!$G$2:$G$127, MATCH(D695, Archetypes!$A$2:$A$127, 0))*INDEX(Unit_Grades!$B$2:$B$7, MATCH(F695, Unit_Grades!$A$2:$A$7, 0))*INDEX(Unit_Paths!$D$2:$D$4, MATCH(E695, Unit_Paths!$A$2:$A$4, 0)),0)</f>
        <v>251</v>
      </c>
      <c r="K695" s="6" t="n">
        <f aca="false">ROUND(INDEX(Archetypes!$H$2:$H$127, MATCH(D695, Archetypes!$A$2:$A$127, 0))*INDEX(Unit_Paths!$E$2:$E$4, MATCH(E695, Unit_Paths!$A$2:$A$4, 0)),1)</f>
        <v>33.6</v>
      </c>
      <c r="L695" s="6" t="n">
        <f aca="false">ROUND(INDEX(Archetypes!$I$2:$I$127, MATCH(D695, Archetypes!$A$2:$A$127, 0))*INDEX(Unit_Grades!$C$2:$C$7, MATCH(F695, Unit_Grades!$A$2:$A$7, 0)),1)</f>
        <v>16.8</v>
      </c>
      <c r="M695" s="6" t="n">
        <f aca="false">ROUND(INDEX(Archetypes!$J$2:$J$127, MATCH(D695, Archetypes!$A$2:$A$127, 0))*INDEX(Unit_Grades!$D$2:$D$7, MATCH(F695, Unit_Grades!$A$2:$A$7, 0)),1)</f>
        <v>13</v>
      </c>
      <c r="N695" s="6" t="n">
        <f aca="false">ROUND(M695/24,2)</f>
        <v>0.54</v>
      </c>
    </row>
    <row r="696" customFormat="false" ht="15" hidden="false" customHeight="true" outlineLevel="0" collapsed="false">
      <c r="A696" s="6" t="n">
        <v>3</v>
      </c>
      <c r="B696" s="6" t="s">
        <v>2225</v>
      </c>
      <c r="C696" s="6" t="s">
        <v>1339</v>
      </c>
      <c r="D696" s="6" t="str">
        <f aca="false">A696&amp;"|"&amp;C696</f>
        <v>3|Dragoon</v>
      </c>
      <c r="E696" s="6" t="s">
        <v>1558</v>
      </c>
      <c r="F696" s="6" t="s">
        <v>1546</v>
      </c>
      <c r="G696" s="6" t="str">
        <f aca="false">INDEX(Archetypes!$D$2:$D$127, MATCH(D696, Archetypes!$A$2:$A$127, 0))</f>
        <v>Skirmisher</v>
      </c>
      <c r="H696" s="6" t="n">
        <f aca="false">ROUND(INDEX(Archetypes!$E$2:$E$127, MATCH(D696, Archetypes!$A$2:$A$127, 0))*INDEX(Unit_Grades!$B$2:$B$7, MATCH(F696, Unit_Grades!$A$2:$A$7, 0))*INDEX(Unit_Paths!$B$2:$B$4, MATCH(E696, Unit_Paths!$A$2:$A$4, 0)),1)</f>
        <v>176.6</v>
      </c>
      <c r="I696" s="6" t="n">
        <f aca="false">ROUND(INDEX(Archetypes!$F$2:$F$127, MATCH(D696, Archetypes!$A$2:$A$127, 0))*INDEX(Unit_Grades!$B$2:$B$7, MATCH(F696, Unit_Grades!$A$2:$A$7, 0))*INDEX(Unit_Paths!$C$2:$C$4, MATCH(E696, Unit_Paths!$A$2:$A$4, 0)),1)</f>
        <v>59.8</v>
      </c>
      <c r="J696" s="6" t="n">
        <f aca="false">ROUND(INDEX(Archetypes!$G$2:$G$127, MATCH(D696, Archetypes!$A$2:$A$127, 0))*INDEX(Unit_Grades!$B$2:$B$7, MATCH(F696, Unit_Grades!$A$2:$A$7, 0))*INDEX(Unit_Paths!$D$2:$D$4, MATCH(E696, Unit_Paths!$A$2:$A$4, 0)),0)</f>
        <v>334</v>
      </c>
      <c r="K696" s="6" t="n">
        <f aca="false">ROUND(INDEX(Archetypes!$H$2:$H$127, MATCH(D696, Archetypes!$A$2:$A$127, 0))*INDEX(Unit_Paths!$E$2:$E$4, MATCH(E696, Unit_Paths!$A$2:$A$4, 0)),1)</f>
        <v>33.6</v>
      </c>
      <c r="L696" s="6" t="n">
        <f aca="false">ROUND(INDEX(Archetypes!$I$2:$I$127, MATCH(D696, Archetypes!$A$2:$A$127, 0))*INDEX(Unit_Grades!$C$2:$C$7, MATCH(F696, Unit_Grades!$A$2:$A$7, 0)),1)</f>
        <v>22.4</v>
      </c>
      <c r="M696" s="6" t="n">
        <f aca="false">ROUND(INDEX(Archetypes!$J$2:$J$127, MATCH(D696, Archetypes!$A$2:$A$127, 0))*INDEX(Unit_Grades!$D$2:$D$7, MATCH(F696, Unit_Grades!$A$2:$A$7, 0)),1)</f>
        <v>22.8</v>
      </c>
      <c r="N696" s="6" t="n">
        <f aca="false">ROUND(M696/24,2)</f>
        <v>0.95</v>
      </c>
    </row>
    <row r="697" customFormat="false" ht="15" hidden="false" customHeight="true" outlineLevel="0" collapsed="false">
      <c r="A697" s="6" t="n">
        <v>3</v>
      </c>
      <c r="B697" s="6" t="s">
        <v>2226</v>
      </c>
      <c r="C697" s="6" t="s">
        <v>1339</v>
      </c>
      <c r="D697" s="6" t="str">
        <f aca="false">A697&amp;"|"&amp;C697</f>
        <v>3|Dragoon</v>
      </c>
      <c r="E697" s="6" t="s">
        <v>1558</v>
      </c>
      <c r="F697" s="6" t="s">
        <v>1548</v>
      </c>
      <c r="G697" s="6" t="str">
        <f aca="false">INDEX(Archetypes!$D$2:$D$127, MATCH(D697, Archetypes!$A$2:$A$127, 0))</f>
        <v>Skirmisher</v>
      </c>
      <c r="H697" s="6" t="n">
        <f aca="false">ROUND(INDEX(Archetypes!$E$2:$E$127, MATCH(D697, Archetypes!$A$2:$A$127, 0))*INDEX(Unit_Grades!$B$2:$B$7, MATCH(F697, Unit_Grades!$A$2:$A$7, 0))*INDEX(Unit_Paths!$B$2:$B$4, MATCH(E697, Unit_Paths!$A$2:$A$4, 0)),1)</f>
        <v>231.8</v>
      </c>
      <c r="I697" s="6" t="n">
        <f aca="false">ROUND(INDEX(Archetypes!$F$2:$F$127, MATCH(D697, Archetypes!$A$2:$A$127, 0))*INDEX(Unit_Grades!$B$2:$B$7, MATCH(F697, Unit_Grades!$A$2:$A$7, 0))*INDEX(Unit_Paths!$C$2:$C$4, MATCH(E697, Unit_Paths!$A$2:$A$4, 0)),1)</f>
        <v>78.5</v>
      </c>
      <c r="J697" s="6" t="n">
        <f aca="false">ROUND(INDEX(Archetypes!$G$2:$G$127, MATCH(D697, Archetypes!$A$2:$A$127, 0))*INDEX(Unit_Grades!$B$2:$B$7, MATCH(F697, Unit_Grades!$A$2:$A$7, 0))*INDEX(Unit_Paths!$D$2:$D$4, MATCH(E697, Unit_Paths!$A$2:$A$4, 0)),0)</f>
        <v>439</v>
      </c>
      <c r="K697" s="6" t="n">
        <f aca="false">ROUND(INDEX(Archetypes!$H$2:$H$127, MATCH(D697, Archetypes!$A$2:$A$127, 0))*INDEX(Unit_Paths!$E$2:$E$4, MATCH(E697, Unit_Paths!$A$2:$A$4, 0)),1)</f>
        <v>33.6</v>
      </c>
      <c r="L697" s="6" t="n">
        <f aca="false">ROUND(INDEX(Archetypes!$I$2:$I$127, MATCH(D697, Archetypes!$A$2:$A$127, 0))*INDEX(Unit_Grades!$C$2:$C$7, MATCH(F697, Unit_Grades!$A$2:$A$7, 0)),1)</f>
        <v>29.6</v>
      </c>
      <c r="M697" s="6" t="n">
        <f aca="false">ROUND(INDEX(Archetypes!$J$2:$J$127, MATCH(D697, Archetypes!$A$2:$A$127, 0))*INDEX(Unit_Grades!$D$2:$D$7, MATCH(F697, Unit_Grades!$A$2:$A$7, 0)),1)</f>
        <v>39</v>
      </c>
      <c r="N697" s="6" t="n">
        <f aca="false">ROUND(M697/24,2)</f>
        <v>1.63</v>
      </c>
    </row>
    <row r="698" customFormat="false" ht="15" hidden="false" customHeight="true" outlineLevel="0" collapsed="false">
      <c r="A698" s="6" t="n">
        <v>3</v>
      </c>
      <c r="B698" s="6" t="s">
        <v>2227</v>
      </c>
      <c r="C698" s="6" t="s">
        <v>1339</v>
      </c>
      <c r="D698" s="6" t="str">
        <f aca="false">A698&amp;"|"&amp;C698</f>
        <v>3|Dragoon</v>
      </c>
      <c r="E698" s="6" t="s">
        <v>1560</v>
      </c>
      <c r="F698" s="6" t="s">
        <v>1538</v>
      </c>
      <c r="G698" s="6" t="str">
        <f aca="false">INDEX(Archetypes!$D$2:$D$127, MATCH(D698, Archetypes!$A$2:$A$127, 0))</f>
        <v>Skirmisher</v>
      </c>
      <c r="H698" s="6" t="n">
        <f aca="false">ROUND(INDEX(Archetypes!$E$2:$E$127, MATCH(D698, Archetypes!$A$2:$A$127, 0))*INDEX(Unit_Grades!$B$2:$B$7, MATCH(F698, Unit_Grades!$A$2:$A$7, 0))*INDEX(Unit_Paths!$B$2:$B$4, MATCH(E698, Unit_Paths!$A$2:$A$4, 0)),1)</f>
        <v>39.1</v>
      </c>
      <c r="I698" s="6" t="n">
        <f aca="false">ROUND(INDEX(Archetypes!$F$2:$F$127, MATCH(D698, Archetypes!$A$2:$A$127, 0))*INDEX(Unit_Grades!$B$2:$B$7, MATCH(F698, Unit_Grades!$A$2:$A$7, 0))*INDEX(Unit_Paths!$C$2:$C$4, MATCH(E698, Unit_Paths!$A$2:$A$4, 0)),1)</f>
        <v>27.5</v>
      </c>
      <c r="J698" s="6" t="n">
        <f aca="false">ROUND(INDEX(Archetypes!$G$2:$G$127, MATCH(D698, Archetypes!$A$2:$A$127, 0))*INDEX(Unit_Grades!$B$2:$B$7, MATCH(F698, Unit_Grades!$A$2:$A$7, 0))*INDEX(Unit_Paths!$D$2:$D$4, MATCH(E698, Unit_Paths!$A$2:$A$4, 0)),0)</f>
        <v>126</v>
      </c>
      <c r="K698" s="6" t="n">
        <f aca="false">ROUND(INDEX(Archetypes!$H$2:$H$127, MATCH(D698, Archetypes!$A$2:$A$127, 0))*INDEX(Unit_Paths!$E$2:$E$4, MATCH(E698, Unit_Paths!$A$2:$A$4, 0)),1)</f>
        <v>29.4</v>
      </c>
      <c r="L698" s="6" t="n">
        <f aca="false">ROUND(INDEX(Archetypes!$I$2:$I$127, MATCH(D698, Archetypes!$A$2:$A$127, 0))*INDEX(Unit_Grades!$C$2:$C$7, MATCH(F698, Unit_Grades!$A$2:$A$7, 0)),1)</f>
        <v>8</v>
      </c>
      <c r="M698" s="6" t="n">
        <f aca="false">ROUND(INDEX(Archetypes!$J$2:$J$127, MATCH(D698, Archetypes!$A$2:$A$127, 0))*INDEX(Unit_Grades!$D$2:$D$7, MATCH(F698, Unit_Grades!$A$2:$A$7, 0)),1)</f>
        <v>3.3</v>
      </c>
      <c r="N698" s="6" t="n">
        <f aca="false">ROUND(M698/24,2)</f>
        <v>0.14</v>
      </c>
    </row>
    <row r="699" customFormat="false" ht="15" hidden="false" customHeight="true" outlineLevel="0" collapsed="false">
      <c r="A699" s="6" t="n">
        <v>3</v>
      </c>
      <c r="B699" s="6" t="s">
        <v>2228</v>
      </c>
      <c r="C699" s="6" t="s">
        <v>1339</v>
      </c>
      <c r="D699" s="6" t="str">
        <f aca="false">A699&amp;"|"&amp;C699</f>
        <v>3|Dragoon</v>
      </c>
      <c r="E699" s="6" t="s">
        <v>1560</v>
      </c>
      <c r="F699" s="6" t="s">
        <v>1540</v>
      </c>
      <c r="G699" s="6" t="str">
        <f aca="false">INDEX(Archetypes!$D$2:$D$127, MATCH(D699, Archetypes!$A$2:$A$127, 0))</f>
        <v>Skirmisher</v>
      </c>
      <c r="H699" s="6" t="n">
        <f aca="false">ROUND(INDEX(Archetypes!$E$2:$E$127, MATCH(D699, Archetypes!$A$2:$A$127, 0))*INDEX(Unit_Grades!$B$2:$B$7, MATCH(F699, Unit_Grades!$A$2:$A$7, 0))*INDEX(Unit_Paths!$B$2:$B$4, MATCH(E699, Unit_Paths!$A$2:$A$4, 0)),1)</f>
        <v>52.8</v>
      </c>
      <c r="I699" s="6" t="n">
        <f aca="false">ROUND(INDEX(Archetypes!$F$2:$F$127, MATCH(D699, Archetypes!$A$2:$A$127, 0))*INDEX(Unit_Grades!$B$2:$B$7, MATCH(F699, Unit_Grades!$A$2:$A$7, 0))*INDEX(Unit_Paths!$C$2:$C$4, MATCH(E699, Unit_Paths!$A$2:$A$4, 0)),1)</f>
        <v>37.1</v>
      </c>
      <c r="J699" s="6" t="n">
        <f aca="false">ROUND(INDEX(Archetypes!$G$2:$G$127, MATCH(D699, Archetypes!$A$2:$A$127, 0))*INDEX(Unit_Grades!$B$2:$B$7, MATCH(F699, Unit_Grades!$A$2:$A$7, 0))*INDEX(Unit_Paths!$D$2:$D$4, MATCH(E699, Unit_Paths!$A$2:$A$4, 0)),0)</f>
        <v>171</v>
      </c>
      <c r="K699" s="6" t="n">
        <f aca="false">ROUND(INDEX(Archetypes!$H$2:$H$127, MATCH(D699, Archetypes!$A$2:$A$127, 0))*INDEX(Unit_Paths!$E$2:$E$4, MATCH(E699, Unit_Paths!$A$2:$A$4, 0)),1)</f>
        <v>29.4</v>
      </c>
      <c r="L699" s="6" t="n">
        <f aca="false">ROUND(INDEX(Archetypes!$I$2:$I$127, MATCH(D699, Archetypes!$A$2:$A$127, 0))*INDEX(Unit_Grades!$C$2:$C$7, MATCH(F699, Unit_Grades!$A$2:$A$7, 0)),1)</f>
        <v>10</v>
      </c>
      <c r="M699" s="6" t="n">
        <f aca="false">ROUND(INDEX(Archetypes!$J$2:$J$127, MATCH(D699, Archetypes!$A$2:$A$127, 0))*INDEX(Unit_Grades!$D$2:$D$7, MATCH(F699, Unit_Grades!$A$2:$A$7, 0)),1)</f>
        <v>4.9</v>
      </c>
      <c r="N699" s="6" t="n">
        <f aca="false">ROUND(M699/24,2)</f>
        <v>0.2</v>
      </c>
    </row>
    <row r="700" customFormat="false" ht="15" hidden="false" customHeight="true" outlineLevel="0" collapsed="false">
      <c r="A700" s="6" t="n">
        <v>3</v>
      </c>
      <c r="B700" s="6" t="s">
        <v>2229</v>
      </c>
      <c r="C700" s="6" t="s">
        <v>1339</v>
      </c>
      <c r="D700" s="6" t="str">
        <f aca="false">A700&amp;"|"&amp;C700</f>
        <v>3|Dragoon</v>
      </c>
      <c r="E700" s="6" t="s">
        <v>1560</v>
      </c>
      <c r="F700" s="6" t="s">
        <v>1542</v>
      </c>
      <c r="G700" s="6" t="str">
        <f aca="false">INDEX(Archetypes!$D$2:$D$127, MATCH(D700, Archetypes!$A$2:$A$127, 0))</f>
        <v>Skirmisher</v>
      </c>
      <c r="H700" s="6" t="n">
        <f aca="false">ROUND(INDEX(Archetypes!$E$2:$E$127, MATCH(D700, Archetypes!$A$2:$A$127, 0))*INDEX(Unit_Grades!$B$2:$B$7, MATCH(F700, Unit_Grades!$A$2:$A$7, 0))*INDEX(Unit_Paths!$B$2:$B$4, MATCH(E700, Unit_Paths!$A$2:$A$4, 0)),1)</f>
        <v>70.4</v>
      </c>
      <c r="I700" s="6" t="n">
        <f aca="false">ROUND(INDEX(Archetypes!$F$2:$F$127, MATCH(D700, Archetypes!$A$2:$A$127, 0))*INDEX(Unit_Grades!$B$2:$B$7, MATCH(F700, Unit_Grades!$A$2:$A$7, 0))*INDEX(Unit_Paths!$C$2:$C$4, MATCH(E700, Unit_Paths!$A$2:$A$4, 0)),1)</f>
        <v>49.5</v>
      </c>
      <c r="J700" s="6" t="n">
        <f aca="false">ROUND(INDEX(Archetypes!$G$2:$G$127, MATCH(D700, Archetypes!$A$2:$A$127, 0))*INDEX(Unit_Grades!$B$2:$B$7, MATCH(F700, Unit_Grades!$A$2:$A$7, 0))*INDEX(Unit_Paths!$D$2:$D$4, MATCH(E700, Unit_Paths!$A$2:$A$4, 0)),0)</f>
        <v>228</v>
      </c>
      <c r="K700" s="6" t="n">
        <f aca="false">ROUND(INDEX(Archetypes!$H$2:$H$127, MATCH(D700, Archetypes!$A$2:$A$127, 0))*INDEX(Unit_Paths!$E$2:$E$4, MATCH(E700, Unit_Paths!$A$2:$A$4, 0)),1)</f>
        <v>29.4</v>
      </c>
      <c r="L700" s="6" t="n">
        <f aca="false">ROUND(INDEX(Archetypes!$I$2:$I$127, MATCH(D700, Archetypes!$A$2:$A$127, 0))*INDEX(Unit_Grades!$C$2:$C$7, MATCH(F700, Unit_Grades!$A$2:$A$7, 0)),1)</f>
        <v>12.8</v>
      </c>
      <c r="M700" s="6" t="n">
        <f aca="false">ROUND(INDEX(Archetypes!$J$2:$J$127, MATCH(D700, Archetypes!$A$2:$A$127, 0))*INDEX(Unit_Grades!$D$2:$D$7, MATCH(F700, Unit_Grades!$A$2:$A$7, 0)),1)</f>
        <v>8.1</v>
      </c>
      <c r="N700" s="6" t="n">
        <f aca="false">ROUND(M700/24,2)</f>
        <v>0.34</v>
      </c>
    </row>
    <row r="701" customFormat="false" ht="15" hidden="false" customHeight="true" outlineLevel="0" collapsed="false">
      <c r="A701" s="6" t="n">
        <v>3</v>
      </c>
      <c r="B701" s="6" t="s">
        <v>2230</v>
      </c>
      <c r="C701" s="6" t="s">
        <v>1339</v>
      </c>
      <c r="D701" s="6" t="str">
        <f aca="false">A701&amp;"|"&amp;C701</f>
        <v>3|Dragoon</v>
      </c>
      <c r="E701" s="6" t="s">
        <v>1560</v>
      </c>
      <c r="F701" s="6" t="s">
        <v>1544</v>
      </c>
      <c r="G701" s="6" t="str">
        <f aca="false">INDEX(Archetypes!$D$2:$D$127, MATCH(D701, Archetypes!$A$2:$A$127, 0))</f>
        <v>Skirmisher</v>
      </c>
      <c r="H701" s="6" t="n">
        <f aca="false">ROUND(INDEX(Archetypes!$E$2:$E$127, MATCH(D701, Archetypes!$A$2:$A$127, 0))*INDEX(Unit_Grades!$B$2:$B$7, MATCH(F701, Unit_Grades!$A$2:$A$7, 0))*INDEX(Unit_Paths!$B$2:$B$4, MATCH(E701, Unit_Paths!$A$2:$A$4, 0)),1)</f>
        <v>93.8</v>
      </c>
      <c r="I701" s="6" t="n">
        <f aca="false">ROUND(INDEX(Archetypes!$F$2:$F$127, MATCH(D701, Archetypes!$A$2:$A$127, 0))*INDEX(Unit_Grades!$B$2:$B$7, MATCH(F701, Unit_Grades!$A$2:$A$7, 0))*INDEX(Unit_Paths!$C$2:$C$4, MATCH(E701, Unit_Paths!$A$2:$A$4, 0)),1)</f>
        <v>66</v>
      </c>
      <c r="J701" s="6" t="n">
        <f aca="false">ROUND(INDEX(Archetypes!$G$2:$G$127, MATCH(D701, Archetypes!$A$2:$A$127, 0))*INDEX(Unit_Grades!$B$2:$B$7, MATCH(F701, Unit_Grades!$A$2:$A$7, 0))*INDEX(Unit_Paths!$D$2:$D$4, MATCH(E701, Unit_Paths!$A$2:$A$4, 0)),0)</f>
        <v>304</v>
      </c>
      <c r="K701" s="6" t="n">
        <f aca="false">ROUND(INDEX(Archetypes!$H$2:$H$127, MATCH(D701, Archetypes!$A$2:$A$127, 0))*INDEX(Unit_Paths!$E$2:$E$4, MATCH(E701, Unit_Paths!$A$2:$A$4, 0)),1)</f>
        <v>29.4</v>
      </c>
      <c r="L701" s="6" t="n">
        <f aca="false">ROUND(INDEX(Archetypes!$I$2:$I$127, MATCH(D701, Archetypes!$A$2:$A$127, 0))*INDEX(Unit_Grades!$C$2:$C$7, MATCH(F701, Unit_Grades!$A$2:$A$7, 0)),1)</f>
        <v>16.8</v>
      </c>
      <c r="M701" s="6" t="n">
        <f aca="false">ROUND(INDEX(Archetypes!$J$2:$J$127, MATCH(D701, Archetypes!$A$2:$A$127, 0))*INDEX(Unit_Grades!$D$2:$D$7, MATCH(F701, Unit_Grades!$A$2:$A$7, 0)),1)</f>
        <v>13</v>
      </c>
      <c r="N701" s="6" t="n">
        <f aca="false">ROUND(M701/24,2)</f>
        <v>0.54</v>
      </c>
    </row>
    <row r="702" customFormat="false" ht="15" hidden="false" customHeight="true" outlineLevel="0" collapsed="false">
      <c r="A702" s="6" t="n">
        <v>3</v>
      </c>
      <c r="B702" s="6" t="s">
        <v>2231</v>
      </c>
      <c r="C702" s="6" t="s">
        <v>1339</v>
      </c>
      <c r="D702" s="6" t="str">
        <f aca="false">A702&amp;"|"&amp;C702</f>
        <v>3|Dragoon</v>
      </c>
      <c r="E702" s="6" t="s">
        <v>1560</v>
      </c>
      <c r="F702" s="6" t="s">
        <v>1546</v>
      </c>
      <c r="G702" s="6" t="str">
        <f aca="false">INDEX(Archetypes!$D$2:$D$127, MATCH(D702, Archetypes!$A$2:$A$127, 0))</f>
        <v>Skirmisher</v>
      </c>
      <c r="H702" s="6" t="n">
        <f aca="false">ROUND(INDEX(Archetypes!$E$2:$E$127, MATCH(D702, Archetypes!$A$2:$A$127, 0))*INDEX(Unit_Grades!$B$2:$B$7, MATCH(F702, Unit_Grades!$A$2:$A$7, 0))*INDEX(Unit_Paths!$B$2:$B$4, MATCH(E702, Unit_Paths!$A$2:$A$4, 0)),1)</f>
        <v>125.1</v>
      </c>
      <c r="I702" s="6" t="n">
        <f aca="false">ROUND(INDEX(Archetypes!$F$2:$F$127, MATCH(D702, Archetypes!$A$2:$A$127, 0))*INDEX(Unit_Grades!$B$2:$B$7, MATCH(F702, Unit_Grades!$A$2:$A$7, 0))*INDEX(Unit_Paths!$C$2:$C$4, MATCH(E702, Unit_Paths!$A$2:$A$4, 0)),1)</f>
        <v>88</v>
      </c>
      <c r="J702" s="6" t="n">
        <f aca="false">ROUND(INDEX(Archetypes!$G$2:$G$127, MATCH(D702, Archetypes!$A$2:$A$127, 0))*INDEX(Unit_Grades!$B$2:$B$7, MATCH(F702, Unit_Grades!$A$2:$A$7, 0))*INDEX(Unit_Paths!$D$2:$D$4, MATCH(E702, Unit_Paths!$A$2:$A$4, 0)),0)</f>
        <v>405</v>
      </c>
      <c r="K702" s="6" t="n">
        <f aca="false">ROUND(INDEX(Archetypes!$H$2:$H$127, MATCH(D702, Archetypes!$A$2:$A$127, 0))*INDEX(Unit_Paths!$E$2:$E$4, MATCH(E702, Unit_Paths!$A$2:$A$4, 0)),1)</f>
        <v>29.4</v>
      </c>
      <c r="L702" s="6" t="n">
        <f aca="false">ROUND(INDEX(Archetypes!$I$2:$I$127, MATCH(D702, Archetypes!$A$2:$A$127, 0))*INDEX(Unit_Grades!$C$2:$C$7, MATCH(F702, Unit_Grades!$A$2:$A$7, 0)),1)</f>
        <v>22.4</v>
      </c>
      <c r="M702" s="6" t="n">
        <f aca="false">ROUND(INDEX(Archetypes!$J$2:$J$127, MATCH(D702, Archetypes!$A$2:$A$127, 0))*INDEX(Unit_Grades!$D$2:$D$7, MATCH(F702, Unit_Grades!$A$2:$A$7, 0)),1)</f>
        <v>22.8</v>
      </c>
      <c r="N702" s="6" t="n">
        <f aca="false">ROUND(M702/24,2)</f>
        <v>0.95</v>
      </c>
    </row>
    <row r="703" customFormat="false" ht="15" hidden="false" customHeight="true" outlineLevel="0" collapsed="false">
      <c r="A703" s="6" t="n">
        <v>3</v>
      </c>
      <c r="B703" s="6" t="s">
        <v>2232</v>
      </c>
      <c r="C703" s="6" t="s">
        <v>1339</v>
      </c>
      <c r="D703" s="6" t="str">
        <f aca="false">A703&amp;"|"&amp;C703</f>
        <v>3|Dragoon</v>
      </c>
      <c r="E703" s="6" t="s">
        <v>1560</v>
      </c>
      <c r="F703" s="6" t="s">
        <v>1548</v>
      </c>
      <c r="G703" s="6" t="str">
        <f aca="false">INDEX(Archetypes!$D$2:$D$127, MATCH(D703, Archetypes!$A$2:$A$127, 0))</f>
        <v>Skirmisher</v>
      </c>
      <c r="H703" s="6" t="n">
        <f aca="false">ROUND(INDEX(Archetypes!$E$2:$E$127, MATCH(D703, Archetypes!$A$2:$A$127, 0))*INDEX(Unit_Grades!$B$2:$B$7, MATCH(F703, Unit_Grades!$A$2:$A$7, 0))*INDEX(Unit_Paths!$B$2:$B$4, MATCH(E703, Unit_Paths!$A$2:$A$4, 0)),1)</f>
        <v>164.2</v>
      </c>
      <c r="I703" s="6" t="n">
        <f aca="false">ROUND(INDEX(Archetypes!$F$2:$F$127, MATCH(D703, Archetypes!$A$2:$A$127, 0))*INDEX(Unit_Grades!$B$2:$B$7, MATCH(F703, Unit_Grades!$A$2:$A$7, 0))*INDEX(Unit_Paths!$C$2:$C$4, MATCH(E703, Unit_Paths!$A$2:$A$4, 0)),1)</f>
        <v>115.5</v>
      </c>
      <c r="J703" s="6" t="n">
        <f aca="false">ROUND(INDEX(Archetypes!$G$2:$G$127, MATCH(D703, Archetypes!$A$2:$A$127, 0))*INDEX(Unit_Grades!$B$2:$B$7, MATCH(F703, Unit_Grades!$A$2:$A$7, 0))*INDEX(Unit_Paths!$D$2:$D$4, MATCH(E703, Unit_Paths!$A$2:$A$4, 0)),0)</f>
        <v>531</v>
      </c>
      <c r="K703" s="6" t="n">
        <f aca="false">ROUND(INDEX(Archetypes!$H$2:$H$127, MATCH(D703, Archetypes!$A$2:$A$127, 0))*INDEX(Unit_Paths!$E$2:$E$4, MATCH(E703, Unit_Paths!$A$2:$A$4, 0)),1)</f>
        <v>29.4</v>
      </c>
      <c r="L703" s="6" t="n">
        <f aca="false">ROUND(INDEX(Archetypes!$I$2:$I$127, MATCH(D703, Archetypes!$A$2:$A$127, 0))*INDEX(Unit_Grades!$C$2:$C$7, MATCH(F703, Unit_Grades!$A$2:$A$7, 0)),1)</f>
        <v>29.6</v>
      </c>
      <c r="M703" s="6" t="n">
        <f aca="false">ROUND(INDEX(Archetypes!$J$2:$J$127, MATCH(D703, Archetypes!$A$2:$A$127, 0))*INDEX(Unit_Grades!$D$2:$D$7, MATCH(F703, Unit_Grades!$A$2:$A$7, 0)),1)</f>
        <v>39</v>
      </c>
      <c r="N703" s="6" t="n">
        <f aca="false">ROUND(M703/24,2)</f>
        <v>1.63</v>
      </c>
    </row>
    <row r="704" customFormat="false" ht="15" hidden="false" customHeight="true" outlineLevel="0" collapsed="false">
      <c r="A704" s="6" t="n">
        <v>3</v>
      </c>
      <c r="B704" s="6" t="s">
        <v>1341</v>
      </c>
      <c r="C704" s="6" t="s">
        <v>1341</v>
      </c>
      <c r="D704" s="6" t="str">
        <f aca="false">A704&amp;"|"&amp;C704</f>
        <v>3|Cuirassier</v>
      </c>
      <c r="E704" s="6" t="s">
        <v>1556</v>
      </c>
      <c r="F704" s="6" t="s">
        <v>1538</v>
      </c>
      <c r="G704" s="6" t="str">
        <f aca="false">INDEX(Archetypes!$D$2:$D$127, MATCH(D704, Archetypes!$A$2:$A$127, 0))</f>
        <v>Shock Cavalry</v>
      </c>
      <c r="H704" s="6" t="n">
        <f aca="false">ROUND(INDEX(Archetypes!$E$2:$E$127, MATCH(D704, Archetypes!$A$2:$A$127, 0))*INDEX(Unit_Grades!$B$2:$B$7, MATCH(F704, Unit_Grades!$A$2:$A$7, 0))*INDEX(Unit_Paths!$B$2:$B$4, MATCH(E704, Unit_Paths!$A$2:$A$4, 0)),1)</f>
        <v>62</v>
      </c>
      <c r="I704" s="6" t="n">
        <f aca="false">ROUND(INDEX(Archetypes!$F$2:$F$127, MATCH(D704, Archetypes!$A$2:$A$127, 0))*INDEX(Unit_Grades!$B$2:$B$7, MATCH(F704, Unit_Grades!$A$2:$A$7, 0))*INDEX(Unit_Paths!$C$2:$C$4, MATCH(E704, Unit_Paths!$A$2:$A$4, 0)),1)</f>
        <v>34</v>
      </c>
      <c r="J704" s="6" t="n">
        <f aca="false">ROUND(INDEX(Archetypes!$G$2:$G$127, MATCH(D704, Archetypes!$A$2:$A$127, 0))*INDEX(Unit_Grades!$B$2:$B$7, MATCH(F704, Unit_Grades!$A$2:$A$7, 0))*INDEX(Unit_Paths!$D$2:$D$4, MATCH(E704, Unit_Paths!$A$2:$A$4, 0)),0)</f>
        <v>150</v>
      </c>
      <c r="K704" s="6" t="n">
        <f aca="false">ROUND(INDEX(Archetypes!$H$2:$H$127, MATCH(D704, Archetypes!$A$2:$A$127, 0))*INDEX(Unit_Paths!$E$2:$E$4, MATCH(E704, Unit_Paths!$A$2:$A$4, 0)),1)</f>
        <v>30</v>
      </c>
      <c r="L704" s="6" t="n">
        <f aca="false">ROUND(INDEX(Archetypes!$I$2:$I$127, MATCH(D704, Archetypes!$A$2:$A$127, 0))*INDEX(Unit_Grades!$C$2:$C$7, MATCH(F704, Unit_Grades!$A$2:$A$7, 0)),1)</f>
        <v>10</v>
      </c>
      <c r="M704" s="6" t="n">
        <f aca="false">ROUND(INDEX(Archetypes!$J$2:$J$127, MATCH(D704, Archetypes!$A$2:$A$127, 0))*INDEX(Unit_Grades!$D$2:$D$7, MATCH(F704, Unit_Grades!$A$2:$A$7, 0)),1)</f>
        <v>4.1</v>
      </c>
      <c r="N704" s="6" t="n">
        <f aca="false">ROUND(M704/24,2)</f>
        <v>0.17</v>
      </c>
    </row>
    <row r="705" customFormat="false" ht="15" hidden="false" customHeight="true" outlineLevel="0" collapsed="false">
      <c r="A705" s="6" t="n">
        <v>3</v>
      </c>
      <c r="B705" s="6" t="s">
        <v>2233</v>
      </c>
      <c r="C705" s="6" t="s">
        <v>1341</v>
      </c>
      <c r="D705" s="6" t="str">
        <f aca="false">A705&amp;"|"&amp;C705</f>
        <v>3|Cuirassier</v>
      </c>
      <c r="E705" s="6" t="s">
        <v>1556</v>
      </c>
      <c r="F705" s="6" t="s">
        <v>1540</v>
      </c>
      <c r="G705" s="6" t="str">
        <f aca="false">INDEX(Archetypes!$D$2:$D$127, MATCH(D705, Archetypes!$A$2:$A$127, 0))</f>
        <v>Shock Cavalry</v>
      </c>
      <c r="H705" s="6" t="n">
        <f aca="false">ROUND(INDEX(Archetypes!$E$2:$E$127, MATCH(D705, Archetypes!$A$2:$A$127, 0))*INDEX(Unit_Grades!$B$2:$B$7, MATCH(F705, Unit_Grades!$A$2:$A$7, 0))*INDEX(Unit_Paths!$B$2:$B$4, MATCH(E705, Unit_Paths!$A$2:$A$4, 0)),1)</f>
        <v>83.7</v>
      </c>
      <c r="I705" s="6" t="n">
        <f aca="false">ROUND(INDEX(Archetypes!$F$2:$F$127, MATCH(D705, Archetypes!$A$2:$A$127, 0))*INDEX(Unit_Grades!$B$2:$B$7, MATCH(F705, Unit_Grades!$A$2:$A$7, 0))*INDEX(Unit_Paths!$C$2:$C$4, MATCH(E705, Unit_Paths!$A$2:$A$4, 0)),1)</f>
        <v>45.9</v>
      </c>
      <c r="J705" s="6" t="n">
        <f aca="false">ROUND(INDEX(Archetypes!$G$2:$G$127, MATCH(D705, Archetypes!$A$2:$A$127, 0))*INDEX(Unit_Grades!$B$2:$B$7, MATCH(F705, Unit_Grades!$A$2:$A$7, 0))*INDEX(Unit_Paths!$D$2:$D$4, MATCH(E705, Unit_Paths!$A$2:$A$4, 0)),0)</f>
        <v>203</v>
      </c>
      <c r="K705" s="6" t="n">
        <f aca="false">ROUND(INDEX(Archetypes!$H$2:$H$127, MATCH(D705, Archetypes!$A$2:$A$127, 0))*INDEX(Unit_Paths!$E$2:$E$4, MATCH(E705, Unit_Paths!$A$2:$A$4, 0)),1)</f>
        <v>30</v>
      </c>
      <c r="L705" s="6" t="n">
        <f aca="false">ROUND(INDEX(Archetypes!$I$2:$I$127, MATCH(D705, Archetypes!$A$2:$A$127, 0))*INDEX(Unit_Grades!$C$2:$C$7, MATCH(F705, Unit_Grades!$A$2:$A$7, 0)),1)</f>
        <v>12.5</v>
      </c>
      <c r="M705" s="6" t="n">
        <f aca="false">ROUND(INDEX(Archetypes!$J$2:$J$127, MATCH(D705, Archetypes!$A$2:$A$127, 0))*INDEX(Unit_Grades!$D$2:$D$7, MATCH(F705, Unit_Grades!$A$2:$A$7, 0)),1)</f>
        <v>6.1</v>
      </c>
      <c r="N705" s="6" t="n">
        <f aca="false">ROUND(M705/24,2)</f>
        <v>0.25</v>
      </c>
    </row>
    <row r="706" customFormat="false" ht="15" hidden="false" customHeight="true" outlineLevel="0" collapsed="false">
      <c r="A706" s="6" t="n">
        <v>3</v>
      </c>
      <c r="B706" s="6" t="s">
        <v>2234</v>
      </c>
      <c r="C706" s="6" t="s">
        <v>1341</v>
      </c>
      <c r="D706" s="6" t="str">
        <f aca="false">A706&amp;"|"&amp;C706</f>
        <v>3|Cuirassier</v>
      </c>
      <c r="E706" s="6" t="s">
        <v>1556</v>
      </c>
      <c r="F706" s="6" t="s">
        <v>1542</v>
      </c>
      <c r="G706" s="6" t="str">
        <f aca="false">INDEX(Archetypes!$D$2:$D$127, MATCH(D706, Archetypes!$A$2:$A$127, 0))</f>
        <v>Shock Cavalry</v>
      </c>
      <c r="H706" s="6" t="n">
        <f aca="false">ROUND(INDEX(Archetypes!$E$2:$E$127, MATCH(D706, Archetypes!$A$2:$A$127, 0))*INDEX(Unit_Grades!$B$2:$B$7, MATCH(F706, Unit_Grades!$A$2:$A$7, 0))*INDEX(Unit_Paths!$B$2:$B$4, MATCH(E706, Unit_Paths!$A$2:$A$4, 0)),1)</f>
        <v>111.6</v>
      </c>
      <c r="I706" s="6" t="n">
        <f aca="false">ROUND(INDEX(Archetypes!$F$2:$F$127, MATCH(D706, Archetypes!$A$2:$A$127, 0))*INDEX(Unit_Grades!$B$2:$B$7, MATCH(F706, Unit_Grades!$A$2:$A$7, 0))*INDEX(Unit_Paths!$C$2:$C$4, MATCH(E706, Unit_Paths!$A$2:$A$4, 0)),1)</f>
        <v>61.2</v>
      </c>
      <c r="J706" s="6" t="n">
        <f aca="false">ROUND(INDEX(Archetypes!$G$2:$G$127, MATCH(D706, Archetypes!$A$2:$A$127, 0))*INDEX(Unit_Grades!$B$2:$B$7, MATCH(F706, Unit_Grades!$A$2:$A$7, 0))*INDEX(Unit_Paths!$D$2:$D$4, MATCH(E706, Unit_Paths!$A$2:$A$4, 0)),0)</f>
        <v>270</v>
      </c>
      <c r="K706" s="6" t="n">
        <f aca="false">ROUND(INDEX(Archetypes!$H$2:$H$127, MATCH(D706, Archetypes!$A$2:$A$127, 0))*INDEX(Unit_Paths!$E$2:$E$4, MATCH(E706, Unit_Paths!$A$2:$A$4, 0)),1)</f>
        <v>30</v>
      </c>
      <c r="L706" s="6" t="n">
        <f aca="false">ROUND(INDEX(Archetypes!$I$2:$I$127, MATCH(D706, Archetypes!$A$2:$A$127, 0))*INDEX(Unit_Grades!$C$2:$C$7, MATCH(F706, Unit_Grades!$A$2:$A$7, 0)),1)</f>
        <v>16</v>
      </c>
      <c r="M706" s="6" t="n">
        <f aca="false">ROUND(INDEX(Archetypes!$J$2:$J$127, MATCH(D706, Archetypes!$A$2:$A$127, 0))*INDEX(Unit_Grades!$D$2:$D$7, MATCH(F706, Unit_Grades!$A$2:$A$7, 0)),1)</f>
        <v>10.2</v>
      </c>
      <c r="N706" s="6" t="n">
        <f aca="false">ROUND(M706/24,2)</f>
        <v>0.43</v>
      </c>
    </row>
    <row r="707" customFormat="false" ht="15" hidden="false" customHeight="true" outlineLevel="0" collapsed="false">
      <c r="A707" s="6" t="n">
        <v>3</v>
      </c>
      <c r="B707" s="6" t="s">
        <v>2235</v>
      </c>
      <c r="C707" s="6" t="s">
        <v>1341</v>
      </c>
      <c r="D707" s="6" t="str">
        <f aca="false">A707&amp;"|"&amp;C707</f>
        <v>3|Cuirassier</v>
      </c>
      <c r="E707" s="6" t="s">
        <v>1556</v>
      </c>
      <c r="F707" s="6" t="s">
        <v>1544</v>
      </c>
      <c r="G707" s="6" t="str">
        <f aca="false">INDEX(Archetypes!$D$2:$D$127, MATCH(D707, Archetypes!$A$2:$A$127, 0))</f>
        <v>Shock Cavalry</v>
      </c>
      <c r="H707" s="6" t="n">
        <f aca="false">ROUND(INDEX(Archetypes!$E$2:$E$127, MATCH(D707, Archetypes!$A$2:$A$127, 0))*INDEX(Unit_Grades!$B$2:$B$7, MATCH(F707, Unit_Grades!$A$2:$A$7, 0))*INDEX(Unit_Paths!$B$2:$B$4, MATCH(E707, Unit_Paths!$A$2:$A$4, 0)),1)</f>
        <v>148.8</v>
      </c>
      <c r="I707" s="6" t="n">
        <f aca="false">ROUND(INDEX(Archetypes!$F$2:$F$127, MATCH(D707, Archetypes!$A$2:$A$127, 0))*INDEX(Unit_Grades!$B$2:$B$7, MATCH(F707, Unit_Grades!$A$2:$A$7, 0))*INDEX(Unit_Paths!$C$2:$C$4, MATCH(E707, Unit_Paths!$A$2:$A$4, 0)),1)</f>
        <v>81.6</v>
      </c>
      <c r="J707" s="6" t="n">
        <f aca="false">ROUND(INDEX(Archetypes!$G$2:$G$127, MATCH(D707, Archetypes!$A$2:$A$127, 0))*INDEX(Unit_Grades!$B$2:$B$7, MATCH(F707, Unit_Grades!$A$2:$A$7, 0))*INDEX(Unit_Paths!$D$2:$D$4, MATCH(E707, Unit_Paths!$A$2:$A$4, 0)),0)</f>
        <v>360</v>
      </c>
      <c r="K707" s="6" t="n">
        <f aca="false">ROUND(INDEX(Archetypes!$H$2:$H$127, MATCH(D707, Archetypes!$A$2:$A$127, 0))*INDEX(Unit_Paths!$E$2:$E$4, MATCH(E707, Unit_Paths!$A$2:$A$4, 0)),1)</f>
        <v>30</v>
      </c>
      <c r="L707" s="6" t="n">
        <f aca="false">ROUND(INDEX(Archetypes!$I$2:$I$127, MATCH(D707, Archetypes!$A$2:$A$127, 0))*INDEX(Unit_Grades!$C$2:$C$7, MATCH(F707, Unit_Grades!$A$2:$A$7, 0)),1)</f>
        <v>21</v>
      </c>
      <c r="M707" s="6" t="n">
        <f aca="false">ROUND(INDEX(Archetypes!$J$2:$J$127, MATCH(D707, Archetypes!$A$2:$A$127, 0))*INDEX(Unit_Grades!$D$2:$D$7, MATCH(F707, Unit_Grades!$A$2:$A$7, 0)),1)</f>
        <v>16.2</v>
      </c>
      <c r="N707" s="6" t="n">
        <f aca="false">ROUND(M707/24,2)</f>
        <v>0.68</v>
      </c>
    </row>
    <row r="708" customFormat="false" ht="15" hidden="false" customHeight="true" outlineLevel="0" collapsed="false">
      <c r="A708" s="6" t="n">
        <v>3</v>
      </c>
      <c r="B708" s="6" t="s">
        <v>2236</v>
      </c>
      <c r="C708" s="6" t="s">
        <v>1341</v>
      </c>
      <c r="D708" s="6" t="str">
        <f aca="false">A708&amp;"|"&amp;C708</f>
        <v>3|Cuirassier</v>
      </c>
      <c r="E708" s="6" t="s">
        <v>1556</v>
      </c>
      <c r="F708" s="6" t="s">
        <v>1546</v>
      </c>
      <c r="G708" s="6" t="str">
        <f aca="false">INDEX(Archetypes!$D$2:$D$127, MATCH(D708, Archetypes!$A$2:$A$127, 0))</f>
        <v>Shock Cavalry</v>
      </c>
      <c r="H708" s="6" t="n">
        <f aca="false">ROUND(INDEX(Archetypes!$E$2:$E$127, MATCH(D708, Archetypes!$A$2:$A$127, 0))*INDEX(Unit_Grades!$B$2:$B$7, MATCH(F708, Unit_Grades!$A$2:$A$7, 0))*INDEX(Unit_Paths!$B$2:$B$4, MATCH(E708, Unit_Paths!$A$2:$A$4, 0)),1)</f>
        <v>198.4</v>
      </c>
      <c r="I708" s="6" t="n">
        <f aca="false">ROUND(INDEX(Archetypes!$F$2:$F$127, MATCH(D708, Archetypes!$A$2:$A$127, 0))*INDEX(Unit_Grades!$B$2:$B$7, MATCH(F708, Unit_Grades!$A$2:$A$7, 0))*INDEX(Unit_Paths!$C$2:$C$4, MATCH(E708, Unit_Paths!$A$2:$A$4, 0)),1)</f>
        <v>108.8</v>
      </c>
      <c r="J708" s="6" t="n">
        <f aca="false">ROUND(INDEX(Archetypes!$G$2:$G$127, MATCH(D708, Archetypes!$A$2:$A$127, 0))*INDEX(Unit_Grades!$B$2:$B$7, MATCH(F708, Unit_Grades!$A$2:$A$7, 0))*INDEX(Unit_Paths!$D$2:$D$4, MATCH(E708, Unit_Paths!$A$2:$A$4, 0)),0)</f>
        <v>480</v>
      </c>
      <c r="K708" s="6" t="n">
        <f aca="false">ROUND(INDEX(Archetypes!$H$2:$H$127, MATCH(D708, Archetypes!$A$2:$A$127, 0))*INDEX(Unit_Paths!$E$2:$E$4, MATCH(E708, Unit_Paths!$A$2:$A$4, 0)),1)</f>
        <v>30</v>
      </c>
      <c r="L708" s="6" t="n">
        <f aca="false">ROUND(INDEX(Archetypes!$I$2:$I$127, MATCH(D708, Archetypes!$A$2:$A$127, 0))*INDEX(Unit_Grades!$C$2:$C$7, MATCH(F708, Unit_Grades!$A$2:$A$7, 0)),1)</f>
        <v>28</v>
      </c>
      <c r="M708" s="6" t="n">
        <f aca="false">ROUND(INDEX(Archetypes!$J$2:$J$127, MATCH(D708, Archetypes!$A$2:$A$127, 0))*INDEX(Unit_Grades!$D$2:$D$7, MATCH(F708, Unit_Grades!$A$2:$A$7, 0)),1)</f>
        <v>28.4</v>
      </c>
      <c r="N708" s="6" t="n">
        <f aca="false">ROUND(M708/24,2)</f>
        <v>1.18</v>
      </c>
    </row>
    <row r="709" customFormat="false" ht="15" hidden="false" customHeight="true" outlineLevel="0" collapsed="false">
      <c r="A709" s="6" t="n">
        <v>3</v>
      </c>
      <c r="B709" s="6" t="s">
        <v>2237</v>
      </c>
      <c r="C709" s="6" t="s">
        <v>1341</v>
      </c>
      <c r="D709" s="6" t="str">
        <f aca="false">A709&amp;"|"&amp;C709</f>
        <v>3|Cuirassier</v>
      </c>
      <c r="E709" s="6" t="s">
        <v>1556</v>
      </c>
      <c r="F709" s="6" t="s">
        <v>1548</v>
      </c>
      <c r="G709" s="6" t="str">
        <f aca="false">INDEX(Archetypes!$D$2:$D$127, MATCH(D709, Archetypes!$A$2:$A$127, 0))</f>
        <v>Shock Cavalry</v>
      </c>
      <c r="H709" s="6" t="n">
        <f aca="false">ROUND(INDEX(Archetypes!$E$2:$E$127, MATCH(D709, Archetypes!$A$2:$A$127, 0))*INDEX(Unit_Grades!$B$2:$B$7, MATCH(F709, Unit_Grades!$A$2:$A$7, 0))*INDEX(Unit_Paths!$B$2:$B$4, MATCH(E709, Unit_Paths!$A$2:$A$4, 0)),1)</f>
        <v>260.4</v>
      </c>
      <c r="I709" s="6" t="n">
        <f aca="false">ROUND(INDEX(Archetypes!$F$2:$F$127, MATCH(D709, Archetypes!$A$2:$A$127, 0))*INDEX(Unit_Grades!$B$2:$B$7, MATCH(F709, Unit_Grades!$A$2:$A$7, 0))*INDEX(Unit_Paths!$C$2:$C$4, MATCH(E709, Unit_Paths!$A$2:$A$4, 0)),1)</f>
        <v>142.8</v>
      </c>
      <c r="J709" s="6" t="n">
        <f aca="false">ROUND(INDEX(Archetypes!$G$2:$G$127, MATCH(D709, Archetypes!$A$2:$A$127, 0))*INDEX(Unit_Grades!$B$2:$B$7, MATCH(F709, Unit_Grades!$A$2:$A$7, 0))*INDEX(Unit_Paths!$D$2:$D$4, MATCH(E709, Unit_Paths!$A$2:$A$4, 0)),0)</f>
        <v>630</v>
      </c>
      <c r="K709" s="6" t="n">
        <f aca="false">ROUND(INDEX(Archetypes!$H$2:$H$127, MATCH(D709, Archetypes!$A$2:$A$127, 0))*INDEX(Unit_Paths!$E$2:$E$4, MATCH(E709, Unit_Paths!$A$2:$A$4, 0)),1)</f>
        <v>30</v>
      </c>
      <c r="L709" s="6" t="n">
        <f aca="false">ROUND(INDEX(Archetypes!$I$2:$I$127, MATCH(D709, Archetypes!$A$2:$A$127, 0))*INDEX(Unit_Grades!$C$2:$C$7, MATCH(F709, Unit_Grades!$A$2:$A$7, 0)),1)</f>
        <v>37</v>
      </c>
      <c r="M709" s="6" t="n">
        <f aca="false">ROUND(INDEX(Archetypes!$J$2:$J$127, MATCH(D709, Archetypes!$A$2:$A$127, 0))*INDEX(Unit_Grades!$D$2:$D$7, MATCH(F709, Unit_Grades!$A$2:$A$7, 0)),1)</f>
        <v>48.7</v>
      </c>
      <c r="N709" s="6" t="n">
        <f aca="false">ROUND(M709/24,2)</f>
        <v>2.03</v>
      </c>
    </row>
    <row r="710" customFormat="false" ht="15" hidden="false" customHeight="true" outlineLevel="0" collapsed="false">
      <c r="A710" s="6" t="n">
        <v>3</v>
      </c>
      <c r="B710" s="6" t="s">
        <v>2238</v>
      </c>
      <c r="C710" s="6" t="s">
        <v>1341</v>
      </c>
      <c r="D710" s="6" t="str">
        <f aca="false">A710&amp;"|"&amp;C710</f>
        <v>3|Cuirassier</v>
      </c>
      <c r="E710" s="6" t="s">
        <v>1558</v>
      </c>
      <c r="F710" s="6" t="s">
        <v>1538</v>
      </c>
      <c r="G710" s="6" t="str">
        <f aca="false">INDEX(Archetypes!$D$2:$D$127, MATCH(D710, Archetypes!$A$2:$A$127, 0))</f>
        <v>Shock Cavalry</v>
      </c>
      <c r="H710" s="6" t="n">
        <f aca="false">ROUND(INDEX(Archetypes!$E$2:$E$127, MATCH(D710, Archetypes!$A$2:$A$127, 0))*INDEX(Unit_Grades!$B$2:$B$7, MATCH(F710, Unit_Grades!$A$2:$A$7, 0))*INDEX(Unit_Paths!$B$2:$B$4, MATCH(E710, Unit_Paths!$A$2:$A$4, 0)),1)</f>
        <v>74.4</v>
      </c>
      <c r="I710" s="6" t="n">
        <f aca="false">ROUND(INDEX(Archetypes!$F$2:$F$127, MATCH(D710, Archetypes!$A$2:$A$127, 0))*INDEX(Unit_Grades!$B$2:$B$7, MATCH(F710, Unit_Grades!$A$2:$A$7, 0))*INDEX(Unit_Paths!$C$2:$C$4, MATCH(E710, Unit_Paths!$A$2:$A$4, 0)),1)</f>
        <v>28.9</v>
      </c>
      <c r="J710" s="6" t="n">
        <f aca="false">ROUND(INDEX(Archetypes!$G$2:$G$127, MATCH(D710, Archetypes!$A$2:$A$127, 0))*INDEX(Unit_Grades!$B$2:$B$7, MATCH(F710, Unit_Grades!$A$2:$A$7, 0))*INDEX(Unit_Paths!$D$2:$D$4, MATCH(E710, Unit_Paths!$A$2:$A$4, 0)),0)</f>
        <v>143</v>
      </c>
      <c r="K710" s="6" t="n">
        <f aca="false">ROUND(INDEX(Archetypes!$H$2:$H$127, MATCH(D710, Archetypes!$A$2:$A$127, 0))*INDEX(Unit_Paths!$E$2:$E$4, MATCH(E710, Unit_Paths!$A$2:$A$4, 0)),1)</f>
        <v>31.5</v>
      </c>
      <c r="L710" s="6" t="n">
        <f aca="false">ROUND(INDEX(Archetypes!$I$2:$I$127, MATCH(D710, Archetypes!$A$2:$A$127, 0))*INDEX(Unit_Grades!$C$2:$C$7, MATCH(F710, Unit_Grades!$A$2:$A$7, 0)),1)</f>
        <v>10</v>
      </c>
      <c r="M710" s="6" t="n">
        <f aca="false">ROUND(INDEX(Archetypes!$J$2:$J$127, MATCH(D710, Archetypes!$A$2:$A$127, 0))*INDEX(Unit_Grades!$D$2:$D$7, MATCH(F710, Unit_Grades!$A$2:$A$7, 0)),1)</f>
        <v>4.1</v>
      </c>
      <c r="N710" s="6" t="n">
        <f aca="false">ROUND(M710/24,2)</f>
        <v>0.17</v>
      </c>
    </row>
    <row r="711" customFormat="false" ht="15" hidden="false" customHeight="true" outlineLevel="0" collapsed="false">
      <c r="A711" s="6" t="n">
        <v>3</v>
      </c>
      <c r="B711" s="6" t="s">
        <v>2239</v>
      </c>
      <c r="C711" s="6" t="s">
        <v>1341</v>
      </c>
      <c r="D711" s="6" t="str">
        <f aca="false">A711&amp;"|"&amp;C711</f>
        <v>3|Cuirassier</v>
      </c>
      <c r="E711" s="6" t="s">
        <v>1558</v>
      </c>
      <c r="F711" s="6" t="s">
        <v>1540</v>
      </c>
      <c r="G711" s="6" t="str">
        <f aca="false">INDEX(Archetypes!$D$2:$D$127, MATCH(D711, Archetypes!$A$2:$A$127, 0))</f>
        <v>Shock Cavalry</v>
      </c>
      <c r="H711" s="6" t="n">
        <f aca="false">ROUND(INDEX(Archetypes!$E$2:$E$127, MATCH(D711, Archetypes!$A$2:$A$127, 0))*INDEX(Unit_Grades!$B$2:$B$7, MATCH(F711, Unit_Grades!$A$2:$A$7, 0))*INDEX(Unit_Paths!$B$2:$B$4, MATCH(E711, Unit_Paths!$A$2:$A$4, 0)),1)</f>
        <v>100.4</v>
      </c>
      <c r="I711" s="6" t="n">
        <f aca="false">ROUND(INDEX(Archetypes!$F$2:$F$127, MATCH(D711, Archetypes!$A$2:$A$127, 0))*INDEX(Unit_Grades!$B$2:$B$7, MATCH(F711, Unit_Grades!$A$2:$A$7, 0))*INDEX(Unit_Paths!$C$2:$C$4, MATCH(E711, Unit_Paths!$A$2:$A$4, 0)),1)</f>
        <v>39</v>
      </c>
      <c r="J711" s="6" t="n">
        <f aca="false">ROUND(INDEX(Archetypes!$G$2:$G$127, MATCH(D711, Archetypes!$A$2:$A$127, 0))*INDEX(Unit_Grades!$B$2:$B$7, MATCH(F711, Unit_Grades!$A$2:$A$7, 0))*INDEX(Unit_Paths!$D$2:$D$4, MATCH(E711, Unit_Paths!$A$2:$A$4, 0)),0)</f>
        <v>192</v>
      </c>
      <c r="K711" s="6" t="n">
        <f aca="false">ROUND(INDEX(Archetypes!$H$2:$H$127, MATCH(D711, Archetypes!$A$2:$A$127, 0))*INDEX(Unit_Paths!$E$2:$E$4, MATCH(E711, Unit_Paths!$A$2:$A$4, 0)),1)</f>
        <v>31.5</v>
      </c>
      <c r="L711" s="6" t="n">
        <f aca="false">ROUND(INDEX(Archetypes!$I$2:$I$127, MATCH(D711, Archetypes!$A$2:$A$127, 0))*INDEX(Unit_Grades!$C$2:$C$7, MATCH(F711, Unit_Grades!$A$2:$A$7, 0)),1)</f>
        <v>12.5</v>
      </c>
      <c r="M711" s="6" t="n">
        <f aca="false">ROUND(INDEX(Archetypes!$J$2:$J$127, MATCH(D711, Archetypes!$A$2:$A$127, 0))*INDEX(Unit_Grades!$D$2:$D$7, MATCH(F711, Unit_Grades!$A$2:$A$7, 0)),1)</f>
        <v>6.1</v>
      </c>
      <c r="N711" s="6" t="n">
        <f aca="false">ROUND(M711/24,2)</f>
        <v>0.25</v>
      </c>
    </row>
    <row r="712" customFormat="false" ht="15" hidden="false" customHeight="true" outlineLevel="0" collapsed="false">
      <c r="A712" s="6" t="n">
        <v>3</v>
      </c>
      <c r="B712" s="6" t="s">
        <v>2240</v>
      </c>
      <c r="C712" s="6" t="s">
        <v>1341</v>
      </c>
      <c r="D712" s="6" t="str">
        <f aca="false">A712&amp;"|"&amp;C712</f>
        <v>3|Cuirassier</v>
      </c>
      <c r="E712" s="6" t="s">
        <v>1558</v>
      </c>
      <c r="F712" s="6" t="s">
        <v>1542</v>
      </c>
      <c r="G712" s="6" t="str">
        <f aca="false">INDEX(Archetypes!$D$2:$D$127, MATCH(D712, Archetypes!$A$2:$A$127, 0))</f>
        <v>Shock Cavalry</v>
      </c>
      <c r="H712" s="6" t="n">
        <f aca="false">ROUND(INDEX(Archetypes!$E$2:$E$127, MATCH(D712, Archetypes!$A$2:$A$127, 0))*INDEX(Unit_Grades!$B$2:$B$7, MATCH(F712, Unit_Grades!$A$2:$A$7, 0))*INDEX(Unit_Paths!$B$2:$B$4, MATCH(E712, Unit_Paths!$A$2:$A$4, 0)),1)</f>
        <v>133.9</v>
      </c>
      <c r="I712" s="6" t="n">
        <f aca="false">ROUND(INDEX(Archetypes!$F$2:$F$127, MATCH(D712, Archetypes!$A$2:$A$127, 0))*INDEX(Unit_Grades!$B$2:$B$7, MATCH(F712, Unit_Grades!$A$2:$A$7, 0))*INDEX(Unit_Paths!$C$2:$C$4, MATCH(E712, Unit_Paths!$A$2:$A$4, 0)),1)</f>
        <v>52</v>
      </c>
      <c r="J712" s="6" t="n">
        <f aca="false">ROUND(INDEX(Archetypes!$G$2:$G$127, MATCH(D712, Archetypes!$A$2:$A$127, 0))*INDEX(Unit_Grades!$B$2:$B$7, MATCH(F712, Unit_Grades!$A$2:$A$7, 0))*INDEX(Unit_Paths!$D$2:$D$4, MATCH(E712, Unit_Paths!$A$2:$A$4, 0)),0)</f>
        <v>257</v>
      </c>
      <c r="K712" s="6" t="n">
        <f aca="false">ROUND(INDEX(Archetypes!$H$2:$H$127, MATCH(D712, Archetypes!$A$2:$A$127, 0))*INDEX(Unit_Paths!$E$2:$E$4, MATCH(E712, Unit_Paths!$A$2:$A$4, 0)),1)</f>
        <v>31.5</v>
      </c>
      <c r="L712" s="6" t="n">
        <f aca="false">ROUND(INDEX(Archetypes!$I$2:$I$127, MATCH(D712, Archetypes!$A$2:$A$127, 0))*INDEX(Unit_Grades!$C$2:$C$7, MATCH(F712, Unit_Grades!$A$2:$A$7, 0)),1)</f>
        <v>16</v>
      </c>
      <c r="M712" s="6" t="n">
        <f aca="false">ROUND(INDEX(Archetypes!$J$2:$J$127, MATCH(D712, Archetypes!$A$2:$A$127, 0))*INDEX(Unit_Grades!$D$2:$D$7, MATCH(F712, Unit_Grades!$A$2:$A$7, 0)),1)</f>
        <v>10.2</v>
      </c>
      <c r="N712" s="6" t="n">
        <f aca="false">ROUND(M712/24,2)</f>
        <v>0.43</v>
      </c>
    </row>
    <row r="713" customFormat="false" ht="15" hidden="false" customHeight="true" outlineLevel="0" collapsed="false">
      <c r="A713" s="6" t="n">
        <v>3</v>
      </c>
      <c r="B713" s="6" t="s">
        <v>2241</v>
      </c>
      <c r="C713" s="6" t="s">
        <v>1341</v>
      </c>
      <c r="D713" s="6" t="str">
        <f aca="false">A713&amp;"|"&amp;C713</f>
        <v>3|Cuirassier</v>
      </c>
      <c r="E713" s="6" t="s">
        <v>1558</v>
      </c>
      <c r="F713" s="6" t="s">
        <v>1544</v>
      </c>
      <c r="G713" s="6" t="str">
        <f aca="false">INDEX(Archetypes!$D$2:$D$127, MATCH(D713, Archetypes!$A$2:$A$127, 0))</f>
        <v>Shock Cavalry</v>
      </c>
      <c r="H713" s="6" t="n">
        <f aca="false">ROUND(INDEX(Archetypes!$E$2:$E$127, MATCH(D713, Archetypes!$A$2:$A$127, 0))*INDEX(Unit_Grades!$B$2:$B$7, MATCH(F713, Unit_Grades!$A$2:$A$7, 0))*INDEX(Unit_Paths!$B$2:$B$4, MATCH(E713, Unit_Paths!$A$2:$A$4, 0)),1)</f>
        <v>178.6</v>
      </c>
      <c r="I713" s="6" t="n">
        <f aca="false">ROUND(INDEX(Archetypes!$F$2:$F$127, MATCH(D713, Archetypes!$A$2:$A$127, 0))*INDEX(Unit_Grades!$B$2:$B$7, MATCH(F713, Unit_Grades!$A$2:$A$7, 0))*INDEX(Unit_Paths!$C$2:$C$4, MATCH(E713, Unit_Paths!$A$2:$A$4, 0)),1)</f>
        <v>69.4</v>
      </c>
      <c r="J713" s="6" t="n">
        <f aca="false">ROUND(INDEX(Archetypes!$G$2:$G$127, MATCH(D713, Archetypes!$A$2:$A$127, 0))*INDEX(Unit_Grades!$B$2:$B$7, MATCH(F713, Unit_Grades!$A$2:$A$7, 0))*INDEX(Unit_Paths!$D$2:$D$4, MATCH(E713, Unit_Paths!$A$2:$A$4, 0)),0)</f>
        <v>342</v>
      </c>
      <c r="K713" s="6" t="n">
        <f aca="false">ROUND(INDEX(Archetypes!$H$2:$H$127, MATCH(D713, Archetypes!$A$2:$A$127, 0))*INDEX(Unit_Paths!$E$2:$E$4, MATCH(E713, Unit_Paths!$A$2:$A$4, 0)),1)</f>
        <v>31.5</v>
      </c>
      <c r="L713" s="6" t="n">
        <f aca="false">ROUND(INDEX(Archetypes!$I$2:$I$127, MATCH(D713, Archetypes!$A$2:$A$127, 0))*INDEX(Unit_Grades!$C$2:$C$7, MATCH(F713, Unit_Grades!$A$2:$A$7, 0)),1)</f>
        <v>21</v>
      </c>
      <c r="M713" s="6" t="n">
        <f aca="false">ROUND(INDEX(Archetypes!$J$2:$J$127, MATCH(D713, Archetypes!$A$2:$A$127, 0))*INDEX(Unit_Grades!$D$2:$D$7, MATCH(F713, Unit_Grades!$A$2:$A$7, 0)),1)</f>
        <v>16.2</v>
      </c>
      <c r="N713" s="6" t="n">
        <f aca="false">ROUND(M713/24,2)</f>
        <v>0.68</v>
      </c>
    </row>
    <row r="714" customFormat="false" ht="15" hidden="false" customHeight="true" outlineLevel="0" collapsed="false">
      <c r="A714" s="6" t="n">
        <v>3</v>
      </c>
      <c r="B714" s="6" t="s">
        <v>2242</v>
      </c>
      <c r="C714" s="6" t="s">
        <v>1341</v>
      </c>
      <c r="D714" s="6" t="str">
        <f aca="false">A714&amp;"|"&amp;C714</f>
        <v>3|Cuirassier</v>
      </c>
      <c r="E714" s="6" t="s">
        <v>1558</v>
      </c>
      <c r="F714" s="6" t="s">
        <v>1546</v>
      </c>
      <c r="G714" s="6" t="str">
        <f aca="false">INDEX(Archetypes!$D$2:$D$127, MATCH(D714, Archetypes!$A$2:$A$127, 0))</f>
        <v>Shock Cavalry</v>
      </c>
      <c r="H714" s="6" t="n">
        <f aca="false">ROUND(INDEX(Archetypes!$E$2:$E$127, MATCH(D714, Archetypes!$A$2:$A$127, 0))*INDEX(Unit_Grades!$B$2:$B$7, MATCH(F714, Unit_Grades!$A$2:$A$7, 0))*INDEX(Unit_Paths!$B$2:$B$4, MATCH(E714, Unit_Paths!$A$2:$A$4, 0)),1)</f>
        <v>238.1</v>
      </c>
      <c r="I714" s="6" t="n">
        <f aca="false">ROUND(INDEX(Archetypes!$F$2:$F$127, MATCH(D714, Archetypes!$A$2:$A$127, 0))*INDEX(Unit_Grades!$B$2:$B$7, MATCH(F714, Unit_Grades!$A$2:$A$7, 0))*INDEX(Unit_Paths!$C$2:$C$4, MATCH(E714, Unit_Paths!$A$2:$A$4, 0)),1)</f>
        <v>92.5</v>
      </c>
      <c r="J714" s="6" t="n">
        <f aca="false">ROUND(INDEX(Archetypes!$G$2:$G$127, MATCH(D714, Archetypes!$A$2:$A$127, 0))*INDEX(Unit_Grades!$B$2:$B$7, MATCH(F714, Unit_Grades!$A$2:$A$7, 0))*INDEX(Unit_Paths!$D$2:$D$4, MATCH(E714, Unit_Paths!$A$2:$A$4, 0)),0)</f>
        <v>456</v>
      </c>
      <c r="K714" s="6" t="n">
        <f aca="false">ROUND(INDEX(Archetypes!$H$2:$H$127, MATCH(D714, Archetypes!$A$2:$A$127, 0))*INDEX(Unit_Paths!$E$2:$E$4, MATCH(E714, Unit_Paths!$A$2:$A$4, 0)),1)</f>
        <v>31.5</v>
      </c>
      <c r="L714" s="6" t="n">
        <f aca="false">ROUND(INDEX(Archetypes!$I$2:$I$127, MATCH(D714, Archetypes!$A$2:$A$127, 0))*INDEX(Unit_Grades!$C$2:$C$7, MATCH(F714, Unit_Grades!$A$2:$A$7, 0)),1)</f>
        <v>28</v>
      </c>
      <c r="M714" s="6" t="n">
        <f aca="false">ROUND(INDEX(Archetypes!$J$2:$J$127, MATCH(D714, Archetypes!$A$2:$A$127, 0))*INDEX(Unit_Grades!$D$2:$D$7, MATCH(F714, Unit_Grades!$A$2:$A$7, 0)),1)</f>
        <v>28.4</v>
      </c>
      <c r="N714" s="6" t="n">
        <f aca="false">ROUND(M714/24,2)</f>
        <v>1.18</v>
      </c>
    </row>
    <row r="715" customFormat="false" ht="15" hidden="false" customHeight="true" outlineLevel="0" collapsed="false">
      <c r="A715" s="6" t="n">
        <v>3</v>
      </c>
      <c r="B715" s="6" t="s">
        <v>2243</v>
      </c>
      <c r="C715" s="6" t="s">
        <v>1341</v>
      </c>
      <c r="D715" s="6" t="str">
        <f aca="false">A715&amp;"|"&amp;C715</f>
        <v>3|Cuirassier</v>
      </c>
      <c r="E715" s="6" t="s">
        <v>1558</v>
      </c>
      <c r="F715" s="6" t="s">
        <v>1548</v>
      </c>
      <c r="G715" s="6" t="str">
        <f aca="false">INDEX(Archetypes!$D$2:$D$127, MATCH(D715, Archetypes!$A$2:$A$127, 0))</f>
        <v>Shock Cavalry</v>
      </c>
      <c r="H715" s="6" t="n">
        <f aca="false">ROUND(INDEX(Archetypes!$E$2:$E$127, MATCH(D715, Archetypes!$A$2:$A$127, 0))*INDEX(Unit_Grades!$B$2:$B$7, MATCH(F715, Unit_Grades!$A$2:$A$7, 0))*INDEX(Unit_Paths!$B$2:$B$4, MATCH(E715, Unit_Paths!$A$2:$A$4, 0)),1)</f>
        <v>312.5</v>
      </c>
      <c r="I715" s="6" t="n">
        <f aca="false">ROUND(INDEX(Archetypes!$F$2:$F$127, MATCH(D715, Archetypes!$A$2:$A$127, 0))*INDEX(Unit_Grades!$B$2:$B$7, MATCH(F715, Unit_Grades!$A$2:$A$7, 0))*INDEX(Unit_Paths!$C$2:$C$4, MATCH(E715, Unit_Paths!$A$2:$A$4, 0)),1)</f>
        <v>121.4</v>
      </c>
      <c r="J715" s="6" t="n">
        <f aca="false">ROUND(INDEX(Archetypes!$G$2:$G$127, MATCH(D715, Archetypes!$A$2:$A$127, 0))*INDEX(Unit_Grades!$B$2:$B$7, MATCH(F715, Unit_Grades!$A$2:$A$7, 0))*INDEX(Unit_Paths!$D$2:$D$4, MATCH(E715, Unit_Paths!$A$2:$A$4, 0)),0)</f>
        <v>599</v>
      </c>
      <c r="K715" s="6" t="n">
        <f aca="false">ROUND(INDEX(Archetypes!$H$2:$H$127, MATCH(D715, Archetypes!$A$2:$A$127, 0))*INDEX(Unit_Paths!$E$2:$E$4, MATCH(E715, Unit_Paths!$A$2:$A$4, 0)),1)</f>
        <v>31.5</v>
      </c>
      <c r="L715" s="6" t="n">
        <f aca="false">ROUND(INDEX(Archetypes!$I$2:$I$127, MATCH(D715, Archetypes!$A$2:$A$127, 0))*INDEX(Unit_Grades!$C$2:$C$7, MATCH(F715, Unit_Grades!$A$2:$A$7, 0)),1)</f>
        <v>37</v>
      </c>
      <c r="M715" s="6" t="n">
        <f aca="false">ROUND(INDEX(Archetypes!$J$2:$J$127, MATCH(D715, Archetypes!$A$2:$A$127, 0))*INDEX(Unit_Grades!$D$2:$D$7, MATCH(F715, Unit_Grades!$A$2:$A$7, 0)),1)</f>
        <v>48.7</v>
      </c>
      <c r="N715" s="6" t="n">
        <f aca="false">ROUND(M715/24,2)</f>
        <v>2.03</v>
      </c>
    </row>
    <row r="716" customFormat="false" ht="15" hidden="false" customHeight="true" outlineLevel="0" collapsed="false">
      <c r="A716" s="6" t="n">
        <v>3</v>
      </c>
      <c r="B716" s="6" t="s">
        <v>2244</v>
      </c>
      <c r="C716" s="6" t="s">
        <v>1341</v>
      </c>
      <c r="D716" s="6" t="str">
        <f aca="false">A716&amp;"|"&amp;C716</f>
        <v>3|Cuirassier</v>
      </c>
      <c r="E716" s="6" t="s">
        <v>1560</v>
      </c>
      <c r="F716" s="6" t="s">
        <v>1538</v>
      </c>
      <c r="G716" s="6" t="str">
        <f aca="false">INDEX(Archetypes!$D$2:$D$127, MATCH(D716, Archetypes!$A$2:$A$127, 0))</f>
        <v>Shock Cavalry</v>
      </c>
      <c r="H716" s="6" t="n">
        <f aca="false">ROUND(INDEX(Archetypes!$E$2:$E$127, MATCH(D716, Archetypes!$A$2:$A$127, 0))*INDEX(Unit_Grades!$B$2:$B$7, MATCH(F716, Unit_Grades!$A$2:$A$7, 0))*INDEX(Unit_Paths!$B$2:$B$4, MATCH(E716, Unit_Paths!$A$2:$A$4, 0)),1)</f>
        <v>52.7</v>
      </c>
      <c r="I716" s="6" t="n">
        <f aca="false">ROUND(INDEX(Archetypes!$F$2:$F$127, MATCH(D716, Archetypes!$A$2:$A$127, 0))*INDEX(Unit_Grades!$B$2:$B$7, MATCH(F716, Unit_Grades!$A$2:$A$7, 0))*INDEX(Unit_Paths!$C$2:$C$4, MATCH(E716, Unit_Paths!$A$2:$A$4, 0)),1)</f>
        <v>42.5</v>
      </c>
      <c r="J716" s="6" t="n">
        <f aca="false">ROUND(INDEX(Archetypes!$G$2:$G$127, MATCH(D716, Archetypes!$A$2:$A$127, 0))*INDEX(Unit_Grades!$B$2:$B$7, MATCH(F716, Unit_Grades!$A$2:$A$7, 0))*INDEX(Unit_Paths!$D$2:$D$4, MATCH(E716, Unit_Paths!$A$2:$A$4, 0)),0)</f>
        <v>173</v>
      </c>
      <c r="K716" s="6" t="n">
        <f aca="false">ROUND(INDEX(Archetypes!$H$2:$H$127, MATCH(D716, Archetypes!$A$2:$A$127, 0))*INDEX(Unit_Paths!$E$2:$E$4, MATCH(E716, Unit_Paths!$A$2:$A$4, 0)),1)</f>
        <v>27.6</v>
      </c>
      <c r="L716" s="6" t="n">
        <f aca="false">ROUND(INDEX(Archetypes!$I$2:$I$127, MATCH(D716, Archetypes!$A$2:$A$127, 0))*INDEX(Unit_Grades!$C$2:$C$7, MATCH(F716, Unit_Grades!$A$2:$A$7, 0)),1)</f>
        <v>10</v>
      </c>
      <c r="M716" s="6" t="n">
        <f aca="false">ROUND(INDEX(Archetypes!$J$2:$J$127, MATCH(D716, Archetypes!$A$2:$A$127, 0))*INDEX(Unit_Grades!$D$2:$D$7, MATCH(F716, Unit_Grades!$A$2:$A$7, 0)),1)</f>
        <v>4.1</v>
      </c>
      <c r="N716" s="6" t="n">
        <f aca="false">ROUND(M716/24,2)</f>
        <v>0.17</v>
      </c>
    </row>
    <row r="717" customFormat="false" ht="15" hidden="false" customHeight="true" outlineLevel="0" collapsed="false">
      <c r="A717" s="6" t="n">
        <v>3</v>
      </c>
      <c r="B717" s="6" t="s">
        <v>2245</v>
      </c>
      <c r="C717" s="6" t="s">
        <v>1341</v>
      </c>
      <c r="D717" s="6" t="str">
        <f aca="false">A717&amp;"|"&amp;C717</f>
        <v>3|Cuirassier</v>
      </c>
      <c r="E717" s="6" t="s">
        <v>1560</v>
      </c>
      <c r="F717" s="6" t="s">
        <v>1540</v>
      </c>
      <c r="G717" s="6" t="str">
        <f aca="false">INDEX(Archetypes!$D$2:$D$127, MATCH(D717, Archetypes!$A$2:$A$127, 0))</f>
        <v>Shock Cavalry</v>
      </c>
      <c r="H717" s="6" t="n">
        <f aca="false">ROUND(INDEX(Archetypes!$E$2:$E$127, MATCH(D717, Archetypes!$A$2:$A$127, 0))*INDEX(Unit_Grades!$B$2:$B$7, MATCH(F717, Unit_Grades!$A$2:$A$7, 0))*INDEX(Unit_Paths!$B$2:$B$4, MATCH(E717, Unit_Paths!$A$2:$A$4, 0)),1)</f>
        <v>71.1</v>
      </c>
      <c r="I717" s="6" t="n">
        <f aca="false">ROUND(INDEX(Archetypes!$F$2:$F$127, MATCH(D717, Archetypes!$A$2:$A$127, 0))*INDEX(Unit_Grades!$B$2:$B$7, MATCH(F717, Unit_Grades!$A$2:$A$7, 0))*INDEX(Unit_Paths!$C$2:$C$4, MATCH(E717, Unit_Paths!$A$2:$A$4, 0)),1)</f>
        <v>57.4</v>
      </c>
      <c r="J717" s="6" t="n">
        <f aca="false">ROUND(INDEX(Archetypes!$G$2:$G$127, MATCH(D717, Archetypes!$A$2:$A$127, 0))*INDEX(Unit_Grades!$B$2:$B$7, MATCH(F717, Unit_Grades!$A$2:$A$7, 0))*INDEX(Unit_Paths!$D$2:$D$4, MATCH(E717, Unit_Paths!$A$2:$A$4, 0)),0)</f>
        <v>233</v>
      </c>
      <c r="K717" s="6" t="n">
        <f aca="false">ROUND(INDEX(Archetypes!$H$2:$H$127, MATCH(D717, Archetypes!$A$2:$A$127, 0))*INDEX(Unit_Paths!$E$2:$E$4, MATCH(E717, Unit_Paths!$A$2:$A$4, 0)),1)</f>
        <v>27.6</v>
      </c>
      <c r="L717" s="6" t="n">
        <f aca="false">ROUND(INDEX(Archetypes!$I$2:$I$127, MATCH(D717, Archetypes!$A$2:$A$127, 0))*INDEX(Unit_Grades!$C$2:$C$7, MATCH(F717, Unit_Grades!$A$2:$A$7, 0)),1)</f>
        <v>12.5</v>
      </c>
      <c r="M717" s="6" t="n">
        <f aca="false">ROUND(INDEX(Archetypes!$J$2:$J$127, MATCH(D717, Archetypes!$A$2:$A$127, 0))*INDEX(Unit_Grades!$D$2:$D$7, MATCH(F717, Unit_Grades!$A$2:$A$7, 0)),1)</f>
        <v>6.1</v>
      </c>
      <c r="N717" s="6" t="n">
        <f aca="false">ROUND(M717/24,2)</f>
        <v>0.25</v>
      </c>
    </row>
    <row r="718" customFormat="false" ht="15" hidden="false" customHeight="true" outlineLevel="0" collapsed="false">
      <c r="A718" s="6" t="n">
        <v>3</v>
      </c>
      <c r="B718" s="6" t="s">
        <v>2246</v>
      </c>
      <c r="C718" s="6" t="s">
        <v>1341</v>
      </c>
      <c r="D718" s="6" t="str">
        <f aca="false">A718&amp;"|"&amp;C718</f>
        <v>3|Cuirassier</v>
      </c>
      <c r="E718" s="6" t="s">
        <v>1560</v>
      </c>
      <c r="F718" s="6" t="s">
        <v>1542</v>
      </c>
      <c r="G718" s="6" t="str">
        <f aca="false">INDEX(Archetypes!$D$2:$D$127, MATCH(D718, Archetypes!$A$2:$A$127, 0))</f>
        <v>Shock Cavalry</v>
      </c>
      <c r="H718" s="6" t="n">
        <f aca="false">ROUND(INDEX(Archetypes!$E$2:$E$127, MATCH(D718, Archetypes!$A$2:$A$127, 0))*INDEX(Unit_Grades!$B$2:$B$7, MATCH(F718, Unit_Grades!$A$2:$A$7, 0))*INDEX(Unit_Paths!$B$2:$B$4, MATCH(E718, Unit_Paths!$A$2:$A$4, 0)),1)</f>
        <v>94.9</v>
      </c>
      <c r="I718" s="6" t="n">
        <f aca="false">ROUND(INDEX(Archetypes!$F$2:$F$127, MATCH(D718, Archetypes!$A$2:$A$127, 0))*INDEX(Unit_Grades!$B$2:$B$7, MATCH(F718, Unit_Grades!$A$2:$A$7, 0))*INDEX(Unit_Paths!$C$2:$C$4, MATCH(E718, Unit_Paths!$A$2:$A$4, 0)),1)</f>
        <v>76.5</v>
      </c>
      <c r="J718" s="6" t="n">
        <f aca="false">ROUND(INDEX(Archetypes!$G$2:$G$127, MATCH(D718, Archetypes!$A$2:$A$127, 0))*INDEX(Unit_Grades!$B$2:$B$7, MATCH(F718, Unit_Grades!$A$2:$A$7, 0))*INDEX(Unit_Paths!$D$2:$D$4, MATCH(E718, Unit_Paths!$A$2:$A$4, 0)),0)</f>
        <v>311</v>
      </c>
      <c r="K718" s="6" t="n">
        <f aca="false">ROUND(INDEX(Archetypes!$H$2:$H$127, MATCH(D718, Archetypes!$A$2:$A$127, 0))*INDEX(Unit_Paths!$E$2:$E$4, MATCH(E718, Unit_Paths!$A$2:$A$4, 0)),1)</f>
        <v>27.6</v>
      </c>
      <c r="L718" s="6" t="n">
        <f aca="false">ROUND(INDEX(Archetypes!$I$2:$I$127, MATCH(D718, Archetypes!$A$2:$A$127, 0))*INDEX(Unit_Grades!$C$2:$C$7, MATCH(F718, Unit_Grades!$A$2:$A$7, 0)),1)</f>
        <v>16</v>
      </c>
      <c r="M718" s="6" t="n">
        <f aca="false">ROUND(INDEX(Archetypes!$J$2:$J$127, MATCH(D718, Archetypes!$A$2:$A$127, 0))*INDEX(Unit_Grades!$D$2:$D$7, MATCH(F718, Unit_Grades!$A$2:$A$7, 0)),1)</f>
        <v>10.2</v>
      </c>
      <c r="N718" s="6" t="n">
        <f aca="false">ROUND(M718/24,2)</f>
        <v>0.43</v>
      </c>
    </row>
    <row r="719" customFormat="false" ht="15" hidden="false" customHeight="true" outlineLevel="0" collapsed="false">
      <c r="A719" s="6" t="n">
        <v>3</v>
      </c>
      <c r="B719" s="6" t="s">
        <v>2247</v>
      </c>
      <c r="C719" s="6" t="s">
        <v>1341</v>
      </c>
      <c r="D719" s="6" t="str">
        <f aca="false">A719&amp;"|"&amp;C719</f>
        <v>3|Cuirassier</v>
      </c>
      <c r="E719" s="6" t="s">
        <v>1560</v>
      </c>
      <c r="F719" s="6" t="s">
        <v>1544</v>
      </c>
      <c r="G719" s="6" t="str">
        <f aca="false">INDEX(Archetypes!$D$2:$D$127, MATCH(D719, Archetypes!$A$2:$A$127, 0))</f>
        <v>Shock Cavalry</v>
      </c>
      <c r="H719" s="6" t="n">
        <f aca="false">ROUND(INDEX(Archetypes!$E$2:$E$127, MATCH(D719, Archetypes!$A$2:$A$127, 0))*INDEX(Unit_Grades!$B$2:$B$7, MATCH(F719, Unit_Grades!$A$2:$A$7, 0))*INDEX(Unit_Paths!$B$2:$B$4, MATCH(E719, Unit_Paths!$A$2:$A$4, 0)),1)</f>
        <v>126.5</v>
      </c>
      <c r="I719" s="6" t="n">
        <f aca="false">ROUND(INDEX(Archetypes!$F$2:$F$127, MATCH(D719, Archetypes!$A$2:$A$127, 0))*INDEX(Unit_Grades!$B$2:$B$7, MATCH(F719, Unit_Grades!$A$2:$A$7, 0))*INDEX(Unit_Paths!$C$2:$C$4, MATCH(E719, Unit_Paths!$A$2:$A$4, 0)),1)</f>
        <v>102</v>
      </c>
      <c r="J719" s="6" t="n">
        <f aca="false">ROUND(INDEX(Archetypes!$G$2:$G$127, MATCH(D719, Archetypes!$A$2:$A$127, 0))*INDEX(Unit_Grades!$B$2:$B$7, MATCH(F719, Unit_Grades!$A$2:$A$7, 0))*INDEX(Unit_Paths!$D$2:$D$4, MATCH(E719, Unit_Paths!$A$2:$A$4, 0)),0)</f>
        <v>414</v>
      </c>
      <c r="K719" s="6" t="n">
        <f aca="false">ROUND(INDEX(Archetypes!$H$2:$H$127, MATCH(D719, Archetypes!$A$2:$A$127, 0))*INDEX(Unit_Paths!$E$2:$E$4, MATCH(E719, Unit_Paths!$A$2:$A$4, 0)),1)</f>
        <v>27.6</v>
      </c>
      <c r="L719" s="6" t="n">
        <f aca="false">ROUND(INDEX(Archetypes!$I$2:$I$127, MATCH(D719, Archetypes!$A$2:$A$127, 0))*INDEX(Unit_Grades!$C$2:$C$7, MATCH(F719, Unit_Grades!$A$2:$A$7, 0)),1)</f>
        <v>21</v>
      </c>
      <c r="M719" s="6" t="n">
        <f aca="false">ROUND(INDEX(Archetypes!$J$2:$J$127, MATCH(D719, Archetypes!$A$2:$A$127, 0))*INDEX(Unit_Grades!$D$2:$D$7, MATCH(F719, Unit_Grades!$A$2:$A$7, 0)),1)</f>
        <v>16.2</v>
      </c>
      <c r="N719" s="6" t="n">
        <f aca="false">ROUND(M719/24,2)</f>
        <v>0.68</v>
      </c>
    </row>
    <row r="720" customFormat="false" ht="15" hidden="false" customHeight="true" outlineLevel="0" collapsed="false">
      <c r="A720" s="6" t="n">
        <v>3</v>
      </c>
      <c r="B720" s="6" t="s">
        <v>2248</v>
      </c>
      <c r="C720" s="6" t="s">
        <v>1341</v>
      </c>
      <c r="D720" s="6" t="str">
        <f aca="false">A720&amp;"|"&amp;C720</f>
        <v>3|Cuirassier</v>
      </c>
      <c r="E720" s="6" t="s">
        <v>1560</v>
      </c>
      <c r="F720" s="6" t="s">
        <v>1546</v>
      </c>
      <c r="G720" s="6" t="str">
        <f aca="false">INDEX(Archetypes!$D$2:$D$127, MATCH(D720, Archetypes!$A$2:$A$127, 0))</f>
        <v>Shock Cavalry</v>
      </c>
      <c r="H720" s="6" t="n">
        <f aca="false">ROUND(INDEX(Archetypes!$E$2:$E$127, MATCH(D720, Archetypes!$A$2:$A$127, 0))*INDEX(Unit_Grades!$B$2:$B$7, MATCH(F720, Unit_Grades!$A$2:$A$7, 0))*INDEX(Unit_Paths!$B$2:$B$4, MATCH(E720, Unit_Paths!$A$2:$A$4, 0)),1)</f>
        <v>168.6</v>
      </c>
      <c r="I720" s="6" t="n">
        <f aca="false">ROUND(INDEX(Archetypes!$F$2:$F$127, MATCH(D720, Archetypes!$A$2:$A$127, 0))*INDEX(Unit_Grades!$B$2:$B$7, MATCH(F720, Unit_Grades!$A$2:$A$7, 0))*INDEX(Unit_Paths!$C$2:$C$4, MATCH(E720, Unit_Paths!$A$2:$A$4, 0)),1)</f>
        <v>136</v>
      </c>
      <c r="J720" s="6" t="n">
        <f aca="false">ROUND(INDEX(Archetypes!$G$2:$G$127, MATCH(D720, Archetypes!$A$2:$A$127, 0))*INDEX(Unit_Grades!$B$2:$B$7, MATCH(F720, Unit_Grades!$A$2:$A$7, 0))*INDEX(Unit_Paths!$D$2:$D$4, MATCH(E720, Unit_Paths!$A$2:$A$4, 0)),0)</f>
        <v>552</v>
      </c>
      <c r="K720" s="6" t="n">
        <f aca="false">ROUND(INDEX(Archetypes!$H$2:$H$127, MATCH(D720, Archetypes!$A$2:$A$127, 0))*INDEX(Unit_Paths!$E$2:$E$4, MATCH(E720, Unit_Paths!$A$2:$A$4, 0)),1)</f>
        <v>27.6</v>
      </c>
      <c r="L720" s="6" t="n">
        <f aca="false">ROUND(INDEX(Archetypes!$I$2:$I$127, MATCH(D720, Archetypes!$A$2:$A$127, 0))*INDEX(Unit_Grades!$C$2:$C$7, MATCH(F720, Unit_Grades!$A$2:$A$7, 0)),1)</f>
        <v>28</v>
      </c>
      <c r="M720" s="6" t="n">
        <f aca="false">ROUND(INDEX(Archetypes!$J$2:$J$127, MATCH(D720, Archetypes!$A$2:$A$127, 0))*INDEX(Unit_Grades!$D$2:$D$7, MATCH(F720, Unit_Grades!$A$2:$A$7, 0)),1)</f>
        <v>28.4</v>
      </c>
      <c r="N720" s="6" t="n">
        <f aca="false">ROUND(M720/24,2)</f>
        <v>1.18</v>
      </c>
    </row>
    <row r="721" customFormat="false" ht="15" hidden="false" customHeight="true" outlineLevel="0" collapsed="false">
      <c r="A721" s="6" t="n">
        <v>3</v>
      </c>
      <c r="B721" s="6" t="s">
        <v>2249</v>
      </c>
      <c r="C721" s="6" t="s">
        <v>1341</v>
      </c>
      <c r="D721" s="6" t="str">
        <f aca="false">A721&amp;"|"&amp;C721</f>
        <v>3|Cuirassier</v>
      </c>
      <c r="E721" s="6" t="s">
        <v>1560</v>
      </c>
      <c r="F721" s="6" t="s">
        <v>1548</v>
      </c>
      <c r="G721" s="6" t="str">
        <f aca="false">INDEX(Archetypes!$D$2:$D$127, MATCH(D721, Archetypes!$A$2:$A$127, 0))</f>
        <v>Shock Cavalry</v>
      </c>
      <c r="H721" s="6" t="n">
        <f aca="false">ROUND(INDEX(Archetypes!$E$2:$E$127, MATCH(D721, Archetypes!$A$2:$A$127, 0))*INDEX(Unit_Grades!$B$2:$B$7, MATCH(F721, Unit_Grades!$A$2:$A$7, 0))*INDEX(Unit_Paths!$B$2:$B$4, MATCH(E721, Unit_Paths!$A$2:$A$4, 0)),1)</f>
        <v>221.3</v>
      </c>
      <c r="I721" s="6" t="n">
        <f aca="false">ROUND(INDEX(Archetypes!$F$2:$F$127, MATCH(D721, Archetypes!$A$2:$A$127, 0))*INDEX(Unit_Grades!$B$2:$B$7, MATCH(F721, Unit_Grades!$A$2:$A$7, 0))*INDEX(Unit_Paths!$C$2:$C$4, MATCH(E721, Unit_Paths!$A$2:$A$4, 0)),1)</f>
        <v>178.5</v>
      </c>
      <c r="J721" s="6" t="n">
        <f aca="false">ROUND(INDEX(Archetypes!$G$2:$G$127, MATCH(D721, Archetypes!$A$2:$A$127, 0))*INDEX(Unit_Grades!$B$2:$B$7, MATCH(F721, Unit_Grades!$A$2:$A$7, 0))*INDEX(Unit_Paths!$D$2:$D$4, MATCH(E721, Unit_Paths!$A$2:$A$4, 0)),0)</f>
        <v>725</v>
      </c>
      <c r="K721" s="6" t="n">
        <f aca="false">ROUND(INDEX(Archetypes!$H$2:$H$127, MATCH(D721, Archetypes!$A$2:$A$127, 0))*INDEX(Unit_Paths!$E$2:$E$4, MATCH(E721, Unit_Paths!$A$2:$A$4, 0)),1)</f>
        <v>27.6</v>
      </c>
      <c r="L721" s="6" t="n">
        <f aca="false">ROUND(INDEX(Archetypes!$I$2:$I$127, MATCH(D721, Archetypes!$A$2:$A$127, 0))*INDEX(Unit_Grades!$C$2:$C$7, MATCH(F721, Unit_Grades!$A$2:$A$7, 0)),1)</f>
        <v>37</v>
      </c>
      <c r="M721" s="6" t="n">
        <f aca="false">ROUND(INDEX(Archetypes!$J$2:$J$127, MATCH(D721, Archetypes!$A$2:$A$127, 0))*INDEX(Unit_Grades!$D$2:$D$7, MATCH(F721, Unit_Grades!$A$2:$A$7, 0)),1)</f>
        <v>48.7</v>
      </c>
      <c r="N721" s="6" t="n">
        <f aca="false">ROUND(M721/24,2)</f>
        <v>2.03</v>
      </c>
    </row>
    <row r="722" customFormat="false" ht="15" hidden="false" customHeight="true" outlineLevel="0" collapsed="false">
      <c r="A722" s="6" t="n">
        <v>3</v>
      </c>
      <c r="B722" s="6" t="s">
        <v>1343</v>
      </c>
      <c r="C722" s="6" t="s">
        <v>1343</v>
      </c>
      <c r="D722" s="6" t="str">
        <f aca="false">A722&amp;"|"&amp;C722</f>
        <v>3|Field Cannon</v>
      </c>
      <c r="E722" s="6" t="s">
        <v>1556</v>
      </c>
      <c r="F722" s="6" t="s">
        <v>1538</v>
      </c>
      <c r="G722" s="6" t="str">
        <f aca="false">INDEX(Archetypes!$D$2:$D$127, MATCH(D722, Archetypes!$A$2:$A$127, 0))</f>
        <v>Siege</v>
      </c>
      <c r="H722" s="6" t="n">
        <f aca="false">ROUND(INDEX(Archetypes!$E$2:$E$127, MATCH(D722, Archetypes!$A$2:$A$127, 0))*INDEX(Unit_Grades!$B$2:$B$7, MATCH(F722, Unit_Grades!$A$2:$A$7, 0))*INDEX(Unit_Paths!$B$2:$B$4, MATCH(E722, Unit_Paths!$A$2:$A$4, 0)),1)</f>
        <v>80</v>
      </c>
      <c r="I722" s="6" t="n">
        <f aca="false">ROUND(INDEX(Archetypes!$F$2:$F$127, MATCH(D722, Archetypes!$A$2:$A$127, 0))*INDEX(Unit_Grades!$B$2:$B$7, MATCH(F722, Unit_Grades!$A$2:$A$7, 0))*INDEX(Unit_Paths!$C$2:$C$4, MATCH(E722, Unit_Paths!$A$2:$A$4, 0)),1)</f>
        <v>10</v>
      </c>
      <c r="J722" s="6" t="n">
        <f aca="false">ROUND(INDEX(Archetypes!$G$2:$G$127, MATCH(D722, Archetypes!$A$2:$A$127, 0))*INDEX(Unit_Grades!$B$2:$B$7, MATCH(F722, Unit_Grades!$A$2:$A$7, 0))*INDEX(Unit_Paths!$D$2:$D$4, MATCH(E722, Unit_Paths!$A$2:$A$4, 0)),0)</f>
        <v>110</v>
      </c>
      <c r="K722" s="6" t="n">
        <f aca="false">ROUND(INDEX(Archetypes!$H$2:$H$127, MATCH(D722, Archetypes!$A$2:$A$127, 0))*INDEX(Unit_Paths!$E$2:$E$4, MATCH(E722, Unit_Paths!$A$2:$A$4, 0)),1)</f>
        <v>8</v>
      </c>
      <c r="L722" s="6" t="n">
        <f aca="false">ROUND(INDEX(Archetypes!$I$2:$I$127, MATCH(D722, Archetypes!$A$2:$A$127, 0))*INDEX(Unit_Grades!$C$2:$C$7, MATCH(F722, Unit_Grades!$A$2:$A$7, 0)),1)</f>
        <v>11</v>
      </c>
      <c r="M722" s="6" t="n">
        <f aca="false">ROUND(INDEX(Archetypes!$J$2:$J$127, MATCH(D722, Archetypes!$A$2:$A$127, 0))*INDEX(Unit_Grades!$D$2:$D$7, MATCH(F722, Unit_Grades!$A$2:$A$7, 0)),1)</f>
        <v>4.5</v>
      </c>
      <c r="N722" s="6" t="n">
        <f aca="false">ROUND(M722/24,2)</f>
        <v>0.19</v>
      </c>
    </row>
    <row r="723" customFormat="false" ht="15" hidden="false" customHeight="true" outlineLevel="0" collapsed="false">
      <c r="A723" s="6" t="n">
        <v>3</v>
      </c>
      <c r="B723" s="6" t="s">
        <v>2250</v>
      </c>
      <c r="C723" s="6" t="s">
        <v>1343</v>
      </c>
      <c r="D723" s="6" t="str">
        <f aca="false">A723&amp;"|"&amp;C723</f>
        <v>3|Field Cannon</v>
      </c>
      <c r="E723" s="6" t="s">
        <v>1556</v>
      </c>
      <c r="F723" s="6" t="s">
        <v>1540</v>
      </c>
      <c r="G723" s="6" t="str">
        <f aca="false">INDEX(Archetypes!$D$2:$D$127, MATCH(D723, Archetypes!$A$2:$A$127, 0))</f>
        <v>Siege</v>
      </c>
      <c r="H723" s="6" t="n">
        <f aca="false">ROUND(INDEX(Archetypes!$E$2:$E$127, MATCH(D723, Archetypes!$A$2:$A$127, 0))*INDEX(Unit_Grades!$B$2:$B$7, MATCH(F723, Unit_Grades!$A$2:$A$7, 0))*INDEX(Unit_Paths!$B$2:$B$4, MATCH(E723, Unit_Paths!$A$2:$A$4, 0)),1)</f>
        <v>108</v>
      </c>
      <c r="I723" s="6" t="n">
        <f aca="false">ROUND(INDEX(Archetypes!$F$2:$F$127, MATCH(D723, Archetypes!$A$2:$A$127, 0))*INDEX(Unit_Grades!$B$2:$B$7, MATCH(F723, Unit_Grades!$A$2:$A$7, 0))*INDEX(Unit_Paths!$C$2:$C$4, MATCH(E723, Unit_Paths!$A$2:$A$4, 0)),1)</f>
        <v>13.5</v>
      </c>
      <c r="J723" s="6" t="n">
        <f aca="false">ROUND(INDEX(Archetypes!$G$2:$G$127, MATCH(D723, Archetypes!$A$2:$A$127, 0))*INDEX(Unit_Grades!$B$2:$B$7, MATCH(F723, Unit_Grades!$A$2:$A$7, 0))*INDEX(Unit_Paths!$D$2:$D$4, MATCH(E723, Unit_Paths!$A$2:$A$4, 0)),0)</f>
        <v>149</v>
      </c>
      <c r="K723" s="6" t="n">
        <f aca="false">ROUND(INDEX(Archetypes!$H$2:$H$127, MATCH(D723, Archetypes!$A$2:$A$127, 0))*INDEX(Unit_Paths!$E$2:$E$4, MATCH(E723, Unit_Paths!$A$2:$A$4, 0)),1)</f>
        <v>8</v>
      </c>
      <c r="L723" s="6" t="n">
        <f aca="false">ROUND(INDEX(Archetypes!$I$2:$I$127, MATCH(D723, Archetypes!$A$2:$A$127, 0))*INDEX(Unit_Grades!$C$2:$C$7, MATCH(F723, Unit_Grades!$A$2:$A$7, 0)),1)</f>
        <v>13.8</v>
      </c>
      <c r="M723" s="6" t="n">
        <f aca="false">ROUND(INDEX(Archetypes!$J$2:$J$127, MATCH(D723, Archetypes!$A$2:$A$127, 0))*INDEX(Unit_Grades!$D$2:$D$7, MATCH(F723, Unit_Grades!$A$2:$A$7, 0)),1)</f>
        <v>6.7</v>
      </c>
      <c r="N723" s="6" t="n">
        <f aca="false">ROUND(M723/24,2)</f>
        <v>0.28</v>
      </c>
    </row>
    <row r="724" customFormat="false" ht="15" hidden="false" customHeight="true" outlineLevel="0" collapsed="false">
      <c r="A724" s="6" t="n">
        <v>3</v>
      </c>
      <c r="B724" s="6" t="s">
        <v>2251</v>
      </c>
      <c r="C724" s="6" t="s">
        <v>1343</v>
      </c>
      <c r="D724" s="6" t="str">
        <f aca="false">A724&amp;"|"&amp;C724</f>
        <v>3|Field Cannon</v>
      </c>
      <c r="E724" s="6" t="s">
        <v>1556</v>
      </c>
      <c r="F724" s="6" t="s">
        <v>1542</v>
      </c>
      <c r="G724" s="6" t="str">
        <f aca="false">INDEX(Archetypes!$D$2:$D$127, MATCH(D724, Archetypes!$A$2:$A$127, 0))</f>
        <v>Siege</v>
      </c>
      <c r="H724" s="6" t="n">
        <f aca="false">ROUND(INDEX(Archetypes!$E$2:$E$127, MATCH(D724, Archetypes!$A$2:$A$127, 0))*INDEX(Unit_Grades!$B$2:$B$7, MATCH(F724, Unit_Grades!$A$2:$A$7, 0))*INDEX(Unit_Paths!$B$2:$B$4, MATCH(E724, Unit_Paths!$A$2:$A$4, 0)),1)</f>
        <v>144</v>
      </c>
      <c r="I724" s="6" t="n">
        <f aca="false">ROUND(INDEX(Archetypes!$F$2:$F$127, MATCH(D724, Archetypes!$A$2:$A$127, 0))*INDEX(Unit_Grades!$B$2:$B$7, MATCH(F724, Unit_Grades!$A$2:$A$7, 0))*INDEX(Unit_Paths!$C$2:$C$4, MATCH(E724, Unit_Paths!$A$2:$A$4, 0)),1)</f>
        <v>18</v>
      </c>
      <c r="J724" s="6" t="n">
        <f aca="false">ROUND(INDEX(Archetypes!$G$2:$G$127, MATCH(D724, Archetypes!$A$2:$A$127, 0))*INDEX(Unit_Grades!$B$2:$B$7, MATCH(F724, Unit_Grades!$A$2:$A$7, 0))*INDEX(Unit_Paths!$D$2:$D$4, MATCH(E724, Unit_Paths!$A$2:$A$4, 0)),0)</f>
        <v>198</v>
      </c>
      <c r="K724" s="6" t="n">
        <f aca="false">ROUND(INDEX(Archetypes!$H$2:$H$127, MATCH(D724, Archetypes!$A$2:$A$127, 0))*INDEX(Unit_Paths!$E$2:$E$4, MATCH(E724, Unit_Paths!$A$2:$A$4, 0)),1)</f>
        <v>8</v>
      </c>
      <c r="L724" s="6" t="n">
        <f aca="false">ROUND(INDEX(Archetypes!$I$2:$I$127, MATCH(D724, Archetypes!$A$2:$A$127, 0))*INDEX(Unit_Grades!$C$2:$C$7, MATCH(F724, Unit_Grades!$A$2:$A$7, 0)),1)</f>
        <v>17.6</v>
      </c>
      <c r="M724" s="6" t="n">
        <f aca="false">ROUND(INDEX(Archetypes!$J$2:$J$127, MATCH(D724, Archetypes!$A$2:$A$127, 0))*INDEX(Unit_Grades!$D$2:$D$7, MATCH(F724, Unit_Grades!$A$2:$A$7, 0)),1)</f>
        <v>11.2</v>
      </c>
      <c r="N724" s="6" t="n">
        <f aca="false">ROUND(M724/24,2)</f>
        <v>0.47</v>
      </c>
    </row>
    <row r="725" customFormat="false" ht="15" hidden="false" customHeight="true" outlineLevel="0" collapsed="false">
      <c r="A725" s="6" t="n">
        <v>3</v>
      </c>
      <c r="B725" s="6" t="s">
        <v>2252</v>
      </c>
      <c r="C725" s="6" t="s">
        <v>1343</v>
      </c>
      <c r="D725" s="6" t="str">
        <f aca="false">A725&amp;"|"&amp;C725</f>
        <v>3|Field Cannon</v>
      </c>
      <c r="E725" s="6" t="s">
        <v>1556</v>
      </c>
      <c r="F725" s="6" t="s">
        <v>1544</v>
      </c>
      <c r="G725" s="6" t="str">
        <f aca="false">INDEX(Archetypes!$D$2:$D$127, MATCH(D725, Archetypes!$A$2:$A$127, 0))</f>
        <v>Siege</v>
      </c>
      <c r="H725" s="6" t="n">
        <f aca="false">ROUND(INDEX(Archetypes!$E$2:$E$127, MATCH(D725, Archetypes!$A$2:$A$127, 0))*INDEX(Unit_Grades!$B$2:$B$7, MATCH(F725, Unit_Grades!$A$2:$A$7, 0))*INDEX(Unit_Paths!$B$2:$B$4, MATCH(E725, Unit_Paths!$A$2:$A$4, 0)),1)</f>
        <v>192</v>
      </c>
      <c r="I725" s="6" t="n">
        <f aca="false">ROUND(INDEX(Archetypes!$F$2:$F$127, MATCH(D725, Archetypes!$A$2:$A$127, 0))*INDEX(Unit_Grades!$B$2:$B$7, MATCH(F725, Unit_Grades!$A$2:$A$7, 0))*INDEX(Unit_Paths!$C$2:$C$4, MATCH(E725, Unit_Paths!$A$2:$A$4, 0)),1)</f>
        <v>24</v>
      </c>
      <c r="J725" s="6" t="n">
        <f aca="false">ROUND(INDEX(Archetypes!$G$2:$G$127, MATCH(D725, Archetypes!$A$2:$A$127, 0))*INDEX(Unit_Grades!$B$2:$B$7, MATCH(F725, Unit_Grades!$A$2:$A$7, 0))*INDEX(Unit_Paths!$D$2:$D$4, MATCH(E725, Unit_Paths!$A$2:$A$4, 0)),0)</f>
        <v>264</v>
      </c>
      <c r="K725" s="6" t="n">
        <f aca="false">ROUND(INDEX(Archetypes!$H$2:$H$127, MATCH(D725, Archetypes!$A$2:$A$127, 0))*INDEX(Unit_Paths!$E$2:$E$4, MATCH(E725, Unit_Paths!$A$2:$A$4, 0)),1)</f>
        <v>8</v>
      </c>
      <c r="L725" s="6" t="n">
        <f aca="false">ROUND(INDEX(Archetypes!$I$2:$I$127, MATCH(D725, Archetypes!$A$2:$A$127, 0))*INDEX(Unit_Grades!$C$2:$C$7, MATCH(F725, Unit_Grades!$A$2:$A$7, 0)),1)</f>
        <v>23.1</v>
      </c>
      <c r="M725" s="6" t="n">
        <f aca="false">ROUND(INDEX(Archetypes!$J$2:$J$127, MATCH(D725, Archetypes!$A$2:$A$127, 0))*INDEX(Unit_Grades!$D$2:$D$7, MATCH(F725, Unit_Grades!$A$2:$A$7, 0)),1)</f>
        <v>17.8</v>
      </c>
      <c r="N725" s="6" t="n">
        <f aca="false">ROUND(M725/24,2)</f>
        <v>0.74</v>
      </c>
    </row>
    <row r="726" customFormat="false" ht="15" hidden="false" customHeight="true" outlineLevel="0" collapsed="false">
      <c r="A726" s="6" t="n">
        <v>3</v>
      </c>
      <c r="B726" s="6" t="s">
        <v>2253</v>
      </c>
      <c r="C726" s="6" t="s">
        <v>1343</v>
      </c>
      <c r="D726" s="6" t="str">
        <f aca="false">A726&amp;"|"&amp;C726</f>
        <v>3|Field Cannon</v>
      </c>
      <c r="E726" s="6" t="s">
        <v>1556</v>
      </c>
      <c r="F726" s="6" t="s">
        <v>1546</v>
      </c>
      <c r="G726" s="6" t="str">
        <f aca="false">INDEX(Archetypes!$D$2:$D$127, MATCH(D726, Archetypes!$A$2:$A$127, 0))</f>
        <v>Siege</v>
      </c>
      <c r="H726" s="6" t="n">
        <f aca="false">ROUND(INDEX(Archetypes!$E$2:$E$127, MATCH(D726, Archetypes!$A$2:$A$127, 0))*INDEX(Unit_Grades!$B$2:$B$7, MATCH(F726, Unit_Grades!$A$2:$A$7, 0))*INDEX(Unit_Paths!$B$2:$B$4, MATCH(E726, Unit_Paths!$A$2:$A$4, 0)),1)</f>
        <v>256</v>
      </c>
      <c r="I726" s="6" t="n">
        <f aca="false">ROUND(INDEX(Archetypes!$F$2:$F$127, MATCH(D726, Archetypes!$A$2:$A$127, 0))*INDEX(Unit_Grades!$B$2:$B$7, MATCH(F726, Unit_Grades!$A$2:$A$7, 0))*INDEX(Unit_Paths!$C$2:$C$4, MATCH(E726, Unit_Paths!$A$2:$A$4, 0)),1)</f>
        <v>32</v>
      </c>
      <c r="J726" s="6" t="n">
        <f aca="false">ROUND(INDEX(Archetypes!$G$2:$G$127, MATCH(D726, Archetypes!$A$2:$A$127, 0))*INDEX(Unit_Grades!$B$2:$B$7, MATCH(F726, Unit_Grades!$A$2:$A$7, 0))*INDEX(Unit_Paths!$D$2:$D$4, MATCH(E726, Unit_Paths!$A$2:$A$4, 0)),0)</f>
        <v>352</v>
      </c>
      <c r="K726" s="6" t="n">
        <f aca="false">ROUND(INDEX(Archetypes!$H$2:$H$127, MATCH(D726, Archetypes!$A$2:$A$127, 0))*INDEX(Unit_Paths!$E$2:$E$4, MATCH(E726, Unit_Paths!$A$2:$A$4, 0)),1)</f>
        <v>8</v>
      </c>
      <c r="L726" s="6" t="n">
        <f aca="false">ROUND(INDEX(Archetypes!$I$2:$I$127, MATCH(D726, Archetypes!$A$2:$A$127, 0))*INDEX(Unit_Grades!$C$2:$C$7, MATCH(F726, Unit_Grades!$A$2:$A$7, 0)),1)</f>
        <v>30.8</v>
      </c>
      <c r="M726" s="6" t="n">
        <f aca="false">ROUND(INDEX(Archetypes!$J$2:$J$127, MATCH(D726, Archetypes!$A$2:$A$127, 0))*INDEX(Unit_Grades!$D$2:$D$7, MATCH(F726, Unit_Grades!$A$2:$A$7, 0)),1)</f>
        <v>31.2</v>
      </c>
      <c r="N726" s="6" t="n">
        <f aca="false">ROUND(M726/24,2)</f>
        <v>1.3</v>
      </c>
    </row>
    <row r="727" customFormat="false" ht="15" hidden="false" customHeight="true" outlineLevel="0" collapsed="false">
      <c r="A727" s="6" t="n">
        <v>3</v>
      </c>
      <c r="B727" s="6" t="s">
        <v>2254</v>
      </c>
      <c r="C727" s="6" t="s">
        <v>1343</v>
      </c>
      <c r="D727" s="6" t="str">
        <f aca="false">A727&amp;"|"&amp;C727</f>
        <v>3|Field Cannon</v>
      </c>
      <c r="E727" s="6" t="s">
        <v>1556</v>
      </c>
      <c r="F727" s="6" t="s">
        <v>1548</v>
      </c>
      <c r="G727" s="6" t="str">
        <f aca="false">INDEX(Archetypes!$D$2:$D$127, MATCH(D727, Archetypes!$A$2:$A$127, 0))</f>
        <v>Siege</v>
      </c>
      <c r="H727" s="6" t="n">
        <f aca="false">ROUND(INDEX(Archetypes!$E$2:$E$127, MATCH(D727, Archetypes!$A$2:$A$127, 0))*INDEX(Unit_Grades!$B$2:$B$7, MATCH(F727, Unit_Grades!$A$2:$A$7, 0))*INDEX(Unit_Paths!$B$2:$B$4, MATCH(E727, Unit_Paths!$A$2:$A$4, 0)),1)</f>
        <v>336</v>
      </c>
      <c r="I727" s="6" t="n">
        <f aca="false">ROUND(INDEX(Archetypes!$F$2:$F$127, MATCH(D727, Archetypes!$A$2:$A$127, 0))*INDEX(Unit_Grades!$B$2:$B$7, MATCH(F727, Unit_Grades!$A$2:$A$7, 0))*INDEX(Unit_Paths!$C$2:$C$4, MATCH(E727, Unit_Paths!$A$2:$A$4, 0)),1)</f>
        <v>42</v>
      </c>
      <c r="J727" s="6" t="n">
        <f aca="false">ROUND(INDEX(Archetypes!$G$2:$G$127, MATCH(D727, Archetypes!$A$2:$A$127, 0))*INDEX(Unit_Grades!$B$2:$B$7, MATCH(F727, Unit_Grades!$A$2:$A$7, 0))*INDEX(Unit_Paths!$D$2:$D$4, MATCH(E727, Unit_Paths!$A$2:$A$4, 0)),0)</f>
        <v>462</v>
      </c>
      <c r="K727" s="6" t="n">
        <f aca="false">ROUND(INDEX(Archetypes!$H$2:$H$127, MATCH(D727, Archetypes!$A$2:$A$127, 0))*INDEX(Unit_Paths!$E$2:$E$4, MATCH(E727, Unit_Paths!$A$2:$A$4, 0)),1)</f>
        <v>8</v>
      </c>
      <c r="L727" s="6" t="n">
        <f aca="false">ROUND(INDEX(Archetypes!$I$2:$I$127, MATCH(D727, Archetypes!$A$2:$A$127, 0))*INDEX(Unit_Grades!$C$2:$C$7, MATCH(F727, Unit_Grades!$A$2:$A$7, 0)),1)</f>
        <v>40.7</v>
      </c>
      <c r="M727" s="6" t="n">
        <f aca="false">ROUND(INDEX(Archetypes!$J$2:$J$127, MATCH(D727, Archetypes!$A$2:$A$127, 0))*INDEX(Unit_Grades!$D$2:$D$7, MATCH(F727, Unit_Grades!$A$2:$A$7, 0)),1)</f>
        <v>53.5</v>
      </c>
      <c r="N727" s="6" t="n">
        <f aca="false">ROUND(M727/24,2)</f>
        <v>2.23</v>
      </c>
    </row>
    <row r="728" customFormat="false" ht="15" hidden="false" customHeight="true" outlineLevel="0" collapsed="false">
      <c r="A728" s="6" t="n">
        <v>3</v>
      </c>
      <c r="B728" s="6" t="s">
        <v>2255</v>
      </c>
      <c r="C728" s="6" t="s">
        <v>1343</v>
      </c>
      <c r="D728" s="6" t="str">
        <f aca="false">A728&amp;"|"&amp;C728</f>
        <v>3|Field Cannon</v>
      </c>
      <c r="E728" s="6" t="s">
        <v>1558</v>
      </c>
      <c r="F728" s="6" t="s">
        <v>1538</v>
      </c>
      <c r="G728" s="6" t="str">
        <f aca="false">INDEX(Archetypes!$D$2:$D$127, MATCH(D728, Archetypes!$A$2:$A$127, 0))</f>
        <v>Siege</v>
      </c>
      <c r="H728" s="6" t="n">
        <f aca="false">ROUND(INDEX(Archetypes!$E$2:$E$127, MATCH(D728, Archetypes!$A$2:$A$127, 0))*INDEX(Unit_Grades!$B$2:$B$7, MATCH(F728, Unit_Grades!$A$2:$A$7, 0))*INDEX(Unit_Paths!$B$2:$B$4, MATCH(E728, Unit_Paths!$A$2:$A$4, 0)),1)</f>
        <v>96</v>
      </c>
      <c r="I728" s="6" t="n">
        <f aca="false">ROUND(INDEX(Archetypes!$F$2:$F$127, MATCH(D728, Archetypes!$A$2:$A$127, 0))*INDEX(Unit_Grades!$B$2:$B$7, MATCH(F728, Unit_Grades!$A$2:$A$7, 0))*INDEX(Unit_Paths!$C$2:$C$4, MATCH(E728, Unit_Paths!$A$2:$A$4, 0)),1)</f>
        <v>8.5</v>
      </c>
      <c r="J728" s="6" t="n">
        <f aca="false">ROUND(INDEX(Archetypes!$G$2:$G$127, MATCH(D728, Archetypes!$A$2:$A$127, 0))*INDEX(Unit_Grades!$B$2:$B$7, MATCH(F728, Unit_Grades!$A$2:$A$7, 0))*INDEX(Unit_Paths!$D$2:$D$4, MATCH(E728, Unit_Paths!$A$2:$A$4, 0)),0)</f>
        <v>105</v>
      </c>
      <c r="K728" s="6" t="n">
        <f aca="false">ROUND(INDEX(Archetypes!$H$2:$H$127, MATCH(D728, Archetypes!$A$2:$A$127, 0))*INDEX(Unit_Paths!$E$2:$E$4, MATCH(E728, Unit_Paths!$A$2:$A$4, 0)),1)</f>
        <v>8.4</v>
      </c>
      <c r="L728" s="6" t="n">
        <f aca="false">ROUND(INDEX(Archetypes!$I$2:$I$127, MATCH(D728, Archetypes!$A$2:$A$127, 0))*INDEX(Unit_Grades!$C$2:$C$7, MATCH(F728, Unit_Grades!$A$2:$A$7, 0)),1)</f>
        <v>11</v>
      </c>
      <c r="M728" s="6" t="n">
        <f aca="false">ROUND(INDEX(Archetypes!$J$2:$J$127, MATCH(D728, Archetypes!$A$2:$A$127, 0))*INDEX(Unit_Grades!$D$2:$D$7, MATCH(F728, Unit_Grades!$A$2:$A$7, 0)),1)</f>
        <v>4.5</v>
      </c>
      <c r="N728" s="6" t="n">
        <f aca="false">ROUND(M728/24,2)</f>
        <v>0.19</v>
      </c>
    </row>
    <row r="729" customFormat="false" ht="15" hidden="false" customHeight="true" outlineLevel="0" collapsed="false">
      <c r="A729" s="6" t="n">
        <v>3</v>
      </c>
      <c r="B729" s="6" t="s">
        <v>2256</v>
      </c>
      <c r="C729" s="6" t="s">
        <v>1343</v>
      </c>
      <c r="D729" s="6" t="str">
        <f aca="false">A729&amp;"|"&amp;C729</f>
        <v>3|Field Cannon</v>
      </c>
      <c r="E729" s="6" t="s">
        <v>1558</v>
      </c>
      <c r="F729" s="6" t="s">
        <v>1540</v>
      </c>
      <c r="G729" s="6" t="str">
        <f aca="false">INDEX(Archetypes!$D$2:$D$127, MATCH(D729, Archetypes!$A$2:$A$127, 0))</f>
        <v>Siege</v>
      </c>
      <c r="H729" s="6" t="n">
        <f aca="false">ROUND(INDEX(Archetypes!$E$2:$E$127, MATCH(D729, Archetypes!$A$2:$A$127, 0))*INDEX(Unit_Grades!$B$2:$B$7, MATCH(F729, Unit_Grades!$A$2:$A$7, 0))*INDEX(Unit_Paths!$B$2:$B$4, MATCH(E729, Unit_Paths!$A$2:$A$4, 0)),1)</f>
        <v>129.6</v>
      </c>
      <c r="I729" s="6" t="n">
        <f aca="false">ROUND(INDEX(Archetypes!$F$2:$F$127, MATCH(D729, Archetypes!$A$2:$A$127, 0))*INDEX(Unit_Grades!$B$2:$B$7, MATCH(F729, Unit_Grades!$A$2:$A$7, 0))*INDEX(Unit_Paths!$C$2:$C$4, MATCH(E729, Unit_Paths!$A$2:$A$4, 0)),1)</f>
        <v>11.5</v>
      </c>
      <c r="J729" s="6" t="n">
        <f aca="false">ROUND(INDEX(Archetypes!$G$2:$G$127, MATCH(D729, Archetypes!$A$2:$A$127, 0))*INDEX(Unit_Grades!$B$2:$B$7, MATCH(F729, Unit_Grades!$A$2:$A$7, 0))*INDEX(Unit_Paths!$D$2:$D$4, MATCH(E729, Unit_Paths!$A$2:$A$4, 0)),0)</f>
        <v>141</v>
      </c>
      <c r="K729" s="6" t="n">
        <f aca="false">ROUND(INDEX(Archetypes!$H$2:$H$127, MATCH(D729, Archetypes!$A$2:$A$127, 0))*INDEX(Unit_Paths!$E$2:$E$4, MATCH(E729, Unit_Paths!$A$2:$A$4, 0)),1)</f>
        <v>8.4</v>
      </c>
      <c r="L729" s="6" t="n">
        <f aca="false">ROUND(INDEX(Archetypes!$I$2:$I$127, MATCH(D729, Archetypes!$A$2:$A$127, 0))*INDEX(Unit_Grades!$C$2:$C$7, MATCH(F729, Unit_Grades!$A$2:$A$7, 0)),1)</f>
        <v>13.8</v>
      </c>
      <c r="M729" s="6" t="n">
        <f aca="false">ROUND(INDEX(Archetypes!$J$2:$J$127, MATCH(D729, Archetypes!$A$2:$A$127, 0))*INDEX(Unit_Grades!$D$2:$D$7, MATCH(F729, Unit_Grades!$A$2:$A$7, 0)),1)</f>
        <v>6.7</v>
      </c>
      <c r="N729" s="6" t="n">
        <f aca="false">ROUND(M729/24,2)</f>
        <v>0.28</v>
      </c>
    </row>
    <row r="730" customFormat="false" ht="15" hidden="false" customHeight="true" outlineLevel="0" collapsed="false">
      <c r="A730" s="6" t="n">
        <v>3</v>
      </c>
      <c r="B730" s="6" t="s">
        <v>2257</v>
      </c>
      <c r="C730" s="6" t="s">
        <v>1343</v>
      </c>
      <c r="D730" s="6" t="str">
        <f aca="false">A730&amp;"|"&amp;C730</f>
        <v>3|Field Cannon</v>
      </c>
      <c r="E730" s="6" t="s">
        <v>1558</v>
      </c>
      <c r="F730" s="6" t="s">
        <v>1542</v>
      </c>
      <c r="G730" s="6" t="str">
        <f aca="false">INDEX(Archetypes!$D$2:$D$127, MATCH(D730, Archetypes!$A$2:$A$127, 0))</f>
        <v>Siege</v>
      </c>
      <c r="H730" s="6" t="n">
        <f aca="false">ROUND(INDEX(Archetypes!$E$2:$E$127, MATCH(D730, Archetypes!$A$2:$A$127, 0))*INDEX(Unit_Grades!$B$2:$B$7, MATCH(F730, Unit_Grades!$A$2:$A$7, 0))*INDEX(Unit_Paths!$B$2:$B$4, MATCH(E730, Unit_Paths!$A$2:$A$4, 0)),1)</f>
        <v>172.8</v>
      </c>
      <c r="I730" s="6" t="n">
        <f aca="false">ROUND(INDEX(Archetypes!$F$2:$F$127, MATCH(D730, Archetypes!$A$2:$A$127, 0))*INDEX(Unit_Grades!$B$2:$B$7, MATCH(F730, Unit_Grades!$A$2:$A$7, 0))*INDEX(Unit_Paths!$C$2:$C$4, MATCH(E730, Unit_Paths!$A$2:$A$4, 0)),1)</f>
        <v>15.3</v>
      </c>
      <c r="J730" s="6" t="n">
        <f aca="false">ROUND(INDEX(Archetypes!$G$2:$G$127, MATCH(D730, Archetypes!$A$2:$A$127, 0))*INDEX(Unit_Grades!$B$2:$B$7, MATCH(F730, Unit_Grades!$A$2:$A$7, 0))*INDEX(Unit_Paths!$D$2:$D$4, MATCH(E730, Unit_Paths!$A$2:$A$4, 0)),0)</f>
        <v>188</v>
      </c>
      <c r="K730" s="6" t="n">
        <f aca="false">ROUND(INDEX(Archetypes!$H$2:$H$127, MATCH(D730, Archetypes!$A$2:$A$127, 0))*INDEX(Unit_Paths!$E$2:$E$4, MATCH(E730, Unit_Paths!$A$2:$A$4, 0)),1)</f>
        <v>8.4</v>
      </c>
      <c r="L730" s="6" t="n">
        <f aca="false">ROUND(INDEX(Archetypes!$I$2:$I$127, MATCH(D730, Archetypes!$A$2:$A$127, 0))*INDEX(Unit_Grades!$C$2:$C$7, MATCH(F730, Unit_Grades!$A$2:$A$7, 0)),1)</f>
        <v>17.6</v>
      </c>
      <c r="M730" s="6" t="n">
        <f aca="false">ROUND(INDEX(Archetypes!$J$2:$J$127, MATCH(D730, Archetypes!$A$2:$A$127, 0))*INDEX(Unit_Grades!$D$2:$D$7, MATCH(F730, Unit_Grades!$A$2:$A$7, 0)),1)</f>
        <v>11.2</v>
      </c>
      <c r="N730" s="6" t="n">
        <f aca="false">ROUND(M730/24,2)</f>
        <v>0.47</v>
      </c>
    </row>
    <row r="731" customFormat="false" ht="15" hidden="false" customHeight="true" outlineLevel="0" collapsed="false">
      <c r="A731" s="6" t="n">
        <v>3</v>
      </c>
      <c r="B731" s="6" t="s">
        <v>2258</v>
      </c>
      <c r="C731" s="6" t="s">
        <v>1343</v>
      </c>
      <c r="D731" s="6" t="str">
        <f aca="false">A731&amp;"|"&amp;C731</f>
        <v>3|Field Cannon</v>
      </c>
      <c r="E731" s="6" t="s">
        <v>1558</v>
      </c>
      <c r="F731" s="6" t="s">
        <v>1544</v>
      </c>
      <c r="G731" s="6" t="str">
        <f aca="false">INDEX(Archetypes!$D$2:$D$127, MATCH(D731, Archetypes!$A$2:$A$127, 0))</f>
        <v>Siege</v>
      </c>
      <c r="H731" s="6" t="n">
        <f aca="false">ROUND(INDEX(Archetypes!$E$2:$E$127, MATCH(D731, Archetypes!$A$2:$A$127, 0))*INDEX(Unit_Grades!$B$2:$B$7, MATCH(F731, Unit_Grades!$A$2:$A$7, 0))*INDEX(Unit_Paths!$B$2:$B$4, MATCH(E731, Unit_Paths!$A$2:$A$4, 0)),1)</f>
        <v>230.4</v>
      </c>
      <c r="I731" s="6" t="n">
        <f aca="false">ROUND(INDEX(Archetypes!$F$2:$F$127, MATCH(D731, Archetypes!$A$2:$A$127, 0))*INDEX(Unit_Grades!$B$2:$B$7, MATCH(F731, Unit_Grades!$A$2:$A$7, 0))*INDEX(Unit_Paths!$C$2:$C$4, MATCH(E731, Unit_Paths!$A$2:$A$4, 0)),1)</f>
        <v>20.4</v>
      </c>
      <c r="J731" s="6" t="n">
        <f aca="false">ROUND(INDEX(Archetypes!$G$2:$G$127, MATCH(D731, Archetypes!$A$2:$A$127, 0))*INDEX(Unit_Grades!$B$2:$B$7, MATCH(F731, Unit_Grades!$A$2:$A$7, 0))*INDEX(Unit_Paths!$D$2:$D$4, MATCH(E731, Unit_Paths!$A$2:$A$4, 0)),0)</f>
        <v>251</v>
      </c>
      <c r="K731" s="6" t="n">
        <f aca="false">ROUND(INDEX(Archetypes!$H$2:$H$127, MATCH(D731, Archetypes!$A$2:$A$127, 0))*INDEX(Unit_Paths!$E$2:$E$4, MATCH(E731, Unit_Paths!$A$2:$A$4, 0)),1)</f>
        <v>8.4</v>
      </c>
      <c r="L731" s="6" t="n">
        <f aca="false">ROUND(INDEX(Archetypes!$I$2:$I$127, MATCH(D731, Archetypes!$A$2:$A$127, 0))*INDEX(Unit_Grades!$C$2:$C$7, MATCH(F731, Unit_Grades!$A$2:$A$7, 0)),1)</f>
        <v>23.1</v>
      </c>
      <c r="M731" s="6" t="n">
        <f aca="false">ROUND(INDEX(Archetypes!$J$2:$J$127, MATCH(D731, Archetypes!$A$2:$A$127, 0))*INDEX(Unit_Grades!$D$2:$D$7, MATCH(F731, Unit_Grades!$A$2:$A$7, 0)),1)</f>
        <v>17.8</v>
      </c>
      <c r="N731" s="6" t="n">
        <f aca="false">ROUND(M731/24,2)</f>
        <v>0.74</v>
      </c>
    </row>
    <row r="732" customFormat="false" ht="15" hidden="false" customHeight="true" outlineLevel="0" collapsed="false">
      <c r="A732" s="6" t="n">
        <v>3</v>
      </c>
      <c r="B732" s="6" t="s">
        <v>2259</v>
      </c>
      <c r="C732" s="6" t="s">
        <v>1343</v>
      </c>
      <c r="D732" s="6" t="str">
        <f aca="false">A732&amp;"|"&amp;C732</f>
        <v>3|Field Cannon</v>
      </c>
      <c r="E732" s="6" t="s">
        <v>1558</v>
      </c>
      <c r="F732" s="6" t="s">
        <v>1546</v>
      </c>
      <c r="G732" s="6" t="str">
        <f aca="false">INDEX(Archetypes!$D$2:$D$127, MATCH(D732, Archetypes!$A$2:$A$127, 0))</f>
        <v>Siege</v>
      </c>
      <c r="H732" s="6" t="n">
        <f aca="false">ROUND(INDEX(Archetypes!$E$2:$E$127, MATCH(D732, Archetypes!$A$2:$A$127, 0))*INDEX(Unit_Grades!$B$2:$B$7, MATCH(F732, Unit_Grades!$A$2:$A$7, 0))*INDEX(Unit_Paths!$B$2:$B$4, MATCH(E732, Unit_Paths!$A$2:$A$4, 0)),1)</f>
        <v>307.2</v>
      </c>
      <c r="I732" s="6" t="n">
        <f aca="false">ROUND(INDEX(Archetypes!$F$2:$F$127, MATCH(D732, Archetypes!$A$2:$A$127, 0))*INDEX(Unit_Grades!$B$2:$B$7, MATCH(F732, Unit_Grades!$A$2:$A$7, 0))*INDEX(Unit_Paths!$C$2:$C$4, MATCH(E732, Unit_Paths!$A$2:$A$4, 0)),1)</f>
        <v>27.2</v>
      </c>
      <c r="J732" s="6" t="n">
        <f aca="false">ROUND(INDEX(Archetypes!$G$2:$G$127, MATCH(D732, Archetypes!$A$2:$A$127, 0))*INDEX(Unit_Grades!$B$2:$B$7, MATCH(F732, Unit_Grades!$A$2:$A$7, 0))*INDEX(Unit_Paths!$D$2:$D$4, MATCH(E732, Unit_Paths!$A$2:$A$4, 0)),0)</f>
        <v>334</v>
      </c>
      <c r="K732" s="6" t="n">
        <f aca="false">ROUND(INDEX(Archetypes!$H$2:$H$127, MATCH(D732, Archetypes!$A$2:$A$127, 0))*INDEX(Unit_Paths!$E$2:$E$4, MATCH(E732, Unit_Paths!$A$2:$A$4, 0)),1)</f>
        <v>8.4</v>
      </c>
      <c r="L732" s="6" t="n">
        <f aca="false">ROUND(INDEX(Archetypes!$I$2:$I$127, MATCH(D732, Archetypes!$A$2:$A$127, 0))*INDEX(Unit_Grades!$C$2:$C$7, MATCH(F732, Unit_Grades!$A$2:$A$7, 0)),1)</f>
        <v>30.8</v>
      </c>
      <c r="M732" s="6" t="n">
        <f aca="false">ROUND(INDEX(Archetypes!$J$2:$J$127, MATCH(D732, Archetypes!$A$2:$A$127, 0))*INDEX(Unit_Grades!$D$2:$D$7, MATCH(F732, Unit_Grades!$A$2:$A$7, 0)),1)</f>
        <v>31.2</v>
      </c>
      <c r="N732" s="6" t="n">
        <f aca="false">ROUND(M732/24,2)</f>
        <v>1.3</v>
      </c>
    </row>
    <row r="733" customFormat="false" ht="15" hidden="false" customHeight="true" outlineLevel="0" collapsed="false">
      <c r="A733" s="6" t="n">
        <v>3</v>
      </c>
      <c r="B733" s="6" t="s">
        <v>2260</v>
      </c>
      <c r="C733" s="6" t="s">
        <v>1343</v>
      </c>
      <c r="D733" s="6" t="str">
        <f aca="false">A733&amp;"|"&amp;C733</f>
        <v>3|Field Cannon</v>
      </c>
      <c r="E733" s="6" t="s">
        <v>1558</v>
      </c>
      <c r="F733" s="6" t="s">
        <v>1548</v>
      </c>
      <c r="G733" s="6" t="str">
        <f aca="false">INDEX(Archetypes!$D$2:$D$127, MATCH(D733, Archetypes!$A$2:$A$127, 0))</f>
        <v>Siege</v>
      </c>
      <c r="H733" s="6" t="n">
        <f aca="false">ROUND(INDEX(Archetypes!$E$2:$E$127, MATCH(D733, Archetypes!$A$2:$A$127, 0))*INDEX(Unit_Grades!$B$2:$B$7, MATCH(F733, Unit_Grades!$A$2:$A$7, 0))*INDEX(Unit_Paths!$B$2:$B$4, MATCH(E733, Unit_Paths!$A$2:$A$4, 0)),1)</f>
        <v>403.2</v>
      </c>
      <c r="I733" s="6" t="n">
        <f aca="false">ROUND(INDEX(Archetypes!$F$2:$F$127, MATCH(D733, Archetypes!$A$2:$A$127, 0))*INDEX(Unit_Grades!$B$2:$B$7, MATCH(F733, Unit_Grades!$A$2:$A$7, 0))*INDEX(Unit_Paths!$C$2:$C$4, MATCH(E733, Unit_Paths!$A$2:$A$4, 0)),1)</f>
        <v>35.7</v>
      </c>
      <c r="J733" s="6" t="n">
        <f aca="false">ROUND(INDEX(Archetypes!$G$2:$G$127, MATCH(D733, Archetypes!$A$2:$A$127, 0))*INDEX(Unit_Grades!$B$2:$B$7, MATCH(F733, Unit_Grades!$A$2:$A$7, 0))*INDEX(Unit_Paths!$D$2:$D$4, MATCH(E733, Unit_Paths!$A$2:$A$4, 0)),0)</f>
        <v>439</v>
      </c>
      <c r="K733" s="6" t="n">
        <f aca="false">ROUND(INDEX(Archetypes!$H$2:$H$127, MATCH(D733, Archetypes!$A$2:$A$127, 0))*INDEX(Unit_Paths!$E$2:$E$4, MATCH(E733, Unit_Paths!$A$2:$A$4, 0)),1)</f>
        <v>8.4</v>
      </c>
      <c r="L733" s="6" t="n">
        <f aca="false">ROUND(INDEX(Archetypes!$I$2:$I$127, MATCH(D733, Archetypes!$A$2:$A$127, 0))*INDEX(Unit_Grades!$C$2:$C$7, MATCH(F733, Unit_Grades!$A$2:$A$7, 0)),1)</f>
        <v>40.7</v>
      </c>
      <c r="M733" s="6" t="n">
        <f aca="false">ROUND(INDEX(Archetypes!$J$2:$J$127, MATCH(D733, Archetypes!$A$2:$A$127, 0))*INDEX(Unit_Grades!$D$2:$D$7, MATCH(F733, Unit_Grades!$A$2:$A$7, 0)),1)</f>
        <v>53.5</v>
      </c>
      <c r="N733" s="6" t="n">
        <f aca="false">ROUND(M733/24,2)</f>
        <v>2.23</v>
      </c>
    </row>
    <row r="734" customFormat="false" ht="15" hidden="false" customHeight="true" outlineLevel="0" collapsed="false">
      <c r="A734" s="6" t="n">
        <v>3</v>
      </c>
      <c r="B734" s="6" t="s">
        <v>2261</v>
      </c>
      <c r="C734" s="6" t="s">
        <v>1343</v>
      </c>
      <c r="D734" s="6" t="str">
        <f aca="false">A734&amp;"|"&amp;C734</f>
        <v>3|Field Cannon</v>
      </c>
      <c r="E734" s="6" t="s">
        <v>1560</v>
      </c>
      <c r="F734" s="6" t="s">
        <v>1538</v>
      </c>
      <c r="G734" s="6" t="str">
        <f aca="false">INDEX(Archetypes!$D$2:$D$127, MATCH(D734, Archetypes!$A$2:$A$127, 0))</f>
        <v>Siege</v>
      </c>
      <c r="H734" s="6" t="n">
        <f aca="false">ROUND(INDEX(Archetypes!$E$2:$E$127, MATCH(D734, Archetypes!$A$2:$A$127, 0))*INDEX(Unit_Grades!$B$2:$B$7, MATCH(F734, Unit_Grades!$A$2:$A$7, 0))*INDEX(Unit_Paths!$B$2:$B$4, MATCH(E734, Unit_Paths!$A$2:$A$4, 0)),1)</f>
        <v>68</v>
      </c>
      <c r="I734" s="6" t="n">
        <f aca="false">ROUND(INDEX(Archetypes!$F$2:$F$127, MATCH(D734, Archetypes!$A$2:$A$127, 0))*INDEX(Unit_Grades!$B$2:$B$7, MATCH(F734, Unit_Grades!$A$2:$A$7, 0))*INDEX(Unit_Paths!$C$2:$C$4, MATCH(E734, Unit_Paths!$A$2:$A$4, 0)),1)</f>
        <v>12.5</v>
      </c>
      <c r="J734" s="6" t="n">
        <f aca="false">ROUND(INDEX(Archetypes!$G$2:$G$127, MATCH(D734, Archetypes!$A$2:$A$127, 0))*INDEX(Unit_Grades!$B$2:$B$7, MATCH(F734, Unit_Grades!$A$2:$A$7, 0))*INDEX(Unit_Paths!$D$2:$D$4, MATCH(E734, Unit_Paths!$A$2:$A$4, 0)),0)</f>
        <v>126</v>
      </c>
      <c r="K734" s="6" t="n">
        <f aca="false">ROUND(INDEX(Archetypes!$H$2:$H$127, MATCH(D734, Archetypes!$A$2:$A$127, 0))*INDEX(Unit_Paths!$E$2:$E$4, MATCH(E734, Unit_Paths!$A$2:$A$4, 0)),1)</f>
        <v>7.4</v>
      </c>
      <c r="L734" s="6" t="n">
        <f aca="false">ROUND(INDEX(Archetypes!$I$2:$I$127, MATCH(D734, Archetypes!$A$2:$A$127, 0))*INDEX(Unit_Grades!$C$2:$C$7, MATCH(F734, Unit_Grades!$A$2:$A$7, 0)),1)</f>
        <v>11</v>
      </c>
      <c r="M734" s="6" t="n">
        <f aca="false">ROUND(INDEX(Archetypes!$J$2:$J$127, MATCH(D734, Archetypes!$A$2:$A$127, 0))*INDEX(Unit_Grades!$D$2:$D$7, MATCH(F734, Unit_Grades!$A$2:$A$7, 0)),1)</f>
        <v>4.5</v>
      </c>
      <c r="N734" s="6" t="n">
        <f aca="false">ROUND(M734/24,2)</f>
        <v>0.19</v>
      </c>
    </row>
    <row r="735" customFormat="false" ht="15" hidden="false" customHeight="true" outlineLevel="0" collapsed="false">
      <c r="A735" s="6" t="n">
        <v>3</v>
      </c>
      <c r="B735" s="6" t="s">
        <v>2262</v>
      </c>
      <c r="C735" s="6" t="s">
        <v>1343</v>
      </c>
      <c r="D735" s="6" t="str">
        <f aca="false">A735&amp;"|"&amp;C735</f>
        <v>3|Field Cannon</v>
      </c>
      <c r="E735" s="6" t="s">
        <v>1560</v>
      </c>
      <c r="F735" s="6" t="s">
        <v>1540</v>
      </c>
      <c r="G735" s="6" t="str">
        <f aca="false">INDEX(Archetypes!$D$2:$D$127, MATCH(D735, Archetypes!$A$2:$A$127, 0))</f>
        <v>Siege</v>
      </c>
      <c r="H735" s="6" t="n">
        <f aca="false">ROUND(INDEX(Archetypes!$E$2:$E$127, MATCH(D735, Archetypes!$A$2:$A$127, 0))*INDEX(Unit_Grades!$B$2:$B$7, MATCH(F735, Unit_Grades!$A$2:$A$7, 0))*INDEX(Unit_Paths!$B$2:$B$4, MATCH(E735, Unit_Paths!$A$2:$A$4, 0)),1)</f>
        <v>91.8</v>
      </c>
      <c r="I735" s="6" t="n">
        <f aca="false">ROUND(INDEX(Archetypes!$F$2:$F$127, MATCH(D735, Archetypes!$A$2:$A$127, 0))*INDEX(Unit_Grades!$B$2:$B$7, MATCH(F735, Unit_Grades!$A$2:$A$7, 0))*INDEX(Unit_Paths!$C$2:$C$4, MATCH(E735, Unit_Paths!$A$2:$A$4, 0)),1)</f>
        <v>16.9</v>
      </c>
      <c r="J735" s="6" t="n">
        <f aca="false">ROUND(INDEX(Archetypes!$G$2:$G$127, MATCH(D735, Archetypes!$A$2:$A$127, 0))*INDEX(Unit_Grades!$B$2:$B$7, MATCH(F735, Unit_Grades!$A$2:$A$7, 0))*INDEX(Unit_Paths!$D$2:$D$4, MATCH(E735, Unit_Paths!$A$2:$A$4, 0)),0)</f>
        <v>171</v>
      </c>
      <c r="K735" s="6" t="n">
        <f aca="false">ROUND(INDEX(Archetypes!$H$2:$H$127, MATCH(D735, Archetypes!$A$2:$A$127, 0))*INDEX(Unit_Paths!$E$2:$E$4, MATCH(E735, Unit_Paths!$A$2:$A$4, 0)),1)</f>
        <v>7.4</v>
      </c>
      <c r="L735" s="6" t="n">
        <f aca="false">ROUND(INDEX(Archetypes!$I$2:$I$127, MATCH(D735, Archetypes!$A$2:$A$127, 0))*INDEX(Unit_Grades!$C$2:$C$7, MATCH(F735, Unit_Grades!$A$2:$A$7, 0)),1)</f>
        <v>13.8</v>
      </c>
      <c r="M735" s="6" t="n">
        <f aca="false">ROUND(INDEX(Archetypes!$J$2:$J$127, MATCH(D735, Archetypes!$A$2:$A$127, 0))*INDEX(Unit_Grades!$D$2:$D$7, MATCH(F735, Unit_Grades!$A$2:$A$7, 0)),1)</f>
        <v>6.7</v>
      </c>
      <c r="N735" s="6" t="n">
        <f aca="false">ROUND(M735/24,2)</f>
        <v>0.28</v>
      </c>
    </row>
    <row r="736" customFormat="false" ht="15" hidden="false" customHeight="true" outlineLevel="0" collapsed="false">
      <c r="A736" s="6" t="n">
        <v>3</v>
      </c>
      <c r="B736" s="6" t="s">
        <v>2263</v>
      </c>
      <c r="C736" s="6" t="s">
        <v>1343</v>
      </c>
      <c r="D736" s="6" t="str">
        <f aca="false">A736&amp;"|"&amp;C736</f>
        <v>3|Field Cannon</v>
      </c>
      <c r="E736" s="6" t="s">
        <v>1560</v>
      </c>
      <c r="F736" s="6" t="s">
        <v>1542</v>
      </c>
      <c r="G736" s="6" t="str">
        <f aca="false">INDEX(Archetypes!$D$2:$D$127, MATCH(D736, Archetypes!$A$2:$A$127, 0))</f>
        <v>Siege</v>
      </c>
      <c r="H736" s="6" t="n">
        <f aca="false">ROUND(INDEX(Archetypes!$E$2:$E$127, MATCH(D736, Archetypes!$A$2:$A$127, 0))*INDEX(Unit_Grades!$B$2:$B$7, MATCH(F736, Unit_Grades!$A$2:$A$7, 0))*INDEX(Unit_Paths!$B$2:$B$4, MATCH(E736, Unit_Paths!$A$2:$A$4, 0)),1)</f>
        <v>122.4</v>
      </c>
      <c r="I736" s="6" t="n">
        <f aca="false">ROUND(INDEX(Archetypes!$F$2:$F$127, MATCH(D736, Archetypes!$A$2:$A$127, 0))*INDEX(Unit_Grades!$B$2:$B$7, MATCH(F736, Unit_Grades!$A$2:$A$7, 0))*INDEX(Unit_Paths!$C$2:$C$4, MATCH(E736, Unit_Paths!$A$2:$A$4, 0)),1)</f>
        <v>22.5</v>
      </c>
      <c r="J736" s="6" t="n">
        <f aca="false">ROUND(INDEX(Archetypes!$G$2:$G$127, MATCH(D736, Archetypes!$A$2:$A$127, 0))*INDEX(Unit_Grades!$B$2:$B$7, MATCH(F736, Unit_Grades!$A$2:$A$7, 0))*INDEX(Unit_Paths!$D$2:$D$4, MATCH(E736, Unit_Paths!$A$2:$A$4, 0)),0)</f>
        <v>228</v>
      </c>
      <c r="K736" s="6" t="n">
        <f aca="false">ROUND(INDEX(Archetypes!$H$2:$H$127, MATCH(D736, Archetypes!$A$2:$A$127, 0))*INDEX(Unit_Paths!$E$2:$E$4, MATCH(E736, Unit_Paths!$A$2:$A$4, 0)),1)</f>
        <v>7.4</v>
      </c>
      <c r="L736" s="6" t="n">
        <f aca="false">ROUND(INDEX(Archetypes!$I$2:$I$127, MATCH(D736, Archetypes!$A$2:$A$127, 0))*INDEX(Unit_Grades!$C$2:$C$7, MATCH(F736, Unit_Grades!$A$2:$A$7, 0)),1)</f>
        <v>17.6</v>
      </c>
      <c r="M736" s="6" t="n">
        <f aca="false">ROUND(INDEX(Archetypes!$J$2:$J$127, MATCH(D736, Archetypes!$A$2:$A$127, 0))*INDEX(Unit_Grades!$D$2:$D$7, MATCH(F736, Unit_Grades!$A$2:$A$7, 0)),1)</f>
        <v>11.2</v>
      </c>
      <c r="N736" s="6" t="n">
        <f aca="false">ROUND(M736/24,2)</f>
        <v>0.47</v>
      </c>
    </row>
    <row r="737" customFormat="false" ht="15" hidden="false" customHeight="true" outlineLevel="0" collapsed="false">
      <c r="A737" s="6" t="n">
        <v>3</v>
      </c>
      <c r="B737" s="6" t="s">
        <v>2264</v>
      </c>
      <c r="C737" s="6" t="s">
        <v>1343</v>
      </c>
      <c r="D737" s="6" t="str">
        <f aca="false">A737&amp;"|"&amp;C737</f>
        <v>3|Field Cannon</v>
      </c>
      <c r="E737" s="6" t="s">
        <v>1560</v>
      </c>
      <c r="F737" s="6" t="s">
        <v>1544</v>
      </c>
      <c r="G737" s="6" t="str">
        <f aca="false">INDEX(Archetypes!$D$2:$D$127, MATCH(D737, Archetypes!$A$2:$A$127, 0))</f>
        <v>Siege</v>
      </c>
      <c r="H737" s="6" t="n">
        <f aca="false">ROUND(INDEX(Archetypes!$E$2:$E$127, MATCH(D737, Archetypes!$A$2:$A$127, 0))*INDEX(Unit_Grades!$B$2:$B$7, MATCH(F737, Unit_Grades!$A$2:$A$7, 0))*INDEX(Unit_Paths!$B$2:$B$4, MATCH(E737, Unit_Paths!$A$2:$A$4, 0)),1)</f>
        <v>163.2</v>
      </c>
      <c r="I737" s="6" t="n">
        <f aca="false">ROUND(INDEX(Archetypes!$F$2:$F$127, MATCH(D737, Archetypes!$A$2:$A$127, 0))*INDEX(Unit_Grades!$B$2:$B$7, MATCH(F737, Unit_Grades!$A$2:$A$7, 0))*INDEX(Unit_Paths!$C$2:$C$4, MATCH(E737, Unit_Paths!$A$2:$A$4, 0)),1)</f>
        <v>30</v>
      </c>
      <c r="J737" s="6" t="n">
        <f aca="false">ROUND(INDEX(Archetypes!$G$2:$G$127, MATCH(D737, Archetypes!$A$2:$A$127, 0))*INDEX(Unit_Grades!$B$2:$B$7, MATCH(F737, Unit_Grades!$A$2:$A$7, 0))*INDEX(Unit_Paths!$D$2:$D$4, MATCH(E737, Unit_Paths!$A$2:$A$4, 0)),0)</f>
        <v>304</v>
      </c>
      <c r="K737" s="6" t="n">
        <f aca="false">ROUND(INDEX(Archetypes!$H$2:$H$127, MATCH(D737, Archetypes!$A$2:$A$127, 0))*INDEX(Unit_Paths!$E$2:$E$4, MATCH(E737, Unit_Paths!$A$2:$A$4, 0)),1)</f>
        <v>7.4</v>
      </c>
      <c r="L737" s="6" t="n">
        <f aca="false">ROUND(INDEX(Archetypes!$I$2:$I$127, MATCH(D737, Archetypes!$A$2:$A$127, 0))*INDEX(Unit_Grades!$C$2:$C$7, MATCH(F737, Unit_Grades!$A$2:$A$7, 0)),1)</f>
        <v>23.1</v>
      </c>
      <c r="M737" s="6" t="n">
        <f aca="false">ROUND(INDEX(Archetypes!$J$2:$J$127, MATCH(D737, Archetypes!$A$2:$A$127, 0))*INDEX(Unit_Grades!$D$2:$D$7, MATCH(F737, Unit_Grades!$A$2:$A$7, 0)),1)</f>
        <v>17.8</v>
      </c>
      <c r="N737" s="6" t="n">
        <f aca="false">ROUND(M737/24,2)</f>
        <v>0.74</v>
      </c>
    </row>
    <row r="738" customFormat="false" ht="15" hidden="false" customHeight="true" outlineLevel="0" collapsed="false">
      <c r="A738" s="6" t="n">
        <v>3</v>
      </c>
      <c r="B738" s="6" t="s">
        <v>2265</v>
      </c>
      <c r="C738" s="6" t="s">
        <v>1343</v>
      </c>
      <c r="D738" s="6" t="str">
        <f aca="false">A738&amp;"|"&amp;C738</f>
        <v>3|Field Cannon</v>
      </c>
      <c r="E738" s="6" t="s">
        <v>1560</v>
      </c>
      <c r="F738" s="6" t="s">
        <v>1546</v>
      </c>
      <c r="G738" s="6" t="str">
        <f aca="false">INDEX(Archetypes!$D$2:$D$127, MATCH(D738, Archetypes!$A$2:$A$127, 0))</f>
        <v>Siege</v>
      </c>
      <c r="H738" s="6" t="n">
        <f aca="false">ROUND(INDEX(Archetypes!$E$2:$E$127, MATCH(D738, Archetypes!$A$2:$A$127, 0))*INDEX(Unit_Grades!$B$2:$B$7, MATCH(F738, Unit_Grades!$A$2:$A$7, 0))*INDEX(Unit_Paths!$B$2:$B$4, MATCH(E738, Unit_Paths!$A$2:$A$4, 0)),1)</f>
        <v>217.6</v>
      </c>
      <c r="I738" s="6" t="n">
        <f aca="false">ROUND(INDEX(Archetypes!$F$2:$F$127, MATCH(D738, Archetypes!$A$2:$A$127, 0))*INDEX(Unit_Grades!$B$2:$B$7, MATCH(F738, Unit_Grades!$A$2:$A$7, 0))*INDEX(Unit_Paths!$C$2:$C$4, MATCH(E738, Unit_Paths!$A$2:$A$4, 0)),1)</f>
        <v>40</v>
      </c>
      <c r="J738" s="6" t="n">
        <f aca="false">ROUND(INDEX(Archetypes!$G$2:$G$127, MATCH(D738, Archetypes!$A$2:$A$127, 0))*INDEX(Unit_Grades!$B$2:$B$7, MATCH(F738, Unit_Grades!$A$2:$A$7, 0))*INDEX(Unit_Paths!$D$2:$D$4, MATCH(E738, Unit_Paths!$A$2:$A$4, 0)),0)</f>
        <v>405</v>
      </c>
      <c r="K738" s="6" t="n">
        <f aca="false">ROUND(INDEX(Archetypes!$H$2:$H$127, MATCH(D738, Archetypes!$A$2:$A$127, 0))*INDEX(Unit_Paths!$E$2:$E$4, MATCH(E738, Unit_Paths!$A$2:$A$4, 0)),1)</f>
        <v>7.4</v>
      </c>
      <c r="L738" s="6" t="n">
        <f aca="false">ROUND(INDEX(Archetypes!$I$2:$I$127, MATCH(D738, Archetypes!$A$2:$A$127, 0))*INDEX(Unit_Grades!$C$2:$C$7, MATCH(F738, Unit_Grades!$A$2:$A$7, 0)),1)</f>
        <v>30.8</v>
      </c>
      <c r="M738" s="6" t="n">
        <f aca="false">ROUND(INDEX(Archetypes!$J$2:$J$127, MATCH(D738, Archetypes!$A$2:$A$127, 0))*INDEX(Unit_Grades!$D$2:$D$7, MATCH(F738, Unit_Grades!$A$2:$A$7, 0)),1)</f>
        <v>31.2</v>
      </c>
      <c r="N738" s="6" t="n">
        <f aca="false">ROUND(M738/24,2)</f>
        <v>1.3</v>
      </c>
    </row>
    <row r="739" customFormat="false" ht="15" hidden="false" customHeight="true" outlineLevel="0" collapsed="false">
      <c r="A739" s="6" t="n">
        <v>3</v>
      </c>
      <c r="B739" s="6" t="s">
        <v>2266</v>
      </c>
      <c r="C739" s="6" t="s">
        <v>1343</v>
      </c>
      <c r="D739" s="6" t="str">
        <f aca="false">A739&amp;"|"&amp;C739</f>
        <v>3|Field Cannon</v>
      </c>
      <c r="E739" s="6" t="s">
        <v>1560</v>
      </c>
      <c r="F739" s="6" t="s">
        <v>1548</v>
      </c>
      <c r="G739" s="6" t="str">
        <f aca="false">INDEX(Archetypes!$D$2:$D$127, MATCH(D739, Archetypes!$A$2:$A$127, 0))</f>
        <v>Siege</v>
      </c>
      <c r="H739" s="6" t="n">
        <f aca="false">ROUND(INDEX(Archetypes!$E$2:$E$127, MATCH(D739, Archetypes!$A$2:$A$127, 0))*INDEX(Unit_Grades!$B$2:$B$7, MATCH(F739, Unit_Grades!$A$2:$A$7, 0))*INDEX(Unit_Paths!$B$2:$B$4, MATCH(E739, Unit_Paths!$A$2:$A$4, 0)),1)</f>
        <v>285.6</v>
      </c>
      <c r="I739" s="6" t="n">
        <f aca="false">ROUND(INDEX(Archetypes!$F$2:$F$127, MATCH(D739, Archetypes!$A$2:$A$127, 0))*INDEX(Unit_Grades!$B$2:$B$7, MATCH(F739, Unit_Grades!$A$2:$A$7, 0))*INDEX(Unit_Paths!$C$2:$C$4, MATCH(E739, Unit_Paths!$A$2:$A$4, 0)),1)</f>
        <v>52.5</v>
      </c>
      <c r="J739" s="6" t="n">
        <f aca="false">ROUND(INDEX(Archetypes!$G$2:$G$127, MATCH(D739, Archetypes!$A$2:$A$127, 0))*INDEX(Unit_Grades!$B$2:$B$7, MATCH(F739, Unit_Grades!$A$2:$A$7, 0))*INDEX(Unit_Paths!$D$2:$D$4, MATCH(E739, Unit_Paths!$A$2:$A$4, 0)),0)</f>
        <v>531</v>
      </c>
      <c r="K739" s="6" t="n">
        <f aca="false">ROUND(INDEX(Archetypes!$H$2:$H$127, MATCH(D739, Archetypes!$A$2:$A$127, 0))*INDEX(Unit_Paths!$E$2:$E$4, MATCH(E739, Unit_Paths!$A$2:$A$4, 0)),1)</f>
        <v>7.4</v>
      </c>
      <c r="L739" s="6" t="n">
        <f aca="false">ROUND(INDEX(Archetypes!$I$2:$I$127, MATCH(D739, Archetypes!$A$2:$A$127, 0))*INDEX(Unit_Grades!$C$2:$C$7, MATCH(F739, Unit_Grades!$A$2:$A$7, 0)),1)</f>
        <v>40.7</v>
      </c>
      <c r="M739" s="6" t="n">
        <f aca="false">ROUND(INDEX(Archetypes!$J$2:$J$127, MATCH(D739, Archetypes!$A$2:$A$127, 0))*INDEX(Unit_Grades!$D$2:$D$7, MATCH(F739, Unit_Grades!$A$2:$A$7, 0)),1)</f>
        <v>53.5</v>
      </c>
      <c r="N739" s="6" t="n">
        <f aca="false">ROUND(M739/24,2)</f>
        <v>2.23</v>
      </c>
    </row>
    <row r="740" customFormat="false" ht="15" hidden="false" customHeight="true" outlineLevel="0" collapsed="false">
      <c r="A740" s="6" t="n">
        <v>3</v>
      </c>
      <c r="B740" s="6" t="s">
        <v>1345</v>
      </c>
      <c r="C740" s="6" t="s">
        <v>1345</v>
      </c>
      <c r="D740" s="6" t="str">
        <f aca="false">A740&amp;"|"&amp;C740</f>
        <v>3|Siege Mortar</v>
      </c>
      <c r="E740" s="6" t="s">
        <v>1556</v>
      </c>
      <c r="F740" s="6" t="s">
        <v>1538</v>
      </c>
      <c r="G740" s="6" t="str">
        <f aca="false">INDEX(Archetypes!$D$2:$D$127, MATCH(D740, Archetypes!$A$2:$A$127, 0))</f>
        <v>Siege</v>
      </c>
      <c r="H740" s="6" t="n">
        <f aca="false">ROUND(INDEX(Archetypes!$E$2:$E$127, MATCH(D740, Archetypes!$A$2:$A$127, 0))*INDEX(Unit_Grades!$B$2:$B$7, MATCH(F740, Unit_Grades!$A$2:$A$7, 0))*INDEX(Unit_Paths!$B$2:$B$4, MATCH(E740, Unit_Paths!$A$2:$A$4, 0)),1)</f>
        <v>95</v>
      </c>
      <c r="I740" s="6" t="n">
        <f aca="false">ROUND(INDEX(Archetypes!$F$2:$F$127, MATCH(D740, Archetypes!$A$2:$A$127, 0))*INDEX(Unit_Grades!$B$2:$B$7, MATCH(F740, Unit_Grades!$A$2:$A$7, 0))*INDEX(Unit_Paths!$C$2:$C$4, MATCH(E740, Unit_Paths!$A$2:$A$4, 0)),1)</f>
        <v>8</v>
      </c>
      <c r="J740" s="6" t="n">
        <f aca="false">ROUND(INDEX(Archetypes!$G$2:$G$127, MATCH(D740, Archetypes!$A$2:$A$127, 0))*INDEX(Unit_Grades!$B$2:$B$7, MATCH(F740, Unit_Grades!$A$2:$A$7, 0))*INDEX(Unit_Paths!$D$2:$D$4, MATCH(E740, Unit_Paths!$A$2:$A$4, 0)),0)</f>
        <v>115</v>
      </c>
      <c r="K740" s="6" t="n">
        <f aca="false">ROUND(INDEX(Archetypes!$H$2:$H$127, MATCH(D740, Archetypes!$A$2:$A$127, 0))*INDEX(Unit_Paths!$E$2:$E$4, MATCH(E740, Unit_Paths!$A$2:$A$4, 0)),1)</f>
        <v>6</v>
      </c>
      <c r="L740" s="6" t="n">
        <f aca="false">ROUND(INDEX(Archetypes!$I$2:$I$127, MATCH(D740, Archetypes!$A$2:$A$127, 0))*INDEX(Unit_Grades!$C$2:$C$7, MATCH(F740, Unit_Grades!$A$2:$A$7, 0)),1)</f>
        <v>13</v>
      </c>
      <c r="M740" s="6" t="n">
        <f aca="false">ROUND(INDEX(Archetypes!$J$2:$J$127, MATCH(D740, Archetypes!$A$2:$A$127, 0))*INDEX(Unit_Grades!$D$2:$D$7, MATCH(F740, Unit_Grades!$A$2:$A$7, 0)),1)</f>
        <v>5.3</v>
      </c>
      <c r="N740" s="6" t="n">
        <f aca="false">ROUND(M740/24,2)</f>
        <v>0.22</v>
      </c>
    </row>
    <row r="741" customFormat="false" ht="15" hidden="false" customHeight="true" outlineLevel="0" collapsed="false">
      <c r="A741" s="6" t="n">
        <v>3</v>
      </c>
      <c r="B741" s="6" t="s">
        <v>2267</v>
      </c>
      <c r="C741" s="6" t="s">
        <v>1345</v>
      </c>
      <c r="D741" s="6" t="str">
        <f aca="false">A741&amp;"|"&amp;C741</f>
        <v>3|Siege Mortar</v>
      </c>
      <c r="E741" s="6" t="s">
        <v>1556</v>
      </c>
      <c r="F741" s="6" t="s">
        <v>1540</v>
      </c>
      <c r="G741" s="6" t="str">
        <f aca="false">INDEX(Archetypes!$D$2:$D$127, MATCH(D741, Archetypes!$A$2:$A$127, 0))</f>
        <v>Siege</v>
      </c>
      <c r="H741" s="6" t="n">
        <f aca="false">ROUND(INDEX(Archetypes!$E$2:$E$127, MATCH(D741, Archetypes!$A$2:$A$127, 0))*INDEX(Unit_Grades!$B$2:$B$7, MATCH(F741, Unit_Grades!$A$2:$A$7, 0))*INDEX(Unit_Paths!$B$2:$B$4, MATCH(E741, Unit_Paths!$A$2:$A$4, 0)),1)</f>
        <v>128.3</v>
      </c>
      <c r="I741" s="6" t="n">
        <f aca="false">ROUND(INDEX(Archetypes!$F$2:$F$127, MATCH(D741, Archetypes!$A$2:$A$127, 0))*INDEX(Unit_Grades!$B$2:$B$7, MATCH(F741, Unit_Grades!$A$2:$A$7, 0))*INDEX(Unit_Paths!$C$2:$C$4, MATCH(E741, Unit_Paths!$A$2:$A$4, 0)),1)</f>
        <v>10.8</v>
      </c>
      <c r="J741" s="6" t="n">
        <f aca="false">ROUND(INDEX(Archetypes!$G$2:$G$127, MATCH(D741, Archetypes!$A$2:$A$127, 0))*INDEX(Unit_Grades!$B$2:$B$7, MATCH(F741, Unit_Grades!$A$2:$A$7, 0))*INDEX(Unit_Paths!$D$2:$D$4, MATCH(E741, Unit_Paths!$A$2:$A$4, 0)),0)</f>
        <v>155</v>
      </c>
      <c r="K741" s="6" t="n">
        <f aca="false">ROUND(INDEX(Archetypes!$H$2:$H$127, MATCH(D741, Archetypes!$A$2:$A$127, 0))*INDEX(Unit_Paths!$E$2:$E$4, MATCH(E741, Unit_Paths!$A$2:$A$4, 0)),1)</f>
        <v>6</v>
      </c>
      <c r="L741" s="6" t="n">
        <f aca="false">ROUND(INDEX(Archetypes!$I$2:$I$127, MATCH(D741, Archetypes!$A$2:$A$127, 0))*INDEX(Unit_Grades!$C$2:$C$7, MATCH(F741, Unit_Grades!$A$2:$A$7, 0)),1)</f>
        <v>16.3</v>
      </c>
      <c r="M741" s="6" t="n">
        <f aca="false">ROUND(INDEX(Archetypes!$J$2:$J$127, MATCH(D741, Archetypes!$A$2:$A$127, 0))*INDEX(Unit_Grades!$D$2:$D$7, MATCH(F741, Unit_Grades!$A$2:$A$7, 0)),1)</f>
        <v>7.9</v>
      </c>
      <c r="N741" s="6" t="n">
        <f aca="false">ROUND(M741/24,2)</f>
        <v>0.33</v>
      </c>
    </row>
    <row r="742" customFormat="false" ht="15" hidden="false" customHeight="true" outlineLevel="0" collapsed="false">
      <c r="A742" s="6" t="n">
        <v>3</v>
      </c>
      <c r="B742" s="6" t="s">
        <v>2268</v>
      </c>
      <c r="C742" s="6" t="s">
        <v>1345</v>
      </c>
      <c r="D742" s="6" t="str">
        <f aca="false">A742&amp;"|"&amp;C742</f>
        <v>3|Siege Mortar</v>
      </c>
      <c r="E742" s="6" t="s">
        <v>1556</v>
      </c>
      <c r="F742" s="6" t="s">
        <v>1542</v>
      </c>
      <c r="G742" s="6" t="str">
        <f aca="false">INDEX(Archetypes!$D$2:$D$127, MATCH(D742, Archetypes!$A$2:$A$127, 0))</f>
        <v>Siege</v>
      </c>
      <c r="H742" s="6" t="n">
        <f aca="false">ROUND(INDEX(Archetypes!$E$2:$E$127, MATCH(D742, Archetypes!$A$2:$A$127, 0))*INDEX(Unit_Grades!$B$2:$B$7, MATCH(F742, Unit_Grades!$A$2:$A$7, 0))*INDEX(Unit_Paths!$B$2:$B$4, MATCH(E742, Unit_Paths!$A$2:$A$4, 0)),1)</f>
        <v>171</v>
      </c>
      <c r="I742" s="6" t="n">
        <f aca="false">ROUND(INDEX(Archetypes!$F$2:$F$127, MATCH(D742, Archetypes!$A$2:$A$127, 0))*INDEX(Unit_Grades!$B$2:$B$7, MATCH(F742, Unit_Grades!$A$2:$A$7, 0))*INDEX(Unit_Paths!$C$2:$C$4, MATCH(E742, Unit_Paths!$A$2:$A$4, 0)),1)</f>
        <v>14.4</v>
      </c>
      <c r="J742" s="6" t="n">
        <f aca="false">ROUND(INDEX(Archetypes!$G$2:$G$127, MATCH(D742, Archetypes!$A$2:$A$127, 0))*INDEX(Unit_Grades!$B$2:$B$7, MATCH(F742, Unit_Grades!$A$2:$A$7, 0))*INDEX(Unit_Paths!$D$2:$D$4, MATCH(E742, Unit_Paths!$A$2:$A$4, 0)),0)</f>
        <v>207</v>
      </c>
      <c r="K742" s="6" t="n">
        <f aca="false">ROUND(INDEX(Archetypes!$H$2:$H$127, MATCH(D742, Archetypes!$A$2:$A$127, 0))*INDEX(Unit_Paths!$E$2:$E$4, MATCH(E742, Unit_Paths!$A$2:$A$4, 0)),1)</f>
        <v>6</v>
      </c>
      <c r="L742" s="6" t="n">
        <f aca="false">ROUND(INDEX(Archetypes!$I$2:$I$127, MATCH(D742, Archetypes!$A$2:$A$127, 0))*INDEX(Unit_Grades!$C$2:$C$7, MATCH(F742, Unit_Grades!$A$2:$A$7, 0)),1)</f>
        <v>20.8</v>
      </c>
      <c r="M742" s="6" t="n">
        <f aca="false">ROUND(INDEX(Archetypes!$J$2:$J$127, MATCH(D742, Archetypes!$A$2:$A$127, 0))*INDEX(Unit_Grades!$D$2:$D$7, MATCH(F742, Unit_Grades!$A$2:$A$7, 0)),1)</f>
        <v>13.2</v>
      </c>
      <c r="N742" s="6" t="n">
        <f aca="false">ROUND(M742/24,2)</f>
        <v>0.55</v>
      </c>
    </row>
    <row r="743" customFormat="false" ht="15" hidden="false" customHeight="true" outlineLevel="0" collapsed="false">
      <c r="A743" s="6" t="n">
        <v>3</v>
      </c>
      <c r="B743" s="6" t="s">
        <v>2269</v>
      </c>
      <c r="C743" s="6" t="s">
        <v>1345</v>
      </c>
      <c r="D743" s="6" t="str">
        <f aca="false">A743&amp;"|"&amp;C743</f>
        <v>3|Siege Mortar</v>
      </c>
      <c r="E743" s="6" t="s">
        <v>1556</v>
      </c>
      <c r="F743" s="6" t="s">
        <v>1544</v>
      </c>
      <c r="G743" s="6" t="str">
        <f aca="false">INDEX(Archetypes!$D$2:$D$127, MATCH(D743, Archetypes!$A$2:$A$127, 0))</f>
        <v>Siege</v>
      </c>
      <c r="H743" s="6" t="n">
        <f aca="false">ROUND(INDEX(Archetypes!$E$2:$E$127, MATCH(D743, Archetypes!$A$2:$A$127, 0))*INDEX(Unit_Grades!$B$2:$B$7, MATCH(F743, Unit_Grades!$A$2:$A$7, 0))*INDEX(Unit_Paths!$B$2:$B$4, MATCH(E743, Unit_Paths!$A$2:$A$4, 0)),1)</f>
        <v>228</v>
      </c>
      <c r="I743" s="6" t="n">
        <f aca="false">ROUND(INDEX(Archetypes!$F$2:$F$127, MATCH(D743, Archetypes!$A$2:$A$127, 0))*INDEX(Unit_Grades!$B$2:$B$7, MATCH(F743, Unit_Grades!$A$2:$A$7, 0))*INDEX(Unit_Paths!$C$2:$C$4, MATCH(E743, Unit_Paths!$A$2:$A$4, 0)),1)</f>
        <v>19.2</v>
      </c>
      <c r="J743" s="6" t="n">
        <f aca="false">ROUND(INDEX(Archetypes!$G$2:$G$127, MATCH(D743, Archetypes!$A$2:$A$127, 0))*INDEX(Unit_Grades!$B$2:$B$7, MATCH(F743, Unit_Grades!$A$2:$A$7, 0))*INDEX(Unit_Paths!$D$2:$D$4, MATCH(E743, Unit_Paths!$A$2:$A$4, 0)),0)</f>
        <v>276</v>
      </c>
      <c r="K743" s="6" t="n">
        <f aca="false">ROUND(INDEX(Archetypes!$H$2:$H$127, MATCH(D743, Archetypes!$A$2:$A$127, 0))*INDEX(Unit_Paths!$E$2:$E$4, MATCH(E743, Unit_Paths!$A$2:$A$4, 0)),1)</f>
        <v>6</v>
      </c>
      <c r="L743" s="6" t="n">
        <f aca="false">ROUND(INDEX(Archetypes!$I$2:$I$127, MATCH(D743, Archetypes!$A$2:$A$127, 0))*INDEX(Unit_Grades!$C$2:$C$7, MATCH(F743, Unit_Grades!$A$2:$A$7, 0)),1)</f>
        <v>27.3</v>
      </c>
      <c r="M743" s="6" t="n">
        <f aca="false">ROUND(INDEX(Archetypes!$J$2:$J$127, MATCH(D743, Archetypes!$A$2:$A$127, 0))*INDEX(Unit_Grades!$D$2:$D$7, MATCH(F743, Unit_Grades!$A$2:$A$7, 0)),1)</f>
        <v>21.1</v>
      </c>
      <c r="N743" s="6" t="n">
        <f aca="false">ROUND(M743/24,2)</f>
        <v>0.88</v>
      </c>
    </row>
    <row r="744" customFormat="false" ht="15" hidden="false" customHeight="true" outlineLevel="0" collapsed="false">
      <c r="A744" s="6" t="n">
        <v>3</v>
      </c>
      <c r="B744" s="6" t="s">
        <v>2270</v>
      </c>
      <c r="C744" s="6" t="s">
        <v>1345</v>
      </c>
      <c r="D744" s="6" t="str">
        <f aca="false">A744&amp;"|"&amp;C744</f>
        <v>3|Siege Mortar</v>
      </c>
      <c r="E744" s="6" t="s">
        <v>1556</v>
      </c>
      <c r="F744" s="6" t="s">
        <v>1546</v>
      </c>
      <c r="G744" s="6" t="str">
        <f aca="false">INDEX(Archetypes!$D$2:$D$127, MATCH(D744, Archetypes!$A$2:$A$127, 0))</f>
        <v>Siege</v>
      </c>
      <c r="H744" s="6" t="n">
        <f aca="false">ROUND(INDEX(Archetypes!$E$2:$E$127, MATCH(D744, Archetypes!$A$2:$A$127, 0))*INDEX(Unit_Grades!$B$2:$B$7, MATCH(F744, Unit_Grades!$A$2:$A$7, 0))*INDEX(Unit_Paths!$B$2:$B$4, MATCH(E744, Unit_Paths!$A$2:$A$4, 0)),1)</f>
        <v>304</v>
      </c>
      <c r="I744" s="6" t="n">
        <f aca="false">ROUND(INDEX(Archetypes!$F$2:$F$127, MATCH(D744, Archetypes!$A$2:$A$127, 0))*INDEX(Unit_Grades!$B$2:$B$7, MATCH(F744, Unit_Grades!$A$2:$A$7, 0))*INDEX(Unit_Paths!$C$2:$C$4, MATCH(E744, Unit_Paths!$A$2:$A$4, 0)),1)</f>
        <v>25.6</v>
      </c>
      <c r="J744" s="6" t="n">
        <f aca="false">ROUND(INDEX(Archetypes!$G$2:$G$127, MATCH(D744, Archetypes!$A$2:$A$127, 0))*INDEX(Unit_Grades!$B$2:$B$7, MATCH(F744, Unit_Grades!$A$2:$A$7, 0))*INDEX(Unit_Paths!$D$2:$D$4, MATCH(E744, Unit_Paths!$A$2:$A$4, 0)),0)</f>
        <v>368</v>
      </c>
      <c r="K744" s="6" t="n">
        <f aca="false">ROUND(INDEX(Archetypes!$H$2:$H$127, MATCH(D744, Archetypes!$A$2:$A$127, 0))*INDEX(Unit_Paths!$E$2:$E$4, MATCH(E744, Unit_Paths!$A$2:$A$4, 0)),1)</f>
        <v>6</v>
      </c>
      <c r="L744" s="6" t="n">
        <f aca="false">ROUND(INDEX(Archetypes!$I$2:$I$127, MATCH(D744, Archetypes!$A$2:$A$127, 0))*INDEX(Unit_Grades!$C$2:$C$7, MATCH(F744, Unit_Grades!$A$2:$A$7, 0)),1)</f>
        <v>36.4</v>
      </c>
      <c r="M744" s="6" t="n">
        <f aca="false">ROUND(INDEX(Archetypes!$J$2:$J$127, MATCH(D744, Archetypes!$A$2:$A$127, 0))*INDEX(Unit_Grades!$D$2:$D$7, MATCH(F744, Unit_Grades!$A$2:$A$7, 0)),1)</f>
        <v>37</v>
      </c>
      <c r="N744" s="6" t="n">
        <f aca="false">ROUND(M744/24,2)</f>
        <v>1.54</v>
      </c>
    </row>
    <row r="745" customFormat="false" ht="15" hidden="false" customHeight="true" outlineLevel="0" collapsed="false">
      <c r="A745" s="6" t="n">
        <v>3</v>
      </c>
      <c r="B745" s="6" t="s">
        <v>2271</v>
      </c>
      <c r="C745" s="6" t="s">
        <v>1345</v>
      </c>
      <c r="D745" s="6" t="str">
        <f aca="false">A745&amp;"|"&amp;C745</f>
        <v>3|Siege Mortar</v>
      </c>
      <c r="E745" s="6" t="s">
        <v>1556</v>
      </c>
      <c r="F745" s="6" t="s">
        <v>1548</v>
      </c>
      <c r="G745" s="6" t="str">
        <f aca="false">INDEX(Archetypes!$D$2:$D$127, MATCH(D745, Archetypes!$A$2:$A$127, 0))</f>
        <v>Siege</v>
      </c>
      <c r="H745" s="6" t="n">
        <f aca="false">ROUND(INDEX(Archetypes!$E$2:$E$127, MATCH(D745, Archetypes!$A$2:$A$127, 0))*INDEX(Unit_Grades!$B$2:$B$7, MATCH(F745, Unit_Grades!$A$2:$A$7, 0))*INDEX(Unit_Paths!$B$2:$B$4, MATCH(E745, Unit_Paths!$A$2:$A$4, 0)),1)</f>
        <v>399</v>
      </c>
      <c r="I745" s="6" t="n">
        <f aca="false">ROUND(INDEX(Archetypes!$F$2:$F$127, MATCH(D745, Archetypes!$A$2:$A$127, 0))*INDEX(Unit_Grades!$B$2:$B$7, MATCH(F745, Unit_Grades!$A$2:$A$7, 0))*INDEX(Unit_Paths!$C$2:$C$4, MATCH(E745, Unit_Paths!$A$2:$A$4, 0)),1)</f>
        <v>33.6</v>
      </c>
      <c r="J745" s="6" t="n">
        <f aca="false">ROUND(INDEX(Archetypes!$G$2:$G$127, MATCH(D745, Archetypes!$A$2:$A$127, 0))*INDEX(Unit_Grades!$B$2:$B$7, MATCH(F745, Unit_Grades!$A$2:$A$7, 0))*INDEX(Unit_Paths!$D$2:$D$4, MATCH(E745, Unit_Paths!$A$2:$A$4, 0)),0)</f>
        <v>483</v>
      </c>
      <c r="K745" s="6" t="n">
        <f aca="false">ROUND(INDEX(Archetypes!$H$2:$H$127, MATCH(D745, Archetypes!$A$2:$A$127, 0))*INDEX(Unit_Paths!$E$2:$E$4, MATCH(E745, Unit_Paths!$A$2:$A$4, 0)),1)</f>
        <v>6</v>
      </c>
      <c r="L745" s="6" t="n">
        <f aca="false">ROUND(INDEX(Archetypes!$I$2:$I$127, MATCH(D745, Archetypes!$A$2:$A$127, 0))*INDEX(Unit_Grades!$C$2:$C$7, MATCH(F745, Unit_Grades!$A$2:$A$7, 0)),1)</f>
        <v>48.1</v>
      </c>
      <c r="M745" s="6" t="n">
        <f aca="false">ROUND(INDEX(Archetypes!$J$2:$J$127, MATCH(D745, Archetypes!$A$2:$A$127, 0))*INDEX(Unit_Grades!$D$2:$D$7, MATCH(F745, Unit_Grades!$A$2:$A$7, 0)),1)</f>
        <v>63.4</v>
      </c>
      <c r="N745" s="6" t="n">
        <f aca="false">ROUND(M745/24,2)</f>
        <v>2.64</v>
      </c>
    </row>
    <row r="746" customFormat="false" ht="15" hidden="false" customHeight="true" outlineLevel="0" collapsed="false">
      <c r="A746" s="6" t="n">
        <v>3</v>
      </c>
      <c r="B746" s="6" t="s">
        <v>2272</v>
      </c>
      <c r="C746" s="6" t="s">
        <v>1345</v>
      </c>
      <c r="D746" s="6" t="str">
        <f aca="false">A746&amp;"|"&amp;C746</f>
        <v>3|Siege Mortar</v>
      </c>
      <c r="E746" s="6" t="s">
        <v>1558</v>
      </c>
      <c r="F746" s="6" t="s">
        <v>1538</v>
      </c>
      <c r="G746" s="6" t="str">
        <f aca="false">INDEX(Archetypes!$D$2:$D$127, MATCH(D746, Archetypes!$A$2:$A$127, 0))</f>
        <v>Siege</v>
      </c>
      <c r="H746" s="6" t="n">
        <f aca="false">ROUND(INDEX(Archetypes!$E$2:$E$127, MATCH(D746, Archetypes!$A$2:$A$127, 0))*INDEX(Unit_Grades!$B$2:$B$7, MATCH(F746, Unit_Grades!$A$2:$A$7, 0))*INDEX(Unit_Paths!$B$2:$B$4, MATCH(E746, Unit_Paths!$A$2:$A$4, 0)),1)</f>
        <v>114</v>
      </c>
      <c r="I746" s="6" t="n">
        <f aca="false">ROUND(INDEX(Archetypes!$F$2:$F$127, MATCH(D746, Archetypes!$A$2:$A$127, 0))*INDEX(Unit_Grades!$B$2:$B$7, MATCH(F746, Unit_Grades!$A$2:$A$7, 0))*INDEX(Unit_Paths!$C$2:$C$4, MATCH(E746, Unit_Paths!$A$2:$A$4, 0)),1)</f>
        <v>6.8</v>
      </c>
      <c r="J746" s="6" t="n">
        <f aca="false">ROUND(INDEX(Archetypes!$G$2:$G$127, MATCH(D746, Archetypes!$A$2:$A$127, 0))*INDEX(Unit_Grades!$B$2:$B$7, MATCH(F746, Unit_Grades!$A$2:$A$7, 0))*INDEX(Unit_Paths!$D$2:$D$4, MATCH(E746, Unit_Paths!$A$2:$A$4, 0)),0)</f>
        <v>109</v>
      </c>
      <c r="K746" s="6" t="n">
        <f aca="false">ROUND(INDEX(Archetypes!$H$2:$H$127, MATCH(D746, Archetypes!$A$2:$A$127, 0))*INDEX(Unit_Paths!$E$2:$E$4, MATCH(E746, Unit_Paths!$A$2:$A$4, 0)),1)</f>
        <v>6.3</v>
      </c>
      <c r="L746" s="6" t="n">
        <f aca="false">ROUND(INDEX(Archetypes!$I$2:$I$127, MATCH(D746, Archetypes!$A$2:$A$127, 0))*INDEX(Unit_Grades!$C$2:$C$7, MATCH(F746, Unit_Grades!$A$2:$A$7, 0)),1)</f>
        <v>13</v>
      </c>
      <c r="M746" s="6" t="n">
        <f aca="false">ROUND(INDEX(Archetypes!$J$2:$J$127, MATCH(D746, Archetypes!$A$2:$A$127, 0))*INDEX(Unit_Grades!$D$2:$D$7, MATCH(F746, Unit_Grades!$A$2:$A$7, 0)),1)</f>
        <v>5.3</v>
      </c>
      <c r="N746" s="6" t="n">
        <f aca="false">ROUND(M746/24,2)</f>
        <v>0.22</v>
      </c>
    </row>
    <row r="747" customFormat="false" ht="15" hidden="false" customHeight="true" outlineLevel="0" collapsed="false">
      <c r="A747" s="6" t="n">
        <v>3</v>
      </c>
      <c r="B747" s="6" t="s">
        <v>2273</v>
      </c>
      <c r="C747" s="6" t="s">
        <v>1345</v>
      </c>
      <c r="D747" s="6" t="str">
        <f aca="false">A747&amp;"|"&amp;C747</f>
        <v>3|Siege Mortar</v>
      </c>
      <c r="E747" s="6" t="s">
        <v>1558</v>
      </c>
      <c r="F747" s="6" t="s">
        <v>1540</v>
      </c>
      <c r="G747" s="6" t="str">
        <f aca="false">INDEX(Archetypes!$D$2:$D$127, MATCH(D747, Archetypes!$A$2:$A$127, 0))</f>
        <v>Siege</v>
      </c>
      <c r="H747" s="6" t="n">
        <f aca="false">ROUND(INDEX(Archetypes!$E$2:$E$127, MATCH(D747, Archetypes!$A$2:$A$127, 0))*INDEX(Unit_Grades!$B$2:$B$7, MATCH(F747, Unit_Grades!$A$2:$A$7, 0))*INDEX(Unit_Paths!$B$2:$B$4, MATCH(E747, Unit_Paths!$A$2:$A$4, 0)),1)</f>
        <v>153.9</v>
      </c>
      <c r="I747" s="6" t="n">
        <f aca="false">ROUND(INDEX(Archetypes!$F$2:$F$127, MATCH(D747, Archetypes!$A$2:$A$127, 0))*INDEX(Unit_Grades!$B$2:$B$7, MATCH(F747, Unit_Grades!$A$2:$A$7, 0))*INDEX(Unit_Paths!$C$2:$C$4, MATCH(E747, Unit_Paths!$A$2:$A$4, 0)),1)</f>
        <v>9.2</v>
      </c>
      <c r="J747" s="6" t="n">
        <f aca="false">ROUND(INDEX(Archetypes!$G$2:$G$127, MATCH(D747, Archetypes!$A$2:$A$127, 0))*INDEX(Unit_Grades!$B$2:$B$7, MATCH(F747, Unit_Grades!$A$2:$A$7, 0))*INDEX(Unit_Paths!$D$2:$D$4, MATCH(E747, Unit_Paths!$A$2:$A$4, 0)),0)</f>
        <v>147</v>
      </c>
      <c r="K747" s="6" t="n">
        <f aca="false">ROUND(INDEX(Archetypes!$H$2:$H$127, MATCH(D747, Archetypes!$A$2:$A$127, 0))*INDEX(Unit_Paths!$E$2:$E$4, MATCH(E747, Unit_Paths!$A$2:$A$4, 0)),1)</f>
        <v>6.3</v>
      </c>
      <c r="L747" s="6" t="n">
        <f aca="false">ROUND(INDEX(Archetypes!$I$2:$I$127, MATCH(D747, Archetypes!$A$2:$A$127, 0))*INDEX(Unit_Grades!$C$2:$C$7, MATCH(F747, Unit_Grades!$A$2:$A$7, 0)),1)</f>
        <v>16.3</v>
      </c>
      <c r="M747" s="6" t="n">
        <f aca="false">ROUND(INDEX(Archetypes!$J$2:$J$127, MATCH(D747, Archetypes!$A$2:$A$127, 0))*INDEX(Unit_Grades!$D$2:$D$7, MATCH(F747, Unit_Grades!$A$2:$A$7, 0)),1)</f>
        <v>7.9</v>
      </c>
      <c r="N747" s="6" t="n">
        <f aca="false">ROUND(M747/24,2)</f>
        <v>0.33</v>
      </c>
    </row>
    <row r="748" customFormat="false" ht="15" hidden="false" customHeight="true" outlineLevel="0" collapsed="false">
      <c r="A748" s="6" t="n">
        <v>3</v>
      </c>
      <c r="B748" s="6" t="s">
        <v>2274</v>
      </c>
      <c r="C748" s="6" t="s">
        <v>1345</v>
      </c>
      <c r="D748" s="6" t="str">
        <f aca="false">A748&amp;"|"&amp;C748</f>
        <v>3|Siege Mortar</v>
      </c>
      <c r="E748" s="6" t="s">
        <v>1558</v>
      </c>
      <c r="F748" s="6" t="s">
        <v>1542</v>
      </c>
      <c r="G748" s="6" t="str">
        <f aca="false">INDEX(Archetypes!$D$2:$D$127, MATCH(D748, Archetypes!$A$2:$A$127, 0))</f>
        <v>Siege</v>
      </c>
      <c r="H748" s="6" t="n">
        <f aca="false">ROUND(INDEX(Archetypes!$E$2:$E$127, MATCH(D748, Archetypes!$A$2:$A$127, 0))*INDEX(Unit_Grades!$B$2:$B$7, MATCH(F748, Unit_Grades!$A$2:$A$7, 0))*INDEX(Unit_Paths!$B$2:$B$4, MATCH(E748, Unit_Paths!$A$2:$A$4, 0)),1)</f>
        <v>205.2</v>
      </c>
      <c r="I748" s="6" t="n">
        <f aca="false">ROUND(INDEX(Archetypes!$F$2:$F$127, MATCH(D748, Archetypes!$A$2:$A$127, 0))*INDEX(Unit_Grades!$B$2:$B$7, MATCH(F748, Unit_Grades!$A$2:$A$7, 0))*INDEX(Unit_Paths!$C$2:$C$4, MATCH(E748, Unit_Paths!$A$2:$A$4, 0)),1)</f>
        <v>12.2</v>
      </c>
      <c r="J748" s="6" t="n">
        <f aca="false">ROUND(INDEX(Archetypes!$G$2:$G$127, MATCH(D748, Archetypes!$A$2:$A$127, 0))*INDEX(Unit_Grades!$B$2:$B$7, MATCH(F748, Unit_Grades!$A$2:$A$7, 0))*INDEX(Unit_Paths!$D$2:$D$4, MATCH(E748, Unit_Paths!$A$2:$A$4, 0)),0)</f>
        <v>197</v>
      </c>
      <c r="K748" s="6" t="n">
        <f aca="false">ROUND(INDEX(Archetypes!$H$2:$H$127, MATCH(D748, Archetypes!$A$2:$A$127, 0))*INDEX(Unit_Paths!$E$2:$E$4, MATCH(E748, Unit_Paths!$A$2:$A$4, 0)),1)</f>
        <v>6.3</v>
      </c>
      <c r="L748" s="6" t="n">
        <f aca="false">ROUND(INDEX(Archetypes!$I$2:$I$127, MATCH(D748, Archetypes!$A$2:$A$127, 0))*INDEX(Unit_Grades!$C$2:$C$7, MATCH(F748, Unit_Grades!$A$2:$A$7, 0)),1)</f>
        <v>20.8</v>
      </c>
      <c r="M748" s="6" t="n">
        <f aca="false">ROUND(INDEX(Archetypes!$J$2:$J$127, MATCH(D748, Archetypes!$A$2:$A$127, 0))*INDEX(Unit_Grades!$D$2:$D$7, MATCH(F748, Unit_Grades!$A$2:$A$7, 0)),1)</f>
        <v>13.2</v>
      </c>
      <c r="N748" s="6" t="n">
        <f aca="false">ROUND(M748/24,2)</f>
        <v>0.55</v>
      </c>
    </row>
    <row r="749" customFormat="false" ht="15" hidden="false" customHeight="true" outlineLevel="0" collapsed="false">
      <c r="A749" s="6" t="n">
        <v>3</v>
      </c>
      <c r="B749" s="6" t="s">
        <v>2275</v>
      </c>
      <c r="C749" s="6" t="s">
        <v>1345</v>
      </c>
      <c r="D749" s="6" t="str">
        <f aca="false">A749&amp;"|"&amp;C749</f>
        <v>3|Siege Mortar</v>
      </c>
      <c r="E749" s="6" t="s">
        <v>1558</v>
      </c>
      <c r="F749" s="6" t="s">
        <v>1544</v>
      </c>
      <c r="G749" s="6" t="str">
        <f aca="false">INDEX(Archetypes!$D$2:$D$127, MATCH(D749, Archetypes!$A$2:$A$127, 0))</f>
        <v>Siege</v>
      </c>
      <c r="H749" s="6" t="n">
        <f aca="false">ROUND(INDEX(Archetypes!$E$2:$E$127, MATCH(D749, Archetypes!$A$2:$A$127, 0))*INDEX(Unit_Grades!$B$2:$B$7, MATCH(F749, Unit_Grades!$A$2:$A$7, 0))*INDEX(Unit_Paths!$B$2:$B$4, MATCH(E749, Unit_Paths!$A$2:$A$4, 0)),1)</f>
        <v>273.6</v>
      </c>
      <c r="I749" s="6" t="n">
        <f aca="false">ROUND(INDEX(Archetypes!$F$2:$F$127, MATCH(D749, Archetypes!$A$2:$A$127, 0))*INDEX(Unit_Grades!$B$2:$B$7, MATCH(F749, Unit_Grades!$A$2:$A$7, 0))*INDEX(Unit_Paths!$C$2:$C$4, MATCH(E749, Unit_Paths!$A$2:$A$4, 0)),1)</f>
        <v>16.3</v>
      </c>
      <c r="J749" s="6" t="n">
        <f aca="false">ROUND(INDEX(Archetypes!$G$2:$G$127, MATCH(D749, Archetypes!$A$2:$A$127, 0))*INDEX(Unit_Grades!$B$2:$B$7, MATCH(F749, Unit_Grades!$A$2:$A$7, 0))*INDEX(Unit_Paths!$D$2:$D$4, MATCH(E749, Unit_Paths!$A$2:$A$4, 0)),0)</f>
        <v>262</v>
      </c>
      <c r="K749" s="6" t="n">
        <f aca="false">ROUND(INDEX(Archetypes!$H$2:$H$127, MATCH(D749, Archetypes!$A$2:$A$127, 0))*INDEX(Unit_Paths!$E$2:$E$4, MATCH(E749, Unit_Paths!$A$2:$A$4, 0)),1)</f>
        <v>6.3</v>
      </c>
      <c r="L749" s="6" t="n">
        <f aca="false">ROUND(INDEX(Archetypes!$I$2:$I$127, MATCH(D749, Archetypes!$A$2:$A$127, 0))*INDEX(Unit_Grades!$C$2:$C$7, MATCH(F749, Unit_Grades!$A$2:$A$7, 0)),1)</f>
        <v>27.3</v>
      </c>
      <c r="M749" s="6" t="n">
        <f aca="false">ROUND(INDEX(Archetypes!$J$2:$J$127, MATCH(D749, Archetypes!$A$2:$A$127, 0))*INDEX(Unit_Grades!$D$2:$D$7, MATCH(F749, Unit_Grades!$A$2:$A$7, 0)),1)</f>
        <v>21.1</v>
      </c>
      <c r="N749" s="6" t="n">
        <f aca="false">ROUND(M749/24,2)</f>
        <v>0.88</v>
      </c>
    </row>
    <row r="750" customFormat="false" ht="15" hidden="false" customHeight="true" outlineLevel="0" collapsed="false">
      <c r="A750" s="6" t="n">
        <v>3</v>
      </c>
      <c r="B750" s="6" t="s">
        <v>2276</v>
      </c>
      <c r="C750" s="6" t="s">
        <v>1345</v>
      </c>
      <c r="D750" s="6" t="str">
        <f aca="false">A750&amp;"|"&amp;C750</f>
        <v>3|Siege Mortar</v>
      </c>
      <c r="E750" s="6" t="s">
        <v>1558</v>
      </c>
      <c r="F750" s="6" t="s">
        <v>1546</v>
      </c>
      <c r="G750" s="6" t="str">
        <f aca="false">INDEX(Archetypes!$D$2:$D$127, MATCH(D750, Archetypes!$A$2:$A$127, 0))</f>
        <v>Siege</v>
      </c>
      <c r="H750" s="6" t="n">
        <f aca="false">ROUND(INDEX(Archetypes!$E$2:$E$127, MATCH(D750, Archetypes!$A$2:$A$127, 0))*INDEX(Unit_Grades!$B$2:$B$7, MATCH(F750, Unit_Grades!$A$2:$A$7, 0))*INDEX(Unit_Paths!$B$2:$B$4, MATCH(E750, Unit_Paths!$A$2:$A$4, 0)),1)</f>
        <v>364.8</v>
      </c>
      <c r="I750" s="6" t="n">
        <f aca="false">ROUND(INDEX(Archetypes!$F$2:$F$127, MATCH(D750, Archetypes!$A$2:$A$127, 0))*INDEX(Unit_Grades!$B$2:$B$7, MATCH(F750, Unit_Grades!$A$2:$A$7, 0))*INDEX(Unit_Paths!$C$2:$C$4, MATCH(E750, Unit_Paths!$A$2:$A$4, 0)),1)</f>
        <v>21.8</v>
      </c>
      <c r="J750" s="6" t="n">
        <f aca="false">ROUND(INDEX(Archetypes!$G$2:$G$127, MATCH(D750, Archetypes!$A$2:$A$127, 0))*INDEX(Unit_Grades!$B$2:$B$7, MATCH(F750, Unit_Grades!$A$2:$A$7, 0))*INDEX(Unit_Paths!$D$2:$D$4, MATCH(E750, Unit_Paths!$A$2:$A$4, 0)),0)</f>
        <v>350</v>
      </c>
      <c r="K750" s="6" t="n">
        <f aca="false">ROUND(INDEX(Archetypes!$H$2:$H$127, MATCH(D750, Archetypes!$A$2:$A$127, 0))*INDEX(Unit_Paths!$E$2:$E$4, MATCH(E750, Unit_Paths!$A$2:$A$4, 0)),1)</f>
        <v>6.3</v>
      </c>
      <c r="L750" s="6" t="n">
        <f aca="false">ROUND(INDEX(Archetypes!$I$2:$I$127, MATCH(D750, Archetypes!$A$2:$A$127, 0))*INDEX(Unit_Grades!$C$2:$C$7, MATCH(F750, Unit_Grades!$A$2:$A$7, 0)),1)</f>
        <v>36.4</v>
      </c>
      <c r="M750" s="6" t="n">
        <f aca="false">ROUND(INDEX(Archetypes!$J$2:$J$127, MATCH(D750, Archetypes!$A$2:$A$127, 0))*INDEX(Unit_Grades!$D$2:$D$7, MATCH(F750, Unit_Grades!$A$2:$A$7, 0)),1)</f>
        <v>37</v>
      </c>
      <c r="N750" s="6" t="n">
        <f aca="false">ROUND(M750/24,2)</f>
        <v>1.54</v>
      </c>
    </row>
    <row r="751" customFormat="false" ht="15" hidden="false" customHeight="true" outlineLevel="0" collapsed="false">
      <c r="A751" s="6" t="n">
        <v>3</v>
      </c>
      <c r="B751" s="6" t="s">
        <v>2277</v>
      </c>
      <c r="C751" s="6" t="s">
        <v>1345</v>
      </c>
      <c r="D751" s="6" t="str">
        <f aca="false">A751&amp;"|"&amp;C751</f>
        <v>3|Siege Mortar</v>
      </c>
      <c r="E751" s="6" t="s">
        <v>1558</v>
      </c>
      <c r="F751" s="6" t="s">
        <v>1548</v>
      </c>
      <c r="G751" s="6" t="str">
        <f aca="false">INDEX(Archetypes!$D$2:$D$127, MATCH(D751, Archetypes!$A$2:$A$127, 0))</f>
        <v>Siege</v>
      </c>
      <c r="H751" s="6" t="n">
        <f aca="false">ROUND(INDEX(Archetypes!$E$2:$E$127, MATCH(D751, Archetypes!$A$2:$A$127, 0))*INDEX(Unit_Grades!$B$2:$B$7, MATCH(F751, Unit_Grades!$A$2:$A$7, 0))*INDEX(Unit_Paths!$B$2:$B$4, MATCH(E751, Unit_Paths!$A$2:$A$4, 0)),1)</f>
        <v>478.8</v>
      </c>
      <c r="I751" s="6" t="n">
        <f aca="false">ROUND(INDEX(Archetypes!$F$2:$F$127, MATCH(D751, Archetypes!$A$2:$A$127, 0))*INDEX(Unit_Grades!$B$2:$B$7, MATCH(F751, Unit_Grades!$A$2:$A$7, 0))*INDEX(Unit_Paths!$C$2:$C$4, MATCH(E751, Unit_Paths!$A$2:$A$4, 0)),1)</f>
        <v>28.6</v>
      </c>
      <c r="J751" s="6" t="n">
        <f aca="false">ROUND(INDEX(Archetypes!$G$2:$G$127, MATCH(D751, Archetypes!$A$2:$A$127, 0))*INDEX(Unit_Grades!$B$2:$B$7, MATCH(F751, Unit_Grades!$A$2:$A$7, 0))*INDEX(Unit_Paths!$D$2:$D$4, MATCH(E751, Unit_Paths!$A$2:$A$4, 0)),0)</f>
        <v>459</v>
      </c>
      <c r="K751" s="6" t="n">
        <f aca="false">ROUND(INDEX(Archetypes!$H$2:$H$127, MATCH(D751, Archetypes!$A$2:$A$127, 0))*INDEX(Unit_Paths!$E$2:$E$4, MATCH(E751, Unit_Paths!$A$2:$A$4, 0)),1)</f>
        <v>6.3</v>
      </c>
      <c r="L751" s="6" t="n">
        <f aca="false">ROUND(INDEX(Archetypes!$I$2:$I$127, MATCH(D751, Archetypes!$A$2:$A$127, 0))*INDEX(Unit_Grades!$C$2:$C$7, MATCH(F751, Unit_Grades!$A$2:$A$7, 0)),1)</f>
        <v>48.1</v>
      </c>
      <c r="M751" s="6" t="n">
        <f aca="false">ROUND(INDEX(Archetypes!$J$2:$J$127, MATCH(D751, Archetypes!$A$2:$A$127, 0))*INDEX(Unit_Grades!$D$2:$D$7, MATCH(F751, Unit_Grades!$A$2:$A$7, 0)),1)</f>
        <v>63.4</v>
      </c>
      <c r="N751" s="6" t="n">
        <f aca="false">ROUND(M751/24,2)</f>
        <v>2.64</v>
      </c>
    </row>
    <row r="752" customFormat="false" ht="15" hidden="false" customHeight="true" outlineLevel="0" collapsed="false">
      <c r="A752" s="6" t="n">
        <v>3</v>
      </c>
      <c r="B752" s="6" t="s">
        <v>2278</v>
      </c>
      <c r="C752" s="6" t="s">
        <v>1345</v>
      </c>
      <c r="D752" s="6" t="str">
        <f aca="false">A752&amp;"|"&amp;C752</f>
        <v>3|Siege Mortar</v>
      </c>
      <c r="E752" s="6" t="s">
        <v>1560</v>
      </c>
      <c r="F752" s="6" t="s">
        <v>1538</v>
      </c>
      <c r="G752" s="6" t="str">
        <f aca="false">INDEX(Archetypes!$D$2:$D$127, MATCH(D752, Archetypes!$A$2:$A$127, 0))</f>
        <v>Siege</v>
      </c>
      <c r="H752" s="6" t="n">
        <f aca="false">ROUND(INDEX(Archetypes!$E$2:$E$127, MATCH(D752, Archetypes!$A$2:$A$127, 0))*INDEX(Unit_Grades!$B$2:$B$7, MATCH(F752, Unit_Grades!$A$2:$A$7, 0))*INDEX(Unit_Paths!$B$2:$B$4, MATCH(E752, Unit_Paths!$A$2:$A$4, 0)),1)</f>
        <v>80.8</v>
      </c>
      <c r="I752" s="6" t="n">
        <f aca="false">ROUND(INDEX(Archetypes!$F$2:$F$127, MATCH(D752, Archetypes!$A$2:$A$127, 0))*INDEX(Unit_Grades!$B$2:$B$7, MATCH(F752, Unit_Grades!$A$2:$A$7, 0))*INDEX(Unit_Paths!$C$2:$C$4, MATCH(E752, Unit_Paths!$A$2:$A$4, 0)),1)</f>
        <v>10</v>
      </c>
      <c r="J752" s="6" t="n">
        <f aca="false">ROUND(INDEX(Archetypes!$G$2:$G$127, MATCH(D752, Archetypes!$A$2:$A$127, 0))*INDEX(Unit_Grades!$B$2:$B$7, MATCH(F752, Unit_Grades!$A$2:$A$7, 0))*INDEX(Unit_Paths!$D$2:$D$4, MATCH(E752, Unit_Paths!$A$2:$A$4, 0)),0)</f>
        <v>132</v>
      </c>
      <c r="K752" s="6" t="n">
        <f aca="false">ROUND(INDEX(Archetypes!$H$2:$H$127, MATCH(D752, Archetypes!$A$2:$A$127, 0))*INDEX(Unit_Paths!$E$2:$E$4, MATCH(E752, Unit_Paths!$A$2:$A$4, 0)),1)</f>
        <v>5.5</v>
      </c>
      <c r="L752" s="6" t="n">
        <f aca="false">ROUND(INDEX(Archetypes!$I$2:$I$127, MATCH(D752, Archetypes!$A$2:$A$127, 0))*INDEX(Unit_Grades!$C$2:$C$7, MATCH(F752, Unit_Grades!$A$2:$A$7, 0)),1)</f>
        <v>13</v>
      </c>
      <c r="M752" s="6" t="n">
        <f aca="false">ROUND(INDEX(Archetypes!$J$2:$J$127, MATCH(D752, Archetypes!$A$2:$A$127, 0))*INDEX(Unit_Grades!$D$2:$D$7, MATCH(F752, Unit_Grades!$A$2:$A$7, 0)),1)</f>
        <v>5.3</v>
      </c>
      <c r="N752" s="6" t="n">
        <f aca="false">ROUND(M752/24,2)</f>
        <v>0.22</v>
      </c>
    </row>
    <row r="753" customFormat="false" ht="15" hidden="false" customHeight="true" outlineLevel="0" collapsed="false">
      <c r="A753" s="6" t="n">
        <v>3</v>
      </c>
      <c r="B753" s="6" t="s">
        <v>2279</v>
      </c>
      <c r="C753" s="6" t="s">
        <v>1345</v>
      </c>
      <c r="D753" s="6" t="str">
        <f aca="false">A753&amp;"|"&amp;C753</f>
        <v>3|Siege Mortar</v>
      </c>
      <c r="E753" s="6" t="s">
        <v>1560</v>
      </c>
      <c r="F753" s="6" t="s">
        <v>1540</v>
      </c>
      <c r="G753" s="6" t="str">
        <f aca="false">INDEX(Archetypes!$D$2:$D$127, MATCH(D753, Archetypes!$A$2:$A$127, 0))</f>
        <v>Siege</v>
      </c>
      <c r="H753" s="6" t="n">
        <f aca="false">ROUND(INDEX(Archetypes!$E$2:$E$127, MATCH(D753, Archetypes!$A$2:$A$127, 0))*INDEX(Unit_Grades!$B$2:$B$7, MATCH(F753, Unit_Grades!$A$2:$A$7, 0))*INDEX(Unit_Paths!$B$2:$B$4, MATCH(E753, Unit_Paths!$A$2:$A$4, 0)),1)</f>
        <v>109</v>
      </c>
      <c r="I753" s="6" t="n">
        <f aca="false">ROUND(INDEX(Archetypes!$F$2:$F$127, MATCH(D753, Archetypes!$A$2:$A$127, 0))*INDEX(Unit_Grades!$B$2:$B$7, MATCH(F753, Unit_Grades!$A$2:$A$7, 0))*INDEX(Unit_Paths!$C$2:$C$4, MATCH(E753, Unit_Paths!$A$2:$A$4, 0)),1)</f>
        <v>13.5</v>
      </c>
      <c r="J753" s="6" t="n">
        <f aca="false">ROUND(INDEX(Archetypes!$G$2:$G$127, MATCH(D753, Archetypes!$A$2:$A$127, 0))*INDEX(Unit_Grades!$B$2:$B$7, MATCH(F753, Unit_Grades!$A$2:$A$7, 0))*INDEX(Unit_Paths!$D$2:$D$4, MATCH(E753, Unit_Paths!$A$2:$A$4, 0)),0)</f>
        <v>179</v>
      </c>
      <c r="K753" s="6" t="n">
        <f aca="false">ROUND(INDEX(Archetypes!$H$2:$H$127, MATCH(D753, Archetypes!$A$2:$A$127, 0))*INDEX(Unit_Paths!$E$2:$E$4, MATCH(E753, Unit_Paths!$A$2:$A$4, 0)),1)</f>
        <v>5.5</v>
      </c>
      <c r="L753" s="6" t="n">
        <f aca="false">ROUND(INDEX(Archetypes!$I$2:$I$127, MATCH(D753, Archetypes!$A$2:$A$127, 0))*INDEX(Unit_Grades!$C$2:$C$7, MATCH(F753, Unit_Grades!$A$2:$A$7, 0)),1)</f>
        <v>16.3</v>
      </c>
      <c r="M753" s="6" t="n">
        <f aca="false">ROUND(INDEX(Archetypes!$J$2:$J$127, MATCH(D753, Archetypes!$A$2:$A$127, 0))*INDEX(Unit_Grades!$D$2:$D$7, MATCH(F753, Unit_Grades!$A$2:$A$7, 0)),1)</f>
        <v>7.9</v>
      </c>
      <c r="N753" s="6" t="n">
        <f aca="false">ROUND(M753/24,2)</f>
        <v>0.33</v>
      </c>
    </row>
    <row r="754" customFormat="false" ht="15" hidden="false" customHeight="true" outlineLevel="0" collapsed="false">
      <c r="A754" s="6" t="n">
        <v>3</v>
      </c>
      <c r="B754" s="6" t="s">
        <v>2280</v>
      </c>
      <c r="C754" s="6" t="s">
        <v>1345</v>
      </c>
      <c r="D754" s="6" t="str">
        <f aca="false">A754&amp;"|"&amp;C754</f>
        <v>3|Siege Mortar</v>
      </c>
      <c r="E754" s="6" t="s">
        <v>1560</v>
      </c>
      <c r="F754" s="6" t="s">
        <v>1542</v>
      </c>
      <c r="G754" s="6" t="str">
        <f aca="false">INDEX(Archetypes!$D$2:$D$127, MATCH(D754, Archetypes!$A$2:$A$127, 0))</f>
        <v>Siege</v>
      </c>
      <c r="H754" s="6" t="n">
        <f aca="false">ROUND(INDEX(Archetypes!$E$2:$E$127, MATCH(D754, Archetypes!$A$2:$A$127, 0))*INDEX(Unit_Grades!$B$2:$B$7, MATCH(F754, Unit_Grades!$A$2:$A$7, 0))*INDEX(Unit_Paths!$B$2:$B$4, MATCH(E754, Unit_Paths!$A$2:$A$4, 0)),1)</f>
        <v>145.4</v>
      </c>
      <c r="I754" s="6" t="n">
        <f aca="false">ROUND(INDEX(Archetypes!$F$2:$F$127, MATCH(D754, Archetypes!$A$2:$A$127, 0))*INDEX(Unit_Grades!$B$2:$B$7, MATCH(F754, Unit_Grades!$A$2:$A$7, 0))*INDEX(Unit_Paths!$C$2:$C$4, MATCH(E754, Unit_Paths!$A$2:$A$4, 0)),1)</f>
        <v>18</v>
      </c>
      <c r="J754" s="6" t="n">
        <f aca="false">ROUND(INDEX(Archetypes!$G$2:$G$127, MATCH(D754, Archetypes!$A$2:$A$127, 0))*INDEX(Unit_Grades!$B$2:$B$7, MATCH(F754, Unit_Grades!$A$2:$A$7, 0))*INDEX(Unit_Paths!$D$2:$D$4, MATCH(E754, Unit_Paths!$A$2:$A$4, 0)),0)</f>
        <v>238</v>
      </c>
      <c r="K754" s="6" t="n">
        <f aca="false">ROUND(INDEX(Archetypes!$H$2:$H$127, MATCH(D754, Archetypes!$A$2:$A$127, 0))*INDEX(Unit_Paths!$E$2:$E$4, MATCH(E754, Unit_Paths!$A$2:$A$4, 0)),1)</f>
        <v>5.5</v>
      </c>
      <c r="L754" s="6" t="n">
        <f aca="false">ROUND(INDEX(Archetypes!$I$2:$I$127, MATCH(D754, Archetypes!$A$2:$A$127, 0))*INDEX(Unit_Grades!$C$2:$C$7, MATCH(F754, Unit_Grades!$A$2:$A$7, 0)),1)</f>
        <v>20.8</v>
      </c>
      <c r="M754" s="6" t="n">
        <f aca="false">ROUND(INDEX(Archetypes!$J$2:$J$127, MATCH(D754, Archetypes!$A$2:$A$127, 0))*INDEX(Unit_Grades!$D$2:$D$7, MATCH(F754, Unit_Grades!$A$2:$A$7, 0)),1)</f>
        <v>13.2</v>
      </c>
      <c r="N754" s="6" t="n">
        <f aca="false">ROUND(M754/24,2)</f>
        <v>0.55</v>
      </c>
    </row>
    <row r="755" customFormat="false" ht="15" hidden="false" customHeight="true" outlineLevel="0" collapsed="false">
      <c r="A755" s="6" t="n">
        <v>3</v>
      </c>
      <c r="B755" s="6" t="s">
        <v>2281</v>
      </c>
      <c r="C755" s="6" t="s">
        <v>1345</v>
      </c>
      <c r="D755" s="6" t="str">
        <f aca="false">A755&amp;"|"&amp;C755</f>
        <v>3|Siege Mortar</v>
      </c>
      <c r="E755" s="6" t="s">
        <v>1560</v>
      </c>
      <c r="F755" s="6" t="s">
        <v>1544</v>
      </c>
      <c r="G755" s="6" t="str">
        <f aca="false">INDEX(Archetypes!$D$2:$D$127, MATCH(D755, Archetypes!$A$2:$A$127, 0))</f>
        <v>Siege</v>
      </c>
      <c r="H755" s="6" t="n">
        <f aca="false">ROUND(INDEX(Archetypes!$E$2:$E$127, MATCH(D755, Archetypes!$A$2:$A$127, 0))*INDEX(Unit_Grades!$B$2:$B$7, MATCH(F755, Unit_Grades!$A$2:$A$7, 0))*INDEX(Unit_Paths!$B$2:$B$4, MATCH(E755, Unit_Paths!$A$2:$A$4, 0)),1)</f>
        <v>193.8</v>
      </c>
      <c r="I755" s="6" t="n">
        <f aca="false">ROUND(INDEX(Archetypes!$F$2:$F$127, MATCH(D755, Archetypes!$A$2:$A$127, 0))*INDEX(Unit_Grades!$B$2:$B$7, MATCH(F755, Unit_Grades!$A$2:$A$7, 0))*INDEX(Unit_Paths!$C$2:$C$4, MATCH(E755, Unit_Paths!$A$2:$A$4, 0)),1)</f>
        <v>24</v>
      </c>
      <c r="J755" s="6" t="n">
        <f aca="false">ROUND(INDEX(Archetypes!$G$2:$G$127, MATCH(D755, Archetypes!$A$2:$A$127, 0))*INDEX(Unit_Grades!$B$2:$B$7, MATCH(F755, Unit_Grades!$A$2:$A$7, 0))*INDEX(Unit_Paths!$D$2:$D$4, MATCH(E755, Unit_Paths!$A$2:$A$4, 0)),0)</f>
        <v>317</v>
      </c>
      <c r="K755" s="6" t="n">
        <f aca="false">ROUND(INDEX(Archetypes!$H$2:$H$127, MATCH(D755, Archetypes!$A$2:$A$127, 0))*INDEX(Unit_Paths!$E$2:$E$4, MATCH(E755, Unit_Paths!$A$2:$A$4, 0)),1)</f>
        <v>5.5</v>
      </c>
      <c r="L755" s="6" t="n">
        <f aca="false">ROUND(INDEX(Archetypes!$I$2:$I$127, MATCH(D755, Archetypes!$A$2:$A$127, 0))*INDEX(Unit_Grades!$C$2:$C$7, MATCH(F755, Unit_Grades!$A$2:$A$7, 0)),1)</f>
        <v>27.3</v>
      </c>
      <c r="M755" s="6" t="n">
        <f aca="false">ROUND(INDEX(Archetypes!$J$2:$J$127, MATCH(D755, Archetypes!$A$2:$A$127, 0))*INDEX(Unit_Grades!$D$2:$D$7, MATCH(F755, Unit_Grades!$A$2:$A$7, 0)),1)</f>
        <v>21.1</v>
      </c>
      <c r="N755" s="6" t="n">
        <f aca="false">ROUND(M755/24,2)</f>
        <v>0.88</v>
      </c>
    </row>
    <row r="756" customFormat="false" ht="15" hidden="false" customHeight="true" outlineLevel="0" collapsed="false">
      <c r="A756" s="6" t="n">
        <v>3</v>
      </c>
      <c r="B756" s="6" t="s">
        <v>2282</v>
      </c>
      <c r="C756" s="6" t="s">
        <v>1345</v>
      </c>
      <c r="D756" s="6" t="str">
        <f aca="false">A756&amp;"|"&amp;C756</f>
        <v>3|Siege Mortar</v>
      </c>
      <c r="E756" s="6" t="s">
        <v>1560</v>
      </c>
      <c r="F756" s="6" t="s">
        <v>1546</v>
      </c>
      <c r="G756" s="6" t="str">
        <f aca="false">INDEX(Archetypes!$D$2:$D$127, MATCH(D756, Archetypes!$A$2:$A$127, 0))</f>
        <v>Siege</v>
      </c>
      <c r="H756" s="6" t="n">
        <f aca="false">ROUND(INDEX(Archetypes!$E$2:$E$127, MATCH(D756, Archetypes!$A$2:$A$127, 0))*INDEX(Unit_Grades!$B$2:$B$7, MATCH(F756, Unit_Grades!$A$2:$A$7, 0))*INDEX(Unit_Paths!$B$2:$B$4, MATCH(E756, Unit_Paths!$A$2:$A$4, 0)),1)</f>
        <v>258.4</v>
      </c>
      <c r="I756" s="6" t="n">
        <f aca="false">ROUND(INDEX(Archetypes!$F$2:$F$127, MATCH(D756, Archetypes!$A$2:$A$127, 0))*INDEX(Unit_Grades!$B$2:$B$7, MATCH(F756, Unit_Grades!$A$2:$A$7, 0))*INDEX(Unit_Paths!$C$2:$C$4, MATCH(E756, Unit_Paths!$A$2:$A$4, 0)),1)</f>
        <v>32</v>
      </c>
      <c r="J756" s="6" t="n">
        <f aca="false">ROUND(INDEX(Archetypes!$G$2:$G$127, MATCH(D756, Archetypes!$A$2:$A$127, 0))*INDEX(Unit_Grades!$B$2:$B$7, MATCH(F756, Unit_Grades!$A$2:$A$7, 0))*INDEX(Unit_Paths!$D$2:$D$4, MATCH(E756, Unit_Paths!$A$2:$A$4, 0)),0)</f>
        <v>423</v>
      </c>
      <c r="K756" s="6" t="n">
        <f aca="false">ROUND(INDEX(Archetypes!$H$2:$H$127, MATCH(D756, Archetypes!$A$2:$A$127, 0))*INDEX(Unit_Paths!$E$2:$E$4, MATCH(E756, Unit_Paths!$A$2:$A$4, 0)),1)</f>
        <v>5.5</v>
      </c>
      <c r="L756" s="6" t="n">
        <f aca="false">ROUND(INDEX(Archetypes!$I$2:$I$127, MATCH(D756, Archetypes!$A$2:$A$127, 0))*INDEX(Unit_Grades!$C$2:$C$7, MATCH(F756, Unit_Grades!$A$2:$A$7, 0)),1)</f>
        <v>36.4</v>
      </c>
      <c r="M756" s="6" t="n">
        <f aca="false">ROUND(INDEX(Archetypes!$J$2:$J$127, MATCH(D756, Archetypes!$A$2:$A$127, 0))*INDEX(Unit_Grades!$D$2:$D$7, MATCH(F756, Unit_Grades!$A$2:$A$7, 0)),1)</f>
        <v>37</v>
      </c>
      <c r="N756" s="6" t="n">
        <f aca="false">ROUND(M756/24,2)</f>
        <v>1.54</v>
      </c>
    </row>
    <row r="757" customFormat="false" ht="15" hidden="false" customHeight="true" outlineLevel="0" collapsed="false">
      <c r="A757" s="6" t="n">
        <v>3</v>
      </c>
      <c r="B757" s="6" t="s">
        <v>2283</v>
      </c>
      <c r="C757" s="6" t="s">
        <v>1345</v>
      </c>
      <c r="D757" s="6" t="str">
        <f aca="false">A757&amp;"|"&amp;C757</f>
        <v>3|Siege Mortar</v>
      </c>
      <c r="E757" s="6" t="s">
        <v>1560</v>
      </c>
      <c r="F757" s="6" t="s">
        <v>1548</v>
      </c>
      <c r="G757" s="6" t="str">
        <f aca="false">INDEX(Archetypes!$D$2:$D$127, MATCH(D757, Archetypes!$A$2:$A$127, 0))</f>
        <v>Siege</v>
      </c>
      <c r="H757" s="6" t="n">
        <f aca="false">ROUND(INDEX(Archetypes!$E$2:$E$127, MATCH(D757, Archetypes!$A$2:$A$127, 0))*INDEX(Unit_Grades!$B$2:$B$7, MATCH(F757, Unit_Grades!$A$2:$A$7, 0))*INDEX(Unit_Paths!$B$2:$B$4, MATCH(E757, Unit_Paths!$A$2:$A$4, 0)),1)</f>
        <v>339.2</v>
      </c>
      <c r="I757" s="6" t="n">
        <f aca="false">ROUND(INDEX(Archetypes!$F$2:$F$127, MATCH(D757, Archetypes!$A$2:$A$127, 0))*INDEX(Unit_Grades!$B$2:$B$7, MATCH(F757, Unit_Grades!$A$2:$A$7, 0))*INDEX(Unit_Paths!$C$2:$C$4, MATCH(E757, Unit_Paths!$A$2:$A$4, 0)),1)</f>
        <v>42</v>
      </c>
      <c r="J757" s="6" t="n">
        <f aca="false">ROUND(INDEX(Archetypes!$G$2:$G$127, MATCH(D757, Archetypes!$A$2:$A$127, 0))*INDEX(Unit_Grades!$B$2:$B$7, MATCH(F757, Unit_Grades!$A$2:$A$7, 0))*INDEX(Unit_Paths!$D$2:$D$4, MATCH(E757, Unit_Paths!$A$2:$A$4, 0)),0)</f>
        <v>555</v>
      </c>
      <c r="K757" s="6" t="n">
        <f aca="false">ROUND(INDEX(Archetypes!$H$2:$H$127, MATCH(D757, Archetypes!$A$2:$A$127, 0))*INDEX(Unit_Paths!$E$2:$E$4, MATCH(E757, Unit_Paths!$A$2:$A$4, 0)),1)</f>
        <v>5.5</v>
      </c>
      <c r="L757" s="6" t="n">
        <f aca="false">ROUND(INDEX(Archetypes!$I$2:$I$127, MATCH(D757, Archetypes!$A$2:$A$127, 0))*INDEX(Unit_Grades!$C$2:$C$7, MATCH(F757, Unit_Grades!$A$2:$A$7, 0)),1)</f>
        <v>48.1</v>
      </c>
      <c r="M757" s="6" t="n">
        <f aca="false">ROUND(INDEX(Archetypes!$J$2:$J$127, MATCH(D757, Archetypes!$A$2:$A$127, 0))*INDEX(Unit_Grades!$D$2:$D$7, MATCH(F757, Unit_Grades!$A$2:$A$7, 0)),1)</f>
        <v>63.4</v>
      </c>
      <c r="N757" s="6" t="n">
        <f aca="false">ROUND(M757/24,2)</f>
        <v>2.64</v>
      </c>
    </row>
    <row r="758" customFormat="false" ht="15" hidden="false" customHeight="true" outlineLevel="0" collapsed="false">
      <c r="A758" s="6" t="n">
        <v>3</v>
      </c>
      <c r="B758" s="6" t="s">
        <v>1347</v>
      </c>
      <c r="C758" s="6" t="s">
        <v>1347</v>
      </c>
      <c r="D758" s="6" t="str">
        <f aca="false">A758&amp;"|"&amp;C758</f>
        <v>3|Sapper</v>
      </c>
      <c r="E758" s="6" t="s">
        <v>1556</v>
      </c>
      <c r="F758" s="6" t="s">
        <v>1538</v>
      </c>
      <c r="G758" s="6" t="str">
        <f aca="false">INDEX(Archetypes!$D$2:$D$127, MATCH(D758, Archetypes!$A$2:$A$127, 0))</f>
        <v>Siege</v>
      </c>
      <c r="H758" s="6" t="n">
        <f aca="false">ROUND(INDEX(Archetypes!$E$2:$E$127, MATCH(D758, Archetypes!$A$2:$A$127, 0))*INDEX(Unit_Grades!$B$2:$B$7, MATCH(F758, Unit_Grades!$A$2:$A$7, 0))*INDEX(Unit_Paths!$B$2:$B$4, MATCH(E758, Unit_Paths!$A$2:$A$4, 0)),1)</f>
        <v>34</v>
      </c>
      <c r="I758" s="6" t="n">
        <f aca="false">ROUND(INDEX(Archetypes!$F$2:$F$127, MATCH(D758, Archetypes!$A$2:$A$127, 0))*INDEX(Unit_Grades!$B$2:$B$7, MATCH(F758, Unit_Grades!$A$2:$A$7, 0))*INDEX(Unit_Paths!$C$2:$C$4, MATCH(E758, Unit_Paths!$A$2:$A$4, 0)),1)</f>
        <v>20</v>
      </c>
      <c r="J758" s="6" t="n">
        <f aca="false">ROUND(INDEX(Archetypes!$G$2:$G$127, MATCH(D758, Archetypes!$A$2:$A$127, 0))*INDEX(Unit_Grades!$B$2:$B$7, MATCH(F758, Unit_Grades!$A$2:$A$7, 0))*INDEX(Unit_Paths!$D$2:$D$4, MATCH(E758, Unit_Paths!$A$2:$A$4, 0)),0)</f>
        <v>100</v>
      </c>
      <c r="K758" s="6" t="n">
        <f aca="false">ROUND(INDEX(Archetypes!$H$2:$H$127, MATCH(D758, Archetypes!$A$2:$A$127, 0))*INDEX(Unit_Paths!$E$2:$E$4, MATCH(E758, Unit_Paths!$A$2:$A$4, 0)),1)</f>
        <v>13</v>
      </c>
      <c r="L758" s="6" t="n">
        <f aca="false">ROUND(INDEX(Archetypes!$I$2:$I$127, MATCH(D758, Archetypes!$A$2:$A$127, 0))*INDEX(Unit_Grades!$C$2:$C$7, MATCH(F758, Unit_Grades!$A$2:$A$7, 0)),1)</f>
        <v>8</v>
      </c>
      <c r="M758" s="6" t="n">
        <f aca="false">ROUND(INDEX(Archetypes!$J$2:$J$127, MATCH(D758, Archetypes!$A$2:$A$127, 0))*INDEX(Unit_Grades!$D$2:$D$7, MATCH(F758, Unit_Grades!$A$2:$A$7, 0)),1)</f>
        <v>3.3</v>
      </c>
      <c r="N758" s="6" t="n">
        <f aca="false">ROUND(M758/24,2)</f>
        <v>0.14</v>
      </c>
    </row>
    <row r="759" customFormat="false" ht="15" hidden="false" customHeight="true" outlineLevel="0" collapsed="false">
      <c r="A759" s="6" t="n">
        <v>3</v>
      </c>
      <c r="B759" s="6" t="s">
        <v>2284</v>
      </c>
      <c r="C759" s="6" t="s">
        <v>1347</v>
      </c>
      <c r="D759" s="6" t="str">
        <f aca="false">A759&amp;"|"&amp;C759</f>
        <v>3|Sapper</v>
      </c>
      <c r="E759" s="6" t="s">
        <v>1556</v>
      </c>
      <c r="F759" s="6" t="s">
        <v>1540</v>
      </c>
      <c r="G759" s="6" t="str">
        <f aca="false">INDEX(Archetypes!$D$2:$D$127, MATCH(D759, Archetypes!$A$2:$A$127, 0))</f>
        <v>Siege</v>
      </c>
      <c r="H759" s="6" t="n">
        <f aca="false">ROUND(INDEX(Archetypes!$E$2:$E$127, MATCH(D759, Archetypes!$A$2:$A$127, 0))*INDEX(Unit_Grades!$B$2:$B$7, MATCH(F759, Unit_Grades!$A$2:$A$7, 0))*INDEX(Unit_Paths!$B$2:$B$4, MATCH(E759, Unit_Paths!$A$2:$A$4, 0)),1)</f>
        <v>45.9</v>
      </c>
      <c r="I759" s="6" t="n">
        <f aca="false">ROUND(INDEX(Archetypes!$F$2:$F$127, MATCH(D759, Archetypes!$A$2:$A$127, 0))*INDEX(Unit_Grades!$B$2:$B$7, MATCH(F759, Unit_Grades!$A$2:$A$7, 0))*INDEX(Unit_Paths!$C$2:$C$4, MATCH(E759, Unit_Paths!$A$2:$A$4, 0)),1)</f>
        <v>27</v>
      </c>
      <c r="J759" s="6" t="n">
        <f aca="false">ROUND(INDEX(Archetypes!$G$2:$G$127, MATCH(D759, Archetypes!$A$2:$A$127, 0))*INDEX(Unit_Grades!$B$2:$B$7, MATCH(F759, Unit_Grades!$A$2:$A$7, 0))*INDEX(Unit_Paths!$D$2:$D$4, MATCH(E759, Unit_Paths!$A$2:$A$4, 0)),0)</f>
        <v>135</v>
      </c>
      <c r="K759" s="6" t="n">
        <f aca="false">ROUND(INDEX(Archetypes!$H$2:$H$127, MATCH(D759, Archetypes!$A$2:$A$127, 0))*INDEX(Unit_Paths!$E$2:$E$4, MATCH(E759, Unit_Paths!$A$2:$A$4, 0)),1)</f>
        <v>13</v>
      </c>
      <c r="L759" s="6" t="n">
        <f aca="false">ROUND(INDEX(Archetypes!$I$2:$I$127, MATCH(D759, Archetypes!$A$2:$A$127, 0))*INDEX(Unit_Grades!$C$2:$C$7, MATCH(F759, Unit_Grades!$A$2:$A$7, 0)),1)</f>
        <v>10</v>
      </c>
      <c r="M759" s="6" t="n">
        <f aca="false">ROUND(INDEX(Archetypes!$J$2:$J$127, MATCH(D759, Archetypes!$A$2:$A$127, 0))*INDEX(Unit_Grades!$D$2:$D$7, MATCH(F759, Unit_Grades!$A$2:$A$7, 0)),1)</f>
        <v>4.9</v>
      </c>
      <c r="N759" s="6" t="n">
        <f aca="false">ROUND(M759/24,2)</f>
        <v>0.2</v>
      </c>
    </row>
    <row r="760" customFormat="false" ht="15" hidden="false" customHeight="true" outlineLevel="0" collapsed="false">
      <c r="A760" s="6" t="n">
        <v>3</v>
      </c>
      <c r="B760" s="6" t="s">
        <v>2285</v>
      </c>
      <c r="C760" s="6" t="s">
        <v>1347</v>
      </c>
      <c r="D760" s="6" t="str">
        <f aca="false">A760&amp;"|"&amp;C760</f>
        <v>3|Sapper</v>
      </c>
      <c r="E760" s="6" t="s">
        <v>1556</v>
      </c>
      <c r="F760" s="6" t="s">
        <v>1542</v>
      </c>
      <c r="G760" s="6" t="str">
        <f aca="false">INDEX(Archetypes!$D$2:$D$127, MATCH(D760, Archetypes!$A$2:$A$127, 0))</f>
        <v>Siege</v>
      </c>
      <c r="H760" s="6" t="n">
        <f aca="false">ROUND(INDEX(Archetypes!$E$2:$E$127, MATCH(D760, Archetypes!$A$2:$A$127, 0))*INDEX(Unit_Grades!$B$2:$B$7, MATCH(F760, Unit_Grades!$A$2:$A$7, 0))*INDEX(Unit_Paths!$B$2:$B$4, MATCH(E760, Unit_Paths!$A$2:$A$4, 0)),1)</f>
        <v>61.2</v>
      </c>
      <c r="I760" s="6" t="n">
        <f aca="false">ROUND(INDEX(Archetypes!$F$2:$F$127, MATCH(D760, Archetypes!$A$2:$A$127, 0))*INDEX(Unit_Grades!$B$2:$B$7, MATCH(F760, Unit_Grades!$A$2:$A$7, 0))*INDEX(Unit_Paths!$C$2:$C$4, MATCH(E760, Unit_Paths!$A$2:$A$4, 0)),1)</f>
        <v>36</v>
      </c>
      <c r="J760" s="6" t="n">
        <f aca="false">ROUND(INDEX(Archetypes!$G$2:$G$127, MATCH(D760, Archetypes!$A$2:$A$127, 0))*INDEX(Unit_Grades!$B$2:$B$7, MATCH(F760, Unit_Grades!$A$2:$A$7, 0))*INDEX(Unit_Paths!$D$2:$D$4, MATCH(E760, Unit_Paths!$A$2:$A$4, 0)),0)</f>
        <v>180</v>
      </c>
      <c r="K760" s="6" t="n">
        <f aca="false">ROUND(INDEX(Archetypes!$H$2:$H$127, MATCH(D760, Archetypes!$A$2:$A$127, 0))*INDEX(Unit_Paths!$E$2:$E$4, MATCH(E760, Unit_Paths!$A$2:$A$4, 0)),1)</f>
        <v>13</v>
      </c>
      <c r="L760" s="6" t="n">
        <f aca="false">ROUND(INDEX(Archetypes!$I$2:$I$127, MATCH(D760, Archetypes!$A$2:$A$127, 0))*INDEX(Unit_Grades!$C$2:$C$7, MATCH(F760, Unit_Grades!$A$2:$A$7, 0)),1)</f>
        <v>12.8</v>
      </c>
      <c r="M760" s="6" t="n">
        <f aca="false">ROUND(INDEX(Archetypes!$J$2:$J$127, MATCH(D760, Archetypes!$A$2:$A$127, 0))*INDEX(Unit_Grades!$D$2:$D$7, MATCH(F760, Unit_Grades!$A$2:$A$7, 0)),1)</f>
        <v>8.1</v>
      </c>
      <c r="N760" s="6" t="n">
        <f aca="false">ROUND(M760/24,2)</f>
        <v>0.34</v>
      </c>
    </row>
    <row r="761" customFormat="false" ht="15" hidden="false" customHeight="true" outlineLevel="0" collapsed="false">
      <c r="A761" s="6" t="n">
        <v>3</v>
      </c>
      <c r="B761" s="6" t="s">
        <v>2286</v>
      </c>
      <c r="C761" s="6" t="s">
        <v>1347</v>
      </c>
      <c r="D761" s="6" t="str">
        <f aca="false">A761&amp;"|"&amp;C761</f>
        <v>3|Sapper</v>
      </c>
      <c r="E761" s="6" t="s">
        <v>1556</v>
      </c>
      <c r="F761" s="6" t="s">
        <v>1544</v>
      </c>
      <c r="G761" s="6" t="str">
        <f aca="false">INDEX(Archetypes!$D$2:$D$127, MATCH(D761, Archetypes!$A$2:$A$127, 0))</f>
        <v>Siege</v>
      </c>
      <c r="H761" s="6" t="n">
        <f aca="false">ROUND(INDEX(Archetypes!$E$2:$E$127, MATCH(D761, Archetypes!$A$2:$A$127, 0))*INDEX(Unit_Grades!$B$2:$B$7, MATCH(F761, Unit_Grades!$A$2:$A$7, 0))*INDEX(Unit_Paths!$B$2:$B$4, MATCH(E761, Unit_Paths!$A$2:$A$4, 0)),1)</f>
        <v>81.6</v>
      </c>
      <c r="I761" s="6" t="n">
        <f aca="false">ROUND(INDEX(Archetypes!$F$2:$F$127, MATCH(D761, Archetypes!$A$2:$A$127, 0))*INDEX(Unit_Grades!$B$2:$B$7, MATCH(F761, Unit_Grades!$A$2:$A$7, 0))*INDEX(Unit_Paths!$C$2:$C$4, MATCH(E761, Unit_Paths!$A$2:$A$4, 0)),1)</f>
        <v>48</v>
      </c>
      <c r="J761" s="6" t="n">
        <f aca="false">ROUND(INDEX(Archetypes!$G$2:$G$127, MATCH(D761, Archetypes!$A$2:$A$127, 0))*INDEX(Unit_Grades!$B$2:$B$7, MATCH(F761, Unit_Grades!$A$2:$A$7, 0))*INDEX(Unit_Paths!$D$2:$D$4, MATCH(E761, Unit_Paths!$A$2:$A$4, 0)),0)</f>
        <v>240</v>
      </c>
      <c r="K761" s="6" t="n">
        <f aca="false">ROUND(INDEX(Archetypes!$H$2:$H$127, MATCH(D761, Archetypes!$A$2:$A$127, 0))*INDEX(Unit_Paths!$E$2:$E$4, MATCH(E761, Unit_Paths!$A$2:$A$4, 0)),1)</f>
        <v>13</v>
      </c>
      <c r="L761" s="6" t="n">
        <f aca="false">ROUND(INDEX(Archetypes!$I$2:$I$127, MATCH(D761, Archetypes!$A$2:$A$127, 0))*INDEX(Unit_Grades!$C$2:$C$7, MATCH(F761, Unit_Grades!$A$2:$A$7, 0)),1)</f>
        <v>16.8</v>
      </c>
      <c r="M761" s="6" t="n">
        <f aca="false">ROUND(INDEX(Archetypes!$J$2:$J$127, MATCH(D761, Archetypes!$A$2:$A$127, 0))*INDEX(Unit_Grades!$D$2:$D$7, MATCH(F761, Unit_Grades!$A$2:$A$7, 0)),1)</f>
        <v>13</v>
      </c>
      <c r="N761" s="6" t="n">
        <f aca="false">ROUND(M761/24,2)</f>
        <v>0.54</v>
      </c>
    </row>
    <row r="762" customFormat="false" ht="15" hidden="false" customHeight="true" outlineLevel="0" collapsed="false">
      <c r="A762" s="6" t="n">
        <v>3</v>
      </c>
      <c r="B762" s="6" t="s">
        <v>2287</v>
      </c>
      <c r="C762" s="6" t="s">
        <v>1347</v>
      </c>
      <c r="D762" s="6" t="str">
        <f aca="false">A762&amp;"|"&amp;C762</f>
        <v>3|Sapper</v>
      </c>
      <c r="E762" s="6" t="s">
        <v>1556</v>
      </c>
      <c r="F762" s="6" t="s">
        <v>1546</v>
      </c>
      <c r="G762" s="6" t="str">
        <f aca="false">INDEX(Archetypes!$D$2:$D$127, MATCH(D762, Archetypes!$A$2:$A$127, 0))</f>
        <v>Siege</v>
      </c>
      <c r="H762" s="6" t="n">
        <f aca="false">ROUND(INDEX(Archetypes!$E$2:$E$127, MATCH(D762, Archetypes!$A$2:$A$127, 0))*INDEX(Unit_Grades!$B$2:$B$7, MATCH(F762, Unit_Grades!$A$2:$A$7, 0))*INDEX(Unit_Paths!$B$2:$B$4, MATCH(E762, Unit_Paths!$A$2:$A$4, 0)),1)</f>
        <v>108.8</v>
      </c>
      <c r="I762" s="6" t="n">
        <f aca="false">ROUND(INDEX(Archetypes!$F$2:$F$127, MATCH(D762, Archetypes!$A$2:$A$127, 0))*INDEX(Unit_Grades!$B$2:$B$7, MATCH(F762, Unit_Grades!$A$2:$A$7, 0))*INDEX(Unit_Paths!$C$2:$C$4, MATCH(E762, Unit_Paths!$A$2:$A$4, 0)),1)</f>
        <v>64</v>
      </c>
      <c r="J762" s="6" t="n">
        <f aca="false">ROUND(INDEX(Archetypes!$G$2:$G$127, MATCH(D762, Archetypes!$A$2:$A$127, 0))*INDEX(Unit_Grades!$B$2:$B$7, MATCH(F762, Unit_Grades!$A$2:$A$7, 0))*INDEX(Unit_Paths!$D$2:$D$4, MATCH(E762, Unit_Paths!$A$2:$A$4, 0)),0)</f>
        <v>320</v>
      </c>
      <c r="K762" s="6" t="n">
        <f aca="false">ROUND(INDEX(Archetypes!$H$2:$H$127, MATCH(D762, Archetypes!$A$2:$A$127, 0))*INDEX(Unit_Paths!$E$2:$E$4, MATCH(E762, Unit_Paths!$A$2:$A$4, 0)),1)</f>
        <v>13</v>
      </c>
      <c r="L762" s="6" t="n">
        <f aca="false">ROUND(INDEX(Archetypes!$I$2:$I$127, MATCH(D762, Archetypes!$A$2:$A$127, 0))*INDEX(Unit_Grades!$C$2:$C$7, MATCH(F762, Unit_Grades!$A$2:$A$7, 0)),1)</f>
        <v>22.4</v>
      </c>
      <c r="M762" s="6" t="n">
        <f aca="false">ROUND(INDEX(Archetypes!$J$2:$J$127, MATCH(D762, Archetypes!$A$2:$A$127, 0))*INDEX(Unit_Grades!$D$2:$D$7, MATCH(F762, Unit_Grades!$A$2:$A$7, 0)),1)</f>
        <v>22.8</v>
      </c>
      <c r="N762" s="6" t="n">
        <f aca="false">ROUND(M762/24,2)</f>
        <v>0.95</v>
      </c>
    </row>
    <row r="763" customFormat="false" ht="15" hidden="false" customHeight="true" outlineLevel="0" collapsed="false">
      <c r="A763" s="6" t="n">
        <v>3</v>
      </c>
      <c r="B763" s="6" t="s">
        <v>2288</v>
      </c>
      <c r="C763" s="6" t="s">
        <v>1347</v>
      </c>
      <c r="D763" s="6" t="str">
        <f aca="false">A763&amp;"|"&amp;C763</f>
        <v>3|Sapper</v>
      </c>
      <c r="E763" s="6" t="s">
        <v>1556</v>
      </c>
      <c r="F763" s="6" t="s">
        <v>1548</v>
      </c>
      <c r="G763" s="6" t="str">
        <f aca="false">INDEX(Archetypes!$D$2:$D$127, MATCH(D763, Archetypes!$A$2:$A$127, 0))</f>
        <v>Siege</v>
      </c>
      <c r="H763" s="6" t="n">
        <f aca="false">ROUND(INDEX(Archetypes!$E$2:$E$127, MATCH(D763, Archetypes!$A$2:$A$127, 0))*INDEX(Unit_Grades!$B$2:$B$7, MATCH(F763, Unit_Grades!$A$2:$A$7, 0))*INDEX(Unit_Paths!$B$2:$B$4, MATCH(E763, Unit_Paths!$A$2:$A$4, 0)),1)</f>
        <v>142.8</v>
      </c>
      <c r="I763" s="6" t="n">
        <f aca="false">ROUND(INDEX(Archetypes!$F$2:$F$127, MATCH(D763, Archetypes!$A$2:$A$127, 0))*INDEX(Unit_Grades!$B$2:$B$7, MATCH(F763, Unit_Grades!$A$2:$A$7, 0))*INDEX(Unit_Paths!$C$2:$C$4, MATCH(E763, Unit_Paths!$A$2:$A$4, 0)),1)</f>
        <v>84</v>
      </c>
      <c r="J763" s="6" t="n">
        <f aca="false">ROUND(INDEX(Archetypes!$G$2:$G$127, MATCH(D763, Archetypes!$A$2:$A$127, 0))*INDEX(Unit_Grades!$B$2:$B$7, MATCH(F763, Unit_Grades!$A$2:$A$7, 0))*INDEX(Unit_Paths!$D$2:$D$4, MATCH(E763, Unit_Paths!$A$2:$A$4, 0)),0)</f>
        <v>420</v>
      </c>
      <c r="K763" s="6" t="n">
        <f aca="false">ROUND(INDEX(Archetypes!$H$2:$H$127, MATCH(D763, Archetypes!$A$2:$A$127, 0))*INDEX(Unit_Paths!$E$2:$E$4, MATCH(E763, Unit_Paths!$A$2:$A$4, 0)),1)</f>
        <v>13</v>
      </c>
      <c r="L763" s="6" t="n">
        <f aca="false">ROUND(INDEX(Archetypes!$I$2:$I$127, MATCH(D763, Archetypes!$A$2:$A$127, 0))*INDEX(Unit_Grades!$C$2:$C$7, MATCH(F763, Unit_Grades!$A$2:$A$7, 0)),1)</f>
        <v>29.6</v>
      </c>
      <c r="M763" s="6" t="n">
        <f aca="false">ROUND(INDEX(Archetypes!$J$2:$J$127, MATCH(D763, Archetypes!$A$2:$A$127, 0))*INDEX(Unit_Grades!$D$2:$D$7, MATCH(F763, Unit_Grades!$A$2:$A$7, 0)),1)</f>
        <v>39</v>
      </c>
      <c r="N763" s="6" t="n">
        <f aca="false">ROUND(M763/24,2)</f>
        <v>1.63</v>
      </c>
    </row>
    <row r="764" customFormat="false" ht="15" hidden="false" customHeight="true" outlineLevel="0" collapsed="false">
      <c r="A764" s="6" t="n">
        <v>3</v>
      </c>
      <c r="B764" s="6" t="s">
        <v>2289</v>
      </c>
      <c r="C764" s="6" t="s">
        <v>1347</v>
      </c>
      <c r="D764" s="6" t="str">
        <f aca="false">A764&amp;"|"&amp;C764</f>
        <v>3|Sapper</v>
      </c>
      <c r="E764" s="6" t="s">
        <v>1558</v>
      </c>
      <c r="F764" s="6" t="s">
        <v>1538</v>
      </c>
      <c r="G764" s="6" t="str">
        <f aca="false">INDEX(Archetypes!$D$2:$D$127, MATCH(D764, Archetypes!$A$2:$A$127, 0))</f>
        <v>Siege</v>
      </c>
      <c r="H764" s="6" t="n">
        <f aca="false">ROUND(INDEX(Archetypes!$E$2:$E$127, MATCH(D764, Archetypes!$A$2:$A$127, 0))*INDEX(Unit_Grades!$B$2:$B$7, MATCH(F764, Unit_Grades!$A$2:$A$7, 0))*INDEX(Unit_Paths!$B$2:$B$4, MATCH(E764, Unit_Paths!$A$2:$A$4, 0)),1)</f>
        <v>40.8</v>
      </c>
      <c r="I764" s="6" t="n">
        <f aca="false">ROUND(INDEX(Archetypes!$F$2:$F$127, MATCH(D764, Archetypes!$A$2:$A$127, 0))*INDEX(Unit_Grades!$B$2:$B$7, MATCH(F764, Unit_Grades!$A$2:$A$7, 0))*INDEX(Unit_Paths!$C$2:$C$4, MATCH(E764, Unit_Paths!$A$2:$A$4, 0)),1)</f>
        <v>17</v>
      </c>
      <c r="J764" s="6" t="n">
        <f aca="false">ROUND(INDEX(Archetypes!$G$2:$G$127, MATCH(D764, Archetypes!$A$2:$A$127, 0))*INDEX(Unit_Grades!$B$2:$B$7, MATCH(F764, Unit_Grades!$A$2:$A$7, 0))*INDEX(Unit_Paths!$D$2:$D$4, MATCH(E764, Unit_Paths!$A$2:$A$4, 0)),0)</f>
        <v>95</v>
      </c>
      <c r="K764" s="6" t="n">
        <f aca="false">ROUND(INDEX(Archetypes!$H$2:$H$127, MATCH(D764, Archetypes!$A$2:$A$127, 0))*INDEX(Unit_Paths!$E$2:$E$4, MATCH(E764, Unit_Paths!$A$2:$A$4, 0)),1)</f>
        <v>13.7</v>
      </c>
      <c r="L764" s="6" t="n">
        <f aca="false">ROUND(INDEX(Archetypes!$I$2:$I$127, MATCH(D764, Archetypes!$A$2:$A$127, 0))*INDEX(Unit_Grades!$C$2:$C$7, MATCH(F764, Unit_Grades!$A$2:$A$7, 0)),1)</f>
        <v>8</v>
      </c>
      <c r="M764" s="6" t="n">
        <f aca="false">ROUND(INDEX(Archetypes!$J$2:$J$127, MATCH(D764, Archetypes!$A$2:$A$127, 0))*INDEX(Unit_Grades!$D$2:$D$7, MATCH(F764, Unit_Grades!$A$2:$A$7, 0)),1)</f>
        <v>3.3</v>
      </c>
      <c r="N764" s="6" t="n">
        <f aca="false">ROUND(M764/24,2)</f>
        <v>0.14</v>
      </c>
    </row>
    <row r="765" customFormat="false" ht="15" hidden="false" customHeight="true" outlineLevel="0" collapsed="false">
      <c r="A765" s="6" t="n">
        <v>3</v>
      </c>
      <c r="B765" s="6" t="s">
        <v>2290</v>
      </c>
      <c r="C765" s="6" t="s">
        <v>1347</v>
      </c>
      <c r="D765" s="6" t="str">
        <f aca="false">A765&amp;"|"&amp;C765</f>
        <v>3|Sapper</v>
      </c>
      <c r="E765" s="6" t="s">
        <v>1558</v>
      </c>
      <c r="F765" s="6" t="s">
        <v>1540</v>
      </c>
      <c r="G765" s="6" t="str">
        <f aca="false">INDEX(Archetypes!$D$2:$D$127, MATCH(D765, Archetypes!$A$2:$A$127, 0))</f>
        <v>Siege</v>
      </c>
      <c r="H765" s="6" t="n">
        <f aca="false">ROUND(INDEX(Archetypes!$E$2:$E$127, MATCH(D765, Archetypes!$A$2:$A$127, 0))*INDEX(Unit_Grades!$B$2:$B$7, MATCH(F765, Unit_Grades!$A$2:$A$7, 0))*INDEX(Unit_Paths!$B$2:$B$4, MATCH(E765, Unit_Paths!$A$2:$A$4, 0)),1)</f>
        <v>55.1</v>
      </c>
      <c r="I765" s="6" t="n">
        <f aca="false">ROUND(INDEX(Archetypes!$F$2:$F$127, MATCH(D765, Archetypes!$A$2:$A$127, 0))*INDEX(Unit_Grades!$B$2:$B$7, MATCH(F765, Unit_Grades!$A$2:$A$7, 0))*INDEX(Unit_Paths!$C$2:$C$4, MATCH(E765, Unit_Paths!$A$2:$A$4, 0)),1)</f>
        <v>23</v>
      </c>
      <c r="J765" s="6" t="n">
        <f aca="false">ROUND(INDEX(Archetypes!$G$2:$G$127, MATCH(D765, Archetypes!$A$2:$A$127, 0))*INDEX(Unit_Grades!$B$2:$B$7, MATCH(F765, Unit_Grades!$A$2:$A$7, 0))*INDEX(Unit_Paths!$D$2:$D$4, MATCH(E765, Unit_Paths!$A$2:$A$4, 0)),0)</f>
        <v>128</v>
      </c>
      <c r="K765" s="6" t="n">
        <f aca="false">ROUND(INDEX(Archetypes!$H$2:$H$127, MATCH(D765, Archetypes!$A$2:$A$127, 0))*INDEX(Unit_Paths!$E$2:$E$4, MATCH(E765, Unit_Paths!$A$2:$A$4, 0)),1)</f>
        <v>13.7</v>
      </c>
      <c r="L765" s="6" t="n">
        <f aca="false">ROUND(INDEX(Archetypes!$I$2:$I$127, MATCH(D765, Archetypes!$A$2:$A$127, 0))*INDEX(Unit_Grades!$C$2:$C$7, MATCH(F765, Unit_Grades!$A$2:$A$7, 0)),1)</f>
        <v>10</v>
      </c>
      <c r="M765" s="6" t="n">
        <f aca="false">ROUND(INDEX(Archetypes!$J$2:$J$127, MATCH(D765, Archetypes!$A$2:$A$127, 0))*INDEX(Unit_Grades!$D$2:$D$7, MATCH(F765, Unit_Grades!$A$2:$A$7, 0)),1)</f>
        <v>4.9</v>
      </c>
      <c r="N765" s="6" t="n">
        <f aca="false">ROUND(M765/24,2)</f>
        <v>0.2</v>
      </c>
    </row>
    <row r="766" customFormat="false" ht="15" hidden="false" customHeight="true" outlineLevel="0" collapsed="false">
      <c r="A766" s="6" t="n">
        <v>3</v>
      </c>
      <c r="B766" s="6" t="s">
        <v>2291</v>
      </c>
      <c r="C766" s="6" t="s">
        <v>1347</v>
      </c>
      <c r="D766" s="6" t="str">
        <f aca="false">A766&amp;"|"&amp;C766</f>
        <v>3|Sapper</v>
      </c>
      <c r="E766" s="6" t="s">
        <v>1558</v>
      </c>
      <c r="F766" s="6" t="s">
        <v>1542</v>
      </c>
      <c r="G766" s="6" t="str">
        <f aca="false">INDEX(Archetypes!$D$2:$D$127, MATCH(D766, Archetypes!$A$2:$A$127, 0))</f>
        <v>Siege</v>
      </c>
      <c r="H766" s="6" t="n">
        <f aca="false">ROUND(INDEX(Archetypes!$E$2:$E$127, MATCH(D766, Archetypes!$A$2:$A$127, 0))*INDEX(Unit_Grades!$B$2:$B$7, MATCH(F766, Unit_Grades!$A$2:$A$7, 0))*INDEX(Unit_Paths!$B$2:$B$4, MATCH(E766, Unit_Paths!$A$2:$A$4, 0)),1)</f>
        <v>73.4</v>
      </c>
      <c r="I766" s="6" t="n">
        <f aca="false">ROUND(INDEX(Archetypes!$F$2:$F$127, MATCH(D766, Archetypes!$A$2:$A$127, 0))*INDEX(Unit_Grades!$B$2:$B$7, MATCH(F766, Unit_Grades!$A$2:$A$7, 0))*INDEX(Unit_Paths!$C$2:$C$4, MATCH(E766, Unit_Paths!$A$2:$A$4, 0)),1)</f>
        <v>30.6</v>
      </c>
      <c r="J766" s="6" t="n">
        <f aca="false">ROUND(INDEX(Archetypes!$G$2:$G$127, MATCH(D766, Archetypes!$A$2:$A$127, 0))*INDEX(Unit_Grades!$B$2:$B$7, MATCH(F766, Unit_Grades!$A$2:$A$7, 0))*INDEX(Unit_Paths!$D$2:$D$4, MATCH(E766, Unit_Paths!$A$2:$A$4, 0)),0)</f>
        <v>171</v>
      </c>
      <c r="K766" s="6" t="n">
        <f aca="false">ROUND(INDEX(Archetypes!$H$2:$H$127, MATCH(D766, Archetypes!$A$2:$A$127, 0))*INDEX(Unit_Paths!$E$2:$E$4, MATCH(E766, Unit_Paths!$A$2:$A$4, 0)),1)</f>
        <v>13.7</v>
      </c>
      <c r="L766" s="6" t="n">
        <f aca="false">ROUND(INDEX(Archetypes!$I$2:$I$127, MATCH(D766, Archetypes!$A$2:$A$127, 0))*INDEX(Unit_Grades!$C$2:$C$7, MATCH(F766, Unit_Grades!$A$2:$A$7, 0)),1)</f>
        <v>12.8</v>
      </c>
      <c r="M766" s="6" t="n">
        <f aca="false">ROUND(INDEX(Archetypes!$J$2:$J$127, MATCH(D766, Archetypes!$A$2:$A$127, 0))*INDEX(Unit_Grades!$D$2:$D$7, MATCH(F766, Unit_Grades!$A$2:$A$7, 0)),1)</f>
        <v>8.1</v>
      </c>
      <c r="N766" s="6" t="n">
        <f aca="false">ROUND(M766/24,2)</f>
        <v>0.34</v>
      </c>
    </row>
    <row r="767" customFormat="false" ht="15" hidden="false" customHeight="true" outlineLevel="0" collapsed="false">
      <c r="A767" s="6" t="n">
        <v>3</v>
      </c>
      <c r="B767" s="6" t="s">
        <v>2292</v>
      </c>
      <c r="C767" s="6" t="s">
        <v>1347</v>
      </c>
      <c r="D767" s="6" t="str">
        <f aca="false">A767&amp;"|"&amp;C767</f>
        <v>3|Sapper</v>
      </c>
      <c r="E767" s="6" t="s">
        <v>1558</v>
      </c>
      <c r="F767" s="6" t="s">
        <v>1544</v>
      </c>
      <c r="G767" s="6" t="str">
        <f aca="false">INDEX(Archetypes!$D$2:$D$127, MATCH(D767, Archetypes!$A$2:$A$127, 0))</f>
        <v>Siege</v>
      </c>
      <c r="H767" s="6" t="n">
        <f aca="false">ROUND(INDEX(Archetypes!$E$2:$E$127, MATCH(D767, Archetypes!$A$2:$A$127, 0))*INDEX(Unit_Grades!$B$2:$B$7, MATCH(F767, Unit_Grades!$A$2:$A$7, 0))*INDEX(Unit_Paths!$B$2:$B$4, MATCH(E767, Unit_Paths!$A$2:$A$4, 0)),1)</f>
        <v>97.9</v>
      </c>
      <c r="I767" s="6" t="n">
        <f aca="false">ROUND(INDEX(Archetypes!$F$2:$F$127, MATCH(D767, Archetypes!$A$2:$A$127, 0))*INDEX(Unit_Grades!$B$2:$B$7, MATCH(F767, Unit_Grades!$A$2:$A$7, 0))*INDEX(Unit_Paths!$C$2:$C$4, MATCH(E767, Unit_Paths!$A$2:$A$4, 0)),1)</f>
        <v>40.8</v>
      </c>
      <c r="J767" s="6" t="n">
        <f aca="false">ROUND(INDEX(Archetypes!$G$2:$G$127, MATCH(D767, Archetypes!$A$2:$A$127, 0))*INDEX(Unit_Grades!$B$2:$B$7, MATCH(F767, Unit_Grades!$A$2:$A$7, 0))*INDEX(Unit_Paths!$D$2:$D$4, MATCH(E767, Unit_Paths!$A$2:$A$4, 0)),0)</f>
        <v>228</v>
      </c>
      <c r="K767" s="6" t="n">
        <f aca="false">ROUND(INDEX(Archetypes!$H$2:$H$127, MATCH(D767, Archetypes!$A$2:$A$127, 0))*INDEX(Unit_Paths!$E$2:$E$4, MATCH(E767, Unit_Paths!$A$2:$A$4, 0)),1)</f>
        <v>13.7</v>
      </c>
      <c r="L767" s="6" t="n">
        <f aca="false">ROUND(INDEX(Archetypes!$I$2:$I$127, MATCH(D767, Archetypes!$A$2:$A$127, 0))*INDEX(Unit_Grades!$C$2:$C$7, MATCH(F767, Unit_Grades!$A$2:$A$7, 0)),1)</f>
        <v>16.8</v>
      </c>
      <c r="M767" s="6" t="n">
        <f aca="false">ROUND(INDEX(Archetypes!$J$2:$J$127, MATCH(D767, Archetypes!$A$2:$A$127, 0))*INDEX(Unit_Grades!$D$2:$D$7, MATCH(F767, Unit_Grades!$A$2:$A$7, 0)),1)</f>
        <v>13</v>
      </c>
      <c r="N767" s="6" t="n">
        <f aca="false">ROUND(M767/24,2)</f>
        <v>0.54</v>
      </c>
    </row>
    <row r="768" customFormat="false" ht="15" hidden="false" customHeight="true" outlineLevel="0" collapsed="false">
      <c r="A768" s="6" t="n">
        <v>3</v>
      </c>
      <c r="B768" s="6" t="s">
        <v>2293</v>
      </c>
      <c r="C768" s="6" t="s">
        <v>1347</v>
      </c>
      <c r="D768" s="6" t="str">
        <f aca="false">A768&amp;"|"&amp;C768</f>
        <v>3|Sapper</v>
      </c>
      <c r="E768" s="6" t="s">
        <v>1558</v>
      </c>
      <c r="F768" s="6" t="s">
        <v>1546</v>
      </c>
      <c r="G768" s="6" t="str">
        <f aca="false">INDEX(Archetypes!$D$2:$D$127, MATCH(D768, Archetypes!$A$2:$A$127, 0))</f>
        <v>Siege</v>
      </c>
      <c r="H768" s="6" t="n">
        <f aca="false">ROUND(INDEX(Archetypes!$E$2:$E$127, MATCH(D768, Archetypes!$A$2:$A$127, 0))*INDEX(Unit_Grades!$B$2:$B$7, MATCH(F768, Unit_Grades!$A$2:$A$7, 0))*INDEX(Unit_Paths!$B$2:$B$4, MATCH(E768, Unit_Paths!$A$2:$A$4, 0)),1)</f>
        <v>130.6</v>
      </c>
      <c r="I768" s="6" t="n">
        <f aca="false">ROUND(INDEX(Archetypes!$F$2:$F$127, MATCH(D768, Archetypes!$A$2:$A$127, 0))*INDEX(Unit_Grades!$B$2:$B$7, MATCH(F768, Unit_Grades!$A$2:$A$7, 0))*INDEX(Unit_Paths!$C$2:$C$4, MATCH(E768, Unit_Paths!$A$2:$A$4, 0)),1)</f>
        <v>54.4</v>
      </c>
      <c r="J768" s="6" t="n">
        <f aca="false">ROUND(INDEX(Archetypes!$G$2:$G$127, MATCH(D768, Archetypes!$A$2:$A$127, 0))*INDEX(Unit_Grades!$B$2:$B$7, MATCH(F768, Unit_Grades!$A$2:$A$7, 0))*INDEX(Unit_Paths!$D$2:$D$4, MATCH(E768, Unit_Paths!$A$2:$A$4, 0)),0)</f>
        <v>304</v>
      </c>
      <c r="K768" s="6" t="n">
        <f aca="false">ROUND(INDEX(Archetypes!$H$2:$H$127, MATCH(D768, Archetypes!$A$2:$A$127, 0))*INDEX(Unit_Paths!$E$2:$E$4, MATCH(E768, Unit_Paths!$A$2:$A$4, 0)),1)</f>
        <v>13.7</v>
      </c>
      <c r="L768" s="6" t="n">
        <f aca="false">ROUND(INDEX(Archetypes!$I$2:$I$127, MATCH(D768, Archetypes!$A$2:$A$127, 0))*INDEX(Unit_Grades!$C$2:$C$7, MATCH(F768, Unit_Grades!$A$2:$A$7, 0)),1)</f>
        <v>22.4</v>
      </c>
      <c r="M768" s="6" t="n">
        <f aca="false">ROUND(INDEX(Archetypes!$J$2:$J$127, MATCH(D768, Archetypes!$A$2:$A$127, 0))*INDEX(Unit_Grades!$D$2:$D$7, MATCH(F768, Unit_Grades!$A$2:$A$7, 0)),1)</f>
        <v>22.8</v>
      </c>
      <c r="N768" s="6" t="n">
        <f aca="false">ROUND(M768/24,2)</f>
        <v>0.95</v>
      </c>
    </row>
    <row r="769" customFormat="false" ht="15" hidden="false" customHeight="true" outlineLevel="0" collapsed="false">
      <c r="A769" s="6" t="n">
        <v>3</v>
      </c>
      <c r="B769" s="6" t="s">
        <v>2294</v>
      </c>
      <c r="C769" s="6" t="s">
        <v>1347</v>
      </c>
      <c r="D769" s="6" t="str">
        <f aca="false">A769&amp;"|"&amp;C769</f>
        <v>3|Sapper</v>
      </c>
      <c r="E769" s="6" t="s">
        <v>1558</v>
      </c>
      <c r="F769" s="6" t="s">
        <v>1548</v>
      </c>
      <c r="G769" s="6" t="str">
        <f aca="false">INDEX(Archetypes!$D$2:$D$127, MATCH(D769, Archetypes!$A$2:$A$127, 0))</f>
        <v>Siege</v>
      </c>
      <c r="H769" s="6" t="n">
        <f aca="false">ROUND(INDEX(Archetypes!$E$2:$E$127, MATCH(D769, Archetypes!$A$2:$A$127, 0))*INDEX(Unit_Grades!$B$2:$B$7, MATCH(F769, Unit_Grades!$A$2:$A$7, 0))*INDEX(Unit_Paths!$B$2:$B$4, MATCH(E769, Unit_Paths!$A$2:$A$4, 0)),1)</f>
        <v>171.4</v>
      </c>
      <c r="I769" s="6" t="n">
        <f aca="false">ROUND(INDEX(Archetypes!$F$2:$F$127, MATCH(D769, Archetypes!$A$2:$A$127, 0))*INDEX(Unit_Grades!$B$2:$B$7, MATCH(F769, Unit_Grades!$A$2:$A$7, 0))*INDEX(Unit_Paths!$C$2:$C$4, MATCH(E769, Unit_Paths!$A$2:$A$4, 0)),1)</f>
        <v>71.4</v>
      </c>
      <c r="J769" s="6" t="n">
        <f aca="false">ROUND(INDEX(Archetypes!$G$2:$G$127, MATCH(D769, Archetypes!$A$2:$A$127, 0))*INDEX(Unit_Grades!$B$2:$B$7, MATCH(F769, Unit_Grades!$A$2:$A$7, 0))*INDEX(Unit_Paths!$D$2:$D$4, MATCH(E769, Unit_Paths!$A$2:$A$4, 0)),0)</f>
        <v>399</v>
      </c>
      <c r="K769" s="6" t="n">
        <f aca="false">ROUND(INDEX(Archetypes!$H$2:$H$127, MATCH(D769, Archetypes!$A$2:$A$127, 0))*INDEX(Unit_Paths!$E$2:$E$4, MATCH(E769, Unit_Paths!$A$2:$A$4, 0)),1)</f>
        <v>13.7</v>
      </c>
      <c r="L769" s="6" t="n">
        <f aca="false">ROUND(INDEX(Archetypes!$I$2:$I$127, MATCH(D769, Archetypes!$A$2:$A$127, 0))*INDEX(Unit_Grades!$C$2:$C$7, MATCH(F769, Unit_Grades!$A$2:$A$7, 0)),1)</f>
        <v>29.6</v>
      </c>
      <c r="M769" s="6" t="n">
        <f aca="false">ROUND(INDEX(Archetypes!$J$2:$J$127, MATCH(D769, Archetypes!$A$2:$A$127, 0))*INDEX(Unit_Grades!$D$2:$D$7, MATCH(F769, Unit_Grades!$A$2:$A$7, 0)),1)</f>
        <v>39</v>
      </c>
      <c r="N769" s="6" t="n">
        <f aca="false">ROUND(M769/24,2)</f>
        <v>1.63</v>
      </c>
    </row>
    <row r="770" customFormat="false" ht="15" hidden="false" customHeight="true" outlineLevel="0" collapsed="false">
      <c r="A770" s="6" t="n">
        <v>3</v>
      </c>
      <c r="B770" s="6" t="s">
        <v>2295</v>
      </c>
      <c r="C770" s="6" t="s">
        <v>1347</v>
      </c>
      <c r="D770" s="6" t="str">
        <f aca="false">A770&amp;"|"&amp;C770</f>
        <v>3|Sapper</v>
      </c>
      <c r="E770" s="6" t="s">
        <v>1560</v>
      </c>
      <c r="F770" s="6" t="s">
        <v>1538</v>
      </c>
      <c r="G770" s="6" t="str">
        <f aca="false">INDEX(Archetypes!$D$2:$D$127, MATCH(D770, Archetypes!$A$2:$A$127, 0))</f>
        <v>Siege</v>
      </c>
      <c r="H770" s="6" t="n">
        <f aca="false">ROUND(INDEX(Archetypes!$E$2:$E$127, MATCH(D770, Archetypes!$A$2:$A$127, 0))*INDEX(Unit_Grades!$B$2:$B$7, MATCH(F770, Unit_Grades!$A$2:$A$7, 0))*INDEX(Unit_Paths!$B$2:$B$4, MATCH(E770, Unit_Paths!$A$2:$A$4, 0)),1)</f>
        <v>28.9</v>
      </c>
      <c r="I770" s="6" t="n">
        <f aca="false">ROUND(INDEX(Archetypes!$F$2:$F$127, MATCH(D770, Archetypes!$A$2:$A$127, 0))*INDEX(Unit_Grades!$B$2:$B$7, MATCH(F770, Unit_Grades!$A$2:$A$7, 0))*INDEX(Unit_Paths!$C$2:$C$4, MATCH(E770, Unit_Paths!$A$2:$A$4, 0)),1)</f>
        <v>25</v>
      </c>
      <c r="J770" s="6" t="n">
        <f aca="false">ROUND(INDEX(Archetypes!$G$2:$G$127, MATCH(D770, Archetypes!$A$2:$A$127, 0))*INDEX(Unit_Grades!$B$2:$B$7, MATCH(F770, Unit_Grades!$A$2:$A$7, 0))*INDEX(Unit_Paths!$D$2:$D$4, MATCH(E770, Unit_Paths!$A$2:$A$4, 0)),0)</f>
        <v>115</v>
      </c>
      <c r="K770" s="6" t="n">
        <f aca="false">ROUND(INDEX(Archetypes!$H$2:$H$127, MATCH(D770, Archetypes!$A$2:$A$127, 0))*INDEX(Unit_Paths!$E$2:$E$4, MATCH(E770, Unit_Paths!$A$2:$A$4, 0)),1)</f>
        <v>12</v>
      </c>
      <c r="L770" s="6" t="n">
        <f aca="false">ROUND(INDEX(Archetypes!$I$2:$I$127, MATCH(D770, Archetypes!$A$2:$A$127, 0))*INDEX(Unit_Grades!$C$2:$C$7, MATCH(F770, Unit_Grades!$A$2:$A$7, 0)),1)</f>
        <v>8</v>
      </c>
      <c r="M770" s="6" t="n">
        <f aca="false">ROUND(INDEX(Archetypes!$J$2:$J$127, MATCH(D770, Archetypes!$A$2:$A$127, 0))*INDEX(Unit_Grades!$D$2:$D$7, MATCH(F770, Unit_Grades!$A$2:$A$7, 0)),1)</f>
        <v>3.3</v>
      </c>
      <c r="N770" s="6" t="n">
        <f aca="false">ROUND(M770/24,2)</f>
        <v>0.14</v>
      </c>
    </row>
    <row r="771" customFormat="false" ht="15" hidden="false" customHeight="true" outlineLevel="0" collapsed="false">
      <c r="A771" s="6" t="n">
        <v>3</v>
      </c>
      <c r="B771" s="6" t="s">
        <v>2296</v>
      </c>
      <c r="C771" s="6" t="s">
        <v>1347</v>
      </c>
      <c r="D771" s="6" t="str">
        <f aca="false">A771&amp;"|"&amp;C771</f>
        <v>3|Sapper</v>
      </c>
      <c r="E771" s="6" t="s">
        <v>1560</v>
      </c>
      <c r="F771" s="6" t="s">
        <v>1540</v>
      </c>
      <c r="G771" s="6" t="str">
        <f aca="false">INDEX(Archetypes!$D$2:$D$127, MATCH(D771, Archetypes!$A$2:$A$127, 0))</f>
        <v>Siege</v>
      </c>
      <c r="H771" s="6" t="n">
        <f aca="false">ROUND(INDEX(Archetypes!$E$2:$E$127, MATCH(D771, Archetypes!$A$2:$A$127, 0))*INDEX(Unit_Grades!$B$2:$B$7, MATCH(F771, Unit_Grades!$A$2:$A$7, 0))*INDEX(Unit_Paths!$B$2:$B$4, MATCH(E771, Unit_Paths!$A$2:$A$4, 0)),1)</f>
        <v>39</v>
      </c>
      <c r="I771" s="6" t="n">
        <f aca="false">ROUND(INDEX(Archetypes!$F$2:$F$127, MATCH(D771, Archetypes!$A$2:$A$127, 0))*INDEX(Unit_Grades!$B$2:$B$7, MATCH(F771, Unit_Grades!$A$2:$A$7, 0))*INDEX(Unit_Paths!$C$2:$C$4, MATCH(E771, Unit_Paths!$A$2:$A$4, 0)),1)</f>
        <v>33.8</v>
      </c>
      <c r="J771" s="6" t="n">
        <f aca="false">ROUND(INDEX(Archetypes!$G$2:$G$127, MATCH(D771, Archetypes!$A$2:$A$127, 0))*INDEX(Unit_Grades!$B$2:$B$7, MATCH(F771, Unit_Grades!$A$2:$A$7, 0))*INDEX(Unit_Paths!$D$2:$D$4, MATCH(E771, Unit_Paths!$A$2:$A$4, 0)),0)</f>
        <v>155</v>
      </c>
      <c r="K771" s="6" t="n">
        <f aca="false">ROUND(INDEX(Archetypes!$H$2:$H$127, MATCH(D771, Archetypes!$A$2:$A$127, 0))*INDEX(Unit_Paths!$E$2:$E$4, MATCH(E771, Unit_Paths!$A$2:$A$4, 0)),1)</f>
        <v>12</v>
      </c>
      <c r="L771" s="6" t="n">
        <f aca="false">ROUND(INDEX(Archetypes!$I$2:$I$127, MATCH(D771, Archetypes!$A$2:$A$127, 0))*INDEX(Unit_Grades!$C$2:$C$7, MATCH(F771, Unit_Grades!$A$2:$A$7, 0)),1)</f>
        <v>10</v>
      </c>
      <c r="M771" s="6" t="n">
        <f aca="false">ROUND(INDEX(Archetypes!$J$2:$J$127, MATCH(D771, Archetypes!$A$2:$A$127, 0))*INDEX(Unit_Grades!$D$2:$D$7, MATCH(F771, Unit_Grades!$A$2:$A$7, 0)),1)</f>
        <v>4.9</v>
      </c>
      <c r="N771" s="6" t="n">
        <f aca="false">ROUND(M771/24,2)</f>
        <v>0.2</v>
      </c>
    </row>
    <row r="772" customFormat="false" ht="15" hidden="false" customHeight="true" outlineLevel="0" collapsed="false">
      <c r="A772" s="6" t="n">
        <v>3</v>
      </c>
      <c r="B772" s="6" t="s">
        <v>2297</v>
      </c>
      <c r="C772" s="6" t="s">
        <v>1347</v>
      </c>
      <c r="D772" s="6" t="str">
        <f aca="false">A772&amp;"|"&amp;C772</f>
        <v>3|Sapper</v>
      </c>
      <c r="E772" s="6" t="s">
        <v>1560</v>
      </c>
      <c r="F772" s="6" t="s">
        <v>1542</v>
      </c>
      <c r="G772" s="6" t="str">
        <f aca="false">INDEX(Archetypes!$D$2:$D$127, MATCH(D772, Archetypes!$A$2:$A$127, 0))</f>
        <v>Siege</v>
      </c>
      <c r="H772" s="6" t="n">
        <f aca="false">ROUND(INDEX(Archetypes!$E$2:$E$127, MATCH(D772, Archetypes!$A$2:$A$127, 0))*INDEX(Unit_Grades!$B$2:$B$7, MATCH(F772, Unit_Grades!$A$2:$A$7, 0))*INDEX(Unit_Paths!$B$2:$B$4, MATCH(E772, Unit_Paths!$A$2:$A$4, 0)),1)</f>
        <v>52</v>
      </c>
      <c r="I772" s="6" t="n">
        <f aca="false">ROUND(INDEX(Archetypes!$F$2:$F$127, MATCH(D772, Archetypes!$A$2:$A$127, 0))*INDEX(Unit_Grades!$B$2:$B$7, MATCH(F772, Unit_Grades!$A$2:$A$7, 0))*INDEX(Unit_Paths!$C$2:$C$4, MATCH(E772, Unit_Paths!$A$2:$A$4, 0)),1)</f>
        <v>45</v>
      </c>
      <c r="J772" s="6" t="n">
        <f aca="false">ROUND(INDEX(Archetypes!$G$2:$G$127, MATCH(D772, Archetypes!$A$2:$A$127, 0))*INDEX(Unit_Grades!$B$2:$B$7, MATCH(F772, Unit_Grades!$A$2:$A$7, 0))*INDEX(Unit_Paths!$D$2:$D$4, MATCH(E772, Unit_Paths!$A$2:$A$4, 0)),0)</f>
        <v>207</v>
      </c>
      <c r="K772" s="6" t="n">
        <f aca="false">ROUND(INDEX(Archetypes!$H$2:$H$127, MATCH(D772, Archetypes!$A$2:$A$127, 0))*INDEX(Unit_Paths!$E$2:$E$4, MATCH(E772, Unit_Paths!$A$2:$A$4, 0)),1)</f>
        <v>12</v>
      </c>
      <c r="L772" s="6" t="n">
        <f aca="false">ROUND(INDEX(Archetypes!$I$2:$I$127, MATCH(D772, Archetypes!$A$2:$A$127, 0))*INDEX(Unit_Grades!$C$2:$C$7, MATCH(F772, Unit_Grades!$A$2:$A$7, 0)),1)</f>
        <v>12.8</v>
      </c>
      <c r="M772" s="6" t="n">
        <f aca="false">ROUND(INDEX(Archetypes!$J$2:$J$127, MATCH(D772, Archetypes!$A$2:$A$127, 0))*INDEX(Unit_Grades!$D$2:$D$7, MATCH(F772, Unit_Grades!$A$2:$A$7, 0)),1)</f>
        <v>8.1</v>
      </c>
      <c r="N772" s="6" t="n">
        <f aca="false">ROUND(M772/24,2)</f>
        <v>0.34</v>
      </c>
    </row>
    <row r="773" customFormat="false" ht="15" hidden="false" customHeight="true" outlineLevel="0" collapsed="false">
      <c r="A773" s="6" t="n">
        <v>3</v>
      </c>
      <c r="B773" s="6" t="s">
        <v>2298</v>
      </c>
      <c r="C773" s="6" t="s">
        <v>1347</v>
      </c>
      <c r="D773" s="6" t="str">
        <f aca="false">A773&amp;"|"&amp;C773</f>
        <v>3|Sapper</v>
      </c>
      <c r="E773" s="6" t="s">
        <v>1560</v>
      </c>
      <c r="F773" s="6" t="s">
        <v>1544</v>
      </c>
      <c r="G773" s="6" t="str">
        <f aca="false">INDEX(Archetypes!$D$2:$D$127, MATCH(D773, Archetypes!$A$2:$A$127, 0))</f>
        <v>Siege</v>
      </c>
      <c r="H773" s="6" t="n">
        <f aca="false">ROUND(INDEX(Archetypes!$E$2:$E$127, MATCH(D773, Archetypes!$A$2:$A$127, 0))*INDEX(Unit_Grades!$B$2:$B$7, MATCH(F773, Unit_Grades!$A$2:$A$7, 0))*INDEX(Unit_Paths!$B$2:$B$4, MATCH(E773, Unit_Paths!$A$2:$A$4, 0)),1)</f>
        <v>69.4</v>
      </c>
      <c r="I773" s="6" t="n">
        <f aca="false">ROUND(INDEX(Archetypes!$F$2:$F$127, MATCH(D773, Archetypes!$A$2:$A$127, 0))*INDEX(Unit_Grades!$B$2:$B$7, MATCH(F773, Unit_Grades!$A$2:$A$7, 0))*INDEX(Unit_Paths!$C$2:$C$4, MATCH(E773, Unit_Paths!$A$2:$A$4, 0)),1)</f>
        <v>60</v>
      </c>
      <c r="J773" s="6" t="n">
        <f aca="false">ROUND(INDEX(Archetypes!$G$2:$G$127, MATCH(D773, Archetypes!$A$2:$A$127, 0))*INDEX(Unit_Grades!$B$2:$B$7, MATCH(F773, Unit_Grades!$A$2:$A$7, 0))*INDEX(Unit_Paths!$D$2:$D$4, MATCH(E773, Unit_Paths!$A$2:$A$4, 0)),0)</f>
        <v>276</v>
      </c>
      <c r="K773" s="6" t="n">
        <f aca="false">ROUND(INDEX(Archetypes!$H$2:$H$127, MATCH(D773, Archetypes!$A$2:$A$127, 0))*INDEX(Unit_Paths!$E$2:$E$4, MATCH(E773, Unit_Paths!$A$2:$A$4, 0)),1)</f>
        <v>12</v>
      </c>
      <c r="L773" s="6" t="n">
        <f aca="false">ROUND(INDEX(Archetypes!$I$2:$I$127, MATCH(D773, Archetypes!$A$2:$A$127, 0))*INDEX(Unit_Grades!$C$2:$C$7, MATCH(F773, Unit_Grades!$A$2:$A$7, 0)),1)</f>
        <v>16.8</v>
      </c>
      <c r="M773" s="6" t="n">
        <f aca="false">ROUND(INDEX(Archetypes!$J$2:$J$127, MATCH(D773, Archetypes!$A$2:$A$127, 0))*INDEX(Unit_Grades!$D$2:$D$7, MATCH(F773, Unit_Grades!$A$2:$A$7, 0)),1)</f>
        <v>13</v>
      </c>
      <c r="N773" s="6" t="n">
        <f aca="false">ROUND(M773/24,2)</f>
        <v>0.54</v>
      </c>
    </row>
    <row r="774" customFormat="false" ht="15" hidden="false" customHeight="true" outlineLevel="0" collapsed="false">
      <c r="A774" s="6" t="n">
        <v>3</v>
      </c>
      <c r="B774" s="6" t="s">
        <v>2299</v>
      </c>
      <c r="C774" s="6" t="s">
        <v>1347</v>
      </c>
      <c r="D774" s="6" t="str">
        <f aca="false">A774&amp;"|"&amp;C774</f>
        <v>3|Sapper</v>
      </c>
      <c r="E774" s="6" t="s">
        <v>1560</v>
      </c>
      <c r="F774" s="6" t="s">
        <v>1546</v>
      </c>
      <c r="G774" s="6" t="str">
        <f aca="false">INDEX(Archetypes!$D$2:$D$127, MATCH(D774, Archetypes!$A$2:$A$127, 0))</f>
        <v>Siege</v>
      </c>
      <c r="H774" s="6" t="n">
        <f aca="false">ROUND(INDEX(Archetypes!$E$2:$E$127, MATCH(D774, Archetypes!$A$2:$A$127, 0))*INDEX(Unit_Grades!$B$2:$B$7, MATCH(F774, Unit_Grades!$A$2:$A$7, 0))*INDEX(Unit_Paths!$B$2:$B$4, MATCH(E774, Unit_Paths!$A$2:$A$4, 0)),1)</f>
        <v>92.5</v>
      </c>
      <c r="I774" s="6" t="n">
        <f aca="false">ROUND(INDEX(Archetypes!$F$2:$F$127, MATCH(D774, Archetypes!$A$2:$A$127, 0))*INDEX(Unit_Grades!$B$2:$B$7, MATCH(F774, Unit_Grades!$A$2:$A$7, 0))*INDEX(Unit_Paths!$C$2:$C$4, MATCH(E774, Unit_Paths!$A$2:$A$4, 0)),1)</f>
        <v>80</v>
      </c>
      <c r="J774" s="6" t="n">
        <f aca="false">ROUND(INDEX(Archetypes!$G$2:$G$127, MATCH(D774, Archetypes!$A$2:$A$127, 0))*INDEX(Unit_Grades!$B$2:$B$7, MATCH(F774, Unit_Grades!$A$2:$A$7, 0))*INDEX(Unit_Paths!$D$2:$D$4, MATCH(E774, Unit_Paths!$A$2:$A$4, 0)),0)</f>
        <v>368</v>
      </c>
      <c r="K774" s="6" t="n">
        <f aca="false">ROUND(INDEX(Archetypes!$H$2:$H$127, MATCH(D774, Archetypes!$A$2:$A$127, 0))*INDEX(Unit_Paths!$E$2:$E$4, MATCH(E774, Unit_Paths!$A$2:$A$4, 0)),1)</f>
        <v>12</v>
      </c>
      <c r="L774" s="6" t="n">
        <f aca="false">ROUND(INDEX(Archetypes!$I$2:$I$127, MATCH(D774, Archetypes!$A$2:$A$127, 0))*INDEX(Unit_Grades!$C$2:$C$7, MATCH(F774, Unit_Grades!$A$2:$A$7, 0)),1)</f>
        <v>22.4</v>
      </c>
      <c r="M774" s="6" t="n">
        <f aca="false">ROUND(INDEX(Archetypes!$J$2:$J$127, MATCH(D774, Archetypes!$A$2:$A$127, 0))*INDEX(Unit_Grades!$D$2:$D$7, MATCH(F774, Unit_Grades!$A$2:$A$7, 0)),1)</f>
        <v>22.8</v>
      </c>
      <c r="N774" s="6" t="n">
        <f aca="false">ROUND(M774/24,2)</f>
        <v>0.95</v>
      </c>
    </row>
    <row r="775" customFormat="false" ht="15" hidden="false" customHeight="true" outlineLevel="0" collapsed="false">
      <c r="A775" s="6" t="n">
        <v>3</v>
      </c>
      <c r="B775" s="6" t="s">
        <v>2300</v>
      </c>
      <c r="C775" s="6" t="s">
        <v>1347</v>
      </c>
      <c r="D775" s="6" t="str">
        <f aca="false">A775&amp;"|"&amp;C775</f>
        <v>3|Sapper</v>
      </c>
      <c r="E775" s="6" t="s">
        <v>1560</v>
      </c>
      <c r="F775" s="6" t="s">
        <v>1548</v>
      </c>
      <c r="G775" s="6" t="str">
        <f aca="false">INDEX(Archetypes!$D$2:$D$127, MATCH(D775, Archetypes!$A$2:$A$127, 0))</f>
        <v>Siege</v>
      </c>
      <c r="H775" s="6" t="n">
        <f aca="false">ROUND(INDEX(Archetypes!$E$2:$E$127, MATCH(D775, Archetypes!$A$2:$A$127, 0))*INDEX(Unit_Grades!$B$2:$B$7, MATCH(F775, Unit_Grades!$A$2:$A$7, 0))*INDEX(Unit_Paths!$B$2:$B$4, MATCH(E775, Unit_Paths!$A$2:$A$4, 0)),1)</f>
        <v>121.4</v>
      </c>
      <c r="I775" s="6" t="n">
        <f aca="false">ROUND(INDEX(Archetypes!$F$2:$F$127, MATCH(D775, Archetypes!$A$2:$A$127, 0))*INDEX(Unit_Grades!$B$2:$B$7, MATCH(F775, Unit_Grades!$A$2:$A$7, 0))*INDEX(Unit_Paths!$C$2:$C$4, MATCH(E775, Unit_Paths!$A$2:$A$4, 0)),1)</f>
        <v>105</v>
      </c>
      <c r="J775" s="6" t="n">
        <f aca="false">ROUND(INDEX(Archetypes!$G$2:$G$127, MATCH(D775, Archetypes!$A$2:$A$127, 0))*INDEX(Unit_Grades!$B$2:$B$7, MATCH(F775, Unit_Grades!$A$2:$A$7, 0))*INDEX(Unit_Paths!$D$2:$D$4, MATCH(E775, Unit_Paths!$A$2:$A$4, 0)),0)</f>
        <v>483</v>
      </c>
      <c r="K775" s="6" t="n">
        <f aca="false">ROUND(INDEX(Archetypes!$H$2:$H$127, MATCH(D775, Archetypes!$A$2:$A$127, 0))*INDEX(Unit_Paths!$E$2:$E$4, MATCH(E775, Unit_Paths!$A$2:$A$4, 0)),1)</f>
        <v>12</v>
      </c>
      <c r="L775" s="6" t="n">
        <f aca="false">ROUND(INDEX(Archetypes!$I$2:$I$127, MATCH(D775, Archetypes!$A$2:$A$127, 0))*INDEX(Unit_Grades!$C$2:$C$7, MATCH(F775, Unit_Grades!$A$2:$A$7, 0)),1)</f>
        <v>29.6</v>
      </c>
      <c r="M775" s="6" t="n">
        <f aca="false">ROUND(INDEX(Archetypes!$J$2:$J$127, MATCH(D775, Archetypes!$A$2:$A$127, 0))*INDEX(Unit_Grades!$D$2:$D$7, MATCH(F775, Unit_Grades!$A$2:$A$7, 0)),1)</f>
        <v>39</v>
      </c>
      <c r="N775" s="6" t="n">
        <f aca="false">ROUND(M775/24,2)</f>
        <v>1.63</v>
      </c>
    </row>
    <row r="776" customFormat="false" ht="15" hidden="false" customHeight="true" outlineLevel="0" collapsed="false">
      <c r="A776" s="6" t="n">
        <v>3</v>
      </c>
      <c r="B776" s="6" t="s">
        <v>1349</v>
      </c>
      <c r="C776" s="6" t="s">
        <v>1349</v>
      </c>
      <c r="D776" s="6" t="str">
        <f aca="false">A776&amp;"|"&amp;C776</f>
        <v>3|Governor</v>
      </c>
      <c r="E776" s="6" t="s">
        <v>1556</v>
      </c>
      <c r="F776" s="6" t="s">
        <v>1538</v>
      </c>
      <c r="G776" s="6" t="str">
        <f aca="false">INDEX(Archetypes!$D$2:$D$127, MATCH(D776, Archetypes!$A$2:$A$127, 0))</f>
        <v>Conquest</v>
      </c>
      <c r="H776" s="6" t="n">
        <f aca="false">ROUND(INDEX(Archetypes!$E$2:$E$127, MATCH(D776, Archetypes!$A$2:$A$127, 0))*INDEX(Unit_Grades!$B$2:$B$7, MATCH(F776, Unit_Grades!$A$2:$A$7, 0))*INDEX(Unit_Paths!$B$2:$B$4, MATCH(E776, Unit_Paths!$A$2:$A$4, 0)),1)</f>
        <v>8</v>
      </c>
      <c r="I776" s="6" t="n">
        <f aca="false">ROUND(INDEX(Archetypes!$F$2:$F$127, MATCH(D776, Archetypes!$A$2:$A$127, 0))*INDEX(Unit_Grades!$B$2:$B$7, MATCH(F776, Unit_Grades!$A$2:$A$7, 0))*INDEX(Unit_Paths!$C$2:$C$4, MATCH(E776, Unit_Paths!$A$2:$A$4, 0)),1)</f>
        <v>14</v>
      </c>
      <c r="J776" s="6" t="n">
        <f aca="false">ROUND(INDEX(Archetypes!$G$2:$G$127, MATCH(D776, Archetypes!$A$2:$A$127, 0))*INDEX(Unit_Grades!$B$2:$B$7, MATCH(F776, Unit_Grades!$A$2:$A$7, 0))*INDEX(Unit_Paths!$D$2:$D$4, MATCH(E776, Unit_Paths!$A$2:$A$4, 0)),0)</f>
        <v>95</v>
      </c>
      <c r="K776" s="6" t="n">
        <f aca="false">ROUND(INDEX(Archetypes!$H$2:$H$127, MATCH(D776, Archetypes!$A$2:$A$127, 0))*INDEX(Unit_Paths!$E$2:$E$4, MATCH(E776, Unit_Paths!$A$2:$A$4, 0)),1)</f>
        <v>12</v>
      </c>
      <c r="L776" s="6" t="n">
        <f aca="false">ROUND(INDEX(Archetypes!$I$2:$I$127, MATCH(D776, Archetypes!$A$2:$A$127, 0))*INDEX(Unit_Grades!$C$2:$C$7, MATCH(F776, Unit_Grades!$A$2:$A$7, 0)),1)</f>
        <v>28</v>
      </c>
      <c r="M776" s="6" t="n">
        <f aca="false">ROUND(INDEX(Archetypes!$J$2:$J$127, MATCH(D776, Archetypes!$A$2:$A$127, 0))*INDEX(Unit_Grades!$D$2:$D$7, MATCH(F776, Unit_Grades!$A$2:$A$7, 0)),1)</f>
        <v>11.4</v>
      </c>
      <c r="N776" s="6" t="n">
        <f aca="false">ROUND(M776/24,2)</f>
        <v>0.48</v>
      </c>
    </row>
    <row r="777" customFormat="false" ht="15" hidden="false" customHeight="true" outlineLevel="0" collapsed="false">
      <c r="A777" s="6" t="n">
        <v>3</v>
      </c>
      <c r="B777" s="6" t="s">
        <v>2301</v>
      </c>
      <c r="C777" s="6" t="s">
        <v>1349</v>
      </c>
      <c r="D777" s="6" t="str">
        <f aca="false">A777&amp;"|"&amp;C777</f>
        <v>3|Governor</v>
      </c>
      <c r="E777" s="6" t="s">
        <v>1556</v>
      </c>
      <c r="F777" s="6" t="s">
        <v>1540</v>
      </c>
      <c r="G777" s="6" t="str">
        <f aca="false">INDEX(Archetypes!$D$2:$D$127, MATCH(D777, Archetypes!$A$2:$A$127, 0))</f>
        <v>Conquest</v>
      </c>
      <c r="H777" s="6" t="n">
        <f aca="false">ROUND(INDEX(Archetypes!$E$2:$E$127, MATCH(D777, Archetypes!$A$2:$A$127, 0))*INDEX(Unit_Grades!$B$2:$B$7, MATCH(F777, Unit_Grades!$A$2:$A$7, 0))*INDEX(Unit_Paths!$B$2:$B$4, MATCH(E777, Unit_Paths!$A$2:$A$4, 0)),1)</f>
        <v>10.8</v>
      </c>
      <c r="I777" s="6" t="n">
        <f aca="false">ROUND(INDEX(Archetypes!$F$2:$F$127, MATCH(D777, Archetypes!$A$2:$A$127, 0))*INDEX(Unit_Grades!$B$2:$B$7, MATCH(F777, Unit_Grades!$A$2:$A$7, 0))*INDEX(Unit_Paths!$C$2:$C$4, MATCH(E777, Unit_Paths!$A$2:$A$4, 0)),1)</f>
        <v>18.9</v>
      </c>
      <c r="J777" s="6" t="n">
        <f aca="false">ROUND(INDEX(Archetypes!$G$2:$G$127, MATCH(D777, Archetypes!$A$2:$A$127, 0))*INDEX(Unit_Grades!$B$2:$B$7, MATCH(F777, Unit_Grades!$A$2:$A$7, 0))*INDEX(Unit_Paths!$D$2:$D$4, MATCH(E777, Unit_Paths!$A$2:$A$4, 0)),0)</f>
        <v>128</v>
      </c>
      <c r="K777" s="6" t="n">
        <f aca="false">ROUND(INDEX(Archetypes!$H$2:$H$127, MATCH(D777, Archetypes!$A$2:$A$127, 0))*INDEX(Unit_Paths!$E$2:$E$4, MATCH(E777, Unit_Paths!$A$2:$A$4, 0)),1)</f>
        <v>12</v>
      </c>
      <c r="L777" s="6" t="n">
        <f aca="false">ROUND(INDEX(Archetypes!$I$2:$I$127, MATCH(D777, Archetypes!$A$2:$A$127, 0))*INDEX(Unit_Grades!$C$2:$C$7, MATCH(F777, Unit_Grades!$A$2:$A$7, 0)),1)</f>
        <v>35</v>
      </c>
      <c r="M777" s="6" t="n">
        <f aca="false">ROUND(INDEX(Archetypes!$J$2:$J$127, MATCH(D777, Archetypes!$A$2:$A$127, 0))*INDEX(Unit_Grades!$D$2:$D$7, MATCH(F777, Unit_Grades!$A$2:$A$7, 0)),1)</f>
        <v>17</v>
      </c>
      <c r="N777" s="6" t="n">
        <f aca="false">ROUND(M777/24,2)</f>
        <v>0.71</v>
      </c>
    </row>
    <row r="778" customFormat="false" ht="15" hidden="false" customHeight="true" outlineLevel="0" collapsed="false">
      <c r="A778" s="6" t="n">
        <v>3</v>
      </c>
      <c r="B778" s="6" t="s">
        <v>2302</v>
      </c>
      <c r="C778" s="6" t="s">
        <v>1349</v>
      </c>
      <c r="D778" s="6" t="str">
        <f aca="false">A778&amp;"|"&amp;C778</f>
        <v>3|Governor</v>
      </c>
      <c r="E778" s="6" t="s">
        <v>1556</v>
      </c>
      <c r="F778" s="6" t="s">
        <v>1542</v>
      </c>
      <c r="G778" s="6" t="str">
        <f aca="false">INDEX(Archetypes!$D$2:$D$127, MATCH(D778, Archetypes!$A$2:$A$127, 0))</f>
        <v>Conquest</v>
      </c>
      <c r="H778" s="6" t="n">
        <f aca="false">ROUND(INDEX(Archetypes!$E$2:$E$127, MATCH(D778, Archetypes!$A$2:$A$127, 0))*INDEX(Unit_Grades!$B$2:$B$7, MATCH(F778, Unit_Grades!$A$2:$A$7, 0))*INDEX(Unit_Paths!$B$2:$B$4, MATCH(E778, Unit_Paths!$A$2:$A$4, 0)),1)</f>
        <v>14.4</v>
      </c>
      <c r="I778" s="6" t="n">
        <f aca="false">ROUND(INDEX(Archetypes!$F$2:$F$127, MATCH(D778, Archetypes!$A$2:$A$127, 0))*INDEX(Unit_Grades!$B$2:$B$7, MATCH(F778, Unit_Grades!$A$2:$A$7, 0))*INDEX(Unit_Paths!$C$2:$C$4, MATCH(E778, Unit_Paths!$A$2:$A$4, 0)),1)</f>
        <v>25.2</v>
      </c>
      <c r="J778" s="6" t="n">
        <f aca="false">ROUND(INDEX(Archetypes!$G$2:$G$127, MATCH(D778, Archetypes!$A$2:$A$127, 0))*INDEX(Unit_Grades!$B$2:$B$7, MATCH(F778, Unit_Grades!$A$2:$A$7, 0))*INDEX(Unit_Paths!$D$2:$D$4, MATCH(E778, Unit_Paths!$A$2:$A$4, 0)),0)</f>
        <v>171</v>
      </c>
      <c r="K778" s="6" t="n">
        <f aca="false">ROUND(INDEX(Archetypes!$H$2:$H$127, MATCH(D778, Archetypes!$A$2:$A$127, 0))*INDEX(Unit_Paths!$E$2:$E$4, MATCH(E778, Unit_Paths!$A$2:$A$4, 0)),1)</f>
        <v>12</v>
      </c>
      <c r="L778" s="6" t="n">
        <f aca="false">ROUND(INDEX(Archetypes!$I$2:$I$127, MATCH(D778, Archetypes!$A$2:$A$127, 0))*INDEX(Unit_Grades!$C$2:$C$7, MATCH(F778, Unit_Grades!$A$2:$A$7, 0)),1)</f>
        <v>44.8</v>
      </c>
      <c r="M778" s="6" t="n">
        <f aca="false">ROUND(INDEX(Archetypes!$J$2:$J$127, MATCH(D778, Archetypes!$A$2:$A$127, 0))*INDEX(Unit_Grades!$D$2:$D$7, MATCH(F778, Unit_Grades!$A$2:$A$7, 0)),1)</f>
        <v>28.4</v>
      </c>
      <c r="N778" s="6" t="n">
        <f aca="false">ROUND(M778/24,2)</f>
        <v>1.18</v>
      </c>
    </row>
    <row r="779" customFormat="false" ht="15" hidden="false" customHeight="true" outlineLevel="0" collapsed="false">
      <c r="A779" s="6" t="n">
        <v>3</v>
      </c>
      <c r="B779" s="6" t="s">
        <v>2303</v>
      </c>
      <c r="C779" s="6" t="s">
        <v>1349</v>
      </c>
      <c r="D779" s="6" t="str">
        <f aca="false">A779&amp;"|"&amp;C779</f>
        <v>3|Governor</v>
      </c>
      <c r="E779" s="6" t="s">
        <v>1556</v>
      </c>
      <c r="F779" s="6" t="s">
        <v>1544</v>
      </c>
      <c r="G779" s="6" t="str">
        <f aca="false">INDEX(Archetypes!$D$2:$D$127, MATCH(D779, Archetypes!$A$2:$A$127, 0))</f>
        <v>Conquest</v>
      </c>
      <c r="H779" s="6" t="n">
        <f aca="false">ROUND(INDEX(Archetypes!$E$2:$E$127, MATCH(D779, Archetypes!$A$2:$A$127, 0))*INDEX(Unit_Grades!$B$2:$B$7, MATCH(F779, Unit_Grades!$A$2:$A$7, 0))*INDEX(Unit_Paths!$B$2:$B$4, MATCH(E779, Unit_Paths!$A$2:$A$4, 0)),1)</f>
        <v>19.2</v>
      </c>
      <c r="I779" s="6" t="n">
        <f aca="false">ROUND(INDEX(Archetypes!$F$2:$F$127, MATCH(D779, Archetypes!$A$2:$A$127, 0))*INDEX(Unit_Grades!$B$2:$B$7, MATCH(F779, Unit_Grades!$A$2:$A$7, 0))*INDEX(Unit_Paths!$C$2:$C$4, MATCH(E779, Unit_Paths!$A$2:$A$4, 0)),1)</f>
        <v>33.6</v>
      </c>
      <c r="J779" s="6" t="n">
        <f aca="false">ROUND(INDEX(Archetypes!$G$2:$G$127, MATCH(D779, Archetypes!$A$2:$A$127, 0))*INDEX(Unit_Grades!$B$2:$B$7, MATCH(F779, Unit_Grades!$A$2:$A$7, 0))*INDEX(Unit_Paths!$D$2:$D$4, MATCH(E779, Unit_Paths!$A$2:$A$4, 0)),0)</f>
        <v>228</v>
      </c>
      <c r="K779" s="6" t="n">
        <f aca="false">ROUND(INDEX(Archetypes!$H$2:$H$127, MATCH(D779, Archetypes!$A$2:$A$127, 0))*INDEX(Unit_Paths!$E$2:$E$4, MATCH(E779, Unit_Paths!$A$2:$A$4, 0)),1)</f>
        <v>12</v>
      </c>
      <c r="L779" s="6" t="n">
        <f aca="false">ROUND(INDEX(Archetypes!$I$2:$I$127, MATCH(D779, Archetypes!$A$2:$A$127, 0))*INDEX(Unit_Grades!$C$2:$C$7, MATCH(F779, Unit_Grades!$A$2:$A$7, 0)),1)</f>
        <v>58.8</v>
      </c>
      <c r="M779" s="6" t="n">
        <f aca="false">ROUND(INDEX(Archetypes!$J$2:$J$127, MATCH(D779, Archetypes!$A$2:$A$127, 0))*INDEX(Unit_Grades!$D$2:$D$7, MATCH(F779, Unit_Grades!$A$2:$A$7, 0)),1)</f>
        <v>45.4</v>
      </c>
      <c r="N779" s="6" t="n">
        <f aca="false">ROUND(M779/24,2)</f>
        <v>1.89</v>
      </c>
    </row>
    <row r="780" customFormat="false" ht="15" hidden="false" customHeight="true" outlineLevel="0" collapsed="false">
      <c r="A780" s="6" t="n">
        <v>3</v>
      </c>
      <c r="B780" s="6" t="s">
        <v>2304</v>
      </c>
      <c r="C780" s="6" t="s">
        <v>1349</v>
      </c>
      <c r="D780" s="6" t="str">
        <f aca="false">A780&amp;"|"&amp;C780</f>
        <v>3|Governor</v>
      </c>
      <c r="E780" s="6" t="s">
        <v>1556</v>
      </c>
      <c r="F780" s="6" t="s">
        <v>1546</v>
      </c>
      <c r="G780" s="6" t="str">
        <f aca="false">INDEX(Archetypes!$D$2:$D$127, MATCH(D780, Archetypes!$A$2:$A$127, 0))</f>
        <v>Conquest</v>
      </c>
      <c r="H780" s="6" t="n">
        <f aca="false">ROUND(INDEX(Archetypes!$E$2:$E$127, MATCH(D780, Archetypes!$A$2:$A$127, 0))*INDEX(Unit_Grades!$B$2:$B$7, MATCH(F780, Unit_Grades!$A$2:$A$7, 0))*INDEX(Unit_Paths!$B$2:$B$4, MATCH(E780, Unit_Paths!$A$2:$A$4, 0)),1)</f>
        <v>25.6</v>
      </c>
      <c r="I780" s="6" t="n">
        <f aca="false">ROUND(INDEX(Archetypes!$F$2:$F$127, MATCH(D780, Archetypes!$A$2:$A$127, 0))*INDEX(Unit_Grades!$B$2:$B$7, MATCH(F780, Unit_Grades!$A$2:$A$7, 0))*INDEX(Unit_Paths!$C$2:$C$4, MATCH(E780, Unit_Paths!$A$2:$A$4, 0)),1)</f>
        <v>44.8</v>
      </c>
      <c r="J780" s="6" t="n">
        <f aca="false">ROUND(INDEX(Archetypes!$G$2:$G$127, MATCH(D780, Archetypes!$A$2:$A$127, 0))*INDEX(Unit_Grades!$B$2:$B$7, MATCH(F780, Unit_Grades!$A$2:$A$7, 0))*INDEX(Unit_Paths!$D$2:$D$4, MATCH(E780, Unit_Paths!$A$2:$A$4, 0)),0)</f>
        <v>304</v>
      </c>
      <c r="K780" s="6" t="n">
        <f aca="false">ROUND(INDEX(Archetypes!$H$2:$H$127, MATCH(D780, Archetypes!$A$2:$A$127, 0))*INDEX(Unit_Paths!$E$2:$E$4, MATCH(E780, Unit_Paths!$A$2:$A$4, 0)),1)</f>
        <v>12</v>
      </c>
      <c r="L780" s="6" t="n">
        <f aca="false">ROUND(INDEX(Archetypes!$I$2:$I$127, MATCH(D780, Archetypes!$A$2:$A$127, 0))*INDEX(Unit_Grades!$C$2:$C$7, MATCH(F780, Unit_Grades!$A$2:$A$7, 0)),1)</f>
        <v>78.4</v>
      </c>
      <c r="M780" s="6" t="n">
        <f aca="false">ROUND(INDEX(Archetypes!$J$2:$J$127, MATCH(D780, Archetypes!$A$2:$A$127, 0))*INDEX(Unit_Grades!$D$2:$D$7, MATCH(F780, Unit_Grades!$A$2:$A$7, 0)),1)</f>
        <v>79.5</v>
      </c>
      <c r="N780" s="6" t="n">
        <f aca="false">ROUND(M780/24,2)</f>
        <v>3.31</v>
      </c>
    </row>
    <row r="781" customFormat="false" ht="15" hidden="false" customHeight="true" outlineLevel="0" collapsed="false">
      <c r="A781" s="6" t="n">
        <v>3</v>
      </c>
      <c r="B781" s="6" t="s">
        <v>2305</v>
      </c>
      <c r="C781" s="6" t="s">
        <v>1349</v>
      </c>
      <c r="D781" s="6" t="str">
        <f aca="false">A781&amp;"|"&amp;C781</f>
        <v>3|Governor</v>
      </c>
      <c r="E781" s="6" t="s">
        <v>1556</v>
      </c>
      <c r="F781" s="6" t="s">
        <v>1548</v>
      </c>
      <c r="G781" s="6" t="str">
        <f aca="false">INDEX(Archetypes!$D$2:$D$127, MATCH(D781, Archetypes!$A$2:$A$127, 0))</f>
        <v>Conquest</v>
      </c>
      <c r="H781" s="6" t="n">
        <f aca="false">ROUND(INDEX(Archetypes!$E$2:$E$127, MATCH(D781, Archetypes!$A$2:$A$127, 0))*INDEX(Unit_Grades!$B$2:$B$7, MATCH(F781, Unit_Grades!$A$2:$A$7, 0))*INDEX(Unit_Paths!$B$2:$B$4, MATCH(E781, Unit_Paths!$A$2:$A$4, 0)),1)</f>
        <v>33.6</v>
      </c>
      <c r="I781" s="6" t="n">
        <f aca="false">ROUND(INDEX(Archetypes!$F$2:$F$127, MATCH(D781, Archetypes!$A$2:$A$127, 0))*INDEX(Unit_Grades!$B$2:$B$7, MATCH(F781, Unit_Grades!$A$2:$A$7, 0))*INDEX(Unit_Paths!$C$2:$C$4, MATCH(E781, Unit_Paths!$A$2:$A$4, 0)),1)</f>
        <v>58.8</v>
      </c>
      <c r="J781" s="6" t="n">
        <f aca="false">ROUND(INDEX(Archetypes!$G$2:$G$127, MATCH(D781, Archetypes!$A$2:$A$127, 0))*INDEX(Unit_Grades!$B$2:$B$7, MATCH(F781, Unit_Grades!$A$2:$A$7, 0))*INDEX(Unit_Paths!$D$2:$D$4, MATCH(E781, Unit_Paths!$A$2:$A$4, 0)),0)</f>
        <v>399</v>
      </c>
      <c r="K781" s="6" t="n">
        <f aca="false">ROUND(INDEX(Archetypes!$H$2:$H$127, MATCH(D781, Archetypes!$A$2:$A$127, 0))*INDEX(Unit_Paths!$E$2:$E$4, MATCH(E781, Unit_Paths!$A$2:$A$4, 0)),1)</f>
        <v>12</v>
      </c>
      <c r="L781" s="6" t="n">
        <f aca="false">ROUND(INDEX(Archetypes!$I$2:$I$127, MATCH(D781, Archetypes!$A$2:$A$127, 0))*INDEX(Unit_Grades!$C$2:$C$7, MATCH(F781, Unit_Grades!$A$2:$A$7, 0)),1)</f>
        <v>103.6</v>
      </c>
      <c r="M781" s="6" t="n">
        <f aca="false">ROUND(INDEX(Archetypes!$J$2:$J$127, MATCH(D781, Archetypes!$A$2:$A$127, 0))*INDEX(Unit_Grades!$D$2:$D$7, MATCH(F781, Unit_Grades!$A$2:$A$7, 0)),1)</f>
        <v>136.3</v>
      </c>
      <c r="N781" s="6" t="n">
        <f aca="false">ROUND(M781/24,2)</f>
        <v>5.68</v>
      </c>
    </row>
    <row r="782" customFormat="false" ht="15" hidden="false" customHeight="true" outlineLevel="0" collapsed="false">
      <c r="A782" s="6" t="n">
        <v>3</v>
      </c>
      <c r="B782" s="6" t="s">
        <v>2306</v>
      </c>
      <c r="C782" s="6" t="s">
        <v>1349</v>
      </c>
      <c r="D782" s="6" t="str">
        <f aca="false">A782&amp;"|"&amp;C782</f>
        <v>3|Governor</v>
      </c>
      <c r="E782" s="6" t="s">
        <v>1558</v>
      </c>
      <c r="F782" s="6" t="s">
        <v>1538</v>
      </c>
      <c r="G782" s="6" t="str">
        <f aca="false">INDEX(Archetypes!$D$2:$D$127, MATCH(D782, Archetypes!$A$2:$A$127, 0))</f>
        <v>Conquest</v>
      </c>
      <c r="H782" s="6" t="n">
        <f aca="false">ROUND(INDEX(Archetypes!$E$2:$E$127, MATCH(D782, Archetypes!$A$2:$A$127, 0))*INDEX(Unit_Grades!$B$2:$B$7, MATCH(F782, Unit_Grades!$A$2:$A$7, 0))*INDEX(Unit_Paths!$B$2:$B$4, MATCH(E782, Unit_Paths!$A$2:$A$4, 0)),1)</f>
        <v>9.6</v>
      </c>
      <c r="I782" s="6" t="n">
        <f aca="false">ROUND(INDEX(Archetypes!$F$2:$F$127, MATCH(D782, Archetypes!$A$2:$A$127, 0))*INDEX(Unit_Grades!$B$2:$B$7, MATCH(F782, Unit_Grades!$A$2:$A$7, 0))*INDEX(Unit_Paths!$C$2:$C$4, MATCH(E782, Unit_Paths!$A$2:$A$4, 0)),1)</f>
        <v>11.9</v>
      </c>
      <c r="J782" s="6" t="n">
        <f aca="false">ROUND(INDEX(Archetypes!$G$2:$G$127, MATCH(D782, Archetypes!$A$2:$A$127, 0))*INDEX(Unit_Grades!$B$2:$B$7, MATCH(F782, Unit_Grades!$A$2:$A$7, 0))*INDEX(Unit_Paths!$D$2:$D$4, MATCH(E782, Unit_Paths!$A$2:$A$4, 0)),0)</f>
        <v>90</v>
      </c>
      <c r="K782" s="6" t="n">
        <f aca="false">ROUND(INDEX(Archetypes!$H$2:$H$127, MATCH(D782, Archetypes!$A$2:$A$127, 0))*INDEX(Unit_Paths!$E$2:$E$4, MATCH(E782, Unit_Paths!$A$2:$A$4, 0)),1)</f>
        <v>12.6</v>
      </c>
      <c r="L782" s="6" t="n">
        <f aca="false">ROUND(INDEX(Archetypes!$I$2:$I$127, MATCH(D782, Archetypes!$A$2:$A$127, 0))*INDEX(Unit_Grades!$C$2:$C$7, MATCH(F782, Unit_Grades!$A$2:$A$7, 0)),1)</f>
        <v>28</v>
      </c>
      <c r="M782" s="6" t="n">
        <f aca="false">ROUND(INDEX(Archetypes!$J$2:$J$127, MATCH(D782, Archetypes!$A$2:$A$127, 0))*INDEX(Unit_Grades!$D$2:$D$7, MATCH(F782, Unit_Grades!$A$2:$A$7, 0)),1)</f>
        <v>11.4</v>
      </c>
      <c r="N782" s="6" t="n">
        <f aca="false">ROUND(M782/24,2)</f>
        <v>0.48</v>
      </c>
    </row>
    <row r="783" customFormat="false" ht="15" hidden="false" customHeight="true" outlineLevel="0" collapsed="false">
      <c r="A783" s="6" t="n">
        <v>3</v>
      </c>
      <c r="B783" s="6" t="s">
        <v>2307</v>
      </c>
      <c r="C783" s="6" t="s">
        <v>1349</v>
      </c>
      <c r="D783" s="6" t="str">
        <f aca="false">A783&amp;"|"&amp;C783</f>
        <v>3|Governor</v>
      </c>
      <c r="E783" s="6" t="s">
        <v>1558</v>
      </c>
      <c r="F783" s="6" t="s">
        <v>1540</v>
      </c>
      <c r="G783" s="6" t="str">
        <f aca="false">INDEX(Archetypes!$D$2:$D$127, MATCH(D783, Archetypes!$A$2:$A$127, 0))</f>
        <v>Conquest</v>
      </c>
      <c r="H783" s="6" t="n">
        <f aca="false">ROUND(INDEX(Archetypes!$E$2:$E$127, MATCH(D783, Archetypes!$A$2:$A$127, 0))*INDEX(Unit_Grades!$B$2:$B$7, MATCH(F783, Unit_Grades!$A$2:$A$7, 0))*INDEX(Unit_Paths!$B$2:$B$4, MATCH(E783, Unit_Paths!$A$2:$A$4, 0)),1)</f>
        <v>13</v>
      </c>
      <c r="I783" s="6" t="n">
        <f aca="false">ROUND(INDEX(Archetypes!$F$2:$F$127, MATCH(D783, Archetypes!$A$2:$A$127, 0))*INDEX(Unit_Grades!$B$2:$B$7, MATCH(F783, Unit_Grades!$A$2:$A$7, 0))*INDEX(Unit_Paths!$C$2:$C$4, MATCH(E783, Unit_Paths!$A$2:$A$4, 0)),1)</f>
        <v>16.1</v>
      </c>
      <c r="J783" s="6" t="n">
        <f aca="false">ROUND(INDEX(Archetypes!$G$2:$G$127, MATCH(D783, Archetypes!$A$2:$A$127, 0))*INDEX(Unit_Grades!$B$2:$B$7, MATCH(F783, Unit_Grades!$A$2:$A$7, 0))*INDEX(Unit_Paths!$D$2:$D$4, MATCH(E783, Unit_Paths!$A$2:$A$4, 0)),0)</f>
        <v>122</v>
      </c>
      <c r="K783" s="6" t="n">
        <f aca="false">ROUND(INDEX(Archetypes!$H$2:$H$127, MATCH(D783, Archetypes!$A$2:$A$127, 0))*INDEX(Unit_Paths!$E$2:$E$4, MATCH(E783, Unit_Paths!$A$2:$A$4, 0)),1)</f>
        <v>12.6</v>
      </c>
      <c r="L783" s="6" t="n">
        <f aca="false">ROUND(INDEX(Archetypes!$I$2:$I$127, MATCH(D783, Archetypes!$A$2:$A$127, 0))*INDEX(Unit_Grades!$C$2:$C$7, MATCH(F783, Unit_Grades!$A$2:$A$7, 0)),1)</f>
        <v>35</v>
      </c>
      <c r="M783" s="6" t="n">
        <f aca="false">ROUND(INDEX(Archetypes!$J$2:$J$127, MATCH(D783, Archetypes!$A$2:$A$127, 0))*INDEX(Unit_Grades!$D$2:$D$7, MATCH(F783, Unit_Grades!$A$2:$A$7, 0)),1)</f>
        <v>17</v>
      </c>
      <c r="N783" s="6" t="n">
        <f aca="false">ROUND(M783/24,2)</f>
        <v>0.71</v>
      </c>
    </row>
    <row r="784" customFormat="false" ht="15" hidden="false" customHeight="true" outlineLevel="0" collapsed="false">
      <c r="A784" s="6" t="n">
        <v>3</v>
      </c>
      <c r="B784" s="6" t="s">
        <v>2308</v>
      </c>
      <c r="C784" s="6" t="s">
        <v>1349</v>
      </c>
      <c r="D784" s="6" t="str">
        <f aca="false">A784&amp;"|"&amp;C784</f>
        <v>3|Governor</v>
      </c>
      <c r="E784" s="6" t="s">
        <v>1558</v>
      </c>
      <c r="F784" s="6" t="s">
        <v>1542</v>
      </c>
      <c r="G784" s="6" t="str">
        <f aca="false">INDEX(Archetypes!$D$2:$D$127, MATCH(D784, Archetypes!$A$2:$A$127, 0))</f>
        <v>Conquest</v>
      </c>
      <c r="H784" s="6" t="n">
        <f aca="false">ROUND(INDEX(Archetypes!$E$2:$E$127, MATCH(D784, Archetypes!$A$2:$A$127, 0))*INDEX(Unit_Grades!$B$2:$B$7, MATCH(F784, Unit_Grades!$A$2:$A$7, 0))*INDEX(Unit_Paths!$B$2:$B$4, MATCH(E784, Unit_Paths!$A$2:$A$4, 0)),1)</f>
        <v>17.3</v>
      </c>
      <c r="I784" s="6" t="n">
        <f aca="false">ROUND(INDEX(Archetypes!$F$2:$F$127, MATCH(D784, Archetypes!$A$2:$A$127, 0))*INDEX(Unit_Grades!$B$2:$B$7, MATCH(F784, Unit_Grades!$A$2:$A$7, 0))*INDEX(Unit_Paths!$C$2:$C$4, MATCH(E784, Unit_Paths!$A$2:$A$4, 0)),1)</f>
        <v>21.4</v>
      </c>
      <c r="J784" s="6" t="n">
        <f aca="false">ROUND(INDEX(Archetypes!$G$2:$G$127, MATCH(D784, Archetypes!$A$2:$A$127, 0))*INDEX(Unit_Grades!$B$2:$B$7, MATCH(F784, Unit_Grades!$A$2:$A$7, 0))*INDEX(Unit_Paths!$D$2:$D$4, MATCH(E784, Unit_Paths!$A$2:$A$4, 0)),0)</f>
        <v>162</v>
      </c>
      <c r="K784" s="6" t="n">
        <f aca="false">ROUND(INDEX(Archetypes!$H$2:$H$127, MATCH(D784, Archetypes!$A$2:$A$127, 0))*INDEX(Unit_Paths!$E$2:$E$4, MATCH(E784, Unit_Paths!$A$2:$A$4, 0)),1)</f>
        <v>12.6</v>
      </c>
      <c r="L784" s="6" t="n">
        <f aca="false">ROUND(INDEX(Archetypes!$I$2:$I$127, MATCH(D784, Archetypes!$A$2:$A$127, 0))*INDEX(Unit_Grades!$C$2:$C$7, MATCH(F784, Unit_Grades!$A$2:$A$7, 0)),1)</f>
        <v>44.8</v>
      </c>
      <c r="M784" s="6" t="n">
        <f aca="false">ROUND(INDEX(Archetypes!$J$2:$J$127, MATCH(D784, Archetypes!$A$2:$A$127, 0))*INDEX(Unit_Grades!$D$2:$D$7, MATCH(F784, Unit_Grades!$A$2:$A$7, 0)),1)</f>
        <v>28.4</v>
      </c>
      <c r="N784" s="6" t="n">
        <f aca="false">ROUND(M784/24,2)</f>
        <v>1.18</v>
      </c>
    </row>
    <row r="785" customFormat="false" ht="15" hidden="false" customHeight="true" outlineLevel="0" collapsed="false">
      <c r="A785" s="6" t="n">
        <v>3</v>
      </c>
      <c r="B785" s="6" t="s">
        <v>2309</v>
      </c>
      <c r="C785" s="6" t="s">
        <v>1349</v>
      </c>
      <c r="D785" s="6" t="str">
        <f aca="false">A785&amp;"|"&amp;C785</f>
        <v>3|Governor</v>
      </c>
      <c r="E785" s="6" t="s">
        <v>1558</v>
      </c>
      <c r="F785" s="6" t="s">
        <v>1544</v>
      </c>
      <c r="G785" s="6" t="str">
        <f aca="false">INDEX(Archetypes!$D$2:$D$127, MATCH(D785, Archetypes!$A$2:$A$127, 0))</f>
        <v>Conquest</v>
      </c>
      <c r="H785" s="6" t="n">
        <f aca="false">ROUND(INDEX(Archetypes!$E$2:$E$127, MATCH(D785, Archetypes!$A$2:$A$127, 0))*INDEX(Unit_Grades!$B$2:$B$7, MATCH(F785, Unit_Grades!$A$2:$A$7, 0))*INDEX(Unit_Paths!$B$2:$B$4, MATCH(E785, Unit_Paths!$A$2:$A$4, 0)),1)</f>
        <v>23</v>
      </c>
      <c r="I785" s="6" t="n">
        <f aca="false">ROUND(INDEX(Archetypes!$F$2:$F$127, MATCH(D785, Archetypes!$A$2:$A$127, 0))*INDEX(Unit_Grades!$B$2:$B$7, MATCH(F785, Unit_Grades!$A$2:$A$7, 0))*INDEX(Unit_Paths!$C$2:$C$4, MATCH(E785, Unit_Paths!$A$2:$A$4, 0)),1)</f>
        <v>28.6</v>
      </c>
      <c r="J785" s="6" t="n">
        <f aca="false">ROUND(INDEX(Archetypes!$G$2:$G$127, MATCH(D785, Archetypes!$A$2:$A$127, 0))*INDEX(Unit_Grades!$B$2:$B$7, MATCH(F785, Unit_Grades!$A$2:$A$7, 0))*INDEX(Unit_Paths!$D$2:$D$4, MATCH(E785, Unit_Paths!$A$2:$A$4, 0)),0)</f>
        <v>217</v>
      </c>
      <c r="K785" s="6" t="n">
        <f aca="false">ROUND(INDEX(Archetypes!$H$2:$H$127, MATCH(D785, Archetypes!$A$2:$A$127, 0))*INDEX(Unit_Paths!$E$2:$E$4, MATCH(E785, Unit_Paths!$A$2:$A$4, 0)),1)</f>
        <v>12.6</v>
      </c>
      <c r="L785" s="6" t="n">
        <f aca="false">ROUND(INDEX(Archetypes!$I$2:$I$127, MATCH(D785, Archetypes!$A$2:$A$127, 0))*INDEX(Unit_Grades!$C$2:$C$7, MATCH(F785, Unit_Grades!$A$2:$A$7, 0)),1)</f>
        <v>58.8</v>
      </c>
      <c r="M785" s="6" t="n">
        <f aca="false">ROUND(INDEX(Archetypes!$J$2:$J$127, MATCH(D785, Archetypes!$A$2:$A$127, 0))*INDEX(Unit_Grades!$D$2:$D$7, MATCH(F785, Unit_Grades!$A$2:$A$7, 0)),1)</f>
        <v>45.4</v>
      </c>
      <c r="N785" s="6" t="n">
        <f aca="false">ROUND(M785/24,2)</f>
        <v>1.89</v>
      </c>
    </row>
    <row r="786" customFormat="false" ht="15" hidden="false" customHeight="true" outlineLevel="0" collapsed="false">
      <c r="A786" s="6" t="n">
        <v>3</v>
      </c>
      <c r="B786" s="6" t="s">
        <v>2310</v>
      </c>
      <c r="C786" s="6" t="s">
        <v>1349</v>
      </c>
      <c r="D786" s="6" t="str">
        <f aca="false">A786&amp;"|"&amp;C786</f>
        <v>3|Governor</v>
      </c>
      <c r="E786" s="6" t="s">
        <v>1558</v>
      </c>
      <c r="F786" s="6" t="s">
        <v>1546</v>
      </c>
      <c r="G786" s="6" t="str">
        <f aca="false">INDEX(Archetypes!$D$2:$D$127, MATCH(D786, Archetypes!$A$2:$A$127, 0))</f>
        <v>Conquest</v>
      </c>
      <c r="H786" s="6" t="n">
        <f aca="false">ROUND(INDEX(Archetypes!$E$2:$E$127, MATCH(D786, Archetypes!$A$2:$A$127, 0))*INDEX(Unit_Grades!$B$2:$B$7, MATCH(F786, Unit_Grades!$A$2:$A$7, 0))*INDEX(Unit_Paths!$B$2:$B$4, MATCH(E786, Unit_Paths!$A$2:$A$4, 0)),1)</f>
        <v>30.7</v>
      </c>
      <c r="I786" s="6" t="n">
        <f aca="false">ROUND(INDEX(Archetypes!$F$2:$F$127, MATCH(D786, Archetypes!$A$2:$A$127, 0))*INDEX(Unit_Grades!$B$2:$B$7, MATCH(F786, Unit_Grades!$A$2:$A$7, 0))*INDEX(Unit_Paths!$C$2:$C$4, MATCH(E786, Unit_Paths!$A$2:$A$4, 0)),1)</f>
        <v>38.1</v>
      </c>
      <c r="J786" s="6" t="n">
        <f aca="false">ROUND(INDEX(Archetypes!$G$2:$G$127, MATCH(D786, Archetypes!$A$2:$A$127, 0))*INDEX(Unit_Grades!$B$2:$B$7, MATCH(F786, Unit_Grades!$A$2:$A$7, 0))*INDEX(Unit_Paths!$D$2:$D$4, MATCH(E786, Unit_Paths!$A$2:$A$4, 0)),0)</f>
        <v>289</v>
      </c>
      <c r="K786" s="6" t="n">
        <f aca="false">ROUND(INDEX(Archetypes!$H$2:$H$127, MATCH(D786, Archetypes!$A$2:$A$127, 0))*INDEX(Unit_Paths!$E$2:$E$4, MATCH(E786, Unit_Paths!$A$2:$A$4, 0)),1)</f>
        <v>12.6</v>
      </c>
      <c r="L786" s="6" t="n">
        <f aca="false">ROUND(INDEX(Archetypes!$I$2:$I$127, MATCH(D786, Archetypes!$A$2:$A$127, 0))*INDEX(Unit_Grades!$C$2:$C$7, MATCH(F786, Unit_Grades!$A$2:$A$7, 0)),1)</f>
        <v>78.4</v>
      </c>
      <c r="M786" s="6" t="n">
        <f aca="false">ROUND(INDEX(Archetypes!$J$2:$J$127, MATCH(D786, Archetypes!$A$2:$A$127, 0))*INDEX(Unit_Grades!$D$2:$D$7, MATCH(F786, Unit_Grades!$A$2:$A$7, 0)),1)</f>
        <v>79.5</v>
      </c>
      <c r="N786" s="6" t="n">
        <f aca="false">ROUND(M786/24,2)</f>
        <v>3.31</v>
      </c>
    </row>
    <row r="787" customFormat="false" ht="15" hidden="false" customHeight="true" outlineLevel="0" collapsed="false">
      <c r="A787" s="6" t="n">
        <v>3</v>
      </c>
      <c r="B787" s="6" t="s">
        <v>2311</v>
      </c>
      <c r="C787" s="6" t="s">
        <v>1349</v>
      </c>
      <c r="D787" s="6" t="str">
        <f aca="false">A787&amp;"|"&amp;C787</f>
        <v>3|Governor</v>
      </c>
      <c r="E787" s="6" t="s">
        <v>1558</v>
      </c>
      <c r="F787" s="6" t="s">
        <v>1548</v>
      </c>
      <c r="G787" s="6" t="str">
        <f aca="false">INDEX(Archetypes!$D$2:$D$127, MATCH(D787, Archetypes!$A$2:$A$127, 0))</f>
        <v>Conquest</v>
      </c>
      <c r="H787" s="6" t="n">
        <f aca="false">ROUND(INDEX(Archetypes!$E$2:$E$127, MATCH(D787, Archetypes!$A$2:$A$127, 0))*INDEX(Unit_Grades!$B$2:$B$7, MATCH(F787, Unit_Grades!$A$2:$A$7, 0))*INDEX(Unit_Paths!$B$2:$B$4, MATCH(E787, Unit_Paths!$A$2:$A$4, 0)),1)</f>
        <v>40.3</v>
      </c>
      <c r="I787" s="6" t="n">
        <f aca="false">ROUND(INDEX(Archetypes!$F$2:$F$127, MATCH(D787, Archetypes!$A$2:$A$127, 0))*INDEX(Unit_Grades!$B$2:$B$7, MATCH(F787, Unit_Grades!$A$2:$A$7, 0))*INDEX(Unit_Paths!$C$2:$C$4, MATCH(E787, Unit_Paths!$A$2:$A$4, 0)),1)</f>
        <v>50</v>
      </c>
      <c r="J787" s="6" t="n">
        <f aca="false">ROUND(INDEX(Archetypes!$G$2:$G$127, MATCH(D787, Archetypes!$A$2:$A$127, 0))*INDEX(Unit_Grades!$B$2:$B$7, MATCH(F787, Unit_Grades!$A$2:$A$7, 0))*INDEX(Unit_Paths!$D$2:$D$4, MATCH(E787, Unit_Paths!$A$2:$A$4, 0)),0)</f>
        <v>379</v>
      </c>
      <c r="K787" s="6" t="n">
        <f aca="false">ROUND(INDEX(Archetypes!$H$2:$H$127, MATCH(D787, Archetypes!$A$2:$A$127, 0))*INDEX(Unit_Paths!$E$2:$E$4, MATCH(E787, Unit_Paths!$A$2:$A$4, 0)),1)</f>
        <v>12.6</v>
      </c>
      <c r="L787" s="6" t="n">
        <f aca="false">ROUND(INDEX(Archetypes!$I$2:$I$127, MATCH(D787, Archetypes!$A$2:$A$127, 0))*INDEX(Unit_Grades!$C$2:$C$7, MATCH(F787, Unit_Grades!$A$2:$A$7, 0)),1)</f>
        <v>103.6</v>
      </c>
      <c r="M787" s="6" t="n">
        <f aca="false">ROUND(INDEX(Archetypes!$J$2:$J$127, MATCH(D787, Archetypes!$A$2:$A$127, 0))*INDEX(Unit_Grades!$D$2:$D$7, MATCH(F787, Unit_Grades!$A$2:$A$7, 0)),1)</f>
        <v>136.3</v>
      </c>
      <c r="N787" s="6" t="n">
        <f aca="false">ROUND(M787/24,2)</f>
        <v>5.68</v>
      </c>
    </row>
    <row r="788" customFormat="false" ht="15" hidden="false" customHeight="true" outlineLevel="0" collapsed="false">
      <c r="A788" s="6" t="n">
        <v>3</v>
      </c>
      <c r="B788" s="6" t="s">
        <v>2312</v>
      </c>
      <c r="C788" s="6" t="s">
        <v>1349</v>
      </c>
      <c r="D788" s="6" t="str">
        <f aca="false">A788&amp;"|"&amp;C788</f>
        <v>3|Governor</v>
      </c>
      <c r="E788" s="6" t="s">
        <v>1560</v>
      </c>
      <c r="F788" s="6" t="s">
        <v>1538</v>
      </c>
      <c r="G788" s="6" t="str">
        <f aca="false">INDEX(Archetypes!$D$2:$D$127, MATCH(D788, Archetypes!$A$2:$A$127, 0))</f>
        <v>Conquest</v>
      </c>
      <c r="H788" s="6" t="n">
        <f aca="false">ROUND(INDEX(Archetypes!$E$2:$E$127, MATCH(D788, Archetypes!$A$2:$A$127, 0))*INDEX(Unit_Grades!$B$2:$B$7, MATCH(F788, Unit_Grades!$A$2:$A$7, 0))*INDEX(Unit_Paths!$B$2:$B$4, MATCH(E788, Unit_Paths!$A$2:$A$4, 0)),1)</f>
        <v>6.8</v>
      </c>
      <c r="I788" s="6" t="n">
        <f aca="false">ROUND(INDEX(Archetypes!$F$2:$F$127, MATCH(D788, Archetypes!$A$2:$A$127, 0))*INDEX(Unit_Grades!$B$2:$B$7, MATCH(F788, Unit_Grades!$A$2:$A$7, 0))*INDEX(Unit_Paths!$C$2:$C$4, MATCH(E788, Unit_Paths!$A$2:$A$4, 0)),1)</f>
        <v>17.5</v>
      </c>
      <c r="J788" s="6" t="n">
        <f aca="false">ROUND(INDEX(Archetypes!$G$2:$G$127, MATCH(D788, Archetypes!$A$2:$A$127, 0))*INDEX(Unit_Grades!$B$2:$B$7, MATCH(F788, Unit_Grades!$A$2:$A$7, 0))*INDEX(Unit_Paths!$D$2:$D$4, MATCH(E788, Unit_Paths!$A$2:$A$4, 0)),0)</f>
        <v>109</v>
      </c>
      <c r="K788" s="6" t="n">
        <f aca="false">ROUND(INDEX(Archetypes!$H$2:$H$127, MATCH(D788, Archetypes!$A$2:$A$127, 0))*INDEX(Unit_Paths!$E$2:$E$4, MATCH(E788, Unit_Paths!$A$2:$A$4, 0)),1)</f>
        <v>11</v>
      </c>
      <c r="L788" s="6" t="n">
        <f aca="false">ROUND(INDEX(Archetypes!$I$2:$I$127, MATCH(D788, Archetypes!$A$2:$A$127, 0))*INDEX(Unit_Grades!$C$2:$C$7, MATCH(F788, Unit_Grades!$A$2:$A$7, 0)),1)</f>
        <v>28</v>
      </c>
      <c r="M788" s="6" t="n">
        <f aca="false">ROUND(INDEX(Archetypes!$J$2:$J$127, MATCH(D788, Archetypes!$A$2:$A$127, 0))*INDEX(Unit_Grades!$D$2:$D$7, MATCH(F788, Unit_Grades!$A$2:$A$7, 0)),1)</f>
        <v>11.4</v>
      </c>
      <c r="N788" s="6" t="n">
        <f aca="false">ROUND(M788/24,2)</f>
        <v>0.48</v>
      </c>
    </row>
    <row r="789" customFormat="false" ht="15" hidden="false" customHeight="true" outlineLevel="0" collapsed="false">
      <c r="A789" s="6" t="n">
        <v>3</v>
      </c>
      <c r="B789" s="6" t="s">
        <v>2313</v>
      </c>
      <c r="C789" s="6" t="s">
        <v>1349</v>
      </c>
      <c r="D789" s="6" t="str">
        <f aca="false">A789&amp;"|"&amp;C789</f>
        <v>3|Governor</v>
      </c>
      <c r="E789" s="6" t="s">
        <v>1560</v>
      </c>
      <c r="F789" s="6" t="s">
        <v>1540</v>
      </c>
      <c r="G789" s="6" t="str">
        <f aca="false">INDEX(Archetypes!$D$2:$D$127, MATCH(D789, Archetypes!$A$2:$A$127, 0))</f>
        <v>Conquest</v>
      </c>
      <c r="H789" s="6" t="n">
        <f aca="false">ROUND(INDEX(Archetypes!$E$2:$E$127, MATCH(D789, Archetypes!$A$2:$A$127, 0))*INDEX(Unit_Grades!$B$2:$B$7, MATCH(F789, Unit_Grades!$A$2:$A$7, 0))*INDEX(Unit_Paths!$B$2:$B$4, MATCH(E789, Unit_Paths!$A$2:$A$4, 0)),1)</f>
        <v>9.2</v>
      </c>
      <c r="I789" s="6" t="n">
        <f aca="false">ROUND(INDEX(Archetypes!$F$2:$F$127, MATCH(D789, Archetypes!$A$2:$A$127, 0))*INDEX(Unit_Grades!$B$2:$B$7, MATCH(F789, Unit_Grades!$A$2:$A$7, 0))*INDEX(Unit_Paths!$C$2:$C$4, MATCH(E789, Unit_Paths!$A$2:$A$4, 0)),1)</f>
        <v>23.6</v>
      </c>
      <c r="J789" s="6" t="n">
        <f aca="false">ROUND(INDEX(Archetypes!$G$2:$G$127, MATCH(D789, Archetypes!$A$2:$A$127, 0))*INDEX(Unit_Grades!$B$2:$B$7, MATCH(F789, Unit_Grades!$A$2:$A$7, 0))*INDEX(Unit_Paths!$D$2:$D$4, MATCH(E789, Unit_Paths!$A$2:$A$4, 0)),0)</f>
        <v>147</v>
      </c>
      <c r="K789" s="6" t="n">
        <f aca="false">ROUND(INDEX(Archetypes!$H$2:$H$127, MATCH(D789, Archetypes!$A$2:$A$127, 0))*INDEX(Unit_Paths!$E$2:$E$4, MATCH(E789, Unit_Paths!$A$2:$A$4, 0)),1)</f>
        <v>11</v>
      </c>
      <c r="L789" s="6" t="n">
        <f aca="false">ROUND(INDEX(Archetypes!$I$2:$I$127, MATCH(D789, Archetypes!$A$2:$A$127, 0))*INDEX(Unit_Grades!$C$2:$C$7, MATCH(F789, Unit_Grades!$A$2:$A$7, 0)),1)</f>
        <v>35</v>
      </c>
      <c r="M789" s="6" t="n">
        <f aca="false">ROUND(INDEX(Archetypes!$J$2:$J$127, MATCH(D789, Archetypes!$A$2:$A$127, 0))*INDEX(Unit_Grades!$D$2:$D$7, MATCH(F789, Unit_Grades!$A$2:$A$7, 0)),1)</f>
        <v>17</v>
      </c>
      <c r="N789" s="6" t="n">
        <f aca="false">ROUND(M789/24,2)</f>
        <v>0.71</v>
      </c>
    </row>
    <row r="790" customFormat="false" ht="15" hidden="false" customHeight="true" outlineLevel="0" collapsed="false">
      <c r="A790" s="6" t="n">
        <v>3</v>
      </c>
      <c r="B790" s="6" t="s">
        <v>2314</v>
      </c>
      <c r="C790" s="6" t="s">
        <v>1349</v>
      </c>
      <c r="D790" s="6" t="str">
        <f aca="false">A790&amp;"|"&amp;C790</f>
        <v>3|Governor</v>
      </c>
      <c r="E790" s="6" t="s">
        <v>1560</v>
      </c>
      <c r="F790" s="6" t="s">
        <v>1542</v>
      </c>
      <c r="G790" s="6" t="str">
        <f aca="false">INDEX(Archetypes!$D$2:$D$127, MATCH(D790, Archetypes!$A$2:$A$127, 0))</f>
        <v>Conquest</v>
      </c>
      <c r="H790" s="6" t="n">
        <f aca="false">ROUND(INDEX(Archetypes!$E$2:$E$127, MATCH(D790, Archetypes!$A$2:$A$127, 0))*INDEX(Unit_Grades!$B$2:$B$7, MATCH(F790, Unit_Grades!$A$2:$A$7, 0))*INDEX(Unit_Paths!$B$2:$B$4, MATCH(E790, Unit_Paths!$A$2:$A$4, 0)),1)</f>
        <v>12.2</v>
      </c>
      <c r="I790" s="6" t="n">
        <f aca="false">ROUND(INDEX(Archetypes!$F$2:$F$127, MATCH(D790, Archetypes!$A$2:$A$127, 0))*INDEX(Unit_Grades!$B$2:$B$7, MATCH(F790, Unit_Grades!$A$2:$A$7, 0))*INDEX(Unit_Paths!$C$2:$C$4, MATCH(E790, Unit_Paths!$A$2:$A$4, 0)),1)</f>
        <v>31.5</v>
      </c>
      <c r="J790" s="6" t="n">
        <f aca="false">ROUND(INDEX(Archetypes!$G$2:$G$127, MATCH(D790, Archetypes!$A$2:$A$127, 0))*INDEX(Unit_Grades!$B$2:$B$7, MATCH(F790, Unit_Grades!$A$2:$A$7, 0))*INDEX(Unit_Paths!$D$2:$D$4, MATCH(E790, Unit_Paths!$A$2:$A$4, 0)),0)</f>
        <v>197</v>
      </c>
      <c r="K790" s="6" t="n">
        <f aca="false">ROUND(INDEX(Archetypes!$H$2:$H$127, MATCH(D790, Archetypes!$A$2:$A$127, 0))*INDEX(Unit_Paths!$E$2:$E$4, MATCH(E790, Unit_Paths!$A$2:$A$4, 0)),1)</f>
        <v>11</v>
      </c>
      <c r="L790" s="6" t="n">
        <f aca="false">ROUND(INDEX(Archetypes!$I$2:$I$127, MATCH(D790, Archetypes!$A$2:$A$127, 0))*INDEX(Unit_Grades!$C$2:$C$7, MATCH(F790, Unit_Grades!$A$2:$A$7, 0)),1)</f>
        <v>44.8</v>
      </c>
      <c r="M790" s="6" t="n">
        <f aca="false">ROUND(INDEX(Archetypes!$J$2:$J$127, MATCH(D790, Archetypes!$A$2:$A$127, 0))*INDEX(Unit_Grades!$D$2:$D$7, MATCH(F790, Unit_Grades!$A$2:$A$7, 0)),1)</f>
        <v>28.4</v>
      </c>
      <c r="N790" s="6" t="n">
        <f aca="false">ROUND(M790/24,2)</f>
        <v>1.18</v>
      </c>
    </row>
    <row r="791" customFormat="false" ht="15" hidden="false" customHeight="true" outlineLevel="0" collapsed="false">
      <c r="A791" s="6" t="n">
        <v>3</v>
      </c>
      <c r="B791" s="6" t="s">
        <v>2315</v>
      </c>
      <c r="C791" s="6" t="s">
        <v>1349</v>
      </c>
      <c r="D791" s="6" t="str">
        <f aca="false">A791&amp;"|"&amp;C791</f>
        <v>3|Governor</v>
      </c>
      <c r="E791" s="6" t="s">
        <v>1560</v>
      </c>
      <c r="F791" s="6" t="s">
        <v>1544</v>
      </c>
      <c r="G791" s="6" t="str">
        <f aca="false">INDEX(Archetypes!$D$2:$D$127, MATCH(D791, Archetypes!$A$2:$A$127, 0))</f>
        <v>Conquest</v>
      </c>
      <c r="H791" s="6" t="n">
        <f aca="false">ROUND(INDEX(Archetypes!$E$2:$E$127, MATCH(D791, Archetypes!$A$2:$A$127, 0))*INDEX(Unit_Grades!$B$2:$B$7, MATCH(F791, Unit_Grades!$A$2:$A$7, 0))*INDEX(Unit_Paths!$B$2:$B$4, MATCH(E791, Unit_Paths!$A$2:$A$4, 0)),1)</f>
        <v>16.3</v>
      </c>
      <c r="I791" s="6" t="n">
        <f aca="false">ROUND(INDEX(Archetypes!$F$2:$F$127, MATCH(D791, Archetypes!$A$2:$A$127, 0))*INDEX(Unit_Grades!$B$2:$B$7, MATCH(F791, Unit_Grades!$A$2:$A$7, 0))*INDEX(Unit_Paths!$C$2:$C$4, MATCH(E791, Unit_Paths!$A$2:$A$4, 0)),1)</f>
        <v>42</v>
      </c>
      <c r="J791" s="6" t="n">
        <f aca="false">ROUND(INDEX(Archetypes!$G$2:$G$127, MATCH(D791, Archetypes!$A$2:$A$127, 0))*INDEX(Unit_Grades!$B$2:$B$7, MATCH(F791, Unit_Grades!$A$2:$A$7, 0))*INDEX(Unit_Paths!$D$2:$D$4, MATCH(E791, Unit_Paths!$A$2:$A$4, 0)),0)</f>
        <v>262</v>
      </c>
      <c r="K791" s="6" t="n">
        <f aca="false">ROUND(INDEX(Archetypes!$H$2:$H$127, MATCH(D791, Archetypes!$A$2:$A$127, 0))*INDEX(Unit_Paths!$E$2:$E$4, MATCH(E791, Unit_Paths!$A$2:$A$4, 0)),1)</f>
        <v>11</v>
      </c>
      <c r="L791" s="6" t="n">
        <f aca="false">ROUND(INDEX(Archetypes!$I$2:$I$127, MATCH(D791, Archetypes!$A$2:$A$127, 0))*INDEX(Unit_Grades!$C$2:$C$7, MATCH(F791, Unit_Grades!$A$2:$A$7, 0)),1)</f>
        <v>58.8</v>
      </c>
      <c r="M791" s="6" t="n">
        <f aca="false">ROUND(INDEX(Archetypes!$J$2:$J$127, MATCH(D791, Archetypes!$A$2:$A$127, 0))*INDEX(Unit_Grades!$D$2:$D$7, MATCH(F791, Unit_Grades!$A$2:$A$7, 0)),1)</f>
        <v>45.4</v>
      </c>
      <c r="N791" s="6" t="n">
        <f aca="false">ROUND(M791/24,2)</f>
        <v>1.89</v>
      </c>
    </row>
    <row r="792" customFormat="false" ht="15" hidden="false" customHeight="true" outlineLevel="0" collapsed="false">
      <c r="A792" s="6" t="n">
        <v>3</v>
      </c>
      <c r="B792" s="6" t="s">
        <v>2316</v>
      </c>
      <c r="C792" s="6" t="s">
        <v>1349</v>
      </c>
      <c r="D792" s="6" t="str">
        <f aca="false">A792&amp;"|"&amp;C792</f>
        <v>3|Governor</v>
      </c>
      <c r="E792" s="6" t="s">
        <v>1560</v>
      </c>
      <c r="F792" s="6" t="s">
        <v>1546</v>
      </c>
      <c r="G792" s="6" t="str">
        <f aca="false">INDEX(Archetypes!$D$2:$D$127, MATCH(D792, Archetypes!$A$2:$A$127, 0))</f>
        <v>Conquest</v>
      </c>
      <c r="H792" s="6" t="n">
        <f aca="false">ROUND(INDEX(Archetypes!$E$2:$E$127, MATCH(D792, Archetypes!$A$2:$A$127, 0))*INDEX(Unit_Grades!$B$2:$B$7, MATCH(F792, Unit_Grades!$A$2:$A$7, 0))*INDEX(Unit_Paths!$B$2:$B$4, MATCH(E792, Unit_Paths!$A$2:$A$4, 0)),1)</f>
        <v>21.8</v>
      </c>
      <c r="I792" s="6" t="n">
        <f aca="false">ROUND(INDEX(Archetypes!$F$2:$F$127, MATCH(D792, Archetypes!$A$2:$A$127, 0))*INDEX(Unit_Grades!$B$2:$B$7, MATCH(F792, Unit_Grades!$A$2:$A$7, 0))*INDEX(Unit_Paths!$C$2:$C$4, MATCH(E792, Unit_Paths!$A$2:$A$4, 0)),1)</f>
        <v>56</v>
      </c>
      <c r="J792" s="6" t="n">
        <f aca="false">ROUND(INDEX(Archetypes!$G$2:$G$127, MATCH(D792, Archetypes!$A$2:$A$127, 0))*INDEX(Unit_Grades!$B$2:$B$7, MATCH(F792, Unit_Grades!$A$2:$A$7, 0))*INDEX(Unit_Paths!$D$2:$D$4, MATCH(E792, Unit_Paths!$A$2:$A$4, 0)),0)</f>
        <v>350</v>
      </c>
      <c r="K792" s="6" t="n">
        <f aca="false">ROUND(INDEX(Archetypes!$H$2:$H$127, MATCH(D792, Archetypes!$A$2:$A$127, 0))*INDEX(Unit_Paths!$E$2:$E$4, MATCH(E792, Unit_Paths!$A$2:$A$4, 0)),1)</f>
        <v>11</v>
      </c>
      <c r="L792" s="6" t="n">
        <f aca="false">ROUND(INDEX(Archetypes!$I$2:$I$127, MATCH(D792, Archetypes!$A$2:$A$127, 0))*INDEX(Unit_Grades!$C$2:$C$7, MATCH(F792, Unit_Grades!$A$2:$A$7, 0)),1)</f>
        <v>78.4</v>
      </c>
      <c r="M792" s="6" t="n">
        <f aca="false">ROUND(INDEX(Archetypes!$J$2:$J$127, MATCH(D792, Archetypes!$A$2:$A$127, 0))*INDEX(Unit_Grades!$D$2:$D$7, MATCH(F792, Unit_Grades!$A$2:$A$7, 0)),1)</f>
        <v>79.5</v>
      </c>
      <c r="N792" s="6" t="n">
        <f aca="false">ROUND(M792/24,2)</f>
        <v>3.31</v>
      </c>
    </row>
    <row r="793" customFormat="false" ht="15" hidden="false" customHeight="true" outlineLevel="0" collapsed="false">
      <c r="A793" s="6" t="n">
        <v>3</v>
      </c>
      <c r="B793" s="6" t="s">
        <v>2317</v>
      </c>
      <c r="C793" s="6" t="s">
        <v>1349</v>
      </c>
      <c r="D793" s="6" t="str">
        <f aca="false">A793&amp;"|"&amp;C793</f>
        <v>3|Governor</v>
      </c>
      <c r="E793" s="6" t="s">
        <v>1560</v>
      </c>
      <c r="F793" s="6" t="s">
        <v>1548</v>
      </c>
      <c r="G793" s="6" t="str">
        <f aca="false">INDEX(Archetypes!$D$2:$D$127, MATCH(D793, Archetypes!$A$2:$A$127, 0))</f>
        <v>Conquest</v>
      </c>
      <c r="H793" s="6" t="n">
        <f aca="false">ROUND(INDEX(Archetypes!$E$2:$E$127, MATCH(D793, Archetypes!$A$2:$A$127, 0))*INDEX(Unit_Grades!$B$2:$B$7, MATCH(F793, Unit_Grades!$A$2:$A$7, 0))*INDEX(Unit_Paths!$B$2:$B$4, MATCH(E793, Unit_Paths!$A$2:$A$4, 0)),1)</f>
        <v>28.6</v>
      </c>
      <c r="I793" s="6" t="n">
        <f aca="false">ROUND(INDEX(Archetypes!$F$2:$F$127, MATCH(D793, Archetypes!$A$2:$A$127, 0))*INDEX(Unit_Grades!$B$2:$B$7, MATCH(F793, Unit_Grades!$A$2:$A$7, 0))*INDEX(Unit_Paths!$C$2:$C$4, MATCH(E793, Unit_Paths!$A$2:$A$4, 0)),1)</f>
        <v>73.5</v>
      </c>
      <c r="J793" s="6" t="n">
        <f aca="false">ROUND(INDEX(Archetypes!$G$2:$G$127, MATCH(D793, Archetypes!$A$2:$A$127, 0))*INDEX(Unit_Grades!$B$2:$B$7, MATCH(F793, Unit_Grades!$A$2:$A$7, 0))*INDEX(Unit_Paths!$D$2:$D$4, MATCH(E793, Unit_Paths!$A$2:$A$4, 0)),0)</f>
        <v>459</v>
      </c>
      <c r="K793" s="6" t="n">
        <f aca="false">ROUND(INDEX(Archetypes!$H$2:$H$127, MATCH(D793, Archetypes!$A$2:$A$127, 0))*INDEX(Unit_Paths!$E$2:$E$4, MATCH(E793, Unit_Paths!$A$2:$A$4, 0)),1)</f>
        <v>11</v>
      </c>
      <c r="L793" s="6" t="n">
        <f aca="false">ROUND(INDEX(Archetypes!$I$2:$I$127, MATCH(D793, Archetypes!$A$2:$A$127, 0))*INDEX(Unit_Grades!$C$2:$C$7, MATCH(F793, Unit_Grades!$A$2:$A$7, 0)),1)</f>
        <v>103.6</v>
      </c>
      <c r="M793" s="6" t="n">
        <f aca="false">ROUND(INDEX(Archetypes!$J$2:$J$127, MATCH(D793, Archetypes!$A$2:$A$127, 0))*INDEX(Unit_Grades!$D$2:$D$7, MATCH(F793, Unit_Grades!$A$2:$A$7, 0)),1)</f>
        <v>136.3</v>
      </c>
      <c r="N793" s="6" t="n">
        <f aca="false">ROUND(M793/24,2)</f>
        <v>5.68</v>
      </c>
    </row>
    <row r="794" customFormat="false" ht="15" hidden="false" customHeight="true" outlineLevel="0" collapsed="false">
      <c r="A794" s="6" t="n">
        <v>3</v>
      </c>
      <c r="B794" s="6" t="s">
        <v>1351</v>
      </c>
      <c r="C794" s="6" t="s">
        <v>1351</v>
      </c>
      <c r="D794" s="6" t="str">
        <f aca="false">A794&amp;"|"&amp;C794</f>
        <v>3|Privateer</v>
      </c>
      <c r="E794" s="6" t="s">
        <v>1556</v>
      </c>
      <c r="F794" s="6" t="s">
        <v>1538</v>
      </c>
      <c r="G794" s="6" t="str">
        <f aca="false">INDEX(Archetypes!$D$2:$D$127, MATCH(D794, Archetypes!$A$2:$A$127, 0))</f>
        <v>Naval Raider</v>
      </c>
      <c r="H794" s="6" t="n">
        <f aca="false">ROUND(INDEX(Archetypes!$E$2:$E$127, MATCH(D794, Archetypes!$A$2:$A$127, 0))*INDEX(Unit_Grades!$B$2:$B$7, MATCH(F794, Unit_Grades!$A$2:$A$7, 0))*INDEX(Unit_Paths!$B$2:$B$4, MATCH(E794, Unit_Paths!$A$2:$A$4, 0)),1)</f>
        <v>60</v>
      </c>
      <c r="I794" s="6" t="n">
        <f aca="false">ROUND(INDEX(Archetypes!$F$2:$F$127, MATCH(D794, Archetypes!$A$2:$A$127, 0))*INDEX(Unit_Grades!$B$2:$B$7, MATCH(F794, Unit_Grades!$A$2:$A$7, 0))*INDEX(Unit_Paths!$C$2:$C$4, MATCH(E794, Unit_Paths!$A$2:$A$4, 0)),1)</f>
        <v>26</v>
      </c>
      <c r="J794" s="6" t="n">
        <f aca="false">ROUND(INDEX(Archetypes!$G$2:$G$127, MATCH(D794, Archetypes!$A$2:$A$127, 0))*INDEX(Unit_Grades!$B$2:$B$7, MATCH(F794, Unit_Grades!$A$2:$A$7, 0))*INDEX(Unit_Paths!$D$2:$D$4, MATCH(E794, Unit_Paths!$A$2:$A$4, 0)),0)</f>
        <v>180</v>
      </c>
      <c r="K794" s="6" t="n">
        <f aca="false">ROUND(INDEX(Archetypes!$H$2:$H$127, MATCH(D794, Archetypes!$A$2:$A$127, 0))*INDEX(Unit_Paths!$E$2:$E$4, MATCH(E794, Unit_Paths!$A$2:$A$4, 0)),1)</f>
        <v>30</v>
      </c>
      <c r="L794" s="6" t="n">
        <f aca="false">ROUND(INDEX(Archetypes!$I$2:$I$127, MATCH(D794, Archetypes!$A$2:$A$127, 0))*INDEX(Unit_Grades!$C$2:$C$7, MATCH(F794, Unit_Grades!$A$2:$A$7, 0)),1)</f>
        <v>10</v>
      </c>
      <c r="M794" s="6" t="n">
        <f aca="false">ROUND(INDEX(Archetypes!$J$2:$J$127, MATCH(D794, Archetypes!$A$2:$A$127, 0))*INDEX(Unit_Grades!$D$2:$D$7, MATCH(F794, Unit_Grades!$A$2:$A$7, 0)),1)</f>
        <v>4.1</v>
      </c>
      <c r="N794" s="6" t="n">
        <f aca="false">ROUND(M794/24,2)</f>
        <v>0.17</v>
      </c>
    </row>
    <row r="795" customFormat="false" ht="15" hidden="false" customHeight="true" outlineLevel="0" collapsed="false">
      <c r="A795" s="6" t="n">
        <v>3</v>
      </c>
      <c r="B795" s="6" t="s">
        <v>2318</v>
      </c>
      <c r="C795" s="6" t="s">
        <v>1351</v>
      </c>
      <c r="D795" s="6" t="str">
        <f aca="false">A795&amp;"|"&amp;C795</f>
        <v>3|Privateer</v>
      </c>
      <c r="E795" s="6" t="s">
        <v>1556</v>
      </c>
      <c r="F795" s="6" t="s">
        <v>1540</v>
      </c>
      <c r="G795" s="6" t="str">
        <f aca="false">INDEX(Archetypes!$D$2:$D$127, MATCH(D795, Archetypes!$A$2:$A$127, 0))</f>
        <v>Naval Raider</v>
      </c>
      <c r="H795" s="6" t="n">
        <f aca="false">ROUND(INDEX(Archetypes!$E$2:$E$127, MATCH(D795, Archetypes!$A$2:$A$127, 0))*INDEX(Unit_Grades!$B$2:$B$7, MATCH(F795, Unit_Grades!$A$2:$A$7, 0))*INDEX(Unit_Paths!$B$2:$B$4, MATCH(E795, Unit_Paths!$A$2:$A$4, 0)),1)</f>
        <v>81</v>
      </c>
      <c r="I795" s="6" t="n">
        <f aca="false">ROUND(INDEX(Archetypes!$F$2:$F$127, MATCH(D795, Archetypes!$A$2:$A$127, 0))*INDEX(Unit_Grades!$B$2:$B$7, MATCH(F795, Unit_Grades!$A$2:$A$7, 0))*INDEX(Unit_Paths!$C$2:$C$4, MATCH(E795, Unit_Paths!$A$2:$A$4, 0)),1)</f>
        <v>35.1</v>
      </c>
      <c r="J795" s="6" t="n">
        <f aca="false">ROUND(INDEX(Archetypes!$G$2:$G$127, MATCH(D795, Archetypes!$A$2:$A$127, 0))*INDEX(Unit_Grades!$B$2:$B$7, MATCH(F795, Unit_Grades!$A$2:$A$7, 0))*INDEX(Unit_Paths!$D$2:$D$4, MATCH(E795, Unit_Paths!$A$2:$A$4, 0)),0)</f>
        <v>243</v>
      </c>
      <c r="K795" s="6" t="n">
        <f aca="false">ROUND(INDEX(Archetypes!$H$2:$H$127, MATCH(D795, Archetypes!$A$2:$A$127, 0))*INDEX(Unit_Paths!$E$2:$E$4, MATCH(E795, Unit_Paths!$A$2:$A$4, 0)),1)</f>
        <v>30</v>
      </c>
      <c r="L795" s="6" t="n">
        <f aca="false">ROUND(INDEX(Archetypes!$I$2:$I$127, MATCH(D795, Archetypes!$A$2:$A$127, 0))*INDEX(Unit_Grades!$C$2:$C$7, MATCH(F795, Unit_Grades!$A$2:$A$7, 0)),1)</f>
        <v>12.5</v>
      </c>
      <c r="M795" s="6" t="n">
        <f aca="false">ROUND(INDEX(Archetypes!$J$2:$J$127, MATCH(D795, Archetypes!$A$2:$A$127, 0))*INDEX(Unit_Grades!$D$2:$D$7, MATCH(F795, Unit_Grades!$A$2:$A$7, 0)),1)</f>
        <v>6.1</v>
      </c>
      <c r="N795" s="6" t="n">
        <f aca="false">ROUND(M795/24,2)</f>
        <v>0.25</v>
      </c>
    </row>
    <row r="796" customFormat="false" ht="15" hidden="false" customHeight="true" outlineLevel="0" collapsed="false">
      <c r="A796" s="6" t="n">
        <v>3</v>
      </c>
      <c r="B796" s="6" t="s">
        <v>2319</v>
      </c>
      <c r="C796" s="6" t="s">
        <v>1351</v>
      </c>
      <c r="D796" s="6" t="str">
        <f aca="false">A796&amp;"|"&amp;C796</f>
        <v>3|Privateer</v>
      </c>
      <c r="E796" s="6" t="s">
        <v>1556</v>
      </c>
      <c r="F796" s="6" t="s">
        <v>1542</v>
      </c>
      <c r="G796" s="6" t="str">
        <f aca="false">INDEX(Archetypes!$D$2:$D$127, MATCH(D796, Archetypes!$A$2:$A$127, 0))</f>
        <v>Naval Raider</v>
      </c>
      <c r="H796" s="6" t="n">
        <f aca="false">ROUND(INDEX(Archetypes!$E$2:$E$127, MATCH(D796, Archetypes!$A$2:$A$127, 0))*INDEX(Unit_Grades!$B$2:$B$7, MATCH(F796, Unit_Grades!$A$2:$A$7, 0))*INDEX(Unit_Paths!$B$2:$B$4, MATCH(E796, Unit_Paths!$A$2:$A$4, 0)),1)</f>
        <v>108</v>
      </c>
      <c r="I796" s="6" t="n">
        <f aca="false">ROUND(INDEX(Archetypes!$F$2:$F$127, MATCH(D796, Archetypes!$A$2:$A$127, 0))*INDEX(Unit_Grades!$B$2:$B$7, MATCH(F796, Unit_Grades!$A$2:$A$7, 0))*INDEX(Unit_Paths!$C$2:$C$4, MATCH(E796, Unit_Paths!$A$2:$A$4, 0)),1)</f>
        <v>46.8</v>
      </c>
      <c r="J796" s="6" t="n">
        <f aca="false">ROUND(INDEX(Archetypes!$G$2:$G$127, MATCH(D796, Archetypes!$A$2:$A$127, 0))*INDEX(Unit_Grades!$B$2:$B$7, MATCH(F796, Unit_Grades!$A$2:$A$7, 0))*INDEX(Unit_Paths!$D$2:$D$4, MATCH(E796, Unit_Paths!$A$2:$A$4, 0)),0)</f>
        <v>324</v>
      </c>
      <c r="K796" s="6" t="n">
        <f aca="false">ROUND(INDEX(Archetypes!$H$2:$H$127, MATCH(D796, Archetypes!$A$2:$A$127, 0))*INDEX(Unit_Paths!$E$2:$E$4, MATCH(E796, Unit_Paths!$A$2:$A$4, 0)),1)</f>
        <v>30</v>
      </c>
      <c r="L796" s="6" t="n">
        <f aca="false">ROUND(INDEX(Archetypes!$I$2:$I$127, MATCH(D796, Archetypes!$A$2:$A$127, 0))*INDEX(Unit_Grades!$C$2:$C$7, MATCH(F796, Unit_Grades!$A$2:$A$7, 0)),1)</f>
        <v>16</v>
      </c>
      <c r="M796" s="6" t="n">
        <f aca="false">ROUND(INDEX(Archetypes!$J$2:$J$127, MATCH(D796, Archetypes!$A$2:$A$127, 0))*INDEX(Unit_Grades!$D$2:$D$7, MATCH(F796, Unit_Grades!$A$2:$A$7, 0)),1)</f>
        <v>10.2</v>
      </c>
      <c r="N796" s="6" t="n">
        <f aca="false">ROUND(M796/24,2)</f>
        <v>0.43</v>
      </c>
    </row>
    <row r="797" customFormat="false" ht="15" hidden="false" customHeight="true" outlineLevel="0" collapsed="false">
      <c r="A797" s="6" t="n">
        <v>3</v>
      </c>
      <c r="B797" s="6" t="s">
        <v>2320</v>
      </c>
      <c r="C797" s="6" t="s">
        <v>1351</v>
      </c>
      <c r="D797" s="6" t="str">
        <f aca="false">A797&amp;"|"&amp;C797</f>
        <v>3|Privateer</v>
      </c>
      <c r="E797" s="6" t="s">
        <v>1556</v>
      </c>
      <c r="F797" s="6" t="s">
        <v>1544</v>
      </c>
      <c r="G797" s="6" t="str">
        <f aca="false">INDEX(Archetypes!$D$2:$D$127, MATCH(D797, Archetypes!$A$2:$A$127, 0))</f>
        <v>Naval Raider</v>
      </c>
      <c r="H797" s="6" t="n">
        <f aca="false">ROUND(INDEX(Archetypes!$E$2:$E$127, MATCH(D797, Archetypes!$A$2:$A$127, 0))*INDEX(Unit_Grades!$B$2:$B$7, MATCH(F797, Unit_Grades!$A$2:$A$7, 0))*INDEX(Unit_Paths!$B$2:$B$4, MATCH(E797, Unit_Paths!$A$2:$A$4, 0)),1)</f>
        <v>144</v>
      </c>
      <c r="I797" s="6" t="n">
        <f aca="false">ROUND(INDEX(Archetypes!$F$2:$F$127, MATCH(D797, Archetypes!$A$2:$A$127, 0))*INDEX(Unit_Grades!$B$2:$B$7, MATCH(F797, Unit_Grades!$A$2:$A$7, 0))*INDEX(Unit_Paths!$C$2:$C$4, MATCH(E797, Unit_Paths!$A$2:$A$4, 0)),1)</f>
        <v>62.4</v>
      </c>
      <c r="J797" s="6" t="n">
        <f aca="false">ROUND(INDEX(Archetypes!$G$2:$G$127, MATCH(D797, Archetypes!$A$2:$A$127, 0))*INDEX(Unit_Grades!$B$2:$B$7, MATCH(F797, Unit_Grades!$A$2:$A$7, 0))*INDEX(Unit_Paths!$D$2:$D$4, MATCH(E797, Unit_Paths!$A$2:$A$4, 0)),0)</f>
        <v>432</v>
      </c>
      <c r="K797" s="6" t="n">
        <f aca="false">ROUND(INDEX(Archetypes!$H$2:$H$127, MATCH(D797, Archetypes!$A$2:$A$127, 0))*INDEX(Unit_Paths!$E$2:$E$4, MATCH(E797, Unit_Paths!$A$2:$A$4, 0)),1)</f>
        <v>30</v>
      </c>
      <c r="L797" s="6" t="n">
        <f aca="false">ROUND(INDEX(Archetypes!$I$2:$I$127, MATCH(D797, Archetypes!$A$2:$A$127, 0))*INDEX(Unit_Grades!$C$2:$C$7, MATCH(F797, Unit_Grades!$A$2:$A$7, 0)),1)</f>
        <v>21</v>
      </c>
      <c r="M797" s="6" t="n">
        <f aca="false">ROUND(INDEX(Archetypes!$J$2:$J$127, MATCH(D797, Archetypes!$A$2:$A$127, 0))*INDEX(Unit_Grades!$D$2:$D$7, MATCH(F797, Unit_Grades!$A$2:$A$7, 0)),1)</f>
        <v>16.2</v>
      </c>
      <c r="N797" s="6" t="n">
        <f aca="false">ROUND(M797/24,2)</f>
        <v>0.68</v>
      </c>
    </row>
    <row r="798" customFormat="false" ht="15" hidden="false" customHeight="true" outlineLevel="0" collapsed="false">
      <c r="A798" s="6" t="n">
        <v>3</v>
      </c>
      <c r="B798" s="6" t="s">
        <v>2321</v>
      </c>
      <c r="C798" s="6" t="s">
        <v>1351</v>
      </c>
      <c r="D798" s="6" t="str">
        <f aca="false">A798&amp;"|"&amp;C798</f>
        <v>3|Privateer</v>
      </c>
      <c r="E798" s="6" t="s">
        <v>1556</v>
      </c>
      <c r="F798" s="6" t="s">
        <v>1546</v>
      </c>
      <c r="G798" s="6" t="str">
        <f aca="false">INDEX(Archetypes!$D$2:$D$127, MATCH(D798, Archetypes!$A$2:$A$127, 0))</f>
        <v>Naval Raider</v>
      </c>
      <c r="H798" s="6" t="n">
        <f aca="false">ROUND(INDEX(Archetypes!$E$2:$E$127, MATCH(D798, Archetypes!$A$2:$A$127, 0))*INDEX(Unit_Grades!$B$2:$B$7, MATCH(F798, Unit_Grades!$A$2:$A$7, 0))*INDEX(Unit_Paths!$B$2:$B$4, MATCH(E798, Unit_Paths!$A$2:$A$4, 0)),1)</f>
        <v>192</v>
      </c>
      <c r="I798" s="6" t="n">
        <f aca="false">ROUND(INDEX(Archetypes!$F$2:$F$127, MATCH(D798, Archetypes!$A$2:$A$127, 0))*INDEX(Unit_Grades!$B$2:$B$7, MATCH(F798, Unit_Grades!$A$2:$A$7, 0))*INDEX(Unit_Paths!$C$2:$C$4, MATCH(E798, Unit_Paths!$A$2:$A$4, 0)),1)</f>
        <v>83.2</v>
      </c>
      <c r="J798" s="6" t="n">
        <f aca="false">ROUND(INDEX(Archetypes!$G$2:$G$127, MATCH(D798, Archetypes!$A$2:$A$127, 0))*INDEX(Unit_Grades!$B$2:$B$7, MATCH(F798, Unit_Grades!$A$2:$A$7, 0))*INDEX(Unit_Paths!$D$2:$D$4, MATCH(E798, Unit_Paths!$A$2:$A$4, 0)),0)</f>
        <v>576</v>
      </c>
      <c r="K798" s="6" t="n">
        <f aca="false">ROUND(INDEX(Archetypes!$H$2:$H$127, MATCH(D798, Archetypes!$A$2:$A$127, 0))*INDEX(Unit_Paths!$E$2:$E$4, MATCH(E798, Unit_Paths!$A$2:$A$4, 0)),1)</f>
        <v>30</v>
      </c>
      <c r="L798" s="6" t="n">
        <f aca="false">ROUND(INDEX(Archetypes!$I$2:$I$127, MATCH(D798, Archetypes!$A$2:$A$127, 0))*INDEX(Unit_Grades!$C$2:$C$7, MATCH(F798, Unit_Grades!$A$2:$A$7, 0)),1)</f>
        <v>28</v>
      </c>
      <c r="M798" s="6" t="n">
        <f aca="false">ROUND(INDEX(Archetypes!$J$2:$J$127, MATCH(D798, Archetypes!$A$2:$A$127, 0))*INDEX(Unit_Grades!$D$2:$D$7, MATCH(F798, Unit_Grades!$A$2:$A$7, 0)),1)</f>
        <v>28.4</v>
      </c>
      <c r="N798" s="6" t="n">
        <f aca="false">ROUND(M798/24,2)</f>
        <v>1.18</v>
      </c>
    </row>
    <row r="799" customFormat="false" ht="15" hidden="false" customHeight="true" outlineLevel="0" collapsed="false">
      <c r="A799" s="6" t="n">
        <v>3</v>
      </c>
      <c r="B799" s="6" t="s">
        <v>2322</v>
      </c>
      <c r="C799" s="6" t="s">
        <v>1351</v>
      </c>
      <c r="D799" s="6" t="str">
        <f aca="false">A799&amp;"|"&amp;C799</f>
        <v>3|Privateer</v>
      </c>
      <c r="E799" s="6" t="s">
        <v>1556</v>
      </c>
      <c r="F799" s="6" t="s">
        <v>1548</v>
      </c>
      <c r="G799" s="6" t="str">
        <f aca="false">INDEX(Archetypes!$D$2:$D$127, MATCH(D799, Archetypes!$A$2:$A$127, 0))</f>
        <v>Naval Raider</v>
      </c>
      <c r="H799" s="6" t="n">
        <f aca="false">ROUND(INDEX(Archetypes!$E$2:$E$127, MATCH(D799, Archetypes!$A$2:$A$127, 0))*INDEX(Unit_Grades!$B$2:$B$7, MATCH(F799, Unit_Grades!$A$2:$A$7, 0))*INDEX(Unit_Paths!$B$2:$B$4, MATCH(E799, Unit_Paths!$A$2:$A$4, 0)),1)</f>
        <v>252</v>
      </c>
      <c r="I799" s="6" t="n">
        <f aca="false">ROUND(INDEX(Archetypes!$F$2:$F$127, MATCH(D799, Archetypes!$A$2:$A$127, 0))*INDEX(Unit_Grades!$B$2:$B$7, MATCH(F799, Unit_Grades!$A$2:$A$7, 0))*INDEX(Unit_Paths!$C$2:$C$4, MATCH(E799, Unit_Paths!$A$2:$A$4, 0)),1)</f>
        <v>109.2</v>
      </c>
      <c r="J799" s="6" t="n">
        <f aca="false">ROUND(INDEX(Archetypes!$G$2:$G$127, MATCH(D799, Archetypes!$A$2:$A$127, 0))*INDEX(Unit_Grades!$B$2:$B$7, MATCH(F799, Unit_Grades!$A$2:$A$7, 0))*INDEX(Unit_Paths!$D$2:$D$4, MATCH(E799, Unit_Paths!$A$2:$A$4, 0)),0)</f>
        <v>756</v>
      </c>
      <c r="K799" s="6" t="n">
        <f aca="false">ROUND(INDEX(Archetypes!$H$2:$H$127, MATCH(D799, Archetypes!$A$2:$A$127, 0))*INDEX(Unit_Paths!$E$2:$E$4, MATCH(E799, Unit_Paths!$A$2:$A$4, 0)),1)</f>
        <v>30</v>
      </c>
      <c r="L799" s="6" t="n">
        <f aca="false">ROUND(INDEX(Archetypes!$I$2:$I$127, MATCH(D799, Archetypes!$A$2:$A$127, 0))*INDEX(Unit_Grades!$C$2:$C$7, MATCH(F799, Unit_Grades!$A$2:$A$7, 0)),1)</f>
        <v>37</v>
      </c>
      <c r="M799" s="6" t="n">
        <f aca="false">ROUND(INDEX(Archetypes!$J$2:$J$127, MATCH(D799, Archetypes!$A$2:$A$127, 0))*INDEX(Unit_Grades!$D$2:$D$7, MATCH(F799, Unit_Grades!$A$2:$A$7, 0)),1)</f>
        <v>48.7</v>
      </c>
      <c r="N799" s="6" t="n">
        <f aca="false">ROUND(M799/24,2)</f>
        <v>2.03</v>
      </c>
    </row>
    <row r="800" customFormat="false" ht="15" hidden="false" customHeight="true" outlineLevel="0" collapsed="false">
      <c r="A800" s="6" t="n">
        <v>3</v>
      </c>
      <c r="B800" s="6" t="s">
        <v>2323</v>
      </c>
      <c r="C800" s="6" t="s">
        <v>1351</v>
      </c>
      <c r="D800" s="6" t="str">
        <f aca="false">A800&amp;"|"&amp;C800</f>
        <v>3|Privateer</v>
      </c>
      <c r="E800" s="6" t="s">
        <v>1558</v>
      </c>
      <c r="F800" s="6" t="s">
        <v>1538</v>
      </c>
      <c r="G800" s="6" t="str">
        <f aca="false">INDEX(Archetypes!$D$2:$D$127, MATCH(D800, Archetypes!$A$2:$A$127, 0))</f>
        <v>Naval Raider</v>
      </c>
      <c r="H800" s="6" t="n">
        <f aca="false">ROUND(INDEX(Archetypes!$E$2:$E$127, MATCH(D800, Archetypes!$A$2:$A$127, 0))*INDEX(Unit_Grades!$B$2:$B$7, MATCH(F800, Unit_Grades!$A$2:$A$7, 0))*INDEX(Unit_Paths!$B$2:$B$4, MATCH(E800, Unit_Paths!$A$2:$A$4, 0)),1)</f>
        <v>72</v>
      </c>
      <c r="I800" s="6" t="n">
        <f aca="false">ROUND(INDEX(Archetypes!$F$2:$F$127, MATCH(D800, Archetypes!$A$2:$A$127, 0))*INDEX(Unit_Grades!$B$2:$B$7, MATCH(F800, Unit_Grades!$A$2:$A$7, 0))*INDEX(Unit_Paths!$C$2:$C$4, MATCH(E800, Unit_Paths!$A$2:$A$4, 0)),1)</f>
        <v>22.1</v>
      </c>
      <c r="J800" s="6" t="n">
        <f aca="false">ROUND(INDEX(Archetypes!$G$2:$G$127, MATCH(D800, Archetypes!$A$2:$A$127, 0))*INDEX(Unit_Grades!$B$2:$B$7, MATCH(F800, Unit_Grades!$A$2:$A$7, 0))*INDEX(Unit_Paths!$D$2:$D$4, MATCH(E800, Unit_Paths!$A$2:$A$4, 0)),0)</f>
        <v>171</v>
      </c>
      <c r="K800" s="6" t="n">
        <f aca="false">ROUND(INDEX(Archetypes!$H$2:$H$127, MATCH(D800, Archetypes!$A$2:$A$127, 0))*INDEX(Unit_Paths!$E$2:$E$4, MATCH(E800, Unit_Paths!$A$2:$A$4, 0)),1)</f>
        <v>31.5</v>
      </c>
      <c r="L800" s="6" t="n">
        <f aca="false">ROUND(INDEX(Archetypes!$I$2:$I$127, MATCH(D800, Archetypes!$A$2:$A$127, 0))*INDEX(Unit_Grades!$C$2:$C$7, MATCH(F800, Unit_Grades!$A$2:$A$7, 0)),1)</f>
        <v>10</v>
      </c>
      <c r="M800" s="6" t="n">
        <f aca="false">ROUND(INDEX(Archetypes!$J$2:$J$127, MATCH(D800, Archetypes!$A$2:$A$127, 0))*INDEX(Unit_Grades!$D$2:$D$7, MATCH(F800, Unit_Grades!$A$2:$A$7, 0)),1)</f>
        <v>4.1</v>
      </c>
      <c r="N800" s="6" t="n">
        <f aca="false">ROUND(M800/24,2)</f>
        <v>0.17</v>
      </c>
    </row>
    <row r="801" customFormat="false" ht="15" hidden="false" customHeight="true" outlineLevel="0" collapsed="false">
      <c r="A801" s="6" t="n">
        <v>3</v>
      </c>
      <c r="B801" s="6" t="s">
        <v>2324</v>
      </c>
      <c r="C801" s="6" t="s">
        <v>1351</v>
      </c>
      <c r="D801" s="6" t="str">
        <f aca="false">A801&amp;"|"&amp;C801</f>
        <v>3|Privateer</v>
      </c>
      <c r="E801" s="6" t="s">
        <v>1558</v>
      </c>
      <c r="F801" s="6" t="s">
        <v>1540</v>
      </c>
      <c r="G801" s="6" t="str">
        <f aca="false">INDEX(Archetypes!$D$2:$D$127, MATCH(D801, Archetypes!$A$2:$A$127, 0))</f>
        <v>Naval Raider</v>
      </c>
      <c r="H801" s="6" t="n">
        <f aca="false">ROUND(INDEX(Archetypes!$E$2:$E$127, MATCH(D801, Archetypes!$A$2:$A$127, 0))*INDEX(Unit_Grades!$B$2:$B$7, MATCH(F801, Unit_Grades!$A$2:$A$7, 0))*INDEX(Unit_Paths!$B$2:$B$4, MATCH(E801, Unit_Paths!$A$2:$A$4, 0)),1)</f>
        <v>97.2</v>
      </c>
      <c r="I801" s="6" t="n">
        <f aca="false">ROUND(INDEX(Archetypes!$F$2:$F$127, MATCH(D801, Archetypes!$A$2:$A$127, 0))*INDEX(Unit_Grades!$B$2:$B$7, MATCH(F801, Unit_Grades!$A$2:$A$7, 0))*INDEX(Unit_Paths!$C$2:$C$4, MATCH(E801, Unit_Paths!$A$2:$A$4, 0)),1)</f>
        <v>29.8</v>
      </c>
      <c r="J801" s="6" t="n">
        <f aca="false">ROUND(INDEX(Archetypes!$G$2:$G$127, MATCH(D801, Archetypes!$A$2:$A$127, 0))*INDEX(Unit_Grades!$B$2:$B$7, MATCH(F801, Unit_Grades!$A$2:$A$7, 0))*INDEX(Unit_Paths!$D$2:$D$4, MATCH(E801, Unit_Paths!$A$2:$A$4, 0)),0)</f>
        <v>231</v>
      </c>
      <c r="K801" s="6" t="n">
        <f aca="false">ROUND(INDEX(Archetypes!$H$2:$H$127, MATCH(D801, Archetypes!$A$2:$A$127, 0))*INDEX(Unit_Paths!$E$2:$E$4, MATCH(E801, Unit_Paths!$A$2:$A$4, 0)),1)</f>
        <v>31.5</v>
      </c>
      <c r="L801" s="6" t="n">
        <f aca="false">ROUND(INDEX(Archetypes!$I$2:$I$127, MATCH(D801, Archetypes!$A$2:$A$127, 0))*INDEX(Unit_Grades!$C$2:$C$7, MATCH(F801, Unit_Grades!$A$2:$A$7, 0)),1)</f>
        <v>12.5</v>
      </c>
      <c r="M801" s="6" t="n">
        <f aca="false">ROUND(INDEX(Archetypes!$J$2:$J$127, MATCH(D801, Archetypes!$A$2:$A$127, 0))*INDEX(Unit_Grades!$D$2:$D$7, MATCH(F801, Unit_Grades!$A$2:$A$7, 0)),1)</f>
        <v>6.1</v>
      </c>
      <c r="N801" s="6" t="n">
        <f aca="false">ROUND(M801/24,2)</f>
        <v>0.25</v>
      </c>
    </row>
    <row r="802" customFormat="false" ht="15" hidden="false" customHeight="true" outlineLevel="0" collapsed="false">
      <c r="A802" s="6" t="n">
        <v>3</v>
      </c>
      <c r="B802" s="6" t="s">
        <v>2325</v>
      </c>
      <c r="C802" s="6" t="s">
        <v>1351</v>
      </c>
      <c r="D802" s="6" t="str">
        <f aca="false">A802&amp;"|"&amp;C802</f>
        <v>3|Privateer</v>
      </c>
      <c r="E802" s="6" t="s">
        <v>1558</v>
      </c>
      <c r="F802" s="6" t="s">
        <v>1542</v>
      </c>
      <c r="G802" s="6" t="str">
        <f aca="false">INDEX(Archetypes!$D$2:$D$127, MATCH(D802, Archetypes!$A$2:$A$127, 0))</f>
        <v>Naval Raider</v>
      </c>
      <c r="H802" s="6" t="n">
        <f aca="false">ROUND(INDEX(Archetypes!$E$2:$E$127, MATCH(D802, Archetypes!$A$2:$A$127, 0))*INDEX(Unit_Grades!$B$2:$B$7, MATCH(F802, Unit_Grades!$A$2:$A$7, 0))*INDEX(Unit_Paths!$B$2:$B$4, MATCH(E802, Unit_Paths!$A$2:$A$4, 0)),1)</f>
        <v>129.6</v>
      </c>
      <c r="I802" s="6" t="n">
        <f aca="false">ROUND(INDEX(Archetypes!$F$2:$F$127, MATCH(D802, Archetypes!$A$2:$A$127, 0))*INDEX(Unit_Grades!$B$2:$B$7, MATCH(F802, Unit_Grades!$A$2:$A$7, 0))*INDEX(Unit_Paths!$C$2:$C$4, MATCH(E802, Unit_Paths!$A$2:$A$4, 0)),1)</f>
        <v>39.8</v>
      </c>
      <c r="J802" s="6" t="n">
        <f aca="false">ROUND(INDEX(Archetypes!$G$2:$G$127, MATCH(D802, Archetypes!$A$2:$A$127, 0))*INDEX(Unit_Grades!$B$2:$B$7, MATCH(F802, Unit_Grades!$A$2:$A$7, 0))*INDEX(Unit_Paths!$D$2:$D$4, MATCH(E802, Unit_Paths!$A$2:$A$4, 0)),0)</f>
        <v>308</v>
      </c>
      <c r="K802" s="6" t="n">
        <f aca="false">ROUND(INDEX(Archetypes!$H$2:$H$127, MATCH(D802, Archetypes!$A$2:$A$127, 0))*INDEX(Unit_Paths!$E$2:$E$4, MATCH(E802, Unit_Paths!$A$2:$A$4, 0)),1)</f>
        <v>31.5</v>
      </c>
      <c r="L802" s="6" t="n">
        <f aca="false">ROUND(INDEX(Archetypes!$I$2:$I$127, MATCH(D802, Archetypes!$A$2:$A$127, 0))*INDEX(Unit_Grades!$C$2:$C$7, MATCH(F802, Unit_Grades!$A$2:$A$7, 0)),1)</f>
        <v>16</v>
      </c>
      <c r="M802" s="6" t="n">
        <f aca="false">ROUND(INDEX(Archetypes!$J$2:$J$127, MATCH(D802, Archetypes!$A$2:$A$127, 0))*INDEX(Unit_Grades!$D$2:$D$7, MATCH(F802, Unit_Grades!$A$2:$A$7, 0)),1)</f>
        <v>10.2</v>
      </c>
      <c r="N802" s="6" t="n">
        <f aca="false">ROUND(M802/24,2)</f>
        <v>0.43</v>
      </c>
    </row>
    <row r="803" customFormat="false" ht="15" hidden="false" customHeight="true" outlineLevel="0" collapsed="false">
      <c r="A803" s="6" t="n">
        <v>3</v>
      </c>
      <c r="B803" s="6" t="s">
        <v>2326</v>
      </c>
      <c r="C803" s="6" t="s">
        <v>1351</v>
      </c>
      <c r="D803" s="6" t="str">
        <f aca="false">A803&amp;"|"&amp;C803</f>
        <v>3|Privateer</v>
      </c>
      <c r="E803" s="6" t="s">
        <v>1558</v>
      </c>
      <c r="F803" s="6" t="s">
        <v>1544</v>
      </c>
      <c r="G803" s="6" t="str">
        <f aca="false">INDEX(Archetypes!$D$2:$D$127, MATCH(D803, Archetypes!$A$2:$A$127, 0))</f>
        <v>Naval Raider</v>
      </c>
      <c r="H803" s="6" t="n">
        <f aca="false">ROUND(INDEX(Archetypes!$E$2:$E$127, MATCH(D803, Archetypes!$A$2:$A$127, 0))*INDEX(Unit_Grades!$B$2:$B$7, MATCH(F803, Unit_Grades!$A$2:$A$7, 0))*INDEX(Unit_Paths!$B$2:$B$4, MATCH(E803, Unit_Paths!$A$2:$A$4, 0)),1)</f>
        <v>172.8</v>
      </c>
      <c r="I803" s="6" t="n">
        <f aca="false">ROUND(INDEX(Archetypes!$F$2:$F$127, MATCH(D803, Archetypes!$A$2:$A$127, 0))*INDEX(Unit_Grades!$B$2:$B$7, MATCH(F803, Unit_Grades!$A$2:$A$7, 0))*INDEX(Unit_Paths!$C$2:$C$4, MATCH(E803, Unit_Paths!$A$2:$A$4, 0)),1)</f>
        <v>53</v>
      </c>
      <c r="J803" s="6" t="n">
        <f aca="false">ROUND(INDEX(Archetypes!$G$2:$G$127, MATCH(D803, Archetypes!$A$2:$A$127, 0))*INDEX(Unit_Grades!$B$2:$B$7, MATCH(F803, Unit_Grades!$A$2:$A$7, 0))*INDEX(Unit_Paths!$D$2:$D$4, MATCH(E803, Unit_Paths!$A$2:$A$4, 0)),0)</f>
        <v>410</v>
      </c>
      <c r="K803" s="6" t="n">
        <f aca="false">ROUND(INDEX(Archetypes!$H$2:$H$127, MATCH(D803, Archetypes!$A$2:$A$127, 0))*INDEX(Unit_Paths!$E$2:$E$4, MATCH(E803, Unit_Paths!$A$2:$A$4, 0)),1)</f>
        <v>31.5</v>
      </c>
      <c r="L803" s="6" t="n">
        <f aca="false">ROUND(INDEX(Archetypes!$I$2:$I$127, MATCH(D803, Archetypes!$A$2:$A$127, 0))*INDEX(Unit_Grades!$C$2:$C$7, MATCH(F803, Unit_Grades!$A$2:$A$7, 0)),1)</f>
        <v>21</v>
      </c>
      <c r="M803" s="6" t="n">
        <f aca="false">ROUND(INDEX(Archetypes!$J$2:$J$127, MATCH(D803, Archetypes!$A$2:$A$127, 0))*INDEX(Unit_Grades!$D$2:$D$7, MATCH(F803, Unit_Grades!$A$2:$A$7, 0)),1)</f>
        <v>16.2</v>
      </c>
      <c r="N803" s="6" t="n">
        <f aca="false">ROUND(M803/24,2)</f>
        <v>0.68</v>
      </c>
    </row>
    <row r="804" customFormat="false" ht="15" hidden="false" customHeight="true" outlineLevel="0" collapsed="false">
      <c r="A804" s="6" t="n">
        <v>3</v>
      </c>
      <c r="B804" s="6" t="s">
        <v>2327</v>
      </c>
      <c r="C804" s="6" t="s">
        <v>1351</v>
      </c>
      <c r="D804" s="6" t="str">
        <f aca="false">A804&amp;"|"&amp;C804</f>
        <v>3|Privateer</v>
      </c>
      <c r="E804" s="6" t="s">
        <v>1558</v>
      </c>
      <c r="F804" s="6" t="s">
        <v>1546</v>
      </c>
      <c r="G804" s="6" t="str">
        <f aca="false">INDEX(Archetypes!$D$2:$D$127, MATCH(D804, Archetypes!$A$2:$A$127, 0))</f>
        <v>Naval Raider</v>
      </c>
      <c r="H804" s="6" t="n">
        <f aca="false">ROUND(INDEX(Archetypes!$E$2:$E$127, MATCH(D804, Archetypes!$A$2:$A$127, 0))*INDEX(Unit_Grades!$B$2:$B$7, MATCH(F804, Unit_Grades!$A$2:$A$7, 0))*INDEX(Unit_Paths!$B$2:$B$4, MATCH(E804, Unit_Paths!$A$2:$A$4, 0)),1)</f>
        <v>230.4</v>
      </c>
      <c r="I804" s="6" t="n">
        <f aca="false">ROUND(INDEX(Archetypes!$F$2:$F$127, MATCH(D804, Archetypes!$A$2:$A$127, 0))*INDEX(Unit_Grades!$B$2:$B$7, MATCH(F804, Unit_Grades!$A$2:$A$7, 0))*INDEX(Unit_Paths!$C$2:$C$4, MATCH(E804, Unit_Paths!$A$2:$A$4, 0)),1)</f>
        <v>70.7</v>
      </c>
      <c r="J804" s="6" t="n">
        <f aca="false">ROUND(INDEX(Archetypes!$G$2:$G$127, MATCH(D804, Archetypes!$A$2:$A$127, 0))*INDEX(Unit_Grades!$B$2:$B$7, MATCH(F804, Unit_Grades!$A$2:$A$7, 0))*INDEX(Unit_Paths!$D$2:$D$4, MATCH(E804, Unit_Paths!$A$2:$A$4, 0)),0)</f>
        <v>547</v>
      </c>
      <c r="K804" s="6" t="n">
        <f aca="false">ROUND(INDEX(Archetypes!$H$2:$H$127, MATCH(D804, Archetypes!$A$2:$A$127, 0))*INDEX(Unit_Paths!$E$2:$E$4, MATCH(E804, Unit_Paths!$A$2:$A$4, 0)),1)</f>
        <v>31.5</v>
      </c>
      <c r="L804" s="6" t="n">
        <f aca="false">ROUND(INDEX(Archetypes!$I$2:$I$127, MATCH(D804, Archetypes!$A$2:$A$127, 0))*INDEX(Unit_Grades!$C$2:$C$7, MATCH(F804, Unit_Grades!$A$2:$A$7, 0)),1)</f>
        <v>28</v>
      </c>
      <c r="M804" s="6" t="n">
        <f aca="false">ROUND(INDEX(Archetypes!$J$2:$J$127, MATCH(D804, Archetypes!$A$2:$A$127, 0))*INDEX(Unit_Grades!$D$2:$D$7, MATCH(F804, Unit_Grades!$A$2:$A$7, 0)),1)</f>
        <v>28.4</v>
      </c>
      <c r="N804" s="6" t="n">
        <f aca="false">ROUND(M804/24,2)</f>
        <v>1.18</v>
      </c>
    </row>
    <row r="805" customFormat="false" ht="15" hidden="false" customHeight="true" outlineLevel="0" collapsed="false">
      <c r="A805" s="6" t="n">
        <v>3</v>
      </c>
      <c r="B805" s="6" t="s">
        <v>2328</v>
      </c>
      <c r="C805" s="6" t="s">
        <v>1351</v>
      </c>
      <c r="D805" s="6" t="str">
        <f aca="false">A805&amp;"|"&amp;C805</f>
        <v>3|Privateer</v>
      </c>
      <c r="E805" s="6" t="s">
        <v>1558</v>
      </c>
      <c r="F805" s="6" t="s">
        <v>1548</v>
      </c>
      <c r="G805" s="6" t="str">
        <f aca="false">INDEX(Archetypes!$D$2:$D$127, MATCH(D805, Archetypes!$A$2:$A$127, 0))</f>
        <v>Naval Raider</v>
      </c>
      <c r="H805" s="6" t="n">
        <f aca="false">ROUND(INDEX(Archetypes!$E$2:$E$127, MATCH(D805, Archetypes!$A$2:$A$127, 0))*INDEX(Unit_Grades!$B$2:$B$7, MATCH(F805, Unit_Grades!$A$2:$A$7, 0))*INDEX(Unit_Paths!$B$2:$B$4, MATCH(E805, Unit_Paths!$A$2:$A$4, 0)),1)</f>
        <v>302.4</v>
      </c>
      <c r="I805" s="6" t="n">
        <f aca="false">ROUND(INDEX(Archetypes!$F$2:$F$127, MATCH(D805, Archetypes!$A$2:$A$127, 0))*INDEX(Unit_Grades!$B$2:$B$7, MATCH(F805, Unit_Grades!$A$2:$A$7, 0))*INDEX(Unit_Paths!$C$2:$C$4, MATCH(E805, Unit_Paths!$A$2:$A$4, 0)),1)</f>
        <v>92.8</v>
      </c>
      <c r="J805" s="6" t="n">
        <f aca="false">ROUND(INDEX(Archetypes!$G$2:$G$127, MATCH(D805, Archetypes!$A$2:$A$127, 0))*INDEX(Unit_Grades!$B$2:$B$7, MATCH(F805, Unit_Grades!$A$2:$A$7, 0))*INDEX(Unit_Paths!$D$2:$D$4, MATCH(E805, Unit_Paths!$A$2:$A$4, 0)),0)</f>
        <v>718</v>
      </c>
      <c r="K805" s="6" t="n">
        <f aca="false">ROUND(INDEX(Archetypes!$H$2:$H$127, MATCH(D805, Archetypes!$A$2:$A$127, 0))*INDEX(Unit_Paths!$E$2:$E$4, MATCH(E805, Unit_Paths!$A$2:$A$4, 0)),1)</f>
        <v>31.5</v>
      </c>
      <c r="L805" s="6" t="n">
        <f aca="false">ROUND(INDEX(Archetypes!$I$2:$I$127, MATCH(D805, Archetypes!$A$2:$A$127, 0))*INDEX(Unit_Grades!$C$2:$C$7, MATCH(F805, Unit_Grades!$A$2:$A$7, 0)),1)</f>
        <v>37</v>
      </c>
      <c r="M805" s="6" t="n">
        <f aca="false">ROUND(INDEX(Archetypes!$J$2:$J$127, MATCH(D805, Archetypes!$A$2:$A$127, 0))*INDEX(Unit_Grades!$D$2:$D$7, MATCH(F805, Unit_Grades!$A$2:$A$7, 0)),1)</f>
        <v>48.7</v>
      </c>
      <c r="N805" s="6" t="n">
        <f aca="false">ROUND(M805/24,2)</f>
        <v>2.03</v>
      </c>
    </row>
    <row r="806" customFormat="false" ht="15" hidden="false" customHeight="true" outlineLevel="0" collapsed="false">
      <c r="A806" s="6" t="n">
        <v>3</v>
      </c>
      <c r="B806" s="6" t="s">
        <v>2329</v>
      </c>
      <c r="C806" s="6" t="s">
        <v>1351</v>
      </c>
      <c r="D806" s="6" t="str">
        <f aca="false">A806&amp;"|"&amp;C806</f>
        <v>3|Privateer</v>
      </c>
      <c r="E806" s="6" t="s">
        <v>1560</v>
      </c>
      <c r="F806" s="6" t="s">
        <v>1538</v>
      </c>
      <c r="G806" s="6" t="str">
        <f aca="false">INDEX(Archetypes!$D$2:$D$127, MATCH(D806, Archetypes!$A$2:$A$127, 0))</f>
        <v>Naval Raider</v>
      </c>
      <c r="H806" s="6" t="n">
        <f aca="false">ROUND(INDEX(Archetypes!$E$2:$E$127, MATCH(D806, Archetypes!$A$2:$A$127, 0))*INDEX(Unit_Grades!$B$2:$B$7, MATCH(F806, Unit_Grades!$A$2:$A$7, 0))*INDEX(Unit_Paths!$B$2:$B$4, MATCH(E806, Unit_Paths!$A$2:$A$4, 0)),1)</f>
        <v>51</v>
      </c>
      <c r="I806" s="6" t="n">
        <f aca="false">ROUND(INDEX(Archetypes!$F$2:$F$127, MATCH(D806, Archetypes!$A$2:$A$127, 0))*INDEX(Unit_Grades!$B$2:$B$7, MATCH(F806, Unit_Grades!$A$2:$A$7, 0))*INDEX(Unit_Paths!$C$2:$C$4, MATCH(E806, Unit_Paths!$A$2:$A$4, 0)),1)</f>
        <v>32.5</v>
      </c>
      <c r="J806" s="6" t="n">
        <f aca="false">ROUND(INDEX(Archetypes!$G$2:$G$127, MATCH(D806, Archetypes!$A$2:$A$127, 0))*INDEX(Unit_Grades!$B$2:$B$7, MATCH(F806, Unit_Grades!$A$2:$A$7, 0))*INDEX(Unit_Paths!$D$2:$D$4, MATCH(E806, Unit_Paths!$A$2:$A$4, 0)),0)</f>
        <v>207</v>
      </c>
      <c r="K806" s="6" t="n">
        <f aca="false">ROUND(INDEX(Archetypes!$H$2:$H$127, MATCH(D806, Archetypes!$A$2:$A$127, 0))*INDEX(Unit_Paths!$E$2:$E$4, MATCH(E806, Unit_Paths!$A$2:$A$4, 0)),1)</f>
        <v>27.6</v>
      </c>
      <c r="L806" s="6" t="n">
        <f aca="false">ROUND(INDEX(Archetypes!$I$2:$I$127, MATCH(D806, Archetypes!$A$2:$A$127, 0))*INDEX(Unit_Grades!$C$2:$C$7, MATCH(F806, Unit_Grades!$A$2:$A$7, 0)),1)</f>
        <v>10</v>
      </c>
      <c r="M806" s="6" t="n">
        <f aca="false">ROUND(INDEX(Archetypes!$J$2:$J$127, MATCH(D806, Archetypes!$A$2:$A$127, 0))*INDEX(Unit_Grades!$D$2:$D$7, MATCH(F806, Unit_Grades!$A$2:$A$7, 0)),1)</f>
        <v>4.1</v>
      </c>
      <c r="N806" s="6" t="n">
        <f aca="false">ROUND(M806/24,2)</f>
        <v>0.17</v>
      </c>
    </row>
    <row r="807" customFormat="false" ht="15" hidden="false" customHeight="true" outlineLevel="0" collapsed="false">
      <c r="A807" s="6" t="n">
        <v>3</v>
      </c>
      <c r="B807" s="6" t="s">
        <v>2330</v>
      </c>
      <c r="C807" s="6" t="s">
        <v>1351</v>
      </c>
      <c r="D807" s="6" t="str">
        <f aca="false">A807&amp;"|"&amp;C807</f>
        <v>3|Privateer</v>
      </c>
      <c r="E807" s="6" t="s">
        <v>1560</v>
      </c>
      <c r="F807" s="6" t="s">
        <v>1540</v>
      </c>
      <c r="G807" s="6" t="str">
        <f aca="false">INDEX(Archetypes!$D$2:$D$127, MATCH(D807, Archetypes!$A$2:$A$127, 0))</f>
        <v>Naval Raider</v>
      </c>
      <c r="H807" s="6" t="n">
        <f aca="false">ROUND(INDEX(Archetypes!$E$2:$E$127, MATCH(D807, Archetypes!$A$2:$A$127, 0))*INDEX(Unit_Grades!$B$2:$B$7, MATCH(F807, Unit_Grades!$A$2:$A$7, 0))*INDEX(Unit_Paths!$B$2:$B$4, MATCH(E807, Unit_Paths!$A$2:$A$4, 0)),1)</f>
        <v>68.9</v>
      </c>
      <c r="I807" s="6" t="n">
        <f aca="false">ROUND(INDEX(Archetypes!$F$2:$F$127, MATCH(D807, Archetypes!$A$2:$A$127, 0))*INDEX(Unit_Grades!$B$2:$B$7, MATCH(F807, Unit_Grades!$A$2:$A$7, 0))*INDEX(Unit_Paths!$C$2:$C$4, MATCH(E807, Unit_Paths!$A$2:$A$4, 0)),1)</f>
        <v>43.9</v>
      </c>
      <c r="J807" s="6" t="n">
        <f aca="false">ROUND(INDEX(Archetypes!$G$2:$G$127, MATCH(D807, Archetypes!$A$2:$A$127, 0))*INDEX(Unit_Grades!$B$2:$B$7, MATCH(F807, Unit_Grades!$A$2:$A$7, 0))*INDEX(Unit_Paths!$D$2:$D$4, MATCH(E807, Unit_Paths!$A$2:$A$4, 0)),0)</f>
        <v>279</v>
      </c>
      <c r="K807" s="6" t="n">
        <f aca="false">ROUND(INDEX(Archetypes!$H$2:$H$127, MATCH(D807, Archetypes!$A$2:$A$127, 0))*INDEX(Unit_Paths!$E$2:$E$4, MATCH(E807, Unit_Paths!$A$2:$A$4, 0)),1)</f>
        <v>27.6</v>
      </c>
      <c r="L807" s="6" t="n">
        <f aca="false">ROUND(INDEX(Archetypes!$I$2:$I$127, MATCH(D807, Archetypes!$A$2:$A$127, 0))*INDEX(Unit_Grades!$C$2:$C$7, MATCH(F807, Unit_Grades!$A$2:$A$7, 0)),1)</f>
        <v>12.5</v>
      </c>
      <c r="M807" s="6" t="n">
        <f aca="false">ROUND(INDEX(Archetypes!$J$2:$J$127, MATCH(D807, Archetypes!$A$2:$A$127, 0))*INDEX(Unit_Grades!$D$2:$D$7, MATCH(F807, Unit_Grades!$A$2:$A$7, 0)),1)</f>
        <v>6.1</v>
      </c>
      <c r="N807" s="6" t="n">
        <f aca="false">ROUND(M807/24,2)</f>
        <v>0.25</v>
      </c>
    </row>
    <row r="808" customFormat="false" ht="15" hidden="false" customHeight="true" outlineLevel="0" collapsed="false">
      <c r="A808" s="6" t="n">
        <v>3</v>
      </c>
      <c r="B808" s="6" t="s">
        <v>2331</v>
      </c>
      <c r="C808" s="6" t="s">
        <v>1351</v>
      </c>
      <c r="D808" s="6" t="str">
        <f aca="false">A808&amp;"|"&amp;C808</f>
        <v>3|Privateer</v>
      </c>
      <c r="E808" s="6" t="s">
        <v>1560</v>
      </c>
      <c r="F808" s="6" t="s">
        <v>1542</v>
      </c>
      <c r="G808" s="6" t="str">
        <f aca="false">INDEX(Archetypes!$D$2:$D$127, MATCH(D808, Archetypes!$A$2:$A$127, 0))</f>
        <v>Naval Raider</v>
      </c>
      <c r="H808" s="6" t="n">
        <f aca="false">ROUND(INDEX(Archetypes!$E$2:$E$127, MATCH(D808, Archetypes!$A$2:$A$127, 0))*INDEX(Unit_Grades!$B$2:$B$7, MATCH(F808, Unit_Grades!$A$2:$A$7, 0))*INDEX(Unit_Paths!$B$2:$B$4, MATCH(E808, Unit_Paths!$A$2:$A$4, 0)),1)</f>
        <v>91.8</v>
      </c>
      <c r="I808" s="6" t="n">
        <f aca="false">ROUND(INDEX(Archetypes!$F$2:$F$127, MATCH(D808, Archetypes!$A$2:$A$127, 0))*INDEX(Unit_Grades!$B$2:$B$7, MATCH(F808, Unit_Grades!$A$2:$A$7, 0))*INDEX(Unit_Paths!$C$2:$C$4, MATCH(E808, Unit_Paths!$A$2:$A$4, 0)),1)</f>
        <v>58.5</v>
      </c>
      <c r="J808" s="6" t="n">
        <f aca="false">ROUND(INDEX(Archetypes!$G$2:$G$127, MATCH(D808, Archetypes!$A$2:$A$127, 0))*INDEX(Unit_Grades!$B$2:$B$7, MATCH(F808, Unit_Grades!$A$2:$A$7, 0))*INDEX(Unit_Paths!$D$2:$D$4, MATCH(E808, Unit_Paths!$A$2:$A$4, 0)),0)</f>
        <v>373</v>
      </c>
      <c r="K808" s="6" t="n">
        <f aca="false">ROUND(INDEX(Archetypes!$H$2:$H$127, MATCH(D808, Archetypes!$A$2:$A$127, 0))*INDEX(Unit_Paths!$E$2:$E$4, MATCH(E808, Unit_Paths!$A$2:$A$4, 0)),1)</f>
        <v>27.6</v>
      </c>
      <c r="L808" s="6" t="n">
        <f aca="false">ROUND(INDEX(Archetypes!$I$2:$I$127, MATCH(D808, Archetypes!$A$2:$A$127, 0))*INDEX(Unit_Grades!$C$2:$C$7, MATCH(F808, Unit_Grades!$A$2:$A$7, 0)),1)</f>
        <v>16</v>
      </c>
      <c r="M808" s="6" t="n">
        <f aca="false">ROUND(INDEX(Archetypes!$J$2:$J$127, MATCH(D808, Archetypes!$A$2:$A$127, 0))*INDEX(Unit_Grades!$D$2:$D$7, MATCH(F808, Unit_Grades!$A$2:$A$7, 0)),1)</f>
        <v>10.2</v>
      </c>
      <c r="N808" s="6" t="n">
        <f aca="false">ROUND(M808/24,2)</f>
        <v>0.43</v>
      </c>
    </row>
    <row r="809" customFormat="false" ht="15" hidden="false" customHeight="true" outlineLevel="0" collapsed="false">
      <c r="A809" s="6" t="n">
        <v>3</v>
      </c>
      <c r="B809" s="6" t="s">
        <v>2332</v>
      </c>
      <c r="C809" s="6" t="s">
        <v>1351</v>
      </c>
      <c r="D809" s="6" t="str">
        <f aca="false">A809&amp;"|"&amp;C809</f>
        <v>3|Privateer</v>
      </c>
      <c r="E809" s="6" t="s">
        <v>1560</v>
      </c>
      <c r="F809" s="6" t="s">
        <v>1544</v>
      </c>
      <c r="G809" s="6" t="str">
        <f aca="false">INDEX(Archetypes!$D$2:$D$127, MATCH(D809, Archetypes!$A$2:$A$127, 0))</f>
        <v>Naval Raider</v>
      </c>
      <c r="H809" s="6" t="n">
        <f aca="false">ROUND(INDEX(Archetypes!$E$2:$E$127, MATCH(D809, Archetypes!$A$2:$A$127, 0))*INDEX(Unit_Grades!$B$2:$B$7, MATCH(F809, Unit_Grades!$A$2:$A$7, 0))*INDEX(Unit_Paths!$B$2:$B$4, MATCH(E809, Unit_Paths!$A$2:$A$4, 0)),1)</f>
        <v>122.4</v>
      </c>
      <c r="I809" s="6" t="n">
        <f aca="false">ROUND(INDEX(Archetypes!$F$2:$F$127, MATCH(D809, Archetypes!$A$2:$A$127, 0))*INDEX(Unit_Grades!$B$2:$B$7, MATCH(F809, Unit_Grades!$A$2:$A$7, 0))*INDEX(Unit_Paths!$C$2:$C$4, MATCH(E809, Unit_Paths!$A$2:$A$4, 0)),1)</f>
        <v>78</v>
      </c>
      <c r="J809" s="6" t="n">
        <f aca="false">ROUND(INDEX(Archetypes!$G$2:$G$127, MATCH(D809, Archetypes!$A$2:$A$127, 0))*INDEX(Unit_Grades!$B$2:$B$7, MATCH(F809, Unit_Grades!$A$2:$A$7, 0))*INDEX(Unit_Paths!$D$2:$D$4, MATCH(E809, Unit_Paths!$A$2:$A$4, 0)),0)</f>
        <v>497</v>
      </c>
      <c r="K809" s="6" t="n">
        <f aca="false">ROUND(INDEX(Archetypes!$H$2:$H$127, MATCH(D809, Archetypes!$A$2:$A$127, 0))*INDEX(Unit_Paths!$E$2:$E$4, MATCH(E809, Unit_Paths!$A$2:$A$4, 0)),1)</f>
        <v>27.6</v>
      </c>
      <c r="L809" s="6" t="n">
        <f aca="false">ROUND(INDEX(Archetypes!$I$2:$I$127, MATCH(D809, Archetypes!$A$2:$A$127, 0))*INDEX(Unit_Grades!$C$2:$C$7, MATCH(F809, Unit_Grades!$A$2:$A$7, 0)),1)</f>
        <v>21</v>
      </c>
      <c r="M809" s="6" t="n">
        <f aca="false">ROUND(INDEX(Archetypes!$J$2:$J$127, MATCH(D809, Archetypes!$A$2:$A$127, 0))*INDEX(Unit_Grades!$D$2:$D$7, MATCH(F809, Unit_Grades!$A$2:$A$7, 0)),1)</f>
        <v>16.2</v>
      </c>
      <c r="N809" s="6" t="n">
        <f aca="false">ROUND(M809/24,2)</f>
        <v>0.68</v>
      </c>
    </row>
    <row r="810" customFormat="false" ht="15" hidden="false" customHeight="true" outlineLevel="0" collapsed="false">
      <c r="A810" s="6" t="n">
        <v>3</v>
      </c>
      <c r="B810" s="6" t="s">
        <v>2333</v>
      </c>
      <c r="C810" s="6" t="s">
        <v>1351</v>
      </c>
      <c r="D810" s="6" t="str">
        <f aca="false">A810&amp;"|"&amp;C810</f>
        <v>3|Privateer</v>
      </c>
      <c r="E810" s="6" t="s">
        <v>1560</v>
      </c>
      <c r="F810" s="6" t="s">
        <v>1546</v>
      </c>
      <c r="G810" s="6" t="str">
        <f aca="false">INDEX(Archetypes!$D$2:$D$127, MATCH(D810, Archetypes!$A$2:$A$127, 0))</f>
        <v>Naval Raider</v>
      </c>
      <c r="H810" s="6" t="n">
        <f aca="false">ROUND(INDEX(Archetypes!$E$2:$E$127, MATCH(D810, Archetypes!$A$2:$A$127, 0))*INDEX(Unit_Grades!$B$2:$B$7, MATCH(F810, Unit_Grades!$A$2:$A$7, 0))*INDEX(Unit_Paths!$B$2:$B$4, MATCH(E810, Unit_Paths!$A$2:$A$4, 0)),1)</f>
        <v>163.2</v>
      </c>
      <c r="I810" s="6" t="n">
        <f aca="false">ROUND(INDEX(Archetypes!$F$2:$F$127, MATCH(D810, Archetypes!$A$2:$A$127, 0))*INDEX(Unit_Grades!$B$2:$B$7, MATCH(F810, Unit_Grades!$A$2:$A$7, 0))*INDEX(Unit_Paths!$C$2:$C$4, MATCH(E810, Unit_Paths!$A$2:$A$4, 0)),1)</f>
        <v>104</v>
      </c>
      <c r="J810" s="6" t="n">
        <f aca="false">ROUND(INDEX(Archetypes!$G$2:$G$127, MATCH(D810, Archetypes!$A$2:$A$127, 0))*INDEX(Unit_Grades!$B$2:$B$7, MATCH(F810, Unit_Grades!$A$2:$A$7, 0))*INDEX(Unit_Paths!$D$2:$D$4, MATCH(E810, Unit_Paths!$A$2:$A$4, 0)),0)</f>
        <v>662</v>
      </c>
      <c r="K810" s="6" t="n">
        <f aca="false">ROUND(INDEX(Archetypes!$H$2:$H$127, MATCH(D810, Archetypes!$A$2:$A$127, 0))*INDEX(Unit_Paths!$E$2:$E$4, MATCH(E810, Unit_Paths!$A$2:$A$4, 0)),1)</f>
        <v>27.6</v>
      </c>
      <c r="L810" s="6" t="n">
        <f aca="false">ROUND(INDEX(Archetypes!$I$2:$I$127, MATCH(D810, Archetypes!$A$2:$A$127, 0))*INDEX(Unit_Grades!$C$2:$C$7, MATCH(F810, Unit_Grades!$A$2:$A$7, 0)),1)</f>
        <v>28</v>
      </c>
      <c r="M810" s="6" t="n">
        <f aca="false">ROUND(INDEX(Archetypes!$J$2:$J$127, MATCH(D810, Archetypes!$A$2:$A$127, 0))*INDEX(Unit_Grades!$D$2:$D$7, MATCH(F810, Unit_Grades!$A$2:$A$7, 0)),1)</f>
        <v>28.4</v>
      </c>
      <c r="N810" s="6" t="n">
        <f aca="false">ROUND(M810/24,2)</f>
        <v>1.18</v>
      </c>
    </row>
    <row r="811" customFormat="false" ht="15" hidden="false" customHeight="true" outlineLevel="0" collapsed="false">
      <c r="A811" s="6" t="n">
        <v>3</v>
      </c>
      <c r="B811" s="6" t="s">
        <v>2334</v>
      </c>
      <c r="C811" s="6" t="s">
        <v>1351</v>
      </c>
      <c r="D811" s="6" t="str">
        <f aca="false">A811&amp;"|"&amp;C811</f>
        <v>3|Privateer</v>
      </c>
      <c r="E811" s="6" t="s">
        <v>1560</v>
      </c>
      <c r="F811" s="6" t="s">
        <v>1548</v>
      </c>
      <c r="G811" s="6" t="str">
        <f aca="false">INDEX(Archetypes!$D$2:$D$127, MATCH(D811, Archetypes!$A$2:$A$127, 0))</f>
        <v>Naval Raider</v>
      </c>
      <c r="H811" s="6" t="n">
        <f aca="false">ROUND(INDEX(Archetypes!$E$2:$E$127, MATCH(D811, Archetypes!$A$2:$A$127, 0))*INDEX(Unit_Grades!$B$2:$B$7, MATCH(F811, Unit_Grades!$A$2:$A$7, 0))*INDEX(Unit_Paths!$B$2:$B$4, MATCH(E811, Unit_Paths!$A$2:$A$4, 0)),1)</f>
        <v>214.2</v>
      </c>
      <c r="I811" s="6" t="n">
        <f aca="false">ROUND(INDEX(Archetypes!$F$2:$F$127, MATCH(D811, Archetypes!$A$2:$A$127, 0))*INDEX(Unit_Grades!$B$2:$B$7, MATCH(F811, Unit_Grades!$A$2:$A$7, 0))*INDEX(Unit_Paths!$C$2:$C$4, MATCH(E811, Unit_Paths!$A$2:$A$4, 0)),1)</f>
        <v>136.5</v>
      </c>
      <c r="J811" s="6" t="n">
        <f aca="false">ROUND(INDEX(Archetypes!$G$2:$G$127, MATCH(D811, Archetypes!$A$2:$A$127, 0))*INDEX(Unit_Grades!$B$2:$B$7, MATCH(F811, Unit_Grades!$A$2:$A$7, 0))*INDEX(Unit_Paths!$D$2:$D$4, MATCH(E811, Unit_Paths!$A$2:$A$4, 0)),0)</f>
        <v>869</v>
      </c>
      <c r="K811" s="6" t="n">
        <f aca="false">ROUND(INDEX(Archetypes!$H$2:$H$127, MATCH(D811, Archetypes!$A$2:$A$127, 0))*INDEX(Unit_Paths!$E$2:$E$4, MATCH(E811, Unit_Paths!$A$2:$A$4, 0)),1)</f>
        <v>27.6</v>
      </c>
      <c r="L811" s="6" t="n">
        <f aca="false">ROUND(INDEX(Archetypes!$I$2:$I$127, MATCH(D811, Archetypes!$A$2:$A$127, 0))*INDEX(Unit_Grades!$C$2:$C$7, MATCH(F811, Unit_Grades!$A$2:$A$7, 0)),1)</f>
        <v>37</v>
      </c>
      <c r="M811" s="6" t="n">
        <f aca="false">ROUND(INDEX(Archetypes!$J$2:$J$127, MATCH(D811, Archetypes!$A$2:$A$127, 0))*INDEX(Unit_Grades!$D$2:$D$7, MATCH(F811, Unit_Grades!$A$2:$A$7, 0)),1)</f>
        <v>48.7</v>
      </c>
      <c r="N811" s="6" t="n">
        <f aca="false">ROUND(M811/24,2)</f>
        <v>2.03</v>
      </c>
    </row>
    <row r="812" customFormat="false" ht="15" hidden="false" customHeight="true" outlineLevel="0" collapsed="false">
      <c r="A812" s="6" t="n">
        <v>3</v>
      </c>
      <c r="B812" s="6" t="s">
        <v>1354</v>
      </c>
      <c r="C812" s="6" t="s">
        <v>1354</v>
      </c>
      <c r="D812" s="6" t="str">
        <f aca="false">A812&amp;"|"&amp;C812</f>
        <v>3|Sloop</v>
      </c>
      <c r="E812" s="6" t="s">
        <v>1556</v>
      </c>
      <c r="F812" s="6" t="s">
        <v>1538</v>
      </c>
      <c r="G812" s="6" t="str">
        <f aca="false">INDEX(Archetypes!$D$2:$D$127, MATCH(D812, Archetypes!$A$2:$A$127, 0))</f>
        <v>Naval Escort</v>
      </c>
      <c r="H812" s="6" t="n">
        <f aca="false">ROUND(INDEX(Archetypes!$E$2:$E$127, MATCH(D812, Archetypes!$A$2:$A$127, 0))*INDEX(Unit_Grades!$B$2:$B$7, MATCH(F812, Unit_Grades!$A$2:$A$7, 0))*INDEX(Unit_Paths!$B$2:$B$4, MATCH(E812, Unit_Paths!$A$2:$A$4, 0)),1)</f>
        <v>40</v>
      </c>
      <c r="I812" s="6" t="n">
        <f aca="false">ROUND(INDEX(Archetypes!$F$2:$F$127, MATCH(D812, Archetypes!$A$2:$A$127, 0))*INDEX(Unit_Grades!$B$2:$B$7, MATCH(F812, Unit_Grades!$A$2:$A$7, 0))*INDEX(Unit_Paths!$C$2:$C$4, MATCH(E812, Unit_Paths!$A$2:$A$4, 0)),1)</f>
        <v>20</v>
      </c>
      <c r="J812" s="6" t="n">
        <f aca="false">ROUND(INDEX(Archetypes!$G$2:$G$127, MATCH(D812, Archetypes!$A$2:$A$127, 0))*INDEX(Unit_Grades!$B$2:$B$7, MATCH(F812, Unit_Grades!$A$2:$A$7, 0))*INDEX(Unit_Paths!$D$2:$D$4, MATCH(E812, Unit_Paths!$A$2:$A$4, 0)),0)</f>
        <v>140</v>
      </c>
      <c r="K812" s="6" t="n">
        <f aca="false">ROUND(INDEX(Archetypes!$H$2:$H$127, MATCH(D812, Archetypes!$A$2:$A$127, 0))*INDEX(Unit_Paths!$E$2:$E$4, MATCH(E812, Unit_Paths!$A$2:$A$4, 0)),1)</f>
        <v>34</v>
      </c>
      <c r="L812" s="6" t="n">
        <f aca="false">ROUND(INDEX(Archetypes!$I$2:$I$127, MATCH(D812, Archetypes!$A$2:$A$127, 0))*INDEX(Unit_Grades!$C$2:$C$7, MATCH(F812, Unit_Grades!$A$2:$A$7, 0)),1)</f>
        <v>8</v>
      </c>
      <c r="M812" s="6" t="n">
        <f aca="false">ROUND(INDEX(Archetypes!$J$2:$J$127, MATCH(D812, Archetypes!$A$2:$A$127, 0))*INDEX(Unit_Grades!$D$2:$D$7, MATCH(F812, Unit_Grades!$A$2:$A$7, 0)),1)</f>
        <v>3.3</v>
      </c>
      <c r="N812" s="6" t="n">
        <f aca="false">ROUND(M812/24,2)</f>
        <v>0.14</v>
      </c>
    </row>
    <row r="813" customFormat="false" ht="15" hidden="false" customHeight="true" outlineLevel="0" collapsed="false">
      <c r="A813" s="6" t="n">
        <v>3</v>
      </c>
      <c r="B813" s="6" t="s">
        <v>2335</v>
      </c>
      <c r="C813" s="6" t="s">
        <v>1354</v>
      </c>
      <c r="D813" s="6" t="str">
        <f aca="false">A813&amp;"|"&amp;C813</f>
        <v>3|Sloop</v>
      </c>
      <c r="E813" s="6" t="s">
        <v>1556</v>
      </c>
      <c r="F813" s="6" t="s">
        <v>1540</v>
      </c>
      <c r="G813" s="6" t="str">
        <f aca="false">INDEX(Archetypes!$D$2:$D$127, MATCH(D813, Archetypes!$A$2:$A$127, 0))</f>
        <v>Naval Escort</v>
      </c>
      <c r="H813" s="6" t="n">
        <f aca="false">ROUND(INDEX(Archetypes!$E$2:$E$127, MATCH(D813, Archetypes!$A$2:$A$127, 0))*INDEX(Unit_Grades!$B$2:$B$7, MATCH(F813, Unit_Grades!$A$2:$A$7, 0))*INDEX(Unit_Paths!$B$2:$B$4, MATCH(E813, Unit_Paths!$A$2:$A$4, 0)),1)</f>
        <v>54</v>
      </c>
      <c r="I813" s="6" t="n">
        <f aca="false">ROUND(INDEX(Archetypes!$F$2:$F$127, MATCH(D813, Archetypes!$A$2:$A$127, 0))*INDEX(Unit_Grades!$B$2:$B$7, MATCH(F813, Unit_Grades!$A$2:$A$7, 0))*INDEX(Unit_Paths!$C$2:$C$4, MATCH(E813, Unit_Paths!$A$2:$A$4, 0)),1)</f>
        <v>27</v>
      </c>
      <c r="J813" s="6" t="n">
        <f aca="false">ROUND(INDEX(Archetypes!$G$2:$G$127, MATCH(D813, Archetypes!$A$2:$A$127, 0))*INDEX(Unit_Grades!$B$2:$B$7, MATCH(F813, Unit_Grades!$A$2:$A$7, 0))*INDEX(Unit_Paths!$D$2:$D$4, MATCH(E813, Unit_Paths!$A$2:$A$4, 0)),0)</f>
        <v>189</v>
      </c>
      <c r="K813" s="6" t="n">
        <f aca="false">ROUND(INDEX(Archetypes!$H$2:$H$127, MATCH(D813, Archetypes!$A$2:$A$127, 0))*INDEX(Unit_Paths!$E$2:$E$4, MATCH(E813, Unit_Paths!$A$2:$A$4, 0)),1)</f>
        <v>34</v>
      </c>
      <c r="L813" s="6" t="n">
        <f aca="false">ROUND(INDEX(Archetypes!$I$2:$I$127, MATCH(D813, Archetypes!$A$2:$A$127, 0))*INDEX(Unit_Grades!$C$2:$C$7, MATCH(F813, Unit_Grades!$A$2:$A$7, 0)),1)</f>
        <v>10</v>
      </c>
      <c r="M813" s="6" t="n">
        <f aca="false">ROUND(INDEX(Archetypes!$J$2:$J$127, MATCH(D813, Archetypes!$A$2:$A$127, 0))*INDEX(Unit_Grades!$D$2:$D$7, MATCH(F813, Unit_Grades!$A$2:$A$7, 0)),1)</f>
        <v>4.9</v>
      </c>
      <c r="N813" s="6" t="n">
        <f aca="false">ROUND(M813/24,2)</f>
        <v>0.2</v>
      </c>
    </row>
    <row r="814" customFormat="false" ht="15" hidden="false" customHeight="true" outlineLevel="0" collapsed="false">
      <c r="A814" s="6" t="n">
        <v>3</v>
      </c>
      <c r="B814" s="6" t="s">
        <v>2336</v>
      </c>
      <c r="C814" s="6" t="s">
        <v>1354</v>
      </c>
      <c r="D814" s="6" t="str">
        <f aca="false">A814&amp;"|"&amp;C814</f>
        <v>3|Sloop</v>
      </c>
      <c r="E814" s="6" t="s">
        <v>1556</v>
      </c>
      <c r="F814" s="6" t="s">
        <v>1542</v>
      </c>
      <c r="G814" s="6" t="str">
        <f aca="false">INDEX(Archetypes!$D$2:$D$127, MATCH(D814, Archetypes!$A$2:$A$127, 0))</f>
        <v>Naval Escort</v>
      </c>
      <c r="H814" s="6" t="n">
        <f aca="false">ROUND(INDEX(Archetypes!$E$2:$E$127, MATCH(D814, Archetypes!$A$2:$A$127, 0))*INDEX(Unit_Grades!$B$2:$B$7, MATCH(F814, Unit_Grades!$A$2:$A$7, 0))*INDEX(Unit_Paths!$B$2:$B$4, MATCH(E814, Unit_Paths!$A$2:$A$4, 0)),1)</f>
        <v>72</v>
      </c>
      <c r="I814" s="6" t="n">
        <f aca="false">ROUND(INDEX(Archetypes!$F$2:$F$127, MATCH(D814, Archetypes!$A$2:$A$127, 0))*INDEX(Unit_Grades!$B$2:$B$7, MATCH(F814, Unit_Grades!$A$2:$A$7, 0))*INDEX(Unit_Paths!$C$2:$C$4, MATCH(E814, Unit_Paths!$A$2:$A$4, 0)),1)</f>
        <v>36</v>
      </c>
      <c r="J814" s="6" t="n">
        <f aca="false">ROUND(INDEX(Archetypes!$G$2:$G$127, MATCH(D814, Archetypes!$A$2:$A$127, 0))*INDEX(Unit_Grades!$B$2:$B$7, MATCH(F814, Unit_Grades!$A$2:$A$7, 0))*INDEX(Unit_Paths!$D$2:$D$4, MATCH(E814, Unit_Paths!$A$2:$A$4, 0)),0)</f>
        <v>252</v>
      </c>
      <c r="K814" s="6" t="n">
        <f aca="false">ROUND(INDEX(Archetypes!$H$2:$H$127, MATCH(D814, Archetypes!$A$2:$A$127, 0))*INDEX(Unit_Paths!$E$2:$E$4, MATCH(E814, Unit_Paths!$A$2:$A$4, 0)),1)</f>
        <v>34</v>
      </c>
      <c r="L814" s="6" t="n">
        <f aca="false">ROUND(INDEX(Archetypes!$I$2:$I$127, MATCH(D814, Archetypes!$A$2:$A$127, 0))*INDEX(Unit_Grades!$C$2:$C$7, MATCH(F814, Unit_Grades!$A$2:$A$7, 0)),1)</f>
        <v>12.8</v>
      </c>
      <c r="M814" s="6" t="n">
        <f aca="false">ROUND(INDEX(Archetypes!$J$2:$J$127, MATCH(D814, Archetypes!$A$2:$A$127, 0))*INDEX(Unit_Grades!$D$2:$D$7, MATCH(F814, Unit_Grades!$A$2:$A$7, 0)),1)</f>
        <v>8.1</v>
      </c>
      <c r="N814" s="6" t="n">
        <f aca="false">ROUND(M814/24,2)</f>
        <v>0.34</v>
      </c>
    </row>
    <row r="815" customFormat="false" ht="15" hidden="false" customHeight="true" outlineLevel="0" collapsed="false">
      <c r="A815" s="6" t="n">
        <v>3</v>
      </c>
      <c r="B815" s="6" t="s">
        <v>2337</v>
      </c>
      <c r="C815" s="6" t="s">
        <v>1354</v>
      </c>
      <c r="D815" s="6" t="str">
        <f aca="false">A815&amp;"|"&amp;C815</f>
        <v>3|Sloop</v>
      </c>
      <c r="E815" s="6" t="s">
        <v>1556</v>
      </c>
      <c r="F815" s="6" t="s">
        <v>1544</v>
      </c>
      <c r="G815" s="6" t="str">
        <f aca="false">INDEX(Archetypes!$D$2:$D$127, MATCH(D815, Archetypes!$A$2:$A$127, 0))</f>
        <v>Naval Escort</v>
      </c>
      <c r="H815" s="6" t="n">
        <f aca="false">ROUND(INDEX(Archetypes!$E$2:$E$127, MATCH(D815, Archetypes!$A$2:$A$127, 0))*INDEX(Unit_Grades!$B$2:$B$7, MATCH(F815, Unit_Grades!$A$2:$A$7, 0))*INDEX(Unit_Paths!$B$2:$B$4, MATCH(E815, Unit_Paths!$A$2:$A$4, 0)),1)</f>
        <v>96</v>
      </c>
      <c r="I815" s="6" t="n">
        <f aca="false">ROUND(INDEX(Archetypes!$F$2:$F$127, MATCH(D815, Archetypes!$A$2:$A$127, 0))*INDEX(Unit_Grades!$B$2:$B$7, MATCH(F815, Unit_Grades!$A$2:$A$7, 0))*INDEX(Unit_Paths!$C$2:$C$4, MATCH(E815, Unit_Paths!$A$2:$A$4, 0)),1)</f>
        <v>48</v>
      </c>
      <c r="J815" s="6" t="n">
        <f aca="false">ROUND(INDEX(Archetypes!$G$2:$G$127, MATCH(D815, Archetypes!$A$2:$A$127, 0))*INDEX(Unit_Grades!$B$2:$B$7, MATCH(F815, Unit_Grades!$A$2:$A$7, 0))*INDEX(Unit_Paths!$D$2:$D$4, MATCH(E815, Unit_Paths!$A$2:$A$4, 0)),0)</f>
        <v>336</v>
      </c>
      <c r="K815" s="6" t="n">
        <f aca="false">ROUND(INDEX(Archetypes!$H$2:$H$127, MATCH(D815, Archetypes!$A$2:$A$127, 0))*INDEX(Unit_Paths!$E$2:$E$4, MATCH(E815, Unit_Paths!$A$2:$A$4, 0)),1)</f>
        <v>34</v>
      </c>
      <c r="L815" s="6" t="n">
        <f aca="false">ROUND(INDEX(Archetypes!$I$2:$I$127, MATCH(D815, Archetypes!$A$2:$A$127, 0))*INDEX(Unit_Grades!$C$2:$C$7, MATCH(F815, Unit_Grades!$A$2:$A$7, 0)),1)</f>
        <v>16.8</v>
      </c>
      <c r="M815" s="6" t="n">
        <f aca="false">ROUND(INDEX(Archetypes!$J$2:$J$127, MATCH(D815, Archetypes!$A$2:$A$127, 0))*INDEX(Unit_Grades!$D$2:$D$7, MATCH(F815, Unit_Grades!$A$2:$A$7, 0)),1)</f>
        <v>13</v>
      </c>
      <c r="N815" s="6" t="n">
        <f aca="false">ROUND(M815/24,2)</f>
        <v>0.54</v>
      </c>
    </row>
    <row r="816" customFormat="false" ht="15" hidden="false" customHeight="true" outlineLevel="0" collapsed="false">
      <c r="A816" s="6" t="n">
        <v>3</v>
      </c>
      <c r="B816" s="6" t="s">
        <v>2338</v>
      </c>
      <c r="C816" s="6" t="s">
        <v>1354</v>
      </c>
      <c r="D816" s="6" t="str">
        <f aca="false">A816&amp;"|"&amp;C816</f>
        <v>3|Sloop</v>
      </c>
      <c r="E816" s="6" t="s">
        <v>1556</v>
      </c>
      <c r="F816" s="6" t="s">
        <v>1546</v>
      </c>
      <c r="G816" s="6" t="str">
        <f aca="false">INDEX(Archetypes!$D$2:$D$127, MATCH(D816, Archetypes!$A$2:$A$127, 0))</f>
        <v>Naval Escort</v>
      </c>
      <c r="H816" s="6" t="n">
        <f aca="false">ROUND(INDEX(Archetypes!$E$2:$E$127, MATCH(D816, Archetypes!$A$2:$A$127, 0))*INDEX(Unit_Grades!$B$2:$B$7, MATCH(F816, Unit_Grades!$A$2:$A$7, 0))*INDEX(Unit_Paths!$B$2:$B$4, MATCH(E816, Unit_Paths!$A$2:$A$4, 0)),1)</f>
        <v>128</v>
      </c>
      <c r="I816" s="6" t="n">
        <f aca="false">ROUND(INDEX(Archetypes!$F$2:$F$127, MATCH(D816, Archetypes!$A$2:$A$127, 0))*INDEX(Unit_Grades!$B$2:$B$7, MATCH(F816, Unit_Grades!$A$2:$A$7, 0))*INDEX(Unit_Paths!$C$2:$C$4, MATCH(E816, Unit_Paths!$A$2:$A$4, 0)),1)</f>
        <v>64</v>
      </c>
      <c r="J816" s="6" t="n">
        <f aca="false">ROUND(INDEX(Archetypes!$G$2:$G$127, MATCH(D816, Archetypes!$A$2:$A$127, 0))*INDEX(Unit_Grades!$B$2:$B$7, MATCH(F816, Unit_Grades!$A$2:$A$7, 0))*INDEX(Unit_Paths!$D$2:$D$4, MATCH(E816, Unit_Paths!$A$2:$A$4, 0)),0)</f>
        <v>448</v>
      </c>
      <c r="K816" s="6" t="n">
        <f aca="false">ROUND(INDEX(Archetypes!$H$2:$H$127, MATCH(D816, Archetypes!$A$2:$A$127, 0))*INDEX(Unit_Paths!$E$2:$E$4, MATCH(E816, Unit_Paths!$A$2:$A$4, 0)),1)</f>
        <v>34</v>
      </c>
      <c r="L816" s="6" t="n">
        <f aca="false">ROUND(INDEX(Archetypes!$I$2:$I$127, MATCH(D816, Archetypes!$A$2:$A$127, 0))*INDEX(Unit_Grades!$C$2:$C$7, MATCH(F816, Unit_Grades!$A$2:$A$7, 0)),1)</f>
        <v>22.4</v>
      </c>
      <c r="M816" s="6" t="n">
        <f aca="false">ROUND(INDEX(Archetypes!$J$2:$J$127, MATCH(D816, Archetypes!$A$2:$A$127, 0))*INDEX(Unit_Grades!$D$2:$D$7, MATCH(F816, Unit_Grades!$A$2:$A$7, 0)),1)</f>
        <v>22.8</v>
      </c>
      <c r="N816" s="6" t="n">
        <f aca="false">ROUND(M816/24,2)</f>
        <v>0.95</v>
      </c>
    </row>
    <row r="817" customFormat="false" ht="15" hidden="false" customHeight="true" outlineLevel="0" collapsed="false">
      <c r="A817" s="6" t="n">
        <v>3</v>
      </c>
      <c r="B817" s="6" t="s">
        <v>2339</v>
      </c>
      <c r="C817" s="6" t="s">
        <v>1354</v>
      </c>
      <c r="D817" s="6" t="str">
        <f aca="false">A817&amp;"|"&amp;C817</f>
        <v>3|Sloop</v>
      </c>
      <c r="E817" s="6" t="s">
        <v>1556</v>
      </c>
      <c r="F817" s="6" t="s">
        <v>1548</v>
      </c>
      <c r="G817" s="6" t="str">
        <f aca="false">INDEX(Archetypes!$D$2:$D$127, MATCH(D817, Archetypes!$A$2:$A$127, 0))</f>
        <v>Naval Escort</v>
      </c>
      <c r="H817" s="6" t="n">
        <f aca="false">ROUND(INDEX(Archetypes!$E$2:$E$127, MATCH(D817, Archetypes!$A$2:$A$127, 0))*INDEX(Unit_Grades!$B$2:$B$7, MATCH(F817, Unit_Grades!$A$2:$A$7, 0))*INDEX(Unit_Paths!$B$2:$B$4, MATCH(E817, Unit_Paths!$A$2:$A$4, 0)),1)</f>
        <v>168</v>
      </c>
      <c r="I817" s="6" t="n">
        <f aca="false">ROUND(INDEX(Archetypes!$F$2:$F$127, MATCH(D817, Archetypes!$A$2:$A$127, 0))*INDEX(Unit_Grades!$B$2:$B$7, MATCH(F817, Unit_Grades!$A$2:$A$7, 0))*INDEX(Unit_Paths!$C$2:$C$4, MATCH(E817, Unit_Paths!$A$2:$A$4, 0)),1)</f>
        <v>84</v>
      </c>
      <c r="J817" s="6" t="n">
        <f aca="false">ROUND(INDEX(Archetypes!$G$2:$G$127, MATCH(D817, Archetypes!$A$2:$A$127, 0))*INDEX(Unit_Grades!$B$2:$B$7, MATCH(F817, Unit_Grades!$A$2:$A$7, 0))*INDEX(Unit_Paths!$D$2:$D$4, MATCH(E817, Unit_Paths!$A$2:$A$4, 0)),0)</f>
        <v>588</v>
      </c>
      <c r="K817" s="6" t="n">
        <f aca="false">ROUND(INDEX(Archetypes!$H$2:$H$127, MATCH(D817, Archetypes!$A$2:$A$127, 0))*INDEX(Unit_Paths!$E$2:$E$4, MATCH(E817, Unit_Paths!$A$2:$A$4, 0)),1)</f>
        <v>34</v>
      </c>
      <c r="L817" s="6" t="n">
        <f aca="false">ROUND(INDEX(Archetypes!$I$2:$I$127, MATCH(D817, Archetypes!$A$2:$A$127, 0))*INDEX(Unit_Grades!$C$2:$C$7, MATCH(F817, Unit_Grades!$A$2:$A$7, 0)),1)</f>
        <v>29.6</v>
      </c>
      <c r="M817" s="6" t="n">
        <f aca="false">ROUND(INDEX(Archetypes!$J$2:$J$127, MATCH(D817, Archetypes!$A$2:$A$127, 0))*INDEX(Unit_Grades!$D$2:$D$7, MATCH(F817, Unit_Grades!$A$2:$A$7, 0)),1)</f>
        <v>39</v>
      </c>
      <c r="N817" s="6" t="n">
        <f aca="false">ROUND(M817/24,2)</f>
        <v>1.63</v>
      </c>
    </row>
    <row r="818" customFormat="false" ht="15" hidden="false" customHeight="true" outlineLevel="0" collapsed="false">
      <c r="A818" s="6" t="n">
        <v>3</v>
      </c>
      <c r="B818" s="6" t="s">
        <v>2340</v>
      </c>
      <c r="C818" s="6" t="s">
        <v>1354</v>
      </c>
      <c r="D818" s="6" t="str">
        <f aca="false">A818&amp;"|"&amp;C818</f>
        <v>3|Sloop</v>
      </c>
      <c r="E818" s="6" t="s">
        <v>1558</v>
      </c>
      <c r="F818" s="6" t="s">
        <v>1538</v>
      </c>
      <c r="G818" s="6" t="str">
        <f aca="false">INDEX(Archetypes!$D$2:$D$127, MATCH(D818, Archetypes!$A$2:$A$127, 0))</f>
        <v>Naval Escort</v>
      </c>
      <c r="H818" s="6" t="n">
        <f aca="false">ROUND(INDEX(Archetypes!$E$2:$E$127, MATCH(D818, Archetypes!$A$2:$A$127, 0))*INDEX(Unit_Grades!$B$2:$B$7, MATCH(F818, Unit_Grades!$A$2:$A$7, 0))*INDEX(Unit_Paths!$B$2:$B$4, MATCH(E818, Unit_Paths!$A$2:$A$4, 0)),1)</f>
        <v>48</v>
      </c>
      <c r="I818" s="6" t="n">
        <f aca="false">ROUND(INDEX(Archetypes!$F$2:$F$127, MATCH(D818, Archetypes!$A$2:$A$127, 0))*INDEX(Unit_Grades!$B$2:$B$7, MATCH(F818, Unit_Grades!$A$2:$A$7, 0))*INDEX(Unit_Paths!$C$2:$C$4, MATCH(E818, Unit_Paths!$A$2:$A$4, 0)),1)</f>
        <v>17</v>
      </c>
      <c r="J818" s="6" t="n">
        <f aca="false">ROUND(INDEX(Archetypes!$G$2:$G$127, MATCH(D818, Archetypes!$A$2:$A$127, 0))*INDEX(Unit_Grades!$B$2:$B$7, MATCH(F818, Unit_Grades!$A$2:$A$7, 0))*INDEX(Unit_Paths!$D$2:$D$4, MATCH(E818, Unit_Paths!$A$2:$A$4, 0)),0)</f>
        <v>133</v>
      </c>
      <c r="K818" s="6" t="n">
        <f aca="false">ROUND(INDEX(Archetypes!$H$2:$H$127, MATCH(D818, Archetypes!$A$2:$A$127, 0))*INDEX(Unit_Paths!$E$2:$E$4, MATCH(E818, Unit_Paths!$A$2:$A$4, 0)),1)</f>
        <v>35.7</v>
      </c>
      <c r="L818" s="6" t="n">
        <f aca="false">ROUND(INDEX(Archetypes!$I$2:$I$127, MATCH(D818, Archetypes!$A$2:$A$127, 0))*INDEX(Unit_Grades!$C$2:$C$7, MATCH(F818, Unit_Grades!$A$2:$A$7, 0)),1)</f>
        <v>8</v>
      </c>
      <c r="M818" s="6" t="n">
        <f aca="false">ROUND(INDEX(Archetypes!$J$2:$J$127, MATCH(D818, Archetypes!$A$2:$A$127, 0))*INDEX(Unit_Grades!$D$2:$D$7, MATCH(F818, Unit_Grades!$A$2:$A$7, 0)),1)</f>
        <v>3.3</v>
      </c>
      <c r="N818" s="6" t="n">
        <f aca="false">ROUND(M818/24,2)</f>
        <v>0.14</v>
      </c>
    </row>
    <row r="819" customFormat="false" ht="15" hidden="false" customHeight="true" outlineLevel="0" collapsed="false">
      <c r="A819" s="6" t="n">
        <v>3</v>
      </c>
      <c r="B819" s="6" t="s">
        <v>2341</v>
      </c>
      <c r="C819" s="6" t="s">
        <v>1354</v>
      </c>
      <c r="D819" s="6" t="str">
        <f aca="false">A819&amp;"|"&amp;C819</f>
        <v>3|Sloop</v>
      </c>
      <c r="E819" s="6" t="s">
        <v>1558</v>
      </c>
      <c r="F819" s="6" t="s">
        <v>1540</v>
      </c>
      <c r="G819" s="6" t="str">
        <f aca="false">INDEX(Archetypes!$D$2:$D$127, MATCH(D819, Archetypes!$A$2:$A$127, 0))</f>
        <v>Naval Escort</v>
      </c>
      <c r="H819" s="6" t="n">
        <f aca="false">ROUND(INDEX(Archetypes!$E$2:$E$127, MATCH(D819, Archetypes!$A$2:$A$127, 0))*INDEX(Unit_Grades!$B$2:$B$7, MATCH(F819, Unit_Grades!$A$2:$A$7, 0))*INDEX(Unit_Paths!$B$2:$B$4, MATCH(E819, Unit_Paths!$A$2:$A$4, 0)),1)</f>
        <v>64.8</v>
      </c>
      <c r="I819" s="6" t="n">
        <f aca="false">ROUND(INDEX(Archetypes!$F$2:$F$127, MATCH(D819, Archetypes!$A$2:$A$127, 0))*INDEX(Unit_Grades!$B$2:$B$7, MATCH(F819, Unit_Grades!$A$2:$A$7, 0))*INDEX(Unit_Paths!$C$2:$C$4, MATCH(E819, Unit_Paths!$A$2:$A$4, 0)),1)</f>
        <v>23</v>
      </c>
      <c r="J819" s="6" t="n">
        <f aca="false">ROUND(INDEX(Archetypes!$G$2:$G$127, MATCH(D819, Archetypes!$A$2:$A$127, 0))*INDEX(Unit_Grades!$B$2:$B$7, MATCH(F819, Unit_Grades!$A$2:$A$7, 0))*INDEX(Unit_Paths!$D$2:$D$4, MATCH(E819, Unit_Paths!$A$2:$A$4, 0)),0)</f>
        <v>180</v>
      </c>
      <c r="K819" s="6" t="n">
        <f aca="false">ROUND(INDEX(Archetypes!$H$2:$H$127, MATCH(D819, Archetypes!$A$2:$A$127, 0))*INDEX(Unit_Paths!$E$2:$E$4, MATCH(E819, Unit_Paths!$A$2:$A$4, 0)),1)</f>
        <v>35.7</v>
      </c>
      <c r="L819" s="6" t="n">
        <f aca="false">ROUND(INDEX(Archetypes!$I$2:$I$127, MATCH(D819, Archetypes!$A$2:$A$127, 0))*INDEX(Unit_Grades!$C$2:$C$7, MATCH(F819, Unit_Grades!$A$2:$A$7, 0)),1)</f>
        <v>10</v>
      </c>
      <c r="M819" s="6" t="n">
        <f aca="false">ROUND(INDEX(Archetypes!$J$2:$J$127, MATCH(D819, Archetypes!$A$2:$A$127, 0))*INDEX(Unit_Grades!$D$2:$D$7, MATCH(F819, Unit_Grades!$A$2:$A$7, 0)),1)</f>
        <v>4.9</v>
      </c>
      <c r="N819" s="6" t="n">
        <f aca="false">ROUND(M819/24,2)</f>
        <v>0.2</v>
      </c>
    </row>
    <row r="820" customFormat="false" ht="15" hidden="false" customHeight="true" outlineLevel="0" collapsed="false">
      <c r="A820" s="6" t="n">
        <v>3</v>
      </c>
      <c r="B820" s="6" t="s">
        <v>2342</v>
      </c>
      <c r="C820" s="6" t="s">
        <v>1354</v>
      </c>
      <c r="D820" s="6" t="str">
        <f aca="false">A820&amp;"|"&amp;C820</f>
        <v>3|Sloop</v>
      </c>
      <c r="E820" s="6" t="s">
        <v>1558</v>
      </c>
      <c r="F820" s="6" t="s">
        <v>1542</v>
      </c>
      <c r="G820" s="6" t="str">
        <f aca="false">INDEX(Archetypes!$D$2:$D$127, MATCH(D820, Archetypes!$A$2:$A$127, 0))</f>
        <v>Naval Escort</v>
      </c>
      <c r="H820" s="6" t="n">
        <f aca="false">ROUND(INDEX(Archetypes!$E$2:$E$127, MATCH(D820, Archetypes!$A$2:$A$127, 0))*INDEX(Unit_Grades!$B$2:$B$7, MATCH(F820, Unit_Grades!$A$2:$A$7, 0))*INDEX(Unit_Paths!$B$2:$B$4, MATCH(E820, Unit_Paths!$A$2:$A$4, 0)),1)</f>
        <v>86.4</v>
      </c>
      <c r="I820" s="6" t="n">
        <f aca="false">ROUND(INDEX(Archetypes!$F$2:$F$127, MATCH(D820, Archetypes!$A$2:$A$127, 0))*INDEX(Unit_Grades!$B$2:$B$7, MATCH(F820, Unit_Grades!$A$2:$A$7, 0))*INDEX(Unit_Paths!$C$2:$C$4, MATCH(E820, Unit_Paths!$A$2:$A$4, 0)),1)</f>
        <v>30.6</v>
      </c>
      <c r="J820" s="6" t="n">
        <f aca="false">ROUND(INDEX(Archetypes!$G$2:$G$127, MATCH(D820, Archetypes!$A$2:$A$127, 0))*INDEX(Unit_Grades!$B$2:$B$7, MATCH(F820, Unit_Grades!$A$2:$A$7, 0))*INDEX(Unit_Paths!$D$2:$D$4, MATCH(E820, Unit_Paths!$A$2:$A$4, 0)),0)</f>
        <v>239</v>
      </c>
      <c r="K820" s="6" t="n">
        <f aca="false">ROUND(INDEX(Archetypes!$H$2:$H$127, MATCH(D820, Archetypes!$A$2:$A$127, 0))*INDEX(Unit_Paths!$E$2:$E$4, MATCH(E820, Unit_Paths!$A$2:$A$4, 0)),1)</f>
        <v>35.7</v>
      </c>
      <c r="L820" s="6" t="n">
        <f aca="false">ROUND(INDEX(Archetypes!$I$2:$I$127, MATCH(D820, Archetypes!$A$2:$A$127, 0))*INDEX(Unit_Grades!$C$2:$C$7, MATCH(F820, Unit_Grades!$A$2:$A$7, 0)),1)</f>
        <v>12.8</v>
      </c>
      <c r="M820" s="6" t="n">
        <f aca="false">ROUND(INDEX(Archetypes!$J$2:$J$127, MATCH(D820, Archetypes!$A$2:$A$127, 0))*INDEX(Unit_Grades!$D$2:$D$7, MATCH(F820, Unit_Grades!$A$2:$A$7, 0)),1)</f>
        <v>8.1</v>
      </c>
      <c r="N820" s="6" t="n">
        <f aca="false">ROUND(M820/24,2)</f>
        <v>0.34</v>
      </c>
    </row>
    <row r="821" customFormat="false" ht="15" hidden="false" customHeight="true" outlineLevel="0" collapsed="false">
      <c r="A821" s="6" t="n">
        <v>3</v>
      </c>
      <c r="B821" s="6" t="s">
        <v>2343</v>
      </c>
      <c r="C821" s="6" t="s">
        <v>1354</v>
      </c>
      <c r="D821" s="6" t="str">
        <f aca="false">A821&amp;"|"&amp;C821</f>
        <v>3|Sloop</v>
      </c>
      <c r="E821" s="6" t="s">
        <v>1558</v>
      </c>
      <c r="F821" s="6" t="s">
        <v>1544</v>
      </c>
      <c r="G821" s="6" t="str">
        <f aca="false">INDEX(Archetypes!$D$2:$D$127, MATCH(D821, Archetypes!$A$2:$A$127, 0))</f>
        <v>Naval Escort</v>
      </c>
      <c r="H821" s="6" t="n">
        <f aca="false">ROUND(INDEX(Archetypes!$E$2:$E$127, MATCH(D821, Archetypes!$A$2:$A$127, 0))*INDEX(Unit_Grades!$B$2:$B$7, MATCH(F821, Unit_Grades!$A$2:$A$7, 0))*INDEX(Unit_Paths!$B$2:$B$4, MATCH(E821, Unit_Paths!$A$2:$A$4, 0)),1)</f>
        <v>115.2</v>
      </c>
      <c r="I821" s="6" t="n">
        <f aca="false">ROUND(INDEX(Archetypes!$F$2:$F$127, MATCH(D821, Archetypes!$A$2:$A$127, 0))*INDEX(Unit_Grades!$B$2:$B$7, MATCH(F821, Unit_Grades!$A$2:$A$7, 0))*INDEX(Unit_Paths!$C$2:$C$4, MATCH(E821, Unit_Paths!$A$2:$A$4, 0)),1)</f>
        <v>40.8</v>
      </c>
      <c r="J821" s="6" t="n">
        <f aca="false">ROUND(INDEX(Archetypes!$G$2:$G$127, MATCH(D821, Archetypes!$A$2:$A$127, 0))*INDEX(Unit_Grades!$B$2:$B$7, MATCH(F821, Unit_Grades!$A$2:$A$7, 0))*INDEX(Unit_Paths!$D$2:$D$4, MATCH(E821, Unit_Paths!$A$2:$A$4, 0)),0)</f>
        <v>319</v>
      </c>
      <c r="K821" s="6" t="n">
        <f aca="false">ROUND(INDEX(Archetypes!$H$2:$H$127, MATCH(D821, Archetypes!$A$2:$A$127, 0))*INDEX(Unit_Paths!$E$2:$E$4, MATCH(E821, Unit_Paths!$A$2:$A$4, 0)),1)</f>
        <v>35.7</v>
      </c>
      <c r="L821" s="6" t="n">
        <f aca="false">ROUND(INDEX(Archetypes!$I$2:$I$127, MATCH(D821, Archetypes!$A$2:$A$127, 0))*INDEX(Unit_Grades!$C$2:$C$7, MATCH(F821, Unit_Grades!$A$2:$A$7, 0)),1)</f>
        <v>16.8</v>
      </c>
      <c r="M821" s="6" t="n">
        <f aca="false">ROUND(INDEX(Archetypes!$J$2:$J$127, MATCH(D821, Archetypes!$A$2:$A$127, 0))*INDEX(Unit_Grades!$D$2:$D$7, MATCH(F821, Unit_Grades!$A$2:$A$7, 0)),1)</f>
        <v>13</v>
      </c>
      <c r="N821" s="6" t="n">
        <f aca="false">ROUND(M821/24,2)</f>
        <v>0.54</v>
      </c>
    </row>
    <row r="822" customFormat="false" ht="15" hidden="false" customHeight="true" outlineLevel="0" collapsed="false">
      <c r="A822" s="6" t="n">
        <v>3</v>
      </c>
      <c r="B822" s="6" t="s">
        <v>2344</v>
      </c>
      <c r="C822" s="6" t="s">
        <v>1354</v>
      </c>
      <c r="D822" s="6" t="str">
        <f aca="false">A822&amp;"|"&amp;C822</f>
        <v>3|Sloop</v>
      </c>
      <c r="E822" s="6" t="s">
        <v>1558</v>
      </c>
      <c r="F822" s="6" t="s">
        <v>1546</v>
      </c>
      <c r="G822" s="6" t="str">
        <f aca="false">INDEX(Archetypes!$D$2:$D$127, MATCH(D822, Archetypes!$A$2:$A$127, 0))</f>
        <v>Naval Escort</v>
      </c>
      <c r="H822" s="6" t="n">
        <f aca="false">ROUND(INDEX(Archetypes!$E$2:$E$127, MATCH(D822, Archetypes!$A$2:$A$127, 0))*INDEX(Unit_Grades!$B$2:$B$7, MATCH(F822, Unit_Grades!$A$2:$A$7, 0))*INDEX(Unit_Paths!$B$2:$B$4, MATCH(E822, Unit_Paths!$A$2:$A$4, 0)),1)</f>
        <v>153.6</v>
      </c>
      <c r="I822" s="6" t="n">
        <f aca="false">ROUND(INDEX(Archetypes!$F$2:$F$127, MATCH(D822, Archetypes!$A$2:$A$127, 0))*INDEX(Unit_Grades!$B$2:$B$7, MATCH(F822, Unit_Grades!$A$2:$A$7, 0))*INDEX(Unit_Paths!$C$2:$C$4, MATCH(E822, Unit_Paths!$A$2:$A$4, 0)),1)</f>
        <v>54.4</v>
      </c>
      <c r="J822" s="6" t="n">
        <f aca="false">ROUND(INDEX(Archetypes!$G$2:$G$127, MATCH(D822, Archetypes!$A$2:$A$127, 0))*INDEX(Unit_Grades!$B$2:$B$7, MATCH(F822, Unit_Grades!$A$2:$A$7, 0))*INDEX(Unit_Paths!$D$2:$D$4, MATCH(E822, Unit_Paths!$A$2:$A$4, 0)),0)</f>
        <v>426</v>
      </c>
      <c r="K822" s="6" t="n">
        <f aca="false">ROUND(INDEX(Archetypes!$H$2:$H$127, MATCH(D822, Archetypes!$A$2:$A$127, 0))*INDEX(Unit_Paths!$E$2:$E$4, MATCH(E822, Unit_Paths!$A$2:$A$4, 0)),1)</f>
        <v>35.7</v>
      </c>
      <c r="L822" s="6" t="n">
        <f aca="false">ROUND(INDEX(Archetypes!$I$2:$I$127, MATCH(D822, Archetypes!$A$2:$A$127, 0))*INDEX(Unit_Grades!$C$2:$C$7, MATCH(F822, Unit_Grades!$A$2:$A$7, 0)),1)</f>
        <v>22.4</v>
      </c>
      <c r="M822" s="6" t="n">
        <f aca="false">ROUND(INDEX(Archetypes!$J$2:$J$127, MATCH(D822, Archetypes!$A$2:$A$127, 0))*INDEX(Unit_Grades!$D$2:$D$7, MATCH(F822, Unit_Grades!$A$2:$A$7, 0)),1)</f>
        <v>22.8</v>
      </c>
      <c r="N822" s="6" t="n">
        <f aca="false">ROUND(M822/24,2)</f>
        <v>0.95</v>
      </c>
    </row>
    <row r="823" customFormat="false" ht="15" hidden="false" customHeight="true" outlineLevel="0" collapsed="false">
      <c r="A823" s="6" t="n">
        <v>3</v>
      </c>
      <c r="B823" s="6" t="s">
        <v>2345</v>
      </c>
      <c r="C823" s="6" t="s">
        <v>1354</v>
      </c>
      <c r="D823" s="6" t="str">
        <f aca="false">A823&amp;"|"&amp;C823</f>
        <v>3|Sloop</v>
      </c>
      <c r="E823" s="6" t="s">
        <v>1558</v>
      </c>
      <c r="F823" s="6" t="s">
        <v>1548</v>
      </c>
      <c r="G823" s="6" t="str">
        <f aca="false">INDEX(Archetypes!$D$2:$D$127, MATCH(D823, Archetypes!$A$2:$A$127, 0))</f>
        <v>Naval Escort</v>
      </c>
      <c r="H823" s="6" t="n">
        <f aca="false">ROUND(INDEX(Archetypes!$E$2:$E$127, MATCH(D823, Archetypes!$A$2:$A$127, 0))*INDEX(Unit_Grades!$B$2:$B$7, MATCH(F823, Unit_Grades!$A$2:$A$7, 0))*INDEX(Unit_Paths!$B$2:$B$4, MATCH(E823, Unit_Paths!$A$2:$A$4, 0)),1)</f>
        <v>201.6</v>
      </c>
      <c r="I823" s="6" t="n">
        <f aca="false">ROUND(INDEX(Archetypes!$F$2:$F$127, MATCH(D823, Archetypes!$A$2:$A$127, 0))*INDEX(Unit_Grades!$B$2:$B$7, MATCH(F823, Unit_Grades!$A$2:$A$7, 0))*INDEX(Unit_Paths!$C$2:$C$4, MATCH(E823, Unit_Paths!$A$2:$A$4, 0)),1)</f>
        <v>71.4</v>
      </c>
      <c r="J823" s="6" t="n">
        <f aca="false">ROUND(INDEX(Archetypes!$G$2:$G$127, MATCH(D823, Archetypes!$A$2:$A$127, 0))*INDEX(Unit_Grades!$B$2:$B$7, MATCH(F823, Unit_Grades!$A$2:$A$7, 0))*INDEX(Unit_Paths!$D$2:$D$4, MATCH(E823, Unit_Paths!$A$2:$A$4, 0)),0)</f>
        <v>559</v>
      </c>
      <c r="K823" s="6" t="n">
        <f aca="false">ROUND(INDEX(Archetypes!$H$2:$H$127, MATCH(D823, Archetypes!$A$2:$A$127, 0))*INDEX(Unit_Paths!$E$2:$E$4, MATCH(E823, Unit_Paths!$A$2:$A$4, 0)),1)</f>
        <v>35.7</v>
      </c>
      <c r="L823" s="6" t="n">
        <f aca="false">ROUND(INDEX(Archetypes!$I$2:$I$127, MATCH(D823, Archetypes!$A$2:$A$127, 0))*INDEX(Unit_Grades!$C$2:$C$7, MATCH(F823, Unit_Grades!$A$2:$A$7, 0)),1)</f>
        <v>29.6</v>
      </c>
      <c r="M823" s="6" t="n">
        <f aca="false">ROUND(INDEX(Archetypes!$J$2:$J$127, MATCH(D823, Archetypes!$A$2:$A$127, 0))*INDEX(Unit_Grades!$D$2:$D$7, MATCH(F823, Unit_Grades!$A$2:$A$7, 0)),1)</f>
        <v>39</v>
      </c>
      <c r="N823" s="6" t="n">
        <f aca="false">ROUND(M823/24,2)</f>
        <v>1.63</v>
      </c>
    </row>
    <row r="824" customFormat="false" ht="15" hidden="false" customHeight="true" outlineLevel="0" collapsed="false">
      <c r="A824" s="6" t="n">
        <v>3</v>
      </c>
      <c r="B824" s="6" t="s">
        <v>2346</v>
      </c>
      <c r="C824" s="6" t="s">
        <v>1354</v>
      </c>
      <c r="D824" s="6" t="str">
        <f aca="false">A824&amp;"|"&amp;C824</f>
        <v>3|Sloop</v>
      </c>
      <c r="E824" s="6" t="s">
        <v>1560</v>
      </c>
      <c r="F824" s="6" t="s">
        <v>1538</v>
      </c>
      <c r="G824" s="6" t="str">
        <f aca="false">INDEX(Archetypes!$D$2:$D$127, MATCH(D824, Archetypes!$A$2:$A$127, 0))</f>
        <v>Naval Escort</v>
      </c>
      <c r="H824" s="6" t="n">
        <f aca="false">ROUND(INDEX(Archetypes!$E$2:$E$127, MATCH(D824, Archetypes!$A$2:$A$127, 0))*INDEX(Unit_Grades!$B$2:$B$7, MATCH(F824, Unit_Grades!$A$2:$A$7, 0))*INDEX(Unit_Paths!$B$2:$B$4, MATCH(E824, Unit_Paths!$A$2:$A$4, 0)),1)</f>
        <v>34</v>
      </c>
      <c r="I824" s="6" t="n">
        <f aca="false">ROUND(INDEX(Archetypes!$F$2:$F$127, MATCH(D824, Archetypes!$A$2:$A$127, 0))*INDEX(Unit_Grades!$B$2:$B$7, MATCH(F824, Unit_Grades!$A$2:$A$7, 0))*INDEX(Unit_Paths!$C$2:$C$4, MATCH(E824, Unit_Paths!$A$2:$A$4, 0)),1)</f>
        <v>25</v>
      </c>
      <c r="J824" s="6" t="n">
        <f aca="false">ROUND(INDEX(Archetypes!$G$2:$G$127, MATCH(D824, Archetypes!$A$2:$A$127, 0))*INDEX(Unit_Grades!$B$2:$B$7, MATCH(F824, Unit_Grades!$A$2:$A$7, 0))*INDEX(Unit_Paths!$D$2:$D$4, MATCH(E824, Unit_Paths!$A$2:$A$4, 0)),0)</f>
        <v>161</v>
      </c>
      <c r="K824" s="6" t="n">
        <f aca="false">ROUND(INDEX(Archetypes!$H$2:$H$127, MATCH(D824, Archetypes!$A$2:$A$127, 0))*INDEX(Unit_Paths!$E$2:$E$4, MATCH(E824, Unit_Paths!$A$2:$A$4, 0)),1)</f>
        <v>31.3</v>
      </c>
      <c r="L824" s="6" t="n">
        <f aca="false">ROUND(INDEX(Archetypes!$I$2:$I$127, MATCH(D824, Archetypes!$A$2:$A$127, 0))*INDEX(Unit_Grades!$C$2:$C$7, MATCH(F824, Unit_Grades!$A$2:$A$7, 0)),1)</f>
        <v>8</v>
      </c>
      <c r="M824" s="6" t="n">
        <f aca="false">ROUND(INDEX(Archetypes!$J$2:$J$127, MATCH(D824, Archetypes!$A$2:$A$127, 0))*INDEX(Unit_Grades!$D$2:$D$7, MATCH(F824, Unit_Grades!$A$2:$A$7, 0)),1)</f>
        <v>3.3</v>
      </c>
      <c r="N824" s="6" t="n">
        <f aca="false">ROUND(M824/24,2)</f>
        <v>0.14</v>
      </c>
    </row>
    <row r="825" customFormat="false" ht="15" hidden="false" customHeight="true" outlineLevel="0" collapsed="false">
      <c r="A825" s="6" t="n">
        <v>3</v>
      </c>
      <c r="B825" s="6" t="s">
        <v>2347</v>
      </c>
      <c r="C825" s="6" t="s">
        <v>1354</v>
      </c>
      <c r="D825" s="6" t="str">
        <f aca="false">A825&amp;"|"&amp;C825</f>
        <v>3|Sloop</v>
      </c>
      <c r="E825" s="6" t="s">
        <v>1560</v>
      </c>
      <c r="F825" s="6" t="s">
        <v>1540</v>
      </c>
      <c r="G825" s="6" t="str">
        <f aca="false">INDEX(Archetypes!$D$2:$D$127, MATCH(D825, Archetypes!$A$2:$A$127, 0))</f>
        <v>Naval Escort</v>
      </c>
      <c r="H825" s="6" t="n">
        <f aca="false">ROUND(INDEX(Archetypes!$E$2:$E$127, MATCH(D825, Archetypes!$A$2:$A$127, 0))*INDEX(Unit_Grades!$B$2:$B$7, MATCH(F825, Unit_Grades!$A$2:$A$7, 0))*INDEX(Unit_Paths!$B$2:$B$4, MATCH(E825, Unit_Paths!$A$2:$A$4, 0)),1)</f>
        <v>45.9</v>
      </c>
      <c r="I825" s="6" t="n">
        <f aca="false">ROUND(INDEX(Archetypes!$F$2:$F$127, MATCH(D825, Archetypes!$A$2:$A$127, 0))*INDEX(Unit_Grades!$B$2:$B$7, MATCH(F825, Unit_Grades!$A$2:$A$7, 0))*INDEX(Unit_Paths!$C$2:$C$4, MATCH(E825, Unit_Paths!$A$2:$A$4, 0)),1)</f>
        <v>33.8</v>
      </c>
      <c r="J825" s="6" t="n">
        <f aca="false">ROUND(INDEX(Archetypes!$G$2:$G$127, MATCH(D825, Archetypes!$A$2:$A$127, 0))*INDEX(Unit_Grades!$B$2:$B$7, MATCH(F825, Unit_Grades!$A$2:$A$7, 0))*INDEX(Unit_Paths!$D$2:$D$4, MATCH(E825, Unit_Paths!$A$2:$A$4, 0)),0)</f>
        <v>217</v>
      </c>
      <c r="K825" s="6" t="n">
        <f aca="false">ROUND(INDEX(Archetypes!$H$2:$H$127, MATCH(D825, Archetypes!$A$2:$A$127, 0))*INDEX(Unit_Paths!$E$2:$E$4, MATCH(E825, Unit_Paths!$A$2:$A$4, 0)),1)</f>
        <v>31.3</v>
      </c>
      <c r="L825" s="6" t="n">
        <f aca="false">ROUND(INDEX(Archetypes!$I$2:$I$127, MATCH(D825, Archetypes!$A$2:$A$127, 0))*INDEX(Unit_Grades!$C$2:$C$7, MATCH(F825, Unit_Grades!$A$2:$A$7, 0)),1)</f>
        <v>10</v>
      </c>
      <c r="M825" s="6" t="n">
        <f aca="false">ROUND(INDEX(Archetypes!$J$2:$J$127, MATCH(D825, Archetypes!$A$2:$A$127, 0))*INDEX(Unit_Grades!$D$2:$D$7, MATCH(F825, Unit_Grades!$A$2:$A$7, 0)),1)</f>
        <v>4.9</v>
      </c>
      <c r="N825" s="6" t="n">
        <f aca="false">ROUND(M825/24,2)</f>
        <v>0.2</v>
      </c>
    </row>
    <row r="826" customFormat="false" ht="15" hidden="false" customHeight="true" outlineLevel="0" collapsed="false">
      <c r="A826" s="6" t="n">
        <v>3</v>
      </c>
      <c r="B826" s="6" t="s">
        <v>2348</v>
      </c>
      <c r="C826" s="6" t="s">
        <v>1354</v>
      </c>
      <c r="D826" s="6" t="str">
        <f aca="false">A826&amp;"|"&amp;C826</f>
        <v>3|Sloop</v>
      </c>
      <c r="E826" s="6" t="s">
        <v>1560</v>
      </c>
      <c r="F826" s="6" t="s">
        <v>1542</v>
      </c>
      <c r="G826" s="6" t="str">
        <f aca="false">INDEX(Archetypes!$D$2:$D$127, MATCH(D826, Archetypes!$A$2:$A$127, 0))</f>
        <v>Naval Escort</v>
      </c>
      <c r="H826" s="6" t="n">
        <f aca="false">ROUND(INDEX(Archetypes!$E$2:$E$127, MATCH(D826, Archetypes!$A$2:$A$127, 0))*INDEX(Unit_Grades!$B$2:$B$7, MATCH(F826, Unit_Grades!$A$2:$A$7, 0))*INDEX(Unit_Paths!$B$2:$B$4, MATCH(E826, Unit_Paths!$A$2:$A$4, 0)),1)</f>
        <v>61.2</v>
      </c>
      <c r="I826" s="6" t="n">
        <f aca="false">ROUND(INDEX(Archetypes!$F$2:$F$127, MATCH(D826, Archetypes!$A$2:$A$127, 0))*INDEX(Unit_Grades!$B$2:$B$7, MATCH(F826, Unit_Grades!$A$2:$A$7, 0))*INDEX(Unit_Paths!$C$2:$C$4, MATCH(E826, Unit_Paths!$A$2:$A$4, 0)),1)</f>
        <v>45</v>
      </c>
      <c r="J826" s="6" t="n">
        <f aca="false">ROUND(INDEX(Archetypes!$G$2:$G$127, MATCH(D826, Archetypes!$A$2:$A$127, 0))*INDEX(Unit_Grades!$B$2:$B$7, MATCH(F826, Unit_Grades!$A$2:$A$7, 0))*INDEX(Unit_Paths!$D$2:$D$4, MATCH(E826, Unit_Paths!$A$2:$A$4, 0)),0)</f>
        <v>290</v>
      </c>
      <c r="K826" s="6" t="n">
        <f aca="false">ROUND(INDEX(Archetypes!$H$2:$H$127, MATCH(D826, Archetypes!$A$2:$A$127, 0))*INDEX(Unit_Paths!$E$2:$E$4, MATCH(E826, Unit_Paths!$A$2:$A$4, 0)),1)</f>
        <v>31.3</v>
      </c>
      <c r="L826" s="6" t="n">
        <f aca="false">ROUND(INDEX(Archetypes!$I$2:$I$127, MATCH(D826, Archetypes!$A$2:$A$127, 0))*INDEX(Unit_Grades!$C$2:$C$7, MATCH(F826, Unit_Grades!$A$2:$A$7, 0)),1)</f>
        <v>12.8</v>
      </c>
      <c r="M826" s="6" t="n">
        <f aca="false">ROUND(INDEX(Archetypes!$J$2:$J$127, MATCH(D826, Archetypes!$A$2:$A$127, 0))*INDEX(Unit_Grades!$D$2:$D$7, MATCH(F826, Unit_Grades!$A$2:$A$7, 0)),1)</f>
        <v>8.1</v>
      </c>
      <c r="N826" s="6" t="n">
        <f aca="false">ROUND(M826/24,2)</f>
        <v>0.34</v>
      </c>
    </row>
    <row r="827" customFormat="false" ht="15" hidden="false" customHeight="true" outlineLevel="0" collapsed="false">
      <c r="A827" s="6" t="n">
        <v>3</v>
      </c>
      <c r="B827" s="6" t="s">
        <v>2349</v>
      </c>
      <c r="C827" s="6" t="s">
        <v>1354</v>
      </c>
      <c r="D827" s="6" t="str">
        <f aca="false">A827&amp;"|"&amp;C827</f>
        <v>3|Sloop</v>
      </c>
      <c r="E827" s="6" t="s">
        <v>1560</v>
      </c>
      <c r="F827" s="6" t="s">
        <v>1544</v>
      </c>
      <c r="G827" s="6" t="str">
        <f aca="false">INDEX(Archetypes!$D$2:$D$127, MATCH(D827, Archetypes!$A$2:$A$127, 0))</f>
        <v>Naval Escort</v>
      </c>
      <c r="H827" s="6" t="n">
        <f aca="false">ROUND(INDEX(Archetypes!$E$2:$E$127, MATCH(D827, Archetypes!$A$2:$A$127, 0))*INDEX(Unit_Grades!$B$2:$B$7, MATCH(F827, Unit_Grades!$A$2:$A$7, 0))*INDEX(Unit_Paths!$B$2:$B$4, MATCH(E827, Unit_Paths!$A$2:$A$4, 0)),1)</f>
        <v>81.6</v>
      </c>
      <c r="I827" s="6" t="n">
        <f aca="false">ROUND(INDEX(Archetypes!$F$2:$F$127, MATCH(D827, Archetypes!$A$2:$A$127, 0))*INDEX(Unit_Grades!$B$2:$B$7, MATCH(F827, Unit_Grades!$A$2:$A$7, 0))*INDEX(Unit_Paths!$C$2:$C$4, MATCH(E827, Unit_Paths!$A$2:$A$4, 0)),1)</f>
        <v>60</v>
      </c>
      <c r="J827" s="6" t="n">
        <f aca="false">ROUND(INDEX(Archetypes!$G$2:$G$127, MATCH(D827, Archetypes!$A$2:$A$127, 0))*INDEX(Unit_Grades!$B$2:$B$7, MATCH(F827, Unit_Grades!$A$2:$A$7, 0))*INDEX(Unit_Paths!$D$2:$D$4, MATCH(E827, Unit_Paths!$A$2:$A$4, 0)),0)</f>
        <v>386</v>
      </c>
      <c r="K827" s="6" t="n">
        <f aca="false">ROUND(INDEX(Archetypes!$H$2:$H$127, MATCH(D827, Archetypes!$A$2:$A$127, 0))*INDEX(Unit_Paths!$E$2:$E$4, MATCH(E827, Unit_Paths!$A$2:$A$4, 0)),1)</f>
        <v>31.3</v>
      </c>
      <c r="L827" s="6" t="n">
        <f aca="false">ROUND(INDEX(Archetypes!$I$2:$I$127, MATCH(D827, Archetypes!$A$2:$A$127, 0))*INDEX(Unit_Grades!$C$2:$C$7, MATCH(F827, Unit_Grades!$A$2:$A$7, 0)),1)</f>
        <v>16.8</v>
      </c>
      <c r="M827" s="6" t="n">
        <f aca="false">ROUND(INDEX(Archetypes!$J$2:$J$127, MATCH(D827, Archetypes!$A$2:$A$127, 0))*INDEX(Unit_Grades!$D$2:$D$7, MATCH(F827, Unit_Grades!$A$2:$A$7, 0)),1)</f>
        <v>13</v>
      </c>
      <c r="N827" s="6" t="n">
        <f aca="false">ROUND(M827/24,2)</f>
        <v>0.54</v>
      </c>
    </row>
    <row r="828" customFormat="false" ht="15" hidden="false" customHeight="true" outlineLevel="0" collapsed="false">
      <c r="A828" s="6" t="n">
        <v>3</v>
      </c>
      <c r="B828" s="6" t="s">
        <v>2350</v>
      </c>
      <c r="C828" s="6" t="s">
        <v>1354</v>
      </c>
      <c r="D828" s="6" t="str">
        <f aca="false">A828&amp;"|"&amp;C828</f>
        <v>3|Sloop</v>
      </c>
      <c r="E828" s="6" t="s">
        <v>1560</v>
      </c>
      <c r="F828" s="6" t="s">
        <v>1546</v>
      </c>
      <c r="G828" s="6" t="str">
        <f aca="false">INDEX(Archetypes!$D$2:$D$127, MATCH(D828, Archetypes!$A$2:$A$127, 0))</f>
        <v>Naval Escort</v>
      </c>
      <c r="H828" s="6" t="n">
        <f aca="false">ROUND(INDEX(Archetypes!$E$2:$E$127, MATCH(D828, Archetypes!$A$2:$A$127, 0))*INDEX(Unit_Grades!$B$2:$B$7, MATCH(F828, Unit_Grades!$A$2:$A$7, 0))*INDEX(Unit_Paths!$B$2:$B$4, MATCH(E828, Unit_Paths!$A$2:$A$4, 0)),1)</f>
        <v>108.8</v>
      </c>
      <c r="I828" s="6" t="n">
        <f aca="false">ROUND(INDEX(Archetypes!$F$2:$F$127, MATCH(D828, Archetypes!$A$2:$A$127, 0))*INDEX(Unit_Grades!$B$2:$B$7, MATCH(F828, Unit_Grades!$A$2:$A$7, 0))*INDEX(Unit_Paths!$C$2:$C$4, MATCH(E828, Unit_Paths!$A$2:$A$4, 0)),1)</f>
        <v>80</v>
      </c>
      <c r="J828" s="6" t="n">
        <f aca="false">ROUND(INDEX(Archetypes!$G$2:$G$127, MATCH(D828, Archetypes!$A$2:$A$127, 0))*INDEX(Unit_Grades!$B$2:$B$7, MATCH(F828, Unit_Grades!$A$2:$A$7, 0))*INDEX(Unit_Paths!$D$2:$D$4, MATCH(E828, Unit_Paths!$A$2:$A$4, 0)),0)</f>
        <v>515</v>
      </c>
      <c r="K828" s="6" t="n">
        <f aca="false">ROUND(INDEX(Archetypes!$H$2:$H$127, MATCH(D828, Archetypes!$A$2:$A$127, 0))*INDEX(Unit_Paths!$E$2:$E$4, MATCH(E828, Unit_Paths!$A$2:$A$4, 0)),1)</f>
        <v>31.3</v>
      </c>
      <c r="L828" s="6" t="n">
        <f aca="false">ROUND(INDEX(Archetypes!$I$2:$I$127, MATCH(D828, Archetypes!$A$2:$A$127, 0))*INDEX(Unit_Grades!$C$2:$C$7, MATCH(F828, Unit_Grades!$A$2:$A$7, 0)),1)</f>
        <v>22.4</v>
      </c>
      <c r="M828" s="6" t="n">
        <f aca="false">ROUND(INDEX(Archetypes!$J$2:$J$127, MATCH(D828, Archetypes!$A$2:$A$127, 0))*INDEX(Unit_Grades!$D$2:$D$7, MATCH(F828, Unit_Grades!$A$2:$A$7, 0)),1)</f>
        <v>22.8</v>
      </c>
      <c r="N828" s="6" t="n">
        <f aca="false">ROUND(M828/24,2)</f>
        <v>0.95</v>
      </c>
    </row>
    <row r="829" customFormat="false" ht="15" hidden="false" customHeight="true" outlineLevel="0" collapsed="false">
      <c r="A829" s="6" t="n">
        <v>3</v>
      </c>
      <c r="B829" s="6" t="s">
        <v>2351</v>
      </c>
      <c r="C829" s="6" t="s">
        <v>1354</v>
      </c>
      <c r="D829" s="6" t="str">
        <f aca="false">A829&amp;"|"&amp;C829</f>
        <v>3|Sloop</v>
      </c>
      <c r="E829" s="6" t="s">
        <v>1560</v>
      </c>
      <c r="F829" s="6" t="s">
        <v>1548</v>
      </c>
      <c r="G829" s="6" t="str">
        <f aca="false">INDEX(Archetypes!$D$2:$D$127, MATCH(D829, Archetypes!$A$2:$A$127, 0))</f>
        <v>Naval Escort</v>
      </c>
      <c r="H829" s="6" t="n">
        <f aca="false">ROUND(INDEX(Archetypes!$E$2:$E$127, MATCH(D829, Archetypes!$A$2:$A$127, 0))*INDEX(Unit_Grades!$B$2:$B$7, MATCH(F829, Unit_Grades!$A$2:$A$7, 0))*INDEX(Unit_Paths!$B$2:$B$4, MATCH(E829, Unit_Paths!$A$2:$A$4, 0)),1)</f>
        <v>142.8</v>
      </c>
      <c r="I829" s="6" t="n">
        <f aca="false">ROUND(INDEX(Archetypes!$F$2:$F$127, MATCH(D829, Archetypes!$A$2:$A$127, 0))*INDEX(Unit_Grades!$B$2:$B$7, MATCH(F829, Unit_Grades!$A$2:$A$7, 0))*INDEX(Unit_Paths!$C$2:$C$4, MATCH(E829, Unit_Paths!$A$2:$A$4, 0)),1)</f>
        <v>105</v>
      </c>
      <c r="J829" s="6" t="n">
        <f aca="false">ROUND(INDEX(Archetypes!$G$2:$G$127, MATCH(D829, Archetypes!$A$2:$A$127, 0))*INDEX(Unit_Grades!$B$2:$B$7, MATCH(F829, Unit_Grades!$A$2:$A$7, 0))*INDEX(Unit_Paths!$D$2:$D$4, MATCH(E829, Unit_Paths!$A$2:$A$4, 0)),0)</f>
        <v>676</v>
      </c>
      <c r="K829" s="6" t="n">
        <f aca="false">ROUND(INDEX(Archetypes!$H$2:$H$127, MATCH(D829, Archetypes!$A$2:$A$127, 0))*INDEX(Unit_Paths!$E$2:$E$4, MATCH(E829, Unit_Paths!$A$2:$A$4, 0)),1)</f>
        <v>31.3</v>
      </c>
      <c r="L829" s="6" t="n">
        <f aca="false">ROUND(INDEX(Archetypes!$I$2:$I$127, MATCH(D829, Archetypes!$A$2:$A$127, 0))*INDEX(Unit_Grades!$C$2:$C$7, MATCH(F829, Unit_Grades!$A$2:$A$7, 0)),1)</f>
        <v>29.6</v>
      </c>
      <c r="M829" s="6" t="n">
        <f aca="false">ROUND(INDEX(Archetypes!$J$2:$J$127, MATCH(D829, Archetypes!$A$2:$A$127, 0))*INDEX(Unit_Grades!$D$2:$D$7, MATCH(F829, Unit_Grades!$A$2:$A$7, 0)),1)</f>
        <v>39</v>
      </c>
      <c r="N829" s="6" t="n">
        <f aca="false">ROUND(M829/24,2)</f>
        <v>1.63</v>
      </c>
    </row>
    <row r="830" customFormat="false" ht="15" hidden="false" customHeight="true" outlineLevel="0" collapsed="false">
      <c r="A830" s="6" t="n">
        <v>3</v>
      </c>
      <c r="B830" s="6" t="s">
        <v>1357</v>
      </c>
      <c r="C830" s="6" t="s">
        <v>1357</v>
      </c>
      <c r="D830" s="6" t="str">
        <f aca="false">A830&amp;"|"&amp;C830</f>
        <v>3|Frigate</v>
      </c>
      <c r="E830" s="6" t="s">
        <v>1556</v>
      </c>
      <c r="F830" s="6" t="s">
        <v>1538</v>
      </c>
      <c r="G830" s="6" t="str">
        <f aca="false">INDEX(Archetypes!$D$2:$D$127, MATCH(D830, Archetypes!$A$2:$A$127, 0))</f>
        <v>Naval Escort</v>
      </c>
      <c r="H830" s="6" t="n">
        <f aca="false">ROUND(INDEX(Archetypes!$E$2:$E$127, MATCH(D830, Archetypes!$A$2:$A$127, 0))*INDEX(Unit_Grades!$B$2:$B$7, MATCH(F830, Unit_Grades!$A$2:$A$7, 0))*INDEX(Unit_Paths!$B$2:$B$4, MATCH(E830, Unit_Paths!$A$2:$A$4, 0)),1)</f>
        <v>72</v>
      </c>
      <c r="I830" s="6" t="n">
        <f aca="false">ROUND(INDEX(Archetypes!$F$2:$F$127, MATCH(D830, Archetypes!$A$2:$A$127, 0))*INDEX(Unit_Grades!$B$2:$B$7, MATCH(F830, Unit_Grades!$A$2:$A$7, 0))*INDEX(Unit_Paths!$C$2:$C$4, MATCH(E830, Unit_Paths!$A$2:$A$4, 0)),1)</f>
        <v>44</v>
      </c>
      <c r="J830" s="6" t="n">
        <f aca="false">ROUND(INDEX(Archetypes!$G$2:$G$127, MATCH(D830, Archetypes!$A$2:$A$127, 0))*INDEX(Unit_Grades!$B$2:$B$7, MATCH(F830, Unit_Grades!$A$2:$A$7, 0))*INDEX(Unit_Paths!$D$2:$D$4, MATCH(E830, Unit_Paths!$A$2:$A$4, 0)),0)</f>
        <v>260</v>
      </c>
      <c r="K830" s="6" t="n">
        <f aca="false">ROUND(INDEX(Archetypes!$H$2:$H$127, MATCH(D830, Archetypes!$A$2:$A$127, 0))*INDEX(Unit_Paths!$E$2:$E$4, MATCH(E830, Unit_Paths!$A$2:$A$4, 0)),1)</f>
        <v>28</v>
      </c>
      <c r="L830" s="6" t="n">
        <f aca="false">ROUND(INDEX(Archetypes!$I$2:$I$127, MATCH(D830, Archetypes!$A$2:$A$127, 0))*INDEX(Unit_Grades!$C$2:$C$7, MATCH(F830, Unit_Grades!$A$2:$A$7, 0)),1)</f>
        <v>13</v>
      </c>
      <c r="M830" s="6" t="n">
        <f aca="false">ROUND(INDEX(Archetypes!$J$2:$J$127, MATCH(D830, Archetypes!$A$2:$A$127, 0))*INDEX(Unit_Grades!$D$2:$D$7, MATCH(F830, Unit_Grades!$A$2:$A$7, 0)),1)</f>
        <v>5.3</v>
      </c>
      <c r="N830" s="6" t="n">
        <f aca="false">ROUND(M830/24,2)</f>
        <v>0.22</v>
      </c>
    </row>
    <row r="831" customFormat="false" ht="15" hidden="false" customHeight="true" outlineLevel="0" collapsed="false">
      <c r="A831" s="6" t="n">
        <v>3</v>
      </c>
      <c r="B831" s="6" t="s">
        <v>2352</v>
      </c>
      <c r="C831" s="6" t="s">
        <v>1357</v>
      </c>
      <c r="D831" s="6" t="str">
        <f aca="false">A831&amp;"|"&amp;C831</f>
        <v>3|Frigate</v>
      </c>
      <c r="E831" s="6" t="s">
        <v>1556</v>
      </c>
      <c r="F831" s="6" t="s">
        <v>1540</v>
      </c>
      <c r="G831" s="6" t="str">
        <f aca="false">INDEX(Archetypes!$D$2:$D$127, MATCH(D831, Archetypes!$A$2:$A$127, 0))</f>
        <v>Naval Escort</v>
      </c>
      <c r="H831" s="6" t="n">
        <f aca="false">ROUND(INDEX(Archetypes!$E$2:$E$127, MATCH(D831, Archetypes!$A$2:$A$127, 0))*INDEX(Unit_Grades!$B$2:$B$7, MATCH(F831, Unit_Grades!$A$2:$A$7, 0))*INDEX(Unit_Paths!$B$2:$B$4, MATCH(E831, Unit_Paths!$A$2:$A$4, 0)),1)</f>
        <v>97.2</v>
      </c>
      <c r="I831" s="6" t="n">
        <f aca="false">ROUND(INDEX(Archetypes!$F$2:$F$127, MATCH(D831, Archetypes!$A$2:$A$127, 0))*INDEX(Unit_Grades!$B$2:$B$7, MATCH(F831, Unit_Grades!$A$2:$A$7, 0))*INDEX(Unit_Paths!$C$2:$C$4, MATCH(E831, Unit_Paths!$A$2:$A$4, 0)),1)</f>
        <v>59.4</v>
      </c>
      <c r="J831" s="6" t="n">
        <f aca="false">ROUND(INDEX(Archetypes!$G$2:$G$127, MATCH(D831, Archetypes!$A$2:$A$127, 0))*INDEX(Unit_Grades!$B$2:$B$7, MATCH(F831, Unit_Grades!$A$2:$A$7, 0))*INDEX(Unit_Paths!$D$2:$D$4, MATCH(E831, Unit_Paths!$A$2:$A$4, 0)),0)</f>
        <v>351</v>
      </c>
      <c r="K831" s="6" t="n">
        <f aca="false">ROUND(INDEX(Archetypes!$H$2:$H$127, MATCH(D831, Archetypes!$A$2:$A$127, 0))*INDEX(Unit_Paths!$E$2:$E$4, MATCH(E831, Unit_Paths!$A$2:$A$4, 0)),1)</f>
        <v>28</v>
      </c>
      <c r="L831" s="6" t="n">
        <f aca="false">ROUND(INDEX(Archetypes!$I$2:$I$127, MATCH(D831, Archetypes!$A$2:$A$127, 0))*INDEX(Unit_Grades!$C$2:$C$7, MATCH(F831, Unit_Grades!$A$2:$A$7, 0)),1)</f>
        <v>16.3</v>
      </c>
      <c r="M831" s="6" t="n">
        <f aca="false">ROUND(INDEX(Archetypes!$J$2:$J$127, MATCH(D831, Archetypes!$A$2:$A$127, 0))*INDEX(Unit_Grades!$D$2:$D$7, MATCH(F831, Unit_Grades!$A$2:$A$7, 0)),1)</f>
        <v>7.9</v>
      </c>
      <c r="N831" s="6" t="n">
        <f aca="false">ROUND(M831/24,2)</f>
        <v>0.33</v>
      </c>
    </row>
    <row r="832" customFormat="false" ht="15" hidden="false" customHeight="true" outlineLevel="0" collapsed="false">
      <c r="A832" s="6" t="n">
        <v>3</v>
      </c>
      <c r="B832" s="6" t="s">
        <v>2353</v>
      </c>
      <c r="C832" s="6" t="s">
        <v>1357</v>
      </c>
      <c r="D832" s="6" t="str">
        <f aca="false">A832&amp;"|"&amp;C832</f>
        <v>3|Frigate</v>
      </c>
      <c r="E832" s="6" t="s">
        <v>1556</v>
      </c>
      <c r="F832" s="6" t="s">
        <v>1542</v>
      </c>
      <c r="G832" s="6" t="str">
        <f aca="false">INDEX(Archetypes!$D$2:$D$127, MATCH(D832, Archetypes!$A$2:$A$127, 0))</f>
        <v>Naval Escort</v>
      </c>
      <c r="H832" s="6" t="n">
        <f aca="false">ROUND(INDEX(Archetypes!$E$2:$E$127, MATCH(D832, Archetypes!$A$2:$A$127, 0))*INDEX(Unit_Grades!$B$2:$B$7, MATCH(F832, Unit_Grades!$A$2:$A$7, 0))*INDEX(Unit_Paths!$B$2:$B$4, MATCH(E832, Unit_Paths!$A$2:$A$4, 0)),1)</f>
        <v>129.6</v>
      </c>
      <c r="I832" s="6" t="n">
        <f aca="false">ROUND(INDEX(Archetypes!$F$2:$F$127, MATCH(D832, Archetypes!$A$2:$A$127, 0))*INDEX(Unit_Grades!$B$2:$B$7, MATCH(F832, Unit_Grades!$A$2:$A$7, 0))*INDEX(Unit_Paths!$C$2:$C$4, MATCH(E832, Unit_Paths!$A$2:$A$4, 0)),1)</f>
        <v>79.2</v>
      </c>
      <c r="J832" s="6" t="n">
        <f aca="false">ROUND(INDEX(Archetypes!$G$2:$G$127, MATCH(D832, Archetypes!$A$2:$A$127, 0))*INDEX(Unit_Grades!$B$2:$B$7, MATCH(F832, Unit_Grades!$A$2:$A$7, 0))*INDEX(Unit_Paths!$D$2:$D$4, MATCH(E832, Unit_Paths!$A$2:$A$4, 0)),0)</f>
        <v>468</v>
      </c>
      <c r="K832" s="6" t="n">
        <f aca="false">ROUND(INDEX(Archetypes!$H$2:$H$127, MATCH(D832, Archetypes!$A$2:$A$127, 0))*INDEX(Unit_Paths!$E$2:$E$4, MATCH(E832, Unit_Paths!$A$2:$A$4, 0)),1)</f>
        <v>28</v>
      </c>
      <c r="L832" s="6" t="n">
        <f aca="false">ROUND(INDEX(Archetypes!$I$2:$I$127, MATCH(D832, Archetypes!$A$2:$A$127, 0))*INDEX(Unit_Grades!$C$2:$C$7, MATCH(F832, Unit_Grades!$A$2:$A$7, 0)),1)</f>
        <v>20.8</v>
      </c>
      <c r="M832" s="6" t="n">
        <f aca="false">ROUND(INDEX(Archetypes!$J$2:$J$127, MATCH(D832, Archetypes!$A$2:$A$127, 0))*INDEX(Unit_Grades!$D$2:$D$7, MATCH(F832, Unit_Grades!$A$2:$A$7, 0)),1)</f>
        <v>13.2</v>
      </c>
      <c r="N832" s="6" t="n">
        <f aca="false">ROUND(M832/24,2)</f>
        <v>0.55</v>
      </c>
    </row>
    <row r="833" customFormat="false" ht="15" hidden="false" customHeight="true" outlineLevel="0" collapsed="false">
      <c r="A833" s="6" t="n">
        <v>3</v>
      </c>
      <c r="B833" s="6" t="s">
        <v>2354</v>
      </c>
      <c r="C833" s="6" t="s">
        <v>1357</v>
      </c>
      <c r="D833" s="6" t="str">
        <f aca="false">A833&amp;"|"&amp;C833</f>
        <v>3|Frigate</v>
      </c>
      <c r="E833" s="6" t="s">
        <v>1556</v>
      </c>
      <c r="F833" s="6" t="s">
        <v>1544</v>
      </c>
      <c r="G833" s="6" t="str">
        <f aca="false">INDEX(Archetypes!$D$2:$D$127, MATCH(D833, Archetypes!$A$2:$A$127, 0))</f>
        <v>Naval Escort</v>
      </c>
      <c r="H833" s="6" t="n">
        <f aca="false">ROUND(INDEX(Archetypes!$E$2:$E$127, MATCH(D833, Archetypes!$A$2:$A$127, 0))*INDEX(Unit_Grades!$B$2:$B$7, MATCH(F833, Unit_Grades!$A$2:$A$7, 0))*INDEX(Unit_Paths!$B$2:$B$4, MATCH(E833, Unit_Paths!$A$2:$A$4, 0)),1)</f>
        <v>172.8</v>
      </c>
      <c r="I833" s="6" t="n">
        <f aca="false">ROUND(INDEX(Archetypes!$F$2:$F$127, MATCH(D833, Archetypes!$A$2:$A$127, 0))*INDEX(Unit_Grades!$B$2:$B$7, MATCH(F833, Unit_Grades!$A$2:$A$7, 0))*INDEX(Unit_Paths!$C$2:$C$4, MATCH(E833, Unit_Paths!$A$2:$A$4, 0)),1)</f>
        <v>105.6</v>
      </c>
      <c r="J833" s="6" t="n">
        <f aca="false">ROUND(INDEX(Archetypes!$G$2:$G$127, MATCH(D833, Archetypes!$A$2:$A$127, 0))*INDEX(Unit_Grades!$B$2:$B$7, MATCH(F833, Unit_Grades!$A$2:$A$7, 0))*INDEX(Unit_Paths!$D$2:$D$4, MATCH(E833, Unit_Paths!$A$2:$A$4, 0)),0)</f>
        <v>624</v>
      </c>
      <c r="K833" s="6" t="n">
        <f aca="false">ROUND(INDEX(Archetypes!$H$2:$H$127, MATCH(D833, Archetypes!$A$2:$A$127, 0))*INDEX(Unit_Paths!$E$2:$E$4, MATCH(E833, Unit_Paths!$A$2:$A$4, 0)),1)</f>
        <v>28</v>
      </c>
      <c r="L833" s="6" t="n">
        <f aca="false">ROUND(INDEX(Archetypes!$I$2:$I$127, MATCH(D833, Archetypes!$A$2:$A$127, 0))*INDEX(Unit_Grades!$C$2:$C$7, MATCH(F833, Unit_Grades!$A$2:$A$7, 0)),1)</f>
        <v>27.3</v>
      </c>
      <c r="M833" s="6" t="n">
        <f aca="false">ROUND(INDEX(Archetypes!$J$2:$J$127, MATCH(D833, Archetypes!$A$2:$A$127, 0))*INDEX(Unit_Grades!$D$2:$D$7, MATCH(F833, Unit_Grades!$A$2:$A$7, 0)),1)</f>
        <v>21.1</v>
      </c>
      <c r="N833" s="6" t="n">
        <f aca="false">ROUND(M833/24,2)</f>
        <v>0.88</v>
      </c>
    </row>
    <row r="834" customFormat="false" ht="15" hidden="false" customHeight="true" outlineLevel="0" collapsed="false">
      <c r="A834" s="6" t="n">
        <v>3</v>
      </c>
      <c r="B834" s="6" t="s">
        <v>2355</v>
      </c>
      <c r="C834" s="6" t="s">
        <v>1357</v>
      </c>
      <c r="D834" s="6" t="str">
        <f aca="false">A834&amp;"|"&amp;C834</f>
        <v>3|Frigate</v>
      </c>
      <c r="E834" s="6" t="s">
        <v>1556</v>
      </c>
      <c r="F834" s="6" t="s">
        <v>1546</v>
      </c>
      <c r="G834" s="6" t="str">
        <f aca="false">INDEX(Archetypes!$D$2:$D$127, MATCH(D834, Archetypes!$A$2:$A$127, 0))</f>
        <v>Naval Escort</v>
      </c>
      <c r="H834" s="6" t="n">
        <f aca="false">ROUND(INDEX(Archetypes!$E$2:$E$127, MATCH(D834, Archetypes!$A$2:$A$127, 0))*INDEX(Unit_Grades!$B$2:$B$7, MATCH(F834, Unit_Grades!$A$2:$A$7, 0))*INDEX(Unit_Paths!$B$2:$B$4, MATCH(E834, Unit_Paths!$A$2:$A$4, 0)),1)</f>
        <v>230.4</v>
      </c>
      <c r="I834" s="6" t="n">
        <f aca="false">ROUND(INDEX(Archetypes!$F$2:$F$127, MATCH(D834, Archetypes!$A$2:$A$127, 0))*INDEX(Unit_Grades!$B$2:$B$7, MATCH(F834, Unit_Grades!$A$2:$A$7, 0))*INDEX(Unit_Paths!$C$2:$C$4, MATCH(E834, Unit_Paths!$A$2:$A$4, 0)),1)</f>
        <v>140.8</v>
      </c>
      <c r="J834" s="6" t="n">
        <f aca="false">ROUND(INDEX(Archetypes!$G$2:$G$127, MATCH(D834, Archetypes!$A$2:$A$127, 0))*INDEX(Unit_Grades!$B$2:$B$7, MATCH(F834, Unit_Grades!$A$2:$A$7, 0))*INDEX(Unit_Paths!$D$2:$D$4, MATCH(E834, Unit_Paths!$A$2:$A$4, 0)),0)</f>
        <v>832</v>
      </c>
      <c r="K834" s="6" t="n">
        <f aca="false">ROUND(INDEX(Archetypes!$H$2:$H$127, MATCH(D834, Archetypes!$A$2:$A$127, 0))*INDEX(Unit_Paths!$E$2:$E$4, MATCH(E834, Unit_Paths!$A$2:$A$4, 0)),1)</f>
        <v>28</v>
      </c>
      <c r="L834" s="6" t="n">
        <f aca="false">ROUND(INDEX(Archetypes!$I$2:$I$127, MATCH(D834, Archetypes!$A$2:$A$127, 0))*INDEX(Unit_Grades!$C$2:$C$7, MATCH(F834, Unit_Grades!$A$2:$A$7, 0)),1)</f>
        <v>36.4</v>
      </c>
      <c r="M834" s="6" t="n">
        <f aca="false">ROUND(INDEX(Archetypes!$J$2:$J$127, MATCH(D834, Archetypes!$A$2:$A$127, 0))*INDEX(Unit_Grades!$D$2:$D$7, MATCH(F834, Unit_Grades!$A$2:$A$7, 0)),1)</f>
        <v>37</v>
      </c>
      <c r="N834" s="6" t="n">
        <f aca="false">ROUND(M834/24,2)</f>
        <v>1.54</v>
      </c>
    </row>
    <row r="835" customFormat="false" ht="15" hidden="false" customHeight="true" outlineLevel="0" collapsed="false">
      <c r="A835" s="6" t="n">
        <v>3</v>
      </c>
      <c r="B835" s="6" t="s">
        <v>2356</v>
      </c>
      <c r="C835" s="6" t="s">
        <v>1357</v>
      </c>
      <c r="D835" s="6" t="str">
        <f aca="false">A835&amp;"|"&amp;C835</f>
        <v>3|Frigate</v>
      </c>
      <c r="E835" s="6" t="s">
        <v>1556</v>
      </c>
      <c r="F835" s="6" t="s">
        <v>1548</v>
      </c>
      <c r="G835" s="6" t="str">
        <f aca="false">INDEX(Archetypes!$D$2:$D$127, MATCH(D835, Archetypes!$A$2:$A$127, 0))</f>
        <v>Naval Escort</v>
      </c>
      <c r="H835" s="6" t="n">
        <f aca="false">ROUND(INDEX(Archetypes!$E$2:$E$127, MATCH(D835, Archetypes!$A$2:$A$127, 0))*INDEX(Unit_Grades!$B$2:$B$7, MATCH(F835, Unit_Grades!$A$2:$A$7, 0))*INDEX(Unit_Paths!$B$2:$B$4, MATCH(E835, Unit_Paths!$A$2:$A$4, 0)),1)</f>
        <v>302.4</v>
      </c>
      <c r="I835" s="6" t="n">
        <f aca="false">ROUND(INDEX(Archetypes!$F$2:$F$127, MATCH(D835, Archetypes!$A$2:$A$127, 0))*INDEX(Unit_Grades!$B$2:$B$7, MATCH(F835, Unit_Grades!$A$2:$A$7, 0))*INDEX(Unit_Paths!$C$2:$C$4, MATCH(E835, Unit_Paths!$A$2:$A$4, 0)),1)</f>
        <v>184.8</v>
      </c>
      <c r="J835" s="6" t="n">
        <f aca="false">ROUND(INDEX(Archetypes!$G$2:$G$127, MATCH(D835, Archetypes!$A$2:$A$127, 0))*INDEX(Unit_Grades!$B$2:$B$7, MATCH(F835, Unit_Grades!$A$2:$A$7, 0))*INDEX(Unit_Paths!$D$2:$D$4, MATCH(E835, Unit_Paths!$A$2:$A$4, 0)),0)</f>
        <v>1092</v>
      </c>
      <c r="K835" s="6" t="n">
        <f aca="false">ROUND(INDEX(Archetypes!$H$2:$H$127, MATCH(D835, Archetypes!$A$2:$A$127, 0))*INDEX(Unit_Paths!$E$2:$E$4, MATCH(E835, Unit_Paths!$A$2:$A$4, 0)),1)</f>
        <v>28</v>
      </c>
      <c r="L835" s="6" t="n">
        <f aca="false">ROUND(INDEX(Archetypes!$I$2:$I$127, MATCH(D835, Archetypes!$A$2:$A$127, 0))*INDEX(Unit_Grades!$C$2:$C$7, MATCH(F835, Unit_Grades!$A$2:$A$7, 0)),1)</f>
        <v>48.1</v>
      </c>
      <c r="M835" s="6" t="n">
        <f aca="false">ROUND(INDEX(Archetypes!$J$2:$J$127, MATCH(D835, Archetypes!$A$2:$A$127, 0))*INDEX(Unit_Grades!$D$2:$D$7, MATCH(F835, Unit_Grades!$A$2:$A$7, 0)),1)</f>
        <v>63.4</v>
      </c>
      <c r="N835" s="6" t="n">
        <f aca="false">ROUND(M835/24,2)</f>
        <v>2.64</v>
      </c>
    </row>
    <row r="836" customFormat="false" ht="15" hidden="false" customHeight="true" outlineLevel="0" collapsed="false">
      <c r="A836" s="6" t="n">
        <v>3</v>
      </c>
      <c r="B836" s="6" t="s">
        <v>2357</v>
      </c>
      <c r="C836" s="6" t="s">
        <v>1357</v>
      </c>
      <c r="D836" s="6" t="str">
        <f aca="false">A836&amp;"|"&amp;C836</f>
        <v>3|Frigate</v>
      </c>
      <c r="E836" s="6" t="s">
        <v>1558</v>
      </c>
      <c r="F836" s="6" t="s">
        <v>1538</v>
      </c>
      <c r="G836" s="6" t="str">
        <f aca="false">INDEX(Archetypes!$D$2:$D$127, MATCH(D836, Archetypes!$A$2:$A$127, 0))</f>
        <v>Naval Escort</v>
      </c>
      <c r="H836" s="6" t="n">
        <f aca="false">ROUND(INDEX(Archetypes!$E$2:$E$127, MATCH(D836, Archetypes!$A$2:$A$127, 0))*INDEX(Unit_Grades!$B$2:$B$7, MATCH(F836, Unit_Grades!$A$2:$A$7, 0))*INDEX(Unit_Paths!$B$2:$B$4, MATCH(E836, Unit_Paths!$A$2:$A$4, 0)),1)</f>
        <v>86.4</v>
      </c>
      <c r="I836" s="6" t="n">
        <f aca="false">ROUND(INDEX(Archetypes!$F$2:$F$127, MATCH(D836, Archetypes!$A$2:$A$127, 0))*INDEX(Unit_Grades!$B$2:$B$7, MATCH(F836, Unit_Grades!$A$2:$A$7, 0))*INDEX(Unit_Paths!$C$2:$C$4, MATCH(E836, Unit_Paths!$A$2:$A$4, 0)),1)</f>
        <v>37.4</v>
      </c>
      <c r="J836" s="6" t="n">
        <f aca="false">ROUND(INDEX(Archetypes!$G$2:$G$127, MATCH(D836, Archetypes!$A$2:$A$127, 0))*INDEX(Unit_Grades!$B$2:$B$7, MATCH(F836, Unit_Grades!$A$2:$A$7, 0))*INDEX(Unit_Paths!$D$2:$D$4, MATCH(E836, Unit_Paths!$A$2:$A$4, 0)),0)</f>
        <v>247</v>
      </c>
      <c r="K836" s="6" t="n">
        <f aca="false">ROUND(INDEX(Archetypes!$H$2:$H$127, MATCH(D836, Archetypes!$A$2:$A$127, 0))*INDEX(Unit_Paths!$E$2:$E$4, MATCH(E836, Unit_Paths!$A$2:$A$4, 0)),1)</f>
        <v>29.4</v>
      </c>
      <c r="L836" s="6" t="n">
        <f aca="false">ROUND(INDEX(Archetypes!$I$2:$I$127, MATCH(D836, Archetypes!$A$2:$A$127, 0))*INDEX(Unit_Grades!$C$2:$C$7, MATCH(F836, Unit_Grades!$A$2:$A$7, 0)),1)</f>
        <v>13</v>
      </c>
      <c r="M836" s="6" t="n">
        <f aca="false">ROUND(INDEX(Archetypes!$J$2:$J$127, MATCH(D836, Archetypes!$A$2:$A$127, 0))*INDEX(Unit_Grades!$D$2:$D$7, MATCH(F836, Unit_Grades!$A$2:$A$7, 0)),1)</f>
        <v>5.3</v>
      </c>
      <c r="N836" s="6" t="n">
        <f aca="false">ROUND(M836/24,2)</f>
        <v>0.22</v>
      </c>
    </row>
    <row r="837" customFormat="false" ht="15" hidden="false" customHeight="true" outlineLevel="0" collapsed="false">
      <c r="A837" s="6" t="n">
        <v>3</v>
      </c>
      <c r="B837" s="6" t="s">
        <v>2358</v>
      </c>
      <c r="C837" s="6" t="s">
        <v>1357</v>
      </c>
      <c r="D837" s="6" t="str">
        <f aca="false">A837&amp;"|"&amp;C837</f>
        <v>3|Frigate</v>
      </c>
      <c r="E837" s="6" t="s">
        <v>1558</v>
      </c>
      <c r="F837" s="6" t="s">
        <v>1540</v>
      </c>
      <c r="G837" s="6" t="str">
        <f aca="false">INDEX(Archetypes!$D$2:$D$127, MATCH(D837, Archetypes!$A$2:$A$127, 0))</f>
        <v>Naval Escort</v>
      </c>
      <c r="H837" s="6" t="n">
        <f aca="false">ROUND(INDEX(Archetypes!$E$2:$E$127, MATCH(D837, Archetypes!$A$2:$A$127, 0))*INDEX(Unit_Grades!$B$2:$B$7, MATCH(F837, Unit_Grades!$A$2:$A$7, 0))*INDEX(Unit_Paths!$B$2:$B$4, MATCH(E837, Unit_Paths!$A$2:$A$4, 0)),1)</f>
        <v>116.6</v>
      </c>
      <c r="I837" s="6" t="n">
        <f aca="false">ROUND(INDEX(Archetypes!$F$2:$F$127, MATCH(D837, Archetypes!$A$2:$A$127, 0))*INDEX(Unit_Grades!$B$2:$B$7, MATCH(F837, Unit_Grades!$A$2:$A$7, 0))*INDEX(Unit_Paths!$C$2:$C$4, MATCH(E837, Unit_Paths!$A$2:$A$4, 0)),1)</f>
        <v>50.5</v>
      </c>
      <c r="J837" s="6" t="n">
        <f aca="false">ROUND(INDEX(Archetypes!$G$2:$G$127, MATCH(D837, Archetypes!$A$2:$A$127, 0))*INDEX(Unit_Grades!$B$2:$B$7, MATCH(F837, Unit_Grades!$A$2:$A$7, 0))*INDEX(Unit_Paths!$D$2:$D$4, MATCH(E837, Unit_Paths!$A$2:$A$4, 0)),0)</f>
        <v>333</v>
      </c>
      <c r="K837" s="6" t="n">
        <f aca="false">ROUND(INDEX(Archetypes!$H$2:$H$127, MATCH(D837, Archetypes!$A$2:$A$127, 0))*INDEX(Unit_Paths!$E$2:$E$4, MATCH(E837, Unit_Paths!$A$2:$A$4, 0)),1)</f>
        <v>29.4</v>
      </c>
      <c r="L837" s="6" t="n">
        <f aca="false">ROUND(INDEX(Archetypes!$I$2:$I$127, MATCH(D837, Archetypes!$A$2:$A$127, 0))*INDEX(Unit_Grades!$C$2:$C$7, MATCH(F837, Unit_Grades!$A$2:$A$7, 0)),1)</f>
        <v>16.3</v>
      </c>
      <c r="M837" s="6" t="n">
        <f aca="false">ROUND(INDEX(Archetypes!$J$2:$J$127, MATCH(D837, Archetypes!$A$2:$A$127, 0))*INDEX(Unit_Grades!$D$2:$D$7, MATCH(F837, Unit_Grades!$A$2:$A$7, 0)),1)</f>
        <v>7.9</v>
      </c>
      <c r="N837" s="6" t="n">
        <f aca="false">ROUND(M837/24,2)</f>
        <v>0.33</v>
      </c>
    </row>
    <row r="838" customFormat="false" ht="15" hidden="false" customHeight="true" outlineLevel="0" collapsed="false">
      <c r="A838" s="6" t="n">
        <v>3</v>
      </c>
      <c r="B838" s="6" t="s">
        <v>2359</v>
      </c>
      <c r="C838" s="6" t="s">
        <v>1357</v>
      </c>
      <c r="D838" s="6" t="str">
        <f aca="false">A838&amp;"|"&amp;C838</f>
        <v>3|Frigate</v>
      </c>
      <c r="E838" s="6" t="s">
        <v>1558</v>
      </c>
      <c r="F838" s="6" t="s">
        <v>1542</v>
      </c>
      <c r="G838" s="6" t="str">
        <f aca="false">INDEX(Archetypes!$D$2:$D$127, MATCH(D838, Archetypes!$A$2:$A$127, 0))</f>
        <v>Naval Escort</v>
      </c>
      <c r="H838" s="6" t="n">
        <f aca="false">ROUND(INDEX(Archetypes!$E$2:$E$127, MATCH(D838, Archetypes!$A$2:$A$127, 0))*INDEX(Unit_Grades!$B$2:$B$7, MATCH(F838, Unit_Grades!$A$2:$A$7, 0))*INDEX(Unit_Paths!$B$2:$B$4, MATCH(E838, Unit_Paths!$A$2:$A$4, 0)),1)</f>
        <v>155.5</v>
      </c>
      <c r="I838" s="6" t="n">
        <f aca="false">ROUND(INDEX(Archetypes!$F$2:$F$127, MATCH(D838, Archetypes!$A$2:$A$127, 0))*INDEX(Unit_Grades!$B$2:$B$7, MATCH(F838, Unit_Grades!$A$2:$A$7, 0))*INDEX(Unit_Paths!$C$2:$C$4, MATCH(E838, Unit_Paths!$A$2:$A$4, 0)),1)</f>
        <v>67.3</v>
      </c>
      <c r="J838" s="6" t="n">
        <f aca="false">ROUND(INDEX(Archetypes!$G$2:$G$127, MATCH(D838, Archetypes!$A$2:$A$127, 0))*INDEX(Unit_Grades!$B$2:$B$7, MATCH(F838, Unit_Grades!$A$2:$A$7, 0))*INDEX(Unit_Paths!$D$2:$D$4, MATCH(E838, Unit_Paths!$A$2:$A$4, 0)),0)</f>
        <v>445</v>
      </c>
      <c r="K838" s="6" t="n">
        <f aca="false">ROUND(INDEX(Archetypes!$H$2:$H$127, MATCH(D838, Archetypes!$A$2:$A$127, 0))*INDEX(Unit_Paths!$E$2:$E$4, MATCH(E838, Unit_Paths!$A$2:$A$4, 0)),1)</f>
        <v>29.4</v>
      </c>
      <c r="L838" s="6" t="n">
        <f aca="false">ROUND(INDEX(Archetypes!$I$2:$I$127, MATCH(D838, Archetypes!$A$2:$A$127, 0))*INDEX(Unit_Grades!$C$2:$C$7, MATCH(F838, Unit_Grades!$A$2:$A$7, 0)),1)</f>
        <v>20.8</v>
      </c>
      <c r="M838" s="6" t="n">
        <f aca="false">ROUND(INDEX(Archetypes!$J$2:$J$127, MATCH(D838, Archetypes!$A$2:$A$127, 0))*INDEX(Unit_Grades!$D$2:$D$7, MATCH(F838, Unit_Grades!$A$2:$A$7, 0)),1)</f>
        <v>13.2</v>
      </c>
      <c r="N838" s="6" t="n">
        <f aca="false">ROUND(M838/24,2)</f>
        <v>0.55</v>
      </c>
    </row>
    <row r="839" customFormat="false" ht="15" hidden="false" customHeight="true" outlineLevel="0" collapsed="false">
      <c r="A839" s="6" t="n">
        <v>3</v>
      </c>
      <c r="B839" s="6" t="s">
        <v>2360</v>
      </c>
      <c r="C839" s="6" t="s">
        <v>1357</v>
      </c>
      <c r="D839" s="6" t="str">
        <f aca="false">A839&amp;"|"&amp;C839</f>
        <v>3|Frigate</v>
      </c>
      <c r="E839" s="6" t="s">
        <v>1558</v>
      </c>
      <c r="F839" s="6" t="s">
        <v>1544</v>
      </c>
      <c r="G839" s="6" t="str">
        <f aca="false">INDEX(Archetypes!$D$2:$D$127, MATCH(D839, Archetypes!$A$2:$A$127, 0))</f>
        <v>Naval Escort</v>
      </c>
      <c r="H839" s="6" t="n">
        <f aca="false">ROUND(INDEX(Archetypes!$E$2:$E$127, MATCH(D839, Archetypes!$A$2:$A$127, 0))*INDEX(Unit_Grades!$B$2:$B$7, MATCH(F839, Unit_Grades!$A$2:$A$7, 0))*INDEX(Unit_Paths!$B$2:$B$4, MATCH(E839, Unit_Paths!$A$2:$A$4, 0)),1)</f>
        <v>207.4</v>
      </c>
      <c r="I839" s="6" t="n">
        <f aca="false">ROUND(INDEX(Archetypes!$F$2:$F$127, MATCH(D839, Archetypes!$A$2:$A$127, 0))*INDEX(Unit_Grades!$B$2:$B$7, MATCH(F839, Unit_Grades!$A$2:$A$7, 0))*INDEX(Unit_Paths!$C$2:$C$4, MATCH(E839, Unit_Paths!$A$2:$A$4, 0)),1)</f>
        <v>89.8</v>
      </c>
      <c r="J839" s="6" t="n">
        <f aca="false">ROUND(INDEX(Archetypes!$G$2:$G$127, MATCH(D839, Archetypes!$A$2:$A$127, 0))*INDEX(Unit_Grades!$B$2:$B$7, MATCH(F839, Unit_Grades!$A$2:$A$7, 0))*INDEX(Unit_Paths!$D$2:$D$4, MATCH(E839, Unit_Paths!$A$2:$A$4, 0)),0)</f>
        <v>593</v>
      </c>
      <c r="K839" s="6" t="n">
        <f aca="false">ROUND(INDEX(Archetypes!$H$2:$H$127, MATCH(D839, Archetypes!$A$2:$A$127, 0))*INDEX(Unit_Paths!$E$2:$E$4, MATCH(E839, Unit_Paths!$A$2:$A$4, 0)),1)</f>
        <v>29.4</v>
      </c>
      <c r="L839" s="6" t="n">
        <f aca="false">ROUND(INDEX(Archetypes!$I$2:$I$127, MATCH(D839, Archetypes!$A$2:$A$127, 0))*INDEX(Unit_Grades!$C$2:$C$7, MATCH(F839, Unit_Grades!$A$2:$A$7, 0)),1)</f>
        <v>27.3</v>
      </c>
      <c r="M839" s="6" t="n">
        <f aca="false">ROUND(INDEX(Archetypes!$J$2:$J$127, MATCH(D839, Archetypes!$A$2:$A$127, 0))*INDEX(Unit_Grades!$D$2:$D$7, MATCH(F839, Unit_Grades!$A$2:$A$7, 0)),1)</f>
        <v>21.1</v>
      </c>
      <c r="N839" s="6" t="n">
        <f aca="false">ROUND(M839/24,2)</f>
        <v>0.88</v>
      </c>
    </row>
    <row r="840" customFormat="false" ht="15" hidden="false" customHeight="true" outlineLevel="0" collapsed="false">
      <c r="A840" s="6" t="n">
        <v>3</v>
      </c>
      <c r="B840" s="6" t="s">
        <v>2361</v>
      </c>
      <c r="C840" s="6" t="s">
        <v>1357</v>
      </c>
      <c r="D840" s="6" t="str">
        <f aca="false">A840&amp;"|"&amp;C840</f>
        <v>3|Frigate</v>
      </c>
      <c r="E840" s="6" t="s">
        <v>1558</v>
      </c>
      <c r="F840" s="6" t="s">
        <v>1546</v>
      </c>
      <c r="G840" s="6" t="str">
        <f aca="false">INDEX(Archetypes!$D$2:$D$127, MATCH(D840, Archetypes!$A$2:$A$127, 0))</f>
        <v>Naval Escort</v>
      </c>
      <c r="H840" s="6" t="n">
        <f aca="false">ROUND(INDEX(Archetypes!$E$2:$E$127, MATCH(D840, Archetypes!$A$2:$A$127, 0))*INDEX(Unit_Grades!$B$2:$B$7, MATCH(F840, Unit_Grades!$A$2:$A$7, 0))*INDEX(Unit_Paths!$B$2:$B$4, MATCH(E840, Unit_Paths!$A$2:$A$4, 0)),1)</f>
        <v>276.5</v>
      </c>
      <c r="I840" s="6" t="n">
        <f aca="false">ROUND(INDEX(Archetypes!$F$2:$F$127, MATCH(D840, Archetypes!$A$2:$A$127, 0))*INDEX(Unit_Grades!$B$2:$B$7, MATCH(F840, Unit_Grades!$A$2:$A$7, 0))*INDEX(Unit_Paths!$C$2:$C$4, MATCH(E840, Unit_Paths!$A$2:$A$4, 0)),1)</f>
        <v>119.7</v>
      </c>
      <c r="J840" s="6" t="n">
        <f aca="false">ROUND(INDEX(Archetypes!$G$2:$G$127, MATCH(D840, Archetypes!$A$2:$A$127, 0))*INDEX(Unit_Grades!$B$2:$B$7, MATCH(F840, Unit_Grades!$A$2:$A$7, 0))*INDEX(Unit_Paths!$D$2:$D$4, MATCH(E840, Unit_Paths!$A$2:$A$4, 0)),0)</f>
        <v>790</v>
      </c>
      <c r="K840" s="6" t="n">
        <f aca="false">ROUND(INDEX(Archetypes!$H$2:$H$127, MATCH(D840, Archetypes!$A$2:$A$127, 0))*INDEX(Unit_Paths!$E$2:$E$4, MATCH(E840, Unit_Paths!$A$2:$A$4, 0)),1)</f>
        <v>29.4</v>
      </c>
      <c r="L840" s="6" t="n">
        <f aca="false">ROUND(INDEX(Archetypes!$I$2:$I$127, MATCH(D840, Archetypes!$A$2:$A$127, 0))*INDEX(Unit_Grades!$C$2:$C$7, MATCH(F840, Unit_Grades!$A$2:$A$7, 0)),1)</f>
        <v>36.4</v>
      </c>
      <c r="M840" s="6" t="n">
        <f aca="false">ROUND(INDEX(Archetypes!$J$2:$J$127, MATCH(D840, Archetypes!$A$2:$A$127, 0))*INDEX(Unit_Grades!$D$2:$D$7, MATCH(F840, Unit_Grades!$A$2:$A$7, 0)),1)</f>
        <v>37</v>
      </c>
      <c r="N840" s="6" t="n">
        <f aca="false">ROUND(M840/24,2)</f>
        <v>1.54</v>
      </c>
    </row>
    <row r="841" customFormat="false" ht="15" hidden="false" customHeight="true" outlineLevel="0" collapsed="false">
      <c r="A841" s="6" t="n">
        <v>3</v>
      </c>
      <c r="B841" s="6" t="s">
        <v>2362</v>
      </c>
      <c r="C841" s="6" t="s">
        <v>1357</v>
      </c>
      <c r="D841" s="6" t="str">
        <f aca="false">A841&amp;"|"&amp;C841</f>
        <v>3|Frigate</v>
      </c>
      <c r="E841" s="6" t="s">
        <v>1558</v>
      </c>
      <c r="F841" s="6" t="s">
        <v>1548</v>
      </c>
      <c r="G841" s="6" t="str">
        <f aca="false">INDEX(Archetypes!$D$2:$D$127, MATCH(D841, Archetypes!$A$2:$A$127, 0))</f>
        <v>Naval Escort</v>
      </c>
      <c r="H841" s="6" t="n">
        <f aca="false">ROUND(INDEX(Archetypes!$E$2:$E$127, MATCH(D841, Archetypes!$A$2:$A$127, 0))*INDEX(Unit_Grades!$B$2:$B$7, MATCH(F841, Unit_Grades!$A$2:$A$7, 0))*INDEX(Unit_Paths!$B$2:$B$4, MATCH(E841, Unit_Paths!$A$2:$A$4, 0)),1)</f>
        <v>362.9</v>
      </c>
      <c r="I841" s="6" t="n">
        <f aca="false">ROUND(INDEX(Archetypes!$F$2:$F$127, MATCH(D841, Archetypes!$A$2:$A$127, 0))*INDEX(Unit_Grades!$B$2:$B$7, MATCH(F841, Unit_Grades!$A$2:$A$7, 0))*INDEX(Unit_Paths!$C$2:$C$4, MATCH(E841, Unit_Paths!$A$2:$A$4, 0)),1)</f>
        <v>157.1</v>
      </c>
      <c r="J841" s="6" t="n">
        <f aca="false">ROUND(INDEX(Archetypes!$G$2:$G$127, MATCH(D841, Archetypes!$A$2:$A$127, 0))*INDEX(Unit_Grades!$B$2:$B$7, MATCH(F841, Unit_Grades!$A$2:$A$7, 0))*INDEX(Unit_Paths!$D$2:$D$4, MATCH(E841, Unit_Paths!$A$2:$A$4, 0)),0)</f>
        <v>1037</v>
      </c>
      <c r="K841" s="6" t="n">
        <f aca="false">ROUND(INDEX(Archetypes!$H$2:$H$127, MATCH(D841, Archetypes!$A$2:$A$127, 0))*INDEX(Unit_Paths!$E$2:$E$4, MATCH(E841, Unit_Paths!$A$2:$A$4, 0)),1)</f>
        <v>29.4</v>
      </c>
      <c r="L841" s="6" t="n">
        <f aca="false">ROUND(INDEX(Archetypes!$I$2:$I$127, MATCH(D841, Archetypes!$A$2:$A$127, 0))*INDEX(Unit_Grades!$C$2:$C$7, MATCH(F841, Unit_Grades!$A$2:$A$7, 0)),1)</f>
        <v>48.1</v>
      </c>
      <c r="M841" s="6" t="n">
        <f aca="false">ROUND(INDEX(Archetypes!$J$2:$J$127, MATCH(D841, Archetypes!$A$2:$A$127, 0))*INDEX(Unit_Grades!$D$2:$D$7, MATCH(F841, Unit_Grades!$A$2:$A$7, 0)),1)</f>
        <v>63.4</v>
      </c>
      <c r="N841" s="6" t="n">
        <f aca="false">ROUND(M841/24,2)</f>
        <v>2.64</v>
      </c>
    </row>
    <row r="842" customFormat="false" ht="15" hidden="false" customHeight="true" outlineLevel="0" collapsed="false">
      <c r="A842" s="6" t="n">
        <v>3</v>
      </c>
      <c r="B842" s="6" t="s">
        <v>2363</v>
      </c>
      <c r="C842" s="6" t="s">
        <v>1357</v>
      </c>
      <c r="D842" s="6" t="str">
        <f aca="false">A842&amp;"|"&amp;C842</f>
        <v>3|Frigate</v>
      </c>
      <c r="E842" s="6" t="s">
        <v>1560</v>
      </c>
      <c r="F842" s="6" t="s">
        <v>1538</v>
      </c>
      <c r="G842" s="6" t="str">
        <f aca="false">INDEX(Archetypes!$D$2:$D$127, MATCH(D842, Archetypes!$A$2:$A$127, 0))</f>
        <v>Naval Escort</v>
      </c>
      <c r="H842" s="6" t="n">
        <f aca="false">ROUND(INDEX(Archetypes!$E$2:$E$127, MATCH(D842, Archetypes!$A$2:$A$127, 0))*INDEX(Unit_Grades!$B$2:$B$7, MATCH(F842, Unit_Grades!$A$2:$A$7, 0))*INDEX(Unit_Paths!$B$2:$B$4, MATCH(E842, Unit_Paths!$A$2:$A$4, 0)),1)</f>
        <v>61.2</v>
      </c>
      <c r="I842" s="6" t="n">
        <f aca="false">ROUND(INDEX(Archetypes!$F$2:$F$127, MATCH(D842, Archetypes!$A$2:$A$127, 0))*INDEX(Unit_Grades!$B$2:$B$7, MATCH(F842, Unit_Grades!$A$2:$A$7, 0))*INDEX(Unit_Paths!$C$2:$C$4, MATCH(E842, Unit_Paths!$A$2:$A$4, 0)),1)</f>
        <v>55</v>
      </c>
      <c r="J842" s="6" t="n">
        <f aca="false">ROUND(INDEX(Archetypes!$G$2:$G$127, MATCH(D842, Archetypes!$A$2:$A$127, 0))*INDEX(Unit_Grades!$B$2:$B$7, MATCH(F842, Unit_Grades!$A$2:$A$7, 0))*INDEX(Unit_Paths!$D$2:$D$4, MATCH(E842, Unit_Paths!$A$2:$A$4, 0)),0)</f>
        <v>299</v>
      </c>
      <c r="K842" s="6" t="n">
        <f aca="false">ROUND(INDEX(Archetypes!$H$2:$H$127, MATCH(D842, Archetypes!$A$2:$A$127, 0))*INDEX(Unit_Paths!$E$2:$E$4, MATCH(E842, Unit_Paths!$A$2:$A$4, 0)),1)</f>
        <v>25.8</v>
      </c>
      <c r="L842" s="6" t="n">
        <f aca="false">ROUND(INDEX(Archetypes!$I$2:$I$127, MATCH(D842, Archetypes!$A$2:$A$127, 0))*INDEX(Unit_Grades!$C$2:$C$7, MATCH(F842, Unit_Grades!$A$2:$A$7, 0)),1)</f>
        <v>13</v>
      </c>
      <c r="M842" s="6" t="n">
        <f aca="false">ROUND(INDEX(Archetypes!$J$2:$J$127, MATCH(D842, Archetypes!$A$2:$A$127, 0))*INDEX(Unit_Grades!$D$2:$D$7, MATCH(F842, Unit_Grades!$A$2:$A$7, 0)),1)</f>
        <v>5.3</v>
      </c>
      <c r="N842" s="6" t="n">
        <f aca="false">ROUND(M842/24,2)</f>
        <v>0.22</v>
      </c>
    </row>
    <row r="843" customFormat="false" ht="15" hidden="false" customHeight="true" outlineLevel="0" collapsed="false">
      <c r="A843" s="6" t="n">
        <v>3</v>
      </c>
      <c r="B843" s="6" t="s">
        <v>2364</v>
      </c>
      <c r="C843" s="6" t="s">
        <v>1357</v>
      </c>
      <c r="D843" s="6" t="str">
        <f aca="false">A843&amp;"|"&amp;C843</f>
        <v>3|Frigate</v>
      </c>
      <c r="E843" s="6" t="s">
        <v>1560</v>
      </c>
      <c r="F843" s="6" t="s">
        <v>1540</v>
      </c>
      <c r="G843" s="6" t="str">
        <f aca="false">INDEX(Archetypes!$D$2:$D$127, MATCH(D843, Archetypes!$A$2:$A$127, 0))</f>
        <v>Naval Escort</v>
      </c>
      <c r="H843" s="6" t="n">
        <f aca="false">ROUND(INDEX(Archetypes!$E$2:$E$127, MATCH(D843, Archetypes!$A$2:$A$127, 0))*INDEX(Unit_Grades!$B$2:$B$7, MATCH(F843, Unit_Grades!$A$2:$A$7, 0))*INDEX(Unit_Paths!$B$2:$B$4, MATCH(E843, Unit_Paths!$A$2:$A$4, 0)),1)</f>
        <v>82.6</v>
      </c>
      <c r="I843" s="6" t="n">
        <f aca="false">ROUND(INDEX(Archetypes!$F$2:$F$127, MATCH(D843, Archetypes!$A$2:$A$127, 0))*INDEX(Unit_Grades!$B$2:$B$7, MATCH(F843, Unit_Grades!$A$2:$A$7, 0))*INDEX(Unit_Paths!$C$2:$C$4, MATCH(E843, Unit_Paths!$A$2:$A$4, 0)),1)</f>
        <v>74.3</v>
      </c>
      <c r="J843" s="6" t="n">
        <f aca="false">ROUND(INDEX(Archetypes!$G$2:$G$127, MATCH(D843, Archetypes!$A$2:$A$127, 0))*INDEX(Unit_Grades!$B$2:$B$7, MATCH(F843, Unit_Grades!$A$2:$A$7, 0))*INDEX(Unit_Paths!$D$2:$D$4, MATCH(E843, Unit_Paths!$A$2:$A$4, 0)),0)</f>
        <v>404</v>
      </c>
      <c r="K843" s="6" t="n">
        <f aca="false">ROUND(INDEX(Archetypes!$H$2:$H$127, MATCH(D843, Archetypes!$A$2:$A$127, 0))*INDEX(Unit_Paths!$E$2:$E$4, MATCH(E843, Unit_Paths!$A$2:$A$4, 0)),1)</f>
        <v>25.8</v>
      </c>
      <c r="L843" s="6" t="n">
        <f aca="false">ROUND(INDEX(Archetypes!$I$2:$I$127, MATCH(D843, Archetypes!$A$2:$A$127, 0))*INDEX(Unit_Grades!$C$2:$C$7, MATCH(F843, Unit_Grades!$A$2:$A$7, 0)),1)</f>
        <v>16.3</v>
      </c>
      <c r="M843" s="6" t="n">
        <f aca="false">ROUND(INDEX(Archetypes!$J$2:$J$127, MATCH(D843, Archetypes!$A$2:$A$127, 0))*INDEX(Unit_Grades!$D$2:$D$7, MATCH(F843, Unit_Grades!$A$2:$A$7, 0)),1)</f>
        <v>7.9</v>
      </c>
      <c r="N843" s="6" t="n">
        <f aca="false">ROUND(M843/24,2)</f>
        <v>0.33</v>
      </c>
    </row>
    <row r="844" customFormat="false" ht="15" hidden="false" customHeight="true" outlineLevel="0" collapsed="false">
      <c r="A844" s="6" t="n">
        <v>3</v>
      </c>
      <c r="B844" s="6" t="s">
        <v>2365</v>
      </c>
      <c r="C844" s="6" t="s">
        <v>1357</v>
      </c>
      <c r="D844" s="6" t="str">
        <f aca="false">A844&amp;"|"&amp;C844</f>
        <v>3|Frigate</v>
      </c>
      <c r="E844" s="6" t="s">
        <v>1560</v>
      </c>
      <c r="F844" s="6" t="s">
        <v>1542</v>
      </c>
      <c r="G844" s="6" t="str">
        <f aca="false">INDEX(Archetypes!$D$2:$D$127, MATCH(D844, Archetypes!$A$2:$A$127, 0))</f>
        <v>Naval Escort</v>
      </c>
      <c r="H844" s="6" t="n">
        <f aca="false">ROUND(INDEX(Archetypes!$E$2:$E$127, MATCH(D844, Archetypes!$A$2:$A$127, 0))*INDEX(Unit_Grades!$B$2:$B$7, MATCH(F844, Unit_Grades!$A$2:$A$7, 0))*INDEX(Unit_Paths!$B$2:$B$4, MATCH(E844, Unit_Paths!$A$2:$A$4, 0)),1)</f>
        <v>110.2</v>
      </c>
      <c r="I844" s="6" t="n">
        <f aca="false">ROUND(INDEX(Archetypes!$F$2:$F$127, MATCH(D844, Archetypes!$A$2:$A$127, 0))*INDEX(Unit_Grades!$B$2:$B$7, MATCH(F844, Unit_Grades!$A$2:$A$7, 0))*INDEX(Unit_Paths!$C$2:$C$4, MATCH(E844, Unit_Paths!$A$2:$A$4, 0)),1)</f>
        <v>99</v>
      </c>
      <c r="J844" s="6" t="n">
        <f aca="false">ROUND(INDEX(Archetypes!$G$2:$G$127, MATCH(D844, Archetypes!$A$2:$A$127, 0))*INDEX(Unit_Grades!$B$2:$B$7, MATCH(F844, Unit_Grades!$A$2:$A$7, 0))*INDEX(Unit_Paths!$D$2:$D$4, MATCH(E844, Unit_Paths!$A$2:$A$4, 0)),0)</f>
        <v>538</v>
      </c>
      <c r="K844" s="6" t="n">
        <f aca="false">ROUND(INDEX(Archetypes!$H$2:$H$127, MATCH(D844, Archetypes!$A$2:$A$127, 0))*INDEX(Unit_Paths!$E$2:$E$4, MATCH(E844, Unit_Paths!$A$2:$A$4, 0)),1)</f>
        <v>25.8</v>
      </c>
      <c r="L844" s="6" t="n">
        <f aca="false">ROUND(INDEX(Archetypes!$I$2:$I$127, MATCH(D844, Archetypes!$A$2:$A$127, 0))*INDEX(Unit_Grades!$C$2:$C$7, MATCH(F844, Unit_Grades!$A$2:$A$7, 0)),1)</f>
        <v>20.8</v>
      </c>
      <c r="M844" s="6" t="n">
        <f aca="false">ROUND(INDEX(Archetypes!$J$2:$J$127, MATCH(D844, Archetypes!$A$2:$A$127, 0))*INDEX(Unit_Grades!$D$2:$D$7, MATCH(F844, Unit_Grades!$A$2:$A$7, 0)),1)</f>
        <v>13.2</v>
      </c>
      <c r="N844" s="6" t="n">
        <f aca="false">ROUND(M844/24,2)</f>
        <v>0.55</v>
      </c>
    </row>
    <row r="845" customFormat="false" ht="15" hidden="false" customHeight="true" outlineLevel="0" collapsed="false">
      <c r="A845" s="6" t="n">
        <v>3</v>
      </c>
      <c r="B845" s="6" t="s">
        <v>2366</v>
      </c>
      <c r="C845" s="6" t="s">
        <v>1357</v>
      </c>
      <c r="D845" s="6" t="str">
        <f aca="false">A845&amp;"|"&amp;C845</f>
        <v>3|Frigate</v>
      </c>
      <c r="E845" s="6" t="s">
        <v>1560</v>
      </c>
      <c r="F845" s="6" t="s">
        <v>1544</v>
      </c>
      <c r="G845" s="6" t="str">
        <f aca="false">INDEX(Archetypes!$D$2:$D$127, MATCH(D845, Archetypes!$A$2:$A$127, 0))</f>
        <v>Naval Escort</v>
      </c>
      <c r="H845" s="6" t="n">
        <f aca="false">ROUND(INDEX(Archetypes!$E$2:$E$127, MATCH(D845, Archetypes!$A$2:$A$127, 0))*INDEX(Unit_Grades!$B$2:$B$7, MATCH(F845, Unit_Grades!$A$2:$A$7, 0))*INDEX(Unit_Paths!$B$2:$B$4, MATCH(E845, Unit_Paths!$A$2:$A$4, 0)),1)</f>
        <v>146.9</v>
      </c>
      <c r="I845" s="6" t="n">
        <f aca="false">ROUND(INDEX(Archetypes!$F$2:$F$127, MATCH(D845, Archetypes!$A$2:$A$127, 0))*INDEX(Unit_Grades!$B$2:$B$7, MATCH(F845, Unit_Grades!$A$2:$A$7, 0))*INDEX(Unit_Paths!$C$2:$C$4, MATCH(E845, Unit_Paths!$A$2:$A$4, 0)),1)</f>
        <v>132</v>
      </c>
      <c r="J845" s="6" t="n">
        <f aca="false">ROUND(INDEX(Archetypes!$G$2:$G$127, MATCH(D845, Archetypes!$A$2:$A$127, 0))*INDEX(Unit_Grades!$B$2:$B$7, MATCH(F845, Unit_Grades!$A$2:$A$7, 0))*INDEX(Unit_Paths!$D$2:$D$4, MATCH(E845, Unit_Paths!$A$2:$A$4, 0)),0)</f>
        <v>718</v>
      </c>
      <c r="K845" s="6" t="n">
        <f aca="false">ROUND(INDEX(Archetypes!$H$2:$H$127, MATCH(D845, Archetypes!$A$2:$A$127, 0))*INDEX(Unit_Paths!$E$2:$E$4, MATCH(E845, Unit_Paths!$A$2:$A$4, 0)),1)</f>
        <v>25.8</v>
      </c>
      <c r="L845" s="6" t="n">
        <f aca="false">ROUND(INDEX(Archetypes!$I$2:$I$127, MATCH(D845, Archetypes!$A$2:$A$127, 0))*INDEX(Unit_Grades!$C$2:$C$7, MATCH(F845, Unit_Grades!$A$2:$A$7, 0)),1)</f>
        <v>27.3</v>
      </c>
      <c r="M845" s="6" t="n">
        <f aca="false">ROUND(INDEX(Archetypes!$J$2:$J$127, MATCH(D845, Archetypes!$A$2:$A$127, 0))*INDEX(Unit_Grades!$D$2:$D$7, MATCH(F845, Unit_Grades!$A$2:$A$7, 0)),1)</f>
        <v>21.1</v>
      </c>
      <c r="N845" s="6" t="n">
        <f aca="false">ROUND(M845/24,2)</f>
        <v>0.88</v>
      </c>
    </row>
    <row r="846" customFormat="false" ht="15" hidden="false" customHeight="true" outlineLevel="0" collapsed="false">
      <c r="A846" s="6" t="n">
        <v>3</v>
      </c>
      <c r="B846" s="6" t="s">
        <v>2367</v>
      </c>
      <c r="C846" s="6" t="s">
        <v>1357</v>
      </c>
      <c r="D846" s="6" t="str">
        <f aca="false">A846&amp;"|"&amp;C846</f>
        <v>3|Frigate</v>
      </c>
      <c r="E846" s="6" t="s">
        <v>1560</v>
      </c>
      <c r="F846" s="6" t="s">
        <v>1546</v>
      </c>
      <c r="G846" s="6" t="str">
        <f aca="false">INDEX(Archetypes!$D$2:$D$127, MATCH(D846, Archetypes!$A$2:$A$127, 0))</f>
        <v>Naval Escort</v>
      </c>
      <c r="H846" s="6" t="n">
        <f aca="false">ROUND(INDEX(Archetypes!$E$2:$E$127, MATCH(D846, Archetypes!$A$2:$A$127, 0))*INDEX(Unit_Grades!$B$2:$B$7, MATCH(F846, Unit_Grades!$A$2:$A$7, 0))*INDEX(Unit_Paths!$B$2:$B$4, MATCH(E846, Unit_Paths!$A$2:$A$4, 0)),1)</f>
        <v>195.8</v>
      </c>
      <c r="I846" s="6" t="n">
        <f aca="false">ROUND(INDEX(Archetypes!$F$2:$F$127, MATCH(D846, Archetypes!$A$2:$A$127, 0))*INDEX(Unit_Grades!$B$2:$B$7, MATCH(F846, Unit_Grades!$A$2:$A$7, 0))*INDEX(Unit_Paths!$C$2:$C$4, MATCH(E846, Unit_Paths!$A$2:$A$4, 0)),1)</f>
        <v>176</v>
      </c>
      <c r="J846" s="6" t="n">
        <f aca="false">ROUND(INDEX(Archetypes!$G$2:$G$127, MATCH(D846, Archetypes!$A$2:$A$127, 0))*INDEX(Unit_Grades!$B$2:$B$7, MATCH(F846, Unit_Grades!$A$2:$A$7, 0))*INDEX(Unit_Paths!$D$2:$D$4, MATCH(E846, Unit_Paths!$A$2:$A$4, 0)),0)</f>
        <v>957</v>
      </c>
      <c r="K846" s="6" t="n">
        <f aca="false">ROUND(INDEX(Archetypes!$H$2:$H$127, MATCH(D846, Archetypes!$A$2:$A$127, 0))*INDEX(Unit_Paths!$E$2:$E$4, MATCH(E846, Unit_Paths!$A$2:$A$4, 0)),1)</f>
        <v>25.8</v>
      </c>
      <c r="L846" s="6" t="n">
        <f aca="false">ROUND(INDEX(Archetypes!$I$2:$I$127, MATCH(D846, Archetypes!$A$2:$A$127, 0))*INDEX(Unit_Grades!$C$2:$C$7, MATCH(F846, Unit_Grades!$A$2:$A$7, 0)),1)</f>
        <v>36.4</v>
      </c>
      <c r="M846" s="6" t="n">
        <f aca="false">ROUND(INDEX(Archetypes!$J$2:$J$127, MATCH(D846, Archetypes!$A$2:$A$127, 0))*INDEX(Unit_Grades!$D$2:$D$7, MATCH(F846, Unit_Grades!$A$2:$A$7, 0)),1)</f>
        <v>37</v>
      </c>
      <c r="N846" s="6" t="n">
        <f aca="false">ROUND(M846/24,2)</f>
        <v>1.54</v>
      </c>
    </row>
    <row r="847" customFormat="false" ht="15" hidden="false" customHeight="true" outlineLevel="0" collapsed="false">
      <c r="A847" s="6" t="n">
        <v>3</v>
      </c>
      <c r="B847" s="6" t="s">
        <v>2368</v>
      </c>
      <c r="C847" s="6" t="s">
        <v>1357</v>
      </c>
      <c r="D847" s="6" t="str">
        <f aca="false">A847&amp;"|"&amp;C847</f>
        <v>3|Frigate</v>
      </c>
      <c r="E847" s="6" t="s">
        <v>1560</v>
      </c>
      <c r="F847" s="6" t="s">
        <v>1548</v>
      </c>
      <c r="G847" s="6" t="str">
        <f aca="false">INDEX(Archetypes!$D$2:$D$127, MATCH(D847, Archetypes!$A$2:$A$127, 0))</f>
        <v>Naval Escort</v>
      </c>
      <c r="H847" s="6" t="n">
        <f aca="false">ROUND(INDEX(Archetypes!$E$2:$E$127, MATCH(D847, Archetypes!$A$2:$A$127, 0))*INDEX(Unit_Grades!$B$2:$B$7, MATCH(F847, Unit_Grades!$A$2:$A$7, 0))*INDEX(Unit_Paths!$B$2:$B$4, MATCH(E847, Unit_Paths!$A$2:$A$4, 0)),1)</f>
        <v>257</v>
      </c>
      <c r="I847" s="6" t="n">
        <f aca="false">ROUND(INDEX(Archetypes!$F$2:$F$127, MATCH(D847, Archetypes!$A$2:$A$127, 0))*INDEX(Unit_Grades!$B$2:$B$7, MATCH(F847, Unit_Grades!$A$2:$A$7, 0))*INDEX(Unit_Paths!$C$2:$C$4, MATCH(E847, Unit_Paths!$A$2:$A$4, 0)),1)</f>
        <v>231</v>
      </c>
      <c r="J847" s="6" t="n">
        <f aca="false">ROUND(INDEX(Archetypes!$G$2:$G$127, MATCH(D847, Archetypes!$A$2:$A$127, 0))*INDEX(Unit_Grades!$B$2:$B$7, MATCH(F847, Unit_Grades!$A$2:$A$7, 0))*INDEX(Unit_Paths!$D$2:$D$4, MATCH(E847, Unit_Paths!$A$2:$A$4, 0)),0)</f>
        <v>1256</v>
      </c>
      <c r="K847" s="6" t="n">
        <f aca="false">ROUND(INDEX(Archetypes!$H$2:$H$127, MATCH(D847, Archetypes!$A$2:$A$127, 0))*INDEX(Unit_Paths!$E$2:$E$4, MATCH(E847, Unit_Paths!$A$2:$A$4, 0)),1)</f>
        <v>25.8</v>
      </c>
      <c r="L847" s="6" t="n">
        <f aca="false">ROUND(INDEX(Archetypes!$I$2:$I$127, MATCH(D847, Archetypes!$A$2:$A$127, 0))*INDEX(Unit_Grades!$C$2:$C$7, MATCH(F847, Unit_Grades!$A$2:$A$7, 0)),1)</f>
        <v>48.1</v>
      </c>
      <c r="M847" s="6" t="n">
        <f aca="false">ROUND(INDEX(Archetypes!$J$2:$J$127, MATCH(D847, Archetypes!$A$2:$A$127, 0))*INDEX(Unit_Grades!$D$2:$D$7, MATCH(F847, Unit_Grades!$A$2:$A$7, 0)),1)</f>
        <v>63.4</v>
      </c>
      <c r="N847" s="6" t="n">
        <f aca="false">ROUND(M847/24,2)</f>
        <v>2.64</v>
      </c>
    </row>
    <row r="848" customFormat="false" ht="15" hidden="false" customHeight="true" outlineLevel="0" collapsed="false">
      <c r="A848" s="6" t="n">
        <v>3</v>
      </c>
      <c r="B848" s="6" t="s">
        <v>1359</v>
      </c>
      <c r="C848" s="6" t="s">
        <v>1359</v>
      </c>
      <c r="D848" s="6" t="str">
        <f aca="false">A848&amp;"|"&amp;C848</f>
        <v>3|Galleon</v>
      </c>
      <c r="E848" s="6" t="s">
        <v>1556</v>
      </c>
      <c r="F848" s="6" t="s">
        <v>1538</v>
      </c>
      <c r="G848" s="6" t="str">
        <f aca="false">INDEX(Archetypes!$D$2:$D$127, MATCH(D848, Archetypes!$A$2:$A$127, 0))</f>
        <v>Naval Logistics</v>
      </c>
      <c r="H848" s="6" t="n">
        <f aca="false">ROUND(INDEX(Archetypes!$E$2:$E$127, MATCH(D848, Archetypes!$A$2:$A$127, 0))*INDEX(Unit_Grades!$B$2:$B$7, MATCH(F848, Unit_Grades!$A$2:$A$7, 0))*INDEX(Unit_Paths!$B$2:$B$4, MATCH(E848, Unit_Paths!$A$2:$A$4, 0)),1)</f>
        <v>44</v>
      </c>
      <c r="I848" s="6" t="n">
        <f aca="false">ROUND(INDEX(Archetypes!$F$2:$F$127, MATCH(D848, Archetypes!$A$2:$A$127, 0))*INDEX(Unit_Grades!$B$2:$B$7, MATCH(F848, Unit_Grades!$A$2:$A$7, 0))*INDEX(Unit_Paths!$C$2:$C$4, MATCH(E848, Unit_Paths!$A$2:$A$4, 0)),1)</f>
        <v>50</v>
      </c>
      <c r="J848" s="6" t="n">
        <f aca="false">ROUND(INDEX(Archetypes!$G$2:$G$127, MATCH(D848, Archetypes!$A$2:$A$127, 0))*INDEX(Unit_Grades!$B$2:$B$7, MATCH(F848, Unit_Grades!$A$2:$A$7, 0))*INDEX(Unit_Paths!$D$2:$D$4, MATCH(E848, Unit_Paths!$A$2:$A$4, 0)),0)</f>
        <v>320</v>
      </c>
      <c r="K848" s="6" t="n">
        <f aca="false">ROUND(INDEX(Archetypes!$H$2:$H$127, MATCH(D848, Archetypes!$A$2:$A$127, 0))*INDEX(Unit_Paths!$E$2:$E$4, MATCH(E848, Unit_Paths!$A$2:$A$4, 0)),1)</f>
        <v>22</v>
      </c>
      <c r="L848" s="6" t="n">
        <f aca="false">ROUND(INDEX(Archetypes!$I$2:$I$127, MATCH(D848, Archetypes!$A$2:$A$127, 0))*INDEX(Unit_Grades!$C$2:$C$7, MATCH(F848, Unit_Grades!$A$2:$A$7, 0)),1)</f>
        <v>12</v>
      </c>
      <c r="M848" s="6" t="n">
        <f aca="false">ROUND(INDEX(Archetypes!$J$2:$J$127, MATCH(D848, Archetypes!$A$2:$A$127, 0))*INDEX(Unit_Grades!$D$2:$D$7, MATCH(F848, Unit_Grades!$A$2:$A$7, 0)),1)</f>
        <v>4.9</v>
      </c>
      <c r="N848" s="6" t="n">
        <f aca="false">ROUND(M848/24,2)</f>
        <v>0.2</v>
      </c>
    </row>
    <row r="849" customFormat="false" ht="15" hidden="false" customHeight="true" outlineLevel="0" collapsed="false">
      <c r="A849" s="6" t="n">
        <v>3</v>
      </c>
      <c r="B849" s="6" t="s">
        <v>2369</v>
      </c>
      <c r="C849" s="6" t="s">
        <v>1359</v>
      </c>
      <c r="D849" s="6" t="str">
        <f aca="false">A849&amp;"|"&amp;C849</f>
        <v>3|Galleon</v>
      </c>
      <c r="E849" s="6" t="s">
        <v>1556</v>
      </c>
      <c r="F849" s="6" t="s">
        <v>1540</v>
      </c>
      <c r="G849" s="6" t="str">
        <f aca="false">INDEX(Archetypes!$D$2:$D$127, MATCH(D849, Archetypes!$A$2:$A$127, 0))</f>
        <v>Naval Logistics</v>
      </c>
      <c r="H849" s="6" t="n">
        <f aca="false">ROUND(INDEX(Archetypes!$E$2:$E$127, MATCH(D849, Archetypes!$A$2:$A$127, 0))*INDEX(Unit_Grades!$B$2:$B$7, MATCH(F849, Unit_Grades!$A$2:$A$7, 0))*INDEX(Unit_Paths!$B$2:$B$4, MATCH(E849, Unit_Paths!$A$2:$A$4, 0)),1)</f>
        <v>59.4</v>
      </c>
      <c r="I849" s="6" t="n">
        <f aca="false">ROUND(INDEX(Archetypes!$F$2:$F$127, MATCH(D849, Archetypes!$A$2:$A$127, 0))*INDEX(Unit_Grades!$B$2:$B$7, MATCH(F849, Unit_Grades!$A$2:$A$7, 0))*INDEX(Unit_Paths!$C$2:$C$4, MATCH(E849, Unit_Paths!$A$2:$A$4, 0)),1)</f>
        <v>67.5</v>
      </c>
      <c r="J849" s="6" t="n">
        <f aca="false">ROUND(INDEX(Archetypes!$G$2:$G$127, MATCH(D849, Archetypes!$A$2:$A$127, 0))*INDEX(Unit_Grades!$B$2:$B$7, MATCH(F849, Unit_Grades!$A$2:$A$7, 0))*INDEX(Unit_Paths!$D$2:$D$4, MATCH(E849, Unit_Paths!$A$2:$A$4, 0)),0)</f>
        <v>432</v>
      </c>
      <c r="K849" s="6" t="n">
        <f aca="false">ROUND(INDEX(Archetypes!$H$2:$H$127, MATCH(D849, Archetypes!$A$2:$A$127, 0))*INDEX(Unit_Paths!$E$2:$E$4, MATCH(E849, Unit_Paths!$A$2:$A$4, 0)),1)</f>
        <v>22</v>
      </c>
      <c r="L849" s="6" t="n">
        <f aca="false">ROUND(INDEX(Archetypes!$I$2:$I$127, MATCH(D849, Archetypes!$A$2:$A$127, 0))*INDEX(Unit_Grades!$C$2:$C$7, MATCH(F849, Unit_Grades!$A$2:$A$7, 0)),1)</f>
        <v>15</v>
      </c>
      <c r="M849" s="6" t="n">
        <f aca="false">ROUND(INDEX(Archetypes!$J$2:$J$127, MATCH(D849, Archetypes!$A$2:$A$127, 0))*INDEX(Unit_Grades!$D$2:$D$7, MATCH(F849, Unit_Grades!$A$2:$A$7, 0)),1)</f>
        <v>7.3</v>
      </c>
      <c r="N849" s="6" t="n">
        <f aca="false">ROUND(M849/24,2)</f>
        <v>0.3</v>
      </c>
    </row>
    <row r="850" customFormat="false" ht="15" hidden="false" customHeight="true" outlineLevel="0" collapsed="false">
      <c r="A850" s="6" t="n">
        <v>3</v>
      </c>
      <c r="B850" s="6" t="s">
        <v>2370</v>
      </c>
      <c r="C850" s="6" t="s">
        <v>1359</v>
      </c>
      <c r="D850" s="6" t="str">
        <f aca="false">A850&amp;"|"&amp;C850</f>
        <v>3|Galleon</v>
      </c>
      <c r="E850" s="6" t="s">
        <v>1556</v>
      </c>
      <c r="F850" s="6" t="s">
        <v>1542</v>
      </c>
      <c r="G850" s="6" t="str">
        <f aca="false">INDEX(Archetypes!$D$2:$D$127, MATCH(D850, Archetypes!$A$2:$A$127, 0))</f>
        <v>Naval Logistics</v>
      </c>
      <c r="H850" s="6" t="n">
        <f aca="false">ROUND(INDEX(Archetypes!$E$2:$E$127, MATCH(D850, Archetypes!$A$2:$A$127, 0))*INDEX(Unit_Grades!$B$2:$B$7, MATCH(F850, Unit_Grades!$A$2:$A$7, 0))*INDEX(Unit_Paths!$B$2:$B$4, MATCH(E850, Unit_Paths!$A$2:$A$4, 0)),1)</f>
        <v>79.2</v>
      </c>
      <c r="I850" s="6" t="n">
        <f aca="false">ROUND(INDEX(Archetypes!$F$2:$F$127, MATCH(D850, Archetypes!$A$2:$A$127, 0))*INDEX(Unit_Grades!$B$2:$B$7, MATCH(F850, Unit_Grades!$A$2:$A$7, 0))*INDEX(Unit_Paths!$C$2:$C$4, MATCH(E850, Unit_Paths!$A$2:$A$4, 0)),1)</f>
        <v>90</v>
      </c>
      <c r="J850" s="6" t="n">
        <f aca="false">ROUND(INDEX(Archetypes!$G$2:$G$127, MATCH(D850, Archetypes!$A$2:$A$127, 0))*INDEX(Unit_Grades!$B$2:$B$7, MATCH(F850, Unit_Grades!$A$2:$A$7, 0))*INDEX(Unit_Paths!$D$2:$D$4, MATCH(E850, Unit_Paths!$A$2:$A$4, 0)),0)</f>
        <v>576</v>
      </c>
      <c r="K850" s="6" t="n">
        <f aca="false">ROUND(INDEX(Archetypes!$H$2:$H$127, MATCH(D850, Archetypes!$A$2:$A$127, 0))*INDEX(Unit_Paths!$E$2:$E$4, MATCH(E850, Unit_Paths!$A$2:$A$4, 0)),1)</f>
        <v>22</v>
      </c>
      <c r="L850" s="6" t="n">
        <f aca="false">ROUND(INDEX(Archetypes!$I$2:$I$127, MATCH(D850, Archetypes!$A$2:$A$127, 0))*INDEX(Unit_Grades!$C$2:$C$7, MATCH(F850, Unit_Grades!$A$2:$A$7, 0)),1)</f>
        <v>19.2</v>
      </c>
      <c r="M850" s="6" t="n">
        <f aca="false">ROUND(INDEX(Archetypes!$J$2:$J$127, MATCH(D850, Archetypes!$A$2:$A$127, 0))*INDEX(Unit_Grades!$D$2:$D$7, MATCH(F850, Unit_Grades!$A$2:$A$7, 0)),1)</f>
        <v>12.2</v>
      </c>
      <c r="N850" s="6" t="n">
        <f aca="false">ROUND(M850/24,2)</f>
        <v>0.51</v>
      </c>
    </row>
    <row r="851" customFormat="false" ht="15" hidden="false" customHeight="true" outlineLevel="0" collapsed="false">
      <c r="A851" s="6" t="n">
        <v>3</v>
      </c>
      <c r="B851" s="6" t="s">
        <v>2371</v>
      </c>
      <c r="C851" s="6" t="s">
        <v>1359</v>
      </c>
      <c r="D851" s="6" t="str">
        <f aca="false">A851&amp;"|"&amp;C851</f>
        <v>3|Galleon</v>
      </c>
      <c r="E851" s="6" t="s">
        <v>1556</v>
      </c>
      <c r="F851" s="6" t="s">
        <v>1544</v>
      </c>
      <c r="G851" s="6" t="str">
        <f aca="false">INDEX(Archetypes!$D$2:$D$127, MATCH(D851, Archetypes!$A$2:$A$127, 0))</f>
        <v>Naval Logistics</v>
      </c>
      <c r="H851" s="6" t="n">
        <f aca="false">ROUND(INDEX(Archetypes!$E$2:$E$127, MATCH(D851, Archetypes!$A$2:$A$127, 0))*INDEX(Unit_Grades!$B$2:$B$7, MATCH(F851, Unit_Grades!$A$2:$A$7, 0))*INDEX(Unit_Paths!$B$2:$B$4, MATCH(E851, Unit_Paths!$A$2:$A$4, 0)),1)</f>
        <v>105.6</v>
      </c>
      <c r="I851" s="6" t="n">
        <f aca="false">ROUND(INDEX(Archetypes!$F$2:$F$127, MATCH(D851, Archetypes!$A$2:$A$127, 0))*INDEX(Unit_Grades!$B$2:$B$7, MATCH(F851, Unit_Grades!$A$2:$A$7, 0))*INDEX(Unit_Paths!$C$2:$C$4, MATCH(E851, Unit_Paths!$A$2:$A$4, 0)),1)</f>
        <v>120</v>
      </c>
      <c r="J851" s="6" t="n">
        <f aca="false">ROUND(INDEX(Archetypes!$G$2:$G$127, MATCH(D851, Archetypes!$A$2:$A$127, 0))*INDEX(Unit_Grades!$B$2:$B$7, MATCH(F851, Unit_Grades!$A$2:$A$7, 0))*INDEX(Unit_Paths!$D$2:$D$4, MATCH(E851, Unit_Paths!$A$2:$A$4, 0)),0)</f>
        <v>768</v>
      </c>
      <c r="K851" s="6" t="n">
        <f aca="false">ROUND(INDEX(Archetypes!$H$2:$H$127, MATCH(D851, Archetypes!$A$2:$A$127, 0))*INDEX(Unit_Paths!$E$2:$E$4, MATCH(E851, Unit_Paths!$A$2:$A$4, 0)),1)</f>
        <v>22</v>
      </c>
      <c r="L851" s="6" t="n">
        <f aca="false">ROUND(INDEX(Archetypes!$I$2:$I$127, MATCH(D851, Archetypes!$A$2:$A$127, 0))*INDEX(Unit_Grades!$C$2:$C$7, MATCH(F851, Unit_Grades!$A$2:$A$7, 0)),1)</f>
        <v>25.2</v>
      </c>
      <c r="M851" s="6" t="n">
        <f aca="false">ROUND(INDEX(Archetypes!$J$2:$J$127, MATCH(D851, Archetypes!$A$2:$A$127, 0))*INDEX(Unit_Grades!$D$2:$D$7, MATCH(F851, Unit_Grades!$A$2:$A$7, 0)),1)</f>
        <v>19.5</v>
      </c>
      <c r="N851" s="6" t="n">
        <f aca="false">ROUND(M851/24,2)</f>
        <v>0.81</v>
      </c>
    </row>
    <row r="852" customFormat="false" ht="15" hidden="false" customHeight="true" outlineLevel="0" collapsed="false">
      <c r="A852" s="6" t="n">
        <v>3</v>
      </c>
      <c r="B852" s="6" t="s">
        <v>2372</v>
      </c>
      <c r="C852" s="6" t="s">
        <v>1359</v>
      </c>
      <c r="D852" s="6" t="str">
        <f aca="false">A852&amp;"|"&amp;C852</f>
        <v>3|Galleon</v>
      </c>
      <c r="E852" s="6" t="s">
        <v>1556</v>
      </c>
      <c r="F852" s="6" t="s">
        <v>1546</v>
      </c>
      <c r="G852" s="6" t="str">
        <f aca="false">INDEX(Archetypes!$D$2:$D$127, MATCH(D852, Archetypes!$A$2:$A$127, 0))</f>
        <v>Naval Logistics</v>
      </c>
      <c r="H852" s="6" t="n">
        <f aca="false">ROUND(INDEX(Archetypes!$E$2:$E$127, MATCH(D852, Archetypes!$A$2:$A$127, 0))*INDEX(Unit_Grades!$B$2:$B$7, MATCH(F852, Unit_Grades!$A$2:$A$7, 0))*INDEX(Unit_Paths!$B$2:$B$4, MATCH(E852, Unit_Paths!$A$2:$A$4, 0)),1)</f>
        <v>140.8</v>
      </c>
      <c r="I852" s="6" t="n">
        <f aca="false">ROUND(INDEX(Archetypes!$F$2:$F$127, MATCH(D852, Archetypes!$A$2:$A$127, 0))*INDEX(Unit_Grades!$B$2:$B$7, MATCH(F852, Unit_Grades!$A$2:$A$7, 0))*INDEX(Unit_Paths!$C$2:$C$4, MATCH(E852, Unit_Paths!$A$2:$A$4, 0)),1)</f>
        <v>160</v>
      </c>
      <c r="J852" s="6" t="n">
        <f aca="false">ROUND(INDEX(Archetypes!$G$2:$G$127, MATCH(D852, Archetypes!$A$2:$A$127, 0))*INDEX(Unit_Grades!$B$2:$B$7, MATCH(F852, Unit_Grades!$A$2:$A$7, 0))*INDEX(Unit_Paths!$D$2:$D$4, MATCH(E852, Unit_Paths!$A$2:$A$4, 0)),0)</f>
        <v>1024</v>
      </c>
      <c r="K852" s="6" t="n">
        <f aca="false">ROUND(INDEX(Archetypes!$H$2:$H$127, MATCH(D852, Archetypes!$A$2:$A$127, 0))*INDEX(Unit_Paths!$E$2:$E$4, MATCH(E852, Unit_Paths!$A$2:$A$4, 0)),1)</f>
        <v>22</v>
      </c>
      <c r="L852" s="6" t="n">
        <f aca="false">ROUND(INDEX(Archetypes!$I$2:$I$127, MATCH(D852, Archetypes!$A$2:$A$127, 0))*INDEX(Unit_Grades!$C$2:$C$7, MATCH(F852, Unit_Grades!$A$2:$A$7, 0)),1)</f>
        <v>33.6</v>
      </c>
      <c r="M852" s="6" t="n">
        <f aca="false">ROUND(INDEX(Archetypes!$J$2:$J$127, MATCH(D852, Archetypes!$A$2:$A$127, 0))*INDEX(Unit_Grades!$D$2:$D$7, MATCH(F852, Unit_Grades!$A$2:$A$7, 0)),1)</f>
        <v>34.1</v>
      </c>
      <c r="N852" s="6" t="n">
        <f aca="false">ROUND(M852/24,2)</f>
        <v>1.42</v>
      </c>
    </row>
    <row r="853" customFormat="false" ht="15" hidden="false" customHeight="true" outlineLevel="0" collapsed="false">
      <c r="A853" s="6" t="n">
        <v>3</v>
      </c>
      <c r="B853" s="6" t="s">
        <v>2373</v>
      </c>
      <c r="C853" s="6" t="s">
        <v>1359</v>
      </c>
      <c r="D853" s="6" t="str">
        <f aca="false">A853&amp;"|"&amp;C853</f>
        <v>3|Galleon</v>
      </c>
      <c r="E853" s="6" t="s">
        <v>1556</v>
      </c>
      <c r="F853" s="6" t="s">
        <v>1548</v>
      </c>
      <c r="G853" s="6" t="str">
        <f aca="false">INDEX(Archetypes!$D$2:$D$127, MATCH(D853, Archetypes!$A$2:$A$127, 0))</f>
        <v>Naval Logistics</v>
      </c>
      <c r="H853" s="6" t="n">
        <f aca="false">ROUND(INDEX(Archetypes!$E$2:$E$127, MATCH(D853, Archetypes!$A$2:$A$127, 0))*INDEX(Unit_Grades!$B$2:$B$7, MATCH(F853, Unit_Grades!$A$2:$A$7, 0))*INDEX(Unit_Paths!$B$2:$B$4, MATCH(E853, Unit_Paths!$A$2:$A$4, 0)),1)</f>
        <v>184.8</v>
      </c>
      <c r="I853" s="6" t="n">
        <f aca="false">ROUND(INDEX(Archetypes!$F$2:$F$127, MATCH(D853, Archetypes!$A$2:$A$127, 0))*INDEX(Unit_Grades!$B$2:$B$7, MATCH(F853, Unit_Grades!$A$2:$A$7, 0))*INDEX(Unit_Paths!$C$2:$C$4, MATCH(E853, Unit_Paths!$A$2:$A$4, 0)),1)</f>
        <v>210</v>
      </c>
      <c r="J853" s="6" t="n">
        <f aca="false">ROUND(INDEX(Archetypes!$G$2:$G$127, MATCH(D853, Archetypes!$A$2:$A$127, 0))*INDEX(Unit_Grades!$B$2:$B$7, MATCH(F853, Unit_Grades!$A$2:$A$7, 0))*INDEX(Unit_Paths!$D$2:$D$4, MATCH(E853, Unit_Paths!$A$2:$A$4, 0)),0)</f>
        <v>1344</v>
      </c>
      <c r="K853" s="6" t="n">
        <f aca="false">ROUND(INDEX(Archetypes!$H$2:$H$127, MATCH(D853, Archetypes!$A$2:$A$127, 0))*INDEX(Unit_Paths!$E$2:$E$4, MATCH(E853, Unit_Paths!$A$2:$A$4, 0)),1)</f>
        <v>22</v>
      </c>
      <c r="L853" s="6" t="n">
        <f aca="false">ROUND(INDEX(Archetypes!$I$2:$I$127, MATCH(D853, Archetypes!$A$2:$A$127, 0))*INDEX(Unit_Grades!$C$2:$C$7, MATCH(F853, Unit_Grades!$A$2:$A$7, 0)),1)</f>
        <v>44.4</v>
      </c>
      <c r="M853" s="6" t="n">
        <f aca="false">ROUND(INDEX(Archetypes!$J$2:$J$127, MATCH(D853, Archetypes!$A$2:$A$127, 0))*INDEX(Unit_Grades!$D$2:$D$7, MATCH(F853, Unit_Grades!$A$2:$A$7, 0)),1)</f>
        <v>58.4</v>
      </c>
      <c r="N853" s="6" t="n">
        <f aca="false">ROUND(M853/24,2)</f>
        <v>2.43</v>
      </c>
    </row>
    <row r="854" customFormat="false" ht="15" hidden="false" customHeight="true" outlineLevel="0" collapsed="false">
      <c r="A854" s="6" t="n">
        <v>3</v>
      </c>
      <c r="B854" s="6" t="s">
        <v>2374</v>
      </c>
      <c r="C854" s="6" t="s">
        <v>1359</v>
      </c>
      <c r="D854" s="6" t="str">
        <f aca="false">A854&amp;"|"&amp;C854</f>
        <v>3|Galleon</v>
      </c>
      <c r="E854" s="6" t="s">
        <v>1558</v>
      </c>
      <c r="F854" s="6" t="s">
        <v>1538</v>
      </c>
      <c r="G854" s="6" t="str">
        <f aca="false">INDEX(Archetypes!$D$2:$D$127, MATCH(D854, Archetypes!$A$2:$A$127, 0))</f>
        <v>Naval Logistics</v>
      </c>
      <c r="H854" s="6" t="n">
        <f aca="false">ROUND(INDEX(Archetypes!$E$2:$E$127, MATCH(D854, Archetypes!$A$2:$A$127, 0))*INDEX(Unit_Grades!$B$2:$B$7, MATCH(F854, Unit_Grades!$A$2:$A$7, 0))*INDEX(Unit_Paths!$B$2:$B$4, MATCH(E854, Unit_Paths!$A$2:$A$4, 0)),1)</f>
        <v>52.8</v>
      </c>
      <c r="I854" s="6" t="n">
        <f aca="false">ROUND(INDEX(Archetypes!$F$2:$F$127, MATCH(D854, Archetypes!$A$2:$A$127, 0))*INDEX(Unit_Grades!$B$2:$B$7, MATCH(F854, Unit_Grades!$A$2:$A$7, 0))*INDEX(Unit_Paths!$C$2:$C$4, MATCH(E854, Unit_Paths!$A$2:$A$4, 0)),1)</f>
        <v>42.5</v>
      </c>
      <c r="J854" s="6" t="n">
        <f aca="false">ROUND(INDEX(Archetypes!$G$2:$G$127, MATCH(D854, Archetypes!$A$2:$A$127, 0))*INDEX(Unit_Grades!$B$2:$B$7, MATCH(F854, Unit_Grades!$A$2:$A$7, 0))*INDEX(Unit_Paths!$D$2:$D$4, MATCH(E854, Unit_Paths!$A$2:$A$4, 0)),0)</f>
        <v>304</v>
      </c>
      <c r="K854" s="6" t="n">
        <f aca="false">ROUND(INDEX(Archetypes!$H$2:$H$127, MATCH(D854, Archetypes!$A$2:$A$127, 0))*INDEX(Unit_Paths!$E$2:$E$4, MATCH(E854, Unit_Paths!$A$2:$A$4, 0)),1)</f>
        <v>23.1</v>
      </c>
      <c r="L854" s="6" t="n">
        <f aca="false">ROUND(INDEX(Archetypes!$I$2:$I$127, MATCH(D854, Archetypes!$A$2:$A$127, 0))*INDEX(Unit_Grades!$C$2:$C$7, MATCH(F854, Unit_Grades!$A$2:$A$7, 0)),1)</f>
        <v>12</v>
      </c>
      <c r="M854" s="6" t="n">
        <f aca="false">ROUND(INDEX(Archetypes!$J$2:$J$127, MATCH(D854, Archetypes!$A$2:$A$127, 0))*INDEX(Unit_Grades!$D$2:$D$7, MATCH(F854, Unit_Grades!$A$2:$A$7, 0)),1)</f>
        <v>4.9</v>
      </c>
      <c r="N854" s="6" t="n">
        <f aca="false">ROUND(M854/24,2)</f>
        <v>0.2</v>
      </c>
    </row>
    <row r="855" customFormat="false" ht="15" hidden="false" customHeight="true" outlineLevel="0" collapsed="false">
      <c r="A855" s="6" t="n">
        <v>3</v>
      </c>
      <c r="B855" s="6" t="s">
        <v>2375</v>
      </c>
      <c r="C855" s="6" t="s">
        <v>1359</v>
      </c>
      <c r="D855" s="6" t="str">
        <f aca="false">A855&amp;"|"&amp;C855</f>
        <v>3|Galleon</v>
      </c>
      <c r="E855" s="6" t="s">
        <v>1558</v>
      </c>
      <c r="F855" s="6" t="s">
        <v>1540</v>
      </c>
      <c r="G855" s="6" t="str">
        <f aca="false">INDEX(Archetypes!$D$2:$D$127, MATCH(D855, Archetypes!$A$2:$A$127, 0))</f>
        <v>Naval Logistics</v>
      </c>
      <c r="H855" s="6" t="n">
        <f aca="false">ROUND(INDEX(Archetypes!$E$2:$E$127, MATCH(D855, Archetypes!$A$2:$A$127, 0))*INDEX(Unit_Grades!$B$2:$B$7, MATCH(F855, Unit_Grades!$A$2:$A$7, 0))*INDEX(Unit_Paths!$B$2:$B$4, MATCH(E855, Unit_Paths!$A$2:$A$4, 0)),1)</f>
        <v>71.3</v>
      </c>
      <c r="I855" s="6" t="n">
        <f aca="false">ROUND(INDEX(Archetypes!$F$2:$F$127, MATCH(D855, Archetypes!$A$2:$A$127, 0))*INDEX(Unit_Grades!$B$2:$B$7, MATCH(F855, Unit_Grades!$A$2:$A$7, 0))*INDEX(Unit_Paths!$C$2:$C$4, MATCH(E855, Unit_Paths!$A$2:$A$4, 0)),1)</f>
        <v>57.4</v>
      </c>
      <c r="J855" s="6" t="n">
        <f aca="false">ROUND(INDEX(Archetypes!$G$2:$G$127, MATCH(D855, Archetypes!$A$2:$A$127, 0))*INDEX(Unit_Grades!$B$2:$B$7, MATCH(F855, Unit_Grades!$A$2:$A$7, 0))*INDEX(Unit_Paths!$D$2:$D$4, MATCH(E855, Unit_Paths!$A$2:$A$4, 0)),0)</f>
        <v>410</v>
      </c>
      <c r="K855" s="6" t="n">
        <f aca="false">ROUND(INDEX(Archetypes!$H$2:$H$127, MATCH(D855, Archetypes!$A$2:$A$127, 0))*INDEX(Unit_Paths!$E$2:$E$4, MATCH(E855, Unit_Paths!$A$2:$A$4, 0)),1)</f>
        <v>23.1</v>
      </c>
      <c r="L855" s="6" t="n">
        <f aca="false">ROUND(INDEX(Archetypes!$I$2:$I$127, MATCH(D855, Archetypes!$A$2:$A$127, 0))*INDEX(Unit_Grades!$C$2:$C$7, MATCH(F855, Unit_Grades!$A$2:$A$7, 0)),1)</f>
        <v>15</v>
      </c>
      <c r="M855" s="6" t="n">
        <f aca="false">ROUND(INDEX(Archetypes!$J$2:$J$127, MATCH(D855, Archetypes!$A$2:$A$127, 0))*INDEX(Unit_Grades!$D$2:$D$7, MATCH(F855, Unit_Grades!$A$2:$A$7, 0)),1)</f>
        <v>7.3</v>
      </c>
      <c r="N855" s="6" t="n">
        <f aca="false">ROUND(M855/24,2)</f>
        <v>0.3</v>
      </c>
    </row>
    <row r="856" customFormat="false" ht="15" hidden="false" customHeight="true" outlineLevel="0" collapsed="false">
      <c r="A856" s="6" t="n">
        <v>3</v>
      </c>
      <c r="B856" s="6" t="s">
        <v>2376</v>
      </c>
      <c r="C856" s="6" t="s">
        <v>1359</v>
      </c>
      <c r="D856" s="6" t="str">
        <f aca="false">A856&amp;"|"&amp;C856</f>
        <v>3|Galleon</v>
      </c>
      <c r="E856" s="6" t="s">
        <v>1558</v>
      </c>
      <c r="F856" s="6" t="s">
        <v>1542</v>
      </c>
      <c r="G856" s="6" t="str">
        <f aca="false">INDEX(Archetypes!$D$2:$D$127, MATCH(D856, Archetypes!$A$2:$A$127, 0))</f>
        <v>Naval Logistics</v>
      </c>
      <c r="H856" s="6" t="n">
        <f aca="false">ROUND(INDEX(Archetypes!$E$2:$E$127, MATCH(D856, Archetypes!$A$2:$A$127, 0))*INDEX(Unit_Grades!$B$2:$B$7, MATCH(F856, Unit_Grades!$A$2:$A$7, 0))*INDEX(Unit_Paths!$B$2:$B$4, MATCH(E856, Unit_Paths!$A$2:$A$4, 0)),1)</f>
        <v>95</v>
      </c>
      <c r="I856" s="6" t="n">
        <f aca="false">ROUND(INDEX(Archetypes!$F$2:$F$127, MATCH(D856, Archetypes!$A$2:$A$127, 0))*INDEX(Unit_Grades!$B$2:$B$7, MATCH(F856, Unit_Grades!$A$2:$A$7, 0))*INDEX(Unit_Paths!$C$2:$C$4, MATCH(E856, Unit_Paths!$A$2:$A$4, 0)),1)</f>
        <v>76.5</v>
      </c>
      <c r="J856" s="6" t="n">
        <f aca="false">ROUND(INDEX(Archetypes!$G$2:$G$127, MATCH(D856, Archetypes!$A$2:$A$127, 0))*INDEX(Unit_Grades!$B$2:$B$7, MATCH(F856, Unit_Grades!$A$2:$A$7, 0))*INDEX(Unit_Paths!$D$2:$D$4, MATCH(E856, Unit_Paths!$A$2:$A$4, 0)),0)</f>
        <v>547</v>
      </c>
      <c r="K856" s="6" t="n">
        <f aca="false">ROUND(INDEX(Archetypes!$H$2:$H$127, MATCH(D856, Archetypes!$A$2:$A$127, 0))*INDEX(Unit_Paths!$E$2:$E$4, MATCH(E856, Unit_Paths!$A$2:$A$4, 0)),1)</f>
        <v>23.1</v>
      </c>
      <c r="L856" s="6" t="n">
        <f aca="false">ROUND(INDEX(Archetypes!$I$2:$I$127, MATCH(D856, Archetypes!$A$2:$A$127, 0))*INDEX(Unit_Grades!$C$2:$C$7, MATCH(F856, Unit_Grades!$A$2:$A$7, 0)),1)</f>
        <v>19.2</v>
      </c>
      <c r="M856" s="6" t="n">
        <f aca="false">ROUND(INDEX(Archetypes!$J$2:$J$127, MATCH(D856, Archetypes!$A$2:$A$127, 0))*INDEX(Unit_Grades!$D$2:$D$7, MATCH(F856, Unit_Grades!$A$2:$A$7, 0)),1)</f>
        <v>12.2</v>
      </c>
      <c r="N856" s="6" t="n">
        <f aca="false">ROUND(M856/24,2)</f>
        <v>0.51</v>
      </c>
    </row>
    <row r="857" customFormat="false" ht="15" hidden="false" customHeight="true" outlineLevel="0" collapsed="false">
      <c r="A857" s="6" t="n">
        <v>3</v>
      </c>
      <c r="B857" s="6" t="s">
        <v>2377</v>
      </c>
      <c r="C857" s="6" t="s">
        <v>1359</v>
      </c>
      <c r="D857" s="6" t="str">
        <f aca="false">A857&amp;"|"&amp;C857</f>
        <v>3|Galleon</v>
      </c>
      <c r="E857" s="6" t="s">
        <v>1558</v>
      </c>
      <c r="F857" s="6" t="s">
        <v>1544</v>
      </c>
      <c r="G857" s="6" t="str">
        <f aca="false">INDEX(Archetypes!$D$2:$D$127, MATCH(D857, Archetypes!$A$2:$A$127, 0))</f>
        <v>Naval Logistics</v>
      </c>
      <c r="H857" s="6" t="n">
        <f aca="false">ROUND(INDEX(Archetypes!$E$2:$E$127, MATCH(D857, Archetypes!$A$2:$A$127, 0))*INDEX(Unit_Grades!$B$2:$B$7, MATCH(F857, Unit_Grades!$A$2:$A$7, 0))*INDEX(Unit_Paths!$B$2:$B$4, MATCH(E857, Unit_Paths!$A$2:$A$4, 0)),1)</f>
        <v>126.7</v>
      </c>
      <c r="I857" s="6" t="n">
        <f aca="false">ROUND(INDEX(Archetypes!$F$2:$F$127, MATCH(D857, Archetypes!$A$2:$A$127, 0))*INDEX(Unit_Grades!$B$2:$B$7, MATCH(F857, Unit_Grades!$A$2:$A$7, 0))*INDEX(Unit_Paths!$C$2:$C$4, MATCH(E857, Unit_Paths!$A$2:$A$4, 0)),1)</f>
        <v>102</v>
      </c>
      <c r="J857" s="6" t="n">
        <f aca="false">ROUND(INDEX(Archetypes!$G$2:$G$127, MATCH(D857, Archetypes!$A$2:$A$127, 0))*INDEX(Unit_Grades!$B$2:$B$7, MATCH(F857, Unit_Grades!$A$2:$A$7, 0))*INDEX(Unit_Paths!$D$2:$D$4, MATCH(E857, Unit_Paths!$A$2:$A$4, 0)),0)</f>
        <v>730</v>
      </c>
      <c r="K857" s="6" t="n">
        <f aca="false">ROUND(INDEX(Archetypes!$H$2:$H$127, MATCH(D857, Archetypes!$A$2:$A$127, 0))*INDEX(Unit_Paths!$E$2:$E$4, MATCH(E857, Unit_Paths!$A$2:$A$4, 0)),1)</f>
        <v>23.1</v>
      </c>
      <c r="L857" s="6" t="n">
        <f aca="false">ROUND(INDEX(Archetypes!$I$2:$I$127, MATCH(D857, Archetypes!$A$2:$A$127, 0))*INDEX(Unit_Grades!$C$2:$C$7, MATCH(F857, Unit_Grades!$A$2:$A$7, 0)),1)</f>
        <v>25.2</v>
      </c>
      <c r="M857" s="6" t="n">
        <f aca="false">ROUND(INDEX(Archetypes!$J$2:$J$127, MATCH(D857, Archetypes!$A$2:$A$127, 0))*INDEX(Unit_Grades!$D$2:$D$7, MATCH(F857, Unit_Grades!$A$2:$A$7, 0)),1)</f>
        <v>19.5</v>
      </c>
      <c r="N857" s="6" t="n">
        <f aca="false">ROUND(M857/24,2)</f>
        <v>0.81</v>
      </c>
    </row>
    <row r="858" customFormat="false" ht="15" hidden="false" customHeight="true" outlineLevel="0" collapsed="false">
      <c r="A858" s="6" t="n">
        <v>3</v>
      </c>
      <c r="B858" s="6" t="s">
        <v>2378</v>
      </c>
      <c r="C858" s="6" t="s">
        <v>1359</v>
      </c>
      <c r="D858" s="6" t="str">
        <f aca="false">A858&amp;"|"&amp;C858</f>
        <v>3|Galleon</v>
      </c>
      <c r="E858" s="6" t="s">
        <v>1558</v>
      </c>
      <c r="F858" s="6" t="s">
        <v>1546</v>
      </c>
      <c r="G858" s="6" t="str">
        <f aca="false">INDEX(Archetypes!$D$2:$D$127, MATCH(D858, Archetypes!$A$2:$A$127, 0))</f>
        <v>Naval Logistics</v>
      </c>
      <c r="H858" s="6" t="n">
        <f aca="false">ROUND(INDEX(Archetypes!$E$2:$E$127, MATCH(D858, Archetypes!$A$2:$A$127, 0))*INDEX(Unit_Grades!$B$2:$B$7, MATCH(F858, Unit_Grades!$A$2:$A$7, 0))*INDEX(Unit_Paths!$B$2:$B$4, MATCH(E858, Unit_Paths!$A$2:$A$4, 0)),1)</f>
        <v>169</v>
      </c>
      <c r="I858" s="6" t="n">
        <f aca="false">ROUND(INDEX(Archetypes!$F$2:$F$127, MATCH(D858, Archetypes!$A$2:$A$127, 0))*INDEX(Unit_Grades!$B$2:$B$7, MATCH(F858, Unit_Grades!$A$2:$A$7, 0))*INDEX(Unit_Paths!$C$2:$C$4, MATCH(E858, Unit_Paths!$A$2:$A$4, 0)),1)</f>
        <v>136</v>
      </c>
      <c r="J858" s="6" t="n">
        <f aca="false">ROUND(INDEX(Archetypes!$G$2:$G$127, MATCH(D858, Archetypes!$A$2:$A$127, 0))*INDEX(Unit_Grades!$B$2:$B$7, MATCH(F858, Unit_Grades!$A$2:$A$7, 0))*INDEX(Unit_Paths!$D$2:$D$4, MATCH(E858, Unit_Paths!$A$2:$A$4, 0)),0)</f>
        <v>973</v>
      </c>
      <c r="K858" s="6" t="n">
        <f aca="false">ROUND(INDEX(Archetypes!$H$2:$H$127, MATCH(D858, Archetypes!$A$2:$A$127, 0))*INDEX(Unit_Paths!$E$2:$E$4, MATCH(E858, Unit_Paths!$A$2:$A$4, 0)),1)</f>
        <v>23.1</v>
      </c>
      <c r="L858" s="6" t="n">
        <f aca="false">ROUND(INDEX(Archetypes!$I$2:$I$127, MATCH(D858, Archetypes!$A$2:$A$127, 0))*INDEX(Unit_Grades!$C$2:$C$7, MATCH(F858, Unit_Grades!$A$2:$A$7, 0)),1)</f>
        <v>33.6</v>
      </c>
      <c r="M858" s="6" t="n">
        <f aca="false">ROUND(INDEX(Archetypes!$J$2:$J$127, MATCH(D858, Archetypes!$A$2:$A$127, 0))*INDEX(Unit_Grades!$D$2:$D$7, MATCH(F858, Unit_Grades!$A$2:$A$7, 0)),1)</f>
        <v>34.1</v>
      </c>
      <c r="N858" s="6" t="n">
        <f aca="false">ROUND(M858/24,2)</f>
        <v>1.42</v>
      </c>
    </row>
    <row r="859" customFormat="false" ht="15" hidden="false" customHeight="true" outlineLevel="0" collapsed="false">
      <c r="A859" s="6" t="n">
        <v>3</v>
      </c>
      <c r="B859" s="6" t="s">
        <v>2379</v>
      </c>
      <c r="C859" s="6" t="s">
        <v>1359</v>
      </c>
      <c r="D859" s="6" t="str">
        <f aca="false">A859&amp;"|"&amp;C859</f>
        <v>3|Galleon</v>
      </c>
      <c r="E859" s="6" t="s">
        <v>1558</v>
      </c>
      <c r="F859" s="6" t="s">
        <v>1548</v>
      </c>
      <c r="G859" s="6" t="str">
        <f aca="false">INDEX(Archetypes!$D$2:$D$127, MATCH(D859, Archetypes!$A$2:$A$127, 0))</f>
        <v>Naval Logistics</v>
      </c>
      <c r="H859" s="6" t="n">
        <f aca="false">ROUND(INDEX(Archetypes!$E$2:$E$127, MATCH(D859, Archetypes!$A$2:$A$127, 0))*INDEX(Unit_Grades!$B$2:$B$7, MATCH(F859, Unit_Grades!$A$2:$A$7, 0))*INDEX(Unit_Paths!$B$2:$B$4, MATCH(E859, Unit_Paths!$A$2:$A$4, 0)),1)</f>
        <v>221.8</v>
      </c>
      <c r="I859" s="6" t="n">
        <f aca="false">ROUND(INDEX(Archetypes!$F$2:$F$127, MATCH(D859, Archetypes!$A$2:$A$127, 0))*INDEX(Unit_Grades!$B$2:$B$7, MATCH(F859, Unit_Grades!$A$2:$A$7, 0))*INDEX(Unit_Paths!$C$2:$C$4, MATCH(E859, Unit_Paths!$A$2:$A$4, 0)),1)</f>
        <v>178.5</v>
      </c>
      <c r="J859" s="6" t="n">
        <f aca="false">ROUND(INDEX(Archetypes!$G$2:$G$127, MATCH(D859, Archetypes!$A$2:$A$127, 0))*INDEX(Unit_Grades!$B$2:$B$7, MATCH(F859, Unit_Grades!$A$2:$A$7, 0))*INDEX(Unit_Paths!$D$2:$D$4, MATCH(E859, Unit_Paths!$A$2:$A$4, 0)),0)</f>
        <v>1277</v>
      </c>
      <c r="K859" s="6" t="n">
        <f aca="false">ROUND(INDEX(Archetypes!$H$2:$H$127, MATCH(D859, Archetypes!$A$2:$A$127, 0))*INDEX(Unit_Paths!$E$2:$E$4, MATCH(E859, Unit_Paths!$A$2:$A$4, 0)),1)</f>
        <v>23.1</v>
      </c>
      <c r="L859" s="6" t="n">
        <f aca="false">ROUND(INDEX(Archetypes!$I$2:$I$127, MATCH(D859, Archetypes!$A$2:$A$127, 0))*INDEX(Unit_Grades!$C$2:$C$7, MATCH(F859, Unit_Grades!$A$2:$A$7, 0)),1)</f>
        <v>44.4</v>
      </c>
      <c r="M859" s="6" t="n">
        <f aca="false">ROUND(INDEX(Archetypes!$J$2:$J$127, MATCH(D859, Archetypes!$A$2:$A$127, 0))*INDEX(Unit_Grades!$D$2:$D$7, MATCH(F859, Unit_Grades!$A$2:$A$7, 0)),1)</f>
        <v>58.4</v>
      </c>
      <c r="N859" s="6" t="n">
        <f aca="false">ROUND(M859/24,2)</f>
        <v>2.43</v>
      </c>
    </row>
    <row r="860" customFormat="false" ht="15" hidden="false" customHeight="true" outlineLevel="0" collapsed="false">
      <c r="A860" s="6" t="n">
        <v>3</v>
      </c>
      <c r="B860" s="6" t="s">
        <v>2380</v>
      </c>
      <c r="C860" s="6" t="s">
        <v>1359</v>
      </c>
      <c r="D860" s="6" t="str">
        <f aca="false">A860&amp;"|"&amp;C860</f>
        <v>3|Galleon</v>
      </c>
      <c r="E860" s="6" t="s">
        <v>1560</v>
      </c>
      <c r="F860" s="6" t="s">
        <v>1538</v>
      </c>
      <c r="G860" s="6" t="str">
        <f aca="false">INDEX(Archetypes!$D$2:$D$127, MATCH(D860, Archetypes!$A$2:$A$127, 0))</f>
        <v>Naval Logistics</v>
      </c>
      <c r="H860" s="6" t="n">
        <f aca="false">ROUND(INDEX(Archetypes!$E$2:$E$127, MATCH(D860, Archetypes!$A$2:$A$127, 0))*INDEX(Unit_Grades!$B$2:$B$7, MATCH(F860, Unit_Grades!$A$2:$A$7, 0))*INDEX(Unit_Paths!$B$2:$B$4, MATCH(E860, Unit_Paths!$A$2:$A$4, 0)),1)</f>
        <v>37.4</v>
      </c>
      <c r="I860" s="6" t="n">
        <f aca="false">ROUND(INDEX(Archetypes!$F$2:$F$127, MATCH(D860, Archetypes!$A$2:$A$127, 0))*INDEX(Unit_Grades!$B$2:$B$7, MATCH(F860, Unit_Grades!$A$2:$A$7, 0))*INDEX(Unit_Paths!$C$2:$C$4, MATCH(E860, Unit_Paths!$A$2:$A$4, 0)),1)</f>
        <v>62.5</v>
      </c>
      <c r="J860" s="6" t="n">
        <f aca="false">ROUND(INDEX(Archetypes!$G$2:$G$127, MATCH(D860, Archetypes!$A$2:$A$127, 0))*INDEX(Unit_Grades!$B$2:$B$7, MATCH(F860, Unit_Grades!$A$2:$A$7, 0))*INDEX(Unit_Paths!$D$2:$D$4, MATCH(E860, Unit_Paths!$A$2:$A$4, 0)),0)</f>
        <v>368</v>
      </c>
      <c r="K860" s="6" t="n">
        <f aca="false">ROUND(INDEX(Archetypes!$H$2:$H$127, MATCH(D860, Archetypes!$A$2:$A$127, 0))*INDEX(Unit_Paths!$E$2:$E$4, MATCH(E860, Unit_Paths!$A$2:$A$4, 0)),1)</f>
        <v>20.2</v>
      </c>
      <c r="L860" s="6" t="n">
        <f aca="false">ROUND(INDEX(Archetypes!$I$2:$I$127, MATCH(D860, Archetypes!$A$2:$A$127, 0))*INDEX(Unit_Grades!$C$2:$C$7, MATCH(F860, Unit_Grades!$A$2:$A$7, 0)),1)</f>
        <v>12</v>
      </c>
      <c r="M860" s="6" t="n">
        <f aca="false">ROUND(INDEX(Archetypes!$J$2:$J$127, MATCH(D860, Archetypes!$A$2:$A$127, 0))*INDEX(Unit_Grades!$D$2:$D$7, MATCH(F860, Unit_Grades!$A$2:$A$7, 0)),1)</f>
        <v>4.9</v>
      </c>
      <c r="N860" s="6" t="n">
        <f aca="false">ROUND(M860/24,2)</f>
        <v>0.2</v>
      </c>
    </row>
    <row r="861" customFormat="false" ht="15" hidden="false" customHeight="true" outlineLevel="0" collapsed="false">
      <c r="A861" s="6" t="n">
        <v>3</v>
      </c>
      <c r="B861" s="6" t="s">
        <v>2381</v>
      </c>
      <c r="C861" s="6" t="s">
        <v>1359</v>
      </c>
      <c r="D861" s="6" t="str">
        <f aca="false">A861&amp;"|"&amp;C861</f>
        <v>3|Galleon</v>
      </c>
      <c r="E861" s="6" t="s">
        <v>1560</v>
      </c>
      <c r="F861" s="6" t="s">
        <v>1540</v>
      </c>
      <c r="G861" s="6" t="str">
        <f aca="false">INDEX(Archetypes!$D$2:$D$127, MATCH(D861, Archetypes!$A$2:$A$127, 0))</f>
        <v>Naval Logistics</v>
      </c>
      <c r="H861" s="6" t="n">
        <f aca="false">ROUND(INDEX(Archetypes!$E$2:$E$127, MATCH(D861, Archetypes!$A$2:$A$127, 0))*INDEX(Unit_Grades!$B$2:$B$7, MATCH(F861, Unit_Grades!$A$2:$A$7, 0))*INDEX(Unit_Paths!$B$2:$B$4, MATCH(E861, Unit_Paths!$A$2:$A$4, 0)),1)</f>
        <v>50.5</v>
      </c>
      <c r="I861" s="6" t="n">
        <f aca="false">ROUND(INDEX(Archetypes!$F$2:$F$127, MATCH(D861, Archetypes!$A$2:$A$127, 0))*INDEX(Unit_Grades!$B$2:$B$7, MATCH(F861, Unit_Grades!$A$2:$A$7, 0))*INDEX(Unit_Paths!$C$2:$C$4, MATCH(E861, Unit_Paths!$A$2:$A$4, 0)),1)</f>
        <v>84.4</v>
      </c>
      <c r="J861" s="6" t="n">
        <f aca="false">ROUND(INDEX(Archetypes!$G$2:$G$127, MATCH(D861, Archetypes!$A$2:$A$127, 0))*INDEX(Unit_Grades!$B$2:$B$7, MATCH(F861, Unit_Grades!$A$2:$A$7, 0))*INDEX(Unit_Paths!$D$2:$D$4, MATCH(E861, Unit_Paths!$A$2:$A$4, 0)),0)</f>
        <v>497</v>
      </c>
      <c r="K861" s="6" t="n">
        <f aca="false">ROUND(INDEX(Archetypes!$H$2:$H$127, MATCH(D861, Archetypes!$A$2:$A$127, 0))*INDEX(Unit_Paths!$E$2:$E$4, MATCH(E861, Unit_Paths!$A$2:$A$4, 0)),1)</f>
        <v>20.2</v>
      </c>
      <c r="L861" s="6" t="n">
        <f aca="false">ROUND(INDEX(Archetypes!$I$2:$I$127, MATCH(D861, Archetypes!$A$2:$A$127, 0))*INDEX(Unit_Grades!$C$2:$C$7, MATCH(F861, Unit_Grades!$A$2:$A$7, 0)),1)</f>
        <v>15</v>
      </c>
      <c r="M861" s="6" t="n">
        <f aca="false">ROUND(INDEX(Archetypes!$J$2:$J$127, MATCH(D861, Archetypes!$A$2:$A$127, 0))*INDEX(Unit_Grades!$D$2:$D$7, MATCH(F861, Unit_Grades!$A$2:$A$7, 0)),1)</f>
        <v>7.3</v>
      </c>
      <c r="N861" s="6" t="n">
        <f aca="false">ROUND(M861/24,2)</f>
        <v>0.3</v>
      </c>
    </row>
    <row r="862" customFormat="false" ht="15" hidden="false" customHeight="true" outlineLevel="0" collapsed="false">
      <c r="A862" s="6" t="n">
        <v>3</v>
      </c>
      <c r="B862" s="6" t="s">
        <v>2382</v>
      </c>
      <c r="C862" s="6" t="s">
        <v>1359</v>
      </c>
      <c r="D862" s="6" t="str">
        <f aca="false">A862&amp;"|"&amp;C862</f>
        <v>3|Galleon</v>
      </c>
      <c r="E862" s="6" t="s">
        <v>1560</v>
      </c>
      <c r="F862" s="6" t="s">
        <v>1542</v>
      </c>
      <c r="G862" s="6" t="str">
        <f aca="false">INDEX(Archetypes!$D$2:$D$127, MATCH(D862, Archetypes!$A$2:$A$127, 0))</f>
        <v>Naval Logistics</v>
      </c>
      <c r="H862" s="6" t="n">
        <f aca="false">ROUND(INDEX(Archetypes!$E$2:$E$127, MATCH(D862, Archetypes!$A$2:$A$127, 0))*INDEX(Unit_Grades!$B$2:$B$7, MATCH(F862, Unit_Grades!$A$2:$A$7, 0))*INDEX(Unit_Paths!$B$2:$B$4, MATCH(E862, Unit_Paths!$A$2:$A$4, 0)),1)</f>
        <v>67.3</v>
      </c>
      <c r="I862" s="6" t="n">
        <f aca="false">ROUND(INDEX(Archetypes!$F$2:$F$127, MATCH(D862, Archetypes!$A$2:$A$127, 0))*INDEX(Unit_Grades!$B$2:$B$7, MATCH(F862, Unit_Grades!$A$2:$A$7, 0))*INDEX(Unit_Paths!$C$2:$C$4, MATCH(E862, Unit_Paths!$A$2:$A$4, 0)),1)</f>
        <v>112.5</v>
      </c>
      <c r="J862" s="6" t="n">
        <f aca="false">ROUND(INDEX(Archetypes!$G$2:$G$127, MATCH(D862, Archetypes!$A$2:$A$127, 0))*INDEX(Unit_Grades!$B$2:$B$7, MATCH(F862, Unit_Grades!$A$2:$A$7, 0))*INDEX(Unit_Paths!$D$2:$D$4, MATCH(E862, Unit_Paths!$A$2:$A$4, 0)),0)</f>
        <v>662</v>
      </c>
      <c r="K862" s="6" t="n">
        <f aca="false">ROUND(INDEX(Archetypes!$H$2:$H$127, MATCH(D862, Archetypes!$A$2:$A$127, 0))*INDEX(Unit_Paths!$E$2:$E$4, MATCH(E862, Unit_Paths!$A$2:$A$4, 0)),1)</f>
        <v>20.2</v>
      </c>
      <c r="L862" s="6" t="n">
        <f aca="false">ROUND(INDEX(Archetypes!$I$2:$I$127, MATCH(D862, Archetypes!$A$2:$A$127, 0))*INDEX(Unit_Grades!$C$2:$C$7, MATCH(F862, Unit_Grades!$A$2:$A$7, 0)),1)</f>
        <v>19.2</v>
      </c>
      <c r="M862" s="6" t="n">
        <f aca="false">ROUND(INDEX(Archetypes!$J$2:$J$127, MATCH(D862, Archetypes!$A$2:$A$127, 0))*INDEX(Unit_Grades!$D$2:$D$7, MATCH(F862, Unit_Grades!$A$2:$A$7, 0)),1)</f>
        <v>12.2</v>
      </c>
      <c r="N862" s="6" t="n">
        <f aca="false">ROUND(M862/24,2)</f>
        <v>0.51</v>
      </c>
    </row>
    <row r="863" customFormat="false" ht="15" hidden="false" customHeight="true" outlineLevel="0" collapsed="false">
      <c r="A863" s="6" t="n">
        <v>3</v>
      </c>
      <c r="B863" s="6" t="s">
        <v>2383</v>
      </c>
      <c r="C863" s="6" t="s">
        <v>1359</v>
      </c>
      <c r="D863" s="6" t="str">
        <f aca="false">A863&amp;"|"&amp;C863</f>
        <v>3|Galleon</v>
      </c>
      <c r="E863" s="6" t="s">
        <v>1560</v>
      </c>
      <c r="F863" s="6" t="s">
        <v>1544</v>
      </c>
      <c r="G863" s="6" t="str">
        <f aca="false">INDEX(Archetypes!$D$2:$D$127, MATCH(D863, Archetypes!$A$2:$A$127, 0))</f>
        <v>Naval Logistics</v>
      </c>
      <c r="H863" s="6" t="n">
        <f aca="false">ROUND(INDEX(Archetypes!$E$2:$E$127, MATCH(D863, Archetypes!$A$2:$A$127, 0))*INDEX(Unit_Grades!$B$2:$B$7, MATCH(F863, Unit_Grades!$A$2:$A$7, 0))*INDEX(Unit_Paths!$B$2:$B$4, MATCH(E863, Unit_Paths!$A$2:$A$4, 0)),1)</f>
        <v>89.8</v>
      </c>
      <c r="I863" s="6" t="n">
        <f aca="false">ROUND(INDEX(Archetypes!$F$2:$F$127, MATCH(D863, Archetypes!$A$2:$A$127, 0))*INDEX(Unit_Grades!$B$2:$B$7, MATCH(F863, Unit_Grades!$A$2:$A$7, 0))*INDEX(Unit_Paths!$C$2:$C$4, MATCH(E863, Unit_Paths!$A$2:$A$4, 0)),1)</f>
        <v>150</v>
      </c>
      <c r="J863" s="6" t="n">
        <f aca="false">ROUND(INDEX(Archetypes!$G$2:$G$127, MATCH(D863, Archetypes!$A$2:$A$127, 0))*INDEX(Unit_Grades!$B$2:$B$7, MATCH(F863, Unit_Grades!$A$2:$A$7, 0))*INDEX(Unit_Paths!$D$2:$D$4, MATCH(E863, Unit_Paths!$A$2:$A$4, 0)),0)</f>
        <v>883</v>
      </c>
      <c r="K863" s="6" t="n">
        <f aca="false">ROUND(INDEX(Archetypes!$H$2:$H$127, MATCH(D863, Archetypes!$A$2:$A$127, 0))*INDEX(Unit_Paths!$E$2:$E$4, MATCH(E863, Unit_Paths!$A$2:$A$4, 0)),1)</f>
        <v>20.2</v>
      </c>
      <c r="L863" s="6" t="n">
        <f aca="false">ROUND(INDEX(Archetypes!$I$2:$I$127, MATCH(D863, Archetypes!$A$2:$A$127, 0))*INDEX(Unit_Grades!$C$2:$C$7, MATCH(F863, Unit_Grades!$A$2:$A$7, 0)),1)</f>
        <v>25.2</v>
      </c>
      <c r="M863" s="6" t="n">
        <f aca="false">ROUND(INDEX(Archetypes!$J$2:$J$127, MATCH(D863, Archetypes!$A$2:$A$127, 0))*INDEX(Unit_Grades!$D$2:$D$7, MATCH(F863, Unit_Grades!$A$2:$A$7, 0)),1)</f>
        <v>19.5</v>
      </c>
      <c r="N863" s="6" t="n">
        <f aca="false">ROUND(M863/24,2)</f>
        <v>0.81</v>
      </c>
    </row>
    <row r="864" customFormat="false" ht="15" hidden="false" customHeight="true" outlineLevel="0" collapsed="false">
      <c r="A864" s="6" t="n">
        <v>3</v>
      </c>
      <c r="B864" s="6" t="s">
        <v>2384</v>
      </c>
      <c r="C864" s="6" t="s">
        <v>1359</v>
      </c>
      <c r="D864" s="6" t="str">
        <f aca="false">A864&amp;"|"&amp;C864</f>
        <v>3|Galleon</v>
      </c>
      <c r="E864" s="6" t="s">
        <v>1560</v>
      </c>
      <c r="F864" s="6" t="s">
        <v>1546</v>
      </c>
      <c r="G864" s="6" t="str">
        <f aca="false">INDEX(Archetypes!$D$2:$D$127, MATCH(D864, Archetypes!$A$2:$A$127, 0))</f>
        <v>Naval Logistics</v>
      </c>
      <c r="H864" s="6" t="n">
        <f aca="false">ROUND(INDEX(Archetypes!$E$2:$E$127, MATCH(D864, Archetypes!$A$2:$A$127, 0))*INDEX(Unit_Grades!$B$2:$B$7, MATCH(F864, Unit_Grades!$A$2:$A$7, 0))*INDEX(Unit_Paths!$B$2:$B$4, MATCH(E864, Unit_Paths!$A$2:$A$4, 0)),1)</f>
        <v>119.7</v>
      </c>
      <c r="I864" s="6" t="n">
        <f aca="false">ROUND(INDEX(Archetypes!$F$2:$F$127, MATCH(D864, Archetypes!$A$2:$A$127, 0))*INDEX(Unit_Grades!$B$2:$B$7, MATCH(F864, Unit_Grades!$A$2:$A$7, 0))*INDEX(Unit_Paths!$C$2:$C$4, MATCH(E864, Unit_Paths!$A$2:$A$4, 0)),1)</f>
        <v>200</v>
      </c>
      <c r="J864" s="6" t="n">
        <f aca="false">ROUND(INDEX(Archetypes!$G$2:$G$127, MATCH(D864, Archetypes!$A$2:$A$127, 0))*INDEX(Unit_Grades!$B$2:$B$7, MATCH(F864, Unit_Grades!$A$2:$A$7, 0))*INDEX(Unit_Paths!$D$2:$D$4, MATCH(E864, Unit_Paths!$A$2:$A$4, 0)),0)</f>
        <v>1178</v>
      </c>
      <c r="K864" s="6" t="n">
        <f aca="false">ROUND(INDEX(Archetypes!$H$2:$H$127, MATCH(D864, Archetypes!$A$2:$A$127, 0))*INDEX(Unit_Paths!$E$2:$E$4, MATCH(E864, Unit_Paths!$A$2:$A$4, 0)),1)</f>
        <v>20.2</v>
      </c>
      <c r="L864" s="6" t="n">
        <f aca="false">ROUND(INDEX(Archetypes!$I$2:$I$127, MATCH(D864, Archetypes!$A$2:$A$127, 0))*INDEX(Unit_Grades!$C$2:$C$7, MATCH(F864, Unit_Grades!$A$2:$A$7, 0)),1)</f>
        <v>33.6</v>
      </c>
      <c r="M864" s="6" t="n">
        <f aca="false">ROUND(INDEX(Archetypes!$J$2:$J$127, MATCH(D864, Archetypes!$A$2:$A$127, 0))*INDEX(Unit_Grades!$D$2:$D$7, MATCH(F864, Unit_Grades!$A$2:$A$7, 0)),1)</f>
        <v>34.1</v>
      </c>
      <c r="N864" s="6" t="n">
        <f aca="false">ROUND(M864/24,2)</f>
        <v>1.42</v>
      </c>
    </row>
    <row r="865" customFormat="false" ht="15" hidden="false" customHeight="true" outlineLevel="0" collapsed="false">
      <c r="A865" s="6" t="n">
        <v>3</v>
      </c>
      <c r="B865" s="6" t="s">
        <v>2385</v>
      </c>
      <c r="C865" s="6" t="s">
        <v>1359</v>
      </c>
      <c r="D865" s="6" t="str">
        <f aca="false">A865&amp;"|"&amp;C865</f>
        <v>3|Galleon</v>
      </c>
      <c r="E865" s="6" t="s">
        <v>1560</v>
      </c>
      <c r="F865" s="6" t="s">
        <v>1548</v>
      </c>
      <c r="G865" s="6" t="str">
        <f aca="false">INDEX(Archetypes!$D$2:$D$127, MATCH(D865, Archetypes!$A$2:$A$127, 0))</f>
        <v>Naval Logistics</v>
      </c>
      <c r="H865" s="6" t="n">
        <f aca="false">ROUND(INDEX(Archetypes!$E$2:$E$127, MATCH(D865, Archetypes!$A$2:$A$127, 0))*INDEX(Unit_Grades!$B$2:$B$7, MATCH(F865, Unit_Grades!$A$2:$A$7, 0))*INDEX(Unit_Paths!$B$2:$B$4, MATCH(E865, Unit_Paths!$A$2:$A$4, 0)),1)</f>
        <v>157.1</v>
      </c>
      <c r="I865" s="6" t="n">
        <f aca="false">ROUND(INDEX(Archetypes!$F$2:$F$127, MATCH(D865, Archetypes!$A$2:$A$127, 0))*INDEX(Unit_Grades!$B$2:$B$7, MATCH(F865, Unit_Grades!$A$2:$A$7, 0))*INDEX(Unit_Paths!$C$2:$C$4, MATCH(E865, Unit_Paths!$A$2:$A$4, 0)),1)</f>
        <v>262.5</v>
      </c>
      <c r="J865" s="6" t="n">
        <f aca="false">ROUND(INDEX(Archetypes!$G$2:$G$127, MATCH(D865, Archetypes!$A$2:$A$127, 0))*INDEX(Unit_Grades!$B$2:$B$7, MATCH(F865, Unit_Grades!$A$2:$A$7, 0))*INDEX(Unit_Paths!$D$2:$D$4, MATCH(E865, Unit_Paths!$A$2:$A$4, 0)),0)</f>
        <v>1546</v>
      </c>
      <c r="K865" s="6" t="n">
        <f aca="false">ROUND(INDEX(Archetypes!$H$2:$H$127, MATCH(D865, Archetypes!$A$2:$A$127, 0))*INDEX(Unit_Paths!$E$2:$E$4, MATCH(E865, Unit_Paths!$A$2:$A$4, 0)),1)</f>
        <v>20.2</v>
      </c>
      <c r="L865" s="6" t="n">
        <f aca="false">ROUND(INDEX(Archetypes!$I$2:$I$127, MATCH(D865, Archetypes!$A$2:$A$127, 0))*INDEX(Unit_Grades!$C$2:$C$7, MATCH(F865, Unit_Grades!$A$2:$A$7, 0)),1)</f>
        <v>44.4</v>
      </c>
      <c r="M865" s="6" t="n">
        <f aca="false">ROUND(INDEX(Archetypes!$J$2:$J$127, MATCH(D865, Archetypes!$A$2:$A$127, 0))*INDEX(Unit_Grades!$D$2:$D$7, MATCH(F865, Unit_Grades!$A$2:$A$7, 0)),1)</f>
        <v>58.4</v>
      </c>
      <c r="N865" s="6" t="n">
        <f aca="false">ROUND(M865/24,2)</f>
        <v>2.43</v>
      </c>
    </row>
    <row r="866" customFormat="false" ht="15" hidden="false" customHeight="true" outlineLevel="0" collapsed="false">
      <c r="A866" s="6" t="n">
        <v>3</v>
      </c>
      <c r="B866" s="6" t="s">
        <v>1362</v>
      </c>
      <c r="C866" s="6" t="s">
        <v>1362</v>
      </c>
      <c r="D866" s="6" t="str">
        <f aca="false">A866&amp;"|"&amp;C866</f>
        <v>3|Ship of the Line</v>
      </c>
      <c r="E866" s="6" t="s">
        <v>1556</v>
      </c>
      <c r="F866" s="6" t="s">
        <v>1538</v>
      </c>
      <c r="G866" s="6" t="str">
        <f aca="false">INDEX(Archetypes!$D$2:$D$127, MATCH(D866, Archetypes!$A$2:$A$127, 0))</f>
        <v>Capital</v>
      </c>
      <c r="H866" s="6" t="n">
        <f aca="false">ROUND(INDEX(Archetypes!$E$2:$E$127, MATCH(D866, Archetypes!$A$2:$A$127, 0))*INDEX(Unit_Grades!$B$2:$B$7, MATCH(F866, Unit_Grades!$A$2:$A$7, 0))*INDEX(Unit_Paths!$B$2:$B$4, MATCH(E866, Unit_Paths!$A$2:$A$4, 0)),1)</f>
        <v>110</v>
      </c>
      <c r="I866" s="6" t="n">
        <f aca="false">ROUND(INDEX(Archetypes!$F$2:$F$127, MATCH(D866, Archetypes!$A$2:$A$127, 0))*INDEX(Unit_Grades!$B$2:$B$7, MATCH(F866, Unit_Grades!$A$2:$A$7, 0))*INDEX(Unit_Paths!$C$2:$C$4, MATCH(E866, Unit_Paths!$A$2:$A$4, 0)),1)</f>
        <v>70</v>
      </c>
      <c r="J866" s="6" t="n">
        <f aca="false">ROUND(INDEX(Archetypes!$G$2:$G$127, MATCH(D866, Archetypes!$A$2:$A$127, 0))*INDEX(Unit_Grades!$B$2:$B$7, MATCH(F866, Unit_Grades!$A$2:$A$7, 0))*INDEX(Unit_Paths!$D$2:$D$4, MATCH(E866, Unit_Paths!$A$2:$A$4, 0)),0)</f>
        <v>420</v>
      </c>
      <c r="K866" s="6" t="n">
        <f aca="false">ROUND(INDEX(Archetypes!$H$2:$H$127, MATCH(D866, Archetypes!$A$2:$A$127, 0))*INDEX(Unit_Paths!$E$2:$E$4, MATCH(E866, Unit_Paths!$A$2:$A$4, 0)),1)</f>
        <v>20</v>
      </c>
      <c r="L866" s="6" t="n">
        <f aca="false">ROUND(INDEX(Archetypes!$I$2:$I$127, MATCH(D866, Archetypes!$A$2:$A$127, 0))*INDEX(Unit_Grades!$C$2:$C$7, MATCH(F866, Unit_Grades!$A$2:$A$7, 0)),1)</f>
        <v>20</v>
      </c>
      <c r="M866" s="6" t="n">
        <f aca="false">ROUND(INDEX(Archetypes!$J$2:$J$127, MATCH(D866, Archetypes!$A$2:$A$127, 0))*INDEX(Unit_Grades!$D$2:$D$7, MATCH(F866, Unit_Grades!$A$2:$A$7, 0)),1)</f>
        <v>8.1</v>
      </c>
      <c r="N866" s="6" t="n">
        <f aca="false">ROUND(M866/24,2)</f>
        <v>0.34</v>
      </c>
    </row>
    <row r="867" customFormat="false" ht="15" hidden="false" customHeight="true" outlineLevel="0" collapsed="false">
      <c r="A867" s="6" t="n">
        <v>3</v>
      </c>
      <c r="B867" s="6" t="s">
        <v>2386</v>
      </c>
      <c r="C867" s="6" t="s">
        <v>1362</v>
      </c>
      <c r="D867" s="6" t="str">
        <f aca="false">A867&amp;"|"&amp;C867</f>
        <v>3|Ship of the Line</v>
      </c>
      <c r="E867" s="6" t="s">
        <v>1556</v>
      </c>
      <c r="F867" s="6" t="s">
        <v>1540</v>
      </c>
      <c r="G867" s="6" t="str">
        <f aca="false">INDEX(Archetypes!$D$2:$D$127, MATCH(D867, Archetypes!$A$2:$A$127, 0))</f>
        <v>Capital</v>
      </c>
      <c r="H867" s="6" t="n">
        <f aca="false">ROUND(INDEX(Archetypes!$E$2:$E$127, MATCH(D867, Archetypes!$A$2:$A$127, 0))*INDEX(Unit_Grades!$B$2:$B$7, MATCH(F867, Unit_Grades!$A$2:$A$7, 0))*INDEX(Unit_Paths!$B$2:$B$4, MATCH(E867, Unit_Paths!$A$2:$A$4, 0)),1)</f>
        <v>148.5</v>
      </c>
      <c r="I867" s="6" t="n">
        <f aca="false">ROUND(INDEX(Archetypes!$F$2:$F$127, MATCH(D867, Archetypes!$A$2:$A$127, 0))*INDEX(Unit_Grades!$B$2:$B$7, MATCH(F867, Unit_Grades!$A$2:$A$7, 0))*INDEX(Unit_Paths!$C$2:$C$4, MATCH(E867, Unit_Paths!$A$2:$A$4, 0)),1)</f>
        <v>94.5</v>
      </c>
      <c r="J867" s="6" t="n">
        <f aca="false">ROUND(INDEX(Archetypes!$G$2:$G$127, MATCH(D867, Archetypes!$A$2:$A$127, 0))*INDEX(Unit_Grades!$B$2:$B$7, MATCH(F867, Unit_Grades!$A$2:$A$7, 0))*INDEX(Unit_Paths!$D$2:$D$4, MATCH(E867, Unit_Paths!$A$2:$A$4, 0)),0)</f>
        <v>567</v>
      </c>
      <c r="K867" s="6" t="n">
        <f aca="false">ROUND(INDEX(Archetypes!$H$2:$H$127, MATCH(D867, Archetypes!$A$2:$A$127, 0))*INDEX(Unit_Paths!$E$2:$E$4, MATCH(E867, Unit_Paths!$A$2:$A$4, 0)),1)</f>
        <v>20</v>
      </c>
      <c r="L867" s="6" t="n">
        <f aca="false">ROUND(INDEX(Archetypes!$I$2:$I$127, MATCH(D867, Archetypes!$A$2:$A$127, 0))*INDEX(Unit_Grades!$C$2:$C$7, MATCH(F867, Unit_Grades!$A$2:$A$7, 0)),1)</f>
        <v>25</v>
      </c>
      <c r="M867" s="6" t="n">
        <f aca="false">ROUND(INDEX(Archetypes!$J$2:$J$127, MATCH(D867, Archetypes!$A$2:$A$127, 0))*INDEX(Unit_Grades!$D$2:$D$7, MATCH(F867, Unit_Grades!$A$2:$A$7, 0)),1)</f>
        <v>12.2</v>
      </c>
      <c r="N867" s="6" t="n">
        <f aca="false">ROUND(M867/24,2)</f>
        <v>0.51</v>
      </c>
    </row>
    <row r="868" customFormat="false" ht="15" hidden="false" customHeight="true" outlineLevel="0" collapsed="false">
      <c r="A868" s="6" t="n">
        <v>3</v>
      </c>
      <c r="B868" s="6" t="s">
        <v>2387</v>
      </c>
      <c r="C868" s="6" t="s">
        <v>1362</v>
      </c>
      <c r="D868" s="6" t="str">
        <f aca="false">A868&amp;"|"&amp;C868</f>
        <v>3|Ship of the Line</v>
      </c>
      <c r="E868" s="6" t="s">
        <v>1556</v>
      </c>
      <c r="F868" s="6" t="s">
        <v>1542</v>
      </c>
      <c r="G868" s="6" t="str">
        <f aca="false">INDEX(Archetypes!$D$2:$D$127, MATCH(D868, Archetypes!$A$2:$A$127, 0))</f>
        <v>Capital</v>
      </c>
      <c r="H868" s="6" t="n">
        <f aca="false">ROUND(INDEX(Archetypes!$E$2:$E$127, MATCH(D868, Archetypes!$A$2:$A$127, 0))*INDEX(Unit_Grades!$B$2:$B$7, MATCH(F868, Unit_Grades!$A$2:$A$7, 0))*INDEX(Unit_Paths!$B$2:$B$4, MATCH(E868, Unit_Paths!$A$2:$A$4, 0)),1)</f>
        <v>198</v>
      </c>
      <c r="I868" s="6" t="n">
        <f aca="false">ROUND(INDEX(Archetypes!$F$2:$F$127, MATCH(D868, Archetypes!$A$2:$A$127, 0))*INDEX(Unit_Grades!$B$2:$B$7, MATCH(F868, Unit_Grades!$A$2:$A$7, 0))*INDEX(Unit_Paths!$C$2:$C$4, MATCH(E868, Unit_Paths!$A$2:$A$4, 0)),1)</f>
        <v>126</v>
      </c>
      <c r="J868" s="6" t="n">
        <f aca="false">ROUND(INDEX(Archetypes!$G$2:$G$127, MATCH(D868, Archetypes!$A$2:$A$127, 0))*INDEX(Unit_Grades!$B$2:$B$7, MATCH(F868, Unit_Grades!$A$2:$A$7, 0))*INDEX(Unit_Paths!$D$2:$D$4, MATCH(E868, Unit_Paths!$A$2:$A$4, 0)),0)</f>
        <v>756</v>
      </c>
      <c r="K868" s="6" t="n">
        <f aca="false">ROUND(INDEX(Archetypes!$H$2:$H$127, MATCH(D868, Archetypes!$A$2:$A$127, 0))*INDEX(Unit_Paths!$E$2:$E$4, MATCH(E868, Unit_Paths!$A$2:$A$4, 0)),1)</f>
        <v>20</v>
      </c>
      <c r="L868" s="6" t="n">
        <f aca="false">ROUND(INDEX(Archetypes!$I$2:$I$127, MATCH(D868, Archetypes!$A$2:$A$127, 0))*INDEX(Unit_Grades!$C$2:$C$7, MATCH(F868, Unit_Grades!$A$2:$A$7, 0)),1)</f>
        <v>32</v>
      </c>
      <c r="M868" s="6" t="n">
        <f aca="false">ROUND(INDEX(Archetypes!$J$2:$J$127, MATCH(D868, Archetypes!$A$2:$A$127, 0))*INDEX(Unit_Grades!$D$2:$D$7, MATCH(F868, Unit_Grades!$A$2:$A$7, 0)),1)</f>
        <v>20.3</v>
      </c>
      <c r="N868" s="6" t="n">
        <f aca="false">ROUND(M868/24,2)</f>
        <v>0.85</v>
      </c>
    </row>
    <row r="869" customFormat="false" ht="15" hidden="false" customHeight="true" outlineLevel="0" collapsed="false">
      <c r="A869" s="6" t="n">
        <v>3</v>
      </c>
      <c r="B869" s="6" t="s">
        <v>2388</v>
      </c>
      <c r="C869" s="6" t="s">
        <v>1362</v>
      </c>
      <c r="D869" s="6" t="str">
        <f aca="false">A869&amp;"|"&amp;C869</f>
        <v>3|Ship of the Line</v>
      </c>
      <c r="E869" s="6" t="s">
        <v>1556</v>
      </c>
      <c r="F869" s="6" t="s">
        <v>1544</v>
      </c>
      <c r="G869" s="6" t="str">
        <f aca="false">INDEX(Archetypes!$D$2:$D$127, MATCH(D869, Archetypes!$A$2:$A$127, 0))</f>
        <v>Capital</v>
      </c>
      <c r="H869" s="6" t="n">
        <f aca="false">ROUND(INDEX(Archetypes!$E$2:$E$127, MATCH(D869, Archetypes!$A$2:$A$127, 0))*INDEX(Unit_Grades!$B$2:$B$7, MATCH(F869, Unit_Grades!$A$2:$A$7, 0))*INDEX(Unit_Paths!$B$2:$B$4, MATCH(E869, Unit_Paths!$A$2:$A$4, 0)),1)</f>
        <v>264</v>
      </c>
      <c r="I869" s="6" t="n">
        <f aca="false">ROUND(INDEX(Archetypes!$F$2:$F$127, MATCH(D869, Archetypes!$A$2:$A$127, 0))*INDEX(Unit_Grades!$B$2:$B$7, MATCH(F869, Unit_Grades!$A$2:$A$7, 0))*INDEX(Unit_Paths!$C$2:$C$4, MATCH(E869, Unit_Paths!$A$2:$A$4, 0)),1)</f>
        <v>168</v>
      </c>
      <c r="J869" s="6" t="n">
        <f aca="false">ROUND(INDEX(Archetypes!$G$2:$G$127, MATCH(D869, Archetypes!$A$2:$A$127, 0))*INDEX(Unit_Grades!$B$2:$B$7, MATCH(F869, Unit_Grades!$A$2:$A$7, 0))*INDEX(Unit_Paths!$D$2:$D$4, MATCH(E869, Unit_Paths!$A$2:$A$4, 0)),0)</f>
        <v>1008</v>
      </c>
      <c r="K869" s="6" t="n">
        <f aca="false">ROUND(INDEX(Archetypes!$H$2:$H$127, MATCH(D869, Archetypes!$A$2:$A$127, 0))*INDEX(Unit_Paths!$E$2:$E$4, MATCH(E869, Unit_Paths!$A$2:$A$4, 0)),1)</f>
        <v>20</v>
      </c>
      <c r="L869" s="6" t="n">
        <f aca="false">ROUND(INDEX(Archetypes!$I$2:$I$127, MATCH(D869, Archetypes!$A$2:$A$127, 0))*INDEX(Unit_Grades!$C$2:$C$7, MATCH(F869, Unit_Grades!$A$2:$A$7, 0)),1)</f>
        <v>42</v>
      </c>
      <c r="M869" s="6" t="n">
        <f aca="false">ROUND(INDEX(Archetypes!$J$2:$J$127, MATCH(D869, Archetypes!$A$2:$A$127, 0))*INDEX(Unit_Grades!$D$2:$D$7, MATCH(F869, Unit_Grades!$A$2:$A$7, 0)),1)</f>
        <v>32.5</v>
      </c>
      <c r="N869" s="6" t="n">
        <f aca="false">ROUND(M869/24,2)</f>
        <v>1.35</v>
      </c>
    </row>
    <row r="870" customFormat="false" ht="15" hidden="false" customHeight="true" outlineLevel="0" collapsed="false">
      <c r="A870" s="6" t="n">
        <v>3</v>
      </c>
      <c r="B870" s="6" t="s">
        <v>2389</v>
      </c>
      <c r="C870" s="6" t="s">
        <v>1362</v>
      </c>
      <c r="D870" s="6" t="str">
        <f aca="false">A870&amp;"|"&amp;C870</f>
        <v>3|Ship of the Line</v>
      </c>
      <c r="E870" s="6" t="s">
        <v>1556</v>
      </c>
      <c r="F870" s="6" t="s">
        <v>1546</v>
      </c>
      <c r="G870" s="6" t="str">
        <f aca="false">INDEX(Archetypes!$D$2:$D$127, MATCH(D870, Archetypes!$A$2:$A$127, 0))</f>
        <v>Capital</v>
      </c>
      <c r="H870" s="6" t="n">
        <f aca="false">ROUND(INDEX(Archetypes!$E$2:$E$127, MATCH(D870, Archetypes!$A$2:$A$127, 0))*INDEX(Unit_Grades!$B$2:$B$7, MATCH(F870, Unit_Grades!$A$2:$A$7, 0))*INDEX(Unit_Paths!$B$2:$B$4, MATCH(E870, Unit_Paths!$A$2:$A$4, 0)),1)</f>
        <v>352</v>
      </c>
      <c r="I870" s="6" t="n">
        <f aca="false">ROUND(INDEX(Archetypes!$F$2:$F$127, MATCH(D870, Archetypes!$A$2:$A$127, 0))*INDEX(Unit_Grades!$B$2:$B$7, MATCH(F870, Unit_Grades!$A$2:$A$7, 0))*INDEX(Unit_Paths!$C$2:$C$4, MATCH(E870, Unit_Paths!$A$2:$A$4, 0)),1)</f>
        <v>224</v>
      </c>
      <c r="J870" s="6" t="n">
        <f aca="false">ROUND(INDEX(Archetypes!$G$2:$G$127, MATCH(D870, Archetypes!$A$2:$A$127, 0))*INDEX(Unit_Grades!$B$2:$B$7, MATCH(F870, Unit_Grades!$A$2:$A$7, 0))*INDEX(Unit_Paths!$D$2:$D$4, MATCH(E870, Unit_Paths!$A$2:$A$4, 0)),0)</f>
        <v>1344</v>
      </c>
      <c r="K870" s="6" t="n">
        <f aca="false">ROUND(INDEX(Archetypes!$H$2:$H$127, MATCH(D870, Archetypes!$A$2:$A$127, 0))*INDEX(Unit_Paths!$E$2:$E$4, MATCH(E870, Unit_Paths!$A$2:$A$4, 0)),1)</f>
        <v>20</v>
      </c>
      <c r="L870" s="6" t="n">
        <f aca="false">ROUND(INDEX(Archetypes!$I$2:$I$127, MATCH(D870, Archetypes!$A$2:$A$127, 0))*INDEX(Unit_Grades!$C$2:$C$7, MATCH(F870, Unit_Grades!$A$2:$A$7, 0)),1)</f>
        <v>56</v>
      </c>
      <c r="M870" s="6" t="n">
        <f aca="false">ROUND(INDEX(Archetypes!$J$2:$J$127, MATCH(D870, Archetypes!$A$2:$A$127, 0))*INDEX(Unit_Grades!$D$2:$D$7, MATCH(F870, Unit_Grades!$A$2:$A$7, 0)),1)</f>
        <v>56.8</v>
      </c>
      <c r="N870" s="6" t="n">
        <f aca="false">ROUND(M870/24,2)</f>
        <v>2.37</v>
      </c>
    </row>
    <row r="871" customFormat="false" ht="15" hidden="false" customHeight="true" outlineLevel="0" collapsed="false">
      <c r="A871" s="6" t="n">
        <v>3</v>
      </c>
      <c r="B871" s="6" t="s">
        <v>2390</v>
      </c>
      <c r="C871" s="6" t="s">
        <v>1362</v>
      </c>
      <c r="D871" s="6" t="str">
        <f aca="false">A871&amp;"|"&amp;C871</f>
        <v>3|Ship of the Line</v>
      </c>
      <c r="E871" s="6" t="s">
        <v>1556</v>
      </c>
      <c r="F871" s="6" t="s">
        <v>1548</v>
      </c>
      <c r="G871" s="6" t="str">
        <f aca="false">INDEX(Archetypes!$D$2:$D$127, MATCH(D871, Archetypes!$A$2:$A$127, 0))</f>
        <v>Capital</v>
      </c>
      <c r="H871" s="6" t="n">
        <f aca="false">ROUND(INDEX(Archetypes!$E$2:$E$127, MATCH(D871, Archetypes!$A$2:$A$127, 0))*INDEX(Unit_Grades!$B$2:$B$7, MATCH(F871, Unit_Grades!$A$2:$A$7, 0))*INDEX(Unit_Paths!$B$2:$B$4, MATCH(E871, Unit_Paths!$A$2:$A$4, 0)),1)</f>
        <v>462</v>
      </c>
      <c r="I871" s="6" t="n">
        <f aca="false">ROUND(INDEX(Archetypes!$F$2:$F$127, MATCH(D871, Archetypes!$A$2:$A$127, 0))*INDEX(Unit_Grades!$B$2:$B$7, MATCH(F871, Unit_Grades!$A$2:$A$7, 0))*INDEX(Unit_Paths!$C$2:$C$4, MATCH(E871, Unit_Paths!$A$2:$A$4, 0)),1)</f>
        <v>294</v>
      </c>
      <c r="J871" s="6" t="n">
        <f aca="false">ROUND(INDEX(Archetypes!$G$2:$G$127, MATCH(D871, Archetypes!$A$2:$A$127, 0))*INDEX(Unit_Grades!$B$2:$B$7, MATCH(F871, Unit_Grades!$A$2:$A$7, 0))*INDEX(Unit_Paths!$D$2:$D$4, MATCH(E871, Unit_Paths!$A$2:$A$4, 0)),0)</f>
        <v>1764</v>
      </c>
      <c r="K871" s="6" t="n">
        <f aca="false">ROUND(INDEX(Archetypes!$H$2:$H$127, MATCH(D871, Archetypes!$A$2:$A$127, 0))*INDEX(Unit_Paths!$E$2:$E$4, MATCH(E871, Unit_Paths!$A$2:$A$4, 0)),1)</f>
        <v>20</v>
      </c>
      <c r="L871" s="6" t="n">
        <f aca="false">ROUND(INDEX(Archetypes!$I$2:$I$127, MATCH(D871, Archetypes!$A$2:$A$127, 0))*INDEX(Unit_Grades!$C$2:$C$7, MATCH(F871, Unit_Grades!$A$2:$A$7, 0)),1)</f>
        <v>74</v>
      </c>
      <c r="M871" s="6" t="n">
        <f aca="false">ROUND(INDEX(Archetypes!$J$2:$J$127, MATCH(D871, Archetypes!$A$2:$A$127, 0))*INDEX(Unit_Grades!$D$2:$D$7, MATCH(F871, Unit_Grades!$A$2:$A$7, 0)),1)</f>
        <v>97.4</v>
      </c>
      <c r="N871" s="6" t="n">
        <f aca="false">ROUND(M871/24,2)</f>
        <v>4.06</v>
      </c>
    </row>
    <row r="872" customFormat="false" ht="15" hidden="false" customHeight="true" outlineLevel="0" collapsed="false">
      <c r="A872" s="6" t="n">
        <v>3</v>
      </c>
      <c r="B872" s="6" t="s">
        <v>2391</v>
      </c>
      <c r="C872" s="6" t="s">
        <v>1362</v>
      </c>
      <c r="D872" s="6" t="str">
        <f aca="false">A872&amp;"|"&amp;C872</f>
        <v>3|Ship of the Line</v>
      </c>
      <c r="E872" s="6" t="s">
        <v>1558</v>
      </c>
      <c r="F872" s="6" t="s">
        <v>1538</v>
      </c>
      <c r="G872" s="6" t="str">
        <f aca="false">INDEX(Archetypes!$D$2:$D$127, MATCH(D872, Archetypes!$A$2:$A$127, 0))</f>
        <v>Capital</v>
      </c>
      <c r="H872" s="6" t="n">
        <f aca="false">ROUND(INDEX(Archetypes!$E$2:$E$127, MATCH(D872, Archetypes!$A$2:$A$127, 0))*INDEX(Unit_Grades!$B$2:$B$7, MATCH(F872, Unit_Grades!$A$2:$A$7, 0))*INDEX(Unit_Paths!$B$2:$B$4, MATCH(E872, Unit_Paths!$A$2:$A$4, 0)),1)</f>
        <v>132</v>
      </c>
      <c r="I872" s="6" t="n">
        <f aca="false">ROUND(INDEX(Archetypes!$F$2:$F$127, MATCH(D872, Archetypes!$A$2:$A$127, 0))*INDEX(Unit_Grades!$B$2:$B$7, MATCH(F872, Unit_Grades!$A$2:$A$7, 0))*INDEX(Unit_Paths!$C$2:$C$4, MATCH(E872, Unit_Paths!$A$2:$A$4, 0)),1)</f>
        <v>59.5</v>
      </c>
      <c r="J872" s="6" t="n">
        <f aca="false">ROUND(INDEX(Archetypes!$G$2:$G$127, MATCH(D872, Archetypes!$A$2:$A$127, 0))*INDEX(Unit_Grades!$B$2:$B$7, MATCH(F872, Unit_Grades!$A$2:$A$7, 0))*INDEX(Unit_Paths!$D$2:$D$4, MATCH(E872, Unit_Paths!$A$2:$A$4, 0)),0)</f>
        <v>399</v>
      </c>
      <c r="K872" s="6" t="n">
        <f aca="false">ROUND(INDEX(Archetypes!$H$2:$H$127, MATCH(D872, Archetypes!$A$2:$A$127, 0))*INDEX(Unit_Paths!$E$2:$E$4, MATCH(E872, Unit_Paths!$A$2:$A$4, 0)),1)</f>
        <v>21</v>
      </c>
      <c r="L872" s="6" t="n">
        <f aca="false">ROUND(INDEX(Archetypes!$I$2:$I$127, MATCH(D872, Archetypes!$A$2:$A$127, 0))*INDEX(Unit_Grades!$C$2:$C$7, MATCH(F872, Unit_Grades!$A$2:$A$7, 0)),1)</f>
        <v>20</v>
      </c>
      <c r="M872" s="6" t="n">
        <f aca="false">ROUND(INDEX(Archetypes!$J$2:$J$127, MATCH(D872, Archetypes!$A$2:$A$127, 0))*INDEX(Unit_Grades!$D$2:$D$7, MATCH(F872, Unit_Grades!$A$2:$A$7, 0)),1)</f>
        <v>8.1</v>
      </c>
      <c r="N872" s="6" t="n">
        <f aca="false">ROUND(M872/24,2)</f>
        <v>0.34</v>
      </c>
    </row>
    <row r="873" customFormat="false" ht="15" hidden="false" customHeight="true" outlineLevel="0" collapsed="false">
      <c r="A873" s="6" t="n">
        <v>3</v>
      </c>
      <c r="B873" s="6" t="s">
        <v>2392</v>
      </c>
      <c r="C873" s="6" t="s">
        <v>1362</v>
      </c>
      <c r="D873" s="6" t="str">
        <f aca="false">A873&amp;"|"&amp;C873</f>
        <v>3|Ship of the Line</v>
      </c>
      <c r="E873" s="6" t="s">
        <v>1558</v>
      </c>
      <c r="F873" s="6" t="s">
        <v>1540</v>
      </c>
      <c r="G873" s="6" t="str">
        <f aca="false">INDEX(Archetypes!$D$2:$D$127, MATCH(D873, Archetypes!$A$2:$A$127, 0))</f>
        <v>Capital</v>
      </c>
      <c r="H873" s="6" t="n">
        <f aca="false">ROUND(INDEX(Archetypes!$E$2:$E$127, MATCH(D873, Archetypes!$A$2:$A$127, 0))*INDEX(Unit_Grades!$B$2:$B$7, MATCH(F873, Unit_Grades!$A$2:$A$7, 0))*INDEX(Unit_Paths!$B$2:$B$4, MATCH(E873, Unit_Paths!$A$2:$A$4, 0)),1)</f>
        <v>178.2</v>
      </c>
      <c r="I873" s="6" t="n">
        <f aca="false">ROUND(INDEX(Archetypes!$F$2:$F$127, MATCH(D873, Archetypes!$A$2:$A$127, 0))*INDEX(Unit_Grades!$B$2:$B$7, MATCH(F873, Unit_Grades!$A$2:$A$7, 0))*INDEX(Unit_Paths!$C$2:$C$4, MATCH(E873, Unit_Paths!$A$2:$A$4, 0)),1)</f>
        <v>80.3</v>
      </c>
      <c r="J873" s="6" t="n">
        <f aca="false">ROUND(INDEX(Archetypes!$G$2:$G$127, MATCH(D873, Archetypes!$A$2:$A$127, 0))*INDEX(Unit_Grades!$B$2:$B$7, MATCH(F873, Unit_Grades!$A$2:$A$7, 0))*INDEX(Unit_Paths!$D$2:$D$4, MATCH(E873, Unit_Paths!$A$2:$A$4, 0)),0)</f>
        <v>539</v>
      </c>
      <c r="K873" s="6" t="n">
        <f aca="false">ROUND(INDEX(Archetypes!$H$2:$H$127, MATCH(D873, Archetypes!$A$2:$A$127, 0))*INDEX(Unit_Paths!$E$2:$E$4, MATCH(E873, Unit_Paths!$A$2:$A$4, 0)),1)</f>
        <v>21</v>
      </c>
      <c r="L873" s="6" t="n">
        <f aca="false">ROUND(INDEX(Archetypes!$I$2:$I$127, MATCH(D873, Archetypes!$A$2:$A$127, 0))*INDEX(Unit_Grades!$C$2:$C$7, MATCH(F873, Unit_Grades!$A$2:$A$7, 0)),1)</f>
        <v>25</v>
      </c>
      <c r="M873" s="6" t="n">
        <f aca="false">ROUND(INDEX(Archetypes!$J$2:$J$127, MATCH(D873, Archetypes!$A$2:$A$127, 0))*INDEX(Unit_Grades!$D$2:$D$7, MATCH(F873, Unit_Grades!$A$2:$A$7, 0)),1)</f>
        <v>12.2</v>
      </c>
      <c r="N873" s="6" t="n">
        <f aca="false">ROUND(M873/24,2)</f>
        <v>0.51</v>
      </c>
    </row>
    <row r="874" customFormat="false" ht="15" hidden="false" customHeight="true" outlineLevel="0" collapsed="false">
      <c r="A874" s="6" t="n">
        <v>3</v>
      </c>
      <c r="B874" s="6" t="s">
        <v>2393</v>
      </c>
      <c r="C874" s="6" t="s">
        <v>1362</v>
      </c>
      <c r="D874" s="6" t="str">
        <f aca="false">A874&amp;"|"&amp;C874</f>
        <v>3|Ship of the Line</v>
      </c>
      <c r="E874" s="6" t="s">
        <v>1558</v>
      </c>
      <c r="F874" s="6" t="s">
        <v>1542</v>
      </c>
      <c r="G874" s="6" t="str">
        <f aca="false">INDEX(Archetypes!$D$2:$D$127, MATCH(D874, Archetypes!$A$2:$A$127, 0))</f>
        <v>Capital</v>
      </c>
      <c r="H874" s="6" t="n">
        <f aca="false">ROUND(INDEX(Archetypes!$E$2:$E$127, MATCH(D874, Archetypes!$A$2:$A$127, 0))*INDEX(Unit_Grades!$B$2:$B$7, MATCH(F874, Unit_Grades!$A$2:$A$7, 0))*INDEX(Unit_Paths!$B$2:$B$4, MATCH(E874, Unit_Paths!$A$2:$A$4, 0)),1)</f>
        <v>237.6</v>
      </c>
      <c r="I874" s="6" t="n">
        <f aca="false">ROUND(INDEX(Archetypes!$F$2:$F$127, MATCH(D874, Archetypes!$A$2:$A$127, 0))*INDEX(Unit_Grades!$B$2:$B$7, MATCH(F874, Unit_Grades!$A$2:$A$7, 0))*INDEX(Unit_Paths!$C$2:$C$4, MATCH(E874, Unit_Paths!$A$2:$A$4, 0)),1)</f>
        <v>107.1</v>
      </c>
      <c r="J874" s="6" t="n">
        <f aca="false">ROUND(INDEX(Archetypes!$G$2:$G$127, MATCH(D874, Archetypes!$A$2:$A$127, 0))*INDEX(Unit_Grades!$B$2:$B$7, MATCH(F874, Unit_Grades!$A$2:$A$7, 0))*INDEX(Unit_Paths!$D$2:$D$4, MATCH(E874, Unit_Paths!$A$2:$A$4, 0)),0)</f>
        <v>718</v>
      </c>
      <c r="K874" s="6" t="n">
        <f aca="false">ROUND(INDEX(Archetypes!$H$2:$H$127, MATCH(D874, Archetypes!$A$2:$A$127, 0))*INDEX(Unit_Paths!$E$2:$E$4, MATCH(E874, Unit_Paths!$A$2:$A$4, 0)),1)</f>
        <v>21</v>
      </c>
      <c r="L874" s="6" t="n">
        <f aca="false">ROUND(INDEX(Archetypes!$I$2:$I$127, MATCH(D874, Archetypes!$A$2:$A$127, 0))*INDEX(Unit_Grades!$C$2:$C$7, MATCH(F874, Unit_Grades!$A$2:$A$7, 0)),1)</f>
        <v>32</v>
      </c>
      <c r="M874" s="6" t="n">
        <f aca="false">ROUND(INDEX(Archetypes!$J$2:$J$127, MATCH(D874, Archetypes!$A$2:$A$127, 0))*INDEX(Unit_Grades!$D$2:$D$7, MATCH(F874, Unit_Grades!$A$2:$A$7, 0)),1)</f>
        <v>20.3</v>
      </c>
      <c r="N874" s="6" t="n">
        <f aca="false">ROUND(M874/24,2)</f>
        <v>0.85</v>
      </c>
    </row>
    <row r="875" customFormat="false" ht="15" hidden="false" customHeight="true" outlineLevel="0" collapsed="false">
      <c r="A875" s="6" t="n">
        <v>3</v>
      </c>
      <c r="B875" s="6" t="s">
        <v>2394</v>
      </c>
      <c r="C875" s="6" t="s">
        <v>1362</v>
      </c>
      <c r="D875" s="6" t="str">
        <f aca="false">A875&amp;"|"&amp;C875</f>
        <v>3|Ship of the Line</v>
      </c>
      <c r="E875" s="6" t="s">
        <v>1558</v>
      </c>
      <c r="F875" s="6" t="s">
        <v>1544</v>
      </c>
      <c r="G875" s="6" t="str">
        <f aca="false">INDEX(Archetypes!$D$2:$D$127, MATCH(D875, Archetypes!$A$2:$A$127, 0))</f>
        <v>Capital</v>
      </c>
      <c r="H875" s="6" t="n">
        <f aca="false">ROUND(INDEX(Archetypes!$E$2:$E$127, MATCH(D875, Archetypes!$A$2:$A$127, 0))*INDEX(Unit_Grades!$B$2:$B$7, MATCH(F875, Unit_Grades!$A$2:$A$7, 0))*INDEX(Unit_Paths!$B$2:$B$4, MATCH(E875, Unit_Paths!$A$2:$A$4, 0)),1)</f>
        <v>316.8</v>
      </c>
      <c r="I875" s="6" t="n">
        <f aca="false">ROUND(INDEX(Archetypes!$F$2:$F$127, MATCH(D875, Archetypes!$A$2:$A$127, 0))*INDEX(Unit_Grades!$B$2:$B$7, MATCH(F875, Unit_Grades!$A$2:$A$7, 0))*INDEX(Unit_Paths!$C$2:$C$4, MATCH(E875, Unit_Paths!$A$2:$A$4, 0)),1)</f>
        <v>142.8</v>
      </c>
      <c r="J875" s="6" t="n">
        <f aca="false">ROUND(INDEX(Archetypes!$G$2:$G$127, MATCH(D875, Archetypes!$A$2:$A$127, 0))*INDEX(Unit_Grades!$B$2:$B$7, MATCH(F875, Unit_Grades!$A$2:$A$7, 0))*INDEX(Unit_Paths!$D$2:$D$4, MATCH(E875, Unit_Paths!$A$2:$A$4, 0)),0)</f>
        <v>958</v>
      </c>
      <c r="K875" s="6" t="n">
        <f aca="false">ROUND(INDEX(Archetypes!$H$2:$H$127, MATCH(D875, Archetypes!$A$2:$A$127, 0))*INDEX(Unit_Paths!$E$2:$E$4, MATCH(E875, Unit_Paths!$A$2:$A$4, 0)),1)</f>
        <v>21</v>
      </c>
      <c r="L875" s="6" t="n">
        <f aca="false">ROUND(INDEX(Archetypes!$I$2:$I$127, MATCH(D875, Archetypes!$A$2:$A$127, 0))*INDEX(Unit_Grades!$C$2:$C$7, MATCH(F875, Unit_Grades!$A$2:$A$7, 0)),1)</f>
        <v>42</v>
      </c>
      <c r="M875" s="6" t="n">
        <f aca="false">ROUND(INDEX(Archetypes!$J$2:$J$127, MATCH(D875, Archetypes!$A$2:$A$127, 0))*INDEX(Unit_Grades!$D$2:$D$7, MATCH(F875, Unit_Grades!$A$2:$A$7, 0)),1)</f>
        <v>32.5</v>
      </c>
      <c r="N875" s="6" t="n">
        <f aca="false">ROUND(M875/24,2)</f>
        <v>1.35</v>
      </c>
    </row>
    <row r="876" customFormat="false" ht="15" hidden="false" customHeight="true" outlineLevel="0" collapsed="false">
      <c r="A876" s="6" t="n">
        <v>3</v>
      </c>
      <c r="B876" s="6" t="s">
        <v>2395</v>
      </c>
      <c r="C876" s="6" t="s">
        <v>1362</v>
      </c>
      <c r="D876" s="6" t="str">
        <f aca="false">A876&amp;"|"&amp;C876</f>
        <v>3|Ship of the Line</v>
      </c>
      <c r="E876" s="6" t="s">
        <v>1558</v>
      </c>
      <c r="F876" s="6" t="s">
        <v>1546</v>
      </c>
      <c r="G876" s="6" t="str">
        <f aca="false">INDEX(Archetypes!$D$2:$D$127, MATCH(D876, Archetypes!$A$2:$A$127, 0))</f>
        <v>Capital</v>
      </c>
      <c r="H876" s="6" t="n">
        <f aca="false">ROUND(INDEX(Archetypes!$E$2:$E$127, MATCH(D876, Archetypes!$A$2:$A$127, 0))*INDEX(Unit_Grades!$B$2:$B$7, MATCH(F876, Unit_Grades!$A$2:$A$7, 0))*INDEX(Unit_Paths!$B$2:$B$4, MATCH(E876, Unit_Paths!$A$2:$A$4, 0)),1)</f>
        <v>422.4</v>
      </c>
      <c r="I876" s="6" t="n">
        <f aca="false">ROUND(INDEX(Archetypes!$F$2:$F$127, MATCH(D876, Archetypes!$A$2:$A$127, 0))*INDEX(Unit_Grades!$B$2:$B$7, MATCH(F876, Unit_Grades!$A$2:$A$7, 0))*INDEX(Unit_Paths!$C$2:$C$4, MATCH(E876, Unit_Paths!$A$2:$A$4, 0)),1)</f>
        <v>190.4</v>
      </c>
      <c r="J876" s="6" t="n">
        <f aca="false">ROUND(INDEX(Archetypes!$G$2:$G$127, MATCH(D876, Archetypes!$A$2:$A$127, 0))*INDEX(Unit_Grades!$B$2:$B$7, MATCH(F876, Unit_Grades!$A$2:$A$7, 0))*INDEX(Unit_Paths!$D$2:$D$4, MATCH(E876, Unit_Paths!$A$2:$A$4, 0)),0)</f>
        <v>1277</v>
      </c>
      <c r="K876" s="6" t="n">
        <f aca="false">ROUND(INDEX(Archetypes!$H$2:$H$127, MATCH(D876, Archetypes!$A$2:$A$127, 0))*INDEX(Unit_Paths!$E$2:$E$4, MATCH(E876, Unit_Paths!$A$2:$A$4, 0)),1)</f>
        <v>21</v>
      </c>
      <c r="L876" s="6" t="n">
        <f aca="false">ROUND(INDEX(Archetypes!$I$2:$I$127, MATCH(D876, Archetypes!$A$2:$A$127, 0))*INDEX(Unit_Grades!$C$2:$C$7, MATCH(F876, Unit_Grades!$A$2:$A$7, 0)),1)</f>
        <v>56</v>
      </c>
      <c r="M876" s="6" t="n">
        <f aca="false">ROUND(INDEX(Archetypes!$J$2:$J$127, MATCH(D876, Archetypes!$A$2:$A$127, 0))*INDEX(Unit_Grades!$D$2:$D$7, MATCH(F876, Unit_Grades!$A$2:$A$7, 0)),1)</f>
        <v>56.8</v>
      </c>
      <c r="N876" s="6" t="n">
        <f aca="false">ROUND(M876/24,2)</f>
        <v>2.37</v>
      </c>
    </row>
    <row r="877" customFormat="false" ht="15" hidden="false" customHeight="true" outlineLevel="0" collapsed="false">
      <c r="A877" s="6" t="n">
        <v>3</v>
      </c>
      <c r="B877" s="6" t="s">
        <v>2396</v>
      </c>
      <c r="C877" s="6" t="s">
        <v>1362</v>
      </c>
      <c r="D877" s="6" t="str">
        <f aca="false">A877&amp;"|"&amp;C877</f>
        <v>3|Ship of the Line</v>
      </c>
      <c r="E877" s="6" t="s">
        <v>1558</v>
      </c>
      <c r="F877" s="6" t="s">
        <v>1548</v>
      </c>
      <c r="G877" s="6" t="str">
        <f aca="false">INDEX(Archetypes!$D$2:$D$127, MATCH(D877, Archetypes!$A$2:$A$127, 0))</f>
        <v>Capital</v>
      </c>
      <c r="H877" s="6" t="n">
        <f aca="false">ROUND(INDEX(Archetypes!$E$2:$E$127, MATCH(D877, Archetypes!$A$2:$A$127, 0))*INDEX(Unit_Grades!$B$2:$B$7, MATCH(F877, Unit_Grades!$A$2:$A$7, 0))*INDEX(Unit_Paths!$B$2:$B$4, MATCH(E877, Unit_Paths!$A$2:$A$4, 0)),1)</f>
        <v>554.4</v>
      </c>
      <c r="I877" s="6" t="n">
        <f aca="false">ROUND(INDEX(Archetypes!$F$2:$F$127, MATCH(D877, Archetypes!$A$2:$A$127, 0))*INDEX(Unit_Grades!$B$2:$B$7, MATCH(F877, Unit_Grades!$A$2:$A$7, 0))*INDEX(Unit_Paths!$C$2:$C$4, MATCH(E877, Unit_Paths!$A$2:$A$4, 0)),1)</f>
        <v>249.9</v>
      </c>
      <c r="J877" s="6" t="n">
        <f aca="false">ROUND(INDEX(Archetypes!$G$2:$G$127, MATCH(D877, Archetypes!$A$2:$A$127, 0))*INDEX(Unit_Grades!$B$2:$B$7, MATCH(F877, Unit_Grades!$A$2:$A$7, 0))*INDEX(Unit_Paths!$D$2:$D$4, MATCH(E877, Unit_Paths!$A$2:$A$4, 0)),0)</f>
        <v>1676</v>
      </c>
      <c r="K877" s="6" t="n">
        <f aca="false">ROUND(INDEX(Archetypes!$H$2:$H$127, MATCH(D877, Archetypes!$A$2:$A$127, 0))*INDEX(Unit_Paths!$E$2:$E$4, MATCH(E877, Unit_Paths!$A$2:$A$4, 0)),1)</f>
        <v>21</v>
      </c>
      <c r="L877" s="6" t="n">
        <f aca="false">ROUND(INDEX(Archetypes!$I$2:$I$127, MATCH(D877, Archetypes!$A$2:$A$127, 0))*INDEX(Unit_Grades!$C$2:$C$7, MATCH(F877, Unit_Grades!$A$2:$A$7, 0)),1)</f>
        <v>74</v>
      </c>
      <c r="M877" s="6" t="n">
        <f aca="false">ROUND(INDEX(Archetypes!$J$2:$J$127, MATCH(D877, Archetypes!$A$2:$A$127, 0))*INDEX(Unit_Grades!$D$2:$D$7, MATCH(F877, Unit_Grades!$A$2:$A$7, 0)),1)</f>
        <v>97.4</v>
      </c>
      <c r="N877" s="6" t="n">
        <f aca="false">ROUND(M877/24,2)</f>
        <v>4.06</v>
      </c>
    </row>
    <row r="878" customFormat="false" ht="15" hidden="false" customHeight="true" outlineLevel="0" collapsed="false">
      <c r="A878" s="6" t="n">
        <v>3</v>
      </c>
      <c r="B878" s="6" t="s">
        <v>2397</v>
      </c>
      <c r="C878" s="6" t="s">
        <v>1362</v>
      </c>
      <c r="D878" s="6" t="str">
        <f aca="false">A878&amp;"|"&amp;C878</f>
        <v>3|Ship of the Line</v>
      </c>
      <c r="E878" s="6" t="s">
        <v>1560</v>
      </c>
      <c r="F878" s="6" t="s">
        <v>1538</v>
      </c>
      <c r="G878" s="6" t="str">
        <f aca="false">INDEX(Archetypes!$D$2:$D$127, MATCH(D878, Archetypes!$A$2:$A$127, 0))</f>
        <v>Capital</v>
      </c>
      <c r="H878" s="6" t="n">
        <f aca="false">ROUND(INDEX(Archetypes!$E$2:$E$127, MATCH(D878, Archetypes!$A$2:$A$127, 0))*INDEX(Unit_Grades!$B$2:$B$7, MATCH(F878, Unit_Grades!$A$2:$A$7, 0))*INDEX(Unit_Paths!$B$2:$B$4, MATCH(E878, Unit_Paths!$A$2:$A$4, 0)),1)</f>
        <v>93.5</v>
      </c>
      <c r="I878" s="6" t="n">
        <f aca="false">ROUND(INDEX(Archetypes!$F$2:$F$127, MATCH(D878, Archetypes!$A$2:$A$127, 0))*INDEX(Unit_Grades!$B$2:$B$7, MATCH(F878, Unit_Grades!$A$2:$A$7, 0))*INDEX(Unit_Paths!$C$2:$C$4, MATCH(E878, Unit_Paths!$A$2:$A$4, 0)),1)</f>
        <v>87.5</v>
      </c>
      <c r="J878" s="6" t="n">
        <f aca="false">ROUND(INDEX(Archetypes!$G$2:$G$127, MATCH(D878, Archetypes!$A$2:$A$127, 0))*INDEX(Unit_Grades!$B$2:$B$7, MATCH(F878, Unit_Grades!$A$2:$A$7, 0))*INDEX(Unit_Paths!$D$2:$D$4, MATCH(E878, Unit_Paths!$A$2:$A$4, 0)),0)</f>
        <v>483</v>
      </c>
      <c r="K878" s="6" t="n">
        <f aca="false">ROUND(INDEX(Archetypes!$H$2:$H$127, MATCH(D878, Archetypes!$A$2:$A$127, 0))*INDEX(Unit_Paths!$E$2:$E$4, MATCH(E878, Unit_Paths!$A$2:$A$4, 0)),1)</f>
        <v>18.4</v>
      </c>
      <c r="L878" s="6" t="n">
        <f aca="false">ROUND(INDEX(Archetypes!$I$2:$I$127, MATCH(D878, Archetypes!$A$2:$A$127, 0))*INDEX(Unit_Grades!$C$2:$C$7, MATCH(F878, Unit_Grades!$A$2:$A$7, 0)),1)</f>
        <v>20</v>
      </c>
      <c r="M878" s="6" t="n">
        <f aca="false">ROUND(INDEX(Archetypes!$J$2:$J$127, MATCH(D878, Archetypes!$A$2:$A$127, 0))*INDEX(Unit_Grades!$D$2:$D$7, MATCH(F878, Unit_Grades!$A$2:$A$7, 0)),1)</f>
        <v>8.1</v>
      </c>
      <c r="N878" s="6" t="n">
        <f aca="false">ROUND(M878/24,2)</f>
        <v>0.34</v>
      </c>
    </row>
    <row r="879" customFormat="false" ht="15" hidden="false" customHeight="true" outlineLevel="0" collapsed="false">
      <c r="A879" s="6" t="n">
        <v>3</v>
      </c>
      <c r="B879" s="6" t="s">
        <v>2398</v>
      </c>
      <c r="C879" s="6" t="s">
        <v>1362</v>
      </c>
      <c r="D879" s="6" t="str">
        <f aca="false">A879&amp;"|"&amp;C879</f>
        <v>3|Ship of the Line</v>
      </c>
      <c r="E879" s="6" t="s">
        <v>1560</v>
      </c>
      <c r="F879" s="6" t="s">
        <v>1540</v>
      </c>
      <c r="G879" s="6" t="str">
        <f aca="false">INDEX(Archetypes!$D$2:$D$127, MATCH(D879, Archetypes!$A$2:$A$127, 0))</f>
        <v>Capital</v>
      </c>
      <c r="H879" s="6" t="n">
        <f aca="false">ROUND(INDEX(Archetypes!$E$2:$E$127, MATCH(D879, Archetypes!$A$2:$A$127, 0))*INDEX(Unit_Grades!$B$2:$B$7, MATCH(F879, Unit_Grades!$A$2:$A$7, 0))*INDEX(Unit_Paths!$B$2:$B$4, MATCH(E879, Unit_Paths!$A$2:$A$4, 0)),1)</f>
        <v>126.2</v>
      </c>
      <c r="I879" s="6" t="n">
        <f aca="false">ROUND(INDEX(Archetypes!$F$2:$F$127, MATCH(D879, Archetypes!$A$2:$A$127, 0))*INDEX(Unit_Grades!$B$2:$B$7, MATCH(F879, Unit_Grades!$A$2:$A$7, 0))*INDEX(Unit_Paths!$C$2:$C$4, MATCH(E879, Unit_Paths!$A$2:$A$4, 0)),1)</f>
        <v>118.1</v>
      </c>
      <c r="J879" s="6" t="n">
        <f aca="false">ROUND(INDEX(Archetypes!$G$2:$G$127, MATCH(D879, Archetypes!$A$2:$A$127, 0))*INDEX(Unit_Grades!$B$2:$B$7, MATCH(F879, Unit_Grades!$A$2:$A$7, 0))*INDEX(Unit_Paths!$D$2:$D$4, MATCH(E879, Unit_Paths!$A$2:$A$4, 0)),0)</f>
        <v>652</v>
      </c>
      <c r="K879" s="6" t="n">
        <f aca="false">ROUND(INDEX(Archetypes!$H$2:$H$127, MATCH(D879, Archetypes!$A$2:$A$127, 0))*INDEX(Unit_Paths!$E$2:$E$4, MATCH(E879, Unit_Paths!$A$2:$A$4, 0)),1)</f>
        <v>18.4</v>
      </c>
      <c r="L879" s="6" t="n">
        <f aca="false">ROUND(INDEX(Archetypes!$I$2:$I$127, MATCH(D879, Archetypes!$A$2:$A$127, 0))*INDEX(Unit_Grades!$C$2:$C$7, MATCH(F879, Unit_Grades!$A$2:$A$7, 0)),1)</f>
        <v>25</v>
      </c>
      <c r="M879" s="6" t="n">
        <f aca="false">ROUND(INDEX(Archetypes!$J$2:$J$127, MATCH(D879, Archetypes!$A$2:$A$127, 0))*INDEX(Unit_Grades!$D$2:$D$7, MATCH(F879, Unit_Grades!$A$2:$A$7, 0)),1)</f>
        <v>12.2</v>
      </c>
      <c r="N879" s="6" t="n">
        <f aca="false">ROUND(M879/24,2)</f>
        <v>0.51</v>
      </c>
    </row>
    <row r="880" customFormat="false" ht="15" hidden="false" customHeight="true" outlineLevel="0" collapsed="false">
      <c r="A880" s="6" t="n">
        <v>3</v>
      </c>
      <c r="B880" s="6" t="s">
        <v>2399</v>
      </c>
      <c r="C880" s="6" t="s">
        <v>1362</v>
      </c>
      <c r="D880" s="6" t="str">
        <f aca="false">A880&amp;"|"&amp;C880</f>
        <v>3|Ship of the Line</v>
      </c>
      <c r="E880" s="6" t="s">
        <v>1560</v>
      </c>
      <c r="F880" s="6" t="s">
        <v>1542</v>
      </c>
      <c r="G880" s="6" t="str">
        <f aca="false">INDEX(Archetypes!$D$2:$D$127, MATCH(D880, Archetypes!$A$2:$A$127, 0))</f>
        <v>Capital</v>
      </c>
      <c r="H880" s="6" t="n">
        <f aca="false">ROUND(INDEX(Archetypes!$E$2:$E$127, MATCH(D880, Archetypes!$A$2:$A$127, 0))*INDEX(Unit_Grades!$B$2:$B$7, MATCH(F880, Unit_Grades!$A$2:$A$7, 0))*INDEX(Unit_Paths!$B$2:$B$4, MATCH(E880, Unit_Paths!$A$2:$A$4, 0)),1)</f>
        <v>168.3</v>
      </c>
      <c r="I880" s="6" t="n">
        <f aca="false">ROUND(INDEX(Archetypes!$F$2:$F$127, MATCH(D880, Archetypes!$A$2:$A$127, 0))*INDEX(Unit_Grades!$B$2:$B$7, MATCH(F880, Unit_Grades!$A$2:$A$7, 0))*INDEX(Unit_Paths!$C$2:$C$4, MATCH(E880, Unit_Paths!$A$2:$A$4, 0)),1)</f>
        <v>157.5</v>
      </c>
      <c r="J880" s="6" t="n">
        <f aca="false">ROUND(INDEX(Archetypes!$G$2:$G$127, MATCH(D880, Archetypes!$A$2:$A$127, 0))*INDEX(Unit_Grades!$B$2:$B$7, MATCH(F880, Unit_Grades!$A$2:$A$7, 0))*INDEX(Unit_Paths!$D$2:$D$4, MATCH(E880, Unit_Paths!$A$2:$A$4, 0)),0)</f>
        <v>869</v>
      </c>
      <c r="K880" s="6" t="n">
        <f aca="false">ROUND(INDEX(Archetypes!$H$2:$H$127, MATCH(D880, Archetypes!$A$2:$A$127, 0))*INDEX(Unit_Paths!$E$2:$E$4, MATCH(E880, Unit_Paths!$A$2:$A$4, 0)),1)</f>
        <v>18.4</v>
      </c>
      <c r="L880" s="6" t="n">
        <f aca="false">ROUND(INDEX(Archetypes!$I$2:$I$127, MATCH(D880, Archetypes!$A$2:$A$127, 0))*INDEX(Unit_Grades!$C$2:$C$7, MATCH(F880, Unit_Grades!$A$2:$A$7, 0)),1)</f>
        <v>32</v>
      </c>
      <c r="M880" s="6" t="n">
        <f aca="false">ROUND(INDEX(Archetypes!$J$2:$J$127, MATCH(D880, Archetypes!$A$2:$A$127, 0))*INDEX(Unit_Grades!$D$2:$D$7, MATCH(F880, Unit_Grades!$A$2:$A$7, 0)),1)</f>
        <v>20.3</v>
      </c>
      <c r="N880" s="6" t="n">
        <f aca="false">ROUND(M880/24,2)</f>
        <v>0.85</v>
      </c>
    </row>
    <row r="881" customFormat="false" ht="15" hidden="false" customHeight="true" outlineLevel="0" collapsed="false">
      <c r="A881" s="6" t="n">
        <v>3</v>
      </c>
      <c r="B881" s="6" t="s">
        <v>2400</v>
      </c>
      <c r="C881" s="6" t="s">
        <v>1362</v>
      </c>
      <c r="D881" s="6" t="str">
        <f aca="false">A881&amp;"|"&amp;C881</f>
        <v>3|Ship of the Line</v>
      </c>
      <c r="E881" s="6" t="s">
        <v>1560</v>
      </c>
      <c r="F881" s="6" t="s">
        <v>1544</v>
      </c>
      <c r="G881" s="6" t="str">
        <f aca="false">INDEX(Archetypes!$D$2:$D$127, MATCH(D881, Archetypes!$A$2:$A$127, 0))</f>
        <v>Capital</v>
      </c>
      <c r="H881" s="6" t="n">
        <f aca="false">ROUND(INDEX(Archetypes!$E$2:$E$127, MATCH(D881, Archetypes!$A$2:$A$127, 0))*INDEX(Unit_Grades!$B$2:$B$7, MATCH(F881, Unit_Grades!$A$2:$A$7, 0))*INDEX(Unit_Paths!$B$2:$B$4, MATCH(E881, Unit_Paths!$A$2:$A$4, 0)),1)</f>
        <v>224.4</v>
      </c>
      <c r="I881" s="6" t="n">
        <f aca="false">ROUND(INDEX(Archetypes!$F$2:$F$127, MATCH(D881, Archetypes!$A$2:$A$127, 0))*INDEX(Unit_Grades!$B$2:$B$7, MATCH(F881, Unit_Grades!$A$2:$A$7, 0))*INDEX(Unit_Paths!$C$2:$C$4, MATCH(E881, Unit_Paths!$A$2:$A$4, 0)),1)</f>
        <v>210</v>
      </c>
      <c r="J881" s="6" t="n">
        <f aca="false">ROUND(INDEX(Archetypes!$G$2:$G$127, MATCH(D881, Archetypes!$A$2:$A$127, 0))*INDEX(Unit_Grades!$B$2:$B$7, MATCH(F881, Unit_Grades!$A$2:$A$7, 0))*INDEX(Unit_Paths!$D$2:$D$4, MATCH(E881, Unit_Paths!$A$2:$A$4, 0)),0)</f>
        <v>1159</v>
      </c>
      <c r="K881" s="6" t="n">
        <f aca="false">ROUND(INDEX(Archetypes!$H$2:$H$127, MATCH(D881, Archetypes!$A$2:$A$127, 0))*INDEX(Unit_Paths!$E$2:$E$4, MATCH(E881, Unit_Paths!$A$2:$A$4, 0)),1)</f>
        <v>18.4</v>
      </c>
      <c r="L881" s="6" t="n">
        <f aca="false">ROUND(INDEX(Archetypes!$I$2:$I$127, MATCH(D881, Archetypes!$A$2:$A$127, 0))*INDEX(Unit_Grades!$C$2:$C$7, MATCH(F881, Unit_Grades!$A$2:$A$7, 0)),1)</f>
        <v>42</v>
      </c>
      <c r="M881" s="6" t="n">
        <f aca="false">ROUND(INDEX(Archetypes!$J$2:$J$127, MATCH(D881, Archetypes!$A$2:$A$127, 0))*INDEX(Unit_Grades!$D$2:$D$7, MATCH(F881, Unit_Grades!$A$2:$A$7, 0)),1)</f>
        <v>32.5</v>
      </c>
      <c r="N881" s="6" t="n">
        <f aca="false">ROUND(M881/24,2)</f>
        <v>1.35</v>
      </c>
    </row>
    <row r="882" customFormat="false" ht="15" hidden="false" customHeight="true" outlineLevel="0" collapsed="false">
      <c r="A882" s="6" t="n">
        <v>3</v>
      </c>
      <c r="B882" s="6" t="s">
        <v>2401</v>
      </c>
      <c r="C882" s="6" t="s">
        <v>1362</v>
      </c>
      <c r="D882" s="6" t="str">
        <f aca="false">A882&amp;"|"&amp;C882</f>
        <v>3|Ship of the Line</v>
      </c>
      <c r="E882" s="6" t="s">
        <v>1560</v>
      </c>
      <c r="F882" s="6" t="s">
        <v>1546</v>
      </c>
      <c r="G882" s="6" t="str">
        <f aca="false">INDEX(Archetypes!$D$2:$D$127, MATCH(D882, Archetypes!$A$2:$A$127, 0))</f>
        <v>Capital</v>
      </c>
      <c r="H882" s="6" t="n">
        <f aca="false">ROUND(INDEX(Archetypes!$E$2:$E$127, MATCH(D882, Archetypes!$A$2:$A$127, 0))*INDEX(Unit_Grades!$B$2:$B$7, MATCH(F882, Unit_Grades!$A$2:$A$7, 0))*INDEX(Unit_Paths!$B$2:$B$4, MATCH(E882, Unit_Paths!$A$2:$A$4, 0)),1)</f>
        <v>299.2</v>
      </c>
      <c r="I882" s="6" t="n">
        <f aca="false">ROUND(INDEX(Archetypes!$F$2:$F$127, MATCH(D882, Archetypes!$A$2:$A$127, 0))*INDEX(Unit_Grades!$B$2:$B$7, MATCH(F882, Unit_Grades!$A$2:$A$7, 0))*INDEX(Unit_Paths!$C$2:$C$4, MATCH(E882, Unit_Paths!$A$2:$A$4, 0)),1)</f>
        <v>280</v>
      </c>
      <c r="J882" s="6" t="n">
        <f aca="false">ROUND(INDEX(Archetypes!$G$2:$G$127, MATCH(D882, Archetypes!$A$2:$A$127, 0))*INDEX(Unit_Grades!$B$2:$B$7, MATCH(F882, Unit_Grades!$A$2:$A$7, 0))*INDEX(Unit_Paths!$D$2:$D$4, MATCH(E882, Unit_Paths!$A$2:$A$4, 0)),0)</f>
        <v>1546</v>
      </c>
      <c r="K882" s="6" t="n">
        <f aca="false">ROUND(INDEX(Archetypes!$H$2:$H$127, MATCH(D882, Archetypes!$A$2:$A$127, 0))*INDEX(Unit_Paths!$E$2:$E$4, MATCH(E882, Unit_Paths!$A$2:$A$4, 0)),1)</f>
        <v>18.4</v>
      </c>
      <c r="L882" s="6" t="n">
        <f aca="false">ROUND(INDEX(Archetypes!$I$2:$I$127, MATCH(D882, Archetypes!$A$2:$A$127, 0))*INDEX(Unit_Grades!$C$2:$C$7, MATCH(F882, Unit_Grades!$A$2:$A$7, 0)),1)</f>
        <v>56</v>
      </c>
      <c r="M882" s="6" t="n">
        <f aca="false">ROUND(INDEX(Archetypes!$J$2:$J$127, MATCH(D882, Archetypes!$A$2:$A$127, 0))*INDEX(Unit_Grades!$D$2:$D$7, MATCH(F882, Unit_Grades!$A$2:$A$7, 0)),1)</f>
        <v>56.8</v>
      </c>
      <c r="N882" s="6" t="n">
        <f aca="false">ROUND(M882/24,2)</f>
        <v>2.37</v>
      </c>
    </row>
    <row r="883" customFormat="false" ht="15" hidden="false" customHeight="true" outlineLevel="0" collapsed="false">
      <c r="A883" s="6" t="n">
        <v>3</v>
      </c>
      <c r="B883" s="6" t="s">
        <v>2402</v>
      </c>
      <c r="C883" s="6" t="s">
        <v>1362</v>
      </c>
      <c r="D883" s="6" t="str">
        <f aca="false">A883&amp;"|"&amp;C883</f>
        <v>3|Ship of the Line</v>
      </c>
      <c r="E883" s="6" t="s">
        <v>1560</v>
      </c>
      <c r="F883" s="6" t="s">
        <v>1548</v>
      </c>
      <c r="G883" s="6" t="str">
        <f aca="false">INDEX(Archetypes!$D$2:$D$127, MATCH(D883, Archetypes!$A$2:$A$127, 0))</f>
        <v>Capital</v>
      </c>
      <c r="H883" s="6" t="n">
        <f aca="false">ROUND(INDEX(Archetypes!$E$2:$E$127, MATCH(D883, Archetypes!$A$2:$A$127, 0))*INDEX(Unit_Grades!$B$2:$B$7, MATCH(F883, Unit_Grades!$A$2:$A$7, 0))*INDEX(Unit_Paths!$B$2:$B$4, MATCH(E883, Unit_Paths!$A$2:$A$4, 0)),1)</f>
        <v>392.7</v>
      </c>
      <c r="I883" s="6" t="n">
        <f aca="false">ROUND(INDEX(Archetypes!$F$2:$F$127, MATCH(D883, Archetypes!$A$2:$A$127, 0))*INDEX(Unit_Grades!$B$2:$B$7, MATCH(F883, Unit_Grades!$A$2:$A$7, 0))*INDEX(Unit_Paths!$C$2:$C$4, MATCH(E883, Unit_Paths!$A$2:$A$4, 0)),1)</f>
        <v>367.5</v>
      </c>
      <c r="J883" s="6" t="n">
        <f aca="false">ROUND(INDEX(Archetypes!$G$2:$G$127, MATCH(D883, Archetypes!$A$2:$A$127, 0))*INDEX(Unit_Grades!$B$2:$B$7, MATCH(F883, Unit_Grades!$A$2:$A$7, 0))*INDEX(Unit_Paths!$D$2:$D$4, MATCH(E883, Unit_Paths!$A$2:$A$4, 0)),0)</f>
        <v>2029</v>
      </c>
      <c r="K883" s="6" t="n">
        <f aca="false">ROUND(INDEX(Archetypes!$H$2:$H$127, MATCH(D883, Archetypes!$A$2:$A$127, 0))*INDEX(Unit_Paths!$E$2:$E$4, MATCH(E883, Unit_Paths!$A$2:$A$4, 0)),1)</f>
        <v>18.4</v>
      </c>
      <c r="L883" s="6" t="n">
        <f aca="false">ROUND(INDEX(Archetypes!$I$2:$I$127, MATCH(D883, Archetypes!$A$2:$A$127, 0))*INDEX(Unit_Grades!$C$2:$C$7, MATCH(F883, Unit_Grades!$A$2:$A$7, 0)),1)</f>
        <v>74</v>
      </c>
      <c r="M883" s="6" t="n">
        <f aca="false">ROUND(INDEX(Archetypes!$J$2:$J$127, MATCH(D883, Archetypes!$A$2:$A$127, 0))*INDEX(Unit_Grades!$D$2:$D$7, MATCH(F883, Unit_Grades!$A$2:$A$7, 0)),1)</f>
        <v>97.4</v>
      </c>
      <c r="N883" s="6" t="n">
        <f aca="false">ROUND(M883/24,2)</f>
        <v>4.06</v>
      </c>
    </row>
    <row r="884" customFormat="false" ht="15" hidden="false" customHeight="true" outlineLevel="0" collapsed="false">
      <c r="A884" s="6" t="n">
        <v>3</v>
      </c>
      <c r="B884" s="6" t="s">
        <v>1365</v>
      </c>
      <c r="C884" s="6" t="s">
        <v>1365</v>
      </c>
      <c r="D884" s="6" t="str">
        <f aca="false">A884&amp;"|"&amp;C884</f>
        <v>3|Fireship</v>
      </c>
      <c r="E884" s="6" t="s">
        <v>1556</v>
      </c>
      <c r="F884" s="6" t="s">
        <v>1538</v>
      </c>
      <c r="G884" s="6" t="str">
        <f aca="false">INDEX(Archetypes!$D$2:$D$127, MATCH(D884, Archetypes!$A$2:$A$127, 0))</f>
        <v>Naval Raider</v>
      </c>
      <c r="H884" s="6" t="n">
        <f aca="false">ROUND(INDEX(Archetypes!$E$2:$E$127, MATCH(D884, Archetypes!$A$2:$A$127, 0))*INDEX(Unit_Grades!$B$2:$B$7, MATCH(F884, Unit_Grades!$A$2:$A$7, 0))*INDEX(Unit_Paths!$B$2:$B$4, MATCH(E884, Unit_Paths!$A$2:$A$4, 0)),1)</f>
        <v>90</v>
      </c>
      <c r="I884" s="6" t="n">
        <f aca="false">ROUND(INDEX(Archetypes!$F$2:$F$127, MATCH(D884, Archetypes!$A$2:$A$127, 0))*INDEX(Unit_Grades!$B$2:$B$7, MATCH(F884, Unit_Grades!$A$2:$A$7, 0))*INDEX(Unit_Paths!$C$2:$C$4, MATCH(E884, Unit_Paths!$A$2:$A$4, 0)),1)</f>
        <v>6</v>
      </c>
      <c r="J884" s="6" t="n">
        <f aca="false">ROUND(INDEX(Archetypes!$G$2:$G$127, MATCH(D884, Archetypes!$A$2:$A$127, 0))*INDEX(Unit_Grades!$B$2:$B$7, MATCH(F884, Unit_Grades!$A$2:$A$7, 0))*INDEX(Unit_Paths!$D$2:$D$4, MATCH(E884, Unit_Paths!$A$2:$A$4, 0)),0)</f>
        <v>90</v>
      </c>
      <c r="K884" s="6" t="n">
        <f aca="false">ROUND(INDEX(Archetypes!$H$2:$H$127, MATCH(D884, Archetypes!$A$2:$A$127, 0))*INDEX(Unit_Paths!$E$2:$E$4, MATCH(E884, Unit_Paths!$A$2:$A$4, 0)),1)</f>
        <v>26</v>
      </c>
      <c r="L884" s="6" t="n">
        <f aca="false">ROUND(INDEX(Archetypes!$I$2:$I$127, MATCH(D884, Archetypes!$A$2:$A$127, 0))*INDEX(Unit_Grades!$C$2:$C$7, MATCH(F884, Unit_Grades!$A$2:$A$7, 0)),1)</f>
        <v>8</v>
      </c>
      <c r="M884" s="6" t="n">
        <f aca="false">ROUND(INDEX(Archetypes!$J$2:$J$127, MATCH(D884, Archetypes!$A$2:$A$127, 0))*INDEX(Unit_Grades!$D$2:$D$7, MATCH(F884, Unit_Grades!$A$2:$A$7, 0)),1)</f>
        <v>3.3</v>
      </c>
      <c r="N884" s="6" t="n">
        <f aca="false">ROUND(M884/24,2)</f>
        <v>0.14</v>
      </c>
    </row>
    <row r="885" customFormat="false" ht="15" hidden="false" customHeight="true" outlineLevel="0" collapsed="false">
      <c r="A885" s="6" t="n">
        <v>3</v>
      </c>
      <c r="B885" s="6" t="s">
        <v>2403</v>
      </c>
      <c r="C885" s="6" t="s">
        <v>1365</v>
      </c>
      <c r="D885" s="6" t="str">
        <f aca="false">A885&amp;"|"&amp;C885</f>
        <v>3|Fireship</v>
      </c>
      <c r="E885" s="6" t="s">
        <v>1556</v>
      </c>
      <c r="F885" s="6" t="s">
        <v>1540</v>
      </c>
      <c r="G885" s="6" t="str">
        <f aca="false">INDEX(Archetypes!$D$2:$D$127, MATCH(D885, Archetypes!$A$2:$A$127, 0))</f>
        <v>Naval Raider</v>
      </c>
      <c r="H885" s="6" t="n">
        <f aca="false">ROUND(INDEX(Archetypes!$E$2:$E$127, MATCH(D885, Archetypes!$A$2:$A$127, 0))*INDEX(Unit_Grades!$B$2:$B$7, MATCH(F885, Unit_Grades!$A$2:$A$7, 0))*INDEX(Unit_Paths!$B$2:$B$4, MATCH(E885, Unit_Paths!$A$2:$A$4, 0)),1)</f>
        <v>121.5</v>
      </c>
      <c r="I885" s="6" t="n">
        <f aca="false">ROUND(INDEX(Archetypes!$F$2:$F$127, MATCH(D885, Archetypes!$A$2:$A$127, 0))*INDEX(Unit_Grades!$B$2:$B$7, MATCH(F885, Unit_Grades!$A$2:$A$7, 0))*INDEX(Unit_Paths!$C$2:$C$4, MATCH(E885, Unit_Paths!$A$2:$A$4, 0)),1)</f>
        <v>8.1</v>
      </c>
      <c r="J885" s="6" t="n">
        <f aca="false">ROUND(INDEX(Archetypes!$G$2:$G$127, MATCH(D885, Archetypes!$A$2:$A$127, 0))*INDEX(Unit_Grades!$B$2:$B$7, MATCH(F885, Unit_Grades!$A$2:$A$7, 0))*INDEX(Unit_Paths!$D$2:$D$4, MATCH(E885, Unit_Paths!$A$2:$A$4, 0)),0)</f>
        <v>122</v>
      </c>
      <c r="K885" s="6" t="n">
        <f aca="false">ROUND(INDEX(Archetypes!$H$2:$H$127, MATCH(D885, Archetypes!$A$2:$A$127, 0))*INDEX(Unit_Paths!$E$2:$E$4, MATCH(E885, Unit_Paths!$A$2:$A$4, 0)),1)</f>
        <v>26</v>
      </c>
      <c r="L885" s="6" t="n">
        <f aca="false">ROUND(INDEX(Archetypes!$I$2:$I$127, MATCH(D885, Archetypes!$A$2:$A$127, 0))*INDEX(Unit_Grades!$C$2:$C$7, MATCH(F885, Unit_Grades!$A$2:$A$7, 0)),1)</f>
        <v>10</v>
      </c>
      <c r="M885" s="6" t="n">
        <f aca="false">ROUND(INDEX(Archetypes!$J$2:$J$127, MATCH(D885, Archetypes!$A$2:$A$127, 0))*INDEX(Unit_Grades!$D$2:$D$7, MATCH(F885, Unit_Grades!$A$2:$A$7, 0)),1)</f>
        <v>4.9</v>
      </c>
      <c r="N885" s="6" t="n">
        <f aca="false">ROUND(M885/24,2)</f>
        <v>0.2</v>
      </c>
    </row>
    <row r="886" customFormat="false" ht="15" hidden="false" customHeight="true" outlineLevel="0" collapsed="false">
      <c r="A886" s="6" t="n">
        <v>3</v>
      </c>
      <c r="B886" s="6" t="s">
        <v>2404</v>
      </c>
      <c r="C886" s="6" t="s">
        <v>1365</v>
      </c>
      <c r="D886" s="6" t="str">
        <f aca="false">A886&amp;"|"&amp;C886</f>
        <v>3|Fireship</v>
      </c>
      <c r="E886" s="6" t="s">
        <v>1556</v>
      </c>
      <c r="F886" s="6" t="s">
        <v>1542</v>
      </c>
      <c r="G886" s="6" t="str">
        <f aca="false">INDEX(Archetypes!$D$2:$D$127, MATCH(D886, Archetypes!$A$2:$A$127, 0))</f>
        <v>Naval Raider</v>
      </c>
      <c r="H886" s="6" t="n">
        <f aca="false">ROUND(INDEX(Archetypes!$E$2:$E$127, MATCH(D886, Archetypes!$A$2:$A$127, 0))*INDEX(Unit_Grades!$B$2:$B$7, MATCH(F886, Unit_Grades!$A$2:$A$7, 0))*INDEX(Unit_Paths!$B$2:$B$4, MATCH(E886, Unit_Paths!$A$2:$A$4, 0)),1)</f>
        <v>162</v>
      </c>
      <c r="I886" s="6" t="n">
        <f aca="false">ROUND(INDEX(Archetypes!$F$2:$F$127, MATCH(D886, Archetypes!$A$2:$A$127, 0))*INDEX(Unit_Grades!$B$2:$B$7, MATCH(F886, Unit_Grades!$A$2:$A$7, 0))*INDEX(Unit_Paths!$C$2:$C$4, MATCH(E886, Unit_Paths!$A$2:$A$4, 0)),1)</f>
        <v>10.8</v>
      </c>
      <c r="J886" s="6" t="n">
        <f aca="false">ROUND(INDEX(Archetypes!$G$2:$G$127, MATCH(D886, Archetypes!$A$2:$A$127, 0))*INDEX(Unit_Grades!$B$2:$B$7, MATCH(F886, Unit_Grades!$A$2:$A$7, 0))*INDEX(Unit_Paths!$D$2:$D$4, MATCH(E886, Unit_Paths!$A$2:$A$4, 0)),0)</f>
        <v>162</v>
      </c>
      <c r="K886" s="6" t="n">
        <f aca="false">ROUND(INDEX(Archetypes!$H$2:$H$127, MATCH(D886, Archetypes!$A$2:$A$127, 0))*INDEX(Unit_Paths!$E$2:$E$4, MATCH(E886, Unit_Paths!$A$2:$A$4, 0)),1)</f>
        <v>26</v>
      </c>
      <c r="L886" s="6" t="n">
        <f aca="false">ROUND(INDEX(Archetypes!$I$2:$I$127, MATCH(D886, Archetypes!$A$2:$A$127, 0))*INDEX(Unit_Grades!$C$2:$C$7, MATCH(F886, Unit_Grades!$A$2:$A$7, 0)),1)</f>
        <v>12.8</v>
      </c>
      <c r="M886" s="6" t="n">
        <f aca="false">ROUND(INDEX(Archetypes!$J$2:$J$127, MATCH(D886, Archetypes!$A$2:$A$127, 0))*INDEX(Unit_Grades!$D$2:$D$7, MATCH(F886, Unit_Grades!$A$2:$A$7, 0)),1)</f>
        <v>8.1</v>
      </c>
      <c r="N886" s="6" t="n">
        <f aca="false">ROUND(M886/24,2)</f>
        <v>0.34</v>
      </c>
    </row>
    <row r="887" customFormat="false" ht="15" hidden="false" customHeight="true" outlineLevel="0" collapsed="false">
      <c r="A887" s="6" t="n">
        <v>3</v>
      </c>
      <c r="B887" s="6" t="s">
        <v>2405</v>
      </c>
      <c r="C887" s="6" t="s">
        <v>1365</v>
      </c>
      <c r="D887" s="6" t="str">
        <f aca="false">A887&amp;"|"&amp;C887</f>
        <v>3|Fireship</v>
      </c>
      <c r="E887" s="6" t="s">
        <v>1556</v>
      </c>
      <c r="F887" s="6" t="s">
        <v>1544</v>
      </c>
      <c r="G887" s="6" t="str">
        <f aca="false">INDEX(Archetypes!$D$2:$D$127, MATCH(D887, Archetypes!$A$2:$A$127, 0))</f>
        <v>Naval Raider</v>
      </c>
      <c r="H887" s="6" t="n">
        <f aca="false">ROUND(INDEX(Archetypes!$E$2:$E$127, MATCH(D887, Archetypes!$A$2:$A$127, 0))*INDEX(Unit_Grades!$B$2:$B$7, MATCH(F887, Unit_Grades!$A$2:$A$7, 0))*INDEX(Unit_Paths!$B$2:$B$4, MATCH(E887, Unit_Paths!$A$2:$A$4, 0)),1)</f>
        <v>216</v>
      </c>
      <c r="I887" s="6" t="n">
        <f aca="false">ROUND(INDEX(Archetypes!$F$2:$F$127, MATCH(D887, Archetypes!$A$2:$A$127, 0))*INDEX(Unit_Grades!$B$2:$B$7, MATCH(F887, Unit_Grades!$A$2:$A$7, 0))*INDEX(Unit_Paths!$C$2:$C$4, MATCH(E887, Unit_Paths!$A$2:$A$4, 0)),1)</f>
        <v>14.4</v>
      </c>
      <c r="J887" s="6" t="n">
        <f aca="false">ROUND(INDEX(Archetypes!$G$2:$G$127, MATCH(D887, Archetypes!$A$2:$A$127, 0))*INDEX(Unit_Grades!$B$2:$B$7, MATCH(F887, Unit_Grades!$A$2:$A$7, 0))*INDEX(Unit_Paths!$D$2:$D$4, MATCH(E887, Unit_Paths!$A$2:$A$4, 0)),0)</f>
        <v>216</v>
      </c>
      <c r="K887" s="6" t="n">
        <f aca="false">ROUND(INDEX(Archetypes!$H$2:$H$127, MATCH(D887, Archetypes!$A$2:$A$127, 0))*INDEX(Unit_Paths!$E$2:$E$4, MATCH(E887, Unit_Paths!$A$2:$A$4, 0)),1)</f>
        <v>26</v>
      </c>
      <c r="L887" s="6" t="n">
        <f aca="false">ROUND(INDEX(Archetypes!$I$2:$I$127, MATCH(D887, Archetypes!$A$2:$A$127, 0))*INDEX(Unit_Grades!$C$2:$C$7, MATCH(F887, Unit_Grades!$A$2:$A$7, 0)),1)</f>
        <v>16.8</v>
      </c>
      <c r="M887" s="6" t="n">
        <f aca="false">ROUND(INDEX(Archetypes!$J$2:$J$127, MATCH(D887, Archetypes!$A$2:$A$127, 0))*INDEX(Unit_Grades!$D$2:$D$7, MATCH(F887, Unit_Grades!$A$2:$A$7, 0)),1)</f>
        <v>13</v>
      </c>
      <c r="N887" s="6" t="n">
        <f aca="false">ROUND(M887/24,2)</f>
        <v>0.54</v>
      </c>
    </row>
    <row r="888" customFormat="false" ht="15" hidden="false" customHeight="true" outlineLevel="0" collapsed="false">
      <c r="A888" s="6" t="n">
        <v>3</v>
      </c>
      <c r="B888" s="6" t="s">
        <v>2406</v>
      </c>
      <c r="C888" s="6" t="s">
        <v>1365</v>
      </c>
      <c r="D888" s="6" t="str">
        <f aca="false">A888&amp;"|"&amp;C888</f>
        <v>3|Fireship</v>
      </c>
      <c r="E888" s="6" t="s">
        <v>1556</v>
      </c>
      <c r="F888" s="6" t="s">
        <v>1546</v>
      </c>
      <c r="G888" s="6" t="str">
        <f aca="false">INDEX(Archetypes!$D$2:$D$127, MATCH(D888, Archetypes!$A$2:$A$127, 0))</f>
        <v>Naval Raider</v>
      </c>
      <c r="H888" s="6" t="n">
        <f aca="false">ROUND(INDEX(Archetypes!$E$2:$E$127, MATCH(D888, Archetypes!$A$2:$A$127, 0))*INDEX(Unit_Grades!$B$2:$B$7, MATCH(F888, Unit_Grades!$A$2:$A$7, 0))*INDEX(Unit_Paths!$B$2:$B$4, MATCH(E888, Unit_Paths!$A$2:$A$4, 0)),1)</f>
        <v>288</v>
      </c>
      <c r="I888" s="6" t="n">
        <f aca="false">ROUND(INDEX(Archetypes!$F$2:$F$127, MATCH(D888, Archetypes!$A$2:$A$127, 0))*INDEX(Unit_Grades!$B$2:$B$7, MATCH(F888, Unit_Grades!$A$2:$A$7, 0))*INDEX(Unit_Paths!$C$2:$C$4, MATCH(E888, Unit_Paths!$A$2:$A$4, 0)),1)</f>
        <v>19.2</v>
      </c>
      <c r="J888" s="6" t="n">
        <f aca="false">ROUND(INDEX(Archetypes!$G$2:$G$127, MATCH(D888, Archetypes!$A$2:$A$127, 0))*INDEX(Unit_Grades!$B$2:$B$7, MATCH(F888, Unit_Grades!$A$2:$A$7, 0))*INDEX(Unit_Paths!$D$2:$D$4, MATCH(E888, Unit_Paths!$A$2:$A$4, 0)),0)</f>
        <v>288</v>
      </c>
      <c r="K888" s="6" t="n">
        <f aca="false">ROUND(INDEX(Archetypes!$H$2:$H$127, MATCH(D888, Archetypes!$A$2:$A$127, 0))*INDEX(Unit_Paths!$E$2:$E$4, MATCH(E888, Unit_Paths!$A$2:$A$4, 0)),1)</f>
        <v>26</v>
      </c>
      <c r="L888" s="6" t="n">
        <f aca="false">ROUND(INDEX(Archetypes!$I$2:$I$127, MATCH(D888, Archetypes!$A$2:$A$127, 0))*INDEX(Unit_Grades!$C$2:$C$7, MATCH(F888, Unit_Grades!$A$2:$A$7, 0)),1)</f>
        <v>22.4</v>
      </c>
      <c r="M888" s="6" t="n">
        <f aca="false">ROUND(INDEX(Archetypes!$J$2:$J$127, MATCH(D888, Archetypes!$A$2:$A$127, 0))*INDEX(Unit_Grades!$D$2:$D$7, MATCH(F888, Unit_Grades!$A$2:$A$7, 0)),1)</f>
        <v>22.8</v>
      </c>
      <c r="N888" s="6" t="n">
        <f aca="false">ROUND(M888/24,2)</f>
        <v>0.95</v>
      </c>
    </row>
    <row r="889" customFormat="false" ht="15" hidden="false" customHeight="true" outlineLevel="0" collapsed="false">
      <c r="A889" s="6" t="n">
        <v>3</v>
      </c>
      <c r="B889" s="6" t="s">
        <v>2407</v>
      </c>
      <c r="C889" s="6" t="s">
        <v>1365</v>
      </c>
      <c r="D889" s="6" t="str">
        <f aca="false">A889&amp;"|"&amp;C889</f>
        <v>3|Fireship</v>
      </c>
      <c r="E889" s="6" t="s">
        <v>1556</v>
      </c>
      <c r="F889" s="6" t="s">
        <v>1548</v>
      </c>
      <c r="G889" s="6" t="str">
        <f aca="false">INDEX(Archetypes!$D$2:$D$127, MATCH(D889, Archetypes!$A$2:$A$127, 0))</f>
        <v>Naval Raider</v>
      </c>
      <c r="H889" s="6" t="n">
        <f aca="false">ROUND(INDEX(Archetypes!$E$2:$E$127, MATCH(D889, Archetypes!$A$2:$A$127, 0))*INDEX(Unit_Grades!$B$2:$B$7, MATCH(F889, Unit_Grades!$A$2:$A$7, 0))*INDEX(Unit_Paths!$B$2:$B$4, MATCH(E889, Unit_Paths!$A$2:$A$4, 0)),1)</f>
        <v>378</v>
      </c>
      <c r="I889" s="6" t="n">
        <f aca="false">ROUND(INDEX(Archetypes!$F$2:$F$127, MATCH(D889, Archetypes!$A$2:$A$127, 0))*INDEX(Unit_Grades!$B$2:$B$7, MATCH(F889, Unit_Grades!$A$2:$A$7, 0))*INDEX(Unit_Paths!$C$2:$C$4, MATCH(E889, Unit_Paths!$A$2:$A$4, 0)),1)</f>
        <v>25.2</v>
      </c>
      <c r="J889" s="6" t="n">
        <f aca="false">ROUND(INDEX(Archetypes!$G$2:$G$127, MATCH(D889, Archetypes!$A$2:$A$127, 0))*INDEX(Unit_Grades!$B$2:$B$7, MATCH(F889, Unit_Grades!$A$2:$A$7, 0))*INDEX(Unit_Paths!$D$2:$D$4, MATCH(E889, Unit_Paths!$A$2:$A$4, 0)),0)</f>
        <v>378</v>
      </c>
      <c r="K889" s="6" t="n">
        <f aca="false">ROUND(INDEX(Archetypes!$H$2:$H$127, MATCH(D889, Archetypes!$A$2:$A$127, 0))*INDEX(Unit_Paths!$E$2:$E$4, MATCH(E889, Unit_Paths!$A$2:$A$4, 0)),1)</f>
        <v>26</v>
      </c>
      <c r="L889" s="6" t="n">
        <f aca="false">ROUND(INDEX(Archetypes!$I$2:$I$127, MATCH(D889, Archetypes!$A$2:$A$127, 0))*INDEX(Unit_Grades!$C$2:$C$7, MATCH(F889, Unit_Grades!$A$2:$A$7, 0)),1)</f>
        <v>29.6</v>
      </c>
      <c r="M889" s="6" t="n">
        <f aca="false">ROUND(INDEX(Archetypes!$J$2:$J$127, MATCH(D889, Archetypes!$A$2:$A$127, 0))*INDEX(Unit_Grades!$D$2:$D$7, MATCH(F889, Unit_Grades!$A$2:$A$7, 0)),1)</f>
        <v>39</v>
      </c>
      <c r="N889" s="6" t="n">
        <f aca="false">ROUND(M889/24,2)</f>
        <v>1.63</v>
      </c>
    </row>
    <row r="890" customFormat="false" ht="15" hidden="false" customHeight="true" outlineLevel="0" collapsed="false">
      <c r="A890" s="6" t="n">
        <v>3</v>
      </c>
      <c r="B890" s="6" t="s">
        <v>2408</v>
      </c>
      <c r="C890" s="6" t="s">
        <v>1365</v>
      </c>
      <c r="D890" s="6" t="str">
        <f aca="false">A890&amp;"|"&amp;C890</f>
        <v>3|Fireship</v>
      </c>
      <c r="E890" s="6" t="s">
        <v>1558</v>
      </c>
      <c r="F890" s="6" t="s">
        <v>1538</v>
      </c>
      <c r="G890" s="6" t="str">
        <f aca="false">INDEX(Archetypes!$D$2:$D$127, MATCH(D890, Archetypes!$A$2:$A$127, 0))</f>
        <v>Naval Raider</v>
      </c>
      <c r="H890" s="6" t="n">
        <f aca="false">ROUND(INDEX(Archetypes!$E$2:$E$127, MATCH(D890, Archetypes!$A$2:$A$127, 0))*INDEX(Unit_Grades!$B$2:$B$7, MATCH(F890, Unit_Grades!$A$2:$A$7, 0))*INDEX(Unit_Paths!$B$2:$B$4, MATCH(E890, Unit_Paths!$A$2:$A$4, 0)),1)</f>
        <v>108</v>
      </c>
      <c r="I890" s="6" t="n">
        <f aca="false">ROUND(INDEX(Archetypes!$F$2:$F$127, MATCH(D890, Archetypes!$A$2:$A$127, 0))*INDEX(Unit_Grades!$B$2:$B$7, MATCH(F890, Unit_Grades!$A$2:$A$7, 0))*INDEX(Unit_Paths!$C$2:$C$4, MATCH(E890, Unit_Paths!$A$2:$A$4, 0)),1)</f>
        <v>5.1</v>
      </c>
      <c r="J890" s="6" t="n">
        <f aca="false">ROUND(INDEX(Archetypes!$G$2:$G$127, MATCH(D890, Archetypes!$A$2:$A$127, 0))*INDEX(Unit_Grades!$B$2:$B$7, MATCH(F890, Unit_Grades!$A$2:$A$7, 0))*INDEX(Unit_Paths!$D$2:$D$4, MATCH(E890, Unit_Paths!$A$2:$A$4, 0)),0)</f>
        <v>86</v>
      </c>
      <c r="K890" s="6" t="n">
        <f aca="false">ROUND(INDEX(Archetypes!$H$2:$H$127, MATCH(D890, Archetypes!$A$2:$A$127, 0))*INDEX(Unit_Paths!$E$2:$E$4, MATCH(E890, Unit_Paths!$A$2:$A$4, 0)),1)</f>
        <v>27.3</v>
      </c>
      <c r="L890" s="6" t="n">
        <f aca="false">ROUND(INDEX(Archetypes!$I$2:$I$127, MATCH(D890, Archetypes!$A$2:$A$127, 0))*INDEX(Unit_Grades!$C$2:$C$7, MATCH(F890, Unit_Grades!$A$2:$A$7, 0)),1)</f>
        <v>8</v>
      </c>
      <c r="M890" s="6" t="n">
        <f aca="false">ROUND(INDEX(Archetypes!$J$2:$J$127, MATCH(D890, Archetypes!$A$2:$A$127, 0))*INDEX(Unit_Grades!$D$2:$D$7, MATCH(F890, Unit_Grades!$A$2:$A$7, 0)),1)</f>
        <v>3.3</v>
      </c>
      <c r="N890" s="6" t="n">
        <f aca="false">ROUND(M890/24,2)</f>
        <v>0.14</v>
      </c>
    </row>
    <row r="891" customFormat="false" ht="15" hidden="false" customHeight="true" outlineLevel="0" collapsed="false">
      <c r="A891" s="6" t="n">
        <v>3</v>
      </c>
      <c r="B891" s="6" t="s">
        <v>2409</v>
      </c>
      <c r="C891" s="6" t="s">
        <v>1365</v>
      </c>
      <c r="D891" s="6" t="str">
        <f aca="false">A891&amp;"|"&amp;C891</f>
        <v>3|Fireship</v>
      </c>
      <c r="E891" s="6" t="s">
        <v>1558</v>
      </c>
      <c r="F891" s="6" t="s">
        <v>1540</v>
      </c>
      <c r="G891" s="6" t="str">
        <f aca="false">INDEX(Archetypes!$D$2:$D$127, MATCH(D891, Archetypes!$A$2:$A$127, 0))</f>
        <v>Naval Raider</v>
      </c>
      <c r="H891" s="6" t="n">
        <f aca="false">ROUND(INDEX(Archetypes!$E$2:$E$127, MATCH(D891, Archetypes!$A$2:$A$127, 0))*INDEX(Unit_Grades!$B$2:$B$7, MATCH(F891, Unit_Grades!$A$2:$A$7, 0))*INDEX(Unit_Paths!$B$2:$B$4, MATCH(E891, Unit_Paths!$A$2:$A$4, 0)),1)</f>
        <v>145.8</v>
      </c>
      <c r="I891" s="6" t="n">
        <f aca="false">ROUND(INDEX(Archetypes!$F$2:$F$127, MATCH(D891, Archetypes!$A$2:$A$127, 0))*INDEX(Unit_Grades!$B$2:$B$7, MATCH(F891, Unit_Grades!$A$2:$A$7, 0))*INDEX(Unit_Paths!$C$2:$C$4, MATCH(E891, Unit_Paths!$A$2:$A$4, 0)),1)</f>
        <v>6.9</v>
      </c>
      <c r="J891" s="6" t="n">
        <f aca="false">ROUND(INDEX(Archetypes!$G$2:$G$127, MATCH(D891, Archetypes!$A$2:$A$127, 0))*INDEX(Unit_Grades!$B$2:$B$7, MATCH(F891, Unit_Grades!$A$2:$A$7, 0))*INDEX(Unit_Paths!$D$2:$D$4, MATCH(E891, Unit_Paths!$A$2:$A$4, 0)),0)</f>
        <v>115</v>
      </c>
      <c r="K891" s="6" t="n">
        <f aca="false">ROUND(INDEX(Archetypes!$H$2:$H$127, MATCH(D891, Archetypes!$A$2:$A$127, 0))*INDEX(Unit_Paths!$E$2:$E$4, MATCH(E891, Unit_Paths!$A$2:$A$4, 0)),1)</f>
        <v>27.3</v>
      </c>
      <c r="L891" s="6" t="n">
        <f aca="false">ROUND(INDEX(Archetypes!$I$2:$I$127, MATCH(D891, Archetypes!$A$2:$A$127, 0))*INDEX(Unit_Grades!$C$2:$C$7, MATCH(F891, Unit_Grades!$A$2:$A$7, 0)),1)</f>
        <v>10</v>
      </c>
      <c r="M891" s="6" t="n">
        <f aca="false">ROUND(INDEX(Archetypes!$J$2:$J$127, MATCH(D891, Archetypes!$A$2:$A$127, 0))*INDEX(Unit_Grades!$D$2:$D$7, MATCH(F891, Unit_Grades!$A$2:$A$7, 0)),1)</f>
        <v>4.9</v>
      </c>
      <c r="N891" s="6" t="n">
        <f aca="false">ROUND(M891/24,2)</f>
        <v>0.2</v>
      </c>
    </row>
    <row r="892" customFormat="false" ht="15" hidden="false" customHeight="true" outlineLevel="0" collapsed="false">
      <c r="A892" s="6" t="n">
        <v>3</v>
      </c>
      <c r="B892" s="6" t="s">
        <v>2410</v>
      </c>
      <c r="C892" s="6" t="s">
        <v>1365</v>
      </c>
      <c r="D892" s="6" t="str">
        <f aca="false">A892&amp;"|"&amp;C892</f>
        <v>3|Fireship</v>
      </c>
      <c r="E892" s="6" t="s">
        <v>1558</v>
      </c>
      <c r="F892" s="6" t="s">
        <v>1542</v>
      </c>
      <c r="G892" s="6" t="str">
        <f aca="false">INDEX(Archetypes!$D$2:$D$127, MATCH(D892, Archetypes!$A$2:$A$127, 0))</f>
        <v>Naval Raider</v>
      </c>
      <c r="H892" s="6" t="n">
        <f aca="false">ROUND(INDEX(Archetypes!$E$2:$E$127, MATCH(D892, Archetypes!$A$2:$A$127, 0))*INDEX(Unit_Grades!$B$2:$B$7, MATCH(F892, Unit_Grades!$A$2:$A$7, 0))*INDEX(Unit_Paths!$B$2:$B$4, MATCH(E892, Unit_Paths!$A$2:$A$4, 0)),1)</f>
        <v>194.4</v>
      </c>
      <c r="I892" s="6" t="n">
        <f aca="false">ROUND(INDEX(Archetypes!$F$2:$F$127, MATCH(D892, Archetypes!$A$2:$A$127, 0))*INDEX(Unit_Grades!$B$2:$B$7, MATCH(F892, Unit_Grades!$A$2:$A$7, 0))*INDEX(Unit_Paths!$C$2:$C$4, MATCH(E892, Unit_Paths!$A$2:$A$4, 0)),1)</f>
        <v>9.2</v>
      </c>
      <c r="J892" s="6" t="n">
        <f aca="false">ROUND(INDEX(Archetypes!$G$2:$G$127, MATCH(D892, Archetypes!$A$2:$A$127, 0))*INDEX(Unit_Grades!$B$2:$B$7, MATCH(F892, Unit_Grades!$A$2:$A$7, 0))*INDEX(Unit_Paths!$D$2:$D$4, MATCH(E892, Unit_Paths!$A$2:$A$4, 0)),0)</f>
        <v>154</v>
      </c>
      <c r="K892" s="6" t="n">
        <f aca="false">ROUND(INDEX(Archetypes!$H$2:$H$127, MATCH(D892, Archetypes!$A$2:$A$127, 0))*INDEX(Unit_Paths!$E$2:$E$4, MATCH(E892, Unit_Paths!$A$2:$A$4, 0)),1)</f>
        <v>27.3</v>
      </c>
      <c r="L892" s="6" t="n">
        <f aca="false">ROUND(INDEX(Archetypes!$I$2:$I$127, MATCH(D892, Archetypes!$A$2:$A$127, 0))*INDEX(Unit_Grades!$C$2:$C$7, MATCH(F892, Unit_Grades!$A$2:$A$7, 0)),1)</f>
        <v>12.8</v>
      </c>
      <c r="M892" s="6" t="n">
        <f aca="false">ROUND(INDEX(Archetypes!$J$2:$J$127, MATCH(D892, Archetypes!$A$2:$A$127, 0))*INDEX(Unit_Grades!$D$2:$D$7, MATCH(F892, Unit_Grades!$A$2:$A$7, 0)),1)</f>
        <v>8.1</v>
      </c>
      <c r="N892" s="6" t="n">
        <f aca="false">ROUND(M892/24,2)</f>
        <v>0.34</v>
      </c>
    </row>
    <row r="893" customFormat="false" ht="15" hidden="false" customHeight="true" outlineLevel="0" collapsed="false">
      <c r="A893" s="6" t="n">
        <v>3</v>
      </c>
      <c r="B893" s="6" t="s">
        <v>2411</v>
      </c>
      <c r="C893" s="6" t="s">
        <v>1365</v>
      </c>
      <c r="D893" s="6" t="str">
        <f aca="false">A893&amp;"|"&amp;C893</f>
        <v>3|Fireship</v>
      </c>
      <c r="E893" s="6" t="s">
        <v>1558</v>
      </c>
      <c r="F893" s="6" t="s">
        <v>1544</v>
      </c>
      <c r="G893" s="6" t="str">
        <f aca="false">INDEX(Archetypes!$D$2:$D$127, MATCH(D893, Archetypes!$A$2:$A$127, 0))</f>
        <v>Naval Raider</v>
      </c>
      <c r="H893" s="6" t="n">
        <f aca="false">ROUND(INDEX(Archetypes!$E$2:$E$127, MATCH(D893, Archetypes!$A$2:$A$127, 0))*INDEX(Unit_Grades!$B$2:$B$7, MATCH(F893, Unit_Grades!$A$2:$A$7, 0))*INDEX(Unit_Paths!$B$2:$B$4, MATCH(E893, Unit_Paths!$A$2:$A$4, 0)),1)</f>
        <v>259.2</v>
      </c>
      <c r="I893" s="6" t="n">
        <f aca="false">ROUND(INDEX(Archetypes!$F$2:$F$127, MATCH(D893, Archetypes!$A$2:$A$127, 0))*INDEX(Unit_Grades!$B$2:$B$7, MATCH(F893, Unit_Grades!$A$2:$A$7, 0))*INDEX(Unit_Paths!$C$2:$C$4, MATCH(E893, Unit_Paths!$A$2:$A$4, 0)),1)</f>
        <v>12.2</v>
      </c>
      <c r="J893" s="6" t="n">
        <f aca="false">ROUND(INDEX(Archetypes!$G$2:$G$127, MATCH(D893, Archetypes!$A$2:$A$127, 0))*INDEX(Unit_Grades!$B$2:$B$7, MATCH(F893, Unit_Grades!$A$2:$A$7, 0))*INDEX(Unit_Paths!$D$2:$D$4, MATCH(E893, Unit_Paths!$A$2:$A$4, 0)),0)</f>
        <v>205</v>
      </c>
      <c r="K893" s="6" t="n">
        <f aca="false">ROUND(INDEX(Archetypes!$H$2:$H$127, MATCH(D893, Archetypes!$A$2:$A$127, 0))*INDEX(Unit_Paths!$E$2:$E$4, MATCH(E893, Unit_Paths!$A$2:$A$4, 0)),1)</f>
        <v>27.3</v>
      </c>
      <c r="L893" s="6" t="n">
        <f aca="false">ROUND(INDEX(Archetypes!$I$2:$I$127, MATCH(D893, Archetypes!$A$2:$A$127, 0))*INDEX(Unit_Grades!$C$2:$C$7, MATCH(F893, Unit_Grades!$A$2:$A$7, 0)),1)</f>
        <v>16.8</v>
      </c>
      <c r="M893" s="6" t="n">
        <f aca="false">ROUND(INDEX(Archetypes!$J$2:$J$127, MATCH(D893, Archetypes!$A$2:$A$127, 0))*INDEX(Unit_Grades!$D$2:$D$7, MATCH(F893, Unit_Grades!$A$2:$A$7, 0)),1)</f>
        <v>13</v>
      </c>
      <c r="N893" s="6" t="n">
        <f aca="false">ROUND(M893/24,2)</f>
        <v>0.54</v>
      </c>
    </row>
    <row r="894" customFormat="false" ht="15" hidden="false" customHeight="true" outlineLevel="0" collapsed="false">
      <c r="A894" s="6" t="n">
        <v>3</v>
      </c>
      <c r="B894" s="6" t="s">
        <v>2412</v>
      </c>
      <c r="C894" s="6" t="s">
        <v>1365</v>
      </c>
      <c r="D894" s="6" t="str">
        <f aca="false">A894&amp;"|"&amp;C894</f>
        <v>3|Fireship</v>
      </c>
      <c r="E894" s="6" t="s">
        <v>1558</v>
      </c>
      <c r="F894" s="6" t="s">
        <v>1546</v>
      </c>
      <c r="G894" s="6" t="str">
        <f aca="false">INDEX(Archetypes!$D$2:$D$127, MATCH(D894, Archetypes!$A$2:$A$127, 0))</f>
        <v>Naval Raider</v>
      </c>
      <c r="H894" s="6" t="n">
        <f aca="false">ROUND(INDEX(Archetypes!$E$2:$E$127, MATCH(D894, Archetypes!$A$2:$A$127, 0))*INDEX(Unit_Grades!$B$2:$B$7, MATCH(F894, Unit_Grades!$A$2:$A$7, 0))*INDEX(Unit_Paths!$B$2:$B$4, MATCH(E894, Unit_Paths!$A$2:$A$4, 0)),1)</f>
        <v>345.6</v>
      </c>
      <c r="I894" s="6" t="n">
        <f aca="false">ROUND(INDEX(Archetypes!$F$2:$F$127, MATCH(D894, Archetypes!$A$2:$A$127, 0))*INDEX(Unit_Grades!$B$2:$B$7, MATCH(F894, Unit_Grades!$A$2:$A$7, 0))*INDEX(Unit_Paths!$C$2:$C$4, MATCH(E894, Unit_Paths!$A$2:$A$4, 0)),1)</f>
        <v>16.3</v>
      </c>
      <c r="J894" s="6" t="n">
        <f aca="false">ROUND(INDEX(Archetypes!$G$2:$G$127, MATCH(D894, Archetypes!$A$2:$A$127, 0))*INDEX(Unit_Grades!$B$2:$B$7, MATCH(F894, Unit_Grades!$A$2:$A$7, 0))*INDEX(Unit_Paths!$D$2:$D$4, MATCH(E894, Unit_Paths!$A$2:$A$4, 0)),0)</f>
        <v>274</v>
      </c>
      <c r="K894" s="6" t="n">
        <f aca="false">ROUND(INDEX(Archetypes!$H$2:$H$127, MATCH(D894, Archetypes!$A$2:$A$127, 0))*INDEX(Unit_Paths!$E$2:$E$4, MATCH(E894, Unit_Paths!$A$2:$A$4, 0)),1)</f>
        <v>27.3</v>
      </c>
      <c r="L894" s="6" t="n">
        <f aca="false">ROUND(INDEX(Archetypes!$I$2:$I$127, MATCH(D894, Archetypes!$A$2:$A$127, 0))*INDEX(Unit_Grades!$C$2:$C$7, MATCH(F894, Unit_Grades!$A$2:$A$7, 0)),1)</f>
        <v>22.4</v>
      </c>
      <c r="M894" s="6" t="n">
        <f aca="false">ROUND(INDEX(Archetypes!$J$2:$J$127, MATCH(D894, Archetypes!$A$2:$A$127, 0))*INDEX(Unit_Grades!$D$2:$D$7, MATCH(F894, Unit_Grades!$A$2:$A$7, 0)),1)</f>
        <v>22.8</v>
      </c>
      <c r="N894" s="6" t="n">
        <f aca="false">ROUND(M894/24,2)</f>
        <v>0.95</v>
      </c>
    </row>
    <row r="895" customFormat="false" ht="15" hidden="false" customHeight="true" outlineLevel="0" collapsed="false">
      <c r="A895" s="6" t="n">
        <v>3</v>
      </c>
      <c r="B895" s="6" t="s">
        <v>2413</v>
      </c>
      <c r="C895" s="6" t="s">
        <v>1365</v>
      </c>
      <c r="D895" s="6" t="str">
        <f aca="false">A895&amp;"|"&amp;C895</f>
        <v>3|Fireship</v>
      </c>
      <c r="E895" s="6" t="s">
        <v>1558</v>
      </c>
      <c r="F895" s="6" t="s">
        <v>1548</v>
      </c>
      <c r="G895" s="6" t="str">
        <f aca="false">INDEX(Archetypes!$D$2:$D$127, MATCH(D895, Archetypes!$A$2:$A$127, 0))</f>
        <v>Naval Raider</v>
      </c>
      <c r="H895" s="6" t="n">
        <f aca="false">ROUND(INDEX(Archetypes!$E$2:$E$127, MATCH(D895, Archetypes!$A$2:$A$127, 0))*INDEX(Unit_Grades!$B$2:$B$7, MATCH(F895, Unit_Grades!$A$2:$A$7, 0))*INDEX(Unit_Paths!$B$2:$B$4, MATCH(E895, Unit_Paths!$A$2:$A$4, 0)),1)</f>
        <v>453.6</v>
      </c>
      <c r="I895" s="6" t="n">
        <f aca="false">ROUND(INDEX(Archetypes!$F$2:$F$127, MATCH(D895, Archetypes!$A$2:$A$127, 0))*INDEX(Unit_Grades!$B$2:$B$7, MATCH(F895, Unit_Grades!$A$2:$A$7, 0))*INDEX(Unit_Paths!$C$2:$C$4, MATCH(E895, Unit_Paths!$A$2:$A$4, 0)),1)</f>
        <v>21.4</v>
      </c>
      <c r="J895" s="6" t="n">
        <f aca="false">ROUND(INDEX(Archetypes!$G$2:$G$127, MATCH(D895, Archetypes!$A$2:$A$127, 0))*INDEX(Unit_Grades!$B$2:$B$7, MATCH(F895, Unit_Grades!$A$2:$A$7, 0))*INDEX(Unit_Paths!$D$2:$D$4, MATCH(E895, Unit_Paths!$A$2:$A$4, 0)),0)</f>
        <v>359</v>
      </c>
      <c r="K895" s="6" t="n">
        <f aca="false">ROUND(INDEX(Archetypes!$H$2:$H$127, MATCH(D895, Archetypes!$A$2:$A$127, 0))*INDEX(Unit_Paths!$E$2:$E$4, MATCH(E895, Unit_Paths!$A$2:$A$4, 0)),1)</f>
        <v>27.3</v>
      </c>
      <c r="L895" s="6" t="n">
        <f aca="false">ROUND(INDEX(Archetypes!$I$2:$I$127, MATCH(D895, Archetypes!$A$2:$A$127, 0))*INDEX(Unit_Grades!$C$2:$C$7, MATCH(F895, Unit_Grades!$A$2:$A$7, 0)),1)</f>
        <v>29.6</v>
      </c>
      <c r="M895" s="6" t="n">
        <f aca="false">ROUND(INDEX(Archetypes!$J$2:$J$127, MATCH(D895, Archetypes!$A$2:$A$127, 0))*INDEX(Unit_Grades!$D$2:$D$7, MATCH(F895, Unit_Grades!$A$2:$A$7, 0)),1)</f>
        <v>39</v>
      </c>
      <c r="N895" s="6" t="n">
        <f aca="false">ROUND(M895/24,2)</f>
        <v>1.63</v>
      </c>
    </row>
    <row r="896" customFormat="false" ht="15" hidden="false" customHeight="true" outlineLevel="0" collapsed="false">
      <c r="A896" s="6" t="n">
        <v>3</v>
      </c>
      <c r="B896" s="6" t="s">
        <v>2414</v>
      </c>
      <c r="C896" s="6" t="s">
        <v>1365</v>
      </c>
      <c r="D896" s="6" t="str">
        <f aca="false">A896&amp;"|"&amp;C896</f>
        <v>3|Fireship</v>
      </c>
      <c r="E896" s="6" t="s">
        <v>1560</v>
      </c>
      <c r="F896" s="6" t="s">
        <v>1538</v>
      </c>
      <c r="G896" s="6" t="str">
        <f aca="false">INDEX(Archetypes!$D$2:$D$127, MATCH(D896, Archetypes!$A$2:$A$127, 0))</f>
        <v>Naval Raider</v>
      </c>
      <c r="H896" s="6" t="n">
        <f aca="false">ROUND(INDEX(Archetypes!$E$2:$E$127, MATCH(D896, Archetypes!$A$2:$A$127, 0))*INDEX(Unit_Grades!$B$2:$B$7, MATCH(F896, Unit_Grades!$A$2:$A$7, 0))*INDEX(Unit_Paths!$B$2:$B$4, MATCH(E896, Unit_Paths!$A$2:$A$4, 0)),1)</f>
        <v>76.5</v>
      </c>
      <c r="I896" s="6" t="n">
        <f aca="false">ROUND(INDEX(Archetypes!$F$2:$F$127, MATCH(D896, Archetypes!$A$2:$A$127, 0))*INDEX(Unit_Grades!$B$2:$B$7, MATCH(F896, Unit_Grades!$A$2:$A$7, 0))*INDEX(Unit_Paths!$C$2:$C$4, MATCH(E896, Unit_Paths!$A$2:$A$4, 0)),1)</f>
        <v>7.5</v>
      </c>
      <c r="J896" s="6" t="n">
        <f aca="false">ROUND(INDEX(Archetypes!$G$2:$G$127, MATCH(D896, Archetypes!$A$2:$A$127, 0))*INDEX(Unit_Grades!$B$2:$B$7, MATCH(F896, Unit_Grades!$A$2:$A$7, 0))*INDEX(Unit_Paths!$D$2:$D$4, MATCH(E896, Unit_Paths!$A$2:$A$4, 0)),0)</f>
        <v>103</v>
      </c>
      <c r="K896" s="6" t="n">
        <f aca="false">ROUND(INDEX(Archetypes!$H$2:$H$127, MATCH(D896, Archetypes!$A$2:$A$127, 0))*INDEX(Unit_Paths!$E$2:$E$4, MATCH(E896, Unit_Paths!$A$2:$A$4, 0)),1)</f>
        <v>23.9</v>
      </c>
      <c r="L896" s="6" t="n">
        <f aca="false">ROUND(INDEX(Archetypes!$I$2:$I$127, MATCH(D896, Archetypes!$A$2:$A$127, 0))*INDEX(Unit_Grades!$C$2:$C$7, MATCH(F896, Unit_Grades!$A$2:$A$7, 0)),1)</f>
        <v>8</v>
      </c>
      <c r="M896" s="6" t="n">
        <f aca="false">ROUND(INDEX(Archetypes!$J$2:$J$127, MATCH(D896, Archetypes!$A$2:$A$127, 0))*INDEX(Unit_Grades!$D$2:$D$7, MATCH(F896, Unit_Grades!$A$2:$A$7, 0)),1)</f>
        <v>3.3</v>
      </c>
      <c r="N896" s="6" t="n">
        <f aca="false">ROUND(M896/24,2)</f>
        <v>0.14</v>
      </c>
    </row>
    <row r="897" customFormat="false" ht="15" hidden="false" customHeight="true" outlineLevel="0" collapsed="false">
      <c r="A897" s="6" t="n">
        <v>3</v>
      </c>
      <c r="B897" s="6" t="s">
        <v>2415</v>
      </c>
      <c r="C897" s="6" t="s">
        <v>1365</v>
      </c>
      <c r="D897" s="6" t="str">
        <f aca="false">A897&amp;"|"&amp;C897</f>
        <v>3|Fireship</v>
      </c>
      <c r="E897" s="6" t="s">
        <v>1560</v>
      </c>
      <c r="F897" s="6" t="s">
        <v>1540</v>
      </c>
      <c r="G897" s="6" t="str">
        <f aca="false">INDEX(Archetypes!$D$2:$D$127, MATCH(D897, Archetypes!$A$2:$A$127, 0))</f>
        <v>Naval Raider</v>
      </c>
      <c r="H897" s="6" t="n">
        <f aca="false">ROUND(INDEX(Archetypes!$E$2:$E$127, MATCH(D897, Archetypes!$A$2:$A$127, 0))*INDEX(Unit_Grades!$B$2:$B$7, MATCH(F897, Unit_Grades!$A$2:$A$7, 0))*INDEX(Unit_Paths!$B$2:$B$4, MATCH(E897, Unit_Paths!$A$2:$A$4, 0)),1)</f>
        <v>103.3</v>
      </c>
      <c r="I897" s="6" t="n">
        <f aca="false">ROUND(INDEX(Archetypes!$F$2:$F$127, MATCH(D897, Archetypes!$A$2:$A$127, 0))*INDEX(Unit_Grades!$B$2:$B$7, MATCH(F897, Unit_Grades!$A$2:$A$7, 0))*INDEX(Unit_Paths!$C$2:$C$4, MATCH(E897, Unit_Paths!$A$2:$A$4, 0)),1)</f>
        <v>10.1</v>
      </c>
      <c r="J897" s="6" t="n">
        <f aca="false">ROUND(INDEX(Archetypes!$G$2:$G$127, MATCH(D897, Archetypes!$A$2:$A$127, 0))*INDEX(Unit_Grades!$B$2:$B$7, MATCH(F897, Unit_Grades!$A$2:$A$7, 0))*INDEX(Unit_Paths!$D$2:$D$4, MATCH(E897, Unit_Paths!$A$2:$A$4, 0)),0)</f>
        <v>140</v>
      </c>
      <c r="K897" s="6" t="n">
        <f aca="false">ROUND(INDEX(Archetypes!$H$2:$H$127, MATCH(D897, Archetypes!$A$2:$A$127, 0))*INDEX(Unit_Paths!$E$2:$E$4, MATCH(E897, Unit_Paths!$A$2:$A$4, 0)),1)</f>
        <v>23.9</v>
      </c>
      <c r="L897" s="6" t="n">
        <f aca="false">ROUND(INDEX(Archetypes!$I$2:$I$127, MATCH(D897, Archetypes!$A$2:$A$127, 0))*INDEX(Unit_Grades!$C$2:$C$7, MATCH(F897, Unit_Grades!$A$2:$A$7, 0)),1)</f>
        <v>10</v>
      </c>
      <c r="M897" s="6" t="n">
        <f aca="false">ROUND(INDEX(Archetypes!$J$2:$J$127, MATCH(D897, Archetypes!$A$2:$A$127, 0))*INDEX(Unit_Grades!$D$2:$D$7, MATCH(F897, Unit_Grades!$A$2:$A$7, 0)),1)</f>
        <v>4.9</v>
      </c>
      <c r="N897" s="6" t="n">
        <f aca="false">ROUND(M897/24,2)</f>
        <v>0.2</v>
      </c>
    </row>
    <row r="898" customFormat="false" ht="15" hidden="false" customHeight="true" outlineLevel="0" collapsed="false">
      <c r="A898" s="6" t="n">
        <v>3</v>
      </c>
      <c r="B898" s="6" t="s">
        <v>2416</v>
      </c>
      <c r="C898" s="6" t="s">
        <v>1365</v>
      </c>
      <c r="D898" s="6" t="str">
        <f aca="false">A898&amp;"|"&amp;C898</f>
        <v>3|Fireship</v>
      </c>
      <c r="E898" s="6" t="s">
        <v>1560</v>
      </c>
      <c r="F898" s="6" t="s">
        <v>1542</v>
      </c>
      <c r="G898" s="6" t="str">
        <f aca="false">INDEX(Archetypes!$D$2:$D$127, MATCH(D898, Archetypes!$A$2:$A$127, 0))</f>
        <v>Naval Raider</v>
      </c>
      <c r="H898" s="6" t="n">
        <f aca="false">ROUND(INDEX(Archetypes!$E$2:$E$127, MATCH(D898, Archetypes!$A$2:$A$127, 0))*INDEX(Unit_Grades!$B$2:$B$7, MATCH(F898, Unit_Grades!$A$2:$A$7, 0))*INDEX(Unit_Paths!$B$2:$B$4, MATCH(E898, Unit_Paths!$A$2:$A$4, 0)),1)</f>
        <v>137.7</v>
      </c>
      <c r="I898" s="6" t="n">
        <f aca="false">ROUND(INDEX(Archetypes!$F$2:$F$127, MATCH(D898, Archetypes!$A$2:$A$127, 0))*INDEX(Unit_Grades!$B$2:$B$7, MATCH(F898, Unit_Grades!$A$2:$A$7, 0))*INDEX(Unit_Paths!$C$2:$C$4, MATCH(E898, Unit_Paths!$A$2:$A$4, 0)),1)</f>
        <v>13.5</v>
      </c>
      <c r="J898" s="6" t="n">
        <f aca="false">ROUND(INDEX(Archetypes!$G$2:$G$127, MATCH(D898, Archetypes!$A$2:$A$127, 0))*INDEX(Unit_Grades!$B$2:$B$7, MATCH(F898, Unit_Grades!$A$2:$A$7, 0))*INDEX(Unit_Paths!$D$2:$D$4, MATCH(E898, Unit_Paths!$A$2:$A$4, 0)),0)</f>
        <v>186</v>
      </c>
      <c r="K898" s="6" t="n">
        <f aca="false">ROUND(INDEX(Archetypes!$H$2:$H$127, MATCH(D898, Archetypes!$A$2:$A$127, 0))*INDEX(Unit_Paths!$E$2:$E$4, MATCH(E898, Unit_Paths!$A$2:$A$4, 0)),1)</f>
        <v>23.9</v>
      </c>
      <c r="L898" s="6" t="n">
        <f aca="false">ROUND(INDEX(Archetypes!$I$2:$I$127, MATCH(D898, Archetypes!$A$2:$A$127, 0))*INDEX(Unit_Grades!$C$2:$C$7, MATCH(F898, Unit_Grades!$A$2:$A$7, 0)),1)</f>
        <v>12.8</v>
      </c>
      <c r="M898" s="6" t="n">
        <f aca="false">ROUND(INDEX(Archetypes!$J$2:$J$127, MATCH(D898, Archetypes!$A$2:$A$127, 0))*INDEX(Unit_Grades!$D$2:$D$7, MATCH(F898, Unit_Grades!$A$2:$A$7, 0)),1)</f>
        <v>8.1</v>
      </c>
      <c r="N898" s="6" t="n">
        <f aca="false">ROUND(M898/24,2)</f>
        <v>0.34</v>
      </c>
    </row>
    <row r="899" customFormat="false" ht="15" hidden="false" customHeight="true" outlineLevel="0" collapsed="false">
      <c r="A899" s="6" t="n">
        <v>3</v>
      </c>
      <c r="B899" s="6" t="s">
        <v>2417</v>
      </c>
      <c r="C899" s="6" t="s">
        <v>1365</v>
      </c>
      <c r="D899" s="6" t="str">
        <f aca="false">A899&amp;"|"&amp;C899</f>
        <v>3|Fireship</v>
      </c>
      <c r="E899" s="6" t="s">
        <v>1560</v>
      </c>
      <c r="F899" s="6" t="s">
        <v>1544</v>
      </c>
      <c r="G899" s="6" t="str">
        <f aca="false">INDEX(Archetypes!$D$2:$D$127, MATCH(D899, Archetypes!$A$2:$A$127, 0))</f>
        <v>Naval Raider</v>
      </c>
      <c r="H899" s="6" t="n">
        <f aca="false">ROUND(INDEX(Archetypes!$E$2:$E$127, MATCH(D899, Archetypes!$A$2:$A$127, 0))*INDEX(Unit_Grades!$B$2:$B$7, MATCH(F899, Unit_Grades!$A$2:$A$7, 0))*INDEX(Unit_Paths!$B$2:$B$4, MATCH(E899, Unit_Paths!$A$2:$A$4, 0)),1)</f>
        <v>183.6</v>
      </c>
      <c r="I899" s="6" t="n">
        <f aca="false">ROUND(INDEX(Archetypes!$F$2:$F$127, MATCH(D899, Archetypes!$A$2:$A$127, 0))*INDEX(Unit_Grades!$B$2:$B$7, MATCH(F899, Unit_Grades!$A$2:$A$7, 0))*INDEX(Unit_Paths!$C$2:$C$4, MATCH(E899, Unit_Paths!$A$2:$A$4, 0)),1)</f>
        <v>18</v>
      </c>
      <c r="J899" s="6" t="n">
        <f aca="false">ROUND(INDEX(Archetypes!$G$2:$G$127, MATCH(D899, Archetypes!$A$2:$A$127, 0))*INDEX(Unit_Grades!$B$2:$B$7, MATCH(F899, Unit_Grades!$A$2:$A$7, 0))*INDEX(Unit_Paths!$D$2:$D$4, MATCH(E899, Unit_Paths!$A$2:$A$4, 0)),0)</f>
        <v>248</v>
      </c>
      <c r="K899" s="6" t="n">
        <f aca="false">ROUND(INDEX(Archetypes!$H$2:$H$127, MATCH(D899, Archetypes!$A$2:$A$127, 0))*INDEX(Unit_Paths!$E$2:$E$4, MATCH(E899, Unit_Paths!$A$2:$A$4, 0)),1)</f>
        <v>23.9</v>
      </c>
      <c r="L899" s="6" t="n">
        <f aca="false">ROUND(INDEX(Archetypes!$I$2:$I$127, MATCH(D899, Archetypes!$A$2:$A$127, 0))*INDEX(Unit_Grades!$C$2:$C$7, MATCH(F899, Unit_Grades!$A$2:$A$7, 0)),1)</f>
        <v>16.8</v>
      </c>
      <c r="M899" s="6" t="n">
        <f aca="false">ROUND(INDEX(Archetypes!$J$2:$J$127, MATCH(D899, Archetypes!$A$2:$A$127, 0))*INDEX(Unit_Grades!$D$2:$D$7, MATCH(F899, Unit_Grades!$A$2:$A$7, 0)),1)</f>
        <v>13</v>
      </c>
      <c r="N899" s="6" t="n">
        <f aca="false">ROUND(M899/24,2)</f>
        <v>0.54</v>
      </c>
    </row>
    <row r="900" customFormat="false" ht="15" hidden="false" customHeight="true" outlineLevel="0" collapsed="false">
      <c r="A900" s="6" t="n">
        <v>3</v>
      </c>
      <c r="B900" s="6" t="s">
        <v>2418</v>
      </c>
      <c r="C900" s="6" t="s">
        <v>1365</v>
      </c>
      <c r="D900" s="6" t="str">
        <f aca="false">A900&amp;"|"&amp;C900</f>
        <v>3|Fireship</v>
      </c>
      <c r="E900" s="6" t="s">
        <v>1560</v>
      </c>
      <c r="F900" s="6" t="s">
        <v>1546</v>
      </c>
      <c r="G900" s="6" t="str">
        <f aca="false">INDEX(Archetypes!$D$2:$D$127, MATCH(D900, Archetypes!$A$2:$A$127, 0))</f>
        <v>Naval Raider</v>
      </c>
      <c r="H900" s="6" t="n">
        <f aca="false">ROUND(INDEX(Archetypes!$E$2:$E$127, MATCH(D900, Archetypes!$A$2:$A$127, 0))*INDEX(Unit_Grades!$B$2:$B$7, MATCH(F900, Unit_Grades!$A$2:$A$7, 0))*INDEX(Unit_Paths!$B$2:$B$4, MATCH(E900, Unit_Paths!$A$2:$A$4, 0)),1)</f>
        <v>244.8</v>
      </c>
      <c r="I900" s="6" t="n">
        <f aca="false">ROUND(INDEX(Archetypes!$F$2:$F$127, MATCH(D900, Archetypes!$A$2:$A$127, 0))*INDEX(Unit_Grades!$B$2:$B$7, MATCH(F900, Unit_Grades!$A$2:$A$7, 0))*INDEX(Unit_Paths!$C$2:$C$4, MATCH(E900, Unit_Paths!$A$2:$A$4, 0)),1)</f>
        <v>24</v>
      </c>
      <c r="J900" s="6" t="n">
        <f aca="false">ROUND(INDEX(Archetypes!$G$2:$G$127, MATCH(D900, Archetypes!$A$2:$A$127, 0))*INDEX(Unit_Grades!$B$2:$B$7, MATCH(F900, Unit_Grades!$A$2:$A$7, 0))*INDEX(Unit_Paths!$D$2:$D$4, MATCH(E900, Unit_Paths!$A$2:$A$4, 0)),0)</f>
        <v>331</v>
      </c>
      <c r="K900" s="6" t="n">
        <f aca="false">ROUND(INDEX(Archetypes!$H$2:$H$127, MATCH(D900, Archetypes!$A$2:$A$127, 0))*INDEX(Unit_Paths!$E$2:$E$4, MATCH(E900, Unit_Paths!$A$2:$A$4, 0)),1)</f>
        <v>23.9</v>
      </c>
      <c r="L900" s="6" t="n">
        <f aca="false">ROUND(INDEX(Archetypes!$I$2:$I$127, MATCH(D900, Archetypes!$A$2:$A$127, 0))*INDEX(Unit_Grades!$C$2:$C$7, MATCH(F900, Unit_Grades!$A$2:$A$7, 0)),1)</f>
        <v>22.4</v>
      </c>
      <c r="M900" s="6" t="n">
        <f aca="false">ROUND(INDEX(Archetypes!$J$2:$J$127, MATCH(D900, Archetypes!$A$2:$A$127, 0))*INDEX(Unit_Grades!$D$2:$D$7, MATCH(F900, Unit_Grades!$A$2:$A$7, 0)),1)</f>
        <v>22.8</v>
      </c>
      <c r="N900" s="6" t="n">
        <f aca="false">ROUND(M900/24,2)</f>
        <v>0.95</v>
      </c>
    </row>
    <row r="901" customFormat="false" ht="15" hidden="false" customHeight="true" outlineLevel="0" collapsed="false">
      <c r="A901" s="6" t="n">
        <v>3</v>
      </c>
      <c r="B901" s="6" t="s">
        <v>2419</v>
      </c>
      <c r="C901" s="6" t="s">
        <v>1365</v>
      </c>
      <c r="D901" s="6" t="str">
        <f aca="false">A901&amp;"|"&amp;C901</f>
        <v>3|Fireship</v>
      </c>
      <c r="E901" s="6" t="s">
        <v>1560</v>
      </c>
      <c r="F901" s="6" t="s">
        <v>1548</v>
      </c>
      <c r="G901" s="6" t="str">
        <f aca="false">INDEX(Archetypes!$D$2:$D$127, MATCH(D901, Archetypes!$A$2:$A$127, 0))</f>
        <v>Naval Raider</v>
      </c>
      <c r="H901" s="6" t="n">
        <f aca="false">ROUND(INDEX(Archetypes!$E$2:$E$127, MATCH(D901, Archetypes!$A$2:$A$127, 0))*INDEX(Unit_Grades!$B$2:$B$7, MATCH(F901, Unit_Grades!$A$2:$A$7, 0))*INDEX(Unit_Paths!$B$2:$B$4, MATCH(E901, Unit_Paths!$A$2:$A$4, 0)),1)</f>
        <v>321.3</v>
      </c>
      <c r="I901" s="6" t="n">
        <f aca="false">ROUND(INDEX(Archetypes!$F$2:$F$127, MATCH(D901, Archetypes!$A$2:$A$127, 0))*INDEX(Unit_Grades!$B$2:$B$7, MATCH(F901, Unit_Grades!$A$2:$A$7, 0))*INDEX(Unit_Paths!$C$2:$C$4, MATCH(E901, Unit_Paths!$A$2:$A$4, 0)),1)</f>
        <v>31.5</v>
      </c>
      <c r="J901" s="6" t="n">
        <f aca="false">ROUND(INDEX(Archetypes!$G$2:$G$127, MATCH(D901, Archetypes!$A$2:$A$127, 0))*INDEX(Unit_Grades!$B$2:$B$7, MATCH(F901, Unit_Grades!$A$2:$A$7, 0))*INDEX(Unit_Paths!$D$2:$D$4, MATCH(E901, Unit_Paths!$A$2:$A$4, 0)),0)</f>
        <v>435</v>
      </c>
      <c r="K901" s="6" t="n">
        <f aca="false">ROUND(INDEX(Archetypes!$H$2:$H$127, MATCH(D901, Archetypes!$A$2:$A$127, 0))*INDEX(Unit_Paths!$E$2:$E$4, MATCH(E901, Unit_Paths!$A$2:$A$4, 0)),1)</f>
        <v>23.9</v>
      </c>
      <c r="L901" s="6" t="n">
        <f aca="false">ROUND(INDEX(Archetypes!$I$2:$I$127, MATCH(D901, Archetypes!$A$2:$A$127, 0))*INDEX(Unit_Grades!$C$2:$C$7, MATCH(F901, Unit_Grades!$A$2:$A$7, 0)),1)</f>
        <v>29.6</v>
      </c>
      <c r="M901" s="6" t="n">
        <f aca="false">ROUND(INDEX(Archetypes!$J$2:$J$127, MATCH(D901, Archetypes!$A$2:$A$127, 0))*INDEX(Unit_Grades!$D$2:$D$7, MATCH(F901, Unit_Grades!$A$2:$A$7, 0)),1)</f>
        <v>39</v>
      </c>
      <c r="N901" s="6" t="n">
        <f aca="false">ROUND(M901/24,2)</f>
        <v>1.63</v>
      </c>
    </row>
    <row r="902" customFormat="false" ht="15" hidden="false" customHeight="true" outlineLevel="0" collapsed="false">
      <c r="A902" s="6" t="n">
        <v>3</v>
      </c>
      <c r="B902" s="6" t="s">
        <v>1367</v>
      </c>
      <c r="C902" s="6" t="s">
        <v>1367</v>
      </c>
      <c r="D902" s="6" t="str">
        <f aca="false">A902&amp;"|"&amp;C902</f>
        <v>3|Colonist</v>
      </c>
      <c r="E902" s="6" t="s">
        <v>1556</v>
      </c>
      <c r="F902" s="6" t="s">
        <v>1538</v>
      </c>
      <c r="G902" s="6" t="str">
        <f aca="false">INDEX(Archetypes!$D$2:$D$127, MATCH(D902, Archetypes!$A$2:$A$127, 0))</f>
        <v>Logistics</v>
      </c>
      <c r="H902" s="6" t="n">
        <f aca="false">ROUND(INDEX(Archetypes!$E$2:$E$127, MATCH(D902, Archetypes!$A$2:$A$127, 0))*INDEX(Unit_Grades!$B$2:$B$7, MATCH(F902, Unit_Grades!$A$2:$A$7, 0))*INDEX(Unit_Paths!$B$2:$B$4, MATCH(E902, Unit_Paths!$A$2:$A$4, 0)),1)</f>
        <v>2</v>
      </c>
      <c r="I902" s="6" t="n">
        <f aca="false">ROUND(INDEX(Archetypes!$F$2:$F$127, MATCH(D902, Archetypes!$A$2:$A$127, 0))*INDEX(Unit_Grades!$B$2:$B$7, MATCH(F902, Unit_Grades!$A$2:$A$7, 0))*INDEX(Unit_Paths!$C$2:$C$4, MATCH(E902, Unit_Paths!$A$2:$A$4, 0)),1)</f>
        <v>12</v>
      </c>
      <c r="J902" s="6" t="n">
        <f aca="false">ROUND(INDEX(Archetypes!$G$2:$G$127, MATCH(D902, Archetypes!$A$2:$A$127, 0))*INDEX(Unit_Grades!$B$2:$B$7, MATCH(F902, Unit_Grades!$A$2:$A$7, 0))*INDEX(Unit_Paths!$D$2:$D$4, MATCH(E902, Unit_Paths!$A$2:$A$4, 0)),0)</f>
        <v>110</v>
      </c>
      <c r="K902" s="6" t="n">
        <f aca="false">ROUND(INDEX(Archetypes!$H$2:$H$127, MATCH(D902, Archetypes!$A$2:$A$127, 0))*INDEX(Unit_Paths!$E$2:$E$4, MATCH(E902, Unit_Paths!$A$2:$A$4, 0)),1)</f>
        <v>16</v>
      </c>
      <c r="L902" s="6" t="n">
        <f aca="false">ROUND(INDEX(Archetypes!$I$2:$I$127, MATCH(D902, Archetypes!$A$2:$A$127, 0))*INDEX(Unit_Grades!$C$2:$C$7, MATCH(F902, Unit_Grades!$A$2:$A$7, 0)),1)</f>
        <v>10</v>
      </c>
      <c r="M902" s="6" t="n">
        <f aca="false">ROUND(INDEX(Archetypes!$J$2:$J$127, MATCH(D902, Archetypes!$A$2:$A$127, 0))*INDEX(Unit_Grades!$D$2:$D$7, MATCH(F902, Unit_Grades!$A$2:$A$7, 0)),1)</f>
        <v>4.1</v>
      </c>
      <c r="N902" s="6" t="n">
        <f aca="false">ROUND(M902/24,2)</f>
        <v>0.17</v>
      </c>
    </row>
    <row r="903" customFormat="false" ht="15" hidden="false" customHeight="true" outlineLevel="0" collapsed="false">
      <c r="A903" s="6" t="n">
        <v>3</v>
      </c>
      <c r="B903" s="6" t="s">
        <v>2420</v>
      </c>
      <c r="C903" s="6" t="s">
        <v>1367</v>
      </c>
      <c r="D903" s="6" t="str">
        <f aca="false">A903&amp;"|"&amp;C903</f>
        <v>3|Colonist</v>
      </c>
      <c r="E903" s="6" t="s">
        <v>1556</v>
      </c>
      <c r="F903" s="6" t="s">
        <v>1540</v>
      </c>
      <c r="G903" s="6" t="str">
        <f aca="false">INDEX(Archetypes!$D$2:$D$127, MATCH(D903, Archetypes!$A$2:$A$127, 0))</f>
        <v>Logistics</v>
      </c>
      <c r="H903" s="6" t="n">
        <f aca="false">ROUND(INDEX(Archetypes!$E$2:$E$127, MATCH(D903, Archetypes!$A$2:$A$127, 0))*INDEX(Unit_Grades!$B$2:$B$7, MATCH(F903, Unit_Grades!$A$2:$A$7, 0))*INDEX(Unit_Paths!$B$2:$B$4, MATCH(E903, Unit_Paths!$A$2:$A$4, 0)),1)</f>
        <v>2.7</v>
      </c>
      <c r="I903" s="6" t="n">
        <f aca="false">ROUND(INDEX(Archetypes!$F$2:$F$127, MATCH(D903, Archetypes!$A$2:$A$127, 0))*INDEX(Unit_Grades!$B$2:$B$7, MATCH(F903, Unit_Grades!$A$2:$A$7, 0))*INDEX(Unit_Paths!$C$2:$C$4, MATCH(E903, Unit_Paths!$A$2:$A$4, 0)),1)</f>
        <v>16.2</v>
      </c>
      <c r="J903" s="6" t="n">
        <f aca="false">ROUND(INDEX(Archetypes!$G$2:$G$127, MATCH(D903, Archetypes!$A$2:$A$127, 0))*INDEX(Unit_Grades!$B$2:$B$7, MATCH(F903, Unit_Grades!$A$2:$A$7, 0))*INDEX(Unit_Paths!$D$2:$D$4, MATCH(E903, Unit_Paths!$A$2:$A$4, 0)),0)</f>
        <v>149</v>
      </c>
      <c r="K903" s="6" t="n">
        <f aca="false">ROUND(INDEX(Archetypes!$H$2:$H$127, MATCH(D903, Archetypes!$A$2:$A$127, 0))*INDEX(Unit_Paths!$E$2:$E$4, MATCH(E903, Unit_Paths!$A$2:$A$4, 0)),1)</f>
        <v>16</v>
      </c>
      <c r="L903" s="6" t="n">
        <f aca="false">ROUND(INDEX(Archetypes!$I$2:$I$127, MATCH(D903, Archetypes!$A$2:$A$127, 0))*INDEX(Unit_Grades!$C$2:$C$7, MATCH(F903, Unit_Grades!$A$2:$A$7, 0)),1)</f>
        <v>12.5</v>
      </c>
      <c r="M903" s="6" t="n">
        <f aca="false">ROUND(INDEX(Archetypes!$J$2:$J$127, MATCH(D903, Archetypes!$A$2:$A$127, 0))*INDEX(Unit_Grades!$D$2:$D$7, MATCH(F903, Unit_Grades!$A$2:$A$7, 0)),1)</f>
        <v>6.1</v>
      </c>
      <c r="N903" s="6" t="n">
        <f aca="false">ROUND(M903/24,2)</f>
        <v>0.25</v>
      </c>
    </row>
    <row r="904" customFormat="false" ht="15" hidden="false" customHeight="true" outlineLevel="0" collapsed="false">
      <c r="A904" s="6" t="n">
        <v>3</v>
      </c>
      <c r="B904" s="6" t="s">
        <v>2421</v>
      </c>
      <c r="C904" s="6" t="s">
        <v>1367</v>
      </c>
      <c r="D904" s="6" t="str">
        <f aca="false">A904&amp;"|"&amp;C904</f>
        <v>3|Colonist</v>
      </c>
      <c r="E904" s="6" t="s">
        <v>1556</v>
      </c>
      <c r="F904" s="6" t="s">
        <v>1542</v>
      </c>
      <c r="G904" s="6" t="str">
        <f aca="false">INDEX(Archetypes!$D$2:$D$127, MATCH(D904, Archetypes!$A$2:$A$127, 0))</f>
        <v>Logistics</v>
      </c>
      <c r="H904" s="6" t="n">
        <f aca="false">ROUND(INDEX(Archetypes!$E$2:$E$127, MATCH(D904, Archetypes!$A$2:$A$127, 0))*INDEX(Unit_Grades!$B$2:$B$7, MATCH(F904, Unit_Grades!$A$2:$A$7, 0))*INDEX(Unit_Paths!$B$2:$B$4, MATCH(E904, Unit_Paths!$A$2:$A$4, 0)),1)</f>
        <v>3.6</v>
      </c>
      <c r="I904" s="6" t="n">
        <f aca="false">ROUND(INDEX(Archetypes!$F$2:$F$127, MATCH(D904, Archetypes!$A$2:$A$127, 0))*INDEX(Unit_Grades!$B$2:$B$7, MATCH(F904, Unit_Grades!$A$2:$A$7, 0))*INDEX(Unit_Paths!$C$2:$C$4, MATCH(E904, Unit_Paths!$A$2:$A$4, 0)),1)</f>
        <v>21.6</v>
      </c>
      <c r="J904" s="6" t="n">
        <f aca="false">ROUND(INDEX(Archetypes!$G$2:$G$127, MATCH(D904, Archetypes!$A$2:$A$127, 0))*INDEX(Unit_Grades!$B$2:$B$7, MATCH(F904, Unit_Grades!$A$2:$A$7, 0))*INDEX(Unit_Paths!$D$2:$D$4, MATCH(E904, Unit_Paths!$A$2:$A$4, 0)),0)</f>
        <v>198</v>
      </c>
      <c r="K904" s="6" t="n">
        <f aca="false">ROUND(INDEX(Archetypes!$H$2:$H$127, MATCH(D904, Archetypes!$A$2:$A$127, 0))*INDEX(Unit_Paths!$E$2:$E$4, MATCH(E904, Unit_Paths!$A$2:$A$4, 0)),1)</f>
        <v>16</v>
      </c>
      <c r="L904" s="6" t="n">
        <f aca="false">ROUND(INDEX(Archetypes!$I$2:$I$127, MATCH(D904, Archetypes!$A$2:$A$127, 0))*INDEX(Unit_Grades!$C$2:$C$7, MATCH(F904, Unit_Grades!$A$2:$A$7, 0)),1)</f>
        <v>16</v>
      </c>
      <c r="M904" s="6" t="n">
        <f aca="false">ROUND(INDEX(Archetypes!$J$2:$J$127, MATCH(D904, Archetypes!$A$2:$A$127, 0))*INDEX(Unit_Grades!$D$2:$D$7, MATCH(F904, Unit_Grades!$A$2:$A$7, 0)),1)</f>
        <v>10.2</v>
      </c>
      <c r="N904" s="6" t="n">
        <f aca="false">ROUND(M904/24,2)</f>
        <v>0.43</v>
      </c>
    </row>
    <row r="905" customFormat="false" ht="15" hidden="false" customHeight="true" outlineLevel="0" collapsed="false">
      <c r="A905" s="6" t="n">
        <v>3</v>
      </c>
      <c r="B905" s="6" t="s">
        <v>2422</v>
      </c>
      <c r="C905" s="6" t="s">
        <v>1367</v>
      </c>
      <c r="D905" s="6" t="str">
        <f aca="false">A905&amp;"|"&amp;C905</f>
        <v>3|Colonist</v>
      </c>
      <c r="E905" s="6" t="s">
        <v>1556</v>
      </c>
      <c r="F905" s="6" t="s">
        <v>1544</v>
      </c>
      <c r="G905" s="6" t="str">
        <f aca="false">INDEX(Archetypes!$D$2:$D$127, MATCH(D905, Archetypes!$A$2:$A$127, 0))</f>
        <v>Logistics</v>
      </c>
      <c r="H905" s="6" t="n">
        <f aca="false">ROUND(INDEX(Archetypes!$E$2:$E$127, MATCH(D905, Archetypes!$A$2:$A$127, 0))*INDEX(Unit_Grades!$B$2:$B$7, MATCH(F905, Unit_Grades!$A$2:$A$7, 0))*INDEX(Unit_Paths!$B$2:$B$4, MATCH(E905, Unit_Paths!$A$2:$A$4, 0)),1)</f>
        <v>4.8</v>
      </c>
      <c r="I905" s="6" t="n">
        <f aca="false">ROUND(INDEX(Archetypes!$F$2:$F$127, MATCH(D905, Archetypes!$A$2:$A$127, 0))*INDEX(Unit_Grades!$B$2:$B$7, MATCH(F905, Unit_Grades!$A$2:$A$7, 0))*INDEX(Unit_Paths!$C$2:$C$4, MATCH(E905, Unit_Paths!$A$2:$A$4, 0)),1)</f>
        <v>28.8</v>
      </c>
      <c r="J905" s="6" t="n">
        <f aca="false">ROUND(INDEX(Archetypes!$G$2:$G$127, MATCH(D905, Archetypes!$A$2:$A$127, 0))*INDEX(Unit_Grades!$B$2:$B$7, MATCH(F905, Unit_Grades!$A$2:$A$7, 0))*INDEX(Unit_Paths!$D$2:$D$4, MATCH(E905, Unit_Paths!$A$2:$A$4, 0)),0)</f>
        <v>264</v>
      </c>
      <c r="K905" s="6" t="n">
        <f aca="false">ROUND(INDEX(Archetypes!$H$2:$H$127, MATCH(D905, Archetypes!$A$2:$A$127, 0))*INDEX(Unit_Paths!$E$2:$E$4, MATCH(E905, Unit_Paths!$A$2:$A$4, 0)),1)</f>
        <v>16</v>
      </c>
      <c r="L905" s="6" t="n">
        <f aca="false">ROUND(INDEX(Archetypes!$I$2:$I$127, MATCH(D905, Archetypes!$A$2:$A$127, 0))*INDEX(Unit_Grades!$C$2:$C$7, MATCH(F905, Unit_Grades!$A$2:$A$7, 0)),1)</f>
        <v>21</v>
      </c>
      <c r="M905" s="6" t="n">
        <f aca="false">ROUND(INDEX(Archetypes!$J$2:$J$127, MATCH(D905, Archetypes!$A$2:$A$127, 0))*INDEX(Unit_Grades!$D$2:$D$7, MATCH(F905, Unit_Grades!$A$2:$A$7, 0)),1)</f>
        <v>16.2</v>
      </c>
      <c r="N905" s="6" t="n">
        <f aca="false">ROUND(M905/24,2)</f>
        <v>0.68</v>
      </c>
    </row>
    <row r="906" customFormat="false" ht="15" hidden="false" customHeight="true" outlineLevel="0" collapsed="false">
      <c r="A906" s="6" t="n">
        <v>3</v>
      </c>
      <c r="B906" s="6" t="s">
        <v>2423</v>
      </c>
      <c r="C906" s="6" t="s">
        <v>1367</v>
      </c>
      <c r="D906" s="6" t="str">
        <f aca="false">A906&amp;"|"&amp;C906</f>
        <v>3|Colonist</v>
      </c>
      <c r="E906" s="6" t="s">
        <v>1556</v>
      </c>
      <c r="F906" s="6" t="s">
        <v>1546</v>
      </c>
      <c r="G906" s="6" t="str">
        <f aca="false">INDEX(Archetypes!$D$2:$D$127, MATCH(D906, Archetypes!$A$2:$A$127, 0))</f>
        <v>Logistics</v>
      </c>
      <c r="H906" s="6" t="n">
        <f aca="false">ROUND(INDEX(Archetypes!$E$2:$E$127, MATCH(D906, Archetypes!$A$2:$A$127, 0))*INDEX(Unit_Grades!$B$2:$B$7, MATCH(F906, Unit_Grades!$A$2:$A$7, 0))*INDEX(Unit_Paths!$B$2:$B$4, MATCH(E906, Unit_Paths!$A$2:$A$4, 0)),1)</f>
        <v>6.4</v>
      </c>
      <c r="I906" s="6" t="n">
        <f aca="false">ROUND(INDEX(Archetypes!$F$2:$F$127, MATCH(D906, Archetypes!$A$2:$A$127, 0))*INDEX(Unit_Grades!$B$2:$B$7, MATCH(F906, Unit_Grades!$A$2:$A$7, 0))*INDEX(Unit_Paths!$C$2:$C$4, MATCH(E906, Unit_Paths!$A$2:$A$4, 0)),1)</f>
        <v>38.4</v>
      </c>
      <c r="J906" s="6" t="n">
        <f aca="false">ROUND(INDEX(Archetypes!$G$2:$G$127, MATCH(D906, Archetypes!$A$2:$A$127, 0))*INDEX(Unit_Grades!$B$2:$B$7, MATCH(F906, Unit_Grades!$A$2:$A$7, 0))*INDEX(Unit_Paths!$D$2:$D$4, MATCH(E906, Unit_Paths!$A$2:$A$4, 0)),0)</f>
        <v>352</v>
      </c>
      <c r="K906" s="6" t="n">
        <f aca="false">ROUND(INDEX(Archetypes!$H$2:$H$127, MATCH(D906, Archetypes!$A$2:$A$127, 0))*INDEX(Unit_Paths!$E$2:$E$4, MATCH(E906, Unit_Paths!$A$2:$A$4, 0)),1)</f>
        <v>16</v>
      </c>
      <c r="L906" s="6" t="n">
        <f aca="false">ROUND(INDEX(Archetypes!$I$2:$I$127, MATCH(D906, Archetypes!$A$2:$A$127, 0))*INDEX(Unit_Grades!$C$2:$C$7, MATCH(F906, Unit_Grades!$A$2:$A$7, 0)),1)</f>
        <v>28</v>
      </c>
      <c r="M906" s="6" t="n">
        <f aca="false">ROUND(INDEX(Archetypes!$J$2:$J$127, MATCH(D906, Archetypes!$A$2:$A$127, 0))*INDEX(Unit_Grades!$D$2:$D$7, MATCH(F906, Unit_Grades!$A$2:$A$7, 0)),1)</f>
        <v>28.4</v>
      </c>
      <c r="N906" s="6" t="n">
        <f aca="false">ROUND(M906/24,2)</f>
        <v>1.18</v>
      </c>
    </row>
    <row r="907" customFormat="false" ht="15" hidden="false" customHeight="true" outlineLevel="0" collapsed="false">
      <c r="A907" s="6" t="n">
        <v>3</v>
      </c>
      <c r="B907" s="6" t="s">
        <v>2424</v>
      </c>
      <c r="C907" s="6" t="s">
        <v>1367</v>
      </c>
      <c r="D907" s="6" t="str">
        <f aca="false">A907&amp;"|"&amp;C907</f>
        <v>3|Colonist</v>
      </c>
      <c r="E907" s="6" t="s">
        <v>1556</v>
      </c>
      <c r="F907" s="6" t="s">
        <v>1548</v>
      </c>
      <c r="G907" s="6" t="str">
        <f aca="false">INDEX(Archetypes!$D$2:$D$127, MATCH(D907, Archetypes!$A$2:$A$127, 0))</f>
        <v>Logistics</v>
      </c>
      <c r="H907" s="6" t="n">
        <f aca="false">ROUND(INDEX(Archetypes!$E$2:$E$127, MATCH(D907, Archetypes!$A$2:$A$127, 0))*INDEX(Unit_Grades!$B$2:$B$7, MATCH(F907, Unit_Grades!$A$2:$A$7, 0))*INDEX(Unit_Paths!$B$2:$B$4, MATCH(E907, Unit_Paths!$A$2:$A$4, 0)),1)</f>
        <v>8.4</v>
      </c>
      <c r="I907" s="6" t="n">
        <f aca="false">ROUND(INDEX(Archetypes!$F$2:$F$127, MATCH(D907, Archetypes!$A$2:$A$127, 0))*INDEX(Unit_Grades!$B$2:$B$7, MATCH(F907, Unit_Grades!$A$2:$A$7, 0))*INDEX(Unit_Paths!$C$2:$C$4, MATCH(E907, Unit_Paths!$A$2:$A$4, 0)),1)</f>
        <v>50.4</v>
      </c>
      <c r="J907" s="6" t="n">
        <f aca="false">ROUND(INDEX(Archetypes!$G$2:$G$127, MATCH(D907, Archetypes!$A$2:$A$127, 0))*INDEX(Unit_Grades!$B$2:$B$7, MATCH(F907, Unit_Grades!$A$2:$A$7, 0))*INDEX(Unit_Paths!$D$2:$D$4, MATCH(E907, Unit_Paths!$A$2:$A$4, 0)),0)</f>
        <v>462</v>
      </c>
      <c r="K907" s="6" t="n">
        <f aca="false">ROUND(INDEX(Archetypes!$H$2:$H$127, MATCH(D907, Archetypes!$A$2:$A$127, 0))*INDEX(Unit_Paths!$E$2:$E$4, MATCH(E907, Unit_Paths!$A$2:$A$4, 0)),1)</f>
        <v>16</v>
      </c>
      <c r="L907" s="6" t="n">
        <f aca="false">ROUND(INDEX(Archetypes!$I$2:$I$127, MATCH(D907, Archetypes!$A$2:$A$127, 0))*INDEX(Unit_Grades!$C$2:$C$7, MATCH(F907, Unit_Grades!$A$2:$A$7, 0)),1)</f>
        <v>37</v>
      </c>
      <c r="M907" s="6" t="n">
        <f aca="false">ROUND(INDEX(Archetypes!$J$2:$J$127, MATCH(D907, Archetypes!$A$2:$A$127, 0))*INDEX(Unit_Grades!$D$2:$D$7, MATCH(F907, Unit_Grades!$A$2:$A$7, 0)),1)</f>
        <v>48.7</v>
      </c>
      <c r="N907" s="6" t="n">
        <f aca="false">ROUND(M907/24,2)</f>
        <v>2.03</v>
      </c>
    </row>
    <row r="908" customFormat="false" ht="15" hidden="false" customHeight="true" outlineLevel="0" collapsed="false">
      <c r="A908" s="6" t="n">
        <v>3</v>
      </c>
      <c r="B908" s="6" t="s">
        <v>2425</v>
      </c>
      <c r="C908" s="6" t="s">
        <v>1367</v>
      </c>
      <c r="D908" s="6" t="str">
        <f aca="false">A908&amp;"|"&amp;C908</f>
        <v>3|Colonist</v>
      </c>
      <c r="E908" s="6" t="s">
        <v>1558</v>
      </c>
      <c r="F908" s="6" t="s">
        <v>1538</v>
      </c>
      <c r="G908" s="6" t="str">
        <f aca="false">INDEX(Archetypes!$D$2:$D$127, MATCH(D908, Archetypes!$A$2:$A$127, 0))</f>
        <v>Logistics</v>
      </c>
      <c r="H908" s="6" t="n">
        <f aca="false">ROUND(INDEX(Archetypes!$E$2:$E$127, MATCH(D908, Archetypes!$A$2:$A$127, 0))*INDEX(Unit_Grades!$B$2:$B$7, MATCH(F908, Unit_Grades!$A$2:$A$7, 0))*INDEX(Unit_Paths!$B$2:$B$4, MATCH(E908, Unit_Paths!$A$2:$A$4, 0)),1)</f>
        <v>2.4</v>
      </c>
      <c r="I908" s="6" t="n">
        <f aca="false">ROUND(INDEX(Archetypes!$F$2:$F$127, MATCH(D908, Archetypes!$A$2:$A$127, 0))*INDEX(Unit_Grades!$B$2:$B$7, MATCH(F908, Unit_Grades!$A$2:$A$7, 0))*INDEX(Unit_Paths!$C$2:$C$4, MATCH(E908, Unit_Paths!$A$2:$A$4, 0)),1)</f>
        <v>10.2</v>
      </c>
      <c r="J908" s="6" t="n">
        <f aca="false">ROUND(INDEX(Archetypes!$G$2:$G$127, MATCH(D908, Archetypes!$A$2:$A$127, 0))*INDEX(Unit_Grades!$B$2:$B$7, MATCH(F908, Unit_Grades!$A$2:$A$7, 0))*INDEX(Unit_Paths!$D$2:$D$4, MATCH(E908, Unit_Paths!$A$2:$A$4, 0)),0)</f>
        <v>105</v>
      </c>
      <c r="K908" s="6" t="n">
        <f aca="false">ROUND(INDEX(Archetypes!$H$2:$H$127, MATCH(D908, Archetypes!$A$2:$A$127, 0))*INDEX(Unit_Paths!$E$2:$E$4, MATCH(E908, Unit_Paths!$A$2:$A$4, 0)),1)</f>
        <v>16.8</v>
      </c>
      <c r="L908" s="6" t="n">
        <f aca="false">ROUND(INDEX(Archetypes!$I$2:$I$127, MATCH(D908, Archetypes!$A$2:$A$127, 0))*INDEX(Unit_Grades!$C$2:$C$7, MATCH(F908, Unit_Grades!$A$2:$A$7, 0)),1)</f>
        <v>10</v>
      </c>
      <c r="M908" s="6" t="n">
        <f aca="false">ROUND(INDEX(Archetypes!$J$2:$J$127, MATCH(D908, Archetypes!$A$2:$A$127, 0))*INDEX(Unit_Grades!$D$2:$D$7, MATCH(F908, Unit_Grades!$A$2:$A$7, 0)),1)</f>
        <v>4.1</v>
      </c>
      <c r="N908" s="6" t="n">
        <f aca="false">ROUND(M908/24,2)</f>
        <v>0.17</v>
      </c>
    </row>
    <row r="909" customFormat="false" ht="15" hidden="false" customHeight="true" outlineLevel="0" collapsed="false">
      <c r="A909" s="6" t="n">
        <v>3</v>
      </c>
      <c r="B909" s="6" t="s">
        <v>2426</v>
      </c>
      <c r="C909" s="6" t="s">
        <v>1367</v>
      </c>
      <c r="D909" s="6" t="str">
        <f aca="false">A909&amp;"|"&amp;C909</f>
        <v>3|Colonist</v>
      </c>
      <c r="E909" s="6" t="s">
        <v>1558</v>
      </c>
      <c r="F909" s="6" t="s">
        <v>1540</v>
      </c>
      <c r="G909" s="6" t="str">
        <f aca="false">INDEX(Archetypes!$D$2:$D$127, MATCH(D909, Archetypes!$A$2:$A$127, 0))</f>
        <v>Logistics</v>
      </c>
      <c r="H909" s="6" t="n">
        <f aca="false">ROUND(INDEX(Archetypes!$E$2:$E$127, MATCH(D909, Archetypes!$A$2:$A$127, 0))*INDEX(Unit_Grades!$B$2:$B$7, MATCH(F909, Unit_Grades!$A$2:$A$7, 0))*INDEX(Unit_Paths!$B$2:$B$4, MATCH(E909, Unit_Paths!$A$2:$A$4, 0)),1)</f>
        <v>3.2</v>
      </c>
      <c r="I909" s="6" t="n">
        <f aca="false">ROUND(INDEX(Archetypes!$F$2:$F$127, MATCH(D909, Archetypes!$A$2:$A$127, 0))*INDEX(Unit_Grades!$B$2:$B$7, MATCH(F909, Unit_Grades!$A$2:$A$7, 0))*INDEX(Unit_Paths!$C$2:$C$4, MATCH(E909, Unit_Paths!$A$2:$A$4, 0)),1)</f>
        <v>13.8</v>
      </c>
      <c r="J909" s="6" t="n">
        <f aca="false">ROUND(INDEX(Archetypes!$G$2:$G$127, MATCH(D909, Archetypes!$A$2:$A$127, 0))*INDEX(Unit_Grades!$B$2:$B$7, MATCH(F909, Unit_Grades!$A$2:$A$7, 0))*INDEX(Unit_Paths!$D$2:$D$4, MATCH(E909, Unit_Paths!$A$2:$A$4, 0)),0)</f>
        <v>141</v>
      </c>
      <c r="K909" s="6" t="n">
        <f aca="false">ROUND(INDEX(Archetypes!$H$2:$H$127, MATCH(D909, Archetypes!$A$2:$A$127, 0))*INDEX(Unit_Paths!$E$2:$E$4, MATCH(E909, Unit_Paths!$A$2:$A$4, 0)),1)</f>
        <v>16.8</v>
      </c>
      <c r="L909" s="6" t="n">
        <f aca="false">ROUND(INDEX(Archetypes!$I$2:$I$127, MATCH(D909, Archetypes!$A$2:$A$127, 0))*INDEX(Unit_Grades!$C$2:$C$7, MATCH(F909, Unit_Grades!$A$2:$A$7, 0)),1)</f>
        <v>12.5</v>
      </c>
      <c r="M909" s="6" t="n">
        <f aca="false">ROUND(INDEX(Archetypes!$J$2:$J$127, MATCH(D909, Archetypes!$A$2:$A$127, 0))*INDEX(Unit_Grades!$D$2:$D$7, MATCH(F909, Unit_Grades!$A$2:$A$7, 0)),1)</f>
        <v>6.1</v>
      </c>
      <c r="N909" s="6" t="n">
        <f aca="false">ROUND(M909/24,2)</f>
        <v>0.25</v>
      </c>
    </row>
    <row r="910" customFormat="false" ht="15" hidden="false" customHeight="true" outlineLevel="0" collapsed="false">
      <c r="A910" s="6" t="n">
        <v>3</v>
      </c>
      <c r="B910" s="6" t="s">
        <v>2427</v>
      </c>
      <c r="C910" s="6" t="s">
        <v>1367</v>
      </c>
      <c r="D910" s="6" t="str">
        <f aca="false">A910&amp;"|"&amp;C910</f>
        <v>3|Colonist</v>
      </c>
      <c r="E910" s="6" t="s">
        <v>1558</v>
      </c>
      <c r="F910" s="6" t="s">
        <v>1542</v>
      </c>
      <c r="G910" s="6" t="str">
        <f aca="false">INDEX(Archetypes!$D$2:$D$127, MATCH(D910, Archetypes!$A$2:$A$127, 0))</f>
        <v>Logistics</v>
      </c>
      <c r="H910" s="6" t="n">
        <f aca="false">ROUND(INDEX(Archetypes!$E$2:$E$127, MATCH(D910, Archetypes!$A$2:$A$127, 0))*INDEX(Unit_Grades!$B$2:$B$7, MATCH(F910, Unit_Grades!$A$2:$A$7, 0))*INDEX(Unit_Paths!$B$2:$B$4, MATCH(E910, Unit_Paths!$A$2:$A$4, 0)),1)</f>
        <v>4.3</v>
      </c>
      <c r="I910" s="6" t="n">
        <f aca="false">ROUND(INDEX(Archetypes!$F$2:$F$127, MATCH(D910, Archetypes!$A$2:$A$127, 0))*INDEX(Unit_Grades!$B$2:$B$7, MATCH(F910, Unit_Grades!$A$2:$A$7, 0))*INDEX(Unit_Paths!$C$2:$C$4, MATCH(E910, Unit_Paths!$A$2:$A$4, 0)),1)</f>
        <v>18.4</v>
      </c>
      <c r="J910" s="6" t="n">
        <f aca="false">ROUND(INDEX(Archetypes!$G$2:$G$127, MATCH(D910, Archetypes!$A$2:$A$127, 0))*INDEX(Unit_Grades!$B$2:$B$7, MATCH(F910, Unit_Grades!$A$2:$A$7, 0))*INDEX(Unit_Paths!$D$2:$D$4, MATCH(E910, Unit_Paths!$A$2:$A$4, 0)),0)</f>
        <v>188</v>
      </c>
      <c r="K910" s="6" t="n">
        <f aca="false">ROUND(INDEX(Archetypes!$H$2:$H$127, MATCH(D910, Archetypes!$A$2:$A$127, 0))*INDEX(Unit_Paths!$E$2:$E$4, MATCH(E910, Unit_Paths!$A$2:$A$4, 0)),1)</f>
        <v>16.8</v>
      </c>
      <c r="L910" s="6" t="n">
        <f aca="false">ROUND(INDEX(Archetypes!$I$2:$I$127, MATCH(D910, Archetypes!$A$2:$A$127, 0))*INDEX(Unit_Grades!$C$2:$C$7, MATCH(F910, Unit_Grades!$A$2:$A$7, 0)),1)</f>
        <v>16</v>
      </c>
      <c r="M910" s="6" t="n">
        <f aca="false">ROUND(INDEX(Archetypes!$J$2:$J$127, MATCH(D910, Archetypes!$A$2:$A$127, 0))*INDEX(Unit_Grades!$D$2:$D$7, MATCH(F910, Unit_Grades!$A$2:$A$7, 0)),1)</f>
        <v>10.2</v>
      </c>
      <c r="N910" s="6" t="n">
        <f aca="false">ROUND(M910/24,2)</f>
        <v>0.43</v>
      </c>
    </row>
    <row r="911" customFormat="false" ht="15" hidden="false" customHeight="true" outlineLevel="0" collapsed="false">
      <c r="A911" s="6" t="n">
        <v>3</v>
      </c>
      <c r="B911" s="6" t="s">
        <v>2428</v>
      </c>
      <c r="C911" s="6" t="s">
        <v>1367</v>
      </c>
      <c r="D911" s="6" t="str">
        <f aca="false">A911&amp;"|"&amp;C911</f>
        <v>3|Colonist</v>
      </c>
      <c r="E911" s="6" t="s">
        <v>1558</v>
      </c>
      <c r="F911" s="6" t="s">
        <v>1544</v>
      </c>
      <c r="G911" s="6" t="str">
        <f aca="false">INDEX(Archetypes!$D$2:$D$127, MATCH(D911, Archetypes!$A$2:$A$127, 0))</f>
        <v>Logistics</v>
      </c>
      <c r="H911" s="6" t="n">
        <f aca="false">ROUND(INDEX(Archetypes!$E$2:$E$127, MATCH(D911, Archetypes!$A$2:$A$127, 0))*INDEX(Unit_Grades!$B$2:$B$7, MATCH(F911, Unit_Grades!$A$2:$A$7, 0))*INDEX(Unit_Paths!$B$2:$B$4, MATCH(E911, Unit_Paths!$A$2:$A$4, 0)),1)</f>
        <v>5.8</v>
      </c>
      <c r="I911" s="6" t="n">
        <f aca="false">ROUND(INDEX(Archetypes!$F$2:$F$127, MATCH(D911, Archetypes!$A$2:$A$127, 0))*INDEX(Unit_Grades!$B$2:$B$7, MATCH(F911, Unit_Grades!$A$2:$A$7, 0))*INDEX(Unit_Paths!$C$2:$C$4, MATCH(E911, Unit_Paths!$A$2:$A$4, 0)),1)</f>
        <v>24.5</v>
      </c>
      <c r="J911" s="6" t="n">
        <f aca="false">ROUND(INDEX(Archetypes!$G$2:$G$127, MATCH(D911, Archetypes!$A$2:$A$127, 0))*INDEX(Unit_Grades!$B$2:$B$7, MATCH(F911, Unit_Grades!$A$2:$A$7, 0))*INDEX(Unit_Paths!$D$2:$D$4, MATCH(E911, Unit_Paths!$A$2:$A$4, 0)),0)</f>
        <v>251</v>
      </c>
      <c r="K911" s="6" t="n">
        <f aca="false">ROUND(INDEX(Archetypes!$H$2:$H$127, MATCH(D911, Archetypes!$A$2:$A$127, 0))*INDEX(Unit_Paths!$E$2:$E$4, MATCH(E911, Unit_Paths!$A$2:$A$4, 0)),1)</f>
        <v>16.8</v>
      </c>
      <c r="L911" s="6" t="n">
        <f aca="false">ROUND(INDEX(Archetypes!$I$2:$I$127, MATCH(D911, Archetypes!$A$2:$A$127, 0))*INDEX(Unit_Grades!$C$2:$C$7, MATCH(F911, Unit_Grades!$A$2:$A$7, 0)),1)</f>
        <v>21</v>
      </c>
      <c r="M911" s="6" t="n">
        <f aca="false">ROUND(INDEX(Archetypes!$J$2:$J$127, MATCH(D911, Archetypes!$A$2:$A$127, 0))*INDEX(Unit_Grades!$D$2:$D$7, MATCH(F911, Unit_Grades!$A$2:$A$7, 0)),1)</f>
        <v>16.2</v>
      </c>
      <c r="N911" s="6" t="n">
        <f aca="false">ROUND(M911/24,2)</f>
        <v>0.68</v>
      </c>
    </row>
    <row r="912" customFormat="false" ht="15" hidden="false" customHeight="true" outlineLevel="0" collapsed="false">
      <c r="A912" s="6" t="n">
        <v>3</v>
      </c>
      <c r="B912" s="6" t="s">
        <v>2429</v>
      </c>
      <c r="C912" s="6" t="s">
        <v>1367</v>
      </c>
      <c r="D912" s="6" t="str">
        <f aca="false">A912&amp;"|"&amp;C912</f>
        <v>3|Colonist</v>
      </c>
      <c r="E912" s="6" t="s">
        <v>1558</v>
      </c>
      <c r="F912" s="6" t="s">
        <v>1546</v>
      </c>
      <c r="G912" s="6" t="str">
        <f aca="false">INDEX(Archetypes!$D$2:$D$127, MATCH(D912, Archetypes!$A$2:$A$127, 0))</f>
        <v>Logistics</v>
      </c>
      <c r="H912" s="6" t="n">
        <f aca="false">ROUND(INDEX(Archetypes!$E$2:$E$127, MATCH(D912, Archetypes!$A$2:$A$127, 0))*INDEX(Unit_Grades!$B$2:$B$7, MATCH(F912, Unit_Grades!$A$2:$A$7, 0))*INDEX(Unit_Paths!$B$2:$B$4, MATCH(E912, Unit_Paths!$A$2:$A$4, 0)),1)</f>
        <v>7.7</v>
      </c>
      <c r="I912" s="6" t="n">
        <f aca="false">ROUND(INDEX(Archetypes!$F$2:$F$127, MATCH(D912, Archetypes!$A$2:$A$127, 0))*INDEX(Unit_Grades!$B$2:$B$7, MATCH(F912, Unit_Grades!$A$2:$A$7, 0))*INDEX(Unit_Paths!$C$2:$C$4, MATCH(E912, Unit_Paths!$A$2:$A$4, 0)),1)</f>
        <v>32.6</v>
      </c>
      <c r="J912" s="6" t="n">
        <f aca="false">ROUND(INDEX(Archetypes!$G$2:$G$127, MATCH(D912, Archetypes!$A$2:$A$127, 0))*INDEX(Unit_Grades!$B$2:$B$7, MATCH(F912, Unit_Grades!$A$2:$A$7, 0))*INDEX(Unit_Paths!$D$2:$D$4, MATCH(E912, Unit_Paths!$A$2:$A$4, 0)),0)</f>
        <v>334</v>
      </c>
      <c r="K912" s="6" t="n">
        <f aca="false">ROUND(INDEX(Archetypes!$H$2:$H$127, MATCH(D912, Archetypes!$A$2:$A$127, 0))*INDEX(Unit_Paths!$E$2:$E$4, MATCH(E912, Unit_Paths!$A$2:$A$4, 0)),1)</f>
        <v>16.8</v>
      </c>
      <c r="L912" s="6" t="n">
        <f aca="false">ROUND(INDEX(Archetypes!$I$2:$I$127, MATCH(D912, Archetypes!$A$2:$A$127, 0))*INDEX(Unit_Grades!$C$2:$C$7, MATCH(F912, Unit_Grades!$A$2:$A$7, 0)),1)</f>
        <v>28</v>
      </c>
      <c r="M912" s="6" t="n">
        <f aca="false">ROUND(INDEX(Archetypes!$J$2:$J$127, MATCH(D912, Archetypes!$A$2:$A$127, 0))*INDEX(Unit_Grades!$D$2:$D$7, MATCH(F912, Unit_Grades!$A$2:$A$7, 0)),1)</f>
        <v>28.4</v>
      </c>
      <c r="N912" s="6" t="n">
        <f aca="false">ROUND(M912/24,2)</f>
        <v>1.18</v>
      </c>
    </row>
    <row r="913" customFormat="false" ht="15" hidden="false" customHeight="true" outlineLevel="0" collapsed="false">
      <c r="A913" s="6" t="n">
        <v>3</v>
      </c>
      <c r="B913" s="6" t="s">
        <v>2430</v>
      </c>
      <c r="C913" s="6" t="s">
        <v>1367</v>
      </c>
      <c r="D913" s="6" t="str">
        <f aca="false">A913&amp;"|"&amp;C913</f>
        <v>3|Colonist</v>
      </c>
      <c r="E913" s="6" t="s">
        <v>1558</v>
      </c>
      <c r="F913" s="6" t="s">
        <v>1548</v>
      </c>
      <c r="G913" s="6" t="str">
        <f aca="false">INDEX(Archetypes!$D$2:$D$127, MATCH(D913, Archetypes!$A$2:$A$127, 0))</f>
        <v>Logistics</v>
      </c>
      <c r="H913" s="6" t="n">
        <f aca="false">ROUND(INDEX(Archetypes!$E$2:$E$127, MATCH(D913, Archetypes!$A$2:$A$127, 0))*INDEX(Unit_Grades!$B$2:$B$7, MATCH(F913, Unit_Grades!$A$2:$A$7, 0))*INDEX(Unit_Paths!$B$2:$B$4, MATCH(E913, Unit_Paths!$A$2:$A$4, 0)),1)</f>
        <v>10.1</v>
      </c>
      <c r="I913" s="6" t="n">
        <f aca="false">ROUND(INDEX(Archetypes!$F$2:$F$127, MATCH(D913, Archetypes!$A$2:$A$127, 0))*INDEX(Unit_Grades!$B$2:$B$7, MATCH(F913, Unit_Grades!$A$2:$A$7, 0))*INDEX(Unit_Paths!$C$2:$C$4, MATCH(E913, Unit_Paths!$A$2:$A$4, 0)),1)</f>
        <v>42.8</v>
      </c>
      <c r="J913" s="6" t="n">
        <f aca="false">ROUND(INDEX(Archetypes!$G$2:$G$127, MATCH(D913, Archetypes!$A$2:$A$127, 0))*INDEX(Unit_Grades!$B$2:$B$7, MATCH(F913, Unit_Grades!$A$2:$A$7, 0))*INDEX(Unit_Paths!$D$2:$D$4, MATCH(E913, Unit_Paths!$A$2:$A$4, 0)),0)</f>
        <v>439</v>
      </c>
      <c r="K913" s="6" t="n">
        <f aca="false">ROUND(INDEX(Archetypes!$H$2:$H$127, MATCH(D913, Archetypes!$A$2:$A$127, 0))*INDEX(Unit_Paths!$E$2:$E$4, MATCH(E913, Unit_Paths!$A$2:$A$4, 0)),1)</f>
        <v>16.8</v>
      </c>
      <c r="L913" s="6" t="n">
        <f aca="false">ROUND(INDEX(Archetypes!$I$2:$I$127, MATCH(D913, Archetypes!$A$2:$A$127, 0))*INDEX(Unit_Grades!$C$2:$C$7, MATCH(F913, Unit_Grades!$A$2:$A$7, 0)),1)</f>
        <v>37</v>
      </c>
      <c r="M913" s="6" t="n">
        <f aca="false">ROUND(INDEX(Archetypes!$J$2:$J$127, MATCH(D913, Archetypes!$A$2:$A$127, 0))*INDEX(Unit_Grades!$D$2:$D$7, MATCH(F913, Unit_Grades!$A$2:$A$7, 0)),1)</f>
        <v>48.7</v>
      </c>
      <c r="N913" s="6" t="n">
        <f aca="false">ROUND(M913/24,2)</f>
        <v>2.03</v>
      </c>
    </row>
    <row r="914" customFormat="false" ht="15" hidden="false" customHeight="true" outlineLevel="0" collapsed="false">
      <c r="A914" s="6" t="n">
        <v>3</v>
      </c>
      <c r="B914" s="6" t="s">
        <v>2431</v>
      </c>
      <c r="C914" s="6" t="s">
        <v>1367</v>
      </c>
      <c r="D914" s="6" t="str">
        <f aca="false">A914&amp;"|"&amp;C914</f>
        <v>3|Colonist</v>
      </c>
      <c r="E914" s="6" t="s">
        <v>1560</v>
      </c>
      <c r="F914" s="6" t="s">
        <v>1538</v>
      </c>
      <c r="G914" s="6" t="str">
        <f aca="false">INDEX(Archetypes!$D$2:$D$127, MATCH(D914, Archetypes!$A$2:$A$127, 0))</f>
        <v>Logistics</v>
      </c>
      <c r="H914" s="6" t="n">
        <f aca="false">ROUND(INDEX(Archetypes!$E$2:$E$127, MATCH(D914, Archetypes!$A$2:$A$127, 0))*INDEX(Unit_Grades!$B$2:$B$7, MATCH(F914, Unit_Grades!$A$2:$A$7, 0))*INDEX(Unit_Paths!$B$2:$B$4, MATCH(E914, Unit_Paths!$A$2:$A$4, 0)),1)</f>
        <v>1.7</v>
      </c>
      <c r="I914" s="6" t="n">
        <f aca="false">ROUND(INDEX(Archetypes!$F$2:$F$127, MATCH(D914, Archetypes!$A$2:$A$127, 0))*INDEX(Unit_Grades!$B$2:$B$7, MATCH(F914, Unit_Grades!$A$2:$A$7, 0))*INDEX(Unit_Paths!$C$2:$C$4, MATCH(E914, Unit_Paths!$A$2:$A$4, 0)),1)</f>
        <v>15</v>
      </c>
      <c r="J914" s="6" t="n">
        <f aca="false">ROUND(INDEX(Archetypes!$G$2:$G$127, MATCH(D914, Archetypes!$A$2:$A$127, 0))*INDEX(Unit_Grades!$B$2:$B$7, MATCH(F914, Unit_Grades!$A$2:$A$7, 0))*INDEX(Unit_Paths!$D$2:$D$4, MATCH(E914, Unit_Paths!$A$2:$A$4, 0)),0)</f>
        <v>126</v>
      </c>
      <c r="K914" s="6" t="n">
        <f aca="false">ROUND(INDEX(Archetypes!$H$2:$H$127, MATCH(D914, Archetypes!$A$2:$A$127, 0))*INDEX(Unit_Paths!$E$2:$E$4, MATCH(E914, Unit_Paths!$A$2:$A$4, 0)),1)</f>
        <v>14.7</v>
      </c>
      <c r="L914" s="6" t="n">
        <f aca="false">ROUND(INDEX(Archetypes!$I$2:$I$127, MATCH(D914, Archetypes!$A$2:$A$127, 0))*INDEX(Unit_Grades!$C$2:$C$7, MATCH(F914, Unit_Grades!$A$2:$A$7, 0)),1)</f>
        <v>10</v>
      </c>
      <c r="M914" s="6" t="n">
        <f aca="false">ROUND(INDEX(Archetypes!$J$2:$J$127, MATCH(D914, Archetypes!$A$2:$A$127, 0))*INDEX(Unit_Grades!$D$2:$D$7, MATCH(F914, Unit_Grades!$A$2:$A$7, 0)),1)</f>
        <v>4.1</v>
      </c>
      <c r="N914" s="6" t="n">
        <f aca="false">ROUND(M914/24,2)</f>
        <v>0.17</v>
      </c>
    </row>
    <row r="915" customFormat="false" ht="15" hidden="false" customHeight="true" outlineLevel="0" collapsed="false">
      <c r="A915" s="6" t="n">
        <v>3</v>
      </c>
      <c r="B915" s="6" t="s">
        <v>2432</v>
      </c>
      <c r="C915" s="6" t="s">
        <v>1367</v>
      </c>
      <c r="D915" s="6" t="str">
        <f aca="false">A915&amp;"|"&amp;C915</f>
        <v>3|Colonist</v>
      </c>
      <c r="E915" s="6" t="s">
        <v>1560</v>
      </c>
      <c r="F915" s="6" t="s">
        <v>1540</v>
      </c>
      <c r="G915" s="6" t="str">
        <f aca="false">INDEX(Archetypes!$D$2:$D$127, MATCH(D915, Archetypes!$A$2:$A$127, 0))</f>
        <v>Logistics</v>
      </c>
      <c r="H915" s="6" t="n">
        <f aca="false">ROUND(INDEX(Archetypes!$E$2:$E$127, MATCH(D915, Archetypes!$A$2:$A$127, 0))*INDEX(Unit_Grades!$B$2:$B$7, MATCH(F915, Unit_Grades!$A$2:$A$7, 0))*INDEX(Unit_Paths!$B$2:$B$4, MATCH(E915, Unit_Paths!$A$2:$A$4, 0)),1)</f>
        <v>2.3</v>
      </c>
      <c r="I915" s="6" t="n">
        <f aca="false">ROUND(INDEX(Archetypes!$F$2:$F$127, MATCH(D915, Archetypes!$A$2:$A$127, 0))*INDEX(Unit_Grades!$B$2:$B$7, MATCH(F915, Unit_Grades!$A$2:$A$7, 0))*INDEX(Unit_Paths!$C$2:$C$4, MATCH(E915, Unit_Paths!$A$2:$A$4, 0)),1)</f>
        <v>20.3</v>
      </c>
      <c r="J915" s="6" t="n">
        <f aca="false">ROUND(INDEX(Archetypes!$G$2:$G$127, MATCH(D915, Archetypes!$A$2:$A$127, 0))*INDEX(Unit_Grades!$B$2:$B$7, MATCH(F915, Unit_Grades!$A$2:$A$7, 0))*INDEX(Unit_Paths!$D$2:$D$4, MATCH(E915, Unit_Paths!$A$2:$A$4, 0)),0)</f>
        <v>171</v>
      </c>
      <c r="K915" s="6" t="n">
        <f aca="false">ROUND(INDEX(Archetypes!$H$2:$H$127, MATCH(D915, Archetypes!$A$2:$A$127, 0))*INDEX(Unit_Paths!$E$2:$E$4, MATCH(E915, Unit_Paths!$A$2:$A$4, 0)),1)</f>
        <v>14.7</v>
      </c>
      <c r="L915" s="6" t="n">
        <f aca="false">ROUND(INDEX(Archetypes!$I$2:$I$127, MATCH(D915, Archetypes!$A$2:$A$127, 0))*INDEX(Unit_Grades!$C$2:$C$7, MATCH(F915, Unit_Grades!$A$2:$A$7, 0)),1)</f>
        <v>12.5</v>
      </c>
      <c r="M915" s="6" t="n">
        <f aca="false">ROUND(INDEX(Archetypes!$J$2:$J$127, MATCH(D915, Archetypes!$A$2:$A$127, 0))*INDEX(Unit_Grades!$D$2:$D$7, MATCH(F915, Unit_Grades!$A$2:$A$7, 0)),1)</f>
        <v>6.1</v>
      </c>
      <c r="N915" s="6" t="n">
        <f aca="false">ROUND(M915/24,2)</f>
        <v>0.25</v>
      </c>
    </row>
    <row r="916" customFormat="false" ht="15" hidden="false" customHeight="true" outlineLevel="0" collapsed="false">
      <c r="A916" s="6" t="n">
        <v>3</v>
      </c>
      <c r="B916" s="6" t="s">
        <v>2433</v>
      </c>
      <c r="C916" s="6" t="s">
        <v>1367</v>
      </c>
      <c r="D916" s="6" t="str">
        <f aca="false">A916&amp;"|"&amp;C916</f>
        <v>3|Colonist</v>
      </c>
      <c r="E916" s="6" t="s">
        <v>1560</v>
      </c>
      <c r="F916" s="6" t="s">
        <v>1542</v>
      </c>
      <c r="G916" s="6" t="str">
        <f aca="false">INDEX(Archetypes!$D$2:$D$127, MATCH(D916, Archetypes!$A$2:$A$127, 0))</f>
        <v>Logistics</v>
      </c>
      <c r="H916" s="6" t="n">
        <f aca="false">ROUND(INDEX(Archetypes!$E$2:$E$127, MATCH(D916, Archetypes!$A$2:$A$127, 0))*INDEX(Unit_Grades!$B$2:$B$7, MATCH(F916, Unit_Grades!$A$2:$A$7, 0))*INDEX(Unit_Paths!$B$2:$B$4, MATCH(E916, Unit_Paths!$A$2:$A$4, 0)),1)</f>
        <v>3.1</v>
      </c>
      <c r="I916" s="6" t="n">
        <f aca="false">ROUND(INDEX(Archetypes!$F$2:$F$127, MATCH(D916, Archetypes!$A$2:$A$127, 0))*INDEX(Unit_Grades!$B$2:$B$7, MATCH(F916, Unit_Grades!$A$2:$A$7, 0))*INDEX(Unit_Paths!$C$2:$C$4, MATCH(E916, Unit_Paths!$A$2:$A$4, 0)),1)</f>
        <v>27</v>
      </c>
      <c r="J916" s="6" t="n">
        <f aca="false">ROUND(INDEX(Archetypes!$G$2:$G$127, MATCH(D916, Archetypes!$A$2:$A$127, 0))*INDEX(Unit_Grades!$B$2:$B$7, MATCH(F916, Unit_Grades!$A$2:$A$7, 0))*INDEX(Unit_Paths!$D$2:$D$4, MATCH(E916, Unit_Paths!$A$2:$A$4, 0)),0)</f>
        <v>228</v>
      </c>
      <c r="K916" s="6" t="n">
        <f aca="false">ROUND(INDEX(Archetypes!$H$2:$H$127, MATCH(D916, Archetypes!$A$2:$A$127, 0))*INDEX(Unit_Paths!$E$2:$E$4, MATCH(E916, Unit_Paths!$A$2:$A$4, 0)),1)</f>
        <v>14.7</v>
      </c>
      <c r="L916" s="6" t="n">
        <f aca="false">ROUND(INDEX(Archetypes!$I$2:$I$127, MATCH(D916, Archetypes!$A$2:$A$127, 0))*INDEX(Unit_Grades!$C$2:$C$7, MATCH(F916, Unit_Grades!$A$2:$A$7, 0)),1)</f>
        <v>16</v>
      </c>
      <c r="M916" s="6" t="n">
        <f aca="false">ROUND(INDEX(Archetypes!$J$2:$J$127, MATCH(D916, Archetypes!$A$2:$A$127, 0))*INDEX(Unit_Grades!$D$2:$D$7, MATCH(F916, Unit_Grades!$A$2:$A$7, 0)),1)</f>
        <v>10.2</v>
      </c>
      <c r="N916" s="6" t="n">
        <f aca="false">ROUND(M916/24,2)</f>
        <v>0.43</v>
      </c>
    </row>
    <row r="917" customFormat="false" ht="15" hidden="false" customHeight="true" outlineLevel="0" collapsed="false">
      <c r="A917" s="6" t="n">
        <v>3</v>
      </c>
      <c r="B917" s="6" t="s">
        <v>2434</v>
      </c>
      <c r="C917" s="6" t="s">
        <v>1367</v>
      </c>
      <c r="D917" s="6" t="str">
        <f aca="false">A917&amp;"|"&amp;C917</f>
        <v>3|Colonist</v>
      </c>
      <c r="E917" s="6" t="s">
        <v>1560</v>
      </c>
      <c r="F917" s="6" t="s">
        <v>1544</v>
      </c>
      <c r="G917" s="6" t="str">
        <f aca="false">INDEX(Archetypes!$D$2:$D$127, MATCH(D917, Archetypes!$A$2:$A$127, 0))</f>
        <v>Logistics</v>
      </c>
      <c r="H917" s="6" t="n">
        <f aca="false">ROUND(INDEX(Archetypes!$E$2:$E$127, MATCH(D917, Archetypes!$A$2:$A$127, 0))*INDEX(Unit_Grades!$B$2:$B$7, MATCH(F917, Unit_Grades!$A$2:$A$7, 0))*INDEX(Unit_Paths!$B$2:$B$4, MATCH(E917, Unit_Paths!$A$2:$A$4, 0)),1)</f>
        <v>4.1</v>
      </c>
      <c r="I917" s="6" t="n">
        <f aca="false">ROUND(INDEX(Archetypes!$F$2:$F$127, MATCH(D917, Archetypes!$A$2:$A$127, 0))*INDEX(Unit_Grades!$B$2:$B$7, MATCH(F917, Unit_Grades!$A$2:$A$7, 0))*INDEX(Unit_Paths!$C$2:$C$4, MATCH(E917, Unit_Paths!$A$2:$A$4, 0)),1)</f>
        <v>36</v>
      </c>
      <c r="J917" s="6" t="n">
        <f aca="false">ROUND(INDEX(Archetypes!$G$2:$G$127, MATCH(D917, Archetypes!$A$2:$A$127, 0))*INDEX(Unit_Grades!$B$2:$B$7, MATCH(F917, Unit_Grades!$A$2:$A$7, 0))*INDEX(Unit_Paths!$D$2:$D$4, MATCH(E917, Unit_Paths!$A$2:$A$4, 0)),0)</f>
        <v>304</v>
      </c>
      <c r="K917" s="6" t="n">
        <f aca="false">ROUND(INDEX(Archetypes!$H$2:$H$127, MATCH(D917, Archetypes!$A$2:$A$127, 0))*INDEX(Unit_Paths!$E$2:$E$4, MATCH(E917, Unit_Paths!$A$2:$A$4, 0)),1)</f>
        <v>14.7</v>
      </c>
      <c r="L917" s="6" t="n">
        <f aca="false">ROUND(INDEX(Archetypes!$I$2:$I$127, MATCH(D917, Archetypes!$A$2:$A$127, 0))*INDEX(Unit_Grades!$C$2:$C$7, MATCH(F917, Unit_Grades!$A$2:$A$7, 0)),1)</f>
        <v>21</v>
      </c>
      <c r="M917" s="6" t="n">
        <f aca="false">ROUND(INDEX(Archetypes!$J$2:$J$127, MATCH(D917, Archetypes!$A$2:$A$127, 0))*INDEX(Unit_Grades!$D$2:$D$7, MATCH(F917, Unit_Grades!$A$2:$A$7, 0)),1)</f>
        <v>16.2</v>
      </c>
      <c r="N917" s="6" t="n">
        <f aca="false">ROUND(M917/24,2)</f>
        <v>0.68</v>
      </c>
    </row>
    <row r="918" customFormat="false" ht="15" hidden="false" customHeight="true" outlineLevel="0" collapsed="false">
      <c r="A918" s="6" t="n">
        <v>3</v>
      </c>
      <c r="B918" s="6" t="s">
        <v>2435</v>
      </c>
      <c r="C918" s="6" t="s">
        <v>1367</v>
      </c>
      <c r="D918" s="6" t="str">
        <f aca="false">A918&amp;"|"&amp;C918</f>
        <v>3|Colonist</v>
      </c>
      <c r="E918" s="6" t="s">
        <v>1560</v>
      </c>
      <c r="F918" s="6" t="s">
        <v>1546</v>
      </c>
      <c r="G918" s="6" t="str">
        <f aca="false">INDEX(Archetypes!$D$2:$D$127, MATCH(D918, Archetypes!$A$2:$A$127, 0))</f>
        <v>Logistics</v>
      </c>
      <c r="H918" s="6" t="n">
        <f aca="false">ROUND(INDEX(Archetypes!$E$2:$E$127, MATCH(D918, Archetypes!$A$2:$A$127, 0))*INDEX(Unit_Grades!$B$2:$B$7, MATCH(F918, Unit_Grades!$A$2:$A$7, 0))*INDEX(Unit_Paths!$B$2:$B$4, MATCH(E918, Unit_Paths!$A$2:$A$4, 0)),1)</f>
        <v>5.4</v>
      </c>
      <c r="I918" s="6" t="n">
        <f aca="false">ROUND(INDEX(Archetypes!$F$2:$F$127, MATCH(D918, Archetypes!$A$2:$A$127, 0))*INDEX(Unit_Grades!$B$2:$B$7, MATCH(F918, Unit_Grades!$A$2:$A$7, 0))*INDEX(Unit_Paths!$C$2:$C$4, MATCH(E918, Unit_Paths!$A$2:$A$4, 0)),1)</f>
        <v>48</v>
      </c>
      <c r="J918" s="6" t="n">
        <f aca="false">ROUND(INDEX(Archetypes!$G$2:$G$127, MATCH(D918, Archetypes!$A$2:$A$127, 0))*INDEX(Unit_Grades!$B$2:$B$7, MATCH(F918, Unit_Grades!$A$2:$A$7, 0))*INDEX(Unit_Paths!$D$2:$D$4, MATCH(E918, Unit_Paths!$A$2:$A$4, 0)),0)</f>
        <v>405</v>
      </c>
      <c r="K918" s="6" t="n">
        <f aca="false">ROUND(INDEX(Archetypes!$H$2:$H$127, MATCH(D918, Archetypes!$A$2:$A$127, 0))*INDEX(Unit_Paths!$E$2:$E$4, MATCH(E918, Unit_Paths!$A$2:$A$4, 0)),1)</f>
        <v>14.7</v>
      </c>
      <c r="L918" s="6" t="n">
        <f aca="false">ROUND(INDEX(Archetypes!$I$2:$I$127, MATCH(D918, Archetypes!$A$2:$A$127, 0))*INDEX(Unit_Grades!$C$2:$C$7, MATCH(F918, Unit_Grades!$A$2:$A$7, 0)),1)</f>
        <v>28</v>
      </c>
      <c r="M918" s="6" t="n">
        <f aca="false">ROUND(INDEX(Archetypes!$J$2:$J$127, MATCH(D918, Archetypes!$A$2:$A$127, 0))*INDEX(Unit_Grades!$D$2:$D$7, MATCH(F918, Unit_Grades!$A$2:$A$7, 0)),1)</f>
        <v>28.4</v>
      </c>
      <c r="N918" s="6" t="n">
        <f aca="false">ROUND(M918/24,2)</f>
        <v>1.18</v>
      </c>
    </row>
    <row r="919" customFormat="false" ht="15" hidden="false" customHeight="true" outlineLevel="0" collapsed="false">
      <c r="A919" s="6" t="n">
        <v>3</v>
      </c>
      <c r="B919" s="6" t="s">
        <v>2436</v>
      </c>
      <c r="C919" s="6" t="s">
        <v>1367</v>
      </c>
      <c r="D919" s="6" t="str">
        <f aca="false">A919&amp;"|"&amp;C919</f>
        <v>3|Colonist</v>
      </c>
      <c r="E919" s="6" t="s">
        <v>1560</v>
      </c>
      <c r="F919" s="6" t="s">
        <v>1548</v>
      </c>
      <c r="G919" s="6" t="str">
        <f aca="false">INDEX(Archetypes!$D$2:$D$127, MATCH(D919, Archetypes!$A$2:$A$127, 0))</f>
        <v>Logistics</v>
      </c>
      <c r="H919" s="6" t="n">
        <f aca="false">ROUND(INDEX(Archetypes!$E$2:$E$127, MATCH(D919, Archetypes!$A$2:$A$127, 0))*INDEX(Unit_Grades!$B$2:$B$7, MATCH(F919, Unit_Grades!$A$2:$A$7, 0))*INDEX(Unit_Paths!$B$2:$B$4, MATCH(E919, Unit_Paths!$A$2:$A$4, 0)),1)</f>
        <v>7.1</v>
      </c>
      <c r="I919" s="6" t="n">
        <f aca="false">ROUND(INDEX(Archetypes!$F$2:$F$127, MATCH(D919, Archetypes!$A$2:$A$127, 0))*INDEX(Unit_Grades!$B$2:$B$7, MATCH(F919, Unit_Grades!$A$2:$A$7, 0))*INDEX(Unit_Paths!$C$2:$C$4, MATCH(E919, Unit_Paths!$A$2:$A$4, 0)),1)</f>
        <v>63</v>
      </c>
      <c r="J919" s="6" t="n">
        <f aca="false">ROUND(INDEX(Archetypes!$G$2:$G$127, MATCH(D919, Archetypes!$A$2:$A$127, 0))*INDEX(Unit_Grades!$B$2:$B$7, MATCH(F919, Unit_Grades!$A$2:$A$7, 0))*INDEX(Unit_Paths!$D$2:$D$4, MATCH(E919, Unit_Paths!$A$2:$A$4, 0)),0)</f>
        <v>531</v>
      </c>
      <c r="K919" s="6" t="n">
        <f aca="false">ROUND(INDEX(Archetypes!$H$2:$H$127, MATCH(D919, Archetypes!$A$2:$A$127, 0))*INDEX(Unit_Paths!$E$2:$E$4, MATCH(E919, Unit_Paths!$A$2:$A$4, 0)),1)</f>
        <v>14.7</v>
      </c>
      <c r="L919" s="6" t="n">
        <f aca="false">ROUND(INDEX(Archetypes!$I$2:$I$127, MATCH(D919, Archetypes!$A$2:$A$127, 0))*INDEX(Unit_Grades!$C$2:$C$7, MATCH(F919, Unit_Grades!$A$2:$A$7, 0)),1)</f>
        <v>37</v>
      </c>
      <c r="M919" s="6" t="n">
        <f aca="false">ROUND(INDEX(Archetypes!$J$2:$J$127, MATCH(D919, Archetypes!$A$2:$A$127, 0))*INDEX(Unit_Grades!$D$2:$D$7, MATCH(F919, Unit_Grades!$A$2:$A$7, 0)),1)</f>
        <v>48.7</v>
      </c>
      <c r="N919" s="6" t="n">
        <f aca="false">ROUND(M919/24,2)</f>
        <v>2.03</v>
      </c>
    </row>
    <row r="920" customFormat="false" ht="15" hidden="false" customHeight="true" outlineLevel="0" collapsed="false">
      <c r="A920" s="6" t="n">
        <v>3</v>
      </c>
      <c r="B920" s="6" t="s">
        <v>1369</v>
      </c>
      <c r="C920" s="6" t="s">
        <v>1369</v>
      </c>
      <c r="D920" s="6" t="str">
        <f aca="false">A920&amp;"|"&amp;C920</f>
        <v>3|Emissary</v>
      </c>
      <c r="E920" s="6" t="s">
        <v>1556</v>
      </c>
      <c r="F920" s="6" t="s">
        <v>1538</v>
      </c>
      <c r="G920" s="6" t="str">
        <f aca="false">INDEX(Archetypes!$D$2:$D$127, MATCH(D920, Archetypes!$A$2:$A$127, 0))</f>
        <v>Agent</v>
      </c>
      <c r="H920" s="6" t="n">
        <f aca="false">ROUND(INDEX(Archetypes!$E$2:$E$127, MATCH(D920, Archetypes!$A$2:$A$127, 0))*INDEX(Unit_Grades!$B$2:$B$7, MATCH(F920, Unit_Grades!$A$2:$A$7, 0))*INDEX(Unit_Paths!$B$2:$B$4, MATCH(E920, Unit_Paths!$A$2:$A$4, 0)),1)</f>
        <v>4</v>
      </c>
      <c r="I920" s="6" t="n">
        <f aca="false">ROUND(INDEX(Archetypes!$F$2:$F$127, MATCH(D920, Archetypes!$A$2:$A$127, 0))*INDEX(Unit_Grades!$B$2:$B$7, MATCH(F920, Unit_Grades!$A$2:$A$7, 0))*INDEX(Unit_Paths!$C$2:$C$4, MATCH(E920, Unit_Paths!$A$2:$A$4, 0)),1)</f>
        <v>6</v>
      </c>
      <c r="J920" s="6" t="n">
        <f aca="false">ROUND(INDEX(Archetypes!$G$2:$G$127, MATCH(D920, Archetypes!$A$2:$A$127, 0))*INDEX(Unit_Grades!$B$2:$B$7, MATCH(F920, Unit_Grades!$A$2:$A$7, 0))*INDEX(Unit_Paths!$D$2:$D$4, MATCH(E920, Unit_Paths!$A$2:$A$4, 0)),0)</f>
        <v>60</v>
      </c>
      <c r="K920" s="6" t="n">
        <f aca="false">ROUND(INDEX(Archetypes!$H$2:$H$127, MATCH(D920, Archetypes!$A$2:$A$127, 0))*INDEX(Unit_Paths!$E$2:$E$4, MATCH(E920, Unit_Paths!$A$2:$A$4, 0)),1)</f>
        <v>20</v>
      </c>
      <c r="L920" s="6" t="n">
        <f aca="false">ROUND(INDEX(Archetypes!$I$2:$I$127, MATCH(D920, Archetypes!$A$2:$A$127, 0))*INDEX(Unit_Grades!$C$2:$C$7, MATCH(F920, Unit_Grades!$A$2:$A$7, 0)),1)</f>
        <v>10</v>
      </c>
      <c r="M920" s="6" t="n">
        <f aca="false">ROUND(INDEX(Archetypes!$J$2:$J$127, MATCH(D920, Archetypes!$A$2:$A$127, 0))*INDEX(Unit_Grades!$D$2:$D$7, MATCH(F920, Unit_Grades!$A$2:$A$7, 0)),1)</f>
        <v>4.1</v>
      </c>
      <c r="N920" s="6" t="n">
        <f aca="false">ROUND(M920/24,2)</f>
        <v>0.17</v>
      </c>
    </row>
    <row r="921" customFormat="false" ht="15" hidden="false" customHeight="true" outlineLevel="0" collapsed="false">
      <c r="A921" s="6" t="n">
        <v>3</v>
      </c>
      <c r="B921" s="6" t="s">
        <v>2437</v>
      </c>
      <c r="C921" s="6" t="s">
        <v>1369</v>
      </c>
      <c r="D921" s="6" t="str">
        <f aca="false">A921&amp;"|"&amp;C921</f>
        <v>3|Emissary</v>
      </c>
      <c r="E921" s="6" t="s">
        <v>1556</v>
      </c>
      <c r="F921" s="6" t="s">
        <v>1540</v>
      </c>
      <c r="G921" s="6" t="str">
        <f aca="false">INDEX(Archetypes!$D$2:$D$127, MATCH(D921, Archetypes!$A$2:$A$127, 0))</f>
        <v>Agent</v>
      </c>
      <c r="H921" s="6" t="n">
        <f aca="false">ROUND(INDEX(Archetypes!$E$2:$E$127, MATCH(D921, Archetypes!$A$2:$A$127, 0))*INDEX(Unit_Grades!$B$2:$B$7, MATCH(F921, Unit_Grades!$A$2:$A$7, 0))*INDEX(Unit_Paths!$B$2:$B$4, MATCH(E921, Unit_Paths!$A$2:$A$4, 0)),1)</f>
        <v>5.4</v>
      </c>
      <c r="I921" s="6" t="n">
        <f aca="false">ROUND(INDEX(Archetypes!$F$2:$F$127, MATCH(D921, Archetypes!$A$2:$A$127, 0))*INDEX(Unit_Grades!$B$2:$B$7, MATCH(F921, Unit_Grades!$A$2:$A$7, 0))*INDEX(Unit_Paths!$C$2:$C$4, MATCH(E921, Unit_Paths!$A$2:$A$4, 0)),1)</f>
        <v>8.1</v>
      </c>
      <c r="J921" s="6" t="n">
        <f aca="false">ROUND(INDEX(Archetypes!$G$2:$G$127, MATCH(D921, Archetypes!$A$2:$A$127, 0))*INDEX(Unit_Grades!$B$2:$B$7, MATCH(F921, Unit_Grades!$A$2:$A$7, 0))*INDEX(Unit_Paths!$D$2:$D$4, MATCH(E921, Unit_Paths!$A$2:$A$4, 0)),0)</f>
        <v>81</v>
      </c>
      <c r="K921" s="6" t="n">
        <f aca="false">ROUND(INDEX(Archetypes!$H$2:$H$127, MATCH(D921, Archetypes!$A$2:$A$127, 0))*INDEX(Unit_Paths!$E$2:$E$4, MATCH(E921, Unit_Paths!$A$2:$A$4, 0)),1)</f>
        <v>20</v>
      </c>
      <c r="L921" s="6" t="n">
        <f aca="false">ROUND(INDEX(Archetypes!$I$2:$I$127, MATCH(D921, Archetypes!$A$2:$A$127, 0))*INDEX(Unit_Grades!$C$2:$C$7, MATCH(F921, Unit_Grades!$A$2:$A$7, 0)),1)</f>
        <v>12.5</v>
      </c>
      <c r="M921" s="6" t="n">
        <f aca="false">ROUND(INDEX(Archetypes!$J$2:$J$127, MATCH(D921, Archetypes!$A$2:$A$127, 0))*INDEX(Unit_Grades!$D$2:$D$7, MATCH(F921, Unit_Grades!$A$2:$A$7, 0)),1)</f>
        <v>6.1</v>
      </c>
      <c r="N921" s="6" t="n">
        <f aca="false">ROUND(M921/24,2)</f>
        <v>0.25</v>
      </c>
    </row>
    <row r="922" customFormat="false" ht="15" hidden="false" customHeight="true" outlineLevel="0" collapsed="false">
      <c r="A922" s="6" t="n">
        <v>3</v>
      </c>
      <c r="B922" s="6" t="s">
        <v>2438</v>
      </c>
      <c r="C922" s="6" t="s">
        <v>1369</v>
      </c>
      <c r="D922" s="6" t="str">
        <f aca="false">A922&amp;"|"&amp;C922</f>
        <v>3|Emissary</v>
      </c>
      <c r="E922" s="6" t="s">
        <v>1556</v>
      </c>
      <c r="F922" s="6" t="s">
        <v>1542</v>
      </c>
      <c r="G922" s="6" t="str">
        <f aca="false">INDEX(Archetypes!$D$2:$D$127, MATCH(D922, Archetypes!$A$2:$A$127, 0))</f>
        <v>Agent</v>
      </c>
      <c r="H922" s="6" t="n">
        <f aca="false">ROUND(INDEX(Archetypes!$E$2:$E$127, MATCH(D922, Archetypes!$A$2:$A$127, 0))*INDEX(Unit_Grades!$B$2:$B$7, MATCH(F922, Unit_Grades!$A$2:$A$7, 0))*INDEX(Unit_Paths!$B$2:$B$4, MATCH(E922, Unit_Paths!$A$2:$A$4, 0)),1)</f>
        <v>7.2</v>
      </c>
      <c r="I922" s="6" t="n">
        <f aca="false">ROUND(INDEX(Archetypes!$F$2:$F$127, MATCH(D922, Archetypes!$A$2:$A$127, 0))*INDEX(Unit_Grades!$B$2:$B$7, MATCH(F922, Unit_Grades!$A$2:$A$7, 0))*INDEX(Unit_Paths!$C$2:$C$4, MATCH(E922, Unit_Paths!$A$2:$A$4, 0)),1)</f>
        <v>10.8</v>
      </c>
      <c r="J922" s="6" t="n">
        <f aca="false">ROUND(INDEX(Archetypes!$G$2:$G$127, MATCH(D922, Archetypes!$A$2:$A$127, 0))*INDEX(Unit_Grades!$B$2:$B$7, MATCH(F922, Unit_Grades!$A$2:$A$7, 0))*INDEX(Unit_Paths!$D$2:$D$4, MATCH(E922, Unit_Paths!$A$2:$A$4, 0)),0)</f>
        <v>108</v>
      </c>
      <c r="K922" s="6" t="n">
        <f aca="false">ROUND(INDEX(Archetypes!$H$2:$H$127, MATCH(D922, Archetypes!$A$2:$A$127, 0))*INDEX(Unit_Paths!$E$2:$E$4, MATCH(E922, Unit_Paths!$A$2:$A$4, 0)),1)</f>
        <v>20</v>
      </c>
      <c r="L922" s="6" t="n">
        <f aca="false">ROUND(INDEX(Archetypes!$I$2:$I$127, MATCH(D922, Archetypes!$A$2:$A$127, 0))*INDEX(Unit_Grades!$C$2:$C$7, MATCH(F922, Unit_Grades!$A$2:$A$7, 0)),1)</f>
        <v>16</v>
      </c>
      <c r="M922" s="6" t="n">
        <f aca="false">ROUND(INDEX(Archetypes!$J$2:$J$127, MATCH(D922, Archetypes!$A$2:$A$127, 0))*INDEX(Unit_Grades!$D$2:$D$7, MATCH(F922, Unit_Grades!$A$2:$A$7, 0)),1)</f>
        <v>10.2</v>
      </c>
      <c r="N922" s="6" t="n">
        <f aca="false">ROUND(M922/24,2)</f>
        <v>0.43</v>
      </c>
    </row>
    <row r="923" customFormat="false" ht="15" hidden="false" customHeight="true" outlineLevel="0" collapsed="false">
      <c r="A923" s="6" t="n">
        <v>3</v>
      </c>
      <c r="B923" s="6" t="s">
        <v>2439</v>
      </c>
      <c r="C923" s="6" t="s">
        <v>1369</v>
      </c>
      <c r="D923" s="6" t="str">
        <f aca="false">A923&amp;"|"&amp;C923</f>
        <v>3|Emissary</v>
      </c>
      <c r="E923" s="6" t="s">
        <v>1556</v>
      </c>
      <c r="F923" s="6" t="s">
        <v>1544</v>
      </c>
      <c r="G923" s="6" t="str">
        <f aca="false">INDEX(Archetypes!$D$2:$D$127, MATCH(D923, Archetypes!$A$2:$A$127, 0))</f>
        <v>Agent</v>
      </c>
      <c r="H923" s="6" t="n">
        <f aca="false">ROUND(INDEX(Archetypes!$E$2:$E$127, MATCH(D923, Archetypes!$A$2:$A$127, 0))*INDEX(Unit_Grades!$B$2:$B$7, MATCH(F923, Unit_Grades!$A$2:$A$7, 0))*INDEX(Unit_Paths!$B$2:$B$4, MATCH(E923, Unit_Paths!$A$2:$A$4, 0)),1)</f>
        <v>9.6</v>
      </c>
      <c r="I923" s="6" t="n">
        <f aca="false">ROUND(INDEX(Archetypes!$F$2:$F$127, MATCH(D923, Archetypes!$A$2:$A$127, 0))*INDEX(Unit_Grades!$B$2:$B$7, MATCH(F923, Unit_Grades!$A$2:$A$7, 0))*INDEX(Unit_Paths!$C$2:$C$4, MATCH(E923, Unit_Paths!$A$2:$A$4, 0)),1)</f>
        <v>14.4</v>
      </c>
      <c r="J923" s="6" t="n">
        <f aca="false">ROUND(INDEX(Archetypes!$G$2:$G$127, MATCH(D923, Archetypes!$A$2:$A$127, 0))*INDEX(Unit_Grades!$B$2:$B$7, MATCH(F923, Unit_Grades!$A$2:$A$7, 0))*INDEX(Unit_Paths!$D$2:$D$4, MATCH(E923, Unit_Paths!$A$2:$A$4, 0)),0)</f>
        <v>144</v>
      </c>
      <c r="K923" s="6" t="n">
        <f aca="false">ROUND(INDEX(Archetypes!$H$2:$H$127, MATCH(D923, Archetypes!$A$2:$A$127, 0))*INDEX(Unit_Paths!$E$2:$E$4, MATCH(E923, Unit_Paths!$A$2:$A$4, 0)),1)</f>
        <v>20</v>
      </c>
      <c r="L923" s="6" t="n">
        <f aca="false">ROUND(INDEX(Archetypes!$I$2:$I$127, MATCH(D923, Archetypes!$A$2:$A$127, 0))*INDEX(Unit_Grades!$C$2:$C$7, MATCH(F923, Unit_Grades!$A$2:$A$7, 0)),1)</f>
        <v>21</v>
      </c>
      <c r="M923" s="6" t="n">
        <f aca="false">ROUND(INDEX(Archetypes!$J$2:$J$127, MATCH(D923, Archetypes!$A$2:$A$127, 0))*INDEX(Unit_Grades!$D$2:$D$7, MATCH(F923, Unit_Grades!$A$2:$A$7, 0)),1)</f>
        <v>16.2</v>
      </c>
      <c r="N923" s="6" t="n">
        <f aca="false">ROUND(M923/24,2)</f>
        <v>0.68</v>
      </c>
    </row>
    <row r="924" customFormat="false" ht="15" hidden="false" customHeight="true" outlineLevel="0" collapsed="false">
      <c r="A924" s="6" t="n">
        <v>3</v>
      </c>
      <c r="B924" s="6" t="s">
        <v>2440</v>
      </c>
      <c r="C924" s="6" t="s">
        <v>1369</v>
      </c>
      <c r="D924" s="6" t="str">
        <f aca="false">A924&amp;"|"&amp;C924</f>
        <v>3|Emissary</v>
      </c>
      <c r="E924" s="6" t="s">
        <v>1556</v>
      </c>
      <c r="F924" s="6" t="s">
        <v>1546</v>
      </c>
      <c r="G924" s="6" t="str">
        <f aca="false">INDEX(Archetypes!$D$2:$D$127, MATCH(D924, Archetypes!$A$2:$A$127, 0))</f>
        <v>Agent</v>
      </c>
      <c r="H924" s="6" t="n">
        <f aca="false">ROUND(INDEX(Archetypes!$E$2:$E$127, MATCH(D924, Archetypes!$A$2:$A$127, 0))*INDEX(Unit_Grades!$B$2:$B$7, MATCH(F924, Unit_Grades!$A$2:$A$7, 0))*INDEX(Unit_Paths!$B$2:$B$4, MATCH(E924, Unit_Paths!$A$2:$A$4, 0)),1)</f>
        <v>12.8</v>
      </c>
      <c r="I924" s="6" t="n">
        <f aca="false">ROUND(INDEX(Archetypes!$F$2:$F$127, MATCH(D924, Archetypes!$A$2:$A$127, 0))*INDEX(Unit_Grades!$B$2:$B$7, MATCH(F924, Unit_Grades!$A$2:$A$7, 0))*INDEX(Unit_Paths!$C$2:$C$4, MATCH(E924, Unit_Paths!$A$2:$A$4, 0)),1)</f>
        <v>19.2</v>
      </c>
      <c r="J924" s="6" t="n">
        <f aca="false">ROUND(INDEX(Archetypes!$G$2:$G$127, MATCH(D924, Archetypes!$A$2:$A$127, 0))*INDEX(Unit_Grades!$B$2:$B$7, MATCH(F924, Unit_Grades!$A$2:$A$7, 0))*INDEX(Unit_Paths!$D$2:$D$4, MATCH(E924, Unit_Paths!$A$2:$A$4, 0)),0)</f>
        <v>192</v>
      </c>
      <c r="K924" s="6" t="n">
        <f aca="false">ROUND(INDEX(Archetypes!$H$2:$H$127, MATCH(D924, Archetypes!$A$2:$A$127, 0))*INDEX(Unit_Paths!$E$2:$E$4, MATCH(E924, Unit_Paths!$A$2:$A$4, 0)),1)</f>
        <v>20</v>
      </c>
      <c r="L924" s="6" t="n">
        <f aca="false">ROUND(INDEX(Archetypes!$I$2:$I$127, MATCH(D924, Archetypes!$A$2:$A$127, 0))*INDEX(Unit_Grades!$C$2:$C$7, MATCH(F924, Unit_Grades!$A$2:$A$7, 0)),1)</f>
        <v>28</v>
      </c>
      <c r="M924" s="6" t="n">
        <f aca="false">ROUND(INDEX(Archetypes!$J$2:$J$127, MATCH(D924, Archetypes!$A$2:$A$127, 0))*INDEX(Unit_Grades!$D$2:$D$7, MATCH(F924, Unit_Grades!$A$2:$A$7, 0)),1)</f>
        <v>28.4</v>
      </c>
      <c r="N924" s="6" t="n">
        <f aca="false">ROUND(M924/24,2)</f>
        <v>1.18</v>
      </c>
    </row>
    <row r="925" customFormat="false" ht="15" hidden="false" customHeight="true" outlineLevel="0" collapsed="false">
      <c r="A925" s="6" t="n">
        <v>3</v>
      </c>
      <c r="B925" s="6" t="s">
        <v>2441</v>
      </c>
      <c r="C925" s="6" t="s">
        <v>1369</v>
      </c>
      <c r="D925" s="6" t="str">
        <f aca="false">A925&amp;"|"&amp;C925</f>
        <v>3|Emissary</v>
      </c>
      <c r="E925" s="6" t="s">
        <v>1556</v>
      </c>
      <c r="F925" s="6" t="s">
        <v>1548</v>
      </c>
      <c r="G925" s="6" t="str">
        <f aca="false">INDEX(Archetypes!$D$2:$D$127, MATCH(D925, Archetypes!$A$2:$A$127, 0))</f>
        <v>Agent</v>
      </c>
      <c r="H925" s="6" t="n">
        <f aca="false">ROUND(INDEX(Archetypes!$E$2:$E$127, MATCH(D925, Archetypes!$A$2:$A$127, 0))*INDEX(Unit_Grades!$B$2:$B$7, MATCH(F925, Unit_Grades!$A$2:$A$7, 0))*INDEX(Unit_Paths!$B$2:$B$4, MATCH(E925, Unit_Paths!$A$2:$A$4, 0)),1)</f>
        <v>16.8</v>
      </c>
      <c r="I925" s="6" t="n">
        <f aca="false">ROUND(INDEX(Archetypes!$F$2:$F$127, MATCH(D925, Archetypes!$A$2:$A$127, 0))*INDEX(Unit_Grades!$B$2:$B$7, MATCH(F925, Unit_Grades!$A$2:$A$7, 0))*INDEX(Unit_Paths!$C$2:$C$4, MATCH(E925, Unit_Paths!$A$2:$A$4, 0)),1)</f>
        <v>25.2</v>
      </c>
      <c r="J925" s="6" t="n">
        <f aca="false">ROUND(INDEX(Archetypes!$G$2:$G$127, MATCH(D925, Archetypes!$A$2:$A$127, 0))*INDEX(Unit_Grades!$B$2:$B$7, MATCH(F925, Unit_Grades!$A$2:$A$7, 0))*INDEX(Unit_Paths!$D$2:$D$4, MATCH(E925, Unit_Paths!$A$2:$A$4, 0)),0)</f>
        <v>252</v>
      </c>
      <c r="K925" s="6" t="n">
        <f aca="false">ROUND(INDEX(Archetypes!$H$2:$H$127, MATCH(D925, Archetypes!$A$2:$A$127, 0))*INDEX(Unit_Paths!$E$2:$E$4, MATCH(E925, Unit_Paths!$A$2:$A$4, 0)),1)</f>
        <v>20</v>
      </c>
      <c r="L925" s="6" t="n">
        <f aca="false">ROUND(INDEX(Archetypes!$I$2:$I$127, MATCH(D925, Archetypes!$A$2:$A$127, 0))*INDEX(Unit_Grades!$C$2:$C$7, MATCH(F925, Unit_Grades!$A$2:$A$7, 0)),1)</f>
        <v>37</v>
      </c>
      <c r="M925" s="6" t="n">
        <f aca="false">ROUND(INDEX(Archetypes!$J$2:$J$127, MATCH(D925, Archetypes!$A$2:$A$127, 0))*INDEX(Unit_Grades!$D$2:$D$7, MATCH(F925, Unit_Grades!$A$2:$A$7, 0)),1)</f>
        <v>48.7</v>
      </c>
      <c r="N925" s="6" t="n">
        <f aca="false">ROUND(M925/24,2)</f>
        <v>2.03</v>
      </c>
    </row>
    <row r="926" customFormat="false" ht="15" hidden="false" customHeight="true" outlineLevel="0" collapsed="false">
      <c r="A926" s="6" t="n">
        <v>3</v>
      </c>
      <c r="B926" s="6" t="s">
        <v>2442</v>
      </c>
      <c r="C926" s="6" t="s">
        <v>1369</v>
      </c>
      <c r="D926" s="6" t="str">
        <f aca="false">A926&amp;"|"&amp;C926</f>
        <v>3|Emissary</v>
      </c>
      <c r="E926" s="6" t="s">
        <v>1558</v>
      </c>
      <c r="F926" s="6" t="s">
        <v>1538</v>
      </c>
      <c r="G926" s="6" t="str">
        <f aca="false">INDEX(Archetypes!$D$2:$D$127, MATCH(D926, Archetypes!$A$2:$A$127, 0))</f>
        <v>Agent</v>
      </c>
      <c r="H926" s="6" t="n">
        <f aca="false">ROUND(INDEX(Archetypes!$E$2:$E$127, MATCH(D926, Archetypes!$A$2:$A$127, 0))*INDEX(Unit_Grades!$B$2:$B$7, MATCH(F926, Unit_Grades!$A$2:$A$7, 0))*INDEX(Unit_Paths!$B$2:$B$4, MATCH(E926, Unit_Paths!$A$2:$A$4, 0)),1)</f>
        <v>4.8</v>
      </c>
      <c r="I926" s="6" t="n">
        <f aca="false">ROUND(INDEX(Archetypes!$F$2:$F$127, MATCH(D926, Archetypes!$A$2:$A$127, 0))*INDEX(Unit_Grades!$B$2:$B$7, MATCH(F926, Unit_Grades!$A$2:$A$7, 0))*INDEX(Unit_Paths!$C$2:$C$4, MATCH(E926, Unit_Paths!$A$2:$A$4, 0)),1)</f>
        <v>5.1</v>
      </c>
      <c r="J926" s="6" t="n">
        <f aca="false">ROUND(INDEX(Archetypes!$G$2:$G$127, MATCH(D926, Archetypes!$A$2:$A$127, 0))*INDEX(Unit_Grades!$B$2:$B$7, MATCH(F926, Unit_Grades!$A$2:$A$7, 0))*INDEX(Unit_Paths!$D$2:$D$4, MATCH(E926, Unit_Paths!$A$2:$A$4, 0)),0)</f>
        <v>57</v>
      </c>
      <c r="K926" s="6" t="n">
        <f aca="false">ROUND(INDEX(Archetypes!$H$2:$H$127, MATCH(D926, Archetypes!$A$2:$A$127, 0))*INDEX(Unit_Paths!$E$2:$E$4, MATCH(E926, Unit_Paths!$A$2:$A$4, 0)),1)</f>
        <v>21</v>
      </c>
      <c r="L926" s="6" t="n">
        <f aca="false">ROUND(INDEX(Archetypes!$I$2:$I$127, MATCH(D926, Archetypes!$A$2:$A$127, 0))*INDEX(Unit_Grades!$C$2:$C$7, MATCH(F926, Unit_Grades!$A$2:$A$7, 0)),1)</f>
        <v>10</v>
      </c>
      <c r="M926" s="6" t="n">
        <f aca="false">ROUND(INDEX(Archetypes!$J$2:$J$127, MATCH(D926, Archetypes!$A$2:$A$127, 0))*INDEX(Unit_Grades!$D$2:$D$7, MATCH(F926, Unit_Grades!$A$2:$A$7, 0)),1)</f>
        <v>4.1</v>
      </c>
      <c r="N926" s="6" t="n">
        <f aca="false">ROUND(M926/24,2)</f>
        <v>0.17</v>
      </c>
    </row>
    <row r="927" customFormat="false" ht="15" hidden="false" customHeight="true" outlineLevel="0" collapsed="false">
      <c r="A927" s="6" t="n">
        <v>3</v>
      </c>
      <c r="B927" s="6" t="s">
        <v>2443</v>
      </c>
      <c r="C927" s="6" t="s">
        <v>1369</v>
      </c>
      <c r="D927" s="6" t="str">
        <f aca="false">A927&amp;"|"&amp;C927</f>
        <v>3|Emissary</v>
      </c>
      <c r="E927" s="6" t="s">
        <v>1558</v>
      </c>
      <c r="F927" s="6" t="s">
        <v>1540</v>
      </c>
      <c r="G927" s="6" t="str">
        <f aca="false">INDEX(Archetypes!$D$2:$D$127, MATCH(D927, Archetypes!$A$2:$A$127, 0))</f>
        <v>Agent</v>
      </c>
      <c r="H927" s="6" t="n">
        <f aca="false">ROUND(INDEX(Archetypes!$E$2:$E$127, MATCH(D927, Archetypes!$A$2:$A$127, 0))*INDEX(Unit_Grades!$B$2:$B$7, MATCH(F927, Unit_Grades!$A$2:$A$7, 0))*INDEX(Unit_Paths!$B$2:$B$4, MATCH(E927, Unit_Paths!$A$2:$A$4, 0)),1)</f>
        <v>6.5</v>
      </c>
      <c r="I927" s="6" t="n">
        <f aca="false">ROUND(INDEX(Archetypes!$F$2:$F$127, MATCH(D927, Archetypes!$A$2:$A$127, 0))*INDEX(Unit_Grades!$B$2:$B$7, MATCH(F927, Unit_Grades!$A$2:$A$7, 0))*INDEX(Unit_Paths!$C$2:$C$4, MATCH(E927, Unit_Paths!$A$2:$A$4, 0)),1)</f>
        <v>6.9</v>
      </c>
      <c r="J927" s="6" t="n">
        <f aca="false">ROUND(INDEX(Archetypes!$G$2:$G$127, MATCH(D927, Archetypes!$A$2:$A$127, 0))*INDEX(Unit_Grades!$B$2:$B$7, MATCH(F927, Unit_Grades!$A$2:$A$7, 0))*INDEX(Unit_Paths!$D$2:$D$4, MATCH(E927, Unit_Paths!$A$2:$A$4, 0)),0)</f>
        <v>77</v>
      </c>
      <c r="K927" s="6" t="n">
        <f aca="false">ROUND(INDEX(Archetypes!$H$2:$H$127, MATCH(D927, Archetypes!$A$2:$A$127, 0))*INDEX(Unit_Paths!$E$2:$E$4, MATCH(E927, Unit_Paths!$A$2:$A$4, 0)),1)</f>
        <v>21</v>
      </c>
      <c r="L927" s="6" t="n">
        <f aca="false">ROUND(INDEX(Archetypes!$I$2:$I$127, MATCH(D927, Archetypes!$A$2:$A$127, 0))*INDEX(Unit_Grades!$C$2:$C$7, MATCH(F927, Unit_Grades!$A$2:$A$7, 0)),1)</f>
        <v>12.5</v>
      </c>
      <c r="M927" s="6" t="n">
        <f aca="false">ROUND(INDEX(Archetypes!$J$2:$J$127, MATCH(D927, Archetypes!$A$2:$A$127, 0))*INDEX(Unit_Grades!$D$2:$D$7, MATCH(F927, Unit_Grades!$A$2:$A$7, 0)),1)</f>
        <v>6.1</v>
      </c>
      <c r="N927" s="6" t="n">
        <f aca="false">ROUND(M927/24,2)</f>
        <v>0.25</v>
      </c>
    </row>
    <row r="928" customFormat="false" ht="15" hidden="false" customHeight="true" outlineLevel="0" collapsed="false">
      <c r="A928" s="6" t="n">
        <v>3</v>
      </c>
      <c r="B928" s="6" t="s">
        <v>2444</v>
      </c>
      <c r="C928" s="6" t="s">
        <v>1369</v>
      </c>
      <c r="D928" s="6" t="str">
        <f aca="false">A928&amp;"|"&amp;C928</f>
        <v>3|Emissary</v>
      </c>
      <c r="E928" s="6" t="s">
        <v>1558</v>
      </c>
      <c r="F928" s="6" t="s">
        <v>1542</v>
      </c>
      <c r="G928" s="6" t="str">
        <f aca="false">INDEX(Archetypes!$D$2:$D$127, MATCH(D928, Archetypes!$A$2:$A$127, 0))</f>
        <v>Agent</v>
      </c>
      <c r="H928" s="6" t="n">
        <f aca="false">ROUND(INDEX(Archetypes!$E$2:$E$127, MATCH(D928, Archetypes!$A$2:$A$127, 0))*INDEX(Unit_Grades!$B$2:$B$7, MATCH(F928, Unit_Grades!$A$2:$A$7, 0))*INDEX(Unit_Paths!$B$2:$B$4, MATCH(E928, Unit_Paths!$A$2:$A$4, 0)),1)</f>
        <v>8.6</v>
      </c>
      <c r="I928" s="6" t="n">
        <f aca="false">ROUND(INDEX(Archetypes!$F$2:$F$127, MATCH(D928, Archetypes!$A$2:$A$127, 0))*INDEX(Unit_Grades!$B$2:$B$7, MATCH(F928, Unit_Grades!$A$2:$A$7, 0))*INDEX(Unit_Paths!$C$2:$C$4, MATCH(E928, Unit_Paths!$A$2:$A$4, 0)),1)</f>
        <v>9.2</v>
      </c>
      <c r="J928" s="6" t="n">
        <f aca="false">ROUND(INDEX(Archetypes!$G$2:$G$127, MATCH(D928, Archetypes!$A$2:$A$127, 0))*INDEX(Unit_Grades!$B$2:$B$7, MATCH(F928, Unit_Grades!$A$2:$A$7, 0))*INDEX(Unit_Paths!$D$2:$D$4, MATCH(E928, Unit_Paths!$A$2:$A$4, 0)),0)</f>
        <v>103</v>
      </c>
      <c r="K928" s="6" t="n">
        <f aca="false">ROUND(INDEX(Archetypes!$H$2:$H$127, MATCH(D928, Archetypes!$A$2:$A$127, 0))*INDEX(Unit_Paths!$E$2:$E$4, MATCH(E928, Unit_Paths!$A$2:$A$4, 0)),1)</f>
        <v>21</v>
      </c>
      <c r="L928" s="6" t="n">
        <f aca="false">ROUND(INDEX(Archetypes!$I$2:$I$127, MATCH(D928, Archetypes!$A$2:$A$127, 0))*INDEX(Unit_Grades!$C$2:$C$7, MATCH(F928, Unit_Grades!$A$2:$A$7, 0)),1)</f>
        <v>16</v>
      </c>
      <c r="M928" s="6" t="n">
        <f aca="false">ROUND(INDEX(Archetypes!$J$2:$J$127, MATCH(D928, Archetypes!$A$2:$A$127, 0))*INDEX(Unit_Grades!$D$2:$D$7, MATCH(F928, Unit_Grades!$A$2:$A$7, 0)),1)</f>
        <v>10.2</v>
      </c>
      <c r="N928" s="6" t="n">
        <f aca="false">ROUND(M928/24,2)</f>
        <v>0.43</v>
      </c>
    </row>
    <row r="929" customFormat="false" ht="15" hidden="false" customHeight="true" outlineLevel="0" collapsed="false">
      <c r="A929" s="6" t="n">
        <v>3</v>
      </c>
      <c r="B929" s="6" t="s">
        <v>2445</v>
      </c>
      <c r="C929" s="6" t="s">
        <v>1369</v>
      </c>
      <c r="D929" s="6" t="str">
        <f aca="false">A929&amp;"|"&amp;C929</f>
        <v>3|Emissary</v>
      </c>
      <c r="E929" s="6" t="s">
        <v>1558</v>
      </c>
      <c r="F929" s="6" t="s">
        <v>1544</v>
      </c>
      <c r="G929" s="6" t="str">
        <f aca="false">INDEX(Archetypes!$D$2:$D$127, MATCH(D929, Archetypes!$A$2:$A$127, 0))</f>
        <v>Agent</v>
      </c>
      <c r="H929" s="6" t="n">
        <f aca="false">ROUND(INDEX(Archetypes!$E$2:$E$127, MATCH(D929, Archetypes!$A$2:$A$127, 0))*INDEX(Unit_Grades!$B$2:$B$7, MATCH(F929, Unit_Grades!$A$2:$A$7, 0))*INDEX(Unit_Paths!$B$2:$B$4, MATCH(E929, Unit_Paths!$A$2:$A$4, 0)),1)</f>
        <v>11.5</v>
      </c>
      <c r="I929" s="6" t="n">
        <f aca="false">ROUND(INDEX(Archetypes!$F$2:$F$127, MATCH(D929, Archetypes!$A$2:$A$127, 0))*INDEX(Unit_Grades!$B$2:$B$7, MATCH(F929, Unit_Grades!$A$2:$A$7, 0))*INDEX(Unit_Paths!$C$2:$C$4, MATCH(E929, Unit_Paths!$A$2:$A$4, 0)),1)</f>
        <v>12.2</v>
      </c>
      <c r="J929" s="6" t="n">
        <f aca="false">ROUND(INDEX(Archetypes!$G$2:$G$127, MATCH(D929, Archetypes!$A$2:$A$127, 0))*INDEX(Unit_Grades!$B$2:$B$7, MATCH(F929, Unit_Grades!$A$2:$A$7, 0))*INDEX(Unit_Paths!$D$2:$D$4, MATCH(E929, Unit_Paths!$A$2:$A$4, 0)),0)</f>
        <v>137</v>
      </c>
      <c r="K929" s="6" t="n">
        <f aca="false">ROUND(INDEX(Archetypes!$H$2:$H$127, MATCH(D929, Archetypes!$A$2:$A$127, 0))*INDEX(Unit_Paths!$E$2:$E$4, MATCH(E929, Unit_Paths!$A$2:$A$4, 0)),1)</f>
        <v>21</v>
      </c>
      <c r="L929" s="6" t="n">
        <f aca="false">ROUND(INDEX(Archetypes!$I$2:$I$127, MATCH(D929, Archetypes!$A$2:$A$127, 0))*INDEX(Unit_Grades!$C$2:$C$7, MATCH(F929, Unit_Grades!$A$2:$A$7, 0)),1)</f>
        <v>21</v>
      </c>
      <c r="M929" s="6" t="n">
        <f aca="false">ROUND(INDEX(Archetypes!$J$2:$J$127, MATCH(D929, Archetypes!$A$2:$A$127, 0))*INDEX(Unit_Grades!$D$2:$D$7, MATCH(F929, Unit_Grades!$A$2:$A$7, 0)),1)</f>
        <v>16.2</v>
      </c>
      <c r="N929" s="6" t="n">
        <f aca="false">ROUND(M929/24,2)</f>
        <v>0.68</v>
      </c>
    </row>
    <row r="930" customFormat="false" ht="15" hidden="false" customHeight="true" outlineLevel="0" collapsed="false">
      <c r="A930" s="6" t="n">
        <v>3</v>
      </c>
      <c r="B930" s="6" t="s">
        <v>2446</v>
      </c>
      <c r="C930" s="6" t="s">
        <v>1369</v>
      </c>
      <c r="D930" s="6" t="str">
        <f aca="false">A930&amp;"|"&amp;C930</f>
        <v>3|Emissary</v>
      </c>
      <c r="E930" s="6" t="s">
        <v>1558</v>
      </c>
      <c r="F930" s="6" t="s">
        <v>1546</v>
      </c>
      <c r="G930" s="6" t="str">
        <f aca="false">INDEX(Archetypes!$D$2:$D$127, MATCH(D930, Archetypes!$A$2:$A$127, 0))</f>
        <v>Agent</v>
      </c>
      <c r="H930" s="6" t="n">
        <f aca="false">ROUND(INDEX(Archetypes!$E$2:$E$127, MATCH(D930, Archetypes!$A$2:$A$127, 0))*INDEX(Unit_Grades!$B$2:$B$7, MATCH(F930, Unit_Grades!$A$2:$A$7, 0))*INDEX(Unit_Paths!$B$2:$B$4, MATCH(E930, Unit_Paths!$A$2:$A$4, 0)),1)</f>
        <v>15.4</v>
      </c>
      <c r="I930" s="6" t="n">
        <f aca="false">ROUND(INDEX(Archetypes!$F$2:$F$127, MATCH(D930, Archetypes!$A$2:$A$127, 0))*INDEX(Unit_Grades!$B$2:$B$7, MATCH(F930, Unit_Grades!$A$2:$A$7, 0))*INDEX(Unit_Paths!$C$2:$C$4, MATCH(E930, Unit_Paths!$A$2:$A$4, 0)),1)</f>
        <v>16.3</v>
      </c>
      <c r="J930" s="6" t="n">
        <f aca="false">ROUND(INDEX(Archetypes!$G$2:$G$127, MATCH(D930, Archetypes!$A$2:$A$127, 0))*INDEX(Unit_Grades!$B$2:$B$7, MATCH(F930, Unit_Grades!$A$2:$A$7, 0))*INDEX(Unit_Paths!$D$2:$D$4, MATCH(E930, Unit_Paths!$A$2:$A$4, 0)),0)</f>
        <v>182</v>
      </c>
      <c r="K930" s="6" t="n">
        <f aca="false">ROUND(INDEX(Archetypes!$H$2:$H$127, MATCH(D930, Archetypes!$A$2:$A$127, 0))*INDEX(Unit_Paths!$E$2:$E$4, MATCH(E930, Unit_Paths!$A$2:$A$4, 0)),1)</f>
        <v>21</v>
      </c>
      <c r="L930" s="6" t="n">
        <f aca="false">ROUND(INDEX(Archetypes!$I$2:$I$127, MATCH(D930, Archetypes!$A$2:$A$127, 0))*INDEX(Unit_Grades!$C$2:$C$7, MATCH(F930, Unit_Grades!$A$2:$A$7, 0)),1)</f>
        <v>28</v>
      </c>
      <c r="M930" s="6" t="n">
        <f aca="false">ROUND(INDEX(Archetypes!$J$2:$J$127, MATCH(D930, Archetypes!$A$2:$A$127, 0))*INDEX(Unit_Grades!$D$2:$D$7, MATCH(F930, Unit_Grades!$A$2:$A$7, 0)),1)</f>
        <v>28.4</v>
      </c>
      <c r="N930" s="6" t="n">
        <f aca="false">ROUND(M930/24,2)</f>
        <v>1.18</v>
      </c>
    </row>
    <row r="931" customFormat="false" ht="15" hidden="false" customHeight="true" outlineLevel="0" collapsed="false">
      <c r="A931" s="6" t="n">
        <v>3</v>
      </c>
      <c r="B931" s="6" t="s">
        <v>2447</v>
      </c>
      <c r="C931" s="6" t="s">
        <v>1369</v>
      </c>
      <c r="D931" s="6" t="str">
        <f aca="false">A931&amp;"|"&amp;C931</f>
        <v>3|Emissary</v>
      </c>
      <c r="E931" s="6" t="s">
        <v>1558</v>
      </c>
      <c r="F931" s="6" t="s">
        <v>1548</v>
      </c>
      <c r="G931" s="6" t="str">
        <f aca="false">INDEX(Archetypes!$D$2:$D$127, MATCH(D931, Archetypes!$A$2:$A$127, 0))</f>
        <v>Agent</v>
      </c>
      <c r="H931" s="6" t="n">
        <f aca="false">ROUND(INDEX(Archetypes!$E$2:$E$127, MATCH(D931, Archetypes!$A$2:$A$127, 0))*INDEX(Unit_Grades!$B$2:$B$7, MATCH(F931, Unit_Grades!$A$2:$A$7, 0))*INDEX(Unit_Paths!$B$2:$B$4, MATCH(E931, Unit_Paths!$A$2:$A$4, 0)),1)</f>
        <v>20.2</v>
      </c>
      <c r="I931" s="6" t="n">
        <f aca="false">ROUND(INDEX(Archetypes!$F$2:$F$127, MATCH(D931, Archetypes!$A$2:$A$127, 0))*INDEX(Unit_Grades!$B$2:$B$7, MATCH(F931, Unit_Grades!$A$2:$A$7, 0))*INDEX(Unit_Paths!$C$2:$C$4, MATCH(E931, Unit_Paths!$A$2:$A$4, 0)),1)</f>
        <v>21.4</v>
      </c>
      <c r="J931" s="6" t="n">
        <f aca="false">ROUND(INDEX(Archetypes!$G$2:$G$127, MATCH(D931, Archetypes!$A$2:$A$127, 0))*INDEX(Unit_Grades!$B$2:$B$7, MATCH(F931, Unit_Grades!$A$2:$A$7, 0))*INDEX(Unit_Paths!$D$2:$D$4, MATCH(E931, Unit_Paths!$A$2:$A$4, 0)),0)</f>
        <v>239</v>
      </c>
      <c r="K931" s="6" t="n">
        <f aca="false">ROUND(INDEX(Archetypes!$H$2:$H$127, MATCH(D931, Archetypes!$A$2:$A$127, 0))*INDEX(Unit_Paths!$E$2:$E$4, MATCH(E931, Unit_Paths!$A$2:$A$4, 0)),1)</f>
        <v>21</v>
      </c>
      <c r="L931" s="6" t="n">
        <f aca="false">ROUND(INDEX(Archetypes!$I$2:$I$127, MATCH(D931, Archetypes!$A$2:$A$127, 0))*INDEX(Unit_Grades!$C$2:$C$7, MATCH(F931, Unit_Grades!$A$2:$A$7, 0)),1)</f>
        <v>37</v>
      </c>
      <c r="M931" s="6" t="n">
        <f aca="false">ROUND(INDEX(Archetypes!$J$2:$J$127, MATCH(D931, Archetypes!$A$2:$A$127, 0))*INDEX(Unit_Grades!$D$2:$D$7, MATCH(F931, Unit_Grades!$A$2:$A$7, 0)),1)</f>
        <v>48.7</v>
      </c>
      <c r="N931" s="6" t="n">
        <f aca="false">ROUND(M931/24,2)</f>
        <v>2.03</v>
      </c>
    </row>
    <row r="932" customFormat="false" ht="15" hidden="false" customHeight="true" outlineLevel="0" collapsed="false">
      <c r="A932" s="6" t="n">
        <v>3</v>
      </c>
      <c r="B932" s="6" t="s">
        <v>2448</v>
      </c>
      <c r="C932" s="6" t="s">
        <v>1369</v>
      </c>
      <c r="D932" s="6" t="str">
        <f aca="false">A932&amp;"|"&amp;C932</f>
        <v>3|Emissary</v>
      </c>
      <c r="E932" s="6" t="s">
        <v>1560</v>
      </c>
      <c r="F932" s="6" t="s">
        <v>1538</v>
      </c>
      <c r="G932" s="6" t="str">
        <f aca="false">INDEX(Archetypes!$D$2:$D$127, MATCH(D932, Archetypes!$A$2:$A$127, 0))</f>
        <v>Agent</v>
      </c>
      <c r="H932" s="6" t="n">
        <f aca="false">ROUND(INDEX(Archetypes!$E$2:$E$127, MATCH(D932, Archetypes!$A$2:$A$127, 0))*INDEX(Unit_Grades!$B$2:$B$7, MATCH(F932, Unit_Grades!$A$2:$A$7, 0))*INDEX(Unit_Paths!$B$2:$B$4, MATCH(E932, Unit_Paths!$A$2:$A$4, 0)),1)</f>
        <v>3.4</v>
      </c>
      <c r="I932" s="6" t="n">
        <f aca="false">ROUND(INDEX(Archetypes!$F$2:$F$127, MATCH(D932, Archetypes!$A$2:$A$127, 0))*INDEX(Unit_Grades!$B$2:$B$7, MATCH(F932, Unit_Grades!$A$2:$A$7, 0))*INDEX(Unit_Paths!$C$2:$C$4, MATCH(E932, Unit_Paths!$A$2:$A$4, 0)),1)</f>
        <v>7.5</v>
      </c>
      <c r="J932" s="6" t="n">
        <f aca="false">ROUND(INDEX(Archetypes!$G$2:$G$127, MATCH(D932, Archetypes!$A$2:$A$127, 0))*INDEX(Unit_Grades!$B$2:$B$7, MATCH(F932, Unit_Grades!$A$2:$A$7, 0))*INDEX(Unit_Paths!$D$2:$D$4, MATCH(E932, Unit_Paths!$A$2:$A$4, 0)),0)</f>
        <v>69</v>
      </c>
      <c r="K932" s="6" t="n">
        <f aca="false">ROUND(INDEX(Archetypes!$H$2:$H$127, MATCH(D932, Archetypes!$A$2:$A$127, 0))*INDEX(Unit_Paths!$E$2:$E$4, MATCH(E932, Unit_Paths!$A$2:$A$4, 0)),1)</f>
        <v>18.4</v>
      </c>
      <c r="L932" s="6" t="n">
        <f aca="false">ROUND(INDEX(Archetypes!$I$2:$I$127, MATCH(D932, Archetypes!$A$2:$A$127, 0))*INDEX(Unit_Grades!$C$2:$C$7, MATCH(F932, Unit_Grades!$A$2:$A$7, 0)),1)</f>
        <v>10</v>
      </c>
      <c r="M932" s="6" t="n">
        <f aca="false">ROUND(INDEX(Archetypes!$J$2:$J$127, MATCH(D932, Archetypes!$A$2:$A$127, 0))*INDEX(Unit_Grades!$D$2:$D$7, MATCH(F932, Unit_Grades!$A$2:$A$7, 0)),1)</f>
        <v>4.1</v>
      </c>
      <c r="N932" s="6" t="n">
        <f aca="false">ROUND(M932/24,2)</f>
        <v>0.17</v>
      </c>
    </row>
    <row r="933" customFormat="false" ht="15" hidden="false" customHeight="true" outlineLevel="0" collapsed="false">
      <c r="A933" s="6" t="n">
        <v>3</v>
      </c>
      <c r="B933" s="6" t="s">
        <v>2449</v>
      </c>
      <c r="C933" s="6" t="s">
        <v>1369</v>
      </c>
      <c r="D933" s="6" t="str">
        <f aca="false">A933&amp;"|"&amp;C933</f>
        <v>3|Emissary</v>
      </c>
      <c r="E933" s="6" t="s">
        <v>1560</v>
      </c>
      <c r="F933" s="6" t="s">
        <v>1540</v>
      </c>
      <c r="G933" s="6" t="str">
        <f aca="false">INDEX(Archetypes!$D$2:$D$127, MATCH(D933, Archetypes!$A$2:$A$127, 0))</f>
        <v>Agent</v>
      </c>
      <c r="H933" s="6" t="n">
        <f aca="false">ROUND(INDEX(Archetypes!$E$2:$E$127, MATCH(D933, Archetypes!$A$2:$A$127, 0))*INDEX(Unit_Grades!$B$2:$B$7, MATCH(F933, Unit_Grades!$A$2:$A$7, 0))*INDEX(Unit_Paths!$B$2:$B$4, MATCH(E933, Unit_Paths!$A$2:$A$4, 0)),1)</f>
        <v>4.6</v>
      </c>
      <c r="I933" s="6" t="n">
        <f aca="false">ROUND(INDEX(Archetypes!$F$2:$F$127, MATCH(D933, Archetypes!$A$2:$A$127, 0))*INDEX(Unit_Grades!$B$2:$B$7, MATCH(F933, Unit_Grades!$A$2:$A$7, 0))*INDEX(Unit_Paths!$C$2:$C$4, MATCH(E933, Unit_Paths!$A$2:$A$4, 0)),1)</f>
        <v>10.1</v>
      </c>
      <c r="J933" s="6" t="n">
        <f aca="false">ROUND(INDEX(Archetypes!$G$2:$G$127, MATCH(D933, Archetypes!$A$2:$A$127, 0))*INDEX(Unit_Grades!$B$2:$B$7, MATCH(F933, Unit_Grades!$A$2:$A$7, 0))*INDEX(Unit_Paths!$D$2:$D$4, MATCH(E933, Unit_Paths!$A$2:$A$4, 0)),0)</f>
        <v>93</v>
      </c>
      <c r="K933" s="6" t="n">
        <f aca="false">ROUND(INDEX(Archetypes!$H$2:$H$127, MATCH(D933, Archetypes!$A$2:$A$127, 0))*INDEX(Unit_Paths!$E$2:$E$4, MATCH(E933, Unit_Paths!$A$2:$A$4, 0)),1)</f>
        <v>18.4</v>
      </c>
      <c r="L933" s="6" t="n">
        <f aca="false">ROUND(INDEX(Archetypes!$I$2:$I$127, MATCH(D933, Archetypes!$A$2:$A$127, 0))*INDEX(Unit_Grades!$C$2:$C$7, MATCH(F933, Unit_Grades!$A$2:$A$7, 0)),1)</f>
        <v>12.5</v>
      </c>
      <c r="M933" s="6" t="n">
        <f aca="false">ROUND(INDEX(Archetypes!$J$2:$J$127, MATCH(D933, Archetypes!$A$2:$A$127, 0))*INDEX(Unit_Grades!$D$2:$D$7, MATCH(F933, Unit_Grades!$A$2:$A$7, 0)),1)</f>
        <v>6.1</v>
      </c>
      <c r="N933" s="6" t="n">
        <f aca="false">ROUND(M933/24,2)</f>
        <v>0.25</v>
      </c>
    </row>
    <row r="934" customFormat="false" ht="15" hidden="false" customHeight="true" outlineLevel="0" collapsed="false">
      <c r="A934" s="6" t="n">
        <v>3</v>
      </c>
      <c r="B934" s="6" t="s">
        <v>2450</v>
      </c>
      <c r="C934" s="6" t="s">
        <v>1369</v>
      </c>
      <c r="D934" s="6" t="str">
        <f aca="false">A934&amp;"|"&amp;C934</f>
        <v>3|Emissary</v>
      </c>
      <c r="E934" s="6" t="s">
        <v>1560</v>
      </c>
      <c r="F934" s="6" t="s">
        <v>1542</v>
      </c>
      <c r="G934" s="6" t="str">
        <f aca="false">INDEX(Archetypes!$D$2:$D$127, MATCH(D934, Archetypes!$A$2:$A$127, 0))</f>
        <v>Agent</v>
      </c>
      <c r="H934" s="6" t="n">
        <f aca="false">ROUND(INDEX(Archetypes!$E$2:$E$127, MATCH(D934, Archetypes!$A$2:$A$127, 0))*INDEX(Unit_Grades!$B$2:$B$7, MATCH(F934, Unit_Grades!$A$2:$A$7, 0))*INDEX(Unit_Paths!$B$2:$B$4, MATCH(E934, Unit_Paths!$A$2:$A$4, 0)),1)</f>
        <v>6.1</v>
      </c>
      <c r="I934" s="6" t="n">
        <f aca="false">ROUND(INDEX(Archetypes!$F$2:$F$127, MATCH(D934, Archetypes!$A$2:$A$127, 0))*INDEX(Unit_Grades!$B$2:$B$7, MATCH(F934, Unit_Grades!$A$2:$A$7, 0))*INDEX(Unit_Paths!$C$2:$C$4, MATCH(E934, Unit_Paths!$A$2:$A$4, 0)),1)</f>
        <v>13.5</v>
      </c>
      <c r="J934" s="6" t="n">
        <f aca="false">ROUND(INDEX(Archetypes!$G$2:$G$127, MATCH(D934, Archetypes!$A$2:$A$127, 0))*INDEX(Unit_Grades!$B$2:$B$7, MATCH(F934, Unit_Grades!$A$2:$A$7, 0))*INDEX(Unit_Paths!$D$2:$D$4, MATCH(E934, Unit_Paths!$A$2:$A$4, 0)),0)</f>
        <v>124</v>
      </c>
      <c r="K934" s="6" t="n">
        <f aca="false">ROUND(INDEX(Archetypes!$H$2:$H$127, MATCH(D934, Archetypes!$A$2:$A$127, 0))*INDEX(Unit_Paths!$E$2:$E$4, MATCH(E934, Unit_Paths!$A$2:$A$4, 0)),1)</f>
        <v>18.4</v>
      </c>
      <c r="L934" s="6" t="n">
        <f aca="false">ROUND(INDEX(Archetypes!$I$2:$I$127, MATCH(D934, Archetypes!$A$2:$A$127, 0))*INDEX(Unit_Grades!$C$2:$C$7, MATCH(F934, Unit_Grades!$A$2:$A$7, 0)),1)</f>
        <v>16</v>
      </c>
      <c r="M934" s="6" t="n">
        <f aca="false">ROUND(INDEX(Archetypes!$J$2:$J$127, MATCH(D934, Archetypes!$A$2:$A$127, 0))*INDEX(Unit_Grades!$D$2:$D$7, MATCH(F934, Unit_Grades!$A$2:$A$7, 0)),1)</f>
        <v>10.2</v>
      </c>
      <c r="N934" s="6" t="n">
        <f aca="false">ROUND(M934/24,2)</f>
        <v>0.43</v>
      </c>
    </row>
    <row r="935" customFormat="false" ht="15" hidden="false" customHeight="true" outlineLevel="0" collapsed="false">
      <c r="A935" s="6" t="n">
        <v>3</v>
      </c>
      <c r="B935" s="6" t="s">
        <v>2451</v>
      </c>
      <c r="C935" s="6" t="s">
        <v>1369</v>
      </c>
      <c r="D935" s="6" t="str">
        <f aca="false">A935&amp;"|"&amp;C935</f>
        <v>3|Emissary</v>
      </c>
      <c r="E935" s="6" t="s">
        <v>1560</v>
      </c>
      <c r="F935" s="6" t="s">
        <v>1544</v>
      </c>
      <c r="G935" s="6" t="str">
        <f aca="false">INDEX(Archetypes!$D$2:$D$127, MATCH(D935, Archetypes!$A$2:$A$127, 0))</f>
        <v>Agent</v>
      </c>
      <c r="H935" s="6" t="n">
        <f aca="false">ROUND(INDEX(Archetypes!$E$2:$E$127, MATCH(D935, Archetypes!$A$2:$A$127, 0))*INDEX(Unit_Grades!$B$2:$B$7, MATCH(F935, Unit_Grades!$A$2:$A$7, 0))*INDEX(Unit_Paths!$B$2:$B$4, MATCH(E935, Unit_Paths!$A$2:$A$4, 0)),1)</f>
        <v>8.2</v>
      </c>
      <c r="I935" s="6" t="n">
        <f aca="false">ROUND(INDEX(Archetypes!$F$2:$F$127, MATCH(D935, Archetypes!$A$2:$A$127, 0))*INDEX(Unit_Grades!$B$2:$B$7, MATCH(F935, Unit_Grades!$A$2:$A$7, 0))*INDEX(Unit_Paths!$C$2:$C$4, MATCH(E935, Unit_Paths!$A$2:$A$4, 0)),1)</f>
        <v>18</v>
      </c>
      <c r="J935" s="6" t="n">
        <f aca="false">ROUND(INDEX(Archetypes!$G$2:$G$127, MATCH(D935, Archetypes!$A$2:$A$127, 0))*INDEX(Unit_Grades!$B$2:$B$7, MATCH(F935, Unit_Grades!$A$2:$A$7, 0))*INDEX(Unit_Paths!$D$2:$D$4, MATCH(E935, Unit_Paths!$A$2:$A$4, 0)),0)</f>
        <v>166</v>
      </c>
      <c r="K935" s="6" t="n">
        <f aca="false">ROUND(INDEX(Archetypes!$H$2:$H$127, MATCH(D935, Archetypes!$A$2:$A$127, 0))*INDEX(Unit_Paths!$E$2:$E$4, MATCH(E935, Unit_Paths!$A$2:$A$4, 0)),1)</f>
        <v>18.4</v>
      </c>
      <c r="L935" s="6" t="n">
        <f aca="false">ROUND(INDEX(Archetypes!$I$2:$I$127, MATCH(D935, Archetypes!$A$2:$A$127, 0))*INDEX(Unit_Grades!$C$2:$C$7, MATCH(F935, Unit_Grades!$A$2:$A$7, 0)),1)</f>
        <v>21</v>
      </c>
      <c r="M935" s="6" t="n">
        <f aca="false">ROUND(INDEX(Archetypes!$J$2:$J$127, MATCH(D935, Archetypes!$A$2:$A$127, 0))*INDEX(Unit_Grades!$D$2:$D$7, MATCH(F935, Unit_Grades!$A$2:$A$7, 0)),1)</f>
        <v>16.2</v>
      </c>
      <c r="N935" s="6" t="n">
        <f aca="false">ROUND(M935/24,2)</f>
        <v>0.68</v>
      </c>
    </row>
    <row r="936" customFormat="false" ht="15" hidden="false" customHeight="true" outlineLevel="0" collapsed="false">
      <c r="A936" s="6" t="n">
        <v>3</v>
      </c>
      <c r="B936" s="6" t="s">
        <v>2452</v>
      </c>
      <c r="C936" s="6" t="s">
        <v>1369</v>
      </c>
      <c r="D936" s="6" t="str">
        <f aca="false">A936&amp;"|"&amp;C936</f>
        <v>3|Emissary</v>
      </c>
      <c r="E936" s="6" t="s">
        <v>1560</v>
      </c>
      <c r="F936" s="6" t="s">
        <v>1546</v>
      </c>
      <c r="G936" s="6" t="str">
        <f aca="false">INDEX(Archetypes!$D$2:$D$127, MATCH(D936, Archetypes!$A$2:$A$127, 0))</f>
        <v>Agent</v>
      </c>
      <c r="H936" s="6" t="n">
        <f aca="false">ROUND(INDEX(Archetypes!$E$2:$E$127, MATCH(D936, Archetypes!$A$2:$A$127, 0))*INDEX(Unit_Grades!$B$2:$B$7, MATCH(F936, Unit_Grades!$A$2:$A$7, 0))*INDEX(Unit_Paths!$B$2:$B$4, MATCH(E936, Unit_Paths!$A$2:$A$4, 0)),1)</f>
        <v>10.9</v>
      </c>
      <c r="I936" s="6" t="n">
        <f aca="false">ROUND(INDEX(Archetypes!$F$2:$F$127, MATCH(D936, Archetypes!$A$2:$A$127, 0))*INDEX(Unit_Grades!$B$2:$B$7, MATCH(F936, Unit_Grades!$A$2:$A$7, 0))*INDEX(Unit_Paths!$C$2:$C$4, MATCH(E936, Unit_Paths!$A$2:$A$4, 0)),1)</f>
        <v>24</v>
      </c>
      <c r="J936" s="6" t="n">
        <f aca="false">ROUND(INDEX(Archetypes!$G$2:$G$127, MATCH(D936, Archetypes!$A$2:$A$127, 0))*INDEX(Unit_Grades!$B$2:$B$7, MATCH(F936, Unit_Grades!$A$2:$A$7, 0))*INDEX(Unit_Paths!$D$2:$D$4, MATCH(E936, Unit_Paths!$A$2:$A$4, 0)),0)</f>
        <v>221</v>
      </c>
      <c r="K936" s="6" t="n">
        <f aca="false">ROUND(INDEX(Archetypes!$H$2:$H$127, MATCH(D936, Archetypes!$A$2:$A$127, 0))*INDEX(Unit_Paths!$E$2:$E$4, MATCH(E936, Unit_Paths!$A$2:$A$4, 0)),1)</f>
        <v>18.4</v>
      </c>
      <c r="L936" s="6" t="n">
        <f aca="false">ROUND(INDEX(Archetypes!$I$2:$I$127, MATCH(D936, Archetypes!$A$2:$A$127, 0))*INDEX(Unit_Grades!$C$2:$C$7, MATCH(F936, Unit_Grades!$A$2:$A$7, 0)),1)</f>
        <v>28</v>
      </c>
      <c r="M936" s="6" t="n">
        <f aca="false">ROUND(INDEX(Archetypes!$J$2:$J$127, MATCH(D936, Archetypes!$A$2:$A$127, 0))*INDEX(Unit_Grades!$D$2:$D$7, MATCH(F936, Unit_Grades!$A$2:$A$7, 0)),1)</f>
        <v>28.4</v>
      </c>
      <c r="N936" s="6" t="n">
        <f aca="false">ROUND(M936/24,2)</f>
        <v>1.18</v>
      </c>
    </row>
    <row r="937" customFormat="false" ht="15" hidden="false" customHeight="true" outlineLevel="0" collapsed="false">
      <c r="A937" s="6" t="n">
        <v>3</v>
      </c>
      <c r="B937" s="6" t="s">
        <v>2453</v>
      </c>
      <c r="C937" s="6" t="s">
        <v>1369</v>
      </c>
      <c r="D937" s="6" t="str">
        <f aca="false">A937&amp;"|"&amp;C937</f>
        <v>3|Emissary</v>
      </c>
      <c r="E937" s="6" t="s">
        <v>1560</v>
      </c>
      <c r="F937" s="6" t="s">
        <v>1548</v>
      </c>
      <c r="G937" s="6" t="str">
        <f aca="false">INDEX(Archetypes!$D$2:$D$127, MATCH(D937, Archetypes!$A$2:$A$127, 0))</f>
        <v>Agent</v>
      </c>
      <c r="H937" s="6" t="n">
        <f aca="false">ROUND(INDEX(Archetypes!$E$2:$E$127, MATCH(D937, Archetypes!$A$2:$A$127, 0))*INDEX(Unit_Grades!$B$2:$B$7, MATCH(F937, Unit_Grades!$A$2:$A$7, 0))*INDEX(Unit_Paths!$B$2:$B$4, MATCH(E937, Unit_Paths!$A$2:$A$4, 0)),1)</f>
        <v>14.3</v>
      </c>
      <c r="I937" s="6" t="n">
        <f aca="false">ROUND(INDEX(Archetypes!$F$2:$F$127, MATCH(D937, Archetypes!$A$2:$A$127, 0))*INDEX(Unit_Grades!$B$2:$B$7, MATCH(F937, Unit_Grades!$A$2:$A$7, 0))*INDEX(Unit_Paths!$C$2:$C$4, MATCH(E937, Unit_Paths!$A$2:$A$4, 0)),1)</f>
        <v>31.5</v>
      </c>
      <c r="J937" s="6" t="n">
        <f aca="false">ROUND(INDEX(Archetypes!$G$2:$G$127, MATCH(D937, Archetypes!$A$2:$A$127, 0))*INDEX(Unit_Grades!$B$2:$B$7, MATCH(F937, Unit_Grades!$A$2:$A$7, 0))*INDEX(Unit_Paths!$D$2:$D$4, MATCH(E937, Unit_Paths!$A$2:$A$4, 0)),0)</f>
        <v>290</v>
      </c>
      <c r="K937" s="6" t="n">
        <f aca="false">ROUND(INDEX(Archetypes!$H$2:$H$127, MATCH(D937, Archetypes!$A$2:$A$127, 0))*INDEX(Unit_Paths!$E$2:$E$4, MATCH(E937, Unit_Paths!$A$2:$A$4, 0)),1)</f>
        <v>18.4</v>
      </c>
      <c r="L937" s="6" t="n">
        <f aca="false">ROUND(INDEX(Archetypes!$I$2:$I$127, MATCH(D937, Archetypes!$A$2:$A$127, 0))*INDEX(Unit_Grades!$C$2:$C$7, MATCH(F937, Unit_Grades!$A$2:$A$7, 0)),1)</f>
        <v>37</v>
      </c>
      <c r="M937" s="6" t="n">
        <f aca="false">ROUND(INDEX(Archetypes!$J$2:$J$127, MATCH(D937, Archetypes!$A$2:$A$127, 0))*INDEX(Unit_Grades!$D$2:$D$7, MATCH(F937, Unit_Grades!$A$2:$A$7, 0)),1)</f>
        <v>48.7</v>
      </c>
      <c r="N937" s="6" t="n">
        <f aca="false">ROUND(M937/24,2)</f>
        <v>2.03</v>
      </c>
    </row>
    <row r="938" customFormat="false" ht="15" hidden="false" customHeight="true" outlineLevel="0" collapsed="false">
      <c r="A938" s="6" t="n">
        <v>3</v>
      </c>
      <c r="B938" s="6" t="s">
        <v>1371</v>
      </c>
      <c r="C938" s="6" t="s">
        <v>1371</v>
      </c>
      <c r="D938" s="6" t="str">
        <f aca="false">A938&amp;"|"&amp;C938</f>
        <v>3|Pill-Fed Vanguard</v>
      </c>
      <c r="E938" s="6" t="s">
        <v>1556</v>
      </c>
      <c r="F938" s="6" t="s">
        <v>1538</v>
      </c>
      <c r="G938" s="6" t="str">
        <f aca="false">INDEX(Archetypes!$D$2:$D$127, MATCH(D938, Archetypes!$A$2:$A$127, 0))</f>
        <v>Cultivator</v>
      </c>
      <c r="H938" s="6" t="n">
        <f aca="false">ROUND(INDEX(Archetypes!$E$2:$E$127, MATCH(D938, Archetypes!$A$2:$A$127, 0))*INDEX(Unit_Grades!$B$2:$B$7, MATCH(F938, Unit_Grades!$A$2:$A$7, 0))*INDEX(Unit_Paths!$B$2:$B$4, MATCH(E938, Unit_Paths!$A$2:$A$4, 0)),1)</f>
        <v>66</v>
      </c>
      <c r="I938" s="6" t="n">
        <f aca="false">ROUND(INDEX(Archetypes!$F$2:$F$127, MATCH(D938, Archetypes!$A$2:$A$127, 0))*INDEX(Unit_Grades!$B$2:$B$7, MATCH(F938, Unit_Grades!$A$2:$A$7, 0))*INDEX(Unit_Paths!$C$2:$C$4, MATCH(E938, Unit_Paths!$A$2:$A$4, 0)),1)</f>
        <v>40</v>
      </c>
      <c r="J938" s="6" t="n">
        <f aca="false">ROUND(INDEX(Archetypes!$G$2:$G$127, MATCH(D938, Archetypes!$A$2:$A$127, 0))*INDEX(Unit_Grades!$B$2:$B$7, MATCH(F938, Unit_Grades!$A$2:$A$7, 0))*INDEX(Unit_Paths!$D$2:$D$4, MATCH(E938, Unit_Paths!$A$2:$A$4, 0)),0)</f>
        <v>170</v>
      </c>
      <c r="K938" s="6" t="n">
        <f aca="false">ROUND(INDEX(Archetypes!$H$2:$H$127, MATCH(D938, Archetypes!$A$2:$A$127, 0))*INDEX(Unit_Paths!$E$2:$E$4, MATCH(E938, Unit_Paths!$A$2:$A$4, 0)),1)</f>
        <v>18</v>
      </c>
      <c r="L938" s="6" t="n">
        <f aca="false">ROUND(INDEX(Archetypes!$I$2:$I$127, MATCH(D938, Archetypes!$A$2:$A$127, 0))*INDEX(Unit_Grades!$C$2:$C$7, MATCH(F938, Unit_Grades!$A$2:$A$7, 0)),1)</f>
        <v>13</v>
      </c>
      <c r="M938" s="6" t="n">
        <f aca="false">ROUND(INDEX(Archetypes!$J$2:$J$127, MATCH(D938, Archetypes!$A$2:$A$127, 0))*INDEX(Unit_Grades!$D$2:$D$7, MATCH(F938, Unit_Grades!$A$2:$A$7, 0)),1)</f>
        <v>5.3</v>
      </c>
      <c r="N938" s="6" t="n">
        <f aca="false">ROUND(M938/24,2)</f>
        <v>0.22</v>
      </c>
    </row>
    <row r="939" customFormat="false" ht="15" hidden="false" customHeight="true" outlineLevel="0" collapsed="false">
      <c r="A939" s="6" t="n">
        <v>3</v>
      </c>
      <c r="B939" s="6" t="s">
        <v>2454</v>
      </c>
      <c r="C939" s="6" t="s">
        <v>1371</v>
      </c>
      <c r="D939" s="6" t="str">
        <f aca="false">A939&amp;"|"&amp;C939</f>
        <v>3|Pill-Fed Vanguard</v>
      </c>
      <c r="E939" s="6" t="s">
        <v>1556</v>
      </c>
      <c r="F939" s="6" t="s">
        <v>1540</v>
      </c>
      <c r="G939" s="6" t="str">
        <f aca="false">INDEX(Archetypes!$D$2:$D$127, MATCH(D939, Archetypes!$A$2:$A$127, 0))</f>
        <v>Cultivator</v>
      </c>
      <c r="H939" s="6" t="n">
        <f aca="false">ROUND(INDEX(Archetypes!$E$2:$E$127, MATCH(D939, Archetypes!$A$2:$A$127, 0))*INDEX(Unit_Grades!$B$2:$B$7, MATCH(F939, Unit_Grades!$A$2:$A$7, 0))*INDEX(Unit_Paths!$B$2:$B$4, MATCH(E939, Unit_Paths!$A$2:$A$4, 0)),1)</f>
        <v>89.1</v>
      </c>
      <c r="I939" s="6" t="n">
        <f aca="false">ROUND(INDEX(Archetypes!$F$2:$F$127, MATCH(D939, Archetypes!$A$2:$A$127, 0))*INDEX(Unit_Grades!$B$2:$B$7, MATCH(F939, Unit_Grades!$A$2:$A$7, 0))*INDEX(Unit_Paths!$C$2:$C$4, MATCH(E939, Unit_Paths!$A$2:$A$4, 0)),1)</f>
        <v>54</v>
      </c>
      <c r="J939" s="6" t="n">
        <f aca="false">ROUND(INDEX(Archetypes!$G$2:$G$127, MATCH(D939, Archetypes!$A$2:$A$127, 0))*INDEX(Unit_Grades!$B$2:$B$7, MATCH(F939, Unit_Grades!$A$2:$A$7, 0))*INDEX(Unit_Paths!$D$2:$D$4, MATCH(E939, Unit_Paths!$A$2:$A$4, 0)),0)</f>
        <v>230</v>
      </c>
      <c r="K939" s="6" t="n">
        <f aca="false">ROUND(INDEX(Archetypes!$H$2:$H$127, MATCH(D939, Archetypes!$A$2:$A$127, 0))*INDEX(Unit_Paths!$E$2:$E$4, MATCH(E939, Unit_Paths!$A$2:$A$4, 0)),1)</f>
        <v>18</v>
      </c>
      <c r="L939" s="6" t="n">
        <f aca="false">ROUND(INDEX(Archetypes!$I$2:$I$127, MATCH(D939, Archetypes!$A$2:$A$127, 0))*INDEX(Unit_Grades!$C$2:$C$7, MATCH(F939, Unit_Grades!$A$2:$A$7, 0)),1)</f>
        <v>16.3</v>
      </c>
      <c r="M939" s="6" t="n">
        <f aca="false">ROUND(INDEX(Archetypes!$J$2:$J$127, MATCH(D939, Archetypes!$A$2:$A$127, 0))*INDEX(Unit_Grades!$D$2:$D$7, MATCH(F939, Unit_Grades!$A$2:$A$7, 0)),1)</f>
        <v>7.9</v>
      </c>
      <c r="N939" s="6" t="n">
        <f aca="false">ROUND(M939/24,2)</f>
        <v>0.33</v>
      </c>
    </row>
    <row r="940" customFormat="false" ht="15" hidden="false" customHeight="true" outlineLevel="0" collapsed="false">
      <c r="A940" s="6" t="n">
        <v>3</v>
      </c>
      <c r="B940" s="6" t="s">
        <v>2455</v>
      </c>
      <c r="C940" s="6" t="s">
        <v>1371</v>
      </c>
      <c r="D940" s="6" t="str">
        <f aca="false">A940&amp;"|"&amp;C940</f>
        <v>3|Pill-Fed Vanguard</v>
      </c>
      <c r="E940" s="6" t="s">
        <v>1556</v>
      </c>
      <c r="F940" s="6" t="s">
        <v>1542</v>
      </c>
      <c r="G940" s="6" t="str">
        <f aca="false">INDEX(Archetypes!$D$2:$D$127, MATCH(D940, Archetypes!$A$2:$A$127, 0))</f>
        <v>Cultivator</v>
      </c>
      <c r="H940" s="6" t="n">
        <f aca="false">ROUND(INDEX(Archetypes!$E$2:$E$127, MATCH(D940, Archetypes!$A$2:$A$127, 0))*INDEX(Unit_Grades!$B$2:$B$7, MATCH(F940, Unit_Grades!$A$2:$A$7, 0))*INDEX(Unit_Paths!$B$2:$B$4, MATCH(E940, Unit_Paths!$A$2:$A$4, 0)),1)</f>
        <v>118.8</v>
      </c>
      <c r="I940" s="6" t="n">
        <f aca="false">ROUND(INDEX(Archetypes!$F$2:$F$127, MATCH(D940, Archetypes!$A$2:$A$127, 0))*INDEX(Unit_Grades!$B$2:$B$7, MATCH(F940, Unit_Grades!$A$2:$A$7, 0))*INDEX(Unit_Paths!$C$2:$C$4, MATCH(E940, Unit_Paths!$A$2:$A$4, 0)),1)</f>
        <v>72</v>
      </c>
      <c r="J940" s="6" t="n">
        <f aca="false">ROUND(INDEX(Archetypes!$G$2:$G$127, MATCH(D940, Archetypes!$A$2:$A$127, 0))*INDEX(Unit_Grades!$B$2:$B$7, MATCH(F940, Unit_Grades!$A$2:$A$7, 0))*INDEX(Unit_Paths!$D$2:$D$4, MATCH(E940, Unit_Paths!$A$2:$A$4, 0)),0)</f>
        <v>306</v>
      </c>
      <c r="K940" s="6" t="n">
        <f aca="false">ROUND(INDEX(Archetypes!$H$2:$H$127, MATCH(D940, Archetypes!$A$2:$A$127, 0))*INDEX(Unit_Paths!$E$2:$E$4, MATCH(E940, Unit_Paths!$A$2:$A$4, 0)),1)</f>
        <v>18</v>
      </c>
      <c r="L940" s="6" t="n">
        <f aca="false">ROUND(INDEX(Archetypes!$I$2:$I$127, MATCH(D940, Archetypes!$A$2:$A$127, 0))*INDEX(Unit_Grades!$C$2:$C$7, MATCH(F940, Unit_Grades!$A$2:$A$7, 0)),1)</f>
        <v>20.8</v>
      </c>
      <c r="M940" s="6" t="n">
        <f aca="false">ROUND(INDEX(Archetypes!$J$2:$J$127, MATCH(D940, Archetypes!$A$2:$A$127, 0))*INDEX(Unit_Grades!$D$2:$D$7, MATCH(F940, Unit_Grades!$A$2:$A$7, 0)),1)</f>
        <v>13.2</v>
      </c>
      <c r="N940" s="6" t="n">
        <f aca="false">ROUND(M940/24,2)</f>
        <v>0.55</v>
      </c>
    </row>
    <row r="941" customFormat="false" ht="15" hidden="false" customHeight="true" outlineLevel="0" collapsed="false">
      <c r="A941" s="6" t="n">
        <v>3</v>
      </c>
      <c r="B941" s="6" t="s">
        <v>2456</v>
      </c>
      <c r="C941" s="6" t="s">
        <v>1371</v>
      </c>
      <c r="D941" s="6" t="str">
        <f aca="false">A941&amp;"|"&amp;C941</f>
        <v>3|Pill-Fed Vanguard</v>
      </c>
      <c r="E941" s="6" t="s">
        <v>1556</v>
      </c>
      <c r="F941" s="6" t="s">
        <v>1544</v>
      </c>
      <c r="G941" s="6" t="str">
        <f aca="false">INDEX(Archetypes!$D$2:$D$127, MATCH(D941, Archetypes!$A$2:$A$127, 0))</f>
        <v>Cultivator</v>
      </c>
      <c r="H941" s="6" t="n">
        <f aca="false">ROUND(INDEX(Archetypes!$E$2:$E$127, MATCH(D941, Archetypes!$A$2:$A$127, 0))*INDEX(Unit_Grades!$B$2:$B$7, MATCH(F941, Unit_Grades!$A$2:$A$7, 0))*INDEX(Unit_Paths!$B$2:$B$4, MATCH(E941, Unit_Paths!$A$2:$A$4, 0)),1)</f>
        <v>158.4</v>
      </c>
      <c r="I941" s="6" t="n">
        <f aca="false">ROUND(INDEX(Archetypes!$F$2:$F$127, MATCH(D941, Archetypes!$A$2:$A$127, 0))*INDEX(Unit_Grades!$B$2:$B$7, MATCH(F941, Unit_Grades!$A$2:$A$7, 0))*INDEX(Unit_Paths!$C$2:$C$4, MATCH(E941, Unit_Paths!$A$2:$A$4, 0)),1)</f>
        <v>96</v>
      </c>
      <c r="J941" s="6" t="n">
        <f aca="false">ROUND(INDEX(Archetypes!$G$2:$G$127, MATCH(D941, Archetypes!$A$2:$A$127, 0))*INDEX(Unit_Grades!$B$2:$B$7, MATCH(F941, Unit_Grades!$A$2:$A$7, 0))*INDEX(Unit_Paths!$D$2:$D$4, MATCH(E941, Unit_Paths!$A$2:$A$4, 0)),0)</f>
        <v>408</v>
      </c>
      <c r="K941" s="6" t="n">
        <f aca="false">ROUND(INDEX(Archetypes!$H$2:$H$127, MATCH(D941, Archetypes!$A$2:$A$127, 0))*INDEX(Unit_Paths!$E$2:$E$4, MATCH(E941, Unit_Paths!$A$2:$A$4, 0)),1)</f>
        <v>18</v>
      </c>
      <c r="L941" s="6" t="n">
        <f aca="false">ROUND(INDEX(Archetypes!$I$2:$I$127, MATCH(D941, Archetypes!$A$2:$A$127, 0))*INDEX(Unit_Grades!$C$2:$C$7, MATCH(F941, Unit_Grades!$A$2:$A$7, 0)),1)</f>
        <v>27.3</v>
      </c>
      <c r="M941" s="6" t="n">
        <f aca="false">ROUND(INDEX(Archetypes!$J$2:$J$127, MATCH(D941, Archetypes!$A$2:$A$127, 0))*INDEX(Unit_Grades!$D$2:$D$7, MATCH(F941, Unit_Grades!$A$2:$A$7, 0)),1)</f>
        <v>21.1</v>
      </c>
      <c r="N941" s="6" t="n">
        <f aca="false">ROUND(M941/24,2)</f>
        <v>0.88</v>
      </c>
    </row>
    <row r="942" customFormat="false" ht="15" hidden="false" customHeight="true" outlineLevel="0" collapsed="false">
      <c r="A942" s="6" t="n">
        <v>3</v>
      </c>
      <c r="B942" s="6" t="s">
        <v>2457</v>
      </c>
      <c r="C942" s="6" t="s">
        <v>1371</v>
      </c>
      <c r="D942" s="6" t="str">
        <f aca="false">A942&amp;"|"&amp;C942</f>
        <v>3|Pill-Fed Vanguard</v>
      </c>
      <c r="E942" s="6" t="s">
        <v>1556</v>
      </c>
      <c r="F942" s="6" t="s">
        <v>1546</v>
      </c>
      <c r="G942" s="6" t="str">
        <f aca="false">INDEX(Archetypes!$D$2:$D$127, MATCH(D942, Archetypes!$A$2:$A$127, 0))</f>
        <v>Cultivator</v>
      </c>
      <c r="H942" s="6" t="n">
        <f aca="false">ROUND(INDEX(Archetypes!$E$2:$E$127, MATCH(D942, Archetypes!$A$2:$A$127, 0))*INDEX(Unit_Grades!$B$2:$B$7, MATCH(F942, Unit_Grades!$A$2:$A$7, 0))*INDEX(Unit_Paths!$B$2:$B$4, MATCH(E942, Unit_Paths!$A$2:$A$4, 0)),1)</f>
        <v>211.2</v>
      </c>
      <c r="I942" s="6" t="n">
        <f aca="false">ROUND(INDEX(Archetypes!$F$2:$F$127, MATCH(D942, Archetypes!$A$2:$A$127, 0))*INDEX(Unit_Grades!$B$2:$B$7, MATCH(F942, Unit_Grades!$A$2:$A$7, 0))*INDEX(Unit_Paths!$C$2:$C$4, MATCH(E942, Unit_Paths!$A$2:$A$4, 0)),1)</f>
        <v>128</v>
      </c>
      <c r="J942" s="6" t="n">
        <f aca="false">ROUND(INDEX(Archetypes!$G$2:$G$127, MATCH(D942, Archetypes!$A$2:$A$127, 0))*INDEX(Unit_Grades!$B$2:$B$7, MATCH(F942, Unit_Grades!$A$2:$A$7, 0))*INDEX(Unit_Paths!$D$2:$D$4, MATCH(E942, Unit_Paths!$A$2:$A$4, 0)),0)</f>
        <v>544</v>
      </c>
      <c r="K942" s="6" t="n">
        <f aca="false">ROUND(INDEX(Archetypes!$H$2:$H$127, MATCH(D942, Archetypes!$A$2:$A$127, 0))*INDEX(Unit_Paths!$E$2:$E$4, MATCH(E942, Unit_Paths!$A$2:$A$4, 0)),1)</f>
        <v>18</v>
      </c>
      <c r="L942" s="6" t="n">
        <f aca="false">ROUND(INDEX(Archetypes!$I$2:$I$127, MATCH(D942, Archetypes!$A$2:$A$127, 0))*INDEX(Unit_Grades!$C$2:$C$7, MATCH(F942, Unit_Grades!$A$2:$A$7, 0)),1)</f>
        <v>36.4</v>
      </c>
      <c r="M942" s="6" t="n">
        <f aca="false">ROUND(INDEX(Archetypes!$J$2:$J$127, MATCH(D942, Archetypes!$A$2:$A$127, 0))*INDEX(Unit_Grades!$D$2:$D$7, MATCH(F942, Unit_Grades!$A$2:$A$7, 0)),1)</f>
        <v>37</v>
      </c>
      <c r="N942" s="6" t="n">
        <f aca="false">ROUND(M942/24,2)</f>
        <v>1.54</v>
      </c>
    </row>
    <row r="943" customFormat="false" ht="15" hidden="false" customHeight="true" outlineLevel="0" collapsed="false">
      <c r="A943" s="6" t="n">
        <v>3</v>
      </c>
      <c r="B943" s="6" t="s">
        <v>2458</v>
      </c>
      <c r="C943" s="6" t="s">
        <v>1371</v>
      </c>
      <c r="D943" s="6" t="str">
        <f aca="false">A943&amp;"|"&amp;C943</f>
        <v>3|Pill-Fed Vanguard</v>
      </c>
      <c r="E943" s="6" t="s">
        <v>1556</v>
      </c>
      <c r="F943" s="6" t="s">
        <v>1548</v>
      </c>
      <c r="G943" s="6" t="str">
        <f aca="false">INDEX(Archetypes!$D$2:$D$127, MATCH(D943, Archetypes!$A$2:$A$127, 0))</f>
        <v>Cultivator</v>
      </c>
      <c r="H943" s="6" t="n">
        <f aca="false">ROUND(INDEX(Archetypes!$E$2:$E$127, MATCH(D943, Archetypes!$A$2:$A$127, 0))*INDEX(Unit_Grades!$B$2:$B$7, MATCH(F943, Unit_Grades!$A$2:$A$7, 0))*INDEX(Unit_Paths!$B$2:$B$4, MATCH(E943, Unit_Paths!$A$2:$A$4, 0)),1)</f>
        <v>277.2</v>
      </c>
      <c r="I943" s="6" t="n">
        <f aca="false">ROUND(INDEX(Archetypes!$F$2:$F$127, MATCH(D943, Archetypes!$A$2:$A$127, 0))*INDEX(Unit_Grades!$B$2:$B$7, MATCH(F943, Unit_Grades!$A$2:$A$7, 0))*INDEX(Unit_Paths!$C$2:$C$4, MATCH(E943, Unit_Paths!$A$2:$A$4, 0)),1)</f>
        <v>168</v>
      </c>
      <c r="J943" s="6" t="n">
        <f aca="false">ROUND(INDEX(Archetypes!$G$2:$G$127, MATCH(D943, Archetypes!$A$2:$A$127, 0))*INDEX(Unit_Grades!$B$2:$B$7, MATCH(F943, Unit_Grades!$A$2:$A$7, 0))*INDEX(Unit_Paths!$D$2:$D$4, MATCH(E943, Unit_Paths!$A$2:$A$4, 0)),0)</f>
        <v>714</v>
      </c>
      <c r="K943" s="6" t="n">
        <f aca="false">ROUND(INDEX(Archetypes!$H$2:$H$127, MATCH(D943, Archetypes!$A$2:$A$127, 0))*INDEX(Unit_Paths!$E$2:$E$4, MATCH(E943, Unit_Paths!$A$2:$A$4, 0)),1)</f>
        <v>18</v>
      </c>
      <c r="L943" s="6" t="n">
        <f aca="false">ROUND(INDEX(Archetypes!$I$2:$I$127, MATCH(D943, Archetypes!$A$2:$A$127, 0))*INDEX(Unit_Grades!$C$2:$C$7, MATCH(F943, Unit_Grades!$A$2:$A$7, 0)),1)</f>
        <v>48.1</v>
      </c>
      <c r="M943" s="6" t="n">
        <f aca="false">ROUND(INDEX(Archetypes!$J$2:$J$127, MATCH(D943, Archetypes!$A$2:$A$127, 0))*INDEX(Unit_Grades!$D$2:$D$7, MATCH(F943, Unit_Grades!$A$2:$A$7, 0)),1)</f>
        <v>63.4</v>
      </c>
      <c r="N943" s="6" t="n">
        <f aca="false">ROUND(M943/24,2)</f>
        <v>2.64</v>
      </c>
    </row>
    <row r="944" customFormat="false" ht="15" hidden="false" customHeight="true" outlineLevel="0" collapsed="false">
      <c r="A944" s="6" t="n">
        <v>3</v>
      </c>
      <c r="B944" s="6" t="s">
        <v>2459</v>
      </c>
      <c r="C944" s="6" t="s">
        <v>1371</v>
      </c>
      <c r="D944" s="6" t="str">
        <f aca="false">A944&amp;"|"&amp;C944</f>
        <v>3|Pill-Fed Vanguard</v>
      </c>
      <c r="E944" s="6" t="s">
        <v>1558</v>
      </c>
      <c r="F944" s="6" t="s">
        <v>1538</v>
      </c>
      <c r="G944" s="6" t="str">
        <f aca="false">INDEX(Archetypes!$D$2:$D$127, MATCH(D944, Archetypes!$A$2:$A$127, 0))</f>
        <v>Cultivator</v>
      </c>
      <c r="H944" s="6" t="n">
        <f aca="false">ROUND(INDEX(Archetypes!$E$2:$E$127, MATCH(D944, Archetypes!$A$2:$A$127, 0))*INDEX(Unit_Grades!$B$2:$B$7, MATCH(F944, Unit_Grades!$A$2:$A$7, 0))*INDEX(Unit_Paths!$B$2:$B$4, MATCH(E944, Unit_Paths!$A$2:$A$4, 0)),1)</f>
        <v>79.2</v>
      </c>
      <c r="I944" s="6" t="n">
        <f aca="false">ROUND(INDEX(Archetypes!$F$2:$F$127, MATCH(D944, Archetypes!$A$2:$A$127, 0))*INDEX(Unit_Grades!$B$2:$B$7, MATCH(F944, Unit_Grades!$A$2:$A$7, 0))*INDEX(Unit_Paths!$C$2:$C$4, MATCH(E944, Unit_Paths!$A$2:$A$4, 0)),1)</f>
        <v>34</v>
      </c>
      <c r="J944" s="6" t="n">
        <f aca="false">ROUND(INDEX(Archetypes!$G$2:$G$127, MATCH(D944, Archetypes!$A$2:$A$127, 0))*INDEX(Unit_Grades!$B$2:$B$7, MATCH(F944, Unit_Grades!$A$2:$A$7, 0))*INDEX(Unit_Paths!$D$2:$D$4, MATCH(E944, Unit_Paths!$A$2:$A$4, 0)),0)</f>
        <v>162</v>
      </c>
      <c r="K944" s="6" t="n">
        <f aca="false">ROUND(INDEX(Archetypes!$H$2:$H$127, MATCH(D944, Archetypes!$A$2:$A$127, 0))*INDEX(Unit_Paths!$E$2:$E$4, MATCH(E944, Unit_Paths!$A$2:$A$4, 0)),1)</f>
        <v>18.9</v>
      </c>
      <c r="L944" s="6" t="n">
        <f aca="false">ROUND(INDEX(Archetypes!$I$2:$I$127, MATCH(D944, Archetypes!$A$2:$A$127, 0))*INDEX(Unit_Grades!$C$2:$C$7, MATCH(F944, Unit_Grades!$A$2:$A$7, 0)),1)</f>
        <v>13</v>
      </c>
      <c r="M944" s="6" t="n">
        <f aca="false">ROUND(INDEX(Archetypes!$J$2:$J$127, MATCH(D944, Archetypes!$A$2:$A$127, 0))*INDEX(Unit_Grades!$D$2:$D$7, MATCH(F944, Unit_Grades!$A$2:$A$7, 0)),1)</f>
        <v>5.3</v>
      </c>
      <c r="N944" s="6" t="n">
        <f aca="false">ROUND(M944/24,2)</f>
        <v>0.22</v>
      </c>
    </row>
    <row r="945" customFormat="false" ht="15" hidden="false" customHeight="true" outlineLevel="0" collapsed="false">
      <c r="A945" s="6" t="n">
        <v>3</v>
      </c>
      <c r="B945" s="6" t="s">
        <v>2460</v>
      </c>
      <c r="C945" s="6" t="s">
        <v>1371</v>
      </c>
      <c r="D945" s="6" t="str">
        <f aca="false">A945&amp;"|"&amp;C945</f>
        <v>3|Pill-Fed Vanguard</v>
      </c>
      <c r="E945" s="6" t="s">
        <v>1558</v>
      </c>
      <c r="F945" s="6" t="s">
        <v>1540</v>
      </c>
      <c r="G945" s="6" t="str">
        <f aca="false">INDEX(Archetypes!$D$2:$D$127, MATCH(D945, Archetypes!$A$2:$A$127, 0))</f>
        <v>Cultivator</v>
      </c>
      <c r="H945" s="6" t="n">
        <f aca="false">ROUND(INDEX(Archetypes!$E$2:$E$127, MATCH(D945, Archetypes!$A$2:$A$127, 0))*INDEX(Unit_Grades!$B$2:$B$7, MATCH(F945, Unit_Grades!$A$2:$A$7, 0))*INDEX(Unit_Paths!$B$2:$B$4, MATCH(E945, Unit_Paths!$A$2:$A$4, 0)),1)</f>
        <v>106.9</v>
      </c>
      <c r="I945" s="6" t="n">
        <f aca="false">ROUND(INDEX(Archetypes!$F$2:$F$127, MATCH(D945, Archetypes!$A$2:$A$127, 0))*INDEX(Unit_Grades!$B$2:$B$7, MATCH(F945, Unit_Grades!$A$2:$A$7, 0))*INDEX(Unit_Paths!$C$2:$C$4, MATCH(E945, Unit_Paths!$A$2:$A$4, 0)),1)</f>
        <v>45.9</v>
      </c>
      <c r="J945" s="6" t="n">
        <f aca="false">ROUND(INDEX(Archetypes!$G$2:$G$127, MATCH(D945, Archetypes!$A$2:$A$127, 0))*INDEX(Unit_Grades!$B$2:$B$7, MATCH(F945, Unit_Grades!$A$2:$A$7, 0))*INDEX(Unit_Paths!$D$2:$D$4, MATCH(E945, Unit_Paths!$A$2:$A$4, 0)),0)</f>
        <v>218</v>
      </c>
      <c r="K945" s="6" t="n">
        <f aca="false">ROUND(INDEX(Archetypes!$H$2:$H$127, MATCH(D945, Archetypes!$A$2:$A$127, 0))*INDEX(Unit_Paths!$E$2:$E$4, MATCH(E945, Unit_Paths!$A$2:$A$4, 0)),1)</f>
        <v>18.9</v>
      </c>
      <c r="L945" s="6" t="n">
        <f aca="false">ROUND(INDEX(Archetypes!$I$2:$I$127, MATCH(D945, Archetypes!$A$2:$A$127, 0))*INDEX(Unit_Grades!$C$2:$C$7, MATCH(F945, Unit_Grades!$A$2:$A$7, 0)),1)</f>
        <v>16.3</v>
      </c>
      <c r="M945" s="6" t="n">
        <f aca="false">ROUND(INDEX(Archetypes!$J$2:$J$127, MATCH(D945, Archetypes!$A$2:$A$127, 0))*INDEX(Unit_Grades!$D$2:$D$7, MATCH(F945, Unit_Grades!$A$2:$A$7, 0)),1)</f>
        <v>7.9</v>
      </c>
      <c r="N945" s="6" t="n">
        <f aca="false">ROUND(M945/24,2)</f>
        <v>0.33</v>
      </c>
    </row>
    <row r="946" customFormat="false" ht="15" hidden="false" customHeight="true" outlineLevel="0" collapsed="false">
      <c r="A946" s="6" t="n">
        <v>3</v>
      </c>
      <c r="B946" s="6" t="s">
        <v>2461</v>
      </c>
      <c r="C946" s="6" t="s">
        <v>1371</v>
      </c>
      <c r="D946" s="6" t="str">
        <f aca="false">A946&amp;"|"&amp;C946</f>
        <v>3|Pill-Fed Vanguard</v>
      </c>
      <c r="E946" s="6" t="s">
        <v>1558</v>
      </c>
      <c r="F946" s="6" t="s">
        <v>1542</v>
      </c>
      <c r="G946" s="6" t="str">
        <f aca="false">INDEX(Archetypes!$D$2:$D$127, MATCH(D946, Archetypes!$A$2:$A$127, 0))</f>
        <v>Cultivator</v>
      </c>
      <c r="H946" s="6" t="n">
        <f aca="false">ROUND(INDEX(Archetypes!$E$2:$E$127, MATCH(D946, Archetypes!$A$2:$A$127, 0))*INDEX(Unit_Grades!$B$2:$B$7, MATCH(F946, Unit_Grades!$A$2:$A$7, 0))*INDEX(Unit_Paths!$B$2:$B$4, MATCH(E946, Unit_Paths!$A$2:$A$4, 0)),1)</f>
        <v>142.6</v>
      </c>
      <c r="I946" s="6" t="n">
        <f aca="false">ROUND(INDEX(Archetypes!$F$2:$F$127, MATCH(D946, Archetypes!$A$2:$A$127, 0))*INDEX(Unit_Grades!$B$2:$B$7, MATCH(F946, Unit_Grades!$A$2:$A$7, 0))*INDEX(Unit_Paths!$C$2:$C$4, MATCH(E946, Unit_Paths!$A$2:$A$4, 0)),1)</f>
        <v>61.2</v>
      </c>
      <c r="J946" s="6" t="n">
        <f aca="false">ROUND(INDEX(Archetypes!$G$2:$G$127, MATCH(D946, Archetypes!$A$2:$A$127, 0))*INDEX(Unit_Grades!$B$2:$B$7, MATCH(F946, Unit_Grades!$A$2:$A$7, 0))*INDEX(Unit_Paths!$D$2:$D$4, MATCH(E946, Unit_Paths!$A$2:$A$4, 0)),0)</f>
        <v>291</v>
      </c>
      <c r="K946" s="6" t="n">
        <f aca="false">ROUND(INDEX(Archetypes!$H$2:$H$127, MATCH(D946, Archetypes!$A$2:$A$127, 0))*INDEX(Unit_Paths!$E$2:$E$4, MATCH(E946, Unit_Paths!$A$2:$A$4, 0)),1)</f>
        <v>18.9</v>
      </c>
      <c r="L946" s="6" t="n">
        <f aca="false">ROUND(INDEX(Archetypes!$I$2:$I$127, MATCH(D946, Archetypes!$A$2:$A$127, 0))*INDEX(Unit_Grades!$C$2:$C$7, MATCH(F946, Unit_Grades!$A$2:$A$7, 0)),1)</f>
        <v>20.8</v>
      </c>
      <c r="M946" s="6" t="n">
        <f aca="false">ROUND(INDEX(Archetypes!$J$2:$J$127, MATCH(D946, Archetypes!$A$2:$A$127, 0))*INDEX(Unit_Grades!$D$2:$D$7, MATCH(F946, Unit_Grades!$A$2:$A$7, 0)),1)</f>
        <v>13.2</v>
      </c>
      <c r="N946" s="6" t="n">
        <f aca="false">ROUND(M946/24,2)</f>
        <v>0.55</v>
      </c>
    </row>
    <row r="947" customFormat="false" ht="15" hidden="false" customHeight="true" outlineLevel="0" collapsed="false">
      <c r="A947" s="6" t="n">
        <v>3</v>
      </c>
      <c r="B947" s="6" t="s">
        <v>2462</v>
      </c>
      <c r="C947" s="6" t="s">
        <v>1371</v>
      </c>
      <c r="D947" s="6" t="str">
        <f aca="false">A947&amp;"|"&amp;C947</f>
        <v>3|Pill-Fed Vanguard</v>
      </c>
      <c r="E947" s="6" t="s">
        <v>1558</v>
      </c>
      <c r="F947" s="6" t="s">
        <v>1544</v>
      </c>
      <c r="G947" s="6" t="str">
        <f aca="false">INDEX(Archetypes!$D$2:$D$127, MATCH(D947, Archetypes!$A$2:$A$127, 0))</f>
        <v>Cultivator</v>
      </c>
      <c r="H947" s="6" t="n">
        <f aca="false">ROUND(INDEX(Archetypes!$E$2:$E$127, MATCH(D947, Archetypes!$A$2:$A$127, 0))*INDEX(Unit_Grades!$B$2:$B$7, MATCH(F947, Unit_Grades!$A$2:$A$7, 0))*INDEX(Unit_Paths!$B$2:$B$4, MATCH(E947, Unit_Paths!$A$2:$A$4, 0)),1)</f>
        <v>190.1</v>
      </c>
      <c r="I947" s="6" t="n">
        <f aca="false">ROUND(INDEX(Archetypes!$F$2:$F$127, MATCH(D947, Archetypes!$A$2:$A$127, 0))*INDEX(Unit_Grades!$B$2:$B$7, MATCH(F947, Unit_Grades!$A$2:$A$7, 0))*INDEX(Unit_Paths!$C$2:$C$4, MATCH(E947, Unit_Paths!$A$2:$A$4, 0)),1)</f>
        <v>81.6</v>
      </c>
      <c r="J947" s="6" t="n">
        <f aca="false">ROUND(INDEX(Archetypes!$G$2:$G$127, MATCH(D947, Archetypes!$A$2:$A$127, 0))*INDEX(Unit_Grades!$B$2:$B$7, MATCH(F947, Unit_Grades!$A$2:$A$7, 0))*INDEX(Unit_Paths!$D$2:$D$4, MATCH(E947, Unit_Paths!$A$2:$A$4, 0)),0)</f>
        <v>388</v>
      </c>
      <c r="K947" s="6" t="n">
        <f aca="false">ROUND(INDEX(Archetypes!$H$2:$H$127, MATCH(D947, Archetypes!$A$2:$A$127, 0))*INDEX(Unit_Paths!$E$2:$E$4, MATCH(E947, Unit_Paths!$A$2:$A$4, 0)),1)</f>
        <v>18.9</v>
      </c>
      <c r="L947" s="6" t="n">
        <f aca="false">ROUND(INDEX(Archetypes!$I$2:$I$127, MATCH(D947, Archetypes!$A$2:$A$127, 0))*INDEX(Unit_Grades!$C$2:$C$7, MATCH(F947, Unit_Grades!$A$2:$A$7, 0)),1)</f>
        <v>27.3</v>
      </c>
      <c r="M947" s="6" t="n">
        <f aca="false">ROUND(INDEX(Archetypes!$J$2:$J$127, MATCH(D947, Archetypes!$A$2:$A$127, 0))*INDEX(Unit_Grades!$D$2:$D$7, MATCH(F947, Unit_Grades!$A$2:$A$7, 0)),1)</f>
        <v>21.1</v>
      </c>
      <c r="N947" s="6" t="n">
        <f aca="false">ROUND(M947/24,2)</f>
        <v>0.88</v>
      </c>
    </row>
    <row r="948" customFormat="false" ht="15" hidden="false" customHeight="true" outlineLevel="0" collapsed="false">
      <c r="A948" s="6" t="n">
        <v>3</v>
      </c>
      <c r="B948" s="6" t="s">
        <v>2463</v>
      </c>
      <c r="C948" s="6" t="s">
        <v>1371</v>
      </c>
      <c r="D948" s="6" t="str">
        <f aca="false">A948&amp;"|"&amp;C948</f>
        <v>3|Pill-Fed Vanguard</v>
      </c>
      <c r="E948" s="6" t="s">
        <v>1558</v>
      </c>
      <c r="F948" s="6" t="s">
        <v>1546</v>
      </c>
      <c r="G948" s="6" t="str">
        <f aca="false">INDEX(Archetypes!$D$2:$D$127, MATCH(D948, Archetypes!$A$2:$A$127, 0))</f>
        <v>Cultivator</v>
      </c>
      <c r="H948" s="6" t="n">
        <f aca="false">ROUND(INDEX(Archetypes!$E$2:$E$127, MATCH(D948, Archetypes!$A$2:$A$127, 0))*INDEX(Unit_Grades!$B$2:$B$7, MATCH(F948, Unit_Grades!$A$2:$A$7, 0))*INDEX(Unit_Paths!$B$2:$B$4, MATCH(E948, Unit_Paths!$A$2:$A$4, 0)),1)</f>
        <v>253.4</v>
      </c>
      <c r="I948" s="6" t="n">
        <f aca="false">ROUND(INDEX(Archetypes!$F$2:$F$127, MATCH(D948, Archetypes!$A$2:$A$127, 0))*INDEX(Unit_Grades!$B$2:$B$7, MATCH(F948, Unit_Grades!$A$2:$A$7, 0))*INDEX(Unit_Paths!$C$2:$C$4, MATCH(E948, Unit_Paths!$A$2:$A$4, 0)),1)</f>
        <v>108.8</v>
      </c>
      <c r="J948" s="6" t="n">
        <f aca="false">ROUND(INDEX(Archetypes!$G$2:$G$127, MATCH(D948, Archetypes!$A$2:$A$127, 0))*INDEX(Unit_Grades!$B$2:$B$7, MATCH(F948, Unit_Grades!$A$2:$A$7, 0))*INDEX(Unit_Paths!$D$2:$D$4, MATCH(E948, Unit_Paths!$A$2:$A$4, 0)),0)</f>
        <v>517</v>
      </c>
      <c r="K948" s="6" t="n">
        <f aca="false">ROUND(INDEX(Archetypes!$H$2:$H$127, MATCH(D948, Archetypes!$A$2:$A$127, 0))*INDEX(Unit_Paths!$E$2:$E$4, MATCH(E948, Unit_Paths!$A$2:$A$4, 0)),1)</f>
        <v>18.9</v>
      </c>
      <c r="L948" s="6" t="n">
        <f aca="false">ROUND(INDEX(Archetypes!$I$2:$I$127, MATCH(D948, Archetypes!$A$2:$A$127, 0))*INDEX(Unit_Grades!$C$2:$C$7, MATCH(F948, Unit_Grades!$A$2:$A$7, 0)),1)</f>
        <v>36.4</v>
      </c>
      <c r="M948" s="6" t="n">
        <f aca="false">ROUND(INDEX(Archetypes!$J$2:$J$127, MATCH(D948, Archetypes!$A$2:$A$127, 0))*INDEX(Unit_Grades!$D$2:$D$7, MATCH(F948, Unit_Grades!$A$2:$A$7, 0)),1)</f>
        <v>37</v>
      </c>
      <c r="N948" s="6" t="n">
        <f aca="false">ROUND(M948/24,2)</f>
        <v>1.54</v>
      </c>
    </row>
    <row r="949" customFormat="false" ht="15" hidden="false" customHeight="true" outlineLevel="0" collapsed="false">
      <c r="A949" s="6" t="n">
        <v>3</v>
      </c>
      <c r="B949" s="6" t="s">
        <v>2464</v>
      </c>
      <c r="C949" s="6" t="s">
        <v>1371</v>
      </c>
      <c r="D949" s="6" t="str">
        <f aca="false">A949&amp;"|"&amp;C949</f>
        <v>3|Pill-Fed Vanguard</v>
      </c>
      <c r="E949" s="6" t="s">
        <v>1558</v>
      </c>
      <c r="F949" s="6" t="s">
        <v>1548</v>
      </c>
      <c r="G949" s="6" t="str">
        <f aca="false">INDEX(Archetypes!$D$2:$D$127, MATCH(D949, Archetypes!$A$2:$A$127, 0))</f>
        <v>Cultivator</v>
      </c>
      <c r="H949" s="6" t="n">
        <f aca="false">ROUND(INDEX(Archetypes!$E$2:$E$127, MATCH(D949, Archetypes!$A$2:$A$127, 0))*INDEX(Unit_Grades!$B$2:$B$7, MATCH(F949, Unit_Grades!$A$2:$A$7, 0))*INDEX(Unit_Paths!$B$2:$B$4, MATCH(E949, Unit_Paths!$A$2:$A$4, 0)),1)</f>
        <v>332.6</v>
      </c>
      <c r="I949" s="6" t="n">
        <f aca="false">ROUND(INDEX(Archetypes!$F$2:$F$127, MATCH(D949, Archetypes!$A$2:$A$127, 0))*INDEX(Unit_Grades!$B$2:$B$7, MATCH(F949, Unit_Grades!$A$2:$A$7, 0))*INDEX(Unit_Paths!$C$2:$C$4, MATCH(E949, Unit_Paths!$A$2:$A$4, 0)),1)</f>
        <v>142.8</v>
      </c>
      <c r="J949" s="6" t="n">
        <f aca="false">ROUND(INDEX(Archetypes!$G$2:$G$127, MATCH(D949, Archetypes!$A$2:$A$127, 0))*INDEX(Unit_Grades!$B$2:$B$7, MATCH(F949, Unit_Grades!$A$2:$A$7, 0))*INDEX(Unit_Paths!$D$2:$D$4, MATCH(E949, Unit_Paths!$A$2:$A$4, 0)),0)</f>
        <v>678</v>
      </c>
      <c r="K949" s="6" t="n">
        <f aca="false">ROUND(INDEX(Archetypes!$H$2:$H$127, MATCH(D949, Archetypes!$A$2:$A$127, 0))*INDEX(Unit_Paths!$E$2:$E$4, MATCH(E949, Unit_Paths!$A$2:$A$4, 0)),1)</f>
        <v>18.9</v>
      </c>
      <c r="L949" s="6" t="n">
        <f aca="false">ROUND(INDEX(Archetypes!$I$2:$I$127, MATCH(D949, Archetypes!$A$2:$A$127, 0))*INDEX(Unit_Grades!$C$2:$C$7, MATCH(F949, Unit_Grades!$A$2:$A$7, 0)),1)</f>
        <v>48.1</v>
      </c>
      <c r="M949" s="6" t="n">
        <f aca="false">ROUND(INDEX(Archetypes!$J$2:$J$127, MATCH(D949, Archetypes!$A$2:$A$127, 0))*INDEX(Unit_Grades!$D$2:$D$7, MATCH(F949, Unit_Grades!$A$2:$A$7, 0)),1)</f>
        <v>63.4</v>
      </c>
      <c r="N949" s="6" t="n">
        <f aca="false">ROUND(M949/24,2)</f>
        <v>2.64</v>
      </c>
    </row>
    <row r="950" customFormat="false" ht="15" hidden="false" customHeight="true" outlineLevel="0" collapsed="false">
      <c r="A950" s="6" t="n">
        <v>3</v>
      </c>
      <c r="B950" s="6" t="s">
        <v>2465</v>
      </c>
      <c r="C950" s="6" t="s">
        <v>1371</v>
      </c>
      <c r="D950" s="6" t="str">
        <f aca="false">A950&amp;"|"&amp;C950</f>
        <v>3|Pill-Fed Vanguard</v>
      </c>
      <c r="E950" s="6" t="s">
        <v>1560</v>
      </c>
      <c r="F950" s="6" t="s">
        <v>1538</v>
      </c>
      <c r="G950" s="6" t="str">
        <f aca="false">INDEX(Archetypes!$D$2:$D$127, MATCH(D950, Archetypes!$A$2:$A$127, 0))</f>
        <v>Cultivator</v>
      </c>
      <c r="H950" s="6" t="n">
        <f aca="false">ROUND(INDEX(Archetypes!$E$2:$E$127, MATCH(D950, Archetypes!$A$2:$A$127, 0))*INDEX(Unit_Grades!$B$2:$B$7, MATCH(F950, Unit_Grades!$A$2:$A$7, 0))*INDEX(Unit_Paths!$B$2:$B$4, MATCH(E950, Unit_Paths!$A$2:$A$4, 0)),1)</f>
        <v>56.1</v>
      </c>
      <c r="I950" s="6" t="n">
        <f aca="false">ROUND(INDEX(Archetypes!$F$2:$F$127, MATCH(D950, Archetypes!$A$2:$A$127, 0))*INDEX(Unit_Grades!$B$2:$B$7, MATCH(F950, Unit_Grades!$A$2:$A$7, 0))*INDEX(Unit_Paths!$C$2:$C$4, MATCH(E950, Unit_Paths!$A$2:$A$4, 0)),1)</f>
        <v>50</v>
      </c>
      <c r="J950" s="6" t="n">
        <f aca="false">ROUND(INDEX(Archetypes!$G$2:$G$127, MATCH(D950, Archetypes!$A$2:$A$127, 0))*INDEX(Unit_Grades!$B$2:$B$7, MATCH(F950, Unit_Grades!$A$2:$A$7, 0))*INDEX(Unit_Paths!$D$2:$D$4, MATCH(E950, Unit_Paths!$A$2:$A$4, 0)),0)</f>
        <v>195</v>
      </c>
      <c r="K950" s="6" t="n">
        <f aca="false">ROUND(INDEX(Archetypes!$H$2:$H$127, MATCH(D950, Archetypes!$A$2:$A$127, 0))*INDEX(Unit_Paths!$E$2:$E$4, MATCH(E950, Unit_Paths!$A$2:$A$4, 0)),1)</f>
        <v>16.6</v>
      </c>
      <c r="L950" s="6" t="n">
        <f aca="false">ROUND(INDEX(Archetypes!$I$2:$I$127, MATCH(D950, Archetypes!$A$2:$A$127, 0))*INDEX(Unit_Grades!$C$2:$C$7, MATCH(F950, Unit_Grades!$A$2:$A$7, 0)),1)</f>
        <v>13</v>
      </c>
      <c r="M950" s="6" t="n">
        <f aca="false">ROUND(INDEX(Archetypes!$J$2:$J$127, MATCH(D950, Archetypes!$A$2:$A$127, 0))*INDEX(Unit_Grades!$D$2:$D$7, MATCH(F950, Unit_Grades!$A$2:$A$7, 0)),1)</f>
        <v>5.3</v>
      </c>
      <c r="N950" s="6" t="n">
        <f aca="false">ROUND(M950/24,2)</f>
        <v>0.22</v>
      </c>
    </row>
    <row r="951" customFormat="false" ht="15" hidden="false" customHeight="true" outlineLevel="0" collapsed="false">
      <c r="A951" s="6" t="n">
        <v>3</v>
      </c>
      <c r="B951" s="6" t="s">
        <v>2466</v>
      </c>
      <c r="C951" s="6" t="s">
        <v>1371</v>
      </c>
      <c r="D951" s="6" t="str">
        <f aca="false">A951&amp;"|"&amp;C951</f>
        <v>3|Pill-Fed Vanguard</v>
      </c>
      <c r="E951" s="6" t="s">
        <v>1560</v>
      </c>
      <c r="F951" s="6" t="s">
        <v>1540</v>
      </c>
      <c r="G951" s="6" t="str">
        <f aca="false">INDEX(Archetypes!$D$2:$D$127, MATCH(D951, Archetypes!$A$2:$A$127, 0))</f>
        <v>Cultivator</v>
      </c>
      <c r="H951" s="6" t="n">
        <f aca="false">ROUND(INDEX(Archetypes!$E$2:$E$127, MATCH(D951, Archetypes!$A$2:$A$127, 0))*INDEX(Unit_Grades!$B$2:$B$7, MATCH(F951, Unit_Grades!$A$2:$A$7, 0))*INDEX(Unit_Paths!$B$2:$B$4, MATCH(E951, Unit_Paths!$A$2:$A$4, 0)),1)</f>
        <v>75.7</v>
      </c>
      <c r="I951" s="6" t="n">
        <f aca="false">ROUND(INDEX(Archetypes!$F$2:$F$127, MATCH(D951, Archetypes!$A$2:$A$127, 0))*INDEX(Unit_Grades!$B$2:$B$7, MATCH(F951, Unit_Grades!$A$2:$A$7, 0))*INDEX(Unit_Paths!$C$2:$C$4, MATCH(E951, Unit_Paths!$A$2:$A$4, 0)),1)</f>
        <v>67.5</v>
      </c>
      <c r="J951" s="6" t="n">
        <f aca="false">ROUND(INDEX(Archetypes!$G$2:$G$127, MATCH(D951, Archetypes!$A$2:$A$127, 0))*INDEX(Unit_Grades!$B$2:$B$7, MATCH(F951, Unit_Grades!$A$2:$A$7, 0))*INDEX(Unit_Paths!$D$2:$D$4, MATCH(E951, Unit_Paths!$A$2:$A$4, 0)),0)</f>
        <v>264</v>
      </c>
      <c r="K951" s="6" t="n">
        <f aca="false">ROUND(INDEX(Archetypes!$H$2:$H$127, MATCH(D951, Archetypes!$A$2:$A$127, 0))*INDEX(Unit_Paths!$E$2:$E$4, MATCH(E951, Unit_Paths!$A$2:$A$4, 0)),1)</f>
        <v>16.6</v>
      </c>
      <c r="L951" s="6" t="n">
        <f aca="false">ROUND(INDEX(Archetypes!$I$2:$I$127, MATCH(D951, Archetypes!$A$2:$A$127, 0))*INDEX(Unit_Grades!$C$2:$C$7, MATCH(F951, Unit_Grades!$A$2:$A$7, 0)),1)</f>
        <v>16.3</v>
      </c>
      <c r="M951" s="6" t="n">
        <f aca="false">ROUND(INDEX(Archetypes!$J$2:$J$127, MATCH(D951, Archetypes!$A$2:$A$127, 0))*INDEX(Unit_Grades!$D$2:$D$7, MATCH(F951, Unit_Grades!$A$2:$A$7, 0)),1)</f>
        <v>7.9</v>
      </c>
      <c r="N951" s="6" t="n">
        <f aca="false">ROUND(M951/24,2)</f>
        <v>0.33</v>
      </c>
    </row>
    <row r="952" customFormat="false" ht="15" hidden="false" customHeight="true" outlineLevel="0" collapsed="false">
      <c r="A952" s="6" t="n">
        <v>3</v>
      </c>
      <c r="B952" s="6" t="s">
        <v>2467</v>
      </c>
      <c r="C952" s="6" t="s">
        <v>1371</v>
      </c>
      <c r="D952" s="6" t="str">
        <f aca="false">A952&amp;"|"&amp;C952</f>
        <v>3|Pill-Fed Vanguard</v>
      </c>
      <c r="E952" s="6" t="s">
        <v>1560</v>
      </c>
      <c r="F952" s="6" t="s">
        <v>1542</v>
      </c>
      <c r="G952" s="6" t="str">
        <f aca="false">INDEX(Archetypes!$D$2:$D$127, MATCH(D952, Archetypes!$A$2:$A$127, 0))</f>
        <v>Cultivator</v>
      </c>
      <c r="H952" s="6" t="n">
        <f aca="false">ROUND(INDEX(Archetypes!$E$2:$E$127, MATCH(D952, Archetypes!$A$2:$A$127, 0))*INDEX(Unit_Grades!$B$2:$B$7, MATCH(F952, Unit_Grades!$A$2:$A$7, 0))*INDEX(Unit_Paths!$B$2:$B$4, MATCH(E952, Unit_Paths!$A$2:$A$4, 0)),1)</f>
        <v>101</v>
      </c>
      <c r="I952" s="6" t="n">
        <f aca="false">ROUND(INDEX(Archetypes!$F$2:$F$127, MATCH(D952, Archetypes!$A$2:$A$127, 0))*INDEX(Unit_Grades!$B$2:$B$7, MATCH(F952, Unit_Grades!$A$2:$A$7, 0))*INDEX(Unit_Paths!$C$2:$C$4, MATCH(E952, Unit_Paths!$A$2:$A$4, 0)),1)</f>
        <v>90</v>
      </c>
      <c r="J952" s="6" t="n">
        <f aca="false">ROUND(INDEX(Archetypes!$G$2:$G$127, MATCH(D952, Archetypes!$A$2:$A$127, 0))*INDEX(Unit_Grades!$B$2:$B$7, MATCH(F952, Unit_Grades!$A$2:$A$7, 0))*INDEX(Unit_Paths!$D$2:$D$4, MATCH(E952, Unit_Paths!$A$2:$A$4, 0)),0)</f>
        <v>352</v>
      </c>
      <c r="K952" s="6" t="n">
        <f aca="false">ROUND(INDEX(Archetypes!$H$2:$H$127, MATCH(D952, Archetypes!$A$2:$A$127, 0))*INDEX(Unit_Paths!$E$2:$E$4, MATCH(E952, Unit_Paths!$A$2:$A$4, 0)),1)</f>
        <v>16.6</v>
      </c>
      <c r="L952" s="6" t="n">
        <f aca="false">ROUND(INDEX(Archetypes!$I$2:$I$127, MATCH(D952, Archetypes!$A$2:$A$127, 0))*INDEX(Unit_Grades!$C$2:$C$7, MATCH(F952, Unit_Grades!$A$2:$A$7, 0)),1)</f>
        <v>20.8</v>
      </c>
      <c r="M952" s="6" t="n">
        <f aca="false">ROUND(INDEX(Archetypes!$J$2:$J$127, MATCH(D952, Archetypes!$A$2:$A$127, 0))*INDEX(Unit_Grades!$D$2:$D$7, MATCH(F952, Unit_Grades!$A$2:$A$7, 0)),1)</f>
        <v>13.2</v>
      </c>
      <c r="N952" s="6" t="n">
        <f aca="false">ROUND(M952/24,2)</f>
        <v>0.55</v>
      </c>
    </row>
    <row r="953" customFormat="false" ht="15" hidden="false" customHeight="true" outlineLevel="0" collapsed="false">
      <c r="A953" s="6" t="n">
        <v>3</v>
      </c>
      <c r="B953" s="6" t="s">
        <v>2468</v>
      </c>
      <c r="C953" s="6" t="s">
        <v>1371</v>
      </c>
      <c r="D953" s="6" t="str">
        <f aca="false">A953&amp;"|"&amp;C953</f>
        <v>3|Pill-Fed Vanguard</v>
      </c>
      <c r="E953" s="6" t="s">
        <v>1560</v>
      </c>
      <c r="F953" s="6" t="s">
        <v>1544</v>
      </c>
      <c r="G953" s="6" t="str">
        <f aca="false">INDEX(Archetypes!$D$2:$D$127, MATCH(D953, Archetypes!$A$2:$A$127, 0))</f>
        <v>Cultivator</v>
      </c>
      <c r="H953" s="6" t="n">
        <f aca="false">ROUND(INDEX(Archetypes!$E$2:$E$127, MATCH(D953, Archetypes!$A$2:$A$127, 0))*INDEX(Unit_Grades!$B$2:$B$7, MATCH(F953, Unit_Grades!$A$2:$A$7, 0))*INDEX(Unit_Paths!$B$2:$B$4, MATCH(E953, Unit_Paths!$A$2:$A$4, 0)),1)</f>
        <v>134.6</v>
      </c>
      <c r="I953" s="6" t="n">
        <f aca="false">ROUND(INDEX(Archetypes!$F$2:$F$127, MATCH(D953, Archetypes!$A$2:$A$127, 0))*INDEX(Unit_Grades!$B$2:$B$7, MATCH(F953, Unit_Grades!$A$2:$A$7, 0))*INDEX(Unit_Paths!$C$2:$C$4, MATCH(E953, Unit_Paths!$A$2:$A$4, 0)),1)</f>
        <v>120</v>
      </c>
      <c r="J953" s="6" t="n">
        <f aca="false">ROUND(INDEX(Archetypes!$G$2:$G$127, MATCH(D953, Archetypes!$A$2:$A$127, 0))*INDEX(Unit_Grades!$B$2:$B$7, MATCH(F953, Unit_Grades!$A$2:$A$7, 0))*INDEX(Unit_Paths!$D$2:$D$4, MATCH(E953, Unit_Paths!$A$2:$A$4, 0)),0)</f>
        <v>469</v>
      </c>
      <c r="K953" s="6" t="n">
        <f aca="false">ROUND(INDEX(Archetypes!$H$2:$H$127, MATCH(D953, Archetypes!$A$2:$A$127, 0))*INDEX(Unit_Paths!$E$2:$E$4, MATCH(E953, Unit_Paths!$A$2:$A$4, 0)),1)</f>
        <v>16.6</v>
      </c>
      <c r="L953" s="6" t="n">
        <f aca="false">ROUND(INDEX(Archetypes!$I$2:$I$127, MATCH(D953, Archetypes!$A$2:$A$127, 0))*INDEX(Unit_Grades!$C$2:$C$7, MATCH(F953, Unit_Grades!$A$2:$A$7, 0)),1)</f>
        <v>27.3</v>
      </c>
      <c r="M953" s="6" t="n">
        <f aca="false">ROUND(INDEX(Archetypes!$J$2:$J$127, MATCH(D953, Archetypes!$A$2:$A$127, 0))*INDEX(Unit_Grades!$D$2:$D$7, MATCH(F953, Unit_Grades!$A$2:$A$7, 0)),1)</f>
        <v>21.1</v>
      </c>
      <c r="N953" s="6" t="n">
        <f aca="false">ROUND(M953/24,2)</f>
        <v>0.88</v>
      </c>
    </row>
    <row r="954" customFormat="false" ht="15" hidden="false" customHeight="true" outlineLevel="0" collapsed="false">
      <c r="A954" s="6" t="n">
        <v>3</v>
      </c>
      <c r="B954" s="6" t="s">
        <v>2469</v>
      </c>
      <c r="C954" s="6" t="s">
        <v>1371</v>
      </c>
      <c r="D954" s="6" t="str">
        <f aca="false">A954&amp;"|"&amp;C954</f>
        <v>3|Pill-Fed Vanguard</v>
      </c>
      <c r="E954" s="6" t="s">
        <v>1560</v>
      </c>
      <c r="F954" s="6" t="s">
        <v>1546</v>
      </c>
      <c r="G954" s="6" t="str">
        <f aca="false">INDEX(Archetypes!$D$2:$D$127, MATCH(D954, Archetypes!$A$2:$A$127, 0))</f>
        <v>Cultivator</v>
      </c>
      <c r="H954" s="6" t="n">
        <f aca="false">ROUND(INDEX(Archetypes!$E$2:$E$127, MATCH(D954, Archetypes!$A$2:$A$127, 0))*INDEX(Unit_Grades!$B$2:$B$7, MATCH(F954, Unit_Grades!$A$2:$A$7, 0))*INDEX(Unit_Paths!$B$2:$B$4, MATCH(E954, Unit_Paths!$A$2:$A$4, 0)),1)</f>
        <v>179.5</v>
      </c>
      <c r="I954" s="6" t="n">
        <f aca="false">ROUND(INDEX(Archetypes!$F$2:$F$127, MATCH(D954, Archetypes!$A$2:$A$127, 0))*INDEX(Unit_Grades!$B$2:$B$7, MATCH(F954, Unit_Grades!$A$2:$A$7, 0))*INDEX(Unit_Paths!$C$2:$C$4, MATCH(E954, Unit_Paths!$A$2:$A$4, 0)),1)</f>
        <v>160</v>
      </c>
      <c r="J954" s="6" t="n">
        <f aca="false">ROUND(INDEX(Archetypes!$G$2:$G$127, MATCH(D954, Archetypes!$A$2:$A$127, 0))*INDEX(Unit_Grades!$B$2:$B$7, MATCH(F954, Unit_Grades!$A$2:$A$7, 0))*INDEX(Unit_Paths!$D$2:$D$4, MATCH(E954, Unit_Paths!$A$2:$A$4, 0)),0)</f>
        <v>626</v>
      </c>
      <c r="K954" s="6" t="n">
        <f aca="false">ROUND(INDEX(Archetypes!$H$2:$H$127, MATCH(D954, Archetypes!$A$2:$A$127, 0))*INDEX(Unit_Paths!$E$2:$E$4, MATCH(E954, Unit_Paths!$A$2:$A$4, 0)),1)</f>
        <v>16.6</v>
      </c>
      <c r="L954" s="6" t="n">
        <f aca="false">ROUND(INDEX(Archetypes!$I$2:$I$127, MATCH(D954, Archetypes!$A$2:$A$127, 0))*INDEX(Unit_Grades!$C$2:$C$7, MATCH(F954, Unit_Grades!$A$2:$A$7, 0)),1)</f>
        <v>36.4</v>
      </c>
      <c r="M954" s="6" t="n">
        <f aca="false">ROUND(INDEX(Archetypes!$J$2:$J$127, MATCH(D954, Archetypes!$A$2:$A$127, 0))*INDEX(Unit_Grades!$D$2:$D$7, MATCH(F954, Unit_Grades!$A$2:$A$7, 0)),1)</f>
        <v>37</v>
      </c>
      <c r="N954" s="6" t="n">
        <f aca="false">ROUND(M954/24,2)</f>
        <v>1.54</v>
      </c>
    </row>
    <row r="955" customFormat="false" ht="15" hidden="false" customHeight="true" outlineLevel="0" collapsed="false">
      <c r="A955" s="6" t="n">
        <v>3</v>
      </c>
      <c r="B955" s="6" t="s">
        <v>2470</v>
      </c>
      <c r="C955" s="6" t="s">
        <v>1371</v>
      </c>
      <c r="D955" s="6" t="str">
        <f aca="false">A955&amp;"|"&amp;C955</f>
        <v>3|Pill-Fed Vanguard</v>
      </c>
      <c r="E955" s="6" t="s">
        <v>1560</v>
      </c>
      <c r="F955" s="6" t="s">
        <v>1548</v>
      </c>
      <c r="G955" s="6" t="str">
        <f aca="false">INDEX(Archetypes!$D$2:$D$127, MATCH(D955, Archetypes!$A$2:$A$127, 0))</f>
        <v>Cultivator</v>
      </c>
      <c r="H955" s="6" t="n">
        <f aca="false">ROUND(INDEX(Archetypes!$E$2:$E$127, MATCH(D955, Archetypes!$A$2:$A$127, 0))*INDEX(Unit_Grades!$B$2:$B$7, MATCH(F955, Unit_Grades!$A$2:$A$7, 0))*INDEX(Unit_Paths!$B$2:$B$4, MATCH(E955, Unit_Paths!$A$2:$A$4, 0)),1)</f>
        <v>235.6</v>
      </c>
      <c r="I955" s="6" t="n">
        <f aca="false">ROUND(INDEX(Archetypes!$F$2:$F$127, MATCH(D955, Archetypes!$A$2:$A$127, 0))*INDEX(Unit_Grades!$B$2:$B$7, MATCH(F955, Unit_Grades!$A$2:$A$7, 0))*INDEX(Unit_Paths!$C$2:$C$4, MATCH(E955, Unit_Paths!$A$2:$A$4, 0)),1)</f>
        <v>210</v>
      </c>
      <c r="J955" s="6" t="n">
        <f aca="false">ROUND(INDEX(Archetypes!$G$2:$G$127, MATCH(D955, Archetypes!$A$2:$A$127, 0))*INDEX(Unit_Grades!$B$2:$B$7, MATCH(F955, Unit_Grades!$A$2:$A$7, 0))*INDEX(Unit_Paths!$D$2:$D$4, MATCH(E955, Unit_Paths!$A$2:$A$4, 0)),0)</f>
        <v>821</v>
      </c>
      <c r="K955" s="6" t="n">
        <f aca="false">ROUND(INDEX(Archetypes!$H$2:$H$127, MATCH(D955, Archetypes!$A$2:$A$127, 0))*INDEX(Unit_Paths!$E$2:$E$4, MATCH(E955, Unit_Paths!$A$2:$A$4, 0)),1)</f>
        <v>16.6</v>
      </c>
      <c r="L955" s="6" t="n">
        <f aca="false">ROUND(INDEX(Archetypes!$I$2:$I$127, MATCH(D955, Archetypes!$A$2:$A$127, 0))*INDEX(Unit_Grades!$C$2:$C$7, MATCH(F955, Unit_Grades!$A$2:$A$7, 0)),1)</f>
        <v>48.1</v>
      </c>
      <c r="M955" s="6" t="n">
        <f aca="false">ROUND(INDEX(Archetypes!$J$2:$J$127, MATCH(D955, Archetypes!$A$2:$A$127, 0))*INDEX(Unit_Grades!$D$2:$D$7, MATCH(F955, Unit_Grades!$A$2:$A$7, 0)),1)</f>
        <v>63.4</v>
      </c>
      <c r="N955" s="6" t="n">
        <f aca="false">ROUND(M955/24,2)</f>
        <v>2.64</v>
      </c>
    </row>
    <row r="956" customFormat="false" ht="15" hidden="false" customHeight="true" outlineLevel="0" collapsed="false">
      <c r="A956" s="6" t="n">
        <v>3</v>
      </c>
      <c r="B956" s="6" t="s">
        <v>1373</v>
      </c>
      <c r="C956" s="6" t="s">
        <v>1373</v>
      </c>
      <c r="D956" s="6" t="str">
        <f aca="false">A956&amp;"|"&amp;C956</f>
        <v>3|Talisman Corps</v>
      </c>
      <c r="E956" s="6" t="s">
        <v>1556</v>
      </c>
      <c r="F956" s="6" t="s">
        <v>1538</v>
      </c>
      <c r="G956" s="6" t="str">
        <f aca="false">INDEX(Archetypes!$D$2:$D$127, MATCH(D956, Archetypes!$A$2:$A$127, 0))</f>
        <v>Cultivator</v>
      </c>
      <c r="H956" s="6" t="n">
        <f aca="false">ROUND(INDEX(Archetypes!$E$2:$E$127, MATCH(D956, Archetypes!$A$2:$A$127, 0))*INDEX(Unit_Grades!$B$2:$B$7, MATCH(F956, Unit_Grades!$A$2:$A$7, 0))*INDEX(Unit_Paths!$B$2:$B$4, MATCH(E956, Unit_Paths!$A$2:$A$4, 0)),1)</f>
        <v>58</v>
      </c>
      <c r="I956" s="6" t="n">
        <f aca="false">ROUND(INDEX(Archetypes!$F$2:$F$127, MATCH(D956, Archetypes!$A$2:$A$127, 0))*INDEX(Unit_Grades!$B$2:$B$7, MATCH(F956, Unit_Grades!$A$2:$A$7, 0))*INDEX(Unit_Paths!$C$2:$C$4, MATCH(E956, Unit_Paths!$A$2:$A$4, 0)),1)</f>
        <v>30</v>
      </c>
      <c r="J956" s="6" t="n">
        <f aca="false">ROUND(INDEX(Archetypes!$G$2:$G$127, MATCH(D956, Archetypes!$A$2:$A$127, 0))*INDEX(Unit_Grades!$B$2:$B$7, MATCH(F956, Unit_Grades!$A$2:$A$7, 0))*INDEX(Unit_Paths!$D$2:$D$4, MATCH(E956, Unit_Paths!$A$2:$A$4, 0)),0)</f>
        <v>130</v>
      </c>
      <c r="K956" s="6" t="n">
        <f aca="false">ROUND(INDEX(Archetypes!$H$2:$H$127, MATCH(D956, Archetypes!$A$2:$A$127, 0))*INDEX(Unit_Paths!$E$2:$E$4, MATCH(E956, Unit_Paths!$A$2:$A$4, 0)),1)</f>
        <v>16</v>
      </c>
      <c r="L956" s="6" t="n">
        <f aca="false">ROUND(INDEX(Archetypes!$I$2:$I$127, MATCH(D956, Archetypes!$A$2:$A$127, 0))*INDEX(Unit_Grades!$C$2:$C$7, MATCH(F956, Unit_Grades!$A$2:$A$7, 0)),1)</f>
        <v>13</v>
      </c>
      <c r="M956" s="6" t="n">
        <f aca="false">ROUND(INDEX(Archetypes!$J$2:$J$127, MATCH(D956, Archetypes!$A$2:$A$127, 0))*INDEX(Unit_Grades!$D$2:$D$7, MATCH(F956, Unit_Grades!$A$2:$A$7, 0)),1)</f>
        <v>5.3</v>
      </c>
      <c r="N956" s="6" t="n">
        <f aca="false">ROUND(M956/24,2)</f>
        <v>0.22</v>
      </c>
    </row>
    <row r="957" customFormat="false" ht="15" hidden="false" customHeight="true" outlineLevel="0" collapsed="false">
      <c r="A957" s="6" t="n">
        <v>3</v>
      </c>
      <c r="B957" s="6" t="s">
        <v>2471</v>
      </c>
      <c r="C957" s="6" t="s">
        <v>1373</v>
      </c>
      <c r="D957" s="6" t="str">
        <f aca="false">A957&amp;"|"&amp;C957</f>
        <v>3|Talisman Corps</v>
      </c>
      <c r="E957" s="6" t="s">
        <v>1556</v>
      </c>
      <c r="F957" s="6" t="s">
        <v>1540</v>
      </c>
      <c r="G957" s="6" t="str">
        <f aca="false">INDEX(Archetypes!$D$2:$D$127, MATCH(D957, Archetypes!$A$2:$A$127, 0))</f>
        <v>Cultivator</v>
      </c>
      <c r="H957" s="6" t="n">
        <f aca="false">ROUND(INDEX(Archetypes!$E$2:$E$127, MATCH(D957, Archetypes!$A$2:$A$127, 0))*INDEX(Unit_Grades!$B$2:$B$7, MATCH(F957, Unit_Grades!$A$2:$A$7, 0))*INDEX(Unit_Paths!$B$2:$B$4, MATCH(E957, Unit_Paths!$A$2:$A$4, 0)),1)</f>
        <v>78.3</v>
      </c>
      <c r="I957" s="6" t="n">
        <f aca="false">ROUND(INDEX(Archetypes!$F$2:$F$127, MATCH(D957, Archetypes!$A$2:$A$127, 0))*INDEX(Unit_Grades!$B$2:$B$7, MATCH(F957, Unit_Grades!$A$2:$A$7, 0))*INDEX(Unit_Paths!$C$2:$C$4, MATCH(E957, Unit_Paths!$A$2:$A$4, 0)),1)</f>
        <v>40.5</v>
      </c>
      <c r="J957" s="6" t="n">
        <f aca="false">ROUND(INDEX(Archetypes!$G$2:$G$127, MATCH(D957, Archetypes!$A$2:$A$127, 0))*INDEX(Unit_Grades!$B$2:$B$7, MATCH(F957, Unit_Grades!$A$2:$A$7, 0))*INDEX(Unit_Paths!$D$2:$D$4, MATCH(E957, Unit_Paths!$A$2:$A$4, 0)),0)</f>
        <v>176</v>
      </c>
      <c r="K957" s="6" t="n">
        <f aca="false">ROUND(INDEX(Archetypes!$H$2:$H$127, MATCH(D957, Archetypes!$A$2:$A$127, 0))*INDEX(Unit_Paths!$E$2:$E$4, MATCH(E957, Unit_Paths!$A$2:$A$4, 0)),1)</f>
        <v>16</v>
      </c>
      <c r="L957" s="6" t="n">
        <f aca="false">ROUND(INDEX(Archetypes!$I$2:$I$127, MATCH(D957, Archetypes!$A$2:$A$127, 0))*INDEX(Unit_Grades!$C$2:$C$7, MATCH(F957, Unit_Grades!$A$2:$A$7, 0)),1)</f>
        <v>16.3</v>
      </c>
      <c r="M957" s="6" t="n">
        <f aca="false">ROUND(INDEX(Archetypes!$J$2:$J$127, MATCH(D957, Archetypes!$A$2:$A$127, 0))*INDEX(Unit_Grades!$D$2:$D$7, MATCH(F957, Unit_Grades!$A$2:$A$7, 0)),1)</f>
        <v>7.9</v>
      </c>
      <c r="N957" s="6" t="n">
        <f aca="false">ROUND(M957/24,2)</f>
        <v>0.33</v>
      </c>
    </row>
    <row r="958" customFormat="false" ht="15" hidden="false" customHeight="true" outlineLevel="0" collapsed="false">
      <c r="A958" s="6" t="n">
        <v>3</v>
      </c>
      <c r="B958" s="6" t="s">
        <v>2472</v>
      </c>
      <c r="C958" s="6" t="s">
        <v>1373</v>
      </c>
      <c r="D958" s="6" t="str">
        <f aca="false">A958&amp;"|"&amp;C958</f>
        <v>3|Talisman Corps</v>
      </c>
      <c r="E958" s="6" t="s">
        <v>1556</v>
      </c>
      <c r="F958" s="6" t="s">
        <v>1542</v>
      </c>
      <c r="G958" s="6" t="str">
        <f aca="false">INDEX(Archetypes!$D$2:$D$127, MATCH(D958, Archetypes!$A$2:$A$127, 0))</f>
        <v>Cultivator</v>
      </c>
      <c r="H958" s="6" t="n">
        <f aca="false">ROUND(INDEX(Archetypes!$E$2:$E$127, MATCH(D958, Archetypes!$A$2:$A$127, 0))*INDEX(Unit_Grades!$B$2:$B$7, MATCH(F958, Unit_Grades!$A$2:$A$7, 0))*INDEX(Unit_Paths!$B$2:$B$4, MATCH(E958, Unit_Paths!$A$2:$A$4, 0)),1)</f>
        <v>104.4</v>
      </c>
      <c r="I958" s="6" t="n">
        <f aca="false">ROUND(INDEX(Archetypes!$F$2:$F$127, MATCH(D958, Archetypes!$A$2:$A$127, 0))*INDEX(Unit_Grades!$B$2:$B$7, MATCH(F958, Unit_Grades!$A$2:$A$7, 0))*INDEX(Unit_Paths!$C$2:$C$4, MATCH(E958, Unit_Paths!$A$2:$A$4, 0)),1)</f>
        <v>54</v>
      </c>
      <c r="J958" s="6" t="n">
        <f aca="false">ROUND(INDEX(Archetypes!$G$2:$G$127, MATCH(D958, Archetypes!$A$2:$A$127, 0))*INDEX(Unit_Grades!$B$2:$B$7, MATCH(F958, Unit_Grades!$A$2:$A$7, 0))*INDEX(Unit_Paths!$D$2:$D$4, MATCH(E958, Unit_Paths!$A$2:$A$4, 0)),0)</f>
        <v>234</v>
      </c>
      <c r="K958" s="6" t="n">
        <f aca="false">ROUND(INDEX(Archetypes!$H$2:$H$127, MATCH(D958, Archetypes!$A$2:$A$127, 0))*INDEX(Unit_Paths!$E$2:$E$4, MATCH(E958, Unit_Paths!$A$2:$A$4, 0)),1)</f>
        <v>16</v>
      </c>
      <c r="L958" s="6" t="n">
        <f aca="false">ROUND(INDEX(Archetypes!$I$2:$I$127, MATCH(D958, Archetypes!$A$2:$A$127, 0))*INDEX(Unit_Grades!$C$2:$C$7, MATCH(F958, Unit_Grades!$A$2:$A$7, 0)),1)</f>
        <v>20.8</v>
      </c>
      <c r="M958" s="6" t="n">
        <f aca="false">ROUND(INDEX(Archetypes!$J$2:$J$127, MATCH(D958, Archetypes!$A$2:$A$127, 0))*INDEX(Unit_Grades!$D$2:$D$7, MATCH(F958, Unit_Grades!$A$2:$A$7, 0)),1)</f>
        <v>13.2</v>
      </c>
      <c r="N958" s="6" t="n">
        <f aca="false">ROUND(M958/24,2)</f>
        <v>0.55</v>
      </c>
    </row>
    <row r="959" customFormat="false" ht="15" hidden="false" customHeight="true" outlineLevel="0" collapsed="false">
      <c r="A959" s="6" t="n">
        <v>3</v>
      </c>
      <c r="B959" s="6" t="s">
        <v>2473</v>
      </c>
      <c r="C959" s="6" t="s">
        <v>1373</v>
      </c>
      <c r="D959" s="6" t="str">
        <f aca="false">A959&amp;"|"&amp;C959</f>
        <v>3|Talisman Corps</v>
      </c>
      <c r="E959" s="6" t="s">
        <v>1556</v>
      </c>
      <c r="F959" s="6" t="s">
        <v>1544</v>
      </c>
      <c r="G959" s="6" t="str">
        <f aca="false">INDEX(Archetypes!$D$2:$D$127, MATCH(D959, Archetypes!$A$2:$A$127, 0))</f>
        <v>Cultivator</v>
      </c>
      <c r="H959" s="6" t="n">
        <f aca="false">ROUND(INDEX(Archetypes!$E$2:$E$127, MATCH(D959, Archetypes!$A$2:$A$127, 0))*INDEX(Unit_Grades!$B$2:$B$7, MATCH(F959, Unit_Grades!$A$2:$A$7, 0))*INDEX(Unit_Paths!$B$2:$B$4, MATCH(E959, Unit_Paths!$A$2:$A$4, 0)),1)</f>
        <v>139.2</v>
      </c>
      <c r="I959" s="6" t="n">
        <f aca="false">ROUND(INDEX(Archetypes!$F$2:$F$127, MATCH(D959, Archetypes!$A$2:$A$127, 0))*INDEX(Unit_Grades!$B$2:$B$7, MATCH(F959, Unit_Grades!$A$2:$A$7, 0))*INDEX(Unit_Paths!$C$2:$C$4, MATCH(E959, Unit_Paths!$A$2:$A$4, 0)),1)</f>
        <v>72</v>
      </c>
      <c r="J959" s="6" t="n">
        <f aca="false">ROUND(INDEX(Archetypes!$G$2:$G$127, MATCH(D959, Archetypes!$A$2:$A$127, 0))*INDEX(Unit_Grades!$B$2:$B$7, MATCH(F959, Unit_Grades!$A$2:$A$7, 0))*INDEX(Unit_Paths!$D$2:$D$4, MATCH(E959, Unit_Paths!$A$2:$A$4, 0)),0)</f>
        <v>312</v>
      </c>
      <c r="K959" s="6" t="n">
        <f aca="false">ROUND(INDEX(Archetypes!$H$2:$H$127, MATCH(D959, Archetypes!$A$2:$A$127, 0))*INDEX(Unit_Paths!$E$2:$E$4, MATCH(E959, Unit_Paths!$A$2:$A$4, 0)),1)</f>
        <v>16</v>
      </c>
      <c r="L959" s="6" t="n">
        <f aca="false">ROUND(INDEX(Archetypes!$I$2:$I$127, MATCH(D959, Archetypes!$A$2:$A$127, 0))*INDEX(Unit_Grades!$C$2:$C$7, MATCH(F959, Unit_Grades!$A$2:$A$7, 0)),1)</f>
        <v>27.3</v>
      </c>
      <c r="M959" s="6" t="n">
        <f aca="false">ROUND(INDEX(Archetypes!$J$2:$J$127, MATCH(D959, Archetypes!$A$2:$A$127, 0))*INDEX(Unit_Grades!$D$2:$D$7, MATCH(F959, Unit_Grades!$A$2:$A$7, 0)),1)</f>
        <v>21.1</v>
      </c>
      <c r="N959" s="6" t="n">
        <f aca="false">ROUND(M959/24,2)</f>
        <v>0.88</v>
      </c>
    </row>
    <row r="960" customFormat="false" ht="15" hidden="false" customHeight="true" outlineLevel="0" collapsed="false">
      <c r="A960" s="6" t="n">
        <v>3</v>
      </c>
      <c r="B960" s="6" t="s">
        <v>2474</v>
      </c>
      <c r="C960" s="6" t="s">
        <v>1373</v>
      </c>
      <c r="D960" s="6" t="str">
        <f aca="false">A960&amp;"|"&amp;C960</f>
        <v>3|Talisman Corps</v>
      </c>
      <c r="E960" s="6" t="s">
        <v>1556</v>
      </c>
      <c r="F960" s="6" t="s">
        <v>1546</v>
      </c>
      <c r="G960" s="6" t="str">
        <f aca="false">INDEX(Archetypes!$D$2:$D$127, MATCH(D960, Archetypes!$A$2:$A$127, 0))</f>
        <v>Cultivator</v>
      </c>
      <c r="H960" s="6" t="n">
        <f aca="false">ROUND(INDEX(Archetypes!$E$2:$E$127, MATCH(D960, Archetypes!$A$2:$A$127, 0))*INDEX(Unit_Grades!$B$2:$B$7, MATCH(F960, Unit_Grades!$A$2:$A$7, 0))*INDEX(Unit_Paths!$B$2:$B$4, MATCH(E960, Unit_Paths!$A$2:$A$4, 0)),1)</f>
        <v>185.6</v>
      </c>
      <c r="I960" s="6" t="n">
        <f aca="false">ROUND(INDEX(Archetypes!$F$2:$F$127, MATCH(D960, Archetypes!$A$2:$A$127, 0))*INDEX(Unit_Grades!$B$2:$B$7, MATCH(F960, Unit_Grades!$A$2:$A$7, 0))*INDEX(Unit_Paths!$C$2:$C$4, MATCH(E960, Unit_Paths!$A$2:$A$4, 0)),1)</f>
        <v>96</v>
      </c>
      <c r="J960" s="6" t="n">
        <f aca="false">ROUND(INDEX(Archetypes!$G$2:$G$127, MATCH(D960, Archetypes!$A$2:$A$127, 0))*INDEX(Unit_Grades!$B$2:$B$7, MATCH(F960, Unit_Grades!$A$2:$A$7, 0))*INDEX(Unit_Paths!$D$2:$D$4, MATCH(E960, Unit_Paths!$A$2:$A$4, 0)),0)</f>
        <v>416</v>
      </c>
      <c r="K960" s="6" t="n">
        <f aca="false">ROUND(INDEX(Archetypes!$H$2:$H$127, MATCH(D960, Archetypes!$A$2:$A$127, 0))*INDEX(Unit_Paths!$E$2:$E$4, MATCH(E960, Unit_Paths!$A$2:$A$4, 0)),1)</f>
        <v>16</v>
      </c>
      <c r="L960" s="6" t="n">
        <f aca="false">ROUND(INDEX(Archetypes!$I$2:$I$127, MATCH(D960, Archetypes!$A$2:$A$127, 0))*INDEX(Unit_Grades!$C$2:$C$7, MATCH(F960, Unit_Grades!$A$2:$A$7, 0)),1)</f>
        <v>36.4</v>
      </c>
      <c r="M960" s="6" t="n">
        <f aca="false">ROUND(INDEX(Archetypes!$J$2:$J$127, MATCH(D960, Archetypes!$A$2:$A$127, 0))*INDEX(Unit_Grades!$D$2:$D$7, MATCH(F960, Unit_Grades!$A$2:$A$7, 0)),1)</f>
        <v>37</v>
      </c>
      <c r="N960" s="6" t="n">
        <f aca="false">ROUND(M960/24,2)</f>
        <v>1.54</v>
      </c>
    </row>
    <row r="961" customFormat="false" ht="15" hidden="false" customHeight="true" outlineLevel="0" collapsed="false">
      <c r="A961" s="6" t="n">
        <v>3</v>
      </c>
      <c r="B961" s="6" t="s">
        <v>2475</v>
      </c>
      <c r="C961" s="6" t="s">
        <v>1373</v>
      </c>
      <c r="D961" s="6" t="str">
        <f aca="false">A961&amp;"|"&amp;C961</f>
        <v>3|Talisman Corps</v>
      </c>
      <c r="E961" s="6" t="s">
        <v>1556</v>
      </c>
      <c r="F961" s="6" t="s">
        <v>1548</v>
      </c>
      <c r="G961" s="6" t="str">
        <f aca="false">INDEX(Archetypes!$D$2:$D$127, MATCH(D961, Archetypes!$A$2:$A$127, 0))</f>
        <v>Cultivator</v>
      </c>
      <c r="H961" s="6" t="n">
        <f aca="false">ROUND(INDEX(Archetypes!$E$2:$E$127, MATCH(D961, Archetypes!$A$2:$A$127, 0))*INDEX(Unit_Grades!$B$2:$B$7, MATCH(F961, Unit_Grades!$A$2:$A$7, 0))*INDEX(Unit_Paths!$B$2:$B$4, MATCH(E961, Unit_Paths!$A$2:$A$4, 0)),1)</f>
        <v>243.6</v>
      </c>
      <c r="I961" s="6" t="n">
        <f aca="false">ROUND(INDEX(Archetypes!$F$2:$F$127, MATCH(D961, Archetypes!$A$2:$A$127, 0))*INDEX(Unit_Grades!$B$2:$B$7, MATCH(F961, Unit_Grades!$A$2:$A$7, 0))*INDEX(Unit_Paths!$C$2:$C$4, MATCH(E961, Unit_Paths!$A$2:$A$4, 0)),1)</f>
        <v>126</v>
      </c>
      <c r="J961" s="6" t="n">
        <f aca="false">ROUND(INDEX(Archetypes!$G$2:$G$127, MATCH(D961, Archetypes!$A$2:$A$127, 0))*INDEX(Unit_Grades!$B$2:$B$7, MATCH(F961, Unit_Grades!$A$2:$A$7, 0))*INDEX(Unit_Paths!$D$2:$D$4, MATCH(E961, Unit_Paths!$A$2:$A$4, 0)),0)</f>
        <v>546</v>
      </c>
      <c r="K961" s="6" t="n">
        <f aca="false">ROUND(INDEX(Archetypes!$H$2:$H$127, MATCH(D961, Archetypes!$A$2:$A$127, 0))*INDEX(Unit_Paths!$E$2:$E$4, MATCH(E961, Unit_Paths!$A$2:$A$4, 0)),1)</f>
        <v>16</v>
      </c>
      <c r="L961" s="6" t="n">
        <f aca="false">ROUND(INDEX(Archetypes!$I$2:$I$127, MATCH(D961, Archetypes!$A$2:$A$127, 0))*INDEX(Unit_Grades!$C$2:$C$7, MATCH(F961, Unit_Grades!$A$2:$A$7, 0)),1)</f>
        <v>48.1</v>
      </c>
      <c r="M961" s="6" t="n">
        <f aca="false">ROUND(INDEX(Archetypes!$J$2:$J$127, MATCH(D961, Archetypes!$A$2:$A$127, 0))*INDEX(Unit_Grades!$D$2:$D$7, MATCH(F961, Unit_Grades!$A$2:$A$7, 0)),1)</f>
        <v>63.4</v>
      </c>
      <c r="N961" s="6" t="n">
        <f aca="false">ROUND(M961/24,2)</f>
        <v>2.64</v>
      </c>
    </row>
    <row r="962" customFormat="false" ht="15" hidden="false" customHeight="true" outlineLevel="0" collapsed="false">
      <c r="A962" s="6" t="n">
        <v>3</v>
      </c>
      <c r="B962" s="6" t="s">
        <v>2476</v>
      </c>
      <c r="C962" s="6" t="s">
        <v>1373</v>
      </c>
      <c r="D962" s="6" t="str">
        <f aca="false">A962&amp;"|"&amp;C962</f>
        <v>3|Talisman Corps</v>
      </c>
      <c r="E962" s="6" t="s">
        <v>1558</v>
      </c>
      <c r="F962" s="6" t="s">
        <v>1538</v>
      </c>
      <c r="G962" s="6" t="str">
        <f aca="false">INDEX(Archetypes!$D$2:$D$127, MATCH(D962, Archetypes!$A$2:$A$127, 0))</f>
        <v>Cultivator</v>
      </c>
      <c r="H962" s="6" t="n">
        <f aca="false">ROUND(INDEX(Archetypes!$E$2:$E$127, MATCH(D962, Archetypes!$A$2:$A$127, 0))*INDEX(Unit_Grades!$B$2:$B$7, MATCH(F962, Unit_Grades!$A$2:$A$7, 0))*INDEX(Unit_Paths!$B$2:$B$4, MATCH(E962, Unit_Paths!$A$2:$A$4, 0)),1)</f>
        <v>69.6</v>
      </c>
      <c r="I962" s="6" t="n">
        <f aca="false">ROUND(INDEX(Archetypes!$F$2:$F$127, MATCH(D962, Archetypes!$A$2:$A$127, 0))*INDEX(Unit_Grades!$B$2:$B$7, MATCH(F962, Unit_Grades!$A$2:$A$7, 0))*INDEX(Unit_Paths!$C$2:$C$4, MATCH(E962, Unit_Paths!$A$2:$A$4, 0)),1)</f>
        <v>25.5</v>
      </c>
      <c r="J962" s="6" t="n">
        <f aca="false">ROUND(INDEX(Archetypes!$G$2:$G$127, MATCH(D962, Archetypes!$A$2:$A$127, 0))*INDEX(Unit_Grades!$B$2:$B$7, MATCH(F962, Unit_Grades!$A$2:$A$7, 0))*INDEX(Unit_Paths!$D$2:$D$4, MATCH(E962, Unit_Paths!$A$2:$A$4, 0)),0)</f>
        <v>124</v>
      </c>
      <c r="K962" s="6" t="n">
        <f aca="false">ROUND(INDEX(Archetypes!$H$2:$H$127, MATCH(D962, Archetypes!$A$2:$A$127, 0))*INDEX(Unit_Paths!$E$2:$E$4, MATCH(E962, Unit_Paths!$A$2:$A$4, 0)),1)</f>
        <v>16.8</v>
      </c>
      <c r="L962" s="6" t="n">
        <f aca="false">ROUND(INDEX(Archetypes!$I$2:$I$127, MATCH(D962, Archetypes!$A$2:$A$127, 0))*INDEX(Unit_Grades!$C$2:$C$7, MATCH(F962, Unit_Grades!$A$2:$A$7, 0)),1)</f>
        <v>13</v>
      </c>
      <c r="M962" s="6" t="n">
        <f aca="false">ROUND(INDEX(Archetypes!$J$2:$J$127, MATCH(D962, Archetypes!$A$2:$A$127, 0))*INDEX(Unit_Grades!$D$2:$D$7, MATCH(F962, Unit_Grades!$A$2:$A$7, 0)),1)</f>
        <v>5.3</v>
      </c>
      <c r="N962" s="6" t="n">
        <f aca="false">ROUND(M962/24,2)</f>
        <v>0.22</v>
      </c>
    </row>
    <row r="963" customFormat="false" ht="15" hidden="false" customHeight="true" outlineLevel="0" collapsed="false">
      <c r="A963" s="6" t="n">
        <v>3</v>
      </c>
      <c r="B963" s="6" t="s">
        <v>2477</v>
      </c>
      <c r="C963" s="6" t="s">
        <v>1373</v>
      </c>
      <c r="D963" s="6" t="str">
        <f aca="false">A963&amp;"|"&amp;C963</f>
        <v>3|Talisman Corps</v>
      </c>
      <c r="E963" s="6" t="s">
        <v>1558</v>
      </c>
      <c r="F963" s="6" t="s">
        <v>1540</v>
      </c>
      <c r="G963" s="6" t="str">
        <f aca="false">INDEX(Archetypes!$D$2:$D$127, MATCH(D963, Archetypes!$A$2:$A$127, 0))</f>
        <v>Cultivator</v>
      </c>
      <c r="H963" s="6" t="n">
        <f aca="false">ROUND(INDEX(Archetypes!$E$2:$E$127, MATCH(D963, Archetypes!$A$2:$A$127, 0))*INDEX(Unit_Grades!$B$2:$B$7, MATCH(F963, Unit_Grades!$A$2:$A$7, 0))*INDEX(Unit_Paths!$B$2:$B$4, MATCH(E963, Unit_Paths!$A$2:$A$4, 0)),1)</f>
        <v>94</v>
      </c>
      <c r="I963" s="6" t="n">
        <f aca="false">ROUND(INDEX(Archetypes!$F$2:$F$127, MATCH(D963, Archetypes!$A$2:$A$127, 0))*INDEX(Unit_Grades!$B$2:$B$7, MATCH(F963, Unit_Grades!$A$2:$A$7, 0))*INDEX(Unit_Paths!$C$2:$C$4, MATCH(E963, Unit_Paths!$A$2:$A$4, 0)),1)</f>
        <v>34.4</v>
      </c>
      <c r="J963" s="6" t="n">
        <f aca="false">ROUND(INDEX(Archetypes!$G$2:$G$127, MATCH(D963, Archetypes!$A$2:$A$127, 0))*INDEX(Unit_Grades!$B$2:$B$7, MATCH(F963, Unit_Grades!$A$2:$A$7, 0))*INDEX(Unit_Paths!$D$2:$D$4, MATCH(E963, Unit_Paths!$A$2:$A$4, 0)),0)</f>
        <v>167</v>
      </c>
      <c r="K963" s="6" t="n">
        <f aca="false">ROUND(INDEX(Archetypes!$H$2:$H$127, MATCH(D963, Archetypes!$A$2:$A$127, 0))*INDEX(Unit_Paths!$E$2:$E$4, MATCH(E963, Unit_Paths!$A$2:$A$4, 0)),1)</f>
        <v>16.8</v>
      </c>
      <c r="L963" s="6" t="n">
        <f aca="false">ROUND(INDEX(Archetypes!$I$2:$I$127, MATCH(D963, Archetypes!$A$2:$A$127, 0))*INDEX(Unit_Grades!$C$2:$C$7, MATCH(F963, Unit_Grades!$A$2:$A$7, 0)),1)</f>
        <v>16.3</v>
      </c>
      <c r="M963" s="6" t="n">
        <f aca="false">ROUND(INDEX(Archetypes!$J$2:$J$127, MATCH(D963, Archetypes!$A$2:$A$127, 0))*INDEX(Unit_Grades!$D$2:$D$7, MATCH(F963, Unit_Grades!$A$2:$A$7, 0)),1)</f>
        <v>7.9</v>
      </c>
      <c r="N963" s="6" t="n">
        <f aca="false">ROUND(M963/24,2)</f>
        <v>0.33</v>
      </c>
    </row>
    <row r="964" customFormat="false" ht="15" hidden="false" customHeight="true" outlineLevel="0" collapsed="false">
      <c r="A964" s="6" t="n">
        <v>3</v>
      </c>
      <c r="B964" s="6" t="s">
        <v>2478</v>
      </c>
      <c r="C964" s="6" t="s">
        <v>1373</v>
      </c>
      <c r="D964" s="6" t="str">
        <f aca="false">A964&amp;"|"&amp;C964</f>
        <v>3|Talisman Corps</v>
      </c>
      <c r="E964" s="6" t="s">
        <v>1558</v>
      </c>
      <c r="F964" s="6" t="s">
        <v>1542</v>
      </c>
      <c r="G964" s="6" t="str">
        <f aca="false">INDEX(Archetypes!$D$2:$D$127, MATCH(D964, Archetypes!$A$2:$A$127, 0))</f>
        <v>Cultivator</v>
      </c>
      <c r="H964" s="6" t="n">
        <f aca="false">ROUND(INDEX(Archetypes!$E$2:$E$127, MATCH(D964, Archetypes!$A$2:$A$127, 0))*INDEX(Unit_Grades!$B$2:$B$7, MATCH(F964, Unit_Grades!$A$2:$A$7, 0))*INDEX(Unit_Paths!$B$2:$B$4, MATCH(E964, Unit_Paths!$A$2:$A$4, 0)),1)</f>
        <v>125.3</v>
      </c>
      <c r="I964" s="6" t="n">
        <f aca="false">ROUND(INDEX(Archetypes!$F$2:$F$127, MATCH(D964, Archetypes!$A$2:$A$127, 0))*INDEX(Unit_Grades!$B$2:$B$7, MATCH(F964, Unit_Grades!$A$2:$A$7, 0))*INDEX(Unit_Paths!$C$2:$C$4, MATCH(E964, Unit_Paths!$A$2:$A$4, 0)),1)</f>
        <v>45.9</v>
      </c>
      <c r="J964" s="6" t="n">
        <f aca="false">ROUND(INDEX(Archetypes!$G$2:$G$127, MATCH(D964, Archetypes!$A$2:$A$127, 0))*INDEX(Unit_Grades!$B$2:$B$7, MATCH(F964, Unit_Grades!$A$2:$A$7, 0))*INDEX(Unit_Paths!$D$2:$D$4, MATCH(E964, Unit_Paths!$A$2:$A$4, 0)),0)</f>
        <v>222</v>
      </c>
      <c r="K964" s="6" t="n">
        <f aca="false">ROUND(INDEX(Archetypes!$H$2:$H$127, MATCH(D964, Archetypes!$A$2:$A$127, 0))*INDEX(Unit_Paths!$E$2:$E$4, MATCH(E964, Unit_Paths!$A$2:$A$4, 0)),1)</f>
        <v>16.8</v>
      </c>
      <c r="L964" s="6" t="n">
        <f aca="false">ROUND(INDEX(Archetypes!$I$2:$I$127, MATCH(D964, Archetypes!$A$2:$A$127, 0))*INDEX(Unit_Grades!$C$2:$C$7, MATCH(F964, Unit_Grades!$A$2:$A$7, 0)),1)</f>
        <v>20.8</v>
      </c>
      <c r="M964" s="6" t="n">
        <f aca="false">ROUND(INDEX(Archetypes!$J$2:$J$127, MATCH(D964, Archetypes!$A$2:$A$127, 0))*INDEX(Unit_Grades!$D$2:$D$7, MATCH(F964, Unit_Grades!$A$2:$A$7, 0)),1)</f>
        <v>13.2</v>
      </c>
      <c r="N964" s="6" t="n">
        <f aca="false">ROUND(M964/24,2)</f>
        <v>0.55</v>
      </c>
    </row>
    <row r="965" customFormat="false" ht="15" hidden="false" customHeight="true" outlineLevel="0" collapsed="false">
      <c r="A965" s="6" t="n">
        <v>3</v>
      </c>
      <c r="B965" s="6" t="s">
        <v>2479</v>
      </c>
      <c r="C965" s="6" t="s">
        <v>1373</v>
      </c>
      <c r="D965" s="6" t="str">
        <f aca="false">A965&amp;"|"&amp;C965</f>
        <v>3|Talisman Corps</v>
      </c>
      <c r="E965" s="6" t="s">
        <v>1558</v>
      </c>
      <c r="F965" s="6" t="s">
        <v>1544</v>
      </c>
      <c r="G965" s="6" t="str">
        <f aca="false">INDEX(Archetypes!$D$2:$D$127, MATCH(D965, Archetypes!$A$2:$A$127, 0))</f>
        <v>Cultivator</v>
      </c>
      <c r="H965" s="6" t="n">
        <f aca="false">ROUND(INDEX(Archetypes!$E$2:$E$127, MATCH(D965, Archetypes!$A$2:$A$127, 0))*INDEX(Unit_Grades!$B$2:$B$7, MATCH(F965, Unit_Grades!$A$2:$A$7, 0))*INDEX(Unit_Paths!$B$2:$B$4, MATCH(E965, Unit_Paths!$A$2:$A$4, 0)),1)</f>
        <v>167</v>
      </c>
      <c r="I965" s="6" t="n">
        <f aca="false">ROUND(INDEX(Archetypes!$F$2:$F$127, MATCH(D965, Archetypes!$A$2:$A$127, 0))*INDEX(Unit_Grades!$B$2:$B$7, MATCH(F965, Unit_Grades!$A$2:$A$7, 0))*INDEX(Unit_Paths!$C$2:$C$4, MATCH(E965, Unit_Paths!$A$2:$A$4, 0)),1)</f>
        <v>61.2</v>
      </c>
      <c r="J965" s="6" t="n">
        <f aca="false">ROUND(INDEX(Archetypes!$G$2:$G$127, MATCH(D965, Archetypes!$A$2:$A$127, 0))*INDEX(Unit_Grades!$B$2:$B$7, MATCH(F965, Unit_Grades!$A$2:$A$7, 0))*INDEX(Unit_Paths!$D$2:$D$4, MATCH(E965, Unit_Paths!$A$2:$A$4, 0)),0)</f>
        <v>296</v>
      </c>
      <c r="K965" s="6" t="n">
        <f aca="false">ROUND(INDEX(Archetypes!$H$2:$H$127, MATCH(D965, Archetypes!$A$2:$A$127, 0))*INDEX(Unit_Paths!$E$2:$E$4, MATCH(E965, Unit_Paths!$A$2:$A$4, 0)),1)</f>
        <v>16.8</v>
      </c>
      <c r="L965" s="6" t="n">
        <f aca="false">ROUND(INDEX(Archetypes!$I$2:$I$127, MATCH(D965, Archetypes!$A$2:$A$127, 0))*INDEX(Unit_Grades!$C$2:$C$7, MATCH(F965, Unit_Grades!$A$2:$A$7, 0)),1)</f>
        <v>27.3</v>
      </c>
      <c r="M965" s="6" t="n">
        <f aca="false">ROUND(INDEX(Archetypes!$J$2:$J$127, MATCH(D965, Archetypes!$A$2:$A$127, 0))*INDEX(Unit_Grades!$D$2:$D$7, MATCH(F965, Unit_Grades!$A$2:$A$7, 0)),1)</f>
        <v>21.1</v>
      </c>
      <c r="N965" s="6" t="n">
        <f aca="false">ROUND(M965/24,2)</f>
        <v>0.88</v>
      </c>
    </row>
    <row r="966" customFormat="false" ht="15" hidden="false" customHeight="true" outlineLevel="0" collapsed="false">
      <c r="A966" s="6" t="n">
        <v>3</v>
      </c>
      <c r="B966" s="6" t="s">
        <v>2480</v>
      </c>
      <c r="C966" s="6" t="s">
        <v>1373</v>
      </c>
      <c r="D966" s="6" t="str">
        <f aca="false">A966&amp;"|"&amp;C966</f>
        <v>3|Talisman Corps</v>
      </c>
      <c r="E966" s="6" t="s">
        <v>1558</v>
      </c>
      <c r="F966" s="6" t="s">
        <v>1546</v>
      </c>
      <c r="G966" s="6" t="str">
        <f aca="false">INDEX(Archetypes!$D$2:$D$127, MATCH(D966, Archetypes!$A$2:$A$127, 0))</f>
        <v>Cultivator</v>
      </c>
      <c r="H966" s="6" t="n">
        <f aca="false">ROUND(INDEX(Archetypes!$E$2:$E$127, MATCH(D966, Archetypes!$A$2:$A$127, 0))*INDEX(Unit_Grades!$B$2:$B$7, MATCH(F966, Unit_Grades!$A$2:$A$7, 0))*INDEX(Unit_Paths!$B$2:$B$4, MATCH(E966, Unit_Paths!$A$2:$A$4, 0)),1)</f>
        <v>222.7</v>
      </c>
      <c r="I966" s="6" t="n">
        <f aca="false">ROUND(INDEX(Archetypes!$F$2:$F$127, MATCH(D966, Archetypes!$A$2:$A$127, 0))*INDEX(Unit_Grades!$B$2:$B$7, MATCH(F966, Unit_Grades!$A$2:$A$7, 0))*INDEX(Unit_Paths!$C$2:$C$4, MATCH(E966, Unit_Paths!$A$2:$A$4, 0)),1)</f>
        <v>81.6</v>
      </c>
      <c r="J966" s="6" t="n">
        <f aca="false">ROUND(INDEX(Archetypes!$G$2:$G$127, MATCH(D966, Archetypes!$A$2:$A$127, 0))*INDEX(Unit_Grades!$B$2:$B$7, MATCH(F966, Unit_Grades!$A$2:$A$7, 0))*INDEX(Unit_Paths!$D$2:$D$4, MATCH(E966, Unit_Paths!$A$2:$A$4, 0)),0)</f>
        <v>395</v>
      </c>
      <c r="K966" s="6" t="n">
        <f aca="false">ROUND(INDEX(Archetypes!$H$2:$H$127, MATCH(D966, Archetypes!$A$2:$A$127, 0))*INDEX(Unit_Paths!$E$2:$E$4, MATCH(E966, Unit_Paths!$A$2:$A$4, 0)),1)</f>
        <v>16.8</v>
      </c>
      <c r="L966" s="6" t="n">
        <f aca="false">ROUND(INDEX(Archetypes!$I$2:$I$127, MATCH(D966, Archetypes!$A$2:$A$127, 0))*INDEX(Unit_Grades!$C$2:$C$7, MATCH(F966, Unit_Grades!$A$2:$A$7, 0)),1)</f>
        <v>36.4</v>
      </c>
      <c r="M966" s="6" t="n">
        <f aca="false">ROUND(INDEX(Archetypes!$J$2:$J$127, MATCH(D966, Archetypes!$A$2:$A$127, 0))*INDEX(Unit_Grades!$D$2:$D$7, MATCH(F966, Unit_Grades!$A$2:$A$7, 0)),1)</f>
        <v>37</v>
      </c>
      <c r="N966" s="6" t="n">
        <f aca="false">ROUND(M966/24,2)</f>
        <v>1.54</v>
      </c>
    </row>
    <row r="967" customFormat="false" ht="15" hidden="false" customHeight="true" outlineLevel="0" collapsed="false">
      <c r="A967" s="6" t="n">
        <v>3</v>
      </c>
      <c r="B967" s="6" t="s">
        <v>2481</v>
      </c>
      <c r="C967" s="6" t="s">
        <v>1373</v>
      </c>
      <c r="D967" s="6" t="str">
        <f aca="false">A967&amp;"|"&amp;C967</f>
        <v>3|Talisman Corps</v>
      </c>
      <c r="E967" s="6" t="s">
        <v>1558</v>
      </c>
      <c r="F967" s="6" t="s">
        <v>1548</v>
      </c>
      <c r="G967" s="6" t="str">
        <f aca="false">INDEX(Archetypes!$D$2:$D$127, MATCH(D967, Archetypes!$A$2:$A$127, 0))</f>
        <v>Cultivator</v>
      </c>
      <c r="H967" s="6" t="n">
        <f aca="false">ROUND(INDEX(Archetypes!$E$2:$E$127, MATCH(D967, Archetypes!$A$2:$A$127, 0))*INDEX(Unit_Grades!$B$2:$B$7, MATCH(F967, Unit_Grades!$A$2:$A$7, 0))*INDEX(Unit_Paths!$B$2:$B$4, MATCH(E967, Unit_Paths!$A$2:$A$4, 0)),1)</f>
        <v>292.3</v>
      </c>
      <c r="I967" s="6" t="n">
        <f aca="false">ROUND(INDEX(Archetypes!$F$2:$F$127, MATCH(D967, Archetypes!$A$2:$A$127, 0))*INDEX(Unit_Grades!$B$2:$B$7, MATCH(F967, Unit_Grades!$A$2:$A$7, 0))*INDEX(Unit_Paths!$C$2:$C$4, MATCH(E967, Unit_Paths!$A$2:$A$4, 0)),1)</f>
        <v>107.1</v>
      </c>
      <c r="J967" s="6" t="n">
        <f aca="false">ROUND(INDEX(Archetypes!$G$2:$G$127, MATCH(D967, Archetypes!$A$2:$A$127, 0))*INDEX(Unit_Grades!$B$2:$B$7, MATCH(F967, Unit_Grades!$A$2:$A$7, 0))*INDEX(Unit_Paths!$D$2:$D$4, MATCH(E967, Unit_Paths!$A$2:$A$4, 0)),0)</f>
        <v>519</v>
      </c>
      <c r="K967" s="6" t="n">
        <f aca="false">ROUND(INDEX(Archetypes!$H$2:$H$127, MATCH(D967, Archetypes!$A$2:$A$127, 0))*INDEX(Unit_Paths!$E$2:$E$4, MATCH(E967, Unit_Paths!$A$2:$A$4, 0)),1)</f>
        <v>16.8</v>
      </c>
      <c r="L967" s="6" t="n">
        <f aca="false">ROUND(INDEX(Archetypes!$I$2:$I$127, MATCH(D967, Archetypes!$A$2:$A$127, 0))*INDEX(Unit_Grades!$C$2:$C$7, MATCH(F967, Unit_Grades!$A$2:$A$7, 0)),1)</f>
        <v>48.1</v>
      </c>
      <c r="M967" s="6" t="n">
        <f aca="false">ROUND(INDEX(Archetypes!$J$2:$J$127, MATCH(D967, Archetypes!$A$2:$A$127, 0))*INDEX(Unit_Grades!$D$2:$D$7, MATCH(F967, Unit_Grades!$A$2:$A$7, 0)),1)</f>
        <v>63.4</v>
      </c>
      <c r="N967" s="6" t="n">
        <f aca="false">ROUND(M967/24,2)</f>
        <v>2.64</v>
      </c>
    </row>
    <row r="968" customFormat="false" ht="15" hidden="false" customHeight="true" outlineLevel="0" collapsed="false">
      <c r="A968" s="6" t="n">
        <v>3</v>
      </c>
      <c r="B968" s="6" t="s">
        <v>2482</v>
      </c>
      <c r="C968" s="6" t="s">
        <v>1373</v>
      </c>
      <c r="D968" s="6" t="str">
        <f aca="false">A968&amp;"|"&amp;C968</f>
        <v>3|Talisman Corps</v>
      </c>
      <c r="E968" s="6" t="s">
        <v>1560</v>
      </c>
      <c r="F968" s="6" t="s">
        <v>1538</v>
      </c>
      <c r="G968" s="6" t="str">
        <f aca="false">INDEX(Archetypes!$D$2:$D$127, MATCH(D968, Archetypes!$A$2:$A$127, 0))</f>
        <v>Cultivator</v>
      </c>
      <c r="H968" s="6" t="n">
        <f aca="false">ROUND(INDEX(Archetypes!$E$2:$E$127, MATCH(D968, Archetypes!$A$2:$A$127, 0))*INDEX(Unit_Grades!$B$2:$B$7, MATCH(F968, Unit_Grades!$A$2:$A$7, 0))*INDEX(Unit_Paths!$B$2:$B$4, MATCH(E968, Unit_Paths!$A$2:$A$4, 0)),1)</f>
        <v>49.3</v>
      </c>
      <c r="I968" s="6" t="n">
        <f aca="false">ROUND(INDEX(Archetypes!$F$2:$F$127, MATCH(D968, Archetypes!$A$2:$A$127, 0))*INDEX(Unit_Grades!$B$2:$B$7, MATCH(F968, Unit_Grades!$A$2:$A$7, 0))*INDEX(Unit_Paths!$C$2:$C$4, MATCH(E968, Unit_Paths!$A$2:$A$4, 0)),1)</f>
        <v>37.5</v>
      </c>
      <c r="J968" s="6" t="n">
        <f aca="false">ROUND(INDEX(Archetypes!$G$2:$G$127, MATCH(D968, Archetypes!$A$2:$A$127, 0))*INDEX(Unit_Grades!$B$2:$B$7, MATCH(F968, Unit_Grades!$A$2:$A$7, 0))*INDEX(Unit_Paths!$D$2:$D$4, MATCH(E968, Unit_Paths!$A$2:$A$4, 0)),0)</f>
        <v>150</v>
      </c>
      <c r="K968" s="6" t="n">
        <f aca="false">ROUND(INDEX(Archetypes!$H$2:$H$127, MATCH(D968, Archetypes!$A$2:$A$127, 0))*INDEX(Unit_Paths!$E$2:$E$4, MATCH(E968, Unit_Paths!$A$2:$A$4, 0)),1)</f>
        <v>14.7</v>
      </c>
      <c r="L968" s="6" t="n">
        <f aca="false">ROUND(INDEX(Archetypes!$I$2:$I$127, MATCH(D968, Archetypes!$A$2:$A$127, 0))*INDEX(Unit_Grades!$C$2:$C$7, MATCH(F968, Unit_Grades!$A$2:$A$7, 0)),1)</f>
        <v>13</v>
      </c>
      <c r="M968" s="6" t="n">
        <f aca="false">ROUND(INDEX(Archetypes!$J$2:$J$127, MATCH(D968, Archetypes!$A$2:$A$127, 0))*INDEX(Unit_Grades!$D$2:$D$7, MATCH(F968, Unit_Grades!$A$2:$A$7, 0)),1)</f>
        <v>5.3</v>
      </c>
      <c r="N968" s="6" t="n">
        <f aca="false">ROUND(M968/24,2)</f>
        <v>0.22</v>
      </c>
    </row>
    <row r="969" customFormat="false" ht="15" hidden="false" customHeight="true" outlineLevel="0" collapsed="false">
      <c r="A969" s="6" t="n">
        <v>3</v>
      </c>
      <c r="B969" s="6" t="s">
        <v>2483</v>
      </c>
      <c r="C969" s="6" t="s">
        <v>1373</v>
      </c>
      <c r="D969" s="6" t="str">
        <f aca="false">A969&amp;"|"&amp;C969</f>
        <v>3|Talisman Corps</v>
      </c>
      <c r="E969" s="6" t="s">
        <v>1560</v>
      </c>
      <c r="F969" s="6" t="s">
        <v>1540</v>
      </c>
      <c r="G969" s="6" t="str">
        <f aca="false">INDEX(Archetypes!$D$2:$D$127, MATCH(D969, Archetypes!$A$2:$A$127, 0))</f>
        <v>Cultivator</v>
      </c>
      <c r="H969" s="6" t="n">
        <f aca="false">ROUND(INDEX(Archetypes!$E$2:$E$127, MATCH(D969, Archetypes!$A$2:$A$127, 0))*INDEX(Unit_Grades!$B$2:$B$7, MATCH(F969, Unit_Grades!$A$2:$A$7, 0))*INDEX(Unit_Paths!$B$2:$B$4, MATCH(E969, Unit_Paths!$A$2:$A$4, 0)),1)</f>
        <v>66.6</v>
      </c>
      <c r="I969" s="6" t="n">
        <f aca="false">ROUND(INDEX(Archetypes!$F$2:$F$127, MATCH(D969, Archetypes!$A$2:$A$127, 0))*INDEX(Unit_Grades!$B$2:$B$7, MATCH(F969, Unit_Grades!$A$2:$A$7, 0))*INDEX(Unit_Paths!$C$2:$C$4, MATCH(E969, Unit_Paths!$A$2:$A$4, 0)),1)</f>
        <v>50.6</v>
      </c>
      <c r="J969" s="6" t="n">
        <f aca="false">ROUND(INDEX(Archetypes!$G$2:$G$127, MATCH(D969, Archetypes!$A$2:$A$127, 0))*INDEX(Unit_Grades!$B$2:$B$7, MATCH(F969, Unit_Grades!$A$2:$A$7, 0))*INDEX(Unit_Paths!$D$2:$D$4, MATCH(E969, Unit_Paths!$A$2:$A$4, 0)),0)</f>
        <v>202</v>
      </c>
      <c r="K969" s="6" t="n">
        <f aca="false">ROUND(INDEX(Archetypes!$H$2:$H$127, MATCH(D969, Archetypes!$A$2:$A$127, 0))*INDEX(Unit_Paths!$E$2:$E$4, MATCH(E969, Unit_Paths!$A$2:$A$4, 0)),1)</f>
        <v>14.7</v>
      </c>
      <c r="L969" s="6" t="n">
        <f aca="false">ROUND(INDEX(Archetypes!$I$2:$I$127, MATCH(D969, Archetypes!$A$2:$A$127, 0))*INDEX(Unit_Grades!$C$2:$C$7, MATCH(F969, Unit_Grades!$A$2:$A$7, 0)),1)</f>
        <v>16.3</v>
      </c>
      <c r="M969" s="6" t="n">
        <f aca="false">ROUND(INDEX(Archetypes!$J$2:$J$127, MATCH(D969, Archetypes!$A$2:$A$127, 0))*INDEX(Unit_Grades!$D$2:$D$7, MATCH(F969, Unit_Grades!$A$2:$A$7, 0)),1)</f>
        <v>7.9</v>
      </c>
      <c r="N969" s="6" t="n">
        <f aca="false">ROUND(M969/24,2)</f>
        <v>0.33</v>
      </c>
    </row>
    <row r="970" customFormat="false" ht="15" hidden="false" customHeight="true" outlineLevel="0" collapsed="false">
      <c r="A970" s="6" t="n">
        <v>3</v>
      </c>
      <c r="B970" s="6" t="s">
        <v>2484</v>
      </c>
      <c r="C970" s="6" t="s">
        <v>1373</v>
      </c>
      <c r="D970" s="6" t="str">
        <f aca="false">A970&amp;"|"&amp;C970</f>
        <v>3|Talisman Corps</v>
      </c>
      <c r="E970" s="6" t="s">
        <v>1560</v>
      </c>
      <c r="F970" s="6" t="s">
        <v>1542</v>
      </c>
      <c r="G970" s="6" t="str">
        <f aca="false">INDEX(Archetypes!$D$2:$D$127, MATCH(D970, Archetypes!$A$2:$A$127, 0))</f>
        <v>Cultivator</v>
      </c>
      <c r="H970" s="6" t="n">
        <f aca="false">ROUND(INDEX(Archetypes!$E$2:$E$127, MATCH(D970, Archetypes!$A$2:$A$127, 0))*INDEX(Unit_Grades!$B$2:$B$7, MATCH(F970, Unit_Grades!$A$2:$A$7, 0))*INDEX(Unit_Paths!$B$2:$B$4, MATCH(E970, Unit_Paths!$A$2:$A$4, 0)),1)</f>
        <v>88.7</v>
      </c>
      <c r="I970" s="6" t="n">
        <f aca="false">ROUND(INDEX(Archetypes!$F$2:$F$127, MATCH(D970, Archetypes!$A$2:$A$127, 0))*INDEX(Unit_Grades!$B$2:$B$7, MATCH(F970, Unit_Grades!$A$2:$A$7, 0))*INDEX(Unit_Paths!$C$2:$C$4, MATCH(E970, Unit_Paths!$A$2:$A$4, 0)),1)</f>
        <v>67.5</v>
      </c>
      <c r="J970" s="6" t="n">
        <f aca="false">ROUND(INDEX(Archetypes!$G$2:$G$127, MATCH(D970, Archetypes!$A$2:$A$127, 0))*INDEX(Unit_Grades!$B$2:$B$7, MATCH(F970, Unit_Grades!$A$2:$A$7, 0))*INDEX(Unit_Paths!$D$2:$D$4, MATCH(E970, Unit_Paths!$A$2:$A$4, 0)),0)</f>
        <v>269</v>
      </c>
      <c r="K970" s="6" t="n">
        <f aca="false">ROUND(INDEX(Archetypes!$H$2:$H$127, MATCH(D970, Archetypes!$A$2:$A$127, 0))*INDEX(Unit_Paths!$E$2:$E$4, MATCH(E970, Unit_Paths!$A$2:$A$4, 0)),1)</f>
        <v>14.7</v>
      </c>
      <c r="L970" s="6" t="n">
        <f aca="false">ROUND(INDEX(Archetypes!$I$2:$I$127, MATCH(D970, Archetypes!$A$2:$A$127, 0))*INDEX(Unit_Grades!$C$2:$C$7, MATCH(F970, Unit_Grades!$A$2:$A$7, 0)),1)</f>
        <v>20.8</v>
      </c>
      <c r="M970" s="6" t="n">
        <f aca="false">ROUND(INDEX(Archetypes!$J$2:$J$127, MATCH(D970, Archetypes!$A$2:$A$127, 0))*INDEX(Unit_Grades!$D$2:$D$7, MATCH(F970, Unit_Grades!$A$2:$A$7, 0)),1)</f>
        <v>13.2</v>
      </c>
      <c r="N970" s="6" t="n">
        <f aca="false">ROUND(M970/24,2)</f>
        <v>0.55</v>
      </c>
    </row>
    <row r="971" customFormat="false" ht="15" hidden="false" customHeight="true" outlineLevel="0" collapsed="false">
      <c r="A971" s="6" t="n">
        <v>3</v>
      </c>
      <c r="B971" s="6" t="s">
        <v>2485</v>
      </c>
      <c r="C971" s="6" t="s">
        <v>1373</v>
      </c>
      <c r="D971" s="6" t="str">
        <f aca="false">A971&amp;"|"&amp;C971</f>
        <v>3|Talisman Corps</v>
      </c>
      <c r="E971" s="6" t="s">
        <v>1560</v>
      </c>
      <c r="F971" s="6" t="s">
        <v>1544</v>
      </c>
      <c r="G971" s="6" t="str">
        <f aca="false">INDEX(Archetypes!$D$2:$D$127, MATCH(D971, Archetypes!$A$2:$A$127, 0))</f>
        <v>Cultivator</v>
      </c>
      <c r="H971" s="6" t="n">
        <f aca="false">ROUND(INDEX(Archetypes!$E$2:$E$127, MATCH(D971, Archetypes!$A$2:$A$127, 0))*INDEX(Unit_Grades!$B$2:$B$7, MATCH(F971, Unit_Grades!$A$2:$A$7, 0))*INDEX(Unit_Paths!$B$2:$B$4, MATCH(E971, Unit_Paths!$A$2:$A$4, 0)),1)</f>
        <v>118.3</v>
      </c>
      <c r="I971" s="6" t="n">
        <f aca="false">ROUND(INDEX(Archetypes!$F$2:$F$127, MATCH(D971, Archetypes!$A$2:$A$127, 0))*INDEX(Unit_Grades!$B$2:$B$7, MATCH(F971, Unit_Grades!$A$2:$A$7, 0))*INDEX(Unit_Paths!$C$2:$C$4, MATCH(E971, Unit_Paths!$A$2:$A$4, 0)),1)</f>
        <v>90</v>
      </c>
      <c r="J971" s="6" t="n">
        <f aca="false">ROUND(INDEX(Archetypes!$G$2:$G$127, MATCH(D971, Archetypes!$A$2:$A$127, 0))*INDEX(Unit_Grades!$B$2:$B$7, MATCH(F971, Unit_Grades!$A$2:$A$7, 0))*INDEX(Unit_Paths!$D$2:$D$4, MATCH(E971, Unit_Paths!$A$2:$A$4, 0)),0)</f>
        <v>359</v>
      </c>
      <c r="K971" s="6" t="n">
        <f aca="false">ROUND(INDEX(Archetypes!$H$2:$H$127, MATCH(D971, Archetypes!$A$2:$A$127, 0))*INDEX(Unit_Paths!$E$2:$E$4, MATCH(E971, Unit_Paths!$A$2:$A$4, 0)),1)</f>
        <v>14.7</v>
      </c>
      <c r="L971" s="6" t="n">
        <f aca="false">ROUND(INDEX(Archetypes!$I$2:$I$127, MATCH(D971, Archetypes!$A$2:$A$127, 0))*INDEX(Unit_Grades!$C$2:$C$7, MATCH(F971, Unit_Grades!$A$2:$A$7, 0)),1)</f>
        <v>27.3</v>
      </c>
      <c r="M971" s="6" t="n">
        <f aca="false">ROUND(INDEX(Archetypes!$J$2:$J$127, MATCH(D971, Archetypes!$A$2:$A$127, 0))*INDEX(Unit_Grades!$D$2:$D$7, MATCH(F971, Unit_Grades!$A$2:$A$7, 0)),1)</f>
        <v>21.1</v>
      </c>
      <c r="N971" s="6" t="n">
        <f aca="false">ROUND(M971/24,2)</f>
        <v>0.88</v>
      </c>
    </row>
    <row r="972" customFormat="false" ht="15" hidden="false" customHeight="true" outlineLevel="0" collapsed="false">
      <c r="A972" s="6" t="n">
        <v>3</v>
      </c>
      <c r="B972" s="6" t="s">
        <v>2486</v>
      </c>
      <c r="C972" s="6" t="s">
        <v>1373</v>
      </c>
      <c r="D972" s="6" t="str">
        <f aca="false">A972&amp;"|"&amp;C972</f>
        <v>3|Talisman Corps</v>
      </c>
      <c r="E972" s="6" t="s">
        <v>1560</v>
      </c>
      <c r="F972" s="6" t="s">
        <v>1546</v>
      </c>
      <c r="G972" s="6" t="str">
        <f aca="false">INDEX(Archetypes!$D$2:$D$127, MATCH(D972, Archetypes!$A$2:$A$127, 0))</f>
        <v>Cultivator</v>
      </c>
      <c r="H972" s="6" t="n">
        <f aca="false">ROUND(INDEX(Archetypes!$E$2:$E$127, MATCH(D972, Archetypes!$A$2:$A$127, 0))*INDEX(Unit_Grades!$B$2:$B$7, MATCH(F972, Unit_Grades!$A$2:$A$7, 0))*INDEX(Unit_Paths!$B$2:$B$4, MATCH(E972, Unit_Paths!$A$2:$A$4, 0)),1)</f>
        <v>157.8</v>
      </c>
      <c r="I972" s="6" t="n">
        <f aca="false">ROUND(INDEX(Archetypes!$F$2:$F$127, MATCH(D972, Archetypes!$A$2:$A$127, 0))*INDEX(Unit_Grades!$B$2:$B$7, MATCH(F972, Unit_Grades!$A$2:$A$7, 0))*INDEX(Unit_Paths!$C$2:$C$4, MATCH(E972, Unit_Paths!$A$2:$A$4, 0)),1)</f>
        <v>120</v>
      </c>
      <c r="J972" s="6" t="n">
        <f aca="false">ROUND(INDEX(Archetypes!$G$2:$G$127, MATCH(D972, Archetypes!$A$2:$A$127, 0))*INDEX(Unit_Grades!$B$2:$B$7, MATCH(F972, Unit_Grades!$A$2:$A$7, 0))*INDEX(Unit_Paths!$D$2:$D$4, MATCH(E972, Unit_Paths!$A$2:$A$4, 0)),0)</f>
        <v>478</v>
      </c>
      <c r="K972" s="6" t="n">
        <f aca="false">ROUND(INDEX(Archetypes!$H$2:$H$127, MATCH(D972, Archetypes!$A$2:$A$127, 0))*INDEX(Unit_Paths!$E$2:$E$4, MATCH(E972, Unit_Paths!$A$2:$A$4, 0)),1)</f>
        <v>14.7</v>
      </c>
      <c r="L972" s="6" t="n">
        <f aca="false">ROUND(INDEX(Archetypes!$I$2:$I$127, MATCH(D972, Archetypes!$A$2:$A$127, 0))*INDEX(Unit_Grades!$C$2:$C$7, MATCH(F972, Unit_Grades!$A$2:$A$7, 0)),1)</f>
        <v>36.4</v>
      </c>
      <c r="M972" s="6" t="n">
        <f aca="false">ROUND(INDEX(Archetypes!$J$2:$J$127, MATCH(D972, Archetypes!$A$2:$A$127, 0))*INDEX(Unit_Grades!$D$2:$D$7, MATCH(F972, Unit_Grades!$A$2:$A$7, 0)),1)</f>
        <v>37</v>
      </c>
      <c r="N972" s="6" t="n">
        <f aca="false">ROUND(M972/24,2)</f>
        <v>1.54</v>
      </c>
    </row>
    <row r="973" customFormat="false" ht="15" hidden="false" customHeight="true" outlineLevel="0" collapsed="false">
      <c r="A973" s="6" t="n">
        <v>3</v>
      </c>
      <c r="B973" s="6" t="s">
        <v>2487</v>
      </c>
      <c r="C973" s="6" t="s">
        <v>1373</v>
      </c>
      <c r="D973" s="6" t="str">
        <f aca="false">A973&amp;"|"&amp;C973</f>
        <v>3|Talisman Corps</v>
      </c>
      <c r="E973" s="6" t="s">
        <v>1560</v>
      </c>
      <c r="F973" s="6" t="s">
        <v>1548</v>
      </c>
      <c r="G973" s="6" t="str">
        <f aca="false">INDEX(Archetypes!$D$2:$D$127, MATCH(D973, Archetypes!$A$2:$A$127, 0))</f>
        <v>Cultivator</v>
      </c>
      <c r="H973" s="6" t="n">
        <f aca="false">ROUND(INDEX(Archetypes!$E$2:$E$127, MATCH(D973, Archetypes!$A$2:$A$127, 0))*INDEX(Unit_Grades!$B$2:$B$7, MATCH(F973, Unit_Grades!$A$2:$A$7, 0))*INDEX(Unit_Paths!$B$2:$B$4, MATCH(E973, Unit_Paths!$A$2:$A$4, 0)),1)</f>
        <v>207.1</v>
      </c>
      <c r="I973" s="6" t="n">
        <f aca="false">ROUND(INDEX(Archetypes!$F$2:$F$127, MATCH(D973, Archetypes!$A$2:$A$127, 0))*INDEX(Unit_Grades!$B$2:$B$7, MATCH(F973, Unit_Grades!$A$2:$A$7, 0))*INDEX(Unit_Paths!$C$2:$C$4, MATCH(E973, Unit_Paths!$A$2:$A$4, 0)),1)</f>
        <v>157.5</v>
      </c>
      <c r="J973" s="6" t="n">
        <f aca="false">ROUND(INDEX(Archetypes!$G$2:$G$127, MATCH(D973, Archetypes!$A$2:$A$127, 0))*INDEX(Unit_Grades!$B$2:$B$7, MATCH(F973, Unit_Grades!$A$2:$A$7, 0))*INDEX(Unit_Paths!$D$2:$D$4, MATCH(E973, Unit_Paths!$A$2:$A$4, 0)),0)</f>
        <v>628</v>
      </c>
      <c r="K973" s="6" t="n">
        <f aca="false">ROUND(INDEX(Archetypes!$H$2:$H$127, MATCH(D973, Archetypes!$A$2:$A$127, 0))*INDEX(Unit_Paths!$E$2:$E$4, MATCH(E973, Unit_Paths!$A$2:$A$4, 0)),1)</f>
        <v>14.7</v>
      </c>
      <c r="L973" s="6" t="n">
        <f aca="false">ROUND(INDEX(Archetypes!$I$2:$I$127, MATCH(D973, Archetypes!$A$2:$A$127, 0))*INDEX(Unit_Grades!$C$2:$C$7, MATCH(F973, Unit_Grades!$A$2:$A$7, 0)),1)</f>
        <v>48.1</v>
      </c>
      <c r="M973" s="6" t="n">
        <f aca="false">ROUND(INDEX(Archetypes!$J$2:$J$127, MATCH(D973, Archetypes!$A$2:$A$127, 0))*INDEX(Unit_Grades!$D$2:$D$7, MATCH(F973, Unit_Grades!$A$2:$A$7, 0)),1)</f>
        <v>63.4</v>
      </c>
      <c r="N973" s="6" t="n">
        <f aca="false">ROUND(M973/24,2)</f>
        <v>2.64</v>
      </c>
    </row>
    <row r="974" customFormat="false" ht="15" hidden="false" customHeight="true" outlineLevel="0" collapsed="false">
      <c r="A974" s="6" t="n">
        <v>4</v>
      </c>
      <c r="B974" s="6" t="s">
        <v>1375</v>
      </c>
      <c r="C974" s="6" t="s">
        <v>1375</v>
      </c>
      <c r="D974" s="6" t="str">
        <f aca="false">A974&amp;"|"&amp;C974</f>
        <v>4|Rifle Infantry</v>
      </c>
      <c r="E974" s="6" t="s">
        <v>1556</v>
      </c>
      <c r="F974" s="6" t="s">
        <v>1538</v>
      </c>
      <c r="G974" s="6" t="str">
        <f aca="false">INDEX(Archetypes!$D$2:$D$127, MATCH(D974, Archetypes!$A$2:$A$127, 0))</f>
        <v>Line Infantry</v>
      </c>
      <c r="H974" s="6" t="n">
        <f aca="false">ROUND(INDEX(Archetypes!$E$2:$E$127, MATCH(D974, Archetypes!$A$2:$A$127, 0))*INDEX(Unit_Grades!$B$2:$B$7, MATCH(F974, Unit_Grades!$A$2:$A$7, 0))*INDEX(Unit_Paths!$B$2:$B$4, MATCH(E974, Unit_Paths!$A$2:$A$4, 0)),1)</f>
        <v>70</v>
      </c>
      <c r="I974" s="6" t="n">
        <f aca="false">ROUND(INDEX(Archetypes!$F$2:$F$127, MATCH(D974, Archetypes!$A$2:$A$127, 0))*INDEX(Unit_Grades!$B$2:$B$7, MATCH(F974, Unit_Grades!$A$2:$A$7, 0))*INDEX(Unit_Paths!$C$2:$C$4, MATCH(E974, Unit_Paths!$A$2:$A$4, 0)),1)</f>
        <v>44</v>
      </c>
      <c r="J974" s="6" t="n">
        <f aca="false">ROUND(INDEX(Archetypes!$G$2:$G$127, MATCH(D974, Archetypes!$A$2:$A$127, 0))*INDEX(Unit_Grades!$B$2:$B$7, MATCH(F974, Unit_Grades!$A$2:$A$7, 0))*INDEX(Unit_Paths!$D$2:$D$4, MATCH(E974, Unit_Paths!$A$2:$A$4, 0)),0)</f>
        <v>150</v>
      </c>
      <c r="K974" s="6" t="n">
        <f aca="false">ROUND(INDEX(Archetypes!$H$2:$H$127, MATCH(D974, Archetypes!$A$2:$A$127, 0))*INDEX(Unit_Paths!$E$2:$E$4, MATCH(E974, Unit_Paths!$A$2:$A$4, 0)),1)</f>
        <v>18</v>
      </c>
      <c r="L974" s="6" t="n">
        <f aca="false">ROUND(INDEX(Archetypes!$I$2:$I$127, MATCH(D974, Archetypes!$A$2:$A$127, 0))*INDEX(Unit_Grades!$C$2:$C$7, MATCH(F974, Unit_Grades!$A$2:$A$7, 0)),1)</f>
        <v>9</v>
      </c>
      <c r="M974" s="6" t="n">
        <f aca="false">ROUND(INDEX(Archetypes!$J$2:$J$127, MATCH(D974, Archetypes!$A$2:$A$127, 0))*INDEX(Unit_Grades!$D$2:$D$7, MATCH(F974, Unit_Grades!$A$2:$A$7, 0)),1)</f>
        <v>3.7</v>
      </c>
      <c r="N974" s="6" t="n">
        <f aca="false">ROUND(M974/24,2)</f>
        <v>0.15</v>
      </c>
    </row>
    <row r="975" customFormat="false" ht="15" hidden="false" customHeight="true" outlineLevel="0" collapsed="false">
      <c r="A975" s="6" t="n">
        <v>4</v>
      </c>
      <c r="B975" s="6" t="s">
        <v>2488</v>
      </c>
      <c r="C975" s="6" t="s">
        <v>1375</v>
      </c>
      <c r="D975" s="6" t="str">
        <f aca="false">A975&amp;"|"&amp;C975</f>
        <v>4|Rifle Infantry</v>
      </c>
      <c r="E975" s="6" t="s">
        <v>1556</v>
      </c>
      <c r="F975" s="6" t="s">
        <v>1540</v>
      </c>
      <c r="G975" s="6" t="str">
        <f aca="false">INDEX(Archetypes!$D$2:$D$127, MATCH(D975, Archetypes!$A$2:$A$127, 0))</f>
        <v>Line Infantry</v>
      </c>
      <c r="H975" s="6" t="n">
        <f aca="false">ROUND(INDEX(Archetypes!$E$2:$E$127, MATCH(D975, Archetypes!$A$2:$A$127, 0))*INDEX(Unit_Grades!$B$2:$B$7, MATCH(F975, Unit_Grades!$A$2:$A$7, 0))*INDEX(Unit_Paths!$B$2:$B$4, MATCH(E975, Unit_Paths!$A$2:$A$4, 0)),1)</f>
        <v>94.5</v>
      </c>
      <c r="I975" s="6" t="n">
        <f aca="false">ROUND(INDEX(Archetypes!$F$2:$F$127, MATCH(D975, Archetypes!$A$2:$A$127, 0))*INDEX(Unit_Grades!$B$2:$B$7, MATCH(F975, Unit_Grades!$A$2:$A$7, 0))*INDEX(Unit_Paths!$C$2:$C$4, MATCH(E975, Unit_Paths!$A$2:$A$4, 0)),1)</f>
        <v>59.4</v>
      </c>
      <c r="J975" s="6" t="n">
        <f aca="false">ROUND(INDEX(Archetypes!$G$2:$G$127, MATCH(D975, Archetypes!$A$2:$A$127, 0))*INDEX(Unit_Grades!$B$2:$B$7, MATCH(F975, Unit_Grades!$A$2:$A$7, 0))*INDEX(Unit_Paths!$D$2:$D$4, MATCH(E975, Unit_Paths!$A$2:$A$4, 0)),0)</f>
        <v>203</v>
      </c>
      <c r="K975" s="6" t="n">
        <f aca="false">ROUND(INDEX(Archetypes!$H$2:$H$127, MATCH(D975, Archetypes!$A$2:$A$127, 0))*INDEX(Unit_Paths!$E$2:$E$4, MATCH(E975, Unit_Paths!$A$2:$A$4, 0)),1)</f>
        <v>18</v>
      </c>
      <c r="L975" s="6" t="n">
        <f aca="false">ROUND(INDEX(Archetypes!$I$2:$I$127, MATCH(D975, Archetypes!$A$2:$A$127, 0))*INDEX(Unit_Grades!$C$2:$C$7, MATCH(F975, Unit_Grades!$A$2:$A$7, 0)),1)</f>
        <v>11.3</v>
      </c>
      <c r="M975" s="6" t="n">
        <f aca="false">ROUND(INDEX(Archetypes!$J$2:$J$127, MATCH(D975, Archetypes!$A$2:$A$127, 0))*INDEX(Unit_Grades!$D$2:$D$7, MATCH(F975, Unit_Grades!$A$2:$A$7, 0)),1)</f>
        <v>5.5</v>
      </c>
      <c r="N975" s="6" t="n">
        <f aca="false">ROUND(M975/24,2)</f>
        <v>0.23</v>
      </c>
    </row>
    <row r="976" customFormat="false" ht="15" hidden="false" customHeight="true" outlineLevel="0" collapsed="false">
      <c r="A976" s="6" t="n">
        <v>4</v>
      </c>
      <c r="B976" s="6" t="s">
        <v>2489</v>
      </c>
      <c r="C976" s="6" t="s">
        <v>1375</v>
      </c>
      <c r="D976" s="6" t="str">
        <f aca="false">A976&amp;"|"&amp;C976</f>
        <v>4|Rifle Infantry</v>
      </c>
      <c r="E976" s="6" t="s">
        <v>1556</v>
      </c>
      <c r="F976" s="6" t="s">
        <v>1542</v>
      </c>
      <c r="G976" s="6" t="str">
        <f aca="false">INDEX(Archetypes!$D$2:$D$127, MATCH(D976, Archetypes!$A$2:$A$127, 0))</f>
        <v>Line Infantry</v>
      </c>
      <c r="H976" s="6" t="n">
        <f aca="false">ROUND(INDEX(Archetypes!$E$2:$E$127, MATCH(D976, Archetypes!$A$2:$A$127, 0))*INDEX(Unit_Grades!$B$2:$B$7, MATCH(F976, Unit_Grades!$A$2:$A$7, 0))*INDEX(Unit_Paths!$B$2:$B$4, MATCH(E976, Unit_Paths!$A$2:$A$4, 0)),1)</f>
        <v>126</v>
      </c>
      <c r="I976" s="6" t="n">
        <f aca="false">ROUND(INDEX(Archetypes!$F$2:$F$127, MATCH(D976, Archetypes!$A$2:$A$127, 0))*INDEX(Unit_Grades!$B$2:$B$7, MATCH(F976, Unit_Grades!$A$2:$A$7, 0))*INDEX(Unit_Paths!$C$2:$C$4, MATCH(E976, Unit_Paths!$A$2:$A$4, 0)),1)</f>
        <v>79.2</v>
      </c>
      <c r="J976" s="6" t="n">
        <f aca="false">ROUND(INDEX(Archetypes!$G$2:$G$127, MATCH(D976, Archetypes!$A$2:$A$127, 0))*INDEX(Unit_Grades!$B$2:$B$7, MATCH(F976, Unit_Grades!$A$2:$A$7, 0))*INDEX(Unit_Paths!$D$2:$D$4, MATCH(E976, Unit_Paths!$A$2:$A$4, 0)),0)</f>
        <v>270</v>
      </c>
      <c r="K976" s="6" t="n">
        <f aca="false">ROUND(INDEX(Archetypes!$H$2:$H$127, MATCH(D976, Archetypes!$A$2:$A$127, 0))*INDEX(Unit_Paths!$E$2:$E$4, MATCH(E976, Unit_Paths!$A$2:$A$4, 0)),1)</f>
        <v>18</v>
      </c>
      <c r="L976" s="6" t="n">
        <f aca="false">ROUND(INDEX(Archetypes!$I$2:$I$127, MATCH(D976, Archetypes!$A$2:$A$127, 0))*INDEX(Unit_Grades!$C$2:$C$7, MATCH(F976, Unit_Grades!$A$2:$A$7, 0)),1)</f>
        <v>14.4</v>
      </c>
      <c r="M976" s="6" t="n">
        <f aca="false">ROUND(INDEX(Archetypes!$J$2:$J$127, MATCH(D976, Archetypes!$A$2:$A$127, 0))*INDEX(Unit_Grades!$D$2:$D$7, MATCH(F976, Unit_Grades!$A$2:$A$7, 0)),1)</f>
        <v>9.1</v>
      </c>
      <c r="N976" s="6" t="n">
        <f aca="false">ROUND(M976/24,2)</f>
        <v>0.38</v>
      </c>
    </row>
    <row r="977" customFormat="false" ht="15" hidden="false" customHeight="true" outlineLevel="0" collapsed="false">
      <c r="A977" s="6" t="n">
        <v>4</v>
      </c>
      <c r="B977" s="6" t="s">
        <v>2490</v>
      </c>
      <c r="C977" s="6" t="s">
        <v>1375</v>
      </c>
      <c r="D977" s="6" t="str">
        <f aca="false">A977&amp;"|"&amp;C977</f>
        <v>4|Rifle Infantry</v>
      </c>
      <c r="E977" s="6" t="s">
        <v>1556</v>
      </c>
      <c r="F977" s="6" t="s">
        <v>1544</v>
      </c>
      <c r="G977" s="6" t="str">
        <f aca="false">INDEX(Archetypes!$D$2:$D$127, MATCH(D977, Archetypes!$A$2:$A$127, 0))</f>
        <v>Line Infantry</v>
      </c>
      <c r="H977" s="6" t="n">
        <f aca="false">ROUND(INDEX(Archetypes!$E$2:$E$127, MATCH(D977, Archetypes!$A$2:$A$127, 0))*INDEX(Unit_Grades!$B$2:$B$7, MATCH(F977, Unit_Grades!$A$2:$A$7, 0))*INDEX(Unit_Paths!$B$2:$B$4, MATCH(E977, Unit_Paths!$A$2:$A$4, 0)),1)</f>
        <v>168</v>
      </c>
      <c r="I977" s="6" t="n">
        <f aca="false">ROUND(INDEX(Archetypes!$F$2:$F$127, MATCH(D977, Archetypes!$A$2:$A$127, 0))*INDEX(Unit_Grades!$B$2:$B$7, MATCH(F977, Unit_Grades!$A$2:$A$7, 0))*INDEX(Unit_Paths!$C$2:$C$4, MATCH(E977, Unit_Paths!$A$2:$A$4, 0)),1)</f>
        <v>105.6</v>
      </c>
      <c r="J977" s="6" t="n">
        <f aca="false">ROUND(INDEX(Archetypes!$G$2:$G$127, MATCH(D977, Archetypes!$A$2:$A$127, 0))*INDEX(Unit_Grades!$B$2:$B$7, MATCH(F977, Unit_Grades!$A$2:$A$7, 0))*INDEX(Unit_Paths!$D$2:$D$4, MATCH(E977, Unit_Paths!$A$2:$A$4, 0)),0)</f>
        <v>360</v>
      </c>
      <c r="K977" s="6" t="n">
        <f aca="false">ROUND(INDEX(Archetypes!$H$2:$H$127, MATCH(D977, Archetypes!$A$2:$A$127, 0))*INDEX(Unit_Paths!$E$2:$E$4, MATCH(E977, Unit_Paths!$A$2:$A$4, 0)),1)</f>
        <v>18</v>
      </c>
      <c r="L977" s="6" t="n">
        <f aca="false">ROUND(INDEX(Archetypes!$I$2:$I$127, MATCH(D977, Archetypes!$A$2:$A$127, 0))*INDEX(Unit_Grades!$C$2:$C$7, MATCH(F977, Unit_Grades!$A$2:$A$7, 0)),1)</f>
        <v>18.9</v>
      </c>
      <c r="M977" s="6" t="n">
        <f aca="false">ROUND(INDEX(Archetypes!$J$2:$J$127, MATCH(D977, Archetypes!$A$2:$A$127, 0))*INDEX(Unit_Grades!$D$2:$D$7, MATCH(F977, Unit_Grades!$A$2:$A$7, 0)),1)</f>
        <v>14.6</v>
      </c>
      <c r="N977" s="6" t="n">
        <f aca="false">ROUND(M977/24,2)</f>
        <v>0.61</v>
      </c>
    </row>
    <row r="978" customFormat="false" ht="15" hidden="false" customHeight="true" outlineLevel="0" collapsed="false">
      <c r="A978" s="6" t="n">
        <v>4</v>
      </c>
      <c r="B978" s="6" t="s">
        <v>2491</v>
      </c>
      <c r="C978" s="6" t="s">
        <v>1375</v>
      </c>
      <c r="D978" s="6" t="str">
        <f aca="false">A978&amp;"|"&amp;C978</f>
        <v>4|Rifle Infantry</v>
      </c>
      <c r="E978" s="6" t="s">
        <v>1556</v>
      </c>
      <c r="F978" s="6" t="s">
        <v>1546</v>
      </c>
      <c r="G978" s="6" t="str">
        <f aca="false">INDEX(Archetypes!$D$2:$D$127, MATCH(D978, Archetypes!$A$2:$A$127, 0))</f>
        <v>Line Infantry</v>
      </c>
      <c r="H978" s="6" t="n">
        <f aca="false">ROUND(INDEX(Archetypes!$E$2:$E$127, MATCH(D978, Archetypes!$A$2:$A$127, 0))*INDEX(Unit_Grades!$B$2:$B$7, MATCH(F978, Unit_Grades!$A$2:$A$7, 0))*INDEX(Unit_Paths!$B$2:$B$4, MATCH(E978, Unit_Paths!$A$2:$A$4, 0)),1)</f>
        <v>224</v>
      </c>
      <c r="I978" s="6" t="n">
        <f aca="false">ROUND(INDEX(Archetypes!$F$2:$F$127, MATCH(D978, Archetypes!$A$2:$A$127, 0))*INDEX(Unit_Grades!$B$2:$B$7, MATCH(F978, Unit_Grades!$A$2:$A$7, 0))*INDEX(Unit_Paths!$C$2:$C$4, MATCH(E978, Unit_Paths!$A$2:$A$4, 0)),1)</f>
        <v>140.8</v>
      </c>
      <c r="J978" s="6" t="n">
        <f aca="false">ROUND(INDEX(Archetypes!$G$2:$G$127, MATCH(D978, Archetypes!$A$2:$A$127, 0))*INDEX(Unit_Grades!$B$2:$B$7, MATCH(F978, Unit_Grades!$A$2:$A$7, 0))*INDEX(Unit_Paths!$D$2:$D$4, MATCH(E978, Unit_Paths!$A$2:$A$4, 0)),0)</f>
        <v>480</v>
      </c>
      <c r="K978" s="6" t="n">
        <f aca="false">ROUND(INDEX(Archetypes!$H$2:$H$127, MATCH(D978, Archetypes!$A$2:$A$127, 0))*INDEX(Unit_Paths!$E$2:$E$4, MATCH(E978, Unit_Paths!$A$2:$A$4, 0)),1)</f>
        <v>18</v>
      </c>
      <c r="L978" s="6" t="n">
        <f aca="false">ROUND(INDEX(Archetypes!$I$2:$I$127, MATCH(D978, Archetypes!$A$2:$A$127, 0))*INDEX(Unit_Grades!$C$2:$C$7, MATCH(F978, Unit_Grades!$A$2:$A$7, 0)),1)</f>
        <v>25.2</v>
      </c>
      <c r="M978" s="6" t="n">
        <f aca="false">ROUND(INDEX(Archetypes!$J$2:$J$127, MATCH(D978, Archetypes!$A$2:$A$127, 0))*INDEX(Unit_Grades!$D$2:$D$7, MATCH(F978, Unit_Grades!$A$2:$A$7, 0)),1)</f>
        <v>25.6</v>
      </c>
      <c r="N978" s="6" t="n">
        <f aca="false">ROUND(M978/24,2)</f>
        <v>1.07</v>
      </c>
    </row>
    <row r="979" customFormat="false" ht="15" hidden="false" customHeight="true" outlineLevel="0" collapsed="false">
      <c r="A979" s="6" t="n">
        <v>4</v>
      </c>
      <c r="B979" s="6" t="s">
        <v>2492</v>
      </c>
      <c r="C979" s="6" t="s">
        <v>1375</v>
      </c>
      <c r="D979" s="6" t="str">
        <f aca="false">A979&amp;"|"&amp;C979</f>
        <v>4|Rifle Infantry</v>
      </c>
      <c r="E979" s="6" t="s">
        <v>1556</v>
      </c>
      <c r="F979" s="6" t="s">
        <v>1548</v>
      </c>
      <c r="G979" s="6" t="str">
        <f aca="false">INDEX(Archetypes!$D$2:$D$127, MATCH(D979, Archetypes!$A$2:$A$127, 0))</f>
        <v>Line Infantry</v>
      </c>
      <c r="H979" s="6" t="n">
        <f aca="false">ROUND(INDEX(Archetypes!$E$2:$E$127, MATCH(D979, Archetypes!$A$2:$A$127, 0))*INDEX(Unit_Grades!$B$2:$B$7, MATCH(F979, Unit_Grades!$A$2:$A$7, 0))*INDEX(Unit_Paths!$B$2:$B$4, MATCH(E979, Unit_Paths!$A$2:$A$4, 0)),1)</f>
        <v>294</v>
      </c>
      <c r="I979" s="6" t="n">
        <f aca="false">ROUND(INDEX(Archetypes!$F$2:$F$127, MATCH(D979, Archetypes!$A$2:$A$127, 0))*INDEX(Unit_Grades!$B$2:$B$7, MATCH(F979, Unit_Grades!$A$2:$A$7, 0))*INDEX(Unit_Paths!$C$2:$C$4, MATCH(E979, Unit_Paths!$A$2:$A$4, 0)),1)</f>
        <v>184.8</v>
      </c>
      <c r="J979" s="6" t="n">
        <f aca="false">ROUND(INDEX(Archetypes!$G$2:$G$127, MATCH(D979, Archetypes!$A$2:$A$127, 0))*INDEX(Unit_Grades!$B$2:$B$7, MATCH(F979, Unit_Grades!$A$2:$A$7, 0))*INDEX(Unit_Paths!$D$2:$D$4, MATCH(E979, Unit_Paths!$A$2:$A$4, 0)),0)</f>
        <v>630</v>
      </c>
      <c r="K979" s="6" t="n">
        <f aca="false">ROUND(INDEX(Archetypes!$H$2:$H$127, MATCH(D979, Archetypes!$A$2:$A$127, 0))*INDEX(Unit_Paths!$E$2:$E$4, MATCH(E979, Unit_Paths!$A$2:$A$4, 0)),1)</f>
        <v>18</v>
      </c>
      <c r="L979" s="6" t="n">
        <f aca="false">ROUND(INDEX(Archetypes!$I$2:$I$127, MATCH(D979, Archetypes!$A$2:$A$127, 0))*INDEX(Unit_Grades!$C$2:$C$7, MATCH(F979, Unit_Grades!$A$2:$A$7, 0)),1)</f>
        <v>33.3</v>
      </c>
      <c r="M979" s="6" t="n">
        <f aca="false">ROUND(INDEX(Archetypes!$J$2:$J$127, MATCH(D979, Archetypes!$A$2:$A$127, 0))*INDEX(Unit_Grades!$D$2:$D$7, MATCH(F979, Unit_Grades!$A$2:$A$7, 0)),1)</f>
        <v>43.8</v>
      </c>
      <c r="N979" s="6" t="n">
        <f aca="false">ROUND(M979/24,2)</f>
        <v>1.83</v>
      </c>
    </row>
    <row r="980" customFormat="false" ht="15" hidden="false" customHeight="true" outlineLevel="0" collapsed="false">
      <c r="A980" s="6" t="n">
        <v>4</v>
      </c>
      <c r="B980" s="6" t="s">
        <v>2493</v>
      </c>
      <c r="C980" s="6" t="s">
        <v>1375</v>
      </c>
      <c r="D980" s="6" t="str">
        <f aca="false">A980&amp;"|"&amp;C980</f>
        <v>4|Rifle Infantry</v>
      </c>
      <c r="E980" s="6" t="s">
        <v>1558</v>
      </c>
      <c r="F980" s="6" t="s">
        <v>1538</v>
      </c>
      <c r="G980" s="6" t="str">
        <f aca="false">INDEX(Archetypes!$D$2:$D$127, MATCH(D980, Archetypes!$A$2:$A$127, 0))</f>
        <v>Line Infantry</v>
      </c>
      <c r="H980" s="6" t="n">
        <f aca="false">ROUND(INDEX(Archetypes!$E$2:$E$127, MATCH(D980, Archetypes!$A$2:$A$127, 0))*INDEX(Unit_Grades!$B$2:$B$7, MATCH(F980, Unit_Grades!$A$2:$A$7, 0))*INDEX(Unit_Paths!$B$2:$B$4, MATCH(E980, Unit_Paths!$A$2:$A$4, 0)),1)</f>
        <v>84</v>
      </c>
      <c r="I980" s="6" t="n">
        <f aca="false">ROUND(INDEX(Archetypes!$F$2:$F$127, MATCH(D980, Archetypes!$A$2:$A$127, 0))*INDEX(Unit_Grades!$B$2:$B$7, MATCH(F980, Unit_Grades!$A$2:$A$7, 0))*INDEX(Unit_Paths!$C$2:$C$4, MATCH(E980, Unit_Paths!$A$2:$A$4, 0)),1)</f>
        <v>37.4</v>
      </c>
      <c r="J980" s="6" t="n">
        <f aca="false">ROUND(INDEX(Archetypes!$G$2:$G$127, MATCH(D980, Archetypes!$A$2:$A$127, 0))*INDEX(Unit_Grades!$B$2:$B$7, MATCH(F980, Unit_Grades!$A$2:$A$7, 0))*INDEX(Unit_Paths!$D$2:$D$4, MATCH(E980, Unit_Paths!$A$2:$A$4, 0)),0)</f>
        <v>143</v>
      </c>
      <c r="K980" s="6" t="n">
        <f aca="false">ROUND(INDEX(Archetypes!$H$2:$H$127, MATCH(D980, Archetypes!$A$2:$A$127, 0))*INDEX(Unit_Paths!$E$2:$E$4, MATCH(E980, Unit_Paths!$A$2:$A$4, 0)),1)</f>
        <v>18.9</v>
      </c>
      <c r="L980" s="6" t="n">
        <f aca="false">ROUND(INDEX(Archetypes!$I$2:$I$127, MATCH(D980, Archetypes!$A$2:$A$127, 0))*INDEX(Unit_Grades!$C$2:$C$7, MATCH(F980, Unit_Grades!$A$2:$A$7, 0)),1)</f>
        <v>9</v>
      </c>
      <c r="M980" s="6" t="n">
        <f aca="false">ROUND(INDEX(Archetypes!$J$2:$J$127, MATCH(D980, Archetypes!$A$2:$A$127, 0))*INDEX(Unit_Grades!$D$2:$D$7, MATCH(F980, Unit_Grades!$A$2:$A$7, 0)),1)</f>
        <v>3.7</v>
      </c>
      <c r="N980" s="6" t="n">
        <f aca="false">ROUND(M980/24,2)</f>
        <v>0.15</v>
      </c>
    </row>
    <row r="981" customFormat="false" ht="15" hidden="false" customHeight="true" outlineLevel="0" collapsed="false">
      <c r="A981" s="6" t="n">
        <v>4</v>
      </c>
      <c r="B981" s="6" t="s">
        <v>2494</v>
      </c>
      <c r="C981" s="6" t="s">
        <v>1375</v>
      </c>
      <c r="D981" s="6" t="str">
        <f aca="false">A981&amp;"|"&amp;C981</f>
        <v>4|Rifle Infantry</v>
      </c>
      <c r="E981" s="6" t="s">
        <v>1558</v>
      </c>
      <c r="F981" s="6" t="s">
        <v>1540</v>
      </c>
      <c r="G981" s="6" t="str">
        <f aca="false">INDEX(Archetypes!$D$2:$D$127, MATCH(D981, Archetypes!$A$2:$A$127, 0))</f>
        <v>Line Infantry</v>
      </c>
      <c r="H981" s="6" t="n">
        <f aca="false">ROUND(INDEX(Archetypes!$E$2:$E$127, MATCH(D981, Archetypes!$A$2:$A$127, 0))*INDEX(Unit_Grades!$B$2:$B$7, MATCH(F981, Unit_Grades!$A$2:$A$7, 0))*INDEX(Unit_Paths!$B$2:$B$4, MATCH(E981, Unit_Paths!$A$2:$A$4, 0)),1)</f>
        <v>113.4</v>
      </c>
      <c r="I981" s="6" t="n">
        <f aca="false">ROUND(INDEX(Archetypes!$F$2:$F$127, MATCH(D981, Archetypes!$A$2:$A$127, 0))*INDEX(Unit_Grades!$B$2:$B$7, MATCH(F981, Unit_Grades!$A$2:$A$7, 0))*INDEX(Unit_Paths!$C$2:$C$4, MATCH(E981, Unit_Paths!$A$2:$A$4, 0)),1)</f>
        <v>50.5</v>
      </c>
      <c r="J981" s="6" t="n">
        <f aca="false">ROUND(INDEX(Archetypes!$G$2:$G$127, MATCH(D981, Archetypes!$A$2:$A$127, 0))*INDEX(Unit_Grades!$B$2:$B$7, MATCH(F981, Unit_Grades!$A$2:$A$7, 0))*INDEX(Unit_Paths!$D$2:$D$4, MATCH(E981, Unit_Paths!$A$2:$A$4, 0)),0)</f>
        <v>192</v>
      </c>
      <c r="K981" s="6" t="n">
        <f aca="false">ROUND(INDEX(Archetypes!$H$2:$H$127, MATCH(D981, Archetypes!$A$2:$A$127, 0))*INDEX(Unit_Paths!$E$2:$E$4, MATCH(E981, Unit_Paths!$A$2:$A$4, 0)),1)</f>
        <v>18.9</v>
      </c>
      <c r="L981" s="6" t="n">
        <f aca="false">ROUND(INDEX(Archetypes!$I$2:$I$127, MATCH(D981, Archetypes!$A$2:$A$127, 0))*INDEX(Unit_Grades!$C$2:$C$7, MATCH(F981, Unit_Grades!$A$2:$A$7, 0)),1)</f>
        <v>11.3</v>
      </c>
      <c r="M981" s="6" t="n">
        <f aca="false">ROUND(INDEX(Archetypes!$J$2:$J$127, MATCH(D981, Archetypes!$A$2:$A$127, 0))*INDEX(Unit_Grades!$D$2:$D$7, MATCH(F981, Unit_Grades!$A$2:$A$7, 0)),1)</f>
        <v>5.5</v>
      </c>
      <c r="N981" s="6" t="n">
        <f aca="false">ROUND(M981/24,2)</f>
        <v>0.23</v>
      </c>
    </row>
    <row r="982" customFormat="false" ht="15" hidden="false" customHeight="true" outlineLevel="0" collapsed="false">
      <c r="A982" s="6" t="n">
        <v>4</v>
      </c>
      <c r="B982" s="6" t="s">
        <v>2495</v>
      </c>
      <c r="C982" s="6" t="s">
        <v>1375</v>
      </c>
      <c r="D982" s="6" t="str">
        <f aca="false">A982&amp;"|"&amp;C982</f>
        <v>4|Rifle Infantry</v>
      </c>
      <c r="E982" s="6" t="s">
        <v>1558</v>
      </c>
      <c r="F982" s="6" t="s">
        <v>1542</v>
      </c>
      <c r="G982" s="6" t="str">
        <f aca="false">INDEX(Archetypes!$D$2:$D$127, MATCH(D982, Archetypes!$A$2:$A$127, 0))</f>
        <v>Line Infantry</v>
      </c>
      <c r="H982" s="6" t="n">
        <f aca="false">ROUND(INDEX(Archetypes!$E$2:$E$127, MATCH(D982, Archetypes!$A$2:$A$127, 0))*INDEX(Unit_Grades!$B$2:$B$7, MATCH(F982, Unit_Grades!$A$2:$A$7, 0))*INDEX(Unit_Paths!$B$2:$B$4, MATCH(E982, Unit_Paths!$A$2:$A$4, 0)),1)</f>
        <v>151.2</v>
      </c>
      <c r="I982" s="6" t="n">
        <f aca="false">ROUND(INDEX(Archetypes!$F$2:$F$127, MATCH(D982, Archetypes!$A$2:$A$127, 0))*INDEX(Unit_Grades!$B$2:$B$7, MATCH(F982, Unit_Grades!$A$2:$A$7, 0))*INDEX(Unit_Paths!$C$2:$C$4, MATCH(E982, Unit_Paths!$A$2:$A$4, 0)),1)</f>
        <v>67.3</v>
      </c>
      <c r="J982" s="6" t="n">
        <f aca="false">ROUND(INDEX(Archetypes!$G$2:$G$127, MATCH(D982, Archetypes!$A$2:$A$127, 0))*INDEX(Unit_Grades!$B$2:$B$7, MATCH(F982, Unit_Grades!$A$2:$A$7, 0))*INDEX(Unit_Paths!$D$2:$D$4, MATCH(E982, Unit_Paths!$A$2:$A$4, 0)),0)</f>
        <v>257</v>
      </c>
      <c r="K982" s="6" t="n">
        <f aca="false">ROUND(INDEX(Archetypes!$H$2:$H$127, MATCH(D982, Archetypes!$A$2:$A$127, 0))*INDEX(Unit_Paths!$E$2:$E$4, MATCH(E982, Unit_Paths!$A$2:$A$4, 0)),1)</f>
        <v>18.9</v>
      </c>
      <c r="L982" s="6" t="n">
        <f aca="false">ROUND(INDEX(Archetypes!$I$2:$I$127, MATCH(D982, Archetypes!$A$2:$A$127, 0))*INDEX(Unit_Grades!$C$2:$C$7, MATCH(F982, Unit_Grades!$A$2:$A$7, 0)),1)</f>
        <v>14.4</v>
      </c>
      <c r="M982" s="6" t="n">
        <f aca="false">ROUND(INDEX(Archetypes!$J$2:$J$127, MATCH(D982, Archetypes!$A$2:$A$127, 0))*INDEX(Unit_Grades!$D$2:$D$7, MATCH(F982, Unit_Grades!$A$2:$A$7, 0)),1)</f>
        <v>9.1</v>
      </c>
      <c r="N982" s="6" t="n">
        <f aca="false">ROUND(M982/24,2)</f>
        <v>0.38</v>
      </c>
    </row>
    <row r="983" customFormat="false" ht="15" hidden="false" customHeight="true" outlineLevel="0" collapsed="false">
      <c r="A983" s="6" t="n">
        <v>4</v>
      </c>
      <c r="B983" s="6" t="s">
        <v>2496</v>
      </c>
      <c r="C983" s="6" t="s">
        <v>1375</v>
      </c>
      <c r="D983" s="6" t="str">
        <f aca="false">A983&amp;"|"&amp;C983</f>
        <v>4|Rifle Infantry</v>
      </c>
      <c r="E983" s="6" t="s">
        <v>1558</v>
      </c>
      <c r="F983" s="6" t="s">
        <v>1544</v>
      </c>
      <c r="G983" s="6" t="str">
        <f aca="false">INDEX(Archetypes!$D$2:$D$127, MATCH(D983, Archetypes!$A$2:$A$127, 0))</f>
        <v>Line Infantry</v>
      </c>
      <c r="H983" s="6" t="n">
        <f aca="false">ROUND(INDEX(Archetypes!$E$2:$E$127, MATCH(D983, Archetypes!$A$2:$A$127, 0))*INDEX(Unit_Grades!$B$2:$B$7, MATCH(F983, Unit_Grades!$A$2:$A$7, 0))*INDEX(Unit_Paths!$B$2:$B$4, MATCH(E983, Unit_Paths!$A$2:$A$4, 0)),1)</f>
        <v>201.6</v>
      </c>
      <c r="I983" s="6" t="n">
        <f aca="false">ROUND(INDEX(Archetypes!$F$2:$F$127, MATCH(D983, Archetypes!$A$2:$A$127, 0))*INDEX(Unit_Grades!$B$2:$B$7, MATCH(F983, Unit_Grades!$A$2:$A$7, 0))*INDEX(Unit_Paths!$C$2:$C$4, MATCH(E983, Unit_Paths!$A$2:$A$4, 0)),1)</f>
        <v>89.8</v>
      </c>
      <c r="J983" s="6" t="n">
        <f aca="false">ROUND(INDEX(Archetypes!$G$2:$G$127, MATCH(D983, Archetypes!$A$2:$A$127, 0))*INDEX(Unit_Grades!$B$2:$B$7, MATCH(F983, Unit_Grades!$A$2:$A$7, 0))*INDEX(Unit_Paths!$D$2:$D$4, MATCH(E983, Unit_Paths!$A$2:$A$4, 0)),0)</f>
        <v>342</v>
      </c>
      <c r="K983" s="6" t="n">
        <f aca="false">ROUND(INDEX(Archetypes!$H$2:$H$127, MATCH(D983, Archetypes!$A$2:$A$127, 0))*INDEX(Unit_Paths!$E$2:$E$4, MATCH(E983, Unit_Paths!$A$2:$A$4, 0)),1)</f>
        <v>18.9</v>
      </c>
      <c r="L983" s="6" t="n">
        <f aca="false">ROUND(INDEX(Archetypes!$I$2:$I$127, MATCH(D983, Archetypes!$A$2:$A$127, 0))*INDEX(Unit_Grades!$C$2:$C$7, MATCH(F983, Unit_Grades!$A$2:$A$7, 0)),1)</f>
        <v>18.9</v>
      </c>
      <c r="M983" s="6" t="n">
        <f aca="false">ROUND(INDEX(Archetypes!$J$2:$J$127, MATCH(D983, Archetypes!$A$2:$A$127, 0))*INDEX(Unit_Grades!$D$2:$D$7, MATCH(F983, Unit_Grades!$A$2:$A$7, 0)),1)</f>
        <v>14.6</v>
      </c>
      <c r="N983" s="6" t="n">
        <f aca="false">ROUND(M983/24,2)</f>
        <v>0.61</v>
      </c>
    </row>
    <row r="984" customFormat="false" ht="15" hidden="false" customHeight="true" outlineLevel="0" collapsed="false">
      <c r="A984" s="6" t="n">
        <v>4</v>
      </c>
      <c r="B984" s="6" t="s">
        <v>2497</v>
      </c>
      <c r="C984" s="6" t="s">
        <v>1375</v>
      </c>
      <c r="D984" s="6" t="str">
        <f aca="false">A984&amp;"|"&amp;C984</f>
        <v>4|Rifle Infantry</v>
      </c>
      <c r="E984" s="6" t="s">
        <v>1558</v>
      </c>
      <c r="F984" s="6" t="s">
        <v>1546</v>
      </c>
      <c r="G984" s="6" t="str">
        <f aca="false">INDEX(Archetypes!$D$2:$D$127, MATCH(D984, Archetypes!$A$2:$A$127, 0))</f>
        <v>Line Infantry</v>
      </c>
      <c r="H984" s="6" t="n">
        <f aca="false">ROUND(INDEX(Archetypes!$E$2:$E$127, MATCH(D984, Archetypes!$A$2:$A$127, 0))*INDEX(Unit_Grades!$B$2:$B$7, MATCH(F984, Unit_Grades!$A$2:$A$7, 0))*INDEX(Unit_Paths!$B$2:$B$4, MATCH(E984, Unit_Paths!$A$2:$A$4, 0)),1)</f>
        <v>268.8</v>
      </c>
      <c r="I984" s="6" t="n">
        <f aca="false">ROUND(INDEX(Archetypes!$F$2:$F$127, MATCH(D984, Archetypes!$A$2:$A$127, 0))*INDEX(Unit_Grades!$B$2:$B$7, MATCH(F984, Unit_Grades!$A$2:$A$7, 0))*INDEX(Unit_Paths!$C$2:$C$4, MATCH(E984, Unit_Paths!$A$2:$A$4, 0)),1)</f>
        <v>119.7</v>
      </c>
      <c r="J984" s="6" t="n">
        <f aca="false">ROUND(INDEX(Archetypes!$G$2:$G$127, MATCH(D984, Archetypes!$A$2:$A$127, 0))*INDEX(Unit_Grades!$B$2:$B$7, MATCH(F984, Unit_Grades!$A$2:$A$7, 0))*INDEX(Unit_Paths!$D$2:$D$4, MATCH(E984, Unit_Paths!$A$2:$A$4, 0)),0)</f>
        <v>456</v>
      </c>
      <c r="K984" s="6" t="n">
        <f aca="false">ROUND(INDEX(Archetypes!$H$2:$H$127, MATCH(D984, Archetypes!$A$2:$A$127, 0))*INDEX(Unit_Paths!$E$2:$E$4, MATCH(E984, Unit_Paths!$A$2:$A$4, 0)),1)</f>
        <v>18.9</v>
      </c>
      <c r="L984" s="6" t="n">
        <f aca="false">ROUND(INDEX(Archetypes!$I$2:$I$127, MATCH(D984, Archetypes!$A$2:$A$127, 0))*INDEX(Unit_Grades!$C$2:$C$7, MATCH(F984, Unit_Grades!$A$2:$A$7, 0)),1)</f>
        <v>25.2</v>
      </c>
      <c r="M984" s="6" t="n">
        <f aca="false">ROUND(INDEX(Archetypes!$J$2:$J$127, MATCH(D984, Archetypes!$A$2:$A$127, 0))*INDEX(Unit_Grades!$D$2:$D$7, MATCH(F984, Unit_Grades!$A$2:$A$7, 0)),1)</f>
        <v>25.6</v>
      </c>
      <c r="N984" s="6" t="n">
        <f aca="false">ROUND(M984/24,2)</f>
        <v>1.07</v>
      </c>
    </row>
    <row r="985" customFormat="false" ht="15" hidden="false" customHeight="true" outlineLevel="0" collapsed="false">
      <c r="A985" s="6" t="n">
        <v>4</v>
      </c>
      <c r="B985" s="6" t="s">
        <v>2498</v>
      </c>
      <c r="C985" s="6" t="s">
        <v>1375</v>
      </c>
      <c r="D985" s="6" t="str">
        <f aca="false">A985&amp;"|"&amp;C985</f>
        <v>4|Rifle Infantry</v>
      </c>
      <c r="E985" s="6" t="s">
        <v>1558</v>
      </c>
      <c r="F985" s="6" t="s">
        <v>1548</v>
      </c>
      <c r="G985" s="6" t="str">
        <f aca="false">INDEX(Archetypes!$D$2:$D$127, MATCH(D985, Archetypes!$A$2:$A$127, 0))</f>
        <v>Line Infantry</v>
      </c>
      <c r="H985" s="6" t="n">
        <f aca="false">ROUND(INDEX(Archetypes!$E$2:$E$127, MATCH(D985, Archetypes!$A$2:$A$127, 0))*INDEX(Unit_Grades!$B$2:$B$7, MATCH(F985, Unit_Grades!$A$2:$A$7, 0))*INDEX(Unit_Paths!$B$2:$B$4, MATCH(E985, Unit_Paths!$A$2:$A$4, 0)),1)</f>
        <v>352.8</v>
      </c>
      <c r="I985" s="6" t="n">
        <f aca="false">ROUND(INDEX(Archetypes!$F$2:$F$127, MATCH(D985, Archetypes!$A$2:$A$127, 0))*INDEX(Unit_Grades!$B$2:$B$7, MATCH(F985, Unit_Grades!$A$2:$A$7, 0))*INDEX(Unit_Paths!$C$2:$C$4, MATCH(E985, Unit_Paths!$A$2:$A$4, 0)),1)</f>
        <v>157.1</v>
      </c>
      <c r="J985" s="6" t="n">
        <f aca="false">ROUND(INDEX(Archetypes!$G$2:$G$127, MATCH(D985, Archetypes!$A$2:$A$127, 0))*INDEX(Unit_Grades!$B$2:$B$7, MATCH(F985, Unit_Grades!$A$2:$A$7, 0))*INDEX(Unit_Paths!$D$2:$D$4, MATCH(E985, Unit_Paths!$A$2:$A$4, 0)),0)</f>
        <v>599</v>
      </c>
      <c r="K985" s="6" t="n">
        <f aca="false">ROUND(INDEX(Archetypes!$H$2:$H$127, MATCH(D985, Archetypes!$A$2:$A$127, 0))*INDEX(Unit_Paths!$E$2:$E$4, MATCH(E985, Unit_Paths!$A$2:$A$4, 0)),1)</f>
        <v>18.9</v>
      </c>
      <c r="L985" s="6" t="n">
        <f aca="false">ROUND(INDEX(Archetypes!$I$2:$I$127, MATCH(D985, Archetypes!$A$2:$A$127, 0))*INDEX(Unit_Grades!$C$2:$C$7, MATCH(F985, Unit_Grades!$A$2:$A$7, 0)),1)</f>
        <v>33.3</v>
      </c>
      <c r="M985" s="6" t="n">
        <f aca="false">ROUND(INDEX(Archetypes!$J$2:$J$127, MATCH(D985, Archetypes!$A$2:$A$127, 0))*INDEX(Unit_Grades!$D$2:$D$7, MATCH(F985, Unit_Grades!$A$2:$A$7, 0)),1)</f>
        <v>43.8</v>
      </c>
      <c r="N985" s="6" t="n">
        <f aca="false">ROUND(M985/24,2)</f>
        <v>1.83</v>
      </c>
    </row>
    <row r="986" customFormat="false" ht="15" hidden="false" customHeight="true" outlineLevel="0" collapsed="false">
      <c r="A986" s="6" t="n">
        <v>4</v>
      </c>
      <c r="B986" s="6" t="s">
        <v>2499</v>
      </c>
      <c r="C986" s="6" t="s">
        <v>1375</v>
      </c>
      <c r="D986" s="6" t="str">
        <f aca="false">A986&amp;"|"&amp;C986</f>
        <v>4|Rifle Infantry</v>
      </c>
      <c r="E986" s="6" t="s">
        <v>1560</v>
      </c>
      <c r="F986" s="6" t="s">
        <v>1538</v>
      </c>
      <c r="G986" s="6" t="str">
        <f aca="false">INDEX(Archetypes!$D$2:$D$127, MATCH(D986, Archetypes!$A$2:$A$127, 0))</f>
        <v>Line Infantry</v>
      </c>
      <c r="H986" s="6" t="n">
        <f aca="false">ROUND(INDEX(Archetypes!$E$2:$E$127, MATCH(D986, Archetypes!$A$2:$A$127, 0))*INDEX(Unit_Grades!$B$2:$B$7, MATCH(F986, Unit_Grades!$A$2:$A$7, 0))*INDEX(Unit_Paths!$B$2:$B$4, MATCH(E986, Unit_Paths!$A$2:$A$4, 0)),1)</f>
        <v>59.5</v>
      </c>
      <c r="I986" s="6" t="n">
        <f aca="false">ROUND(INDEX(Archetypes!$F$2:$F$127, MATCH(D986, Archetypes!$A$2:$A$127, 0))*INDEX(Unit_Grades!$B$2:$B$7, MATCH(F986, Unit_Grades!$A$2:$A$7, 0))*INDEX(Unit_Paths!$C$2:$C$4, MATCH(E986, Unit_Paths!$A$2:$A$4, 0)),1)</f>
        <v>55</v>
      </c>
      <c r="J986" s="6" t="n">
        <f aca="false">ROUND(INDEX(Archetypes!$G$2:$G$127, MATCH(D986, Archetypes!$A$2:$A$127, 0))*INDEX(Unit_Grades!$B$2:$B$7, MATCH(F986, Unit_Grades!$A$2:$A$7, 0))*INDEX(Unit_Paths!$D$2:$D$4, MATCH(E986, Unit_Paths!$A$2:$A$4, 0)),0)</f>
        <v>173</v>
      </c>
      <c r="K986" s="6" t="n">
        <f aca="false">ROUND(INDEX(Archetypes!$H$2:$H$127, MATCH(D986, Archetypes!$A$2:$A$127, 0))*INDEX(Unit_Paths!$E$2:$E$4, MATCH(E986, Unit_Paths!$A$2:$A$4, 0)),1)</f>
        <v>16.6</v>
      </c>
      <c r="L986" s="6" t="n">
        <f aca="false">ROUND(INDEX(Archetypes!$I$2:$I$127, MATCH(D986, Archetypes!$A$2:$A$127, 0))*INDEX(Unit_Grades!$C$2:$C$7, MATCH(F986, Unit_Grades!$A$2:$A$7, 0)),1)</f>
        <v>9</v>
      </c>
      <c r="M986" s="6" t="n">
        <f aca="false">ROUND(INDEX(Archetypes!$J$2:$J$127, MATCH(D986, Archetypes!$A$2:$A$127, 0))*INDEX(Unit_Grades!$D$2:$D$7, MATCH(F986, Unit_Grades!$A$2:$A$7, 0)),1)</f>
        <v>3.7</v>
      </c>
      <c r="N986" s="6" t="n">
        <f aca="false">ROUND(M986/24,2)</f>
        <v>0.15</v>
      </c>
    </row>
    <row r="987" customFormat="false" ht="15" hidden="false" customHeight="true" outlineLevel="0" collapsed="false">
      <c r="A987" s="6" t="n">
        <v>4</v>
      </c>
      <c r="B987" s="6" t="s">
        <v>2500</v>
      </c>
      <c r="C987" s="6" t="s">
        <v>1375</v>
      </c>
      <c r="D987" s="6" t="str">
        <f aca="false">A987&amp;"|"&amp;C987</f>
        <v>4|Rifle Infantry</v>
      </c>
      <c r="E987" s="6" t="s">
        <v>1560</v>
      </c>
      <c r="F987" s="6" t="s">
        <v>1540</v>
      </c>
      <c r="G987" s="6" t="str">
        <f aca="false">INDEX(Archetypes!$D$2:$D$127, MATCH(D987, Archetypes!$A$2:$A$127, 0))</f>
        <v>Line Infantry</v>
      </c>
      <c r="H987" s="6" t="n">
        <f aca="false">ROUND(INDEX(Archetypes!$E$2:$E$127, MATCH(D987, Archetypes!$A$2:$A$127, 0))*INDEX(Unit_Grades!$B$2:$B$7, MATCH(F987, Unit_Grades!$A$2:$A$7, 0))*INDEX(Unit_Paths!$B$2:$B$4, MATCH(E987, Unit_Paths!$A$2:$A$4, 0)),1)</f>
        <v>80.3</v>
      </c>
      <c r="I987" s="6" t="n">
        <f aca="false">ROUND(INDEX(Archetypes!$F$2:$F$127, MATCH(D987, Archetypes!$A$2:$A$127, 0))*INDEX(Unit_Grades!$B$2:$B$7, MATCH(F987, Unit_Grades!$A$2:$A$7, 0))*INDEX(Unit_Paths!$C$2:$C$4, MATCH(E987, Unit_Paths!$A$2:$A$4, 0)),1)</f>
        <v>74.3</v>
      </c>
      <c r="J987" s="6" t="n">
        <f aca="false">ROUND(INDEX(Archetypes!$G$2:$G$127, MATCH(D987, Archetypes!$A$2:$A$127, 0))*INDEX(Unit_Grades!$B$2:$B$7, MATCH(F987, Unit_Grades!$A$2:$A$7, 0))*INDEX(Unit_Paths!$D$2:$D$4, MATCH(E987, Unit_Paths!$A$2:$A$4, 0)),0)</f>
        <v>233</v>
      </c>
      <c r="K987" s="6" t="n">
        <f aca="false">ROUND(INDEX(Archetypes!$H$2:$H$127, MATCH(D987, Archetypes!$A$2:$A$127, 0))*INDEX(Unit_Paths!$E$2:$E$4, MATCH(E987, Unit_Paths!$A$2:$A$4, 0)),1)</f>
        <v>16.6</v>
      </c>
      <c r="L987" s="6" t="n">
        <f aca="false">ROUND(INDEX(Archetypes!$I$2:$I$127, MATCH(D987, Archetypes!$A$2:$A$127, 0))*INDEX(Unit_Grades!$C$2:$C$7, MATCH(F987, Unit_Grades!$A$2:$A$7, 0)),1)</f>
        <v>11.3</v>
      </c>
      <c r="M987" s="6" t="n">
        <f aca="false">ROUND(INDEX(Archetypes!$J$2:$J$127, MATCH(D987, Archetypes!$A$2:$A$127, 0))*INDEX(Unit_Grades!$D$2:$D$7, MATCH(F987, Unit_Grades!$A$2:$A$7, 0)),1)</f>
        <v>5.5</v>
      </c>
      <c r="N987" s="6" t="n">
        <f aca="false">ROUND(M987/24,2)</f>
        <v>0.23</v>
      </c>
    </row>
    <row r="988" customFormat="false" ht="15" hidden="false" customHeight="true" outlineLevel="0" collapsed="false">
      <c r="A988" s="6" t="n">
        <v>4</v>
      </c>
      <c r="B988" s="6" t="s">
        <v>2501</v>
      </c>
      <c r="C988" s="6" t="s">
        <v>1375</v>
      </c>
      <c r="D988" s="6" t="str">
        <f aca="false">A988&amp;"|"&amp;C988</f>
        <v>4|Rifle Infantry</v>
      </c>
      <c r="E988" s="6" t="s">
        <v>1560</v>
      </c>
      <c r="F988" s="6" t="s">
        <v>1542</v>
      </c>
      <c r="G988" s="6" t="str">
        <f aca="false">INDEX(Archetypes!$D$2:$D$127, MATCH(D988, Archetypes!$A$2:$A$127, 0))</f>
        <v>Line Infantry</v>
      </c>
      <c r="H988" s="6" t="n">
        <f aca="false">ROUND(INDEX(Archetypes!$E$2:$E$127, MATCH(D988, Archetypes!$A$2:$A$127, 0))*INDEX(Unit_Grades!$B$2:$B$7, MATCH(F988, Unit_Grades!$A$2:$A$7, 0))*INDEX(Unit_Paths!$B$2:$B$4, MATCH(E988, Unit_Paths!$A$2:$A$4, 0)),1)</f>
        <v>107.1</v>
      </c>
      <c r="I988" s="6" t="n">
        <f aca="false">ROUND(INDEX(Archetypes!$F$2:$F$127, MATCH(D988, Archetypes!$A$2:$A$127, 0))*INDEX(Unit_Grades!$B$2:$B$7, MATCH(F988, Unit_Grades!$A$2:$A$7, 0))*INDEX(Unit_Paths!$C$2:$C$4, MATCH(E988, Unit_Paths!$A$2:$A$4, 0)),1)</f>
        <v>99</v>
      </c>
      <c r="J988" s="6" t="n">
        <f aca="false">ROUND(INDEX(Archetypes!$G$2:$G$127, MATCH(D988, Archetypes!$A$2:$A$127, 0))*INDEX(Unit_Grades!$B$2:$B$7, MATCH(F988, Unit_Grades!$A$2:$A$7, 0))*INDEX(Unit_Paths!$D$2:$D$4, MATCH(E988, Unit_Paths!$A$2:$A$4, 0)),0)</f>
        <v>311</v>
      </c>
      <c r="K988" s="6" t="n">
        <f aca="false">ROUND(INDEX(Archetypes!$H$2:$H$127, MATCH(D988, Archetypes!$A$2:$A$127, 0))*INDEX(Unit_Paths!$E$2:$E$4, MATCH(E988, Unit_Paths!$A$2:$A$4, 0)),1)</f>
        <v>16.6</v>
      </c>
      <c r="L988" s="6" t="n">
        <f aca="false">ROUND(INDEX(Archetypes!$I$2:$I$127, MATCH(D988, Archetypes!$A$2:$A$127, 0))*INDEX(Unit_Grades!$C$2:$C$7, MATCH(F988, Unit_Grades!$A$2:$A$7, 0)),1)</f>
        <v>14.4</v>
      </c>
      <c r="M988" s="6" t="n">
        <f aca="false">ROUND(INDEX(Archetypes!$J$2:$J$127, MATCH(D988, Archetypes!$A$2:$A$127, 0))*INDEX(Unit_Grades!$D$2:$D$7, MATCH(F988, Unit_Grades!$A$2:$A$7, 0)),1)</f>
        <v>9.1</v>
      </c>
      <c r="N988" s="6" t="n">
        <f aca="false">ROUND(M988/24,2)</f>
        <v>0.38</v>
      </c>
    </row>
    <row r="989" customFormat="false" ht="15" hidden="false" customHeight="true" outlineLevel="0" collapsed="false">
      <c r="A989" s="6" t="n">
        <v>4</v>
      </c>
      <c r="B989" s="6" t="s">
        <v>2502</v>
      </c>
      <c r="C989" s="6" t="s">
        <v>1375</v>
      </c>
      <c r="D989" s="6" t="str">
        <f aca="false">A989&amp;"|"&amp;C989</f>
        <v>4|Rifle Infantry</v>
      </c>
      <c r="E989" s="6" t="s">
        <v>1560</v>
      </c>
      <c r="F989" s="6" t="s">
        <v>1544</v>
      </c>
      <c r="G989" s="6" t="str">
        <f aca="false">INDEX(Archetypes!$D$2:$D$127, MATCH(D989, Archetypes!$A$2:$A$127, 0))</f>
        <v>Line Infantry</v>
      </c>
      <c r="H989" s="6" t="n">
        <f aca="false">ROUND(INDEX(Archetypes!$E$2:$E$127, MATCH(D989, Archetypes!$A$2:$A$127, 0))*INDEX(Unit_Grades!$B$2:$B$7, MATCH(F989, Unit_Grades!$A$2:$A$7, 0))*INDEX(Unit_Paths!$B$2:$B$4, MATCH(E989, Unit_Paths!$A$2:$A$4, 0)),1)</f>
        <v>142.8</v>
      </c>
      <c r="I989" s="6" t="n">
        <f aca="false">ROUND(INDEX(Archetypes!$F$2:$F$127, MATCH(D989, Archetypes!$A$2:$A$127, 0))*INDEX(Unit_Grades!$B$2:$B$7, MATCH(F989, Unit_Grades!$A$2:$A$7, 0))*INDEX(Unit_Paths!$C$2:$C$4, MATCH(E989, Unit_Paths!$A$2:$A$4, 0)),1)</f>
        <v>132</v>
      </c>
      <c r="J989" s="6" t="n">
        <f aca="false">ROUND(INDEX(Archetypes!$G$2:$G$127, MATCH(D989, Archetypes!$A$2:$A$127, 0))*INDEX(Unit_Grades!$B$2:$B$7, MATCH(F989, Unit_Grades!$A$2:$A$7, 0))*INDEX(Unit_Paths!$D$2:$D$4, MATCH(E989, Unit_Paths!$A$2:$A$4, 0)),0)</f>
        <v>414</v>
      </c>
      <c r="K989" s="6" t="n">
        <f aca="false">ROUND(INDEX(Archetypes!$H$2:$H$127, MATCH(D989, Archetypes!$A$2:$A$127, 0))*INDEX(Unit_Paths!$E$2:$E$4, MATCH(E989, Unit_Paths!$A$2:$A$4, 0)),1)</f>
        <v>16.6</v>
      </c>
      <c r="L989" s="6" t="n">
        <f aca="false">ROUND(INDEX(Archetypes!$I$2:$I$127, MATCH(D989, Archetypes!$A$2:$A$127, 0))*INDEX(Unit_Grades!$C$2:$C$7, MATCH(F989, Unit_Grades!$A$2:$A$7, 0)),1)</f>
        <v>18.9</v>
      </c>
      <c r="M989" s="6" t="n">
        <f aca="false">ROUND(INDEX(Archetypes!$J$2:$J$127, MATCH(D989, Archetypes!$A$2:$A$127, 0))*INDEX(Unit_Grades!$D$2:$D$7, MATCH(F989, Unit_Grades!$A$2:$A$7, 0)),1)</f>
        <v>14.6</v>
      </c>
      <c r="N989" s="6" t="n">
        <f aca="false">ROUND(M989/24,2)</f>
        <v>0.61</v>
      </c>
    </row>
    <row r="990" customFormat="false" ht="15" hidden="false" customHeight="true" outlineLevel="0" collapsed="false">
      <c r="A990" s="6" t="n">
        <v>4</v>
      </c>
      <c r="B990" s="6" t="s">
        <v>2503</v>
      </c>
      <c r="C990" s="6" t="s">
        <v>1375</v>
      </c>
      <c r="D990" s="6" t="str">
        <f aca="false">A990&amp;"|"&amp;C990</f>
        <v>4|Rifle Infantry</v>
      </c>
      <c r="E990" s="6" t="s">
        <v>1560</v>
      </c>
      <c r="F990" s="6" t="s">
        <v>1546</v>
      </c>
      <c r="G990" s="6" t="str">
        <f aca="false">INDEX(Archetypes!$D$2:$D$127, MATCH(D990, Archetypes!$A$2:$A$127, 0))</f>
        <v>Line Infantry</v>
      </c>
      <c r="H990" s="6" t="n">
        <f aca="false">ROUND(INDEX(Archetypes!$E$2:$E$127, MATCH(D990, Archetypes!$A$2:$A$127, 0))*INDEX(Unit_Grades!$B$2:$B$7, MATCH(F990, Unit_Grades!$A$2:$A$7, 0))*INDEX(Unit_Paths!$B$2:$B$4, MATCH(E990, Unit_Paths!$A$2:$A$4, 0)),1)</f>
        <v>190.4</v>
      </c>
      <c r="I990" s="6" t="n">
        <f aca="false">ROUND(INDEX(Archetypes!$F$2:$F$127, MATCH(D990, Archetypes!$A$2:$A$127, 0))*INDEX(Unit_Grades!$B$2:$B$7, MATCH(F990, Unit_Grades!$A$2:$A$7, 0))*INDEX(Unit_Paths!$C$2:$C$4, MATCH(E990, Unit_Paths!$A$2:$A$4, 0)),1)</f>
        <v>176</v>
      </c>
      <c r="J990" s="6" t="n">
        <f aca="false">ROUND(INDEX(Archetypes!$G$2:$G$127, MATCH(D990, Archetypes!$A$2:$A$127, 0))*INDEX(Unit_Grades!$B$2:$B$7, MATCH(F990, Unit_Grades!$A$2:$A$7, 0))*INDEX(Unit_Paths!$D$2:$D$4, MATCH(E990, Unit_Paths!$A$2:$A$4, 0)),0)</f>
        <v>552</v>
      </c>
      <c r="K990" s="6" t="n">
        <f aca="false">ROUND(INDEX(Archetypes!$H$2:$H$127, MATCH(D990, Archetypes!$A$2:$A$127, 0))*INDEX(Unit_Paths!$E$2:$E$4, MATCH(E990, Unit_Paths!$A$2:$A$4, 0)),1)</f>
        <v>16.6</v>
      </c>
      <c r="L990" s="6" t="n">
        <f aca="false">ROUND(INDEX(Archetypes!$I$2:$I$127, MATCH(D990, Archetypes!$A$2:$A$127, 0))*INDEX(Unit_Grades!$C$2:$C$7, MATCH(F990, Unit_Grades!$A$2:$A$7, 0)),1)</f>
        <v>25.2</v>
      </c>
      <c r="M990" s="6" t="n">
        <f aca="false">ROUND(INDEX(Archetypes!$J$2:$J$127, MATCH(D990, Archetypes!$A$2:$A$127, 0))*INDEX(Unit_Grades!$D$2:$D$7, MATCH(F990, Unit_Grades!$A$2:$A$7, 0)),1)</f>
        <v>25.6</v>
      </c>
      <c r="N990" s="6" t="n">
        <f aca="false">ROUND(M990/24,2)</f>
        <v>1.07</v>
      </c>
    </row>
    <row r="991" customFormat="false" ht="15" hidden="false" customHeight="true" outlineLevel="0" collapsed="false">
      <c r="A991" s="6" t="n">
        <v>4</v>
      </c>
      <c r="B991" s="6" t="s">
        <v>2504</v>
      </c>
      <c r="C991" s="6" t="s">
        <v>1375</v>
      </c>
      <c r="D991" s="6" t="str">
        <f aca="false">A991&amp;"|"&amp;C991</f>
        <v>4|Rifle Infantry</v>
      </c>
      <c r="E991" s="6" t="s">
        <v>1560</v>
      </c>
      <c r="F991" s="6" t="s">
        <v>1548</v>
      </c>
      <c r="G991" s="6" t="str">
        <f aca="false">INDEX(Archetypes!$D$2:$D$127, MATCH(D991, Archetypes!$A$2:$A$127, 0))</f>
        <v>Line Infantry</v>
      </c>
      <c r="H991" s="6" t="n">
        <f aca="false">ROUND(INDEX(Archetypes!$E$2:$E$127, MATCH(D991, Archetypes!$A$2:$A$127, 0))*INDEX(Unit_Grades!$B$2:$B$7, MATCH(F991, Unit_Grades!$A$2:$A$7, 0))*INDEX(Unit_Paths!$B$2:$B$4, MATCH(E991, Unit_Paths!$A$2:$A$4, 0)),1)</f>
        <v>249.9</v>
      </c>
      <c r="I991" s="6" t="n">
        <f aca="false">ROUND(INDEX(Archetypes!$F$2:$F$127, MATCH(D991, Archetypes!$A$2:$A$127, 0))*INDEX(Unit_Grades!$B$2:$B$7, MATCH(F991, Unit_Grades!$A$2:$A$7, 0))*INDEX(Unit_Paths!$C$2:$C$4, MATCH(E991, Unit_Paths!$A$2:$A$4, 0)),1)</f>
        <v>231</v>
      </c>
      <c r="J991" s="6" t="n">
        <f aca="false">ROUND(INDEX(Archetypes!$G$2:$G$127, MATCH(D991, Archetypes!$A$2:$A$127, 0))*INDEX(Unit_Grades!$B$2:$B$7, MATCH(F991, Unit_Grades!$A$2:$A$7, 0))*INDEX(Unit_Paths!$D$2:$D$4, MATCH(E991, Unit_Paths!$A$2:$A$4, 0)),0)</f>
        <v>725</v>
      </c>
      <c r="K991" s="6" t="n">
        <f aca="false">ROUND(INDEX(Archetypes!$H$2:$H$127, MATCH(D991, Archetypes!$A$2:$A$127, 0))*INDEX(Unit_Paths!$E$2:$E$4, MATCH(E991, Unit_Paths!$A$2:$A$4, 0)),1)</f>
        <v>16.6</v>
      </c>
      <c r="L991" s="6" t="n">
        <f aca="false">ROUND(INDEX(Archetypes!$I$2:$I$127, MATCH(D991, Archetypes!$A$2:$A$127, 0))*INDEX(Unit_Grades!$C$2:$C$7, MATCH(F991, Unit_Grades!$A$2:$A$7, 0)),1)</f>
        <v>33.3</v>
      </c>
      <c r="M991" s="6" t="n">
        <f aca="false">ROUND(INDEX(Archetypes!$J$2:$J$127, MATCH(D991, Archetypes!$A$2:$A$127, 0))*INDEX(Unit_Grades!$D$2:$D$7, MATCH(F991, Unit_Grades!$A$2:$A$7, 0)),1)</f>
        <v>43.8</v>
      </c>
      <c r="N991" s="6" t="n">
        <f aca="false">ROUND(M991/24,2)</f>
        <v>1.83</v>
      </c>
    </row>
    <row r="992" customFormat="false" ht="15" hidden="false" customHeight="true" outlineLevel="0" collapsed="false">
      <c r="A992" s="6" t="n">
        <v>4</v>
      </c>
      <c r="B992" s="6" t="s">
        <v>1377</v>
      </c>
      <c r="C992" s="6" t="s">
        <v>1377</v>
      </c>
      <c r="D992" s="6" t="str">
        <f aca="false">A992&amp;"|"&amp;C992</f>
        <v>4|MG Team</v>
      </c>
      <c r="E992" s="6" t="s">
        <v>1556</v>
      </c>
      <c r="F992" s="6" t="s">
        <v>1538</v>
      </c>
      <c r="G992" s="6" t="str">
        <f aca="false">INDEX(Archetypes!$D$2:$D$127, MATCH(D992, Archetypes!$A$2:$A$127, 0))</f>
        <v>Anti-Infantry</v>
      </c>
      <c r="H992" s="6" t="n">
        <f aca="false">ROUND(INDEX(Archetypes!$E$2:$E$127, MATCH(D992, Archetypes!$A$2:$A$127, 0))*INDEX(Unit_Grades!$B$2:$B$7, MATCH(F992, Unit_Grades!$A$2:$A$7, 0))*INDEX(Unit_Paths!$B$2:$B$4, MATCH(E992, Unit_Paths!$A$2:$A$4, 0)),1)</f>
        <v>95</v>
      </c>
      <c r="I992" s="6" t="n">
        <f aca="false">ROUND(INDEX(Archetypes!$F$2:$F$127, MATCH(D992, Archetypes!$A$2:$A$127, 0))*INDEX(Unit_Grades!$B$2:$B$7, MATCH(F992, Unit_Grades!$A$2:$A$7, 0))*INDEX(Unit_Paths!$C$2:$C$4, MATCH(E992, Unit_Paths!$A$2:$A$4, 0)),1)</f>
        <v>40</v>
      </c>
      <c r="J992" s="6" t="n">
        <f aca="false">ROUND(INDEX(Archetypes!$G$2:$G$127, MATCH(D992, Archetypes!$A$2:$A$127, 0))*INDEX(Unit_Grades!$B$2:$B$7, MATCH(F992, Unit_Grades!$A$2:$A$7, 0))*INDEX(Unit_Paths!$D$2:$D$4, MATCH(E992, Unit_Paths!$A$2:$A$4, 0)),0)</f>
        <v>140</v>
      </c>
      <c r="K992" s="6" t="n">
        <f aca="false">ROUND(INDEX(Archetypes!$H$2:$H$127, MATCH(D992, Archetypes!$A$2:$A$127, 0))*INDEX(Unit_Paths!$E$2:$E$4, MATCH(E992, Unit_Paths!$A$2:$A$4, 0)),1)</f>
        <v>12</v>
      </c>
      <c r="L992" s="6" t="n">
        <f aca="false">ROUND(INDEX(Archetypes!$I$2:$I$127, MATCH(D992, Archetypes!$A$2:$A$127, 0))*INDEX(Unit_Grades!$C$2:$C$7, MATCH(F992, Unit_Grades!$A$2:$A$7, 0)),1)</f>
        <v>11</v>
      </c>
      <c r="M992" s="6" t="n">
        <f aca="false">ROUND(INDEX(Archetypes!$J$2:$J$127, MATCH(D992, Archetypes!$A$2:$A$127, 0))*INDEX(Unit_Grades!$D$2:$D$7, MATCH(F992, Unit_Grades!$A$2:$A$7, 0)),1)</f>
        <v>4.5</v>
      </c>
      <c r="N992" s="6" t="n">
        <f aca="false">ROUND(M992/24,2)</f>
        <v>0.19</v>
      </c>
    </row>
    <row r="993" customFormat="false" ht="15" hidden="false" customHeight="true" outlineLevel="0" collapsed="false">
      <c r="A993" s="6" t="n">
        <v>4</v>
      </c>
      <c r="B993" s="6" t="s">
        <v>2505</v>
      </c>
      <c r="C993" s="6" t="s">
        <v>1377</v>
      </c>
      <c r="D993" s="6" t="str">
        <f aca="false">A993&amp;"|"&amp;C993</f>
        <v>4|MG Team</v>
      </c>
      <c r="E993" s="6" t="s">
        <v>1556</v>
      </c>
      <c r="F993" s="6" t="s">
        <v>1540</v>
      </c>
      <c r="G993" s="6" t="str">
        <f aca="false">INDEX(Archetypes!$D$2:$D$127, MATCH(D993, Archetypes!$A$2:$A$127, 0))</f>
        <v>Anti-Infantry</v>
      </c>
      <c r="H993" s="6" t="n">
        <f aca="false">ROUND(INDEX(Archetypes!$E$2:$E$127, MATCH(D993, Archetypes!$A$2:$A$127, 0))*INDEX(Unit_Grades!$B$2:$B$7, MATCH(F993, Unit_Grades!$A$2:$A$7, 0))*INDEX(Unit_Paths!$B$2:$B$4, MATCH(E993, Unit_Paths!$A$2:$A$4, 0)),1)</f>
        <v>128.3</v>
      </c>
      <c r="I993" s="6" t="n">
        <f aca="false">ROUND(INDEX(Archetypes!$F$2:$F$127, MATCH(D993, Archetypes!$A$2:$A$127, 0))*INDEX(Unit_Grades!$B$2:$B$7, MATCH(F993, Unit_Grades!$A$2:$A$7, 0))*INDEX(Unit_Paths!$C$2:$C$4, MATCH(E993, Unit_Paths!$A$2:$A$4, 0)),1)</f>
        <v>54</v>
      </c>
      <c r="J993" s="6" t="n">
        <f aca="false">ROUND(INDEX(Archetypes!$G$2:$G$127, MATCH(D993, Archetypes!$A$2:$A$127, 0))*INDEX(Unit_Grades!$B$2:$B$7, MATCH(F993, Unit_Grades!$A$2:$A$7, 0))*INDEX(Unit_Paths!$D$2:$D$4, MATCH(E993, Unit_Paths!$A$2:$A$4, 0)),0)</f>
        <v>189</v>
      </c>
      <c r="K993" s="6" t="n">
        <f aca="false">ROUND(INDEX(Archetypes!$H$2:$H$127, MATCH(D993, Archetypes!$A$2:$A$127, 0))*INDEX(Unit_Paths!$E$2:$E$4, MATCH(E993, Unit_Paths!$A$2:$A$4, 0)),1)</f>
        <v>12</v>
      </c>
      <c r="L993" s="6" t="n">
        <f aca="false">ROUND(INDEX(Archetypes!$I$2:$I$127, MATCH(D993, Archetypes!$A$2:$A$127, 0))*INDEX(Unit_Grades!$C$2:$C$7, MATCH(F993, Unit_Grades!$A$2:$A$7, 0)),1)</f>
        <v>13.8</v>
      </c>
      <c r="M993" s="6" t="n">
        <f aca="false">ROUND(INDEX(Archetypes!$J$2:$J$127, MATCH(D993, Archetypes!$A$2:$A$127, 0))*INDEX(Unit_Grades!$D$2:$D$7, MATCH(F993, Unit_Grades!$A$2:$A$7, 0)),1)</f>
        <v>6.7</v>
      </c>
      <c r="N993" s="6" t="n">
        <f aca="false">ROUND(M993/24,2)</f>
        <v>0.28</v>
      </c>
    </row>
    <row r="994" customFormat="false" ht="15" hidden="false" customHeight="true" outlineLevel="0" collapsed="false">
      <c r="A994" s="6" t="n">
        <v>4</v>
      </c>
      <c r="B994" s="6" t="s">
        <v>2506</v>
      </c>
      <c r="C994" s="6" t="s">
        <v>1377</v>
      </c>
      <c r="D994" s="6" t="str">
        <f aca="false">A994&amp;"|"&amp;C994</f>
        <v>4|MG Team</v>
      </c>
      <c r="E994" s="6" t="s">
        <v>1556</v>
      </c>
      <c r="F994" s="6" t="s">
        <v>1542</v>
      </c>
      <c r="G994" s="6" t="str">
        <f aca="false">INDEX(Archetypes!$D$2:$D$127, MATCH(D994, Archetypes!$A$2:$A$127, 0))</f>
        <v>Anti-Infantry</v>
      </c>
      <c r="H994" s="6" t="n">
        <f aca="false">ROUND(INDEX(Archetypes!$E$2:$E$127, MATCH(D994, Archetypes!$A$2:$A$127, 0))*INDEX(Unit_Grades!$B$2:$B$7, MATCH(F994, Unit_Grades!$A$2:$A$7, 0))*INDEX(Unit_Paths!$B$2:$B$4, MATCH(E994, Unit_Paths!$A$2:$A$4, 0)),1)</f>
        <v>171</v>
      </c>
      <c r="I994" s="6" t="n">
        <f aca="false">ROUND(INDEX(Archetypes!$F$2:$F$127, MATCH(D994, Archetypes!$A$2:$A$127, 0))*INDEX(Unit_Grades!$B$2:$B$7, MATCH(F994, Unit_Grades!$A$2:$A$7, 0))*INDEX(Unit_Paths!$C$2:$C$4, MATCH(E994, Unit_Paths!$A$2:$A$4, 0)),1)</f>
        <v>72</v>
      </c>
      <c r="J994" s="6" t="n">
        <f aca="false">ROUND(INDEX(Archetypes!$G$2:$G$127, MATCH(D994, Archetypes!$A$2:$A$127, 0))*INDEX(Unit_Grades!$B$2:$B$7, MATCH(F994, Unit_Grades!$A$2:$A$7, 0))*INDEX(Unit_Paths!$D$2:$D$4, MATCH(E994, Unit_Paths!$A$2:$A$4, 0)),0)</f>
        <v>252</v>
      </c>
      <c r="K994" s="6" t="n">
        <f aca="false">ROUND(INDEX(Archetypes!$H$2:$H$127, MATCH(D994, Archetypes!$A$2:$A$127, 0))*INDEX(Unit_Paths!$E$2:$E$4, MATCH(E994, Unit_Paths!$A$2:$A$4, 0)),1)</f>
        <v>12</v>
      </c>
      <c r="L994" s="6" t="n">
        <f aca="false">ROUND(INDEX(Archetypes!$I$2:$I$127, MATCH(D994, Archetypes!$A$2:$A$127, 0))*INDEX(Unit_Grades!$C$2:$C$7, MATCH(F994, Unit_Grades!$A$2:$A$7, 0)),1)</f>
        <v>17.6</v>
      </c>
      <c r="M994" s="6" t="n">
        <f aca="false">ROUND(INDEX(Archetypes!$J$2:$J$127, MATCH(D994, Archetypes!$A$2:$A$127, 0))*INDEX(Unit_Grades!$D$2:$D$7, MATCH(F994, Unit_Grades!$A$2:$A$7, 0)),1)</f>
        <v>11.2</v>
      </c>
      <c r="N994" s="6" t="n">
        <f aca="false">ROUND(M994/24,2)</f>
        <v>0.47</v>
      </c>
    </row>
    <row r="995" customFormat="false" ht="15" hidden="false" customHeight="true" outlineLevel="0" collapsed="false">
      <c r="A995" s="6" t="n">
        <v>4</v>
      </c>
      <c r="B995" s="6" t="s">
        <v>2507</v>
      </c>
      <c r="C995" s="6" t="s">
        <v>1377</v>
      </c>
      <c r="D995" s="6" t="str">
        <f aca="false">A995&amp;"|"&amp;C995</f>
        <v>4|MG Team</v>
      </c>
      <c r="E995" s="6" t="s">
        <v>1556</v>
      </c>
      <c r="F995" s="6" t="s">
        <v>1544</v>
      </c>
      <c r="G995" s="6" t="str">
        <f aca="false">INDEX(Archetypes!$D$2:$D$127, MATCH(D995, Archetypes!$A$2:$A$127, 0))</f>
        <v>Anti-Infantry</v>
      </c>
      <c r="H995" s="6" t="n">
        <f aca="false">ROUND(INDEX(Archetypes!$E$2:$E$127, MATCH(D995, Archetypes!$A$2:$A$127, 0))*INDEX(Unit_Grades!$B$2:$B$7, MATCH(F995, Unit_Grades!$A$2:$A$7, 0))*INDEX(Unit_Paths!$B$2:$B$4, MATCH(E995, Unit_Paths!$A$2:$A$4, 0)),1)</f>
        <v>228</v>
      </c>
      <c r="I995" s="6" t="n">
        <f aca="false">ROUND(INDEX(Archetypes!$F$2:$F$127, MATCH(D995, Archetypes!$A$2:$A$127, 0))*INDEX(Unit_Grades!$B$2:$B$7, MATCH(F995, Unit_Grades!$A$2:$A$7, 0))*INDEX(Unit_Paths!$C$2:$C$4, MATCH(E995, Unit_Paths!$A$2:$A$4, 0)),1)</f>
        <v>96</v>
      </c>
      <c r="J995" s="6" t="n">
        <f aca="false">ROUND(INDEX(Archetypes!$G$2:$G$127, MATCH(D995, Archetypes!$A$2:$A$127, 0))*INDEX(Unit_Grades!$B$2:$B$7, MATCH(F995, Unit_Grades!$A$2:$A$7, 0))*INDEX(Unit_Paths!$D$2:$D$4, MATCH(E995, Unit_Paths!$A$2:$A$4, 0)),0)</f>
        <v>336</v>
      </c>
      <c r="K995" s="6" t="n">
        <f aca="false">ROUND(INDEX(Archetypes!$H$2:$H$127, MATCH(D995, Archetypes!$A$2:$A$127, 0))*INDEX(Unit_Paths!$E$2:$E$4, MATCH(E995, Unit_Paths!$A$2:$A$4, 0)),1)</f>
        <v>12</v>
      </c>
      <c r="L995" s="6" t="n">
        <f aca="false">ROUND(INDEX(Archetypes!$I$2:$I$127, MATCH(D995, Archetypes!$A$2:$A$127, 0))*INDEX(Unit_Grades!$C$2:$C$7, MATCH(F995, Unit_Grades!$A$2:$A$7, 0)),1)</f>
        <v>23.1</v>
      </c>
      <c r="M995" s="6" t="n">
        <f aca="false">ROUND(INDEX(Archetypes!$J$2:$J$127, MATCH(D995, Archetypes!$A$2:$A$127, 0))*INDEX(Unit_Grades!$D$2:$D$7, MATCH(F995, Unit_Grades!$A$2:$A$7, 0)),1)</f>
        <v>17.8</v>
      </c>
      <c r="N995" s="6" t="n">
        <f aca="false">ROUND(M995/24,2)</f>
        <v>0.74</v>
      </c>
    </row>
    <row r="996" customFormat="false" ht="15" hidden="false" customHeight="true" outlineLevel="0" collapsed="false">
      <c r="A996" s="6" t="n">
        <v>4</v>
      </c>
      <c r="B996" s="6" t="s">
        <v>2508</v>
      </c>
      <c r="C996" s="6" t="s">
        <v>1377</v>
      </c>
      <c r="D996" s="6" t="str">
        <f aca="false">A996&amp;"|"&amp;C996</f>
        <v>4|MG Team</v>
      </c>
      <c r="E996" s="6" t="s">
        <v>1556</v>
      </c>
      <c r="F996" s="6" t="s">
        <v>1546</v>
      </c>
      <c r="G996" s="6" t="str">
        <f aca="false">INDEX(Archetypes!$D$2:$D$127, MATCH(D996, Archetypes!$A$2:$A$127, 0))</f>
        <v>Anti-Infantry</v>
      </c>
      <c r="H996" s="6" t="n">
        <f aca="false">ROUND(INDEX(Archetypes!$E$2:$E$127, MATCH(D996, Archetypes!$A$2:$A$127, 0))*INDEX(Unit_Grades!$B$2:$B$7, MATCH(F996, Unit_Grades!$A$2:$A$7, 0))*INDEX(Unit_Paths!$B$2:$B$4, MATCH(E996, Unit_Paths!$A$2:$A$4, 0)),1)</f>
        <v>304</v>
      </c>
      <c r="I996" s="6" t="n">
        <f aca="false">ROUND(INDEX(Archetypes!$F$2:$F$127, MATCH(D996, Archetypes!$A$2:$A$127, 0))*INDEX(Unit_Grades!$B$2:$B$7, MATCH(F996, Unit_Grades!$A$2:$A$7, 0))*INDEX(Unit_Paths!$C$2:$C$4, MATCH(E996, Unit_Paths!$A$2:$A$4, 0)),1)</f>
        <v>128</v>
      </c>
      <c r="J996" s="6" t="n">
        <f aca="false">ROUND(INDEX(Archetypes!$G$2:$G$127, MATCH(D996, Archetypes!$A$2:$A$127, 0))*INDEX(Unit_Grades!$B$2:$B$7, MATCH(F996, Unit_Grades!$A$2:$A$7, 0))*INDEX(Unit_Paths!$D$2:$D$4, MATCH(E996, Unit_Paths!$A$2:$A$4, 0)),0)</f>
        <v>448</v>
      </c>
      <c r="K996" s="6" t="n">
        <f aca="false">ROUND(INDEX(Archetypes!$H$2:$H$127, MATCH(D996, Archetypes!$A$2:$A$127, 0))*INDEX(Unit_Paths!$E$2:$E$4, MATCH(E996, Unit_Paths!$A$2:$A$4, 0)),1)</f>
        <v>12</v>
      </c>
      <c r="L996" s="6" t="n">
        <f aca="false">ROUND(INDEX(Archetypes!$I$2:$I$127, MATCH(D996, Archetypes!$A$2:$A$127, 0))*INDEX(Unit_Grades!$C$2:$C$7, MATCH(F996, Unit_Grades!$A$2:$A$7, 0)),1)</f>
        <v>30.8</v>
      </c>
      <c r="M996" s="6" t="n">
        <f aca="false">ROUND(INDEX(Archetypes!$J$2:$J$127, MATCH(D996, Archetypes!$A$2:$A$127, 0))*INDEX(Unit_Grades!$D$2:$D$7, MATCH(F996, Unit_Grades!$A$2:$A$7, 0)),1)</f>
        <v>31.2</v>
      </c>
      <c r="N996" s="6" t="n">
        <f aca="false">ROUND(M996/24,2)</f>
        <v>1.3</v>
      </c>
    </row>
    <row r="997" customFormat="false" ht="15" hidden="false" customHeight="true" outlineLevel="0" collapsed="false">
      <c r="A997" s="6" t="n">
        <v>4</v>
      </c>
      <c r="B997" s="6" t="s">
        <v>2509</v>
      </c>
      <c r="C997" s="6" t="s">
        <v>1377</v>
      </c>
      <c r="D997" s="6" t="str">
        <f aca="false">A997&amp;"|"&amp;C997</f>
        <v>4|MG Team</v>
      </c>
      <c r="E997" s="6" t="s">
        <v>1556</v>
      </c>
      <c r="F997" s="6" t="s">
        <v>1548</v>
      </c>
      <c r="G997" s="6" t="str">
        <f aca="false">INDEX(Archetypes!$D$2:$D$127, MATCH(D997, Archetypes!$A$2:$A$127, 0))</f>
        <v>Anti-Infantry</v>
      </c>
      <c r="H997" s="6" t="n">
        <f aca="false">ROUND(INDEX(Archetypes!$E$2:$E$127, MATCH(D997, Archetypes!$A$2:$A$127, 0))*INDEX(Unit_Grades!$B$2:$B$7, MATCH(F997, Unit_Grades!$A$2:$A$7, 0))*INDEX(Unit_Paths!$B$2:$B$4, MATCH(E997, Unit_Paths!$A$2:$A$4, 0)),1)</f>
        <v>399</v>
      </c>
      <c r="I997" s="6" t="n">
        <f aca="false">ROUND(INDEX(Archetypes!$F$2:$F$127, MATCH(D997, Archetypes!$A$2:$A$127, 0))*INDEX(Unit_Grades!$B$2:$B$7, MATCH(F997, Unit_Grades!$A$2:$A$7, 0))*INDEX(Unit_Paths!$C$2:$C$4, MATCH(E997, Unit_Paths!$A$2:$A$4, 0)),1)</f>
        <v>168</v>
      </c>
      <c r="J997" s="6" t="n">
        <f aca="false">ROUND(INDEX(Archetypes!$G$2:$G$127, MATCH(D997, Archetypes!$A$2:$A$127, 0))*INDEX(Unit_Grades!$B$2:$B$7, MATCH(F997, Unit_Grades!$A$2:$A$7, 0))*INDEX(Unit_Paths!$D$2:$D$4, MATCH(E997, Unit_Paths!$A$2:$A$4, 0)),0)</f>
        <v>588</v>
      </c>
      <c r="K997" s="6" t="n">
        <f aca="false">ROUND(INDEX(Archetypes!$H$2:$H$127, MATCH(D997, Archetypes!$A$2:$A$127, 0))*INDEX(Unit_Paths!$E$2:$E$4, MATCH(E997, Unit_Paths!$A$2:$A$4, 0)),1)</f>
        <v>12</v>
      </c>
      <c r="L997" s="6" t="n">
        <f aca="false">ROUND(INDEX(Archetypes!$I$2:$I$127, MATCH(D997, Archetypes!$A$2:$A$127, 0))*INDEX(Unit_Grades!$C$2:$C$7, MATCH(F997, Unit_Grades!$A$2:$A$7, 0)),1)</f>
        <v>40.7</v>
      </c>
      <c r="M997" s="6" t="n">
        <f aca="false">ROUND(INDEX(Archetypes!$J$2:$J$127, MATCH(D997, Archetypes!$A$2:$A$127, 0))*INDEX(Unit_Grades!$D$2:$D$7, MATCH(F997, Unit_Grades!$A$2:$A$7, 0)),1)</f>
        <v>53.5</v>
      </c>
      <c r="N997" s="6" t="n">
        <f aca="false">ROUND(M997/24,2)</f>
        <v>2.23</v>
      </c>
    </row>
    <row r="998" customFormat="false" ht="15" hidden="false" customHeight="true" outlineLevel="0" collapsed="false">
      <c r="A998" s="6" t="n">
        <v>4</v>
      </c>
      <c r="B998" s="6" t="s">
        <v>2510</v>
      </c>
      <c r="C998" s="6" t="s">
        <v>1377</v>
      </c>
      <c r="D998" s="6" t="str">
        <f aca="false">A998&amp;"|"&amp;C998</f>
        <v>4|MG Team</v>
      </c>
      <c r="E998" s="6" t="s">
        <v>1558</v>
      </c>
      <c r="F998" s="6" t="s">
        <v>1538</v>
      </c>
      <c r="G998" s="6" t="str">
        <f aca="false">INDEX(Archetypes!$D$2:$D$127, MATCH(D998, Archetypes!$A$2:$A$127, 0))</f>
        <v>Anti-Infantry</v>
      </c>
      <c r="H998" s="6" t="n">
        <f aca="false">ROUND(INDEX(Archetypes!$E$2:$E$127, MATCH(D998, Archetypes!$A$2:$A$127, 0))*INDEX(Unit_Grades!$B$2:$B$7, MATCH(F998, Unit_Grades!$A$2:$A$7, 0))*INDEX(Unit_Paths!$B$2:$B$4, MATCH(E998, Unit_Paths!$A$2:$A$4, 0)),1)</f>
        <v>114</v>
      </c>
      <c r="I998" s="6" t="n">
        <f aca="false">ROUND(INDEX(Archetypes!$F$2:$F$127, MATCH(D998, Archetypes!$A$2:$A$127, 0))*INDEX(Unit_Grades!$B$2:$B$7, MATCH(F998, Unit_Grades!$A$2:$A$7, 0))*INDEX(Unit_Paths!$C$2:$C$4, MATCH(E998, Unit_Paths!$A$2:$A$4, 0)),1)</f>
        <v>34</v>
      </c>
      <c r="J998" s="6" t="n">
        <f aca="false">ROUND(INDEX(Archetypes!$G$2:$G$127, MATCH(D998, Archetypes!$A$2:$A$127, 0))*INDEX(Unit_Grades!$B$2:$B$7, MATCH(F998, Unit_Grades!$A$2:$A$7, 0))*INDEX(Unit_Paths!$D$2:$D$4, MATCH(E998, Unit_Paths!$A$2:$A$4, 0)),0)</f>
        <v>133</v>
      </c>
      <c r="K998" s="6" t="n">
        <f aca="false">ROUND(INDEX(Archetypes!$H$2:$H$127, MATCH(D998, Archetypes!$A$2:$A$127, 0))*INDEX(Unit_Paths!$E$2:$E$4, MATCH(E998, Unit_Paths!$A$2:$A$4, 0)),1)</f>
        <v>12.6</v>
      </c>
      <c r="L998" s="6" t="n">
        <f aca="false">ROUND(INDEX(Archetypes!$I$2:$I$127, MATCH(D998, Archetypes!$A$2:$A$127, 0))*INDEX(Unit_Grades!$C$2:$C$7, MATCH(F998, Unit_Grades!$A$2:$A$7, 0)),1)</f>
        <v>11</v>
      </c>
      <c r="M998" s="6" t="n">
        <f aca="false">ROUND(INDEX(Archetypes!$J$2:$J$127, MATCH(D998, Archetypes!$A$2:$A$127, 0))*INDEX(Unit_Grades!$D$2:$D$7, MATCH(F998, Unit_Grades!$A$2:$A$7, 0)),1)</f>
        <v>4.5</v>
      </c>
      <c r="N998" s="6" t="n">
        <f aca="false">ROUND(M998/24,2)</f>
        <v>0.19</v>
      </c>
    </row>
    <row r="999" customFormat="false" ht="15" hidden="false" customHeight="true" outlineLevel="0" collapsed="false">
      <c r="A999" s="6" t="n">
        <v>4</v>
      </c>
      <c r="B999" s="6" t="s">
        <v>2511</v>
      </c>
      <c r="C999" s="6" t="s">
        <v>1377</v>
      </c>
      <c r="D999" s="6" t="str">
        <f aca="false">A999&amp;"|"&amp;C999</f>
        <v>4|MG Team</v>
      </c>
      <c r="E999" s="6" t="s">
        <v>1558</v>
      </c>
      <c r="F999" s="6" t="s">
        <v>1540</v>
      </c>
      <c r="G999" s="6" t="str">
        <f aca="false">INDEX(Archetypes!$D$2:$D$127, MATCH(D999, Archetypes!$A$2:$A$127, 0))</f>
        <v>Anti-Infantry</v>
      </c>
      <c r="H999" s="6" t="n">
        <f aca="false">ROUND(INDEX(Archetypes!$E$2:$E$127, MATCH(D999, Archetypes!$A$2:$A$127, 0))*INDEX(Unit_Grades!$B$2:$B$7, MATCH(F999, Unit_Grades!$A$2:$A$7, 0))*INDEX(Unit_Paths!$B$2:$B$4, MATCH(E999, Unit_Paths!$A$2:$A$4, 0)),1)</f>
        <v>153.9</v>
      </c>
      <c r="I999" s="6" t="n">
        <f aca="false">ROUND(INDEX(Archetypes!$F$2:$F$127, MATCH(D999, Archetypes!$A$2:$A$127, 0))*INDEX(Unit_Grades!$B$2:$B$7, MATCH(F999, Unit_Grades!$A$2:$A$7, 0))*INDEX(Unit_Paths!$C$2:$C$4, MATCH(E999, Unit_Paths!$A$2:$A$4, 0)),1)</f>
        <v>45.9</v>
      </c>
      <c r="J999" s="6" t="n">
        <f aca="false">ROUND(INDEX(Archetypes!$G$2:$G$127, MATCH(D999, Archetypes!$A$2:$A$127, 0))*INDEX(Unit_Grades!$B$2:$B$7, MATCH(F999, Unit_Grades!$A$2:$A$7, 0))*INDEX(Unit_Paths!$D$2:$D$4, MATCH(E999, Unit_Paths!$A$2:$A$4, 0)),0)</f>
        <v>180</v>
      </c>
      <c r="K999" s="6" t="n">
        <f aca="false">ROUND(INDEX(Archetypes!$H$2:$H$127, MATCH(D999, Archetypes!$A$2:$A$127, 0))*INDEX(Unit_Paths!$E$2:$E$4, MATCH(E999, Unit_Paths!$A$2:$A$4, 0)),1)</f>
        <v>12.6</v>
      </c>
      <c r="L999" s="6" t="n">
        <f aca="false">ROUND(INDEX(Archetypes!$I$2:$I$127, MATCH(D999, Archetypes!$A$2:$A$127, 0))*INDEX(Unit_Grades!$C$2:$C$7, MATCH(F999, Unit_Grades!$A$2:$A$7, 0)),1)</f>
        <v>13.8</v>
      </c>
      <c r="M999" s="6" t="n">
        <f aca="false">ROUND(INDEX(Archetypes!$J$2:$J$127, MATCH(D999, Archetypes!$A$2:$A$127, 0))*INDEX(Unit_Grades!$D$2:$D$7, MATCH(F999, Unit_Grades!$A$2:$A$7, 0)),1)</f>
        <v>6.7</v>
      </c>
      <c r="N999" s="6" t="n">
        <f aca="false">ROUND(M999/24,2)</f>
        <v>0.28</v>
      </c>
    </row>
    <row r="1000" customFormat="false" ht="15" hidden="false" customHeight="true" outlineLevel="0" collapsed="false">
      <c r="A1000" s="6" t="n">
        <v>4</v>
      </c>
      <c r="B1000" s="6" t="s">
        <v>2512</v>
      </c>
      <c r="C1000" s="6" t="s">
        <v>1377</v>
      </c>
      <c r="D1000" s="6" t="str">
        <f aca="false">A1000&amp;"|"&amp;C1000</f>
        <v>4|MG Team</v>
      </c>
      <c r="E1000" s="6" t="s">
        <v>1558</v>
      </c>
      <c r="F1000" s="6" t="s">
        <v>1542</v>
      </c>
      <c r="G1000" s="6" t="str">
        <f aca="false">INDEX(Archetypes!$D$2:$D$127, MATCH(D1000, Archetypes!$A$2:$A$127, 0))</f>
        <v>Anti-Infantry</v>
      </c>
      <c r="H1000" s="6" t="n">
        <f aca="false">ROUND(INDEX(Archetypes!$E$2:$E$127, MATCH(D1000, Archetypes!$A$2:$A$127, 0))*INDEX(Unit_Grades!$B$2:$B$7, MATCH(F1000, Unit_Grades!$A$2:$A$7, 0))*INDEX(Unit_Paths!$B$2:$B$4, MATCH(E1000, Unit_Paths!$A$2:$A$4, 0)),1)</f>
        <v>205.2</v>
      </c>
      <c r="I1000" s="6" t="n">
        <f aca="false">ROUND(INDEX(Archetypes!$F$2:$F$127, MATCH(D1000, Archetypes!$A$2:$A$127, 0))*INDEX(Unit_Grades!$B$2:$B$7, MATCH(F1000, Unit_Grades!$A$2:$A$7, 0))*INDEX(Unit_Paths!$C$2:$C$4, MATCH(E1000, Unit_Paths!$A$2:$A$4, 0)),1)</f>
        <v>61.2</v>
      </c>
      <c r="J1000" s="6" t="n">
        <f aca="false">ROUND(INDEX(Archetypes!$G$2:$G$127, MATCH(D1000, Archetypes!$A$2:$A$127, 0))*INDEX(Unit_Grades!$B$2:$B$7, MATCH(F1000, Unit_Grades!$A$2:$A$7, 0))*INDEX(Unit_Paths!$D$2:$D$4, MATCH(E1000, Unit_Paths!$A$2:$A$4, 0)),0)</f>
        <v>239</v>
      </c>
      <c r="K1000" s="6" t="n">
        <f aca="false">ROUND(INDEX(Archetypes!$H$2:$H$127, MATCH(D1000, Archetypes!$A$2:$A$127, 0))*INDEX(Unit_Paths!$E$2:$E$4, MATCH(E1000, Unit_Paths!$A$2:$A$4, 0)),1)</f>
        <v>12.6</v>
      </c>
      <c r="L1000" s="6" t="n">
        <f aca="false">ROUND(INDEX(Archetypes!$I$2:$I$127, MATCH(D1000, Archetypes!$A$2:$A$127, 0))*INDEX(Unit_Grades!$C$2:$C$7, MATCH(F1000, Unit_Grades!$A$2:$A$7, 0)),1)</f>
        <v>17.6</v>
      </c>
      <c r="M1000" s="6" t="n">
        <f aca="false">ROUND(INDEX(Archetypes!$J$2:$J$127, MATCH(D1000, Archetypes!$A$2:$A$127, 0))*INDEX(Unit_Grades!$D$2:$D$7, MATCH(F1000, Unit_Grades!$A$2:$A$7, 0)),1)</f>
        <v>11.2</v>
      </c>
      <c r="N1000" s="6" t="n">
        <f aca="false">ROUND(M1000/24,2)</f>
        <v>0.47</v>
      </c>
    </row>
    <row r="1001" customFormat="false" ht="15" hidden="false" customHeight="true" outlineLevel="0" collapsed="false">
      <c r="A1001" s="6" t="n">
        <v>4</v>
      </c>
      <c r="B1001" s="6" t="s">
        <v>2513</v>
      </c>
      <c r="C1001" s="6" t="s">
        <v>1377</v>
      </c>
      <c r="D1001" s="6" t="str">
        <f aca="false">A1001&amp;"|"&amp;C1001</f>
        <v>4|MG Team</v>
      </c>
      <c r="E1001" s="6" t="s">
        <v>1558</v>
      </c>
      <c r="F1001" s="6" t="s">
        <v>1544</v>
      </c>
      <c r="G1001" s="6" t="str">
        <f aca="false">INDEX(Archetypes!$D$2:$D$127, MATCH(D1001, Archetypes!$A$2:$A$127, 0))</f>
        <v>Anti-Infantry</v>
      </c>
      <c r="H1001" s="6" t="n">
        <f aca="false">ROUND(INDEX(Archetypes!$E$2:$E$127, MATCH(D1001, Archetypes!$A$2:$A$127, 0))*INDEX(Unit_Grades!$B$2:$B$7, MATCH(F1001, Unit_Grades!$A$2:$A$7, 0))*INDEX(Unit_Paths!$B$2:$B$4, MATCH(E1001, Unit_Paths!$A$2:$A$4, 0)),1)</f>
        <v>273.6</v>
      </c>
      <c r="I1001" s="6" t="n">
        <f aca="false">ROUND(INDEX(Archetypes!$F$2:$F$127, MATCH(D1001, Archetypes!$A$2:$A$127, 0))*INDEX(Unit_Grades!$B$2:$B$7, MATCH(F1001, Unit_Grades!$A$2:$A$7, 0))*INDEX(Unit_Paths!$C$2:$C$4, MATCH(E1001, Unit_Paths!$A$2:$A$4, 0)),1)</f>
        <v>81.6</v>
      </c>
      <c r="J1001" s="6" t="n">
        <f aca="false">ROUND(INDEX(Archetypes!$G$2:$G$127, MATCH(D1001, Archetypes!$A$2:$A$127, 0))*INDEX(Unit_Grades!$B$2:$B$7, MATCH(F1001, Unit_Grades!$A$2:$A$7, 0))*INDEX(Unit_Paths!$D$2:$D$4, MATCH(E1001, Unit_Paths!$A$2:$A$4, 0)),0)</f>
        <v>319</v>
      </c>
      <c r="K1001" s="6" t="n">
        <f aca="false">ROUND(INDEX(Archetypes!$H$2:$H$127, MATCH(D1001, Archetypes!$A$2:$A$127, 0))*INDEX(Unit_Paths!$E$2:$E$4, MATCH(E1001, Unit_Paths!$A$2:$A$4, 0)),1)</f>
        <v>12.6</v>
      </c>
      <c r="L1001" s="6" t="n">
        <f aca="false">ROUND(INDEX(Archetypes!$I$2:$I$127, MATCH(D1001, Archetypes!$A$2:$A$127, 0))*INDEX(Unit_Grades!$C$2:$C$7, MATCH(F1001, Unit_Grades!$A$2:$A$7, 0)),1)</f>
        <v>23.1</v>
      </c>
      <c r="M1001" s="6" t="n">
        <f aca="false">ROUND(INDEX(Archetypes!$J$2:$J$127, MATCH(D1001, Archetypes!$A$2:$A$127, 0))*INDEX(Unit_Grades!$D$2:$D$7, MATCH(F1001, Unit_Grades!$A$2:$A$7, 0)),1)</f>
        <v>17.8</v>
      </c>
      <c r="N1001" s="6" t="n">
        <f aca="false">ROUND(M1001/24,2)</f>
        <v>0.74</v>
      </c>
    </row>
    <row r="1002" customFormat="false" ht="15" hidden="false" customHeight="true" outlineLevel="0" collapsed="false">
      <c r="A1002" s="6" t="n">
        <v>4</v>
      </c>
      <c r="B1002" s="6" t="s">
        <v>2514</v>
      </c>
      <c r="C1002" s="6" t="s">
        <v>1377</v>
      </c>
      <c r="D1002" s="6" t="str">
        <f aca="false">A1002&amp;"|"&amp;C1002</f>
        <v>4|MG Team</v>
      </c>
      <c r="E1002" s="6" t="s">
        <v>1558</v>
      </c>
      <c r="F1002" s="6" t="s">
        <v>1546</v>
      </c>
      <c r="G1002" s="6" t="str">
        <f aca="false">INDEX(Archetypes!$D$2:$D$127, MATCH(D1002, Archetypes!$A$2:$A$127, 0))</f>
        <v>Anti-Infantry</v>
      </c>
      <c r="H1002" s="6" t="n">
        <f aca="false">ROUND(INDEX(Archetypes!$E$2:$E$127, MATCH(D1002, Archetypes!$A$2:$A$127, 0))*INDEX(Unit_Grades!$B$2:$B$7, MATCH(F1002, Unit_Grades!$A$2:$A$7, 0))*INDEX(Unit_Paths!$B$2:$B$4, MATCH(E1002, Unit_Paths!$A$2:$A$4, 0)),1)</f>
        <v>364.8</v>
      </c>
      <c r="I1002" s="6" t="n">
        <f aca="false">ROUND(INDEX(Archetypes!$F$2:$F$127, MATCH(D1002, Archetypes!$A$2:$A$127, 0))*INDEX(Unit_Grades!$B$2:$B$7, MATCH(F1002, Unit_Grades!$A$2:$A$7, 0))*INDEX(Unit_Paths!$C$2:$C$4, MATCH(E1002, Unit_Paths!$A$2:$A$4, 0)),1)</f>
        <v>108.8</v>
      </c>
      <c r="J1002" s="6" t="n">
        <f aca="false">ROUND(INDEX(Archetypes!$G$2:$G$127, MATCH(D1002, Archetypes!$A$2:$A$127, 0))*INDEX(Unit_Grades!$B$2:$B$7, MATCH(F1002, Unit_Grades!$A$2:$A$7, 0))*INDEX(Unit_Paths!$D$2:$D$4, MATCH(E1002, Unit_Paths!$A$2:$A$4, 0)),0)</f>
        <v>426</v>
      </c>
      <c r="K1002" s="6" t="n">
        <f aca="false">ROUND(INDEX(Archetypes!$H$2:$H$127, MATCH(D1002, Archetypes!$A$2:$A$127, 0))*INDEX(Unit_Paths!$E$2:$E$4, MATCH(E1002, Unit_Paths!$A$2:$A$4, 0)),1)</f>
        <v>12.6</v>
      </c>
      <c r="L1002" s="6" t="n">
        <f aca="false">ROUND(INDEX(Archetypes!$I$2:$I$127, MATCH(D1002, Archetypes!$A$2:$A$127, 0))*INDEX(Unit_Grades!$C$2:$C$7, MATCH(F1002, Unit_Grades!$A$2:$A$7, 0)),1)</f>
        <v>30.8</v>
      </c>
      <c r="M1002" s="6" t="n">
        <f aca="false">ROUND(INDEX(Archetypes!$J$2:$J$127, MATCH(D1002, Archetypes!$A$2:$A$127, 0))*INDEX(Unit_Grades!$D$2:$D$7, MATCH(F1002, Unit_Grades!$A$2:$A$7, 0)),1)</f>
        <v>31.2</v>
      </c>
      <c r="N1002" s="6" t="n">
        <f aca="false">ROUND(M1002/24,2)</f>
        <v>1.3</v>
      </c>
    </row>
    <row r="1003" customFormat="false" ht="15" hidden="false" customHeight="true" outlineLevel="0" collapsed="false">
      <c r="A1003" s="6" t="n">
        <v>4</v>
      </c>
      <c r="B1003" s="6" t="s">
        <v>2515</v>
      </c>
      <c r="C1003" s="6" t="s">
        <v>1377</v>
      </c>
      <c r="D1003" s="6" t="str">
        <f aca="false">A1003&amp;"|"&amp;C1003</f>
        <v>4|MG Team</v>
      </c>
      <c r="E1003" s="6" t="s">
        <v>1558</v>
      </c>
      <c r="F1003" s="6" t="s">
        <v>1548</v>
      </c>
      <c r="G1003" s="6" t="str">
        <f aca="false">INDEX(Archetypes!$D$2:$D$127, MATCH(D1003, Archetypes!$A$2:$A$127, 0))</f>
        <v>Anti-Infantry</v>
      </c>
      <c r="H1003" s="6" t="n">
        <f aca="false">ROUND(INDEX(Archetypes!$E$2:$E$127, MATCH(D1003, Archetypes!$A$2:$A$127, 0))*INDEX(Unit_Grades!$B$2:$B$7, MATCH(F1003, Unit_Grades!$A$2:$A$7, 0))*INDEX(Unit_Paths!$B$2:$B$4, MATCH(E1003, Unit_Paths!$A$2:$A$4, 0)),1)</f>
        <v>478.8</v>
      </c>
      <c r="I1003" s="6" t="n">
        <f aca="false">ROUND(INDEX(Archetypes!$F$2:$F$127, MATCH(D1003, Archetypes!$A$2:$A$127, 0))*INDEX(Unit_Grades!$B$2:$B$7, MATCH(F1003, Unit_Grades!$A$2:$A$7, 0))*INDEX(Unit_Paths!$C$2:$C$4, MATCH(E1003, Unit_Paths!$A$2:$A$4, 0)),1)</f>
        <v>142.8</v>
      </c>
      <c r="J1003" s="6" t="n">
        <f aca="false">ROUND(INDEX(Archetypes!$G$2:$G$127, MATCH(D1003, Archetypes!$A$2:$A$127, 0))*INDEX(Unit_Grades!$B$2:$B$7, MATCH(F1003, Unit_Grades!$A$2:$A$7, 0))*INDEX(Unit_Paths!$D$2:$D$4, MATCH(E1003, Unit_Paths!$A$2:$A$4, 0)),0)</f>
        <v>559</v>
      </c>
      <c r="K1003" s="6" t="n">
        <f aca="false">ROUND(INDEX(Archetypes!$H$2:$H$127, MATCH(D1003, Archetypes!$A$2:$A$127, 0))*INDEX(Unit_Paths!$E$2:$E$4, MATCH(E1003, Unit_Paths!$A$2:$A$4, 0)),1)</f>
        <v>12.6</v>
      </c>
      <c r="L1003" s="6" t="n">
        <f aca="false">ROUND(INDEX(Archetypes!$I$2:$I$127, MATCH(D1003, Archetypes!$A$2:$A$127, 0))*INDEX(Unit_Grades!$C$2:$C$7, MATCH(F1003, Unit_Grades!$A$2:$A$7, 0)),1)</f>
        <v>40.7</v>
      </c>
      <c r="M1003" s="6" t="n">
        <f aca="false">ROUND(INDEX(Archetypes!$J$2:$J$127, MATCH(D1003, Archetypes!$A$2:$A$127, 0))*INDEX(Unit_Grades!$D$2:$D$7, MATCH(F1003, Unit_Grades!$A$2:$A$7, 0)),1)</f>
        <v>53.5</v>
      </c>
      <c r="N1003" s="6" t="n">
        <f aca="false">ROUND(M1003/24,2)</f>
        <v>2.23</v>
      </c>
    </row>
    <row r="1004" customFormat="false" ht="15" hidden="false" customHeight="true" outlineLevel="0" collapsed="false">
      <c r="A1004" s="6" t="n">
        <v>4</v>
      </c>
      <c r="B1004" s="6" t="s">
        <v>2516</v>
      </c>
      <c r="C1004" s="6" t="s">
        <v>1377</v>
      </c>
      <c r="D1004" s="6" t="str">
        <f aca="false">A1004&amp;"|"&amp;C1004</f>
        <v>4|MG Team</v>
      </c>
      <c r="E1004" s="6" t="s">
        <v>1560</v>
      </c>
      <c r="F1004" s="6" t="s">
        <v>1538</v>
      </c>
      <c r="G1004" s="6" t="str">
        <f aca="false">INDEX(Archetypes!$D$2:$D$127, MATCH(D1004, Archetypes!$A$2:$A$127, 0))</f>
        <v>Anti-Infantry</v>
      </c>
      <c r="H1004" s="6" t="n">
        <f aca="false">ROUND(INDEX(Archetypes!$E$2:$E$127, MATCH(D1004, Archetypes!$A$2:$A$127, 0))*INDEX(Unit_Grades!$B$2:$B$7, MATCH(F1004, Unit_Grades!$A$2:$A$7, 0))*INDEX(Unit_Paths!$B$2:$B$4, MATCH(E1004, Unit_Paths!$A$2:$A$4, 0)),1)</f>
        <v>80.8</v>
      </c>
      <c r="I1004" s="6" t="n">
        <f aca="false">ROUND(INDEX(Archetypes!$F$2:$F$127, MATCH(D1004, Archetypes!$A$2:$A$127, 0))*INDEX(Unit_Grades!$B$2:$B$7, MATCH(F1004, Unit_Grades!$A$2:$A$7, 0))*INDEX(Unit_Paths!$C$2:$C$4, MATCH(E1004, Unit_Paths!$A$2:$A$4, 0)),1)</f>
        <v>50</v>
      </c>
      <c r="J1004" s="6" t="n">
        <f aca="false">ROUND(INDEX(Archetypes!$G$2:$G$127, MATCH(D1004, Archetypes!$A$2:$A$127, 0))*INDEX(Unit_Grades!$B$2:$B$7, MATCH(F1004, Unit_Grades!$A$2:$A$7, 0))*INDEX(Unit_Paths!$D$2:$D$4, MATCH(E1004, Unit_Paths!$A$2:$A$4, 0)),0)</f>
        <v>161</v>
      </c>
      <c r="K1004" s="6" t="n">
        <f aca="false">ROUND(INDEX(Archetypes!$H$2:$H$127, MATCH(D1004, Archetypes!$A$2:$A$127, 0))*INDEX(Unit_Paths!$E$2:$E$4, MATCH(E1004, Unit_Paths!$A$2:$A$4, 0)),1)</f>
        <v>11</v>
      </c>
      <c r="L1004" s="6" t="n">
        <f aca="false">ROUND(INDEX(Archetypes!$I$2:$I$127, MATCH(D1004, Archetypes!$A$2:$A$127, 0))*INDEX(Unit_Grades!$C$2:$C$7, MATCH(F1004, Unit_Grades!$A$2:$A$7, 0)),1)</f>
        <v>11</v>
      </c>
      <c r="M1004" s="6" t="n">
        <f aca="false">ROUND(INDEX(Archetypes!$J$2:$J$127, MATCH(D1004, Archetypes!$A$2:$A$127, 0))*INDEX(Unit_Grades!$D$2:$D$7, MATCH(F1004, Unit_Grades!$A$2:$A$7, 0)),1)</f>
        <v>4.5</v>
      </c>
      <c r="N1004" s="6" t="n">
        <f aca="false">ROUND(M1004/24,2)</f>
        <v>0.19</v>
      </c>
    </row>
    <row r="1005" customFormat="false" ht="15" hidden="false" customHeight="true" outlineLevel="0" collapsed="false">
      <c r="A1005" s="6" t="n">
        <v>4</v>
      </c>
      <c r="B1005" s="6" t="s">
        <v>2517</v>
      </c>
      <c r="C1005" s="6" t="s">
        <v>1377</v>
      </c>
      <c r="D1005" s="6" t="str">
        <f aca="false">A1005&amp;"|"&amp;C1005</f>
        <v>4|MG Team</v>
      </c>
      <c r="E1005" s="6" t="s">
        <v>1560</v>
      </c>
      <c r="F1005" s="6" t="s">
        <v>1540</v>
      </c>
      <c r="G1005" s="6" t="str">
        <f aca="false">INDEX(Archetypes!$D$2:$D$127, MATCH(D1005, Archetypes!$A$2:$A$127, 0))</f>
        <v>Anti-Infantry</v>
      </c>
      <c r="H1005" s="6" t="n">
        <f aca="false">ROUND(INDEX(Archetypes!$E$2:$E$127, MATCH(D1005, Archetypes!$A$2:$A$127, 0))*INDEX(Unit_Grades!$B$2:$B$7, MATCH(F1005, Unit_Grades!$A$2:$A$7, 0))*INDEX(Unit_Paths!$B$2:$B$4, MATCH(E1005, Unit_Paths!$A$2:$A$4, 0)),1)</f>
        <v>109</v>
      </c>
      <c r="I1005" s="6" t="n">
        <f aca="false">ROUND(INDEX(Archetypes!$F$2:$F$127, MATCH(D1005, Archetypes!$A$2:$A$127, 0))*INDEX(Unit_Grades!$B$2:$B$7, MATCH(F1005, Unit_Grades!$A$2:$A$7, 0))*INDEX(Unit_Paths!$C$2:$C$4, MATCH(E1005, Unit_Paths!$A$2:$A$4, 0)),1)</f>
        <v>67.5</v>
      </c>
      <c r="J1005" s="6" t="n">
        <f aca="false">ROUND(INDEX(Archetypes!$G$2:$G$127, MATCH(D1005, Archetypes!$A$2:$A$127, 0))*INDEX(Unit_Grades!$B$2:$B$7, MATCH(F1005, Unit_Grades!$A$2:$A$7, 0))*INDEX(Unit_Paths!$D$2:$D$4, MATCH(E1005, Unit_Paths!$A$2:$A$4, 0)),0)</f>
        <v>217</v>
      </c>
      <c r="K1005" s="6" t="n">
        <f aca="false">ROUND(INDEX(Archetypes!$H$2:$H$127, MATCH(D1005, Archetypes!$A$2:$A$127, 0))*INDEX(Unit_Paths!$E$2:$E$4, MATCH(E1005, Unit_Paths!$A$2:$A$4, 0)),1)</f>
        <v>11</v>
      </c>
      <c r="L1005" s="6" t="n">
        <f aca="false">ROUND(INDEX(Archetypes!$I$2:$I$127, MATCH(D1005, Archetypes!$A$2:$A$127, 0))*INDEX(Unit_Grades!$C$2:$C$7, MATCH(F1005, Unit_Grades!$A$2:$A$7, 0)),1)</f>
        <v>13.8</v>
      </c>
      <c r="M1005" s="6" t="n">
        <f aca="false">ROUND(INDEX(Archetypes!$J$2:$J$127, MATCH(D1005, Archetypes!$A$2:$A$127, 0))*INDEX(Unit_Grades!$D$2:$D$7, MATCH(F1005, Unit_Grades!$A$2:$A$7, 0)),1)</f>
        <v>6.7</v>
      </c>
      <c r="N1005" s="6" t="n">
        <f aca="false">ROUND(M1005/24,2)</f>
        <v>0.28</v>
      </c>
    </row>
    <row r="1006" customFormat="false" ht="15" hidden="false" customHeight="true" outlineLevel="0" collapsed="false">
      <c r="A1006" s="6" t="n">
        <v>4</v>
      </c>
      <c r="B1006" s="6" t="s">
        <v>2518</v>
      </c>
      <c r="C1006" s="6" t="s">
        <v>1377</v>
      </c>
      <c r="D1006" s="6" t="str">
        <f aca="false">A1006&amp;"|"&amp;C1006</f>
        <v>4|MG Team</v>
      </c>
      <c r="E1006" s="6" t="s">
        <v>1560</v>
      </c>
      <c r="F1006" s="6" t="s">
        <v>1542</v>
      </c>
      <c r="G1006" s="6" t="str">
        <f aca="false">INDEX(Archetypes!$D$2:$D$127, MATCH(D1006, Archetypes!$A$2:$A$127, 0))</f>
        <v>Anti-Infantry</v>
      </c>
      <c r="H1006" s="6" t="n">
        <f aca="false">ROUND(INDEX(Archetypes!$E$2:$E$127, MATCH(D1006, Archetypes!$A$2:$A$127, 0))*INDEX(Unit_Grades!$B$2:$B$7, MATCH(F1006, Unit_Grades!$A$2:$A$7, 0))*INDEX(Unit_Paths!$B$2:$B$4, MATCH(E1006, Unit_Paths!$A$2:$A$4, 0)),1)</f>
        <v>145.4</v>
      </c>
      <c r="I1006" s="6" t="n">
        <f aca="false">ROUND(INDEX(Archetypes!$F$2:$F$127, MATCH(D1006, Archetypes!$A$2:$A$127, 0))*INDEX(Unit_Grades!$B$2:$B$7, MATCH(F1006, Unit_Grades!$A$2:$A$7, 0))*INDEX(Unit_Paths!$C$2:$C$4, MATCH(E1006, Unit_Paths!$A$2:$A$4, 0)),1)</f>
        <v>90</v>
      </c>
      <c r="J1006" s="6" t="n">
        <f aca="false">ROUND(INDEX(Archetypes!$G$2:$G$127, MATCH(D1006, Archetypes!$A$2:$A$127, 0))*INDEX(Unit_Grades!$B$2:$B$7, MATCH(F1006, Unit_Grades!$A$2:$A$7, 0))*INDEX(Unit_Paths!$D$2:$D$4, MATCH(E1006, Unit_Paths!$A$2:$A$4, 0)),0)</f>
        <v>290</v>
      </c>
      <c r="K1006" s="6" t="n">
        <f aca="false">ROUND(INDEX(Archetypes!$H$2:$H$127, MATCH(D1006, Archetypes!$A$2:$A$127, 0))*INDEX(Unit_Paths!$E$2:$E$4, MATCH(E1006, Unit_Paths!$A$2:$A$4, 0)),1)</f>
        <v>11</v>
      </c>
      <c r="L1006" s="6" t="n">
        <f aca="false">ROUND(INDEX(Archetypes!$I$2:$I$127, MATCH(D1006, Archetypes!$A$2:$A$127, 0))*INDEX(Unit_Grades!$C$2:$C$7, MATCH(F1006, Unit_Grades!$A$2:$A$7, 0)),1)</f>
        <v>17.6</v>
      </c>
      <c r="M1006" s="6" t="n">
        <f aca="false">ROUND(INDEX(Archetypes!$J$2:$J$127, MATCH(D1006, Archetypes!$A$2:$A$127, 0))*INDEX(Unit_Grades!$D$2:$D$7, MATCH(F1006, Unit_Grades!$A$2:$A$7, 0)),1)</f>
        <v>11.2</v>
      </c>
      <c r="N1006" s="6" t="n">
        <f aca="false">ROUND(M1006/24,2)</f>
        <v>0.47</v>
      </c>
    </row>
    <row r="1007" customFormat="false" ht="15" hidden="false" customHeight="true" outlineLevel="0" collapsed="false">
      <c r="A1007" s="6" t="n">
        <v>4</v>
      </c>
      <c r="B1007" s="6" t="s">
        <v>2519</v>
      </c>
      <c r="C1007" s="6" t="s">
        <v>1377</v>
      </c>
      <c r="D1007" s="6" t="str">
        <f aca="false">A1007&amp;"|"&amp;C1007</f>
        <v>4|MG Team</v>
      </c>
      <c r="E1007" s="6" t="s">
        <v>1560</v>
      </c>
      <c r="F1007" s="6" t="s">
        <v>1544</v>
      </c>
      <c r="G1007" s="6" t="str">
        <f aca="false">INDEX(Archetypes!$D$2:$D$127, MATCH(D1007, Archetypes!$A$2:$A$127, 0))</f>
        <v>Anti-Infantry</v>
      </c>
      <c r="H1007" s="6" t="n">
        <f aca="false">ROUND(INDEX(Archetypes!$E$2:$E$127, MATCH(D1007, Archetypes!$A$2:$A$127, 0))*INDEX(Unit_Grades!$B$2:$B$7, MATCH(F1007, Unit_Grades!$A$2:$A$7, 0))*INDEX(Unit_Paths!$B$2:$B$4, MATCH(E1007, Unit_Paths!$A$2:$A$4, 0)),1)</f>
        <v>193.8</v>
      </c>
      <c r="I1007" s="6" t="n">
        <f aca="false">ROUND(INDEX(Archetypes!$F$2:$F$127, MATCH(D1007, Archetypes!$A$2:$A$127, 0))*INDEX(Unit_Grades!$B$2:$B$7, MATCH(F1007, Unit_Grades!$A$2:$A$7, 0))*INDEX(Unit_Paths!$C$2:$C$4, MATCH(E1007, Unit_Paths!$A$2:$A$4, 0)),1)</f>
        <v>120</v>
      </c>
      <c r="J1007" s="6" t="n">
        <f aca="false">ROUND(INDEX(Archetypes!$G$2:$G$127, MATCH(D1007, Archetypes!$A$2:$A$127, 0))*INDEX(Unit_Grades!$B$2:$B$7, MATCH(F1007, Unit_Grades!$A$2:$A$7, 0))*INDEX(Unit_Paths!$D$2:$D$4, MATCH(E1007, Unit_Paths!$A$2:$A$4, 0)),0)</f>
        <v>386</v>
      </c>
      <c r="K1007" s="6" t="n">
        <f aca="false">ROUND(INDEX(Archetypes!$H$2:$H$127, MATCH(D1007, Archetypes!$A$2:$A$127, 0))*INDEX(Unit_Paths!$E$2:$E$4, MATCH(E1007, Unit_Paths!$A$2:$A$4, 0)),1)</f>
        <v>11</v>
      </c>
      <c r="L1007" s="6" t="n">
        <f aca="false">ROUND(INDEX(Archetypes!$I$2:$I$127, MATCH(D1007, Archetypes!$A$2:$A$127, 0))*INDEX(Unit_Grades!$C$2:$C$7, MATCH(F1007, Unit_Grades!$A$2:$A$7, 0)),1)</f>
        <v>23.1</v>
      </c>
      <c r="M1007" s="6" t="n">
        <f aca="false">ROUND(INDEX(Archetypes!$J$2:$J$127, MATCH(D1007, Archetypes!$A$2:$A$127, 0))*INDEX(Unit_Grades!$D$2:$D$7, MATCH(F1007, Unit_Grades!$A$2:$A$7, 0)),1)</f>
        <v>17.8</v>
      </c>
      <c r="N1007" s="6" t="n">
        <f aca="false">ROUND(M1007/24,2)</f>
        <v>0.74</v>
      </c>
    </row>
    <row r="1008" customFormat="false" ht="15" hidden="false" customHeight="true" outlineLevel="0" collapsed="false">
      <c r="A1008" s="6" t="n">
        <v>4</v>
      </c>
      <c r="B1008" s="6" t="s">
        <v>2520</v>
      </c>
      <c r="C1008" s="6" t="s">
        <v>1377</v>
      </c>
      <c r="D1008" s="6" t="str">
        <f aca="false">A1008&amp;"|"&amp;C1008</f>
        <v>4|MG Team</v>
      </c>
      <c r="E1008" s="6" t="s">
        <v>1560</v>
      </c>
      <c r="F1008" s="6" t="s">
        <v>1546</v>
      </c>
      <c r="G1008" s="6" t="str">
        <f aca="false">INDEX(Archetypes!$D$2:$D$127, MATCH(D1008, Archetypes!$A$2:$A$127, 0))</f>
        <v>Anti-Infantry</v>
      </c>
      <c r="H1008" s="6" t="n">
        <f aca="false">ROUND(INDEX(Archetypes!$E$2:$E$127, MATCH(D1008, Archetypes!$A$2:$A$127, 0))*INDEX(Unit_Grades!$B$2:$B$7, MATCH(F1008, Unit_Grades!$A$2:$A$7, 0))*INDEX(Unit_Paths!$B$2:$B$4, MATCH(E1008, Unit_Paths!$A$2:$A$4, 0)),1)</f>
        <v>258.4</v>
      </c>
      <c r="I1008" s="6" t="n">
        <f aca="false">ROUND(INDEX(Archetypes!$F$2:$F$127, MATCH(D1008, Archetypes!$A$2:$A$127, 0))*INDEX(Unit_Grades!$B$2:$B$7, MATCH(F1008, Unit_Grades!$A$2:$A$7, 0))*INDEX(Unit_Paths!$C$2:$C$4, MATCH(E1008, Unit_Paths!$A$2:$A$4, 0)),1)</f>
        <v>160</v>
      </c>
      <c r="J1008" s="6" t="n">
        <f aca="false">ROUND(INDEX(Archetypes!$G$2:$G$127, MATCH(D1008, Archetypes!$A$2:$A$127, 0))*INDEX(Unit_Grades!$B$2:$B$7, MATCH(F1008, Unit_Grades!$A$2:$A$7, 0))*INDEX(Unit_Paths!$D$2:$D$4, MATCH(E1008, Unit_Paths!$A$2:$A$4, 0)),0)</f>
        <v>515</v>
      </c>
      <c r="K1008" s="6" t="n">
        <f aca="false">ROUND(INDEX(Archetypes!$H$2:$H$127, MATCH(D1008, Archetypes!$A$2:$A$127, 0))*INDEX(Unit_Paths!$E$2:$E$4, MATCH(E1008, Unit_Paths!$A$2:$A$4, 0)),1)</f>
        <v>11</v>
      </c>
      <c r="L1008" s="6" t="n">
        <f aca="false">ROUND(INDEX(Archetypes!$I$2:$I$127, MATCH(D1008, Archetypes!$A$2:$A$127, 0))*INDEX(Unit_Grades!$C$2:$C$7, MATCH(F1008, Unit_Grades!$A$2:$A$7, 0)),1)</f>
        <v>30.8</v>
      </c>
      <c r="M1008" s="6" t="n">
        <f aca="false">ROUND(INDEX(Archetypes!$J$2:$J$127, MATCH(D1008, Archetypes!$A$2:$A$127, 0))*INDEX(Unit_Grades!$D$2:$D$7, MATCH(F1008, Unit_Grades!$A$2:$A$7, 0)),1)</f>
        <v>31.2</v>
      </c>
      <c r="N1008" s="6" t="n">
        <f aca="false">ROUND(M1008/24,2)</f>
        <v>1.3</v>
      </c>
    </row>
    <row r="1009" customFormat="false" ht="15" hidden="false" customHeight="true" outlineLevel="0" collapsed="false">
      <c r="A1009" s="6" t="n">
        <v>4</v>
      </c>
      <c r="B1009" s="6" t="s">
        <v>2521</v>
      </c>
      <c r="C1009" s="6" t="s">
        <v>1377</v>
      </c>
      <c r="D1009" s="6" t="str">
        <f aca="false">A1009&amp;"|"&amp;C1009</f>
        <v>4|MG Team</v>
      </c>
      <c r="E1009" s="6" t="s">
        <v>1560</v>
      </c>
      <c r="F1009" s="6" t="s">
        <v>1548</v>
      </c>
      <c r="G1009" s="6" t="str">
        <f aca="false">INDEX(Archetypes!$D$2:$D$127, MATCH(D1009, Archetypes!$A$2:$A$127, 0))</f>
        <v>Anti-Infantry</v>
      </c>
      <c r="H1009" s="6" t="n">
        <f aca="false">ROUND(INDEX(Archetypes!$E$2:$E$127, MATCH(D1009, Archetypes!$A$2:$A$127, 0))*INDEX(Unit_Grades!$B$2:$B$7, MATCH(F1009, Unit_Grades!$A$2:$A$7, 0))*INDEX(Unit_Paths!$B$2:$B$4, MATCH(E1009, Unit_Paths!$A$2:$A$4, 0)),1)</f>
        <v>339.2</v>
      </c>
      <c r="I1009" s="6" t="n">
        <f aca="false">ROUND(INDEX(Archetypes!$F$2:$F$127, MATCH(D1009, Archetypes!$A$2:$A$127, 0))*INDEX(Unit_Grades!$B$2:$B$7, MATCH(F1009, Unit_Grades!$A$2:$A$7, 0))*INDEX(Unit_Paths!$C$2:$C$4, MATCH(E1009, Unit_Paths!$A$2:$A$4, 0)),1)</f>
        <v>210</v>
      </c>
      <c r="J1009" s="6" t="n">
        <f aca="false">ROUND(INDEX(Archetypes!$G$2:$G$127, MATCH(D1009, Archetypes!$A$2:$A$127, 0))*INDEX(Unit_Grades!$B$2:$B$7, MATCH(F1009, Unit_Grades!$A$2:$A$7, 0))*INDEX(Unit_Paths!$D$2:$D$4, MATCH(E1009, Unit_Paths!$A$2:$A$4, 0)),0)</f>
        <v>676</v>
      </c>
      <c r="K1009" s="6" t="n">
        <f aca="false">ROUND(INDEX(Archetypes!$H$2:$H$127, MATCH(D1009, Archetypes!$A$2:$A$127, 0))*INDEX(Unit_Paths!$E$2:$E$4, MATCH(E1009, Unit_Paths!$A$2:$A$4, 0)),1)</f>
        <v>11</v>
      </c>
      <c r="L1009" s="6" t="n">
        <f aca="false">ROUND(INDEX(Archetypes!$I$2:$I$127, MATCH(D1009, Archetypes!$A$2:$A$127, 0))*INDEX(Unit_Grades!$C$2:$C$7, MATCH(F1009, Unit_Grades!$A$2:$A$7, 0)),1)</f>
        <v>40.7</v>
      </c>
      <c r="M1009" s="6" t="n">
        <f aca="false">ROUND(INDEX(Archetypes!$J$2:$J$127, MATCH(D1009, Archetypes!$A$2:$A$127, 0))*INDEX(Unit_Grades!$D$2:$D$7, MATCH(F1009, Unit_Grades!$A$2:$A$7, 0)),1)</f>
        <v>53.5</v>
      </c>
      <c r="N1009" s="6" t="n">
        <f aca="false">ROUND(M1009/24,2)</f>
        <v>2.23</v>
      </c>
    </row>
    <row r="1010" customFormat="false" ht="15" hidden="false" customHeight="true" outlineLevel="0" collapsed="false">
      <c r="A1010" s="6" t="n">
        <v>4</v>
      </c>
      <c r="B1010" s="6" t="s">
        <v>1380</v>
      </c>
      <c r="C1010" s="6" t="s">
        <v>1380</v>
      </c>
      <c r="D1010" s="6" t="str">
        <f aca="false">A1010&amp;"|"&amp;C1010</f>
        <v>4|Assault Infantry</v>
      </c>
      <c r="E1010" s="6" t="s">
        <v>1556</v>
      </c>
      <c r="F1010" s="6" t="s">
        <v>1538</v>
      </c>
      <c r="G1010" s="6" t="str">
        <f aca="false">INDEX(Archetypes!$D$2:$D$127, MATCH(D1010, Archetypes!$A$2:$A$127, 0))</f>
        <v>Shock Infantry</v>
      </c>
      <c r="H1010" s="6" t="n">
        <f aca="false">ROUND(INDEX(Archetypes!$E$2:$E$127, MATCH(D1010, Archetypes!$A$2:$A$127, 0))*INDEX(Unit_Grades!$B$2:$B$7, MATCH(F1010, Unit_Grades!$A$2:$A$7, 0))*INDEX(Unit_Paths!$B$2:$B$4, MATCH(E1010, Unit_Paths!$A$2:$A$4, 0)),1)</f>
        <v>88</v>
      </c>
      <c r="I1010" s="6" t="n">
        <f aca="false">ROUND(INDEX(Archetypes!$F$2:$F$127, MATCH(D1010, Archetypes!$A$2:$A$127, 0))*INDEX(Unit_Grades!$B$2:$B$7, MATCH(F1010, Unit_Grades!$A$2:$A$7, 0))*INDEX(Unit_Paths!$C$2:$C$4, MATCH(E1010, Unit_Paths!$A$2:$A$4, 0)),1)</f>
        <v>46</v>
      </c>
      <c r="J1010" s="6" t="n">
        <f aca="false">ROUND(INDEX(Archetypes!$G$2:$G$127, MATCH(D1010, Archetypes!$A$2:$A$127, 0))*INDEX(Unit_Grades!$B$2:$B$7, MATCH(F1010, Unit_Grades!$A$2:$A$7, 0))*INDEX(Unit_Paths!$D$2:$D$4, MATCH(E1010, Unit_Paths!$A$2:$A$4, 0)),0)</f>
        <v>160</v>
      </c>
      <c r="K1010" s="6" t="n">
        <f aca="false">ROUND(INDEX(Archetypes!$H$2:$H$127, MATCH(D1010, Archetypes!$A$2:$A$127, 0))*INDEX(Unit_Paths!$E$2:$E$4, MATCH(E1010, Unit_Paths!$A$2:$A$4, 0)),1)</f>
        <v>17</v>
      </c>
      <c r="L1010" s="6" t="n">
        <f aca="false">ROUND(INDEX(Archetypes!$I$2:$I$127, MATCH(D1010, Archetypes!$A$2:$A$127, 0))*INDEX(Unit_Grades!$C$2:$C$7, MATCH(F1010, Unit_Grades!$A$2:$A$7, 0)),1)</f>
        <v>11</v>
      </c>
      <c r="M1010" s="6" t="n">
        <f aca="false">ROUND(INDEX(Archetypes!$J$2:$J$127, MATCH(D1010, Archetypes!$A$2:$A$127, 0))*INDEX(Unit_Grades!$D$2:$D$7, MATCH(F1010, Unit_Grades!$A$2:$A$7, 0)),1)</f>
        <v>4.5</v>
      </c>
      <c r="N1010" s="6" t="n">
        <f aca="false">ROUND(M1010/24,2)</f>
        <v>0.19</v>
      </c>
    </row>
    <row r="1011" customFormat="false" ht="15" hidden="false" customHeight="true" outlineLevel="0" collapsed="false">
      <c r="A1011" s="6" t="n">
        <v>4</v>
      </c>
      <c r="B1011" s="6" t="s">
        <v>2522</v>
      </c>
      <c r="C1011" s="6" t="s">
        <v>1380</v>
      </c>
      <c r="D1011" s="6" t="str">
        <f aca="false">A1011&amp;"|"&amp;C1011</f>
        <v>4|Assault Infantry</v>
      </c>
      <c r="E1011" s="6" t="s">
        <v>1556</v>
      </c>
      <c r="F1011" s="6" t="s">
        <v>1540</v>
      </c>
      <c r="G1011" s="6" t="str">
        <f aca="false">INDEX(Archetypes!$D$2:$D$127, MATCH(D1011, Archetypes!$A$2:$A$127, 0))</f>
        <v>Shock Infantry</v>
      </c>
      <c r="H1011" s="6" t="n">
        <f aca="false">ROUND(INDEX(Archetypes!$E$2:$E$127, MATCH(D1011, Archetypes!$A$2:$A$127, 0))*INDEX(Unit_Grades!$B$2:$B$7, MATCH(F1011, Unit_Grades!$A$2:$A$7, 0))*INDEX(Unit_Paths!$B$2:$B$4, MATCH(E1011, Unit_Paths!$A$2:$A$4, 0)),1)</f>
        <v>118.8</v>
      </c>
      <c r="I1011" s="6" t="n">
        <f aca="false">ROUND(INDEX(Archetypes!$F$2:$F$127, MATCH(D1011, Archetypes!$A$2:$A$127, 0))*INDEX(Unit_Grades!$B$2:$B$7, MATCH(F1011, Unit_Grades!$A$2:$A$7, 0))*INDEX(Unit_Paths!$C$2:$C$4, MATCH(E1011, Unit_Paths!$A$2:$A$4, 0)),1)</f>
        <v>62.1</v>
      </c>
      <c r="J1011" s="6" t="n">
        <f aca="false">ROUND(INDEX(Archetypes!$G$2:$G$127, MATCH(D1011, Archetypes!$A$2:$A$127, 0))*INDEX(Unit_Grades!$B$2:$B$7, MATCH(F1011, Unit_Grades!$A$2:$A$7, 0))*INDEX(Unit_Paths!$D$2:$D$4, MATCH(E1011, Unit_Paths!$A$2:$A$4, 0)),0)</f>
        <v>216</v>
      </c>
      <c r="K1011" s="6" t="n">
        <f aca="false">ROUND(INDEX(Archetypes!$H$2:$H$127, MATCH(D1011, Archetypes!$A$2:$A$127, 0))*INDEX(Unit_Paths!$E$2:$E$4, MATCH(E1011, Unit_Paths!$A$2:$A$4, 0)),1)</f>
        <v>17</v>
      </c>
      <c r="L1011" s="6" t="n">
        <f aca="false">ROUND(INDEX(Archetypes!$I$2:$I$127, MATCH(D1011, Archetypes!$A$2:$A$127, 0))*INDEX(Unit_Grades!$C$2:$C$7, MATCH(F1011, Unit_Grades!$A$2:$A$7, 0)),1)</f>
        <v>13.8</v>
      </c>
      <c r="M1011" s="6" t="n">
        <f aca="false">ROUND(INDEX(Archetypes!$J$2:$J$127, MATCH(D1011, Archetypes!$A$2:$A$127, 0))*INDEX(Unit_Grades!$D$2:$D$7, MATCH(F1011, Unit_Grades!$A$2:$A$7, 0)),1)</f>
        <v>6.7</v>
      </c>
      <c r="N1011" s="6" t="n">
        <f aca="false">ROUND(M1011/24,2)</f>
        <v>0.28</v>
      </c>
    </row>
    <row r="1012" customFormat="false" ht="15" hidden="false" customHeight="true" outlineLevel="0" collapsed="false">
      <c r="A1012" s="6" t="n">
        <v>4</v>
      </c>
      <c r="B1012" s="6" t="s">
        <v>2523</v>
      </c>
      <c r="C1012" s="6" t="s">
        <v>1380</v>
      </c>
      <c r="D1012" s="6" t="str">
        <f aca="false">A1012&amp;"|"&amp;C1012</f>
        <v>4|Assault Infantry</v>
      </c>
      <c r="E1012" s="6" t="s">
        <v>1556</v>
      </c>
      <c r="F1012" s="6" t="s">
        <v>1542</v>
      </c>
      <c r="G1012" s="6" t="str">
        <f aca="false">INDEX(Archetypes!$D$2:$D$127, MATCH(D1012, Archetypes!$A$2:$A$127, 0))</f>
        <v>Shock Infantry</v>
      </c>
      <c r="H1012" s="6" t="n">
        <f aca="false">ROUND(INDEX(Archetypes!$E$2:$E$127, MATCH(D1012, Archetypes!$A$2:$A$127, 0))*INDEX(Unit_Grades!$B$2:$B$7, MATCH(F1012, Unit_Grades!$A$2:$A$7, 0))*INDEX(Unit_Paths!$B$2:$B$4, MATCH(E1012, Unit_Paths!$A$2:$A$4, 0)),1)</f>
        <v>158.4</v>
      </c>
      <c r="I1012" s="6" t="n">
        <f aca="false">ROUND(INDEX(Archetypes!$F$2:$F$127, MATCH(D1012, Archetypes!$A$2:$A$127, 0))*INDEX(Unit_Grades!$B$2:$B$7, MATCH(F1012, Unit_Grades!$A$2:$A$7, 0))*INDEX(Unit_Paths!$C$2:$C$4, MATCH(E1012, Unit_Paths!$A$2:$A$4, 0)),1)</f>
        <v>82.8</v>
      </c>
      <c r="J1012" s="6" t="n">
        <f aca="false">ROUND(INDEX(Archetypes!$G$2:$G$127, MATCH(D1012, Archetypes!$A$2:$A$127, 0))*INDEX(Unit_Grades!$B$2:$B$7, MATCH(F1012, Unit_Grades!$A$2:$A$7, 0))*INDEX(Unit_Paths!$D$2:$D$4, MATCH(E1012, Unit_Paths!$A$2:$A$4, 0)),0)</f>
        <v>288</v>
      </c>
      <c r="K1012" s="6" t="n">
        <f aca="false">ROUND(INDEX(Archetypes!$H$2:$H$127, MATCH(D1012, Archetypes!$A$2:$A$127, 0))*INDEX(Unit_Paths!$E$2:$E$4, MATCH(E1012, Unit_Paths!$A$2:$A$4, 0)),1)</f>
        <v>17</v>
      </c>
      <c r="L1012" s="6" t="n">
        <f aca="false">ROUND(INDEX(Archetypes!$I$2:$I$127, MATCH(D1012, Archetypes!$A$2:$A$127, 0))*INDEX(Unit_Grades!$C$2:$C$7, MATCH(F1012, Unit_Grades!$A$2:$A$7, 0)),1)</f>
        <v>17.6</v>
      </c>
      <c r="M1012" s="6" t="n">
        <f aca="false">ROUND(INDEX(Archetypes!$J$2:$J$127, MATCH(D1012, Archetypes!$A$2:$A$127, 0))*INDEX(Unit_Grades!$D$2:$D$7, MATCH(F1012, Unit_Grades!$A$2:$A$7, 0)),1)</f>
        <v>11.2</v>
      </c>
      <c r="N1012" s="6" t="n">
        <f aca="false">ROUND(M1012/24,2)</f>
        <v>0.47</v>
      </c>
    </row>
    <row r="1013" customFormat="false" ht="15" hidden="false" customHeight="true" outlineLevel="0" collapsed="false">
      <c r="A1013" s="6" t="n">
        <v>4</v>
      </c>
      <c r="B1013" s="6" t="s">
        <v>2524</v>
      </c>
      <c r="C1013" s="6" t="s">
        <v>1380</v>
      </c>
      <c r="D1013" s="6" t="str">
        <f aca="false">A1013&amp;"|"&amp;C1013</f>
        <v>4|Assault Infantry</v>
      </c>
      <c r="E1013" s="6" t="s">
        <v>1556</v>
      </c>
      <c r="F1013" s="6" t="s">
        <v>1544</v>
      </c>
      <c r="G1013" s="6" t="str">
        <f aca="false">INDEX(Archetypes!$D$2:$D$127, MATCH(D1013, Archetypes!$A$2:$A$127, 0))</f>
        <v>Shock Infantry</v>
      </c>
      <c r="H1013" s="6" t="n">
        <f aca="false">ROUND(INDEX(Archetypes!$E$2:$E$127, MATCH(D1013, Archetypes!$A$2:$A$127, 0))*INDEX(Unit_Grades!$B$2:$B$7, MATCH(F1013, Unit_Grades!$A$2:$A$7, 0))*INDEX(Unit_Paths!$B$2:$B$4, MATCH(E1013, Unit_Paths!$A$2:$A$4, 0)),1)</f>
        <v>211.2</v>
      </c>
      <c r="I1013" s="6" t="n">
        <f aca="false">ROUND(INDEX(Archetypes!$F$2:$F$127, MATCH(D1013, Archetypes!$A$2:$A$127, 0))*INDEX(Unit_Grades!$B$2:$B$7, MATCH(F1013, Unit_Grades!$A$2:$A$7, 0))*INDEX(Unit_Paths!$C$2:$C$4, MATCH(E1013, Unit_Paths!$A$2:$A$4, 0)),1)</f>
        <v>110.4</v>
      </c>
      <c r="J1013" s="6" t="n">
        <f aca="false">ROUND(INDEX(Archetypes!$G$2:$G$127, MATCH(D1013, Archetypes!$A$2:$A$127, 0))*INDEX(Unit_Grades!$B$2:$B$7, MATCH(F1013, Unit_Grades!$A$2:$A$7, 0))*INDEX(Unit_Paths!$D$2:$D$4, MATCH(E1013, Unit_Paths!$A$2:$A$4, 0)),0)</f>
        <v>384</v>
      </c>
      <c r="K1013" s="6" t="n">
        <f aca="false">ROUND(INDEX(Archetypes!$H$2:$H$127, MATCH(D1013, Archetypes!$A$2:$A$127, 0))*INDEX(Unit_Paths!$E$2:$E$4, MATCH(E1013, Unit_Paths!$A$2:$A$4, 0)),1)</f>
        <v>17</v>
      </c>
      <c r="L1013" s="6" t="n">
        <f aca="false">ROUND(INDEX(Archetypes!$I$2:$I$127, MATCH(D1013, Archetypes!$A$2:$A$127, 0))*INDEX(Unit_Grades!$C$2:$C$7, MATCH(F1013, Unit_Grades!$A$2:$A$7, 0)),1)</f>
        <v>23.1</v>
      </c>
      <c r="M1013" s="6" t="n">
        <f aca="false">ROUND(INDEX(Archetypes!$J$2:$J$127, MATCH(D1013, Archetypes!$A$2:$A$127, 0))*INDEX(Unit_Grades!$D$2:$D$7, MATCH(F1013, Unit_Grades!$A$2:$A$7, 0)),1)</f>
        <v>17.8</v>
      </c>
      <c r="N1013" s="6" t="n">
        <f aca="false">ROUND(M1013/24,2)</f>
        <v>0.74</v>
      </c>
    </row>
    <row r="1014" customFormat="false" ht="15" hidden="false" customHeight="true" outlineLevel="0" collapsed="false">
      <c r="A1014" s="6" t="n">
        <v>4</v>
      </c>
      <c r="B1014" s="6" t="s">
        <v>2525</v>
      </c>
      <c r="C1014" s="6" t="s">
        <v>1380</v>
      </c>
      <c r="D1014" s="6" t="str">
        <f aca="false">A1014&amp;"|"&amp;C1014</f>
        <v>4|Assault Infantry</v>
      </c>
      <c r="E1014" s="6" t="s">
        <v>1556</v>
      </c>
      <c r="F1014" s="6" t="s">
        <v>1546</v>
      </c>
      <c r="G1014" s="6" t="str">
        <f aca="false">INDEX(Archetypes!$D$2:$D$127, MATCH(D1014, Archetypes!$A$2:$A$127, 0))</f>
        <v>Shock Infantry</v>
      </c>
      <c r="H1014" s="6" t="n">
        <f aca="false">ROUND(INDEX(Archetypes!$E$2:$E$127, MATCH(D1014, Archetypes!$A$2:$A$127, 0))*INDEX(Unit_Grades!$B$2:$B$7, MATCH(F1014, Unit_Grades!$A$2:$A$7, 0))*INDEX(Unit_Paths!$B$2:$B$4, MATCH(E1014, Unit_Paths!$A$2:$A$4, 0)),1)</f>
        <v>281.6</v>
      </c>
      <c r="I1014" s="6" t="n">
        <f aca="false">ROUND(INDEX(Archetypes!$F$2:$F$127, MATCH(D1014, Archetypes!$A$2:$A$127, 0))*INDEX(Unit_Grades!$B$2:$B$7, MATCH(F1014, Unit_Grades!$A$2:$A$7, 0))*INDEX(Unit_Paths!$C$2:$C$4, MATCH(E1014, Unit_Paths!$A$2:$A$4, 0)),1)</f>
        <v>147.2</v>
      </c>
      <c r="J1014" s="6" t="n">
        <f aca="false">ROUND(INDEX(Archetypes!$G$2:$G$127, MATCH(D1014, Archetypes!$A$2:$A$127, 0))*INDEX(Unit_Grades!$B$2:$B$7, MATCH(F1014, Unit_Grades!$A$2:$A$7, 0))*INDEX(Unit_Paths!$D$2:$D$4, MATCH(E1014, Unit_Paths!$A$2:$A$4, 0)),0)</f>
        <v>512</v>
      </c>
      <c r="K1014" s="6" t="n">
        <f aca="false">ROUND(INDEX(Archetypes!$H$2:$H$127, MATCH(D1014, Archetypes!$A$2:$A$127, 0))*INDEX(Unit_Paths!$E$2:$E$4, MATCH(E1014, Unit_Paths!$A$2:$A$4, 0)),1)</f>
        <v>17</v>
      </c>
      <c r="L1014" s="6" t="n">
        <f aca="false">ROUND(INDEX(Archetypes!$I$2:$I$127, MATCH(D1014, Archetypes!$A$2:$A$127, 0))*INDEX(Unit_Grades!$C$2:$C$7, MATCH(F1014, Unit_Grades!$A$2:$A$7, 0)),1)</f>
        <v>30.8</v>
      </c>
      <c r="M1014" s="6" t="n">
        <f aca="false">ROUND(INDEX(Archetypes!$J$2:$J$127, MATCH(D1014, Archetypes!$A$2:$A$127, 0))*INDEX(Unit_Grades!$D$2:$D$7, MATCH(F1014, Unit_Grades!$A$2:$A$7, 0)),1)</f>
        <v>31.2</v>
      </c>
      <c r="N1014" s="6" t="n">
        <f aca="false">ROUND(M1014/24,2)</f>
        <v>1.3</v>
      </c>
    </row>
    <row r="1015" customFormat="false" ht="15" hidden="false" customHeight="true" outlineLevel="0" collapsed="false">
      <c r="A1015" s="6" t="n">
        <v>4</v>
      </c>
      <c r="B1015" s="6" t="s">
        <v>2526</v>
      </c>
      <c r="C1015" s="6" t="s">
        <v>1380</v>
      </c>
      <c r="D1015" s="6" t="str">
        <f aca="false">A1015&amp;"|"&amp;C1015</f>
        <v>4|Assault Infantry</v>
      </c>
      <c r="E1015" s="6" t="s">
        <v>1556</v>
      </c>
      <c r="F1015" s="6" t="s">
        <v>1548</v>
      </c>
      <c r="G1015" s="6" t="str">
        <f aca="false">INDEX(Archetypes!$D$2:$D$127, MATCH(D1015, Archetypes!$A$2:$A$127, 0))</f>
        <v>Shock Infantry</v>
      </c>
      <c r="H1015" s="6" t="n">
        <f aca="false">ROUND(INDEX(Archetypes!$E$2:$E$127, MATCH(D1015, Archetypes!$A$2:$A$127, 0))*INDEX(Unit_Grades!$B$2:$B$7, MATCH(F1015, Unit_Grades!$A$2:$A$7, 0))*INDEX(Unit_Paths!$B$2:$B$4, MATCH(E1015, Unit_Paths!$A$2:$A$4, 0)),1)</f>
        <v>369.6</v>
      </c>
      <c r="I1015" s="6" t="n">
        <f aca="false">ROUND(INDEX(Archetypes!$F$2:$F$127, MATCH(D1015, Archetypes!$A$2:$A$127, 0))*INDEX(Unit_Grades!$B$2:$B$7, MATCH(F1015, Unit_Grades!$A$2:$A$7, 0))*INDEX(Unit_Paths!$C$2:$C$4, MATCH(E1015, Unit_Paths!$A$2:$A$4, 0)),1)</f>
        <v>193.2</v>
      </c>
      <c r="J1015" s="6" t="n">
        <f aca="false">ROUND(INDEX(Archetypes!$G$2:$G$127, MATCH(D1015, Archetypes!$A$2:$A$127, 0))*INDEX(Unit_Grades!$B$2:$B$7, MATCH(F1015, Unit_Grades!$A$2:$A$7, 0))*INDEX(Unit_Paths!$D$2:$D$4, MATCH(E1015, Unit_Paths!$A$2:$A$4, 0)),0)</f>
        <v>672</v>
      </c>
      <c r="K1015" s="6" t="n">
        <f aca="false">ROUND(INDEX(Archetypes!$H$2:$H$127, MATCH(D1015, Archetypes!$A$2:$A$127, 0))*INDEX(Unit_Paths!$E$2:$E$4, MATCH(E1015, Unit_Paths!$A$2:$A$4, 0)),1)</f>
        <v>17</v>
      </c>
      <c r="L1015" s="6" t="n">
        <f aca="false">ROUND(INDEX(Archetypes!$I$2:$I$127, MATCH(D1015, Archetypes!$A$2:$A$127, 0))*INDEX(Unit_Grades!$C$2:$C$7, MATCH(F1015, Unit_Grades!$A$2:$A$7, 0)),1)</f>
        <v>40.7</v>
      </c>
      <c r="M1015" s="6" t="n">
        <f aca="false">ROUND(INDEX(Archetypes!$J$2:$J$127, MATCH(D1015, Archetypes!$A$2:$A$127, 0))*INDEX(Unit_Grades!$D$2:$D$7, MATCH(F1015, Unit_Grades!$A$2:$A$7, 0)),1)</f>
        <v>53.5</v>
      </c>
      <c r="N1015" s="6" t="n">
        <f aca="false">ROUND(M1015/24,2)</f>
        <v>2.23</v>
      </c>
    </row>
    <row r="1016" customFormat="false" ht="15" hidden="false" customHeight="true" outlineLevel="0" collapsed="false">
      <c r="A1016" s="6" t="n">
        <v>4</v>
      </c>
      <c r="B1016" s="6" t="s">
        <v>2527</v>
      </c>
      <c r="C1016" s="6" t="s">
        <v>1380</v>
      </c>
      <c r="D1016" s="6" t="str">
        <f aca="false">A1016&amp;"|"&amp;C1016</f>
        <v>4|Assault Infantry</v>
      </c>
      <c r="E1016" s="6" t="s">
        <v>1558</v>
      </c>
      <c r="F1016" s="6" t="s">
        <v>1538</v>
      </c>
      <c r="G1016" s="6" t="str">
        <f aca="false">INDEX(Archetypes!$D$2:$D$127, MATCH(D1016, Archetypes!$A$2:$A$127, 0))</f>
        <v>Shock Infantry</v>
      </c>
      <c r="H1016" s="6" t="n">
        <f aca="false">ROUND(INDEX(Archetypes!$E$2:$E$127, MATCH(D1016, Archetypes!$A$2:$A$127, 0))*INDEX(Unit_Grades!$B$2:$B$7, MATCH(F1016, Unit_Grades!$A$2:$A$7, 0))*INDEX(Unit_Paths!$B$2:$B$4, MATCH(E1016, Unit_Paths!$A$2:$A$4, 0)),1)</f>
        <v>105.6</v>
      </c>
      <c r="I1016" s="6" t="n">
        <f aca="false">ROUND(INDEX(Archetypes!$F$2:$F$127, MATCH(D1016, Archetypes!$A$2:$A$127, 0))*INDEX(Unit_Grades!$B$2:$B$7, MATCH(F1016, Unit_Grades!$A$2:$A$7, 0))*INDEX(Unit_Paths!$C$2:$C$4, MATCH(E1016, Unit_Paths!$A$2:$A$4, 0)),1)</f>
        <v>39.1</v>
      </c>
      <c r="J1016" s="6" t="n">
        <f aca="false">ROUND(INDEX(Archetypes!$G$2:$G$127, MATCH(D1016, Archetypes!$A$2:$A$127, 0))*INDEX(Unit_Grades!$B$2:$B$7, MATCH(F1016, Unit_Grades!$A$2:$A$7, 0))*INDEX(Unit_Paths!$D$2:$D$4, MATCH(E1016, Unit_Paths!$A$2:$A$4, 0)),0)</f>
        <v>152</v>
      </c>
      <c r="K1016" s="6" t="n">
        <f aca="false">ROUND(INDEX(Archetypes!$H$2:$H$127, MATCH(D1016, Archetypes!$A$2:$A$127, 0))*INDEX(Unit_Paths!$E$2:$E$4, MATCH(E1016, Unit_Paths!$A$2:$A$4, 0)),1)</f>
        <v>17.9</v>
      </c>
      <c r="L1016" s="6" t="n">
        <f aca="false">ROUND(INDEX(Archetypes!$I$2:$I$127, MATCH(D1016, Archetypes!$A$2:$A$127, 0))*INDEX(Unit_Grades!$C$2:$C$7, MATCH(F1016, Unit_Grades!$A$2:$A$7, 0)),1)</f>
        <v>11</v>
      </c>
      <c r="M1016" s="6" t="n">
        <f aca="false">ROUND(INDEX(Archetypes!$J$2:$J$127, MATCH(D1016, Archetypes!$A$2:$A$127, 0))*INDEX(Unit_Grades!$D$2:$D$7, MATCH(F1016, Unit_Grades!$A$2:$A$7, 0)),1)</f>
        <v>4.5</v>
      </c>
      <c r="N1016" s="6" t="n">
        <f aca="false">ROUND(M1016/24,2)</f>
        <v>0.19</v>
      </c>
    </row>
    <row r="1017" customFormat="false" ht="15" hidden="false" customHeight="true" outlineLevel="0" collapsed="false">
      <c r="A1017" s="6" t="n">
        <v>4</v>
      </c>
      <c r="B1017" s="6" t="s">
        <v>2528</v>
      </c>
      <c r="C1017" s="6" t="s">
        <v>1380</v>
      </c>
      <c r="D1017" s="6" t="str">
        <f aca="false">A1017&amp;"|"&amp;C1017</f>
        <v>4|Assault Infantry</v>
      </c>
      <c r="E1017" s="6" t="s">
        <v>1558</v>
      </c>
      <c r="F1017" s="6" t="s">
        <v>1540</v>
      </c>
      <c r="G1017" s="6" t="str">
        <f aca="false">INDEX(Archetypes!$D$2:$D$127, MATCH(D1017, Archetypes!$A$2:$A$127, 0))</f>
        <v>Shock Infantry</v>
      </c>
      <c r="H1017" s="6" t="n">
        <f aca="false">ROUND(INDEX(Archetypes!$E$2:$E$127, MATCH(D1017, Archetypes!$A$2:$A$127, 0))*INDEX(Unit_Grades!$B$2:$B$7, MATCH(F1017, Unit_Grades!$A$2:$A$7, 0))*INDEX(Unit_Paths!$B$2:$B$4, MATCH(E1017, Unit_Paths!$A$2:$A$4, 0)),1)</f>
        <v>142.6</v>
      </c>
      <c r="I1017" s="6" t="n">
        <f aca="false">ROUND(INDEX(Archetypes!$F$2:$F$127, MATCH(D1017, Archetypes!$A$2:$A$127, 0))*INDEX(Unit_Grades!$B$2:$B$7, MATCH(F1017, Unit_Grades!$A$2:$A$7, 0))*INDEX(Unit_Paths!$C$2:$C$4, MATCH(E1017, Unit_Paths!$A$2:$A$4, 0)),1)</f>
        <v>52.8</v>
      </c>
      <c r="J1017" s="6" t="n">
        <f aca="false">ROUND(INDEX(Archetypes!$G$2:$G$127, MATCH(D1017, Archetypes!$A$2:$A$127, 0))*INDEX(Unit_Grades!$B$2:$B$7, MATCH(F1017, Unit_Grades!$A$2:$A$7, 0))*INDEX(Unit_Paths!$D$2:$D$4, MATCH(E1017, Unit_Paths!$A$2:$A$4, 0)),0)</f>
        <v>205</v>
      </c>
      <c r="K1017" s="6" t="n">
        <f aca="false">ROUND(INDEX(Archetypes!$H$2:$H$127, MATCH(D1017, Archetypes!$A$2:$A$127, 0))*INDEX(Unit_Paths!$E$2:$E$4, MATCH(E1017, Unit_Paths!$A$2:$A$4, 0)),1)</f>
        <v>17.9</v>
      </c>
      <c r="L1017" s="6" t="n">
        <f aca="false">ROUND(INDEX(Archetypes!$I$2:$I$127, MATCH(D1017, Archetypes!$A$2:$A$127, 0))*INDEX(Unit_Grades!$C$2:$C$7, MATCH(F1017, Unit_Grades!$A$2:$A$7, 0)),1)</f>
        <v>13.8</v>
      </c>
      <c r="M1017" s="6" t="n">
        <f aca="false">ROUND(INDEX(Archetypes!$J$2:$J$127, MATCH(D1017, Archetypes!$A$2:$A$127, 0))*INDEX(Unit_Grades!$D$2:$D$7, MATCH(F1017, Unit_Grades!$A$2:$A$7, 0)),1)</f>
        <v>6.7</v>
      </c>
      <c r="N1017" s="6" t="n">
        <f aca="false">ROUND(M1017/24,2)</f>
        <v>0.28</v>
      </c>
    </row>
    <row r="1018" customFormat="false" ht="15" hidden="false" customHeight="true" outlineLevel="0" collapsed="false">
      <c r="A1018" s="6" t="n">
        <v>4</v>
      </c>
      <c r="B1018" s="6" t="s">
        <v>2529</v>
      </c>
      <c r="C1018" s="6" t="s">
        <v>1380</v>
      </c>
      <c r="D1018" s="6" t="str">
        <f aca="false">A1018&amp;"|"&amp;C1018</f>
        <v>4|Assault Infantry</v>
      </c>
      <c r="E1018" s="6" t="s">
        <v>1558</v>
      </c>
      <c r="F1018" s="6" t="s">
        <v>1542</v>
      </c>
      <c r="G1018" s="6" t="str">
        <f aca="false">INDEX(Archetypes!$D$2:$D$127, MATCH(D1018, Archetypes!$A$2:$A$127, 0))</f>
        <v>Shock Infantry</v>
      </c>
      <c r="H1018" s="6" t="n">
        <f aca="false">ROUND(INDEX(Archetypes!$E$2:$E$127, MATCH(D1018, Archetypes!$A$2:$A$127, 0))*INDEX(Unit_Grades!$B$2:$B$7, MATCH(F1018, Unit_Grades!$A$2:$A$7, 0))*INDEX(Unit_Paths!$B$2:$B$4, MATCH(E1018, Unit_Paths!$A$2:$A$4, 0)),1)</f>
        <v>190.1</v>
      </c>
      <c r="I1018" s="6" t="n">
        <f aca="false">ROUND(INDEX(Archetypes!$F$2:$F$127, MATCH(D1018, Archetypes!$A$2:$A$127, 0))*INDEX(Unit_Grades!$B$2:$B$7, MATCH(F1018, Unit_Grades!$A$2:$A$7, 0))*INDEX(Unit_Paths!$C$2:$C$4, MATCH(E1018, Unit_Paths!$A$2:$A$4, 0)),1)</f>
        <v>70.4</v>
      </c>
      <c r="J1018" s="6" t="n">
        <f aca="false">ROUND(INDEX(Archetypes!$G$2:$G$127, MATCH(D1018, Archetypes!$A$2:$A$127, 0))*INDEX(Unit_Grades!$B$2:$B$7, MATCH(F1018, Unit_Grades!$A$2:$A$7, 0))*INDEX(Unit_Paths!$D$2:$D$4, MATCH(E1018, Unit_Paths!$A$2:$A$4, 0)),0)</f>
        <v>274</v>
      </c>
      <c r="K1018" s="6" t="n">
        <f aca="false">ROUND(INDEX(Archetypes!$H$2:$H$127, MATCH(D1018, Archetypes!$A$2:$A$127, 0))*INDEX(Unit_Paths!$E$2:$E$4, MATCH(E1018, Unit_Paths!$A$2:$A$4, 0)),1)</f>
        <v>17.9</v>
      </c>
      <c r="L1018" s="6" t="n">
        <f aca="false">ROUND(INDEX(Archetypes!$I$2:$I$127, MATCH(D1018, Archetypes!$A$2:$A$127, 0))*INDEX(Unit_Grades!$C$2:$C$7, MATCH(F1018, Unit_Grades!$A$2:$A$7, 0)),1)</f>
        <v>17.6</v>
      </c>
      <c r="M1018" s="6" t="n">
        <f aca="false">ROUND(INDEX(Archetypes!$J$2:$J$127, MATCH(D1018, Archetypes!$A$2:$A$127, 0))*INDEX(Unit_Grades!$D$2:$D$7, MATCH(F1018, Unit_Grades!$A$2:$A$7, 0)),1)</f>
        <v>11.2</v>
      </c>
      <c r="N1018" s="6" t="n">
        <f aca="false">ROUND(M1018/24,2)</f>
        <v>0.47</v>
      </c>
    </row>
    <row r="1019" customFormat="false" ht="15" hidden="false" customHeight="true" outlineLevel="0" collapsed="false">
      <c r="A1019" s="6" t="n">
        <v>4</v>
      </c>
      <c r="B1019" s="6" t="s">
        <v>2530</v>
      </c>
      <c r="C1019" s="6" t="s">
        <v>1380</v>
      </c>
      <c r="D1019" s="6" t="str">
        <f aca="false">A1019&amp;"|"&amp;C1019</f>
        <v>4|Assault Infantry</v>
      </c>
      <c r="E1019" s="6" t="s">
        <v>1558</v>
      </c>
      <c r="F1019" s="6" t="s">
        <v>1544</v>
      </c>
      <c r="G1019" s="6" t="str">
        <f aca="false">INDEX(Archetypes!$D$2:$D$127, MATCH(D1019, Archetypes!$A$2:$A$127, 0))</f>
        <v>Shock Infantry</v>
      </c>
      <c r="H1019" s="6" t="n">
        <f aca="false">ROUND(INDEX(Archetypes!$E$2:$E$127, MATCH(D1019, Archetypes!$A$2:$A$127, 0))*INDEX(Unit_Grades!$B$2:$B$7, MATCH(F1019, Unit_Grades!$A$2:$A$7, 0))*INDEX(Unit_Paths!$B$2:$B$4, MATCH(E1019, Unit_Paths!$A$2:$A$4, 0)),1)</f>
        <v>253.4</v>
      </c>
      <c r="I1019" s="6" t="n">
        <f aca="false">ROUND(INDEX(Archetypes!$F$2:$F$127, MATCH(D1019, Archetypes!$A$2:$A$127, 0))*INDEX(Unit_Grades!$B$2:$B$7, MATCH(F1019, Unit_Grades!$A$2:$A$7, 0))*INDEX(Unit_Paths!$C$2:$C$4, MATCH(E1019, Unit_Paths!$A$2:$A$4, 0)),1)</f>
        <v>93.8</v>
      </c>
      <c r="J1019" s="6" t="n">
        <f aca="false">ROUND(INDEX(Archetypes!$G$2:$G$127, MATCH(D1019, Archetypes!$A$2:$A$127, 0))*INDEX(Unit_Grades!$B$2:$B$7, MATCH(F1019, Unit_Grades!$A$2:$A$7, 0))*INDEX(Unit_Paths!$D$2:$D$4, MATCH(E1019, Unit_Paths!$A$2:$A$4, 0)),0)</f>
        <v>365</v>
      </c>
      <c r="K1019" s="6" t="n">
        <f aca="false">ROUND(INDEX(Archetypes!$H$2:$H$127, MATCH(D1019, Archetypes!$A$2:$A$127, 0))*INDEX(Unit_Paths!$E$2:$E$4, MATCH(E1019, Unit_Paths!$A$2:$A$4, 0)),1)</f>
        <v>17.9</v>
      </c>
      <c r="L1019" s="6" t="n">
        <f aca="false">ROUND(INDEX(Archetypes!$I$2:$I$127, MATCH(D1019, Archetypes!$A$2:$A$127, 0))*INDEX(Unit_Grades!$C$2:$C$7, MATCH(F1019, Unit_Grades!$A$2:$A$7, 0)),1)</f>
        <v>23.1</v>
      </c>
      <c r="M1019" s="6" t="n">
        <f aca="false">ROUND(INDEX(Archetypes!$J$2:$J$127, MATCH(D1019, Archetypes!$A$2:$A$127, 0))*INDEX(Unit_Grades!$D$2:$D$7, MATCH(F1019, Unit_Grades!$A$2:$A$7, 0)),1)</f>
        <v>17.8</v>
      </c>
      <c r="N1019" s="6" t="n">
        <f aca="false">ROUND(M1019/24,2)</f>
        <v>0.74</v>
      </c>
    </row>
    <row r="1020" customFormat="false" ht="15" hidden="false" customHeight="true" outlineLevel="0" collapsed="false">
      <c r="A1020" s="6" t="n">
        <v>4</v>
      </c>
      <c r="B1020" s="6" t="s">
        <v>2531</v>
      </c>
      <c r="C1020" s="6" t="s">
        <v>1380</v>
      </c>
      <c r="D1020" s="6" t="str">
        <f aca="false">A1020&amp;"|"&amp;C1020</f>
        <v>4|Assault Infantry</v>
      </c>
      <c r="E1020" s="6" t="s">
        <v>1558</v>
      </c>
      <c r="F1020" s="6" t="s">
        <v>1546</v>
      </c>
      <c r="G1020" s="6" t="str">
        <f aca="false">INDEX(Archetypes!$D$2:$D$127, MATCH(D1020, Archetypes!$A$2:$A$127, 0))</f>
        <v>Shock Infantry</v>
      </c>
      <c r="H1020" s="6" t="n">
        <f aca="false">ROUND(INDEX(Archetypes!$E$2:$E$127, MATCH(D1020, Archetypes!$A$2:$A$127, 0))*INDEX(Unit_Grades!$B$2:$B$7, MATCH(F1020, Unit_Grades!$A$2:$A$7, 0))*INDEX(Unit_Paths!$B$2:$B$4, MATCH(E1020, Unit_Paths!$A$2:$A$4, 0)),1)</f>
        <v>337.9</v>
      </c>
      <c r="I1020" s="6" t="n">
        <f aca="false">ROUND(INDEX(Archetypes!$F$2:$F$127, MATCH(D1020, Archetypes!$A$2:$A$127, 0))*INDEX(Unit_Grades!$B$2:$B$7, MATCH(F1020, Unit_Grades!$A$2:$A$7, 0))*INDEX(Unit_Paths!$C$2:$C$4, MATCH(E1020, Unit_Paths!$A$2:$A$4, 0)),1)</f>
        <v>125.1</v>
      </c>
      <c r="J1020" s="6" t="n">
        <f aca="false">ROUND(INDEX(Archetypes!$G$2:$G$127, MATCH(D1020, Archetypes!$A$2:$A$127, 0))*INDEX(Unit_Grades!$B$2:$B$7, MATCH(F1020, Unit_Grades!$A$2:$A$7, 0))*INDEX(Unit_Paths!$D$2:$D$4, MATCH(E1020, Unit_Paths!$A$2:$A$4, 0)),0)</f>
        <v>486</v>
      </c>
      <c r="K1020" s="6" t="n">
        <f aca="false">ROUND(INDEX(Archetypes!$H$2:$H$127, MATCH(D1020, Archetypes!$A$2:$A$127, 0))*INDEX(Unit_Paths!$E$2:$E$4, MATCH(E1020, Unit_Paths!$A$2:$A$4, 0)),1)</f>
        <v>17.9</v>
      </c>
      <c r="L1020" s="6" t="n">
        <f aca="false">ROUND(INDEX(Archetypes!$I$2:$I$127, MATCH(D1020, Archetypes!$A$2:$A$127, 0))*INDEX(Unit_Grades!$C$2:$C$7, MATCH(F1020, Unit_Grades!$A$2:$A$7, 0)),1)</f>
        <v>30.8</v>
      </c>
      <c r="M1020" s="6" t="n">
        <f aca="false">ROUND(INDEX(Archetypes!$J$2:$J$127, MATCH(D1020, Archetypes!$A$2:$A$127, 0))*INDEX(Unit_Grades!$D$2:$D$7, MATCH(F1020, Unit_Grades!$A$2:$A$7, 0)),1)</f>
        <v>31.2</v>
      </c>
      <c r="N1020" s="6" t="n">
        <f aca="false">ROUND(M1020/24,2)</f>
        <v>1.3</v>
      </c>
    </row>
    <row r="1021" customFormat="false" ht="15" hidden="false" customHeight="true" outlineLevel="0" collapsed="false">
      <c r="A1021" s="6" t="n">
        <v>4</v>
      </c>
      <c r="B1021" s="6" t="s">
        <v>2532</v>
      </c>
      <c r="C1021" s="6" t="s">
        <v>1380</v>
      </c>
      <c r="D1021" s="6" t="str">
        <f aca="false">A1021&amp;"|"&amp;C1021</f>
        <v>4|Assault Infantry</v>
      </c>
      <c r="E1021" s="6" t="s">
        <v>1558</v>
      </c>
      <c r="F1021" s="6" t="s">
        <v>1548</v>
      </c>
      <c r="G1021" s="6" t="str">
        <f aca="false">INDEX(Archetypes!$D$2:$D$127, MATCH(D1021, Archetypes!$A$2:$A$127, 0))</f>
        <v>Shock Infantry</v>
      </c>
      <c r="H1021" s="6" t="n">
        <f aca="false">ROUND(INDEX(Archetypes!$E$2:$E$127, MATCH(D1021, Archetypes!$A$2:$A$127, 0))*INDEX(Unit_Grades!$B$2:$B$7, MATCH(F1021, Unit_Grades!$A$2:$A$7, 0))*INDEX(Unit_Paths!$B$2:$B$4, MATCH(E1021, Unit_Paths!$A$2:$A$4, 0)),1)</f>
        <v>443.5</v>
      </c>
      <c r="I1021" s="6" t="n">
        <f aca="false">ROUND(INDEX(Archetypes!$F$2:$F$127, MATCH(D1021, Archetypes!$A$2:$A$127, 0))*INDEX(Unit_Grades!$B$2:$B$7, MATCH(F1021, Unit_Grades!$A$2:$A$7, 0))*INDEX(Unit_Paths!$C$2:$C$4, MATCH(E1021, Unit_Paths!$A$2:$A$4, 0)),1)</f>
        <v>164.2</v>
      </c>
      <c r="J1021" s="6" t="n">
        <f aca="false">ROUND(INDEX(Archetypes!$G$2:$G$127, MATCH(D1021, Archetypes!$A$2:$A$127, 0))*INDEX(Unit_Grades!$B$2:$B$7, MATCH(F1021, Unit_Grades!$A$2:$A$7, 0))*INDEX(Unit_Paths!$D$2:$D$4, MATCH(E1021, Unit_Paths!$A$2:$A$4, 0)),0)</f>
        <v>638</v>
      </c>
      <c r="K1021" s="6" t="n">
        <f aca="false">ROUND(INDEX(Archetypes!$H$2:$H$127, MATCH(D1021, Archetypes!$A$2:$A$127, 0))*INDEX(Unit_Paths!$E$2:$E$4, MATCH(E1021, Unit_Paths!$A$2:$A$4, 0)),1)</f>
        <v>17.9</v>
      </c>
      <c r="L1021" s="6" t="n">
        <f aca="false">ROUND(INDEX(Archetypes!$I$2:$I$127, MATCH(D1021, Archetypes!$A$2:$A$127, 0))*INDEX(Unit_Grades!$C$2:$C$7, MATCH(F1021, Unit_Grades!$A$2:$A$7, 0)),1)</f>
        <v>40.7</v>
      </c>
      <c r="M1021" s="6" t="n">
        <f aca="false">ROUND(INDEX(Archetypes!$J$2:$J$127, MATCH(D1021, Archetypes!$A$2:$A$127, 0))*INDEX(Unit_Grades!$D$2:$D$7, MATCH(F1021, Unit_Grades!$A$2:$A$7, 0)),1)</f>
        <v>53.5</v>
      </c>
      <c r="N1021" s="6" t="n">
        <f aca="false">ROUND(M1021/24,2)</f>
        <v>2.23</v>
      </c>
    </row>
    <row r="1022" customFormat="false" ht="15" hidden="false" customHeight="true" outlineLevel="0" collapsed="false">
      <c r="A1022" s="6" t="n">
        <v>4</v>
      </c>
      <c r="B1022" s="6" t="s">
        <v>2533</v>
      </c>
      <c r="C1022" s="6" t="s">
        <v>1380</v>
      </c>
      <c r="D1022" s="6" t="str">
        <f aca="false">A1022&amp;"|"&amp;C1022</f>
        <v>4|Assault Infantry</v>
      </c>
      <c r="E1022" s="6" t="s">
        <v>1560</v>
      </c>
      <c r="F1022" s="6" t="s">
        <v>1538</v>
      </c>
      <c r="G1022" s="6" t="str">
        <f aca="false">INDEX(Archetypes!$D$2:$D$127, MATCH(D1022, Archetypes!$A$2:$A$127, 0))</f>
        <v>Shock Infantry</v>
      </c>
      <c r="H1022" s="6" t="n">
        <f aca="false">ROUND(INDEX(Archetypes!$E$2:$E$127, MATCH(D1022, Archetypes!$A$2:$A$127, 0))*INDEX(Unit_Grades!$B$2:$B$7, MATCH(F1022, Unit_Grades!$A$2:$A$7, 0))*INDEX(Unit_Paths!$B$2:$B$4, MATCH(E1022, Unit_Paths!$A$2:$A$4, 0)),1)</f>
        <v>74.8</v>
      </c>
      <c r="I1022" s="6" t="n">
        <f aca="false">ROUND(INDEX(Archetypes!$F$2:$F$127, MATCH(D1022, Archetypes!$A$2:$A$127, 0))*INDEX(Unit_Grades!$B$2:$B$7, MATCH(F1022, Unit_Grades!$A$2:$A$7, 0))*INDEX(Unit_Paths!$C$2:$C$4, MATCH(E1022, Unit_Paths!$A$2:$A$4, 0)),1)</f>
        <v>57.5</v>
      </c>
      <c r="J1022" s="6" t="n">
        <f aca="false">ROUND(INDEX(Archetypes!$G$2:$G$127, MATCH(D1022, Archetypes!$A$2:$A$127, 0))*INDEX(Unit_Grades!$B$2:$B$7, MATCH(F1022, Unit_Grades!$A$2:$A$7, 0))*INDEX(Unit_Paths!$D$2:$D$4, MATCH(E1022, Unit_Paths!$A$2:$A$4, 0)),0)</f>
        <v>184</v>
      </c>
      <c r="K1022" s="6" t="n">
        <f aca="false">ROUND(INDEX(Archetypes!$H$2:$H$127, MATCH(D1022, Archetypes!$A$2:$A$127, 0))*INDEX(Unit_Paths!$E$2:$E$4, MATCH(E1022, Unit_Paths!$A$2:$A$4, 0)),1)</f>
        <v>15.6</v>
      </c>
      <c r="L1022" s="6" t="n">
        <f aca="false">ROUND(INDEX(Archetypes!$I$2:$I$127, MATCH(D1022, Archetypes!$A$2:$A$127, 0))*INDEX(Unit_Grades!$C$2:$C$7, MATCH(F1022, Unit_Grades!$A$2:$A$7, 0)),1)</f>
        <v>11</v>
      </c>
      <c r="M1022" s="6" t="n">
        <f aca="false">ROUND(INDEX(Archetypes!$J$2:$J$127, MATCH(D1022, Archetypes!$A$2:$A$127, 0))*INDEX(Unit_Grades!$D$2:$D$7, MATCH(F1022, Unit_Grades!$A$2:$A$7, 0)),1)</f>
        <v>4.5</v>
      </c>
      <c r="N1022" s="6" t="n">
        <f aca="false">ROUND(M1022/24,2)</f>
        <v>0.19</v>
      </c>
    </row>
    <row r="1023" customFormat="false" ht="15" hidden="false" customHeight="true" outlineLevel="0" collapsed="false">
      <c r="A1023" s="6" t="n">
        <v>4</v>
      </c>
      <c r="B1023" s="6" t="s">
        <v>2534</v>
      </c>
      <c r="C1023" s="6" t="s">
        <v>1380</v>
      </c>
      <c r="D1023" s="6" t="str">
        <f aca="false">A1023&amp;"|"&amp;C1023</f>
        <v>4|Assault Infantry</v>
      </c>
      <c r="E1023" s="6" t="s">
        <v>1560</v>
      </c>
      <c r="F1023" s="6" t="s">
        <v>1540</v>
      </c>
      <c r="G1023" s="6" t="str">
        <f aca="false">INDEX(Archetypes!$D$2:$D$127, MATCH(D1023, Archetypes!$A$2:$A$127, 0))</f>
        <v>Shock Infantry</v>
      </c>
      <c r="H1023" s="6" t="n">
        <f aca="false">ROUND(INDEX(Archetypes!$E$2:$E$127, MATCH(D1023, Archetypes!$A$2:$A$127, 0))*INDEX(Unit_Grades!$B$2:$B$7, MATCH(F1023, Unit_Grades!$A$2:$A$7, 0))*INDEX(Unit_Paths!$B$2:$B$4, MATCH(E1023, Unit_Paths!$A$2:$A$4, 0)),1)</f>
        <v>101</v>
      </c>
      <c r="I1023" s="6" t="n">
        <f aca="false">ROUND(INDEX(Archetypes!$F$2:$F$127, MATCH(D1023, Archetypes!$A$2:$A$127, 0))*INDEX(Unit_Grades!$B$2:$B$7, MATCH(F1023, Unit_Grades!$A$2:$A$7, 0))*INDEX(Unit_Paths!$C$2:$C$4, MATCH(E1023, Unit_Paths!$A$2:$A$4, 0)),1)</f>
        <v>77.6</v>
      </c>
      <c r="J1023" s="6" t="n">
        <f aca="false">ROUND(INDEX(Archetypes!$G$2:$G$127, MATCH(D1023, Archetypes!$A$2:$A$127, 0))*INDEX(Unit_Grades!$B$2:$B$7, MATCH(F1023, Unit_Grades!$A$2:$A$7, 0))*INDEX(Unit_Paths!$D$2:$D$4, MATCH(E1023, Unit_Paths!$A$2:$A$4, 0)),0)</f>
        <v>248</v>
      </c>
      <c r="K1023" s="6" t="n">
        <f aca="false">ROUND(INDEX(Archetypes!$H$2:$H$127, MATCH(D1023, Archetypes!$A$2:$A$127, 0))*INDEX(Unit_Paths!$E$2:$E$4, MATCH(E1023, Unit_Paths!$A$2:$A$4, 0)),1)</f>
        <v>15.6</v>
      </c>
      <c r="L1023" s="6" t="n">
        <f aca="false">ROUND(INDEX(Archetypes!$I$2:$I$127, MATCH(D1023, Archetypes!$A$2:$A$127, 0))*INDEX(Unit_Grades!$C$2:$C$7, MATCH(F1023, Unit_Grades!$A$2:$A$7, 0)),1)</f>
        <v>13.8</v>
      </c>
      <c r="M1023" s="6" t="n">
        <f aca="false">ROUND(INDEX(Archetypes!$J$2:$J$127, MATCH(D1023, Archetypes!$A$2:$A$127, 0))*INDEX(Unit_Grades!$D$2:$D$7, MATCH(F1023, Unit_Grades!$A$2:$A$7, 0)),1)</f>
        <v>6.7</v>
      </c>
      <c r="N1023" s="6" t="n">
        <f aca="false">ROUND(M1023/24,2)</f>
        <v>0.28</v>
      </c>
    </row>
    <row r="1024" customFormat="false" ht="15" hidden="false" customHeight="true" outlineLevel="0" collapsed="false">
      <c r="A1024" s="6" t="n">
        <v>4</v>
      </c>
      <c r="B1024" s="6" t="s">
        <v>2535</v>
      </c>
      <c r="C1024" s="6" t="s">
        <v>1380</v>
      </c>
      <c r="D1024" s="6" t="str">
        <f aca="false">A1024&amp;"|"&amp;C1024</f>
        <v>4|Assault Infantry</v>
      </c>
      <c r="E1024" s="6" t="s">
        <v>1560</v>
      </c>
      <c r="F1024" s="6" t="s">
        <v>1542</v>
      </c>
      <c r="G1024" s="6" t="str">
        <f aca="false">INDEX(Archetypes!$D$2:$D$127, MATCH(D1024, Archetypes!$A$2:$A$127, 0))</f>
        <v>Shock Infantry</v>
      </c>
      <c r="H1024" s="6" t="n">
        <f aca="false">ROUND(INDEX(Archetypes!$E$2:$E$127, MATCH(D1024, Archetypes!$A$2:$A$127, 0))*INDEX(Unit_Grades!$B$2:$B$7, MATCH(F1024, Unit_Grades!$A$2:$A$7, 0))*INDEX(Unit_Paths!$B$2:$B$4, MATCH(E1024, Unit_Paths!$A$2:$A$4, 0)),1)</f>
        <v>134.6</v>
      </c>
      <c r="I1024" s="6" t="n">
        <f aca="false">ROUND(INDEX(Archetypes!$F$2:$F$127, MATCH(D1024, Archetypes!$A$2:$A$127, 0))*INDEX(Unit_Grades!$B$2:$B$7, MATCH(F1024, Unit_Grades!$A$2:$A$7, 0))*INDEX(Unit_Paths!$C$2:$C$4, MATCH(E1024, Unit_Paths!$A$2:$A$4, 0)),1)</f>
        <v>103.5</v>
      </c>
      <c r="J1024" s="6" t="n">
        <f aca="false">ROUND(INDEX(Archetypes!$G$2:$G$127, MATCH(D1024, Archetypes!$A$2:$A$127, 0))*INDEX(Unit_Grades!$B$2:$B$7, MATCH(F1024, Unit_Grades!$A$2:$A$7, 0))*INDEX(Unit_Paths!$D$2:$D$4, MATCH(E1024, Unit_Paths!$A$2:$A$4, 0)),0)</f>
        <v>331</v>
      </c>
      <c r="K1024" s="6" t="n">
        <f aca="false">ROUND(INDEX(Archetypes!$H$2:$H$127, MATCH(D1024, Archetypes!$A$2:$A$127, 0))*INDEX(Unit_Paths!$E$2:$E$4, MATCH(E1024, Unit_Paths!$A$2:$A$4, 0)),1)</f>
        <v>15.6</v>
      </c>
      <c r="L1024" s="6" t="n">
        <f aca="false">ROUND(INDEX(Archetypes!$I$2:$I$127, MATCH(D1024, Archetypes!$A$2:$A$127, 0))*INDEX(Unit_Grades!$C$2:$C$7, MATCH(F1024, Unit_Grades!$A$2:$A$7, 0)),1)</f>
        <v>17.6</v>
      </c>
      <c r="M1024" s="6" t="n">
        <f aca="false">ROUND(INDEX(Archetypes!$J$2:$J$127, MATCH(D1024, Archetypes!$A$2:$A$127, 0))*INDEX(Unit_Grades!$D$2:$D$7, MATCH(F1024, Unit_Grades!$A$2:$A$7, 0)),1)</f>
        <v>11.2</v>
      </c>
      <c r="N1024" s="6" t="n">
        <f aca="false">ROUND(M1024/24,2)</f>
        <v>0.47</v>
      </c>
    </row>
    <row r="1025" customFormat="false" ht="15" hidden="false" customHeight="true" outlineLevel="0" collapsed="false">
      <c r="A1025" s="6" t="n">
        <v>4</v>
      </c>
      <c r="B1025" s="6" t="s">
        <v>2536</v>
      </c>
      <c r="C1025" s="6" t="s">
        <v>1380</v>
      </c>
      <c r="D1025" s="6" t="str">
        <f aca="false">A1025&amp;"|"&amp;C1025</f>
        <v>4|Assault Infantry</v>
      </c>
      <c r="E1025" s="6" t="s">
        <v>1560</v>
      </c>
      <c r="F1025" s="6" t="s">
        <v>1544</v>
      </c>
      <c r="G1025" s="6" t="str">
        <f aca="false">INDEX(Archetypes!$D$2:$D$127, MATCH(D1025, Archetypes!$A$2:$A$127, 0))</f>
        <v>Shock Infantry</v>
      </c>
      <c r="H1025" s="6" t="n">
        <f aca="false">ROUND(INDEX(Archetypes!$E$2:$E$127, MATCH(D1025, Archetypes!$A$2:$A$127, 0))*INDEX(Unit_Grades!$B$2:$B$7, MATCH(F1025, Unit_Grades!$A$2:$A$7, 0))*INDEX(Unit_Paths!$B$2:$B$4, MATCH(E1025, Unit_Paths!$A$2:$A$4, 0)),1)</f>
        <v>179.5</v>
      </c>
      <c r="I1025" s="6" t="n">
        <f aca="false">ROUND(INDEX(Archetypes!$F$2:$F$127, MATCH(D1025, Archetypes!$A$2:$A$127, 0))*INDEX(Unit_Grades!$B$2:$B$7, MATCH(F1025, Unit_Grades!$A$2:$A$7, 0))*INDEX(Unit_Paths!$C$2:$C$4, MATCH(E1025, Unit_Paths!$A$2:$A$4, 0)),1)</f>
        <v>138</v>
      </c>
      <c r="J1025" s="6" t="n">
        <f aca="false">ROUND(INDEX(Archetypes!$G$2:$G$127, MATCH(D1025, Archetypes!$A$2:$A$127, 0))*INDEX(Unit_Grades!$B$2:$B$7, MATCH(F1025, Unit_Grades!$A$2:$A$7, 0))*INDEX(Unit_Paths!$D$2:$D$4, MATCH(E1025, Unit_Paths!$A$2:$A$4, 0)),0)</f>
        <v>442</v>
      </c>
      <c r="K1025" s="6" t="n">
        <f aca="false">ROUND(INDEX(Archetypes!$H$2:$H$127, MATCH(D1025, Archetypes!$A$2:$A$127, 0))*INDEX(Unit_Paths!$E$2:$E$4, MATCH(E1025, Unit_Paths!$A$2:$A$4, 0)),1)</f>
        <v>15.6</v>
      </c>
      <c r="L1025" s="6" t="n">
        <f aca="false">ROUND(INDEX(Archetypes!$I$2:$I$127, MATCH(D1025, Archetypes!$A$2:$A$127, 0))*INDEX(Unit_Grades!$C$2:$C$7, MATCH(F1025, Unit_Grades!$A$2:$A$7, 0)),1)</f>
        <v>23.1</v>
      </c>
      <c r="M1025" s="6" t="n">
        <f aca="false">ROUND(INDEX(Archetypes!$J$2:$J$127, MATCH(D1025, Archetypes!$A$2:$A$127, 0))*INDEX(Unit_Grades!$D$2:$D$7, MATCH(F1025, Unit_Grades!$A$2:$A$7, 0)),1)</f>
        <v>17.8</v>
      </c>
      <c r="N1025" s="6" t="n">
        <f aca="false">ROUND(M1025/24,2)</f>
        <v>0.74</v>
      </c>
    </row>
    <row r="1026" customFormat="false" ht="15" hidden="false" customHeight="true" outlineLevel="0" collapsed="false">
      <c r="A1026" s="6" t="n">
        <v>4</v>
      </c>
      <c r="B1026" s="6" t="s">
        <v>2537</v>
      </c>
      <c r="C1026" s="6" t="s">
        <v>1380</v>
      </c>
      <c r="D1026" s="6" t="str">
        <f aca="false">A1026&amp;"|"&amp;C1026</f>
        <v>4|Assault Infantry</v>
      </c>
      <c r="E1026" s="6" t="s">
        <v>1560</v>
      </c>
      <c r="F1026" s="6" t="s">
        <v>1546</v>
      </c>
      <c r="G1026" s="6" t="str">
        <f aca="false">INDEX(Archetypes!$D$2:$D$127, MATCH(D1026, Archetypes!$A$2:$A$127, 0))</f>
        <v>Shock Infantry</v>
      </c>
      <c r="H1026" s="6" t="n">
        <f aca="false">ROUND(INDEX(Archetypes!$E$2:$E$127, MATCH(D1026, Archetypes!$A$2:$A$127, 0))*INDEX(Unit_Grades!$B$2:$B$7, MATCH(F1026, Unit_Grades!$A$2:$A$7, 0))*INDEX(Unit_Paths!$B$2:$B$4, MATCH(E1026, Unit_Paths!$A$2:$A$4, 0)),1)</f>
        <v>239.4</v>
      </c>
      <c r="I1026" s="6" t="n">
        <f aca="false">ROUND(INDEX(Archetypes!$F$2:$F$127, MATCH(D1026, Archetypes!$A$2:$A$127, 0))*INDEX(Unit_Grades!$B$2:$B$7, MATCH(F1026, Unit_Grades!$A$2:$A$7, 0))*INDEX(Unit_Paths!$C$2:$C$4, MATCH(E1026, Unit_Paths!$A$2:$A$4, 0)),1)</f>
        <v>184</v>
      </c>
      <c r="J1026" s="6" t="n">
        <f aca="false">ROUND(INDEX(Archetypes!$G$2:$G$127, MATCH(D1026, Archetypes!$A$2:$A$127, 0))*INDEX(Unit_Grades!$B$2:$B$7, MATCH(F1026, Unit_Grades!$A$2:$A$7, 0))*INDEX(Unit_Paths!$D$2:$D$4, MATCH(E1026, Unit_Paths!$A$2:$A$4, 0)),0)</f>
        <v>589</v>
      </c>
      <c r="K1026" s="6" t="n">
        <f aca="false">ROUND(INDEX(Archetypes!$H$2:$H$127, MATCH(D1026, Archetypes!$A$2:$A$127, 0))*INDEX(Unit_Paths!$E$2:$E$4, MATCH(E1026, Unit_Paths!$A$2:$A$4, 0)),1)</f>
        <v>15.6</v>
      </c>
      <c r="L1026" s="6" t="n">
        <f aca="false">ROUND(INDEX(Archetypes!$I$2:$I$127, MATCH(D1026, Archetypes!$A$2:$A$127, 0))*INDEX(Unit_Grades!$C$2:$C$7, MATCH(F1026, Unit_Grades!$A$2:$A$7, 0)),1)</f>
        <v>30.8</v>
      </c>
      <c r="M1026" s="6" t="n">
        <f aca="false">ROUND(INDEX(Archetypes!$J$2:$J$127, MATCH(D1026, Archetypes!$A$2:$A$127, 0))*INDEX(Unit_Grades!$D$2:$D$7, MATCH(F1026, Unit_Grades!$A$2:$A$7, 0)),1)</f>
        <v>31.2</v>
      </c>
      <c r="N1026" s="6" t="n">
        <f aca="false">ROUND(M1026/24,2)</f>
        <v>1.3</v>
      </c>
    </row>
    <row r="1027" customFormat="false" ht="15" hidden="false" customHeight="true" outlineLevel="0" collapsed="false">
      <c r="A1027" s="6" t="n">
        <v>4</v>
      </c>
      <c r="B1027" s="6" t="s">
        <v>2538</v>
      </c>
      <c r="C1027" s="6" t="s">
        <v>1380</v>
      </c>
      <c r="D1027" s="6" t="str">
        <f aca="false">A1027&amp;"|"&amp;C1027</f>
        <v>4|Assault Infantry</v>
      </c>
      <c r="E1027" s="6" t="s">
        <v>1560</v>
      </c>
      <c r="F1027" s="6" t="s">
        <v>1548</v>
      </c>
      <c r="G1027" s="6" t="str">
        <f aca="false">INDEX(Archetypes!$D$2:$D$127, MATCH(D1027, Archetypes!$A$2:$A$127, 0))</f>
        <v>Shock Infantry</v>
      </c>
      <c r="H1027" s="6" t="n">
        <f aca="false">ROUND(INDEX(Archetypes!$E$2:$E$127, MATCH(D1027, Archetypes!$A$2:$A$127, 0))*INDEX(Unit_Grades!$B$2:$B$7, MATCH(F1027, Unit_Grades!$A$2:$A$7, 0))*INDEX(Unit_Paths!$B$2:$B$4, MATCH(E1027, Unit_Paths!$A$2:$A$4, 0)),1)</f>
        <v>314.2</v>
      </c>
      <c r="I1027" s="6" t="n">
        <f aca="false">ROUND(INDEX(Archetypes!$F$2:$F$127, MATCH(D1027, Archetypes!$A$2:$A$127, 0))*INDEX(Unit_Grades!$B$2:$B$7, MATCH(F1027, Unit_Grades!$A$2:$A$7, 0))*INDEX(Unit_Paths!$C$2:$C$4, MATCH(E1027, Unit_Paths!$A$2:$A$4, 0)),1)</f>
        <v>241.5</v>
      </c>
      <c r="J1027" s="6" t="n">
        <f aca="false">ROUND(INDEX(Archetypes!$G$2:$G$127, MATCH(D1027, Archetypes!$A$2:$A$127, 0))*INDEX(Unit_Grades!$B$2:$B$7, MATCH(F1027, Unit_Grades!$A$2:$A$7, 0))*INDEX(Unit_Paths!$D$2:$D$4, MATCH(E1027, Unit_Paths!$A$2:$A$4, 0)),0)</f>
        <v>773</v>
      </c>
      <c r="K1027" s="6" t="n">
        <f aca="false">ROUND(INDEX(Archetypes!$H$2:$H$127, MATCH(D1027, Archetypes!$A$2:$A$127, 0))*INDEX(Unit_Paths!$E$2:$E$4, MATCH(E1027, Unit_Paths!$A$2:$A$4, 0)),1)</f>
        <v>15.6</v>
      </c>
      <c r="L1027" s="6" t="n">
        <f aca="false">ROUND(INDEX(Archetypes!$I$2:$I$127, MATCH(D1027, Archetypes!$A$2:$A$127, 0))*INDEX(Unit_Grades!$C$2:$C$7, MATCH(F1027, Unit_Grades!$A$2:$A$7, 0)),1)</f>
        <v>40.7</v>
      </c>
      <c r="M1027" s="6" t="n">
        <f aca="false">ROUND(INDEX(Archetypes!$J$2:$J$127, MATCH(D1027, Archetypes!$A$2:$A$127, 0))*INDEX(Unit_Grades!$D$2:$D$7, MATCH(F1027, Unit_Grades!$A$2:$A$7, 0)),1)</f>
        <v>53.5</v>
      </c>
      <c r="N1027" s="6" t="n">
        <f aca="false">ROUND(M1027/24,2)</f>
        <v>2.23</v>
      </c>
    </row>
    <row r="1028" customFormat="false" ht="15" hidden="false" customHeight="true" outlineLevel="0" collapsed="false">
      <c r="A1028" s="6" t="n">
        <v>4</v>
      </c>
      <c r="B1028" s="6" t="s">
        <v>1382</v>
      </c>
      <c r="C1028" s="6" t="s">
        <v>1382</v>
      </c>
      <c r="D1028" s="6" t="str">
        <f aca="false">A1028&amp;"|"&amp;C1028</f>
        <v>4|AT Infantry</v>
      </c>
      <c r="E1028" s="6" t="s">
        <v>1556</v>
      </c>
      <c r="F1028" s="6" t="s">
        <v>1538</v>
      </c>
      <c r="G1028" s="6" t="str">
        <f aca="false">INDEX(Archetypes!$D$2:$D$127, MATCH(D1028, Archetypes!$A$2:$A$127, 0))</f>
        <v>Anti-Armor</v>
      </c>
      <c r="H1028" s="6" t="n">
        <f aca="false">ROUND(INDEX(Archetypes!$E$2:$E$127, MATCH(D1028, Archetypes!$A$2:$A$127, 0))*INDEX(Unit_Grades!$B$2:$B$7, MATCH(F1028, Unit_Grades!$A$2:$A$7, 0))*INDEX(Unit_Paths!$B$2:$B$4, MATCH(E1028, Unit_Paths!$A$2:$A$4, 0)),1)</f>
        <v>80</v>
      </c>
      <c r="I1028" s="6" t="n">
        <f aca="false">ROUND(INDEX(Archetypes!$F$2:$F$127, MATCH(D1028, Archetypes!$A$2:$A$127, 0))*INDEX(Unit_Grades!$B$2:$B$7, MATCH(F1028, Unit_Grades!$A$2:$A$7, 0))*INDEX(Unit_Paths!$C$2:$C$4, MATCH(E1028, Unit_Paths!$A$2:$A$4, 0)),1)</f>
        <v>42</v>
      </c>
      <c r="J1028" s="6" t="n">
        <f aca="false">ROUND(INDEX(Archetypes!$G$2:$G$127, MATCH(D1028, Archetypes!$A$2:$A$127, 0))*INDEX(Unit_Grades!$B$2:$B$7, MATCH(F1028, Unit_Grades!$A$2:$A$7, 0))*INDEX(Unit_Paths!$D$2:$D$4, MATCH(E1028, Unit_Paths!$A$2:$A$4, 0)),0)</f>
        <v>145</v>
      </c>
      <c r="K1028" s="6" t="n">
        <f aca="false">ROUND(INDEX(Archetypes!$H$2:$H$127, MATCH(D1028, Archetypes!$A$2:$A$127, 0))*INDEX(Unit_Paths!$E$2:$E$4, MATCH(E1028, Unit_Paths!$A$2:$A$4, 0)),1)</f>
        <v>15</v>
      </c>
      <c r="L1028" s="6" t="n">
        <f aca="false">ROUND(INDEX(Archetypes!$I$2:$I$127, MATCH(D1028, Archetypes!$A$2:$A$127, 0))*INDEX(Unit_Grades!$C$2:$C$7, MATCH(F1028, Unit_Grades!$A$2:$A$7, 0)),1)</f>
        <v>11</v>
      </c>
      <c r="M1028" s="6" t="n">
        <f aca="false">ROUND(INDEX(Archetypes!$J$2:$J$127, MATCH(D1028, Archetypes!$A$2:$A$127, 0))*INDEX(Unit_Grades!$D$2:$D$7, MATCH(F1028, Unit_Grades!$A$2:$A$7, 0)),1)</f>
        <v>4.5</v>
      </c>
      <c r="N1028" s="6" t="n">
        <f aca="false">ROUND(M1028/24,2)</f>
        <v>0.19</v>
      </c>
    </row>
    <row r="1029" customFormat="false" ht="15" hidden="false" customHeight="true" outlineLevel="0" collapsed="false">
      <c r="A1029" s="6" t="n">
        <v>4</v>
      </c>
      <c r="B1029" s="6" t="s">
        <v>2539</v>
      </c>
      <c r="C1029" s="6" t="s">
        <v>1382</v>
      </c>
      <c r="D1029" s="6" t="str">
        <f aca="false">A1029&amp;"|"&amp;C1029</f>
        <v>4|AT Infantry</v>
      </c>
      <c r="E1029" s="6" t="s">
        <v>1556</v>
      </c>
      <c r="F1029" s="6" t="s">
        <v>1540</v>
      </c>
      <c r="G1029" s="6" t="str">
        <f aca="false">INDEX(Archetypes!$D$2:$D$127, MATCH(D1029, Archetypes!$A$2:$A$127, 0))</f>
        <v>Anti-Armor</v>
      </c>
      <c r="H1029" s="6" t="n">
        <f aca="false">ROUND(INDEX(Archetypes!$E$2:$E$127, MATCH(D1029, Archetypes!$A$2:$A$127, 0))*INDEX(Unit_Grades!$B$2:$B$7, MATCH(F1029, Unit_Grades!$A$2:$A$7, 0))*INDEX(Unit_Paths!$B$2:$B$4, MATCH(E1029, Unit_Paths!$A$2:$A$4, 0)),1)</f>
        <v>108</v>
      </c>
      <c r="I1029" s="6" t="n">
        <f aca="false">ROUND(INDEX(Archetypes!$F$2:$F$127, MATCH(D1029, Archetypes!$A$2:$A$127, 0))*INDEX(Unit_Grades!$B$2:$B$7, MATCH(F1029, Unit_Grades!$A$2:$A$7, 0))*INDEX(Unit_Paths!$C$2:$C$4, MATCH(E1029, Unit_Paths!$A$2:$A$4, 0)),1)</f>
        <v>56.7</v>
      </c>
      <c r="J1029" s="6" t="n">
        <f aca="false">ROUND(INDEX(Archetypes!$G$2:$G$127, MATCH(D1029, Archetypes!$A$2:$A$127, 0))*INDEX(Unit_Grades!$B$2:$B$7, MATCH(F1029, Unit_Grades!$A$2:$A$7, 0))*INDEX(Unit_Paths!$D$2:$D$4, MATCH(E1029, Unit_Paths!$A$2:$A$4, 0)),0)</f>
        <v>196</v>
      </c>
      <c r="K1029" s="6" t="n">
        <f aca="false">ROUND(INDEX(Archetypes!$H$2:$H$127, MATCH(D1029, Archetypes!$A$2:$A$127, 0))*INDEX(Unit_Paths!$E$2:$E$4, MATCH(E1029, Unit_Paths!$A$2:$A$4, 0)),1)</f>
        <v>15</v>
      </c>
      <c r="L1029" s="6" t="n">
        <f aca="false">ROUND(INDEX(Archetypes!$I$2:$I$127, MATCH(D1029, Archetypes!$A$2:$A$127, 0))*INDEX(Unit_Grades!$C$2:$C$7, MATCH(F1029, Unit_Grades!$A$2:$A$7, 0)),1)</f>
        <v>13.8</v>
      </c>
      <c r="M1029" s="6" t="n">
        <f aca="false">ROUND(INDEX(Archetypes!$J$2:$J$127, MATCH(D1029, Archetypes!$A$2:$A$127, 0))*INDEX(Unit_Grades!$D$2:$D$7, MATCH(F1029, Unit_Grades!$A$2:$A$7, 0)),1)</f>
        <v>6.7</v>
      </c>
      <c r="N1029" s="6" t="n">
        <f aca="false">ROUND(M1029/24,2)</f>
        <v>0.28</v>
      </c>
    </row>
    <row r="1030" customFormat="false" ht="15" hidden="false" customHeight="true" outlineLevel="0" collapsed="false">
      <c r="A1030" s="6" t="n">
        <v>4</v>
      </c>
      <c r="B1030" s="6" t="s">
        <v>2540</v>
      </c>
      <c r="C1030" s="6" t="s">
        <v>1382</v>
      </c>
      <c r="D1030" s="6" t="str">
        <f aca="false">A1030&amp;"|"&amp;C1030</f>
        <v>4|AT Infantry</v>
      </c>
      <c r="E1030" s="6" t="s">
        <v>1556</v>
      </c>
      <c r="F1030" s="6" t="s">
        <v>1542</v>
      </c>
      <c r="G1030" s="6" t="str">
        <f aca="false">INDEX(Archetypes!$D$2:$D$127, MATCH(D1030, Archetypes!$A$2:$A$127, 0))</f>
        <v>Anti-Armor</v>
      </c>
      <c r="H1030" s="6" t="n">
        <f aca="false">ROUND(INDEX(Archetypes!$E$2:$E$127, MATCH(D1030, Archetypes!$A$2:$A$127, 0))*INDEX(Unit_Grades!$B$2:$B$7, MATCH(F1030, Unit_Grades!$A$2:$A$7, 0))*INDEX(Unit_Paths!$B$2:$B$4, MATCH(E1030, Unit_Paths!$A$2:$A$4, 0)),1)</f>
        <v>144</v>
      </c>
      <c r="I1030" s="6" t="n">
        <f aca="false">ROUND(INDEX(Archetypes!$F$2:$F$127, MATCH(D1030, Archetypes!$A$2:$A$127, 0))*INDEX(Unit_Grades!$B$2:$B$7, MATCH(F1030, Unit_Grades!$A$2:$A$7, 0))*INDEX(Unit_Paths!$C$2:$C$4, MATCH(E1030, Unit_Paths!$A$2:$A$4, 0)),1)</f>
        <v>75.6</v>
      </c>
      <c r="J1030" s="6" t="n">
        <f aca="false">ROUND(INDEX(Archetypes!$G$2:$G$127, MATCH(D1030, Archetypes!$A$2:$A$127, 0))*INDEX(Unit_Grades!$B$2:$B$7, MATCH(F1030, Unit_Grades!$A$2:$A$7, 0))*INDEX(Unit_Paths!$D$2:$D$4, MATCH(E1030, Unit_Paths!$A$2:$A$4, 0)),0)</f>
        <v>261</v>
      </c>
      <c r="K1030" s="6" t="n">
        <f aca="false">ROUND(INDEX(Archetypes!$H$2:$H$127, MATCH(D1030, Archetypes!$A$2:$A$127, 0))*INDEX(Unit_Paths!$E$2:$E$4, MATCH(E1030, Unit_Paths!$A$2:$A$4, 0)),1)</f>
        <v>15</v>
      </c>
      <c r="L1030" s="6" t="n">
        <f aca="false">ROUND(INDEX(Archetypes!$I$2:$I$127, MATCH(D1030, Archetypes!$A$2:$A$127, 0))*INDEX(Unit_Grades!$C$2:$C$7, MATCH(F1030, Unit_Grades!$A$2:$A$7, 0)),1)</f>
        <v>17.6</v>
      </c>
      <c r="M1030" s="6" t="n">
        <f aca="false">ROUND(INDEX(Archetypes!$J$2:$J$127, MATCH(D1030, Archetypes!$A$2:$A$127, 0))*INDEX(Unit_Grades!$D$2:$D$7, MATCH(F1030, Unit_Grades!$A$2:$A$7, 0)),1)</f>
        <v>11.2</v>
      </c>
      <c r="N1030" s="6" t="n">
        <f aca="false">ROUND(M1030/24,2)</f>
        <v>0.47</v>
      </c>
    </row>
    <row r="1031" customFormat="false" ht="15" hidden="false" customHeight="true" outlineLevel="0" collapsed="false">
      <c r="A1031" s="6" t="n">
        <v>4</v>
      </c>
      <c r="B1031" s="6" t="s">
        <v>2541</v>
      </c>
      <c r="C1031" s="6" t="s">
        <v>1382</v>
      </c>
      <c r="D1031" s="6" t="str">
        <f aca="false">A1031&amp;"|"&amp;C1031</f>
        <v>4|AT Infantry</v>
      </c>
      <c r="E1031" s="6" t="s">
        <v>1556</v>
      </c>
      <c r="F1031" s="6" t="s">
        <v>1544</v>
      </c>
      <c r="G1031" s="6" t="str">
        <f aca="false">INDEX(Archetypes!$D$2:$D$127, MATCH(D1031, Archetypes!$A$2:$A$127, 0))</f>
        <v>Anti-Armor</v>
      </c>
      <c r="H1031" s="6" t="n">
        <f aca="false">ROUND(INDEX(Archetypes!$E$2:$E$127, MATCH(D1031, Archetypes!$A$2:$A$127, 0))*INDEX(Unit_Grades!$B$2:$B$7, MATCH(F1031, Unit_Grades!$A$2:$A$7, 0))*INDEX(Unit_Paths!$B$2:$B$4, MATCH(E1031, Unit_Paths!$A$2:$A$4, 0)),1)</f>
        <v>192</v>
      </c>
      <c r="I1031" s="6" t="n">
        <f aca="false">ROUND(INDEX(Archetypes!$F$2:$F$127, MATCH(D1031, Archetypes!$A$2:$A$127, 0))*INDEX(Unit_Grades!$B$2:$B$7, MATCH(F1031, Unit_Grades!$A$2:$A$7, 0))*INDEX(Unit_Paths!$C$2:$C$4, MATCH(E1031, Unit_Paths!$A$2:$A$4, 0)),1)</f>
        <v>100.8</v>
      </c>
      <c r="J1031" s="6" t="n">
        <f aca="false">ROUND(INDEX(Archetypes!$G$2:$G$127, MATCH(D1031, Archetypes!$A$2:$A$127, 0))*INDEX(Unit_Grades!$B$2:$B$7, MATCH(F1031, Unit_Grades!$A$2:$A$7, 0))*INDEX(Unit_Paths!$D$2:$D$4, MATCH(E1031, Unit_Paths!$A$2:$A$4, 0)),0)</f>
        <v>348</v>
      </c>
      <c r="K1031" s="6" t="n">
        <f aca="false">ROUND(INDEX(Archetypes!$H$2:$H$127, MATCH(D1031, Archetypes!$A$2:$A$127, 0))*INDEX(Unit_Paths!$E$2:$E$4, MATCH(E1031, Unit_Paths!$A$2:$A$4, 0)),1)</f>
        <v>15</v>
      </c>
      <c r="L1031" s="6" t="n">
        <f aca="false">ROUND(INDEX(Archetypes!$I$2:$I$127, MATCH(D1031, Archetypes!$A$2:$A$127, 0))*INDEX(Unit_Grades!$C$2:$C$7, MATCH(F1031, Unit_Grades!$A$2:$A$7, 0)),1)</f>
        <v>23.1</v>
      </c>
      <c r="M1031" s="6" t="n">
        <f aca="false">ROUND(INDEX(Archetypes!$J$2:$J$127, MATCH(D1031, Archetypes!$A$2:$A$127, 0))*INDEX(Unit_Grades!$D$2:$D$7, MATCH(F1031, Unit_Grades!$A$2:$A$7, 0)),1)</f>
        <v>17.8</v>
      </c>
      <c r="N1031" s="6" t="n">
        <f aca="false">ROUND(M1031/24,2)</f>
        <v>0.74</v>
      </c>
    </row>
    <row r="1032" customFormat="false" ht="15" hidden="false" customHeight="true" outlineLevel="0" collapsed="false">
      <c r="A1032" s="6" t="n">
        <v>4</v>
      </c>
      <c r="B1032" s="6" t="s">
        <v>2542</v>
      </c>
      <c r="C1032" s="6" t="s">
        <v>1382</v>
      </c>
      <c r="D1032" s="6" t="str">
        <f aca="false">A1032&amp;"|"&amp;C1032</f>
        <v>4|AT Infantry</v>
      </c>
      <c r="E1032" s="6" t="s">
        <v>1556</v>
      </c>
      <c r="F1032" s="6" t="s">
        <v>1546</v>
      </c>
      <c r="G1032" s="6" t="str">
        <f aca="false">INDEX(Archetypes!$D$2:$D$127, MATCH(D1032, Archetypes!$A$2:$A$127, 0))</f>
        <v>Anti-Armor</v>
      </c>
      <c r="H1032" s="6" t="n">
        <f aca="false">ROUND(INDEX(Archetypes!$E$2:$E$127, MATCH(D1032, Archetypes!$A$2:$A$127, 0))*INDEX(Unit_Grades!$B$2:$B$7, MATCH(F1032, Unit_Grades!$A$2:$A$7, 0))*INDEX(Unit_Paths!$B$2:$B$4, MATCH(E1032, Unit_Paths!$A$2:$A$4, 0)),1)</f>
        <v>256</v>
      </c>
      <c r="I1032" s="6" t="n">
        <f aca="false">ROUND(INDEX(Archetypes!$F$2:$F$127, MATCH(D1032, Archetypes!$A$2:$A$127, 0))*INDEX(Unit_Grades!$B$2:$B$7, MATCH(F1032, Unit_Grades!$A$2:$A$7, 0))*INDEX(Unit_Paths!$C$2:$C$4, MATCH(E1032, Unit_Paths!$A$2:$A$4, 0)),1)</f>
        <v>134.4</v>
      </c>
      <c r="J1032" s="6" t="n">
        <f aca="false">ROUND(INDEX(Archetypes!$G$2:$G$127, MATCH(D1032, Archetypes!$A$2:$A$127, 0))*INDEX(Unit_Grades!$B$2:$B$7, MATCH(F1032, Unit_Grades!$A$2:$A$7, 0))*INDEX(Unit_Paths!$D$2:$D$4, MATCH(E1032, Unit_Paths!$A$2:$A$4, 0)),0)</f>
        <v>464</v>
      </c>
      <c r="K1032" s="6" t="n">
        <f aca="false">ROUND(INDEX(Archetypes!$H$2:$H$127, MATCH(D1032, Archetypes!$A$2:$A$127, 0))*INDEX(Unit_Paths!$E$2:$E$4, MATCH(E1032, Unit_Paths!$A$2:$A$4, 0)),1)</f>
        <v>15</v>
      </c>
      <c r="L1032" s="6" t="n">
        <f aca="false">ROUND(INDEX(Archetypes!$I$2:$I$127, MATCH(D1032, Archetypes!$A$2:$A$127, 0))*INDEX(Unit_Grades!$C$2:$C$7, MATCH(F1032, Unit_Grades!$A$2:$A$7, 0)),1)</f>
        <v>30.8</v>
      </c>
      <c r="M1032" s="6" t="n">
        <f aca="false">ROUND(INDEX(Archetypes!$J$2:$J$127, MATCH(D1032, Archetypes!$A$2:$A$127, 0))*INDEX(Unit_Grades!$D$2:$D$7, MATCH(F1032, Unit_Grades!$A$2:$A$7, 0)),1)</f>
        <v>31.2</v>
      </c>
      <c r="N1032" s="6" t="n">
        <f aca="false">ROUND(M1032/24,2)</f>
        <v>1.3</v>
      </c>
    </row>
    <row r="1033" customFormat="false" ht="15" hidden="false" customHeight="true" outlineLevel="0" collapsed="false">
      <c r="A1033" s="6" t="n">
        <v>4</v>
      </c>
      <c r="B1033" s="6" t="s">
        <v>2543</v>
      </c>
      <c r="C1033" s="6" t="s">
        <v>1382</v>
      </c>
      <c r="D1033" s="6" t="str">
        <f aca="false">A1033&amp;"|"&amp;C1033</f>
        <v>4|AT Infantry</v>
      </c>
      <c r="E1033" s="6" t="s">
        <v>1556</v>
      </c>
      <c r="F1033" s="6" t="s">
        <v>1548</v>
      </c>
      <c r="G1033" s="6" t="str">
        <f aca="false">INDEX(Archetypes!$D$2:$D$127, MATCH(D1033, Archetypes!$A$2:$A$127, 0))</f>
        <v>Anti-Armor</v>
      </c>
      <c r="H1033" s="6" t="n">
        <f aca="false">ROUND(INDEX(Archetypes!$E$2:$E$127, MATCH(D1033, Archetypes!$A$2:$A$127, 0))*INDEX(Unit_Grades!$B$2:$B$7, MATCH(F1033, Unit_Grades!$A$2:$A$7, 0))*INDEX(Unit_Paths!$B$2:$B$4, MATCH(E1033, Unit_Paths!$A$2:$A$4, 0)),1)</f>
        <v>336</v>
      </c>
      <c r="I1033" s="6" t="n">
        <f aca="false">ROUND(INDEX(Archetypes!$F$2:$F$127, MATCH(D1033, Archetypes!$A$2:$A$127, 0))*INDEX(Unit_Grades!$B$2:$B$7, MATCH(F1033, Unit_Grades!$A$2:$A$7, 0))*INDEX(Unit_Paths!$C$2:$C$4, MATCH(E1033, Unit_Paths!$A$2:$A$4, 0)),1)</f>
        <v>176.4</v>
      </c>
      <c r="J1033" s="6" t="n">
        <f aca="false">ROUND(INDEX(Archetypes!$G$2:$G$127, MATCH(D1033, Archetypes!$A$2:$A$127, 0))*INDEX(Unit_Grades!$B$2:$B$7, MATCH(F1033, Unit_Grades!$A$2:$A$7, 0))*INDEX(Unit_Paths!$D$2:$D$4, MATCH(E1033, Unit_Paths!$A$2:$A$4, 0)),0)</f>
        <v>609</v>
      </c>
      <c r="K1033" s="6" t="n">
        <f aca="false">ROUND(INDEX(Archetypes!$H$2:$H$127, MATCH(D1033, Archetypes!$A$2:$A$127, 0))*INDEX(Unit_Paths!$E$2:$E$4, MATCH(E1033, Unit_Paths!$A$2:$A$4, 0)),1)</f>
        <v>15</v>
      </c>
      <c r="L1033" s="6" t="n">
        <f aca="false">ROUND(INDEX(Archetypes!$I$2:$I$127, MATCH(D1033, Archetypes!$A$2:$A$127, 0))*INDEX(Unit_Grades!$C$2:$C$7, MATCH(F1033, Unit_Grades!$A$2:$A$7, 0)),1)</f>
        <v>40.7</v>
      </c>
      <c r="M1033" s="6" t="n">
        <f aca="false">ROUND(INDEX(Archetypes!$J$2:$J$127, MATCH(D1033, Archetypes!$A$2:$A$127, 0))*INDEX(Unit_Grades!$D$2:$D$7, MATCH(F1033, Unit_Grades!$A$2:$A$7, 0)),1)</f>
        <v>53.5</v>
      </c>
      <c r="N1033" s="6" t="n">
        <f aca="false">ROUND(M1033/24,2)</f>
        <v>2.23</v>
      </c>
    </row>
    <row r="1034" customFormat="false" ht="15" hidden="false" customHeight="true" outlineLevel="0" collapsed="false">
      <c r="A1034" s="6" t="n">
        <v>4</v>
      </c>
      <c r="B1034" s="6" t="s">
        <v>2544</v>
      </c>
      <c r="C1034" s="6" t="s">
        <v>1382</v>
      </c>
      <c r="D1034" s="6" t="str">
        <f aca="false">A1034&amp;"|"&amp;C1034</f>
        <v>4|AT Infantry</v>
      </c>
      <c r="E1034" s="6" t="s">
        <v>1558</v>
      </c>
      <c r="F1034" s="6" t="s">
        <v>1538</v>
      </c>
      <c r="G1034" s="6" t="str">
        <f aca="false">INDEX(Archetypes!$D$2:$D$127, MATCH(D1034, Archetypes!$A$2:$A$127, 0))</f>
        <v>Anti-Armor</v>
      </c>
      <c r="H1034" s="6" t="n">
        <f aca="false">ROUND(INDEX(Archetypes!$E$2:$E$127, MATCH(D1034, Archetypes!$A$2:$A$127, 0))*INDEX(Unit_Grades!$B$2:$B$7, MATCH(F1034, Unit_Grades!$A$2:$A$7, 0))*INDEX(Unit_Paths!$B$2:$B$4, MATCH(E1034, Unit_Paths!$A$2:$A$4, 0)),1)</f>
        <v>96</v>
      </c>
      <c r="I1034" s="6" t="n">
        <f aca="false">ROUND(INDEX(Archetypes!$F$2:$F$127, MATCH(D1034, Archetypes!$A$2:$A$127, 0))*INDEX(Unit_Grades!$B$2:$B$7, MATCH(F1034, Unit_Grades!$A$2:$A$7, 0))*INDEX(Unit_Paths!$C$2:$C$4, MATCH(E1034, Unit_Paths!$A$2:$A$4, 0)),1)</f>
        <v>35.7</v>
      </c>
      <c r="J1034" s="6" t="n">
        <f aca="false">ROUND(INDEX(Archetypes!$G$2:$G$127, MATCH(D1034, Archetypes!$A$2:$A$127, 0))*INDEX(Unit_Grades!$B$2:$B$7, MATCH(F1034, Unit_Grades!$A$2:$A$7, 0))*INDEX(Unit_Paths!$D$2:$D$4, MATCH(E1034, Unit_Paths!$A$2:$A$4, 0)),0)</f>
        <v>138</v>
      </c>
      <c r="K1034" s="6" t="n">
        <f aca="false">ROUND(INDEX(Archetypes!$H$2:$H$127, MATCH(D1034, Archetypes!$A$2:$A$127, 0))*INDEX(Unit_Paths!$E$2:$E$4, MATCH(E1034, Unit_Paths!$A$2:$A$4, 0)),1)</f>
        <v>15.8</v>
      </c>
      <c r="L1034" s="6" t="n">
        <f aca="false">ROUND(INDEX(Archetypes!$I$2:$I$127, MATCH(D1034, Archetypes!$A$2:$A$127, 0))*INDEX(Unit_Grades!$C$2:$C$7, MATCH(F1034, Unit_Grades!$A$2:$A$7, 0)),1)</f>
        <v>11</v>
      </c>
      <c r="M1034" s="6" t="n">
        <f aca="false">ROUND(INDEX(Archetypes!$J$2:$J$127, MATCH(D1034, Archetypes!$A$2:$A$127, 0))*INDEX(Unit_Grades!$D$2:$D$7, MATCH(F1034, Unit_Grades!$A$2:$A$7, 0)),1)</f>
        <v>4.5</v>
      </c>
      <c r="N1034" s="6" t="n">
        <f aca="false">ROUND(M1034/24,2)</f>
        <v>0.19</v>
      </c>
    </row>
    <row r="1035" customFormat="false" ht="15" hidden="false" customHeight="true" outlineLevel="0" collapsed="false">
      <c r="A1035" s="6" t="n">
        <v>4</v>
      </c>
      <c r="B1035" s="6" t="s">
        <v>2545</v>
      </c>
      <c r="C1035" s="6" t="s">
        <v>1382</v>
      </c>
      <c r="D1035" s="6" t="str">
        <f aca="false">A1035&amp;"|"&amp;C1035</f>
        <v>4|AT Infantry</v>
      </c>
      <c r="E1035" s="6" t="s">
        <v>1558</v>
      </c>
      <c r="F1035" s="6" t="s">
        <v>1540</v>
      </c>
      <c r="G1035" s="6" t="str">
        <f aca="false">INDEX(Archetypes!$D$2:$D$127, MATCH(D1035, Archetypes!$A$2:$A$127, 0))</f>
        <v>Anti-Armor</v>
      </c>
      <c r="H1035" s="6" t="n">
        <f aca="false">ROUND(INDEX(Archetypes!$E$2:$E$127, MATCH(D1035, Archetypes!$A$2:$A$127, 0))*INDEX(Unit_Grades!$B$2:$B$7, MATCH(F1035, Unit_Grades!$A$2:$A$7, 0))*INDEX(Unit_Paths!$B$2:$B$4, MATCH(E1035, Unit_Paths!$A$2:$A$4, 0)),1)</f>
        <v>129.6</v>
      </c>
      <c r="I1035" s="6" t="n">
        <f aca="false">ROUND(INDEX(Archetypes!$F$2:$F$127, MATCH(D1035, Archetypes!$A$2:$A$127, 0))*INDEX(Unit_Grades!$B$2:$B$7, MATCH(F1035, Unit_Grades!$A$2:$A$7, 0))*INDEX(Unit_Paths!$C$2:$C$4, MATCH(E1035, Unit_Paths!$A$2:$A$4, 0)),1)</f>
        <v>48.2</v>
      </c>
      <c r="J1035" s="6" t="n">
        <f aca="false">ROUND(INDEX(Archetypes!$G$2:$G$127, MATCH(D1035, Archetypes!$A$2:$A$127, 0))*INDEX(Unit_Grades!$B$2:$B$7, MATCH(F1035, Unit_Grades!$A$2:$A$7, 0))*INDEX(Unit_Paths!$D$2:$D$4, MATCH(E1035, Unit_Paths!$A$2:$A$4, 0)),0)</f>
        <v>186</v>
      </c>
      <c r="K1035" s="6" t="n">
        <f aca="false">ROUND(INDEX(Archetypes!$H$2:$H$127, MATCH(D1035, Archetypes!$A$2:$A$127, 0))*INDEX(Unit_Paths!$E$2:$E$4, MATCH(E1035, Unit_Paths!$A$2:$A$4, 0)),1)</f>
        <v>15.8</v>
      </c>
      <c r="L1035" s="6" t="n">
        <f aca="false">ROUND(INDEX(Archetypes!$I$2:$I$127, MATCH(D1035, Archetypes!$A$2:$A$127, 0))*INDEX(Unit_Grades!$C$2:$C$7, MATCH(F1035, Unit_Grades!$A$2:$A$7, 0)),1)</f>
        <v>13.8</v>
      </c>
      <c r="M1035" s="6" t="n">
        <f aca="false">ROUND(INDEX(Archetypes!$J$2:$J$127, MATCH(D1035, Archetypes!$A$2:$A$127, 0))*INDEX(Unit_Grades!$D$2:$D$7, MATCH(F1035, Unit_Grades!$A$2:$A$7, 0)),1)</f>
        <v>6.7</v>
      </c>
      <c r="N1035" s="6" t="n">
        <f aca="false">ROUND(M1035/24,2)</f>
        <v>0.28</v>
      </c>
    </row>
    <row r="1036" customFormat="false" ht="15" hidden="false" customHeight="true" outlineLevel="0" collapsed="false">
      <c r="A1036" s="6" t="n">
        <v>4</v>
      </c>
      <c r="B1036" s="6" t="s">
        <v>2546</v>
      </c>
      <c r="C1036" s="6" t="s">
        <v>1382</v>
      </c>
      <c r="D1036" s="6" t="str">
        <f aca="false">A1036&amp;"|"&amp;C1036</f>
        <v>4|AT Infantry</v>
      </c>
      <c r="E1036" s="6" t="s">
        <v>1558</v>
      </c>
      <c r="F1036" s="6" t="s">
        <v>1542</v>
      </c>
      <c r="G1036" s="6" t="str">
        <f aca="false">INDEX(Archetypes!$D$2:$D$127, MATCH(D1036, Archetypes!$A$2:$A$127, 0))</f>
        <v>Anti-Armor</v>
      </c>
      <c r="H1036" s="6" t="n">
        <f aca="false">ROUND(INDEX(Archetypes!$E$2:$E$127, MATCH(D1036, Archetypes!$A$2:$A$127, 0))*INDEX(Unit_Grades!$B$2:$B$7, MATCH(F1036, Unit_Grades!$A$2:$A$7, 0))*INDEX(Unit_Paths!$B$2:$B$4, MATCH(E1036, Unit_Paths!$A$2:$A$4, 0)),1)</f>
        <v>172.8</v>
      </c>
      <c r="I1036" s="6" t="n">
        <f aca="false">ROUND(INDEX(Archetypes!$F$2:$F$127, MATCH(D1036, Archetypes!$A$2:$A$127, 0))*INDEX(Unit_Grades!$B$2:$B$7, MATCH(F1036, Unit_Grades!$A$2:$A$7, 0))*INDEX(Unit_Paths!$C$2:$C$4, MATCH(E1036, Unit_Paths!$A$2:$A$4, 0)),1)</f>
        <v>64.3</v>
      </c>
      <c r="J1036" s="6" t="n">
        <f aca="false">ROUND(INDEX(Archetypes!$G$2:$G$127, MATCH(D1036, Archetypes!$A$2:$A$127, 0))*INDEX(Unit_Grades!$B$2:$B$7, MATCH(F1036, Unit_Grades!$A$2:$A$7, 0))*INDEX(Unit_Paths!$D$2:$D$4, MATCH(E1036, Unit_Paths!$A$2:$A$4, 0)),0)</f>
        <v>248</v>
      </c>
      <c r="K1036" s="6" t="n">
        <f aca="false">ROUND(INDEX(Archetypes!$H$2:$H$127, MATCH(D1036, Archetypes!$A$2:$A$127, 0))*INDEX(Unit_Paths!$E$2:$E$4, MATCH(E1036, Unit_Paths!$A$2:$A$4, 0)),1)</f>
        <v>15.8</v>
      </c>
      <c r="L1036" s="6" t="n">
        <f aca="false">ROUND(INDEX(Archetypes!$I$2:$I$127, MATCH(D1036, Archetypes!$A$2:$A$127, 0))*INDEX(Unit_Grades!$C$2:$C$7, MATCH(F1036, Unit_Grades!$A$2:$A$7, 0)),1)</f>
        <v>17.6</v>
      </c>
      <c r="M1036" s="6" t="n">
        <f aca="false">ROUND(INDEX(Archetypes!$J$2:$J$127, MATCH(D1036, Archetypes!$A$2:$A$127, 0))*INDEX(Unit_Grades!$D$2:$D$7, MATCH(F1036, Unit_Grades!$A$2:$A$7, 0)),1)</f>
        <v>11.2</v>
      </c>
      <c r="N1036" s="6" t="n">
        <f aca="false">ROUND(M1036/24,2)</f>
        <v>0.47</v>
      </c>
    </row>
    <row r="1037" customFormat="false" ht="15" hidden="false" customHeight="true" outlineLevel="0" collapsed="false">
      <c r="A1037" s="6" t="n">
        <v>4</v>
      </c>
      <c r="B1037" s="6" t="s">
        <v>2547</v>
      </c>
      <c r="C1037" s="6" t="s">
        <v>1382</v>
      </c>
      <c r="D1037" s="6" t="str">
        <f aca="false">A1037&amp;"|"&amp;C1037</f>
        <v>4|AT Infantry</v>
      </c>
      <c r="E1037" s="6" t="s">
        <v>1558</v>
      </c>
      <c r="F1037" s="6" t="s">
        <v>1544</v>
      </c>
      <c r="G1037" s="6" t="str">
        <f aca="false">INDEX(Archetypes!$D$2:$D$127, MATCH(D1037, Archetypes!$A$2:$A$127, 0))</f>
        <v>Anti-Armor</v>
      </c>
      <c r="H1037" s="6" t="n">
        <f aca="false">ROUND(INDEX(Archetypes!$E$2:$E$127, MATCH(D1037, Archetypes!$A$2:$A$127, 0))*INDEX(Unit_Grades!$B$2:$B$7, MATCH(F1037, Unit_Grades!$A$2:$A$7, 0))*INDEX(Unit_Paths!$B$2:$B$4, MATCH(E1037, Unit_Paths!$A$2:$A$4, 0)),1)</f>
        <v>230.4</v>
      </c>
      <c r="I1037" s="6" t="n">
        <f aca="false">ROUND(INDEX(Archetypes!$F$2:$F$127, MATCH(D1037, Archetypes!$A$2:$A$127, 0))*INDEX(Unit_Grades!$B$2:$B$7, MATCH(F1037, Unit_Grades!$A$2:$A$7, 0))*INDEX(Unit_Paths!$C$2:$C$4, MATCH(E1037, Unit_Paths!$A$2:$A$4, 0)),1)</f>
        <v>85.7</v>
      </c>
      <c r="J1037" s="6" t="n">
        <f aca="false">ROUND(INDEX(Archetypes!$G$2:$G$127, MATCH(D1037, Archetypes!$A$2:$A$127, 0))*INDEX(Unit_Grades!$B$2:$B$7, MATCH(F1037, Unit_Grades!$A$2:$A$7, 0))*INDEX(Unit_Paths!$D$2:$D$4, MATCH(E1037, Unit_Paths!$A$2:$A$4, 0)),0)</f>
        <v>331</v>
      </c>
      <c r="K1037" s="6" t="n">
        <f aca="false">ROUND(INDEX(Archetypes!$H$2:$H$127, MATCH(D1037, Archetypes!$A$2:$A$127, 0))*INDEX(Unit_Paths!$E$2:$E$4, MATCH(E1037, Unit_Paths!$A$2:$A$4, 0)),1)</f>
        <v>15.8</v>
      </c>
      <c r="L1037" s="6" t="n">
        <f aca="false">ROUND(INDEX(Archetypes!$I$2:$I$127, MATCH(D1037, Archetypes!$A$2:$A$127, 0))*INDEX(Unit_Grades!$C$2:$C$7, MATCH(F1037, Unit_Grades!$A$2:$A$7, 0)),1)</f>
        <v>23.1</v>
      </c>
      <c r="M1037" s="6" t="n">
        <f aca="false">ROUND(INDEX(Archetypes!$J$2:$J$127, MATCH(D1037, Archetypes!$A$2:$A$127, 0))*INDEX(Unit_Grades!$D$2:$D$7, MATCH(F1037, Unit_Grades!$A$2:$A$7, 0)),1)</f>
        <v>17.8</v>
      </c>
      <c r="N1037" s="6" t="n">
        <f aca="false">ROUND(M1037/24,2)</f>
        <v>0.74</v>
      </c>
    </row>
    <row r="1038" customFormat="false" ht="15" hidden="false" customHeight="true" outlineLevel="0" collapsed="false">
      <c r="A1038" s="6" t="n">
        <v>4</v>
      </c>
      <c r="B1038" s="6" t="s">
        <v>2548</v>
      </c>
      <c r="C1038" s="6" t="s">
        <v>1382</v>
      </c>
      <c r="D1038" s="6" t="str">
        <f aca="false">A1038&amp;"|"&amp;C1038</f>
        <v>4|AT Infantry</v>
      </c>
      <c r="E1038" s="6" t="s">
        <v>1558</v>
      </c>
      <c r="F1038" s="6" t="s">
        <v>1546</v>
      </c>
      <c r="G1038" s="6" t="str">
        <f aca="false">INDEX(Archetypes!$D$2:$D$127, MATCH(D1038, Archetypes!$A$2:$A$127, 0))</f>
        <v>Anti-Armor</v>
      </c>
      <c r="H1038" s="6" t="n">
        <f aca="false">ROUND(INDEX(Archetypes!$E$2:$E$127, MATCH(D1038, Archetypes!$A$2:$A$127, 0))*INDEX(Unit_Grades!$B$2:$B$7, MATCH(F1038, Unit_Grades!$A$2:$A$7, 0))*INDEX(Unit_Paths!$B$2:$B$4, MATCH(E1038, Unit_Paths!$A$2:$A$4, 0)),1)</f>
        <v>307.2</v>
      </c>
      <c r="I1038" s="6" t="n">
        <f aca="false">ROUND(INDEX(Archetypes!$F$2:$F$127, MATCH(D1038, Archetypes!$A$2:$A$127, 0))*INDEX(Unit_Grades!$B$2:$B$7, MATCH(F1038, Unit_Grades!$A$2:$A$7, 0))*INDEX(Unit_Paths!$C$2:$C$4, MATCH(E1038, Unit_Paths!$A$2:$A$4, 0)),1)</f>
        <v>114.2</v>
      </c>
      <c r="J1038" s="6" t="n">
        <f aca="false">ROUND(INDEX(Archetypes!$G$2:$G$127, MATCH(D1038, Archetypes!$A$2:$A$127, 0))*INDEX(Unit_Grades!$B$2:$B$7, MATCH(F1038, Unit_Grades!$A$2:$A$7, 0))*INDEX(Unit_Paths!$D$2:$D$4, MATCH(E1038, Unit_Paths!$A$2:$A$4, 0)),0)</f>
        <v>441</v>
      </c>
      <c r="K1038" s="6" t="n">
        <f aca="false">ROUND(INDEX(Archetypes!$H$2:$H$127, MATCH(D1038, Archetypes!$A$2:$A$127, 0))*INDEX(Unit_Paths!$E$2:$E$4, MATCH(E1038, Unit_Paths!$A$2:$A$4, 0)),1)</f>
        <v>15.8</v>
      </c>
      <c r="L1038" s="6" t="n">
        <f aca="false">ROUND(INDEX(Archetypes!$I$2:$I$127, MATCH(D1038, Archetypes!$A$2:$A$127, 0))*INDEX(Unit_Grades!$C$2:$C$7, MATCH(F1038, Unit_Grades!$A$2:$A$7, 0)),1)</f>
        <v>30.8</v>
      </c>
      <c r="M1038" s="6" t="n">
        <f aca="false">ROUND(INDEX(Archetypes!$J$2:$J$127, MATCH(D1038, Archetypes!$A$2:$A$127, 0))*INDEX(Unit_Grades!$D$2:$D$7, MATCH(F1038, Unit_Grades!$A$2:$A$7, 0)),1)</f>
        <v>31.2</v>
      </c>
      <c r="N1038" s="6" t="n">
        <f aca="false">ROUND(M1038/24,2)</f>
        <v>1.3</v>
      </c>
    </row>
    <row r="1039" customFormat="false" ht="15" hidden="false" customHeight="true" outlineLevel="0" collapsed="false">
      <c r="A1039" s="6" t="n">
        <v>4</v>
      </c>
      <c r="B1039" s="6" t="s">
        <v>2549</v>
      </c>
      <c r="C1039" s="6" t="s">
        <v>1382</v>
      </c>
      <c r="D1039" s="6" t="str">
        <f aca="false">A1039&amp;"|"&amp;C1039</f>
        <v>4|AT Infantry</v>
      </c>
      <c r="E1039" s="6" t="s">
        <v>1558</v>
      </c>
      <c r="F1039" s="6" t="s">
        <v>1548</v>
      </c>
      <c r="G1039" s="6" t="str">
        <f aca="false">INDEX(Archetypes!$D$2:$D$127, MATCH(D1039, Archetypes!$A$2:$A$127, 0))</f>
        <v>Anti-Armor</v>
      </c>
      <c r="H1039" s="6" t="n">
        <f aca="false">ROUND(INDEX(Archetypes!$E$2:$E$127, MATCH(D1039, Archetypes!$A$2:$A$127, 0))*INDEX(Unit_Grades!$B$2:$B$7, MATCH(F1039, Unit_Grades!$A$2:$A$7, 0))*INDEX(Unit_Paths!$B$2:$B$4, MATCH(E1039, Unit_Paths!$A$2:$A$4, 0)),1)</f>
        <v>403.2</v>
      </c>
      <c r="I1039" s="6" t="n">
        <f aca="false">ROUND(INDEX(Archetypes!$F$2:$F$127, MATCH(D1039, Archetypes!$A$2:$A$127, 0))*INDEX(Unit_Grades!$B$2:$B$7, MATCH(F1039, Unit_Grades!$A$2:$A$7, 0))*INDEX(Unit_Paths!$C$2:$C$4, MATCH(E1039, Unit_Paths!$A$2:$A$4, 0)),1)</f>
        <v>149.9</v>
      </c>
      <c r="J1039" s="6" t="n">
        <f aca="false">ROUND(INDEX(Archetypes!$G$2:$G$127, MATCH(D1039, Archetypes!$A$2:$A$127, 0))*INDEX(Unit_Grades!$B$2:$B$7, MATCH(F1039, Unit_Grades!$A$2:$A$7, 0))*INDEX(Unit_Paths!$D$2:$D$4, MATCH(E1039, Unit_Paths!$A$2:$A$4, 0)),0)</f>
        <v>579</v>
      </c>
      <c r="K1039" s="6" t="n">
        <f aca="false">ROUND(INDEX(Archetypes!$H$2:$H$127, MATCH(D1039, Archetypes!$A$2:$A$127, 0))*INDEX(Unit_Paths!$E$2:$E$4, MATCH(E1039, Unit_Paths!$A$2:$A$4, 0)),1)</f>
        <v>15.8</v>
      </c>
      <c r="L1039" s="6" t="n">
        <f aca="false">ROUND(INDEX(Archetypes!$I$2:$I$127, MATCH(D1039, Archetypes!$A$2:$A$127, 0))*INDEX(Unit_Grades!$C$2:$C$7, MATCH(F1039, Unit_Grades!$A$2:$A$7, 0)),1)</f>
        <v>40.7</v>
      </c>
      <c r="M1039" s="6" t="n">
        <f aca="false">ROUND(INDEX(Archetypes!$J$2:$J$127, MATCH(D1039, Archetypes!$A$2:$A$127, 0))*INDEX(Unit_Grades!$D$2:$D$7, MATCH(F1039, Unit_Grades!$A$2:$A$7, 0)),1)</f>
        <v>53.5</v>
      </c>
      <c r="N1039" s="6" t="n">
        <f aca="false">ROUND(M1039/24,2)</f>
        <v>2.23</v>
      </c>
    </row>
    <row r="1040" customFormat="false" ht="15" hidden="false" customHeight="true" outlineLevel="0" collapsed="false">
      <c r="A1040" s="6" t="n">
        <v>4</v>
      </c>
      <c r="B1040" s="6" t="s">
        <v>2550</v>
      </c>
      <c r="C1040" s="6" t="s">
        <v>1382</v>
      </c>
      <c r="D1040" s="6" t="str">
        <f aca="false">A1040&amp;"|"&amp;C1040</f>
        <v>4|AT Infantry</v>
      </c>
      <c r="E1040" s="6" t="s">
        <v>1560</v>
      </c>
      <c r="F1040" s="6" t="s">
        <v>1538</v>
      </c>
      <c r="G1040" s="6" t="str">
        <f aca="false">INDEX(Archetypes!$D$2:$D$127, MATCH(D1040, Archetypes!$A$2:$A$127, 0))</f>
        <v>Anti-Armor</v>
      </c>
      <c r="H1040" s="6" t="n">
        <f aca="false">ROUND(INDEX(Archetypes!$E$2:$E$127, MATCH(D1040, Archetypes!$A$2:$A$127, 0))*INDEX(Unit_Grades!$B$2:$B$7, MATCH(F1040, Unit_Grades!$A$2:$A$7, 0))*INDEX(Unit_Paths!$B$2:$B$4, MATCH(E1040, Unit_Paths!$A$2:$A$4, 0)),1)</f>
        <v>68</v>
      </c>
      <c r="I1040" s="6" t="n">
        <f aca="false">ROUND(INDEX(Archetypes!$F$2:$F$127, MATCH(D1040, Archetypes!$A$2:$A$127, 0))*INDEX(Unit_Grades!$B$2:$B$7, MATCH(F1040, Unit_Grades!$A$2:$A$7, 0))*INDEX(Unit_Paths!$C$2:$C$4, MATCH(E1040, Unit_Paths!$A$2:$A$4, 0)),1)</f>
        <v>52.5</v>
      </c>
      <c r="J1040" s="6" t="n">
        <f aca="false">ROUND(INDEX(Archetypes!$G$2:$G$127, MATCH(D1040, Archetypes!$A$2:$A$127, 0))*INDEX(Unit_Grades!$B$2:$B$7, MATCH(F1040, Unit_Grades!$A$2:$A$7, 0))*INDEX(Unit_Paths!$D$2:$D$4, MATCH(E1040, Unit_Paths!$A$2:$A$4, 0)),0)</f>
        <v>167</v>
      </c>
      <c r="K1040" s="6" t="n">
        <f aca="false">ROUND(INDEX(Archetypes!$H$2:$H$127, MATCH(D1040, Archetypes!$A$2:$A$127, 0))*INDEX(Unit_Paths!$E$2:$E$4, MATCH(E1040, Unit_Paths!$A$2:$A$4, 0)),1)</f>
        <v>13.8</v>
      </c>
      <c r="L1040" s="6" t="n">
        <f aca="false">ROUND(INDEX(Archetypes!$I$2:$I$127, MATCH(D1040, Archetypes!$A$2:$A$127, 0))*INDEX(Unit_Grades!$C$2:$C$7, MATCH(F1040, Unit_Grades!$A$2:$A$7, 0)),1)</f>
        <v>11</v>
      </c>
      <c r="M1040" s="6" t="n">
        <f aca="false">ROUND(INDEX(Archetypes!$J$2:$J$127, MATCH(D1040, Archetypes!$A$2:$A$127, 0))*INDEX(Unit_Grades!$D$2:$D$7, MATCH(F1040, Unit_Grades!$A$2:$A$7, 0)),1)</f>
        <v>4.5</v>
      </c>
      <c r="N1040" s="6" t="n">
        <f aca="false">ROUND(M1040/24,2)</f>
        <v>0.19</v>
      </c>
    </row>
    <row r="1041" customFormat="false" ht="15" hidden="false" customHeight="true" outlineLevel="0" collapsed="false">
      <c r="A1041" s="6" t="n">
        <v>4</v>
      </c>
      <c r="B1041" s="6" t="s">
        <v>2551</v>
      </c>
      <c r="C1041" s="6" t="s">
        <v>1382</v>
      </c>
      <c r="D1041" s="6" t="str">
        <f aca="false">A1041&amp;"|"&amp;C1041</f>
        <v>4|AT Infantry</v>
      </c>
      <c r="E1041" s="6" t="s">
        <v>1560</v>
      </c>
      <c r="F1041" s="6" t="s">
        <v>1540</v>
      </c>
      <c r="G1041" s="6" t="str">
        <f aca="false">INDEX(Archetypes!$D$2:$D$127, MATCH(D1041, Archetypes!$A$2:$A$127, 0))</f>
        <v>Anti-Armor</v>
      </c>
      <c r="H1041" s="6" t="n">
        <f aca="false">ROUND(INDEX(Archetypes!$E$2:$E$127, MATCH(D1041, Archetypes!$A$2:$A$127, 0))*INDEX(Unit_Grades!$B$2:$B$7, MATCH(F1041, Unit_Grades!$A$2:$A$7, 0))*INDEX(Unit_Paths!$B$2:$B$4, MATCH(E1041, Unit_Paths!$A$2:$A$4, 0)),1)</f>
        <v>91.8</v>
      </c>
      <c r="I1041" s="6" t="n">
        <f aca="false">ROUND(INDEX(Archetypes!$F$2:$F$127, MATCH(D1041, Archetypes!$A$2:$A$127, 0))*INDEX(Unit_Grades!$B$2:$B$7, MATCH(F1041, Unit_Grades!$A$2:$A$7, 0))*INDEX(Unit_Paths!$C$2:$C$4, MATCH(E1041, Unit_Paths!$A$2:$A$4, 0)),1)</f>
        <v>70.9</v>
      </c>
      <c r="J1041" s="6" t="n">
        <f aca="false">ROUND(INDEX(Archetypes!$G$2:$G$127, MATCH(D1041, Archetypes!$A$2:$A$127, 0))*INDEX(Unit_Grades!$B$2:$B$7, MATCH(F1041, Unit_Grades!$A$2:$A$7, 0))*INDEX(Unit_Paths!$D$2:$D$4, MATCH(E1041, Unit_Paths!$A$2:$A$4, 0)),0)</f>
        <v>225</v>
      </c>
      <c r="K1041" s="6" t="n">
        <f aca="false">ROUND(INDEX(Archetypes!$H$2:$H$127, MATCH(D1041, Archetypes!$A$2:$A$127, 0))*INDEX(Unit_Paths!$E$2:$E$4, MATCH(E1041, Unit_Paths!$A$2:$A$4, 0)),1)</f>
        <v>13.8</v>
      </c>
      <c r="L1041" s="6" t="n">
        <f aca="false">ROUND(INDEX(Archetypes!$I$2:$I$127, MATCH(D1041, Archetypes!$A$2:$A$127, 0))*INDEX(Unit_Grades!$C$2:$C$7, MATCH(F1041, Unit_Grades!$A$2:$A$7, 0)),1)</f>
        <v>13.8</v>
      </c>
      <c r="M1041" s="6" t="n">
        <f aca="false">ROUND(INDEX(Archetypes!$J$2:$J$127, MATCH(D1041, Archetypes!$A$2:$A$127, 0))*INDEX(Unit_Grades!$D$2:$D$7, MATCH(F1041, Unit_Grades!$A$2:$A$7, 0)),1)</f>
        <v>6.7</v>
      </c>
      <c r="N1041" s="6" t="n">
        <f aca="false">ROUND(M1041/24,2)</f>
        <v>0.28</v>
      </c>
    </row>
    <row r="1042" customFormat="false" ht="15" hidden="false" customHeight="true" outlineLevel="0" collapsed="false">
      <c r="A1042" s="6" t="n">
        <v>4</v>
      </c>
      <c r="B1042" s="6" t="s">
        <v>2552</v>
      </c>
      <c r="C1042" s="6" t="s">
        <v>1382</v>
      </c>
      <c r="D1042" s="6" t="str">
        <f aca="false">A1042&amp;"|"&amp;C1042</f>
        <v>4|AT Infantry</v>
      </c>
      <c r="E1042" s="6" t="s">
        <v>1560</v>
      </c>
      <c r="F1042" s="6" t="s">
        <v>1542</v>
      </c>
      <c r="G1042" s="6" t="str">
        <f aca="false">INDEX(Archetypes!$D$2:$D$127, MATCH(D1042, Archetypes!$A$2:$A$127, 0))</f>
        <v>Anti-Armor</v>
      </c>
      <c r="H1042" s="6" t="n">
        <f aca="false">ROUND(INDEX(Archetypes!$E$2:$E$127, MATCH(D1042, Archetypes!$A$2:$A$127, 0))*INDEX(Unit_Grades!$B$2:$B$7, MATCH(F1042, Unit_Grades!$A$2:$A$7, 0))*INDEX(Unit_Paths!$B$2:$B$4, MATCH(E1042, Unit_Paths!$A$2:$A$4, 0)),1)</f>
        <v>122.4</v>
      </c>
      <c r="I1042" s="6" t="n">
        <f aca="false">ROUND(INDEX(Archetypes!$F$2:$F$127, MATCH(D1042, Archetypes!$A$2:$A$127, 0))*INDEX(Unit_Grades!$B$2:$B$7, MATCH(F1042, Unit_Grades!$A$2:$A$7, 0))*INDEX(Unit_Paths!$C$2:$C$4, MATCH(E1042, Unit_Paths!$A$2:$A$4, 0)),1)</f>
        <v>94.5</v>
      </c>
      <c r="J1042" s="6" t="n">
        <f aca="false">ROUND(INDEX(Archetypes!$G$2:$G$127, MATCH(D1042, Archetypes!$A$2:$A$127, 0))*INDEX(Unit_Grades!$B$2:$B$7, MATCH(F1042, Unit_Grades!$A$2:$A$7, 0))*INDEX(Unit_Paths!$D$2:$D$4, MATCH(E1042, Unit_Paths!$A$2:$A$4, 0)),0)</f>
        <v>300</v>
      </c>
      <c r="K1042" s="6" t="n">
        <f aca="false">ROUND(INDEX(Archetypes!$H$2:$H$127, MATCH(D1042, Archetypes!$A$2:$A$127, 0))*INDEX(Unit_Paths!$E$2:$E$4, MATCH(E1042, Unit_Paths!$A$2:$A$4, 0)),1)</f>
        <v>13.8</v>
      </c>
      <c r="L1042" s="6" t="n">
        <f aca="false">ROUND(INDEX(Archetypes!$I$2:$I$127, MATCH(D1042, Archetypes!$A$2:$A$127, 0))*INDEX(Unit_Grades!$C$2:$C$7, MATCH(F1042, Unit_Grades!$A$2:$A$7, 0)),1)</f>
        <v>17.6</v>
      </c>
      <c r="M1042" s="6" t="n">
        <f aca="false">ROUND(INDEX(Archetypes!$J$2:$J$127, MATCH(D1042, Archetypes!$A$2:$A$127, 0))*INDEX(Unit_Grades!$D$2:$D$7, MATCH(F1042, Unit_Grades!$A$2:$A$7, 0)),1)</f>
        <v>11.2</v>
      </c>
      <c r="N1042" s="6" t="n">
        <f aca="false">ROUND(M1042/24,2)</f>
        <v>0.47</v>
      </c>
    </row>
    <row r="1043" customFormat="false" ht="15" hidden="false" customHeight="true" outlineLevel="0" collapsed="false">
      <c r="A1043" s="6" t="n">
        <v>4</v>
      </c>
      <c r="B1043" s="6" t="s">
        <v>2553</v>
      </c>
      <c r="C1043" s="6" t="s">
        <v>1382</v>
      </c>
      <c r="D1043" s="6" t="str">
        <f aca="false">A1043&amp;"|"&amp;C1043</f>
        <v>4|AT Infantry</v>
      </c>
      <c r="E1043" s="6" t="s">
        <v>1560</v>
      </c>
      <c r="F1043" s="6" t="s">
        <v>1544</v>
      </c>
      <c r="G1043" s="6" t="str">
        <f aca="false">INDEX(Archetypes!$D$2:$D$127, MATCH(D1043, Archetypes!$A$2:$A$127, 0))</f>
        <v>Anti-Armor</v>
      </c>
      <c r="H1043" s="6" t="n">
        <f aca="false">ROUND(INDEX(Archetypes!$E$2:$E$127, MATCH(D1043, Archetypes!$A$2:$A$127, 0))*INDEX(Unit_Grades!$B$2:$B$7, MATCH(F1043, Unit_Grades!$A$2:$A$7, 0))*INDEX(Unit_Paths!$B$2:$B$4, MATCH(E1043, Unit_Paths!$A$2:$A$4, 0)),1)</f>
        <v>163.2</v>
      </c>
      <c r="I1043" s="6" t="n">
        <f aca="false">ROUND(INDEX(Archetypes!$F$2:$F$127, MATCH(D1043, Archetypes!$A$2:$A$127, 0))*INDEX(Unit_Grades!$B$2:$B$7, MATCH(F1043, Unit_Grades!$A$2:$A$7, 0))*INDEX(Unit_Paths!$C$2:$C$4, MATCH(E1043, Unit_Paths!$A$2:$A$4, 0)),1)</f>
        <v>126</v>
      </c>
      <c r="J1043" s="6" t="n">
        <f aca="false">ROUND(INDEX(Archetypes!$G$2:$G$127, MATCH(D1043, Archetypes!$A$2:$A$127, 0))*INDEX(Unit_Grades!$B$2:$B$7, MATCH(F1043, Unit_Grades!$A$2:$A$7, 0))*INDEX(Unit_Paths!$D$2:$D$4, MATCH(E1043, Unit_Paths!$A$2:$A$4, 0)),0)</f>
        <v>400</v>
      </c>
      <c r="K1043" s="6" t="n">
        <f aca="false">ROUND(INDEX(Archetypes!$H$2:$H$127, MATCH(D1043, Archetypes!$A$2:$A$127, 0))*INDEX(Unit_Paths!$E$2:$E$4, MATCH(E1043, Unit_Paths!$A$2:$A$4, 0)),1)</f>
        <v>13.8</v>
      </c>
      <c r="L1043" s="6" t="n">
        <f aca="false">ROUND(INDEX(Archetypes!$I$2:$I$127, MATCH(D1043, Archetypes!$A$2:$A$127, 0))*INDEX(Unit_Grades!$C$2:$C$7, MATCH(F1043, Unit_Grades!$A$2:$A$7, 0)),1)</f>
        <v>23.1</v>
      </c>
      <c r="M1043" s="6" t="n">
        <f aca="false">ROUND(INDEX(Archetypes!$J$2:$J$127, MATCH(D1043, Archetypes!$A$2:$A$127, 0))*INDEX(Unit_Grades!$D$2:$D$7, MATCH(F1043, Unit_Grades!$A$2:$A$7, 0)),1)</f>
        <v>17.8</v>
      </c>
      <c r="N1043" s="6" t="n">
        <f aca="false">ROUND(M1043/24,2)</f>
        <v>0.74</v>
      </c>
    </row>
    <row r="1044" customFormat="false" ht="15" hidden="false" customHeight="true" outlineLevel="0" collapsed="false">
      <c r="A1044" s="6" t="n">
        <v>4</v>
      </c>
      <c r="B1044" s="6" t="s">
        <v>2554</v>
      </c>
      <c r="C1044" s="6" t="s">
        <v>1382</v>
      </c>
      <c r="D1044" s="6" t="str">
        <f aca="false">A1044&amp;"|"&amp;C1044</f>
        <v>4|AT Infantry</v>
      </c>
      <c r="E1044" s="6" t="s">
        <v>1560</v>
      </c>
      <c r="F1044" s="6" t="s">
        <v>1546</v>
      </c>
      <c r="G1044" s="6" t="str">
        <f aca="false">INDEX(Archetypes!$D$2:$D$127, MATCH(D1044, Archetypes!$A$2:$A$127, 0))</f>
        <v>Anti-Armor</v>
      </c>
      <c r="H1044" s="6" t="n">
        <f aca="false">ROUND(INDEX(Archetypes!$E$2:$E$127, MATCH(D1044, Archetypes!$A$2:$A$127, 0))*INDEX(Unit_Grades!$B$2:$B$7, MATCH(F1044, Unit_Grades!$A$2:$A$7, 0))*INDEX(Unit_Paths!$B$2:$B$4, MATCH(E1044, Unit_Paths!$A$2:$A$4, 0)),1)</f>
        <v>217.6</v>
      </c>
      <c r="I1044" s="6" t="n">
        <f aca="false">ROUND(INDEX(Archetypes!$F$2:$F$127, MATCH(D1044, Archetypes!$A$2:$A$127, 0))*INDEX(Unit_Grades!$B$2:$B$7, MATCH(F1044, Unit_Grades!$A$2:$A$7, 0))*INDEX(Unit_Paths!$C$2:$C$4, MATCH(E1044, Unit_Paths!$A$2:$A$4, 0)),1)</f>
        <v>168</v>
      </c>
      <c r="J1044" s="6" t="n">
        <f aca="false">ROUND(INDEX(Archetypes!$G$2:$G$127, MATCH(D1044, Archetypes!$A$2:$A$127, 0))*INDEX(Unit_Grades!$B$2:$B$7, MATCH(F1044, Unit_Grades!$A$2:$A$7, 0))*INDEX(Unit_Paths!$D$2:$D$4, MATCH(E1044, Unit_Paths!$A$2:$A$4, 0)),0)</f>
        <v>534</v>
      </c>
      <c r="K1044" s="6" t="n">
        <f aca="false">ROUND(INDEX(Archetypes!$H$2:$H$127, MATCH(D1044, Archetypes!$A$2:$A$127, 0))*INDEX(Unit_Paths!$E$2:$E$4, MATCH(E1044, Unit_Paths!$A$2:$A$4, 0)),1)</f>
        <v>13.8</v>
      </c>
      <c r="L1044" s="6" t="n">
        <f aca="false">ROUND(INDEX(Archetypes!$I$2:$I$127, MATCH(D1044, Archetypes!$A$2:$A$127, 0))*INDEX(Unit_Grades!$C$2:$C$7, MATCH(F1044, Unit_Grades!$A$2:$A$7, 0)),1)</f>
        <v>30.8</v>
      </c>
      <c r="M1044" s="6" t="n">
        <f aca="false">ROUND(INDEX(Archetypes!$J$2:$J$127, MATCH(D1044, Archetypes!$A$2:$A$127, 0))*INDEX(Unit_Grades!$D$2:$D$7, MATCH(F1044, Unit_Grades!$A$2:$A$7, 0)),1)</f>
        <v>31.2</v>
      </c>
      <c r="N1044" s="6" t="n">
        <f aca="false">ROUND(M1044/24,2)</f>
        <v>1.3</v>
      </c>
    </row>
    <row r="1045" customFormat="false" ht="15" hidden="false" customHeight="true" outlineLevel="0" collapsed="false">
      <c r="A1045" s="6" t="n">
        <v>4</v>
      </c>
      <c r="B1045" s="6" t="s">
        <v>2555</v>
      </c>
      <c r="C1045" s="6" t="s">
        <v>1382</v>
      </c>
      <c r="D1045" s="6" t="str">
        <f aca="false">A1045&amp;"|"&amp;C1045</f>
        <v>4|AT Infantry</v>
      </c>
      <c r="E1045" s="6" t="s">
        <v>1560</v>
      </c>
      <c r="F1045" s="6" t="s">
        <v>1548</v>
      </c>
      <c r="G1045" s="6" t="str">
        <f aca="false">INDEX(Archetypes!$D$2:$D$127, MATCH(D1045, Archetypes!$A$2:$A$127, 0))</f>
        <v>Anti-Armor</v>
      </c>
      <c r="H1045" s="6" t="n">
        <f aca="false">ROUND(INDEX(Archetypes!$E$2:$E$127, MATCH(D1045, Archetypes!$A$2:$A$127, 0))*INDEX(Unit_Grades!$B$2:$B$7, MATCH(F1045, Unit_Grades!$A$2:$A$7, 0))*INDEX(Unit_Paths!$B$2:$B$4, MATCH(E1045, Unit_Paths!$A$2:$A$4, 0)),1)</f>
        <v>285.6</v>
      </c>
      <c r="I1045" s="6" t="n">
        <f aca="false">ROUND(INDEX(Archetypes!$F$2:$F$127, MATCH(D1045, Archetypes!$A$2:$A$127, 0))*INDEX(Unit_Grades!$B$2:$B$7, MATCH(F1045, Unit_Grades!$A$2:$A$7, 0))*INDEX(Unit_Paths!$C$2:$C$4, MATCH(E1045, Unit_Paths!$A$2:$A$4, 0)),1)</f>
        <v>220.5</v>
      </c>
      <c r="J1045" s="6" t="n">
        <f aca="false">ROUND(INDEX(Archetypes!$G$2:$G$127, MATCH(D1045, Archetypes!$A$2:$A$127, 0))*INDEX(Unit_Grades!$B$2:$B$7, MATCH(F1045, Unit_Grades!$A$2:$A$7, 0))*INDEX(Unit_Paths!$D$2:$D$4, MATCH(E1045, Unit_Paths!$A$2:$A$4, 0)),0)</f>
        <v>700</v>
      </c>
      <c r="K1045" s="6" t="n">
        <f aca="false">ROUND(INDEX(Archetypes!$H$2:$H$127, MATCH(D1045, Archetypes!$A$2:$A$127, 0))*INDEX(Unit_Paths!$E$2:$E$4, MATCH(E1045, Unit_Paths!$A$2:$A$4, 0)),1)</f>
        <v>13.8</v>
      </c>
      <c r="L1045" s="6" t="n">
        <f aca="false">ROUND(INDEX(Archetypes!$I$2:$I$127, MATCH(D1045, Archetypes!$A$2:$A$127, 0))*INDEX(Unit_Grades!$C$2:$C$7, MATCH(F1045, Unit_Grades!$A$2:$A$7, 0)),1)</f>
        <v>40.7</v>
      </c>
      <c r="M1045" s="6" t="n">
        <f aca="false">ROUND(INDEX(Archetypes!$J$2:$J$127, MATCH(D1045, Archetypes!$A$2:$A$127, 0))*INDEX(Unit_Grades!$D$2:$D$7, MATCH(F1045, Unit_Grades!$A$2:$A$7, 0)),1)</f>
        <v>53.5</v>
      </c>
      <c r="N1045" s="6" t="n">
        <f aca="false">ROUND(M1045/24,2)</f>
        <v>2.23</v>
      </c>
    </row>
    <row r="1046" customFormat="false" ht="15" hidden="false" customHeight="true" outlineLevel="0" collapsed="false">
      <c r="A1046" s="6" t="n">
        <v>4</v>
      </c>
      <c r="B1046" s="6" t="s">
        <v>1385</v>
      </c>
      <c r="C1046" s="6" t="s">
        <v>1385</v>
      </c>
      <c r="D1046" s="6" t="str">
        <f aca="false">A1046&amp;"|"&amp;C1046</f>
        <v>4|Engineer</v>
      </c>
      <c r="E1046" s="6" t="s">
        <v>1556</v>
      </c>
      <c r="F1046" s="6" t="s">
        <v>1538</v>
      </c>
      <c r="G1046" s="6" t="str">
        <f aca="false">INDEX(Archetypes!$D$2:$D$127, MATCH(D1046, Archetypes!$A$2:$A$127, 0))</f>
        <v>Support</v>
      </c>
      <c r="H1046" s="6" t="n">
        <f aca="false">ROUND(INDEX(Archetypes!$E$2:$E$127, MATCH(D1046, Archetypes!$A$2:$A$127, 0))*INDEX(Unit_Grades!$B$2:$B$7, MATCH(F1046, Unit_Grades!$A$2:$A$7, 0))*INDEX(Unit_Paths!$B$2:$B$4, MATCH(E1046, Unit_Paths!$A$2:$A$4, 0)),1)</f>
        <v>30</v>
      </c>
      <c r="I1046" s="6" t="n">
        <f aca="false">ROUND(INDEX(Archetypes!$F$2:$F$127, MATCH(D1046, Archetypes!$A$2:$A$127, 0))*INDEX(Unit_Grades!$B$2:$B$7, MATCH(F1046, Unit_Grades!$A$2:$A$7, 0))*INDEX(Unit_Paths!$C$2:$C$4, MATCH(E1046, Unit_Paths!$A$2:$A$4, 0)),1)</f>
        <v>40</v>
      </c>
      <c r="J1046" s="6" t="n">
        <f aca="false">ROUND(INDEX(Archetypes!$G$2:$G$127, MATCH(D1046, Archetypes!$A$2:$A$127, 0))*INDEX(Unit_Grades!$B$2:$B$7, MATCH(F1046, Unit_Grades!$A$2:$A$7, 0))*INDEX(Unit_Paths!$D$2:$D$4, MATCH(E1046, Unit_Paths!$A$2:$A$4, 0)),0)</f>
        <v>140</v>
      </c>
      <c r="K1046" s="6" t="n">
        <f aca="false">ROUND(INDEX(Archetypes!$H$2:$H$127, MATCH(D1046, Archetypes!$A$2:$A$127, 0))*INDEX(Unit_Paths!$E$2:$E$4, MATCH(E1046, Unit_Paths!$A$2:$A$4, 0)),1)</f>
        <v>15</v>
      </c>
      <c r="L1046" s="6" t="n">
        <f aca="false">ROUND(INDEX(Archetypes!$I$2:$I$127, MATCH(D1046, Archetypes!$A$2:$A$127, 0))*INDEX(Unit_Grades!$C$2:$C$7, MATCH(F1046, Unit_Grades!$A$2:$A$7, 0)),1)</f>
        <v>9</v>
      </c>
      <c r="M1046" s="6" t="n">
        <f aca="false">ROUND(INDEX(Archetypes!$J$2:$J$127, MATCH(D1046, Archetypes!$A$2:$A$127, 0))*INDEX(Unit_Grades!$D$2:$D$7, MATCH(F1046, Unit_Grades!$A$2:$A$7, 0)),1)</f>
        <v>3.7</v>
      </c>
      <c r="N1046" s="6" t="n">
        <f aca="false">ROUND(M1046/24,2)</f>
        <v>0.15</v>
      </c>
    </row>
    <row r="1047" customFormat="false" ht="15" hidden="false" customHeight="true" outlineLevel="0" collapsed="false">
      <c r="A1047" s="6" t="n">
        <v>4</v>
      </c>
      <c r="B1047" s="6" t="s">
        <v>2556</v>
      </c>
      <c r="C1047" s="6" t="s">
        <v>1385</v>
      </c>
      <c r="D1047" s="6" t="str">
        <f aca="false">A1047&amp;"|"&amp;C1047</f>
        <v>4|Engineer</v>
      </c>
      <c r="E1047" s="6" t="s">
        <v>1556</v>
      </c>
      <c r="F1047" s="6" t="s">
        <v>1540</v>
      </c>
      <c r="G1047" s="6" t="str">
        <f aca="false">INDEX(Archetypes!$D$2:$D$127, MATCH(D1047, Archetypes!$A$2:$A$127, 0))</f>
        <v>Support</v>
      </c>
      <c r="H1047" s="6" t="n">
        <f aca="false">ROUND(INDEX(Archetypes!$E$2:$E$127, MATCH(D1047, Archetypes!$A$2:$A$127, 0))*INDEX(Unit_Grades!$B$2:$B$7, MATCH(F1047, Unit_Grades!$A$2:$A$7, 0))*INDEX(Unit_Paths!$B$2:$B$4, MATCH(E1047, Unit_Paths!$A$2:$A$4, 0)),1)</f>
        <v>40.5</v>
      </c>
      <c r="I1047" s="6" t="n">
        <f aca="false">ROUND(INDEX(Archetypes!$F$2:$F$127, MATCH(D1047, Archetypes!$A$2:$A$127, 0))*INDEX(Unit_Grades!$B$2:$B$7, MATCH(F1047, Unit_Grades!$A$2:$A$7, 0))*INDEX(Unit_Paths!$C$2:$C$4, MATCH(E1047, Unit_Paths!$A$2:$A$4, 0)),1)</f>
        <v>54</v>
      </c>
      <c r="J1047" s="6" t="n">
        <f aca="false">ROUND(INDEX(Archetypes!$G$2:$G$127, MATCH(D1047, Archetypes!$A$2:$A$127, 0))*INDEX(Unit_Grades!$B$2:$B$7, MATCH(F1047, Unit_Grades!$A$2:$A$7, 0))*INDEX(Unit_Paths!$D$2:$D$4, MATCH(E1047, Unit_Paths!$A$2:$A$4, 0)),0)</f>
        <v>189</v>
      </c>
      <c r="K1047" s="6" t="n">
        <f aca="false">ROUND(INDEX(Archetypes!$H$2:$H$127, MATCH(D1047, Archetypes!$A$2:$A$127, 0))*INDEX(Unit_Paths!$E$2:$E$4, MATCH(E1047, Unit_Paths!$A$2:$A$4, 0)),1)</f>
        <v>15</v>
      </c>
      <c r="L1047" s="6" t="n">
        <f aca="false">ROUND(INDEX(Archetypes!$I$2:$I$127, MATCH(D1047, Archetypes!$A$2:$A$127, 0))*INDEX(Unit_Grades!$C$2:$C$7, MATCH(F1047, Unit_Grades!$A$2:$A$7, 0)),1)</f>
        <v>11.3</v>
      </c>
      <c r="M1047" s="6" t="n">
        <f aca="false">ROUND(INDEX(Archetypes!$J$2:$J$127, MATCH(D1047, Archetypes!$A$2:$A$127, 0))*INDEX(Unit_Grades!$D$2:$D$7, MATCH(F1047, Unit_Grades!$A$2:$A$7, 0)),1)</f>
        <v>5.5</v>
      </c>
      <c r="N1047" s="6" t="n">
        <f aca="false">ROUND(M1047/24,2)</f>
        <v>0.23</v>
      </c>
    </row>
    <row r="1048" customFormat="false" ht="15" hidden="false" customHeight="true" outlineLevel="0" collapsed="false">
      <c r="A1048" s="6" t="n">
        <v>4</v>
      </c>
      <c r="B1048" s="6" t="s">
        <v>2557</v>
      </c>
      <c r="C1048" s="6" t="s">
        <v>1385</v>
      </c>
      <c r="D1048" s="6" t="str">
        <f aca="false">A1048&amp;"|"&amp;C1048</f>
        <v>4|Engineer</v>
      </c>
      <c r="E1048" s="6" t="s">
        <v>1556</v>
      </c>
      <c r="F1048" s="6" t="s">
        <v>1542</v>
      </c>
      <c r="G1048" s="6" t="str">
        <f aca="false">INDEX(Archetypes!$D$2:$D$127, MATCH(D1048, Archetypes!$A$2:$A$127, 0))</f>
        <v>Support</v>
      </c>
      <c r="H1048" s="6" t="n">
        <f aca="false">ROUND(INDEX(Archetypes!$E$2:$E$127, MATCH(D1048, Archetypes!$A$2:$A$127, 0))*INDEX(Unit_Grades!$B$2:$B$7, MATCH(F1048, Unit_Grades!$A$2:$A$7, 0))*INDEX(Unit_Paths!$B$2:$B$4, MATCH(E1048, Unit_Paths!$A$2:$A$4, 0)),1)</f>
        <v>54</v>
      </c>
      <c r="I1048" s="6" t="n">
        <f aca="false">ROUND(INDEX(Archetypes!$F$2:$F$127, MATCH(D1048, Archetypes!$A$2:$A$127, 0))*INDEX(Unit_Grades!$B$2:$B$7, MATCH(F1048, Unit_Grades!$A$2:$A$7, 0))*INDEX(Unit_Paths!$C$2:$C$4, MATCH(E1048, Unit_Paths!$A$2:$A$4, 0)),1)</f>
        <v>72</v>
      </c>
      <c r="J1048" s="6" t="n">
        <f aca="false">ROUND(INDEX(Archetypes!$G$2:$G$127, MATCH(D1048, Archetypes!$A$2:$A$127, 0))*INDEX(Unit_Grades!$B$2:$B$7, MATCH(F1048, Unit_Grades!$A$2:$A$7, 0))*INDEX(Unit_Paths!$D$2:$D$4, MATCH(E1048, Unit_Paths!$A$2:$A$4, 0)),0)</f>
        <v>252</v>
      </c>
      <c r="K1048" s="6" t="n">
        <f aca="false">ROUND(INDEX(Archetypes!$H$2:$H$127, MATCH(D1048, Archetypes!$A$2:$A$127, 0))*INDEX(Unit_Paths!$E$2:$E$4, MATCH(E1048, Unit_Paths!$A$2:$A$4, 0)),1)</f>
        <v>15</v>
      </c>
      <c r="L1048" s="6" t="n">
        <f aca="false">ROUND(INDEX(Archetypes!$I$2:$I$127, MATCH(D1048, Archetypes!$A$2:$A$127, 0))*INDEX(Unit_Grades!$C$2:$C$7, MATCH(F1048, Unit_Grades!$A$2:$A$7, 0)),1)</f>
        <v>14.4</v>
      </c>
      <c r="M1048" s="6" t="n">
        <f aca="false">ROUND(INDEX(Archetypes!$J$2:$J$127, MATCH(D1048, Archetypes!$A$2:$A$127, 0))*INDEX(Unit_Grades!$D$2:$D$7, MATCH(F1048, Unit_Grades!$A$2:$A$7, 0)),1)</f>
        <v>9.1</v>
      </c>
      <c r="N1048" s="6" t="n">
        <f aca="false">ROUND(M1048/24,2)</f>
        <v>0.38</v>
      </c>
    </row>
    <row r="1049" customFormat="false" ht="15" hidden="false" customHeight="true" outlineLevel="0" collapsed="false">
      <c r="A1049" s="6" t="n">
        <v>4</v>
      </c>
      <c r="B1049" s="6" t="s">
        <v>2558</v>
      </c>
      <c r="C1049" s="6" t="s">
        <v>1385</v>
      </c>
      <c r="D1049" s="6" t="str">
        <f aca="false">A1049&amp;"|"&amp;C1049</f>
        <v>4|Engineer</v>
      </c>
      <c r="E1049" s="6" t="s">
        <v>1556</v>
      </c>
      <c r="F1049" s="6" t="s">
        <v>1544</v>
      </c>
      <c r="G1049" s="6" t="str">
        <f aca="false">INDEX(Archetypes!$D$2:$D$127, MATCH(D1049, Archetypes!$A$2:$A$127, 0))</f>
        <v>Support</v>
      </c>
      <c r="H1049" s="6" t="n">
        <f aca="false">ROUND(INDEX(Archetypes!$E$2:$E$127, MATCH(D1049, Archetypes!$A$2:$A$127, 0))*INDEX(Unit_Grades!$B$2:$B$7, MATCH(F1049, Unit_Grades!$A$2:$A$7, 0))*INDEX(Unit_Paths!$B$2:$B$4, MATCH(E1049, Unit_Paths!$A$2:$A$4, 0)),1)</f>
        <v>72</v>
      </c>
      <c r="I1049" s="6" t="n">
        <f aca="false">ROUND(INDEX(Archetypes!$F$2:$F$127, MATCH(D1049, Archetypes!$A$2:$A$127, 0))*INDEX(Unit_Grades!$B$2:$B$7, MATCH(F1049, Unit_Grades!$A$2:$A$7, 0))*INDEX(Unit_Paths!$C$2:$C$4, MATCH(E1049, Unit_Paths!$A$2:$A$4, 0)),1)</f>
        <v>96</v>
      </c>
      <c r="J1049" s="6" t="n">
        <f aca="false">ROUND(INDEX(Archetypes!$G$2:$G$127, MATCH(D1049, Archetypes!$A$2:$A$127, 0))*INDEX(Unit_Grades!$B$2:$B$7, MATCH(F1049, Unit_Grades!$A$2:$A$7, 0))*INDEX(Unit_Paths!$D$2:$D$4, MATCH(E1049, Unit_Paths!$A$2:$A$4, 0)),0)</f>
        <v>336</v>
      </c>
      <c r="K1049" s="6" t="n">
        <f aca="false">ROUND(INDEX(Archetypes!$H$2:$H$127, MATCH(D1049, Archetypes!$A$2:$A$127, 0))*INDEX(Unit_Paths!$E$2:$E$4, MATCH(E1049, Unit_Paths!$A$2:$A$4, 0)),1)</f>
        <v>15</v>
      </c>
      <c r="L1049" s="6" t="n">
        <f aca="false">ROUND(INDEX(Archetypes!$I$2:$I$127, MATCH(D1049, Archetypes!$A$2:$A$127, 0))*INDEX(Unit_Grades!$C$2:$C$7, MATCH(F1049, Unit_Grades!$A$2:$A$7, 0)),1)</f>
        <v>18.9</v>
      </c>
      <c r="M1049" s="6" t="n">
        <f aca="false">ROUND(INDEX(Archetypes!$J$2:$J$127, MATCH(D1049, Archetypes!$A$2:$A$127, 0))*INDEX(Unit_Grades!$D$2:$D$7, MATCH(F1049, Unit_Grades!$A$2:$A$7, 0)),1)</f>
        <v>14.6</v>
      </c>
      <c r="N1049" s="6" t="n">
        <f aca="false">ROUND(M1049/24,2)</f>
        <v>0.61</v>
      </c>
    </row>
    <row r="1050" customFormat="false" ht="15" hidden="false" customHeight="true" outlineLevel="0" collapsed="false">
      <c r="A1050" s="6" t="n">
        <v>4</v>
      </c>
      <c r="B1050" s="6" t="s">
        <v>2559</v>
      </c>
      <c r="C1050" s="6" t="s">
        <v>1385</v>
      </c>
      <c r="D1050" s="6" t="str">
        <f aca="false">A1050&amp;"|"&amp;C1050</f>
        <v>4|Engineer</v>
      </c>
      <c r="E1050" s="6" t="s">
        <v>1556</v>
      </c>
      <c r="F1050" s="6" t="s">
        <v>1546</v>
      </c>
      <c r="G1050" s="6" t="str">
        <f aca="false">INDEX(Archetypes!$D$2:$D$127, MATCH(D1050, Archetypes!$A$2:$A$127, 0))</f>
        <v>Support</v>
      </c>
      <c r="H1050" s="6" t="n">
        <f aca="false">ROUND(INDEX(Archetypes!$E$2:$E$127, MATCH(D1050, Archetypes!$A$2:$A$127, 0))*INDEX(Unit_Grades!$B$2:$B$7, MATCH(F1050, Unit_Grades!$A$2:$A$7, 0))*INDEX(Unit_Paths!$B$2:$B$4, MATCH(E1050, Unit_Paths!$A$2:$A$4, 0)),1)</f>
        <v>96</v>
      </c>
      <c r="I1050" s="6" t="n">
        <f aca="false">ROUND(INDEX(Archetypes!$F$2:$F$127, MATCH(D1050, Archetypes!$A$2:$A$127, 0))*INDEX(Unit_Grades!$B$2:$B$7, MATCH(F1050, Unit_Grades!$A$2:$A$7, 0))*INDEX(Unit_Paths!$C$2:$C$4, MATCH(E1050, Unit_Paths!$A$2:$A$4, 0)),1)</f>
        <v>128</v>
      </c>
      <c r="J1050" s="6" t="n">
        <f aca="false">ROUND(INDEX(Archetypes!$G$2:$G$127, MATCH(D1050, Archetypes!$A$2:$A$127, 0))*INDEX(Unit_Grades!$B$2:$B$7, MATCH(F1050, Unit_Grades!$A$2:$A$7, 0))*INDEX(Unit_Paths!$D$2:$D$4, MATCH(E1050, Unit_Paths!$A$2:$A$4, 0)),0)</f>
        <v>448</v>
      </c>
      <c r="K1050" s="6" t="n">
        <f aca="false">ROUND(INDEX(Archetypes!$H$2:$H$127, MATCH(D1050, Archetypes!$A$2:$A$127, 0))*INDEX(Unit_Paths!$E$2:$E$4, MATCH(E1050, Unit_Paths!$A$2:$A$4, 0)),1)</f>
        <v>15</v>
      </c>
      <c r="L1050" s="6" t="n">
        <f aca="false">ROUND(INDEX(Archetypes!$I$2:$I$127, MATCH(D1050, Archetypes!$A$2:$A$127, 0))*INDEX(Unit_Grades!$C$2:$C$7, MATCH(F1050, Unit_Grades!$A$2:$A$7, 0)),1)</f>
        <v>25.2</v>
      </c>
      <c r="M1050" s="6" t="n">
        <f aca="false">ROUND(INDEX(Archetypes!$J$2:$J$127, MATCH(D1050, Archetypes!$A$2:$A$127, 0))*INDEX(Unit_Grades!$D$2:$D$7, MATCH(F1050, Unit_Grades!$A$2:$A$7, 0)),1)</f>
        <v>25.6</v>
      </c>
      <c r="N1050" s="6" t="n">
        <f aca="false">ROUND(M1050/24,2)</f>
        <v>1.07</v>
      </c>
    </row>
    <row r="1051" customFormat="false" ht="15" hidden="false" customHeight="true" outlineLevel="0" collapsed="false">
      <c r="A1051" s="6" t="n">
        <v>4</v>
      </c>
      <c r="B1051" s="6" t="s">
        <v>2560</v>
      </c>
      <c r="C1051" s="6" t="s">
        <v>1385</v>
      </c>
      <c r="D1051" s="6" t="str">
        <f aca="false">A1051&amp;"|"&amp;C1051</f>
        <v>4|Engineer</v>
      </c>
      <c r="E1051" s="6" t="s">
        <v>1556</v>
      </c>
      <c r="F1051" s="6" t="s">
        <v>1548</v>
      </c>
      <c r="G1051" s="6" t="str">
        <f aca="false">INDEX(Archetypes!$D$2:$D$127, MATCH(D1051, Archetypes!$A$2:$A$127, 0))</f>
        <v>Support</v>
      </c>
      <c r="H1051" s="6" t="n">
        <f aca="false">ROUND(INDEX(Archetypes!$E$2:$E$127, MATCH(D1051, Archetypes!$A$2:$A$127, 0))*INDEX(Unit_Grades!$B$2:$B$7, MATCH(F1051, Unit_Grades!$A$2:$A$7, 0))*INDEX(Unit_Paths!$B$2:$B$4, MATCH(E1051, Unit_Paths!$A$2:$A$4, 0)),1)</f>
        <v>126</v>
      </c>
      <c r="I1051" s="6" t="n">
        <f aca="false">ROUND(INDEX(Archetypes!$F$2:$F$127, MATCH(D1051, Archetypes!$A$2:$A$127, 0))*INDEX(Unit_Grades!$B$2:$B$7, MATCH(F1051, Unit_Grades!$A$2:$A$7, 0))*INDEX(Unit_Paths!$C$2:$C$4, MATCH(E1051, Unit_Paths!$A$2:$A$4, 0)),1)</f>
        <v>168</v>
      </c>
      <c r="J1051" s="6" t="n">
        <f aca="false">ROUND(INDEX(Archetypes!$G$2:$G$127, MATCH(D1051, Archetypes!$A$2:$A$127, 0))*INDEX(Unit_Grades!$B$2:$B$7, MATCH(F1051, Unit_Grades!$A$2:$A$7, 0))*INDEX(Unit_Paths!$D$2:$D$4, MATCH(E1051, Unit_Paths!$A$2:$A$4, 0)),0)</f>
        <v>588</v>
      </c>
      <c r="K1051" s="6" t="n">
        <f aca="false">ROUND(INDEX(Archetypes!$H$2:$H$127, MATCH(D1051, Archetypes!$A$2:$A$127, 0))*INDEX(Unit_Paths!$E$2:$E$4, MATCH(E1051, Unit_Paths!$A$2:$A$4, 0)),1)</f>
        <v>15</v>
      </c>
      <c r="L1051" s="6" t="n">
        <f aca="false">ROUND(INDEX(Archetypes!$I$2:$I$127, MATCH(D1051, Archetypes!$A$2:$A$127, 0))*INDEX(Unit_Grades!$C$2:$C$7, MATCH(F1051, Unit_Grades!$A$2:$A$7, 0)),1)</f>
        <v>33.3</v>
      </c>
      <c r="M1051" s="6" t="n">
        <f aca="false">ROUND(INDEX(Archetypes!$J$2:$J$127, MATCH(D1051, Archetypes!$A$2:$A$127, 0))*INDEX(Unit_Grades!$D$2:$D$7, MATCH(F1051, Unit_Grades!$A$2:$A$7, 0)),1)</f>
        <v>43.8</v>
      </c>
      <c r="N1051" s="6" t="n">
        <f aca="false">ROUND(M1051/24,2)</f>
        <v>1.83</v>
      </c>
    </row>
    <row r="1052" customFormat="false" ht="15" hidden="false" customHeight="true" outlineLevel="0" collapsed="false">
      <c r="A1052" s="6" t="n">
        <v>4</v>
      </c>
      <c r="B1052" s="6" t="s">
        <v>2561</v>
      </c>
      <c r="C1052" s="6" t="s">
        <v>1385</v>
      </c>
      <c r="D1052" s="6" t="str">
        <f aca="false">A1052&amp;"|"&amp;C1052</f>
        <v>4|Engineer</v>
      </c>
      <c r="E1052" s="6" t="s">
        <v>1558</v>
      </c>
      <c r="F1052" s="6" t="s">
        <v>1538</v>
      </c>
      <c r="G1052" s="6" t="str">
        <f aca="false">INDEX(Archetypes!$D$2:$D$127, MATCH(D1052, Archetypes!$A$2:$A$127, 0))</f>
        <v>Support</v>
      </c>
      <c r="H1052" s="6" t="n">
        <f aca="false">ROUND(INDEX(Archetypes!$E$2:$E$127, MATCH(D1052, Archetypes!$A$2:$A$127, 0))*INDEX(Unit_Grades!$B$2:$B$7, MATCH(F1052, Unit_Grades!$A$2:$A$7, 0))*INDEX(Unit_Paths!$B$2:$B$4, MATCH(E1052, Unit_Paths!$A$2:$A$4, 0)),1)</f>
        <v>36</v>
      </c>
      <c r="I1052" s="6" t="n">
        <f aca="false">ROUND(INDEX(Archetypes!$F$2:$F$127, MATCH(D1052, Archetypes!$A$2:$A$127, 0))*INDEX(Unit_Grades!$B$2:$B$7, MATCH(F1052, Unit_Grades!$A$2:$A$7, 0))*INDEX(Unit_Paths!$C$2:$C$4, MATCH(E1052, Unit_Paths!$A$2:$A$4, 0)),1)</f>
        <v>34</v>
      </c>
      <c r="J1052" s="6" t="n">
        <f aca="false">ROUND(INDEX(Archetypes!$G$2:$G$127, MATCH(D1052, Archetypes!$A$2:$A$127, 0))*INDEX(Unit_Grades!$B$2:$B$7, MATCH(F1052, Unit_Grades!$A$2:$A$7, 0))*INDEX(Unit_Paths!$D$2:$D$4, MATCH(E1052, Unit_Paths!$A$2:$A$4, 0)),0)</f>
        <v>133</v>
      </c>
      <c r="K1052" s="6" t="n">
        <f aca="false">ROUND(INDEX(Archetypes!$H$2:$H$127, MATCH(D1052, Archetypes!$A$2:$A$127, 0))*INDEX(Unit_Paths!$E$2:$E$4, MATCH(E1052, Unit_Paths!$A$2:$A$4, 0)),1)</f>
        <v>15.8</v>
      </c>
      <c r="L1052" s="6" t="n">
        <f aca="false">ROUND(INDEX(Archetypes!$I$2:$I$127, MATCH(D1052, Archetypes!$A$2:$A$127, 0))*INDEX(Unit_Grades!$C$2:$C$7, MATCH(F1052, Unit_Grades!$A$2:$A$7, 0)),1)</f>
        <v>9</v>
      </c>
      <c r="M1052" s="6" t="n">
        <f aca="false">ROUND(INDEX(Archetypes!$J$2:$J$127, MATCH(D1052, Archetypes!$A$2:$A$127, 0))*INDEX(Unit_Grades!$D$2:$D$7, MATCH(F1052, Unit_Grades!$A$2:$A$7, 0)),1)</f>
        <v>3.7</v>
      </c>
      <c r="N1052" s="6" t="n">
        <f aca="false">ROUND(M1052/24,2)</f>
        <v>0.15</v>
      </c>
    </row>
    <row r="1053" customFormat="false" ht="15" hidden="false" customHeight="true" outlineLevel="0" collapsed="false">
      <c r="A1053" s="6" t="n">
        <v>4</v>
      </c>
      <c r="B1053" s="6" t="s">
        <v>2562</v>
      </c>
      <c r="C1053" s="6" t="s">
        <v>1385</v>
      </c>
      <c r="D1053" s="6" t="str">
        <f aca="false">A1053&amp;"|"&amp;C1053</f>
        <v>4|Engineer</v>
      </c>
      <c r="E1053" s="6" t="s">
        <v>1558</v>
      </c>
      <c r="F1053" s="6" t="s">
        <v>1540</v>
      </c>
      <c r="G1053" s="6" t="str">
        <f aca="false">INDEX(Archetypes!$D$2:$D$127, MATCH(D1053, Archetypes!$A$2:$A$127, 0))</f>
        <v>Support</v>
      </c>
      <c r="H1053" s="6" t="n">
        <f aca="false">ROUND(INDEX(Archetypes!$E$2:$E$127, MATCH(D1053, Archetypes!$A$2:$A$127, 0))*INDEX(Unit_Grades!$B$2:$B$7, MATCH(F1053, Unit_Grades!$A$2:$A$7, 0))*INDEX(Unit_Paths!$B$2:$B$4, MATCH(E1053, Unit_Paths!$A$2:$A$4, 0)),1)</f>
        <v>48.6</v>
      </c>
      <c r="I1053" s="6" t="n">
        <f aca="false">ROUND(INDEX(Archetypes!$F$2:$F$127, MATCH(D1053, Archetypes!$A$2:$A$127, 0))*INDEX(Unit_Grades!$B$2:$B$7, MATCH(F1053, Unit_Grades!$A$2:$A$7, 0))*INDEX(Unit_Paths!$C$2:$C$4, MATCH(E1053, Unit_Paths!$A$2:$A$4, 0)),1)</f>
        <v>45.9</v>
      </c>
      <c r="J1053" s="6" t="n">
        <f aca="false">ROUND(INDEX(Archetypes!$G$2:$G$127, MATCH(D1053, Archetypes!$A$2:$A$127, 0))*INDEX(Unit_Grades!$B$2:$B$7, MATCH(F1053, Unit_Grades!$A$2:$A$7, 0))*INDEX(Unit_Paths!$D$2:$D$4, MATCH(E1053, Unit_Paths!$A$2:$A$4, 0)),0)</f>
        <v>180</v>
      </c>
      <c r="K1053" s="6" t="n">
        <f aca="false">ROUND(INDEX(Archetypes!$H$2:$H$127, MATCH(D1053, Archetypes!$A$2:$A$127, 0))*INDEX(Unit_Paths!$E$2:$E$4, MATCH(E1053, Unit_Paths!$A$2:$A$4, 0)),1)</f>
        <v>15.8</v>
      </c>
      <c r="L1053" s="6" t="n">
        <f aca="false">ROUND(INDEX(Archetypes!$I$2:$I$127, MATCH(D1053, Archetypes!$A$2:$A$127, 0))*INDEX(Unit_Grades!$C$2:$C$7, MATCH(F1053, Unit_Grades!$A$2:$A$7, 0)),1)</f>
        <v>11.3</v>
      </c>
      <c r="M1053" s="6" t="n">
        <f aca="false">ROUND(INDEX(Archetypes!$J$2:$J$127, MATCH(D1053, Archetypes!$A$2:$A$127, 0))*INDEX(Unit_Grades!$D$2:$D$7, MATCH(F1053, Unit_Grades!$A$2:$A$7, 0)),1)</f>
        <v>5.5</v>
      </c>
      <c r="N1053" s="6" t="n">
        <f aca="false">ROUND(M1053/24,2)</f>
        <v>0.23</v>
      </c>
    </row>
    <row r="1054" customFormat="false" ht="15" hidden="false" customHeight="true" outlineLevel="0" collapsed="false">
      <c r="A1054" s="6" t="n">
        <v>4</v>
      </c>
      <c r="B1054" s="6" t="s">
        <v>2563</v>
      </c>
      <c r="C1054" s="6" t="s">
        <v>1385</v>
      </c>
      <c r="D1054" s="6" t="str">
        <f aca="false">A1054&amp;"|"&amp;C1054</f>
        <v>4|Engineer</v>
      </c>
      <c r="E1054" s="6" t="s">
        <v>1558</v>
      </c>
      <c r="F1054" s="6" t="s">
        <v>1542</v>
      </c>
      <c r="G1054" s="6" t="str">
        <f aca="false">INDEX(Archetypes!$D$2:$D$127, MATCH(D1054, Archetypes!$A$2:$A$127, 0))</f>
        <v>Support</v>
      </c>
      <c r="H1054" s="6" t="n">
        <f aca="false">ROUND(INDEX(Archetypes!$E$2:$E$127, MATCH(D1054, Archetypes!$A$2:$A$127, 0))*INDEX(Unit_Grades!$B$2:$B$7, MATCH(F1054, Unit_Grades!$A$2:$A$7, 0))*INDEX(Unit_Paths!$B$2:$B$4, MATCH(E1054, Unit_Paths!$A$2:$A$4, 0)),1)</f>
        <v>64.8</v>
      </c>
      <c r="I1054" s="6" t="n">
        <f aca="false">ROUND(INDEX(Archetypes!$F$2:$F$127, MATCH(D1054, Archetypes!$A$2:$A$127, 0))*INDEX(Unit_Grades!$B$2:$B$7, MATCH(F1054, Unit_Grades!$A$2:$A$7, 0))*INDEX(Unit_Paths!$C$2:$C$4, MATCH(E1054, Unit_Paths!$A$2:$A$4, 0)),1)</f>
        <v>61.2</v>
      </c>
      <c r="J1054" s="6" t="n">
        <f aca="false">ROUND(INDEX(Archetypes!$G$2:$G$127, MATCH(D1054, Archetypes!$A$2:$A$127, 0))*INDEX(Unit_Grades!$B$2:$B$7, MATCH(F1054, Unit_Grades!$A$2:$A$7, 0))*INDEX(Unit_Paths!$D$2:$D$4, MATCH(E1054, Unit_Paths!$A$2:$A$4, 0)),0)</f>
        <v>239</v>
      </c>
      <c r="K1054" s="6" t="n">
        <f aca="false">ROUND(INDEX(Archetypes!$H$2:$H$127, MATCH(D1054, Archetypes!$A$2:$A$127, 0))*INDEX(Unit_Paths!$E$2:$E$4, MATCH(E1054, Unit_Paths!$A$2:$A$4, 0)),1)</f>
        <v>15.8</v>
      </c>
      <c r="L1054" s="6" t="n">
        <f aca="false">ROUND(INDEX(Archetypes!$I$2:$I$127, MATCH(D1054, Archetypes!$A$2:$A$127, 0))*INDEX(Unit_Grades!$C$2:$C$7, MATCH(F1054, Unit_Grades!$A$2:$A$7, 0)),1)</f>
        <v>14.4</v>
      </c>
      <c r="M1054" s="6" t="n">
        <f aca="false">ROUND(INDEX(Archetypes!$J$2:$J$127, MATCH(D1054, Archetypes!$A$2:$A$127, 0))*INDEX(Unit_Grades!$D$2:$D$7, MATCH(F1054, Unit_Grades!$A$2:$A$7, 0)),1)</f>
        <v>9.1</v>
      </c>
      <c r="N1054" s="6" t="n">
        <f aca="false">ROUND(M1054/24,2)</f>
        <v>0.38</v>
      </c>
    </row>
    <row r="1055" customFormat="false" ht="15" hidden="false" customHeight="true" outlineLevel="0" collapsed="false">
      <c r="A1055" s="6" t="n">
        <v>4</v>
      </c>
      <c r="B1055" s="6" t="s">
        <v>2564</v>
      </c>
      <c r="C1055" s="6" t="s">
        <v>1385</v>
      </c>
      <c r="D1055" s="6" t="str">
        <f aca="false">A1055&amp;"|"&amp;C1055</f>
        <v>4|Engineer</v>
      </c>
      <c r="E1055" s="6" t="s">
        <v>1558</v>
      </c>
      <c r="F1055" s="6" t="s">
        <v>1544</v>
      </c>
      <c r="G1055" s="6" t="str">
        <f aca="false">INDEX(Archetypes!$D$2:$D$127, MATCH(D1055, Archetypes!$A$2:$A$127, 0))</f>
        <v>Support</v>
      </c>
      <c r="H1055" s="6" t="n">
        <f aca="false">ROUND(INDEX(Archetypes!$E$2:$E$127, MATCH(D1055, Archetypes!$A$2:$A$127, 0))*INDEX(Unit_Grades!$B$2:$B$7, MATCH(F1055, Unit_Grades!$A$2:$A$7, 0))*INDEX(Unit_Paths!$B$2:$B$4, MATCH(E1055, Unit_Paths!$A$2:$A$4, 0)),1)</f>
        <v>86.4</v>
      </c>
      <c r="I1055" s="6" t="n">
        <f aca="false">ROUND(INDEX(Archetypes!$F$2:$F$127, MATCH(D1055, Archetypes!$A$2:$A$127, 0))*INDEX(Unit_Grades!$B$2:$B$7, MATCH(F1055, Unit_Grades!$A$2:$A$7, 0))*INDEX(Unit_Paths!$C$2:$C$4, MATCH(E1055, Unit_Paths!$A$2:$A$4, 0)),1)</f>
        <v>81.6</v>
      </c>
      <c r="J1055" s="6" t="n">
        <f aca="false">ROUND(INDEX(Archetypes!$G$2:$G$127, MATCH(D1055, Archetypes!$A$2:$A$127, 0))*INDEX(Unit_Grades!$B$2:$B$7, MATCH(F1055, Unit_Grades!$A$2:$A$7, 0))*INDEX(Unit_Paths!$D$2:$D$4, MATCH(E1055, Unit_Paths!$A$2:$A$4, 0)),0)</f>
        <v>319</v>
      </c>
      <c r="K1055" s="6" t="n">
        <f aca="false">ROUND(INDEX(Archetypes!$H$2:$H$127, MATCH(D1055, Archetypes!$A$2:$A$127, 0))*INDEX(Unit_Paths!$E$2:$E$4, MATCH(E1055, Unit_Paths!$A$2:$A$4, 0)),1)</f>
        <v>15.8</v>
      </c>
      <c r="L1055" s="6" t="n">
        <f aca="false">ROUND(INDEX(Archetypes!$I$2:$I$127, MATCH(D1055, Archetypes!$A$2:$A$127, 0))*INDEX(Unit_Grades!$C$2:$C$7, MATCH(F1055, Unit_Grades!$A$2:$A$7, 0)),1)</f>
        <v>18.9</v>
      </c>
      <c r="M1055" s="6" t="n">
        <f aca="false">ROUND(INDEX(Archetypes!$J$2:$J$127, MATCH(D1055, Archetypes!$A$2:$A$127, 0))*INDEX(Unit_Grades!$D$2:$D$7, MATCH(F1055, Unit_Grades!$A$2:$A$7, 0)),1)</f>
        <v>14.6</v>
      </c>
      <c r="N1055" s="6" t="n">
        <f aca="false">ROUND(M1055/24,2)</f>
        <v>0.61</v>
      </c>
    </row>
    <row r="1056" customFormat="false" ht="15" hidden="false" customHeight="true" outlineLevel="0" collapsed="false">
      <c r="A1056" s="6" t="n">
        <v>4</v>
      </c>
      <c r="B1056" s="6" t="s">
        <v>2565</v>
      </c>
      <c r="C1056" s="6" t="s">
        <v>1385</v>
      </c>
      <c r="D1056" s="6" t="str">
        <f aca="false">A1056&amp;"|"&amp;C1056</f>
        <v>4|Engineer</v>
      </c>
      <c r="E1056" s="6" t="s">
        <v>1558</v>
      </c>
      <c r="F1056" s="6" t="s">
        <v>1546</v>
      </c>
      <c r="G1056" s="6" t="str">
        <f aca="false">INDEX(Archetypes!$D$2:$D$127, MATCH(D1056, Archetypes!$A$2:$A$127, 0))</f>
        <v>Support</v>
      </c>
      <c r="H1056" s="6" t="n">
        <f aca="false">ROUND(INDEX(Archetypes!$E$2:$E$127, MATCH(D1056, Archetypes!$A$2:$A$127, 0))*INDEX(Unit_Grades!$B$2:$B$7, MATCH(F1056, Unit_Grades!$A$2:$A$7, 0))*INDEX(Unit_Paths!$B$2:$B$4, MATCH(E1056, Unit_Paths!$A$2:$A$4, 0)),1)</f>
        <v>115.2</v>
      </c>
      <c r="I1056" s="6" t="n">
        <f aca="false">ROUND(INDEX(Archetypes!$F$2:$F$127, MATCH(D1056, Archetypes!$A$2:$A$127, 0))*INDEX(Unit_Grades!$B$2:$B$7, MATCH(F1056, Unit_Grades!$A$2:$A$7, 0))*INDEX(Unit_Paths!$C$2:$C$4, MATCH(E1056, Unit_Paths!$A$2:$A$4, 0)),1)</f>
        <v>108.8</v>
      </c>
      <c r="J1056" s="6" t="n">
        <f aca="false">ROUND(INDEX(Archetypes!$G$2:$G$127, MATCH(D1056, Archetypes!$A$2:$A$127, 0))*INDEX(Unit_Grades!$B$2:$B$7, MATCH(F1056, Unit_Grades!$A$2:$A$7, 0))*INDEX(Unit_Paths!$D$2:$D$4, MATCH(E1056, Unit_Paths!$A$2:$A$4, 0)),0)</f>
        <v>426</v>
      </c>
      <c r="K1056" s="6" t="n">
        <f aca="false">ROUND(INDEX(Archetypes!$H$2:$H$127, MATCH(D1056, Archetypes!$A$2:$A$127, 0))*INDEX(Unit_Paths!$E$2:$E$4, MATCH(E1056, Unit_Paths!$A$2:$A$4, 0)),1)</f>
        <v>15.8</v>
      </c>
      <c r="L1056" s="6" t="n">
        <f aca="false">ROUND(INDEX(Archetypes!$I$2:$I$127, MATCH(D1056, Archetypes!$A$2:$A$127, 0))*INDEX(Unit_Grades!$C$2:$C$7, MATCH(F1056, Unit_Grades!$A$2:$A$7, 0)),1)</f>
        <v>25.2</v>
      </c>
      <c r="M1056" s="6" t="n">
        <f aca="false">ROUND(INDEX(Archetypes!$J$2:$J$127, MATCH(D1056, Archetypes!$A$2:$A$127, 0))*INDEX(Unit_Grades!$D$2:$D$7, MATCH(F1056, Unit_Grades!$A$2:$A$7, 0)),1)</f>
        <v>25.6</v>
      </c>
      <c r="N1056" s="6" t="n">
        <f aca="false">ROUND(M1056/24,2)</f>
        <v>1.07</v>
      </c>
    </row>
    <row r="1057" customFormat="false" ht="15" hidden="false" customHeight="true" outlineLevel="0" collapsed="false">
      <c r="A1057" s="6" t="n">
        <v>4</v>
      </c>
      <c r="B1057" s="6" t="s">
        <v>2566</v>
      </c>
      <c r="C1057" s="6" t="s">
        <v>1385</v>
      </c>
      <c r="D1057" s="6" t="str">
        <f aca="false">A1057&amp;"|"&amp;C1057</f>
        <v>4|Engineer</v>
      </c>
      <c r="E1057" s="6" t="s">
        <v>1558</v>
      </c>
      <c r="F1057" s="6" t="s">
        <v>1548</v>
      </c>
      <c r="G1057" s="6" t="str">
        <f aca="false">INDEX(Archetypes!$D$2:$D$127, MATCH(D1057, Archetypes!$A$2:$A$127, 0))</f>
        <v>Support</v>
      </c>
      <c r="H1057" s="6" t="n">
        <f aca="false">ROUND(INDEX(Archetypes!$E$2:$E$127, MATCH(D1057, Archetypes!$A$2:$A$127, 0))*INDEX(Unit_Grades!$B$2:$B$7, MATCH(F1057, Unit_Grades!$A$2:$A$7, 0))*INDEX(Unit_Paths!$B$2:$B$4, MATCH(E1057, Unit_Paths!$A$2:$A$4, 0)),1)</f>
        <v>151.2</v>
      </c>
      <c r="I1057" s="6" t="n">
        <f aca="false">ROUND(INDEX(Archetypes!$F$2:$F$127, MATCH(D1057, Archetypes!$A$2:$A$127, 0))*INDEX(Unit_Grades!$B$2:$B$7, MATCH(F1057, Unit_Grades!$A$2:$A$7, 0))*INDEX(Unit_Paths!$C$2:$C$4, MATCH(E1057, Unit_Paths!$A$2:$A$4, 0)),1)</f>
        <v>142.8</v>
      </c>
      <c r="J1057" s="6" t="n">
        <f aca="false">ROUND(INDEX(Archetypes!$G$2:$G$127, MATCH(D1057, Archetypes!$A$2:$A$127, 0))*INDEX(Unit_Grades!$B$2:$B$7, MATCH(F1057, Unit_Grades!$A$2:$A$7, 0))*INDEX(Unit_Paths!$D$2:$D$4, MATCH(E1057, Unit_Paths!$A$2:$A$4, 0)),0)</f>
        <v>559</v>
      </c>
      <c r="K1057" s="6" t="n">
        <f aca="false">ROUND(INDEX(Archetypes!$H$2:$H$127, MATCH(D1057, Archetypes!$A$2:$A$127, 0))*INDEX(Unit_Paths!$E$2:$E$4, MATCH(E1057, Unit_Paths!$A$2:$A$4, 0)),1)</f>
        <v>15.8</v>
      </c>
      <c r="L1057" s="6" t="n">
        <f aca="false">ROUND(INDEX(Archetypes!$I$2:$I$127, MATCH(D1057, Archetypes!$A$2:$A$127, 0))*INDEX(Unit_Grades!$C$2:$C$7, MATCH(F1057, Unit_Grades!$A$2:$A$7, 0)),1)</f>
        <v>33.3</v>
      </c>
      <c r="M1057" s="6" t="n">
        <f aca="false">ROUND(INDEX(Archetypes!$J$2:$J$127, MATCH(D1057, Archetypes!$A$2:$A$127, 0))*INDEX(Unit_Grades!$D$2:$D$7, MATCH(F1057, Unit_Grades!$A$2:$A$7, 0)),1)</f>
        <v>43.8</v>
      </c>
      <c r="N1057" s="6" t="n">
        <f aca="false">ROUND(M1057/24,2)</f>
        <v>1.83</v>
      </c>
    </row>
    <row r="1058" customFormat="false" ht="15" hidden="false" customHeight="true" outlineLevel="0" collapsed="false">
      <c r="A1058" s="6" t="n">
        <v>4</v>
      </c>
      <c r="B1058" s="6" t="s">
        <v>2567</v>
      </c>
      <c r="C1058" s="6" t="s">
        <v>1385</v>
      </c>
      <c r="D1058" s="6" t="str">
        <f aca="false">A1058&amp;"|"&amp;C1058</f>
        <v>4|Engineer</v>
      </c>
      <c r="E1058" s="6" t="s">
        <v>1560</v>
      </c>
      <c r="F1058" s="6" t="s">
        <v>1538</v>
      </c>
      <c r="G1058" s="6" t="str">
        <f aca="false">INDEX(Archetypes!$D$2:$D$127, MATCH(D1058, Archetypes!$A$2:$A$127, 0))</f>
        <v>Support</v>
      </c>
      <c r="H1058" s="6" t="n">
        <f aca="false">ROUND(INDEX(Archetypes!$E$2:$E$127, MATCH(D1058, Archetypes!$A$2:$A$127, 0))*INDEX(Unit_Grades!$B$2:$B$7, MATCH(F1058, Unit_Grades!$A$2:$A$7, 0))*INDEX(Unit_Paths!$B$2:$B$4, MATCH(E1058, Unit_Paths!$A$2:$A$4, 0)),1)</f>
        <v>25.5</v>
      </c>
      <c r="I1058" s="6" t="n">
        <f aca="false">ROUND(INDEX(Archetypes!$F$2:$F$127, MATCH(D1058, Archetypes!$A$2:$A$127, 0))*INDEX(Unit_Grades!$B$2:$B$7, MATCH(F1058, Unit_Grades!$A$2:$A$7, 0))*INDEX(Unit_Paths!$C$2:$C$4, MATCH(E1058, Unit_Paths!$A$2:$A$4, 0)),1)</f>
        <v>50</v>
      </c>
      <c r="J1058" s="6" t="n">
        <f aca="false">ROUND(INDEX(Archetypes!$G$2:$G$127, MATCH(D1058, Archetypes!$A$2:$A$127, 0))*INDEX(Unit_Grades!$B$2:$B$7, MATCH(F1058, Unit_Grades!$A$2:$A$7, 0))*INDEX(Unit_Paths!$D$2:$D$4, MATCH(E1058, Unit_Paths!$A$2:$A$4, 0)),0)</f>
        <v>161</v>
      </c>
      <c r="K1058" s="6" t="n">
        <f aca="false">ROUND(INDEX(Archetypes!$H$2:$H$127, MATCH(D1058, Archetypes!$A$2:$A$127, 0))*INDEX(Unit_Paths!$E$2:$E$4, MATCH(E1058, Unit_Paths!$A$2:$A$4, 0)),1)</f>
        <v>13.8</v>
      </c>
      <c r="L1058" s="6" t="n">
        <f aca="false">ROUND(INDEX(Archetypes!$I$2:$I$127, MATCH(D1058, Archetypes!$A$2:$A$127, 0))*INDEX(Unit_Grades!$C$2:$C$7, MATCH(F1058, Unit_Grades!$A$2:$A$7, 0)),1)</f>
        <v>9</v>
      </c>
      <c r="M1058" s="6" t="n">
        <f aca="false">ROUND(INDEX(Archetypes!$J$2:$J$127, MATCH(D1058, Archetypes!$A$2:$A$127, 0))*INDEX(Unit_Grades!$D$2:$D$7, MATCH(F1058, Unit_Grades!$A$2:$A$7, 0)),1)</f>
        <v>3.7</v>
      </c>
      <c r="N1058" s="6" t="n">
        <f aca="false">ROUND(M1058/24,2)</f>
        <v>0.15</v>
      </c>
    </row>
    <row r="1059" customFormat="false" ht="15" hidden="false" customHeight="true" outlineLevel="0" collapsed="false">
      <c r="A1059" s="6" t="n">
        <v>4</v>
      </c>
      <c r="B1059" s="6" t="s">
        <v>2568</v>
      </c>
      <c r="C1059" s="6" t="s">
        <v>1385</v>
      </c>
      <c r="D1059" s="6" t="str">
        <f aca="false">A1059&amp;"|"&amp;C1059</f>
        <v>4|Engineer</v>
      </c>
      <c r="E1059" s="6" t="s">
        <v>1560</v>
      </c>
      <c r="F1059" s="6" t="s">
        <v>1540</v>
      </c>
      <c r="G1059" s="6" t="str">
        <f aca="false">INDEX(Archetypes!$D$2:$D$127, MATCH(D1059, Archetypes!$A$2:$A$127, 0))</f>
        <v>Support</v>
      </c>
      <c r="H1059" s="6" t="n">
        <f aca="false">ROUND(INDEX(Archetypes!$E$2:$E$127, MATCH(D1059, Archetypes!$A$2:$A$127, 0))*INDEX(Unit_Grades!$B$2:$B$7, MATCH(F1059, Unit_Grades!$A$2:$A$7, 0))*INDEX(Unit_Paths!$B$2:$B$4, MATCH(E1059, Unit_Paths!$A$2:$A$4, 0)),1)</f>
        <v>34.4</v>
      </c>
      <c r="I1059" s="6" t="n">
        <f aca="false">ROUND(INDEX(Archetypes!$F$2:$F$127, MATCH(D1059, Archetypes!$A$2:$A$127, 0))*INDEX(Unit_Grades!$B$2:$B$7, MATCH(F1059, Unit_Grades!$A$2:$A$7, 0))*INDEX(Unit_Paths!$C$2:$C$4, MATCH(E1059, Unit_Paths!$A$2:$A$4, 0)),1)</f>
        <v>67.5</v>
      </c>
      <c r="J1059" s="6" t="n">
        <f aca="false">ROUND(INDEX(Archetypes!$G$2:$G$127, MATCH(D1059, Archetypes!$A$2:$A$127, 0))*INDEX(Unit_Grades!$B$2:$B$7, MATCH(F1059, Unit_Grades!$A$2:$A$7, 0))*INDEX(Unit_Paths!$D$2:$D$4, MATCH(E1059, Unit_Paths!$A$2:$A$4, 0)),0)</f>
        <v>217</v>
      </c>
      <c r="K1059" s="6" t="n">
        <f aca="false">ROUND(INDEX(Archetypes!$H$2:$H$127, MATCH(D1059, Archetypes!$A$2:$A$127, 0))*INDEX(Unit_Paths!$E$2:$E$4, MATCH(E1059, Unit_Paths!$A$2:$A$4, 0)),1)</f>
        <v>13.8</v>
      </c>
      <c r="L1059" s="6" t="n">
        <f aca="false">ROUND(INDEX(Archetypes!$I$2:$I$127, MATCH(D1059, Archetypes!$A$2:$A$127, 0))*INDEX(Unit_Grades!$C$2:$C$7, MATCH(F1059, Unit_Grades!$A$2:$A$7, 0)),1)</f>
        <v>11.3</v>
      </c>
      <c r="M1059" s="6" t="n">
        <f aca="false">ROUND(INDEX(Archetypes!$J$2:$J$127, MATCH(D1059, Archetypes!$A$2:$A$127, 0))*INDEX(Unit_Grades!$D$2:$D$7, MATCH(F1059, Unit_Grades!$A$2:$A$7, 0)),1)</f>
        <v>5.5</v>
      </c>
      <c r="N1059" s="6" t="n">
        <f aca="false">ROUND(M1059/24,2)</f>
        <v>0.23</v>
      </c>
    </row>
    <row r="1060" customFormat="false" ht="15" hidden="false" customHeight="true" outlineLevel="0" collapsed="false">
      <c r="A1060" s="6" t="n">
        <v>4</v>
      </c>
      <c r="B1060" s="6" t="s">
        <v>2569</v>
      </c>
      <c r="C1060" s="6" t="s">
        <v>1385</v>
      </c>
      <c r="D1060" s="6" t="str">
        <f aca="false">A1060&amp;"|"&amp;C1060</f>
        <v>4|Engineer</v>
      </c>
      <c r="E1060" s="6" t="s">
        <v>1560</v>
      </c>
      <c r="F1060" s="6" t="s">
        <v>1542</v>
      </c>
      <c r="G1060" s="6" t="str">
        <f aca="false">INDEX(Archetypes!$D$2:$D$127, MATCH(D1060, Archetypes!$A$2:$A$127, 0))</f>
        <v>Support</v>
      </c>
      <c r="H1060" s="6" t="n">
        <f aca="false">ROUND(INDEX(Archetypes!$E$2:$E$127, MATCH(D1060, Archetypes!$A$2:$A$127, 0))*INDEX(Unit_Grades!$B$2:$B$7, MATCH(F1060, Unit_Grades!$A$2:$A$7, 0))*INDEX(Unit_Paths!$B$2:$B$4, MATCH(E1060, Unit_Paths!$A$2:$A$4, 0)),1)</f>
        <v>45.9</v>
      </c>
      <c r="I1060" s="6" t="n">
        <f aca="false">ROUND(INDEX(Archetypes!$F$2:$F$127, MATCH(D1060, Archetypes!$A$2:$A$127, 0))*INDEX(Unit_Grades!$B$2:$B$7, MATCH(F1060, Unit_Grades!$A$2:$A$7, 0))*INDEX(Unit_Paths!$C$2:$C$4, MATCH(E1060, Unit_Paths!$A$2:$A$4, 0)),1)</f>
        <v>90</v>
      </c>
      <c r="J1060" s="6" t="n">
        <f aca="false">ROUND(INDEX(Archetypes!$G$2:$G$127, MATCH(D1060, Archetypes!$A$2:$A$127, 0))*INDEX(Unit_Grades!$B$2:$B$7, MATCH(F1060, Unit_Grades!$A$2:$A$7, 0))*INDEX(Unit_Paths!$D$2:$D$4, MATCH(E1060, Unit_Paths!$A$2:$A$4, 0)),0)</f>
        <v>290</v>
      </c>
      <c r="K1060" s="6" t="n">
        <f aca="false">ROUND(INDEX(Archetypes!$H$2:$H$127, MATCH(D1060, Archetypes!$A$2:$A$127, 0))*INDEX(Unit_Paths!$E$2:$E$4, MATCH(E1060, Unit_Paths!$A$2:$A$4, 0)),1)</f>
        <v>13.8</v>
      </c>
      <c r="L1060" s="6" t="n">
        <f aca="false">ROUND(INDEX(Archetypes!$I$2:$I$127, MATCH(D1060, Archetypes!$A$2:$A$127, 0))*INDEX(Unit_Grades!$C$2:$C$7, MATCH(F1060, Unit_Grades!$A$2:$A$7, 0)),1)</f>
        <v>14.4</v>
      </c>
      <c r="M1060" s="6" t="n">
        <f aca="false">ROUND(INDEX(Archetypes!$J$2:$J$127, MATCH(D1060, Archetypes!$A$2:$A$127, 0))*INDEX(Unit_Grades!$D$2:$D$7, MATCH(F1060, Unit_Grades!$A$2:$A$7, 0)),1)</f>
        <v>9.1</v>
      </c>
      <c r="N1060" s="6" t="n">
        <f aca="false">ROUND(M1060/24,2)</f>
        <v>0.38</v>
      </c>
    </row>
    <row r="1061" customFormat="false" ht="15" hidden="false" customHeight="true" outlineLevel="0" collapsed="false">
      <c r="A1061" s="6" t="n">
        <v>4</v>
      </c>
      <c r="B1061" s="6" t="s">
        <v>2570</v>
      </c>
      <c r="C1061" s="6" t="s">
        <v>1385</v>
      </c>
      <c r="D1061" s="6" t="str">
        <f aca="false">A1061&amp;"|"&amp;C1061</f>
        <v>4|Engineer</v>
      </c>
      <c r="E1061" s="6" t="s">
        <v>1560</v>
      </c>
      <c r="F1061" s="6" t="s">
        <v>1544</v>
      </c>
      <c r="G1061" s="6" t="str">
        <f aca="false">INDEX(Archetypes!$D$2:$D$127, MATCH(D1061, Archetypes!$A$2:$A$127, 0))</f>
        <v>Support</v>
      </c>
      <c r="H1061" s="6" t="n">
        <f aca="false">ROUND(INDEX(Archetypes!$E$2:$E$127, MATCH(D1061, Archetypes!$A$2:$A$127, 0))*INDEX(Unit_Grades!$B$2:$B$7, MATCH(F1061, Unit_Grades!$A$2:$A$7, 0))*INDEX(Unit_Paths!$B$2:$B$4, MATCH(E1061, Unit_Paths!$A$2:$A$4, 0)),1)</f>
        <v>61.2</v>
      </c>
      <c r="I1061" s="6" t="n">
        <f aca="false">ROUND(INDEX(Archetypes!$F$2:$F$127, MATCH(D1061, Archetypes!$A$2:$A$127, 0))*INDEX(Unit_Grades!$B$2:$B$7, MATCH(F1061, Unit_Grades!$A$2:$A$7, 0))*INDEX(Unit_Paths!$C$2:$C$4, MATCH(E1061, Unit_Paths!$A$2:$A$4, 0)),1)</f>
        <v>120</v>
      </c>
      <c r="J1061" s="6" t="n">
        <f aca="false">ROUND(INDEX(Archetypes!$G$2:$G$127, MATCH(D1061, Archetypes!$A$2:$A$127, 0))*INDEX(Unit_Grades!$B$2:$B$7, MATCH(F1061, Unit_Grades!$A$2:$A$7, 0))*INDEX(Unit_Paths!$D$2:$D$4, MATCH(E1061, Unit_Paths!$A$2:$A$4, 0)),0)</f>
        <v>386</v>
      </c>
      <c r="K1061" s="6" t="n">
        <f aca="false">ROUND(INDEX(Archetypes!$H$2:$H$127, MATCH(D1061, Archetypes!$A$2:$A$127, 0))*INDEX(Unit_Paths!$E$2:$E$4, MATCH(E1061, Unit_Paths!$A$2:$A$4, 0)),1)</f>
        <v>13.8</v>
      </c>
      <c r="L1061" s="6" t="n">
        <f aca="false">ROUND(INDEX(Archetypes!$I$2:$I$127, MATCH(D1061, Archetypes!$A$2:$A$127, 0))*INDEX(Unit_Grades!$C$2:$C$7, MATCH(F1061, Unit_Grades!$A$2:$A$7, 0)),1)</f>
        <v>18.9</v>
      </c>
      <c r="M1061" s="6" t="n">
        <f aca="false">ROUND(INDEX(Archetypes!$J$2:$J$127, MATCH(D1061, Archetypes!$A$2:$A$127, 0))*INDEX(Unit_Grades!$D$2:$D$7, MATCH(F1061, Unit_Grades!$A$2:$A$7, 0)),1)</f>
        <v>14.6</v>
      </c>
      <c r="N1061" s="6" t="n">
        <f aca="false">ROUND(M1061/24,2)</f>
        <v>0.61</v>
      </c>
    </row>
    <row r="1062" customFormat="false" ht="15" hidden="false" customHeight="true" outlineLevel="0" collapsed="false">
      <c r="A1062" s="6" t="n">
        <v>4</v>
      </c>
      <c r="B1062" s="6" t="s">
        <v>2571</v>
      </c>
      <c r="C1062" s="6" t="s">
        <v>1385</v>
      </c>
      <c r="D1062" s="6" t="str">
        <f aca="false">A1062&amp;"|"&amp;C1062</f>
        <v>4|Engineer</v>
      </c>
      <c r="E1062" s="6" t="s">
        <v>1560</v>
      </c>
      <c r="F1062" s="6" t="s">
        <v>1546</v>
      </c>
      <c r="G1062" s="6" t="str">
        <f aca="false">INDEX(Archetypes!$D$2:$D$127, MATCH(D1062, Archetypes!$A$2:$A$127, 0))</f>
        <v>Support</v>
      </c>
      <c r="H1062" s="6" t="n">
        <f aca="false">ROUND(INDEX(Archetypes!$E$2:$E$127, MATCH(D1062, Archetypes!$A$2:$A$127, 0))*INDEX(Unit_Grades!$B$2:$B$7, MATCH(F1062, Unit_Grades!$A$2:$A$7, 0))*INDEX(Unit_Paths!$B$2:$B$4, MATCH(E1062, Unit_Paths!$A$2:$A$4, 0)),1)</f>
        <v>81.6</v>
      </c>
      <c r="I1062" s="6" t="n">
        <f aca="false">ROUND(INDEX(Archetypes!$F$2:$F$127, MATCH(D1062, Archetypes!$A$2:$A$127, 0))*INDEX(Unit_Grades!$B$2:$B$7, MATCH(F1062, Unit_Grades!$A$2:$A$7, 0))*INDEX(Unit_Paths!$C$2:$C$4, MATCH(E1062, Unit_Paths!$A$2:$A$4, 0)),1)</f>
        <v>160</v>
      </c>
      <c r="J1062" s="6" t="n">
        <f aca="false">ROUND(INDEX(Archetypes!$G$2:$G$127, MATCH(D1062, Archetypes!$A$2:$A$127, 0))*INDEX(Unit_Grades!$B$2:$B$7, MATCH(F1062, Unit_Grades!$A$2:$A$7, 0))*INDEX(Unit_Paths!$D$2:$D$4, MATCH(E1062, Unit_Paths!$A$2:$A$4, 0)),0)</f>
        <v>515</v>
      </c>
      <c r="K1062" s="6" t="n">
        <f aca="false">ROUND(INDEX(Archetypes!$H$2:$H$127, MATCH(D1062, Archetypes!$A$2:$A$127, 0))*INDEX(Unit_Paths!$E$2:$E$4, MATCH(E1062, Unit_Paths!$A$2:$A$4, 0)),1)</f>
        <v>13.8</v>
      </c>
      <c r="L1062" s="6" t="n">
        <f aca="false">ROUND(INDEX(Archetypes!$I$2:$I$127, MATCH(D1062, Archetypes!$A$2:$A$127, 0))*INDEX(Unit_Grades!$C$2:$C$7, MATCH(F1062, Unit_Grades!$A$2:$A$7, 0)),1)</f>
        <v>25.2</v>
      </c>
      <c r="M1062" s="6" t="n">
        <f aca="false">ROUND(INDEX(Archetypes!$J$2:$J$127, MATCH(D1062, Archetypes!$A$2:$A$127, 0))*INDEX(Unit_Grades!$D$2:$D$7, MATCH(F1062, Unit_Grades!$A$2:$A$7, 0)),1)</f>
        <v>25.6</v>
      </c>
      <c r="N1062" s="6" t="n">
        <f aca="false">ROUND(M1062/24,2)</f>
        <v>1.07</v>
      </c>
    </row>
    <row r="1063" customFormat="false" ht="15" hidden="false" customHeight="true" outlineLevel="0" collapsed="false">
      <c r="A1063" s="6" t="n">
        <v>4</v>
      </c>
      <c r="B1063" s="6" t="s">
        <v>2572</v>
      </c>
      <c r="C1063" s="6" t="s">
        <v>1385</v>
      </c>
      <c r="D1063" s="6" t="str">
        <f aca="false">A1063&amp;"|"&amp;C1063</f>
        <v>4|Engineer</v>
      </c>
      <c r="E1063" s="6" t="s">
        <v>1560</v>
      </c>
      <c r="F1063" s="6" t="s">
        <v>1548</v>
      </c>
      <c r="G1063" s="6" t="str">
        <f aca="false">INDEX(Archetypes!$D$2:$D$127, MATCH(D1063, Archetypes!$A$2:$A$127, 0))</f>
        <v>Support</v>
      </c>
      <c r="H1063" s="6" t="n">
        <f aca="false">ROUND(INDEX(Archetypes!$E$2:$E$127, MATCH(D1063, Archetypes!$A$2:$A$127, 0))*INDEX(Unit_Grades!$B$2:$B$7, MATCH(F1063, Unit_Grades!$A$2:$A$7, 0))*INDEX(Unit_Paths!$B$2:$B$4, MATCH(E1063, Unit_Paths!$A$2:$A$4, 0)),1)</f>
        <v>107.1</v>
      </c>
      <c r="I1063" s="6" t="n">
        <f aca="false">ROUND(INDEX(Archetypes!$F$2:$F$127, MATCH(D1063, Archetypes!$A$2:$A$127, 0))*INDEX(Unit_Grades!$B$2:$B$7, MATCH(F1063, Unit_Grades!$A$2:$A$7, 0))*INDEX(Unit_Paths!$C$2:$C$4, MATCH(E1063, Unit_Paths!$A$2:$A$4, 0)),1)</f>
        <v>210</v>
      </c>
      <c r="J1063" s="6" t="n">
        <f aca="false">ROUND(INDEX(Archetypes!$G$2:$G$127, MATCH(D1063, Archetypes!$A$2:$A$127, 0))*INDEX(Unit_Grades!$B$2:$B$7, MATCH(F1063, Unit_Grades!$A$2:$A$7, 0))*INDEX(Unit_Paths!$D$2:$D$4, MATCH(E1063, Unit_Paths!$A$2:$A$4, 0)),0)</f>
        <v>676</v>
      </c>
      <c r="K1063" s="6" t="n">
        <f aca="false">ROUND(INDEX(Archetypes!$H$2:$H$127, MATCH(D1063, Archetypes!$A$2:$A$127, 0))*INDEX(Unit_Paths!$E$2:$E$4, MATCH(E1063, Unit_Paths!$A$2:$A$4, 0)),1)</f>
        <v>13.8</v>
      </c>
      <c r="L1063" s="6" t="n">
        <f aca="false">ROUND(INDEX(Archetypes!$I$2:$I$127, MATCH(D1063, Archetypes!$A$2:$A$127, 0))*INDEX(Unit_Grades!$C$2:$C$7, MATCH(F1063, Unit_Grades!$A$2:$A$7, 0)),1)</f>
        <v>33.3</v>
      </c>
      <c r="M1063" s="6" t="n">
        <f aca="false">ROUND(INDEX(Archetypes!$J$2:$J$127, MATCH(D1063, Archetypes!$A$2:$A$127, 0))*INDEX(Unit_Grades!$D$2:$D$7, MATCH(F1063, Unit_Grades!$A$2:$A$7, 0)),1)</f>
        <v>43.8</v>
      </c>
      <c r="N1063" s="6" t="n">
        <f aca="false">ROUND(M1063/24,2)</f>
        <v>1.83</v>
      </c>
    </row>
    <row r="1064" customFormat="false" ht="15" hidden="false" customHeight="true" outlineLevel="0" collapsed="false">
      <c r="A1064" s="6" t="n">
        <v>4</v>
      </c>
      <c r="B1064" s="6" t="s">
        <v>1387</v>
      </c>
      <c r="C1064" s="6" t="s">
        <v>1387</v>
      </c>
      <c r="D1064" s="6" t="str">
        <f aca="false">A1064&amp;"|"&amp;C1064</f>
        <v>4|Sniper Team</v>
      </c>
      <c r="E1064" s="6" t="s">
        <v>1556</v>
      </c>
      <c r="F1064" s="6" t="s">
        <v>1538</v>
      </c>
      <c r="G1064" s="6" t="str">
        <f aca="false">INDEX(Archetypes!$D$2:$D$127, MATCH(D1064, Archetypes!$A$2:$A$127, 0))</f>
        <v>Agent</v>
      </c>
      <c r="H1064" s="6" t="n">
        <f aca="false">ROUND(INDEX(Archetypes!$E$2:$E$127, MATCH(D1064, Archetypes!$A$2:$A$127, 0))*INDEX(Unit_Grades!$B$2:$B$7, MATCH(F1064, Unit_Grades!$A$2:$A$7, 0))*INDEX(Unit_Paths!$B$2:$B$4, MATCH(E1064, Unit_Paths!$A$2:$A$4, 0)),1)</f>
        <v>60</v>
      </c>
      <c r="I1064" s="6" t="n">
        <f aca="false">ROUND(INDEX(Archetypes!$F$2:$F$127, MATCH(D1064, Archetypes!$A$2:$A$127, 0))*INDEX(Unit_Grades!$B$2:$B$7, MATCH(F1064, Unit_Grades!$A$2:$A$7, 0))*INDEX(Unit_Paths!$C$2:$C$4, MATCH(E1064, Unit_Paths!$A$2:$A$4, 0)),1)</f>
        <v>20</v>
      </c>
      <c r="J1064" s="6" t="n">
        <f aca="false">ROUND(INDEX(Archetypes!$G$2:$G$127, MATCH(D1064, Archetypes!$A$2:$A$127, 0))*INDEX(Unit_Grades!$B$2:$B$7, MATCH(F1064, Unit_Grades!$A$2:$A$7, 0))*INDEX(Unit_Paths!$D$2:$D$4, MATCH(E1064, Unit_Paths!$A$2:$A$4, 0)),0)</f>
        <v>90</v>
      </c>
      <c r="K1064" s="6" t="n">
        <f aca="false">ROUND(INDEX(Archetypes!$H$2:$H$127, MATCH(D1064, Archetypes!$A$2:$A$127, 0))*INDEX(Unit_Paths!$E$2:$E$4, MATCH(E1064, Unit_Paths!$A$2:$A$4, 0)),1)</f>
        <v>14</v>
      </c>
      <c r="L1064" s="6" t="n">
        <f aca="false">ROUND(INDEX(Archetypes!$I$2:$I$127, MATCH(D1064, Archetypes!$A$2:$A$127, 0))*INDEX(Unit_Grades!$C$2:$C$7, MATCH(F1064, Unit_Grades!$A$2:$A$7, 0)),1)</f>
        <v>10</v>
      </c>
      <c r="M1064" s="6" t="n">
        <f aca="false">ROUND(INDEX(Archetypes!$J$2:$J$127, MATCH(D1064, Archetypes!$A$2:$A$127, 0))*INDEX(Unit_Grades!$D$2:$D$7, MATCH(F1064, Unit_Grades!$A$2:$A$7, 0)),1)</f>
        <v>4.1</v>
      </c>
      <c r="N1064" s="6" t="n">
        <f aca="false">ROUND(M1064/24,2)</f>
        <v>0.17</v>
      </c>
    </row>
    <row r="1065" customFormat="false" ht="15" hidden="false" customHeight="true" outlineLevel="0" collapsed="false">
      <c r="A1065" s="6" t="n">
        <v>4</v>
      </c>
      <c r="B1065" s="6" t="s">
        <v>2573</v>
      </c>
      <c r="C1065" s="6" t="s">
        <v>1387</v>
      </c>
      <c r="D1065" s="6" t="str">
        <f aca="false">A1065&amp;"|"&amp;C1065</f>
        <v>4|Sniper Team</v>
      </c>
      <c r="E1065" s="6" t="s">
        <v>1556</v>
      </c>
      <c r="F1065" s="6" t="s">
        <v>1540</v>
      </c>
      <c r="G1065" s="6" t="str">
        <f aca="false">INDEX(Archetypes!$D$2:$D$127, MATCH(D1065, Archetypes!$A$2:$A$127, 0))</f>
        <v>Agent</v>
      </c>
      <c r="H1065" s="6" t="n">
        <f aca="false">ROUND(INDEX(Archetypes!$E$2:$E$127, MATCH(D1065, Archetypes!$A$2:$A$127, 0))*INDEX(Unit_Grades!$B$2:$B$7, MATCH(F1065, Unit_Grades!$A$2:$A$7, 0))*INDEX(Unit_Paths!$B$2:$B$4, MATCH(E1065, Unit_Paths!$A$2:$A$4, 0)),1)</f>
        <v>81</v>
      </c>
      <c r="I1065" s="6" t="n">
        <f aca="false">ROUND(INDEX(Archetypes!$F$2:$F$127, MATCH(D1065, Archetypes!$A$2:$A$127, 0))*INDEX(Unit_Grades!$B$2:$B$7, MATCH(F1065, Unit_Grades!$A$2:$A$7, 0))*INDEX(Unit_Paths!$C$2:$C$4, MATCH(E1065, Unit_Paths!$A$2:$A$4, 0)),1)</f>
        <v>27</v>
      </c>
      <c r="J1065" s="6" t="n">
        <f aca="false">ROUND(INDEX(Archetypes!$G$2:$G$127, MATCH(D1065, Archetypes!$A$2:$A$127, 0))*INDEX(Unit_Grades!$B$2:$B$7, MATCH(F1065, Unit_Grades!$A$2:$A$7, 0))*INDEX(Unit_Paths!$D$2:$D$4, MATCH(E1065, Unit_Paths!$A$2:$A$4, 0)),0)</f>
        <v>122</v>
      </c>
      <c r="K1065" s="6" t="n">
        <f aca="false">ROUND(INDEX(Archetypes!$H$2:$H$127, MATCH(D1065, Archetypes!$A$2:$A$127, 0))*INDEX(Unit_Paths!$E$2:$E$4, MATCH(E1065, Unit_Paths!$A$2:$A$4, 0)),1)</f>
        <v>14</v>
      </c>
      <c r="L1065" s="6" t="n">
        <f aca="false">ROUND(INDEX(Archetypes!$I$2:$I$127, MATCH(D1065, Archetypes!$A$2:$A$127, 0))*INDEX(Unit_Grades!$C$2:$C$7, MATCH(F1065, Unit_Grades!$A$2:$A$7, 0)),1)</f>
        <v>12.5</v>
      </c>
      <c r="M1065" s="6" t="n">
        <f aca="false">ROUND(INDEX(Archetypes!$J$2:$J$127, MATCH(D1065, Archetypes!$A$2:$A$127, 0))*INDEX(Unit_Grades!$D$2:$D$7, MATCH(F1065, Unit_Grades!$A$2:$A$7, 0)),1)</f>
        <v>6.1</v>
      </c>
      <c r="N1065" s="6" t="n">
        <f aca="false">ROUND(M1065/24,2)</f>
        <v>0.25</v>
      </c>
    </row>
    <row r="1066" customFormat="false" ht="15" hidden="false" customHeight="true" outlineLevel="0" collapsed="false">
      <c r="A1066" s="6" t="n">
        <v>4</v>
      </c>
      <c r="B1066" s="6" t="s">
        <v>2574</v>
      </c>
      <c r="C1066" s="6" t="s">
        <v>1387</v>
      </c>
      <c r="D1066" s="6" t="str">
        <f aca="false">A1066&amp;"|"&amp;C1066</f>
        <v>4|Sniper Team</v>
      </c>
      <c r="E1066" s="6" t="s">
        <v>1556</v>
      </c>
      <c r="F1066" s="6" t="s">
        <v>1542</v>
      </c>
      <c r="G1066" s="6" t="str">
        <f aca="false">INDEX(Archetypes!$D$2:$D$127, MATCH(D1066, Archetypes!$A$2:$A$127, 0))</f>
        <v>Agent</v>
      </c>
      <c r="H1066" s="6" t="n">
        <f aca="false">ROUND(INDEX(Archetypes!$E$2:$E$127, MATCH(D1066, Archetypes!$A$2:$A$127, 0))*INDEX(Unit_Grades!$B$2:$B$7, MATCH(F1066, Unit_Grades!$A$2:$A$7, 0))*INDEX(Unit_Paths!$B$2:$B$4, MATCH(E1066, Unit_Paths!$A$2:$A$4, 0)),1)</f>
        <v>108</v>
      </c>
      <c r="I1066" s="6" t="n">
        <f aca="false">ROUND(INDEX(Archetypes!$F$2:$F$127, MATCH(D1066, Archetypes!$A$2:$A$127, 0))*INDEX(Unit_Grades!$B$2:$B$7, MATCH(F1066, Unit_Grades!$A$2:$A$7, 0))*INDEX(Unit_Paths!$C$2:$C$4, MATCH(E1066, Unit_Paths!$A$2:$A$4, 0)),1)</f>
        <v>36</v>
      </c>
      <c r="J1066" s="6" t="n">
        <f aca="false">ROUND(INDEX(Archetypes!$G$2:$G$127, MATCH(D1066, Archetypes!$A$2:$A$127, 0))*INDEX(Unit_Grades!$B$2:$B$7, MATCH(F1066, Unit_Grades!$A$2:$A$7, 0))*INDEX(Unit_Paths!$D$2:$D$4, MATCH(E1066, Unit_Paths!$A$2:$A$4, 0)),0)</f>
        <v>162</v>
      </c>
      <c r="K1066" s="6" t="n">
        <f aca="false">ROUND(INDEX(Archetypes!$H$2:$H$127, MATCH(D1066, Archetypes!$A$2:$A$127, 0))*INDEX(Unit_Paths!$E$2:$E$4, MATCH(E1066, Unit_Paths!$A$2:$A$4, 0)),1)</f>
        <v>14</v>
      </c>
      <c r="L1066" s="6" t="n">
        <f aca="false">ROUND(INDEX(Archetypes!$I$2:$I$127, MATCH(D1066, Archetypes!$A$2:$A$127, 0))*INDEX(Unit_Grades!$C$2:$C$7, MATCH(F1066, Unit_Grades!$A$2:$A$7, 0)),1)</f>
        <v>16</v>
      </c>
      <c r="M1066" s="6" t="n">
        <f aca="false">ROUND(INDEX(Archetypes!$J$2:$J$127, MATCH(D1066, Archetypes!$A$2:$A$127, 0))*INDEX(Unit_Grades!$D$2:$D$7, MATCH(F1066, Unit_Grades!$A$2:$A$7, 0)),1)</f>
        <v>10.2</v>
      </c>
      <c r="N1066" s="6" t="n">
        <f aca="false">ROUND(M1066/24,2)</f>
        <v>0.43</v>
      </c>
    </row>
    <row r="1067" customFormat="false" ht="15" hidden="false" customHeight="true" outlineLevel="0" collapsed="false">
      <c r="A1067" s="6" t="n">
        <v>4</v>
      </c>
      <c r="B1067" s="6" t="s">
        <v>2575</v>
      </c>
      <c r="C1067" s="6" t="s">
        <v>1387</v>
      </c>
      <c r="D1067" s="6" t="str">
        <f aca="false">A1067&amp;"|"&amp;C1067</f>
        <v>4|Sniper Team</v>
      </c>
      <c r="E1067" s="6" t="s">
        <v>1556</v>
      </c>
      <c r="F1067" s="6" t="s">
        <v>1544</v>
      </c>
      <c r="G1067" s="6" t="str">
        <f aca="false">INDEX(Archetypes!$D$2:$D$127, MATCH(D1067, Archetypes!$A$2:$A$127, 0))</f>
        <v>Agent</v>
      </c>
      <c r="H1067" s="6" t="n">
        <f aca="false">ROUND(INDEX(Archetypes!$E$2:$E$127, MATCH(D1067, Archetypes!$A$2:$A$127, 0))*INDEX(Unit_Grades!$B$2:$B$7, MATCH(F1067, Unit_Grades!$A$2:$A$7, 0))*INDEX(Unit_Paths!$B$2:$B$4, MATCH(E1067, Unit_Paths!$A$2:$A$4, 0)),1)</f>
        <v>144</v>
      </c>
      <c r="I1067" s="6" t="n">
        <f aca="false">ROUND(INDEX(Archetypes!$F$2:$F$127, MATCH(D1067, Archetypes!$A$2:$A$127, 0))*INDEX(Unit_Grades!$B$2:$B$7, MATCH(F1067, Unit_Grades!$A$2:$A$7, 0))*INDEX(Unit_Paths!$C$2:$C$4, MATCH(E1067, Unit_Paths!$A$2:$A$4, 0)),1)</f>
        <v>48</v>
      </c>
      <c r="J1067" s="6" t="n">
        <f aca="false">ROUND(INDEX(Archetypes!$G$2:$G$127, MATCH(D1067, Archetypes!$A$2:$A$127, 0))*INDEX(Unit_Grades!$B$2:$B$7, MATCH(F1067, Unit_Grades!$A$2:$A$7, 0))*INDEX(Unit_Paths!$D$2:$D$4, MATCH(E1067, Unit_Paths!$A$2:$A$4, 0)),0)</f>
        <v>216</v>
      </c>
      <c r="K1067" s="6" t="n">
        <f aca="false">ROUND(INDEX(Archetypes!$H$2:$H$127, MATCH(D1067, Archetypes!$A$2:$A$127, 0))*INDEX(Unit_Paths!$E$2:$E$4, MATCH(E1067, Unit_Paths!$A$2:$A$4, 0)),1)</f>
        <v>14</v>
      </c>
      <c r="L1067" s="6" t="n">
        <f aca="false">ROUND(INDEX(Archetypes!$I$2:$I$127, MATCH(D1067, Archetypes!$A$2:$A$127, 0))*INDEX(Unit_Grades!$C$2:$C$7, MATCH(F1067, Unit_Grades!$A$2:$A$7, 0)),1)</f>
        <v>21</v>
      </c>
      <c r="M1067" s="6" t="n">
        <f aca="false">ROUND(INDEX(Archetypes!$J$2:$J$127, MATCH(D1067, Archetypes!$A$2:$A$127, 0))*INDEX(Unit_Grades!$D$2:$D$7, MATCH(F1067, Unit_Grades!$A$2:$A$7, 0)),1)</f>
        <v>16.2</v>
      </c>
      <c r="N1067" s="6" t="n">
        <f aca="false">ROUND(M1067/24,2)</f>
        <v>0.68</v>
      </c>
    </row>
    <row r="1068" customFormat="false" ht="15" hidden="false" customHeight="true" outlineLevel="0" collapsed="false">
      <c r="A1068" s="6" t="n">
        <v>4</v>
      </c>
      <c r="B1068" s="6" t="s">
        <v>2576</v>
      </c>
      <c r="C1068" s="6" t="s">
        <v>1387</v>
      </c>
      <c r="D1068" s="6" t="str">
        <f aca="false">A1068&amp;"|"&amp;C1068</f>
        <v>4|Sniper Team</v>
      </c>
      <c r="E1068" s="6" t="s">
        <v>1556</v>
      </c>
      <c r="F1068" s="6" t="s">
        <v>1546</v>
      </c>
      <c r="G1068" s="6" t="str">
        <f aca="false">INDEX(Archetypes!$D$2:$D$127, MATCH(D1068, Archetypes!$A$2:$A$127, 0))</f>
        <v>Agent</v>
      </c>
      <c r="H1068" s="6" t="n">
        <f aca="false">ROUND(INDEX(Archetypes!$E$2:$E$127, MATCH(D1068, Archetypes!$A$2:$A$127, 0))*INDEX(Unit_Grades!$B$2:$B$7, MATCH(F1068, Unit_Grades!$A$2:$A$7, 0))*INDEX(Unit_Paths!$B$2:$B$4, MATCH(E1068, Unit_Paths!$A$2:$A$4, 0)),1)</f>
        <v>192</v>
      </c>
      <c r="I1068" s="6" t="n">
        <f aca="false">ROUND(INDEX(Archetypes!$F$2:$F$127, MATCH(D1068, Archetypes!$A$2:$A$127, 0))*INDEX(Unit_Grades!$B$2:$B$7, MATCH(F1068, Unit_Grades!$A$2:$A$7, 0))*INDEX(Unit_Paths!$C$2:$C$4, MATCH(E1068, Unit_Paths!$A$2:$A$4, 0)),1)</f>
        <v>64</v>
      </c>
      <c r="J1068" s="6" t="n">
        <f aca="false">ROUND(INDEX(Archetypes!$G$2:$G$127, MATCH(D1068, Archetypes!$A$2:$A$127, 0))*INDEX(Unit_Grades!$B$2:$B$7, MATCH(F1068, Unit_Grades!$A$2:$A$7, 0))*INDEX(Unit_Paths!$D$2:$D$4, MATCH(E1068, Unit_Paths!$A$2:$A$4, 0)),0)</f>
        <v>288</v>
      </c>
      <c r="K1068" s="6" t="n">
        <f aca="false">ROUND(INDEX(Archetypes!$H$2:$H$127, MATCH(D1068, Archetypes!$A$2:$A$127, 0))*INDEX(Unit_Paths!$E$2:$E$4, MATCH(E1068, Unit_Paths!$A$2:$A$4, 0)),1)</f>
        <v>14</v>
      </c>
      <c r="L1068" s="6" t="n">
        <f aca="false">ROUND(INDEX(Archetypes!$I$2:$I$127, MATCH(D1068, Archetypes!$A$2:$A$127, 0))*INDEX(Unit_Grades!$C$2:$C$7, MATCH(F1068, Unit_Grades!$A$2:$A$7, 0)),1)</f>
        <v>28</v>
      </c>
      <c r="M1068" s="6" t="n">
        <f aca="false">ROUND(INDEX(Archetypes!$J$2:$J$127, MATCH(D1068, Archetypes!$A$2:$A$127, 0))*INDEX(Unit_Grades!$D$2:$D$7, MATCH(F1068, Unit_Grades!$A$2:$A$7, 0)),1)</f>
        <v>28.4</v>
      </c>
      <c r="N1068" s="6" t="n">
        <f aca="false">ROUND(M1068/24,2)</f>
        <v>1.18</v>
      </c>
    </row>
    <row r="1069" customFormat="false" ht="15" hidden="false" customHeight="true" outlineLevel="0" collapsed="false">
      <c r="A1069" s="6" t="n">
        <v>4</v>
      </c>
      <c r="B1069" s="6" t="s">
        <v>2577</v>
      </c>
      <c r="C1069" s="6" t="s">
        <v>1387</v>
      </c>
      <c r="D1069" s="6" t="str">
        <f aca="false">A1069&amp;"|"&amp;C1069</f>
        <v>4|Sniper Team</v>
      </c>
      <c r="E1069" s="6" t="s">
        <v>1556</v>
      </c>
      <c r="F1069" s="6" t="s">
        <v>1548</v>
      </c>
      <c r="G1069" s="6" t="str">
        <f aca="false">INDEX(Archetypes!$D$2:$D$127, MATCH(D1069, Archetypes!$A$2:$A$127, 0))</f>
        <v>Agent</v>
      </c>
      <c r="H1069" s="6" t="n">
        <f aca="false">ROUND(INDEX(Archetypes!$E$2:$E$127, MATCH(D1069, Archetypes!$A$2:$A$127, 0))*INDEX(Unit_Grades!$B$2:$B$7, MATCH(F1069, Unit_Grades!$A$2:$A$7, 0))*INDEX(Unit_Paths!$B$2:$B$4, MATCH(E1069, Unit_Paths!$A$2:$A$4, 0)),1)</f>
        <v>252</v>
      </c>
      <c r="I1069" s="6" t="n">
        <f aca="false">ROUND(INDEX(Archetypes!$F$2:$F$127, MATCH(D1069, Archetypes!$A$2:$A$127, 0))*INDEX(Unit_Grades!$B$2:$B$7, MATCH(F1069, Unit_Grades!$A$2:$A$7, 0))*INDEX(Unit_Paths!$C$2:$C$4, MATCH(E1069, Unit_Paths!$A$2:$A$4, 0)),1)</f>
        <v>84</v>
      </c>
      <c r="J1069" s="6" t="n">
        <f aca="false">ROUND(INDEX(Archetypes!$G$2:$G$127, MATCH(D1069, Archetypes!$A$2:$A$127, 0))*INDEX(Unit_Grades!$B$2:$B$7, MATCH(F1069, Unit_Grades!$A$2:$A$7, 0))*INDEX(Unit_Paths!$D$2:$D$4, MATCH(E1069, Unit_Paths!$A$2:$A$4, 0)),0)</f>
        <v>378</v>
      </c>
      <c r="K1069" s="6" t="n">
        <f aca="false">ROUND(INDEX(Archetypes!$H$2:$H$127, MATCH(D1069, Archetypes!$A$2:$A$127, 0))*INDEX(Unit_Paths!$E$2:$E$4, MATCH(E1069, Unit_Paths!$A$2:$A$4, 0)),1)</f>
        <v>14</v>
      </c>
      <c r="L1069" s="6" t="n">
        <f aca="false">ROUND(INDEX(Archetypes!$I$2:$I$127, MATCH(D1069, Archetypes!$A$2:$A$127, 0))*INDEX(Unit_Grades!$C$2:$C$7, MATCH(F1069, Unit_Grades!$A$2:$A$7, 0)),1)</f>
        <v>37</v>
      </c>
      <c r="M1069" s="6" t="n">
        <f aca="false">ROUND(INDEX(Archetypes!$J$2:$J$127, MATCH(D1069, Archetypes!$A$2:$A$127, 0))*INDEX(Unit_Grades!$D$2:$D$7, MATCH(F1069, Unit_Grades!$A$2:$A$7, 0)),1)</f>
        <v>48.7</v>
      </c>
      <c r="N1069" s="6" t="n">
        <f aca="false">ROUND(M1069/24,2)</f>
        <v>2.03</v>
      </c>
    </row>
    <row r="1070" customFormat="false" ht="15" hidden="false" customHeight="true" outlineLevel="0" collapsed="false">
      <c r="A1070" s="6" t="n">
        <v>4</v>
      </c>
      <c r="B1070" s="6" t="s">
        <v>2578</v>
      </c>
      <c r="C1070" s="6" t="s">
        <v>1387</v>
      </c>
      <c r="D1070" s="6" t="str">
        <f aca="false">A1070&amp;"|"&amp;C1070</f>
        <v>4|Sniper Team</v>
      </c>
      <c r="E1070" s="6" t="s">
        <v>1558</v>
      </c>
      <c r="F1070" s="6" t="s">
        <v>1538</v>
      </c>
      <c r="G1070" s="6" t="str">
        <f aca="false">INDEX(Archetypes!$D$2:$D$127, MATCH(D1070, Archetypes!$A$2:$A$127, 0))</f>
        <v>Agent</v>
      </c>
      <c r="H1070" s="6" t="n">
        <f aca="false">ROUND(INDEX(Archetypes!$E$2:$E$127, MATCH(D1070, Archetypes!$A$2:$A$127, 0))*INDEX(Unit_Grades!$B$2:$B$7, MATCH(F1070, Unit_Grades!$A$2:$A$7, 0))*INDEX(Unit_Paths!$B$2:$B$4, MATCH(E1070, Unit_Paths!$A$2:$A$4, 0)),1)</f>
        <v>72</v>
      </c>
      <c r="I1070" s="6" t="n">
        <f aca="false">ROUND(INDEX(Archetypes!$F$2:$F$127, MATCH(D1070, Archetypes!$A$2:$A$127, 0))*INDEX(Unit_Grades!$B$2:$B$7, MATCH(F1070, Unit_Grades!$A$2:$A$7, 0))*INDEX(Unit_Paths!$C$2:$C$4, MATCH(E1070, Unit_Paths!$A$2:$A$4, 0)),1)</f>
        <v>17</v>
      </c>
      <c r="J1070" s="6" t="n">
        <f aca="false">ROUND(INDEX(Archetypes!$G$2:$G$127, MATCH(D1070, Archetypes!$A$2:$A$127, 0))*INDEX(Unit_Grades!$B$2:$B$7, MATCH(F1070, Unit_Grades!$A$2:$A$7, 0))*INDEX(Unit_Paths!$D$2:$D$4, MATCH(E1070, Unit_Paths!$A$2:$A$4, 0)),0)</f>
        <v>86</v>
      </c>
      <c r="K1070" s="6" t="n">
        <f aca="false">ROUND(INDEX(Archetypes!$H$2:$H$127, MATCH(D1070, Archetypes!$A$2:$A$127, 0))*INDEX(Unit_Paths!$E$2:$E$4, MATCH(E1070, Unit_Paths!$A$2:$A$4, 0)),1)</f>
        <v>14.7</v>
      </c>
      <c r="L1070" s="6" t="n">
        <f aca="false">ROUND(INDEX(Archetypes!$I$2:$I$127, MATCH(D1070, Archetypes!$A$2:$A$127, 0))*INDEX(Unit_Grades!$C$2:$C$7, MATCH(F1070, Unit_Grades!$A$2:$A$7, 0)),1)</f>
        <v>10</v>
      </c>
      <c r="M1070" s="6" t="n">
        <f aca="false">ROUND(INDEX(Archetypes!$J$2:$J$127, MATCH(D1070, Archetypes!$A$2:$A$127, 0))*INDEX(Unit_Grades!$D$2:$D$7, MATCH(F1070, Unit_Grades!$A$2:$A$7, 0)),1)</f>
        <v>4.1</v>
      </c>
      <c r="N1070" s="6" t="n">
        <f aca="false">ROUND(M1070/24,2)</f>
        <v>0.17</v>
      </c>
    </row>
    <row r="1071" customFormat="false" ht="15" hidden="false" customHeight="true" outlineLevel="0" collapsed="false">
      <c r="A1071" s="6" t="n">
        <v>4</v>
      </c>
      <c r="B1071" s="6" t="s">
        <v>2579</v>
      </c>
      <c r="C1071" s="6" t="s">
        <v>1387</v>
      </c>
      <c r="D1071" s="6" t="str">
        <f aca="false">A1071&amp;"|"&amp;C1071</f>
        <v>4|Sniper Team</v>
      </c>
      <c r="E1071" s="6" t="s">
        <v>1558</v>
      </c>
      <c r="F1071" s="6" t="s">
        <v>1540</v>
      </c>
      <c r="G1071" s="6" t="str">
        <f aca="false">INDEX(Archetypes!$D$2:$D$127, MATCH(D1071, Archetypes!$A$2:$A$127, 0))</f>
        <v>Agent</v>
      </c>
      <c r="H1071" s="6" t="n">
        <f aca="false">ROUND(INDEX(Archetypes!$E$2:$E$127, MATCH(D1071, Archetypes!$A$2:$A$127, 0))*INDEX(Unit_Grades!$B$2:$B$7, MATCH(F1071, Unit_Grades!$A$2:$A$7, 0))*INDEX(Unit_Paths!$B$2:$B$4, MATCH(E1071, Unit_Paths!$A$2:$A$4, 0)),1)</f>
        <v>97.2</v>
      </c>
      <c r="I1071" s="6" t="n">
        <f aca="false">ROUND(INDEX(Archetypes!$F$2:$F$127, MATCH(D1071, Archetypes!$A$2:$A$127, 0))*INDEX(Unit_Grades!$B$2:$B$7, MATCH(F1071, Unit_Grades!$A$2:$A$7, 0))*INDEX(Unit_Paths!$C$2:$C$4, MATCH(E1071, Unit_Paths!$A$2:$A$4, 0)),1)</f>
        <v>23</v>
      </c>
      <c r="J1071" s="6" t="n">
        <f aca="false">ROUND(INDEX(Archetypes!$G$2:$G$127, MATCH(D1071, Archetypes!$A$2:$A$127, 0))*INDEX(Unit_Grades!$B$2:$B$7, MATCH(F1071, Unit_Grades!$A$2:$A$7, 0))*INDEX(Unit_Paths!$D$2:$D$4, MATCH(E1071, Unit_Paths!$A$2:$A$4, 0)),0)</f>
        <v>115</v>
      </c>
      <c r="K1071" s="6" t="n">
        <f aca="false">ROUND(INDEX(Archetypes!$H$2:$H$127, MATCH(D1071, Archetypes!$A$2:$A$127, 0))*INDEX(Unit_Paths!$E$2:$E$4, MATCH(E1071, Unit_Paths!$A$2:$A$4, 0)),1)</f>
        <v>14.7</v>
      </c>
      <c r="L1071" s="6" t="n">
        <f aca="false">ROUND(INDEX(Archetypes!$I$2:$I$127, MATCH(D1071, Archetypes!$A$2:$A$127, 0))*INDEX(Unit_Grades!$C$2:$C$7, MATCH(F1071, Unit_Grades!$A$2:$A$7, 0)),1)</f>
        <v>12.5</v>
      </c>
      <c r="M1071" s="6" t="n">
        <f aca="false">ROUND(INDEX(Archetypes!$J$2:$J$127, MATCH(D1071, Archetypes!$A$2:$A$127, 0))*INDEX(Unit_Grades!$D$2:$D$7, MATCH(F1071, Unit_Grades!$A$2:$A$7, 0)),1)</f>
        <v>6.1</v>
      </c>
      <c r="N1071" s="6" t="n">
        <f aca="false">ROUND(M1071/24,2)</f>
        <v>0.25</v>
      </c>
    </row>
    <row r="1072" customFormat="false" ht="15" hidden="false" customHeight="true" outlineLevel="0" collapsed="false">
      <c r="A1072" s="6" t="n">
        <v>4</v>
      </c>
      <c r="B1072" s="6" t="s">
        <v>2580</v>
      </c>
      <c r="C1072" s="6" t="s">
        <v>1387</v>
      </c>
      <c r="D1072" s="6" t="str">
        <f aca="false">A1072&amp;"|"&amp;C1072</f>
        <v>4|Sniper Team</v>
      </c>
      <c r="E1072" s="6" t="s">
        <v>1558</v>
      </c>
      <c r="F1072" s="6" t="s">
        <v>1542</v>
      </c>
      <c r="G1072" s="6" t="str">
        <f aca="false">INDEX(Archetypes!$D$2:$D$127, MATCH(D1072, Archetypes!$A$2:$A$127, 0))</f>
        <v>Agent</v>
      </c>
      <c r="H1072" s="6" t="n">
        <f aca="false">ROUND(INDEX(Archetypes!$E$2:$E$127, MATCH(D1072, Archetypes!$A$2:$A$127, 0))*INDEX(Unit_Grades!$B$2:$B$7, MATCH(F1072, Unit_Grades!$A$2:$A$7, 0))*INDEX(Unit_Paths!$B$2:$B$4, MATCH(E1072, Unit_Paths!$A$2:$A$4, 0)),1)</f>
        <v>129.6</v>
      </c>
      <c r="I1072" s="6" t="n">
        <f aca="false">ROUND(INDEX(Archetypes!$F$2:$F$127, MATCH(D1072, Archetypes!$A$2:$A$127, 0))*INDEX(Unit_Grades!$B$2:$B$7, MATCH(F1072, Unit_Grades!$A$2:$A$7, 0))*INDEX(Unit_Paths!$C$2:$C$4, MATCH(E1072, Unit_Paths!$A$2:$A$4, 0)),1)</f>
        <v>30.6</v>
      </c>
      <c r="J1072" s="6" t="n">
        <f aca="false">ROUND(INDEX(Archetypes!$G$2:$G$127, MATCH(D1072, Archetypes!$A$2:$A$127, 0))*INDEX(Unit_Grades!$B$2:$B$7, MATCH(F1072, Unit_Grades!$A$2:$A$7, 0))*INDEX(Unit_Paths!$D$2:$D$4, MATCH(E1072, Unit_Paths!$A$2:$A$4, 0)),0)</f>
        <v>154</v>
      </c>
      <c r="K1072" s="6" t="n">
        <f aca="false">ROUND(INDEX(Archetypes!$H$2:$H$127, MATCH(D1072, Archetypes!$A$2:$A$127, 0))*INDEX(Unit_Paths!$E$2:$E$4, MATCH(E1072, Unit_Paths!$A$2:$A$4, 0)),1)</f>
        <v>14.7</v>
      </c>
      <c r="L1072" s="6" t="n">
        <f aca="false">ROUND(INDEX(Archetypes!$I$2:$I$127, MATCH(D1072, Archetypes!$A$2:$A$127, 0))*INDEX(Unit_Grades!$C$2:$C$7, MATCH(F1072, Unit_Grades!$A$2:$A$7, 0)),1)</f>
        <v>16</v>
      </c>
      <c r="M1072" s="6" t="n">
        <f aca="false">ROUND(INDEX(Archetypes!$J$2:$J$127, MATCH(D1072, Archetypes!$A$2:$A$127, 0))*INDEX(Unit_Grades!$D$2:$D$7, MATCH(F1072, Unit_Grades!$A$2:$A$7, 0)),1)</f>
        <v>10.2</v>
      </c>
      <c r="N1072" s="6" t="n">
        <f aca="false">ROUND(M1072/24,2)</f>
        <v>0.43</v>
      </c>
    </row>
    <row r="1073" customFormat="false" ht="15" hidden="false" customHeight="true" outlineLevel="0" collapsed="false">
      <c r="A1073" s="6" t="n">
        <v>4</v>
      </c>
      <c r="B1073" s="6" t="s">
        <v>2581</v>
      </c>
      <c r="C1073" s="6" t="s">
        <v>1387</v>
      </c>
      <c r="D1073" s="6" t="str">
        <f aca="false">A1073&amp;"|"&amp;C1073</f>
        <v>4|Sniper Team</v>
      </c>
      <c r="E1073" s="6" t="s">
        <v>1558</v>
      </c>
      <c r="F1073" s="6" t="s">
        <v>1544</v>
      </c>
      <c r="G1073" s="6" t="str">
        <f aca="false">INDEX(Archetypes!$D$2:$D$127, MATCH(D1073, Archetypes!$A$2:$A$127, 0))</f>
        <v>Agent</v>
      </c>
      <c r="H1073" s="6" t="n">
        <f aca="false">ROUND(INDEX(Archetypes!$E$2:$E$127, MATCH(D1073, Archetypes!$A$2:$A$127, 0))*INDEX(Unit_Grades!$B$2:$B$7, MATCH(F1073, Unit_Grades!$A$2:$A$7, 0))*INDEX(Unit_Paths!$B$2:$B$4, MATCH(E1073, Unit_Paths!$A$2:$A$4, 0)),1)</f>
        <v>172.8</v>
      </c>
      <c r="I1073" s="6" t="n">
        <f aca="false">ROUND(INDEX(Archetypes!$F$2:$F$127, MATCH(D1073, Archetypes!$A$2:$A$127, 0))*INDEX(Unit_Grades!$B$2:$B$7, MATCH(F1073, Unit_Grades!$A$2:$A$7, 0))*INDEX(Unit_Paths!$C$2:$C$4, MATCH(E1073, Unit_Paths!$A$2:$A$4, 0)),1)</f>
        <v>40.8</v>
      </c>
      <c r="J1073" s="6" t="n">
        <f aca="false">ROUND(INDEX(Archetypes!$G$2:$G$127, MATCH(D1073, Archetypes!$A$2:$A$127, 0))*INDEX(Unit_Grades!$B$2:$B$7, MATCH(F1073, Unit_Grades!$A$2:$A$7, 0))*INDEX(Unit_Paths!$D$2:$D$4, MATCH(E1073, Unit_Paths!$A$2:$A$4, 0)),0)</f>
        <v>205</v>
      </c>
      <c r="K1073" s="6" t="n">
        <f aca="false">ROUND(INDEX(Archetypes!$H$2:$H$127, MATCH(D1073, Archetypes!$A$2:$A$127, 0))*INDEX(Unit_Paths!$E$2:$E$4, MATCH(E1073, Unit_Paths!$A$2:$A$4, 0)),1)</f>
        <v>14.7</v>
      </c>
      <c r="L1073" s="6" t="n">
        <f aca="false">ROUND(INDEX(Archetypes!$I$2:$I$127, MATCH(D1073, Archetypes!$A$2:$A$127, 0))*INDEX(Unit_Grades!$C$2:$C$7, MATCH(F1073, Unit_Grades!$A$2:$A$7, 0)),1)</f>
        <v>21</v>
      </c>
      <c r="M1073" s="6" t="n">
        <f aca="false">ROUND(INDEX(Archetypes!$J$2:$J$127, MATCH(D1073, Archetypes!$A$2:$A$127, 0))*INDEX(Unit_Grades!$D$2:$D$7, MATCH(F1073, Unit_Grades!$A$2:$A$7, 0)),1)</f>
        <v>16.2</v>
      </c>
      <c r="N1073" s="6" t="n">
        <f aca="false">ROUND(M1073/24,2)</f>
        <v>0.68</v>
      </c>
    </row>
    <row r="1074" customFormat="false" ht="15" hidden="false" customHeight="true" outlineLevel="0" collapsed="false">
      <c r="A1074" s="6" t="n">
        <v>4</v>
      </c>
      <c r="B1074" s="6" t="s">
        <v>2582</v>
      </c>
      <c r="C1074" s="6" t="s">
        <v>1387</v>
      </c>
      <c r="D1074" s="6" t="str">
        <f aca="false">A1074&amp;"|"&amp;C1074</f>
        <v>4|Sniper Team</v>
      </c>
      <c r="E1074" s="6" t="s">
        <v>1558</v>
      </c>
      <c r="F1074" s="6" t="s">
        <v>1546</v>
      </c>
      <c r="G1074" s="6" t="str">
        <f aca="false">INDEX(Archetypes!$D$2:$D$127, MATCH(D1074, Archetypes!$A$2:$A$127, 0))</f>
        <v>Agent</v>
      </c>
      <c r="H1074" s="6" t="n">
        <f aca="false">ROUND(INDEX(Archetypes!$E$2:$E$127, MATCH(D1074, Archetypes!$A$2:$A$127, 0))*INDEX(Unit_Grades!$B$2:$B$7, MATCH(F1074, Unit_Grades!$A$2:$A$7, 0))*INDEX(Unit_Paths!$B$2:$B$4, MATCH(E1074, Unit_Paths!$A$2:$A$4, 0)),1)</f>
        <v>230.4</v>
      </c>
      <c r="I1074" s="6" t="n">
        <f aca="false">ROUND(INDEX(Archetypes!$F$2:$F$127, MATCH(D1074, Archetypes!$A$2:$A$127, 0))*INDEX(Unit_Grades!$B$2:$B$7, MATCH(F1074, Unit_Grades!$A$2:$A$7, 0))*INDEX(Unit_Paths!$C$2:$C$4, MATCH(E1074, Unit_Paths!$A$2:$A$4, 0)),1)</f>
        <v>54.4</v>
      </c>
      <c r="J1074" s="6" t="n">
        <f aca="false">ROUND(INDEX(Archetypes!$G$2:$G$127, MATCH(D1074, Archetypes!$A$2:$A$127, 0))*INDEX(Unit_Grades!$B$2:$B$7, MATCH(F1074, Unit_Grades!$A$2:$A$7, 0))*INDEX(Unit_Paths!$D$2:$D$4, MATCH(E1074, Unit_Paths!$A$2:$A$4, 0)),0)</f>
        <v>274</v>
      </c>
      <c r="K1074" s="6" t="n">
        <f aca="false">ROUND(INDEX(Archetypes!$H$2:$H$127, MATCH(D1074, Archetypes!$A$2:$A$127, 0))*INDEX(Unit_Paths!$E$2:$E$4, MATCH(E1074, Unit_Paths!$A$2:$A$4, 0)),1)</f>
        <v>14.7</v>
      </c>
      <c r="L1074" s="6" t="n">
        <f aca="false">ROUND(INDEX(Archetypes!$I$2:$I$127, MATCH(D1074, Archetypes!$A$2:$A$127, 0))*INDEX(Unit_Grades!$C$2:$C$7, MATCH(F1074, Unit_Grades!$A$2:$A$7, 0)),1)</f>
        <v>28</v>
      </c>
      <c r="M1074" s="6" t="n">
        <f aca="false">ROUND(INDEX(Archetypes!$J$2:$J$127, MATCH(D1074, Archetypes!$A$2:$A$127, 0))*INDEX(Unit_Grades!$D$2:$D$7, MATCH(F1074, Unit_Grades!$A$2:$A$7, 0)),1)</f>
        <v>28.4</v>
      </c>
      <c r="N1074" s="6" t="n">
        <f aca="false">ROUND(M1074/24,2)</f>
        <v>1.18</v>
      </c>
    </row>
    <row r="1075" customFormat="false" ht="15" hidden="false" customHeight="true" outlineLevel="0" collapsed="false">
      <c r="A1075" s="6" t="n">
        <v>4</v>
      </c>
      <c r="B1075" s="6" t="s">
        <v>2583</v>
      </c>
      <c r="C1075" s="6" t="s">
        <v>1387</v>
      </c>
      <c r="D1075" s="6" t="str">
        <f aca="false">A1075&amp;"|"&amp;C1075</f>
        <v>4|Sniper Team</v>
      </c>
      <c r="E1075" s="6" t="s">
        <v>1558</v>
      </c>
      <c r="F1075" s="6" t="s">
        <v>1548</v>
      </c>
      <c r="G1075" s="6" t="str">
        <f aca="false">INDEX(Archetypes!$D$2:$D$127, MATCH(D1075, Archetypes!$A$2:$A$127, 0))</f>
        <v>Agent</v>
      </c>
      <c r="H1075" s="6" t="n">
        <f aca="false">ROUND(INDEX(Archetypes!$E$2:$E$127, MATCH(D1075, Archetypes!$A$2:$A$127, 0))*INDEX(Unit_Grades!$B$2:$B$7, MATCH(F1075, Unit_Grades!$A$2:$A$7, 0))*INDEX(Unit_Paths!$B$2:$B$4, MATCH(E1075, Unit_Paths!$A$2:$A$4, 0)),1)</f>
        <v>302.4</v>
      </c>
      <c r="I1075" s="6" t="n">
        <f aca="false">ROUND(INDEX(Archetypes!$F$2:$F$127, MATCH(D1075, Archetypes!$A$2:$A$127, 0))*INDEX(Unit_Grades!$B$2:$B$7, MATCH(F1075, Unit_Grades!$A$2:$A$7, 0))*INDEX(Unit_Paths!$C$2:$C$4, MATCH(E1075, Unit_Paths!$A$2:$A$4, 0)),1)</f>
        <v>71.4</v>
      </c>
      <c r="J1075" s="6" t="n">
        <f aca="false">ROUND(INDEX(Archetypes!$G$2:$G$127, MATCH(D1075, Archetypes!$A$2:$A$127, 0))*INDEX(Unit_Grades!$B$2:$B$7, MATCH(F1075, Unit_Grades!$A$2:$A$7, 0))*INDEX(Unit_Paths!$D$2:$D$4, MATCH(E1075, Unit_Paths!$A$2:$A$4, 0)),0)</f>
        <v>359</v>
      </c>
      <c r="K1075" s="6" t="n">
        <f aca="false">ROUND(INDEX(Archetypes!$H$2:$H$127, MATCH(D1075, Archetypes!$A$2:$A$127, 0))*INDEX(Unit_Paths!$E$2:$E$4, MATCH(E1075, Unit_Paths!$A$2:$A$4, 0)),1)</f>
        <v>14.7</v>
      </c>
      <c r="L1075" s="6" t="n">
        <f aca="false">ROUND(INDEX(Archetypes!$I$2:$I$127, MATCH(D1075, Archetypes!$A$2:$A$127, 0))*INDEX(Unit_Grades!$C$2:$C$7, MATCH(F1075, Unit_Grades!$A$2:$A$7, 0)),1)</f>
        <v>37</v>
      </c>
      <c r="M1075" s="6" t="n">
        <f aca="false">ROUND(INDEX(Archetypes!$J$2:$J$127, MATCH(D1075, Archetypes!$A$2:$A$127, 0))*INDEX(Unit_Grades!$D$2:$D$7, MATCH(F1075, Unit_Grades!$A$2:$A$7, 0)),1)</f>
        <v>48.7</v>
      </c>
      <c r="N1075" s="6" t="n">
        <f aca="false">ROUND(M1075/24,2)</f>
        <v>2.03</v>
      </c>
    </row>
    <row r="1076" customFormat="false" ht="15" hidden="false" customHeight="true" outlineLevel="0" collapsed="false">
      <c r="A1076" s="6" t="n">
        <v>4</v>
      </c>
      <c r="B1076" s="6" t="s">
        <v>2584</v>
      </c>
      <c r="C1076" s="6" t="s">
        <v>1387</v>
      </c>
      <c r="D1076" s="6" t="str">
        <f aca="false">A1076&amp;"|"&amp;C1076</f>
        <v>4|Sniper Team</v>
      </c>
      <c r="E1076" s="6" t="s">
        <v>1560</v>
      </c>
      <c r="F1076" s="6" t="s">
        <v>1538</v>
      </c>
      <c r="G1076" s="6" t="str">
        <f aca="false">INDEX(Archetypes!$D$2:$D$127, MATCH(D1076, Archetypes!$A$2:$A$127, 0))</f>
        <v>Agent</v>
      </c>
      <c r="H1076" s="6" t="n">
        <f aca="false">ROUND(INDEX(Archetypes!$E$2:$E$127, MATCH(D1076, Archetypes!$A$2:$A$127, 0))*INDEX(Unit_Grades!$B$2:$B$7, MATCH(F1076, Unit_Grades!$A$2:$A$7, 0))*INDEX(Unit_Paths!$B$2:$B$4, MATCH(E1076, Unit_Paths!$A$2:$A$4, 0)),1)</f>
        <v>51</v>
      </c>
      <c r="I1076" s="6" t="n">
        <f aca="false">ROUND(INDEX(Archetypes!$F$2:$F$127, MATCH(D1076, Archetypes!$A$2:$A$127, 0))*INDEX(Unit_Grades!$B$2:$B$7, MATCH(F1076, Unit_Grades!$A$2:$A$7, 0))*INDEX(Unit_Paths!$C$2:$C$4, MATCH(E1076, Unit_Paths!$A$2:$A$4, 0)),1)</f>
        <v>25</v>
      </c>
      <c r="J1076" s="6" t="n">
        <f aca="false">ROUND(INDEX(Archetypes!$G$2:$G$127, MATCH(D1076, Archetypes!$A$2:$A$127, 0))*INDEX(Unit_Grades!$B$2:$B$7, MATCH(F1076, Unit_Grades!$A$2:$A$7, 0))*INDEX(Unit_Paths!$D$2:$D$4, MATCH(E1076, Unit_Paths!$A$2:$A$4, 0)),0)</f>
        <v>103</v>
      </c>
      <c r="K1076" s="6" t="n">
        <f aca="false">ROUND(INDEX(Archetypes!$H$2:$H$127, MATCH(D1076, Archetypes!$A$2:$A$127, 0))*INDEX(Unit_Paths!$E$2:$E$4, MATCH(E1076, Unit_Paths!$A$2:$A$4, 0)),1)</f>
        <v>12.9</v>
      </c>
      <c r="L1076" s="6" t="n">
        <f aca="false">ROUND(INDEX(Archetypes!$I$2:$I$127, MATCH(D1076, Archetypes!$A$2:$A$127, 0))*INDEX(Unit_Grades!$C$2:$C$7, MATCH(F1076, Unit_Grades!$A$2:$A$7, 0)),1)</f>
        <v>10</v>
      </c>
      <c r="M1076" s="6" t="n">
        <f aca="false">ROUND(INDEX(Archetypes!$J$2:$J$127, MATCH(D1076, Archetypes!$A$2:$A$127, 0))*INDEX(Unit_Grades!$D$2:$D$7, MATCH(F1076, Unit_Grades!$A$2:$A$7, 0)),1)</f>
        <v>4.1</v>
      </c>
      <c r="N1076" s="6" t="n">
        <f aca="false">ROUND(M1076/24,2)</f>
        <v>0.17</v>
      </c>
    </row>
    <row r="1077" customFormat="false" ht="15" hidden="false" customHeight="true" outlineLevel="0" collapsed="false">
      <c r="A1077" s="6" t="n">
        <v>4</v>
      </c>
      <c r="B1077" s="6" t="s">
        <v>2585</v>
      </c>
      <c r="C1077" s="6" t="s">
        <v>1387</v>
      </c>
      <c r="D1077" s="6" t="str">
        <f aca="false">A1077&amp;"|"&amp;C1077</f>
        <v>4|Sniper Team</v>
      </c>
      <c r="E1077" s="6" t="s">
        <v>1560</v>
      </c>
      <c r="F1077" s="6" t="s">
        <v>1540</v>
      </c>
      <c r="G1077" s="6" t="str">
        <f aca="false">INDEX(Archetypes!$D$2:$D$127, MATCH(D1077, Archetypes!$A$2:$A$127, 0))</f>
        <v>Agent</v>
      </c>
      <c r="H1077" s="6" t="n">
        <f aca="false">ROUND(INDEX(Archetypes!$E$2:$E$127, MATCH(D1077, Archetypes!$A$2:$A$127, 0))*INDEX(Unit_Grades!$B$2:$B$7, MATCH(F1077, Unit_Grades!$A$2:$A$7, 0))*INDEX(Unit_Paths!$B$2:$B$4, MATCH(E1077, Unit_Paths!$A$2:$A$4, 0)),1)</f>
        <v>68.9</v>
      </c>
      <c r="I1077" s="6" t="n">
        <f aca="false">ROUND(INDEX(Archetypes!$F$2:$F$127, MATCH(D1077, Archetypes!$A$2:$A$127, 0))*INDEX(Unit_Grades!$B$2:$B$7, MATCH(F1077, Unit_Grades!$A$2:$A$7, 0))*INDEX(Unit_Paths!$C$2:$C$4, MATCH(E1077, Unit_Paths!$A$2:$A$4, 0)),1)</f>
        <v>33.8</v>
      </c>
      <c r="J1077" s="6" t="n">
        <f aca="false">ROUND(INDEX(Archetypes!$G$2:$G$127, MATCH(D1077, Archetypes!$A$2:$A$127, 0))*INDEX(Unit_Grades!$B$2:$B$7, MATCH(F1077, Unit_Grades!$A$2:$A$7, 0))*INDEX(Unit_Paths!$D$2:$D$4, MATCH(E1077, Unit_Paths!$A$2:$A$4, 0)),0)</f>
        <v>140</v>
      </c>
      <c r="K1077" s="6" t="n">
        <f aca="false">ROUND(INDEX(Archetypes!$H$2:$H$127, MATCH(D1077, Archetypes!$A$2:$A$127, 0))*INDEX(Unit_Paths!$E$2:$E$4, MATCH(E1077, Unit_Paths!$A$2:$A$4, 0)),1)</f>
        <v>12.9</v>
      </c>
      <c r="L1077" s="6" t="n">
        <f aca="false">ROUND(INDEX(Archetypes!$I$2:$I$127, MATCH(D1077, Archetypes!$A$2:$A$127, 0))*INDEX(Unit_Grades!$C$2:$C$7, MATCH(F1077, Unit_Grades!$A$2:$A$7, 0)),1)</f>
        <v>12.5</v>
      </c>
      <c r="M1077" s="6" t="n">
        <f aca="false">ROUND(INDEX(Archetypes!$J$2:$J$127, MATCH(D1077, Archetypes!$A$2:$A$127, 0))*INDEX(Unit_Grades!$D$2:$D$7, MATCH(F1077, Unit_Grades!$A$2:$A$7, 0)),1)</f>
        <v>6.1</v>
      </c>
      <c r="N1077" s="6" t="n">
        <f aca="false">ROUND(M1077/24,2)</f>
        <v>0.25</v>
      </c>
    </row>
    <row r="1078" customFormat="false" ht="15" hidden="false" customHeight="true" outlineLevel="0" collapsed="false">
      <c r="A1078" s="6" t="n">
        <v>4</v>
      </c>
      <c r="B1078" s="6" t="s">
        <v>2586</v>
      </c>
      <c r="C1078" s="6" t="s">
        <v>1387</v>
      </c>
      <c r="D1078" s="6" t="str">
        <f aca="false">A1078&amp;"|"&amp;C1078</f>
        <v>4|Sniper Team</v>
      </c>
      <c r="E1078" s="6" t="s">
        <v>1560</v>
      </c>
      <c r="F1078" s="6" t="s">
        <v>1542</v>
      </c>
      <c r="G1078" s="6" t="str">
        <f aca="false">INDEX(Archetypes!$D$2:$D$127, MATCH(D1078, Archetypes!$A$2:$A$127, 0))</f>
        <v>Agent</v>
      </c>
      <c r="H1078" s="6" t="n">
        <f aca="false">ROUND(INDEX(Archetypes!$E$2:$E$127, MATCH(D1078, Archetypes!$A$2:$A$127, 0))*INDEX(Unit_Grades!$B$2:$B$7, MATCH(F1078, Unit_Grades!$A$2:$A$7, 0))*INDEX(Unit_Paths!$B$2:$B$4, MATCH(E1078, Unit_Paths!$A$2:$A$4, 0)),1)</f>
        <v>91.8</v>
      </c>
      <c r="I1078" s="6" t="n">
        <f aca="false">ROUND(INDEX(Archetypes!$F$2:$F$127, MATCH(D1078, Archetypes!$A$2:$A$127, 0))*INDEX(Unit_Grades!$B$2:$B$7, MATCH(F1078, Unit_Grades!$A$2:$A$7, 0))*INDEX(Unit_Paths!$C$2:$C$4, MATCH(E1078, Unit_Paths!$A$2:$A$4, 0)),1)</f>
        <v>45</v>
      </c>
      <c r="J1078" s="6" t="n">
        <f aca="false">ROUND(INDEX(Archetypes!$G$2:$G$127, MATCH(D1078, Archetypes!$A$2:$A$127, 0))*INDEX(Unit_Grades!$B$2:$B$7, MATCH(F1078, Unit_Grades!$A$2:$A$7, 0))*INDEX(Unit_Paths!$D$2:$D$4, MATCH(E1078, Unit_Paths!$A$2:$A$4, 0)),0)</f>
        <v>186</v>
      </c>
      <c r="K1078" s="6" t="n">
        <f aca="false">ROUND(INDEX(Archetypes!$H$2:$H$127, MATCH(D1078, Archetypes!$A$2:$A$127, 0))*INDEX(Unit_Paths!$E$2:$E$4, MATCH(E1078, Unit_Paths!$A$2:$A$4, 0)),1)</f>
        <v>12.9</v>
      </c>
      <c r="L1078" s="6" t="n">
        <f aca="false">ROUND(INDEX(Archetypes!$I$2:$I$127, MATCH(D1078, Archetypes!$A$2:$A$127, 0))*INDEX(Unit_Grades!$C$2:$C$7, MATCH(F1078, Unit_Grades!$A$2:$A$7, 0)),1)</f>
        <v>16</v>
      </c>
      <c r="M1078" s="6" t="n">
        <f aca="false">ROUND(INDEX(Archetypes!$J$2:$J$127, MATCH(D1078, Archetypes!$A$2:$A$127, 0))*INDEX(Unit_Grades!$D$2:$D$7, MATCH(F1078, Unit_Grades!$A$2:$A$7, 0)),1)</f>
        <v>10.2</v>
      </c>
      <c r="N1078" s="6" t="n">
        <f aca="false">ROUND(M1078/24,2)</f>
        <v>0.43</v>
      </c>
    </row>
    <row r="1079" customFormat="false" ht="15" hidden="false" customHeight="true" outlineLevel="0" collapsed="false">
      <c r="A1079" s="6" t="n">
        <v>4</v>
      </c>
      <c r="B1079" s="6" t="s">
        <v>2587</v>
      </c>
      <c r="C1079" s="6" t="s">
        <v>1387</v>
      </c>
      <c r="D1079" s="6" t="str">
        <f aca="false">A1079&amp;"|"&amp;C1079</f>
        <v>4|Sniper Team</v>
      </c>
      <c r="E1079" s="6" t="s">
        <v>1560</v>
      </c>
      <c r="F1079" s="6" t="s">
        <v>1544</v>
      </c>
      <c r="G1079" s="6" t="str">
        <f aca="false">INDEX(Archetypes!$D$2:$D$127, MATCH(D1079, Archetypes!$A$2:$A$127, 0))</f>
        <v>Agent</v>
      </c>
      <c r="H1079" s="6" t="n">
        <f aca="false">ROUND(INDEX(Archetypes!$E$2:$E$127, MATCH(D1079, Archetypes!$A$2:$A$127, 0))*INDEX(Unit_Grades!$B$2:$B$7, MATCH(F1079, Unit_Grades!$A$2:$A$7, 0))*INDEX(Unit_Paths!$B$2:$B$4, MATCH(E1079, Unit_Paths!$A$2:$A$4, 0)),1)</f>
        <v>122.4</v>
      </c>
      <c r="I1079" s="6" t="n">
        <f aca="false">ROUND(INDEX(Archetypes!$F$2:$F$127, MATCH(D1079, Archetypes!$A$2:$A$127, 0))*INDEX(Unit_Grades!$B$2:$B$7, MATCH(F1079, Unit_Grades!$A$2:$A$7, 0))*INDEX(Unit_Paths!$C$2:$C$4, MATCH(E1079, Unit_Paths!$A$2:$A$4, 0)),1)</f>
        <v>60</v>
      </c>
      <c r="J1079" s="6" t="n">
        <f aca="false">ROUND(INDEX(Archetypes!$G$2:$G$127, MATCH(D1079, Archetypes!$A$2:$A$127, 0))*INDEX(Unit_Grades!$B$2:$B$7, MATCH(F1079, Unit_Grades!$A$2:$A$7, 0))*INDEX(Unit_Paths!$D$2:$D$4, MATCH(E1079, Unit_Paths!$A$2:$A$4, 0)),0)</f>
        <v>248</v>
      </c>
      <c r="K1079" s="6" t="n">
        <f aca="false">ROUND(INDEX(Archetypes!$H$2:$H$127, MATCH(D1079, Archetypes!$A$2:$A$127, 0))*INDEX(Unit_Paths!$E$2:$E$4, MATCH(E1079, Unit_Paths!$A$2:$A$4, 0)),1)</f>
        <v>12.9</v>
      </c>
      <c r="L1079" s="6" t="n">
        <f aca="false">ROUND(INDEX(Archetypes!$I$2:$I$127, MATCH(D1079, Archetypes!$A$2:$A$127, 0))*INDEX(Unit_Grades!$C$2:$C$7, MATCH(F1079, Unit_Grades!$A$2:$A$7, 0)),1)</f>
        <v>21</v>
      </c>
      <c r="M1079" s="6" t="n">
        <f aca="false">ROUND(INDEX(Archetypes!$J$2:$J$127, MATCH(D1079, Archetypes!$A$2:$A$127, 0))*INDEX(Unit_Grades!$D$2:$D$7, MATCH(F1079, Unit_Grades!$A$2:$A$7, 0)),1)</f>
        <v>16.2</v>
      </c>
      <c r="N1079" s="6" t="n">
        <f aca="false">ROUND(M1079/24,2)</f>
        <v>0.68</v>
      </c>
    </row>
    <row r="1080" customFormat="false" ht="15" hidden="false" customHeight="true" outlineLevel="0" collapsed="false">
      <c r="A1080" s="6" t="n">
        <v>4</v>
      </c>
      <c r="B1080" s="6" t="s">
        <v>2588</v>
      </c>
      <c r="C1080" s="6" t="s">
        <v>1387</v>
      </c>
      <c r="D1080" s="6" t="str">
        <f aca="false">A1080&amp;"|"&amp;C1080</f>
        <v>4|Sniper Team</v>
      </c>
      <c r="E1080" s="6" t="s">
        <v>1560</v>
      </c>
      <c r="F1080" s="6" t="s">
        <v>1546</v>
      </c>
      <c r="G1080" s="6" t="str">
        <f aca="false">INDEX(Archetypes!$D$2:$D$127, MATCH(D1080, Archetypes!$A$2:$A$127, 0))</f>
        <v>Agent</v>
      </c>
      <c r="H1080" s="6" t="n">
        <f aca="false">ROUND(INDEX(Archetypes!$E$2:$E$127, MATCH(D1080, Archetypes!$A$2:$A$127, 0))*INDEX(Unit_Grades!$B$2:$B$7, MATCH(F1080, Unit_Grades!$A$2:$A$7, 0))*INDEX(Unit_Paths!$B$2:$B$4, MATCH(E1080, Unit_Paths!$A$2:$A$4, 0)),1)</f>
        <v>163.2</v>
      </c>
      <c r="I1080" s="6" t="n">
        <f aca="false">ROUND(INDEX(Archetypes!$F$2:$F$127, MATCH(D1080, Archetypes!$A$2:$A$127, 0))*INDEX(Unit_Grades!$B$2:$B$7, MATCH(F1080, Unit_Grades!$A$2:$A$7, 0))*INDEX(Unit_Paths!$C$2:$C$4, MATCH(E1080, Unit_Paths!$A$2:$A$4, 0)),1)</f>
        <v>80</v>
      </c>
      <c r="J1080" s="6" t="n">
        <f aca="false">ROUND(INDEX(Archetypes!$G$2:$G$127, MATCH(D1080, Archetypes!$A$2:$A$127, 0))*INDEX(Unit_Grades!$B$2:$B$7, MATCH(F1080, Unit_Grades!$A$2:$A$7, 0))*INDEX(Unit_Paths!$D$2:$D$4, MATCH(E1080, Unit_Paths!$A$2:$A$4, 0)),0)</f>
        <v>331</v>
      </c>
      <c r="K1080" s="6" t="n">
        <f aca="false">ROUND(INDEX(Archetypes!$H$2:$H$127, MATCH(D1080, Archetypes!$A$2:$A$127, 0))*INDEX(Unit_Paths!$E$2:$E$4, MATCH(E1080, Unit_Paths!$A$2:$A$4, 0)),1)</f>
        <v>12.9</v>
      </c>
      <c r="L1080" s="6" t="n">
        <f aca="false">ROUND(INDEX(Archetypes!$I$2:$I$127, MATCH(D1080, Archetypes!$A$2:$A$127, 0))*INDEX(Unit_Grades!$C$2:$C$7, MATCH(F1080, Unit_Grades!$A$2:$A$7, 0)),1)</f>
        <v>28</v>
      </c>
      <c r="M1080" s="6" t="n">
        <f aca="false">ROUND(INDEX(Archetypes!$J$2:$J$127, MATCH(D1080, Archetypes!$A$2:$A$127, 0))*INDEX(Unit_Grades!$D$2:$D$7, MATCH(F1080, Unit_Grades!$A$2:$A$7, 0)),1)</f>
        <v>28.4</v>
      </c>
      <c r="N1080" s="6" t="n">
        <f aca="false">ROUND(M1080/24,2)</f>
        <v>1.18</v>
      </c>
    </row>
    <row r="1081" customFormat="false" ht="15" hidden="false" customHeight="true" outlineLevel="0" collapsed="false">
      <c r="A1081" s="6" t="n">
        <v>4</v>
      </c>
      <c r="B1081" s="6" t="s">
        <v>2589</v>
      </c>
      <c r="C1081" s="6" t="s">
        <v>1387</v>
      </c>
      <c r="D1081" s="6" t="str">
        <f aca="false">A1081&amp;"|"&amp;C1081</f>
        <v>4|Sniper Team</v>
      </c>
      <c r="E1081" s="6" t="s">
        <v>1560</v>
      </c>
      <c r="F1081" s="6" t="s">
        <v>1548</v>
      </c>
      <c r="G1081" s="6" t="str">
        <f aca="false">INDEX(Archetypes!$D$2:$D$127, MATCH(D1081, Archetypes!$A$2:$A$127, 0))</f>
        <v>Agent</v>
      </c>
      <c r="H1081" s="6" t="n">
        <f aca="false">ROUND(INDEX(Archetypes!$E$2:$E$127, MATCH(D1081, Archetypes!$A$2:$A$127, 0))*INDEX(Unit_Grades!$B$2:$B$7, MATCH(F1081, Unit_Grades!$A$2:$A$7, 0))*INDEX(Unit_Paths!$B$2:$B$4, MATCH(E1081, Unit_Paths!$A$2:$A$4, 0)),1)</f>
        <v>214.2</v>
      </c>
      <c r="I1081" s="6" t="n">
        <f aca="false">ROUND(INDEX(Archetypes!$F$2:$F$127, MATCH(D1081, Archetypes!$A$2:$A$127, 0))*INDEX(Unit_Grades!$B$2:$B$7, MATCH(F1081, Unit_Grades!$A$2:$A$7, 0))*INDEX(Unit_Paths!$C$2:$C$4, MATCH(E1081, Unit_Paths!$A$2:$A$4, 0)),1)</f>
        <v>105</v>
      </c>
      <c r="J1081" s="6" t="n">
        <f aca="false">ROUND(INDEX(Archetypes!$G$2:$G$127, MATCH(D1081, Archetypes!$A$2:$A$127, 0))*INDEX(Unit_Grades!$B$2:$B$7, MATCH(F1081, Unit_Grades!$A$2:$A$7, 0))*INDEX(Unit_Paths!$D$2:$D$4, MATCH(E1081, Unit_Paths!$A$2:$A$4, 0)),0)</f>
        <v>435</v>
      </c>
      <c r="K1081" s="6" t="n">
        <f aca="false">ROUND(INDEX(Archetypes!$H$2:$H$127, MATCH(D1081, Archetypes!$A$2:$A$127, 0))*INDEX(Unit_Paths!$E$2:$E$4, MATCH(E1081, Unit_Paths!$A$2:$A$4, 0)),1)</f>
        <v>12.9</v>
      </c>
      <c r="L1081" s="6" t="n">
        <f aca="false">ROUND(INDEX(Archetypes!$I$2:$I$127, MATCH(D1081, Archetypes!$A$2:$A$127, 0))*INDEX(Unit_Grades!$C$2:$C$7, MATCH(F1081, Unit_Grades!$A$2:$A$7, 0)),1)</f>
        <v>37</v>
      </c>
      <c r="M1081" s="6" t="n">
        <f aca="false">ROUND(INDEX(Archetypes!$J$2:$J$127, MATCH(D1081, Archetypes!$A$2:$A$127, 0))*INDEX(Unit_Grades!$D$2:$D$7, MATCH(F1081, Unit_Grades!$A$2:$A$7, 0)),1)</f>
        <v>48.7</v>
      </c>
      <c r="N1081" s="6" t="n">
        <f aca="false">ROUND(M1081/24,2)</f>
        <v>2.03</v>
      </c>
    </row>
    <row r="1082" customFormat="false" ht="15" hidden="false" customHeight="true" outlineLevel="0" collapsed="false">
      <c r="A1082" s="6" t="n">
        <v>4</v>
      </c>
      <c r="B1082" s="6" t="s">
        <v>1389</v>
      </c>
      <c r="C1082" s="6" t="s">
        <v>1389</v>
      </c>
      <c r="D1082" s="6" t="str">
        <f aca="false">A1082&amp;"|"&amp;C1082</f>
        <v>4|Paratrooper</v>
      </c>
      <c r="E1082" s="6" t="s">
        <v>1556</v>
      </c>
      <c r="F1082" s="6" t="s">
        <v>1538</v>
      </c>
      <c r="G1082" s="6" t="str">
        <f aca="false">INDEX(Archetypes!$D$2:$D$127, MATCH(D1082, Archetypes!$A$2:$A$127, 0))</f>
        <v>Shock Infantry</v>
      </c>
      <c r="H1082" s="6" t="n">
        <f aca="false">ROUND(INDEX(Archetypes!$E$2:$E$127, MATCH(D1082, Archetypes!$A$2:$A$127, 0))*INDEX(Unit_Grades!$B$2:$B$7, MATCH(F1082, Unit_Grades!$A$2:$A$7, 0))*INDEX(Unit_Paths!$B$2:$B$4, MATCH(E1082, Unit_Paths!$A$2:$A$4, 0)),1)</f>
        <v>84</v>
      </c>
      <c r="I1082" s="6" t="n">
        <f aca="false">ROUND(INDEX(Archetypes!$F$2:$F$127, MATCH(D1082, Archetypes!$A$2:$A$127, 0))*INDEX(Unit_Grades!$B$2:$B$7, MATCH(F1082, Unit_Grades!$A$2:$A$7, 0))*INDEX(Unit_Paths!$C$2:$C$4, MATCH(E1082, Unit_Paths!$A$2:$A$4, 0)),1)</f>
        <v>40</v>
      </c>
      <c r="J1082" s="6" t="n">
        <f aca="false">ROUND(INDEX(Archetypes!$G$2:$G$127, MATCH(D1082, Archetypes!$A$2:$A$127, 0))*INDEX(Unit_Grades!$B$2:$B$7, MATCH(F1082, Unit_Grades!$A$2:$A$7, 0))*INDEX(Unit_Paths!$D$2:$D$4, MATCH(E1082, Unit_Paths!$A$2:$A$4, 0)),0)</f>
        <v>150</v>
      </c>
      <c r="K1082" s="6" t="n">
        <f aca="false">ROUND(INDEX(Archetypes!$H$2:$H$127, MATCH(D1082, Archetypes!$A$2:$A$127, 0))*INDEX(Unit_Paths!$E$2:$E$4, MATCH(E1082, Unit_Paths!$A$2:$A$4, 0)),1)</f>
        <v>20</v>
      </c>
      <c r="L1082" s="6" t="n">
        <f aca="false">ROUND(INDEX(Archetypes!$I$2:$I$127, MATCH(D1082, Archetypes!$A$2:$A$127, 0))*INDEX(Unit_Grades!$C$2:$C$7, MATCH(F1082, Unit_Grades!$A$2:$A$7, 0)),1)</f>
        <v>12</v>
      </c>
      <c r="M1082" s="6" t="n">
        <f aca="false">ROUND(INDEX(Archetypes!$J$2:$J$127, MATCH(D1082, Archetypes!$A$2:$A$127, 0))*INDEX(Unit_Grades!$D$2:$D$7, MATCH(F1082, Unit_Grades!$A$2:$A$7, 0)),1)</f>
        <v>4.9</v>
      </c>
      <c r="N1082" s="6" t="n">
        <f aca="false">ROUND(M1082/24,2)</f>
        <v>0.2</v>
      </c>
    </row>
    <row r="1083" customFormat="false" ht="15" hidden="false" customHeight="true" outlineLevel="0" collapsed="false">
      <c r="A1083" s="6" t="n">
        <v>4</v>
      </c>
      <c r="B1083" s="6" t="s">
        <v>2590</v>
      </c>
      <c r="C1083" s="6" t="s">
        <v>1389</v>
      </c>
      <c r="D1083" s="6" t="str">
        <f aca="false">A1083&amp;"|"&amp;C1083</f>
        <v>4|Paratrooper</v>
      </c>
      <c r="E1083" s="6" t="s">
        <v>1556</v>
      </c>
      <c r="F1083" s="6" t="s">
        <v>1540</v>
      </c>
      <c r="G1083" s="6" t="str">
        <f aca="false">INDEX(Archetypes!$D$2:$D$127, MATCH(D1083, Archetypes!$A$2:$A$127, 0))</f>
        <v>Shock Infantry</v>
      </c>
      <c r="H1083" s="6" t="n">
        <f aca="false">ROUND(INDEX(Archetypes!$E$2:$E$127, MATCH(D1083, Archetypes!$A$2:$A$127, 0))*INDEX(Unit_Grades!$B$2:$B$7, MATCH(F1083, Unit_Grades!$A$2:$A$7, 0))*INDEX(Unit_Paths!$B$2:$B$4, MATCH(E1083, Unit_Paths!$A$2:$A$4, 0)),1)</f>
        <v>113.4</v>
      </c>
      <c r="I1083" s="6" t="n">
        <f aca="false">ROUND(INDEX(Archetypes!$F$2:$F$127, MATCH(D1083, Archetypes!$A$2:$A$127, 0))*INDEX(Unit_Grades!$B$2:$B$7, MATCH(F1083, Unit_Grades!$A$2:$A$7, 0))*INDEX(Unit_Paths!$C$2:$C$4, MATCH(E1083, Unit_Paths!$A$2:$A$4, 0)),1)</f>
        <v>54</v>
      </c>
      <c r="J1083" s="6" t="n">
        <f aca="false">ROUND(INDEX(Archetypes!$G$2:$G$127, MATCH(D1083, Archetypes!$A$2:$A$127, 0))*INDEX(Unit_Grades!$B$2:$B$7, MATCH(F1083, Unit_Grades!$A$2:$A$7, 0))*INDEX(Unit_Paths!$D$2:$D$4, MATCH(E1083, Unit_Paths!$A$2:$A$4, 0)),0)</f>
        <v>203</v>
      </c>
      <c r="K1083" s="6" t="n">
        <f aca="false">ROUND(INDEX(Archetypes!$H$2:$H$127, MATCH(D1083, Archetypes!$A$2:$A$127, 0))*INDEX(Unit_Paths!$E$2:$E$4, MATCH(E1083, Unit_Paths!$A$2:$A$4, 0)),1)</f>
        <v>20</v>
      </c>
      <c r="L1083" s="6" t="n">
        <f aca="false">ROUND(INDEX(Archetypes!$I$2:$I$127, MATCH(D1083, Archetypes!$A$2:$A$127, 0))*INDEX(Unit_Grades!$C$2:$C$7, MATCH(F1083, Unit_Grades!$A$2:$A$7, 0)),1)</f>
        <v>15</v>
      </c>
      <c r="M1083" s="6" t="n">
        <f aca="false">ROUND(INDEX(Archetypes!$J$2:$J$127, MATCH(D1083, Archetypes!$A$2:$A$127, 0))*INDEX(Unit_Grades!$D$2:$D$7, MATCH(F1083, Unit_Grades!$A$2:$A$7, 0)),1)</f>
        <v>7.3</v>
      </c>
      <c r="N1083" s="6" t="n">
        <f aca="false">ROUND(M1083/24,2)</f>
        <v>0.3</v>
      </c>
    </row>
    <row r="1084" customFormat="false" ht="15" hidden="false" customHeight="true" outlineLevel="0" collapsed="false">
      <c r="A1084" s="6" t="n">
        <v>4</v>
      </c>
      <c r="B1084" s="6" t="s">
        <v>2591</v>
      </c>
      <c r="C1084" s="6" t="s">
        <v>1389</v>
      </c>
      <c r="D1084" s="6" t="str">
        <f aca="false">A1084&amp;"|"&amp;C1084</f>
        <v>4|Paratrooper</v>
      </c>
      <c r="E1084" s="6" t="s">
        <v>1556</v>
      </c>
      <c r="F1084" s="6" t="s">
        <v>1542</v>
      </c>
      <c r="G1084" s="6" t="str">
        <f aca="false">INDEX(Archetypes!$D$2:$D$127, MATCH(D1084, Archetypes!$A$2:$A$127, 0))</f>
        <v>Shock Infantry</v>
      </c>
      <c r="H1084" s="6" t="n">
        <f aca="false">ROUND(INDEX(Archetypes!$E$2:$E$127, MATCH(D1084, Archetypes!$A$2:$A$127, 0))*INDEX(Unit_Grades!$B$2:$B$7, MATCH(F1084, Unit_Grades!$A$2:$A$7, 0))*INDEX(Unit_Paths!$B$2:$B$4, MATCH(E1084, Unit_Paths!$A$2:$A$4, 0)),1)</f>
        <v>151.2</v>
      </c>
      <c r="I1084" s="6" t="n">
        <f aca="false">ROUND(INDEX(Archetypes!$F$2:$F$127, MATCH(D1084, Archetypes!$A$2:$A$127, 0))*INDEX(Unit_Grades!$B$2:$B$7, MATCH(F1084, Unit_Grades!$A$2:$A$7, 0))*INDEX(Unit_Paths!$C$2:$C$4, MATCH(E1084, Unit_Paths!$A$2:$A$4, 0)),1)</f>
        <v>72</v>
      </c>
      <c r="J1084" s="6" t="n">
        <f aca="false">ROUND(INDEX(Archetypes!$G$2:$G$127, MATCH(D1084, Archetypes!$A$2:$A$127, 0))*INDEX(Unit_Grades!$B$2:$B$7, MATCH(F1084, Unit_Grades!$A$2:$A$7, 0))*INDEX(Unit_Paths!$D$2:$D$4, MATCH(E1084, Unit_Paths!$A$2:$A$4, 0)),0)</f>
        <v>270</v>
      </c>
      <c r="K1084" s="6" t="n">
        <f aca="false">ROUND(INDEX(Archetypes!$H$2:$H$127, MATCH(D1084, Archetypes!$A$2:$A$127, 0))*INDEX(Unit_Paths!$E$2:$E$4, MATCH(E1084, Unit_Paths!$A$2:$A$4, 0)),1)</f>
        <v>20</v>
      </c>
      <c r="L1084" s="6" t="n">
        <f aca="false">ROUND(INDEX(Archetypes!$I$2:$I$127, MATCH(D1084, Archetypes!$A$2:$A$127, 0))*INDEX(Unit_Grades!$C$2:$C$7, MATCH(F1084, Unit_Grades!$A$2:$A$7, 0)),1)</f>
        <v>19.2</v>
      </c>
      <c r="M1084" s="6" t="n">
        <f aca="false">ROUND(INDEX(Archetypes!$J$2:$J$127, MATCH(D1084, Archetypes!$A$2:$A$127, 0))*INDEX(Unit_Grades!$D$2:$D$7, MATCH(F1084, Unit_Grades!$A$2:$A$7, 0)),1)</f>
        <v>12.2</v>
      </c>
      <c r="N1084" s="6" t="n">
        <f aca="false">ROUND(M1084/24,2)</f>
        <v>0.51</v>
      </c>
    </row>
    <row r="1085" customFormat="false" ht="15" hidden="false" customHeight="true" outlineLevel="0" collapsed="false">
      <c r="A1085" s="6" t="n">
        <v>4</v>
      </c>
      <c r="B1085" s="6" t="s">
        <v>2592</v>
      </c>
      <c r="C1085" s="6" t="s">
        <v>1389</v>
      </c>
      <c r="D1085" s="6" t="str">
        <f aca="false">A1085&amp;"|"&amp;C1085</f>
        <v>4|Paratrooper</v>
      </c>
      <c r="E1085" s="6" t="s">
        <v>1556</v>
      </c>
      <c r="F1085" s="6" t="s">
        <v>1544</v>
      </c>
      <c r="G1085" s="6" t="str">
        <f aca="false">INDEX(Archetypes!$D$2:$D$127, MATCH(D1085, Archetypes!$A$2:$A$127, 0))</f>
        <v>Shock Infantry</v>
      </c>
      <c r="H1085" s="6" t="n">
        <f aca="false">ROUND(INDEX(Archetypes!$E$2:$E$127, MATCH(D1085, Archetypes!$A$2:$A$127, 0))*INDEX(Unit_Grades!$B$2:$B$7, MATCH(F1085, Unit_Grades!$A$2:$A$7, 0))*INDEX(Unit_Paths!$B$2:$B$4, MATCH(E1085, Unit_Paths!$A$2:$A$4, 0)),1)</f>
        <v>201.6</v>
      </c>
      <c r="I1085" s="6" t="n">
        <f aca="false">ROUND(INDEX(Archetypes!$F$2:$F$127, MATCH(D1085, Archetypes!$A$2:$A$127, 0))*INDEX(Unit_Grades!$B$2:$B$7, MATCH(F1085, Unit_Grades!$A$2:$A$7, 0))*INDEX(Unit_Paths!$C$2:$C$4, MATCH(E1085, Unit_Paths!$A$2:$A$4, 0)),1)</f>
        <v>96</v>
      </c>
      <c r="J1085" s="6" t="n">
        <f aca="false">ROUND(INDEX(Archetypes!$G$2:$G$127, MATCH(D1085, Archetypes!$A$2:$A$127, 0))*INDEX(Unit_Grades!$B$2:$B$7, MATCH(F1085, Unit_Grades!$A$2:$A$7, 0))*INDEX(Unit_Paths!$D$2:$D$4, MATCH(E1085, Unit_Paths!$A$2:$A$4, 0)),0)</f>
        <v>360</v>
      </c>
      <c r="K1085" s="6" t="n">
        <f aca="false">ROUND(INDEX(Archetypes!$H$2:$H$127, MATCH(D1085, Archetypes!$A$2:$A$127, 0))*INDEX(Unit_Paths!$E$2:$E$4, MATCH(E1085, Unit_Paths!$A$2:$A$4, 0)),1)</f>
        <v>20</v>
      </c>
      <c r="L1085" s="6" t="n">
        <f aca="false">ROUND(INDEX(Archetypes!$I$2:$I$127, MATCH(D1085, Archetypes!$A$2:$A$127, 0))*INDEX(Unit_Grades!$C$2:$C$7, MATCH(F1085, Unit_Grades!$A$2:$A$7, 0)),1)</f>
        <v>25.2</v>
      </c>
      <c r="M1085" s="6" t="n">
        <f aca="false">ROUND(INDEX(Archetypes!$J$2:$J$127, MATCH(D1085, Archetypes!$A$2:$A$127, 0))*INDEX(Unit_Grades!$D$2:$D$7, MATCH(F1085, Unit_Grades!$A$2:$A$7, 0)),1)</f>
        <v>19.5</v>
      </c>
      <c r="N1085" s="6" t="n">
        <f aca="false">ROUND(M1085/24,2)</f>
        <v>0.81</v>
      </c>
    </row>
    <row r="1086" customFormat="false" ht="15" hidden="false" customHeight="true" outlineLevel="0" collapsed="false">
      <c r="A1086" s="6" t="n">
        <v>4</v>
      </c>
      <c r="B1086" s="6" t="s">
        <v>2593</v>
      </c>
      <c r="C1086" s="6" t="s">
        <v>1389</v>
      </c>
      <c r="D1086" s="6" t="str">
        <f aca="false">A1086&amp;"|"&amp;C1086</f>
        <v>4|Paratrooper</v>
      </c>
      <c r="E1086" s="6" t="s">
        <v>1556</v>
      </c>
      <c r="F1086" s="6" t="s">
        <v>1546</v>
      </c>
      <c r="G1086" s="6" t="str">
        <f aca="false">INDEX(Archetypes!$D$2:$D$127, MATCH(D1086, Archetypes!$A$2:$A$127, 0))</f>
        <v>Shock Infantry</v>
      </c>
      <c r="H1086" s="6" t="n">
        <f aca="false">ROUND(INDEX(Archetypes!$E$2:$E$127, MATCH(D1086, Archetypes!$A$2:$A$127, 0))*INDEX(Unit_Grades!$B$2:$B$7, MATCH(F1086, Unit_Grades!$A$2:$A$7, 0))*INDEX(Unit_Paths!$B$2:$B$4, MATCH(E1086, Unit_Paths!$A$2:$A$4, 0)),1)</f>
        <v>268.8</v>
      </c>
      <c r="I1086" s="6" t="n">
        <f aca="false">ROUND(INDEX(Archetypes!$F$2:$F$127, MATCH(D1086, Archetypes!$A$2:$A$127, 0))*INDEX(Unit_Grades!$B$2:$B$7, MATCH(F1086, Unit_Grades!$A$2:$A$7, 0))*INDEX(Unit_Paths!$C$2:$C$4, MATCH(E1086, Unit_Paths!$A$2:$A$4, 0)),1)</f>
        <v>128</v>
      </c>
      <c r="J1086" s="6" t="n">
        <f aca="false">ROUND(INDEX(Archetypes!$G$2:$G$127, MATCH(D1086, Archetypes!$A$2:$A$127, 0))*INDEX(Unit_Grades!$B$2:$B$7, MATCH(F1086, Unit_Grades!$A$2:$A$7, 0))*INDEX(Unit_Paths!$D$2:$D$4, MATCH(E1086, Unit_Paths!$A$2:$A$4, 0)),0)</f>
        <v>480</v>
      </c>
      <c r="K1086" s="6" t="n">
        <f aca="false">ROUND(INDEX(Archetypes!$H$2:$H$127, MATCH(D1086, Archetypes!$A$2:$A$127, 0))*INDEX(Unit_Paths!$E$2:$E$4, MATCH(E1086, Unit_Paths!$A$2:$A$4, 0)),1)</f>
        <v>20</v>
      </c>
      <c r="L1086" s="6" t="n">
        <f aca="false">ROUND(INDEX(Archetypes!$I$2:$I$127, MATCH(D1086, Archetypes!$A$2:$A$127, 0))*INDEX(Unit_Grades!$C$2:$C$7, MATCH(F1086, Unit_Grades!$A$2:$A$7, 0)),1)</f>
        <v>33.6</v>
      </c>
      <c r="M1086" s="6" t="n">
        <f aca="false">ROUND(INDEX(Archetypes!$J$2:$J$127, MATCH(D1086, Archetypes!$A$2:$A$127, 0))*INDEX(Unit_Grades!$D$2:$D$7, MATCH(F1086, Unit_Grades!$A$2:$A$7, 0)),1)</f>
        <v>34.1</v>
      </c>
      <c r="N1086" s="6" t="n">
        <f aca="false">ROUND(M1086/24,2)</f>
        <v>1.42</v>
      </c>
    </row>
    <row r="1087" customFormat="false" ht="15" hidden="false" customHeight="true" outlineLevel="0" collapsed="false">
      <c r="A1087" s="6" t="n">
        <v>4</v>
      </c>
      <c r="B1087" s="6" t="s">
        <v>2594</v>
      </c>
      <c r="C1087" s="6" t="s">
        <v>1389</v>
      </c>
      <c r="D1087" s="6" t="str">
        <f aca="false">A1087&amp;"|"&amp;C1087</f>
        <v>4|Paratrooper</v>
      </c>
      <c r="E1087" s="6" t="s">
        <v>1556</v>
      </c>
      <c r="F1087" s="6" t="s">
        <v>1548</v>
      </c>
      <c r="G1087" s="6" t="str">
        <f aca="false">INDEX(Archetypes!$D$2:$D$127, MATCH(D1087, Archetypes!$A$2:$A$127, 0))</f>
        <v>Shock Infantry</v>
      </c>
      <c r="H1087" s="6" t="n">
        <f aca="false">ROUND(INDEX(Archetypes!$E$2:$E$127, MATCH(D1087, Archetypes!$A$2:$A$127, 0))*INDEX(Unit_Grades!$B$2:$B$7, MATCH(F1087, Unit_Grades!$A$2:$A$7, 0))*INDEX(Unit_Paths!$B$2:$B$4, MATCH(E1087, Unit_Paths!$A$2:$A$4, 0)),1)</f>
        <v>352.8</v>
      </c>
      <c r="I1087" s="6" t="n">
        <f aca="false">ROUND(INDEX(Archetypes!$F$2:$F$127, MATCH(D1087, Archetypes!$A$2:$A$127, 0))*INDEX(Unit_Grades!$B$2:$B$7, MATCH(F1087, Unit_Grades!$A$2:$A$7, 0))*INDEX(Unit_Paths!$C$2:$C$4, MATCH(E1087, Unit_Paths!$A$2:$A$4, 0)),1)</f>
        <v>168</v>
      </c>
      <c r="J1087" s="6" t="n">
        <f aca="false">ROUND(INDEX(Archetypes!$G$2:$G$127, MATCH(D1087, Archetypes!$A$2:$A$127, 0))*INDEX(Unit_Grades!$B$2:$B$7, MATCH(F1087, Unit_Grades!$A$2:$A$7, 0))*INDEX(Unit_Paths!$D$2:$D$4, MATCH(E1087, Unit_Paths!$A$2:$A$4, 0)),0)</f>
        <v>630</v>
      </c>
      <c r="K1087" s="6" t="n">
        <f aca="false">ROUND(INDEX(Archetypes!$H$2:$H$127, MATCH(D1087, Archetypes!$A$2:$A$127, 0))*INDEX(Unit_Paths!$E$2:$E$4, MATCH(E1087, Unit_Paths!$A$2:$A$4, 0)),1)</f>
        <v>20</v>
      </c>
      <c r="L1087" s="6" t="n">
        <f aca="false">ROUND(INDEX(Archetypes!$I$2:$I$127, MATCH(D1087, Archetypes!$A$2:$A$127, 0))*INDEX(Unit_Grades!$C$2:$C$7, MATCH(F1087, Unit_Grades!$A$2:$A$7, 0)),1)</f>
        <v>44.4</v>
      </c>
      <c r="M1087" s="6" t="n">
        <f aca="false">ROUND(INDEX(Archetypes!$J$2:$J$127, MATCH(D1087, Archetypes!$A$2:$A$127, 0))*INDEX(Unit_Grades!$D$2:$D$7, MATCH(F1087, Unit_Grades!$A$2:$A$7, 0)),1)</f>
        <v>58.4</v>
      </c>
      <c r="N1087" s="6" t="n">
        <f aca="false">ROUND(M1087/24,2)</f>
        <v>2.43</v>
      </c>
    </row>
    <row r="1088" customFormat="false" ht="15" hidden="false" customHeight="true" outlineLevel="0" collapsed="false">
      <c r="A1088" s="6" t="n">
        <v>4</v>
      </c>
      <c r="B1088" s="6" t="s">
        <v>2595</v>
      </c>
      <c r="C1088" s="6" t="s">
        <v>1389</v>
      </c>
      <c r="D1088" s="6" t="str">
        <f aca="false">A1088&amp;"|"&amp;C1088</f>
        <v>4|Paratrooper</v>
      </c>
      <c r="E1088" s="6" t="s">
        <v>1558</v>
      </c>
      <c r="F1088" s="6" t="s">
        <v>1538</v>
      </c>
      <c r="G1088" s="6" t="str">
        <f aca="false">INDEX(Archetypes!$D$2:$D$127, MATCH(D1088, Archetypes!$A$2:$A$127, 0))</f>
        <v>Shock Infantry</v>
      </c>
      <c r="H1088" s="6" t="n">
        <f aca="false">ROUND(INDEX(Archetypes!$E$2:$E$127, MATCH(D1088, Archetypes!$A$2:$A$127, 0))*INDEX(Unit_Grades!$B$2:$B$7, MATCH(F1088, Unit_Grades!$A$2:$A$7, 0))*INDEX(Unit_Paths!$B$2:$B$4, MATCH(E1088, Unit_Paths!$A$2:$A$4, 0)),1)</f>
        <v>100.8</v>
      </c>
      <c r="I1088" s="6" t="n">
        <f aca="false">ROUND(INDEX(Archetypes!$F$2:$F$127, MATCH(D1088, Archetypes!$A$2:$A$127, 0))*INDEX(Unit_Grades!$B$2:$B$7, MATCH(F1088, Unit_Grades!$A$2:$A$7, 0))*INDEX(Unit_Paths!$C$2:$C$4, MATCH(E1088, Unit_Paths!$A$2:$A$4, 0)),1)</f>
        <v>34</v>
      </c>
      <c r="J1088" s="6" t="n">
        <f aca="false">ROUND(INDEX(Archetypes!$G$2:$G$127, MATCH(D1088, Archetypes!$A$2:$A$127, 0))*INDEX(Unit_Grades!$B$2:$B$7, MATCH(F1088, Unit_Grades!$A$2:$A$7, 0))*INDEX(Unit_Paths!$D$2:$D$4, MATCH(E1088, Unit_Paths!$A$2:$A$4, 0)),0)</f>
        <v>143</v>
      </c>
      <c r="K1088" s="6" t="n">
        <f aca="false">ROUND(INDEX(Archetypes!$H$2:$H$127, MATCH(D1088, Archetypes!$A$2:$A$127, 0))*INDEX(Unit_Paths!$E$2:$E$4, MATCH(E1088, Unit_Paths!$A$2:$A$4, 0)),1)</f>
        <v>21</v>
      </c>
      <c r="L1088" s="6" t="n">
        <f aca="false">ROUND(INDEX(Archetypes!$I$2:$I$127, MATCH(D1088, Archetypes!$A$2:$A$127, 0))*INDEX(Unit_Grades!$C$2:$C$7, MATCH(F1088, Unit_Grades!$A$2:$A$7, 0)),1)</f>
        <v>12</v>
      </c>
      <c r="M1088" s="6" t="n">
        <f aca="false">ROUND(INDEX(Archetypes!$J$2:$J$127, MATCH(D1088, Archetypes!$A$2:$A$127, 0))*INDEX(Unit_Grades!$D$2:$D$7, MATCH(F1088, Unit_Grades!$A$2:$A$7, 0)),1)</f>
        <v>4.9</v>
      </c>
      <c r="N1088" s="6" t="n">
        <f aca="false">ROUND(M1088/24,2)</f>
        <v>0.2</v>
      </c>
    </row>
    <row r="1089" customFormat="false" ht="15" hidden="false" customHeight="true" outlineLevel="0" collapsed="false">
      <c r="A1089" s="6" t="n">
        <v>4</v>
      </c>
      <c r="B1089" s="6" t="s">
        <v>2596</v>
      </c>
      <c r="C1089" s="6" t="s">
        <v>1389</v>
      </c>
      <c r="D1089" s="6" t="str">
        <f aca="false">A1089&amp;"|"&amp;C1089</f>
        <v>4|Paratrooper</v>
      </c>
      <c r="E1089" s="6" t="s">
        <v>1558</v>
      </c>
      <c r="F1089" s="6" t="s">
        <v>1540</v>
      </c>
      <c r="G1089" s="6" t="str">
        <f aca="false">INDEX(Archetypes!$D$2:$D$127, MATCH(D1089, Archetypes!$A$2:$A$127, 0))</f>
        <v>Shock Infantry</v>
      </c>
      <c r="H1089" s="6" t="n">
        <f aca="false">ROUND(INDEX(Archetypes!$E$2:$E$127, MATCH(D1089, Archetypes!$A$2:$A$127, 0))*INDEX(Unit_Grades!$B$2:$B$7, MATCH(F1089, Unit_Grades!$A$2:$A$7, 0))*INDEX(Unit_Paths!$B$2:$B$4, MATCH(E1089, Unit_Paths!$A$2:$A$4, 0)),1)</f>
        <v>136.1</v>
      </c>
      <c r="I1089" s="6" t="n">
        <f aca="false">ROUND(INDEX(Archetypes!$F$2:$F$127, MATCH(D1089, Archetypes!$A$2:$A$127, 0))*INDEX(Unit_Grades!$B$2:$B$7, MATCH(F1089, Unit_Grades!$A$2:$A$7, 0))*INDEX(Unit_Paths!$C$2:$C$4, MATCH(E1089, Unit_Paths!$A$2:$A$4, 0)),1)</f>
        <v>45.9</v>
      </c>
      <c r="J1089" s="6" t="n">
        <f aca="false">ROUND(INDEX(Archetypes!$G$2:$G$127, MATCH(D1089, Archetypes!$A$2:$A$127, 0))*INDEX(Unit_Grades!$B$2:$B$7, MATCH(F1089, Unit_Grades!$A$2:$A$7, 0))*INDEX(Unit_Paths!$D$2:$D$4, MATCH(E1089, Unit_Paths!$A$2:$A$4, 0)),0)</f>
        <v>192</v>
      </c>
      <c r="K1089" s="6" t="n">
        <f aca="false">ROUND(INDEX(Archetypes!$H$2:$H$127, MATCH(D1089, Archetypes!$A$2:$A$127, 0))*INDEX(Unit_Paths!$E$2:$E$4, MATCH(E1089, Unit_Paths!$A$2:$A$4, 0)),1)</f>
        <v>21</v>
      </c>
      <c r="L1089" s="6" t="n">
        <f aca="false">ROUND(INDEX(Archetypes!$I$2:$I$127, MATCH(D1089, Archetypes!$A$2:$A$127, 0))*INDEX(Unit_Grades!$C$2:$C$7, MATCH(F1089, Unit_Grades!$A$2:$A$7, 0)),1)</f>
        <v>15</v>
      </c>
      <c r="M1089" s="6" t="n">
        <f aca="false">ROUND(INDEX(Archetypes!$J$2:$J$127, MATCH(D1089, Archetypes!$A$2:$A$127, 0))*INDEX(Unit_Grades!$D$2:$D$7, MATCH(F1089, Unit_Grades!$A$2:$A$7, 0)),1)</f>
        <v>7.3</v>
      </c>
      <c r="N1089" s="6" t="n">
        <f aca="false">ROUND(M1089/24,2)</f>
        <v>0.3</v>
      </c>
    </row>
    <row r="1090" customFormat="false" ht="15" hidden="false" customHeight="true" outlineLevel="0" collapsed="false">
      <c r="A1090" s="6" t="n">
        <v>4</v>
      </c>
      <c r="B1090" s="6" t="s">
        <v>2597</v>
      </c>
      <c r="C1090" s="6" t="s">
        <v>1389</v>
      </c>
      <c r="D1090" s="6" t="str">
        <f aca="false">A1090&amp;"|"&amp;C1090</f>
        <v>4|Paratrooper</v>
      </c>
      <c r="E1090" s="6" t="s">
        <v>1558</v>
      </c>
      <c r="F1090" s="6" t="s">
        <v>1542</v>
      </c>
      <c r="G1090" s="6" t="str">
        <f aca="false">INDEX(Archetypes!$D$2:$D$127, MATCH(D1090, Archetypes!$A$2:$A$127, 0))</f>
        <v>Shock Infantry</v>
      </c>
      <c r="H1090" s="6" t="n">
        <f aca="false">ROUND(INDEX(Archetypes!$E$2:$E$127, MATCH(D1090, Archetypes!$A$2:$A$127, 0))*INDEX(Unit_Grades!$B$2:$B$7, MATCH(F1090, Unit_Grades!$A$2:$A$7, 0))*INDEX(Unit_Paths!$B$2:$B$4, MATCH(E1090, Unit_Paths!$A$2:$A$4, 0)),1)</f>
        <v>181.4</v>
      </c>
      <c r="I1090" s="6" t="n">
        <f aca="false">ROUND(INDEX(Archetypes!$F$2:$F$127, MATCH(D1090, Archetypes!$A$2:$A$127, 0))*INDEX(Unit_Grades!$B$2:$B$7, MATCH(F1090, Unit_Grades!$A$2:$A$7, 0))*INDEX(Unit_Paths!$C$2:$C$4, MATCH(E1090, Unit_Paths!$A$2:$A$4, 0)),1)</f>
        <v>61.2</v>
      </c>
      <c r="J1090" s="6" t="n">
        <f aca="false">ROUND(INDEX(Archetypes!$G$2:$G$127, MATCH(D1090, Archetypes!$A$2:$A$127, 0))*INDEX(Unit_Grades!$B$2:$B$7, MATCH(F1090, Unit_Grades!$A$2:$A$7, 0))*INDEX(Unit_Paths!$D$2:$D$4, MATCH(E1090, Unit_Paths!$A$2:$A$4, 0)),0)</f>
        <v>257</v>
      </c>
      <c r="K1090" s="6" t="n">
        <f aca="false">ROUND(INDEX(Archetypes!$H$2:$H$127, MATCH(D1090, Archetypes!$A$2:$A$127, 0))*INDEX(Unit_Paths!$E$2:$E$4, MATCH(E1090, Unit_Paths!$A$2:$A$4, 0)),1)</f>
        <v>21</v>
      </c>
      <c r="L1090" s="6" t="n">
        <f aca="false">ROUND(INDEX(Archetypes!$I$2:$I$127, MATCH(D1090, Archetypes!$A$2:$A$127, 0))*INDEX(Unit_Grades!$C$2:$C$7, MATCH(F1090, Unit_Grades!$A$2:$A$7, 0)),1)</f>
        <v>19.2</v>
      </c>
      <c r="M1090" s="6" t="n">
        <f aca="false">ROUND(INDEX(Archetypes!$J$2:$J$127, MATCH(D1090, Archetypes!$A$2:$A$127, 0))*INDEX(Unit_Grades!$D$2:$D$7, MATCH(F1090, Unit_Grades!$A$2:$A$7, 0)),1)</f>
        <v>12.2</v>
      </c>
      <c r="N1090" s="6" t="n">
        <f aca="false">ROUND(M1090/24,2)</f>
        <v>0.51</v>
      </c>
    </row>
    <row r="1091" customFormat="false" ht="15" hidden="false" customHeight="true" outlineLevel="0" collapsed="false">
      <c r="A1091" s="6" t="n">
        <v>4</v>
      </c>
      <c r="B1091" s="6" t="s">
        <v>2598</v>
      </c>
      <c r="C1091" s="6" t="s">
        <v>1389</v>
      </c>
      <c r="D1091" s="6" t="str">
        <f aca="false">A1091&amp;"|"&amp;C1091</f>
        <v>4|Paratrooper</v>
      </c>
      <c r="E1091" s="6" t="s">
        <v>1558</v>
      </c>
      <c r="F1091" s="6" t="s">
        <v>1544</v>
      </c>
      <c r="G1091" s="6" t="str">
        <f aca="false">INDEX(Archetypes!$D$2:$D$127, MATCH(D1091, Archetypes!$A$2:$A$127, 0))</f>
        <v>Shock Infantry</v>
      </c>
      <c r="H1091" s="6" t="n">
        <f aca="false">ROUND(INDEX(Archetypes!$E$2:$E$127, MATCH(D1091, Archetypes!$A$2:$A$127, 0))*INDEX(Unit_Grades!$B$2:$B$7, MATCH(F1091, Unit_Grades!$A$2:$A$7, 0))*INDEX(Unit_Paths!$B$2:$B$4, MATCH(E1091, Unit_Paths!$A$2:$A$4, 0)),1)</f>
        <v>241.9</v>
      </c>
      <c r="I1091" s="6" t="n">
        <f aca="false">ROUND(INDEX(Archetypes!$F$2:$F$127, MATCH(D1091, Archetypes!$A$2:$A$127, 0))*INDEX(Unit_Grades!$B$2:$B$7, MATCH(F1091, Unit_Grades!$A$2:$A$7, 0))*INDEX(Unit_Paths!$C$2:$C$4, MATCH(E1091, Unit_Paths!$A$2:$A$4, 0)),1)</f>
        <v>81.6</v>
      </c>
      <c r="J1091" s="6" t="n">
        <f aca="false">ROUND(INDEX(Archetypes!$G$2:$G$127, MATCH(D1091, Archetypes!$A$2:$A$127, 0))*INDEX(Unit_Grades!$B$2:$B$7, MATCH(F1091, Unit_Grades!$A$2:$A$7, 0))*INDEX(Unit_Paths!$D$2:$D$4, MATCH(E1091, Unit_Paths!$A$2:$A$4, 0)),0)</f>
        <v>342</v>
      </c>
      <c r="K1091" s="6" t="n">
        <f aca="false">ROUND(INDEX(Archetypes!$H$2:$H$127, MATCH(D1091, Archetypes!$A$2:$A$127, 0))*INDEX(Unit_Paths!$E$2:$E$4, MATCH(E1091, Unit_Paths!$A$2:$A$4, 0)),1)</f>
        <v>21</v>
      </c>
      <c r="L1091" s="6" t="n">
        <f aca="false">ROUND(INDEX(Archetypes!$I$2:$I$127, MATCH(D1091, Archetypes!$A$2:$A$127, 0))*INDEX(Unit_Grades!$C$2:$C$7, MATCH(F1091, Unit_Grades!$A$2:$A$7, 0)),1)</f>
        <v>25.2</v>
      </c>
      <c r="M1091" s="6" t="n">
        <f aca="false">ROUND(INDEX(Archetypes!$J$2:$J$127, MATCH(D1091, Archetypes!$A$2:$A$127, 0))*INDEX(Unit_Grades!$D$2:$D$7, MATCH(F1091, Unit_Grades!$A$2:$A$7, 0)),1)</f>
        <v>19.5</v>
      </c>
      <c r="N1091" s="6" t="n">
        <f aca="false">ROUND(M1091/24,2)</f>
        <v>0.81</v>
      </c>
    </row>
    <row r="1092" customFormat="false" ht="15" hidden="false" customHeight="true" outlineLevel="0" collapsed="false">
      <c r="A1092" s="6" t="n">
        <v>4</v>
      </c>
      <c r="B1092" s="6" t="s">
        <v>2599</v>
      </c>
      <c r="C1092" s="6" t="s">
        <v>1389</v>
      </c>
      <c r="D1092" s="6" t="str">
        <f aca="false">A1092&amp;"|"&amp;C1092</f>
        <v>4|Paratrooper</v>
      </c>
      <c r="E1092" s="6" t="s">
        <v>1558</v>
      </c>
      <c r="F1092" s="6" t="s">
        <v>1546</v>
      </c>
      <c r="G1092" s="6" t="str">
        <f aca="false">INDEX(Archetypes!$D$2:$D$127, MATCH(D1092, Archetypes!$A$2:$A$127, 0))</f>
        <v>Shock Infantry</v>
      </c>
      <c r="H1092" s="6" t="n">
        <f aca="false">ROUND(INDEX(Archetypes!$E$2:$E$127, MATCH(D1092, Archetypes!$A$2:$A$127, 0))*INDEX(Unit_Grades!$B$2:$B$7, MATCH(F1092, Unit_Grades!$A$2:$A$7, 0))*INDEX(Unit_Paths!$B$2:$B$4, MATCH(E1092, Unit_Paths!$A$2:$A$4, 0)),1)</f>
        <v>322.6</v>
      </c>
      <c r="I1092" s="6" t="n">
        <f aca="false">ROUND(INDEX(Archetypes!$F$2:$F$127, MATCH(D1092, Archetypes!$A$2:$A$127, 0))*INDEX(Unit_Grades!$B$2:$B$7, MATCH(F1092, Unit_Grades!$A$2:$A$7, 0))*INDEX(Unit_Paths!$C$2:$C$4, MATCH(E1092, Unit_Paths!$A$2:$A$4, 0)),1)</f>
        <v>108.8</v>
      </c>
      <c r="J1092" s="6" t="n">
        <f aca="false">ROUND(INDEX(Archetypes!$G$2:$G$127, MATCH(D1092, Archetypes!$A$2:$A$127, 0))*INDEX(Unit_Grades!$B$2:$B$7, MATCH(F1092, Unit_Grades!$A$2:$A$7, 0))*INDEX(Unit_Paths!$D$2:$D$4, MATCH(E1092, Unit_Paths!$A$2:$A$4, 0)),0)</f>
        <v>456</v>
      </c>
      <c r="K1092" s="6" t="n">
        <f aca="false">ROUND(INDEX(Archetypes!$H$2:$H$127, MATCH(D1092, Archetypes!$A$2:$A$127, 0))*INDEX(Unit_Paths!$E$2:$E$4, MATCH(E1092, Unit_Paths!$A$2:$A$4, 0)),1)</f>
        <v>21</v>
      </c>
      <c r="L1092" s="6" t="n">
        <f aca="false">ROUND(INDEX(Archetypes!$I$2:$I$127, MATCH(D1092, Archetypes!$A$2:$A$127, 0))*INDEX(Unit_Grades!$C$2:$C$7, MATCH(F1092, Unit_Grades!$A$2:$A$7, 0)),1)</f>
        <v>33.6</v>
      </c>
      <c r="M1092" s="6" t="n">
        <f aca="false">ROUND(INDEX(Archetypes!$J$2:$J$127, MATCH(D1092, Archetypes!$A$2:$A$127, 0))*INDEX(Unit_Grades!$D$2:$D$7, MATCH(F1092, Unit_Grades!$A$2:$A$7, 0)),1)</f>
        <v>34.1</v>
      </c>
      <c r="N1092" s="6" t="n">
        <f aca="false">ROUND(M1092/24,2)</f>
        <v>1.42</v>
      </c>
    </row>
    <row r="1093" customFormat="false" ht="15" hidden="false" customHeight="true" outlineLevel="0" collapsed="false">
      <c r="A1093" s="6" t="n">
        <v>4</v>
      </c>
      <c r="B1093" s="6" t="s">
        <v>2600</v>
      </c>
      <c r="C1093" s="6" t="s">
        <v>1389</v>
      </c>
      <c r="D1093" s="6" t="str">
        <f aca="false">A1093&amp;"|"&amp;C1093</f>
        <v>4|Paratrooper</v>
      </c>
      <c r="E1093" s="6" t="s">
        <v>1558</v>
      </c>
      <c r="F1093" s="6" t="s">
        <v>1548</v>
      </c>
      <c r="G1093" s="6" t="str">
        <f aca="false">INDEX(Archetypes!$D$2:$D$127, MATCH(D1093, Archetypes!$A$2:$A$127, 0))</f>
        <v>Shock Infantry</v>
      </c>
      <c r="H1093" s="6" t="n">
        <f aca="false">ROUND(INDEX(Archetypes!$E$2:$E$127, MATCH(D1093, Archetypes!$A$2:$A$127, 0))*INDEX(Unit_Grades!$B$2:$B$7, MATCH(F1093, Unit_Grades!$A$2:$A$7, 0))*INDEX(Unit_Paths!$B$2:$B$4, MATCH(E1093, Unit_Paths!$A$2:$A$4, 0)),1)</f>
        <v>423.4</v>
      </c>
      <c r="I1093" s="6" t="n">
        <f aca="false">ROUND(INDEX(Archetypes!$F$2:$F$127, MATCH(D1093, Archetypes!$A$2:$A$127, 0))*INDEX(Unit_Grades!$B$2:$B$7, MATCH(F1093, Unit_Grades!$A$2:$A$7, 0))*INDEX(Unit_Paths!$C$2:$C$4, MATCH(E1093, Unit_Paths!$A$2:$A$4, 0)),1)</f>
        <v>142.8</v>
      </c>
      <c r="J1093" s="6" t="n">
        <f aca="false">ROUND(INDEX(Archetypes!$G$2:$G$127, MATCH(D1093, Archetypes!$A$2:$A$127, 0))*INDEX(Unit_Grades!$B$2:$B$7, MATCH(F1093, Unit_Grades!$A$2:$A$7, 0))*INDEX(Unit_Paths!$D$2:$D$4, MATCH(E1093, Unit_Paths!$A$2:$A$4, 0)),0)</f>
        <v>599</v>
      </c>
      <c r="K1093" s="6" t="n">
        <f aca="false">ROUND(INDEX(Archetypes!$H$2:$H$127, MATCH(D1093, Archetypes!$A$2:$A$127, 0))*INDEX(Unit_Paths!$E$2:$E$4, MATCH(E1093, Unit_Paths!$A$2:$A$4, 0)),1)</f>
        <v>21</v>
      </c>
      <c r="L1093" s="6" t="n">
        <f aca="false">ROUND(INDEX(Archetypes!$I$2:$I$127, MATCH(D1093, Archetypes!$A$2:$A$127, 0))*INDEX(Unit_Grades!$C$2:$C$7, MATCH(F1093, Unit_Grades!$A$2:$A$7, 0)),1)</f>
        <v>44.4</v>
      </c>
      <c r="M1093" s="6" t="n">
        <f aca="false">ROUND(INDEX(Archetypes!$J$2:$J$127, MATCH(D1093, Archetypes!$A$2:$A$127, 0))*INDEX(Unit_Grades!$D$2:$D$7, MATCH(F1093, Unit_Grades!$A$2:$A$7, 0)),1)</f>
        <v>58.4</v>
      </c>
      <c r="N1093" s="6" t="n">
        <f aca="false">ROUND(M1093/24,2)</f>
        <v>2.43</v>
      </c>
    </row>
    <row r="1094" customFormat="false" ht="15" hidden="false" customHeight="true" outlineLevel="0" collapsed="false">
      <c r="A1094" s="6" t="n">
        <v>4</v>
      </c>
      <c r="B1094" s="6" t="s">
        <v>2601</v>
      </c>
      <c r="C1094" s="6" t="s">
        <v>1389</v>
      </c>
      <c r="D1094" s="6" t="str">
        <f aca="false">A1094&amp;"|"&amp;C1094</f>
        <v>4|Paratrooper</v>
      </c>
      <c r="E1094" s="6" t="s">
        <v>1560</v>
      </c>
      <c r="F1094" s="6" t="s">
        <v>1538</v>
      </c>
      <c r="G1094" s="6" t="str">
        <f aca="false">INDEX(Archetypes!$D$2:$D$127, MATCH(D1094, Archetypes!$A$2:$A$127, 0))</f>
        <v>Shock Infantry</v>
      </c>
      <c r="H1094" s="6" t="n">
        <f aca="false">ROUND(INDEX(Archetypes!$E$2:$E$127, MATCH(D1094, Archetypes!$A$2:$A$127, 0))*INDEX(Unit_Grades!$B$2:$B$7, MATCH(F1094, Unit_Grades!$A$2:$A$7, 0))*INDEX(Unit_Paths!$B$2:$B$4, MATCH(E1094, Unit_Paths!$A$2:$A$4, 0)),1)</f>
        <v>71.4</v>
      </c>
      <c r="I1094" s="6" t="n">
        <f aca="false">ROUND(INDEX(Archetypes!$F$2:$F$127, MATCH(D1094, Archetypes!$A$2:$A$127, 0))*INDEX(Unit_Grades!$B$2:$B$7, MATCH(F1094, Unit_Grades!$A$2:$A$7, 0))*INDEX(Unit_Paths!$C$2:$C$4, MATCH(E1094, Unit_Paths!$A$2:$A$4, 0)),1)</f>
        <v>50</v>
      </c>
      <c r="J1094" s="6" t="n">
        <f aca="false">ROUND(INDEX(Archetypes!$G$2:$G$127, MATCH(D1094, Archetypes!$A$2:$A$127, 0))*INDEX(Unit_Grades!$B$2:$B$7, MATCH(F1094, Unit_Grades!$A$2:$A$7, 0))*INDEX(Unit_Paths!$D$2:$D$4, MATCH(E1094, Unit_Paths!$A$2:$A$4, 0)),0)</f>
        <v>173</v>
      </c>
      <c r="K1094" s="6" t="n">
        <f aca="false">ROUND(INDEX(Archetypes!$H$2:$H$127, MATCH(D1094, Archetypes!$A$2:$A$127, 0))*INDEX(Unit_Paths!$E$2:$E$4, MATCH(E1094, Unit_Paths!$A$2:$A$4, 0)),1)</f>
        <v>18.4</v>
      </c>
      <c r="L1094" s="6" t="n">
        <f aca="false">ROUND(INDEX(Archetypes!$I$2:$I$127, MATCH(D1094, Archetypes!$A$2:$A$127, 0))*INDEX(Unit_Grades!$C$2:$C$7, MATCH(F1094, Unit_Grades!$A$2:$A$7, 0)),1)</f>
        <v>12</v>
      </c>
      <c r="M1094" s="6" t="n">
        <f aca="false">ROUND(INDEX(Archetypes!$J$2:$J$127, MATCH(D1094, Archetypes!$A$2:$A$127, 0))*INDEX(Unit_Grades!$D$2:$D$7, MATCH(F1094, Unit_Grades!$A$2:$A$7, 0)),1)</f>
        <v>4.9</v>
      </c>
      <c r="N1094" s="6" t="n">
        <f aca="false">ROUND(M1094/24,2)</f>
        <v>0.2</v>
      </c>
    </row>
    <row r="1095" customFormat="false" ht="15" hidden="false" customHeight="true" outlineLevel="0" collapsed="false">
      <c r="A1095" s="6" t="n">
        <v>4</v>
      </c>
      <c r="B1095" s="6" t="s">
        <v>2602</v>
      </c>
      <c r="C1095" s="6" t="s">
        <v>1389</v>
      </c>
      <c r="D1095" s="6" t="str">
        <f aca="false">A1095&amp;"|"&amp;C1095</f>
        <v>4|Paratrooper</v>
      </c>
      <c r="E1095" s="6" t="s">
        <v>1560</v>
      </c>
      <c r="F1095" s="6" t="s">
        <v>1540</v>
      </c>
      <c r="G1095" s="6" t="str">
        <f aca="false">INDEX(Archetypes!$D$2:$D$127, MATCH(D1095, Archetypes!$A$2:$A$127, 0))</f>
        <v>Shock Infantry</v>
      </c>
      <c r="H1095" s="6" t="n">
        <f aca="false">ROUND(INDEX(Archetypes!$E$2:$E$127, MATCH(D1095, Archetypes!$A$2:$A$127, 0))*INDEX(Unit_Grades!$B$2:$B$7, MATCH(F1095, Unit_Grades!$A$2:$A$7, 0))*INDEX(Unit_Paths!$B$2:$B$4, MATCH(E1095, Unit_Paths!$A$2:$A$4, 0)),1)</f>
        <v>96.4</v>
      </c>
      <c r="I1095" s="6" t="n">
        <f aca="false">ROUND(INDEX(Archetypes!$F$2:$F$127, MATCH(D1095, Archetypes!$A$2:$A$127, 0))*INDEX(Unit_Grades!$B$2:$B$7, MATCH(F1095, Unit_Grades!$A$2:$A$7, 0))*INDEX(Unit_Paths!$C$2:$C$4, MATCH(E1095, Unit_Paths!$A$2:$A$4, 0)),1)</f>
        <v>67.5</v>
      </c>
      <c r="J1095" s="6" t="n">
        <f aca="false">ROUND(INDEX(Archetypes!$G$2:$G$127, MATCH(D1095, Archetypes!$A$2:$A$127, 0))*INDEX(Unit_Grades!$B$2:$B$7, MATCH(F1095, Unit_Grades!$A$2:$A$7, 0))*INDEX(Unit_Paths!$D$2:$D$4, MATCH(E1095, Unit_Paths!$A$2:$A$4, 0)),0)</f>
        <v>233</v>
      </c>
      <c r="K1095" s="6" t="n">
        <f aca="false">ROUND(INDEX(Archetypes!$H$2:$H$127, MATCH(D1095, Archetypes!$A$2:$A$127, 0))*INDEX(Unit_Paths!$E$2:$E$4, MATCH(E1095, Unit_Paths!$A$2:$A$4, 0)),1)</f>
        <v>18.4</v>
      </c>
      <c r="L1095" s="6" t="n">
        <f aca="false">ROUND(INDEX(Archetypes!$I$2:$I$127, MATCH(D1095, Archetypes!$A$2:$A$127, 0))*INDEX(Unit_Grades!$C$2:$C$7, MATCH(F1095, Unit_Grades!$A$2:$A$7, 0)),1)</f>
        <v>15</v>
      </c>
      <c r="M1095" s="6" t="n">
        <f aca="false">ROUND(INDEX(Archetypes!$J$2:$J$127, MATCH(D1095, Archetypes!$A$2:$A$127, 0))*INDEX(Unit_Grades!$D$2:$D$7, MATCH(F1095, Unit_Grades!$A$2:$A$7, 0)),1)</f>
        <v>7.3</v>
      </c>
      <c r="N1095" s="6" t="n">
        <f aca="false">ROUND(M1095/24,2)</f>
        <v>0.3</v>
      </c>
    </row>
    <row r="1096" customFormat="false" ht="15" hidden="false" customHeight="true" outlineLevel="0" collapsed="false">
      <c r="A1096" s="6" t="n">
        <v>4</v>
      </c>
      <c r="B1096" s="6" t="s">
        <v>2603</v>
      </c>
      <c r="C1096" s="6" t="s">
        <v>1389</v>
      </c>
      <c r="D1096" s="6" t="str">
        <f aca="false">A1096&amp;"|"&amp;C1096</f>
        <v>4|Paratrooper</v>
      </c>
      <c r="E1096" s="6" t="s">
        <v>1560</v>
      </c>
      <c r="F1096" s="6" t="s">
        <v>1542</v>
      </c>
      <c r="G1096" s="6" t="str">
        <f aca="false">INDEX(Archetypes!$D$2:$D$127, MATCH(D1096, Archetypes!$A$2:$A$127, 0))</f>
        <v>Shock Infantry</v>
      </c>
      <c r="H1096" s="6" t="n">
        <f aca="false">ROUND(INDEX(Archetypes!$E$2:$E$127, MATCH(D1096, Archetypes!$A$2:$A$127, 0))*INDEX(Unit_Grades!$B$2:$B$7, MATCH(F1096, Unit_Grades!$A$2:$A$7, 0))*INDEX(Unit_Paths!$B$2:$B$4, MATCH(E1096, Unit_Paths!$A$2:$A$4, 0)),1)</f>
        <v>128.5</v>
      </c>
      <c r="I1096" s="6" t="n">
        <f aca="false">ROUND(INDEX(Archetypes!$F$2:$F$127, MATCH(D1096, Archetypes!$A$2:$A$127, 0))*INDEX(Unit_Grades!$B$2:$B$7, MATCH(F1096, Unit_Grades!$A$2:$A$7, 0))*INDEX(Unit_Paths!$C$2:$C$4, MATCH(E1096, Unit_Paths!$A$2:$A$4, 0)),1)</f>
        <v>90</v>
      </c>
      <c r="J1096" s="6" t="n">
        <f aca="false">ROUND(INDEX(Archetypes!$G$2:$G$127, MATCH(D1096, Archetypes!$A$2:$A$127, 0))*INDEX(Unit_Grades!$B$2:$B$7, MATCH(F1096, Unit_Grades!$A$2:$A$7, 0))*INDEX(Unit_Paths!$D$2:$D$4, MATCH(E1096, Unit_Paths!$A$2:$A$4, 0)),0)</f>
        <v>311</v>
      </c>
      <c r="K1096" s="6" t="n">
        <f aca="false">ROUND(INDEX(Archetypes!$H$2:$H$127, MATCH(D1096, Archetypes!$A$2:$A$127, 0))*INDEX(Unit_Paths!$E$2:$E$4, MATCH(E1096, Unit_Paths!$A$2:$A$4, 0)),1)</f>
        <v>18.4</v>
      </c>
      <c r="L1096" s="6" t="n">
        <f aca="false">ROUND(INDEX(Archetypes!$I$2:$I$127, MATCH(D1096, Archetypes!$A$2:$A$127, 0))*INDEX(Unit_Grades!$C$2:$C$7, MATCH(F1096, Unit_Grades!$A$2:$A$7, 0)),1)</f>
        <v>19.2</v>
      </c>
      <c r="M1096" s="6" t="n">
        <f aca="false">ROUND(INDEX(Archetypes!$J$2:$J$127, MATCH(D1096, Archetypes!$A$2:$A$127, 0))*INDEX(Unit_Grades!$D$2:$D$7, MATCH(F1096, Unit_Grades!$A$2:$A$7, 0)),1)</f>
        <v>12.2</v>
      </c>
      <c r="N1096" s="6" t="n">
        <f aca="false">ROUND(M1096/24,2)</f>
        <v>0.51</v>
      </c>
    </row>
    <row r="1097" customFormat="false" ht="15" hidden="false" customHeight="true" outlineLevel="0" collapsed="false">
      <c r="A1097" s="6" t="n">
        <v>4</v>
      </c>
      <c r="B1097" s="6" t="s">
        <v>2604</v>
      </c>
      <c r="C1097" s="6" t="s">
        <v>1389</v>
      </c>
      <c r="D1097" s="6" t="str">
        <f aca="false">A1097&amp;"|"&amp;C1097</f>
        <v>4|Paratrooper</v>
      </c>
      <c r="E1097" s="6" t="s">
        <v>1560</v>
      </c>
      <c r="F1097" s="6" t="s">
        <v>1544</v>
      </c>
      <c r="G1097" s="6" t="str">
        <f aca="false">INDEX(Archetypes!$D$2:$D$127, MATCH(D1097, Archetypes!$A$2:$A$127, 0))</f>
        <v>Shock Infantry</v>
      </c>
      <c r="H1097" s="6" t="n">
        <f aca="false">ROUND(INDEX(Archetypes!$E$2:$E$127, MATCH(D1097, Archetypes!$A$2:$A$127, 0))*INDEX(Unit_Grades!$B$2:$B$7, MATCH(F1097, Unit_Grades!$A$2:$A$7, 0))*INDEX(Unit_Paths!$B$2:$B$4, MATCH(E1097, Unit_Paths!$A$2:$A$4, 0)),1)</f>
        <v>171.4</v>
      </c>
      <c r="I1097" s="6" t="n">
        <f aca="false">ROUND(INDEX(Archetypes!$F$2:$F$127, MATCH(D1097, Archetypes!$A$2:$A$127, 0))*INDEX(Unit_Grades!$B$2:$B$7, MATCH(F1097, Unit_Grades!$A$2:$A$7, 0))*INDEX(Unit_Paths!$C$2:$C$4, MATCH(E1097, Unit_Paths!$A$2:$A$4, 0)),1)</f>
        <v>120</v>
      </c>
      <c r="J1097" s="6" t="n">
        <f aca="false">ROUND(INDEX(Archetypes!$G$2:$G$127, MATCH(D1097, Archetypes!$A$2:$A$127, 0))*INDEX(Unit_Grades!$B$2:$B$7, MATCH(F1097, Unit_Grades!$A$2:$A$7, 0))*INDEX(Unit_Paths!$D$2:$D$4, MATCH(E1097, Unit_Paths!$A$2:$A$4, 0)),0)</f>
        <v>414</v>
      </c>
      <c r="K1097" s="6" t="n">
        <f aca="false">ROUND(INDEX(Archetypes!$H$2:$H$127, MATCH(D1097, Archetypes!$A$2:$A$127, 0))*INDEX(Unit_Paths!$E$2:$E$4, MATCH(E1097, Unit_Paths!$A$2:$A$4, 0)),1)</f>
        <v>18.4</v>
      </c>
      <c r="L1097" s="6" t="n">
        <f aca="false">ROUND(INDEX(Archetypes!$I$2:$I$127, MATCH(D1097, Archetypes!$A$2:$A$127, 0))*INDEX(Unit_Grades!$C$2:$C$7, MATCH(F1097, Unit_Grades!$A$2:$A$7, 0)),1)</f>
        <v>25.2</v>
      </c>
      <c r="M1097" s="6" t="n">
        <f aca="false">ROUND(INDEX(Archetypes!$J$2:$J$127, MATCH(D1097, Archetypes!$A$2:$A$127, 0))*INDEX(Unit_Grades!$D$2:$D$7, MATCH(F1097, Unit_Grades!$A$2:$A$7, 0)),1)</f>
        <v>19.5</v>
      </c>
      <c r="N1097" s="6" t="n">
        <f aca="false">ROUND(M1097/24,2)</f>
        <v>0.81</v>
      </c>
    </row>
    <row r="1098" customFormat="false" ht="15" hidden="false" customHeight="true" outlineLevel="0" collapsed="false">
      <c r="A1098" s="6" t="n">
        <v>4</v>
      </c>
      <c r="B1098" s="6" t="s">
        <v>2605</v>
      </c>
      <c r="C1098" s="6" t="s">
        <v>1389</v>
      </c>
      <c r="D1098" s="6" t="str">
        <f aca="false">A1098&amp;"|"&amp;C1098</f>
        <v>4|Paratrooper</v>
      </c>
      <c r="E1098" s="6" t="s">
        <v>1560</v>
      </c>
      <c r="F1098" s="6" t="s">
        <v>1546</v>
      </c>
      <c r="G1098" s="6" t="str">
        <f aca="false">INDEX(Archetypes!$D$2:$D$127, MATCH(D1098, Archetypes!$A$2:$A$127, 0))</f>
        <v>Shock Infantry</v>
      </c>
      <c r="H1098" s="6" t="n">
        <f aca="false">ROUND(INDEX(Archetypes!$E$2:$E$127, MATCH(D1098, Archetypes!$A$2:$A$127, 0))*INDEX(Unit_Grades!$B$2:$B$7, MATCH(F1098, Unit_Grades!$A$2:$A$7, 0))*INDEX(Unit_Paths!$B$2:$B$4, MATCH(E1098, Unit_Paths!$A$2:$A$4, 0)),1)</f>
        <v>228.5</v>
      </c>
      <c r="I1098" s="6" t="n">
        <f aca="false">ROUND(INDEX(Archetypes!$F$2:$F$127, MATCH(D1098, Archetypes!$A$2:$A$127, 0))*INDEX(Unit_Grades!$B$2:$B$7, MATCH(F1098, Unit_Grades!$A$2:$A$7, 0))*INDEX(Unit_Paths!$C$2:$C$4, MATCH(E1098, Unit_Paths!$A$2:$A$4, 0)),1)</f>
        <v>160</v>
      </c>
      <c r="J1098" s="6" t="n">
        <f aca="false">ROUND(INDEX(Archetypes!$G$2:$G$127, MATCH(D1098, Archetypes!$A$2:$A$127, 0))*INDEX(Unit_Grades!$B$2:$B$7, MATCH(F1098, Unit_Grades!$A$2:$A$7, 0))*INDEX(Unit_Paths!$D$2:$D$4, MATCH(E1098, Unit_Paths!$A$2:$A$4, 0)),0)</f>
        <v>552</v>
      </c>
      <c r="K1098" s="6" t="n">
        <f aca="false">ROUND(INDEX(Archetypes!$H$2:$H$127, MATCH(D1098, Archetypes!$A$2:$A$127, 0))*INDEX(Unit_Paths!$E$2:$E$4, MATCH(E1098, Unit_Paths!$A$2:$A$4, 0)),1)</f>
        <v>18.4</v>
      </c>
      <c r="L1098" s="6" t="n">
        <f aca="false">ROUND(INDEX(Archetypes!$I$2:$I$127, MATCH(D1098, Archetypes!$A$2:$A$127, 0))*INDEX(Unit_Grades!$C$2:$C$7, MATCH(F1098, Unit_Grades!$A$2:$A$7, 0)),1)</f>
        <v>33.6</v>
      </c>
      <c r="M1098" s="6" t="n">
        <f aca="false">ROUND(INDEX(Archetypes!$J$2:$J$127, MATCH(D1098, Archetypes!$A$2:$A$127, 0))*INDEX(Unit_Grades!$D$2:$D$7, MATCH(F1098, Unit_Grades!$A$2:$A$7, 0)),1)</f>
        <v>34.1</v>
      </c>
      <c r="N1098" s="6" t="n">
        <f aca="false">ROUND(M1098/24,2)</f>
        <v>1.42</v>
      </c>
    </row>
    <row r="1099" customFormat="false" ht="15" hidden="false" customHeight="true" outlineLevel="0" collapsed="false">
      <c r="A1099" s="6" t="n">
        <v>4</v>
      </c>
      <c r="B1099" s="6" t="s">
        <v>2606</v>
      </c>
      <c r="C1099" s="6" t="s">
        <v>1389</v>
      </c>
      <c r="D1099" s="6" t="str">
        <f aca="false">A1099&amp;"|"&amp;C1099</f>
        <v>4|Paratrooper</v>
      </c>
      <c r="E1099" s="6" t="s">
        <v>1560</v>
      </c>
      <c r="F1099" s="6" t="s">
        <v>1548</v>
      </c>
      <c r="G1099" s="6" t="str">
        <f aca="false">INDEX(Archetypes!$D$2:$D$127, MATCH(D1099, Archetypes!$A$2:$A$127, 0))</f>
        <v>Shock Infantry</v>
      </c>
      <c r="H1099" s="6" t="n">
        <f aca="false">ROUND(INDEX(Archetypes!$E$2:$E$127, MATCH(D1099, Archetypes!$A$2:$A$127, 0))*INDEX(Unit_Grades!$B$2:$B$7, MATCH(F1099, Unit_Grades!$A$2:$A$7, 0))*INDEX(Unit_Paths!$B$2:$B$4, MATCH(E1099, Unit_Paths!$A$2:$A$4, 0)),1)</f>
        <v>299.9</v>
      </c>
      <c r="I1099" s="6" t="n">
        <f aca="false">ROUND(INDEX(Archetypes!$F$2:$F$127, MATCH(D1099, Archetypes!$A$2:$A$127, 0))*INDEX(Unit_Grades!$B$2:$B$7, MATCH(F1099, Unit_Grades!$A$2:$A$7, 0))*INDEX(Unit_Paths!$C$2:$C$4, MATCH(E1099, Unit_Paths!$A$2:$A$4, 0)),1)</f>
        <v>210</v>
      </c>
      <c r="J1099" s="6" t="n">
        <f aca="false">ROUND(INDEX(Archetypes!$G$2:$G$127, MATCH(D1099, Archetypes!$A$2:$A$127, 0))*INDEX(Unit_Grades!$B$2:$B$7, MATCH(F1099, Unit_Grades!$A$2:$A$7, 0))*INDEX(Unit_Paths!$D$2:$D$4, MATCH(E1099, Unit_Paths!$A$2:$A$4, 0)),0)</f>
        <v>725</v>
      </c>
      <c r="K1099" s="6" t="n">
        <f aca="false">ROUND(INDEX(Archetypes!$H$2:$H$127, MATCH(D1099, Archetypes!$A$2:$A$127, 0))*INDEX(Unit_Paths!$E$2:$E$4, MATCH(E1099, Unit_Paths!$A$2:$A$4, 0)),1)</f>
        <v>18.4</v>
      </c>
      <c r="L1099" s="6" t="n">
        <f aca="false">ROUND(INDEX(Archetypes!$I$2:$I$127, MATCH(D1099, Archetypes!$A$2:$A$127, 0))*INDEX(Unit_Grades!$C$2:$C$7, MATCH(F1099, Unit_Grades!$A$2:$A$7, 0)),1)</f>
        <v>44.4</v>
      </c>
      <c r="M1099" s="6" t="n">
        <f aca="false">ROUND(INDEX(Archetypes!$J$2:$J$127, MATCH(D1099, Archetypes!$A$2:$A$127, 0))*INDEX(Unit_Grades!$D$2:$D$7, MATCH(F1099, Unit_Grades!$A$2:$A$7, 0)),1)</f>
        <v>58.4</v>
      </c>
      <c r="N1099" s="6" t="n">
        <f aca="false">ROUND(M1099/24,2)</f>
        <v>2.43</v>
      </c>
    </row>
    <row r="1100" customFormat="false" ht="15" hidden="false" customHeight="true" outlineLevel="0" collapsed="false">
      <c r="A1100" s="6" t="n">
        <v>4</v>
      </c>
      <c r="B1100" s="6" t="s">
        <v>1391</v>
      </c>
      <c r="C1100" s="6" t="s">
        <v>1391</v>
      </c>
      <c r="D1100" s="6" t="str">
        <f aca="false">A1100&amp;"|"&amp;C1100</f>
        <v>4|Armored Car</v>
      </c>
      <c r="E1100" s="6" t="s">
        <v>1556</v>
      </c>
      <c r="F1100" s="6" t="s">
        <v>1538</v>
      </c>
      <c r="G1100" s="6" t="str">
        <f aca="false">INDEX(Archetypes!$D$2:$D$127, MATCH(D1100, Archetypes!$A$2:$A$127, 0))</f>
        <v>Recon</v>
      </c>
      <c r="H1100" s="6" t="n">
        <f aca="false">ROUND(INDEX(Archetypes!$E$2:$E$127, MATCH(D1100, Archetypes!$A$2:$A$127, 0))*INDEX(Unit_Grades!$B$2:$B$7, MATCH(F1100, Unit_Grades!$A$2:$A$7, 0))*INDEX(Unit_Paths!$B$2:$B$4, MATCH(E1100, Unit_Paths!$A$2:$A$4, 0)),1)</f>
        <v>66</v>
      </c>
      <c r="I1100" s="6" t="n">
        <f aca="false">ROUND(INDEX(Archetypes!$F$2:$F$127, MATCH(D1100, Archetypes!$A$2:$A$127, 0))*INDEX(Unit_Grades!$B$2:$B$7, MATCH(F1100, Unit_Grades!$A$2:$A$7, 0))*INDEX(Unit_Paths!$C$2:$C$4, MATCH(E1100, Unit_Paths!$A$2:$A$4, 0)),1)</f>
        <v>44</v>
      </c>
      <c r="J1100" s="6" t="n">
        <f aca="false">ROUND(INDEX(Archetypes!$G$2:$G$127, MATCH(D1100, Archetypes!$A$2:$A$127, 0))*INDEX(Unit_Grades!$B$2:$B$7, MATCH(F1100, Unit_Grades!$A$2:$A$7, 0))*INDEX(Unit_Paths!$D$2:$D$4, MATCH(E1100, Unit_Paths!$A$2:$A$4, 0)),0)</f>
        <v>180</v>
      </c>
      <c r="K1100" s="6" t="n">
        <f aca="false">ROUND(INDEX(Archetypes!$H$2:$H$127, MATCH(D1100, Archetypes!$A$2:$A$127, 0))*INDEX(Unit_Paths!$E$2:$E$4, MATCH(E1100, Unit_Paths!$A$2:$A$4, 0)),1)</f>
        <v>44</v>
      </c>
      <c r="L1100" s="6" t="n">
        <f aca="false">ROUND(INDEX(Archetypes!$I$2:$I$127, MATCH(D1100, Archetypes!$A$2:$A$127, 0))*INDEX(Unit_Grades!$C$2:$C$7, MATCH(F1100, Unit_Grades!$A$2:$A$7, 0)),1)</f>
        <v>11</v>
      </c>
      <c r="M1100" s="6" t="n">
        <f aca="false">ROUND(INDEX(Archetypes!$J$2:$J$127, MATCH(D1100, Archetypes!$A$2:$A$127, 0))*INDEX(Unit_Grades!$D$2:$D$7, MATCH(F1100, Unit_Grades!$A$2:$A$7, 0)),1)</f>
        <v>4.5</v>
      </c>
      <c r="N1100" s="6" t="n">
        <f aca="false">ROUND(M1100/24,2)</f>
        <v>0.19</v>
      </c>
    </row>
    <row r="1101" customFormat="false" ht="15" hidden="false" customHeight="true" outlineLevel="0" collapsed="false">
      <c r="A1101" s="6" t="n">
        <v>4</v>
      </c>
      <c r="B1101" s="6" t="s">
        <v>2607</v>
      </c>
      <c r="C1101" s="6" t="s">
        <v>1391</v>
      </c>
      <c r="D1101" s="6" t="str">
        <f aca="false">A1101&amp;"|"&amp;C1101</f>
        <v>4|Armored Car</v>
      </c>
      <c r="E1101" s="6" t="s">
        <v>1556</v>
      </c>
      <c r="F1101" s="6" t="s">
        <v>1540</v>
      </c>
      <c r="G1101" s="6" t="str">
        <f aca="false">INDEX(Archetypes!$D$2:$D$127, MATCH(D1101, Archetypes!$A$2:$A$127, 0))</f>
        <v>Recon</v>
      </c>
      <c r="H1101" s="6" t="n">
        <f aca="false">ROUND(INDEX(Archetypes!$E$2:$E$127, MATCH(D1101, Archetypes!$A$2:$A$127, 0))*INDEX(Unit_Grades!$B$2:$B$7, MATCH(F1101, Unit_Grades!$A$2:$A$7, 0))*INDEX(Unit_Paths!$B$2:$B$4, MATCH(E1101, Unit_Paths!$A$2:$A$4, 0)),1)</f>
        <v>89.1</v>
      </c>
      <c r="I1101" s="6" t="n">
        <f aca="false">ROUND(INDEX(Archetypes!$F$2:$F$127, MATCH(D1101, Archetypes!$A$2:$A$127, 0))*INDEX(Unit_Grades!$B$2:$B$7, MATCH(F1101, Unit_Grades!$A$2:$A$7, 0))*INDEX(Unit_Paths!$C$2:$C$4, MATCH(E1101, Unit_Paths!$A$2:$A$4, 0)),1)</f>
        <v>59.4</v>
      </c>
      <c r="J1101" s="6" t="n">
        <f aca="false">ROUND(INDEX(Archetypes!$G$2:$G$127, MATCH(D1101, Archetypes!$A$2:$A$127, 0))*INDEX(Unit_Grades!$B$2:$B$7, MATCH(F1101, Unit_Grades!$A$2:$A$7, 0))*INDEX(Unit_Paths!$D$2:$D$4, MATCH(E1101, Unit_Paths!$A$2:$A$4, 0)),0)</f>
        <v>243</v>
      </c>
      <c r="K1101" s="6" t="n">
        <f aca="false">ROUND(INDEX(Archetypes!$H$2:$H$127, MATCH(D1101, Archetypes!$A$2:$A$127, 0))*INDEX(Unit_Paths!$E$2:$E$4, MATCH(E1101, Unit_Paths!$A$2:$A$4, 0)),1)</f>
        <v>44</v>
      </c>
      <c r="L1101" s="6" t="n">
        <f aca="false">ROUND(INDEX(Archetypes!$I$2:$I$127, MATCH(D1101, Archetypes!$A$2:$A$127, 0))*INDEX(Unit_Grades!$C$2:$C$7, MATCH(F1101, Unit_Grades!$A$2:$A$7, 0)),1)</f>
        <v>13.8</v>
      </c>
      <c r="M1101" s="6" t="n">
        <f aca="false">ROUND(INDEX(Archetypes!$J$2:$J$127, MATCH(D1101, Archetypes!$A$2:$A$127, 0))*INDEX(Unit_Grades!$D$2:$D$7, MATCH(F1101, Unit_Grades!$A$2:$A$7, 0)),1)</f>
        <v>6.7</v>
      </c>
      <c r="N1101" s="6" t="n">
        <f aca="false">ROUND(M1101/24,2)</f>
        <v>0.28</v>
      </c>
    </row>
    <row r="1102" customFormat="false" ht="15" hidden="false" customHeight="true" outlineLevel="0" collapsed="false">
      <c r="A1102" s="6" t="n">
        <v>4</v>
      </c>
      <c r="B1102" s="6" t="s">
        <v>2608</v>
      </c>
      <c r="C1102" s="6" t="s">
        <v>1391</v>
      </c>
      <c r="D1102" s="6" t="str">
        <f aca="false">A1102&amp;"|"&amp;C1102</f>
        <v>4|Armored Car</v>
      </c>
      <c r="E1102" s="6" t="s">
        <v>1556</v>
      </c>
      <c r="F1102" s="6" t="s">
        <v>1542</v>
      </c>
      <c r="G1102" s="6" t="str">
        <f aca="false">INDEX(Archetypes!$D$2:$D$127, MATCH(D1102, Archetypes!$A$2:$A$127, 0))</f>
        <v>Recon</v>
      </c>
      <c r="H1102" s="6" t="n">
        <f aca="false">ROUND(INDEX(Archetypes!$E$2:$E$127, MATCH(D1102, Archetypes!$A$2:$A$127, 0))*INDEX(Unit_Grades!$B$2:$B$7, MATCH(F1102, Unit_Grades!$A$2:$A$7, 0))*INDEX(Unit_Paths!$B$2:$B$4, MATCH(E1102, Unit_Paths!$A$2:$A$4, 0)),1)</f>
        <v>118.8</v>
      </c>
      <c r="I1102" s="6" t="n">
        <f aca="false">ROUND(INDEX(Archetypes!$F$2:$F$127, MATCH(D1102, Archetypes!$A$2:$A$127, 0))*INDEX(Unit_Grades!$B$2:$B$7, MATCH(F1102, Unit_Grades!$A$2:$A$7, 0))*INDEX(Unit_Paths!$C$2:$C$4, MATCH(E1102, Unit_Paths!$A$2:$A$4, 0)),1)</f>
        <v>79.2</v>
      </c>
      <c r="J1102" s="6" t="n">
        <f aca="false">ROUND(INDEX(Archetypes!$G$2:$G$127, MATCH(D1102, Archetypes!$A$2:$A$127, 0))*INDEX(Unit_Grades!$B$2:$B$7, MATCH(F1102, Unit_Grades!$A$2:$A$7, 0))*INDEX(Unit_Paths!$D$2:$D$4, MATCH(E1102, Unit_Paths!$A$2:$A$4, 0)),0)</f>
        <v>324</v>
      </c>
      <c r="K1102" s="6" t="n">
        <f aca="false">ROUND(INDEX(Archetypes!$H$2:$H$127, MATCH(D1102, Archetypes!$A$2:$A$127, 0))*INDEX(Unit_Paths!$E$2:$E$4, MATCH(E1102, Unit_Paths!$A$2:$A$4, 0)),1)</f>
        <v>44</v>
      </c>
      <c r="L1102" s="6" t="n">
        <f aca="false">ROUND(INDEX(Archetypes!$I$2:$I$127, MATCH(D1102, Archetypes!$A$2:$A$127, 0))*INDEX(Unit_Grades!$C$2:$C$7, MATCH(F1102, Unit_Grades!$A$2:$A$7, 0)),1)</f>
        <v>17.6</v>
      </c>
      <c r="M1102" s="6" t="n">
        <f aca="false">ROUND(INDEX(Archetypes!$J$2:$J$127, MATCH(D1102, Archetypes!$A$2:$A$127, 0))*INDEX(Unit_Grades!$D$2:$D$7, MATCH(F1102, Unit_Grades!$A$2:$A$7, 0)),1)</f>
        <v>11.2</v>
      </c>
      <c r="N1102" s="6" t="n">
        <f aca="false">ROUND(M1102/24,2)</f>
        <v>0.47</v>
      </c>
    </row>
    <row r="1103" customFormat="false" ht="15" hidden="false" customHeight="true" outlineLevel="0" collapsed="false">
      <c r="A1103" s="6" t="n">
        <v>4</v>
      </c>
      <c r="B1103" s="6" t="s">
        <v>2609</v>
      </c>
      <c r="C1103" s="6" t="s">
        <v>1391</v>
      </c>
      <c r="D1103" s="6" t="str">
        <f aca="false">A1103&amp;"|"&amp;C1103</f>
        <v>4|Armored Car</v>
      </c>
      <c r="E1103" s="6" t="s">
        <v>1556</v>
      </c>
      <c r="F1103" s="6" t="s">
        <v>1544</v>
      </c>
      <c r="G1103" s="6" t="str">
        <f aca="false">INDEX(Archetypes!$D$2:$D$127, MATCH(D1103, Archetypes!$A$2:$A$127, 0))</f>
        <v>Recon</v>
      </c>
      <c r="H1103" s="6" t="n">
        <f aca="false">ROUND(INDEX(Archetypes!$E$2:$E$127, MATCH(D1103, Archetypes!$A$2:$A$127, 0))*INDEX(Unit_Grades!$B$2:$B$7, MATCH(F1103, Unit_Grades!$A$2:$A$7, 0))*INDEX(Unit_Paths!$B$2:$B$4, MATCH(E1103, Unit_Paths!$A$2:$A$4, 0)),1)</f>
        <v>158.4</v>
      </c>
      <c r="I1103" s="6" t="n">
        <f aca="false">ROUND(INDEX(Archetypes!$F$2:$F$127, MATCH(D1103, Archetypes!$A$2:$A$127, 0))*INDEX(Unit_Grades!$B$2:$B$7, MATCH(F1103, Unit_Grades!$A$2:$A$7, 0))*INDEX(Unit_Paths!$C$2:$C$4, MATCH(E1103, Unit_Paths!$A$2:$A$4, 0)),1)</f>
        <v>105.6</v>
      </c>
      <c r="J1103" s="6" t="n">
        <f aca="false">ROUND(INDEX(Archetypes!$G$2:$G$127, MATCH(D1103, Archetypes!$A$2:$A$127, 0))*INDEX(Unit_Grades!$B$2:$B$7, MATCH(F1103, Unit_Grades!$A$2:$A$7, 0))*INDEX(Unit_Paths!$D$2:$D$4, MATCH(E1103, Unit_Paths!$A$2:$A$4, 0)),0)</f>
        <v>432</v>
      </c>
      <c r="K1103" s="6" t="n">
        <f aca="false">ROUND(INDEX(Archetypes!$H$2:$H$127, MATCH(D1103, Archetypes!$A$2:$A$127, 0))*INDEX(Unit_Paths!$E$2:$E$4, MATCH(E1103, Unit_Paths!$A$2:$A$4, 0)),1)</f>
        <v>44</v>
      </c>
      <c r="L1103" s="6" t="n">
        <f aca="false">ROUND(INDEX(Archetypes!$I$2:$I$127, MATCH(D1103, Archetypes!$A$2:$A$127, 0))*INDEX(Unit_Grades!$C$2:$C$7, MATCH(F1103, Unit_Grades!$A$2:$A$7, 0)),1)</f>
        <v>23.1</v>
      </c>
      <c r="M1103" s="6" t="n">
        <f aca="false">ROUND(INDEX(Archetypes!$J$2:$J$127, MATCH(D1103, Archetypes!$A$2:$A$127, 0))*INDEX(Unit_Grades!$D$2:$D$7, MATCH(F1103, Unit_Grades!$A$2:$A$7, 0)),1)</f>
        <v>17.8</v>
      </c>
      <c r="N1103" s="6" t="n">
        <f aca="false">ROUND(M1103/24,2)</f>
        <v>0.74</v>
      </c>
    </row>
    <row r="1104" customFormat="false" ht="15" hidden="false" customHeight="true" outlineLevel="0" collapsed="false">
      <c r="A1104" s="6" t="n">
        <v>4</v>
      </c>
      <c r="B1104" s="6" t="s">
        <v>2610</v>
      </c>
      <c r="C1104" s="6" t="s">
        <v>1391</v>
      </c>
      <c r="D1104" s="6" t="str">
        <f aca="false">A1104&amp;"|"&amp;C1104</f>
        <v>4|Armored Car</v>
      </c>
      <c r="E1104" s="6" t="s">
        <v>1556</v>
      </c>
      <c r="F1104" s="6" t="s">
        <v>1546</v>
      </c>
      <c r="G1104" s="6" t="str">
        <f aca="false">INDEX(Archetypes!$D$2:$D$127, MATCH(D1104, Archetypes!$A$2:$A$127, 0))</f>
        <v>Recon</v>
      </c>
      <c r="H1104" s="6" t="n">
        <f aca="false">ROUND(INDEX(Archetypes!$E$2:$E$127, MATCH(D1104, Archetypes!$A$2:$A$127, 0))*INDEX(Unit_Grades!$B$2:$B$7, MATCH(F1104, Unit_Grades!$A$2:$A$7, 0))*INDEX(Unit_Paths!$B$2:$B$4, MATCH(E1104, Unit_Paths!$A$2:$A$4, 0)),1)</f>
        <v>211.2</v>
      </c>
      <c r="I1104" s="6" t="n">
        <f aca="false">ROUND(INDEX(Archetypes!$F$2:$F$127, MATCH(D1104, Archetypes!$A$2:$A$127, 0))*INDEX(Unit_Grades!$B$2:$B$7, MATCH(F1104, Unit_Grades!$A$2:$A$7, 0))*INDEX(Unit_Paths!$C$2:$C$4, MATCH(E1104, Unit_Paths!$A$2:$A$4, 0)),1)</f>
        <v>140.8</v>
      </c>
      <c r="J1104" s="6" t="n">
        <f aca="false">ROUND(INDEX(Archetypes!$G$2:$G$127, MATCH(D1104, Archetypes!$A$2:$A$127, 0))*INDEX(Unit_Grades!$B$2:$B$7, MATCH(F1104, Unit_Grades!$A$2:$A$7, 0))*INDEX(Unit_Paths!$D$2:$D$4, MATCH(E1104, Unit_Paths!$A$2:$A$4, 0)),0)</f>
        <v>576</v>
      </c>
      <c r="K1104" s="6" t="n">
        <f aca="false">ROUND(INDEX(Archetypes!$H$2:$H$127, MATCH(D1104, Archetypes!$A$2:$A$127, 0))*INDEX(Unit_Paths!$E$2:$E$4, MATCH(E1104, Unit_Paths!$A$2:$A$4, 0)),1)</f>
        <v>44</v>
      </c>
      <c r="L1104" s="6" t="n">
        <f aca="false">ROUND(INDEX(Archetypes!$I$2:$I$127, MATCH(D1104, Archetypes!$A$2:$A$127, 0))*INDEX(Unit_Grades!$C$2:$C$7, MATCH(F1104, Unit_Grades!$A$2:$A$7, 0)),1)</f>
        <v>30.8</v>
      </c>
      <c r="M1104" s="6" t="n">
        <f aca="false">ROUND(INDEX(Archetypes!$J$2:$J$127, MATCH(D1104, Archetypes!$A$2:$A$127, 0))*INDEX(Unit_Grades!$D$2:$D$7, MATCH(F1104, Unit_Grades!$A$2:$A$7, 0)),1)</f>
        <v>31.2</v>
      </c>
      <c r="N1104" s="6" t="n">
        <f aca="false">ROUND(M1104/24,2)</f>
        <v>1.3</v>
      </c>
    </row>
    <row r="1105" customFormat="false" ht="15" hidden="false" customHeight="true" outlineLevel="0" collapsed="false">
      <c r="A1105" s="6" t="n">
        <v>4</v>
      </c>
      <c r="B1105" s="6" t="s">
        <v>2611</v>
      </c>
      <c r="C1105" s="6" t="s">
        <v>1391</v>
      </c>
      <c r="D1105" s="6" t="str">
        <f aca="false">A1105&amp;"|"&amp;C1105</f>
        <v>4|Armored Car</v>
      </c>
      <c r="E1105" s="6" t="s">
        <v>1556</v>
      </c>
      <c r="F1105" s="6" t="s">
        <v>1548</v>
      </c>
      <c r="G1105" s="6" t="str">
        <f aca="false">INDEX(Archetypes!$D$2:$D$127, MATCH(D1105, Archetypes!$A$2:$A$127, 0))</f>
        <v>Recon</v>
      </c>
      <c r="H1105" s="6" t="n">
        <f aca="false">ROUND(INDEX(Archetypes!$E$2:$E$127, MATCH(D1105, Archetypes!$A$2:$A$127, 0))*INDEX(Unit_Grades!$B$2:$B$7, MATCH(F1105, Unit_Grades!$A$2:$A$7, 0))*INDEX(Unit_Paths!$B$2:$B$4, MATCH(E1105, Unit_Paths!$A$2:$A$4, 0)),1)</f>
        <v>277.2</v>
      </c>
      <c r="I1105" s="6" t="n">
        <f aca="false">ROUND(INDEX(Archetypes!$F$2:$F$127, MATCH(D1105, Archetypes!$A$2:$A$127, 0))*INDEX(Unit_Grades!$B$2:$B$7, MATCH(F1105, Unit_Grades!$A$2:$A$7, 0))*INDEX(Unit_Paths!$C$2:$C$4, MATCH(E1105, Unit_Paths!$A$2:$A$4, 0)),1)</f>
        <v>184.8</v>
      </c>
      <c r="J1105" s="6" t="n">
        <f aca="false">ROUND(INDEX(Archetypes!$G$2:$G$127, MATCH(D1105, Archetypes!$A$2:$A$127, 0))*INDEX(Unit_Grades!$B$2:$B$7, MATCH(F1105, Unit_Grades!$A$2:$A$7, 0))*INDEX(Unit_Paths!$D$2:$D$4, MATCH(E1105, Unit_Paths!$A$2:$A$4, 0)),0)</f>
        <v>756</v>
      </c>
      <c r="K1105" s="6" t="n">
        <f aca="false">ROUND(INDEX(Archetypes!$H$2:$H$127, MATCH(D1105, Archetypes!$A$2:$A$127, 0))*INDEX(Unit_Paths!$E$2:$E$4, MATCH(E1105, Unit_Paths!$A$2:$A$4, 0)),1)</f>
        <v>44</v>
      </c>
      <c r="L1105" s="6" t="n">
        <f aca="false">ROUND(INDEX(Archetypes!$I$2:$I$127, MATCH(D1105, Archetypes!$A$2:$A$127, 0))*INDEX(Unit_Grades!$C$2:$C$7, MATCH(F1105, Unit_Grades!$A$2:$A$7, 0)),1)</f>
        <v>40.7</v>
      </c>
      <c r="M1105" s="6" t="n">
        <f aca="false">ROUND(INDEX(Archetypes!$J$2:$J$127, MATCH(D1105, Archetypes!$A$2:$A$127, 0))*INDEX(Unit_Grades!$D$2:$D$7, MATCH(F1105, Unit_Grades!$A$2:$A$7, 0)),1)</f>
        <v>53.5</v>
      </c>
      <c r="N1105" s="6" t="n">
        <f aca="false">ROUND(M1105/24,2)</f>
        <v>2.23</v>
      </c>
    </row>
    <row r="1106" customFormat="false" ht="15" hidden="false" customHeight="true" outlineLevel="0" collapsed="false">
      <c r="A1106" s="6" t="n">
        <v>4</v>
      </c>
      <c r="B1106" s="6" t="s">
        <v>2612</v>
      </c>
      <c r="C1106" s="6" t="s">
        <v>1391</v>
      </c>
      <c r="D1106" s="6" t="str">
        <f aca="false">A1106&amp;"|"&amp;C1106</f>
        <v>4|Armored Car</v>
      </c>
      <c r="E1106" s="6" t="s">
        <v>1558</v>
      </c>
      <c r="F1106" s="6" t="s">
        <v>1538</v>
      </c>
      <c r="G1106" s="6" t="str">
        <f aca="false">INDEX(Archetypes!$D$2:$D$127, MATCH(D1106, Archetypes!$A$2:$A$127, 0))</f>
        <v>Recon</v>
      </c>
      <c r="H1106" s="6" t="n">
        <f aca="false">ROUND(INDEX(Archetypes!$E$2:$E$127, MATCH(D1106, Archetypes!$A$2:$A$127, 0))*INDEX(Unit_Grades!$B$2:$B$7, MATCH(F1106, Unit_Grades!$A$2:$A$7, 0))*INDEX(Unit_Paths!$B$2:$B$4, MATCH(E1106, Unit_Paths!$A$2:$A$4, 0)),1)</f>
        <v>79.2</v>
      </c>
      <c r="I1106" s="6" t="n">
        <f aca="false">ROUND(INDEX(Archetypes!$F$2:$F$127, MATCH(D1106, Archetypes!$A$2:$A$127, 0))*INDEX(Unit_Grades!$B$2:$B$7, MATCH(F1106, Unit_Grades!$A$2:$A$7, 0))*INDEX(Unit_Paths!$C$2:$C$4, MATCH(E1106, Unit_Paths!$A$2:$A$4, 0)),1)</f>
        <v>37.4</v>
      </c>
      <c r="J1106" s="6" t="n">
        <f aca="false">ROUND(INDEX(Archetypes!$G$2:$G$127, MATCH(D1106, Archetypes!$A$2:$A$127, 0))*INDEX(Unit_Grades!$B$2:$B$7, MATCH(F1106, Unit_Grades!$A$2:$A$7, 0))*INDEX(Unit_Paths!$D$2:$D$4, MATCH(E1106, Unit_Paths!$A$2:$A$4, 0)),0)</f>
        <v>171</v>
      </c>
      <c r="K1106" s="6" t="n">
        <f aca="false">ROUND(INDEX(Archetypes!$H$2:$H$127, MATCH(D1106, Archetypes!$A$2:$A$127, 0))*INDEX(Unit_Paths!$E$2:$E$4, MATCH(E1106, Unit_Paths!$A$2:$A$4, 0)),1)</f>
        <v>46.2</v>
      </c>
      <c r="L1106" s="6" t="n">
        <f aca="false">ROUND(INDEX(Archetypes!$I$2:$I$127, MATCH(D1106, Archetypes!$A$2:$A$127, 0))*INDEX(Unit_Grades!$C$2:$C$7, MATCH(F1106, Unit_Grades!$A$2:$A$7, 0)),1)</f>
        <v>11</v>
      </c>
      <c r="M1106" s="6" t="n">
        <f aca="false">ROUND(INDEX(Archetypes!$J$2:$J$127, MATCH(D1106, Archetypes!$A$2:$A$127, 0))*INDEX(Unit_Grades!$D$2:$D$7, MATCH(F1106, Unit_Grades!$A$2:$A$7, 0)),1)</f>
        <v>4.5</v>
      </c>
      <c r="N1106" s="6" t="n">
        <f aca="false">ROUND(M1106/24,2)</f>
        <v>0.19</v>
      </c>
    </row>
    <row r="1107" customFormat="false" ht="15" hidden="false" customHeight="true" outlineLevel="0" collapsed="false">
      <c r="A1107" s="6" t="n">
        <v>4</v>
      </c>
      <c r="B1107" s="6" t="s">
        <v>2613</v>
      </c>
      <c r="C1107" s="6" t="s">
        <v>1391</v>
      </c>
      <c r="D1107" s="6" t="str">
        <f aca="false">A1107&amp;"|"&amp;C1107</f>
        <v>4|Armored Car</v>
      </c>
      <c r="E1107" s="6" t="s">
        <v>1558</v>
      </c>
      <c r="F1107" s="6" t="s">
        <v>1540</v>
      </c>
      <c r="G1107" s="6" t="str">
        <f aca="false">INDEX(Archetypes!$D$2:$D$127, MATCH(D1107, Archetypes!$A$2:$A$127, 0))</f>
        <v>Recon</v>
      </c>
      <c r="H1107" s="6" t="n">
        <f aca="false">ROUND(INDEX(Archetypes!$E$2:$E$127, MATCH(D1107, Archetypes!$A$2:$A$127, 0))*INDEX(Unit_Grades!$B$2:$B$7, MATCH(F1107, Unit_Grades!$A$2:$A$7, 0))*INDEX(Unit_Paths!$B$2:$B$4, MATCH(E1107, Unit_Paths!$A$2:$A$4, 0)),1)</f>
        <v>106.9</v>
      </c>
      <c r="I1107" s="6" t="n">
        <f aca="false">ROUND(INDEX(Archetypes!$F$2:$F$127, MATCH(D1107, Archetypes!$A$2:$A$127, 0))*INDEX(Unit_Grades!$B$2:$B$7, MATCH(F1107, Unit_Grades!$A$2:$A$7, 0))*INDEX(Unit_Paths!$C$2:$C$4, MATCH(E1107, Unit_Paths!$A$2:$A$4, 0)),1)</f>
        <v>50.5</v>
      </c>
      <c r="J1107" s="6" t="n">
        <f aca="false">ROUND(INDEX(Archetypes!$G$2:$G$127, MATCH(D1107, Archetypes!$A$2:$A$127, 0))*INDEX(Unit_Grades!$B$2:$B$7, MATCH(F1107, Unit_Grades!$A$2:$A$7, 0))*INDEX(Unit_Paths!$D$2:$D$4, MATCH(E1107, Unit_Paths!$A$2:$A$4, 0)),0)</f>
        <v>231</v>
      </c>
      <c r="K1107" s="6" t="n">
        <f aca="false">ROUND(INDEX(Archetypes!$H$2:$H$127, MATCH(D1107, Archetypes!$A$2:$A$127, 0))*INDEX(Unit_Paths!$E$2:$E$4, MATCH(E1107, Unit_Paths!$A$2:$A$4, 0)),1)</f>
        <v>46.2</v>
      </c>
      <c r="L1107" s="6" t="n">
        <f aca="false">ROUND(INDEX(Archetypes!$I$2:$I$127, MATCH(D1107, Archetypes!$A$2:$A$127, 0))*INDEX(Unit_Grades!$C$2:$C$7, MATCH(F1107, Unit_Grades!$A$2:$A$7, 0)),1)</f>
        <v>13.8</v>
      </c>
      <c r="M1107" s="6" t="n">
        <f aca="false">ROUND(INDEX(Archetypes!$J$2:$J$127, MATCH(D1107, Archetypes!$A$2:$A$127, 0))*INDEX(Unit_Grades!$D$2:$D$7, MATCH(F1107, Unit_Grades!$A$2:$A$7, 0)),1)</f>
        <v>6.7</v>
      </c>
      <c r="N1107" s="6" t="n">
        <f aca="false">ROUND(M1107/24,2)</f>
        <v>0.28</v>
      </c>
    </row>
    <row r="1108" customFormat="false" ht="15" hidden="false" customHeight="true" outlineLevel="0" collapsed="false">
      <c r="A1108" s="6" t="n">
        <v>4</v>
      </c>
      <c r="B1108" s="6" t="s">
        <v>2614</v>
      </c>
      <c r="C1108" s="6" t="s">
        <v>1391</v>
      </c>
      <c r="D1108" s="6" t="str">
        <f aca="false">A1108&amp;"|"&amp;C1108</f>
        <v>4|Armored Car</v>
      </c>
      <c r="E1108" s="6" t="s">
        <v>1558</v>
      </c>
      <c r="F1108" s="6" t="s">
        <v>1542</v>
      </c>
      <c r="G1108" s="6" t="str">
        <f aca="false">INDEX(Archetypes!$D$2:$D$127, MATCH(D1108, Archetypes!$A$2:$A$127, 0))</f>
        <v>Recon</v>
      </c>
      <c r="H1108" s="6" t="n">
        <f aca="false">ROUND(INDEX(Archetypes!$E$2:$E$127, MATCH(D1108, Archetypes!$A$2:$A$127, 0))*INDEX(Unit_Grades!$B$2:$B$7, MATCH(F1108, Unit_Grades!$A$2:$A$7, 0))*INDEX(Unit_Paths!$B$2:$B$4, MATCH(E1108, Unit_Paths!$A$2:$A$4, 0)),1)</f>
        <v>142.6</v>
      </c>
      <c r="I1108" s="6" t="n">
        <f aca="false">ROUND(INDEX(Archetypes!$F$2:$F$127, MATCH(D1108, Archetypes!$A$2:$A$127, 0))*INDEX(Unit_Grades!$B$2:$B$7, MATCH(F1108, Unit_Grades!$A$2:$A$7, 0))*INDEX(Unit_Paths!$C$2:$C$4, MATCH(E1108, Unit_Paths!$A$2:$A$4, 0)),1)</f>
        <v>67.3</v>
      </c>
      <c r="J1108" s="6" t="n">
        <f aca="false">ROUND(INDEX(Archetypes!$G$2:$G$127, MATCH(D1108, Archetypes!$A$2:$A$127, 0))*INDEX(Unit_Grades!$B$2:$B$7, MATCH(F1108, Unit_Grades!$A$2:$A$7, 0))*INDEX(Unit_Paths!$D$2:$D$4, MATCH(E1108, Unit_Paths!$A$2:$A$4, 0)),0)</f>
        <v>308</v>
      </c>
      <c r="K1108" s="6" t="n">
        <f aca="false">ROUND(INDEX(Archetypes!$H$2:$H$127, MATCH(D1108, Archetypes!$A$2:$A$127, 0))*INDEX(Unit_Paths!$E$2:$E$4, MATCH(E1108, Unit_Paths!$A$2:$A$4, 0)),1)</f>
        <v>46.2</v>
      </c>
      <c r="L1108" s="6" t="n">
        <f aca="false">ROUND(INDEX(Archetypes!$I$2:$I$127, MATCH(D1108, Archetypes!$A$2:$A$127, 0))*INDEX(Unit_Grades!$C$2:$C$7, MATCH(F1108, Unit_Grades!$A$2:$A$7, 0)),1)</f>
        <v>17.6</v>
      </c>
      <c r="M1108" s="6" t="n">
        <f aca="false">ROUND(INDEX(Archetypes!$J$2:$J$127, MATCH(D1108, Archetypes!$A$2:$A$127, 0))*INDEX(Unit_Grades!$D$2:$D$7, MATCH(F1108, Unit_Grades!$A$2:$A$7, 0)),1)</f>
        <v>11.2</v>
      </c>
      <c r="N1108" s="6" t="n">
        <f aca="false">ROUND(M1108/24,2)</f>
        <v>0.47</v>
      </c>
    </row>
    <row r="1109" customFormat="false" ht="15" hidden="false" customHeight="true" outlineLevel="0" collapsed="false">
      <c r="A1109" s="6" t="n">
        <v>4</v>
      </c>
      <c r="B1109" s="6" t="s">
        <v>2615</v>
      </c>
      <c r="C1109" s="6" t="s">
        <v>1391</v>
      </c>
      <c r="D1109" s="6" t="str">
        <f aca="false">A1109&amp;"|"&amp;C1109</f>
        <v>4|Armored Car</v>
      </c>
      <c r="E1109" s="6" t="s">
        <v>1558</v>
      </c>
      <c r="F1109" s="6" t="s">
        <v>1544</v>
      </c>
      <c r="G1109" s="6" t="str">
        <f aca="false">INDEX(Archetypes!$D$2:$D$127, MATCH(D1109, Archetypes!$A$2:$A$127, 0))</f>
        <v>Recon</v>
      </c>
      <c r="H1109" s="6" t="n">
        <f aca="false">ROUND(INDEX(Archetypes!$E$2:$E$127, MATCH(D1109, Archetypes!$A$2:$A$127, 0))*INDEX(Unit_Grades!$B$2:$B$7, MATCH(F1109, Unit_Grades!$A$2:$A$7, 0))*INDEX(Unit_Paths!$B$2:$B$4, MATCH(E1109, Unit_Paths!$A$2:$A$4, 0)),1)</f>
        <v>190.1</v>
      </c>
      <c r="I1109" s="6" t="n">
        <f aca="false">ROUND(INDEX(Archetypes!$F$2:$F$127, MATCH(D1109, Archetypes!$A$2:$A$127, 0))*INDEX(Unit_Grades!$B$2:$B$7, MATCH(F1109, Unit_Grades!$A$2:$A$7, 0))*INDEX(Unit_Paths!$C$2:$C$4, MATCH(E1109, Unit_Paths!$A$2:$A$4, 0)),1)</f>
        <v>89.8</v>
      </c>
      <c r="J1109" s="6" t="n">
        <f aca="false">ROUND(INDEX(Archetypes!$G$2:$G$127, MATCH(D1109, Archetypes!$A$2:$A$127, 0))*INDEX(Unit_Grades!$B$2:$B$7, MATCH(F1109, Unit_Grades!$A$2:$A$7, 0))*INDEX(Unit_Paths!$D$2:$D$4, MATCH(E1109, Unit_Paths!$A$2:$A$4, 0)),0)</f>
        <v>410</v>
      </c>
      <c r="K1109" s="6" t="n">
        <f aca="false">ROUND(INDEX(Archetypes!$H$2:$H$127, MATCH(D1109, Archetypes!$A$2:$A$127, 0))*INDEX(Unit_Paths!$E$2:$E$4, MATCH(E1109, Unit_Paths!$A$2:$A$4, 0)),1)</f>
        <v>46.2</v>
      </c>
      <c r="L1109" s="6" t="n">
        <f aca="false">ROUND(INDEX(Archetypes!$I$2:$I$127, MATCH(D1109, Archetypes!$A$2:$A$127, 0))*INDEX(Unit_Grades!$C$2:$C$7, MATCH(F1109, Unit_Grades!$A$2:$A$7, 0)),1)</f>
        <v>23.1</v>
      </c>
      <c r="M1109" s="6" t="n">
        <f aca="false">ROUND(INDEX(Archetypes!$J$2:$J$127, MATCH(D1109, Archetypes!$A$2:$A$127, 0))*INDEX(Unit_Grades!$D$2:$D$7, MATCH(F1109, Unit_Grades!$A$2:$A$7, 0)),1)</f>
        <v>17.8</v>
      </c>
      <c r="N1109" s="6" t="n">
        <f aca="false">ROUND(M1109/24,2)</f>
        <v>0.74</v>
      </c>
    </row>
    <row r="1110" customFormat="false" ht="15" hidden="false" customHeight="true" outlineLevel="0" collapsed="false">
      <c r="A1110" s="6" t="n">
        <v>4</v>
      </c>
      <c r="B1110" s="6" t="s">
        <v>2616</v>
      </c>
      <c r="C1110" s="6" t="s">
        <v>1391</v>
      </c>
      <c r="D1110" s="6" t="str">
        <f aca="false">A1110&amp;"|"&amp;C1110</f>
        <v>4|Armored Car</v>
      </c>
      <c r="E1110" s="6" t="s">
        <v>1558</v>
      </c>
      <c r="F1110" s="6" t="s">
        <v>1546</v>
      </c>
      <c r="G1110" s="6" t="str">
        <f aca="false">INDEX(Archetypes!$D$2:$D$127, MATCH(D1110, Archetypes!$A$2:$A$127, 0))</f>
        <v>Recon</v>
      </c>
      <c r="H1110" s="6" t="n">
        <f aca="false">ROUND(INDEX(Archetypes!$E$2:$E$127, MATCH(D1110, Archetypes!$A$2:$A$127, 0))*INDEX(Unit_Grades!$B$2:$B$7, MATCH(F1110, Unit_Grades!$A$2:$A$7, 0))*INDEX(Unit_Paths!$B$2:$B$4, MATCH(E1110, Unit_Paths!$A$2:$A$4, 0)),1)</f>
        <v>253.4</v>
      </c>
      <c r="I1110" s="6" t="n">
        <f aca="false">ROUND(INDEX(Archetypes!$F$2:$F$127, MATCH(D1110, Archetypes!$A$2:$A$127, 0))*INDEX(Unit_Grades!$B$2:$B$7, MATCH(F1110, Unit_Grades!$A$2:$A$7, 0))*INDEX(Unit_Paths!$C$2:$C$4, MATCH(E1110, Unit_Paths!$A$2:$A$4, 0)),1)</f>
        <v>119.7</v>
      </c>
      <c r="J1110" s="6" t="n">
        <f aca="false">ROUND(INDEX(Archetypes!$G$2:$G$127, MATCH(D1110, Archetypes!$A$2:$A$127, 0))*INDEX(Unit_Grades!$B$2:$B$7, MATCH(F1110, Unit_Grades!$A$2:$A$7, 0))*INDEX(Unit_Paths!$D$2:$D$4, MATCH(E1110, Unit_Paths!$A$2:$A$4, 0)),0)</f>
        <v>547</v>
      </c>
      <c r="K1110" s="6" t="n">
        <f aca="false">ROUND(INDEX(Archetypes!$H$2:$H$127, MATCH(D1110, Archetypes!$A$2:$A$127, 0))*INDEX(Unit_Paths!$E$2:$E$4, MATCH(E1110, Unit_Paths!$A$2:$A$4, 0)),1)</f>
        <v>46.2</v>
      </c>
      <c r="L1110" s="6" t="n">
        <f aca="false">ROUND(INDEX(Archetypes!$I$2:$I$127, MATCH(D1110, Archetypes!$A$2:$A$127, 0))*INDEX(Unit_Grades!$C$2:$C$7, MATCH(F1110, Unit_Grades!$A$2:$A$7, 0)),1)</f>
        <v>30.8</v>
      </c>
      <c r="M1110" s="6" t="n">
        <f aca="false">ROUND(INDEX(Archetypes!$J$2:$J$127, MATCH(D1110, Archetypes!$A$2:$A$127, 0))*INDEX(Unit_Grades!$D$2:$D$7, MATCH(F1110, Unit_Grades!$A$2:$A$7, 0)),1)</f>
        <v>31.2</v>
      </c>
      <c r="N1110" s="6" t="n">
        <f aca="false">ROUND(M1110/24,2)</f>
        <v>1.3</v>
      </c>
    </row>
    <row r="1111" customFormat="false" ht="15" hidden="false" customHeight="true" outlineLevel="0" collapsed="false">
      <c r="A1111" s="6" t="n">
        <v>4</v>
      </c>
      <c r="B1111" s="6" t="s">
        <v>2617</v>
      </c>
      <c r="C1111" s="6" t="s">
        <v>1391</v>
      </c>
      <c r="D1111" s="6" t="str">
        <f aca="false">A1111&amp;"|"&amp;C1111</f>
        <v>4|Armored Car</v>
      </c>
      <c r="E1111" s="6" t="s">
        <v>1558</v>
      </c>
      <c r="F1111" s="6" t="s">
        <v>1548</v>
      </c>
      <c r="G1111" s="6" t="str">
        <f aca="false">INDEX(Archetypes!$D$2:$D$127, MATCH(D1111, Archetypes!$A$2:$A$127, 0))</f>
        <v>Recon</v>
      </c>
      <c r="H1111" s="6" t="n">
        <f aca="false">ROUND(INDEX(Archetypes!$E$2:$E$127, MATCH(D1111, Archetypes!$A$2:$A$127, 0))*INDEX(Unit_Grades!$B$2:$B$7, MATCH(F1111, Unit_Grades!$A$2:$A$7, 0))*INDEX(Unit_Paths!$B$2:$B$4, MATCH(E1111, Unit_Paths!$A$2:$A$4, 0)),1)</f>
        <v>332.6</v>
      </c>
      <c r="I1111" s="6" t="n">
        <f aca="false">ROUND(INDEX(Archetypes!$F$2:$F$127, MATCH(D1111, Archetypes!$A$2:$A$127, 0))*INDEX(Unit_Grades!$B$2:$B$7, MATCH(F1111, Unit_Grades!$A$2:$A$7, 0))*INDEX(Unit_Paths!$C$2:$C$4, MATCH(E1111, Unit_Paths!$A$2:$A$4, 0)),1)</f>
        <v>157.1</v>
      </c>
      <c r="J1111" s="6" t="n">
        <f aca="false">ROUND(INDEX(Archetypes!$G$2:$G$127, MATCH(D1111, Archetypes!$A$2:$A$127, 0))*INDEX(Unit_Grades!$B$2:$B$7, MATCH(F1111, Unit_Grades!$A$2:$A$7, 0))*INDEX(Unit_Paths!$D$2:$D$4, MATCH(E1111, Unit_Paths!$A$2:$A$4, 0)),0)</f>
        <v>718</v>
      </c>
      <c r="K1111" s="6" t="n">
        <f aca="false">ROUND(INDEX(Archetypes!$H$2:$H$127, MATCH(D1111, Archetypes!$A$2:$A$127, 0))*INDEX(Unit_Paths!$E$2:$E$4, MATCH(E1111, Unit_Paths!$A$2:$A$4, 0)),1)</f>
        <v>46.2</v>
      </c>
      <c r="L1111" s="6" t="n">
        <f aca="false">ROUND(INDEX(Archetypes!$I$2:$I$127, MATCH(D1111, Archetypes!$A$2:$A$127, 0))*INDEX(Unit_Grades!$C$2:$C$7, MATCH(F1111, Unit_Grades!$A$2:$A$7, 0)),1)</f>
        <v>40.7</v>
      </c>
      <c r="M1111" s="6" t="n">
        <f aca="false">ROUND(INDEX(Archetypes!$J$2:$J$127, MATCH(D1111, Archetypes!$A$2:$A$127, 0))*INDEX(Unit_Grades!$D$2:$D$7, MATCH(F1111, Unit_Grades!$A$2:$A$7, 0)),1)</f>
        <v>53.5</v>
      </c>
      <c r="N1111" s="6" t="n">
        <f aca="false">ROUND(M1111/24,2)</f>
        <v>2.23</v>
      </c>
    </row>
    <row r="1112" customFormat="false" ht="15" hidden="false" customHeight="true" outlineLevel="0" collapsed="false">
      <c r="A1112" s="6" t="n">
        <v>4</v>
      </c>
      <c r="B1112" s="6" t="s">
        <v>2618</v>
      </c>
      <c r="C1112" s="6" t="s">
        <v>1391</v>
      </c>
      <c r="D1112" s="6" t="str">
        <f aca="false">A1112&amp;"|"&amp;C1112</f>
        <v>4|Armored Car</v>
      </c>
      <c r="E1112" s="6" t="s">
        <v>1560</v>
      </c>
      <c r="F1112" s="6" t="s">
        <v>1538</v>
      </c>
      <c r="G1112" s="6" t="str">
        <f aca="false">INDEX(Archetypes!$D$2:$D$127, MATCH(D1112, Archetypes!$A$2:$A$127, 0))</f>
        <v>Recon</v>
      </c>
      <c r="H1112" s="6" t="n">
        <f aca="false">ROUND(INDEX(Archetypes!$E$2:$E$127, MATCH(D1112, Archetypes!$A$2:$A$127, 0))*INDEX(Unit_Grades!$B$2:$B$7, MATCH(F1112, Unit_Grades!$A$2:$A$7, 0))*INDEX(Unit_Paths!$B$2:$B$4, MATCH(E1112, Unit_Paths!$A$2:$A$4, 0)),1)</f>
        <v>56.1</v>
      </c>
      <c r="I1112" s="6" t="n">
        <f aca="false">ROUND(INDEX(Archetypes!$F$2:$F$127, MATCH(D1112, Archetypes!$A$2:$A$127, 0))*INDEX(Unit_Grades!$B$2:$B$7, MATCH(F1112, Unit_Grades!$A$2:$A$7, 0))*INDEX(Unit_Paths!$C$2:$C$4, MATCH(E1112, Unit_Paths!$A$2:$A$4, 0)),1)</f>
        <v>55</v>
      </c>
      <c r="J1112" s="6" t="n">
        <f aca="false">ROUND(INDEX(Archetypes!$G$2:$G$127, MATCH(D1112, Archetypes!$A$2:$A$127, 0))*INDEX(Unit_Grades!$B$2:$B$7, MATCH(F1112, Unit_Grades!$A$2:$A$7, 0))*INDEX(Unit_Paths!$D$2:$D$4, MATCH(E1112, Unit_Paths!$A$2:$A$4, 0)),0)</f>
        <v>207</v>
      </c>
      <c r="K1112" s="6" t="n">
        <f aca="false">ROUND(INDEX(Archetypes!$H$2:$H$127, MATCH(D1112, Archetypes!$A$2:$A$127, 0))*INDEX(Unit_Paths!$E$2:$E$4, MATCH(E1112, Unit_Paths!$A$2:$A$4, 0)),1)</f>
        <v>40.5</v>
      </c>
      <c r="L1112" s="6" t="n">
        <f aca="false">ROUND(INDEX(Archetypes!$I$2:$I$127, MATCH(D1112, Archetypes!$A$2:$A$127, 0))*INDEX(Unit_Grades!$C$2:$C$7, MATCH(F1112, Unit_Grades!$A$2:$A$7, 0)),1)</f>
        <v>11</v>
      </c>
      <c r="M1112" s="6" t="n">
        <f aca="false">ROUND(INDEX(Archetypes!$J$2:$J$127, MATCH(D1112, Archetypes!$A$2:$A$127, 0))*INDEX(Unit_Grades!$D$2:$D$7, MATCH(F1112, Unit_Grades!$A$2:$A$7, 0)),1)</f>
        <v>4.5</v>
      </c>
      <c r="N1112" s="6" t="n">
        <f aca="false">ROUND(M1112/24,2)</f>
        <v>0.19</v>
      </c>
    </row>
    <row r="1113" customFormat="false" ht="15" hidden="false" customHeight="true" outlineLevel="0" collapsed="false">
      <c r="A1113" s="6" t="n">
        <v>4</v>
      </c>
      <c r="B1113" s="6" t="s">
        <v>2619</v>
      </c>
      <c r="C1113" s="6" t="s">
        <v>1391</v>
      </c>
      <c r="D1113" s="6" t="str">
        <f aca="false">A1113&amp;"|"&amp;C1113</f>
        <v>4|Armored Car</v>
      </c>
      <c r="E1113" s="6" t="s">
        <v>1560</v>
      </c>
      <c r="F1113" s="6" t="s">
        <v>1540</v>
      </c>
      <c r="G1113" s="6" t="str">
        <f aca="false">INDEX(Archetypes!$D$2:$D$127, MATCH(D1113, Archetypes!$A$2:$A$127, 0))</f>
        <v>Recon</v>
      </c>
      <c r="H1113" s="6" t="n">
        <f aca="false">ROUND(INDEX(Archetypes!$E$2:$E$127, MATCH(D1113, Archetypes!$A$2:$A$127, 0))*INDEX(Unit_Grades!$B$2:$B$7, MATCH(F1113, Unit_Grades!$A$2:$A$7, 0))*INDEX(Unit_Paths!$B$2:$B$4, MATCH(E1113, Unit_Paths!$A$2:$A$4, 0)),1)</f>
        <v>75.7</v>
      </c>
      <c r="I1113" s="6" t="n">
        <f aca="false">ROUND(INDEX(Archetypes!$F$2:$F$127, MATCH(D1113, Archetypes!$A$2:$A$127, 0))*INDEX(Unit_Grades!$B$2:$B$7, MATCH(F1113, Unit_Grades!$A$2:$A$7, 0))*INDEX(Unit_Paths!$C$2:$C$4, MATCH(E1113, Unit_Paths!$A$2:$A$4, 0)),1)</f>
        <v>74.3</v>
      </c>
      <c r="J1113" s="6" t="n">
        <f aca="false">ROUND(INDEX(Archetypes!$G$2:$G$127, MATCH(D1113, Archetypes!$A$2:$A$127, 0))*INDEX(Unit_Grades!$B$2:$B$7, MATCH(F1113, Unit_Grades!$A$2:$A$7, 0))*INDEX(Unit_Paths!$D$2:$D$4, MATCH(E1113, Unit_Paths!$A$2:$A$4, 0)),0)</f>
        <v>279</v>
      </c>
      <c r="K1113" s="6" t="n">
        <f aca="false">ROUND(INDEX(Archetypes!$H$2:$H$127, MATCH(D1113, Archetypes!$A$2:$A$127, 0))*INDEX(Unit_Paths!$E$2:$E$4, MATCH(E1113, Unit_Paths!$A$2:$A$4, 0)),1)</f>
        <v>40.5</v>
      </c>
      <c r="L1113" s="6" t="n">
        <f aca="false">ROUND(INDEX(Archetypes!$I$2:$I$127, MATCH(D1113, Archetypes!$A$2:$A$127, 0))*INDEX(Unit_Grades!$C$2:$C$7, MATCH(F1113, Unit_Grades!$A$2:$A$7, 0)),1)</f>
        <v>13.8</v>
      </c>
      <c r="M1113" s="6" t="n">
        <f aca="false">ROUND(INDEX(Archetypes!$J$2:$J$127, MATCH(D1113, Archetypes!$A$2:$A$127, 0))*INDEX(Unit_Grades!$D$2:$D$7, MATCH(F1113, Unit_Grades!$A$2:$A$7, 0)),1)</f>
        <v>6.7</v>
      </c>
      <c r="N1113" s="6" t="n">
        <f aca="false">ROUND(M1113/24,2)</f>
        <v>0.28</v>
      </c>
    </row>
    <row r="1114" customFormat="false" ht="15" hidden="false" customHeight="true" outlineLevel="0" collapsed="false">
      <c r="A1114" s="6" t="n">
        <v>4</v>
      </c>
      <c r="B1114" s="6" t="s">
        <v>2620</v>
      </c>
      <c r="C1114" s="6" t="s">
        <v>1391</v>
      </c>
      <c r="D1114" s="6" t="str">
        <f aca="false">A1114&amp;"|"&amp;C1114</f>
        <v>4|Armored Car</v>
      </c>
      <c r="E1114" s="6" t="s">
        <v>1560</v>
      </c>
      <c r="F1114" s="6" t="s">
        <v>1542</v>
      </c>
      <c r="G1114" s="6" t="str">
        <f aca="false">INDEX(Archetypes!$D$2:$D$127, MATCH(D1114, Archetypes!$A$2:$A$127, 0))</f>
        <v>Recon</v>
      </c>
      <c r="H1114" s="6" t="n">
        <f aca="false">ROUND(INDEX(Archetypes!$E$2:$E$127, MATCH(D1114, Archetypes!$A$2:$A$127, 0))*INDEX(Unit_Grades!$B$2:$B$7, MATCH(F1114, Unit_Grades!$A$2:$A$7, 0))*INDEX(Unit_Paths!$B$2:$B$4, MATCH(E1114, Unit_Paths!$A$2:$A$4, 0)),1)</f>
        <v>101</v>
      </c>
      <c r="I1114" s="6" t="n">
        <f aca="false">ROUND(INDEX(Archetypes!$F$2:$F$127, MATCH(D1114, Archetypes!$A$2:$A$127, 0))*INDEX(Unit_Grades!$B$2:$B$7, MATCH(F1114, Unit_Grades!$A$2:$A$7, 0))*INDEX(Unit_Paths!$C$2:$C$4, MATCH(E1114, Unit_Paths!$A$2:$A$4, 0)),1)</f>
        <v>99</v>
      </c>
      <c r="J1114" s="6" t="n">
        <f aca="false">ROUND(INDEX(Archetypes!$G$2:$G$127, MATCH(D1114, Archetypes!$A$2:$A$127, 0))*INDEX(Unit_Grades!$B$2:$B$7, MATCH(F1114, Unit_Grades!$A$2:$A$7, 0))*INDEX(Unit_Paths!$D$2:$D$4, MATCH(E1114, Unit_Paths!$A$2:$A$4, 0)),0)</f>
        <v>373</v>
      </c>
      <c r="K1114" s="6" t="n">
        <f aca="false">ROUND(INDEX(Archetypes!$H$2:$H$127, MATCH(D1114, Archetypes!$A$2:$A$127, 0))*INDEX(Unit_Paths!$E$2:$E$4, MATCH(E1114, Unit_Paths!$A$2:$A$4, 0)),1)</f>
        <v>40.5</v>
      </c>
      <c r="L1114" s="6" t="n">
        <f aca="false">ROUND(INDEX(Archetypes!$I$2:$I$127, MATCH(D1114, Archetypes!$A$2:$A$127, 0))*INDEX(Unit_Grades!$C$2:$C$7, MATCH(F1114, Unit_Grades!$A$2:$A$7, 0)),1)</f>
        <v>17.6</v>
      </c>
      <c r="M1114" s="6" t="n">
        <f aca="false">ROUND(INDEX(Archetypes!$J$2:$J$127, MATCH(D1114, Archetypes!$A$2:$A$127, 0))*INDEX(Unit_Grades!$D$2:$D$7, MATCH(F1114, Unit_Grades!$A$2:$A$7, 0)),1)</f>
        <v>11.2</v>
      </c>
      <c r="N1114" s="6" t="n">
        <f aca="false">ROUND(M1114/24,2)</f>
        <v>0.47</v>
      </c>
    </row>
    <row r="1115" customFormat="false" ht="15" hidden="false" customHeight="true" outlineLevel="0" collapsed="false">
      <c r="A1115" s="6" t="n">
        <v>4</v>
      </c>
      <c r="B1115" s="6" t="s">
        <v>2621</v>
      </c>
      <c r="C1115" s="6" t="s">
        <v>1391</v>
      </c>
      <c r="D1115" s="6" t="str">
        <f aca="false">A1115&amp;"|"&amp;C1115</f>
        <v>4|Armored Car</v>
      </c>
      <c r="E1115" s="6" t="s">
        <v>1560</v>
      </c>
      <c r="F1115" s="6" t="s">
        <v>1544</v>
      </c>
      <c r="G1115" s="6" t="str">
        <f aca="false">INDEX(Archetypes!$D$2:$D$127, MATCH(D1115, Archetypes!$A$2:$A$127, 0))</f>
        <v>Recon</v>
      </c>
      <c r="H1115" s="6" t="n">
        <f aca="false">ROUND(INDEX(Archetypes!$E$2:$E$127, MATCH(D1115, Archetypes!$A$2:$A$127, 0))*INDEX(Unit_Grades!$B$2:$B$7, MATCH(F1115, Unit_Grades!$A$2:$A$7, 0))*INDEX(Unit_Paths!$B$2:$B$4, MATCH(E1115, Unit_Paths!$A$2:$A$4, 0)),1)</f>
        <v>134.6</v>
      </c>
      <c r="I1115" s="6" t="n">
        <f aca="false">ROUND(INDEX(Archetypes!$F$2:$F$127, MATCH(D1115, Archetypes!$A$2:$A$127, 0))*INDEX(Unit_Grades!$B$2:$B$7, MATCH(F1115, Unit_Grades!$A$2:$A$7, 0))*INDEX(Unit_Paths!$C$2:$C$4, MATCH(E1115, Unit_Paths!$A$2:$A$4, 0)),1)</f>
        <v>132</v>
      </c>
      <c r="J1115" s="6" t="n">
        <f aca="false">ROUND(INDEX(Archetypes!$G$2:$G$127, MATCH(D1115, Archetypes!$A$2:$A$127, 0))*INDEX(Unit_Grades!$B$2:$B$7, MATCH(F1115, Unit_Grades!$A$2:$A$7, 0))*INDEX(Unit_Paths!$D$2:$D$4, MATCH(E1115, Unit_Paths!$A$2:$A$4, 0)),0)</f>
        <v>497</v>
      </c>
      <c r="K1115" s="6" t="n">
        <f aca="false">ROUND(INDEX(Archetypes!$H$2:$H$127, MATCH(D1115, Archetypes!$A$2:$A$127, 0))*INDEX(Unit_Paths!$E$2:$E$4, MATCH(E1115, Unit_Paths!$A$2:$A$4, 0)),1)</f>
        <v>40.5</v>
      </c>
      <c r="L1115" s="6" t="n">
        <f aca="false">ROUND(INDEX(Archetypes!$I$2:$I$127, MATCH(D1115, Archetypes!$A$2:$A$127, 0))*INDEX(Unit_Grades!$C$2:$C$7, MATCH(F1115, Unit_Grades!$A$2:$A$7, 0)),1)</f>
        <v>23.1</v>
      </c>
      <c r="M1115" s="6" t="n">
        <f aca="false">ROUND(INDEX(Archetypes!$J$2:$J$127, MATCH(D1115, Archetypes!$A$2:$A$127, 0))*INDEX(Unit_Grades!$D$2:$D$7, MATCH(F1115, Unit_Grades!$A$2:$A$7, 0)),1)</f>
        <v>17.8</v>
      </c>
      <c r="N1115" s="6" t="n">
        <f aca="false">ROUND(M1115/24,2)</f>
        <v>0.74</v>
      </c>
    </row>
    <row r="1116" customFormat="false" ht="15" hidden="false" customHeight="true" outlineLevel="0" collapsed="false">
      <c r="A1116" s="6" t="n">
        <v>4</v>
      </c>
      <c r="B1116" s="6" t="s">
        <v>2622</v>
      </c>
      <c r="C1116" s="6" t="s">
        <v>1391</v>
      </c>
      <c r="D1116" s="6" t="str">
        <f aca="false">A1116&amp;"|"&amp;C1116</f>
        <v>4|Armored Car</v>
      </c>
      <c r="E1116" s="6" t="s">
        <v>1560</v>
      </c>
      <c r="F1116" s="6" t="s">
        <v>1546</v>
      </c>
      <c r="G1116" s="6" t="str">
        <f aca="false">INDEX(Archetypes!$D$2:$D$127, MATCH(D1116, Archetypes!$A$2:$A$127, 0))</f>
        <v>Recon</v>
      </c>
      <c r="H1116" s="6" t="n">
        <f aca="false">ROUND(INDEX(Archetypes!$E$2:$E$127, MATCH(D1116, Archetypes!$A$2:$A$127, 0))*INDEX(Unit_Grades!$B$2:$B$7, MATCH(F1116, Unit_Grades!$A$2:$A$7, 0))*INDEX(Unit_Paths!$B$2:$B$4, MATCH(E1116, Unit_Paths!$A$2:$A$4, 0)),1)</f>
        <v>179.5</v>
      </c>
      <c r="I1116" s="6" t="n">
        <f aca="false">ROUND(INDEX(Archetypes!$F$2:$F$127, MATCH(D1116, Archetypes!$A$2:$A$127, 0))*INDEX(Unit_Grades!$B$2:$B$7, MATCH(F1116, Unit_Grades!$A$2:$A$7, 0))*INDEX(Unit_Paths!$C$2:$C$4, MATCH(E1116, Unit_Paths!$A$2:$A$4, 0)),1)</f>
        <v>176</v>
      </c>
      <c r="J1116" s="6" t="n">
        <f aca="false">ROUND(INDEX(Archetypes!$G$2:$G$127, MATCH(D1116, Archetypes!$A$2:$A$127, 0))*INDEX(Unit_Grades!$B$2:$B$7, MATCH(F1116, Unit_Grades!$A$2:$A$7, 0))*INDEX(Unit_Paths!$D$2:$D$4, MATCH(E1116, Unit_Paths!$A$2:$A$4, 0)),0)</f>
        <v>662</v>
      </c>
      <c r="K1116" s="6" t="n">
        <f aca="false">ROUND(INDEX(Archetypes!$H$2:$H$127, MATCH(D1116, Archetypes!$A$2:$A$127, 0))*INDEX(Unit_Paths!$E$2:$E$4, MATCH(E1116, Unit_Paths!$A$2:$A$4, 0)),1)</f>
        <v>40.5</v>
      </c>
      <c r="L1116" s="6" t="n">
        <f aca="false">ROUND(INDEX(Archetypes!$I$2:$I$127, MATCH(D1116, Archetypes!$A$2:$A$127, 0))*INDEX(Unit_Grades!$C$2:$C$7, MATCH(F1116, Unit_Grades!$A$2:$A$7, 0)),1)</f>
        <v>30.8</v>
      </c>
      <c r="M1116" s="6" t="n">
        <f aca="false">ROUND(INDEX(Archetypes!$J$2:$J$127, MATCH(D1116, Archetypes!$A$2:$A$127, 0))*INDEX(Unit_Grades!$D$2:$D$7, MATCH(F1116, Unit_Grades!$A$2:$A$7, 0)),1)</f>
        <v>31.2</v>
      </c>
      <c r="N1116" s="6" t="n">
        <f aca="false">ROUND(M1116/24,2)</f>
        <v>1.3</v>
      </c>
    </row>
    <row r="1117" customFormat="false" ht="15" hidden="false" customHeight="true" outlineLevel="0" collapsed="false">
      <c r="A1117" s="6" t="n">
        <v>4</v>
      </c>
      <c r="B1117" s="6" t="s">
        <v>2623</v>
      </c>
      <c r="C1117" s="6" t="s">
        <v>1391</v>
      </c>
      <c r="D1117" s="6" t="str">
        <f aca="false">A1117&amp;"|"&amp;C1117</f>
        <v>4|Armored Car</v>
      </c>
      <c r="E1117" s="6" t="s">
        <v>1560</v>
      </c>
      <c r="F1117" s="6" t="s">
        <v>1548</v>
      </c>
      <c r="G1117" s="6" t="str">
        <f aca="false">INDEX(Archetypes!$D$2:$D$127, MATCH(D1117, Archetypes!$A$2:$A$127, 0))</f>
        <v>Recon</v>
      </c>
      <c r="H1117" s="6" t="n">
        <f aca="false">ROUND(INDEX(Archetypes!$E$2:$E$127, MATCH(D1117, Archetypes!$A$2:$A$127, 0))*INDEX(Unit_Grades!$B$2:$B$7, MATCH(F1117, Unit_Grades!$A$2:$A$7, 0))*INDEX(Unit_Paths!$B$2:$B$4, MATCH(E1117, Unit_Paths!$A$2:$A$4, 0)),1)</f>
        <v>235.6</v>
      </c>
      <c r="I1117" s="6" t="n">
        <f aca="false">ROUND(INDEX(Archetypes!$F$2:$F$127, MATCH(D1117, Archetypes!$A$2:$A$127, 0))*INDEX(Unit_Grades!$B$2:$B$7, MATCH(F1117, Unit_Grades!$A$2:$A$7, 0))*INDEX(Unit_Paths!$C$2:$C$4, MATCH(E1117, Unit_Paths!$A$2:$A$4, 0)),1)</f>
        <v>231</v>
      </c>
      <c r="J1117" s="6" t="n">
        <f aca="false">ROUND(INDEX(Archetypes!$G$2:$G$127, MATCH(D1117, Archetypes!$A$2:$A$127, 0))*INDEX(Unit_Grades!$B$2:$B$7, MATCH(F1117, Unit_Grades!$A$2:$A$7, 0))*INDEX(Unit_Paths!$D$2:$D$4, MATCH(E1117, Unit_Paths!$A$2:$A$4, 0)),0)</f>
        <v>869</v>
      </c>
      <c r="K1117" s="6" t="n">
        <f aca="false">ROUND(INDEX(Archetypes!$H$2:$H$127, MATCH(D1117, Archetypes!$A$2:$A$127, 0))*INDEX(Unit_Paths!$E$2:$E$4, MATCH(E1117, Unit_Paths!$A$2:$A$4, 0)),1)</f>
        <v>40.5</v>
      </c>
      <c r="L1117" s="6" t="n">
        <f aca="false">ROUND(INDEX(Archetypes!$I$2:$I$127, MATCH(D1117, Archetypes!$A$2:$A$127, 0))*INDEX(Unit_Grades!$C$2:$C$7, MATCH(F1117, Unit_Grades!$A$2:$A$7, 0)),1)</f>
        <v>40.7</v>
      </c>
      <c r="M1117" s="6" t="n">
        <f aca="false">ROUND(INDEX(Archetypes!$J$2:$J$127, MATCH(D1117, Archetypes!$A$2:$A$127, 0))*INDEX(Unit_Grades!$D$2:$D$7, MATCH(F1117, Unit_Grades!$A$2:$A$7, 0)),1)</f>
        <v>53.5</v>
      </c>
      <c r="N1117" s="6" t="n">
        <f aca="false">ROUND(M1117/24,2)</f>
        <v>2.23</v>
      </c>
    </row>
    <row r="1118" customFormat="false" ht="15" hidden="false" customHeight="true" outlineLevel="0" collapsed="false">
      <c r="A1118" s="6" t="n">
        <v>4</v>
      </c>
      <c r="B1118" s="6" t="s">
        <v>1393</v>
      </c>
      <c r="C1118" s="6" t="s">
        <v>1393</v>
      </c>
      <c r="D1118" s="6" t="str">
        <f aca="false">A1118&amp;"|"&amp;C1118</f>
        <v>4|Light Tank</v>
      </c>
      <c r="E1118" s="6" t="s">
        <v>1556</v>
      </c>
      <c r="F1118" s="6" t="s">
        <v>1538</v>
      </c>
      <c r="G1118" s="6" t="str">
        <f aca="false">INDEX(Archetypes!$D$2:$D$127, MATCH(D1118, Archetypes!$A$2:$A$127, 0))</f>
        <v>Armor</v>
      </c>
      <c r="H1118" s="6" t="n">
        <f aca="false">ROUND(INDEX(Archetypes!$E$2:$E$127, MATCH(D1118, Archetypes!$A$2:$A$127, 0))*INDEX(Unit_Grades!$B$2:$B$7, MATCH(F1118, Unit_Grades!$A$2:$A$7, 0))*INDEX(Unit_Paths!$B$2:$B$4, MATCH(E1118, Unit_Paths!$A$2:$A$4, 0)),1)</f>
        <v>100</v>
      </c>
      <c r="I1118" s="6" t="n">
        <f aca="false">ROUND(INDEX(Archetypes!$F$2:$F$127, MATCH(D1118, Archetypes!$A$2:$A$127, 0))*INDEX(Unit_Grades!$B$2:$B$7, MATCH(F1118, Unit_Grades!$A$2:$A$7, 0))*INDEX(Unit_Paths!$C$2:$C$4, MATCH(E1118, Unit_Paths!$A$2:$A$4, 0)),1)</f>
        <v>70</v>
      </c>
      <c r="J1118" s="6" t="n">
        <f aca="false">ROUND(INDEX(Archetypes!$G$2:$G$127, MATCH(D1118, Archetypes!$A$2:$A$127, 0))*INDEX(Unit_Grades!$B$2:$B$7, MATCH(F1118, Unit_Grades!$A$2:$A$7, 0))*INDEX(Unit_Paths!$D$2:$D$4, MATCH(E1118, Unit_Paths!$A$2:$A$4, 0)),0)</f>
        <v>260</v>
      </c>
      <c r="K1118" s="6" t="n">
        <f aca="false">ROUND(INDEX(Archetypes!$H$2:$H$127, MATCH(D1118, Archetypes!$A$2:$A$127, 0))*INDEX(Unit_Paths!$E$2:$E$4, MATCH(E1118, Unit_Paths!$A$2:$A$4, 0)),1)</f>
        <v>38</v>
      </c>
      <c r="L1118" s="6" t="n">
        <f aca="false">ROUND(INDEX(Archetypes!$I$2:$I$127, MATCH(D1118, Archetypes!$A$2:$A$127, 0))*INDEX(Unit_Grades!$C$2:$C$7, MATCH(F1118, Unit_Grades!$A$2:$A$7, 0)),1)</f>
        <v>15</v>
      </c>
      <c r="M1118" s="6" t="n">
        <f aca="false">ROUND(INDEX(Archetypes!$J$2:$J$127, MATCH(D1118, Archetypes!$A$2:$A$127, 0))*INDEX(Unit_Grades!$D$2:$D$7, MATCH(F1118, Unit_Grades!$A$2:$A$7, 0)),1)</f>
        <v>6.1</v>
      </c>
      <c r="N1118" s="6" t="n">
        <f aca="false">ROUND(M1118/24,2)</f>
        <v>0.25</v>
      </c>
    </row>
    <row r="1119" customFormat="false" ht="15" hidden="false" customHeight="true" outlineLevel="0" collapsed="false">
      <c r="A1119" s="6" t="n">
        <v>4</v>
      </c>
      <c r="B1119" s="6" t="s">
        <v>2624</v>
      </c>
      <c r="C1119" s="6" t="s">
        <v>1393</v>
      </c>
      <c r="D1119" s="6" t="str">
        <f aca="false">A1119&amp;"|"&amp;C1119</f>
        <v>4|Light Tank</v>
      </c>
      <c r="E1119" s="6" t="s">
        <v>1556</v>
      </c>
      <c r="F1119" s="6" t="s">
        <v>1540</v>
      </c>
      <c r="G1119" s="6" t="str">
        <f aca="false">INDEX(Archetypes!$D$2:$D$127, MATCH(D1119, Archetypes!$A$2:$A$127, 0))</f>
        <v>Armor</v>
      </c>
      <c r="H1119" s="6" t="n">
        <f aca="false">ROUND(INDEX(Archetypes!$E$2:$E$127, MATCH(D1119, Archetypes!$A$2:$A$127, 0))*INDEX(Unit_Grades!$B$2:$B$7, MATCH(F1119, Unit_Grades!$A$2:$A$7, 0))*INDEX(Unit_Paths!$B$2:$B$4, MATCH(E1119, Unit_Paths!$A$2:$A$4, 0)),1)</f>
        <v>135</v>
      </c>
      <c r="I1119" s="6" t="n">
        <f aca="false">ROUND(INDEX(Archetypes!$F$2:$F$127, MATCH(D1119, Archetypes!$A$2:$A$127, 0))*INDEX(Unit_Grades!$B$2:$B$7, MATCH(F1119, Unit_Grades!$A$2:$A$7, 0))*INDEX(Unit_Paths!$C$2:$C$4, MATCH(E1119, Unit_Paths!$A$2:$A$4, 0)),1)</f>
        <v>94.5</v>
      </c>
      <c r="J1119" s="6" t="n">
        <f aca="false">ROUND(INDEX(Archetypes!$G$2:$G$127, MATCH(D1119, Archetypes!$A$2:$A$127, 0))*INDEX(Unit_Grades!$B$2:$B$7, MATCH(F1119, Unit_Grades!$A$2:$A$7, 0))*INDEX(Unit_Paths!$D$2:$D$4, MATCH(E1119, Unit_Paths!$A$2:$A$4, 0)),0)</f>
        <v>351</v>
      </c>
      <c r="K1119" s="6" t="n">
        <f aca="false">ROUND(INDEX(Archetypes!$H$2:$H$127, MATCH(D1119, Archetypes!$A$2:$A$127, 0))*INDEX(Unit_Paths!$E$2:$E$4, MATCH(E1119, Unit_Paths!$A$2:$A$4, 0)),1)</f>
        <v>38</v>
      </c>
      <c r="L1119" s="6" t="n">
        <f aca="false">ROUND(INDEX(Archetypes!$I$2:$I$127, MATCH(D1119, Archetypes!$A$2:$A$127, 0))*INDEX(Unit_Grades!$C$2:$C$7, MATCH(F1119, Unit_Grades!$A$2:$A$7, 0)),1)</f>
        <v>18.8</v>
      </c>
      <c r="M1119" s="6" t="n">
        <f aca="false">ROUND(INDEX(Archetypes!$J$2:$J$127, MATCH(D1119, Archetypes!$A$2:$A$127, 0))*INDEX(Unit_Grades!$D$2:$D$7, MATCH(F1119, Unit_Grades!$A$2:$A$7, 0)),1)</f>
        <v>9.1</v>
      </c>
      <c r="N1119" s="6" t="n">
        <f aca="false">ROUND(M1119/24,2)</f>
        <v>0.38</v>
      </c>
    </row>
    <row r="1120" customFormat="false" ht="15" hidden="false" customHeight="true" outlineLevel="0" collapsed="false">
      <c r="A1120" s="6" t="n">
        <v>4</v>
      </c>
      <c r="B1120" s="6" t="s">
        <v>2625</v>
      </c>
      <c r="C1120" s="6" t="s">
        <v>1393</v>
      </c>
      <c r="D1120" s="6" t="str">
        <f aca="false">A1120&amp;"|"&amp;C1120</f>
        <v>4|Light Tank</v>
      </c>
      <c r="E1120" s="6" t="s">
        <v>1556</v>
      </c>
      <c r="F1120" s="6" t="s">
        <v>1542</v>
      </c>
      <c r="G1120" s="6" t="str">
        <f aca="false">INDEX(Archetypes!$D$2:$D$127, MATCH(D1120, Archetypes!$A$2:$A$127, 0))</f>
        <v>Armor</v>
      </c>
      <c r="H1120" s="6" t="n">
        <f aca="false">ROUND(INDEX(Archetypes!$E$2:$E$127, MATCH(D1120, Archetypes!$A$2:$A$127, 0))*INDEX(Unit_Grades!$B$2:$B$7, MATCH(F1120, Unit_Grades!$A$2:$A$7, 0))*INDEX(Unit_Paths!$B$2:$B$4, MATCH(E1120, Unit_Paths!$A$2:$A$4, 0)),1)</f>
        <v>180</v>
      </c>
      <c r="I1120" s="6" t="n">
        <f aca="false">ROUND(INDEX(Archetypes!$F$2:$F$127, MATCH(D1120, Archetypes!$A$2:$A$127, 0))*INDEX(Unit_Grades!$B$2:$B$7, MATCH(F1120, Unit_Grades!$A$2:$A$7, 0))*INDEX(Unit_Paths!$C$2:$C$4, MATCH(E1120, Unit_Paths!$A$2:$A$4, 0)),1)</f>
        <v>126</v>
      </c>
      <c r="J1120" s="6" t="n">
        <f aca="false">ROUND(INDEX(Archetypes!$G$2:$G$127, MATCH(D1120, Archetypes!$A$2:$A$127, 0))*INDEX(Unit_Grades!$B$2:$B$7, MATCH(F1120, Unit_Grades!$A$2:$A$7, 0))*INDEX(Unit_Paths!$D$2:$D$4, MATCH(E1120, Unit_Paths!$A$2:$A$4, 0)),0)</f>
        <v>468</v>
      </c>
      <c r="K1120" s="6" t="n">
        <f aca="false">ROUND(INDEX(Archetypes!$H$2:$H$127, MATCH(D1120, Archetypes!$A$2:$A$127, 0))*INDEX(Unit_Paths!$E$2:$E$4, MATCH(E1120, Unit_Paths!$A$2:$A$4, 0)),1)</f>
        <v>38</v>
      </c>
      <c r="L1120" s="6" t="n">
        <f aca="false">ROUND(INDEX(Archetypes!$I$2:$I$127, MATCH(D1120, Archetypes!$A$2:$A$127, 0))*INDEX(Unit_Grades!$C$2:$C$7, MATCH(F1120, Unit_Grades!$A$2:$A$7, 0)),1)</f>
        <v>24</v>
      </c>
      <c r="M1120" s="6" t="n">
        <f aca="false">ROUND(INDEX(Archetypes!$J$2:$J$127, MATCH(D1120, Archetypes!$A$2:$A$127, 0))*INDEX(Unit_Grades!$D$2:$D$7, MATCH(F1120, Unit_Grades!$A$2:$A$7, 0)),1)</f>
        <v>15.2</v>
      </c>
      <c r="N1120" s="6" t="n">
        <f aca="false">ROUND(M1120/24,2)</f>
        <v>0.63</v>
      </c>
    </row>
    <row r="1121" customFormat="false" ht="15" hidden="false" customHeight="true" outlineLevel="0" collapsed="false">
      <c r="A1121" s="6" t="n">
        <v>4</v>
      </c>
      <c r="B1121" s="6" t="s">
        <v>2626</v>
      </c>
      <c r="C1121" s="6" t="s">
        <v>1393</v>
      </c>
      <c r="D1121" s="6" t="str">
        <f aca="false">A1121&amp;"|"&amp;C1121</f>
        <v>4|Light Tank</v>
      </c>
      <c r="E1121" s="6" t="s">
        <v>1556</v>
      </c>
      <c r="F1121" s="6" t="s">
        <v>1544</v>
      </c>
      <c r="G1121" s="6" t="str">
        <f aca="false">INDEX(Archetypes!$D$2:$D$127, MATCH(D1121, Archetypes!$A$2:$A$127, 0))</f>
        <v>Armor</v>
      </c>
      <c r="H1121" s="6" t="n">
        <f aca="false">ROUND(INDEX(Archetypes!$E$2:$E$127, MATCH(D1121, Archetypes!$A$2:$A$127, 0))*INDEX(Unit_Grades!$B$2:$B$7, MATCH(F1121, Unit_Grades!$A$2:$A$7, 0))*INDEX(Unit_Paths!$B$2:$B$4, MATCH(E1121, Unit_Paths!$A$2:$A$4, 0)),1)</f>
        <v>240</v>
      </c>
      <c r="I1121" s="6" t="n">
        <f aca="false">ROUND(INDEX(Archetypes!$F$2:$F$127, MATCH(D1121, Archetypes!$A$2:$A$127, 0))*INDEX(Unit_Grades!$B$2:$B$7, MATCH(F1121, Unit_Grades!$A$2:$A$7, 0))*INDEX(Unit_Paths!$C$2:$C$4, MATCH(E1121, Unit_Paths!$A$2:$A$4, 0)),1)</f>
        <v>168</v>
      </c>
      <c r="J1121" s="6" t="n">
        <f aca="false">ROUND(INDEX(Archetypes!$G$2:$G$127, MATCH(D1121, Archetypes!$A$2:$A$127, 0))*INDEX(Unit_Grades!$B$2:$B$7, MATCH(F1121, Unit_Grades!$A$2:$A$7, 0))*INDEX(Unit_Paths!$D$2:$D$4, MATCH(E1121, Unit_Paths!$A$2:$A$4, 0)),0)</f>
        <v>624</v>
      </c>
      <c r="K1121" s="6" t="n">
        <f aca="false">ROUND(INDEX(Archetypes!$H$2:$H$127, MATCH(D1121, Archetypes!$A$2:$A$127, 0))*INDEX(Unit_Paths!$E$2:$E$4, MATCH(E1121, Unit_Paths!$A$2:$A$4, 0)),1)</f>
        <v>38</v>
      </c>
      <c r="L1121" s="6" t="n">
        <f aca="false">ROUND(INDEX(Archetypes!$I$2:$I$127, MATCH(D1121, Archetypes!$A$2:$A$127, 0))*INDEX(Unit_Grades!$C$2:$C$7, MATCH(F1121, Unit_Grades!$A$2:$A$7, 0)),1)</f>
        <v>31.5</v>
      </c>
      <c r="M1121" s="6" t="n">
        <f aca="false">ROUND(INDEX(Archetypes!$J$2:$J$127, MATCH(D1121, Archetypes!$A$2:$A$127, 0))*INDEX(Unit_Grades!$D$2:$D$7, MATCH(F1121, Unit_Grades!$A$2:$A$7, 0)),1)</f>
        <v>24.4</v>
      </c>
      <c r="N1121" s="6" t="n">
        <f aca="false">ROUND(M1121/24,2)</f>
        <v>1.02</v>
      </c>
    </row>
    <row r="1122" customFormat="false" ht="15" hidden="false" customHeight="true" outlineLevel="0" collapsed="false">
      <c r="A1122" s="6" t="n">
        <v>4</v>
      </c>
      <c r="B1122" s="6" t="s">
        <v>2627</v>
      </c>
      <c r="C1122" s="6" t="s">
        <v>1393</v>
      </c>
      <c r="D1122" s="6" t="str">
        <f aca="false">A1122&amp;"|"&amp;C1122</f>
        <v>4|Light Tank</v>
      </c>
      <c r="E1122" s="6" t="s">
        <v>1556</v>
      </c>
      <c r="F1122" s="6" t="s">
        <v>1546</v>
      </c>
      <c r="G1122" s="6" t="str">
        <f aca="false">INDEX(Archetypes!$D$2:$D$127, MATCH(D1122, Archetypes!$A$2:$A$127, 0))</f>
        <v>Armor</v>
      </c>
      <c r="H1122" s="6" t="n">
        <f aca="false">ROUND(INDEX(Archetypes!$E$2:$E$127, MATCH(D1122, Archetypes!$A$2:$A$127, 0))*INDEX(Unit_Grades!$B$2:$B$7, MATCH(F1122, Unit_Grades!$A$2:$A$7, 0))*INDEX(Unit_Paths!$B$2:$B$4, MATCH(E1122, Unit_Paths!$A$2:$A$4, 0)),1)</f>
        <v>320</v>
      </c>
      <c r="I1122" s="6" t="n">
        <f aca="false">ROUND(INDEX(Archetypes!$F$2:$F$127, MATCH(D1122, Archetypes!$A$2:$A$127, 0))*INDEX(Unit_Grades!$B$2:$B$7, MATCH(F1122, Unit_Grades!$A$2:$A$7, 0))*INDEX(Unit_Paths!$C$2:$C$4, MATCH(E1122, Unit_Paths!$A$2:$A$4, 0)),1)</f>
        <v>224</v>
      </c>
      <c r="J1122" s="6" t="n">
        <f aca="false">ROUND(INDEX(Archetypes!$G$2:$G$127, MATCH(D1122, Archetypes!$A$2:$A$127, 0))*INDEX(Unit_Grades!$B$2:$B$7, MATCH(F1122, Unit_Grades!$A$2:$A$7, 0))*INDEX(Unit_Paths!$D$2:$D$4, MATCH(E1122, Unit_Paths!$A$2:$A$4, 0)),0)</f>
        <v>832</v>
      </c>
      <c r="K1122" s="6" t="n">
        <f aca="false">ROUND(INDEX(Archetypes!$H$2:$H$127, MATCH(D1122, Archetypes!$A$2:$A$127, 0))*INDEX(Unit_Paths!$E$2:$E$4, MATCH(E1122, Unit_Paths!$A$2:$A$4, 0)),1)</f>
        <v>38</v>
      </c>
      <c r="L1122" s="6" t="n">
        <f aca="false">ROUND(INDEX(Archetypes!$I$2:$I$127, MATCH(D1122, Archetypes!$A$2:$A$127, 0))*INDEX(Unit_Grades!$C$2:$C$7, MATCH(F1122, Unit_Grades!$A$2:$A$7, 0)),1)</f>
        <v>42</v>
      </c>
      <c r="M1122" s="6" t="n">
        <f aca="false">ROUND(INDEX(Archetypes!$J$2:$J$127, MATCH(D1122, Archetypes!$A$2:$A$127, 0))*INDEX(Unit_Grades!$D$2:$D$7, MATCH(F1122, Unit_Grades!$A$2:$A$7, 0)),1)</f>
        <v>42.6</v>
      </c>
      <c r="N1122" s="6" t="n">
        <f aca="false">ROUND(M1122/24,2)</f>
        <v>1.78</v>
      </c>
    </row>
    <row r="1123" customFormat="false" ht="15" hidden="false" customHeight="true" outlineLevel="0" collapsed="false">
      <c r="A1123" s="6" t="n">
        <v>4</v>
      </c>
      <c r="B1123" s="6" t="s">
        <v>2628</v>
      </c>
      <c r="C1123" s="6" t="s">
        <v>1393</v>
      </c>
      <c r="D1123" s="6" t="str">
        <f aca="false">A1123&amp;"|"&amp;C1123</f>
        <v>4|Light Tank</v>
      </c>
      <c r="E1123" s="6" t="s">
        <v>1556</v>
      </c>
      <c r="F1123" s="6" t="s">
        <v>1548</v>
      </c>
      <c r="G1123" s="6" t="str">
        <f aca="false">INDEX(Archetypes!$D$2:$D$127, MATCH(D1123, Archetypes!$A$2:$A$127, 0))</f>
        <v>Armor</v>
      </c>
      <c r="H1123" s="6" t="n">
        <f aca="false">ROUND(INDEX(Archetypes!$E$2:$E$127, MATCH(D1123, Archetypes!$A$2:$A$127, 0))*INDEX(Unit_Grades!$B$2:$B$7, MATCH(F1123, Unit_Grades!$A$2:$A$7, 0))*INDEX(Unit_Paths!$B$2:$B$4, MATCH(E1123, Unit_Paths!$A$2:$A$4, 0)),1)</f>
        <v>420</v>
      </c>
      <c r="I1123" s="6" t="n">
        <f aca="false">ROUND(INDEX(Archetypes!$F$2:$F$127, MATCH(D1123, Archetypes!$A$2:$A$127, 0))*INDEX(Unit_Grades!$B$2:$B$7, MATCH(F1123, Unit_Grades!$A$2:$A$7, 0))*INDEX(Unit_Paths!$C$2:$C$4, MATCH(E1123, Unit_Paths!$A$2:$A$4, 0)),1)</f>
        <v>294</v>
      </c>
      <c r="J1123" s="6" t="n">
        <f aca="false">ROUND(INDEX(Archetypes!$G$2:$G$127, MATCH(D1123, Archetypes!$A$2:$A$127, 0))*INDEX(Unit_Grades!$B$2:$B$7, MATCH(F1123, Unit_Grades!$A$2:$A$7, 0))*INDEX(Unit_Paths!$D$2:$D$4, MATCH(E1123, Unit_Paths!$A$2:$A$4, 0)),0)</f>
        <v>1092</v>
      </c>
      <c r="K1123" s="6" t="n">
        <f aca="false">ROUND(INDEX(Archetypes!$H$2:$H$127, MATCH(D1123, Archetypes!$A$2:$A$127, 0))*INDEX(Unit_Paths!$E$2:$E$4, MATCH(E1123, Unit_Paths!$A$2:$A$4, 0)),1)</f>
        <v>38</v>
      </c>
      <c r="L1123" s="6" t="n">
        <f aca="false">ROUND(INDEX(Archetypes!$I$2:$I$127, MATCH(D1123, Archetypes!$A$2:$A$127, 0))*INDEX(Unit_Grades!$C$2:$C$7, MATCH(F1123, Unit_Grades!$A$2:$A$7, 0)),1)</f>
        <v>55.5</v>
      </c>
      <c r="M1123" s="6" t="n">
        <f aca="false">ROUND(INDEX(Archetypes!$J$2:$J$127, MATCH(D1123, Archetypes!$A$2:$A$127, 0))*INDEX(Unit_Grades!$D$2:$D$7, MATCH(F1123, Unit_Grades!$A$2:$A$7, 0)),1)</f>
        <v>73.1</v>
      </c>
      <c r="N1123" s="6" t="n">
        <f aca="false">ROUND(M1123/24,2)</f>
        <v>3.05</v>
      </c>
    </row>
    <row r="1124" customFormat="false" ht="15" hidden="false" customHeight="true" outlineLevel="0" collapsed="false">
      <c r="A1124" s="6" t="n">
        <v>4</v>
      </c>
      <c r="B1124" s="6" t="s">
        <v>2629</v>
      </c>
      <c r="C1124" s="6" t="s">
        <v>1393</v>
      </c>
      <c r="D1124" s="6" t="str">
        <f aca="false">A1124&amp;"|"&amp;C1124</f>
        <v>4|Light Tank</v>
      </c>
      <c r="E1124" s="6" t="s">
        <v>1558</v>
      </c>
      <c r="F1124" s="6" t="s">
        <v>1538</v>
      </c>
      <c r="G1124" s="6" t="str">
        <f aca="false">INDEX(Archetypes!$D$2:$D$127, MATCH(D1124, Archetypes!$A$2:$A$127, 0))</f>
        <v>Armor</v>
      </c>
      <c r="H1124" s="6" t="n">
        <f aca="false">ROUND(INDEX(Archetypes!$E$2:$E$127, MATCH(D1124, Archetypes!$A$2:$A$127, 0))*INDEX(Unit_Grades!$B$2:$B$7, MATCH(F1124, Unit_Grades!$A$2:$A$7, 0))*INDEX(Unit_Paths!$B$2:$B$4, MATCH(E1124, Unit_Paths!$A$2:$A$4, 0)),1)</f>
        <v>120</v>
      </c>
      <c r="I1124" s="6" t="n">
        <f aca="false">ROUND(INDEX(Archetypes!$F$2:$F$127, MATCH(D1124, Archetypes!$A$2:$A$127, 0))*INDEX(Unit_Grades!$B$2:$B$7, MATCH(F1124, Unit_Grades!$A$2:$A$7, 0))*INDEX(Unit_Paths!$C$2:$C$4, MATCH(E1124, Unit_Paths!$A$2:$A$4, 0)),1)</f>
        <v>59.5</v>
      </c>
      <c r="J1124" s="6" t="n">
        <f aca="false">ROUND(INDEX(Archetypes!$G$2:$G$127, MATCH(D1124, Archetypes!$A$2:$A$127, 0))*INDEX(Unit_Grades!$B$2:$B$7, MATCH(F1124, Unit_Grades!$A$2:$A$7, 0))*INDEX(Unit_Paths!$D$2:$D$4, MATCH(E1124, Unit_Paths!$A$2:$A$4, 0)),0)</f>
        <v>247</v>
      </c>
      <c r="K1124" s="6" t="n">
        <f aca="false">ROUND(INDEX(Archetypes!$H$2:$H$127, MATCH(D1124, Archetypes!$A$2:$A$127, 0))*INDEX(Unit_Paths!$E$2:$E$4, MATCH(E1124, Unit_Paths!$A$2:$A$4, 0)),1)</f>
        <v>39.9</v>
      </c>
      <c r="L1124" s="6" t="n">
        <f aca="false">ROUND(INDEX(Archetypes!$I$2:$I$127, MATCH(D1124, Archetypes!$A$2:$A$127, 0))*INDEX(Unit_Grades!$C$2:$C$7, MATCH(F1124, Unit_Grades!$A$2:$A$7, 0)),1)</f>
        <v>15</v>
      </c>
      <c r="M1124" s="6" t="n">
        <f aca="false">ROUND(INDEX(Archetypes!$J$2:$J$127, MATCH(D1124, Archetypes!$A$2:$A$127, 0))*INDEX(Unit_Grades!$D$2:$D$7, MATCH(F1124, Unit_Grades!$A$2:$A$7, 0)),1)</f>
        <v>6.1</v>
      </c>
      <c r="N1124" s="6" t="n">
        <f aca="false">ROUND(M1124/24,2)</f>
        <v>0.25</v>
      </c>
    </row>
    <row r="1125" customFormat="false" ht="15" hidden="false" customHeight="true" outlineLevel="0" collapsed="false">
      <c r="A1125" s="6" t="n">
        <v>4</v>
      </c>
      <c r="B1125" s="6" t="s">
        <v>2630</v>
      </c>
      <c r="C1125" s="6" t="s">
        <v>1393</v>
      </c>
      <c r="D1125" s="6" t="str">
        <f aca="false">A1125&amp;"|"&amp;C1125</f>
        <v>4|Light Tank</v>
      </c>
      <c r="E1125" s="6" t="s">
        <v>1558</v>
      </c>
      <c r="F1125" s="6" t="s">
        <v>1540</v>
      </c>
      <c r="G1125" s="6" t="str">
        <f aca="false">INDEX(Archetypes!$D$2:$D$127, MATCH(D1125, Archetypes!$A$2:$A$127, 0))</f>
        <v>Armor</v>
      </c>
      <c r="H1125" s="6" t="n">
        <f aca="false">ROUND(INDEX(Archetypes!$E$2:$E$127, MATCH(D1125, Archetypes!$A$2:$A$127, 0))*INDEX(Unit_Grades!$B$2:$B$7, MATCH(F1125, Unit_Grades!$A$2:$A$7, 0))*INDEX(Unit_Paths!$B$2:$B$4, MATCH(E1125, Unit_Paths!$A$2:$A$4, 0)),1)</f>
        <v>162</v>
      </c>
      <c r="I1125" s="6" t="n">
        <f aca="false">ROUND(INDEX(Archetypes!$F$2:$F$127, MATCH(D1125, Archetypes!$A$2:$A$127, 0))*INDEX(Unit_Grades!$B$2:$B$7, MATCH(F1125, Unit_Grades!$A$2:$A$7, 0))*INDEX(Unit_Paths!$C$2:$C$4, MATCH(E1125, Unit_Paths!$A$2:$A$4, 0)),1)</f>
        <v>80.3</v>
      </c>
      <c r="J1125" s="6" t="n">
        <f aca="false">ROUND(INDEX(Archetypes!$G$2:$G$127, MATCH(D1125, Archetypes!$A$2:$A$127, 0))*INDEX(Unit_Grades!$B$2:$B$7, MATCH(F1125, Unit_Grades!$A$2:$A$7, 0))*INDEX(Unit_Paths!$D$2:$D$4, MATCH(E1125, Unit_Paths!$A$2:$A$4, 0)),0)</f>
        <v>333</v>
      </c>
      <c r="K1125" s="6" t="n">
        <f aca="false">ROUND(INDEX(Archetypes!$H$2:$H$127, MATCH(D1125, Archetypes!$A$2:$A$127, 0))*INDEX(Unit_Paths!$E$2:$E$4, MATCH(E1125, Unit_Paths!$A$2:$A$4, 0)),1)</f>
        <v>39.9</v>
      </c>
      <c r="L1125" s="6" t="n">
        <f aca="false">ROUND(INDEX(Archetypes!$I$2:$I$127, MATCH(D1125, Archetypes!$A$2:$A$127, 0))*INDEX(Unit_Grades!$C$2:$C$7, MATCH(F1125, Unit_Grades!$A$2:$A$7, 0)),1)</f>
        <v>18.8</v>
      </c>
      <c r="M1125" s="6" t="n">
        <f aca="false">ROUND(INDEX(Archetypes!$J$2:$J$127, MATCH(D1125, Archetypes!$A$2:$A$127, 0))*INDEX(Unit_Grades!$D$2:$D$7, MATCH(F1125, Unit_Grades!$A$2:$A$7, 0)),1)</f>
        <v>9.1</v>
      </c>
      <c r="N1125" s="6" t="n">
        <f aca="false">ROUND(M1125/24,2)</f>
        <v>0.38</v>
      </c>
    </row>
    <row r="1126" customFormat="false" ht="15" hidden="false" customHeight="true" outlineLevel="0" collapsed="false">
      <c r="A1126" s="6" t="n">
        <v>4</v>
      </c>
      <c r="B1126" s="6" t="s">
        <v>2631</v>
      </c>
      <c r="C1126" s="6" t="s">
        <v>1393</v>
      </c>
      <c r="D1126" s="6" t="str">
        <f aca="false">A1126&amp;"|"&amp;C1126</f>
        <v>4|Light Tank</v>
      </c>
      <c r="E1126" s="6" t="s">
        <v>1558</v>
      </c>
      <c r="F1126" s="6" t="s">
        <v>1542</v>
      </c>
      <c r="G1126" s="6" t="str">
        <f aca="false">INDEX(Archetypes!$D$2:$D$127, MATCH(D1126, Archetypes!$A$2:$A$127, 0))</f>
        <v>Armor</v>
      </c>
      <c r="H1126" s="6" t="n">
        <f aca="false">ROUND(INDEX(Archetypes!$E$2:$E$127, MATCH(D1126, Archetypes!$A$2:$A$127, 0))*INDEX(Unit_Grades!$B$2:$B$7, MATCH(F1126, Unit_Grades!$A$2:$A$7, 0))*INDEX(Unit_Paths!$B$2:$B$4, MATCH(E1126, Unit_Paths!$A$2:$A$4, 0)),1)</f>
        <v>216</v>
      </c>
      <c r="I1126" s="6" t="n">
        <f aca="false">ROUND(INDEX(Archetypes!$F$2:$F$127, MATCH(D1126, Archetypes!$A$2:$A$127, 0))*INDEX(Unit_Grades!$B$2:$B$7, MATCH(F1126, Unit_Grades!$A$2:$A$7, 0))*INDEX(Unit_Paths!$C$2:$C$4, MATCH(E1126, Unit_Paths!$A$2:$A$4, 0)),1)</f>
        <v>107.1</v>
      </c>
      <c r="J1126" s="6" t="n">
        <f aca="false">ROUND(INDEX(Archetypes!$G$2:$G$127, MATCH(D1126, Archetypes!$A$2:$A$127, 0))*INDEX(Unit_Grades!$B$2:$B$7, MATCH(F1126, Unit_Grades!$A$2:$A$7, 0))*INDEX(Unit_Paths!$D$2:$D$4, MATCH(E1126, Unit_Paths!$A$2:$A$4, 0)),0)</f>
        <v>445</v>
      </c>
      <c r="K1126" s="6" t="n">
        <f aca="false">ROUND(INDEX(Archetypes!$H$2:$H$127, MATCH(D1126, Archetypes!$A$2:$A$127, 0))*INDEX(Unit_Paths!$E$2:$E$4, MATCH(E1126, Unit_Paths!$A$2:$A$4, 0)),1)</f>
        <v>39.9</v>
      </c>
      <c r="L1126" s="6" t="n">
        <f aca="false">ROUND(INDEX(Archetypes!$I$2:$I$127, MATCH(D1126, Archetypes!$A$2:$A$127, 0))*INDEX(Unit_Grades!$C$2:$C$7, MATCH(F1126, Unit_Grades!$A$2:$A$7, 0)),1)</f>
        <v>24</v>
      </c>
      <c r="M1126" s="6" t="n">
        <f aca="false">ROUND(INDEX(Archetypes!$J$2:$J$127, MATCH(D1126, Archetypes!$A$2:$A$127, 0))*INDEX(Unit_Grades!$D$2:$D$7, MATCH(F1126, Unit_Grades!$A$2:$A$7, 0)),1)</f>
        <v>15.2</v>
      </c>
      <c r="N1126" s="6" t="n">
        <f aca="false">ROUND(M1126/24,2)</f>
        <v>0.63</v>
      </c>
    </row>
    <row r="1127" customFormat="false" ht="15" hidden="false" customHeight="true" outlineLevel="0" collapsed="false">
      <c r="A1127" s="6" t="n">
        <v>4</v>
      </c>
      <c r="B1127" s="6" t="s">
        <v>2632</v>
      </c>
      <c r="C1127" s="6" t="s">
        <v>1393</v>
      </c>
      <c r="D1127" s="6" t="str">
        <f aca="false">A1127&amp;"|"&amp;C1127</f>
        <v>4|Light Tank</v>
      </c>
      <c r="E1127" s="6" t="s">
        <v>1558</v>
      </c>
      <c r="F1127" s="6" t="s">
        <v>1544</v>
      </c>
      <c r="G1127" s="6" t="str">
        <f aca="false">INDEX(Archetypes!$D$2:$D$127, MATCH(D1127, Archetypes!$A$2:$A$127, 0))</f>
        <v>Armor</v>
      </c>
      <c r="H1127" s="6" t="n">
        <f aca="false">ROUND(INDEX(Archetypes!$E$2:$E$127, MATCH(D1127, Archetypes!$A$2:$A$127, 0))*INDEX(Unit_Grades!$B$2:$B$7, MATCH(F1127, Unit_Grades!$A$2:$A$7, 0))*INDEX(Unit_Paths!$B$2:$B$4, MATCH(E1127, Unit_Paths!$A$2:$A$4, 0)),1)</f>
        <v>288</v>
      </c>
      <c r="I1127" s="6" t="n">
        <f aca="false">ROUND(INDEX(Archetypes!$F$2:$F$127, MATCH(D1127, Archetypes!$A$2:$A$127, 0))*INDEX(Unit_Grades!$B$2:$B$7, MATCH(F1127, Unit_Grades!$A$2:$A$7, 0))*INDEX(Unit_Paths!$C$2:$C$4, MATCH(E1127, Unit_Paths!$A$2:$A$4, 0)),1)</f>
        <v>142.8</v>
      </c>
      <c r="J1127" s="6" t="n">
        <f aca="false">ROUND(INDEX(Archetypes!$G$2:$G$127, MATCH(D1127, Archetypes!$A$2:$A$127, 0))*INDEX(Unit_Grades!$B$2:$B$7, MATCH(F1127, Unit_Grades!$A$2:$A$7, 0))*INDEX(Unit_Paths!$D$2:$D$4, MATCH(E1127, Unit_Paths!$A$2:$A$4, 0)),0)</f>
        <v>593</v>
      </c>
      <c r="K1127" s="6" t="n">
        <f aca="false">ROUND(INDEX(Archetypes!$H$2:$H$127, MATCH(D1127, Archetypes!$A$2:$A$127, 0))*INDEX(Unit_Paths!$E$2:$E$4, MATCH(E1127, Unit_Paths!$A$2:$A$4, 0)),1)</f>
        <v>39.9</v>
      </c>
      <c r="L1127" s="6" t="n">
        <f aca="false">ROUND(INDEX(Archetypes!$I$2:$I$127, MATCH(D1127, Archetypes!$A$2:$A$127, 0))*INDEX(Unit_Grades!$C$2:$C$7, MATCH(F1127, Unit_Grades!$A$2:$A$7, 0)),1)</f>
        <v>31.5</v>
      </c>
      <c r="M1127" s="6" t="n">
        <f aca="false">ROUND(INDEX(Archetypes!$J$2:$J$127, MATCH(D1127, Archetypes!$A$2:$A$127, 0))*INDEX(Unit_Grades!$D$2:$D$7, MATCH(F1127, Unit_Grades!$A$2:$A$7, 0)),1)</f>
        <v>24.4</v>
      </c>
      <c r="N1127" s="6" t="n">
        <f aca="false">ROUND(M1127/24,2)</f>
        <v>1.02</v>
      </c>
    </row>
    <row r="1128" customFormat="false" ht="15" hidden="false" customHeight="true" outlineLevel="0" collapsed="false">
      <c r="A1128" s="6" t="n">
        <v>4</v>
      </c>
      <c r="B1128" s="6" t="s">
        <v>2633</v>
      </c>
      <c r="C1128" s="6" t="s">
        <v>1393</v>
      </c>
      <c r="D1128" s="6" t="str">
        <f aca="false">A1128&amp;"|"&amp;C1128</f>
        <v>4|Light Tank</v>
      </c>
      <c r="E1128" s="6" t="s">
        <v>1558</v>
      </c>
      <c r="F1128" s="6" t="s">
        <v>1546</v>
      </c>
      <c r="G1128" s="6" t="str">
        <f aca="false">INDEX(Archetypes!$D$2:$D$127, MATCH(D1128, Archetypes!$A$2:$A$127, 0))</f>
        <v>Armor</v>
      </c>
      <c r="H1128" s="6" t="n">
        <f aca="false">ROUND(INDEX(Archetypes!$E$2:$E$127, MATCH(D1128, Archetypes!$A$2:$A$127, 0))*INDEX(Unit_Grades!$B$2:$B$7, MATCH(F1128, Unit_Grades!$A$2:$A$7, 0))*INDEX(Unit_Paths!$B$2:$B$4, MATCH(E1128, Unit_Paths!$A$2:$A$4, 0)),1)</f>
        <v>384</v>
      </c>
      <c r="I1128" s="6" t="n">
        <f aca="false">ROUND(INDEX(Archetypes!$F$2:$F$127, MATCH(D1128, Archetypes!$A$2:$A$127, 0))*INDEX(Unit_Grades!$B$2:$B$7, MATCH(F1128, Unit_Grades!$A$2:$A$7, 0))*INDEX(Unit_Paths!$C$2:$C$4, MATCH(E1128, Unit_Paths!$A$2:$A$4, 0)),1)</f>
        <v>190.4</v>
      </c>
      <c r="J1128" s="6" t="n">
        <f aca="false">ROUND(INDEX(Archetypes!$G$2:$G$127, MATCH(D1128, Archetypes!$A$2:$A$127, 0))*INDEX(Unit_Grades!$B$2:$B$7, MATCH(F1128, Unit_Grades!$A$2:$A$7, 0))*INDEX(Unit_Paths!$D$2:$D$4, MATCH(E1128, Unit_Paths!$A$2:$A$4, 0)),0)</f>
        <v>790</v>
      </c>
      <c r="K1128" s="6" t="n">
        <f aca="false">ROUND(INDEX(Archetypes!$H$2:$H$127, MATCH(D1128, Archetypes!$A$2:$A$127, 0))*INDEX(Unit_Paths!$E$2:$E$4, MATCH(E1128, Unit_Paths!$A$2:$A$4, 0)),1)</f>
        <v>39.9</v>
      </c>
      <c r="L1128" s="6" t="n">
        <f aca="false">ROUND(INDEX(Archetypes!$I$2:$I$127, MATCH(D1128, Archetypes!$A$2:$A$127, 0))*INDEX(Unit_Grades!$C$2:$C$7, MATCH(F1128, Unit_Grades!$A$2:$A$7, 0)),1)</f>
        <v>42</v>
      </c>
      <c r="M1128" s="6" t="n">
        <f aca="false">ROUND(INDEX(Archetypes!$J$2:$J$127, MATCH(D1128, Archetypes!$A$2:$A$127, 0))*INDEX(Unit_Grades!$D$2:$D$7, MATCH(F1128, Unit_Grades!$A$2:$A$7, 0)),1)</f>
        <v>42.6</v>
      </c>
      <c r="N1128" s="6" t="n">
        <f aca="false">ROUND(M1128/24,2)</f>
        <v>1.78</v>
      </c>
    </row>
    <row r="1129" customFormat="false" ht="15" hidden="false" customHeight="true" outlineLevel="0" collapsed="false">
      <c r="A1129" s="6" t="n">
        <v>4</v>
      </c>
      <c r="B1129" s="6" t="s">
        <v>2634</v>
      </c>
      <c r="C1129" s="6" t="s">
        <v>1393</v>
      </c>
      <c r="D1129" s="6" t="str">
        <f aca="false">A1129&amp;"|"&amp;C1129</f>
        <v>4|Light Tank</v>
      </c>
      <c r="E1129" s="6" t="s">
        <v>1558</v>
      </c>
      <c r="F1129" s="6" t="s">
        <v>1548</v>
      </c>
      <c r="G1129" s="6" t="str">
        <f aca="false">INDEX(Archetypes!$D$2:$D$127, MATCH(D1129, Archetypes!$A$2:$A$127, 0))</f>
        <v>Armor</v>
      </c>
      <c r="H1129" s="6" t="n">
        <f aca="false">ROUND(INDEX(Archetypes!$E$2:$E$127, MATCH(D1129, Archetypes!$A$2:$A$127, 0))*INDEX(Unit_Grades!$B$2:$B$7, MATCH(F1129, Unit_Grades!$A$2:$A$7, 0))*INDEX(Unit_Paths!$B$2:$B$4, MATCH(E1129, Unit_Paths!$A$2:$A$4, 0)),1)</f>
        <v>504</v>
      </c>
      <c r="I1129" s="6" t="n">
        <f aca="false">ROUND(INDEX(Archetypes!$F$2:$F$127, MATCH(D1129, Archetypes!$A$2:$A$127, 0))*INDEX(Unit_Grades!$B$2:$B$7, MATCH(F1129, Unit_Grades!$A$2:$A$7, 0))*INDEX(Unit_Paths!$C$2:$C$4, MATCH(E1129, Unit_Paths!$A$2:$A$4, 0)),1)</f>
        <v>249.9</v>
      </c>
      <c r="J1129" s="6" t="n">
        <f aca="false">ROUND(INDEX(Archetypes!$G$2:$G$127, MATCH(D1129, Archetypes!$A$2:$A$127, 0))*INDEX(Unit_Grades!$B$2:$B$7, MATCH(F1129, Unit_Grades!$A$2:$A$7, 0))*INDEX(Unit_Paths!$D$2:$D$4, MATCH(E1129, Unit_Paths!$A$2:$A$4, 0)),0)</f>
        <v>1037</v>
      </c>
      <c r="K1129" s="6" t="n">
        <f aca="false">ROUND(INDEX(Archetypes!$H$2:$H$127, MATCH(D1129, Archetypes!$A$2:$A$127, 0))*INDEX(Unit_Paths!$E$2:$E$4, MATCH(E1129, Unit_Paths!$A$2:$A$4, 0)),1)</f>
        <v>39.9</v>
      </c>
      <c r="L1129" s="6" t="n">
        <f aca="false">ROUND(INDEX(Archetypes!$I$2:$I$127, MATCH(D1129, Archetypes!$A$2:$A$127, 0))*INDEX(Unit_Grades!$C$2:$C$7, MATCH(F1129, Unit_Grades!$A$2:$A$7, 0)),1)</f>
        <v>55.5</v>
      </c>
      <c r="M1129" s="6" t="n">
        <f aca="false">ROUND(INDEX(Archetypes!$J$2:$J$127, MATCH(D1129, Archetypes!$A$2:$A$127, 0))*INDEX(Unit_Grades!$D$2:$D$7, MATCH(F1129, Unit_Grades!$A$2:$A$7, 0)),1)</f>
        <v>73.1</v>
      </c>
      <c r="N1129" s="6" t="n">
        <f aca="false">ROUND(M1129/24,2)</f>
        <v>3.05</v>
      </c>
    </row>
    <row r="1130" customFormat="false" ht="15" hidden="false" customHeight="true" outlineLevel="0" collapsed="false">
      <c r="A1130" s="6" t="n">
        <v>4</v>
      </c>
      <c r="B1130" s="6" t="s">
        <v>2635</v>
      </c>
      <c r="C1130" s="6" t="s">
        <v>1393</v>
      </c>
      <c r="D1130" s="6" t="str">
        <f aca="false">A1130&amp;"|"&amp;C1130</f>
        <v>4|Light Tank</v>
      </c>
      <c r="E1130" s="6" t="s">
        <v>1560</v>
      </c>
      <c r="F1130" s="6" t="s">
        <v>1538</v>
      </c>
      <c r="G1130" s="6" t="str">
        <f aca="false">INDEX(Archetypes!$D$2:$D$127, MATCH(D1130, Archetypes!$A$2:$A$127, 0))</f>
        <v>Armor</v>
      </c>
      <c r="H1130" s="6" t="n">
        <f aca="false">ROUND(INDEX(Archetypes!$E$2:$E$127, MATCH(D1130, Archetypes!$A$2:$A$127, 0))*INDEX(Unit_Grades!$B$2:$B$7, MATCH(F1130, Unit_Grades!$A$2:$A$7, 0))*INDEX(Unit_Paths!$B$2:$B$4, MATCH(E1130, Unit_Paths!$A$2:$A$4, 0)),1)</f>
        <v>85</v>
      </c>
      <c r="I1130" s="6" t="n">
        <f aca="false">ROUND(INDEX(Archetypes!$F$2:$F$127, MATCH(D1130, Archetypes!$A$2:$A$127, 0))*INDEX(Unit_Grades!$B$2:$B$7, MATCH(F1130, Unit_Grades!$A$2:$A$7, 0))*INDEX(Unit_Paths!$C$2:$C$4, MATCH(E1130, Unit_Paths!$A$2:$A$4, 0)),1)</f>
        <v>87.5</v>
      </c>
      <c r="J1130" s="6" t="n">
        <f aca="false">ROUND(INDEX(Archetypes!$G$2:$G$127, MATCH(D1130, Archetypes!$A$2:$A$127, 0))*INDEX(Unit_Grades!$B$2:$B$7, MATCH(F1130, Unit_Grades!$A$2:$A$7, 0))*INDEX(Unit_Paths!$D$2:$D$4, MATCH(E1130, Unit_Paths!$A$2:$A$4, 0)),0)</f>
        <v>299</v>
      </c>
      <c r="K1130" s="6" t="n">
        <f aca="false">ROUND(INDEX(Archetypes!$H$2:$H$127, MATCH(D1130, Archetypes!$A$2:$A$127, 0))*INDEX(Unit_Paths!$E$2:$E$4, MATCH(E1130, Unit_Paths!$A$2:$A$4, 0)),1)</f>
        <v>35</v>
      </c>
      <c r="L1130" s="6" t="n">
        <f aca="false">ROUND(INDEX(Archetypes!$I$2:$I$127, MATCH(D1130, Archetypes!$A$2:$A$127, 0))*INDEX(Unit_Grades!$C$2:$C$7, MATCH(F1130, Unit_Grades!$A$2:$A$7, 0)),1)</f>
        <v>15</v>
      </c>
      <c r="M1130" s="6" t="n">
        <f aca="false">ROUND(INDEX(Archetypes!$J$2:$J$127, MATCH(D1130, Archetypes!$A$2:$A$127, 0))*INDEX(Unit_Grades!$D$2:$D$7, MATCH(F1130, Unit_Grades!$A$2:$A$7, 0)),1)</f>
        <v>6.1</v>
      </c>
      <c r="N1130" s="6" t="n">
        <f aca="false">ROUND(M1130/24,2)</f>
        <v>0.25</v>
      </c>
    </row>
    <row r="1131" customFormat="false" ht="15" hidden="false" customHeight="true" outlineLevel="0" collapsed="false">
      <c r="A1131" s="6" t="n">
        <v>4</v>
      </c>
      <c r="B1131" s="6" t="s">
        <v>2636</v>
      </c>
      <c r="C1131" s="6" t="s">
        <v>1393</v>
      </c>
      <c r="D1131" s="6" t="str">
        <f aca="false">A1131&amp;"|"&amp;C1131</f>
        <v>4|Light Tank</v>
      </c>
      <c r="E1131" s="6" t="s">
        <v>1560</v>
      </c>
      <c r="F1131" s="6" t="s">
        <v>1540</v>
      </c>
      <c r="G1131" s="6" t="str">
        <f aca="false">INDEX(Archetypes!$D$2:$D$127, MATCH(D1131, Archetypes!$A$2:$A$127, 0))</f>
        <v>Armor</v>
      </c>
      <c r="H1131" s="6" t="n">
        <f aca="false">ROUND(INDEX(Archetypes!$E$2:$E$127, MATCH(D1131, Archetypes!$A$2:$A$127, 0))*INDEX(Unit_Grades!$B$2:$B$7, MATCH(F1131, Unit_Grades!$A$2:$A$7, 0))*INDEX(Unit_Paths!$B$2:$B$4, MATCH(E1131, Unit_Paths!$A$2:$A$4, 0)),1)</f>
        <v>114.8</v>
      </c>
      <c r="I1131" s="6" t="n">
        <f aca="false">ROUND(INDEX(Archetypes!$F$2:$F$127, MATCH(D1131, Archetypes!$A$2:$A$127, 0))*INDEX(Unit_Grades!$B$2:$B$7, MATCH(F1131, Unit_Grades!$A$2:$A$7, 0))*INDEX(Unit_Paths!$C$2:$C$4, MATCH(E1131, Unit_Paths!$A$2:$A$4, 0)),1)</f>
        <v>118.1</v>
      </c>
      <c r="J1131" s="6" t="n">
        <f aca="false">ROUND(INDEX(Archetypes!$G$2:$G$127, MATCH(D1131, Archetypes!$A$2:$A$127, 0))*INDEX(Unit_Grades!$B$2:$B$7, MATCH(F1131, Unit_Grades!$A$2:$A$7, 0))*INDEX(Unit_Paths!$D$2:$D$4, MATCH(E1131, Unit_Paths!$A$2:$A$4, 0)),0)</f>
        <v>404</v>
      </c>
      <c r="K1131" s="6" t="n">
        <f aca="false">ROUND(INDEX(Archetypes!$H$2:$H$127, MATCH(D1131, Archetypes!$A$2:$A$127, 0))*INDEX(Unit_Paths!$E$2:$E$4, MATCH(E1131, Unit_Paths!$A$2:$A$4, 0)),1)</f>
        <v>35</v>
      </c>
      <c r="L1131" s="6" t="n">
        <f aca="false">ROUND(INDEX(Archetypes!$I$2:$I$127, MATCH(D1131, Archetypes!$A$2:$A$127, 0))*INDEX(Unit_Grades!$C$2:$C$7, MATCH(F1131, Unit_Grades!$A$2:$A$7, 0)),1)</f>
        <v>18.8</v>
      </c>
      <c r="M1131" s="6" t="n">
        <f aca="false">ROUND(INDEX(Archetypes!$J$2:$J$127, MATCH(D1131, Archetypes!$A$2:$A$127, 0))*INDEX(Unit_Grades!$D$2:$D$7, MATCH(F1131, Unit_Grades!$A$2:$A$7, 0)),1)</f>
        <v>9.1</v>
      </c>
      <c r="N1131" s="6" t="n">
        <f aca="false">ROUND(M1131/24,2)</f>
        <v>0.38</v>
      </c>
    </row>
    <row r="1132" customFormat="false" ht="15" hidden="false" customHeight="true" outlineLevel="0" collapsed="false">
      <c r="A1132" s="6" t="n">
        <v>4</v>
      </c>
      <c r="B1132" s="6" t="s">
        <v>2637</v>
      </c>
      <c r="C1132" s="6" t="s">
        <v>1393</v>
      </c>
      <c r="D1132" s="6" t="str">
        <f aca="false">A1132&amp;"|"&amp;C1132</f>
        <v>4|Light Tank</v>
      </c>
      <c r="E1132" s="6" t="s">
        <v>1560</v>
      </c>
      <c r="F1132" s="6" t="s">
        <v>1542</v>
      </c>
      <c r="G1132" s="6" t="str">
        <f aca="false">INDEX(Archetypes!$D$2:$D$127, MATCH(D1132, Archetypes!$A$2:$A$127, 0))</f>
        <v>Armor</v>
      </c>
      <c r="H1132" s="6" t="n">
        <f aca="false">ROUND(INDEX(Archetypes!$E$2:$E$127, MATCH(D1132, Archetypes!$A$2:$A$127, 0))*INDEX(Unit_Grades!$B$2:$B$7, MATCH(F1132, Unit_Grades!$A$2:$A$7, 0))*INDEX(Unit_Paths!$B$2:$B$4, MATCH(E1132, Unit_Paths!$A$2:$A$4, 0)),1)</f>
        <v>153</v>
      </c>
      <c r="I1132" s="6" t="n">
        <f aca="false">ROUND(INDEX(Archetypes!$F$2:$F$127, MATCH(D1132, Archetypes!$A$2:$A$127, 0))*INDEX(Unit_Grades!$B$2:$B$7, MATCH(F1132, Unit_Grades!$A$2:$A$7, 0))*INDEX(Unit_Paths!$C$2:$C$4, MATCH(E1132, Unit_Paths!$A$2:$A$4, 0)),1)</f>
        <v>157.5</v>
      </c>
      <c r="J1132" s="6" t="n">
        <f aca="false">ROUND(INDEX(Archetypes!$G$2:$G$127, MATCH(D1132, Archetypes!$A$2:$A$127, 0))*INDEX(Unit_Grades!$B$2:$B$7, MATCH(F1132, Unit_Grades!$A$2:$A$7, 0))*INDEX(Unit_Paths!$D$2:$D$4, MATCH(E1132, Unit_Paths!$A$2:$A$4, 0)),0)</f>
        <v>538</v>
      </c>
      <c r="K1132" s="6" t="n">
        <f aca="false">ROUND(INDEX(Archetypes!$H$2:$H$127, MATCH(D1132, Archetypes!$A$2:$A$127, 0))*INDEX(Unit_Paths!$E$2:$E$4, MATCH(E1132, Unit_Paths!$A$2:$A$4, 0)),1)</f>
        <v>35</v>
      </c>
      <c r="L1132" s="6" t="n">
        <f aca="false">ROUND(INDEX(Archetypes!$I$2:$I$127, MATCH(D1132, Archetypes!$A$2:$A$127, 0))*INDEX(Unit_Grades!$C$2:$C$7, MATCH(F1132, Unit_Grades!$A$2:$A$7, 0)),1)</f>
        <v>24</v>
      </c>
      <c r="M1132" s="6" t="n">
        <f aca="false">ROUND(INDEX(Archetypes!$J$2:$J$127, MATCH(D1132, Archetypes!$A$2:$A$127, 0))*INDEX(Unit_Grades!$D$2:$D$7, MATCH(F1132, Unit_Grades!$A$2:$A$7, 0)),1)</f>
        <v>15.2</v>
      </c>
      <c r="N1132" s="6" t="n">
        <f aca="false">ROUND(M1132/24,2)</f>
        <v>0.63</v>
      </c>
    </row>
    <row r="1133" customFormat="false" ht="15" hidden="false" customHeight="true" outlineLevel="0" collapsed="false">
      <c r="A1133" s="6" t="n">
        <v>4</v>
      </c>
      <c r="B1133" s="6" t="s">
        <v>2638</v>
      </c>
      <c r="C1133" s="6" t="s">
        <v>1393</v>
      </c>
      <c r="D1133" s="6" t="str">
        <f aca="false">A1133&amp;"|"&amp;C1133</f>
        <v>4|Light Tank</v>
      </c>
      <c r="E1133" s="6" t="s">
        <v>1560</v>
      </c>
      <c r="F1133" s="6" t="s">
        <v>1544</v>
      </c>
      <c r="G1133" s="6" t="str">
        <f aca="false">INDEX(Archetypes!$D$2:$D$127, MATCH(D1133, Archetypes!$A$2:$A$127, 0))</f>
        <v>Armor</v>
      </c>
      <c r="H1133" s="6" t="n">
        <f aca="false">ROUND(INDEX(Archetypes!$E$2:$E$127, MATCH(D1133, Archetypes!$A$2:$A$127, 0))*INDEX(Unit_Grades!$B$2:$B$7, MATCH(F1133, Unit_Grades!$A$2:$A$7, 0))*INDEX(Unit_Paths!$B$2:$B$4, MATCH(E1133, Unit_Paths!$A$2:$A$4, 0)),1)</f>
        <v>204</v>
      </c>
      <c r="I1133" s="6" t="n">
        <f aca="false">ROUND(INDEX(Archetypes!$F$2:$F$127, MATCH(D1133, Archetypes!$A$2:$A$127, 0))*INDEX(Unit_Grades!$B$2:$B$7, MATCH(F1133, Unit_Grades!$A$2:$A$7, 0))*INDEX(Unit_Paths!$C$2:$C$4, MATCH(E1133, Unit_Paths!$A$2:$A$4, 0)),1)</f>
        <v>210</v>
      </c>
      <c r="J1133" s="6" t="n">
        <f aca="false">ROUND(INDEX(Archetypes!$G$2:$G$127, MATCH(D1133, Archetypes!$A$2:$A$127, 0))*INDEX(Unit_Grades!$B$2:$B$7, MATCH(F1133, Unit_Grades!$A$2:$A$7, 0))*INDEX(Unit_Paths!$D$2:$D$4, MATCH(E1133, Unit_Paths!$A$2:$A$4, 0)),0)</f>
        <v>718</v>
      </c>
      <c r="K1133" s="6" t="n">
        <f aca="false">ROUND(INDEX(Archetypes!$H$2:$H$127, MATCH(D1133, Archetypes!$A$2:$A$127, 0))*INDEX(Unit_Paths!$E$2:$E$4, MATCH(E1133, Unit_Paths!$A$2:$A$4, 0)),1)</f>
        <v>35</v>
      </c>
      <c r="L1133" s="6" t="n">
        <f aca="false">ROUND(INDEX(Archetypes!$I$2:$I$127, MATCH(D1133, Archetypes!$A$2:$A$127, 0))*INDEX(Unit_Grades!$C$2:$C$7, MATCH(F1133, Unit_Grades!$A$2:$A$7, 0)),1)</f>
        <v>31.5</v>
      </c>
      <c r="M1133" s="6" t="n">
        <f aca="false">ROUND(INDEX(Archetypes!$J$2:$J$127, MATCH(D1133, Archetypes!$A$2:$A$127, 0))*INDEX(Unit_Grades!$D$2:$D$7, MATCH(F1133, Unit_Grades!$A$2:$A$7, 0)),1)</f>
        <v>24.4</v>
      </c>
      <c r="N1133" s="6" t="n">
        <f aca="false">ROUND(M1133/24,2)</f>
        <v>1.02</v>
      </c>
    </row>
    <row r="1134" customFormat="false" ht="15" hidden="false" customHeight="true" outlineLevel="0" collapsed="false">
      <c r="A1134" s="6" t="n">
        <v>4</v>
      </c>
      <c r="B1134" s="6" t="s">
        <v>2639</v>
      </c>
      <c r="C1134" s="6" t="s">
        <v>1393</v>
      </c>
      <c r="D1134" s="6" t="str">
        <f aca="false">A1134&amp;"|"&amp;C1134</f>
        <v>4|Light Tank</v>
      </c>
      <c r="E1134" s="6" t="s">
        <v>1560</v>
      </c>
      <c r="F1134" s="6" t="s">
        <v>1546</v>
      </c>
      <c r="G1134" s="6" t="str">
        <f aca="false">INDEX(Archetypes!$D$2:$D$127, MATCH(D1134, Archetypes!$A$2:$A$127, 0))</f>
        <v>Armor</v>
      </c>
      <c r="H1134" s="6" t="n">
        <f aca="false">ROUND(INDEX(Archetypes!$E$2:$E$127, MATCH(D1134, Archetypes!$A$2:$A$127, 0))*INDEX(Unit_Grades!$B$2:$B$7, MATCH(F1134, Unit_Grades!$A$2:$A$7, 0))*INDEX(Unit_Paths!$B$2:$B$4, MATCH(E1134, Unit_Paths!$A$2:$A$4, 0)),1)</f>
        <v>272</v>
      </c>
      <c r="I1134" s="6" t="n">
        <f aca="false">ROUND(INDEX(Archetypes!$F$2:$F$127, MATCH(D1134, Archetypes!$A$2:$A$127, 0))*INDEX(Unit_Grades!$B$2:$B$7, MATCH(F1134, Unit_Grades!$A$2:$A$7, 0))*INDEX(Unit_Paths!$C$2:$C$4, MATCH(E1134, Unit_Paths!$A$2:$A$4, 0)),1)</f>
        <v>280</v>
      </c>
      <c r="J1134" s="6" t="n">
        <f aca="false">ROUND(INDEX(Archetypes!$G$2:$G$127, MATCH(D1134, Archetypes!$A$2:$A$127, 0))*INDEX(Unit_Grades!$B$2:$B$7, MATCH(F1134, Unit_Grades!$A$2:$A$7, 0))*INDEX(Unit_Paths!$D$2:$D$4, MATCH(E1134, Unit_Paths!$A$2:$A$4, 0)),0)</f>
        <v>957</v>
      </c>
      <c r="K1134" s="6" t="n">
        <f aca="false">ROUND(INDEX(Archetypes!$H$2:$H$127, MATCH(D1134, Archetypes!$A$2:$A$127, 0))*INDEX(Unit_Paths!$E$2:$E$4, MATCH(E1134, Unit_Paths!$A$2:$A$4, 0)),1)</f>
        <v>35</v>
      </c>
      <c r="L1134" s="6" t="n">
        <f aca="false">ROUND(INDEX(Archetypes!$I$2:$I$127, MATCH(D1134, Archetypes!$A$2:$A$127, 0))*INDEX(Unit_Grades!$C$2:$C$7, MATCH(F1134, Unit_Grades!$A$2:$A$7, 0)),1)</f>
        <v>42</v>
      </c>
      <c r="M1134" s="6" t="n">
        <f aca="false">ROUND(INDEX(Archetypes!$J$2:$J$127, MATCH(D1134, Archetypes!$A$2:$A$127, 0))*INDEX(Unit_Grades!$D$2:$D$7, MATCH(F1134, Unit_Grades!$A$2:$A$7, 0)),1)</f>
        <v>42.6</v>
      </c>
      <c r="N1134" s="6" t="n">
        <f aca="false">ROUND(M1134/24,2)</f>
        <v>1.78</v>
      </c>
    </row>
    <row r="1135" customFormat="false" ht="15" hidden="false" customHeight="true" outlineLevel="0" collapsed="false">
      <c r="A1135" s="6" t="n">
        <v>4</v>
      </c>
      <c r="B1135" s="6" t="s">
        <v>2640</v>
      </c>
      <c r="C1135" s="6" t="s">
        <v>1393</v>
      </c>
      <c r="D1135" s="6" t="str">
        <f aca="false">A1135&amp;"|"&amp;C1135</f>
        <v>4|Light Tank</v>
      </c>
      <c r="E1135" s="6" t="s">
        <v>1560</v>
      </c>
      <c r="F1135" s="6" t="s">
        <v>1548</v>
      </c>
      <c r="G1135" s="6" t="str">
        <f aca="false">INDEX(Archetypes!$D$2:$D$127, MATCH(D1135, Archetypes!$A$2:$A$127, 0))</f>
        <v>Armor</v>
      </c>
      <c r="H1135" s="6" t="n">
        <f aca="false">ROUND(INDEX(Archetypes!$E$2:$E$127, MATCH(D1135, Archetypes!$A$2:$A$127, 0))*INDEX(Unit_Grades!$B$2:$B$7, MATCH(F1135, Unit_Grades!$A$2:$A$7, 0))*INDEX(Unit_Paths!$B$2:$B$4, MATCH(E1135, Unit_Paths!$A$2:$A$4, 0)),1)</f>
        <v>357</v>
      </c>
      <c r="I1135" s="6" t="n">
        <f aca="false">ROUND(INDEX(Archetypes!$F$2:$F$127, MATCH(D1135, Archetypes!$A$2:$A$127, 0))*INDEX(Unit_Grades!$B$2:$B$7, MATCH(F1135, Unit_Grades!$A$2:$A$7, 0))*INDEX(Unit_Paths!$C$2:$C$4, MATCH(E1135, Unit_Paths!$A$2:$A$4, 0)),1)</f>
        <v>367.5</v>
      </c>
      <c r="J1135" s="6" t="n">
        <f aca="false">ROUND(INDEX(Archetypes!$G$2:$G$127, MATCH(D1135, Archetypes!$A$2:$A$127, 0))*INDEX(Unit_Grades!$B$2:$B$7, MATCH(F1135, Unit_Grades!$A$2:$A$7, 0))*INDEX(Unit_Paths!$D$2:$D$4, MATCH(E1135, Unit_Paths!$A$2:$A$4, 0)),0)</f>
        <v>1256</v>
      </c>
      <c r="K1135" s="6" t="n">
        <f aca="false">ROUND(INDEX(Archetypes!$H$2:$H$127, MATCH(D1135, Archetypes!$A$2:$A$127, 0))*INDEX(Unit_Paths!$E$2:$E$4, MATCH(E1135, Unit_Paths!$A$2:$A$4, 0)),1)</f>
        <v>35</v>
      </c>
      <c r="L1135" s="6" t="n">
        <f aca="false">ROUND(INDEX(Archetypes!$I$2:$I$127, MATCH(D1135, Archetypes!$A$2:$A$127, 0))*INDEX(Unit_Grades!$C$2:$C$7, MATCH(F1135, Unit_Grades!$A$2:$A$7, 0)),1)</f>
        <v>55.5</v>
      </c>
      <c r="M1135" s="6" t="n">
        <f aca="false">ROUND(INDEX(Archetypes!$J$2:$J$127, MATCH(D1135, Archetypes!$A$2:$A$127, 0))*INDEX(Unit_Grades!$D$2:$D$7, MATCH(F1135, Unit_Grades!$A$2:$A$7, 0)),1)</f>
        <v>73.1</v>
      </c>
      <c r="N1135" s="6" t="n">
        <f aca="false">ROUND(M1135/24,2)</f>
        <v>3.05</v>
      </c>
    </row>
    <row r="1136" customFormat="false" ht="15" hidden="false" customHeight="true" outlineLevel="0" collapsed="false">
      <c r="A1136" s="6" t="n">
        <v>4</v>
      </c>
      <c r="B1136" s="6" t="s">
        <v>1396</v>
      </c>
      <c r="C1136" s="6" t="s">
        <v>1396</v>
      </c>
      <c r="D1136" s="6" t="str">
        <f aca="false">A1136&amp;"|"&amp;C1136</f>
        <v>4|Heavy Tank</v>
      </c>
      <c r="E1136" s="6" t="s">
        <v>1556</v>
      </c>
      <c r="F1136" s="6" t="s">
        <v>1538</v>
      </c>
      <c r="G1136" s="6" t="str">
        <f aca="false">INDEX(Archetypes!$D$2:$D$127, MATCH(D1136, Archetypes!$A$2:$A$127, 0))</f>
        <v>Armor</v>
      </c>
      <c r="H1136" s="6" t="n">
        <f aca="false">ROUND(INDEX(Archetypes!$E$2:$E$127, MATCH(D1136, Archetypes!$A$2:$A$127, 0))*INDEX(Unit_Grades!$B$2:$B$7, MATCH(F1136, Unit_Grades!$A$2:$A$7, 0))*INDEX(Unit_Paths!$B$2:$B$4, MATCH(E1136, Unit_Paths!$A$2:$A$4, 0)),1)</f>
        <v>150</v>
      </c>
      <c r="I1136" s="6" t="n">
        <f aca="false">ROUND(INDEX(Archetypes!$F$2:$F$127, MATCH(D1136, Archetypes!$A$2:$A$127, 0))*INDEX(Unit_Grades!$B$2:$B$7, MATCH(F1136, Unit_Grades!$A$2:$A$7, 0))*INDEX(Unit_Paths!$C$2:$C$4, MATCH(E1136, Unit_Paths!$A$2:$A$4, 0)),1)</f>
        <v>120</v>
      </c>
      <c r="J1136" s="6" t="n">
        <f aca="false">ROUND(INDEX(Archetypes!$G$2:$G$127, MATCH(D1136, Archetypes!$A$2:$A$127, 0))*INDEX(Unit_Grades!$B$2:$B$7, MATCH(F1136, Unit_Grades!$A$2:$A$7, 0))*INDEX(Unit_Paths!$D$2:$D$4, MATCH(E1136, Unit_Paths!$A$2:$A$4, 0)),0)</f>
        <v>420</v>
      </c>
      <c r="K1136" s="6" t="n">
        <f aca="false">ROUND(INDEX(Archetypes!$H$2:$H$127, MATCH(D1136, Archetypes!$A$2:$A$127, 0))*INDEX(Unit_Paths!$E$2:$E$4, MATCH(E1136, Unit_Paths!$A$2:$A$4, 0)),1)</f>
        <v>24</v>
      </c>
      <c r="L1136" s="6" t="n">
        <f aca="false">ROUND(INDEX(Archetypes!$I$2:$I$127, MATCH(D1136, Archetypes!$A$2:$A$127, 0))*INDEX(Unit_Grades!$C$2:$C$7, MATCH(F1136, Unit_Grades!$A$2:$A$7, 0)),1)</f>
        <v>24</v>
      </c>
      <c r="M1136" s="6" t="n">
        <f aca="false">ROUND(INDEX(Archetypes!$J$2:$J$127, MATCH(D1136, Archetypes!$A$2:$A$127, 0))*INDEX(Unit_Grades!$D$2:$D$7, MATCH(F1136, Unit_Grades!$A$2:$A$7, 0)),1)</f>
        <v>9.7</v>
      </c>
      <c r="N1136" s="6" t="n">
        <f aca="false">ROUND(M1136/24,2)</f>
        <v>0.4</v>
      </c>
    </row>
    <row r="1137" customFormat="false" ht="15" hidden="false" customHeight="true" outlineLevel="0" collapsed="false">
      <c r="A1137" s="6" t="n">
        <v>4</v>
      </c>
      <c r="B1137" s="6" t="s">
        <v>2641</v>
      </c>
      <c r="C1137" s="6" t="s">
        <v>1396</v>
      </c>
      <c r="D1137" s="6" t="str">
        <f aca="false">A1137&amp;"|"&amp;C1137</f>
        <v>4|Heavy Tank</v>
      </c>
      <c r="E1137" s="6" t="s">
        <v>1556</v>
      </c>
      <c r="F1137" s="6" t="s">
        <v>1540</v>
      </c>
      <c r="G1137" s="6" t="str">
        <f aca="false">INDEX(Archetypes!$D$2:$D$127, MATCH(D1137, Archetypes!$A$2:$A$127, 0))</f>
        <v>Armor</v>
      </c>
      <c r="H1137" s="6" t="n">
        <f aca="false">ROUND(INDEX(Archetypes!$E$2:$E$127, MATCH(D1137, Archetypes!$A$2:$A$127, 0))*INDEX(Unit_Grades!$B$2:$B$7, MATCH(F1137, Unit_Grades!$A$2:$A$7, 0))*INDEX(Unit_Paths!$B$2:$B$4, MATCH(E1137, Unit_Paths!$A$2:$A$4, 0)),1)</f>
        <v>202.5</v>
      </c>
      <c r="I1137" s="6" t="n">
        <f aca="false">ROUND(INDEX(Archetypes!$F$2:$F$127, MATCH(D1137, Archetypes!$A$2:$A$127, 0))*INDEX(Unit_Grades!$B$2:$B$7, MATCH(F1137, Unit_Grades!$A$2:$A$7, 0))*INDEX(Unit_Paths!$C$2:$C$4, MATCH(E1137, Unit_Paths!$A$2:$A$4, 0)),1)</f>
        <v>162</v>
      </c>
      <c r="J1137" s="6" t="n">
        <f aca="false">ROUND(INDEX(Archetypes!$G$2:$G$127, MATCH(D1137, Archetypes!$A$2:$A$127, 0))*INDEX(Unit_Grades!$B$2:$B$7, MATCH(F1137, Unit_Grades!$A$2:$A$7, 0))*INDEX(Unit_Paths!$D$2:$D$4, MATCH(E1137, Unit_Paths!$A$2:$A$4, 0)),0)</f>
        <v>567</v>
      </c>
      <c r="K1137" s="6" t="n">
        <f aca="false">ROUND(INDEX(Archetypes!$H$2:$H$127, MATCH(D1137, Archetypes!$A$2:$A$127, 0))*INDEX(Unit_Paths!$E$2:$E$4, MATCH(E1137, Unit_Paths!$A$2:$A$4, 0)),1)</f>
        <v>24</v>
      </c>
      <c r="L1137" s="6" t="n">
        <f aca="false">ROUND(INDEX(Archetypes!$I$2:$I$127, MATCH(D1137, Archetypes!$A$2:$A$127, 0))*INDEX(Unit_Grades!$C$2:$C$7, MATCH(F1137, Unit_Grades!$A$2:$A$7, 0)),1)</f>
        <v>30</v>
      </c>
      <c r="M1137" s="6" t="n">
        <f aca="false">ROUND(INDEX(Archetypes!$J$2:$J$127, MATCH(D1137, Archetypes!$A$2:$A$127, 0))*INDEX(Unit_Grades!$D$2:$D$7, MATCH(F1137, Unit_Grades!$A$2:$A$7, 0)),1)</f>
        <v>14.6</v>
      </c>
      <c r="N1137" s="6" t="n">
        <f aca="false">ROUND(M1137/24,2)</f>
        <v>0.61</v>
      </c>
    </row>
    <row r="1138" customFormat="false" ht="15" hidden="false" customHeight="true" outlineLevel="0" collapsed="false">
      <c r="A1138" s="6" t="n">
        <v>4</v>
      </c>
      <c r="B1138" s="6" t="s">
        <v>2642</v>
      </c>
      <c r="C1138" s="6" t="s">
        <v>1396</v>
      </c>
      <c r="D1138" s="6" t="str">
        <f aca="false">A1138&amp;"|"&amp;C1138</f>
        <v>4|Heavy Tank</v>
      </c>
      <c r="E1138" s="6" t="s">
        <v>1556</v>
      </c>
      <c r="F1138" s="6" t="s">
        <v>1542</v>
      </c>
      <c r="G1138" s="6" t="str">
        <f aca="false">INDEX(Archetypes!$D$2:$D$127, MATCH(D1138, Archetypes!$A$2:$A$127, 0))</f>
        <v>Armor</v>
      </c>
      <c r="H1138" s="6" t="n">
        <f aca="false">ROUND(INDEX(Archetypes!$E$2:$E$127, MATCH(D1138, Archetypes!$A$2:$A$127, 0))*INDEX(Unit_Grades!$B$2:$B$7, MATCH(F1138, Unit_Grades!$A$2:$A$7, 0))*INDEX(Unit_Paths!$B$2:$B$4, MATCH(E1138, Unit_Paths!$A$2:$A$4, 0)),1)</f>
        <v>270</v>
      </c>
      <c r="I1138" s="6" t="n">
        <f aca="false">ROUND(INDEX(Archetypes!$F$2:$F$127, MATCH(D1138, Archetypes!$A$2:$A$127, 0))*INDEX(Unit_Grades!$B$2:$B$7, MATCH(F1138, Unit_Grades!$A$2:$A$7, 0))*INDEX(Unit_Paths!$C$2:$C$4, MATCH(E1138, Unit_Paths!$A$2:$A$4, 0)),1)</f>
        <v>216</v>
      </c>
      <c r="J1138" s="6" t="n">
        <f aca="false">ROUND(INDEX(Archetypes!$G$2:$G$127, MATCH(D1138, Archetypes!$A$2:$A$127, 0))*INDEX(Unit_Grades!$B$2:$B$7, MATCH(F1138, Unit_Grades!$A$2:$A$7, 0))*INDEX(Unit_Paths!$D$2:$D$4, MATCH(E1138, Unit_Paths!$A$2:$A$4, 0)),0)</f>
        <v>756</v>
      </c>
      <c r="K1138" s="6" t="n">
        <f aca="false">ROUND(INDEX(Archetypes!$H$2:$H$127, MATCH(D1138, Archetypes!$A$2:$A$127, 0))*INDEX(Unit_Paths!$E$2:$E$4, MATCH(E1138, Unit_Paths!$A$2:$A$4, 0)),1)</f>
        <v>24</v>
      </c>
      <c r="L1138" s="6" t="n">
        <f aca="false">ROUND(INDEX(Archetypes!$I$2:$I$127, MATCH(D1138, Archetypes!$A$2:$A$127, 0))*INDEX(Unit_Grades!$C$2:$C$7, MATCH(F1138, Unit_Grades!$A$2:$A$7, 0)),1)</f>
        <v>38.4</v>
      </c>
      <c r="M1138" s="6" t="n">
        <f aca="false">ROUND(INDEX(Archetypes!$J$2:$J$127, MATCH(D1138, Archetypes!$A$2:$A$127, 0))*INDEX(Unit_Grades!$D$2:$D$7, MATCH(F1138, Unit_Grades!$A$2:$A$7, 0)),1)</f>
        <v>24.4</v>
      </c>
      <c r="N1138" s="6" t="n">
        <f aca="false">ROUND(M1138/24,2)</f>
        <v>1.02</v>
      </c>
    </row>
    <row r="1139" customFormat="false" ht="15" hidden="false" customHeight="true" outlineLevel="0" collapsed="false">
      <c r="A1139" s="6" t="n">
        <v>4</v>
      </c>
      <c r="B1139" s="6" t="s">
        <v>2643</v>
      </c>
      <c r="C1139" s="6" t="s">
        <v>1396</v>
      </c>
      <c r="D1139" s="6" t="str">
        <f aca="false">A1139&amp;"|"&amp;C1139</f>
        <v>4|Heavy Tank</v>
      </c>
      <c r="E1139" s="6" t="s">
        <v>1556</v>
      </c>
      <c r="F1139" s="6" t="s">
        <v>1544</v>
      </c>
      <c r="G1139" s="6" t="str">
        <f aca="false">INDEX(Archetypes!$D$2:$D$127, MATCH(D1139, Archetypes!$A$2:$A$127, 0))</f>
        <v>Armor</v>
      </c>
      <c r="H1139" s="6" t="n">
        <f aca="false">ROUND(INDEX(Archetypes!$E$2:$E$127, MATCH(D1139, Archetypes!$A$2:$A$127, 0))*INDEX(Unit_Grades!$B$2:$B$7, MATCH(F1139, Unit_Grades!$A$2:$A$7, 0))*INDEX(Unit_Paths!$B$2:$B$4, MATCH(E1139, Unit_Paths!$A$2:$A$4, 0)),1)</f>
        <v>360</v>
      </c>
      <c r="I1139" s="6" t="n">
        <f aca="false">ROUND(INDEX(Archetypes!$F$2:$F$127, MATCH(D1139, Archetypes!$A$2:$A$127, 0))*INDEX(Unit_Grades!$B$2:$B$7, MATCH(F1139, Unit_Grades!$A$2:$A$7, 0))*INDEX(Unit_Paths!$C$2:$C$4, MATCH(E1139, Unit_Paths!$A$2:$A$4, 0)),1)</f>
        <v>288</v>
      </c>
      <c r="J1139" s="6" t="n">
        <f aca="false">ROUND(INDEX(Archetypes!$G$2:$G$127, MATCH(D1139, Archetypes!$A$2:$A$127, 0))*INDEX(Unit_Grades!$B$2:$B$7, MATCH(F1139, Unit_Grades!$A$2:$A$7, 0))*INDEX(Unit_Paths!$D$2:$D$4, MATCH(E1139, Unit_Paths!$A$2:$A$4, 0)),0)</f>
        <v>1008</v>
      </c>
      <c r="K1139" s="6" t="n">
        <f aca="false">ROUND(INDEX(Archetypes!$H$2:$H$127, MATCH(D1139, Archetypes!$A$2:$A$127, 0))*INDEX(Unit_Paths!$E$2:$E$4, MATCH(E1139, Unit_Paths!$A$2:$A$4, 0)),1)</f>
        <v>24</v>
      </c>
      <c r="L1139" s="6" t="n">
        <f aca="false">ROUND(INDEX(Archetypes!$I$2:$I$127, MATCH(D1139, Archetypes!$A$2:$A$127, 0))*INDEX(Unit_Grades!$C$2:$C$7, MATCH(F1139, Unit_Grades!$A$2:$A$7, 0)),1)</f>
        <v>50.4</v>
      </c>
      <c r="M1139" s="6" t="n">
        <f aca="false">ROUND(INDEX(Archetypes!$J$2:$J$127, MATCH(D1139, Archetypes!$A$2:$A$127, 0))*INDEX(Unit_Grades!$D$2:$D$7, MATCH(F1139, Unit_Grades!$A$2:$A$7, 0)),1)</f>
        <v>39</v>
      </c>
      <c r="N1139" s="6" t="n">
        <f aca="false">ROUND(M1139/24,2)</f>
        <v>1.63</v>
      </c>
    </row>
    <row r="1140" customFormat="false" ht="15" hidden="false" customHeight="true" outlineLevel="0" collapsed="false">
      <c r="A1140" s="6" t="n">
        <v>4</v>
      </c>
      <c r="B1140" s="6" t="s">
        <v>2644</v>
      </c>
      <c r="C1140" s="6" t="s">
        <v>1396</v>
      </c>
      <c r="D1140" s="6" t="str">
        <f aca="false">A1140&amp;"|"&amp;C1140</f>
        <v>4|Heavy Tank</v>
      </c>
      <c r="E1140" s="6" t="s">
        <v>1556</v>
      </c>
      <c r="F1140" s="6" t="s">
        <v>1546</v>
      </c>
      <c r="G1140" s="6" t="str">
        <f aca="false">INDEX(Archetypes!$D$2:$D$127, MATCH(D1140, Archetypes!$A$2:$A$127, 0))</f>
        <v>Armor</v>
      </c>
      <c r="H1140" s="6" t="n">
        <f aca="false">ROUND(INDEX(Archetypes!$E$2:$E$127, MATCH(D1140, Archetypes!$A$2:$A$127, 0))*INDEX(Unit_Grades!$B$2:$B$7, MATCH(F1140, Unit_Grades!$A$2:$A$7, 0))*INDEX(Unit_Paths!$B$2:$B$4, MATCH(E1140, Unit_Paths!$A$2:$A$4, 0)),1)</f>
        <v>480</v>
      </c>
      <c r="I1140" s="6" t="n">
        <f aca="false">ROUND(INDEX(Archetypes!$F$2:$F$127, MATCH(D1140, Archetypes!$A$2:$A$127, 0))*INDEX(Unit_Grades!$B$2:$B$7, MATCH(F1140, Unit_Grades!$A$2:$A$7, 0))*INDEX(Unit_Paths!$C$2:$C$4, MATCH(E1140, Unit_Paths!$A$2:$A$4, 0)),1)</f>
        <v>384</v>
      </c>
      <c r="J1140" s="6" t="n">
        <f aca="false">ROUND(INDEX(Archetypes!$G$2:$G$127, MATCH(D1140, Archetypes!$A$2:$A$127, 0))*INDEX(Unit_Grades!$B$2:$B$7, MATCH(F1140, Unit_Grades!$A$2:$A$7, 0))*INDEX(Unit_Paths!$D$2:$D$4, MATCH(E1140, Unit_Paths!$A$2:$A$4, 0)),0)</f>
        <v>1344</v>
      </c>
      <c r="K1140" s="6" t="n">
        <f aca="false">ROUND(INDEX(Archetypes!$H$2:$H$127, MATCH(D1140, Archetypes!$A$2:$A$127, 0))*INDEX(Unit_Paths!$E$2:$E$4, MATCH(E1140, Unit_Paths!$A$2:$A$4, 0)),1)</f>
        <v>24</v>
      </c>
      <c r="L1140" s="6" t="n">
        <f aca="false">ROUND(INDEX(Archetypes!$I$2:$I$127, MATCH(D1140, Archetypes!$A$2:$A$127, 0))*INDEX(Unit_Grades!$C$2:$C$7, MATCH(F1140, Unit_Grades!$A$2:$A$7, 0)),1)</f>
        <v>67.2</v>
      </c>
      <c r="M1140" s="6" t="n">
        <f aca="false">ROUND(INDEX(Archetypes!$J$2:$J$127, MATCH(D1140, Archetypes!$A$2:$A$127, 0))*INDEX(Unit_Grades!$D$2:$D$7, MATCH(F1140, Unit_Grades!$A$2:$A$7, 0)),1)</f>
        <v>68.2</v>
      </c>
      <c r="N1140" s="6" t="n">
        <f aca="false">ROUND(M1140/24,2)</f>
        <v>2.84</v>
      </c>
    </row>
    <row r="1141" customFormat="false" ht="15" hidden="false" customHeight="true" outlineLevel="0" collapsed="false">
      <c r="A1141" s="6" t="n">
        <v>4</v>
      </c>
      <c r="B1141" s="6" t="s">
        <v>2645</v>
      </c>
      <c r="C1141" s="6" t="s">
        <v>1396</v>
      </c>
      <c r="D1141" s="6" t="str">
        <f aca="false">A1141&amp;"|"&amp;C1141</f>
        <v>4|Heavy Tank</v>
      </c>
      <c r="E1141" s="6" t="s">
        <v>1556</v>
      </c>
      <c r="F1141" s="6" t="s">
        <v>1548</v>
      </c>
      <c r="G1141" s="6" t="str">
        <f aca="false">INDEX(Archetypes!$D$2:$D$127, MATCH(D1141, Archetypes!$A$2:$A$127, 0))</f>
        <v>Armor</v>
      </c>
      <c r="H1141" s="6" t="n">
        <f aca="false">ROUND(INDEX(Archetypes!$E$2:$E$127, MATCH(D1141, Archetypes!$A$2:$A$127, 0))*INDEX(Unit_Grades!$B$2:$B$7, MATCH(F1141, Unit_Grades!$A$2:$A$7, 0))*INDEX(Unit_Paths!$B$2:$B$4, MATCH(E1141, Unit_Paths!$A$2:$A$4, 0)),1)</f>
        <v>630</v>
      </c>
      <c r="I1141" s="6" t="n">
        <f aca="false">ROUND(INDEX(Archetypes!$F$2:$F$127, MATCH(D1141, Archetypes!$A$2:$A$127, 0))*INDEX(Unit_Grades!$B$2:$B$7, MATCH(F1141, Unit_Grades!$A$2:$A$7, 0))*INDEX(Unit_Paths!$C$2:$C$4, MATCH(E1141, Unit_Paths!$A$2:$A$4, 0)),1)</f>
        <v>504</v>
      </c>
      <c r="J1141" s="6" t="n">
        <f aca="false">ROUND(INDEX(Archetypes!$G$2:$G$127, MATCH(D1141, Archetypes!$A$2:$A$127, 0))*INDEX(Unit_Grades!$B$2:$B$7, MATCH(F1141, Unit_Grades!$A$2:$A$7, 0))*INDEX(Unit_Paths!$D$2:$D$4, MATCH(E1141, Unit_Paths!$A$2:$A$4, 0)),0)</f>
        <v>1764</v>
      </c>
      <c r="K1141" s="6" t="n">
        <f aca="false">ROUND(INDEX(Archetypes!$H$2:$H$127, MATCH(D1141, Archetypes!$A$2:$A$127, 0))*INDEX(Unit_Paths!$E$2:$E$4, MATCH(E1141, Unit_Paths!$A$2:$A$4, 0)),1)</f>
        <v>24</v>
      </c>
      <c r="L1141" s="6" t="n">
        <f aca="false">ROUND(INDEX(Archetypes!$I$2:$I$127, MATCH(D1141, Archetypes!$A$2:$A$127, 0))*INDEX(Unit_Grades!$C$2:$C$7, MATCH(F1141, Unit_Grades!$A$2:$A$7, 0)),1)</f>
        <v>88.8</v>
      </c>
      <c r="M1141" s="6" t="n">
        <f aca="false">ROUND(INDEX(Archetypes!$J$2:$J$127, MATCH(D1141, Archetypes!$A$2:$A$127, 0))*INDEX(Unit_Grades!$D$2:$D$7, MATCH(F1141, Unit_Grades!$A$2:$A$7, 0)),1)</f>
        <v>116.9</v>
      </c>
      <c r="N1141" s="6" t="n">
        <f aca="false">ROUND(M1141/24,2)</f>
        <v>4.87</v>
      </c>
    </row>
    <row r="1142" customFormat="false" ht="15" hidden="false" customHeight="true" outlineLevel="0" collapsed="false">
      <c r="A1142" s="6" t="n">
        <v>4</v>
      </c>
      <c r="B1142" s="6" t="s">
        <v>2646</v>
      </c>
      <c r="C1142" s="6" t="s">
        <v>1396</v>
      </c>
      <c r="D1142" s="6" t="str">
        <f aca="false">A1142&amp;"|"&amp;C1142</f>
        <v>4|Heavy Tank</v>
      </c>
      <c r="E1142" s="6" t="s">
        <v>1558</v>
      </c>
      <c r="F1142" s="6" t="s">
        <v>1538</v>
      </c>
      <c r="G1142" s="6" t="str">
        <f aca="false">INDEX(Archetypes!$D$2:$D$127, MATCH(D1142, Archetypes!$A$2:$A$127, 0))</f>
        <v>Armor</v>
      </c>
      <c r="H1142" s="6" t="n">
        <f aca="false">ROUND(INDEX(Archetypes!$E$2:$E$127, MATCH(D1142, Archetypes!$A$2:$A$127, 0))*INDEX(Unit_Grades!$B$2:$B$7, MATCH(F1142, Unit_Grades!$A$2:$A$7, 0))*INDEX(Unit_Paths!$B$2:$B$4, MATCH(E1142, Unit_Paths!$A$2:$A$4, 0)),1)</f>
        <v>180</v>
      </c>
      <c r="I1142" s="6" t="n">
        <f aca="false">ROUND(INDEX(Archetypes!$F$2:$F$127, MATCH(D1142, Archetypes!$A$2:$A$127, 0))*INDEX(Unit_Grades!$B$2:$B$7, MATCH(F1142, Unit_Grades!$A$2:$A$7, 0))*INDEX(Unit_Paths!$C$2:$C$4, MATCH(E1142, Unit_Paths!$A$2:$A$4, 0)),1)</f>
        <v>102</v>
      </c>
      <c r="J1142" s="6" t="n">
        <f aca="false">ROUND(INDEX(Archetypes!$G$2:$G$127, MATCH(D1142, Archetypes!$A$2:$A$127, 0))*INDEX(Unit_Grades!$B$2:$B$7, MATCH(F1142, Unit_Grades!$A$2:$A$7, 0))*INDEX(Unit_Paths!$D$2:$D$4, MATCH(E1142, Unit_Paths!$A$2:$A$4, 0)),0)</f>
        <v>399</v>
      </c>
      <c r="K1142" s="6" t="n">
        <f aca="false">ROUND(INDEX(Archetypes!$H$2:$H$127, MATCH(D1142, Archetypes!$A$2:$A$127, 0))*INDEX(Unit_Paths!$E$2:$E$4, MATCH(E1142, Unit_Paths!$A$2:$A$4, 0)),1)</f>
        <v>25.2</v>
      </c>
      <c r="L1142" s="6" t="n">
        <f aca="false">ROUND(INDEX(Archetypes!$I$2:$I$127, MATCH(D1142, Archetypes!$A$2:$A$127, 0))*INDEX(Unit_Grades!$C$2:$C$7, MATCH(F1142, Unit_Grades!$A$2:$A$7, 0)),1)</f>
        <v>24</v>
      </c>
      <c r="M1142" s="6" t="n">
        <f aca="false">ROUND(INDEX(Archetypes!$J$2:$J$127, MATCH(D1142, Archetypes!$A$2:$A$127, 0))*INDEX(Unit_Grades!$D$2:$D$7, MATCH(F1142, Unit_Grades!$A$2:$A$7, 0)),1)</f>
        <v>9.7</v>
      </c>
      <c r="N1142" s="6" t="n">
        <f aca="false">ROUND(M1142/24,2)</f>
        <v>0.4</v>
      </c>
    </row>
    <row r="1143" customFormat="false" ht="15" hidden="false" customHeight="true" outlineLevel="0" collapsed="false">
      <c r="A1143" s="6" t="n">
        <v>4</v>
      </c>
      <c r="B1143" s="6" t="s">
        <v>2647</v>
      </c>
      <c r="C1143" s="6" t="s">
        <v>1396</v>
      </c>
      <c r="D1143" s="6" t="str">
        <f aca="false">A1143&amp;"|"&amp;C1143</f>
        <v>4|Heavy Tank</v>
      </c>
      <c r="E1143" s="6" t="s">
        <v>1558</v>
      </c>
      <c r="F1143" s="6" t="s">
        <v>1540</v>
      </c>
      <c r="G1143" s="6" t="str">
        <f aca="false">INDEX(Archetypes!$D$2:$D$127, MATCH(D1143, Archetypes!$A$2:$A$127, 0))</f>
        <v>Armor</v>
      </c>
      <c r="H1143" s="6" t="n">
        <f aca="false">ROUND(INDEX(Archetypes!$E$2:$E$127, MATCH(D1143, Archetypes!$A$2:$A$127, 0))*INDEX(Unit_Grades!$B$2:$B$7, MATCH(F1143, Unit_Grades!$A$2:$A$7, 0))*INDEX(Unit_Paths!$B$2:$B$4, MATCH(E1143, Unit_Paths!$A$2:$A$4, 0)),1)</f>
        <v>243</v>
      </c>
      <c r="I1143" s="6" t="n">
        <f aca="false">ROUND(INDEX(Archetypes!$F$2:$F$127, MATCH(D1143, Archetypes!$A$2:$A$127, 0))*INDEX(Unit_Grades!$B$2:$B$7, MATCH(F1143, Unit_Grades!$A$2:$A$7, 0))*INDEX(Unit_Paths!$C$2:$C$4, MATCH(E1143, Unit_Paths!$A$2:$A$4, 0)),1)</f>
        <v>137.7</v>
      </c>
      <c r="J1143" s="6" t="n">
        <f aca="false">ROUND(INDEX(Archetypes!$G$2:$G$127, MATCH(D1143, Archetypes!$A$2:$A$127, 0))*INDEX(Unit_Grades!$B$2:$B$7, MATCH(F1143, Unit_Grades!$A$2:$A$7, 0))*INDEX(Unit_Paths!$D$2:$D$4, MATCH(E1143, Unit_Paths!$A$2:$A$4, 0)),0)</f>
        <v>539</v>
      </c>
      <c r="K1143" s="6" t="n">
        <f aca="false">ROUND(INDEX(Archetypes!$H$2:$H$127, MATCH(D1143, Archetypes!$A$2:$A$127, 0))*INDEX(Unit_Paths!$E$2:$E$4, MATCH(E1143, Unit_Paths!$A$2:$A$4, 0)),1)</f>
        <v>25.2</v>
      </c>
      <c r="L1143" s="6" t="n">
        <f aca="false">ROUND(INDEX(Archetypes!$I$2:$I$127, MATCH(D1143, Archetypes!$A$2:$A$127, 0))*INDEX(Unit_Grades!$C$2:$C$7, MATCH(F1143, Unit_Grades!$A$2:$A$7, 0)),1)</f>
        <v>30</v>
      </c>
      <c r="M1143" s="6" t="n">
        <f aca="false">ROUND(INDEX(Archetypes!$J$2:$J$127, MATCH(D1143, Archetypes!$A$2:$A$127, 0))*INDEX(Unit_Grades!$D$2:$D$7, MATCH(F1143, Unit_Grades!$A$2:$A$7, 0)),1)</f>
        <v>14.6</v>
      </c>
      <c r="N1143" s="6" t="n">
        <f aca="false">ROUND(M1143/24,2)</f>
        <v>0.61</v>
      </c>
    </row>
    <row r="1144" customFormat="false" ht="15" hidden="false" customHeight="true" outlineLevel="0" collapsed="false">
      <c r="A1144" s="6" t="n">
        <v>4</v>
      </c>
      <c r="B1144" s="6" t="s">
        <v>2648</v>
      </c>
      <c r="C1144" s="6" t="s">
        <v>1396</v>
      </c>
      <c r="D1144" s="6" t="str">
        <f aca="false">A1144&amp;"|"&amp;C1144</f>
        <v>4|Heavy Tank</v>
      </c>
      <c r="E1144" s="6" t="s">
        <v>1558</v>
      </c>
      <c r="F1144" s="6" t="s">
        <v>1542</v>
      </c>
      <c r="G1144" s="6" t="str">
        <f aca="false">INDEX(Archetypes!$D$2:$D$127, MATCH(D1144, Archetypes!$A$2:$A$127, 0))</f>
        <v>Armor</v>
      </c>
      <c r="H1144" s="6" t="n">
        <f aca="false">ROUND(INDEX(Archetypes!$E$2:$E$127, MATCH(D1144, Archetypes!$A$2:$A$127, 0))*INDEX(Unit_Grades!$B$2:$B$7, MATCH(F1144, Unit_Grades!$A$2:$A$7, 0))*INDEX(Unit_Paths!$B$2:$B$4, MATCH(E1144, Unit_Paths!$A$2:$A$4, 0)),1)</f>
        <v>324</v>
      </c>
      <c r="I1144" s="6" t="n">
        <f aca="false">ROUND(INDEX(Archetypes!$F$2:$F$127, MATCH(D1144, Archetypes!$A$2:$A$127, 0))*INDEX(Unit_Grades!$B$2:$B$7, MATCH(F1144, Unit_Grades!$A$2:$A$7, 0))*INDEX(Unit_Paths!$C$2:$C$4, MATCH(E1144, Unit_Paths!$A$2:$A$4, 0)),1)</f>
        <v>183.6</v>
      </c>
      <c r="J1144" s="6" t="n">
        <f aca="false">ROUND(INDEX(Archetypes!$G$2:$G$127, MATCH(D1144, Archetypes!$A$2:$A$127, 0))*INDEX(Unit_Grades!$B$2:$B$7, MATCH(F1144, Unit_Grades!$A$2:$A$7, 0))*INDEX(Unit_Paths!$D$2:$D$4, MATCH(E1144, Unit_Paths!$A$2:$A$4, 0)),0)</f>
        <v>718</v>
      </c>
      <c r="K1144" s="6" t="n">
        <f aca="false">ROUND(INDEX(Archetypes!$H$2:$H$127, MATCH(D1144, Archetypes!$A$2:$A$127, 0))*INDEX(Unit_Paths!$E$2:$E$4, MATCH(E1144, Unit_Paths!$A$2:$A$4, 0)),1)</f>
        <v>25.2</v>
      </c>
      <c r="L1144" s="6" t="n">
        <f aca="false">ROUND(INDEX(Archetypes!$I$2:$I$127, MATCH(D1144, Archetypes!$A$2:$A$127, 0))*INDEX(Unit_Grades!$C$2:$C$7, MATCH(F1144, Unit_Grades!$A$2:$A$7, 0)),1)</f>
        <v>38.4</v>
      </c>
      <c r="M1144" s="6" t="n">
        <f aca="false">ROUND(INDEX(Archetypes!$J$2:$J$127, MATCH(D1144, Archetypes!$A$2:$A$127, 0))*INDEX(Unit_Grades!$D$2:$D$7, MATCH(F1144, Unit_Grades!$A$2:$A$7, 0)),1)</f>
        <v>24.4</v>
      </c>
      <c r="N1144" s="6" t="n">
        <f aca="false">ROUND(M1144/24,2)</f>
        <v>1.02</v>
      </c>
    </row>
    <row r="1145" customFormat="false" ht="15" hidden="false" customHeight="true" outlineLevel="0" collapsed="false">
      <c r="A1145" s="6" t="n">
        <v>4</v>
      </c>
      <c r="B1145" s="6" t="s">
        <v>2649</v>
      </c>
      <c r="C1145" s="6" t="s">
        <v>1396</v>
      </c>
      <c r="D1145" s="6" t="str">
        <f aca="false">A1145&amp;"|"&amp;C1145</f>
        <v>4|Heavy Tank</v>
      </c>
      <c r="E1145" s="6" t="s">
        <v>1558</v>
      </c>
      <c r="F1145" s="6" t="s">
        <v>1544</v>
      </c>
      <c r="G1145" s="6" t="str">
        <f aca="false">INDEX(Archetypes!$D$2:$D$127, MATCH(D1145, Archetypes!$A$2:$A$127, 0))</f>
        <v>Armor</v>
      </c>
      <c r="H1145" s="6" t="n">
        <f aca="false">ROUND(INDEX(Archetypes!$E$2:$E$127, MATCH(D1145, Archetypes!$A$2:$A$127, 0))*INDEX(Unit_Grades!$B$2:$B$7, MATCH(F1145, Unit_Grades!$A$2:$A$7, 0))*INDEX(Unit_Paths!$B$2:$B$4, MATCH(E1145, Unit_Paths!$A$2:$A$4, 0)),1)</f>
        <v>432</v>
      </c>
      <c r="I1145" s="6" t="n">
        <f aca="false">ROUND(INDEX(Archetypes!$F$2:$F$127, MATCH(D1145, Archetypes!$A$2:$A$127, 0))*INDEX(Unit_Grades!$B$2:$B$7, MATCH(F1145, Unit_Grades!$A$2:$A$7, 0))*INDEX(Unit_Paths!$C$2:$C$4, MATCH(E1145, Unit_Paths!$A$2:$A$4, 0)),1)</f>
        <v>244.8</v>
      </c>
      <c r="J1145" s="6" t="n">
        <f aca="false">ROUND(INDEX(Archetypes!$G$2:$G$127, MATCH(D1145, Archetypes!$A$2:$A$127, 0))*INDEX(Unit_Grades!$B$2:$B$7, MATCH(F1145, Unit_Grades!$A$2:$A$7, 0))*INDEX(Unit_Paths!$D$2:$D$4, MATCH(E1145, Unit_Paths!$A$2:$A$4, 0)),0)</f>
        <v>958</v>
      </c>
      <c r="K1145" s="6" t="n">
        <f aca="false">ROUND(INDEX(Archetypes!$H$2:$H$127, MATCH(D1145, Archetypes!$A$2:$A$127, 0))*INDEX(Unit_Paths!$E$2:$E$4, MATCH(E1145, Unit_Paths!$A$2:$A$4, 0)),1)</f>
        <v>25.2</v>
      </c>
      <c r="L1145" s="6" t="n">
        <f aca="false">ROUND(INDEX(Archetypes!$I$2:$I$127, MATCH(D1145, Archetypes!$A$2:$A$127, 0))*INDEX(Unit_Grades!$C$2:$C$7, MATCH(F1145, Unit_Grades!$A$2:$A$7, 0)),1)</f>
        <v>50.4</v>
      </c>
      <c r="M1145" s="6" t="n">
        <f aca="false">ROUND(INDEX(Archetypes!$J$2:$J$127, MATCH(D1145, Archetypes!$A$2:$A$127, 0))*INDEX(Unit_Grades!$D$2:$D$7, MATCH(F1145, Unit_Grades!$A$2:$A$7, 0)),1)</f>
        <v>39</v>
      </c>
      <c r="N1145" s="6" t="n">
        <f aca="false">ROUND(M1145/24,2)</f>
        <v>1.63</v>
      </c>
    </row>
    <row r="1146" customFormat="false" ht="15" hidden="false" customHeight="true" outlineLevel="0" collapsed="false">
      <c r="A1146" s="6" t="n">
        <v>4</v>
      </c>
      <c r="B1146" s="6" t="s">
        <v>2650</v>
      </c>
      <c r="C1146" s="6" t="s">
        <v>1396</v>
      </c>
      <c r="D1146" s="6" t="str">
        <f aca="false">A1146&amp;"|"&amp;C1146</f>
        <v>4|Heavy Tank</v>
      </c>
      <c r="E1146" s="6" t="s">
        <v>1558</v>
      </c>
      <c r="F1146" s="6" t="s">
        <v>1546</v>
      </c>
      <c r="G1146" s="6" t="str">
        <f aca="false">INDEX(Archetypes!$D$2:$D$127, MATCH(D1146, Archetypes!$A$2:$A$127, 0))</f>
        <v>Armor</v>
      </c>
      <c r="H1146" s="6" t="n">
        <f aca="false">ROUND(INDEX(Archetypes!$E$2:$E$127, MATCH(D1146, Archetypes!$A$2:$A$127, 0))*INDEX(Unit_Grades!$B$2:$B$7, MATCH(F1146, Unit_Grades!$A$2:$A$7, 0))*INDEX(Unit_Paths!$B$2:$B$4, MATCH(E1146, Unit_Paths!$A$2:$A$4, 0)),1)</f>
        <v>576</v>
      </c>
      <c r="I1146" s="6" t="n">
        <f aca="false">ROUND(INDEX(Archetypes!$F$2:$F$127, MATCH(D1146, Archetypes!$A$2:$A$127, 0))*INDEX(Unit_Grades!$B$2:$B$7, MATCH(F1146, Unit_Grades!$A$2:$A$7, 0))*INDEX(Unit_Paths!$C$2:$C$4, MATCH(E1146, Unit_Paths!$A$2:$A$4, 0)),1)</f>
        <v>326.4</v>
      </c>
      <c r="J1146" s="6" t="n">
        <f aca="false">ROUND(INDEX(Archetypes!$G$2:$G$127, MATCH(D1146, Archetypes!$A$2:$A$127, 0))*INDEX(Unit_Grades!$B$2:$B$7, MATCH(F1146, Unit_Grades!$A$2:$A$7, 0))*INDEX(Unit_Paths!$D$2:$D$4, MATCH(E1146, Unit_Paths!$A$2:$A$4, 0)),0)</f>
        <v>1277</v>
      </c>
      <c r="K1146" s="6" t="n">
        <f aca="false">ROUND(INDEX(Archetypes!$H$2:$H$127, MATCH(D1146, Archetypes!$A$2:$A$127, 0))*INDEX(Unit_Paths!$E$2:$E$4, MATCH(E1146, Unit_Paths!$A$2:$A$4, 0)),1)</f>
        <v>25.2</v>
      </c>
      <c r="L1146" s="6" t="n">
        <f aca="false">ROUND(INDEX(Archetypes!$I$2:$I$127, MATCH(D1146, Archetypes!$A$2:$A$127, 0))*INDEX(Unit_Grades!$C$2:$C$7, MATCH(F1146, Unit_Grades!$A$2:$A$7, 0)),1)</f>
        <v>67.2</v>
      </c>
      <c r="M1146" s="6" t="n">
        <f aca="false">ROUND(INDEX(Archetypes!$J$2:$J$127, MATCH(D1146, Archetypes!$A$2:$A$127, 0))*INDEX(Unit_Grades!$D$2:$D$7, MATCH(F1146, Unit_Grades!$A$2:$A$7, 0)),1)</f>
        <v>68.2</v>
      </c>
      <c r="N1146" s="6" t="n">
        <f aca="false">ROUND(M1146/24,2)</f>
        <v>2.84</v>
      </c>
    </row>
    <row r="1147" customFormat="false" ht="15" hidden="false" customHeight="true" outlineLevel="0" collapsed="false">
      <c r="A1147" s="6" t="n">
        <v>4</v>
      </c>
      <c r="B1147" s="6" t="s">
        <v>2651</v>
      </c>
      <c r="C1147" s="6" t="s">
        <v>1396</v>
      </c>
      <c r="D1147" s="6" t="str">
        <f aca="false">A1147&amp;"|"&amp;C1147</f>
        <v>4|Heavy Tank</v>
      </c>
      <c r="E1147" s="6" t="s">
        <v>1558</v>
      </c>
      <c r="F1147" s="6" t="s">
        <v>1548</v>
      </c>
      <c r="G1147" s="6" t="str">
        <f aca="false">INDEX(Archetypes!$D$2:$D$127, MATCH(D1147, Archetypes!$A$2:$A$127, 0))</f>
        <v>Armor</v>
      </c>
      <c r="H1147" s="6" t="n">
        <f aca="false">ROUND(INDEX(Archetypes!$E$2:$E$127, MATCH(D1147, Archetypes!$A$2:$A$127, 0))*INDEX(Unit_Grades!$B$2:$B$7, MATCH(F1147, Unit_Grades!$A$2:$A$7, 0))*INDEX(Unit_Paths!$B$2:$B$4, MATCH(E1147, Unit_Paths!$A$2:$A$4, 0)),1)</f>
        <v>756</v>
      </c>
      <c r="I1147" s="6" t="n">
        <f aca="false">ROUND(INDEX(Archetypes!$F$2:$F$127, MATCH(D1147, Archetypes!$A$2:$A$127, 0))*INDEX(Unit_Grades!$B$2:$B$7, MATCH(F1147, Unit_Grades!$A$2:$A$7, 0))*INDEX(Unit_Paths!$C$2:$C$4, MATCH(E1147, Unit_Paths!$A$2:$A$4, 0)),1)</f>
        <v>428.4</v>
      </c>
      <c r="J1147" s="6" t="n">
        <f aca="false">ROUND(INDEX(Archetypes!$G$2:$G$127, MATCH(D1147, Archetypes!$A$2:$A$127, 0))*INDEX(Unit_Grades!$B$2:$B$7, MATCH(F1147, Unit_Grades!$A$2:$A$7, 0))*INDEX(Unit_Paths!$D$2:$D$4, MATCH(E1147, Unit_Paths!$A$2:$A$4, 0)),0)</f>
        <v>1676</v>
      </c>
      <c r="K1147" s="6" t="n">
        <f aca="false">ROUND(INDEX(Archetypes!$H$2:$H$127, MATCH(D1147, Archetypes!$A$2:$A$127, 0))*INDEX(Unit_Paths!$E$2:$E$4, MATCH(E1147, Unit_Paths!$A$2:$A$4, 0)),1)</f>
        <v>25.2</v>
      </c>
      <c r="L1147" s="6" t="n">
        <f aca="false">ROUND(INDEX(Archetypes!$I$2:$I$127, MATCH(D1147, Archetypes!$A$2:$A$127, 0))*INDEX(Unit_Grades!$C$2:$C$7, MATCH(F1147, Unit_Grades!$A$2:$A$7, 0)),1)</f>
        <v>88.8</v>
      </c>
      <c r="M1147" s="6" t="n">
        <f aca="false">ROUND(INDEX(Archetypes!$J$2:$J$127, MATCH(D1147, Archetypes!$A$2:$A$127, 0))*INDEX(Unit_Grades!$D$2:$D$7, MATCH(F1147, Unit_Grades!$A$2:$A$7, 0)),1)</f>
        <v>116.9</v>
      </c>
      <c r="N1147" s="6" t="n">
        <f aca="false">ROUND(M1147/24,2)</f>
        <v>4.87</v>
      </c>
    </row>
    <row r="1148" customFormat="false" ht="15" hidden="false" customHeight="true" outlineLevel="0" collapsed="false">
      <c r="A1148" s="6" t="n">
        <v>4</v>
      </c>
      <c r="B1148" s="6" t="s">
        <v>2652</v>
      </c>
      <c r="C1148" s="6" t="s">
        <v>1396</v>
      </c>
      <c r="D1148" s="6" t="str">
        <f aca="false">A1148&amp;"|"&amp;C1148</f>
        <v>4|Heavy Tank</v>
      </c>
      <c r="E1148" s="6" t="s">
        <v>1560</v>
      </c>
      <c r="F1148" s="6" t="s">
        <v>1538</v>
      </c>
      <c r="G1148" s="6" t="str">
        <f aca="false">INDEX(Archetypes!$D$2:$D$127, MATCH(D1148, Archetypes!$A$2:$A$127, 0))</f>
        <v>Armor</v>
      </c>
      <c r="H1148" s="6" t="n">
        <f aca="false">ROUND(INDEX(Archetypes!$E$2:$E$127, MATCH(D1148, Archetypes!$A$2:$A$127, 0))*INDEX(Unit_Grades!$B$2:$B$7, MATCH(F1148, Unit_Grades!$A$2:$A$7, 0))*INDEX(Unit_Paths!$B$2:$B$4, MATCH(E1148, Unit_Paths!$A$2:$A$4, 0)),1)</f>
        <v>127.5</v>
      </c>
      <c r="I1148" s="6" t="n">
        <f aca="false">ROUND(INDEX(Archetypes!$F$2:$F$127, MATCH(D1148, Archetypes!$A$2:$A$127, 0))*INDEX(Unit_Grades!$B$2:$B$7, MATCH(F1148, Unit_Grades!$A$2:$A$7, 0))*INDEX(Unit_Paths!$C$2:$C$4, MATCH(E1148, Unit_Paths!$A$2:$A$4, 0)),1)</f>
        <v>150</v>
      </c>
      <c r="J1148" s="6" t="n">
        <f aca="false">ROUND(INDEX(Archetypes!$G$2:$G$127, MATCH(D1148, Archetypes!$A$2:$A$127, 0))*INDEX(Unit_Grades!$B$2:$B$7, MATCH(F1148, Unit_Grades!$A$2:$A$7, 0))*INDEX(Unit_Paths!$D$2:$D$4, MATCH(E1148, Unit_Paths!$A$2:$A$4, 0)),0)</f>
        <v>483</v>
      </c>
      <c r="K1148" s="6" t="n">
        <f aca="false">ROUND(INDEX(Archetypes!$H$2:$H$127, MATCH(D1148, Archetypes!$A$2:$A$127, 0))*INDEX(Unit_Paths!$E$2:$E$4, MATCH(E1148, Unit_Paths!$A$2:$A$4, 0)),1)</f>
        <v>22.1</v>
      </c>
      <c r="L1148" s="6" t="n">
        <f aca="false">ROUND(INDEX(Archetypes!$I$2:$I$127, MATCH(D1148, Archetypes!$A$2:$A$127, 0))*INDEX(Unit_Grades!$C$2:$C$7, MATCH(F1148, Unit_Grades!$A$2:$A$7, 0)),1)</f>
        <v>24</v>
      </c>
      <c r="M1148" s="6" t="n">
        <f aca="false">ROUND(INDEX(Archetypes!$J$2:$J$127, MATCH(D1148, Archetypes!$A$2:$A$127, 0))*INDEX(Unit_Grades!$D$2:$D$7, MATCH(F1148, Unit_Grades!$A$2:$A$7, 0)),1)</f>
        <v>9.7</v>
      </c>
      <c r="N1148" s="6" t="n">
        <f aca="false">ROUND(M1148/24,2)</f>
        <v>0.4</v>
      </c>
    </row>
    <row r="1149" customFormat="false" ht="15" hidden="false" customHeight="true" outlineLevel="0" collapsed="false">
      <c r="A1149" s="6" t="n">
        <v>4</v>
      </c>
      <c r="B1149" s="6" t="s">
        <v>2653</v>
      </c>
      <c r="C1149" s="6" t="s">
        <v>1396</v>
      </c>
      <c r="D1149" s="6" t="str">
        <f aca="false">A1149&amp;"|"&amp;C1149</f>
        <v>4|Heavy Tank</v>
      </c>
      <c r="E1149" s="6" t="s">
        <v>1560</v>
      </c>
      <c r="F1149" s="6" t="s">
        <v>1540</v>
      </c>
      <c r="G1149" s="6" t="str">
        <f aca="false">INDEX(Archetypes!$D$2:$D$127, MATCH(D1149, Archetypes!$A$2:$A$127, 0))</f>
        <v>Armor</v>
      </c>
      <c r="H1149" s="6" t="n">
        <f aca="false">ROUND(INDEX(Archetypes!$E$2:$E$127, MATCH(D1149, Archetypes!$A$2:$A$127, 0))*INDEX(Unit_Grades!$B$2:$B$7, MATCH(F1149, Unit_Grades!$A$2:$A$7, 0))*INDEX(Unit_Paths!$B$2:$B$4, MATCH(E1149, Unit_Paths!$A$2:$A$4, 0)),1)</f>
        <v>172.1</v>
      </c>
      <c r="I1149" s="6" t="n">
        <f aca="false">ROUND(INDEX(Archetypes!$F$2:$F$127, MATCH(D1149, Archetypes!$A$2:$A$127, 0))*INDEX(Unit_Grades!$B$2:$B$7, MATCH(F1149, Unit_Grades!$A$2:$A$7, 0))*INDEX(Unit_Paths!$C$2:$C$4, MATCH(E1149, Unit_Paths!$A$2:$A$4, 0)),1)</f>
        <v>202.5</v>
      </c>
      <c r="J1149" s="6" t="n">
        <f aca="false">ROUND(INDEX(Archetypes!$G$2:$G$127, MATCH(D1149, Archetypes!$A$2:$A$127, 0))*INDEX(Unit_Grades!$B$2:$B$7, MATCH(F1149, Unit_Grades!$A$2:$A$7, 0))*INDEX(Unit_Paths!$D$2:$D$4, MATCH(E1149, Unit_Paths!$A$2:$A$4, 0)),0)</f>
        <v>652</v>
      </c>
      <c r="K1149" s="6" t="n">
        <f aca="false">ROUND(INDEX(Archetypes!$H$2:$H$127, MATCH(D1149, Archetypes!$A$2:$A$127, 0))*INDEX(Unit_Paths!$E$2:$E$4, MATCH(E1149, Unit_Paths!$A$2:$A$4, 0)),1)</f>
        <v>22.1</v>
      </c>
      <c r="L1149" s="6" t="n">
        <f aca="false">ROUND(INDEX(Archetypes!$I$2:$I$127, MATCH(D1149, Archetypes!$A$2:$A$127, 0))*INDEX(Unit_Grades!$C$2:$C$7, MATCH(F1149, Unit_Grades!$A$2:$A$7, 0)),1)</f>
        <v>30</v>
      </c>
      <c r="M1149" s="6" t="n">
        <f aca="false">ROUND(INDEX(Archetypes!$J$2:$J$127, MATCH(D1149, Archetypes!$A$2:$A$127, 0))*INDEX(Unit_Grades!$D$2:$D$7, MATCH(F1149, Unit_Grades!$A$2:$A$7, 0)),1)</f>
        <v>14.6</v>
      </c>
      <c r="N1149" s="6" t="n">
        <f aca="false">ROUND(M1149/24,2)</f>
        <v>0.61</v>
      </c>
    </row>
    <row r="1150" customFormat="false" ht="15" hidden="false" customHeight="true" outlineLevel="0" collapsed="false">
      <c r="A1150" s="6" t="n">
        <v>4</v>
      </c>
      <c r="B1150" s="6" t="s">
        <v>2654</v>
      </c>
      <c r="C1150" s="6" t="s">
        <v>1396</v>
      </c>
      <c r="D1150" s="6" t="str">
        <f aca="false">A1150&amp;"|"&amp;C1150</f>
        <v>4|Heavy Tank</v>
      </c>
      <c r="E1150" s="6" t="s">
        <v>1560</v>
      </c>
      <c r="F1150" s="6" t="s">
        <v>1542</v>
      </c>
      <c r="G1150" s="6" t="str">
        <f aca="false">INDEX(Archetypes!$D$2:$D$127, MATCH(D1150, Archetypes!$A$2:$A$127, 0))</f>
        <v>Armor</v>
      </c>
      <c r="H1150" s="6" t="n">
        <f aca="false">ROUND(INDEX(Archetypes!$E$2:$E$127, MATCH(D1150, Archetypes!$A$2:$A$127, 0))*INDEX(Unit_Grades!$B$2:$B$7, MATCH(F1150, Unit_Grades!$A$2:$A$7, 0))*INDEX(Unit_Paths!$B$2:$B$4, MATCH(E1150, Unit_Paths!$A$2:$A$4, 0)),1)</f>
        <v>229.5</v>
      </c>
      <c r="I1150" s="6" t="n">
        <f aca="false">ROUND(INDEX(Archetypes!$F$2:$F$127, MATCH(D1150, Archetypes!$A$2:$A$127, 0))*INDEX(Unit_Grades!$B$2:$B$7, MATCH(F1150, Unit_Grades!$A$2:$A$7, 0))*INDEX(Unit_Paths!$C$2:$C$4, MATCH(E1150, Unit_Paths!$A$2:$A$4, 0)),1)</f>
        <v>270</v>
      </c>
      <c r="J1150" s="6" t="n">
        <f aca="false">ROUND(INDEX(Archetypes!$G$2:$G$127, MATCH(D1150, Archetypes!$A$2:$A$127, 0))*INDEX(Unit_Grades!$B$2:$B$7, MATCH(F1150, Unit_Grades!$A$2:$A$7, 0))*INDEX(Unit_Paths!$D$2:$D$4, MATCH(E1150, Unit_Paths!$A$2:$A$4, 0)),0)</f>
        <v>869</v>
      </c>
      <c r="K1150" s="6" t="n">
        <f aca="false">ROUND(INDEX(Archetypes!$H$2:$H$127, MATCH(D1150, Archetypes!$A$2:$A$127, 0))*INDEX(Unit_Paths!$E$2:$E$4, MATCH(E1150, Unit_Paths!$A$2:$A$4, 0)),1)</f>
        <v>22.1</v>
      </c>
      <c r="L1150" s="6" t="n">
        <f aca="false">ROUND(INDEX(Archetypes!$I$2:$I$127, MATCH(D1150, Archetypes!$A$2:$A$127, 0))*INDEX(Unit_Grades!$C$2:$C$7, MATCH(F1150, Unit_Grades!$A$2:$A$7, 0)),1)</f>
        <v>38.4</v>
      </c>
      <c r="M1150" s="6" t="n">
        <f aca="false">ROUND(INDEX(Archetypes!$J$2:$J$127, MATCH(D1150, Archetypes!$A$2:$A$127, 0))*INDEX(Unit_Grades!$D$2:$D$7, MATCH(F1150, Unit_Grades!$A$2:$A$7, 0)),1)</f>
        <v>24.4</v>
      </c>
      <c r="N1150" s="6" t="n">
        <f aca="false">ROUND(M1150/24,2)</f>
        <v>1.02</v>
      </c>
    </row>
    <row r="1151" customFormat="false" ht="15" hidden="false" customHeight="true" outlineLevel="0" collapsed="false">
      <c r="A1151" s="6" t="n">
        <v>4</v>
      </c>
      <c r="B1151" s="6" t="s">
        <v>2655</v>
      </c>
      <c r="C1151" s="6" t="s">
        <v>1396</v>
      </c>
      <c r="D1151" s="6" t="str">
        <f aca="false">A1151&amp;"|"&amp;C1151</f>
        <v>4|Heavy Tank</v>
      </c>
      <c r="E1151" s="6" t="s">
        <v>1560</v>
      </c>
      <c r="F1151" s="6" t="s">
        <v>1544</v>
      </c>
      <c r="G1151" s="6" t="str">
        <f aca="false">INDEX(Archetypes!$D$2:$D$127, MATCH(D1151, Archetypes!$A$2:$A$127, 0))</f>
        <v>Armor</v>
      </c>
      <c r="H1151" s="6" t="n">
        <f aca="false">ROUND(INDEX(Archetypes!$E$2:$E$127, MATCH(D1151, Archetypes!$A$2:$A$127, 0))*INDEX(Unit_Grades!$B$2:$B$7, MATCH(F1151, Unit_Grades!$A$2:$A$7, 0))*INDEX(Unit_Paths!$B$2:$B$4, MATCH(E1151, Unit_Paths!$A$2:$A$4, 0)),1)</f>
        <v>306</v>
      </c>
      <c r="I1151" s="6" t="n">
        <f aca="false">ROUND(INDEX(Archetypes!$F$2:$F$127, MATCH(D1151, Archetypes!$A$2:$A$127, 0))*INDEX(Unit_Grades!$B$2:$B$7, MATCH(F1151, Unit_Grades!$A$2:$A$7, 0))*INDEX(Unit_Paths!$C$2:$C$4, MATCH(E1151, Unit_Paths!$A$2:$A$4, 0)),1)</f>
        <v>360</v>
      </c>
      <c r="J1151" s="6" t="n">
        <f aca="false">ROUND(INDEX(Archetypes!$G$2:$G$127, MATCH(D1151, Archetypes!$A$2:$A$127, 0))*INDEX(Unit_Grades!$B$2:$B$7, MATCH(F1151, Unit_Grades!$A$2:$A$7, 0))*INDEX(Unit_Paths!$D$2:$D$4, MATCH(E1151, Unit_Paths!$A$2:$A$4, 0)),0)</f>
        <v>1159</v>
      </c>
      <c r="K1151" s="6" t="n">
        <f aca="false">ROUND(INDEX(Archetypes!$H$2:$H$127, MATCH(D1151, Archetypes!$A$2:$A$127, 0))*INDEX(Unit_Paths!$E$2:$E$4, MATCH(E1151, Unit_Paths!$A$2:$A$4, 0)),1)</f>
        <v>22.1</v>
      </c>
      <c r="L1151" s="6" t="n">
        <f aca="false">ROUND(INDEX(Archetypes!$I$2:$I$127, MATCH(D1151, Archetypes!$A$2:$A$127, 0))*INDEX(Unit_Grades!$C$2:$C$7, MATCH(F1151, Unit_Grades!$A$2:$A$7, 0)),1)</f>
        <v>50.4</v>
      </c>
      <c r="M1151" s="6" t="n">
        <f aca="false">ROUND(INDEX(Archetypes!$J$2:$J$127, MATCH(D1151, Archetypes!$A$2:$A$127, 0))*INDEX(Unit_Grades!$D$2:$D$7, MATCH(F1151, Unit_Grades!$A$2:$A$7, 0)),1)</f>
        <v>39</v>
      </c>
      <c r="N1151" s="6" t="n">
        <f aca="false">ROUND(M1151/24,2)</f>
        <v>1.63</v>
      </c>
    </row>
    <row r="1152" customFormat="false" ht="15" hidden="false" customHeight="true" outlineLevel="0" collapsed="false">
      <c r="A1152" s="6" t="n">
        <v>4</v>
      </c>
      <c r="B1152" s="6" t="s">
        <v>2656</v>
      </c>
      <c r="C1152" s="6" t="s">
        <v>1396</v>
      </c>
      <c r="D1152" s="6" t="str">
        <f aca="false">A1152&amp;"|"&amp;C1152</f>
        <v>4|Heavy Tank</v>
      </c>
      <c r="E1152" s="6" t="s">
        <v>1560</v>
      </c>
      <c r="F1152" s="6" t="s">
        <v>1546</v>
      </c>
      <c r="G1152" s="6" t="str">
        <f aca="false">INDEX(Archetypes!$D$2:$D$127, MATCH(D1152, Archetypes!$A$2:$A$127, 0))</f>
        <v>Armor</v>
      </c>
      <c r="H1152" s="6" t="n">
        <f aca="false">ROUND(INDEX(Archetypes!$E$2:$E$127, MATCH(D1152, Archetypes!$A$2:$A$127, 0))*INDEX(Unit_Grades!$B$2:$B$7, MATCH(F1152, Unit_Grades!$A$2:$A$7, 0))*INDEX(Unit_Paths!$B$2:$B$4, MATCH(E1152, Unit_Paths!$A$2:$A$4, 0)),1)</f>
        <v>408</v>
      </c>
      <c r="I1152" s="6" t="n">
        <f aca="false">ROUND(INDEX(Archetypes!$F$2:$F$127, MATCH(D1152, Archetypes!$A$2:$A$127, 0))*INDEX(Unit_Grades!$B$2:$B$7, MATCH(F1152, Unit_Grades!$A$2:$A$7, 0))*INDEX(Unit_Paths!$C$2:$C$4, MATCH(E1152, Unit_Paths!$A$2:$A$4, 0)),1)</f>
        <v>480</v>
      </c>
      <c r="J1152" s="6" t="n">
        <f aca="false">ROUND(INDEX(Archetypes!$G$2:$G$127, MATCH(D1152, Archetypes!$A$2:$A$127, 0))*INDEX(Unit_Grades!$B$2:$B$7, MATCH(F1152, Unit_Grades!$A$2:$A$7, 0))*INDEX(Unit_Paths!$D$2:$D$4, MATCH(E1152, Unit_Paths!$A$2:$A$4, 0)),0)</f>
        <v>1546</v>
      </c>
      <c r="K1152" s="6" t="n">
        <f aca="false">ROUND(INDEX(Archetypes!$H$2:$H$127, MATCH(D1152, Archetypes!$A$2:$A$127, 0))*INDEX(Unit_Paths!$E$2:$E$4, MATCH(E1152, Unit_Paths!$A$2:$A$4, 0)),1)</f>
        <v>22.1</v>
      </c>
      <c r="L1152" s="6" t="n">
        <f aca="false">ROUND(INDEX(Archetypes!$I$2:$I$127, MATCH(D1152, Archetypes!$A$2:$A$127, 0))*INDEX(Unit_Grades!$C$2:$C$7, MATCH(F1152, Unit_Grades!$A$2:$A$7, 0)),1)</f>
        <v>67.2</v>
      </c>
      <c r="M1152" s="6" t="n">
        <f aca="false">ROUND(INDEX(Archetypes!$J$2:$J$127, MATCH(D1152, Archetypes!$A$2:$A$127, 0))*INDEX(Unit_Grades!$D$2:$D$7, MATCH(F1152, Unit_Grades!$A$2:$A$7, 0)),1)</f>
        <v>68.2</v>
      </c>
      <c r="N1152" s="6" t="n">
        <f aca="false">ROUND(M1152/24,2)</f>
        <v>2.84</v>
      </c>
    </row>
    <row r="1153" customFormat="false" ht="15" hidden="false" customHeight="true" outlineLevel="0" collapsed="false">
      <c r="A1153" s="6" t="n">
        <v>4</v>
      </c>
      <c r="B1153" s="6" t="s">
        <v>2657</v>
      </c>
      <c r="C1153" s="6" t="s">
        <v>1396</v>
      </c>
      <c r="D1153" s="6" t="str">
        <f aca="false">A1153&amp;"|"&amp;C1153</f>
        <v>4|Heavy Tank</v>
      </c>
      <c r="E1153" s="6" t="s">
        <v>1560</v>
      </c>
      <c r="F1153" s="6" t="s">
        <v>1548</v>
      </c>
      <c r="G1153" s="6" t="str">
        <f aca="false">INDEX(Archetypes!$D$2:$D$127, MATCH(D1153, Archetypes!$A$2:$A$127, 0))</f>
        <v>Armor</v>
      </c>
      <c r="H1153" s="6" t="n">
        <f aca="false">ROUND(INDEX(Archetypes!$E$2:$E$127, MATCH(D1153, Archetypes!$A$2:$A$127, 0))*INDEX(Unit_Grades!$B$2:$B$7, MATCH(F1153, Unit_Grades!$A$2:$A$7, 0))*INDEX(Unit_Paths!$B$2:$B$4, MATCH(E1153, Unit_Paths!$A$2:$A$4, 0)),1)</f>
        <v>535.5</v>
      </c>
      <c r="I1153" s="6" t="n">
        <f aca="false">ROUND(INDEX(Archetypes!$F$2:$F$127, MATCH(D1153, Archetypes!$A$2:$A$127, 0))*INDEX(Unit_Grades!$B$2:$B$7, MATCH(F1153, Unit_Grades!$A$2:$A$7, 0))*INDEX(Unit_Paths!$C$2:$C$4, MATCH(E1153, Unit_Paths!$A$2:$A$4, 0)),1)</f>
        <v>630</v>
      </c>
      <c r="J1153" s="6" t="n">
        <f aca="false">ROUND(INDEX(Archetypes!$G$2:$G$127, MATCH(D1153, Archetypes!$A$2:$A$127, 0))*INDEX(Unit_Grades!$B$2:$B$7, MATCH(F1153, Unit_Grades!$A$2:$A$7, 0))*INDEX(Unit_Paths!$D$2:$D$4, MATCH(E1153, Unit_Paths!$A$2:$A$4, 0)),0)</f>
        <v>2029</v>
      </c>
      <c r="K1153" s="6" t="n">
        <f aca="false">ROUND(INDEX(Archetypes!$H$2:$H$127, MATCH(D1153, Archetypes!$A$2:$A$127, 0))*INDEX(Unit_Paths!$E$2:$E$4, MATCH(E1153, Unit_Paths!$A$2:$A$4, 0)),1)</f>
        <v>22.1</v>
      </c>
      <c r="L1153" s="6" t="n">
        <f aca="false">ROUND(INDEX(Archetypes!$I$2:$I$127, MATCH(D1153, Archetypes!$A$2:$A$127, 0))*INDEX(Unit_Grades!$C$2:$C$7, MATCH(F1153, Unit_Grades!$A$2:$A$7, 0)),1)</f>
        <v>88.8</v>
      </c>
      <c r="M1153" s="6" t="n">
        <f aca="false">ROUND(INDEX(Archetypes!$J$2:$J$127, MATCH(D1153, Archetypes!$A$2:$A$127, 0))*INDEX(Unit_Grades!$D$2:$D$7, MATCH(F1153, Unit_Grades!$A$2:$A$7, 0)),1)</f>
        <v>116.9</v>
      </c>
      <c r="N1153" s="6" t="n">
        <f aca="false">ROUND(M1153/24,2)</f>
        <v>4.87</v>
      </c>
    </row>
    <row r="1154" customFormat="false" ht="15" hidden="false" customHeight="true" outlineLevel="0" collapsed="false">
      <c r="A1154" s="6" t="n">
        <v>4</v>
      </c>
      <c r="B1154" s="6" t="s">
        <v>1398</v>
      </c>
      <c r="C1154" s="6" t="s">
        <v>1398</v>
      </c>
      <c r="D1154" s="6" t="str">
        <f aca="false">A1154&amp;"|"&amp;C1154</f>
        <v>4|SP Artillery</v>
      </c>
      <c r="E1154" s="6" t="s">
        <v>1556</v>
      </c>
      <c r="F1154" s="6" t="s">
        <v>1538</v>
      </c>
      <c r="G1154" s="6" t="str">
        <f aca="false">INDEX(Archetypes!$D$2:$D$127, MATCH(D1154, Archetypes!$A$2:$A$127, 0))</f>
        <v>Siege</v>
      </c>
      <c r="H1154" s="6" t="n">
        <f aca="false">ROUND(INDEX(Archetypes!$E$2:$E$127, MATCH(D1154, Archetypes!$A$2:$A$127, 0))*INDEX(Unit_Grades!$B$2:$B$7, MATCH(F1154, Unit_Grades!$A$2:$A$7, 0))*INDEX(Unit_Paths!$B$2:$B$4, MATCH(E1154, Unit_Paths!$A$2:$A$4, 0)),1)</f>
        <v>160</v>
      </c>
      <c r="I1154" s="6" t="n">
        <f aca="false">ROUND(INDEX(Archetypes!$F$2:$F$127, MATCH(D1154, Archetypes!$A$2:$A$127, 0))*INDEX(Unit_Grades!$B$2:$B$7, MATCH(F1154, Unit_Grades!$A$2:$A$7, 0))*INDEX(Unit_Paths!$C$2:$C$4, MATCH(E1154, Unit_Paths!$A$2:$A$4, 0)),1)</f>
        <v>40</v>
      </c>
      <c r="J1154" s="6" t="n">
        <f aca="false">ROUND(INDEX(Archetypes!$G$2:$G$127, MATCH(D1154, Archetypes!$A$2:$A$127, 0))*INDEX(Unit_Grades!$B$2:$B$7, MATCH(F1154, Unit_Grades!$A$2:$A$7, 0))*INDEX(Unit_Paths!$D$2:$D$4, MATCH(E1154, Unit_Paths!$A$2:$A$4, 0)),0)</f>
        <v>220</v>
      </c>
      <c r="K1154" s="6" t="n">
        <f aca="false">ROUND(INDEX(Archetypes!$H$2:$H$127, MATCH(D1154, Archetypes!$A$2:$A$127, 0))*INDEX(Unit_Paths!$E$2:$E$4, MATCH(E1154, Unit_Paths!$A$2:$A$4, 0)),1)</f>
        <v>26</v>
      </c>
      <c r="L1154" s="6" t="n">
        <f aca="false">ROUND(INDEX(Archetypes!$I$2:$I$127, MATCH(D1154, Archetypes!$A$2:$A$127, 0))*INDEX(Unit_Grades!$C$2:$C$7, MATCH(F1154, Unit_Grades!$A$2:$A$7, 0)),1)</f>
        <v>20</v>
      </c>
      <c r="M1154" s="6" t="n">
        <f aca="false">ROUND(INDEX(Archetypes!$J$2:$J$127, MATCH(D1154, Archetypes!$A$2:$A$127, 0))*INDEX(Unit_Grades!$D$2:$D$7, MATCH(F1154, Unit_Grades!$A$2:$A$7, 0)),1)</f>
        <v>8.1</v>
      </c>
      <c r="N1154" s="6" t="n">
        <f aca="false">ROUND(M1154/24,2)</f>
        <v>0.34</v>
      </c>
    </row>
    <row r="1155" customFormat="false" ht="15" hidden="false" customHeight="true" outlineLevel="0" collapsed="false">
      <c r="A1155" s="6" t="n">
        <v>4</v>
      </c>
      <c r="B1155" s="6" t="s">
        <v>2658</v>
      </c>
      <c r="C1155" s="6" t="s">
        <v>1398</v>
      </c>
      <c r="D1155" s="6" t="str">
        <f aca="false">A1155&amp;"|"&amp;C1155</f>
        <v>4|SP Artillery</v>
      </c>
      <c r="E1155" s="6" t="s">
        <v>1556</v>
      </c>
      <c r="F1155" s="6" t="s">
        <v>1540</v>
      </c>
      <c r="G1155" s="6" t="str">
        <f aca="false">INDEX(Archetypes!$D$2:$D$127, MATCH(D1155, Archetypes!$A$2:$A$127, 0))</f>
        <v>Siege</v>
      </c>
      <c r="H1155" s="6" t="n">
        <f aca="false">ROUND(INDEX(Archetypes!$E$2:$E$127, MATCH(D1155, Archetypes!$A$2:$A$127, 0))*INDEX(Unit_Grades!$B$2:$B$7, MATCH(F1155, Unit_Grades!$A$2:$A$7, 0))*INDEX(Unit_Paths!$B$2:$B$4, MATCH(E1155, Unit_Paths!$A$2:$A$4, 0)),1)</f>
        <v>216</v>
      </c>
      <c r="I1155" s="6" t="n">
        <f aca="false">ROUND(INDEX(Archetypes!$F$2:$F$127, MATCH(D1155, Archetypes!$A$2:$A$127, 0))*INDEX(Unit_Grades!$B$2:$B$7, MATCH(F1155, Unit_Grades!$A$2:$A$7, 0))*INDEX(Unit_Paths!$C$2:$C$4, MATCH(E1155, Unit_Paths!$A$2:$A$4, 0)),1)</f>
        <v>54</v>
      </c>
      <c r="J1155" s="6" t="n">
        <f aca="false">ROUND(INDEX(Archetypes!$G$2:$G$127, MATCH(D1155, Archetypes!$A$2:$A$127, 0))*INDEX(Unit_Grades!$B$2:$B$7, MATCH(F1155, Unit_Grades!$A$2:$A$7, 0))*INDEX(Unit_Paths!$D$2:$D$4, MATCH(E1155, Unit_Paths!$A$2:$A$4, 0)),0)</f>
        <v>297</v>
      </c>
      <c r="K1155" s="6" t="n">
        <f aca="false">ROUND(INDEX(Archetypes!$H$2:$H$127, MATCH(D1155, Archetypes!$A$2:$A$127, 0))*INDEX(Unit_Paths!$E$2:$E$4, MATCH(E1155, Unit_Paths!$A$2:$A$4, 0)),1)</f>
        <v>26</v>
      </c>
      <c r="L1155" s="6" t="n">
        <f aca="false">ROUND(INDEX(Archetypes!$I$2:$I$127, MATCH(D1155, Archetypes!$A$2:$A$127, 0))*INDEX(Unit_Grades!$C$2:$C$7, MATCH(F1155, Unit_Grades!$A$2:$A$7, 0)),1)</f>
        <v>25</v>
      </c>
      <c r="M1155" s="6" t="n">
        <f aca="false">ROUND(INDEX(Archetypes!$J$2:$J$127, MATCH(D1155, Archetypes!$A$2:$A$127, 0))*INDEX(Unit_Grades!$D$2:$D$7, MATCH(F1155, Unit_Grades!$A$2:$A$7, 0)),1)</f>
        <v>12.2</v>
      </c>
      <c r="N1155" s="6" t="n">
        <f aca="false">ROUND(M1155/24,2)</f>
        <v>0.51</v>
      </c>
    </row>
    <row r="1156" customFormat="false" ht="15" hidden="false" customHeight="true" outlineLevel="0" collapsed="false">
      <c r="A1156" s="6" t="n">
        <v>4</v>
      </c>
      <c r="B1156" s="6" t="s">
        <v>2659</v>
      </c>
      <c r="C1156" s="6" t="s">
        <v>1398</v>
      </c>
      <c r="D1156" s="6" t="str">
        <f aca="false">A1156&amp;"|"&amp;C1156</f>
        <v>4|SP Artillery</v>
      </c>
      <c r="E1156" s="6" t="s">
        <v>1556</v>
      </c>
      <c r="F1156" s="6" t="s">
        <v>1542</v>
      </c>
      <c r="G1156" s="6" t="str">
        <f aca="false">INDEX(Archetypes!$D$2:$D$127, MATCH(D1156, Archetypes!$A$2:$A$127, 0))</f>
        <v>Siege</v>
      </c>
      <c r="H1156" s="6" t="n">
        <f aca="false">ROUND(INDEX(Archetypes!$E$2:$E$127, MATCH(D1156, Archetypes!$A$2:$A$127, 0))*INDEX(Unit_Grades!$B$2:$B$7, MATCH(F1156, Unit_Grades!$A$2:$A$7, 0))*INDEX(Unit_Paths!$B$2:$B$4, MATCH(E1156, Unit_Paths!$A$2:$A$4, 0)),1)</f>
        <v>288</v>
      </c>
      <c r="I1156" s="6" t="n">
        <f aca="false">ROUND(INDEX(Archetypes!$F$2:$F$127, MATCH(D1156, Archetypes!$A$2:$A$127, 0))*INDEX(Unit_Grades!$B$2:$B$7, MATCH(F1156, Unit_Grades!$A$2:$A$7, 0))*INDEX(Unit_Paths!$C$2:$C$4, MATCH(E1156, Unit_Paths!$A$2:$A$4, 0)),1)</f>
        <v>72</v>
      </c>
      <c r="J1156" s="6" t="n">
        <f aca="false">ROUND(INDEX(Archetypes!$G$2:$G$127, MATCH(D1156, Archetypes!$A$2:$A$127, 0))*INDEX(Unit_Grades!$B$2:$B$7, MATCH(F1156, Unit_Grades!$A$2:$A$7, 0))*INDEX(Unit_Paths!$D$2:$D$4, MATCH(E1156, Unit_Paths!$A$2:$A$4, 0)),0)</f>
        <v>396</v>
      </c>
      <c r="K1156" s="6" t="n">
        <f aca="false">ROUND(INDEX(Archetypes!$H$2:$H$127, MATCH(D1156, Archetypes!$A$2:$A$127, 0))*INDEX(Unit_Paths!$E$2:$E$4, MATCH(E1156, Unit_Paths!$A$2:$A$4, 0)),1)</f>
        <v>26</v>
      </c>
      <c r="L1156" s="6" t="n">
        <f aca="false">ROUND(INDEX(Archetypes!$I$2:$I$127, MATCH(D1156, Archetypes!$A$2:$A$127, 0))*INDEX(Unit_Grades!$C$2:$C$7, MATCH(F1156, Unit_Grades!$A$2:$A$7, 0)),1)</f>
        <v>32</v>
      </c>
      <c r="M1156" s="6" t="n">
        <f aca="false">ROUND(INDEX(Archetypes!$J$2:$J$127, MATCH(D1156, Archetypes!$A$2:$A$127, 0))*INDEX(Unit_Grades!$D$2:$D$7, MATCH(F1156, Unit_Grades!$A$2:$A$7, 0)),1)</f>
        <v>20.3</v>
      </c>
      <c r="N1156" s="6" t="n">
        <f aca="false">ROUND(M1156/24,2)</f>
        <v>0.85</v>
      </c>
    </row>
    <row r="1157" customFormat="false" ht="15" hidden="false" customHeight="true" outlineLevel="0" collapsed="false">
      <c r="A1157" s="6" t="n">
        <v>4</v>
      </c>
      <c r="B1157" s="6" t="s">
        <v>2660</v>
      </c>
      <c r="C1157" s="6" t="s">
        <v>1398</v>
      </c>
      <c r="D1157" s="6" t="str">
        <f aca="false">A1157&amp;"|"&amp;C1157</f>
        <v>4|SP Artillery</v>
      </c>
      <c r="E1157" s="6" t="s">
        <v>1556</v>
      </c>
      <c r="F1157" s="6" t="s">
        <v>1544</v>
      </c>
      <c r="G1157" s="6" t="str">
        <f aca="false">INDEX(Archetypes!$D$2:$D$127, MATCH(D1157, Archetypes!$A$2:$A$127, 0))</f>
        <v>Siege</v>
      </c>
      <c r="H1157" s="6" t="n">
        <f aca="false">ROUND(INDEX(Archetypes!$E$2:$E$127, MATCH(D1157, Archetypes!$A$2:$A$127, 0))*INDEX(Unit_Grades!$B$2:$B$7, MATCH(F1157, Unit_Grades!$A$2:$A$7, 0))*INDEX(Unit_Paths!$B$2:$B$4, MATCH(E1157, Unit_Paths!$A$2:$A$4, 0)),1)</f>
        <v>384</v>
      </c>
      <c r="I1157" s="6" t="n">
        <f aca="false">ROUND(INDEX(Archetypes!$F$2:$F$127, MATCH(D1157, Archetypes!$A$2:$A$127, 0))*INDEX(Unit_Grades!$B$2:$B$7, MATCH(F1157, Unit_Grades!$A$2:$A$7, 0))*INDEX(Unit_Paths!$C$2:$C$4, MATCH(E1157, Unit_Paths!$A$2:$A$4, 0)),1)</f>
        <v>96</v>
      </c>
      <c r="J1157" s="6" t="n">
        <f aca="false">ROUND(INDEX(Archetypes!$G$2:$G$127, MATCH(D1157, Archetypes!$A$2:$A$127, 0))*INDEX(Unit_Grades!$B$2:$B$7, MATCH(F1157, Unit_Grades!$A$2:$A$7, 0))*INDEX(Unit_Paths!$D$2:$D$4, MATCH(E1157, Unit_Paths!$A$2:$A$4, 0)),0)</f>
        <v>528</v>
      </c>
      <c r="K1157" s="6" t="n">
        <f aca="false">ROUND(INDEX(Archetypes!$H$2:$H$127, MATCH(D1157, Archetypes!$A$2:$A$127, 0))*INDEX(Unit_Paths!$E$2:$E$4, MATCH(E1157, Unit_Paths!$A$2:$A$4, 0)),1)</f>
        <v>26</v>
      </c>
      <c r="L1157" s="6" t="n">
        <f aca="false">ROUND(INDEX(Archetypes!$I$2:$I$127, MATCH(D1157, Archetypes!$A$2:$A$127, 0))*INDEX(Unit_Grades!$C$2:$C$7, MATCH(F1157, Unit_Grades!$A$2:$A$7, 0)),1)</f>
        <v>42</v>
      </c>
      <c r="M1157" s="6" t="n">
        <f aca="false">ROUND(INDEX(Archetypes!$J$2:$J$127, MATCH(D1157, Archetypes!$A$2:$A$127, 0))*INDEX(Unit_Grades!$D$2:$D$7, MATCH(F1157, Unit_Grades!$A$2:$A$7, 0)),1)</f>
        <v>32.5</v>
      </c>
      <c r="N1157" s="6" t="n">
        <f aca="false">ROUND(M1157/24,2)</f>
        <v>1.35</v>
      </c>
    </row>
    <row r="1158" customFormat="false" ht="15" hidden="false" customHeight="true" outlineLevel="0" collapsed="false">
      <c r="A1158" s="6" t="n">
        <v>4</v>
      </c>
      <c r="B1158" s="6" t="s">
        <v>2661</v>
      </c>
      <c r="C1158" s="6" t="s">
        <v>1398</v>
      </c>
      <c r="D1158" s="6" t="str">
        <f aca="false">A1158&amp;"|"&amp;C1158</f>
        <v>4|SP Artillery</v>
      </c>
      <c r="E1158" s="6" t="s">
        <v>1556</v>
      </c>
      <c r="F1158" s="6" t="s">
        <v>1546</v>
      </c>
      <c r="G1158" s="6" t="str">
        <f aca="false">INDEX(Archetypes!$D$2:$D$127, MATCH(D1158, Archetypes!$A$2:$A$127, 0))</f>
        <v>Siege</v>
      </c>
      <c r="H1158" s="6" t="n">
        <f aca="false">ROUND(INDEX(Archetypes!$E$2:$E$127, MATCH(D1158, Archetypes!$A$2:$A$127, 0))*INDEX(Unit_Grades!$B$2:$B$7, MATCH(F1158, Unit_Grades!$A$2:$A$7, 0))*INDEX(Unit_Paths!$B$2:$B$4, MATCH(E1158, Unit_Paths!$A$2:$A$4, 0)),1)</f>
        <v>512</v>
      </c>
      <c r="I1158" s="6" t="n">
        <f aca="false">ROUND(INDEX(Archetypes!$F$2:$F$127, MATCH(D1158, Archetypes!$A$2:$A$127, 0))*INDEX(Unit_Grades!$B$2:$B$7, MATCH(F1158, Unit_Grades!$A$2:$A$7, 0))*INDEX(Unit_Paths!$C$2:$C$4, MATCH(E1158, Unit_Paths!$A$2:$A$4, 0)),1)</f>
        <v>128</v>
      </c>
      <c r="J1158" s="6" t="n">
        <f aca="false">ROUND(INDEX(Archetypes!$G$2:$G$127, MATCH(D1158, Archetypes!$A$2:$A$127, 0))*INDEX(Unit_Grades!$B$2:$B$7, MATCH(F1158, Unit_Grades!$A$2:$A$7, 0))*INDEX(Unit_Paths!$D$2:$D$4, MATCH(E1158, Unit_Paths!$A$2:$A$4, 0)),0)</f>
        <v>704</v>
      </c>
      <c r="K1158" s="6" t="n">
        <f aca="false">ROUND(INDEX(Archetypes!$H$2:$H$127, MATCH(D1158, Archetypes!$A$2:$A$127, 0))*INDEX(Unit_Paths!$E$2:$E$4, MATCH(E1158, Unit_Paths!$A$2:$A$4, 0)),1)</f>
        <v>26</v>
      </c>
      <c r="L1158" s="6" t="n">
        <f aca="false">ROUND(INDEX(Archetypes!$I$2:$I$127, MATCH(D1158, Archetypes!$A$2:$A$127, 0))*INDEX(Unit_Grades!$C$2:$C$7, MATCH(F1158, Unit_Grades!$A$2:$A$7, 0)),1)</f>
        <v>56</v>
      </c>
      <c r="M1158" s="6" t="n">
        <f aca="false">ROUND(INDEX(Archetypes!$J$2:$J$127, MATCH(D1158, Archetypes!$A$2:$A$127, 0))*INDEX(Unit_Grades!$D$2:$D$7, MATCH(F1158, Unit_Grades!$A$2:$A$7, 0)),1)</f>
        <v>56.8</v>
      </c>
      <c r="N1158" s="6" t="n">
        <f aca="false">ROUND(M1158/24,2)</f>
        <v>2.37</v>
      </c>
    </row>
    <row r="1159" customFormat="false" ht="15" hidden="false" customHeight="true" outlineLevel="0" collapsed="false">
      <c r="A1159" s="6" t="n">
        <v>4</v>
      </c>
      <c r="B1159" s="6" t="s">
        <v>2662</v>
      </c>
      <c r="C1159" s="6" t="s">
        <v>1398</v>
      </c>
      <c r="D1159" s="6" t="str">
        <f aca="false">A1159&amp;"|"&amp;C1159</f>
        <v>4|SP Artillery</v>
      </c>
      <c r="E1159" s="6" t="s">
        <v>1556</v>
      </c>
      <c r="F1159" s="6" t="s">
        <v>1548</v>
      </c>
      <c r="G1159" s="6" t="str">
        <f aca="false">INDEX(Archetypes!$D$2:$D$127, MATCH(D1159, Archetypes!$A$2:$A$127, 0))</f>
        <v>Siege</v>
      </c>
      <c r="H1159" s="6" t="n">
        <f aca="false">ROUND(INDEX(Archetypes!$E$2:$E$127, MATCH(D1159, Archetypes!$A$2:$A$127, 0))*INDEX(Unit_Grades!$B$2:$B$7, MATCH(F1159, Unit_Grades!$A$2:$A$7, 0))*INDEX(Unit_Paths!$B$2:$B$4, MATCH(E1159, Unit_Paths!$A$2:$A$4, 0)),1)</f>
        <v>672</v>
      </c>
      <c r="I1159" s="6" t="n">
        <f aca="false">ROUND(INDEX(Archetypes!$F$2:$F$127, MATCH(D1159, Archetypes!$A$2:$A$127, 0))*INDEX(Unit_Grades!$B$2:$B$7, MATCH(F1159, Unit_Grades!$A$2:$A$7, 0))*INDEX(Unit_Paths!$C$2:$C$4, MATCH(E1159, Unit_Paths!$A$2:$A$4, 0)),1)</f>
        <v>168</v>
      </c>
      <c r="J1159" s="6" t="n">
        <f aca="false">ROUND(INDEX(Archetypes!$G$2:$G$127, MATCH(D1159, Archetypes!$A$2:$A$127, 0))*INDEX(Unit_Grades!$B$2:$B$7, MATCH(F1159, Unit_Grades!$A$2:$A$7, 0))*INDEX(Unit_Paths!$D$2:$D$4, MATCH(E1159, Unit_Paths!$A$2:$A$4, 0)),0)</f>
        <v>924</v>
      </c>
      <c r="K1159" s="6" t="n">
        <f aca="false">ROUND(INDEX(Archetypes!$H$2:$H$127, MATCH(D1159, Archetypes!$A$2:$A$127, 0))*INDEX(Unit_Paths!$E$2:$E$4, MATCH(E1159, Unit_Paths!$A$2:$A$4, 0)),1)</f>
        <v>26</v>
      </c>
      <c r="L1159" s="6" t="n">
        <f aca="false">ROUND(INDEX(Archetypes!$I$2:$I$127, MATCH(D1159, Archetypes!$A$2:$A$127, 0))*INDEX(Unit_Grades!$C$2:$C$7, MATCH(F1159, Unit_Grades!$A$2:$A$7, 0)),1)</f>
        <v>74</v>
      </c>
      <c r="M1159" s="6" t="n">
        <f aca="false">ROUND(INDEX(Archetypes!$J$2:$J$127, MATCH(D1159, Archetypes!$A$2:$A$127, 0))*INDEX(Unit_Grades!$D$2:$D$7, MATCH(F1159, Unit_Grades!$A$2:$A$7, 0)),1)</f>
        <v>97.4</v>
      </c>
      <c r="N1159" s="6" t="n">
        <f aca="false">ROUND(M1159/24,2)</f>
        <v>4.06</v>
      </c>
    </row>
    <row r="1160" customFormat="false" ht="15" hidden="false" customHeight="true" outlineLevel="0" collapsed="false">
      <c r="A1160" s="6" t="n">
        <v>4</v>
      </c>
      <c r="B1160" s="6" t="s">
        <v>2663</v>
      </c>
      <c r="C1160" s="6" t="s">
        <v>1398</v>
      </c>
      <c r="D1160" s="6" t="str">
        <f aca="false">A1160&amp;"|"&amp;C1160</f>
        <v>4|SP Artillery</v>
      </c>
      <c r="E1160" s="6" t="s">
        <v>1558</v>
      </c>
      <c r="F1160" s="6" t="s">
        <v>1538</v>
      </c>
      <c r="G1160" s="6" t="str">
        <f aca="false">INDEX(Archetypes!$D$2:$D$127, MATCH(D1160, Archetypes!$A$2:$A$127, 0))</f>
        <v>Siege</v>
      </c>
      <c r="H1160" s="6" t="n">
        <f aca="false">ROUND(INDEX(Archetypes!$E$2:$E$127, MATCH(D1160, Archetypes!$A$2:$A$127, 0))*INDEX(Unit_Grades!$B$2:$B$7, MATCH(F1160, Unit_Grades!$A$2:$A$7, 0))*INDEX(Unit_Paths!$B$2:$B$4, MATCH(E1160, Unit_Paths!$A$2:$A$4, 0)),1)</f>
        <v>192</v>
      </c>
      <c r="I1160" s="6" t="n">
        <f aca="false">ROUND(INDEX(Archetypes!$F$2:$F$127, MATCH(D1160, Archetypes!$A$2:$A$127, 0))*INDEX(Unit_Grades!$B$2:$B$7, MATCH(F1160, Unit_Grades!$A$2:$A$7, 0))*INDEX(Unit_Paths!$C$2:$C$4, MATCH(E1160, Unit_Paths!$A$2:$A$4, 0)),1)</f>
        <v>34</v>
      </c>
      <c r="J1160" s="6" t="n">
        <f aca="false">ROUND(INDEX(Archetypes!$G$2:$G$127, MATCH(D1160, Archetypes!$A$2:$A$127, 0))*INDEX(Unit_Grades!$B$2:$B$7, MATCH(F1160, Unit_Grades!$A$2:$A$7, 0))*INDEX(Unit_Paths!$D$2:$D$4, MATCH(E1160, Unit_Paths!$A$2:$A$4, 0)),0)</f>
        <v>209</v>
      </c>
      <c r="K1160" s="6" t="n">
        <f aca="false">ROUND(INDEX(Archetypes!$H$2:$H$127, MATCH(D1160, Archetypes!$A$2:$A$127, 0))*INDEX(Unit_Paths!$E$2:$E$4, MATCH(E1160, Unit_Paths!$A$2:$A$4, 0)),1)</f>
        <v>27.3</v>
      </c>
      <c r="L1160" s="6" t="n">
        <f aca="false">ROUND(INDEX(Archetypes!$I$2:$I$127, MATCH(D1160, Archetypes!$A$2:$A$127, 0))*INDEX(Unit_Grades!$C$2:$C$7, MATCH(F1160, Unit_Grades!$A$2:$A$7, 0)),1)</f>
        <v>20</v>
      </c>
      <c r="M1160" s="6" t="n">
        <f aca="false">ROUND(INDEX(Archetypes!$J$2:$J$127, MATCH(D1160, Archetypes!$A$2:$A$127, 0))*INDEX(Unit_Grades!$D$2:$D$7, MATCH(F1160, Unit_Grades!$A$2:$A$7, 0)),1)</f>
        <v>8.1</v>
      </c>
      <c r="N1160" s="6" t="n">
        <f aca="false">ROUND(M1160/24,2)</f>
        <v>0.34</v>
      </c>
    </row>
    <row r="1161" customFormat="false" ht="15" hidden="false" customHeight="true" outlineLevel="0" collapsed="false">
      <c r="A1161" s="6" t="n">
        <v>4</v>
      </c>
      <c r="B1161" s="6" t="s">
        <v>2664</v>
      </c>
      <c r="C1161" s="6" t="s">
        <v>1398</v>
      </c>
      <c r="D1161" s="6" t="str">
        <f aca="false">A1161&amp;"|"&amp;C1161</f>
        <v>4|SP Artillery</v>
      </c>
      <c r="E1161" s="6" t="s">
        <v>1558</v>
      </c>
      <c r="F1161" s="6" t="s">
        <v>1540</v>
      </c>
      <c r="G1161" s="6" t="str">
        <f aca="false">INDEX(Archetypes!$D$2:$D$127, MATCH(D1161, Archetypes!$A$2:$A$127, 0))</f>
        <v>Siege</v>
      </c>
      <c r="H1161" s="6" t="n">
        <f aca="false">ROUND(INDEX(Archetypes!$E$2:$E$127, MATCH(D1161, Archetypes!$A$2:$A$127, 0))*INDEX(Unit_Grades!$B$2:$B$7, MATCH(F1161, Unit_Grades!$A$2:$A$7, 0))*INDEX(Unit_Paths!$B$2:$B$4, MATCH(E1161, Unit_Paths!$A$2:$A$4, 0)),1)</f>
        <v>259.2</v>
      </c>
      <c r="I1161" s="6" t="n">
        <f aca="false">ROUND(INDEX(Archetypes!$F$2:$F$127, MATCH(D1161, Archetypes!$A$2:$A$127, 0))*INDEX(Unit_Grades!$B$2:$B$7, MATCH(F1161, Unit_Grades!$A$2:$A$7, 0))*INDEX(Unit_Paths!$C$2:$C$4, MATCH(E1161, Unit_Paths!$A$2:$A$4, 0)),1)</f>
        <v>45.9</v>
      </c>
      <c r="J1161" s="6" t="n">
        <f aca="false">ROUND(INDEX(Archetypes!$G$2:$G$127, MATCH(D1161, Archetypes!$A$2:$A$127, 0))*INDEX(Unit_Grades!$B$2:$B$7, MATCH(F1161, Unit_Grades!$A$2:$A$7, 0))*INDEX(Unit_Paths!$D$2:$D$4, MATCH(E1161, Unit_Paths!$A$2:$A$4, 0)),0)</f>
        <v>282</v>
      </c>
      <c r="K1161" s="6" t="n">
        <f aca="false">ROUND(INDEX(Archetypes!$H$2:$H$127, MATCH(D1161, Archetypes!$A$2:$A$127, 0))*INDEX(Unit_Paths!$E$2:$E$4, MATCH(E1161, Unit_Paths!$A$2:$A$4, 0)),1)</f>
        <v>27.3</v>
      </c>
      <c r="L1161" s="6" t="n">
        <f aca="false">ROUND(INDEX(Archetypes!$I$2:$I$127, MATCH(D1161, Archetypes!$A$2:$A$127, 0))*INDEX(Unit_Grades!$C$2:$C$7, MATCH(F1161, Unit_Grades!$A$2:$A$7, 0)),1)</f>
        <v>25</v>
      </c>
      <c r="M1161" s="6" t="n">
        <f aca="false">ROUND(INDEX(Archetypes!$J$2:$J$127, MATCH(D1161, Archetypes!$A$2:$A$127, 0))*INDEX(Unit_Grades!$D$2:$D$7, MATCH(F1161, Unit_Grades!$A$2:$A$7, 0)),1)</f>
        <v>12.2</v>
      </c>
      <c r="N1161" s="6" t="n">
        <f aca="false">ROUND(M1161/24,2)</f>
        <v>0.51</v>
      </c>
    </row>
    <row r="1162" customFormat="false" ht="15" hidden="false" customHeight="true" outlineLevel="0" collapsed="false">
      <c r="A1162" s="6" t="n">
        <v>4</v>
      </c>
      <c r="B1162" s="6" t="s">
        <v>2665</v>
      </c>
      <c r="C1162" s="6" t="s">
        <v>1398</v>
      </c>
      <c r="D1162" s="6" t="str">
        <f aca="false">A1162&amp;"|"&amp;C1162</f>
        <v>4|SP Artillery</v>
      </c>
      <c r="E1162" s="6" t="s">
        <v>1558</v>
      </c>
      <c r="F1162" s="6" t="s">
        <v>1542</v>
      </c>
      <c r="G1162" s="6" t="str">
        <f aca="false">INDEX(Archetypes!$D$2:$D$127, MATCH(D1162, Archetypes!$A$2:$A$127, 0))</f>
        <v>Siege</v>
      </c>
      <c r="H1162" s="6" t="n">
        <f aca="false">ROUND(INDEX(Archetypes!$E$2:$E$127, MATCH(D1162, Archetypes!$A$2:$A$127, 0))*INDEX(Unit_Grades!$B$2:$B$7, MATCH(F1162, Unit_Grades!$A$2:$A$7, 0))*INDEX(Unit_Paths!$B$2:$B$4, MATCH(E1162, Unit_Paths!$A$2:$A$4, 0)),1)</f>
        <v>345.6</v>
      </c>
      <c r="I1162" s="6" t="n">
        <f aca="false">ROUND(INDEX(Archetypes!$F$2:$F$127, MATCH(D1162, Archetypes!$A$2:$A$127, 0))*INDEX(Unit_Grades!$B$2:$B$7, MATCH(F1162, Unit_Grades!$A$2:$A$7, 0))*INDEX(Unit_Paths!$C$2:$C$4, MATCH(E1162, Unit_Paths!$A$2:$A$4, 0)),1)</f>
        <v>61.2</v>
      </c>
      <c r="J1162" s="6" t="n">
        <f aca="false">ROUND(INDEX(Archetypes!$G$2:$G$127, MATCH(D1162, Archetypes!$A$2:$A$127, 0))*INDEX(Unit_Grades!$B$2:$B$7, MATCH(F1162, Unit_Grades!$A$2:$A$7, 0))*INDEX(Unit_Paths!$D$2:$D$4, MATCH(E1162, Unit_Paths!$A$2:$A$4, 0)),0)</f>
        <v>376</v>
      </c>
      <c r="K1162" s="6" t="n">
        <f aca="false">ROUND(INDEX(Archetypes!$H$2:$H$127, MATCH(D1162, Archetypes!$A$2:$A$127, 0))*INDEX(Unit_Paths!$E$2:$E$4, MATCH(E1162, Unit_Paths!$A$2:$A$4, 0)),1)</f>
        <v>27.3</v>
      </c>
      <c r="L1162" s="6" t="n">
        <f aca="false">ROUND(INDEX(Archetypes!$I$2:$I$127, MATCH(D1162, Archetypes!$A$2:$A$127, 0))*INDEX(Unit_Grades!$C$2:$C$7, MATCH(F1162, Unit_Grades!$A$2:$A$7, 0)),1)</f>
        <v>32</v>
      </c>
      <c r="M1162" s="6" t="n">
        <f aca="false">ROUND(INDEX(Archetypes!$J$2:$J$127, MATCH(D1162, Archetypes!$A$2:$A$127, 0))*INDEX(Unit_Grades!$D$2:$D$7, MATCH(F1162, Unit_Grades!$A$2:$A$7, 0)),1)</f>
        <v>20.3</v>
      </c>
      <c r="N1162" s="6" t="n">
        <f aca="false">ROUND(M1162/24,2)</f>
        <v>0.85</v>
      </c>
    </row>
    <row r="1163" customFormat="false" ht="15" hidden="false" customHeight="true" outlineLevel="0" collapsed="false">
      <c r="A1163" s="6" t="n">
        <v>4</v>
      </c>
      <c r="B1163" s="6" t="s">
        <v>2666</v>
      </c>
      <c r="C1163" s="6" t="s">
        <v>1398</v>
      </c>
      <c r="D1163" s="6" t="str">
        <f aca="false">A1163&amp;"|"&amp;C1163</f>
        <v>4|SP Artillery</v>
      </c>
      <c r="E1163" s="6" t="s">
        <v>1558</v>
      </c>
      <c r="F1163" s="6" t="s">
        <v>1544</v>
      </c>
      <c r="G1163" s="6" t="str">
        <f aca="false">INDEX(Archetypes!$D$2:$D$127, MATCH(D1163, Archetypes!$A$2:$A$127, 0))</f>
        <v>Siege</v>
      </c>
      <c r="H1163" s="6" t="n">
        <f aca="false">ROUND(INDEX(Archetypes!$E$2:$E$127, MATCH(D1163, Archetypes!$A$2:$A$127, 0))*INDEX(Unit_Grades!$B$2:$B$7, MATCH(F1163, Unit_Grades!$A$2:$A$7, 0))*INDEX(Unit_Paths!$B$2:$B$4, MATCH(E1163, Unit_Paths!$A$2:$A$4, 0)),1)</f>
        <v>460.8</v>
      </c>
      <c r="I1163" s="6" t="n">
        <f aca="false">ROUND(INDEX(Archetypes!$F$2:$F$127, MATCH(D1163, Archetypes!$A$2:$A$127, 0))*INDEX(Unit_Grades!$B$2:$B$7, MATCH(F1163, Unit_Grades!$A$2:$A$7, 0))*INDEX(Unit_Paths!$C$2:$C$4, MATCH(E1163, Unit_Paths!$A$2:$A$4, 0)),1)</f>
        <v>81.6</v>
      </c>
      <c r="J1163" s="6" t="n">
        <f aca="false">ROUND(INDEX(Archetypes!$G$2:$G$127, MATCH(D1163, Archetypes!$A$2:$A$127, 0))*INDEX(Unit_Grades!$B$2:$B$7, MATCH(F1163, Unit_Grades!$A$2:$A$7, 0))*INDEX(Unit_Paths!$D$2:$D$4, MATCH(E1163, Unit_Paths!$A$2:$A$4, 0)),0)</f>
        <v>502</v>
      </c>
      <c r="K1163" s="6" t="n">
        <f aca="false">ROUND(INDEX(Archetypes!$H$2:$H$127, MATCH(D1163, Archetypes!$A$2:$A$127, 0))*INDEX(Unit_Paths!$E$2:$E$4, MATCH(E1163, Unit_Paths!$A$2:$A$4, 0)),1)</f>
        <v>27.3</v>
      </c>
      <c r="L1163" s="6" t="n">
        <f aca="false">ROUND(INDEX(Archetypes!$I$2:$I$127, MATCH(D1163, Archetypes!$A$2:$A$127, 0))*INDEX(Unit_Grades!$C$2:$C$7, MATCH(F1163, Unit_Grades!$A$2:$A$7, 0)),1)</f>
        <v>42</v>
      </c>
      <c r="M1163" s="6" t="n">
        <f aca="false">ROUND(INDEX(Archetypes!$J$2:$J$127, MATCH(D1163, Archetypes!$A$2:$A$127, 0))*INDEX(Unit_Grades!$D$2:$D$7, MATCH(F1163, Unit_Grades!$A$2:$A$7, 0)),1)</f>
        <v>32.5</v>
      </c>
      <c r="N1163" s="6" t="n">
        <f aca="false">ROUND(M1163/24,2)</f>
        <v>1.35</v>
      </c>
    </row>
    <row r="1164" customFormat="false" ht="15" hidden="false" customHeight="true" outlineLevel="0" collapsed="false">
      <c r="A1164" s="6" t="n">
        <v>4</v>
      </c>
      <c r="B1164" s="6" t="s">
        <v>2667</v>
      </c>
      <c r="C1164" s="6" t="s">
        <v>1398</v>
      </c>
      <c r="D1164" s="6" t="str">
        <f aca="false">A1164&amp;"|"&amp;C1164</f>
        <v>4|SP Artillery</v>
      </c>
      <c r="E1164" s="6" t="s">
        <v>1558</v>
      </c>
      <c r="F1164" s="6" t="s">
        <v>1546</v>
      </c>
      <c r="G1164" s="6" t="str">
        <f aca="false">INDEX(Archetypes!$D$2:$D$127, MATCH(D1164, Archetypes!$A$2:$A$127, 0))</f>
        <v>Siege</v>
      </c>
      <c r="H1164" s="6" t="n">
        <f aca="false">ROUND(INDEX(Archetypes!$E$2:$E$127, MATCH(D1164, Archetypes!$A$2:$A$127, 0))*INDEX(Unit_Grades!$B$2:$B$7, MATCH(F1164, Unit_Grades!$A$2:$A$7, 0))*INDEX(Unit_Paths!$B$2:$B$4, MATCH(E1164, Unit_Paths!$A$2:$A$4, 0)),1)</f>
        <v>614.4</v>
      </c>
      <c r="I1164" s="6" t="n">
        <f aca="false">ROUND(INDEX(Archetypes!$F$2:$F$127, MATCH(D1164, Archetypes!$A$2:$A$127, 0))*INDEX(Unit_Grades!$B$2:$B$7, MATCH(F1164, Unit_Grades!$A$2:$A$7, 0))*INDEX(Unit_Paths!$C$2:$C$4, MATCH(E1164, Unit_Paths!$A$2:$A$4, 0)),1)</f>
        <v>108.8</v>
      </c>
      <c r="J1164" s="6" t="n">
        <f aca="false">ROUND(INDEX(Archetypes!$G$2:$G$127, MATCH(D1164, Archetypes!$A$2:$A$127, 0))*INDEX(Unit_Grades!$B$2:$B$7, MATCH(F1164, Unit_Grades!$A$2:$A$7, 0))*INDEX(Unit_Paths!$D$2:$D$4, MATCH(E1164, Unit_Paths!$A$2:$A$4, 0)),0)</f>
        <v>669</v>
      </c>
      <c r="K1164" s="6" t="n">
        <f aca="false">ROUND(INDEX(Archetypes!$H$2:$H$127, MATCH(D1164, Archetypes!$A$2:$A$127, 0))*INDEX(Unit_Paths!$E$2:$E$4, MATCH(E1164, Unit_Paths!$A$2:$A$4, 0)),1)</f>
        <v>27.3</v>
      </c>
      <c r="L1164" s="6" t="n">
        <f aca="false">ROUND(INDEX(Archetypes!$I$2:$I$127, MATCH(D1164, Archetypes!$A$2:$A$127, 0))*INDEX(Unit_Grades!$C$2:$C$7, MATCH(F1164, Unit_Grades!$A$2:$A$7, 0)),1)</f>
        <v>56</v>
      </c>
      <c r="M1164" s="6" t="n">
        <f aca="false">ROUND(INDEX(Archetypes!$J$2:$J$127, MATCH(D1164, Archetypes!$A$2:$A$127, 0))*INDEX(Unit_Grades!$D$2:$D$7, MATCH(F1164, Unit_Grades!$A$2:$A$7, 0)),1)</f>
        <v>56.8</v>
      </c>
      <c r="N1164" s="6" t="n">
        <f aca="false">ROUND(M1164/24,2)</f>
        <v>2.37</v>
      </c>
    </row>
    <row r="1165" customFormat="false" ht="15" hidden="false" customHeight="true" outlineLevel="0" collapsed="false">
      <c r="A1165" s="6" t="n">
        <v>4</v>
      </c>
      <c r="B1165" s="6" t="s">
        <v>2668</v>
      </c>
      <c r="C1165" s="6" t="s">
        <v>1398</v>
      </c>
      <c r="D1165" s="6" t="str">
        <f aca="false">A1165&amp;"|"&amp;C1165</f>
        <v>4|SP Artillery</v>
      </c>
      <c r="E1165" s="6" t="s">
        <v>1558</v>
      </c>
      <c r="F1165" s="6" t="s">
        <v>1548</v>
      </c>
      <c r="G1165" s="6" t="str">
        <f aca="false">INDEX(Archetypes!$D$2:$D$127, MATCH(D1165, Archetypes!$A$2:$A$127, 0))</f>
        <v>Siege</v>
      </c>
      <c r="H1165" s="6" t="n">
        <f aca="false">ROUND(INDEX(Archetypes!$E$2:$E$127, MATCH(D1165, Archetypes!$A$2:$A$127, 0))*INDEX(Unit_Grades!$B$2:$B$7, MATCH(F1165, Unit_Grades!$A$2:$A$7, 0))*INDEX(Unit_Paths!$B$2:$B$4, MATCH(E1165, Unit_Paths!$A$2:$A$4, 0)),1)</f>
        <v>806.4</v>
      </c>
      <c r="I1165" s="6" t="n">
        <f aca="false">ROUND(INDEX(Archetypes!$F$2:$F$127, MATCH(D1165, Archetypes!$A$2:$A$127, 0))*INDEX(Unit_Grades!$B$2:$B$7, MATCH(F1165, Unit_Grades!$A$2:$A$7, 0))*INDEX(Unit_Paths!$C$2:$C$4, MATCH(E1165, Unit_Paths!$A$2:$A$4, 0)),1)</f>
        <v>142.8</v>
      </c>
      <c r="J1165" s="6" t="n">
        <f aca="false">ROUND(INDEX(Archetypes!$G$2:$G$127, MATCH(D1165, Archetypes!$A$2:$A$127, 0))*INDEX(Unit_Grades!$B$2:$B$7, MATCH(F1165, Unit_Grades!$A$2:$A$7, 0))*INDEX(Unit_Paths!$D$2:$D$4, MATCH(E1165, Unit_Paths!$A$2:$A$4, 0)),0)</f>
        <v>878</v>
      </c>
      <c r="K1165" s="6" t="n">
        <f aca="false">ROUND(INDEX(Archetypes!$H$2:$H$127, MATCH(D1165, Archetypes!$A$2:$A$127, 0))*INDEX(Unit_Paths!$E$2:$E$4, MATCH(E1165, Unit_Paths!$A$2:$A$4, 0)),1)</f>
        <v>27.3</v>
      </c>
      <c r="L1165" s="6" t="n">
        <f aca="false">ROUND(INDEX(Archetypes!$I$2:$I$127, MATCH(D1165, Archetypes!$A$2:$A$127, 0))*INDEX(Unit_Grades!$C$2:$C$7, MATCH(F1165, Unit_Grades!$A$2:$A$7, 0)),1)</f>
        <v>74</v>
      </c>
      <c r="M1165" s="6" t="n">
        <f aca="false">ROUND(INDEX(Archetypes!$J$2:$J$127, MATCH(D1165, Archetypes!$A$2:$A$127, 0))*INDEX(Unit_Grades!$D$2:$D$7, MATCH(F1165, Unit_Grades!$A$2:$A$7, 0)),1)</f>
        <v>97.4</v>
      </c>
      <c r="N1165" s="6" t="n">
        <f aca="false">ROUND(M1165/24,2)</f>
        <v>4.06</v>
      </c>
    </row>
    <row r="1166" customFormat="false" ht="15" hidden="false" customHeight="true" outlineLevel="0" collapsed="false">
      <c r="A1166" s="6" t="n">
        <v>4</v>
      </c>
      <c r="B1166" s="6" t="s">
        <v>2669</v>
      </c>
      <c r="C1166" s="6" t="s">
        <v>1398</v>
      </c>
      <c r="D1166" s="6" t="str">
        <f aca="false">A1166&amp;"|"&amp;C1166</f>
        <v>4|SP Artillery</v>
      </c>
      <c r="E1166" s="6" t="s">
        <v>1560</v>
      </c>
      <c r="F1166" s="6" t="s">
        <v>1538</v>
      </c>
      <c r="G1166" s="6" t="str">
        <f aca="false">INDEX(Archetypes!$D$2:$D$127, MATCH(D1166, Archetypes!$A$2:$A$127, 0))</f>
        <v>Siege</v>
      </c>
      <c r="H1166" s="6" t="n">
        <f aca="false">ROUND(INDEX(Archetypes!$E$2:$E$127, MATCH(D1166, Archetypes!$A$2:$A$127, 0))*INDEX(Unit_Grades!$B$2:$B$7, MATCH(F1166, Unit_Grades!$A$2:$A$7, 0))*INDEX(Unit_Paths!$B$2:$B$4, MATCH(E1166, Unit_Paths!$A$2:$A$4, 0)),1)</f>
        <v>136</v>
      </c>
      <c r="I1166" s="6" t="n">
        <f aca="false">ROUND(INDEX(Archetypes!$F$2:$F$127, MATCH(D1166, Archetypes!$A$2:$A$127, 0))*INDEX(Unit_Grades!$B$2:$B$7, MATCH(F1166, Unit_Grades!$A$2:$A$7, 0))*INDEX(Unit_Paths!$C$2:$C$4, MATCH(E1166, Unit_Paths!$A$2:$A$4, 0)),1)</f>
        <v>50</v>
      </c>
      <c r="J1166" s="6" t="n">
        <f aca="false">ROUND(INDEX(Archetypes!$G$2:$G$127, MATCH(D1166, Archetypes!$A$2:$A$127, 0))*INDEX(Unit_Grades!$B$2:$B$7, MATCH(F1166, Unit_Grades!$A$2:$A$7, 0))*INDEX(Unit_Paths!$D$2:$D$4, MATCH(E1166, Unit_Paths!$A$2:$A$4, 0)),0)</f>
        <v>253</v>
      </c>
      <c r="K1166" s="6" t="n">
        <f aca="false">ROUND(INDEX(Archetypes!$H$2:$H$127, MATCH(D1166, Archetypes!$A$2:$A$127, 0))*INDEX(Unit_Paths!$E$2:$E$4, MATCH(E1166, Unit_Paths!$A$2:$A$4, 0)),1)</f>
        <v>23.9</v>
      </c>
      <c r="L1166" s="6" t="n">
        <f aca="false">ROUND(INDEX(Archetypes!$I$2:$I$127, MATCH(D1166, Archetypes!$A$2:$A$127, 0))*INDEX(Unit_Grades!$C$2:$C$7, MATCH(F1166, Unit_Grades!$A$2:$A$7, 0)),1)</f>
        <v>20</v>
      </c>
      <c r="M1166" s="6" t="n">
        <f aca="false">ROUND(INDEX(Archetypes!$J$2:$J$127, MATCH(D1166, Archetypes!$A$2:$A$127, 0))*INDEX(Unit_Grades!$D$2:$D$7, MATCH(F1166, Unit_Grades!$A$2:$A$7, 0)),1)</f>
        <v>8.1</v>
      </c>
      <c r="N1166" s="6" t="n">
        <f aca="false">ROUND(M1166/24,2)</f>
        <v>0.34</v>
      </c>
    </row>
    <row r="1167" customFormat="false" ht="15" hidden="false" customHeight="true" outlineLevel="0" collapsed="false">
      <c r="A1167" s="6" t="n">
        <v>4</v>
      </c>
      <c r="B1167" s="6" t="s">
        <v>2670</v>
      </c>
      <c r="C1167" s="6" t="s">
        <v>1398</v>
      </c>
      <c r="D1167" s="6" t="str">
        <f aca="false">A1167&amp;"|"&amp;C1167</f>
        <v>4|SP Artillery</v>
      </c>
      <c r="E1167" s="6" t="s">
        <v>1560</v>
      </c>
      <c r="F1167" s="6" t="s">
        <v>1540</v>
      </c>
      <c r="G1167" s="6" t="str">
        <f aca="false">INDEX(Archetypes!$D$2:$D$127, MATCH(D1167, Archetypes!$A$2:$A$127, 0))</f>
        <v>Siege</v>
      </c>
      <c r="H1167" s="6" t="n">
        <f aca="false">ROUND(INDEX(Archetypes!$E$2:$E$127, MATCH(D1167, Archetypes!$A$2:$A$127, 0))*INDEX(Unit_Grades!$B$2:$B$7, MATCH(F1167, Unit_Grades!$A$2:$A$7, 0))*INDEX(Unit_Paths!$B$2:$B$4, MATCH(E1167, Unit_Paths!$A$2:$A$4, 0)),1)</f>
        <v>183.6</v>
      </c>
      <c r="I1167" s="6" t="n">
        <f aca="false">ROUND(INDEX(Archetypes!$F$2:$F$127, MATCH(D1167, Archetypes!$A$2:$A$127, 0))*INDEX(Unit_Grades!$B$2:$B$7, MATCH(F1167, Unit_Grades!$A$2:$A$7, 0))*INDEX(Unit_Paths!$C$2:$C$4, MATCH(E1167, Unit_Paths!$A$2:$A$4, 0)),1)</f>
        <v>67.5</v>
      </c>
      <c r="J1167" s="6" t="n">
        <f aca="false">ROUND(INDEX(Archetypes!$G$2:$G$127, MATCH(D1167, Archetypes!$A$2:$A$127, 0))*INDEX(Unit_Grades!$B$2:$B$7, MATCH(F1167, Unit_Grades!$A$2:$A$7, 0))*INDEX(Unit_Paths!$D$2:$D$4, MATCH(E1167, Unit_Paths!$A$2:$A$4, 0)),0)</f>
        <v>342</v>
      </c>
      <c r="K1167" s="6" t="n">
        <f aca="false">ROUND(INDEX(Archetypes!$H$2:$H$127, MATCH(D1167, Archetypes!$A$2:$A$127, 0))*INDEX(Unit_Paths!$E$2:$E$4, MATCH(E1167, Unit_Paths!$A$2:$A$4, 0)),1)</f>
        <v>23.9</v>
      </c>
      <c r="L1167" s="6" t="n">
        <f aca="false">ROUND(INDEX(Archetypes!$I$2:$I$127, MATCH(D1167, Archetypes!$A$2:$A$127, 0))*INDEX(Unit_Grades!$C$2:$C$7, MATCH(F1167, Unit_Grades!$A$2:$A$7, 0)),1)</f>
        <v>25</v>
      </c>
      <c r="M1167" s="6" t="n">
        <f aca="false">ROUND(INDEX(Archetypes!$J$2:$J$127, MATCH(D1167, Archetypes!$A$2:$A$127, 0))*INDEX(Unit_Grades!$D$2:$D$7, MATCH(F1167, Unit_Grades!$A$2:$A$7, 0)),1)</f>
        <v>12.2</v>
      </c>
      <c r="N1167" s="6" t="n">
        <f aca="false">ROUND(M1167/24,2)</f>
        <v>0.51</v>
      </c>
    </row>
    <row r="1168" customFormat="false" ht="15" hidden="false" customHeight="true" outlineLevel="0" collapsed="false">
      <c r="A1168" s="6" t="n">
        <v>4</v>
      </c>
      <c r="B1168" s="6" t="s">
        <v>2671</v>
      </c>
      <c r="C1168" s="6" t="s">
        <v>1398</v>
      </c>
      <c r="D1168" s="6" t="str">
        <f aca="false">A1168&amp;"|"&amp;C1168</f>
        <v>4|SP Artillery</v>
      </c>
      <c r="E1168" s="6" t="s">
        <v>1560</v>
      </c>
      <c r="F1168" s="6" t="s">
        <v>1542</v>
      </c>
      <c r="G1168" s="6" t="str">
        <f aca="false">INDEX(Archetypes!$D$2:$D$127, MATCH(D1168, Archetypes!$A$2:$A$127, 0))</f>
        <v>Siege</v>
      </c>
      <c r="H1168" s="6" t="n">
        <f aca="false">ROUND(INDEX(Archetypes!$E$2:$E$127, MATCH(D1168, Archetypes!$A$2:$A$127, 0))*INDEX(Unit_Grades!$B$2:$B$7, MATCH(F1168, Unit_Grades!$A$2:$A$7, 0))*INDEX(Unit_Paths!$B$2:$B$4, MATCH(E1168, Unit_Paths!$A$2:$A$4, 0)),1)</f>
        <v>244.8</v>
      </c>
      <c r="I1168" s="6" t="n">
        <f aca="false">ROUND(INDEX(Archetypes!$F$2:$F$127, MATCH(D1168, Archetypes!$A$2:$A$127, 0))*INDEX(Unit_Grades!$B$2:$B$7, MATCH(F1168, Unit_Grades!$A$2:$A$7, 0))*INDEX(Unit_Paths!$C$2:$C$4, MATCH(E1168, Unit_Paths!$A$2:$A$4, 0)),1)</f>
        <v>90</v>
      </c>
      <c r="J1168" s="6" t="n">
        <f aca="false">ROUND(INDEX(Archetypes!$G$2:$G$127, MATCH(D1168, Archetypes!$A$2:$A$127, 0))*INDEX(Unit_Grades!$B$2:$B$7, MATCH(F1168, Unit_Grades!$A$2:$A$7, 0))*INDEX(Unit_Paths!$D$2:$D$4, MATCH(E1168, Unit_Paths!$A$2:$A$4, 0)),0)</f>
        <v>455</v>
      </c>
      <c r="K1168" s="6" t="n">
        <f aca="false">ROUND(INDEX(Archetypes!$H$2:$H$127, MATCH(D1168, Archetypes!$A$2:$A$127, 0))*INDEX(Unit_Paths!$E$2:$E$4, MATCH(E1168, Unit_Paths!$A$2:$A$4, 0)),1)</f>
        <v>23.9</v>
      </c>
      <c r="L1168" s="6" t="n">
        <f aca="false">ROUND(INDEX(Archetypes!$I$2:$I$127, MATCH(D1168, Archetypes!$A$2:$A$127, 0))*INDEX(Unit_Grades!$C$2:$C$7, MATCH(F1168, Unit_Grades!$A$2:$A$7, 0)),1)</f>
        <v>32</v>
      </c>
      <c r="M1168" s="6" t="n">
        <f aca="false">ROUND(INDEX(Archetypes!$J$2:$J$127, MATCH(D1168, Archetypes!$A$2:$A$127, 0))*INDEX(Unit_Grades!$D$2:$D$7, MATCH(F1168, Unit_Grades!$A$2:$A$7, 0)),1)</f>
        <v>20.3</v>
      </c>
      <c r="N1168" s="6" t="n">
        <f aca="false">ROUND(M1168/24,2)</f>
        <v>0.85</v>
      </c>
    </row>
    <row r="1169" customFormat="false" ht="15" hidden="false" customHeight="true" outlineLevel="0" collapsed="false">
      <c r="A1169" s="6" t="n">
        <v>4</v>
      </c>
      <c r="B1169" s="6" t="s">
        <v>2672</v>
      </c>
      <c r="C1169" s="6" t="s">
        <v>1398</v>
      </c>
      <c r="D1169" s="6" t="str">
        <f aca="false">A1169&amp;"|"&amp;C1169</f>
        <v>4|SP Artillery</v>
      </c>
      <c r="E1169" s="6" t="s">
        <v>1560</v>
      </c>
      <c r="F1169" s="6" t="s">
        <v>1544</v>
      </c>
      <c r="G1169" s="6" t="str">
        <f aca="false">INDEX(Archetypes!$D$2:$D$127, MATCH(D1169, Archetypes!$A$2:$A$127, 0))</f>
        <v>Siege</v>
      </c>
      <c r="H1169" s="6" t="n">
        <f aca="false">ROUND(INDEX(Archetypes!$E$2:$E$127, MATCH(D1169, Archetypes!$A$2:$A$127, 0))*INDEX(Unit_Grades!$B$2:$B$7, MATCH(F1169, Unit_Grades!$A$2:$A$7, 0))*INDEX(Unit_Paths!$B$2:$B$4, MATCH(E1169, Unit_Paths!$A$2:$A$4, 0)),1)</f>
        <v>326.4</v>
      </c>
      <c r="I1169" s="6" t="n">
        <f aca="false">ROUND(INDEX(Archetypes!$F$2:$F$127, MATCH(D1169, Archetypes!$A$2:$A$127, 0))*INDEX(Unit_Grades!$B$2:$B$7, MATCH(F1169, Unit_Grades!$A$2:$A$7, 0))*INDEX(Unit_Paths!$C$2:$C$4, MATCH(E1169, Unit_Paths!$A$2:$A$4, 0)),1)</f>
        <v>120</v>
      </c>
      <c r="J1169" s="6" t="n">
        <f aca="false">ROUND(INDEX(Archetypes!$G$2:$G$127, MATCH(D1169, Archetypes!$A$2:$A$127, 0))*INDEX(Unit_Grades!$B$2:$B$7, MATCH(F1169, Unit_Grades!$A$2:$A$7, 0))*INDEX(Unit_Paths!$D$2:$D$4, MATCH(E1169, Unit_Paths!$A$2:$A$4, 0)),0)</f>
        <v>607</v>
      </c>
      <c r="K1169" s="6" t="n">
        <f aca="false">ROUND(INDEX(Archetypes!$H$2:$H$127, MATCH(D1169, Archetypes!$A$2:$A$127, 0))*INDEX(Unit_Paths!$E$2:$E$4, MATCH(E1169, Unit_Paths!$A$2:$A$4, 0)),1)</f>
        <v>23.9</v>
      </c>
      <c r="L1169" s="6" t="n">
        <f aca="false">ROUND(INDEX(Archetypes!$I$2:$I$127, MATCH(D1169, Archetypes!$A$2:$A$127, 0))*INDEX(Unit_Grades!$C$2:$C$7, MATCH(F1169, Unit_Grades!$A$2:$A$7, 0)),1)</f>
        <v>42</v>
      </c>
      <c r="M1169" s="6" t="n">
        <f aca="false">ROUND(INDEX(Archetypes!$J$2:$J$127, MATCH(D1169, Archetypes!$A$2:$A$127, 0))*INDEX(Unit_Grades!$D$2:$D$7, MATCH(F1169, Unit_Grades!$A$2:$A$7, 0)),1)</f>
        <v>32.5</v>
      </c>
      <c r="N1169" s="6" t="n">
        <f aca="false">ROUND(M1169/24,2)</f>
        <v>1.35</v>
      </c>
    </row>
    <row r="1170" customFormat="false" ht="15" hidden="false" customHeight="true" outlineLevel="0" collapsed="false">
      <c r="A1170" s="6" t="n">
        <v>4</v>
      </c>
      <c r="B1170" s="6" t="s">
        <v>2673</v>
      </c>
      <c r="C1170" s="6" t="s">
        <v>1398</v>
      </c>
      <c r="D1170" s="6" t="str">
        <f aca="false">A1170&amp;"|"&amp;C1170</f>
        <v>4|SP Artillery</v>
      </c>
      <c r="E1170" s="6" t="s">
        <v>1560</v>
      </c>
      <c r="F1170" s="6" t="s">
        <v>1546</v>
      </c>
      <c r="G1170" s="6" t="str">
        <f aca="false">INDEX(Archetypes!$D$2:$D$127, MATCH(D1170, Archetypes!$A$2:$A$127, 0))</f>
        <v>Siege</v>
      </c>
      <c r="H1170" s="6" t="n">
        <f aca="false">ROUND(INDEX(Archetypes!$E$2:$E$127, MATCH(D1170, Archetypes!$A$2:$A$127, 0))*INDEX(Unit_Grades!$B$2:$B$7, MATCH(F1170, Unit_Grades!$A$2:$A$7, 0))*INDEX(Unit_Paths!$B$2:$B$4, MATCH(E1170, Unit_Paths!$A$2:$A$4, 0)),1)</f>
        <v>435.2</v>
      </c>
      <c r="I1170" s="6" t="n">
        <f aca="false">ROUND(INDEX(Archetypes!$F$2:$F$127, MATCH(D1170, Archetypes!$A$2:$A$127, 0))*INDEX(Unit_Grades!$B$2:$B$7, MATCH(F1170, Unit_Grades!$A$2:$A$7, 0))*INDEX(Unit_Paths!$C$2:$C$4, MATCH(E1170, Unit_Paths!$A$2:$A$4, 0)),1)</f>
        <v>160</v>
      </c>
      <c r="J1170" s="6" t="n">
        <f aca="false">ROUND(INDEX(Archetypes!$G$2:$G$127, MATCH(D1170, Archetypes!$A$2:$A$127, 0))*INDEX(Unit_Grades!$B$2:$B$7, MATCH(F1170, Unit_Grades!$A$2:$A$7, 0))*INDEX(Unit_Paths!$D$2:$D$4, MATCH(E1170, Unit_Paths!$A$2:$A$4, 0)),0)</f>
        <v>810</v>
      </c>
      <c r="K1170" s="6" t="n">
        <f aca="false">ROUND(INDEX(Archetypes!$H$2:$H$127, MATCH(D1170, Archetypes!$A$2:$A$127, 0))*INDEX(Unit_Paths!$E$2:$E$4, MATCH(E1170, Unit_Paths!$A$2:$A$4, 0)),1)</f>
        <v>23.9</v>
      </c>
      <c r="L1170" s="6" t="n">
        <f aca="false">ROUND(INDEX(Archetypes!$I$2:$I$127, MATCH(D1170, Archetypes!$A$2:$A$127, 0))*INDEX(Unit_Grades!$C$2:$C$7, MATCH(F1170, Unit_Grades!$A$2:$A$7, 0)),1)</f>
        <v>56</v>
      </c>
      <c r="M1170" s="6" t="n">
        <f aca="false">ROUND(INDEX(Archetypes!$J$2:$J$127, MATCH(D1170, Archetypes!$A$2:$A$127, 0))*INDEX(Unit_Grades!$D$2:$D$7, MATCH(F1170, Unit_Grades!$A$2:$A$7, 0)),1)</f>
        <v>56.8</v>
      </c>
      <c r="N1170" s="6" t="n">
        <f aca="false">ROUND(M1170/24,2)</f>
        <v>2.37</v>
      </c>
    </row>
    <row r="1171" customFormat="false" ht="15" hidden="false" customHeight="true" outlineLevel="0" collapsed="false">
      <c r="A1171" s="6" t="n">
        <v>4</v>
      </c>
      <c r="B1171" s="6" t="s">
        <v>2674</v>
      </c>
      <c r="C1171" s="6" t="s">
        <v>1398</v>
      </c>
      <c r="D1171" s="6" t="str">
        <f aca="false">A1171&amp;"|"&amp;C1171</f>
        <v>4|SP Artillery</v>
      </c>
      <c r="E1171" s="6" t="s">
        <v>1560</v>
      </c>
      <c r="F1171" s="6" t="s">
        <v>1548</v>
      </c>
      <c r="G1171" s="6" t="str">
        <f aca="false">INDEX(Archetypes!$D$2:$D$127, MATCH(D1171, Archetypes!$A$2:$A$127, 0))</f>
        <v>Siege</v>
      </c>
      <c r="H1171" s="6" t="n">
        <f aca="false">ROUND(INDEX(Archetypes!$E$2:$E$127, MATCH(D1171, Archetypes!$A$2:$A$127, 0))*INDEX(Unit_Grades!$B$2:$B$7, MATCH(F1171, Unit_Grades!$A$2:$A$7, 0))*INDEX(Unit_Paths!$B$2:$B$4, MATCH(E1171, Unit_Paths!$A$2:$A$4, 0)),1)</f>
        <v>571.2</v>
      </c>
      <c r="I1171" s="6" t="n">
        <f aca="false">ROUND(INDEX(Archetypes!$F$2:$F$127, MATCH(D1171, Archetypes!$A$2:$A$127, 0))*INDEX(Unit_Grades!$B$2:$B$7, MATCH(F1171, Unit_Grades!$A$2:$A$7, 0))*INDEX(Unit_Paths!$C$2:$C$4, MATCH(E1171, Unit_Paths!$A$2:$A$4, 0)),1)</f>
        <v>210</v>
      </c>
      <c r="J1171" s="6" t="n">
        <f aca="false">ROUND(INDEX(Archetypes!$G$2:$G$127, MATCH(D1171, Archetypes!$A$2:$A$127, 0))*INDEX(Unit_Grades!$B$2:$B$7, MATCH(F1171, Unit_Grades!$A$2:$A$7, 0))*INDEX(Unit_Paths!$D$2:$D$4, MATCH(E1171, Unit_Paths!$A$2:$A$4, 0)),0)</f>
        <v>1063</v>
      </c>
      <c r="K1171" s="6" t="n">
        <f aca="false">ROUND(INDEX(Archetypes!$H$2:$H$127, MATCH(D1171, Archetypes!$A$2:$A$127, 0))*INDEX(Unit_Paths!$E$2:$E$4, MATCH(E1171, Unit_Paths!$A$2:$A$4, 0)),1)</f>
        <v>23.9</v>
      </c>
      <c r="L1171" s="6" t="n">
        <f aca="false">ROUND(INDEX(Archetypes!$I$2:$I$127, MATCH(D1171, Archetypes!$A$2:$A$127, 0))*INDEX(Unit_Grades!$C$2:$C$7, MATCH(F1171, Unit_Grades!$A$2:$A$7, 0)),1)</f>
        <v>74</v>
      </c>
      <c r="M1171" s="6" t="n">
        <f aca="false">ROUND(INDEX(Archetypes!$J$2:$J$127, MATCH(D1171, Archetypes!$A$2:$A$127, 0))*INDEX(Unit_Grades!$D$2:$D$7, MATCH(F1171, Unit_Grades!$A$2:$A$7, 0)),1)</f>
        <v>97.4</v>
      </c>
      <c r="N1171" s="6" t="n">
        <f aca="false">ROUND(M1171/24,2)</f>
        <v>4.06</v>
      </c>
    </row>
    <row r="1172" customFormat="false" ht="15" hidden="false" customHeight="true" outlineLevel="0" collapsed="false">
      <c r="A1172" s="6" t="n">
        <v>4</v>
      </c>
      <c r="B1172" s="6" t="s">
        <v>1400</v>
      </c>
      <c r="C1172" s="6" t="s">
        <v>1400</v>
      </c>
      <c r="D1172" s="6" t="str">
        <f aca="false">A1172&amp;"|"&amp;C1172</f>
        <v>4|Rocket Artillery</v>
      </c>
      <c r="E1172" s="6" t="s">
        <v>1556</v>
      </c>
      <c r="F1172" s="6" t="s">
        <v>1538</v>
      </c>
      <c r="G1172" s="6" t="str">
        <f aca="false">INDEX(Archetypes!$D$2:$D$127, MATCH(D1172, Archetypes!$A$2:$A$127, 0))</f>
        <v>Siege</v>
      </c>
      <c r="H1172" s="6" t="n">
        <f aca="false">ROUND(INDEX(Archetypes!$E$2:$E$127, MATCH(D1172, Archetypes!$A$2:$A$127, 0))*INDEX(Unit_Grades!$B$2:$B$7, MATCH(F1172, Unit_Grades!$A$2:$A$7, 0))*INDEX(Unit_Paths!$B$2:$B$4, MATCH(E1172, Unit_Paths!$A$2:$A$4, 0)),1)</f>
        <v>180</v>
      </c>
      <c r="I1172" s="6" t="n">
        <f aca="false">ROUND(INDEX(Archetypes!$F$2:$F$127, MATCH(D1172, Archetypes!$A$2:$A$127, 0))*INDEX(Unit_Grades!$B$2:$B$7, MATCH(F1172, Unit_Grades!$A$2:$A$7, 0))*INDEX(Unit_Paths!$C$2:$C$4, MATCH(E1172, Unit_Paths!$A$2:$A$4, 0)),1)</f>
        <v>30</v>
      </c>
      <c r="J1172" s="6" t="n">
        <f aca="false">ROUND(INDEX(Archetypes!$G$2:$G$127, MATCH(D1172, Archetypes!$A$2:$A$127, 0))*INDEX(Unit_Grades!$B$2:$B$7, MATCH(F1172, Unit_Grades!$A$2:$A$7, 0))*INDEX(Unit_Paths!$D$2:$D$4, MATCH(E1172, Unit_Paths!$A$2:$A$4, 0)),0)</f>
        <v>190</v>
      </c>
      <c r="K1172" s="6" t="n">
        <f aca="false">ROUND(INDEX(Archetypes!$H$2:$H$127, MATCH(D1172, Archetypes!$A$2:$A$127, 0))*INDEX(Unit_Paths!$E$2:$E$4, MATCH(E1172, Unit_Paths!$A$2:$A$4, 0)),1)</f>
        <v>26</v>
      </c>
      <c r="L1172" s="6" t="n">
        <f aca="false">ROUND(INDEX(Archetypes!$I$2:$I$127, MATCH(D1172, Archetypes!$A$2:$A$127, 0))*INDEX(Unit_Grades!$C$2:$C$7, MATCH(F1172, Unit_Grades!$A$2:$A$7, 0)),1)</f>
        <v>22</v>
      </c>
      <c r="M1172" s="6" t="n">
        <f aca="false">ROUND(INDEX(Archetypes!$J$2:$J$127, MATCH(D1172, Archetypes!$A$2:$A$127, 0))*INDEX(Unit_Grades!$D$2:$D$7, MATCH(F1172, Unit_Grades!$A$2:$A$7, 0)),1)</f>
        <v>8.9</v>
      </c>
      <c r="N1172" s="6" t="n">
        <f aca="false">ROUND(M1172/24,2)</f>
        <v>0.37</v>
      </c>
    </row>
    <row r="1173" customFormat="false" ht="15" hidden="false" customHeight="true" outlineLevel="0" collapsed="false">
      <c r="A1173" s="6" t="n">
        <v>4</v>
      </c>
      <c r="B1173" s="6" t="s">
        <v>2675</v>
      </c>
      <c r="C1173" s="6" t="s">
        <v>1400</v>
      </c>
      <c r="D1173" s="6" t="str">
        <f aca="false">A1173&amp;"|"&amp;C1173</f>
        <v>4|Rocket Artillery</v>
      </c>
      <c r="E1173" s="6" t="s">
        <v>1556</v>
      </c>
      <c r="F1173" s="6" t="s">
        <v>1540</v>
      </c>
      <c r="G1173" s="6" t="str">
        <f aca="false">INDEX(Archetypes!$D$2:$D$127, MATCH(D1173, Archetypes!$A$2:$A$127, 0))</f>
        <v>Siege</v>
      </c>
      <c r="H1173" s="6" t="n">
        <f aca="false">ROUND(INDEX(Archetypes!$E$2:$E$127, MATCH(D1173, Archetypes!$A$2:$A$127, 0))*INDEX(Unit_Grades!$B$2:$B$7, MATCH(F1173, Unit_Grades!$A$2:$A$7, 0))*INDEX(Unit_Paths!$B$2:$B$4, MATCH(E1173, Unit_Paths!$A$2:$A$4, 0)),1)</f>
        <v>243</v>
      </c>
      <c r="I1173" s="6" t="n">
        <f aca="false">ROUND(INDEX(Archetypes!$F$2:$F$127, MATCH(D1173, Archetypes!$A$2:$A$127, 0))*INDEX(Unit_Grades!$B$2:$B$7, MATCH(F1173, Unit_Grades!$A$2:$A$7, 0))*INDEX(Unit_Paths!$C$2:$C$4, MATCH(E1173, Unit_Paths!$A$2:$A$4, 0)),1)</f>
        <v>40.5</v>
      </c>
      <c r="J1173" s="6" t="n">
        <f aca="false">ROUND(INDEX(Archetypes!$G$2:$G$127, MATCH(D1173, Archetypes!$A$2:$A$127, 0))*INDEX(Unit_Grades!$B$2:$B$7, MATCH(F1173, Unit_Grades!$A$2:$A$7, 0))*INDEX(Unit_Paths!$D$2:$D$4, MATCH(E1173, Unit_Paths!$A$2:$A$4, 0)),0)</f>
        <v>257</v>
      </c>
      <c r="K1173" s="6" t="n">
        <f aca="false">ROUND(INDEX(Archetypes!$H$2:$H$127, MATCH(D1173, Archetypes!$A$2:$A$127, 0))*INDEX(Unit_Paths!$E$2:$E$4, MATCH(E1173, Unit_Paths!$A$2:$A$4, 0)),1)</f>
        <v>26</v>
      </c>
      <c r="L1173" s="6" t="n">
        <f aca="false">ROUND(INDEX(Archetypes!$I$2:$I$127, MATCH(D1173, Archetypes!$A$2:$A$127, 0))*INDEX(Unit_Grades!$C$2:$C$7, MATCH(F1173, Unit_Grades!$A$2:$A$7, 0)),1)</f>
        <v>27.5</v>
      </c>
      <c r="M1173" s="6" t="n">
        <f aca="false">ROUND(INDEX(Archetypes!$J$2:$J$127, MATCH(D1173, Archetypes!$A$2:$A$127, 0))*INDEX(Unit_Grades!$D$2:$D$7, MATCH(F1173, Unit_Grades!$A$2:$A$7, 0)),1)</f>
        <v>13.4</v>
      </c>
      <c r="N1173" s="6" t="n">
        <f aca="false">ROUND(M1173/24,2)</f>
        <v>0.56</v>
      </c>
    </row>
    <row r="1174" customFormat="false" ht="15" hidden="false" customHeight="true" outlineLevel="0" collapsed="false">
      <c r="A1174" s="6" t="n">
        <v>4</v>
      </c>
      <c r="B1174" s="6" t="s">
        <v>2676</v>
      </c>
      <c r="C1174" s="6" t="s">
        <v>1400</v>
      </c>
      <c r="D1174" s="6" t="str">
        <f aca="false">A1174&amp;"|"&amp;C1174</f>
        <v>4|Rocket Artillery</v>
      </c>
      <c r="E1174" s="6" t="s">
        <v>1556</v>
      </c>
      <c r="F1174" s="6" t="s">
        <v>1542</v>
      </c>
      <c r="G1174" s="6" t="str">
        <f aca="false">INDEX(Archetypes!$D$2:$D$127, MATCH(D1174, Archetypes!$A$2:$A$127, 0))</f>
        <v>Siege</v>
      </c>
      <c r="H1174" s="6" t="n">
        <f aca="false">ROUND(INDEX(Archetypes!$E$2:$E$127, MATCH(D1174, Archetypes!$A$2:$A$127, 0))*INDEX(Unit_Grades!$B$2:$B$7, MATCH(F1174, Unit_Grades!$A$2:$A$7, 0))*INDEX(Unit_Paths!$B$2:$B$4, MATCH(E1174, Unit_Paths!$A$2:$A$4, 0)),1)</f>
        <v>324</v>
      </c>
      <c r="I1174" s="6" t="n">
        <f aca="false">ROUND(INDEX(Archetypes!$F$2:$F$127, MATCH(D1174, Archetypes!$A$2:$A$127, 0))*INDEX(Unit_Grades!$B$2:$B$7, MATCH(F1174, Unit_Grades!$A$2:$A$7, 0))*INDEX(Unit_Paths!$C$2:$C$4, MATCH(E1174, Unit_Paths!$A$2:$A$4, 0)),1)</f>
        <v>54</v>
      </c>
      <c r="J1174" s="6" t="n">
        <f aca="false">ROUND(INDEX(Archetypes!$G$2:$G$127, MATCH(D1174, Archetypes!$A$2:$A$127, 0))*INDEX(Unit_Grades!$B$2:$B$7, MATCH(F1174, Unit_Grades!$A$2:$A$7, 0))*INDEX(Unit_Paths!$D$2:$D$4, MATCH(E1174, Unit_Paths!$A$2:$A$4, 0)),0)</f>
        <v>342</v>
      </c>
      <c r="K1174" s="6" t="n">
        <f aca="false">ROUND(INDEX(Archetypes!$H$2:$H$127, MATCH(D1174, Archetypes!$A$2:$A$127, 0))*INDEX(Unit_Paths!$E$2:$E$4, MATCH(E1174, Unit_Paths!$A$2:$A$4, 0)),1)</f>
        <v>26</v>
      </c>
      <c r="L1174" s="6" t="n">
        <f aca="false">ROUND(INDEX(Archetypes!$I$2:$I$127, MATCH(D1174, Archetypes!$A$2:$A$127, 0))*INDEX(Unit_Grades!$C$2:$C$7, MATCH(F1174, Unit_Grades!$A$2:$A$7, 0)),1)</f>
        <v>35.2</v>
      </c>
      <c r="M1174" s="6" t="n">
        <f aca="false">ROUND(INDEX(Archetypes!$J$2:$J$127, MATCH(D1174, Archetypes!$A$2:$A$127, 0))*INDEX(Unit_Grades!$D$2:$D$7, MATCH(F1174, Unit_Grades!$A$2:$A$7, 0)),1)</f>
        <v>22.3</v>
      </c>
      <c r="N1174" s="6" t="n">
        <f aca="false">ROUND(M1174/24,2)</f>
        <v>0.93</v>
      </c>
    </row>
    <row r="1175" customFormat="false" ht="15" hidden="false" customHeight="true" outlineLevel="0" collapsed="false">
      <c r="A1175" s="6" t="n">
        <v>4</v>
      </c>
      <c r="B1175" s="6" t="s">
        <v>2677</v>
      </c>
      <c r="C1175" s="6" t="s">
        <v>1400</v>
      </c>
      <c r="D1175" s="6" t="str">
        <f aca="false">A1175&amp;"|"&amp;C1175</f>
        <v>4|Rocket Artillery</v>
      </c>
      <c r="E1175" s="6" t="s">
        <v>1556</v>
      </c>
      <c r="F1175" s="6" t="s">
        <v>1544</v>
      </c>
      <c r="G1175" s="6" t="str">
        <f aca="false">INDEX(Archetypes!$D$2:$D$127, MATCH(D1175, Archetypes!$A$2:$A$127, 0))</f>
        <v>Siege</v>
      </c>
      <c r="H1175" s="6" t="n">
        <f aca="false">ROUND(INDEX(Archetypes!$E$2:$E$127, MATCH(D1175, Archetypes!$A$2:$A$127, 0))*INDEX(Unit_Grades!$B$2:$B$7, MATCH(F1175, Unit_Grades!$A$2:$A$7, 0))*INDEX(Unit_Paths!$B$2:$B$4, MATCH(E1175, Unit_Paths!$A$2:$A$4, 0)),1)</f>
        <v>432</v>
      </c>
      <c r="I1175" s="6" t="n">
        <f aca="false">ROUND(INDEX(Archetypes!$F$2:$F$127, MATCH(D1175, Archetypes!$A$2:$A$127, 0))*INDEX(Unit_Grades!$B$2:$B$7, MATCH(F1175, Unit_Grades!$A$2:$A$7, 0))*INDEX(Unit_Paths!$C$2:$C$4, MATCH(E1175, Unit_Paths!$A$2:$A$4, 0)),1)</f>
        <v>72</v>
      </c>
      <c r="J1175" s="6" t="n">
        <f aca="false">ROUND(INDEX(Archetypes!$G$2:$G$127, MATCH(D1175, Archetypes!$A$2:$A$127, 0))*INDEX(Unit_Grades!$B$2:$B$7, MATCH(F1175, Unit_Grades!$A$2:$A$7, 0))*INDEX(Unit_Paths!$D$2:$D$4, MATCH(E1175, Unit_Paths!$A$2:$A$4, 0)),0)</f>
        <v>456</v>
      </c>
      <c r="K1175" s="6" t="n">
        <f aca="false">ROUND(INDEX(Archetypes!$H$2:$H$127, MATCH(D1175, Archetypes!$A$2:$A$127, 0))*INDEX(Unit_Paths!$E$2:$E$4, MATCH(E1175, Unit_Paths!$A$2:$A$4, 0)),1)</f>
        <v>26</v>
      </c>
      <c r="L1175" s="6" t="n">
        <f aca="false">ROUND(INDEX(Archetypes!$I$2:$I$127, MATCH(D1175, Archetypes!$A$2:$A$127, 0))*INDEX(Unit_Grades!$C$2:$C$7, MATCH(F1175, Unit_Grades!$A$2:$A$7, 0)),1)</f>
        <v>46.2</v>
      </c>
      <c r="M1175" s="6" t="n">
        <f aca="false">ROUND(INDEX(Archetypes!$J$2:$J$127, MATCH(D1175, Archetypes!$A$2:$A$127, 0))*INDEX(Unit_Grades!$D$2:$D$7, MATCH(F1175, Unit_Grades!$A$2:$A$7, 0)),1)</f>
        <v>35.7</v>
      </c>
      <c r="N1175" s="6" t="n">
        <f aca="false">ROUND(M1175/24,2)</f>
        <v>1.49</v>
      </c>
    </row>
    <row r="1176" customFormat="false" ht="15" hidden="false" customHeight="true" outlineLevel="0" collapsed="false">
      <c r="A1176" s="6" t="n">
        <v>4</v>
      </c>
      <c r="B1176" s="6" t="s">
        <v>2678</v>
      </c>
      <c r="C1176" s="6" t="s">
        <v>1400</v>
      </c>
      <c r="D1176" s="6" t="str">
        <f aca="false">A1176&amp;"|"&amp;C1176</f>
        <v>4|Rocket Artillery</v>
      </c>
      <c r="E1176" s="6" t="s">
        <v>1556</v>
      </c>
      <c r="F1176" s="6" t="s">
        <v>1546</v>
      </c>
      <c r="G1176" s="6" t="str">
        <f aca="false">INDEX(Archetypes!$D$2:$D$127, MATCH(D1176, Archetypes!$A$2:$A$127, 0))</f>
        <v>Siege</v>
      </c>
      <c r="H1176" s="6" t="n">
        <f aca="false">ROUND(INDEX(Archetypes!$E$2:$E$127, MATCH(D1176, Archetypes!$A$2:$A$127, 0))*INDEX(Unit_Grades!$B$2:$B$7, MATCH(F1176, Unit_Grades!$A$2:$A$7, 0))*INDEX(Unit_Paths!$B$2:$B$4, MATCH(E1176, Unit_Paths!$A$2:$A$4, 0)),1)</f>
        <v>576</v>
      </c>
      <c r="I1176" s="6" t="n">
        <f aca="false">ROUND(INDEX(Archetypes!$F$2:$F$127, MATCH(D1176, Archetypes!$A$2:$A$127, 0))*INDEX(Unit_Grades!$B$2:$B$7, MATCH(F1176, Unit_Grades!$A$2:$A$7, 0))*INDEX(Unit_Paths!$C$2:$C$4, MATCH(E1176, Unit_Paths!$A$2:$A$4, 0)),1)</f>
        <v>96</v>
      </c>
      <c r="J1176" s="6" t="n">
        <f aca="false">ROUND(INDEX(Archetypes!$G$2:$G$127, MATCH(D1176, Archetypes!$A$2:$A$127, 0))*INDEX(Unit_Grades!$B$2:$B$7, MATCH(F1176, Unit_Grades!$A$2:$A$7, 0))*INDEX(Unit_Paths!$D$2:$D$4, MATCH(E1176, Unit_Paths!$A$2:$A$4, 0)),0)</f>
        <v>608</v>
      </c>
      <c r="K1176" s="6" t="n">
        <f aca="false">ROUND(INDEX(Archetypes!$H$2:$H$127, MATCH(D1176, Archetypes!$A$2:$A$127, 0))*INDEX(Unit_Paths!$E$2:$E$4, MATCH(E1176, Unit_Paths!$A$2:$A$4, 0)),1)</f>
        <v>26</v>
      </c>
      <c r="L1176" s="6" t="n">
        <f aca="false">ROUND(INDEX(Archetypes!$I$2:$I$127, MATCH(D1176, Archetypes!$A$2:$A$127, 0))*INDEX(Unit_Grades!$C$2:$C$7, MATCH(F1176, Unit_Grades!$A$2:$A$7, 0)),1)</f>
        <v>61.6</v>
      </c>
      <c r="M1176" s="6" t="n">
        <f aca="false">ROUND(INDEX(Archetypes!$J$2:$J$127, MATCH(D1176, Archetypes!$A$2:$A$127, 0))*INDEX(Unit_Grades!$D$2:$D$7, MATCH(F1176, Unit_Grades!$A$2:$A$7, 0)),1)</f>
        <v>62.5</v>
      </c>
      <c r="N1176" s="6" t="n">
        <f aca="false">ROUND(M1176/24,2)</f>
        <v>2.6</v>
      </c>
    </row>
    <row r="1177" customFormat="false" ht="15" hidden="false" customHeight="true" outlineLevel="0" collapsed="false">
      <c r="A1177" s="6" t="n">
        <v>4</v>
      </c>
      <c r="B1177" s="6" t="s">
        <v>2679</v>
      </c>
      <c r="C1177" s="6" t="s">
        <v>1400</v>
      </c>
      <c r="D1177" s="6" t="str">
        <f aca="false">A1177&amp;"|"&amp;C1177</f>
        <v>4|Rocket Artillery</v>
      </c>
      <c r="E1177" s="6" t="s">
        <v>1556</v>
      </c>
      <c r="F1177" s="6" t="s">
        <v>1548</v>
      </c>
      <c r="G1177" s="6" t="str">
        <f aca="false">INDEX(Archetypes!$D$2:$D$127, MATCH(D1177, Archetypes!$A$2:$A$127, 0))</f>
        <v>Siege</v>
      </c>
      <c r="H1177" s="6" t="n">
        <f aca="false">ROUND(INDEX(Archetypes!$E$2:$E$127, MATCH(D1177, Archetypes!$A$2:$A$127, 0))*INDEX(Unit_Grades!$B$2:$B$7, MATCH(F1177, Unit_Grades!$A$2:$A$7, 0))*INDEX(Unit_Paths!$B$2:$B$4, MATCH(E1177, Unit_Paths!$A$2:$A$4, 0)),1)</f>
        <v>756</v>
      </c>
      <c r="I1177" s="6" t="n">
        <f aca="false">ROUND(INDEX(Archetypes!$F$2:$F$127, MATCH(D1177, Archetypes!$A$2:$A$127, 0))*INDEX(Unit_Grades!$B$2:$B$7, MATCH(F1177, Unit_Grades!$A$2:$A$7, 0))*INDEX(Unit_Paths!$C$2:$C$4, MATCH(E1177, Unit_Paths!$A$2:$A$4, 0)),1)</f>
        <v>126</v>
      </c>
      <c r="J1177" s="6" t="n">
        <f aca="false">ROUND(INDEX(Archetypes!$G$2:$G$127, MATCH(D1177, Archetypes!$A$2:$A$127, 0))*INDEX(Unit_Grades!$B$2:$B$7, MATCH(F1177, Unit_Grades!$A$2:$A$7, 0))*INDEX(Unit_Paths!$D$2:$D$4, MATCH(E1177, Unit_Paths!$A$2:$A$4, 0)),0)</f>
        <v>798</v>
      </c>
      <c r="K1177" s="6" t="n">
        <f aca="false">ROUND(INDEX(Archetypes!$H$2:$H$127, MATCH(D1177, Archetypes!$A$2:$A$127, 0))*INDEX(Unit_Paths!$E$2:$E$4, MATCH(E1177, Unit_Paths!$A$2:$A$4, 0)),1)</f>
        <v>26</v>
      </c>
      <c r="L1177" s="6" t="n">
        <f aca="false">ROUND(INDEX(Archetypes!$I$2:$I$127, MATCH(D1177, Archetypes!$A$2:$A$127, 0))*INDEX(Unit_Grades!$C$2:$C$7, MATCH(F1177, Unit_Grades!$A$2:$A$7, 0)),1)</f>
        <v>81.4</v>
      </c>
      <c r="M1177" s="6" t="n">
        <f aca="false">ROUND(INDEX(Archetypes!$J$2:$J$127, MATCH(D1177, Archetypes!$A$2:$A$127, 0))*INDEX(Unit_Grades!$D$2:$D$7, MATCH(F1177, Unit_Grades!$A$2:$A$7, 0)),1)</f>
        <v>107.2</v>
      </c>
      <c r="N1177" s="6" t="n">
        <f aca="false">ROUND(M1177/24,2)</f>
        <v>4.47</v>
      </c>
    </row>
    <row r="1178" customFormat="false" ht="15" hidden="false" customHeight="true" outlineLevel="0" collapsed="false">
      <c r="A1178" s="6" t="n">
        <v>4</v>
      </c>
      <c r="B1178" s="6" t="s">
        <v>2680</v>
      </c>
      <c r="C1178" s="6" t="s">
        <v>1400</v>
      </c>
      <c r="D1178" s="6" t="str">
        <f aca="false">A1178&amp;"|"&amp;C1178</f>
        <v>4|Rocket Artillery</v>
      </c>
      <c r="E1178" s="6" t="s">
        <v>1558</v>
      </c>
      <c r="F1178" s="6" t="s">
        <v>1538</v>
      </c>
      <c r="G1178" s="6" t="str">
        <f aca="false">INDEX(Archetypes!$D$2:$D$127, MATCH(D1178, Archetypes!$A$2:$A$127, 0))</f>
        <v>Siege</v>
      </c>
      <c r="H1178" s="6" t="n">
        <f aca="false">ROUND(INDEX(Archetypes!$E$2:$E$127, MATCH(D1178, Archetypes!$A$2:$A$127, 0))*INDEX(Unit_Grades!$B$2:$B$7, MATCH(F1178, Unit_Grades!$A$2:$A$7, 0))*INDEX(Unit_Paths!$B$2:$B$4, MATCH(E1178, Unit_Paths!$A$2:$A$4, 0)),1)</f>
        <v>216</v>
      </c>
      <c r="I1178" s="6" t="n">
        <f aca="false">ROUND(INDEX(Archetypes!$F$2:$F$127, MATCH(D1178, Archetypes!$A$2:$A$127, 0))*INDEX(Unit_Grades!$B$2:$B$7, MATCH(F1178, Unit_Grades!$A$2:$A$7, 0))*INDEX(Unit_Paths!$C$2:$C$4, MATCH(E1178, Unit_Paths!$A$2:$A$4, 0)),1)</f>
        <v>25.5</v>
      </c>
      <c r="J1178" s="6" t="n">
        <f aca="false">ROUND(INDEX(Archetypes!$G$2:$G$127, MATCH(D1178, Archetypes!$A$2:$A$127, 0))*INDEX(Unit_Grades!$B$2:$B$7, MATCH(F1178, Unit_Grades!$A$2:$A$7, 0))*INDEX(Unit_Paths!$D$2:$D$4, MATCH(E1178, Unit_Paths!$A$2:$A$4, 0)),0)</f>
        <v>181</v>
      </c>
      <c r="K1178" s="6" t="n">
        <f aca="false">ROUND(INDEX(Archetypes!$H$2:$H$127, MATCH(D1178, Archetypes!$A$2:$A$127, 0))*INDEX(Unit_Paths!$E$2:$E$4, MATCH(E1178, Unit_Paths!$A$2:$A$4, 0)),1)</f>
        <v>27.3</v>
      </c>
      <c r="L1178" s="6" t="n">
        <f aca="false">ROUND(INDEX(Archetypes!$I$2:$I$127, MATCH(D1178, Archetypes!$A$2:$A$127, 0))*INDEX(Unit_Grades!$C$2:$C$7, MATCH(F1178, Unit_Grades!$A$2:$A$7, 0)),1)</f>
        <v>22</v>
      </c>
      <c r="M1178" s="6" t="n">
        <f aca="false">ROUND(INDEX(Archetypes!$J$2:$J$127, MATCH(D1178, Archetypes!$A$2:$A$127, 0))*INDEX(Unit_Grades!$D$2:$D$7, MATCH(F1178, Unit_Grades!$A$2:$A$7, 0)),1)</f>
        <v>8.9</v>
      </c>
      <c r="N1178" s="6" t="n">
        <f aca="false">ROUND(M1178/24,2)</f>
        <v>0.37</v>
      </c>
    </row>
    <row r="1179" customFormat="false" ht="15" hidden="false" customHeight="true" outlineLevel="0" collapsed="false">
      <c r="A1179" s="6" t="n">
        <v>4</v>
      </c>
      <c r="B1179" s="6" t="s">
        <v>2681</v>
      </c>
      <c r="C1179" s="6" t="s">
        <v>1400</v>
      </c>
      <c r="D1179" s="6" t="str">
        <f aca="false">A1179&amp;"|"&amp;C1179</f>
        <v>4|Rocket Artillery</v>
      </c>
      <c r="E1179" s="6" t="s">
        <v>1558</v>
      </c>
      <c r="F1179" s="6" t="s">
        <v>1540</v>
      </c>
      <c r="G1179" s="6" t="str">
        <f aca="false">INDEX(Archetypes!$D$2:$D$127, MATCH(D1179, Archetypes!$A$2:$A$127, 0))</f>
        <v>Siege</v>
      </c>
      <c r="H1179" s="6" t="n">
        <f aca="false">ROUND(INDEX(Archetypes!$E$2:$E$127, MATCH(D1179, Archetypes!$A$2:$A$127, 0))*INDEX(Unit_Grades!$B$2:$B$7, MATCH(F1179, Unit_Grades!$A$2:$A$7, 0))*INDEX(Unit_Paths!$B$2:$B$4, MATCH(E1179, Unit_Paths!$A$2:$A$4, 0)),1)</f>
        <v>291.6</v>
      </c>
      <c r="I1179" s="6" t="n">
        <f aca="false">ROUND(INDEX(Archetypes!$F$2:$F$127, MATCH(D1179, Archetypes!$A$2:$A$127, 0))*INDEX(Unit_Grades!$B$2:$B$7, MATCH(F1179, Unit_Grades!$A$2:$A$7, 0))*INDEX(Unit_Paths!$C$2:$C$4, MATCH(E1179, Unit_Paths!$A$2:$A$4, 0)),1)</f>
        <v>34.4</v>
      </c>
      <c r="J1179" s="6" t="n">
        <f aca="false">ROUND(INDEX(Archetypes!$G$2:$G$127, MATCH(D1179, Archetypes!$A$2:$A$127, 0))*INDEX(Unit_Grades!$B$2:$B$7, MATCH(F1179, Unit_Grades!$A$2:$A$7, 0))*INDEX(Unit_Paths!$D$2:$D$4, MATCH(E1179, Unit_Paths!$A$2:$A$4, 0)),0)</f>
        <v>244</v>
      </c>
      <c r="K1179" s="6" t="n">
        <f aca="false">ROUND(INDEX(Archetypes!$H$2:$H$127, MATCH(D1179, Archetypes!$A$2:$A$127, 0))*INDEX(Unit_Paths!$E$2:$E$4, MATCH(E1179, Unit_Paths!$A$2:$A$4, 0)),1)</f>
        <v>27.3</v>
      </c>
      <c r="L1179" s="6" t="n">
        <f aca="false">ROUND(INDEX(Archetypes!$I$2:$I$127, MATCH(D1179, Archetypes!$A$2:$A$127, 0))*INDEX(Unit_Grades!$C$2:$C$7, MATCH(F1179, Unit_Grades!$A$2:$A$7, 0)),1)</f>
        <v>27.5</v>
      </c>
      <c r="M1179" s="6" t="n">
        <f aca="false">ROUND(INDEX(Archetypes!$J$2:$J$127, MATCH(D1179, Archetypes!$A$2:$A$127, 0))*INDEX(Unit_Grades!$D$2:$D$7, MATCH(F1179, Unit_Grades!$A$2:$A$7, 0)),1)</f>
        <v>13.4</v>
      </c>
      <c r="N1179" s="6" t="n">
        <f aca="false">ROUND(M1179/24,2)</f>
        <v>0.56</v>
      </c>
    </row>
    <row r="1180" customFormat="false" ht="15" hidden="false" customHeight="true" outlineLevel="0" collapsed="false">
      <c r="A1180" s="6" t="n">
        <v>4</v>
      </c>
      <c r="B1180" s="6" t="s">
        <v>2682</v>
      </c>
      <c r="C1180" s="6" t="s">
        <v>1400</v>
      </c>
      <c r="D1180" s="6" t="str">
        <f aca="false">A1180&amp;"|"&amp;C1180</f>
        <v>4|Rocket Artillery</v>
      </c>
      <c r="E1180" s="6" t="s">
        <v>1558</v>
      </c>
      <c r="F1180" s="6" t="s">
        <v>1542</v>
      </c>
      <c r="G1180" s="6" t="str">
        <f aca="false">INDEX(Archetypes!$D$2:$D$127, MATCH(D1180, Archetypes!$A$2:$A$127, 0))</f>
        <v>Siege</v>
      </c>
      <c r="H1180" s="6" t="n">
        <f aca="false">ROUND(INDEX(Archetypes!$E$2:$E$127, MATCH(D1180, Archetypes!$A$2:$A$127, 0))*INDEX(Unit_Grades!$B$2:$B$7, MATCH(F1180, Unit_Grades!$A$2:$A$7, 0))*INDEX(Unit_Paths!$B$2:$B$4, MATCH(E1180, Unit_Paths!$A$2:$A$4, 0)),1)</f>
        <v>388.8</v>
      </c>
      <c r="I1180" s="6" t="n">
        <f aca="false">ROUND(INDEX(Archetypes!$F$2:$F$127, MATCH(D1180, Archetypes!$A$2:$A$127, 0))*INDEX(Unit_Grades!$B$2:$B$7, MATCH(F1180, Unit_Grades!$A$2:$A$7, 0))*INDEX(Unit_Paths!$C$2:$C$4, MATCH(E1180, Unit_Paths!$A$2:$A$4, 0)),1)</f>
        <v>45.9</v>
      </c>
      <c r="J1180" s="6" t="n">
        <f aca="false">ROUND(INDEX(Archetypes!$G$2:$G$127, MATCH(D1180, Archetypes!$A$2:$A$127, 0))*INDEX(Unit_Grades!$B$2:$B$7, MATCH(F1180, Unit_Grades!$A$2:$A$7, 0))*INDEX(Unit_Paths!$D$2:$D$4, MATCH(E1180, Unit_Paths!$A$2:$A$4, 0)),0)</f>
        <v>325</v>
      </c>
      <c r="K1180" s="6" t="n">
        <f aca="false">ROUND(INDEX(Archetypes!$H$2:$H$127, MATCH(D1180, Archetypes!$A$2:$A$127, 0))*INDEX(Unit_Paths!$E$2:$E$4, MATCH(E1180, Unit_Paths!$A$2:$A$4, 0)),1)</f>
        <v>27.3</v>
      </c>
      <c r="L1180" s="6" t="n">
        <f aca="false">ROUND(INDEX(Archetypes!$I$2:$I$127, MATCH(D1180, Archetypes!$A$2:$A$127, 0))*INDEX(Unit_Grades!$C$2:$C$7, MATCH(F1180, Unit_Grades!$A$2:$A$7, 0)),1)</f>
        <v>35.2</v>
      </c>
      <c r="M1180" s="6" t="n">
        <f aca="false">ROUND(INDEX(Archetypes!$J$2:$J$127, MATCH(D1180, Archetypes!$A$2:$A$127, 0))*INDEX(Unit_Grades!$D$2:$D$7, MATCH(F1180, Unit_Grades!$A$2:$A$7, 0)),1)</f>
        <v>22.3</v>
      </c>
      <c r="N1180" s="6" t="n">
        <f aca="false">ROUND(M1180/24,2)</f>
        <v>0.93</v>
      </c>
    </row>
    <row r="1181" customFormat="false" ht="15" hidden="false" customHeight="true" outlineLevel="0" collapsed="false">
      <c r="A1181" s="6" t="n">
        <v>4</v>
      </c>
      <c r="B1181" s="6" t="s">
        <v>2683</v>
      </c>
      <c r="C1181" s="6" t="s">
        <v>1400</v>
      </c>
      <c r="D1181" s="6" t="str">
        <f aca="false">A1181&amp;"|"&amp;C1181</f>
        <v>4|Rocket Artillery</v>
      </c>
      <c r="E1181" s="6" t="s">
        <v>1558</v>
      </c>
      <c r="F1181" s="6" t="s">
        <v>1544</v>
      </c>
      <c r="G1181" s="6" t="str">
        <f aca="false">INDEX(Archetypes!$D$2:$D$127, MATCH(D1181, Archetypes!$A$2:$A$127, 0))</f>
        <v>Siege</v>
      </c>
      <c r="H1181" s="6" t="n">
        <f aca="false">ROUND(INDEX(Archetypes!$E$2:$E$127, MATCH(D1181, Archetypes!$A$2:$A$127, 0))*INDEX(Unit_Grades!$B$2:$B$7, MATCH(F1181, Unit_Grades!$A$2:$A$7, 0))*INDEX(Unit_Paths!$B$2:$B$4, MATCH(E1181, Unit_Paths!$A$2:$A$4, 0)),1)</f>
        <v>518.4</v>
      </c>
      <c r="I1181" s="6" t="n">
        <f aca="false">ROUND(INDEX(Archetypes!$F$2:$F$127, MATCH(D1181, Archetypes!$A$2:$A$127, 0))*INDEX(Unit_Grades!$B$2:$B$7, MATCH(F1181, Unit_Grades!$A$2:$A$7, 0))*INDEX(Unit_Paths!$C$2:$C$4, MATCH(E1181, Unit_Paths!$A$2:$A$4, 0)),1)</f>
        <v>61.2</v>
      </c>
      <c r="J1181" s="6" t="n">
        <f aca="false">ROUND(INDEX(Archetypes!$G$2:$G$127, MATCH(D1181, Archetypes!$A$2:$A$127, 0))*INDEX(Unit_Grades!$B$2:$B$7, MATCH(F1181, Unit_Grades!$A$2:$A$7, 0))*INDEX(Unit_Paths!$D$2:$D$4, MATCH(E1181, Unit_Paths!$A$2:$A$4, 0)),0)</f>
        <v>433</v>
      </c>
      <c r="K1181" s="6" t="n">
        <f aca="false">ROUND(INDEX(Archetypes!$H$2:$H$127, MATCH(D1181, Archetypes!$A$2:$A$127, 0))*INDEX(Unit_Paths!$E$2:$E$4, MATCH(E1181, Unit_Paths!$A$2:$A$4, 0)),1)</f>
        <v>27.3</v>
      </c>
      <c r="L1181" s="6" t="n">
        <f aca="false">ROUND(INDEX(Archetypes!$I$2:$I$127, MATCH(D1181, Archetypes!$A$2:$A$127, 0))*INDEX(Unit_Grades!$C$2:$C$7, MATCH(F1181, Unit_Grades!$A$2:$A$7, 0)),1)</f>
        <v>46.2</v>
      </c>
      <c r="M1181" s="6" t="n">
        <f aca="false">ROUND(INDEX(Archetypes!$J$2:$J$127, MATCH(D1181, Archetypes!$A$2:$A$127, 0))*INDEX(Unit_Grades!$D$2:$D$7, MATCH(F1181, Unit_Grades!$A$2:$A$7, 0)),1)</f>
        <v>35.7</v>
      </c>
      <c r="N1181" s="6" t="n">
        <f aca="false">ROUND(M1181/24,2)</f>
        <v>1.49</v>
      </c>
    </row>
    <row r="1182" customFormat="false" ht="15" hidden="false" customHeight="true" outlineLevel="0" collapsed="false">
      <c r="A1182" s="6" t="n">
        <v>4</v>
      </c>
      <c r="B1182" s="6" t="s">
        <v>2684</v>
      </c>
      <c r="C1182" s="6" t="s">
        <v>1400</v>
      </c>
      <c r="D1182" s="6" t="str">
        <f aca="false">A1182&amp;"|"&amp;C1182</f>
        <v>4|Rocket Artillery</v>
      </c>
      <c r="E1182" s="6" t="s">
        <v>1558</v>
      </c>
      <c r="F1182" s="6" t="s">
        <v>1546</v>
      </c>
      <c r="G1182" s="6" t="str">
        <f aca="false">INDEX(Archetypes!$D$2:$D$127, MATCH(D1182, Archetypes!$A$2:$A$127, 0))</f>
        <v>Siege</v>
      </c>
      <c r="H1182" s="6" t="n">
        <f aca="false">ROUND(INDEX(Archetypes!$E$2:$E$127, MATCH(D1182, Archetypes!$A$2:$A$127, 0))*INDEX(Unit_Grades!$B$2:$B$7, MATCH(F1182, Unit_Grades!$A$2:$A$7, 0))*INDEX(Unit_Paths!$B$2:$B$4, MATCH(E1182, Unit_Paths!$A$2:$A$4, 0)),1)</f>
        <v>691.2</v>
      </c>
      <c r="I1182" s="6" t="n">
        <f aca="false">ROUND(INDEX(Archetypes!$F$2:$F$127, MATCH(D1182, Archetypes!$A$2:$A$127, 0))*INDEX(Unit_Grades!$B$2:$B$7, MATCH(F1182, Unit_Grades!$A$2:$A$7, 0))*INDEX(Unit_Paths!$C$2:$C$4, MATCH(E1182, Unit_Paths!$A$2:$A$4, 0)),1)</f>
        <v>81.6</v>
      </c>
      <c r="J1182" s="6" t="n">
        <f aca="false">ROUND(INDEX(Archetypes!$G$2:$G$127, MATCH(D1182, Archetypes!$A$2:$A$127, 0))*INDEX(Unit_Grades!$B$2:$B$7, MATCH(F1182, Unit_Grades!$A$2:$A$7, 0))*INDEX(Unit_Paths!$D$2:$D$4, MATCH(E1182, Unit_Paths!$A$2:$A$4, 0)),0)</f>
        <v>578</v>
      </c>
      <c r="K1182" s="6" t="n">
        <f aca="false">ROUND(INDEX(Archetypes!$H$2:$H$127, MATCH(D1182, Archetypes!$A$2:$A$127, 0))*INDEX(Unit_Paths!$E$2:$E$4, MATCH(E1182, Unit_Paths!$A$2:$A$4, 0)),1)</f>
        <v>27.3</v>
      </c>
      <c r="L1182" s="6" t="n">
        <f aca="false">ROUND(INDEX(Archetypes!$I$2:$I$127, MATCH(D1182, Archetypes!$A$2:$A$127, 0))*INDEX(Unit_Grades!$C$2:$C$7, MATCH(F1182, Unit_Grades!$A$2:$A$7, 0)),1)</f>
        <v>61.6</v>
      </c>
      <c r="M1182" s="6" t="n">
        <f aca="false">ROUND(INDEX(Archetypes!$J$2:$J$127, MATCH(D1182, Archetypes!$A$2:$A$127, 0))*INDEX(Unit_Grades!$D$2:$D$7, MATCH(F1182, Unit_Grades!$A$2:$A$7, 0)),1)</f>
        <v>62.5</v>
      </c>
      <c r="N1182" s="6" t="n">
        <f aca="false">ROUND(M1182/24,2)</f>
        <v>2.6</v>
      </c>
    </row>
    <row r="1183" customFormat="false" ht="15" hidden="false" customHeight="true" outlineLevel="0" collapsed="false">
      <c r="A1183" s="6" t="n">
        <v>4</v>
      </c>
      <c r="B1183" s="6" t="s">
        <v>2685</v>
      </c>
      <c r="C1183" s="6" t="s">
        <v>1400</v>
      </c>
      <c r="D1183" s="6" t="str">
        <f aca="false">A1183&amp;"|"&amp;C1183</f>
        <v>4|Rocket Artillery</v>
      </c>
      <c r="E1183" s="6" t="s">
        <v>1558</v>
      </c>
      <c r="F1183" s="6" t="s">
        <v>1548</v>
      </c>
      <c r="G1183" s="6" t="str">
        <f aca="false">INDEX(Archetypes!$D$2:$D$127, MATCH(D1183, Archetypes!$A$2:$A$127, 0))</f>
        <v>Siege</v>
      </c>
      <c r="H1183" s="6" t="n">
        <f aca="false">ROUND(INDEX(Archetypes!$E$2:$E$127, MATCH(D1183, Archetypes!$A$2:$A$127, 0))*INDEX(Unit_Grades!$B$2:$B$7, MATCH(F1183, Unit_Grades!$A$2:$A$7, 0))*INDEX(Unit_Paths!$B$2:$B$4, MATCH(E1183, Unit_Paths!$A$2:$A$4, 0)),1)</f>
        <v>907.2</v>
      </c>
      <c r="I1183" s="6" t="n">
        <f aca="false">ROUND(INDEX(Archetypes!$F$2:$F$127, MATCH(D1183, Archetypes!$A$2:$A$127, 0))*INDEX(Unit_Grades!$B$2:$B$7, MATCH(F1183, Unit_Grades!$A$2:$A$7, 0))*INDEX(Unit_Paths!$C$2:$C$4, MATCH(E1183, Unit_Paths!$A$2:$A$4, 0)),1)</f>
        <v>107.1</v>
      </c>
      <c r="J1183" s="6" t="n">
        <f aca="false">ROUND(INDEX(Archetypes!$G$2:$G$127, MATCH(D1183, Archetypes!$A$2:$A$127, 0))*INDEX(Unit_Grades!$B$2:$B$7, MATCH(F1183, Unit_Grades!$A$2:$A$7, 0))*INDEX(Unit_Paths!$D$2:$D$4, MATCH(E1183, Unit_Paths!$A$2:$A$4, 0)),0)</f>
        <v>758</v>
      </c>
      <c r="K1183" s="6" t="n">
        <f aca="false">ROUND(INDEX(Archetypes!$H$2:$H$127, MATCH(D1183, Archetypes!$A$2:$A$127, 0))*INDEX(Unit_Paths!$E$2:$E$4, MATCH(E1183, Unit_Paths!$A$2:$A$4, 0)),1)</f>
        <v>27.3</v>
      </c>
      <c r="L1183" s="6" t="n">
        <f aca="false">ROUND(INDEX(Archetypes!$I$2:$I$127, MATCH(D1183, Archetypes!$A$2:$A$127, 0))*INDEX(Unit_Grades!$C$2:$C$7, MATCH(F1183, Unit_Grades!$A$2:$A$7, 0)),1)</f>
        <v>81.4</v>
      </c>
      <c r="M1183" s="6" t="n">
        <f aca="false">ROUND(INDEX(Archetypes!$J$2:$J$127, MATCH(D1183, Archetypes!$A$2:$A$127, 0))*INDEX(Unit_Grades!$D$2:$D$7, MATCH(F1183, Unit_Grades!$A$2:$A$7, 0)),1)</f>
        <v>107.2</v>
      </c>
      <c r="N1183" s="6" t="n">
        <f aca="false">ROUND(M1183/24,2)</f>
        <v>4.47</v>
      </c>
    </row>
    <row r="1184" customFormat="false" ht="15" hidden="false" customHeight="true" outlineLevel="0" collapsed="false">
      <c r="A1184" s="6" t="n">
        <v>4</v>
      </c>
      <c r="B1184" s="6" t="s">
        <v>2686</v>
      </c>
      <c r="C1184" s="6" t="s">
        <v>1400</v>
      </c>
      <c r="D1184" s="6" t="str">
        <f aca="false">A1184&amp;"|"&amp;C1184</f>
        <v>4|Rocket Artillery</v>
      </c>
      <c r="E1184" s="6" t="s">
        <v>1560</v>
      </c>
      <c r="F1184" s="6" t="s">
        <v>1538</v>
      </c>
      <c r="G1184" s="6" t="str">
        <f aca="false">INDEX(Archetypes!$D$2:$D$127, MATCH(D1184, Archetypes!$A$2:$A$127, 0))</f>
        <v>Siege</v>
      </c>
      <c r="H1184" s="6" t="n">
        <f aca="false">ROUND(INDEX(Archetypes!$E$2:$E$127, MATCH(D1184, Archetypes!$A$2:$A$127, 0))*INDEX(Unit_Grades!$B$2:$B$7, MATCH(F1184, Unit_Grades!$A$2:$A$7, 0))*INDEX(Unit_Paths!$B$2:$B$4, MATCH(E1184, Unit_Paths!$A$2:$A$4, 0)),1)</f>
        <v>153</v>
      </c>
      <c r="I1184" s="6" t="n">
        <f aca="false">ROUND(INDEX(Archetypes!$F$2:$F$127, MATCH(D1184, Archetypes!$A$2:$A$127, 0))*INDEX(Unit_Grades!$B$2:$B$7, MATCH(F1184, Unit_Grades!$A$2:$A$7, 0))*INDEX(Unit_Paths!$C$2:$C$4, MATCH(E1184, Unit_Paths!$A$2:$A$4, 0)),1)</f>
        <v>37.5</v>
      </c>
      <c r="J1184" s="6" t="n">
        <f aca="false">ROUND(INDEX(Archetypes!$G$2:$G$127, MATCH(D1184, Archetypes!$A$2:$A$127, 0))*INDEX(Unit_Grades!$B$2:$B$7, MATCH(F1184, Unit_Grades!$A$2:$A$7, 0))*INDEX(Unit_Paths!$D$2:$D$4, MATCH(E1184, Unit_Paths!$A$2:$A$4, 0)),0)</f>
        <v>218</v>
      </c>
      <c r="K1184" s="6" t="n">
        <f aca="false">ROUND(INDEX(Archetypes!$H$2:$H$127, MATCH(D1184, Archetypes!$A$2:$A$127, 0))*INDEX(Unit_Paths!$E$2:$E$4, MATCH(E1184, Unit_Paths!$A$2:$A$4, 0)),1)</f>
        <v>23.9</v>
      </c>
      <c r="L1184" s="6" t="n">
        <f aca="false">ROUND(INDEX(Archetypes!$I$2:$I$127, MATCH(D1184, Archetypes!$A$2:$A$127, 0))*INDEX(Unit_Grades!$C$2:$C$7, MATCH(F1184, Unit_Grades!$A$2:$A$7, 0)),1)</f>
        <v>22</v>
      </c>
      <c r="M1184" s="6" t="n">
        <f aca="false">ROUND(INDEX(Archetypes!$J$2:$J$127, MATCH(D1184, Archetypes!$A$2:$A$127, 0))*INDEX(Unit_Grades!$D$2:$D$7, MATCH(F1184, Unit_Grades!$A$2:$A$7, 0)),1)</f>
        <v>8.9</v>
      </c>
      <c r="N1184" s="6" t="n">
        <f aca="false">ROUND(M1184/24,2)</f>
        <v>0.37</v>
      </c>
    </row>
    <row r="1185" customFormat="false" ht="15" hidden="false" customHeight="true" outlineLevel="0" collapsed="false">
      <c r="A1185" s="6" t="n">
        <v>4</v>
      </c>
      <c r="B1185" s="6" t="s">
        <v>2687</v>
      </c>
      <c r="C1185" s="6" t="s">
        <v>1400</v>
      </c>
      <c r="D1185" s="6" t="str">
        <f aca="false">A1185&amp;"|"&amp;C1185</f>
        <v>4|Rocket Artillery</v>
      </c>
      <c r="E1185" s="6" t="s">
        <v>1560</v>
      </c>
      <c r="F1185" s="6" t="s">
        <v>1540</v>
      </c>
      <c r="G1185" s="6" t="str">
        <f aca="false">INDEX(Archetypes!$D$2:$D$127, MATCH(D1185, Archetypes!$A$2:$A$127, 0))</f>
        <v>Siege</v>
      </c>
      <c r="H1185" s="6" t="n">
        <f aca="false">ROUND(INDEX(Archetypes!$E$2:$E$127, MATCH(D1185, Archetypes!$A$2:$A$127, 0))*INDEX(Unit_Grades!$B$2:$B$7, MATCH(F1185, Unit_Grades!$A$2:$A$7, 0))*INDEX(Unit_Paths!$B$2:$B$4, MATCH(E1185, Unit_Paths!$A$2:$A$4, 0)),1)</f>
        <v>206.6</v>
      </c>
      <c r="I1185" s="6" t="n">
        <f aca="false">ROUND(INDEX(Archetypes!$F$2:$F$127, MATCH(D1185, Archetypes!$A$2:$A$127, 0))*INDEX(Unit_Grades!$B$2:$B$7, MATCH(F1185, Unit_Grades!$A$2:$A$7, 0))*INDEX(Unit_Paths!$C$2:$C$4, MATCH(E1185, Unit_Paths!$A$2:$A$4, 0)),1)</f>
        <v>50.6</v>
      </c>
      <c r="J1185" s="6" t="n">
        <f aca="false">ROUND(INDEX(Archetypes!$G$2:$G$127, MATCH(D1185, Archetypes!$A$2:$A$127, 0))*INDEX(Unit_Grades!$B$2:$B$7, MATCH(F1185, Unit_Grades!$A$2:$A$7, 0))*INDEX(Unit_Paths!$D$2:$D$4, MATCH(E1185, Unit_Paths!$A$2:$A$4, 0)),0)</f>
        <v>295</v>
      </c>
      <c r="K1185" s="6" t="n">
        <f aca="false">ROUND(INDEX(Archetypes!$H$2:$H$127, MATCH(D1185, Archetypes!$A$2:$A$127, 0))*INDEX(Unit_Paths!$E$2:$E$4, MATCH(E1185, Unit_Paths!$A$2:$A$4, 0)),1)</f>
        <v>23.9</v>
      </c>
      <c r="L1185" s="6" t="n">
        <f aca="false">ROUND(INDEX(Archetypes!$I$2:$I$127, MATCH(D1185, Archetypes!$A$2:$A$127, 0))*INDEX(Unit_Grades!$C$2:$C$7, MATCH(F1185, Unit_Grades!$A$2:$A$7, 0)),1)</f>
        <v>27.5</v>
      </c>
      <c r="M1185" s="6" t="n">
        <f aca="false">ROUND(INDEX(Archetypes!$J$2:$J$127, MATCH(D1185, Archetypes!$A$2:$A$127, 0))*INDEX(Unit_Grades!$D$2:$D$7, MATCH(F1185, Unit_Grades!$A$2:$A$7, 0)),1)</f>
        <v>13.4</v>
      </c>
      <c r="N1185" s="6" t="n">
        <f aca="false">ROUND(M1185/24,2)</f>
        <v>0.56</v>
      </c>
    </row>
    <row r="1186" customFormat="false" ht="15" hidden="false" customHeight="true" outlineLevel="0" collapsed="false">
      <c r="A1186" s="6" t="n">
        <v>4</v>
      </c>
      <c r="B1186" s="6" t="s">
        <v>2688</v>
      </c>
      <c r="C1186" s="6" t="s">
        <v>1400</v>
      </c>
      <c r="D1186" s="6" t="str">
        <f aca="false">A1186&amp;"|"&amp;C1186</f>
        <v>4|Rocket Artillery</v>
      </c>
      <c r="E1186" s="6" t="s">
        <v>1560</v>
      </c>
      <c r="F1186" s="6" t="s">
        <v>1542</v>
      </c>
      <c r="G1186" s="6" t="str">
        <f aca="false">INDEX(Archetypes!$D$2:$D$127, MATCH(D1186, Archetypes!$A$2:$A$127, 0))</f>
        <v>Siege</v>
      </c>
      <c r="H1186" s="6" t="n">
        <f aca="false">ROUND(INDEX(Archetypes!$E$2:$E$127, MATCH(D1186, Archetypes!$A$2:$A$127, 0))*INDEX(Unit_Grades!$B$2:$B$7, MATCH(F1186, Unit_Grades!$A$2:$A$7, 0))*INDEX(Unit_Paths!$B$2:$B$4, MATCH(E1186, Unit_Paths!$A$2:$A$4, 0)),1)</f>
        <v>275.4</v>
      </c>
      <c r="I1186" s="6" t="n">
        <f aca="false">ROUND(INDEX(Archetypes!$F$2:$F$127, MATCH(D1186, Archetypes!$A$2:$A$127, 0))*INDEX(Unit_Grades!$B$2:$B$7, MATCH(F1186, Unit_Grades!$A$2:$A$7, 0))*INDEX(Unit_Paths!$C$2:$C$4, MATCH(E1186, Unit_Paths!$A$2:$A$4, 0)),1)</f>
        <v>67.5</v>
      </c>
      <c r="J1186" s="6" t="n">
        <f aca="false">ROUND(INDEX(Archetypes!$G$2:$G$127, MATCH(D1186, Archetypes!$A$2:$A$127, 0))*INDEX(Unit_Grades!$B$2:$B$7, MATCH(F1186, Unit_Grades!$A$2:$A$7, 0))*INDEX(Unit_Paths!$D$2:$D$4, MATCH(E1186, Unit_Paths!$A$2:$A$4, 0)),0)</f>
        <v>393</v>
      </c>
      <c r="K1186" s="6" t="n">
        <f aca="false">ROUND(INDEX(Archetypes!$H$2:$H$127, MATCH(D1186, Archetypes!$A$2:$A$127, 0))*INDEX(Unit_Paths!$E$2:$E$4, MATCH(E1186, Unit_Paths!$A$2:$A$4, 0)),1)</f>
        <v>23.9</v>
      </c>
      <c r="L1186" s="6" t="n">
        <f aca="false">ROUND(INDEX(Archetypes!$I$2:$I$127, MATCH(D1186, Archetypes!$A$2:$A$127, 0))*INDEX(Unit_Grades!$C$2:$C$7, MATCH(F1186, Unit_Grades!$A$2:$A$7, 0)),1)</f>
        <v>35.2</v>
      </c>
      <c r="M1186" s="6" t="n">
        <f aca="false">ROUND(INDEX(Archetypes!$J$2:$J$127, MATCH(D1186, Archetypes!$A$2:$A$127, 0))*INDEX(Unit_Grades!$D$2:$D$7, MATCH(F1186, Unit_Grades!$A$2:$A$7, 0)),1)</f>
        <v>22.3</v>
      </c>
      <c r="N1186" s="6" t="n">
        <f aca="false">ROUND(M1186/24,2)</f>
        <v>0.93</v>
      </c>
    </row>
    <row r="1187" customFormat="false" ht="15" hidden="false" customHeight="true" outlineLevel="0" collapsed="false">
      <c r="A1187" s="6" t="n">
        <v>4</v>
      </c>
      <c r="B1187" s="6" t="s">
        <v>2689</v>
      </c>
      <c r="C1187" s="6" t="s">
        <v>1400</v>
      </c>
      <c r="D1187" s="6" t="str">
        <f aca="false">A1187&amp;"|"&amp;C1187</f>
        <v>4|Rocket Artillery</v>
      </c>
      <c r="E1187" s="6" t="s">
        <v>1560</v>
      </c>
      <c r="F1187" s="6" t="s">
        <v>1544</v>
      </c>
      <c r="G1187" s="6" t="str">
        <f aca="false">INDEX(Archetypes!$D$2:$D$127, MATCH(D1187, Archetypes!$A$2:$A$127, 0))</f>
        <v>Siege</v>
      </c>
      <c r="H1187" s="6" t="n">
        <f aca="false">ROUND(INDEX(Archetypes!$E$2:$E$127, MATCH(D1187, Archetypes!$A$2:$A$127, 0))*INDEX(Unit_Grades!$B$2:$B$7, MATCH(F1187, Unit_Grades!$A$2:$A$7, 0))*INDEX(Unit_Paths!$B$2:$B$4, MATCH(E1187, Unit_Paths!$A$2:$A$4, 0)),1)</f>
        <v>367.2</v>
      </c>
      <c r="I1187" s="6" t="n">
        <f aca="false">ROUND(INDEX(Archetypes!$F$2:$F$127, MATCH(D1187, Archetypes!$A$2:$A$127, 0))*INDEX(Unit_Grades!$B$2:$B$7, MATCH(F1187, Unit_Grades!$A$2:$A$7, 0))*INDEX(Unit_Paths!$C$2:$C$4, MATCH(E1187, Unit_Paths!$A$2:$A$4, 0)),1)</f>
        <v>90</v>
      </c>
      <c r="J1187" s="6" t="n">
        <f aca="false">ROUND(INDEX(Archetypes!$G$2:$G$127, MATCH(D1187, Archetypes!$A$2:$A$127, 0))*INDEX(Unit_Grades!$B$2:$B$7, MATCH(F1187, Unit_Grades!$A$2:$A$7, 0))*INDEX(Unit_Paths!$D$2:$D$4, MATCH(E1187, Unit_Paths!$A$2:$A$4, 0)),0)</f>
        <v>524</v>
      </c>
      <c r="K1187" s="6" t="n">
        <f aca="false">ROUND(INDEX(Archetypes!$H$2:$H$127, MATCH(D1187, Archetypes!$A$2:$A$127, 0))*INDEX(Unit_Paths!$E$2:$E$4, MATCH(E1187, Unit_Paths!$A$2:$A$4, 0)),1)</f>
        <v>23.9</v>
      </c>
      <c r="L1187" s="6" t="n">
        <f aca="false">ROUND(INDEX(Archetypes!$I$2:$I$127, MATCH(D1187, Archetypes!$A$2:$A$127, 0))*INDEX(Unit_Grades!$C$2:$C$7, MATCH(F1187, Unit_Grades!$A$2:$A$7, 0)),1)</f>
        <v>46.2</v>
      </c>
      <c r="M1187" s="6" t="n">
        <f aca="false">ROUND(INDEX(Archetypes!$J$2:$J$127, MATCH(D1187, Archetypes!$A$2:$A$127, 0))*INDEX(Unit_Grades!$D$2:$D$7, MATCH(F1187, Unit_Grades!$A$2:$A$7, 0)),1)</f>
        <v>35.7</v>
      </c>
      <c r="N1187" s="6" t="n">
        <f aca="false">ROUND(M1187/24,2)</f>
        <v>1.49</v>
      </c>
    </row>
    <row r="1188" customFormat="false" ht="15" hidden="false" customHeight="true" outlineLevel="0" collapsed="false">
      <c r="A1188" s="6" t="n">
        <v>4</v>
      </c>
      <c r="B1188" s="6" t="s">
        <v>2690</v>
      </c>
      <c r="C1188" s="6" t="s">
        <v>1400</v>
      </c>
      <c r="D1188" s="6" t="str">
        <f aca="false">A1188&amp;"|"&amp;C1188</f>
        <v>4|Rocket Artillery</v>
      </c>
      <c r="E1188" s="6" t="s">
        <v>1560</v>
      </c>
      <c r="F1188" s="6" t="s">
        <v>1546</v>
      </c>
      <c r="G1188" s="6" t="str">
        <f aca="false">INDEX(Archetypes!$D$2:$D$127, MATCH(D1188, Archetypes!$A$2:$A$127, 0))</f>
        <v>Siege</v>
      </c>
      <c r="H1188" s="6" t="n">
        <f aca="false">ROUND(INDEX(Archetypes!$E$2:$E$127, MATCH(D1188, Archetypes!$A$2:$A$127, 0))*INDEX(Unit_Grades!$B$2:$B$7, MATCH(F1188, Unit_Grades!$A$2:$A$7, 0))*INDEX(Unit_Paths!$B$2:$B$4, MATCH(E1188, Unit_Paths!$A$2:$A$4, 0)),1)</f>
        <v>489.6</v>
      </c>
      <c r="I1188" s="6" t="n">
        <f aca="false">ROUND(INDEX(Archetypes!$F$2:$F$127, MATCH(D1188, Archetypes!$A$2:$A$127, 0))*INDEX(Unit_Grades!$B$2:$B$7, MATCH(F1188, Unit_Grades!$A$2:$A$7, 0))*INDEX(Unit_Paths!$C$2:$C$4, MATCH(E1188, Unit_Paths!$A$2:$A$4, 0)),1)</f>
        <v>120</v>
      </c>
      <c r="J1188" s="6" t="n">
        <f aca="false">ROUND(INDEX(Archetypes!$G$2:$G$127, MATCH(D1188, Archetypes!$A$2:$A$127, 0))*INDEX(Unit_Grades!$B$2:$B$7, MATCH(F1188, Unit_Grades!$A$2:$A$7, 0))*INDEX(Unit_Paths!$D$2:$D$4, MATCH(E1188, Unit_Paths!$A$2:$A$4, 0)),0)</f>
        <v>699</v>
      </c>
      <c r="K1188" s="6" t="n">
        <f aca="false">ROUND(INDEX(Archetypes!$H$2:$H$127, MATCH(D1188, Archetypes!$A$2:$A$127, 0))*INDEX(Unit_Paths!$E$2:$E$4, MATCH(E1188, Unit_Paths!$A$2:$A$4, 0)),1)</f>
        <v>23.9</v>
      </c>
      <c r="L1188" s="6" t="n">
        <f aca="false">ROUND(INDEX(Archetypes!$I$2:$I$127, MATCH(D1188, Archetypes!$A$2:$A$127, 0))*INDEX(Unit_Grades!$C$2:$C$7, MATCH(F1188, Unit_Grades!$A$2:$A$7, 0)),1)</f>
        <v>61.6</v>
      </c>
      <c r="M1188" s="6" t="n">
        <f aca="false">ROUND(INDEX(Archetypes!$J$2:$J$127, MATCH(D1188, Archetypes!$A$2:$A$127, 0))*INDEX(Unit_Grades!$D$2:$D$7, MATCH(F1188, Unit_Grades!$A$2:$A$7, 0)),1)</f>
        <v>62.5</v>
      </c>
      <c r="N1188" s="6" t="n">
        <f aca="false">ROUND(M1188/24,2)</f>
        <v>2.6</v>
      </c>
    </row>
    <row r="1189" customFormat="false" ht="15" hidden="false" customHeight="true" outlineLevel="0" collapsed="false">
      <c r="A1189" s="6" t="n">
        <v>4</v>
      </c>
      <c r="B1189" s="6" t="s">
        <v>2691</v>
      </c>
      <c r="C1189" s="6" t="s">
        <v>1400</v>
      </c>
      <c r="D1189" s="6" t="str">
        <f aca="false">A1189&amp;"|"&amp;C1189</f>
        <v>4|Rocket Artillery</v>
      </c>
      <c r="E1189" s="6" t="s">
        <v>1560</v>
      </c>
      <c r="F1189" s="6" t="s">
        <v>1548</v>
      </c>
      <c r="G1189" s="6" t="str">
        <f aca="false">INDEX(Archetypes!$D$2:$D$127, MATCH(D1189, Archetypes!$A$2:$A$127, 0))</f>
        <v>Siege</v>
      </c>
      <c r="H1189" s="6" t="n">
        <f aca="false">ROUND(INDEX(Archetypes!$E$2:$E$127, MATCH(D1189, Archetypes!$A$2:$A$127, 0))*INDEX(Unit_Grades!$B$2:$B$7, MATCH(F1189, Unit_Grades!$A$2:$A$7, 0))*INDEX(Unit_Paths!$B$2:$B$4, MATCH(E1189, Unit_Paths!$A$2:$A$4, 0)),1)</f>
        <v>642.6</v>
      </c>
      <c r="I1189" s="6" t="n">
        <f aca="false">ROUND(INDEX(Archetypes!$F$2:$F$127, MATCH(D1189, Archetypes!$A$2:$A$127, 0))*INDEX(Unit_Grades!$B$2:$B$7, MATCH(F1189, Unit_Grades!$A$2:$A$7, 0))*INDEX(Unit_Paths!$C$2:$C$4, MATCH(E1189, Unit_Paths!$A$2:$A$4, 0)),1)</f>
        <v>157.5</v>
      </c>
      <c r="J1189" s="6" t="n">
        <f aca="false">ROUND(INDEX(Archetypes!$G$2:$G$127, MATCH(D1189, Archetypes!$A$2:$A$127, 0))*INDEX(Unit_Grades!$B$2:$B$7, MATCH(F1189, Unit_Grades!$A$2:$A$7, 0))*INDEX(Unit_Paths!$D$2:$D$4, MATCH(E1189, Unit_Paths!$A$2:$A$4, 0)),0)</f>
        <v>918</v>
      </c>
      <c r="K1189" s="6" t="n">
        <f aca="false">ROUND(INDEX(Archetypes!$H$2:$H$127, MATCH(D1189, Archetypes!$A$2:$A$127, 0))*INDEX(Unit_Paths!$E$2:$E$4, MATCH(E1189, Unit_Paths!$A$2:$A$4, 0)),1)</f>
        <v>23.9</v>
      </c>
      <c r="L1189" s="6" t="n">
        <f aca="false">ROUND(INDEX(Archetypes!$I$2:$I$127, MATCH(D1189, Archetypes!$A$2:$A$127, 0))*INDEX(Unit_Grades!$C$2:$C$7, MATCH(F1189, Unit_Grades!$A$2:$A$7, 0)),1)</f>
        <v>81.4</v>
      </c>
      <c r="M1189" s="6" t="n">
        <f aca="false">ROUND(INDEX(Archetypes!$J$2:$J$127, MATCH(D1189, Archetypes!$A$2:$A$127, 0))*INDEX(Unit_Grades!$D$2:$D$7, MATCH(F1189, Unit_Grades!$A$2:$A$7, 0)),1)</f>
        <v>107.2</v>
      </c>
      <c r="N1189" s="6" t="n">
        <f aca="false">ROUND(M1189/24,2)</f>
        <v>4.47</v>
      </c>
    </row>
    <row r="1190" customFormat="false" ht="15" hidden="false" customHeight="true" outlineLevel="0" collapsed="false">
      <c r="A1190" s="6" t="n">
        <v>4</v>
      </c>
      <c r="B1190" s="6" t="s">
        <v>1402</v>
      </c>
      <c r="C1190" s="6" t="s">
        <v>1402</v>
      </c>
      <c r="D1190" s="6" t="str">
        <f aca="false">A1190&amp;"|"&amp;C1190</f>
        <v>4|AA Vehicle</v>
      </c>
      <c r="E1190" s="6" t="s">
        <v>1556</v>
      </c>
      <c r="F1190" s="6" t="s">
        <v>1538</v>
      </c>
      <c r="G1190" s="6" t="str">
        <f aca="false">INDEX(Archetypes!$D$2:$D$127, MATCH(D1190, Archetypes!$A$2:$A$127, 0))</f>
        <v>Anti-Air</v>
      </c>
      <c r="H1190" s="6" t="n">
        <f aca="false">ROUND(INDEX(Archetypes!$E$2:$E$127, MATCH(D1190, Archetypes!$A$2:$A$127, 0))*INDEX(Unit_Grades!$B$2:$B$7, MATCH(F1190, Unit_Grades!$A$2:$A$7, 0))*INDEX(Unit_Paths!$B$2:$B$4, MATCH(E1190, Unit_Paths!$A$2:$A$4, 0)),1)</f>
        <v>90</v>
      </c>
      <c r="I1190" s="6" t="n">
        <f aca="false">ROUND(INDEX(Archetypes!$F$2:$F$127, MATCH(D1190, Archetypes!$A$2:$A$127, 0))*INDEX(Unit_Grades!$B$2:$B$7, MATCH(F1190, Unit_Grades!$A$2:$A$7, 0))*INDEX(Unit_Paths!$C$2:$C$4, MATCH(E1190, Unit_Paths!$A$2:$A$4, 0)),1)</f>
        <v>60</v>
      </c>
      <c r="J1190" s="6" t="n">
        <f aca="false">ROUND(INDEX(Archetypes!$G$2:$G$127, MATCH(D1190, Archetypes!$A$2:$A$127, 0))*INDEX(Unit_Grades!$B$2:$B$7, MATCH(F1190, Unit_Grades!$A$2:$A$7, 0))*INDEX(Unit_Paths!$D$2:$D$4, MATCH(E1190, Unit_Paths!$A$2:$A$4, 0)),0)</f>
        <v>220</v>
      </c>
      <c r="K1190" s="6" t="n">
        <f aca="false">ROUND(INDEX(Archetypes!$H$2:$H$127, MATCH(D1190, Archetypes!$A$2:$A$127, 0))*INDEX(Unit_Paths!$E$2:$E$4, MATCH(E1190, Unit_Paths!$A$2:$A$4, 0)),1)</f>
        <v>32</v>
      </c>
      <c r="L1190" s="6" t="n">
        <f aca="false">ROUND(INDEX(Archetypes!$I$2:$I$127, MATCH(D1190, Archetypes!$A$2:$A$127, 0))*INDEX(Unit_Grades!$C$2:$C$7, MATCH(F1190, Unit_Grades!$A$2:$A$7, 0)),1)</f>
        <v>14</v>
      </c>
      <c r="M1190" s="6" t="n">
        <f aca="false">ROUND(INDEX(Archetypes!$J$2:$J$127, MATCH(D1190, Archetypes!$A$2:$A$127, 0))*INDEX(Unit_Grades!$D$2:$D$7, MATCH(F1190, Unit_Grades!$A$2:$A$7, 0)),1)</f>
        <v>5.7</v>
      </c>
      <c r="N1190" s="6" t="n">
        <f aca="false">ROUND(M1190/24,2)</f>
        <v>0.24</v>
      </c>
    </row>
    <row r="1191" customFormat="false" ht="15" hidden="false" customHeight="true" outlineLevel="0" collapsed="false">
      <c r="A1191" s="6" t="n">
        <v>4</v>
      </c>
      <c r="B1191" s="6" t="s">
        <v>2692</v>
      </c>
      <c r="C1191" s="6" t="s">
        <v>1402</v>
      </c>
      <c r="D1191" s="6" t="str">
        <f aca="false">A1191&amp;"|"&amp;C1191</f>
        <v>4|AA Vehicle</v>
      </c>
      <c r="E1191" s="6" t="s">
        <v>1556</v>
      </c>
      <c r="F1191" s="6" t="s">
        <v>1540</v>
      </c>
      <c r="G1191" s="6" t="str">
        <f aca="false">INDEX(Archetypes!$D$2:$D$127, MATCH(D1191, Archetypes!$A$2:$A$127, 0))</f>
        <v>Anti-Air</v>
      </c>
      <c r="H1191" s="6" t="n">
        <f aca="false">ROUND(INDEX(Archetypes!$E$2:$E$127, MATCH(D1191, Archetypes!$A$2:$A$127, 0))*INDEX(Unit_Grades!$B$2:$B$7, MATCH(F1191, Unit_Grades!$A$2:$A$7, 0))*INDEX(Unit_Paths!$B$2:$B$4, MATCH(E1191, Unit_Paths!$A$2:$A$4, 0)),1)</f>
        <v>121.5</v>
      </c>
      <c r="I1191" s="6" t="n">
        <f aca="false">ROUND(INDEX(Archetypes!$F$2:$F$127, MATCH(D1191, Archetypes!$A$2:$A$127, 0))*INDEX(Unit_Grades!$B$2:$B$7, MATCH(F1191, Unit_Grades!$A$2:$A$7, 0))*INDEX(Unit_Paths!$C$2:$C$4, MATCH(E1191, Unit_Paths!$A$2:$A$4, 0)),1)</f>
        <v>81</v>
      </c>
      <c r="J1191" s="6" t="n">
        <f aca="false">ROUND(INDEX(Archetypes!$G$2:$G$127, MATCH(D1191, Archetypes!$A$2:$A$127, 0))*INDEX(Unit_Grades!$B$2:$B$7, MATCH(F1191, Unit_Grades!$A$2:$A$7, 0))*INDEX(Unit_Paths!$D$2:$D$4, MATCH(E1191, Unit_Paths!$A$2:$A$4, 0)),0)</f>
        <v>297</v>
      </c>
      <c r="K1191" s="6" t="n">
        <f aca="false">ROUND(INDEX(Archetypes!$H$2:$H$127, MATCH(D1191, Archetypes!$A$2:$A$127, 0))*INDEX(Unit_Paths!$E$2:$E$4, MATCH(E1191, Unit_Paths!$A$2:$A$4, 0)),1)</f>
        <v>32</v>
      </c>
      <c r="L1191" s="6" t="n">
        <f aca="false">ROUND(INDEX(Archetypes!$I$2:$I$127, MATCH(D1191, Archetypes!$A$2:$A$127, 0))*INDEX(Unit_Grades!$C$2:$C$7, MATCH(F1191, Unit_Grades!$A$2:$A$7, 0)),1)</f>
        <v>17.5</v>
      </c>
      <c r="M1191" s="6" t="n">
        <f aca="false">ROUND(INDEX(Archetypes!$J$2:$J$127, MATCH(D1191, Archetypes!$A$2:$A$127, 0))*INDEX(Unit_Grades!$D$2:$D$7, MATCH(F1191, Unit_Grades!$A$2:$A$7, 0)),1)</f>
        <v>8.5</v>
      </c>
      <c r="N1191" s="6" t="n">
        <f aca="false">ROUND(M1191/24,2)</f>
        <v>0.35</v>
      </c>
    </row>
    <row r="1192" customFormat="false" ht="15" hidden="false" customHeight="true" outlineLevel="0" collapsed="false">
      <c r="A1192" s="6" t="n">
        <v>4</v>
      </c>
      <c r="B1192" s="6" t="s">
        <v>2693</v>
      </c>
      <c r="C1192" s="6" t="s">
        <v>1402</v>
      </c>
      <c r="D1192" s="6" t="str">
        <f aca="false">A1192&amp;"|"&amp;C1192</f>
        <v>4|AA Vehicle</v>
      </c>
      <c r="E1192" s="6" t="s">
        <v>1556</v>
      </c>
      <c r="F1192" s="6" t="s">
        <v>1542</v>
      </c>
      <c r="G1192" s="6" t="str">
        <f aca="false">INDEX(Archetypes!$D$2:$D$127, MATCH(D1192, Archetypes!$A$2:$A$127, 0))</f>
        <v>Anti-Air</v>
      </c>
      <c r="H1192" s="6" t="n">
        <f aca="false">ROUND(INDEX(Archetypes!$E$2:$E$127, MATCH(D1192, Archetypes!$A$2:$A$127, 0))*INDEX(Unit_Grades!$B$2:$B$7, MATCH(F1192, Unit_Grades!$A$2:$A$7, 0))*INDEX(Unit_Paths!$B$2:$B$4, MATCH(E1192, Unit_Paths!$A$2:$A$4, 0)),1)</f>
        <v>162</v>
      </c>
      <c r="I1192" s="6" t="n">
        <f aca="false">ROUND(INDEX(Archetypes!$F$2:$F$127, MATCH(D1192, Archetypes!$A$2:$A$127, 0))*INDEX(Unit_Grades!$B$2:$B$7, MATCH(F1192, Unit_Grades!$A$2:$A$7, 0))*INDEX(Unit_Paths!$C$2:$C$4, MATCH(E1192, Unit_Paths!$A$2:$A$4, 0)),1)</f>
        <v>108</v>
      </c>
      <c r="J1192" s="6" t="n">
        <f aca="false">ROUND(INDEX(Archetypes!$G$2:$G$127, MATCH(D1192, Archetypes!$A$2:$A$127, 0))*INDEX(Unit_Grades!$B$2:$B$7, MATCH(F1192, Unit_Grades!$A$2:$A$7, 0))*INDEX(Unit_Paths!$D$2:$D$4, MATCH(E1192, Unit_Paths!$A$2:$A$4, 0)),0)</f>
        <v>396</v>
      </c>
      <c r="K1192" s="6" t="n">
        <f aca="false">ROUND(INDEX(Archetypes!$H$2:$H$127, MATCH(D1192, Archetypes!$A$2:$A$127, 0))*INDEX(Unit_Paths!$E$2:$E$4, MATCH(E1192, Unit_Paths!$A$2:$A$4, 0)),1)</f>
        <v>32</v>
      </c>
      <c r="L1192" s="6" t="n">
        <f aca="false">ROUND(INDEX(Archetypes!$I$2:$I$127, MATCH(D1192, Archetypes!$A$2:$A$127, 0))*INDEX(Unit_Grades!$C$2:$C$7, MATCH(F1192, Unit_Grades!$A$2:$A$7, 0)),1)</f>
        <v>22.4</v>
      </c>
      <c r="M1192" s="6" t="n">
        <f aca="false">ROUND(INDEX(Archetypes!$J$2:$J$127, MATCH(D1192, Archetypes!$A$2:$A$127, 0))*INDEX(Unit_Grades!$D$2:$D$7, MATCH(F1192, Unit_Grades!$A$2:$A$7, 0)),1)</f>
        <v>14.2</v>
      </c>
      <c r="N1192" s="6" t="n">
        <f aca="false">ROUND(M1192/24,2)</f>
        <v>0.59</v>
      </c>
    </row>
    <row r="1193" customFormat="false" ht="15" hidden="false" customHeight="true" outlineLevel="0" collapsed="false">
      <c r="A1193" s="6" t="n">
        <v>4</v>
      </c>
      <c r="B1193" s="6" t="s">
        <v>2694</v>
      </c>
      <c r="C1193" s="6" t="s">
        <v>1402</v>
      </c>
      <c r="D1193" s="6" t="str">
        <f aca="false">A1193&amp;"|"&amp;C1193</f>
        <v>4|AA Vehicle</v>
      </c>
      <c r="E1193" s="6" t="s">
        <v>1556</v>
      </c>
      <c r="F1193" s="6" t="s">
        <v>1544</v>
      </c>
      <c r="G1193" s="6" t="str">
        <f aca="false">INDEX(Archetypes!$D$2:$D$127, MATCH(D1193, Archetypes!$A$2:$A$127, 0))</f>
        <v>Anti-Air</v>
      </c>
      <c r="H1193" s="6" t="n">
        <f aca="false">ROUND(INDEX(Archetypes!$E$2:$E$127, MATCH(D1193, Archetypes!$A$2:$A$127, 0))*INDEX(Unit_Grades!$B$2:$B$7, MATCH(F1193, Unit_Grades!$A$2:$A$7, 0))*INDEX(Unit_Paths!$B$2:$B$4, MATCH(E1193, Unit_Paths!$A$2:$A$4, 0)),1)</f>
        <v>216</v>
      </c>
      <c r="I1193" s="6" t="n">
        <f aca="false">ROUND(INDEX(Archetypes!$F$2:$F$127, MATCH(D1193, Archetypes!$A$2:$A$127, 0))*INDEX(Unit_Grades!$B$2:$B$7, MATCH(F1193, Unit_Grades!$A$2:$A$7, 0))*INDEX(Unit_Paths!$C$2:$C$4, MATCH(E1193, Unit_Paths!$A$2:$A$4, 0)),1)</f>
        <v>144</v>
      </c>
      <c r="J1193" s="6" t="n">
        <f aca="false">ROUND(INDEX(Archetypes!$G$2:$G$127, MATCH(D1193, Archetypes!$A$2:$A$127, 0))*INDEX(Unit_Grades!$B$2:$B$7, MATCH(F1193, Unit_Grades!$A$2:$A$7, 0))*INDEX(Unit_Paths!$D$2:$D$4, MATCH(E1193, Unit_Paths!$A$2:$A$4, 0)),0)</f>
        <v>528</v>
      </c>
      <c r="K1193" s="6" t="n">
        <f aca="false">ROUND(INDEX(Archetypes!$H$2:$H$127, MATCH(D1193, Archetypes!$A$2:$A$127, 0))*INDEX(Unit_Paths!$E$2:$E$4, MATCH(E1193, Unit_Paths!$A$2:$A$4, 0)),1)</f>
        <v>32</v>
      </c>
      <c r="L1193" s="6" t="n">
        <f aca="false">ROUND(INDEX(Archetypes!$I$2:$I$127, MATCH(D1193, Archetypes!$A$2:$A$127, 0))*INDEX(Unit_Grades!$C$2:$C$7, MATCH(F1193, Unit_Grades!$A$2:$A$7, 0)),1)</f>
        <v>29.4</v>
      </c>
      <c r="M1193" s="6" t="n">
        <f aca="false">ROUND(INDEX(Archetypes!$J$2:$J$127, MATCH(D1193, Archetypes!$A$2:$A$127, 0))*INDEX(Unit_Grades!$D$2:$D$7, MATCH(F1193, Unit_Grades!$A$2:$A$7, 0)),1)</f>
        <v>22.7</v>
      </c>
      <c r="N1193" s="6" t="n">
        <f aca="false">ROUND(M1193/24,2)</f>
        <v>0.95</v>
      </c>
    </row>
    <row r="1194" customFormat="false" ht="15" hidden="false" customHeight="true" outlineLevel="0" collapsed="false">
      <c r="A1194" s="6" t="n">
        <v>4</v>
      </c>
      <c r="B1194" s="6" t="s">
        <v>2695</v>
      </c>
      <c r="C1194" s="6" t="s">
        <v>1402</v>
      </c>
      <c r="D1194" s="6" t="str">
        <f aca="false">A1194&amp;"|"&amp;C1194</f>
        <v>4|AA Vehicle</v>
      </c>
      <c r="E1194" s="6" t="s">
        <v>1556</v>
      </c>
      <c r="F1194" s="6" t="s">
        <v>1546</v>
      </c>
      <c r="G1194" s="6" t="str">
        <f aca="false">INDEX(Archetypes!$D$2:$D$127, MATCH(D1194, Archetypes!$A$2:$A$127, 0))</f>
        <v>Anti-Air</v>
      </c>
      <c r="H1194" s="6" t="n">
        <f aca="false">ROUND(INDEX(Archetypes!$E$2:$E$127, MATCH(D1194, Archetypes!$A$2:$A$127, 0))*INDEX(Unit_Grades!$B$2:$B$7, MATCH(F1194, Unit_Grades!$A$2:$A$7, 0))*INDEX(Unit_Paths!$B$2:$B$4, MATCH(E1194, Unit_Paths!$A$2:$A$4, 0)),1)</f>
        <v>288</v>
      </c>
      <c r="I1194" s="6" t="n">
        <f aca="false">ROUND(INDEX(Archetypes!$F$2:$F$127, MATCH(D1194, Archetypes!$A$2:$A$127, 0))*INDEX(Unit_Grades!$B$2:$B$7, MATCH(F1194, Unit_Grades!$A$2:$A$7, 0))*INDEX(Unit_Paths!$C$2:$C$4, MATCH(E1194, Unit_Paths!$A$2:$A$4, 0)),1)</f>
        <v>192</v>
      </c>
      <c r="J1194" s="6" t="n">
        <f aca="false">ROUND(INDEX(Archetypes!$G$2:$G$127, MATCH(D1194, Archetypes!$A$2:$A$127, 0))*INDEX(Unit_Grades!$B$2:$B$7, MATCH(F1194, Unit_Grades!$A$2:$A$7, 0))*INDEX(Unit_Paths!$D$2:$D$4, MATCH(E1194, Unit_Paths!$A$2:$A$4, 0)),0)</f>
        <v>704</v>
      </c>
      <c r="K1194" s="6" t="n">
        <f aca="false">ROUND(INDEX(Archetypes!$H$2:$H$127, MATCH(D1194, Archetypes!$A$2:$A$127, 0))*INDEX(Unit_Paths!$E$2:$E$4, MATCH(E1194, Unit_Paths!$A$2:$A$4, 0)),1)</f>
        <v>32</v>
      </c>
      <c r="L1194" s="6" t="n">
        <f aca="false">ROUND(INDEX(Archetypes!$I$2:$I$127, MATCH(D1194, Archetypes!$A$2:$A$127, 0))*INDEX(Unit_Grades!$C$2:$C$7, MATCH(F1194, Unit_Grades!$A$2:$A$7, 0)),1)</f>
        <v>39.2</v>
      </c>
      <c r="M1194" s="6" t="n">
        <f aca="false">ROUND(INDEX(Archetypes!$J$2:$J$127, MATCH(D1194, Archetypes!$A$2:$A$127, 0))*INDEX(Unit_Grades!$D$2:$D$7, MATCH(F1194, Unit_Grades!$A$2:$A$7, 0)),1)</f>
        <v>39.8</v>
      </c>
      <c r="N1194" s="6" t="n">
        <f aca="false">ROUND(M1194/24,2)</f>
        <v>1.66</v>
      </c>
    </row>
    <row r="1195" customFormat="false" ht="15" hidden="false" customHeight="true" outlineLevel="0" collapsed="false">
      <c r="A1195" s="6" t="n">
        <v>4</v>
      </c>
      <c r="B1195" s="6" t="s">
        <v>2696</v>
      </c>
      <c r="C1195" s="6" t="s">
        <v>1402</v>
      </c>
      <c r="D1195" s="6" t="str">
        <f aca="false">A1195&amp;"|"&amp;C1195</f>
        <v>4|AA Vehicle</v>
      </c>
      <c r="E1195" s="6" t="s">
        <v>1556</v>
      </c>
      <c r="F1195" s="6" t="s">
        <v>1548</v>
      </c>
      <c r="G1195" s="6" t="str">
        <f aca="false">INDEX(Archetypes!$D$2:$D$127, MATCH(D1195, Archetypes!$A$2:$A$127, 0))</f>
        <v>Anti-Air</v>
      </c>
      <c r="H1195" s="6" t="n">
        <f aca="false">ROUND(INDEX(Archetypes!$E$2:$E$127, MATCH(D1195, Archetypes!$A$2:$A$127, 0))*INDEX(Unit_Grades!$B$2:$B$7, MATCH(F1195, Unit_Grades!$A$2:$A$7, 0))*INDEX(Unit_Paths!$B$2:$B$4, MATCH(E1195, Unit_Paths!$A$2:$A$4, 0)),1)</f>
        <v>378</v>
      </c>
      <c r="I1195" s="6" t="n">
        <f aca="false">ROUND(INDEX(Archetypes!$F$2:$F$127, MATCH(D1195, Archetypes!$A$2:$A$127, 0))*INDEX(Unit_Grades!$B$2:$B$7, MATCH(F1195, Unit_Grades!$A$2:$A$7, 0))*INDEX(Unit_Paths!$C$2:$C$4, MATCH(E1195, Unit_Paths!$A$2:$A$4, 0)),1)</f>
        <v>252</v>
      </c>
      <c r="J1195" s="6" t="n">
        <f aca="false">ROUND(INDEX(Archetypes!$G$2:$G$127, MATCH(D1195, Archetypes!$A$2:$A$127, 0))*INDEX(Unit_Grades!$B$2:$B$7, MATCH(F1195, Unit_Grades!$A$2:$A$7, 0))*INDEX(Unit_Paths!$D$2:$D$4, MATCH(E1195, Unit_Paths!$A$2:$A$4, 0)),0)</f>
        <v>924</v>
      </c>
      <c r="K1195" s="6" t="n">
        <f aca="false">ROUND(INDEX(Archetypes!$H$2:$H$127, MATCH(D1195, Archetypes!$A$2:$A$127, 0))*INDEX(Unit_Paths!$E$2:$E$4, MATCH(E1195, Unit_Paths!$A$2:$A$4, 0)),1)</f>
        <v>32</v>
      </c>
      <c r="L1195" s="6" t="n">
        <f aca="false">ROUND(INDEX(Archetypes!$I$2:$I$127, MATCH(D1195, Archetypes!$A$2:$A$127, 0))*INDEX(Unit_Grades!$C$2:$C$7, MATCH(F1195, Unit_Grades!$A$2:$A$7, 0)),1)</f>
        <v>51.8</v>
      </c>
      <c r="M1195" s="6" t="n">
        <f aca="false">ROUND(INDEX(Archetypes!$J$2:$J$127, MATCH(D1195, Archetypes!$A$2:$A$127, 0))*INDEX(Unit_Grades!$D$2:$D$7, MATCH(F1195, Unit_Grades!$A$2:$A$7, 0)),1)</f>
        <v>68.2</v>
      </c>
      <c r="N1195" s="6" t="n">
        <f aca="false">ROUND(M1195/24,2)</f>
        <v>2.84</v>
      </c>
    </row>
    <row r="1196" customFormat="false" ht="15" hidden="false" customHeight="true" outlineLevel="0" collapsed="false">
      <c r="A1196" s="6" t="n">
        <v>4</v>
      </c>
      <c r="B1196" s="6" t="s">
        <v>2697</v>
      </c>
      <c r="C1196" s="6" t="s">
        <v>1402</v>
      </c>
      <c r="D1196" s="6" t="str">
        <f aca="false">A1196&amp;"|"&amp;C1196</f>
        <v>4|AA Vehicle</v>
      </c>
      <c r="E1196" s="6" t="s">
        <v>1558</v>
      </c>
      <c r="F1196" s="6" t="s">
        <v>1538</v>
      </c>
      <c r="G1196" s="6" t="str">
        <f aca="false">INDEX(Archetypes!$D$2:$D$127, MATCH(D1196, Archetypes!$A$2:$A$127, 0))</f>
        <v>Anti-Air</v>
      </c>
      <c r="H1196" s="6" t="n">
        <f aca="false">ROUND(INDEX(Archetypes!$E$2:$E$127, MATCH(D1196, Archetypes!$A$2:$A$127, 0))*INDEX(Unit_Grades!$B$2:$B$7, MATCH(F1196, Unit_Grades!$A$2:$A$7, 0))*INDEX(Unit_Paths!$B$2:$B$4, MATCH(E1196, Unit_Paths!$A$2:$A$4, 0)),1)</f>
        <v>108</v>
      </c>
      <c r="I1196" s="6" t="n">
        <f aca="false">ROUND(INDEX(Archetypes!$F$2:$F$127, MATCH(D1196, Archetypes!$A$2:$A$127, 0))*INDEX(Unit_Grades!$B$2:$B$7, MATCH(F1196, Unit_Grades!$A$2:$A$7, 0))*INDEX(Unit_Paths!$C$2:$C$4, MATCH(E1196, Unit_Paths!$A$2:$A$4, 0)),1)</f>
        <v>51</v>
      </c>
      <c r="J1196" s="6" t="n">
        <f aca="false">ROUND(INDEX(Archetypes!$G$2:$G$127, MATCH(D1196, Archetypes!$A$2:$A$127, 0))*INDEX(Unit_Grades!$B$2:$B$7, MATCH(F1196, Unit_Grades!$A$2:$A$7, 0))*INDEX(Unit_Paths!$D$2:$D$4, MATCH(E1196, Unit_Paths!$A$2:$A$4, 0)),0)</f>
        <v>209</v>
      </c>
      <c r="K1196" s="6" t="n">
        <f aca="false">ROUND(INDEX(Archetypes!$H$2:$H$127, MATCH(D1196, Archetypes!$A$2:$A$127, 0))*INDEX(Unit_Paths!$E$2:$E$4, MATCH(E1196, Unit_Paths!$A$2:$A$4, 0)),1)</f>
        <v>33.6</v>
      </c>
      <c r="L1196" s="6" t="n">
        <f aca="false">ROUND(INDEX(Archetypes!$I$2:$I$127, MATCH(D1196, Archetypes!$A$2:$A$127, 0))*INDEX(Unit_Grades!$C$2:$C$7, MATCH(F1196, Unit_Grades!$A$2:$A$7, 0)),1)</f>
        <v>14</v>
      </c>
      <c r="M1196" s="6" t="n">
        <f aca="false">ROUND(INDEX(Archetypes!$J$2:$J$127, MATCH(D1196, Archetypes!$A$2:$A$127, 0))*INDEX(Unit_Grades!$D$2:$D$7, MATCH(F1196, Unit_Grades!$A$2:$A$7, 0)),1)</f>
        <v>5.7</v>
      </c>
      <c r="N1196" s="6" t="n">
        <f aca="false">ROUND(M1196/24,2)</f>
        <v>0.24</v>
      </c>
    </row>
    <row r="1197" customFormat="false" ht="15" hidden="false" customHeight="true" outlineLevel="0" collapsed="false">
      <c r="A1197" s="6" t="n">
        <v>4</v>
      </c>
      <c r="B1197" s="6" t="s">
        <v>2698</v>
      </c>
      <c r="C1197" s="6" t="s">
        <v>1402</v>
      </c>
      <c r="D1197" s="6" t="str">
        <f aca="false">A1197&amp;"|"&amp;C1197</f>
        <v>4|AA Vehicle</v>
      </c>
      <c r="E1197" s="6" t="s">
        <v>1558</v>
      </c>
      <c r="F1197" s="6" t="s">
        <v>1540</v>
      </c>
      <c r="G1197" s="6" t="str">
        <f aca="false">INDEX(Archetypes!$D$2:$D$127, MATCH(D1197, Archetypes!$A$2:$A$127, 0))</f>
        <v>Anti-Air</v>
      </c>
      <c r="H1197" s="6" t="n">
        <f aca="false">ROUND(INDEX(Archetypes!$E$2:$E$127, MATCH(D1197, Archetypes!$A$2:$A$127, 0))*INDEX(Unit_Grades!$B$2:$B$7, MATCH(F1197, Unit_Grades!$A$2:$A$7, 0))*INDEX(Unit_Paths!$B$2:$B$4, MATCH(E1197, Unit_Paths!$A$2:$A$4, 0)),1)</f>
        <v>145.8</v>
      </c>
      <c r="I1197" s="6" t="n">
        <f aca="false">ROUND(INDEX(Archetypes!$F$2:$F$127, MATCH(D1197, Archetypes!$A$2:$A$127, 0))*INDEX(Unit_Grades!$B$2:$B$7, MATCH(F1197, Unit_Grades!$A$2:$A$7, 0))*INDEX(Unit_Paths!$C$2:$C$4, MATCH(E1197, Unit_Paths!$A$2:$A$4, 0)),1)</f>
        <v>68.9</v>
      </c>
      <c r="J1197" s="6" t="n">
        <f aca="false">ROUND(INDEX(Archetypes!$G$2:$G$127, MATCH(D1197, Archetypes!$A$2:$A$127, 0))*INDEX(Unit_Grades!$B$2:$B$7, MATCH(F1197, Unit_Grades!$A$2:$A$7, 0))*INDEX(Unit_Paths!$D$2:$D$4, MATCH(E1197, Unit_Paths!$A$2:$A$4, 0)),0)</f>
        <v>282</v>
      </c>
      <c r="K1197" s="6" t="n">
        <f aca="false">ROUND(INDEX(Archetypes!$H$2:$H$127, MATCH(D1197, Archetypes!$A$2:$A$127, 0))*INDEX(Unit_Paths!$E$2:$E$4, MATCH(E1197, Unit_Paths!$A$2:$A$4, 0)),1)</f>
        <v>33.6</v>
      </c>
      <c r="L1197" s="6" t="n">
        <f aca="false">ROUND(INDEX(Archetypes!$I$2:$I$127, MATCH(D1197, Archetypes!$A$2:$A$127, 0))*INDEX(Unit_Grades!$C$2:$C$7, MATCH(F1197, Unit_Grades!$A$2:$A$7, 0)),1)</f>
        <v>17.5</v>
      </c>
      <c r="M1197" s="6" t="n">
        <f aca="false">ROUND(INDEX(Archetypes!$J$2:$J$127, MATCH(D1197, Archetypes!$A$2:$A$127, 0))*INDEX(Unit_Grades!$D$2:$D$7, MATCH(F1197, Unit_Grades!$A$2:$A$7, 0)),1)</f>
        <v>8.5</v>
      </c>
      <c r="N1197" s="6" t="n">
        <f aca="false">ROUND(M1197/24,2)</f>
        <v>0.35</v>
      </c>
    </row>
    <row r="1198" customFormat="false" ht="15" hidden="false" customHeight="true" outlineLevel="0" collapsed="false">
      <c r="A1198" s="6" t="n">
        <v>4</v>
      </c>
      <c r="B1198" s="6" t="s">
        <v>2699</v>
      </c>
      <c r="C1198" s="6" t="s">
        <v>1402</v>
      </c>
      <c r="D1198" s="6" t="str">
        <f aca="false">A1198&amp;"|"&amp;C1198</f>
        <v>4|AA Vehicle</v>
      </c>
      <c r="E1198" s="6" t="s">
        <v>1558</v>
      </c>
      <c r="F1198" s="6" t="s">
        <v>1542</v>
      </c>
      <c r="G1198" s="6" t="str">
        <f aca="false">INDEX(Archetypes!$D$2:$D$127, MATCH(D1198, Archetypes!$A$2:$A$127, 0))</f>
        <v>Anti-Air</v>
      </c>
      <c r="H1198" s="6" t="n">
        <f aca="false">ROUND(INDEX(Archetypes!$E$2:$E$127, MATCH(D1198, Archetypes!$A$2:$A$127, 0))*INDEX(Unit_Grades!$B$2:$B$7, MATCH(F1198, Unit_Grades!$A$2:$A$7, 0))*INDEX(Unit_Paths!$B$2:$B$4, MATCH(E1198, Unit_Paths!$A$2:$A$4, 0)),1)</f>
        <v>194.4</v>
      </c>
      <c r="I1198" s="6" t="n">
        <f aca="false">ROUND(INDEX(Archetypes!$F$2:$F$127, MATCH(D1198, Archetypes!$A$2:$A$127, 0))*INDEX(Unit_Grades!$B$2:$B$7, MATCH(F1198, Unit_Grades!$A$2:$A$7, 0))*INDEX(Unit_Paths!$C$2:$C$4, MATCH(E1198, Unit_Paths!$A$2:$A$4, 0)),1)</f>
        <v>91.8</v>
      </c>
      <c r="J1198" s="6" t="n">
        <f aca="false">ROUND(INDEX(Archetypes!$G$2:$G$127, MATCH(D1198, Archetypes!$A$2:$A$127, 0))*INDEX(Unit_Grades!$B$2:$B$7, MATCH(F1198, Unit_Grades!$A$2:$A$7, 0))*INDEX(Unit_Paths!$D$2:$D$4, MATCH(E1198, Unit_Paths!$A$2:$A$4, 0)),0)</f>
        <v>376</v>
      </c>
      <c r="K1198" s="6" t="n">
        <f aca="false">ROUND(INDEX(Archetypes!$H$2:$H$127, MATCH(D1198, Archetypes!$A$2:$A$127, 0))*INDEX(Unit_Paths!$E$2:$E$4, MATCH(E1198, Unit_Paths!$A$2:$A$4, 0)),1)</f>
        <v>33.6</v>
      </c>
      <c r="L1198" s="6" t="n">
        <f aca="false">ROUND(INDEX(Archetypes!$I$2:$I$127, MATCH(D1198, Archetypes!$A$2:$A$127, 0))*INDEX(Unit_Grades!$C$2:$C$7, MATCH(F1198, Unit_Grades!$A$2:$A$7, 0)),1)</f>
        <v>22.4</v>
      </c>
      <c r="M1198" s="6" t="n">
        <f aca="false">ROUND(INDEX(Archetypes!$J$2:$J$127, MATCH(D1198, Archetypes!$A$2:$A$127, 0))*INDEX(Unit_Grades!$D$2:$D$7, MATCH(F1198, Unit_Grades!$A$2:$A$7, 0)),1)</f>
        <v>14.2</v>
      </c>
      <c r="N1198" s="6" t="n">
        <f aca="false">ROUND(M1198/24,2)</f>
        <v>0.59</v>
      </c>
    </row>
    <row r="1199" customFormat="false" ht="15" hidden="false" customHeight="true" outlineLevel="0" collapsed="false">
      <c r="A1199" s="6" t="n">
        <v>4</v>
      </c>
      <c r="B1199" s="6" t="s">
        <v>2700</v>
      </c>
      <c r="C1199" s="6" t="s">
        <v>1402</v>
      </c>
      <c r="D1199" s="6" t="str">
        <f aca="false">A1199&amp;"|"&amp;C1199</f>
        <v>4|AA Vehicle</v>
      </c>
      <c r="E1199" s="6" t="s">
        <v>1558</v>
      </c>
      <c r="F1199" s="6" t="s">
        <v>1544</v>
      </c>
      <c r="G1199" s="6" t="str">
        <f aca="false">INDEX(Archetypes!$D$2:$D$127, MATCH(D1199, Archetypes!$A$2:$A$127, 0))</f>
        <v>Anti-Air</v>
      </c>
      <c r="H1199" s="6" t="n">
        <f aca="false">ROUND(INDEX(Archetypes!$E$2:$E$127, MATCH(D1199, Archetypes!$A$2:$A$127, 0))*INDEX(Unit_Grades!$B$2:$B$7, MATCH(F1199, Unit_Grades!$A$2:$A$7, 0))*INDEX(Unit_Paths!$B$2:$B$4, MATCH(E1199, Unit_Paths!$A$2:$A$4, 0)),1)</f>
        <v>259.2</v>
      </c>
      <c r="I1199" s="6" t="n">
        <f aca="false">ROUND(INDEX(Archetypes!$F$2:$F$127, MATCH(D1199, Archetypes!$A$2:$A$127, 0))*INDEX(Unit_Grades!$B$2:$B$7, MATCH(F1199, Unit_Grades!$A$2:$A$7, 0))*INDEX(Unit_Paths!$C$2:$C$4, MATCH(E1199, Unit_Paths!$A$2:$A$4, 0)),1)</f>
        <v>122.4</v>
      </c>
      <c r="J1199" s="6" t="n">
        <f aca="false">ROUND(INDEX(Archetypes!$G$2:$G$127, MATCH(D1199, Archetypes!$A$2:$A$127, 0))*INDEX(Unit_Grades!$B$2:$B$7, MATCH(F1199, Unit_Grades!$A$2:$A$7, 0))*INDEX(Unit_Paths!$D$2:$D$4, MATCH(E1199, Unit_Paths!$A$2:$A$4, 0)),0)</f>
        <v>502</v>
      </c>
      <c r="K1199" s="6" t="n">
        <f aca="false">ROUND(INDEX(Archetypes!$H$2:$H$127, MATCH(D1199, Archetypes!$A$2:$A$127, 0))*INDEX(Unit_Paths!$E$2:$E$4, MATCH(E1199, Unit_Paths!$A$2:$A$4, 0)),1)</f>
        <v>33.6</v>
      </c>
      <c r="L1199" s="6" t="n">
        <f aca="false">ROUND(INDEX(Archetypes!$I$2:$I$127, MATCH(D1199, Archetypes!$A$2:$A$127, 0))*INDEX(Unit_Grades!$C$2:$C$7, MATCH(F1199, Unit_Grades!$A$2:$A$7, 0)),1)</f>
        <v>29.4</v>
      </c>
      <c r="M1199" s="6" t="n">
        <f aca="false">ROUND(INDEX(Archetypes!$J$2:$J$127, MATCH(D1199, Archetypes!$A$2:$A$127, 0))*INDEX(Unit_Grades!$D$2:$D$7, MATCH(F1199, Unit_Grades!$A$2:$A$7, 0)),1)</f>
        <v>22.7</v>
      </c>
      <c r="N1199" s="6" t="n">
        <f aca="false">ROUND(M1199/24,2)</f>
        <v>0.95</v>
      </c>
    </row>
    <row r="1200" customFormat="false" ht="15" hidden="false" customHeight="true" outlineLevel="0" collapsed="false">
      <c r="A1200" s="6" t="n">
        <v>4</v>
      </c>
      <c r="B1200" s="6" t="s">
        <v>2701</v>
      </c>
      <c r="C1200" s="6" t="s">
        <v>1402</v>
      </c>
      <c r="D1200" s="6" t="str">
        <f aca="false">A1200&amp;"|"&amp;C1200</f>
        <v>4|AA Vehicle</v>
      </c>
      <c r="E1200" s="6" t="s">
        <v>1558</v>
      </c>
      <c r="F1200" s="6" t="s">
        <v>1546</v>
      </c>
      <c r="G1200" s="6" t="str">
        <f aca="false">INDEX(Archetypes!$D$2:$D$127, MATCH(D1200, Archetypes!$A$2:$A$127, 0))</f>
        <v>Anti-Air</v>
      </c>
      <c r="H1200" s="6" t="n">
        <f aca="false">ROUND(INDEX(Archetypes!$E$2:$E$127, MATCH(D1200, Archetypes!$A$2:$A$127, 0))*INDEX(Unit_Grades!$B$2:$B$7, MATCH(F1200, Unit_Grades!$A$2:$A$7, 0))*INDEX(Unit_Paths!$B$2:$B$4, MATCH(E1200, Unit_Paths!$A$2:$A$4, 0)),1)</f>
        <v>345.6</v>
      </c>
      <c r="I1200" s="6" t="n">
        <f aca="false">ROUND(INDEX(Archetypes!$F$2:$F$127, MATCH(D1200, Archetypes!$A$2:$A$127, 0))*INDEX(Unit_Grades!$B$2:$B$7, MATCH(F1200, Unit_Grades!$A$2:$A$7, 0))*INDEX(Unit_Paths!$C$2:$C$4, MATCH(E1200, Unit_Paths!$A$2:$A$4, 0)),1)</f>
        <v>163.2</v>
      </c>
      <c r="J1200" s="6" t="n">
        <f aca="false">ROUND(INDEX(Archetypes!$G$2:$G$127, MATCH(D1200, Archetypes!$A$2:$A$127, 0))*INDEX(Unit_Grades!$B$2:$B$7, MATCH(F1200, Unit_Grades!$A$2:$A$7, 0))*INDEX(Unit_Paths!$D$2:$D$4, MATCH(E1200, Unit_Paths!$A$2:$A$4, 0)),0)</f>
        <v>669</v>
      </c>
      <c r="K1200" s="6" t="n">
        <f aca="false">ROUND(INDEX(Archetypes!$H$2:$H$127, MATCH(D1200, Archetypes!$A$2:$A$127, 0))*INDEX(Unit_Paths!$E$2:$E$4, MATCH(E1200, Unit_Paths!$A$2:$A$4, 0)),1)</f>
        <v>33.6</v>
      </c>
      <c r="L1200" s="6" t="n">
        <f aca="false">ROUND(INDEX(Archetypes!$I$2:$I$127, MATCH(D1200, Archetypes!$A$2:$A$127, 0))*INDEX(Unit_Grades!$C$2:$C$7, MATCH(F1200, Unit_Grades!$A$2:$A$7, 0)),1)</f>
        <v>39.2</v>
      </c>
      <c r="M1200" s="6" t="n">
        <f aca="false">ROUND(INDEX(Archetypes!$J$2:$J$127, MATCH(D1200, Archetypes!$A$2:$A$127, 0))*INDEX(Unit_Grades!$D$2:$D$7, MATCH(F1200, Unit_Grades!$A$2:$A$7, 0)),1)</f>
        <v>39.8</v>
      </c>
      <c r="N1200" s="6" t="n">
        <f aca="false">ROUND(M1200/24,2)</f>
        <v>1.66</v>
      </c>
    </row>
    <row r="1201" customFormat="false" ht="15" hidden="false" customHeight="true" outlineLevel="0" collapsed="false">
      <c r="A1201" s="6" t="n">
        <v>4</v>
      </c>
      <c r="B1201" s="6" t="s">
        <v>2702</v>
      </c>
      <c r="C1201" s="6" t="s">
        <v>1402</v>
      </c>
      <c r="D1201" s="6" t="str">
        <f aca="false">A1201&amp;"|"&amp;C1201</f>
        <v>4|AA Vehicle</v>
      </c>
      <c r="E1201" s="6" t="s">
        <v>1558</v>
      </c>
      <c r="F1201" s="6" t="s">
        <v>1548</v>
      </c>
      <c r="G1201" s="6" t="str">
        <f aca="false">INDEX(Archetypes!$D$2:$D$127, MATCH(D1201, Archetypes!$A$2:$A$127, 0))</f>
        <v>Anti-Air</v>
      </c>
      <c r="H1201" s="6" t="n">
        <f aca="false">ROUND(INDEX(Archetypes!$E$2:$E$127, MATCH(D1201, Archetypes!$A$2:$A$127, 0))*INDEX(Unit_Grades!$B$2:$B$7, MATCH(F1201, Unit_Grades!$A$2:$A$7, 0))*INDEX(Unit_Paths!$B$2:$B$4, MATCH(E1201, Unit_Paths!$A$2:$A$4, 0)),1)</f>
        <v>453.6</v>
      </c>
      <c r="I1201" s="6" t="n">
        <f aca="false">ROUND(INDEX(Archetypes!$F$2:$F$127, MATCH(D1201, Archetypes!$A$2:$A$127, 0))*INDEX(Unit_Grades!$B$2:$B$7, MATCH(F1201, Unit_Grades!$A$2:$A$7, 0))*INDEX(Unit_Paths!$C$2:$C$4, MATCH(E1201, Unit_Paths!$A$2:$A$4, 0)),1)</f>
        <v>214.2</v>
      </c>
      <c r="J1201" s="6" t="n">
        <f aca="false">ROUND(INDEX(Archetypes!$G$2:$G$127, MATCH(D1201, Archetypes!$A$2:$A$127, 0))*INDEX(Unit_Grades!$B$2:$B$7, MATCH(F1201, Unit_Grades!$A$2:$A$7, 0))*INDEX(Unit_Paths!$D$2:$D$4, MATCH(E1201, Unit_Paths!$A$2:$A$4, 0)),0)</f>
        <v>878</v>
      </c>
      <c r="K1201" s="6" t="n">
        <f aca="false">ROUND(INDEX(Archetypes!$H$2:$H$127, MATCH(D1201, Archetypes!$A$2:$A$127, 0))*INDEX(Unit_Paths!$E$2:$E$4, MATCH(E1201, Unit_Paths!$A$2:$A$4, 0)),1)</f>
        <v>33.6</v>
      </c>
      <c r="L1201" s="6" t="n">
        <f aca="false">ROUND(INDEX(Archetypes!$I$2:$I$127, MATCH(D1201, Archetypes!$A$2:$A$127, 0))*INDEX(Unit_Grades!$C$2:$C$7, MATCH(F1201, Unit_Grades!$A$2:$A$7, 0)),1)</f>
        <v>51.8</v>
      </c>
      <c r="M1201" s="6" t="n">
        <f aca="false">ROUND(INDEX(Archetypes!$J$2:$J$127, MATCH(D1201, Archetypes!$A$2:$A$127, 0))*INDEX(Unit_Grades!$D$2:$D$7, MATCH(F1201, Unit_Grades!$A$2:$A$7, 0)),1)</f>
        <v>68.2</v>
      </c>
      <c r="N1201" s="6" t="n">
        <f aca="false">ROUND(M1201/24,2)</f>
        <v>2.84</v>
      </c>
    </row>
    <row r="1202" customFormat="false" ht="15" hidden="false" customHeight="true" outlineLevel="0" collapsed="false">
      <c r="A1202" s="6" t="n">
        <v>4</v>
      </c>
      <c r="B1202" s="6" t="s">
        <v>2703</v>
      </c>
      <c r="C1202" s="6" t="s">
        <v>1402</v>
      </c>
      <c r="D1202" s="6" t="str">
        <f aca="false">A1202&amp;"|"&amp;C1202</f>
        <v>4|AA Vehicle</v>
      </c>
      <c r="E1202" s="6" t="s">
        <v>1560</v>
      </c>
      <c r="F1202" s="6" t="s">
        <v>1538</v>
      </c>
      <c r="G1202" s="6" t="str">
        <f aca="false">INDEX(Archetypes!$D$2:$D$127, MATCH(D1202, Archetypes!$A$2:$A$127, 0))</f>
        <v>Anti-Air</v>
      </c>
      <c r="H1202" s="6" t="n">
        <f aca="false">ROUND(INDEX(Archetypes!$E$2:$E$127, MATCH(D1202, Archetypes!$A$2:$A$127, 0))*INDEX(Unit_Grades!$B$2:$B$7, MATCH(F1202, Unit_Grades!$A$2:$A$7, 0))*INDEX(Unit_Paths!$B$2:$B$4, MATCH(E1202, Unit_Paths!$A$2:$A$4, 0)),1)</f>
        <v>76.5</v>
      </c>
      <c r="I1202" s="6" t="n">
        <f aca="false">ROUND(INDEX(Archetypes!$F$2:$F$127, MATCH(D1202, Archetypes!$A$2:$A$127, 0))*INDEX(Unit_Grades!$B$2:$B$7, MATCH(F1202, Unit_Grades!$A$2:$A$7, 0))*INDEX(Unit_Paths!$C$2:$C$4, MATCH(E1202, Unit_Paths!$A$2:$A$4, 0)),1)</f>
        <v>75</v>
      </c>
      <c r="J1202" s="6" t="n">
        <f aca="false">ROUND(INDEX(Archetypes!$G$2:$G$127, MATCH(D1202, Archetypes!$A$2:$A$127, 0))*INDEX(Unit_Grades!$B$2:$B$7, MATCH(F1202, Unit_Grades!$A$2:$A$7, 0))*INDEX(Unit_Paths!$D$2:$D$4, MATCH(E1202, Unit_Paths!$A$2:$A$4, 0)),0)</f>
        <v>253</v>
      </c>
      <c r="K1202" s="6" t="n">
        <f aca="false">ROUND(INDEX(Archetypes!$H$2:$H$127, MATCH(D1202, Archetypes!$A$2:$A$127, 0))*INDEX(Unit_Paths!$E$2:$E$4, MATCH(E1202, Unit_Paths!$A$2:$A$4, 0)),1)</f>
        <v>29.4</v>
      </c>
      <c r="L1202" s="6" t="n">
        <f aca="false">ROUND(INDEX(Archetypes!$I$2:$I$127, MATCH(D1202, Archetypes!$A$2:$A$127, 0))*INDEX(Unit_Grades!$C$2:$C$7, MATCH(F1202, Unit_Grades!$A$2:$A$7, 0)),1)</f>
        <v>14</v>
      </c>
      <c r="M1202" s="6" t="n">
        <f aca="false">ROUND(INDEX(Archetypes!$J$2:$J$127, MATCH(D1202, Archetypes!$A$2:$A$127, 0))*INDEX(Unit_Grades!$D$2:$D$7, MATCH(F1202, Unit_Grades!$A$2:$A$7, 0)),1)</f>
        <v>5.7</v>
      </c>
      <c r="N1202" s="6" t="n">
        <f aca="false">ROUND(M1202/24,2)</f>
        <v>0.24</v>
      </c>
    </row>
    <row r="1203" customFormat="false" ht="15" hidden="false" customHeight="true" outlineLevel="0" collapsed="false">
      <c r="A1203" s="6" t="n">
        <v>4</v>
      </c>
      <c r="B1203" s="6" t="s">
        <v>2704</v>
      </c>
      <c r="C1203" s="6" t="s">
        <v>1402</v>
      </c>
      <c r="D1203" s="6" t="str">
        <f aca="false">A1203&amp;"|"&amp;C1203</f>
        <v>4|AA Vehicle</v>
      </c>
      <c r="E1203" s="6" t="s">
        <v>1560</v>
      </c>
      <c r="F1203" s="6" t="s">
        <v>1540</v>
      </c>
      <c r="G1203" s="6" t="str">
        <f aca="false">INDEX(Archetypes!$D$2:$D$127, MATCH(D1203, Archetypes!$A$2:$A$127, 0))</f>
        <v>Anti-Air</v>
      </c>
      <c r="H1203" s="6" t="n">
        <f aca="false">ROUND(INDEX(Archetypes!$E$2:$E$127, MATCH(D1203, Archetypes!$A$2:$A$127, 0))*INDEX(Unit_Grades!$B$2:$B$7, MATCH(F1203, Unit_Grades!$A$2:$A$7, 0))*INDEX(Unit_Paths!$B$2:$B$4, MATCH(E1203, Unit_Paths!$A$2:$A$4, 0)),1)</f>
        <v>103.3</v>
      </c>
      <c r="I1203" s="6" t="n">
        <f aca="false">ROUND(INDEX(Archetypes!$F$2:$F$127, MATCH(D1203, Archetypes!$A$2:$A$127, 0))*INDEX(Unit_Grades!$B$2:$B$7, MATCH(F1203, Unit_Grades!$A$2:$A$7, 0))*INDEX(Unit_Paths!$C$2:$C$4, MATCH(E1203, Unit_Paths!$A$2:$A$4, 0)),1)</f>
        <v>101.3</v>
      </c>
      <c r="J1203" s="6" t="n">
        <f aca="false">ROUND(INDEX(Archetypes!$G$2:$G$127, MATCH(D1203, Archetypes!$A$2:$A$127, 0))*INDEX(Unit_Grades!$B$2:$B$7, MATCH(F1203, Unit_Grades!$A$2:$A$7, 0))*INDEX(Unit_Paths!$D$2:$D$4, MATCH(E1203, Unit_Paths!$A$2:$A$4, 0)),0)</f>
        <v>342</v>
      </c>
      <c r="K1203" s="6" t="n">
        <f aca="false">ROUND(INDEX(Archetypes!$H$2:$H$127, MATCH(D1203, Archetypes!$A$2:$A$127, 0))*INDEX(Unit_Paths!$E$2:$E$4, MATCH(E1203, Unit_Paths!$A$2:$A$4, 0)),1)</f>
        <v>29.4</v>
      </c>
      <c r="L1203" s="6" t="n">
        <f aca="false">ROUND(INDEX(Archetypes!$I$2:$I$127, MATCH(D1203, Archetypes!$A$2:$A$127, 0))*INDEX(Unit_Grades!$C$2:$C$7, MATCH(F1203, Unit_Grades!$A$2:$A$7, 0)),1)</f>
        <v>17.5</v>
      </c>
      <c r="M1203" s="6" t="n">
        <f aca="false">ROUND(INDEX(Archetypes!$J$2:$J$127, MATCH(D1203, Archetypes!$A$2:$A$127, 0))*INDEX(Unit_Grades!$D$2:$D$7, MATCH(F1203, Unit_Grades!$A$2:$A$7, 0)),1)</f>
        <v>8.5</v>
      </c>
      <c r="N1203" s="6" t="n">
        <f aca="false">ROUND(M1203/24,2)</f>
        <v>0.35</v>
      </c>
    </row>
    <row r="1204" customFormat="false" ht="15" hidden="false" customHeight="true" outlineLevel="0" collapsed="false">
      <c r="A1204" s="6" t="n">
        <v>4</v>
      </c>
      <c r="B1204" s="6" t="s">
        <v>2705</v>
      </c>
      <c r="C1204" s="6" t="s">
        <v>1402</v>
      </c>
      <c r="D1204" s="6" t="str">
        <f aca="false">A1204&amp;"|"&amp;C1204</f>
        <v>4|AA Vehicle</v>
      </c>
      <c r="E1204" s="6" t="s">
        <v>1560</v>
      </c>
      <c r="F1204" s="6" t="s">
        <v>1542</v>
      </c>
      <c r="G1204" s="6" t="str">
        <f aca="false">INDEX(Archetypes!$D$2:$D$127, MATCH(D1204, Archetypes!$A$2:$A$127, 0))</f>
        <v>Anti-Air</v>
      </c>
      <c r="H1204" s="6" t="n">
        <f aca="false">ROUND(INDEX(Archetypes!$E$2:$E$127, MATCH(D1204, Archetypes!$A$2:$A$127, 0))*INDEX(Unit_Grades!$B$2:$B$7, MATCH(F1204, Unit_Grades!$A$2:$A$7, 0))*INDEX(Unit_Paths!$B$2:$B$4, MATCH(E1204, Unit_Paths!$A$2:$A$4, 0)),1)</f>
        <v>137.7</v>
      </c>
      <c r="I1204" s="6" t="n">
        <f aca="false">ROUND(INDEX(Archetypes!$F$2:$F$127, MATCH(D1204, Archetypes!$A$2:$A$127, 0))*INDEX(Unit_Grades!$B$2:$B$7, MATCH(F1204, Unit_Grades!$A$2:$A$7, 0))*INDEX(Unit_Paths!$C$2:$C$4, MATCH(E1204, Unit_Paths!$A$2:$A$4, 0)),1)</f>
        <v>135</v>
      </c>
      <c r="J1204" s="6" t="n">
        <f aca="false">ROUND(INDEX(Archetypes!$G$2:$G$127, MATCH(D1204, Archetypes!$A$2:$A$127, 0))*INDEX(Unit_Grades!$B$2:$B$7, MATCH(F1204, Unit_Grades!$A$2:$A$7, 0))*INDEX(Unit_Paths!$D$2:$D$4, MATCH(E1204, Unit_Paths!$A$2:$A$4, 0)),0)</f>
        <v>455</v>
      </c>
      <c r="K1204" s="6" t="n">
        <f aca="false">ROUND(INDEX(Archetypes!$H$2:$H$127, MATCH(D1204, Archetypes!$A$2:$A$127, 0))*INDEX(Unit_Paths!$E$2:$E$4, MATCH(E1204, Unit_Paths!$A$2:$A$4, 0)),1)</f>
        <v>29.4</v>
      </c>
      <c r="L1204" s="6" t="n">
        <f aca="false">ROUND(INDEX(Archetypes!$I$2:$I$127, MATCH(D1204, Archetypes!$A$2:$A$127, 0))*INDEX(Unit_Grades!$C$2:$C$7, MATCH(F1204, Unit_Grades!$A$2:$A$7, 0)),1)</f>
        <v>22.4</v>
      </c>
      <c r="M1204" s="6" t="n">
        <f aca="false">ROUND(INDEX(Archetypes!$J$2:$J$127, MATCH(D1204, Archetypes!$A$2:$A$127, 0))*INDEX(Unit_Grades!$D$2:$D$7, MATCH(F1204, Unit_Grades!$A$2:$A$7, 0)),1)</f>
        <v>14.2</v>
      </c>
      <c r="N1204" s="6" t="n">
        <f aca="false">ROUND(M1204/24,2)</f>
        <v>0.59</v>
      </c>
    </row>
    <row r="1205" customFormat="false" ht="15" hidden="false" customHeight="true" outlineLevel="0" collapsed="false">
      <c r="A1205" s="6" t="n">
        <v>4</v>
      </c>
      <c r="B1205" s="6" t="s">
        <v>2706</v>
      </c>
      <c r="C1205" s="6" t="s">
        <v>1402</v>
      </c>
      <c r="D1205" s="6" t="str">
        <f aca="false">A1205&amp;"|"&amp;C1205</f>
        <v>4|AA Vehicle</v>
      </c>
      <c r="E1205" s="6" t="s">
        <v>1560</v>
      </c>
      <c r="F1205" s="6" t="s">
        <v>1544</v>
      </c>
      <c r="G1205" s="6" t="str">
        <f aca="false">INDEX(Archetypes!$D$2:$D$127, MATCH(D1205, Archetypes!$A$2:$A$127, 0))</f>
        <v>Anti-Air</v>
      </c>
      <c r="H1205" s="6" t="n">
        <f aca="false">ROUND(INDEX(Archetypes!$E$2:$E$127, MATCH(D1205, Archetypes!$A$2:$A$127, 0))*INDEX(Unit_Grades!$B$2:$B$7, MATCH(F1205, Unit_Grades!$A$2:$A$7, 0))*INDEX(Unit_Paths!$B$2:$B$4, MATCH(E1205, Unit_Paths!$A$2:$A$4, 0)),1)</f>
        <v>183.6</v>
      </c>
      <c r="I1205" s="6" t="n">
        <f aca="false">ROUND(INDEX(Archetypes!$F$2:$F$127, MATCH(D1205, Archetypes!$A$2:$A$127, 0))*INDEX(Unit_Grades!$B$2:$B$7, MATCH(F1205, Unit_Grades!$A$2:$A$7, 0))*INDEX(Unit_Paths!$C$2:$C$4, MATCH(E1205, Unit_Paths!$A$2:$A$4, 0)),1)</f>
        <v>180</v>
      </c>
      <c r="J1205" s="6" t="n">
        <f aca="false">ROUND(INDEX(Archetypes!$G$2:$G$127, MATCH(D1205, Archetypes!$A$2:$A$127, 0))*INDEX(Unit_Grades!$B$2:$B$7, MATCH(F1205, Unit_Grades!$A$2:$A$7, 0))*INDEX(Unit_Paths!$D$2:$D$4, MATCH(E1205, Unit_Paths!$A$2:$A$4, 0)),0)</f>
        <v>607</v>
      </c>
      <c r="K1205" s="6" t="n">
        <f aca="false">ROUND(INDEX(Archetypes!$H$2:$H$127, MATCH(D1205, Archetypes!$A$2:$A$127, 0))*INDEX(Unit_Paths!$E$2:$E$4, MATCH(E1205, Unit_Paths!$A$2:$A$4, 0)),1)</f>
        <v>29.4</v>
      </c>
      <c r="L1205" s="6" t="n">
        <f aca="false">ROUND(INDEX(Archetypes!$I$2:$I$127, MATCH(D1205, Archetypes!$A$2:$A$127, 0))*INDEX(Unit_Grades!$C$2:$C$7, MATCH(F1205, Unit_Grades!$A$2:$A$7, 0)),1)</f>
        <v>29.4</v>
      </c>
      <c r="M1205" s="6" t="n">
        <f aca="false">ROUND(INDEX(Archetypes!$J$2:$J$127, MATCH(D1205, Archetypes!$A$2:$A$127, 0))*INDEX(Unit_Grades!$D$2:$D$7, MATCH(F1205, Unit_Grades!$A$2:$A$7, 0)),1)</f>
        <v>22.7</v>
      </c>
      <c r="N1205" s="6" t="n">
        <f aca="false">ROUND(M1205/24,2)</f>
        <v>0.95</v>
      </c>
    </row>
    <row r="1206" customFormat="false" ht="15" hidden="false" customHeight="true" outlineLevel="0" collapsed="false">
      <c r="A1206" s="6" t="n">
        <v>4</v>
      </c>
      <c r="B1206" s="6" t="s">
        <v>2707</v>
      </c>
      <c r="C1206" s="6" t="s">
        <v>1402</v>
      </c>
      <c r="D1206" s="6" t="str">
        <f aca="false">A1206&amp;"|"&amp;C1206</f>
        <v>4|AA Vehicle</v>
      </c>
      <c r="E1206" s="6" t="s">
        <v>1560</v>
      </c>
      <c r="F1206" s="6" t="s">
        <v>1546</v>
      </c>
      <c r="G1206" s="6" t="str">
        <f aca="false">INDEX(Archetypes!$D$2:$D$127, MATCH(D1206, Archetypes!$A$2:$A$127, 0))</f>
        <v>Anti-Air</v>
      </c>
      <c r="H1206" s="6" t="n">
        <f aca="false">ROUND(INDEX(Archetypes!$E$2:$E$127, MATCH(D1206, Archetypes!$A$2:$A$127, 0))*INDEX(Unit_Grades!$B$2:$B$7, MATCH(F1206, Unit_Grades!$A$2:$A$7, 0))*INDEX(Unit_Paths!$B$2:$B$4, MATCH(E1206, Unit_Paths!$A$2:$A$4, 0)),1)</f>
        <v>244.8</v>
      </c>
      <c r="I1206" s="6" t="n">
        <f aca="false">ROUND(INDEX(Archetypes!$F$2:$F$127, MATCH(D1206, Archetypes!$A$2:$A$127, 0))*INDEX(Unit_Grades!$B$2:$B$7, MATCH(F1206, Unit_Grades!$A$2:$A$7, 0))*INDEX(Unit_Paths!$C$2:$C$4, MATCH(E1206, Unit_Paths!$A$2:$A$4, 0)),1)</f>
        <v>240</v>
      </c>
      <c r="J1206" s="6" t="n">
        <f aca="false">ROUND(INDEX(Archetypes!$G$2:$G$127, MATCH(D1206, Archetypes!$A$2:$A$127, 0))*INDEX(Unit_Grades!$B$2:$B$7, MATCH(F1206, Unit_Grades!$A$2:$A$7, 0))*INDEX(Unit_Paths!$D$2:$D$4, MATCH(E1206, Unit_Paths!$A$2:$A$4, 0)),0)</f>
        <v>810</v>
      </c>
      <c r="K1206" s="6" t="n">
        <f aca="false">ROUND(INDEX(Archetypes!$H$2:$H$127, MATCH(D1206, Archetypes!$A$2:$A$127, 0))*INDEX(Unit_Paths!$E$2:$E$4, MATCH(E1206, Unit_Paths!$A$2:$A$4, 0)),1)</f>
        <v>29.4</v>
      </c>
      <c r="L1206" s="6" t="n">
        <f aca="false">ROUND(INDEX(Archetypes!$I$2:$I$127, MATCH(D1206, Archetypes!$A$2:$A$127, 0))*INDEX(Unit_Grades!$C$2:$C$7, MATCH(F1206, Unit_Grades!$A$2:$A$7, 0)),1)</f>
        <v>39.2</v>
      </c>
      <c r="M1206" s="6" t="n">
        <f aca="false">ROUND(INDEX(Archetypes!$J$2:$J$127, MATCH(D1206, Archetypes!$A$2:$A$127, 0))*INDEX(Unit_Grades!$D$2:$D$7, MATCH(F1206, Unit_Grades!$A$2:$A$7, 0)),1)</f>
        <v>39.8</v>
      </c>
      <c r="N1206" s="6" t="n">
        <f aca="false">ROUND(M1206/24,2)</f>
        <v>1.66</v>
      </c>
    </row>
    <row r="1207" customFormat="false" ht="15" hidden="false" customHeight="true" outlineLevel="0" collapsed="false">
      <c r="A1207" s="6" t="n">
        <v>4</v>
      </c>
      <c r="B1207" s="6" t="s">
        <v>2708</v>
      </c>
      <c r="C1207" s="6" t="s">
        <v>1402</v>
      </c>
      <c r="D1207" s="6" t="str">
        <f aca="false">A1207&amp;"|"&amp;C1207</f>
        <v>4|AA Vehicle</v>
      </c>
      <c r="E1207" s="6" t="s">
        <v>1560</v>
      </c>
      <c r="F1207" s="6" t="s">
        <v>1548</v>
      </c>
      <c r="G1207" s="6" t="str">
        <f aca="false">INDEX(Archetypes!$D$2:$D$127, MATCH(D1207, Archetypes!$A$2:$A$127, 0))</f>
        <v>Anti-Air</v>
      </c>
      <c r="H1207" s="6" t="n">
        <f aca="false">ROUND(INDEX(Archetypes!$E$2:$E$127, MATCH(D1207, Archetypes!$A$2:$A$127, 0))*INDEX(Unit_Grades!$B$2:$B$7, MATCH(F1207, Unit_Grades!$A$2:$A$7, 0))*INDEX(Unit_Paths!$B$2:$B$4, MATCH(E1207, Unit_Paths!$A$2:$A$4, 0)),1)</f>
        <v>321.3</v>
      </c>
      <c r="I1207" s="6" t="n">
        <f aca="false">ROUND(INDEX(Archetypes!$F$2:$F$127, MATCH(D1207, Archetypes!$A$2:$A$127, 0))*INDEX(Unit_Grades!$B$2:$B$7, MATCH(F1207, Unit_Grades!$A$2:$A$7, 0))*INDEX(Unit_Paths!$C$2:$C$4, MATCH(E1207, Unit_Paths!$A$2:$A$4, 0)),1)</f>
        <v>315</v>
      </c>
      <c r="J1207" s="6" t="n">
        <f aca="false">ROUND(INDEX(Archetypes!$G$2:$G$127, MATCH(D1207, Archetypes!$A$2:$A$127, 0))*INDEX(Unit_Grades!$B$2:$B$7, MATCH(F1207, Unit_Grades!$A$2:$A$7, 0))*INDEX(Unit_Paths!$D$2:$D$4, MATCH(E1207, Unit_Paths!$A$2:$A$4, 0)),0)</f>
        <v>1063</v>
      </c>
      <c r="K1207" s="6" t="n">
        <f aca="false">ROUND(INDEX(Archetypes!$H$2:$H$127, MATCH(D1207, Archetypes!$A$2:$A$127, 0))*INDEX(Unit_Paths!$E$2:$E$4, MATCH(E1207, Unit_Paths!$A$2:$A$4, 0)),1)</f>
        <v>29.4</v>
      </c>
      <c r="L1207" s="6" t="n">
        <f aca="false">ROUND(INDEX(Archetypes!$I$2:$I$127, MATCH(D1207, Archetypes!$A$2:$A$127, 0))*INDEX(Unit_Grades!$C$2:$C$7, MATCH(F1207, Unit_Grades!$A$2:$A$7, 0)),1)</f>
        <v>51.8</v>
      </c>
      <c r="M1207" s="6" t="n">
        <f aca="false">ROUND(INDEX(Archetypes!$J$2:$J$127, MATCH(D1207, Archetypes!$A$2:$A$127, 0))*INDEX(Unit_Grades!$D$2:$D$7, MATCH(F1207, Unit_Grades!$A$2:$A$7, 0)),1)</f>
        <v>68.2</v>
      </c>
      <c r="N1207" s="6" t="n">
        <f aca="false">ROUND(M1207/24,2)</f>
        <v>2.84</v>
      </c>
    </row>
    <row r="1208" customFormat="false" ht="15" hidden="false" customHeight="true" outlineLevel="0" collapsed="false">
      <c r="A1208" s="6" t="n">
        <v>4</v>
      </c>
      <c r="B1208" s="6" t="s">
        <v>1405</v>
      </c>
      <c r="C1208" s="6" t="s">
        <v>1405</v>
      </c>
      <c r="D1208" s="6" t="str">
        <f aca="false">A1208&amp;"|"&amp;C1208</f>
        <v>4|Fighter</v>
      </c>
      <c r="E1208" s="6" t="s">
        <v>1556</v>
      </c>
      <c r="F1208" s="6" t="s">
        <v>1538</v>
      </c>
      <c r="G1208" s="6" t="str">
        <f aca="false">INDEX(Archetypes!$D$2:$D$127, MATCH(D1208, Archetypes!$A$2:$A$127, 0))</f>
        <v>Air Superiority</v>
      </c>
      <c r="H1208" s="6" t="n">
        <f aca="false">ROUND(INDEX(Archetypes!$E$2:$E$127, MATCH(D1208, Archetypes!$A$2:$A$127, 0))*INDEX(Unit_Grades!$B$2:$B$7, MATCH(F1208, Unit_Grades!$A$2:$A$7, 0))*INDEX(Unit_Paths!$B$2:$B$4, MATCH(E1208, Unit_Paths!$A$2:$A$4, 0)),1)</f>
        <v>130</v>
      </c>
      <c r="I1208" s="6" t="n">
        <f aca="false">ROUND(INDEX(Archetypes!$F$2:$F$127, MATCH(D1208, Archetypes!$A$2:$A$127, 0))*INDEX(Unit_Grades!$B$2:$B$7, MATCH(F1208, Unit_Grades!$A$2:$A$7, 0))*INDEX(Unit_Paths!$C$2:$C$4, MATCH(E1208, Unit_Paths!$A$2:$A$4, 0)),1)</f>
        <v>50</v>
      </c>
      <c r="J1208" s="6" t="n">
        <f aca="false">ROUND(INDEX(Archetypes!$G$2:$G$127, MATCH(D1208, Archetypes!$A$2:$A$127, 0))*INDEX(Unit_Grades!$B$2:$B$7, MATCH(F1208, Unit_Grades!$A$2:$A$7, 0))*INDEX(Unit_Paths!$D$2:$D$4, MATCH(E1208, Unit_Paths!$A$2:$A$4, 0)),0)</f>
        <v>180</v>
      </c>
      <c r="K1208" s="6" t="n">
        <f aca="false">ROUND(INDEX(Archetypes!$H$2:$H$127, MATCH(D1208, Archetypes!$A$2:$A$127, 0))*INDEX(Unit_Paths!$E$2:$E$4, MATCH(E1208, Unit_Paths!$A$2:$A$4, 0)),1)</f>
        <v>90</v>
      </c>
      <c r="L1208" s="6" t="n">
        <f aca="false">ROUND(INDEX(Archetypes!$I$2:$I$127, MATCH(D1208, Archetypes!$A$2:$A$127, 0))*INDEX(Unit_Grades!$C$2:$C$7, MATCH(F1208, Unit_Grades!$A$2:$A$7, 0)),1)</f>
        <v>18</v>
      </c>
      <c r="M1208" s="6" t="n">
        <f aca="false">ROUND(INDEX(Archetypes!$J$2:$J$127, MATCH(D1208, Archetypes!$A$2:$A$127, 0))*INDEX(Unit_Grades!$D$2:$D$7, MATCH(F1208, Unit_Grades!$A$2:$A$7, 0)),1)</f>
        <v>7.3</v>
      </c>
      <c r="N1208" s="6" t="n">
        <f aca="false">ROUND(M1208/24,2)</f>
        <v>0.3</v>
      </c>
    </row>
    <row r="1209" customFormat="false" ht="15" hidden="false" customHeight="true" outlineLevel="0" collapsed="false">
      <c r="A1209" s="6" t="n">
        <v>4</v>
      </c>
      <c r="B1209" s="6" t="s">
        <v>2709</v>
      </c>
      <c r="C1209" s="6" t="s">
        <v>1405</v>
      </c>
      <c r="D1209" s="6" t="str">
        <f aca="false">A1209&amp;"|"&amp;C1209</f>
        <v>4|Fighter</v>
      </c>
      <c r="E1209" s="6" t="s">
        <v>1556</v>
      </c>
      <c r="F1209" s="6" t="s">
        <v>1540</v>
      </c>
      <c r="G1209" s="6" t="str">
        <f aca="false">INDEX(Archetypes!$D$2:$D$127, MATCH(D1209, Archetypes!$A$2:$A$127, 0))</f>
        <v>Air Superiority</v>
      </c>
      <c r="H1209" s="6" t="n">
        <f aca="false">ROUND(INDEX(Archetypes!$E$2:$E$127, MATCH(D1209, Archetypes!$A$2:$A$127, 0))*INDEX(Unit_Grades!$B$2:$B$7, MATCH(F1209, Unit_Grades!$A$2:$A$7, 0))*INDEX(Unit_Paths!$B$2:$B$4, MATCH(E1209, Unit_Paths!$A$2:$A$4, 0)),1)</f>
        <v>175.5</v>
      </c>
      <c r="I1209" s="6" t="n">
        <f aca="false">ROUND(INDEX(Archetypes!$F$2:$F$127, MATCH(D1209, Archetypes!$A$2:$A$127, 0))*INDEX(Unit_Grades!$B$2:$B$7, MATCH(F1209, Unit_Grades!$A$2:$A$7, 0))*INDEX(Unit_Paths!$C$2:$C$4, MATCH(E1209, Unit_Paths!$A$2:$A$4, 0)),1)</f>
        <v>67.5</v>
      </c>
      <c r="J1209" s="6" t="n">
        <f aca="false">ROUND(INDEX(Archetypes!$G$2:$G$127, MATCH(D1209, Archetypes!$A$2:$A$127, 0))*INDEX(Unit_Grades!$B$2:$B$7, MATCH(F1209, Unit_Grades!$A$2:$A$7, 0))*INDEX(Unit_Paths!$D$2:$D$4, MATCH(E1209, Unit_Paths!$A$2:$A$4, 0)),0)</f>
        <v>243</v>
      </c>
      <c r="K1209" s="6" t="n">
        <f aca="false">ROUND(INDEX(Archetypes!$H$2:$H$127, MATCH(D1209, Archetypes!$A$2:$A$127, 0))*INDEX(Unit_Paths!$E$2:$E$4, MATCH(E1209, Unit_Paths!$A$2:$A$4, 0)),1)</f>
        <v>90</v>
      </c>
      <c r="L1209" s="6" t="n">
        <f aca="false">ROUND(INDEX(Archetypes!$I$2:$I$127, MATCH(D1209, Archetypes!$A$2:$A$127, 0))*INDEX(Unit_Grades!$C$2:$C$7, MATCH(F1209, Unit_Grades!$A$2:$A$7, 0)),1)</f>
        <v>22.5</v>
      </c>
      <c r="M1209" s="6" t="n">
        <f aca="false">ROUND(INDEX(Archetypes!$J$2:$J$127, MATCH(D1209, Archetypes!$A$2:$A$127, 0))*INDEX(Unit_Grades!$D$2:$D$7, MATCH(F1209, Unit_Grades!$A$2:$A$7, 0)),1)</f>
        <v>11</v>
      </c>
      <c r="N1209" s="6" t="n">
        <f aca="false">ROUND(M1209/24,2)</f>
        <v>0.46</v>
      </c>
    </row>
    <row r="1210" customFormat="false" ht="15" hidden="false" customHeight="true" outlineLevel="0" collapsed="false">
      <c r="A1210" s="6" t="n">
        <v>4</v>
      </c>
      <c r="B1210" s="6" t="s">
        <v>2710</v>
      </c>
      <c r="C1210" s="6" t="s">
        <v>1405</v>
      </c>
      <c r="D1210" s="6" t="str">
        <f aca="false">A1210&amp;"|"&amp;C1210</f>
        <v>4|Fighter</v>
      </c>
      <c r="E1210" s="6" t="s">
        <v>1556</v>
      </c>
      <c r="F1210" s="6" t="s">
        <v>1542</v>
      </c>
      <c r="G1210" s="6" t="str">
        <f aca="false">INDEX(Archetypes!$D$2:$D$127, MATCH(D1210, Archetypes!$A$2:$A$127, 0))</f>
        <v>Air Superiority</v>
      </c>
      <c r="H1210" s="6" t="n">
        <f aca="false">ROUND(INDEX(Archetypes!$E$2:$E$127, MATCH(D1210, Archetypes!$A$2:$A$127, 0))*INDEX(Unit_Grades!$B$2:$B$7, MATCH(F1210, Unit_Grades!$A$2:$A$7, 0))*INDEX(Unit_Paths!$B$2:$B$4, MATCH(E1210, Unit_Paths!$A$2:$A$4, 0)),1)</f>
        <v>234</v>
      </c>
      <c r="I1210" s="6" t="n">
        <f aca="false">ROUND(INDEX(Archetypes!$F$2:$F$127, MATCH(D1210, Archetypes!$A$2:$A$127, 0))*INDEX(Unit_Grades!$B$2:$B$7, MATCH(F1210, Unit_Grades!$A$2:$A$7, 0))*INDEX(Unit_Paths!$C$2:$C$4, MATCH(E1210, Unit_Paths!$A$2:$A$4, 0)),1)</f>
        <v>90</v>
      </c>
      <c r="J1210" s="6" t="n">
        <f aca="false">ROUND(INDEX(Archetypes!$G$2:$G$127, MATCH(D1210, Archetypes!$A$2:$A$127, 0))*INDEX(Unit_Grades!$B$2:$B$7, MATCH(F1210, Unit_Grades!$A$2:$A$7, 0))*INDEX(Unit_Paths!$D$2:$D$4, MATCH(E1210, Unit_Paths!$A$2:$A$4, 0)),0)</f>
        <v>324</v>
      </c>
      <c r="K1210" s="6" t="n">
        <f aca="false">ROUND(INDEX(Archetypes!$H$2:$H$127, MATCH(D1210, Archetypes!$A$2:$A$127, 0))*INDEX(Unit_Paths!$E$2:$E$4, MATCH(E1210, Unit_Paths!$A$2:$A$4, 0)),1)</f>
        <v>90</v>
      </c>
      <c r="L1210" s="6" t="n">
        <f aca="false">ROUND(INDEX(Archetypes!$I$2:$I$127, MATCH(D1210, Archetypes!$A$2:$A$127, 0))*INDEX(Unit_Grades!$C$2:$C$7, MATCH(F1210, Unit_Grades!$A$2:$A$7, 0)),1)</f>
        <v>28.8</v>
      </c>
      <c r="M1210" s="6" t="n">
        <f aca="false">ROUND(INDEX(Archetypes!$J$2:$J$127, MATCH(D1210, Archetypes!$A$2:$A$127, 0))*INDEX(Unit_Grades!$D$2:$D$7, MATCH(F1210, Unit_Grades!$A$2:$A$7, 0)),1)</f>
        <v>18.3</v>
      </c>
      <c r="N1210" s="6" t="n">
        <f aca="false">ROUND(M1210/24,2)</f>
        <v>0.76</v>
      </c>
    </row>
    <row r="1211" customFormat="false" ht="15" hidden="false" customHeight="true" outlineLevel="0" collapsed="false">
      <c r="A1211" s="6" t="n">
        <v>4</v>
      </c>
      <c r="B1211" s="6" t="s">
        <v>2711</v>
      </c>
      <c r="C1211" s="6" t="s">
        <v>1405</v>
      </c>
      <c r="D1211" s="6" t="str">
        <f aca="false">A1211&amp;"|"&amp;C1211</f>
        <v>4|Fighter</v>
      </c>
      <c r="E1211" s="6" t="s">
        <v>1556</v>
      </c>
      <c r="F1211" s="6" t="s">
        <v>1544</v>
      </c>
      <c r="G1211" s="6" t="str">
        <f aca="false">INDEX(Archetypes!$D$2:$D$127, MATCH(D1211, Archetypes!$A$2:$A$127, 0))</f>
        <v>Air Superiority</v>
      </c>
      <c r="H1211" s="6" t="n">
        <f aca="false">ROUND(INDEX(Archetypes!$E$2:$E$127, MATCH(D1211, Archetypes!$A$2:$A$127, 0))*INDEX(Unit_Grades!$B$2:$B$7, MATCH(F1211, Unit_Grades!$A$2:$A$7, 0))*INDEX(Unit_Paths!$B$2:$B$4, MATCH(E1211, Unit_Paths!$A$2:$A$4, 0)),1)</f>
        <v>312</v>
      </c>
      <c r="I1211" s="6" t="n">
        <f aca="false">ROUND(INDEX(Archetypes!$F$2:$F$127, MATCH(D1211, Archetypes!$A$2:$A$127, 0))*INDEX(Unit_Grades!$B$2:$B$7, MATCH(F1211, Unit_Grades!$A$2:$A$7, 0))*INDEX(Unit_Paths!$C$2:$C$4, MATCH(E1211, Unit_Paths!$A$2:$A$4, 0)),1)</f>
        <v>120</v>
      </c>
      <c r="J1211" s="6" t="n">
        <f aca="false">ROUND(INDEX(Archetypes!$G$2:$G$127, MATCH(D1211, Archetypes!$A$2:$A$127, 0))*INDEX(Unit_Grades!$B$2:$B$7, MATCH(F1211, Unit_Grades!$A$2:$A$7, 0))*INDEX(Unit_Paths!$D$2:$D$4, MATCH(E1211, Unit_Paths!$A$2:$A$4, 0)),0)</f>
        <v>432</v>
      </c>
      <c r="K1211" s="6" t="n">
        <f aca="false">ROUND(INDEX(Archetypes!$H$2:$H$127, MATCH(D1211, Archetypes!$A$2:$A$127, 0))*INDEX(Unit_Paths!$E$2:$E$4, MATCH(E1211, Unit_Paths!$A$2:$A$4, 0)),1)</f>
        <v>90</v>
      </c>
      <c r="L1211" s="6" t="n">
        <f aca="false">ROUND(INDEX(Archetypes!$I$2:$I$127, MATCH(D1211, Archetypes!$A$2:$A$127, 0))*INDEX(Unit_Grades!$C$2:$C$7, MATCH(F1211, Unit_Grades!$A$2:$A$7, 0)),1)</f>
        <v>37.8</v>
      </c>
      <c r="M1211" s="6" t="n">
        <f aca="false">ROUND(INDEX(Archetypes!$J$2:$J$127, MATCH(D1211, Archetypes!$A$2:$A$127, 0))*INDEX(Unit_Grades!$D$2:$D$7, MATCH(F1211, Unit_Grades!$A$2:$A$7, 0)),1)</f>
        <v>29.2</v>
      </c>
      <c r="N1211" s="6" t="n">
        <f aca="false">ROUND(M1211/24,2)</f>
        <v>1.22</v>
      </c>
    </row>
    <row r="1212" customFormat="false" ht="15" hidden="false" customHeight="true" outlineLevel="0" collapsed="false">
      <c r="A1212" s="6" t="n">
        <v>4</v>
      </c>
      <c r="B1212" s="6" t="s">
        <v>2712</v>
      </c>
      <c r="C1212" s="6" t="s">
        <v>1405</v>
      </c>
      <c r="D1212" s="6" t="str">
        <f aca="false">A1212&amp;"|"&amp;C1212</f>
        <v>4|Fighter</v>
      </c>
      <c r="E1212" s="6" t="s">
        <v>1556</v>
      </c>
      <c r="F1212" s="6" t="s">
        <v>1546</v>
      </c>
      <c r="G1212" s="6" t="str">
        <f aca="false">INDEX(Archetypes!$D$2:$D$127, MATCH(D1212, Archetypes!$A$2:$A$127, 0))</f>
        <v>Air Superiority</v>
      </c>
      <c r="H1212" s="6" t="n">
        <f aca="false">ROUND(INDEX(Archetypes!$E$2:$E$127, MATCH(D1212, Archetypes!$A$2:$A$127, 0))*INDEX(Unit_Grades!$B$2:$B$7, MATCH(F1212, Unit_Grades!$A$2:$A$7, 0))*INDEX(Unit_Paths!$B$2:$B$4, MATCH(E1212, Unit_Paths!$A$2:$A$4, 0)),1)</f>
        <v>416</v>
      </c>
      <c r="I1212" s="6" t="n">
        <f aca="false">ROUND(INDEX(Archetypes!$F$2:$F$127, MATCH(D1212, Archetypes!$A$2:$A$127, 0))*INDEX(Unit_Grades!$B$2:$B$7, MATCH(F1212, Unit_Grades!$A$2:$A$7, 0))*INDEX(Unit_Paths!$C$2:$C$4, MATCH(E1212, Unit_Paths!$A$2:$A$4, 0)),1)</f>
        <v>160</v>
      </c>
      <c r="J1212" s="6" t="n">
        <f aca="false">ROUND(INDEX(Archetypes!$G$2:$G$127, MATCH(D1212, Archetypes!$A$2:$A$127, 0))*INDEX(Unit_Grades!$B$2:$B$7, MATCH(F1212, Unit_Grades!$A$2:$A$7, 0))*INDEX(Unit_Paths!$D$2:$D$4, MATCH(E1212, Unit_Paths!$A$2:$A$4, 0)),0)</f>
        <v>576</v>
      </c>
      <c r="K1212" s="6" t="n">
        <f aca="false">ROUND(INDEX(Archetypes!$H$2:$H$127, MATCH(D1212, Archetypes!$A$2:$A$127, 0))*INDEX(Unit_Paths!$E$2:$E$4, MATCH(E1212, Unit_Paths!$A$2:$A$4, 0)),1)</f>
        <v>90</v>
      </c>
      <c r="L1212" s="6" t="n">
        <f aca="false">ROUND(INDEX(Archetypes!$I$2:$I$127, MATCH(D1212, Archetypes!$A$2:$A$127, 0))*INDEX(Unit_Grades!$C$2:$C$7, MATCH(F1212, Unit_Grades!$A$2:$A$7, 0)),1)</f>
        <v>50.4</v>
      </c>
      <c r="M1212" s="6" t="n">
        <f aca="false">ROUND(INDEX(Archetypes!$J$2:$J$127, MATCH(D1212, Archetypes!$A$2:$A$127, 0))*INDEX(Unit_Grades!$D$2:$D$7, MATCH(F1212, Unit_Grades!$A$2:$A$7, 0)),1)</f>
        <v>51.2</v>
      </c>
      <c r="N1212" s="6" t="n">
        <f aca="false">ROUND(M1212/24,2)</f>
        <v>2.13</v>
      </c>
    </row>
    <row r="1213" customFormat="false" ht="15" hidden="false" customHeight="true" outlineLevel="0" collapsed="false">
      <c r="A1213" s="6" t="n">
        <v>4</v>
      </c>
      <c r="B1213" s="6" t="s">
        <v>2713</v>
      </c>
      <c r="C1213" s="6" t="s">
        <v>1405</v>
      </c>
      <c r="D1213" s="6" t="str">
        <f aca="false">A1213&amp;"|"&amp;C1213</f>
        <v>4|Fighter</v>
      </c>
      <c r="E1213" s="6" t="s">
        <v>1556</v>
      </c>
      <c r="F1213" s="6" t="s">
        <v>1548</v>
      </c>
      <c r="G1213" s="6" t="str">
        <f aca="false">INDEX(Archetypes!$D$2:$D$127, MATCH(D1213, Archetypes!$A$2:$A$127, 0))</f>
        <v>Air Superiority</v>
      </c>
      <c r="H1213" s="6" t="n">
        <f aca="false">ROUND(INDEX(Archetypes!$E$2:$E$127, MATCH(D1213, Archetypes!$A$2:$A$127, 0))*INDEX(Unit_Grades!$B$2:$B$7, MATCH(F1213, Unit_Grades!$A$2:$A$7, 0))*INDEX(Unit_Paths!$B$2:$B$4, MATCH(E1213, Unit_Paths!$A$2:$A$4, 0)),1)</f>
        <v>546</v>
      </c>
      <c r="I1213" s="6" t="n">
        <f aca="false">ROUND(INDEX(Archetypes!$F$2:$F$127, MATCH(D1213, Archetypes!$A$2:$A$127, 0))*INDEX(Unit_Grades!$B$2:$B$7, MATCH(F1213, Unit_Grades!$A$2:$A$7, 0))*INDEX(Unit_Paths!$C$2:$C$4, MATCH(E1213, Unit_Paths!$A$2:$A$4, 0)),1)</f>
        <v>210</v>
      </c>
      <c r="J1213" s="6" t="n">
        <f aca="false">ROUND(INDEX(Archetypes!$G$2:$G$127, MATCH(D1213, Archetypes!$A$2:$A$127, 0))*INDEX(Unit_Grades!$B$2:$B$7, MATCH(F1213, Unit_Grades!$A$2:$A$7, 0))*INDEX(Unit_Paths!$D$2:$D$4, MATCH(E1213, Unit_Paths!$A$2:$A$4, 0)),0)</f>
        <v>756</v>
      </c>
      <c r="K1213" s="6" t="n">
        <f aca="false">ROUND(INDEX(Archetypes!$H$2:$H$127, MATCH(D1213, Archetypes!$A$2:$A$127, 0))*INDEX(Unit_Paths!$E$2:$E$4, MATCH(E1213, Unit_Paths!$A$2:$A$4, 0)),1)</f>
        <v>90</v>
      </c>
      <c r="L1213" s="6" t="n">
        <f aca="false">ROUND(INDEX(Archetypes!$I$2:$I$127, MATCH(D1213, Archetypes!$A$2:$A$127, 0))*INDEX(Unit_Grades!$C$2:$C$7, MATCH(F1213, Unit_Grades!$A$2:$A$7, 0)),1)</f>
        <v>66.6</v>
      </c>
      <c r="M1213" s="6" t="n">
        <f aca="false">ROUND(INDEX(Archetypes!$J$2:$J$127, MATCH(D1213, Archetypes!$A$2:$A$127, 0))*INDEX(Unit_Grades!$D$2:$D$7, MATCH(F1213, Unit_Grades!$A$2:$A$7, 0)),1)</f>
        <v>87.7</v>
      </c>
      <c r="N1213" s="6" t="n">
        <f aca="false">ROUND(M1213/24,2)</f>
        <v>3.65</v>
      </c>
    </row>
    <row r="1214" customFormat="false" ht="15" hidden="false" customHeight="true" outlineLevel="0" collapsed="false">
      <c r="A1214" s="6" t="n">
        <v>4</v>
      </c>
      <c r="B1214" s="6" t="s">
        <v>2714</v>
      </c>
      <c r="C1214" s="6" t="s">
        <v>1405</v>
      </c>
      <c r="D1214" s="6" t="str">
        <f aca="false">A1214&amp;"|"&amp;C1214</f>
        <v>4|Fighter</v>
      </c>
      <c r="E1214" s="6" t="s">
        <v>1558</v>
      </c>
      <c r="F1214" s="6" t="s">
        <v>1538</v>
      </c>
      <c r="G1214" s="6" t="str">
        <f aca="false">INDEX(Archetypes!$D$2:$D$127, MATCH(D1214, Archetypes!$A$2:$A$127, 0))</f>
        <v>Air Superiority</v>
      </c>
      <c r="H1214" s="6" t="n">
        <f aca="false">ROUND(INDEX(Archetypes!$E$2:$E$127, MATCH(D1214, Archetypes!$A$2:$A$127, 0))*INDEX(Unit_Grades!$B$2:$B$7, MATCH(F1214, Unit_Grades!$A$2:$A$7, 0))*INDEX(Unit_Paths!$B$2:$B$4, MATCH(E1214, Unit_Paths!$A$2:$A$4, 0)),1)</f>
        <v>156</v>
      </c>
      <c r="I1214" s="6" t="n">
        <f aca="false">ROUND(INDEX(Archetypes!$F$2:$F$127, MATCH(D1214, Archetypes!$A$2:$A$127, 0))*INDEX(Unit_Grades!$B$2:$B$7, MATCH(F1214, Unit_Grades!$A$2:$A$7, 0))*INDEX(Unit_Paths!$C$2:$C$4, MATCH(E1214, Unit_Paths!$A$2:$A$4, 0)),1)</f>
        <v>42.5</v>
      </c>
      <c r="J1214" s="6" t="n">
        <f aca="false">ROUND(INDEX(Archetypes!$G$2:$G$127, MATCH(D1214, Archetypes!$A$2:$A$127, 0))*INDEX(Unit_Grades!$B$2:$B$7, MATCH(F1214, Unit_Grades!$A$2:$A$7, 0))*INDEX(Unit_Paths!$D$2:$D$4, MATCH(E1214, Unit_Paths!$A$2:$A$4, 0)),0)</f>
        <v>171</v>
      </c>
      <c r="K1214" s="6" t="n">
        <f aca="false">ROUND(INDEX(Archetypes!$H$2:$H$127, MATCH(D1214, Archetypes!$A$2:$A$127, 0))*INDEX(Unit_Paths!$E$2:$E$4, MATCH(E1214, Unit_Paths!$A$2:$A$4, 0)),1)</f>
        <v>94.5</v>
      </c>
      <c r="L1214" s="6" t="n">
        <f aca="false">ROUND(INDEX(Archetypes!$I$2:$I$127, MATCH(D1214, Archetypes!$A$2:$A$127, 0))*INDEX(Unit_Grades!$C$2:$C$7, MATCH(F1214, Unit_Grades!$A$2:$A$7, 0)),1)</f>
        <v>18</v>
      </c>
      <c r="M1214" s="6" t="n">
        <f aca="false">ROUND(INDEX(Archetypes!$J$2:$J$127, MATCH(D1214, Archetypes!$A$2:$A$127, 0))*INDEX(Unit_Grades!$D$2:$D$7, MATCH(F1214, Unit_Grades!$A$2:$A$7, 0)),1)</f>
        <v>7.3</v>
      </c>
      <c r="N1214" s="6" t="n">
        <f aca="false">ROUND(M1214/24,2)</f>
        <v>0.3</v>
      </c>
    </row>
    <row r="1215" customFormat="false" ht="15" hidden="false" customHeight="true" outlineLevel="0" collapsed="false">
      <c r="A1215" s="6" t="n">
        <v>4</v>
      </c>
      <c r="B1215" s="6" t="s">
        <v>2715</v>
      </c>
      <c r="C1215" s="6" t="s">
        <v>1405</v>
      </c>
      <c r="D1215" s="6" t="str">
        <f aca="false">A1215&amp;"|"&amp;C1215</f>
        <v>4|Fighter</v>
      </c>
      <c r="E1215" s="6" t="s">
        <v>1558</v>
      </c>
      <c r="F1215" s="6" t="s">
        <v>1540</v>
      </c>
      <c r="G1215" s="6" t="str">
        <f aca="false">INDEX(Archetypes!$D$2:$D$127, MATCH(D1215, Archetypes!$A$2:$A$127, 0))</f>
        <v>Air Superiority</v>
      </c>
      <c r="H1215" s="6" t="n">
        <f aca="false">ROUND(INDEX(Archetypes!$E$2:$E$127, MATCH(D1215, Archetypes!$A$2:$A$127, 0))*INDEX(Unit_Grades!$B$2:$B$7, MATCH(F1215, Unit_Grades!$A$2:$A$7, 0))*INDEX(Unit_Paths!$B$2:$B$4, MATCH(E1215, Unit_Paths!$A$2:$A$4, 0)),1)</f>
        <v>210.6</v>
      </c>
      <c r="I1215" s="6" t="n">
        <f aca="false">ROUND(INDEX(Archetypes!$F$2:$F$127, MATCH(D1215, Archetypes!$A$2:$A$127, 0))*INDEX(Unit_Grades!$B$2:$B$7, MATCH(F1215, Unit_Grades!$A$2:$A$7, 0))*INDEX(Unit_Paths!$C$2:$C$4, MATCH(E1215, Unit_Paths!$A$2:$A$4, 0)),1)</f>
        <v>57.4</v>
      </c>
      <c r="J1215" s="6" t="n">
        <f aca="false">ROUND(INDEX(Archetypes!$G$2:$G$127, MATCH(D1215, Archetypes!$A$2:$A$127, 0))*INDEX(Unit_Grades!$B$2:$B$7, MATCH(F1215, Unit_Grades!$A$2:$A$7, 0))*INDEX(Unit_Paths!$D$2:$D$4, MATCH(E1215, Unit_Paths!$A$2:$A$4, 0)),0)</f>
        <v>231</v>
      </c>
      <c r="K1215" s="6" t="n">
        <f aca="false">ROUND(INDEX(Archetypes!$H$2:$H$127, MATCH(D1215, Archetypes!$A$2:$A$127, 0))*INDEX(Unit_Paths!$E$2:$E$4, MATCH(E1215, Unit_Paths!$A$2:$A$4, 0)),1)</f>
        <v>94.5</v>
      </c>
      <c r="L1215" s="6" t="n">
        <f aca="false">ROUND(INDEX(Archetypes!$I$2:$I$127, MATCH(D1215, Archetypes!$A$2:$A$127, 0))*INDEX(Unit_Grades!$C$2:$C$7, MATCH(F1215, Unit_Grades!$A$2:$A$7, 0)),1)</f>
        <v>22.5</v>
      </c>
      <c r="M1215" s="6" t="n">
        <f aca="false">ROUND(INDEX(Archetypes!$J$2:$J$127, MATCH(D1215, Archetypes!$A$2:$A$127, 0))*INDEX(Unit_Grades!$D$2:$D$7, MATCH(F1215, Unit_Grades!$A$2:$A$7, 0)),1)</f>
        <v>11</v>
      </c>
      <c r="N1215" s="6" t="n">
        <f aca="false">ROUND(M1215/24,2)</f>
        <v>0.46</v>
      </c>
    </row>
    <row r="1216" customFormat="false" ht="15" hidden="false" customHeight="true" outlineLevel="0" collapsed="false">
      <c r="A1216" s="6" t="n">
        <v>4</v>
      </c>
      <c r="B1216" s="6" t="s">
        <v>2716</v>
      </c>
      <c r="C1216" s="6" t="s">
        <v>1405</v>
      </c>
      <c r="D1216" s="6" t="str">
        <f aca="false">A1216&amp;"|"&amp;C1216</f>
        <v>4|Fighter</v>
      </c>
      <c r="E1216" s="6" t="s">
        <v>1558</v>
      </c>
      <c r="F1216" s="6" t="s">
        <v>1542</v>
      </c>
      <c r="G1216" s="6" t="str">
        <f aca="false">INDEX(Archetypes!$D$2:$D$127, MATCH(D1216, Archetypes!$A$2:$A$127, 0))</f>
        <v>Air Superiority</v>
      </c>
      <c r="H1216" s="6" t="n">
        <f aca="false">ROUND(INDEX(Archetypes!$E$2:$E$127, MATCH(D1216, Archetypes!$A$2:$A$127, 0))*INDEX(Unit_Grades!$B$2:$B$7, MATCH(F1216, Unit_Grades!$A$2:$A$7, 0))*INDEX(Unit_Paths!$B$2:$B$4, MATCH(E1216, Unit_Paths!$A$2:$A$4, 0)),1)</f>
        <v>280.8</v>
      </c>
      <c r="I1216" s="6" t="n">
        <f aca="false">ROUND(INDEX(Archetypes!$F$2:$F$127, MATCH(D1216, Archetypes!$A$2:$A$127, 0))*INDEX(Unit_Grades!$B$2:$B$7, MATCH(F1216, Unit_Grades!$A$2:$A$7, 0))*INDEX(Unit_Paths!$C$2:$C$4, MATCH(E1216, Unit_Paths!$A$2:$A$4, 0)),1)</f>
        <v>76.5</v>
      </c>
      <c r="J1216" s="6" t="n">
        <f aca="false">ROUND(INDEX(Archetypes!$G$2:$G$127, MATCH(D1216, Archetypes!$A$2:$A$127, 0))*INDEX(Unit_Grades!$B$2:$B$7, MATCH(F1216, Unit_Grades!$A$2:$A$7, 0))*INDEX(Unit_Paths!$D$2:$D$4, MATCH(E1216, Unit_Paths!$A$2:$A$4, 0)),0)</f>
        <v>308</v>
      </c>
      <c r="K1216" s="6" t="n">
        <f aca="false">ROUND(INDEX(Archetypes!$H$2:$H$127, MATCH(D1216, Archetypes!$A$2:$A$127, 0))*INDEX(Unit_Paths!$E$2:$E$4, MATCH(E1216, Unit_Paths!$A$2:$A$4, 0)),1)</f>
        <v>94.5</v>
      </c>
      <c r="L1216" s="6" t="n">
        <f aca="false">ROUND(INDEX(Archetypes!$I$2:$I$127, MATCH(D1216, Archetypes!$A$2:$A$127, 0))*INDEX(Unit_Grades!$C$2:$C$7, MATCH(F1216, Unit_Grades!$A$2:$A$7, 0)),1)</f>
        <v>28.8</v>
      </c>
      <c r="M1216" s="6" t="n">
        <f aca="false">ROUND(INDEX(Archetypes!$J$2:$J$127, MATCH(D1216, Archetypes!$A$2:$A$127, 0))*INDEX(Unit_Grades!$D$2:$D$7, MATCH(F1216, Unit_Grades!$A$2:$A$7, 0)),1)</f>
        <v>18.3</v>
      </c>
      <c r="N1216" s="6" t="n">
        <f aca="false">ROUND(M1216/24,2)</f>
        <v>0.76</v>
      </c>
    </row>
    <row r="1217" customFormat="false" ht="15" hidden="false" customHeight="true" outlineLevel="0" collapsed="false">
      <c r="A1217" s="6" t="n">
        <v>4</v>
      </c>
      <c r="B1217" s="6" t="s">
        <v>2717</v>
      </c>
      <c r="C1217" s="6" t="s">
        <v>1405</v>
      </c>
      <c r="D1217" s="6" t="str">
        <f aca="false">A1217&amp;"|"&amp;C1217</f>
        <v>4|Fighter</v>
      </c>
      <c r="E1217" s="6" t="s">
        <v>1558</v>
      </c>
      <c r="F1217" s="6" t="s">
        <v>1544</v>
      </c>
      <c r="G1217" s="6" t="str">
        <f aca="false">INDEX(Archetypes!$D$2:$D$127, MATCH(D1217, Archetypes!$A$2:$A$127, 0))</f>
        <v>Air Superiority</v>
      </c>
      <c r="H1217" s="6" t="n">
        <f aca="false">ROUND(INDEX(Archetypes!$E$2:$E$127, MATCH(D1217, Archetypes!$A$2:$A$127, 0))*INDEX(Unit_Grades!$B$2:$B$7, MATCH(F1217, Unit_Grades!$A$2:$A$7, 0))*INDEX(Unit_Paths!$B$2:$B$4, MATCH(E1217, Unit_Paths!$A$2:$A$4, 0)),1)</f>
        <v>374.4</v>
      </c>
      <c r="I1217" s="6" t="n">
        <f aca="false">ROUND(INDEX(Archetypes!$F$2:$F$127, MATCH(D1217, Archetypes!$A$2:$A$127, 0))*INDEX(Unit_Grades!$B$2:$B$7, MATCH(F1217, Unit_Grades!$A$2:$A$7, 0))*INDEX(Unit_Paths!$C$2:$C$4, MATCH(E1217, Unit_Paths!$A$2:$A$4, 0)),1)</f>
        <v>102</v>
      </c>
      <c r="J1217" s="6" t="n">
        <f aca="false">ROUND(INDEX(Archetypes!$G$2:$G$127, MATCH(D1217, Archetypes!$A$2:$A$127, 0))*INDEX(Unit_Grades!$B$2:$B$7, MATCH(F1217, Unit_Grades!$A$2:$A$7, 0))*INDEX(Unit_Paths!$D$2:$D$4, MATCH(E1217, Unit_Paths!$A$2:$A$4, 0)),0)</f>
        <v>410</v>
      </c>
      <c r="K1217" s="6" t="n">
        <f aca="false">ROUND(INDEX(Archetypes!$H$2:$H$127, MATCH(D1217, Archetypes!$A$2:$A$127, 0))*INDEX(Unit_Paths!$E$2:$E$4, MATCH(E1217, Unit_Paths!$A$2:$A$4, 0)),1)</f>
        <v>94.5</v>
      </c>
      <c r="L1217" s="6" t="n">
        <f aca="false">ROUND(INDEX(Archetypes!$I$2:$I$127, MATCH(D1217, Archetypes!$A$2:$A$127, 0))*INDEX(Unit_Grades!$C$2:$C$7, MATCH(F1217, Unit_Grades!$A$2:$A$7, 0)),1)</f>
        <v>37.8</v>
      </c>
      <c r="M1217" s="6" t="n">
        <f aca="false">ROUND(INDEX(Archetypes!$J$2:$J$127, MATCH(D1217, Archetypes!$A$2:$A$127, 0))*INDEX(Unit_Grades!$D$2:$D$7, MATCH(F1217, Unit_Grades!$A$2:$A$7, 0)),1)</f>
        <v>29.2</v>
      </c>
      <c r="N1217" s="6" t="n">
        <f aca="false">ROUND(M1217/24,2)</f>
        <v>1.22</v>
      </c>
    </row>
    <row r="1218" customFormat="false" ht="15" hidden="false" customHeight="true" outlineLevel="0" collapsed="false">
      <c r="A1218" s="6" t="n">
        <v>4</v>
      </c>
      <c r="B1218" s="6" t="s">
        <v>2718</v>
      </c>
      <c r="C1218" s="6" t="s">
        <v>1405</v>
      </c>
      <c r="D1218" s="6" t="str">
        <f aca="false">A1218&amp;"|"&amp;C1218</f>
        <v>4|Fighter</v>
      </c>
      <c r="E1218" s="6" t="s">
        <v>1558</v>
      </c>
      <c r="F1218" s="6" t="s">
        <v>1546</v>
      </c>
      <c r="G1218" s="6" t="str">
        <f aca="false">INDEX(Archetypes!$D$2:$D$127, MATCH(D1218, Archetypes!$A$2:$A$127, 0))</f>
        <v>Air Superiority</v>
      </c>
      <c r="H1218" s="6" t="n">
        <f aca="false">ROUND(INDEX(Archetypes!$E$2:$E$127, MATCH(D1218, Archetypes!$A$2:$A$127, 0))*INDEX(Unit_Grades!$B$2:$B$7, MATCH(F1218, Unit_Grades!$A$2:$A$7, 0))*INDEX(Unit_Paths!$B$2:$B$4, MATCH(E1218, Unit_Paths!$A$2:$A$4, 0)),1)</f>
        <v>499.2</v>
      </c>
      <c r="I1218" s="6" t="n">
        <f aca="false">ROUND(INDEX(Archetypes!$F$2:$F$127, MATCH(D1218, Archetypes!$A$2:$A$127, 0))*INDEX(Unit_Grades!$B$2:$B$7, MATCH(F1218, Unit_Grades!$A$2:$A$7, 0))*INDEX(Unit_Paths!$C$2:$C$4, MATCH(E1218, Unit_Paths!$A$2:$A$4, 0)),1)</f>
        <v>136</v>
      </c>
      <c r="J1218" s="6" t="n">
        <f aca="false">ROUND(INDEX(Archetypes!$G$2:$G$127, MATCH(D1218, Archetypes!$A$2:$A$127, 0))*INDEX(Unit_Grades!$B$2:$B$7, MATCH(F1218, Unit_Grades!$A$2:$A$7, 0))*INDEX(Unit_Paths!$D$2:$D$4, MATCH(E1218, Unit_Paths!$A$2:$A$4, 0)),0)</f>
        <v>547</v>
      </c>
      <c r="K1218" s="6" t="n">
        <f aca="false">ROUND(INDEX(Archetypes!$H$2:$H$127, MATCH(D1218, Archetypes!$A$2:$A$127, 0))*INDEX(Unit_Paths!$E$2:$E$4, MATCH(E1218, Unit_Paths!$A$2:$A$4, 0)),1)</f>
        <v>94.5</v>
      </c>
      <c r="L1218" s="6" t="n">
        <f aca="false">ROUND(INDEX(Archetypes!$I$2:$I$127, MATCH(D1218, Archetypes!$A$2:$A$127, 0))*INDEX(Unit_Grades!$C$2:$C$7, MATCH(F1218, Unit_Grades!$A$2:$A$7, 0)),1)</f>
        <v>50.4</v>
      </c>
      <c r="M1218" s="6" t="n">
        <f aca="false">ROUND(INDEX(Archetypes!$J$2:$J$127, MATCH(D1218, Archetypes!$A$2:$A$127, 0))*INDEX(Unit_Grades!$D$2:$D$7, MATCH(F1218, Unit_Grades!$A$2:$A$7, 0)),1)</f>
        <v>51.2</v>
      </c>
      <c r="N1218" s="6" t="n">
        <f aca="false">ROUND(M1218/24,2)</f>
        <v>2.13</v>
      </c>
    </row>
    <row r="1219" customFormat="false" ht="15" hidden="false" customHeight="true" outlineLevel="0" collapsed="false">
      <c r="A1219" s="6" t="n">
        <v>4</v>
      </c>
      <c r="B1219" s="6" t="s">
        <v>2719</v>
      </c>
      <c r="C1219" s="6" t="s">
        <v>1405</v>
      </c>
      <c r="D1219" s="6" t="str">
        <f aca="false">A1219&amp;"|"&amp;C1219</f>
        <v>4|Fighter</v>
      </c>
      <c r="E1219" s="6" t="s">
        <v>1558</v>
      </c>
      <c r="F1219" s="6" t="s">
        <v>1548</v>
      </c>
      <c r="G1219" s="6" t="str">
        <f aca="false">INDEX(Archetypes!$D$2:$D$127, MATCH(D1219, Archetypes!$A$2:$A$127, 0))</f>
        <v>Air Superiority</v>
      </c>
      <c r="H1219" s="6" t="n">
        <f aca="false">ROUND(INDEX(Archetypes!$E$2:$E$127, MATCH(D1219, Archetypes!$A$2:$A$127, 0))*INDEX(Unit_Grades!$B$2:$B$7, MATCH(F1219, Unit_Grades!$A$2:$A$7, 0))*INDEX(Unit_Paths!$B$2:$B$4, MATCH(E1219, Unit_Paths!$A$2:$A$4, 0)),1)</f>
        <v>655.2</v>
      </c>
      <c r="I1219" s="6" t="n">
        <f aca="false">ROUND(INDEX(Archetypes!$F$2:$F$127, MATCH(D1219, Archetypes!$A$2:$A$127, 0))*INDEX(Unit_Grades!$B$2:$B$7, MATCH(F1219, Unit_Grades!$A$2:$A$7, 0))*INDEX(Unit_Paths!$C$2:$C$4, MATCH(E1219, Unit_Paths!$A$2:$A$4, 0)),1)</f>
        <v>178.5</v>
      </c>
      <c r="J1219" s="6" t="n">
        <f aca="false">ROUND(INDEX(Archetypes!$G$2:$G$127, MATCH(D1219, Archetypes!$A$2:$A$127, 0))*INDEX(Unit_Grades!$B$2:$B$7, MATCH(F1219, Unit_Grades!$A$2:$A$7, 0))*INDEX(Unit_Paths!$D$2:$D$4, MATCH(E1219, Unit_Paths!$A$2:$A$4, 0)),0)</f>
        <v>718</v>
      </c>
      <c r="K1219" s="6" t="n">
        <f aca="false">ROUND(INDEX(Archetypes!$H$2:$H$127, MATCH(D1219, Archetypes!$A$2:$A$127, 0))*INDEX(Unit_Paths!$E$2:$E$4, MATCH(E1219, Unit_Paths!$A$2:$A$4, 0)),1)</f>
        <v>94.5</v>
      </c>
      <c r="L1219" s="6" t="n">
        <f aca="false">ROUND(INDEX(Archetypes!$I$2:$I$127, MATCH(D1219, Archetypes!$A$2:$A$127, 0))*INDEX(Unit_Grades!$C$2:$C$7, MATCH(F1219, Unit_Grades!$A$2:$A$7, 0)),1)</f>
        <v>66.6</v>
      </c>
      <c r="M1219" s="6" t="n">
        <f aca="false">ROUND(INDEX(Archetypes!$J$2:$J$127, MATCH(D1219, Archetypes!$A$2:$A$127, 0))*INDEX(Unit_Grades!$D$2:$D$7, MATCH(F1219, Unit_Grades!$A$2:$A$7, 0)),1)</f>
        <v>87.7</v>
      </c>
      <c r="N1219" s="6" t="n">
        <f aca="false">ROUND(M1219/24,2)</f>
        <v>3.65</v>
      </c>
    </row>
    <row r="1220" customFormat="false" ht="15" hidden="false" customHeight="true" outlineLevel="0" collapsed="false">
      <c r="A1220" s="6" t="n">
        <v>4</v>
      </c>
      <c r="B1220" s="6" t="s">
        <v>2720</v>
      </c>
      <c r="C1220" s="6" t="s">
        <v>1405</v>
      </c>
      <c r="D1220" s="6" t="str">
        <f aca="false">A1220&amp;"|"&amp;C1220</f>
        <v>4|Fighter</v>
      </c>
      <c r="E1220" s="6" t="s">
        <v>1560</v>
      </c>
      <c r="F1220" s="6" t="s">
        <v>1538</v>
      </c>
      <c r="G1220" s="6" t="str">
        <f aca="false">INDEX(Archetypes!$D$2:$D$127, MATCH(D1220, Archetypes!$A$2:$A$127, 0))</f>
        <v>Air Superiority</v>
      </c>
      <c r="H1220" s="6" t="n">
        <f aca="false">ROUND(INDEX(Archetypes!$E$2:$E$127, MATCH(D1220, Archetypes!$A$2:$A$127, 0))*INDEX(Unit_Grades!$B$2:$B$7, MATCH(F1220, Unit_Grades!$A$2:$A$7, 0))*INDEX(Unit_Paths!$B$2:$B$4, MATCH(E1220, Unit_Paths!$A$2:$A$4, 0)),1)</f>
        <v>110.5</v>
      </c>
      <c r="I1220" s="6" t="n">
        <f aca="false">ROUND(INDEX(Archetypes!$F$2:$F$127, MATCH(D1220, Archetypes!$A$2:$A$127, 0))*INDEX(Unit_Grades!$B$2:$B$7, MATCH(F1220, Unit_Grades!$A$2:$A$7, 0))*INDEX(Unit_Paths!$C$2:$C$4, MATCH(E1220, Unit_Paths!$A$2:$A$4, 0)),1)</f>
        <v>62.5</v>
      </c>
      <c r="J1220" s="6" t="n">
        <f aca="false">ROUND(INDEX(Archetypes!$G$2:$G$127, MATCH(D1220, Archetypes!$A$2:$A$127, 0))*INDEX(Unit_Grades!$B$2:$B$7, MATCH(F1220, Unit_Grades!$A$2:$A$7, 0))*INDEX(Unit_Paths!$D$2:$D$4, MATCH(E1220, Unit_Paths!$A$2:$A$4, 0)),0)</f>
        <v>207</v>
      </c>
      <c r="K1220" s="6" t="n">
        <f aca="false">ROUND(INDEX(Archetypes!$H$2:$H$127, MATCH(D1220, Archetypes!$A$2:$A$127, 0))*INDEX(Unit_Paths!$E$2:$E$4, MATCH(E1220, Unit_Paths!$A$2:$A$4, 0)),1)</f>
        <v>82.8</v>
      </c>
      <c r="L1220" s="6" t="n">
        <f aca="false">ROUND(INDEX(Archetypes!$I$2:$I$127, MATCH(D1220, Archetypes!$A$2:$A$127, 0))*INDEX(Unit_Grades!$C$2:$C$7, MATCH(F1220, Unit_Grades!$A$2:$A$7, 0)),1)</f>
        <v>18</v>
      </c>
      <c r="M1220" s="6" t="n">
        <f aca="false">ROUND(INDEX(Archetypes!$J$2:$J$127, MATCH(D1220, Archetypes!$A$2:$A$127, 0))*INDEX(Unit_Grades!$D$2:$D$7, MATCH(F1220, Unit_Grades!$A$2:$A$7, 0)),1)</f>
        <v>7.3</v>
      </c>
      <c r="N1220" s="6" t="n">
        <f aca="false">ROUND(M1220/24,2)</f>
        <v>0.3</v>
      </c>
    </row>
    <row r="1221" customFormat="false" ht="15" hidden="false" customHeight="true" outlineLevel="0" collapsed="false">
      <c r="A1221" s="6" t="n">
        <v>4</v>
      </c>
      <c r="B1221" s="6" t="s">
        <v>2721</v>
      </c>
      <c r="C1221" s="6" t="s">
        <v>1405</v>
      </c>
      <c r="D1221" s="6" t="str">
        <f aca="false">A1221&amp;"|"&amp;C1221</f>
        <v>4|Fighter</v>
      </c>
      <c r="E1221" s="6" t="s">
        <v>1560</v>
      </c>
      <c r="F1221" s="6" t="s">
        <v>1540</v>
      </c>
      <c r="G1221" s="6" t="str">
        <f aca="false">INDEX(Archetypes!$D$2:$D$127, MATCH(D1221, Archetypes!$A$2:$A$127, 0))</f>
        <v>Air Superiority</v>
      </c>
      <c r="H1221" s="6" t="n">
        <f aca="false">ROUND(INDEX(Archetypes!$E$2:$E$127, MATCH(D1221, Archetypes!$A$2:$A$127, 0))*INDEX(Unit_Grades!$B$2:$B$7, MATCH(F1221, Unit_Grades!$A$2:$A$7, 0))*INDEX(Unit_Paths!$B$2:$B$4, MATCH(E1221, Unit_Paths!$A$2:$A$4, 0)),1)</f>
        <v>149.2</v>
      </c>
      <c r="I1221" s="6" t="n">
        <f aca="false">ROUND(INDEX(Archetypes!$F$2:$F$127, MATCH(D1221, Archetypes!$A$2:$A$127, 0))*INDEX(Unit_Grades!$B$2:$B$7, MATCH(F1221, Unit_Grades!$A$2:$A$7, 0))*INDEX(Unit_Paths!$C$2:$C$4, MATCH(E1221, Unit_Paths!$A$2:$A$4, 0)),1)</f>
        <v>84.4</v>
      </c>
      <c r="J1221" s="6" t="n">
        <f aca="false">ROUND(INDEX(Archetypes!$G$2:$G$127, MATCH(D1221, Archetypes!$A$2:$A$127, 0))*INDEX(Unit_Grades!$B$2:$B$7, MATCH(F1221, Unit_Grades!$A$2:$A$7, 0))*INDEX(Unit_Paths!$D$2:$D$4, MATCH(E1221, Unit_Paths!$A$2:$A$4, 0)),0)</f>
        <v>279</v>
      </c>
      <c r="K1221" s="6" t="n">
        <f aca="false">ROUND(INDEX(Archetypes!$H$2:$H$127, MATCH(D1221, Archetypes!$A$2:$A$127, 0))*INDEX(Unit_Paths!$E$2:$E$4, MATCH(E1221, Unit_Paths!$A$2:$A$4, 0)),1)</f>
        <v>82.8</v>
      </c>
      <c r="L1221" s="6" t="n">
        <f aca="false">ROUND(INDEX(Archetypes!$I$2:$I$127, MATCH(D1221, Archetypes!$A$2:$A$127, 0))*INDEX(Unit_Grades!$C$2:$C$7, MATCH(F1221, Unit_Grades!$A$2:$A$7, 0)),1)</f>
        <v>22.5</v>
      </c>
      <c r="M1221" s="6" t="n">
        <f aca="false">ROUND(INDEX(Archetypes!$J$2:$J$127, MATCH(D1221, Archetypes!$A$2:$A$127, 0))*INDEX(Unit_Grades!$D$2:$D$7, MATCH(F1221, Unit_Grades!$A$2:$A$7, 0)),1)</f>
        <v>11</v>
      </c>
      <c r="N1221" s="6" t="n">
        <f aca="false">ROUND(M1221/24,2)</f>
        <v>0.46</v>
      </c>
    </row>
    <row r="1222" customFormat="false" ht="15" hidden="false" customHeight="true" outlineLevel="0" collapsed="false">
      <c r="A1222" s="6" t="n">
        <v>4</v>
      </c>
      <c r="B1222" s="6" t="s">
        <v>2722</v>
      </c>
      <c r="C1222" s="6" t="s">
        <v>1405</v>
      </c>
      <c r="D1222" s="6" t="str">
        <f aca="false">A1222&amp;"|"&amp;C1222</f>
        <v>4|Fighter</v>
      </c>
      <c r="E1222" s="6" t="s">
        <v>1560</v>
      </c>
      <c r="F1222" s="6" t="s">
        <v>1542</v>
      </c>
      <c r="G1222" s="6" t="str">
        <f aca="false">INDEX(Archetypes!$D$2:$D$127, MATCH(D1222, Archetypes!$A$2:$A$127, 0))</f>
        <v>Air Superiority</v>
      </c>
      <c r="H1222" s="6" t="n">
        <f aca="false">ROUND(INDEX(Archetypes!$E$2:$E$127, MATCH(D1222, Archetypes!$A$2:$A$127, 0))*INDEX(Unit_Grades!$B$2:$B$7, MATCH(F1222, Unit_Grades!$A$2:$A$7, 0))*INDEX(Unit_Paths!$B$2:$B$4, MATCH(E1222, Unit_Paths!$A$2:$A$4, 0)),1)</f>
        <v>198.9</v>
      </c>
      <c r="I1222" s="6" t="n">
        <f aca="false">ROUND(INDEX(Archetypes!$F$2:$F$127, MATCH(D1222, Archetypes!$A$2:$A$127, 0))*INDEX(Unit_Grades!$B$2:$B$7, MATCH(F1222, Unit_Grades!$A$2:$A$7, 0))*INDEX(Unit_Paths!$C$2:$C$4, MATCH(E1222, Unit_Paths!$A$2:$A$4, 0)),1)</f>
        <v>112.5</v>
      </c>
      <c r="J1222" s="6" t="n">
        <f aca="false">ROUND(INDEX(Archetypes!$G$2:$G$127, MATCH(D1222, Archetypes!$A$2:$A$127, 0))*INDEX(Unit_Grades!$B$2:$B$7, MATCH(F1222, Unit_Grades!$A$2:$A$7, 0))*INDEX(Unit_Paths!$D$2:$D$4, MATCH(E1222, Unit_Paths!$A$2:$A$4, 0)),0)</f>
        <v>373</v>
      </c>
      <c r="K1222" s="6" t="n">
        <f aca="false">ROUND(INDEX(Archetypes!$H$2:$H$127, MATCH(D1222, Archetypes!$A$2:$A$127, 0))*INDEX(Unit_Paths!$E$2:$E$4, MATCH(E1222, Unit_Paths!$A$2:$A$4, 0)),1)</f>
        <v>82.8</v>
      </c>
      <c r="L1222" s="6" t="n">
        <f aca="false">ROUND(INDEX(Archetypes!$I$2:$I$127, MATCH(D1222, Archetypes!$A$2:$A$127, 0))*INDEX(Unit_Grades!$C$2:$C$7, MATCH(F1222, Unit_Grades!$A$2:$A$7, 0)),1)</f>
        <v>28.8</v>
      </c>
      <c r="M1222" s="6" t="n">
        <f aca="false">ROUND(INDEX(Archetypes!$J$2:$J$127, MATCH(D1222, Archetypes!$A$2:$A$127, 0))*INDEX(Unit_Grades!$D$2:$D$7, MATCH(F1222, Unit_Grades!$A$2:$A$7, 0)),1)</f>
        <v>18.3</v>
      </c>
      <c r="N1222" s="6" t="n">
        <f aca="false">ROUND(M1222/24,2)</f>
        <v>0.76</v>
      </c>
    </row>
    <row r="1223" customFormat="false" ht="15" hidden="false" customHeight="true" outlineLevel="0" collapsed="false">
      <c r="A1223" s="6" t="n">
        <v>4</v>
      </c>
      <c r="B1223" s="6" t="s">
        <v>2723</v>
      </c>
      <c r="C1223" s="6" t="s">
        <v>1405</v>
      </c>
      <c r="D1223" s="6" t="str">
        <f aca="false">A1223&amp;"|"&amp;C1223</f>
        <v>4|Fighter</v>
      </c>
      <c r="E1223" s="6" t="s">
        <v>1560</v>
      </c>
      <c r="F1223" s="6" t="s">
        <v>1544</v>
      </c>
      <c r="G1223" s="6" t="str">
        <f aca="false">INDEX(Archetypes!$D$2:$D$127, MATCH(D1223, Archetypes!$A$2:$A$127, 0))</f>
        <v>Air Superiority</v>
      </c>
      <c r="H1223" s="6" t="n">
        <f aca="false">ROUND(INDEX(Archetypes!$E$2:$E$127, MATCH(D1223, Archetypes!$A$2:$A$127, 0))*INDEX(Unit_Grades!$B$2:$B$7, MATCH(F1223, Unit_Grades!$A$2:$A$7, 0))*INDEX(Unit_Paths!$B$2:$B$4, MATCH(E1223, Unit_Paths!$A$2:$A$4, 0)),1)</f>
        <v>265.2</v>
      </c>
      <c r="I1223" s="6" t="n">
        <f aca="false">ROUND(INDEX(Archetypes!$F$2:$F$127, MATCH(D1223, Archetypes!$A$2:$A$127, 0))*INDEX(Unit_Grades!$B$2:$B$7, MATCH(F1223, Unit_Grades!$A$2:$A$7, 0))*INDEX(Unit_Paths!$C$2:$C$4, MATCH(E1223, Unit_Paths!$A$2:$A$4, 0)),1)</f>
        <v>150</v>
      </c>
      <c r="J1223" s="6" t="n">
        <f aca="false">ROUND(INDEX(Archetypes!$G$2:$G$127, MATCH(D1223, Archetypes!$A$2:$A$127, 0))*INDEX(Unit_Grades!$B$2:$B$7, MATCH(F1223, Unit_Grades!$A$2:$A$7, 0))*INDEX(Unit_Paths!$D$2:$D$4, MATCH(E1223, Unit_Paths!$A$2:$A$4, 0)),0)</f>
        <v>497</v>
      </c>
      <c r="K1223" s="6" t="n">
        <f aca="false">ROUND(INDEX(Archetypes!$H$2:$H$127, MATCH(D1223, Archetypes!$A$2:$A$127, 0))*INDEX(Unit_Paths!$E$2:$E$4, MATCH(E1223, Unit_Paths!$A$2:$A$4, 0)),1)</f>
        <v>82.8</v>
      </c>
      <c r="L1223" s="6" t="n">
        <f aca="false">ROUND(INDEX(Archetypes!$I$2:$I$127, MATCH(D1223, Archetypes!$A$2:$A$127, 0))*INDEX(Unit_Grades!$C$2:$C$7, MATCH(F1223, Unit_Grades!$A$2:$A$7, 0)),1)</f>
        <v>37.8</v>
      </c>
      <c r="M1223" s="6" t="n">
        <f aca="false">ROUND(INDEX(Archetypes!$J$2:$J$127, MATCH(D1223, Archetypes!$A$2:$A$127, 0))*INDEX(Unit_Grades!$D$2:$D$7, MATCH(F1223, Unit_Grades!$A$2:$A$7, 0)),1)</f>
        <v>29.2</v>
      </c>
      <c r="N1223" s="6" t="n">
        <f aca="false">ROUND(M1223/24,2)</f>
        <v>1.22</v>
      </c>
    </row>
    <row r="1224" customFormat="false" ht="15" hidden="false" customHeight="true" outlineLevel="0" collapsed="false">
      <c r="A1224" s="6" t="n">
        <v>4</v>
      </c>
      <c r="B1224" s="6" t="s">
        <v>2724</v>
      </c>
      <c r="C1224" s="6" t="s">
        <v>1405</v>
      </c>
      <c r="D1224" s="6" t="str">
        <f aca="false">A1224&amp;"|"&amp;C1224</f>
        <v>4|Fighter</v>
      </c>
      <c r="E1224" s="6" t="s">
        <v>1560</v>
      </c>
      <c r="F1224" s="6" t="s">
        <v>1546</v>
      </c>
      <c r="G1224" s="6" t="str">
        <f aca="false">INDEX(Archetypes!$D$2:$D$127, MATCH(D1224, Archetypes!$A$2:$A$127, 0))</f>
        <v>Air Superiority</v>
      </c>
      <c r="H1224" s="6" t="n">
        <f aca="false">ROUND(INDEX(Archetypes!$E$2:$E$127, MATCH(D1224, Archetypes!$A$2:$A$127, 0))*INDEX(Unit_Grades!$B$2:$B$7, MATCH(F1224, Unit_Grades!$A$2:$A$7, 0))*INDEX(Unit_Paths!$B$2:$B$4, MATCH(E1224, Unit_Paths!$A$2:$A$4, 0)),1)</f>
        <v>353.6</v>
      </c>
      <c r="I1224" s="6" t="n">
        <f aca="false">ROUND(INDEX(Archetypes!$F$2:$F$127, MATCH(D1224, Archetypes!$A$2:$A$127, 0))*INDEX(Unit_Grades!$B$2:$B$7, MATCH(F1224, Unit_Grades!$A$2:$A$7, 0))*INDEX(Unit_Paths!$C$2:$C$4, MATCH(E1224, Unit_Paths!$A$2:$A$4, 0)),1)</f>
        <v>200</v>
      </c>
      <c r="J1224" s="6" t="n">
        <f aca="false">ROUND(INDEX(Archetypes!$G$2:$G$127, MATCH(D1224, Archetypes!$A$2:$A$127, 0))*INDEX(Unit_Grades!$B$2:$B$7, MATCH(F1224, Unit_Grades!$A$2:$A$7, 0))*INDEX(Unit_Paths!$D$2:$D$4, MATCH(E1224, Unit_Paths!$A$2:$A$4, 0)),0)</f>
        <v>662</v>
      </c>
      <c r="K1224" s="6" t="n">
        <f aca="false">ROUND(INDEX(Archetypes!$H$2:$H$127, MATCH(D1224, Archetypes!$A$2:$A$127, 0))*INDEX(Unit_Paths!$E$2:$E$4, MATCH(E1224, Unit_Paths!$A$2:$A$4, 0)),1)</f>
        <v>82.8</v>
      </c>
      <c r="L1224" s="6" t="n">
        <f aca="false">ROUND(INDEX(Archetypes!$I$2:$I$127, MATCH(D1224, Archetypes!$A$2:$A$127, 0))*INDEX(Unit_Grades!$C$2:$C$7, MATCH(F1224, Unit_Grades!$A$2:$A$7, 0)),1)</f>
        <v>50.4</v>
      </c>
      <c r="M1224" s="6" t="n">
        <f aca="false">ROUND(INDEX(Archetypes!$J$2:$J$127, MATCH(D1224, Archetypes!$A$2:$A$127, 0))*INDEX(Unit_Grades!$D$2:$D$7, MATCH(F1224, Unit_Grades!$A$2:$A$7, 0)),1)</f>
        <v>51.2</v>
      </c>
      <c r="N1224" s="6" t="n">
        <f aca="false">ROUND(M1224/24,2)</f>
        <v>2.13</v>
      </c>
    </row>
    <row r="1225" customFormat="false" ht="15" hidden="false" customHeight="true" outlineLevel="0" collapsed="false">
      <c r="A1225" s="6" t="n">
        <v>4</v>
      </c>
      <c r="B1225" s="6" t="s">
        <v>2725</v>
      </c>
      <c r="C1225" s="6" t="s">
        <v>1405</v>
      </c>
      <c r="D1225" s="6" t="str">
        <f aca="false">A1225&amp;"|"&amp;C1225</f>
        <v>4|Fighter</v>
      </c>
      <c r="E1225" s="6" t="s">
        <v>1560</v>
      </c>
      <c r="F1225" s="6" t="s">
        <v>1548</v>
      </c>
      <c r="G1225" s="6" t="str">
        <f aca="false">INDEX(Archetypes!$D$2:$D$127, MATCH(D1225, Archetypes!$A$2:$A$127, 0))</f>
        <v>Air Superiority</v>
      </c>
      <c r="H1225" s="6" t="n">
        <f aca="false">ROUND(INDEX(Archetypes!$E$2:$E$127, MATCH(D1225, Archetypes!$A$2:$A$127, 0))*INDEX(Unit_Grades!$B$2:$B$7, MATCH(F1225, Unit_Grades!$A$2:$A$7, 0))*INDEX(Unit_Paths!$B$2:$B$4, MATCH(E1225, Unit_Paths!$A$2:$A$4, 0)),1)</f>
        <v>464.1</v>
      </c>
      <c r="I1225" s="6" t="n">
        <f aca="false">ROUND(INDEX(Archetypes!$F$2:$F$127, MATCH(D1225, Archetypes!$A$2:$A$127, 0))*INDEX(Unit_Grades!$B$2:$B$7, MATCH(F1225, Unit_Grades!$A$2:$A$7, 0))*INDEX(Unit_Paths!$C$2:$C$4, MATCH(E1225, Unit_Paths!$A$2:$A$4, 0)),1)</f>
        <v>262.5</v>
      </c>
      <c r="J1225" s="6" t="n">
        <f aca="false">ROUND(INDEX(Archetypes!$G$2:$G$127, MATCH(D1225, Archetypes!$A$2:$A$127, 0))*INDEX(Unit_Grades!$B$2:$B$7, MATCH(F1225, Unit_Grades!$A$2:$A$7, 0))*INDEX(Unit_Paths!$D$2:$D$4, MATCH(E1225, Unit_Paths!$A$2:$A$4, 0)),0)</f>
        <v>869</v>
      </c>
      <c r="K1225" s="6" t="n">
        <f aca="false">ROUND(INDEX(Archetypes!$H$2:$H$127, MATCH(D1225, Archetypes!$A$2:$A$127, 0))*INDEX(Unit_Paths!$E$2:$E$4, MATCH(E1225, Unit_Paths!$A$2:$A$4, 0)),1)</f>
        <v>82.8</v>
      </c>
      <c r="L1225" s="6" t="n">
        <f aca="false">ROUND(INDEX(Archetypes!$I$2:$I$127, MATCH(D1225, Archetypes!$A$2:$A$127, 0))*INDEX(Unit_Grades!$C$2:$C$7, MATCH(F1225, Unit_Grades!$A$2:$A$7, 0)),1)</f>
        <v>66.6</v>
      </c>
      <c r="M1225" s="6" t="n">
        <f aca="false">ROUND(INDEX(Archetypes!$J$2:$J$127, MATCH(D1225, Archetypes!$A$2:$A$127, 0))*INDEX(Unit_Grades!$D$2:$D$7, MATCH(F1225, Unit_Grades!$A$2:$A$7, 0)),1)</f>
        <v>87.7</v>
      </c>
      <c r="N1225" s="6" t="n">
        <f aca="false">ROUND(M1225/24,2)</f>
        <v>3.65</v>
      </c>
    </row>
    <row r="1226" customFormat="false" ht="15" hidden="false" customHeight="true" outlineLevel="0" collapsed="false">
      <c r="A1226" s="6" t="n">
        <v>4</v>
      </c>
      <c r="B1226" s="6" t="s">
        <v>1408</v>
      </c>
      <c r="C1226" s="6" t="s">
        <v>1408</v>
      </c>
      <c r="D1226" s="6" t="str">
        <f aca="false">A1226&amp;"|"&amp;C1226</f>
        <v>4|Bomber</v>
      </c>
      <c r="E1226" s="6" t="s">
        <v>1556</v>
      </c>
      <c r="F1226" s="6" t="s">
        <v>1538</v>
      </c>
      <c r="G1226" s="6" t="str">
        <f aca="false">INDEX(Archetypes!$D$2:$D$127, MATCH(D1226, Archetypes!$A$2:$A$127, 0))</f>
        <v>Air Strike</v>
      </c>
      <c r="H1226" s="6" t="n">
        <f aca="false">ROUND(INDEX(Archetypes!$E$2:$E$127, MATCH(D1226, Archetypes!$A$2:$A$127, 0))*INDEX(Unit_Grades!$B$2:$B$7, MATCH(F1226, Unit_Grades!$A$2:$A$7, 0))*INDEX(Unit_Paths!$B$2:$B$4, MATCH(E1226, Unit_Paths!$A$2:$A$4, 0)),1)</f>
        <v>180</v>
      </c>
      <c r="I1226" s="6" t="n">
        <f aca="false">ROUND(INDEX(Archetypes!$F$2:$F$127, MATCH(D1226, Archetypes!$A$2:$A$127, 0))*INDEX(Unit_Grades!$B$2:$B$7, MATCH(F1226, Unit_Grades!$A$2:$A$7, 0))*INDEX(Unit_Paths!$C$2:$C$4, MATCH(E1226, Unit_Paths!$A$2:$A$4, 0)),1)</f>
        <v>40</v>
      </c>
      <c r="J1226" s="6" t="n">
        <f aca="false">ROUND(INDEX(Archetypes!$G$2:$G$127, MATCH(D1226, Archetypes!$A$2:$A$127, 0))*INDEX(Unit_Grades!$B$2:$B$7, MATCH(F1226, Unit_Grades!$A$2:$A$7, 0))*INDEX(Unit_Paths!$D$2:$D$4, MATCH(E1226, Unit_Paths!$A$2:$A$4, 0)),0)</f>
        <v>240</v>
      </c>
      <c r="K1226" s="6" t="n">
        <f aca="false">ROUND(INDEX(Archetypes!$H$2:$H$127, MATCH(D1226, Archetypes!$A$2:$A$127, 0))*INDEX(Unit_Paths!$E$2:$E$4, MATCH(E1226, Unit_Paths!$A$2:$A$4, 0)),1)</f>
        <v>70</v>
      </c>
      <c r="L1226" s="6" t="n">
        <f aca="false">ROUND(INDEX(Archetypes!$I$2:$I$127, MATCH(D1226, Archetypes!$A$2:$A$127, 0))*INDEX(Unit_Grades!$C$2:$C$7, MATCH(F1226, Unit_Grades!$A$2:$A$7, 0)),1)</f>
        <v>24</v>
      </c>
      <c r="M1226" s="6" t="n">
        <f aca="false">ROUND(INDEX(Archetypes!$J$2:$J$127, MATCH(D1226, Archetypes!$A$2:$A$127, 0))*INDEX(Unit_Grades!$D$2:$D$7, MATCH(F1226, Unit_Grades!$A$2:$A$7, 0)),1)</f>
        <v>9.7</v>
      </c>
      <c r="N1226" s="6" t="n">
        <f aca="false">ROUND(M1226/24,2)</f>
        <v>0.4</v>
      </c>
    </row>
    <row r="1227" customFormat="false" ht="15" hidden="false" customHeight="true" outlineLevel="0" collapsed="false">
      <c r="A1227" s="6" t="n">
        <v>4</v>
      </c>
      <c r="B1227" s="6" t="s">
        <v>2726</v>
      </c>
      <c r="C1227" s="6" t="s">
        <v>1408</v>
      </c>
      <c r="D1227" s="6" t="str">
        <f aca="false">A1227&amp;"|"&amp;C1227</f>
        <v>4|Bomber</v>
      </c>
      <c r="E1227" s="6" t="s">
        <v>1556</v>
      </c>
      <c r="F1227" s="6" t="s">
        <v>1540</v>
      </c>
      <c r="G1227" s="6" t="str">
        <f aca="false">INDEX(Archetypes!$D$2:$D$127, MATCH(D1227, Archetypes!$A$2:$A$127, 0))</f>
        <v>Air Strike</v>
      </c>
      <c r="H1227" s="6" t="n">
        <f aca="false">ROUND(INDEX(Archetypes!$E$2:$E$127, MATCH(D1227, Archetypes!$A$2:$A$127, 0))*INDEX(Unit_Grades!$B$2:$B$7, MATCH(F1227, Unit_Grades!$A$2:$A$7, 0))*INDEX(Unit_Paths!$B$2:$B$4, MATCH(E1227, Unit_Paths!$A$2:$A$4, 0)),1)</f>
        <v>243</v>
      </c>
      <c r="I1227" s="6" t="n">
        <f aca="false">ROUND(INDEX(Archetypes!$F$2:$F$127, MATCH(D1227, Archetypes!$A$2:$A$127, 0))*INDEX(Unit_Grades!$B$2:$B$7, MATCH(F1227, Unit_Grades!$A$2:$A$7, 0))*INDEX(Unit_Paths!$C$2:$C$4, MATCH(E1227, Unit_Paths!$A$2:$A$4, 0)),1)</f>
        <v>54</v>
      </c>
      <c r="J1227" s="6" t="n">
        <f aca="false">ROUND(INDEX(Archetypes!$G$2:$G$127, MATCH(D1227, Archetypes!$A$2:$A$127, 0))*INDEX(Unit_Grades!$B$2:$B$7, MATCH(F1227, Unit_Grades!$A$2:$A$7, 0))*INDEX(Unit_Paths!$D$2:$D$4, MATCH(E1227, Unit_Paths!$A$2:$A$4, 0)),0)</f>
        <v>324</v>
      </c>
      <c r="K1227" s="6" t="n">
        <f aca="false">ROUND(INDEX(Archetypes!$H$2:$H$127, MATCH(D1227, Archetypes!$A$2:$A$127, 0))*INDEX(Unit_Paths!$E$2:$E$4, MATCH(E1227, Unit_Paths!$A$2:$A$4, 0)),1)</f>
        <v>70</v>
      </c>
      <c r="L1227" s="6" t="n">
        <f aca="false">ROUND(INDEX(Archetypes!$I$2:$I$127, MATCH(D1227, Archetypes!$A$2:$A$127, 0))*INDEX(Unit_Grades!$C$2:$C$7, MATCH(F1227, Unit_Grades!$A$2:$A$7, 0)),1)</f>
        <v>30</v>
      </c>
      <c r="M1227" s="6" t="n">
        <f aca="false">ROUND(INDEX(Archetypes!$J$2:$J$127, MATCH(D1227, Archetypes!$A$2:$A$127, 0))*INDEX(Unit_Grades!$D$2:$D$7, MATCH(F1227, Unit_Grades!$A$2:$A$7, 0)),1)</f>
        <v>14.6</v>
      </c>
      <c r="N1227" s="6" t="n">
        <f aca="false">ROUND(M1227/24,2)</f>
        <v>0.61</v>
      </c>
    </row>
    <row r="1228" customFormat="false" ht="15" hidden="false" customHeight="true" outlineLevel="0" collapsed="false">
      <c r="A1228" s="6" t="n">
        <v>4</v>
      </c>
      <c r="B1228" s="6" t="s">
        <v>2727</v>
      </c>
      <c r="C1228" s="6" t="s">
        <v>1408</v>
      </c>
      <c r="D1228" s="6" t="str">
        <f aca="false">A1228&amp;"|"&amp;C1228</f>
        <v>4|Bomber</v>
      </c>
      <c r="E1228" s="6" t="s">
        <v>1556</v>
      </c>
      <c r="F1228" s="6" t="s">
        <v>1542</v>
      </c>
      <c r="G1228" s="6" t="str">
        <f aca="false">INDEX(Archetypes!$D$2:$D$127, MATCH(D1228, Archetypes!$A$2:$A$127, 0))</f>
        <v>Air Strike</v>
      </c>
      <c r="H1228" s="6" t="n">
        <f aca="false">ROUND(INDEX(Archetypes!$E$2:$E$127, MATCH(D1228, Archetypes!$A$2:$A$127, 0))*INDEX(Unit_Grades!$B$2:$B$7, MATCH(F1228, Unit_Grades!$A$2:$A$7, 0))*INDEX(Unit_Paths!$B$2:$B$4, MATCH(E1228, Unit_Paths!$A$2:$A$4, 0)),1)</f>
        <v>324</v>
      </c>
      <c r="I1228" s="6" t="n">
        <f aca="false">ROUND(INDEX(Archetypes!$F$2:$F$127, MATCH(D1228, Archetypes!$A$2:$A$127, 0))*INDEX(Unit_Grades!$B$2:$B$7, MATCH(F1228, Unit_Grades!$A$2:$A$7, 0))*INDEX(Unit_Paths!$C$2:$C$4, MATCH(E1228, Unit_Paths!$A$2:$A$4, 0)),1)</f>
        <v>72</v>
      </c>
      <c r="J1228" s="6" t="n">
        <f aca="false">ROUND(INDEX(Archetypes!$G$2:$G$127, MATCH(D1228, Archetypes!$A$2:$A$127, 0))*INDEX(Unit_Grades!$B$2:$B$7, MATCH(F1228, Unit_Grades!$A$2:$A$7, 0))*INDEX(Unit_Paths!$D$2:$D$4, MATCH(E1228, Unit_Paths!$A$2:$A$4, 0)),0)</f>
        <v>432</v>
      </c>
      <c r="K1228" s="6" t="n">
        <f aca="false">ROUND(INDEX(Archetypes!$H$2:$H$127, MATCH(D1228, Archetypes!$A$2:$A$127, 0))*INDEX(Unit_Paths!$E$2:$E$4, MATCH(E1228, Unit_Paths!$A$2:$A$4, 0)),1)</f>
        <v>70</v>
      </c>
      <c r="L1228" s="6" t="n">
        <f aca="false">ROUND(INDEX(Archetypes!$I$2:$I$127, MATCH(D1228, Archetypes!$A$2:$A$127, 0))*INDEX(Unit_Grades!$C$2:$C$7, MATCH(F1228, Unit_Grades!$A$2:$A$7, 0)),1)</f>
        <v>38.4</v>
      </c>
      <c r="M1228" s="6" t="n">
        <f aca="false">ROUND(INDEX(Archetypes!$J$2:$J$127, MATCH(D1228, Archetypes!$A$2:$A$127, 0))*INDEX(Unit_Grades!$D$2:$D$7, MATCH(F1228, Unit_Grades!$A$2:$A$7, 0)),1)</f>
        <v>24.4</v>
      </c>
      <c r="N1228" s="6" t="n">
        <f aca="false">ROUND(M1228/24,2)</f>
        <v>1.02</v>
      </c>
    </row>
    <row r="1229" customFormat="false" ht="15" hidden="false" customHeight="true" outlineLevel="0" collapsed="false">
      <c r="A1229" s="6" t="n">
        <v>4</v>
      </c>
      <c r="B1229" s="6" t="s">
        <v>2728</v>
      </c>
      <c r="C1229" s="6" t="s">
        <v>1408</v>
      </c>
      <c r="D1229" s="6" t="str">
        <f aca="false">A1229&amp;"|"&amp;C1229</f>
        <v>4|Bomber</v>
      </c>
      <c r="E1229" s="6" t="s">
        <v>1556</v>
      </c>
      <c r="F1229" s="6" t="s">
        <v>1544</v>
      </c>
      <c r="G1229" s="6" t="str">
        <f aca="false">INDEX(Archetypes!$D$2:$D$127, MATCH(D1229, Archetypes!$A$2:$A$127, 0))</f>
        <v>Air Strike</v>
      </c>
      <c r="H1229" s="6" t="n">
        <f aca="false">ROUND(INDEX(Archetypes!$E$2:$E$127, MATCH(D1229, Archetypes!$A$2:$A$127, 0))*INDEX(Unit_Grades!$B$2:$B$7, MATCH(F1229, Unit_Grades!$A$2:$A$7, 0))*INDEX(Unit_Paths!$B$2:$B$4, MATCH(E1229, Unit_Paths!$A$2:$A$4, 0)),1)</f>
        <v>432</v>
      </c>
      <c r="I1229" s="6" t="n">
        <f aca="false">ROUND(INDEX(Archetypes!$F$2:$F$127, MATCH(D1229, Archetypes!$A$2:$A$127, 0))*INDEX(Unit_Grades!$B$2:$B$7, MATCH(F1229, Unit_Grades!$A$2:$A$7, 0))*INDEX(Unit_Paths!$C$2:$C$4, MATCH(E1229, Unit_Paths!$A$2:$A$4, 0)),1)</f>
        <v>96</v>
      </c>
      <c r="J1229" s="6" t="n">
        <f aca="false">ROUND(INDEX(Archetypes!$G$2:$G$127, MATCH(D1229, Archetypes!$A$2:$A$127, 0))*INDEX(Unit_Grades!$B$2:$B$7, MATCH(F1229, Unit_Grades!$A$2:$A$7, 0))*INDEX(Unit_Paths!$D$2:$D$4, MATCH(E1229, Unit_Paths!$A$2:$A$4, 0)),0)</f>
        <v>576</v>
      </c>
      <c r="K1229" s="6" t="n">
        <f aca="false">ROUND(INDEX(Archetypes!$H$2:$H$127, MATCH(D1229, Archetypes!$A$2:$A$127, 0))*INDEX(Unit_Paths!$E$2:$E$4, MATCH(E1229, Unit_Paths!$A$2:$A$4, 0)),1)</f>
        <v>70</v>
      </c>
      <c r="L1229" s="6" t="n">
        <f aca="false">ROUND(INDEX(Archetypes!$I$2:$I$127, MATCH(D1229, Archetypes!$A$2:$A$127, 0))*INDEX(Unit_Grades!$C$2:$C$7, MATCH(F1229, Unit_Grades!$A$2:$A$7, 0)),1)</f>
        <v>50.4</v>
      </c>
      <c r="M1229" s="6" t="n">
        <f aca="false">ROUND(INDEX(Archetypes!$J$2:$J$127, MATCH(D1229, Archetypes!$A$2:$A$127, 0))*INDEX(Unit_Grades!$D$2:$D$7, MATCH(F1229, Unit_Grades!$A$2:$A$7, 0)),1)</f>
        <v>39</v>
      </c>
      <c r="N1229" s="6" t="n">
        <f aca="false">ROUND(M1229/24,2)</f>
        <v>1.63</v>
      </c>
    </row>
    <row r="1230" customFormat="false" ht="15" hidden="false" customHeight="true" outlineLevel="0" collapsed="false">
      <c r="A1230" s="6" t="n">
        <v>4</v>
      </c>
      <c r="B1230" s="6" t="s">
        <v>2729</v>
      </c>
      <c r="C1230" s="6" t="s">
        <v>1408</v>
      </c>
      <c r="D1230" s="6" t="str">
        <f aca="false">A1230&amp;"|"&amp;C1230</f>
        <v>4|Bomber</v>
      </c>
      <c r="E1230" s="6" t="s">
        <v>1556</v>
      </c>
      <c r="F1230" s="6" t="s">
        <v>1546</v>
      </c>
      <c r="G1230" s="6" t="str">
        <f aca="false">INDEX(Archetypes!$D$2:$D$127, MATCH(D1230, Archetypes!$A$2:$A$127, 0))</f>
        <v>Air Strike</v>
      </c>
      <c r="H1230" s="6" t="n">
        <f aca="false">ROUND(INDEX(Archetypes!$E$2:$E$127, MATCH(D1230, Archetypes!$A$2:$A$127, 0))*INDEX(Unit_Grades!$B$2:$B$7, MATCH(F1230, Unit_Grades!$A$2:$A$7, 0))*INDEX(Unit_Paths!$B$2:$B$4, MATCH(E1230, Unit_Paths!$A$2:$A$4, 0)),1)</f>
        <v>576</v>
      </c>
      <c r="I1230" s="6" t="n">
        <f aca="false">ROUND(INDEX(Archetypes!$F$2:$F$127, MATCH(D1230, Archetypes!$A$2:$A$127, 0))*INDEX(Unit_Grades!$B$2:$B$7, MATCH(F1230, Unit_Grades!$A$2:$A$7, 0))*INDEX(Unit_Paths!$C$2:$C$4, MATCH(E1230, Unit_Paths!$A$2:$A$4, 0)),1)</f>
        <v>128</v>
      </c>
      <c r="J1230" s="6" t="n">
        <f aca="false">ROUND(INDEX(Archetypes!$G$2:$G$127, MATCH(D1230, Archetypes!$A$2:$A$127, 0))*INDEX(Unit_Grades!$B$2:$B$7, MATCH(F1230, Unit_Grades!$A$2:$A$7, 0))*INDEX(Unit_Paths!$D$2:$D$4, MATCH(E1230, Unit_Paths!$A$2:$A$4, 0)),0)</f>
        <v>768</v>
      </c>
      <c r="K1230" s="6" t="n">
        <f aca="false">ROUND(INDEX(Archetypes!$H$2:$H$127, MATCH(D1230, Archetypes!$A$2:$A$127, 0))*INDEX(Unit_Paths!$E$2:$E$4, MATCH(E1230, Unit_Paths!$A$2:$A$4, 0)),1)</f>
        <v>70</v>
      </c>
      <c r="L1230" s="6" t="n">
        <f aca="false">ROUND(INDEX(Archetypes!$I$2:$I$127, MATCH(D1230, Archetypes!$A$2:$A$127, 0))*INDEX(Unit_Grades!$C$2:$C$7, MATCH(F1230, Unit_Grades!$A$2:$A$7, 0)),1)</f>
        <v>67.2</v>
      </c>
      <c r="M1230" s="6" t="n">
        <f aca="false">ROUND(INDEX(Archetypes!$J$2:$J$127, MATCH(D1230, Archetypes!$A$2:$A$127, 0))*INDEX(Unit_Grades!$D$2:$D$7, MATCH(F1230, Unit_Grades!$A$2:$A$7, 0)),1)</f>
        <v>68.2</v>
      </c>
      <c r="N1230" s="6" t="n">
        <f aca="false">ROUND(M1230/24,2)</f>
        <v>2.84</v>
      </c>
    </row>
    <row r="1231" customFormat="false" ht="15" hidden="false" customHeight="true" outlineLevel="0" collapsed="false">
      <c r="A1231" s="6" t="n">
        <v>4</v>
      </c>
      <c r="B1231" s="6" t="s">
        <v>2730</v>
      </c>
      <c r="C1231" s="6" t="s">
        <v>1408</v>
      </c>
      <c r="D1231" s="6" t="str">
        <f aca="false">A1231&amp;"|"&amp;C1231</f>
        <v>4|Bomber</v>
      </c>
      <c r="E1231" s="6" t="s">
        <v>1556</v>
      </c>
      <c r="F1231" s="6" t="s">
        <v>1548</v>
      </c>
      <c r="G1231" s="6" t="str">
        <f aca="false">INDEX(Archetypes!$D$2:$D$127, MATCH(D1231, Archetypes!$A$2:$A$127, 0))</f>
        <v>Air Strike</v>
      </c>
      <c r="H1231" s="6" t="n">
        <f aca="false">ROUND(INDEX(Archetypes!$E$2:$E$127, MATCH(D1231, Archetypes!$A$2:$A$127, 0))*INDEX(Unit_Grades!$B$2:$B$7, MATCH(F1231, Unit_Grades!$A$2:$A$7, 0))*INDEX(Unit_Paths!$B$2:$B$4, MATCH(E1231, Unit_Paths!$A$2:$A$4, 0)),1)</f>
        <v>756</v>
      </c>
      <c r="I1231" s="6" t="n">
        <f aca="false">ROUND(INDEX(Archetypes!$F$2:$F$127, MATCH(D1231, Archetypes!$A$2:$A$127, 0))*INDEX(Unit_Grades!$B$2:$B$7, MATCH(F1231, Unit_Grades!$A$2:$A$7, 0))*INDEX(Unit_Paths!$C$2:$C$4, MATCH(E1231, Unit_Paths!$A$2:$A$4, 0)),1)</f>
        <v>168</v>
      </c>
      <c r="J1231" s="6" t="n">
        <f aca="false">ROUND(INDEX(Archetypes!$G$2:$G$127, MATCH(D1231, Archetypes!$A$2:$A$127, 0))*INDEX(Unit_Grades!$B$2:$B$7, MATCH(F1231, Unit_Grades!$A$2:$A$7, 0))*INDEX(Unit_Paths!$D$2:$D$4, MATCH(E1231, Unit_Paths!$A$2:$A$4, 0)),0)</f>
        <v>1008</v>
      </c>
      <c r="K1231" s="6" t="n">
        <f aca="false">ROUND(INDEX(Archetypes!$H$2:$H$127, MATCH(D1231, Archetypes!$A$2:$A$127, 0))*INDEX(Unit_Paths!$E$2:$E$4, MATCH(E1231, Unit_Paths!$A$2:$A$4, 0)),1)</f>
        <v>70</v>
      </c>
      <c r="L1231" s="6" t="n">
        <f aca="false">ROUND(INDEX(Archetypes!$I$2:$I$127, MATCH(D1231, Archetypes!$A$2:$A$127, 0))*INDEX(Unit_Grades!$C$2:$C$7, MATCH(F1231, Unit_Grades!$A$2:$A$7, 0)),1)</f>
        <v>88.8</v>
      </c>
      <c r="M1231" s="6" t="n">
        <f aca="false">ROUND(INDEX(Archetypes!$J$2:$J$127, MATCH(D1231, Archetypes!$A$2:$A$127, 0))*INDEX(Unit_Grades!$D$2:$D$7, MATCH(F1231, Unit_Grades!$A$2:$A$7, 0)),1)</f>
        <v>116.9</v>
      </c>
      <c r="N1231" s="6" t="n">
        <f aca="false">ROUND(M1231/24,2)</f>
        <v>4.87</v>
      </c>
    </row>
    <row r="1232" customFormat="false" ht="15" hidden="false" customHeight="true" outlineLevel="0" collapsed="false">
      <c r="A1232" s="6" t="n">
        <v>4</v>
      </c>
      <c r="B1232" s="6" t="s">
        <v>2731</v>
      </c>
      <c r="C1232" s="6" t="s">
        <v>1408</v>
      </c>
      <c r="D1232" s="6" t="str">
        <f aca="false">A1232&amp;"|"&amp;C1232</f>
        <v>4|Bomber</v>
      </c>
      <c r="E1232" s="6" t="s">
        <v>1558</v>
      </c>
      <c r="F1232" s="6" t="s">
        <v>1538</v>
      </c>
      <c r="G1232" s="6" t="str">
        <f aca="false">INDEX(Archetypes!$D$2:$D$127, MATCH(D1232, Archetypes!$A$2:$A$127, 0))</f>
        <v>Air Strike</v>
      </c>
      <c r="H1232" s="6" t="n">
        <f aca="false">ROUND(INDEX(Archetypes!$E$2:$E$127, MATCH(D1232, Archetypes!$A$2:$A$127, 0))*INDEX(Unit_Grades!$B$2:$B$7, MATCH(F1232, Unit_Grades!$A$2:$A$7, 0))*INDEX(Unit_Paths!$B$2:$B$4, MATCH(E1232, Unit_Paths!$A$2:$A$4, 0)),1)</f>
        <v>216</v>
      </c>
      <c r="I1232" s="6" t="n">
        <f aca="false">ROUND(INDEX(Archetypes!$F$2:$F$127, MATCH(D1232, Archetypes!$A$2:$A$127, 0))*INDEX(Unit_Grades!$B$2:$B$7, MATCH(F1232, Unit_Grades!$A$2:$A$7, 0))*INDEX(Unit_Paths!$C$2:$C$4, MATCH(E1232, Unit_Paths!$A$2:$A$4, 0)),1)</f>
        <v>34</v>
      </c>
      <c r="J1232" s="6" t="n">
        <f aca="false">ROUND(INDEX(Archetypes!$G$2:$G$127, MATCH(D1232, Archetypes!$A$2:$A$127, 0))*INDEX(Unit_Grades!$B$2:$B$7, MATCH(F1232, Unit_Grades!$A$2:$A$7, 0))*INDEX(Unit_Paths!$D$2:$D$4, MATCH(E1232, Unit_Paths!$A$2:$A$4, 0)),0)</f>
        <v>228</v>
      </c>
      <c r="K1232" s="6" t="n">
        <f aca="false">ROUND(INDEX(Archetypes!$H$2:$H$127, MATCH(D1232, Archetypes!$A$2:$A$127, 0))*INDEX(Unit_Paths!$E$2:$E$4, MATCH(E1232, Unit_Paths!$A$2:$A$4, 0)),1)</f>
        <v>73.5</v>
      </c>
      <c r="L1232" s="6" t="n">
        <f aca="false">ROUND(INDEX(Archetypes!$I$2:$I$127, MATCH(D1232, Archetypes!$A$2:$A$127, 0))*INDEX(Unit_Grades!$C$2:$C$7, MATCH(F1232, Unit_Grades!$A$2:$A$7, 0)),1)</f>
        <v>24</v>
      </c>
      <c r="M1232" s="6" t="n">
        <f aca="false">ROUND(INDEX(Archetypes!$J$2:$J$127, MATCH(D1232, Archetypes!$A$2:$A$127, 0))*INDEX(Unit_Grades!$D$2:$D$7, MATCH(F1232, Unit_Grades!$A$2:$A$7, 0)),1)</f>
        <v>9.7</v>
      </c>
      <c r="N1232" s="6" t="n">
        <f aca="false">ROUND(M1232/24,2)</f>
        <v>0.4</v>
      </c>
    </row>
    <row r="1233" customFormat="false" ht="15" hidden="false" customHeight="true" outlineLevel="0" collapsed="false">
      <c r="A1233" s="6" t="n">
        <v>4</v>
      </c>
      <c r="B1233" s="6" t="s">
        <v>2732</v>
      </c>
      <c r="C1233" s="6" t="s">
        <v>1408</v>
      </c>
      <c r="D1233" s="6" t="str">
        <f aca="false">A1233&amp;"|"&amp;C1233</f>
        <v>4|Bomber</v>
      </c>
      <c r="E1233" s="6" t="s">
        <v>1558</v>
      </c>
      <c r="F1233" s="6" t="s">
        <v>1540</v>
      </c>
      <c r="G1233" s="6" t="str">
        <f aca="false">INDEX(Archetypes!$D$2:$D$127, MATCH(D1233, Archetypes!$A$2:$A$127, 0))</f>
        <v>Air Strike</v>
      </c>
      <c r="H1233" s="6" t="n">
        <f aca="false">ROUND(INDEX(Archetypes!$E$2:$E$127, MATCH(D1233, Archetypes!$A$2:$A$127, 0))*INDEX(Unit_Grades!$B$2:$B$7, MATCH(F1233, Unit_Grades!$A$2:$A$7, 0))*INDEX(Unit_Paths!$B$2:$B$4, MATCH(E1233, Unit_Paths!$A$2:$A$4, 0)),1)</f>
        <v>291.6</v>
      </c>
      <c r="I1233" s="6" t="n">
        <f aca="false">ROUND(INDEX(Archetypes!$F$2:$F$127, MATCH(D1233, Archetypes!$A$2:$A$127, 0))*INDEX(Unit_Grades!$B$2:$B$7, MATCH(F1233, Unit_Grades!$A$2:$A$7, 0))*INDEX(Unit_Paths!$C$2:$C$4, MATCH(E1233, Unit_Paths!$A$2:$A$4, 0)),1)</f>
        <v>45.9</v>
      </c>
      <c r="J1233" s="6" t="n">
        <f aca="false">ROUND(INDEX(Archetypes!$G$2:$G$127, MATCH(D1233, Archetypes!$A$2:$A$127, 0))*INDEX(Unit_Grades!$B$2:$B$7, MATCH(F1233, Unit_Grades!$A$2:$A$7, 0))*INDEX(Unit_Paths!$D$2:$D$4, MATCH(E1233, Unit_Paths!$A$2:$A$4, 0)),0)</f>
        <v>308</v>
      </c>
      <c r="K1233" s="6" t="n">
        <f aca="false">ROUND(INDEX(Archetypes!$H$2:$H$127, MATCH(D1233, Archetypes!$A$2:$A$127, 0))*INDEX(Unit_Paths!$E$2:$E$4, MATCH(E1233, Unit_Paths!$A$2:$A$4, 0)),1)</f>
        <v>73.5</v>
      </c>
      <c r="L1233" s="6" t="n">
        <f aca="false">ROUND(INDEX(Archetypes!$I$2:$I$127, MATCH(D1233, Archetypes!$A$2:$A$127, 0))*INDEX(Unit_Grades!$C$2:$C$7, MATCH(F1233, Unit_Grades!$A$2:$A$7, 0)),1)</f>
        <v>30</v>
      </c>
      <c r="M1233" s="6" t="n">
        <f aca="false">ROUND(INDEX(Archetypes!$J$2:$J$127, MATCH(D1233, Archetypes!$A$2:$A$127, 0))*INDEX(Unit_Grades!$D$2:$D$7, MATCH(F1233, Unit_Grades!$A$2:$A$7, 0)),1)</f>
        <v>14.6</v>
      </c>
      <c r="N1233" s="6" t="n">
        <f aca="false">ROUND(M1233/24,2)</f>
        <v>0.61</v>
      </c>
    </row>
    <row r="1234" customFormat="false" ht="15" hidden="false" customHeight="true" outlineLevel="0" collapsed="false">
      <c r="A1234" s="6" t="n">
        <v>4</v>
      </c>
      <c r="B1234" s="6" t="s">
        <v>2733</v>
      </c>
      <c r="C1234" s="6" t="s">
        <v>1408</v>
      </c>
      <c r="D1234" s="6" t="str">
        <f aca="false">A1234&amp;"|"&amp;C1234</f>
        <v>4|Bomber</v>
      </c>
      <c r="E1234" s="6" t="s">
        <v>1558</v>
      </c>
      <c r="F1234" s="6" t="s">
        <v>1542</v>
      </c>
      <c r="G1234" s="6" t="str">
        <f aca="false">INDEX(Archetypes!$D$2:$D$127, MATCH(D1234, Archetypes!$A$2:$A$127, 0))</f>
        <v>Air Strike</v>
      </c>
      <c r="H1234" s="6" t="n">
        <f aca="false">ROUND(INDEX(Archetypes!$E$2:$E$127, MATCH(D1234, Archetypes!$A$2:$A$127, 0))*INDEX(Unit_Grades!$B$2:$B$7, MATCH(F1234, Unit_Grades!$A$2:$A$7, 0))*INDEX(Unit_Paths!$B$2:$B$4, MATCH(E1234, Unit_Paths!$A$2:$A$4, 0)),1)</f>
        <v>388.8</v>
      </c>
      <c r="I1234" s="6" t="n">
        <f aca="false">ROUND(INDEX(Archetypes!$F$2:$F$127, MATCH(D1234, Archetypes!$A$2:$A$127, 0))*INDEX(Unit_Grades!$B$2:$B$7, MATCH(F1234, Unit_Grades!$A$2:$A$7, 0))*INDEX(Unit_Paths!$C$2:$C$4, MATCH(E1234, Unit_Paths!$A$2:$A$4, 0)),1)</f>
        <v>61.2</v>
      </c>
      <c r="J1234" s="6" t="n">
        <f aca="false">ROUND(INDEX(Archetypes!$G$2:$G$127, MATCH(D1234, Archetypes!$A$2:$A$127, 0))*INDEX(Unit_Grades!$B$2:$B$7, MATCH(F1234, Unit_Grades!$A$2:$A$7, 0))*INDEX(Unit_Paths!$D$2:$D$4, MATCH(E1234, Unit_Paths!$A$2:$A$4, 0)),0)</f>
        <v>410</v>
      </c>
      <c r="K1234" s="6" t="n">
        <f aca="false">ROUND(INDEX(Archetypes!$H$2:$H$127, MATCH(D1234, Archetypes!$A$2:$A$127, 0))*INDEX(Unit_Paths!$E$2:$E$4, MATCH(E1234, Unit_Paths!$A$2:$A$4, 0)),1)</f>
        <v>73.5</v>
      </c>
      <c r="L1234" s="6" t="n">
        <f aca="false">ROUND(INDEX(Archetypes!$I$2:$I$127, MATCH(D1234, Archetypes!$A$2:$A$127, 0))*INDEX(Unit_Grades!$C$2:$C$7, MATCH(F1234, Unit_Grades!$A$2:$A$7, 0)),1)</f>
        <v>38.4</v>
      </c>
      <c r="M1234" s="6" t="n">
        <f aca="false">ROUND(INDEX(Archetypes!$J$2:$J$127, MATCH(D1234, Archetypes!$A$2:$A$127, 0))*INDEX(Unit_Grades!$D$2:$D$7, MATCH(F1234, Unit_Grades!$A$2:$A$7, 0)),1)</f>
        <v>24.4</v>
      </c>
      <c r="N1234" s="6" t="n">
        <f aca="false">ROUND(M1234/24,2)</f>
        <v>1.02</v>
      </c>
    </row>
    <row r="1235" customFormat="false" ht="15" hidden="false" customHeight="true" outlineLevel="0" collapsed="false">
      <c r="A1235" s="6" t="n">
        <v>4</v>
      </c>
      <c r="B1235" s="6" t="s">
        <v>2734</v>
      </c>
      <c r="C1235" s="6" t="s">
        <v>1408</v>
      </c>
      <c r="D1235" s="6" t="str">
        <f aca="false">A1235&amp;"|"&amp;C1235</f>
        <v>4|Bomber</v>
      </c>
      <c r="E1235" s="6" t="s">
        <v>1558</v>
      </c>
      <c r="F1235" s="6" t="s">
        <v>1544</v>
      </c>
      <c r="G1235" s="6" t="str">
        <f aca="false">INDEX(Archetypes!$D$2:$D$127, MATCH(D1235, Archetypes!$A$2:$A$127, 0))</f>
        <v>Air Strike</v>
      </c>
      <c r="H1235" s="6" t="n">
        <f aca="false">ROUND(INDEX(Archetypes!$E$2:$E$127, MATCH(D1235, Archetypes!$A$2:$A$127, 0))*INDEX(Unit_Grades!$B$2:$B$7, MATCH(F1235, Unit_Grades!$A$2:$A$7, 0))*INDEX(Unit_Paths!$B$2:$B$4, MATCH(E1235, Unit_Paths!$A$2:$A$4, 0)),1)</f>
        <v>518.4</v>
      </c>
      <c r="I1235" s="6" t="n">
        <f aca="false">ROUND(INDEX(Archetypes!$F$2:$F$127, MATCH(D1235, Archetypes!$A$2:$A$127, 0))*INDEX(Unit_Grades!$B$2:$B$7, MATCH(F1235, Unit_Grades!$A$2:$A$7, 0))*INDEX(Unit_Paths!$C$2:$C$4, MATCH(E1235, Unit_Paths!$A$2:$A$4, 0)),1)</f>
        <v>81.6</v>
      </c>
      <c r="J1235" s="6" t="n">
        <f aca="false">ROUND(INDEX(Archetypes!$G$2:$G$127, MATCH(D1235, Archetypes!$A$2:$A$127, 0))*INDEX(Unit_Grades!$B$2:$B$7, MATCH(F1235, Unit_Grades!$A$2:$A$7, 0))*INDEX(Unit_Paths!$D$2:$D$4, MATCH(E1235, Unit_Paths!$A$2:$A$4, 0)),0)</f>
        <v>547</v>
      </c>
      <c r="K1235" s="6" t="n">
        <f aca="false">ROUND(INDEX(Archetypes!$H$2:$H$127, MATCH(D1235, Archetypes!$A$2:$A$127, 0))*INDEX(Unit_Paths!$E$2:$E$4, MATCH(E1235, Unit_Paths!$A$2:$A$4, 0)),1)</f>
        <v>73.5</v>
      </c>
      <c r="L1235" s="6" t="n">
        <f aca="false">ROUND(INDEX(Archetypes!$I$2:$I$127, MATCH(D1235, Archetypes!$A$2:$A$127, 0))*INDEX(Unit_Grades!$C$2:$C$7, MATCH(F1235, Unit_Grades!$A$2:$A$7, 0)),1)</f>
        <v>50.4</v>
      </c>
      <c r="M1235" s="6" t="n">
        <f aca="false">ROUND(INDEX(Archetypes!$J$2:$J$127, MATCH(D1235, Archetypes!$A$2:$A$127, 0))*INDEX(Unit_Grades!$D$2:$D$7, MATCH(F1235, Unit_Grades!$A$2:$A$7, 0)),1)</f>
        <v>39</v>
      </c>
      <c r="N1235" s="6" t="n">
        <f aca="false">ROUND(M1235/24,2)</f>
        <v>1.63</v>
      </c>
    </row>
    <row r="1236" customFormat="false" ht="15" hidden="false" customHeight="true" outlineLevel="0" collapsed="false">
      <c r="A1236" s="6" t="n">
        <v>4</v>
      </c>
      <c r="B1236" s="6" t="s">
        <v>2735</v>
      </c>
      <c r="C1236" s="6" t="s">
        <v>1408</v>
      </c>
      <c r="D1236" s="6" t="str">
        <f aca="false">A1236&amp;"|"&amp;C1236</f>
        <v>4|Bomber</v>
      </c>
      <c r="E1236" s="6" t="s">
        <v>1558</v>
      </c>
      <c r="F1236" s="6" t="s">
        <v>1546</v>
      </c>
      <c r="G1236" s="6" t="str">
        <f aca="false">INDEX(Archetypes!$D$2:$D$127, MATCH(D1236, Archetypes!$A$2:$A$127, 0))</f>
        <v>Air Strike</v>
      </c>
      <c r="H1236" s="6" t="n">
        <f aca="false">ROUND(INDEX(Archetypes!$E$2:$E$127, MATCH(D1236, Archetypes!$A$2:$A$127, 0))*INDEX(Unit_Grades!$B$2:$B$7, MATCH(F1236, Unit_Grades!$A$2:$A$7, 0))*INDEX(Unit_Paths!$B$2:$B$4, MATCH(E1236, Unit_Paths!$A$2:$A$4, 0)),1)</f>
        <v>691.2</v>
      </c>
      <c r="I1236" s="6" t="n">
        <f aca="false">ROUND(INDEX(Archetypes!$F$2:$F$127, MATCH(D1236, Archetypes!$A$2:$A$127, 0))*INDEX(Unit_Grades!$B$2:$B$7, MATCH(F1236, Unit_Grades!$A$2:$A$7, 0))*INDEX(Unit_Paths!$C$2:$C$4, MATCH(E1236, Unit_Paths!$A$2:$A$4, 0)),1)</f>
        <v>108.8</v>
      </c>
      <c r="J1236" s="6" t="n">
        <f aca="false">ROUND(INDEX(Archetypes!$G$2:$G$127, MATCH(D1236, Archetypes!$A$2:$A$127, 0))*INDEX(Unit_Grades!$B$2:$B$7, MATCH(F1236, Unit_Grades!$A$2:$A$7, 0))*INDEX(Unit_Paths!$D$2:$D$4, MATCH(E1236, Unit_Paths!$A$2:$A$4, 0)),0)</f>
        <v>730</v>
      </c>
      <c r="K1236" s="6" t="n">
        <f aca="false">ROUND(INDEX(Archetypes!$H$2:$H$127, MATCH(D1236, Archetypes!$A$2:$A$127, 0))*INDEX(Unit_Paths!$E$2:$E$4, MATCH(E1236, Unit_Paths!$A$2:$A$4, 0)),1)</f>
        <v>73.5</v>
      </c>
      <c r="L1236" s="6" t="n">
        <f aca="false">ROUND(INDEX(Archetypes!$I$2:$I$127, MATCH(D1236, Archetypes!$A$2:$A$127, 0))*INDEX(Unit_Grades!$C$2:$C$7, MATCH(F1236, Unit_Grades!$A$2:$A$7, 0)),1)</f>
        <v>67.2</v>
      </c>
      <c r="M1236" s="6" t="n">
        <f aca="false">ROUND(INDEX(Archetypes!$J$2:$J$127, MATCH(D1236, Archetypes!$A$2:$A$127, 0))*INDEX(Unit_Grades!$D$2:$D$7, MATCH(F1236, Unit_Grades!$A$2:$A$7, 0)),1)</f>
        <v>68.2</v>
      </c>
      <c r="N1236" s="6" t="n">
        <f aca="false">ROUND(M1236/24,2)</f>
        <v>2.84</v>
      </c>
    </row>
    <row r="1237" customFormat="false" ht="15" hidden="false" customHeight="true" outlineLevel="0" collapsed="false">
      <c r="A1237" s="6" t="n">
        <v>4</v>
      </c>
      <c r="B1237" s="6" t="s">
        <v>2736</v>
      </c>
      <c r="C1237" s="6" t="s">
        <v>1408</v>
      </c>
      <c r="D1237" s="6" t="str">
        <f aca="false">A1237&amp;"|"&amp;C1237</f>
        <v>4|Bomber</v>
      </c>
      <c r="E1237" s="6" t="s">
        <v>1558</v>
      </c>
      <c r="F1237" s="6" t="s">
        <v>1548</v>
      </c>
      <c r="G1237" s="6" t="str">
        <f aca="false">INDEX(Archetypes!$D$2:$D$127, MATCH(D1237, Archetypes!$A$2:$A$127, 0))</f>
        <v>Air Strike</v>
      </c>
      <c r="H1237" s="6" t="n">
        <f aca="false">ROUND(INDEX(Archetypes!$E$2:$E$127, MATCH(D1237, Archetypes!$A$2:$A$127, 0))*INDEX(Unit_Grades!$B$2:$B$7, MATCH(F1237, Unit_Grades!$A$2:$A$7, 0))*INDEX(Unit_Paths!$B$2:$B$4, MATCH(E1237, Unit_Paths!$A$2:$A$4, 0)),1)</f>
        <v>907.2</v>
      </c>
      <c r="I1237" s="6" t="n">
        <f aca="false">ROUND(INDEX(Archetypes!$F$2:$F$127, MATCH(D1237, Archetypes!$A$2:$A$127, 0))*INDEX(Unit_Grades!$B$2:$B$7, MATCH(F1237, Unit_Grades!$A$2:$A$7, 0))*INDEX(Unit_Paths!$C$2:$C$4, MATCH(E1237, Unit_Paths!$A$2:$A$4, 0)),1)</f>
        <v>142.8</v>
      </c>
      <c r="J1237" s="6" t="n">
        <f aca="false">ROUND(INDEX(Archetypes!$G$2:$G$127, MATCH(D1237, Archetypes!$A$2:$A$127, 0))*INDEX(Unit_Grades!$B$2:$B$7, MATCH(F1237, Unit_Grades!$A$2:$A$7, 0))*INDEX(Unit_Paths!$D$2:$D$4, MATCH(E1237, Unit_Paths!$A$2:$A$4, 0)),0)</f>
        <v>958</v>
      </c>
      <c r="K1237" s="6" t="n">
        <f aca="false">ROUND(INDEX(Archetypes!$H$2:$H$127, MATCH(D1237, Archetypes!$A$2:$A$127, 0))*INDEX(Unit_Paths!$E$2:$E$4, MATCH(E1237, Unit_Paths!$A$2:$A$4, 0)),1)</f>
        <v>73.5</v>
      </c>
      <c r="L1237" s="6" t="n">
        <f aca="false">ROUND(INDEX(Archetypes!$I$2:$I$127, MATCH(D1237, Archetypes!$A$2:$A$127, 0))*INDEX(Unit_Grades!$C$2:$C$7, MATCH(F1237, Unit_Grades!$A$2:$A$7, 0)),1)</f>
        <v>88.8</v>
      </c>
      <c r="M1237" s="6" t="n">
        <f aca="false">ROUND(INDEX(Archetypes!$J$2:$J$127, MATCH(D1237, Archetypes!$A$2:$A$127, 0))*INDEX(Unit_Grades!$D$2:$D$7, MATCH(F1237, Unit_Grades!$A$2:$A$7, 0)),1)</f>
        <v>116.9</v>
      </c>
      <c r="N1237" s="6" t="n">
        <f aca="false">ROUND(M1237/24,2)</f>
        <v>4.87</v>
      </c>
    </row>
    <row r="1238" customFormat="false" ht="15" hidden="false" customHeight="true" outlineLevel="0" collapsed="false">
      <c r="A1238" s="6" t="n">
        <v>4</v>
      </c>
      <c r="B1238" s="6" t="s">
        <v>2737</v>
      </c>
      <c r="C1238" s="6" t="s">
        <v>1408</v>
      </c>
      <c r="D1238" s="6" t="str">
        <f aca="false">A1238&amp;"|"&amp;C1238</f>
        <v>4|Bomber</v>
      </c>
      <c r="E1238" s="6" t="s">
        <v>1560</v>
      </c>
      <c r="F1238" s="6" t="s">
        <v>1538</v>
      </c>
      <c r="G1238" s="6" t="str">
        <f aca="false">INDEX(Archetypes!$D$2:$D$127, MATCH(D1238, Archetypes!$A$2:$A$127, 0))</f>
        <v>Air Strike</v>
      </c>
      <c r="H1238" s="6" t="n">
        <f aca="false">ROUND(INDEX(Archetypes!$E$2:$E$127, MATCH(D1238, Archetypes!$A$2:$A$127, 0))*INDEX(Unit_Grades!$B$2:$B$7, MATCH(F1238, Unit_Grades!$A$2:$A$7, 0))*INDEX(Unit_Paths!$B$2:$B$4, MATCH(E1238, Unit_Paths!$A$2:$A$4, 0)),1)</f>
        <v>153</v>
      </c>
      <c r="I1238" s="6" t="n">
        <f aca="false">ROUND(INDEX(Archetypes!$F$2:$F$127, MATCH(D1238, Archetypes!$A$2:$A$127, 0))*INDEX(Unit_Grades!$B$2:$B$7, MATCH(F1238, Unit_Grades!$A$2:$A$7, 0))*INDEX(Unit_Paths!$C$2:$C$4, MATCH(E1238, Unit_Paths!$A$2:$A$4, 0)),1)</f>
        <v>50</v>
      </c>
      <c r="J1238" s="6" t="n">
        <f aca="false">ROUND(INDEX(Archetypes!$G$2:$G$127, MATCH(D1238, Archetypes!$A$2:$A$127, 0))*INDEX(Unit_Grades!$B$2:$B$7, MATCH(F1238, Unit_Grades!$A$2:$A$7, 0))*INDEX(Unit_Paths!$D$2:$D$4, MATCH(E1238, Unit_Paths!$A$2:$A$4, 0)),0)</f>
        <v>276</v>
      </c>
      <c r="K1238" s="6" t="n">
        <f aca="false">ROUND(INDEX(Archetypes!$H$2:$H$127, MATCH(D1238, Archetypes!$A$2:$A$127, 0))*INDEX(Unit_Paths!$E$2:$E$4, MATCH(E1238, Unit_Paths!$A$2:$A$4, 0)),1)</f>
        <v>64.4</v>
      </c>
      <c r="L1238" s="6" t="n">
        <f aca="false">ROUND(INDEX(Archetypes!$I$2:$I$127, MATCH(D1238, Archetypes!$A$2:$A$127, 0))*INDEX(Unit_Grades!$C$2:$C$7, MATCH(F1238, Unit_Grades!$A$2:$A$7, 0)),1)</f>
        <v>24</v>
      </c>
      <c r="M1238" s="6" t="n">
        <f aca="false">ROUND(INDEX(Archetypes!$J$2:$J$127, MATCH(D1238, Archetypes!$A$2:$A$127, 0))*INDEX(Unit_Grades!$D$2:$D$7, MATCH(F1238, Unit_Grades!$A$2:$A$7, 0)),1)</f>
        <v>9.7</v>
      </c>
      <c r="N1238" s="6" t="n">
        <f aca="false">ROUND(M1238/24,2)</f>
        <v>0.4</v>
      </c>
    </row>
    <row r="1239" customFormat="false" ht="15" hidden="false" customHeight="true" outlineLevel="0" collapsed="false">
      <c r="A1239" s="6" t="n">
        <v>4</v>
      </c>
      <c r="B1239" s="6" t="s">
        <v>2738</v>
      </c>
      <c r="C1239" s="6" t="s">
        <v>1408</v>
      </c>
      <c r="D1239" s="6" t="str">
        <f aca="false">A1239&amp;"|"&amp;C1239</f>
        <v>4|Bomber</v>
      </c>
      <c r="E1239" s="6" t="s">
        <v>1560</v>
      </c>
      <c r="F1239" s="6" t="s">
        <v>1540</v>
      </c>
      <c r="G1239" s="6" t="str">
        <f aca="false">INDEX(Archetypes!$D$2:$D$127, MATCH(D1239, Archetypes!$A$2:$A$127, 0))</f>
        <v>Air Strike</v>
      </c>
      <c r="H1239" s="6" t="n">
        <f aca="false">ROUND(INDEX(Archetypes!$E$2:$E$127, MATCH(D1239, Archetypes!$A$2:$A$127, 0))*INDEX(Unit_Grades!$B$2:$B$7, MATCH(F1239, Unit_Grades!$A$2:$A$7, 0))*INDEX(Unit_Paths!$B$2:$B$4, MATCH(E1239, Unit_Paths!$A$2:$A$4, 0)),1)</f>
        <v>206.6</v>
      </c>
      <c r="I1239" s="6" t="n">
        <f aca="false">ROUND(INDEX(Archetypes!$F$2:$F$127, MATCH(D1239, Archetypes!$A$2:$A$127, 0))*INDEX(Unit_Grades!$B$2:$B$7, MATCH(F1239, Unit_Grades!$A$2:$A$7, 0))*INDEX(Unit_Paths!$C$2:$C$4, MATCH(E1239, Unit_Paths!$A$2:$A$4, 0)),1)</f>
        <v>67.5</v>
      </c>
      <c r="J1239" s="6" t="n">
        <f aca="false">ROUND(INDEX(Archetypes!$G$2:$G$127, MATCH(D1239, Archetypes!$A$2:$A$127, 0))*INDEX(Unit_Grades!$B$2:$B$7, MATCH(F1239, Unit_Grades!$A$2:$A$7, 0))*INDEX(Unit_Paths!$D$2:$D$4, MATCH(E1239, Unit_Paths!$A$2:$A$4, 0)),0)</f>
        <v>373</v>
      </c>
      <c r="K1239" s="6" t="n">
        <f aca="false">ROUND(INDEX(Archetypes!$H$2:$H$127, MATCH(D1239, Archetypes!$A$2:$A$127, 0))*INDEX(Unit_Paths!$E$2:$E$4, MATCH(E1239, Unit_Paths!$A$2:$A$4, 0)),1)</f>
        <v>64.4</v>
      </c>
      <c r="L1239" s="6" t="n">
        <f aca="false">ROUND(INDEX(Archetypes!$I$2:$I$127, MATCH(D1239, Archetypes!$A$2:$A$127, 0))*INDEX(Unit_Grades!$C$2:$C$7, MATCH(F1239, Unit_Grades!$A$2:$A$7, 0)),1)</f>
        <v>30</v>
      </c>
      <c r="M1239" s="6" t="n">
        <f aca="false">ROUND(INDEX(Archetypes!$J$2:$J$127, MATCH(D1239, Archetypes!$A$2:$A$127, 0))*INDEX(Unit_Grades!$D$2:$D$7, MATCH(F1239, Unit_Grades!$A$2:$A$7, 0)),1)</f>
        <v>14.6</v>
      </c>
      <c r="N1239" s="6" t="n">
        <f aca="false">ROUND(M1239/24,2)</f>
        <v>0.61</v>
      </c>
    </row>
    <row r="1240" customFormat="false" ht="15" hidden="false" customHeight="true" outlineLevel="0" collapsed="false">
      <c r="A1240" s="6" t="n">
        <v>4</v>
      </c>
      <c r="B1240" s="6" t="s">
        <v>2739</v>
      </c>
      <c r="C1240" s="6" t="s">
        <v>1408</v>
      </c>
      <c r="D1240" s="6" t="str">
        <f aca="false">A1240&amp;"|"&amp;C1240</f>
        <v>4|Bomber</v>
      </c>
      <c r="E1240" s="6" t="s">
        <v>1560</v>
      </c>
      <c r="F1240" s="6" t="s">
        <v>1542</v>
      </c>
      <c r="G1240" s="6" t="str">
        <f aca="false">INDEX(Archetypes!$D$2:$D$127, MATCH(D1240, Archetypes!$A$2:$A$127, 0))</f>
        <v>Air Strike</v>
      </c>
      <c r="H1240" s="6" t="n">
        <f aca="false">ROUND(INDEX(Archetypes!$E$2:$E$127, MATCH(D1240, Archetypes!$A$2:$A$127, 0))*INDEX(Unit_Grades!$B$2:$B$7, MATCH(F1240, Unit_Grades!$A$2:$A$7, 0))*INDEX(Unit_Paths!$B$2:$B$4, MATCH(E1240, Unit_Paths!$A$2:$A$4, 0)),1)</f>
        <v>275.4</v>
      </c>
      <c r="I1240" s="6" t="n">
        <f aca="false">ROUND(INDEX(Archetypes!$F$2:$F$127, MATCH(D1240, Archetypes!$A$2:$A$127, 0))*INDEX(Unit_Grades!$B$2:$B$7, MATCH(F1240, Unit_Grades!$A$2:$A$7, 0))*INDEX(Unit_Paths!$C$2:$C$4, MATCH(E1240, Unit_Paths!$A$2:$A$4, 0)),1)</f>
        <v>90</v>
      </c>
      <c r="J1240" s="6" t="n">
        <f aca="false">ROUND(INDEX(Archetypes!$G$2:$G$127, MATCH(D1240, Archetypes!$A$2:$A$127, 0))*INDEX(Unit_Grades!$B$2:$B$7, MATCH(F1240, Unit_Grades!$A$2:$A$7, 0))*INDEX(Unit_Paths!$D$2:$D$4, MATCH(E1240, Unit_Paths!$A$2:$A$4, 0)),0)</f>
        <v>497</v>
      </c>
      <c r="K1240" s="6" t="n">
        <f aca="false">ROUND(INDEX(Archetypes!$H$2:$H$127, MATCH(D1240, Archetypes!$A$2:$A$127, 0))*INDEX(Unit_Paths!$E$2:$E$4, MATCH(E1240, Unit_Paths!$A$2:$A$4, 0)),1)</f>
        <v>64.4</v>
      </c>
      <c r="L1240" s="6" t="n">
        <f aca="false">ROUND(INDEX(Archetypes!$I$2:$I$127, MATCH(D1240, Archetypes!$A$2:$A$127, 0))*INDEX(Unit_Grades!$C$2:$C$7, MATCH(F1240, Unit_Grades!$A$2:$A$7, 0)),1)</f>
        <v>38.4</v>
      </c>
      <c r="M1240" s="6" t="n">
        <f aca="false">ROUND(INDEX(Archetypes!$J$2:$J$127, MATCH(D1240, Archetypes!$A$2:$A$127, 0))*INDEX(Unit_Grades!$D$2:$D$7, MATCH(F1240, Unit_Grades!$A$2:$A$7, 0)),1)</f>
        <v>24.4</v>
      </c>
      <c r="N1240" s="6" t="n">
        <f aca="false">ROUND(M1240/24,2)</f>
        <v>1.02</v>
      </c>
    </row>
    <row r="1241" customFormat="false" ht="15" hidden="false" customHeight="true" outlineLevel="0" collapsed="false">
      <c r="A1241" s="6" t="n">
        <v>4</v>
      </c>
      <c r="B1241" s="6" t="s">
        <v>2740</v>
      </c>
      <c r="C1241" s="6" t="s">
        <v>1408</v>
      </c>
      <c r="D1241" s="6" t="str">
        <f aca="false">A1241&amp;"|"&amp;C1241</f>
        <v>4|Bomber</v>
      </c>
      <c r="E1241" s="6" t="s">
        <v>1560</v>
      </c>
      <c r="F1241" s="6" t="s">
        <v>1544</v>
      </c>
      <c r="G1241" s="6" t="str">
        <f aca="false">INDEX(Archetypes!$D$2:$D$127, MATCH(D1241, Archetypes!$A$2:$A$127, 0))</f>
        <v>Air Strike</v>
      </c>
      <c r="H1241" s="6" t="n">
        <f aca="false">ROUND(INDEX(Archetypes!$E$2:$E$127, MATCH(D1241, Archetypes!$A$2:$A$127, 0))*INDEX(Unit_Grades!$B$2:$B$7, MATCH(F1241, Unit_Grades!$A$2:$A$7, 0))*INDEX(Unit_Paths!$B$2:$B$4, MATCH(E1241, Unit_Paths!$A$2:$A$4, 0)),1)</f>
        <v>367.2</v>
      </c>
      <c r="I1241" s="6" t="n">
        <f aca="false">ROUND(INDEX(Archetypes!$F$2:$F$127, MATCH(D1241, Archetypes!$A$2:$A$127, 0))*INDEX(Unit_Grades!$B$2:$B$7, MATCH(F1241, Unit_Grades!$A$2:$A$7, 0))*INDEX(Unit_Paths!$C$2:$C$4, MATCH(E1241, Unit_Paths!$A$2:$A$4, 0)),1)</f>
        <v>120</v>
      </c>
      <c r="J1241" s="6" t="n">
        <f aca="false">ROUND(INDEX(Archetypes!$G$2:$G$127, MATCH(D1241, Archetypes!$A$2:$A$127, 0))*INDEX(Unit_Grades!$B$2:$B$7, MATCH(F1241, Unit_Grades!$A$2:$A$7, 0))*INDEX(Unit_Paths!$D$2:$D$4, MATCH(E1241, Unit_Paths!$A$2:$A$4, 0)),0)</f>
        <v>662</v>
      </c>
      <c r="K1241" s="6" t="n">
        <f aca="false">ROUND(INDEX(Archetypes!$H$2:$H$127, MATCH(D1241, Archetypes!$A$2:$A$127, 0))*INDEX(Unit_Paths!$E$2:$E$4, MATCH(E1241, Unit_Paths!$A$2:$A$4, 0)),1)</f>
        <v>64.4</v>
      </c>
      <c r="L1241" s="6" t="n">
        <f aca="false">ROUND(INDEX(Archetypes!$I$2:$I$127, MATCH(D1241, Archetypes!$A$2:$A$127, 0))*INDEX(Unit_Grades!$C$2:$C$7, MATCH(F1241, Unit_Grades!$A$2:$A$7, 0)),1)</f>
        <v>50.4</v>
      </c>
      <c r="M1241" s="6" t="n">
        <f aca="false">ROUND(INDEX(Archetypes!$J$2:$J$127, MATCH(D1241, Archetypes!$A$2:$A$127, 0))*INDEX(Unit_Grades!$D$2:$D$7, MATCH(F1241, Unit_Grades!$A$2:$A$7, 0)),1)</f>
        <v>39</v>
      </c>
      <c r="N1241" s="6" t="n">
        <f aca="false">ROUND(M1241/24,2)</f>
        <v>1.63</v>
      </c>
    </row>
    <row r="1242" customFormat="false" ht="15" hidden="false" customHeight="true" outlineLevel="0" collapsed="false">
      <c r="A1242" s="6" t="n">
        <v>4</v>
      </c>
      <c r="B1242" s="6" t="s">
        <v>2741</v>
      </c>
      <c r="C1242" s="6" t="s">
        <v>1408</v>
      </c>
      <c r="D1242" s="6" t="str">
        <f aca="false">A1242&amp;"|"&amp;C1242</f>
        <v>4|Bomber</v>
      </c>
      <c r="E1242" s="6" t="s">
        <v>1560</v>
      </c>
      <c r="F1242" s="6" t="s">
        <v>1546</v>
      </c>
      <c r="G1242" s="6" t="str">
        <f aca="false">INDEX(Archetypes!$D$2:$D$127, MATCH(D1242, Archetypes!$A$2:$A$127, 0))</f>
        <v>Air Strike</v>
      </c>
      <c r="H1242" s="6" t="n">
        <f aca="false">ROUND(INDEX(Archetypes!$E$2:$E$127, MATCH(D1242, Archetypes!$A$2:$A$127, 0))*INDEX(Unit_Grades!$B$2:$B$7, MATCH(F1242, Unit_Grades!$A$2:$A$7, 0))*INDEX(Unit_Paths!$B$2:$B$4, MATCH(E1242, Unit_Paths!$A$2:$A$4, 0)),1)</f>
        <v>489.6</v>
      </c>
      <c r="I1242" s="6" t="n">
        <f aca="false">ROUND(INDEX(Archetypes!$F$2:$F$127, MATCH(D1242, Archetypes!$A$2:$A$127, 0))*INDEX(Unit_Grades!$B$2:$B$7, MATCH(F1242, Unit_Grades!$A$2:$A$7, 0))*INDEX(Unit_Paths!$C$2:$C$4, MATCH(E1242, Unit_Paths!$A$2:$A$4, 0)),1)</f>
        <v>160</v>
      </c>
      <c r="J1242" s="6" t="n">
        <f aca="false">ROUND(INDEX(Archetypes!$G$2:$G$127, MATCH(D1242, Archetypes!$A$2:$A$127, 0))*INDEX(Unit_Grades!$B$2:$B$7, MATCH(F1242, Unit_Grades!$A$2:$A$7, 0))*INDEX(Unit_Paths!$D$2:$D$4, MATCH(E1242, Unit_Paths!$A$2:$A$4, 0)),0)</f>
        <v>883</v>
      </c>
      <c r="K1242" s="6" t="n">
        <f aca="false">ROUND(INDEX(Archetypes!$H$2:$H$127, MATCH(D1242, Archetypes!$A$2:$A$127, 0))*INDEX(Unit_Paths!$E$2:$E$4, MATCH(E1242, Unit_Paths!$A$2:$A$4, 0)),1)</f>
        <v>64.4</v>
      </c>
      <c r="L1242" s="6" t="n">
        <f aca="false">ROUND(INDEX(Archetypes!$I$2:$I$127, MATCH(D1242, Archetypes!$A$2:$A$127, 0))*INDEX(Unit_Grades!$C$2:$C$7, MATCH(F1242, Unit_Grades!$A$2:$A$7, 0)),1)</f>
        <v>67.2</v>
      </c>
      <c r="M1242" s="6" t="n">
        <f aca="false">ROUND(INDEX(Archetypes!$J$2:$J$127, MATCH(D1242, Archetypes!$A$2:$A$127, 0))*INDEX(Unit_Grades!$D$2:$D$7, MATCH(F1242, Unit_Grades!$A$2:$A$7, 0)),1)</f>
        <v>68.2</v>
      </c>
      <c r="N1242" s="6" t="n">
        <f aca="false">ROUND(M1242/24,2)</f>
        <v>2.84</v>
      </c>
    </row>
    <row r="1243" customFormat="false" ht="15" hidden="false" customHeight="true" outlineLevel="0" collapsed="false">
      <c r="A1243" s="6" t="n">
        <v>4</v>
      </c>
      <c r="B1243" s="6" t="s">
        <v>2742</v>
      </c>
      <c r="C1243" s="6" t="s">
        <v>1408</v>
      </c>
      <c r="D1243" s="6" t="str">
        <f aca="false">A1243&amp;"|"&amp;C1243</f>
        <v>4|Bomber</v>
      </c>
      <c r="E1243" s="6" t="s">
        <v>1560</v>
      </c>
      <c r="F1243" s="6" t="s">
        <v>1548</v>
      </c>
      <c r="G1243" s="6" t="str">
        <f aca="false">INDEX(Archetypes!$D$2:$D$127, MATCH(D1243, Archetypes!$A$2:$A$127, 0))</f>
        <v>Air Strike</v>
      </c>
      <c r="H1243" s="6" t="n">
        <f aca="false">ROUND(INDEX(Archetypes!$E$2:$E$127, MATCH(D1243, Archetypes!$A$2:$A$127, 0))*INDEX(Unit_Grades!$B$2:$B$7, MATCH(F1243, Unit_Grades!$A$2:$A$7, 0))*INDEX(Unit_Paths!$B$2:$B$4, MATCH(E1243, Unit_Paths!$A$2:$A$4, 0)),1)</f>
        <v>642.6</v>
      </c>
      <c r="I1243" s="6" t="n">
        <f aca="false">ROUND(INDEX(Archetypes!$F$2:$F$127, MATCH(D1243, Archetypes!$A$2:$A$127, 0))*INDEX(Unit_Grades!$B$2:$B$7, MATCH(F1243, Unit_Grades!$A$2:$A$7, 0))*INDEX(Unit_Paths!$C$2:$C$4, MATCH(E1243, Unit_Paths!$A$2:$A$4, 0)),1)</f>
        <v>210</v>
      </c>
      <c r="J1243" s="6" t="n">
        <f aca="false">ROUND(INDEX(Archetypes!$G$2:$G$127, MATCH(D1243, Archetypes!$A$2:$A$127, 0))*INDEX(Unit_Grades!$B$2:$B$7, MATCH(F1243, Unit_Grades!$A$2:$A$7, 0))*INDEX(Unit_Paths!$D$2:$D$4, MATCH(E1243, Unit_Paths!$A$2:$A$4, 0)),0)</f>
        <v>1159</v>
      </c>
      <c r="K1243" s="6" t="n">
        <f aca="false">ROUND(INDEX(Archetypes!$H$2:$H$127, MATCH(D1243, Archetypes!$A$2:$A$127, 0))*INDEX(Unit_Paths!$E$2:$E$4, MATCH(E1243, Unit_Paths!$A$2:$A$4, 0)),1)</f>
        <v>64.4</v>
      </c>
      <c r="L1243" s="6" t="n">
        <f aca="false">ROUND(INDEX(Archetypes!$I$2:$I$127, MATCH(D1243, Archetypes!$A$2:$A$127, 0))*INDEX(Unit_Grades!$C$2:$C$7, MATCH(F1243, Unit_Grades!$A$2:$A$7, 0)),1)</f>
        <v>88.8</v>
      </c>
      <c r="M1243" s="6" t="n">
        <f aca="false">ROUND(INDEX(Archetypes!$J$2:$J$127, MATCH(D1243, Archetypes!$A$2:$A$127, 0))*INDEX(Unit_Grades!$D$2:$D$7, MATCH(F1243, Unit_Grades!$A$2:$A$7, 0)),1)</f>
        <v>116.9</v>
      </c>
      <c r="N1243" s="6" t="n">
        <f aca="false">ROUND(M1243/24,2)</f>
        <v>4.87</v>
      </c>
    </row>
    <row r="1244" customFormat="false" ht="15" hidden="false" customHeight="true" outlineLevel="0" collapsed="false">
      <c r="A1244" s="6" t="n">
        <v>4</v>
      </c>
      <c r="B1244" s="6" t="s">
        <v>1411</v>
      </c>
      <c r="C1244" s="6" t="s">
        <v>1411</v>
      </c>
      <c r="D1244" s="6" t="str">
        <f aca="false">A1244&amp;"|"&amp;C1244</f>
        <v>4|Destroyer</v>
      </c>
      <c r="E1244" s="6" t="s">
        <v>1556</v>
      </c>
      <c r="F1244" s="6" t="s">
        <v>1538</v>
      </c>
      <c r="G1244" s="6" t="str">
        <f aca="false">INDEX(Archetypes!$D$2:$D$127, MATCH(D1244, Archetypes!$A$2:$A$127, 0))</f>
        <v>Naval Escort</v>
      </c>
      <c r="H1244" s="6" t="n">
        <f aca="false">ROUND(INDEX(Archetypes!$E$2:$E$127, MATCH(D1244, Archetypes!$A$2:$A$127, 0))*INDEX(Unit_Grades!$B$2:$B$7, MATCH(F1244, Unit_Grades!$A$2:$A$7, 0))*INDEX(Unit_Paths!$B$2:$B$4, MATCH(E1244, Unit_Paths!$A$2:$A$4, 0)),1)</f>
        <v>130</v>
      </c>
      <c r="I1244" s="6" t="n">
        <f aca="false">ROUND(INDEX(Archetypes!$F$2:$F$127, MATCH(D1244, Archetypes!$A$2:$A$127, 0))*INDEX(Unit_Grades!$B$2:$B$7, MATCH(F1244, Unit_Grades!$A$2:$A$7, 0))*INDEX(Unit_Paths!$C$2:$C$4, MATCH(E1244, Unit_Paths!$A$2:$A$4, 0)),1)</f>
        <v>80</v>
      </c>
      <c r="J1244" s="6" t="n">
        <f aca="false">ROUND(INDEX(Archetypes!$G$2:$G$127, MATCH(D1244, Archetypes!$A$2:$A$127, 0))*INDEX(Unit_Grades!$B$2:$B$7, MATCH(F1244, Unit_Grades!$A$2:$A$7, 0))*INDEX(Unit_Paths!$D$2:$D$4, MATCH(E1244, Unit_Paths!$A$2:$A$4, 0)),0)</f>
        <v>420</v>
      </c>
      <c r="K1244" s="6" t="n">
        <f aca="false">ROUND(INDEX(Archetypes!$H$2:$H$127, MATCH(D1244, Archetypes!$A$2:$A$127, 0))*INDEX(Unit_Paths!$E$2:$E$4, MATCH(E1244, Unit_Paths!$A$2:$A$4, 0)),1)</f>
        <v>40</v>
      </c>
      <c r="L1244" s="6" t="n">
        <f aca="false">ROUND(INDEX(Archetypes!$I$2:$I$127, MATCH(D1244, Archetypes!$A$2:$A$127, 0))*INDEX(Unit_Grades!$C$2:$C$7, MATCH(F1244, Unit_Grades!$A$2:$A$7, 0)),1)</f>
        <v>20</v>
      </c>
      <c r="M1244" s="6" t="n">
        <f aca="false">ROUND(INDEX(Archetypes!$J$2:$J$127, MATCH(D1244, Archetypes!$A$2:$A$127, 0))*INDEX(Unit_Grades!$D$2:$D$7, MATCH(F1244, Unit_Grades!$A$2:$A$7, 0)),1)</f>
        <v>8.1</v>
      </c>
      <c r="N1244" s="6" t="n">
        <f aca="false">ROUND(M1244/24,2)</f>
        <v>0.34</v>
      </c>
    </row>
    <row r="1245" customFormat="false" ht="15" hidden="false" customHeight="true" outlineLevel="0" collapsed="false">
      <c r="A1245" s="6" t="n">
        <v>4</v>
      </c>
      <c r="B1245" s="6" t="s">
        <v>2743</v>
      </c>
      <c r="C1245" s="6" t="s">
        <v>1411</v>
      </c>
      <c r="D1245" s="6" t="str">
        <f aca="false">A1245&amp;"|"&amp;C1245</f>
        <v>4|Destroyer</v>
      </c>
      <c r="E1245" s="6" t="s">
        <v>1556</v>
      </c>
      <c r="F1245" s="6" t="s">
        <v>1540</v>
      </c>
      <c r="G1245" s="6" t="str">
        <f aca="false">INDEX(Archetypes!$D$2:$D$127, MATCH(D1245, Archetypes!$A$2:$A$127, 0))</f>
        <v>Naval Escort</v>
      </c>
      <c r="H1245" s="6" t="n">
        <f aca="false">ROUND(INDEX(Archetypes!$E$2:$E$127, MATCH(D1245, Archetypes!$A$2:$A$127, 0))*INDEX(Unit_Grades!$B$2:$B$7, MATCH(F1245, Unit_Grades!$A$2:$A$7, 0))*INDEX(Unit_Paths!$B$2:$B$4, MATCH(E1245, Unit_Paths!$A$2:$A$4, 0)),1)</f>
        <v>175.5</v>
      </c>
      <c r="I1245" s="6" t="n">
        <f aca="false">ROUND(INDEX(Archetypes!$F$2:$F$127, MATCH(D1245, Archetypes!$A$2:$A$127, 0))*INDEX(Unit_Grades!$B$2:$B$7, MATCH(F1245, Unit_Grades!$A$2:$A$7, 0))*INDEX(Unit_Paths!$C$2:$C$4, MATCH(E1245, Unit_Paths!$A$2:$A$4, 0)),1)</f>
        <v>108</v>
      </c>
      <c r="J1245" s="6" t="n">
        <f aca="false">ROUND(INDEX(Archetypes!$G$2:$G$127, MATCH(D1245, Archetypes!$A$2:$A$127, 0))*INDEX(Unit_Grades!$B$2:$B$7, MATCH(F1245, Unit_Grades!$A$2:$A$7, 0))*INDEX(Unit_Paths!$D$2:$D$4, MATCH(E1245, Unit_Paths!$A$2:$A$4, 0)),0)</f>
        <v>567</v>
      </c>
      <c r="K1245" s="6" t="n">
        <f aca="false">ROUND(INDEX(Archetypes!$H$2:$H$127, MATCH(D1245, Archetypes!$A$2:$A$127, 0))*INDEX(Unit_Paths!$E$2:$E$4, MATCH(E1245, Unit_Paths!$A$2:$A$4, 0)),1)</f>
        <v>40</v>
      </c>
      <c r="L1245" s="6" t="n">
        <f aca="false">ROUND(INDEX(Archetypes!$I$2:$I$127, MATCH(D1245, Archetypes!$A$2:$A$127, 0))*INDEX(Unit_Grades!$C$2:$C$7, MATCH(F1245, Unit_Grades!$A$2:$A$7, 0)),1)</f>
        <v>25</v>
      </c>
      <c r="M1245" s="6" t="n">
        <f aca="false">ROUND(INDEX(Archetypes!$J$2:$J$127, MATCH(D1245, Archetypes!$A$2:$A$127, 0))*INDEX(Unit_Grades!$D$2:$D$7, MATCH(F1245, Unit_Grades!$A$2:$A$7, 0)),1)</f>
        <v>12.2</v>
      </c>
      <c r="N1245" s="6" t="n">
        <f aca="false">ROUND(M1245/24,2)</f>
        <v>0.51</v>
      </c>
    </row>
    <row r="1246" customFormat="false" ht="15" hidden="false" customHeight="true" outlineLevel="0" collapsed="false">
      <c r="A1246" s="6" t="n">
        <v>4</v>
      </c>
      <c r="B1246" s="6" t="s">
        <v>2744</v>
      </c>
      <c r="C1246" s="6" t="s">
        <v>1411</v>
      </c>
      <c r="D1246" s="6" t="str">
        <f aca="false">A1246&amp;"|"&amp;C1246</f>
        <v>4|Destroyer</v>
      </c>
      <c r="E1246" s="6" t="s">
        <v>1556</v>
      </c>
      <c r="F1246" s="6" t="s">
        <v>1542</v>
      </c>
      <c r="G1246" s="6" t="str">
        <f aca="false">INDEX(Archetypes!$D$2:$D$127, MATCH(D1246, Archetypes!$A$2:$A$127, 0))</f>
        <v>Naval Escort</v>
      </c>
      <c r="H1246" s="6" t="n">
        <f aca="false">ROUND(INDEX(Archetypes!$E$2:$E$127, MATCH(D1246, Archetypes!$A$2:$A$127, 0))*INDEX(Unit_Grades!$B$2:$B$7, MATCH(F1246, Unit_Grades!$A$2:$A$7, 0))*INDEX(Unit_Paths!$B$2:$B$4, MATCH(E1246, Unit_Paths!$A$2:$A$4, 0)),1)</f>
        <v>234</v>
      </c>
      <c r="I1246" s="6" t="n">
        <f aca="false">ROUND(INDEX(Archetypes!$F$2:$F$127, MATCH(D1246, Archetypes!$A$2:$A$127, 0))*INDEX(Unit_Grades!$B$2:$B$7, MATCH(F1246, Unit_Grades!$A$2:$A$7, 0))*INDEX(Unit_Paths!$C$2:$C$4, MATCH(E1246, Unit_Paths!$A$2:$A$4, 0)),1)</f>
        <v>144</v>
      </c>
      <c r="J1246" s="6" t="n">
        <f aca="false">ROUND(INDEX(Archetypes!$G$2:$G$127, MATCH(D1246, Archetypes!$A$2:$A$127, 0))*INDEX(Unit_Grades!$B$2:$B$7, MATCH(F1246, Unit_Grades!$A$2:$A$7, 0))*INDEX(Unit_Paths!$D$2:$D$4, MATCH(E1246, Unit_Paths!$A$2:$A$4, 0)),0)</f>
        <v>756</v>
      </c>
      <c r="K1246" s="6" t="n">
        <f aca="false">ROUND(INDEX(Archetypes!$H$2:$H$127, MATCH(D1246, Archetypes!$A$2:$A$127, 0))*INDEX(Unit_Paths!$E$2:$E$4, MATCH(E1246, Unit_Paths!$A$2:$A$4, 0)),1)</f>
        <v>40</v>
      </c>
      <c r="L1246" s="6" t="n">
        <f aca="false">ROUND(INDEX(Archetypes!$I$2:$I$127, MATCH(D1246, Archetypes!$A$2:$A$127, 0))*INDEX(Unit_Grades!$C$2:$C$7, MATCH(F1246, Unit_Grades!$A$2:$A$7, 0)),1)</f>
        <v>32</v>
      </c>
      <c r="M1246" s="6" t="n">
        <f aca="false">ROUND(INDEX(Archetypes!$J$2:$J$127, MATCH(D1246, Archetypes!$A$2:$A$127, 0))*INDEX(Unit_Grades!$D$2:$D$7, MATCH(F1246, Unit_Grades!$A$2:$A$7, 0)),1)</f>
        <v>20.3</v>
      </c>
      <c r="N1246" s="6" t="n">
        <f aca="false">ROUND(M1246/24,2)</f>
        <v>0.85</v>
      </c>
    </row>
    <row r="1247" customFormat="false" ht="15" hidden="false" customHeight="true" outlineLevel="0" collapsed="false">
      <c r="A1247" s="6" t="n">
        <v>4</v>
      </c>
      <c r="B1247" s="6" t="s">
        <v>2745</v>
      </c>
      <c r="C1247" s="6" t="s">
        <v>1411</v>
      </c>
      <c r="D1247" s="6" t="str">
        <f aca="false">A1247&amp;"|"&amp;C1247</f>
        <v>4|Destroyer</v>
      </c>
      <c r="E1247" s="6" t="s">
        <v>1556</v>
      </c>
      <c r="F1247" s="6" t="s">
        <v>1544</v>
      </c>
      <c r="G1247" s="6" t="str">
        <f aca="false">INDEX(Archetypes!$D$2:$D$127, MATCH(D1247, Archetypes!$A$2:$A$127, 0))</f>
        <v>Naval Escort</v>
      </c>
      <c r="H1247" s="6" t="n">
        <f aca="false">ROUND(INDEX(Archetypes!$E$2:$E$127, MATCH(D1247, Archetypes!$A$2:$A$127, 0))*INDEX(Unit_Grades!$B$2:$B$7, MATCH(F1247, Unit_Grades!$A$2:$A$7, 0))*INDEX(Unit_Paths!$B$2:$B$4, MATCH(E1247, Unit_Paths!$A$2:$A$4, 0)),1)</f>
        <v>312</v>
      </c>
      <c r="I1247" s="6" t="n">
        <f aca="false">ROUND(INDEX(Archetypes!$F$2:$F$127, MATCH(D1247, Archetypes!$A$2:$A$127, 0))*INDEX(Unit_Grades!$B$2:$B$7, MATCH(F1247, Unit_Grades!$A$2:$A$7, 0))*INDEX(Unit_Paths!$C$2:$C$4, MATCH(E1247, Unit_Paths!$A$2:$A$4, 0)),1)</f>
        <v>192</v>
      </c>
      <c r="J1247" s="6" t="n">
        <f aca="false">ROUND(INDEX(Archetypes!$G$2:$G$127, MATCH(D1247, Archetypes!$A$2:$A$127, 0))*INDEX(Unit_Grades!$B$2:$B$7, MATCH(F1247, Unit_Grades!$A$2:$A$7, 0))*INDEX(Unit_Paths!$D$2:$D$4, MATCH(E1247, Unit_Paths!$A$2:$A$4, 0)),0)</f>
        <v>1008</v>
      </c>
      <c r="K1247" s="6" t="n">
        <f aca="false">ROUND(INDEX(Archetypes!$H$2:$H$127, MATCH(D1247, Archetypes!$A$2:$A$127, 0))*INDEX(Unit_Paths!$E$2:$E$4, MATCH(E1247, Unit_Paths!$A$2:$A$4, 0)),1)</f>
        <v>40</v>
      </c>
      <c r="L1247" s="6" t="n">
        <f aca="false">ROUND(INDEX(Archetypes!$I$2:$I$127, MATCH(D1247, Archetypes!$A$2:$A$127, 0))*INDEX(Unit_Grades!$C$2:$C$7, MATCH(F1247, Unit_Grades!$A$2:$A$7, 0)),1)</f>
        <v>42</v>
      </c>
      <c r="M1247" s="6" t="n">
        <f aca="false">ROUND(INDEX(Archetypes!$J$2:$J$127, MATCH(D1247, Archetypes!$A$2:$A$127, 0))*INDEX(Unit_Grades!$D$2:$D$7, MATCH(F1247, Unit_Grades!$A$2:$A$7, 0)),1)</f>
        <v>32.5</v>
      </c>
      <c r="N1247" s="6" t="n">
        <f aca="false">ROUND(M1247/24,2)</f>
        <v>1.35</v>
      </c>
    </row>
    <row r="1248" customFormat="false" ht="15" hidden="false" customHeight="true" outlineLevel="0" collapsed="false">
      <c r="A1248" s="6" t="n">
        <v>4</v>
      </c>
      <c r="B1248" s="6" t="s">
        <v>2746</v>
      </c>
      <c r="C1248" s="6" t="s">
        <v>1411</v>
      </c>
      <c r="D1248" s="6" t="str">
        <f aca="false">A1248&amp;"|"&amp;C1248</f>
        <v>4|Destroyer</v>
      </c>
      <c r="E1248" s="6" t="s">
        <v>1556</v>
      </c>
      <c r="F1248" s="6" t="s">
        <v>1546</v>
      </c>
      <c r="G1248" s="6" t="str">
        <f aca="false">INDEX(Archetypes!$D$2:$D$127, MATCH(D1248, Archetypes!$A$2:$A$127, 0))</f>
        <v>Naval Escort</v>
      </c>
      <c r="H1248" s="6" t="n">
        <f aca="false">ROUND(INDEX(Archetypes!$E$2:$E$127, MATCH(D1248, Archetypes!$A$2:$A$127, 0))*INDEX(Unit_Grades!$B$2:$B$7, MATCH(F1248, Unit_Grades!$A$2:$A$7, 0))*INDEX(Unit_Paths!$B$2:$B$4, MATCH(E1248, Unit_Paths!$A$2:$A$4, 0)),1)</f>
        <v>416</v>
      </c>
      <c r="I1248" s="6" t="n">
        <f aca="false">ROUND(INDEX(Archetypes!$F$2:$F$127, MATCH(D1248, Archetypes!$A$2:$A$127, 0))*INDEX(Unit_Grades!$B$2:$B$7, MATCH(F1248, Unit_Grades!$A$2:$A$7, 0))*INDEX(Unit_Paths!$C$2:$C$4, MATCH(E1248, Unit_Paths!$A$2:$A$4, 0)),1)</f>
        <v>256</v>
      </c>
      <c r="J1248" s="6" t="n">
        <f aca="false">ROUND(INDEX(Archetypes!$G$2:$G$127, MATCH(D1248, Archetypes!$A$2:$A$127, 0))*INDEX(Unit_Grades!$B$2:$B$7, MATCH(F1248, Unit_Grades!$A$2:$A$7, 0))*INDEX(Unit_Paths!$D$2:$D$4, MATCH(E1248, Unit_Paths!$A$2:$A$4, 0)),0)</f>
        <v>1344</v>
      </c>
      <c r="K1248" s="6" t="n">
        <f aca="false">ROUND(INDEX(Archetypes!$H$2:$H$127, MATCH(D1248, Archetypes!$A$2:$A$127, 0))*INDEX(Unit_Paths!$E$2:$E$4, MATCH(E1248, Unit_Paths!$A$2:$A$4, 0)),1)</f>
        <v>40</v>
      </c>
      <c r="L1248" s="6" t="n">
        <f aca="false">ROUND(INDEX(Archetypes!$I$2:$I$127, MATCH(D1248, Archetypes!$A$2:$A$127, 0))*INDEX(Unit_Grades!$C$2:$C$7, MATCH(F1248, Unit_Grades!$A$2:$A$7, 0)),1)</f>
        <v>56</v>
      </c>
      <c r="M1248" s="6" t="n">
        <f aca="false">ROUND(INDEX(Archetypes!$J$2:$J$127, MATCH(D1248, Archetypes!$A$2:$A$127, 0))*INDEX(Unit_Grades!$D$2:$D$7, MATCH(F1248, Unit_Grades!$A$2:$A$7, 0)),1)</f>
        <v>56.8</v>
      </c>
      <c r="N1248" s="6" t="n">
        <f aca="false">ROUND(M1248/24,2)</f>
        <v>2.37</v>
      </c>
    </row>
    <row r="1249" customFormat="false" ht="15" hidden="false" customHeight="true" outlineLevel="0" collapsed="false">
      <c r="A1249" s="6" t="n">
        <v>4</v>
      </c>
      <c r="B1249" s="6" t="s">
        <v>2747</v>
      </c>
      <c r="C1249" s="6" t="s">
        <v>1411</v>
      </c>
      <c r="D1249" s="6" t="str">
        <f aca="false">A1249&amp;"|"&amp;C1249</f>
        <v>4|Destroyer</v>
      </c>
      <c r="E1249" s="6" t="s">
        <v>1556</v>
      </c>
      <c r="F1249" s="6" t="s">
        <v>1548</v>
      </c>
      <c r="G1249" s="6" t="str">
        <f aca="false">INDEX(Archetypes!$D$2:$D$127, MATCH(D1249, Archetypes!$A$2:$A$127, 0))</f>
        <v>Naval Escort</v>
      </c>
      <c r="H1249" s="6" t="n">
        <f aca="false">ROUND(INDEX(Archetypes!$E$2:$E$127, MATCH(D1249, Archetypes!$A$2:$A$127, 0))*INDEX(Unit_Grades!$B$2:$B$7, MATCH(F1249, Unit_Grades!$A$2:$A$7, 0))*INDEX(Unit_Paths!$B$2:$B$4, MATCH(E1249, Unit_Paths!$A$2:$A$4, 0)),1)</f>
        <v>546</v>
      </c>
      <c r="I1249" s="6" t="n">
        <f aca="false">ROUND(INDEX(Archetypes!$F$2:$F$127, MATCH(D1249, Archetypes!$A$2:$A$127, 0))*INDEX(Unit_Grades!$B$2:$B$7, MATCH(F1249, Unit_Grades!$A$2:$A$7, 0))*INDEX(Unit_Paths!$C$2:$C$4, MATCH(E1249, Unit_Paths!$A$2:$A$4, 0)),1)</f>
        <v>336</v>
      </c>
      <c r="J1249" s="6" t="n">
        <f aca="false">ROUND(INDEX(Archetypes!$G$2:$G$127, MATCH(D1249, Archetypes!$A$2:$A$127, 0))*INDEX(Unit_Grades!$B$2:$B$7, MATCH(F1249, Unit_Grades!$A$2:$A$7, 0))*INDEX(Unit_Paths!$D$2:$D$4, MATCH(E1249, Unit_Paths!$A$2:$A$4, 0)),0)</f>
        <v>1764</v>
      </c>
      <c r="K1249" s="6" t="n">
        <f aca="false">ROUND(INDEX(Archetypes!$H$2:$H$127, MATCH(D1249, Archetypes!$A$2:$A$127, 0))*INDEX(Unit_Paths!$E$2:$E$4, MATCH(E1249, Unit_Paths!$A$2:$A$4, 0)),1)</f>
        <v>40</v>
      </c>
      <c r="L1249" s="6" t="n">
        <f aca="false">ROUND(INDEX(Archetypes!$I$2:$I$127, MATCH(D1249, Archetypes!$A$2:$A$127, 0))*INDEX(Unit_Grades!$C$2:$C$7, MATCH(F1249, Unit_Grades!$A$2:$A$7, 0)),1)</f>
        <v>74</v>
      </c>
      <c r="M1249" s="6" t="n">
        <f aca="false">ROUND(INDEX(Archetypes!$J$2:$J$127, MATCH(D1249, Archetypes!$A$2:$A$127, 0))*INDEX(Unit_Grades!$D$2:$D$7, MATCH(F1249, Unit_Grades!$A$2:$A$7, 0)),1)</f>
        <v>97.4</v>
      </c>
      <c r="N1249" s="6" t="n">
        <f aca="false">ROUND(M1249/24,2)</f>
        <v>4.06</v>
      </c>
    </row>
    <row r="1250" customFormat="false" ht="15" hidden="false" customHeight="true" outlineLevel="0" collapsed="false">
      <c r="A1250" s="6" t="n">
        <v>4</v>
      </c>
      <c r="B1250" s="6" t="s">
        <v>2748</v>
      </c>
      <c r="C1250" s="6" t="s">
        <v>1411</v>
      </c>
      <c r="D1250" s="6" t="str">
        <f aca="false">A1250&amp;"|"&amp;C1250</f>
        <v>4|Destroyer</v>
      </c>
      <c r="E1250" s="6" t="s">
        <v>1558</v>
      </c>
      <c r="F1250" s="6" t="s">
        <v>1538</v>
      </c>
      <c r="G1250" s="6" t="str">
        <f aca="false">INDEX(Archetypes!$D$2:$D$127, MATCH(D1250, Archetypes!$A$2:$A$127, 0))</f>
        <v>Naval Escort</v>
      </c>
      <c r="H1250" s="6" t="n">
        <f aca="false">ROUND(INDEX(Archetypes!$E$2:$E$127, MATCH(D1250, Archetypes!$A$2:$A$127, 0))*INDEX(Unit_Grades!$B$2:$B$7, MATCH(F1250, Unit_Grades!$A$2:$A$7, 0))*INDEX(Unit_Paths!$B$2:$B$4, MATCH(E1250, Unit_Paths!$A$2:$A$4, 0)),1)</f>
        <v>156</v>
      </c>
      <c r="I1250" s="6" t="n">
        <f aca="false">ROUND(INDEX(Archetypes!$F$2:$F$127, MATCH(D1250, Archetypes!$A$2:$A$127, 0))*INDEX(Unit_Grades!$B$2:$B$7, MATCH(F1250, Unit_Grades!$A$2:$A$7, 0))*INDEX(Unit_Paths!$C$2:$C$4, MATCH(E1250, Unit_Paths!$A$2:$A$4, 0)),1)</f>
        <v>68</v>
      </c>
      <c r="J1250" s="6" t="n">
        <f aca="false">ROUND(INDEX(Archetypes!$G$2:$G$127, MATCH(D1250, Archetypes!$A$2:$A$127, 0))*INDEX(Unit_Grades!$B$2:$B$7, MATCH(F1250, Unit_Grades!$A$2:$A$7, 0))*INDEX(Unit_Paths!$D$2:$D$4, MATCH(E1250, Unit_Paths!$A$2:$A$4, 0)),0)</f>
        <v>399</v>
      </c>
      <c r="K1250" s="6" t="n">
        <f aca="false">ROUND(INDEX(Archetypes!$H$2:$H$127, MATCH(D1250, Archetypes!$A$2:$A$127, 0))*INDEX(Unit_Paths!$E$2:$E$4, MATCH(E1250, Unit_Paths!$A$2:$A$4, 0)),1)</f>
        <v>42</v>
      </c>
      <c r="L1250" s="6" t="n">
        <f aca="false">ROUND(INDEX(Archetypes!$I$2:$I$127, MATCH(D1250, Archetypes!$A$2:$A$127, 0))*INDEX(Unit_Grades!$C$2:$C$7, MATCH(F1250, Unit_Grades!$A$2:$A$7, 0)),1)</f>
        <v>20</v>
      </c>
      <c r="M1250" s="6" t="n">
        <f aca="false">ROUND(INDEX(Archetypes!$J$2:$J$127, MATCH(D1250, Archetypes!$A$2:$A$127, 0))*INDEX(Unit_Grades!$D$2:$D$7, MATCH(F1250, Unit_Grades!$A$2:$A$7, 0)),1)</f>
        <v>8.1</v>
      </c>
      <c r="N1250" s="6" t="n">
        <f aca="false">ROUND(M1250/24,2)</f>
        <v>0.34</v>
      </c>
    </row>
    <row r="1251" customFormat="false" ht="15" hidden="false" customHeight="true" outlineLevel="0" collapsed="false">
      <c r="A1251" s="6" t="n">
        <v>4</v>
      </c>
      <c r="B1251" s="6" t="s">
        <v>2749</v>
      </c>
      <c r="C1251" s="6" t="s">
        <v>1411</v>
      </c>
      <c r="D1251" s="6" t="str">
        <f aca="false">A1251&amp;"|"&amp;C1251</f>
        <v>4|Destroyer</v>
      </c>
      <c r="E1251" s="6" t="s">
        <v>1558</v>
      </c>
      <c r="F1251" s="6" t="s">
        <v>1540</v>
      </c>
      <c r="G1251" s="6" t="str">
        <f aca="false">INDEX(Archetypes!$D$2:$D$127, MATCH(D1251, Archetypes!$A$2:$A$127, 0))</f>
        <v>Naval Escort</v>
      </c>
      <c r="H1251" s="6" t="n">
        <f aca="false">ROUND(INDEX(Archetypes!$E$2:$E$127, MATCH(D1251, Archetypes!$A$2:$A$127, 0))*INDEX(Unit_Grades!$B$2:$B$7, MATCH(F1251, Unit_Grades!$A$2:$A$7, 0))*INDEX(Unit_Paths!$B$2:$B$4, MATCH(E1251, Unit_Paths!$A$2:$A$4, 0)),1)</f>
        <v>210.6</v>
      </c>
      <c r="I1251" s="6" t="n">
        <f aca="false">ROUND(INDEX(Archetypes!$F$2:$F$127, MATCH(D1251, Archetypes!$A$2:$A$127, 0))*INDEX(Unit_Grades!$B$2:$B$7, MATCH(F1251, Unit_Grades!$A$2:$A$7, 0))*INDEX(Unit_Paths!$C$2:$C$4, MATCH(E1251, Unit_Paths!$A$2:$A$4, 0)),1)</f>
        <v>91.8</v>
      </c>
      <c r="J1251" s="6" t="n">
        <f aca="false">ROUND(INDEX(Archetypes!$G$2:$G$127, MATCH(D1251, Archetypes!$A$2:$A$127, 0))*INDEX(Unit_Grades!$B$2:$B$7, MATCH(F1251, Unit_Grades!$A$2:$A$7, 0))*INDEX(Unit_Paths!$D$2:$D$4, MATCH(E1251, Unit_Paths!$A$2:$A$4, 0)),0)</f>
        <v>539</v>
      </c>
      <c r="K1251" s="6" t="n">
        <f aca="false">ROUND(INDEX(Archetypes!$H$2:$H$127, MATCH(D1251, Archetypes!$A$2:$A$127, 0))*INDEX(Unit_Paths!$E$2:$E$4, MATCH(E1251, Unit_Paths!$A$2:$A$4, 0)),1)</f>
        <v>42</v>
      </c>
      <c r="L1251" s="6" t="n">
        <f aca="false">ROUND(INDEX(Archetypes!$I$2:$I$127, MATCH(D1251, Archetypes!$A$2:$A$127, 0))*INDEX(Unit_Grades!$C$2:$C$7, MATCH(F1251, Unit_Grades!$A$2:$A$7, 0)),1)</f>
        <v>25</v>
      </c>
      <c r="M1251" s="6" t="n">
        <f aca="false">ROUND(INDEX(Archetypes!$J$2:$J$127, MATCH(D1251, Archetypes!$A$2:$A$127, 0))*INDEX(Unit_Grades!$D$2:$D$7, MATCH(F1251, Unit_Grades!$A$2:$A$7, 0)),1)</f>
        <v>12.2</v>
      </c>
      <c r="N1251" s="6" t="n">
        <f aca="false">ROUND(M1251/24,2)</f>
        <v>0.51</v>
      </c>
    </row>
    <row r="1252" customFormat="false" ht="15" hidden="false" customHeight="true" outlineLevel="0" collapsed="false">
      <c r="A1252" s="6" t="n">
        <v>4</v>
      </c>
      <c r="B1252" s="6" t="s">
        <v>2750</v>
      </c>
      <c r="C1252" s="6" t="s">
        <v>1411</v>
      </c>
      <c r="D1252" s="6" t="str">
        <f aca="false">A1252&amp;"|"&amp;C1252</f>
        <v>4|Destroyer</v>
      </c>
      <c r="E1252" s="6" t="s">
        <v>1558</v>
      </c>
      <c r="F1252" s="6" t="s">
        <v>1542</v>
      </c>
      <c r="G1252" s="6" t="str">
        <f aca="false">INDEX(Archetypes!$D$2:$D$127, MATCH(D1252, Archetypes!$A$2:$A$127, 0))</f>
        <v>Naval Escort</v>
      </c>
      <c r="H1252" s="6" t="n">
        <f aca="false">ROUND(INDEX(Archetypes!$E$2:$E$127, MATCH(D1252, Archetypes!$A$2:$A$127, 0))*INDEX(Unit_Grades!$B$2:$B$7, MATCH(F1252, Unit_Grades!$A$2:$A$7, 0))*INDEX(Unit_Paths!$B$2:$B$4, MATCH(E1252, Unit_Paths!$A$2:$A$4, 0)),1)</f>
        <v>280.8</v>
      </c>
      <c r="I1252" s="6" t="n">
        <f aca="false">ROUND(INDEX(Archetypes!$F$2:$F$127, MATCH(D1252, Archetypes!$A$2:$A$127, 0))*INDEX(Unit_Grades!$B$2:$B$7, MATCH(F1252, Unit_Grades!$A$2:$A$7, 0))*INDEX(Unit_Paths!$C$2:$C$4, MATCH(E1252, Unit_Paths!$A$2:$A$4, 0)),1)</f>
        <v>122.4</v>
      </c>
      <c r="J1252" s="6" t="n">
        <f aca="false">ROUND(INDEX(Archetypes!$G$2:$G$127, MATCH(D1252, Archetypes!$A$2:$A$127, 0))*INDEX(Unit_Grades!$B$2:$B$7, MATCH(F1252, Unit_Grades!$A$2:$A$7, 0))*INDEX(Unit_Paths!$D$2:$D$4, MATCH(E1252, Unit_Paths!$A$2:$A$4, 0)),0)</f>
        <v>718</v>
      </c>
      <c r="K1252" s="6" t="n">
        <f aca="false">ROUND(INDEX(Archetypes!$H$2:$H$127, MATCH(D1252, Archetypes!$A$2:$A$127, 0))*INDEX(Unit_Paths!$E$2:$E$4, MATCH(E1252, Unit_Paths!$A$2:$A$4, 0)),1)</f>
        <v>42</v>
      </c>
      <c r="L1252" s="6" t="n">
        <f aca="false">ROUND(INDEX(Archetypes!$I$2:$I$127, MATCH(D1252, Archetypes!$A$2:$A$127, 0))*INDEX(Unit_Grades!$C$2:$C$7, MATCH(F1252, Unit_Grades!$A$2:$A$7, 0)),1)</f>
        <v>32</v>
      </c>
      <c r="M1252" s="6" t="n">
        <f aca="false">ROUND(INDEX(Archetypes!$J$2:$J$127, MATCH(D1252, Archetypes!$A$2:$A$127, 0))*INDEX(Unit_Grades!$D$2:$D$7, MATCH(F1252, Unit_Grades!$A$2:$A$7, 0)),1)</f>
        <v>20.3</v>
      </c>
      <c r="N1252" s="6" t="n">
        <f aca="false">ROUND(M1252/24,2)</f>
        <v>0.85</v>
      </c>
    </row>
    <row r="1253" customFormat="false" ht="15" hidden="false" customHeight="true" outlineLevel="0" collapsed="false">
      <c r="A1253" s="6" t="n">
        <v>4</v>
      </c>
      <c r="B1253" s="6" t="s">
        <v>2751</v>
      </c>
      <c r="C1253" s="6" t="s">
        <v>1411</v>
      </c>
      <c r="D1253" s="6" t="str">
        <f aca="false">A1253&amp;"|"&amp;C1253</f>
        <v>4|Destroyer</v>
      </c>
      <c r="E1253" s="6" t="s">
        <v>1558</v>
      </c>
      <c r="F1253" s="6" t="s">
        <v>1544</v>
      </c>
      <c r="G1253" s="6" t="str">
        <f aca="false">INDEX(Archetypes!$D$2:$D$127, MATCH(D1253, Archetypes!$A$2:$A$127, 0))</f>
        <v>Naval Escort</v>
      </c>
      <c r="H1253" s="6" t="n">
        <f aca="false">ROUND(INDEX(Archetypes!$E$2:$E$127, MATCH(D1253, Archetypes!$A$2:$A$127, 0))*INDEX(Unit_Grades!$B$2:$B$7, MATCH(F1253, Unit_Grades!$A$2:$A$7, 0))*INDEX(Unit_Paths!$B$2:$B$4, MATCH(E1253, Unit_Paths!$A$2:$A$4, 0)),1)</f>
        <v>374.4</v>
      </c>
      <c r="I1253" s="6" t="n">
        <f aca="false">ROUND(INDEX(Archetypes!$F$2:$F$127, MATCH(D1253, Archetypes!$A$2:$A$127, 0))*INDEX(Unit_Grades!$B$2:$B$7, MATCH(F1253, Unit_Grades!$A$2:$A$7, 0))*INDEX(Unit_Paths!$C$2:$C$4, MATCH(E1253, Unit_Paths!$A$2:$A$4, 0)),1)</f>
        <v>163.2</v>
      </c>
      <c r="J1253" s="6" t="n">
        <f aca="false">ROUND(INDEX(Archetypes!$G$2:$G$127, MATCH(D1253, Archetypes!$A$2:$A$127, 0))*INDEX(Unit_Grades!$B$2:$B$7, MATCH(F1253, Unit_Grades!$A$2:$A$7, 0))*INDEX(Unit_Paths!$D$2:$D$4, MATCH(E1253, Unit_Paths!$A$2:$A$4, 0)),0)</f>
        <v>958</v>
      </c>
      <c r="K1253" s="6" t="n">
        <f aca="false">ROUND(INDEX(Archetypes!$H$2:$H$127, MATCH(D1253, Archetypes!$A$2:$A$127, 0))*INDEX(Unit_Paths!$E$2:$E$4, MATCH(E1253, Unit_Paths!$A$2:$A$4, 0)),1)</f>
        <v>42</v>
      </c>
      <c r="L1253" s="6" t="n">
        <f aca="false">ROUND(INDEX(Archetypes!$I$2:$I$127, MATCH(D1253, Archetypes!$A$2:$A$127, 0))*INDEX(Unit_Grades!$C$2:$C$7, MATCH(F1253, Unit_Grades!$A$2:$A$7, 0)),1)</f>
        <v>42</v>
      </c>
      <c r="M1253" s="6" t="n">
        <f aca="false">ROUND(INDEX(Archetypes!$J$2:$J$127, MATCH(D1253, Archetypes!$A$2:$A$127, 0))*INDEX(Unit_Grades!$D$2:$D$7, MATCH(F1253, Unit_Grades!$A$2:$A$7, 0)),1)</f>
        <v>32.5</v>
      </c>
      <c r="N1253" s="6" t="n">
        <f aca="false">ROUND(M1253/24,2)</f>
        <v>1.35</v>
      </c>
    </row>
    <row r="1254" customFormat="false" ht="15" hidden="false" customHeight="true" outlineLevel="0" collapsed="false">
      <c r="A1254" s="6" t="n">
        <v>4</v>
      </c>
      <c r="B1254" s="6" t="s">
        <v>2752</v>
      </c>
      <c r="C1254" s="6" t="s">
        <v>1411</v>
      </c>
      <c r="D1254" s="6" t="str">
        <f aca="false">A1254&amp;"|"&amp;C1254</f>
        <v>4|Destroyer</v>
      </c>
      <c r="E1254" s="6" t="s">
        <v>1558</v>
      </c>
      <c r="F1254" s="6" t="s">
        <v>1546</v>
      </c>
      <c r="G1254" s="6" t="str">
        <f aca="false">INDEX(Archetypes!$D$2:$D$127, MATCH(D1254, Archetypes!$A$2:$A$127, 0))</f>
        <v>Naval Escort</v>
      </c>
      <c r="H1254" s="6" t="n">
        <f aca="false">ROUND(INDEX(Archetypes!$E$2:$E$127, MATCH(D1254, Archetypes!$A$2:$A$127, 0))*INDEX(Unit_Grades!$B$2:$B$7, MATCH(F1254, Unit_Grades!$A$2:$A$7, 0))*INDEX(Unit_Paths!$B$2:$B$4, MATCH(E1254, Unit_Paths!$A$2:$A$4, 0)),1)</f>
        <v>499.2</v>
      </c>
      <c r="I1254" s="6" t="n">
        <f aca="false">ROUND(INDEX(Archetypes!$F$2:$F$127, MATCH(D1254, Archetypes!$A$2:$A$127, 0))*INDEX(Unit_Grades!$B$2:$B$7, MATCH(F1254, Unit_Grades!$A$2:$A$7, 0))*INDEX(Unit_Paths!$C$2:$C$4, MATCH(E1254, Unit_Paths!$A$2:$A$4, 0)),1)</f>
        <v>217.6</v>
      </c>
      <c r="J1254" s="6" t="n">
        <f aca="false">ROUND(INDEX(Archetypes!$G$2:$G$127, MATCH(D1254, Archetypes!$A$2:$A$127, 0))*INDEX(Unit_Grades!$B$2:$B$7, MATCH(F1254, Unit_Grades!$A$2:$A$7, 0))*INDEX(Unit_Paths!$D$2:$D$4, MATCH(E1254, Unit_Paths!$A$2:$A$4, 0)),0)</f>
        <v>1277</v>
      </c>
      <c r="K1254" s="6" t="n">
        <f aca="false">ROUND(INDEX(Archetypes!$H$2:$H$127, MATCH(D1254, Archetypes!$A$2:$A$127, 0))*INDEX(Unit_Paths!$E$2:$E$4, MATCH(E1254, Unit_Paths!$A$2:$A$4, 0)),1)</f>
        <v>42</v>
      </c>
      <c r="L1254" s="6" t="n">
        <f aca="false">ROUND(INDEX(Archetypes!$I$2:$I$127, MATCH(D1254, Archetypes!$A$2:$A$127, 0))*INDEX(Unit_Grades!$C$2:$C$7, MATCH(F1254, Unit_Grades!$A$2:$A$7, 0)),1)</f>
        <v>56</v>
      </c>
      <c r="M1254" s="6" t="n">
        <f aca="false">ROUND(INDEX(Archetypes!$J$2:$J$127, MATCH(D1254, Archetypes!$A$2:$A$127, 0))*INDEX(Unit_Grades!$D$2:$D$7, MATCH(F1254, Unit_Grades!$A$2:$A$7, 0)),1)</f>
        <v>56.8</v>
      </c>
      <c r="N1254" s="6" t="n">
        <f aca="false">ROUND(M1254/24,2)</f>
        <v>2.37</v>
      </c>
    </row>
    <row r="1255" customFormat="false" ht="15" hidden="false" customHeight="true" outlineLevel="0" collapsed="false">
      <c r="A1255" s="6" t="n">
        <v>4</v>
      </c>
      <c r="B1255" s="6" t="s">
        <v>2753</v>
      </c>
      <c r="C1255" s="6" t="s">
        <v>1411</v>
      </c>
      <c r="D1255" s="6" t="str">
        <f aca="false">A1255&amp;"|"&amp;C1255</f>
        <v>4|Destroyer</v>
      </c>
      <c r="E1255" s="6" t="s">
        <v>1558</v>
      </c>
      <c r="F1255" s="6" t="s">
        <v>1548</v>
      </c>
      <c r="G1255" s="6" t="str">
        <f aca="false">INDEX(Archetypes!$D$2:$D$127, MATCH(D1255, Archetypes!$A$2:$A$127, 0))</f>
        <v>Naval Escort</v>
      </c>
      <c r="H1255" s="6" t="n">
        <f aca="false">ROUND(INDEX(Archetypes!$E$2:$E$127, MATCH(D1255, Archetypes!$A$2:$A$127, 0))*INDEX(Unit_Grades!$B$2:$B$7, MATCH(F1255, Unit_Grades!$A$2:$A$7, 0))*INDEX(Unit_Paths!$B$2:$B$4, MATCH(E1255, Unit_Paths!$A$2:$A$4, 0)),1)</f>
        <v>655.2</v>
      </c>
      <c r="I1255" s="6" t="n">
        <f aca="false">ROUND(INDEX(Archetypes!$F$2:$F$127, MATCH(D1255, Archetypes!$A$2:$A$127, 0))*INDEX(Unit_Grades!$B$2:$B$7, MATCH(F1255, Unit_Grades!$A$2:$A$7, 0))*INDEX(Unit_Paths!$C$2:$C$4, MATCH(E1255, Unit_Paths!$A$2:$A$4, 0)),1)</f>
        <v>285.6</v>
      </c>
      <c r="J1255" s="6" t="n">
        <f aca="false">ROUND(INDEX(Archetypes!$G$2:$G$127, MATCH(D1255, Archetypes!$A$2:$A$127, 0))*INDEX(Unit_Grades!$B$2:$B$7, MATCH(F1255, Unit_Grades!$A$2:$A$7, 0))*INDEX(Unit_Paths!$D$2:$D$4, MATCH(E1255, Unit_Paths!$A$2:$A$4, 0)),0)</f>
        <v>1676</v>
      </c>
      <c r="K1255" s="6" t="n">
        <f aca="false">ROUND(INDEX(Archetypes!$H$2:$H$127, MATCH(D1255, Archetypes!$A$2:$A$127, 0))*INDEX(Unit_Paths!$E$2:$E$4, MATCH(E1255, Unit_Paths!$A$2:$A$4, 0)),1)</f>
        <v>42</v>
      </c>
      <c r="L1255" s="6" t="n">
        <f aca="false">ROUND(INDEX(Archetypes!$I$2:$I$127, MATCH(D1255, Archetypes!$A$2:$A$127, 0))*INDEX(Unit_Grades!$C$2:$C$7, MATCH(F1255, Unit_Grades!$A$2:$A$7, 0)),1)</f>
        <v>74</v>
      </c>
      <c r="M1255" s="6" t="n">
        <f aca="false">ROUND(INDEX(Archetypes!$J$2:$J$127, MATCH(D1255, Archetypes!$A$2:$A$127, 0))*INDEX(Unit_Grades!$D$2:$D$7, MATCH(F1255, Unit_Grades!$A$2:$A$7, 0)),1)</f>
        <v>97.4</v>
      </c>
      <c r="N1255" s="6" t="n">
        <f aca="false">ROUND(M1255/24,2)</f>
        <v>4.06</v>
      </c>
    </row>
    <row r="1256" customFormat="false" ht="15" hidden="false" customHeight="true" outlineLevel="0" collapsed="false">
      <c r="A1256" s="6" t="n">
        <v>4</v>
      </c>
      <c r="B1256" s="6" t="s">
        <v>2754</v>
      </c>
      <c r="C1256" s="6" t="s">
        <v>1411</v>
      </c>
      <c r="D1256" s="6" t="str">
        <f aca="false">A1256&amp;"|"&amp;C1256</f>
        <v>4|Destroyer</v>
      </c>
      <c r="E1256" s="6" t="s">
        <v>1560</v>
      </c>
      <c r="F1256" s="6" t="s">
        <v>1538</v>
      </c>
      <c r="G1256" s="6" t="str">
        <f aca="false">INDEX(Archetypes!$D$2:$D$127, MATCH(D1256, Archetypes!$A$2:$A$127, 0))</f>
        <v>Naval Escort</v>
      </c>
      <c r="H1256" s="6" t="n">
        <f aca="false">ROUND(INDEX(Archetypes!$E$2:$E$127, MATCH(D1256, Archetypes!$A$2:$A$127, 0))*INDEX(Unit_Grades!$B$2:$B$7, MATCH(F1256, Unit_Grades!$A$2:$A$7, 0))*INDEX(Unit_Paths!$B$2:$B$4, MATCH(E1256, Unit_Paths!$A$2:$A$4, 0)),1)</f>
        <v>110.5</v>
      </c>
      <c r="I1256" s="6" t="n">
        <f aca="false">ROUND(INDEX(Archetypes!$F$2:$F$127, MATCH(D1256, Archetypes!$A$2:$A$127, 0))*INDEX(Unit_Grades!$B$2:$B$7, MATCH(F1256, Unit_Grades!$A$2:$A$7, 0))*INDEX(Unit_Paths!$C$2:$C$4, MATCH(E1256, Unit_Paths!$A$2:$A$4, 0)),1)</f>
        <v>100</v>
      </c>
      <c r="J1256" s="6" t="n">
        <f aca="false">ROUND(INDEX(Archetypes!$G$2:$G$127, MATCH(D1256, Archetypes!$A$2:$A$127, 0))*INDEX(Unit_Grades!$B$2:$B$7, MATCH(F1256, Unit_Grades!$A$2:$A$7, 0))*INDEX(Unit_Paths!$D$2:$D$4, MATCH(E1256, Unit_Paths!$A$2:$A$4, 0)),0)</f>
        <v>483</v>
      </c>
      <c r="K1256" s="6" t="n">
        <f aca="false">ROUND(INDEX(Archetypes!$H$2:$H$127, MATCH(D1256, Archetypes!$A$2:$A$127, 0))*INDEX(Unit_Paths!$E$2:$E$4, MATCH(E1256, Unit_Paths!$A$2:$A$4, 0)),1)</f>
        <v>36.8</v>
      </c>
      <c r="L1256" s="6" t="n">
        <f aca="false">ROUND(INDEX(Archetypes!$I$2:$I$127, MATCH(D1256, Archetypes!$A$2:$A$127, 0))*INDEX(Unit_Grades!$C$2:$C$7, MATCH(F1256, Unit_Grades!$A$2:$A$7, 0)),1)</f>
        <v>20</v>
      </c>
      <c r="M1256" s="6" t="n">
        <f aca="false">ROUND(INDEX(Archetypes!$J$2:$J$127, MATCH(D1256, Archetypes!$A$2:$A$127, 0))*INDEX(Unit_Grades!$D$2:$D$7, MATCH(F1256, Unit_Grades!$A$2:$A$7, 0)),1)</f>
        <v>8.1</v>
      </c>
      <c r="N1256" s="6" t="n">
        <f aca="false">ROUND(M1256/24,2)</f>
        <v>0.34</v>
      </c>
    </row>
    <row r="1257" customFormat="false" ht="15" hidden="false" customHeight="true" outlineLevel="0" collapsed="false">
      <c r="A1257" s="6" t="n">
        <v>4</v>
      </c>
      <c r="B1257" s="6" t="s">
        <v>2755</v>
      </c>
      <c r="C1257" s="6" t="s">
        <v>1411</v>
      </c>
      <c r="D1257" s="6" t="str">
        <f aca="false">A1257&amp;"|"&amp;C1257</f>
        <v>4|Destroyer</v>
      </c>
      <c r="E1257" s="6" t="s">
        <v>1560</v>
      </c>
      <c r="F1257" s="6" t="s">
        <v>1540</v>
      </c>
      <c r="G1257" s="6" t="str">
        <f aca="false">INDEX(Archetypes!$D$2:$D$127, MATCH(D1257, Archetypes!$A$2:$A$127, 0))</f>
        <v>Naval Escort</v>
      </c>
      <c r="H1257" s="6" t="n">
        <f aca="false">ROUND(INDEX(Archetypes!$E$2:$E$127, MATCH(D1257, Archetypes!$A$2:$A$127, 0))*INDEX(Unit_Grades!$B$2:$B$7, MATCH(F1257, Unit_Grades!$A$2:$A$7, 0))*INDEX(Unit_Paths!$B$2:$B$4, MATCH(E1257, Unit_Paths!$A$2:$A$4, 0)),1)</f>
        <v>149.2</v>
      </c>
      <c r="I1257" s="6" t="n">
        <f aca="false">ROUND(INDEX(Archetypes!$F$2:$F$127, MATCH(D1257, Archetypes!$A$2:$A$127, 0))*INDEX(Unit_Grades!$B$2:$B$7, MATCH(F1257, Unit_Grades!$A$2:$A$7, 0))*INDEX(Unit_Paths!$C$2:$C$4, MATCH(E1257, Unit_Paths!$A$2:$A$4, 0)),1)</f>
        <v>135</v>
      </c>
      <c r="J1257" s="6" t="n">
        <f aca="false">ROUND(INDEX(Archetypes!$G$2:$G$127, MATCH(D1257, Archetypes!$A$2:$A$127, 0))*INDEX(Unit_Grades!$B$2:$B$7, MATCH(F1257, Unit_Grades!$A$2:$A$7, 0))*INDEX(Unit_Paths!$D$2:$D$4, MATCH(E1257, Unit_Paths!$A$2:$A$4, 0)),0)</f>
        <v>652</v>
      </c>
      <c r="K1257" s="6" t="n">
        <f aca="false">ROUND(INDEX(Archetypes!$H$2:$H$127, MATCH(D1257, Archetypes!$A$2:$A$127, 0))*INDEX(Unit_Paths!$E$2:$E$4, MATCH(E1257, Unit_Paths!$A$2:$A$4, 0)),1)</f>
        <v>36.8</v>
      </c>
      <c r="L1257" s="6" t="n">
        <f aca="false">ROUND(INDEX(Archetypes!$I$2:$I$127, MATCH(D1257, Archetypes!$A$2:$A$127, 0))*INDEX(Unit_Grades!$C$2:$C$7, MATCH(F1257, Unit_Grades!$A$2:$A$7, 0)),1)</f>
        <v>25</v>
      </c>
      <c r="M1257" s="6" t="n">
        <f aca="false">ROUND(INDEX(Archetypes!$J$2:$J$127, MATCH(D1257, Archetypes!$A$2:$A$127, 0))*INDEX(Unit_Grades!$D$2:$D$7, MATCH(F1257, Unit_Grades!$A$2:$A$7, 0)),1)</f>
        <v>12.2</v>
      </c>
      <c r="N1257" s="6" t="n">
        <f aca="false">ROUND(M1257/24,2)</f>
        <v>0.51</v>
      </c>
    </row>
    <row r="1258" customFormat="false" ht="15" hidden="false" customHeight="true" outlineLevel="0" collapsed="false">
      <c r="A1258" s="6" t="n">
        <v>4</v>
      </c>
      <c r="B1258" s="6" t="s">
        <v>2756</v>
      </c>
      <c r="C1258" s="6" t="s">
        <v>1411</v>
      </c>
      <c r="D1258" s="6" t="str">
        <f aca="false">A1258&amp;"|"&amp;C1258</f>
        <v>4|Destroyer</v>
      </c>
      <c r="E1258" s="6" t="s">
        <v>1560</v>
      </c>
      <c r="F1258" s="6" t="s">
        <v>1542</v>
      </c>
      <c r="G1258" s="6" t="str">
        <f aca="false">INDEX(Archetypes!$D$2:$D$127, MATCH(D1258, Archetypes!$A$2:$A$127, 0))</f>
        <v>Naval Escort</v>
      </c>
      <c r="H1258" s="6" t="n">
        <f aca="false">ROUND(INDEX(Archetypes!$E$2:$E$127, MATCH(D1258, Archetypes!$A$2:$A$127, 0))*INDEX(Unit_Grades!$B$2:$B$7, MATCH(F1258, Unit_Grades!$A$2:$A$7, 0))*INDEX(Unit_Paths!$B$2:$B$4, MATCH(E1258, Unit_Paths!$A$2:$A$4, 0)),1)</f>
        <v>198.9</v>
      </c>
      <c r="I1258" s="6" t="n">
        <f aca="false">ROUND(INDEX(Archetypes!$F$2:$F$127, MATCH(D1258, Archetypes!$A$2:$A$127, 0))*INDEX(Unit_Grades!$B$2:$B$7, MATCH(F1258, Unit_Grades!$A$2:$A$7, 0))*INDEX(Unit_Paths!$C$2:$C$4, MATCH(E1258, Unit_Paths!$A$2:$A$4, 0)),1)</f>
        <v>180</v>
      </c>
      <c r="J1258" s="6" t="n">
        <f aca="false">ROUND(INDEX(Archetypes!$G$2:$G$127, MATCH(D1258, Archetypes!$A$2:$A$127, 0))*INDEX(Unit_Grades!$B$2:$B$7, MATCH(F1258, Unit_Grades!$A$2:$A$7, 0))*INDEX(Unit_Paths!$D$2:$D$4, MATCH(E1258, Unit_Paths!$A$2:$A$4, 0)),0)</f>
        <v>869</v>
      </c>
      <c r="K1258" s="6" t="n">
        <f aca="false">ROUND(INDEX(Archetypes!$H$2:$H$127, MATCH(D1258, Archetypes!$A$2:$A$127, 0))*INDEX(Unit_Paths!$E$2:$E$4, MATCH(E1258, Unit_Paths!$A$2:$A$4, 0)),1)</f>
        <v>36.8</v>
      </c>
      <c r="L1258" s="6" t="n">
        <f aca="false">ROUND(INDEX(Archetypes!$I$2:$I$127, MATCH(D1258, Archetypes!$A$2:$A$127, 0))*INDEX(Unit_Grades!$C$2:$C$7, MATCH(F1258, Unit_Grades!$A$2:$A$7, 0)),1)</f>
        <v>32</v>
      </c>
      <c r="M1258" s="6" t="n">
        <f aca="false">ROUND(INDEX(Archetypes!$J$2:$J$127, MATCH(D1258, Archetypes!$A$2:$A$127, 0))*INDEX(Unit_Grades!$D$2:$D$7, MATCH(F1258, Unit_Grades!$A$2:$A$7, 0)),1)</f>
        <v>20.3</v>
      </c>
      <c r="N1258" s="6" t="n">
        <f aca="false">ROUND(M1258/24,2)</f>
        <v>0.85</v>
      </c>
    </row>
    <row r="1259" customFormat="false" ht="15" hidden="false" customHeight="true" outlineLevel="0" collapsed="false">
      <c r="A1259" s="6" t="n">
        <v>4</v>
      </c>
      <c r="B1259" s="6" t="s">
        <v>2757</v>
      </c>
      <c r="C1259" s="6" t="s">
        <v>1411</v>
      </c>
      <c r="D1259" s="6" t="str">
        <f aca="false">A1259&amp;"|"&amp;C1259</f>
        <v>4|Destroyer</v>
      </c>
      <c r="E1259" s="6" t="s">
        <v>1560</v>
      </c>
      <c r="F1259" s="6" t="s">
        <v>1544</v>
      </c>
      <c r="G1259" s="6" t="str">
        <f aca="false">INDEX(Archetypes!$D$2:$D$127, MATCH(D1259, Archetypes!$A$2:$A$127, 0))</f>
        <v>Naval Escort</v>
      </c>
      <c r="H1259" s="6" t="n">
        <f aca="false">ROUND(INDEX(Archetypes!$E$2:$E$127, MATCH(D1259, Archetypes!$A$2:$A$127, 0))*INDEX(Unit_Grades!$B$2:$B$7, MATCH(F1259, Unit_Grades!$A$2:$A$7, 0))*INDEX(Unit_Paths!$B$2:$B$4, MATCH(E1259, Unit_Paths!$A$2:$A$4, 0)),1)</f>
        <v>265.2</v>
      </c>
      <c r="I1259" s="6" t="n">
        <f aca="false">ROUND(INDEX(Archetypes!$F$2:$F$127, MATCH(D1259, Archetypes!$A$2:$A$127, 0))*INDEX(Unit_Grades!$B$2:$B$7, MATCH(F1259, Unit_Grades!$A$2:$A$7, 0))*INDEX(Unit_Paths!$C$2:$C$4, MATCH(E1259, Unit_Paths!$A$2:$A$4, 0)),1)</f>
        <v>240</v>
      </c>
      <c r="J1259" s="6" t="n">
        <f aca="false">ROUND(INDEX(Archetypes!$G$2:$G$127, MATCH(D1259, Archetypes!$A$2:$A$127, 0))*INDEX(Unit_Grades!$B$2:$B$7, MATCH(F1259, Unit_Grades!$A$2:$A$7, 0))*INDEX(Unit_Paths!$D$2:$D$4, MATCH(E1259, Unit_Paths!$A$2:$A$4, 0)),0)</f>
        <v>1159</v>
      </c>
      <c r="K1259" s="6" t="n">
        <f aca="false">ROUND(INDEX(Archetypes!$H$2:$H$127, MATCH(D1259, Archetypes!$A$2:$A$127, 0))*INDEX(Unit_Paths!$E$2:$E$4, MATCH(E1259, Unit_Paths!$A$2:$A$4, 0)),1)</f>
        <v>36.8</v>
      </c>
      <c r="L1259" s="6" t="n">
        <f aca="false">ROUND(INDEX(Archetypes!$I$2:$I$127, MATCH(D1259, Archetypes!$A$2:$A$127, 0))*INDEX(Unit_Grades!$C$2:$C$7, MATCH(F1259, Unit_Grades!$A$2:$A$7, 0)),1)</f>
        <v>42</v>
      </c>
      <c r="M1259" s="6" t="n">
        <f aca="false">ROUND(INDEX(Archetypes!$J$2:$J$127, MATCH(D1259, Archetypes!$A$2:$A$127, 0))*INDEX(Unit_Grades!$D$2:$D$7, MATCH(F1259, Unit_Grades!$A$2:$A$7, 0)),1)</f>
        <v>32.5</v>
      </c>
      <c r="N1259" s="6" t="n">
        <f aca="false">ROUND(M1259/24,2)</f>
        <v>1.35</v>
      </c>
    </row>
    <row r="1260" customFormat="false" ht="15" hidden="false" customHeight="true" outlineLevel="0" collapsed="false">
      <c r="A1260" s="6" t="n">
        <v>4</v>
      </c>
      <c r="B1260" s="6" t="s">
        <v>2758</v>
      </c>
      <c r="C1260" s="6" t="s">
        <v>1411</v>
      </c>
      <c r="D1260" s="6" t="str">
        <f aca="false">A1260&amp;"|"&amp;C1260</f>
        <v>4|Destroyer</v>
      </c>
      <c r="E1260" s="6" t="s">
        <v>1560</v>
      </c>
      <c r="F1260" s="6" t="s">
        <v>1546</v>
      </c>
      <c r="G1260" s="6" t="str">
        <f aca="false">INDEX(Archetypes!$D$2:$D$127, MATCH(D1260, Archetypes!$A$2:$A$127, 0))</f>
        <v>Naval Escort</v>
      </c>
      <c r="H1260" s="6" t="n">
        <f aca="false">ROUND(INDEX(Archetypes!$E$2:$E$127, MATCH(D1260, Archetypes!$A$2:$A$127, 0))*INDEX(Unit_Grades!$B$2:$B$7, MATCH(F1260, Unit_Grades!$A$2:$A$7, 0))*INDEX(Unit_Paths!$B$2:$B$4, MATCH(E1260, Unit_Paths!$A$2:$A$4, 0)),1)</f>
        <v>353.6</v>
      </c>
      <c r="I1260" s="6" t="n">
        <f aca="false">ROUND(INDEX(Archetypes!$F$2:$F$127, MATCH(D1260, Archetypes!$A$2:$A$127, 0))*INDEX(Unit_Grades!$B$2:$B$7, MATCH(F1260, Unit_Grades!$A$2:$A$7, 0))*INDEX(Unit_Paths!$C$2:$C$4, MATCH(E1260, Unit_Paths!$A$2:$A$4, 0)),1)</f>
        <v>320</v>
      </c>
      <c r="J1260" s="6" t="n">
        <f aca="false">ROUND(INDEX(Archetypes!$G$2:$G$127, MATCH(D1260, Archetypes!$A$2:$A$127, 0))*INDEX(Unit_Grades!$B$2:$B$7, MATCH(F1260, Unit_Grades!$A$2:$A$7, 0))*INDEX(Unit_Paths!$D$2:$D$4, MATCH(E1260, Unit_Paths!$A$2:$A$4, 0)),0)</f>
        <v>1546</v>
      </c>
      <c r="K1260" s="6" t="n">
        <f aca="false">ROUND(INDEX(Archetypes!$H$2:$H$127, MATCH(D1260, Archetypes!$A$2:$A$127, 0))*INDEX(Unit_Paths!$E$2:$E$4, MATCH(E1260, Unit_Paths!$A$2:$A$4, 0)),1)</f>
        <v>36.8</v>
      </c>
      <c r="L1260" s="6" t="n">
        <f aca="false">ROUND(INDEX(Archetypes!$I$2:$I$127, MATCH(D1260, Archetypes!$A$2:$A$127, 0))*INDEX(Unit_Grades!$C$2:$C$7, MATCH(F1260, Unit_Grades!$A$2:$A$7, 0)),1)</f>
        <v>56</v>
      </c>
      <c r="M1260" s="6" t="n">
        <f aca="false">ROUND(INDEX(Archetypes!$J$2:$J$127, MATCH(D1260, Archetypes!$A$2:$A$127, 0))*INDEX(Unit_Grades!$D$2:$D$7, MATCH(F1260, Unit_Grades!$A$2:$A$7, 0)),1)</f>
        <v>56.8</v>
      </c>
      <c r="N1260" s="6" t="n">
        <f aca="false">ROUND(M1260/24,2)</f>
        <v>2.37</v>
      </c>
    </row>
    <row r="1261" customFormat="false" ht="15" hidden="false" customHeight="true" outlineLevel="0" collapsed="false">
      <c r="A1261" s="6" t="n">
        <v>4</v>
      </c>
      <c r="B1261" s="6" t="s">
        <v>2759</v>
      </c>
      <c r="C1261" s="6" t="s">
        <v>1411</v>
      </c>
      <c r="D1261" s="6" t="str">
        <f aca="false">A1261&amp;"|"&amp;C1261</f>
        <v>4|Destroyer</v>
      </c>
      <c r="E1261" s="6" t="s">
        <v>1560</v>
      </c>
      <c r="F1261" s="6" t="s">
        <v>1548</v>
      </c>
      <c r="G1261" s="6" t="str">
        <f aca="false">INDEX(Archetypes!$D$2:$D$127, MATCH(D1261, Archetypes!$A$2:$A$127, 0))</f>
        <v>Naval Escort</v>
      </c>
      <c r="H1261" s="6" t="n">
        <f aca="false">ROUND(INDEX(Archetypes!$E$2:$E$127, MATCH(D1261, Archetypes!$A$2:$A$127, 0))*INDEX(Unit_Grades!$B$2:$B$7, MATCH(F1261, Unit_Grades!$A$2:$A$7, 0))*INDEX(Unit_Paths!$B$2:$B$4, MATCH(E1261, Unit_Paths!$A$2:$A$4, 0)),1)</f>
        <v>464.1</v>
      </c>
      <c r="I1261" s="6" t="n">
        <f aca="false">ROUND(INDEX(Archetypes!$F$2:$F$127, MATCH(D1261, Archetypes!$A$2:$A$127, 0))*INDEX(Unit_Grades!$B$2:$B$7, MATCH(F1261, Unit_Grades!$A$2:$A$7, 0))*INDEX(Unit_Paths!$C$2:$C$4, MATCH(E1261, Unit_Paths!$A$2:$A$4, 0)),1)</f>
        <v>420</v>
      </c>
      <c r="J1261" s="6" t="n">
        <f aca="false">ROUND(INDEX(Archetypes!$G$2:$G$127, MATCH(D1261, Archetypes!$A$2:$A$127, 0))*INDEX(Unit_Grades!$B$2:$B$7, MATCH(F1261, Unit_Grades!$A$2:$A$7, 0))*INDEX(Unit_Paths!$D$2:$D$4, MATCH(E1261, Unit_Paths!$A$2:$A$4, 0)),0)</f>
        <v>2029</v>
      </c>
      <c r="K1261" s="6" t="n">
        <f aca="false">ROUND(INDEX(Archetypes!$H$2:$H$127, MATCH(D1261, Archetypes!$A$2:$A$127, 0))*INDEX(Unit_Paths!$E$2:$E$4, MATCH(E1261, Unit_Paths!$A$2:$A$4, 0)),1)</f>
        <v>36.8</v>
      </c>
      <c r="L1261" s="6" t="n">
        <f aca="false">ROUND(INDEX(Archetypes!$I$2:$I$127, MATCH(D1261, Archetypes!$A$2:$A$127, 0))*INDEX(Unit_Grades!$C$2:$C$7, MATCH(F1261, Unit_Grades!$A$2:$A$7, 0)),1)</f>
        <v>74</v>
      </c>
      <c r="M1261" s="6" t="n">
        <f aca="false">ROUND(INDEX(Archetypes!$J$2:$J$127, MATCH(D1261, Archetypes!$A$2:$A$127, 0))*INDEX(Unit_Grades!$D$2:$D$7, MATCH(F1261, Unit_Grades!$A$2:$A$7, 0)),1)</f>
        <v>97.4</v>
      </c>
      <c r="N1261" s="6" t="n">
        <f aca="false">ROUND(M1261/24,2)</f>
        <v>4.06</v>
      </c>
    </row>
    <row r="1262" customFormat="false" ht="15" hidden="false" customHeight="true" outlineLevel="0" collapsed="false">
      <c r="A1262" s="6" t="n">
        <v>4</v>
      </c>
      <c r="B1262" s="6" t="s">
        <v>1413</v>
      </c>
      <c r="C1262" s="6" t="s">
        <v>1413</v>
      </c>
      <c r="D1262" s="6" t="str">
        <f aca="false">A1262&amp;"|"&amp;C1262</f>
        <v>4|Battleship</v>
      </c>
      <c r="E1262" s="6" t="s">
        <v>1556</v>
      </c>
      <c r="F1262" s="6" t="s">
        <v>1538</v>
      </c>
      <c r="G1262" s="6" t="str">
        <f aca="false">INDEX(Archetypes!$D$2:$D$127, MATCH(D1262, Archetypes!$A$2:$A$127, 0))</f>
        <v>Capital</v>
      </c>
      <c r="H1262" s="6" t="n">
        <f aca="false">ROUND(INDEX(Archetypes!$E$2:$E$127, MATCH(D1262, Archetypes!$A$2:$A$127, 0))*INDEX(Unit_Grades!$B$2:$B$7, MATCH(F1262, Unit_Grades!$A$2:$A$7, 0))*INDEX(Unit_Paths!$B$2:$B$4, MATCH(E1262, Unit_Paths!$A$2:$A$4, 0)),1)</f>
        <v>240</v>
      </c>
      <c r="I1262" s="6" t="n">
        <f aca="false">ROUND(INDEX(Archetypes!$F$2:$F$127, MATCH(D1262, Archetypes!$A$2:$A$127, 0))*INDEX(Unit_Grades!$B$2:$B$7, MATCH(F1262, Unit_Grades!$A$2:$A$7, 0))*INDEX(Unit_Paths!$C$2:$C$4, MATCH(E1262, Unit_Paths!$A$2:$A$4, 0)),1)</f>
        <v>160</v>
      </c>
      <c r="J1262" s="6" t="n">
        <f aca="false">ROUND(INDEX(Archetypes!$G$2:$G$127, MATCH(D1262, Archetypes!$A$2:$A$127, 0))*INDEX(Unit_Grades!$B$2:$B$7, MATCH(F1262, Unit_Grades!$A$2:$A$7, 0))*INDEX(Unit_Paths!$D$2:$D$4, MATCH(E1262, Unit_Paths!$A$2:$A$4, 0)),0)</f>
        <v>900</v>
      </c>
      <c r="K1262" s="6" t="n">
        <f aca="false">ROUND(INDEX(Archetypes!$H$2:$H$127, MATCH(D1262, Archetypes!$A$2:$A$127, 0))*INDEX(Unit_Paths!$E$2:$E$4, MATCH(E1262, Unit_Paths!$A$2:$A$4, 0)),1)</f>
        <v>28</v>
      </c>
      <c r="L1262" s="6" t="n">
        <f aca="false">ROUND(INDEX(Archetypes!$I$2:$I$127, MATCH(D1262, Archetypes!$A$2:$A$127, 0))*INDEX(Unit_Grades!$C$2:$C$7, MATCH(F1262, Unit_Grades!$A$2:$A$7, 0)),1)</f>
        <v>42</v>
      </c>
      <c r="M1262" s="6" t="n">
        <f aca="false">ROUND(INDEX(Archetypes!$J$2:$J$127, MATCH(D1262, Archetypes!$A$2:$A$127, 0))*INDEX(Unit_Grades!$D$2:$D$7, MATCH(F1262, Unit_Grades!$A$2:$A$7, 0)),1)</f>
        <v>17.1</v>
      </c>
      <c r="N1262" s="6" t="n">
        <f aca="false">ROUND(M1262/24,2)</f>
        <v>0.71</v>
      </c>
    </row>
    <row r="1263" customFormat="false" ht="15" hidden="false" customHeight="true" outlineLevel="0" collapsed="false">
      <c r="A1263" s="6" t="n">
        <v>4</v>
      </c>
      <c r="B1263" s="6" t="s">
        <v>2760</v>
      </c>
      <c r="C1263" s="6" t="s">
        <v>1413</v>
      </c>
      <c r="D1263" s="6" t="str">
        <f aca="false">A1263&amp;"|"&amp;C1263</f>
        <v>4|Battleship</v>
      </c>
      <c r="E1263" s="6" t="s">
        <v>1556</v>
      </c>
      <c r="F1263" s="6" t="s">
        <v>1540</v>
      </c>
      <c r="G1263" s="6" t="str">
        <f aca="false">INDEX(Archetypes!$D$2:$D$127, MATCH(D1263, Archetypes!$A$2:$A$127, 0))</f>
        <v>Capital</v>
      </c>
      <c r="H1263" s="6" t="n">
        <f aca="false">ROUND(INDEX(Archetypes!$E$2:$E$127, MATCH(D1263, Archetypes!$A$2:$A$127, 0))*INDEX(Unit_Grades!$B$2:$B$7, MATCH(F1263, Unit_Grades!$A$2:$A$7, 0))*INDEX(Unit_Paths!$B$2:$B$4, MATCH(E1263, Unit_Paths!$A$2:$A$4, 0)),1)</f>
        <v>324</v>
      </c>
      <c r="I1263" s="6" t="n">
        <f aca="false">ROUND(INDEX(Archetypes!$F$2:$F$127, MATCH(D1263, Archetypes!$A$2:$A$127, 0))*INDEX(Unit_Grades!$B$2:$B$7, MATCH(F1263, Unit_Grades!$A$2:$A$7, 0))*INDEX(Unit_Paths!$C$2:$C$4, MATCH(E1263, Unit_Paths!$A$2:$A$4, 0)),1)</f>
        <v>216</v>
      </c>
      <c r="J1263" s="6" t="n">
        <f aca="false">ROUND(INDEX(Archetypes!$G$2:$G$127, MATCH(D1263, Archetypes!$A$2:$A$127, 0))*INDEX(Unit_Grades!$B$2:$B$7, MATCH(F1263, Unit_Grades!$A$2:$A$7, 0))*INDEX(Unit_Paths!$D$2:$D$4, MATCH(E1263, Unit_Paths!$A$2:$A$4, 0)),0)</f>
        <v>1215</v>
      </c>
      <c r="K1263" s="6" t="n">
        <f aca="false">ROUND(INDEX(Archetypes!$H$2:$H$127, MATCH(D1263, Archetypes!$A$2:$A$127, 0))*INDEX(Unit_Paths!$E$2:$E$4, MATCH(E1263, Unit_Paths!$A$2:$A$4, 0)),1)</f>
        <v>28</v>
      </c>
      <c r="L1263" s="6" t="n">
        <f aca="false">ROUND(INDEX(Archetypes!$I$2:$I$127, MATCH(D1263, Archetypes!$A$2:$A$127, 0))*INDEX(Unit_Grades!$C$2:$C$7, MATCH(F1263, Unit_Grades!$A$2:$A$7, 0)),1)</f>
        <v>52.5</v>
      </c>
      <c r="M1263" s="6" t="n">
        <f aca="false">ROUND(INDEX(Archetypes!$J$2:$J$127, MATCH(D1263, Archetypes!$A$2:$A$127, 0))*INDEX(Unit_Grades!$D$2:$D$7, MATCH(F1263, Unit_Grades!$A$2:$A$7, 0)),1)</f>
        <v>25.6</v>
      </c>
      <c r="N1263" s="6" t="n">
        <f aca="false">ROUND(M1263/24,2)</f>
        <v>1.07</v>
      </c>
    </row>
    <row r="1264" customFormat="false" ht="15" hidden="false" customHeight="true" outlineLevel="0" collapsed="false">
      <c r="A1264" s="6" t="n">
        <v>4</v>
      </c>
      <c r="B1264" s="6" t="s">
        <v>2761</v>
      </c>
      <c r="C1264" s="6" t="s">
        <v>1413</v>
      </c>
      <c r="D1264" s="6" t="str">
        <f aca="false">A1264&amp;"|"&amp;C1264</f>
        <v>4|Battleship</v>
      </c>
      <c r="E1264" s="6" t="s">
        <v>1556</v>
      </c>
      <c r="F1264" s="6" t="s">
        <v>1542</v>
      </c>
      <c r="G1264" s="6" t="str">
        <f aca="false">INDEX(Archetypes!$D$2:$D$127, MATCH(D1264, Archetypes!$A$2:$A$127, 0))</f>
        <v>Capital</v>
      </c>
      <c r="H1264" s="6" t="n">
        <f aca="false">ROUND(INDEX(Archetypes!$E$2:$E$127, MATCH(D1264, Archetypes!$A$2:$A$127, 0))*INDEX(Unit_Grades!$B$2:$B$7, MATCH(F1264, Unit_Grades!$A$2:$A$7, 0))*INDEX(Unit_Paths!$B$2:$B$4, MATCH(E1264, Unit_Paths!$A$2:$A$4, 0)),1)</f>
        <v>432</v>
      </c>
      <c r="I1264" s="6" t="n">
        <f aca="false">ROUND(INDEX(Archetypes!$F$2:$F$127, MATCH(D1264, Archetypes!$A$2:$A$127, 0))*INDEX(Unit_Grades!$B$2:$B$7, MATCH(F1264, Unit_Grades!$A$2:$A$7, 0))*INDEX(Unit_Paths!$C$2:$C$4, MATCH(E1264, Unit_Paths!$A$2:$A$4, 0)),1)</f>
        <v>288</v>
      </c>
      <c r="J1264" s="6" t="n">
        <f aca="false">ROUND(INDEX(Archetypes!$G$2:$G$127, MATCH(D1264, Archetypes!$A$2:$A$127, 0))*INDEX(Unit_Grades!$B$2:$B$7, MATCH(F1264, Unit_Grades!$A$2:$A$7, 0))*INDEX(Unit_Paths!$D$2:$D$4, MATCH(E1264, Unit_Paths!$A$2:$A$4, 0)),0)</f>
        <v>1620</v>
      </c>
      <c r="K1264" s="6" t="n">
        <f aca="false">ROUND(INDEX(Archetypes!$H$2:$H$127, MATCH(D1264, Archetypes!$A$2:$A$127, 0))*INDEX(Unit_Paths!$E$2:$E$4, MATCH(E1264, Unit_Paths!$A$2:$A$4, 0)),1)</f>
        <v>28</v>
      </c>
      <c r="L1264" s="6" t="n">
        <f aca="false">ROUND(INDEX(Archetypes!$I$2:$I$127, MATCH(D1264, Archetypes!$A$2:$A$127, 0))*INDEX(Unit_Grades!$C$2:$C$7, MATCH(F1264, Unit_Grades!$A$2:$A$7, 0)),1)</f>
        <v>67.2</v>
      </c>
      <c r="M1264" s="6" t="n">
        <f aca="false">ROUND(INDEX(Archetypes!$J$2:$J$127, MATCH(D1264, Archetypes!$A$2:$A$127, 0))*INDEX(Unit_Grades!$D$2:$D$7, MATCH(F1264, Unit_Grades!$A$2:$A$7, 0)),1)</f>
        <v>42.6</v>
      </c>
      <c r="N1264" s="6" t="n">
        <f aca="false">ROUND(M1264/24,2)</f>
        <v>1.78</v>
      </c>
    </row>
    <row r="1265" customFormat="false" ht="15" hidden="false" customHeight="true" outlineLevel="0" collapsed="false">
      <c r="A1265" s="6" t="n">
        <v>4</v>
      </c>
      <c r="B1265" s="6" t="s">
        <v>2762</v>
      </c>
      <c r="C1265" s="6" t="s">
        <v>1413</v>
      </c>
      <c r="D1265" s="6" t="str">
        <f aca="false">A1265&amp;"|"&amp;C1265</f>
        <v>4|Battleship</v>
      </c>
      <c r="E1265" s="6" t="s">
        <v>1556</v>
      </c>
      <c r="F1265" s="6" t="s">
        <v>1544</v>
      </c>
      <c r="G1265" s="6" t="str">
        <f aca="false">INDEX(Archetypes!$D$2:$D$127, MATCH(D1265, Archetypes!$A$2:$A$127, 0))</f>
        <v>Capital</v>
      </c>
      <c r="H1265" s="6" t="n">
        <f aca="false">ROUND(INDEX(Archetypes!$E$2:$E$127, MATCH(D1265, Archetypes!$A$2:$A$127, 0))*INDEX(Unit_Grades!$B$2:$B$7, MATCH(F1265, Unit_Grades!$A$2:$A$7, 0))*INDEX(Unit_Paths!$B$2:$B$4, MATCH(E1265, Unit_Paths!$A$2:$A$4, 0)),1)</f>
        <v>576</v>
      </c>
      <c r="I1265" s="6" t="n">
        <f aca="false">ROUND(INDEX(Archetypes!$F$2:$F$127, MATCH(D1265, Archetypes!$A$2:$A$127, 0))*INDEX(Unit_Grades!$B$2:$B$7, MATCH(F1265, Unit_Grades!$A$2:$A$7, 0))*INDEX(Unit_Paths!$C$2:$C$4, MATCH(E1265, Unit_Paths!$A$2:$A$4, 0)),1)</f>
        <v>384</v>
      </c>
      <c r="J1265" s="6" t="n">
        <f aca="false">ROUND(INDEX(Archetypes!$G$2:$G$127, MATCH(D1265, Archetypes!$A$2:$A$127, 0))*INDEX(Unit_Grades!$B$2:$B$7, MATCH(F1265, Unit_Grades!$A$2:$A$7, 0))*INDEX(Unit_Paths!$D$2:$D$4, MATCH(E1265, Unit_Paths!$A$2:$A$4, 0)),0)</f>
        <v>2160</v>
      </c>
      <c r="K1265" s="6" t="n">
        <f aca="false">ROUND(INDEX(Archetypes!$H$2:$H$127, MATCH(D1265, Archetypes!$A$2:$A$127, 0))*INDEX(Unit_Paths!$E$2:$E$4, MATCH(E1265, Unit_Paths!$A$2:$A$4, 0)),1)</f>
        <v>28</v>
      </c>
      <c r="L1265" s="6" t="n">
        <f aca="false">ROUND(INDEX(Archetypes!$I$2:$I$127, MATCH(D1265, Archetypes!$A$2:$A$127, 0))*INDEX(Unit_Grades!$C$2:$C$7, MATCH(F1265, Unit_Grades!$A$2:$A$7, 0)),1)</f>
        <v>88.2</v>
      </c>
      <c r="M1265" s="6" t="n">
        <f aca="false">ROUND(INDEX(Archetypes!$J$2:$J$127, MATCH(D1265, Archetypes!$A$2:$A$127, 0))*INDEX(Unit_Grades!$D$2:$D$7, MATCH(F1265, Unit_Grades!$A$2:$A$7, 0)),1)</f>
        <v>68.2</v>
      </c>
      <c r="N1265" s="6" t="n">
        <f aca="false">ROUND(M1265/24,2)</f>
        <v>2.84</v>
      </c>
    </row>
    <row r="1266" customFormat="false" ht="15" hidden="false" customHeight="true" outlineLevel="0" collapsed="false">
      <c r="A1266" s="6" t="n">
        <v>4</v>
      </c>
      <c r="B1266" s="6" t="s">
        <v>2763</v>
      </c>
      <c r="C1266" s="6" t="s">
        <v>1413</v>
      </c>
      <c r="D1266" s="6" t="str">
        <f aca="false">A1266&amp;"|"&amp;C1266</f>
        <v>4|Battleship</v>
      </c>
      <c r="E1266" s="6" t="s">
        <v>1556</v>
      </c>
      <c r="F1266" s="6" t="s">
        <v>1546</v>
      </c>
      <c r="G1266" s="6" t="str">
        <f aca="false">INDEX(Archetypes!$D$2:$D$127, MATCH(D1266, Archetypes!$A$2:$A$127, 0))</f>
        <v>Capital</v>
      </c>
      <c r="H1266" s="6" t="n">
        <f aca="false">ROUND(INDEX(Archetypes!$E$2:$E$127, MATCH(D1266, Archetypes!$A$2:$A$127, 0))*INDEX(Unit_Grades!$B$2:$B$7, MATCH(F1266, Unit_Grades!$A$2:$A$7, 0))*INDEX(Unit_Paths!$B$2:$B$4, MATCH(E1266, Unit_Paths!$A$2:$A$4, 0)),1)</f>
        <v>768</v>
      </c>
      <c r="I1266" s="6" t="n">
        <f aca="false">ROUND(INDEX(Archetypes!$F$2:$F$127, MATCH(D1266, Archetypes!$A$2:$A$127, 0))*INDEX(Unit_Grades!$B$2:$B$7, MATCH(F1266, Unit_Grades!$A$2:$A$7, 0))*INDEX(Unit_Paths!$C$2:$C$4, MATCH(E1266, Unit_Paths!$A$2:$A$4, 0)),1)</f>
        <v>512</v>
      </c>
      <c r="J1266" s="6" t="n">
        <f aca="false">ROUND(INDEX(Archetypes!$G$2:$G$127, MATCH(D1266, Archetypes!$A$2:$A$127, 0))*INDEX(Unit_Grades!$B$2:$B$7, MATCH(F1266, Unit_Grades!$A$2:$A$7, 0))*INDEX(Unit_Paths!$D$2:$D$4, MATCH(E1266, Unit_Paths!$A$2:$A$4, 0)),0)</f>
        <v>2880</v>
      </c>
      <c r="K1266" s="6" t="n">
        <f aca="false">ROUND(INDEX(Archetypes!$H$2:$H$127, MATCH(D1266, Archetypes!$A$2:$A$127, 0))*INDEX(Unit_Paths!$E$2:$E$4, MATCH(E1266, Unit_Paths!$A$2:$A$4, 0)),1)</f>
        <v>28</v>
      </c>
      <c r="L1266" s="6" t="n">
        <f aca="false">ROUND(INDEX(Archetypes!$I$2:$I$127, MATCH(D1266, Archetypes!$A$2:$A$127, 0))*INDEX(Unit_Grades!$C$2:$C$7, MATCH(F1266, Unit_Grades!$A$2:$A$7, 0)),1)</f>
        <v>117.6</v>
      </c>
      <c r="M1266" s="6" t="n">
        <f aca="false">ROUND(INDEX(Archetypes!$J$2:$J$127, MATCH(D1266, Archetypes!$A$2:$A$127, 0))*INDEX(Unit_Grades!$D$2:$D$7, MATCH(F1266, Unit_Grades!$A$2:$A$7, 0)),1)</f>
        <v>119.4</v>
      </c>
      <c r="N1266" s="6" t="n">
        <f aca="false">ROUND(M1266/24,2)</f>
        <v>4.98</v>
      </c>
    </row>
    <row r="1267" customFormat="false" ht="15" hidden="false" customHeight="true" outlineLevel="0" collapsed="false">
      <c r="A1267" s="6" t="n">
        <v>4</v>
      </c>
      <c r="B1267" s="6" t="s">
        <v>2764</v>
      </c>
      <c r="C1267" s="6" t="s">
        <v>1413</v>
      </c>
      <c r="D1267" s="6" t="str">
        <f aca="false">A1267&amp;"|"&amp;C1267</f>
        <v>4|Battleship</v>
      </c>
      <c r="E1267" s="6" t="s">
        <v>1556</v>
      </c>
      <c r="F1267" s="6" t="s">
        <v>1548</v>
      </c>
      <c r="G1267" s="6" t="str">
        <f aca="false">INDEX(Archetypes!$D$2:$D$127, MATCH(D1267, Archetypes!$A$2:$A$127, 0))</f>
        <v>Capital</v>
      </c>
      <c r="H1267" s="6" t="n">
        <f aca="false">ROUND(INDEX(Archetypes!$E$2:$E$127, MATCH(D1267, Archetypes!$A$2:$A$127, 0))*INDEX(Unit_Grades!$B$2:$B$7, MATCH(F1267, Unit_Grades!$A$2:$A$7, 0))*INDEX(Unit_Paths!$B$2:$B$4, MATCH(E1267, Unit_Paths!$A$2:$A$4, 0)),1)</f>
        <v>1008</v>
      </c>
      <c r="I1267" s="6" t="n">
        <f aca="false">ROUND(INDEX(Archetypes!$F$2:$F$127, MATCH(D1267, Archetypes!$A$2:$A$127, 0))*INDEX(Unit_Grades!$B$2:$B$7, MATCH(F1267, Unit_Grades!$A$2:$A$7, 0))*INDEX(Unit_Paths!$C$2:$C$4, MATCH(E1267, Unit_Paths!$A$2:$A$4, 0)),1)</f>
        <v>672</v>
      </c>
      <c r="J1267" s="6" t="n">
        <f aca="false">ROUND(INDEX(Archetypes!$G$2:$G$127, MATCH(D1267, Archetypes!$A$2:$A$127, 0))*INDEX(Unit_Grades!$B$2:$B$7, MATCH(F1267, Unit_Grades!$A$2:$A$7, 0))*INDEX(Unit_Paths!$D$2:$D$4, MATCH(E1267, Unit_Paths!$A$2:$A$4, 0)),0)</f>
        <v>3780</v>
      </c>
      <c r="K1267" s="6" t="n">
        <f aca="false">ROUND(INDEX(Archetypes!$H$2:$H$127, MATCH(D1267, Archetypes!$A$2:$A$127, 0))*INDEX(Unit_Paths!$E$2:$E$4, MATCH(E1267, Unit_Paths!$A$2:$A$4, 0)),1)</f>
        <v>28</v>
      </c>
      <c r="L1267" s="6" t="n">
        <f aca="false">ROUND(INDEX(Archetypes!$I$2:$I$127, MATCH(D1267, Archetypes!$A$2:$A$127, 0))*INDEX(Unit_Grades!$C$2:$C$7, MATCH(F1267, Unit_Grades!$A$2:$A$7, 0)),1)</f>
        <v>155.4</v>
      </c>
      <c r="M1267" s="6" t="n">
        <f aca="false">ROUND(INDEX(Archetypes!$J$2:$J$127, MATCH(D1267, Archetypes!$A$2:$A$127, 0))*INDEX(Unit_Grades!$D$2:$D$7, MATCH(F1267, Unit_Grades!$A$2:$A$7, 0)),1)</f>
        <v>204.6</v>
      </c>
      <c r="N1267" s="6" t="n">
        <f aca="false">ROUND(M1267/24,2)</f>
        <v>8.53</v>
      </c>
    </row>
    <row r="1268" customFormat="false" ht="15" hidden="false" customHeight="true" outlineLevel="0" collapsed="false">
      <c r="A1268" s="6" t="n">
        <v>4</v>
      </c>
      <c r="B1268" s="6" t="s">
        <v>2765</v>
      </c>
      <c r="C1268" s="6" t="s">
        <v>1413</v>
      </c>
      <c r="D1268" s="6" t="str">
        <f aca="false">A1268&amp;"|"&amp;C1268</f>
        <v>4|Battleship</v>
      </c>
      <c r="E1268" s="6" t="s">
        <v>1558</v>
      </c>
      <c r="F1268" s="6" t="s">
        <v>1538</v>
      </c>
      <c r="G1268" s="6" t="str">
        <f aca="false">INDEX(Archetypes!$D$2:$D$127, MATCH(D1268, Archetypes!$A$2:$A$127, 0))</f>
        <v>Capital</v>
      </c>
      <c r="H1268" s="6" t="n">
        <f aca="false">ROUND(INDEX(Archetypes!$E$2:$E$127, MATCH(D1268, Archetypes!$A$2:$A$127, 0))*INDEX(Unit_Grades!$B$2:$B$7, MATCH(F1268, Unit_Grades!$A$2:$A$7, 0))*INDEX(Unit_Paths!$B$2:$B$4, MATCH(E1268, Unit_Paths!$A$2:$A$4, 0)),1)</f>
        <v>288</v>
      </c>
      <c r="I1268" s="6" t="n">
        <f aca="false">ROUND(INDEX(Archetypes!$F$2:$F$127, MATCH(D1268, Archetypes!$A$2:$A$127, 0))*INDEX(Unit_Grades!$B$2:$B$7, MATCH(F1268, Unit_Grades!$A$2:$A$7, 0))*INDEX(Unit_Paths!$C$2:$C$4, MATCH(E1268, Unit_Paths!$A$2:$A$4, 0)),1)</f>
        <v>136</v>
      </c>
      <c r="J1268" s="6" t="n">
        <f aca="false">ROUND(INDEX(Archetypes!$G$2:$G$127, MATCH(D1268, Archetypes!$A$2:$A$127, 0))*INDEX(Unit_Grades!$B$2:$B$7, MATCH(F1268, Unit_Grades!$A$2:$A$7, 0))*INDEX(Unit_Paths!$D$2:$D$4, MATCH(E1268, Unit_Paths!$A$2:$A$4, 0)),0)</f>
        <v>855</v>
      </c>
      <c r="K1268" s="6" t="n">
        <f aca="false">ROUND(INDEX(Archetypes!$H$2:$H$127, MATCH(D1268, Archetypes!$A$2:$A$127, 0))*INDEX(Unit_Paths!$E$2:$E$4, MATCH(E1268, Unit_Paths!$A$2:$A$4, 0)),1)</f>
        <v>29.4</v>
      </c>
      <c r="L1268" s="6" t="n">
        <f aca="false">ROUND(INDEX(Archetypes!$I$2:$I$127, MATCH(D1268, Archetypes!$A$2:$A$127, 0))*INDEX(Unit_Grades!$C$2:$C$7, MATCH(F1268, Unit_Grades!$A$2:$A$7, 0)),1)</f>
        <v>42</v>
      </c>
      <c r="M1268" s="6" t="n">
        <f aca="false">ROUND(INDEX(Archetypes!$J$2:$J$127, MATCH(D1268, Archetypes!$A$2:$A$127, 0))*INDEX(Unit_Grades!$D$2:$D$7, MATCH(F1268, Unit_Grades!$A$2:$A$7, 0)),1)</f>
        <v>17.1</v>
      </c>
      <c r="N1268" s="6" t="n">
        <f aca="false">ROUND(M1268/24,2)</f>
        <v>0.71</v>
      </c>
    </row>
    <row r="1269" customFormat="false" ht="15" hidden="false" customHeight="true" outlineLevel="0" collapsed="false">
      <c r="A1269" s="6" t="n">
        <v>4</v>
      </c>
      <c r="B1269" s="6" t="s">
        <v>2766</v>
      </c>
      <c r="C1269" s="6" t="s">
        <v>1413</v>
      </c>
      <c r="D1269" s="6" t="str">
        <f aca="false">A1269&amp;"|"&amp;C1269</f>
        <v>4|Battleship</v>
      </c>
      <c r="E1269" s="6" t="s">
        <v>1558</v>
      </c>
      <c r="F1269" s="6" t="s">
        <v>1540</v>
      </c>
      <c r="G1269" s="6" t="str">
        <f aca="false">INDEX(Archetypes!$D$2:$D$127, MATCH(D1269, Archetypes!$A$2:$A$127, 0))</f>
        <v>Capital</v>
      </c>
      <c r="H1269" s="6" t="n">
        <f aca="false">ROUND(INDEX(Archetypes!$E$2:$E$127, MATCH(D1269, Archetypes!$A$2:$A$127, 0))*INDEX(Unit_Grades!$B$2:$B$7, MATCH(F1269, Unit_Grades!$A$2:$A$7, 0))*INDEX(Unit_Paths!$B$2:$B$4, MATCH(E1269, Unit_Paths!$A$2:$A$4, 0)),1)</f>
        <v>388.8</v>
      </c>
      <c r="I1269" s="6" t="n">
        <f aca="false">ROUND(INDEX(Archetypes!$F$2:$F$127, MATCH(D1269, Archetypes!$A$2:$A$127, 0))*INDEX(Unit_Grades!$B$2:$B$7, MATCH(F1269, Unit_Grades!$A$2:$A$7, 0))*INDEX(Unit_Paths!$C$2:$C$4, MATCH(E1269, Unit_Paths!$A$2:$A$4, 0)),1)</f>
        <v>183.6</v>
      </c>
      <c r="J1269" s="6" t="n">
        <f aca="false">ROUND(INDEX(Archetypes!$G$2:$G$127, MATCH(D1269, Archetypes!$A$2:$A$127, 0))*INDEX(Unit_Grades!$B$2:$B$7, MATCH(F1269, Unit_Grades!$A$2:$A$7, 0))*INDEX(Unit_Paths!$D$2:$D$4, MATCH(E1269, Unit_Paths!$A$2:$A$4, 0)),0)</f>
        <v>1154</v>
      </c>
      <c r="K1269" s="6" t="n">
        <f aca="false">ROUND(INDEX(Archetypes!$H$2:$H$127, MATCH(D1269, Archetypes!$A$2:$A$127, 0))*INDEX(Unit_Paths!$E$2:$E$4, MATCH(E1269, Unit_Paths!$A$2:$A$4, 0)),1)</f>
        <v>29.4</v>
      </c>
      <c r="L1269" s="6" t="n">
        <f aca="false">ROUND(INDEX(Archetypes!$I$2:$I$127, MATCH(D1269, Archetypes!$A$2:$A$127, 0))*INDEX(Unit_Grades!$C$2:$C$7, MATCH(F1269, Unit_Grades!$A$2:$A$7, 0)),1)</f>
        <v>52.5</v>
      </c>
      <c r="M1269" s="6" t="n">
        <f aca="false">ROUND(INDEX(Archetypes!$J$2:$J$127, MATCH(D1269, Archetypes!$A$2:$A$127, 0))*INDEX(Unit_Grades!$D$2:$D$7, MATCH(F1269, Unit_Grades!$A$2:$A$7, 0)),1)</f>
        <v>25.6</v>
      </c>
      <c r="N1269" s="6" t="n">
        <f aca="false">ROUND(M1269/24,2)</f>
        <v>1.07</v>
      </c>
    </row>
    <row r="1270" customFormat="false" ht="15" hidden="false" customHeight="true" outlineLevel="0" collapsed="false">
      <c r="A1270" s="6" t="n">
        <v>4</v>
      </c>
      <c r="B1270" s="6" t="s">
        <v>2767</v>
      </c>
      <c r="C1270" s="6" t="s">
        <v>1413</v>
      </c>
      <c r="D1270" s="6" t="str">
        <f aca="false">A1270&amp;"|"&amp;C1270</f>
        <v>4|Battleship</v>
      </c>
      <c r="E1270" s="6" t="s">
        <v>1558</v>
      </c>
      <c r="F1270" s="6" t="s">
        <v>1542</v>
      </c>
      <c r="G1270" s="6" t="str">
        <f aca="false">INDEX(Archetypes!$D$2:$D$127, MATCH(D1270, Archetypes!$A$2:$A$127, 0))</f>
        <v>Capital</v>
      </c>
      <c r="H1270" s="6" t="n">
        <f aca="false">ROUND(INDEX(Archetypes!$E$2:$E$127, MATCH(D1270, Archetypes!$A$2:$A$127, 0))*INDEX(Unit_Grades!$B$2:$B$7, MATCH(F1270, Unit_Grades!$A$2:$A$7, 0))*INDEX(Unit_Paths!$B$2:$B$4, MATCH(E1270, Unit_Paths!$A$2:$A$4, 0)),1)</f>
        <v>518.4</v>
      </c>
      <c r="I1270" s="6" t="n">
        <f aca="false">ROUND(INDEX(Archetypes!$F$2:$F$127, MATCH(D1270, Archetypes!$A$2:$A$127, 0))*INDEX(Unit_Grades!$B$2:$B$7, MATCH(F1270, Unit_Grades!$A$2:$A$7, 0))*INDEX(Unit_Paths!$C$2:$C$4, MATCH(E1270, Unit_Paths!$A$2:$A$4, 0)),1)</f>
        <v>244.8</v>
      </c>
      <c r="J1270" s="6" t="n">
        <f aca="false">ROUND(INDEX(Archetypes!$G$2:$G$127, MATCH(D1270, Archetypes!$A$2:$A$127, 0))*INDEX(Unit_Grades!$B$2:$B$7, MATCH(F1270, Unit_Grades!$A$2:$A$7, 0))*INDEX(Unit_Paths!$D$2:$D$4, MATCH(E1270, Unit_Paths!$A$2:$A$4, 0)),0)</f>
        <v>1539</v>
      </c>
      <c r="K1270" s="6" t="n">
        <f aca="false">ROUND(INDEX(Archetypes!$H$2:$H$127, MATCH(D1270, Archetypes!$A$2:$A$127, 0))*INDEX(Unit_Paths!$E$2:$E$4, MATCH(E1270, Unit_Paths!$A$2:$A$4, 0)),1)</f>
        <v>29.4</v>
      </c>
      <c r="L1270" s="6" t="n">
        <f aca="false">ROUND(INDEX(Archetypes!$I$2:$I$127, MATCH(D1270, Archetypes!$A$2:$A$127, 0))*INDEX(Unit_Grades!$C$2:$C$7, MATCH(F1270, Unit_Grades!$A$2:$A$7, 0)),1)</f>
        <v>67.2</v>
      </c>
      <c r="M1270" s="6" t="n">
        <f aca="false">ROUND(INDEX(Archetypes!$J$2:$J$127, MATCH(D1270, Archetypes!$A$2:$A$127, 0))*INDEX(Unit_Grades!$D$2:$D$7, MATCH(F1270, Unit_Grades!$A$2:$A$7, 0)),1)</f>
        <v>42.6</v>
      </c>
      <c r="N1270" s="6" t="n">
        <f aca="false">ROUND(M1270/24,2)</f>
        <v>1.78</v>
      </c>
    </row>
    <row r="1271" customFormat="false" ht="15" hidden="false" customHeight="true" outlineLevel="0" collapsed="false">
      <c r="A1271" s="6" t="n">
        <v>4</v>
      </c>
      <c r="B1271" s="6" t="s">
        <v>2768</v>
      </c>
      <c r="C1271" s="6" t="s">
        <v>1413</v>
      </c>
      <c r="D1271" s="6" t="str">
        <f aca="false">A1271&amp;"|"&amp;C1271</f>
        <v>4|Battleship</v>
      </c>
      <c r="E1271" s="6" t="s">
        <v>1558</v>
      </c>
      <c r="F1271" s="6" t="s">
        <v>1544</v>
      </c>
      <c r="G1271" s="6" t="str">
        <f aca="false">INDEX(Archetypes!$D$2:$D$127, MATCH(D1271, Archetypes!$A$2:$A$127, 0))</f>
        <v>Capital</v>
      </c>
      <c r="H1271" s="6" t="n">
        <f aca="false">ROUND(INDEX(Archetypes!$E$2:$E$127, MATCH(D1271, Archetypes!$A$2:$A$127, 0))*INDEX(Unit_Grades!$B$2:$B$7, MATCH(F1271, Unit_Grades!$A$2:$A$7, 0))*INDEX(Unit_Paths!$B$2:$B$4, MATCH(E1271, Unit_Paths!$A$2:$A$4, 0)),1)</f>
        <v>691.2</v>
      </c>
      <c r="I1271" s="6" t="n">
        <f aca="false">ROUND(INDEX(Archetypes!$F$2:$F$127, MATCH(D1271, Archetypes!$A$2:$A$127, 0))*INDEX(Unit_Grades!$B$2:$B$7, MATCH(F1271, Unit_Grades!$A$2:$A$7, 0))*INDEX(Unit_Paths!$C$2:$C$4, MATCH(E1271, Unit_Paths!$A$2:$A$4, 0)),1)</f>
        <v>326.4</v>
      </c>
      <c r="J1271" s="6" t="n">
        <f aca="false">ROUND(INDEX(Archetypes!$G$2:$G$127, MATCH(D1271, Archetypes!$A$2:$A$127, 0))*INDEX(Unit_Grades!$B$2:$B$7, MATCH(F1271, Unit_Grades!$A$2:$A$7, 0))*INDEX(Unit_Paths!$D$2:$D$4, MATCH(E1271, Unit_Paths!$A$2:$A$4, 0)),0)</f>
        <v>2052</v>
      </c>
      <c r="K1271" s="6" t="n">
        <f aca="false">ROUND(INDEX(Archetypes!$H$2:$H$127, MATCH(D1271, Archetypes!$A$2:$A$127, 0))*INDEX(Unit_Paths!$E$2:$E$4, MATCH(E1271, Unit_Paths!$A$2:$A$4, 0)),1)</f>
        <v>29.4</v>
      </c>
      <c r="L1271" s="6" t="n">
        <f aca="false">ROUND(INDEX(Archetypes!$I$2:$I$127, MATCH(D1271, Archetypes!$A$2:$A$127, 0))*INDEX(Unit_Grades!$C$2:$C$7, MATCH(F1271, Unit_Grades!$A$2:$A$7, 0)),1)</f>
        <v>88.2</v>
      </c>
      <c r="M1271" s="6" t="n">
        <f aca="false">ROUND(INDEX(Archetypes!$J$2:$J$127, MATCH(D1271, Archetypes!$A$2:$A$127, 0))*INDEX(Unit_Grades!$D$2:$D$7, MATCH(F1271, Unit_Grades!$A$2:$A$7, 0)),1)</f>
        <v>68.2</v>
      </c>
      <c r="N1271" s="6" t="n">
        <f aca="false">ROUND(M1271/24,2)</f>
        <v>2.84</v>
      </c>
    </row>
    <row r="1272" customFormat="false" ht="15" hidden="false" customHeight="true" outlineLevel="0" collapsed="false">
      <c r="A1272" s="6" t="n">
        <v>4</v>
      </c>
      <c r="B1272" s="6" t="s">
        <v>2769</v>
      </c>
      <c r="C1272" s="6" t="s">
        <v>1413</v>
      </c>
      <c r="D1272" s="6" t="str">
        <f aca="false">A1272&amp;"|"&amp;C1272</f>
        <v>4|Battleship</v>
      </c>
      <c r="E1272" s="6" t="s">
        <v>1558</v>
      </c>
      <c r="F1272" s="6" t="s">
        <v>1546</v>
      </c>
      <c r="G1272" s="6" t="str">
        <f aca="false">INDEX(Archetypes!$D$2:$D$127, MATCH(D1272, Archetypes!$A$2:$A$127, 0))</f>
        <v>Capital</v>
      </c>
      <c r="H1272" s="6" t="n">
        <f aca="false">ROUND(INDEX(Archetypes!$E$2:$E$127, MATCH(D1272, Archetypes!$A$2:$A$127, 0))*INDEX(Unit_Grades!$B$2:$B$7, MATCH(F1272, Unit_Grades!$A$2:$A$7, 0))*INDEX(Unit_Paths!$B$2:$B$4, MATCH(E1272, Unit_Paths!$A$2:$A$4, 0)),1)</f>
        <v>921.6</v>
      </c>
      <c r="I1272" s="6" t="n">
        <f aca="false">ROUND(INDEX(Archetypes!$F$2:$F$127, MATCH(D1272, Archetypes!$A$2:$A$127, 0))*INDEX(Unit_Grades!$B$2:$B$7, MATCH(F1272, Unit_Grades!$A$2:$A$7, 0))*INDEX(Unit_Paths!$C$2:$C$4, MATCH(E1272, Unit_Paths!$A$2:$A$4, 0)),1)</f>
        <v>435.2</v>
      </c>
      <c r="J1272" s="6" t="n">
        <f aca="false">ROUND(INDEX(Archetypes!$G$2:$G$127, MATCH(D1272, Archetypes!$A$2:$A$127, 0))*INDEX(Unit_Grades!$B$2:$B$7, MATCH(F1272, Unit_Grades!$A$2:$A$7, 0))*INDEX(Unit_Paths!$D$2:$D$4, MATCH(E1272, Unit_Paths!$A$2:$A$4, 0)),0)</f>
        <v>2736</v>
      </c>
      <c r="K1272" s="6" t="n">
        <f aca="false">ROUND(INDEX(Archetypes!$H$2:$H$127, MATCH(D1272, Archetypes!$A$2:$A$127, 0))*INDEX(Unit_Paths!$E$2:$E$4, MATCH(E1272, Unit_Paths!$A$2:$A$4, 0)),1)</f>
        <v>29.4</v>
      </c>
      <c r="L1272" s="6" t="n">
        <f aca="false">ROUND(INDEX(Archetypes!$I$2:$I$127, MATCH(D1272, Archetypes!$A$2:$A$127, 0))*INDEX(Unit_Grades!$C$2:$C$7, MATCH(F1272, Unit_Grades!$A$2:$A$7, 0)),1)</f>
        <v>117.6</v>
      </c>
      <c r="M1272" s="6" t="n">
        <f aca="false">ROUND(INDEX(Archetypes!$J$2:$J$127, MATCH(D1272, Archetypes!$A$2:$A$127, 0))*INDEX(Unit_Grades!$D$2:$D$7, MATCH(F1272, Unit_Grades!$A$2:$A$7, 0)),1)</f>
        <v>119.4</v>
      </c>
      <c r="N1272" s="6" t="n">
        <f aca="false">ROUND(M1272/24,2)</f>
        <v>4.98</v>
      </c>
    </row>
    <row r="1273" customFormat="false" ht="15" hidden="false" customHeight="true" outlineLevel="0" collapsed="false">
      <c r="A1273" s="6" t="n">
        <v>4</v>
      </c>
      <c r="B1273" s="6" t="s">
        <v>2770</v>
      </c>
      <c r="C1273" s="6" t="s">
        <v>1413</v>
      </c>
      <c r="D1273" s="6" t="str">
        <f aca="false">A1273&amp;"|"&amp;C1273</f>
        <v>4|Battleship</v>
      </c>
      <c r="E1273" s="6" t="s">
        <v>1558</v>
      </c>
      <c r="F1273" s="6" t="s">
        <v>1548</v>
      </c>
      <c r="G1273" s="6" t="str">
        <f aca="false">INDEX(Archetypes!$D$2:$D$127, MATCH(D1273, Archetypes!$A$2:$A$127, 0))</f>
        <v>Capital</v>
      </c>
      <c r="H1273" s="6" t="n">
        <f aca="false">ROUND(INDEX(Archetypes!$E$2:$E$127, MATCH(D1273, Archetypes!$A$2:$A$127, 0))*INDEX(Unit_Grades!$B$2:$B$7, MATCH(F1273, Unit_Grades!$A$2:$A$7, 0))*INDEX(Unit_Paths!$B$2:$B$4, MATCH(E1273, Unit_Paths!$A$2:$A$4, 0)),1)</f>
        <v>1209.6</v>
      </c>
      <c r="I1273" s="6" t="n">
        <f aca="false">ROUND(INDEX(Archetypes!$F$2:$F$127, MATCH(D1273, Archetypes!$A$2:$A$127, 0))*INDEX(Unit_Grades!$B$2:$B$7, MATCH(F1273, Unit_Grades!$A$2:$A$7, 0))*INDEX(Unit_Paths!$C$2:$C$4, MATCH(E1273, Unit_Paths!$A$2:$A$4, 0)),1)</f>
        <v>571.2</v>
      </c>
      <c r="J1273" s="6" t="n">
        <f aca="false">ROUND(INDEX(Archetypes!$G$2:$G$127, MATCH(D1273, Archetypes!$A$2:$A$127, 0))*INDEX(Unit_Grades!$B$2:$B$7, MATCH(F1273, Unit_Grades!$A$2:$A$7, 0))*INDEX(Unit_Paths!$D$2:$D$4, MATCH(E1273, Unit_Paths!$A$2:$A$4, 0)),0)</f>
        <v>3591</v>
      </c>
      <c r="K1273" s="6" t="n">
        <f aca="false">ROUND(INDEX(Archetypes!$H$2:$H$127, MATCH(D1273, Archetypes!$A$2:$A$127, 0))*INDEX(Unit_Paths!$E$2:$E$4, MATCH(E1273, Unit_Paths!$A$2:$A$4, 0)),1)</f>
        <v>29.4</v>
      </c>
      <c r="L1273" s="6" t="n">
        <f aca="false">ROUND(INDEX(Archetypes!$I$2:$I$127, MATCH(D1273, Archetypes!$A$2:$A$127, 0))*INDEX(Unit_Grades!$C$2:$C$7, MATCH(F1273, Unit_Grades!$A$2:$A$7, 0)),1)</f>
        <v>155.4</v>
      </c>
      <c r="M1273" s="6" t="n">
        <f aca="false">ROUND(INDEX(Archetypes!$J$2:$J$127, MATCH(D1273, Archetypes!$A$2:$A$127, 0))*INDEX(Unit_Grades!$D$2:$D$7, MATCH(F1273, Unit_Grades!$A$2:$A$7, 0)),1)</f>
        <v>204.6</v>
      </c>
      <c r="N1273" s="6" t="n">
        <f aca="false">ROUND(M1273/24,2)</f>
        <v>8.53</v>
      </c>
    </row>
    <row r="1274" customFormat="false" ht="15" hidden="false" customHeight="true" outlineLevel="0" collapsed="false">
      <c r="A1274" s="6" t="n">
        <v>4</v>
      </c>
      <c r="B1274" s="6" t="s">
        <v>2771</v>
      </c>
      <c r="C1274" s="6" t="s">
        <v>1413</v>
      </c>
      <c r="D1274" s="6" t="str">
        <f aca="false">A1274&amp;"|"&amp;C1274</f>
        <v>4|Battleship</v>
      </c>
      <c r="E1274" s="6" t="s">
        <v>1560</v>
      </c>
      <c r="F1274" s="6" t="s">
        <v>1538</v>
      </c>
      <c r="G1274" s="6" t="str">
        <f aca="false">INDEX(Archetypes!$D$2:$D$127, MATCH(D1274, Archetypes!$A$2:$A$127, 0))</f>
        <v>Capital</v>
      </c>
      <c r="H1274" s="6" t="n">
        <f aca="false">ROUND(INDEX(Archetypes!$E$2:$E$127, MATCH(D1274, Archetypes!$A$2:$A$127, 0))*INDEX(Unit_Grades!$B$2:$B$7, MATCH(F1274, Unit_Grades!$A$2:$A$7, 0))*INDEX(Unit_Paths!$B$2:$B$4, MATCH(E1274, Unit_Paths!$A$2:$A$4, 0)),1)</f>
        <v>204</v>
      </c>
      <c r="I1274" s="6" t="n">
        <f aca="false">ROUND(INDEX(Archetypes!$F$2:$F$127, MATCH(D1274, Archetypes!$A$2:$A$127, 0))*INDEX(Unit_Grades!$B$2:$B$7, MATCH(F1274, Unit_Grades!$A$2:$A$7, 0))*INDEX(Unit_Paths!$C$2:$C$4, MATCH(E1274, Unit_Paths!$A$2:$A$4, 0)),1)</f>
        <v>200</v>
      </c>
      <c r="J1274" s="6" t="n">
        <f aca="false">ROUND(INDEX(Archetypes!$G$2:$G$127, MATCH(D1274, Archetypes!$A$2:$A$127, 0))*INDEX(Unit_Grades!$B$2:$B$7, MATCH(F1274, Unit_Grades!$A$2:$A$7, 0))*INDEX(Unit_Paths!$D$2:$D$4, MATCH(E1274, Unit_Paths!$A$2:$A$4, 0)),0)</f>
        <v>1035</v>
      </c>
      <c r="K1274" s="6" t="n">
        <f aca="false">ROUND(INDEX(Archetypes!$H$2:$H$127, MATCH(D1274, Archetypes!$A$2:$A$127, 0))*INDEX(Unit_Paths!$E$2:$E$4, MATCH(E1274, Unit_Paths!$A$2:$A$4, 0)),1)</f>
        <v>25.8</v>
      </c>
      <c r="L1274" s="6" t="n">
        <f aca="false">ROUND(INDEX(Archetypes!$I$2:$I$127, MATCH(D1274, Archetypes!$A$2:$A$127, 0))*INDEX(Unit_Grades!$C$2:$C$7, MATCH(F1274, Unit_Grades!$A$2:$A$7, 0)),1)</f>
        <v>42</v>
      </c>
      <c r="M1274" s="6" t="n">
        <f aca="false">ROUND(INDEX(Archetypes!$J$2:$J$127, MATCH(D1274, Archetypes!$A$2:$A$127, 0))*INDEX(Unit_Grades!$D$2:$D$7, MATCH(F1274, Unit_Grades!$A$2:$A$7, 0)),1)</f>
        <v>17.1</v>
      </c>
      <c r="N1274" s="6" t="n">
        <f aca="false">ROUND(M1274/24,2)</f>
        <v>0.71</v>
      </c>
    </row>
    <row r="1275" customFormat="false" ht="15" hidden="false" customHeight="true" outlineLevel="0" collapsed="false">
      <c r="A1275" s="6" t="n">
        <v>4</v>
      </c>
      <c r="B1275" s="6" t="s">
        <v>2772</v>
      </c>
      <c r="C1275" s="6" t="s">
        <v>1413</v>
      </c>
      <c r="D1275" s="6" t="str">
        <f aca="false">A1275&amp;"|"&amp;C1275</f>
        <v>4|Battleship</v>
      </c>
      <c r="E1275" s="6" t="s">
        <v>1560</v>
      </c>
      <c r="F1275" s="6" t="s">
        <v>1540</v>
      </c>
      <c r="G1275" s="6" t="str">
        <f aca="false">INDEX(Archetypes!$D$2:$D$127, MATCH(D1275, Archetypes!$A$2:$A$127, 0))</f>
        <v>Capital</v>
      </c>
      <c r="H1275" s="6" t="n">
        <f aca="false">ROUND(INDEX(Archetypes!$E$2:$E$127, MATCH(D1275, Archetypes!$A$2:$A$127, 0))*INDEX(Unit_Grades!$B$2:$B$7, MATCH(F1275, Unit_Grades!$A$2:$A$7, 0))*INDEX(Unit_Paths!$B$2:$B$4, MATCH(E1275, Unit_Paths!$A$2:$A$4, 0)),1)</f>
        <v>275.4</v>
      </c>
      <c r="I1275" s="6" t="n">
        <f aca="false">ROUND(INDEX(Archetypes!$F$2:$F$127, MATCH(D1275, Archetypes!$A$2:$A$127, 0))*INDEX(Unit_Grades!$B$2:$B$7, MATCH(F1275, Unit_Grades!$A$2:$A$7, 0))*INDEX(Unit_Paths!$C$2:$C$4, MATCH(E1275, Unit_Paths!$A$2:$A$4, 0)),1)</f>
        <v>270</v>
      </c>
      <c r="J1275" s="6" t="n">
        <f aca="false">ROUND(INDEX(Archetypes!$G$2:$G$127, MATCH(D1275, Archetypes!$A$2:$A$127, 0))*INDEX(Unit_Grades!$B$2:$B$7, MATCH(F1275, Unit_Grades!$A$2:$A$7, 0))*INDEX(Unit_Paths!$D$2:$D$4, MATCH(E1275, Unit_Paths!$A$2:$A$4, 0)),0)</f>
        <v>1397</v>
      </c>
      <c r="K1275" s="6" t="n">
        <f aca="false">ROUND(INDEX(Archetypes!$H$2:$H$127, MATCH(D1275, Archetypes!$A$2:$A$127, 0))*INDEX(Unit_Paths!$E$2:$E$4, MATCH(E1275, Unit_Paths!$A$2:$A$4, 0)),1)</f>
        <v>25.8</v>
      </c>
      <c r="L1275" s="6" t="n">
        <f aca="false">ROUND(INDEX(Archetypes!$I$2:$I$127, MATCH(D1275, Archetypes!$A$2:$A$127, 0))*INDEX(Unit_Grades!$C$2:$C$7, MATCH(F1275, Unit_Grades!$A$2:$A$7, 0)),1)</f>
        <v>52.5</v>
      </c>
      <c r="M1275" s="6" t="n">
        <f aca="false">ROUND(INDEX(Archetypes!$J$2:$J$127, MATCH(D1275, Archetypes!$A$2:$A$127, 0))*INDEX(Unit_Grades!$D$2:$D$7, MATCH(F1275, Unit_Grades!$A$2:$A$7, 0)),1)</f>
        <v>25.6</v>
      </c>
      <c r="N1275" s="6" t="n">
        <f aca="false">ROUND(M1275/24,2)</f>
        <v>1.07</v>
      </c>
    </row>
    <row r="1276" customFormat="false" ht="15" hidden="false" customHeight="true" outlineLevel="0" collapsed="false">
      <c r="A1276" s="6" t="n">
        <v>4</v>
      </c>
      <c r="B1276" s="6" t="s">
        <v>2773</v>
      </c>
      <c r="C1276" s="6" t="s">
        <v>1413</v>
      </c>
      <c r="D1276" s="6" t="str">
        <f aca="false">A1276&amp;"|"&amp;C1276</f>
        <v>4|Battleship</v>
      </c>
      <c r="E1276" s="6" t="s">
        <v>1560</v>
      </c>
      <c r="F1276" s="6" t="s">
        <v>1542</v>
      </c>
      <c r="G1276" s="6" t="str">
        <f aca="false">INDEX(Archetypes!$D$2:$D$127, MATCH(D1276, Archetypes!$A$2:$A$127, 0))</f>
        <v>Capital</v>
      </c>
      <c r="H1276" s="6" t="n">
        <f aca="false">ROUND(INDEX(Archetypes!$E$2:$E$127, MATCH(D1276, Archetypes!$A$2:$A$127, 0))*INDEX(Unit_Grades!$B$2:$B$7, MATCH(F1276, Unit_Grades!$A$2:$A$7, 0))*INDEX(Unit_Paths!$B$2:$B$4, MATCH(E1276, Unit_Paths!$A$2:$A$4, 0)),1)</f>
        <v>367.2</v>
      </c>
      <c r="I1276" s="6" t="n">
        <f aca="false">ROUND(INDEX(Archetypes!$F$2:$F$127, MATCH(D1276, Archetypes!$A$2:$A$127, 0))*INDEX(Unit_Grades!$B$2:$B$7, MATCH(F1276, Unit_Grades!$A$2:$A$7, 0))*INDEX(Unit_Paths!$C$2:$C$4, MATCH(E1276, Unit_Paths!$A$2:$A$4, 0)),1)</f>
        <v>360</v>
      </c>
      <c r="J1276" s="6" t="n">
        <f aca="false">ROUND(INDEX(Archetypes!$G$2:$G$127, MATCH(D1276, Archetypes!$A$2:$A$127, 0))*INDEX(Unit_Grades!$B$2:$B$7, MATCH(F1276, Unit_Grades!$A$2:$A$7, 0))*INDEX(Unit_Paths!$D$2:$D$4, MATCH(E1276, Unit_Paths!$A$2:$A$4, 0)),0)</f>
        <v>1863</v>
      </c>
      <c r="K1276" s="6" t="n">
        <f aca="false">ROUND(INDEX(Archetypes!$H$2:$H$127, MATCH(D1276, Archetypes!$A$2:$A$127, 0))*INDEX(Unit_Paths!$E$2:$E$4, MATCH(E1276, Unit_Paths!$A$2:$A$4, 0)),1)</f>
        <v>25.8</v>
      </c>
      <c r="L1276" s="6" t="n">
        <f aca="false">ROUND(INDEX(Archetypes!$I$2:$I$127, MATCH(D1276, Archetypes!$A$2:$A$127, 0))*INDEX(Unit_Grades!$C$2:$C$7, MATCH(F1276, Unit_Grades!$A$2:$A$7, 0)),1)</f>
        <v>67.2</v>
      </c>
      <c r="M1276" s="6" t="n">
        <f aca="false">ROUND(INDEX(Archetypes!$J$2:$J$127, MATCH(D1276, Archetypes!$A$2:$A$127, 0))*INDEX(Unit_Grades!$D$2:$D$7, MATCH(F1276, Unit_Grades!$A$2:$A$7, 0)),1)</f>
        <v>42.6</v>
      </c>
      <c r="N1276" s="6" t="n">
        <f aca="false">ROUND(M1276/24,2)</f>
        <v>1.78</v>
      </c>
    </row>
    <row r="1277" customFormat="false" ht="15" hidden="false" customHeight="true" outlineLevel="0" collapsed="false">
      <c r="A1277" s="6" t="n">
        <v>4</v>
      </c>
      <c r="B1277" s="6" t="s">
        <v>2774</v>
      </c>
      <c r="C1277" s="6" t="s">
        <v>1413</v>
      </c>
      <c r="D1277" s="6" t="str">
        <f aca="false">A1277&amp;"|"&amp;C1277</f>
        <v>4|Battleship</v>
      </c>
      <c r="E1277" s="6" t="s">
        <v>1560</v>
      </c>
      <c r="F1277" s="6" t="s">
        <v>1544</v>
      </c>
      <c r="G1277" s="6" t="str">
        <f aca="false">INDEX(Archetypes!$D$2:$D$127, MATCH(D1277, Archetypes!$A$2:$A$127, 0))</f>
        <v>Capital</v>
      </c>
      <c r="H1277" s="6" t="n">
        <f aca="false">ROUND(INDEX(Archetypes!$E$2:$E$127, MATCH(D1277, Archetypes!$A$2:$A$127, 0))*INDEX(Unit_Grades!$B$2:$B$7, MATCH(F1277, Unit_Grades!$A$2:$A$7, 0))*INDEX(Unit_Paths!$B$2:$B$4, MATCH(E1277, Unit_Paths!$A$2:$A$4, 0)),1)</f>
        <v>489.6</v>
      </c>
      <c r="I1277" s="6" t="n">
        <f aca="false">ROUND(INDEX(Archetypes!$F$2:$F$127, MATCH(D1277, Archetypes!$A$2:$A$127, 0))*INDEX(Unit_Grades!$B$2:$B$7, MATCH(F1277, Unit_Grades!$A$2:$A$7, 0))*INDEX(Unit_Paths!$C$2:$C$4, MATCH(E1277, Unit_Paths!$A$2:$A$4, 0)),1)</f>
        <v>480</v>
      </c>
      <c r="J1277" s="6" t="n">
        <f aca="false">ROUND(INDEX(Archetypes!$G$2:$G$127, MATCH(D1277, Archetypes!$A$2:$A$127, 0))*INDEX(Unit_Grades!$B$2:$B$7, MATCH(F1277, Unit_Grades!$A$2:$A$7, 0))*INDEX(Unit_Paths!$D$2:$D$4, MATCH(E1277, Unit_Paths!$A$2:$A$4, 0)),0)</f>
        <v>2484</v>
      </c>
      <c r="K1277" s="6" t="n">
        <f aca="false">ROUND(INDEX(Archetypes!$H$2:$H$127, MATCH(D1277, Archetypes!$A$2:$A$127, 0))*INDEX(Unit_Paths!$E$2:$E$4, MATCH(E1277, Unit_Paths!$A$2:$A$4, 0)),1)</f>
        <v>25.8</v>
      </c>
      <c r="L1277" s="6" t="n">
        <f aca="false">ROUND(INDEX(Archetypes!$I$2:$I$127, MATCH(D1277, Archetypes!$A$2:$A$127, 0))*INDEX(Unit_Grades!$C$2:$C$7, MATCH(F1277, Unit_Grades!$A$2:$A$7, 0)),1)</f>
        <v>88.2</v>
      </c>
      <c r="M1277" s="6" t="n">
        <f aca="false">ROUND(INDEX(Archetypes!$J$2:$J$127, MATCH(D1277, Archetypes!$A$2:$A$127, 0))*INDEX(Unit_Grades!$D$2:$D$7, MATCH(F1277, Unit_Grades!$A$2:$A$7, 0)),1)</f>
        <v>68.2</v>
      </c>
      <c r="N1277" s="6" t="n">
        <f aca="false">ROUND(M1277/24,2)</f>
        <v>2.84</v>
      </c>
    </row>
    <row r="1278" customFormat="false" ht="15" hidden="false" customHeight="true" outlineLevel="0" collapsed="false">
      <c r="A1278" s="6" t="n">
        <v>4</v>
      </c>
      <c r="B1278" s="6" t="s">
        <v>2775</v>
      </c>
      <c r="C1278" s="6" t="s">
        <v>1413</v>
      </c>
      <c r="D1278" s="6" t="str">
        <f aca="false">A1278&amp;"|"&amp;C1278</f>
        <v>4|Battleship</v>
      </c>
      <c r="E1278" s="6" t="s">
        <v>1560</v>
      </c>
      <c r="F1278" s="6" t="s">
        <v>1546</v>
      </c>
      <c r="G1278" s="6" t="str">
        <f aca="false">INDEX(Archetypes!$D$2:$D$127, MATCH(D1278, Archetypes!$A$2:$A$127, 0))</f>
        <v>Capital</v>
      </c>
      <c r="H1278" s="6" t="n">
        <f aca="false">ROUND(INDEX(Archetypes!$E$2:$E$127, MATCH(D1278, Archetypes!$A$2:$A$127, 0))*INDEX(Unit_Grades!$B$2:$B$7, MATCH(F1278, Unit_Grades!$A$2:$A$7, 0))*INDEX(Unit_Paths!$B$2:$B$4, MATCH(E1278, Unit_Paths!$A$2:$A$4, 0)),1)</f>
        <v>652.8</v>
      </c>
      <c r="I1278" s="6" t="n">
        <f aca="false">ROUND(INDEX(Archetypes!$F$2:$F$127, MATCH(D1278, Archetypes!$A$2:$A$127, 0))*INDEX(Unit_Grades!$B$2:$B$7, MATCH(F1278, Unit_Grades!$A$2:$A$7, 0))*INDEX(Unit_Paths!$C$2:$C$4, MATCH(E1278, Unit_Paths!$A$2:$A$4, 0)),1)</f>
        <v>640</v>
      </c>
      <c r="J1278" s="6" t="n">
        <f aca="false">ROUND(INDEX(Archetypes!$G$2:$G$127, MATCH(D1278, Archetypes!$A$2:$A$127, 0))*INDEX(Unit_Grades!$B$2:$B$7, MATCH(F1278, Unit_Grades!$A$2:$A$7, 0))*INDEX(Unit_Paths!$D$2:$D$4, MATCH(E1278, Unit_Paths!$A$2:$A$4, 0)),0)</f>
        <v>3312</v>
      </c>
      <c r="K1278" s="6" t="n">
        <f aca="false">ROUND(INDEX(Archetypes!$H$2:$H$127, MATCH(D1278, Archetypes!$A$2:$A$127, 0))*INDEX(Unit_Paths!$E$2:$E$4, MATCH(E1278, Unit_Paths!$A$2:$A$4, 0)),1)</f>
        <v>25.8</v>
      </c>
      <c r="L1278" s="6" t="n">
        <f aca="false">ROUND(INDEX(Archetypes!$I$2:$I$127, MATCH(D1278, Archetypes!$A$2:$A$127, 0))*INDEX(Unit_Grades!$C$2:$C$7, MATCH(F1278, Unit_Grades!$A$2:$A$7, 0)),1)</f>
        <v>117.6</v>
      </c>
      <c r="M1278" s="6" t="n">
        <f aca="false">ROUND(INDEX(Archetypes!$J$2:$J$127, MATCH(D1278, Archetypes!$A$2:$A$127, 0))*INDEX(Unit_Grades!$D$2:$D$7, MATCH(F1278, Unit_Grades!$A$2:$A$7, 0)),1)</f>
        <v>119.4</v>
      </c>
      <c r="N1278" s="6" t="n">
        <f aca="false">ROUND(M1278/24,2)</f>
        <v>4.98</v>
      </c>
    </row>
    <row r="1279" customFormat="false" ht="15" hidden="false" customHeight="true" outlineLevel="0" collapsed="false">
      <c r="A1279" s="6" t="n">
        <v>4</v>
      </c>
      <c r="B1279" s="6" t="s">
        <v>2776</v>
      </c>
      <c r="C1279" s="6" t="s">
        <v>1413</v>
      </c>
      <c r="D1279" s="6" t="str">
        <f aca="false">A1279&amp;"|"&amp;C1279</f>
        <v>4|Battleship</v>
      </c>
      <c r="E1279" s="6" t="s">
        <v>1560</v>
      </c>
      <c r="F1279" s="6" t="s">
        <v>1548</v>
      </c>
      <c r="G1279" s="6" t="str">
        <f aca="false">INDEX(Archetypes!$D$2:$D$127, MATCH(D1279, Archetypes!$A$2:$A$127, 0))</f>
        <v>Capital</v>
      </c>
      <c r="H1279" s="6" t="n">
        <f aca="false">ROUND(INDEX(Archetypes!$E$2:$E$127, MATCH(D1279, Archetypes!$A$2:$A$127, 0))*INDEX(Unit_Grades!$B$2:$B$7, MATCH(F1279, Unit_Grades!$A$2:$A$7, 0))*INDEX(Unit_Paths!$B$2:$B$4, MATCH(E1279, Unit_Paths!$A$2:$A$4, 0)),1)</f>
        <v>856.8</v>
      </c>
      <c r="I1279" s="6" t="n">
        <f aca="false">ROUND(INDEX(Archetypes!$F$2:$F$127, MATCH(D1279, Archetypes!$A$2:$A$127, 0))*INDEX(Unit_Grades!$B$2:$B$7, MATCH(F1279, Unit_Grades!$A$2:$A$7, 0))*INDEX(Unit_Paths!$C$2:$C$4, MATCH(E1279, Unit_Paths!$A$2:$A$4, 0)),1)</f>
        <v>840</v>
      </c>
      <c r="J1279" s="6" t="n">
        <f aca="false">ROUND(INDEX(Archetypes!$G$2:$G$127, MATCH(D1279, Archetypes!$A$2:$A$127, 0))*INDEX(Unit_Grades!$B$2:$B$7, MATCH(F1279, Unit_Grades!$A$2:$A$7, 0))*INDEX(Unit_Paths!$D$2:$D$4, MATCH(E1279, Unit_Paths!$A$2:$A$4, 0)),0)</f>
        <v>4347</v>
      </c>
      <c r="K1279" s="6" t="n">
        <f aca="false">ROUND(INDEX(Archetypes!$H$2:$H$127, MATCH(D1279, Archetypes!$A$2:$A$127, 0))*INDEX(Unit_Paths!$E$2:$E$4, MATCH(E1279, Unit_Paths!$A$2:$A$4, 0)),1)</f>
        <v>25.8</v>
      </c>
      <c r="L1279" s="6" t="n">
        <f aca="false">ROUND(INDEX(Archetypes!$I$2:$I$127, MATCH(D1279, Archetypes!$A$2:$A$127, 0))*INDEX(Unit_Grades!$C$2:$C$7, MATCH(F1279, Unit_Grades!$A$2:$A$7, 0)),1)</f>
        <v>155.4</v>
      </c>
      <c r="M1279" s="6" t="n">
        <f aca="false">ROUND(INDEX(Archetypes!$J$2:$J$127, MATCH(D1279, Archetypes!$A$2:$A$127, 0))*INDEX(Unit_Grades!$D$2:$D$7, MATCH(F1279, Unit_Grades!$A$2:$A$7, 0)),1)</f>
        <v>204.6</v>
      </c>
      <c r="N1279" s="6" t="n">
        <f aca="false">ROUND(M1279/24,2)</f>
        <v>8.53</v>
      </c>
    </row>
    <row r="1280" customFormat="false" ht="15" hidden="false" customHeight="true" outlineLevel="0" collapsed="false">
      <c r="A1280" s="6" t="n">
        <v>4</v>
      </c>
      <c r="B1280" s="6" t="s">
        <v>1415</v>
      </c>
      <c r="C1280" s="6" t="s">
        <v>1415</v>
      </c>
      <c r="D1280" s="6" t="str">
        <f aca="false">A1280&amp;"|"&amp;C1280</f>
        <v>4|Cultivator Commando</v>
      </c>
      <c r="E1280" s="6" t="s">
        <v>1556</v>
      </c>
      <c r="F1280" s="6" t="s">
        <v>1538</v>
      </c>
      <c r="G1280" s="6" t="str">
        <f aca="false">INDEX(Archetypes!$D$2:$D$127, MATCH(D1280, Archetypes!$A$2:$A$127, 0))</f>
        <v>Cultivator</v>
      </c>
      <c r="H1280" s="6" t="n">
        <f aca="false">ROUND(INDEX(Archetypes!$E$2:$E$127, MATCH(D1280, Archetypes!$A$2:$A$127, 0))*INDEX(Unit_Grades!$B$2:$B$7, MATCH(F1280, Unit_Grades!$A$2:$A$7, 0))*INDEX(Unit_Paths!$B$2:$B$4, MATCH(E1280, Unit_Paths!$A$2:$A$4, 0)),1)</f>
        <v>150</v>
      </c>
      <c r="I1280" s="6" t="n">
        <f aca="false">ROUND(INDEX(Archetypes!$F$2:$F$127, MATCH(D1280, Archetypes!$A$2:$A$127, 0))*INDEX(Unit_Grades!$B$2:$B$7, MATCH(F1280, Unit_Grades!$A$2:$A$7, 0))*INDEX(Unit_Paths!$C$2:$C$4, MATCH(E1280, Unit_Paths!$A$2:$A$4, 0)),1)</f>
        <v>90</v>
      </c>
      <c r="J1280" s="6" t="n">
        <f aca="false">ROUND(INDEX(Archetypes!$G$2:$G$127, MATCH(D1280, Archetypes!$A$2:$A$127, 0))*INDEX(Unit_Grades!$B$2:$B$7, MATCH(F1280, Unit_Grades!$A$2:$A$7, 0))*INDEX(Unit_Paths!$D$2:$D$4, MATCH(E1280, Unit_Paths!$A$2:$A$4, 0)),0)</f>
        <v>320</v>
      </c>
      <c r="K1280" s="6" t="n">
        <f aca="false">ROUND(INDEX(Archetypes!$H$2:$H$127, MATCH(D1280, Archetypes!$A$2:$A$127, 0))*INDEX(Unit_Paths!$E$2:$E$4, MATCH(E1280, Unit_Paths!$A$2:$A$4, 0)),1)</f>
        <v>26</v>
      </c>
      <c r="L1280" s="6" t="n">
        <f aca="false">ROUND(INDEX(Archetypes!$I$2:$I$127, MATCH(D1280, Archetypes!$A$2:$A$127, 0))*INDEX(Unit_Grades!$C$2:$C$7, MATCH(F1280, Unit_Grades!$A$2:$A$7, 0)),1)</f>
        <v>26</v>
      </c>
      <c r="M1280" s="6" t="n">
        <f aca="false">ROUND(INDEX(Archetypes!$J$2:$J$127, MATCH(D1280, Archetypes!$A$2:$A$127, 0))*INDEX(Unit_Grades!$D$2:$D$7, MATCH(F1280, Unit_Grades!$A$2:$A$7, 0)),1)</f>
        <v>10.6</v>
      </c>
      <c r="N1280" s="6" t="n">
        <f aca="false">ROUND(M1280/24,2)</f>
        <v>0.44</v>
      </c>
    </row>
    <row r="1281" customFormat="false" ht="15" hidden="false" customHeight="true" outlineLevel="0" collapsed="false">
      <c r="A1281" s="6" t="n">
        <v>4</v>
      </c>
      <c r="B1281" s="6" t="s">
        <v>2777</v>
      </c>
      <c r="C1281" s="6" t="s">
        <v>1415</v>
      </c>
      <c r="D1281" s="6" t="str">
        <f aca="false">A1281&amp;"|"&amp;C1281</f>
        <v>4|Cultivator Commando</v>
      </c>
      <c r="E1281" s="6" t="s">
        <v>1556</v>
      </c>
      <c r="F1281" s="6" t="s">
        <v>1540</v>
      </c>
      <c r="G1281" s="6" t="str">
        <f aca="false">INDEX(Archetypes!$D$2:$D$127, MATCH(D1281, Archetypes!$A$2:$A$127, 0))</f>
        <v>Cultivator</v>
      </c>
      <c r="H1281" s="6" t="n">
        <f aca="false">ROUND(INDEX(Archetypes!$E$2:$E$127, MATCH(D1281, Archetypes!$A$2:$A$127, 0))*INDEX(Unit_Grades!$B$2:$B$7, MATCH(F1281, Unit_Grades!$A$2:$A$7, 0))*INDEX(Unit_Paths!$B$2:$B$4, MATCH(E1281, Unit_Paths!$A$2:$A$4, 0)),1)</f>
        <v>202.5</v>
      </c>
      <c r="I1281" s="6" t="n">
        <f aca="false">ROUND(INDEX(Archetypes!$F$2:$F$127, MATCH(D1281, Archetypes!$A$2:$A$127, 0))*INDEX(Unit_Grades!$B$2:$B$7, MATCH(F1281, Unit_Grades!$A$2:$A$7, 0))*INDEX(Unit_Paths!$C$2:$C$4, MATCH(E1281, Unit_Paths!$A$2:$A$4, 0)),1)</f>
        <v>121.5</v>
      </c>
      <c r="J1281" s="6" t="n">
        <f aca="false">ROUND(INDEX(Archetypes!$G$2:$G$127, MATCH(D1281, Archetypes!$A$2:$A$127, 0))*INDEX(Unit_Grades!$B$2:$B$7, MATCH(F1281, Unit_Grades!$A$2:$A$7, 0))*INDEX(Unit_Paths!$D$2:$D$4, MATCH(E1281, Unit_Paths!$A$2:$A$4, 0)),0)</f>
        <v>432</v>
      </c>
      <c r="K1281" s="6" t="n">
        <f aca="false">ROUND(INDEX(Archetypes!$H$2:$H$127, MATCH(D1281, Archetypes!$A$2:$A$127, 0))*INDEX(Unit_Paths!$E$2:$E$4, MATCH(E1281, Unit_Paths!$A$2:$A$4, 0)),1)</f>
        <v>26</v>
      </c>
      <c r="L1281" s="6" t="n">
        <f aca="false">ROUND(INDEX(Archetypes!$I$2:$I$127, MATCH(D1281, Archetypes!$A$2:$A$127, 0))*INDEX(Unit_Grades!$C$2:$C$7, MATCH(F1281, Unit_Grades!$A$2:$A$7, 0)),1)</f>
        <v>32.5</v>
      </c>
      <c r="M1281" s="6" t="n">
        <f aca="false">ROUND(INDEX(Archetypes!$J$2:$J$127, MATCH(D1281, Archetypes!$A$2:$A$127, 0))*INDEX(Unit_Grades!$D$2:$D$7, MATCH(F1281, Unit_Grades!$A$2:$A$7, 0)),1)</f>
        <v>15.8</v>
      </c>
      <c r="N1281" s="6" t="n">
        <f aca="false">ROUND(M1281/24,2)</f>
        <v>0.66</v>
      </c>
    </row>
    <row r="1282" customFormat="false" ht="15" hidden="false" customHeight="true" outlineLevel="0" collapsed="false">
      <c r="A1282" s="6" t="n">
        <v>4</v>
      </c>
      <c r="B1282" s="6" t="s">
        <v>2778</v>
      </c>
      <c r="C1282" s="6" t="s">
        <v>1415</v>
      </c>
      <c r="D1282" s="6" t="str">
        <f aca="false">A1282&amp;"|"&amp;C1282</f>
        <v>4|Cultivator Commando</v>
      </c>
      <c r="E1282" s="6" t="s">
        <v>1556</v>
      </c>
      <c r="F1282" s="6" t="s">
        <v>1542</v>
      </c>
      <c r="G1282" s="6" t="str">
        <f aca="false">INDEX(Archetypes!$D$2:$D$127, MATCH(D1282, Archetypes!$A$2:$A$127, 0))</f>
        <v>Cultivator</v>
      </c>
      <c r="H1282" s="6" t="n">
        <f aca="false">ROUND(INDEX(Archetypes!$E$2:$E$127, MATCH(D1282, Archetypes!$A$2:$A$127, 0))*INDEX(Unit_Grades!$B$2:$B$7, MATCH(F1282, Unit_Grades!$A$2:$A$7, 0))*INDEX(Unit_Paths!$B$2:$B$4, MATCH(E1282, Unit_Paths!$A$2:$A$4, 0)),1)</f>
        <v>270</v>
      </c>
      <c r="I1282" s="6" t="n">
        <f aca="false">ROUND(INDEX(Archetypes!$F$2:$F$127, MATCH(D1282, Archetypes!$A$2:$A$127, 0))*INDEX(Unit_Grades!$B$2:$B$7, MATCH(F1282, Unit_Grades!$A$2:$A$7, 0))*INDEX(Unit_Paths!$C$2:$C$4, MATCH(E1282, Unit_Paths!$A$2:$A$4, 0)),1)</f>
        <v>162</v>
      </c>
      <c r="J1282" s="6" t="n">
        <f aca="false">ROUND(INDEX(Archetypes!$G$2:$G$127, MATCH(D1282, Archetypes!$A$2:$A$127, 0))*INDEX(Unit_Grades!$B$2:$B$7, MATCH(F1282, Unit_Grades!$A$2:$A$7, 0))*INDEX(Unit_Paths!$D$2:$D$4, MATCH(E1282, Unit_Paths!$A$2:$A$4, 0)),0)</f>
        <v>576</v>
      </c>
      <c r="K1282" s="6" t="n">
        <f aca="false">ROUND(INDEX(Archetypes!$H$2:$H$127, MATCH(D1282, Archetypes!$A$2:$A$127, 0))*INDEX(Unit_Paths!$E$2:$E$4, MATCH(E1282, Unit_Paths!$A$2:$A$4, 0)),1)</f>
        <v>26</v>
      </c>
      <c r="L1282" s="6" t="n">
        <f aca="false">ROUND(INDEX(Archetypes!$I$2:$I$127, MATCH(D1282, Archetypes!$A$2:$A$127, 0))*INDEX(Unit_Grades!$C$2:$C$7, MATCH(F1282, Unit_Grades!$A$2:$A$7, 0)),1)</f>
        <v>41.6</v>
      </c>
      <c r="M1282" s="6" t="n">
        <f aca="false">ROUND(INDEX(Archetypes!$J$2:$J$127, MATCH(D1282, Archetypes!$A$2:$A$127, 0))*INDEX(Unit_Grades!$D$2:$D$7, MATCH(F1282, Unit_Grades!$A$2:$A$7, 0)),1)</f>
        <v>26.4</v>
      </c>
      <c r="N1282" s="6" t="n">
        <f aca="false">ROUND(M1282/24,2)</f>
        <v>1.1</v>
      </c>
    </row>
    <row r="1283" customFormat="false" ht="15" hidden="false" customHeight="true" outlineLevel="0" collapsed="false">
      <c r="A1283" s="6" t="n">
        <v>4</v>
      </c>
      <c r="B1283" s="6" t="s">
        <v>2779</v>
      </c>
      <c r="C1283" s="6" t="s">
        <v>1415</v>
      </c>
      <c r="D1283" s="6" t="str">
        <f aca="false">A1283&amp;"|"&amp;C1283</f>
        <v>4|Cultivator Commando</v>
      </c>
      <c r="E1283" s="6" t="s">
        <v>1556</v>
      </c>
      <c r="F1283" s="6" t="s">
        <v>1544</v>
      </c>
      <c r="G1283" s="6" t="str">
        <f aca="false">INDEX(Archetypes!$D$2:$D$127, MATCH(D1283, Archetypes!$A$2:$A$127, 0))</f>
        <v>Cultivator</v>
      </c>
      <c r="H1283" s="6" t="n">
        <f aca="false">ROUND(INDEX(Archetypes!$E$2:$E$127, MATCH(D1283, Archetypes!$A$2:$A$127, 0))*INDEX(Unit_Grades!$B$2:$B$7, MATCH(F1283, Unit_Grades!$A$2:$A$7, 0))*INDEX(Unit_Paths!$B$2:$B$4, MATCH(E1283, Unit_Paths!$A$2:$A$4, 0)),1)</f>
        <v>360</v>
      </c>
      <c r="I1283" s="6" t="n">
        <f aca="false">ROUND(INDEX(Archetypes!$F$2:$F$127, MATCH(D1283, Archetypes!$A$2:$A$127, 0))*INDEX(Unit_Grades!$B$2:$B$7, MATCH(F1283, Unit_Grades!$A$2:$A$7, 0))*INDEX(Unit_Paths!$C$2:$C$4, MATCH(E1283, Unit_Paths!$A$2:$A$4, 0)),1)</f>
        <v>216</v>
      </c>
      <c r="J1283" s="6" t="n">
        <f aca="false">ROUND(INDEX(Archetypes!$G$2:$G$127, MATCH(D1283, Archetypes!$A$2:$A$127, 0))*INDEX(Unit_Grades!$B$2:$B$7, MATCH(F1283, Unit_Grades!$A$2:$A$7, 0))*INDEX(Unit_Paths!$D$2:$D$4, MATCH(E1283, Unit_Paths!$A$2:$A$4, 0)),0)</f>
        <v>768</v>
      </c>
      <c r="K1283" s="6" t="n">
        <f aca="false">ROUND(INDEX(Archetypes!$H$2:$H$127, MATCH(D1283, Archetypes!$A$2:$A$127, 0))*INDEX(Unit_Paths!$E$2:$E$4, MATCH(E1283, Unit_Paths!$A$2:$A$4, 0)),1)</f>
        <v>26</v>
      </c>
      <c r="L1283" s="6" t="n">
        <f aca="false">ROUND(INDEX(Archetypes!$I$2:$I$127, MATCH(D1283, Archetypes!$A$2:$A$127, 0))*INDEX(Unit_Grades!$C$2:$C$7, MATCH(F1283, Unit_Grades!$A$2:$A$7, 0)),1)</f>
        <v>54.6</v>
      </c>
      <c r="M1283" s="6" t="n">
        <f aca="false">ROUND(INDEX(Archetypes!$J$2:$J$127, MATCH(D1283, Archetypes!$A$2:$A$127, 0))*INDEX(Unit_Grades!$D$2:$D$7, MATCH(F1283, Unit_Grades!$A$2:$A$7, 0)),1)</f>
        <v>42.2</v>
      </c>
      <c r="N1283" s="6" t="n">
        <f aca="false">ROUND(M1283/24,2)</f>
        <v>1.76</v>
      </c>
    </row>
    <row r="1284" customFormat="false" ht="15" hidden="false" customHeight="true" outlineLevel="0" collapsed="false">
      <c r="A1284" s="6" t="n">
        <v>4</v>
      </c>
      <c r="B1284" s="6" t="s">
        <v>2780</v>
      </c>
      <c r="C1284" s="6" t="s">
        <v>1415</v>
      </c>
      <c r="D1284" s="6" t="str">
        <f aca="false">A1284&amp;"|"&amp;C1284</f>
        <v>4|Cultivator Commando</v>
      </c>
      <c r="E1284" s="6" t="s">
        <v>1556</v>
      </c>
      <c r="F1284" s="6" t="s">
        <v>1546</v>
      </c>
      <c r="G1284" s="6" t="str">
        <f aca="false">INDEX(Archetypes!$D$2:$D$127, MATCH(D1284, Archetypes!$A$2:$A$127, 0))</f>
        <v>Cultivator</v>
      </c>
      <c r="H1284" s="6" t="n">
        <f aca="false">ROUND(INDEX(Archetypes!$E$2:$E$127, MATCH(D1284, Archetypes!$A$2:$A$127, 0))*INDEX(Unit_Grades!$B$2:$B$7, MATCH(F1284, Unit_Grades!$A$2:$A$7, 0))*INDEX(Unit_Paths!$B$2:$B$4, MATCH(E1284, Unit_Paths!$A$2:$A$4, 0)),1)</f>
        <v>480</v>
      </c>
      <c r="I1284" s="6" t="n">
        <f aca="false">ROUND(INDEX(Archetypes!$F$2:$F$127, MATCH(D1284, Archetypes!$A$2:$A$127, 0))*INDEX(Unit_Grades!$B$2:$B$7, MATCH(F1284, Unit_Grades!$A$2:$A$7, 0))*INDEX(Unit_Paths!$C$2:$C$4, MATCH(E1284, Unit_Paths!$A$2:$A$4, 0)),1)</f>
        <v>288</v>
      </c>
      <c r="J1284" s="6" t="n">
        <f aca="false">ROUND(INDEX(Archetypes!$G$2:$G$127, MATCH(D1284, Archetypes!$A$2:$A$127, 0))*INDEX(Unit_Grades!$B$2:$B$7, MATCH(F1284, Unit_Grades!$A$2:$A$7, 0))*INDEX(Unit_Paths!$D$2:$D$4, MATCH(E1284, Unit_Paths!$A$2:$A$4, 0)),0)</f>
        <v>1024</v>
      </c>
      <c r="K1284" s="6" t="n">
        <f aca="false">ROUND(INDEX(Archetypes!$H$2:$H$127, MATCH(D1284, Archetypes!$A$2:$A$127, 0))*INDEX(Unit_Paths!$E$2:$E$4, MATCH(E1284, Unit_Paths!$A$2:$A$4, 0)),1)</f>
        <v>26</v>
      </c>
      <c r="L1284" s="6" t="n">
        <f aca="false">ROUND(INDEX(Archetypes!$I$2:$I$127, MATCH(D1284, Archetypes!$A$2:$A$127, 0))*INDEX(Unit_Grades!$C$2:$C$7, MATCH(F1284, Unit_Grades!$A$2:$A$7, 0)),1)</f>
        <v>72.8</v>
      </c>
      <c r="M1284" s="6" t="n">
        <f aca="false">ROUND(INDEX(Archetypes!$J$2:$J$127, MATCH(D1284, Archetypes!$A$2:$A$127, 0))*INDEX(Unit_Grades!$D$2:$D$7, MATCH(F1284, Unit_Grades!$A$2:$A$7, 0)),1)</f>
        <v>73.9</v>
      </c>
      <c r="N1284" s="6" t="n">
        <f aca="false">ROUND(M1284/24,2)</f>
        <v>3.08</v>
      </c>
    </row>
    <row r="1285" customFormat="false" ht="15" hidden="false" customHeight="true" outlineLevel="0" collapsed="false">
      <c r="A1285" s="6" t="n">
        <v>4</v>
      </c>
      <c r="B1285" s="6" t="s">
        <v>2781</v>
      </c>
      <c r="C1285" s="6" t="s">
        <v>1415</v>
      </c>
      <c r="D1285" s="6" t="str">
        <f aca="false">A1285&amp;"|"&amp;C1285</f>
        <v>4|Cultivator Commando</v>
      </c>
      <c r="E1285" s="6" t="s">
        <v>1556</v>
      </c>
      <c r="F1285" s="6" t="s">
        <v>1548</v>
      </c>
      <c r="G1285" s="6" t="str">
        <f aca="false">INDEX(Archetypes!$D$2:$D$127, MATCH(D1285, Archetypes!$A$2:$A$127, 0))</f>
        <v>Cultivator</v>
      </c>
      <c r="H1285" s="6" t="n">
        <f aca="false">ROUND(INDEX(Archetypes!$E$2:$E$127, MATCH(D1285, Archetypes!$A$2:$A$127, 0))*INDEX(Unit_Grades!$B$2:$B$7, MATCH(F1285, Unit_Grades!$A$2:$A$7, 0))*INDEX(Unit_Paths!$B$2:$B$4, MATCH(E1285, Unit_Paths!$A$2:$A$4, 0)),1)</f>
        <v>630</v>
      </c>
      <c r="I1285" s="6" t="n">
        <f aca="false">ROUND(INDEX(Archetypes!$F$2:$F$127, MATCH(D1285, Archetypes!$A$2:$A$127, 0))*INDEX(Unit_Grades!$B$2:$B$7, MATCH(F1285, Unit_Grades!$A$2:$A$7, 0))*INDEX(Unit_Paths!$C$2:$C$4, MATCH(E1285, Unit_Paths!$A$2:$A$4, 0)),1)</f>
        <v>378</v>
      </c>
      <c r="J1285" s="6" t="n">
        <f aca="false">ROUND(INDEX(Archetypes!$G$2:$G$127, MATCH(D1285, Archetypes!$A$2:$A$127, 0))*INDEX(Unit_Grades!$B$2:$B$7, MATCH(F1285, Unit_Grades!$A$2:$A$7, 0))*INDEX(Unit_Paths!$D$2:$D$4, MATCH(E1285, Unit_Paths!$A$2:$A$4, 0)),0)</f>
        <v>1344</v>
      </c>
      <c r="K1285" s="6" t="n">
        <f aca="false">ROUND(INDEX(Archetypes!$H$2:$H$127, MATCH(D1285, Archetypes!$A$2:$A$127, 0))*INDEX(Unit_Paths!$E$2:$E$4, MATCH(E1285, Unit_Paths!$A$2:$A$4, 0)),1)</f>
        <v>26</v>
      </c>
      <c r="L1285" s="6" t="n">
        <f aca="false">ROUND(INDEX(Archetypes!$I$2:$I$127, MATCH(D1285, Archetypes!$A$2:$A$127, 0))*INDEX(Unit_Grades!$C$2:$C$7, MATCH(F1285, Unit_Grades!$A$2:$A$7, 0)),1)</f>
        <v>96.2</v>
      </c>
      <c r="M1285" s="6" t="n">
        <f aca="false">ROUND(INDEX(Archetypes!$J$2:$J$127, MATCH(D1285, Archetypes!$A$2:$A$127, 0))*INDEX(Unit_Grades!$D$2:$D$7, MATCH(F1285, Unit_Grades!$A$2:$A$7, 0)),1)</f>
        <v>126.6</v>
      </c>
      <c r="N1285" s="6" t="n">
        <f aca="false">ROUND(M1285/24,2)</f>
        <v>5.28</v>
      </c>
    </row>
    <row r="1286" customFormat="false" ht="15" hidden="false" customHeight="true" outlineLevel="0" collapsed="false">
      <c r="A1286" s="6" t="n">
        <v>4</v>
      </c>
      <c r="B1286" s="6" t="s">
        <v>2782</v>
      </c>
      <c r="C1286" s="6" t="s">
        <v>1415</v>
      </c>
      <c r="D1286" s="6" t="str">
        <f aca="false">A1286&amp;"|"&amp;C1286</f>
        <v>4|Cultivator Commando</v>
      </c>
      <c r="E1286" s="6" t="s">
        <v>1558</v>
      </c>
      <c r="F1286" s="6" t="s">
        <v>1538</v>
      </c>
      <c r="G1286" s="6" t="str">
        <f aca="false">INDEX(Archetypes!$D$2:$D$127, MATCH(D1286, Archetypes!$A$2:$A$127, 0))</f>
        <v>Cultivator</v>
      </c>
      <c r="H1286" s="6" t="n">
        <f aca="false">ROUND(INDEX(Archetypes!$E$2:$E$127, MATCH(D1286, Archetypes!$A$2:$A$127, 0))*INDEX(Unit_Grades!$B$2:$B$7, MATCH(F1286, Unit_Grades!$A$2:$A$7, 0))*INDEX(Unit_Paths!$B$2:$B$4, MATCH(E1286, Unit_Paths!$A$2:$A$4, 0)),1)</f>
        <v>180</v>
      </c>
      <c r="I1286" s="6" t="n">
        <f aca="false">ROUND(INDEX(Archetypes!$F$2:$F$127, MATCH(D1286, Archetypes!$A$2:$A$127, 0))*INDEX(Unit_Grades!$B$2:$B$7, MATCH(F1286, Unit_Grades!$A$2:$A$7, 0))*INDEX(Unit_Paths!$C$2:$C$4, MATCH(E1286, Unit_Paths!$A$2:$A$4, 0)),1)</f>
        <v>76.5</v>
      </c>
      <c r="J1286" s="6" t="n">
        <f aca="false">ROUND(INDEX(Archetypes!$G$2:$G$127, MATCH(D1286, Archetypes!$A$2:$A$127, 0))*INDEX(Unit_Grades!$B$2:$B$7, MATCH(F1286, Unit_Grades!$A$2:$A$7, 0))*INDEX(Unit_Paths!$D$2:$D$4, MATCH(E1286, Unit_Paths!$A$2:$A$4, 0)),0)</f>
        <v>304</v>
      </c>
      <c r="K1286" s="6" t="n">
        <f aca="false">ROUND(INDEX(Archetypes!$H$2:$H$127, MATCH(D1286, Archetypes!$A$2:$A$127, 0))*INDEX(Unit_Paths!$E$2:$E$4, MATCH(E1286, Unit_Paths!$A$2:$A$4, 0)),1)</f>
        <v>27.3</v>
      </c>
      <c r="L1286" s="6" t="n">
        <f aca="false">ROUND(INDEX(Archetypes!$I$2:$I$127, MATCH(D1286, Archetypes!$A$2:$A$127, 0))*INDEX(Unit_Grades!$C$2:$C$7, MATCH(F1286, Unit_Grades!$A$2:$A$7, 0)),1)</f>
        <v>26</v>
      </c>
      <c r="M1286" s="6" t="n">
        <f aca="false">ROUND(INDEX(Archetypes!$J$2:$J$127, MATCH(D1286, Archetypes!$A$2:$A$127, 0))*INDEX(Unit_Grades!$D$2:$D$7, MATCH(F1286, Unit_Grades!$A$2:$A$7, 0)),1)</f>
        <v>10.6</v>
      </c>
      <c r="N1286" s="6" t="n">
        <f aca="false">ROUND(M1286/24,2)</f>
        <v>0.44</v>
      </c>
    </row>
    <row r="1287" customFormat="false" ht="15" hidden="false" customHeight="true" outlineLevel="0" collapsed="false">
      <c r="A1287" s="6" t="n">
        <v>4</v>
      </c>
      <c r="B1287" s="6" t="s">
        <v>2783</v>
      </c>
      <c r="C1287" s="6" t="s">
        <v>1415</v>
      </c>
      <c r="D1287" s="6" t="str">
        <f aca="false">A1287&amp;"|"&amp;C1287</f>
        <v>4|Cultivator Commando</v>
      </c>
      <c r="E1287" s="6" t="s">
        <v>1558</v>
      </c>
      <c r="F1287" s="6" t="s">
        <v>1540</v>
      </c>
      <c r="G1287" s="6" t="str">
        <f aca="false">INDEX(Archetypes!$D$2:$D$127, MATCH(D1287, Archetypes!$A$2:$A$127, 0))</f>
        <v>Cultivator</v>
      </c>
      <c r="H1287" s="6" t="n">
        <f aca="false">ROUND(INDEX(Archetypes!$E$2:$E$127, MATCH(D1287, Archetypes!$A$2:$A$127, 0))*INDEX(Unit_Grades!$B$2:$B$7, MATCH(F1287, Unit_Grades!$A$2:$A$7, 0))*INDEX(Unit_Paths!$B$2:$B$4, MATCH(E1287, Unit_Paths!$A$2:$A$4, 0)),1)</f>
        <v>243</v>
      </c>
      <c r="I1287" s="6" t="n">
        <f aca="false">ROUND(INDEX(Archetypes!$F$2:$F$127, MATCH(D1287, Archetypes!$A$2:$A$127, 0))*INDEX(Unit_Grades!$B$2:$B$7, MATCH(F1287, Unit_Grades!$A$2:$A$7, 0))*INDEX(Unit_Paths!$C$2:$C$4, MATCH(E1287, Unit_Paths!$A$2:$A$4, 0)),1)</f>
        <v>103.3</v>
      </c>
      <c r="J1287" s="6" t="n">
        <f aca="false">ROUND(INDEX(Archetypes!$G$2:$G$127, MATCH(D1287, Archetypes!$A$2:$A$127, 0))*INDEX(Unit_Grades!$B$2:$B$7, MATCH(F1287, Unit_Grades!$A$2:$A$7, 0))*INDEX(Unit_Paths!$D$2:$D$4, MATCH(E1287, Unit_Paths!$A$2:$A$4, 0)),0)</f>
        <v>410</v>
      </c>
      <c r="K1287" s="6" t="n">
        <f aca="false">ROUND(INDEX(Archetypes!$H$2:$H$127, MATCH(D1287, Archetypes!$A$2:$A$127, 0))*INDEX(Unit_Paths!$E$2:$E$4, MATCH(E1287, Unit_Paths!$A$2:$A$4, 0)),1)</f>
        <v>27.3</v>
      </c>
      <c r="L1287" s="6" t="n">
        <f aca="false">ROUND(INDEX(Archetypes!$I$2:$I$127, MATCH(D1287, Archetypes!$A$2:$A$127, 0))*INDEX(Unit_Grades!$C$2:$C$7, MATCH(F1287, Unit_Grades!$A$2:$A$7, 0)),1)</f>
        <v>32.5</v>
      </c>
      <c r="M1287" s="6" t="n">
        <f aca="false">ROUND(INDEX(Archetypes!$J$2:$J$127, MATCH(D1287, Archetypes!$A$2:$A$127, 0))*INDEX(Unit_Grades!$D$2:$D$7, MATCH(F1287, Unit_Grades!$A$2:$A$7, 0)),1)</f>
        <v>15.8</v>
      </c>
      <c r="N1287" s="6" t="n">
        <f aca="false">ROUND(M1287/24,2)</f>
        <v>0.66</v>
      </c>
    </row>
    <row r="1288" customFormat="false" ht="15" hidden="false" customHeight="true" outlineLevel="0" collapsed="false">
      <c r="A1288" s="6" t="n">
        <v>4</v>
      </c>
      <c r="B1288" s="6" t="s">
        <v>2784</v>
      </c>
      <c r="C1288" s="6" t="s">
        <v>1415</v>
      </c>
      <c r="D1288" s="6" t="str">
        <f aca="false">A1288&amp;"|"&amp;C1288</f>
        <v>4|Cultivator Commando</v>
      </c>
      <c r="E1288" s="6" t="s">
        <v>1558</v>
      </c>
      <c r="F1288" s="6" t="s">
        <v>1542</v>
      </c>
      <c r="G1288" s="6" t="str">
        <f aca="false">INDEX(Archetypes!$D$2:$D$127, MATCH(D1288, Archetypes!$A$2:$A$127, 0))</f>
        <v>Cultivator</v>
      </c>
      <c r="H1288" s="6" t="n">
        <f aca="false">ROUND(INDEX(Archetypes!$E$2:$E$127, MATCH(D1288, Archetypes!$A$2:$A$127, 0))*INDEX(Unit_Grades!$B$2:$B$7, MATCH(F1288, Unit_Grades!$A$2:$A$7, 0))*INDEX(Unit_Paths!$B$2:$B$4, MATCH(E1288, Unit_Paths!$A$2:$A$4, 0)),1)</f>
        <v>324</v>
      </c>
      <c r="I1288" s="6" t="n">
        <f aca="false">ROUND(INDEX(Archetypes!$F$2:$F$127, MATCH(D1288, Archetypes!$A$2:$A$127, 0))*INDEX(Unit_Grades!$B$2:$B$7, MATCH(F1288, Unit_Grades!$A$2:$A$7, 0))*INDEX(Unit_Paths!$C$2:$C$4, MATCH(E1288, Unit_Paths!$A$2:$A$4, 0)),1)</f>
        <v>137.7</v>
      </c>
      <c r="J1288" s="6" t="n">
        <f aca="false">ROUND(INDEX(Archetypes!$G$2:$G$127, MATCH(D1288, Archetypes!$A$2:$A$127, 0))*INDEX(Unit_Grades!$B$2:$B$7, MATCH(F1288, Unit_Grades!$A$2:$A$7, 0))*INDEX(Unit_Paths!$D$2:$D$4, MATCH(E1288, Unit_Paths!$A$2:$A$4, 0)),0)</f>
        <v>547</v>
      </c>
      <c r="K1288" s="6" t="n">
        <f aca="false">ROUND(INDEX(Archetypes!$H$2:$H$127, MATCH(D1288, Archetypes!$A$2:$A$127, 0))*INDEX(Unit_Paths!$E$2:$E$4, MATCH(E1288, Unit_Paths!$A$2:$A$4, 0)),1)</f>
        <v>27.3</v>
      </c>
      <c r="L1288" s="6" t="n">
        <f aca="false">ROUND(INDEX(Archetypes!$I$2:$I$127, MATCH(D1288, Archetypes!$A$2:$A$127, 0))*INDEX(Unit_Grades!$C$2:$C$7, MATCH(F1288, Unit_Grades!$A$2:$A$7, 0)),1)</f>
        <v>41.6</v>
      </c>
      <c r="M1288" s="6" t="n">
        <f aca="false">ROUND(INDEX(Archetypes!$J$2:$J$127, MATCH(D1288, Archetypes!$A$2:$A$127, 0))*INDEX(Unit_Grades!$D$2:$D$7, MATCH(F1288, Unit_Grades!$A$2:$A$7, 0)),1)</f>
        <v>26.4</v>
      </c>
      <c r="N1288" s="6" t="n">
        <f aca="false">ROUND(M1288/24,2)</f>
        <v>1.1</v>
      </c>
    </row>
    <row r="1289" customFormat="false" ht="15" hidden="false" customHeight="true" outlineLevel="0" collapsed="false">
      <c r="A1289" s="6" t="n">
        <v>4</v>
      </c>
      <c r="B1289" s="6" t="s">
        <v>2785</v>
      </c>
      <c r="C1289" s="6" t="s">
        <v>1415</v>
      </c>
      <c r="D1289" s="6" t="str">
        <f aca="false">A1289&amp;"|"&amp;C1289</f>
        <v>4|Cultivator Commando</v>
      </c>
      <c r="E1289" s="6" t="s">
        <v>1558</v>
      </c>
      <c r="F1289" s="6" t="s">
        <v>1544</v>
      </c>
      <c r="G1289" s="6" t="str">
        <f aca="false">INDEX(Archetypes!$D$2:$D$127, MATCH(D1289, Archetypes!$A$2:$A$127, 0))</f>
        <v>Cultivator</v>
      </c>
      <c r="H1289" s="6" t="n">
        <f aca="false">ROUND(INDEX(Archetypes!$E$2:$E$127, MATCH(D1289, Archetypes!$A$2:$A$127, 0))*INDEX(Unit_Grades!$B$2:$B$7, MATCH(F1289, Unit_Grades!$A$2:$A$7, 0))*INDEX(Unit_Paths!$B$2:$B$4, MATCH(E1289, Unit_Paths!$A$2:$A$4, 0)),1)</f>
        <v>432</v>
      </c>
      <c r="I1289" s="6" t="n">
        <f aca="false">ROUND(INDEX(Archetypes!$F$2:$F$127, MATCH(D1289, Archetypes!$A$2:$A$127, 0))*INDEX(Unit_Grades!$B$2:$B$7, MATCH(F1289, Unit_Grades!$A$2:$A$7, 0))*INDEX(Unit_Paths!$C$2:$C$4, MATCH(E1289, Unit_Paths!$A$2:$A$4, 0)),1)</f>
        <v>183.6</v>
      </c>
      <c r="J1289" s="6" t="n">
        <f aca="false">ROUND(INDEX(Archetypes!$G$2:$G$127, MATCH(D1289, Archetypes!$A$2:$A$127, 0))*INDEX(Unit_Grades!$B$2:$B$7, MATCH(F1289, Unit_Grades!$A$2:$A$7, 0))*INDEX(Unit_Paths!$D$2:$D$4, MATCH(E1289, Unit_Paths!$A$2:$A$4, 0)),0)</f>
        <v>730</v>
      </c>
      <c r="K1289" s="6" t="n">
        <f aca="false">ROUND(INDEX(Archetypes!$H$2:$H$127, MATCH(D1289, Archetypes!$A$2:$A$127, 0))*INDEX(Unit_Paths!$E$2:$E$4, MATCH(E1289, Unit_Paths!$A$2:$A$4, 0)),1)</f>
        <v>27.3</v>
      </c>
      <c r="L1289" s="6" t="n">
        <f aca="false">ROUND(INDEX(Archetypes!$I$2:$I$127, MATCH(D1289, Archetypes!$A$2:$A$127, 0))*INDEX(Unit_Grades!$C$2:$C$7, MATCH(F1289, Unit_Grades!$A$2:$A$7, 0)),1)</f>
        <v>54.6</v>
      </c>
      <c r="M1289" s="6" t="n">
        <f aca="false">ROUND(INDEX(Archetypes!$J$2:$J$127, MATCH(D1289, Archetypes!$A$2:$A$127, 0))*INDEX(Unit_Grades!$D$2:$D$7, MATCH(F1289, Unit_Grades!$A$2:$A$7, 0)),1)</f>
        <v>42.2</v>
      </c>
      <c r="N1289" s="6" t="n">
        <f aca="false">ROUND(M1289/24,2)</f>
        <v>1.76</v>
      </c>
    </row>
    <row r="1290" customFormat="false" ht="15" hidden="false" customHeight="true" outlineLevel="0" collapsed="false">
      <c r="A1290" s="6" t="n">
        <v>4</v>
      </c>
      <c r="B1290" s="6" t="s">
        <v>2786</v>
      </c>
      <c r="C1290" s="6" t="s">
        <v>1415</v>
      </c>
      <c r="D1290" s="6" t="str">
        <f aca="false">A1290&amp;"|"&amp;C1290</f>
        <v>4|Cultivator Commando</v>
      </c>
      <c r="E1290" s="6" t="s">
        <v>1558</v>
      </c>
      <c r="F1290" s="6" t="s">
        <v>1546</v>
      </c>
      <c r="G1290" s="6" t="str">
        <f aca="false">INDEX(Archetypes!$D$2:$D$127, MATCH(D1290, Archetypes!$A$2:$A$127, 0))</f>
        <v>Cultivator</v>
      </c>
      <c r="H1290" s="6" t="n">
        <f aca="false">ROUND(INDEX(Archetypes!$E$2:$E$127, MATCH(D1290, Archetypes!$A$2:$A$127, 0))*INDEX(Unit_Grades!$B$2:$B$7, MATCH(F1290, Unit_Grades!$A$2:$A$7, 0))*INDEX(Unit_Paths!$B$2:$B$4, MATCH(E1290, Unit_Paths!$A$2:$A$4, 0)),1)</f>
        <v>576</v>
      </c>
      <c r="I1290" s="6" t="n">
        <f aca="false">ROUND(INDEX(Archetypes!$F$2:$F$127, MATCH(D1290, Archetypes!$A$2:$A$127, 0))*INDEX(Unit_Grades!$B$2:$B$7, MATCH(F1290, Unit_Grades!$A$2:$A$7, 0))*INDEX(Unit_Paths!$C$2:$C$4, MATCH(E1290, Unit_Paths!$A$2:$A$4, 0)),1)</f>
        <v>244.8</v>
      </c>
      <c r="J1290" s="6" t="n">
        <f aca="false">ROUND(INDEX(Archetypes!$G$2:$G$127, MATCH(D1290, Archetypes!$A$2:$A$127, 0))*INDEX(Unit_Grades!$B$2:$B$7, MATCH(F1290, Unit_Grades!$A$2:$A$7, 0))*INDEX(Unit_Paths!$D$2:$D$4, MATCH(E1290, Unit_Paths!$A$2:$A$4, 0)),0)</f>
        <v>973</v>
      </c>
      <c r="K1290" s="6" t="n">
        <f aca="false">ROUND(INDEX(Archetypes!$H$2:$H$127, MATCH(D1290, Archetypes!$A$2:$A$127, 0))*INDEX(Unit_Paths!$E$2:$E$4, MATCH(E1290, Unit_Paths!$A$2:$A$4, 0)),1)</f>
        <v>27.3</v>
      </c>
      <c r="L1290" s="6" t="n">
        <f aca="false">ROUND(INDEX(Archetypes!$I$2:$I$127, MATCH(D1290, Archetypes!$A$2:$A$127, 0))*INDEX(Unit_Grades!$C$2:$C$7, MATCH(F1290, Unit_Grades!$A$2:$A$7, 0)),1)</f>
        <v>72.8</v>
      </c>
      <c r="M1290" s="6" t="n">
        <f aca="false">ROUND(INDEX(Archetypes!$J$2:$J$127, MATCH(D1290, Archetypes!$A$2:$A$127, 0))*INDEX(Unit_Grades!$D$2:$D$7, MATCH(F1290, Unit_Grades!$A$2:$A$7, 0)),1)</f>
        <v>73.9</v>
      </c>
      <c r="N1290" s="6" t="n">
        <f aca="false">ROUND(M1290/24,2)</f>
        <v>3.08</v>
      </c>
    </row>
    <row r="1291" customFormat="false" ht="15" hidden="false" customHeight="true" outlineLevel="0" collapsed="false">
      <c r="A1291" s="6" t="n">
        <v>4</v>
      </c>
      <c r="B1291" s="6" t="s">
        <v>2787</v>
      </c>
      <c r="C1291" s="6" t="s">
        <v>1415</v>
      </c>
      <c r="D1291" s="6" t="str">
        <f aca="false">A1291&amp;"|"&amp;C1291</f>
        <v>4|Cultivator Commando</v>
      </c>
      <c r="E1291" s="6" t="s">
        <v>1558</v>
      </c>
      <c r="F1291" s="6" t="s">
        <v>1548</v>
      </c>
      <c r="G1291" s="6" t="str">
        <f aca="false">INDEX(Archetypes!$D$2:$D$127, MATCH(D1291, Archetypes!$A$2:$A$127, 0))</f>
        <v>Cultivator</v>
      </c>
      <c r="H1291" s="6" t="n">
        <f aca="false">ROUND(INDEX(Archetypes!$E$2:$E$127, MATCH(D1291, Archetypes!$A$2:$A$127, 0))*INDEX(Unit_Grades!$B$2:$B$7, MATCH(F1291, Unit_Grades!$A$2:$A$7, 0))*INDEX(Unit_Paths!$B$2:$B$4, MATCH(E1291, Unit_Paths!$A$2:$A$4, 0)),1)</f>
        <v>756</v>
      </c>
      <c r="I1291" s="6" t="n">
        <f aca="false">ROUND(INDEX(Archetypes!$F$2:$F$127, MATCH(D1291, Archetypes!$A$2:$A$127, 0))*INDEX(Unit_Grades!$B$2:$B$7, MATCH(F1291, Unit_Grades!$A$2:$A$7, 0))*INDEX(Unit_Paths!$C$2:$C$4, MATCH(E1291, Unit_Paths!$A$2:$A$4, 0)),1)</f>
        <v>321.3</v>
      </c>
      <c r="J1291" s="6" t="n">
        <f aca="false">ROUND(INDEX(Archetypes!$G$2:$G$127, MATCH(D1291, Archetypes!$A$2:$A$127, 0))*INDEX(Unit_Grades!$B$2:$B$7, MATCH(F1291, Unit_Grades!$A$2:$A$7, 0))*INDEX(Unit_Paths!$D$2:$D$4, MATCH(E1291, Unit_Paths!$A$2:$A$4, 0)),0)</f>
        <v>1277</v>
      </c>
      <c r="K1291" s="6" t="n">
        <f aca="false">ROUND(INDEX(Archetypes!$H$2:$H$127, MATCH(D1291, Archetypes!$A$2:$A$127, 0))*INDEX(Unit_Paths!$E$2:$E$4, MATCH(E1291, Unit_Paths!$A$2:$A$4, 0)),1)</f>
        <v>27.3</v>
      </c>
      <c r="L1291" s="6" t="n">
        <f aca="false">ROUND(INDEX(Archetypes!$I$2:$I$127, MATCH(D1291, Archetypes!$A$2:$A$127, 0))*INDEX(Unit_Grades!$C$2:$C$7, MATCH(F1291, Unit_Grades!$A$2:$A$7, 0)),1)</f>
        <v>96.2</v>
      </c>
      <c r="M1291" s="6" t="n">
        <f aca="false">ROUND(INDEX(Archetypes!$J$2:$J$127, MATCH(D1291, Archetypes!$A$2:$A$127, 0))*INDEX(Unit_Grades!$D$2:$D$7, MATCH(F1291, Unit_Grades!$A$2:$A$7, 0)),1)</f>
        <v>126.6</v>
      </c>
      <c r="N1291" s="6" t="n">
        <f aca="false">ROUND(M1291/24,2)</f>
        <v>5.28</v>
      </c>
    </row>
    <row r="1292" customFormat="false" ht="15" hidden="false" customHeight="true" outlineLevel="0" collapsed="false">
      <c r="A1292" s="6" t="n">
        <v>4</v>
      </c>
      <c r="B1292" s="6" t="s">
        <v>2788</v>
      </c>
      <c r="C1292" s="6" t="s">
        <v>1415</v>
      </c>
      <c r="D1292" s="6" t="str">
        <f aca="false">A1292&amp;"|"&amp;C1292</f>
        <v>4|Cultivator Commando</v>
      </c>
      <c r="E1292" s="6" t="s">
        <v>1560</v>
      </c>
      <c r="F1292" s="6" t="s">
        <v>1538</v>
      </c>
      <c r="G1292" s="6" t="str">
        <f aca="false">INDEX(Archetypes!$D$2:$D$127, MATCH(D1292, Archetypes!$A$2:$A$127, 0))</f>
        <v>Cultivator</v>
      </c>
      <c r="H1292" s="6" t="n">
        <f aca="false">ROUND(INDEX(Archetypes!$E$2:$E$127, MATCH(D1292, Archetypes!$A$2:$A$127, 0))*INDEX(Unit_Grades!$B$2:$B$7, MATCH(F1292, Unit_Grades!$A$2:$A$7, 0))*INDEX(Unit_Paths!$B$2:$B$4, MATCH(E1292, Unit_Paths!$A$2:$A$4, 0)),1)</f>
        <v>127.5</v>
      </c>
      <c r="I1292" s="6" t="n">
        <f aca="false">ROUND(INDEX(Archetypes!$F$2:$F$127, MATCH(D1292, Archetypes!$A$2:$A$127, 0))*INDEX(Unit_Grades!$B$2:$B$7, MATCH(F1292, Unit_Grades!$A$2:$A$7, 0))*INDEX(Unit_Paths!$C$2:$C$4, MATCH(E1292, Unit_Paths!$A$2:$A$4, 0)),1)</f>
        <v>112.5</v>
      </c>
      <c r="J1292" s="6" t="n">
        <f aca="false">ROUND(INDEX(Archetypes!$G$2:$G$127, MATCH(D1292, Archetypes!$A$2:$A$127, 0))*INDEX(Unit_Grades!$B$2:$B$7, MATCH(F1292, Unit_Grades!$A$2:$A$7, 0))*INDEX(Unit_Paths!$D$2:$D$4, MATCH(E1292, Unit_Paths!$A$2:$A$4, 0)),0)</f>
        <v>368</v>
      </c>
      <c r="K1292" s="6" t="n">
        <f aca="false">ROUND(INDEX(Archetypes!$H$2:$H$127, MATCH(D1292, Archetypes!$A$2:$A$127, 0))*INDEX(Unit_Paths!$E$2:$E$4, MATCH(E1292, Unit_Paths!$A$2:$A$4, 0)),1)</f>
        <v>23.9</v>
      </c>
      <c r="L1292" s="6" t="n">
        <f aca="false">ROUND(INDEX(Archetypes!$I$2:$I$127, MATCH(D1292, Archetypes!$A$2:$A$127, 0))*INDEX(Unit_Grades!$C$2:$C$7, MATCH(F1292, Unit_Grades!$A$2:$A$7, 0)),1)</f>
        <v>26</v>
      </c>
      <c r="M1292" s="6" t="n">
        <f aca="false">ROUND(INDEX(Archetypes!$J$2:$J$127, MATCH(D1292, Archetypes!$A$2:$A$127, 0))*INDEX(Unit_Grades!$D$2:$D$7, MATCH(F1292, Unit_Grades!$A$2:$A$7, 0)),1)</f>
        <v>10.6</v>
      </c>
      <c r="N1292" s="6" t="n">
        <f aca="false">ROUND(M1292/24,2)</f>
        <v>0.44</v>
      </c>
    </row>
    <row r="1293" customFormat="false" ht="15" hidden="false" customHeight="true" outlineLevel="0" collapsed="false">
      <c r="A1293" s="6" t="n">
        <v>4</v>
      </c>
      <c r="B1293" s="6" t="s">
        <v>2789</v>
      </c>
      <c r="C1293" s="6" t="s">
        <v>1415</v>
      </c>
      <c r="D1293" s="6" t="str">
        <f aca="false">A1293&amp;"|"&amp;C1293</f>
        <v>4|Cultivator Commando</v>
      </c>
      <c r="E1293" s="6" t="s">
        <v>1560</v>
      </c>
      <c r="F1293" s="6" t="s">
        <v>1540</v>
      </c>
      <c r="G1293" s="6" t="str">
        <f aca="false">INDEX(Archetypes!$D$2:$D$127, MATCH(D1293, Archetypes!$A$2:$A$127, 0))</f>
        <v>Cultivator</v>
      </c>
      <c r="H1293" s="6" t="n">
        <f aca="false">ROUND(INDEX(Archetypes!$E$2:$E$127, MATCH(D1293, Archetypes!$A$2:$A$127, 0))*INDEX(Unit_Grades!$B$2:$B$7, MATCH(F1293, Unit_Grades!$A$2:$A$7, 0))*INDEX(Unit_Paths!$B$2:$B$4, MATCH(E1293, Unit_Paths!$A$2:$A$4, 0)),1)</f>
        <v>172.1</v>
      </c>
      <c r="I1293" s="6" t="n">
        <f aca="false">ROUND(INDEX(Archetypes!$F$2:$F$127, MATCH(D1293, Archetypes!$A$2:$A$127, 0))*INDEX(Unit_Grades!$B$2:$B$7, MATCH(F1293, Unit_Grades!$A$2:$A$7, 0))*INDEX(Unit_Paths!$C$2:$C$4, MATCH(E1293, Unit_Paths!$A$2:$A$4, 0)),1)</f>
        <v>151.9</v>
      </c>
      <c r="J1293" s="6" t="n">
        <f aca="false">ROUND(INDEX(Archetypes!$G$2:$G$127, MATCH(D1293, Archetypes!$A$2:$A$127, 0))*INDEX(Unit_Grades!$B$2:$B$7, MATCH(F1293, Unit_Grades!$A$2:$A$7, 0))*INDEX(Unit_Paths!$D$2:$D$4, MATCH(E1293, Unit_Paths!$A$2:$A$4, 0)),0)</f>
        <v>497</v>
      </c>
      <c r="K1293" s="6" t="n">
        <f aca="false">ROUND(INDEX(Archetypes!$H$2:$H$127, MATCH(D1293, Archetypes!$A$2:$A$127, 0))*INDEX(Unit_Paths!$E$2:$E$4, MATCH(E1293, Unit_Paths!$A$2:$A$4, 0)),1)</f>
        <v>23.9</v>
      </c>
      <c r="L1293" s="6" t="n">
        <f aca="false">ROUND(INDEX(Archetypes!$I$2:$I$127, MATCH(D1293, Archetypes!$A$2:$A$127, 0))*INDEX(Unit_Grades!$C$2:$C$7, MATCH(F1293, Unit_Grades!$A$2:$A$7, 0)),1)</f>
        <v>32.5</v>
      </c>
      <c r="M1293" s="6" t="n">
        <f aca="false">ROUND(INDEX(Archetypes!$J$2:$J$127, MATCH(D1293, Archetypes!$A$2:$A$127, 0))*INDEX(Unit_Grades!$D$2:$D$7, MATCH(F1293, Unit_Grades!$A$2:$A$7, 0)),1)</f>
        <v>15.8</v>
      </c>
      <c r="N1293" s="6" t="n">
        <f aca="false">ROUND(M1293/24,2)</f>
        <v>0.66</v>
      </c>
    </row>
    <row r="1294" customFormat="false" ht="15" hidden="false" customHeight="true" outlineLevel="0" collapsed="false">
      <c r="A1294" s="6" t="n">
        <v>4</v>
      </c>
      <c r="B1294" s="6" t="s">
        <v>2790</v>
      </c>
      <c r="C1294" s="6" t="s">
        <v>1415</v>
      </c>
      <c r="D1294" s="6" t="str">
        <f aca="false">A1294&amp;"|"&amp;C1294</f>
        <v>4|Cultivator Commando</v>
      </c>
      <c r="E1294" s="6" t="s">
        <v>1560</v>
      </c>
      <c r="F1294" s="6" t="s">
        <v>1542</v>
      </c>
      <c r="G1294" s="6" t="str">
        <f aca="false">INDEX(Archetypes!$D$2:$D$127, MATCH(D1294, Archetypes!$A$2:$A$127, 0))</f>
        <v>Cultivator</v>
      </c>
      <c r="H1294" s="6" t="n">
        <f aca="false">ROUND(INDEX(Archetypes!$E$2:$E$127, MATCH(D1294, Archetypes!$A$2:$A$127, 0))*INDEX(Unit_Grades!$B$2:$B$7, MATCH(F1294, Unit_Grades!$A$2:$A$7, 0))*INDEX(Unit_Paths!$B$2:$B$4, MATCH(E1294, Unit_Paths!$A$2:$A$4, 0)),1)</f>
        <v>229.5</v>
      </c>
      <c r="I1294" s="6" t="n">
        <f aca="false">ROUND(INDEX(Archetypes!$F$2:$F$127, MATCH(D1294, Archetypes!$A$2:$A$127, 0))*INDEX(Unit_Grades!$B$2:$B$7, MATCH(F1294, Unit_Grades!$A$2:$A$7, 0))*INDEX(Unit_Paths!$C$2:$C$4, MATCH(E1294, Unit_Paths!$A$2:$A$4, 0)),1)</f>
        <v>202.5</v>
      </c>
      <c r="J1294" s="6" t="n">
        <f aca="false">ROUND(INDEX(Archetypes!$G$2:$G$127, MATCH(D1294, Archetypes!$A$2:$A$127, 0))*INDEX(Unit_Grades!$B$2:$B$7, MATCH(F1294, Unit_Grades!$A$2:$A$7, 0))*INDEX(Unit_Paths!$D$2:$D$4, MATCH(E1294, Unit_Paths!$A$2:$A$4, 0)),0)</f>
        <v>662</v>
      </c>
      <c r="K1294" s="6" t="n">
        <f aca="false">ROUND(INDEX(Archetypes!$H$2:$H$127, MATCH(D1294, Archetypes!$A$2:$A$127, 0))*INDEX(Unit_Paths!$E$2:$E$4, MATCH(E1294, Unit_Paths!$A$2:$A$4, 0)),1)</f>
        <v>23.9</v>
      </c>
      <c r="L1294" s="6" t="n">
        <f aca="false">ROUND(INDEX(Archetypes!$I$2:$I$127, MATCH(D1294, Archetypes!$A$2:$A$127, 0))*INDEX(Unit_Grades!$C$2:$C$7, MATCH(F1294, Unit_Grades!$A$2:$A$7, 0)),1)</f>
        <v>41.6</v>
      </c>
      <c r="M1294" s="6" t="n">
        <f aca="false">ROUND(INDEX(Archetypes!$J$2:$J$127, MATCH(D1294, Archetypes!$A$2:$A$127, 0))*INDEX(Unit_Grades!$D$2:$D$7, MATCH(F1294, Unit_Grades!$A$2:$A$7, 0)),1)</f>
        <v>26.4</v>
      </c>
      <c r="N1294" s="6" t="n">
        <f aca="false">ROUND(M1294/24,2)</f>
        <v>1.1</v>
      </c>
    </row>
    <row r="1295" customFormat="false" ht="15" hidden="false" customHeight="true" outlineLevel="0" collapsed="false">
      <c r="A1295" s="6" t="n">
        <v>4</v>
      </c>
      <c r="B1295" s="6" t="s">
        <v>2791</v>
      </c>
      <c r="C1295" s="6" t="s">
        <v>1415</v>
      </c>
      <c r="D1295" s="6" t="str">
        <f aca="false">A1295&amp;"|"&amp;C1295</f>
        <v>4|Cultivator Commando</v>
      </c>
      <c r="E1295" s="6" t="s">
        <v>1560</v>
      </c>
      <c r="F1295" s="6" t="s">
        <v>1544</v>
      </c>
      <c r="G1295" s="6" t="str">
        <f aca="false">INDEX(Archetypes!$D$2:$D$127, MATCH(D1295, Archetypes!$A$2:$A$127, 0))</f>
        <v>Cultivator</v>
      </c>
      <c r="H1295" s="6" t="n">
        <f aca="false">ROUND(INDEX(Archetypes!$E$2:$E$127, MATCH(D1295, Archetypes!$A$2:$A$127, 0))*INDEX(Unit_Grades!$B$2:$B$7, MATCH(F1295, Unit_Grades!$A$2:$A$7, 0))*INDEX(Unit_Paths!$B$2:$B$4, MATCH(E1295, Unit_Paths!$A$2:$A$4, 0)),1)</f>
        <v>306</v>
      </c>
      <c r="I1295" s="6" t="n">
        <f aca="false">ROUND(INDEX(Archetypes!$F$2:$F$127, MATCH(D1295, Archetypes!$A$2:$A$127, 0))*INDEX(Unit_Grades!$B$2:$B$7, MATCH(F1295, Unit_Grades!$A$2:$A$7, 0))*INDEX(Unit_Paths!$C$2:$C$4, MATCH(E1295, Unit_Paths!$A$2:$A$4, 0)),1)</f>
        <v>270</v>
      </c>
      <c r="J1295" s="6" t="n">
        <f aca="false">ROUND(INDEX(Archetypes!$G$2:$G$127, MATCH(D1295, Archetypes!$A$2:$A$127, 0))*INDEX(Unit_Grades!$B$2:$B$7, MATCH(F1295, Unit_Grades!$A$2:$A$7, 0))*INDEX(Unit_Paths!$D$2:$D$4, MATCH(E1295, Unit_Paths!$A$2:$A$4, 0)),0)</f>
        <v>883</v>
      </c>
      <c r="K1295" s="6" t="n">
        <f aca="false">ROUND(INDEX(Archetypes!$H$2:$H$127, MATCH(D1295, Archetypes!$A$2:$A$127, 0))*INDEX(Unit_Paths!$E$2:$E$4, MATCH(E1295, Unit_Paths!$A$2:$A$4, 0)),1)</f>
        <v>23.9</v>
      </c>
      <c r="L1295" s="6" t="n">
        <f aca="false">ROUND(INDEX(Archetypes!$I$2:$I$127, MATCH(D1295, Archetypes!$A$2:$A$127, 0))*INDEX(Unit_Grades!$C$2:$C$7, MATCH(F1295, Unit_Grades!$A$2:$A$7, 0)),1)</f>
        <v>54.6</v>
      </c>
      <c r="M1295" s="6" t="n">
        <f aca="false">ROUND(INDEX(Archetypes!$J$2:$J$127, MATCH(D1295, Archetypes!$A$2:$A$127, 0))*INDEX(Unit_Grades!$D$2:$D$7, MATCH(F1295, Unit_Grades!$A$2:$A$7, 0)),1)</f>
        <v>42.2</v>
      </c>
      <c r="N1295" s="6" t="n">
        <f aca="false">ROUND(M1295/24,2)</f>
        <v>1.76</v>
      </c>
    </row>
    <row r="1296" customFormat="false" ht="15" hidden="false" customHeight="true" outlineLevel="0" collapsed="false">
      <c r="A1296" s="6" t="n">
        <v>4</v>
      </c>
      <c r="B1296" s="6" t="s">
        <v>2792</v>
      </c>
      <c r="C1296" s="6" t="s">
        <v>1415</v>
      </c>
      <c r="D1296" s="6" t="str">
        <f aca="false">A1296&amp;"|"&amp;C1296</f>
        <v>4|Cultivator Commando</v>
      </c>
      <c r="E1296" s="6" t="s">
        <v>1560</v>
      </c>
      <c r="F1296" s="6" t="s">
        <v>1546</v>
      </c>
      <c r="G1296" s="6" t="str">
        <f aca="false">INDEX(Archetypes!$D$2:$D$127, MATCH(D1296, Archetypes!$A$2:$A$127, 0))</f>
        <v>Cultivator</v>
      </c>
      <c r="H1296" s="6" t="n">
        <f aca="false">ROUND(INDEX(Archetypes!$E$2:$E$127, MATCH(D1296, Archetypes!$A$2:$A$127, 0))*INDEX(Unit_Grades!$B$2:$B$7, MATCH(F1296, Unit_Grades!$A$2:$A$7, 0))*INDEX(Unit_Paths!$B$2:$B$4, MATCH(E1296, Unit_Paths!$A$2:$A$4, 0)),1)</f>
        <v>408</v>
      </c>
      <c r="I1296" s="6" t="n">
        <f aca="false">ROUND(INDEX(Archetypes!$F$2:$F$127, MATCH(D1296, Archetypes!$A$2:$A$127, 0))*INDEX(Unit_Grades!$B$2:$B$7, MATCH(F1296, Unit_Grades!$A$2:$A$7, 0))*INDEX(Unit_Paths!$C$2:$C$4, MATCH(E1296, Unit_Paths!$A$2:$A$4, 0)),1)</f>
        <v>360</v>
      </c>
      <c r="J1296" s="6" t="n">
        <f aca="false">ROUND(INDEX(Archetypes!$G$2:$G$127, MATCH(D1296, Archetypes!$A$2:$A$127, 0))*INDEX(Unit_Grades!$B$2:$B$7, MATCH(F1296, Unit_Grades!$A$2:$A$7, 0))*INDEX(Unit_Paths!$D$2:$D$4, MATCH(E1296, Unit_Paths!$A$2:$A$4, 0)),0)</f>
        <v>1178</v>
      </c>
      <c r="K1296" s="6" t="n">
        <f aca="false">ROUND(INDEX(Archetypes!$H$2:$H$127, MATCH(D1296, Archetypes!$A$2:$A$127, 0))*INDEX(Unit_Paths!$E$2:$E$4, MATCH(E1296, Unit_Paths!$A$2:$A$4, 0)),1)</f>
        <v>23.9</v>
      </c>
      <c r="L1296" s="6" t="n">
        <f aca="false">ROUND(INDEX(Archetypes!$I$2:$I$127, MATCH(D1296, Archetypes!$A$2:$A$127, 0))*INDEX(Unit_Grades!$C$2:$C$7, MATCH(F1296, Unit_Grades!$A$2:$A$7, 0)),1)</f>
        <v>72.8</v>
      </c>
      <c r="M1296" s="6" t="n">
        <f aca="false">ROUND(INDEX(Archetypes!$J$2:$J$127, MATCH(D1296, Archetypes!$A$2:$A$127, 0))*INDEX(Unit_Grades!$D$2:$D$7, MATCH(F1296, Unit_Grades!$A$2:$A$7, 0)),1)</f>
        <v>73.9</v>
      </c>
      <c r="N1296" s="6" t="n">
        <f aca="false">ROUND(M1296/24,2)</f>
        <v>3.08</v>
      </c>
    </row>
    <row r="1297" customFormat="false" ht="15" hidden="false" customHeight="true" outlineLevel="0" collapsed="false">
      <c r="A1297" s="6" t="n">
        <v>4</v>
      </c>
      <c r="B1297" s="6" t="s">
        <v>2793</v>
      </c>
      <c r="C1297" s="6" t="s">
        <v>1415</v>
      </c>
      <c r="D1297" s="6" t="str">
        <f aca="false">A1297&amp;"|"&amp;C1297</f>
        <v>4|Cultivator Commando</v>
      </c>
      <c r="E1297" s="6" t="s">
        <v>1560</v>
      </c>
      <c r="F1297" s="6" t="s">
        <v>1548</v>
      </c>
      <c r="G1297" s="6" t="str">
        <f aca="false">INDEX(Archetypes!$D$2:$D$127, MATCH(D1297, Archetypes!$A$2:$A$127, 0))</f>
        <v>Cultivator</v>
      </c>
      <c r="H1297" s="6" t="n">
        <f aca="false">ROUND(INDEX(Archetypes!$E$2:$E$127, MATCH(D1297, Archetypes!$A$2:$A$127, 0))*INDEX(Unit_Grades!$B$2:$B$7, MATCH(F1297, Unit_Grades!$A$2:$A$7, 0))*INDEX(Unit_Paths!$B$2:$B$4, MATCH(E1297, Unit_Paths!$A$2:$A$4, 0)),1)</f>
        <v>535.5</v>
      </c>
      <c r="I1297" s="6" t="n">
        <f aca="false">ROUND(INDEX(Archetypes!$F$2:$F$127, MATCH(D1297, Archetypes!$A$2:$A$127, 0))*INDEX(Unit_Grades!$B$2:$B$7, MATCH(F1297, Unit_Grades!$A$2:$A$7, 0))*INDEX(Unit_Paths!$C$2:$C$4, MATCH(E1297, Unit_Paths!$A$2:$A$4, 0)),1)</f>
        <v>472.5</v>
      </c>
      <c r="J1297" s="6" t="n">
        <f aca="false">ROUND(INDEX(Archetypes!$G$2:$G$127, MATCH(D1297, Archetypes!$A$2:$A$127, 0))*INDEX(Unit_Grades!$B$2:$B$7, MATCH(F1297, Unit_Grades!$A$2:$A$7, 0))*INDEX(Unit_Paths!$D$2:$D$4, MATCH(E1297, Unit_Paths!$A$2:$A$4, 0)),0)</f>
        <v>1546</v>
      </c>
      <c r="K1297" s="6" t="n">
        <f aca="false">ROUND(INDEX(Archetypes!$H$2:$H$127, MATCH(D1297, Archetypes!$A$2:$A$127, 0))*INDEX(Unit_Paths!$E$2:$E$4, MATCH(E1297, Unit_Paths!$A$2:$A$4, 0)),1)</f>
        <v>23.9</v>
      </c>
      <c r="L1297" s="6" t="n">
        <f aca="false">ROUND(INDEX(Archetypes!$I$2:$I$127, MATCH(D1297, Archetypes!$A$2:$A$127, 0))*INDEX(Unit_Grades!$C$2:$C$7, MATCH(F1297, Unit_Grades!$A$2:$A$7, 0)),1)</f>
        <v>96.2</v>
      </c>
      <c r="M1297" s="6" t="n">
        <f aca="false">ROUND(INDEX(Archetypes!$J$2:$J$127, MATCH(D1297, Archetypes!$A$2:$A$127, 0))*INDEX(Unit_Grades!$D$2:$D$7, MATCH(F1297, Unit_Grades!$A$2:$A$7, 0)),1)</f>
        <v>126.6</v>
      </c>
      <c r="N1297" s="6" t="n">
        <f aca="false">ROUND(M1297/24,2)</f>
        <v>5.28</v>
      </c>
    </row>
    <row r="1298" customFormat="false" ht="15" hidden="false" customHeight="true" outlineLevel="0" collapsed="false">
      <c r="A1298" s="6" t="n">
        <v>5</v>
      </c>
      <c r="B1298" s="6" t="s">
        <v>1417</v>
      </c>
      <c r="C1298" s="6" t="s">
        <v>1417</v>
      </c>
      <c r="D1298" s="6" t="str">
        <f aca="false">A1298&amp;"|"&amp;C1298</f>
        <v>5|Void Marine</v>
      </c>
      <c r="E1298" s="6" t="s">
        <v>1556</v>
      </c>
      <c r="F1298" s="6" t="s">
        <v>1538</v>
      </c>
      <c r="G1298" s="6" t="str">
        <f aca="false">INDEX(Archetypes!$D$2:$D$127, MATCH(D1298, Archetypes!$A$2:$A$127, 0))</f>
        <v>Shock Infantry</v>
      </c>
      <c r="H1298" s="6" t="n">
        <f aca="false">ROUND(INDEX(Archetypes!$E$2:$E$127, MATCH(D1298, Archetypes!$A$2:$A$127, 0))*INDEX(Unit_Grades!$B$2:$B$7, MATCH(F1298, Unit_Grades!$A$2:$A$7, 0))*INDEX(Unit_Paths!$B$2:$B$4, MATCH(E1298, Unit_Paths!$A$2:$A$4, 0)),1)</f>
        <v>180</v>
      </c>
      <c r="I1298" s="6" t="n">
        <f aca="false">ROUND(INDEX(Archetypes!$F$2:$F$127, MATCH(D1298, Archetypes!$A$2:$A$127, 0))*INDEX(Unit_Grades!$B$2:$B$7, MATCH(F1298, Unit_Grades!$A$2:$A$7, 0))*INDEX(Unit_Paths!$C$2:$C$4, MATCH(E1298, Unit_Paths!$A$2:$A$4, 0)),1)</f>
        <v>120</v>
      </c>
      <c r="J1298" s="6" t="n">
        <f aca="false">ROUND(INDEX(Archetypes!$G$2:$G$127, MATCH(D1298, Archetypes!$A$2:$A$127, 0))*INDEX(Unit_Grades!$B$2:$B$7, MATCH(F1298, Unit_Grades!$A$2:$A$7, 0))*INDEX(Unit_Paths!$D$2:$D$4, MATCH(E1298, Unit_Paths!$A$2:$A$4, 0)),0)</f>
        <v>380</v>
      </c>
      <c r="K1298" s="6" t="n">
        <f aca="false">ROUND(INDEX(Archetypes!$H$2:$H$127, MATCH(D1298, Archetypes!$A$2:$A$127, 0))*INDEX(Unit_Paths!$E$2:$E$4, MATCH(E1298, Unit_Paths!$A$2:$A$4, 0)),1)</f>
        <v>26</v>
      </c>
      <c r="L1298" s="6" t="n">
        <f aca="false">ROUND(INDEX(Archetypes!$I$2:$I$127, MATCH(D1298, Archetypes!$A$2:$A$127, 0))*INDEX(Unit_Grades!$C$2:$C$7, MATCH(F1298, Unit_Grades!$A$2:$A$7, 0)),1)</f>
        <v>20</v>
      </c>
      <c r="M1298" s="6" t="n">
        <f aca="false">ROUND(INDEX(Archetypes!$J$2:$J$127, MATCH(D1298, Archetypes!$A$2:$A$127, 0))*INDEX(Unit_Grades!$D$2:$D$7, MATCH(F1298, Unit_Grades!$A$2:$A$7, 0)),1)</f>
        <v>8.1</v>
      </c>
      <c r="N1298" s="6" t="n">
        <f aca="false">ROUND(M1298/24,2)</f>
        <v>0.34</v>
      </c>
    </row>
    <row r="1299" customFormat="false" ht="15" hidden="false" customHeight="true" outlineLevel="0" collapsed="false">
      <c r="A1299" s="6" t="n">
        <v>5</v>
      </c>
      <c r="B1299" s="6" t="s">
        <v>2794</v>
      </c>
      <c r="C1299" s="6" t="s">
        <v>1417</v>
      </c>
      <c r="D1299" s="6" t="str">
        <f aca="false">A1299&amp;"|"&amp;C1299</f>
        <v>5|Void Marine</v>
      </c>
      <c r="E1299" s="6" t="s">
        <v>1556</v>
      </c>
      <c r="F1299" s="6" t="s">
        <v>1540</v>
      </c>
      <c r="G1299" s="6" t="str">
        <f aca="false">INDEX(Archetypes!$D$2:$D$127, MATCH(D1299, Archetypes!$A$2:$A$127, 0))</f>
        <v>Shock Infantry</v>
      </c>
      <c r="H1299" s="6" t="n">
        <f aca="false">ROUND(INDEX(Archetypes!$E$2:$E$127, MATCH(D1299, Archetypes!$A$2:$A$127, 0))*INDEX(Unit_Grades!$B$2:$B$7, MATCH(F1299, Unit_Grades!$A$2:$A$7, 0))*INDEX(Unit_Paths!$B$2:$B$4, MATCH(E1299, Unit_Paths!$A$2:$A$4, 0)),1)</f>
        <v>243</v>
      </c>
      <c r="I1299" s="6" t="n">
        <f aca="false">ROUND(INDEX(Archetypes!$F$2:$F$127, MATCH(D1299, Archetypes!$A$2:$A$127, 0))*INDEX(Unit_Grades!$B$2:$B$7, MATCH(F1299, Unit_Grades!$A$2:$A$7, 0))*INDEX(Unit_Paths!$C$2:$C$4, MATCH(E1299, Unit_Paths!$A$2:$A$4, 0)),1)</f>
        <v>162</v>
      </c>
      <c r="J1299" s="6" t="n">
        <f aca="false">ROUND(INDEX(Archetypes!$G$2:$G$127, MATCH(D1299, Archetypes!$A$2:$A$127, 0))*INDEX(Unit_Grades!$B$2:$B$7, MATCH(F1299, Unit_Grades!$A$2:$A$7, 0))*INDEX(Unit_Paths!$D$2:$D$4, MATCH(E1299, Unit_Paths!$A$2:$A$4, 0)),0)</f>
        <v>513</v>
      </c>
      <c r="K1299" s="6" t="n">
        <f aca="false">ROUND(INDEX(Archetypes!$H$2:$H$127, MATCH(D1299, Archetypes!$A$2:$A$127, 0))*INDEX(Unit_Paths!$E$2:$E$4, MATCH(E1299, Unit_Paths!$A$2:$A$4, 0)),1)</f>
        <v>26</v>
      </c>
      <c r="L1299" s="6" t="n">
        <f aca="false">ROUND(INDEX(Archetypes!$I$2:$I$127, MATCH(D1299, Archetypes!$A$2:$A$127, 0))*INDEX(Unit_Grades!$C$2:$C$7, MATCH(F1299, Unit_Grades!$A$2:$A$7, 0)),1)</f>
        <v>25</v>
      </c>
      <c r="M1299" s="6" t="n">
        <f aca="false">ROUND(INDEX(Archetypes!$J$2:$J$127, MATCH(D1299, Archetypes!$A$2:$A$127, 0))*INDEX(Unit_Grades!$D$2:$D$7, MATCH(F1299, Unit_Grades!$A$2:$A$7, 0)),1)</f>
        <v>12.2</v>
      </c>
      <c r="N1299" s="6" t="n">
        <f aca="false">ROUND(M1299/24,2)</f>
        <v>0.51</v>
      </c>
    </row>
    <row r="1300" customFormat="false" ht="15" hidden="false" customHeight="true" outlineLevel="0" collapsed="false">
      <c r="A1300" s="6" t="n">
        <v>5</v>
      </c>
      <c r="B1300" s="6" t="s">
        <v>2795</v>
      </c>
      <c r="C1300" s="6" t="s">
        <v>1417</v>
      </c>
      <c r="D1300" s="6" t="str">
        <f aca="false">A1300&amp;"|"&amp;C1300</f>
        <v>5|Void Marine</v>
      </c>
      <c r="E1300" s="6" t="s">
        <v>1556</v>
      </c>
      <c r="F1300" s="6" t="s">
        <v>1542</v>
      </c>
      <c r="G1300" s="6" t="str">
        <f aca="false">INDEX(Archetypes!$D$2:$D$127, MATCH(D1300, Archetypes!$A$2:$A$127, 0))</f>
        <v>Shock Infantry</v>
      </c>
      <c r="H1300" s="6" t="n">
        <f aca="false">ROUND(INDEX(Archetypes!$E$2:$E$127, MATCH(D1300, Archetypes!$A$2:$A$127, 0))*INDEX(Unit_Grades!$B$2:$B$7, MATCH(F1300, Unit_Grades!$A$2:$A$7, 0))*INDEX(Unit_Paths!$B$2:$B$4, MATCH(E1300, Unit_Paths!$A$2:$A$4, 0)),1)</f>
        <v>324</v>
      </c>
      <c r="I1300" s="6" t="n">
        <f aca="false">ROUND(INDEX(Archetypes!$F$2:$F$127, MATCH(D1300, Archetypes!$A$2:$A$127, 0))*INDEX(Unit_Grades!$B$2:$B$7, MATCH(F1300, Unit_Grades!$A$2:$A$7, 0))*INDEX(Unit_Paths!$C$2:$C$4, MATCH(E1300, Unit_Paths!$A$2:$A$4, 0)),1)</f>
        <v>216</v>
      </c>
      <c r="J1300" s="6" t="n">
        <f aca="false">ROUND(INDEX(Archetypes!$G$2:$G$127, MATCH(D1300, Archetypes!$A$2:$A$127, 0))*INDEX(Unit_Grades!$B$2:$B$7, MATCH(F1300, Unit_Grades!$A$2:$A$7, 0))*INDEX(Unit_Paths!$D$2:$D$4, MATCH(E1300, Unit_Paths!$A$2:$A$4, 0)),0)</f>
        <v>684</v>
      </c>
      <c r="K1300" s="6" t="n">
        <f aca="false">ROUND(INDEX(Archetypes!$H$2:$H$127, MATCH(D1300, Archetypes!$A$2:$A$127, 0))*INDEX(Unit_Paths!$E$2:$E$4, MATCH(E1300, Unit_Paths!$A$2:$A$4, 0)),1)</f>
        <v>26</v>
      </c>
      <c r="L1300" s="6" t="n">
        <f aca="false">ROUND(INDEX(Archetypes!$I$2:$I$127, MATCH(D1300, Archetypes!$A$2:$A$127, 0))*INDEX(Unit_Grades!$C$2:$C$7, MATCH(F1300, Unit_Grades!$A$2:$A$7, 0)),1)</f>
        <v>32</v>
      </c>
      <c r="M1300" s="6" t="n">
        <f aca="false">ROUND(INDEX(Archetypes!$J$2:$J$127, MATCH(D1300, Archetypes!$A$2:$A$127, 0))*INDEX(Unit_Grades!$D$2:$D$7, MATCH(F1300, Unit_Grades!$A$2:$A$7, 0)),1)</f>
        <v>20.3</v>
      </c>
      <c r="N1300" s="6" t="n">
        <f aca="false">ROUND(M1300/24,2)</f>
        <v>0.85</v>
      </c>
    </row>
    <row r="1301" customFormat="false" ht="15" hidden="false" customHeight="true" outlineLevel="0" collapsed="false">
      <c r="A1301" s="6" t="n">
        <v>5</v>
      </c>
      <c r="B1301" s="6" t="s">
        <v>2796</v>
      </c>
      <c r="C1301" s="6" t="s">
        <v>1417</v>
      </c>
      <c r="D1301" s="6" t="str">
        <f aca="false">A1301&amp;"|"&amp;C1301</f>
        <v>5|Void Marine</v>
      </c>
      <c r="E1301" s="6" t="s">
        <v>1556</v>
      </c>
      <c r="F1301" s="6" t="s">
        <v>1544</v>
      </c>
      <c r="G1301" s="6" t="str">
        <f aca="false">INDEX(Archetypes!$D$2:$D$127, MATCH(D1301, Archetypes!$A$2:$A$127, 0))</f>
        <v>Shock Infantry</v>
      </c>
      <c r="H1301" s="6" t="n">
        <f aca="false">ROUND(INDEX(Archetypes!$E$2:$E$127, MATCH(D1301, Archetypes!$A$2:$A$127, 0))*INDEX(Unit_Grades!$B$2:$B$7, MATCH(F1301, Unit_Grades!$A$2:$A$7, 0))*INDEX(Unit_Paths!$B$2:$B$4, MATCH(E1301, Unit_Paths!$A$2:$A$4, 0)),1)</f>
        <v>432</v>
      </c>
      <c r="I1301" s="6" t="n">
        <f aca="false">ROUND(INDEX(Archetypes!$F$2:$F$127, MATCH(D1301, Archetypes!$A$2:$A$127, 0))*INDEX(Unit_Grades!$B$2:$B$7, MATCH(F1301, Unit_Grades!$A$2:$A$7, 0))*INDEX(Unit_Paths!$C$2:$C$4, MATCH(E1301, Unit_Paths!$A$2:$A$4, 0)),1)</f>
        <v>288</v>
      </c>
      <c r="J1301" s="6" t="n">
        <f aca="false">ROUND(INDEX(Archetypes!$G$2:$G$127, MATCH(D1301, Archetypes!$A$2:$A$127, 0))*INDEX(Unit_Grades!$B$2:$B$7, MATCH(F1301, Unit_Grades!$A$2:$A$7, 0))*INDEX(Unit_Paths!$D$2:$D$4, MATCH(E1301, Unit_Paths!$A$2:$A$4, 0)),0)</f>
        <v>912</v>
      </c>
      <c r="K1301" s="6" t="n">
        <f aca="false">ROUND(INDEX(Archetypes!$H$2:$H$127, MATCH(D1301, Archetypes!$A$2:$A$127, 0))*INDEX(Unit_Paths!$E$2:$E$4, MATCH(E1301, Unit_Paths!$A$2:$A$4, 0)),1)</f>
        <v>26</v>
      </c>
      <c r="L1301" s="6" t="n">
        <f aca="false">ROUND(INDEX(Archetypes!$I$2:$I$127, MATCH(D1301, Archetypes!$A$2:$A$127, 0))*INDEX(Unit_Grades!$C$2:$C$7, MATCH(F1301, Unit_Grades!$A$2:$A$7, 0)),1)</f>
        <v>42</v>
      </c>
      <c r="M1301" s="6" t="n">
        <f aca="false">ROUND(INDEX(Archetypes!$J$2:$J$127, MATCH(D1301, Archetypes!$A$2:$A$127, 0))*INDEX(Unit_Grades!$D$2:$D$7, MATCH(F1301, Unit_Grades!$A$2:$A$7, 0)),1)</f>
        <v>32.5</v>
      </c>
      <c r="N1301" s="6" t="n">
        <f aca="false">ROUND(M1301/24,2)</f>
        <v>1.35</v>
      </c>
    </row>
    <row r="1302" customFormat="false" ht="15" hidden="false" customHeight="true" outlineLevel="0" collapsed="false">
      <c r="A1302" s="6" t="n">
        <v>5</v>
      </c>
      <c r="B1302" s="6" t="s">
        <v>2797</v>
      </c>
      <c r="C1302" s="6" t="s">
        <v>1417</v>
      </c>
      <c r="D1302" s="6" t="str">
        <f aca="false">A1302&amp;"|"&amp;C1302</f>
        <v>5|Void Marine</v>
      </c>
      <c r="E1302" s="6" t="s">
        <v>1556</v>
      </c>
      <c r="F1302" s="6" t="s">
        <v>1546</v>
      </c>
      <c r="G1302" s="6" t="str">
        <f aca="false">INDEX(Archetypes!$D$2:$D$127, MATCH(D1302, Archetypes!$A$2:$A$127, 0))</f>
        <v>Shock Infantry</v>
      </c>
      <c r="H1302" s="6" t="n">
        <f aca="false">ROUND(INDEX(Archetypes!$E$2:$E$127, MATCH(D1302, Archetypes!$A$2:$A$127, 0))*INDEX(Unit_Grades!$B$2:$B$7, MATCH(F1302, Unit_Grades!$A$2:$A$7, 0))*INDEX(Unit_Paths!$B$2:$B$4, MATCH(E1302, Unit_Paths!$A$2:$A$4, 0)),1)</f>
        <v>576</v>
      </c>
      <c r="I1302" s="6" t="n">
        <f aca="false">ROUND(INDEX(Archetypes!$F$2:$F$127, MATCH(D1302, Archetypes!$A$2:$A$127, 0))*INDEX(Unit_Grades!$B$2:$B$7, MATCH(F1302, Unit_Grades!$A$2:$A$7, 0))*INDEX(Unit_Paths!$C$2:$C$4, MATCH(E1302, Unit_Paths!$A$2:$A$4, 0)),1)</f>
        <v>384</v>
      </c>
      <c r="J1302" s="6" t="n">
        <f aca="false">ROUND(INDEX(Archetypes!$G$2:$G$127, MATCH(D1302, Archetypes!$A$2:$A$127, 0))*INDEX(Unit_Grades!$B$2:$B$7, MATCH(F1302, Unit_Grades!$A$2:$A$7, 0))*INDEX(Unit_Paths!$D$2:$D$4, MATCH(E1302, Unit_Paths!$A$2:$A$4, 0)),0)</f>
        <v>1216</v>
      </c>
      <c r="K1302" s="6" t="n">
        <f aca="false">ROUND(INDEX(Archetypes!$H$2:$H$127, MATCH(D1302, Archetypes!$A$2:$A$127, 0))*INDEX(Unit_Paths!$E$2:$E$4, MATCH(E1302, Unit_Paths!$A$2:$A$4, 0)),1)</f>
        <v>26</v>
      </c>
      <c r="L1302" s="6" t="n">
        <f aca="false">ROUND(INDEX(Archetypes!$I$2:$I$127, MATCH(D1302, Archetypes!$A$2:$A$127, 0))*INDEX(Unit_Grades!$C$2:$C$7, MATCH(F1302, Unit_Grades!$A$2:$A$7, 0)),1)</f>
        <v>56</v>
      </c>
      <c r="M1302" s="6" t="n">
        <f aca="false">ROUND(INDEX(Archetypes!$J$2:$J$127, MATCH(D1302, Archetypes!$A$2:$A$127, 0))*INDEX(Unit_Grades!$D$2:$D$7, MATCH(F1302, Unit_Grades!$A$2:$A$7, 0)),1)</f>
        <v>56.8</v>
      </c>
      <c r="N1302" s="6" t="n">
        <f aca="false">ROUND(M1302/24,2)</f>
        <v>2.37</v>
      </c>
    </row>
    <row r="1303" customFormat="false" ht="15" hidden="false" customHeight="true" outlineLevel="0" collapsed="false">
      <c r="A1303" s="6" t="n">
        <v>5</v>
      </c>
      <c r="B1303" s="6" t="s">
        <v>2798</v>
      </c>
      <c r="C1303" s="6" t="s">
        <v>1417</v>
      </c>
      <c r="D1303" s="6" t="str">
        <f aca="false">A1303&amp;"|"&amp;C1303</f>
        <v>5|Void Marine</v>
      </c>
      <c r="E1303" s="6" t="s">
        <v>1556</v>
      </c>
      <c r="F1303" s="6" t="s">
        <v>1548</v>
      </c>
      <c r="G1303" s="6" t="str">
        <f aca="false">INDEX(Archetypes!$D$2:$D$127, MATCH(D1303, Archetypes!$A$2:$A$127, 0))</f>
        <v>Shock Infantry</v>
      </c>
      <c r="H1303" s="6" t="n">
        <f aca="false">ROUND(INDEX(Archetypes!$E$2:$E$127, MATCH(D1303, Archetypes!$A$2:$A$127, 0))*INDEX(Unit_Grades!$B$2:$B$7, MATCH(F1303, Unit_Grades!$A$2:$A$7, 0))*INDEX(Unit_Paths!$B$2:$B$4, MATCH(E1303, Unit_Paths!$A$2:$A$4, 0)),1)</f>
        <v>756</v>
      </c>
      <c r="I1303" s="6" t="n">
        <f aca="false">ROUND(INDEX(Archetypes!$F$2:$F$127, MATCH(D1303, Archetypes!$A$2:$A$127, 0))*INDEX(Unit_Grades!$B$2:$B$7, MATCH(F1303, Unit_Grades!$A$2:$A$7, 0))*INDEX(Unit_Paths!$C$2:$C$4, MATCH(E1303, Unit_Paths!$A$2:$A$4, 0)),1)</f>
        <v>504</v>
      </c>
      <c r="J1303" s="6" t="n">
        <f aca="false">ROUND(INDEX(Archetypes!$G$2:$G$127, MATCH(D1303, Archetypes!$A$2:$A$127, 0))*INDEX(Unit_Grades!$B$2:$B$7, MATCH(F1303, Unit_Grades!$A$2:$A$7, 0))*INDEX(Unit_Paths!$D$2:$D$4, MATCH(E1303, Unit_Paths!$A$2:$A$4, 0)),0)</f>
        <v>1596</v>
      </c>
      <c r="K1303" s="6" t="n">
        <f aca="false">ROUND(INDEX(Archetypes!$H$2:$H$127, MATCH(D1303, Archetypes!$A$2:$A$127, 0))*INDEX(Unit_Paths!$E$2:$E$4, MATCH(E1303, Unit_Paths!$A$2:$A$4, 0)),1)</f>
        <v>26</v>
      </c>
      <c r="L1303" s="6" t="n">
        <f aca="false">ROUND(INDEX(Archetypes!$I$2:$I$127, MATCH(D1303, Archetypes!$A$2:$A$127, 0))*INDEX(Unit_Grades!$C$2:$C$7, MATCH(F1303, Unit_Grades!$A$2:$A$7, 0)),1)</f>
        <v>74</v>
      </c>
      <c r="M1303" s="6" t="n">
        <f aca="false">ROUND(INDEX(Archetypes!$J$2:$J$127, MATCH(D1303, Archetypes!$A$2:$A$127, 0))*INDEX(Unit_Grades!$D$2:$D$7, MATCH(F1303, Unit_Grades!$A$2:$A$7, 0)),1)</f>
        <v>97.4</v>
      </c>
      <c r="N1303" s="6" t="n">
        <f aca="false">ROUND(M1303/24,2)</f>
        <v>4.06</v>
      </c>
    </row>
    <row r="1304" customFormat="false" ht="15" hidden="false" customHeight="true" outlineLevel="0" collapsed="false">
      <c r="A1304" s="6" t="n">
        <v>5</v>
      </c>
      <c r="B1304" s="6" t="s">
        <v>2799</v>
      </c>
      <c r="C1304" s="6" t="s">
        <v>1417</v>
      </c>
      <c r="D1304" s="6" t="str">
        <f aca="false">A1304&amp;"|"&amp;C1304</f>
        <v>5|Void Marine</v>
      </c>
      <c r="E1304" s="6" t="s">
        <v>1558</v>
      </c>
      <c r="F1304" s="6" t="s">
        <v>1538</v>
      </c>
      <c r="G1304" s="6" t="str">
        <f aca="false">INDEX(Archetypes!$D$2:$D$127, MATCH(D1304, Archetypes!$A$2:$A$127, 0))</f>
        <v>Shock Infantry</v>
      </c>
      <c r="H1304" s="6" t="n">
        <f aca="false">ROUND(INDEX(Archetypes!$E$2:$E$127, MATCH(D1304, Archetypes!$A$2:$A$127, 0))*INDEX(Unit_Grades!$B$2:$B$7, MATCH(F1304, Unit_Grades!$A$2:$A$7, 0))*INDEX(Unit_Paths!$B$2:$B$4, MATCH(E1304, Unit_Paths!$A$2:$A$4, 0)),1)</f>
        <v>216</v>
      </c>
      <c r="I1304" s="6" t="n">
        <f aca="false">ROUND(INDEX(Archetypes!$F$2:$F$127, MATCH(D1304, Archetypes!$A$2:$A$127, 0))*INDEX(Unit_Grades!$B$2:$B$7, MATCH(F1304, Unit_Grades!$A$2:$A$7, 0))*INDEX(Unit_Paths!$C$2:$C$4, MATCH(E1304, Unit_Paths!$A$2:$A$4, 0)),1)</f>
        <v>102</v>
      </c>
      <c r="J1304" s="6" t="n">
        <f aca="false">ROUND(INDEX(Archetypes!$G$2:$G$127, MATCH(D1304, Archetypes!$A$2:$A$127, 0))*INDEX(Unit_Grades!$B$2:$B$7, MATCH(F1304, Unit_Grades!$A$2:$A$7, 0))*INDEX(Unit_Paths!$D$2:$D$4, MATCH(E1304, Unit_Paths!$A$2:$A$4, 0)),0)</f>
        <v>361</v>
      </c>
      <c r="K1304" s="6" t="n">
        <f aca="false">ROUND(INDEX(Archetypes!$H$2:$H$127, MATCH(D1304, Archetypes!$A$2:$A$127, 0))*INDEX(Unit_Paths!$E$2:$E$4, MATCH(E1304, Unit_Paths!$A$2:$A$4, 0)),1)</f>
        <v>27.3</v>
      </c>
      <c r="L1304" s="6" t="n">
        <f aca="false">ROUND(INDEX(Archetypes!$I$2:$I$127, MATCH(D1304, Archetypes!$A$2:$A$127, 0))*INDEX(Unit_Grades!$C$2:$C$7, MATCH(F1304, Unit_Grades!$A$2:$A$7, 0)),1)</f>
        <v>20</v>
      </c>
      <c r="M1304" s="6" t="n">
        <f aca="false">ROUND(INDEX(Archetypes!$J$2:$J$127, MATCH(D1304, Archetypes!$A$2:$A$127, 0))*INDEX(Unit_Grades!$D$2:$D$7, MATCH(F1304, Unit_Grades!$A$2:$A$7, 0)),1)</f>
        <v>8.1</v>
      </c>
      <c r="N1304" s="6" t="n">
        <f aca="false">ROUND(M1304/24,2)</f>
        <v>0.34</v>
      </c>
    </row>
    <row r="1305" customFormat="false" ht="15" hidden="false" customHeight="true" outlineLevel="0" collapsed="false">
      <c r="A1305" s="6" t="n">
        <v>5</v>
      </c>
      <c r="B1305" s="6" t="s">
        <v>2800</v>
      </c>
      <c r="C1305" s="6" t="s">
        <v>1417</v>
      </c>
      <c r="D1305" s="6" t="str">
        <f aca="false">A1305&amp;"|"&amp;C1305</f>
        <v>5|Void Marine</v>
      </c>
      <c r="E1305" s="6" t="s">
        <v>1558</v>
      </c>
      <c r="F1305" s="6" t="s">
        <v>1540</v>
      </c>
      <c r="G1305" s="6" t="str">
        <f aca="false">INDEX(Archetypes!$D$2:$D$127, MATCH(D1305, Archetypes!$A$2:$A$127, 0))</f>
        <v>Shock Infantry</v>
      </c>
      <c r="H1305" s="6" t="n">
        <f aca="false">ROUND(INDEX(Archetypes!$E$2:$E$127, MATCH(D1305, Archetypes!$A$2:$A$127, 0))*INDEX(Unit_Grades!$B$2:$B$7, MATCH(F1305, Unit_Grades!$A$2:$A$7, 0))*INDEX(Unit_Paths!$B$2:$B$4, MATCH(E1305, Unit_Paths!$A$2:$A$4, 0)),1)</f>
        <v>291.6</v>
      </c>
      <c r="I1305" s="6" t="n">
        <f aca="false">ROUND(INDEX(Archetypes!$F$2:$F$127, MATCH(D1305, Archetypes!$A$2:$A$127, 0))*INDEX(Unit_Grades!$B$2:$B$7, MATCH(F1305, Unit_Grades!$A$2:$A$7, 0))*INDEX(Unit_Paths!$C$2:$C$4, MATCH(E1305, Unit_Paths!$A$2:$A$4, 0)),1)</f>
        <v>137.7</v>
      </c>
      <c r="J1305" s="6" t="n">
        <f aca="false">ROUND(INDEX(Archetypes!$G$2:$G$127, MATCH(D1305, Archetypes!$A$2:$A$127, 0))*INDEX(Unit_Grades!$B$2:$B$7, MATCH(F1305, Unit_Grades!$A$2:$A$7, 0))*INDEX(Unit_Paths!$D$2:$D$4, MATCH(E1305, Unit_Paths!$A$2:$A$4, 0)),0)</f>
        <v>487</v>
      </c>
      <c r="K1305" s="6" t="n">
        <f aca="false">ROUND(INDEX(Archetypes!$H$2:$H$127, MATCH(D1305, Archetypes!$A$2:$A$127, 0))*INDEX(Unit_Paths!$E$2:$E$4, MATCH(E1305, Unit_Paths!$A$2:$A$4, 0)),1)</f>
        <v>27.3</v>
      </c>
      <c r="L1305" s="6" t="n">
        <f aca="false">ROUND(INDEX(Archetypes!$I$2:$I$127, MATCH(D1305, Archetypes!$A$2:$A$127, 0))*INDEX(Unit_Grades!$C$2:$C$7, MATCH(F1305, Unit_Grades!$A$2:$A$7, 0)),1)</f>
        <v>25</v>
      </c>
      <c r="M1305" s="6" t="n">
        <f aca="false">ROUND(INDEX(Archetypes!$J$2:$J$127, MATCH(D1305, Archetypes!$A$2:$A$127, 0))*INDEX(Unit_Grades!$D$2:$D$7, MATCH(F1305, Unit_Grades!$A$2:$A$7, 0)),1)</f>
        <v>12.2</v>
      </c>
      <c r="N1305" s="6" t="n">
        <f aca="false">ROUND(M1305/24,2)</f>
        <v>0.51</v>
      </c>
    </row>
    <row r="1306" customFormat="false" ht="15" hidden="false" customHeight="true" outlineLevel="0" collapsed="false">
      <c r="A1306" s="6" t="n">
        <v>5</v>
      </c>
      <c r="B1306" s="6" t="s">
        <v>2801</v>
      </c>
      <c r="C1306" s="6" t="s">
        <v>1417</v>
      </c>
      <c r="D1306" s="6" t="str">
        <f aca="false">A1306&amp;"|"&amp;C1306</f>
        <v>5|Void Marine</v>
      </c>
      <c r="E1306" s="6" t="s">
        <v>1558</v>
      </c>
      <c r="F1306" s="6" t="s">
        <v>1542</v>
      </c>
      <c r="G1306" s="6" t="str">
        <f aca="false">INDEX(Archetypes!$D$2:$D$127, MATCH(D1306, Archetypes!$A$2:$A$127, 0))</f>
        <v>Shock Infantry</v>
      </c>
      <c r="H1306" s="6" t="n">
        <f aca="false">ROUND(INDEX(Archetypes!$E$2:$E$127, MATCH(D1306, Archetypes!$A$2:$A$127, 0))*INDEX(Unit_Grades!$B$2:$B$7, MATCH(F1306, Unit_Grades!$A$2:$A$7, 0))*INDEX(Unit_Paths!$B$2:$B$4, MATCH(E1306, Unit_Paths!$A$2:$A$4, 0)),1)</f>
        <v>388.8</v>
      </c>
      <c r="I1306" s="6" t="n">
        <f aca="false">ROUND(INDEX(Archetypes!$F$2:$F$127, MATCH(D1306, Archetypes!$A$2:$A$127, 0))*INDEX(Unit_Grades!$B$2:$B$7, MATCH(F1306, Unit_Grades!$A$2:$A$7, 0))*INDEX(Unit_Paths!$C$2:$C$4, MATCH(E1306, Unit_Paths!$A$2:$A$4, 0)),1)</f>
        <v>183.6</v>
      </c>
      <c r="J1306" s="6" t="n">
        <f aca="false">ROUND(INDEX(Archetypes!$G$2:$G$127, MATCH(D1306, Archetypes!$A$2:$A$127, 0))*INDEX(Unit_Grades!$B$2:$B$7, MATCH(F1306, Unit_Grades!$A$2:$A$7, 0))*INDEX(Unit_Paths!$D$2:$D$4, MATCH(E1306, Unit_Paths!$A$2:$A$4, 0)),0)</f>
        <v>650</v>
      </c>
      <c r="K1306" s="6" t="n">
        <f aca="false">ROUND(INDEX(Archetypes!$H$2:$H$127, MATCH(D1306, Archetypes!$A$2:$A$127, 0))*INDEX(Unit_Paths!$E$2:$E$4, MATCH(E1306, Unit_Paths!$A$2:$A$4, 0)),1)</f>
        <v>27.3</v>
      </c>
      <c r="L1306" s="6" t="n">
        <f aca="false">ROUND(INDEX(Archetypes!$I$2:$I$127, MATCH(D1306, Archetypes!$A$2:$A$127, 0))*INDEX(Unit_Grades!$C$2:$C$7, MATCH(F1306, Unit_Grades!$A$2:$A$7, 0)),1)</f>
        <v>32</v>
      </c>
      <c r="M1306" s="6" t="n">
        <f aca="false">ROUND(INDEX(Archetypes!$J$2:$J$127, MATCH(D1306, Archetypes!$A$2:$A$127, 0))*INDEX(Unit_Grades!$D$2:$D$7, MATCH(F1306, Unit_Grades!$A$2:$A$7, 0)),1)</f>
        <v>20.3</v>
      </c>
      <c r="N1306" s="6" t="n">
        <f aca="false">ROUND(M1306/24,2)</f>
        <v>0.85</v>
      </c>
    </row>
    <row r="1307" customFormat="false" ht="15" hidden="false" customHeight="true" outlineLevel="0" collapsed="false">
      <c r="A1307" s="6" t="n">
        <v>5</v>
      </c>
      <c r="B1307" s="6" t="s">
        <v>2802</v>
      </c>
      <c r="C1307" s="6" t="s">
        <v>1417</v>
      </c>
      <c r="D1307" s="6" t="str">
        <f aca="false">A1307&amp;"|"&amp;C1307</f>
        <v>5|Void Marine</v>
      </c>
      <c r="E1307" s="6" t="s">
        <v>1558</v>
      </c>
      <c r="F1307" s="6" t="s">
        <v>1544</v>
      </c>
      <c r="G1307" s="6" t="str">
        <f aca="false">INDEX(Archetypes!$D$2:$D$127, MATCH(D1307, Archetypes!$A$2:$A$127, 0))</f>
        <v>Shock Infantry</v>
      </c>
      <c r="H1307" s="6" t="n">
        <f aca="false">ROUND(INDEX(Archetypes!$E$2:$E$127, MATCH(D1307, Archetypes!$A$2:$A$127, 0))*INDEX(Unit_Grades!$B$2:$B$7, MATCH(F1307, Unit_Grades!$A$2:$A$7, 0))*INDEX(Unit_Paths!$B$2:$B$4, MATCH(E1307, Unit_Paths!$A$2:$A$4, 0)),1)</f>
        <v>518.4</v>
      </c>
      <c r="I1307" s="6" t="n">
        <f aca="false">ROUND(INDEX(Archetypes!$F$2:$F$127, MATCH(D1307, Archetypes!$A$2:$A$127, 0))*INDEX(Unit_Grades!$B$2:$B$7, MATCH(F1307, Unit_Grades!$A$2:$A$7, 0))*INDEX(Unit_Paths!$C$2:$C$4, MATCH(E1307, Unit_Paths!$A$2:$A$4, 0)),1)</f>
        <v>244.8</v>
      </c>
      <c r="J1307" s="6" t="n">
        <f aca="false">ROUND(INDEX(Archetypes!$G$2:$G$127, MATCH(D1307, Archetypes!$A$2:$A$127, 0))*INDEX(Unit_Grades!$B$2:$B$7, MATCH(F1307, Unit_Grades!$A$2:$A$7, 0))*INDEX(Unit_Paths!$D$2:$D$4, MATCH(E1307, Unit_Paths!$A$2:$A$4, 0)),0)</f>
        <v>866</v>
      </c>
      <c r="K1307" s="6" t="n">
        <f aca="false">ROUND(INDEX(Archetypes!$H$2:$H$127, MATCH(D1307, Archetypes!$A$2:$A$127, 0))*INDEX(Unit_Paths!$E$2:$E$4, MATCH(E1307, Unit_Paths!$A$2:$A$4, 0)),1)</f>
        <v>27.3</v>
      </c>
      <c r="L1307" s="6" t="n">
        <f aca="false">ROUND(INDEX(Archetypes!$I$2:$I$127, MATCH(D1307, Archetypes!$A$2:$A$127, 0))*INDEX(Unit_Grades!$C$2:$C$7, MATCH(F1307, Unit_Grades!$A$2:$A$7, 0)),1)</f>
        <v>42</v>
      </c>
      <c r="M1307" s="6" t="n">
        <f aca="false">ROUND(INDEX(Archetypes!$J$2:$J$127, MATCH(D1307, Archetypes!$A$2:$A$127, 0))*INDEX(Unit_Grades!$D$2:$D$7, MATCH(F1307, Unit_Grades!$A$2:$A$7, 0)),1)</f>
        <v>32.5</v>
      </c>
      <c r="N1307" s="6" t="n">
        <f aca="false">ROUND(M1307/24,2)</f>
        <v>1.35</v>
      </c>
    </row>
    <row r="1308" customFormat="false" ht="15" hidden="false" customHeight="true" outlineLevel="0" collapsed="false">
      <c r="A1308" s="6" t="n">
        <v>5</v>
      </c>
      <c r="B1308" s="6" t="s">
        <v>2803</v>
      </c>
      <c r="C1308" s="6" t="s">
        <v>1417</v>
      </c>
      <c r="D1308" s="6" t="str">
        <f aca="false">A1308&amp;"|"&amp;C1308</f>
        <v>5|Void Marine</v>
      </c>
      <c r="E1308" s="6" t="s">
        <v>1558</v>
      </c>
      <c r="F1308" s="6" t="s">
        <v>1546</v>
      </c>
      <c r="G1308" s="6" t="str">
        <f aca="false">INDEX(Archetypes!$D$2:$D$127, MATCH(D1308, Archetypes!$A$2:$A$127, 0))</f>
        <v>Shock Infantry</v>
      </c>
      <c r="H1308" s="6" t="n">
        <f aca="false">ROUND(INDEX(Archetypes!$E$2:$E$127, MATCH(D1308, Archetypes!$A$2:$A$127, 0))*INDEX(Unit_Grades!$B$2:$B$7, MATCH(F1308, Unit_Grades!$A$2:$A$7, 0))*INDEX(Unit_Paths!$B$2:$B$4, MATCH(E1308, Unit_Paths!$A$2:$A$4, 0)),1)</f>
        <v>691.2</v>
      </c>
      <c r="I1308" s="6" t="n">
        <f aca="false">ROUND(INDEX(Archetypes!$F$2:$F$127, MATCH(D1308, Archetypes!$A$2:$A$127, 0))*INDEX(Unit_Grades!$B$2:$B$7, MATCH(F1308, Unit_Grades!$A$2:$A$7, 0))*INDEX(Unit_Paths!$C$2:$C$4, MATCH(E1308, Unit_Paths!$A$2:$A$4, 0)),1)</f>
        <v>326.4</v>
      </c>
      <c r="J1308" s="6" t="n">
        <f aca="false">ROUND(INDEX(Archetypes!$G$2:$G$127, MATCH(D1308, Archetypes!$A$2:$A$127, 0))*INDEX(Unit_Grades!$B$2:$B$7, MATCH(F1308, Unit_Grades!$A$2:$A$7, 0))*INDEX(Unit_Paths!$D$2:$D$4, MATCH(E1308, Unit_Paths!$A$2:$A$4, 0)),0)</f>
        <v>1155</v>
      </c>
      <c r="K1308" s="6" t="n">
        <f aca="false">ROUND(INDEX(Archetypes!$H$2:$H$127, MATCH(D1308, Archetypes!$A$2:$A$127, 0))*INDEX(Unit_Paths!$E$2:$E$4, MATCH(E1308, Unit_Paths!$A$2:$A$4, 0)),1)</f>
        <v>27.3</v>
      </c>
      <c r="L1308" s="6" t="n">
        <f aca="false">ROUND(INDEX(Archetypes!$I$2:$I$127, MATCH(D1308, Archetypes!$A$2:$A$127, 0))*INDEX(Unit_Grades!$C$2:$C$7, MATCH(F1308, Unit_Grades!$A$2:$A$7, 0)),1)</f>
        <v>56</v>
      </c>
      <c r="M1308" s="6" t="n">
        <f aca="false">ROUND(INDEX(Archetypes!$J$2:$J$127, MATCH(D1308, Archetypes!$A$2:$A$127, 0))*INDEX(Unit_Grades!$D$2:$D$7, MATCH(F1308, Unit_Grades!$A$2:$A$7, 0)),1)</f>
        <v>56.8</v>
      </c>
      <c r="N1308" s="6" t="n">
        <f aca="false">ROUND(M1308/24,2)</f>
        <v>2.37</v>
      </c>
    </row>
    <row r="1309" customFormat="false" ht="15" hidden="false" customHeight="true" outlineLevel="0" collapsed="false">
      <c r="A1309" s="6" t="n">
        <v>5</v>
      </c>
      <c r="B1309" s="6" t="s">
        <v>2804</v>
      </c>
      <c r="C1309" s="6" t="s">
        <v>1417</v>
      </c>
      <c r="D1309" s="6" t="str">
        <f aca="false">A1309&amp;"|"&amp;C1309</f>
        <v>5|Void Marine</v>
      </c>
      <c r="E1309" s="6" t="s">
        <v>1558</v>
      </c>
      <c r="F1309" s="6" t="s">
        <v>1548</v>
      </c>
      <c r="G1309" s="6" t="str">
        <f aca="false">INDEX(Archetypes!$D$2:$D$127, MATCH(D1309, Archetypes!$A$2:$A$127, 0))</f>
        <v>Shock Infantry</v>
      </c>
      <c r="H1309" s="6" t="n">
        <f aca="false">ROUND(INDEX(Archetypes!$E$2:$E$127, MATCH(D1309, Archetypes!$A$2:$A$127, 0))*INDEX(Unit_Grades!$B$2:$B$7, MATCH(F1309, Unit_Grades!$A$2:$A$7, 0))*INDEX(Unit_Paths!$B$2:$B$4, MATCH(E1309, Unit_Paths!$A$2:$A$4, 0)),1)</f>
        <v>907.2</v>
      </c>
      <c r="I1309" s="6" t="n">
        <f aca="false">ROUND(INDEX(Archetypes!$F$2:$F$127, MATCH(D1309, Archetypes!$A$2:$A$127, 0))*INDEX(Unit_Grades!$B$2:$B$7, MATCH(F1309, Unit_Grades!$A$2:$A$7, 0))*INDEX(Unit_Paths!$C$2:$C$4, MATCH(E1309, Unit_Paths!$A$2:$A$4, 0)),1)</f>
        <v>428.4</v>
      </c>
      <c r="J1309" s="6" t="n">
        <f aca="false">ROUND(INDEX(Archetypes!$G$2:$G$127, MATCH(D1309, Archetypes!$A$2:$A$127, 0))*INDEX(Unit_Grades!$B$2:$B$7, MATCH(F1309, Unit_Grades!$A$2:$A$7, 0))*INDEX(Unit_Paths!$D$2:$D$4, MATCH(E1309, Unit_Paths!$A$2:$A$4, 0)),0)</f>
        <v>1516</v>
      </c>
      <c r="K1309" s="6" t="n">
        <f aca="false">ROUND(INDEX(Archetypes!$H$2:$H$127, MATCH(D1309, Archetypes!$A$2:$A$127, 0))*INDEX(Unit_Paths!$E$2:$E$4, MATCH(E1309, Unit_Paths!$A$2:$A$4, 0)),1)</f>
        <v>27.3</v>
      </c>
      <c r="L1309" s="6" t="n">
        <f aca="false">ROUND(INDEX(Archetypes!$I$2:$I$127, MATCH(D1309, Archetypes!$A$2:$A$127, 0))*INDEX(Unit_Grades!$C$2:$C$7, MATCH(F1309, Unit_Grades!$A$2:$A$7, 0)),1)</f>
        <v>74</v>
      </c>
      <c r="M1309" s="6" t="n">
        <f aca="false">ROUND(INDEX(Archetypes!$J$2:$J$127, MATCH(D1309, Archetypes!$A$2:$A$127, 0))*INDEX(Unit_Grades!$D$2:$D$7, MATCH(F1309, Unit_Grades!$A$2:$A$7, 0)),1)</f>
        <v>97.4</v>
      </c>
      <c r="N1309" s="6" t="n">
        <f aca="false">ROUND(M1309/24,2)</f>
        <v>4.06</v>
      </c>
    </row>
    <row r="1310" customFormat="false" ht="15" hidden="false" customHeight="true" outlineLevel="0" collapsed="false">
      <c r="A1310" s="6" t="n">
        <v>5</v>
      </c>
      <c r="B1310" s="6" t="s">
        <v>2805</v>
      </c>
      <c r="C1310" s="6" t="s">
        <v>1417</v>
      </c>
      <c r="D1310" s="6" t="str">
        <f aca="false">A1310&amp;"|"&amp;C1310</f>
        <v>5|Void Marine</v>
      </c>
      <c r="E1310" s="6" t="s">
        <v>1560</v>
      </c>
      <c r="F1310" s="6" t="s">
        <v>1538</v>
      </c>
      <c r="G1310" s="6" t="str">
        <f aca="false">INDEX(Archetypes!$D$2:$D$127, MATCH(D1310, Archetypes!$A$2:$A$127, 0))</f>
        <v>Shock Infantry</v>
      </c>
      <c r="H1310" s="6" t="n">
        <f aca="false">ROUND(INDEX(Archetypes!$E$2:$E$127, MATCH(D1310, Archetypes!$A$2:$A$127, 0))*INDEX(Unit_Grades!$B$2:$B$7, MATCH(F1310, Unit_Grades!$A$2:$A$7, 0))*INDEX(Unit_Paths!$B$2:$B$4, MATCH(E1310, Unit_Paths!$A$2:$A$4, 0)),1)</f>
        <v>153</v>
      </c>
      <c r="I1310" s="6" t="n">
        <f aca="false">ROUND(INDEX(Archetypes!$F$2:$F$127, MATCH(D1310, Archetypes!$A$2:$A$127, 0))*INDEX(Unit_Grades!$B$2:$B$7, MATCH(F1310, Unit_Grades!$A$2:$A$7, 0))*INDEX(Unit_Paths!$C$2:$C$4, MATCH(E1310, Unit_Paths!$A$2:$A$4, 0)),1)</f>
        <v>150</v>
      </c>
      <c r="J1310" s="6" t="n">
        <f aca="false">ROUND(INDEX(Archetypes!$G$2:$G$127, MATCH(D1310, Archetypes!$A$2:$A$127, 0))*INDEX(Unit_Grades!$B$2:$B$7, MATCH(F1310, Unit_Grades!$A$2:$A$7, 0))*INDEX(Unit_Paths!$D$2:$D$4, MATCH(E1310, Unit_Paths!$A$2:$A$4, 0)),0)</f>
        <v>437</v>
      </c>
      <c r="K1310" s="6" t="n">
        <f aca="false">ROUND(INDEX(Archetypes!$H$2:$H$127, MATCH(D1310, Archetypes!$A$2:$A$127, 0))*INDEX(Unit_Paths!$E$2:$E$4, MATCH(E1310, Unit_Paths!$A$2:$A$4, 0)),1)</f>
        <v>23.9</v>
      </c>
      <c r="L1310" s="6" t="n">
        <f aca="false">ROUND(INDEX(Archetypes!$I$2:$I$127, MATCH(D1310, Archetypes!$A$2:$A$127, 0))*INDEX(Unit_Grades!$C$2:$C$7, MATCH(F1310, Unit_Grades!$A$2:$A$7, 0)),1)</f>
        <v>20</v>
      </c>
      <c r="M1310" s="6" t="n">
        <f aca="false">ROUND(INDEX(Archetypes!$J$2:$J$127, MATCH(D1310, Archetypes!$A$2:$A$127, 0))*INDEX(Unit_Grades!$D$2:$D$7, MATCH(F1310, Unit_Grades!$A$2:$A$7, 0)),1)</f>
        <v>8.1</v>
      </c>
      <c r="N1310" s="6" t="n">
        <f aca="false">ROUND(M1310/24,2)</f>
        <v>0.34</v>
      </c>
    </row>
    <row r="1311" customFormat="false" ht="15" hidden="false" customHeight="true" outlineLevel="0" collapsed="false">
      <c r="A1311" s="6" t="n">
        <v>5</v>
      </c>
      <c r="B1311" s="6" t="s">
        <v>2806</v>
      </c>
      <c r="C1311" s="6" t="s">
        <v>1417</v>
      </c>
      <c r="D1311" s="6" t="str">
        <f aca="false">A1311&amp;"|"&amp;C1311</f>
        <v>5|Void Marine</v>
      </c>
      <c r="E1311" s="6" t="s">
        <v>1560</v>
      </c>
      <c r="F1311" s="6" t="s">
        <v>1540</v>
      </c>
      <c r="G1311" s="6" t="str">
        <f aca="false">INDEX(Archetypes!$D$2:$D$127, MATCH(D1311, Archetypes!$A$2:$A$127, 0))</f>
        <v>Shock Infantry</v>
      </c>
      <c r="H1311" s="6" t="n">
        <f aca="false">ROUND(INDEX(Archetypes!$E$2:$E$127, MATCH(D1311, Archetypes!$A$2:$A$127, 0))*INDEX(Unit_Grades!$B$2:$B$7, MATCH(F1311, Unit_Grades!$A$2:$A$7, 0))*INDEX(Unit_Paths!$B$2:$B$4, MATCH(E1311, Unit_Paths!$A$2:$A$4, 0)),1)</f>
        <v>206.6</v>
      </c>
      <c r="I1311" s="6" t="n">
        <f aca="false">ROUND(INDEX(Archetypes!$F$2:$F$127, MATCH(D1311, Archetypes!$A$2:$A$127, 0))*INDEX(Unit_Grades!$B$2:$B$7, MATCH(F1311, Unit_Grades!$A$2:$A$7, 0))*INDEX(Unit_Paths!$C$2:$C$4, MATCH(E1311, Unit_Paths!$A$2:$A$4, 0)),1)</f>
        <v>202.5</v>
      </c>
      <c r="J1311" s="6" t="n">
        <f aca="false">ROUND(INDEX(Archetypes!$G$2:$G$127, MATCH(D1311, Archetypes!$A$2:$A$127, 0))*INDEX(Unit_Grades!$B$2:$B$7, MATCH(F1311, Unit_Grades!$A$2:$A$7, 0))*INDEX(Unit_Paths!$D$2:$D$4, MATCH(E1311, Unit_Paths!$A$2:$A$4, 0)),0)</f>
        <v>590</v>
      </c>
      <c r="K1311" s="6" t="n">
        <f aca="false">ROUND(INDEX(Archetypes!$H$2:$H$127, MATCH(D1311, Archetypes!$A$2:$A$127, 0))*INDEX(Unit_Paths!$E$2:$E$4, MATCH(E1311, Unit_Paths!$A$2:$A$4, 0)),1)</f>
        <v>23.9</v>
      </c>
      <c r="L1311" s="6" t="n">
        <f aca="false">ROUND(INDEX(Archetypes!$I$2:$I$127, MATCH(D1311, Archetypes!$A$2:$A$127, 0))*INDEX(Unit_Grades!$C$2:$C$7, MATCH(F1311, Unit_Grades!$A$2:$A$7, 0)),1)</f>
        <v>25</v>
      </c>
      <c r="M1311" s="6" t="n">
        <f aca="false">ROUND(INDEX(Archetypes!$J$2:$J$127, MATCH(D1311, Archetypes!$A$2:$A$127, 0))*INDEX(Unit_Grades!$D$2:$D$7, MATCH(F1311, Unit_Grades!$A$2:$A$7, 0)),1)</f>
        <v>12.2</v>
      </c>
      <c r="N1311" s="6" t="n">
        <f aca="false">ROUND(M1311/24,2)</f>
        <v>0.51</v>
      </c>
    </row>
    <row r="1312" customFormat="false" ht="15" hidden="false" customHeight="true" outlineLevel="0" collapsed="false">
      <c r="A1312" s="6" t="n">
        <v>5</v>
      </c>
      <c r="B1312" s="6" t="s">
        <v>2807</v>
      </c>
      <c r="C1312" s="6" t="s">
        <v>1417</v>
      </c>
      <c r="D1312" s="6" t="str">
        <f aca="false">A1312&amp;"|"&amp;C1312</f>
        <v>5|Void Marine</v>
      </c>
      <c r="E1312" s="6" t="s">
        <v>1560</v>
      </c>
      <c r="F1312" s="6" t="s">
        <v>1542</v>
      </c>
      <c r="G1312" s="6" t="str">
        <f aca="false">INDEX(Archetypes!$D$2:$D$127, MATCH(D1312, Archetypes!$A$2:$A$127, 0))</f>
        <v>Shock Infantry</v>
      </c>
      <c r="H1312" s="6" t="n">
        <f aca="false">ROUND(INDEX(Archetypes!$E$2:$E$127, MATCH(D1312, Archetypes!$A$2:$A$127, 0))*INDEX(Unit_Grades!$B$2:$B$7, MATCH(F1312, Unit_Grades!$A$2:$A$7, 0))*INDEX(Unit_Paths!$B$2:$B$4, MATCH(E1312, Unit_Paths!$A$2:$A$4, 0)),1)</f>
        <v>275.4</v>
      </c>
      <c r="I1312" s="6" t="n">
        <f aca="false">ROUND(INDEX(Archetypes!$F$2:$F$127, MATCH(D1312, Archetypes!$A$2:$A$127, 0))*INDEX(Unit_Grades!$B$2:$B$7, MATCH(F1312, Unit_Grades!$A$2:$A$7, 0))*INDEX(Unit_Paths!$C$2:$C$4, MATCH(E1312, Unit_Paths!$A$2:$A$4, 0)),1)</f>
        <v>270</v>
      </c>
      <c r="J1312" s="6" t="n">
        <f aca="false">ROUND(INDEX(Archetypes!$G$2:$G$127, MATCH(D1312, Archetypes!$A$2:$A$127, 0))*INDEX(Unit_Grades!$B$2:$B$7, MATCH(F1312, Unit_Grades!$A$2:$A$7, 0))*INDEX(Unit_Paths!$D$2:$D$4, MATCH(E1312, Unit_Paths!$A$2:$A$4, 0)),0)</f>
        <v>787</v>
      </c>
      <c r="K1312" s="6" t="n">
        <f aca="false">ROUND(INDEX(Archetypes!$H$2:$H$127, MATCH(D1312, Archetypes!$A$2:$A$127, 0))*INDEX(Unit_Paths!$E$2:$E$4, MATCH(E1312, Unit_Paths!$A$2:$A$4, 0)),1)</f>
        <v>23.9</v>
      </c>
      <c r="L1312" s="6" t="n">
        <f aca="false">ROUND(INDEX(Archetypes!$I$2:$I$127, MATCH(D1312, Archetypes!$A$2:$A$127, 0))*INDEX(Unit_Grades!$C$2:$C$7, MATCH(F1312, Unit_Grades!$A$2:$A$7, 0)),1)</f>
        <v>32</v>
      </c>
      <c r="M1312" s="6" t="n">
        <f aca="false">ROUND(INDEX(Archetypes!$J$2:$J$127, MATCH(D1312, Archetypes!$A$2:$A$127, 0))*INDEX(Unit_Grades!$D$2:$D$7, MATCH(F1312, Unit_Grades!$A$2:$A$7, 0)),1)</f>
        <v>20.3</v>
      </c>
      <c r="N1312" s="6" t="n">
        <f aca="false">ROUND(M1312/24,2)</f>
        <v>0.85</v>
      </c>
    </row>
    <row r="1313" customFormat="false" ht="15" hidden="false" customHeight="true" outlineLevel="0" collapsed="false">
      <c r="A1313" s="6" t="n">
        <v>5</v>
      </c>
      <c r="B1313" s="6" t="s">
        <v>2808</v>
      </c>
      <c r="C1313" s="6" t="s">
        <v>1417</v>
      </c>
      <c r="D1313" s="6" t="str">
        <f aca="false">A1313&amp;"|"&amp;C1313</f>
        <v>5|Void Marine</v>
      </c>
      <c r="E1313" s="6" t="s">
        <v>1560</v>
      </c>
      <c r="F1313" s="6" t="s">
        <v>1544</v>
      </c>
      <c r="G1313" s="6" t="str">
        <f aca="false">INDEX(Archetypes!$D$2:$D$127, MATCH(D1313, Archetypes!$A$2:$A$127, 0))</f>
        <v>Shock Infantry</v>
      </c>
      <c r="H1313" s="6" t="n">
        <f aca="false">ROUND(INDEX(Archetypes!$E$2:$E$127, MATCH(D1313, Archetypes!$A$2:$A$127, 0))*INDEX(Unit_Grades!$B$2:$B$7, MATCH(F1313, Unit_Grades!$A$2:$A$7, 0))*INDEX(Unit_Paths!$B$2:$B$4, MATCH(E1313, Unit_Paths!$A$2:$A$4, 0)),1)</f>
        <v>367.2</v>
      </c>
      <c r="I1313" s="6" t="n">
        <f aca="false">ROUND(INDEX(Archetypes!$F$2:$F$127, MATCH(D1313, Archetypes!$A$2:$A$127, 0))*INDEX(Unit_Grades!$B$2:$B$7, MATCH(F1313, Unit_Grades!$A$2:$A$7, 0))*INDEX(Unit_Paths!$C$2:$C$4, MATCH(E1313, Unit_Paths!$A$2:$A$4, 0)),1)</f>
        <v>360</v>
      </c>
      <c r="J1313" s="6" t="n">
        <f aca="false">ROUND(INDEX(Archetypes!$G$2:$G$127, MATCH(D1313, Archetypes!$A$2:$A$127, 0))*INDEX(Unit_Grades!$B$2:$B$7, MATCH(F1313, Unit_Grades!$A$2:$A$7, 0))*INDEX(Unit_Paths!$D$2:$D$4, MATCH(E1313, Unit_Paths!$A$2:$A$4, 0)),0)</f>
        <v>1049</v>
      </c>
      <c r="K1313" s="6" t="n">
        <f aca="false">ROUND(INDEX(Archetypes!$H$2:$H$127, MATCH(D1313, Archetypes!$A$2:$A$127, 0))*INDEX(Unit_Paths!$E$2:$E$4, MATCH(E1313, Unit_Paths!$A$2:$A$4, 0)),1)</f>
        <v>23.9</v>
      </c>
      <c r="L1313" s="6" t="n">
        <f aca="false">ROUND(INDEX(Archetypes!$I$2:$I$127, MATCH(D1313, Archetypes!$A$2:$A$127, 0))*INDEX(Unit_Grades!$C$2:$C$7, MATCH(F1313, Unit_Grades!$A$2:$A$7, 0)),1)</f>
        <v>42</v>
      </c>
      <c r="M1313" s="6" t="n">
        <f aca="false">ROUND(INDEX(Archetypes!$J$2:$J$127, MATCH(D1313, Archetypes!$A$2:$A$127, 0))*INDEX(Unit_Grades!$D$2:$D$7, MATCH(F1313, Unit_Grades!$A$2:$A$7, 0)),1)</f>
        <v>32.5</v>
      </c>
      <c r="N1313" s="6" t="n">
        <f aca="false">ROUND(M1313/24,2)</f>
        <v>1.35</v>
      </c>
    </row>
    <row r="1314" customFormat="false" ht="15" hidden="false" customHeight="true" outlineLevel="0" collapsed="false">
      <c r="A1314" s="6" t="n">
        <v>5</v>
      </c>
      <c r="B1314" s="6" t="s">
        <v>2809</v>
      </c>
      <c r="C1314" s="6" t="s">
        <v>1417</v>
      </c>
      <c r="D1314" s="6" t="str">
        <f aca="false">A1314&amp;"|"&amp;C1314</f>
        <v>5|Void Marine</v>
      </c>
      <c r="E1314" s="6" t="s">
        <v>1560</v>
      </c>
      <c r="F1314" s="6" t="s">
        <v>1546</v>
      </c>
      <c r="G1314" s="6" t="str">
        <f aca="false">INDEX(Archetypes!$D$2:$D$127, MATCH(D1314, Archetypes!$A$2:$A$127, 0))</f>
        <v>Shock Infantry</v>
      </c>
      <c r="H1314" s="6" t="n">
        <f aca="false">ROUND(INDEX(Archetypes!$E$2:$E$127, MATCH(D1314, Archetypes!$A$2:$A$127, 0))*INDEX(Unit_Grades!$B$2:$B$7, MATCH(F1314, Unit_Grades!$A$2:$A$7, 0))*INDEX(Unit_Paths!$B$2:$B$4, MATCH(E1314, Unit_Paths!$A$2:$A$4, 0)),1)</f>
        <v>489.6</v>
      </c>
      <c r="I1314" s="6" t="n">
        <f aca="false">ROUND(INDEX(Archetypes!$F$2:$F$127, MATCH(D1314, Archetypes!$A$2:$A$127, 0))*INDEX(Unit_Grades!$B$2:$B$7, MATCH(F1314, Unit_Grades!$A$2:$A$7, 0))*INDEX(Unit_Paths!$C$2:$C$4, MATCH(E1314, Unit_Paths!$A$2:$A$4, 0)),1)</f>
        <v>480</v>
      </c>
      <c r="J1314" s="6" t="n">
        <f aca="false">ROUND(INDEX(Archetypes!$G$2:$G$127, MATCH(D1314, Archetypes!$A$2:$A$127, 0))*INDEX(Unit_Grades!$B$2:$B$7, MATCH(F1314, Unit_Grades!$A$2:$A$7, 0))*INDEX(Unit_Paths!$D$2:$D$4, MATCH(E1314, Unit_Paths!$A$2:$A$4, 0)),0)</f>
        <v>1398</v>
      </c>
      <c r="K1314" s="6" t="n">
        <f aca="false">ROUND(INDEX(Archetypes!$H$2:$H$127, MATCH(D1314, Archetypes!$A$2:$A$127, 0))*INDEX(Unit_Paths!$E$2:$E$4, MATCH(E1314, Unit_Paths!$A$2:$A$4, 0)),1)</f>
        <v>23.9</v>
      </c>
      <c r="L1314" s="6" t="n">
        <f aca="false">ROUND(INDEX(Archetypes!$I$2:$I$127, MATCH(D1314, Archetypes!$A$2:$A$127, 0))*INDEX(Unit_Grades!$C$2:$C$7, MATCH(F1314, Unit_Grades!$A$2:$A$7, 0)),1)</f>
        <v>56</v>
      </c>
      <c r="M1314" s="6" t="n">
        <f aca="false">ROUND(INDEX(Archetypes!$J$2:$J$127, MATCH(D1314, Archetypes!$A$2:$A$127, 0))*INDEX(Unit_Grades!$D$2:$D$7, MATCH(F1314, Unit_Grades!$A$2:$A$7, 0)),1)</f>
        <v>56.8</v>
      </c>
      <c r="N1314" s="6" t="n">
        <f aca="false">ROUND(M1314/24,2)</f>
        <v>2.37</v>
      </c>
    </row>
    <row r="1315" customFormat="false" ht="15" hidden="false" customHeight="true" outlineLevel="0" collapsed="false">
      <c r="A1315" s="6" t="n">
        <v>5</v>
      </c>
      <c r="B1315" s="6" t="s">
        <v>2810</v>
      </c>
      <c r="C1315" s="6" t="s">
        <v>1417</v>
      </c>
      <c r="D1315" s="6" t="str">
        <f aca="false">A1315&amp;"|"&amp;C1315</f>
        <v>5|Void Marine</v>
      </c>
      <c r="E1315" s="6" t="s">
        <v>1560</v>
      </c>
      <c r="F1315" s="6" t="s">
        <v>1548</v>
      </c>
      <c r="G1315" s="6" t="str">
        <f aca="false">INDEX(Archetypes!$D$2:$D$127, MATCH(D1315, Archetypes!$A$2:$A$127, 0))</f>
        <v>Shock Infantry</v>
      </c>
      <c r="H1315" s="6" t="n">
        <f aca="false">ROUND(INDEX(Archetypes!$E$2:$E$127, MATCH(D1315, Archetypes!$A$2:$A$127, 0))*INDEX(Unit_Grades!$B$2:$B$7, MATCH(F1315, Unit_Grades!$A$2:$A$7, 0))*INDEX(Unit_Paths!$B$2:$B$4, MATCH(E1315, Unit_Paths!$A$2:$A$4, 0)),1)</f>
        <v>642.6</v>
      </c>
      <c r="I1315" s="6" t="n">
        <f aca="false">ROUND(INDEX(Archetypes!$F$2:$F$127, MATCH(D1315, Archetypes!$A$2:$A$127, 0))*INDEX(Unit_Grades!$B$2:$B$7, MATCH(F1315, Unit_Grades!$A$2:$A$7, 0))*INDEX(Unit_Paths!$C$2:$C$4, MATCH(E1315, Unit_Paths!$A$2:$A$4, 0)),1)</f>
        <v>630</v>
      </c>
      <c r="J1315" s="6" t="n">
        <f aca="false">ROUND(INDEX(Archetypes!$G$2:$G$127, MATCH(D1315, Archetypes!$A$2:$A$127, 0))*INDEX(Unit_Grades!$B$2:$B$7, MATCH(F1315, Unit_Grades!$A$2:$A$7, 0))*INDEX(Unit_Paths!$D$2:$D$4, MATCH(E1315, Unit_Paths!$A$2:$A$4, 0)),0)</f>
        <v>1835</v>
      </c>
      <c r="K1315" s="6" t="n">
        <f aca="false">ROUND(INDEX(Archetypes!$H$2:$H$127, MATCH(D1315, Archetypes!$A$2:$A$127, 0))*INDEX(Unit_Paths!$E$2:$E$4, MATCH(E1315, Unit_Paths!$A$2:$A$4, 0)),1)</f>
        <v>23.9</v>
      </c>
      <c r="L1315" s="6" t="n">
        <f aca="false">ROUND(INDEX(Archetypes!$I$2:$I$127, MATCH(D1315, Archetypes!$A$2:$A$127, 0))*INDEX(Unit_Grades!$C$2:$C$7, MATCH(F1315, Unit_Grades!$A$2:$A$7, 0)),1)</f>
        <v>74</v>
      </c>
      <c r="M1315" s="6" t="n">
        <f aca="false">ROUND(INDEX(Archetypes!$J$2:$J$127, MATCH(D1315, Archetypes!$A$2:$A$127, 0))*INDEX(Unit_Grades!$D$2:$D$7, MATCH(F1315, Unit_Grades!$A$2:$A$7, 0)),1)</f>
        <v>97.4</v>
      </c>
      <c r="N1315" s="6" t="n">
        <f aca="false">ROUND(M1315/24,2)</f>
        <v>4.06</v>
      </c>
    </row>
    <row r="1316" customFormat="false" ht="15" hidden="false" customHeight="true" outlineLevel="0" collapsed="false">
      <c r="A1316" s="6" t="n">
        <v>5</v>
      </c>
      <c r="B1316" s="6" t="s">
        <v>1419</v>
      </c>
      <c r="C1316" s="6" t="s">
        <v>1419</v>
      </c>
      <c r="D1316" s="6" t="str">
        <f aca="false">A1316&amp;"|"&amp;C1316</f>
        <v>5|Powered Infantry</v>
      </c>
      <c r="E1316" s="6" t="s">
        <v>1556</v>
      </c>
      <c r="F1316" s="6" t="s">
        <v>1538</v>
      </c>
      <c r="G1316" s="6" t="str">
        <f aca="false">INDEX(Archetypes!$D$2:$D$127, MATCH(D1316, Archetypes!$A$2:$A$127, 0))</f>
        <v>Elite Shock</v>
      </c>
      <c r="H1316" s="6" t="n">
        <f aca="false">ROUND(INDEX(Archetypes!$E$2:$E$127, MATCH(D1316, Archetypes!$A$2:$A$127, 0))*INDEX(Unit_Grades!$B$2:$B$7, MATCH(F1316, Unit_Grades!$A$2:$A$7, 0))*INDEX(Unit_Paths!$B$2:$B$4, MATCH(E1316, Unit_Paths!$A$2:$A$4, 0)),1)</f>
        <v>220</v>
      </c>
      <c r="I1316" s="6" t="n">
        <f aca="false">ROUND(INDEX(Archetypes!$F$2:$F$127, MATCH(D1316, Archetypes!$A$2:$A$127, 0))*INDEX(Unit_Grades!$B$2:$B$7, MATCH(F1316, Unit_Grades!$A$2:$A$7, 0))*INDEX(Unit_Paths!$C$2:$C$4, MATCH(E1316, Unit_Paths!$A$2:$A$4, 0)),1)</f>
        <v>150</v>
      </c>
      <c r="J1316" s="6" t="n">
        <f aca="false">ROUND(INDEX(Archetypes!$G$2:$G$127, MATCH(D1316, Archetypes!$A$2:$A$127, 0))*INDEX(Unit_Grades!$B$2:$B$7, MATCH(F1316, Unit_Grades!$A$2:$A$7, 0))*INDEX(Unit_Paths!$D$2:$D$4, MATCH(E1316, Unit_Paths!$A$2:$A$4, 0)),0)</f>
        <v>460</v>
      </c>
      <c r="K1316" s="6" t="n">
        <f aca="false">ROUND(INDEX(Archetypes!$H$2:$H$127, MATCH(D1316, Archetypes!$A$2:$A$127, 0))*INDEX(Unit_Paths!$E$2:$E$4, MATCH(E1316, Unit_Paths!$A$2:$A$4, 0)),1)</f>
        <v>24</v>
      </c>
      <c r="L1316" s="6" t="n">
        <f aca="false">ROUND(INDEX(Archetypes!$I$2:$I$127, MATCH(D1316, Archetypes!$A$2:$A$127, 0))*INDEX(Unit_Grades!$C$2:$C$7, MATCH(F1316, Unit_Grades!$A$2:$A$7, 0)),1)</f>
        <v>26</v>
      </c>
      <c r="M1316" s="6" t="n">
        <f aca="false">ROUND(INDEX(Archetypes!$J$2:$J$127, MATCH(D1316, Archetypes!$A$2:$A$127, 0))*INDEX(Unit_Grades!$D$2:$D$7, MATCH(F1316, Unit_Grades!$A$2:$A$7, 0)),1)</f>
        <v>10.6</v>
      </c>
      <c r="N1316" s="6" t="n">
        <f aca="false">ROUND(M1316/24,2)</f>
        <v>0.44</v>
      </c>
    </row>
    <row r="1317" customFormat="false" ht="15" hidden="false" customHeight="true" outlineLevel="0" collapsed="false">
      <c r="A1317" s="6" t="n">
        <v>5</v>
      </c>
      <c r="B1317" s="6" t="s">
        <v>2811</v>
      </c>
      <c r="C1317" s="6" t="s">
        <v>1419</v>
      </c>
      <c r="D1317" s="6" t="str">
        <f aca="false">A1317&amp;"|"&amp;C1317</f>
        <v>5|Powered Infantry</v>
      </c>
      <c r="E1317" s="6" t="s">
        <v>1556</v>
      </c>
      <c r="F1317" s="6" t="s">
        <v>1540</v>
      </c>
      <c r="G1317" s="6" t="str">
        <f aca="false">INDEX(Archetypes!$D$2:$D$127, MATCH(D1317, Archetypes!$A$2:$A$127, 0))</f>
        <v>Elite Shock</v>
      </c>
      <c r="H1317" s="6" t="n">
        <f aca="false">ROUND(INDEX(Archetypes!$E$2:$E$127, MATCH(D1317, Archetypes!$A$2:$A$127, 0))*INDEX(Unit_Grades!$B$2:$B$7, MATCH(F1317, Unit_Grades!$A$2:$A$7, 0))*INDEX(Unit_Paths!$B$2:$B$4, MATCH(E1317, Unit_Paths!$A$2:$A$4, 0)),1)</f>
        <v>297</v>
      </c>
      <c r="I1317" s="6" t="n">
        <f aca="false">ROUND(INDEX(Archetypes!$F$2:$F$127, MATCH(D1317, Archetypes!$A$2:$A$127, 0))*INDEX(Unit_Grades!$B$2:$B$7, MATCH(F1317, Unit_Grades!$A$2:$A$7, 0))*INDEX(Unit_Paths!$C$2:$C$4, MATCH(E1317, Unit_Paths!$A$2:$A$4, 0)),1)</f>
        <v>202.5</v>
      </c>
      <c r="J1317" s="6" t="n">
        <f aca="false">ROUND(INDEX(Archetypes!$G$2:$G$127, MATCH(D1317, Archetypes!$A$2:$A$127, 0))*INDEX(Unit_Grades!$B$2:$B$7, MATCH(F1317, Unit_Grades!$A$2:$A$7, 0))*INDEX(Unit_Paths!$D$2:$D$4, MATCH(E1317, Unit_Paths!$A$2:$A$4, 0)),0)</f>
        <v>621</v>
      </c>
      <c r="K1317" s="6" t="n">
        <f aca="false">ROUND(INDEX(Archetypes!$H$2:$H$127, MATCH(D1317, Archetypes!$A$2:$A$127, 0))*INDEX(Unit_Paths!$E$2:$E$4, MATCH(E1317, Unit_Paths!$A$2:$A$4, 0)),1)</f>
        <v>24</v>
      </c>
      <c r="L1317" s="6" t="n">
        <f aca="false">ROUND(INDEX(Archetypes!$I$2:$I$127, MATCH(D1317, Archetypes!$A$2:$A$127, 0))*INDEX(Unit_Grades!$C$2:$C$7, MATCH(F1317, Unit_Grades!$A$2:$A$7, 0)),1)</f>
        <v>32.5</v>
      </c>
      <c r="M1317" s="6" t="n">
        <f aca="false">ROUND(INDEX(Archetypes!$J$2:$J$127, MATCH(D1317, Archetypes!$A$2:$A$127, 0))*INDEX(Unit_Grades!$D$2:$D$7, MATCH(F1317, Unit_Grades!$A$2:$A$7, 0)),1)</f>
        <v>15.8</v>
      </c>
      <c r="N1317" s="6" t="n">
        <f aca="false">ROUND(M1317/24,2)</f>
        <v>0.66</v>
      </c>
    </row>
    <row r="1318" customFormat="false" ht="15" hidden="false" customHeight="true" outlineLevel="0" collapsed="false">
      <c r="A1318" s="6" t="n">
        <v>5</v>
      </c>
      <c r="B1318" s="6" t="s">
        <v>2812</v>
      </c>
      <c r="C1318" s="6" t="s">
        <v>1419</v>
      </c>
      <c r="D1318" s="6" t="str">
        <f aca="false">A1318&amp;"|"&amp;C1318</f>
        <v>5|Powered Infantry</v>
      </c>
      <c r="E1318" s="6" t="s">
        <v>1556</v>
      </c>
      <c r="F1318" s="6" t="s">
        <v>1542</v>
      </c>
      <c r="G1318" s="6" t="str">
        <f aca="false">INDEX(Archetypes!$D$2:$D$127, MATCH(D1318, Archetypes!$A$2:$A$127, 0))</f>
        <v>Elite Shock</v>
      </c>
      <c r="H1318" s="6" t="n">
        <f aca="false">ROUND(INDEX(Archetypes!$E$2:$E$127, MATCH(D1318, Archetypes!$A$2:$A$127, 0))*INDEX(Unit_Grades!$B$2:$B$7, MATCH(F1318, Unit_Grades!$A$2:$A$7, 0))*INDEX(Unit_Paths!$B$2:$B$4, MATCH(E1318, Unit_Paths!$A$2:$A$4, 0)),1)</f>
        <v>396</v>
      </c>
      <c r="I1318" s="6" t="n">
        <f aca="false">ROUND(INDEX(Archetypes!$F$2:$F$127, MATCH(D1318, Archetypes!$A$2:$A$127, 0))*INDEX(Unit_Grades!$B$2:$B$7, MATCH(F1318, Unit_Grades!$A$2:$A$7, 0))*INDEX(Unit_Paths!$C$2:$C$4, MATCH(E1318, Unit_Paths!$A$2:$A$4, 0)),1)</f>
        <v>270</v>
      </c>
      <c r="J1318" s="6" t="n">
        <f aca="false">ROUND(INDEX(Archetypes!$G$2:$G$127, MATCH(D1318, Archetypes!$A$2:$A$127, 0))*INDEX(Unit_Grades!$B$2:$B$7, MATCH(F1318, Unit_Grades!$A$2:$A$7, 0))*INDEX(Unit_Paths!$D$2:$D$4, MATCH(E1318, Unit_Paths!$A$2:$A$4, 0)),0)</f>
        <v>828</v>
      </c>
      <c r="K1318" s="6" t="n">
        <f aca="false">ROUND(INDEX(Archetypes!$H$2:$H$127, MATCH(D1318, Archetypes!$A$2:$A$127, 0))*INDEX(Unit_Paths!$E$2:$E$4, MATCH(E1318, Unit_Paths!$A$2:$A$4, 0)),1)</f>
        <v>24</v>
      </c>
      <c r="L1318" s="6" t="n">
        <f aca="false">ROUND(INDEX(Archetypes!$I$2:$I$127, MATCH(D1318, Archetypes!$A$2:$A$127, 0))*INDEX(Unit_Grades!$C$2:$C$7, MATCH(F1318, Unit_Grades!$A$2:$A$7, 0)),1)</f>
        <v>41.6</v>
      </c>
      <c r="M1318" s="6" t="n">
        <f aca="false">ROUND(INDEX(Archetypes!$J$2:$J$127, MATCH(D1318, Archetypes!$A$2:$A$127, 0))*INDEX(Unit_Grades!$D$2:$D$7, MATCH(F1318, Unit_Grades!$A$2:$A$7, 0)),1)</f>
        <v>26.4</v>
      </c>
      <c r="N1318" s="6" t="n">
        <f aca="false">ROUND(M1318/24,2)</f>
        <v>1.1</v>
      </c>
    </row>
    <row r="1319" customFormat="false" ht="15" hidden="false" customHeight="true" outlineLevel="0" collapsed="false">
      <c r="A1319" s="6" t="n">
        <v>5</v>
      </c>
      <c r="B1319" s="6" t="s">
        <v>2813</v>
      </c>
      <c r="C1319" s="6" t="s">
        <v>1419</v>
      </c>
      <c r="D1319" s="6" t="str">
        <f aca="false">A1319&amp;"|"&amp;C1319</f>
        <v>5|Powered Infantry</v>
      </c>
      <c r="E1319" s="6" t="s">
        <v>1556</v>
      </c>
      <c r="F1319" s="6" t="s">
        <v>1544</v>
      </c>
      <c r="G1319" s="6" t="str">
        <f aca="false">INDEX(Archetypes!$D$2:$D$127, MATCH(D1319, Archetypes!$A$2:$A$127, 0))</f>
        <v>Elite Shock</v>
      </c>
      <c r="H1319" s="6" t="n">
        <f aca="false">ROUND(INDEX(Archetypes!$E$2:$E$127, MATCH(D1319, Archetypes!$A$2:$A$127, 0))*INDEX(Unit_Grades!$B$2:$B$7, MATCH(F1319, Unit_Grades!$A$2:$A$7, 0))*INDEX(Unit_Paths!$B$2:$B$4, MATCH(E1319, Unit_Paths!$A$2:$A$4, 0)),1)</f>
        <v>528</v>
      </c>
      <c r="I1319" s="6" t="n">
        <f aca="false">ROUND(INDEX(Archetypes!$F$2:$F$127, MATCH(D1319, Archetypes!$A$2:$A$127, 0))*INDEX(Unit_Grades!$B$2:$B$7, MATCH(F1319, Unit_Grades!$A$2:$A$7, 0))*INDEX(Unit_Paths!$C$2:$C$4, MATCH(E1319, Unit_Paths!$A$2:$A$4, 0)),1)</f>
        <v>360</v>
      </c>
      <c r="J1319" s="6" t="n">
        <f aca="false">ROUND(INDEX(Archetypes!$G$2:$G$127, MATCH(D1319, Archetypes!$A$2:$A$127, 0))*INDEX(Unit_Grades!$B$2:$B$7, MATCH(F1319, Unit_Grades!$A$2:$A$7, 0))*INDEX(Unit_Paths!$D$2:$D$4, MATCH(E1319, Unit_Paths!$A$2:$A$4, 0)),0)</f>
        <v>1104</v>
      </c>
      <c r="K1319" s="6" t="n">
        <f aca="false">ROUND(INDEX(Archetypes!$H$2:$H$127, MATCH(D1319, Archetypes!$A$2:$A$127, 0))*INDEX(Unit_Paths!$E$2:$E$4, MATCH(E1319, Unit_Paths!$A$2:$A$4, 0)),1)</f>
        <v>24</v>
      </c>
      <c r="L1319" s="6" t="n">
        <f aca="false">ROUND(INDEX(Archetypes!$I$2:$I$127, MATCH(D1319, Archetypes!$A$2:$A$127, 0))*INDEX(Unit_Grades!$C$2:$C$7, MATCH(F1319, Unit_Grades!$A$2:$A$7, 0)),1)</f>
        <v>54.6</v>
      </c>
      <c r="M1319" s="6" t="n">
        <f aca="false">ROUND(INDEX(Archetypes!$J$2:$J$127, MATCH(D1319, Archetypes!$A$2:$A$127, 0))*INDEX(Unit_Grades!$D$2:$D$7, MATCH(F1319, Unit_Grades!$A$2:$A$7, 0)),1)</f>
        <v>42.2</v>
      </c>
      <c r="N1319" s="6" t="n">
        <f aca="false">ROUND(M1319/24,2)</f>
        <v>1.76</v>
      </c>
    </row>
    <row r="1320" customFormat="false" ht="15" hidden="false" customHeight="true" outlineLevel="0" collapsed="false">
      <c r="A1320" s="6" t="n">
        <v>5</v>
      </c>
      <c r="B1320" s="6" t="s">
        <v>2814</v>
      </c>
      <c r="C1320" s="6" t="s">
        <v>1419</v>
      </c>
      <c r="D1320" s="6" t="str">
        <f aca="false">A1320&amp;"|"&amp;C1320</f>
        <v>5|Powered Infantry</v>
      </c>
      <c r="E1320" s="6" t="s">
        <v>1556</v>
      </c>
      <c r="F1320" s="6" t="s">
        <v>1546</v>
      </c>
      <c r="G1320" s="6" t="str">
        <f aca="false">INDEX(Archetypes!$D$2:$D$127, MATCH(D1320, Archetypes!$A$2:$A$127, 0))</f>
        <v>Elite Shock</v>
      </c>
      <c r="H1320" s="6" t="n">
        <f aca="false">ROUND(INDEX(Archetypes!$E$2:$E$127, MATCH(D1320, Archetypes!$A$2:$A$127, 0))*INDEX(Unit_Grades!$B$2:$B$7, MATCH(F1320, Unit_Grades!$A$2:$A$7, 0))*INDEX(Unit_Paths!$B$2:$B$4, MATCH(E1320, Unit_Paths!$A$2:$A$4, 0)),1)</f>
        <v>704</v>
      </c>
      <c r="I1320" s="6" t="n">
        <f aca="false">ROUND(INDEX(Archetypes!$F$2:$F$127, MATCH(D1320, Archetypes!$A$2:$A$127, 0))*INDEX(Unit_Grades!$B$2:$B$7, MATCH(F1320, Unit_Grades!$A$2:$A$7, 0))*INDEX(Unit_Paths!$C$2:$C$4, MATCH(E1320, Unit_Paths!$A$2:$A$4, 0)),1)</f>
        <v>480</v>
      </c>
      <c r="J1320" s="6" t="n">
        <f aca="false">ROUND(INDEX(Archetypes!$G$2:$G$127, MATCH(D1320, Archetypes!$A$2:$A$127, 0))*INDEX(Unit_Grades!$B$2:$B$7, MATCH(F1320, Unit_Grades!$A$2:$A$7, 0))*INDEX(Unit_Paths!$D$2:$D$4, MATCH(E1320, Unit_Paths!$A$2:$A$4, 0)),0)</f>
        <v>1472</v>
      </c>
      <c r="K1320" s="6" t="n">
        <f aca="false">ROUND(INDEX(Archetypes!$H$2:$H$127, MATCH(D1320, Archetypes!$A$2:$A$127, 0))*INDEX(Unit_Paths!$E$2:$E$4, MATCH(E1320, Unit_Paths!$A$2:$A$4, 0)),1)</f>
        <v>24</v>
      </c>
      <c r="L1320" s="6" t="n">
        <f aca="false">ROUND(INDEX(Archetypes!$I$2:$I$127, MATCH(D1320, Archetypes!$A$2:$A$127, 0))*INDEX(Unit_Grades!$C$2:$C$7, MATCH(F1320, Unit_Grades!$A$2:$A$7, 0)),1)</f>
        <v>72.8</v>
      </c>
      <c r="M1320" s="6" t="n">
        <f aca="false">ROUND(INDEX(Archetypes!$J$2:$J$127, MATCH(D1320, Archetypes!$A$2:$A$127, 0))*INDEX(Unit_Grades!$D$2:$D$7, MATCH(F1320, Unit_Grades!$A$2:$A$7, 0)),1)</f>
        <v>73.9</v>
      </c>
      <c r="N1320" s="6" t="n">
        <f aca="false">ROUND(M1320/24,2)</f>
        <v>3.08</v>
      </c>
    </row>
    <row r="1321" customFormat="false" ht="15" hidden="false" customHeight="true" outlineLevel="0" collapsed="false">
      <c r="A1321" s="6" t="n">
        <v>5</v>
      </c>
      <c r="B1321" s="6" t="s">
        <v>2815</v>
      </c>
      <c r="C1321" s="6" t="s">
        <v>1419</v>
      </c>
      <c r="D1321" s="6" t="str">
        <f aca="false">A1321&amp;"|"&amp;C1321</f>
        <v>5|Powered Infantry</v>
      </c>
      <c r="E1321" s="6" t="s">
        <v>1556</v>
      </c>
      <c r="F1321" s="6" t="s">
        <v>1548</v>
      </c>
      <c r="G1321" s="6" t="str">
        <f aca="false">INDEX(Archetypes!$D$2:$D$127, MATCH(D1321, Archetypes!$A$2:$A$127, 0))</f>
        <v>Elite Shock</v>
      </c>
      <c r="H1321" s="6" t="n">
        <f aca="false">ROUND(INDEX(Archetypes!$E$2:$E$127, MATCH(D1321, Archetypes!$A$2:$A$127, 0))*INDEX(Unit_Grades!$B$2:$B$7, MATCH(F1321, Unit_Grades!$A$2:$A$7, 0))*INDEX(Unit_Paths!$B$2:$B$4, MATCH(E1321, Unit_Paths!$A$2:$A$4, 0)),1)</f>
        <v>924</v>
      </c>
      <c r="I1321" s="6" t="n">
        <f aca="false">ROUND(INDEX(Archetypes!$F$2:$F$127, MATCH(D1321, Archetypes!$A$2:$A$127, 0))*INDEX(Unit_Grades!$B$2:$B$7, MATCH(F1321, Unit_Grades!$A$2:$A$7, 0))*INDEX(Unit_Paths!$C$2:$C$4, MATCH(E1321, Unit_Paths!$A$2:$A$4, 0)),1)</f>
        <v>630</v>
      </c>
      <c r="J1321" s="6" t="n">
        <f aca="false">ROUND(INDEX(Archetypes!$G$2:$G$127, MATCH(D1321, Archetypes!$A$2:$A$127, 0))*INDEX(Unit_Grades!$B$2:$B$7, MATCH(F1321, Unit_Grades!$A$2:$A$7, 0))*INDEX(Unit_Paths!$D$2:$D$4, MATCH(E1321, Unit_Paths!$A$2:$A$4, 0)),0)</f>
        <v>1932</v>
      </c>
      <c r="K1321" s="6" t="n">
        <f aca="false">ROUND(INDEX(Archetypes!$H$2:$H$127, MATCH(D1321, Archetypes!$A$2:$A$127, 0))*INDEX(Unit_Paths!$E$2:$E$4, MATCH(E1321, Unit_Paths!$A$2:$A$4, 0)),1)</f>
        <v>24</v>
      </c>
      <c r="L1321" s="6" t="n">
        <f aca="false">ROUND(INDEX(Archetypes!$I$2:$I$127, MATCH(D1321, Archetypes!$A$2:$A$127, 0))*INDEX(Unit_Grades!$C$2:$C$7, MATCH(F1321, Unit_Grades!$A$2:$A$7, 0)),1)</f>
        <v>96.2</v>
      </c>
      <c r="M1321" s="6" t="n">
        <f aca="false">ROUND(INDEX(Archetypes!$J$2:$J$127, MATCH(D1321, Archetypes!$A$2:$A$127, 0))*INDEX(Unit_Grades!$D$2:$D$7, MATCH(F1321, Unit_Grades!$A$2:$A$7, 0)),1)</f>
        <v>126.6</v>
      </c>
      <c r="N1321" s="6" t="n">
        <f aca="false">ROUND(M1321/24,2)</f>
        <v>5.28</v>
      </c>
    </row>
    <row r="1322" customFormat="false" ht="15" hidden="false" customHeight="true" outlineLevel="0" collapsed="false">
      <c r="A1322" s="6" t="n">
        <v>5</v>
      </c>
      <c r="B1322" s="6" t="s">
        <v>2816</v>
      </c>
      <c r="C1322" s="6" t="s">
        <v>1419</v>
      </c>
      <c r="D1322" s="6" t="str">
        <f aca="false">A1322&amp;"|"&amp;C1322</f>
        <v>5|Powered Infantry</v>
      </c>
      <c r="E1322" s="6" t="s">
        <v>1558</v>
      </c>
      <c r="F1322" s="6" t="s">
        <v>1538</v>
      </c>
      <c r="G1322" s="6" t="str">
        <f aca="false">INDEX(Archetypes!$D$2:$D$127, MATCH(D1322, Archetypes!$A$2:$A$127, 0))</f>
        <v>Elite Shock</v>
      </c>
      <c r="H1322" s="6" t="n">
        <f aca="false">ROUND(INDEX(Archetypes!$E$2:$E$127, MATCH(D1322, Archetypes!$A$2:$A$127, 0))*INDEX(Unit_Grades!$B$2:$B$7, MATCH(F1322, Unit_Grades!$A$2:$A$7, 0))*INDEX(Unit_Paths!$B$2:$B$4, MATCH(E1322, Unit_Paths!$A$2:$A$4, 0)),1)</f>
        <v>264</v>
      </c>
      <c r="I1322" s="6" t="n">
        <f aca="false">ROUND(INDEX(Archetypes!$F$2:$F$127, MATCH(D1322, Archetypes!$A$2:$A$127, 0))*INDEX(Unit_Grades!$B$2:$B$7, MATCH(F1322, Unit_Grades!$A$2:$A$7, 0))*INDEX(Unit_Paths!$C$2:$C$4, MATCH(E1322, Unit_Paths!$A$2:$A$4, 0)),1)</f>
        <v>127.5</v>
      </c>
      <c r="J1322" s="6" t="n">
        <f aca="false">ROUND(INDEX(Archetypes!$G$2:$G$127, MATCH(D1322, Archetypes!$A$2:$A$127, 0))*INDEX(Unit_Grades!$B$2:$B$7, MATCH(F1322, Unit_Grades!$A$2:$A$7, 0))*INDEX(Unit_Paths!$D$2:$D$4, MATCH(E1322, Unit_Paths!$A$2:$A$4, 0)),0)</f>
        <v>437</v>
      </c>
      <c r="K1322" s="6" t="n">
        <f aca="false">ROUND(INDEX(Archetypes!$H$2:$H$127, MATCH(D1322, Archetypes!$A$2:$A$127, 0))*INDEX(Unit_Paths!$E$2:$E$4, MATCH(E1322, Unit_Paths!$A$2:$A$4, 0)),1)</f>
        <v>25.2</v>
      </c>
      <c r="L1322" s="6" t="n">
        <f aca="false">ROUND(INDEX(Archetypes!$I$2:$I$127, MATCH(D1322, Archetypes!$A$2:$A$127, 0))*INDEX(Unit_Grades!$C$2:$C$7, MATCH(F1322, Unit_Grades!$A$2:$A$7, 0)),1)</f>
        <v>26</v>
      </c>
      <c r="M1322" s="6" t="n">
        <f aca="false">ROUND(INDEX(Archetypes!$J$2:$J$127, MATCH(D1322, Archetypes!$A$2:$A$127, 0))*INDEX(Unit_Grades!$D$2:$D$7, MATCH(F1322, Unit_Grades!$A$2:$A$7, 0)),1)</f>
        <v>10.6</v>
      </c>
      <c r="N1322" s="6" t="n">
        <f aca="false">ROUND(M1322/24,2)</f>
        <v>0.44</v>
      </c>
    </row>
    <row r="1323" customFormat="false" ht="15" hidden="false" customHeight="true" outlineLevel="0" collapsed="false">
      <c r="A1323" s="6" t="n">
        <v>5</v>
      </c>
      <c r="B1323" s="6" t="s">
        <v>2817</v>
      </c>
      <c r="C1323" s="6" t="s">
        <v>1419</v>
      </c>
      <c r="D1323" s="6" t="str">
        <f aca="false">A1323&amp;"|"&amp;C1323</f>
        <v>5|Powered Infantry</v>
      </c>
      <c r="E1323" s="6" t="s">
        <v>1558</v>
      </c>
      <c r="F1323" s="6" t="s">
        <v>1540</v>
      </c>
      <c r="G1323" s="6" t="str">
        <f aca="false">INDEX(Archetypes!$D$2:$D$127, MATCH(D1323, Archetypes!$A$2:$A$127, 0))</f>
        <v>Elite Shock</v>
      </c>
      <c r="H1323" s="6" t="n">
        <f aca="false">ROUND(INDEX(Archetypes!$E$2:$E$127, MATCH(D1323, Archetypes!$A$2:$A$127, 0))*INDEX(Unit_Grades!$B$2:$B$7, MATCH(F1323, Unit_Grades!$A$2:$A$7, 0))*INDEX(Unit_Paths!$B$2:$B$4, MATCH(E1323, Unit_Paths!$A$2:$A$4, 0)),1)</f>
        <v>356.4</v>
      </c>
      <c r="I1323" s="6" t="n">
        <f aca="false">ROUND(INDEX(Archetypes!$F$2:$F$127, MATCH(D1323, Archetypes!$A$2:$A$127, 0))*INDEX(Unit_Grades!$B$2:$B$7, MATCH(F1323, Unit_Grades!$A$2:$A$7, 0))*INDEX(Unit_Paths!$C$2:$C$4, MATCH(E1323, Unit_Paths!$A$2:$A$4, 0)),1)</f>
        <v>172.1</v>
      </c>
      <c r="J1323" s="6" t="n">
        <f aca="false">ROUND(INDEX(Archetypes!$G$2:$G$127, MATCH(D1323, Archetypes!$A$2:$A$127, 0))*INDEX(Unit_Grades!$B$2:$B$7, MATCH(F1323, Unit_Grades!$A$2:$A$7, 0))*INDEX(Unit_Paths!$D$2:$D$4, MATCH(E1323, Unit_Paths!$A$2:$A$4, 0)),0)</f>
        <v>590</v>
      </c>
      <c r="K1323" s="6" t="n">
        <f aca="false">ROUND(INDEX(Archetypes!$H$2:$H$127, MATCH(D1323, Archetypes!$A$2:$A$127, 0))*INDEX(Unit_Paths!$E$2:$E$4, MATCH(E1323, Unit_Paths!$A$2:$A$4, 0)),1)</f>
        <v>25.2</v>
      </c>
      <c r="L1323" s="6" t="n">
        <f aca="false">ROUND(INDEX(Archetypes!$I$2:$I$127, MATCH(D1323, Archetypes!$A$2:$A$127, 0))*INDEX(Unit_Grades!$C$2:$C$7, MATCH(F1323, Unit_Grades!$A$2:$A$7, 0)),1)</f>
        <v>32.5</v>
      </c>
      <c r="M1323" s="6" t="n">
        <f aca="false">ROUND(INDEX(Archetypes!$J$2:$J$127, MATCH(D1323, Archetypes!$A$2:$A$127, 0))*INDEX(Unit_Grades!$D$2:$D$7, MATCH(F1323, Unit_Grades!$A$2:$A$7, 0)),1)</f>
        <v>15.8</v>
      </c>
      <c r="N1323" s="6" t="n">
        <f aca="false">ROUND(M1323/24,2)</f>
        <v>0.66</v>
      </c>
    </row>
    <row r="1324" customFormat="false" ht="15" hidden="false" customHeight="true" outlineLevel="0" collapsed="false">
      <c r="A1324" s="6" t="n">
        <v>5</v>
      </c>
      <c r="B1324" s="6" t="s">
        <v>2818</v>
      </c>
      <c r="C1324" s="6" t="s">
        <v>1419</v>
      </c>
      <c r="D1324" s="6" t="str">
        <f aca="false">A1324&amp;"|"&amp;C1324</f>
        <v>5|Powered Infantry</v>
      </c>
      <c r="E1324" s="6" t="s">
        <v>1558</v>
      </c>
      <c r="F1324" s="6" t="s">
        <v>1542</v>
      </c>
      <c r="G1324" s="6" t="str">
        <f aca="false">INDEX(Archetypes!$D$2:$D$127, MATCH(D1324, Archetypes!$A$2:$A$127, 0))</f>
        <v>Elite Shock</v>
      </c>
      <c r="H1324" s="6" t="n">
        <f aca="false">ROUND(INDEX(Archetypes!$E$2:$E$127, MATCH(D1324, Archetypes!$A$2:$A$127, 0))*INDEX(Unit_Grades!$B$2:$B$7, MATCH(F1324, Unit_Grades!$A$2:$A$7, 0))*INDEX(Unit_Paths!$B$2:$B$4, MATCH(E1324, Unit_Paths!$A$2:$A$4, 0)),1)</f>
        <v>475.2</v>
      </c>
      <c r="I1324" s="6" t="n">
        <f aca="false">ROUND(INDEX(Archetypes!$F$2:$F$127, MATCH(D1324, Archetypes!$A$2:$A$127, 0))*INDEX(Unit_Grades!$B$2:$B$7, MATCH(F1324, Unit_Grades!$A$2:$A$7, 0))*INDEX(Unit_Paths!$C$2:$C$4, MATCH(E1324, Unit_Paths!$A$2:$A$4, 0)),1)</f>
        <v>229.5</v>
      </c>
      <c r="J1324" s="6" t="n">
        <f aca="false">ROUND(INDEX(Archetypes!$G$2:$G$127, MATCH(D1324, Archetypes!$A$2:$A$127, 0))*INDEX(Unit_Grades!$B$2:$B$7, MATCH(F1324, Unit_Grades!$A$2:$A$7, 0))*INDEX(Unit_Paths!$D$2:$D$4, MATCH(E1324, Unit_Paths!$A$2:$A$4, 0)),0)</f>
        <v>787</v>
      </c>
      <c r="K1324" s="6" t="n">
        <f aca="false">ROUND(INDEX(Archetypes!$H$2:$H$127, MATCH(D1324, Archetypes!$A$2:$A$127, 0))*INDEX(Unit_Paths!$E$2:$E$4, MATCH(E1324, Unit_Paths!$A$2:$A$4, 0)),1)</f>
        <v>25.2</v>
      </c>
      <c r="L1324" s="6" t="n">
        <f aca="false">ROUND(INDEX(Archetypes!$I$2:$I$127, MATCH(D1324, Archetypes!$A$2:$A$127, 0))*INDEX(Unit_Grades!$C$2:$C$7, MATCH(F1324, Unit_Grades!$A$2:$A$7, 0)),1)</f>
        <v>41.6</v>
      </c>
      <c r="M1324" s="6" t="n">
        <f aca="false">ROUND(INDEX(Archetypes!$J$2:$J$127, MATCH(D1324, Archetypes!$A$2:$A$127, 0))*INDEX(Unit_Grades!$D$2:$D$7, MATCH(F1324, Unit_Grades!$A$2:$A$7, 0)),1)</f>
        <v>26.4</v>
      </c>
      <c r="N1324" s="6" t="n">
        <f aca="false">ROUND(M1324/24,2)</f>
        <v>1.1</v>
      </c>
    </row>
    <row r="1325" customFormat="false" ht="15" hidden="false" customHeight="true" outlineLevel="0" collapsed="false">
      <c r="A1325" s="6" t="n">
        <v>5</v>
      </c>
      <c r="B1325" s="6" t="s">
        <v>2819</v>
      </c>
      <c r="C1325" s="6" t="s">
        <v>1419</v>
      </c>
      <c r="D1325" s="6" t="str">
        <f aca="false">A1325&amp;"|"&amp;C1325</f>
        <v>5|Powered Infantry</v>
      </c>
      <c r="E1325" s="6" t="s">
        <v>1558</v>
      </c>
      <c r="F1325" s="6" t="s">
        <v>1544</v>
      </c>
      <c r="G1325" s="6" t="str">
        <f aca="false">INDEX(Archetypes!$D$2:$D$127, MATCH(D1325, Archetypes!$A$2:$A$127, 0))</f>
        <v>Elite Shock</v>
      </c>
      <c r="H1325" s="6" t="n">
        <f aca="false">ROUND(INDEX(Archetypes!$E$2:$E$127, MATCH(D1325, Archetypes!$A$2:$A$127, 0))*INDEX(Unit_Grades!$B$2:$B$7, MATCH(F1325, Unit_Grades!$A$2:$A$7, 0))*INDEX(Unit_Paths!$B$2:$B$4, MATCH(E1325, Unit_Paths!$A$2:$A$4, 0)),1)</f>
        <v>633.6</v>
      </c>
      <c r="I1325" s="6" t="n">
        <f aca="false">ROUND(INDEX(Archetypes!$F$2:$F$127, MATCH(D1325, Archetypes!$A$2:$A$127, 0))*INDEX(Unit_Grades!$B$2:$B$7, MATCH(F1325, Unit_Grades!$A$2:$A$7, 0))*INDEX(Unit_Paths!$C$2:$C$4, MATCH(E1325, Unit_Paths!$A$2:$A$4, 0)),1)</f>
        <v>306</v>
      </c>
      <c r="J1325" s="6" t="n">
        <f aca="false">ROUND(INDEX(Archetypes!$G$2:$G$127, MATCH(D1325, Archetypes!$A$2:$A$127, 0))*INDEX(Unit_Grades!$B$2:$B$7, MATCH(F1325, Unit_Grades!$A$2:$A$7, 0))*INDEX(Unit_Paths!$D$2:$D$4, MATCH(E1325, Unit_Paths!$A$2:$A$4, 0)),0)</f>
        <v>1049</v>
      </c>
      <c r="K1325" s="6" t="n">
        <f aca="false">ROUND(INDEX(Archetypes!$H$2:$H$127, MATCH(D1325, Archetypes!$A$2:$A$127, 0))*INDEX(Unit_Paths!$E$2:$E$4, MATCH(E1325, Unit_Paths!$A$2:$A$4, 0)),1)</f>
        <v>25.2</v>
      </c>
      <c r="L1325" s="6" t="n">
        <f aca="false">ROUND(INDEX(Archetypes!$I$2:$I$127, MATCH(D1325, Archetypes!$A$2:$A$127, 0))*INDEX(Unit_Grades!$C$2:$C$7, MATCH(F1325, Unit_Grades!$A$2:$A$7, 0)),1)</f>
        <v>54.6</v>
      </c>
      <c r="M1325" s="6" t="n">
        <f aca="false">ROUND(INDEX(Archetypes!$J$2:$J$127, MATCH(D1325, Archetypes!$A$2:$A$127, 0))*INDEX(Unit_Grades!$D$2:$D$7, MATCH(F1325, Unit_Grades!$A$2:$A$7, 0)),1)</f>
        <v>42.2</v>
      </c>
      <c r="N1325" s="6" t="n">
        <f aca="false">ROUND(M1325/24,2)</f>
        <v>1.76</v>
      </c>
    </row>
    <row r="1326" customFormat="false" ht="15" hidden="false" customHeight="true" outlineLevel="0" collapsed="false">
      <c r="A1326" s="6" t="n">
        <v>5</v>
      </c>
      <c r="B1326" s="6" t="s">
        <v>2820</v>
      </c>
      <c r="C1326" s="6" t="s">
        <v>1419</v>
      </c>
      <c r="D1326" s="6" t="str">
        <f aca="false">A1326&amp;"|"&amp;C1326</f>
        <v>5|Powered Infantry</v>
      </c>
      <c r="E1326" s="6" t="s">
        <v>1558</v>
      </c>
      <c r="F1326" s="6" t="s">
        <v>1546</v>
      </c>
      <c r="G1326" s="6" t="str">
        <f aca="false">INDEX(Archetypes!$D$2:$D$127, MATCH(D1326, Archetypes!$A$2:$A$127, 0))</f>
        <v>Elite Shock</v>
      </c>
      <c r="H1326" s="6" t="n">
        <f aca="false">ROUND(INDEX(Archetypes!$E$2:$E$127, MATCH(D1326, Archetypes!$A$2:$A$127, 0))*INDEX(Unit_Grades!$B$2:$B$7, MATCH(F1326, Unit_Grades!$A$2:$A$7, 0))*INDEX(Unit_Paths!$B$2:$B$4, MATCH(E1326, Unit_Paths!$A$2:$A$4, 0)),1)</f>
        <v>844.8</v>
      </c>
      <c r="I1326" s="6" t="n">
        <f aca="false">ROUND(INDEX(Archetypes!$F$2:$F$127, MATCH(D1326, Archetypes!$A$2:$A$127, 0))*INDEX(Unit_Grades!$B$2:$B$7, MATCH(F1326, Unit_Grades!$A$2:$A$7, 0))*INDEX(Unit_Paths!$C$2:$C$4, MATCH(E1326, Unit_Paths!$A$2:$A$4, 0)),1)</f>
        <v>408</v>
      </c>
      <c r="J1326" s="6" t="n">
        <f aca="false">ROUND(INDEX(Archetypes!$G$2:$G$127, MATCH(D1326, Archetypes!$A$2:$A$127, 0))*INDEX(Unit_Grades!$B$2:$B$7, MATCH(F1326, Unit_Grades!$A$2:$A$7, 0))*INDEX(Unit_Paths!$D$2:$D$4, MATCH(E1326, Unit_Paths!$A$2:$A$4, 0)),0)</f>
        <v>1398</v>
      </c>
      <c r="K1326" s="6" t="n">
        <f aca="false">ROUND(INDEX(Archetypes!$H$2:$H$127, MATCH(D1326, Archetypes!$A$2:$A$127, 0))*INDEX(Unit_Paths!$E$2:$E$4, MATCH(E1326, Unit_Paths!$A$2:$A$4, 0)),1)</f>
        <v>25.2</v>
      </c>
      <c r="L1326" s="6" t="n">
        <f aca="false">ROUND(INDEX(Archetypes!$I$2:$I$127, MATCH(D1326, Archetypes!$A$2:$A$127, 0))*INDEX(Unit_Grades!$C$2:$C$7, MATCH(F1326, Unit_Grades!$A$2:$A$7, 0)),1)</f>
        <v>72.8</v>
      </c>
      <c r="M1326" s="6" t="n">
        <f aca="false">ROUND(INDEX(Archetypes!$J$2:$J$127, MATCH(D1326, Archetypes!$A$2:$A$127, 0))*INDEX(Unit_Grades!$D$2:$D$7, MATCH(F1326, Unit_Grades!$A$2:$A$7, 0)),1)</f>
        <v>73.9</v>
      </c>
      <c r="N1326" s="6" t="n">
        <f aca="false">ROUND(M1326/24,2)</f>
        <v>3.08</v>
      </c>
    </row>
    <row r="1327" customFormat="false" ht="15" hidden="false" customHeight="true" outlineLevel="0" collapsed="false">
      <c r="A1327" s="6" t="n">
        <v>5</v>
      </c>
      <c r="B1327" s="6" t="s">
        <v>2821</v>
      </c>
      <c r="C1327" s="6" t="s">
        <v>1419</v>
      </c>
      <c r="D1327" s="6" t="str">
        <f aca="false">A1327&amp;"|"&amp;C1327</f>
        <v>5|Powered Infantry</v>
      </c>
      <c r="E1327" s="6" t="s">
        <v>1558</v>
      </c>
      <c r="F1327" s="6" t="s">
        <v>1548</v>
      </c>
      <c r="G1327" s="6" t="str">
        <f aca="false">INDEX(Archetypes!$D$2:$D$127, MATCH(D1327, Archetypes!$A$2:$A$127, 0))</f>
        <v>Elite Shock</v>
      </c>
      <c r="H1327" s="6" t="n">
        <f aca="false">ROUND(INDEX(Archetypes!$E$2:$E$127, MATCH(D1327, Archetypes!$A$2:$A$127, 0))*INDEX(Unit_Grades!$B$2:$B$7, MATCH(F1327, Unit_Grades!$A$2:$A$7, 0))*INDEX(Unit_Paths!$B$2:$B$4, MATCH(E1327, Unit_Paths!$A$2:$A$4, 0)),1)</f>
        <v>1108.8</v>
      </c>
      <c r="I1327" s="6" t="n">
        <f aca="false">ROUND(INDEX(Archetypes!$F$2:$F$127, MATCH(D1327, Archetypes!$A$2:$A$127, 0))*INDEX(Unit_Grades!$B$2:$B$7, MATCH(F1327, Unit_Grades!$A$2:$A$7, 0))*INDEX(Unit_Paths!$C$2:$C$4, MATCH(E1327, Unit_Paths!$A$2:$A$4, 0)),1)</f>
        <v>535.5</v>
      </c>
      <c r="J1327" s="6" t="n">
        <f aca="false">ROUND(INDEX(Archetypes!$G$2:$G$127, MATCH(D1327, Archetypes!$A$2:$A$127, 0))*INDEX(Unit_Grades!$B$2:$B$7, MATCH(F1327, Unit_Grades!$A$2:$A$7, 0))*INDEX(Unit_Paths!$D$2:$D$4, MATCH(E1327, Unit_Paths!$A$2:$A$4, 0)),0)</f>
        <v>1835</v>
      </c>
      <c r="K1327" s="6" t="n">
        <f aca="false">ROUND(INDEX(Archetypes!$H$2:$H$127, MATCH(D1327, Archetypes!$A$2:$A$127, 0))*INDEX(Unit_Paths!$E$2:$E$4, MATCH(E1327, Unit_Paths!$A$2:$A$4, 0)),1)</f>
        <v>25.2</v>
      </c>
      <c r="L1327" s="6" t="n">
        <f aca="false">ROUND(INDEX(Archetypes!$I$2:$I$127, MATCH(D1327, Archetypes!$A$2:$A$127, 0))*INDEX(Unit_Grades!$C$2:$C$7, MATCH(F1327, Unit_Grades!$A$2:$A$7, 0)),1)</f>
        <v>96.2</v>
      </c>
      <c r="M1327" s="6" t="n">
        <f aca="false">ROUND(INDEX(Archetypes!$J$2:$J$127, MATCH(D1327, Archetypes!$A$2:$A$127, 0))*INDEX(Unit_Grades!$D$2:$D$7, MATCH(F1327, Unit_Grades!$A$2:$A$7, 0)),1)</f>
        <v>126.6</v>
      </c>
      <c r="N1327" s="6" t="n">
        <f aca="false">ROUND(M1327/24,2)</f>
        <v>5.28</v>
      </c>
    </row>
    <row r="1328" customFormat="false" ht="15" hidden="false" customHeight="true" outlineLevel="0" collapsed="false">
      <c r="A1328" s="6" t="n">
        <v>5</v>
      </c>
      <c r="B1328" s="6" t="s">
        <v>2822</v>
      </c>
      <c r="C1328" s="6" t="s">
        <v>1419</v>
      </c>
      <c r="D1328" s="6" t="str">
        <f aca="false">A1328&amp;"|"&amp;C1328</f>
        <v>5|Powered Infantry</v>
      </c>
      <c r="E1328" s="6" t="s">
        <v>1560</v>
      </c>
      <c r="F1328" s="6" t="s">
        <v>1538</v>
      </c>
      <c r="G1328" s="6" t="str">
        <f aca="false">INDEX(Archetypes!$D$2:$D$127, MATCH(D1328, Archetypes!$A$2:$A$127, 0))</f>
        <v>Elite Shock</v>
      </c>
      <c r="H1328" s="6" t="n">
        <f aca="false">ROUND(INDEX(Archetypes!$E$2:$E$127, MATCH(D1328, Archetypes!$A$2:$A$127, 0))*INDEX(Unit_Grades!$B$2:$B$7, MATCH(F1328, Unit_Grades!$A$2:$A$7, 0))*INDEX(Unit_Paths!$B$2:$B$4, MATCH(E1328, Unit_Paths!$A$2:$A$4, 0)),1)</f>
        <v>187</v>
      </c>
      <c r="I1328" s="6" t="n">
        <f aca="false">ROUND(INDEX(Archetypes!$F$2:$F$127, MATCH(D1328, Archetypes!$A$2:$A$127, 0))*INDEX(Unit_Grades!$B$2:$B$7, MATCH(F1328, Unit_Grades!$A$2:$A$7, 0))*INDEX(Unit_Paths!$C$2:$C$4, MATCH(E1328, Unit_Paths!$A$2:$A$4, 0)),1)</f>
        <v>187.5</v>
      </c>
      <c r="J1328" s="6" t="n">
        <f aca="false">ROUND(INDEX(Archetypes!$G$2:$G$127, MATCH(D1328, Archetypes!$A$2:$A$127, 0))*INDEX(Unit_Grades!$B$2:$B$7, MATCH(F1328, Unit_Grades!$A$2:$A$7, 0))*INDEX(Unit_Paths!$D$2:$D$4, MATCH(E1328, Unit_Paths!$A$2:$A$4, 0)),0)</f>
        <v>529</v>
      </c>
      <c r="K1328" s="6" t="n">
        <f aca="false">ROUND(INDEX(Archetypes!$H$2:$H$127, MATCH(D1328, Archetypes!$A$2:$A$127, 0))*INDEX(Unit_Paths!$E$2:$E$4, MATCH(E1328, Unit_Paths!$A$2:$A$4, 0)),1)</f>
        <v>22.1</v>
      </c>
      <c r="L1328" s="6" t="n">
        <f aca="false">ROUND(INDEX(Archetypes!$I$2:$I$127, MATCH(D1328, Archetypes!$A$2:$A$127, 0))*INDEX(Unit_Grades!$C$2:$C$7, MATCH(F1328, Unit_Grades!$A$2:$A$7, 0)),1)</f>
        <v>26</v>
      </c>
      <c r="M1328" s="6" t="n">
        <f aca="false">ROUND(INDEX(Archetypes!$J$2:$J$127, MATCH(D1328, Archetypes!$A$2:$A$127, 0))*INDEX(Unit_Grades!$D$2:$D$7, MATCH(F1328, Unit_Grades!$A$2:$A$7, 0)),1)</f>
        <v>10.6</v>
      </c>
      <c r="N1328" s="6" t="n">
        <f aca="false">ROUND(M1328/24,2)</f>
        <v>0.44</v>
      </c>
    </row>
    <row r="1329" customFormat="false" ht="15" hidden="false" customHeight="true" outlineLevel="0" collapsed="false">
      <c r="A1329" s="6" t="n">
        <v>5</v>
      </c>
      <c r="B1329" s="6" t="s">
        <v>2823</v>
      </c>
      <c r="C1329" s="6" t="s">
        <v>1419</v>
      </c>
      <c r="D1329" s="6" t="str">
        <f aca="false">A1329&amp;"|"&amp;C1329</f>
        <v>5|Powered Infantry</v>
      </c>
      <c r="E1329" s="6" t="s">
        <v>1560</v>
      </c>
      <c r="F1329" s="6" t="s">
        <v>1540</v>
      </c>
      <c r="G1329" s="6" t="str">
        <f aca="false">INDEX(Archetypes!$D$2:$D$127, MATCH(D1329, Archetypes!$A$2:$A$127, 0))</f>
        <v>Elite Shock</v>
      </c>
      <c r="H1329" s="6" t="n">
        <f aca="false">ROUND(INDEX(Archetypes!$E$2:$E$127, MATCH(D1329, Archetypes!$A$2:$A$127, 0))*INDEX(Unit_Grades!$B$2:$B$7, MATCH(F1329, Unit_Grades!$A$2:$A$7, 0))*INDEX(Unit_Paths!$B$2:$B$4, MATCH(E1329, Unit_Paths!$A$2:$A$4, 0)),1)</f>
        <v>252.5</v>
      </c>
      <c r="I1329" s="6" t="n">
        <f aca="false">ROUND(INDEX(Archetypes!$F$2:$F$127, MATCH(D1329, Archetypes!$A$2:$A$127, 0))*INDEX(Unit_Grades!$B$2:$B$7, MATCH(F1329, Unit_Grades!$A$2:$A$7, 0))*INDEX(Unit_Paths!$C$2:$C$4, MATCH(E1329, Unit_Paths!$A$2:$A$4, 0)),1)</f>
        <v>253.1</v>
      </c>
      <c r="J1329" s="6" t="n">
        <f aca="false">ROUND(INDEX(Archetypes!$G$2:$G$127, MATCH(D1329, Archetypes!$A$2:$A$127, 0))*INDEX(Unit_Grades!$B$2:$B$7, MATCH(F1329, Unit_Grades!$A$2:$A$7, 0))*INDEX(Unit_Paths!$D$2:$D$4, MATCH(E1329, Unit_Paths!$A$2:$A$4, 0)),0)</f>
        <v>714</v>
      </c>
      <c r="K1329" s="6" t="n">
        <f aca="false">ROUND(INDEX(Archetypes!$H$2:$H$127, MATCH(D1329, Archetypes!$A$2:$A$127, 0))*INDEX(Unit_Paths!$E$2:$E$4, MATCH(E1329, Unit_Paths!$A$2:$A$4, 0)),1)</f>
        <v>22.1</v>
      </c>
      <c r="L1329" s="6" t="n">
        <f aca="false">ROUND(INDEX(Archetypes!$I$2:$I$127, MATCH(D1329, Archetypes!$A$2:$A$127, 0))*INDEX(Unit_Grades!$C$2:$C$7, MATCH(F1329, Unit_Grades!$A$2:$A$7, 0)),1)</f>
        <v>32.5</v>
      </c>
      <c r="M1329" s="6" t="n">
        <f aca="false">ROUND(INDEX(Archetypes!$J$2:$J$127, MATCH(D1329, Archetypes!$A$2:$A$127, 0))*INDEX(Unit_Grades!$D$2:$D$7, MATCH(F1329, Unit_Grades!$A$2:$A$7, 0)),1)</f>
        <v>15.8</v>
      </c>
      <c r="N1329" s="6" t="n">
        <f aca="false">ROUND(M1329/24,2)</f>
        <v>0.66</v>
      </c>
    </row>
    <row r="1330" customFormat="false" ht="15" hidden="false" customHeight="true" outlineLevel="0" collapsed="false">
      <c r="A1330" s="6" t="n">
        <v>5</v>
      </c>
      <c r="B1330" s="6" t="s">
        <v>2824</v>
      </c>
      <c r="C1330" s="6" t="s">
        <v>1419</v>
      </c>
      <c r="D1330" s="6" t="str">
        <f aca="false">A1330&amp;"|"&amp;C1330</f>
        <v>5|Powered Infantry</v>
      </c>
      <c r="E1330" s="6" t="s">
        <v>1560</v>
      </c>
      <c r="F1330" s="6" t="s">
        <v>1542</v>
      </c>
      <c r="G1330" s="6" t="str">
        <f aca="false">INDEX(Archetypes!$D$2:$D$127, MATCH(D1330, Archetypes!$A$2:$A$127, 0))</f>
        <v>Elite Shock</v>
      </c>
      <c r="H1330" s="6" t="n">
        <f aca="false">ROUND(INDEX(Archetypes!$E$2:$E$127, MATCH(D1330, Archetypes!$A$2:$A$127, 0))*INDEX(Unit_Grades!$B$2:$B$7, MATCH(F1330, Unit_Grades!$A$2:$A$7, 0))*INDEX(Unit_Paths!$B$2:$B$4, MATCH(E1330, Unit_Paths!$A$2:$A$4, 0)),1)</f>
        <v>336.6</v>
      </c>
      <c r="I1330" s="6" t="n">
        <f aca="false">ROUND(INDEX(Archetypes!$F$2:$F$127, MATCH(D1330, Archetypes!$A$2:$A$127, 0))*INDEX(Unit_Grades!$B$2:$B$7, MATCH(F1330, Unit_Grades!$A$2:$A$7, 0))*INDEX(Unit_Paths!$C$2:$C$4, MATCH(E1330, Unit_Paths!$A$2:$A$4, 0)),1)</f>
        <v>337.5</v>
      </c>
      <c r="J1330" s="6" t="n">
        <f aca="false">ROUND(INDEX(Archetypes!$G$2:$G$127, MATCH(D1330, Archetypes!$A$2:$A$127, 0))*INDEX(Unit_Grades!$B$2:$B$7, MATCH(F1330, Unit_Grades!$A$2:$A$7, 0))*INDEX(Unit_Paths!$D$2:$D$4, MATCH(E1330, Unit_Paths!$A$2:$A$4, 0)),0)</f>
        <v>952</v>
      </c>
      <c r="K1330" s="6" t="n">
        <f aca="false">ROUND(INDEX(Archetypes!$H$2:$H$127, MATCH(D1330, Archetypes!$A$2:$A$127, 0))*INDEX(Unit_Paths!$E$2:$E$4, MATCH(E1330, Unit_Paths!$A$2:$A$4, 0)),1)</f>
        <v>22.1</v>
      </c>
      <c r="L1330" s="6" t="n">
        <f aca="false">ROUND(INDEX(Archetypes!$I$2:$I$127, MATCH(D1330, Archetypes!$A$2:$A$127, 0))*INDEX(Unit_Grades!$C$2:$C$7, MATCH(F1330, Unit_Grades!$A$2:$A$7, 0)),1)</f>
        <v>41.6</v>
      </c>
      <c r="M1330" s="6" t="n">
        <f aca="false">ROUND(INDEX(Archetypes!$J$2:$J$127, MATCH(D1330, Archetypes!$A$2:$A$127, 0))*INDEX(Unit_Grades!$D$2:$D$7, MATCH(F1330, Unit_Grades!$A$2:$A$7, 0)),1)</f>
        <v>26.4</v>
      </c>
      <c r="N1330" s="6" t="n">
        <f aca="false">ROUND(M1330/24,2)</f>
        <v>1.1</v>
      </c>
    </row>
    <row r="1331" customFormat="false" ht="15" hidden="false" customHeight="true" outlineLevel="0" collapsed="false">
      <c r="A1331" s="6" t="n">
        <v>5</v>
      </c>
      <c r="B1331" s="6" t="s">
        <v>2825</v>
      </c>
      <c r="C1331" s="6" t="s">
        <v>1419</v>
      </c>
      <c r="D1331" s="6" t="str">
        <f aca="false">A1331&amp;"|"&amp;C1331</f>
        <v>5|Powered Infantry</v>
      </c>
      <c r="E1331" s="6" t="s">
        <v>1560</v>
      </c>
      <c r="F1331" s="6" t="s">
        <v>1544</v>
      </c>
      <c r="G1331" s="6" t="str">
        <f aca="false">INDEX(Archetypes!$D$2:$D$127, MATCH(D1331, Archetypes!$A$2:$A$127, 0))</f>
        <v>Elite Shock</v>
      </c>
      <c r="H1331" s="6" t="n">
        <f aca="false">ROUND(INDEX(Archetypes!$E$2:$E$127, MATCH(D1331, Archetypes!$A$2:$A$127, 0))*INDEX(Unit_Grades!$B$2:$B$7, MATCH(F1331, Unit_Grades!$A$2:$A$7, 0))*INDEX(Unit_Paths!$B$2:$B$4, MATCH(E1331, Unit_Paths!$A$2:$A$4, 0)),1)</f>
        <v>448.8</v>
      </c>
      <c r="I1331" s="6" t="n">
        <f aca="false">ROUND(INDEX(Archetypes!$F$2:$F$127, MATCH(D1331, Archetypes!$A$2:$A$127, 0))*INDEX(Unit_Grades!$B$2:$B$7, MATCH(F1331, Unit_Grades!$A$2:$A$7, 0))*INDEX(Unit_Paths!$C$2:$C$4, MATCH(E1331, Unit_Paths!$A$2:$A$4, 0)),1)</f>
        <v>450</v>
      </c>
      <c r="J1331" s="6" t="n">
        <f aca="false">ROUND(INDEX(Archetypes!$G$2:$G$127, MATCH(D1331, Archetypes!$A$2:$A$127, 0))*INDEX(Unit_Grades!$B$2:$B$7, MATCH(F1331, Unit_Grades!$A$2:$A$7, 0))*INDEX(Unit_Paths!$D$2:$D$4, MATCH(E1331, Unit_Paths!$A$2:$A$4, 0)),0)</f>
        <v>1270</v>
      </c>
      <c r="K1331" s="6" t="n">
        <f aca="false">ROUND(INDEX(Archetypes!$H$2:$H$127, MATCH(D1331, Archetypes!$A$2:$A$127, 0))*INDEX(Unit_Paths!$E$2:$E$4, MATCH(E1331, Unit_Paths!$A$2:$A$4, 0)),1)</f>
        <v>22.1</v>
      </c>
      <c r="L1331" s="6" t="n">
        <f aca="false">ROUND(INDEX(Archetypes!$I$2:$I$127, MATCH(D1331, Archetypes!$A$2:$A$127, 0))*INDEX(Unit_Grades!$C$2:$C$7, MATCH(F1331, Unit_Grades!$A$2:$A$7, 0)),1)</f>
        <v>54.6</v>
      </c>
      <c r="M1331" s="6" t="n">
        <f aca="false">ROUND(INDEX(Archetypes!$J$2:$J$127, MATCH(D1331, Archetypes!$A$2:$A$127, 0))*INDEX(Unit_Grades!$D$2:$D$7, MATCH(F1331, Unit_Grades!$A$2:$A$7, 0)),1)</f>
        <v>42.2</v>
      </c>
      <c r="N1331" s="6" t="n">
        <f aca="false">ROUND(M1331/24,2)</f>
        <v>1.76</v>
      </c>
    </row>
    <row r="1332" customFormat="false" ht="15" hidden="false" customHeight="true" outlineLevel="0" collapsed="false">
      <c r="A1332" s="6" t="n">
        <v>5</v>
      </c>
      <c r="B1332" s="6" t="s">
        <v>2826</v>
      </c>
      <c r="C1332" s="6" t="s">
        <v>1419</v>
      </c>
      <c r="D1332" s="6" t="str">
        <f aca="false">A1332&amp;"|"&amp;C1332</f>
        <v>5|Powered Infantry</v>
      </c>
      <c r="E1332" s="6" t="s">
        <v>1560</v>
      </c>
      <c r="F1332" s="6" t="s">
        <v>1546</v>
      </c>
      <c r="G1332" s="6" t="str">
        <f aca="false">INDEX(Archetypes!$D$2:$D$127, MATCH(D1332, Archetypes!$A$2:$A$127, 0))</f>
        <v>Elite Shock</v>
      </c>
      <c r="H1332" s="6" t="n">
        <f aca="false">ROUND(INDEX(Archetypes!$E$2:$E$127, MATCH(D1332, Archetypes!$A$2:$A$127, 0))*INDEX(Unit_Grades!$B$2:$B$7, MATCH(F1332, Unit_Grades!$A$2:$A$7, 0))*INDEX(Unit_Paths!$B$2:$B$4, MATCH(E1332, Unit_Paths!$A$2:$A$4, 0)),1)</f>
        <v>598.4</v>
      </c>
      <c r="I1332" s="6" t="n">
        <f aca="false">ROUND(INDEX(Archetypes!$F$2:$F$127, MATCH(D1332, Archetypes!$A$2:$A$127, 0))*INDEX(Unit_Grades!$B$2:$B$7, MATCH(F1332, Unit_Grades!$A$2:$A$7, 0))*INDEX(Unit_Paths!$C$2:$C$4, MATCH(E1332, Unit_Paths!$A$2:$A$4, 0)),1)</f>
        <v>600</v>
      </c>
      <c r="J1332" s="6" t="n">
        <f aca="false">ROUND(INDEX(Archetypes!$G$2:$G$127, MATCH(D1332, Archetypes!$A$2:$A$127, 0))*INDEX(Unit_Grades!$B$2:$B$7, MATCH(F1332, Unit_Grades!$A$2:$A$7, 0))*INDEX(Unit_Paths!$D$2:$D$4, MATCH(E1332, Unit_Paths!$A$2:$A$4, 0)),0)</f>
        <v>1693</v>
      </c>
      <c r="K1332" s="6" t="n">
        <f aca="false">ROUND(INDEX(Archetypes!$H$2:$H$127, MATCH(D1332, Archetypes!$A$2:$A$127, 0))*INDEX(Unit_Paths!$E$2:$E$4, MATCH(E1332, Unit_Paths!$A$2:$A$4, 0)),1)</f>
        <v>22.1</v>
      </c>
      <c r="L1332" s="6" t="n">
        <f aca="false">ROUND(INDEX(Archetypes!$I$2:$I$127, MATCH(D1332, Archetypes!$A$2:$A$127, 0))*INDEX(Unit_Grades!$C$2:$C$7, MATCH(F1332, Unit_Grades!$A$2:$A$7, 0)),1)</f>
        <v>72.8</v>
      </c>
      <c r="M1332" s="6" t="n">
        <f aca="false">ROUND(INDEX(Archetypes!$J$2:$J$127, MATCH(D1332, Archetypes!$A$2:$A$127, 0))*INDEX(Unit_Grades!$D$2:$D$7, MATCH(F1332, Unit_Grades!$A$2:$A$7, 0)),1)</f>
        <v>73.9</v>
      </c>
      <c r="N1332" s="6" t="n">
        <f aca="false">ROUND(M1332/24,2)</f>
        <v>3.08</v>
      </c>
    </row>
    <row r="1333" customFormat="false" ht="15" hidden="false" customHeight="true" outlineLevel="0" collapsed="false">
      <c r="A1333" s="6" t="n">
        <v>5</v>
      </c>
      <c r="B1333" s="6" t="s">
        <v>2827</v>
      </c>
      <c r="C1333" s="6" t="s">
        <v>1419</v>
      </c>
      <c r="D1333" s="6" t="str">
        <f aca="false">A1333&amp;"|"&amp;C1333</f>
        <v>5|Powered Infantry</v>
      </c>
      <c r="E1333" s="6" t="s">
        <v>1560</v>
      </c>
      <c r="F1333" s="6" t="s">
        <v>1548</v>
      </c>
      <c r="G1333" s="6" t="str">
        <f aca="false">INDEX(Archetypes!$D$2:$D$127, MATCH(D1333, Archetypes!$A$2:$A$127, 0))</f>
        <v>Elite Shock</v>
      </c>
      <c r="H1333" s="6" t="n">
        <f aca="false">ROUND(INDEX(Archetypes!$E$2:$E$127, MATCH(D1333, Archetypes!$A$2:$A$127, 0))*INDEX(Unit_Grades!$B$2:$B$7, MATCH(F1333, Unit_Grades!$A$2:$A$7, 0))*INDEX(Unit_Paths!$B$2:$B$4, MATCH(E1333, Unit_Paths!$A$2:$A$4, 0)),1)</f>
        <v>785.4</v>
      </c>
      <c r="I1333" s="6" t="n">
        <f aca="false">ROUND(INDEX(Archetypes!$F$2:$F$127, MATCH(D1333, Archetypes!$A$2:$A$127, 0))*INDEX(Unit_Grades!$B$2:$B$7, MATCH(F1333, Unit_Grades!$A$2:$A$7, 0))*INDEX(Unit_Paths!$C$2:$C$4, MATCH(E1333, Unit_Paths!$A$2:$A$4, 0)),1)</f>
        <v>787.5</v>
      </c>
      <c r="J1333" s="6" t="n">
        <f aca="false">ROUND(INDEX(Archetypes!$G$2:$G$127, MATCH(D1333, Archetypes!$A$2:$A$127, 0))*INDEX(Unit_Grades!$B$2:$B$7, MATCH(F1333, Unit_Grades!$A$2:$A$7, 0))*INDEX(Unit_Paths!$D$2:$D$4, MATCH(E1333, Unit_Paths!$A$2:$A$4, 0)),0)</f>
        <v>2222</v>
      </c>
      <c r="K1333" s="6" t="n">
        <f aca="false">ROUND(INDEX(Archetypes!$H$2:$H$127, MATCH(D1333, Archetypes!$A$2:$A$127, 0))*INDEX(Unit_Paths!$E$2:$E$4, MATCH(E1333, Unit_Paths!$A$2:$A$4, 0)),1)</f>
        <v>22.1</v>
      </c>
      <c r="L1333" s="6" t="n">
        <f aca="false">ROUND(INDEX(Archetypes!$I$2:$I$127, MATCH(D1333, Archetypes!$A$2:$A$127, 0))*INDEX(Unit_Grades!$C$2:$C$7, MATCH(F1333, Unit_Grades!$A$2:$A$7, 0)),1)</f>
        <v>96.2</v>
      </c>
      <c r="M1333" s="6" t="n">
        <f aca="false">ROUND(INDEX(Archetypes!$J$2:$J$127, MATCH(D1333, Archetypes!$A$2:$A$127, 0))*INDEX(Unit_Grades!$D$2:$D$7, MATCH(F1333, Unit_Grades!$A$2:$A$7, 0)),1)</f>
        <v>126.6</v>
      </c>
      <c r="N1333" s="6" t="n">
        <f aca="false">ROUND(M1333/24,2)</f>
        <v>5.28</v>
      </c>
    </row>
    <row r="1334" customFormat="false" ht="15" hidden="false" customHeight="true" outlineLevel="0" collapsed="false">
      <c r="A1334" s="6" t="n">
        <v>5</v>
      </c>
      <c r="B1334" s="6" t="s">
        <v>1421</v>
      </c>
      <c r="C1334" s="6" t="s">
        <v>1421</v>
      </c>
      <c r="D1334" s="6" t="str">
        <f aca="false">A1334&amp;"|"&amp;C1334</f>
        <v>5|Hover Armor</v>
      </c>
      <c r="E1334" s="6" t="s">
        <v>1556</v>
      </c>
      <c r="F1334" s="6" t="s">
        <v>1538</v>
      </c>
      <c r="G1334" s="6" t="str">
        <f aca="false">INDEX(Archetypes!$D$2:$D$127, MATCH(D1334, Archetypes!$A$2:$A$127, 0))</f>
        <v>Armor</v>
      </c>
      <c r="H1334" s="6" t="n">
        <f aca="false">ROUND(INDEX(Archetypes!$E$2:$E$127, MATCH(D1334, Archetypes!$A$2:$A$127, 0))*INDEX(Unit_Grades!$B$2:$B$7, MATCH(F1334, Unit_Grades!$A$2:$A$7, 0))*INDEX(Unit_Paths!$B$2:$B$4, MATCH(E1334, Unit_Paths!$A$2:$A$4, 0)),1)</f>
        <v>260</v>
      </c>
      <c r="I1334" s="6" t="n">
        <f aca="false">ROUND(INDEX(Archetypes!$F$2:$F$127, MATCH(D1334, Archetypes!$A$2:$A$127, 0))*INDEX(Unit_Grades!$B$2:$B$7, MATCH(F1334, Unit_Grades!$A$2:$A$7, 0))*INDEX(Unit_Paths!$C$2:$C$4, MATCH(E1334, Unit_Paths!$A$2:$A$4, 0)),1)</f>
        <v>180</v>
      </c>
      <c r="J1334" s="6" t="n">
        <f aca="false">ROUND(INDEX(Archetypes!$G$2:$G$127, MATCH(D1334, Archetypes!$A$2:$A$127, 0))*INDEX(Unit_Grades!$B$2:$B$7, MATCH(F1334, Unit_Grades!$A$2:$A$7, 0))*INDEX(Unit_Paths!$D$2:$D$4, MATCH(E1334, Unit_Paths!$A$2:$A$4, 0)),0)</f>
        <v>620</v>
      </c>
      <c r="K1334" s="6" t="n">
        <f aca="false">ROUND(INDEX(Archetypes!$H$2:$H$127, MATCH(D1334, Archetypes!$A$2:$A$127, 0))*INDEX(Unit_Paths!$E$2:$E$4, MATCH(E1334, Unit_Paths!$A$2:$A$4, 0)),1)</f>
        <v>44</v>
      </c>
      <c r="L1334" s="6" t="n">
        <f aca="false">ROUND(INDEX(Archetypes!$I$2:$I$127, MATCH(D1334, Archetypes!$A$2:$A$127, 0))*INDEX(Unit_Grades!$C$2:$C$7, MATCH(F1334, Unit_Grades!$A$2:$A$7, 0)),1)</f>
        <v>32</v>
      </c>
      <c r="M1334" s="6" t="n">
        <f aca="false">ROUND(INDEX(Archetypes!$J$2:$J$127, MATCH(D1334, Archetypes!$A$2:$A$127, 0))*INDEX(Unit_Grades!$D$2:$D$7, MATCH(F1334, Unit_Grades!$A$2:$A$7, 0)),1)</f>
        <v>13</v>
      </c>
      <c r="N1334" s="6" t="n">
        <f aca="false">ROUND(M1334/24,2)</f>
        <v>0.54</v>
      </c>
    </row>
    <row r="1335" customFormat="false" ht="15" hidden="false" customHeight="true" outlineLevel="0" collapsed="false">
      <c r="A1335" s="6" t="n">
        <v>5</v>
      </c>
      <c r="B1335" s="6" t="s">
        <v>2828</v>
      </c>
      <c r="C1335" s="6" t="s">
        <v>1421</v>
      </c>
      <c r="D1335" s="6" t="str">
        <f aca="false">A1335&amp;"|"&amp;C1335</f>
        <v>5|Hover Armor</v>
      </c>
      <c r="E1335" s="6" t="s">
        <v>1556</v>
      </c>
      <c r="F1335" s="6" t="s">
        <v>1540</v>
      </c>
      <c r="G1335" s="6" t="str">
        <f aca="false">INDEX(Archetypes!$D$2:$D$127, MATCH(D1335, Archetypes!$A$2:$A$127, 0))</f>
        <v>Armor</v>
      </c>
      <c r="H1335" s="6" t="n">
        <f aca="false">ROUND(INDEX(Archetypes!$E$2:$E$127, MATCH(D1335, Archetypes!$A$2:$A$127, 0))*INDEX(Unit_Grades!$B$2:$B$7, MATCH(F1335, Unit_Grades!$A$2:$A$7, 0))*INDEX(Unit_Paths!$B$2:$B$4, MATCH(E1335, Unit_Paths!$A$2:$A$4, 0)),1)</f>
        <v>351</v>
      </c>
      <c r="I1335" s="6" t="n">
        <f aca="false">ROUND(INDEX(Archetypes!$F$2:$F$127, MATCH(D1335, Archetypes!$A$2:$A$127, 0))*INDEX(Unit_Grades!$B$2:$B$7, MATCH(F1335, Unit_Grades!$A$2:$A$7, 0))*INDEX(Unit_Paths!$C$2:$C$4, MATCH(E1335, Unit_Paths!$A$2:$A$4, 0)),1)</f>
        <v>243</v>
      </c>
      <c r="J1335" s="6" t="n">
        <f aca="false">ROUND(INDEX(Archetypes!$G$2:$G$127, MATCH(D1335, Archetypes!$A$2:$A$127, 0))*INDEX(Unit_Grades!$B$2:$B$7, MATCH(F1335, Unit_Grades!$A$2:$A$7, 0))*INDEX(Unit_Paths!$D$2:$D$4, MATCH(E1335, Unit_Paths!$A$2:$A$4, 0)),0)</f>
        <v>837</v>
      </c>
      <c r="K1335" s="6" t="n">
        <f aca="false">ROUND(INDEX(Archetypes!$H$2:$H$127, MATCH(D1335, Archetypes!$A$2:$A$127, 0))*INDEX(Unit_Paths!$E$2:$E$4, MATCH(E1335, Unit_Paths!$A$2:$A$4, 0)),1)</f>
        <v>44</v>
      </c>
      <c r="L1335" s="6" t="n">
        <f aca="false">ROUND(INDEX(Archetypes!$I$2:$I$127, MATCH(D1335, Archetypes!$A$2:$A$127, 0))*INDEX(Unit_Grades!$C$2:$C$7, MATCH(F1335, Unit_Grades!$A$2:$A$7, 0)),1)</f>
        <v>40</v>
      </c>
      <c r="M1335" s="6" t="n">
        <f aca="false">ROUND(INDEX(Archetypes!$J$2:$J$127, MATCH(D1335, Archetypes!$A$2:$A$127, 0))*INDEX(Unit_Grades!$D$2:$D$7, MATCH(F1335, Unit_Grades!$A$2:$A$7, 0)),1)</f>
        <v>19.5</v>
      </c>
      <c r="N1335" s="6" t="n">
        <f aca="false">ROUND(M1335/24,2)</f>
        <v>0.81</v>
      </c>
    </row>
    <row r="1336" customFormat="false" ht="15" hidden="false" customHeight="true" outlineLevel="0" collapsed="false">
      <c r="A1336" s="6" t="n">
        <v>5</v>
      </c>
      <c r="B1336" s="6" t="s">
        <v>2829</v>
      </c>
      <c r="C1336" s="6" t="s">
        <v>1421</v>
      </c>
      <c r="D1336" s="6" t="str">
        <f aca="false">A1336&amp;"|"&amp;C1336</f>
        <v>5|Hover Armor</v>
      </c>
      <c r="E1336" s="6" t="s">
        <v>1556</v>
      </c>
      <c r="F1336" s="6" t="s">
        <v>1542</v>
      </c>
      <c r="G1336" s="6" t="str">
        <f aca="false">INDEX(Archetypes!$D$2:$D$127, MATCH(D1336, Archetypes!$A$2:$A$127, 0))</f>
        <v>Armor</v>
      </c>
      <c r="H1336" s="6" t="n">
        <f aca="false">ROUND(INDEX(Archetypes!$E$2:$E$127, MATCH(D1336, Archetypes!$A$2:$A$127, 0))*INDEX(Unit_Grades!$B$2:$B$7, MATCH(F1336, Unit_Grades!$A$2:$A$7, 0))*INDEX(Unit_Paths!$B$2:$B$4, MATCH(E1336, Unit_Paths!$A$2:$A$4, 0)),1)</f>
        <v>468</v>
      </c>
      <c r="I1336" s="6" t="n">
        <f aca="false">ROUND(INDEX(Archetypes!$F$2:$F$127, MATCH(D1336, Archetypes!$A$2:$A$127, 0))*INDEX(Unit_Grades!$B$2:$B$7, MATCH(F1336, Unit_Grades!$A$2:$A$7, 0))*INDEX(Unit_Paths!$C$2:$C$4, MATCH(E1336, Unit_Paths!$A$2:$A$4, 0)),1)</f>
        <v>324</v>
      </c>
      <c r="J1336" s="6" t="n">
        <f aca="false">ROUND(INDEX(Archetypes!$G$2:$G$127, MATCH(D1336, Archetypes!$A$2:$A$127, 0))*INDEX(Unit_Grades!$B$2:$B$7, MATCH(F1336, Unit_Grades!$A$2:$A$7, 0))*INDEX(Unit_Paths!$D$2:$D$4, MATCH(E1336, Unit_Paths!$A$2:$A$4, 0)),0)</f>
        <v>1116</v>
      </c>
      <c r="K1336" s="6" t="n">
        <f aca="false">ROUND(INDEX(Archetypes!$H$2:$H$127, MATCH(D1336, Archetypes!$A$2:$A$127, 0))*INDEX(Unit_Paths!$E$2:$E$4, MATCH(E1336, Unit_Paths!$A$2:$A$4, 0)),1)</f>
        <v>44</v>
      </c>
      <c r="L1336" s="6" t="n">
        <f aca="false">ROUND(INDEX(Archetypes!$I$2:$I$127, MATCH(D1336, Archetypes!$A$2:$A$127, 0))*INDEX(Unit_Grades!$C$2:$C$7, MATCH(F1336, Unit_Grades!$A$2:$A$7, 0)),1)</f>
        <v>51.2</v>
      </c>
      <c r="M1336" s="6" t="n">
        <f aca="false">ROUND(INDEX(Archetypes!$J$2:$J$127, MATCH(D1336, Archetypes!$A$2:$A$127, 0))*INDEX(Unit_Grades!$D$2:$D$7, MATCH(F1336, Unit_Grades!$A$2:$A$7, 0)),1)</f>
        <v>32.5</v>
      </c>
      <c r="N1336" s="6" t="n">
        <f aca="false">ROUND(M1336/24,2)</f>
        <v>1.35</v>
      </c>
    </row>
    <row r="1337" customFormat="false" ht="15" hidden="false" customHeight="true" outlineLevel="0" collapsed="false">
      <c r="A1337" s="6" t="n">
        <v>5</v>
      </c>
      <c r="B1337" s="6" t="s">
        <v>2830</v>
      </c>
      <c r="C1337" s="6" t="s">
        <v>1421</v>
      </c>
      <c r="D1337" s="6" t="str">
        <f aca="false">A1337&amp;"|"&amp;C1337</f>
        <v>5|Hover Armor</v>
      </c>
      <c r="E1337" s="6" t="s">
        <v>1556</v>
      </c>
      <c r="F1337" s="6" t="s">
        <v>1544</v>
      </c>
      <c r="G1337" s="6" t="str">
        <f aca="false">INDEX(Archetypes!$D$2:$D$127, MATCH(D1337, Archetypes!$A$2:$A$127, 0))</f>
        <v>Armor</v>
      </c>
      <c r="H1337" s="6" t="n">
        <f aca="false">ROUND(INDEX(Archetypes!$E$2:$E$127, MATCH(D1337, Archetypes!$A$2:$A$127, 0))*INDEX(Unit_Grades!$B$2:$B$7, MATCH(F1337, Unit_Grades!$A$2:$A$7, 0))*INDEX(Unit_Paths!$B$2:$B$4, MATCH(E1337, Unit_Paths!$A$2:$A$4, 0)),1)</f>
        <v>624</v>
      </c>
      <c r="I1337" s="6" t="n">
        <f aca="false">ROUND(INDEX(Archetypes!$F$2:$F$127, MATCH(D1337, Archetypes!$A$2:$A$127, 0))*INDEX(Unit_Grades!$B$2:$B$7, MATCH(F1337, Unit_Grades!$A$2:$A$7, 0))*INDEX(Unit_Paths!$C$2:$C$4, MATCH(E1337, Unit_Paths!$A$2:$A$4, 0)),1)</f>
        <v>432</v>
      </c>
      <c r="J1337" s="6" t="n">
        <f aca="false">ROUND(INDEX(Archetypes!$G$2:$G$127, MATCH(D1337, Archetypes!$A$2:$A$127, 0))*INDEX(Unit_Grades!$B$2:$B$7, MATCH(F1337, Unit_Grades!$A$2:$A$7, 0))*INDEX(Unit_Paths!$D$2:$D$4, MATCH(E1337, Unit_Paths!$A$2:$A$4, 0)),0)</f>
        <v>1488</v>
      </c>
      <c r="K1337" s="6" t="n">
        <f aca="false">ROUND(INDEX(Archetypes!$H$2:$H$127, MATCH(D1337, Archetypes!$A$2:$A$127, 0))*INDEX(Unit_Paths!$E$2:$E$4, MATCH(E1337, Unit_Paths!$A$2:$A$4, 0)),1)</f>
        <v>44</v>
      </c>
      <c r="L1337" s="6" t="n">
        <f aca="false">ROUND(INDEX(Archetypes!$I$2:$I$127, MATCH(D1337, Archetypes!$A$2:$A$127, 0))*INDEX(Unit_Grades!$C$2:$C$7, MATCH(F1337, Unit_Grades!$A$2:$A$7, 0)),1)</f>
        <v>67.2</v>
      </c>
      <c r="M1337" s="6" t="n">
        <f aca="false">ROUND(INDEX(Archetypes!$J$2:$J$127, MATCH(D1337, Archetypes!$A$2:$A$127, 0))*INDEX(Unit_Grades!$D$2:$D$7, MATCH(F1337, Unit_Grades!$A$2:$A$7, 0)),1)</f>
        <v>52</v>
      </c>
      <c r="N1337" s="6" t="n">
        <f aca="false">ROUND(M1337/24,2)</f>
        <v>2.17</v>
      </c>
    </row>
    <row r="1338" customFormat="false" ht="15" hidden="false" customHeight="true" outlineLevel="0" collapsed="false">
      <c r="A1338" s="6" t="n">
        <v>5</v>
      </c>
      <c r="B1338" s="6" t="s">
        <v>2831</v>
      </c>
      <c r="C1338" s="6" t="s">
        <v>1421</v>
      </c>
      <c r="D1338" s="6" t="str">
        <f aca="false">A1338&amp;"|"&amp;C1338</f>
        <v>5|Hover Armor</v>
      </c>
      <c r="E1338" s="6" t="s">
        <v>1556</v>
      </c>
      <c r="F1338" s="6" t="s">
        <v>1546</v>
      </c>
      <c r="G1338" s="6" t="str">
        <f aca="false">INDEX(Archetypes!$D$2:$D$127, MATCH(D1338, Archetypes!$A$2:$A$127, 0))</f>
        <v>Armor</v>
      </c>
      <c r="H1338" s="6" t="n">
        <f aca="false">ROUND(INDEX(Archetypes!$E$2:$E$127, MATCH(D1338, Archetypes!$A$2:$A$127, 0))*INDEX(Unit_Grades!$B$2:$B$7, MATCH(F1338, Unit_Grades!$A$2:$A$7, 0))*INDEX(Unit_Paths!$B$2:$B$4, MATCH(E1338, Unit_Paths!$A$2:$A$4, 0)),1)</f>
        <v>832</v>
      </c>
      <c r="I1338" s="6" t="n">
        <f aca="false">ROUND(INDEX(Archetypes!$F$2:$F$127, MATCH(D1338, Archetypes!$A$2:$A$127, 0))*INDEX(Unit_Grades!$B$2:$B$7, MATCH(F1338, Unit_Grades!$A$2:$A$7, 0))*INDEX(Unit_Paths!$C$2:$C$4, MATCH(E1338, Unit_Paths!$A$2:$A$4, 0)),1)</f>
        <v>576</v>
      </c>
      <c r="J1338" s="6" t="n">
        <f aca="false">ROUND(INDEX(Archetypes!$G$2:$G$127, MATCH(D1338, Archetypes!$A$2:$A$127, 0))*INDEX(Unit_Grades!$B$2:$B$7, MATCH(F1338, Unit_Grades!$A$2:$A$7, 0))*INDEX(Unit_Paths!$D$2:$D$4, MATCH(E1338, Unit_Paths!$A$2:$A$4, 0)),0)</f>
        <v>1984</v>
      </c>
      <c r="K1338" s="6" t="n">
        <f aca="false">ROUND(INDEX(Archetypes!$H$2:$H$127, MATCH(D1338, Archetypes!$A$2:$A$127, 0))*INDEX(Unit_Paths!$E$2:$E$4, MATCH(E1338, Unit_Paths!$A$2:$A$4, 0)),1)</f>
        <v>44</v>
      </c>
      <c r="L1338" s="6" t="n">
        <f aca="false">ROUND(INDEX(Archetypes!$I$2:$I$127, MATCH(D1338, Archetypes!$A$2:$A$127, 0))*INDEX(Unit_Grades!$C$2:$C$7, MATCH(F1338, Unit_Grades!$A$2:$A$7, 0)),1)</f>
        <v>89.6</v>
      </c>
      <c r="M1338" s="6" t="n">
        <f aca="false">ROUND(INDEX(Archetypes!$J$2:$J$127, MATCH(D1338, Archetypes!$A$2:$A$127, 0))*INDEX(Unit_Grades!$D$2:$D$7, MATCH(F1338, Unit_Grades!$A$2:$A$7, 0)),1)</f>
        <v>90.9</v>
      </c>
      <c r="N1338" s="6" t="n">
        <f aca="false">ROUND(M1338/24,2)</f>
        <v>3.79</v>
      </c>
    </row>
    <row r="1339" customFormat="false" ht="15" hidden="false" customHeight="true" outlineLevel="0" collapsed="false">
      <c r="A1339" s="6" t="n">
        <v>5</v>
      </c>
      <c r="B1339" s="6" t="s">
        <v>2832</v>
      </c>
      <c r="C1339" s="6" t="s">
        <v>1421</v>
      </c>
      <c r="D1339" s="6" t="str">
        <f aca="false">A1339&amp;"|"&amp;C1339</f>
        <v>5|Hover Armor</v>
      </c>
      <c r="E1339" s="6" t="s">
        <v>1556</v>
      </c>
      <c r="F1339" s="6" t="s">
        <v>1548</v>
      </c>
      <c r="G1339" s="6" t="str">
        <f aca="false">INDEX(Archetypes!$D$2:$D$127, MATCH(D1339, Archetypes!$A$2:$A$127, 0))</f>
        <v>Armor</v>
      </c>
      <c r="H1339" s="6" t="n">
        <f aca="false">ROUND(INDEX(Archetypes!$E$2:$E$127, MATCH(D1339, Archetypes!$A$2:$A$127, 0))*INDEX(Unit_Grades!$B$2:$B$7, MATCH(F1339, Unit_Grades!$A$2:$A$7, 0))*INDEX(Unit_Paths!$B$2:$B$4, MATCH(E1339, Unit_Paths!$A$2:$A$4, 0)),1)</f>
        <v>1092</v>
      </c>
      <c r="I1339" s="6" t="n">
        <f aca="false">ROUND(INDEX(Archetypes!$F$2:$F$127, MATCH(D1339, Archetypes!$A$2:$A$127, 0))*INDEX(Unit_Grades!$B$2:$B$7, MATCH(F1339, Unit_Grades!$A$2:$A$7, 0))*INDEX(Unit_Paths!$C$2:$C$4, MATCH(E1339, Unit_Paths!$A$2:$A$4, 0)),1)</f>
        <v>756</v>
      </c>
      <c r="J1339" s="6" t="n">
        <f aca="false">ROUND(INDEX(Archetypes!$G$2:$G$127, MATCH(D1339, Archetypes!$A$2:$A$127, 0))*INDEX(Unit_Grades!$B$2:$B$7, MATCH(F1339, Unit_Grades!$A$2:$A$7, 0))*INDEX(Unit_Paths!$D$2:$D$4, MATCH(E1339, Unit_Paths!$A$2:$A$4, 0)),0)</f>
        <v>2604</v>
      </c>
      <c r="K1339" s="6" t="n">
        <f aca="false">ROUND(INDEX(Archetypes!$H$2:$H$127, MATCH(D1339, Archetypes!$A$2:$A$127, 0))*INDEX(Unit_Paths!$E$2:$E$4, MATCH(E1339, Unit_Paths!$A$2:$A$4, 0)),1)</f>
        <v>44</v>
      </c>
      <c r="L1339" s="6" t="n">
        <f aca="false">ROUND(INDEX(Archetypes!$I$2:$I$127, MATCH(D1339, Archetypes!$A$2:$A$127, 0))*INDEX(Unit_Grades!$C$2:$C$7, MATCH(F1339, Unit_Grades!$A$2:$A$7, 0)),1)</f>
        <v>118.4</v>
      </c>
      <c r="M1339" s="6" t="n">
        <f aca="false">ROUND(INDEX(Archetypes!$J$2:$J$127, MATCH(D1339, Archetypes!$A$2:$A$127, 0))*INDEX(Unit_Grades!$D$2:$D$7, MATCH(F1339, Unit_Grades!$A$2:$A$7, 0)),1)</f>
        <v>155.9</v>
      </c>
      <c r="N1339" s="6" t="n">
        <f aca="false">ROUND(M1339/24,2)</f>
        <v>6.5</v>
      </c>
    </row>
    <row r="1340" customFormat="false" ht="15" hidden="false" customHeight="true" outlineLevel="0" collapsed="false">
      <c r="A1340" s="6" t="n">
        <v>5</v>
      </c>
      <c r="B1340" s="6" t="s">
        <v>2833</v>
      </c>
      <c r="C1340" s="6" t="s">
        <v>1421</v>
      </c>
      <c r="D1340" s="6" t="str">
        <f aca="false">A1340&amp;"|"&amp;C1340</f>
        <v>5|Hover Armor</v>
      </c>
      <c r="E1340" s="6" t="s">
        <v>1558</v>
      </c>
      <c r="F1340" s="6" t="s">
        <v>1538</v>
      </c>
      <c r="G1340" s="6" t="str">
        <f aca="false">INDEX(Archetypes!$D$2:$D$127, MATCH(D1340, Archetypes!$A$2:$A$127, 0))</f>
        <v>Armor</v>
      </c>
      <c r="H1340" s="6" t="n">
        <f aca="false">ROUND(INDEX(Archetypes!$E$2:$E$127, MATCH(D1340, Archetypes!$A$2:$A$127, 0))*INDEX(Unit_Grades!$B$2:$B$7, MATCH(F1340, Unit_Grades!$A$2:$A$7, 0))*INDEX(Unit_Paths!$B$2:$B$4, MATCH(E1340, Unit_Paths!$A$2:$A$4, 0)),1)</f>
        <v>312</v>
      </c>
      <c r="I1340" s="6" t="n">
        <f aca="false">ROUND(INDEX(Archetypes!$F$2:$F$127, MATCH(D1340, Archetypes!$A$2:$A$127, 0))*INDEX(Unit_Grades!$B$2:$B$7, MATCH(F1340, Unit_Grades!$A$2:$A$7, 0))*INDEX(Unit_Paths!$C$2:$C$4, MATCH(E1340, Unit_Paths!$A$2:$A$4, 0)),1)</f>
        <v>153</v>
      </c>
      <c r="J1340" s="6" t="n">
        <f aca="false">ROUND(INDEX(Archetypes!$G$2:$G$127, MATCH(D1340, Archetypes!$A$2:$A$127, 0))*INDEX(Unit_Grades!$B$2:$B$7, MATCH(F1340, Unit_Grades!$A$2:$A$7, 0))*INDEX(Unit_Paths!$D$2:$D$4, MATCH(E1340, Unit_Paths!$A$2:$A$4, 0)),0)</f>
        <v>589</v>
      </c>
      <c r="K1340" s="6" t="n">
        <f aca="false">ROUND(INDEX(Archetypes!$H$2:$H$127, MATCH(D1340, Archetypes!$A$2:$A$127, 0))*INDEX(Unit_Paths!$E$2:$E$4, MATCH(E1340, Unit_Paths!$A$2:$A$4, 0)),1)</f>
        <v>46.2</v>
      </c>
      <c r="L1340" s="6" t="n">
        <f aca="false">ROUND(INDEX(Archetypes!$I$2:$I$127, MATCH(D1340, Archetypes!$A$2:$A$127, 0))*INDEX(Unit_Grades!$C$2:$C$7, MATCH(F1340, Unit_Grades!$A$2:$A$7, 0)),1)</f>
        <v>32</v>
      </c>
      <c r="M1340" s="6" t="n">
        <f aca="false">ROUND(INDEX(Archetypes!$J$2:$J$127, MATCH(D1340, Archetypes!$A$2:$A$127, 0))*INDEX(Unit_Grades!$D$2:$D$7, MATCH(F1340, Unit_Grades!$A$2:$A$7, 0)),1)</f>
        <v>13</v>
      </c>
      <c r="N1340" s="6" t="n">
        <f aca="false">ROUND(M1340/24,2)</f>
        <v>0.54</v>
      </c>
    </row>
    <row r="1341" customFormat="false" ht="15" hidden="false" customHeight="true" outlineLevel="0" collapsed="false">
      <c r="A1341" s="6" t="n">
        <v>5</v>
      </c>
      <c r="B1341" s="6" t="s">
        <v>2834</v>
      </c>
      <c r="C1341" s="6" t="s">
        <v>1421</v>
      </c>
      <c r="D1341" s="6" t="str">
        <f aca="false">A1341&amp;"|"&amp;C1341</f>
        <v>5|Hover Armor</v>
      </c>
      <c r="E1341" s="6" t="s">
        <v>1558</v>
      </c>
      <c r="F1341" s="6" t="s">
        <v>1540</v>
      </c>
      <c r="G1341" s="6" t="str">
        <f aca="false">INDEX(Archetypes!$D$2:$D$127, MATCH(D1341, Archetypes!$A$2:$A$127, 0))</f>
        <v>Armor</v>
      </c>
      <c r="H1341" s="6" t="n">
        <f aca="false">ROUND(INDEX(Archetypes!$E$2:$E$127, MATCH(D1341, Archetypes!$A$2:$A$127, 0))*INDEX(Unit_Grades!$B$2:$B$7, MATCH(F1341, Unit_Grades!$A$2:$A$7, 0))*INDEX(Unit_Paths!$B$2:$B$4, MATCH(E1341, Unit_Paths!$A$2:$A$4, 0)),1)</f>
        <v>421.2</v>
      </c>
      <c r="I1341" s="6" t="n">
        <f aca="false">ROUND(INDEX(Archetypes!$F$2:$F$127, MATCH(D1341, Archetypes!$A$2:$A$127, 0))*INDEX(Unit_Grades!$B$2:$B$7, MATCH(F1341, Unit_Grades!$A$2:$A$7, 0))*INDEX(Unit_Paths!$C$2:$C$4, MATCH(E1341, Unit_Paths!$A$2:$A$4, 0)),1)</f>
        <v>206.6</v>
      </c>
      <c r="J1341" s="6" t="n">
        <f aca="false">ROUND(INDEX(Archetypes!$G$2:$G$127, MATCH(D1341, Archetypes!$A$2:$A$127, 0))*INDEX(Unit_Grades!$B$2:$B$7, MATCH(F1341, Unit_Grades!$A$2:$A$7, 0))*INDEX(Unit_Paths!$D$2:$D$4, MATCH(E1341, Unit_Paths!$A$2:$A$4, 0)),0)</f>
        <v>795</v>
      </c>
      <c r="K1341" s="6" t="n">
        <f aca="false">ROUND(INDEX(Archetypes!$H$2:$H$127, MATCH(D1341, Archetypes!$A$2:$A$127, 0))*INDEX(Unit_Paths!$E$2:$E$4, MATCH(E1341, Unit_Paths!$A$2:$A$4, 0)),1)</f>
        <v>46.2</v>
      </c>
      <c r="L1341" s="6" t="n">
        <f aca="false">ROUND(INDEX(Archetypes!$I$2:$I$127, MATCH(D1341, Archetypes!$A$2:$A$127, 0))*INDEX(Unit_Grades!$C$2:$C$7, MATCH(F1341, Unit_Grades!$A$2:$A$7, 0)),1)</f>
        <v>40</v>
      </c>
      <c r="M1341" s="6" t="n">
        <f aca="false">ROUND(INDEX(Archetypes!$J$2:$J$127, MATCH(D1341, Archetypes!$A$2:$A$127, 0))*INDEX(Unit_Grades!$D$2:$D$7, MATCH(F1341, Unit_Grades!$A$2:$A$7, 0)),1)</f>
        <v>19.5</v>
      </c>
      <c r="N1341" s="6" t="n">
        <f aca="false">ROUND(M1341/24,2)</f>
        <v>0.81</v>
      </c>
    </row>
    <row r="1342" customFormat="false" ht="15" hidden="false" customHeight="true" outlineLevel="0" collapsed="false">
      <c r="A1342" s="6" t="n">
        <v>5</v>
      </c>
      <c r="B1342" s="6" t="s">
        <v>2835</v>
      </c>
      <c r="C1342" s="6" t="s">
        <v>1421</v>
      </c>
      <c r="D1342" s="6" t="str">
        <f aca="false">A1342&amp;"|"&amp;C1342</f>
        <v>5|Hover Armor</v>
      </c>
      <c r="E1342" s="6" t="s">
        <v>1558</v>
      </c>
      <c r="F1342" s="6" t="s">
        <v>1542</v>
      </c>
      <c r="G1342" s="6" t="str">
        <f aca="false">INDEX(Archetypes!$D$2:$D$127, MATCH(D1342, Archetypes!$A$2:$A$127, 0))</f>
        <v>Armor</v>
      </c>
      <c r="H1342" s="6" t="n">
        <f aca="false">ROUND(INDEX(Archetypes!$E$2:$E$127, MATCH(D1342, Archetypes!$A$2:$A$127, 0))*INDEX(Unit_Grades!$B$2:$B$7, MATCH(F1342, Unit_Grades!$A$2:$A$7, 0))*INDEX(Unit_Paths!$B$2:$B$4, MATCH(E1342, Unit_Paths!$A$2:$A$4, 0)),1)</f>
        <v>561.6</v>
      </c>
      <c r="I1342" s="6" t="n">
        <f aca="false">ROUND(INDEX(Archetypes!$F$2:$F$127, MATCH(D1342, Archetypes!$A$2:$A$127, 0))*INDEX(Unit_Grades!$B$2:$B$7, MATCH(F1342, Unit_Grades!$A$2:$A$7, 0))*INDEX(Unit_Paths!$C$2:$C$4, MATCH(E1342, Unit_Paths!$A$2:$A$4, 0)),1)</f>
        <v>275.4</v>
      </c>
      <c r="J1342" s="6" t="n">
        <f aca="false">ROUND(INDEX(Archetypes!$G$2:$G$127, MATCH(D1342, Archetypes!$A$2:$A$127, 0))*INDEX(Unit_Grades!$B$2:$B$7, MATCH(F1342, Unit_Grades!$A$2:$A$7, 0))*INDEX(Unit_Paths!$D$2:$D$4, MATCH(E1342, Unit_Paths!$A$2:$A$4, 0)),0)</f>
        <v>1060</v>
      </c>
      <c r="K1342" s="6" t="n">
        <f aca="false">ROUND(INDEX(Archetypes!$H$2:$H$127, MATCH(D1342, Archetypes!$A$2:$A$127, 0))*INDEX(Unit_Paths!$E$2:$E$4, MATCH(E1342, Unit_Paths!$A$2:$A$4, 0)),1)</f>
        <v>46.2</v>
      </c>
      <c r="L1342" s="6" t="n">
        <f aca="false">ROUND(INDEX(Archetypes!$I$2:$I$127, MATCH(D1342, Archetypes!$A$2:$A$127, 0))*INDEX(Unit_Grades!$C$2:$C$7, MATCH(F1342, Unit_Grades!$A$2:$A$7, 0)),1)</f>
        <v>51.2</v>
      </c>
      <c r="M1342" s="6" t="n">
        <f aca="false">ROUND(INDEX(Archetypes!$J$2:$J$127, MATCH(D1342, Archetypes!$A$2:$A$127, 0))*INDEX(Unit_Grades!$D$2:$D$7, MATCH(F1342, Unit_Grades!$A$2:$A$7, 0)),1)</f>
        <v>32.5</v>
      </c>
      <c r="N1342" s="6" t="n">
        <f aca="false">ROUND(M1342/24,2)</f>
        <v>1.35</v>
      </c>
    </row>
    <row r="1343" customFormat="false" ht="15" hidden="false" customHeight="true" outlineLevel="0" collapsed="false">
      <c r="A1343" s="6" t="n">
        <v>5</v>
      </c>
      <c r="B1343" s="6" t="s">
        <v>2836</v>
      </c>
      <c r="C1343" s="6" t="s">
        <v>1421</v>
      </c>
      <c r="D1343" s="6" t="str">
        <f aca="false">A1343&amp;"|"&amp;C1343</f>
        <v>5|Hover Armor</v>
      </c>
      <c r="E1343" s="6" t="s">
        <v>1558</v>
      </c>
      <c r="F1343" s="6" t="s">
        <v>1544</v>
      </c>
      <c r="G1343" s="6" t="str">
        <f aca="false">INDEX(Archetypes!$D$2:$D$127, MATCH(D1343, Archetypes!$A$2:$A$127, 0))</f>
        <v>Armor</v>
      </c>
      <c r="H1343" s="6" t="n">
        <f aca="false">ROUND(INDEX(Archetypes!$E$2:$E$127, MATCH(D1343, Archetypes!$A$2:$A$127, 0))*INDEX(Unit_Grades!$B$2:$B$7, MATCH(F1343, Unit_Grades!$A$2:$A$7, 0))*INDEX(Unit_Paths!$B$2:$B$4, MATCH(E1343, Unit_Paths!$A$2:$A$4, 0)),1)</f>
        <v>748.8</v>
      </c>
      <c r="I1343" s="6" t="n">
        <f aca="false">ROUND(INDEX(Archetypes!$F$2:$F$127, MATCH(D1343, Archetypes!$A$2:$A$127, 0))*INDEX(Unit_Grades!$B$2:$B$7, MATCH(F1343, Unit_Grades!$A$2:$A$7, 0))*INDEX(Unit_Paths!$C$2:$C$4, MATCH(E1343, Unit_Paths!$A$2:$A$4, 0)),1)</f>
        <v>367.2</v>
      </c>
      <c r="J1343" s="6" t="n">
        <f aca="false">ROUND(INDEX(Archetypes!$G$2:$G$127, MATCH(D1343, Archetypes!$A$2:$A$127, 0))*INDEX(Unit_Grades!$B$2:$B$7, MATCH(F1343, Unit_Grades!$A$2:$A$7, 0))*INDEX(Unit_Paths!$D$2:$D$4, MATCH(E1343, Unit_Paths!$A$2:$A$4, 0)),0)</f>
        <v>1414</v>
      </c>
      <c r="K1343" s="6" t="n">
        <f aca="false">ROUND(INDEX(Archetypes!$H$2:$H$127, MATCH(D1343, Archetypes!$A$2:$A$127, 0))*INDEX(Unit_Paths!$E$2:$E$4, MATCH(E1343, Unit_Paths!$A$2:$A$4, 0)),1)</f>
        <v>46.2</v>
      </c>
      <c r="L1343" s="6" t="n">
        <f aca="false">ROUND(INDEX(Archetypes!$I$2:$I$127, MATCH(D1343, Archetypes!$A$2:$A$127, 0))*INDEX(Unit_Grades!$C$2:$C$7, MATCH(F1343, Unit_Grades!$A$2:$A$7, 0)),1)</f>
        <v>67.2</v>
      </c>
      <c r="M1343" s="6" t="n">
        <f aca="false">ROUND(INDEX(Archetypes!$J$2:$J$127, MATCH(D1343, Archetypes!$A$2:$A$127, 0))*INDEX(Unit_Grades!$D$2:$D$7, MATCH(F1343, Unit_Grades!$A$2:$A$7, 0)),1)</f>
        <v>52</v>
      </c>
      <c r="N1343" s="6" t="n">
        <f aca="false">ROUND(M1343/24,2)</f>
        <v>2.17</v>
      </c>
    </row>
    <row r="1344" customFormat="false" ht="15" hidden="false" customHeight="true" outlineLevel="0" collapsed="false">
      <c r="A1344" s="6" t="n">
        <v>5</v>
      </c>
      <c r="B1344" s="6" t="s">
        <v>2837</v>
      </c>
      <c r="C1344" s="6" t="s">
        <v>1421</v>
      </c>
      <c r="D1344" s="6" t="str">
        <f aca="false">A1344&amp;"|"&amp;C1344</f>
        <v>5|Hover Armor</v>
      </c>
      <c r="E1344" s="6" t="s">
        <v>1558</v>
      </c>
      <c r="F1344" s="6" t="s">
        <v>1546</v>
      </c>
      <c r="G1344" s="6" t="str">
        <f aca="false">INDEX(Archetypes!$D$2:$D$127, MATCH(D1344, Archetypes!$A$2:$A$127, 0))</f>
        <v>Armor</v>
      </c>
      <c r="H1344" s="6" t="n">
        <f aca="false">ROUND(INDEX(Archetypes!$E$2:$E$127, MATCH(D1344, Archetypes!$A$2:$A$127, 0))*INDEX(Unit_Grades!$B$2:$B$7, MATCH(F1344, Unit_Grades!$A$2:$A$7, 0))*INDEX(Unit_Paths!$B$2:$B$4, MATCH(E1344, Unit_Paths!$A$2:$A$4, 0)),1)</f>
        <v>998.4</v>
      </c>
      <c r="I1344" s="6" t="n">
        <f aca="false">ROUND(INDEX(Archetypes!$F$2:$F$127, MATCH(D1344, Archetypes!$A$2:$A$127, 0))*INDEX(Unit_Grades!$B$2:$B$7, MATCH(F1344, Unit_Grades!$A$2:$A$7, 0))*INDEX(Unit_Paths!$C$2:$C$4, MATCH(E1344, Unit_Paths!$A$2:$A$4, 0)),1)</f>
        <v>489.6</v>
      </c>
      <c r="J1344" s="6" t="n">
        <f aca="false">ROUND(INDEX(Archetypes!$G$2:$G$127, MATCH(D1344, Archetypes!$A$2:$A$127, 0))*INDEX(Unit_Grades!$B$2:$B$7, MATCH(F1344, Unit_Grades!$A$2:$A$7, 0))*INDEX(Unit_Paths!$D$2:$D$4, MATCH(E1344, Unit_Paths!$A$2:$A$4, 0)),0)</f>
        <v>1885</v>
      </c>
      <c r="K1344" s="6" t="n">
        <f aca="false">ROUND(INDEX(Archetypes!$H$2:$H$127, MATCH(D1344, Archetypes!$A$2:$A$127, 0))*INDEX(Unit_Paths!$E$2:$E$4, MATCH(E1344, Unit_Paths!$A$2:$A$4, 0)),1)</f>
        <v>46.2</v>
      </c>
      <c r="L1344" s="6" t="n">
        <f aca="false">ROUND(INDEX(Archetypes!$I$2:$I$127, MATCH(D1344, Archetypes!$A$2:$A$127, 0))*INDEX(Unit_Grades!$C$2:$C$7, MATCH(F1344, Unit_Grades!$A$2:$A$7, 0)),1)</f>
        <v>89.6</v>
      </c>
      <c r="M1344" s="6" t="n">
        <f aca="false">ROUND(INDEX(Archetypes!$J$2:$J$127, MATCH(D1344, Archetypes!$A$2:$A$127, 0))*INDEX(Unit_Grades!$D$2:$D$7, MATCH(F1344, Unit_Grades!$A$2:$A$7, 0)),1)</f>
        <v>90.9</v>
      </c>
      <c r="N1344" s="6" t="n">
        <f aca="false">ROUND(M1344/24,2)</f>
        <v>3.79</v>
      </c>
    </row>
    <row r="1345" customFormat="false" ht="15" hidden="false" customHeight="true" outlineLevel="0" collapsed="false">
      <c r="A1345" s="6" t="n">
        <v>5</v>
      </c>
      <c r="B1345" s="6" t="s">
        <v>2838</v>
      </c>
      <c r="C1345" s="6" t="s">
        <v>1421</v>
      </c>
      <c r="D1345" s="6" t="str">
        <f aca="false">A1345&amp;"|"&amp;C1345</f>
        <v>5|Hover Armor</v>
      </c>
      <c r="E1345" s="6" t="s">
        <v>1558</v>
      </c>
      <c r="F1345" s="6" t="s">
        <v>1548</v>
      </c>
      <c r="G1345" s="6" t="str">
        <f aca="false">INDEX(Archetypes!$D$2:$D$127, MATCH(D1345, Archetypes!$A$2:$A$127, 0))</f>
        <v>Armor</v>
      </c>
      <c r="H1345" s="6" t="n">
        <f aca="false">ROUND(INDEX(Archetypes!$E$2:$E$127, MATCH(D1345, Archetypes!$A$2:$A$127, 0))*INDEX(Unit_Grades!$B$2:$B$7, MATCH(F1345, Unit_Grades!$A$2:$A$7, 0))*INDEX(Unit_Paths!$B$2:$B$4, MATCH(E1345, Unit_Paths!$A$2:$A$4, 0)),1)</f>
        <v>1310.4</v>
      </c>
      <c r="I1345" s="6" t="n">
        <f aca="false">ROUND(INDEX(Archetypes!$F$2:$F$127, MATCH(D1345, Archetypes!$A$2:$A$127, 0))*INDEX(Unit_Grades!$B$2:$B$7, MATCH(F1345, Unit_Grades!$A$2:$A$7, 0))*INDEX(Unit_Paths!$C$2:$C$4, MATCH(E1345, Unit_Paths!$A$2:$A$4, 0)),1)</f>
        <v>642.6</v>
      </c>
      <c r="J1345" s="6" t="n">
        <f aca="false">ROUND(INDEX(Archetypes!$G$2:$G$127, MATCH(D1345, Archetypes!$A$2:$A$127, 0))*INDEX(Unit_Grades!$B$2:$B$7, MATCH(F1345, Unit_Grades!$A$2:$A$7, 0))*INDEX(Unit_Paths!$D$2:$D$4, MATCH(E1345, Unit_Paths!$A$2:$A$4, 0)),0)</f>
        <v>2474</v>
      </c>
      <c r="K1345" s="6" t="n">
        <f aca="false">ROUND(INDEX(Archetypes!$H$2:$H$127, MATCH(D1345, Archetypes!$A$2:$A$127, 0))*INDEX(Unit_Paths!$E$2:$E$4, MATCH(E1345, Unit_Paths!$A$2:$A$4, 0)),1)</f>
        <v>46.2</v>
      </c>
      <c r="L1345" s="6" t="n">
        <f aca="false">ROUND(INDEX(Archetypes!$I$2:$I$127, MATCH(D1345, Archetypes!$A$2:$A$127, 0))*INDEX(Unit_Grades!$C$2:$C$7, MATCH(F1345, Unit_Grades!$A$2:$A$7, 0)),1)</f>
        <v>118.4</v>
      </c>
      <c r="M1345" s="6" t="n">
        <f aca="false">ROUND(INDEX(Archetypes!$J$2:$J$127, MATCH(D1345, Archetypes!$A$2:$A$127, 0))*INDEX(Unit_Grades!$D$2:$D$7, MATCH(F1345, Unit_Grades!$A$2:$A$7, 0)),1)</f>
        <v>155.9</v>
      </c>
      <c r="N1345" s="6" t="n">
        <f aca="false">ROUND(M1345/24,2)</f>
        <v>6.5</v>
      </c>
    </row>
    <row r="1346" customFormat="false" ht="15" hidden="false" customHeight="true" outlineLevel="0" collapsed="false">
      <c r="A1346" s="6" t="n">
        <v>5</v>
      </c>
      <c r="B1346" s="6" t="s">
        <v>2839</v>
      </c>
      <c r="C1346" s="6" t="s">
        <v>1421</v>
      </c>
      <c r="D1346" s="6" t="str">
        <f aca="false">A1346&amp;"|"&amp;C1346</f>
        <v>5|Hover Armor</v>
      </c>
      <c r="E1346" s="6" t="s">
        <v>1560</v>
      </c>
      <c r="F1346" s="6" t="s">
        <v>1538</v>
      </c>
      <c r="G1346" s="6" t="str">
        <f aca="false">INDEX(Archetypes!$D$2:$D$127, MATCH(D1346, Archetypes!$A$2:$A$127, 0))</f>
        <v>Armor</v>
      </c>
      <c r="H1346" s="6" t="n">
        <f aca="false">ROUND(INDEX(Archetypes!$E$2:$E$127, MATCH(D1346, Archetypes!$A$2:$A$127, 0))*INDEX(Unit_Grades!$B$2:$B$7, MATCH(F1346, Unit_Grades!$A$2:$A$7, 0))*INDEX(Unit_Paths!$B$2:$B$4, MATCH(E1346, Unit_Paths!$A$2:$A$4, 0)),1)</f>
        <v>221</v>
      </c>
      <c r="I1346" s="6" t="n">
        <f aca="false">ROUND(INDEX(Archetypes!$F$2:$F$127, MATCH(D1346, Archetypes!$A$2:$A$127, 0))*INDEX(Unit_Grades!$B$2:$B$7, MATCH(F1346, Unit_Grades!$A$2:$A$7, 0))*INDEX(Unit_Paths!$C$2:$C$4, MATCH(E1346, Unit_Paths!$A$2:$A$4, 0)),1)</f>
        <v>225</v>
      </c>
      <c r="J1346" s="6" t="n">
        <f aca="false">ROUND(INDEX(Archetypes!$G$2:$G$127, MATCH(D1346, Archetypes!$A$2:$A$127, 0))*INDEX(Unit_Grades!$B$2:$B$7, MATCH(F1346, Unit_Grades!$A$2:$A$7, 0))*INDEX(Unit_Paths!$D$2:$D$4, MATCH(E1346, Unit_Paths!$A$2:$A$4, 0)),0)</f>
        <v>713</v>
      </c>
      <c r="K1346" s="6" t="n">
        <f aca="false">ROUND(INDEX(Archetypes!$H$2:$H$127, MATCH(D1346, Archetypes!$A$2:$A$127, 0))*INDEX(Unit_Paths!$E$2:$E$4, MATCH(E1346, Unit_Paths!$A$2:$A$4, 0)),1)</f>
        <v>40.5</v>
      </c>
      <c r="L1346" s="6" t="n">
        <f aca="false">ROUND(INDEX(Archetypes!$I$2:$I$127, MATCH(D1346, Archetypes!$A$2:$A$127, 0))*INDEX(Unit_Grades!$C$2:$C$7, MATCH(F1346, Unit_Grades!$A$2:$A$7, 0)),1)</f>
        <v>32</v>
      </c>
      <c r="M1346" s="6" t="n">
        <f aca="false">ROUND(INDEX(Archetypes!$J$2:$J$127, MATCH(D1346, Archetypes!$A$2:$A$127, 0))*INDEX(Unit_Grades!$D$2:$D$7, MATCH(F1346, Unit_Grades!$A$2:$A$7, 0)),1)</f>
        <v>13</v>
      </c>
      <c r="N1346" s="6" t="n">
        <f aca="false">ROUND(M1346/24,2)</f>
        <v>0.54</v>
      </c>
    </row>
    <row r="1347" customFormat="false" ht="15" hidden="false" customHeight="true" outlineLevel="0" collapsed="false">
      <c r="A1347" s="6" t="n">
        <v>5</v>
      </c>
      <c r="B1347" s="6" t="s">
        <v>2840</v>
      </c>
      <c r="C1347" s="6" t="s">
        <v>1421</v>
      </c>
      <c r="D1347" s="6" t="str">
        <f aca="false">A1347&amp;"|"&amp;C1347</f>
        <v>5|Hover Armor</v>
      </c>
      <c r="E1347" s="6" t="s">
        <v>1560</v>
      </c>
      <c r="F1347" s="6" t="s">
        <v>1540</v>
      </c>
      <c r="G1347" s="6" t="str">
        <f aca="false">INDEX(Archetypes!$D$2:$D$127, MATCH(D1347, Archetypes!$A$2:$A$127, 0))</f>
        <v>Armor</v>
      </c>
      <c r="H1347" s="6" t="n">
        <f aca="false">ROUND(INDEX(Archetypes!$E$2:$E$127, MATCH(D1347, Archetypes!$A$2:$A$127, 0))*INDEX(Unit_Grades!$B$2:$B$7, MATCH(F1347, Unit_Grades!$A$2:$A$7, 0))*INDEX(Unit_Paths!$B$2:$B$4, MATCH(E1347, Unit_Paths!$A$2:$A$4, 0)),1)</f>
        <v>298.4</v>
      </c>
      <c r="I1347" s="6" t="n">
        <f aca="false">ROUND(INDEX(Archetypes!$F$2:$F$127, MATCH(D1347, Archetypes!$A$2:$A$127, 0))*INDEX(Unit_Grades!$B$2:$B$7, MATCH(F1347, Unit_Grades!$A$2:$A$7, 0))*INDEX(Unit_Paths!$C$2:$C$4, MATCH(E1347, Unit_Paths!$A$2:$A$4, 0)),1)</f>
        <v>303.8</v>
      </c>
      <c r="J1347" s="6" t="n">
        <f aca="false">ROUND(INDEX(Archetypes!$G$2:$G$127, MATCH(D1347, Archetypes!$A$2:$A$127, 0))*INDEX(Unit_Grades!$B$2:$B$7, MATCH(F1347, Unit_Grades!$A$2:$A$7, 0))*INDEX(Unit_Paths!$D$2:$D$4, MATCH(E1347, Unit_Paths!$A$2:$A$4, 0)),0)</f>
        <v>963</v>
      </c>
      <c r="K1347" s="6" t="n">
        <f aca="false">ROUND(INDEX(Archetypes!$H$2:$H$127, MATCH(D1347, Archetypes!$A$2:$A$127, 0))*INDEX(Unit_Paths!$E$2:$E$4, MATCH(E1347, Unit_Paths!$A$2:$A$4, 0)),1)</f>
        <v>40.5</v>
      </c>
      <c r="L1347" s="6" t="n">
        <f aca="false">ROUND(INDEX(Archetypes!$I$2:$I$127, MATCH(D1347, Archetypes!$A$2:$A$127, 0))*INDEX(Unit_Grades!$C$2:$C$7, MATCH(F1347, Unit_Grades!$A$2:$A$7, 0)),1)</f>
        <v>40</v>
      </c>
      <c r="M1347" s="6" t="n">
        <f aca="false">ROUND(INDEX(Archetypes!$J$2:$J$127, MATCH(D1347, Archetypes!$A$2:$A$127, 0))*INDEX(Unit_Grades!$D$2:$D$7, MATCH(F1347, Unit_Grades!$A$2:$A$7, 0)),1)</f>
        <v>19.5</v>
      </c>
      <c r="N1347" s="6" t="n">
        <f aca="false">ROUND(M1347/24,2)</f>
        <v>0.81</v>
      </c>
    </row>
    <row r="1348" customFormat="false" ht="15" hidden="false" customHeight="true" outlineLevel="0" collapsed="false">
      <c r="A1348" s="6" t="n">
        <v>5</v>
      </c>
      <c r="B1348" s="6" t="s">
        <v>2841</v>
      </c>
      <c r="C1348" s="6" t="s">
        <v>1421</v>
      </c>
      <c r="D1348" s="6" t="str">
        <f aca="false">A1348&amp;"|"&amp;C1348</f>
        <v>5|Hover Armor</v>
      </c>
      <c r="E1348" s="6" t="s">
        <v>1560</v>
      </c>
      <c r="F1348" s="6" t="s">
        <v>1542</v>
      </c>
      <c r="G1348" s="6" t="str">
        <f aca="false">INDEX(Archetypes!$D$2:$D$127, MATCH(D1348, Archetypes!$A$2:$A$127, 0))</f>
        <v>Armor</v>
      </c>
      <c r="H1348" s="6" t="n">
        <f aca="false">ROUND(INDEX(Archetypes!$E$2:$E$127, MATCH(D1348, Archetypes!$A$2:$A$127, 0))*INDEX(Unit_Grades!$B$2:$B$7, MATCH(F1348, Unit_Grades!$A$2:$A$7, 0))*INDEX(Unit_Paths!$B$2:$B$4, MATCH(E1348, Unit_Paths!$A$2:$A$4, 0)),1)</f>
        <v>397.8</v>
      </c>
      <c r="I1348" s="6" t="n">
        <f aca="false">ROUND(INDEX(Archetypes!$F$2:$F$127, MATCH(D1348, Archetypes!$A$2:$A$127, 0))*INDEX(Unit_Grades!$B$2:$B$7, MATCH(F1348, Unit_Grades!$A$2:$A$7, 0))*INDEX(Unit_Paths!$C$2:$C$4, MATCH(E1348, Unit_Paths!$A$2:$A$4, 0)),1)</f>
        <v>405</v>
      </c>
      <c r="J1348" s="6" t="n">
        <f aca="false">ROUND(INDEX(Archetypes!$G$2:$G$127, MATCH(D1348, Archetypes!$A$2:$A$127, 0))*INDEX(Unit_Grades!$B$2:$B$7, MATCH(F1348, Unit_Grades!$A$2:$A$7, 0))*INDEX(Unit_Paths!$D$2:$D$4, MATCH(E1348, Unit_Paths!$A$2:$A$4, 0)),0)</f>
        <v>1283</v>
      </c>
      <c r="K1348" s="6" t="n">
        <f aca="false">ROUND(INDEX(Archetypes!$H$2:$H$127, MATCH(D1348, Archetypes!$A$2:$A$127, 0))*INDEX(Unit_Paths!$E$2:$E$4, MATCH(E1348, Unit_Paths!$A$2:$A$4, 0)),1)</f>
        <v>40.5</v>
      </c>
      <c r="L1348" s="6" t="n">
        <f aca="false">ROUND(INDEX(Archetypes!$I$2:$I$127, MATCH(D1348, Archetypes!$A$2:$A$127, 0))*INDEX(Unit_Grades!$C$2:$C$7, MATCH(F1348, Unit_Grades!$A$2:$A$7, 0)),1)</f>
        <v>51.2</v>
      </c>
      <c r="M1348" s="6" t="n">
        <f aca="false">ROUND(INDEX(Archetypes!$J$2:$J$127, MATCH(D1348, Archetypes!$A$2:$A$127, 0))*INDEX(Unit_Grades!$D$2:$D$7, MATCH(F1348, Unit_Grades!$A$2:$A$7, 0)),1)</f>
        <v>32.5</v>
      </c>
      <c r="N1348" s="6" t="n">
        <f aca="false">ROUND(M1348/24,2)</f>
        <v>1.35</v>
      </c>
    </row>
    <row r="1349" customFormat="false" ht="15" hidden="false" customHeight="true" outlineLevel="0" collapsed="false">
      <c r="A1349" s="6" t="n">
        <v>5</v>
      </c>
      <c r="B1349" s="6" t="s">
        <v>2842</v>
      </c>
      <c r="C1349" s="6" t="s">
        <v>1421</v>
      </c>
      <c r="D1349" s="6" t="str">
        <f aca="false">A1349&amp;"|"&amp;C1349</f>
        <v>5|Hover Armor</v>
      </c>
      <c r="E1349" s="6" t="s">
        <v>1560</v>
      </c>
      <c r="F1349" s="6" t="s">
        <v>1544</v>
      </c>
      <c r="G1349" s="6" t="str">
        <f aca="false">INDEX(Archetypes!$D$2:$D$127, MATCH(D1349, Archetypes!$A$2:$A$127, 0))</f>
        <v>Armor</v>
      </c>
      <c r="H1349" s="6" t="n">
        <f aca="false">ROUND(INDEX(Archetypes!$E$2:$E$127, MATCH(D1349, Archetypes!$A$2:$A$127, 0))*INDEX(Unit_Grades!$B$2:$B$7, MATCH(F1349, Unit_Grades!$A$2:$A$7, 0))*INDEX(Unit_Paths!$B$2:$B$4, MATCH(E1349, Unit_Paths!$A$2:$A$4, 0)),1)</f>
        <v>530.4</v>
      </c>
      <c r="I1349" s="6" t="n">
        <f aca="false">ROUND(INDEX(Archetypes!$F$2:$F$127, MATCH(D1349, Archetypes!$A$2:$A$127, 0))*INDEX(Unit_Grades!$B$2:$B$7, MATCH(F1349, Unit_Grades!$A$2:$A$7, 0))*INDEX(Unit_Paths!$C$2:$C$4, MATCH(E1349, Unit_Paths!$A$2:$A$4, 0)),1)</f>
        <v>540</v>
      </c>
      <c r="J1349" s="6" t="n">
        <f aca="false">ROUND(INDEX(Archetypes!$G$2:$G$127, MATCH(D1349, Archetypes!$A$2:$A$127, 0))*INDEX(Unit_Grades!$B$2:$B$7, MATCH(F1349, Unit_Grades!$A$2:$A$7, 0))*INDEX(Unit_Paths!$D$2:$D$4, MATCH(E1349, Unit_Paths!$A$2:$A$4, 0)),0)</f>
        <v>1711</v>
      </c>
      <c r="K1349" s="6" t="n">
        <f aca="false">ROUND(INDEX(Archetypes!$H$2:$H$127, MATCH(D1349, Archetypes!$A$2:$A$127, 0))*INDEX(Unit_Paths!$E$2:$E$4, MATCH(E1349, Unit_Paths!$A$2:$A$4, 0)),1)</f>
        <v>40.5</v>
      </c>
      <c r="L1349" s="6" t="n">
        <f aca="false">ROUND(INDEX(Archetypes!$I$2:$I$127, MATCH(D1349, Archetypes!$A$2:$A$127, 0))*INDEX(Unit_Grades!$C$2:$C$7, MATCH(F1349, Unit_Grades!$A$2:$A$7, 0)),1)</f>
        <v>67.2</v>
      </c>
      <c r="M1349" s="6" t="n">
        <f aca="false">ROUND(INDEX(Archetypes!$J$2:$J$127, MATCH(D1349, Archetypes!$A$2:$A$127, 0))*INDEX(Unit_Grades!$D$2:$D$7, MATCH(F1349, Unit_Grades!$A$2:$A$7, 0)),1)</f>
        <v>52</v>
      </c>
      <c r="N1349" s="6" t="n">
        <f aca="false">ROUND(M1349/24,2)</f>
        <v>2.17</v>
      </c>
    </row>
    <row r="1350" customFormat="false" ht="15" hidden="false" customHeight="true" outlineLevel="0" collapsed="false">
      <c r="A1350" s="6" t="n">
        <v>5</v>
      </c>
      <c r="B1350" s="6" t="s">
        <v>2843</v>
      </c>
      <c r="C1350" s="6" t="s">
        <v>1421</v>
      </c>
      <c r="D1350" s="6" t="str">
        <f aca="false">A1350&amp;"|"&amp;C1350</f>
        <v>5|Hover Armor</v>
      </c>
      <c r="E1350" s="6" t="s">
        <v>1560</v>
      </c>
      <c r="F1350" s="6" t="s">
        <v>1546</v>
      </c>
      <c r="G1350" s="6" t="str">
        <f aca="false">INDEX(Archetypes!$D$2:$D$127, MATCH(D1350, Archetypes!$A$2:$A$127, 0))</f>
        <v>Armor</v>
      </c>
      <c r="H1350" s="6" t="n">
        <f aca="false">ROUND(INDEX(Archetypes!$E$2:$E$127, MATCH(D1350, Archetypes!$A$2:$A$127, 0))*INDEX(Unit_Grades!$B$2:$B$7, MATCH(F1350, Unit_Grades!$A$2:$A$7, 0))*INDEX(Unit_Paths!$B$2:$B$4, MATCH(E1350, Unit_Paths!$A$2:$A$4, 0)),1)</f>
        <v>707.2</v>
      </c>
      <c r="I1350" s="6" t="n">
        <f aca="false">ROUND(INDEX(Archetypes!$F$2:$F$127, MATCH(D1350, Archetypes!$A$2:$A$127, 0))*INDEX(Unit_Grades!$B$2:$B$7, MATCH(F1350, Unit_Grades!$A$2:$A$7, 0))*INDEX(Unit_Paths!$C$2:$C$4, MATCH(E1350, Unit_Paths!$A$2:$A$4, 0)),1)</f>
        <v>720</v>
      </c>
      <c r="J1350" s="6" t="n">
        <f aca="false">ROUND(INDEX(Archetypes!$G$2:$G$127, MATCH(D1350, Archetypes!$A$2:$A$127, 0))*INDEX(Unit_Grades!$B$2:$B$7, MATCH(F1350, Unit_Grades!$A$2:$A$7, 0))*INDEX(Unit_Paths!$D$2:$D$4, MATCH(E1350, Unit_Paths!$A$2:$A$4, 0)),0)</f>
        <v>2282</v>
      </c>
      <c r="K1350" s="6" t="n">
        <f aca="false">ROUND(INDEX(Archetypes!$H$2:$H$127, MATCH(D1350, Archetypes!$A$2:$A$127, 0))*INDEX(Unit_Paths!$E$2:$E$4, MATCH(E1350, Unit_Paths!$A$2:$A$4, 0)),1)</f>
        <v>40.5</v>
      </c>
      <c r="L1350" s="6" t="n">
        <f aca="false">ROUND(INDEX(Archetypes!$I$2:$I$127, MATCH(D1350, Archetypes!$A$2:$A$127, 0))*INDEX(Unit_Grades!$C$2:$C$7, MATCH(F1350, Unit_Grades!$A$2:$A$7, 0)),1)</f>
        <v>89.6</v>
      </c>
      <c r="M1350" s="6" t="n">
        <f aca="false">ROUND(INDEX(Archetypes!$J$2:$J$127, MATCH(D1350, Archetypes!$A$2:$A$127, 0))*INDEX(Unit_Grades!$D$2:$D$7, MATCH(F1350, Unit_Grades!$A$2:$A$7, 0)),1)</f>
        <v>90.9</v>
      </c>
      <c r="N1350" s="6" t="n">
        <f aca="false">ROUND(M1350/24,2)</f>
        <v>3.79</v>
      </c>
    </row>
    <row r="1351" customFormat="false" ht="15" hidden="false" customHeight="true" outlineLevel="0" collapsed="false">
      <c r="A1351" s="6" t="n">
        <v>5</v>
      </c>
      <c r="B1351" s="6" t="s">
        <v>2844</v>
      </c>
      <c r="C1351" s="6" t="s">
        <v>1421</v>
      </c>
      <c r="D1351" s="6" t="str">
        <f aca="false">A1351&amp;"|"&amp;C1351</f>
        <v>5|Hover Armor</v>
      </c>
      <c r="E1351" s="6" t="s">
        <v>1560</v>
      </c>
      <c r="F1351" s="6" t="s">
        <v>1548</v>
      </c>
      <c r="G1351" s="6" t="str">
        <f aca="false">INDEX(Archetypes!$D$2:$D$127, MATCH(D1351, Archetypes!$A$2:$A$127, 0))</f>
        <v>Armor</v>
      </c>
      <c r="H1351" s="6" t="n">
        <f aca="false">ROUND(INDEX(Archetypes!$E$2:$E$127, MATCH(D1351, Archetypes!$A$2:$A$127, 0))*INDEX(Unit_Grades!$B$2:$B$7, MATCH(F1351, Unit_Grades!$A$2:$A$7, 0))*INDEX(Unit_Paths!$B$2:$B$4, MATCH(E1351, Unit_Paths!$A$2:$A$4, 0)),1)</f>
        <v>928.2</v>
      </c>
      <c r="I1351" s="6" t="n">
        <f aca="false">ROUND(INDEX(Archetypes!$F$2:$F$127, MATCH(D1351, Archetypes!$A$2:$A$127, 0))*INDEX(Unit_Grades!$B$2:$B$7, MATCH(F1351, Unit_Grades!$A$2:$A$7, 0))*INDEX(Unit_Paths!$C$2:$C$4, MATCH(E1351, Unit_Paths!$A$2:$A$4, 0)),1)</f>
        <v>945</v>
      </c>
      <c r="J1351" s="6" t="n">
        <f aca="false">ROUND(INDEX(Archetypes!$G$2:$G$127, MATCH(D1351, Archetypes!$A$2:$A$127, 0))*INDEX(Unit_Grades!$B$2:$B$7, MATCH(F1351, Unit_Grades!$A$2:$A$7, 0))*INDEX(Unit_Paths!$D$2:$D$4, MATCH(E1351, Unit_Paths!$A$2:$A$4, 0)),0)</f>
        <v>2995</v>
      </c>
      <c r="K1351" s="6" t="n">
        <f aca="false">ROUND(INDEX(Archetypes!$H$2:$H$127, MATCH(D1351, Archetypes!$A$2:$A$127, 0))*INDEX(Unit_Paths!$E$2:$E$4, MATCH(E1351, Unit_Paths!$A$2:$A$4, 0)),1)</f>
        <v>40.5</v>
      </c>
      <c r="L1351" s="6" t="n">
        <f aca="false">ROUND(INDEX(Archetypes!$I$2:$I$127, MATCH(D1351, Archetypes!$A$2:$A$127, 0))*INDEX(Unit_Grades!$C$2:$C$7, MATCH(F1351, Unit_Grades!$A$2:$A$7, 0)),1)</f>
        <v>118.4</v>
      </c>
      <c r="M1351" s="6" t="n">
        <f aca="false">ROUND(INDEX(Archetypes!$J$2:$J$127, MATCH(D1351, Archetypes!$A$2:$A$127, 0))*INDEX(Unit_Grades!$D$2:$D$7, MATCH(F1351, Unit_Grades!$A$2:$A$7, 0)),1)</f>
        <v>155.9</v>
      </c>
      <c r="N1351" s="6" t="n">
        <f aca="false">ROUND(M1351/24,2)</f>
        <v>6.5</v>
      </c>
    </row>
    <row r="1352" customFormat="false" ht="15" hidden="false" customHeight="true" outlineLevel="0" collapsed="false">
      <c r="A1352" s="6" t="n">
        <v>5</v>
      </c>
      <c r="B1352" s="6" t="s">
        <v>1423</v>
      </c>
      <c r="C1352" s="6" t="s">
        <v>1423</v>
      </c>
      <c r="D1352" s="6" t="str">
        <f aca="false">A1352&amp;"|"&amp;C1352</f>
        <v>5|Ground Drone Swarm</v>
      </c>
      <c r="E1352" s="6" t="s">
        <v>1556</v>
      </c>
      <c r="F1352" s="6" t="s">
        <v>1538</v>
      </c>
      <c r="G1352" s="6" t="str">
        <f aca="false">INDEX(Archetypes!$D$2:$D$127, MATCH(D1352, Archetypes!$A$2:$A$127, 0))</f>
        <v>Drone</v>
      </c>
      <c r="H1352" s="6" t="n">
        <f aca="false">ROUND(INDEX(Archetypes!$E$2:$E$127, MATCH(D1352, Archetypes!$A$2:$A$127, 0))*INDEX(Unit_Grades!$B$2:$B$7, MATCH(F1352, Unit_Grades!$A$2:$A$7, 0))*INDEX(Unit_Paths!$B$2:$B$4, MATCH(E1352, Unit_Paths!$A$2:$A$4, 0)),1)</f>
        <v>180</v>
      </c>
      <c r="I1352" s="6" t="n">
        <f aca="false">ROUND(INDEX(Archetypes!$F$2:$F$127, MATCH(D1352, Archetypes!$A$2:$A$127, 0))*INDEX(Unit_Grades!$B$2:$B$7, MATCH(F1352, Unit_Grades!$A$2:$A$7, 0))*INDEX(Unit_Paths!$C$2:$C$4, MATCH(E1352, Unit_Paths!$A$2:$A$4, 0)),1)</f>
        <v>60</v>
      </c>
      <c r="J1352" s="6" t="n">
        <f aca="false">ROUND(INDEX(Archetypes!$G$2:$G$127, MATCH(D1352, Archetypes!$A$2:$A$127, 0))*INDEX(Unit_Grades!$B$2:$B$7, MATCH(F1352, Unit_Grades!$A$2:$A$7, 0))*INDEX(Unit_Paths!$D$2:$D$4, MATCH(E1352, Unit_Paths!$A$2:$A$4, 0)),0)</f>
        <v>300</v>
      </c>
      <c r="K1352" s="6" t="n">
        <f aca="false">ROUND(INDEX(Archetypes!$H$2:$H$127, MATCH(D1352, Archetypes!$A$2:$A$127, 0))*INDEX(Unit_Paths!$E$2:$E$4, MATCH(E1352, Unit_Paths!$A$2:$A$4, 0)),1)</f>
        <v>40</v>
      </c>
      <c r="L1352" s="6" t="n">
        <f aca="false">ROUND(INDEX(Archetypes!$I$2:$I$127, MATCH(D1352, Archetypes!$A$2:$A$127, 0))*INDEX(Unit_Grades!$C$2:$C$7, MATCH(F1352, Unit_Grades!$A$2:$A$7, 0)),1)</f>
        <v>20</v>
      </c>
      <c r="M1352" s="6" t="n">
        <f aca="false">ROUND(INDEX(Archetypes!$J$2:$J$127, MATCH(D1352, Archetypes!$A$2:$A$127, 0))*INDEX(Unit_Grades!$D$2:$D$7, MATCH(F1352, Unit_Grades!$A$2:$A$7, 0)),1)</f>
        <v>8.1</v>
      </c>
      <c r="N1352" s="6" t="n">
        <f aca="false">ROUND(M1352/24,2)</f>
        <v>0.34</v>
      </c>
    </row>
    <row r="1353" customFormat="false" ht="15" hidden="false" customHeight="true" outlineLevel="0" collapsed="false">
      <c r="A1353" s="6" t="n">
        <v>5</v>
      </c>
      <c r="B1353" s="6" t="s">
        <v>2845</v>
      </c>
      <c r="C1353" s="6" t="s">
        <v>1423</v>
      </c>
      <c r="D1353" s="6" t="str">
        <f aca="false">A1353&amp;"|"&amp;C1353</f>
        <v>5|Ground Drone Swarm</v>
      </c>
      <c r="E1353" s="6" t="s">
        <v>1556</v>
      </c>
      <c r="F1353" s="6" t="s">
        <v>1540</v>
      </c>
      <c r="G1353" s="6" t="str">
        <f aca="false">INDEX(Archetypes!$D$2:$D$127, MATCH(D1353, Archetypes!$A$2:$A$127, 0))</f>
        <v>Drone</v>
      </c>
      <c r="H1353" s="6" t="n">
        <f aca="false">ROUND(INDEX(Archetypes!$E$2:$E$127, MATCH(D1353, Archetypes!$A$2:$A$127, 0))*INDEX(Unit_Grades!$B$2:$B$7, MATCH(F1353, Unit_Grades!$A$2:$A$7, 0))*INDEX(Unit_Paths!$B$2:$B$4, MATCH(E1353, Unit_Paths!$A$2:$A$4, 0)),1)</f>
        <v>243</v>
      </c>
      <c r="I1353" s="6" t="n">
        <f aca="false">ROUND(INDEX(Archetypes!$F$2:$F$127, MATCH(D1353, Archetypes!$A$2:$A$127, 0))*INDEX(Unit_Grades!$B$2:$B$7, MATCH(F1353, Unit_Grades!$A$2:$A$7, 0))*INDEX(Unit_Paths!$C$2:$C$4, MATCH(E1353, Unit_Paths!$A$2:$A$4, 0)),1)</f>
        <v>81</v>
      </c>
      <c r="J1353" s="6" t="n">
        <f aca="false">ROUND(INDEX(Archetypes!$G$2:$G$127, MATCH(D1353, Archetypes!$A$2:$A$127, 0))*INDEX(Unit_Grades!$B$2:$B$7, MATCH(F1353, Unit_Grades!$A$2:$A$7, 0))*INDEX(Unit_Paths!$D$2:$D$4, MATCH(E1353, Unit_Paths!$A$2:$A$4, 0)),0)</f>
        <v>405</v>
      </c>
      <c r="K1353" s="6" t="n">
        <f aca="false">ROUND(INDEX(Archetypes!$H$2:$H$127, MATCH(D1353, Archetypes!$A$2:$A$127, 0))*INDEX(Unit_Paths!$E$2:$E$4, MATCH(E1353, Unit_Paths!$A$2:$A$4, 0)),1)</f>
        <v>40</v>
      </c>
      <c r="L1353" s="6" t="n">
        <f aca="false">ROUND(INDEX(Archetypes!$I$2:$I$127, MATCH(D1353, Archetypes!$A$2:$A$127, 0))*INDEX(Unit_Grades!$C$2:$C$7, MATCH(F1353, Unit_Grades!$A$2:$A$7, 0)),1)</f>
        <v>25</v>
      </c>
      <c r="M1353" s="6" t="n">
        <f aca="false">ROUND(INDEX(Archetypes!$J$2:$J$127, MATCH(D1353, Archetypes!$A$2:$A$127, 0))*INDEX(Unit_Grades!$D$2:$D$7, MATCH(F1353, Unit_Grades!$A$2:$A$7, 0)),1)</f>
        <v>12.2</v>
      </c>
      <c r="N1353" s="6" t="n">
        <f aca="false">ROUND(M1353/24,2)</f>
        <v>0.51</v>
      </c>
    </row>
    <row r="1354" customFormat="false" ht="15" hidden="false" customHeight="true" outlineLevel="0" collapsed="false">
      <c r="A1354" s="6" t="n">
        <v>5</v>
      </c>
      <c r="B1354" s="6" t="s">
        <v>2846</v>
      </c>
      <c r="C1354" s="6" t="s">
        <v>1423</v>
      </c>
      <c r="D1354" s="6" t="str">
        <f aca="false">A1354&amp;"|"&amp;C1354</f>
        <v>5|Ground Drone Swarm</v>
      </c>
      <c r="E1354" s="6" t="s">
        <v>1556</v>
      </c>
      <c r="F1354" s="6" t="s">
        <v>1542</v>
      </c>
      <c r="G1354" s="6" t="str">
        <f aca="false">INDEX(Archetypes!$D$2:$D$127, MATCH(D1354, Archetypes!$A$2:$A$127, 0))</f>
        <v>Drone</v>
      </c>
      <c r="H1354" s="6" t="n">
        <f aca="false">ROUND(INDEX(Archetypes!$E$2:$E$127, MATCH(D1354, Archetypes!$A$2:$A$127, 0))*INDEX(Unit_Grades!$B$2:$B$7, MATCH(F1354, Unit_Grades!$A$2:$A$7, 0))*INDEX(Unit_Paths!$B$2:$B$4, MATCH(E1354, Unit_Paths!$A$2:$A$4, 0)),1)</f>
        <v>324</v>
      </c>
      <c r="I1354" s="6" t="n">
        <f aca="false">ROUND(INDEX(Archetypes!$F$2:$F$127, MATCH(D1354, Archetypes!$A$2:$A$127, 0))*INDEX(Unit_Grades!$B$2:$B$7, MATCH(F1354, Unit_Grades!$A$2:$A$7, 0))*INDEX(Unit_Paths!$C$2:$C$4, MATCH(E1354, Unit_Paths!$A$2:$A$4, 0)),1)</f>
        <v>108</v>
      </c>
      <c r="J1354" s="6" t="n">
        <f aca="false">ROUND(INDEX(Archetypes!$G$2:$G$127, MATCH(D1354, Archetypes!$A$2:$A$127, 0))*INDEX(Unit_Grades!$B$2:$B$7, MATCH(F1354, Unit_Grades!$A$2:$A$7, 0))*INDEX(Unit_Paths!$D$2:$D$4, MATCH(E1354, Unit_Paths!$A$2:$A$4, 0)),0)</f>
        <v>540</v>
      </c>
      <c r="K1354" s="6" t="n">
        <f aca="false">ROUND(INDEX(Archetypes!$H$2:$H$127, MATCH(D1354, Archetypes!$A$2:$A$127, 0))*INDEX(Unit_Paths!$E$2:$E$4, MATCH(E1354, Unit_Paths!$A$2:$A$4, 0)),1)</f>
        <v>40</v>
      </c>
      <c r="L1354" s="6" t="n">
        <f aca="false">ROUND(INDEX(Archetypes!$I$2:$I$127, MATCH(D1354, Archetypes!$A$2:$A$127, 0))*INDEX(Unit_Grades!$C$2:$C$7, MATCH(F1354, Unit_Grades!$A$2:$A$7, 0)),1)</f>
        <v>32</v>
      </c>
      <c r="M1354" s="6" t="n">
        <f aca="false">ROUND(INDEX(Archetypes!$J$2:$J$127, MATCH(D1354, Archetypes!$A$2:$A$127, 0))*INDEX(Unit_Grades!$D$2:$D$7, MATCH(F1354, Unit_Grades!$A$2:$A$7, 0)),1)</f>
        <v>20.3</v>
      </c>
      <c r="N1354" s="6" t="n">
        <f aca="false">ROUND(M1354/24,2)</f>
        <v>0.85</v>
      </c>
    </row>
    <row r="1355" customFormat="false" ht="15" hidden="false" customHeight="true" outlineLevel="0" collapsed="false">
      <c r="A1355" s="6" t="n">
        <v>5</v>
      </c>
      <c r="B1355" s="6" t="s">
        <v>2847</v>
      </c>
      <c r="C1355" s="6" t="s">
        <v>1423</v>
      </c>
      <c r="D1355" s="6" t="str">
        <f aca="false">A1355&amp;"|"&amp;C1355</f>
        <v>5|Ground Drone Swarm</v>
      </c>
      <c r="E1355" s="6" t="s">
        <v>1556</v>
      </c>
      <c r="F1355" s="6" t="s">
        <v>1544</v>
      </c>
      <c r="G1355" s="6" t="str">
        <f aca="false">INDEX(Archetypes!$D$2:$D$127, MATCH(D1355, Archetypes!$A$2:$A$127, 0))</f>
        <v>Drone</v>
      </c>
      <c r="H1355" s="6" t="n">
        <f aca="false">ROUND(INDEX(Archetypes!$E$2:$E$127, MATCH(D1355, Archetypes!$A$2:$A$127, 0))*INDEX(Unit_Grades!$B$2:$B$7, MATCH(F1355, Unit_Grades!$A$2:$A$7, 0))*INDEX(Unit_Paths!$B$2:$B$4, MATCH(E1355, Unit_Paths!$A$2:$A$4, 0)),1)</f>
        <v>432</v>
      </c>
      <c r="I1355" s="6" t="n">
        <f aca="false">ROUND(INDEX(Archetypes!$F$2:$F$127, MATCH(D1355, Archetypes!$A$2:$A$127, 0))*INDEX(Unit_Grades!$B$2:$B$7, MATCH(F1355, Unit_Grades!$A$2:$A$7, 0))*INDEX(Unit_Paths!$C$2:$C$4, MATCH(E1355, Unit_Paths!$A$2:$A$4, 0)),1)</f>
        <v>144</v>
      </c>
      <c r="J1355" s="6" t="n">
        <f aca="false">ROUND(INDEX(Archetypes!$G$2:$G$127, MATCH(D1355, Archetypes!$A$2:$A$127, 0))*INDEX(Unit_Grades!$B$2:$B$7, MATCH(F1355, Unit_Grades!$A$2:$A$7, 0))*INDEX(Unit_Paths!$D$2:$D$4, MATCH(E1355, Unit_Paths!$A$2:$A$4, 0)),0)</f>
        <v>720</v>
      </c>
      <c r="K1355" s="6" t="n">
        <f aca="false">ROUND(INDEX(Archetypes!$H$2:$H$127, MATCH(D1355, Archetypes!$A$2:$A$127, 0))*INDEX(Unit_Paths!$E$2:$E$4, MATCH(E1355, Unit_Paths!$A$2:$A$4, 0)),1)</f>
        <v>40</v>
      </c>
      <c r="L1355" s="6" t="n">
        <f aca="false">ROUND(INDEX(Archetypes!$I$2:$I$127, MATCH(D1355, Archetypes!$A$2:$A$127, 0))*INDEX(Unit_Grades!$C$2:$C$7, MATCH(F1355, Unit_Grades!$A$2:$A$7, 0)),1)</f>
        <v>42</v>
      </c>
      <c r="M1355" s="6" t="n">
        <f aca="false">ROUND(INDEX(Archetypes!$J$2:$J$127, MATCH(D1355, Archetypes!$A$2:$A$127, 0))*INDEX(Unit_Grades!$D$2:$D$7, MATCH(F1355, Unit_Grades!$A$2:$A$7, 0)),1)</f>
        <v>32.5</v>
      </c>
      <c r="N1355" s="6" t="n">
        <f aca="false">ROUND(M1355/24,2)</f>
        <v>1.35</v>
      </c>
    </row>
    <row r="1356" customFormat="false" ht="15" hidden="false" customHeight="true" outlineLevel="0" collapsed="false">
      <c r="A1356" s="6" t="n">
        <v>5</v>
      </c>
      <c r="B1356" s="6" t="s">
        <v>2848</v>
      </c>
      <c r="C1356" s="6" t="s">
        <v>1423</v>
      </c>
      <c r="D1356" s="6" t="str">
        <f aca="false">A1356&amp;"|"&amp;C1356</f>
        <v>5|Ground Drone Swarm</v>
      </c>
      <c r="E1356" s="6" t="s">
        <v>1556</v>
      </c>
      <c r="F1356" s="6" t="s">
        <v>1546</v>
      </c>
      <c r="G1356" s="6" t="str">
        <f aca="false">INDEX(Archetypes!$D$2:$D$127, MATCH(D1356, Archetypes!$A$2:$A$127, 0))</f>
        <v>Drone</v>
      </c>
      <c r="H1356" s="6" t="n">
        <f aca="false">ROUND(INDEX(Archetypes!$E$2:$E$127, MATCH(D1356, Archetypes!$A$2:$A$127, 0))*INDEX(Unit_Grades!$B$2:$B$7, MATCH(F1356, Unit_Grades!$A$2:$A$7, 0))*INDEX(Unit_Paths!$B$2:$B$4, MATCH(E1356, Unit_Paths!$A$2:$A$4, 0)),1)</f>
        <v>576</v>
      </c>
      <c r="I1356" s="6" t="n">
        <f aca="false">ROUND(INDEX(Archetypes!$F$2:$F$127, MATCH(D1356, Archetypes!$A$2:$A$127, 0))*INDEX(Unit_Grades!$B$2:$B$7, MATCH(F1356, Unit_Grades!$A$2:$A$7, 0))*INDEX(Unit_Paths!$C$2:$C$4, MATCH(E1356, Unit_Paths!$A$2:$A$4, 0)),1)</f>
        <v>192</v>
      </c>
      <c r="J1356" s="6" t="n">
        <f aca="false">ROUND(INDEX(Archetypes!$G$2:$G$127, MATCH(D1356, Archetypes!$A$2:$A$127, 0))*INDEX(Unit_Grades!$B$2:$B$7, MATCH(F1356, Unit_Grades!$A$2:$A$7, 0))*INDEX(Unit_Paths!$D$2:$D$4, MATCH(E1356, Unit_Paths!$A$2:$A$4, 0)),0)</f>
        <v>960</v>
      </c>
      <c r="K1356" s="6" t="n">
        <f aca="false">ROUND(INDEX(Archetypes!$H$2:$H$127, MATCH(D1356, Archetypes!$A$2:$A$127, 0))*INDEX(Unit_Paths!$E$2:$E$4, MATCH(E1356, Unit_Paths!$A$2:$A$4, 0)),1)</f>
        <v>40</v>
      </c>
      <c r="L1356" s="6" t="n">
        <f aca="false">ROUND(INDEX(Archetypes!$I$2:$I$127, MATCH(D1356, Archetypes!$A$2:$A$127, 0))*INDEX(Unit_Grades!$C$2:$C$7, MATCH(F1356, Unit_Grades!$A$2:$A$7, 0)),1)</f>
        <v>56</v>
      </c>
      <c r="M1356" s="6" t="n">
        <f aca="false">ROUND(INDEX(Archetypes!$J$2:$J$127, MATCH(D1356, Archetypes!$A$2:$A$127, 0))*INDEX(Unit_Grades!$D$2:$D$7, MATCH(F1356, Unit_Grades!$A$2:$A$7, 0)),1)</f>
        <v>56.8</v>
      </c>
      <c r="N1356" s="6" t="n">
        <f aca="false">ROUND(M1356/24,2)</f>
        <v>2.37</v>
      </c>
    </row>
    <row r="1357" customFormat="false" ht="15" hidden="false" customHeight="true" outlineLevel="0" collapsed="false">
      <c r="A1357" s="6" t="n">
        <v>5</v>
      </c>
      <c r="B1357" s="6" t="s">
        <v>2849</v>
      </c>
      <c r="C1357" s="6" t="s">
        <v>1423</v>
      </c>
      <c r="D1357" s="6" t="str">
        <f aca="false">A1357&amp;"|"&amp;C1357</f>
        <v>5|Ground Drone Swarm</v>
      </c>
      <c r="E1357" s="6" t="s">
        <v>1556</v>
      </c>
      <c r="F1357" s="6" t="s">
        <v>1548</v>
      </c>
      <c r="G1357" s="6" t="str">
        <f aca="false">INDEX(Archetypes!$D$2:$D$127, MATCH(D1357, Archetypes!$A$2:$A$127, 0))</f>
        <v>Drone</v>
      </c>
      <c r="H1357" s="6" t="n">
        <f aca="false">ROUND(INDEX(Archetypes!$E$2:$E$127, MATCH(D1357, Archetypes!$A$2:$A$127, 0))*INDEX(Unit_Grades!$B$2:$B$7, MATCH(F1357, Unit_Grades!$A$2:$A$7, 0))*INDEX(Unit_Paths!$B$2:$B$4, MATCH(E1357, Unit_Paths!$A$2:$A$4, 0)),1)</f>
        <v>756</v>
      </c>
      <c r="I1357" s="6" t="n">
        <f aca="false">ROUND(INDEX(Archetypes!$F$2:$F$127, MATCH(D1357, Archetypes!$A$2:$A$127, 0))*INDEX(Unit_Grades!$B$2:$B$7, MATCH(F1357, Unit_Grades!$A$2:$A$7, 0))*INDEX(Unit_Paths!$C$2:$C$4, MATCH(E1357, Unit_Paths!$A$2:$A$4, 0)),1)</f>
        <v>252</v>
      </c>
      <c r="J1357" s="6" t="n">
        <f aca="false">ROUND(INDEX(Archetypes!$G$2:$G$127, MATCH(D1357, Archetypes!$A$2:$A$127, 0))*INDEX(Unit_Grades!$B$2:$B$7, MATCH(F1357, Unit_Grades!$A$2:$A$7, 0))*INDEX(Unit_Paths!$D$2:$D$4, MATCH(E1357, Unit_Paths!$A$2:$A$4, 0)),0)</f>
        <v>1260</v>
      </c>
      <c r="K1357" s="6" t="n">
        <f aca="false">ROUND(INDEX(Archetypes!$H$2:$H$127, MATCH(D1357, Archetypes!$A$2:$A$127, 0))*INDEX(Unit_Paths!$E$2:$E$4, MATCH(E1357, Unit_Paths!$A$2:$A$4, 0)),1)</f>
        <v>40</v>
      </c>
      <c r="L1357" s="6" t="n">
        <f aca="false">ROUND(INDEX(Archetypes!$I$2:$I$127, MATCH(D1357, Archetypes!$A$2:$A$127, 0))*INDEX(Unit_Grades!$C$2:$C$7, MATCH(F1357, Unit_Grades!$A$2:$A$7, 0)),1)</f>
        <v>74</v>
      </c>
      <c r="M1357" s="6" t="n">
        <f aca="false">ROUND(INDEX(Archetypes!$J$2:$J$127, MATCH(D1357, Archetypes!$A$2:$A$127, 0))*INDEX(Unit_Grades!$D$2:$D$7, MATCH(F1357, Unit_Grades!$A$2:$A$7, 0)),1)</f>
        <v>97.4</v>
      </c>
      <c r="N1357" s="6" t="n">
        <f aca="false">ROUND(M1357/24,2)</f>
        <v>4.06</v>
      </c>
    </row>
    <row r="1358" customFormat="false" ht="15" hidden="false" customHeight="true" outlineLevel="0" collapsed="false">
      <c r="A1358" s="6" t="n">
        <v>5</v>
      </c>
      <c r="B1358" s="6" t="s">
        <v>2850</v>
      </c>
      <c r="C1358" s="6" t="s">
        <v>1423</v>
      </c>
      <c r="D1358" s="6" t="str">
        <f aca="false">A1358&amp;"|"&amp;C1358</f>
        <v>5|Ground Drone Swarm</v>
      </c>
      <c r="E1358" s="6" t="s">
        <v>1558</v>
      </c>
      <c r="F1358" s="6" t="s">
        <v>1538</v>
      </c>
      <c r="G1358" s="6" t="str">
        <f aca="false">INDEX(Archetypes!$D$2:$D$127, MATCH(D1358, Archetypes!$A$2:$A$127, 0))</f>
        <v>Drone</v>
      </c>
      <c r="H1358" s="6" t="n">
        <f aca="false">ROUND(INDEX(Archetypes!$E$2:$E$127, MATCH(D1358, Archetypes!$A$2:$A$127, 0))*INDEX(Unit_Grades!$B$2:$B$7, MATCH(F1358, Unit_Grades!$A$2:$A$7, 0))*INDEX(Unit_Paths!$B$2:$B$4, MATCH(E1358, Unit_Paths!$A$2:$A$4, 0)),1)</f>
        <v>216</v>
      </c>
      <c r="I1358" s="6" t="n">
        <f aca="false">ROUND(INDEX(Archetypes!$F$2:$F$127, MATCH(D1358, Archetypes!$A$2:$A$127, 0))*INDEX(Unit_Grades!$B$2:$B$7, MATCH(F1358, Unit_Grades!$A$2:$A$7, 0))*INDEX(Unit_Paths!$C$2:$C$4, MATCH(E1358, Unit_Paths!$A$2:$A$4, 0)),1)</f>
        <v>51</v>
      </c>
      <c r="J1358" s="6" t="n">
        <f aca="false">ROUND(INDEX(Archetypes!$G$2:$G$127, MATCH(D1358, Archetypes!$A$2:$A$127, 0))*INDEX(Unit_Grades!$B$2:$B$7, MATCH(F1358, Unit_Grades!$A$2:$A$7, 0))*INDEX(Unit_Paths!$D$2:$D$4, MATCH(E1358, Unit_Paths!$A$2:$A$4, 0)),0)</f>
        <v>285</v>
      </c>
      <c r="K1358" s="6" t="n">
        <f aca="false">ROUND(INDEX(Archetypes!$H$2:$H$127, MATCH(D1358, Archetypes!$A$2:$A$127, 0))*INDEX(Unit_Paths!$E$2:$E$4, MATCH(E1358, Unit_Paths!$A$2:$A$4, 0)),1)</f>
        <v>42</v>
      </c>
      <c r="L1358" s="6" t="n">
        <f aca="false">ROUND(INDEX(Archetypes!$I$2:$I$127, MATCH(D1358, Archetypes!$A$2:$A$127, 0))*INDEX(Unit_Grades!$C$2:$C$7, MATCH(F1358, Unit_Grades!$A$2:$A$7, 0)),1)</f>
        <v>20</v>
      </c>
      <c r="M1358" s="6" t="n">
        <f aca="false">ROUND(INDEX(Archetypes!$J$2:$J$127, MATCH(D1358, Archetypes!$A$2:$A$127, 0))*INDEX(Unit_Grades!$D$2:$D$7, MATCH(F1358, Unit_Grades!$A$2:$A$7, 0)),1)</f>
        <v>8.1</v>
      </c>
      <c r="N1358" s="6" t="n">
        <f aca="false">ROUND(M1358/24,2)</f>
        <v>0.34</v>
      </c>
    </row>
    <row r="1359" customFormat="false" ht="15" hidden="false" customHeight="true" outlineLevel="0" collapsed="false">
      <c r="A1359" s="6" t="n">
        <v>5</v>
      </c>
      <c r="B1359" s="6" t="s">
        <v>2851</v>
      </c>
      <c r="C1359" s="6" t="s">
        <v>1423</v>
      </c>
      <c r="D1359" s="6" t="str">
        <f aca="false">A1359&amp;"|"&amp;C1359</f>
        <v>5|Ground Drone Swarm</v>
      </c>
      <c r="E1359" s="6" t="s">
        <v>1558</v>
      </c>
      <c r="F1359" s="6" t="s">
        <v>1540</v>
      </c>
      <c r="G1359" s="6" t="str">
        <f aca="false">INDEX(Archetypes!$D$2:$D$127, MATCH(D1359, Archetypes!$A$2:$A$127, 0))</f>
        <v>Drone</v>
      </c>
      <c r="H1359" s="6" t="n">
        <f aca="false">ROUND(INDEX(Archetypes!$E$2:$E$127, MATCH(D1359, Archetypes!$A$2:$A$127, 0))*INDEX(Unit_Grades!$B$2:$B$7, MATCH(F1359, Unit_Grades!$A$2:$A$7, 0))*INDEX(Unit_Paths!$B$2:$B$4, MATCH(E1359, Unit_Paths!$A$2:$A$4, 0)),1)</f>
        <v>291.6</v>
      </c>
      <c r="I1359" s="6" t="n">
        <f aca="false">ROUND(INDEX(Archetypes!$F$2:$F$127, MATCH(D1359, Archetypes!$A$2:$A$127, 0))*INDEX(Unit_Grades!$B$2:$B$7, MATCH(F1359, Unit_Grades!$A$2:$A$7, 0))*INDEX(Unit_Paths!$C$2:$C$4, MATCH(E1359, Unit_Paths!$A$2:$A$4, 0)),1)</f>
        <v>68.9</v>
      </c>
      <c r="J1359" s="6" t="n">
        <f aca="false">ROUND(INDEX(Archetypes!$G$2:$G$127, MATCH(D1359, Archetypes!$A$2:$A$127, 0))*INDEX(Unit_Grades!$B$2:$B$7, MATCH(F1359, Unit_Grades!$A$2:$A$7, 0))*INDEX(Unit_Paths!$D$2:$D$4, MATCH(E1359, Unit_Paths!$A$2:$A$4, 0)),0)</f>
        <v>385</v>
      </c>
      <c r="K1359" s="6" t="n">
        <f aca="false">ROUND(INDEX(Archetypes!$H$2:$H$127, MATCH(D1359, Archetypes!$A$2:$A$127, 0))*INDEX(Unit_Paths!$E$2:$E$4, MATCH(E1359, Unit_Paths!$A$2:$A$4, 0)),1)</f>
        <v>42</v>
      </c>
      <c r="L1359" s="6" t="n">
        <f aca="false">ROUND(INDEX(Archetypes!$I$2:$I$127, MATCH(D1359, Archetypes!$A$2:$A$127, 0))*INDEX(Unit_Grades!$C$2:$C$7, MATCH(F1359, Unit_Grades!$A$2:$A$7, 0)),1)</f>
        <v>25</v>
      </c>
      <c r="M1359" s="6" t="n">
        <f aca="false">ROUND(INDEX(Archetypes!$J$2:$J$127, MATCH(D1359, Archetypes!$A$2:$A$127, 0))*INDEX(Unit_Grades!$D$2:$D$7, MATCH(F1359, Unit_Grades!$A$2:$A$7, 0)),1)</f>
        <v>12.2</v>
      </c>
      <c r="N1359" s="6" t="n">
        <f aca="false">ROUND(M1359/24,2)</f>
        <v>0.51</v>
      </c>
    </row>
    <row r="1360" customFormat="false" ht="15" hidden="false" customHeight="true" outlineLevel="0" collapsed="false">
      <c r="A1360" s="6" t="n">
        <v>5</v>
      </c>
      <c r="B1360" s="6" t="s">
        <v>2852</v>
      </c>
      <c r="C1360" s="6" t="s">
        <v>1423</v>
      </c>
      <c r="D1360" s="6" t="str">
        <f aca="false">A1360&amp;"|"&amp;C1360</f>
        <v>5|Ground Drone Swarm</v>
      </c>
      <c r="E1360" s="6" t="s">
        <v>1558</v>
      </c>
      <c r="F1360" s="6" t="s">
        <v>1542</v>
      </c>
      <c r="G1360" s="6" t="str">
        <f aca="false">INDEX(Archetypes!$D$2:$D$127, MATCH(D1360, Archetypes!$A$2:$A$127, 0))</f>
        <v>Drone</v>
      </c>
      <c r="H1360" s="6" t="n">
        <f aca="false">ROUND(INDEX(Archetypes!$E$2:$E$127, MATCH(D1360, Archetypes!$A$2:$A$127, 0))*INDEX(Unit_Grades!$B$2:$B$7, MATCH(F1360, Unit_Grades!$A$2:$A$7, 0))*INDEX(Unit_Paths!$B$2:$B$4, MATCH(E1360, Unit_Paths!$A$2:$A$4, 0)),1)</f>
        <v>388.8</v>
      </c>
      <c r="I1360" s="6" t="n">
        <f aca="false">ROUND(INDEX(Archetypes!$F$2:$F$127, MATCH(D1360, Archetypes!$A$2:$A$127, 0))*INDEX(Unit_Grades!$B$2:$B$7, MATCH(F1360, Unit_Grades!$A$2:$A$7, 0))*INDEX(Unit_Paths!$C$2:$C$4, MATCH(E1360, Unit_Paths!$A$2:$A$4, 0)),1)</f>
        <v>91.8</v>
      </c>
      <c r="J1360" s="6" t="n">
        <f aca="false">ROUND(INDEX(Archetypes!$G$2:$G$127, MATCH(D1360, Archetypes!$A$2:$A$127, 0))*INDEX(Unit_Grades!$B$2:$B$7, MATCH(F1360, Unit_Grades!$A$2:$A$7, 0))*INDEX(Unit_Paths!$D$2:$D$4, MATCH(E1360, Unit_Paths!$A$2:$A$4, 0)),0)</f>
        <v>513</v>
      </c>
      <c r="K1360" s="6" t="n">
        <f aca="false">ROUND(INDEX(Archetypes!$H$2:$H$127, MATCH(D1360, Archetypes!$A$2:$A$127, 0))*INDEX(Unit_Paths!$E$2:$E$4, MATCH(E1360, Unit_Paths!$A$2:$A$4, 0)),1)</f>
        <v>42</v>
      </c>
      <c r="L1360" s="6" t="n">
        <f aca="false">ROUND(INDEX(Archetypes!$I$2:$I$127, MATCH(D1360, Archetypes!$A$2:$A$127, 0))*INDEX(Unit_Grades!$C$2:$C$7, MATCH(F1360, Unit_Grades!$A$2:$A$7, 0)),1)</f>
        <v>32</v>
      </c>
      <c r="M1360" s="6" t="n">
        <f aca="false">ROUND(INDEX(Archetypes!$J$2:$J$127, MATCH(D1360, Archetypes!$A$2:$A$127, 0))*INDEX(Unit_Grades!$D$2:$D$7, MATCH(F1360, Unit_Grades!$A$2:$A$7, 0)),1)</f>
        <v>20.3</v>
      </c>
      <c r="N1360" s="6" t="n">
        <f aca="false">ROUND(M1360/24,2)</f>
        <v>0.85</v>
      </c>
    </row>
    <row r="1361" customFormat="false" ht="15" hidden="false" customHeight="true" outlineLevel="0" collapsed="false">
      <c r="A1361" s="6" t="n">
        <v>5</v>
      </c>
      <c r="B1361" s="6" t="s">
        <v>2853</v>
      </c>
      <c r="C1361" s="6" t="s">
        <v>1423</v>
      </c>
      <c r="D1361" s="6" t="str">
        <f aca="false">A1361&amp;"|"&amp;C1361</f>
        <v>5|Ground Drone Swarm</v>
      </c>
      <c r="E1361" s="6" t="s">
        <v>1558</v>
      </c>
      <c r="F1361" s="6" t="s">
        <v>1544</v>
      </c>
      <c r="G1361" s="6" t="str">
        <f aca="false">INDEX(Archetypes!$D$2:$D$127, MATCH(D1361, Archetypes!$A$2:$A$127, 0))</f>
        <v>Drone</v>
      </c>
      <c r="H1361" s="6" t="n">
        <f aca="false">ROUND(INDEX(Archetypes!$E$2:$E$127, MATCH(D1361, Archetypes!$A$2:$A$127, 0))*INDEX(Unit_Grades!$B$2:$B$7, MATCH(F1361, Unit_Grades!$A$2:$A$7, 0))*INDEX(Unit_Paths!$B$2:$B$4, MATCH(E1361, Unit_Paths!$A$2:$A$4, 0)),1)</f>
        <v>518.4</v>
      </c>
      <c r="I1361" s="6" t="n">
        <f aca="false">ROUND(INDEX(Archetypes!$F$2:$F$127, MATCH(D1361, Archetypes!$A$2:$A$127, 0))*INDEX(Unit_Grades!$B$2:$B$7, MATCH(F1361, Unit_Grades!$A$2:$A$7, 0))*INDEX(Unit_Paths!$C$2:$C$4, MATCH(E1361, Unit_Paths!$A$2:$A$4, 0)),1)</f>
        <v>122.4</v>
      </c>
      <c r="J1361" s="6" t="n">
        <f aca="false">ROUND(INDEX(Archetypes!$G$2:$G$127, MATCH(D1361, Archetypes!$A$2:$A$127, 0))*INDEX(Unit_Grades!$B$2:$B$7, MATCH(F1361, Unit_Grades!$A$2:$A$7, 0))*INDEX(Unit_Paths!$D$2:$D$4, MATCH(E1361, Unit_Paths!$A$2:$A$4, 0)),0)</f>
        <v>684</v>
      </c>
      <c r="K1361" s="6" t="n">
        <f aca="false">ROUND(INDEX(Archetypes!$H$2:$H$127, MATCH(D1361, Archetypes!$A$2:$A$127, 0))*INDEX(Unit_Paths!$E$2:$E$4, MATCH(E1361, Unit_Paths!$A$2:$A$4, 0)),1)</f>
        <v>42</v>
      </c>
      <c r="L1361" s="6" t="n">
        <f aca="false">ROUND(INDEX(Archetypes!$I$2:$I$127, MATCH(D1361, Archetypes!$A$2:$A$127, 0))*INDEX(Unit_Grades!$C$2:$C$7, MATCH(F1361, Unit_Grades!$A$2:$A$7, 0)),1)</f>
        <v>42</v>
      </c>
      <c r="M1361" s="6" t="n">
        <f aca="false">ROUND(INDEX(Archetypes!$J$2:$J$127, MATCH(D1361, Archetypes!$A$2:$A$127, 0))*INDEX(Unit_Grades!$D$2:$D$7, MATCH(F1361, Unit_Grades!$A$2:$A$7, 0)),1)</f>
        <v>32.5</v>
      </c>
      <c r="N1361" s="6" t="n">
        <f aca="false">ROUND(M1361/24,2)</f>
        <v>1.35</v>
      </c>
    </row>
    <row r="1362" customFormat="false" ht="15" hidden="false" customHeight="true" outlineLevel="0" collapsed="false">
      <c r="A1362" s="6" t="n">
        <v>5</v>
      </c>
      <c r="B1362" s="6" t="s">
        <v>2854</v>
      </c>
      <c r="C1362" s="6" t="s">
        <v>1423</v>
      </c>
      <c r="D1362" s="6" t="str">
        <f aca="false">A1362&amp;"|"&amp;C1362</f>
        <v>5|Ground Drone Swarm</v>
      </c>
      <c r="E1362" s="6" t="s">
        <v>1558</v>
      </c>
      <c r="F1362" s="6" t="s">
        <v>1546</v>
      </c>
      <c r="G1362" s="6" t="str">
        <f aca="false">INDEX(Archetypes!$D$2:$D$127, MATCH(D1362, Archetypes!$A$2:$A$127, 0))</f>
        <v>Drone</v>
      </c>
      <c r="H1362" s="6" t="n">
        <f aca="false">ROUND(INDEX(Archetypes!$E$2:$E$127, MATCH(D1362, Archetypes!$A$2:$A$127, 0))*INDEX(Unit_Grades!$B$2:$B$7, MATCH(F1362, Unit_Grades!$A$2:$A$7, 0))*INDEX(Unit_Paths!$B$2:$B$4, MATCH(E1362, Unit_Paths!$A$2:$A$4, 0)),1)</f>
        <v>691.2</v>
      </c>
      <c r="I1362" s="6" t="n">
        <f aca="false">ROUND(INDEX(Archetypes!$F$2:$F$127, MATCH(D1362, Archetypes!$A$2:$A$127, 0))*INDEX(Unit_Grades!$B$2:$B$7, MATCH(F1362, Unit_Grades!$A$2:$A$7, 0))*INDEX(Unit_Paths!$C$2:$C$4, MATCH(E1362, Unit_Paths!$A$2:$A$4, 0)),1)</f>
        <v>163.2</v>
      </c>
      <c r="J1362" s="6" t="n">
        <f aca="false">ROUND(INDEX(Archetypes!$G$2:$G$127, MATCH(D1362, Archetypes!$A$2:$A$127, 0))*INDEX(Unit_Grades!$B$2:$B$7, MATCH(F1362, Unit_Grades!$A$2:$A$7, 0))*INDEX(Unit_Paths!$D$2:$D$4, MATCH(E1362, Unit_Paths!$A$2:$A$4, 0)),0)</f>
        <v>912</v>
      </c>
      <c r="K1362" s="6" t="n">
        <f aca="false">ROUND(INDEX(Archetypes!$H$2:$H$127, MATCH(D1362, Archetypes!$A$2:$A$127, 0))*INDEX(Unit_Paths!$E$2:$E$4, MATCH(E1362, Unit_Paths!$A$2:$A$4, 0)),1)</f>
        <v>42</v>
      </c>
      <c r="L1362" s="6" t="n">
        <f aca="false">ROUND(INDEX(Archetypes!$I$2:$I$127, MATCH(D1362, Archetypes!$A$2:$A$127, 0))*INDEX(Unit_Grades!$C$2:$C$7, MATCH(F1362, Unit_Grades!$A$2:$A$7, 0)),1)</f>
        <v>56</v>
      </c>
      <c r="M1362" s="6" t="n">
        <f aca="false">ROUND(INDEX(Archetypes!$J$2:$J$127, MATCH(D1362, Archetypes!$A$2:$A$127, 0))*INDEX(Unit_Grades!$D$2:$D$7, MATCH(F1362, Unit_Grades!$A$2:$A$7, 0)),1)</f>
        <v>56.8</v>
      </c>
      <c r="N1362" s="6" t="n">
        <f aca="false">ROUND(M1362/24,2)</f>
        <v>2.37</v>
      </c>
    </row>
    <row r="1363" customFormat="false" ht="15" hidden="false" customHeight="true" outlineLevel="0" collapsed="false">
      <c r="A1363" s="6" t="n">
        <v>5</v>
      </c>
      <c r="B1363" s="6" t="s">
        <v>2855</v>
      </c>
      <c r="C1363" s="6" t="s">
        <v>1423</v>
      </c>
      <c r="D1363" s="6" t="str">
        <f aca="false">A1363&amp;"|"&amp;C1363</f>
        <v>5|Ground Drone Swarm</v>
      </c>
      <c r="E1363" s="6" t="s">
        <v>1558</v>
      </c>
      <c r="F1363" s="6" t="s">
        <v>1548</v>
      </c>
      <c r="G1363" s="6" t="str">
        <f aca="false">INDEX(Archetypes!$D$2:$D$127, MATCH(D1363, Archetypes!$A$2:$A$127, 0))</f>
        <v>Drone</v>
      </c>
      <c r="H1363" s="6" t="n">
        <f aca="false">ROUND(INDEX(Archetypes!$E$2:$E$127, MATCH(D1363, Archetypes!$A$2:$A$127, 0))*INDEX(Unit_Grades!$B$2:$B$7, MATCH(F1363, Unit_Grades!$A$2:$A$7, 0))*INDEX(Unit_Paths!$B$2:$B$4, MATCH(E1363, Unit_Paths!$A$2:$A$4, 0)),1)</f>
        <v>907.2</v>
      </c>
      <c r="I1363" s="6" t="n">
        <f aca="false">ROUND(INDEX(Archetypes!$F$2:$F$127, MATCH(D1363, Archetypes!$A$2:$A$127, 0))*INDEX(Unit_Grades!$B$2:$B$7, MATCH(F1363, Unit_Grades!$A$2:$A$7, 0))*INDEX(Unit_Paths!$C$2:$C$4, MATCH(E1363, Unit_Paths!$A$2:$A$4, 0)),1)</f>
        <v>214.2</v>
      </c>
      <c r="J1363" s="6" t="n">
        <f aca="false">ROUND(INDEX(Archetypes!$G$2:$G$127, MATCH(D1363, Archetypes!$A$2:$A$127, 0))*INDEX(Unit_Grades!$B$2:$B$7, MATCH(F1363, Unit_Grades!$A$2:$A$7, 0))*INDEX(Unit_Paths!$D$2:$D$4, MATCH(E1363, Unit_Paths!$A$2:$A$4, 0)),0)</f>
        <v>1197</v>
      </c>
      <c r="K1363" s="6" t="n">
        <f aca="false">ROUND(INDEX(Archetypes!$H$2:$H$127, MATCH(D1363, Archetypes!$A$2:$A$127, 0))*INDEX(Unit_Paths!$E$2:$E$4, MATCH(E1363, Unit_Paths!$A$2:$A$4, 0)),1)</f>
        <v>42</v>
      </c>
      <c r="L1363" s="6" t="n">
        <f aca="false">ROUND(INDEX(Archetypes!$I$2:$I$127, MATCH(D1363, Archetypes!$A$2:$A$127, 0))*INDEX(Unit_Grades!$C$2:$C$7, MATCH(F1363, Unit_Grades!$A$2:$A$7, 0)),1)</f>
        <v>74</v>
      </c>
      <c r="M1363" s="6" t="n">
        <f aca="false">ROUND(INDEX(Archetypes!$J$2:$J$127, MATCH(D1363, Archetypes!$A$2:$A$127, 0))*INDEX(Unit_Grades!$D$2:$D$7, MATCH(F1363, Unit_Grades!$A$2:$A$7, 0)),1)</f>
        <v>97.4</v>
      </c>
      <c r="N1363" s="6" t="n">
        <f aca="false">ROUND(M1363/24,2)</f>
        <v>4.06</v>
      </c>
    </row>
    <row r="1364" customFormat="false" ht="15" hidden="false" customHeight="true" outlineLevel="0" collapsed="false">
      <c r="A1364" s="6" t="n">
        <v>5</v>
      </c>
      <c r="B1364" s="6" t="s">
        <v>2856</v>
      </c>
      <c r="C1364" s="6" t="s">
        <v>1423</v>
      </c>
      <c r="D1364" s="6" t="str">
        <f aca="false">A1364&amp;"|"&amp;C1364</f>
        <v>5|Ground Drone Swarm</v>
      </c>
      <c r="E1364" s="6" t="s">
        <v>1560</v>
      </c>
      <c r="F1364" s="6" t="s">
        <v>1538</v>
      </c>
      <c r="G1364" s="6" t="str">
        <f aca="false">INDEX(Archetypes!$D$2:$D$127, MATCH(D1364, Archetypes!$A$2:$A$127, 0))</f>
        <v>Drone</v>
      </c>
      <c r="H1364" s="6" t="n">
        <f aca="false">ROUND(INDEX(Archetypes!$E$2:$E$127, MATCH(D1364, Archetypes!$A$2:$A$127, 0))*INDEX(Unit_Grades!$B$2:$B$7, MATCH(F1364, Unit_Grades!$A$2:$A$7, 0))*INDEX(Unit_Paths!$B$2:$B$4, MATCH(E1364, Unit_Paths!$A$2:$A$4, 0)),1)</f>
        <v>153</v>
      </c>
      <c r="I1364" s="6" t="n">
        <f aca="false">ROUND(INDEX(Archetypes!$F$2:$F$127, MATCH(D1364, Archetypes!$A$2:$A$127, 0))*INDEX(Unit_Grades!$B$2:$B$7, MATCH(F1364, Unit_Grades!$A$2:$A$7, 0))*INDEX(Unit_Paths!$C$2:$C$4, MATCH(E1364, Unit_Paths!$A$2:$A$4, 0)),1)</f>
        <v>75</v>
      </c>
      <c r="J1364" s="6" t="n">
        <f aca="false">ROUND(INDEX(Archetypes!$G$2:$G$127, MATCH(D1364, Archetypes!$A$2:$A$127, 0))*INDEX(Unit_Grades!$B$2:$B$7, MATCH(F1364, Unit_Grades!$A$2:$A$7, 0))*INDEX(Unit_Paths!$D$2:$D$4, MATCH(E1364, Unit_Paths!$A$2:$A$4, 0)),0)</f>
        <v>345</v>
      </c>
      <c r="K1364" s="6" t="n">
        <f aca="false">ROUND(INDEX(Archetypes!$H$2:$H$127, MATCH(D1364, Archetypes!$A$2:$A$127, 0))*INDEX(Unit_Paths!$E$2:$E$4, MATCH(E1364, Unit_Paths!$A$2:$A$4, 0)),1)</f>
        <v>36.8</v>
      </c>
      <c r="L1364" s="6" t="n">
        <f aca="false">ROUND(INDEX(Archetypes!$I$2:$I$127, MATCH(D1364, Archetypes!$A$2:$A$127, 0))*INDEX(Unit_Grades!$C$2:$C$7, MATCH(F1364, Unit_Grades!$A$2:$A$7, 0)),1)</f>
        <v>20</v>
      </c>
      <c r="M1364" s="6" t="n">
        <f aca="false">ROUND(INDEX(Archetypes!$J$2:$J$127, MATCH(D1364, Archetypes!$A$2:$A$127, 0))*INDEX(Unit_Grades!$D$2:$D$7, MATCH(F1364, Unit_Grades!$A$2:$A$7, 0)),1)</f>
        <v>8.1</v>
      </c>
      <c r="N1364" s="6" t="n">
        <f aca="false">ROUND(M1364/24,2)</f>
        <v>0.34</v>
      </c>
    </row>
    <row r="1365" customFormat="false" ht="15" hidden="false" customHeight="true" outlineLevel="0" collapsed="false">
      <c r="A1365" s="6" t="n">
        <v>5</v>
      </c>
      <c r="B1365" s="6" t="s">
        <v>2857</v>
      </c>
      <c r="C1365" s="6" t="s">
        <v>1423</v>
      </c>
      <c r="D1365" s="6" t="str">
        <f aca="false">A1365&amp;"|"&amp;C1365</f>
        <v>5|Ground Drone Swarm</v>
      </c>
      <c r="E1365" s="6" t="s">
        <v>1560</v>
      </c>
      <c r="F1365" s="6" t="s">
        <v>1540</v>
      </c>
      <c r="G1365" s="6" t="str">
        <f aca="false">INDEX(Archetypes!$D$2:$D$127, MATCH(D1365, Archetypes!$A$2:$A$127, 0))</f>
        <v>Drone</v>
      </c>
      <c r="H1365" s="6" t="n">
        <f aca="false">ROUND(INDEX(Archetypes!$E$2:$E$127, MATCH(D1365, Archetypes!$A$2:$A$127, 0))*INDEX(Unit_Grades!$B$2:$B$7, MATCH(F1365, Unit_Grades!$A$2:$A$7, 0))*INDEX(Unit_Paths!$B$2:$B$4, MATCH(E1365, Unit_Paths!$A$2:$A$4, 0)),1)</f>
        <v>206.6</v>
      </c>
      <c r="I1365" s="6" t="n">
        <f aca="false">ROUND(INDEX(Archetypes!$F$2:$F$127, MATCH(D1365, Archetypes!$A$2:$A$127, 0))*INDEX(Unit_Grades!$B$2:$B$7, MATCH(F1365, Unit_Grades!$A$2:$A$7, 0))*INDEX(Unit_Paths!$C$2:$C$4, MATCH(E1365, Unit_Paths!$A$2:$A$4, 0)),1)</f>
        <v>101.3</v>
      </c>
      <c r="J1365" s="6" t="n">
        <f aca="false">ROUND(INDEX(Archetypes!$G$2:$G$127, MATCH(D1365, Archetypes!$A$2:$A$127, 0))*INDEX(Unit_Grades!$B$2:$B$7, MATCH(F1365, Unit_Grades!$A$2:$A$7, 0))*INDEX(Unit_Paths!$D$2:$D$4, MATCH(E1365, Unit_Paths!$A$2:$A$4, 0)),0)</f>
        <v>466</v>
      </c>
      <c r="K1365" s="6" t="n">
        <f aca="false">ROUND(INDEX(Archetypes!$H$2:$H$127, MATCH(D1365, Archetypes!$A$2:$A$127, 0))*INDEX(Unit_Paths!$E$2:$E$4, MATCH(E1365, Unit_Paths!$A$2:$A$4, 0)),1)</f>
        <v>36.8</v>
      </c>
      <c r="L1365" s="6" t="n">
        <f aca="false">ROUND(INDEX(Archetypes!$I$2:$I$127, MATCH(D1365, Archetypes!$A$2:$A$127, 0))*INDEX(Unit_Grades!$C$2:$C$7, MATCH(F1365, Unit_Grades!$A$2:$A$7, 0)),1)</f>
        <v>25</v>
      </c>
      <c r="M1365" s="6" t="n">
        <f aca="false">ROUND(INDEX(Archetypes!$J$2:$J$127, MATCH(D1365, Archetypes!$A$2:$A$127, 0))*INDEX(Unit_Grades!$D$2:$D$7, MATCH(F1365, Unit_Grades!$A$2:$A$7, 0)),1)</f>
        <v>12.2</v>
      </c>
      <c r="N1365" s="6" t="n">
        <f aca="false">ROUND(M1365/24,2)</f>
        <v>0.51</v>
      </c>
    </row>
    <row r="1366" customFormat="false" ht="15" hidden="false" customHeight="true" outlineLevel="0" collapsed="false">
      <c r="A1366" s="6" t="n">
        <v>5</v>
      </c>
      <c r="B1366" s="6" t="s">
        <v>2858</v>
      </c>
      <c r="C1366" s="6" t="s">
        <v>1423</v>
      </c>
      <c r="D1366" s="6" t="str">
        <f aca="false">A1366&amp;"|"&amp;C1366</f>
        <v>5|Ground Drone Swarm</v>
      </c>
      <c r="E1366" s="6" t="s">
        <v>1560</v>
      </c>
      <c r="F1366" s="6" t="s">
        <v>1542</v>
      </c>
      <c r="G1366" s="6" t="str">
        <f aca="false">INDEX(Archetypes!$D$2:$D$127, MATCH(D1366, Archetypes!$A$2:$A$127, 0))</f>
        <v>Drone</v>
      </c>
      <c r="H1366" s="6" t="n">
        <f aca="false">ROUND(INDEX(Archetypes!$E$2:$E$127, MATCH(D1366, Archetypes!$A$2:$A$127, 0))*INDEX(Unit_Grades!$B$2:$B$7, MATCH(F1366, Unit_Grades!$A$2:$A$7, 0))*INDEX(Unit_Paths!$B$2:$B$4, MATCH(E1366, Unit_Paths!$A$2:$A$4, 0)),1)</f>
        <v>275.4</v>
      </c>
      <c r="I1366" s="6" t="n">
        <f aca="false">ROUND(INDEX(Archetypes!$F$2:$F$127, MATCH(D1366, Archetypes!$A$2:$A$127, 0))*INDEX(Unit_Grades!$B$2:$B$7, MATCH(F1366, Unit_Grades!$A$2:$A$7, 0))*INDEX(Unit_Paths!$C$2:$C$4, MATCH(E1366, Unit_Paths!$A$2:$A$4, 0)),1)</f>
        <v>135</v>
      </c>
      <c r="J1366" s="6" t="n">
        <f aca="false">ROUND(INDEX(Archetypes!$G$2:$G$127, MATCH(D1366, Archetypes!$A$2:$A$127, 0))*INDEX(Unit_Grades!$B$2:$B$7, MATCH(F1366, Unit_Grades!$A$2:$A$7, 0))*INDEX(Unit_Paths!$D$2:$D$4, MATCH(E1366, Unit_Paths!$A$2:$A$4, 0)),0)</f>
        <v>621</v>
      </c>
      <c r="K1366" s="6" t="n">
        <f aca="false">ROUND(INDEX(Archetypes!$H$2:$H$127, MATCH(D1366, Archetypes!$A$2:$A$127, 0))*INDEX(Unit_Paths!$E$2:$E$4, MATCH(E1366, Unit_Paths!$A$2:$A$4, 0)),1)</f>
        <v>36.8</v>
      </c>
      <c r="L1366" s="6" t="n">
        <f aca="false">ROUND(INDEX(Archetypes!$I$2:$I$127, MATCH(D1366, Archetypes!$A$2:$A$127, 0))*INDEX(Unit_Grades!$C$2:$C$7, MATCH(F1366, Unit_Grades!$A$2:$A$7, 0)),1)</f>
        <v>32</v>
      </c>
      <c r="M1366" s="6" t="n">
        <f aca="false">ROUND(INDEX(Archetypes!$J$2:$J$127, MATCH(D1366, Archetypes!$A$2:$A$127, 0))*INDEX(Unit_Grades!$D$2:$D$7, MATCH(F1366, Unit_Grades!$A$2:$A$7, 0)),1)</f>
        <v>20.3</v>
      </c>
      <c r="N1366" s="6" t="n">
        <f aca="false">ROUND(M1366/24,2)</f>
        <v>0.85</v>
      </c>
    </row>
    <row r="1367" customFormat="false" ht="15" hidden="false" customHeight="true" outlineLevel="0" collapsed="false">
      <c r="A1367" s="6" t="n">
        <v>5</v>
      </c>
      <c r="B1367" s="6" t="s">
        <v>2859</v>
      </c>
      <c r="C1367" s="6" t="s">
        <v>1423</v>
      </c>
      <c r="D1367" s="6" t="str">
        <f aca="false">A1367&amp;"|"&amp;C1367</f>
        <v>5|Ground Drone Swarm</v>
      </c>
      <c r="E1367" s="6" t="s">
        <v>1560</v>
      </c>
      <c r="F1367" s="6" t="s">
        <v>1544</v>
      </c>
      <c r="G1367" s="6" t="str">
        <f aca="false">INDEX(Archetypes!$D$2:$D$127, MATCH(D1367, Archetypes!$A$2:$A$127, 0))</f>
        <v>Drone</v>
      </c>
      <c r="H1367" s="6" t="n">
        <f aca="false">ROUND(INDEX(Archetypes!$E$2:$E$127, MATCH(D1367, Archetypes!$A$2:$A$127, 0))*INDEX(Unit_Grades!$B$2:$B$7, MATCH(F1367, Unit_Grades!$A$2:$A$7, 0))*INDEX(Unit_Paths!$B$2:$B$4, MATCH(E1367, Unit_Paths!$A$2:$A$4, 0)),1)</f>
        <v>367.2</v>
      </c>
      <c r="I1367" s="6" t="n">
        <f aca="false">ROUND(INDEX(Archetypes!$F$2:$F$127, MATCH(D1367, Archetypes!$A$2:$A$127, 0))*INDEX(Unit_Grades!$B$2:$B$7, MATCH(F1367, Unit_Grades!$A$2:$A$7, 0))*INDEX(Unit_Paths!$C$2:$C$4, MATCH(E1367, Unit_Paths!$A$2:$A$4, 0)),1)</f>
        <v>180</v>
      </c>
      <c r="J1367" s="6" t="n">
        <f aca="false">ROUND(INDEX(Archetypes!$G$2:$G$127, MATCH(D1367, Archetypes!$A$2:$A$127, 0))*INDEX(Unit_Grades!$B$2:$B$7, MATCH(F1367, Unit_Grades!$A$2:$A$7, 0))*INDEX(Unit_Paths!$D$2:$D$4, MATCH(E1367, Unit_Paths!$A$2:$A$4, 0)),0)</f>
        <v>828</v>
      </c>
      <c r="K1367" s="6" t="n">
        <f aca="false">ROUND(INDEX(Archetypes!$H$2:$H$127, MATCH(D1367, Archetypes!$A$2:$A$127, 0))*INDEX(Unit_Paths!$E$2:$E$4, MATCH(E1367, Unit_Paths!$A$2:$A$4, 0)),1)</f>
        <v>36.8</v>
      </c>
      <c r="L1367" s="6" t="n">
        <f aca="false">ROUND(INDEX(Archetypes!$I$2:$I$127, MATCH(D1367, Archetypes!$A$2:$A$127, 0))*INDEX(Unit_Grades!$C$2:$C$7, MATCH(F1367, Unit_Grades!$A$2:$A$7, 0)),1)</f>
        <v>42</v>
      </c>
      <c r="M1367" s="6" t="n">
        <f aca="false">ROUND(INDEX(Archetypes!$J$2:$J$127, MATCH(D1367, Archetypes!$A$2:$A$127, 0))*INDEX(Unit_Grades!$D$2:$D$7, MATCH(F1367, Unit_Grades!$A$2:$A$7, 0)),1)</f>
        <v>32.5</v>
      </c>
      <c r="N1367" s="6" t="n">
        <f aca="false">ROUND(M1367/24,2)</f>
        <v>1.35</v>
      </c>
    </row>
    <row r="1368" customFormat="false" ht="15" hidden="false" customHeight="true" outlineLevel="0" collapsed="false">
      <c r="A1368" s="6" t="n">
        <v>5</v>
      </c>
      <c r="B1368" s="6" t="s">
        <v>2860</v>
      </c>
      <c r="C1368" s="6" t="s">
        <v>1423</v>
      </c>
      <c r="D1368" s="6" t="str">
        <f aca="false">A1368&amp;"|"&amp;C1368</f>
        <v>5|Ground Drone Swarm</v>
      </c>
      <c r="E1368" s="6" t="s">
        <v>1560</v>
      </c>
      <c r="F1368" s="6" t="s">
        <v>1546</v>
      </c>
      <c r="G1368" s="6" t="str">
        <f aca="false">INDEX(Archetypes!$D$2:$D$127, MATCH(D1368, Archetypes!$A$2:$A$127, 0))</f>
        <v>Drone</v>
      </c>
      <c r="H1368" s="6" t="n">
        <f aca="false">ROUND(INDEX(Archetypes!$E$2:$E$127, MATCH(D1368, Archetypes!$A$2:$A$127, 0))*INDEX(Unit_Grades!$B$2:$B$7, MATCH(F1368, Unit_Grades!$A$2:$A$7, 0))*INDEX(Unit_Paths!$B$2:$B$4, MATCH(E1368, Unit_Paths!$A$2:$A$4, 0)),1)</f>
        <v>489.6</v>
      </c>
      <c r="I1368" s="6" t="n">
        <f aca="false">ROUND(INDEX(Archetypes!$F$2:$F$127, MATCH(D1368, Archetypes!$A$2:$A$127, 0))*INDEX(Unit_Grades!$B$2:$B$7, MATCH(F1368, Unit_Grades!$A$2:$A$7, 0))*INDEX(Unit_Paths!$C$2:$C$4, MATCH(E1368, Unit_Paths!$A$2:$A$4, 0)),1)</f>
        <v>240</v>
      </c>
      <c r="J1368" s="6" t="n">
        <f aca="false">ROUND(INDEX(Archetypes!$G$2:$G$127, MATCH(D1368, Archetypes!$A$2:$A$127, 0))*INDEX(Unit_Grades!$B$2:$B$7, MATCH(F1368, Unit_Grades!$A$2:$A$7, 0))*INDEX(Unit_Paths!$D$2:$D$4, MATCH(E1368, Unit_Paths!$A$2:$A$4, 0)),0)</f>
        <v>1104</v>
      </c>
      <c r="K1368" s="6" t="n">
        <f aca="false">ROUND(INDEX(Archetypes!$H$2:$H$127, MATCH(D1368, Archetypes!$A$2:$A$127, 0))*INDEX(Unit_Paths!$E$2:$E$4, MATCH(E1368, Unit_Paths!$A$2:$A$4, 0)),1)</f>
        <v>36.8</v>
      </c>
      <c r="L1368" s="6" t="n">
        <f aca="false">ROUND(INDEX(Archetypes!$I$2:$I$127, MATCH(D1368, Archetypes!$A$2:$A$127, 0))*INDEX(Unit_Grades!$C$2:$C$7, MATCH(F1368, Unit_Grades!$A$2:$A$7, 0)),1)</f>
        <v>56</v>
      </c>
      <c r="M1368" s="6" t="n">
        <f aca="false">ROUND(INDEX(Archetypes!$J$2:$J$127, MATCH(D1368, Archetypes!$A$2:$A$127, 0))*INDEX(Unit_Grades!$D$2:$D$7, MATCH(F1368, Unit_Grades!$A$2:$A$7, 0)),1)</f>
        <v>56.8</v>
      </c>
      <c r="N1368" s="6" t="n">
        <f aca="false">ROUND(M1368/24,2)</f>
        <v>2.37</v>
      </c>
    </row>
    <row r="1369" customFormat="false" ht="15" hidden="false" customHeight="true" outlineLevel="0" collapsed="false">
      <c r="A1369" s="6" t="n">
        <v>5</v>
      </c>
      <c r="B1369" s="6" t="s">
        <v>2861</v>
      </c>
      <c r="C1369" s="6" t="s">
        <v>1423</v>
      </c>
      <c r="D1369" s="6" t="str">
        <f aca="false">A1369&amp;"|"&amp;C1369</f>
        <v>5|Ground Drone Swarm</v>
      </c>
      <c r="E1369" s="6" t="s">
        <v>1560</v>
      </c>
      <c r="F1369" s="6" t="s">
        <v>1548</v>
      </c>
      <c r="G1369" s="6" t="str">
        <f aca="false">INDEX(Archetypes!$D$2:$D$127, MATCH(D1369, Archetypes!$A$2:$A$127, 0))</f>
        <v>Drone</v>
      </c>
      <c r="H1369" s="6" t="n">
        <f aca="false">ROUND(INDEX(Archetypes!$E$2:$E$127, MATCH(D1369, Archetypes!$A$2:$A$127, 0))*INDEX(Unit_Grades!$B$2:$B$7, MATCH(F1369, Unit_Grades!$A$2:$A$7, 0))*INDEX(Unit_Paths!$B$2:$B$4, MATCH(E1369, Unit_Paths!$A$2:$A$4, 0)),1)</f>
        <v>642.6</v>
      </c>
      <c r="I1369" s="6" t="n">
        <f aca="false">ROUND(INDEX(Archetypes!$F$2:$F$127, MATCH(D1369, Archetypes!$A$2:$A$127, 0))*INDEX(Unit_Grades!$B$2:$B$7, MATCH(F1369, Unit_Grades!$A$2:$A$7, 0))*INDEX(Unit_Paths!$C$2:$C$4, MATCH(E1369, Unit_Paths!$A$2:$A$4, 0)),1)</f>
        <v>315</v>
      </c>
      <c r="J1369" s="6" t="n">
        <f aca="false">ROUND(INDEX(Archetypes!$G$2:$G$127, MATCH(D1369, Archetypes!$A$2:$A$127, 0))*INDEX(Unit_Grades!$B$2:$B$7, MATCH(F1369, Unit_Grades!$A$2:$A$7, 0))*INDEX(Unit_Paths!$D$2:$D$4, MATCH(E1369, Unit_Paths!$A$2:$A$4, 0)),0)</f>
        <v>1449</v>
      </c>
      <c r="K1369" s="6" t="n">
        <f aca="false">ROUND(INDEX(Archetypes!$H$2:$H$127, MATCH(D1369, Archetypes!$A$2:$A$127, 0))*INDEX(Unit_Paths!$E$2:$E$4, MATCH(E1369, Unit_Paths!$A$2:$A$4, 0)),1)</f>
        <v>36.8</v>
      </c>
      <c r="L1369" s="6" t="n">
        <f aca="false">ROUND(INDEX(Archetypes!$I$2:$I$127, MATCH(D1369, Archetypes!$A$2:$A$127, 0))*INDEX(Unit_Grades!$C$2:$C$7, MATCH(F1369, Unit_Grades!$A$2:$A$7, 0)),1)</f>
        <v>74</v>
      </c>
      <c r="M1369" s="6" t="n">
        <f aca="false">ROUND(INDEX(Archetypes!$J$2:$J$127, MATCH(D1369, Archetypes!$A$2:$A$127, 0))*INDEX(Unit_Grades!$D$2:$D$7, MATCH(F1369, Unit_Grades!$A$2:$A$7, 0)),1)</f>
        <v>97.4</v>
      </c>
      <c r="N1369" s="6" t="n">
        <f aca="false">ROUND(M1369/24,2)</f>
        <v>4.06</v>
      </c>
    </row>
    <row r="1370" customFormat="false" ht="15" hidden="false" customHeight="true" outlineLevel="0" collapsed="false">
      <c r="A1370" s="6" t="n">
        <v>5</v>
      </c>
      <c r="B1370" s="6" t="s">
        <v>1426</v>
      </c>
      <c r="C1370" s="6" t="s">
        <v>1426</v>
      </c>
      <c r="D1370" s="6" t="str">
        <f aca="false">A1370&amp;"|"&amp;C1370</f>
        <v>5|EW Team</v>
      </c>
      <c r="E1370" s="6" t="s">
        <v>1556</v>
      </c>
      <c r="F1370" s="6" t="s">
        <v>1538</v>
      </c>
      <c r="G1370" s="6" t="str">
        <f aca="false">INDEX(Archetypes!$D$2:$D$127, MATCH(D1370, Archetypes!$A$2:$A$127, 0))</f>
        <v>EW/Utility</v>
      </c>
      <c r="H1370" s="6" t="n">
        <f aca="false">ROUND(INDEX(Archetypes!$E$2:$E$127, MATCH(D1370, Archetypes!$A$2:$A$127, 0))*INDEX(Unit_Grades!$B$2:$B$7, MATCH(F1370, Unit_Grades!$A$2:$A$7, 0))*INDEX(Unit_Paths!$B$2:$B$4, MATCH(E1370, Unit_Paths!$A$2:$A$4, 0)),1)</f>
        <v>60</v>
      </c>
      <c r="I1370" s="6" t="n">
        <f aca="false">ROUND(INDEX(Archetypes!$F$2:$F$127, MATCH(D1370, Archetypes!$A$2:$A$127, 0))*INDEX(Unit_Grades!$B$2:$B$7, MATCH(F1370, Unit_Grades!$A$2:$A$7, 0))*INDEX(Unit_Paths!$C$2:$C$4, MATCH(E1370, Unit_Paths!$A$2:$A$4, 0)),1)</f>
        <v>90</v>
      </c>
      <c r="J1370" s="6" t="n">
        <f aca="false">ROUND(INDEX(Archetypes!$G$2:$G$127, MATCH(D1370, Archetypes!$A$2:$A$127, 0))*INDEX(Unit_Grades!$B$2:$B$7, MATCH(F1370, Unit_Grades!$A$2:$A$7, 0))*INDEX(Unit_Paths!$D$2:$D$4, MATCH(E1370, Unit_Paths!$A$2:$A$4, 0)),0)</f>
        <v>260</v>
      </c>
      <c r="K1370" s="6" t="n">
        <f aca="false">ROUND(INDEX(Archetypes!$H$2:$H$127, MATCH(D1370, Archetypes!$A$2:$A$127, 0))*INDEX(Unit_Paths!$E$2:$E$4, MATCH(E1370, Unit_Paths!$A$2:$A$4, 0)),1)</f>
        <v>26</v>
      </c>
      <c r="L1370" s="6" t="n">
        <f aca="false">ROUND(INDEX(Archetypes!$I$2:$I$127, MATCH(D1370, Archetypes!$A$2:$A$127, 0))*INDEX(Unit_Grades!$C$2:$C$7, MATCH(F1370, Unit_Grades!$A$2:$A$7, 0)),1)</f>
        <v>18</v>
      </c>
      <c r="M1370" s="6" t="n">
        <f aca="false">ROUND(INDEX(Archetypes!$J$2:$J$127, MATCH(D1370, Archetypes!$A$2:$A$127, 0))*INDEX(Unit_Grades!$D$2:$D$7, MATCH(F1370, Unit_Grades!$A$2:$A$7, 0)),1)</f>
        <v>7.3</v>
      </c>
      <c r="N1370" s="6" t="n">
        <f aca="false">ROUND(M1370/24,2)</f>
        <v>0.3</v>
      </c>
    </row>
    <row r="1371" customFormat="false" ht="15" hidden="false" customHeight="true" outlineLevel="0" collapsed="false">
      <c r="A1371" s="6" t="n">
        <v>5</v>
      </c>
      <c r="B1371" s="6" t="s">
        <v>2862</v>
      </c>
      <c r="C1371" s="6" t="s">
        <v>1426</v>
      </c>
      <c r="D1371" s="6" t="str">
        <f aca="false">A1371&amp;"|"&amp;C1371</f>
        <v>5|EW Team</v>
      </c>
      <c r="E1371" s="6" t="s">
        <v>1556</v>
      </c>
      <c r="F1371" s="6" t="s">
        <v>1540</v>
      </c>
      <c r="G1371" s="6" t="str">
        <f aca="false">INDEX(Archetypes!$D$2:$D$127, MATCH(D1371, Archetypes!$A$2:$A$127, 0))</f>
        <v>EW/Utility</v>
      </c>
      <c r="H1371" s="6" t="n">
        <f aca="false">ROUND(INDEX(Archetypes!$E$2:$E$127, MATCH(D1371, Archetypes!$A$2:$A$127, 0))*INDEX(Unit_Grades!$B$2:$B$7, MATCH(F1371, Unit_Grades!$A$2:$A$7, 0))*INDEX(Unit_Paths!$B$2:$B$4, MATCH(E1371, Unit_Paths!$A$2:$A$4, 0)),1)</f>
        <v>81</v>
      </c>
      <c r="I1371" s="6" t="n">
        <f aca="false">ROUND(INDEX(Archetypes!$F$2:$F$127, MATCH(D1371, Archetypes!$A$2:$A$127, 0))*INDEX(Unit_Grades!$B$2:$B$7, MATCH(F1371, Unit_Grades!$A$2:$A$7, 0))*INDEX(Unit_Paths!$C$2:$C$4, MATCH(E1371, Unit_Paths!$A$2:$A$4, 0)),1)</f>
        <v>121.5</v>
      </c>
      <c r="J1371" s="6" t="n">
        <f aca="false">ROUND(INDEX(Archetypes!$G$2:$G$127, MATCH(D1371, Archetypes!$A$2:$A$127, 0))*INDEX(Unit_Grades!$B$2:$B$7, MATCH(F1371, Unit_Grades!$A$2:$A$7, 0))*INDEX(Unit_Paths!$D$2:$D$4, MATCH(E1371, Unit_Paths!$A$2:$A$4, 0)),0)</f>
        <v>351</v>
      </c>
      <c r="K1371" s="6" t="n">
        <f aca="false">ROUND(INDEX(Archetypes!$H$2:$H$127, MATCH(D1371, Archetypes!$A$2:$A$127, 0))*INDEX(Unit_Paths!$E$2:$E$4, MATCH(E1371, Unit_Paths!$A$2:$A$4, 0)),1)</f>
        <v>26</v>
      </c>
      <c r="L1371" s="6" t="n">
        <f aca="false">ROUND(INDEX(Archetypes!$I$2:$I$127, MATCH(D1371, Archetypes!$A$2:$A$127, 0))*INDEX(Unit_Grades!$C$2:$C$7, MATCH(F1371, Unit_Grades!$A$2:$A$7, 0)),1)</f>
        <v>22.5</v>
      </c>
      <c r="M1371" s="6" t="n">
        <f aca="false">ROUND(INDEX(Archetypes!$J$2:$J$127, MATCH(D1371, Archetypes!$A$2:$A$127, 0))*INDEX(Unit_Grades!$D$2:$D$7, MATCH(F1371, Unit_Grades!$A$2:$A$7, 0)),1)</f>
        <v>11</v>
      </c>
      <c r="N1371" s="6" t="n">
        <f aca="false">ROUND(M1371/24,2)</f>
        <v>0.46</v>
      </c>
    </row>
    <row r="1372" customFormat="false" ht="15" hidden="false" customHeight="true" outlineLevel="0" collapsed="false">
      <c r="A1372" s="6" t="n">
        <v>5</v>
      </c>
      <c r="B1372" s="6" t="s">
        <v>2863</v>
      </c>
      <c r="C1372" s="6" t="s">
        <v>1426</v>
      </c>
      <c r="D1372" s="6" t="str">
        <f aca="false">A1372&amp;"|"&amp;C1372</f>
        <v>5|EW Team</v>
      </c>
      <c r="E1372" s="6" t="s">
        <v>1556</v>
      </c>
      <c r="F1372" s="6" t="s">
        <v>1542</v>
      </c>
      <c r="G1372" s="6" t="str">
        <f aca="false">INDEX(Archetypes!$D$2:$D$127, MATCH(D1372, Archetypes!$A$2:$A$127, 0))</f>
        <v>EW/Utility</v>
      </c>
      <c r="H1372" s="6" t="n">
        <f aca="false">ROUND(INDEX(Archetypes!$E$2:$E$127, MATCH(D1372, Archetypes!$A$2:$A$127, 0))*INDEX(Unit_Grades!$B$2:$B$7, MATCH(F1372, Unit_Grades!$A$2:$A$7, 0))*INDEX(Unit_Paths!$B$2:$B$4, MATCH(E1372, Unit_Paths!$A$2:$A$4, 0)),1)</f>
        <v>108</v>
      </c>
      <c r="I1372" s="6" t="n">
        <f aca="false">ROUND(INDEX(Archetypes!$F$2:$F$127, MATCH(D1372, Archetypes!$A$2:$A$127, 0))*INDEX(Unit_Grades!$B$2:$B$7, MATCH(F1372, Unit_Grades!$A$2:$A$7, 0))*INDEX(Unit_Paths!$C$2:$C$4, MATCH(E1372, Unit_Paths!$A$2:$A$4, 0)),1)</f>
        <v>162</v>
      </c>
      <c r="J1372" s="6" t="n">
        <f aca="false">ROUND(INDEX(Archetypes!$G$2:$G$127, MATCH(D1372, Archetypes!$A$2:$A$127, 0))*INDEX(Unit_Grades!$B$2:$B$7, MATCH(F1372, Unit_Grades!$A$2:$A$7, 0))*INDEX(Unit_Paths!$D$2:$D$4, MATCH(E1372, Unit_Paths!$A$2:$A$4, 0)),0)</f>
        <v>468</v>
      </c>
      <c r="K1372" s="6" t="n">
        <f aca="false">ROUND(INDEX(Archetypes!$H$2:$H$127, MATCH(D1372, Archetypes!$A$2:$A$127, 0))*INDEX(Unit_Paths!$E$2:$E$4, MATCH(E1372, Unit_Paths!$A$2:$A$4, 0)),1)</f>
        <v>26</v>
      </c>
      <c r="L1372" s="6" t="n">
        <f aca="false">ROUND(INDEX(Archetypes!$I$2:$I$127, MATCH(D1372, Archetypes!$A$2:$A$127, 0))*INDEX(Unit_Grades!$C$2:$C$7, MATCH(F1372, Unit_Grades!$A$2:$A$7, 0)),1)</f>
        <v>28.8</v>
      </c>
      <c r="M1372" s="6" t="n">
        <f aca="false">ROUND(INDEX(Archetypes!$J$2:$J$127, MATCH(D1372, Archetypes!$A$2:$A$127, 0))*INDEX(Unit_Grades!$D$2:$D$7, MATCH(F1372, Unit_Grades!$A$2:$A$7, 0)),1)</f>
        <v>18.3</v>
      </c>
      <c r="N1372" s="6" t="n">
        <f aca="false">ROUND(M1372/24,2)</f>
        <v>0.76</v>
      </c>
    </row>
    <row r="1373" customFormat="false" ht="15" hidden="false" customHeight="true" outlineLevel="0" collapsed="false">
      <c r="A1373" s="6" t="n">
        <v>5</v>
      </c>
      <c r="B1373" s="6" t="s">
        <v>2864</v>
      </c>
      <c r="C1373" s="6" t="s">
        <v>1426</v>
      </c>
      <c r="D1373" s="6" t="str">
        <f aca="false">A1373&amp;"|"&amp;C1373</f>
        <v>5|EW Team</v>
      </c>
      <c r="E1373" s="6" t="s">
        <v>1556</v>
      </c>
      <c r="F1373" s="6" t="s">
        <v>1544</v>
      </c>
      <c r="G1373" s="6" t="str">
        <f aca="false">INDEX(Archetypes!$D$2:$D$127, MATCH(D1373, Archetypes!$A$2:$A$127, 0))</f>
        <v>EW/Utility</v>
      </c>
      <c r="H1373" s="6" t="n">
        <f aca="false">ROUND(INDEX(Archetypes!$E$2:$E$127, MATCH(D1373, Archetypes!$A$2:$A$127, 0))*INDEX(Unit_Grades!$B$2:$B$7, MATCH(F1373, Unit_Grades!$A$2:$A$7, 0))*INDEX(Unit_Paths!$B$2:$B$4, MATCH(E1373, Unit_Paths!$A$2:$A$4, 0)),1)</f>
        <v>144</v>
      </c>
      <c r="I1373" s="6" t="n">
        <f aca="false">ROUND(INDEX(Archetypes!$F$2:$F$127, MATCH(D1373, Archetypes!$A$2:$A$127, 0))*INDEX(Unit_Grades!$B$2:$B$7, MATCH(F1373, Unit_Grades!$A$2:$A$7, 0))*INDEX(Unit_Paths!$C$2:$C$4, MATCH(E1373, Unit_Paths!$A$2:$A$4, 0)),1)</f>
        <v>216</v>
      </c>
      <c r="J1373" s="6" t="n">
        <f aca="false">ROUND(INDEX(Archetypes!$G$2:$G$127, MATCH(D1373, Archetypes!$A$2:$A$127, 0))*INDEX(Unit_Grades!$B$2:$B$7, MATCH(F1373, Unit_Grades!$A$2:$A$7, 0))*INDEX(Unit_Paths!$D$2:$D$4, MATCH(E1373, Unit_Paths!$A$2:$A$4, 0)),0)</f>
        <v>624</v>
      </c>
      <c r="K1373" s="6" t="n">
        <f aca="false">ROUND(INDEX(Archetypes!$H$2:$H$127, MATCH(D1373, Archetypes!$A$2:$A$127, 0))*INDEX(Unit_Paths!$E$2:$E$4, MATCH(E1373, Unit_Paths!$A$2:$A$4, 0)),1)</f>
        <v>26</v>
      </c>
      <c r="L1373" s="6" t="n">
        <f aca="false">ROUND(INDEX(Archetypes!$I$2:$I$127, MATCH(D1373, Archetypes!$A$2:$A$127, 0))*INDEX(Unit_Grades!$C$2:$C$7, MATCH(F1373, Unit_Grades!$A$2:$A$7, 0)),1)</f>
        <v>37.8</v>
      </c>
      <c r="M1373" s="6" t="n">
        <f aca="false">ROUND(INDEX(Archetypes!$J$2:$J$127, MATCH(D1373, Archetypes!$A$2:$A$127, 0))*INDEX(Unit_Grades!$D$2:$D$7, MATCH(F1373, Unit_Grades!$A$2:$A$7, 0)),1)</f>
        <v>29.2</v>
      </c>
      <c r="N1373" s="6" t="n">
        <f aca="false">ROUND(M1373/24,2)</f>
        <v>1.22</v>
      </c>
    </row>
    <row r="1374" customFormat="false" ht="15" hidden="false" customHeight="true" outlineLevel="0" collapsed="false">
      <c r="A1374" s="6" t="n">
        <v>5</v>
      </c>
      <c r="B1374" s="6" t="s">
        <v>2865</v>
      </c>
      <c r="C1374" s="6" t="s">
        <v>1426</v>
      </c>
      <c r="D1374" s="6" t="str">
        <f aca="false">A1374&amp;"|"&amp;C1374</f>
        <v>5|EW Team</v>
      </c>
      <c r="E1374" s="6" t="s">
        <v>1556</v>
      </c>
      <c r="F1374" s="6" t="s">
        <v>1546</v>
      </c>
      <c r="G1374" s="6" t="str">
        <f aca="false">INDEX(Archetypes!$D$2:$D$127, MATCH(D1374, Archetypes!$A$2:$A$127, 0))</f>
        <v>EW/Utility</v>
      </c>
      <c r="H1374" s="6" t="n">
        <f aca="false">ROUND(INDEX(Archetypes!$E$2:$E$127, MATCH(D1374, Archetypes!$A$2:$A$127, 0))*INDEX(Unit_Grades!$B$2:$B$7, MATCH(F1374, Unit_Grades!$A$2:$A$7, 0))*INDEX(Unit_Paths!$B$2:$B$4, MATCH(E1374, Unit_Paths!$A$2:$A$4, 0)),1)</f>
        <v>192</v>
      </c>
      <c r="I1374" s="6" t="n">
        <f aca="false">ROUND(INDEX(Archetypes!$F$2:$F$127, MATCH(D1374, Archetypes!$A$2:$A$127, 0))*INDEX(Unit_Grades!$B$2:$B$7, MATCH(F1374, Unit_Grades!$A$2:$A$7, 0))*INDEX(Unit_Paths!$C$2:$C$4, MATCH(E1374, Unit_Paths!$A$2:$A$4, 0)),1)</f>
        <v>288</v>
      </c>
      <c r="J1374" s="6" t="n">
        <f aca="false">ROUND(INDEX(Archetypes!$G$2:$G$127, MATCH(D1374, Archetypes!$A$2:$A$127, 0))*INDEX(Unit_Grades!$B$2:$B$7, MATCH(F1374, Unit_Grades!$A$2:$A$7, 0))*INDEX(Unit_Paths!$D$2:$D$4, MATCH(E1374, Unit_Paths!$A$2:$A$4, 0)),0)</f>
        <v>832</v>
      </c>
      <c r="K1374" s="6" t="n">
        <f aca="false">ROUND(INDEX(Archetypes!$H$2:$H$127, MATCH(D1374, Archetypes!$A$2:$A$127, 0))*INDEX(Unit_Paths!$E$2:$E$4, MATCH(E1374, Unit_Paths!$A$2:$A$4, 0)),1)</f>
        <v>26</v>
      </c>
      <c r="L1374" s="6" t="n">
        <f aca="false">ROUND(INDEX(Archetypes!$I$2:$I$127, MATCH(D1374, Archetypes!$A$2:$A$127, 0))*INDEX(Unit_Grades!$C$2:$C$7, MATCH(F1374, Unit_Grades!$A$2:$A$7, 0)),1)</f>
        <v>50.4</v>
      </c>
      <c r="M1374" s="6" t="n">
        <f aca="false">ROUND(INDEX(Archetypes!$J$2:$J$127, MATCH(D1374, Archetypes!$A$2:$A$127, 0))*INDEX(Unit_Grades!$D$2:$D$7, MATCH(F1374, Unit_Grades!$A$2:$A$7, 0)),1)</f>
        <v>51.2</v>
      </c>
      <c r="N1374" s="6" t="n">
        <f aca="false">ROUND(M1374/24,2)</f>
        <v>2.13</v>
      </c>
    </row>
    <row r="1375" customFormat="false" ht="15" hidden="false" customHeight="true" outlineLevel="0" collapsed="false">
      <c r="A1375" s="6" t="n">
        <v>5</v>
      </c>
      <c r="B1375" s="6" t="s">
        <v>2866</v>
      </c>
      <c r="C1375" s="6" t="s">
        <v>1426</v>
      </c>
      <c r="D1375" s="6" t="str">
        <f aca="false">A1375&amp;"|"&amp;C1375</f>
        <v>5|EW Team</v>
      </c>
      <c r="E1375" s="6" t="s">
        <v>1556</v>
      </c>
      <c r="F1375" s="6" t="s">
        <v>1548</v>
      </c>
      <c r="G1375" s="6" t="str">
        <f aca="false">INDEX(Archetypes!$D$2:$D$127, MATCH(D1375, Archetypes!$A$2:$A$127, 0))</f>
        <v>EW/Utility</v>
      </c>
      <c r="H1375" s="6" t="n">
        <f aca="false">ROUND(INDEX(Archetypes!$E$2:$E$127, MATCH(D1375, Archetypes!$A$2:$A$127, 0))*INDEX(Unit_Grades!$B$2:$B$7, MATCH(F1375, Unit_Grades!$A$2:$A$7, 0))*INDEX(Unit_Paths!$B$2:$B$4, MATCH(E1375, Unit_Paths!$A$2:$A$4, 0)),1)</f>
        <v>252</v>
      </c>
      <c r="I1375" s="6" t="n">
        <f aca="false">ROUND(INDEX(Archetypes!$F$2:$F$127, MATCH(D1375, Archetypes!$A$2:$A$127, 0))*INDEX(Unit_Grades!$B$2:$B$7, MATCH(F1375, Unit_Grades!$A$2:$A$7, 0))*INDEX(Unit_Paths!$C$2:$C$4, MATCH(E1375, Unit_Paths!$A$2:$A$4, 0)),1)</f>
        <v>378</v>
      </c>
      <c r="J1375" s="6" t="n">
        <f aca="false">ROUND(INDEX(Archetypes!$G$2:$G$127, MATCH(D1375, Archetypes!$A$2:$A$127, 0))*INDEX(Unit_Grades!$B$2:$B$7, MATCH(F1375, Unit_Grades!$A$2:$A$7, 0))*INDEX(Unit_Paths!$D$2:$D$4, MATCH(E1375, Unit_Paths!$A$2:$A$4, 0)),0)</f>
        <v>1092</v>
      </c>
      <c r="K1375" s="6" t="n">
        <f aca="false">ROUND(INDEX(Archetypes!$H$2:$H$127, MATCH(D1375, Archetypes!$A$2:$A$127, 0))*INDEX(Unit_Paths!$E$2:$E$4, MATCH(E1375, Unit_Paths!$A$2:$A$4, 0)),1)</f>
        <v>26</v>
      </c>
      <c r="L1375" s="6" t="n">
        <f aca="false">ROUND(INDEX(Archetypes!$I$2:$I$127, MATCH(D1375, Archetypes!$A$2:$A$127, 0))*INDEX(Unit_Grades!$C$2:$C$7, MATCH(F1375, Unit_Grades!$A$2:$A$7, 0)),1)</f>
        <v>66.6</v>
      </c>
      <c r="M1375" s="6" t="n">
        <f aca="false">ROUND(INDEX(Archetypes!$J$2:$J$127, MATCH(D1375, Archetypes!$A$2:$A$127, 0))*INDEX(Unit_Grades!$D$2:$D$7, MATCH(F1375, Unit_Grades!$A$2:$A$7, 0)),1)</f>
        <v>87.7</v>
      </c>
      <c r="N1375" s="6" t="n">
        <f aca="false">ROUND(M1375/24,2)</f>
        <v>3.65</v>
      </c>
    </row>
    <row r="1376" customFormat="false" ht="15" hidden="false" customHeight="true" outlineLevel="0" collapsed="false">
      <c r="A1376" s="6" t="n">
        <v>5</v>
      </c>
      <c r="B1376" s="6" t="s">
        <v>2867</v>
      </c>
      <c r="C1376" s="6" t="s">
        <v>1426</v>
      </c>
      <c r="D1376" s="6" t="str">
        <f aca="false">A1376&amp;"|"&amp;C1376</f>
        <v>5|EW Team</v>
      </c>
      <c r="E1376" s="6" t="s">
        <v>1558</v>
      </c>
      <c r="F1376" s="6" t="s">
        <v>1538</v>
      </c>
      <c r="G1376" s="6" t="str">
        <f aca="false">INDEX(Archetypes!$D$2:$D$127, MATCH(D1376, Archetypes!$A$2:$A$127, 0))</f>
        <v>EW/Utility</v>
      </c>
      <c r="H1376" s="6" t="n">
        <f aca="false">ROUND(INDEX(Archetypes!$E$2:$E$127, MATCH(D1376, Archetypes!$A$2:$A$127, 0))*INDEX(Unit_Grades!$B$2:$B$7, MATCH(F1376, Unit_Grades!$A$2:$A$7, 0))*INDEX(Unit_Paths!$B$2:$B$4, MATCH(E1376, Unit_Paths!$A$2:$A$4, 0)),1)</f>
        <v>72</v>
      </c>
      <c r="I1376" s="6" t="n">
        <f aca="false">ROUND(INDEX(Archetypes!$F$2:$F$127, MATCH(D1376, Archetypes!$A$2:$A$127, 0))*INDEX(Unit_Grades!$B$2:$B$7, MATCH(F1376, Unit_Grades!$A$2:$A$7, 0))*INDEX(Unit_Paths!$C$2:$C$4, MATCH(E1376, Unit_Paths!$A$2:$A$4, 0)),1)</f>
        <v>76.5</v>
      </c>
      <c r="J1376" s="6" t="n">
        <f aca="false">ROUND(INDEX(Archetypes!$G$2:$G$127, MATCH(D1376, Archetypes!$A$2:$A$127, 0))*INDEX(Unit_Grades!$B$2:$B$7, MATCH(F1376, Unit_Grades!$A$2:$A$7, 0))*INDEX(Unit_Paths!$D$2:$D$4, MATCH(E1376, Unit_Paths!$A$2:$A$4, 0)),0)</f>
        <v>247</v>
      </c>
      <c r="K1376" s="6" t="n">
        <f aca="false">ROUND(INDEX(Archetypes!$H$2:$H$127, MATCH(D1376, Archetypes!$A$2:$A$127, 0))*INDEX(Unit_Paths!$E$2:$E$4, MATCH(E1376, Unit_Paths!$A$2:$A$4, 0)),1)</f>
        <v>27.3</v>
      </c>
      <c r="L1376" s="6" t="n">
        <f aca="false">ROUND(INDEX(Archetypes!$I$2:$I$127, MATCH(D1376, Archetypes!$A$2:$A$127, 0))*INDEX(Unit_Grades!$C$2:$C$7, MATCH(F1376, Unit_Grades!$A$2:$A$7, 0)),1)</f>
        <v>18</v>
      </c>
      <c r="M1376" s="6" t="n">
        <f aca="false">ROUND(INDEX(Archetypes!$J$2:$J$127, MATCH(D1376, Archetypes!$A$2:$A$127, 0))*INDEX(Unit_Grades!$D$2:$D$7, MATCH(F1376, Unit_Grades!$A$2:$A$7, 0)),1)</f>
        <v>7.3</v>
      </c>
      <c r="N1376" s="6" t="n">
        <f aca="false">ROUND(M1376/24,2)</f>
        <v>0.3</v>
      </c>
    </row>
    <row r="1377" customFormat="false" ht="15" hidden="false" customHeight="true" outlineLevel="0" collapsed="false">
      <c r="A1377" s="6" t="n">
        <v>5</v>
      </c>
      <c r="B1377" s="6" t="s">
        <v>2868</v>
      </c>
      <c r="C1377" s="6" t="s">
        <v>1426</v>
      </c>
      <c r="D1377" s="6" t="str">
        <f aca="false">A1377&amp;"|"&amp;C1377</f>
        <v>5|EW Team</v>
      </c>
      <c r="E1377" s="6" t="s">
        <v>1558</v>
      </c>
      <c r="F1377" s="6" t="s">
        <v>1540</v>
      </c>
      <c r="G1377" s="6" t="str">
        <f aca="false">INDEX(Archetypes!$D$2:$D$127, MATCH(D1377, Archetypes!$A$2:$A$127, 0))</f>
        <v>EW/Utility</v>
      </c>
      <c r="H1377" s="6" t="n">
        <f aca="false">ROUND(INDEX(Archetypes!$E$2:$E$127, MATCH(D1377, Archetypes!$A$2:$A$127, 0))*INDEX(Unit_Grades!$B$2:$B$7, MATCH(F1377, Unit_Grades!$A$2:$A$7, 0))*INDEX(Unit_Paths!$B$2:$B$4, MATCH(E1377, Unit_Paths!$A$2:$A$4, 0)),1)</f>
        <v>97.2</v>
      </c>
      <c r="I1377" s="6" t="n">
        <f aca="false">ROUND(INDEX(Archetypes!$F$2:$F$127, MATCH(D1377, Archetypes!$A$2:$A$127, 0))*INDEX(Unit_Grades!$B$2:$B$7, MATCH(F1377, Unit_Grades!$A$2:$A$7, 0))*INDEX(Unit_Paths!$C$2:$C$4, MATCH(E1377, Unit_Paths!$A$2:$A$4, 0)),1)</f>
        <v>103.3</v>
      </c>
      <c r="J1377" s="6" t="n">
        <f aca="false">ROUND(INDEX(Archetypes!$G$2:$G$127, MATCH(D1377, Archetypes!$A$2:$A$127, 0))*INDEX(Unit_Grades!$B$2:$B$7, MATCH(F1377, Unit_Grades!$A$2:$A$7, 0))*INDEX(Unit_Paths!$D$2:$D$4, MATCH(E1377, Unit_Paths!$A$2:$A$4, 0)),0)</f>
        <v>333</v>
      </c>
      <c r="K1377" s="6" t="n">
        <f aca="false">ROUND(INDEX(Archetypes!$H$2:$H$127, MATCH(D1377, Archetypes!$A$2:$A$127, 0))*INDEX(Unit_Paths!$E$2:$E$4, MATCH(E1377, Unit_Paths!$A$2:$A$4, 0)),1)</f>
        <v>27.3</v>
      </c>
      <c r="L1377" s="6" t="n">
        <f aca="false">ROUND(INDEX(Archetypes!$I$2:$I$127, MATCH(D1377, Archetypes!$A$2:$A$127, 0))*INDEX(Unit_Grades!$C$2:$C$7, MATCH(F1377, Unit_Grades!$A$2:$A$7, 0)),1)</f>
        <v>22.5</v>
      </c>
      <c r="M1377" s="6" t="n">
        <f aca="false">ROUND(INDEX(Archetypes!$J$2:$J$127, MATCH(D1377, Archetypes!$A$2:$A$127, 0))*INDEX(Unit_Grades!$D$2:$D$7, MATCH(F1377, Unit_Grades!$A$2:$A$7, 0)),1)</f>
        <v>11</v>
      </c>
      <c r="N1377" s="6" t="n">
        <f aca="false">ROUND(M1377/24,2)</f>
        <v>0.46</v>
      </c>
    </row>
    <row r="1378" customFormat="false" ht="15" hidden="false" customHeight="true" outlineLevel="0" collapsed="false">
      <c r="A1378" s="6" t="n">
        <v>5</v>
      </c>
      <c r="B1378" s="6" t="s">
        <v>2869</v>
      </c>
      <c r="C1378" s="6" t="s">
        <v>1426</v>
      </c>
      <c r="D1378" s="6" t="str">
        <f aca="false">A1378&amp;"|"&amp;C1378</f>
        <v>5|EW Team</v>
      </c>
      <c r="E1378" s="6" t="s">
        <v>1558</v>
      </c>
      <c r="F1378" s="6" t="s">
        <v>1542</v>
      </c>
      <c r="G1378" s="6" t="str">
        <f aca="false">INDEX(Archetypes!$D$2:$D$127, MATCH(D1378, Archetypes!$A$2:$A$127, 0))</f>
        <v>EW/Utility</v>
      </c>
      <c r="H1378" s="6" t="n">
        <f aca="false">ROUND(INDEX(Archetypes!$E$2:$E$127, MATCH(D1378, Archetypes!$A$2:$A$127, 0))*INDEX(Unit_Grades!$B$2:$B$7, MATCH(F1378, Unit_Grades!$A$2:$A$7, 0))*INDEX(Unit_Paths!$B$2:$B$4, MATCH(E1378, Unit_Paths!$A$2:$A$4, 0)),1)</f>
        <v>129.6</v>
      </c>
      <c r="I1378" s="6" t="n">
        <f aca="false">ROUND(INDEX(Archetypes!$F$2:$F$127, MATCH(D1378, Archetypes!$A$2:$A$127, 0))*INDEX(Unit_Grades!$B$2:$B$7, MATCH(F1378, Unit_Grades!$A$2:$A$7, 0))*INDEX(Unit_Paths!$C$2:$C$4, MATCH(E1378, Unit_Paths!$A$2:$A$4, 0)),1)</f>
        <v>137.7</v>
      </c>
      <c r="J1378" s="6" t="n">
        <f aca="false">ROUND(INDEX(Archetypes!$G$2:$G$127, MATCH(D1378, Archetypes!$A$2:$A$127, 0))*INDEX(Unit_Grades!$B$2:$B$7, MATCH(F1378, Unit_Grades!$A$2:$A$7, 0))*INDEX(Unit_Paths!$D$2:$D$4, MATCH(E1378, Unit_Paths!$A$2:$A$4, 0)),0)</f>
        <v>445</v>
      </c>
      <c r="K1378" s="6" t="n">
        <f aca="false">ROUND(INDEX(Archetypes!$H$2:$H$127, MATCH(D1378, Archetypes!$A$2:$A$127, 0))*INDEX(Unit_Paths!$E$2:$E$4, MATCH(E1378, Unit_Paths!$A$2:$A$4, 0)),1)</f>
        <v>27.3</v>
      </c>
      <c r="L1378" s="6" t="n">
        <f aca="false">ROUND(INDEX(Archetypes!$I$2:$I$127, MATCH(D1378, Archetypes!$A$2:$A$127, 0))*INDEX(Unit_Grades!$C$2:$C$7, MATCH(F1378, Unit_Grades!$A$2:$A$7, 0)),1)</f>
        <v>28.8</v>
      </c>
      <c r="M1378" s="6" t="n">
        <f aca="false">ROUND(INDEX(Archetypes!$J$2:$J$127, MATCH(D1378, Archetypes!$A$2:$A$127, 0))*INDEX(Unit_Grades!$D$2:$D$7, MATCH(F1378, Unit_Grades!$A$2:$A$7, 0)),1)</f>
        <v>18.3</v>
      </c>
      <c r="N1378" s="6" t="n">
        <f aca="false">ROUND(M1378/24,2)</f>
        <v>0.76</v>
      </c>
    </row>
    <row r="1379" customFormat="false" ht="15" hidden="false" customHeight="true" outlineLevel="0" collapsed="false">
      <c r="A1379" s="6" t="n">
        <v>5</v>
      </c>
      <c r="B1379" s="6" t="s">
        <v>2870</v>
      </c>
      <c r="C1379" s="6" t="s">
        <v>1426</v>
      </c>
      <c r="D1379" s="6" t="str">
        <f aca="false">A1379&amp;"|"&amp;C1379</f>
        <v>5|EW Team</v>
      </c>
      <c r="E1379" s="6" t="s">
        <v>1558</v>
      </c>
      <c r="F1379" s="6" t="s">
        <v>1544</v>
      </c>
      <c r="G1379" s="6" t="str">
        <f aca="false">INDEX(Archetypes!$D$2:$D$127, MATCH(D1379, Archetypes!$A$2:$A$127, 0))</f>
        <v>EW/Utility</v>
      </c>
      <c r="H1379" s="6" t="n">
        <f aca="false">ROUND(INDEX(Archetypes!$E$2:$E$127, MATCH(D1379, Archetypes!$A$2:$A$127, 0))*INDEX(Unit_Grades!$B$2:$B$7, MATCH(F1379, Unit_Grades!$A$2:$A$7, 0))*INDEX(Unit_Paths!$B$2:$B$4, MATCH(E1379, Unit_Paths!$A$2:$A$4, 0)),1)</f>
        <v>172.8</v>
      </c>
      <c r="I1379" s="6" t="n">
        <f aca="false">ROUND(INDEX(Archetypes!$F$2:$F$127, MATCH(D1379, Archetypes!$A$2:$A$127, 0))*INDEX(Unit_Grades!$B$2:$B$7, MATCH(F1379, Unit_Grades!$A$2:$A$7, 0))*INDEX(Unit_Paths!$C$2:$C$4, MATCH(E1379, Unit_Paths!$A$2:$A$4, 0)),1)</f>
        <v>183.6</v>
      </c>
      <c r="J1379" s="6" t="n">
        <f aca="false">ROUND(INDEX(Archetypes!$G$2:$G$127, MATCH(D1379, Archetypes!$A$2:$A$127, 0))*INDEX(Unit_Grades!$B$2:$B$7, MATCH(F1379, Unit_Grades!$A$2:$A$7, 0))*INDEX(Unit_Paths!$D$2:$D$4, MATCH(E1379, Unit_Paths!$A$2:$A$4, 0)),0)</f>
        <v>593</v>
      </c>
      <c r="K1379" s="6" t="n">
        <f aca="false">ROUND(INDEX(Archetypes!$H$2:$H$127, MATCH(D1379, Archetypes!$A$2:$A$127, 0))*INDEX(Unit_Paths!$E$2:$E$4, MATCH(E1379, Unit_Paths!$A$2:$A$4, 0)),1)</f>
        <v>27.3</v>
      </c>
      <c r="L1379" s="6" t="n">
        <f aca="false">ROUND(INDEX(Archetypes!$I$2:$I$127, MATCH(D1379, Archetypes!$A$2:$A$127, 0))*INDEX(Unit_Grades!$C$2:$C$7, MATCH(F1379, Unit_Grades!$A$2:$A$7, 0)),1)</f>
        <v>37.8</v>
      </c>
      <c r="M1379" s="6" t="n">
        <f aca="false">ROUND(INDEX(Archetypes!$J$2:$J$127, MATCH(D1379, Archetypes!$A$2:$A$127, 0))*INDEX(Unit_Grades!$D$2:$D$7, MATCH(F1379, Unit_Grades!$A$2:$A$7, 0)),1)</f>
        <v>29.2</v>
      </c>
      <c r="N1379" s="6" t="n">
        <f aca="false">ROUND(M1379/24,2)</f>
        <v>1.22</v>
      </c>
    </row>
    <row r="1380" customFormat="false" ht="15" hidden="false" customHeight="true" outlineLevel="0" collapsed="false">
      <c r="A1380" s="6" t="n">
        <v>5</v>
      </c>
      <c r="B1380" s="6" t="s">
        <v>2871</v>
      </c>
      <c r="C1380" s="6" t="s">
        <v>1426</v>
      </c>
      <c r="D1380" s="6" t="str">
        <f aca="false">A1380&amp;"|"&amp;C1380</f>
        <v>5|EW Team</v>
      </c>
      <c r="E1380" s="6" t="s">
        <v>1558</v>
      </c>
      <c r="F1380" s="6" t="s">
        <v>1546</v>
      </c>
      <c r="G1380" s="6" t="str">
        <f aca="false">INDEX(Archetypes!$D$2:$D$127, MATCH(D1380, Archetypes!$A$2:$A$127, 0))</f>
        <v>EW/Utility</v>
      </c>
      <c r="H1380" s="6" t="n">
        <f aca="false">ROUND(INDEX(Archetypes!$E$2:$E$127, MATCH(D1380, Archetypes!$A$2:$A$127, 0))*INDEX(Unit_Grades!$B$2:$B$7, MATCH(F1380, Unit_Grades!$A$2:$A$7, 0))*INDEX(Unit_Paths!$B$2:$B$4, MATCH(E1380, Unit_Paths!$A$2:$A$4, 0)),1)</f>
        <v>230.4</v>
      </c>
      <c r="I1380" s="6" t="n">
        <f aca="false">ROUND(INDEX(Archetypes!$F$2:$F$127, MATCH(D1380, Archetypes!$A$2:$A$127, 0))*INDEX(Unit_Grades!$B$2:$B$7, MATCH(F1380, Unit_Grades!$A$2:$A$7, 0))*INDEX(Unit_Paths!$C$2:$C$4, MATCH(E1380, Unit_Paths!$A$2:$A$4, 0)),1)</f>
        <v>244.8</v>
      </c>
      <c r="J1380" s="6" t="n">
        <f aca="false">ROUND(INDEX(Archetypes!$G$2:$G$127, MATCH(D1380, Archetypes!$A$2:$A$127, 0))*INDEX(Unit_Grades!$B$2:$B$7, MATCH(F1380, Unit_Grades!$A$2:$A$7, 0))*INDEX(Unit_Paths!$D$2:$D$4, MATCH(E1380, Unit_Paths!$A$2:$A$4, 0)),0)</f>
        <v>790</v>
      </c>
      <c r="K1380" s="6" t="n">
        <f aca="false">ROUND(INDEX(Archetypes!$H$2:$H$127, MATCH(D1380, Archetypes!$A$2:$A$127, 0))*INDEX(Unit_Paths!$E$2:$E$4, MATCH(E1380, Unit_Paths!$A$2:$A$4, 0)),1)</f>
        <v>27.3</v>
      </c>
      <c r="L1380" s="6" t="n">
        <f aca="false">ROUND(INDEX(Archetypes!$I$2:$I$127, MATCH(D1380, Archetypes!$A$2:$A$127, 0))*INDEX(Unit_Grades!$C$2:$C$7, MATCH(F1380, Unit_Grades!$A$2:$A$7, 0)),1)</f>
        <v>50.4</v>
      </c>
      <c r="M1380" s="6" t="n">
        <f aca="false">ROUND(INDEX(Archetypes!$J$2:$J$127, MATCH(D1380, Archetypes!$A$2:$A$127, 0))*INDEX(Unit_Grades!$D$2:$D$7, MATCH(F1380, Unit_Grades!$A$2:$A$7, 0)),1)</f>
        <v>51.2</v>
      </c>
      <c r="N1380" s="6" t="n">
        <f aca="false">ROUND(M1380/24,2)</f>
        <v>2.13</v>
      </c>
    </row>
    <row r="1381" customFormat="false" ht="15" hidden="false" customHeight="true" outlineLevel="0" collapsed="false">
      <c r="A1381" s="6" t="n">
        <v>5</v>
      </c>
      <c r="B1381" s="6" t="s">
        <v>2872</v>
      </c>
      <c r="C1381" s="6" t="s">
        <v>1426</v>
      </c>
      <c r="D1381" s="6" t="str">
        <f aca="false">A1381&amp;"|"&amp;C1381</f>
        <v>5|EW Team</v>
      </c>
      <c r="E1381" s="6" t="s">
        <v>1558</v>
      </c>
      <c r="F1381" s="6" t="s">
        <v>1548</v>
      </c>
      <c r="G1381" s="6" t="str">
        <f aca="false">INDEX(Archetypes!$D$2:$D$127, MATCH(D1381, Archetypes!$A$2:$A$127, 0))</f>
        <v>EW/Utility</v>
      </c>
      <c r="H1381" s="6" t="n">
        <f aca="false">ROUND(INDEX(Archetypes!$E$2:$E$127, MATCH(D1381, Archetypes!$A$2:$A$127, 0))*INDEX(Unit_Grades!$B$2:$B$7, MATCH(F1381, Unit_Grades!$A$2:$A$7, 0))*INDEX(Unit_Paths!$B$2:$B$4, MATCH(E1381, Unit_Paths!$A$2:$A$4, 0)),1)</f>
        <v>302.4</v>
      </c>
      <c r="I1381" s="6" t="n">
        <f aca="false">ROUND(INDEX(Archetypes!$F$2:$F$127, MATCH(D1381, Archetypes!$A$2:$A$127, 0))*INDEX(Unit_Grades!$B$2:$B$7, MATCH(F1381, Unit_Grades!$A$2:$A$7, 0))*INDEX(Unit_Paths!$C$2:$C$4, MATCH(E1381, Unit_Paths!$A$2:$A$4, 0)),1)</f>
        <v>321.3</v>
      </c>
      <c r="J1381" s="6" t="n">
        <f aca="false">ROUND(INDEX(Archetypes!$G$2:$G$127, MATCH(D1381, Archetypes!$A$2:$A$127, 0))*INDEX(Unit_Grades!$B$2:$B$7, MATCH(F1381, Unit_Grades!$A$2:$A$7, 0))*INDEX(Unit_Paths!$D$2:$D$4, MATCH(E1381, Unit_Paths!$A$2:$A$4, 0)),0)</f>
        <v>1037</v>
      </c>
      <c r="K1381" s="6" t="n">
        <f aca="false">ROUND(INDEX(Archetypes!$H$2:$H$127, MATCH(D1381, Archetypes!$A$2:$A$127, 0))*INDEX(Unit_Paths!$E$2:$E$4, MATCH(E1381, Unit_Paths!$A$2:$A$4, 0)),1)</f>
        <v>27.3</v>
      </c>
      <c r="L1381" s="6" t="n">
        <f aca="false">ROUND(INDEX(Archetypes!$I$2:$I$127, MATCH(D1381, Archetypes!$A$2:$A$127, 0))*INDEX(Unit_Grades!$C$2:$C$7, MATCH(F1381, Unit_Grades!$A$2:$A$7, 0)),1)</f>
        <v>66.6</v>
      </c>
      <c r="M1381" s="6" t="n">
        <f aca="false">ROUND(INDEX(Archetypes!$J$2:$J$127, MATCH(D1381, Archetypes!$A$2:$A$127, 0))*INDEX(Unit_Grades!$D$2:$D$7, MATCH(F1381, Unit_Grades!$A$2:$A$7, 0)),1)</f>
        <v>87.7</v>
      </c>
      <c r="N1381" s="6" t="n">
        <f aca="false">ROUND(M1381/24,2)</f>
        <v>3.65</v>
      </c>
    </row>
    <row r="1382" customFormat="false" ht="15" hidden="false" customHeight="true" outlineLevel="0" collapsed="false">
      <c r="A1382" s="6" t="n">
        <v>5</v>
      </c>
      <c r="B1382" s="6" t="s">
        <v>2873</v>
      </c>
      <c r="C1382" s="6" t="s">
        <v>1426</v>
      </c>
      <c r="D1382" s="6" t="str">
        <f aca="false">A1382&amp;"|"&amp;C1382</f>
        <v>5|EW Team</v>
      </c>
      <c r="E1382" s="6" t="s">
        <v>1560</v>
      </c>
      <c r="F1382" s="6" t="s">
        <v>1538</v>
      </c>
      <c r="G1382" s="6" t="str">
        <f aca="false">INDEX(Archetypes!$D$2:$D$127, MATCH(D1382, Archetypes!$A$2:$A$127, 0))</f>
        <v>EW/Utility</v>
      </c>
      <c r="H1382" s="6" t="n">
        <f aca="false">ROUND(INDEX(Archetypes!$E$2:$E$127, MATCH(D1382, Archetypes!$A$2:$A$127, 0))*INDEX(Unit_Grades!$B$2:$B$7, MATCH(F1382, Unit_Grades!$A$2:$A$7, 0))*INDEX(Unit_Paths!$B$2:$B$4, MATCH(E1382, Unit_Paths!$A$2:$A$4, 0)),1)</f>
        <v>51</v>
      </c>
      <c r="I1382" s="6" t="n">
        <f aca="false">ROUND(INDEX(Archetypes!$F$2:$F$127, MATCH(D1382, Archetypes!$A$2:$A$127, 0))*INDEX(Unit_Grades!$B$2:$B$7, MATCH(F1382, Unit_Grades!$A$2:$A$7, 0))*INDEX(Unit_Paths!$C$2:$C$4, MATCH(E1382, Unit_Paths!$A$2:$A$4, 0)),1)</f>
        <v>112.5</v>
      </c>
      <c r="J1382" s="6" t="n">
        <f aca="false">ROUND(INDEX(Archetypes!$G$2:$G$127, MATCH(D1382, Archetypes!$A$2:$A$127, 0))*INDEX(Unit_Grades!$B$2:$B$7, MATCH(F1382, Unit_Grades!$A$2:$A$7, 0))*INDEX(Unit_Paths!$D$2:$D$4, MATCH(E1382, Unit_Paths!$A$2:$A$4, 0)),0)</f>
        <v>299</v>
      </c>
      <c r="K1382" s="6" t="n">
        <f aca="false">ROUND(INDEX(Archetypes!$H$2:$H$127, MATCH(D1382, Archetypes!$A$2:$A$127, 0))*INDEX(Unit_Paths!$E$2:$E$4, MATCH(E1382, Unit_Paths!$A$2:$A$4, 0)),1)</f>
        <v>23.9</v>
      </c>
      <c r="L1382" s="6" t="n">
        <f aca="false">ROUND(INDEX(Archetypes!$I$2:$I$127, MATCH(D1382, Archetypes!$A$2:$A$127, 0))*INDEX(Unit_Grades!$C$2:$C$7, MATCH(F1382, Unit_Grades!$A$2:$A$7, 0)),1)</f>
        <v>18</v>
      </c>
      <c r="M1382" s="6" t="n">
        <f aca="false">ROUND(INDEX(Archetypes!$J$2:$J$127, MATCH(D1382, Archetypes!$A$2:$A$127, 0))*INDEX(Unit_Grades!$D$2:$D$7, MATCH(F1382, Unit_Grades!$A$2:$A$7, 0)),1)</f>
        <v>7.3</v>
      </c>
      <c r="N1382" s="6" t="n">
        <f aca="false">ROUND(M1382/24,2)</f>
        <v>0.3</v>
      </c>
    </row>
    <row r="1383" customFormat="false" ht="15" hidden="false" customHeight="true" outlineLevel="0" collapsed="false">
      <c r="A1383" s="6" t="n">
        <v>5</v>
      </c>
      <c r="B1383" s="6" t="s">
        <v>2874</v>
      </c>
      <c r="C1383" s="6" t="s">
        <v>1426</v>
      </c>
      <c r="D1383" s="6" t="str">
        <f aca="false">A1383&amp;"|"&amp;C1383</f>
        <v>5|EW Team</v>
      </c>
      <c r="E1383" s="6" t="s">
        <v>1560</v>
      </c>
      <c r="F1383" s="6" t="s">
        <v>1540</v>
      </c>
      <c r="G1383" s="6" t="str">
        <f aca="false">INDEX(Archetypes!$D$2:$D$127, MATCH(D1383, Archetypes!$A$2:$A$127, 0))</f>
        <v>EW/Utility</v>
      </c>
      <c r="H1383" s="6" t="n">
        <f aca="false">ROUND(INDEX(Archetypes!$E$2:$E$127, MATCH(D1383, Archetypes!$A$2:$A$127, 0))*INDEX(Unit_Grades!$B$2:$B$7, MATCH(F1383, Unit_Grades!$A$2:$A$7, 0))*INDEX(Unit_Paths!$B$2:$B$4, MATCH(E1383, Unit_Paths!$A$2:$A$4, 0)),1)</f>
        <v>68.9</v>
      </c>
      <c r="I1383" s="6" t="n">
        <f aca="false">ROUND(INDEX(Archetypes!$F$2:$F$127, MATCH(D1383, Archetypes!$A$2:$A$127, 0))*INDEX(Unit_Grades!$B$2:$B$7, MATCH(F1383, Unit_Grades!$A$2:$A$7, 0))*INDEX(Unit_Paths!$C$2:$C$4, MATCH(E1383, Unit_Paths!$A$2:$A$4, 0)),1)</f>
        <v>151.9</v>
      </c>
      <c r="J1383" s="6" t="n">
        <f aca="false">ROUND(INDEX(Archetypes!$G$2:$G$127, MATCH(D1383, Archetypes!$A$2:$A$127, 0))*INDEX(Unit_Grades!$B$2:$B$7, MATCH(F1383, Unit_Grades!$A$2:$A$7, 0))*INDEX(Unit_Paths!$D$2:$D$4, MATCH(E1383, Unit_Paths!$A$2:$A$4, 0)),0)</f>
        <v>404</v>
      </c>
      <c r="K1383" s="6" t="n">
        <f aca="false">ROUND(INDEX(Archetypes!$H$2:$H$127, MATCH(D1383, Archetypes!$A$2:$A$127, 0))*INDEX(Unit_Paths!$E$2:$E$4, MATCH(E1383, Unit_Paths!$A$2:$A$4, 0)),1)</f>
        <v>23.9</v>
      </c>
      <c r="L1383" s="6" t="n">
        <f aca="false">ROUND(INDEX(Archetypes!$I$2:$I$127, MATCH(D1383, Archetypes!$A$2:$A$127, 0))*INDEX(Unit_Grades!$C$2:$C$7, MATCH(F1383, Unit_Grades!$A$2:$A$7, 0)),1)</f>
        <v>22.5</v>
      </c>
      <c r="M1383" s="6" t="n">
        <f aca="false">ROUND(INDEX(Archetypes!$J$2:$J$127, MATCH(D1383, Archetypes!$A$2:$A$127, 0))*INDEX(Unit_Grades!$D$2:$D$7, MATCH(F1383, Unit_Grades!$A$2:$A$7, 0)),1)</f>
        <v>11</v>
      </c>
      <c r="N1383" s="6" t="n">
        <f aca="false">ROUND(M1383/24,2)</f>
        <v>0.46</v>
      </c>
    </row>
    <row r="1384" customFormat="false" ht="15" hidden="false" customHeight="true" outlineLevel="0" collapsed="false">
      <c r="A1384" s="6" t="n">
        <v>5</v>
      </c>
      <c r="B1384" s="6" t="s">
        <v>2875</v>
      </c>
      <c r="C1384" s="6" t="s">
        <v>1426</v>
      </c>
      <c r="D1384" s="6" t="str">
        <f aca="false">A1384&amp;"|"&amp;C1384</f>
        <v>5|EW Team</v>
      </c>
      <c r="E1384" s="6" t="s">
        <v>1560</v>
      </c>
      <c r="F1384" s="6" t="s">
        <v>1542</v>
      </c>
      <c r="G1384" s="6" t="str">
        <f aca="false">INDEX(Archetypes!$D$2:$D$127, MATCH(D1384, Archetypes!$A$2:$A$127, 0))</f>
        <v>EW/Utility</v>
      </c>
      <c r="H1384" s="6" t="n">
        <f aca="false">ROUND(INDEX(Archetypes!$E$2:$E$127, MATCH(D1384, Archetypes!$A$2:$A$127, 0))*INDEX(Unit_Grades!$B$2:$B$7, MATCH(F1384, Unit_Grades!$A$2:$A$7, 0))*INDEX(Unit_Paths!$B$2:$B$4, MATCH(E1384, Unit_Paths!$A$2:$A$4, 0)),1)</f>
        <v>91.8</v>
      </c>
      <c r="I1384" s="6" t="n">
        <f aca="false">ROUND(INDEX(Archetypes!$F$2:$F$127, MATCH(D1384, Archetypes!$A$2:$A$127, 0))*INDEX(Unit_Grades!$B$2:$B$7, MATCH(F1384, Unit_Grades!$A$2:$A$7, 0))*INDEX(Unit_Paths!$C$2:$C$4, MATCH(E1384, Unit_Paths!$A$2:$A$4, 0)),1)</f>
        <v>202.5</v>
      </c>
      <c r="J1384" s="6" t="n">
        <f aca="false">ROUND(INDEX(Archetypes!$G$2:$G$127, MATCH(D1384, Archetypes!$A$2:$A$127, 0))*INDEX(Unit_Grades!$B$2:$B$7, MATCH(F1384, Unit_Grades!$A$2:$A$7, 0))*INDEX(Unit_Paths!$D$2:$D$4, MATCH(E1384, Unit_Paths!$A$2:$A$4, 0)),0)</f>
        <v>538</v>
      </c>
      <c r="K1384" s="6" t="n">
        <f aca="false">ROUND(INDEX(Archetypes!$H$2:$H$127, MATCH(D1384, Archetypes!$A$2:$A$127, 0))*INDEX(Unit_Paths!$E$2:$E$4, MATCH(E1384, Unit_Paths!$A$2:$A$4, 0)),1)</f>
        <v>23.9</v>
      </c>
      <c r="L1384" s="6" t="n">
        <f aca="false">ROUND(INDEX(Archetypes!$I$2:$I$127, MATCH(D1384, Archetypes!$A$2:$A$127, 0))*INDEX(Unit_Grades!$C$2:$C$7, MATCH(F1384, Unit_Grades!$A$2:$A$7, 0)),1)</f>
        <v>28.8</v>
      </c>
      <c r="M1384" s="6" t="n">
        <f aca="false">ROUND(INDEX(Archetypes!$J$2:$J$127, MATCH(D1384, Archetypes!$A$2:$A$127, 0))*INDEX(Unit_Grades!$D$2:$D$7, MATCH(F1384, Unit_Grades!$A$2:$A$7, 0)),1)</f>
        <v>18.3</v>
      </c>
      <c r="N1384" s="6" t="n">
        <f aca="false">ROUND(M1384/24,2)</f>
        <v>0.76</v>
      </c>
    </row>
    <row r="1385" customFormat="false" ht="15" hidden="false" customHeight="true" outlineLevel="0" collapsed="false">
      <c r="A1385" s="6" t="n">
        <v>5</v>
      </c>
      <c r="B1385" s="6" t="s">
        <v>2876</v>
      </c>
      <c r="C1385" s="6" t="s">
        <v>1426</v>
      </c>
      <c r="D1385" s="6" t="str">
        <f aca="false">A1385&amp;"|"&amp;C1385</f>
        <v>5|EW Team</v>
      </c>
      <c r="E1385" s="6" t="s">
        <v>1560</v>
      </c>
      <c r="F1385" s="6" t="s">
        <v>1544</v>
      </c>
      <c r="G1385" s="6" t="str">
        <f aca="false">INDEX(Archetypes!$D$2:$D$127, MATCH(D1385, Archetypes!$A$2:$A$127, 0))</f>
        <v>EW/Utility</v>
      </c>
      <c r="H1385" s="6" t="n">
        <f aca="false">ROUND(INDEX(Archetypes!$E$2:$E$127, MATCH(D1385, Archetypes!$A$2:$A$127, 0))*INDEX(Unit_Grades!$B$2:$B$7, MATCH(F1385, Unit_Grades!$A$2:$A$7, 0))*INDEX(Unit_Paths!$B$2:$B$4, MATCH(E1385, Unit_Paths!$A$2:$A$4, 0)),1)</f>
        <v>122.4</v>
      </c>
      <c r="I1385" s="6" t="n">
        <f aca="false">ROUND(INDEX(Archetypes!$F$2:$F$127, MATCH(D1385, Archetypes!$A$2:$A$127, 0))*INDEX(Unit_Grades!$B$2:$B$7, MATCH(F1385, Unit_Grades!$A$2:$A$7, 0))*INDEX(Unit_Paths!$C$2:$C$4, MATCH(E1385, Unit_Paths!$A$2:$A$4, 0)),1)</f>
        <v>270</v>
      </c>
      <c r="J1385" s="6" t="n">
        <f aca="false">ROUND(INDEX(Archetypes!$G$2:$G$127, MATCH(D1385, Archetypes!$A$2:$A$127, 0))*INDEX(Unit_Grades!$B$2:$B$7, MATCH(F1385, Unit_Grades!$A$2:$A$7, 0))*INDEX(Unit_Paths!$D$2:$D$4, MATCH(E1385, Unit_Paths!$A$2:$A$4, 0)),0)</f>
        <v>718</v>
      </c>
      <c r="K1385" s="6" t="n">
        <f aca="false">ROUND(INDEX(Archetypes!$H$2:$H$127, MATCH(D1385, Archetypes!$A$2:$A$127, 0))*INDEX(Unit_Paths!$E$2:$E$4, MATCH(E1385, Unit_Paths!$A$2:$A$4, 0)),1)</f>
        <v>23.9</v>
      </c>
      <c r="L1385" s="6" t="n">
        <f aca="false">ROUND(INDEX(Archetypes!$I$2:$I$127, MATCH(D1385, Archetypes!$A$2:$A$127, 0))*INDEX(Unit_Grades!$C$2:$C$7, MATCH(F1385, Unit_Grades!$A$2:$A$7, 0)),1)</f>
        <v>37.8</v>
      </c>
      <c r="M1385" s="6" t="n">
        <f aca="false">ROUND(INDEX(Archetypes!$J$2:$J$127, MATCH(D1385, Archetypes!$A$2:$A$127, 0))*INDEX(Unit_Grades!$D$2:$D$7, MATCH(F1385, Unit_Grades!$A$2:$A$7, 0)),1)</f>
        <v>29.2</v>
      </c>
      <c r="N1385" s="6" t="n">
        <f aca="false">ROUND(M1385/24,2)</f>
        <v>1.22</v>
      </c>
    </row>
    <row r="1386" customFormat="false" ht="15" hidden="false" customHeight="true" outlineLevel="0" collapsed="false">
      <c r="A1386" s="6" t="n">
        <v>5</v>
      </c>
      <c r="B1386" s="6" t="s">
        <v>2877</v>
      </c>
      <c r="C1386" s="6" t="s">
        <v>1426</v>
      </c>
      <c r="D1386" s="6" t="str">
        <f aca="false">A1386&amp;"|"&amp;C1386</f>
        <v>5|EW Team</v>
      </c>
      <c r="E1386" s="6" t="s">
        <v>1560</v>
      </c>
      <c r="F1386" s="6" t="s">
        <v>1546</v>
      </c>
      <c r="G1386" s="6" t="str">
        <f aca="false">INDEX(Archetypes!$D$2:$D$127, MATCH(D1386, Archetypes!$A$2:$A$127, 0))</f>
        <v>EW/Utility</v>
      </c>
      <c r="H1386" s="6" t="n">
        <f aca="false">ROUND(INDEX(Archetypes!$E$2:$E$127, MATCH(D1386, Archetypes!$A$2:$A$127, 0))*INDEX(Unit_Grades!$B$2:$B$7, MATCH(F1386, Unit_Grades!$A$2:$A$7, 0))*INDEX(Unit_Paths!$B$2:$B$4, MATCH(E1386, Unit_Paths!$A$2:$A$4, 0)),1)</f>
        <v>163.2</v>
      </c>
      <c r="I1386" s="6" t="n">
        <f aca="false">ROUND(INDEX(Archetypes!$F$2:$F$127, MATCH(D1386, Archetypes!$A$2:$A$127, 0))*INDEX(Unit_Grades!$B$2:$B$7, MATCH(F1386, Unit_Grades!$A$2:$A$7, 0))*INDEX(Unit_Paths!$C$2:$C$4, MATCH(E1386, Unit_Paths!$A$2:$A$4, 0)),1)</f>
        <v>360</v>
      </c>
      <c r="J1386" s="6" t="n">
        <f aca="false">ROUND(INDEX(Archetypes!$G$2:$G$127, MATCH(D1386, Archetypes!$A$2:$A$127, 0))*INDEX(Unit_Grades!$B$2:$B$7, MATCH(F1386, Unit_Grades!$A$2:$A$7, 0))*INDEX(Unit_Paths!$D$2:$D$4, MATCH(E1386, Unit_Paths!$A$2:$A$4, 0)),0)</f>
        <v>957</v>
      </c>
      <c r="K1386" s="6" t="n">
        <f aca="false">ROUND(INDEX(Archetypes!$H$2:$H$127, MATCH(D1386, Archetypes!$A$2:$A$127, 0))*INDEX(Unit_Paths!$E$2:$E$4, MATCH(E1386, Unit_Paths!$A$2:$A$4, 0)),1)</f>
        <v>23.9</v>
      </c>
      <c r="L1386" s="6" t="n">
        <f aca="false">ROUND(INDEX(Archetypes!$I$2:$I$127, MATCH(D1386, Archetypes!$A$2:$A$127, 0))*INDEX(Unit_Grades!$C$2:$C$7, MATCH(F1386, Unit_Grades!$A$2:$A$7, 0)),1)</f>
        <v>50.4</v>
      </c>
      <c r="M1386" s="6" t="n">
        <f aca="false">ROUND(INDEX(Archetypes!$J$2:$J$127, MATCH(D1386, Archetypes!$A$2:$A$127, 0))*INDEX(Unit_Grades!$D$2:$D$7, MATCH(F1386, Unit_Grades!$A$2:$A$7, 0)),1)</f>
        <v>51.2</v>
      </c>
      <c r="N1386" s="6" t="n">
        <f aca="false">ROUND(M1386/24,2)</f>
        <v>2.13</v>
      </c>
    </row>
    <row r="1387" customFormat="false" ht="15" hidden="false" customHeight="true" outlineLevel="0" collapsed="false">
      <c r="A1387" s="6" t="n">
        <v>5</v>
      </c>
      <c r="B1387" s="6" t="s">
        <v>2878</v>
      </c>
      <c r="C1387" s="6" t="s">
        <v>1426</v>
      </c>
      <c r="D1387" s="6" t="str">
        <f aca="false">A1387&amp;"|"&amp;C1387</f>
        <v>5|EW Team</v>
      </c>
      <c r="E1387" s="6" t="s">
        <v>1560</v>
      </c>
      <c r="F1387" s="6" t="s">
        <v>1548</v>
      </c>
      <c r="G1387" s="6" t="str">
        <f aca="false">INDEX(Archetypes!$D$2:$D$127, MATCH(D1387, Archetypes!$A$2:$A$127, 0))</f>
        <v>EW/Utility</v>
      </c>
      <c r="H1387" s="6" t="n">
        <f aca="false">ROUND(INDEX(Archetypes!$E$2:$E$127, MATCH(D1387, Archetypes!$A$2:$A$127, 0))*INDEX(Unit_Grades!$B$2:$B$7, MATCH(F1387, Unit_Grades!$A$2:$A$7, 0))*INDEX(Unit_Paths!$B$2:$B$4, MATCH(E1387, Unit_Paths!$A$2:$A$4, 0)),1)</f>
        <v>214.2</v>
      </c>
      <c r="I1387" s="6" t="n">
        <f aca="false">ROUND(INDEX(Archetypes!$F$2:$F$127, MATCH(D1387, Archetypes!$A$2:$A$127, 0))*INDEX(Unit_Grades!$B$2:$B$7, MATCH(F1387, Unit_Grades!$A$2:$A$7, 0))*INDEX(Unit_Paths!$C$2:$C$4, MATCH(E1387, Unit_Paths!$A$2:$A$4, 0)),1)</f>
        <v>472.5</v>
      </c>
      <c r="J1387" s="6" t="n">
        <f aca="false">ROUND(INDEX(Archetypes!$G$2:$G$127, MATCH(D1387, Archetypes!$A$2:$A$127, 0))*INDEX(Unit_Grades!$B$2:$B$7, MATCH(F1387, Unit_Grades!$A$2:$A$7, 0))*INDEX(Unit_Paths!$D$2:$D$4, MATCH(E1387, Unit_Paths!$A$2:$A$4, 0)),0)</f>
        <v>1256</v>
      </c>
      <c r="K1387" s="6" t="n">
        <f aca="false">ROUND(INDEX(Archetypes!$H$2:$H$127, MATCH(D1387, Archetypes!$A$2:$A$127, 0))*INDEX(Unit_Paths!$E$2:$E$4, MATCH(E1387, Unit_Paths!$A$2:$A$4, 0)),1)</f>
        <v>23.9</v>
      </c>
      <c r="L1387" s="6" t="n">
        <f aca="false">ROUND(INDEX(Archetypes!$I$2:$I$127, MATCH(D1387, Archetypes!$A$2:$A$127, 0))*INDEX(Unit_Grades!$C$2:$C$7, MATCH(F1387, Unit_Grades!$A$2:$A$7, 0)),1)</f>
        <v>66.6</v>
      </c>
      <c r="M1387" s="6" t="n">
        <f aca="false">ROUND(INDEX(Archetypes!$J$2:$J$127, MATCH(D1387, Archetypes!$A$2:$A$127, 0))*INDEX(Unit_Grades!$D$2:$D$7, MATCH(F1387, Unit_Grades!$A$2:$A$7, 0)),1)</f>
        <v>87.7</v>
      </c>
      <c r="N1387" s="6" t="n">
        <f aca="false">ROUND(M1387/24,2)</f>
        <v>3.65</v>
      </c>
    </row>
    <row r="1388" customFormat="false" ht="15" hidden="false" customHeight="true" outlineLevel="0" collapsed="false">
      <c r="A1388" s="6" t="n">
        <v>5</v>
      </c>
      <c r="B1388" s="6" t="s">
        <v>1429</v>
      </c>
      <c r="C1388" s="6" t="s">
        <v>1429</v>
      </c>
      <c r="D1388" s="6" t="str">
        <f aca="false">A1388&amp;"|"&amp;C1388</f>
        <v>5|Orbital Lander</v>
      </c>
      <c r="E1388" s="6" t="s">
        <v>1556</v>
      </c>
      <c r="F1388" s="6" t="s">
        <v>1538</v>
      </c>
      <c r="G1388" s="6" t="str">
        <f aca="false">INDEX(Archetypes!$D$2:$D$127, MATCH(D1388, Archetypes!$A$2:$A$127, 0))</f>
        <v>Logistics</v>
      </c>
      <c r="H1388" s="6" t="n">
        <f aca="false">ROUND(INDEX(Archetypes!$E$2:$E$127, MATCH(D1388, Archetypes!$A$2:$A$127, 0))*INDEX(Unit_Grades!$B$2:$B$7, MATCH(F1388, Unit_Grades!$A$2:$A$7, 0))*INDEX(Unit_Paths!$B$2:$B$4, MATCH(E1388, Unit_Paths!$A$2:$A$4, 0)),1)</f>
        <v>60</v>
      </c>
      <c r="I1388" s="6" t="n">
        <f aca="false">ROUND(INDEX(Archetypes!$F$2:$F$127, MATCH(D1388, Archetypes!$A$2:$A$127, 0))*INDEX(Unit_Grades!$B$2:$B$7, MATCH(F1388, Unit_Grades!$A$2:$A$7, 0))*INDEX(Unit_Paths!$C$2:$C$4, MATCH(E1388, Unit_Paths!$A$2:$A$4, 0)),1)</f>
        <v>140</v>
      </c>
      <c r="J1388" s="6" t="n">
        <f aca="false">ROUND(INDEX(Archetypes!$G$2:$G$127, MATCH(D1388, Archetypes!$A$2:$A$127, 0))*INDEX(Unit_Grades!$B$2:$B$7, MATCH(F1388, Unit_Grades!$A$2:$A$7, 0))*INDEX(Unit_Paths!$D$2:$D$4, MATCH(E1388, Unit_Paths!$A$2:$A$4, 0)),0)</f>
        <v>520</v>
      </c>
      <c r="K1388" s="6" t="n">
        <f aca="false">ROUND(INDEX(Archetypes!$H$2:$H$127, MATCH(D1388, Archetypes!$A$2:$A$127, 0))*INDEX(Unit_Paths!$E$2:$E$4, MATCH(E1388, Unit_Paths!$A$2:$A$4, 0)),1)</f>
        <v>50</v>
      </c>
      <c r="L1388" s="6" t="n">
        <f aca="false">ROUND(INDEX(Archetypes!$I$2:$I$127, MATCH(D1388, Archetypes!$A$2:$A$127, 0))*INDEX(Unit_Grades!$C$2:$C$7, MATCH(F1388, Unit_Grades!$A$2:$A$7, 0)),1)</f>
        <v>22</v>
      </c>
      <c r="M1388" s="6" t="n">
        <f aca="false">ROUND(INDEX(Archetypes!$J$2:$J$127, MATCH(D1388, Archetypes!$A$2:$A$127, 0))*INDEX(Unit_Grades!$D$2:$D$7, MATCH(F1388, Unit_Grades!$A$2:$A$7, 0)),1)</f>
        <v>8.9</v>
      </c>
      <c r="N1388" s="6" t="n">
        <f aca="false">ROUND(M1388/24,2)</f>
        <v>0.37</v>
      </c>
    </row>
    <row r="1389" customFormat="false" ht="15" hidden="false" customHeight="true" outlineLevel="0" collapsed="false">
      <c r="A1389" s="6" t="n">
        <v>5</v>
      </c>
      <c r="B1389" s="6" t="s">
        <v>2879</v>
      </c>
      <c r="C1389" s="6" t="s">
        <v>1429</v>
      </c>
      <c r="D1389" s="6" t="str">
        <f aca="false">A1389&amp;"|"&amp;C1389</f>
        <v>5|Orbital Lander</v>
      </c>
      <c r="E1389" s="6" t="s">
        <v>1556</v>
      </c>
      <c r="F1389" s="6" t="s">
        <v>1540</v>
      </c>
      <c r="G1389" s="6" t="str">
        <f aca="false">INDEX(Archetypes!$D$2:$D$127, MATCH(D1389, Archetypes!$A$2:$A$127, 0))</f>
        <v>Logistics</v>
      </c>
      <c r="H1389" s="6" t="n">
        <f aca="false">ROUND(INDEX(Archetypes!$E$2:$E$127, MATCH(D1389, Archetypes!$A$2:$A$127, 0))*INDEX(Unit_Grades!$B$2:$B$7, MATCH(F1389, Unit_Grades!$A$2:$A$7, 0))*INDEX(Unit_Paths!$B$2:$B$4, MATCH(E1389, Unit_Paths!$A$2:$A$4, 0)),1)</f>
        <v>81</v>
      </c>
      <c r="I1389" s="6" t="n">
        <f aca="false">ROUND(INDEX(Archetypes!$F$2:$F$127, MATCH(D1389, Archetypes!$A$2:$A$127, 0))*INDEX(Unit_Grades!$B$2:$B$7, MATCH(F1389, Unit_Grades!$A$2:$A$7, 0))*INDEX(Unit_Paths!$C$2:$C$4, MATCH(E1389, Unit_Paths!$A$2:$A$4, 0)),1)</f>
        <v>189</v>
      </c>
      <c r="J1389" s="6" t="n">
        <f aca="false">ROUND(INDEX(Archetypes!$G$2:$G$127, MATCH(D1389, Archetypes!$A$2:$A$127, 0))*INDEX(Unit_Grades!$B$2:$B$7, MATCH(F1389, Unit_Grades!$A$2:$A$7, 0))*INDEX(Unit_Paths!$D$2:$D$4, MATCH(E1389, Unit_Paths!$A$2:$A$4, 0)),0)</f>
        <v>702</v>
      </c>
      <c r="K1389" s="6" t="n">
        <f aca="false">ROUND(INDEX(Archetypes!$H$2:$H$127, MATCH(D1389, Archetypes!$A$2:$A$127, 0))*INDEX(Unit_Paths!$E$2:$E$4, MATCH(E1389, Unit_Paths!$A$2:$A$4, 0)),1)</f>
        <v>50</v>
      </c>
      <c r="L1389" s="6" t="n">
        <f aca="false">ROUND(INDEX(Archetypes!$I$2:$I$127, MATCH(D1389, Archetypes!$A$2:$A$127, 0))*INDEX(Unit_Grades!$C$2:$C$7, MATCH(F1389, Unit_Grades!$A$2:$A$7, 0)),1)</f>
        <v>27.5</v>
      </c>
      <c r="M1389" s="6" t="n">
        <f aca="false">ROUND(INDEX(Archetypes!$J$2:$J$127, MATCH(D1389, Archetypes!$A$2:$A$127, 0))*INDEX(Unit_Grades!$D$2:$D$7, MATCH(F1389, Unit_Grades!$A$2:$A$7, 0)),1)</f>
        <v>13.4</v>
      </c>
      <c r="N1389" s="6" t="n">
        <f aca="false">ROUND(M1389/24,2)</f>
        <v>0.56</v>
      </c>
    </row>
    <row r="1390" customFormat="false" ht="15" hidden="false" customHeight="true" outlineLevel="0" collapsed="false">
      <c r="A1390" s="6" t="n">
        <v>5</v>
      </c>
      <c r="B1390" s="6" t="s">
        <v>2880</v>
      </c>
      <c r="C1390" s="6" t="s">
        <v>1429</v>
      </c>
      <c r="D1390" s="6" t="str">
        <f aca="false">A1390&amp;"|"&amp;C1390</f>
        <v>5|Orbital Lander</v>
      </c>
      <c r="E1390" s="6" t="s">
        <v>1556</v>
      </c>
      <c r="F1390" s="6" t="s">
        <v>1542</v>
      </c>
      <c r="G1390" s="6" t="str">
        <f aca="false">INDEX(Archetypes!$D$2:$D$127, MATCH(D1390, Archetypes!$A$2:$A$127, 0))</f>
        <v>Logistics</v>
      </c>
      <c r="H1390" s="6" t="n">
        <f aca="false">ROUND(INDEX(Archetypes!$E$2:$E$127, MATCH(D1390, Archetypes!$A$2:$A$127, 0))*INDEX(Unit_Grades!$B$2:$B$7, MATCH(F1390, Unit_Grades!$A$2:$A$7, 0))*INDEX(Unit_Paths!$B$2:$B$4, MATCH(E1390, Unit_Paths!$A$2:$A$4, 0)),1)</f>
        <v>108</v>
      </c>
      <c r="I1390" s="6" t="n">
        <f aca="false">ROUND(INDEX(Archetypes!$F$2:$F$127, MATCH(D1390, Archetypes!$A$2:$A$127, 0))*INDEX(Unit_Grades!$B$2:$B$7, MATCH(F1390, Unit_Grades!$A$2:$A$7, 0))*INDEX(Unit_Paths!$C$2:$C$4, MATCH(E1390, Unit_Paths!$A$2:$A$4, 0)),1)</f>
        <v>252</v>
      </c>
      <c r="J1390" s="6" t="n">
        <f aca="false">ROUND(INDEX(Archetypes!$G$2:$G$127, MATCH(D1390, Archetypes!$A$2:$A$127, 0))*INDEX(Unit_Grades!$B$2:$B$7, MATCH(F1390, Unit_Grades!$A$2:$A$7, 0))*INDEX(Unit_Paths!$D$2:$D$4, MATCH(E1390, Unit_Paths!$A$2:$A$4, 0)),0)</f>
        <v>936</v>
      </c>
      <c r="K1390" s="6" t="n">
        <f aca="false">ROUND(INDEX(Archetypes!$H$2:$H$127, MATCH(D1390, Archetypes!$A$2:$A$127, 0))*INDEX(Unit_Paths!$E$2:$E$4, MATCH(E1390, Unit_Paths!$A$2:$A$4, 0)),1)</f>
        <v>50</v>
      </c>
      <c r="L1390" s="6" t="n">
        <f aca="false">ROUND(INDEX(Archetypes!$I$2:$I$127, MATCH(D1390, Archetypes!$A$2:$A$127, 0))*INDEX(Unit_Grades!$C$2:$C$7, MATCH(F1390, Unit_Grades!$A$2:$A$7, 0)),1)</f>
        <v>35.2</v>
      </c>
      <c r="M1390" s="6" t="n">
        <f aca="false">ROUND(INDEX(Archetypes!$J$2:$J$127, MATCH(D1390, Archetypes!$A$2:$A$127, 0))*INDEX(Unit_Grades!$D$2:$D$7, MATCH(F1390, Unit_Grades!$A$2:$A$7, 0)),1)</f>
        <v>22.3</v>
      </c>
      <c r="N1390" s="6" t="n">
        <f aca="false">ROUND(M1390/24,2)</f>
        <v>0.93</v>
      </c>
    </row>
    <row r="1391" customFormat="false" ht="15" hidden="false" customHeight="true" outlineLevel="0" collapsed="false">
      <c r="A1391" s="6" t="n">
        <v>5</v>
      </c>
      <c r="B1391" s="6" t="s">
        <v>2881</v>
      </c>
      <c r="C1391" s="6" t="s">
        <v>1429</v>
      </c>
      <c r="D1391" s="6" t="str">
        <f aca="false">A1391&amp;"|"&amp;C1391</f>
        <v>5|Orbital Lander</v>
      </c>
      <c r="E1391" s="6" t="s">
        <v>1556</v>
      </c>
      <c r="F1391" s="6" t="s">
        <v>1544</v>
      </c>
      <c r="G1391" s="6" t="str">
        <f aca="false">INDEX(Archetypes!$D$2:$D$127, MATCH(D1391, Archetypes!$A$2:$A$127, 0))</f>
        <v>Logistics</v>
      </c>
      <c r="H1391" s="6" t="n">
        <f aca="false">ROUND(INDEX(Archetypes!$E$2:$E$127, MATCH(D1391, Archetypes!$A$2:$A$127, 0))*INDEX(Unit_Grades!$B$2:$B$7, MATCH(F1391, Unit_Grades!$A$2:$A$7, 0))*INDEX(Unit_Paths!$B$2:$B$4, MATCH(E1391, Unit_Paths!$A$2:$A$4, 0)),1)</f>
        <v>144</v>
      </c>
      <c r="I1391" s="6" t="n">
        <f aca="false">ROUND(INDEX(Archetypes!$F$2:$F$127, MATCH(D1391, Archetypes!$A$2:$A$127, 0))*INDEX(Unit_Grades!$B$2:$B$7, MATCH(F1391, Unit_Grades!$A$2:$A$7, 0))*INDEX(Unit_Paths!$C$2:$C$4, MATCH(E1391, Unit_Paths!$A$2:$A$4, 0)),1)</f>
        <v>336</v>
      </c>
      <c r="J1391" s="6" t="n">
        <f aca="false">ROUND(INDEX(Archetypes!$G$2:$G$127, MATCH(D1391, Archetypes!$A$2:$A$127, 0))*INDEX(Unit_Grades!$B$2:$B$7, MATCH(F1391, Unit_Grades!$A$2:$A$7, 0))*INDEX(Unit_Paths!$D$2:$D$4, MATCH(E1391, Unit_Paths!$A$2:$A$4, 0)),0)</f>
        <v>1248</v>
      </c>
      <c r="K1391" s="6" t="n">
        <f aca="false">ROUND(INDEX(Archetypes!$H$2:$H$127, MATCH(D1391, Archetypes!$A$2:$A$127, 0))*INDEX(Unit_Paths!$E$2:$E$4, MATCH(E1391, Unit_Paths!$A$2:$A$4, 0)),1)</f>
        <v>50</v>
      </c>
      <c r="L1391" s="6" t="n">
        <f aca="false">ROUND(INDEX(Archetypes!$I$2:$I$127, MATCH(D1391, Archetypes!$A$2:$A$127, 0))*INDEX(Unit_Grades!$C$2:$C$7, MATCH(F1391, Unit_Grades!$A$2:$A$7, 0)),1)</f>
        <v>46.2</v>
      </c>
      <c r="M1391" s="6" t="n">
        <f aca="false">ROUND(INDEX(Archetypes!$J$2:$J$127, MATCH(D1391, Archetypes!$A$2:$A$127, 0))*INDEX(Unit_Grades!$D$2:$D$7, MATCH(F1391, Unit_Grades!$A$2:$A$7, 0)),1)</f>
        <v>35.7</v>
      </c>
      <c r="N1391" s="6" t="n">
        <f aca="false">ROUND(M1391/24,2)</f>
        <v>1.49</v>
      </c>
    </row>
    <row r="1392" customFormat="false" ht="15" hidden="false" customHeight="true" outlineLevel="0" collapsed="false">
      <c r="A1392" s="6" t="n">
        <v>5</v>
      </c>
      <c r="B1392" s="6" t="s">
        <v>2882</v>
      </c>
      <c r="C1392" s="6" t="s">
        <v>1429</v>
      </c>
      <c r="D1392" s="6" t="str">
        <f aca="false">A1392&amp;"|"&amp;C1392</f>
        <v>5|Orbital Lander</v>
      </c>
      <c r="E1392" s="6" t="s">
        <v>1556</v>
      </c>
      <c r="F1392" s="6" t="s">
        <v>1546</v>
      </c>
      <c r="G1392" s="6" t="str">
        <f aca="false">INDEX(Archetypes!$D$2:$D$127, MATCH(D1392, Archetypes!$A$2:$A$127, 0))</f>
        <v>Logistics</v>
      </c>
      <c r="H1392" s="6" t="n">
        <f aca="false">ROUND(INDEX(Archetypes!$E$2:$E$127, MATCH(D1392, Archetypes!$A$2:$A$127, 0))*INDEX(Unit_Grades!$B$2:$B$7, MATCH(F1392, Unit_Grades!$A$2:$A$7, 0))*INDEX(Unit_Paths!$B$2:$B$4, MATCH(E1392, Unit_Paths!$A$2:$A$4, 0)),1)</f>
        <v>192</v>
      </c>
      <c r="I1392" s="6" t="n">
        <f aca="false">ROUND(INDEX(Archetypes!$F$2:$F$127, MATCH(D1392, Archetypes!$A$2:$A$127, 0))*INDEX(Unit_Grades!$B$2:$B$7, MATCH(F1392, Unit_Grades!$A$2:$A$7, 0))*INDEX(Unit_Paths!$C$2:$C$4, MATCH(E1392, Unit_Paths!$A$2:$A$4, 0)),1)</f>
        <v>448</v>
      </c>
      <c r="J1392" s="6" t="n">
        <f aca="false">ROUND(INDEX(Archetypes!$G$2:$G$127, MATCH(D1392, Archetypes!$A$2:$A$127, 0))*INDEX(Unit_Grades!$B$2:$B$7, MATCH(F1392, Unit_Grades!$A$2:$A$7, 0))*INDEX(Unit_Paths!$D$2:$D$4, MATCH(E1392, Unit_Paths!$A$2:$A$4, 0)),0)</f>
        <v>1664</v>
      </c>
      <c r="K1392" s="6" t="n">
        <f aca="false">ROUND(INDEX(Archetypes!$H$2:$H$127, MATCH(D1392, Archetypes!$A$2:$A$127, 0))*INDEX(Unit_Paths!$E$2:$E$4, MATCH(E1392, Unit_Paths!$A$2:$A$4, 0)),1)</f>
        <v>50</v>
      </c>
      <c r="L1392" s="6" t="n">
        <f aca="false">ROUND(INDEX(Archetypes!$I$2:$I$127, MATCH(D1392, Archetypes!$A$2:$A$127, 0))*INDEX(Unit_Grades!$C$2:$C$7, MATCH(F1392, Unit_Grades!$A$2:$A$7, 0)),1)</f>
        <v>61.6</v>
      </c>
      <c r="M1392" s="6" t="n">
        <f aca="false">ROUND(INDEX(Archetypes!$J$2:$J$127, MATCH(D1392, Archetypes!$A$2:$A$127, 0))*INDEX(Unit_Grades!$D$2:$D$7, MATCH(F1392, Unit_Grades!$A$2:$A$7, 0)),1)</f>
        <v>62.5</v>
      </c>
      <c r="N1392" s="6" t="n">
        <f aca="false">ROUND(M1392/24,2)</f>
        <v>2.6</v>
      </c>
    </row>
    <row r="1393" customFormat="false" ht="15" hidden="false" customHeight="true" outlineLevel="0" collapsed="false">
      <c r="A1393" s="6" t="n">
        <v>5</v>
      </c>
      <c r="B1393" s="6" t="s">
        <v>2883</v>
      </c>
      <c r="C1393" s="6" t="s">
        <v>1429</v>
      </c>
      <c r="D1393" s="6" t="str">
        <f aca="false">A1393&amp;"|"&amp;C1393</f>
        <v>5|Orbital Lander</v>
      </c>
      <c r="E1393" s="6" t="s">
        <v>1556</v>
      </c>
      <c r="F1393" s="6" t="s">
        <v>1548</v>
      </c>
      <c r="G1393" s="6" t="str">
        <f aca="false">INDEX(Archetypes!$D$2:$D$127, MATCH(D1393, Archetypes!$A$2:$A$127, 0))</f>
        <v>Logistics</v>
      </c>
      <c r="H1393" s="6" t="n">
        <f aca="false">ROUND(INDEX(Archetypes!$E$2:$E$127, MATCH(D1393, Archetypes!$A$2:$A$127, 0))*INDEX(Unit_Grades!$B$2:$B$7, MATCH(F1393, Unit_Grades!$A$2:$A$7, 0))*INDEX(Unit_Paths!$B$2:$B$4, MATCH(E1393, Unit_Paths!$A$2:$A$4, 0)),1)</f>
        <v>252</v>
      </c>
      <c r="I1393" s="6" t="n">
        <f aca="false">ROUND(INDEX(Archetypes!$F$2:$F$127, MATCH(D1393, Archetypes!$A$2:$A$127, 0))*INDEX(Unit_Grades!$B$2:$B$7, MATCH(F1393, Unit_Grades!$A$2:$A$7, 0))*INDEX(Unit_Paths!$C$2:$C$4, MATCH(E1393, Unit_Paths!$A$2:$A$4, 0)),1)</f>
        <v>588</v>
      </c>
      <c r="J1393" s="6" t="n">
        <f aca="false">ROUND(INDEX(Archetypes!$G$2:$G$127, MATCH(D1393, Archetypes!$A$2:$A$127, 0))*INDEX(Unit_Grades!$B$2:$B$7, MATCH(F1393, Unit_Grades!$A$2:$A$7, 0))*INDEX(Unit_Paths!$D$2:$D$4, MATCH(E1393, Unit_Paths!$A$2:$A$4, 0)),0)</f>
        <v>2184</v>
      </c>
      <c r="K1393" s="6" t="n">
        <f aca="false">ROUND(INDEX(Archetypes!$H$2:$H$127, MATCH(D1393, Archetypes!$A$2:$A$127, 0))*INDEX(Unit_Paths!$E$2:$E$4, MATCH(E1393, Unit_Paths!$A$2:$A$4, 0)),1)</f>
        <v>50</v>
      </c>
      <c r="L1393" s="6" t="n">
        <f aca="false">ROUND(INDEX(Archetypes!$I$2:$I$127, MATCH(D1393, Archetypes!$A$2:$A$127, 0))*INDEX(Unit_Grades!$C$2:$C$7, MATCH(F1393, Unit_Grades!$A$2:$A$7, 0)),1)</f>
        <v>81.4</v>
      </c>
      <c r="M1393" s="6" t="n">
        <f aca="false">ROUND(INDEX(Archetypes!$J$2:$J$127, MATCH(D1393, Archetypes!$A$2:$A$127, 0))*INDEX(Unit_Grades!$D$2:$D$7, MATCH(F1393, Unit_Grades!$A$2:$A$7, 0)),1)</f>
        <v>107.2</v>
      </c>
      <c r="N1393" s="6" t="n">
        <f aca="false">ROUND(M1393/24,2)</f>
        <v>4.47</v>
      </c>
    </row>
    <row r="1394" customFormat="false" ht="15" hidden="false" customHeight="true" outlineLevel="0" collapsed="false">
      <c r="A1394" s="6" t="n">
        <v>5</v>
      </c>
      <c r="B1394" s="6" t="s">
        <v>2884</v>
      </c>
      <c r="C1394" s="6" t="s">
        <v>1429</v>
      </c>
      <c r="D1394" s="6" t="str">
        <f aca="false">A1394&amp;"|"&amp;C1394</f>
        <v>5|Orbital Lander</v>
      </c>
      <c r="E1394" s="6" t="s">
        <v>1558</v>
      </c>
      <c r="F1394" s="6" t="s">
        <v>1538</v>
      </c>
      <c r="G1394" s="6" t="str">
        <f aca="false">INDEX(Archetypes!$D$2:$D$127, MATCH(D1394, Archetypes!$A$2:$A$127, 0))</f>
        <v>Logistics</v>
      </c>
      <c r="H1394" s="6" t="n">
        <f aca="false">ROUND(INDEX(Archetypes!$E$2:$E$127, MATCH(D1394, Archetypes!$A$2:$A$127, 0))*INDEX(Unit_Grades!$B$2:$B$7, MATCH(F1394, Unit_Grades!$A$2:$A$7, 0))*INDEX(Unit_Paths!$B$2:$B$4, MATCH(E1394, Unit_Paths!$A$2:$A$4, 0)),1)</f>
        <v>72</v>
      </c>
      <c r="I1394" s="6" t="n">
        <f aca="false">ROUND(INDEX(Archetypes!$F$2:$F$127, MATCH(D1394, Archetypes!$A$2:$A$127, 0))*INDEX(Unit_Grades!$B$2:$B$7, MATCH(F1394, Unit_Grades!$A$2:$A$7, 0))*INDEX(Unit_Paths!$C$2:$C$4, MATCH(E1394, Unit_Paths!$A$2:$A$4, 0)),1)</f>
        <v>119</v>
      </c>
      <c r="J1394" s="6" t="n">
        <f aca="false">ROUND(INDEX(Archetypes!$G$2:$G$127, MATCH(D1394, Archetypes!$A$2:$A$127, 0))*INDEX(Unit_Grades!$B$2:$B$7, MATCH(F1394, Unit_Grades!$A$2:$A$7, 0))*INDEX(Unit_Paths!$D$2:$D$4, MATCH(E1394, Unit_Paths!$A$2:$A$4, 0)),0)</f>
        <v>494</v>
      </c>
      <c r="K1394" s="6" t="n">
        <f aca="false">ROUND(INDEX(Archetypes!$H$2:$H$127, MATCH(D1394, Archetypes!$A$2:$A$127, 0))*INDEX(Unit_Paths!$E$2:$E$4, MATCH(E1394, Unit_Paths!$A$2:$A$4, 0)),1)</f>
        <v>52.5</v>
      </c>
      <c r="L1394" s="6" t="n">
        <f aca="false">ROUND(INDEX(Archetypes!$I$2:$I$127, MATCH(D1394, Archetypes!$A$2:$A$127, 0))*INDEX(Unit_Grades!$C$2:$C$7, MATCH(F1394, Unit_Grades!$A$2:$A$7, 0)),1)</f>
        <v>22</v>
      </c>
      <c r="M1394" s="6" t="n">
        <f aca="false">ROUND(INDEX(Archetypes!$J$2:$J$127, MATCH(D1394, Archetypes!$A$2:$A$127, 0))*INDEX(Unit_Grades!$D$2:$D$7, MATCH(F1394, Unit_Grades!$A$2:$A$7, 0)),1)</f>
        <v>8.9</v>
      </c>
      <c r="N1394" s="6" t="n">
        <f aca="false">ROUND(M1394/24,2)</f>
        <v>0.37</v>
      </c>
    </row>
    <row r="1395" customFormat="false" ht="15" hidden="false" customHeight="true" outlineLevel="0" collapsed="false">
      <c r="A1395" s="6" t="n">
        <v>5</v>
      </c>
      <c r="B1395" s="6" t="s">
        <v>2885</v>
      </c>
      <c r="C1395" s="6" t="s">
        <v>1429</v>
      </c>
      <c r="D1395" s="6" t="str">
        <f aca="false">A1395&amp;"|"&amp;C1395</f>
        <v>5|Orbital Lander</v>
      </c>
      <c r="E1395" s="6" t="s">
        <v>1558</v>
      </c>
      <c r="F1395" s="6" t="s">
        <v>1540</v>
      </c>
      <c r="G1395" s="6" t="str">
        <f aca="false">INDEX(Archetypes!$D$2:$D$127, MATCH(D1395, Archetypes!$A$2:$A$127, 0))</f>
        <v>Logistics</v>
      </c>
      <c r="H1395" s="6" t="n">
        <f aca="false">ROUND(INDEX(Archetypes!$E$2:$E$127, MATCH(D1395, Archetypes!$A$2:$A$127, 0))*INDEX(Unit_Grades!$B$2:$B$7, MATCH(F1395, Unit_Grades!$A$2:$A$7, 0))*INDEX(Unit_Paths!$B$2:$B$4, MATCH(E1395, Unit_Paths!$A$2:$A$4, 0)),1)</f>
        <v>97.2</v>
      </c>
      <c r="I1395" s="6" t="n">
        <f aca="false">ROUND(INDEX(Archetypes!$F$2:$F$127, MATCH(D1395, Archetypes!$A$2:$A$127, 0))*INDEX(Unit_Grades!$B$2:$B$7, MATCH(F1395, Unit_Grades!$A$2:$A$7, 0))*INDEX(Unit_Paths!$C$2:$C$4, MATCH(E1395, Unit_Paths!$A$2:$A$4, 0)),1)</f>
        <v>160.7</v>
      </c>
      <c r="J1395" s="6" t="n">
        <f aca="false">ROUND(INDEX(Archetypes!$G$2:$G$127, MATCH(D1395, Archetypes!$A$2:$A$127, 0))*INDEX(Unit_Grades!$B$2:$B$7, MATCH(F1395, Unit_Grades!$A$2:$A$7, 0))*INDEX(Unit_Paths!$D$2:$D$4, MATCH(E1395, Unit_Paths!$A$2:$A$4, 0)),0)</f>
        <v>667</v>
      </c>
      <c r="K1395" s="6" t="n">
        <f aca="false">ROUND(INDEX(Archetypes!$H$2:$H$127, MATCH(D1395, Archetypes!$A$2:$A$127, 0))*INDEX(Unit_Paths!$E$2:$E$4, MATCH(E1395, Unit_Paths!$A$2:$A$4, 0)),1)</f>
        <v>52.5</v>
      </c>
      <c r="L1395" s="6" t="n">
        <f aca="false">ROUND(INDEX(Archetypes!$I$2:$I$127, MATCH(D1395, Archetypes!$A$2:$A$127, 0))*INDEX(Unit_Grades!$C$2:$C$7, MATCH(F1395, Unit_Grades!$A$2:$A$7, 0)),1)</f>
        <v>27.5</v>
      </c>
      <c r="M1395" s="6" t="n">
        <f aca="false">ROUND(INDEX(Archetypes!$J$2:$J$127, MATCH(D1395, Archetypes!$A$2:$A$127, 0))*INDEX(Unit_Grades!$D$2:$D$7, MATCH(F1395, Unit_Grades!$A$2:$A$7, 0)),1)</f>
        <v>13.4</v>
      </c>
      <c r="N1395" s="6" t="n">
        <f aca="false">ROUND(M1395/24,2)</f>
        <v>0.56</v>
      </c>
    </row>
    <row r="1396" customFormat="false" ht="15" hidden="false" customHeight="true" outlineLevel="0" collapsed="false">
      <c r="A1396" s="6" t="n">
        <v>5</v>
      </c>
      <c r="B1396" s="6" t="s">
        <v>2886</v>
      </c>
      <c r="C1396" s="6" t="s">
        <v>1429</v>
      </c>
      <c r="D1396" s="6" t="str">
        <f aca="false">A1396&amp;"|"&amp;C1396</f>
        <v>5|Orbital Lander</v>
      </c>
      <c r="E1396" s="6" t="s">
        <v>1558</v>
      </c>
      <c r="F1396" s="6" t="s">
        <v>1542</v>
      </c>
      <c r="G1396" s="6" t="str">
        <f aca="false">INDEX(Archetypes!$D$2:$D$127, MATCH(D1396, Archetypes!$A$2:$A$127, 0))</f>
        <v>Logistics</v>
      </c>
      <c r="H1396" s="6" t="n">
        <f aca="false">ROUND(INDEX(Archetypes!$E$2:$E$127, MATCH(D1396, Archetypes!$A$2:$A$127, 0))*INDEX(Unit_Grades!$B$2:$B$7, MATCH(F1396, Unit_Grades!$A$2:$A$7, 0))*INDEX(Unit_Paths!$B$2:$B$4, MATCH(E1396, Unit_Paths!$A$2:$A$4, 0)),1)</f>
        <v>129.6</v>
      </c>
      <c r="I1396" s="6" t="n">
        <f aca="false">ROUND(INDEX(Archetypes!$F$2:$F$127, MATCH(D1396, Archetypes!$A$2:$A$127, 0))*INDEX(Unit_Grades!$B$2:$B$7, MATCH(F1396, Unit_Grades!$A$2:$A$7, 0))*INDEX(Unit_Paths!$C$2:$C$4, MATCH(E1396, Unit_Paths!$A$2:$A$4, 0)),1)</f>
        <v>214.2</v>
      </c>
      <c r="J1396" s="6" t="n">
        <f aca="false">ROUND(INDEX(Archetypes!$G$2:$G$127, MATCH(D1396, Archetypes!$A$2:$A$127, 0))*INDEX(Unit_Grades!$B$2:$B$7, MATCH(F1396, Unit_Grades!$A$2:$A$7, 0))*INDEX(Unit_Paths!$D$2:$D$4, MATCH(E1396, Unit_Paths!$A$2:$A$4, 0)),0)</f>
        <v>889</v>
      </c>
      <c r="K1396" s="6" t="n">
        <f aca="false">ROUND(INDEX(Archetypes!$H$2:$H$127, MATCH(D1396, Archetypes!$A$2:$A$127, 0))*INDEX(Unit_Paths!$E$2:$E$4, MATCH(E1396, Unit_Paths!$A$2:$A$4, 0)),1)</f>
        <v>52.5</v>
      </c>
      <c r="L1396" s="6" t="n">
        <f aca="false">ROUND(INDEX(Archetypes!$I$2:$I$127, MATCH(D1396, Archetypes!$A$2:$A$127, 0))*INDEX(Unit_Grades!$C$2:$C$7, MATCH(F1396, Unit_Grades!$A$2:$A$7, 0)),1)</f>
        <v>35.2</v>
      </c>
      <c r="M1396" s="6" t="n">
        <f aca="false">ROUND(INDEX(Archetypes!$J$2:$J$127, MATCH(D1396, Archetypes!$A$2:$A$127, 0))*INDEX(Unit_Grades!$D$2:$D$7, MATCH(F1396, Unit_Grades!$A$2:$A$7, 0)),1)</f>
        <v>22.3</v>
      </c>
      <c r="N1396" s="6" t="n">
        <f aca="false">ROUND(M1396/24,2)</f>
        <v>0.93</v>
      </c>
    </row>
    <row r="1397" customFormat="false" ht="15" hidden="false" customHeight="true" outlineLevel="0" collapsed="false">
      <c r="A1397" s="6" t="n">
        <v>5</v>
      </c>
      <c r="B1397" s="6" t="s">
        <v>2887</v>
      </c>
      <c r="C1397" s="6" t="s">
        <v>1429</v>
      </c>
      <c r="D1397" s="6" t="str">
        <f aca="false">A1397&amp;"|"&amp;C1397</f>
        <v>5|Orbital Lander</v>
      </c>
      <c r="E1397" s="6" t="s">
        <v>1558</v>
      </c>
      <c r="F1397" s="6" t="s">
        <v>1544</v>
      </c>
      <c r="G1397" s="6" t="str">
        <f aca="false">INDEX(Archetypes!$D$2:$D$127, MATCH(D1397, Archetypes!$A$2:$A$127, 0))</f>
        <v>Logistics</v>
      </c>
      <c r="H1397" s="6" t="n">
        <f aca="false">ROUND(INDEX(Archetypes!$E$2:$E$127, MATCH(D1397, Archetypes!$A$2:$A$127, 0))*INDEX(Unit_Grades!$B$2:$B$7, MATCH(F1397, Unit_Grades!$A$2:$A$7, 0))*INDEX(Unit_Paths!$B$2:$B$4, MATCH(E1397, Unit_Paths!$A$2:$A$4, 0)),1)</f>
        <v>172.8</v>
      </c>
      <c r="I1397" s="6" t="n">
        <f aca="false">ROUND(INDEX(Archetypes!$F$2:$F$127, MATCH(D1397, Archetypes!$A$2:$A$127, 0))*INDEX(Unit_Grades!$B$2:$B$7, MATCH(F1397, Unit_Grades!$A$2:$A$7, 0))*INDEX(Unit_Paths!$C$2:$C$4, MATCH(E1397, Unit_Paths!$A$2:$A$4, 0)),1)</f>
        <v>285.6</v>
      </c>
      <c r="J1397" s="6" t="n">
        <f aca="false">ROUND(INDEX(Archetypes!$G$2:$G$127, MATCH(D1397, Archetypes!$A$2:$A$127, 0))*INDEX(Unit_Grades!$B$2:$B$7, MATCH(F1397, Unit_Grades!$A$2:$A$7, 0))*INDEX(Unit_Paths!$D$2:$D$4, MATCH(E1397, Unit_Paths!$A$2:$A$4, 0)),0)</f>
        <v>1186</v>
      </c>
      <c r="K1397" s="6" t="n">
        <f aca="false">ROUND(INDEX(Archetypes!$H$2:$H$127, MATCH(D1397, Archetypes!$A$2:$A$127, 0))*INDEX(Unit_Paths!$E$2:$E$4, MATCH(E1397, Unit_Paths!$A$2:$A$4, 0)),1)</f>
        <v>52.5</v>
      </c>
      <c r="L1397" s="6" t="n">
        <f aca="false">ROUND(INDEX(Archetypes!$I$2:$I$127, MATCH(D1397, Archetypes!$A$2:$A$127, 0))*INDEX(Unit_Grades!$C$2:$C$7, MATCH(F1397, Unit_Grades!$A$2:$A$7, 0)),1)</f>
        <v>46.2</v>
      </c>
      <c r="M1397" s="6" t="n">
        <f aca="false">ROUND(INDEX(Archetypes!$J$2:$J$127, MATCH(D1397, Archetypes!$A$2:$A$127, 0))*INDEX(Unit_Grades!$D$2:$D$7, MATCH(F1397, Unit_Grades!$A$2:$A$7, 0)),1)</f>
        <v>35.7</v>
      </c>
      <c r="N1397" s="6" t="n">
        <f aca="false">ROUND(M1397/24,2)</f>
        <v>1.49</v>
      </c>
    </row>
    <row r="1398" customFormat="false" ht="15" hidden="false" customHeight="true" outlineLevel="0" collapsed="false">
      <c r="A1398" s="6" t="n">
        <v>5</v>
      </c>
      <c r="B1398" s="6" t="s">
        <v>2888</v>
      </c>
      <c r="C1398" s="6" t="s">
        <v>1429</v>
      </c>
      <c r="D1398" s="6" t="str">
        <f aca="false">A1398&amp;"|"&amp;C1398</f>
        <v>5|Orbital Lander</v>
      </c>
      <c r="E1398" s="6" t="s">
        <v>1558</v>
      </c>
      <c r="F1398" s="6" t="s">
        <v>1546</v>
      </c>
      <c r="G1398" s="6" t="str">
        <f aca="false">INDEX(Archetypes!$D$2:$D$127, MATCH(D1398, Archetypes!$A$2:$A$127, 0))</f>
        <v>Logistics</v>
      </c>
      <c r="H1398" s="6" t="n">
        <f aca="false">ROUND(INDEX(Archetypes!$E$2:$E$127, MATCH(D1398, Archetypes!$A$2:$A$127, 0))*INDEX(Unit_Grades!$B$2:$B$7, MATCH(F1398, Unit_Grades!$A$2:$A$7, 0))*INDEX(Unit_Paths!$B$2:$B$4, MATCH(E1398, Unit_Paths!$A$2:$A$4, 0)),1)</f>
        <v>230.4</v>
      </c>
      <c r="I1398" s="6" t="n">
        <f aca="false">ROUND(INDEX(Archetypes!$F$2:$F$127, MATCH(D1398, Archetypes!$A$2:$A$127, 0))*INDEX(Unit_Grades!$B$2:$B$7, MATCH(F1398, Unit_Grades!$A$2:$A$7, 0))*INDEX(Unit_Paths!$C$2:$C$4, MATCH(E1398, Unit_Paths!$A$2:$A$4, 0)),1)</f>
        <v>380.8</v>
      </c>
      <c r="J1398" s="6" t="n">
        <f aca="false">ROUND(INDEX(Archetypes!$G$2:$G$127, MATCH(D1398, Archetypes!$A$2:$A$127, 0))*INDEX(Unit_Grades!$B$2:$B$7, MATCH(F1398, Unit_Grades!$A$2:$A$7, 0))*INDEX(Unit_Paths!$D$2:$D$4, MATCH(E1398, Unit_Paths!$A$2:$A$4, 0)),0)</f>
        <v>1581</v>
      </c>
      <c r="K1398" s="6" t="n">
        <f aca="false">ROUND(INDEX(Archetypes!$H$2:$H$127, MATCH(D1398, Archetypes!$A$2:$A$127, 0))*INDEX(Unit_Paths!$E$2:$E$4, MATCH(E1398, Unit_Paths!$A$2:$A$4, 0)),1)</f>
        <v>52.5</v>
      </c>
      <c r="L1398" s="6" t="n">
        <f aca="false">ROUND(INDEX(Archetypes!$I$2:$I$127, MATCH(D1398, Archetypes!$A$2:$A$127, 0))*INDEX(Unit_Grades!$C$2:$C$7, MATCH(F1398, Unit_Grades!$A$2:$A$7, 0)),1)</f>
        <v>61.6</v>
      </c>
      <c r="M1398" s="6" t="n">
        <f aca="false">ROUND(INDEX(Archetypes!$J$2:$J$127, MATCH(D1398, Archetypes!$A$2:$A$127, 0))*INDEX(Unit_Grades!$D$2:$D$7, MATCH(F1398, Unit_Grades!$A$2:$A$7, 0)),1)</f>
        <v>62.5</v>
      </c>
      <c r="N1398" s="6" t="n">
        <f aca="false">ROUND(M1398/24,2)</f>
        <v>2.6</v>
      </c>
    </row>
    <row r="1399" customFormat="false" ht="15" hidden="false" customHeight="true" outlineLevel="0" collapsed="false">
      <c r="A1399" s="6" t="n">
        <v>5</v>
      </c>
      <c r="B1399" s="6" t="s">
        <v>2889</v>
      </c>
      <c r="C1399" s="6" t="s">
        <v>1429</v>
      </c>
      <c r="D1399" s="6" t="str">
        <f aca="false">A1399&amp;"|"&amp;C1399</f>
        <v>5|Orbital Lander</v>
      </c>
      <c r="E1399" s="6" t="s">
        <v>1558</v>
      </c>
      <c r="F1399" s="6" t="s">
        <v>1548</v>
      </c>
      <c r="G1399" s="6" t="str">
        <f aca="false">INDEX(Archetypes!$D$2:$D$127, MATCH(D1399, Archetypes!$A$2:$A$127, 0))</f>
        <v>Logistics</v>
      </c>
      <c r="H1399" s="6" t="n">
        <f aca="false">ROUND(INDEX(Archetypes!$E$2:$E$127, MATCH(D1399, Archetypes!$A$2:$A$127, 0))*INDEX(Unit_Grades!$B$2:$B$7, MATCH(F1399, Unit_Grades!$A$2:$A$7, 0))*INDEX(Unit_Paths!$B$2:$B$4, MATCH(E1399, Unit_Paths!$A$2:$A$4, 0)),1)</f>
        <v>302.4</v>
      </c>
      <c r="I1399" s="6" t="n">
        <f aca="false">ROUND(INDEX(Archetypes!$F$2:$F$127, MATCH(D1399, Archetypes!$A$2:$A$127, 0))*INDEX(Unit_Grades!$B$2:$B$7, MATCH(F1399, Unit_Grades!$A$2:$A$7, 0))*INDEX(Unit_Paths!$C$2:$C$4, MATCH(E1399, Unit_Paths!$A$2:$A$4, 0)),1)</f>
        <v>499.8</v>
      </c>
      <c r="J1399" s="6" t="n">
        <f aca="false">ROUND(INDEX(Archetypes!$G$2:$G$127, MATCH(D1399, Archetypes!$A$2:$A$127, 0))*INDEX(Unit_Grades!$B$2:$B$7, MATCH(F1399, Unit_Grades!$A$2:$A$7, 0))*INDEX(Unit_Paths!$D$2:$D$4, MATCH(E1399, Unit_Paths!$A$2:$A$4, 0)),0)</f>
        <v>2075</v>
      </c>
      <c r="K1399" s="6" t="n">
        <f aca="false">ROUND(INDEX(Archetypes!$H$2:$H$127, MATCH(D1399, Archetypes!$A$2:$A$127, 0))*INDEX(Unit_Paths!$E$2:$E$4, MATCH(E1399, Unit_Paths!$A$2:$A$4, 0)),1)</f>
        <v>52.5</v>
      </c>
      <c r="L1399" s="6" t="n">
        <f aca="false">ROUND(INDEX(Archetypes!$I$2:$I$127, MATCH(D1399, Archetypes!$A$2:$A$127, 0))*INDEX(Unit_Grades!$C$2:$C$7, MATCH(F1399, Unit_Grades!$A$2:$A$7, 0)),1)</f>
        <v>81.4</v>
      </c>
      <c r="M1399" s="6" t="n">
        <f aca="false">ROUND(INDEX(Archetypes!$J$2:$J$127, MATCH(D1399, Archetypes!$A$2:$A$127, 0))*INDEX(Unit_Grades!$D$2:$D$7, MATCH(F1399, Unit_Grades!$A$2:$A$7, 0)),1)</f>
        <v>107.2</v>
      </c>
      <c r="N1399" s="6" t="n">
        <f aca="false">ROUND(M1399/24,2)</f>
        <v>4.47</v>
      </c>
    </row>
    <row r="1400" customFormat="false" ht="15" hidden="false" customHeight="true" outlineLevel="0" collapsed="false">
      <c r="A1400" s="6" t="n">
        <v>5</v>
      </c>
      <c r="B1400" s="6" t="s">
        <v>2890</v>
      </c>
      <c r="C1400" s="6" t="s">
        <v>1429</v>
      </c>
      <c r="D1400" s="6" t="str">
        <f aca="false">A1400&amp;"|"&amp;C1400</f>
        <v>5|Orbital Lander</v>
      </c>
      <c r="E1400" s="6" t="s">
        <v>1560</v>
      </c>
      <c r="F1400" s="6" t="s">
        <v>1538</v>
      </c>
      <c r="G1400" s="6" t="str">
        <f aca="false">INDEX(Archetypes!$D$2:$D$127, MATCH(D1400, Archetypes!$A$2:$A$127, 0))</f>
        <v>Logistics</v>
      </c>
      <c r="H1400" s="6" t="n">
        <f aca="false">ROUND(INDEX(Archetypes!$E$2:$E$127, MATCH(D1400, Archetypes!$A$2:$A$127, 0))*INDEX(Unit_Grades!$B$2:$B$7, MATCH(F1400, Unit_Grades!$A$2:$A$7, 0))*INDEX(Unit_Paths!$B$2:$B$4, MATCH(E1400, Unit_Paths!$A$2:$A$4, 0)),1)</f>
        <v>51</v>
      </c>
      <c r="I1400" s="6" t="n">
        <f aca="false">ROUND(INDEX(Archetypes!$F$2:$F$127, MATCH(D1400, Archetypes!$A$2:$A$127, 0))*INDEX(Unit_Grades!$B$2:$B$7, MATCH(F1400, Unit_Grades!$A$2:$A$7, 0))*INDEX(Unit_Paths!$C$2:$C$4, MATCH(E1400, Unit_Paths!$A$2:$A$4, 0)),1)</f>
        <v>175</v>
      </c>
      <c r="J1400" s="6" t="n">
        <f aca="false">ROUND(INDEX(Archetypes!$G$2:$G$127, MATCH(D1400, Archetypes!$A$2:$A$127, 0))*INDEX(Unit_Grades!$B$2:$B$7, MATCH(F1400, Unit_Grades!$A$2:$A$7, 0))*INDEX(Unit_Paths!$D$2:$D$4, MATCH(E1400, Unit_Paths!$A$2:$A$4, 0)),0)</f>
        <v>598</v>
      </c>
      <c r="K1400" s="6" t="n">
        <f aca="false">ROUND(INDEX(Archetypes!$H$2:$H$127, MATCH(D1400, Archetypes!$A$2:$A$127, 0))*INDEX(Unit_Paths!$E$2:$E$4, MATCH(E1400, Unit_Paths!$A$2:$A$4, 0)),1)</f>
        <v>46</v>
      </c>
      <c r="L1400" s="6" t="n">
        <f aca="false">ROUND(INDEX(Archetypes!$I$2:$I$127, MATCH(D1400, Archetypes!$A$2:$A$127, 0))*INDEX(Unit_Grades!$C$2:$C$7, MATCH(F1400, Unit_Grades!$A$2:$A$7, 0)),1)</f>
        <v>22</v>
      </c>
      <c r="M1400" s="6" t="n">
        <f aca="false">ROUND(INDEX(Archetypes!$J$2:$J$127, MATCH(D1400, Archetypes!$A$2:$A$127, 0))*INDEX(Unit_Grades!$D$2:$D$7, MATCH(F1400, Unit_Grades!$A$2:$A$7, 0)),1)</f>
        <v>8.9</v>
      </c>
      <c r="N1400" s="6" t="n">
        <f aca="false">ROUND(M1400/24,2)</f>
        <v>0.37</v>
      </c>
    </row>
    <row r="1401" customFormat="false" ht="15" hidden="false" customHeight="true" outlineLevel="0" collapsed="false">
      <c r="A1401" s="6" t="n">
        <v>5</v>
      </c>
      <c r="B1401" s="6" t="s">
        <v>2891</v>
      </c>
      <c r="C1401" s="6" t="s">
        <v>1429</v>
      </c>
      <c r="D1401" s="6" t="str">
        <f aca="false">A1401&amp;"|"&amp;C1401</f>
        <v>5|Orbital Lander</v>
      </c>
      <c r="E1401" s="6" t="s">
        <v>1560</v>
      </c>
      <c r="F1401" s="6" t="s">
        <v>1540</v>
      </c>
      <c r="G1401" s="6" t="str">
        <f aca="false">INDEX(Archetypes!$D$2:$D$127, MATCH(D1401, Archetypes!$A$2:$A$127, 0))</f>
        <v>Logistics</v>
      </c>
      <c r="H1401" s="6" t="n">
        <f aca="false">ROUND(INDEX(Archetypes!$E$2:$E$127, MATCH(D1401, Archetypes!$A$2:$A$127, 0))*INDEX(Unit_Grades!$B$2:$B$7, MATCH(F1401, Unit_Grades!$A$2:$A$7, 0))*INDEX(Unit_Paths!$B$2:$B$4, MATCH(E1401, Unit_Paths!$A$2:$A$4, 0)),1)</f>
        <v>68.9</v>
      </c>
      <c r="I1401" s="6" t="n">
        <f aca="false">ROUND(INDEX(Archetypes!$F$2:$F$127, MATCH(D1401, Archetypes!$A$2:$A$127, 0))*INDEX(Unit_Grades!$B$2:$B$7, MATCH(F1401, Unit_Grades!$A$2:$A$7, 0))*INDEX(Unit_Paths!$C$2:$C$4, MATCH(E1401, Unit_Paths!$A$2:$A$4, 0)),1)</f>
        <v>236.3</v>
      </c>
      <c r="J1401" s="6" t="n">
        <f aca="false">ROUND(INDEX(Archetypes!$G$2:$G$127, MATCH(D1401, Archetypes!$A$2:$A$127, 0))*INDEX(Unit_Grades!$B$2:$B$7, MATCH(F1401, Unit_Grades!$A$2:$A$7, 0))*INDEX(Unit_Paths!$D$2:$D$4, MATCH(E1401, Unit_Paths!$A$2:$A$4, 0)),0)</f>
        <v>807</v>
      </c>
      <c r="K1401" s="6" t="n">
        <f aca="false">ROUND(INDEX(Archetypes!$H$2:$H$127, MATCH(D1401, Archetypes!$A$2:$A$127, 0))*INDEX(Unit_Paths!$E$2:$E$4, MATCH(E1401, Unit_Paths!$A$2:$A$4, 0)),1)</f>
        <v>46</v>
      </c>
      <c r="L1401" s="6" t="n">
        <f aca="false">ROUND(INDEX(Archetypes!$I$2:$I$127, MATCH(D1401, Archetypes!$A$2:$A$127, 0))*INDEX(Unit_Grades!$C$2:$C$7, MATCH(F1401, Unit_Grades!$A$2:$A$7, 0)),1)</f>
        <v>27.5</v>
      </c>
      <c r="M1401" s="6" t="n">
        <f aca="false">ROUND(INDEX(Archetypes!$J$2:$J$127, MATCH(D1401, Archetypes!$A$2:$A$127, 0))*INDEX(Unit_Grades!$D$2:$D$7, MATCH(F1401, Unit_Grades!$A$2:$A$7, 0)),1)</f>
        <v>13.4</v>
      </c>
      <c r="N1401" s="6" t="n">
        <f aca="false">ROUND(M1401/24,2)</f>
        <v>0.56</v>
      </c>
    </row>
    <row r="1402" customFormat="false" ht="15" hidden="false" customHeight="true" outlineLevel="0" collapsed="false">
      <c r="A1402" s="6" t="n">
        <v>5</v>
      </c>
      <c r="B1402" s="6" t="s">
        <v>2892</v>
      </c>
      <c r="C1402" s="6" t="s">
        <v>1429</v>
      </c>
      <c r="D1402" s="6" t="str">
        <f aca="false">A1402&amp;"|"&amp;C1402</f>
        <v>5|Orbital Lander</v>
      </c>
      <c r="E1402" s="6" t="s">
        <v>1560</v>
      </c>
      <c r="F1402" s="6" t="s">
        <v>1542</v>
      </c>
      <c r="G1402" s="6" t="str">
        <f aca="false">INDEX(Archetypes!$D$2:$D$127, MATCH(D1402, Archetypes!$A$2:$A$127, 0))</f>
        <v>Logistics</v>
      </c>
      <c r="H1402" s="6" t="n">
        <f aca="false">ROUND(INDEX(Archetypes!$E$2:$E$127, MATCH(D1402, Archetypes!$A$2:$A$127, 0))*INDEX(Unit_Grades!$B$2:$B$7, MATCH(F1402, Unit_Grades!$A$2:$A$7, 0))*INDEX(Unit_Paths!$B$2:$B$4, MATCH(E1402, Unit_Paths!$A$2:$A$4, 0)),1)</f>
        <v>91.8</v>
      </c>
      <c r="I1402" s="6" t="n">
        <f aca="false">ROUND(INDEX(Archetypes!$F$2:$F$127, MATCH(D1402, Archetypes!$A$2:$A$127, 0))*INDEX(Unit_Grades!$B$2:$B$7, MATCH(F1402, Unit_Grades!$A$2:$A$7, 0))*INDEX(Unit_Paths!$C$2:$C$4, MATCH(E1402, Unit_Paths!$A$2:$A$4, 0)),1)</f>
        <v>315</v>
      </c>
      <c r="J1402" s="6" t="n">
        <f aca="false">ROUND(INDEX(Archetypes!$G$2:$G$127, MATCH(D1402, Archetypes!$A$2:$A$127, 0))*INDEX(Unit_Grades!$B$2:$B$7, MATCH(F1402, Unit_Grades!$A$2:$A$7, 0))*INDEX(Unit_Paths!$D$2:$D$4, MATCH(E1402, Unit_Paths!$A$2:$A$4, 0)),0)</f>
        <v>1076</v>
      </c>
      <c r="K1402" s="6" t="n">
        <f aca="false">ROUND(INDEX(Archetypes!$H$2:$H$127, MATCH(D1402, Archetypes!$A$2:$A$127, 0))*INDEX(Unit_Paths!$E$2:$E$4, MATCH(E1402, Unit_Paths!$A$2:$A$4, 0)),1)</f>
        <v>46</v>
      </c>
      <c r="L1402" s="6" t="n">
        <f aca="false">ROUND(INDEX(Archetypes!$I$2:$I$127, MATCH(D1402, Archetypes!$A$2:$A$127, 0))*INDEX(Unit_Grades!$C$2:$C$7, MATCH(F1402, Unit_Grades!$A$2:$A$7, 0)),1)</f>
        <v>35.2</v>
      </c>
      <c r="M1402" s="6" t="n">
        <f aca="false">ROUND(INDEX(Archetypes!$J$2:$J$127, MATCH(D1402, Archetypes!$A$2:$A$127, 0))*INDEX(Unit_Grades!$D$2:$D$7, MATCH(F1402, Unit_Grades!$A$2:$A$7, 0)),1)</f>
        <v>22.3</v>
      </c>
      <c r="N1402" s="6" t="n">
        <f aca="false">ROUND(M1402/24,2)</f>
        <v>0.93</v>
      </c>
    </row>
    <row r="1403" customFormat="false" ht="15" hidden="false" customHeight="true" outlineLevel="0" collapsed="false">
      <c r="A1403" s="6" t="n">
        <v>5</v>
      </c>
      <c r="B1403" s="6" t="s">
        <v>2893</v>
      </c>
      <c r="C1403" s="6" t="s">
        <v>1429</v>
      </c>
      <c r="D1403" s="6" t="str">
        <f aca="false">A1403&amp;"|"&amp;C1403</f>
        <v>5|Orbital Lander</v>
      </c>
      <c r="E1403" s="6" t="s">
        <v>1560</v>
      </c>
      <c r="F1403" s="6" t="s">
        <v>1544</v>
      </c>
      <c r="G1403" s="6" t="str">
        <f aca="false">INDEX(Archetypes!$D$2:$D$127, MATCH(D1403, Archetypes!$A$2:$A$127, 0))</f>
        <v>Logistics</v>
      </c>
      <c r="H1403" s="6" t="n">
        <f aca="false">ROUND(INDEX(Archetypes!$E$2:$E$127, MATCH(D1403, Archetypes!$A$2:$A$127, 0))*INDEX(Unit_Grades!$B$2:$B$7, MATCH(F1403, Unit_Grades!$A$2:$A$7, 0))*INDEX(Unit_Paths!$B$2:$B$4, MATCH(E1403, Unit_Paths!$A$2:$A$4, 0)),1)</f>
        <v>122.4</v>
      </c>
      <c r="I1403" s="6" t="n">
        <f aca="false">ROUND(INDEX(Archetypes!$F$2:$F$127, MATCH(D1403, Archetypes!$A$2:$A$127, 0))*INDEX(Unit_Grades!$B$2:$B$7, MATCH(F1403, Unit_Grades!$A$2:$A$7, 0))*INDEX(Unit_Paths!$C$2:$C$4, MATCH(E1403, Unit_Paths!$A$2:$A$4, 0)),1)</f>
        <v>420</v>
      </c>
      <c r="J1403" s="6" t="n">
        <f aca="false">ROUND(INDEX(Archetypes!$G$2:$G$127, MATCH(D1403, Archetypes!$A$2:$A$127, 0))*INDEX(Unit_Grades!$B$2:$B$7, MATCH(F1403, Unit_Grades!$A$2:$A$7, 0))*INDEX(Unit_Paths!$D$2:$D$4, MATCH(E1403, Unit_Paths!$A$2:$A$4, 0)),0)</f>
        <v>1435</v>
      </c>
      <c r="K1403" s="6" t="n">
        <f aca="false">ROUND(INDEX(Archetypes!$H$2:$H$127, MATCH(D1403, Archetypes!$A$2:$A$127, 0))*INDEX(Unit_Paths!$E$2:$E$4, MATCH(E1403, Unit_Paths!$A$2:$A$4, 0)),1)</f>
        <v>46</v>
      </c>
      <c r="L1403" s="6" t="n">
        <f aca="false">ROUND(INDEX(Archetypes!$I$2:$I$127, MATCH(D1403, Archetypes!$A$2:$A$127, 0))*INDEX(Unit_Grades!$C$2:$C$7, MATCH(F1403, Unit_Grades!$A$2:$A$7, 0)),1)</f>
        <v>46.2</v>
      </c>
      <c r="M1403" s="6" t="n">
        <f aca="false">ROUND(INDEX(Archetypes!$J$2:$J$127, MATCH(D1403, Archetypes!$A$2:$A$127, 0))*INDEX(Unit_Grades!$D$2:$D$7, MATCH(F1403, Unit_Grades!$A$2:$A$7, 0)),1)</f>
        <v>35.7</v>
      </c>
      <c r="N1403" s="6" t="n">
        <f aca="false">ROUND(M1403/24,2)</f>
        <v>1.49</v>
      </c>
    </row>
    <row r="1404" customFormat="false" ht="15" hidden="false" customHeight="true" outlineLevel="0" collapsed="false">
      <c r="A1404" s="6" t="n">
        <v>5</v>
      </c>
      <c r="B1404" s="6" t="s">
        <v>2894</v>
      </c>
      <c r="C1404" s="6" t="s">
        <v>1429</v>
      </c>
      <c r="D1404" s="6" t="str">
        <f aca="false">A1404&amp;"|"&amp;C1404</f>
        <v>5|Orbital Lander</v>
      </c>
      <c r="E1404" s="6" t="s">
        <v>1560</v>
      </c>
      <c r="F1404" s="6" t="s">
        <v>1546</v>
      </c>
      <c r="G1404" s="6" t="str">
        <f aca="false">INDEX(Archetypes!$D$2:$D$127, MATCH(D1404, Archetypes!$A$2:$A$127, 0))</f>
        <v>Logistics</v>
      </c>
      <c r="H1404" s="6" t="n">
        <f aca="false">ROUND(INDEX(Archetypes!$E$2:$E$127, MATCH(D1404, Archetypes!$A$2:$A$127, 0))*INDEX(Unit_Grades!$B$2:$B$7, MATCH(F1404, Unit_Grades!$A$2:$A$7, 0))*INDEX(Unit_Paths!$B$2:$B$4, MATCH(E1404, Unit_Paths!$A$2:$A$4, 0)),1)</f>
        <v>163.2</v>
      </c>
      <c r="I1404" s="6" t="n">
        <f aca="false">ROUND(INDEX(Archetypes!$F$2:$F$127, MATCH(D1404, Archetypes!$A$2:$A$127, 0))*INDEX(Unit_Grades!$B$2:$B$7, MATCH(F1404, Unit_Grades!$A$2:$A$7, 0))*INDEX(Unit_Paths!$C$2:$C$4, MATCH(E1404, Unit_Paths!$A$2:$A$4, 0)),1)</f>
        <v>560</v>
      </c>
      <c r="J1404" s="6" t="n">
        <f aca="false">ROUND(INDEX(Archetypes!$G$2:$G$127, MATCH(D1404, Archetypes!$A$2:$A$127, 0))*INDEX(Unit_Grades!$B$2:$B$7, MATCH(F1404, Unit_Grades!$A$2:$A$7, 0))*INDEX(Unit_Paths!$D$2:$D$4, MATCH(E1404, Unit_Paths!$A$2:$A$4, 0)),0)</f>
        <v>1914</v>
      </c>
      <c r="K1404" s="6" t="n">
        <f aca="false">ROUND(INDEX(Archetypes!$H$2:$H$127, MATCH(D1404, Archetypes!$A$2:$A$127, 0))*INDEX(Unit_Paths!$E$2:$E$4, MATCH(E1404, Unit_Paths!$A$2:$A$4, 0)),1)</f>
        <v>46</v>
      </c>
      <c r="L1404" s="6" t="n">
        <f aca="false">ROUND(INDEX(Archetypes!$I$2:$I$127, MATCH(D1404, Archetypes!$A$2:$A$127, 0))*INDEX(Unit_Grades!$C$2:$C$7, MATCH(F1404, Unit_Grades!$A$2:$A$7, 0)),1)</f>
        <v>61.6</v>
      </c>
      <c r="M1404" s="6" t="n">
        <f aca="false">ROUND(INDEX(Archetypes!$J$2:$J$127, MATCH(D1404, Archetypes!$A$2:$A$127, 0))*INDEX(Unit_Grades!$D$2:$D$7, MATCH(F1404, Unit_Grades!$A$2:$A$7, 0)),1)</f>
        <v>62.5</v>
      </c>
      <c r="N1404" s="6" t="n">
        <f aca="false">ROUND(M1404/24,2)</f>
        <v>2.6</v>
      </c>
    </row>
    <row r="1405" customFormat="false" ht="15" hidden="false" customHeight="true" outlineLevel="0" collapsed="false">
      <c r="A1405" s="6" t="n">
        <v>5</v>
      </c>
      <c r="B1405" s="6" t="s">
        <v>2895</v>
      </c>
      <c r="C1405" s="6" t="s">
        <v>1429</v>
      </c>
      <c r="D1405" s="6" t="str">
        <f aca="false">A1405&amp;"|"&amp;C1405</f>
        <v>5|Orbital Lander</v>
      </c>
      <c r="E1405" s="6" t="s">
        <v>1560</v>
      </c>
      <c r="F1405" s="6" t="s">
        <v>1548</v>
      </c>
      <c r="G1405" s="6" t="str">
        <f aca="false">INDEX(Archetypes!$D$2:$D$127, MATCH(D1405, Archetypes!$A$2:$A$127, 0))</f>
        <v>Logistics</v>
      </c>
      <c r="H1405" s="6" t="n">
        <f aca="false">ROUND(INDEX(Archetypes!$E$2:$E$127, MATCH(D1405, Archetypes!$A$2:$A$127, 0))*INDEX(Unit_Grades!$B$2:$B$7, MATCH(F1405, Unit_Grades!$A$2:$A$7, 0))*INDEX(Unit_Paths!$B$2:$B$4, MATCH(E1405, Unit_Paths!$A$2:$A$4, 0)),1)</f>
        <v>214.2</v>
      </c>
      <c r="I1405" s="6" t="n">
        <f aca="false">ROUND(INDEX(Archetypes!$F$2:$F$127, MATCH(D1405, Archetypes!$A$2:$A$127, 0))*INDEX(Unit_Grades!$B$2:$B$7, MATCH(F1405, Unit_Grades!$A$2:$A$7, 0))*INDEX(Unit_Paths!$C$2:$C$4, MATCH(E1405, Unit_Paths!$A$2:$A$4, 0)),1)</f>
        <v>735</v>
      </c>
      <c r="J1405" s="6" t="n">
        <f aca="false">ROUND(INDEX(Archetypes!$G$2:$G$127, MATCH(D1405, Archetypes!$A$2:$A$127, 0))*INDEX(Unit_Grades!$B$2:$B$7, MATCH(F1405, Unit_Grades!$A$2:$A$7, 0))*INDEX(Unit_Paths!$D$2:$D$4, MATCH(E1405, Unit_Paths!$A$2:$A$4, 0)),0)</f>
        <v>2512</v>
      </c>
      <c r="K1405" s="6" t="n">
        <f aca="false">ROUND(INDEX(Archetypes!$H$2:$H$127, MATCH(D1405, Archetypes!$A$2:$A$127, 0))*INDEX(Unit_Paths!$E$2:$E$4, MATCH(E1405, Unit_Paths!$A$2:$A$4, 0)),1)</f>
        <v>46</v>
      </c>
      <c r="L1405" s="6" t="n">
        <f aca="false">ROUND(INDEX(Archetypes!$I$2:$I$127, MATCH(D1405, Archetypes!$A$2:$A$127, 0))*INDEX(Unit_Grades!$C$2:$C$7, MATCH(F1405, Unit_Grades!$A$2:$A$7, 0)),1)</f>
        <v>81.4</v>
      </c>
      <c r="M1405" s="6" t="n">
        <f aca="false">ROUND(INDEX(Archetypes!$J$2:$J$127, MATCH(D1405, Archetypes!$A$2:$A$127, 0))*INDEX(Unit_Grades!$D$2:$D$7, MATCH(F1405, Unit_Grades!$A$2:$A$7, 0)),1)</f>
        <v>107.2</v>
      </c>
      <c r="N1405" s="6" t="n">
        <f aca="false">ROUND(M1405/24,2)</f>
        <v>4.47</v>
      </c>
    </row>
    <row r="1406" customFormat="false" ht="15" hidden="false" customHeight="true" outlineLevel="0" collapsed="false">
      <c r="A1406" s="6" t="n">
        <v>5</v>
      </c>
      <c r="B1406" s="6" t="s">
        <v>1431</v>
      </c>
      <c r="C1406" s="6" t="s">
        <v>1431</v>
      </c>
      <c r="D1406" s="6" t="str">
        <f aca="false">A1406&amp;"|"&amp;C1406</f>
        <v>5|Corvette</v>
      </c>
      <c r="E1406" s="6" t="s">
        <v>1556</v>
      </c>
      <c r="F1406" s="6" t="s">
        <v>1538</v>
      </c>
      <c r="G1406" s="6" t="str">
        <f aca="false">INDEX(Archetypes!$D$2:$D$127, MATCH(D1406, Archetypes!$A$2:$A$127, 0))</f>
        <v>Screen</v>
      </c>
      <c r="H1406" s="6" t="n">
        <f aca="false">ROUND(INDEX(Archetypes!$E$2:$E$127, MATCH(D1406, Archetypes!$A$2:$A$127, 0))*INDEX(Unit_Grades!$B$2:$B$7, MATCH(F1406, Unit_Grades!$A$2:$A$7, 0))*INDEX(Unit_Paths!$B$2:$B$4, MATCH(E1406, Unit_Paths!$A$2:$A$4, 0)),1)</f>
        <v>220</v>
      </c>
      <c r="I1406" s="6" t="n">
        <f aca="false">ROUND(INDEX(Archetypes!$F$2:$F$127, MATCH(D1406, Archetypes!$A$2:$A$127, 0))*INDEX(Unit_Grades!$B$2:$B$7, MATCH(F1406, Unit_Grades!$A$2:$A$7, 0))*INDEX(Unit_Paths!$C$2:$C$4, MATCH(E1406, Unit_Paths!$A$2:$A$4, 0)),1)</f>
        <v>120</v>
      </c>
      <c r="J1406" s="6" t="n">
        <f aca="false">ROUND(INDEX(Archetypes!$G$2:$G$127, MATCH(D1406, Archetypes!$A$2:$A$127, 0))*INDEX(Unit_Grades!$B$2:$B$7, MATCH(F1406, Unit_Grades!$A$2:$A$7, 0))*INDEX(Unit_Paths!$D$2:$D$4, MATCH(E1406, Unit_Paths!$A$2:$A$4, 0)),0)</f>
        <v>520</v>
      </c>
      <c r="K1406" s="6" t="n">
        <f aca="false">ROUND(INDEX(Archetypes!$H$2:$H$127, MATCH(D1406, Archetypes!$A$2:$A$127, 0))*INDEX(Unit_Paths!$E$2:$E$4, MATCH(E1406, Unit_Paths!$A$2:$A$4, 0)),1)</f>
        <v>80</v>
      </c>
      <c r="L1406" s="6" t="n">
        <f aca="false">ROUND(INDEX(Archetypes!$I$2:$I$127, MATCH(D1406, Archetypes!$A$2:$A$127, 0))*INDEX(Unit_Grades!$C$2:$C$7, MATCH(F1406, Unit_Grades!$A$2:$A$7, 0)),1)</f>
        <v>26</v>
      </c>
      <c r="M1406" s="6" t="n">
        <f aca="false">ROUND(INDEX(Archetypes!$J$2:$J$127, MATCH(D1406, Archetypes!$A$2:$A$127, 0))*INDEX(Unit_Grades!$D$2:$D$7, MATCH(F1406, Unit_Grades!$A$2:$A$7, 0)),1)</f>
        <v>10.6</v>
      </c>
      <c r="N1406" s="6" t="n">
        <f aca="false">ROUND(M1406/24,2)</f>
        <v>0.44</v>
      </c>
    </row>
    <row r="1407" customFormat="false" ht="15" hidden="false" customHeight="true" outlineLevel="0" collapsed="false">
      <c r="A1407" s="6" t="n">
        <v>5</v>
      </c>
      <c r="B1407" s="6" t="s">
        <v>2896</v>
      </c>
      <c r="C1407" s="6" t="s">
        <v>1431</v>
      </c>
      <c r="D1407" s="6" t="str">
        <f aca="false">A1407&amp;"|"&amp;C1407</f>
        <v>5|Corvette</v>
      </c>
      <c r="E1407" s="6" t="s">
        <v>1556</v>
      </c>
      <c r="F1407" s="6" t="s">
        <v>1540</v>
      </c>
      <c r="G1407" s="6" t="str">
        <f aca="false">INDEX(Archetypes!$D$2:$D$127, MATCH(D1407, Archetypes!$A$2:$A$127, 0))</f>
        <v>Screen</v>
      </c>
      <c r="H1407" s="6" t="n">
        <f aca="false">ROUND(INDEX(Archetypes!$E$2:$E$127, MATCH(D1407, Archetypes!$A$2:$A$127, 0))*INDEX(Unit_Grades!$B$2:$B$7, MATCH(F1407, Unit_Grades!$A$2:$A$7, 0))*INDEX(Unit_Paths!$B$2:$B$4, MATCH(E1407, Unit_Paths!$A$2:$A$4, 0)),1)</f>
        <v>297</v>
      </c>
      <c r="I1407" s="6" t="n">
        <f aca="false">ROUND(INDEX(Archetypes!$F$2:$F$127, MATCH(D1407, Archetypes!$A$2:$A$127, 0))*INDEX(Unit_Grades!$B$2:$B$7, MATCH(F1407, Unit_Grades!$A$2:$A$7, 0))*INDEX(Unit_Paths!$C$2:$C$4, MATCH(E1407, Unit_Paths!$A$2:$A$4, 0)),1)</f>
        <v>162</v>
      </c>
      <c r="J1407" s="6" t="n">
        <f aca="false">ROUND(INDEX(Archetypes!$G$2:$G$127, MATCH(D1407, Archetypes!$A$2:$A$127, 0))*INDEX(Unit_Grades!$B$2:$B$7, MATCH(F1407, Unit_Grades!$A$2:$A$7, 0))*INDEX(Unit_Paths!$D$2:$D$4, MATCH(E1407, Unit_Paths!$A$2:$A$4, 0)),0)</f>
        <v>702</v>
      </c>
      <c r="K1407" s="6" t="n">
        <f aca="false">ROUND(INDEX(Archetypes!$H$2:$H$127, MATCH(D1407, Archetypes!$A$2:$A$127, 0))*INDEX(Unit_Paths!$E$2:$E$4, MATCH(E1407, Unit_Paths!$A$2:$A$4, 0)),1)</f>
        <v>80</v>
      </c>
      <c r="L1407" s="6" t="n">
        <f aca="false">ROUND(INDEX(Archetypes!$I$2:$I$127, MATCH(D1407, Archetypes!$A$2:$A$127, 0))*INDEX(Unit_Grades!$C$2:$C$7, MATCH(F1407, Unit_Grades!$A$2:$A$7, 0)),1)</f>
        <v>32.5</v>
      </c>
      <c r="M1407" s="6" t="n">
        <f aca="false">ROUND(INDEX(Archetypes!$J$2:$J$127, MATCH(D1407, Archetypes!$A$2:$A$127, 0))*INDEX(Unit_Grades!$D$2:$D$7, MATCH(F1407, Unit_Grades!$A$2:$A$7, 0)),1)</f>
        <v>15.8</v>
      </c>
      <c r="N1407" s="6" t="n">
        <f aca="false">ROUND(M1407/24,2)</f>
        <v>0.66</v>
      </c>
    </row>
    <row r="1408" customFormat="false" ht="15" hidden="false" customHeight="true" outlineLevel="0" collapsed="false">
      <c r="A1408" s="6" t="n">
        <v>5</v>
      </c>
      <c r="B1408" s="6" t="s">
        <v>2897</v>
      </c>
      <c r="C1408" s="6" t="s">
        <v>1431</v>
      </c>
      <c r="D1408" s="6" t="str">
        <f aca="false">A1408&amp;"|"&amp;C1408</f>
        <v>5|Corvette</v>
      </c>
      <c r="E1408" s="6" t="s">
        <v>1556</v>
      </c>
      <c r="F1408" s="6" t="s">
        <v>1542</v>
      </c>
      <c r="G1408" s="6" t="str">
        <f aca="false">INDEX(Archetypes!$D$2:$D$127, MATCH(D1408, Archetypes!$A$2:$A$127, 0))</f>
        <v>Screen</v>
      </c>
      <c r="H1408" s="6" t="n">
        <f aca="false">ROUND(INDEX(Archetypes!$E$2:$E$127, MATCH(D1408, Archetypes!$A$2:$A$127, 0))*INDEX(Unit_Grades!$B$2:$B$7, MATCH(F1408, Unit_Grades!$A$2:$A$7, 0))*INDEX(Unit_Paths!$B$2:$B$4, MATCH(E1408, Unit_Paths!$A$2:$A$4, 0)),1)</f>
        <v>396</v>
      </c>
      <c r="I1408" s="6" t="n">
        <f aca="false">ROUND(INDEX(Archetypes!$F$2:$F$127, MATCH(D1408, Archetypes!$A$2:$A$127, 0))*INDEX(Unit_Grades!$B$2:$B$7, MATCH(F1408, Unit_Grades!$A$2:$A$7, 0))*INDEX(Unit_Paths!$C$2:$C$4, MATCH(E1408, Unit_Paths!$A$2:$A$4, 0)),1)</f>
        <v>216</v>
      </c>
      <c r="J1408" s="6" t="n">
        <f aca="false">ROUND(INDEX(Archetypes!$G$2:$G$127, MATCH(D1408, Archetypes!$A$2:$A$127, 0))*INDEX(Unit_Grades!$B$2:$B$7, MATCH(F1408, Unit_Grades!$A$2:$A$7, 0))*INDEX(Unit_Paths!$D$2:$D$4, MATCH(E1408, Unit_Paths!$A$2:$A$4, 0)),0)</f>
        <v>936</v>
      </c>
      <c r="K1408" s="6" t="n">
        <f aca="false">ROUND(INDEX(Archetypes!$H$2:$H$127, MATCH(D1408, Archetypes!$A$2:$A$127, 0))*INDEX(Unit_Paths!$E$2:$E$4, MATCH(E1408, Unit_Paths!$A$2:$A$4, 0)),1)</f>
        <v>80</v>
      </c>
      <c r="L1408" s="6" t="n">
        <f aca="false">ROUND(INDEX(Archetypes!$I$2:$I$127, MATCH(D1408, Archetypes!$A$2:$A$127, 0))*INDEX(Unit_Grades!$C$2:$C$7, MATCH(F1408, Unit_Grades!$A$2:$A$7, 0)),1)</f>
        <v>41.6</v>
      </c>
      <c r="M1408" s="6" t="n">
        <f aca="false">ROUND(INDEX(Archetypes!$J$2:$J$127, MATCH(D1408, Archetypes!$A$2:$A$127, 0))*INDEX(Unit_Grades!$D$2:$D$7, MATCH(F1408, Unit_Grades!$A$2:$A$7, 0)),1)</f>
        <v>26.4</v>
      </c>
      <c r="N1408" s="6" t="n">
        <f aca="false">ROUND(M1408/24,2)</f>
        <v>1.1</v>
      </c>
    </row>
    <row r="1409" customFormat="false" ht="15" hidden="false" customHeight="true" outlineLevel="0" collapsed="false">
      <c r="A1409" s="6" t="n">
        <v>5</v>
      </c>
      <c r="B1409" s="6" t="s">
        <v>2898</v>
      </c>
      <c r="C1409" s="6" t="s">
        <v>1431</v>
      </c>
      <c r="D1409" s="6" t="str">
        <f aca="false">A1409&amp;"|"&amp;C1409</f>
        <v>5|Corvette</v>
      </c>
      <c r="E1409" s="6" t="s">
        <v>1556</v>
      </c>
      <c r="F1409" s="6" t="s">
        <v>1544</v>
      </c>
      <c r="G1409" s="6" t="str">
        <f aca="false">INDEX(Archetypes!$D$2:$D$127, MATCH(D1409, Archetypes!$A$2:$A$127, 0))</f>
        <v>Screen</v>
      </c>
      <c r="H1409" s="6" t="n">
        <f aca="false">ROUND(INDEX(Archetypes!$E$2:$E$127, MATCH(D1409, Archetypes!$A$2:$A$127, 0))*INDEX(Unit_Grades!$B$2:$B$7, MATCH(F1409, Unit_Grades!$A$2:$A$7, 0))*INDEX(Unit_Paths!$B$2:$B$4, MATCH(E1409, Unit_Paths!$A$2:$A$4, 0)),1)</f>
        <v>528</v>
      </c>
      <c r="I1409" s="6" t="n">
        <f aca="false">ROUND(INDEX(Archetypes!$F$2:$F$127, MATCH(D1409, Archetypes!$A$2:$A$127, 0))*INDEX(Unit_Grades!$B$2:$B$7, MATCH(F1409, Unit_Grades!$A$2:$A$7, 0))*INDEX(Unit_Paths!$C$2:$C$4, MATCH(E1409, Unit_Paths!$A$2:$A$4, 0)),1)</f>
        <v>288</v>
      </c>
      <c r="J1409" s="6" t="n">
        <f aca="false">ROUND(INDEX(Archetypes!$G$2:$G$127, MATCH(D1409, Archetypes!$A$2:$A$127, 0))*INDEX(Unit_Grades!$B$2:$B$7, MATCH(F1409, Unit_Grades!$A$2:$A$7, 0))*INDEX(Unit_Paths!$D$2:$D$4, MATCH(E1409, Unit_Paths!$A$2:$A$4, 0)),0)</f>
        <v>1248</v>
      </c>
      <c r="K1409" s="6" t="n">
        <f aca="false">ROUND(INDEX(Archetypes!$H$2:$H$127, MATCH(D1409, Archetypes!$A$2:$A$127, 0))*INDEX(Unit_Paths!$E$2:$E$4, MATCH(E1409, Unit_Paths!$A$2:$A$4, 0)),1)</f>
        <v>80</v>
      </c>
      <c r="L1409" s="6" t="n">
        <f aca="false">ROUND(INDEX(Archetypes!$I$2:$I$127, MATCH(D1409, Archetypes!$A$2:$A$127, 0))*INDEX(Unit_Grades!$C$2:$C$7, MATCH(F1409, Unit_Grades!$A$2:$A$7, 0)),1)</f>
        <v>54.6</v>
      </c>
      <c r="M1409" s="6" t="n">
        <f aca="false">ROUND(INDEX(Archetypes!$J$2:$J$127, MATCH(D1409, Archetypes!$A$2:$A$127, 0))*INDEX(Unit_Grades!$D$2:$D$7, MATCH(F1409, Unit_Grades!$A$2:$A$7, 0)),1)</f>
        <v>42.2</v>
      </c>
      <c r="N1409" s="6" t="n">
        <f aca="false">ROUND(M1409/24,2)</f>
        <v>1.76</v>
      </c>
    </row>
    <row r="1410" customFormat="false" ht="15" hidden="false" customHeight="true" outlineLevel="0" collapsed="false">
      <c r="A1410" s="6" t="n">
        <v>5</v>
      </c>
      <c r="B1410" s="6" t="s">
        <v>2899</v>
      </c>
      <c r="C1410" s="6" t="s">
        <v>1431</v>
      </c>
      <c r="D1410" s="6" t="str">
        <f aca="false">A1410&amp;"|"&amp;C1410</f>
        <v>5|Corvette</v>
      </c>
      <c r="E1410" s="6" t="s">
        <v>1556</v>
      </c>
      <c r="F1410" s="6" t="s">
        <v>1546</v>
      </c>
      <c r="G1410" s="6" t="str">
        <f aca="false">INDEX(Archetypes!$D$2:$D$127, MATCH(D1410, Archetypes!$A$2:$A$127, 0))</f>
        <v>Screen</v>
      </c>
      <c r="H1410" s="6" t="n">
        <f aca="false">ROUND(INDEX(Archetypes!$E$2:$E$127, MATCH(D1410, Archetypes!$A$2:$A$127, 0))*INDEX(Unit_Grades!$B$2:$B$7, MATCH(F1410, Unit_Grades!$A$2:$A$7, 0))*INDEX(Unit_Paths!$B$2:$B$4, MATCH(E1410, Unit_Paths!$A$2:$A$4, 0)),1)</f>
        <v>704</v>
      </c>
      <c r="I1410" s="6" t="n">
        <f aca="false">ROUND(INDEX(Archetypes!$F$2:$F$127, MATCH(D1410, Archetypes!$A$2:$A$127, 0))*INDEX(Unit_Grades!$B$2:$B$7, MATCH(F1410, Unit_Grades!$A$2:$A$7, 0))*INDEX(Unit_Paths!$C$2:$C$4, MATCH(E1410, Unit_Paths!$A$2:$A$4, 0)),1)</f>
        <v>384</v>
      </c>
      <c r="J1410" s="6" t="n">
        <f aca="false">ROUND(INDEX(Archetypes!$G$2:$G$127, MATCH(D1410, Archetypes!$A$2:$A$127, 0))*INDEX(Unit_Grades!$B$2:$B$7, MATCH(F1410, Unit_Grades!$A$2:$A$7, 0))*INDEX(Unit_Paths!$D$2:$D$4, MATCH(E1410, Unit_Paths!$A$2:$A$4, 0)),0)</f>
        <v>1664</v>
      </c>
      <c r="K1410" s="6" t="n">
        <f aca="false">ROUND(INDEX(Archetypes!$H$2:$H$127, MATCH(D1410, Archetypes!$A$2:$A$127, 0))*INDEX(Unit_Paths!$E$2:$E$4, MATCH(E1410, Unit_Paths!$A$2:$A$4, 0)),1)</f>
        <v>80</v>
      </c>
      <c r="L1410" s="6" t="n">
        <f aca="false">ROUND(INDEX(Archetypes!$I$2:$I$127, MATCH(D1410, Archetypes!$A$2:$A$127, 0))*INDEX(Unit_Grades!$C$2:$C$7, MATCH(F1410, Unit_Grades!$A$2:$A$7, 0)),1)</f>
        <v>72.8</v>
      </c>
      <c r="M1410" s="6" t="n">
        <f aca="false">ROUND(INDEX(Archetypes!$J$2:$J$127, MATCH(D1410, Archetypes!$A$2:$A$127, 0))*INDEX(Unit_Grades!$D$2:$D$7, MATCH(F1410, Unit_Grades!$A$2:$A$7, 0)),1)</f>
        <v>73.9</v>
      </c>
      <c r="N1410" s="6" t="n">
        <f aca="false">ROUND(M1410/24,2)</f>
        <v>3.08</v>
      </c>
    </row>
    <row r="1411" customFormat="false" ht="15" hidden="false" customHeight="true" outlineLevel="0" collapsed="false">
      <c r="A1411" s="6" t="n">
        <v>5</v>
      </c>
      <c r="B1411" s="6" t="s">
        <v>2900</v>
      </c>
      <c r="C1411" s="6" t="s">
        <v>1431</v>
      </c>
      <c r="D1411" s="6" t="str">
        <f aca="false">A1411&amp;"|"&amp;C1411</f>
        <v>5|Corvette</v>
      </c>
      <c r="E1411" s="6" t="s">
        <v>1556</v>
      </c>
      <c r="F1411" s="6" t="s">
        <v>1548</v>
      </c>
      <c r="G1411" s="6" t="str">
        <f aca="false">INDEX(Archetypes!$D$2:$D$127, MATCH(D1411, Archetypes!$A$2:$A$127, 0))</f>
        <v>Screen</v>
      </c>
      <c r="H1411" s="6" t="n">
        <f aca="false">ROUND(INDEX(Archetypes!$E$2:$E$127, MATCH(D1411, Archetypes!$A$2:$A$127, 0))*INDEX(Unit_Grades!$B$2:$B$7, MATCH(F1411, Unit_Grades!$A$2:$A$7, 0))*INDEX(Unit_Paths!$B$2:$B$4, MATCH(E1411, Unit_Paths!$A$2:$A$4, 0)),1)</f>
        <v>924</v>
      </c>
      <c r="I1411" s="6" t="n">
        <f aca="false">ROUND(INDEX(Archetypes!$F$2:$F$127, MATCH(D1411, Archetypes!$A$2:$A$127, 0))*INDEX(Unit_Grades!$B$2:$B$7, MATCH(F1411, Unit_Grades!$A$2:$A$7, 0))*INDEX(Unit_Paths!$C$2:$C$4, MATCH(E1411, Unit_Paths!$A$2:$A$4, 0)),1)</f>
        <v>504</v>
      </c>
      <c r="J1411" s="6" t="n">
        <f aca="false">ROUND(INDEX(Archetypes!$G$2:$G$127, MATCH(D1411, Archetypes!$A$2:$A$127, 0))*INDEX(Unit_Grades!$B$2:$B$7, MATCH(F1411, Unit_Grades!$A$2:$A$7, 0))*INDEX(Unit_Paths!$D$2:$D$4, MATCH(E1411, Unit_Paths!$A$2:$A$4, 0)),0)</f>
        <v>2184</v>
      </c>
      <c r="K1411" s="6" t="n">
        <f aca="false">ROUND(INDEX(Archetypes!$H$2:$H$127, MATCH(D1411, Archetypes!$A$2:$A$127, 0))*INDEX(Unit_Paths!$E$2:$E$4, MATCH(E1411, Unit_Paths!$A$2:$A$4, 0)),1)</f>
        <v>80</v>
      </c>
      <c r="L1411" s="6" t="n">
        <f aca="false">ROUND(INDEX(Archetypes!$I$2:$I$127, MATCH(D1411, Archetypes!$A$2:$A$127, 0))*INDEX(Unit_Grades!$C$2:$C$7, MATCH(F1411, Unit_Grades!$A$2:$A$7, 0)),1)</f>
        <v>96.2</v>
      </c>
      <c r="M1411" s="6" t="n">
        <f aca="false">ROUND(INDEX(Archetypes!$J$2:$J$127, MATCH(D1411, Archetypes!$A$2:$A$127, 0))*INDEX(Unit_Grades!$D$2:$D$7, MATCH(F1411, Unit_Grades!$A$2:$A$7, 0)),1)</f>
        <v>126.6</v>
      </c>
      <c r="N1411" s="6" t="n">
        <f aca="false">ROUND(M1411/24,2)</f>
        <v>5.28</v>
      </c>
    </row>
    <row r="1412" customFormat="false" ht="15" hidden="false" customHeight="true" outlineLevel="0" collapsed="false">
      <c r="A1412" s="6" t="n">
        <v>5</v>
      </c>
      <c r="B1412" s="6" t="s">
        <v>2901</v>
      </c>
      <c r="C1412" s="6" t="s">
        <v>1431</v>
      </c>
      <c r="D1412" s="6" t="str">
        <f aca="false">A1412&amp;"|"&amp;C1412</f>
        <v>5|Corvette</v>
      </c>
      <c r="E1412" s="6" t="s">
        <v>1558</v>
      </c>
      <c r="F1412" s="6" t="s">
        <v>1538</v>
      </c>
      <c r="G1412" s="6" t="str">
        <f aca="false">INDEX(Archetypes!$D$2:$D$127, MATCH(D1412, Archetypes!$A$2:$A$127, 0))</f>
        <v>Screen</v>
      </c>
      <c r="H1412" s="6" t="n">
        <f aca="false">ROUND(INDEX(Archetypes!$E$2:$E$127, MATCH(D1412, Archetypes!$A$2:$A$127, 0))*INDEX(Unit_Grades!$B$2:$B$7, MATCH(F1412, Unit_Grades!$A$2:$A$7, 0))*INDEX(Unit_Paths!$B$2:$B$4, MATCH(E1412, Unit_Paths!$A$2:$A$4, 0)),1)</f>
        <v>264</v>
      </c>
      <c r="I1412" s="6" t="n">
        <f aca="false">ROUND(INDEX(Archetypes!$F$2:$F$127, MATCH(D1412, Archetypes!$A$2:$A$127, 0))*INDEX(Unit_Grades!$B$2:$B$7, MATCH(F1412, Unit_Grades!$A$2:$A$7, 0))*INDEX(Unit_Paths!$C$2:$C$4, MATCH(E1412, Unit_Paths!$A$2:$A$4, 0)),1)</f>
        <v>102</v>
      </c>
      <c r="J1412" s="6" t="n">
        <f aca="false">ROUND(INDEX(Archetypes!$G$2:$G$127, MATCH(D1412, Archetypes!$A$2:$A$127, 0))*INDEX(Unit_Grades!$B$2:$B$7, MATCH(F1412, Unit_Grades!$A$2:$A$7, 0))*INDEX(Unit_Paths!$D$2:$D$4, MATCH(E1412, Unit_Paths!$A$2:$A$4, 0)),0)</f>
        <v>494</v>
      </c>
      <c r="K1412" s="6" t="n">
        <f aca="false">ROUND(INDEX(Archetypes!$H$2:$H$127, MATCH(D1412, Archetypes!$A$2:$A$127, 0))*INDEX(Unit_Paths!$E$2:$E$4, MATCH(E1412, Unit_Paths!$A$2:$A$4, 0)),1)</f>
        <v>84</v>
      </c>
      <c r="L1412" s="6" t="n">
        <f aca="false">ROUND(INDEX(Archetypes!$I$2:$I$127, MATCH(D1412, Archetypes!$A$2:$A$127, 0))*INDEX(Unit_Grades!$C$2:$C$7, MATCH(F1412, Unit_Grades!$A$2:$A$7, 0)),1)</f>
        <v>26</v>
      </c>
      <c r="M1412" s="6" t="n">
        <f aca="false">ROUND(INDEX(Archetypes!$J$2:$J$127, MATCH(D1412, Archetypes!$A$2:$A$127, 0))*INDEX(Unit_Grades!$D$2:$D$7, MATCH(F1412, Unit_Grades!$A$2:$A$7, 0)),1)</f>
        <v>10.6</v>
      </c>
      <c r="N1412" s="6" t="n">
        <f aca="false">ROUND(M1412/24,2)</f>
        <v>0.44</v>
      </c>
    </row>
    <row r="1413" customFormat="false" ht="15" hidden="false" customHeight="true" outlineLevel="0" collapsed="false">
      <c r="A1413" s="6" t="n">
        <v>5</v>
      </c>
      <c r="B1413" s="6" t="s">
        <v>2902</v>
      </c>
      <c r="C1413" s="6" t="s">
        <v>1431</v>
      </c>
      <c r="D1413" s="6" t="str">
        <f aca="false">A1413&amp;"|"&amp;C1413</f>
        <v>5|Corvette</v>
      </c>
      <c r="E1413" s="6" t="s">
        <v>1558</v>
      </c>
      <c r="F1413" s="6" t="s">
        <v>1540</v>
      </c>
      <c r="G1413" s="6" t="str">
        <f aca="false">INDEX(Archetypes!$D$2:$D$127, MATCH(D1413, Archetypes!$A$2:$A$127, 0))</f>
        <v>Screen</v>
      </c>
      <c r="H1413" s="6" t="n">
        <f aca="false">ROUND(INDEX(Archetypes!$E$2:$E$127, MATCH(D1413, Archetypes!$A$2:$A$127, 0))*INDEX(Unit_Grades!$B$2:$B$7, MATCH(F1413, Unit_Grades!$A$2:$A$7, 0))*INDEX(Unit_Paths!$B$2:$B$4, MATCH(E1413, Unit_Paths!$A$2:$A$4, 0)),1)</f>
        <v>356.4</v>
      </c>
      <c r="I1413" s="6" t="n">
        <f aca="false">ROUND(INDEX(Archetypes!$F$2:$F$127, MATCH(D1413, Archetypes!$A$2:$A$127, 0))*INDEX(Unit_Grades!$B$2:$B$7, MATCH(F1413, Unit_Grades!$A$2:$A$7, 0))*INDEX(Unit_Paths!$C$2:$C$4, MATCH(E1413, Unit_Paths!$A$2:$A$4, 0)),1)</f>
        <v>137.7</v>
      </c>
      <c r="J1413" s="6" t="n">
        <f aca="false">ROUND(INDEX(Archetypes!$G$2:$G$127, MATCH(D1413, Archetypes!$A$2:$A$127, 0))*INDEX(Unit_Grades!$B$2:$B$7, MATCH(F1413, Unit_Grades!$A$2:$A$7, 0))*INDEX(Unit_Paths!$D$2:$D$4, MATCH(E1413, Unit_Paths!$A$2:$A$4, 0)),0)</f>
        <v>667</v>
      </c>
      <c r="K1413" s="6" t="n">
        <f aca="false">ROUND(INDEX(Archetypes!$H$2:$H$127, MATCH(D1413, Archetypes!$A$2:$A$127, 0))*INDEX(Unit_Paths!$E$2:$E$4, MATCH(E1413, Unit_Paths!$A$2:$A$4, 0)),1)</f>
        <v>84</v>
      </c>
      <c r="L1413" s="6" t="n">
        <f aca="false">ROUND(INDEX(Archetypes!$I$2:$I$127, MATCH(D1413, Archetypes!$A$2:$A$127, 0))*INDEX(Unit_Grades!$C$2:$C$7, MATCH(F1413, Unit_Grades!$A$2:$A$7, 0)),1)</f>
        <v>32.5</v>
      </c>
      <c r="M1413" s="6" t="n">
        <f aca="false">ROUND(INDEX(Archetypes!$J$2:$J$127, MATCH(D1413, Archetypes!$A$2:$A$127, 0))*INDEX(Unit_Grades!$D$2:$D$7, MATCH(F1413, Unit_Grades!$A$2:$A$7, 0)),1)</f>
        <v>15.8</v>
      </c>
      <c r="N1413" s="6" t="n">
        <f aca="false">ROUND(M1413/24,2)</f>
        <v>0.66</v>
      </c>
    </row>
    <row r="1414" customFormat="false" ht="15" hidden="false" customHeight="true" outlineLevel="0" collapsed="false">
      <c r="A1414" s="6" t="n">
        <v>5</v>
      </c>
      <c r="B1414" s="6" t="s">
        <v>2903</v>
      </c>
      <c r="C1414" s="6" t="s">
        <v>1431</v>
      </c>
      <c r="D1414" s="6" t="str">
        <f aca="false">A1414&amp;"|"&amp;C1414</f>
        <v>5|Corvette</v>
      </c>
      <c r="E1414" s="6" t="s">
        <v>1558</v>
      </c>
      <c r="F1414" s="6" t="s">
        <v>1542</v>
      </c>
      <c r="G1414" s="6" t="str">
        <f aca="false">INDEX(Archetypes!$D$2:$D$127, MATCH(D1414, Archetypes!$A$2:$A$127, 0))</f>
        <v>Screen</v>
      </c>
      <c r="H1414" s="6" t="n">
        <f aca="false">ROUND(INDEX(Archetypes!$E$2:$E$127, MATCH(D1414, Archetypes!$A$2:$A$127, 0))*INDEX(Unit_Grades!$B$2:$B$7, MATCH(F1414, Unit_Grades!$A$2:$A$7, 0))*INDEX(Unit_Paths!$B$2:$B$4, MATCH(E1414, Unit_Paths!$A$2:$A$4, 0)),1)</f>
        <v>475.2</v>
      </c>
      <c r="I1414" s="6" t="n">
        <f aca="false">ROUND(INDEX(Archetypes!$F$2:$F$127, MATCH(D1414, Archetypes!$A$2:$A$127, 0))*INDEX(Unit_Grades!$B$2:$B$7, MATCH(F1414, Unit_Grades!$A$2:$A$7, 0))*INDEX(Unit_Paths!$C$2:$C$4, MATCH(E1414, Unit_Paths!$A$2:$A$4, 0)),1)</f>
        <v>183.6</v>
      </c>
      <c r="J1414" s="6" t="n">
        <f aca="false">ROUND(INDEX(Archetypes!$G$2:$G$127, MATCH(D1414, Archetypes!$A$2:$A$127, 0))*INDEX(Unit_Grades!$B$2:$B$7, MATCH(F1414, Unit_Grades!$A$2:$A$7, 0))*INDEX(Unit_Paths!$D$2:$D$4, MATCH(E1414, Unit_Paths!$A$2:$A$4, 0)),0)</f>
        <v>889</v>
      </c>
      <c r="K1414" s="6" t="n">
        <f aca="false">ROUND(INDEX(Archetypes!$H$2:$H$127, MATCH(D1414, Archetypes!$A$2:$A$127, 0))*INDEX(Unit_Paths!$E$2:$E$4, MATCH(E1414, Unit_Paths!$A$2:$A$4, 0)),1)</f>
        <v>84</v>
      </c>
      <c r="L1414" s="6" t="n">
        <f aca="false">ROUND(INDEX(Archetypes!$I$2:$I$127, MATCH(D1414, Archetypes!$A$2:$A$127, 0))*INDEX(Unit_Grades!$C$2:$C$7, MATCH(F1414, Unit_Grades!$A$2:$A$7, 0)),1)</f>
        <v>41.6</v>
      </c>
      <c r="M1414" s="6" t="n">
        <f aca="false">ROUND(INDEX(Archetypes!$J$2:$J$127, MATCH(D1414, Archetypes!$A$2:$A$127, 0))*INDEX(Unit_Grades!$D$2:$D$7, MATCH(F1414, Unit_Grades!$A$2:$A$7, 0)),1)</f>
        <v>26.4</v>
      </c>
      <c r="N1414" s="6" t="n">
        <f aca="false">ROUND(M1414/24,2)</f>
        <v>1.1</v>
      </c>
    </row>
    <row r="1415" customFormat="false" ht="15" hidden="false" customHeight="true" outlineLevel="0" collapsed="false">
      <c r="A1415" s="6" t="n">
        <v>5</v>
      </c>
      <c r="B1415" s="6" t="s">
        <v>2904</v>
      </c>
      <c r="C1415" s="6" t="s">
        <v>1431</v>
      </c>
      <c r="D1415" s="6" t="str">
        <f aca="false">A1415&amp;"|"&amp;C1415</f>
        <v>5|Corvette</v>
      </c>
      <c r="E1415" s="6" t="s">
        <v>1558</v>
      </c>
      <c r="F1415" s="6" t="s">
        <v>1544</v>
      </c>
      <c r="G1415" s="6" t="str">
        <f aca="false">INDEX(Archetypes!$D$2:$D$127, MATCH(D1415, Archetypes!$A$2:$A$127, 0))</f>
        <v>Screen</v>
      </c>
      <c r="H1415" s="6" t="n">
        <f aca="false">ROUND(INDEX(Archetypes!$E$2:$E$127, MATCH(D1415, Archetypes!$A$2:$A$127, 0))*INDEX(Unit_Grades!$B$2:$B$7, MATCH(F1415, Unit_Grades!$A$2:$A$7, 0))*INDEX(Unit_Paths!$B$2:$B$4, MATCH(E1415, Unit_Paths!$A$2:$A$4, 0)),1)</f>
        <v>633.6</v>
      </c>
      <c r="I1415" s="6" t="n">
        <f aca="false">ROUND(INDEX(Archetypes!$F$2:$F$127, MATCH(D1415, Archetypes!$A$2:$A$127, 0))*INDEX(Unit_Grades!$B$2:$B$7, MATCH(F1415, Unit_Grades!$A$2:$A$7, 0))*INDEX(Unit_Paths!$C$2:$C$4, MATCH(E1415, Unit_Paths!$A$2:$A$4, 0)),1)</f>
        <v>244.8</v>
      </c>
      <c r="J1415" s="6" t="n">
        <f aca="false">ROUND(INDEX(Archetypes!$G$2:$G$127, MATCH(D1415, Archetypes!$A$2:$A$127, 0))*INDEX(Unit_Grades!$B$2:$B$7, MATCH(F1415, Unit_Grades!$A$2:$A$7, 0))*INDEX(Unit_Paths!$D$2:$D$4, MATCH(E1415, Unit_Paths!$A$2:$A$4, 0)),0)</f>
        <v>1186</v>
      </c>
      <c r="K1415" s="6" t="n">
        <f aca="false">ROUND(INDEX(Archetypes!$H$2:$H$127, MATCH(D1415, Archetypes!$A$2:$A$127, 0))*INDEX(Unit_Paths!$E$2:$E$4, MATCH(E1415, Unit_Paths!$A$2:$A$4, 0)),1)</f>
        <v>84</v>
      </c>
      <c r="L1415" s="6" t="n">
        <f aca="false">ROUND(INDEX(Archetypes!$I$2:$I$127, MATCH(D1415, Archetypes!$A$2:$A$127, 0))*INDEX(Unit_Grades!$C$2:$C$7, MATCH(F1415, Unit_Grades!$A$2:$A$7, 0)),1)</f>
        <v>54.6</v>
      </c>
      <c r="M1415" s="6" t="n">
        <f aca="false">ROUND(INDEX(Archetypes!$J$2:$J$127, MATCH(D1415, Archetypes!$A$2:$A$127, 0))*INDEX(Unit_Grades!$D$2:$D$7, MATCH(F1415, Unit_Grades!$A$2:$A$7, 0)),1)</f>
        <v>42.2</v>
      </c>
      <c r="N1415" s="6" t="n">
        <f aca="false">ROUND(M1415/24,2)</f>
        <v>1.76</v>
      </c>
    </row>
    <row r="1416" customFormat="false" ht="15" hidden="false" customHeight="true" outlineLevel="0" collapsed="false">
      <c r="A1416" s="6" t="n">
        <v>5</v>
      </c>
      <c r="B1416" s="6" t="s">
        <v>2905</v>
      </c>
      <c r="C1416" s="6" t="s">
        <v>1431</v>
      </c>
      <c r="D1416" s="6" t="str">
        <f aca="false">A1416&amp;"|"&amp;C1416</f>
        <v>5|Corvette</v>
      </c>
      <c r="E1416" s="6" t="s">
        <v>1558</v>
      </c>
      <c r="F1416" s="6" t="s">
        <v>1546</v>
      </c>
      <c r="G1416" s="6" t="str">
        <f aca="false">INDEX(Archetypes!$D$2:$D$127, MATCH(D1416, Archetypes!$A$2:$A$127, 0))</f>
        <v>Screen</v>
      </c>
      <c r="H1416" s="6" t="n">
        <f aca="false">ROUND(INDEX(Archetypes!$E$2:$E$127, MATCH(D1416, Archetypes!$A$2:$A$127, 0))*INDEX(Unit_Grades!$B$2:$B$7, MATCH(F1416, Unit_Grades!$A$2:$A$7, 0))*INDEX(Unit_Paths!$B$2:$B$4, MATCH(E1416, Unit_Paths!$A$2:$A$4, 0)),1)</f>
        <v>844.8</v>
      </c>
      <c r="I1416" s="6" t="n">
        <f aca="false">ROUND(INDEX(Archetypes!$F$2:$F$127, MATCH(D1416, Archetypes!$A$2:$A$127, 0))*INDEX(Unit_Grades!$B$2:$B$7, MATCH(F1416, Unit_Grades!$A$2:$A$7, 0))*INDEX(Unit_Paths!$C$2:$C$4, MATCH(E1416, Unit_Paths!$A$2:$A$4, 0)),1)</f>
        <v>326.4</v>
      </c>
      <c r="J1416" s="6" t="n">
        <f aca="false">ROUND(INDEX(Archetypes!$G$2:$G$127, MATCH(D1416, Archetypes!$A$2:$A$127, 0))*INDEX(Unit_Grades!$B$2:$B$7, MATCH(F1416, Unit_Grades!$A$2:$A$7, 0))*INDEX(Unit_Paths!$D$2:$D$4, MATCH(E1416, Unit_Paths!$A$2:$A$4, 0)),0)</f>
        <v>1581</v>
      </c>
      <c r="K1416" s="6" t="n">
        <f aca="false">ROUND(INDEX(Archetypes!$H$2:$H$127, MATCH(D1416, Archetypes!$A$2:$A$127, 0))*INDEX(Unit_Paths!$E$2:$E$4, MATCH(E1416, Unit_Paths!$A$2:$A$4, 0)),1)</f>
        <v>84</v>
      </c>
      <c r="L1416" s="6" t="n">
        <f aca="false">ROUND(INDEX(Archetypes!$I$2:$I$127, MATCH(D1416, Archetypes!$A$2:$A$127, 0))*INDEX(Unit_Grades!$C$2:$C$7, MATCH(F1416, Unit_Grades!$A$2:$A$7, 0)),1)</f>
        <v>72.8</v>
      </c>
      <c r="M1416" s="6" t="n">
        <f aca="false">ROUND(INDEX(Archetypes!$J$2:$J$127, MATCH(D1416, Archetypes!$A$2:$A$127, 0))*INDEX(Unit_Grades!$D$2:$D$7, MATCH(F1416, Unit_Grades!$A$2:$A$7, 0)),1)</f>
        <v>73.9</v>
      </c>
      <c r="N1416" s="6" t="n">
        <f aca="false">ROUND(M1416/24,2)</f>
        <v>3.08</v>
      </c>
    </row>
    <row r="1417" customFormat="false" ht="15" hidden="false" customHeight="true" outlineLevel="0" collapsed="false">
      <c r="A1417" s="6" t="n">
        <v>5</v>
      </c>
      <c r="B1417" s="6" t="s">
        <v>2906</v>
      </c>
      <c r="C1417" s="6" t="s">
        <v>1431</v>
      </c>
      <c r="D1417" s="6" t="str">
        <f aca="false">A1417&amp;"|"&amp;C1417</f>
        <v>5|Corvette</v>
      </c>
      <c r="E1417" s="6" t="s">
        <v>1558</v>
      </c>
      <c r="F1417" s="6" t="s">
        <v>1548</v>
      </c>
      <c r="G1417" s="6" t="str">
        <f aca="false">INDEX(Archetypes!$D$2:$D$127, MATCH(D1417, Archetypes!$A$2:$A$127, 0))</f>
        <v>Screen</v>
      </c>
      <c r="H1417" s="6" t="n">
        <f aca="false">ROUND(INDEX(Archetypes!$E$2:$E$127, MATCH(D1417, Archetypes!$A$2:$A$127, 0))*INDEX(Unit_Grades!$B$2:$B$7, MATCH(F1417, Unit_Grades!$A$2:$A$7, 0))*INDEX(Unit_Paths!$B$2:$B$4, MATCH(E1417, Unit_Paths!$A$2:$A$4, 0)),1)</f>
        <v>1108.8</v>
      </c>
      <c r="I1417" s="6" t="n">
        <f aca="false">ROUND(INDEX(Archetypes!$F$2:$F$127, MATCH(D1417, Archetypes!$A$2:$A$127, 0))*INDEX(Unit_Grades!$B$2:$B$7, MATCH(F1417, Unit_Grades!$A$2:$A$7, 0))*INDEX(Unit_Paths!$C$2:$C$4, MATCH(E1417, Unit_Paths!$A$2:$A$4, 0)),1)</f>
        <v>428.4</v>
      </c>
      <c r="J1417" s="6" t="n">
        <f aca="false">ROUND(INDEX(Archetypes!$G$2:$G$127, MATCH(D1417, Archetypes!$A$2:$A$127, 0))*INDEX(Unit_Grades!$B$2:$B$7, MATCH(F1417, Unit_Grades!$A$2:$A$7, 0))*INDEX(Unit_Paths!$D$2:$D$4, MATCH(E1417, Unit_Paths!$A$2:$A$4, 0)),0)</f>
        <v>2075</v>
      </c>
      <c r="K1417" s="6" t="n">
        <f aca="false">ROUND(INDEX(Archetypes!$H$2:$H$127, MATCH(D1417, Archetypes!$A$2:$A$127, 0))*INDEX(Unit_Paths!$E$2:$E$4, MATCH(E1417, Unit_Paths!$A$2:$A$4, 0)),1)</f>
        <v>84</v>
      </c>
      <c r="L1417" s="6" t="n">
        <f aca="false">ROUND(INDEX(Archetypes!$I$2:$I$127, MATCH(D1417, Archetypes!$A$2:$A$127, 0))*INDEX(Unit_Grades!$C$2:$C$7, MATCH(F1417, Unit_Grades!$A$2:$A$7, 0)),1)</f>
        <v>96.2</v>
      </c>
      <c r="M1417" s="6" t="n">
        <f aca="false">ROUND(INDEX(Archetypes!$J$2:$J$127, MATCH(D1417, Archetypes!$A$2:$A$127, 0))*INDEX(Unit_Grades!$D$2:$D$7, MATCH(F1417, Unit_Grades!$A$2:$A$7, 0)),1)</f>
        <v>126.6</v>
      </c>
      <c r="N1417" s="6" t="n">
        <f aca="false">ROUND(M1417/24,2)</f>
        <v>5.28</v>
      </c>
    </row>
    <row r="1418" customFormat="false" ht="15" hidden="false" customHeight="true" outlineLevel="0" collapsed="false">
      <c r="A1418" s="6" t="n">
        <v>5</v>
      </c>
      <c r="B1418" s="6" t="s">
        <v>2907</v>
      </c>
      <c r="C1418" s="6" t="s">
        <v>1431</v>
      </c>
      <c r="D1418" s="6" t="str">
        <f aca="false">A1418&amp;"|"&amp;C1418</f>
        <v>5|Corvette</v>
      </c>
      <c r="E1418" s="6" t="s">
        <v>1560</v>
      </c>
      <c r="F1418" s="6" t="s">
        <v>1538</v>
      </c>
      <c r="G1418" s="6" t="str">
        <f aca="false">INDEX(Archetypes!$D$2:$D$127, MATCH(D1418, Archetypes!$A$2:$A$127, 0))</f>
        <v>Screen</v>
      </c>
      <c r="H1418" s="6" t="n">
        <f aca="false">ROUND(INDEX(Archetypes!$E$2:$E$127, MATCH(D1418, Archetypes!$A$2:$A$127, 0))*INDEX(Unit_Grades!$B$2:$B$7, MATCH(F1418, Unit_Grades!$A$2:$A$7, 0))*INDEX(Unit_Paths!$B$2:$B$4, MATCH(E1418, Unit_Paths!$A$2:$A$4, 0)),1)</f>
        <v>187</v>
      </c>
      <c r="I1418" s="6" t="n">
        <f aca="false">ROUND(INDEX(Archetypes!$F$2:$F$127, MATCH(D1418, Archetypes!$A$2:$A$127, 0))*INDEX(Unit_Grades!$B$2:$B$7, MATCH(F1418, Unit_Grades!$A$2:$A$7, 0))*INDEX(Unit_Paths!$C$2:$C$4, MATCH(E1418, Unit_Paths!$A$2:$A$4, 0)),1)</f>
        <v>150</v>
      </c>
      <c r="J1418" s="6" t="n">
        <f aca="false">ROUND(INDEX(Archetypes!$G$2:$G$127, MATCH(D1418, Archetypes!$A$2:$A$127, 0))*INDEX(Unit_Grades!$B$2:$B$7, MATCH(F1418, Unit_Grades!$A$2:$A$7, 0))*INDEX(Unit_Paths!$D$2:$D$4, MATCH(E1418, Unit_Paths!$A$2:$A$4, 0)),0)</f>
        <v>598</v>
      </c>
      <c r="K1418" s="6" t="n">
        <f aca="false">ROUND(INDEX(Archetypes!$H$2:$H$127, MATCH(D1418, Archetypes!$A$2:$A$127, 0))*INDEX(Unit_Paths!$E$2:$E$4, MATCH(E1418, Unit_Paths!$A$2:$A$4, 0)),1)</f>
        <v>73.6</v>
      </c>
      <c r="L1418" s="6" t="n">
        <f aca="false">ROUND(INDEX(Archetypes!$I$2:$I$127, MATCH(D1418, Archetypes!$A$2:$A$127, 0))*INDEX(Unit_Grades!$C$2:$C$7, MATCH(F1418, Unit_Grades!$A$2:$A$7, 0)),1)</f>
        <v>26</v>
      </c>
      <c r="M1418" s="6" t="n">
        <f aca="false">ROUND(INDEX(Archetypes!$J$2:$J$127, MATCH(D1418, Archetypes!$A$2:$A$127, 0))*INDEX(Unit_Grades!$D$2:$D$7, MATCH(F1418, Unit_Grades!$A$2:$A$7, 0)),1)</f>
        <v>10.6</v>
      </c>
      <c r="N1418" s="6" t="n">
        <f aca="false">ROUND(M1418/24,2)</f>
        <v>0.44</v>
      </c>
    </row>
    <row r="1419" customFormat="false" ht="15" hidden="false" customHeight="true" outlineLevel="0" collapsed="false">
      <c r="A1419" s="6" t="n">
        <v>5</v>
      </c>
      <c r="B1419" s="6" t="s">
        <v>2908</v>
      </c>
      <c r="C1419" s="6" t="s">
        <v>1431</v>
      </c>
      <c r="D1419" s="6" t="str">
        <f aca="false">A1419&amp;"|"&amp;C1419</f>
        <v>5|Corvette</v>
      </c>
      <c r="E1419" s="6" t="s">
        <v>1560</v>
      </c>
      <c r="F1419" s="6" t="s">
        <v>1540</v>
      </c>
      <c r="G1419" s="6" t="str">
        <f aca="false">INDEX(Archetypes!$D$2:$D$127, MATCH(D1419, Archetypes!$A$2:$A$127, 0))</f>
        <v>Screen</v>
      </c>
      <c r="H1419" s="6" t="n">
        <f aca="false">ROUND(INDEX(Archetypes!$E$2:$E$127, MATCH(D1419, Archetypes!$A$2:$A$127, 0))*INDEX(Unit_Grades!$B$2:$B$7, MATCH(F1419, Unit_Grades!$A$2:$A$7, 0))*INDEX(Unit_Paths!$B$2:$B$4, MATCH(E1419, Unit_Paths!$A$2:$A$4, 0)),1)</f>
        <v>252.5</v>
      </c>
      <c r="I1419" s="6" t="n">
        <f aca="false">ROUND(INDEX(Archetypes!$F$2:$F$127, MATCH(D1419, Archetypes!$A$2:$A$127, 0))*INDEX(Unit_Grades!$B$2:$B$7, MATCH(F1419, Unit_Grades!$A$2:$A$7, 0))*INDEX(Unit_Paths!$C$2:$C$4, MATCH(E1419, Unit_Paths!$A$2:$A$4, 0)),1)</f>
        <v>202.5</v>
      </c>
      <c r="J1419" s="6" t="n">
        <f aca="false">ROUND(INDEX(Archetypes!$G$2:$G$127, MATCH(D1419, Archetypes!$A$2:$A$127, 0))*INDEX(Unit_Grades!$B$2:$B$7, MATCH(F1419, Unit_Grades!$A$2:$A$7, 0))*INDEX(Unit_Paths!$D$2:$D$4, MATCH(E1419, Unit_Paths!$A$2:$A$4, 0)),0)</f>
        <v>807</v>
      </c>
      <c r="K1419" s="6" t="n">
        <f aca="false">ROUND(INDEX(Archetypes!$H$2:$H$127, MATCH(D1419, Archetypes!$A$2:$A$127, 0))*INDEX(Unit_Paths!$E$2:$E$4, MATCH(E1419, Unit_Paths!$A$2:$A$4, 0)),1)</f>
        <v>73.6</v>
      </c>
      <c r="L1419" s="6" t="n">
        <f aca="false">ROUND(INDEX(Archetypes!$I$2:$I$127, MATCH(D1419, Archetypes!$A$2:$A$127, 0))*INDEX(Unit_Grades!$C$2:$C$7, MATCH(F1419, Unit_Grades!$A$2:$A$7, 0)),1)</f>
        <v>32.5</v>
      </c>
      <c r="M1419" s="6" t="n">
        <f aca="false">ROUND(INDEX(Archetypes!$J$2:$J$127, MATCH(D1419, Archetypes!$A$2:$A$127, 0))*INDEX(Unit_Grades!$D$2:$D$7, MATCH(F1419, Unit_Grades!$A$2:$A$7, 0)),1)</f>
        <v>15.8</v>
      </c>
      <c r="N1419" s="6" t="n">
        <f aca="false">ROUND(M1419/24,2)</f>
        <v>0.66</v>
      </c>
    </row>
    <row r="1420" customFormat="false" ht="15" hidden="false" customHeight="true" outlineLevel="0" collapsed="false">
      <c r="A1420" s="6" t="n">
        <v>5</v>
      </c>
      <c r="B1420" s="6" t="s">
        <v>2909</v>
      </c>
      <c r="C1420" s="6" t="s">
        <v>1431</v>
      </c>
      <c r="D1420" s="6" t="str">
        <f aca="false">A1420&amp;"|"&amp;C1420</f>
        <v>5|Corvette</v>
      </c>
      <c r="E1420" s="6" t="s">
        <v>1560</v>
      </c>
      <c r="F1420" s="6" t="s">
        <v>1542</v>
      </c>
      <c r="G1420" s="6" t="str">
        <f aca="false">INDEX(Archetypes!$D$2:$D$127, MATCH(D1420, Archetypes!$A$2:$A$127, 0))</f>
        <v>Screen</v>
      </c>
      <c r="H1420" s="6" t="n">
        <f aca="false">ROUND(INDEX(Archetypes!$E$2:$E$127, MATCH(D1420, Archetypes!$A$2:$A$127, 0))*INDEX(Unit_Grades!$B$2:$B$7, MATCH(F1420, Unit_Grades!$A$2:$A$7, 0))*INDEX(Unit_Paths!$B$2:$B$4, MATCH(E1420, Unit_Paths!$A$2:$A$4, 0)),1)</f>
        <v>336.6</v>
      </c>
      <c r="I1420" s="6" t="n">
        <f aca="false">ROUND(INDEX(Archetypes!$F$2:$F$127, MATCH(D1420, Archetypes!$A$2:$A$127, 0))*INDEX(Unit_Grades!$B$2:$B$7, MATCH(F1420, Unit_Grades!$A$2:$A$7, 0))*INDEX(Unit_Paths!$C$2:$C$4, MATCH(E1420, Unit_Paths!$A$2:$A$4, 0)),1)</f>
        <v>270</v>
      </c>
      <c r="J1420" s="6" t="n">
        <f aca="false">ROUND(INDEX(Archetypes!$G$2:$G$127, MATCH(D1420, Archetypes!$A$2:$A$127, 0))*INDEX(Unit_Grades!$B$2:$B$7, MATCH(F1420, Unit_Grades!$A$2:$A$7, 0))*INDEX(Unit_Paths!$D$2:$D$4, MATCH(E1420, Unit_Paths!$A$2:$A$4, 0)),0)</f>
        <v>1076</v>
      </c>
      <c r="K1420" s="6" t="n">
        <f aca="false">ROUND(INDEX(Archetypes!$H$2:$H$127, MATCH(D1420, Archetypes!$A$2:$A$127, 0))*INDEX(Unit_Paths!$E$2:$E$4, MATCH(E1420, Unit_Paths!$A$2:$A$4, 0)),1)</f>
        <v>73.6</v>
      </c>
      <c r="L1420" s="6" t="n">
        <f aca="false">ROUND(INDEX(Archetypes!$I$2:$I$127, MATCH(D1420, Archetypes!$A$2:$A$127, 0))*INDEX(Unit_Grades!$C$2:$C$7, MATCH(F1420, Unit_Grades!$A$2:$A$7, 0)),1)</f>
        <v>41.6</v>
      </c>
      <c r="M1420" s="6" t="n">
        <f aca="false">ROUND(INDEX(Archetypes!$J$2:$J$127, MATCH(D1420, Archetypes!$A$2:$A$127, 0))*INDEX(Unit_Grades!$D$2:$D$7, MATCH(F1420, Unit_Grades!$A$2:$A$7, 0)),1)</f>
        <v>26.4</v>
      </c>
      <c r="N1420" s="6" t="n">
        <f aca="false">ROUND(M1420/24,2)</f>
        <v>1.1</v>
      </c>
    </row>
    <row r="1421" customFormat="false" ht="15" hidden="false" customHeight="true" outlineLevel="0" collapsed="false">
      <c r="A1421" s="6" t="n">
        <v>5</v>
      </c>
      <c r="B1421" s="6" t="s">
        <v>2910</v>
      </c>
      <c r="C1421" s="6" t="s">
        <v>1431</v>
      </c>
      <c r="D1421" s="6" t="str">
        <f aca="false">A1421&amp;"|"&amp;C1421</f>
        <v>5|Corvette</v>
      </c>
      <c r="E1421" s="6" t="s">
        <v>1560</v>
      </c>
      <c r="F1421" s="6" t="s">
        <v>1544</v>
      </c>
      <c r="G1421" s="6" t="str">
        <f aca="false">INDEX(Archetypes!$D$2:$D$127, MATCH(D1421, Archetypes!$A$2:$A$127, 0))</f>
        <v>Screen</v>
      </c>
      <c r="H1421" s="6" t="n">
        <f aca="false">ROUND(INDEX(Archetypes!$E$2:$E$127, MATCH(D1421, Archetypes!$A$2:$A$127, 0))*INDEX(Unit_Grades!$B$2:$B$7, MATCH(F1421, Unit_Grades!$A$2:$A$7, 0))*INDEX(Unit_Paths!$B$2:$B$4, MATCH(E1421, Unit_Paths!$A$2:$A$4, 0)),1)</f>
        <v>448.8</v>
      </c>
      <c r="I1421" s="6" t="n">
        <f aca="false">ROUND(INDEX(Archetypes!$F$2:$F$127, MATCH(D1421, Archetypes!$A$2:$A$127, 0))*INDEX(Unit_Grades!$B$2:$B$7, MATCH(F1421, Unit_Grades!$A$2:$A$7, 0))*INDEX(Unit_Paths!$C$2:$C$4, MATCH(E1421, Unit_Paths!$A$2:$A$4, 0)),1)</f>
        <v>360</v>
      </c>
      <c r="J1421" s="6" t="n">
        <f aca="false">ROUND(INDEX(Archetypes!$G$2:$G$127, MATCH(D1421, Archetypes!$A$2:$A$127, 0))*INDEX(Unit_Grades!$B$2:$B$7, MATCH(F1421, Unit_Grades!$A$2:$A$7, 0))*INDEX(Unit_Paths!$D$2:$D$4, MATCH(E1421, Unit_Paths!$A$2:$A$4, 0)),0)</f>
        <v>1435</v>
      </c>
      <c r="K1421" s="6" t="n">
        <f aca="false">ROUND(INDEX(Archetypes!$H$2:$H$127, MATCH(D1421, Archetypes!$A$2:$A$127, 0))*INDEX(Unit_Paths!$E$2:$E$4, MATCH(E1421, Unit_Paths!$A$2:$A$4, 0)),1)</f>
        <v>73.6</v>
      </c>
      <c r="L1421" s="6" t="n">
        <f aca="false">ROUND(INDEX(Archetypes!$I$2:$I$127, MATCH(D1421, Archetypes!$A$2:$A$127, 0))*INDEX(Unit_Grades!$C$2:$C$7, MATCH(F1421, Unit_Grades!$A$2:$A$7, 0)),1)</f>
        <v>54.6</v>
      </c>
      <c r="M1421" s="6" t="n">
        <f aca="false">ROUND(INDEX(Archetypes!$J$2:$J$127, MATCH(D1421, Archetypes!$A$2:$A$127, 0))*INDEX(Unit_Grades!$D$2:$D$7, MATCH(F1421, Unit_Grades!$A$2:$A$7, 0)),1)</f>
        <v>42.2</v>
      </c>
      <c r="N1421" s="6" t="n">
        <f aca="false">ROUND(M1421/24,2)</f>
        <v>1.76</v>
      </c>
    </row>
    <row r="1422" customFormat="false" ht="15" hidden="false" customHeight="true" outlineLevel="0" collapsed="false">
      <c r="A1422" s="6" t="n">
        <v>5</v>
      </c>
      <c r="B1422" s="6" t="s">
        <v>2911</v>
      </c>
      <c r="C1422" s="6" t="s">
        <v>1431</v>
      </c>
      <c r="D1422" s="6" t="str">
        <f aca="false">A1422&amp;"|"&amp;C1422</f>
        <v>5|Corvette</v>
      </c>
      <c r="E1422" s="6" t="s">
        <v>1560</v>
      </c>
      <c r="F1422" s="6" t="s">
        <v>1546</v>
      </c>
      <c r="G1422" s="6" t="str">
        <f aca="false">INDEX(Archetypes!$D$2:$D$127, MATCH(D1422, Archetypes!$A$2:$A$127, 0))</f>
        <v>Screen</v>
      </c>
      <c r="H1422" s="6" t="n">
        <f aca="false">ROUND(INDEX(Archetypes!$E$2:$E$127, MATCH(D1422, Archetypes!$A$2:$A$127, 0))*INDEX(Unit_Grades!$B$2:$B$7, MATCH(F1422, Unit_Grades!$A$2:$A$7, 0))*INDEX(Unit_Paths!$B$2:$B$4, MATCH(E1422, Unit_Paths!$A$2:$A$4, 0)),1)</f>
        <v>598.4</v>
      </c>
      <c r="I1422" s="6" t="n">
        <f aca="false">ROUND(INDEX(Archetypes!$F$2:$F$127, MATCH(D1422, Archetypes!$A$2:$A$127, 0))*INDEX(Unit_Grades!$B$2:$B$7, MATCH(F1422, Unit_Grades!$A$2:$A$7, 0))*INDEX(Unit_Paths!$C$2:$C$4, MATCH(E1422, Unit_Paths!$A$2:$A$4, 0)),1)</f>
        <v>480</v>
      </c>
      <c r="J1422" s="6" t="n">
        <f aca="false">ROUND(INDEX(Archetypes!$G$2:$G$127, MATCH(D1422, Archetypes!$A$2:$A$127, 0))*INDEX(Unit_Grades!$B$2:$B$7, MATCH(F1422, Unit_Grades!$A$2:$A$7, 0))*INDEX(Unit_Paths!$D$2:$D$4, MATCH(E1422, Unit_Paths!$A$2:$A$4, 0)),0)</f>
        <v>1914</v>
      </c>
      <c r="K1422" s="6" t="n">
        <f aca="false">ROUND(INDEX(Archetypes!$H$2:$H$127, MATCH(D1422, Archetypes!$A$2:$A$127, 0))*INDEX(Unit_Paths!$E$2:$E$4, MATCH(E1422, Unit_Paths!$A$2:$A$4, 0)),1)</f>
        <v>73.6</v>
      </c>
      <c r="L1422" s="6" t="n">
        <f aca="false">ROUND(INDEX(Archetypes!$I$2:$I$127, MATCH(D1422, Archetypes!$A$2:$A$127, 0))*INDEX(Unit_Grades!$C$2:$C$7, MATCH(F1422, Unit_Grades!$A$2:$A$7, 0)),1)</f>
        <v>72.8</v>
      </c>
      <c r="M1422" s="6" t="n">
        <f aca="false">ROUND(INDEX(Archetypes!$J$2:$J$127, MATCH(D1422, Archetypes!$A$2:$A$127, 0))*INDEX(Unit_Grades!$D$2:$D$7, MATCH(F1422, Unit_Grades!$A$2:$A$7, 0)),1)</f>
        <v>73.9</v>
      </c>
      <c r="N1422" s="6" t="n">
        <f aca="false">ROUND(M1422/24,2)</f>
        <v>3.08</v>
      </c>
    </row>
    <row r="1423" customFormat="false" ht="15" hidden="false" customHeight="true" outlineLevel="0" collapsed="false">
      <c r="A1423" s="6" t="n">
        <v>5</v>
      </c>
      <c r="B1423" s="6" t="s">
        <v>2912</v>
      </c>
      <c r="C1423" s="6" t="s">
        <v>1431</v>
      </c>
      <c r="D1423" s="6" t="str">
        <f aca="false">A1423&amp;"|"&amp;C1423</f>
        <v>5|Corvette</v>
      </c>
      <c r="E1423" s="6" t="s">
        <v>1560</v>
      </c>
      <c r="F1423" s="6" t="s">
        <v>1548</v>
      </c>
      <c r="G1423" s="6" t="str">
        <f aca="false">INDEX(Archetypes!$D$2:$D$127, MATCH(D1423, Archetypes!$A$2:$A$127, 0))</f>
        <v>Screen</v>
      </c>
      <c r="H1423" s="6" t="n">
        <f aca="false">ROUND(INDEX(Archetypes!$E$2:$E$127, MATCH(D1423, Archetypes!$A$2:$A$127, 0))*INDEX(Unit_Grades!$B$2:$B$7, MATCH(F1423, Unit_Grades!$A$2:$A$7, 0))*INDEX(Unit_Paths!$B$2:$B$4, MATCH(E1423, Unit_Paths!$A$2:$A$4, 0)),1)</f>
        <v>785.4</v>
      </c>
      <c r="I1423" s="6" t="n">
        <f aca="false">ROUND(INDEX(Archetypes!$F$2:$F$127, MATCH(D1423, Archetypes!$A$2:$A$127, 0))*INDEX(Unit_Grades!$B$2:$B$7, MATCH(F1423, Unit_Grades!$A$2:$A$7, 0))*INDEX(Unit_Paths!$C$2:$C$4, MATCH(E1423, Unit_Paths!$A$2:$A$4, 0)),1)</f>
        <v>630</v>
      </c>
      <c r="J1423" s="6" t="n">
        <f aca="false">ROUND(INDEX(Archetypes!$G$2:$G$127, MATCH(D1423, Archetypes!$A$2:$A$127, 0))*INDEX(Unit_Grades!$B$2:$B$7, MATCH(F1423, Unit_Grades!$A$2:$A$7, 0))*INDEX(Unit_Paths!$D$2:$D$4, MATCH(E1423, Unit_Paths!$A$2:$A$4, 0)),0)</f>
        <v>2512</v>
      </c>
      <c r="K1423" s="6" t="n">
        <f aca="false">ROUND(INDEX(Archetypes!$H$2:$H$127, MATCH(D1423, Archetypes!$A$2:$A$127, 0))*INDEX(Unit_Paths!$E$2:$E$4, MATCH(E1423, Unit_Paths!$A$2:$A$4, 0)),1)</f>
        <v>73.6</v>
      </c>
      <c r="L1423" s="6" t="n">
        <f aca="false">ROUND(INDEX(Archetypes!$I$2:$I$127, MATCH(D1423, Archetypes!$A$2:$A$127, 0))*INDEX(Unit_Grades!$C$2:$C$7, MATCH(F1423, Unit_Grades!$A$2:$A$7, 0)),1)</f>
        <v>96.2</v>
      </c>
      <c r="M1423" s="6" t="n">
        <f aca="false">ROUND(INDEX(Archetypes!$J$2:$J$127, MATCH(D1423, Archetypes!$A$2:$A$127, 0))*INDEX(Unit_Grades!$D$2:$D$7, MATCH(F1423, Unit_Grades!$A$2:$A$7, 0)),1)</f>
        <v>126.6</v>
      </c>
      <c r="N1423" s="6" t="n">
        <f aca="false">ROUND(M1423/24,2)</f>
        <v>5.28</v>
      </c>
    </row>
    <row r="1424" customFormat="false" ht="15" hidden="false" customHeight="true" outlineLevel="0" collapsed="false">
      <c r="A1424" s="6" t="n">
        <v>5</v>
      </c>
      <c r="B1424" s="6" t="s">
        <v>1433</v>
      </c>
      <c r="C1424" s="6" t="s">
        <v>1433</v>
      </c>
      <c r="D1424" s="6" t="str">
        <f aca="false">A1424&amp;"|"&amp;C1424</f>
        <v>5|Void Frigate</v>
      </c>
      <c r="E1424" s="6" t="s">
        <v>1556</v>
      </c>
      <c r="F1424" s="6" t="s">
        <v>1538</v>
      </c>
      <c r="G1424" s="6" t="str">
        <f aca="false">INDEX(Archetypes!$D$2:$D$127, MATCH(D1424, Archetypes!$A$2:$A$127, 0))</f>
        <v>EW/Utility</v>
      </c>
      <c r="H1424" s="6" t="n">
        <f aca="false">ROUND(INDEX(Archetypes!$E$2:$E$127, MATCH(D1424, Archetypes!$A$2:$A$127, 0))*INDEX(Unit_Grades!$B$2:$B$7, MATCH(F1424, Unit_Grades!$A$2:$A$7, 0))*INDEX(Unit_Paths!$B$2:$B$4, MATCH(E1424, Unit_Paths!$A$2:$A$4, 0)),1)</f>
        <v>240</v>
      </c>
      <c r="I1424" s="6" t="n">
        <f aca="false">ROUND(INDEX(Archetypes!$F$2:$F$127, MATCH(D1424, Archetypes!$A$2:$A$127, 0))*INDEX(Unit_Grades!$B$2:$B$7, MATCH(F1424, Unit_Grades!$A$2:$A$7, 0))*INDEX(Unit_Paths!$C$2:$C$4, MATCH(E1424, Unit_Paths!$A$2:$A$4, 0)),1)</f>
        <v>160</v>
      </c>
      <c r="J1424" s="6" t="n">
        <f aca="false">ROUND(INDEX(Archetypes!$G$2:$G$127, MATCH(D1424, Archetypes!$A$2:$A$127, 0))*INDEX(Unit_Grades!$B$2:$B$7, MATCH(F1424, Unit_Grades!$A$2:$A$7, 0))*INDEX(Unit_Paths!$D$2:$D$4, MATCH(E1424, Unit_Paths!$A$2:$A$4, 0)),0)</f>
        <v>640</v>
      </c>
      <c r="K1424" s="6" t="n">
        <f aca="false">ROUND(INDEX(Archetypes!$H$2:$H$127, MATCH(D1424, Archetypes!$A$2:$A$127, 0))*INDEX(Unit_Paths!$E$2:$E$4, MATCH(E1424, Unit_Paths!$A$2:$A$4, 0)),1)</f>
        <v>70</v>
      </c>
      <c r="L1424" s="6" t="n">
        <f aca="false">ROUND(INDEX(Archetypes!$I$2:$I$127, MATCH(D1424, Archetypes!$A$2:$A$127, 0))*INDEX(Unit_Grades!$C$2:$C$7, MATCH(F1424, Unit_Grades!$A$2:$A$7, 0)),1)</f>
        <v>30</v>
      </c>
      <c r="M1424" s="6" t="n">
        <f aca="false">ROUND(INDEX(Archetypes!$J$2:$J$127, MATCH(D1424, Archetypes!$A$2:$A$127, 0))*INDEX(Unit_Grades!$D$2:$D$7, MATCH(F1424, Unit_Grades!$A$2:$A$7, 0)),1)</f>
        <v>12.2</v>
      </c>
      <c r="N1424" s="6" t="n">
        <f aca="false">ROUND(M1424/24,2)</f>
        <v>0.51</v>
      </c>
    </row>
    <row r="1425" customFormat="false" ht="15" hidden="false" customHeight="true" outlineLevel="0" collapsed="false">
      <c r="A1425" s="6" t="n">
        <v>5</v>
      </c>
      <c r="B1425" s="6" t="s">
        <v>2913</v>
      </c>
      <c r="C1425" s="6" t="s">
        <v>1433</v>
      </c>
      <c r="D1425" s="6" t="str">
        <f aca="false">A1425&amp;"|"&amp;C1425</f>
        <v>5|Void Frigate</v>
      </c>
      <c r="E1425" s="6" t="s">
        <v>1556</v>
      </c>
      <c r="F1425" s="6" t="s">
        <v>1540</v>
      </c>
      <c r="G1425" s="6" t="str">
        <f aca="false">INDEX(Archetypes!$D$2:$D$127, MATCH(D1425, Archetypes!$A$2:$A$127, 0))</f>
        <v>EW/Utility</v>
      </c>
      <c r="H1425" s="6" t="n">
        <f aca="false">ROUND(INDEX(Archetypes!$E$2:$E$127, MATCH(D1425, Archetypes!$A$2:$A$127, 0))*INDEX(Unit_Grades!$B$2:$B$7, MATCH(F1425, Unit_Grades!$A$2:$A$7, 0))*INDEX(Unit_Paths!$B$2:$B$4, MATCH(E1425, Unit_Paths!$A$2:$A$4, 0)),1)</f>
        <v>324</v>
      </c>
      <c r="I1425" s="6" t="n">
        <f aca="false">ROUND(INDEX(Archetypes!$F$2:$F$127, MATCH(D1425, Archetypes!$A$2:$A$127, 0))*INDEX(Unit_Grades!$B$2:$B$7, MATCH(F1425, Unit_Grades!$A$2:$A$7, 0))*INDEX(Unit_Paths!$C$2:$C$4, MATCH(E1425, Unit_Paths!$A$2:$A$4, 0)),1)</f>
        <v>216</v>
      </c>
      <c r="J1425" s="6" t="n">
        <f aca="false">ROUND(INDEX(Archetypes!$G$2:$G$127, MATCH(D1425, Archetypes!$A$2:$A$127, 0))*INDEX(Unit_Grades!$B$2:$B$7, MATCH(F1425, Unit_Grades!$A$2:$A$7, 0))*INDEX(Unit_Paths!$D$2:$D$4, MATCH(E1425, Unit_Paths!$A$2:$A$4, 0)),0)</f>
        <v>864</v>
      </c>
      <c r="K1425" s="6" t="n">
        <f aca="false">ROUND(INDEX(Archetypes!$H$2:$H$127, MATCH(D1425, Archetypes!$A$2:$A$127, 0))*INDEX(Unit_Paths!$E$2:$E$4, MATCH(E1425, Unit_Paths!$A$2:$A$4, 0)),1)</f>
        <v>70</v>
      </c>
      <c r="L1425" s="6" t="n">
        <f aca="false">ROUND(INDEX(Archetypes!$I$2:$I$127, MATCH(D1425, Archetypes!$A$2:$A$127, 0))*INDEX(Unit_Grades!$C$2:$C$7, MATCH(F1425, Unit_Grades!$A$2:$A$7, 0)),1)</f>
        <v>37.5</v>
      </c>
      <c r="M1425" s="6" t="n">
        <f aca="false">ROUND(INDEX(Archetypes!$J$2:$J$127, MATCH(D1425, Archetypes!$A$2:$A$127, 0))*INDEX(Unit_Grades!$D$2:$D$7, MATCH(F1425, Unit_Grades!$A$2:$A$7, 0)),1)</f>
        <v>18.3</v>
      </c>
      <c r="N1425" s="6" t="n">
        <f aca="false">ROUND(M1425/24,2)</f>
        <v>0.76</v>
      </c>
    </row>
    <row r="1426" customFormat="false" ht="15" hidden="false" customHeight="true" outlineLevel="0" collapsed="false">
      <c r="A1426" s="6" t="n">
        <v>5</v>
      </c>
      <c r="B1426" s="6" t="s">
        <v>2914</v>
      </c>
      <c r="C1426" s="6" t="s">
        <v>1433</v>
      </c>
      <c r="D1426" s="6" t="str">
        <f aca="false">A1426&amp;"|"&amp;C1426</f>
        <v>5|Void Frigate</v>
      </c>
      <c r="E1426" s="6" t="s">
        <v>1556</v>
      </c>
      <c r="F1426" s="6" t="s">
        <v>1542</v>
      </c>
      <c r="G1426" s="6" t="str">
        <f aca="false">INDEX(Archetypes!$D$2:$D$127, MATCH(D1426, Archetypes!$A$2:$A$127, 0))</f>
        <v>EW/Utility</v>
      </c>
      <c r="H1426" s="6" t="n">
        <f aca="false">ROUND(INDEX(Archetypes!$E$2:$E$127, MATCH(D1426, Archetypes!$A$2:$A$127, 0))*INDEX(Unit_Grades!$B$2:$B$7, MATCH(F1426, Unit_Grades!$A$2:$A$7, 0))*INDEX(Unit_Paths!$B$2:$B$4, MATCH(E1426, Unit_Paths!$A$2:$A$4, 0)),1)</f>
        <v>432</v>
      </c>
      <c r="I1426" s="6" t="n">
        <f aca="false">ROUND(INDEX(Archetypes!$F$2:$F$127, MATCH(D1426, Archetypes!$A$2:$A$127, 0))*INDEX(Unit_Grades!$B$2:$B$7, MATCH(F1426, Unit_Grades!$A$2:$A$7, 0))*INDEX(Unit_Paths!$C$2:$C$4, MATCH(E1426, Unit_Paths!$A$2:$A$4, 0)),1)</f>
        <v>288</v>
      </c>
      <c r="J1426" s="6" t="n">
        <f aca="false">ROUND(INDEX(Archetypes!$G$2:$G$127, MATCH(D1426, Archetypes!$A$2:$A$127, 0))*INDEX(Unit_Grades!$B$2:$B$7, MATCH(F1426, Unit_Grades!$A$2:$A$7, 0))*INDEX(Unit_Paths!$D$2:$D$4, MATCH(E1426, Unit_Paths!$A$2:$A$4, 0)),0)</f>
        <v>1152</v>
      </c>
      <c r="K1426" s="6" t="n">
        <f aca="false">ROUND(INDEX(Archetypes!$H$2:$H$127, MATCH(D1426, Archetypes!$A$2:$A$127, 0))*INDEX(Unit_Paths!$E$2:$E$4, MATCH(E1426, Unit_Paths!$A$2:$A$4, 0)),1)</f>
        <v>70</v>
      </c>
      <c r="L1426" s="6" t="n">
        <f aca="false">ROUND(INDEX(Archetypes!$I$2:$I$127, MATCH(D1426, Archetypes!$A$2:$A$127, 0))*INDEX(Unit_Grades!$C$2:$C$7, MATCH(F1426, Unit_Grades!$A$2:$A$7, 0)),1)</f>
        <v>48</v>
      </c>
      <c r="M1426" s="6" t="n">
        <f aca="false">ROUND(INDEX(Archetypes!$J$2:$J$127, MATCH(D1426, Archetypes!$A$2:$A$127, 0))*INDEX(Unit_Grades!$D$2:$D$7, MATCH(F1426, Unit_Grades!$A$2:$A$7, 0)),1)</f>
        <v>30.5</v>
      </c>
      <c r="N1426" s="6" t="n">
        <f aca="false">ROUND(M1426/24,2)</f>
        <v>1.27</v>
      </c>
    </row>
    <row r="1427" customFormat="false" ht="15" hidden="false" customHeight="true" outlineLevel="0" collapsed="false">
      <c r="A1427" s="6" t="n">
        <v>5</v>
      </c>
      <c r="B1427" s="6" t="s">
        <v>2915</v>
      </c>
      <c r="C1427" s="6" t="s">
        <v>1433</v>
      </c>
      <c r="D1427" s="6" t="str">
        <f aca="false">A1427&amp;"|"&amp;C1427</f>
        <v>5|Void Frigate</v>
      </c>
      <c r="E1427" s="6" t="s">
        <v>1556</v>
      </c>
      <c r="F1427" s="6" t="s">
        <v>1544</v>
      </c>
      <c r="G1427" s="6" t="str">
        <f aca="false">INDEX(Archetypes!$D$2:$D$127, MATCH(D1427, Archetypes!$A$2:$A$127, 0))</f>
        <v>EW/Utility</v>
      </c>
      <c r="H1427" s="6" t="n">
        <f aca="false">ROUND(INDEX(Archetypes!$E$2:$E$127, MATCH(D1427, Archetypes!$A$2:$A$127, 0))*INDEX(Unit_Grades!$B$2:$B$7, MATCH(F1427, Unit_Grades!$A$2:$A$7, 0))*INDEX(Unit_Paths!$B$2:$B$4, MATCH(E1427, Unit_Paths!$A$2:$A$4, 0)),1)</f>
        <v>576</v>
      </c>
      <c r="I1427" s="6" t="n">
        <f aca="false">ROUND(INDEX(Archetypes!$F$2:$F$127, MATCH(D1427, Archetypes!$A$2:$A$127, 0))*INDEX(Unit_Grades!$B$2:$B$7, MATCH(F1427, Unit_Grades!$A$2:$A$7, 0))*INDEX(Unit_Paths!$C$2:$C$4, MATCH(E1427, Unit_Paths!$A$2:$A$4, 0)),1)</f>
        <v>384</v>
      </c>
      <c r="J1427" s="6" t="n">
        <f aca="false">ROUND(INDEX(Archetypes!$G$2:$G$127, MATCH(D1427, Archetypes!$A$2:$A$127, 0))*INDEX(Unit_Grades!$B$2:$B$7, MATCH(F1427, Unit_Grades!$A$2:$A$7, 0))*INDEX(Unit_Paths!$D$2:$D$4, MATCH(E1427, Unit_Paths!$A$2:$A$4, 0)),0)</f>
        <v>1536</v>
      </c>
      <c r="K1427" s="6" t="n">
        <f aca="false">ROUND(INDEX(Archetypes!$H$2:$H$127, MATCH(D1427, Archetypes!$A$2:$A$127, 0))*INDEX(Unit_Paths!$E$2:$E$4, MATCH(E1427, Unit_Paths!$A$2:$A$4, 0)),1)</f>
        <v>70</v>
      </c>
      <c r="L1427" s="6" t="n">
        <f aca="false">ROUND(INDEX(Archetypes!$I$2:$I$127, MATCH(D1427, Archetypes!$A$2:$A$127, 0))*INDEX(Unit_Grades!$C$2:$C$7, MATCH(F1427, Unit_Grades!$A$2:$A$7, 0)),1)</f>
        <v>63</v>
      </c>
      <c r="M1427" s="6" t="n">
        <f aca="false">ROUND(INDEX(Archetypes!$J$2:$J$127, MATCH(D1427, Archetypes!$A$2:$A$127, 0))*INDEX(Unit_Grades!$D$2:$D$7, MATCH(F1427, Unit_Grades!$A$2:$A$7, 0)),1)</f>
        <v>48.7</v>
      </c>
      <c r="N1427" s="6" t="n">
        <f aca="false">ROUND(M1427/24,2)</f>
        <v>2.03</v>
      </c>
    </row>
    <row r="1428" customFormat="false" ht="15" hidden="false" customHeight="true" outlineLevel="0" collapsed="false">
      <c r="A1428" s="6" t="n">
        <v>5</v>
      </c>
      <c r="B1428" s="6" t="s">
        <v>2916</v>
      </c>
      <c r="C1428" s="6" t="s">
        <v>1433</v>
      </c>
      <c r="D1428" s="6" t="str">
        <f aca="false">A1428&amp;"|"&amp;C1428</f>
        <v>5|Void Frigate</v>
      </c>
      <c r="E1428" s="6" t="s">
        <v>1556</v>
      </c>
      <c r="F1428" s="6" t="s">
        <v>1546</v>
      </c>
      <c r="G1428" s="6" t="str">
        <f aca="false">INDEX(Archetypes!$D$2:$D$127, MATCH(D1428, Archetypes!$A$2:$A$127, 0))</f>
        <v>EW/Utility</v>
      </c>
      <c r="H1428" s="6" t="n">
        <f aca="false">ROUND(INDEX(Archetypes!$E$2:$E$127, MATCH(D1428, Archetypes!$A$2:$A$127, 0))*INDEX(Unit_Grades!$B$2:$B$7, MATCH(F1428, Unit_Grades!$A$2:$A$7, 0))*INDEX(Unit_Paths!$B$2:$B$4, MATCH(E1428, Unit_Paths!$A$2:$A$4, 0)),1)</f>
        <v>768</v>
      </c>
      <c r="I1428" s="6" t="n">
        <f aca="false">ROUND(INDEX(Archetypes!$F$2:$F$127, MATCH(D1428, Archetypes!$A$2:$A$127, 0))*INDEX(Unit_Grades!$B$2:$B$7, MATCH(F1428, Unit_Grades!$A$2:$A$7, 0))*INDEX(Unit_Paths!$C$2:$C$4, MATCH(E1428, Unit_Paths!$A$2:$A$4, 0)),1)</f>
        <v>512</v>
      </c>
      <c r="J1428" s="6" t="n">
        <f aca="false">ROUND(INDEX(Archetypes!$G$2:$G$127, MATCH(D1428, Archetypes!$A$2:$A$127, 0))*INDEX(Unit_Grades!$B$2:$B$7, MATCH(F1428, Unit_Grades!$A$2:$A$7, 0))*INDEX(Unit_Paths!$D$2:$D$4, MATCH(E1428, Unit_Paths!$A$2:$A$4, 0)),0)</f>
        <v>2048</v>
      </c>
      <c r="K1428" s="6" t="n">
        <f aca="false">ROUND(INDEX(Archetypes!$H$2:$H$127, MATCH(D1428, Archetypes!$A$2:$A$127, 0))*INDEX(Unit_Paths!$E$2:$E$4, MATCH(E1428, Unit_Paths!$A$2:$A$4, 0)),1)</f>
        <v>70</v>
      </c>
      <c r="L1428" s="6" t="n">
        <f aca="false">ROUND(INDEX(Archetypes!$I$2:$I$127, MATCH(D1428, Archetypes!$A$2:$A$127, 0))*INDEX(Unit_Grades!$C$2:$C$7, MATCH(F1428, Unit_Grades!$A$2:$A$7, 0)),1)</f>
        <v>84</v>
      </c>
      <c r="M1428" s="6" t="n">
        <f aca="false">ROUND(INDEX(Archetypes!$J$2:$J$127, MATCH(D1428, Archetypes!$A$2:$A$127, 0))*INDEX(Unit_Grades!$D$2:$D$7, MATCH(F1428, Unit_Grades!$A$2:$A$7, 0)),1)</f>
        <v>85.3</v>
      </c>
      <c r="N1428" s="6" t="n">
        <f aca="false">ROUND(M1428/24,2)</f>
        <v>3.55</v>
      </c>
    </row>
    <row r="1429" customFormat="false" ht="15" hidden="false" customHeight="true" outlineLevel="0" collapsed="false">
      <c r="A1429" s="6" t="n">
        <v>5</v>
      </c>
      <c r="B1429" s="6" t="s">
        <v>2917</v>
      </c>
      <c r="C1429" s="6" t="s">
        <v>1433</v>
      </c>
      <c r="D1429" s="6" t="str">
        <f aca="false">A1429&amp;"|"&amp;C1429</f>
        <v>5|Void Frigate</v>
      </c>
      <c r="E1429" s="6" t="s">
        <v>1556</v>
      </c>
      <c r="F1429" s="6" t="s">
        <v>1548</v>
      </c>
      <c r="G1429" s="6" t="str">
        <f aca="false">INDEX(Archetypes!$D$2:$D$127, MATCH(D1429, Archetypes!$A$2:$A$127, 0))</f>
        <v>EW/Utility</v>
      </c>
      <c r="H1429" s="6" t="n">
        <f aca="false">ROUND(INDEX(Archetypes!$E$2:$E$127, MATCH(D1429, Archetypes!$A$2:$A$127, 0))*INDEX(Unit_Grades!$B$2:$B$7, MATCH(F1429, Unit_Grades!$A$2:$A$7, 0))*INDEX(Unit_Paths!$B$2:$B$4, MATCH(E1429, Unit_Paths!$A$2:$A$4, 0)),1)</f>
        <v>1008</v>
      </c>
      <c r="I1429" s="6" t="n">
        <f aca="false">ROUND(INDEX(Archetypes!$F$2:$F$127, MATCH(D1429, Archetypes!$A$2:$A$127, 0))*INDEX(Unit_Grades!$B$2:$B$7, MATCH(F1429, Unit_Grades!$A$2:$A$7, 0))*INDEX(Unit_Paths!$C$2:$C$4, MATCH(E1429, Unit_Paths!$A$2:$A$4, 0)),1)</f>
        <v>672</v>
      </c>
      <c r="J1429" s="6" t="n">
        <f aca="false">ROUND(INDEX(Archetypes!$G$2:$G$127, MATCH(D1429, Archetypes!$A$2:$A$127, 0))*INDEX(Unit_Grades!$B$2:$B$7, MATCH(F1429, Unit_Grades!$A$2:$A$7, 0))*INDEX(Unit_Paths!$D$2:$D$4, MATCH(E1429, Unit_Paths!$A$2:$A$4, 0)),0)</f>
        <v>2688</v>
      </c>
      <c r="K1429" s="6" t="n">
        <f aca="false">ROUND(INDEX(Archetypes!$H$2:$H$127, MATCH(D1429, Archetypes!$A$2:$A$127, 0))*INDEX(Unit_Paths!$E$2:$E$4, MATCH(E1429, Unit_Paths!$A$2:$A$4, 0)),1)</f>
        <v>70</v>
      </c>
      <c r="L1429" s="6" t="n">
        <f aca="false">ROUND(INDEX(Archetypes!$I$2:$I$127, MATCH(D1429, Archetypes!$A$2:$A$127, 0))*INDEX(Unit_Grades!$C$2:$C$7, MATCH(F1429, Unit_Grades!$A$2:$A$7, 0)),1)</f>
        <v>111</v>
      </c>
      <c r="M1429" s="6" t="n">
        <f aca="false">ROUND(INDEX(Archetypes!$J$2:$J$127, MATCH(D1429, Archetypes!$A$2:$A$127, 0))*INDEX(Unit_Grades!$D$2:$D$7, MATCH(F1429, Unit_Grades!$A$2:$A$7, 0)),1)</f>
        <v>146.2</v>
      </c>
      <c r="N1429" s="6" t="n">
        <f aca="false">ROUND(M1429/24,2)</f>
        <v>6.09</v>
      </c>
    </row>
    <row r="1430" customFormat="false" ht="15" hidden="false" customHeight="true" outlineLevel="0" collapsed="false">
      <c r="A1430" s="6" t="n">
        <v>5</v>
      </c>
      <c r="B1430" s="6" t="s">
        <v>2918</v>
      </c>
      <c r="C1430" s="6" t="s">
        <v>1433</v>
      </c>
      <c r="D1430" s="6" t="str">
        <f aca="false">A1430&amp;"|"&amp;C1430</f>
        <v>5|Void Frigate</v>
      </c>
      <c r="E1430" s="6" t="s">
        <v>1558</v>
      </c>
      <c r="F1430" s="6" t="s">
        <v>1538</v>
      </c>
      <c r="G1430" s="6" t="str">
        <f aca="false">INDEX(Archetypes!$D$2:$D$127, MATCH(D1430, Archetypes!$A$2:$A$127, 0))</f>
        <v>EW/Utility</v>
      </c>
      <c r="H1430" s="6" t="n">
        <f aca="false">ROUND(INDEX(Archetypes!$E$2:$E$127, MATCH(D1430, Archetypes!$A$2:$A$127, 0))*INDEX(Unit_Grades!$B$2:$B$7, MATCH(F1430, Unit_Grades!$A$2:$A$7, 0))*INDEX(Unit_Paths!$B$2:$B$4, MATCH(E1430, Unit_Paths!$A$2:$A$4, 0)),1)</f>
        <v>288</v>
      </c>
      <c r="I1430" s="6" t="n">
        <f aca="false">ROUND(INDEX(Archetypes!$F$2:$F$127, MATCH(D1430, Archetypes!$A$2:$A$127, 0))*INDEX(Unit_Grades!$B$2:$B$7, MATCH(F1430, Unit_Grades!$A$2:$A$7, 0))*INDEX(Unit_Paths!$C$2:$C$4, MATCH(E1430, Unit_Paths!$A$2:$A$4, 0)),1)</f>
        <v>136</v>
      </c>
      <c r="J1430" s="6" t="n">
        <f aca="false">ROUND(INDEX(Archetypes!$G$2:$G$127, MATCH(D1430, Archetypes!$A$2:$A$127, 0))*INDEX(Unit_Grades!$B$2:$B$7, MATCH(F1430, Unit_Grades!$A$2:$A$7, 0))*INDEX(Unit_Paths!$D$2:$D$4, MATCH(E1430, Unit_Paths!$A$2:$A$4, 0)),0)</f>
        <v>608</v>
      </c>
      <c r="K1430" s="6" t="n">
        <f aca="false">ROUND(INDEX(Archetypes!$H$2:$H$127, MATCH(D1430, Archetypes!$A$2:$A$127, 0))*INDEX(Unit_Paths!$E$2:$E$4, MATCH(E1430, Unit_Paths!$A$2:$A$4, 0)),1)</f>
        <v>73.5</v>
      </c>
      <c r="L1430" s="6" t="n">
        <f aca="false">ROUND(INDEX(Archetypes!$I$2:$I$127, MATCH(D1430, Archetypes!$A$2:$A$127, 0))*INDEX(Unit_Grades!$C$2:$C$7, MATCH(F1430, Unit_Grades!$A$2:$A$7, 0)),1)</f>
        <v>30</v>
      </c>
      <c r="M1430" s="6" t="n">
        <f aca="false">ROUND(INDEX(Archetypes!$J$2:$J$127, MATCH(D1430, Archetypes!$A$2:$A$127, 0))*INDEX(Unit_Grades!$D$2:$D$7, MATCH(F1430, Unit_Grades!$A$2:$A$7, 0)),1)</f>
        <v>12.2</v>
      </c>
      <c r="N1430" s="6" t="n">
        <f aca="false">ROUND(M1430/24,2)</f>
        <v>0.51</v>
      </c>
    </row>
    <row r="1431" customFormat="false" ht="15" hidden="false" customHeight="true" outlineLevel="0" collapsed="false">
      <c r="A1431" s="6" t="n">
        <v>5</v>
      </c>
      <c r="B1431" s="6" t="s">
        <v>2919</v>
      </c>
      <c r="C1431" s="6" t="s">
        <v>1433</v>
      </c>
      <c r="D1431" s="6" t="str">
        <f aca="false">A1431&amp;"|"&amp;C1431</f>
        <v>5|Void Frigate</v>
      </c>
      <c r="E1431" s="6" t="s">
        <v>1558</v>
      </c>
      <c r="F1431" s="6" t="s">
        <v>1540</v>
      </c>
      <c r="G1431" s="6" t="str">
        <f aca="false">INDEX(Archetypes!$D$2:$D$127, MATCH(D1431, Archetypes!$A$2:$A$127, 0))</f>
        <v>EW/Utility</v>
      </c>
      <c r="H1431" s="6" t="n">
        <f aca="false">ROUND(INDEX(Archetypes!$E$2:$E$127, MATCH(D1431, Archetypes!$A$2:$A$127, 0))*INDEX(Unit_Grades!$B$2:$B$7, MATCH(F1431, Unit_Grades!$A$2:$A$7, 0))*INDEX(Unit_Paths!$B$2:$B$4, MATCH(E1431, Unit_Paths!$A$2:$A$4, 0)),1)</f>
        <v>388.8</v>
      </c>
      <c r="I1431" s="6" t="n">
        <f aca="false">ROUND(INDEX(Archetypes!$F$2:$F$127, MATCH(D1431, Archetypes!$A$2:$A$127, 0))*INDEX(Unit_Grades!$B$2:$B$7, MATCH(F1431, Unit_Grades!$A$2:$A$7, 0))*INDEX(Unit_Paths!$C$2:$C$4, MATCH(E1431, Unit_Paths!$A$2:$A$4, 0)),1)</f>
        <v>183.6</v>
      </c>
      <c r="J1431" s="6" t="n">
        <f aca="false">ROUND(INDEX(Archetypes!$G$2:$G$127, MATCH(D1431, Archetypes!$A$2:$A$127, 0))*INDEX(Unit_Grades!$B$2:$B$7, MATCH(F1431, Unit_Grades!$A$2:$A$7, 0))*INDEX(Unit_Paths!$D$2:$D$4, MATCH(E1431, Unit_Paths!$A$2:$A$4, 0)),0)</f>
        <v>821</v>
      </c>
      <c r="K1431" s="6" t="n">
        <f aca="false">ROUND(INDEX(Archetypes!$H$2:$H$127, MATCH(D1431, Archetypes!$A$2:$A$127, 0))*INDEX(Unit_Paths!$E$2:$E$4, MATCH(E1431, Unit_Paths!$A$2:$A$4, 0)),1)</f>
        <v>73.5</v>
      </c>
      <c r="L1431" s="6" t="n">
        <f aca="false">ROUND(INDEX(Archetypes!$I$2:$I$127, MATCH(D1431, Archetypes!$A$2:$A$127, 0))*INDEX(Unit_Grades!$C$2:$C$7, MATCH(F1431, Unit_Grades!$A$2:$A$7, 0)),1)</f>
        <v>37.5</v>
      </c>
      <c r="M1431" s="6" t="n">
        <f aca="false">ROUND(INDEX(Archetypes!$J$2:$J$127, MATCH(D1431, Archetypes!$A$2:$A$127, 0))*INDEX(Unit_Grades!$D$2:$D$7, MATCH(F1431, Unit_Grades!$A$2:$A$7, 0)),1)</f>
        <v>18.3</v>
      </c>
      <c r="N1431" s="6" t="n">
        <f aca="false">ROUND(M1431/24,2)</f>
        <v>0.76</v>
      </c>
    </row>
    <row r="1432" customFormat="false" ht="15" hidden="false" customHeight="true" outlineLevel="0" collapsed="false">
      <c r="A1432" s="6" t="n">
        <v>5</v>
      </c>
      <c r="B1432" s="6" t="s">
        <v>2920</v>
      </c>
      <c r="C1432" s="6" t="s">
        <v>1433</v>
      </c>
      <c r="D1432" s="6" t="str">
        <f aca="false">A1432&amp;"|"&amp;C1432</f>
        <v>5|Void Frigate</v>
      </c>
      <c r="E1432" s="6" t="s">
        <v>1558</v>
      </c>
      <c r="F1432" s="6" t="s">
        <v>1542</v>
      </c>
      <c r="G1432" s="6" t="str">
        <f aca="false">INDEX(Archetypes!$D$2:$D$127, MATCH(D1432, Archetypes!$A$2:$A$127, 0))</f>
        <v>EW/Utility</v>
      </c>
      <c r="H1432" s="6" t="n">
        <f aca="false">ROUND(INDEX(Archetypes!$E$2:$E$127, MATCH(D1432, Archetypes!$A$2:$A$127, 0))*INDEX(Unit_Grades!$B$2:$B$7, MATCH(F1432, Unit_Grades!$A$2:$A$7, 0))*INDEX(Unit_Paths!$B$2:$B$4, MATCH(E1432, Unit_Paths!$A$2:$A$4, 0)),1)</f>
        <v>518.4</v>
      </c>
      <c r="I1432" s="6" t="n">
        <f aca="false">ROUND(INDEX(Archetypes!$F$2:$F$127, MATCH(D1432, Archetypes!$A$2:$A$127, 0))*INDEX(Unit_Grades!$B$2:$B$7, MATCH(F1432, Unit_Grades!$A$2:$A$7, 0))*INDEX(Unit_Paths!$C$2:$C$4, MATCH(E1432, Unit_Paths!$A$2:$A$4, 0)),1)</f>
        <v>244.8</v>
      </c>
      <c r="J1432" s="6" t="n">
        <f aca="false">ROUND(INDEX(Archetypes!$G$2:$G$127, MATCH(D1432, Archetypes!$A$2:$A$127, 0))*INDEX(Unit_Grades!$B$2:$B$7, MATCH(F1432, Unit_Grades!$A$2:$A$7, 0))*INDEX(Unit_Paths!$D$2:$D$4, MATCH(E1432, Unit_Paths!$A$2:$A$4, 0)),0)</f>
        <v>1094</v>
      </c>
      <c r="K1432" s="6" t="n">
        <f aca="false">ROUND(INDEX(Archetypes!$H$2:$H$127, MATCH(D1432, Archetypes!$A$2:$A$127, 0))*INDEX(Unit_Paths!$E$2:$E$4, MATCH(E1432, Unit_Paths!$A$2:$A$4, 0)),1)</f>
        <v>73.5</v>
      </c>
      <c r="L1432" s="6" t="n">
        <f aca="false">ROUND(INDEX(Archetypes!$I$2:$I$127, MATCH(D1432, Archetypes!$A$2:$A$127, 0))*INDEX(Unit_Grades!$C$2:$C$7, MATCH(F1432, Unit_Grades!$A$2:$A$7, 0)),1)</f>
        <v>48</v>
      </c>
      <c r="M1432" s="6" t="n">
        <f aca="false">ROUND(INDEX(Archetypes!$J$2:$J$127, MATCH(D1432, Archetypes!$A$2:$A$127, 0))*INDEX(Unit_Grades!$D$2:$D$7, MATCH(F1432, Unit_Grades!$A$2:$A$7, 0)),1)</f>
        <v>30.5</v>
      </c>
      <c r="N1432" s="6" t="n">
        <f aca="false">ROUND(M1432/24,2)</f>
        <v>1.27</v>
      </c>
    </row>
    <row r="1433" customFormat="false" ht="15" hidden="false" customHeight="true" outlineLevel="0" collapsed="false">
      <c r="A1433" s="6" t="n">
        <v>5</v>
      </c>
      <c r="B1433" s="6" t="s">
        <v>2921</v>
      </c>
      <c r="C1433" s="6" t="s">
        <v>1433</v>
      </c>
      <c r="D1433" s="6" t="str">
        <f aca="false">A1433&amp;"|"&amp;C1433</f>
        <v>5|Void Frigate</v>
      </c>
      <c r="E1433" s="6" t="s">
        <v>1558</v>
      </c>
      <c r="F1433" s="6" t="s">
        <v>1544</v>
      </c>
      <c r="G1433" s="6" t="str">
        <f aca="false">INDEX(Archetypes!$D$2:$D$127, MATCH(D1433, Archetypes!$A$2:$A$127, 0))</f>
        <v>EW/Utility</v>
      </c>
      <c r="H1433" s="6" t="n">
        <f aca="false">ROUND(INDEX(Archetypes!$E$2:$E$127, MATCH(D1433, Archetypes!$A$2:$A$127, 0))*INDEX(Unit_Grades!$B$2:$B$7, MATCH(F1433, Unit_Grades!$A$2:$A$7, 0))*INDEX(Unit_Paths!$B$2:$B$4, MATCH(E1433, Unit_Paths!$A$2:$A$4, 0)),1)</f>
        <v>691.2</v>
      </c>
      <c r="I1433" s="6" t="n">
        <f aca="false">ROUND(INDEX(Archetypes!$F$2:$F$127, MATCH(D1433, Archetypes!$A$2:$A$127, 0))*INDEX(Unit_Grades!$B$2:$B$7, MATCH(F1433, Unit_Grades!$A$2:$A$7, 0))*INDEX(Unit_Paths!$C$2:$C$4, MATCH(E1433, Unit_Paths!$A$2:$A$4, 0)),1)</f>
        <v>326.4</v>
      </c>
      <c r="J1433" s="6" t="n">
        <f aca="false">ROUND(INDEX(Archetypes!$G$2:$G$127, MATCH(D1433, Archetypes!$A$2:$A$127, 0))*INDEX(Unit_Grades!$B$2:$B$7, MATCH(F1433, Unit_Grades!$A$2:$A$7, 0))*INDEX(Unit_Paths!$D$2:$D$4, MATCH(E1433, Unit_Paths!$A$2:$A$4, 0)),0)</f>
        <v>1459</v>
      </c>
      <c r="K1433" s="6" t="n">
        <f aca="false">ROUND(INDEX(Archetypes!$H$2:$H$127, MATCH(D1433, Archetypes!$A$2:$A$127, 0))*INDEX(Unit_Paths!$E$2:$E$4, MATCH(E1433, Unit_Paths!$A$2:$A$4, 0)),1)</f>
        <v>73.5</v>
      </c>
      <c r="L1433" s="6" t="n">
        <f aca="false">ROUND(INDEX(Archetypes!$I$2:$I$127, MATCH(D1433, Archetypes!$A$2:$A$127, 0))*INDEX(Unit_Grades!$C$2:$C$7, MATCH(F1433, Unit_Grades!$A$2:$A$7, 0)),1)</f>
        <v>63</v>
      </c>
      <c r="M1433" s="6" t="n">
        <f aca="false">ROUND(INDEX(Archetypes!$J$2:$J$127, MATCH(D1433, Archetypes!$A$2:$A$127, 0))*INDEX(Unit_Grades!$D$2:$D$7, MATCH(F1433, Unit_Grades!$A$2:$A$7, 0)),1)</f>
        <v>48.7</v>
      </c>
      <c r="N1433" s="6" t="n">
        <f aca="false">ROUND(M1433/24,2)</f>
        <v>2.03</v>
      </c>
    </row>
    <row r="1434" customFormat="false" ht="15" hidden="false" customHeight="true" outlineLevel="0" collapsed="false">
      <c r="A1434" s="6" t="n">
        <v>5</v>
      </c>
      <c r="B1434" s="6" t="s">
        <v>2922</v>
      </c>
      <c r="C1434" s="6" t="s">
        <v>1433</v>
      </c>
      <c r="D1434" s="6" t="str">
        <f aca="false">A1434&amp;"|"&amp;C1434</f>
        <v>5|Void Frigate</v>
      </c>
      <c r="E1434" s="6" t="s">
        <v>1558</v>
      </c>
      <c r="F1434" s="6" t="s">
        <v>1546</v>
      </c>
      <c r="G1434" s="6" t="str">
        <f aca="false">INDEX(Archetypes!$D$2:$D$127, MATCH(D1434, Archetypes!$A$2:$A$127, 0))</f>
        <v>EW/Utility</v>
      </c>
      <c r="H1434" s="6" t="n">
        <f aca="false">ROUND(INDEX(Archetypes!$E$2:$E$127, MATCH(D1434, Archetypes!$A$2:$A$127, 0))*INDEX(Unit_Grades!$B$2:$B$7, MATCH(F1434, Unit_Grades!$A$2:$A$7, 0))*INDEX(Unit_Paths!$B$2:$B$4, MATCH(E1434, Unit_Paths!$A$2:$A$4, 0)),1)</f>
        <v>921.6</v>
      </c>
      <c r="I1434" s="6" t="n">
        <f aca="false">ROUND(INDEX(Archetypes!$F$2:$F$127, MATCH(D1434, Archetypes!$A$2:$A$127, 0))*INDEX(Unit_Grades!$B$2:$B$7, MATCH(F1434, Unit_Grades!$A$2:$A$7, 0))*INDEX(Unit_Paths!$C$2:$C$4, MATCH(E1434, Unit_Paths!$A$2:$A$4, 0)),1)</f>
        <v>435.2</v>
      </c>
      <c r="J1434" s="6" t="n">
        <f aca="false">ROUND(INDEX(Archetypes!$G$2:$G$127, MATCH(D1434, Archetypes!$A$2:$A$127, 0))*INDEX(Unit_Grades!$B$2:$B$7, MATCH(F1434, Unit_Grades!$A$2:$A$7, 0))*INDEX(Unit_Paths!$D$2:$D$4, MATCH(E1434, Unit_Paths!$A$2:$A$4, 0)),0)</f>
        <v>1946</v>
      </c>
      <c r="K1434" s="6" t="n">
        <f aca="false">ROUND(INDEX(Archetypes!$H$2:$H$127, MATCH(D1434, Archetypes!$A$2:$A$127, 0))*INDEX(Unit_Paths!$E$2:$E$4, MATCH(E1434, Unit_Paths!$A$2:$A$4, 0)),1)</f>
        <v>73.5</v>
      </c>
      <c r="L1434" s="6" t="n">
        <f aca="false">ROUND(INDEX(Archetypes!$I$2:$I$127, MATCH(D1434, Archetypes!$A$2:$A$127, 0))*INDEX(Unit_Grades!$C$2:$C$7, MATCH(F1434, Unit_Grades!$A$2:$A$7, 0)),1)</f>
        <v>84</v>
      </c>
      <c r="M1434" s="6" t="n">
        <f aca="false">ROUND(INDEX(Archetypes!$J$2:$J$127, MATCH(D1434, Archetypes!$A$2:$A$127, 0))*INDEX(Unit_Grades!$D$2:$D$7, MATCH(F1434, Unit_Grades!$A$2:$A$7, 0)),1)</f>
        <v>85.3</v>
      </c>
      <c r="N1434" s="6" t="n">
        <f aca="false">ROUND(M1434/24,2)</f>
        <v>3.55</v>
      </c>
    </row>
    <row r="1435" customFormat="false" ht="15" hidden="false" customHeight="true" outlineLevel="0" collapsed="false">
      <c r="A1435" s="6" t="n">
        <v>5</v>
      </c>
      <c r="B1435" s="6" t="s">
        <v>2923</v>
      </c>
      <c r="C1435" s="6" t="s">
        <v>1433</v>
      </c>
      <c r="D1435" s="6" t="str">
        <f aca="false">A1435&amp;"|"&amp;C1435</f>
        <v>5|Void Frigate</v>
      </c>
      <c r="E1435" s="6" t="s">
        <v>1558</v>
      </c>
      <c r="F1435" s="6" t="s">
        <v>1548</v>
      </c>
      <c r="G1435" s="6" t="str">
        <f aca="false">INDEX(Archetypes!$D$2:$D$127, MATCH(D1435, Archetypes!$A$2:$A$127, 0))</f>
        <v>EW/Utility</v>
      </c>
      <c r="H1435" s="6" t="n">
        <f aca="false">ROUND(INDEX(Archetypes!$E$2:$E$127, MATCH(D1435, Archetypes!$A$2:$A$127, 0))*INDEX(Unit_Grades!$B$2:$B$7, MATCH(F1435, Unit_Grades!$A$2:$A$7, 0))*INDEX(Unit_Paths!$B$2:$B$4, MATCH(E1435, Unit_Paths!$A$2:$A$4, 0)),1)</f>
        <v>1209.6</v>
      </c>
      <c r="I1435" s="6" t="n">
        <f aca="false">ROUND(INDEX(Archetypes!$F$2:$F$127, MATCH(D1435, Archetypes!$A$2:$A$127, 0))*INDEX(Unit_Grades!$B$2:$B$7, MATCH(F1435, Unit_Grades!$A$2:$A$7, 0))*INDEX(Unit_Paths!$C$2:$C$4, MATCH(E1435, Unit_Paths!$A$2:$A$4, 0)),1)</f>
        <v>571.2</v>
      </c>
      <c r="J1435" s="6" t="n">
        <f aca="false">ROUND(INDEX(Archetypes!$G$2:$G$127, MATCH(D1435, Archetypes!$A$2:$A$127, 0))*INDEX(Unit_Grades!$B$2:$B$7, MATCH(F1435, Unit_Grades!$A$2:$A$7, 0))*INDEX(Unit_Paths!$D$2:$D$4, MATCH(E1435, Unit_Paths!$A$2:$A$4, 0)),0)</f>
        <v>2554</v>
      </c>
      <c r="K1435" s="6" t="n">
        <f aca="false">ROUND(INDEX(Archetypes!$H$2:$H$127, MATCH(D1435, Archetypes!$A$2:$A$127, 0))*INDEX(Unit_Paths!$E$2:$E$4, MATCH(E1435, Unit_Paths!$A$2:$A$4, 0)),1)</f>
        <v>73.5</v>
      </c>
      <c r="L1435" s="6" t="n">
        <f aca="false">ROUND(INDEX(Archetypes!$I$2:$I$127, MATCH(D1435, Archetypes!$A$2:$A$127, 0))*INDEX(Unit_Grades!$C$2:$C$7, MATCH(F1435, Unit_Grades!$A$2:$A$7, 0)),1)</f>
        <v>111</v>
      </c>
      <c r="M1435" s="6" t="n">
        <f aca="false">ROUND(INDEX(Archetypes!$J$2:$J$127, MATCH(D1435, Archetypes!$A$2:$A$127, 0))*INDEX(Unit_Grades!$D$2:$D$7, MATCH(F1435, Unit_Grades!$A$2:$A$7, 0)),1)</f>
        <v>146.2</v>
      </c>
      <c r="N1435" s="6" t="n">
        <f aca="false">ROUND(M1435/24,2)</f>
        <v>6.09</v>
      </c>
    </row>
    <row r="1436" customFormat="false" ht="15" hidden="false" customHeight="true" outlineLevel="0" collapsed="false">
      <c r="A1436" s="6" t="n">
        <v>5</v>
      </c>
      <c r="B1436" s="6" t="s">
        <v>2924</v>
      </c>
      <c r="C1436" s="6" t="s">
        <v>1433</v>
      </c>
      <c r="D1436" s="6" t="str">
        <f aca="false">A1436&amp;"|"&amp;C1436</f>
        <v>5|Void Frigate</v>
      </c>
      <c r="E1436" s="6" t="s">
        <v>1560</v>
      </c>
      <c r="F1436" s="6" t="s">
        <v>1538</v>
      </c>
      <c r="G1436" s="6" t="str">
        <f aca="false">INDEX(Archetypes!$D$2:$D$127, MATCH(D1436, Archetypes!$A$2:$A$127, 0))</f>
        <v>EW/Utility</v>
      </c>
      <c r="H1436" s="6" t="n">
        <f aca="false">ROUND(INDEX(Archetypes!$E$2:$E$127, MATCH(D1436, Archetypes!$A$2:$A$127, 0))*INDEX(Unit_Grades!$B$2:$B$7, MATCH(F1436, Unit_Grades!$A$2:$A$7, 0))*INDEX(Unit_Paths!$B$2:$B$4, MATCH(E1436, Unit_Paths!$A$2:$A$4, 0)),1)</f>
        <v>204</v>
      </c>
      <c r="I1436" s="6" t="n">
        <f aca="false">ROUND(INDEX(Archetypes!$F$2:$F$127, MATCH(D1436, Archetypes!$A$2:$A$127, 0))*INDEX(Unit_Grades!$B$2:$B$7, MATCH(F1436, Unit_Grades!$A$2:$A$7, 0))*INDEX(Unit_Paths!$C$2:$C$4, MATCH(E1436, Unit_Paths!$A$2:$A$4, 0)),1)</f>
        <v>200</v>
      </c>
      <c r="J1436" s="6" t="n">
        <f aca="false">ROUND(INDEX(Archetypes!$G$2:$G$127, MATCH(D1436, Archetypes!$A$2:$A$127, 0))*INDEX(Unit_Grades!$B$2:$B$7, MATCH(F1436, Unit_Grades!$A$2:$A$7, 0))*INDEX(Unit_Paths!$D$2:$D$4, MATCH(E1436, Unit_Paths!$A$2:$A$4, 0)),0)</f>
        <v>736</v>
      </c>
      <c r="K1436" s="6" t="n">
        <f aca="false">ROUND(INDEX(Archetypes!$H$2:$H$127, MATCH(D1436, Archetypes!$A$2:$A$127, 0))*INDEX(Unit_Paths!$E$2:$E$4, MATCH(E1436, Unit_Paths!$A$2:$A$4, 0)),1)</f>
        <v>64.4</v>
      </c>
      <c r="L1436" s="6" t="n">
        <f aca="false">ROUND(INDEX(Archetypes!$I$2:$I$127, MATCH(D1436, Archetypes!$A$2:$A$127, 0))*INDEX(Unit_Grades!$C$2:$C$7, MATCH(F1436, Unit_Grades!$A$2:$A$7, 0)),1)</f>
        <v>30</v>
      </c>
      <c r="M1436" s="6" t="n">
        <f aca="false">ROUND(INDEX(Archetypes!$J$2:$J$127, MATCH(D1436, Archetypes!$A$2:$A$127, 0))*INDEX(Unit_Grades!$D$2:$D$7, MATCH(F1436, Unit_Grades!$A$2:$A$7, 0)),1)</f>
        <v>12.2</v>
      </c>
      <c r="N1436" s="6" t="n">
        <f aca="false">ROUND(M1436/24,2)</f>
        <v>0.51</v>
      </c>
    </row>
    <row r="1437" customFormat="false" ht="15" hidden="false" customHeight="true" outlineLevel="0" collapsed="false">
      <c r="A1437" s="6" t="n">
        <v>5</v>
      </c>
      <c r="B1437" s="6" t="s">
        <v>2925</v>
      </c>
      <c r="C1437" s="6" t="s">
        <v>1433</v>
      </c>
      <c r="D1437" s="6" t="str">
        <f aca="false">A1437&amp;"|"&amp;C1437</f>
        <v>5|Void Frigate</v>
      </c>
      <c r="E1437" s="6" t="s">
        <v>1560</v>
      </c>
      <c r="F1437" s="6" t="s">
        <v>1540</v>
      </c>
      <c r="G1437" s="6" t="str">
        <f aca="false">INDEX(Archetypes!$D$2:$D$127, MATCH(D1437, Archetypes!$A$2:$A$127, 0))</f>
        <v>EW/Utility</v>
      </c>
      <c r="H1437" s="6" t="n">
        <f aca="false">ROUND(INDEX(Archetypes!$E$2:$E$127, MATCH(D1437, Archetypes!$A$2:$A$127, 0))*INDEX(Unit_Grades!$B$2:$B$7, MATCH(F1437, Unit_Grades!$A$2:$A$7, 0))*INDEX(Unit_Paths!$B$2:$B$4, MATCH(E1437, Unit_Paths!$A$2:$A$4, 0)),1)</f>
        <v>275.4</v>
      </c>
      <c r="I1437" s="6" t="n">
        <f aca="false">ROUND(INDEX(Archetypes!$F$2:$F$127, MATCH(D1437, Archetypes!$A$2:$A$127, 0))*INDEX(Unit_Grades!$B$2:$B$7, MATCH(F1437, Unit_Grades!$A$2:$A$7, 0))*INDEX(Unit_Paths!$C$2:$C$4, MATCH(E1437, Unit_Paths!$A$2:$A$4, 0)),1)</f>
        <v>270</v>
      </c>
      <c r="J1437" s="6" t="n">
        <f aca="false">ROUND(INDEX(Archetypes!$G$2:$G$127, MATCH(D1437, Archetypes!$A$2:$A$127, 0))*INDEX(Unit_Grades!$B$2:$B$7, MATCH(F1437, Unit_Grades!$A$2:$A$7, 0))*INDEX(Unit_Paths!$D$2:$D$4, MATCH(E1437, Unit_Paths!$A$2:$A$4, 0)),0)</f>
        <v>994</v>
      </c>
      <c r="K1437" s="6" t="n">
        <f aca="false">ROUND(INDEX(Archetypes!$H$2:$H$127, MATCH(D1437, Archetypes!$A$2:$A$127, 0))*INDEX(Unit_Paths!$E$2:$E$4, MATCH(E1437, Unit_Paths!$A$2:$A$4, 0)),1)</f>
        <v>64.4</v>
      </c>
      <c r="L1437" s="6" t="n">
        <f aca="false">ROUND(INDEX(Archetypes!$I$2:$I$127, MATCH(D1437, Archetypes!$A$2:$A$127, 0))*INDEX(Unit_Grades!$C$2:$C$7, MATCH(F1437, Unit_Grades!$A$2:$A$7, 0)),1)</f>
        <v>37.5</v>
      </c>
      <c r="M1437" s="6" t="n">
        <f aca="false">ROUND(INDEX(Archetypes!$J$2:$J$127, MATCH(D1437, Archetypes!$A$2:$A$127, 0))*INDEX(Unit_Grades!$D$2:$D$7, MATCH(F1437, Unit_Grades!$A$2:$A$7, 0)),1)</f>
        <v>18.3</v>
      </c>
      <c r="N1437" s="6" t="n">
        <f aca="false">ROUND(M1437/24,2)</f>
        <v>0.76</v>
      </c>
    </row>
    <row r="1438" customFormat="false" ht="15" hidden="false" customHeight="true" outlineLevel="0" collapsed="false">
      <c r="A1438" s="6" t="n">
        <v>5</v>
      </c>
      <c r="B1438" s="6" t="s">
        <v>2926</v>
      </c>
      <c r="C1438" s="6" t="s">
        <v>1433</v>
      </c>
      <c r="D1438" s="6" t="str">
        <f aca="false">A1438&amp;"|"&amp;C1438</f>
        <v>5|Void Frigate</v>
      </c>
      <c r="E1438" s="6" t="s">
        <v>1560</v>
      </c>
      <c r="F1438" s="6" t="s">
        <v>1542</v>
      </c>
      <c r="G1438" s="6" t="str">
        <f aca="false">INDEX(Archetypes!$D$2:$D$127, MATCH(D1438, Archetypes!$A$2:$A$127, 0))</f>
        <v>EW/Utility</v>
      </c>
      <c r="H1438" s="6" t="n">
        <f aca="false">ROUND(INDEX(Archetypes!$E$2:$E$127, MATCH(D1438, Archetypes!$A$2:$A$127, 0))*INDEX(Unit_Grades!$B$2:$B$7, MATCH(F1438, Unit_Grades!$A$2:$A$7, 0))*INDEX(Unit_Paths!$B$2:$B$4, MATCH(E1438, Unit_Paths!$A$2:$A$4, 0)),1)</f>
        <v>367.2</v>
      </c>
      <c r="I1438" s="6" t="n">
        <f aca="false">ROUND(INDEX(Archetypes!$F$2:$F$127, MATCH(D1438, Archetypes!$A$2:$A$127, 0))*INDEX(Unit_Grades!$B$2:$B$7, MATCH(F1438, Unit_Grades!$A$2:$A$7, 0))*INDEX(Unit_Paths!$C$2:$C$4, MATCH(E1438, Unit_Paths!$A$2:$A$4, 0)),1)</f>
        <v>360</v>
      </c>
      <c r="J1438" s="6" t="n">
        <f aca="false">ROUND(INDEX(Archetypes!$G$2:$G$127, MATCH(D1438, Archetypes!$A$2:$A$127, 0))*INDEX(Unit_Grades!$B$2:$B$7, MATCH(F1438, Unit_Grades!$A$2:$A$7, 0))*INDEX(Unit_Paths!$D$2:$D$4, MATCH(E1438, Unit_Paths!$A$2:$A$4, 0)),0)</f>
        <v>1325</v>
      </c>
      <c r="K1438" s="6" t="n">
        <f aca="false">ROUND(INDEX(Archetypes!$H$2:$H$127, MATCH(D1438, Archetypes!$A$2:$A$127, 0))*INDEX(Unit_Paths!$E$2:$E$4, MATCH(E1438, Unit_Paths!$A$2:$A$4, 0)),1)</f>
        <v>64.4</v>
      </c>
      <c r="L1438" s="6" t="n">
        <f aca="false">ROUND(INDEX(Archetypes!$I$2:$I$127, MATCH(D1438, Archetypes!$A$2:$A$127, 0))*INDEX(Unit_Grades!$C$2:$C$7, MATCH(F1438, Unit_Grades!$A$2:$A$7, 0)),1)</f>
        <v>48</v>
      </c>
      <c r="M1438" s="6" t="n">
        <f aca="false">ROUND(INDEX(Archetypes!$J$2:$J$127, MATCH(D1438, Archetypes!$A$2:$A$127, 0))*INDEX(Unit_Grades!$D$2:$D$7, MATCH(F1438, Unit_Grades!$A$2:$A$7, 0)),1)</f>
        <v>30.5</v>
      </c>
      <c r="N1438" s="6" t="n">
        <f aca="false">ROUND(M1438/24,2)</f>
        <v>1.27</v>
      </c>
    </row>
    <row r="1439" customFormat="false" ht="15" hidden="false" customHeight="true" outlineLevel="0" collapsed="false">
      <c r="A1439" s="6" t="n">
        <v>5</v>
      </c>
      <c r="B1439" s="6" t="s">
        <v>2927</v>
      </c>
      <c r="C1439" s="6" t="s">
        <v>1433</v>
      </c>
      <c r="D1439" s="6" t="str">
        <f aca="false">A1439&amp;"|"&amp;C1439</f>
        <v>5|Void Frigate</v>
      </c>
      <c r="E1439" s="6" t="s">
        <v>1560</v>
      </c>
      <c r="F1439" s="6" t="s">
        <v>1544</v>
      </c>
      <c r="G1439" s="6" t="str">
        <f aca="false">INDEX(Archetypes!$D$2:$D$127, MATCH(D1439, Archetypes!$A$2:$A$127, 0))</f>
        <v>EW/Utility</v>
      </c>
      <c r="H1439" s="6" t="n">
        <f aca="false">ROUND(INDEX(Archetypes!$E$2:$E$127, MATCH(D1439, Archetypes!$A$2:$A$127, 0))*INDEX(Unit_Grades!$B$2:$B$7, MATCH(F1439, Unit_Grades!$A$2:$A$7, 0))*INDEX(Unit_Paths!$B$2:$B$4, MATCH(E1439, Unit_Paths!$A$2:$A$4, 0)),1)</f>
        <v>489.6</v>
      </c>
      <c r="I1439" s="6" t="n">
        <f aca="false">ROUND(INDEX(Archetypes!$F$2:$F$127, MATCH(D1439, Archetypes!$A$2:$A$127, 0))*INDEX(Unit_Grades!$B$2:$B$7, MATCH(F1439, Unit_Grades!$A$2:$A$7, 0))*INDEX(Unit_Paths!$C$2:$C$4, MATCH(E1439, Unit_Paths!$A$2:$A$4, 0)),1)</f>
        <v>480</v>
      </c>
      <c r="J1439" s="6" t="n">
        <f aca="false">ROUND(INDEX(Archetypes!$G$2:$G$127, MATCH(D1439, Archetypes!$A$2:$A$127, 0))*INDEX(Unit_Grades!$B$2:$B$7, MATCH(F1439, Unit_Grades!$A$2:$A$7, 0))*INDEX(Unit_Paths!$D$2:$D$4, MATCH(E1439, Unit_Paths!$A$2:$A$4, 0)),0)</f>
        <v>1766</v>
      </c>
      <c r="K1439" s="6" t="n">
        <f aca="false">ROUND(INDEX(Archetypes!$H$2:$H$127, MATCH(D1439, Archetypes!$A$2:$A$127, 0))*INDEX(Unit_Paths!$E$2:$E$4, MATCH(E1439, Unit_Paths!$A$2:$A$4, 0)),1)</f>
        <v>64.4</v>
      </c>
      <c r="L1439" s="6" t="n">
        <f aca="false">ROUND(INDEX(Archetypes!$I$2:$I$127, MATCH(D1439, Archetypes!$A$2:$A$127, 0))*INDEX(Unit_Grades!$C$2:$C$7, MATCH(F1439, Unit_Grades!$A$2:$A$7, 0)),1)</f>
        <v>63</v>
      </c>
      <c r="M1439" s="6" t="n">
        <f aca="false">ROUND(INDEX(Archetypes!$J$2:$J$127, MATCH(D1439, Archetypes!$A$2:$A$127, 0))*INDEX(Unit_Grades!$D$2:$D$7, MATCH(F1439, Unit_Grades!$A$2:$A$7, 0)),1)</f>
        <v>48.7</v>
      </c>
      <c r="N1439" s="6" t="n">
        <f aca="false">ROUND(M1439/24,2)</f>
        <v>2.03</v>
      </c>
    </row>
    <row r="1440" customFormat="false" ht="15" hidden="false" customHeight="true" outlineLevel="0" collapsed="false">
      <c r="A1440" s="6" t="n">
        <v>5</v>
      </c>
      <c r="B1440" s="6" t="s">
        <v>2928</v>
      </c>
      <c r="C1440" s="6" t="s">
        <v>1433</v>
      </c>
      <c r="D1440" s="6" t="str">
        <f aca="false">A1440&amp;"|"&amp;C1440</f>
        <v>5|Void Frigate</v>
      </c>
      <c r="E1440" s="6" t="s">
        <v>1560</v>
      </c>
      <c r="F1440" s="6" t="s">
        <v>1546</v>
      </c>
      <c r="G1440" s="6" t="str">
        <f aca="false">INDEX(Archetypes!$D$2:$D$127, MATCH(D1440, Archetypes!$A$2:$A$127, 0))</f>
        <v>EW/Utility</v>
      </c>
      <c r="H1440" s="6" t="n">
        <f aca="false">ROUND(INDEX(Archetypes!$E$2:$E$127, MATCH(D1440, Archetypes!$A$2:$A$127, 0))*INDEX(Unit_Grades!$B$2:$B$7, MATCH(F1440, Unit_Grades!$A$2:$A$7, 0))*INDEX(Unit_Paths!$B$2:$B$4, MATCH(E1440, Unit_Paths!$A$2:$A$4, 0)),1)</f>
        <v>652.8</v>
      </c>
      <c r="I1440" s="6" t="n">
        <f aca="false">ROUND(INDEX(Archetypes!$F$2:$F$127, MATCH(D1440, Archetypes!$A$2:$A$127, 0))*INDEX(Unit_Grades!$B$2:$B$7, MATCH(F1440, Unit_Grades!$A$2:$A$7, 0))*INDEX(Unit_Paths!$C$2:$C$4, MATCH(E1440, Unit_Paths!$A$2:$A$4, 0)),1)</f>
        <v>640</v>
      </c>
      <c r="J1440" s="6" t="n">
        <f aca="false">ROUND(INDEX(Archetypes!$G$2:$G$127, MATCH(D1440, Archetypes!$A$2:$A$127, 0))*INDEX(Unit_Grades!$B$2:$B$7, MATCH(F1440, Unit_Grades!$A$2:$A$7, 0))*INDEX(Unit_Paths!$D$2:$D$4, MATCH(E1440, Unit_Paths!$A$2:$A$4, 0)),0)</f>
        <v>2355</v>
      </c>
      <c r="K1440" s="6" t="n">
        <f aca="false">ROUND(INDEX(Archetypes!$H$2:$H$127, MATCH(D1440, Archetypes!$A$2:$A$127, 0))*INDEX(Unit_Paths!$E$2:$E$4, MATCH(E1440, Unit_Paths!$A$2:$A$4, 0)),1)</f>
        <v>64.4</v>
      </c>
      <c r="L1440" s="6" t="n">
        <f aca="false">ROUND(INDEX(Archetypes!$I$2:$I$127, MATCH(D1440, Archetypes!$A$2:$A$127, 0))*INDEX(Unit_Grades!$C$2:$C$7, MATCH(F1440, Unit_Grades!$A$2:$A$7, 0)),1)</f>
        <v>84</v>
      </c>
      <c r="M1440" s="6" t="n">
        <f aca="false">ROUND(INDEX(Archetypes!$J$2:$J$127, MATCH(D1440, Archetypes!$A$2:$A$127, 0))*INDEX(Unit_Grades!$D$2:$D$7, MATCH(F1440, Unit_Grades!$A$2:$A$7, 0)),1)</f>
        <v>85.3</v>
      </c>
      <c r="N1440" s="6" t="n">
        <f aca="false">ROUND(M1440/24,2)</f>
        <v>3.55</v>
      </c>
    </row>
    <row r="1441" customFormat="false" ht="15" hidden="false" customHeight="true" outlineLevel="0" collapsed="false">
      <c r="A1441" s="6" t="n">
        <v>5</v>
      </c>
      <c r="B1441" s="6" t="s">
        <v>2929</v>
      </c>
      <c r="C1441" s="6" t="s">
        <v>1433</v>
      </c>
      <c r="D1441" s="6" t="str">
        <f aca="false">A1441&amp;"|"&amp;C1441</f>
        <v>5|Void Frigate</v>
      </c>
      <c r="E1441" s="6" t="s">
        <v>1560</v>
      </c>
      <c r="F1441" s="6" t="s">
        <v>1548</v>
      </c>
      <c r="G1441" s="6" t="str">
        <f aca="false">INDEX(Archetypes!$D$2:$D$127, MATCH(D1441, Archetypes!$A$2:$A$127, 0))</f>
        <v>EW/Utility</v>
      </c>
      <c r="H1441" s="6" t="n">
        <f aca="false">ROUND(INDEX(Archetypes!$E$2:$E$127, MATCH(D1441, Archetypes!$A$2:$A$127, 0))*INDEX(Unit_Grades!$B$2:$B$7, MATCH(F1441, Unit_Grades!$A$2:$A$7, 0))*INDEX(Unit_Paths!$B$2:$B$4, MATCH(E1441, Unit_Paths!$A$2:$A$4, 0)),1)</f>
        <v>856.8</v>
      </c>
      <c r="I1441" s="6" t="n">
        <f aca="false">ROUND(INDEX(Archetypes!$F$2:$F$127, MATCH(D1441, Archetypes!$A$2:$A$127, 0))*INDEX(Unit_Grades!$B$2:$B$7, MATCH(F1441, Unit_Grades!$A$2:$A$7, 0))*INDEX(Unit_Paths!$C$2:$C$4, MATCH(E1441, Unit_Paths!$A$2:$A$4, 0)),1)</f>
        <v>840</v>
      </c>
      <c r="J1441" s="6" t="n">
        <f aca="false">ROUND(INDEX(Archetypes!$G$2:$G$127, MATCH(D1441, Archetypes!$A$2:$A$127, 0))*INDEX(Unit_Grades!$B$2:$B$7, MATCH(F1441, Unit_Grades!$A$2:$A$7, 0))*INDEX(Unit_Paths!$D$2:$D$4, MATCH(E1441, Unit_Paths!$A$2:$A$4, 0)),0)</f>
        <v>3091</v>
      </c>
      <c r="K1441" s="6" t="n">
        <f aca="false">ROUND(INDEX(Archetypes!$H$2:$H$127, MATCH(D1441, Archetypes!$A$2:$A$127, 0))*INDEX(Unit_Paths!$E$2:$E$4, MATCH(E1441, Unit_Paths!$A$2:$A$4, 0)),1)</f>
        <v>64.4</v>
      </c>
      <c r="L1441" s="6" t="n">
        <f aca="false">ROUND(INDEX(Archetypes!$I$2:$I$127, MATCH(D1441, Archetypes!$A$2:$A$127, 0))*INDEX(Unit_Grades!$C$2:$C$7, MATCH(F1441, Unit_Grades!$A$2:$A$7, 0)),1)</f>
        <v>111</v>
      </c>
      <c r="M1441" s="6" t="n">
        <f aca="false">ROUND(INDEX(Archetypes!$J$2:$J$127, MATCH(D1441, Archetypes!$A$2:$A$127, 0))*INDEX(Unit_Grades!$D$2:$D$7, MATCH(F1441, Unit_Grades!$A$2:$A$7, 0)),1)</f>
        <v>146.2</v>
      </c>
      <c r="N1441" s="6" t="n">
        <f aca="false">ROUND(M1441/24,2)</f>
        <v>6.09</v>
      </c>
    </row>
    <row r="1442" customFormat="false" ht="15" hidden="false" customHeight="true" outlineLevel="0" collapsed="false">
      <c r="A1442" s="6" t="n">
        <v>5</v>
      </c>
      <c r="B1442" s="6" t="s">
        <v>1435</v>
      </c>
      <c r="C1442" s="6" t="s">
        <v>1435</v>
      </c>
      <c r="D1442" s="6" t="str">
        <f aca="false">A1442&amp;"|"&amp;C1442</f>
        <v>5|Void Destroyer</v>
      </c>
      <c r="E1442" s="6" t="s">
        <v>1556</v>
      </c>
      <c r="F1442" s="6" t="s">
        <v>1538</v>
      </c>
      <c r="G1442" s="6" t="str">
        <f aca="false">INDEX(Archetypes!$D$2:$D$127, MATCH(D1442, Archetypes!$A$2:$A$127, 0))</f>
        <v>Naval Escort</v>
      </c>
      <c r="H1442" s="6" t="n">
        <f aca="false">ROUND(INDEX(Archetypes!$E$2:$E$127, MATCH(D1442, Archetypes!$A$2:$A$127, 0))*INDEX(Unit_Grades!$B$2:$B$7, MATCH(F1442, Unit_Grades!$A$2:$A$7, 0))*INDEX(Unit_Paths!$B$2:$B$4, MATCH(E1442, Unit_Paths!$A$2:$A$4, 0)),1)</f>
        <v>300</v>
      </c>
      <c r="I1442" s="6" t="n">
        <f aca="false">ROUND(INDEX(Archetypes!$F$2:$F$127, MATCH(D1442, Archetypes!$A$2:$A$127, 0))*INDEX(Unit_Grades!$B$2:$B$7, MATCH(F1442, Unit_Grades!$A$2:$A$7, 0))*INDEX(Unit_Paths!$C$2:$C$4, MATCH(E1442, Unit_Paths!$A$2:$A$4, 0)),1)</f>
        <v>200</v>
      </c>
      <c r="J1442" s="6" t="n">
        <f aca="false">ROUND(INDEX(Archetypes!$G$2:$G$127, MATCH(D1442, Archetypes!$A$2:$A$127, 0))*INDEX(Unit_Grades!$B$2:$B$7, MATCH(F1442, Unit_Grades!$A$2:$A$7, 0))*INDEX(Unit_Paths!$D$2:$D$4, MATCH(E1442, Unit_Paths!$A$2:$A$4, 0)),0)</f>
        <v>820</v>
      </c>
      <c r="K1442" s="6" t="n">
        <f aca="false">ROUND(INDEX(Archetypes!$H$2:$H$127, MATCH(D1442, Archetypes!$A$2:$A$127, 0))*INDEX(Unit_Paths!$E$2:$E$4, MATCH(E1442, Unit_Paths!$A$2:$A$4, 0)),1)</f>
        <v>64</v>
      </c>
      <c r="L1442" s="6" t="n">
        <f aca="false">ROUND(INDEX(Archetypes!$I$2:$I$127, MATCH(D1442, Archetypes!$A$2:$A$127, 0))*INDEX(Unit_Grades!$C$2:$C$7, MATCH(F1442, Unit_Grades!$A$2:$A$7, 0)),1)</f>
        <v>36</v>
      </c>
      <c r="M1442" s="6" t="n">
        <f aca="false">ROUND(INDEX(Archetypes!$J$2:$J$127, MATCH(D1442, Archetypes!$A$2:$A$127, 0))*INDEX(Unit_Grades!$D$2:$D$7, MATCH(F1442, Unit_Grades!$A$2:$A$7, 0)),1)</f>
        <v>14.6</v>
      </c>
      <c r="N1442" s="6" t="n">
        <f aca="false">ROUND(M1442/24,2)</f>
        <v>0.61</v>
      </c>
    </row>
    <row r="1443" customFormat="false" ht="15" hidden="false" customHeight="true" outlineLevel="0" collapsed="false">
      <c r="A1443" s="6" t="n">
        <v>5</v>
      </c>
      <c r="B1443" s="6" t="s">
        <v>2930</v>
      </c>
      <c r="C1443" s="6" t="s">
        <v>1435</v>
      </c>
      <c r="D1443" s="6" t="str">
        <f aca="false">A1443&amp;"|"&amp;C1443</f>
        <v>5|Void Destroyer</v>
      </c>
      <c r="E1443" s="6" t="s">
        <v>1556</v>
      </c>
      <c r="F1443" s="6" t="s">
        <v>1540</v>
      </c>
      <c r="G1443" s="6" t="str">
        <f aca="false">INDEX(Archetypes!$D$2:$D$127, MATCH(D1443, Archetypes!$A$2:$A$127, 0))</f>
        <v>Naval Escort</v>
      </c>
      <c r="H1443" s="6" t="n">
        <f aca="false">ROUND(INDEX(Archetypes!$E$2:$E$127, MATCH(D1443, Archetypes!$A$2:$A$127, 0))*INDEX(Unit_Grades!$B$2:$B$7, MATCH(F1443, Unit_Grades!$A$2:$A$7, 0))*INDEX(Unit_Paths!$B$2:$B$4, MATCH(E1443, Unit_Paths!$A$2:$A$4, 0)),1)</f>
        <v>405</v>
      </c>
      <c r="I1443" s="6" t="n">
        <f aca="false">ROUND(INDEX(Archetypes!$F$2:$F$127, MATCH(D1443, Archetypes!$A$2:$A$127, 0))*INDEX(Unit_Grades!$B$2:$B$7, MATCH(F1443, Unit_Grades!$A$2:$A$7, 0))*INDEX(Unit_Paths!$C$2:$C$4, MATCH(E1443, Unit_Paths!$A$2:$A$4, 0)),1)</f>
        <v>270</v>
      </c>
      <c r="J1443" s="6" t="n">
        <f aca="false">ROUND(INDEX(Archetypes!$G$2:$G$127, MATCH(D1443, Archetypes!$A$2:$A$127, 0))*INDEX(Unit_Grades!$B$2:$B$7, MATCH(F1443, Unit_Grades!$A$2:$A$7, 0))*INDEX(Unit_Paths!$D$2:$D$4, MATCH(E1443, Unit_Paths!$A$2:$A$4, 0)),0)</f>
        <v>1107</v>
      </c>
      <c r="K1443" s="6" t="n">
        <f aca="false">ROUND(INDEX(Archetypes!$H$2:$H$127, MATCH(D1443, Archetypes!$A$2:$A$127, 0))*INDEX(Unit_Paths!$E$2:$E$4, MATCH(E1443, Unit_Paths!$A$2:$A$4, 0)),1)</f>
        <v>64</v>
      </c>
      <c r="L1443" s="6" t="n">
        <f aca="false">ROUND(INDEX(Archetypes!$I$2:$I$127, MATCH(D1443, Archetypes!$A$2:$A$127, 0))*INDEX(Unit_Grades!$C$2:$C$7, MATCH(F1443, Unit_Grades!$A$2:$A$7, 0)),1)</f>
        <v>45</v>
      </c>
      <c r="M1443" s="6" t="n">
        <f aca="false">ROUND(INDEX(Archetypes!$J$2:$J$127, MATCH(D1443, Archetypes!$A$2:$A$127, 0))*INDEX(Unit_Grades!$D$2:$D$7, MATCH(F1443, Unit_Grades!$A$2:$A$7, 0)),1)</f>
        <v>21.9</v>
      </c>
      <c r="N1443" s="6" t="n">
        <f aca="false">ROUND(M1443/24,2)</f>
        <v>0.91</v>
      </c>
    </row>
    <row r="1444" customFormat="false" ht="15" hidden="false" customHeight="true" outlineLevel="0" collapsed="false">
      <c r="A1444" s="6" t="n">
        <v>5</v>
      </c>
      <c r="B1444" s="6" t="s">
        <v>2931</v>
      </c>
      <c r="C1444" s="6" t="s">
        <v>1435</v>
      </c>
      <c r="D1444" s="6" t="str">
        <f aca="false">A1444&amp;"|"&amp;C1444</f>
        <v>5|Void Destroyer</v>
      </c>
      <c r="E1444" s="6" t="s">
        <v>1556</v>
      </c>
      <c r="F1444" s="6" t="s">
        <v>1542</v>
      </c>
      <c r="G1444" s="6" t="str">
        <f aca="false">INDEX(Archetypes!$D$2:$D$127, MATCH(D1444, Archetypes!$A$2:$A$127, 0))</f>
        <v>Naval Escort</v>
      </c>
      <c r="H1444" s="6" t="n">
        <f aca="false">ROUND(INDEX(Archetypes!$E$2:$E$127, MATCH(D1444, Archetypes!$A$2:$A$127, 0))*INDEX(Unit_Grades!$B$2:$B$7, MATCH(F1444, Unit_Grades!$A$2:$A$7, 0))*INDEX(Unit_Paths!$B$2:$B$4, MATCH(E1444, Unit_Paths!$A$2:$A$4, 0)),1)</f>
        <v>540</v>
      </c>
      <c r="I1444" s="6" t="n">
        <f aca="false">ROUND(INDEX(Archetypes!$F$2:$F$127, MATCH(D1444, Archetypes!$A$2:$A$127, 0))*INDEX(Unit_Grades!$B$2:$B$7, MATCH(F1444, Unit_Grades!$A$2:$A$7, 0))*INDEX(Unit_Paths!$C$2:$C$4, MATCH(E1444, Unit_Paths!$A$2:$A$4, 0)),1)</f>
        <v>360</v>
      </c>
      <c r="J1444" s="6" t="n">
        <f aca="false">ROUND(INDEX(Archetypes!$G$2:$G$127, MATCH(D1444, Archetypes!$A$2:$A$127, 0))*INDEX(Unit_Grades!$B$2:$B$7, MATCH(F1444, Unit_Grades!$A$2:$A$7, 0))*INDEX(Unit_Paths!$D$2:$D$4, MATCH(E1444, Unit_Paths!$A$2:$A$4, 0)),0)</f>
        <v>1476</v>
      </c>
      <c r="K1444" s="6" t="n">
        <f aca="false">ROUND(INDEX(Archetypes!$H$2:$H$127, MATCH(D1444, Archetypes!$A$2:$A$127, 0))*INDEX(Unit_Paths!$E$2:$E$4, MATCH(E1444, Unit_Paths!$A$2:$A$4, 0)),1)</f>
        <v>64</v>
      </c>
      <c r="L1444" s="6" t="n">
        <f aca="false">ROUND(INDEX(Archetypes!$I$2:$I$127, MATCH(D1444, Archetypes!$A$2:$A$127, 0))*INDEX(Unit_Grades!$C$2:$C$7, MATCH(F1444, Unit_Grades!$A$2:$A$7, 0)),1)</f>
        <v>57.6</v>
      </c>
      <c r="M1444" s="6" t="n">
        <f aca="false">ROUND(INDEX(Archetypes!$J$2:$J$127, MATCH(D1444, Archetypes!$A$2:$A$127, 0))*INDEX(Unit_Grades!$D$2:$D$7, MATCH(F1444, Unit_Grades!$A$2:$A$7, 0)),1)</f>
        <v>36.5</v>
      </c>
      <c r="N1444" s="6" t="n">
        <f aca="false">ROUND(M1444/24,2)</f>
        <v>1.52</v>
      </c>
    </row>
    <row r="1445" customFormat="false" ht="15" hidden="false" customHeight="true" outlineLevel="0" collapsed="false">
      <c r="A1445" s="6" t="n">
        <v>5</v>
      </c>
      <c r="B1445" s="6" t="s">
        <v>2932</v>
      </c>
      <c r="C1445" s="6" t="s">
        <v>1435</v>
      </c>
      <c r="D1445" s="6" t="str">
        <f aca="false">A1445&amp;"|"&amp;C1445</f>
        <v>5|Void Destroyer</v>
      </c>
      <c r="E1445" s="6" t="s">
        <v>1556</v>
      </c>
      <c r="F1445" s="6" t="s">
        <v>1544</v>
      </c>
      <c r="G1445" s="6" t="str">
        <f aca="false">INDEX(Archetypes!$D$2:$D$127, MATCH(D1445, Archetypes!$A$2:$A$127, 0))</f>
        <v>Naval Escort</v>
      </c>
      <c r="H1445" s="6" t="n">
        <f aca="false">ROUND(INDEX(Archetypes!$E$2:$E$127, MATCH(D1445, Archetypes!$A$2:$A$127, 0))*INDEX(Unit_Grades!$B$2:$B$7, MATCH(F1445, Unit_Grades!$A$2:$A$7, 0))*INDEX(Unit_Paths!$B$2:$B$4, MATCH(E1445, Unit_Paths!$A$2:$A$4, 0)),1)</f>
        <v>720</v>
      </c>
      <c r="I1445" s="6" t="n">
        <f aca="false">ROUND(INDEX(Archetypes!$F$2:$F$127, MATCH(D1445, Archetypes!$A$2:$A$127, 0))*INDEX(Unit_Grades!$B$2:$B$7, MATCH(F1445, Unit_Grades!$A$2:$A$7, 0))*INDEX(Unit_Paths!$C$2:$C$4, MATCH(E1445, Unit_Paths!$A$2:$A$4, 0)),1)</f>
        <v>480</v>
      </c>
      <c r="J1445" s="6" t="n">
        <f aca="false">ROUND(INDEX(Archetypes!$G$2:$G$127, MATCH(D1445, Archetypes!$A$2:$A$127, 0))*INDEX(Unit_Grades!$B$2:$B$7, MATCH(F1445, Unit_Grades!$A$2:$A$7, 0))*INDEX(Unit_Paths!$D$2:$D$4, MATCH(E1445, Unit_Paths!$A$2:$A$4, 0)),0)</f>
        <v>1968</v>
      </c>
      <c r="K1445" s="6" t="n">
        <f aca="false">ROUND(INDEX(Archetypes!$H$2:$H$127, MATCH(D1445, Archetypes!$A$2:$A$127, 0))*INDEX(Unit_Paths!$E$2:$E$4, MATCH(E1445, Unit_Paths!$A$2:$A$4, 0)),1)</f>
        <v>64</v>
      </c>
      <c r="L1445" s="6" t="n">
        <f aca="false">ROUND(INDEX(Archetypes!$I$2:$I$127, MATCH(D1445, Archetypes!$A$2:$A$127, 0))*INDEX(Unit_Grades!$C$2:$C$7, MATCH(F1445, Unit_Grades!$A$2:$A$7, 0)),1)</f>
        <v>75.6</v>
      </c>
      <c r="M1445" s="6" t="n">
        <f aca="false">ROUND(INDEX(Archetypes!$J$2:$J$127, MATCH(D1445, Archetypes!$A$2:$A$127, 0))*INDEX(Unit_Grades!$D$2:$D$7, MATCH(F1445, Unit_Grades!$A$2:$A$7, 0)),1)</f>
        <v>58.4</v>
      </c>
      <c r="N1445" s="6" t="n">
        <f aca="false">ROUND(M1445/24,2)</f>
        <v>2.43</v>
      </c>
    </row>
    <row r="1446" customFormat="false" ht="15" hidden="false" customHeight="true" outlineLevel="0" collapsed="false">
      <c r="A1446" s="6" t="n">
        <v>5</v>
      </c>
      <c r="B1446" s="6" t="s">
        <v>2933</v>
      </c>
      <c r="C1446" s="6" t="s">
        <v>1435</v>
      </c>
      <c r="D1446" s="6" t="str">
        <f aca="false">A1446&amp;"|"&amp;C1446</f>
        <v>5|Void Destroyer</v>
      </c>
      <c r="E1446" s="6" t="s">
        <v>1556</v>
      </c>
      <c r="F1446" s="6" t="s">
        <v>1546</v>
      </c>
      <c r="G1446" s="6" t="str">
        <f aca="false">INDEX(Archetypes!$D$2:$D$127, MATCH(D1446, Archetypes!$A$2:$A$127, 0))</f>
        <v>Naval Escort</v>
      </c>
      <c r="H1446" s="6" t="n">
        <f aca="false">ROUND(INDEX(Archetypes!$E$2:$E$127, MATCH(D1446, Archetypes!$A$2:$A$127, 0))*INDEX(Unit_Grades!$B$2:$B$7, MATCH(F1446, Unit_Grades!$A$2:$A$7, 0))*INDEX(Unit_Paths!$B$2:$B$4, MATCH(E1446, Unit_Paths!$A$2:$A$4, 0)),1)</f>
        <v>960</v>
      </c>
      <c r="I1446" s="6" t="n">
        <f aca="false">ROUND(INDEX(Archetypes!$F$2:$F$127, MATCH(D1446, Archetypes!$A$2:$A$127, 0))*INDEX(Unit_Grades!$B$2:$B$7, MATCH(F1446, Unit_Grades!$A$2:$A$7, 0))*INDEX(Unit_Paths!$C$2:$C$4, MATCH(E1446, Unit_Paths!$A$2:$A$4, 0)),1)</f>
        <v>640</v>
      </c>
      <c r="J1446" s="6" t="n">
        <f aca="false">ROUND(INDEX(Archetypes!$G$2:$G$127, MATCH(D1446, Archetypes!$A$2:$A$127, 0))*INDEX(Unit_Grades!$B$2:$B$7, MATCH(F1446, Unit_Grades!$A$2:$A$7, 0))*INDEX(Unit_Paths!$D$2:$D$4, MATCH(E1446, Unit_Paths!$A$2:$A$4, 0)),0)</f>
        <v>2624</v>
      </c>
      <c r="K1446" s="6" t="n">
        <f aca="false">ROUND(INDEX(Archetypes!$H$2:$H$127, MATCH(D1446, Archetypes!$A$2:$A$127, 0))*INDEX(Unit_Paths!$E$2:$E$4, MATCH(E1446, Unit_Paths!$A$2:$A$4, 0)),1)</f>
        <v>64</v>
      </c>
      <c r="L1446" s="6" t="n">
        <f aca="false">ROUND(INDEX(Archetypes!$I$2:$I$127, MATCH(D1446, Archetypes!$A$2:$A$127, 0))*INDEX(Unit_Grades!$C$2:$C$7, MATCH(F1446, Unit_Grades!$A$2:$A$7, 0)),1)</f>
        <v>100.8</v>
      </c>
      <c r="M1446" s="6" t="n">
        <f aca="false">ROUND(INDEX(Archetypes!$J$2:$J$127, MATCH(D1446, Archetypes!$A$2:$A$127, 0))*INDEX(Unit_Grades!$D$2:$D$7, MATCH(F1446, Unit_Grades!$A$2:$A$7, 0)),1)</f>
        <v>102.3</v>
      </c>
      <c r="N1446" s="6" t="n">
        <f aca="false">ROUND(M1446/24,2)</f>
        <v>4.26</v>
      </c>
    </row>
    <row r="1447" customFormat="false" ht="15" hidden="false" customHeight="true" outlineLevel="0" collapsed="false">
      <c r="A1447" s="6" t="n">
        <v>5</v>
      </c>
      <c r="B1447" s="6" t="s">
        <v>2934</v>
      </c>
      <c r="C1447" s="6" t="s">
        <v>1435</v>
      </c>
      <c r="D1447" s="6" t="str">
        <f aca="false">A1447&amp;"|"&amp;C1447</f>
        <v>5|Void Destroyer</v>
      </c>
      <c r="E1447" s="6" t="s">
        <v>1556</v>
      </c>
      <c r="F1447" s="6" t="s">
        <v>1548</v>
      </c>
      <c r="G1447" s="6" t="str">
        <f aca="false">INDEX(Archetypes!$D$2:$D$127, MATCH(D1447, Archetypes!$A$2:$A$127, 0))</f>
        <v>Naval Escort</v>
      </c>
      <c r="H1447" s="6" t="n">
        <f aca="false">ROUND(INDEX(Archetypes!$E$2:$E$127, MATCH(D1447, Archetypes!$A$2:$A$127, 0))*INDEX(Unit_Grades!$B$2:$B$7, MATCH(F1447, Unit_Grades!$A$2:$A$7, 0))*INDEX(Unit_Paths!$B$2:$B$4, MATCH(E1447, Unit_Paths!$A$2:$A$4, 0)),1)</f>
        <v>1260</v>
      </c>
      <c r="I1447" s="6" t="n">
        <f aca="false">ROUND(INDEX(Archetypes!$F$2:$F$127, MATCH(D1447, Archetypes!$A$2:$A$127, 0))*INDEX(Unit_Grades!$B$2:$B$7, MATCH(F1447, Unit_Grades!$A$2:$A$7, 0))*INDEX(Unit_Paths!$C$2:$C$4, MATCH(E1447, Unit_Paths!$A$2:$A$4, 0)),1)</f>
        <v>840</v>
      </c>
      <c r="J1447" s="6" t="n">
        <f aca="false">ROUND(INDEX(Archetypes!$G$2:$G$127, MATCH(D1447, Archetypes!$A$2:$A$127, 0))*INDEX(Unit_Grades!$B$2:$B$7, MATCH(F1447, Unit_Grades!$A$2:$A$7, 0))*INDEX(Unit_Paths!$D$2:$D$4, MATCH(E1447, Unit_Paths!$A$2:$A$4, 0)),0)</f>
        <v>3444</v>
      </c>
      <c r="K1447" s="6" t="n">
        <f aca="false">ROUND(INDEX(Archetypes!$H$2:$H$127, MATCH(D1447, Archetypes!$A$2:$A$127, 0))*INDEX(Unit_Paths!$E$2:$E$4, MATCH(E1447, Unit_Paths!$A$2:$A$4, 0)),1)</f>
        <v>64</v>
      </c>
      <c r="L1447" s="6" t="n">
        <f aca="false">ROUND(INDEX(Archetypes!$I$2:$I$127, MATCH(D1447, Archetypes!$A$2:$A$127, 0))*INDEX(Unit_Grades!$C$2:$C$7, MATCH(F1447, Unit_Grades!$A$2:$A$7, 0)),1)</f>
        <v>133.2</v>
      </c>
      <c r="M1447" s="6" t="n">
        <f aca="false">ROUND(INDEX(Archetypes!$J$2:$J$127, MATCH(D1447, Archetypes!$A$2:$A$127, 0))*INDEX(Unit_Grades!$D$2:$D$7, MATCH(F1447, Unit_Grades!$A$2:$A$7, 0)),1)</f>
        <v>175.3</v>
      </c>
      <c r="N1447" s="6" t="n">
        <f aca="false">ROUND(M1447/24,2)</f>
        <v>7.3</v>
      </c>
    </row>
    <row r="1448" customFormat="false" ht="15" hidden="false" customHeight="true" outlineLevel="0" collapsed="false">
      <c r="A1448" s="6" t="n">
        <v>5</v>
      </c>
      <c r="B1448" s="6" t="s">
        <v>2935</v>
      </c>
      <c r="C1448" s="6" t="s">
        <v>1435</v>
      </c>
      <c r="D1448" s="6" t="str">
        <f aca="false">A1448&amp;"|"&amp;C1448</f>
        <v>5|Void Destroyer</v>
      </c>
      <c r="E1448" s="6" t="s">
        <v>1558</v>
      </c>
      <c r="F1448" s="6" t="s">
        <v>1538</v>
      </c>
      <c r="G1448" s="6" t="str">
        <f aca="false">INDEX(Archetypes!$D$2:$D$127, MATCH(D1448, Archetypes!$A$2:$A$127, 0))</f>
        <v>Naval Escort</v>
      </c>
      <c r="H1448" s="6" t="n">
        <f aca="false">ROUND(INDEX(Archetypes!$E$2:$E$127, MATCH(D1448, Archetypes!$A$2:$A$127, 0))*INDEX(Unit_Grades!$B$2:$B$7, MATCH(F1448, Unit_Grades!$A$2:$A$7, 0))*INDEX(Unit_Paths!$B$2:$B$4, MATCH(E1448, Unit_Paths!$A$2:$A$4, 0)),1)</f>
        <v>360</v>
      </c>
      <c r="I1448" s="6" t="n">
        <f aca="false">ROUND(INDEX(Archetypes!$F$2:$F$127, MATCH(D1448, Archetypes!$A$2:$A$127, 0))*INDEX(Unit_Grades!$B$2:$B$7, MATCH(F1448, Unit_Grades!$A$2:$A$7, 0))*INDEX(Unit_Paths!$C$2:$C$4, MATCH(E1448, Unit_Paths!$A$2:$A$4, 0)),1)</f>
        <v>170</v>
      </c>
      <c r="J1448" s="6" t="n">
        <f aca="false">ROUND(INDEX(Archetypes!$G$2:$G$127, MATCH(D1448, Archetypes!$A$2:$A$127, 0))*INDEX(Unit_Grades!$B$2:$B$7, MATCH(F1448, Unit_Grades!$A$2:$A$7, 0))*INDEX(Unit_Paths!$D$2:$D$4, MATCH(E1448, Unit_Paths!$A$2:$A$4, 0)),0)</f>
        <v>779</v>
      </c>
      <c r="K1448" s="6" t="n">
        <f aca="false">ROUND(INDEX(Archetypes!$H$2:$H$127, MATCH(D1448, Archetypes!$A$2:$A$127, 0))*INDEX(Unit_Paths!$E$2:$E$4, MATCH(E1448, Unit_Paths!$A$2:$A$4, 0)),1)</f>
        <v>67.2</v>
      </c>
      <c r="L1448" s="6" t="n">
        <f aca="false">ROUND(INDEX(Archetypes!$I$2:$I$127, MATCH(D1448, Archetypes!$A$2:$A$127, 0))*INDEX(Unit_Grades!$C$2:$C$7, MATCH(F1448, Unit_Grades!$A$2:$A$7, 0)),1)</f>
        <v>36</v>
      </c>
      <c r="M1448" s="6" t="n">
        <f aca="false">ROUND(INDEX(Archetypes!$J$2:$J$127, MATCH(D1448, Archetypes!$A$2:$A$127, 0))*INDEX(Unit_Grades!$D$2:$D$7, MATCH(F1448, Unit_Grades!$A$2:$A$7, 0)),1)</f>
        <v>14.6</v>
      </c>
      <c r="N1448" s="6" t="n">
        <f aca="false">ROUND(M1448/24,2)</f>
        <v>0.61</v>
      </c>
    </row>
    <row r="1449" customFormat="false" ht="15" hidden="false" customHeight="true" outlineLevel="0" collapsed="false">
      <c r="A1449" s="6" t="n">
        <v>5</v>
      </c>
      <c r="B1449" s="6" t="s">
        <v>2936</v>
      </c>
      <c r="C1449" s="6" t="s">
        <v>1435</v>
      </c>
      <c r="D1449" s="6" t="str">
        <f aca="false">A1449&amp;"|"&amp;C1449</f>
        <v>5|Void Destroyer</v>
      </c>
      <c r="E1449" s="6" t="s">
        <v>1558</v>
      </c>
      <c r="F1449" s="6" t="s">
        <v>1540</v>
      </c>
      <c r="G1449" s="6" t="str">
        <f aca="false">INDEX(Archetypes!$D$2:$D$127, MATCH(D1449, Archetypes!$A$2:$A$127, 0))</f>
        <v>Naval Escort</v>
      </c>
      <c r="H1449" s="6" t="n">
        <f aca="false">ROUND(INDEX(Archetypes!$E$2:$E$127, MATCH(D1449, Archetypes!$A$2:$A$127, 0))*INDEX(Unit_Grades!$B$2:$B$7, MATCH(F1449, Unit_Grades!$A$2:$A$7, 0))*INDEX(Unit_Paths!$B$2:$B$4, MATCH(E1449, Unit_Paths!$A$2:$A$4, 0)),1)</f>
        <v>486</v>
      </c>
      <c r="I1449" s="6" t="n">
        <f aca="false">ROUND(INDEX(Archetypes!$F$2:$F$127, MATCH(D1449, Archetypes!$A$2:$A$127, 0))*INDEX(Unit_Grades!$B$2:$B$7, MATCH(F1449, Unit_Grades!$A$2:$A$7, 0))*INDEX(Unit_Paths!$C$2:$C$4, MATCH(E1449, Unit_Paths!$A$2:$A$4, 0)),1)</f>
        <v>229.5</v>
      </c>
      <c r="J1449" s="6" t="n">
        <f aca="false">ROUND(INDEX(Archetypes!$G$2:$G$127, MATCH(D1449, Archetypes!$A$2:$A$127, 0))*INDEX(Unit_Grades!$B$2:$B$7, MATCH(F1449, Unit_Grades!$A$2:$A$7, 0))*INDEX(Unit_Paths!$D$2:$D$4, MATCH(E1449, Unit_Paths!$A$2:$A$4, 0)),0)</f>
        <v>1052</v>
      </c>
      <c r="K1449" s="6" t="n">
        <f aca="false">ROUND(INDEX(Archetypes!$H$2:$H$127, MATCH(D1449, Archetypes!$A$2:$A$127, 0))*INDEX(Unit_Paths!$E$2:$E$4, MATCH(E1449, Unit_Paths!$A$2:$A$4, 0)),1)</f>
        <v>67.2</v>
      </c>
      <c r="L1449" s="6" t="n">
        <f aca="false">ROUND(INDEX(Archetypes!$I$2:$I$127, MATCH(D1449, Archetypes!$A$2:$A$127, 0))*INDEX(Unit_Grades!$C$2:$C$7, MATCH(F1449, Unit_Grades!$A$2:$A$7, 0)),1)</f>
        <v>45</v>
      </c>
      <c r="M1449" s="6" t="n">
        <f aca="false">ROUND(INDEX(Archetypes!$J$2:$J$127, MATCH(D1449, Archetypes!$A$2:$A$127, 0))*INDEX(Unit_Grades!$D$2:$D$7, MATCH(F1449, Unit_Grades!$A$2:$A$7, 0)),1)</f>
        <v>21.9</v>
      </c>
      <c r="N1449" s="6" t="n">
        <f aca="false">ROUND(M1449/24,2)</f>
        <v>0.91</v>
      </c>
    </row>
    <row r="1450" customFormat="false" ht="15" hidden="false" customHeight="true" outlineLevel="0" collapsed="false">
      <c r="A1450" s="6" t="n">
        <v>5</v>
      </c>
      <c r="B1450" s="6" t="s">
        <v>2937</v>
      </c>
      <c r="C1450" s="6" t="s">
        <v>1435</v>
      </c>
      <c r="D1450" s="6" t="str">
        <f aca="false">A1450&amp;"|"&amp;C1450</f>
        <v>5|Void Destroyer</v>
      </c>
      <c r="E1450" s="6" t="s">
        <v>1558</v>
      </c>
      <c r="F1450" s="6" t="s">
        <v>1542</v>
      </c>
      <c r="G1450" s="6" t="str">
        <f aca="false">INDEX(Archetypes!$D$2:$D$127, MATCH(D1450, Archetypes!$A$2:$A$127, 0))</f>
        <v>Naval Escort</v>
      </c>
      <c r="H1450" s="6" t="n">
        <f aca="false">ROUND(INDEX(Archetypes!$E$2:$E$127, MATCH(D1450, Archetypes!$A$2:$A$127, 0))*INDEX(Unit_Grades!$B$2:$B$7, MATCH(F1450, Unit_Grades!$A$2:$A$7, 0))*INDEX(Unit_Paths!$B$2:$B$4, MATCH(E1450, Unit_Paths!$A$2:$A$4, 0)),1)</f>
        <v>648</v>
      </c>
      <c r="I1450" s="6" t="n">
        <f aca="false">ROUND(INDEX(Archetypes!$F$2:$F$127, MATCH(D1450, Archetypes!$A$2:$A$127, 0))*INDEX(Unit_Grades!$B$2:$B$7, MATCH(F1450, Unit_Grades!$A$2:$A$7, 0))*INDEX(Unit_Paths!$C$2:$C$4, MATCH(E1450, Unit_Paths!$A$2:$A$4, 0)),1)</f>
        <v>306</v>
      </c>
      <c r="J1450" s="6" t="n">
        <f aca="false">ROUND(INDEX(Archetypes!$G$2:$G$127, MATCH(D1450, Archetypes!$A$2:$A$127, 0))*INDEX(Unit_Grades!$B$2:$B$7, MATCH(F1450, Unit_Grades!$A$2:$A$7, 0))*INDEX(Unit_Paths!$D$2:$D$4, MATCH(E1450, Unit_Paths!$A$2:$A$4, 0)),0)</f>
        <v>1402</v>
      </c>
      <c r="K1450" s="6" t="n">
        <f aca="false">ROUND(INDEX(Archetypes!$H$2:$H$127, MATCH(D1450, Archetypes!$A$2:$A$127, 0))*INDEX(Unit_Paths!$E$2:$E$4, MATCH(E1450, Unit_Paths!$A$2:$A$4, 0)),1)</f>
        <v>67.2</v>
      </c>
      <c r="L1450" s="6" t="n">
        <f aca="false">ROUND(INDEX(Archetypes!$I$2:$I$127, MATCH(D1450, Archetypes!$A$2:$A$127, 0))*INDEX(Unit_Grades!$C$2:$C$7, MATCH(F1450, Unit_Grades!$A$2:$A$7, 0)),1)</f>
        <v>57.6</v>
      </c>
      <c r="M1450" s="6" t="n">
        <f aca="false">ROUND(INDEX(Archetypes!$J$2:$J$127, MATCH(D1450, Archetypes!$A$2:$A$127, 0))*INDEX(Unit_Grades!$D$2:$D$7, MATCH(F1450, Unit_Grades!$A$2:$A$7, 0)),1)</f>
        <v>36.5</v>
      </c>
      <c r="N1450" s="6" t="n">
        <f aca="false">ROUND(M1450/24,2)</f>
        <v>1.52</v>
      </c>
    </row>
    <row r="1451" customFormat="false" ht="15" hidden="false" customHeight="true" outlineLevel="0" collapsed="false">
      <c r="A1451" s="6" t="n">
        <v>5</v>
      </c>
      <c r="B1451" s="6" t="s">
        <v>2938</v>
      </c>
      <c r="C1451" s="6" t="s">
        <v>1435</v>
      </c>
      <c r="D1451" s="6" t="str">
        <f aca="false">A1451&amp;"|"&amp;C1451</f>
        <v>5|Void Destroyer</v>
      </c>
      <c r="E1451" s="6" t="s">
        <v>1558</v>
      </c>
      <c r="F1451" s="6" t="s">
        <v>1544</v>
      </c>
      <c r="G1451" s="6" t="str">
        <f aca="false">INDEX(Archetypes!$D$2:$D$127, MATCH(D1451, Archetypes!$A$2:$A$127, 0))</f>
        <v>Naval Escort</v>
      </c>
      <c r="H1451" s="6" t="n">
        <f aca="false">ROUND(INDEX(Archetypes!$E$2:$E$127, MATCH(D1451, Archetypes!$A$2:$A$127, 0))*INDEX(Unit_Grades!$B$2:$B$7, MATCH(F1451, Unit_Grades!$A$2:$A$7, 0))*INDEX(Unit_Paths!$B$2:$B$4, MATCH(E1451, Unit_Paths!$A$2:$A$4, 0)),1)</f>
        <v>864</v>
      </c>
      <c r="I1451" s="6" t="n">
        <f aca="false">ROUND(INDEX(Archetypes!$F$2:$F$127, MATCH(D1451, Archetypes!$A$2:$A$127, 0))*INDEX(Unit_Grades!$B$2:$B$7, MATCH(F1451, Unit_Grades!$A$2:$A$7, 0))*INDEX(Unit_Paths!$C$2:$C$4, MATCH(E1451, Unit_Paths!$A$2:$A$4, 0)),1)</f>
        <v>408</v>
      </c>
      <c r="J1451" s="6" t="n">
        <f aca="false">ROUND(INDEX(Archetypes!$G$2:$G$127, MATCH(D1451, Archetypes!$A$2:$A$127, 0))*INDEX(Unit_Grades!$B$2:$B$7, MATCH(F1451, Unit_Grades!$A$2:$A$7, 0))*INDEX(Unit_Paths!$D$2:$D$4, MATCH(E1451, Unit_Paths!$A$2:$A$4, 0)),0)</f>
        <v>1870</v>
      </c>
      <c r="K1451" s="6" t="n">
        <f aca="false">ROUND(INDEX(Archetypes!$H$2:$H$127, MATCH(D1451, Archetypes!$A$2:$A$127, 0))*INDEX(Unit_Paths!$E$2:$E$4, MATCH(E1451, Unit_Paths!$A$2:$A$4, 0)),1)</f>
        <v>67.2</v>
      </c>
      <c r="L1451" s="6" t="n">
        <f aca="false">ROUND(INDEX(Archetypes!$I$2:$I$127, MATCH(D1451, Archetypes!$A$2:$A$127, 0))*INDEX(Unit_Grades!$C$2:$C$7, MATCH(F1451, Unit_Grades!$A$2:$A$7, 0)),1)</f>
        <v>75.6</v>
      </c>
      <c r="M1451" s="6" t="n">
        <f aca="false">ROUND(INDEX(Archetypes!$J$2:$J$127, MATCH(D1451, Archetypes!$A$2:$A$127, 0))*INDEX(Unit_Grades!$D$2:$D$7, MATCH(F1451, Unit_Grades!$A$2:$A$7, 0)),1)</f>
        <v>58.4</v>
      </c>
      <c r="N1451" s="6" t="n">
        <f aca="false">ROUND(M1451/24,2)</f>
        <v>2.43</v>
      </c>
    </row>
    <row r="1452" customFormat="false" ht="15" hidden="false" customHeight="true" outlineLevel="0" collapsed="false">
      <c r="A1452" s="6" t="n">
        <v>5</v>
      </c>
      <c r="B1452" s="6" t="s">
        <v>2939</v>
      </c>
      <c r="C1452" s="6" t="s">
        <v>1435</v>
      </c>
      <c r="D1452" s="6" t="str">
        <f aca="false">A1452&amp;"|"&amp;C1452</f>
        <v>5|Void Destroyer</v>
      </c>
      <c r="E1452" s="6" t="s">
        <v>1558</v>
      </c>
      <c r="F1452" s="6" t="s">
        <v>1546</v>
      </c>
      <c r="G1452" s="6" t="str">
        <f aca="false">INDEX(Archetypes!$D$2:$D$127, MATCH(D1452, Archetypes!$A$2:$A$127, 0))</f>
        <v>Naval Escort</v>
      </c>
      <c r="H1452" s="6" t="n">
        <f aca="false">ROUND(INDEX(Archetypes!$E$2:$E$127, MATCH(D1452, Archetypes!$A$2:$A$127, 0))*INDEX(Unit_Grades!$B$2:$B$7, MATCH(F1452, Unit_Grades!$A$2:$A$7, 0))*INDEX(Unit_Paths!$B$2:$B$4, MATCH(E1452, Unit_Paths!$A$2:$A$4, 0)),1)</f>
        <v>1152</v>
      </c>
      <c r="I1452" s="6" t="n">
        <f aca="false">ROUND(INDEX(Archetypes!$F$2:$F$127, MATCH(D1452, Archetypes!$A$2:$A$127, 0))*INDEX(Unit_Grades!$B$2:$B$7, MATCH(F1452, Unit_Grades!$A$2:$A$7, 0))*INDEX(Unit_Paths!$C$2:$C$4, MATCH(E1452, Unit_Paths!$A$2:$A$4, 0)),1)</f>
        <v>544</v>
      </c>
      <c r="J1452" s="6" t="n">
        <f aca="false">ROUND(INDEX(Archetypes!$G$2:$G$127, MATCH(D1452, Archetypes!$A$2:$A$127, 0))*INDEX(Unit_Grades!$B$2:$B$7, MATCH(F1452, Unit_Grades!$A$2:$A$7, 0))*INDEX(Unit_Paths!$D$2:$D$4, MATCH(E1452, Unit_Paths!$A$2:$A$4, 0)),0)</f>
        <v>2493</v>
      </c>
      <c r="K1452" s="6" t="n">
        <f aca="false">ROUND(INDEX(Archetypes!$H$2:$H$127, MATCH(D1452, Archetypes!$A$2:$A$127, 0))*INDEX(Unit_Paths!$E$2:$E$4, MATCH(E1452, Unit_Paths!$A$2:$A$4, 0)),1)</f>
        <v>67.2</v>
      </c>
      <c r="L1452" s="6" t="n">
        <f aca="false">ROUND(INDEX(Archetypes!$I$2:$I$127, MATCH(D1452, Archetypes!$A$2:$A$127, 0))*INDEX(Unit_Grades!$C$2:$C$7, MATCH(F1452, Unit_Grades!$A$2:$A$7, 0)),1)</f>
        <v>100.8</v>
      </c>
      <c r="M1452" s="6" t="n">
        <f aca="false">ROUND(INDEX(Archetypes!$J$2:$J$127, MATCH(D1452, Archetypes!$A$2:$A$127, 0))*INDEX(Unit_Grades!$D$2:$D$7, MATCH(F1452, Unit_Grades!$A$2:$A$7, 0)),1)</f>
        <v>102.3</v>
      </c>
      <c r="N1452" s="6" t="n">
        <f aca="false">ROUND(M1452/24,2)</f>
        <v>4.26</v>
      </c>
    </row>
    <row r="1453" customFormat="false" ht="15" hidden="false" customHeight="true" outlineLevel="0" collapsed="false">
      <c r="A1453" s="6" t="n">
        <v>5</v>
      </c>
      <c r="B1453" s="6" t="s">
        <v>2940</v>
      </c>
      <c r="C1453" s="6" t="s">
        <v>1435</v>
      </c>
      <c r="D1453" s="6" t="str">
        <f aca="false">A1453&amp;"|"&amp;C1453</f>
        <v>5|Void Destroyer</v>
      </c>
      <c r="E1453" s="6" t="s">
        <v>1558</v>
      </c>
      <c r="F1453" s="6" t="s">
        <v>1548</v>
      </c>
      <c r="G1453" s="6" t="str">
        <f aca="false">INDEX(Archetypes!$D$2:$D$127, MATCH(D1453, Archetypes!$A$2:$A$127, 0))</f>
        <v>Naval Escort</v>
      </c>
      <c r="H1453" s="6" t="n">
        <f aca="false">ROUND(INDEX(Archetypes!$E$2:$E$127, MATCH(D1453, Archetypes!$A$2:$A$127, 0))*INDEX(Unit_Grades!$B$2:$B$7, MATCH(F1453, Unit_Grades!$A$2:$A$7, 0))*INDEX(Unit_Paths!$B$2:$B$4, MATCH(E1453, Unit_Paths!$A$2:$A$4, 0)),1)</f>
        <v>1512</v>
      </c>
      <c r="I1453" s="6" t="n">
        <f aca="false">ROUND(INDEX(Archetypes!$F$2:$F$127, MATCH(D1453, Archetypes!$A$2:$A$127, 0))*INDEX(Unit_Grades!$B$2:$B$7, MATCH(F1453, Unit_Grades!$A$2:$A$7, 0))*INDEX(Unit_Paths!$C$2:$C$4, MATCH(E1453, Unit_Paths!$A$2:$A$4, 0)),1)</f>
        <v>714</v>
      </c>
      <c r="J1453" s="6" t="n">
        <f aca="false">ROUND(INDEX(Archetypes!$G$2:$G$127, MATCH(D1453, Archetypes!$A$2:$A$127, 0))*INDEX(Unit_Grades!$B$2:$B$7, MATCH(F1453, Unit_Grades!$A$2:$A$7, 0))*INDEX(Unit_Paths!$D$2:$D$4, MATCH(E1453, Unit_Paths!$A$2:$A$4, 0)),0)</f>
        <v>3272</v>
      </c>
      <c r="K1453" s="6" t="n">
        <f aca="false">ROUND(INDEX(Archetypes!$H$2:$H$127, MATCH(D1453, Archetypes!$A$2:$A$127, 0))*INDEX(Unit_Paths!$E$2:$E$4, MATCH(E1453, Unit_Paths!$A$2:$A$4, 0)),1)</f>
        <v>67.2</v>
      </c>
      <c r="L1453" s="6" t="n">
        <f aca="false">ROUND(INDEX(Archetypes!$I$2:$I$127, MATCH(D1453, Archetypes!$A$2:$A$127, 0))*INDEX(Unit_Grades!$C$2:$C$7, MATCH(F1453, Unit_Grades!$A$2:$A$7, 0)),1)</f>
        <v>133.2</v>
      </c>
      <c r="M1453" s="6" t="n">
        <f aca="false">ROUND(INDEX(Archetypes!$J$2:$J$127, MATCH(D1453, Archetypes!$A$2:$A$127, 0))*INDEX(Unit_Grades!$D$2:$D$7, MATCH(F1453, Unit_Grades!$A$2:$A$7, 0)),1)</f>
        <v>175.3</v>
      </c>
      <c r="N1453" s="6" t="n">
        <f aca="false">ROUND(M1453/24,2)</f>
        <v>7.3</v>
      </c>
    </row>
    <row r="1454" customFormat="false" ht="15" hidden="false" customHeight="true" outlineLevel="0" collapsed="false">
      <c r="A1454" s="6" t="n">
        <v>5</v>
      </c>
      <c r="B1454" s="6" t="s">
        <v>2941</v>
      </c>
      <c r="C1454" s="6" t="s">
        <v>1435</v>
      </c>
      <c r="D1454" s="6" t="str">
        <f aca="false">A1454&amp;"|"&amp;C1454</f>
        <v>5|Void Destroyer</v>
      </c>
      <c r="E1454" s="6" t="s">
        <v>1560</v>
      </c>
      <c r="F1454" s="6" t="s">
        <v>1538</v>
      </c>
      <c r="G1454" s="6" t="str">
        <f aca="false">INDEX(Archetypes!$D$2:$D$127, MATCH(D1454, Archetypes!$A$2:$A$127, 0))</f>
        <v>Naval Escort</v>
      </c>
      <c r="H1454" s="6" t="n">
        <f aca="false">ROUND(INDEX(Archetypes!$E$2:$E$127, MATCH(D1454, Archetypes!$A$2:$A$127, 0))*INDEX(Unit_Grades!$B$2:$B$7, MATCH(F1454, Unit_Grades!$A$2:$A$7, 0))*INDEX(Unit_Paths!$B$2:$B$4, MATCH(E1454, Unit_Paths!$A$2:$A$4, 0)),1)</f>
        <v>255</v>
      </c>
      <c r="I1454" s="6" t="n">
        <f aca="false">ROUND(INDEX(Archetypes!$F$2:$F$127, MATCH(D1454, Archetypes!$A$2:$A$127, 0))*INDEX(Unit_Grades!$B$2:$B$7, MATCH(F1454, Unit_Grades!$A$2:$A$7, 0))*INDEX(Unit_Paths!$C$2:$C$4, MATCH(E1454, Unit_Paths!$A$2:$A$4, 0)),1)</f>
        <v>250</v>
      </c>
      <c r="J1454" s="6" t="n">
        <f aca="false">ROUND(INDEX(Archetypes!$G$2:$G$127, MATCH(D1454, Archetypes!$A$2:$A$127, 0))*INDEX(Unit_Grades!$B$2:$B$7, MATCH(F1454, Unit_Grades!$A$2:$A$7, 0))*INDEX(Unit_Paths!$D$2:$D$4, MATCH(E1454, Unit_Paths!$A$2:$A$4, 0)),0)</f>
        <v>943</v>
      </c>
      <c r="K1454" s="6" t="n">
        <f aca="false">ROUND(INDEX(Archetypes!$H$2:$H$127, MATCH(D1454, Archetypes!$A$2:$A$127, 0))*INDEX(Unit_Paths!$E$2:$E$4, MATCH(E1454, Unit_Paths!$A$2:$A$4, 0)),1)</f>
        <v>58.9</v>
      </c>
      <c r="L1454" s="6" t="n">
        <f aca="false">ROUND(INDEX(Archetypes!$I$2:$I$127, MATCH(D1454, Archetypes!$A$2:$A$127, 0))*INDEX(Unit_Grades!$C$2:$C$7, MATCH(F1454, Unit_Grades!$A$2:$A$7, 0)),1)</f>
        <v>36</v>
      </c>
      <c r="M1454" s="6" t="n">
        <f aca="false">ROUND(INDEX(Archetypes!$J$2:$J$127, MATCH(D1454, Archetypes!$A$2:$A$127, 0))*INDEX(Unit_Grades!$D$2:$D$7, MATCH(F1454, Unit_Grades!$A$2:$A$7, 0)),1)</f>
        <v>14.6</v>
      </c>
      <c r="N1454" s="6" t="n">
        <f aca="false">ROUND(M1454/24,2)</f>
        <v>0.61</v>
      </c>
    </row>
    <row r="1455" customFormat="false" ht="15" hidden="false" customHeight="true" outlineLevel="0" collapsed="false">
      <c r="A1455" s="6" t="n">
        <v>5</v>
      </c>
      <c r="B1455" s="6" t="s">
        <v>2942</v>
      </c>
      <c r="C1455" s="6" t="s">
        <v>1435</v>
      </c>
      <c r="D1455" s="6" t="str">
        <f aca="false">A1455&amp;"|"&amp;C1455</f>
        <v>5|Void Destroyer</v>
      </c>
      <c r="E1455" s="6" t="s">
        <v>1560</v>
      </c>
      <c r="F1455" s="6" t="s">
        <v>1540</v>
      </c>
      <c r="G1455" s="6" t="str">
        <f aca="false">INDEX(Archetypes!$D$2:$D$127, MATCH(D1455, Archetypes!$A$2:$A$127, 0))</f>
        <v>Naval Escort</v>
      </c>
      <c r="H1455" s="6" t="n">
        <f aca="false">ROUND(INDEX(Archetypes!$E$2:$E$127, MATCH(D1455, Archetypes!$A$2:$A$127, 0))*INDEX(Unit_Grades!$B$2:$B$7, MATCH(F1455, Unit_Grades!$A$2:$A$7, 0))*INDEX(Unit_Paths!$B$2:$B$4, MATCH(E1455, Unit_Paths!$A$2:$A$4, 0)),1)</f>
        <v>344.3</v>
      </c>
      <c r="I1455" s="6" t="n">
        <f aca="false">ROUND(INDEX(Archetypes!$F$2:$F$127, MATCH(D1455, Archetypes!$A$2:$A$127, 0))*INDEX(Unit_Grades!$B$2:$B$7, MATCH(F1455, Unit_Grades!$A$2:$A$7, 0))*INDEX(Unit_Paths!$C$2:$C$4, MATCH(E1455, Unit_Paths!$A$2:$A$4, 0)),1)</f>
        <v>337.5</v>
      </c>
      <c r="J1455" s="6" t="n">
        <f aca="false">ROUND(INDEX(Archetypes!$G$2:$G$127, MATCH(D1455, Archetypes!$A$2:$A$127, 0))*INDEX(Unit_Grades!$B$2:$B$7, MATCH(F1455, Unit_Grades!$A$2:$A$7, 0))*INDEX(Unit_Paths!$D$2:$D$4, MATCH(E1455, Unit_Paths!$A$2:$A$4, 0)),0)</f>
        <v>1273</v>
      </c>
      <c r="K1455" s="6" t="n">
        <f aca="false">ROUND(INDEX(Archetypes!$H$2:$H$127, MATCH(D1455, Archetypes!$A$2:$A$127, 0))*INDEX(Unit_Paths!$E$2:$E$4, MATCH(E1455, Unit_Paths!$A$2:$A$4, 0)),1)</f>
        <v>58.9</v>
      </c>
      <c r="L1455" s="6" t="n">
        <f aca="false">ROUND(INDEX(Archetypes!$I$2:$I$127, MATCH(D1455, Archetypes!$A$2:$A$127, 0))*INDEX(Unit_Grades!$C$2:$C$7, MATCH(F1455, Unit_Grades!$A$2:$A$7, 0)),1)</f>
        <v>45</v>
      </c>
      <c r="M1455" s="6" t="n">
        <f aca="false">ROUND(INDEX(Archetypes!$J$2:$J$127, MATCH(D1455, Archetypes!$A$2:$A$127, 0))*INDEX(Unit_Grades!$D$2:$D$7, MATCH(F1455, Unit_Grades!$A$2:$A$7, 0)),1)</f>
        <v>21.9</v>
      </c>
      <c r="N1455" s="6" t="n">
        <f aca="false">ROUND(M1455/24,2)</f>
        <v>0.91</v>
      </c>
    </row>
    <row r="1456" customFormat="false" ht="15" hidden="false" customHeight="true" outlineLevel="0" collapsed="false">
      <c r="A1456" s="6" t="n">
        <v>5</v>
      </c>
      <c r="B1456" s="6" t="s">
        <v>2943</v>
      </c>
      <c r="C1456" s="6" t="s">
        <v>1435</v>
      </c>
      <c r="D1456" s="6" t="str">
        <f aca="false">A1456&amp;"|"&amp;C1456</f>
        <v>5|Void Destroyer</v>
      </c>
      <c r="E1456" s="6" t="s">
        <v>1560</v>
      </c>
      <c r="F1456" s="6" t="s">
        <v>1542</v>
      </c>
      <c r="G1456" s="6" t="str">
        <f aca="false">INDEX(Archetypes!$D$2:$D$127, MATCH(D1456, Archetypes!$A$2:$A$127, 0))</f>
        <v>Naval Escort</v>
      </c>
      <c r="H1456" s="6" t="n">
        <f aca="false">ROUND(INDEX(Archetypes!$E$2:$E$127, MATCH(D1456, Archetypes!$A$2:$A$127, 0))*INDEX(Unit_Grades!$B$2:$B$7, MATCH(F1456, Unit_Grades!$A$2:$A$7, 0))*INDEX(Unit_Paths!$B$2:$B$4, MATCH(E1456, Unit_Paths!$A$2:$A$4, 0)),1)</f>
        <v>459</v>
      </c>
      <c r="I1456" s="6" t="n">
        <f aca="false">ROUND(INDEX(Archetypes!$F$2:$F$127, MATCH(D1456, Archetypes!$A$2:$A$127, 0))*INDEX(Unit_Grades!$B$2:$B$7, MATCH(F1456, Unit_Grades!$A$2:$A$7, 0))*INDEX(Unit_Paths!$C$2:$C$4, MATCH(E1456, Unit_Paths!$A$2:$A$4, 0)),1)</f>
        <v>450</v>
      </c>
      <c r="J1456" s="6" t="n">
        <f aca="false">ROUND(INDEX(Archetypes!$G$2:$G$127, MATCH(D1456, Archetypes!$A$2:$A$127, 0))*INDEX(Unit_Grades!$B$2:$B$7, MATCH(F1456, Unit_Grades!$A$2:$A$7, 0))*INDEX(Unit_Paths!$D$2:$D$4, MATCH(E1456, Unit_Paths!$A$2:$A$4, 0)),0)</f>
        <v>1697</v>
      </c>
      <c r="K1456" s="6" t="n">
        <f aca="false">ROUND(INDEX(Archetypes!$H$2:$H$127, MATCH(D1456, Archetypes!$A$2:$A$127, 0))*INDEX(Unit_Paths!$E$2:$E$4, MATCH(E1456, Unit_Paths!$A$2:$A$4, 0)),1)</f>
        <v>58.9</v>
      </c>
      <c r="L1456" s="6" t="n">
        <f aca="false">ROUND(INDEX(Archetypes!$I$2:$I$127, MATCH(D1456, Archetypes!$A$2:$A$127, 0))*INDEX(Unit_Grades!$C$2:$C$7, MATCH(F1456, Unit_Grades!$A$2:$A$7, 0)),1)</f>
        <v>57.6</v>
      </c>
      <c r="M1456" s="6" t="n">
        <f aca="false">ROUND(INDEX(Archetypes!$J$2:$J$127, MATCH(D1456, Archetypes!$A$2:$A$127, 0))*INDEX(Unit_Grades!$D$2:$D$7, MATCH(F1456, Unit_Grades!$A$2:$A$7, 0)),1)</f>
        <v>36.5</v>
      </c>
      <c r="N1456" s="6" t="n">
        <f aca="false">ROUND(M1456/24,2)</f>
        <v>1.52</v>
      </c>
    </row>
    <row r="1457" customFormat="false" ht="15" hidden="false" customHeight="true" outlineLevel="0" collapsed="false">
      <c r="A1457" s="6" t="n">
        <v>5</v>
      </c>
      <c r="B1457" s="6" t="s">
        <v>2944</v>
      </c>
      <c r="C1457" s="6" t="s">
        <v>1435</v>
      </c>
      <c r="D1457" s="6" t="str">
        <f aca="false">A1457&amp;"|"&amp;C1457</f>
        <v>5|Void Destroyer</v>
      </c>
      <c r="E1457" s="6" t="s">
        <v>1560</v>
      </c>
      <c r="F1457" s="6" t="s">
        <v>1544</v>
      </c>
      <c r="G1457" s="6" t="str">
        <f aca="false">INDEX(Archetypes!$D$2:$D$127, MATCH(D1457, Archetypes!$A$2:$A$127, 0))</f>
        <v>Naval Escort</v>
      </c>
      <c r="H1457" s="6" t="n">
        <f aca="false">ROUND(INDEX(Archetypes!$E$2:$E$127, MATCH(D1457, Archetypes!$A$2:$A$127, 0))*INDEX(Unit_Grades!$B$2:$B$7, MATCH(F1457, Unit_Grades!$A$2:$A$7, 0))*INDEX(Unit_Paths!$B$2:$B$4, MATCH(E1457, Unit_Paths!$A$2:$A$4, 0)),1)</f>
        <v>612</v>
      </c>
      <c r="I1457" s="6" t="n">
        <f aca="false">ROUND(INDEX(Archetypes!$F$2:$F$127, MATCH(D1457, Archetypes!$A$2:$A$127, 0))*INDEX(Unit_Grades!$B$2:$B$7, MATCH(F1457, Unit_Grades!$A$2:$A$7, 0))*INDEX(Unit_Paths!$C$2:$C$4, MATCH(E1457, Unit_Paths!$A$2:$A$4, 0)),1)</f>
        <v>600</v>
      </c>
      <c r="J1457" s="6" t="n">
        <f aca="false">ROUND(INDEX(Archetypes!$G$2:$G$127, MATCH(D1457, Archetypes!$A$2:$A$127, 0))*INDEX(Unit_Grades!$B$2:$B$7, MATCH(F1457, Unit_Grades!$A$2:$A$7, 0))*INDEX(Unit_Paths!$D$2:$D$4, MATCH(E1457, Unit_Paths!$A$2:$A$4, 0)),0)</f>
        <v>2263</v>
      </c>
      <c r="K1457" s="6" t="n">
        <f aca="false">ROUND(INDEX(Archetypes!$H$2:$H$127, MATCH(D1457, Archetypes!$A$2:$A$127, 0))*INDEX(Unit_Paths!$E$2:$E$4, MATCH(E1457, Unit_Paths!$A$2:$A$4, 0)),1)</f>
        <v>58.9</v>
      </c>
      <c r="L1457" s="6" t="n">
        <f aca="false">ROUND(INDEX(Archetypes!$I$2:$I$127, MATCH(D1457, Archetypes!$A$2:$A$127, 0))*INDEX(Unit_Grades!$C$2:$C$7, MATCH(F1457, Unit_Grades!$A$2:$A$7, 0)),1)</f>
        <v>75.6</v>
      </c>
      <c r="M1457" s="6" t="n">
        <f aca="false">ROUND(INDEX(Archetypes!$J$2:$J$127, MATCH(D1457, Archetypes!$A$2:$A$127, 0))*INDEX(Unit_Grades!$D$2:$D$7, MATCH(F1457, Unit_Grades!$A$2:$A$7, 0)),1)</f>
        <v>58.4</v>
      </c>
      <c r="N1457" s="6" t="n">
        <f aca="false">ROUND(M1457/24,2)</f>
        <v>2.43</v>
      </c>
    </row>
    <row r="1458" customFormat="false" ht="15" hidden="false" customHeight="true" outlineLevel="0" collapsed="false">
      <c r="A1458" s="6" t="n">
        <v>5</v>
      </c>
      <c r="B1458" s="6" t="s">
        <v>2945</v>
      </c>
      <c r="C1458" s="6" t="s">
        <v>1435</v>
      </c>
      <c r="D1458" s="6" t="str">
        <f aca="false">A1458&amp;"|"&amp;C1458</f>
        <v>5|Void Destroyer</v>
      </c>
      <c r="E1458" s="6" t="s">
        <v>1560</v>
      </c>
      <c r="F1458" s="6" t="s">
        <v>1546</v>
      </c>
      <c r="G1458" s="6" t="str">
        <f aca="false">INDEX(Archetypes!$D$2:$D$127, MATCH(D1458, Archetypes!$A$2:$A$127, 0))</f>
        <v>Naval Escort</v>
      </c>
      <c r="H1458" s="6" t="n">
        <f aca="false">ROUND(INDEX(Archetypes!$E$2:$E$127, MATCH(D1458, Archetypes!$A$2:$A$127, 0))*INDEX(Unit_Grades!$B$2:$B$7, MATCH(F1458, Unit_Grades!$A$2:$A$7, 0))*INDEX(Unit_Paths!$B$2:$B$4, MATCH(E1458, Unit_Paths!$A$2:$A$4, 0)),1)</f>
        <v>816</v>
      </c>
      <c r="I1458" s="6" t="n">
        <f aca="false">ROUND(INDEX(Archetypes!$F$2:$F$127, MATCH(D1458, Archetypes!$A$2:$A$127, 0))*INDEX(Unit_Grades!$B$2:$B$7, MATCH(F1458, Unit_Grades!$A$2:$A$7, 0))*INDEX(Unit_Paths!$C$2:$C$4, MATCH(E1458, Unit_Paths!$A$2:$A$4, 0)),1)</f>
        <v>800</v>
      </c>
      <c r="J1458" s="6" t="n">
        <f aca="false">ROUND(INDEX(Archetypes!$G$2:$G$127, MATCH(D1458, Archetypes!$A$2:$A$127, 0))*INDEX(Unit_Grades!$B$2:$B$7, MATCH(F1458, Unit_Grades!$A$2:$A$7, 0))*INDEX(Unit_Paths!$D$2:$D$4, MATCH(E1458, Unit_Paths!$A$2:$A$4, 0)),0)</f>
        <v>3018</v>
      </c>
      <c r="K1458" s="6" t="n">
        <f aca="false">ROUND(INDEX(Archetypes!$H$2:$H$127, MATCH(D1458, Archetypes!$A$2:$A$127, 0))*INDEX(Unit_Paths!$E$2:$E$4, MATCH(E1458, Unit_Paths!$A$2:$A$4, 0)),1)</f>
        <v>58.9</v>
      </c>
      <c r="L1458" s="6" t="n">
        <f aca="false">ROUND(INDEX(Archetypes!$I$2:$I$127, MATCH(D1458, Archetypes!$A$2:$A$127, 0))*INDEX(Unit_Grades!$C$2:$C$7, MATCH(F1458, Unit_Grades!$A$2:$A$7, 0)),1)</f>
        <v>100.8</v>
      </c>
      <c r="M1458" s="6" t="n">
        <f aca="false">ROUND(INDEX(Archetypes!$J$2:$J$127, MATCH(D1458, Archetypes!$A$2:$A$127, 0))*INDEX(Unit_Grades!$D$2:$D$7, MATCH(F1458, Unit_Grades!$A$2:$A$7, 0)),1)</f>
        <v>102.3</v>
      </c>
      <c r="N1458" s="6" t="n">
        <f aca="false">ROUND(M1458/24,2)</f>
        <v>4.26</v>
      </c>
    </row>
    <row r="1459" customFormat="false" ht="15" hidden="false" customHeight="true" outlineLevel="0" collapsed="false">
      <c r="A1459" s="6" t="n">
        <v>5</v>
      </c>
      <c r="B1459" s="6" t="s">
        <v>2946</v>
      </c>
      <c r="C1459" s="6" t="s">
        <v>1435</v>
      </c>
      <c r="D1459" s="6" t="str">
        <f aca="false">A1459&amp;"|"&amp;C1459</f>
        <v>5|Void Destroyer</v>
      </c>
      <c r="E1459" s="6" t="s">
        <v>1560</v>
      </c>
      <c r="F1459" s="6" t="s">
        <v>1548</v>
      </c>
      <c r="G1459" s="6" t="str">
        <f aca="false">INDEX(Archetypes!$D$2:$D$127, MATCH(D1459, Archetypes!$A$2:$A$127, 0))</f>
        <v>Naval Escort</v>
      </c>
      <c r="H1459" s="6" t="n">
        <f aca="false">ROUND(INDEX(Archetypes!$E$2:$E$127, MATCH(D1459, Archetypes!$A$2:$A$127, 0))*INDEX(Unit_Grades!$B$2:$B$7, MATCH(F1459, Unit_Grades!$A$2:$A$7, 0))*INDEX(Unit_Paths!$B$2:$B$4, MATCH(E1459, Unit_Paths!$A$2:$A$4, 0)),1)</f>
        <v>1071</v>
      </c>
      <c r="I1459" s="6" t="n">
        <f aca="false">ROUND(INDEX(Archetypes!$F$2:$F$127, MATCH(D1459, Archetypes!$A$2:$A$127, 0))*INDEX(Unit_Grades!$B$2:$B$7, MATCH(F1459, Unit_Grades!$A$2:$A$7, 0))*INDEX(Unit_Paths!$C$2:$C$4, MATCH(E1459, Unit_Paths!$A$2:$A$4, 0)),1)</f>
        <v>1050</v>
      </c>
      <c r="J1459" s="6" t="n">
        <f aca="false">ROUND(INDEX(Archetypes!$G$2:$G$127, MATCH(D1459, Archetypes!$A$2:$A$127, 0))*INDEX(Unit_Grades!$B$2:$B$7, MATCH(F1459, Unit_Grades!$A$2:$A$7, 0))*INDEX(Unit_Paths!$D$2:$D$4, MATCH(E1459, Unit_Paths!$A$2:$A$4, 0)),0)</f>
        <v>3961</v>
      </c>
      <c r="K1459" s="6" t="n">
        <f aca="false">ROUND(INDEX(Archetypes!$H$2:$H$127, MATCH(D1459, Archetypes!$A$2:$A$127, 0))*INDEX(Unit_Paths!$E$2:$E$4, MATCH(E1459, Unit_Paths!$A$2:$A$4, 0)),1)</f>
        <v>58.9</v>
      </c>
      <c r="L1459" s="6" t="n">
        <f aca="false">ROUND(INDEX(Archetypes!$I$2:$I$127, MATCH(D1459, Archetypes!$A$2:$A$127, 0))*INDEX(Unit_Grades!$C$2:$C$7, MATCH(F1459, Unit_Grades!$A$2:$A$7, 0)),1)</f>
        <v>133.2</v>
      </c>
      <c r="M1459" s="6" t="n">
        <f aca="false">ROUND(INDEX(Archetypes!$J$2:$J$127, MATCH(D1459, Archetypes!$A$2:$A$127, 0))*INDEX(Unit_Grades!$D$2:$D$7, MATCH(F1459, Unit_Grades!$A$2:$A$7, 0)),1)</f>
        <v>175.3</v>
      </c>
      <c r="N1459" s="6" t="n">
        <f aca="false">ROUND(M1459/24,2)</f>
        <v>7.3</v>
      </c>
    </row>
    <row r="1460" customFormat="false" ht="15" hidden="false" customHeight="true" outlineLevel="0" collapsed="false">
      <c r="A1460" s="6" t="n">
        <v>5</v>
      </c>
      <c r="B1460" s="6" t="s">
        <v>1437</v>
      </c>
      <c r="C1460" s="6" t="s">
        <v>1437</v>
      </c>
      <c r="D1460" s="6" t="str">
        <f aca="false">A1460&amp;"|"&amp;C1460</f>
        <v>5|Void Cruiser</v>
      </c>
      <c r="E1460" s="6" t="s">
        <v>1556</v>
      </c>
      <c r="F1460" s="6" t="s">
        <v>1538</v>
      </c>
      <c r="G1460" s="6" t="str">
        <f aca="false">INDEX(Archetypes!$D$2:$D$127, MATCH(D1460, Archetypes!$A$2:$A$127, 0))</f>
        <v>Line Warship</v>
      </c>
      <c r="H1460" s="6" t="n">
        <f aca="false">ROUND(INDEX(Archetypes!$E$2:$E$127, MATCH(D1460, Archetypes!$A$2:$A$127, 0))*INDEX(Unit_Grades!$B$2:$B$7, MATCH(F1460, Unit_Grades!$A$2:$A$7, 0))*INDEX(Unit_Paths!$B$2:$B$4, MATCH(E1460, Unit_Paths!$A$2:$A$4, 0)),1)</f>
        <v>380</v>
      </c>
      <c r="I1460" s="6" t="n">
        <f aca="false">ROUND(INDEX(Archetypes!$F$2:$F$127, MATCH(D1460, Archetypes!$A$2:$A$127, 0))*INDEX(Unit_Grades!$B$2:$B$7, MATCH(F1460, Unit_Grades!$A$2:$A$7, 0))*INDEX(Unit_Paths!$C$2:$C$4, MATCH(E1460, Unit_Paths!$A$2:$A$4, 0)),1)</f>
        <v>260</v>
      </c>
      <c r="J1460" s="6" t="n">
        <f aca="false">ROUND(INDEX(Archetypes!$G$2:$G$127, MATCH(D1460, Archetypes!$A$2:$A$127, 0))*INDEX(Unit_Grades!$B$2:$B$7, MATCH(F1460, Unit_Grades!$A$2:$A$7, 0))*INDEX(Unit_Paths!$D$2:$D$4, MATCH(E1460, Unit_Paths!$A$2:$A$4, 0)),0)</f>
        <v>1200</v>
      </c>
      <c r="K1460" s="6" t="n">
        <f aca="false">ROUND(INDEX(Archetypes!$H$2:$H$127, MATCH(D1460, Archetypes!$A$2:$A$127, 0))*INDEX(Unit_Paths!$E$2:$E$4, MATCH(E1460, Unit_Paths!$A$2:$A$4, 0)),1)</f>
        <v>56</v>
      </c>
      <c r="L1460" s="6" t="n">
        <f aca="false">ROUND(INDEX(Archetypes!$I$2:$I$127, MATCH(D1460, Archetypes!$A$2:$A$127, 0))*INDEX(Unit_Grades!$C$2:$C$7, MATCH(F1460, Unit_Grades!$A$2:$A$7, 0)),1)</f>
        <v>48</v>
      </c>
      <c r="M1460" s="6" t="n">
        <f aca="false">ROUND(INDEX(Archetypes!$J$2:$J$127, MATCH(D1460, Archetypes!$A$2:$A$127, 0))*INDEX(Unit_Grades!$D$2:$D$7, MATCH(F1460, Unit_Grades!$A$2:$A$7, 0)),1)</f>
        <v>19.5</v>
      </c>
      <c r="N1460" s="6" t="n">
        <f aca="false">ROUND(M1460/24,2)</f>
        <v>0.81</v>
      </c>
    </row>
    <row r="1461" customFormat="false" ht="15" hidden="false" customHeight="true" outlineLevel="0" collapsed="false">
      <c r="A1461" s="6" t="n">
        <v>5</v>
      </c>
      <c r="B1461" s="6" t="s">
        <v>2947</v>
      </c>
      <c r="C1461" s="6" t="s">
        <v>1437</v>
      </c>
      <c r="D1461" s="6" t="str">
        <f aca="false">A1461&amp;"|"&amp;C1461</f>
        <v>5|Void Cruiser</v>
      </c>
      <c r="E1461" s="6" t="s">
        <v>1556</v>
      </c>
      <c r="F1461" s="6" t="s">
        <v>1540</v>
      </c>
      <c r="G1461" s="6" t="str">
        <f aca="false">INDEX(Archetypes!$D$2:$D$127, MATCH(D1461, Archetypes!$A$2:$A$127, 0))</f>
        <v>Line Warship</v>
      </c>
      <c r="H1461" s="6" t="n">
        <f aca="false">ROUND(INDEX(Archetypes!$E$2:$E$127, MATCH(D1461, Archetypes!$A$2:$A$127, 0))*INDEX(Unit_Grades!$B$2:$B$7, MATCH(F1461, Unit_Grades!$A$2:$A$7, 0))*INDEX(Unit_Paths!$B$2:$B$4, MATCH(E1461, Unit_Paths!$A$2:$A$4, 0)),1)</f>
        <v>513</v>
      </c>
      <c r="I1461" s="6" t="n">
        <f aca="false">ROUND(INDEX(Archetypes!$F$2:$F$127, MATCH(D1461, Archetypes!$A$2:$A$127, 0))*INDEX(Unit_Grades!$B$2:$B$7, MATCH(F1461, Unit_Grades!$A$2:$A$7, 0))*INDEX(Unit_Paths!$C$2:$C$4, MATCH(E1461, Unit_Paths!$A$2:$A$4, 0)),1)</f>
        <v>351</v>
      </c>
      <c r="J1461" s="6" t="n">
        <f aca="false">ROUND(INDEX(Archetypes!$G$2:$G$127, MATCH(D1461, Archetypes!$A$2:$A$127, 0))*INDEX(Unit_Grades!$B$2:$B$7, MATCH(F1461, Unit_Grades!$A$2:$A$7, 0))*INDEX(Unit_Paths!$D$2:$D$4, MATCH(E1461, Unit_Paths!$A$2:$A$4, 0)),0)</f>
        <v>1620</v>
      </c>
      <c r="K1461" s="6" t="n">
        <f aca="false">ROUND(INDEX(Archetypes!$H$2:$H$127, MATCH(D1461, Archetypes!$A$2:$A$127, 0))*INDEX(Unit_Paths!$E$2:$E$4, MATCH(E1461, Unit_Paths!$A$2:$A$4, 0)),1)</f>
        <v>56</v>
      </c>
      <c r="L1461" s="6" t="n">
        <f aca="false">ROUND(INDEX(Archetypes!$I$2:$I$127, MATCH(D1461, Archetypes!$A$2:$A$127, 0))*INDEX(Unit_Grades!$C$2:$C$7, MATCH(F1461, Unit_Grades!$A$2:$A$7, 0)),1)</f>
        <v>60</v>
      </c>
      <c r="M1461" s="6" t="n">
        <f aca="false">ROUND(INDEX(Archetypes!$J$2:$J$127, MATCH(D1461, Archetypes!$A$2:$A$127, 0))*INDEX(Unit_Grades!$D$2:$D$7, MATCH(F1461, Unit_Grades!$A$2:$A$7, 0)),1)</f>
        <v>29.2</v>
      </c>
      <c r="N1461" s="6" t="n">
        <f aca="false">ROUND(M1461/24,2)</f>
        <v>1.22</v>
      </c>
    </row>
    <row r="1462" customFormat="false" ht="15" hidden="false" customHeight="true" outlineLevel="0" collapsed="false">
      <c r="A1462" s="6" t="n">
        <v>5</v>
      </c>
      <c r="B1462" s="6" t="s">
        <v>2948</v>
      </c>
      <c r="C1462" s="6" t="s">
        <v>1437</v>
      </c>
      <c r="D1462" s="6" t="str">
        <f aca="false">A1462&amp;"|"&amp;C1462</f>
        <v>5|Void Cruiser</v>
      </c>
      <c r="E1462" s="6" t="s">
        <v>1556</v>
      </c>
      <c r="F1462" s="6" t="s">
        <v>1542</v>
      </c>
      <c r="G1462" s="6" t="str">
        <f aca="false">INDEX(Archetypes!$D$2:$D$127, MATCH(D1462, Archetypes!$A$2:$A$127, 0))</f>
        <v>Line Warship</v>
      </c>
      <c r="H1462" s="6" t="n">
        <f aca="false">ROUND(INDEX(Archetypes!$E$2:$E$127, MATCH(D1462, Archetypes!$A$2:$A$127, 0))*INDEX(Unit_Grades!$B$2:$B$7, MATCH(F1462, Unit_Grades!$A$2:$A$7, 0))*INDEX(Unit_Paths!$B$2:$B$4, MATCH(E1462, Unit_Paths!$A$2:$A$4, 0)),1)</f>
        <v>684</v>
      </c>
      <c r="I1462" s="6" t="n">
        <f aca="false">ROUND(INDEX(Archetypes!$F$2:$F$127, MATCH(D1462, Archetypes!$A$2:$A$127, 0))*INDEX(Unit_Grades!$B$2:$B$7, MATCH(F1462, Unit_Grades!$A$2:$A$7, 0))*INDEX(Unit_Paths!$C$2:$C$4, MATCH(E1462, Unit_Paths!$A$2:$A$4, 0)),1)</f>
        <v>468</v>
      </c>
      <c r="J1462" s="6" t="n">
        <f aca="false">ROUND(INDEX(Archetypes!$G$2:$G$127, MATCH(D1462, Archetypes!$A$2:$A$127, 0))*INDEX(Unit_Grades!$B$2:$B$7, MATCH(F1462, Unit_Grades!$A$2:$A$7, 0))*INDEX(Unit_Paths!$D$2:$D$4, MATCH(E1462, Unit_Paths!$A$2:$A$4, 0)),0)</f>
        <v>2160</v>
      </c>
      <c r="K1462" s="6" t="n">
        <f aca="false">ROUND(INDEX(Archetypes!$H$2:$H$127, MATCH(D1462, Archetypes!$A$2:$A$127, 0))*INDEX(Unit_Paths!$E$2:$E$4, MATCH(E1462, Unit_Paths!$A$2:$A$4, 0)),1)</f>
        <v>56</v>
      </c>
      <c r="L1462" s="6" t="n">
        <f aca="false">ROUND(INDEX(Archetypes!$I$2:$I$127, MATCH(D1462, Archetypes!$A$2:$A$127, 0))*INDEX(Unit_Grades!$C$2:$C$7, MATCH(F1462, Unit_Grades!$A$2:$A$7, 0)),1)</f>
        <v>76.8</v>
      </c>
      <c r="M1462" s="6" t="n">
        <f aca="false">ROUND(INDEX(Archetypes!$J$2:$J$127, MATCH(D1462, Archetypes!$A$2:$A$127, 0))*INDEX(Unit_Grades!$D$2:$D$7, MATCH(F1462, Unit_Grades!$A$2:$A$7, 0)),1)</f>
        <v>48.7</v>
      </c>
      <c r="N1462" s="6" t="n">
        <f aca="false">ROUND(M1462/24,2)</f>
        <v>2.03</v>
      </c>
    </row>
    <row r="1463" customFormat="false" ht="15" hidden="false" customHeight="true" outlineLevel="0" collapsed="false">
      <c r="A1463" s="6" t="n">
        <v>5</v>
      </c>
      <c r="B1463" s="6" t="s">
        <v>2949</v>
      </c>
      <c r="C1463" s="6" t="s">
        <v>1437</v>
      </c>
      <c r="D1463" s="6" t="str">
        <f aca="false">A1463&amp;"|"&amp;C1463</f>
        <v>5|Void Cruiser</v>
      </c>
      <c r="E1463" s="6" t="s">
        <v>1556</v>
      </c>
      <c r="F1463" s="6" t="s">
        <v>1544</v>
      </c>
      <c r="G1463" s="6" t="str">
        <f aca="false">INDEX(Archetypes!$D$2:$D$127, MATCH(D1463, Archetypes!$A$2:$A$127, 0))</f>
        <v>Line Warship</v>
      </c>
      <c r="H1463" s="6" t="n">
        <f aca="false">ROUND(INDEX(Archetypes!$E$2:$E$127, MATCH(D1463, Archetypes!$A$2:$A$127, 0))*INDEX(Unit_Grades!$B$2:$B$7, MATCH(F1463, Unit_Grades!$A$2:$A$7, 0))*INDEX(Unit_Paths!$B$2:$B$4, MATCH(E1463, Unit_Paths!$A$2:$A$4, 0)),1)</f>
        <v>912</v>
      </c>
      <c r="I1463" s="6" t="n">
        <f aca="false">ROUND(INDEX(Archetypes!$F$2:$F$127, MATCH(D1463, Archetypes!$A$2:$A$127, 0))*INDEX(Unit_Grades!$B$2:$B$7, MATCH(F1463, Unit_Grades!$A$2:$A$7, 0))*INDEX(Unit_Paths!$C$2:$C$4, MATCH(E1463, Unit_Paths!$A$2:$A$4, 0)),1)</f>
        <v>624</v>
      </c>
      <c r="J1463" s="6" t="n">
        <f aca="false">ROUND(INDEX(Archetypes!$G$2:$G$127, MATCH(D1463, Archetypes!$A$2:$A$127, 0))*INDEX(Unit_Grades!$B$2:$B$7, MATCH(F1463, Unit_Grades!$A$2:$A$7, 0))*INDEX(Unit_Paths!$D$2:$D$4, MATCH(E1463, Unit_Paths!$A$2:$A$4, 0)),0)</f>
        <v>2880</v>
      </c>
      <c r="K1463" s="6" t="n">
        <f aca="false">ROUND(INDEX(Archetypes!$H$2:$H$127, MATCH(D1463, Archetypes!$A$2:$A$127, 0))*INDEX(Unit_Paths!$E$2:$E$4, MATCH(E1463, Unit_Paths!$A$2:$A$4, 0)),1)</f>
        <v>56</v>
      </c>
      <c r="L1463" s="6" t="n">
        <f aca="false">ROUND(INDEX(Archetypes!$I$2:$I$127, MATCH(D1463, Archetypes!$A$2:$A$127, 0))*INDEX(Unit_Grades!$C$2:$C$7, MATCH(F1463, Unit_Grades!$A$2:$A$7, 0)),1)</f>
        <v>100.8</v>
      </c>
      <c r="M1463" s="6" t="n">
        <f aca="false">ROUND(INDEX(Archetypes!$J$2:$J$127, MATCH(D1463, Archetypes!$A$2:$A$127, 0))*INDEX(Unit_Grades!$D$2:$D$7, MATCH(F1463, Unit_Grades!$A$2:$A$7, 0)),1)</f>
        <v>77.9</v>
      </c>
      <c r="N1463" s="6" t="n">
        <f aca="false">ROUND(M1463/24,2)</f>
        <v>3.25</v>
      </c>
    </row>
    <row r="1464" customFormat="false" ht="15" hidden="false" customHeight="true" outlineLevel="0" collapsed="false">
      <c r="A1464" s="6" t="n">
        <v>5</v>
      </c>
      <c r="B1464" s="6" t="s">
        <v>2950</v>
      </c>
      <c r="C1464" s="6" t="s">
        <v>1437</v>
      </c>
      <c r="D1464" s="6" t="str">
        <f aca="false">A1464&amp;"|"&amp;C1464</f>
        <v>5|Void Cruiser</v>
      </c>
      <c r="E1464" s="6" t="s">
        <v>1556</v>
      </c>
      <c r="F1464" s="6" t="s">
        <v>1546</v>
      </c>
      <c r="G1464" s="6" t="str">
        <f aca="false">INDEX(Archetypes!$D$2:$D$127, MATCH(D1464, Archetypes!$A$2:$A$127, 0))</f>
        <v>Line Warship</v>
      </c>
      <c r="H1464" s="6" t="n">
        <f aca="false">ROUND(INDEX(Archetypes!$E$2:$E$127, MATCH(D1464, Archetypes!$A$2:$A$127, 0))*INDEX(Unit_Grades!$B$2:$B$7, MATCH(F1464, Unit_Grades!$A$2:$A$7, 0))*INDEX(Unit_Paths!$B$2:$B$4, MATCH(E1464, Unit_Paths!$A$2:$A$4, 0)),1)</f>
        <v>1216</v>
      </c>
      <c r="I1464" s="6" t="n">
        <f aca="false">ROUND(INDEX(Archetypes!$F$2:$F$127, MATCH(D1464, Archetypes!$A$2:$A$127, 0))*INDEX(Unit_Grades!$B$2:$B$7, MATCH(F1464, Unit_Grades!$A$2:$A$7, 0))*INDEX(Unit_Paths!$C$2:$C$4, MATCH(E1464, Unit_Paths!$A$2:$A$4, 0)),1)</f>
        <v>832</v>
      </c>
      <c r="J1464" s="6" t="n">
        <f aca="false">ROUND(INDEX(Archetypes!$G$2:$G$127, MATCH(D1464, Archetypes!$A$2:$A$127, 0))*INDEX(Unit_Grades!$B$2:$B$7, MATCH(F1464, Unit_Grades!$A$2:$A$7, 0))*INDEX(Unit_Paths!$D$2:$D$4, MATCH(E1464, Unit_Paths!$A$2:$A$4, 0)),0)</f>
        <v>3840</v>
      </c>
      <c r="K1464" s="6" t="n">
        <f aca="false">ROUND(INDEX(Archetypes!$H$2:$H$127, MATCH(D1464, Archetypes!$A$2:$A$127, 0))*INDEX(Unit_Paths!$E$2:$E$4, MATCH(E1464, Unit_Paths!$A$2:$A$4, 0)),1)</f>
        <v>56</v>
      </c>
      <c r="L1464" s="6" t="n">
        <f aca="false">ROUND(INDEX(Archetypes!$I$2:$I$127, MATCH(D1464, Archetypes!$A$2:$A$127, 0))*INDEX(Unit_Grades!$C$2:$C$7, MATCH(F1464, Unit_Grades!$A$2:$A$7, 0)),1)</f>
        <v>134.4</v>
      </c>
      <c r="M1464" s="6" t="n">
        <f aca="false">ROUND(INDEX(Archetypes!$J$2:$J$127, MATCH(D1464, Archetypes!$A$2:$A$127, 0))*INDEX(Unit_Grades!$D$2:$D$7, MATCH(F1464, Unit_Grades!$A$2:$A$7, 0)),1)</f>
        <v>136.4</v>
      </c>
      <c r="N1464" s="6" t="n">
        <f aca="false">ROUND(M1464/24,2)</f>
        <v>5.68</v>
      </c>
    </row>
    <row r="1465" customFormat="false" ht="15" hidden="false" customHeight="true" outlineLevel="0" collapsed="false">
      <c r="A1465" s="6" t="n">
        <v>5</v>
      </c>
      <c r="B1465" s="6" t="s">
        <v>2951</v>
      </c>
      <c r="C1465" s="6" t="s">
        <v>1437</v>
      </c>
      <c r="D1465" s="6" t="str">
        <f aca="false">A1465&amp;"|"&amp;C1465</f>
        <v>5|Void Cruiser</v>
      </c>
      <c r="E1465" s="6" t="s">
        <v>1556</v>
      </c>
      <c r="F1465" s="6" t="s">
        <v>1548</v>
      </c>
      <c r="G1465" s="6" t="str">
        <f aca="false">INDEX(Archetypes!$D$2:$D$127, MATCH(D1465, Archetypes!$A$2:$A$127, 0))</f>
        <v>Line Warship</v>
      </c>
      <c r="H1465" s="6" t="n">
        <f aca="false">ROUND(INDEX(Archetypes!$E$2:$E$127, MATCH(D1465, Archetypes!$A$2:$A$127, 0))*INDEX(Unit_Grades!$B$2:$B$7, MATCH(F1465, Unit_Grades!$A$2:$A$7, 0))*INDEX(Unit_Paths!$B$2:$B$4, MATCH(E1465, Unit_Paths!$A$2:$A$4, 0)),1)</f>
        <v>1596</v>
      </c>
      <c r="I1465" s="6" t="n">
        <f aca="false">ROUND(INDEX(Archetypes!$F$2:$F$127, MATCH(D1465, Archetypes!$A$2:$A$127, 0))*INDEX(Unit_Grades!$B$2:$B$7, MATCH(F1465, Unit_Grades!$A$2:$A$7, 0))*INDEX(Unit_Paths!$C$2:$C$4, MATCH(E1465, Unit_Paths!$A$2:$A$4, 0)),1)</f>
        <v>1092</v>
      </c>
      <c r="J1465" s="6" t="n">
        <f aca="false">ROUND(INDEX(Archetypes!$G$2:$G$127, MATCH(D1465, Archetypes!$A$2:$A$127, 0))*INDEX(Unit_Grades!$B$2:$B$7, MATCH(F1465, Unit_Grades!$A$2:$A$7, 0))*INDEX(Unit_Paths!$D$2:$D$4, MATCH(E1465, Unit_Paths!$A$2:$A$4, 0)),0)</f>
        <v>5040</v>
      </c>
      <c r="K1465" s="6" t="n">
        <f aca="false">ROUND(INDEX(Archetypes!$H$2:$H$127, MATCH(D1465, Archetypes!$A$2:$A$127, 0))*INDEX(Unit_Paths!$E$2:$E$4, MATCH(E1465, Unit_Paths!$A$2:$A$4, 0)),1)</f>
        <v>56</v>
      </c>
      <c r="L1465" s="6" t="n">
        <f aca="false">ROUND(INDEX(Archetypes!$I$2:$I$127, MATCH(D1465, Archetypes!$A$2:$A$127, 0))*INDEX(Unit_Grades!$C$2:$C$7, MATCH(F1465, Unit_Grades!$A$2:$A$7, 0)),1)</f>
        <v>177.6</v>
      </c>
      <c r="M1465" s="6" t="n">
        <f aca="false">ROUND(INDEX(Archetypes!$J$2:$J$127, MATCH(D1465, Archetypes!$A$2:$A$127, 0))*INDEX(Unit_Grades!$D$2:$D$7, MATCH(F1465, Unit_Grades!$A$2:$A$7, 0)),1)</f>
        <v>233.8</v>
      </c>
      <c r="N1465" s="6" t="n">
        <f aca="false">ROUND(M1465/24,2)</f>
        <v>9.74</v>
      </c>
    </row>
    <row r="1466" customFormat="false" ht="15" hidden="false" customHeight="true" outlineLevel="0" collapsed="false">
      <c r="A1466" s="6" t="n">
        <v>5</v>
      </c>
      <c r="B1466" s="6" t="s">
        <v>2952</v>
      </c>
      <c r="C1466" s="6" t="s">
        <v>1437</v>
      </c>
      <c r="D1466" s="6" t="str">
        <f aca="false">A1466&amp;"|"&amp;C1466</f>
        <v>5|Void Cruiser</v>
      </c>
      <c r="E1466" s="6" t="s">
        <v>1558</v>
      </c>
      <c r="F1466" s="6" t="s">
        <v>1538</v>
      </c>
      <c r="G1466" s="6" t="str">
        <f aca="false">INDEX(Archetypes!$D$2:$D$127, MATCH(D1466, Archetypes!$A$2:$A$127, 0))</f>
        <v>Line Warship</v>
      </c>
      <c r="H1466" s="6" t="n">
        <f aca="false">ROUND(INDEX(Archetypes!$E$2:$E$127, MATCH(D1466, Archetypes!$A$2:$A$127, 0))*INDEX(Unit_Grades!$B$2:$B$7, MATCH(F1466, Unit_Grades!$A$2:$A$7, 0))*INDEX(Unit_Paths!$B$2:$B$4, MATCH(E1466, Unit_Paths!$A$2:$A$4, 0)),1)</f>
        <v>456</v>
      </c>
      <c r="I1466" s="6" t="n">
        <f aca="false">ROUND(INDEX(Archetypes!$F$2:$F$127, MATCH(D1466, Archetypes!$A$2:$A$127, 0))*INDEX(Unit_Grades!$B$2:$B$7, MATCH(F1466, Unit_Grades!$A$2:$A$7, 0))*INDEX(Unit_Paths!$C$2:$C$4, MATCH(E1466, Unit_Paths!$A$2:$A$4, 0)),1)</f>
        <v>221</v>
      </c>
      <c r="J1466" s="6" t="n">
        <f aca="false">ROUND(INDEX(Archetypes!$G$2:$G$127, MATCH(D1466, Archetypes!$A$2:$A$127, 0))*INDEX(Unit_Grades!$B$2:$B$7, MATCH(F1466, Unit_Grades!$A$2:$A$7, 0))*INDEX(Unit_Paths!$D$2:$D$4, MATCH(E1466, Unit_Paths!$A$2:$A$4, 0)),0)</f>
        <v>1140</v>
      </c>
      <c r="K1466" s="6" t="n">
        <f aca="false">ROUND(INDEX(Archetypes!$H$2:$H$127, MATCH(D1466, Archetypes!$A$2:$A$127, 0))*INDEX(Unit_Paths!$E$2:$E$4, MATCH(E1466, Unit_Paths!$A$2:$A$4, 0)),1)</f>
        <v>58.8</v>
      </c>
      <c r="L1466" s="6" t="n">
        <f aca="false">ROUND(INDEX(Archetypes!$I$2:$I$127, MATCH(D1466, Archetypes!$A$2:$A$127, 0))*INDEX(Unit_Grades!$C$2:$C$7, MATCH(F1466, Unit_Grades!$A$2:$A$7, 0)),1)</f>
        <v>48</v>
      </c>
      <c r="M1466" s="6" t="n">
        <f aca="false">ROUND(INDEX(Archetypes!$J$2:$J$127, MATCH(D1466, Archetypes!$A$2:$A$127, 0))*INDEX(Unit_Grades!$D$2:$D$7, MATCH(F1466, Unit_Grades!$A$2:$A$7, 0)),1)</f>
        <v>19.5</v>
      </c>
      <c r="N1466" s="6" t="n">
        <f aca="false">ROUND(M1466/24,2)</f>
        <v>0.81</v>
      </c>
    </row>
    <row r="1467" customFormat="false" ht="15" hidden="false" customHeight="true" outlineLevel="0" collapsed="false">
      <c r="A1467" s="6" t="n">
        <v>5</v>
      </c>
      <c r="B1467" s="6" t="s">
        <v>2953</v>
      </c>
      <c r="C1467" s="6" t="s">
        <v>1437</v>
      </c>
      <c r="D1467" s="6" t="str">
        <f aca="false">A1467&amp;"|"&amp;C1467</f>
        <v>5|Void Cruiser</v>
      </c>
      <c r="E1467" s="6" t="s">
        <v>1558</v>
      </c>
      <c r="F1467" s="6" t="s">
        <v>1540</v>
      </c>
      <c r="G1467" s="6" t="str">
        <f aca="false">INDEX(Archetypes!$D$2:$D$127, MATCH(D1467, Archetypes!$A$2:$A$127, 0))</f>
        <v>Line Warship</v>
      </c>
      <c r="H1467" s="6" t="n">
        <f aca="false">ROUND(INDEX(Archetypes!$E$2:$E$127, MATCH(D1467, Archetypes!$A$2:$A$127, 0))*INDEX(Unit_Grades!$B$2:$B$7, MATCH(F1467, Unit_Grades!$A$2:$A$7, 0))*INDEX(Unit_Paths!$B$2:$B$4, MATCH(E1467, Unit_Paths!$A$2:$A$4, 0)),1)</f>
        <v>615.6</v>
      </c>
      <c r="I1467" s="6" t="n">
        <f aca="false">ROUND(INDEX(Archetypes!$F$2:$F$127, MATCH(D1467, Archetypes!$A$2:$A$127, 0))*INDEX(Unit_Grades!$B$2:$B$7, MATCH(F1467, Unit_Grades!$A$2:$A$7, 0))*INDEX(Unit_Paths!$C$2:$C$4, MATCH(E1467, Unit_Paths!$A$2:$A$4, 0)),1)</f>
        <v>298.4</v>
      </c>
      <c r="J1467" s="6" t="n">
        <f aca="false">ROUND(INDEX(Archetypes!$G$2:$G$127, MATCH(D1467, Archetypes!$A$2:$A$127, 0))*INDEX(Unit_Grades!$B$2:$B$7, MATCH(F1467, Unit_Grades!$A$2:$A$7, 0))*INDEX(Unit_Paths!$D$2:$D$4, MATCH(E1467, Unit_Paths!$A$2:$A$4, 0)),0)</f>
        <v>1539</v>
      </c>
      <c r="K1467" s="6" t="n">
        <f aca="false">ROUND(INDEX(Archetypes!$H$2:$H$127, MATCH(D1467, Archetypes!$A$2:$A$127, 0))*INDEX(Unit_Paths!$E$2:$E$4, MATCH(E1467, Unit_Paths!$A$2:$A$4, 0)),1)</f>
        <v>58.8</v>
      </c>
      <c r="L1467" s="6" t="n">
        <f aca="false">ROUND(INDEX(Archetypes!$I$2:$I$127, MATCH(D1467, Archetypes!$A$2:$A$127, 0))*INDEX(Unit_Grades!$C$2:$C$7, MATCH(F1467, Unit_Grades!$A$2:$A$7, 0)),1)</f>
        <v>60</v>
      </c>
      <c r="M1467" s="6" t="n">
        <f aca="false">ROUND(INDEX(Archetypes!$J$2:$J$127, MATCH(D1467, Archetypes!$A$2:$A$127, 0))*INDEX(Unit_Grades!$D$2:$D$7, MATCH(F1467, Unit_Grades!$A$2:$A$7, 0)),1)</f>
        <v>29.2</v>
      </c>
      <c r="N1467" s="6" t="n">
        <f aca="false">ROUND(M1467/24,2)</f>
        <v>1.22</v>
      </c>
    </row>
    <row r="1468" customFormat="false" ht="15" hidden="false" customHeight="true" outlineLevel="0" collapsed="false">
      <c r="A1468" s="6" t="n">
        <v>5</v>
      </c>
      <c r="B1468" s="6" t="s">
        <v>2954</v>
      </c>
      <c r="C1468" s="6" t="s">
        <v>1437</v>
      </c>
      <c r="D1468" s="6" t="str">
        <f aca="false">A1468&amp;"|"&amp;C1468</f>
        <v>5|Void Cruiser</v>
      </c>
      <c r="E1468" s="6" t="s">
        <v>1558</v>
      </c>
      <c r="F1468" s="6" t="s">
        <v>1542</v>
      </c>
      <c r="G1468" s="6" t="str">
        <f aca="false">INDEX(Archetypes!$D$2:$D$127, MATCH(D1468, Archetypes!$A$2:$A$127, 0))</f>
        <v>Line Warship</v>
      </c>
      <c r="H1468" s="6" t="n">
        <f aca="false">ROUND(INDEX(Archetypes!$E$2:$E$127, MATCH(D1468, Archetypes!$A$2:$A$127, 0))*INDEX(Unit_Grades!$B$2:$B$7, MATCH(F1468, Unit_Grades!$A$2:$A$7, 0))*INDEX(Unit_Paths!$B$2:$B$4, MATCH(E1468, Unit_Paths!$A$2:$A$4, 0)),1)</f>
        <v>820.8</v>
      </c>
      <c r="I1468" s="6" t="n">
        <f aca="false">ROUND(INDEX(Archetypes!$F$2:$F$127, MATCH(D1468, Archetypes!$A$2:$A$127, 0))*INDEX(Unit_Grades!$B$2:$B$7, MATCH(F1468, Unit_Grades!$A$2:$A$7, 0))*INDEX(Unit_Paths!$C$2:$C$4, MATCH(E1468, Unit_Paths!$A$2:$A$4, 0)),1)</f>
        <v>397.8</v>
      </c>
      <c r="J1468" s="6" t="n">
        <f aca="false">ROUND(INDEX(Archetypes!$G$2:$G$127, MATCH(D1468, Archetypes!$A$2:$A$127, 0))*INDEX(Unit_Grades!$B$2:$B$7, MATCH(F1468, Unit_Grades!$A$2:$A$7, 0))*INDEX(Unit_Paths!$D$2:$D$4, MATCH(E1468, Unit_Paths!$A$2:$A$4, 0)),0)</f>
        <v>2052</v>
      </c>
      <c r="K1468" s="6" t="n">
        <f aca="false">ROUND(INDEX(Archetypes!$H$2:$H$127, MATCH(D1468, Archetypes!$A$2:$A$127, 0))*INDEX(Unit_Paths!$E$2:$E$4, MATCH(E1468, Unit_Paths!$A$2:$A$4, 0)),1)</f>
        <v>58.8</v>
      </c>
      <c r="L1468" s="6" t="n">
        <f aca="false">ROUND(INDEX(Archetypes!$I$2:$I$127, MATCH(D1468, Archetypes!$A$2:$A$127, 0))*INDEX(Unit_Grades!$C$2:$C$7, MATCH(F1468, Unit_Grades!$A$2:$A$7, 0)),1)</f>
        <v>76.8</v>
      </c>
      <c r="M1468" s="6" t="n">
        <f aca="false">ROUND(INDEX(Archetypes!$J$2:$J$127, MATCH(D1468, Archetypes!$A$2:$A$127, 0))*INDEX(Unit_Grades!$D$2:$D$7, MATCH(F1468, Unit_Grades!$A$2:$A$7, 0)),1)</f>
        <v>48.7</v>
      </c>
      <c r="N1468" s="6" t="n">
        <f aca="false">ROUND(M1468/24,2)</f>
        <v>2.03</v>
      </c>
    </row>
    <row r="1469" customFormat="false" ht="15" hidden="false" customHeight="true" outlineLevel="0" collapsed="false">
      <c r="A1469" s="6" t="n">
        <v>5</v>
      </c>
      <c r="B1469" s="6" t="s">
        <v>2955</v>
      </c>
      <c r="C1469" s="6" t="s">
        <v>1437</v>
      </c>
      <c r="D1469" s="6" t="str">
        <f aca="false">A1469&amp;"|"&amp;C1469</f>
        <v>5|Void Cruiser</v>
      </c>
      <c r="E1469" s="6" t="s">
        <v>1558</v>
      </c>
      <c r="F1469" s="6" t="s">
        <v>1544</v>
      </c>
      <c r="G1469" s="6" t="str">
        <f aca="false">INDEX(Archetypes!$D$2:$D$127, MATCH(D1469, Archetypes!$A$2:$A$127, 0))</f>
        <v>Line Warship</v>
      </c>
      <c r="H1469" s="6" t="n">
        <f aca="false">ROUND(INDEX(Archetypes!$E$2:$E$127, MATCH(D1469, Archetypes!$A$2:$A$127, 0))*INDEX(Unit_Grades!$B$2:$B$7, MATCH(F1469, Unit_Grades!$A$2:$A$7, 0))*INDEX(Unit_Paths!$B$2:$B$4, MATCH(E1469, Unit_Paths!$A$2:$A$4, 0)),1)</f>
        <v>1094.4</v>
      </c>
      <c r="I1469" s="6" t="n">
        <f aca="false">ROUND(INDEX(Archetypes!$F$2:$F$127, MATCH(D1469, Archetypes!$A$2:$A$127, 0))*INDEX(Unit_Grades!$B$2:$B$7, MATCH(F1469, Unit_Grades!$A$2:$A$7, 0))*INDEX(Unit_Paths!$C$2:$C$4, MATCH(E1469, Unit_Paths!$A$2:$A$4, 0)),1)</f>
        <v>530.4</v>
      </c>
      <c r="J1469" s="6" t="n">
        <f aca="false">ROUND(INDEX(Archetypes!$G$2:$G$127, MATCH(D1469, Archetypes!$A$2:$A$127, 0))*INDEX(Unit_Grades!$B$2:$B$7, MATCH(F1469, Unit_Grades!$A$2:$A$7, 0))*INDEX(Unit_Paths!$D$2:$D$4, MATCH(E1469, Unit_Paths!$A$2:$A$4, 0)),0)</f>
        <v>2736</v>
      </c>
      <c r="K1469" s="6" t="n">
        <f aca="false">ROUND(INDEX(Archetypes!$H$2:$H$127, MATCH(D1469, Archetypes!$A$2:$A$127, 0))*INDEX(Unit_Paths!$E$2:$E$4, MATCH(E1469, Unit_Paths!$A$2:$A$4, 0)),1)</f>
        <v>58.8</v>
      </c>
      <c r="L1469" s="6" t="n">
        <f aca="false">ROUND(INDEX(Archetypes!$I$2:$I$127, MATCH(D1469, Archetypes!$A$2:$A$127, 0))*INDEX(Unit_Grades!$C$2:$C$7, MATCH(F1469, Unit_Grades!$A$2:$A$7, 0)),1)</f>
        <v>100.8</v>
      </c>
      <c r="M1469" s="6" t="n">
        <f aca="false">ROUND(INDEX(Archetypes!$J$2:$J$127, MATCH(D1469, Archetypes!$A$2:$A$127, 0))*INDEX(Unit_Grades!$D$2:$D$7, MATCH(F1469, Unit_Grades!$A$2:$A$7, 0)),1)</f>
        <v>77.9</v>
      </c>
      <c r="N1469" s="6" t="n">
        <f aca="false">ROUND(M1469/24,2)</f>
        <v>3.25</v>
      </c>
    </row>
    <row r="1470" customFormat="false" ht="15" hidden="false" customHeight="true" outlineLevel="0" collapsed="false">
      <c r="A1470" s="6" t="n">
        <v>5</v>
      </c>
      <c r="B1470" s="6" t="s">
        <v>2956</v>
      </c>
      <c r="C1470" s="6" t="s">
        <v>1437</v>
      </c>
      <c r="D1470" s="6" t="str">
        <f aca="false">A1470&amp;"|"&amp;C1470</f>
        <v>5|Void Cruiser</v>
      </c>
      <c r="E1470" s="6" t="s">
        <v>1558</v>
      </c>
      <c r="F1470" s="6" t="s">
        <v>1546</v>
      </c>
      <c r="G1470" s="6" t="str">
        <f aca="false">INDEX(Archetypes!$D$2:$D$127, MATCH(D1470, Archetypes!$A$2:$A$127, 0))</f>
        <v>Line Warship</v>
      </c>
      <c r="H1470" s="6" t="n">
        <f aca="false">ROUND(INDEX(Archetypes!$E$2:$E$127, MATCH(D1470, Archetypes!$A$2:$A$127, 0))*INDEX(Unit_Grades!$B$2:$B$7, MATCH(F1470, Unit_Grades!$A$2:$A$7, 0))*INDEX(Unit_Paths!$B$2:$B$4, MATCH(E1470, Unit_Paths!$A$2:$A$4, 0)),1)</f>
        <v>1459.2</v>
      </c>
      <c r="I1470" s="6" t="n">
        <f aca="false">ROUND(INDEX(Archetypes!$F$2:$F$127, MATCH(D1470, Archetypes!$A$2:$A$127, 0))*INDEX(Unit_Grades!$B$2:$B$7, MATCH(F1470, Unit_Grades!$A$2:$A$7, 0))*INDEX(Unit_Paths!$C$2:$C$4, MATCH(E1470, Unit_Paths!$A$2:$A$4, 0)),1)</f>
        <v>707.2</v>
      </c>
      <c r="J1470" s="6" t="n">
        <f aca="false">ROUND(INDEX(Archetypes!$G$2:$G$127, MATCH(D1470, Archetypes!$A$2:$A$127, 0))*INDEX(Unit_Grades!$B$2:$B$7, MATCH(F1470, Unit_Grades!$A$2:$A$7, 0))*INDEX(Unit_Paths!$D$2:$D$4, MATCH(E1470, Unit_Paths!$A$2:$A$4, 0)),0)</f>
        <v>3648</v>
      </c>
      <c r="K1470" s="6" t="n">
        <f aca="false">ROUND(INDEX(Archetypes!$H$2:$H$127, MATCH(D1470, Archetypes!$A$2:$A$127, 0))*INDEX(Unit_Paths!$E$2:$E$4, MATCH(E1470, Unit_Paths!$A$2:$A$4, 0)),1)</f>
        <v>58.8</v>
      </c>
      <c r="L1470" s="6" t="n">
        <f aca="false">ROUND(INDEX(Archetypes!$I$2:$I$127, MATCH(D1470, Archetypes!$A$2:$A$127, 0))*INDEX(Unit_Grades!$C$2:$C$7, MATCH(F1470, Unit_Grades!$A$2:$A$7, 0)),1)</f>
        <v>134.4</v>
      </c>
      <c r="M1470" s="6" t="n">
        <f aca="false">ROUND(INDEX(Archetypes!$J$2:$J$127, MATCH(D1470, Archetypes!$A$2:$A$127, 0))*INDEX(Unit_Grades!$D$2:$D$7, MATCH(F1470, Unit_Grades!$A$2:$A$7, 0)),1)</f>
        <v>136.4</v>
      </c>
      <c r="N1470" s="6" t="n">
        <f aca="false">ROUND(M1470/24,2)</f>
        <v>5.68</v>
      </c>
    </row>
    <row r="1471" customFormat="false" ht="15" hidden="false" customHeight="true" outlineLevel="0" collapsed="false">
      <c r="A1471" s="6" t="n">
        <v>5</v>
      </c>
      <c r="B1471" s="6" t="s">
        <v>2957</v>
      </c>
      <c r="C1471" s="6" t="s">
        <v>1437</v>
      </c>
      <c r="D1471" s="6" t="str">
        <f aca="false">A1471&amp;"|"&amp;C1471</f>
        <v>5|Void Cruiser</v>
      </c>
      <c r="E1471" s="6" t="s">
        <v>1558</v>
      </c>
      <c r="F1471" s="6" t="s">
        <v>1548</v>
      </c>
      <c r="G1471" s="6" t="str">
        <f aca="false">INDEX(Archetypes!$D$2:$D$127, MATCH(D1471, Archetypes!$A$2:$A$127, 0))</f>
        <v>Line Warship</v>
      </c>
      <c r="H1471" s="6" t="n">
        <f aca="false">ROUND(INDEX(Archetypes!$E$2:$E$127, MATCH(D1471, Archetypes!$A$2:$A$127, 0))*INDEX(Unit_Grades!$B$2:$B$7, MATCH(F1471, Unit_Grades!$A$2:$A$7, 0))*INDEX(Unit_Paths!$B$2:$B$4, MATCH(E1471, Unit_Paths!$A$2:$A$4, 0)),1)</f>
        <v>1915.2</v>
      </c>
      <c r="I1471" s="6" t="n">
        <f aca="false">ROUND(INDEX(Archetypes!$F$2:$F$127, MATCH(D1471, Archetypes!$A$2:$A$127, 0))*INDEX(Unit_Grades!$B$2:$B$7, MATCH(F1471, Unit_Grades!$A$2:$A$7, 0))*INDEX(Unit_Paths!$C$2:$C$4, MATCH(E1471, Unit_Paths!$A$2:$A$4, 0)),1)</f>
        <v>928.2</v>
      </c>
      <c r="J1471" s="6" t="n">
        <f aca="false">ROUND(INDEX(Archetypes!$G$2:$G$127, MATCH(D1471, Archetypes!$A$2:$A$127, 0))*INDEX(Unit_Grades!$B$2:$B$7, MATCH(F1471, Unit_Grades!$A$2:$A$7, 0))*INDEX(Unit_Paths!$D$2:$D$4, MATCH(E1471, Unit_Paths!$A$2:$A$4, 0)),0)</f>
        <v>4788</v>
      </c>
      <c r="K1471" s="6" t="n">
        <f aca="false">ROUND(INDEX(Archetypes!$H$2:$H$127, MATCH(D1471, Archetypes!$A$2:$A$127, 0))*INDEX(Unit_Paths!$E$2:$E$4, MATCH(E1471, Unit_Paths!$A$2:$A$4, 0)),1)</f>
        <v>58.8</v>
      </c>
      <c r="L1471" s="6" t="n">
        <f aca="false">ROUND(INDEX(Archetypes!$I$2:$I$127, MATCH(D1471, Archetypes!$A$2:$A$127, 0))*INDEX(Unit_Grades!$C$2:$C$7, MATCH(F1471, Unit_Grades!$A$2:$A$7, 0)),1)</f>
        <v>177.6</v>
      </c>
      <c r="M1471" s="6" t="n">
        <f aca="false">ROUND(INDEX(Archetypes!$J$2:$J$127, MATCH(D1471, Archetypes!$A$2:$A$127, 0))*INDEX(Unit_Grades!$D$2:$D$7, MATCH(F1471, Unit_Grades!$A$2:$A$7, 0)),1)</f>
        <v>233.8</v>
      </c>
      <c r="N1471" s="6" t="n">
        <f aca="false">ROUND(M1471/24,2)</f>
        <v>9.74</v>
      </c>
    </row>
    <row r="1472" customFormat="false" ht="15" hidden="false" customHeight="true" outlineLevel="0" collapsed="false">
      <c r="A1472" s="6" t="n">
        <v>5</v>
      </c>
      <c r="B1472" s="6" t="s">
        <v>2958</v>
      </c>
      <c r="C1472" s="6" t="s">
        <v>1437</v>
      </c>
      <c r="D1472" s="6" t="str">
        <f aca="false">A1472&amp;"|"&amp;C1472</f>
        <v>5|Void Cruiser</v>
      </c>
      <c r="E1472" s="6" t="s">
        <v>1560</v>
      </c>
      <c r="F1472" s="6" t="s">
        <v>1538</v>
      </c>
      <c r="G1472" s="6" t="str">
        <f aca="false">INDEX(Archetypes!$D$2:$D$127, MATCH(D1472, Archetypes!$A$2:$A$127, 0))</f>
        <v>Line Warship</v>
      </c>
      <c r="H1472" s="6" t="n">
        <f aca="false">ROUND(INDEX(Archetypes!$E$2:$E$127, MATCH(D1472, Archetypes!$A$2:$A$127, 0))*INDEX(Unit_Grades!$B$2:$B$7, MATCH(F1472, Unit_Grades!$A$2:$A$7, 0))*INDEX(Unit_Paths!$B$2:$B$4, MATCH(E1472, Unit_Paths!$A$2:$A$4, 0)),1)</f>
        <v>323</v>
      </c>
      <c r="I1472" s="6" t="n">
        <f aca="false">ROUND(INDEX(Archetypes!$F$2:$F$127, MATCH(D1472, Archetypes!$A$2:$A$127, 0))*INDEX(Unit_Grades!$B$2:$B$7, MATCH(F1472, Unit_Grades!$A$2:$A$7, 0))*INDEX(Unit_Paths!$C$2:$C$4, MATCH(E1472, Unit_Paths!$A$2:$A$4, 0)),1)</f>
        <v>325</v>
      </c>
      <c r="J1472" s="6" t="n">
        <f aca="false">ROUND(INDEX(Archetypes!$G$2:$G$127, MATCH(D1472, Archetypes!$A$2:$A$127, 0))*INDEX(Unit_Grades!$B$2:$B$7, MATCH(F1472, Unit_Grades!$A$2:$A$7, 0))*INDEX(Unit_Paths!$D$2:$D$4, MATCH(E1472, Unit_Paths!$A$2:$A$4, 0)),0)</f>
        <v>1380</v>
      </c>
      <c r="K1472" s="6" t="n">
        <f aca="false">ROUND(INDEX(Archetypes!$H$2:$H$127, MATCH(D1472, Archetypes!$A$2:$A$127, 0))*INDEX(Unit_Paths!$E$2:$E$4, MATCH(E1472, Unit_Paths!$A$2:$A$4, 0)),1)</f>
        <v>51.5</v>
      </c>
      <c r="L1472" s="6" t="n">
        <f aca="false">ROUND(INDEX(Archetypes!$I$2:$I$127, MATCH(D1472, Archetypes!$A$2:$A$127, 0))*INDEX(Unit_Grades!$C$2:$C$7, MATCH(F1472, Unit_Grades!$A$2:$A$7, 0)),1)</f>
        <v>48</v>
      </c>
      <c r="M1472" s="6" t="n">
        <f aca="false">ROUND(INDEX(Archetypes!$J$2:$J$127, MATCH(D1472, Archetypes!$A$2:$A$127, 0))*INDEX(Unit_Grades!$D$2:$D$7, MATCH(F1472, Unit_Grades!$A$2:$A$7, 0)),1)</f>
        <v>19.5</v>
      </c>
      <c r="N1472" s="6" t="n">
        <f aca="false">ROUND(M1472/24,2)</f>
        <v>0.81</v>
      </c>
    </row>
    <row r="1473" customFormat="false" ht="15" hidden="false" customHeight="true" outlineLevel="0" collapsed="false">
      <c r="A1473" s="6" t="n">
        <v>5</v>
      </c>
      <c r="B1473" s="6" t="s">
        <v>2959</v>
      </c>
      <c r="C1473" s="6" t="s">
        <v>1437</v>
      </c>
      <c r="D1473" s="6" t="str">
        <f aca="false">A1473&amp;"|"&amp;C1473</f>
        <v>5|Void Cruiser</v>
      </c>
      <c r="E1473" s="6" t="s">
        <v>1560</v>
      </c>
      <c r="F1473" s="6" t="s">
        <v>1540</v>
      </c>
      <c r="G1473" s="6" t="str">
        <f aca="false">INDEX(Archetypes!$D$2:$D$127, MATCH(D1473, Archetypes!$A$2:$A$127, 0))</f>
        <v>Line Warship</v>
      </c>
      <c r="H1473" s="6" t="n">
        <f aca="false">ROUND(INDEX(Archetypes!$E$2:$E$127, MATCH(D1473, Archetypes!$A$2:$A$127, 0))*INDEX(Unit_Grades!$B$2:$B$7, MATCH(F1473, Unit_Grades!$A$2:$A$7, 0))*INDEX(Unit_Paths!$B$2:$B$4, MATCH(E1473, Unit_Paths!$A$2:$A$4, 0)),1)</f>
        <v>436.1</v>
      </c>
      <c r="I1473" s="6" t="n">
        <f aca="false">ROUND(INDEX(Archetypes!$F$2:$F$127, MATCH(D1473, Archetypes!$A$2:$A$127, 0))*INDEX(Unit_Grades!$B$2:$B$7, MATCH(F1473, Unit_Grades!$A$2:$A$7, 0))*INDEX(Unit_Paths!$C$2:$C$4, MATCH(E1473, Unit_Paths!$A$2:$A$4, 0)),1)</f>
        <v>438.8</v>
      </c>
      <c r="J1473" s="6" t="n">
        <f aca="false">ROUND(INDEX(Archetypes!$G$2:$G$127, MATCH(D1473, Archetypes!$A$2:$A$127, 0))*INDEX(Unit_Grades!$B$2:$B$7, MATCH(F1473, Unit_Grades!$A$2:$A$7, 0))*INDEX(Unit_Paths!$D$2:$D$4, MATCH(E1473, Unit_Paths!$A$2:$A$4, 0)),0)</f>
        <v>1863</v>
      </c>
      <c r="K1473" s="6" t="n">
        <f aca="false">ROUND(INDEX(Archetypes!$H$2:$H$127, MATCH(D1473, Archetypes!$A$2:$A$127, 0))*INDEX(Unit_Paths!$E$2:$E$4, MATCH(E1473, Unit_Paths!$A$2:$A$4, 0)),1)</f>
        <v>51.5</v>
      </c>
      <c r="L1473" s="6" t="n">
        <f aca="false">ROUND(INDEX(Archetypes!$I$2:$I$127, MATCH(D1473, Archetypes!$A$2:$A$127, 0))*INDEX(Unit_Grades!$C$2:$C$7, MATCH(F1473, Unit_Grades!$A$2:$A$7, 0)),1)</f>
        <v>60</v>
      </c>
      <c r="M1473" s="6" t="n">
        <f aca="false">ROUND(INDEX(Archetypes!$J$2:$J$127, MATCH(D1473, Archetypes!$A$2:$A$127, 0))*INDEX(Unit_Grades!$D$2:$D$7, MATCH(F1473, Unit_Grades!$A$2:$A$7, 0)),1)</f>
        <v>29.2</v>
      </c>
      <c r="N1473" s="6" t="n">
        <f aca="false">ROUND(M1473/24,2)</f>
        <v>1.22</v>
      </c>
    </row>
    <row r="1474" customFormat="false" ht="15" hidden="false" customHeight="true" outlineLevel="0" collapsed="false">
      <c r="A1474" s="6" t="n">
        <v>5</v>
      </c>
      <c r="B1474" s="6" t="s">
        <v>2960</v>
      </c>
      <c r="C1474" s="6" t="s">
        <v>1437</v>
      </c>
      <c r="D1474" s="6" t="str">
        <f aca="false">A1474&amp;"|"&amp;C1474</f>
        <v>5|Void Cruiser</v>
      </c>
      <c r="E1474" s="6" t="s">
        <v>1560</v>
      </c>
      <c r="F1474" s="6" t="s">
        <v>1542</v>
      </c>
      <c r="G1474" s="6" t="str">
        <f aca="false">INDEX(Archetypes!$D$2:$D$127, MATCH(D1474, Archetypes!$A$2:$A$127, 0))</f>
        <v>Line Warship</v>
      </c>
      <c r="H1474" s="6" t="n">
        <f aca="false">ROUND(INDEX(Archetypes!$E$2:$E$127, MATCH(D1474, Archetypes!$A$2:$A$127, 0))*INDEX(Unit_Grades!$B$2:$B$7, MATCH(F1474, Unit_Grades!$A$2:$A$7, 0))*INDEX(Unit_Paths!$B$2:$B$4, MATCH(E1474, Unit_Paths!$A$2:$A$4, 0)),1)</f>
        <v>581.4</v>
      </c>
      <c r="I1474" s="6" t="n">
        <f aca="false">ROUND(INDEX(Archetypes!$F$2:$F$127, MATCH(D1474, Archetypes!$A$2:$A$127, 0))*INDEX(Unit_Grades!$B$2:$B$7, MATCH(F1474, Unit_Grades!$A$2:$A$7, 0))*INDEX(Unit_Paths!$C$2:$C$4, MATCH(E1474, Unit_Paths!$A$2:$A$4, 0)),1)</f>
        <v>585</v>
      </c>
      <c r="J1474" s="6" t="n">
        <f aca="false">ROUND(INDEX(Archetypes!$G$2:$G$127, MATCH(D1474, Archetypes!$A$2:$A$127, 0))*INDEX(Unit_Grades!$B$2:$B$7, MATCH(F1474, Unit_Grades!$A$2:$A$7, 0))*INDEX(Unit_Paths!$D$2:$D$4, MATCH(E1474, Unit_Paths!$A$2:$A$4, 0)),0)</f>
        <v>2484</v>
      </c>
      <c r="K1474" s="6" t="n">
        <f aca="false">ROUND(INDEX(Archetypes!$H$2:$H$127, MATCH(D1474, Archetypes!$A$2:$A$127, 0))*INDEX(Unit_Paths!$E$2:$E$4, MATCH(E1474, Unit_Paths!$A$2:$A$4, 0)),1)</f>
        <v>51.5</v>
      </c>
      <c r="L1474" s="6" t="n">
        <f aca="false">ROUND(INDEX(Archetypes!$I$2:$I$127, MATCH(D1474, Archetypes!$A$2:$A$127, 0))*INDEX(Unit_Grades!$C$2:$C$7, MATCH(F1474, Unit_Grades!$A$2:$A$7, 0)),1)</f>
        <v>76.8</v>
      </c>
      <c r="M1474" s="6" t="n">
        <f aca="false">ROUND(INDEX(Archetypes!$J$2:$J$127, MATCH(D1474, Archetypes!$A$2:$A$127, 0))*INDEX(Unit_Grades!$D$2:$D$7, MATCH(F1474, Unit_Grades!$A$2:$A$7, 0)),1)</f>
        <v>48.7</v>
      </c>
      <c r="N1474" s="6" t="n">
        <f aca="false">ROUND(M1474/24,2)</f>
        <v>2.03</v>
      </c>
    </row>
    <row r="1475" customFormat="false" ht="15" hidden="false" customHeight="true" outlineLevel="0" collapsed="false">
      <c r="A1475" s="6" t="n">
        <v>5</v>
      </c>
      <c r="B1475" s="6" t="s">
        <v>2961</v>
      </c>
      <c r="C1475" s="6" t="s">
        <v>1437</v>
      </c>
      <c r="D1475" s="6" t="str">
        <f aca="false">A1475&amp;"|"&amp;C1475</f>
        <v>5|Void Cruiser</v>
      </c>
      <c r="E1475" s="6" t="s">
        <v>1560</v>
      </c>
      <c r="F1475" s="6" t="s">
        <v>1544</v>
      </c>
      <c r="G1475" s="6" t="str">
        <f aca="false">INDEX(Archetypes!$D$2:$D$127, MATCH(D1475, Archetypes!$A$2:$A$127, 0))</f>
        <v>Line Warship</v>
      </c>
      <c r="H1475" s="6" t="n">
        <f aca="false">ROUND(INDEX(Archetypes!$E$2:$E$127, MATCH(D1475, Archetypes!$A$2:$A$127, 0))*INDEX(Unit_Grades!$B$2:$B$7, MATCH(F1475, Unit_Grades!$A$2:$A$7, 0))*INDEX(Unit_Paths!$B$2:$B$4, MATCH(E1475, Unit_Paths!$A$2:$A$4, 0)),1)</f>
        <v>775.2</v>
      </c>
      <c r="I1475" s="6" t="n">
        <f aca="false">ROUND(INDEX(Archetypes!$F$2:$F$127, MATCH(D1475, Archetypes!$A$2:$A$127, 0))*INDEX(Unit_Grades!$B$2:$B$7, MATCH(F1475, Unit_Grades!$A$2:$A$7, 0))*INDEX(Unit_Paths!$C$2:$C$4, MATCH(E1475, Unit_Paths!$A$2:$A$4, 0)),1)</f>
        <v>780</v>
      </c>
      <c r="J1475" s="6" t="n">
        <f aca="false">ROUND(INDEX(Archetypes!$G$2:$G$127, MATCH(D1475, Archetypes!$A$2:$A$127, 0))*INDEX(Unit_Grades!$B$2:$B$7, MATCH(F1475, Unit_Grades!$A$2:$A$7, 0))*INDEX(Unit_Paths!$D$2:$D$4, MATCH(E1475, Unit_Paths!$A$2:$A$4, 0)),0)</f>
        <v>3312</v>
      </c>
      <c r="K1475" s="6" t="n">
        <f aca="false">ROUND(INDEX(Archetypes!$H$2:$H$127, MATCH(D1475, Archetypes!$A$2:$A$127, 0))*INDEX(Unit_Paths!$E$2:$E$4, MATCH(E1475, Unit_Paths!$A$2:$A$4, 0)),1)</f>
        <v>51.5</v>
      </c>
      <c r="L1475" s="6" t="n">
        <f aca="false">ROUND(INDEX(Archetypes!$I$2:$I$127, MATCH(D1475, Archetypes!$A$2:$A$127, 0))*INDEX(Unit_Grades!$C$2:$C$7, MATCH(F1475, Unit_Grades!$A$2:$A$7, 0)),1)</f>
        <v>100.8</v>
      </c>
      <c r="M1475" s="6" t="n">
        <f aca="false">ROUND(INDEX(Archetypes!$J$2:$J$127, MATCH(D1475, Archetypes!$A$2:$A$127, 0))*INDEX(Unit_Grades!$D$2:$D$7, MATCH(F1475, Unit_Grades!$A$2:$A$7, 0)),1)</f>
        <v>77.9</v>
      </c>
      <c r="N1475" s="6" t="n">
        <f aca="false">ROUND(M1475/24,2)</f>
        <v>3.25</v>
      </c>
    </row>
    <row r="1476" customFormat="false" ht="15" hidden="false" customHeight="true" outlineLevel="0" collapsed="false">
      <c r="A1476" s="6" t="n">
        <v>5</v>
      </c>
      <c r="B1476" s="6" t="s">
        <v>2962</v>
      </c>
      <c r="C1476" s="6" t="s">
        <v>1437</v>
      </c>
      <c r="D1476" s="6" t="str">
        <f aca="false">A1476&amp;"|"&amp;C1476</f>
        <v>5|Void Cruiser</v>
      </c>
      <c r="E1476" s="6" t="s">
        <v>1560</v>
      </c>
      <c r="F1476" s="6" t="s">
        <v>1546</v>
      </c>
      <c r="G1476" s="6" t="str">
        <f aca="false">INDEX(Archetypes!$D$2:$D$127, MATCH(D1476, Archetypes!$A$2:$A$127, 0))</f>
        <v>Line Warship</v>
      </c>
      <c r="H1476" s="6" t="n">
        <f aca="false">ROUND(INDEX(Archetypes!$E$2:$E$127, MATCH(D1476, Archetypes!$A$2:$A$127, 0))*INDEX(Unit_Grades!$B$2:$B$7, MATCH(F1476, Unit_Grades!$A$2:$A$7, 0))*INDEX(Unit_Paths!$B$2:$B$4, MATCH(E1476, Unit_Paths!$A$2:$A$4, 0)),1)</f>
        <v>1033.6</v>
      </c>
      <c r="I1476" s="6" t="n">
        <f aca="false">ROUND(INDEX(Archetypes!$F$2:$F$127, MATCH(D1476, Archetypes!$A$2:$A$127, 0))*INDEX(Unit_Grades!$B$2:$B$7, MATCH(F1476, Unit_Grades!$A$2:$A$7, 0))*INDEX(Unit_Paths!$C$2:$C$4, MATCH(E1476, Unit_Paths!$A$2:$A$4, 0)),1)</f>
        <v>1040</v>
      </c>
      <c r="J1476" s="6" t="n">
        <f aca="false">ROUND(INDEX(Archetypes!$G$2:$G$127, MATCH(D1476, Archetypes!$A$2:$A$127, 0))*INDEX(Unit_Grades!$B$2:$B$7, MATCH(F1476, Unit_Grades!$A$2:$A$7, 0))*INDEX(Unit_Paths!$D$2:$D$4, MATCH(E1476, Unit_Paths!$A$2:$A$4, 0)),0)</f>
        <v>4416</v>
      </c>
      <c r="K1476" s="6" t="n">
        <f aca="false">ROUND(INDEX(Archetypes!$H$2:$H$127, MATCH(D1476, Archetypes!$A$2:$A$127, 0))*INDEX(Unit_Paths!$E$2:$E$4, MATCH(E1476, Unit_Paths!$A$2:$A$4, 0)),1)</f>
        <v>51.5</v>
      </c>
      <c r="L1476" s="6" t="n">
        <f aca="false">ROUND(INDEX(Archetypes!$I$2:$I$127, MATCH(D1476, Archetypes!$A$2:$A$127, 0))*INDEX(Unit_Grades!$C$2:$C$7, MATCH(F1476, Unit_Grades!$A$2:$A$7, 0)),1)</f>
        <v>134.4</v>
      </c>
      <c r="M1476" s="6" t="n">
        <f aca="false">ROUND(INDEX(Archetypes!$J$2:$J$127, MATCH(D1476, Archetypes!$A$2:$A$127, 0))*INDEX(Unit_Grades!$D$2:$D$7, MATCH(F1476, Unit_Grades!$A$2:$A$7, 0)),1)</f>
        <v>136.4</v>
      </c>
      <c r="N1476" s="6" t="n">
        <f aca="false">ROUND(M1476/24,2)</f>
        <v>5.68</v>
      </c>
    </row>
    <row r="1477" customFormat="false" ht="15" hidden="false" customHeight="true" outlineLevel="0" collapsed="false">
      <c r="A1477" s="6" t="n">
        <v>5</v>
      </c>
      <c r="B1477" s="6" t="s">
        <v>2963</v>
      </c>
      <c r="C1477" s="6" t="s">
        <v>1437</v>
      </c>
      <c r="D1477" s="6" t="str">
        <f aca="false">A1477&amp;"|"&amp;C1477</f>
        <v>5|Void Cruiser</v>
      </c>
      <c r="E1477" s="6" t="s">
        <v>1560</v>
      </c>
      <c r="F1477" s="6" t="s">
        <v>1548</v>
      </c>
      <c r="G1477" s="6" t="str">
        <f aca="false">INDEX(Archetypes!$D$2:$D$127, MATCH(D1477, Archetypes!$A$2:$A$127, 0))</f>
        <v>Line Warship</v>
      </c>
      <c r="H1477" s="6" t="n">
        <f aca="false">ROUND(INDEX(Archetypes!$E$2:$E$127, MATCH(D1477, Archetypes!$A$2:$A$127, 0))*INDEX(Unit_Grades!$B$2:$B$7, MATCH(F1477, Unit_Grades!$A$2:$A$7, 0))*INDEX(Unit_Paths!$B$2:$B$4, MATCH(E1477, Unit_Paths!$A$2:$A$4, 0)),1)</f>
        <v>1356.6</v>
      </c>
      <c r="I1477" s="6" t="n">
        <f aca="false">ROUND(INDEX(Archetypes!$F$2:$F$127, MATCH(D1477, Archetypes!$A$2:$A$127, 0))*INDEX(Unit_Grades!$B$2:$B$7, MATCH(F1477, Unit_Grades!$A$2:$A$7, 0))*INDEX(Unit_Paths!$C$2:$C$4, MATCH(E1477, Unit_Paths!$A$2:$A$4, 0)),1)</f>
        <v>1365</v>
      </c>
      <c r="J1477" s="6" t="n">
        <f aca="false">ROUND(INDEX(Archetypes!$G$2:$G$127, MATCH(D1477, Archetypes!$A$2:$A$127, 0))*INDEX(Unit_Grades!$B$2:$B$7, MATCH(F1477, Unit_Grades!$A$2:$A$7, 0))*INDEX(Unit_Paths!$D$2:$D$4, MATCH(E1477, Unit_Paths!$A$2:$A$4, 0)),0)</f>
        <v>5796</v>
      </c>
      <c r="K1477" s="6" t="n">
        <f aca="false">ROUND(INDEX(Archetypes!$H$2:$H$127, MATCH(D1477, Archetypes!$A$2:$A$127, 0))*INDEX(Unit_Paths!$E$2:$E$4, MATCH(E1477, Unit_Paths!$A$2:$A$4, 0)),1)</f>
        <v>51.5</v>
      </c>
      <c r="L1477" s="6" t="n">
        <f aca="false">ROUND(INDEX(Archetypes!$I$2:$I$127, MATCH(D1477, Archetypes!$A$2:$A$127, 0))*INDEX(Unit_Grades!$C$2:$C$7, MATCH(F1477, Unit_Grades!$A$2:$A$7, 0)),1)</f>
        <v>177.6</v>
      </c>
      <c r="M1477" s="6" t="n">
        <f aca="false">ROUND(INDEX(Archetypes!$J$2:$J$127, MATCH(D1477, Archetypes!$A$2:$A$127, 0))*INDEX(Unit_Grades!$D$2:$D$7, MATCH(F1477, Unit_Grades!$A$2:$A$7, 0)),1)</f>
        <v>233.8</v>
      </c>
      <c r="N1477" s="6" t="n">
        <f aca="false">ROUND(M1477/24,2)</f>
        <v>9.74</v>
      </c>
    </row>
    <row r="1478" customFormat="false" ht="15" hidden="false" customHeight="true" outlineLevel="0" collapsed="false">
      <c r="A1478" s="6" t="n">
        <v>5</v>
      </c>
      <c r="B1478" s="6" t="s">
        <v>1440</v>
      </c>
      <c r="C1478" s="6" t="s">
        <v>1440</v>
      </c>
      <c r="D1478" s="6" t="str">
        <f aca="false">A1478&amp;"|"&amp;C1478</f>
        <v>5|Battlecruiser</v>
      </c>
      <c r="E1478" s="6" t="s">
        <v>1556</v>
      </c>
      <c r="F1478" s="6" t="s">
        <v>1538</v>
      </c>
      <c r="G1478" s="6" t="str">
        <f aca="false">INDEX(Archetypes!$D$2:$D$127, MATCH(D1478, Archetypes!$A$2:$A$127, 0))</f>
        <v>Capital</v>
      </c>
      <c r="H1478" s="6" t="n">
        <f aca="false">ROUND(INDEX(Archetypes!$E$2:$E$127, MATCH(D1478, Archetypes!$A$2:$A$127, 0))*INDEX(Unit_Grades!$B$2:$B$7, MATCH(F1478, Unit_Grades!$A$2:$A$7, 0))*INDEX(Unit_Paths!$B$2:$B$4, MATCH(E1478, Unit_Paths!$A$2:$A$4, 0)),1)</f>
        <v>480</v>
      </c>
      <c r="I1478" s="6" t="n">
        <f aca="false">ROUND(INDEX(Archetypes!$F$2:$F$127, MATCH(D1478, Archetypes!$A$2:$A$127, 0))*INDEX(Unit_Grades!$B$2:$B$7, MATCH(F1478, Unit_Grades!$A$2:$A$7, 0))*INDEX(Unit_Paths!$C$2:$C$4, MATCH(E1478, Unit_Paths!$A$2:$A$4, 0)),1)</f>
        <v>300</v>
      </c>
      <c r="J1478" s="6" t="n">
        <f aca="false">ROUND(INDEX(Archetypes!$G$2:$G$127, MATCH(D1478, Archetypes!$A$2:$A$127, 0))*INDEX(Unit_Grades!$B$2:$B$7, MATCH(F1478, Unit_Grades!$A$2:$A$7, 0))*INDEX(Unit_Paths!$D$2:$D$4, MATCH(E1478, Unit_Paths!$A$2:$A$4, 0)),0)</f>
        <v>1600</v>
      </c>
      <c r="K1478" s="6" t="n">
        <f aca="false">ROUND(INDEX(Archetypes!$H$2:$H$127, MATCH(D1478, Archetypes!$A$2:$A$127, 0))*INDEX(Unit_Paths!$E$2:$E$4, MATCH(E1478, Unit_Paths!$A$2:$A$4, 0)),1)</f>
        <v>60</v>
      </c>
      <c r="L1478" s="6" t="n">
        <f aca="false">ROUND(INDEX(Archetypes!$I$2:$I$127, MATCH(D1478, Archetypes!$A$2:$A$127, 0))*INDEX(Unit_Grades!$C$2:$C$7, MATCH(F1478, Unit_Grades!$A$2:$A$7, 0)),1)</f>
        <v>60</v>
      </c>
      <c r="M1478" s="6" t="n">
        <f aca="false">ROUND(INDEX(Archetypes!$J$2:$J$127, MATCH(D1478, Archetypes!$A$2:$A$127, 0))*INDEX(Unit_Grades!$D$2:$D$7, MATCH(F1478, Unit_Grades!$A$2:$A$7, 0)),1)</f>
        <v>24.4</v>
      </c>
      <c r="N1478" s="6" t="n">
        <f aca="false">ROUND(M1478/24,2)</f>
        <v>1.02</v>
      </c>
    </row>
    <row r="1479" customFormat="false" ht="15" hidden="false" customHeight="true" outlineLevel="0" collapsed="false">
      <c r="A1479" s="6" t="n">
        <v>5</v>
      </c>
      <c r="B1479" s="6" t="s">
        <v>2964</v>
      </c>
      <c r="C1479" s="6" t="s">
        <v>1440</v>
      </c>
      <c r="D1479" s="6" t="str">
        <f aca="false">A1479&amp;"|"&amp;C1479</f>
        <v>5|Battlecruiser</v>
      </c>
      <c r="E1479" s="6" t="s">
        <v>1556</v>
      </c>
      <c r="F1479" s="6" t="s">
        <v>1540</v>
      </c>
      <c r="G1479" s="6" t="str">
        <f aca="false">INDEX(Archetypes!$D$2:$D$127, MATCH(D1479, Archetypes!$A$2:$A$127, 0))</f>
        <v>Capital</v>
      </c>
      <c r="H1479" s="6" t="n">
        <f aca="false">ROUND(INDEX(Archetypes!$E$2:$E$127, MATCH(D1479, Archetypes!$A$2:$A$127, 0))*INDEX(Unit_Grades!$B$2:$B$7, MATCH(F1479, Unit_Grades!$A$2:$A$7, 0))*INDEX(Unit_Paths!$B$2:$B$4, MATCH(E1479, Unit_Paths!$A$2:$A$4, 0)),1)</f>
        <v>648</v>
      </c>
      <c r="I1479" s="6" t="n">
        <f aca="false">ROUND(INDEX(Archetypes!$F$2:$F$127, MATCH(D1479, Archetypes!$A$2:$A$127, 0))*INDEX(Unit_Grades!$B$2:$B$7, MATCH(F1479, Unit_Grades!$A$2:$A$7, 0))*INDEX(Unit_Paths!$C$2:$C$4, MATCH(E1479, Unit_Paths!$A$2:$A$4, 0)),1)</f>
        <v>405</v>
      </c>
      <c r="J1479" s="6" t="n">
        <f aca="false">ROUND(INDEX(Archetypes!$G$2:$G$127, MATCH(D1479, Archetypes!$A$2:$A$127, 0))*INDEX(Unit_Grades!$B$2:$B$7, MATCH(F1479, Unit_Grades!$A$2:$A$7, 0))*INDEX(Unit_Paths!$D$2:$D$4, MATCH(E1479, Unit_Paths!$A$2:$A$4, 0)),0)</f>
        <v>2160</v>
      </c>
      <c r="K1479" s="6" t="n">
        <f aca="false">ROUND(INDEX(Archetypes!$H$2:$H$127, MATCH(D1479, Archetypes!$A$2:$A$127, 0))*INDEX(Unit_Paths!$E$2:$E$4, MATCH(E1479, Unit_Paths!$A$2:$A$4, 0)),1)</f>
        <v>60</v>
      </c>
      <c r="L1479" s="6" t="n">
        <f aca="false">ROUND(INDEX(Archetypes!$I$2:$I$127, MATCH(D1479, Archetypes!$A$2:$A$127, 0))*INDEX(Unit_Grades!$C$2:$C$7, MATCH(F1479, Unit_Grades!$A$2:$A$7, 0)),1)</f>
        <v>75</v>
      </c>
      <c r="M1479" s="6" t="n">
        <f aca="false">ROUND(INDEX(Archetypes!$J$2:$J$127, MATCH(D1479, Archetypes!$A$2:$A$127, 0))*INDEX(Unit_Grades!$D$2:$D$7, MATCH(F1479, Unit_Grades!$A$2:$A$7, 0)),1)</f>
        <v>36.5</v>
      </c>
      <c r="N1479" s="6" t="n">
        <f aca="false">ROUND(M1479/24,2)</f>
        <v>1.52</v>
      </c>
    </row>
    <row r="1480" customFormat="false" ht="15" hidden="false" customHeight="true" outlineLevel="0" collapsed="false">
      <c r="A1480" s="6" t="n">
        <v>5</v>
      </c>
      <c r="B1480" s="6" t="s">
        <v>2965</v>
      </c>
      <c r="C1480" s="6" t="s">
        <v>1440</v>
      </c>
      <c r="D1480" s="6" t="str">
        <f aca="false">A1480&amp;"|"&amp;C1480</f>
        <v>5|Battlecruiser</v>
      </c>
      <c r="E1480" s="6" t="s">
        <v>1556</v>
      </c>
      <c r="F1480" s="6" t="s">
        <v>1542</v>
      </c>
      <c r="G1480" s="6" t="str">
        <f aca="false">INDEX(Archetypes!$D$2:$D$127, MATCH(D1480, Archetypes!$A$2:$A$127, 0))</f>
        <v>Capital</v>
      </c>
      <c r="H1480" s="6" t="n">
        <f aca="false">ROUND(INDEX(Archetypes!$E$2:$E$127, MATCH(D1480, Archetypes!$A$2:$A$127, 0))*INDEX(Unit_Grades!$B$2:$B$7, MATCH(F1480, Unit_Grades!$A$2:$A$7, 0))*INDEX(Unit_Paths!$B$2:$B$4, MATCH(E1480, Unit_Paths!$A$2:$A$4, 0)),1)</f>
        <v>864</v>
      </c>
      <c r="I1480" s="6" t="n">
        <f aca="false">ROUND(INDEX(Archetypes!$F$2:$F$127, MATCH(D1480, Archetypes!$A$2:$A$127, 0))*INDEX(Unit_Grades!$B$2:$B$7, MATCH(F1480, Unit_Grades!$A$2:$A$7, 0))*INDEX(Unit_Paths!$C$2:$C$4, MATCH(E1480, Unit_Paths!$A$2:$A$4, 0)),1)</f>
        <v>540</v>
      </c>
      <c r="J1480" s="6" t="n">
        <f aca="false">ROUND(INDEX(Archetypes!$G$2:$G$127, MATCH(D1480, Archetypes!$A$2:$A$127, 0))*INDEX(Unit_Grades!$B$2:$B$7, MATCH(F1480, Unit_Grades!$A$2:$A$7, 0))*INDEX(Unit_Paths!$D$2:$D$4, MATCH(E1480, Unit_Paths!$A$2:$A$4, 0)),0)</f>
        <v>2880</v>
      </c>
      <c r="K1480" s="6" t="n">
        <f aca="false">ROUND(INDEX(Archetypes!$H$2:$H$127, MATCH(D1480, Archetypes!$A$2:$A$127, 0))*INDEX(Unit_Paths!$E$2:$E$4, MATCH(E1480, Unit_Paths!$A$2:$A$4, 0)),1)</f>
        <v>60</v>
      </c>
      <c r="L1480" s="6" t="n">
        <f aca="false">ROUND(INDEX(Archetypes!$I$2:$I$127, MATCH(D1480, Archetypes!$A$2:$A$127, 0))*INDEX(Unit_Grades!$C$2:$C$7, MATCH(F1480, Unit_Grades!$A$2:$A$7, 0)),1)</f>
        <v>96</v>
      </c>
      <c r="M1480" s="6" t="n">
        <f aca="false">ROUND(INDEX(Archetypes!$J$2:$J$127, MATCH(D1480, Archetypes!$A$2:$A$127, 0))*INDEX(Unit_Grades!$D$2:$D$7, MATCH(F1480, Unit_Grades!$A$2:$A$7, 0)),1)</f>
        <v>60.9</v>
      </c>
      <c r="N1480" s="6" t="n">
        <f aca="false">ROUND(M1480/24,2)</f>
        <v>2.54</v>
      </c>
    </row>
    <row r="1481" customFormat="false" ht="15" hidden="false" customHeight="true" outlineLevel="0" collapsed="false">
      <c r="A1481" s="6" t="n">
        <v>5</v>
      </c>
      <c r="B1481" s="6" t="s">
        <v>2966</v>
      </c>
      <c r="C1481" s="6" t="s">
        <v>1440</v>
      </c>
      <c r="D1481" s="6" t="str">
        <f aca="false">A1481&amp;"|"&amp;C1481</f>
        <v>5|Battlecruiser</v>
      </c>
      <c r="E1481" s="6" t="s">
        <v>1556</v>
      </c>
      <c r="F1481" s="6" t="s">
        <v>1544</v>
      </c>
      <c r="G1481" s="6" t="str">
        <f aca="false">INDEX(Archetypes!$D$2:$D$127, MATCH(D1481, Archetypes!$A$2:$A$127, 0))</f>
        <v>Capital</v>
      </c>
      <c r="H1481" s="6" t="n">
        <f aca="false">ROUND(INDEX(Archetypes!$E$2:$E$127, MATCH(D1481, Archetypes!$A$2:$A$127, 0))*INDEX(Unit_Grades!$B$2:$B$7, MATCH(F1481, Unit_Grades!$A$2:$A$7, 0))*INDEX(Unit_Paths!$B$2:$B$4, MATCH(E1481, Unit_Paths!$A$2:$A$4, 0)),1)</f>
        <v>1152</v>
      </c>
      <c r="I1481" s="6" t="n">
        <f aca="false">ROUND(INDEX(Archetypes!$F$2:$F$127, MATCH(D1481, Archetypes!$A$2:$A$127, 0))*INDEX(Unit_Grades!$B$2:$B$7, MATCH(F1481, Unit_Grades!$A$2:$A$7, 0))*INDEX(Unit_Paths!$C$2:$C$4, MATCH(E1481, Unit_Paths!$A$2:$A$4, 0)),1)</f>
        <v>720</v>
      </c>
      <c r="J1481" s="6" t="n">
        <f aca="false">ROUND(INDEX(Archetypes!$G$2:$G$127, MATCH(D1481, Archetypes!$A$2:$A$127, 0))*INDEX(Unit_Grades!$B$2:$B$7, MATCH(F1481, Unit_Grades!$A$2:$A$7, 0))*INDEX(Unit_Paths!$D$2:$D$4, MATCH(E1481, Unit_Paths!$A$2:$A$4, 0)),0)</f>
        <v>3840</v>
      </c>
      <c r="K1481" s="6" t="n">
        <f aca="false">ROUND(INDEX(Archetypes!$H$2:$H$127, MATCH(D1481, Archetypes!$A$2:$A$127, 0))*INDEX(Unit_Paths!$E$2:$E$4, MATCH(E1481, Unit_Paths!$A$2:$A$4, 0)),1)</f>
        <v>60</v>
      </c>
      <c r="L1481" s="6" t="n">
        <f aca="false">ROUND(INDEX(Archetypes!$I$2:$I$127, MATCH(D1481, Archetypes!$A$2:$A$127, 0))*INDEX(Unit_Grades!$C$2:$C$7, MATCH(F1481, Unit_Grades!$A$2:$A$7, 0)),1)</f>
        <v>126</v>
      </c>
      <c r="M1481" s="6" t="n">
        <f aca="false">ROUND(INDEX(Archetypes!$J$2:$J$127, MATCH(D1481, Archetypes!$A$2:$A$127, 0))*INDEX(Unit_Grades!$D$2:$D$7, MATCH(F1481, Unit_Grades!$A$2:$A$7, 0)),1)</f>
        <v>97.4</v>
      </c>
      <c r="N1481" s="6" t="n">
        <f aca="false">ROUND(M1481/24,2)</f>
        <v>4.06</v>
      </c>
    </row>
    <row r="1482" customFormat="false" ht="15" hidden="false" customHeight="true" outlineLevel="0" collapsed="false">
      <c r="A1482" s="6" t="n">
        <v>5</v>
      </c>
      <c r="B1482" s="6" t="s">
        <v>2967</v>
      </c>
      <c r="C1482" s="6" t="s">
        <v>1440</v>
      </c>
      <c r="D1482" s="6" t="str">
        <f aca="false">A1482&amp;"|"&amp;C1482</f>
        <v>5|Battlecruiser</v>
      </c>
      <c r="E1482" s="6" t="s">
        <v>1556</v>
      </c>
      <c r="F1482" s="6" t="s">
        <v>1546</v>
      </c>
      <c r="G1482" s="6" t="str">
        <f aca="false">INDEX(Archetypes!$D$2:$D$127, MATCH(D1482, Archetypes!$A$2:$A$127, 0))</f>
        <v>Capital</v>
      </c>
      <c r="H1482" s="6" t="n">
        <f aca="false">ROUND(INDEX(Archetypes!$E$2:$E$127, MATCH(D1482, Archetypes!$A$2:$A$127, 0))*INDEX(Unit_Grades!$B$2:$B$7, MATCH(F1482, Unit_Grades!$A$2:$A$7, 0))*INDEX(Unit_Paths!$B$2:$B$4, MATCH(E1482, Unit_Paths!$A$2:$A$4, 0)),1)</f>
        <v>1536</v>
      </c>
      <c r="I1482" s="6" t="n">
        <f aca="false">ROUND(INDEX(Archetypes!$F$2:$F$127, MATCH(D1482, Archetypes!$A$2:$A$127, 0))*INDEX(Unit_Grades!$B$2:$B$7, MATCH(F1482, Unit_Grades!$A$2:$A$7, 0))*INDEX(Unit_Paths!$C$2:$C$4, MATCH(E1482, Unit_Paths!$A$2:$A$4, 0)),1)</f>
        <v>960</v>
      </c>
      <c r="J1482" s="6" t="n">
        <f aca="false">ROUND(INDEX(Archetypes!$G$2:$G$127, MATCH(D1482, Archetypes!$A$2:$A$127, 0))*INDEX(Unit_Grades!$B$2:$B$7, MATCH(F1482, Unit_Grades!$A$2:$A$7, 0))*INDEX(Unit_Paths!$D$2:$D$4, MATCH(E1482, Unit_Paths!$A$2:$A$4, 0)),0)</f>
        <v>5120</v>
      </c>
      <c r="K1482" s="6" t="n">
        <f aca="false">ROUND(INDEX(Archetypes!$H$2:$H$127, MATCH(D1482, Archetypes!$A$2:$A$127, 0))*INDEX(Unit_Paths!$E$2:$E$4, MATCH(E1482, Unit_Paths!$A$2:$A$4, 0)),1)</f>
        <v>60</v>
      </c>
      <c r="L1482" s="6" t="n">
        <f aca="false">ROUND(INDEX(Archetypes!$I$2:$I$127, MATCH(D1482, Archetypes!$A$2:$A$127, 0))*INDEX(Unit_Grades!$C$2:$C$7, MATCH(F1482, Unit_Grades!$A$2:$A$7, 0)),1)</f>
        <v>168</v>
      </c>
      <c r="M1482" s="6" t="n">
        <f aca="false">ROUND(INDEX(Archetypes!$J$2:$J$127, MATCH(D1482, Archetypes!$A$2:$A$127, 0))*INDEX(Unit_Grades!$D$2:$D$7, MATCH(F1482, Unit_Grades!$A$2:$A$7, 0)),1)</f>
        <v>170.5</v>
      </c>
      <c r="N1482" s="6" t="n">
        <f aca="false">ROUND(M1482/24,2)</f>
        <v>7.1</v>
      </c>
    </row>
    <row r="1483" customFormat="false" ht="15" hidden="false" customHeight="true" outlineLevel="0" collapsed="false">
      <c r="A1483" s="6" t="n">
        <v>5</v>
      </c>
      <c r="B1483" s="6" t="s">
        <v>2968</v>
      </c>
      <c r="C1483" s="6" t="s">
        <v>1440</v>
      </c>
      <c r="D1483" s="6" t="str">
        <f aca="false">A1483&amp;"|"&amp;C1483</f>
        <v>5|Battlecruiser</v>
      </c>
      <c r="E1483" s="6" t="s">
        <v>1556</v>
      </c>
      <c r="F1483" s="6" t="s">
        <v>1548</v>
      </c>
      <c r="G1483" s="6" t="str">
        <f aca="false">INDEX(Archetypes!$D$2:$D$127, MATCH(D1483, Archetypes!$A$2:$A$127, 0))</f>
        <v>Capital</v>
      </c>
      <c r="H1483" s="6" t="n">
        <f aca="false">ROUND(INDEX(Archetypes!$E$2:$E$127, MATCH(D1483, Archetypes!$A$2:$A$127, 0))*INDEX(Unit_Grades!$B$2:$B$7, MATCH(F1483, Unit_Grades!$A$2:$A$7, 0))*INDEX(Unit_Paths!$B$2:$B$4, MATCH(E1483, Unit_Paths!$A$2:$A$4, 0)),1)</f>
        <v>2016</v>
      </c>
      <c r="I1483" s="6" t="n">
        <f aca="false">ROUND(INDEX(Archetypes!$F$2:$F$127, MATCH(D1483, Archetypes!$A$2:$A$127, 0))*INDEX(Unit_Grades!$B$2:$B$7, MATCH(F1483, Unit_Grades!$A$2:$A$7, 0))*INDEX(Unit_Paths!$C$2:$C$4, MATCH(E1483, Unit_Paths!$A$2:$A$4, 0)),1)</f>
        <v>1260</v>
      </c>
      <c r="J1483" s="6" t="n">
        <f aca="false">ROUND(INDEX(Archetypes!$G$2:$G$127, MATCH(D1483, Archetypes!$A$2:$A$127, 0))*INDEX(Unit_Grades!$B$2:$B$7, MATCH(F1483, Unit_Grades!$A$2:$A$7, 0))*INDEX(Unit_Paths!$D$2:$D$4, MATCH(E1483, Unit_Paths!$A$2:$A$4, 0)),0)</f>
        <v>6720</v>
      </c>
      <c r="K1483" s="6" t="n">
        <f aca="false">ROUND(INDEX(Archetypes!$H$2:$H$127, MATCH(D1483, Archetypes!$A$2:$A$127, 0))*INDEX(Unit_Paths!$E$2:$E$4, MATCH(E1483, Unit_Paths!$A$2:$A$4, 0)),1)</f>
        <v>60</v>
      </c>
      <c r="L1483" s="6" t="n">
        <f aca="false">ROUND(INDEX(Archetypes!$I$2:$I$127, MATCH(D1483, Archetypes!$A$2:$A$127, 0))*INDEX(Unit_Grades!$C$2:$C$7, MATCH(F1483, Unit_Grades!$A$2:$A$7, 0)),1)</f>
        <v>222</v>
      </c>
      <c r="M1483" s="6" t="n">
        <f aca="false">ROUND(INDEX(Archetypes!$J$2:$J$127, MATCH(D1483, Archetypes!$A$2:$A$127, 0))*INDEX(Unit_Grades!$D$2:$D$7, MATCH(F1483, Unit_Grades!$A$2:$A$7, 0)),1)</f>
        <v>292.2</v>
      </c>
      <c r="N1483" s="6" t="n">
        <f aca="false">ROUND(M1483/24,2)</f>
        <v>12.18</v>
      </c>
    </row>
    <row r="1484" customFormat="false" ht="15" hidden="false" customHeight="true" outlineLevel="0" collapsed="false">
      <c r="A1484" s="6" t="n">
        <v>5</v>
      </c>
      <c r="B1484" s="6" t="s">
        <v>2969</v>
      </c>
      <c r="C1484" s="6" t="s">
        <v>1440</v>
      </c>
      <c r="D1484" s="6" t="str">
        <f aca="false">A1484&amp;"|"&amp;C1484</f>
        <v>5|Battlecruiser</v>
      </c>
      <c r="E1484" s="6" t="s">
        <v>1558</v>
      </c>
      <c r="F1484" s="6" t="s">
        <v>1538</v>
      </c>
      <c r="G1484" s="6" t="str">
        <f aca="false">INDEX(Archetypes!$D$2:$D$127, MATCH(D1484, Archetypes!$A$2:$A$127, 0))</f>
        <v>Capital</v>
      </c>
      <c r="H1484" s="6" t="n">
        <f aca="false">ROUND(INDEX(Archetypes!$E$2:$E$127, MATCH(D1484, Archetypes!$A$2:$A$127, 0))*INDEX(Unit_Grades!$B$2:$B$7, MATCH(F1484, Unit_Grades!$A$2:$A$7, 0))*INDEX(Unit_Paths!$B$2:$B$4, MATCH(E1484, Unit_Paths!$A$2:$A$4, 0)),1)</f>
        <v>576</v>
      </c>
      <c r="I1484" s="6" t="n">
        <f aca="false">ROUND(INDEX(Archetypes!$F$2:$F$127, MATCH(D1484, Archetypes!$A$2:$A$127, 0))*INDEX(Unit_Grades!$B$2:$B$7, MATCH(F1484, Unit_Grades!$A$2:$A$7, 0))*INDEX(Unit_Paths!$C$2:$C$4, MATCH(E1484, Unit_Paths!$A$2:$A$4, 0)),1)</f>
        <v>255</v>
      </c>
      <c r="J1484" s="6" t="n">
        <f aca="false">ROUND(INDEX(Archetypes!$G$2:$G$127, MATCH(D1484, Archetypes!$A$2:$A$127, 0))*INDEX(Unit_Grades!$B$2:$B$7, MATCH(F1484, Unit_Grades!$A$2:$A$7, 0))*INDEX(Unit_Paths!$D$2:$D$4, MATCH(E1484, Unit_Paths!$A$2:$A$4, 0)),0)</f>
        <v>1520</v>
      </c>
      <c r="K1484" s="6" t="n">
        <f aca="false">ROUND(INDEX(Archetypes!$H$2:$H$127, MATCH(D1484, Archetypes!$A$2:$A$127, 0))*INDEX(Unit_Paths!$E$2:$E$4, MATCH(E1484, Unit_Paths!$A$2:$A$4, 0)),1)</f>
        <v>63</v>
      </c>
      <c r="L1484" s="6" t="n">
        <f aca="false">ROUND(INDEX(Archetypes!$I$2:$I$127, MATCH(D1484, Archetypes!$A$2:$A$127, 0))*INDEX(Unit_Grades!$C$2:$C$7, MATCH(F1484, Unit_Grades!$A$2:$A$7, 0)),1)</f>
        <v>60</v>
      </c>
      <c r="M1484" s="6" t="n">
        <f aca="false">ROUND(INDEX(Archetypes!$J$2:$J$127, MATCH(D1484, Archetypes!$A$2:$A$127, 0))*INDEX(Unit_Grades!$D$2:$D$7, MATCH(F1484, Unit_Grades!$A$2:$A$7, 0)),1)</f>
        <v>24.4</v>
      </c>
      <c r="N1484" s="6" t="n">
        <f aca="false">ROUND(M1484/24,2)</f>
        <v>1.02</v>
      </c>
    </row>
    <row r="1485" customFormat="false" ht="15" hidden="false" customHeight="true" outlineLevel="0" collapsed="false">
      <c r="A1485" s="6" t="n">
        <v>5</v>
      </c>
      <c r="B1485" s="6" t="s">
        <v>2970</v>
      </c>
      <c r="C1485" s="6" t="s">
        <v>1440</v>
      </c>
      <c r="D1485" s="6" t="str">
        <f aca="false">A1485&amp;"|"&amp;C1485</f>
        <v>5|Battlecruiser</v>
      </c>
      <c r="E1485" s="6" t="s">
        <v>1558</v>
      </c>
      <c r="F1485" s="6" t="s">
        <v>1540</v>
      </c>
      <c r="G1485" s="6" t="str">
        <f aca="false">INDEX(Archetypes!$D$2:$D$127, MATCH(D1485, Archetypes!$A$2:$A$127, 0))</f>
        <v>Capital</v>
      </c>
      <c r="H1485" s="6" t="n">
        <f aca="false">ROUND(INDEX(Archetypes!$E$2:$E$127, MATCH(D1485, Archetypes!$A$2:$A$127, 0))*INDEX(Unit_Grades!$B$2:$B$7, MATCH(F1485, Unit_Grades!$A$2:$A$7, 0))*INDEX(Unit_Paths!$B$2:$B$4, MATCH(E1485, Unit_Paths!$A$2:$A$4, 0)),1)</f>
        <v>777.6</v>
      </c>
      <c r="I1485" s="6" t="n">
        <f aca="false">ROUND(INDEX(Archetypes!$F$2:$F$127, MATCH(D1485, Archetypes!$A$2:$A$127, 0))*INDEX(Unit_Grades!$B$2:$B$7, MATCH(F1485, Unit_Grades!$A$2:$A$7, 0))*INDEX(Unit_Paths!$C$2:$C$4, MATCH(E1485, Unit_Paths!$A$2:$A$4, 0)),1)</f>
        <v>344.3</v>
      </c>
      <c r="J1485" s="6" t="n">
        <f aca="false">ROUND(INDEX(Archetypes!$G$2:$G$127, MATCH(D1485, Archetypes!$A$2:$A$127, 0))*INDEX(Unit_Grades!$B$2:$B$7, MATCH(F1485, Unit_Grades!$A$2:$A$7, 0))*INDEX(Unit_Paths!$D$2:$D$4, MATCH(E1485, Unit_Paths!$A$2:$A$4, 0)),0)</f>
        <v>2052</v>
      </c>
      <c r="K1485" s="6" t="n">
        <f aca="false">ROUND(INDEX(Archetypes!$H$2:$H$127, MATCH(D1485, Archetypes!$A$2:$A$127, 0))*INDEX(Unit_Paths!$E$2:$E$4, MATCH(E1485, Unit_Paths!$A$2:$A$4, 0)),1)</f>
        <v>63</v>
      </c>
      <c r="L1485" s="6" t="n">
        <f aca="false">ROUND(INDEX(Archetypes!$I$2:$I$127, MATCH(D1485, Archetypes!$A$2:$A$127, 0))*INDEX(Unit_Grades!$C$2:$C$7, MATCH(F1485, Unit_Grades!$A$2:$A$7, 0)),1)</f>
        <v>75</v>
      </c>
      <c r="M1485" s="6" t="n">
        <f aca="false">ROUND(INDEX(Archetypes!$J$2:$J$127, MATCH(D1485, Archetypes!$A$2:$A$127, 0))*INDEX(Unit_Grades!$D$2:$D$7, MATCH(F1485, Unit_Grades!$A$2:$A$7, 0)),1)</f>
        <v>36.5</v>
      </c>
      <c r="N1485" s="6" t="n">
        <f aca="false">ROUND(M1485/24,2)</f>
        <v>1.52</v>
      </c>
    </row>
    <row r="1486" customFormat="false" ht="15" hidden="false" customHeight="true" outlineLevel="0" collapsed="false">
      <c r="A1486" s="6" t="n">
        <v>5</v>
      </c>
      <c r="B1486" s="6" t="s">
        <v>2971</v>
      </c>
      <c r="C1486" s="6" t="s">
        <v>1440</v>
      </c>
      <c r="D1486" s="6" t="str">
        <f aca="false">A1486&amp;"|"&amp;C1486</f>
        <v>5|Battlecruiser</v>
      </c>
      <c r="E1486" s="6" t="s">
        <v>1558</v>
      </c>
      <c r="F1486" s="6" t="s">
        <v>1542</v>
      </c>
      <c r="G1486" s="6" t="str">
        <f aca="false">INDEX(Archetypes!$D$2:$D$127, MATCH(D1486, Archetypes!$A$2:$A$127, 0))</f>
        <v>Capital</v>
      </c>
      <c r="H1486" s="6" t="n">
        <f aca="false">ROUND(INDEX(Archetypes!$E$2:$E$127, MATCH(D1486, Archetypes!$A$2:$A$127, 0))*INDEX(Unit_Grades!$B$2:$B$7, MATCH(F1486, Unit_Grades!$A$2:$A$7, 0))*INDEX(Unit_Paths!$B$2:$B$4, MATCH(E1486, Unit_Paths!$A$2:$A$4, 0)),1)</f>
        <v>1036.8</v>
      </c>
      <c r="I1486" s="6" t="n">
        <f aca="false">ROUND(INDEX(Archetypes!$F$2:$F$127, MATCH(D1486, Archetypes!$A$2:$A$127, 0))*INDEX(Unit_Grades!$B$2:$B$7, MATCH(F1486, Unit_Grades!$A$2:$A$7, 0))*INDEX(Unit_Paths!$C$2:$C$4, MATCH(E1486, Unit_Paths!$A$2:$A$4, 0)),1)</f>
        <v>459</v>
      </c>
      <c r="J1486" s="6" t="n">
        <f aca="false">ROUND(INDEX(Archetypes!$G$2:$G$127, MATCH(D1486, Archetypes!$A$2:$A$127, 0))*INDEX(Unit_Grades!$B$2:$B$7, MATCH(F1486, Unit_Grades!$A$2:$A$7, 0))*INDEX(Unit_Paths!$D$2:$D$4, MATCH(E1486, Unit_Paths!$A$2:$A$4, 0)),0)</f>
        <v>2736</v>
      </c>
      <c r="K1486" s="6" t="n">
        <f aca="false">ROUND(INDEX(Archetypes!$H$2:$H$127, MATCH(D1486, Archetypes!$A$2:$A$127, 0))*INDEX(Unit_Paths!$E$2:$E$4, MATCH(E1486, Unit_Paths!$A$2:$A$4, 0)),1)</f>
        <v>63</v>
      </c>
      <c r="L1486" s="6" t="n">
        <f aca="false">ROUND(INDEX(Archetypes!$I$2:$I$127, MATCH(D1486, Archetypes!$A$2:$A$127, 0))*INDEX(Unit_Grades!$C$2:$C$7, MATCH(F1486, Unit_Grades!$A$2:$A$7, 0)),1)</f>
        <v>96</v>
      </c>
      <c r="M1486" s="6" t="n">
        <f aca="false">ROUND(INDEX(Archetypes!$J$2:$J$127, MATCH(D1486, Archetypes!$A$2:$A$127, 0))*INDEX(Unit_Grades!$D$2:$D$7, MATCH(F1486, Unit_Grades!$A$2:$A$7, 0)),1)</f>
        <v>60.9</v>
      </c>
      <c r="N1486" s="6" t="n">
        <f aca="false">ROUND(M1486/24,2)</f>
        <v>2.54</v>
      </c>
    </row>
    <row r="1487" customFormat="false" ht="15" hidden="false" customHeight="true" outlineLevel="0" collapsed="false">
      <c r="A1487" s="6" t="n">
        <v>5</v>
      </c>
      <c r="B1487" s="6" t="s">
        <v>2972</v>
      </c>
      <c r="C1487" s="6" t="s">
        <v>1440</v>
      </c>
      <c r="D1487" s="6" t="str">
        <f aca="false">A1487&amp;"|"&amp;C1487</f>
        <v>5|Battlecruiser</v>
      </c>
      <c r="E1487" s="6" t="s">
        <v>1558</v>
      </c>
      <c r="F1487" s="6" t="s">
        <v>1544</v>
      </c>
      <c r="G1487" s="6" t="str">
        <f aca="false">INDEX(Archetypes!$D$2:$D$127, MATCH(D1487, Archetypes!$A$2:$A$127, 0))</f>
        <v>Capital</v>
      </c>
      <c r="H1487" s="6" t="n">
        <f aca="false">ROUND(INDEX(Archetypes!$E$2:$E$127, MATCH(D1487, Archetypes!$A$2:$A$127, 0))*INDEX(Unit_Grades!$B$2:$B$7, MATCH(F1487, Unit_Grades!$A$2:$A$7, 0))*INDEX(Unit_Paths!$B$2:$B$4, MATCH(E1487, Unit_Paths!$A$2:$A$4, 0)),1)</f>
        <v>1382.4</v>
      </c>
      <c r="I1487" s="6" t="n">
        <f aca="false">ROUND(INDEX(Archetypes!$F$2:$F$127, MATCH(D1487, Archetypes!$A$2:$A$127, 0))*INDEX(Unit_Grades!$B$2:$B$7, MATCH(F1487, Unit_Grades!$A$2:$A$7, 0))*INDEX(Unit_Paths!$C$2:$C$4, MATCH(E1487, Unit_Paths!$A$2:$A$4, 0)),1)</f>
        <v>612</v>
      </c>
      <c r="J1487" s="6" t="n">
        <f aca="false">ROUND(INDEX(Archetypes!$G$2:$G$127, MATCH(D1487, Archetypes!$A$2:$A$127, 0))*INDEX(Unit_Grades!$B$2:$B$7, MATCH(F1487, Unit_Grades!$A$2:$A$7, 0))*INDEX(Unit_Paths!$D$2:$D$4, MATCH(E1487, Unit_Paths!$A$2:$A$4, 0)),0)</f>
        <v>3648</v>
      </c>
      <c r="K1487" s="6" t="n">
        <f aca="false">ROUND(INDEX(Archetypes!$H$2:$H$127, MATCH(D1487, Archetypes!$A$2:$A$127, 0))*INDEX(Unit_Paths!$E$2:$E$4, MATCH(E1487, Unit_Paths!$A$2:$A$4, 0)),1)</f>
        <v>63</v>
      </c>
      <c r="L1487" s="6" t="n">
        <f aca="false">ROUND(INDEX(Archetypes!$I$2:$I$127, MATCH(D1487, Archetypes!$A$2:$A$127, 0))*INDEX(Unit_Grades!$C$2:$C$7, MATCH(F1487, Unit_Grades!$A$2:$A$7, 0)),1)</f>
        <v>126</v>
      </c>
      <c r="M1487" s="6" t="n">
        <f aca="false">ROUND(INDEX(Archetypes!$J$2:$J$127, MATCH(D1487, Archetypes!$A$2:$A$127, 0))*INDEX(Unit_Grades!$D$2:$D$7, MATCH(F1487, Unit_Grades!$A$2:$A$7, 0)),1)</f>
        <v>97.4</v>
      </c>
      <c r="N1487" s="6" t="n">
        <f aca="false">ROUND(M1487/24,2)</f>
        <v>4.06</v>
      </c>
    </row>
    <row r="1488" customFormat="false" ht="15" hidden="false" customHeight="true" outlineLevel="0" collapsed="false">
      <c r="A1488" s="6" t="n">
        <v>5</v>
      </c>
      <c r="B1488" s="6" t="s">
        <v>2973</v>
      </c>
      <c r="C1488" s="6" t="s">
        <v>1440</v>
      </c>
      <c r="D1488" s="6" t="str">
        <f aca="false">A1488&amp;"|"&amp;C1488</f>
        <v>5|Battlecruiser</v>
      </c>
      <c r="E1488" s="6" t="s">
        <v>1558</v>
      </c>
      <c r="F1488" s="6" t="s">
        <v>1546</v>
      </c>
      <c r="G1488" s="6" t="str">
        <f aca="false">INDEX(Archetypes!$D$2:$D$127, MATCH(D1488, Archetypes!$A$2:$A$127, 0))</f>
        <v>Capital</v>
      </c>
      <c r="H1488" s="6" t="n">
        <f aca="false">ROUND(INDEX(Archetypes!$E$2:$E$127, MATCH(D1488, Archetypes!$A$2:$A$127, 0))*INDEX(Unit_Grades!$B$2:$B$7, MATCH(F1488, Unit_Grades!$A$2:$A$7, 0))*INDEX(Unit_Paths!$B$2:$B$4, MATCH(E1488, Unit_Paths!$A$2:$A$4, 0)),1)</f>
        <v>1843.2</v>
      </c>
      <c r="I1488" s="6" t="n">
        <f aca="false">ROUND(INDEX(Archetypes!$F$2:$F$127, MATCH(D1488, Archetypes!$A$2:$A$127, 0))*INDEX(Unit_Grades!$B$2:$B$7, MATCH(F1488, Unit_Grades!$A$2:$A$7, 0))*INDEX(Unit_Paths!$C$2:$C$4, MATCH(E1488, Unit_Paths!$A$2:$A$4, 0)),1)</f>
        <v>816</v>
      </c>
      <c r="J1488" s="6" t="n">
        <f aca="false">ROUND(INDEX(Archetypes!$G$2:$G$127, MATCH(D1488, Archetypes!$A$2:$A$127, 0))*INDEX(Unit_Grades!$B$2:$B$7, MATCH(F1488, Unit_Grades!$A$2:$A$7, 0))*INDEX(Unit_Paths!$D$2:$D$4, MATCH(E1488, Unit_Paths!$A$2:$A$4, 0)),0)</f>
        <v>4864</v>
      </c>
      <c r="K1488" s="6" t="n">
        <f aca="false">ROUND(INDEX(Archetypes!$H$2:$H$127, MATCH(D1488, Archetypes!$A$2:$A$127, 0))*INDEX(Unit_Paths!$E$2:$E$4, MATCH(E1488, Unit_Paths!$A$2:$A$4, 0)),1)</f>
        <v>63</v>
      </c>
      <c r="L1488" s="6" t="n">
        <f aca="false">ROUND(INDEX(Archetypes!$I$2:$I$127, MATCH(D1488, Archetypes!$A$2:$A$127, 0))*INDEX(Unit_Grades!$C$2:$C$7, MATCH(F1488, Unit_Grades!$A$2:$A$7, 0)),1)</f>
        <v>168</v>
      </c>
      <c r="M1488" s="6" t="n">
        <f aca="false">ROUND(INDEX(Archetypes!$J$2:$J$127, MATCH(D1488, Archetypes!$A$2:$A$127, 0))*INDEX(Unit_Grades!$D$2:$D$7, MATCH(F1488, Unit_Grades!$A$2:$A$7, 0)),1)</f>
        <v>170.5</v>
      </c>
      <c r="N1488" s="6" t="n">
        <f aca="false">ROUND(M1488/24,2)</f>
        <v>7.1</v>
      </c>
    </row>
    <row r="1489" customFormat="false" ht="15" hidden="false" customHeight="true" outlineLevel="0" collapsed="false">
      <c r="A1489" s="6" t="n">
        <v>5</v>
      </c>
      <c r="B1489" s="6" t="s">
        <v>2974</v>
      </c>
      <c r="C1489" s="6" t="s">
        <v>1440</v>
      </c>
      <c r="D1489" s="6" t="str">
        <f aca="false">A1489&amp;"|"&amp;C1489</f>
        <v>5|Battlecruiser</v>
      </c>
      <c r="E1489" s="6" t="s">
        <v>1558</v>
      </c>
      <c r="F1489" s="6" t="s">
        <v>1548</v>
      </c>
      <c r="G1489" s="6" t="str">
        <f aca="false">INDEX(Archetypes!$D$2:$D$127, MATCH(D1489, Archetypes!$A$2:$A$127, 0))</f>
        <v>Capital</v>
      </c>
      <c r="H1489" s="6" t="n">
        <f aca="false">ROUND(INDEX(Archetypes!$E$2:$E$127, MATCH(D1489, Archetypes!$A$2:$A$127, 0))*INDEX(Unit_Grades!$B$2:$B$7, MATCH(F1489, Unit_Grades!$A$2:$A$7, 0))*INDEX(Unit_Paths!$B$2:$B$4, MATCH(E1489, Unit_Paths!$A$2:$A$4, 0)),1)</f>
        <v>2419.2</v>
      </c>
      <c r="I1489" s="6" t="n">
        <f aca="false">ROUND(INDEX(Archetypes!$F$2:$F$127, MATCH(D1489, Archetypes!$A$2:$A$127, 0))*INDEX(Unit_Grades!$B$2:$B$7, MATCH(F1489, Unit_Grades!$A$2:$A$7, 0))*INDEX(Unit_Paths!$C$2:$C$4, MATCH(E1489, Unit_Paths!$A$2:$A$4, 0)),1)</f>
        <v>1071</v>
      </c>
      <c r="J1489" s="6" t="n">
        <f aca="false">ROUND(INDEX(Archetypes!$G$2:$G$127, MATCH(D1489, Archetypes!$A$2:$A$127, 0))*INDEX(Unit_Grades!$B$2:$B$7, MATCH(F1489, Unit_Grades!$A$2:$A$7, 0))*INDEX(Unit_Paths!$D$2:$D$4, MATCH(E1489, Unit_Paths!$A$2:$A$4, 0)),0)</f>
        <v>6384</v>
      </c>
      <c r="K1489" s="6" t="n">
        <f aca="false">ROUND(INDEX(Archetypes!$H$2:$H$127, MATCH(D1489, Archetypes!$A$2:$A$127, 0))*INDEX(Unit_Paths!$E$2:$E$4, MATCH(E1489, Unit_Paths!$A$2:$A$4, 0)),1)</f>
        <v>63</v>
      </c>
      <c r="L1489" s="6" t="n">
        <f aca="false">ROUND(INDEX(Archetypes!$I$2:$I$127, MATCH(D1489, Archetypes!$A$2:$A$127, 0))*INDEX(Unit_Grades!$C$2:$C$7, MATCH(F1489, Unit_Grades!$A$2:$A$7, 0)),1)</f>
        <v>222</v>
      </c>
      <c r="M1489" s="6" t="n">
        <f aca="false">ROUND(INDEX(Archetypes!$J$2:$J$127, MATCH(D1489, Archetypes!$A$2:$A$127, 0))*INDEX(Unit_Grades!$D$2:$D$7, MATCH(F1489, Unit_Grades!$A$2:$A$7, 0)),1)</f>
        <v>292.2</v>
      </c>
      <c r="N1489" s="6" t="n">
        <f aca="false">ROUND(M1489/24,2)</f>
        <v>12.18</v>
      </c>
    </row>
    <row r="1490" customFormat="false" ht="15" hidden="false" customHeight="true" outlineLevel="0" collapsed="false">
      <c r="A1490" s="6" t="n">
        <v>5</v>
      </c>
      <c r="B1490" s="6" t="s">
        <v>2975</v>
      </c>
      <c r="C1490" s="6" t="s">
        <v>1440</v>
      </c>
      <c r="D1490" s="6" t="str">
        <f aca="false">A1490&amp;"|"&amp;C1490</f>
        <v>5|Battlecruiser</v>
      </c>
      <c r="E1490" s="6" t="s">
        <v>1560</v>
      </c>
      <c r="F1490" s="6" t="s">
        <v>1538</v>
      </c>
      <c r="G1490" s="6" t="str">
        <f aca="false">INDEX(Archetypes!$D$2:$D$127, MATCH(D1490, Archetypes!$A$2:$A$127, 0))</f>
        <v>Capital</v>
      </c>
      <c r="H1490" s="6" t="n">
        <f aca="false">ROUND(INDEX(Archetypes!$E$2:$E$127, MATCH(D1490, Archetypes!$A$2:$A$127, 0))*INDEX(Unit_Grades!$B$2:$B$7, MATCH(F1490, Unit_Grades!$A$2:$A$7, 0))*INDEX(Unit_Paths!$B$2:$B$4, MATCH(E1490, Unit_Paths!$A$2:$A$4, 0)),1)</f>
        <v>408</v>
      </c>
      <c r="I1490" s="6" t="n">
        <f aca="false">ROUND(INDEX(Archetypes!$F$2:$F$127, MATCH(D1490, Archetypes!$A$2:$A$127, 0))*INDEX(Unit_Grades!$B$2:$B$7, MATCH(F1490, Unit_Grades!$A$2:$A$7, 0))*INDEX(Unit_Paths!$C$2:$C$4, MATCH(E1490, Unit_Paths!$A$2:$A$4, 0)),1)</f>
        <v>375</v>
      </c>
      <c r="J1490" s="6" t="n">
        <f aca="false">ROUND(INDEX(Archetypes!$G$2:$G$127, MATCH(D1490, Archetypes!$A$2:$A$127, 0))*INDEX(Unit_Grades!$B$2:$B$7, MATCH(F1490, Unit_Grades!$A$2:$A$7, 0))*INDEX(Unit_Paths!$D$2:$D$4, MATCH(E1490, Unit_Paths!$A$2:$A$4, 0)),0)</f>
        <v>1840</v>
      </c>
      <c r="K1490" s="6" t="n">
        <f aca="false">ROUND(INDEX(Archetypes!$H$2:$H$127, MATCH(D1490, Archetypes!$A$2:$A$127, 0))*INDEX(Unit_Paths!$E$2:$E$4, MATCH(E1490, Unit_Paths!$A$2:$A$4, 0)),1)</f>
        <v>55.2</v>
      </c>
      <c r="L1490" s="6" t="n">
        <f aca="false">ROUND(INDEX(Archetypes!$I$2:$I$127, MATCH(D1490, Archetypes!$A$2:$A$127, 0))*INDEX(Unit_Grades!$C$2:$C$7, MATCH(F1490, Unit_Grades!$A$2:$A$7, 0)),1)</f>
        <v>60</v>
      </c>
      <c r="M1490" s="6" t="n">
        <f aca="false">ROUND(INDEX(Archetypes!$J$2:$J$127, MATCH(D1490, Archetypes!$A$2:$A$127, 0))*INDEX(Unit_Grades!$D$2:$D$7, MATCH(F1490, Unit_Grades!$A$2:$A$7, 0)),1)</f>
        <v>24.4</v>
      </c>
      <c r="N1490" s="6" t="n">
        <f aca="false">ROUND(M1490/24,2)</f>
        <v>1.02</v>
      </c>
    </row>
    <row r="1491" customFormat="false" ht="15" hidden="false" customHeight="true" outlineLevel="0" collapsed="false">
      <c r="A1491" s="6" t="n">
        <v>5</v>
      </c>
      <c r="B1491" s="6" t="s">
        <v>2976</v>
      </c>
      <c r="C1491" s="6" t="s">
        <v>1440</v>
      </c>
      <c r="D1491" s="6" t="str">
        <f aca="false">A1491&amp;"|"&amp;C1491</f>
        <v>5|Battlecruiser</v>
      </c>
      <c r="E1491" s="6" t="s">
        <v>1560</v>
      </c>
      <c r="F1491" s="6" t="s">
        <v>1540</v>
      </c>
      <c r="G1491" s="6" t="str">
        <f aca="false">INDEX(Archetypes!$D$2:$D$127, MATCH(D1491, Archetypes!$A$2:$A$127, 0))</f>
        <v>Capital</v>
      </c>
      <c r="H1491" s="6" t="n">
        <f aca="false">ROUND(INDEX(Archetypes!$E$2:$E$127, MATCH(D1491, Archetypes!$A$2:$A$127, 0))*INDEX(Unit_Grades!$B$2:$B$7, MATCH(F1491, Unit_Grades!$A$2:$A$7, 0))*INDEX(Unit_Paths!$B$2:$B$4, MATCH(E1491, Unit_Paths!$A$2:$A$4, 0)),1)</f>
        <v>550.8</v>
      </c>
      <c r="I1491" s="6" t="n">
        <f aca="false">ROUND(INDEX(Archetypes!$F$2:$F$127, MATCH(D1491, Archetypes!$A$2:$A$127, 0))*INDEX(Unit_Grades!$B$2:$B$7, MATCH(F1491, Unit_Grades!$A$2:$A$7, 0))*INDEX(Unit_Paths!$C$2:$C$4, MATCH(E1491, Unit_Paths!$A$2:$A$4, 0)),1)</f>
        <v>506.3</v>
      </c>
      <c r="J1491" s="6" t="n">
        <f aca="false">ROUND(INDEX(Archetypes!$G$2:$G$127, MATCH(D1491, Archetypes!$A$2:$A$127, 0))*INDEX(Unit_Grades!$B$2:$B$7, MATCH(F1491, Unit_Grades!$A$2:$A$7, 0))*INDEX(Unit_Paths!$D$2:$D$4, MATCH(E1491, Unit_Paths!$A$2:$A$4, 0)),0)</f>
        <v>2484</v>
      </c>
      <c r="K1491" s="6" t="n">
        <f aca="false">ROUND(INDEX(Archetypes!$H$2:$H$127, MATCH(D1491, Archetypes!$A$2:$A$127, 0))*INDEX(Unit_Paths!$E$2:$E$4, MATCH(E1491, Unit_Paths!$A$2:$A$4, 0)),1)</f>
        <v>55.2</v>
      </c>
      <c r="L1491" s="6" t="n">
        <f aca="false">ROUND(INDEX(Archetypes!$I$2:$I$127, MATCH(D1491, Archetypes!$A$2:$A$127, 0))*INDEX(Unit_Grades!$C$2:$C$7, MATCH(F1491, Unit_Grades!$A$2:$A$7, 0)),1)</f>
        <v>75</v>
      </c>
      <c r="M1491" s="6" t="n">
        <f aca="false">ROUND(INDEX(Archetypes!$J$2:$J$127, MATCH(D1491, Archetypes!$A$2:$A$127, 0))*INDEX(Unit_Grades!$D$2:$D$7, MATCH(F1491, Unit_Grades!$A$2:$A$7, 0)),1)</f>
        <v>36.5</v>
      </c>
      <c r="N1491" s="6" t="n">
        <f aca="false">ROUND(M1491/24,2)</f>
        <v>1.52</v>
      </c>
    </row>
    <row r="1492" customFormat="false" ht="15" hidden="false" customHeight="true" outlineLevel="0" collapsed="false">
      <c r="A1492" s="6" t="n">
        <v>5</v>
      </c>
      <c r="B1492" s="6" t="s">
        <v>2977</v>
      </c>
      <c r="C1492" s="6" t="s">
        <v>1440</v>
      </c>
      <c r="D1492" s="6" t="str">
        <f aca="false">A1492&amp;"|"&amp;C1492</f>
        <v>5|Battlecruiser</v>
      </c>
      <c r="E1492" s="6" t="s">
        <v>1560</v>
      </c>
      <c r="F1492" s="6" t="s">
        <v>1542</v>
      </c>
      <c r="G1492" s="6" t="str">
        <f aca="false">INDEX(Archetypes!$D$2:$D$127, MATCH(D1492, Archetypes!$A$2:$A$127, 0))</f>
        <v>Capital</v>
      </c>
      <c r="H1492" s="6" t="n">
        <f aca="false">ROUND(INDEX(Archetypes!$E$2:$E$127, MATCH(D1492, Archetypes!$A$2:$A$127, 0))*INDEX(Unit_Grades!$B$2:$B$7, MATCH(F1492, Unit_Grades!$A$2:$A$7, 0))*INDEX(Unit_Paths!$B$2:$B$4, MATCH(E1492, Unit_Paths!$A$2:$A$4, 0)),1)</f>
        <v>734.4</v>
      </c>
      <c r="I1492" s="6" t="n">
        <f aca="false">ROUND(INDEX(Archetypes!$F$2:$F$127, MATCH(D1492, Archetypes!$A$2:$A$127, 0))*INDEX(Unit_Grades!$B$2:$B$7, MATCH(F1492, Unit_Grades!$A$2:$A$7, 0))*INDEX(Unit_Paths!$C$2:$C$4, MATCH(E1492, Unit_Paths!$A$2:$A$4, 0)),1)</f>
        <v>675</v>
      </c>
      <c r="J1492" s="6" t="n">
        <f aca="false">ROUND(INDEX(Archetypes!$G$2:$G$127, MATCH(D1492, Archetypes!$A$2:$A$127, 0))*INDEX(Unit_Grades!$B$2:$B$7, MATCH(F1492, Unit_Grades!$A$2:$A$7, 0))*INDEX(Unit_Paths!$D$2:$D$4, MATCH(E1492, Unit_Paths!$A$2:$A$4, 0)),0)</f>
        <v>3312</v>
      </c>
      <c r="K1492" s="6" t="n">
        <f aca="false">ROUND(INDEX(Archetypes!$H$2:$H$127, MATCH(D1492, Archetypes!$A$2:$A$127, 0))*INDEX(Unit_Paths!$E$2:$E$4, MATCH(E1492, Unit_Paths!$A$2:$A$4, 0)),1)</f>
        <v>55.2</v>
      </c>
      <c r="L1492" s="6" t="n">
        <f aca="false">ROUND(INDEX(Archetypes!$I$2:$I$127, MATCH(D1492, Archetypes!$A$2:$A$127, 0))*INDEX(Unit_Grades!$C$2:$C$7, MATCH(F1492, Unit_Grades!$A$2:$A$7, 0)),1)</f>
        <v>96</v>
      </c>
      <c r="M1492" s="6" t="n">
        <f aca="false">ROUND(INDEX(Archetypes!$J$2:$J$127, MATCH(D1492, Archetypes!$A$2:$A$127, 0))*INDEX(Unit_Grades!$D$2:$D$7, MATCH(F1492, Unit_Grades!$A$2:$A$7, 0)),1)</f>
        <v>60.9</v>
      </c>
      <c r="N1492" s="6" t="n">
        <f aca="false">ROUND(M1492/24,2)</f>
        <v>2.54</v>
      </c>
    </row>
    <row r="1493" customFormat="false" ht="15" hidden="false" customHeight="true" outlineLevel="0" collapsed="false">
      <c r="A1493" s="6" t="n">
        <v>5</v>
      </c>
      <c r="B1493" s="6" t="s">
        <v>2978</v>
      </c>
      <c r="C1493" s="6" t="s">
        <v>1440</v>
      </c>
      <c r="D1493" s="6" t="str">
        <f aca="false">A1493&amp;"|"&amp;C1493</f>
        <v>5|Battlecruiser</v>
      </c>
      <c r="E1493" s="6" t="s">
        <v>1560</v>
      </c>
      <c r="F1493" s="6" t="s">
        <v>1544</v>
      </c>
      <c r="G1493" s="6" t="str">
        <f aca="false">INDEX(Archetypes!$D$2:$D$127, MATCH(D1493, Archetypes!$A$2:$A$127, 0))</f>
        <v>Capital</v>
      </c>
      <c r="H1493" s="6" t="n">
        <f aca="false">ROUND(INDEX(Archetypes!$E$2:$E$127, MATCH(D1493, Archetypes!$A$2:$A$127, 0))*INDEX(Unit_Grades!$B$2:$B$7, MATCH(F1493, Unit_Grades!$A$2:$A$7, 0))*INDEX(Unit_Paths!$B$2:$B$4, MATCH(E1493, Unit_Paths!$A$2:$A$4, 0)),1)</f>
        <v>979.2</v>
      </c>
      <c r="I1493" s="6" t="n">
        <f aca="false">ROUND(INDEX(Archetypes!$F$2:$F$127, MATCH(D1493, Archetypes!$A$2:$A$127, 0))*INDEX(Unit_Grades!$B$2:$B$7, MATCH(F1493, Unit_Grades!$A$2:$A$7, 0))*INDEX(Unit_Paths!$C$2:$C$4, MATCH(E1493, Unit_Paths!$A$2:$A$4, 0)),1)</f>
        <v>900</v>
      </c>
      <c r="J1493" s="6" t="n">
        <f aca="false">ROUND(INDEX(Archetypes!$G$2:$G$127, MATCH(D1493, Archetypes!$A$2:$A$127, 0))*INDEX(Unit_Grades!$B$2:$B$7, MATCH(F1493, Unit_Grades!$A$2:$A$7, 0))*INDEX(Unit_Paths!$D$2:$D$4, MATCH(E1493, Unit_Paths!$A$2:$A$4, 0)),0)</f>
        <v>4416</v>
      </c>
      <c r="K1493" s="6" t="n">
        <f aca="false">ROUND(INDEX(Archetypes!$H$2:$H$127, MATCH(D1493, Archetypes!$A$2:$A$127, 0))*INDEX(Unit_Paths!$E$2:$E$4, MATCH(E1493, Unit_Paths!$A$2:$A$4, 0)),1)</f>
        <v>55.2</v>
      </c>
      <c r="L1493" s="6" t="n">
        <f aca="false">ROUND(INDEX(Archetypes!$I$2:$I$127, MATCH(D1493, Archetypes!$A$2:$A$127, 0))*INDEX(Unit_Grades!$C$2:$C$7, MATCH(F1493, Unit_Grades!$A$2:$A$7, 0)),1)</f>
        <v>126</v>
      </c>
      <c r="M1493" s="6" t="n">
        <f aca="false">ROUND(INDEX(Archetypes!$J$2:$J$127, MATCH(D1493, Archetypes!$A$2:$A$127, 0))*INDEX(Unit_Grades!$D$2:$D$7, MATCH(F1493, Unit_Grades!$A$2:$A$7, 0)),1)</f>
        <v>97.4</v>
      </c>
      <c r="N1493" s="6" t="n">
        <f aca="false">ROUND(M1493/24,2)</f>
        <v>4.06</v>
      </c>
    </row>
    <row r="1494" customFormat="false" ht="15" hidden="false" customHeight="true" outlineLevel="0" collapsed="false">
      <c r="A1494" s="6" t="n">
        <v>5</v>
      </c>
      <c r="B1494" s="6" t="s">
        <v>2979</v>
      </c>
      <c r="C1494" s="6" t="s">
        <v>1440</v>
      </c>
      <c r="D1494" s="6" t="str">
        <f aca="false">A1494&amp;"|"&amp;C1494</f>
        <v>5|Battlecruiser</v>
      </c>
      <c r="E1494" s="6" t="s">
        <v>1560</v>
      </c>
      <c r="F1494" s="6" t="s">
        <v>1546</v>
      </c>
      <c r="G1494" s="6" t="str">
        <f aca="false">INDEX(Archetypes!$D$2:$D$127, MATCH(D1494, Archetypes!$A$2:$A$127, 0))</f>
        <v>Capital</v>
      </c>
      <c r="H1494" s="6" t="n">
        <f aca="false">ROUND(INDEX(Archetypes!$E$2:$E$127, MATCH(D1494, Archetypes!$A$2:$A$127, 0))*INDEX(Unit_Grades!$B$2:$B$7, MATCH(F1494, Unit_Grades!$A$2:$A$7, 0))*INDEX(Unit_Paths!$B$2:$B$4, MATCH(E1494, Unit_Paths!$A$2:$A$4, 0)),1)</f>
        <v>1305.6</v>
      </c>
      <c r="I1494" s="6" t="n">
        <f aca="false">ROUND(INDEX(Archetypes!$F$2:$F$127, MATCH(D1494, Archetypes!$A$2:$A$127, 0))*INDEX(Unit_Grades!$B$2:$B$7, MATCH(F1494, Unit_Grades!$A$2:$A$7, 0))*INDEX(Unit_Paths!$C$2:$C$4, MATCH(E1494, Unit_Paths!$A$2:$A$4, 0)),1)</f>
        <v>1200</v>
      </c>
      <c r="J1494" s="6" t="n">
        <f aca="false">ROUND(INDEX(Archetypes!$G$2:$G$127, MATCH(D1494, Archetypes!$A$2:$A$127, 0))*INDEX(Unit_Grades!$B$2:$B$7, MATCH(F1494, Unit_Grades!$A$2:$A$7, 0))*INDEX(Unit_Paths!$D$2:$D$4, MATCH(E1494, Unit_Paths!$A$2:$A$4, 0)),0)</f>
        <v>5888</v>
      </c>
      <c r="K1494" s="6" t="n">
        <f aca="false">ROUND(INDEX(Archetypes!$H$2:$H$127, MATCH(D1494, Archetypes!$A$2:$A$127, 0))*INDEX(Unit_Paths!$E$2:$E$4, MATCH(E1494, Unit_Paths!$A$2:$A$4, 0)),1)</f>
        <v>55.2</v>
      </c>
      <c r="L1494" s="6" t="n">
        <f aca="false">ROUND(INDEX(Archetypes!$I$2:$I$127, MATCH(D1494, Archetypes!$A$2:$A$127, 0))*INDEX(Unit_Grades!$C$2:$C$7, MATCH(F1494, Unit_Grades!$A$2:$A$7, 0)),1)</f>
        <v>168</v>
      </c>
      <c r="M1494" s="6" t="n">
        <f aca="false">ROUND(INDEX(Archetypes!$J$2:$J$127, MATCH(D1494, Archetypes!$A$2:$A$127, 0))*INDEX(Unit_Grades!$D$2:$D$7, MATCH(F1494, Unit_Grades!$A$2:$A$7, 0)),1)</f>
        <v>170.5</v>
      </c>
      <c r="N1494" s="6" t="n">
        <f aca="false">ROUND(M1494/24,2)</f>
        <v>7.1</v>
      </c>
    </row>
    <row r="1495" customFormat="false" ht="15" hidden="false" customHeight="true" outlineLevel="0" collapsed="false">
      <c r="A1495" s="6" t="n">
        <v>5</v>
      </c>
      <c r="B1495" s="6" t="s">
        <v>2980</v>
      </c>
      <c r="C1495" s="6" t="s">
        <v>1440</v>
      </c>
      <c r="D1495" s="6" t="str">
        <f aca="false">A1495&amp;"|"&amp;C1495</f>
        <v>5|Battlecruiser</v>
      </c>
      <c r="E1495" s="6" t="s">
        <v>1560</v>
      </c>
      <c r="F1495" s="6" t="s">
        <v>1548</v>
      </c>
      <c r="G1495" s="6" t="str">
        <f aca="false">INDEX(Archetypes!$D$2:$D$127, MATCH(D1495, Archetypes!$A$2:$A$127, 0))</f>
        <v>Capital</v>
      </c>
      <c r="H1495" s="6" t="n">
        <f aca="false">ROUND(INDEX(Archetypes!$E$2:$E$127, MATCH(D1495, Archetypes!$A$2:$A$127, 0))*INDEX(Unit_Grades!$B$2:$B$7, MATCH(F1495, Unit_Grades!$A$2:$A$7, 0))*INDEX(Unit_Paths!$B$2:$B$4, MATCH(E1495, Unit_Paths!$A$2:$A$4, 0)),1)</f>
        <v>1713.6</v>
      </c>
      <c r="I1495" s="6" t="n">
        <f aca="false">ROUND(INDEX(Archetypes!$F$2:$F$127, MATCH(D1495, Archetypes!$A$2:$A$127, 0))*INDEX(Unit_Grades!$B$2:$B$7, MATCH(F1495, Unit_Grades!$A$2:$A$7, 0))*INDEX(Unit_Paths!$C$2:$C$4, MATCH(E1495, Unit_Paths!$A$2:$A$4, 0)),1)</f>
        <v>1575</v>
      </c>
      <c r="J1495" s="6" t="n">
        <f aca="false">ROUND(INDEX(Archetypes!$G$2:$G$127, MATCH(D1495, Archetypes!$A$2:$A$127, 0))*INDEX(Unit_Grades!$B$2:$B$7, MATCH(F1495, Unit_Grades!$A$2:$A$7, 0))*INDEX(Unit_Paths!$D$2:$D$4, MATCH(E1495, Unit_Paths!$A$2:$A$4, 0)),0)</f>
        <v>7728</v>
      </c>
      <c r="K1495" s="6" t="n">
        <f aca="false">ROUND(INDEX(Archetypes!$H$2:$H$127, MATCH(D1495, Archetypes!$A$2:$A$127, 0))*INDEX(Unit_Paths!$E$2:$E$4, MATCH(E1495, Unit_Paths!$A$2:$A$4, 0)),1)</f>
        <v>55.2</v>
      </c>
      <c r="L1495" s="6" t="n">
        <f aca="false">ROUND(INDEX(Archetypes!$I$2:$I$127, MATCH(D1495, Archetypes!$A$2:$A$127, 0))*INDEX(Unit_Grades!$C$2:$C$7, MATCH(F1495, Unit_Grades!$A$2:$A$7, 0)),1)</f>
        <v>222</v>
      </c>
      <c r="M1495" s="6" t="n">
        <f aca="false">ROUND(INDEX(Archetypes!$J$2:$J$127, MATCH(D1495, Archetypes!$A$2:$A$127, 0))*INDEX(Unit_Grades!$D$2:$D$7, MATCH(F1495, Unit_Grades!$A$2:$A$7, 0)),1)</f>
        <v>292.2</v>
      </c>
      <c r="N1495" s="6" t="n">
        <f aca="false">ROUND(M1495/24,2)</f>
        <v>12.18</v>
      </c>
    </row>
    <row r="1496" customFormat="false" ht="15" hidden="false" customHeight="true" outlineLevel="0" collapsed="false">
      <c r="A1496" s="6" t="n">
        <v>5</v>
      </c>
      <c r="B1496" s="6" t="s">
        <v>1442</v>
      </c>
      <c r="C1496" s="6" t="s">
        <v>1442</v>
      </c>
      <c r="D1496" s="6" t="str">
        <f aca="false">A1496&amp;"|"&amp;C1496</f>
        <v>5|Void Carrier</v>
      </c>
      <c r="E1496" s="6" t="s">
        <v>1556</v>
      </c>
      <c r="F1496" s="6" t="s">
        <v>1538</v>
      </c>
      <c r="G1496" s="6" t="str">
        <f aca="false">INDEX(Archetypes!$D$2:$D$127, MATCH(D1496, Archetypes!$A$2:$A$127, 0))</f>
        <v>Carrier</v>
      </c>
      <c r="H1496" s="6" t="n">
        <f aca="false">ROUND(INDEX(Archetypes!$E$2:$E$127, MATCH(D1496, Archetypes!$A$2:$A$127, 0))*INDEX(Unit_Grades!$B$2:$B$7, MATCH(F1496, Unit_Grades!$A$2:$A$7, 0))*INDEX(Unit_Paths!$B$2:$B$4, MATCH(E1496, Unit_Paths!$A$2:$A$4, 0)),1)</f>
        <v>360</v>
      </c>
      <c r="I1496" s="6" t="n">
        <f aca="false">ROUND(INDEX(Archetypes!$F$2:$F$127, MATCH(D1496, Archetypes!$A$2:$A$127, 0))*INDEX(Unit_Grades!$B$2:$B$7, MATCH(F1496, Unit_Grades!$A$2:$A$7, 0))*INDEX(Unit_Paths!$C$2:$C$4, MATCH(E1496, Unit_Paths!$A$2:$A$4, 0)),1)</f>
        <v>280</v>
      </c>
      <c r="J1496" s="6" t="n">
        <f aca="false">ROUND(INDEX(Archetypes!$G$2:$G$127, MATCH(D1496, Archetypes!$A$2:$A$127, 0))*INDEX(Unit_Grades!$B$2:$B$7, MATCH(F1496, Unit_Grades!$A$2:$A$7, 0))*INDEX(Unit_Paths!$D$2:$D$4, MATCH(E1496, Unit_Paths!$A$2:$A$4, 0)),0)</f>
        <v>1800</v>
      </c>
      <c r="K1496" s="6" t="n">
        <f aca="false">ROUND(INDEX(Archetypes!$H$2:$H$127, MATCH(D1496, Archetypes!$A$2:$A$127, 0))*INDEX(Unit_Paths!$E$2:$E$4, MATCH(E1496, Unit_Paths!$A$2:$A$4, 0)),1)</f>
        <v>50</v>
      </c>
      <c r="L1496" s="6" t="n">
        <f aca="false">ROUND(INDEX(Archetypes!$I$2:$I$127, MATCH(D1496, Archetypes!$A$2:$A$127, 0))*INDEX(Unit_Grades!$C$2:$C$7, MATCH(F1496, Unit_Grades!$A$2:$A$7, 0)),1)</f>
        <v>66</v>
      </c>
      <c r="M1496" s="6" t="n">
        <f aca="false">ROUND(INDEX(Archetypes!$J$2:$J$127, MATCH(D1496, Archetypes!$A$2:$A$127, 0))*INDEX(Unit_Grades!$D$2:$D$7, MATCH(F1496, Unit_Grades!$A$2:$A$7, 0)),1)</f>
        <v>26.8</v>
      </c>
      <c r="N1496" s="6" t="n">
        <f aca="false">ROUND(M1496/24,2)</f>
        <v>1.12</v>
      </c>
    </row>
    <row r="1497" customFormat="false" ht="15" hidden="false" customHeight="true" outlineLevel="0" collapsed="false">
      <c r="A1497" s="6" t="n">
        <v>5</v>
      </c>
      <c r="B1497" s="6" t="s">
        <v>2981</v>
      </c>
      <c r="C1497" s="6" t="s">
        <v>1442</v>
      </c>
      <c r="D1497" s="6" t="str">
        <f aca="false">A1497&amp;"|"&amp;C1497</f>
        <v>5|Void Carrier</v>
      </c>
      <c r="E1497" s="6" t="s">
        <v>1556</v>
      </c>
      <c r="F1497" s="6" t="s">
        <v>1540</v>
      </c>
      <c r="G1497" s="6" t="str">
        <f aca="false">INDEX(Archetypes!$D$2:$D$127, MATCH(D1497, Archetypes!$A$2:$A$127, 0))</f>
        <v>Carrier</v>
      </c>
      <c r="H1497" s="6" t="n">
        <f aca="false">ROUND(INDEX(Archetypes!$E$2:$E$127, MATCH(D1497, Archetypes!$A$2:$A$127, 0))*INDEX(Unit_Grades!$B$2:$B$7, MATCH(F1497, Unit_Grades!$A$2:$A$7, 0))*INDEX(Unit_Paths!$B$2:$B$4, MATCH(E1497, Unit_Paths!$A$2:$A$4, 0)),1)</f>
        <v>486</v>
      </c>
      <c r="I1497" s="6" t="n">
        <f aca="false">ROUND(INDEX(Archetypes!$F$2:$F$127, MATCH(D1497, Archetypes!$A$2:$A$127, 0))*INDEX(Unit_Grades!$B$2:$B$7, MATCH(F1497, Unit_Grades!$A$2:$A$7, 0))*INDEX(Unit_Paths!$C$2:$C$4, MATCH(E1497, Unit_Paths!$A$2:$A$4, 0)),1)</f>
        <v>378</v>
      </c>
      <c r="J1497" s="6" t="n">
        <f aca="false">ROUND(INDEX(Archetypes!$G$2:$G$127, MATCH(D1497, Archetypes!$A$2:$A$127, 0))*INDEX(Unit_Grades!$B$2:$B$7, MATCH(F1497, Unit_Grades!$A$2:$A$7, 0))*INDEX(Unit_Paths!$D$2:$D$4, MATCH(E1497, Unit_Paths!$A$2:$A$4, 0)),0)</f>
        <v>2430</v>
      </c>
      <c r="K1497" s="6" t="n">
        <f aca="false">ROUND(INDEX(Archetypes!$H$2:$H$127, MATCH(D1497, Archetypes!$A$2:$A$127, 0))*INDEX(Unit_Paths!$E$2:$E$4, MATCH(E1497, Unit_Paths!$A$2:$A$4, 0)),1)</f>
        <v>50</v>
      </c>
      <c r="L1497" s="6" t="n">
        <f aca="false">ROUND(INDEX(Archetypes!$I$2:$I$127, MATCH(D1497, Archetypes!$A$2:$A$127, 0))*INDEX(Unit_Grades!$C$2:$C$7, MATCH(F1497, Unit_Grades!$A$2:$A$7, 0)),1)</f>
        <v>82.5</v>
      </c>
      <c r="M1497" s="6" t="n">
        <f aca="false">ROUND(INDEX(Archetypes!$J$2:$J$127, MATCH(D1497, Archetypes!$A$2:$A$127, 0))*INDEX(Unit_Grades!$D$2:$D$7, MATCH(F1497, Unit_Grades!$A$2:$A$7, 0)),1)</f>
        <v>40.2</v>
      </c>
      <c r="N1497" s="6" t="n">
        <f aca="false">ROUND(M1497/24,2)</f>
        <v>1.68</v>
      </c>
    </row>
    <row r="1498" customFormat="false" ht="15" hidden="false" customHeight="true" outlineLevel="0" collapsed="false">
      <c r="A1498" s="6" t="n">
        <v>5</v>
      </c>
      <c r="B1498" s="6" t="s">
        <v>2982</v>
      </c>
      <c r="C1498" s="6" t="s">
        <v>1442</v>
      </c>
      <c r="D1498" s="6" t="str">
        <f aca="false">A1498&amp;"|"&amp;C1498</f>
        <v>5|Void Carrier</v>
      </c>
      <c r="E1498" s="6" t="s">
        <v>1556</v>
      </c>
      <c r="F1498" s="6" t="s">
        <v>1542</v>
      </c>
      <c r="G1498" s="6" t="str">
        <f aca="false">INDEX(Archetypes!$D$2:$D$127, MATCH(D1498, Archetypes!$A$2:$A$127, 0))</f>
        <v>Carrier</v>
      </c>
      <c r="H1498" s="6" t="n">
        <f aca="false">ROUND(INDEX(Archetypes!$E$2:$E$127, MATCH(D1498, Archetypes!$A$2:$A$127, 0))*INDEX(Unit_Grades!$B$2:$B$7, MATCH(F1498, Unit_Grades!$A$2:$A$7, 0))*INDEX(Unit_Paths!$B$2:$B$4, MATCH(E1498, Unit_Paths!$A$2:$A$4, 0)),1)</f>
        <v>648</v>
      </c>
      <c r="I1498" s="6" t="n">
        <f aca="false">ROUND(INDEX(Archetypes!$F$2:$F$127, MATCH(D1498, Archetypes!$A$2:$A$127, 0))*INDEX(Unit_Grades!$B$2:$B$7, MATCH(F1498, Unit_Grades!$A$2:$A$7, 0))*INDEX(Unit_Paths!$C$2:$C$4, MATCH(E1498, Unit_Paths!$A$2:$A$4, 0)),1)</f>
        <v>504</v>
      </c>
      <c r="J1498" s="6" t="n">
        <f aca="false">ROUND(INDEX(Archetypes!$G$2:$G$127, MATCH(D1498, Archetypes!$A$2:$A$127, 0))*INDEX(Unit_Grades!$B$2:$B$7, MATCH(F1498, Unit_Grades!$A$2:$A$7, 0))*INDEX(Unit_Paths!$D$2:$D$4, MATCH(E1498, Unit_Paths!$A$2:$A$4, 0)),0)</f>
        <v>3240</v>
      </c>
      <c r="K1498" s="6" t="n">
        <f aca="false">ROUND(INDEX(Archetypes!$H$2:$H$127, MATCH(D1498, Archetypes!$A$2:$A$127, 0))*INDEX(Unit_Paths!$E$2:$E$4, MATCH(E1498, Unit_Paths!$A$2:$A$4, 0)),1)</f>
        <v>50</v>
      </c>
      <c r="L1498" s="6" t="n">
        <f aca="false">ROUND(INDEX(Archetypes!$I$2:$I$127, MATCH(D1498, Archetypes!$A$2:$A$127, 0))*INDEX(Unit_Grades!$C$2:$C$7, MATCH(F1498, Unit_Grades!$A$2:$A$7, 0)),1)</f>
        <v>105.6</v>
      </c>
      <c r="M1498" s="6" t="n">
        <f aca="false">ROUND(INDEX(Archetypes!$J$2:$J$127, MATCH(D1498, Archetypes!$A$2:$A$127, 0))*INDEX(Unit_Grades!$D$2:$D$7, MATCH(F1498, Unit_Grades!$A$2:$A$7, 0)),1)</f>
        <v>67</v>
      </c>
      <c r="N1498" s="6" t="n">
        <f aca="false">ROUND(M1498/24,2)</f>
        <v>2.79</v>
      </c>
    </row>
    <row r="1499" customFormat="false" ht="15" hidden="false" customHeight="true" outlineLevel="0" collapsed="false">
      <c r="A1499" s="6" t="n">
        <v>5</v>
      </c>
      <c r="B1499" s="6" t="s">
        <v>2983</v>
      </c>
      <c r="C1499" s="6" t="s">
        <v>1442</v>
      </c>
      <c r="D1499" s="6" t="str">
        <f aca="false">A1499&amp;"|"&amp;C1499</f>
        <v>5|Void Carrier</v>
      </c>
      <c r="E1499" s="6" t="s">
        <v>1556</v>
      </c>
      <c r="F1499" s="6" t="s">
        <v>1544</v>
      </c>
      <c r="G1499" s="6" t="str">
        <f aca="false">INDEX(Archetypes!$D$2:$D$127, MATCH(D1499, Archetypes!$A$2:$A$127, 0))</f>
        <v>Carrier</v>
      </c>
      <c r="H1499" s="6" t="n">
        <f aca="false">ROUND(INDEX(Archetypes!$E$2:$E$127, MATCH(D1499, Archetypes!$A$2:$A$127, 0))*INDEX(Unit_Grades!$B$2:$B$7, MATCH(F1499, Unit_Grades!$A$2:$A$7, 0))*INDEX(Unit_Paths!$B$2:$B$4, MATCH(E1499, Unit_Paths!$A$2:$A$4, 0)),1)</f>
        <v>864</v>
      </c>
      <c r="I1499" s="6" t="n">
        <f aca="false">ROUND(INDEX(Archetypes!$F$2:$F$127, MATCH(D1499, Archetypes!$A$2:$A$127, 0))*INDEX(Unit_Grades!$B$2:$B$7, MATCH(F1499, Unit_Grades!$A$2:$A$7, 0))*INDEX(Unit_Paths!$C$2:$C$4, MATCH(E1499, Unit_Paths!$A$2:$A$4, 0)),1)</f>
        <v>672</v>
      </c>
      <c r="J1499" s="6" t="n">
        <f aca="false">ROUND(INDEX(Archetypes!$G$2:$G$127, MATCH(D1499, Archetypes!$A$2:$A$127, 0))*INDEX(Unit_Grades!$B$2:$B$7, MATCH(F1499, Unit_Grades!$A$2:$A$7, 0))*INDEX(Unit_Paths!$D$2:$D$4, MATCH(E1499, Unit_Paths!$A$2:$A$4, 0)),0)</f>
        <v>4320</v>
      </c>
      <c r="K1499" s="6" t="n">
        <f aca="false">ROUND(INDEX(Archetypes!$H$2:$H$127, MATCH(D1499, Archetypes!$A$2:$A$127, 0))*INDEX(Unit_Paths!$E$2:$E$4, MATCH(E1499, Unit_Paths!$A$2:$A$4, 0)),1)</f>
        <v>50</v>
      </c>
      <c r="L1499" s="6" t="n">
        <f aca="false">ROUND(INDEX(Archetypes!$I$2:$I$127, MATCH(D1499, Archetypes!$A$2:$A$127, 0))*INDEX(Unit_Grades!$C$2:$C$7, MATCH(F1499, Unit_Grades!$A$2:$A$7, 0)),1)</f>
        <v>138.6</v>
      </c>
      <c r="M1499" s="6" t="n">
        <f aca="false">ROUND(INDEX(Archetypes!$J$2:$J$127, MATCH(D1499, Archetypes!$A$2:$A$127, 0))*INDEX(Unit_Grades!$D$2:$D$7, MATCH(F1499, Unit_Grades!$A$2:$A$7, 0)),1)</f>
        <v>107.2</v>
      </c>
      <c r="N1499" s="6" t="n">
        <f aca="false">ROUND(M1499/24,2)</f>
        <v>4.47</v>
      </c>
    </row>
    <row r="1500" customFormat="false" ht="15" hidden="false" customHeight="true" outlineLevel="0" collapsed="false">
      <c r="A1500" s="6" t="n">
        <v>5</v>
      </c>
      <c r="B1500" s="6" t="s">
        <v>2984</v>
      </c>
      <c r="C1500" s="6" t="s">
        <v>1442</v>
      </c>
      <c r="D1500" s="6" t="str">
        <f aca="false">A1500&amp;"|"&amp;C1500</f>
        <v>5|Void Carrier</v>
      </c>
      <c r="E1500" s="6" t="s">
        <v>1556</v>
      </c>
      <c r="F1500" s="6" t="s">
        <v>1546</v>
      </c>
      <c r="G1500" s="6" t="str">
        <f aca="false">INDEX(Archetypes!$D$2:$D$127, MATCH(D1500, Archetypes!$A$2:$A$127, 0))</f>
        <v>Carrier</v>
      </c>
      <c r="H1500" s="6" t="n">
        <f aca="false">ROUND(INDEX(Archetypes!$E$2:$E$127, MATCH(D1500, Archetypes!$A$2:$A$127, 0))*INDEX(Unit_Grades!$B$2:$B$7, MATCH(F1500, Unit_Grades!$A$2:$A$7, 0))*INDEX(Unit_Paths!$B$2:$B$4, MATCH(E1500, Unit_Paths!$A$2:$A$4, 0)),1)</f>
        <v>1152</v>
      </c>
      <c r="I1500" s="6" t="n">
        <f aca="false">ROUND(INDEX(Archetypes!$F$2:$F$127, MATCH(D1500, Archetypes!$A$2:$A$127, 0))*INDEX(Unit_Grades!$B$2:$B$7, MATCH(F1500, Unit_Grades!$A$2:$A$7, 0))*INDEX(Unit_Paths!$C$2:$C$4, MATCH(E1500, Unit_Paths!$A$2:$A$4, 0)),1)</f>
        <v>896</v>
      </c>
      <c r="J1500" s="6" t="n">
        <f aca="false">ROUND(INDEX(Archetypes!$G$2:$G$127, MATCH(D1500, Archetypes!$A$2:$A$127, 0))*INDEX(Unit_Grades!$B$2:$B$7, MATCH(F1500, Unit_Grades!$A$2:$A$7, 0))*INDEX(Unit_Paths!$D$2:$D$4, MATCH(E1500, Unit_Paths!$A$2:$A$4, 0)),0)</f>
        <v>5760</v>
      </c>
      <c r="K1500" s="6" t="n">
        <f aca="false">ROUND(INDEX(Archetypes!$H$2:$H$127, MATCH(D1500, Archetypes!$A$2:$A$127, 0))*INDEX(Unit_Paths!$E$2:$E$4, MATCH(E1500, Unit_Paths!$A$2:$A$4, 0)),1)</f>
        <v>50</v>
      </c>
      <c r="L1500" s="6" t="n">
        <f aca="false">ROUND(INDEX(Archetypes!$I$2:$I$127, MATCH(D1500, Archetypes!$A$2:$A$127, 0))*INDEX(Unit_Grades!$C$2:$C$7, MATCH(F1500, Unit_Grades!$A$2:$A$7, 0)),1)</f>
        <v>184.8</v>
      </c>
      <c r="M1500" s="6" t="n">
        <f aca="false">ROUND(INDEX(Archetypes!$J$2:$J$127, MATCH(D1500, Archetypes!$A$2:$A$127, 0))*INDEX(Unit_Grades!$D$2:$D$7, MATCH(F1500, Unit_Grades!$A$2:$A$7, 0)),1)</f>
        <v>187.5</v>
      </c>
      <c r="N1500" s="6" t="n">
        <f aca="false">ROUND(M1500/24,2)</f>
        <v>7.81</v>
      </c>
    </row>
    <row r="1501" customFormat="false" ht="15" hidden="false" customHeight="true" outlineLevel="0" collapsed="false">
      <c r="A1501" s="6" t="n">
        <v>5</v>
      </c>
      <c r="B1501" s="6" t="s">
        <v>2985</v>
      </c>
      <c r="C1501" s="6" t="s">
        <v>1442</v>
      </c>
      <c r="D1501" s="6" t="str">
        <f aca="false">A1501&amp;"|"&amp;C1501</f>
        <v>5|Void Carrier</v>
      </c>
      <c r="E1501" s="6" t="s">
        <v>1556</v>
      </c>
      <c r="F1501" s="6" t="s">
        <v>1548</v>
      </c>
      <c r="G1501" s="6" t="str">
        <f aca="false">INDEX(Archetypes!$D$2:$D$127, MATCH(D1501, Archetypes!$A$2:$A$127, 0))</f>
        <v>Carrier</v>
      </c>
      <c r="H1501" s="6" t="n">
        <f aca="false">ROUND(INDEX(Archetypes!$E$2:$E$127, MATCH(D1501, Archetypes!$A$2:$A$127, 0))*INDEX(Unit_Grades!$B$2:$B$7, MATCH(F1501, Unit_Grades!$A$2:$A$7, 0))*INDEX(Unit_Paths!$B$2:$B$4, MATCH(E1501, Unit_Paths!$A$2:$A$4, 0)),1)</f>
        <v>1512</v>
      </c>
      <c r="I1501" s="6" t="n">
        <f aca="false">ROUND(INDEX(Archetypes!$F$2:$F$127, MATCH(D1501, Archetypes!$A$2:$A$127, 0))*INDEX(Unit_Grades!$B$2:$B$7, MATCH(F1501, Unit_Grades!$A$2:$A$7, 0))*INDEX(Unit_Paths!$C$2:$C$4, MATCH(E1501, Unit_Paths!$A$2:$A$4, 0)),1)</f>
        <v>1176</v>
      </c>
      <c r="J1501" s="6" t="n">
        <f aca="false">ROUND(INDEX(Archetypes!$G$2:$G$127, MATCH(D1501, Archetypes!$A$2:$A$127, 0))*INDEX(Unit_Grades!$B$2:$B$7, MATCH(F1501, Unit_Grades!$A$2:$A$7, 0))*INDEX(Unit_Paths!$D$2:$D$4, MATCH(E1501, Unit_Paths!$A$2:$A$4, 0)),0)</f>
        <v>7560</v>
      </c>
      <c r="K1501" s="6" t="n">
        <f aca="false">ROUND(INDEX(Archetypes!$H$2:$H$127, MATCH(D1501, Archetypes!$A$2:$A$127, 0))*INDEX(Unit_Paths!$E$2:$E$4, MATCH(E1501, Unit_Paths!$A$2:$A$4, 0)),1)</f>
        <v>50</v>
      </c>
      <c r="L1501" s="6" t="n">
        <f aca="false">ROUND(INDEX(Archetypes!$I$2:$I$127, MATCH(D1501, Archetypes!$A$2:$A$127, 0))*INDEX(Unit_Grades!$C$2:$C$7, MATCH(F1501, Unit_Grades!$A$2:$A$7, 0)),1)</f>
        <v>244.2</v>
      </c>
      <c r="M1501" s="6" t="n">
        <f aca="false">ROUND(INDEX(Archetypes!$J$2:$J$127, MATCH(D1501, Archetypes!$A$2:$A$127, 0))*INDEX(Unit_Grades!$D$2:$D$7, MATCH(F1501, Unit_Grades!$A$2:$A$7, 0)),1)</f>
        <v>321.5</v>
      </c>
      <c r="N1501" s="6" t="n">
        <f aca="false">ROUND(M1501/24,2)</f>
        <v>13.4</v>
      </c>
    </row>
    <row r="1502" customFormat="false" ht="15" hidden="false" customHeight="true" outlineLevel="0" collapsed="false">
      <c r="A1502" s="6" t="n">
        <v>5</v>
      </c>
      <c r="B1502" s="6" t="s">
        <v>2986</v>
      </c>
      <c r="C1502" s="6" t="s">
        <v>1442</v>
      </c>
      <c r="D1502" s="6" t="str">
        <f aca="false">A1502&amp;"|"&amp;C1502</f>
        <v>5|Void Carrier</v>
      </c>
      <c r="E1502" s="6" t="s">
        <v>1558</v>
      </c>
      <c r="F1502" s="6" t="s">
        <v>1538</v>
      </c>
      <c r="G1502" s="6" t="str">
        <f aca="false">INDEX(Archetypes!$D$2:$D$127, MATCH(D1502, Archetypes!$A$2:$A$127, 0))</f>
        <v>Carrier</v>
      </c>
      <c r="H1502" s="6" t="n">
        <f aca="false">ROUND(INDEX(Archetypes!$E$2:$E$127, MATCH(D1502, Archetypes!$A$2:$A$127, 0))*INDEX(Unit_Grades!$B$2:$B$7, MATCH(F1502, Unit_Grades!$A$2:$A$7, 0))*INDEX(Unit_Paths!$B$2:$B$4, MATCH(E1502, Unit_Paths!$A$2:$A$4, 0)),1)</f>
        <v>432</v>
      </c>
      <c r="I1502" s="6" t="n">
        <f aca="false">ROUND(INDEX(Archetypes!$F$2:$F$127, MATCH(D1502, Archetypes!$A$2:$A$127, 0))*INDEX(Unit_Grades!$B$2:$B$7, MATCH(F1502, Unit_Grades!$A$2:$A$7, 0))*INDEX(Unit_Paths!$C$2:$C$4, MATCH(E1502, Unit_Paths!$A$2:$A$4, 0)),1)</f>
        <v>238</v>
      </c>
      <c r="J1502" s="6" t="n">
        <f aca="false">ROUND(INDEX(Archetypes!$G$2:$G$127, MATCH(D1502, Archetypes!$A$2:$A$127, 0))*INDEX(Unit_Grades!$B$2:$B$7, MATCH(F1502, Unit_Grades!$A$2:$A$7, 0))*INDEX(Unit_Paths!$D$2:$D$4, MATCH(E1502, Unit_Paths!$A$2:$A$4, 0)),0)</f>
        <v>1710</v>
      </c>
      <c r="K1502" s="6" t="n">
        <f aca="false">ROUND(INDEX(Archetypes!$H$2:$H$127, MATCH(D1502, Archetypes!$A$2:$A$127, 0))*INDEX(Unit_Paths!$E$2:$E$4, MATCH(E1502, Unit_Paths!$A$2:$A$4, 0)),1)</f>
        <v>52.5</v>
      </c>
      <c r="L1502" s="6" t="n">
        <f aca="false">ROUND(INDEX(Archetypes!$I$2:$I$127, MATCH(D1502, Archetypes!$A$2:$A$127, 0))*INDEX(Unit_Grades!$C$2:$C$7, MATCH(F1502, Unit_Grades!$A$2:$A$7, 0)),1)</f>
        <v>66</v>
      </c>
      <c r="M1502" s="6" t="n">
        <f aca="false">ROUND(INDEX(Archetypes!$J$2:$J$127, MATCH(D1502, Archetypes!$A$2:$A$127, 0))*INDEX(Unit_Grades!$D$2:$D$7, MATCH(F1502, Unit_Grades!$A$2:$A$7, 0)),1)</f>
        <v>26.8</v>
      </c>
      <c r="N1502" s="6" t="n">
        <f aca="false">ROUND(M1502/24,2)</f>
        <v>1.12</v>
      </c>
    </row>
    <row r="1503" customFormat="false" ht="15" hidden="false" customHeight="true" outlineLevel="0" collapsed="false">
      <c r="A1503" s="6" t="n">
        <v>5</v>
      </c>
      <c r="B1503" s="6" t="s">
        <v>2987</v>
      </c>
      <c r="C1503" s="6" t="s">
        <v>1442</v>
      </c>
      <c r="D1503" s="6" t="str">
        <f aca="false">A1503&amp;"|"&amp;C1503</f>
        <v>5|Void Carrier</v>
      </c>
      <c r="E1503" s="6" t="s">
        <v>1558</v>
      </c>
      <c r="F1503" s="6" t="s">
        <v>1540</v>
      </c>
      <c r="G1503" s="6" t="str">
        <f aca="false">INDEX(Archetypes!$D$2:$D$127, MATCH(D1503, Archetypes!$A$2:$A$127, 0))</f>
        <v>Carrier</v>
      </c>
      <c r="H1503" s="6" t="n">
        <f aca="false">ROUND(INDEX(Archetypes!$E$2:$E$127, MATCH(D1503, Archetypes!$A$2:$A$127, 0))*INDEX(Unit_Grades!$B$2:$B$7, MATCH(F1503, Unit_Grades!$A$2:$A$7, 0))*INDEX(Unit_Paths!$B$2:$B$4, MATCH(E1503, Unit_Paths!$A$2:$A$4, 0)),1)</f>
        <v>583.2</v>
      </c>
      <c r="I1503" s="6" t="n">
        <f aca="false">ROUND(INDEX(Archetypes!$F$2:$F$127, MATCH(D1503, Archetypes!$A$2:$A$127, 0))*INDEX(Unit_Grades!$B$2:$B$7, MATCH(F1503, Unit_Grades!$A$2:$A$7, 0))*INDEX(Unit_Paths!$C$2:$C$4, MATCH(E1503, Unit_Paths!$A$2:$A$4, 0)),1)</f>
        <v>321.3</v>
      </c>
      <c r="J1503" s="6" t="n">
        <f aca="false">ROUND(INDEX(Archetypes!$G$2:$G$127, MATCH(D1503, Archetypes!$A$2:$A$127, 0))*INDEX(Unit_Grades!$B$2:$B$7, MATCH(F1503, Unit_Grades!$A$2:$A$7, 0))*INDEX(Unit_Paths!$D$2:$D$4, MATCH(E1503, Unit_Paths!$A$2:$A$4, 0)),0)</f>
        <v>2309</v>
      </c>
      <c r="K1503" s="6" t="n">
        <f aca="false">ROUND(INDEX(Archetypes!$H$2:$H$127, MATCH(D1503, Archetypes!$A$2:$A$127, 0))*INDEX(Unit_Paths!$E$2:$E$4, MATCH(E1503, Unit_Paths!$A$2:$A$4, 0)),1)</f>
        <v>52.5</v>
      </c>
      <c r="L1503" s="6" t="n">
        <f aca="false">ROUND(INDEX(Archetypes!$I$2:$I$127, MATCH(D1503, Archetypes!$A$2:$A$127, 0))*INDEX(Unit_Grades!$C$2:$C$7, MATCH(F1503, Unit_Grades!$A$2:$A$7, 0)),1)</f>
        <v>82.5</v>
      </c>
      <c r="M1503" s="6" t="n">
        <f aca="false">ROUND(INDEX(Archetypes!$J$2:$J$127, MATCH(D1503, Archetypes!$A$2:$A$127, 0))*INDEX(Unit_Grades!$D$2:$D$7, MATCH(F1503, Unit_Grades!$A$2:$A$7, 0)),1)</f>
        <v>40.2</v>
      </c>
      <c r="N1503" s="6" t="n">
        <f aca="false">ROUND(M1503/24,2)</f>
        <v>1.68</v>
      </c>
    </row>
    <row r="1504" customFormat="false" ht="15" hidden="false" customHeight="true" outlineLevel="0" collapsed="false">
      <c r="A1504" s="6" t="n">
        <v>5</v>
      </c>
      <c r="B1504" s="6" t="s">
        <v>2988</v>
      </c>
      <c r="C1504" s="6" t="s">
        <v>1442</v>
      </c>
      <c r="D1504" s="6" t="str">
        <f aca="false">A1504&amp;"|"&amp;C1504</f>
        <v>5|Void Carrier</v>
      </c>
      <c r="E1504" s="6" t="s">
        <v>1558</v>
      </c>
      <c r="F1504" s="6" t="s">
        <v>1542</v>
      </c>
      <c r="G1504" s="6" t="str">
        <f aca="false">INDEX(Archetypes!$D$2:$D$127, MATCH(D1504, Archetypes!$A$2:$A$127, 0))</f>
        <v>Carrier</v>
      </c>
      <c r="H1504" s="6" t="n">
        <f aca="false">ROUND(INDEX(Archetypes!$E$2:$E$127, MATCH(D1504, Archetypes!$A$2:$A$127, 0))*INDEX(Unit_Grades!$B$2:$B$7, MATCH(F1504, Unit_Grades!$A$2:$A$7, 0))*INDEX(Unit_Paths!$B$2:$B$4, MATCH(E1504, Unit_Paths!$A$2:$A$4, 0)),1)</f>
        <v>777.6</v>
      </c>
      <c r="I1504" s="6" t="n">
        <f aca="false">ROUND(INDEX(Archetypes!$F$2:$F$127, MATCH(D1504, Archetypes!$A$2:$A$127, 0))*INDEX(Unit_Grades!$B$2:$B$7, MATCH(F1504, Unit_Grades!$A$2:$A$7, 0))*INDEX(Unit_Paths!$C$2:$C$4, MATCH(E1504, Unit_Paths!$A$2:$A$4, 0)),1)</f>
        <v>428.4</v>
      </c>
      <c r="J1504" s="6" t="n">
        <f aca="false">ROUND(INDEX(Archetypes!$G$2:$G$127, MATCH(D1504, Archetypes!$A$2:$A$127, 0))*INDEX(Unit_Grades!$B$2:$B$7, MATCH(F1504, Unit_Grades!$A$2:$A$7, 0))*INDEX(Unit_Paths!$D$2:$D$4, MATCH(E1504, Unit_Paths!$A$2:$A$4, 0)),0)</f>
        <v>3078</v>
      </c>
      <c r="K1504" s="6" t="n">
        <f aca="false">ROUND(INDEX(Archetypes!$H$2:$H$127, MATCH(D1504, Archetypes!$A$2:$A$127, 0))*INDEX(Unit_Paths!$E$2:$E$4, MATCH(E1504, Unit_Paths!$A$2:$A$4, 0)),1)</f>
        <v>52.5</v>
      </c>
      <c r="L1504" s="6" t="n">
        <f aca="false">ROUND(INDEX(Archetypes!$I$2:$I$127, MATCH(D1504, Archetypes!$A$2:$A$127, 0))*INDEX(Unit_Grades!$C$2:$C$7, MATCH(F1504, Unit_Grades!$A$2:$A$7, 0)),1)</f>
        <v>105.6</v>
      </c>
      <c r="M1504" s="6" t="n">
        <f aca="false">ROUND(INDEX(Archetypes!$J$2:$J$127, MATCH(D1504, Archetypes!$A$2:$A$127, 0))*INDEX(Unit_Grades!$D$2:$D$7, MATCH(F1504, Unit_Grades!$A$2:$A$7, 0)),1)</f>
        <v>67</v>
      </c>
      <c r="N1504" s="6" t="n">
        <f aca="false">ROUND(M1504/24,2)</f>
        <v>2.79</v>
      </c>
    </row>
    <row r="1505" customFormat="false" ht="15" hidden="false" customHeight="true" outlineLevel="0" collapsed="false">
      <c r="A1505" s="6" t="n">
        <v>5</v>
      </c>
      <c r="B1505" s="6" t="s">
        <v>2989</v>
      </c>
      <c r="C1505" s="6" t="s">
        <v>1442</v>
      </c>
      <c r="D1505" s="6" t="str">
        <f aca="false">A1505&amp;"|"&amp;C1505</f>
        <v>5|Void Carrier</v>
      </c>
      <c r="E1505" s="6" t="s">
        <v>1558</v>
      </c>
      <c r="F1505" s="6" t="s">
        <v>1544</v>
      </c>
      <c r="G1505" s="6" t="str">
        <f aca="false">INDEX(Archetypes!$D$2:$D$127, MATCH(D1505, Archetypes!$A$2:$A$127, 0))</f>
        <v>Carrier</v>
      </c>
      <c r="H1505" s="6" t="n">
        <f aca="false">ROUND(INDEX(Archetypes!$E$2:$E$127, MATCH(D1505, Archetypes!$A$2:$A$127, 0))*INDEX(Unit_Grades!$B$2:$B$7, MATCH(F1505, Unit_Grades!$A$2:$A$7, 0))*INDEX(Unit_Paths!$B$2:$B$4, MATCH(E1505, Unit_Paths!$A$2:$A$4, 0)),1)</f>
        <v>1036.8</v>
      </c>
      <c r="I1505" s="6" t="n">
        <f aca="false">ROUND(INDEX(Archetypes!$F$2:$F$127, MATCH(D1505, Archetypes!$A$2:$A$127, 0))*INDEX(Unit_Grades!$B$2:$B$7, MATCH(F1505, Unit_Grades!$A$2:$A$7, 0))*INDEX(Unit_Paths!$C$2:$C$4, MATCH(E1505, Unit_Paths!$A$2:$A$4, 0)),1)</f>
        <v>571.2</v>
      </c>
      <c r="J1505" s="6" t="n">
        <f aca="false">ROUND(INDEX(Archetypes!$G$2:$G$127, MATCH(D1505, Archetypes!$A$2:$A$127, 0))*INDEX(Unit_Grades!$B$2:$B$7, MATCH(F1505, Unit_Grades!$A$2:$A$7, 0))*INDEX(Unit_Paths!$D$2:$D$4, MATCH(E1505, Unit_Paths!$A$2:$A$4, 0)),0)</f>
        <v>4104</v>
      </c>
      <c r="K1505" s="6" t="n">
        <f aca="false">ROUND(INDEX(Archetypes!$H$2:$H$127, MATCH(D1505, Archetypes!$A$2:$A$127, 0))*INDEX(Unit_Paths!$E$2:$E$4, MATCH(E1505, Unit_Paths!$A$2:$A$4, 0)),1)</f>
        <v>52.5</v>
      </c>
      <c r="L1505" s="6" t="n">
        <f aca="false">ROUND(INDEX(Archetypes!$I$2:$I$127, MATCH(D1505, Archetypes!$A$2:$A$127, 0))*INDEX(Unit_Grades!$C$2:$C$7, MATCH(F1505, Unit_Grades!$A$2:$A$7, 0)),1)</f>
        <v>138.6</v>
      </c>
      <c r="M1505" s="6" t="n">
        <f aca="false">ROUND(INDEX(Archetypes!$J$2:$J$127, MATCH(D1505, Archetypes!$A$2:$A$127, 0))*INDEX(Unit_Grades!$D$2:$D$7, MATCH(F1505, Unit_Grades!$A$2:$A$7, 0)),1)</f>
        <v>107.2</v>
      </c>
      <c r="N1505" s="6" t="n">
        <f aca="false">ROUND(M1505/24,2)</f>
        <v>4.47</v>
      </c>
    </row>
    <row r="1506" customFormat="false" ht="15" hidden="false" customHeight="true" outlineLevel="0" collapsed="false">
      <c r="A1506" s="6" t="n">
        <v>5</v>
      </c>
      <c r="B1506" s="6" t="s">
        <v>2990</v>
      </c>
      <c r="C1506" s="6" t="s">
        <v>1442</v>
      </c>
      <c r="D1506" s="6" t="str">
        <f aca="false">A1506&amp;"|"&amp;C1506</f>
        <v>5|Void Carrier</v>
      </c>
      <c r="E1506" s="6" t="s">
        <v>1558</v>
      </c>
      <c r="F1506" s="6" t="s">
        <v>1546</v>
      </c>
      <c r="G1506" s="6" t="str">
        <f aca="false">INDEX(Archetypes!$D$2:$D$127, MATCH(D1506, Archetypes!$A$2:$A$127, 0))</f>
        <v>Carrier</v>
      </c>
      <c r="H1506" s="6" t="n">
        <f aca="false">ROUND(INDEX(Archetypes!$E$2:$E$127, MATCH(D1506, Archetypes!$A$2:$A$127, 0))*INDEX(Unit_Grades!$B$2:$B$7, MATCH(F1506, Unit_Grades!$A$2:$A$7, 0))*INDEX(Unit_Paths!$B$2:$B$4, MATCH(E1506, Unit_Paths!$A$2:$A$4, 0)),1)</f>
        <v>1382.4</v>
      </c>
      <c r="I1506" s="6" t="n">
        <f aca="false">ROUND(INDEX(Archetypes!$F$2:$F$127, MATCH(D1506, Archetypes!$A$2:$A$127, 0))*INDEX(Unit_Grades!$B$2:$B$7, MATCH(F1506, Unit_Grades!$A$2:$A$7, 0))*INDEX(Unit_Paths!$C$2:$C$4, MATCH(E1506, Unit_Paths!$A$2:$A$4, 0)),1)</f>
        <v>761.6</v>
      </c>
      <c r="J1506" s="6" t="n">
        <f aca="false">ROUND(INDEX(Archetypes!$G$2:$G$127, MATCH(D1506, Archetypes!$A$2:$A$127, 0))*INDEX(Unit_Grades!$B$2:$B$7, MATCH(F1506, Unit_Grades!$A$2:$A$7, 0))*INDEX(Unit_Paths!$D$2:$D$4, MATCH(E1506, Unit_Paths!$A$2:$A$4, 0)),0)</f>
        <v>5472</v>
      </c>
      <c r="K1506" s="6" t="n">
        <f aca="false">ROUND(INDEX(Archetypes!$H$2:$H$127, MATCH(D1506, Archetypes!$A$2:$A$127, 0))*INDEX(Unit_Paths!$E$2:$E$4, MATCH(E1506, Unit_Paths!$A$2:$A$4, 0)),1)</f>
        <v>52.5</v>
      </c>
      <c r="L1506" s="6" t="n">
        <f aca="false">ROUND(INDEX(Archetypes!$I$2:$I$127, MATCH(D1506, Archetypes!$A$2:$A$127, 0))*INDEX(Unit_Grades!$C$2:$C$7, MATCH(F1506, Unit_Grades!$A$2:$A$7, 0)),1)</f>
        <v>184.8</v>
      </c>
      <c r="M1506" s="6" t="n">
        <f aca="false">ROUND(INDEX(Archetypes!$J$2:$J$127, MATCH(D1506, Archetypes!$A$2:$A$127, 0))*INDEX(Unit_Grades!$D$2:$D$7, MATCH(F1506, Unit_Grades!$A$2:$A$7, 0)),1)</f>
        <v>187.5</v>
      </c>
      <c r="N1506" s="6" t="n">
        <f aca="false">ROUND(M1506/24,2)</f>
        <v>7.81</v>
      </c>
    </row>
    <row r="1507" customFormat="false" ht="15" hidden="false" customHeight="true" outlineLevel="0" collapsed="false">
      <c r="A1507" s="6" t="n">
        <v>5</v>
      </c>
      <c r="B1507" s="6" t="s">
        <v>2991</v>
      </c>
      <c r="C1507" s="6" t="s">
        <v>1442</v>
      </c>
      <c r="D1507" s="6" t="str">
        <f aca="false">A1507&amp;"|"&amp;C1507</f>
        <v>5|Void Carrier</v>
      </c>
      <c r="E1507" s="6" t="s">
        <v>1558</v>
      </c>
      <c r="F1507" s="6" t="s">
        <v>1548</v>
      </c>
      <c r="G1507" s="6" t="str">
        <f aca="false">INDEX(Archetypes!$D$2:$D$127, MATCH(D1507, Archetypes!$A$2:$A$127, 0))</f>
        <v>Carrier</v>
      </c>
      <c r="H1507" s="6" t="n">
        <f aca="false">ROUND(INDEX(Archetypes!$E$2:$E$127, MATCH(D1507, Archetypes!$A$2:$A$127, 0))*INDEX(Unit_Grades!$B$2:$B$7, MATCH(F1507, Unit_Grades!$A$2:$A$7, 0))*INDEX(Unit_Paths!$B$2:$B$4, MATCH(E1507, Unit_Paths!$A$2:$A$4, 0)),1)</f>
        <v>1814.4</v>
      </c>
      <c r="I1507" s="6" t="n">
        <f aca="false">ROUND(INDEX(Archetypes!$F$2:$F$127, MATCH(D1507, Archetypes!$A$2:$A$127, 0))*INDEX(Unit_Grades!$B$2:$B$7, MATCH(F1507, Unit_Grades!$A$2:$A$7, 0))*INDEX(Unit_Paths!$C$2:$C$4, MATCH(E1507, Unit_Paths!$A$2:$A$4, 0)),1)</f>
        <v>999.6</v>
      </c>
      <c r="J1507" s="6" t="n">
        <f aca="false">ROUND(INDEX(Archetypes!$G$2:$G$127, MATCH(D1507, Archetypes!$A$2:$A$127, 0))*INDEX(Unit_Grades!$B$2:$B$7, MATCH(F1507, Unit_Grades!$A$2:$A$7, 0))*INDEX(Unit_Paths!$D$2:$D$4, MATCH(E1507, Unit_Paths!$A$2:$A$4, 0)),0)</f>
        <v>7182</v>
      </c>
      <c r="K1507" s="6" t="n">
        <f aca="false">ROUND(INDEX(Archetypes!$H$2:$H$127, MATCH(D1507, Archetypes!$A$2:$A$127, 0))*INDEX(Unit_Paths!$E$2:$E$4, MATCH(E1507, Unit_Paths!$A$2:$A$4, 0)),1)</f>
        <v>52.5</v>
      </c>
      <c r="L1507" s="6" t="n">
        <f aca="false">ROUND(INDEX(Archetypes!$I$2:$I$127, MATCH(D1507, Archetypes!$A$2:$A$127, 0))*INDEX(Unit_Grades!$C$2:$C$7, MATCH(F1507, Unit_Grades!$A$2:$A$7, 0)),1)</f>
        <v>244.2</v>
      </c>
      <c r="M1507" s="6" t="n">
        <f aca="false">ROUND(INDEX(Archetypes!$J$2:$J$127, MATCH(D1507, Archetypes!$A$2:$A$127, 0))*INDEX(Unit_Grades!$D$2:$D$7, MATCH(F1507, Unit_Grades!$A$2:$A$7, 0)),1)</f>
        <v>321.5</v>
      </c>
      <c r="N1507" s="6" t="n">
        <f aca="false">ROUND(M1507/24,2)</f>
        <v>13.4</v>
      </c>
    </row>
    <row r="1508" customFormat="false" ht="15" hidden="false" customHeight="true" outlineLevel="0" collapsed="false">
      <c r="A1508" s="6" t="n">
        <v>5</v>
      </c>
      <c r="B1508" s="6" t="s">
        <v>2992</v>
      </c>
      <c r="C1508" s="6" t="s">
        <v>1442</v>
      </c>
      <c r="D1508" s="6" t="str">
        <f aca="false">A1508&amp;"|"&amp;C1508</f>
        <v>5|Void Carrier</v>
      </c>
      <c r="E1508" s="6" t="s">
        <v>1560</v>
      </c>
      <c r="F1508" s="6" t="s">
        <v>1538</v>
      </c>
      <c r="G1508" s="6" t="str">
        <f aca="false">INDEX(Archetypes!$D$2:$D$127, MATCH(D1508, Archetypes!$A$2:$A$127, 0))</f>
        <v>Carrier</v>
      </c>
      <c r="H1508" s="6" t="n">
        <f aca="false">ROUND(INDEX(Archetypes!$E$2:$E$127, MATCH(D1508, Archetypes!$A$2:$A$127, 0))*INDEX(Unit_Grades!$B$2:$B$7, MATCH(F1508, Unit_Grades!$A$2:$A$7, 0))*INDEX(Unit_Paths!$B$2:$B$4, MATCH(E1508, Unit_Paths!$A$2:$A$4, 0)),1)</f>
        <v>306</v>
      </c>
      <c r="I1508" s="6" t="n">
        <f aca="false">ROUND(INDEX(Archetypes!$F$2:$F$127, MATCH(D1508, Archetypes!$A$2:$A$127, 0))*INDEX(Unit_Grades!$B$2:$B$7, MATCH(F1508, Unit_Grades!$A$2:$A$7, 0))*INDEX(Unit_Paths!$C$2:$C$4, MATCH(E1508, Unit_Paths!$A$2:$A$4, 0)),1)</f>
        <v>350</v>
      </c>
      <c r="J1508" s="6" t="n">
        <f aca="false">ROUND(INDEX(Archetypes!$G$2:$G$127, MATCH(D1508, Archetypes!$A$2:$A$127, 0))*INDEX(Unit_Grades!$B$2:$B$7, MATCH(F1508, Unit_Grades!$A$2:$A$7, 0))*INDEX(Unit_Paths!$D$2:$D$4, MATCH(E1508, Unit_Paths!$A$2:$A$4, 0)),0)</f>
        <v>2070</v>
      </c>
      <c r="K1508" s="6" t="n">
        <f aca="false">ROUND(INDEX(Archetypes!$H$2:$H$127, MATCH(D1508, Archetypes!$A$2:$A$127, 0))*INDEX(Unit_Paths!$E$2:$E$4, MATCH(E1508, Unit_Paths!$A$2:$A$4, 0)),1)</f>
        <v>46</v>
      </c>
      <c r="L1508" s="6" t="n">
        <f aca="false">ROUND(INDEX(Archetypes!$I$2:$I$127, MATCH(D1508, Archetypes!$A$2:$A$127, 0))*INDEX(Unit_Grades!$C$2:$C$7, MATCH(F1508, Unit_Grades!$A$2:$A$7, 0)),1)</f>
        <v>66</v>
      </c>
      <c r="M1508" s="6" t="n">
        <f aca="false">ROUND(INDEX(Archetypes!$J$2:$J$127, MATCH(D1508, Archetypes!$A$2:$A$127, 0))*INDEX(Unit_Grades!$D$2:$D$7, MATCH(F1508, Unit_Grades!$A$2:$A$7, 0)),1)</f>
        <v>26.8</v>
      </c>
      <c r="N1508" s="6" t="n">
        <f aca="false">ROUND(M1508/24,2)</f>
        <v>1.12</v>
      </c>
    </row>
    <row r="1509" customFormat="false" ht="15" hidden="false" customHeight="true" outlineLevel="0" collapsed="false">
      <c r="A1509" s="6" t="n">
        <v>5</v>
      </c>
      <c r="B1509" s="6" t="s">
        <v>2993</v>
      </c>
      <c r="C1509" s="6" t="s">
        <v>1442</v>
      </c>
      <c r="D1509" s="6" t="str">
        <f aca="false">A1509&amp;"|"&amp;C1509</f>
        <v>5|Void Carrier</v>
      </c>
      <c r="E1509" s="6" t="s">
        <v>1560</v>
      </c>
      <c r="F1509" s="6" t="s">
        <v>1540</v>
      </c>
      <c r="G1509" s="6" t="str">
        <f aca="false">INDEX(Archetypes!$D$2:$D$127, MATCH(D1509, Archetypes!$A$2:$A$127, 0))</f>
        <v>Carrier</v>
      </c>
      <c r="H1509" s="6" t="n">
        <f aca="false">ROUND(INDEX(Archetypes!$E$2:$E$127, MATCH(D1509, Archetypes!$A$2:$A$127, 0))*INDEX(Unit_Grades!$B$2:$B$7, MATCH(F1509, Unit_Grades!$A$2:$A$7, 0))*INDEX(Unit_Paths!$B$2:$B$4, MATCH(E1509, Unit_Paths!$A$2:$A$4, 0)),1)</f>
        <v>413.1</v>
      </c>
      <c r="I1509" s="6" t="n">
        <f aca="false">ROUND(INDEX(Archetypes!$F$2:$F$127, MATCH(D1509, Archetypes!$A$2:$A$127, 0))*INDEX(Unit_Grades!$B$2:$B$7, MATCH(F1509, Unit_Grades!$A$2:$A$7, 0))*INDEX(Unit_Paths!$C$2:$C$4, MATCH(E1509, Unit_Paths!$A$2:$A$4, 0)),1)</f>
        <v>472.5</v>
      </c>
      <c r="J1509" s="6" t="n">
        <f aca="false">ROUND(INDEX(Archetypes!$G$2:$G$127, MATCH(D1509, Archetypes!$A$2:$A$127, 0))*INDEX(Unit_Grades!$B$2:$B$7, MATCH(F1509, Unit_Grades!$A$2:$A$7, 0))*INDEX(Unit_Paths!$D$2:$D$4, MATCH(E1509, Unit_Paths!$A$2:$A$4, 0)),0)</f>
        <v>2795</v>
      </c>
      <c r="K1509" s="6" t="n">
        <f aca="false">ROUND(INDEX(Archetypes!$H$2:$H$127, MATCH(D1509, Archetypes!$A$2:$A$127, 0))*INDEX(Unit_Paths!$E$2:$E$4, MATCH(E1509, Unit_Paths!$A$2:$A$4, 0)),1)</f>
        <v>46</v>
      </c>
      <c r="L1509" s="6" t="n">
        <f aca="false">ROUND(INDEX(Archetypes!$I$2:$I$127, MATCH(D1509, Archetypes!$A$2:$A$127, 0))*INDEX(Unit_Grades!$C$2:$C$7, MATCH(F1509, Unit_Grades!$A$2:$A$7, 0)),1)</f>
        <v>82.5</v>
      </c>
      <c r="M1509" s="6" t="n">
        <f aca="false">ROUND(INDEX(Archetypes!$J$2:$J$127, MATCH(D1509, Archetypes!$A$2:$A$127, 0))*INDEX(Unit_Grades!$D$2:$D$7, MATCH(F1509, Unit_Grades!$A$2:$A$7, 0)),1)</f>
        <v>40.2</v>
      </c>
      <c r="N1509" s="6" t="n">
        <f aca="false">ROUND(M1509/24,2)</f>
        <v>1.68</v>
      </c>
    </row>
    <row r="1510" customFormat="false" ht="15" hidden="false" customHeight="true" outlineLevel="0" collapsed="false">
      <c r="A1510" s="6" t="n">
        <v>5</v>
      </c>
      <c r="B1510" s="6" t="s">
        <v>2994</v>
      </c>
      <c r="C1510" s="6" t="s">
        <v>1442</v>
      </c>
      <c r="D1510" s="6" t="str">
        <f aca="false">A1510&amp;"|"&amp;C1510</f>
        <v>5|Void Carrier</v>
      </c>
      <c r="E1510" s="6" t="s">
        <v>1560</v>
      </c>
      <c r="F1510" s="6" t="s">
        <v>1542</v>
      </c>
      <c r="G1510" s="6" t="str">
        <f aca="false">INDEX(Archetypes!$D$2:$D$127, MATCH(D1510, Archetypes!$A$2:$A$127, 0))</f>
        <v>Carrier</v>
      </c>
      <c r="H1510" s="6" t="n">
        <f aca="false">ROUND(INDEX(Archetypes!$E$2:$E$127, MATCH(D1510, Archetypes!$A$2:$A$127, 0))*INDEX(Unit_Grades!$B$2:$B$7, MATCH(F1510, Unit_Grades!$A$2:$A$7, 0))*INDEX(Unit_Paths!$B$2:$B$4, MATCH(E1510, Unit_Paths!$A$2:$A$4, 0)),1)</f>
        <v>550.8</v>
      </c>
      <c r="I1510" s="6" t="n">
        <f aca="false">ROUND(INDEX(Archetypes!$F$2:$F$127, MATCH(D1510, Archetypes!$A$2:$A$127, 0))*INDEX(Unit_Grades!$B$2:$B$7, MATCH(F1510, Unit_Grades!$A$2:$A$7, 0))*INDEX(Unit_Paths!$C$2:$C$4, MATCH(E1510, Unit_Paths!$A$2:$A$4, 0)),1)</f>
        <v>630</v>
      </c>
      <c r="J1510" s="6" t="n">
        <f aca="false">ROUND(INDEX(Archetypes!$G$2:$G$127, MATCH(D1510, Archetypes!$A$2:$A$127, 0))*INDEX(Unit_Grades!$B$2:$B$7, MATCH(F1510, Unit_Grades!$A$2:$A$7, 0))*INDEX(Unit_Paths!$D$2:$D$4, MATCH(E1510, Unit_Paths!$A$2:$A$4, 0)),0)</f>
        <v>3726</v>
      </c>
      <c r="K1510" s="6" t="n">
        <f aca="false">ROUND(INDEX(Archetypes!$H$2:$H$127, MATCH(D1510, Archetypes!$A$2:$A$127, 0))*INDEX(Unit_Paths!$E$2:$E$4, MATCH(E1510, Unit_Paths!$A$2:$A$4, 0)),1)</f>
        <v>46</v>
      </c>
      <c r="L1510" s="6" t="n">
        <f aca="false">ROUND(INDEX(Archetypes!$I$2:$I$127, MATCH(D1510, Archetypes!$A$2:$A$127, 0))*INDEX(Unit_Grades!$C$2:$C$7, MATCH(F1510, Unit_Grades!$A$2:$A$7, 0)),1)</f>
        <v>105.6</v>
      </c>
      <c r="M1510" s="6" t="n">
        <f aca="false">ROUND(INDEX(Archetypes!$J$2:$J$127, MATCH(D1510, Archetypes!$A$2:$A$127, 0))*INDEX(Unit_Grades!$D$2:$D$7, MATCH(F1510, Unit_Grades!$A$2:$A$7, 0)),1)</f>
        <v>67</v>
      </c>
      <c r="N1510" s="6" t="n">
        <f aca="false">ROUND(M1510/24,2)</f>
        <v>2.79</v>
      </c>
    </row>
    <row r="1511" customFormat="false" ht="15" hidden="false" customHeight="true" outlineLevel="0" collapsed="false">
      <c r="A1511" s="6" t="n">
        <v>5</v>
      </c>
      <c r="B1511" s="6" t="s">
        <v>2995</v>
      </c>
      <c r="C1511" s="6" t="s">
        <v>1442</v>
      </c>
      <c r="D1511" s="6" t="str">
        <f aca="false">A1511&amp;"|"&amp;C1511</f>
        <v>5|Void Carrier</v>
      </c>
      <c r="E1511" s="6" t="s">
        <v>1560</v>
      </c>
      <c r="F1511" s="6" t="s">
        <v>1544</v>
      </c>
      <c r="G1511" s="6" t="str">
        <f aca="false">INDEX(Archetypes!$D$2:$D$127, MATCH(D1511, Archetypes!$A$2:$A$127, 0))</f>
        <v>Carrier</v>
      </c>
      <c r="H1511" s="6" t="n">
        <f aca="false">ROUND(INDEX(Archetypes!$E$2:$E$127, MATCH(D1511, Archetypes!$A$2:$A$127, 0))*INDEX(Unit_Grades!$B$2:$B$7, MATCH(F1511, Unit_Grades!$A$2:$A$7, 0))*INDEX(Unit_Paths!$B$2:$B$4, MATCH(E1511, Unit_Paths!$A$2:$A$4, 0)),1)</f>
        <v>734.4</v>
      </c>
      <c r="I1511" s="6" t="n">
        <f aca="false">ROUND(INDEX(Archetypes!$F$2:$F$127, MATCH(D1511, Archetypes!$A$2:$A$127, 0))*INDEX(Unit_Grades!$B$2:$B$7, MATCH(F1511, Unit_Grades!$A$2:$A$7, 0))*INDEX(Unit_Paths!$C$2:$C$4, MATCH(E1511, Unit_Paths!$A$2:$A$4, 0)),1)</f>
        <v>840</v>
      </c>
      <c r="J1511" s="6" t="n">
        <f aca="false">ROUND(INDEX(Archetypes!$G$2:$G$127, MATCH(D1511, Archetypes!$A$2:$A$127, 0))*INDEX(Unit_Grades!$B$2:$B$7, MATCH(F1511, Unit_Grades!$A$2:$A$7, 0))*INDEX(Unit_Paths!$D$2:$D$4, MATCH(E1511, Unit_Paths!$A$2:$A$4, 0)),0)</f>
        <v>4968</v>
      </c>
      <c r="K1511" s="6" t="n">
        <f aca="false">ROUND(INDEX(Archetypes!$H$2:$H$127, MATCH(D1511, Archetypes!$A$2:$A$127, 0))*INDEX(Unit_Paths!$E$2:$E$4, MATCH(E1511, Unit_Paths!$A$2:$A$4, 0)),1)</f>
        <v>46</v>
      </c>
      <c r="L1511" s="6" t="n">
        <f aca="false">ROUND(INDEX(Archetypes!$I$2:$I$127, MATCH(D1511, Archetypes!$A$2:$A$127, 0))*INDEX(Unit_Grades!$C$2:$C$7, MATCH(F1511, Unit_Grades!$A$2:$A$7, 0)),1)</f>
        <v>138.6</v>
      </c>
      <c r="M1511" s="6" t="n">
        <f aca="false">ROUND(INDEX(Archetypes!$J$2:$J$127, MATCH(D1511, Archetypes!$A$2:$A$127, 0))*INDEX(Unit_Grades!$D$2:$D$7, MATCH(F1511, Unit_Grades!$A$2:$A$7, 0)),1)</f>
        <v>107.2</v>
      </c>
      <c r="N1511" s="6" t="n">
        <f aca="false">ROUND(M1511/24,2)</f>
        <v>4.47</v>
      </c>
    </row>
    <row r="1512" customFormat="false" ht="15" hidden="false" customHeight="true" outlineLevel="0" collapsed="false">
      <c r="A1512" s="6" t="n">
        <v>5</v>
      </c>
      <c r="B1512" s="6" t="s">
        <v>2996</v>
      </c>
      <c r="C1512" s="6" t="s">
        <v>1442</v>
      </c>
      <c r="D1512" s="6" t="str">
        <f aca="false">A1512&amp;"|"&amp;C1512</f>
        <v>5|Void Carrier</v>
      </c>
      <c r="E1512" s="6" t="s">
        <v>1560</v>
      </c>
      <c r="F1512" s="6" t="s">
        <v>1546</v>
      </c>
      <c r="G1512" s="6" t="str">
        <f aca="false">INDEX(Archetypes!$D$2:$D$127, MATCH(D1512, Archetypes!$A$2:$A$127, 0))</f>
        <v>Carrier</v>
      </c>
      <c r="H1512" s="6" t="n">
        <f aca="false">ROUND(INDEX(Archetypes!$E$2:$E$127, MATCH(D1512, Archetypes!$A$2:$A$127, 0))*INDEX(Unit_Grades!$B$2:$B$7, MATCH(F1512, Unit_Grades!$A$2:$A$7, 0))*INDEX(Unit_Paths!$B$2:$B$4, MATCH(E1512, Unit_Paths!$A$2:$A$4, 0)),1)</f>
        <v>979.2</v>
      </c>
      <c r="I1512" s="6" t="n">
        <f aca="false">ROUND(INDEX(Archetypes!$F$2:$F$127, MATCH(D1512, Archetypes!$A$2:$A$127, 0))*INDEX(Unit_Grades!$B$2:$B$7, MATCH(F1512, Unit_Grades!$A$2:$A$7, 0))*INDEX(Unit_Paths!$C$2:$C$4, MATCH(E1512, Unit_Paths!$A$2:$A$4, 0)),1)</f>
        <v>1120</v>
      </c>
      <c r="J1512" s="6" t="n">
        <f aca="false">ROUND(INDEX(Archetypes!$G$2:$G$127, MATCH(D1512, Archetypes!$A$2:$A$127, 0))*INDEX(Unit_Grades!$B$2:$B$7, MATCH(F1512, Unit_Grades!$A$2:$A$7, 0))*INDEX(Unit_Paths!$D$2:$D$4, MATCH(E1512, Unit_Paths!$A$2:$A$4, 0)),0)</f>
        <v>6624</v>
      </c>
      <c r="K1512" s="6" t="n">
        <f aca="false">ROUND(INDEX(Archetypes!$H$2:$H$127, MATCH(D1512, Archetypes!$A$2:$A$127, 0))*INDEX(Unit_Paths!$E$2:$E$4, MATCH(E1512, Unit_Paths!$A$2:$A$4, 0)),1)</f>
        <v>46</v>
      </c>
      <c r="L1512" s="6" t="n">
        <f aca="false">ROUND(INDEX(Archetypes!$I$2:$I$127, MATCH(D1512, Archetypes!$A$2:$A$127, 0))*INDEX(Unit_Grades!$C$2:$C$7, MATCH(F1512, Unit_Grades!$A$2:$A$7, 0)),1)</f>
        <v>184.8</v>
      </c>
      <c r="M1512" s="6" t="n">
        <f aca="false">ROUND(INDEX(Archetypes!$J$2:$J$127, MATCH(D1512, Archetypes!$A$2:$A$127, 0))*INDEX(Unit_Grades!$D$2:$D$7, MATCH(F1512, Unit_Grades!$A$2:$A$7, 0)),1)</f>
        <v>187.5</v>
      </c>
      <c r="N1512" s="6" t="n">
        <f aca="false">ROUND(M1512/24,2)</f>
        <v>7.81</v>
      </c>
    </row>
    <row r="1513" customFormat="false" ht="15" hidden="false" customHeight="true" outlineLevel="0" collapsed="false">
      <c r="A1513" s="6" t="n">
        <v>5</v>
      </c>
      <c r="B1513" s="6" t="s">
        <v>2997</v>
      </c>
      <c r="C1513" s="6" t="s">
        <v>1442</v>
      </c>
      <c r="D1513" s="6" t="str">
        <f aca="false">A1513&amp;"|"&amp;C1513</f>
        <v>5|Void Carrier</v>
      </c>
      <c r="E1513" s="6" t="s">
        <v>1560</v>
      </c>
      <c r="F1513" s="6" t="s">
        <v>1548</v>
      </c>
      <c r="G1513" s="6" t="str">
        <f aca="false">INDEX(Archetypes!$D$2:$D$127, MATCH(D1513, Archetypes!$A$2:$A$127, 0))</f>
        <v>Carrier</v>
      </c>
      <c r="H1513" s="6" t="n">
        <f aca="false">ROUND(INDEX(Archetypes!$E$2:$E$127, MATCH(D1513, Archetypes!$A$2:$A$127, 0))*INDEX(Unit_Grades!$B$2:$B$7, MATCH(F1513, Unit_Grades!$A$2:$A$7, 0))*INDEX(Unit_Paths!$B$2:$B$4, MATCH(E1513, Unit_Paths!$A$2:$A$4, 0)),1)</f>
        <v>1285.2</v>
      </c>
      <c r="I1513" s="6" t="n">
        <f aca="false">ROUND(INDEX(Archetypes!$F$2:$F$127, MATCH(D1513, Archetypes!$A$2:$A$127, 0))*INDEX(Unit_Grades!$B$2:$B$7, MATCH(F1513, Unit_Grades!$A$2:$A$7, 0))*INDEX(Unit_Paths!$C$2:$C$4, MATCH(E1513, Unit_Paths!$A$2:$A$4, 0)),1)</f>
        <v>1470</v>
      </c>
      <c r="J1513" s="6" t="n">
        <f aca="false">ROUND(INDEX(Archetypes!$G$2:$G$127, MATCH(D1513, Archetypes!$A$2:$A$127, 0))*INDEX(Unit_Grades!$B$2:$B$7, MATCH(F1513, Unit_Grades!$A$2:$A$7, 0))*INDEX(Unit_Paths!$D$2:$D$4, MATCH(E1513, Unit_Paths!$A$2:$A$4, 0)),0)</f>
        <v>8694</v>
      </c>
      <c r="K1513" s="6" t="n">
        <f aca="false">ROUND(INDEX(Archetypes!$H$2:$H$127, MATCH(D1513, Archetypes!$A$2:$A$127, 0))*INDEX(Unit_Paths!$E$2:$E$4, MATCH(E1513, Unit_Paths!$A$2:$A$4, 0)),1)</f>
        <v>46</v>
      </c>
      <c r="L1513" s="6" t="n">
        <f aca="false">ROUND(INDEX(Archetypes!$I$2:$I$127, MATCH(D1513, Archetypes!$A$2:$A$127, 0))*INDEX(Unit_Grades!$C$2:$C$7, MATCH(F1513, Unit_Grades!$A$2:$A$7, 0)),1)</f>
        <v>244.2</v>
      </c>
      <c r="M1513" s="6" t="n">
        <f aca="false">ROUND(INDEX(Archetypes!$J$2:$J$127, MATCH(D1513, Archetypes!$A$2:$A$127, 0))*INDEX(Unit_Grades!$D$2:$D$7, MATCH(F1513, Unit_Grades!$A$2:$A$7, 0)),1)</f>
        <v>321.5</v>
      </c>
      <c r="N1513" s="6" t="n">
        <f aca="false">ROUND(M1513/24,2)</f>
        <v>13.4</v>
      </c>
    </row>
    <row r="1514" customFormat="false" ht="15" hidden="false" customHeight="true" outlineLevel="0" collapsed="false">
      <c r="A1514" s="6" t="n">
        <v>5</v>
      </c>
      <c r="B1514" s="6" t="s">
        <v>1445</v>
      </c>
      <c r="C1514" s="6" t="s">
        <v>1445</v>
      </c>
      <c r="D1514" s="6" t="str">
        <f aca="false">A1514&amp;"|"&amp;C1514</f>
        <v>5|Strike Wing</v>
      </c>
      <c r="E1514" s="6" t="s">
        <v>1556</v>
      </c>
      <c r="F1514" s="6" t="s">
        <v>1538</v>
      </c>
      <c r="G1514" s="6" t="str">
        <f aca="false">INDEX(Archetypes!$D$2:$D$127, MATCH(D1514, Archetypes!$A$2:$A$127, 0))</f>
        <v>Air Strike</v>
      </c>
      <c r="H1514" s="6" t="n">
        <f aca="false">ROUND(INDEX(Archetypes!$E$2:$E$127, MATCH(D1514, Archetypes!$A$2:$A$127, 0))*INDEX(Unit_Grades!$B$2:$B$7, MATCH(F1514, Unit_Grades!$A$2:$A$7, 0))*INDEX(Unit_Paths!$B$2:$B$4, MATCH(E1514, Unit_Paths!$A$2:$A$4, 0)),1)</f>
        <v>320</v>
      </c>
      <c r="I1514" s="6" t="n">
        <f aca="false">ROUND(INDEX(Archetypes!$F$2:$F$127, MATCH(D1514, Archetypes!$A$2:$A$127, 0))*INDEX(Unit_Grades!$B$2:$B$7, MATCH(F1514, Unit_Grades!$A$2:$A$7, 0))*INDEX(Unit_Paths!$C$2:$C$4, MATCH(E1514, Unit_Paths!$A$2:$A$4, 0)),1)</f>
        <v>90</v>
      </c>
      <c r="J1514" s="6" t="n">
        <f aca="false">ROUND(INDEX(Archetypes!$G$2:$G$127, MATCH(D1514, Archetypes!$A$2:$A$127, 0))*INDEX(Unit_Grades!$B$2:$B$7, MATCH(F1514, Unit_Grades!$A$2:$A$7, 0))*INDEX(Unit_Paths!$D$2:$D$4, MATCH(E1514, Unit_Paths!$A$2:$A$4, 0)),0)</f>
        <v>380</v>
      </c>
      <c r="K1514" s="6" t="n">
        <f aca="false">ROUND(INDEX(Archetypes!$H$2:$H$127, MATCH(D1514, Archetypes!$A$2:$A$127, 0))*INDEX(Unit_Paths!$E$2:$E$4, MATCH(E1514, Unit_Paths!$A$2:$A$4, 0)),1)</f>
        <v>120</v>
      </c>
      <c r="L1514" s="6" t="n">
        <f aca="false">ROUND(INDEX(Archetypes!$I$2:$I$127, MATCH(D1514, Archetypes!$A$2:$A$127, 0))*INDEX(Unit_Grades!$C$2:$C$7, MATCH(F1514, Unit_Grades!$A$2:$A$7, 0)),1)</f>
        <v>30</v>
      </c>
      <c r="M1514" s="6" t="n">
        <f aca="false">ROUND(INDEX(Archetypes!$J$2:$J$127, MATCH(D1514, Archetypes!$A$2:$A$127, 0))*INDEX(Unit_Grades!$D$2:$D$7, MATCH(F1514, Unit_Grades!$A$2:$A$7, 0)),1)</f>
        <v>12.2</v>
      </c>
      <c r="N1514" s="6" t="n">
        <f aca="false">ROUND(M1514/24,2)</f>
        <v>0.51</v>
      </c>
    </row>
    <row r="1515" customFormat="false" ht="15" hidden="false" customHeight="true" outlineLevel="0" collapsed="false">
      <c r="A1515" s="6" t="n">
        <v>5</v>
      </c>
      <c r="B1515" s="6" t="s">
        <v>2998</v>
      </c>
      <c r="C1515" s="6" t="s">
        <v>1445</v>
      </c>
      <c r="D1515" s="6" t="str">
        <f aca="false">A1515&amp;"|"&amp;C1515</f>
        <v>5|Strike Wing</v>
      </c>
      <c r="E1515" s="6" t="s">
        <v>1556</v>
      </c>
      <c r="F1515" s="6" t="s">
        <v>1540</v>
      </c>
      <c r="G1515" s="6" t="str">
        <f aca="false">INDEX(Archetypes!$D$2:$D$127, MATCH(D1515, Archetypes!$A$2:$A$127, 0))</f>
        <v>Air Strike</v>
      </c>
      <c r="H1515" s="6" t="n">
        <f aca="false">ROUND(INDEX(Archetypes!$E$2:$E$127, MATCH(D1515, Archetypes!$A$2:$A$127, 0))*INDEX(Unit_Grades!$B$2:$B$7, MATCH(F1515, Unit_Grades!$A$2:$A$7, 0))*INDEX(Unit_Paths!$B$2:$B$4, MATCH(E1515, Unit_Paths!$A$2:$A$4, 0)),1)</f>
        <v>432</v>
      </c>
      <c r="I1515" s="6" t="n">
        <f aca="false">ROUND(INDEX(Archetypes!$F$2:$F$127, MATCH(D1515, Archetypes!$A$2:$A$127, 0))*INDEX(Unit_Grades!$B$2:$B$7, MATCH(F1515, Unit_Grades!$A$2:$A$7, 0))*INDEX(Unit_Paths!$C$2:$C$4, MATCH(E1515, Unit_Paths!$A$2:$A$4, 0)),1)</f>
        <v>121.5</v>
      </c>
      <c r="J1515" s="6" t="n">
        <f aca="false">ROUND(INDEX(Archetypes!$G$2:$G$127, MATCH(D1515, Archetypes!$A$2:$A$127, 0))*INDEX(Unit_Grades!$B$2:$B$7, MATCH(F1515, Unit_Grades!$A$2:$A$7, 0))*INDEX(Unit_Paths!$D$2:$D$4, MATCH(E1515, Unit_Paths!$A$2:$A$4, 0)),0)</f>
        <v>513</v>
      </c>
      <c r="K1515" s="6" t="n">
        <f aca="false">ROUND(INDEX(Archetypes!$H$2:$H$127, MATCH(D1515, Archetypes!$A$2:$A$127, 0))*INDEX(Unit_Paths!$E$2:$E$4, MATCH(E1515, Unit_Paths!$A$2:$A$4, 0)),1)</f>
        <v>120</v>
      </c>
      <c r="L1515" s="6" t="n">
        <f aca="false">ROUND(INDEX(Archetypes!$I$2:$I$127, MATCH(D1515, Archetypes!$A$2:$A$127, 0))*INDEX(Unit_Grades!$C$2:$C$7, MATCH(F1515, Unit_Grades!$A$2:$A$7, 0)),1)</f>
        <v>37.5</v>
      </c>
      <c r="M1515" s="6" t="n">
        <f aca="false">ROUND(INDEX(Archetypes!$J$2:$J$127, MATCH(D1515, Archetypes!$A$2:$A$127, 0))*INDEX(Unit_Grades!$D$2:$D$7, MATCH(F1515, Unit_Grades!$A$2:$A$7, 0)),1)</f>
        <v>18.3</v>
      </c>
      <c r="N1515" s="6" t="n">
        <f aca="false">ROUND(M1515/24,2)</f>
        <v>0.76</v>
      </c>
    </row>
    <row r="1516" customFormat="false" ht="15" hidden="false" customHeight="true" outlineLevel="0" collapsed="false">
      <c r="A1516" s="6" t="n">
        <v>5</v>
      </c>
      <c r="B1516" s="6" t="s">
        <v>2999</v>
      </c>
      <c r="C1516" s="6" t="s">
        <v>1445</v>
      </c>
      <c r="D1516" s="6" t="str">
        <f aca="false">A1516&amp;"|"&amp;C1516</f>
        <v>5|Strike Wing</v>
      </c>
      <c r="E1516" s="6" t="s">
        <v>1556</v>
      </c>
      <c r="F1516" s="6" t="s">
        <v>1542</v>
      </c>
      <c r="G1516" s="6" t="str">
        <f aca="false">INDEX(Archetypes!$D$2:$D$127, MATCH(D1516, Archetypes!$A$2:$A$127, 0))</f>
        <v>Air Strike</v>
      </c>
      <c r="H1516" s="6" t="n">
        <f aca="false">ROUND(INDEX(Archetypes!$E$2:$E$127, MATCH(D1516, Archetypes!$A$2:$A$127, 0))*INDEX(Unit_Grades!$B$2:$B$7, MATCH(F1516, Unit_Grades!$A$2:$A$7, 0))*INDEX(Unit_Paths!$B$2:$B$4, MATCH(E1516, Unit_Paths!$A$2:$A$4, 0)),1)</f>
        <v>576</v>
      </c>
      <c r="I1516" s="6" t="n">
        <f aca="false">ROUND(INDEX(Archetypes!$F$2:$F$127, MATCH(D1516, Archetypes!$A$2:$A$127, 0))*INDEX(Unit_Grades!$B$2:$B$7, MATCH(F1516, Unit_Grades!$A$2:$A$7, 0))*INDEX(Unit_Paths!$C$2:$C$4, MATCH(E1516, Unit_Paths!$A$2:$A$4, 0)),1)</f>
        <v>162</v>
      </c>
      <c r="J1516" s="6" t="n">
        <f aca="false">ROUND(INDEX(Archetypes!$G$2:$G$127, MATCH(D1516, Archetypes!$A$2:$A$127, 0))*INDEX(Unit_Grades!$B$2:$B$7, MATCH(F1516, Unit_Grades!$A$2:$A$7, 0))*INDEX(Unit_Paths!$D$2:$D$4, MATCH(E1516, Unit_Paths!$A$2:$A$4, 0)),0)</f>
        <v>684</v>
      </c>
      <c r="K1516" s="6" t="n">
        <f aca="false">ROUND(INDEX(Archetypes!$H$2:$H$127, MATCH(D1516, Archetypes!$A$2:$A$127, 0))*INDEX(Unit_Paths!$E$2:$E$4, MATCH(E1516, Unit_Paths!$A$2:$A$4, 0)),1)</f>
        <v>120</v>
      </c>
      <c r="L1516" s="6" t="n">
        <f aca="false">ROUND(INDEX(Archetypes!$I$2:$I$127, MATCH(D1516, Archetypes!$A$2:$A$127, 0))*INDEX(Unit_Grades!$C$2:$C$7, MATCH(F1516, Unit_Grades!$A$2:$A$7, 0)),1)</f>
        <v>48</v>
      </c>
      <c r="M1516" s="6" t="n">
        <f aca="false">ROUND(INDEX(Archetypes!$J$2:$J$127, MATCH(D1516, Archetypes!$A$2:$A$127, 0))*INDEX(Unit_Grades!$D$2:$D$7, MATCH(F1516, Unit_Grades!$A$2:$A$7, 0)),1)</f>
        <v>30.5</v>
      </c>
      <c r="N1516" s="6" t="n">
        <f aca="false">ROUND(M1516/24,2)</f>
        <v>1.27</v>
      </c>
    </row>
    <row r="1517" customFormat="false" ht="15" hidden="false" customHeight="true" outlineLevel="0" collapsed="false">
      <c r="A1517" s="6" t="n">
        <v>5</v>
      </c>
      <c r="B1517" s="6" t="s">
        <v>3000</v>
      </c>
      <c r="C1517" s="6" t="s">
        <v>1445</v>
      </c>
      <c r="D1517" s="6" t="str">
        <f aca="false">A1517&amp;"|"&amp;C1517</f>
        <v>5|Strike Wing</v>
      </c>
      <c r="E1517" s="6" t="s">
        <v>1556</v>
      </c>
      <c r="F1517" s="6" t="s">
        <v>1544</v>
      </c>
      <c r="G1517" s="6" t="str">
        <f aca="false">INDEX(Archetypes!$D$2:$D$127, MATCH(D1517, Archetypes!$A$2:$A$127, 0))</f>
        <v>Air Strike</v>
      </c>
      <c r="H1517" s="6" t="n">
        <f aca="false">ROUND(INDEX(Archetypes!$E$2:$E$127, MATCH(D1517, Archetypes!$A$2:$A$127, 0))*INDEX(Unit_Grades!$B$2:$B$7, MATCH(F1517, Unit_Grades!$A$2:$A$7, 0))*INDEX(Unit_Paths!$B$2:$B$4, MATCH(E1517, Unit_Paths!$A$2:$A$4, 0)),1)</f>
        <v>768</v>
      </c>
      <c r="I1517" s="6" t="n">
        <f aca="false">ROUND(INDEX(Archetypes!$F$2:$F$127, MATCH(D1517, Archetypes!$A$2:$A$127, 0))*INDEX(Unit_Grades!$B$2:$B$7, MATCH(F1517, Unit_Grades!$A$2:$A$7, 0))*INDEX(Unit_Paths!$C$2:$C$4, MATCH(E1517, Unit_Paths!$A$2:$A$4, 0)),1)</f>
        <v>216</v>
      </c>
      <c r="J1517" s="6" t="n">
        <f aca="false">ROUND(INDEX(Archetypes!$G$2:$G$127, MATCH(D1517, Archetypes!$A$2:$A$127, 0))*INDEX(Unit_Grades!$B$2:$B$7, MATCH(F1517, Unit_Grades!$A$2:$A$7, 0))*INDEX(Unit_Paths!$D$2:$D$4, MATCH(E1517, Unit_Paths!$A$2:$A$4, 0)),0)</f>
        <v>912</v>
      </c>
      <c r="K1517" s="6" t="n">
        <f aca="false">ROUND(INDEX(Archetypes!$H$2:$H$127, MATCH(D1517, Archetypes!$A$2:$A$127, 0))*INDEX(Unit_Paths!$E$2:$E$4, MATCH(E1517, Unit_Paths!$A$2:$A$4, 0)),1)</f>
        <v>120</v>
      </c>
      <c r="L1517" s="6" t="n">
        <f aca="false">ROUND(INDEX(Archetypes!$I$2:$I$127, MATCH(D1517, Archetypes!$A$2:$A$127, 0))*INDEX(Unit_Grades!$C$2:$C$7, MATCH(F1517, Unit_Grades!$A$2:$A$7, 0)),1)</f>
        <v>63</v>
      </c>
      <c r="M1517" s="6" t="n">
        <f aca="false">ROUND(INDEX(Archetypes!$J$2:$J$127, MATCH(D1517, Archetypes!$A$2:$A$127, 0))*INDEX(Unit_Grades!$D$2:$D$7, MATCH(F1517, Unit_Grades!$A$2:$A$7, 0)),1)</f>
        <v>48.7</v>
      </c>
      <c r="N1517" s="6" t="n">
        <f aca="false">ROUND(M1517/24,2)</f>
        <v>2.03</v>
      </c>
    </row>
    <row r="1518" customFormat="false" ht="15" hidden="false" customHeight="true" outlineLevel="0" collapsed="false">
      <c r="A1518" s="6" t="n">
        <v>5</v>
      </c>
      <c r="B1518" s="6" t="s">
        <v>3001</v>
      </c>
      <c r="C1518" s="6" t="s">
        <v>1445</v>
      </c>
      <c r="D1518" s="6" t="str">
        <f aca="false">A1518&amp;"|"&amp;C1518</f>
        <v>5|Strike Wing</v>
      </c>
      <c r="E1518" s="6" t="s">
        <v>1556</v>
      </c>
      <c r="F1518" s="6" t="s">
        <v>1546</v>
      </c>
      <c r="G1518" s="6" t="str">
        <f aca="false">INDEX(Archetypes!$D$2:$D$127, MATCH(D1518, Archetypes!$A$2:$A$127, 0))</f>
        <v>Air Strike</v>
      </c>
      <c r="H1518" s="6" t="n">
        <f aca="false">ROUND(INDEX(Archetypes!$E$2:$E$127, MATCH(D1518, Archetypes!$A$2:$A$127, 0))*INDEX(Unit_Grades!$B$2:$B$7, MATCH(F1518, Unit_Grades!$A$2:$A$7, 0))*INDEX(Unit_Paths!$B$2:$B$4, MATCH(E1518, Unit_Paths!$A$2:$A$4, 0)),1)</f>
        <v>1024</v>
      </c>
      <c r="I1518" s="6" t="n">
        <f aca="false">ROUND(INDEX(Archetypes!$F$2:$F$127, MATCH(D1518, Archetypes!$A$2:$A$127, 0))*INDEX(Unit_Grades!$B$2:$B$7, MATCH(F1518, Unit_Grades!$A$2:$A$7, 0))*INDEX(Unit_Paths!$C$2:$C$4, MATCH(E1518, Unit_Paths!$A$2:$A$4, 0)),1)</f>
        <v>288</v>
      </c>
      <c r="J1518" s="6" t="n">
        <f aca="false">ROUND(INDEX(Archetypes!$G$2:$G$127, MATCH(D1518, Archetypes!$A$2:$A$127, 0))*INDEX(Unit_Grades!$B$2:$B$7, MATCH(F1518, Unit_Grades!$A$2:$A$7, 0))*INDEX(Unit_Paths!$D$2:$D$4, MATCH(E1518, Unit_Paths!$A$2:$A$4, 0)),0)</f>
        <v>1216</v>
      </c>
      <c r="K1518" s="6" t="n">
        <f aca="false">ROUND(INDEX(Archetypes!$H$2:$H$127, MATCH(D1518, Archetypes!$A$2:$A$127, 0))*INDEX(Unit_Paths!$E$2:$E$4, MATCH(E1518, Unit_Paths!$A$2:$A$4, 0)),1)</f>
        <v>120</v>
      </c>
      <c r="L1518" s="6" t="n">
        <f aca="false">ROUND(INDEX(Archetypes!$I$2:$I$127, MATCH(D1518, Archetypes!$A$2:$A$127, 0))*INDEX(Unit_Grades!$C$2:$C$7, MATCH(F1518, Unit_Grades!$A$2:$A$7, 0)),1)</f>
        <v>84</v>
      </c>
      <c r="M1518" s="6" t="n">
        <f aca="false">ROUND(INDEX(Archetypes!$J$2:$J$127, MATCH(D1518, Archetypes!$A$2:$A$127, 0))*INDEX(Unit_Grades!$D$2:$D$7, MATCH(F1518, Unit_Grades!$A$2:$A$7, 0)),1)</f>
        <v>85.3</v>
      </c>
      <c r="N1518" s="6" t="n">
        <f aca="false">ROUND(M1518/24,2)</f>
        <v>3.55</v>
      </c>
    </row>
    <row r="1519" customFormat="false" ht="15" hidden="false" customHeight="true" outlineLevel="0" collapsed="false">
      <c r="A1519" s="6" t="n">
        <v>5</v>
      </c>
      <c r="B1519" s="6" t="s">
        <v>3002</v>
      </c>
      <c r="C1519" s="6" t="s">
        <v>1445</v>
      </c>
      <c r="D1519" s="6" t="str">
        <f aca="false">A1519&amp;"|"&amp;C1519</f>
        <v>5|Strike Wing</v>
      </c>
      <c r="E1519" s="6" t="s">
        <v>1556</v>
      </c>
      <c r="F1519" s="6" t="s">
        <v>1548</v>
      </c>
      <c r="G1519" s="6" t="str">
        <f aca="false">INDEX(Archetypes!$D$2:$D$127, MATCH(D1519, Archetypes!$A$2:$A$127, 0))</f>
        <v>Air Strike</v>
      </c>
      <c r="H1519" s="6" t="n">
        <f aca="false">ROUND(INDEX(Archetypes!$E$2:$E$127, MATCH(D1519, Archetypes!$A$2:$A$127, 0))*INDEX(Unit_Grades!$B$2:$B$7, MATCH(F1519, Unit_Grades!$A$2:$A$7, 0))*INDEX(Unit_Paths!$B$2:$B$4, MATCH(E1519, Unit_Paths!$A$2:$A$4, 0)),1)</f>
        <v>1344</v>
      </c>
      <c r="I1519" s="6" t="n">
        <f aca="false">ROUND(INDEX(Archetypes!$F$2:$F$127, MATCH(D1519, Archetypes!$A$2:$A$127, 0))*INDEX(Unit_Grades!$B$2:$B$7, MATCH(F1519, Unit_Grades!$A$2:$A$7, 0))*INDEX(Unit_Paths!$C$2:$C$4, MATCH(E1519, Unit_Paths!$A$2:$A$4, 0)),1)</f>
        <v>378</v>
      </c>
      <c r="J1519" s="6" t="n">
        <f aca="false">ROUND(INDEX(Archetypes!$G$2:$G$127, MATCH(D1519, Archetypes!$A$2:$A$127, 0))*INDEX(Unit_Grades!$B$2:$B$7, MATCH(F1519, Unit_Grades!$A$2:$A$7, 0))*INDEX(Unit_Paths!$D$2:$D$4, MATCH(E1519, Unit_Paths!$A$2:$A$4, 0)),0)</f>
        <v>1596</v>
      </c>
      <c r="K1519" s="6" t="n">
        <f aca="false">ROUND(INDEX(Archetypes!$H$2:$H$127, MATCH(D1519, Archetypes!$A$2:$A$127, 0))*INDEX(Unit_Paths!$E$2:$E$4, MATCH(E1519, Unit_Paths!$A$2:$A$4, 0)),1)</f>
        <v>120</v>
      </c>
      <c r="L1519" s="6" t="n">
        <f aca="false">ROUND(INDEX(Archetypes!$I$2:$I$127, MATCH(D1519, Archetypes!$A$2:$A$127, 0))*INDEX(Unit_Grades!$C$2:$C$7, MATCH(F1519, Unit_Grades!$A$2:$A$7, 0)),1)</f>
        <v>111</v>
      </c>
      <c r="M1519" s="6" t="n">
        <f aca="false">ROUND(INDEX(Archetypes!$J$2:$J$127, MATCH(D1519, Archetypes!$A$2:$A$127, 0))*INDEX(Unit_Grades!$D$2:$D$7, MATCH(F1519, Unit_Grades!$A$2:$A$7, 0)),1)</f>
        <v>146.2</v>
      </c>
      <c r="N1519" s="6" t="n">
        <f aca="false">ROUND(M1519/24,2)</f>
        <v>6.09</v>
      </c>
    </row>
    <row r="1520" customFormat="false" ht="15" hidden="false" customHeight="true" outlineLevel="0" collapsed="false">
      <c r="A1520" s="6" t="n">
        <v>5</v>
      </c>
      <c r="B1520" s="6" t="s">
        <v>3003</v>
      </c>
      <c r="C1520" s="6" t="s">
        <v>1445</v>
      </c>
      <c r="D1520" s="6" t="str">
        <f aca="false">A1520&amp;"|"&amp;C1520</f>
        <v>5|Strike Wing</v>
      </c>
      <c r="E1520" s="6" t="s">
        <v>1558</v>
      </c>
      <c r="F1520" s="6" t="s">
        <v>1538</v>
      </c>
      <c r="G1520" s="6" t="str">
        <f aca="false">INDEX(Archetypes!$D$2:$D$127, MATCH(D1520, Archetypes!$A$2:$A$127, 0))</f>
        <v>Air Strike</v>
      </c>
      <c r="H1520" s="6" t="n">
        <f aca="false">ROUND(INDEX(Archetypes!$E$2:$E$127, MATCH(D1520, Archetypes!$A$2:$A$127, 0))*INDEX(Unit_Grades!$B$2:$B$7, MATCH(F1520, Unit_Grades!$A$2:$A$7, 0))*INDEX(Unit_Paths!$B$2:$B$4, MATCH(E1520, Unit_Paths!$A$2:$A$4, 0)),1)</f>
        <v>384</v>
      </c>
      <c r="I1520" s="6" t="n">
        <f aca="false">ROUND(INDEX(Archetypes!$F$2:$F$127, MATCH(D1520, Archetypes!$A$2:$A$127, 0))*INDEX(Unit_Grades!$B$2:$B$7, MATCH(F1520, Unit_Grades!$A$2:$A$7, 0))*INDEX(Unit_Paths!$C$2:$C$4, MATCH(E1520, Unit_Paths!$A$2:$A$4, 0)),1)</f>
        <v>76.5</v>
      </c>
      <c r="J1520" s="6" t="n">
        <f aca="false">ROUND(INDEX(Archetypes!$G$2:$G$127, MATCH(D1520, Archetypes!$A$2:$A$127, 0))*INDEX(Unit_Grades!$B$2:$B$7, MATCH(F1520, Unit_Grades!$A$2:$A$7, 0))*INDEX(Unit_Paths!$D$2:$D$4, MATCH(E1520, Unit_Paths!$A$2:$A$4, 0)),0)</f>
        <v>361</v>
      </c>
      <c r="K1520" s="6" t="n">
        <f aca="false">ROUND(INDEX(Archetypes!$H$2:$H$127, MATCH(D1520, Archetypes!$A$2:$A$127, 0))*INDEX(Unit_Paths!$E$2:$E$4, MATCH(E1520, Unit_Paths!$A$2:$A$4, 0)),1)</f>
        <v>126</v>
      </c>
      <c r="L1520" s="6" t="n">
        <f aca="false">ROUND(INDEX(Archetypes!$I$2:$I$127, MATCH(D1520, Archetypes!$A$2:$A$127, 0))*INDEX(Unit_Grades!$C$2:$C$7, MATCH(F1520, Unit_Grades!$A$2:$A$7, 0)),1)</f>
        <v>30</v>
      </c>
      <c r="M1520" s="6" t="n">
        <f aca="false">ROUND(INDEX(Archetypes!$J$2:$J$127, MATCH(D1520, Archetypes!$A$2:$A$127, 0))*INDEX(Unit_Grades!$D$2:$D$7, MATCH(F1520, Unit_Grades!$A$2:$A$7, 0)),1)</f>
        <v>12.2</v>
      </c>
      <c r="N1520" s="6" t="n">
        <f aca="false">ROUND(M1520/24,2)</f>
        <v>0.51</v>
      </c>
    </row>
    <row r="1521" customFormat="false" ht="15" hidden="false" customHeight="true" outlineLevel="0" collapsed="false">
      <c r="A1521" s="6" t="n">
        <v>5</v>
      </c>
      <c r="B1521" s="6" t="s">
        <v>3004</v>
      </c>
      <c r="C1521" s="6" t="s">
        <v>1445</v>
      </c>
      <c r="D1521" s="6" t="str">
        <f aca="false">A1521&amp;"|"&amp;C1521</f>
        <v>5|Strike Wing</v>
      </c>
      <c r="E1521" s="6" t="s">
        <v>1558</v>
      </c>
      <c r="F1521" s="6" t="s">
        <v>1540</v>
      </c>
      <c r="G1521" s="6" t="str">
        <f aca="false">INDEX(Archetypes!$D$2:$D$127, MATCH(D1521, Archetypes!$A$2:$A$127, 0))</f>
        <v>Air Strike</v>
      </c>
      <c r="H1521" s="6" t="n">
        <f aca="false">ROUND(INDEX(Archetypes!$E$2:$E$127, MATCH(D1521, Archetypes!$A$2:$A$127, 0))*INDEX(Unit_Grades!$B$2:$B$7, MATCH(F1521, Unit_Grades!$A$2:$A$7, 0))*INDEX(Unit_Paths!$B$2:$B$4, MATCH(E1521, Unit_Paths!$A$2:$A$4, 0)),1)</f>
        <v>518.4</v>
      </c>
      <c r="I1521" s="6" t="n">
        <f aca="false">ROUND(INDEX(Archetypes!$F$2:$F$127, MATCH(D1521, Archetypes!$A$2:$A$127, 0))*INDEX(Unit_Grades!$B$2:$B$7, MATCH(F1521, Unit_Grades!$A$2:$A$7, 0))*INDEX(Unit_Paths!$C$2:$C$4, MATCH(E1521, Unit_Paths!$A$2:$A$4, 0)),1)</f>
        <v>103.3</v>
      </c>
      <c r="J1521" s="6" t="n">
        <f aca="false">ROUND(INDEX(Archetypes!$G$2:$G$127, MATCH(D1521, Archetypes!$A$2:$A$127, 0))*INDEX(Unit_Grades!$B$2:$B$7, MATCH(F1521, Unit_Grades!$A$2:$A$7, 0))*INDEX(Unit_Paths!$D$2:$D$4, MATCH(E1521, Unit_Paths!$A$2:$A$4, 0)),0)</f>
        <v>487</v>
      </c>
      <c r="K1521" s="6" t="n">
        <f aca="false">ROUND(INDEX(Archetypes!$H$2:$H$127, MATCH(D1521, Archetypes!$A$2:$A$127, 0))*INDEX(Unit_Paths!$E$2:$E$4, MATCH(E1521, Unit_Paths!$A$2:$A$4, 0)),1)</f>
        <v>126</v>
      </c>
      <c r="L1521" s="6" t="n">
        <f aca="false">ROUND(INDEX(Archetypes!$I$2:$I$127, MATCH(D1521, Archetypes!$A$2:$A$127, 0))*INDEX(Unit_Grades!$C$2:$C$7, MATCH(F1521, Unit_Grades!$A$2:$A$7, 0)),1)</f>
        <v>37.5</v>
      </c>
      <c r="M1521" s="6" t="n">
        <f aca="false">ROUND(INDEX(Archetypes!$J$2:$J$127, MATCH(D1521, Archetypes!$A$2:$A$127, 0))*INDEX(Unit_Grades!$D$2:$D$7, MATCH(F1521, Unit_Grades!$A$2:$A$7, 0)),1)</f>
        <v>18.3</v>
      </c>
      <c r="N1521" s="6" t="n">
        <f aca="false">ROUND(M1521/24,2)</f>
        <v>0.76</v>
      </c>
    </row>
    <row r="1522" customFormat="false" ht="15" hidden="false" customHeight="true" outlineLevel="0" collapsed="false">
      <c r="A1522" s="6" t="n">
        <v>5</v>
      </c>
      <c r="B1522" s="6" t="s">
        <v>3005</v>
      </c>
      <c r="C1522" s="6" t="s">
        <v>1445</v>
      </c>
      <c r="D1522" s="6" t="str">
        <f aca="false">A1522&amp;"|"&amp;C1522</f>
        <v>5|Strike Wing</v>
      </c>
      <c r="E1522" s="6" t="s">
        <v>1558</v>
      </c>
      <c r="F1522" s="6" t="s">
        <v>1542</v>
      </c>
      <c r="G1522" s="6" t="str">
        <f aca="false">INDEX(Archetypes!$D$2:$D$127, MATCH(D1522, Archetypes!$A$2:$A$127, 0))</f>
        <v>Air Strike</v>
      </c>
      <c r="H1522" s="6" t="n">
        <f aca="false">ROUND(INDEX(Archetypes!$E$2:$E$127, MATCH(D1522, Archetypes!$A$2:$A$127, 0))*INDEX(Unit_Grades!$B$2:$B$7, MATCH(F1522, Unit_Grades!$A$2:$A$7, 0))*INDEX(Unit_Paths!$B$2:$B$4, MATCH(E1522, Unit_Paths!$A$2:$A$4, 0)),1)</f>
        <v>691.2</v>
      </c>
      <c r="I1522" s="6" t="n">
        <f aca="false">ROUND(INDEX(Archetypes!$F$2:$F$127, MATCH(D1522, Archetypes!$A$2:$A$127, 0))*INDEX(Unit_Grades!$B$2:$B$7, MATCH(F1522, Unit_Grades!$A$2:$A$7, 0))*INDEX(Unit_Paths!$C$2:$C$4, MATCH(E1522, Unit_Paths!$A$2:$A$4, 0)),1)</f>
        <v>137.7</v>
      </c>
      <c r="J1522" s="6" t="n">
        <f aca="false">ROUND(INDEX(Archetypes!$G$2:$G$127, MATCH(D1522, Archetypes!$A$2:$A$127, 0))*INDEX(Unit_Grades!$B$2:$B$7, MATCH(F1522, Unit_Grades!$A$2:$A$7, 0))*INDEX(Unit_Paths!$D$2:$D$4, MATCH(E1522, Unit_Paths!$A$2:$A$4, 0)),0)</f>
        <v>650</v>
      </c>
      <c r="K1522" s="6" t="n">
        <f aca="false">ROUND(INDEX(Archetypes!$H$2:$H$127, MATCH(D1522, Archetypes!$A$2:$A$127, 0))*INDEX(Unit_Paths!$E$2:$E$4, MATCH(E1522, Unit_Paths!$A$2:$A$4, 0)),1)</f>
        <v>126</v>
      </c>
      <c r="L1522" s="6" t="n">
        <f aca="false">ROUND(INDEX(Archetypes!$I$2:$I$127, MATCH(D1522, Archetypes!$A$2:$A$127, 0))*INDEX(Unit_Grades!$C$2:$C$7, MATCH(F1522, Unit_Grades!$A$2:$A$7, 0)),1)</f>
        <v>48</v>
      </c>
      <c r="M1522" s="6" t="n">
        <f aca="false">ROUND(INDEX(Archetypes!$J$2:$J$127, MATCH(D1522, Archetypes!$A$2:$A$127, 0))*INDEX(Unit_Grades!$D$2:$D$7, MATCH(F1522, Unit_Grades!$A$2:$A$7, 0)),1)</f>
        <v>30.5</v>
      </c>
      <c r="N1522" s="6" t="n">
        <f aca="false">ROUND(M1522/24,2)</f>
        <v>1.27</v>
      </c>
    </row>
    <row r="1523" customFormat="false" ht="15" hidden="false" customHeight="true" outlineLevel="0" collapsed="false">
      <c r="A1523" s="6" t="n">
        <v>5</v>
      </c>
      <c r="B1523" s="6" t="s">
        <v>3006</v>
      </c>
      <c r="C1523" s="6" t="s">
        <v>1445</v>
      </c>
      <c r="D1523" s="6" t="str">
        <f aca="false">A1523&amp;"|"&amp;C1523</f>
        <v>5|Strike Wing</v>
      </c>
      <c r="E1523" s="6" t="s">
        <v>1558</v>
      </c>
      <c r="F1523" s="6" t="s">
        <v>1544</v>
      </c>
      <c r="G1523" s="6" t="str">
        <f aca="false">INDEX(Archetypes!$D$2:$D$127, MATCH(D1523, Archetypes!$A$2:$A$127, 0))</f>
        <v>Air Strike</v>
      </c>
      <c r="H1523" s="6" t="n">
        <f aca="false">ROUND(INDEX(Archetypes!$E$2:$E$127, MATCH(D1523, Archetypes!$A$2:$A$127, 0))*INDEX(Unit_Grades!$B$2:$B$7, MATCH(F1523, Unit_Grades!$A$2:$A$7, 0))*INDEX(Unit_Paths!$B$2:$B$4, MATCH(E1523, Unit_Paths!$A$2:$A$4, 0)),1)</f>
        <v>921.6</v>
      </c>
      <c r="I1523" s="6" t="n">
        <f aca="false">ROUND(INDEX(Archetypes!$F$2:$F$127, MATCH(D1523, Archetypes!$A$2:$A$127, 0))*INDEX(Unit_Grades!$B$2:$B$7, MATCH(F1523, Unit_Grades!$A$2:$A$7, 0))*INDEX(Unit_Paths!$C$2:$C$4, MATCH(E1523, Unit_Paths!$A$2:$A$4, 0)),1)</f>
        <v>183.6</v>
      </c>
      <c r="J1523" s="6" t="n">
        <f aca="false">ROUND(INDEX(Archetypes!$G$2:$G$127, MATCH(D1523, Archetypes!$A$2:$A$127, 0))*INDEX(Unit_Grades!$B$2:$B$7, MATCH(F1523, Unit_Grades!$A$2:$A$7, 0))*INDEX(Unit_Paths!$D$2:$D$4, MATCH(E1523, Unit_Paths!$A$2:$A$4, 0)),0)</f>
        <v>866</v>
      </c>
      <c r="K1523" s="6" t="n">
        <f aca="false">ROUND(INDEX(Archetypes!$H$2:$H$127, MATCH(D1523, Archetypes!$A$2:$A$127, 0))*INDEX(Unit_Paths!$E$2:$E$4, MATCH(E1523, Unit_Paths!$A$2:$A$4, 0)),1)</f>
        <v>126</v>
      </c>
      <c r="L1523" s="6" t="n">
        <f aca="false">ROUND(INDEX(Archetypes!$I$2:$I$127, MATCH(D1523, Archetypes!$A$2:$A$127, 0))*INDEX(Unit_Grades!$C$2:$C$7, MATCH(F1523, Unit_Grades!$A$2:$A$7, 0)),1)</f>
        <v>63</v>
      </c>
      <c r="M1523" s="6" t="n">
        <f aca="false">ROUND(INDEX(Archetypes!$J$2:$J$127, MATCH(D1523, Archetypes!$A$2:$A$127, 0))*INDEX(Unit_Grades!$D$2:$D$7, MATCH(F1523, Unit_Grades!$A$2:$A$7, 0)),1)</f>
        <v>48.7</v>
      </c>
      <c r="N1523" s="6" t="n">
        <f aca="false">ROUND(M1523/24,2)</f>
        <v>2.03</v>
      </c>
    </row>
    <row r="1524" customFormat="false" ht="15" hidden="false" customHeight="true" outlineLevel="0" collapsed="false">
      <c r="A1524" s="6" t="n">
        <v>5</v>
      </c>
      <c r="B1524" s="6" t="s">
        <v>3007</v>
      </c>
      <c r="C1524" s="6" t="s">
        <v>1445</v>
      </c>
      <c r="D1524" s="6" t="str">
        <f aca="false">A1524&amp;"|"&amp;C1524</f>
        <v>5|Strike Wing</v>
      </c>
      <c r="E1524" s="6" t="s">
        <v>1558</v>
      </c>
      <c r="F1524" s="6" t="s">
        <v>1546</v>
      </c>
      <c r="G1524" s="6" t="str">
        <f aca="false">INDEX(Archetypes!$D$2:$D$127, MATCH(D1524, Archetypes!$A$2:$A$127, 0))</f>
        <v>Air Strike</v>
      </c>
      <c r="H1524" s="6" t="n">
        <f aca="false">ROUND(INDEX(Archetypes!$E$2:$E$127, MATCH(D1524, Archetypes!$A$2:$A$127, 0))*INDEX(Unit_Grades!$B$2:$B$7, MATCH(F1524, Unit_Grades!$A$2:$A$7, 0))*INDEX(Unit_Paths!$B$2:$B$4, MATCH(E1524, Unit_Paths!$A$2:$A$4, 0)),1)</f>
        <v>1228.8</v>
      </c>
      <c r="I1524" s="6" t="n">
        <f aca="false">ROUND(INDEX(Archetypes!$F$2:$F$127, MATCH(D1524, Archetypes!$A$2:$A$127, 0))*INDEX(Unit_Grades!$B$2:$B$7, MATCH(F1524, Unit_Grades!$A$2:$A$7, 0))*INDEX(Unit_Paths!$C$2:$C$4, MATCH(E1524, Unit_Paths!$A$2:$A$4, 0)),1)</f>
        <v>244.8</v>
      </c>
      <c r="J1524" s="6" t="n">
        <f aca="false">ROUND(INDEX(Archetypes!$G$2:$G$127, MATCH(D1524, Archetypes!$A$2:$A$127, 0))*INDEX(Unit_Grades!$B$2:$B$7, MATCH(F1524, Unit_Grades!$A$2:$A$7, 0))*INDEX(Unit_Paths!$D$2:$D$4, MATCH(E1524, Unit_Paths!$A$2:$A$4, 0)),0)</f>
        <v>1155</v>
      </c>
      <c r="K1524" s="6" t="n">
        <f aca="false">ROUND(INDEX(Archetypes!$H$2:$H$127, MATCH(D1524, Archetypes!$A$2:$A$127, 0))*INDEX(Unit_Paths!$E$2:$E$4, MATCH(E1524, Unit_Paths!$A$2:$A$4, 0)),1)</f>
        <v>126</v>
      </c>
      <c r="L1524" s="6" t="n">
        <f aca="false">ROUND(INDEX(Archetypes!$I$2:$I$127, MATCH(D1524, Archetypes!$A$2:$A$127, 0))*INDEX(Unit_Grades!$C$2:$C$7, MATCH(F1524, Unit_Grades!$A$2:$A$7, 0)),1)</f>
        <v>84</v>
      </c>
      <c r="M1524" s="6" t="n">
        <f aca="false">ROUND(INDEX(Archetypes!$J$2:$J$127, MATCH(D1524, Archetypes!$A$2:$A$127, 0))*INDEX(Unit_Grades!$D$2:$D$7, MATCH(F1524, Unit_Grades!$A$2:$A$7, 0)),1)</f>
        <v>85.3</v>
      </c>
      <c r="N1524" s="6" t="n">
        <f aca="false">ROUND(M1524/24,2)</f>
        <v>3.55</v>
      </c>
    </row>
    <row r="1525" customFormat="false" ht="15" hidden="false" customHeight="true" outlineLevel="0" collapsed="false">
      <c r="A1525" s="6" t="n">
        <v>5</v>
      </c>
      <c r="B1525" s="6" t="s">
        <v>3008</v>
      </c>
      <c r="C1525" s="6" t="s">
        <v>1445</v>
      </c>
      <c r="D1525" s="6" t="str">
        <f aca="false">A1525&amp;"|"&amp;C1525</f>
        <v>5|Strike Wing</v>
      </c>
      <c r="E1525" s="6" t="s">
        <v>1558</v>
      </c>
      <c r="F1525" s="6" t="s">
        <v>1548</v>
      </c>
      <c r="G1525" s="6" t="str">
        <f aca="false">INDEX(Archetypes!$D$2:$D$127, MATCH(D1525, Archetypes!$A$2:$A$127, 0))</f>
        <v>Air Strike</v>
      </c>
      <c r="H1525" s="6" t="n">
        <f aca="false">ROUND(INDEX(Archetypes!$E$2:$E$127, MATCH(D1525, Archetypes!$A$2:$A$127, 0))*INDEX(Unit_Grades!$B$2:$B$7, MATCH(F1525, Unit_Grades!$A$2:$A$7, 0))*INDEX(Unit_Paths!$B$2:$B$4, MATCH(E1525, Unit_Paths!$A$2:$A$4, 0)),1)</f>
        <v>1612.8</v>
      </c>
      <c r="I1525" s="6" t="n">
        <f aca="false">ROUND(INDEX(Archetypes!$F$2:$F$127, MATCH(D1525, Archetypes!$A$2:$A$127, 0))*INDEX(Unit_Grades!$B$2:$B$7, MATCH(F1525, Unit_Grades!$A$2:$A$7, 0))*INDEX(Unit_Paths!$C$2:$C$4, MATCH(E1525, Unit_Paths!$A$2:$A$4, 0)),1)</f>
        <v>321.3</v>
      </c>
      <c r="J1525" s="6" t="n">
        <f aca="false">ROUND(INDEX(Archetypes!$G$2:$G$127, MATCH(D1525, Archetypes!$A$2:$A$127, 0))*INDEX(Unit_Grades!$B$2:$B$7, MATCH(F1525, Unit_Grades!$A$2:$A$7, 0))*INDEX(Unit_Paths!$D$2:$D$4, MATCH(E1525, Unit_Paths!$A$2:$A$4, 0)),0)</f>
        <v>1516</v>
      </c>
      <c r="K1525" s="6" t="n">
        <f aca="false">ROUND(INDEX(Archetypes!$H$2:$H$127, MATCH(D1525, Archetypes!$A$2:$A$127, 0))*INDEX(Unit_Paths!$E$2:$E$4, MATCH(E1525, Unit_Paths!$A$2:$A$4, 0)),1)</f>
        <v>126</v>
      </c>
      <c r="L1525" s="6" t="n">
        <f aca="false">ROUND(INDEX(Archetypes!$I$2:$I$127, MATCH(D1525, Archetypes!$A$2:$A$127, 0))*INDEX(Unit_Grades!$C$2:$C$7, MATCH(F1525, Unit_Grades!$A$2:$A$7, 0)),1)</f>
        <v>111</v>
      </c>
      <c r="M1525" s="6" t="n">
        <f aca="false">ROUND(INDEX(Archetypes!$J$2:$J$127, MATCH(D1525, Archetypes!$A$2:$A$127, 0))*INDEX(Unit_Grades!$D$2:$D$7, MATCH(F1525, Unit_Grades!$A$2:$A$7, 0)),1)</f>
        <v>146.2</v>
      </c>
      <c r="N1525" s="6" t="n">
        <f aca="false">ROUND(M1525/24,2)</f>
        <v>6.09</v>
      </c>
    </row>
    <row r="1526" customFormat="false" ht="15" hidden="false" customHeight="true" outlineLevel="0" collapsed="false">
      <c r="A1526" s="6" t="n">
        <v>5</v>
      </c>
      <c r="B1526" s="6" t="s">
        <v>3009</v>
      </c>
      <c r="C1526" s="6" t="s">
        <v>1445</v>
      </c>
      <c r="D1526" s="6" t="str">
        <f aca="false">A1526&amp;"|"&amp;C1526</f>
        <v>5|Strike Wing</v>
      </c>
      <c r="E1526" s="6" t="s">
        <v>1560</v>
      </c>
      <c r="F1526" s="6" t="s">
        <v>1538</v>
      </c>
      <c r="G1526" s="6" t="str">
        <f aca="false">INDEX(Archetypes!$D$2:$D$127, MATCH(D1526, Archetypes!$A$2:$A$127, 0))</f>
        <v>Air Strike</v>
      </c>
      <c r="H1526" s="6" t="n">
        <f aca="false">ROUND(INDEX(Archetypes!$E$2:$E$127, MATCH(D1526, Archetypes!$A$2:$A$127, 0))*INDEX(Unit_Grades!$B$2:$B$7, MATCH(F1526, Unit_Grades!$A$2:$A$7, 0))*INDEX(Unit_Paths!$B$2:$B$4, MATCH(E1526, Unit_Paths!$A$2:$A$4, 0)),1)</f>
        <v>272</v>
      </c>
      <c r="I1526" s="6" t="n">
        <f aca="false">ROUND(INDEX(Archetypes!$F$2:$F$127, MATCH(D1526, Archetypes!$A$2:$A$127, 0))*INDEX(Unit_Grades!$B$2:$B$7, MATCH(F1526, Unit_Grades!$A$2:$A$7, 0))*INDEX(Unit_Paths!$C$2:$C$4, MATCH(E1526, Unit_Paths!$A$2:$A$4, 0)),1)</f>
        <v>112.5</v>
      </c>
      <c r="J1526" s="6" t="n">
        <f aca="false">ROUND(INDEX(Archetypes!$G$2:$G$127, MATCH(D1526, Archetypes!$A$2:$A$127, 0))*INDEX(Unit_Grades!$B$2:$B$7, MATCH(F1526, Unit_Grades!$A$2:$A$7, 0))*INDEX(Unit_Paths!$D$2:$D$4, MATCH(E1526, Unit_Paths!$A$2:$A$4, 0)),0)</f>
        <v>437</v>
      </c>
      <c r="K1526" s="6" t="n">
        <f aca="false">ROUND(INDEX(Archetypes!$H$2:$H$127, MATCH(D1526, Archetypes!$A$2:$A$127, 0))*INDEX(Unit_Paths!$E$2:$E$4, MATCH(E1526, Unit_Paths!$A$2:$A$4, 0)),1)</f>
        <v>110.4</v>
      </c>
      <c r="L1526" s="6" t="n">
        <f aca="false">ROUND(INDEX(Archetypes!$I$2:$I$127, MATCH(D1526, Archetypes!$A$2:$A$127, 0))*INDEX(Unit_Grades!$C$2:$C$7, MATCH(F1526, Unit_Grades!$A$2:$A$7, 0)),1)</f>
        <v>30</v>
      </c>
      <c r="M1526" s="6" t="n">
        <f aca="false">ROUND(INDEX(Archetypes!$J$2:$J$127, MATCH(D1526, Archetypes!$A$2:$A$127, 0))*INDEX(Unit_Grades!$D$2:$D$7, MATCH(F1526, Unit_Grades!$A$2:$A$7, 0)),1)</f>
        <v>12.2</v>
      </c>
      <c r="N1526" s="6" t="n">
        <f aca="false">ROUND(M1526/24,2)</f>
        <v>0.51</v>
      </c>
    </row>
    <row r="1527" customFormat="false" ht="15" hidden="false" customHeight="true" outlineLevel="0" collapsed="false">
      <c r="A1527" s="6" t="n">
        <v>5</v>
      </c>
      <c r="B1527" s="6" t="s">
        <v>3010</v>
      </c>
      <c r="C1527" s="6" t="s">
        <v>1445</v>
      </c>
      <c r="D1527" s="6" t="str">
        <f aca="false">A1527&amp;"|"&amp;C1527</f>
        <v>5|Strike Wing</v>
      </c>
      <c r="E1527" s="6" t="s">
        <v>1560</v>
      </c>
      <c r="F1527" s="6" t="s">
        <v>1540</v>
      </c>
      <c r="G1527" s="6" t="str">
        <f aca="false">INDEX(Archetypes!$D$2:$D$127, MATCH(D1527, Archetypes!$A$2:$A$127, 0))</f>
        <v>Air Strike</v>
      </c>
      <c r="H1527" s="6" t="n">
        <f aca="false">ROUND(INDEX(Archetypes!$E$2:$E$127, MATCH(D1527, Archetypes!$A$2:$A$127, 0))*INDEX(Unit_Grades!$B$2:$B$7, MATCH(F1527, Unit_Grades!$A$2:$A$7, 0))*INDEX(Unit_Paths!$B$2:$B$4, MATCH(E1527, Unit_Paths!$A$2:$A$4, 0)),1)</f>
        <v>367.2</v>
      </c>
      <c r="I1527" s="6" t="n">
        <f aca="false">ROUND(INDEX(Archetypes!$F$2:$F$127, MATCH(D1527, Archetypes!$A$2:$A$127, 0))*INDEX(Unit_Grades!$B$2:$B$7, MATCH(F1527, Unit_Grades!$A$2:$A$7, 0))*INDEX(Unit_Paths!$C$2:$C$4, MATCH(E1527, Unit_Paths!$A$2:$A$4, 0)),1)</f>
        <v>151.9</v>
      </c>
      <c r="J1527" s="6" t="n">
        <f aca="false">ROUND(INDEX(Archetypes!$G$2:$G$127, MATCH(D1527, Archetypes!$A$2:$A$127, 0))*INDEX(Unit_Grades!$B$2:$B$7, MATCH(F1527, Unit_Grades!$A$2:$A$7, 0))*INDEX(Unit_Paths!$D$2:$D$4, MATCH(E1527, Unit_Paths!$A$2:$A$4, 0)),0)</f>
        <v>590</v>
      </c>
      <c r="K1527" s="6" t="n">
        <f aca="false">ROUND(INDEX(Archetypes!$H$2:$H$127, MATCH(D1527, Archetypes!$A$2:$A$127, 0))*INDEX(Unit_Paths!$E$2:$E$4, MATCH(E1527, Unit_Paths!$A$2:$A$4, 0)),1)</f>
        <v>110.4</v>
      </c>
      <c r="L1527" s="6" t="n">
        <f aca="false">ROUND(INDEX(Archetypes!$I$2:$I$127, MATCH(D1527, Archetypes!$A$2:$A$127, 0))*INDEX(Unit_Grades!$C$2:$C$7, MATCH(F1527, Unit_Grades!$A$2:$A$7, 0)),1)</f>
        <v>37.5</v>
      </c>
      <c r="M1527" s="6" t="n">
        <f aca="false">ROUND(INDEX(Archetypes!$J$2:$J$127, MATCH(D1527, Archetypes!$A$2:$A$127, 0))*INDEX(Unit_Grades!$D$2:$D$7, MATCH(F1527, Unit_Grades!$A$2:$A$7, 0)),1)</f>
        <v>18.3</v>
      </c>
      <c r="N1527" s="6" t="n">
        <f aca="false">ROUND(M1527/24,2)</f>
        <v>0.76</v>
      </c>
    </row>
    <row r="1528" customFormat="false" ht="15" hidden="false" customHeight="true" outlineLevel="0" collapsed="false">
      <c r="A1528" s="6" t="n">
        <v>5</v>
      </c>
      <c r="B1528" s="6" t="s">
        <v>3011</v>
      </c>
      <c r="C1528" s="6" t="s">
        <v>1445</v>
      </c>
      <c r="D1528" s="6" t="str">
        <f aca="false">A1528&amp;"|"&amp;C1528</f>
        <v>5|Strike Wing</v>
      </c>
      <c r="E1528" s="6" t="s">
        <v>1560</v>
      </c>
      <c r="F1528" s="6" t="s">
        <v>1542</v>
      </c>
      <c r="G1528" s="6" t="str">
        <f aca="false">INDEX(Archetypes!$D$2:$D$127, MATCH(D1528, Archetypes!$A$2:$A$127, 0))</f>
        <v>Air Strike</v>
      </c>
      <c r="H1528" s="6" t="n">
        <f aca="false">ROUND(INDEX(Archetypes!$E$2:$E$127, MATCH(D1528, Archetypes!$A$2:$A$127, 0))*INDEX(Unit_Grades!$B$2:$B$7, MATCH(F1528, Unit_Grades!$A$2:$A$7, 0))*INDEX(Unit_Paths!$B$2:$B$4, MATCH(E1528, Unit_Paths!$A$2:$A$4, 0)),1)</f>
        <v>489.6</v>
      </c>
      <c r="I1528" s="6" t="n">
        <f aca="false">ROUND(INDEX(Archetypes!$F$2:$F$127, MATCH(D1528, Archetypes!$A$2:$A$127, 0))*INDEX(Unit_Grades!$B$2:$B$7, MATCH(F1528, Unit_Grades!$A$2:$A$7, 0))*INDEX(Unit_Paths!$C$2:$C$4, MATCH(E1528, Unit_Paths!$A$2:$A$4, 0)),1)</f>
        <v>202.5</v>
      </c>
      <c r="J1528" s="6" t="n">
        <f aca="false">ROUND(INDEX(Archetypes!$G$2:$G$127, MATCH(D1528, Archetypes!$A$2:$A$127, 0))*INDEX(Unit_Grades!$B$2:$B$7, MATCH(F1528, Unit_Grades!$A$2:$A$7, 0))*INDEX(Unit_Paths!$D$2:$D$4, MATCH(E1528, Unit_Paths!$A$2:$A$4, 0)),0)</f>
        <v>787</v>
      </c>
      <c r="K1528" s="6" t="n">
        <f aca="false">ROUND(INDEX(Archetypes!$H$2:$H$127, MATCH(D1528, Archetypes!$A$2:$A$127, 0))*INDEX(Unit_Paths!$E$2:$E$4, MATCH(E1528, Unit_Paths!$A$2:$A$4, 0)),1)</f>
        <v>110.4</v>
      </c>
      <c r="L1528" s="6" t="n">
        <f aca="false">ROUND(INDEX(Archetypes!$I$2:$I$127, MATCH(D1528, Archetypes!$A$2:$A$127, 0))*INDEX(Unit_Grades!$C$2:$C$7, MATCH(F1528, Unit_Grades!$A$2:$A$7, 0)),1)</f>
        <v>48</v>
      </c>
      <c r="M1528" s="6" t="n">
        <f aca="false">ROUND(INDEX(Archetypes!$J$2:$J$127, MATCH(D1528, Archetypes!$A$2:$A$127, 0))*INDEX(Unit_Grades!$D$2:$D$7, MATCH(F1528, Unit_Grades!$A$2:$A$7, 0)),1)</f>
        <v>30.5</v>
      </c>
      <c r="N1528" s="6" t="n">
        <f aca="false">ROUND(M1528/24,2)</f>
        <v>1.27</v>
      </c>
    </row>
    <row r="1529" customFormat="false" ht="15" hidden="false" customHeight="true" outlineLevel="0" collapsed="false">
      <c r="A1529" s="6" t="n">
        <v>5</v>
      </c>
      <c r="B1529" s="6" t="s">
        <v>3012</v>
      </c>
      <c r="C1529" s="6" t="s">
        <v>1445</v>
      </c>
      <c r="D1529" s="6" t="str">
        <f aca="false">A1529&amp;"|"&amp;C1529</f>
        <v>5|Strike Wing</v>
      </c>
      <c r="E1529" s="6" t="s">
        <v>1560</v>
      </c>
      <c r="F1529" s="6" t="s">
        <v>1544</v>
      </c>
      <c r="G1529" s="6" t="str">
        <f aca="false">INDEX(Archetypes!$D$2:$D$127, MATCH(D1529, Archetypes!$A$2:$A$127, 0))</f>
        <v>Air Strike</v>
      </c>
      <c r="H1529" s="6" t="n">
        <f aca="false">ROUND(INDEX(Archetypes!$E$2:$E$127, MATCH(D1529, Archetypes!$A$2:$A$127, 0))*INDEX(Unit_Grades!$B$2:$B$7, MATCH(F1529, Unit_Grades!$A$2:$A$7, 0))*INDEX(Unit_Paths!$B$2:$B$4, MATCH(E1529, Unit_Paths!$A$2:$A$4, 0)),1)</f>
        <v>652.8</v>
      </c>
      <c r="I1529" s="6" t="n">
        <f aca="false">ROUND(INDEX(Archetypes!$F$2:$F$127, MATCH(D1529, Archetypes!$A$2:$A$127, 0))*INDEX(Unit_Grades!$B$2:$B$7, MATCH(F1529, Unit_Grades!$A$2:$A$7, 0))*INDEX(Unit_Paths!$C$2:$C$4, MATCH(E1529, Unit_Paths!$A$2:$A$4, 0)),1)</f>
        <v>270</v>
      </c>
      <c r="J1529" s="6" t="n">
        <f aca="false">ROUND(INDEX(Archetypes!$G$2:$G$127, MATCH(D1529, Archetypes!$A$2:$A$127, 0))*INDEX(Unit_Grades!$B$2:$B$7, MATCH(F1529, Unit_Grades!$A$2:$A$7, 0))*INDEX(Unit_Paths!$D$2:$D$4, MATCH(E1529, Unit_Paths!$A$2:$A$4, 0)),0)</f>
        <v>1049</v>
      </c>
      <c r="K1529" s="6" t="n">
        <f aca="false">ROUND(INDEX(Archetypes!$H$2:$H$127, MATCH(D1529, Archetypes!$A$2:$A$127, 0))*INDEX(Unit_Paths!$E$2:$E$4, MATCH(E1529, Unit_Paths!$A$2:$A$4, 0)),1)</f>
        <v>110.4</v>
      </c>
      <c r="L1529" s="6" t="n">
        <f aca="false">ROUND(INDEX(Archetypes!$I$2:$I$127, MATCH(D1529, Archetypes!$A$2:$A$127, 0))*INDEX(Unit_Grades!$C$2:$C$7, MATCH(F1529, Unit_Grades!$A$2:$A$7, 0)),1)</f>
        <v>63</v>
      </c>
      <c r="M1529" s="6" t="n">
        <f aca="false">ROUND(INDEX(Archetypes!$J$2:$J$127, MATCH(D1529, Archetypes!$A$2:$A$127, 0))*INDEX(Unit_Grades!$D$2:$D$7, MATCH(F1529, Unit_Grades!$A$2:$A$7, 0)),1)</f>
        <v>48.7</v>
      </c>
      <c r="N1529" s="6" t="n">
        <f aca="false">ROUND(M1529/24,2)</f>
        <v>2.03</v>
      </c>
    </row>
    <row r="1530" customFormat="false" ht="15" hidden="false" customHeight="true" outlineLevel="0" collapsed="false">
      <c r="A1530" s="6" t="n">
        <v>5</v>
      </c>
      <c r="B1530" s="6" t="s">
        <v>3013</v>
      </c>
      <c r="C1530" s="6" t="s">
        <v>1445</v>
      </c>
      <c r="D1530" s="6" t="str">
        <f aca="false">A1530&amp;"|"&amp;C1530</f>
        <v>5|Strike Wing</v>
      </c>
      <c r="E1530" s="6" t="s">
        <v>1560</v>
      </c>
      <c r="F1530" s="6" t="s">
        <v>1546</v>
      </c>
      <c r="G1530" s="6" t="str">
        <f aca="false">INDEX(Archetypes!$D$2:$D$127, MATCH(D1530, Archetypes!$A$2:$A$127, 0))</f>
        <v>Air Strike</v>
      </c>
      <c r="H1530" s="6" t="n">
        <f aca="false">ROUND(INDEX(Archetypes!$E$2:$E$127, MATCH(D1530, Archetypes!$A$2:$A$127, 0))*INDEX(Unit_Grades!$B$2:$B$7, MATCH(F1530, Unit_Grades!$A$2:$A$7, 0))*INDEX(Unit_Paths!$B$2:$B$4, MATCH(E1530, Unit_Paths!$A$2:$A$4, 0)),1)</f>
        <v>870.4</v>
      </c>
      <c r="I1530" s="6" t="n">
        <f aca="false">ROUND(INDEX(Archetypes!$F$2:$F$127, MATCH(D1530, Archetypes!$A$2:$A$127, 0))*INDEX(Unit_Grades!$B$2:$B$7, MATCH(F1530, Unit_Grades!$A$2:$A$7, 0))*INDEX(Unit_Paths!$C$2:$C$4, MATCH(E1530, Unit_Paths!$A$2:$A$4, 0)),1)</f>
        <v>360</v>
      </c>
      <c r="J1530" s="6" t="n">
        <f aca="false">ROUND(INDEX(Archetypes!$G$2:$G$127, MATCH(D1530, Archetypes!$A$2:$A$127, 0))*INDEX(Unit_Grades!$B$2:$B$7, MATCH(F1530, Unit_Grades!$A$2:$A$7, 0))*INDEX(Unit_Paths!$D$2:$D$4, MATCH(E1530, Unit_Paths!$A$2:$A$4, 0)),0)</f>
        <v>1398</v>
      </c>
      <c r="K1530" s="6" t="n">
        <f aca="false">ROUND(INDEX(Archetypes!$H$2:$H$127, MATCH(D1530, Archetypes!$A$2:$A$127, 0))*INDEX(Unit_Paths!$E$2:$E$4, MATCH(E1530, Unit_Paths!$A$2:$A$4, 0)),1)</f>
        <v>110.4</v>
      </c>
      <c r="L1530" s="6" t="n">
        <f aca="false">ROUND(INDEX(Archetypes!$I$2:$I$127, MATCH(D1530, Archetypes!$A$2:$A$127, 0))*INDEX(Unit_Grades!$C$2:$C$7, MATCH(F1530, Unit_Grades!$A$2:$A$7, 0)),1)</f>
        <v>84</v>
      </c>
      <c r="M1530" s="6" t="n">
        <f aca="false">ROUND(INDEX(Archetypes!$J$2:$J$127, MATCH(D1530, Archetypes!$A$2:$A$127, 0))*INDEX(Unit_Grades!$D$2:$D$7, MATCH(F1530, Unit_Grades!$A$2:$A$7, 0)),1)</f>
        <v>85.3</v>
      </c>
      <c r="N1530" s="6" t="n">
        <f aca="false">ROUND(M1530/24,2)</f>
        <v>3.55</v>
      </c>
    </row>
    <row r="1531" customFormat="false" ht="15" hidden="false" customHeight="true" outlineLevel="0" collapsed="false">
      <c r="A1531" s="6" t="n">
        <v>5</v>
      </c>
      <c r="B1531" s="6" t="s">
        <v>3014</v>
      </c>
      <c r="C1531" s="6" t="s">
        <v>1445</v>
      </c>
      <c r="D1531" s="6" t="str">
        <f aca="false">A1531&amp;"|"&amp;C1531</f>
        <v>5|Strike Wing</v>
      </c>
      <c r="E1531" s="6" t="s">
        <v>1560</v>
      </c>
      <c r="F1531" s="6" t="s">
        <v>1548</v>
      </c>
      <c r="G1531" s="6" t="str">
        <f aca="false">INDEX(Archetypes!$D$2:$D$127, MATCH(D1531, Archetypes!$A$2:$A$127, 0))</f>
        <v>Air Strike</v>
      </c>
      <c r="H1531" s="6" t="n">
        <f aca="false">ROUND(INDEX(Archetypes!$E$2:$E$127, MATCH(D1531, Archetypes!$A$2:$A$127, 0))*INDEX(Unit_Grades!$B$2:$B$7, MATCH(F1531, Unit_Grades!$A$2:$A$7, 0))*INDEX(Unit_Paths!$B$2:$B$4, MATCH(E1531, Unit_Paths!$A$2:$A$4, 0)),1)</f>
        <v>1142.4</v>
      </c>
      <c r="I1531" s="6" t="n">
        <f aca="false">ROUND(INDEX(Archetypes!$F$2:$F$127, MATCH(D1531, Archetypes!$A$2:$A$127, 0))*INDEX(Unit_Grades!$B$2:$B$7, MATCH(F1531, Unit_Grades!$A$2:$A$7, 0))*INDEX(Unit_Paths!$C$2:$C$4, MATCH(E1531, Unit_Paths!$A$2:$A$4, 0)),1)</f>
        <v>472.5</v>
      </c>
      <c r="J1531" s="6" t="n">
        <f aca="false">ROUND(INDEX(Archetypes!$G$2:$G$127, MATCH(D1531, Archetypes!$A$2:$A$127, 0))*INDEX(Unit_Grades!$B$2:$B$7, MATCH(F1531, Unit_Grades!$A$2:$A$7, 0))*INDEX(Unit_Paths!$D$2:$D$4, MATCH(E1531, Unit_Paths!$A$2:$A$4, 0)),0)</f>
        <v>1835</v>
      </c>
      <c r="K1531" s="6" t="n">
        <f aca="false">ROUND(INDEX(Archetypes!$H$2:$H$127, MATCH(D1531, Archetypes!$A$2:$A$127, 0))*INDEX(Unit_Paths!$E$2:$E$4, MATCH(E1531, Unit_Paths!$A$2:$A$4, 0)),1)</f>
        <v>110.4</v>
      </c>
      <c r="L1531" s="6" t="n">
        <f aca="false">ROUND(INDEX(Archetypes!$I$2:$I$127, MATCH(D1531, Archetypes!$A$2:$A$127, 0))*INDEX(Unit_Grades!$C$2:$C$7, MATCH(F1531, Unit_Grades!$A$2:$A$7, 0)),1)</f>
        <v>111</v>
      </c>
      <c r="M1531" s="6" t="n">
        <f aca="false">ROUND(INDEX(Archetypes!$J$2:$J$127, MATCH(D1531, Archetypes!$A$2:$A$127, 0))*INDEX(Unit_Grades!$D$2:$D$7, MATCH(F1531, Unit_Grades!$A$2:$A$7, 0)),1)</f>
        <v>146.2</v>
      </c>
      <c r="N1531" s="6" t="n">
        <f aca="false">ROUND(M1531/24,2)</f>
        <v>6.09</v>
      </c>
    </row>
    <row r="1532" customFormat="false" ht="15" hidden="false" customHeight="true" outlineLevel="0" collapsed="false">
      <c r="A1532" s="6" t="n">
        <v>5</v>
      </c>
      <c r="B1532" s="6" t="s">
        <v>1447</v>
      </c>
      <c r="C1532" s="6" t="s">
        <v>1447</v>
      </c>
      <c r="D1532" s="6" t="str">
        <f aca="false">A1532&amp;"|"&amp;C1532</f>
        <v>5|Assault Transport</v>
      </c>
      <c r="E1532" s="6" t="s">
        <v>1556</v>
      </c>
      <c r="F1532" s="6" t="s">
        <v>1538</v>
      </c>
      <c r="G1532" s="6" t="str">
        <f aca="false">INDEX(Archetypes!$D$2:$D$127, MATCH(D1532, Archetypes!$A$2:$A$127, 0))</f>
        <v>Logistics</v>
      </c>
      <c r="H1532" s="6" t="n">
        <f aca="false">ROUND(INDEX(Archetypes!$E$2:$E$127, MATCH(D1532, Archetypes!$A$2:$A$127, 0))*INDEX(Unit_Grades!$B$2:$B$7, MATCH(F1532, Unit_Grades!$A$2:$A$7, 0))*INDEX(Unit_Paths!$B$2:$B$4, MATCH(E1532, Unit_Paths!$A$2:$A$4, 0)),1)</f>
        <v>120</v>
      </c>
      <c r="I1532" s="6" t="n">
        <f aca="false">ROUND(INDEX(Archetypes!$F$2:$F$127, MATCH(D1532, Archetypes!$A$2:$A$127, 0))*INDEX(Unit_Grades!$B$2:$B$7, MATCH(F1532, Unit_Grades!$A$2:$A$7, 0))*INDEX(Unit_Paths!$C$2:$C$4, MATCH(E1532, Unit_Paths!$A$2:$A$4, 0)),1)</f>
        <v>220</v>
      </c>
      <c r="J1532" s="6" t="n">
        <f aca="false">ROUND(INDEX(Archetypes!$G$2:$G$127, MATCH(D1532, Archetypes!$A$2:$A$127, 0))*INDEX(Unit_Grades!$B$2:$B$7, MATCH(F1532, Unit_Grades!$A$2:$A$7, 0))*INDEX(Unit_Paths!$D$2:$D$4, MATCH(E1532, Unit_Paths!$A$2:$A$4, 0)),0)</f>
        <v>900</v>
      </c>
      <c r="K1532" s="6" t="n">
        <f aca="false">ROUND(INDEX(Archetypes!$H$2:$H$127, MATCH(D1532, Archetypes!$A$2:$A$127, 0))*INDEX(Unit_Paths!$E$2:$E$4, MATCH(E1532, Unit_Paths!$A$2:$A$4, 0)),1)</f>
        <v>54</v>
      </c>
      <c r="L1532" s="6" t="n">
        <f aca="false">ROUND(INDEX(Archetypes!$I$2:$I$127, MATCH(D1532, Archetypes!$A$2:$A$127, 0))*INDEX(Unit_Grades!$C$2:$C$7, MATCH(F1532, Unit_Grades!$A$2:$A$7, 0)),1)</f>
        <v>32</v>
      </c>
      <c r="M1532" s="6" t="n">
        <f aca="false">ROUND(INDEX(Archetypes!$J$2:$J$127, MATCH(D1532, Archetypes!$A$2:$A$127, 0))*INDEX(Unit_Grades!$D$2:$D$7, MATCH(F1532, Unit_Grades!$A$2:$A$7, 0)),1)</f>
        <v>13</v>
      </c>
      <c r="N1532" s="6" t="n">
        <f aca="false">ROUND(M1532/24,2)</f>
        <v>0.54</v>
      </c>
    </row>
    <row r="1533" customFormat="false" ht="15" hidden="false" customHeight="true" outlineLevel="0" collapsed="false">
      <c r="A1533" s="6" t="n">
        <v>5</v>
      </c>
      <c r="B1533" s="6" t="s">
        <v>3015</v>
      </c>
      <c r="C1533" s="6" t="s">
        <v>1447</v>
      </c>
      <c r="D1533" s="6" t="str">
        <f aca="false">A1533&amp;"|"&amp;C1533</f>
        <v>5|Assault Transport</v>
      </c>
      <c r="E1533" s="6" t="s">
        <v>1556</v>
      </c>
      <c r="F1533" s="6" t="s">
        <v>1540</v>
      </c>
      <c r="G1533" s="6" t="str">
        <f aca="false">INDEX(Archetypes!$D$2:$D$127, MATCH(D1533, Archetypes!$A$2:$A$127, 0))</f>
        <v>Logistics</v>
      </c>
      <c r="H1533" s="6" t="n">
        <f aca="false">ROUND(INDEX(Archetypes!$E$2:$E$127, MATCH(D1533, Archetypes!$A$2:$A$127, 0))*INDEX(Unit_Grades!$B$2:$B$7, MATCH(F1533, Unit_Grades!$A$2:$A$7, 0))*INDEX(Unit_Paths!$B$2:$B$4, MATCH(E1533, Unit_Paths!$A$2:$A$4, 0)),1)</f>
        <v>162</v>
      </c>
      <c r="I1533" s="6" t="n">
        <f aca="false">ROUND(INDEX(Archetypes!$F$2:$F$127, MATCH(D1533, Archetypes!$A$2:$A$127, 0))*INDEX(Unit_Grades!$B$2:$B$7, MATCH(F1533, Unit_Grades!$A$2:$A$7, 0))*INDEX(Unit_Paths!$C$2:$C$4, MATCH(E1533, Unit_Paths!$A$2:$A$4, 0)),1)</f>
        <v>297</v>
      </c>
      <c r="J1533" s="6" t="n">
        <f aca="false">ROUND(INDEX(Archetypes!$G$2:$G$127, MATCH(D1533, Archetypes!$A$2:$A$127, 0))*INDEX(Unit_Grades!$B$2:$B$7, MATCH(F1533, Unit_Grades!$A$2:$A$7, 0))*INDEX(Unit_Paths!$D$2:$D$4, MATCH(E1533, Unit_Paths!$A$2:$A$4, 0)),0)</f>
        <v>1215</v>
      </c>
      <c r="K1533" s="6" t="n">
        <f aca="false">ROUND(INDEX(Archetypes!$H$2:$H$127, MATCH(D1533, Archetypes!$A$2:$A$127, 0))*INDEX(Unit_Paths!$E$2:$E$4, MATCH(E1533, Unit_Paths!$A$2:$A$4, 0)),1)</f>
        <v>54</v>
      </c>
      <c r="L1533" s="6" t="n">
        <f aca="false">ROUND(INDEX(Archetypes!$I$2:$I$127, MATCH(D1533, Archetypes!$A$2:$A$127, 0))*INDEX(Unit_Grades!$C$2:$C$7, MATCH(F1533, Unit_Grades!$A$2:$A$7, 0)),1)</f>
        <v>40</v>
      </c>
      <c r="M1533" s="6" t="n">
        <f aca="false">ROUND(INDEX(Archetypes!$J$2:$J$127, MATCH(D1533, Archetypes!$A$2:$A$127, 0))*INDEX(Unit_Grades!$D$2:$D$7, MATCH(F1533, Unit_Grades!$A$2:$A$7, 0)),1)</f>
        <v>19.5</v>
      </c>
      <c r="N1533" s="6" t="n">
        <f aca="false">ROUND(M1533/24,2)</f>
        <v>0.81</v>
      </c>
    </row>
    <row r="1534" customFormat="false" ht="15" hidden="false" customHeight="true" outlineLevel="0" collapsed="false">
      <c r="A1534" s="6" t="n">
        <v>5</v>
      </c>
      <c r="B1534" s="6" t="s">
        <v>3016</v>
      </c>
      <c r="C1534" s="6" t="s">
        <v>1447</v>
      </c>
      <c r="D1534" s="6" t="str">
        <f aca="false">A1534&amp;"|"&amp;C1534</f>
        <v>5|Assault Transport</v>
      </c>
      <c r="E1534" s="6" t="s">
        <v>1556</v>
      </c>
      <c r="F1534" s="6" t="s">
        <v>1542</v>
      </c>
      <c r="G1534" s="6" t="str">
        <f aca="false">INDEX(Archetypes!$D$2:$D$127, MATCH(D1534, Archetypes!$A$2:$A$127, 0))</f>
        <v>Logistics</v>
      </c>
      <c r="H1534" s="6" t="n">
        <f aca="false">ROUND(INDEX(Archetypes!$E$2:$E$127, MATCH(D1534, Archetypes!$A$2:$A$127, 0))*INDEX(Unit_Grades!$B$2:$B$7, MATCH(F1534, Unit_Grades!$A$2:$A$7, 0))*INDEX(Unit_Paths!$B$2:$B$4, MATCH(E1534, Unit_Paths!$A$2:$A$4, 0)),1)</f>
        <v>216</v>
      </c>
      <c r="I1534" s="6" t="n">
        <f aca="false">ROUND(INDEX(Archetypes!$F$2:$F$127, MATCH(D1534, Archetypes!$A$2:$A$127, 0))*INDEX(Unit_Grades!$B$2:$B$7, MATCH(F1534, Unit_Grades!$A$2:$A$7, 0))*INDEX(Unit_Paths!$C$2:$C$4, MATCH(E1534, Unit_Paths!$A$2:$A$4, 0)),1)</f>
        <v>396</v>
      </c>
      <c r="J1534" s="6" t="n">
        <f aca="false">ROUND(INDEX(Archetypes!$G$2:$G$127, MATCH(D1534, Archetypes!$A$2:$A$127, 0))*INDEX(Unit_Grades!$B$2:$B$7, MATCH(F1534, Unit_Grades!$A$2:$A$7, 0))*INDEX(Unit_Paths!$D$2:$D$4, MATCH(E1534, Unit_Paths!$A$2:$A$4, 0)),0)</f>
        <v>1620</v>
      </c>
      <c r="K1534" s="6" t="n">
        <f aca="false">ROUND(INDEX(Archetypes!$H$2:$H$127, MATCH(D1534, Archetypes!$A$2:$A$127, 0))*INDEX(Unit_Paths!$E$2:$E$4, MATCH(E1534, Unit_Paths!$A$2:$A$4, 0)),1)</f>
        <v>54</v>
      </c>
      <c r="L1534" s="6" t="n">
        <f aca="false">ROUND(INDEX(Archetypes!$I$2:$I$127, MATCH(D1534, Archetypes!$A$2:$A$127, 0))*INDEX(Unit_Grades!$C$2:$C$7, MATCH(F1534, Unit_Grades!$A$2:$A$7, 0)),1)</f>
        <v>51.2</v>
      </c>
      <c r="M1534" s="6" t="n">
        <f aca="false">ROUND(INDEX(Archetypes!$J$2:$J$127, MATCH(D1534, Archetypes!$A$2:$A$127, 0))*INDEX(Unit_Grades!$D$2:$D$7, MATCH(F1534, Unit_Grades!$A$2:$A$7, 0)),1)</f>
        <v>32.5</v>
      </c>
      <c r="N1534" s="6" t="n">
        <f aca="false">ROUND(M1534/24,2)</f>
        <v>1.35</v>
      </c>
    </row>
    <row r="1535" customFormat="false" ht="15" hidden="false" customHeight="true" outlineLevel="0" collapsed="false">
      <c r="A1535" s="6" t="n">
        <v>5</v>
      </c>
      <c r="B1535" s="6" t="s">
        <v>3017</v>
      </c>
      <c r="C1535" s="6" t="s">
        <v>1447</v>
      </c>
      <c r="D1535" s="6" t="str">
        <f aca="false">A1535&amp;"|"&amp;C1535</f>
        <v>5|Assault Transport</v>
      </c>
      <c r="E1535" s="6" t="s">
        <v>1556</v>
      </c>
      <c r="F1535" s="6" t="s">
        <v>1544</v>
      </c>
      <c r="G1535" s="6" t="str">
        <f aca="false">INDEX(Archetypes!$D$2:$D$127, MATCH(D1535, Archetypes!$A$2:$A$127, 0))</f>
        <v>Logistics</v>
      </c>
      <c r="H1535" s="6" t="n">
        <f aca="false">ROUND(INDEX(Archetypes!$E$2:$E$127, MATCH(D1535, Archetypes!$A$2:$A$127, 0))*INDEX(Unit_Grades!$B$2:$B$7, MATCH(F1535, Unit_Grades!$A$2:$A$7, 0))*INDEX(Unit_Paths!$B$2:$B$4, MATCH(E1535, Unit_Paths!$A$2:$A$4, 0)),1)</f>
        <v>288</v>
      </c>
      <c r="I1535" s="6" t="n">
        <f aca="false">ROUND(INDEX(Archetypes!$F$2:$F$127, MATCH(D1535, Archetypes!$A$2:$A$127, 0))*INDEX(Unit_Grades!$B$2:$B$7, MATCH(F1535, Unit_Grades!$A$2:$A$7, 0))*INDEX(Unit_Paths!$C$2:$C$4, MATCH(E1535, Unit_Paths!$A$2:$A$4, 0)),1)</f>
        <v>528</v>
      </c>
      <c r="J1535" s="6" t="n">
        <f aca="false">ROUND(INDEX(Archetypes!$G$2:$G$127, MATCH(D1535, Archetypes!$A$2:$A$127, 0))*INDEX(Unit_Grades!$B$2:$B$7, MATCH(F1535, Unit_Grades!$A$2:$A$7, 0))*INDEX(Unit_Paths!$D$2:$D$4, MATCH(E1535, Unit_Paths!$A$2:$A$4, 0)),0)</f>
        <v>2160</v>
      </c>
      <c r="K1535" s="6" t="n">
        <f aca="false">ROUND(INDEX(Archetypes!$H$2:$H$127, MATCH(D1535, Archetypes!$A$2:$A$127, 0))*INDEX(Unit_Paths!$E$2:$E$4, MATCH(E1535, Unit_Paths!$A$2:$A$4, 0)),1)</f>
        <v>54</v>
      </c>
      <c r="L1535" s="6" t="n">
        <f aca="false">ROUND(INDEX(Archetypes!$I$2:$I$127, MATCH(D1535, Archetypes!$A$2:$A$127, 0))*INDEX(Unit_Grades!$C$2:$C$7, MATCH(F1535, Unit_Grades!$A$2:$A$7, 0)),1)</f>
        <v>67.2</v>
      </c>
      <c r="M1535" s="6" t="n">
        <f aca="false">ROUND(INDEX(Archetypes!$J$2:$J$127, MATCH(D1535, Archetypes!$A$2:$A$127, 0))*INDEX(Unit_Grades!$D$2:$D$7, MATCH(F1535, Unit_Grades!$A$2:$A$7, 0)),1)</f>
        <v>52</v>
      </c>
      <c r="N1535" s="6" t="n">
        <f aca="false">ROUND(M1535/24,2)</f>
        <v>2.17</v>
      </c>
    </row>
    <row r="1536" customFormat="false" ht="15" hidden="false" customHeight="true" outlineLevel="0" collapsed="false">
      <c r="A1536" s="6" t="n">
        <v>5</v>
      </c>
      <c r="B1536" s="6" t="s">
        <v>3018</v>
      </c>
      <c r="C1536" s="6" t="s">
        <v>1447</v>
      </c>
      <c r="D1536" s="6" t="str">
        <f aca="false">A1536&amp;"|"&amp;C1536</f>
        <v>5|Assault Transport</v>
      </c>
      <c r="E1536" s="6" t="s">
        <v>1556</v>
      </c>
      <c r="F1536" s="6" t="s">
        <v>1546</v>
      </c>
      <c r="G1536" s="6" t="str">
        <f aca="false">INDEX(Archetypes!$D$2:$D$127, MATCH(D1536, Archetypes!$A$2:$A$127, 0))</f>
        <v>Logistics</v>
      </c>
      <c r="H1536" s="6" t="n">
        <f aca="false">ROUND(INDEX(Archetypes!$E$2:$E$127, MATCH(D1536, Archetypes!$A$2:$A$127, 0))*INDEX(Unit_Grades!$B$2:$B$7, MATCH(F1536, Unit_Grades!$A$2:$A$7, 0))*INDEX(Unit_Paths!$B$2:$B$4, MATCH(E1536, Unit_Paths!$A$2:$A$4, 0)),1)</f>
        <v>384</v>
      </c>
      <c r="I1536" s="6" t="n">
        <f aca="false">ROUND(INDEX(Archetypes!$F$2:$F$127, MATCH(D1536, Archetypes!$A$2:$A$127, 0))*INDEX(Unit_Grades!$B$2:$B$7, MATCH(F1536, Unit_Grades!$A$2:$A$7, 0))*INDEX(Unit_Paths!$C$2:$C$4, MATCH(E1536, Unit_Paths!$A$2:$A$4, 0)),1)</f>
        <v>704</v>
      </c>
      <c r="J1536" s="6" t="n">
        <f aca="false">ROUND(INDEX(Archetypes!$G$2:$G$127, MATCH(D1536, Archetypes!$A$2:$A$127, 0))*INDEX(Unit_Grades!$B$2:$B$7, MATCH(F1536, Unit_Grades!$A$2:$A$7, 0))*INDEX(Unit_Paths!$D$2:$D$4, MATCH(E1536, Unit_Paths!$A$2:$A$4, 0)),0)</f>
        <v>2880</v>
      </c>
      <c r="K1536" s="6" t="n">
        <f aca="false">ROUND(INDEX(Archetypes!$H$2:$H$127, MATCH(D1536, Archetypes!$A$2:$A$127, 0))*INDEX(Unit_Paths!$E$2:$E$4, MATCH(E1536, Unit_Paths!$A$2:$A$4, 0)),1)</f>
        <v>54</v>
      </c>
      <c r="L1536" s="6" t="n">
        <f aca="false">ROUND(INDEX(Archetypes!$I$2:$I$127, MATCH(D1536, Archetypes!$A$2:$A$127, 0))*INDEX(Unit_Grades!$C$2:$C$7, MATCH(F1536, Unit_Grades!$A$2:$A$7, 0)),1)</f>
        <v>89.6</v>
      </c>
      <c r="M1536" s="6" t="n">
        <f aca="false">ROUND(INDEX(Archetypes!$J$2:$J$127, MATCH(D1536, Archetypes!$A$2:$A$127, 0))*INDEX(Unit_Grades!$D$2:$D$7, MATCH(F1536, Unit_Grades!$A$2:$A$7, 0)),1)</f>
        <v>90.9</v>
      </c>
      <c r="N1536" s="6" t="n">
        <f aca="false">ROUND(M1536/24,2)</f>
        <v>3.79</v>
      </c>
    </row>
    <row r="1537" customFormat="false" ht="15" hidden="false" customHeight="true" outlineLevel="0" collapsed="false">
      <c r="A1537" s="6" t="n">
        <v>5</v>
      </c>
      <c r="B1537" s="6" t="s">
        <v>3019</v>
      </c>
      <c r="C1537" s="6" t="s">
        <v>1447</v>
      </c>
      <c r="D1537" s="6" t="str">
        <f aca="false">A1537&amp;"|"&amp;C1537</f>
        <v>5|Assault Transport</v>
      </c>
      <c r="E1537" s="6" t="s">
        <v>1556</v>
      </c>
      <c r="F1537" s="6" t="s">
        <v>1548</v>
      </c>
      <c r="G1537" s="6" t="str">
        <f aca="false">INDEX(Archetypes!$D$2:$D$127, MATCH(D1537, Archetypes!$A$2:$A$127, 0))</f>
        <v>Logistics</v>
      </c>
      <c r="H1537" s="6" t="n">
        <f aca="false">ROUND(INDEX(Archetypes!$E$2:$E$127, MATCH(D1537, Archetypes!$A$2:$A$127, 0))*INDEX(Unit_Grades!$B$2:$B$7, MATCH(F1537, Unit_Grades!$A$2:$A$7, 0))*INDEX(Unit_Paths!$B$2:$B$4, MATCH(E1537, Unit_Paths!$A$2:$A$4, 0)),1)</f>
        <v>504</v>
      </c>
      <c r="I1537" s="6" t="n">
        <f aca="false">ROUND(INDEX(Archetypes!$F$2:$F$127, MATCH(D1537, Archetypes!$A$2:$A$127, 0))*INDEX(Unit_Grades!$B$2:$B$7, MATCH(F1537, Unit_Grades!$A$2:$A$7, 0))*INDEX(Unit_Paths!$C$2:$C$4, MATCH(E1537, Unit_Paths!$A$2:$A$4, 0)),1)</f>
        <v>924</v>
      </c>
      <c r="J1537" s="6" t="n">
        <f aca="false">ROUND(INDEX(Archetypes!$G$2:$G$127, MATCH(D1537, Archetypes!$A$2:$A$127, 0))*INDEX(Unit_Grades!$B$2:$B$7, MATCH(F1537, Unit_Grades!$A$2:$A$7, 0))*INDEX(Unit_Paths!$D$2:$D$4, MATCH(E1537, Unit_Paths!$A$2:$A$4, 0)),0)</f>
        <v>3780</v>
      </c>
      <c r="K1537" s="6" t="n">
        <f aca="false">ROUND(INDEX(Archetypes!$H$2:$H$127, MATCH(D1537, Archetypes!$A$2:$A$127, 0))*INDEX(Unit_Paths!$E$2:$E$4, MATCH(E1537, Unit_Paths!$A$2:$A$4, 0)),1)</f>
        <v>54</v>
      </c>
      <c r="L1537" s="6" t="n">
        <f aca="false">ROUND(INDEX(Archetypes!$I$2:$I$127, MATCH(D1537, Archetypes!$A$2:$A$127, 0))*INDEX(Unit_Grades!$C$2:$C$7, MATCH(F1537, Unit_Grades!$A$2:$A$7, 0)),1)</f>
        <v>118.4</v>
      </c>
      <c r="M1537" s="6" t="n">
        <f aca="false">ROUND(INDEX(Archetypes!$J$2:$J$127, MATCH(D1537, Archetypes!$A$2:$A$127, 0))*INDEX(Unit_Grades!$D$2:$D$7, MATCH(F1537, Unit_Grades!$A$2:$A$7, 0)),1)</f>
        <v>155.9</v>
      </c>
      <c r="N1537" s="6" t="n">
        <f aca="false">ROUND(M1537/24,2)</f>
        <v>6.5</v>
      </c>
    </row>
    <row r="1538" customFormat="false" ht="15" hidden="false" customHeight="true" outlineLevel="0" collapsed="false">
      <c r="A1538" s="6" t="n">
        <v>5</v>
      </c>
      <c r="B1538" s="6" t="s">
        <v>3020</v>
      </c>
      <c r="C1538" s="6" t="s">
        <v>1447</v>
      </c>
      <c r="D1538" s="6" t="str">
        <f aca="false">A1538&amp;"|"&amp;C1538</f>
        <v>5|Assault Transport</v>
      </c>
      <c r="E1538" s="6" t="s">
        <v>1558</v>
      </c>
      <c r="F1538" s="6" t="s">
        <v>1538</v>
      </c>
      <c r="G1538" s="6" t="str">
        <f aca="false">INDEX(Archetypes!$D$2:$D$127, MATCH(D1538, Archetypes!$A$2:$A$127, 0))</f>
        <v>Logistics</v>
      </c>
      <c r="H1538" s="6" t="n">
        <f aca="false">ROUND(INDEX(Archetypes!$E$2:$E$127, MATCH(D1538, Archetypes!$A$2:$A$127, 0))*INDEX(Unit_Grades!$B$2:$B$7, MATCH(F1538, Unit_Grades!$A$2:$A$7, 0))*INDEX(Unit_Paths!$B$2:$B$4, MATCH(E1538, Unit_Paths!$A$2:$A$4, 0)),1)</f>
        <v>144</v>
      </c>
      <c r="I1538" s="6" t="n">
        <f aca="false">ROUND(INDEX(Archetypes!$F$2:$F$127, MATCH(D1538, Archetypes!$A$2:$A$127, 0))*INDEX(Unit_Grades!$B$2:$B$7, MATCH(F1538, Unit_Grades!$A$2:$A$7, 0))*INDEX(Unit_Paths!$C$2:$C$4, MATCH(E1538, Unit_Paths!$A$2:$A$4, 0)),1)</f>
        <v>187</v>
      </c>
      <c r="J1538" s="6" t="n">
        <f aca="false">ROUND(INDEX(Archetypes!$G$2:$G$127, MATCH(D1538, Archetypes!$A$2:$A$127, 0))*INDEX(Unit_Grades!$B$2:$B$7, MATCH(F1538, Unit_Grades!$A$2:$A$7, 0))*INDEX(Unit_Paths!$D$2:$D$4, MATCH(E1538, Unit_Paths!$A$2:$A$4, 0)),0)</f>
        <v>855</v>
      </c>
      <c r="K1538" s="6" t="n">
        <f aca="false">ROUND(INDEX(Archetypes!$H$2:$H$127, MATCH(D1538, Archetypes!$A$2:$A$127, 0))*INDEX(Unit_Paths!$E$2:$E$4, MATCH(E1538, Unit_Paths!$A$2:$A$4, 0)),1)</f>
        <v>56.7</v>
      </c>
      <c r="L1538" s="6" t="n">
        <f aca="false">ROUND(INDEX(Archetypes!$I$2:$I$127, MATCH(D1538, Archetypes!$A$2:$A$127, 0))*INDEX(Unit_Grades!$C$2:$C$7, MATCH(F1538, Unit_Grades!$A$2:$A$7, 0)),1)</f>
        <v>32</v>
      </c>
      <c r="M1538" s="6" t="n">
        <f aca="false">ROUND(INDEX(Archetypes!$J$2:$J$127, MATCH(D1538, Archetypes!$A$2:$A$127, 0))*INDEX(Unit_Grades!$D$2:$D$7, MATCH(F1538, Unit_Grades!$A$2:$A$7, 0)),1)</f>
        <v>13</v>
      </c>
      <c r="N1538" s="6" t="n">
        <f aca="false">ROUND(M1538/24,2)</f>
        <v>0.54</v>
      </c>
    </row>
    <row r="1539" customFormat="false" ht="15" hidden="false" customHeight="true" outlineLevel="0" collapsed="false">
      <c r="A1539" s="6" t="n">
        <v>5</v>
      </c>
      <c r="B1539" s="6" t="s">
        <v>3021</v>
      </c>
      <c r="C1539" s="6" t="s">
        <v>1447</v>
      </c>
      <c r="D1539" s="6" t="str">
        <f aca="false">A1539&amp;"|"&amp;C1539</f>
        <v>5|Assault Transport</v>
      </c>
      <c r="E1539" s="6" t="s">
        <v>1558</v>
      </c>
      <c r="F1539" s="6" t="s">
        <v>1540</v>
      </c>
      <c r="G1539" s="6" t="str">
        <f aca="false">INDEX(Archetypes!$D$2:$D$127, MATCH(D1539, Archetypes!$A$2:$A$127, 0))</f>
        <v>Logistics</v>
      </c>
      <c r="H1539" s="6" t="n">
        <f aca="false">ROUND(INDEX(Archetypes!$E$2:$E$127, MATCH(D1539, Archetypes!$A$2:$A$127, 0))*INDEX(Unit_Grades!$B$2:$B$7, MATCH(F1539, Unit_Grades!$A$2:$A$7, 0))*INDEX(Unit_Paths!$B$2:$B$4, MATCH(E1539, Unit_Paths!$A$2:$A$4, 0)),1)</f>
        <v>194.4</v>
      </c>
      <c r="I1539" s="6" t="n">
        <f aca="false">ROUND(INDEX(Archetypes!$F$2:$F$127, MATCH(D1539, Archetypes!$A$2:$A$127, 0))*INDEX(Unit_Grades!$B$2:$B$7, MATCH(F1539, Unit_Grades!$A$2:$A$7, 0))*INDEX(Unit_Paths!$C$2:$C$4, MATCH(E1539, Unit_Paths!$A$2:$A$4, 0)),1)</f>
        <v>252.5</v>
      </c>
      <c r="J1539" s="6" t="n">
        <f aca="false">ROUND(INDEX(Archetypes!$G$2:$G$127, MATCH(D1539, Archetypes!$A$2:$A$127, 0))*INDEX(Unit_Grades!$B$2:$B$7, MATCH(F1539, Unit_Grades!$A$2:$A$7, 0))*INDEX(Unit_Paths!$D$2:$D$4, MATCH(E1539, Unit_Paths!$A$2:$A$4, 0)),0)</f>
        <v>1154</v>
      </c>
      <c r="K1539" s="6" t="n">
        <f aca="false">ROUND(INDEX(Archetypes!$H$2:$H$127, MATCH(D1539, Archetypes!$A$2:$A$127, 0))*INDEX(Unit_Paths!$E$2:$E$4, MATCH(E1539, Unit_Paths!$A$2:$A$4, 0)),1)</f>
        <v>56.7</v>
      </c>
      <c r="L1539" s="6" t="n">
        <f aca="false">ROUND(INDEX(Archetypes!$I$2:$I$127, MATCH(D1539, Archetypes!$A$2:$A$127, 0))*INDEX(Unit_Grades!$C$2:$C$7, MATCH(F1539, Unit_Grades!$A$2:$A$7, 0)),1)</f>
        <v>40</v>
      </c>
      <c r="M1539" s="6" t="n">
        <f aca="false">ROUND(INDEX(Archetypes!$J$2:$J$127, MATCH(D1539, Archetypes!$A$2:$A$127, 0))*INDEX(Unit_Grades!$D$2:$D$7, MATCH(F1539, Unit_Grades!$A$2:$A$7, 0)),1)</f>
        <v>19.5</v>
      </c>
      <c r="N1539" s="6" t="n">
        <f aca="false">ROUND(M1539/24,2)</f>
        <v>0.81</v>
      </c>
    </row>
    <row r="1540" customFormat="false" ht="15" hidden="false" customHeight="true" outlineLevel="0" collapsed="false">
      <c r="A1540" s="6" t="n">
        <v>5</v>
      </c>
      <c r="B1540" s="6" t="s">
        <v>3022</v>
      </c>
      <c r="C1540" s="6" t="s">
        <v>1447</v>
      </c>
      <c r="D1540" s="6" t="str">
        <f aca="false">A1540&amp;"|"&amp;C1540</f>
        <v>5|Assault Transport</v>
      </c>
      <c r="E1540" s="6" t="s">
        <v>1558</v>
      </c>
      <c r="F1540" s="6" t="s">
        <v>1542</v>
      </c>
      <c r="G1540" s="6" t="str">
        <f aca="false">INDEX(Archetypes!$D$2:$D$127, MATCH(D1540, Archetypes!$A$2:$A$127, 0))</f>
        <v>Logistics</v>
      </c>
      <c r="H1540" s="6" t="n">
        <f aca="false">ROUND(INDEX(Archetypes!$E$2:$E$127, MATCH(D1540, Archetypes!$A$2:$A$127, 0))*INDEX(Unit_Grades!$B$2:$B$7, MATCH(F1540, Unit_Grades!$A$2:$A$7, 0))*INDEX(Unit_Paths!$B$2:$B$4, MATCH(E1540, Unit_Paths!$A$2:$A$4, 0)),1)</f>
        <v>259.2</v>
      </c>
      <c r="I1540" s="6" t="n">
        <f aca="false">ROUND(INDEX(Archetypes!$F$2:$F$127, MATCH(D1540, Archetypes!$A$2:$A$127, 0))*INDEX(Unit_Grades!$B$2:$B$7, MATCH(F1540, Unit_Grades!$A$2:$A$7, 0))*INDEX(Unit_Paths!$C$2:$C$4, MATCH(E1540, Unit_Paths!$A$2:$A$4, 0)),1)</f>
        <v>336.6</v>
      </c>
      <c r="J1540" s="6" t="n">
        <f aca="false">ROUND(INDEX(Archetypes!$G$2:$G$127, MATCH(D1540, Archetypes!$A$2:$A$127, 0))*INDEX(Unit_Grades!$B$2:$B$7, MATCH(F1540, Unit_Grades!$A$2:$A$7, 0))*INDEX(Unit_Paths!$D$2:$D$4, MATCH(E1540, Unit_Paths!$A$2:$A$4, 0)),0)</f>
        <v>1539</v>
      </c>
      <c r="K1540" s="6" t="n">
        <f aca="false">ROUND(INDEX(Archetypes!$H$2:$H$127, MATCH(D1540, Archetypes!$A$2:$A$127, 0))*INDEX(Unit_Paths!$E$2:$E$4, MATCH(E1540, Unit_Paths!$A$2:$A$4, 0)),1)</f>
        <v>56.7</v>
      </c>
      <c r="L1540" s="6" t="n">
        <f aca="false">ROUND(INDEX(Archetypes!$I$2:$I$127, MATCH(D1540, Archetypes!$A$2:$A$127, 0))*INDEX(Unit_Grades!$C$2:$C$7, MATCH(F1540, Unit_Grades!$A$2:$A$7, 0)),1)</f>
        <v>51.2</v>
      </c>
      <c r="M1540" s="6" t="n">
        <f aca="false">ROUND(INDEX(Archetypes!$J$2:$J$127, MATCH(D1540, Archetypes!$A$2:$A$127, 0))*INDEX(Unit_Grades!$D$2:$D$7, MATCH(F1540, Unit_Grades!$A$2:$A$7, 0)),1)</f>
        <v>32.5</v>
      </c>
      <c r="N1540" s="6" t="n">
        <f aca="false">ROUND(M1540/24,2)</f>
        <v>1.35</v>
      </c>
    </row>
    <row r="1541" customFormat="false" ht="15" hidden="false" customHeight="true" outlineLevel="0" collapsed="false">
      <c r="A1541" s="6" t="n">
        <v>5</v>
      </c>
      <c r="B1541" s="6" t="s">
        <v>3023</v>
      </c>
      <c r="C1541" s="6" t="s">
        <v>1447</v>
      </c>
      <c r="D1541" s="6" t="str">
        <f aca="false">A1541&amp;"|"&amp;C1541</f>
        <v>5|Assault Transport</v>
      </c>
      <c r="E1541" s="6" t="s">
        <v>1558</v>
      </c>
      <c r="F1541" s="6" t="s">
        <v>1544</v>
      </c>
      <c r="G1541" s="6" t="str">
        <f aca="false">INDEX(Archetypes!$D$2:$D$127, MATCH(D1541, Archetypes!$A$2:$A$127, 0))</f>
        <v>Logistics</v>
      </c>
      <c r="H1541" s="6" t="n">
        <f aca="false">ROUND(INDEX(Archetypes!$E$2:$E$127, MATCH(D1541, Archetypes!$A$2:$A$127, 0))*INDEX(Unit_Grades!$B$2:$B$7, MATCH(F1541, Unit_Grades!$A$2:$A$7, 0))*INDEX(Unit_Paths!$B$2:$B$4, MATCH(E1541, Unit_Paths!$A$2:$A$4, 0)),1)</f>
        <v>345.6</v>
      </c>
      <c r="I1541" s="6" t="n">
        <f aca="false">ROUND(INDEX(Archetypes!$F$2:$F$127, MATCH(D1541, Archetypes!$A$2:$A$127, 0))*INDEX(Unit_Grades!$B$2:$B$7, MATCH(F1541, Unit_Grades!$A$2:$A$7, 0))*INDEX(Unit_Paths!$C$2:$C$4, MATCH(E1541, Unit_Paths!$A$2:$A$4, 0)),1)</f>
        <v>448.8</v>
      </c>
      <c r="J1541" s="6" t="n">
        <f aca="false">ROUND(INDEX(Archetypes!$G$2:$G$127, MATCH(D1541, Archetypes!$A$2:$A$127, 0))*INDEX(Unit_Grades!$B$2:$B$7, MATCH(F1541, Unit_Grades!$A$2:$A$7, 0))*INDEX(Unit_Paths!$D$2:$D$4, MATCH(E1541, Unit_Paths!$A$2:$A$4, 0)),0)</f>
        <v>2052</v>
      </c>
      <c r="K1541" s="6" t="n">
        <f aca="false">ROUND(INDEX(Archetypes!$H$2:$H$127, MATCH(D1541, Archetypes!$A$2:$A$127, 0))*INDEX(Unit_Paths!$E$2:$E$4, MATCH(E1541, Unit_Paths!$A$2:$A$4, 0)),1)</f>
        <v>56.7</v>
      </c>
      <c r="L1541" s="6" t="n">
        <f aca="false">ROUND(INDEX(Archetypes!$I$2:$I$127, MATCH(D1541, Archetypes!$A$2:$A$127, 0))*INDEX(Unit_Grades!$C$2:$C$7, MATCH(F1541, Unit_Grades!$A$2:$A$7, 0)),1)</f>
        <v>67.2</v>
      </c>
      <c r="M1541" s="6" t="n">
        <f aca="false">ROUND(INDEX(Archetypes!$J$2:$J$127, MATCH(D1541, Archetypes!$A$2:$A$127, 0))*INDEX(Unit_Grades!$D$2:$D$7, MATCH(F1541, Unit_Grades!$A$2:$A$7, 0)),1)</f>
        <v>52</v>
      </c>
      <c r="N1541" s="6" t="n">
        <f aca="false">ROUND(M1541/24,2)</f>
        <v>2.17</v>
      </c>
    </row>
    <row r="1542" customFormat="false" ht="15" hidden="false" customHeight="true" outlineLevel="0" collapsed="false">
      <c r="A1542" s="6" t="n">
        <v>5</v>
      </c>
      <c r="B1542" s="6" t="s">
        <v>3024</v>
      </c>
      <c r="C1542" s="6" t="s">
        <v>1447</v>
      </c>
      <c r="D1542" s="6" t="str">
        <f aca="false">A1542&amp;"|"&amp;C1542</f>
        <v>5|Assault Transport</v>
      </c>
      <c r="E1542" s="6" t="s">
        <v>1558</v>
      </c>
      <c r="F1542" s="6" t="s">
        <v>1546</v>
      </c>
      <c r="G1542" s="6" t="str">
        <f aca="false">INDEX(Archetypes!$D$2:$D$127, MATCH(D1542, Archetypes!$A$2:$A$127, 0))</f>
        <v>Logistics</v>
      </c>
      <c r="H1542" s="6" t="n">
        <f aca="false">ROUND(INDEX(Archetypes!$E$2:$E$127, MATCH(D1542, Archetypes!$A$2:$A$127, 0))*INDEX(Unit_Grades!$B$2:$B$7, MATCH(F1542, Unit_Grades!$A$2:$A$7, 0))*INDEX(Unit_Paths!$B$2:$B$4, MATCH(E1542, Unit_Paths!$A$2:$A$4, 0)),1)</f>
        <v>460.8</v>
      </c>
      <c r="I1542" s="6" t="n">
        <f aca="false">ROUND(INDEX(Archetypes!$F$2:$F$127, MATCH(D1542, Archetypes!$A$2:$A$127, 0))*INDEX(Unit_Grades!$B$2:$B$7, MATCH(F1542, Unit_Grades!$A$2:$A$7, 0))*INDEX(Unit_Paths!$C$2:$C$4, MATCH(E1542, Unit_Paths!$A$2:$A$4, 0)),1)</f>
        <v>598.4</v>
      </c>
      <c r="J1542" s="6" t="n">
        <f aca="false">ROUND(INDEX(Archetypes!$G$2:$G$127, MATCH(D1542, Archetypes!$A$2:$A$127, 0))*INDEX(Unit_Grades!$B$2:$B$7, MATCH(F1542, Unit_Grades!$A$2:$A$7, 0))*INDEX(Unit_Paths!$D$2:$D$4, MATCH(E1542, Unit_Paths!$A$2:$A$4, 0)),0)</f>
        <v>2736</v>
      </c>
      <c r="K1542" s="6" t="n">
        <f aca="false">ROUND(INDEX(Archetypes!$H$2:$H$127, MATCH(D1542, Archetypes!$A$2:$A$127, 0))*INDEX(Unit_Paths!$E$2:$E$4, MATCH(E1542, Unit_Paths!$A$2:$A$4, 0)),1)</f>
        <v>56.7</v>
      </c>
      <c r="L1542" s="6" t="n">
        <f aca="false">ROUND(INDEX(Archetypes!$I$2:$I$127, MATCH(D1542, Archetypes!$A$2:$A$127, 0))*INDEX(Unit_Grades!$C$2:$C$7, MATCH(F1542, Unit_Grades!$A$2:$A$7, 0)),1)</f>
        <v>89.6</v>
      </c>
      <c r="M1542" s="6" t="n">
        <f aca="false">ROUND(INDEX(Archetypes!$J$2:$J$127, MATCH(D1542, Archetypes!$A$2:$A$127, 0))*INDEX(Unit_Grades!$D$2:$D$7, MATCH(F1542, Unit_Grades!$A$2:$A$7, 0)),1)</f>
        <v>90.9</v>
      </c>
      <c r="N1542" s="6" t="n">
        <f aca="false">ROUND(M1542/24,2)</f>
        <v>3.79</v>
      </c>
    </row>
    <row r="1543" customFormat="false" ht="15" hidden="false" customHeight="true" outlineLevel="0" collapsed="false">
      <c r="A1543" s="6" t="n">
        <v>5</v>
      </c>
      <c r="B1543" s="6" t="s">
        <v>3025</v>
      </c>
      <c r="C1543" s="6" t="s">
        <v>1447</v>
      </c>
      <c r="D1543" s="6" t="str">
        <f aca="false">A1543&amp;"|"&amp;C1543</f>
        <v>5|Assault Transport</v>
      </c>
      <c r="E1543" s="6" t="s">
        <v>1558</v>
      </c>
      <c r="F1543" s="6" t="s">
        <v>1548</v>
      </c>
      <c r="G1543" s="6" t="str">
        <f aca="false">INDEX(Archetypes!$D$2:$D$127, MATCH(D1543, Archetypes!$A$2:$A$127, 0))</f>
        <v>Logistics</v>
      </c>
      <c r="H1543" s="6" t="n">
        <f aca="false">ROUND(INDEX(Archetypes!$E$2:$E$127, MATCH(D1543, Archetypes!$A$2:$A$127, 0))*INDEX(Unit_Grades!$B$2:$B$7, MATCH(F1543, Unit_Grades!$A$2:$A$7, 0))*INDEX(Unit_Paths!$B$2:$B$4, MATCH(E1543, Unit_Paths!$A$2:$A$4, 0)),1)</f>
        <v>604.8</v>
      </c>
      <c r="I1543" s="6" t="n">
        <f aca="false">ROUND(INDEX(Archetypes!$F$2:$F$127, MATCH(D1543, Archetypes!$A$2:$A$127, 0))*INDEX(Unit_Grades!$B$2:$B$7, MATCH(F1543, Unit_Grades!$A$2:$A$7, 0))*INDEX(Unit_Paths!$C$2:$C$4, MATCH(E1543, Unit_Paths!$A$2:$A$4, 0)),1)</f>
        <v>785.4</v>
      </c>
      <c r="J1543" s="6" t="n">
        <f aca="false">ROUND(INDEX(Archetypes!$G$2:$G$127, MATCH(D1543, Archetypes!$A$2:$A$127, 0))*INDEX(Unit_Grades!$B$2:$B$7, MATCH(F1543, Unit_Grades!$A$2:$A$7, 0))*INDEX(Unit_Paths!$D$2:$D$4, MATCH(E1543, Unit_Paths!$A$2:$A$4, 0)),0)</f>
        <v>3591</v>
      </c>
      <c r="K1543" s="6" t="n">
        <f aca="false">ROUND(INDEX(Archetypes!$H$2:$H$127, MATCH(D1543, Archetypes!$A$2:$A$127, 0))*INDEX(Unit_Paths!$E$2:$E$4, MATCH(E1543, Unit_Paths!$A$2:$A$4, 0)),1)</f>
        <v>56.7</v>
      </c>
      <c r="L1543" s="6" t="n">
        <f aca="false">ROUND(INDEX(Archetypes!$I$2:$I$127, MATCH(D1543, Archetypes!$A$2:$A$127, 0))*INDEX(Unit_Grades!$C$2:$C$7, MATCH(F1543, Unit_Grades!$A$2:$A$7, 0)),1)</f>
        <v>118.4</v>
      </c>
      <c r="M1543" s="6" t="n">
        <f aca="false">ROUND(INDEX(Archetypes!$J$2:$J$127, MATCH(D1543, Archetypes!$A$2:$A$127, 0))*INDEX(Unit_Grades!$D$2:$D$7, MATCH(F1543, Unit_Grades!$A$2:$A$7, 0)),1)</f>
        <v>155.9</v>
      </c>
      <c r="N1543" s="6" t="n">
        <f aca="false">ROUND(M1543/24,2)</f>
        <v>6.5</v>
      </c>
    </row>
    <row r="1544" customFormat="false" ht="15" hidden="false" customHeight="true" outlineLevel="0" collapsed="false">
      <c r="A1544" s="6" t="n">
        <v>5</v>
      </c>
      <c r="B1544" s="6" t="s">
        <v>3026</v>
      </c>
      <c r="C1544" s="6" t="s">
        <v>1447</v>
      </c>
      <c r="D1544" s="6" t="str">
        <f aca="false">A1544&amp;"|"&amp;C1544</f>
        <v>5|Assault Transport</v>
      </c>
      <c r="E1544" s="6" t="s">
        <v>1560</v>
      </c>
      <c r="F1544" s="6" t="s">
        <v>1538</v>
      </c>
      <c r="G1544" s="6" t="str">
        <f aca="false">INDEX(Archetypes!$D$2:$D$127, MATCH(D1544, Archetypes!$A$2:$A$127, 0))</f>
        <v>Logistics</v>
      </c>
      <c r="H1544" s="6" t="n">
        <f aca="false">ROUND(INDEX(Archetypes!$E$2:$E$127, MATCH(D1544, Archetypes!$A$2:$A$127, 0))*INDEX(Unit_Grades!$B$2:$B$7, MATCH(F1544, Unit_Grades!$A$2:$A$7, 0))*INDEX(Unit_Paths!$B$2:$B$4, MATCH(E1544, Unit_Paths!$A$2:$A$4, 0)),1)</f>
        <v>102</v>
      </c>
      <c r="I1544" s="6" t="n">
        <f aca="false">ROUND(INDEX(Archetypes!$F$2:$F$127, MATCH(D1544, Archetypes!$A$2:$A$127, 0))*INDEX(Unit_Grades!$B$2:$B$7, MATCH(F1544, Unit_Grades!$A$2:$A$7, 0))*INDEX(Unit_Paths!$C$2:$C$4, MATCH(E1544, Unit_Paths!$A$2:$A$4, 0)),1)</f>
        <v>275</v>
      </c>
      <c r="J1544" s="6" t="n">
        <f aca="false">ROUND(INDEX(Archetypes!$G$2:$G$127, MATCH(D1544, Archetypes!$A$2:$A$127, 0))*INDEX(Unit_Grades!$B$2:$B$7, MATCH(F1544, Unit_Grades!$A$2:$A$7, 0))*INDEX(Unit_Paths!$D$2:$D$4, MATCH(E1544, Unit_Paths!$A$2:$A$4, 0)),0)</f>
        <v>1035</v>
      </c>
      <c r="K1544" s="6" t="n">
        <f aca="false">ROUND(INDEX(Archetypes!$H$2:$H$127, MATCH(D1544, Archetypes!$A$2:$A$127, 0))*INDEX(Unit_Paths!$E$2:$E$4, MATCH(E1544, Unit_Paths!$A$2:$A$4, 0)),1)</f>
        <v>49.7</v>
      </c>
      <c r="L1544" s="6" t="n">
        <f aca="false">ROUND(INDEX(Archetypes!$I$2:$I$127, MATCH(D1544, Archetypes!$A$2:$A$127, 0))*INDEX(Unit_Grades!$C$2:$C$7, MATCH(F1544, Unit_Grades!$A$2:$A$7, 0)),1)</f>
        <v>32</v>
      </c>
      <c r="M1544" s="6" t="n">
        <f aca="false">ROUND(INDEX(Archetypes!$J$2:$J$127, MATCH(D1544, Archetypes!$A$2:$A$127, 0))*INDEX(Unit_Grades!$D$2:$D$7, MATCH(F1544, Unit_Grades!$A$2:$A$7, 0)),1)</f>
        <v>13</v>
      </c>
      <c r="N1544" s="6" t="n">
        <f aca="false">ROUND(M1544/24,2)</f>
        <v>0.54</v>
      </c>
    </row>
    <row r="1545" customFormat="false" ht="15" hidden="false" customHeight="true" outlineLevel="0" collapsed="false">
      <c r="A1545" s="6" t="n">
        <v>5</v>
      </c>
      <c r="B1545" s="6" t="s">
        <v>3027</v>
      </c>
      <c r="C1545" s="6" t="s">
        <v>1447</v>
      </c>
      <c r="D1545" s="6" t="str">
        <f aca="false">A1545&amp;"|"&amp;C1545</f>
        <v>5|Assault Transport</v>
      </c>
      <c r="E1545" s="6" t="s">
        <v>1560</v>
      </c>
      <c r="F1545" s="6" t="s">
        <v>1540</v>
      </c>
      <c r="G1545" s="6" t="str">
        <f aca="false">INDEX(Archetypes!$D$2:$D$127, MATCH(D1545, Archetypes!$A$2:$A$127, 0))</f>
        <v>Logistics</v>
      </c>
      <c r="H1545" s="6" t="n">
        <f aca="false">ROUND(INDEX(Archetypes!$E$2:$E$127, MATCH(D1545, Archetypes!$A$2:$A$127, 0))*INDEX(Unit_Grades!$B$2:$B$7, MATCH(F1545, Unit_Grades!$A$2:$A$7, 0))*INDEX(Unit_Paths!$B$2:$B$4, MATCH(E1545, Unit_Paths!$A$2:$A$4, 0)),1)</f>
        <v>137.7</v>
      </c>
      <c r="I1545" s="6" t="n">
        <f aca="false">ROUND(INDEX(Archetypes!$F$2:$F$127, MATCH(D1545, Archetypes!$A$2:$A$127, 0))*INDEX(Unit_Grades!$B$2:$B$7, MATCH(F1545, Unit_Grades!$A$2:$A$7, 0))*INDEX(Unit_Paths!$C$2:$C$4, MATCH(E1545, Unit_Paths!$A$2:$A$4, 0)),1)</f>
        <v>371.3</v>
      </c>
      <c r="J1545" s="6" t="n">
        <f aca="false">ROUND(INDEX(Archetypes!$G$2:$G$127, MATCH(D1545, Archetypes!$A$2:$A$127, 0))*INDEX(Unit_Grades!$B$2:$B$7, MATCH(F1545, Unit_Grades!$A$2:$A$7, 0))*INDEX(Unit_Paths!$D$2:$D$4, MATCH(E1545, Unit_Paths!$A$2:$A$4, 0)),0)</f>
        <v>1397</v>
      </c>
      <c r="K1545" s="6" t="n">
        <f aca="false">ROUND(INDEX(Archetypes!$H$2:$H$127, MATCH(D1545, Archetypes!$A$2:$A$127, 0))*INDEX(Unit_Paths!$E$2:$E$4, MATCH(E1545, Unit_Paths!$A$2:$A$4, 0)),1)</f>
        <v>49.7</v>
      </c>
      <c r="L1545" s="6" t="n">
        <f aca="false">ROUND(INDEX(Archetypes!$I$2:$I$127, MATCH(D1545, Archetypes!$A$2:$A$127, 0))*INDEX(Unit_Grades!$C$2:$C$7, MATCH(F1545, Unit_Grades!$A$2:$A$7, 0)),1)</f>
        <v>40</v>
      </c>
      <c r="M1545" s="6" t="n">
        <f aca="false">ROUND(INDEX(Archetypes!$J$2:$J$127, MATCH(D1545, Archetypes!$A$2:$A$127, 0))*INDEX(Unit_Grades!$D$2:$D$7, MATCH(F1545, Unit_Grades!$A$2:$A$7, 0)),1)</f>
        <v>19.5</v>
      </c>
      <c r="N1545" s="6" t="n">
        <f aca="false">ROUND(M1545/24,2)</f>
        <v>0.81</v>
      </c>
    </row>
    <row r="1546" customFormat="false" ht="15" hidden="false" customHeight="true" outlineLevel="0" collapsed="false">
      <c r="A1546" s="6" t="n">
        <v>5</v>
      </c>
      <c r="B1546" s="6" t="s">
        <v>3028</v>
      </c>
      <c r="C1546" s="6" t="s">
        <v>1447</v>
      </c>
      <c r="D1546" s="6" t="str">
        <f aca="false">A1546&amp;"|"&amp;C1546</f>
        <v>5|Assault Transport</v>
      </c>
      <c r="E1546" s="6" t="s">
        <v>1560</v>
      </c>
      <c r="F1546" s="6" t="s">
        <v>1542</v>
      </c>
      <c r="G1546" s="6" t="str">
        <f aca="false">INDEX(Archetypes!$D$2:$D$127, MATCH(D1546, Archetypes!$A$2:$A$127, 0))</f>
        <v>Logistics</v>
      </c>
      <c r="H1546" s="6" t="n">
        <f aca="false">ROUND(INDEX(Archetypes!$E$2:$E$127, MATCH(D1546, Archetypes!$A$2:$A$127, 0))*INDEX(Unit_Grades!$B$2:$B$7, MATCH(F1546, Unit_Grades!$A$2:$A$7, 0))*INDEX(Unit_Paths!$B$2:$B$4, MATCH(E1546, Unit_Paths!$A$2:$A$4, 0)),1)</f>
        <v>183.6</v>
      </c>
      <c r="I1546" s="6" t="n">
        <f aca="false">ROUND(INDEX(Archetypes!$F$2:$F$127, MATCH(D1546, Archetypes!$A$2:$A$127, 0))*INDEX(Unit_Grades!$B$2:$B$7, MATCH(F1546, Unit_Grades!$A$2:$A$7, 0))*INDEX(Unit_Paths!$C$2:$C$4, MATCH(E1546, Unit_Paths!$A$2:$A$4, 0)),1)</f>
        <v>495</v>
      </c>
      <c r="J1546" s="6" t="n">
        <f aca="false">ROUND(INDEX(Archetypes!$G$2:$G$127, MATCH(D1546, Archetypes!$A$2:$A$127, 0))*INDEX(Unit_Grades!$B$2:$B$7, MATCH(F1546, Unit_Grades!$A$2:$A$7, 0))*INDEX(Unit_Paths!$D$2:$D$4, MATCH(E1546, Unit_Paths!$A$2:$A$4, 0)),0)</f>
        <v>1863</v>
      </c>
      <c r="K1546" s="6" t="n">
        <f aca="false">ROUND(INDEX(Archetypes!$H$2:$H$127, MATCH(D1546, Archetypes!$A$2:$A$127, 0))*INDEX(Unit_Paths!$E$2:$E$4, MATCH(E1546, Unit_Paths!$A$2:$A$4, 0)),1)</f>
        <v>49.7</v>
      </c>
      <c r="L1546" s="6" t="n">
        <f aca="false">ROUND(INDEX(Archetypes!$I$2:$I$127, MATCH(D1546, Archetypes!$A$2:$A$127, 0))*INDEX(Unit_Grades!$C$2:$C$7, MATCH(F1546, Unit_Grades!$A$2:$A$7, 0)),1)</f>
        <v>51.2</v>
      </c>
      <c r="M1546" s="6" t="n">
        <f aca="false">ROUND(INDEX(Archetypes!$J$2:$J$127, MATCH(D1546, Archetypes!$A$2:$A$127, 0))*INDEX(Unit_Grades!$D$2:$D$7, MATCH(F1546, Unit_Grades!$A$2:$A$7, 0)),1)</f>
        <v>32.5</v>
      </c>
      <c r="N1546" s="6" t="n">
        <f aca="false">ROUND(M1546/24,2)</f>
        <v>1.35</v>
      </c>
    </row>
    <row r="1547" customFormat="false" ht="15" hidden="false" customHeight="true" outlineLevel="0" collapsed="false">
      <c r="A1547" s="6" t="n">
        <v>5</v>
      </c>
      <c r="B1547" s="6" t="s">
        <v>3029</v>
      </c>
      <c r="C1547" s="6" t="s">
        <v>1447</v>
      </c>
      <c r="D1547" s="6" t="str">
        <f aca="false">A1547&amp;"|"&amp;C1547</f>
        <v>5|Assault Transport</v>
      </c>
      <c r="E1547" s="6" t="s">
        <v>1560</v>
      </c>
      <c r="F1547" s="6" t="s">
        <v>1544</v>
      </c>
      <c r="G1547" s="6" t="str">
        <f aca="false">INDEX(Archetypes!$D$2:$D$127, MATCH(D1547, Archetypes!$A$2:$A$127, 0))</f>
        <v>Logistics</v>
      </c>
      <c r="H1547" s="6" t="n">
        <f aca="false">ROUND(INDEX(Archetypes!$E$2:$E$127, MATCH(D1547, Archetypes!$A$2:$A$127, 0))*INDEX(Unit_Grades!$B$2:$B$7, MATCH(F1547, Unit_Grades!$A$2:$A$7, 0))*INDEX(Unit_Paths!$B$2:$B$4, MATCH(E1547, Unit_Paths!$A$2:$A$4, 0)),1)</f>
        <v>244.8</v>
      </c>
      <c r="I1547" s="6" t="n">
        <f aca="false">ROUND(INDEX(Archetypes!$F$2:$F$127, MATCH(D1547, Archetypes!$A$2:$A$127, 0))*INDEX(Unit_Grades!$B$2:$B$7, MATCH(F1547, Unit_Grades!$A$2:$A$7, 0))*INDEX(Unit_Paths!$C$2:$C$4, MATCH(E1547, Unit_Paths!$A$2:$A$4, 0)),1)</f>
        <v>660</v>
      </c>
      <c r="J1547" s="6" t="n">
        <f aca="false">ROUND(INDEX(Archetypes!$G$2:$G$127, MATCH(D1547, Archetypes!$A$2:$A$127, 0))*INDEX(Unit_Grades!$B$2:$B$7, MATCH(F1547, Unit_Grades!$A$2:$A$7, 0))*INDEX(Unit_Paths!$D$2:$D$4, MATCH(E1547, Unit_Paths!$A$2:$A$4, 0)),0)</f>
        <v>2484</v>
      </c>
      <c r="K1547" s="6" t="n">
        <f aca="false">ROUND(INDEX(Archetypes!$H$2:$H$127, MATCH(D1547, Archetypes!$A$2:$A$127, 0))*INDEX(Unit_Paths!$E$2:$E$4, MATCH(E1547, Unit_Paths!$A$2:$A$4, 0)),1)</f>
        <v>49.7</v>
      </c>
      <c r="L1547" s="6" t="n">
        <f aca="false">ROUND(INDEX(Archetypes!$I$2:$I$127, MATCH(D1547, Archetypes!$A$2:$A$127, 0))*INDEX(Unit_Grades!$C$2:$C$7, MATCH(F1547, Unit_Grades!$A$2:$A$7, 0)),1)</f>
        <v>67.2</v>
      </c>
      <c r="M1547" s="6" t="n">
        <f aca="false">ROUND(INDEX(Archetypes!$J$2:$J$127, MATCH(D1547, Archetypes!$A$2:$A$127, 0))*INDEX(Unit_Grades!$D$2:$D$7, MATCH(F1547, Unit_Grades!$A$2:$A$7, 0)),1)</f>
        <v>52</v>
      </c>
      <c r="N1547" s="6" t="n">
        <f aca="false">ROUND(M1547/24,2)</f>
        <v>2.17</v>
      </c>
    </row>
    <row r="1548" customFormat="false" ht="15" hidden="false" customHeight="true" outlineLevel="0" collapsed="false">
      <c r="A1548" s="6" t="n">
        <v>5</v>
      </c>
      <c r="B1548" s="6" t="s">
        <v>3030</v>
      </c>
      <c r="C1548" s="6" t="s">
        <v>1447</v>
      </c>
      <c r="D1548" s="6" t="str">
        <f aca="false">A1548&amp;"|"&amp;C1548</f>
        <v>5|Assault Transport</v>
      </c>
      <c r="E1548" s="6" t="s">
        <v>1560</v>
      </c>
      <c r="F1548" s="6" t="s">
        <v>1546</v>
      </c>
      <c r="G1548" s="6" t="str">
        <f aca="false">INDEX(Archetypes!$D$2:$D$127, MATCH(D1548, Archetypes!$A$2:$A$127, 0))</f>
        <v>Logistics</v>
      </c>
      <c r="H1548" s="6" t="n">
        <f aca="false">ROUND(INDEX(Archetypes!$E$2:$E$127, MATCH(D1548, Archetypes!$A$2:$A$127, 0))*INDEX(Unit_Grades!$B$2:$B$7, MATCH(F1548, Unit_Grades!$A$2:$A$7, 0))*INDEX(Unit_Paths!$B$2:$B$4, MATCH(E1548, Unit_Paths!$A$2:$A$4, 0)),1)</f>
        <v>326.4</v>
      </c>
      <c r="I1548" s="6" t="n">
        <f aca="false">ROUND(INDEX(Archetypes!$F$2:$F$127, MATCH(D1548, Archetypes!$A$2:$A$127, 0))*INDEX(Unit_Grades!$B$2:$B$7, MATCH(F1548, Unit_Grades!$A$2:$A$7, 0))*INDEX(Unit_Paths!$C$2:$C$4, MATCH(E1548, Unit_Paths!$A$2:$A$4, 0)),1)</f>
        <v>880</v>
      </c>
      <c r="J1548" s="6" t="n">
        <f aca="false">ROUND(INDEX(Archetypes!$G$2:$G$127, MATCH(D1548, Archetypes!$A$2:$A$127, 0))*INDEX(Unit_Grades!$B$2:$B$7, MATCH(F1548, Unit_Grades!$A$2:$A$7, 0))*INDEX(Unit_Paths!$D$2:$D$4, MATCH(E1548, Unit_Paths!$A$2:$A$4, 0)),0)</f>
        <v>3312</v>
      </c>
      <c r="K1548" s="6" t="n">
        <f aca="false">ROUND(INDEX(Archetypes!$H$2:$H$127, MATCH(D1548, Archetypes!$A$2:$A$127, 0))*INDEX(Unit_Paths!$E$2:$E$4, MATCH(E1548, Unit_Paths!$A$2:$A$4, 0)),1)</f>
        <v>49.7</v>
      </c>
      <c r="L1548" s="6" t="n">
        <f aca="false">ROUND(INDEX(Archetypes!$I$2:$I$127, MATCH(D1548, Archetypes!$A$2:$A$127, 0))*INDEX(Unit_Grades!$C$2:$C$7, MATCH(F1548, Unit_Grades!$A$2:$A$7, 0)),1)</f>
        <v>89.6</v>
      </c>
      <c r="M1548" s="6" t="n">
        <f aca="false">ROUND(INDEX(Archetypes!$J$2:$J$127, MATCH(D1548, Archetypes!$A$2:$A$127, 0))*INDEX(Unit_Grades!$D$2:$D$7, MATCH(F1548, Unit_Grades!$A$2:$A$7, 0)),1)</f>
        <v>90.9</v>
      </c>
      <c r="N1548" s="6" t="n">
        <f aca="false">ROUND(M1548/24,2)</f>
        <v>3.79</v>
      </c>
    </row>
    <row r="1549" customFormat="false" ht="15" hidden="false" customHeight="true" outlineLevel="0" collapsed="false">
      <c r="A1549" s="6" t="n">
        <v>5</v>
      </c>
      <c r="B1549" s="6" t="s">
        <v>3031</v>
      </c>
      <c r="C1549" s="6" t="s">
        <v>1447</v>
      </c>
      <c r="D1549" s="6" t="str">
        <f aca="false">A1549&amp;"|"&amp;C1549</f>
        <v>5|Assault Transport</v>
      </c>
      <c r="E1549" s="6" t="s">
        <v>1560</v>
      </c>
      <c r="F1549" s="6" t="s">
        <v>1548</v>
      </c>
      <c r="G1549" s="6" t="str">
        <f aca="false">INDEX(Archetypes!$D$2:$D$127, MATCH(D1549, Archetypes!$A$2:$A$127, 0))</f>
        <v>Logistics</v>
      </c>
      <c r="H1549" s="6" t="n">
        <f aca="false">ROUND(INDEX(Archetypes!$E$2:$E$127, MATCH(D1549, Archetypes!$A$2:$A$127, 0))*INDEX(Unit_Grades!$B$2:$B$7, MATCH(F1549, Unit_Grades!$A$2:$A$7, 0))*INDEX(Unit_Paths!$B$2:$B$4, MATCH(E1549, Unit_Paths!$A$2:$A$4, 0)),1)</f>
        <v>428.4</v>
      </c>
      <c r="I1549" s="6" t="n">
        <f aca="false">ROUND(INDEX(Archetypes!$F$2:$F$127, MATCH(D1549, Archetypes!$A$2:$A$127, 0))*INDEX(Unit_Grades!$B$2:$B$7, MATCH(F1549, Unit_Grades!$A$2:$A$7, 0))*INDEX(Unit_Paths!$C$2:$C$4, MATCH(E1549, Unit_Paths!$A$2:$A$4, 0)),1)</f>
        <v>1155</v>
      </c>
      <c r="J1549" s="6" t="n">
        <f aca="false">ROUND(INDEX(Archetypes!$G$2:$G$127, MATCH(D1549, Archetypes!$A$2:$A$127, 0))*INDEX(Unit_Grades!$B$2:$B$7, MATCH(F1549, Unit_Grades!$A$2:$A$7, 0))*INDEX(Unit_Paths!$D$2:$D$4, MATCH(E1549, Unit_Paths!$A$2:$A$4, 0)),0)</f>
        <v>4347</v>
      </c>
      <c r="K1549" s="6" t="n">
        <f aca="false">ROUND(INDEX(Archetypes!$H$2:$H$127, MATCH(D1549, Archetypes!$A$2:$A$127, 0))*INDEX(Unit_Paths!$E$2:$E$4, MATCH(E1549, Unit_Paths!$A$2:$A$4, 0)),1)</f>
        <v>49.7</v>
      </c>
      <c r="L1549" s="6" t="n">
        <f aca="false">ROUND(INDEX(Archetypes!$I$2:$I$127, MATCH(D1549, Archetypes!$A$2:$A$127, 0))*INDEX(Unit_Grades!$C$2:$C$7, MATCH(F1549, Unit_Grades!$A$2:$A$7, 0)),1)</f>
        <v>118.4</v>
      </c>
      <c r="M1549" s="6" t="n">
        <f aca="false">ROUND(INDEX(Archetypes!$J$2:$J$127, MATCH(D1549, Archetypes!$A$2:$A$127, 0))*INDEX(Unit_Grades!$D$2:$D$7, MATCH(F1549, Unit_Grades!$A$2:$A$7, 0)),1)</f>
        <v>155.9</v>
      </c>
      <c r="N1549" s="6" t="n">
        <f aca="false">ROUND(M1549/24,2)</f>
        <v>6.5</v>
      </c>
    </row>
    <row r="1550" customFormat="false" ht="15" hidden="false" customHeight="true" outlineLevel="0" collapsed="false">
      <c r="A1550" s="6" t="n">
        <v>5</v>
      </c>
      <c r="B1550" s="6" t="s">
        <v>1449</v>
      </c>
      <c r="C1550" s="6" t="s">
        <v>1449</v>
      </c>
      <c r="D1550" s="6" t="str">
        <f aca="false">A1550&amp;"|"&amp;C1550</f>
        <v>5|Siege Platform</v>
      </c>
      <c r="E1550" s="6" t="s">
        <v>1556</v>
      </c>
      <c r="F1550" s="6" t="s">
        <v>1538</v>
      </c>
      <c r="G1550" s="6" t="str">
        <f aca="false">INDEX(Archetypes!$D$2:$D$127, MATCH(D1550, Archetypes!$A$2:$A$127, 0))</f>
        <v>Siege</v>
      </c>
      <c r="H1550" s="6" t="n">
        <f aca="false">ROUND(INDEX(Archetypes!$E$2:$E$127, MATCH(D1550, Archetypes!$A$2:$A$127, 0))*INDEX(Unit_Grades!$B$2:$B$7, MATCH(F1550, Unit_Grades!$A$2:$A$7, 0))*INDEX(Unit_Paths!$B$2:$B$4, MATCH(E1550, Unit_Paths!$A$2:$A$4, 0)),1)</f>
        <v>520</v>
      </c>
      <c r="I1550" s="6" t="n">
        <f aca="false">ROUND(INDEX(Archetypes!$F$2:$F$127, MATCH(D1550, Archetypes!$A$2:$A$127, 0))*INDEX(Unit_Grades!$B$2:$B$7, MATCH(F1550, Unit_Grades!$A$2:$A$7, 0))*INDEX(Unit_Paths!$C$2:$C$4, MATCH(E1550, Unit_Paths!$A$2:$A$4, 0)),1)</f>
        <v>180</v>
      </c>
      <c r="J1550" s="6" t="n">
        <f aca="false">ROUND(INDEX(Archetypes!$G$2:$G$127, MATCH(D1550, Archetypes!$A$2:$A$127, 0))*INDEX(Unit_Grades!$B$2:$B$7, MATCH(F1550, Unit_Grades!$A$2:$A$7, 0))*INDEX(Unit_Paths!$D$2:$D$4, MATCH(E1550, Unit_Paths!$A$2:$A$4, 0)),0)</f>
        <v>1100</v>
      </c>
      <c r="K1550" s="6" t="n">
        <f aca="false">ROUND(INDEX(Archetypes!$H$2:$H$127, MATCH(D1550, Archetypes!$A$2:$A$127, 0))*INDEX(Unit_Paths!$E$2:$E$4, MATCH(E1550, Unit_Paths!$A$2:$A$4, 0)),1)</f>
        <v>30</v>
      </c>
      <c r="L1550" s="6" t="n">
        <f aca="false">ROUND(INDEX(Archetypes!$I$2:$I$127, MATCH(D1550, Archetypes!$A$2:$A$127, 0))*INDEX(Unit_Grades!$C$2:$C$7, MATCH(F1550, Unit_Grades!$A$2:$A$7, 0)),1)</f>
        <v>56</v>
      </c>
      <c r="M1550" s="6" t="n">
        <f aca="false">ROUND(INDEX(Archetypes!$J$2:$J$127, MATCH(D1550, Archetypes!$A$2:$A$127, 0))*INDEX(Unit_Grades!$D$2:$D$7, MATCH(F1550, Unit_Grades!$A$2:$A$7, 0)),1)</f>
        <v>22.7</v>
      </c>
      <c r="N1550" s="6" t="n">
        <f aca="false">ROUND(M1550/24,2)</f>
        <v>0.95</v>
      </c>
    </row>
    <row r="1551" customFormat="false" ht="15" hidden="false" customHeight="true" outlineLevel="0" collapsed="false">
      <c r="A1551" s="6" t="n">
        <v>5</v>
      </c>
      <c r="B1551" s="6" t="s">
        <v>3032</v>
      </c>
      <c r="C1551" s="6" t="s">
        <v>1449</v>
      </c>
      <c r="D1551" s="6" t="str">
        <f aca="false">A1551&amp;"|"&amp;C1551</f>
        <v>5|Siege Platform</v>
      </c>
      <c r="E1551" s="6" t="s">
        <v>1556</v>
      </c>
      <c r="F1551" s="6" t="s">
        <v>1540</v>
      </c>
      <c r="G1551" s="6" t="str">
        <f aca="false">INDEX(Archetypes!$D$2:$D$127, MATCH(D1551, Archetypes!$A$2:$A$127, 0))</f>
        <v>Siege</v>
      </c>
      <c r="H1551" s="6" t="n">
        <f aca="false">ROUND(INDEX(Archetypes!$E$2:$E$127, MATCH(D1551, Archetypes!$A$2:$A$127, 0))*INDEX(Unit_Grades!$B$2:$B$7, MATCH(F1551, Unit_Grades!$A$2:$A$7, 0))*INDEX(Unit_Paths!$B$2:$B$4, MATCH(E1551, Unit_Paths!$A$2:$A$4, 0)),1)</f>
        <v>702</v>
      </c>
      <c r="I1551" s="6" t="n">
        <f aca="false">ROUND(INDEX(Archetypes!$F$2:$F$127, MATCH(D1551, Archetypes!$A$2:$A$127, 0))*INDEX(Unit_Grades!$B$2:$B$7, MATCH(F1551, Unit_Grades!$A$2:$A$7, 0))*INDEX(Unit_Paths!$C$2:$C$4, MATCH(E1551, Unit_Paths!$A$2:$A$4, 0)),1)</f>
        <v>243</v>
      </c>
      <c r="J1551" s="6" t="n">
        <f aca="false">ROUND(INDEX(Archetypes!$G$2:$G$127, MATCH(D1551, Archetypes!$A$2:$A$127, 0))*INDEX(Unit_Grades!$B$2:$B$7, MATCH(F1551, Unit_Grades!$A$2:$A$7, 0))*INDEX(Unit_Paths!$D$2:$D$4, MATCH(E1551, Unit_Paths!$A$2:$A$4, 0)),0)</f>
        <v>1485</v>
      </c>
      <c r="K1551" s="6" t="n">
        <f aca="false">ROUND(INDEX(Archetypes!$H$2:$H$127, MATCH(D1551, Archetypes!$A$2:$A$127, 0))*INDEX(Unit_Paths!$E$2:$E$4, MATCH(E1551, Unit_Paths!$A$2:$A$4, 0)),1)</f>
        <v>30</v>
      </c>
      <c r="L1551" s="6" t="n">
        <f aca="false">ROUND(INDEX(Archetypes!$I$2:$I$127, MATCH(D1551, Archetypes!$A$2:$A$127, 0))*INDEX(Unit_Grades!$C$2:$C$7, MATCH(F1551, Unit_Grades!$A$2:$A$7, 0)),1)</f>
        <v>70</v>
      </c>
      <c r="M1551" s="6" t="n">
        <f aca="false">ROUND(INDEX(Archetypes!$J$2:$J$127, MATCH(D1551, Archetypes!$A$2:$A$127, 0))*INDEX(Unit_Grades!$D$2:$D$7, MATCH(F1551, Unit_Grades!$A$2:$A$7, 0)),1)</f>
        <v>34.1</v>
      </c>
      <c r="N1551" s="6" t="n">
        <f aca="false">ROUND(M1551/24,2)</f>
        <v>1.42</v>
      </c>
    </row>
    <row r="1552" customFormat="false" ht="15" hidden="false" customHeight="true" outlineLevel="0" collapsed="false">
      <c r="A1552" s="6" t="n">
        <v>5</v>
      </c>
      <c r="B1552" s="6" t="s">
        <v>3033</v>
      </c>
      <c r="C1552" s="6" t="s">
        <v>1449</v>
      </c>
      <c r="D1552" s="6" t="str">
        <f aca="false">A1552&amp;"|"&amp;C1552</f>
        <v>5|Siege Platform</v>
      </c>
      <c r="E1552" s="6" t="s">
        <v>1556</v>
      </c>
      <c r="F1552" s="6" t="s">
        <v>1542</v>
      </c>
      <c r="G1552" s="6" t="str">
        <f aca="false">INDEX(Archetypes!$D$2:$D$127, MATCH(D1552, Archetypes!$A$2:$A$127, 0))</f>
        <v>Siege</v>
      </c>
      <c r="H1552" s="6" t="n">
        <f aca="false">ROUND(INDEX(Archetypes!$E$2:$E$127, MATCH(D1552, Archetypes!$A$2:$A$127, 0))*INDEX(Unit_Grades!$B$2:$B$7, MATCH(F1552, Unit_Grades!$A$2:$A$7, 0))*INDEX(Unit_Paths!$B$2:$B$4, MATCH(E1552, Unit_Paths!$A$2:$A$4, 0)),1)</f>
        <v>936</v>
      </c>
      <c r="I1552" s="6" t="n">
        <f aca="false">ROUND(INDEX(Archetypes!$F$2:$F$127, MATCH(D1552, Archetypes!$A$2:$A$127, 0))*INDEX(Unit_Grades!$B$2:$B$7, MATCH(F1552, Unit_Grades!$A$2:$A$7, 0))*INDEX(Unit_Paths!$C$2:$C$4, MATCH(E1552, Unit_Paths!$A$2:$A$4, 0)),1)</f>
        <v>324</v>
      </c>
      <c r="J1552" s="6" t="n">
        <f aca="false">ROUND(INDEX(Archetypes!$G$2:$G$127, MATCH(D1552, Archetypes!$A$2:$A$127, 0))*INDEX(Unit_Grades!$B$2:$B$7, MATCH(F1552, Unit_Grades!$A$2:$A$7, 0))*INDEX(Unit_Paths!$D$2:$D$4, MATCH(E1552, Unit_Paths!$A$2:$A$4, 0)),0)</f>
        <v>1980</v>
      </c>
      <c r="K1552" s="6" t="n">
        <f aca="false">ROUND(INDEX(Archetypes!$H$2:$H$127, MATCH(D1552, Archetypes!$A$2:$A$127, 0))*INDEX(Unit_Paths!$E$2:$E$4, MATCH(E1552, Unit_Paths!$A$2:$A$4, 0)),1)</f>
        <v>30</v>
      </c>
      <c r="L1552" s="6" t="n">
        <f aca="false">ROUND(INDEX(Archetypes!$I$2:$I$127, MATCH(D1552, Archetypes!$A$2:$A$127, 0))*INDEX(Unit_Grades!$C$2:$C$7, MATCH(F1552, Unit_Grades!$A$2:$A$7, 0)),1)</f>
        <v>89.6</v>
      </c>
      <c r="M1552" s="6" t="n">
        <f aca="false">ROUND(INDEX(Archetypes!$J$2:$J$127, MATCH(D1552, Archetypes!$A$2:$A$127, 0))*INDEX(Unit_Grades!$D$2:$D$7, MATCH(F1552, Unit_Grades!$A$2:$A$7, 0)),1)</f>
        <v>56.8</v>
      </c>
      <c r="N1552" s="6" t="n">
        <f aca="false">ROUND(M1552/24,2)</f>
        <v>2.37</v>
      </c>
    </row>
    <row r="1553" customFormat="false" ht="15" hidden="false" customHeight="true" outlineLevel="0" collapsed="false">
      <c r="A1553" s="6" t="n">
        <v>5</v>
      </c>
      <c r="B1553" s="6" t="s">
        <v>3034</v>
      </c>
      <c r="C1553" s="6" t="s">
        <v>1449</v>
      </c>
      <c r="D1553" s="6" t="str">
        <f aca="false">A1553&amp;"|"&amp;C1553</f>
        <v>5|Siege Platform</v>
      </c>
      <c r="E1553" s="6" t="s">
        <v>1556</v>
      </c>
      <c r="F1553" s="6" t="s">
        <v>1544</v>
      </c>
      <c r="G1553" s="6" t="str">
        <f aca="false">INDEX(Archetypes!$D$2:$D$127, MATCH(D1553, Archetypes!$A$2:$A$127, 0))</f>
        <v>Siege</v>
      </c>
      <c r="H1553" s="6" t="n">
        <f aca="false">ROUND(INDEX(Archetypes!$E$2:$E$127, MATCH(D1553, Archetypes!$A$2:$A$127, 0))*INDEX(Unit_Grades!$B$2:$B$7, MATCH(F1553, Unit_Grades!$A$2:$A$7, 0))*INDEX(Unit_Paths!$B$2:$B$4, MATCH(E1553, Unit_Paths!$A$2:$A$4, 0)),1)</f>
        <v>1248</v>
      </c>
      <c r="I1553" s="6" t="n">
        <f aca="false">ROUND(INDEX(Archetypes!$F$2:$F$127, MATCH(D1553, Archetypes!$A$2:$A$127, 0))*INDEX(Unit_Grades!$B$2:$B$7, MATCH(F1553, Unit_Grades!$A$2:$A$7, 0))*INDEX(Unit_Paths!$C$2:$C$4, MATCH(E1553, Unit_Paths!$A$2:$A$4, 0)),1)</f>
        <v>432</v>
      </c>
      <c r="J1553" s="6" t="n">
        <f aca="false">ROUND(INDEX(Archetypes!$G$2:$G$127, MATCH(D1553, Archetypes!$A$2:$A$127, 0))*INDEX(Unit_Grades!$B$2:$B$7, MATCH(F1553, Unit_Grades!$A$2:$A$7, 0))*INDEX(Unit_Paths!$D$2:$D$4, MATCH(E1553, Unit_Paths!$A$2:$A$4, 0)),0)</f>
        <v>2640</v>
      </c>
      <c r="K1553" s="6" t="n">
        <f aca="false">ROUND(INDEX(Archetypes!$H$2:$H$127, MATCH(D1553, Archetypes!$A$2:$A$127, 0))*INDEX(Unit_Paths!$E$2:$E$4, MATCH(E1553, Unit_Paths!$A$2:$A$4, 0)),1)</f>
        <v>30</v>
      </c>
      <c r="L1553" s="6" t="n">
        <f aca="false">ROUND(INDEX(Archetypes!$I$2:$I$127, MATCH(D1553, Archetypes!$A$2:$A$127, 0))*INDEX(Unit_Grades!$C$2:$C$7, MATCH(F1553, Unit_Grades!$A$2:$A$7, 0)),1)</f>
        <v>117.6</v>
      </c>
      <c r="M1553" s="6" t="n">
        <f aca="false">ROUND(INDEX(Archetypes!$J$2:$J$127, MATCH(D1553, Archetypes!$A$2:$A$127, 0))*INDEX(Unit_Grades!$D$2:$D$7, MATCH(F1553, Unit_Grades!$A$2:$A$7, 0)),1)</f>
        <v>90.9</v>
      </c>
      <c r="N1553" s="6" t="n">
        <f aca="false">ROUND(M1553/24,2)</f>
        <v>3.79</v>
      </c>
    </row>
    <row r="1554" customFormat="false" ht="15" hidden="false" customHeight="true" outlineLevel="0" collapsed="false">
      <c r="A1554" s="6" t="n">
        <v>5</v>
      </c>
      <c r="B1554" s="6" t="s">
        <v>3035</v>
      </c>
      <c r="C1554" s="6" t="s">
        <v>1449</v>
      </c>
      <c r="D1554" s="6" t="str">
        <f aca="false">A1554&amp;"|"&amp;C1554</f>
        <v>5|Siege Platform</v>
      </c>
      <c r="E1554" s="6" t="s">
        <v>1556</v>
      </c>
      <c r="F1554" s="6" t="s">
        <v>1546</v>
      </c>
      <c r="G1554" s="6" t="str">
        <f aca="false">INDEX(Archetypes!$D$2:$D$127, MATCH(D1554, Archetypes!$A$2:$A$127, 0))</f>
        <v>Siege</v>
      </c>
      <c r="H1554" s="6" t="n">
        <f aca="false">ROUND(INDEX(Archetypes!$E$2:$E$127, MATCH(D1554, Archetypes!$A$2:$A$127, 0))*INDEX(Unit_Grades!$B$2:$B$7, MATCH(F1554, Unit_Grades!$A$2:$A$7, 0))*INDEX(Unit_Paths!$B$2:$B$4, MATCH(E1554, Unit_Paths!$A$2:$A$4, 0)),1)</f>
        <v>1664</v>
      </c>
      <c r="I1554" s="6" t="n">
        <f aca="false">ROUND(INDEX(Archetypes!$F$2:$F$127, MATCH(D1554, Archetypes!$A$2:$A$127, 0))*INDEX(Unit_Grades!$B$2:$B$7, MATCH(F1554, Unit_Grades!$A$2:$A$7, 0))*INDEX(Unit_Paths!$C$2:$C$4, MATCH(E1554, Unit_Paths!$A$2:$A$4, 0)),1)</f>
        <v>576</v>
      </c>
      <c r="J1554" s="6" t="n">
        <f aca="false">ROUND(INDEX(Archetypes!$G$2:$G$127, MATCH(D1554, Archetypes!$A$2:$A$127, 0))*INDEX(Unit_Grades!$B$2:$B$7, MATCH(F1554, Unit_Grades!$A$2:$A$7, 0))*INDEX(Unit_Paths!$D$2:$D$4, MATCH(E1554, Unit_Paths!$A$2:$A$4, 0)),0)</f>
        <v>3520</v>
      </c>
      <c r="K1554" s="6" t="n">
        <f aca="false">ROUND(INDEX(Archetypes!$H$2:$H$127, MATCH(D1554, Archetypes!$A$2:$A$127, 0))*INDEX(Unit_Paths!$E$2:$E$4, MATCH(E1554, Unit_Paths!$A$2:$A$4, 0)),1)</f>
        <v>30</v>
      </c>
      <c r="L1554" s="6" t="n">
        <f aca="false">ROUND(INDEX(Archetypes!$I$2:$I$127, MATCH(D1554, Archetypes!$A$2:$A$127, 0))*INDEX(Unit_Grades!$C$2:$C$7, MATCH(F1554, Unit_Grades!$A$2:$A$7, 0)),1)</f>
        <v>156.8</v>
      </c>
      <c r="M1554" s="6" t="n">
        <f aca="false">ROUND(INDEX(Archetypes!$J$2:$J$127, MATCH(D1554, Archetypes!$A$2:$A$127, 0))*INDEX(Unit_Grades!$D$2:$D$7, MATCH(F1554, Unit_Grades!$A$2:$A$7, 0)),1)</f>
        <v>159.1</v>
      </c>
      <c r="N1554" s="6" t="n">
        <f aca="false">ROUND(M1554/24,2)</f>
        <v>6.63</v>
      </c>
    </row>
    <row r="1555" customFormat="false" ht="15" hidden="false" customHeight="true" outlineLevel="0" collapsed="false">
      <c r="A1555" s="6" t="n">
        <v>5</v>
      </c>
      <c r="B1555" s="6" t="s">
        <v>3036</v>
      </c>
      <c r="C1555" s="6" t="s">
        <v>1449</v>
      </c>
      <c r="D1555" s="6" t="str">
        <f aca="false">A1555&amp;"|"&amp;C1555</f>
        <v>5|Siege Platform</v>
      </c>
      <c r="E1555" s="6" t="s">
        <v>1556</v>
      </c>
      <c r="F1555" s="6" t="s">
        <v>1548</v>
      </c>
      <c r="G1555" s="6" t="str">
        <f aca="false">INDEX(Archetypes!$D$2:$D$127, MATCH(D1555, Archetypes!$A$2:$A$127, 0))</f>
        <v>Siege</v>
      </c>
      <c r="H1555" s="6" t="n">
        <f aca="false">ROUND(INDEX(Archetypes!$E$2:$E$127, MATCH(D1555, Archetypes!$A$2:$A$127, 0))*INDEX(Unit_Grades!$B$2:$B$7, MATCH(F1555, Unit_Grades!$A$2:$A$7, 0))*INDEX(Unit_Paths!$B$2:$B$4, MATCH(E1555, Unit_Paths!$A$2:$A$4, 0)),1)</f>
        <v>2184</v>
      </c>
      <c r="I1555" s="6" t="n">
        <f aca="false">ROUND(INDEX(Archetypes!$F$2:$F$127, MATCH(D1555, Archetypes!$A$2:$A$127, 0))*INDEX(Unit_Grades!$B$2:$B$7, MATCH(F1555, Unit_Grades!$A$2:$A$7, 0))*INDEX(Unit_Paths!$C$2:$C$4, MATCH(E1555, Unit_Paths!$A$2:$A$4, 0)),1)</f>
        <v>756</v>
      </c>
      <c r="J1555" s="6" t="n">
        <f aca="false">ROUND(INDEX(Archetypes!$G$2:$G$127, MATCH(D1555, Archetypes!$A$2:$A$127, 0))*INDEX(Unit_Grades!$B$2:$B$7, MATCH(F1555, Unit_Grades!$A$2:$A$7, 0))*INDEX(Unit_Paths!$D$2:$D$4, MATCH(E1555, Unit_Paths!$A$2:$A$4, 0)),0)</f>
        <v>4620</v>
      </c>
      <c r="K1555" s="6" t="n">
        <f aca="false">ROUND(INDEX(Archetypes!$H$2:$H$127, MATCH(D1555, Archetypes!$A$2:$A$127, 0))*INDEX(Unit_Paths!$E$2:$E$4, MATCH(E1555, Unit_Paths!$A$2:$A$4, 0)),1)</f>
        <v>30</v>
      </c>
      <c r="L1555" s="6" t="n">
        <f aca="false">ROUND(INDEX(Archetypes!$I$2:$I$127, MATCH(D1555, Archetypes!$A$2:$A$127, 0))*INDEX(Unit_Grades!$C$2:$C$7, MATCH(F1555, Unit_Grades!$A$2:$A$7, 0)),1)</f>
        <v>207.2</v>
      </c>
      <c r="M1555" s="6" t="n">
        <f aca="false">ROUND(INDEX(Archetypes!$J$2:$J$127, MATCH(D1555, Archetypes!$A$2:$A$127, 0))*INDEX(Unit_Grades!$D$2:$D$7, MATCH(F1555, Unit_Grades!$A$2:$A$7, 0)),1)</f>
        <v>272.8</v>
      </c>
      <c r="N1555" s="6" t="n">
        <f aca="false">ROUND(M1555/24,2)</f>
        <v>11.37</v>
      </c>
    </row>
    <row r="1556" customFormat="false" ht="15" hidden="false" customHeight="true" outlineLevel="0" collapsed="false">
      <c r="A1556" s="6" t="n">
        <v>5</v>
      </c>
      <c r="B1556" s="6" t="s">
        <v>3037</v>
      </c>
      <c r="C1556" s="6" t="s">
        <v>1449</v>
      </c>
      <c r="D1556" s="6" t="str">
        <f aca="false">A1556&amp;"|"&amp;C1556</f>
        <v>5|Siege Platform</v>
      </c>
      <c r="E1556" s="6" t="s">
        <v>1558</v>
      </c>
      <c r="F1556" s="6" t="s">
        <v>1538</v>
      </c>
      <c r="G1556" s="6" t="str">
        <f aca="false">INDEX(Archetypes!$D$2:$D$127, MATCH(D1556, Archetypes!$A$2:$A$127, 0))</f>
        <v>Siege</v>
      </c>
      <c r="H1556" s="6" t="n">
        <f aca="false">ROUND(INDEX(Archetypes!$E$2:$E$127, MATCH(D1556, Archetypes!$A$2:$A$127, 0))*INDEX(Unit_Grades!$B$2:$B$7, MATCH(F1556, Unit_Grades!$A$2:$A$7, 0))*INDEX(Unit_Paths!$B$2:$B$4, MATCH(E1556, Unit_Paths!$A$2:$A$4, 0)),1)</f>
        <v>624</v>
      </c>
      <c r="I1556" s="6" t="n">
        <f aca="false">ROUND(INDEX(Archetypes!$F$2:$F$127, MATCH(D1556, Archetypes!$A$2:$A$127, 0))*INDEX(Unit_Grades!$B$2:$B$7, MATCH(F1556, Unit_Grades!$A$2:$A$7, 0))*INDEX(Unit_Paths!$C$2:$C$4, MATCH(E1556, Unit_Paths!$A$2:$A$4, 0)),1)</f>
        <v>153</v>
      </c>
      <c r="J1556" s="6" t="n">
        <f aca="false">ROUND(INDEX(Archetypes!$G$2:$G$127, MATCH(D1556, Archetypes!$A$2:$A$127, 0))*INDEX(Unit_Grades!$B$2:$B$7, MATCH(F1556, Unit_Grades!$A$2:$A$7, 0))*INDEX(Unit_Paths!$D$2:$D$4, MATCH(E1556, Unit_Paths!$A$2:$A$4, 0)),0)</f>
        <v>1045</v>
      </c>
      <c r="K1556" s="6" t="n">
        <f aca="false">ROUND(INDEX(Archetypes!$H$2:$H$127, MATCH(D1556, Archetypes!$A$2:$A$127, 0))*INDEX(Unit_Paths!$E$2:$E$4, MATCH(E1556, Unit_Paths!$A$2:$A$4, 0)),1)</f>
        <v>31.5</v>
      </c>
      <c r="L1556" s="6" t="n">
        <f aca="false">ROUND(INDEX(Archetypes!$I$2:$I$127, MATCH(D1556, Archetypes!$A$2:$A$127, 0))*INDEX(Unit_Grades!$C$2:$C$7, MATCH(F1556, Unit_Grades!$A$2:$A$7, 0)),1)</f>
        <v>56</v>
      </c>
      <c r="M1556" s="6" t="n">
        <f aca="false">ROUND(INDEX(Archetypes!$J$2:$J$127, MATCH(D1556, Archetypes!$A$2:$A$127, 0))*INDEX(Unit_Grades!$D$2:$D$7, MATCH(F1556, Unit_Grades!$A$2:$A$7, 0)),1)</f>
        <v>22.7</v>
      </c>
      <c r="N1556" s="6" t="n">
        <f aca="false">ROUND(M1556/24,2)</f>
        <v>0.95</v>
      </c>
    </row>
    <row r="1557" customFormat="false" ht="15" hidden="false" customHeight="true" outlineLevel="0" collapsed="false">
      <c r="A1557" s="6" t="n">
        <v>5</v>
      </c>
      <c r="B1557" s="6" t="s">
        <v>3038</v>
      </c>
      <c r="C1557" s="6" t="s">
        <v>1449</v>
      </c>
      <c r="D1557" s="6" t="str">
        <f aca="false">A1557&amp;"|"&amp;C1557</f>
        <v>5|Siege Platform</v>
      </c>
      <c r="E1557" s="6" t="s">
        <v>1558</v>
      </c>
      <c r="F1557" s="6" t="s">
        <v>1540</v>
      </c>
      <c r="G1557" s="6" t="str">
        <f aca="false">INDEX(Archetypes!$D$2:$D$127, MATCH(D1557, Archetypes!$A$2:$A$127, 0))</f>
        <v>Siege</v>
      </c>
      <c r="H1557" s="6" t="n">
        <f aca="false">ROUND(INDEX(Archetypes!$E$2:$E$127, MATCH(D1557, Archetypes!$A$2:$A$127, 0))*INDEX(Unit_Grades!$B$2:$B$7, MATCH(F1557, Unit_Grades!$A$2:$A$7, 0))*INDEX(Unit_Paths!$B$2:$B$4, MATCH(E1557, Unit_Paths!$A$2:$A$4, 0)),1)</f>
        <v>842.4</v>
      </c>
      <c r="I1557" s="6" t="n">
        <f aca="false">ROUND(INDEX(Archetypes!$F$2:$F$127, MATCH(D1557, Archetypes!$A$2:$A$127, 0))*INDEX(Unit_Grades!$B$2:$B$7, MATCH(F1557, Unit_Grades!$A$2:$A$7, 0))*INDEX(Unit_Paths!$C$2:$C$4, MATCH(E1557, Unit_Paths!$A$2:$A$4, 0)),1)</f>
        <v>206.6</v>
      </c>
      <c r="J1557" s="6" t="n">
        <f aca="false">ROUND(INDEX(Archetypes!$G$2:$G$127, MATCH(D1557, Archetypes!$A$2:$A$127, 0))*INDEX(Unit_Grades!$B$2:$B$7, MATCH(F1557, Unit_Grades!$A$2:$A$7, 0))*INDEX(Unit_Paths!$D$2:$D$4, MATCH(E1557, Unit_Paths!$A$2:$A$4, 0)),0)</f>
        <v>1411</v>
      </c>
      <c r="K1557" s="6" t="n">
        <f aca="false">ROUND(INDEX(Archetypes!$H$2:$H$127, MATCH(D1557, Archetypes!$A$2:$A$127, 0))*INDEX(Unit_Paths!$E$2:$E$4, MATCH(E1557, Unit_Paths!$A$2:$A$4, 0)),1)</f>
        <v>31.5</v>
      </c>
      <c r="L1557" s="6" t="n">
        <f aca="false">ROUND(INDEX(Archetypes!$I$2:$I$127, MATCH(D1557, Archetypes!$A$2:$A$127, 0))*INDEX(Unit_Grades!$C$2:$C$7, MATCH(F1557, Unit_Grades!$A$2:$A$7, 0)),1)</f>
        <v>70</v>
      </c>
      <c r="M1557" s="6" t="n">
        <f aca="false">ROUND(INDEX(Archetypes!$J$2:$J$127, MATCH(D1557, Archetypes!$A$2:$A$127, 0))*INDEX(Unit_Grades!$D$2:$D$7, MATCH(F1557, Unit_Grades!$A$2:$A$7, 0)),1)</f>
        <v>34.1</v>
      </c>
      <c r="N1557" s="6" t="n">
        <f aca="false">ROUND(M1557/24,2)</f>
        <v>1.42</v>
      </c>
    </row>
    <row r="1558" customFormat="false" ht="15" hidden="false" customHeight="true" outlineLevel="0" collapsed="false">
      <c r="A1558" s="6" t="n">
        <v>5</v>
      </c>
      <c r="B1558" s="6" t="s">
        <v>3039</v>
      </c>
      <c r="C1558" s="6" t="s">
        <v>1449</v>
      </c>
      <c r="D1558" s="6" t="str">
        <f aca="false">A1558&amp;"|"&amp;C1558</f>
        <v>5|Siege Platform</v>
      </c>
      <c r="E1558" s="6" t="s">
        <v>1558</v>
      </c>
      <c r="F1558" s="6" t="s">
        <v>1542</v>
      </c>
      <c r="G1558" s="6" t="str">
        <f aca="false">INDEX(Archetypes!$D$2:$D$127, MATCH(D1558, Archetypes!$A$2:$A$127, 0))</f>
        <v>Siege</v>
      </c>
      <c r="H1558" s="6" t="n">
        <f aca="false">ROUND(INDEX(Archetypes!$E$2:$E$127, MATCH(D1558, Archetypes!$A$2:$A$127, 0))*INDEX(Unit_Grades!$B$2:$B$7, MATCH(F1558, Unit_Grades!$A$2:$A$7, 0))*INDEX(Unit_Paths!$B$2:$B$4, MATCH(E1558, Unit_Paths!$A$2:$A$4, 0)),1)</f>
        <v>1123.2</v>
      </c>
      <c r="I1558" s="6" t="n">
        <f aca="false">ROUND(INDEX(Archetypes!$F$2:$F$127, MATCH(D1558, Archetypes!$A$2:$A$127, 0))*INDEX(Unit_Grades!$B$2:$B$7, MATCH(F1558, Unit_Grades!$A$2:$A$7, 0))*INDEX(Unit_Paths!$C$2:$C$4, MATCH(E1558, Unit_Paths!$A$2:$A$4, 0)),1)</f>
        <v>275.4</v>
      </c>
      <c r="J1558" s="6" t="n">
        <f aca="false">ROUND(INDEX(Archetypes!$G$2:$G$127, MATCH(D1558, Archetypes!$A$2:$A$127, 0))*INDEX(Unit_Grades!$B$2:$B$7, MATCH(F1558, Unit_Grades!$A$2:$A$7, 0))*INDEX(Unit_Paths!$D$2:$D$4, MATCH(E1558, Unit_Paths!$A$2:$A$4, 0)),0)</f>
        <v>1881</v>
      </c>
      <c r="K1558" s="6" t="n">
        <f aca="false">ROUND(INDEX(Archetypes!$H$2:$H$127, MATCH(D1558, Archetypes!$A$2:$A$127, 0))*INDEX(Unit_Paths!$E$2:$E$4, MATCH(E1558, Unit_Paths!$A$2:$A$4, 0)),1)</f>
        <v>31.5</v>
      </c>
      <c r="L1558" s="6" t="n">
        <f aca="false">ROUND(INDEX(Archetypes!$I$2:$I$127, MATCH(D1558, Archetypes!$A$2:$A$127, 0))*INDEX(Unit_Grades!$C$2:$C$7, MATCH(F1558, Unit_Grades!$A$2:$A$7, 0)),1)</f>
        <v>89.6</v>
      </c>
      <c r="M1558" s="6" t="n">
        <f aca="false">ROUND(INDEX(Archetypes!$J$2:$J$127, MATCH(D1558, Archetypes!$A$2:$A$127, 0))*INDEX(Unit_Grades!$D$2:$D$7, MATCH(F1558, Unit_Grades!$A$2:$A$7, 0)),1)</f>
        <v>56.8</v>
      </c>
      <c r="N1558" s="6" t="n">
        <f aca="false">ROUND(M1558/24,2)</f>
        <v>2.37</v>
      </c>
    </row>
    <row r="1559" customFormat="false" ht="15" hidden="false" customHeight="true" outlineLevel="0" collapsed="false">
      <c r="A1559" s="6" t="n">
        <v>5</v>
      </c>
      <c r="B1559" s="6" t="s">
        <v>3040</v>
      </c>
      <c r="C1559" s="6" t="s">
        <v>1449</v>
      </c>
      <c r="D1559" s="6" t="str">
        <f aca="false">A1559&amp;"|"&amp;C1559</f>
        <v>5|Siege Platform</v>
      </c>
      <c r="E1559" s="6" t="s">
        <v>1558</v>
      </c>
      <c r="F1559" s="6" t="s">
        <v>1544</v>
      </c>
      <c r="G1559" s="6" t="str">
        <f aca="false">INDEX(Archetypes!$D$2:$D$127, MATCH(D1559, Archetypes!$A$2:$A$127, 0))</f>
        <v>Siege</v>
      </c>
      <c r="H1559" s="6" t="n">
        <f aca="false">ROUND(INDEX(Archetypes!$E$2:$E$127, MATCH(D1559, Archetypes!$A$2:$A$127, 0))*INDEX(Unit_Grades!$B$2:$B$7, MATCH(F1559, Unit_Grades!$A$2:$A$7, 0))*INDEX(Unit_Paths!$B$2:$B$4, MATCH(E1559, Unit_Paths!$A$2:$A$4, 0)),1)</f>
        <v>1497.6</v>
      </c>
      <c r="I1559" s="6" t="n">
        <f aca="false">ROUND(INDEX(Archetypes!$F$2:$F$127, MATCH(D1559, Archetypes!$A$2:$A$127, 0))*INDEX(Unit_Grades!$B$2:$B$7, MATCH(F1559, Unit_Grades!$A$2:$A$7, 0))*INDEX(Unit_Paths!$C$2:$C$4, MATCH(E1559, Unit_Paths!$A$2:$A$4, 0)),1)</f>
        <v>367.2</v>
      </c>
      <c r="J1559" s="6" t="n">
        <f aca="false">ROUND(INDEX(Archetypes!$G$2:$G$127, MATCH(D1559, Archetypes!$A$2:$A$127, 0))*INDEX(Unit_Grades!$B$2:$B$7, MATCH(F1559, Unit_Grades!$A$2:$A$7, 0))*INDEX(Unit_Paths!$D$2:$D$4, MATCH(E1559, Unit_Paths!$A$2:$A$4, 0)),0)</f>
        <v>2508</v>
      </c>
      <c r="K1559" s="6" t="n">
        <f aca="false">ROUND(INDEX(Archetypes!$H$2:$H$127, MATCH(D1559, Archetypes!$A$2:$A$127, 0))*INDEX(Unit_Paths!$E$2:$E$4, MATCH(E1559, Unit_Paths!$A$2:$A$4, 0)),1)</f>
        <v>31.5</v>
      </c>
      <c r="L1559" s="6" t="n">
        <f aca="false">ROUND(INDEX(Archetypes!$I$2:$I$127, MATCH(D1559, Archetypes!$A$2:$A$127, 0))*INDEX(Unit_Grades!$C$2:$C$7, MATCH(F1559, Unit_Grades!$A$2:$A$7, 0)),1)</f>
        <v>117.6</v>
      </c>
      <c r="M1559" s="6" t="n">
        <f aca="false">ROUND(INDEX(Archetypes!$J$2:$J$127, MATCH(D1559, Archetypes!$A$2:$A$127, 0))*INDEX(Unit_Grades!$D$2:$D$7, MATCH(F1559, Unit_Grades!$A$2:$A$7, 0)),1)</f>
        <v>90.9</v>
      </c>
      <c r="N1559" s="6" t="n">
        <f aca="false">ROUND(M1559/24,2)</f>
        <v>3.79</v>
      </c>
    </row>
    <row r="1560" customFormat="false" ht="15" hidden="false" customHeight="true" outlineLevel="0" collapsed="false">
      <c r="A1560" s="6" t="n">
        <v>5</v>
      </c>
      <c r="B1560" s="6" t="s">
        <v>3041</v>
      </c>
      <c r="C1560" s="6" t="s">
        <v>1449</v>
      </c>
      <c r="D1560" s="6" t="str">
        <f aca="false">A1560&amp;"|"&amp;C1560</f>
        <v>5|Siege Platform</v>
      </c>
      <c r="E1560" s="6" t="s">
        <v>1558</v>
      </c>
      <c r="F1560" s="6" t="s">
        <v>1546</v>
      </c>
      <c r="G1560" s="6" t="str">
        <f aca="false">INDEX(Archetypes!$D$2:$D$127, MATCH(D1560, Archetypes!$A$2:$A$127, 0))</f>
        <v>Siege</v>
      </c>
      <c r="H1560" s="6" t="n">
        <f aca="false">ROUND(INDEX(Archetypes!$E$2:$E$127, MATCH(D1560, Archetypes!$A$2:$A$127, 0))*INDEX(Unit_Grades!$B$2:$B$7, MATCH(F1560, Unit_Grades!$A$2:$A$7, 0))*INDEX(Unit_Paths!$B$2:$B$4, MATCH(E1560, Unit_Paths!$A$2:$A$4, 0)),1)</f>
        <v>1996.8</v>
      </c>
      <c r="I1560" s="6" t="n">
        <f aca="false">ROUND(INDEX(Archetypes!$F$2:$F$127, MATCH(D1560, Archetypes!$A$2:$A$127, 0))*INDEX(Unit_Grades!$B$2:$B$7, MATCH(F1560, Unit_Grades!$A$2:$A$7, 0))*INDEX(Unit_Paths!$C$2:$C$4, MATCH(E1560, Unit_Paths!$A$2:$A$4, 0)),1)</f>
        <v>489.6</v>
      </c>
      <c r="J1560" s="6" t="n">
        <f aca="false">ROUND(INDEX(Archetypes!$G$2:$G$127, MATCH(D1560, Archetypes!$A$2:$A$127, 0))*INDEX(Unit_Grades!$B$2:$B$7, MATCH(F1560, Unit_Grades!$A$2:$A$7, 0))*INDEX(Unit_Paths!$D$2:$D$4, MATCH(E1560, Unit_Paths!$A$2:$A$4, 0)),0)</f>
        <v>3344</v>
      </c>
      <c r="K1560" s="6" t="n">
        <f aca="false">ROUND(INDEX(Archetypes!$H$2:$H$127, MATCH(D1560, Archetypes!$A$2:$A$127, 0))*INDEX(Unit_Paths!$E$2:$E$4, MATCH(E1560, Unit_Paths!$A$2:$A$4, 0)),1)</f>
        <v>31.5</v>
      </c>
      <c r="L1560" s="6" t="n">
        <f aca="false">ROUND(INDEX(Archetypes!$I$2:$I$127, MATCH(D1560, Archetypes!$A$2:$A$127, 0))*INDEX(Unit_Grades!$C$2:$C$7, MATCH(F1560, Unit_Grades!$A$2:$A$7, 0)),1)</f>
        <v>156.8</v>
      </c>
      <c r="M1560" s="6" t="n">
        <f aca="false">ROUND(INDEX(Archetypes!$J$2:$J$127, MATCH(D1560, Archetypes!$A$2:$A$127, 0))*INDEX(Unit_Grades!$D$2:$D$7, MATCH(F1560, Unit_Grades!$A$2:$A$7, 0)),1)</f>
        <v>159.1</v>
      </c>
      <c r="N1560" s="6" t="n">
        <f aca="false">ROUND(M1560/24,2)</f>
        <v>6.63</v>
      </c>
    </row>
    <row r="1561" customFormat="false" ht="15" hidden="false" customHeight="true" outlineLevel="0" collapsed="false">
      <c r="A1561" s="6" t="n">
        <v>5</v>
      </c>
      <c r="B1561" s="6" t="s">
        <v>3042</v>
      </c>
      <c r="C1561" s="6" t="s">
        <v>1449</v>
      </c>
      <c r="D1561" s="6" t="str">
        <f aca="false">A1561&amp;"|"&amp;C1561</f>
        <v>5|Siege Platform</v>
      </c>
      <c r="E1561" s="6" t="s">
        <v>1558</v>
      </c>
      <c r="F1561" s="6" t="s">
        <v>1548</v>
      </c>
      <c r="G1561" s="6" t="str">
        <f aca="false">INDEX(Archetypes!$D$2:$D$127, MATCH(D1561, Archetypes!$A$2:$A$127, 0))</f>
        <v>Siege</v>
      </c>
      <c r="H1561" s="6" t="n">
        <f aca="false">ROUND(INDEX(Archetypes!$E$2:$E$127, MATCH(D1561, Archetypes!$A$2:$A$127, 0))*INDEX(Unit_Grades!$B$2:$B$7, MATCH(F1561, Unit_Grades!$A$2:$A$7, 0))*INDEX(Unit_Paths!$B$2:$B$4, MATCH(E1561, Unit_Paths!$A$2:$A$4, 0)),1)</f>
        <v>2620.8</v>
      </c>
      <c r="I1561" s="6" t="n">
        <f aca="false">ROUND(INDEX(Archetypes!$F$2:$F$127, MATCH(D1561, Archetypes!$A$2:$A$127, 0))*INDEX(Unit_Grades!$B$2:$B$7, MATCH(F1561, Unit_Grades!$A$2:$A$7, 0))*INDEX(Unit_Paths!$C$2:$C$4, MATCH(E1561, Unit_Paths!$A$2:$A$4, 0)),1)</f>
        <v>642.6</v>
      </c>
      <c r="J1561" s="6" t="n">
        <f aca="false">ROUND(INDEX(Archetypes!$G$2:$G$127, MATCH(D1561, Archetypes!$A$2:$A$127, 0))*INDEX(Unit_Grades!$B$2:$B$7, MATCH(F1561, Unit_Grades!$A$2:$A$7, 0))*INDEX(Unit_Paths!$D$2:$D$4, MATCH(E1561, Unit_Paths!$A$2:$A$4, 0)),0)</f>
        <v>4389</v>
      </c>
      <c r="K1561" s="6" t="n">
        <f aca="false">ROUND(INDEX(Archetypes!$H$2:$H$127, MATCH(D1561, Archetypes!$A$2:$A$127, 0))*INDEX(Unit_Paths!$E$2:$E$4, MATCH(E1561, Unit_Paths!$A$2:$A$4, 0)),1)</f>
        <v>31.5</v>
      </c>
      <c r="L1561" s="6" t="n">
        <f aca="false">ROUND(INDEX(Archetypes!$I$2:$I$127, MATCH(D1561, Archetypes!$A$2:$A$127, 0))*INDEX(Unit_Grades!$C$2:$C$7, MATCH(F1561, Unit_Grades!$A$2:$A$7, 0)),1)</f>
        <v>207.2</v>
      </c>
      <c r="M1561" s="6" t="n">
        <f aca="false">ROUND(INDEX(Archetypes!$J$2:$J$127, MATCH(D1561, Archetypes!$A$2:$A$127, 0))*INDEX(Unit_Grades!$D$2:$D$7, MATCH(F1561, Unit_Grades!$A$2:$A$7, 0)),1)</f>
        <v>272.8</v>
      </c>
      <c r="N1561" s="6" t="n">
        <f aca="false">ROUND(M1561/24,2)</f>
        <v>11.37</v>
      </c>
    </row>
    <row r="1562" customFormat="false" ht="15" hidden="false" customHeight="true" outlineLevel="0" collapsed="false">
      <c r="A1562" s="6" t="n">
        <v>5</v>
      </c>
      <c r="B1562" s="6" t="s">
        <v>3043</v>
      </c>
      <c r="C1562" s="6" t="s">
        <v>1449</v>
      </c>
      <c r="D1562" s="6" t="str">
        <f aca="false">A1562&amp;"|"&amp;C1562</f>
        <v>5|Siege Platform</v>
      </c>
      <c r="E1562" s="6" t="s">
        <v>1560</v>
      </c>
      <c r="F1562" s="6" t="s">
        <v>1538</v>
      </c>
      <c r="G1562" s="6" t="str">
        <f aca="false">INDEX(Archetypes!$D$2:$D$127, MATCH(D1562, Archetypes!$A$2:$A$127, 0))</f>
        <v>Siege</v>
      </c>
      <c r="H1562" s="6" t="n">
        <f aca="false">ROUND(INDEX(Archetypes!$E$2:$E$127, MATCH(D1562, Archetypes!$A$2:$A$127, 0))*INDEX(Unit_Grades!$B$2:$B$7, MATCH(F1562, Unit_Grades!$A$2:$A$7, 0))*INDEX(Unit_Paths!$B$2:$B$4, MATCH(E1562, Unit_Paths!$A$2:$A$4, 0)),1)</f>
        <v>442</v>
      </c>
      <c r="I1562" s="6" t="n">
        <f aca="false">ROUND(INDEX(Archetypes!$F$2:$F$127, MATCH(D1562, Archetypes!$A$2:$A$127, 0))*INDEX(Unit_Grades!$B$2:$B$7, MATCH(F1562, Unit_Grades!$A$2:$A$7, 0))*INDEX(Unit_Paths!$C$2:$C$4, MATCH(E1562, Unit_Paths!$A$2:$A$4, 0)),1)</f>
        <v>225</v>
      </c>
      <c r="J1562" s="6" t="n">
        <f aca="false">ROUND(INDEX(Archetypes!$G$2:$G$127, MATCH(D1562, Archetypes!$A$2:$A$127, 0))*INDEX(Unit_Grades!$B$2:$B$7, MATCH(F1562, Unit_Grades!$A$2:$A$7, 0))*INDEX(Unit_Paths!$D$2:$D$4, MATCH(E1562, Unit_Paths!$A$2:$A$4, 0)),0)</f>
        <v>1265</v>
      </c>
      <c r="K1562" s="6" t="n">
        <f aca="false">ROUND(INDEX(Archetypes!$H$2:$H$127, MATCH(D1562, Archetypes!$A$2:$A$127, 0))*INDEX(Unit_Paths!$E$2:$E$4, MATCH(E1562, Unit_Paths!$A$2:$A$4, 0)),1)</f>
        <v>27.6</v>
      </c>
      <c r="L1562" s="6" t="n">
        <f aca="false">ROUND(INDEX(Archetypes!$I$2:$I$127, MATCH(D1562, Archetypes!$A$2:$A$127, 0))*INDEX(Unit_Grades!$C$2:$C$7, MATCH(F1562, Unit_Grades!$A$2:$A$7, 0)),1)</f>
        <v>56</v>
      </c>
      <c r="M1562" s="6" t="n">
        <f aca="false">ROUND(INDEX(Archetypes!$J$2:$J$127, MATCH(D1562, Archetypes!$A$2:$A$127, 0))*INDEX(Unit_Grades!$D$2:$D$7, MATCH(F1562, Unit_Grades!$A$2:$A$7, 0)),1)</f>
        <v>22.7</v>
      </c>
      <c r="N1562" s="6" t="n">
        <f aca="false">ROUND(M1562/24,2)</f>
        <v>0.95</v>
      </c>
    </row>
    <row r="1563" customFormat="false" ht="15" hidden="false" customHeight="true" outlineLevel="0" collapsed="false">
      <c r="A1563" s="6" t="n">
        <v>5</v>
      </c>
      <c r="B1563" s="6" t="s">
        <v>3044</v>
      </c>
      <c r="C1563" s="6" t="s">
        <v>1449</v>
      </c>
      <c r="D1563" s="6" t="str">
        <f aca="false">A1563&amp;"|"&amp;C1563</f>
        <v>5|Siege Platform</v>
      </c>
      <c r="E1563" s="6" t="s">
        <v>1560</v>
      </c>
      <c r="F1563" s="6" t="s">
        <v>1540</v>
      </c>
      <c r="G1563" s="6" t="str">
        <f aca="false">INDEX(Archetypes!$D$2:$D$127, MATCH(D1563, Archetypes!$A$2:$A$127, 0))</f>
        <v>Siege</v>
      </c>
      <c r="H1563" s="6" t="n">
        <f aca="false">ROUND(INDEX(Archetypes!$E$2:$E$127, MATCH(D1563, Archetypes!$A$2:$A$127, 0))*INDEX(Unit_Grades!$B$2:$B$7, MATCH(F1563, Unit_Grades!$A$2:$A$7, 0))*INDEX(Unit_Paths!$B$2:$B$4, MATCH(E1563, Unit_Paths!$A$2:$A$4, 0)),1)</f>
        <v>596.7</v>
      </c>
      <c r="I1563" s="6" t="n">
        <f aca="false">ROUND(INDEX(Archetypes!$F$2:$F$127, MATCH(D1563, Archetypes!$A$2:$A$127, 0))*INDEX(Unit_Grades!$B$2:$B$7, MATCH(F1563, Unit_Grades!$A$2:$A$7, 0))*INDEX(Unit_Paths!$C$2:$C$4, MATCH(E1563, Unit_Paths!$A$2:$A$4, 0)),1)</f>
        <v>303.8</v>
      </c>
      <c r="J1563" s="6" t="n">
        <f aca="false">ROUND(INDEX(Archetypes!$G$2:$G$127, MATCH(D1563, Archetypes!$A$2:$A$127, 0))*INDEX(Unit_Grades!$B$2:$B$7, MATCH(F1563, Unit_Grades!$A$2:$A$7, 0))*INDEX(Unit_Paths!$D$2:$D$4, MATCH(E1563, Unit_Paths!$A$2:$A$4, 0)),0)</f>
        <v>1708</v>
      </c>
      <c r="K1563" s="6" t="n">
        <f aca="false">ROUND(INDEX(Archetypes!$H$2:$H$127, MATCH(D1563, Archetypes!$A$2:$A$127, 0))*INDEX(Unit_Paths!$E$2:$E$4, MATCH(E1563, Unit_Paths!$A$2:$A$4, 0)),1)</f>
        <v>27.6</v>
      </c>
      <c r="L1563" s="6" t="n">
        <f aca="false">ROUND(INDEX(Archetypes!$I$2:$I$127, MATCH(D1563, Archetypes!$A$2:$A$127, 0))*INDEX(Unit_Grades!$C$2:$C$7, MATCH(F1563, Unit_Grades!$A$2:$A$7, 0)),1)</f>
        <v>70</v>
      </c>
      <c r="M1563" s="6" t="n">
        <f aca="false">ROUND(INDEX(Archetypes!$J$2:$J$127, MATCH(D1563, Archetypes!$A$2:$A$127, 0))*INDEX(Unit_Grades!$D$2:$D$7, MATCH(F1563, Unit_Grades!$A$2:$A$7, 0)),1)</f>
        <v>34.1</v>
      </c>
      <c r="N1563" s="6" t="n">
        <f aca="false">ROUND(M1563/24,2)</f>
        <v>1.42</v>
      </c>
    </row>
    <row r="1564" customFormat="false" ht="15" hidden="false" customHeight="true" outlineLevel="0" collapsed="false">
      <c r="A1564" s="6" t="n">
        <v>5</v>
      </c>
      <c r="B1564" s="6" t="s">
        <v>3045</v>
      </c>
      <c r="C1564" s="6" t="s">
        <v>1449</v>
      </c>
      <c r="D1564" s="6" t="str">
        <f aca="false">A1564&amp;"|"&amp;C1564</f>
        <v>5|Siege Platform</v>
      </c>
      <c r="E1564" s="6" t="s">
        <v>1560</v>
      </c>
      <c r="F1564" s="6" t="s">
        <v>1542</v>
      </c>
      <c r="G1564" s="6" t="str">
        <f aca="false">INDEX(Archetypes!$D$2:$D$127, MATCH(D1564, Archetypes!$A$2:$A$127, 0))</f>
        <v>Siege</v>
      </c>
      <c r="H1564" s="6" t="n">
        <f aca="false">ROUND(INDEX(Archetypes!$E$2:$E$127, MATCH(D1564, Archetypes!$A$2:$A$127, 0))*INDEX(Unit_Grades!$B$2:$B$7, MATCH(F1564, Unit_Grades!$A$2:$A$7, 0))*INDEX(Unit_Paths!$B$2:$B$4, MATCH(E1564, Unit_Paths!$A$2:$A$4, 0)),1)</f>
        <v>795.6</v>
      </c>
      <c r="I1564" s="6" t="n">
        <f aca="false">ROUND(INDEX(Archetypes!$F$2:$F$127, MATCH(D1564, Archetypes!$A$2:$A$127, 0))*INDEX(Unit_Grades!$B$2:$B$7, MATCH(F1564, Unit_Grades!$A$2:$A$7, 0))*INDEX(Unit_Paths!$C$2:$C$4, MATCH(E1564, Unit_Paths!$A$2:$A$4, 0)),1)</f>
        <v>405</v>
      </c>
      <c r="J1564" s="6" t="n">
        <f aca="false">ROUND(INDEX(Archetypes!$G$2:$G$127, MATCH(D1564, Archetypes!$A$2:$A$127, 0))*INDEX(Unit_Grades!$B$2:$B$7, MATCH(F1564, Unit_Grades!$A$2:$A$7, 0))*INDEX(Unit_Paths!$D$2:$D$4, MATCH(E1564, Unit_Paths!$A$2:$A$4, 0)),0)</f>
        <v>2277</v>
      </c>
      <c r="K1564" s="6" t="n">
        <f aca="false">ROUND(INDEX(Archetypes!$H$2:$H$127, MATCH(D1564, Archetypes!$A$2:$A$127, 0))*INDEX(Unit_Paths!$E$2:$E$4, MATCH(E1564, Unit_Paths!$A$2:$A$4, 0)),1)</f>
        <v>27.6</v>
      </c>
      <c r="L1564" s="6" t="n">
        <f aca="false">ROUND(INDEX(Archetypes!$I$2:$I$127, MATCH(D1564, Archetypes!$A$2:$A$127, 0))*INDEX(Unit_Grades!$C$2:$C$7, MATCH(F1564, Unit_Grades!$A$2:$A$7, 0)),1)</f>
        <v>89.6</v>
      </c>
      <c r="M1564" s="6" t="n">
        <f aca="false">ROUND(INDEX(Archetypes!$J$2:$J$127, MATCH(D1564, Archetypes!$A$2:$A$127, 0))*INDEX(Unit_Grades!$D$2:$D$7, MATCH(F1564, Unit_Grades!$A$2:$A$7, 0)),1)</f>
        <v>56.8</v>
      </c>
      <c r="N1564" s="6" t="n">
        <f aca="false">ROUND(M1564/24,2)</f>
        <v>2.37</v>
      </c>
    </row>
    <row r="1565" customFormat="false" ht="15" hidden="false" customHeight="true" outlineLevel="0" collapsed="false">
      <c r="A1565" s="6" t="n">
        <v>5</v>
      </c>
      <c r="B1565" s="6" t="s">
        <v>3046</v>
      </c>
      <c r="C1565" s="6" t="s">
        <v>1449</v>
      </c>
      <c r="D1565" s="6" t="str">
        <f aca="false">A1565&amp;"|"&amp;C1565</f>
        <v>5|Siege Platform</v>
      </c>
      <c r="E1565" s="6" t="s">
        <v>1560</v>
      </c>
      <c r="F1565" s="6" t="s">
        <v>1544</v>
      </c>
      <c r="G1565" s="6" t="str">
        <f aca="false">INDEX(Archetypes!$D$2:$D$127, MATCH(D1565, Archetypes!$A$2:$A$127, 0))</f>
        <v>Siege</v>
      </c>
      <c r="H1565" s="6" t="n">
        <f aca="false">ROUND(INDEX(Archetypes!$E$2:$E$127, MATCH(D1565, Archetypes!$A$2:$A$127, 0))*INDEX(Unit_Grades!$B$2:$B$7, MATCH(F1565, Unit_Grades!$A$2:$A$7, 0))*INDEX(Unit_Paths!$B$2:$B$4, MATCH(E1565, Unit_Paths!$A$2:$A$4, 0)),1)</f>
        <v>1060.8</v>
      </c>
      <c r="I1565" s="6" t="n">
        <f aca="false">ROUND(INDEX(Archetypes!$F$2:$F$127, MATCH(D1565, Archetypes!$A$2:$A$127, 0))*INDEX(Unit_Grades!$B$2:$B$7, MATCH(F1565, Unit_Grades!$A$2:$A$7, 0))*INDEX(Unit_Paths!$C$2:$C$4, MATCH(E1565, Unit_Paths!$A$2:$A$4, 0)),1)</f>
        <v>540</v>
      </c>
      <c r="J1565" s="6" t="n">
        <f aca="false">ROUND(INDEX(Archetypes!$G$2:$G$127, MATCH(D1565, Archetypes!$A$2:$A$127, 0))*INDEX(Unit_Grades!$B$2:$B$7, MATCH(F1565, Unit_Grades!$A$2:$A$7, 0))*INDEX(Unit_Paths!$D$2:$D$4, MATCH(E1565, Unit_Paths!$A$2:$A$4, 0)),0)</f>
        <v>3036</v>
      </c>
      <c r="K1565" s="6" t="n">
        <f aca="false">ROUND(INDEX(Archetypes!$H$2:$H$127, MATCH(D1565, Archetypes!$A$2:$A$127, 0))*INDEX(Unit_Paths!$E$2:$E$4, MATCH(E1565, Unit_Paths!$A$2:$A$4, 0)),1)</f>
        <v>27.6</v>
      </c>
      <c r="L1565" s="6" t="n">
        <f aca="false">ROUND(INDEX(Archetypes!$I$2:$I$127, MATCH(D1565, Archetypes!$A$2:$A$127, 0))*INDEX(Unit_Grades!$C$2:$C$7, MATCH(F1565, Unit_Grades!$A$2:$A$7, 0)),1)</f>
        <v>117.6</v>
      </c>
      <c r="M1565" s="6" t="n">
        <f aca="false">ROUND(INDEX(Archetypes!$J$2:$J$127, MATCH(D1565, Archetypes!$A$2:$A$127, 0))*INDEX(Unit_Grades!$D$2:$D$7, MATCH(F1565, Unit_Grades!$A$2:$A$7, 0)),1)</f>
        <v>90.9</v>
      </c>
      <c r="N1565" s="6" t="n">
        <f aca="false">ROUND(M1565/24,2)</f>
        <v>3.79</v>
      </c>
    </row>
    <row r="1566" customFormat="false" ht="15" hidden="false" customHeight="true" outlineLevel="0" collapsed="false">
      <c r="A1566" s="6" t="n">
        <v>5</v>
      </c>
      <c r="B1566" s="6" t="s">
        <v>3047</v>
      </c>
      <c r="C1566" s="6" t="s">
        <v>1449</v>
      </c>
      <c r="D1566" s="6" t="str">
        <f aca="false">A1566&amp;"|"&amp;C1566</f>
        <v>5|Siege Platform</v>
      </c>
      <c r="E1566" s="6" t="s">
        <v>1560</v>
      </c>
      <c r="F1566" s="6" t="s">
        <v>1546</v>
      </c>
      <c r="G1566" s="6" t="str">
        <f aca="false">INDEX(Archetypes!$D$2:$D$127, MATCH(D1566, Archetypes!$A$2:$A$127, 0))</f>
        <v>Siege</v>
      </c>
      <c r="H1566" s="6" t="n">
        <f aca="false">ROUND(INDEX(Archetypes!$E$2:$E$127, MATCH(D1566, Archetypes!$A$2:$A$127, 0))*INDEX(Unit_Grades!$B$2:$B$7, MATCH(F1566, Unit_Grades!$A$2:$A$7, 0))*INDEX(Unit_Paths!$B$2:$B$4, MATCH(E1566, Unit_Paths!$A$2:$A$4, 0)),1)</f>
        <v>1414.4</v>
      </c>
      <c r="I1566" s="6" t="n">
        <f aca="false">ROUND(INDEX(Archetypes!$F$2:$F$127, MATCH(D1566, Archetypes!$A$2:$A$127, 0))*INDEX(Unit_Grades!$B$2:$B$7, MATCH(F1566, Unit_Grades!$A$2:$A$7, 0))*INDEX(Unit_Paths!$C$2:$C$4, MATCH(E1566, Unit_Paths!$A$2:$A$4, 0)),1)</f>
        <v>720</v>
      </c>
      <c r="J1566" s="6" t="n">
        <f aca="false">ROUND(INDEX(Archetypes!$G$2:$G$127, MATCH(D1566, Archetypes!$A$2:$A$127, 0))*INDEX(Unit_Grades!$B$2:$B$7, MATCH(F1566, Unit_Grades!$A$2:$A$7, 0))*INDEX(Unit_Paths!$D$2:$D$4, MATCH(E1566, Unit_Paths!$A$2:$A$4, 0)),0)</f>
        <v>4048</v>
      </c>
      <c r="K1566" s="6" t="n">
        <f aca="false">ROUND(INDEX(Archetypes!$H$2:$H$127, MATCH(D1566, Archetypes!$A$2:$A$127, 0))*INDEX(Unit_Paths!$E$2:$E$4, MATCH(E1566, Unit_Paths!$A$2:$A$4, 0)),1)</f>
        <v>27.6</v>
      </c>
      <c r="L1566" s="6" t="n">
        <f aca="false">ROUND(INDEX(Archetypes!$I$2:$I$127, MATCH(D1566, Archetypes!$A$2:$A$127, 0))*INDEX(Unit_Grades!$C$2:$C$7, MATCH(F1566, Unit_Grades!$A$2:$A$7, 0)),1)</f>
        <v>156.8</v>
      </c>
      <c r="M1566" s="6" t="n">
        <f aca="false">ROUND(INDEX(Archetypes!$J$2:$J$127, MATCH(D1566, Archetypes!$A$2:$A$127, 0))*INDEX(Unit_Grades!$D$2:$D$7, MATCH(F1566, Unit_Grades!$A$2:$A$7, 0)),1)</f>
        <v>159.1</v>
      </c>
      <c r="N1566" s="6" t="n">
        <f aca="false">ROUND(M1566/24,2)</f>
        <v>6.63</v>
      </c>
    </row>
    <row r="1567" customFormat="false" ht="15" hidden="false" customHeight="true" outlineLevel="0" collapsed="false">
      <c r="A1567" s="6" t="n">
        <v>5</v>
      </c>
      <c r="B1567" s="6" t="s">
        <v>3048</v>
      </c>
      <c r="C1567" s="6" t="s">
        <v>1449</v>
      </c>
      <c r="D1567" s="6" t="str">
        <f aca="false">A1567&amp;"|"&amp;C1567</f>
        <v>5|Siege Platform</v>
      </c>
      <c r="E1567" s="6" t="s">
        <v>1560</v>
      </c>
      <c r="F1567" s="6" t="s">
        <v>1548</v>
      </c>
      <c r="G1567" s="6" t="str">
        <f aca="false">INDEX(Archetypes!$D$2:$D$127, MATCH(D1567, Archetypes!$A$2:$A$127, 0))</f>
        <v>Siege</v>
      </c>
      <c r="H1567" s="6" t="n">
        <f aca="false">ROUND(INDEX(Archetypes!$E$2:$E$127, MATCH(D1567, Archetypes!$A$2:$A$127, 0))*INDEX(Unit_Grades!$B$2:$B$7, MATCH(F1567, Unit_Grades!$A$2:$A$7, 0))*INDEX(Unit_Paths!$B$2:$B$4, MATCH(E1567, Unit_Paths!$A$2:$A$4, 0)),1)</f>
        <v>1856.4</v>
      </c>
      <c r="I1567" s="6" t="n">
        <f aca="false">ROUND(INDEX(Archetypes!$F$2:$F$127, MATCH(D1567, Archetypes!$A$2:$A$127, 0))*INDEX(Unit_Grades!$B$2:$B$7, MATCH(F1567, Unit_Grades!$A$2:$A$7, 0))*INDEX(Unit_Paths!$C$2:$C$4, MATCH(E1567, Unit_Paths!$A$2:$A$4, 0)),1)</f>
        <v>945</v>
      </c>
      <c r="J1567" s="6" t="n">
        <f aca="false">ROUND(INDEX(Archetypes!$G$2:$G$127, MATCH(D1567, Archetypes!$A$2:$A$127, 0))*INDEX(Unit_Grades!$B$2:$B$7, MATCH(F1567, Unit_Grades!$A$2:$A$7, 0))*INDEX(Unit_Paths!$D$2:$D$4, MATCH(E1567, Unit_Paths!$A$2:$A$4, 0)),0)</f>
        <v>5313</v>
      </c>
      <c r="K1567" s="6" t="n">
        <f aca="false">ROUND(INDEX(Archetypes!$H$2:$H$127, MATCH(D1567, Archetypes!$A$2:$A$127, 0))*INDEX(Unit_Paths!$E$2:$E$4, MATCH(E1567, Unit_Paths!$A$2:$A$4, 0)),1)</f>
        <v>27.6</v>
      </c>
      <c r="L1567" s="6" t="n">
        <f aca="false">ROUND(INDEX(Archetypes!$I$2:$I$127, MATCH(D1567, Archetypes!$A$2:$A$127, 0))*INDEX(Unit_Grades!$C$2:$C$7, MATCH(F1567, Unit_Grades!$A$2:$A$7, 0)),1)</f>
        <v>207.2</v>
      </c>
      <c r="M1567" s="6" t="n">
        <f aca="false">ROUND(INDEX(Archetypes!$J$2:$J$127, MATCH(D1567, Archetypes!$A$2:$A$127, 0))*INDEX(Unit_Grades!$D$2:$D$7, MATCH(F1567, Unit_Grades!$A$2:$A$7, 0)),1)</f>
        <v>272.8</v>
      </c>
      <c r="N1567" s="6" t="n">
        <f aca="false">ROUND(M1567/24,2)</f>
        <v>11.37</v>
      </c>
    </row>
    <row r="1568" customFormat="false" ht="15" hidden="false" customHeight="true" outlineLevel="0" collapsed="false">
      <c r="A1568" s="6" t="n">
        <v>5</v>
      </c>
      <c r="B1568" s="6" t="s">
        <v>1451</v>
      </c>
      <c r="C1568" s="6" t="s">
        <v>1451</v>
      </c>
      <c r="D1568" s="6" t="str">
        <f aca="false">A1568&amp;"|"&amp;C1568</f>
        <v>5|Probe</v>
      </c>
      <c r="E1568" s="6" t="s">
        <v>1556</v>
      </c>
      <c r="F1568" s="6" t="s">
        <v>1538</v>
      </c>
      <c r="G1568" s="6" t="str">
        <f aca="false">INDEX(Archetypes!$D$2:$D$127, MATCH(D1568, Archetypes!$A$2:$A$127, 0))</f>
        <v>Recon</v>
      </c>
      <c r="H1568" s="6" t="n">
        <f aca="false">ROUND(INDEX(Archetypes!$E$2:$E$127, MATCH(D1568, Archetypes!$A$2:$A$127, 0))*INDEX(Unit_Grades!$B$2:$B$7, MATCH(F1568, Unit_Grades!$A$2:$A$7, 0))*INDEX(Unit_Paths!$B$2:$B$4, MATCH(E1568, Unit_Paths!$A$2:$A$4, 0)),1)</f>
        <v>10</v>
      </c>
      <c r="I1568" s="6" t="n">
        <f aca="false">ROUND(INDEX(Archetypes!$F$2:$F$127, MATCH(D1568, Archetypes!$A$2:$A$127, 0))*INDEX(Unit_Grades!$B$2:$B$7, MATCH(F1568, Unit_Grades!$A$2:$A$7, 0))*INDEX(Unit_Paths!$C$2:$C$4, MATCH(E1568, Unit_Paths!$A$2:$A$4, 0)),1)</f>
        <v>20</v>
      </c>
      <c r="J1568" s="6" t="n">
        <f aca="false">ROUND(INDEX(Archetypes!$G$2:$G$127, MATCH(D1568, Archetypes!$A$2:$A$127, 0))*INDEX(Unit_Grades!$B$2:$B$7, MATCH(F1568, Unit_Grades!$A$2:$A$7, 0))*INDEX(Unit_Paths!$D$2:$D$4, MATCH(E1568, Unit_Paths!$A$2:$A$4, 0)),0)</f>
        <v>80</v>
      </c>
      <c r="K1568" s="6" t="n">
        <f aca="false">ROUND(INDEX(Archetypes!$H$2:$H$127, MATCH(D1568, Archetypes!$A$2:$A$127, 0))*INDEX(Unit_Paths!$E$2:$E$4, MATCH(E1568, Unit_Paths!$A$2:$A$4, 0)),1)</f>
        <v>150</v>
      </c>
      <c r="L1568" s="6" t="n">
        <f aca="false">ROUND(INDEX(Archetypes!$I$2:$I$127, MATCH(D1568, Archetypes!$A$2:$A$127, 0))*INDEX(Unit_Grades!$C$2:$C$7, MATCH(F1568, Unit_Grades!$A$2:$A$7, 0)),1)</f>
        <v>8</v>
      </c>
      <c r="M1568" s="6" t="n">
        <f aca="false">ROUND(INDEX(Archetypes!$J$2:$J$127, MATCH(D1568, Archetypes!$A$2:$A$127, 0))*INDEX(Unit_Grades!$D$2:$D$7, MATCH(F1568, Unit_Grades!$A$2:$A$7, 0)),1)</f>
        <v>3.3</v>
      </c>
      <c r="N1568" s="6" t="n">
        <f aca="false">ROUND(M1568/24,2)</f>
        <v>0.14</v>
      </c>
    </row>
    <row r="1569" customFormat="false" ht="15" hidden="false" customHeight="true" outlineLevel="0" collapsed="false">
      <c r="A1569" s="6" t="n">
        <v>5</v>
      </c>
      <c r="B1569" s="6" t="s">
        <v>3049</v>
      </c>
      <c r="C1569" s="6" t="s">
        <v>1451</v>
      </c>
      <c r="D1569" s="6" t="str">
        <f aca="false">A1569&amp;"|"&amp;C1569</f>
        <v>5|Probe</v>
      </c>
      <c r="E1569" s="6" t="s">
        <v>1556</v>
      </c>
      <c r="F1569" s="6" t="s">
        <v>1540</v>
      </c>
      <c r="G1569" s="6" t="str">
        <f aca="false">INDEX(Archetypes!$D$2:$D$127, MATCH(D1569, Archetypes!$A$2:$A$127, 0))</f>
        <v>Recon</v>
      </c>
      <c r="H1569" s="6" t="n">
        <f aca="false">ROUND(INDEX(Archetypes!$E$2:$E$127, MATCH(D1569, Archetypes!$A$2:$A$127, 0))*INDEX(Unit_Grades!$B$2:$B$7, MATCH(F1569, Unit_Grades!$A$2:$A$7, 0))*INDEX(Unit_Paths!$B$2:$B$4, MATCH(E1569, Unit_Paths!$A$2:$A$4, 0)),1)</f>
        <v>13.5</v>
      </c>
      <c r="I1569" s="6" t="n">
        <f aca="false">ROUND(INDEX(Archetypes!$F$2:$F$127, MATCH(D1569, Archetypes!$A$2:$A$127, 0))*INDEX(Unit_Grades!$B$2:$B$7, MATCH(F1569, Unit_Grades!$A$2:$A$7, 0))*INDEX(Unit_Paths!$C$2:$C$4, MATCH(E1569, Unit_Paths!$A$2:$A$4, 0)),1)</f>
        <v>27</v>
      </c>
      <c r="J1569" s="6" t="n">
        <f aca="false">ROUND(INDEX(Archetypes!$G$2:$G$127, MATCH(D1569, Archetypes!$A$2:$A$127, 0))*INDEX(Unit_Grades!$B$2:$B$7, MATCH(F1569, Unit_Grades!$A$2:$A$7, 0))*INDEX(Unit_Paths!$D$2:$D$4, MATCH(E1569, Unit_Paths!$A$2:$A$4, 0)),0)</f>
        <v>108</v>
      </c>
      <c r="K1569" s="6" t="n">
        <f aca="false">ROUND(INDEX(Archetypes!$H$2:$H$127, MATCH(D1569, Archetypes!$A$2:$A$127, 0))*INDEX(Unit_Paths!$E$2:$E$4, MATCH(E1569, Unit_Paths!$A$2:$A$4, 0)),1)</f>
        <v>150</v>
      </c>
      <c r="L1569" s="6" t="n">
        <f aca="false">ROUND(INDEX(Archetypes!$I$2:$I$127, MATCH(D1569, Archetypes!$A$2:$A$127, 0))*INDEX(Unit_Grades!$C$2:$C$7, MATCH(F1569, Unit_Grades!$A$2:$A$7, 0)),1)</f>
        <v>10</v>
      </c>
      <c r="M1569" s="6" t="n">
        <f aca="false">ROUND(INDEX(Archetypes!$J$2:$J$127, MATCH(D1569, Archetypes!$A$2:$A$127, 0))*INDEX(Unit_Grades!$D$2:$D$7, MATCH(F1569, Unit_Grades!$A$2:$A$7, 0)),1)</f>
        <v>4.9</v>
      </c>
      <c r="N1569" s="6" t="n">
        <f aca="false">ROUND(M1569/24,2)</f>
        <v>0.2</v>
      </c>
    </row>
    <row r="1570" customFormat="false" ht="15" hidden="false" customHeight="true" outlineLevel="0" collapsed="false">
      <c r="A1570" s="6" t="n">
        <v>5</v>
      </c>
      <c r="B1570" s="6" t="s">
        <v>3050</v>
      </c>
      <c r="C1570" s="6" t="s">
        <v>1451</v>
      </c>
      <c r="D1570" s="6" t="str">
        <f aca="false">A1570&amp;"|"&amp;C1570</f>
        <v>5|Probe</v>
      </c>
      <c r="E1570" s="6" t="s">
        <v>1556</v>
      </c>
      <c r="F1570" s="6" t="s">
        <v>1542</v>
      </c>
      <c r="G1570" s="6" t="str">
        <f aca="false">INDEX(Archetypes!$D$2:$D$127, MATCH(D1570, Archetypes!$A$2:$A$127, 0))</f>
        <v>Recon</v>
      </c>
      <c r="H1570" s="6" t="n">
        <f aca="false">ROUND(INDEX(Archetypes!$E$2:$E$127, MATCH(D1570, Archetypes!$A$2:$A$127, 0))*INDEX(Unit_Grades!$B$2:$B$7, MATCH(F1570, Unit_Grades!$A$2:$A$7, 0))*INDEX(Unit_Paths!$B$2:$B$4, MATCH(E1570, Unit_Paths!$A$2:$A$4, 0)),1)</f>
        <v>18</v>
      </c>
      <c r="I1570" s="6" t="n">
        <f aca="false">ROUND(INDEX(Archetypes!$F$2:$F$127, MATCH(D1570, Archetypes!$A$2:$A$127, 0))*INDEX(Unit_Grades!$B$2:$B$7, MATCH(F1570, Unit_Grades!$A$2:$A$7, 0))*INDEX(Unit_Paths!$C$2:$C$4, MATCH(E1570, Unit_Paths!$A$2:$A$4, 0)),1)</f>
        <v>36</v>
      </c>
      <c r="J1570" s="6" t="n">
        <f aca="false">ROUND(INDEX(Archetypes!$G$2:$G$127, MATCH(D1570, Archetypes!$A$2:$A$127, 0))*INDEX(Unit_Grades!$B$2:$B$7, MATCH(F1570, Unit_Grades!$A$2:$A$7, 0))*INDEX(Unit_Paths!$D$2:$D$4, MATCH(E1570, Unit_Paths!$A$2:$A$4, 0)),0)</f>
        <v>144</v>
      </c>
      <c r="K1570" s="6" t="n">
        <f aca="false">ROUND(INDEX(Archetypes!$H$2:$H$127, MATCH(D1570, Archetypes!$A$2:$A$127, 0))*INDEX(Unit_Paths!$E$2:$E$4, MATCH(E1570, Unit_Paths!$A$2:$A$4, 0)),1)</f>
        <v>150</v>
      </c>
      <c r="L1570" s="6" t="n">
        <f aca="false">ROUND(INDEX(Archetypes!$I$2:$I$127, MATCH(D1570, Archetypes!$A$2:$A$127, 0))*INDEX(Unit_Grades!$C$2:$C$7, MATCH(F1570, Unit_Grades!$A$2:$A$7, 0)),1)</f>
        <v>12.8</v>
      </c>
      <c r="M1570" s="6" t="n">
        <f aca="false">ROUND(INDEX(Archetypes!$J$2:$J$127, MATCH(D1570, Archetypes!$A$2:$A$127, 0))*INDEX(Unit_Grades!$D$2:$D$7, MATCH(F1570, Unit_Grades!$A$2:$A$7, 0)),1)</f>
        <v>8.1</v>
      </c>
      <c r="N1570" s="6" t="n">
        <f aca="false">ROUND(M1570/24,2)</f>
        <v>0.34</v>
      </c>
    </row>
    <row r="1571" customFormat="false" ht="15" hidden="false" customHeight="true" outlineLevel="0" collapsed="false">
      <c r="A1571" s="6" t="n">
        <v>5</v>
      </c>
      <c r="B1571" s="6" t="s">
        <v>3051</v>
      </c>
      <c r="C1571" s="6" t="s">
        <v>1451</v>
      </c>
      <c r="D1571" s="6" t="str">
        <f aca="false">A1571&amp;"|"&amp;C1571</f>
        <v>5|Probe</v>
      </c>
      <c r="E1571" s="6" t="s">
        <v>1556</v>
      </c>
      <c r="F1571" s="6" t="s">
        <v>1544</v>
      </c>
      <c r="G1571" s="6" t="str">
        <f aca="false">INDEX(Archetypes!$D$2:$D$127, MATCH(D1571, Archetypes!$A$2:$A$127, 0))</f>
        <v>Recon</v>
      </c>
      <c r="H1571" s="6" t="n">
        <f aca="false">ROUND(INDEX(Archetypes!$E$2:$E$127, MATCH(D1571, Archetypes!$A$2:$A$127, 0))*INDEX(Unit_Grades!$B$2:$B$7, MATCH(F1571, Unit_Grades!$A$2:$A$7, 0))*INDEX(Unit_Paths!$B$2:$B$4, MATCH(E1571, Unit_Paths!$A$2:$A$4, 0)),1)</f>
        <v>24</v>
      </c>
      <c r="I1571" s="6" t="n">
        <f aca="false">ROUND(INDEX(Archetypes!$F$2:$F$127, MATCH(D1571, Archetypes!$A$2:$A$127, 0))*INDEX(Unit_Grades!$B$2:$B$7, MATCH(F1571, Unit_Grades!$A$2:$A$7, 0))*INDEX(Unit_Paths!$C$2:$C$4, MATCH(E1571, Unit_Paths!$A$2:$A$4, 0)),1)</f>
        <v>48</v>
      </c>
      <c r="J1571" s="6" t="n">
        <f aca="false">ROUND(INDEX(Archetypes!$G$2:$G$127, MATCH(D1571, Archetypes!$A$2:$A$127, 0))*INDEX(Unit_Grades!$B$2:$B$7, MATCH(F1571, Unit_Grades!$A$2:$A$7, 0))*INDEX(Unit_Paths!$D$2:$D$4, MATCH(E1571, Unit_Paths!$A$2:$A$4, 0)),0)</f>
        <v>192</v>
      </c>
      <c r="K1571" s="6" t="n">
        <f aca="false">ROUND(INDEX(Archetypes!$H$2:$H$127, MATCH(D1571, Archetypes!$A$2:$A$127, 0))*INDEX(Unit_Paths!$E$2:$E$4, MATCH(E1571, Unit_Paths!$A$2:$A$4, 0)),1)</f>
        <v>150</v>
      </c>
      <c r="L1571" s="6" t="n">
        <f aca="false">ROUND(INDEX(Archetypes!$I$2:$I$127, MATCH(D1571, Archetypes!$A$2:$A$127, 0))*INDEX(Unit_Grades!$C$2:$C$7, MATCH(F1571, Unit_Grades!$A$2:$A$7, 0)),1)</f>
        <v>16.8</v>
      </c>
      <c r="M1571" s="6" t="n">
        <f aca="false">ROUND(INDEX(Archetypes!$J$2:$J$127, MATCH(D1571, Archetypes!$A$2:$A$127, 0))*INDEX(Unit_Grades!$D$2:$D$7, MATCH(F1571, Unit_Grades!$A$2:$A$7, 0)),1)</f>
        <v>13</v>
      </c>
      <c r="N1571" s="6" t="n">
        <f aca="false">ROUND(M1571/24,2)</f>
        <v>0.54</v>
      </c>
    </row>
    <row r="1572" customFormat="false" ht="15" hidden="false" customHeight="true" outlineLevel="0" collapsed="false">
      <c r="A1572" s="6" t="n">
        <v>5</v>
      </c>
      <c r="B1572" s="6" t="s">
        <v>3052</v>
      </c>
      <c r="C1572" s="6" t="s">
        <v>1451</v>
      </c>
      <c r="D1572" s="6" t="str">
        <f aca="false">A1572&amp;"|"&amp;C1572</f>
        <v>5|Probe</v>
      </c>
      <c r="E1572" s="6" t="s">
        <v>1556</v>
      </c>
      <c r="F1572" s="6" t="s">
        <v>1546</v>
      </c>
      <c r="G1572" s="6" t="str">
        <f aca="false">INDEX(Archetypes!$D$2:$D$127, MATCH(D1572, Archetypes!$A$2:$A$127, 0))</f>
        <v>Recon</v>
      </c>
      <c r="H1572" s="6" t="n">
        <f aca="false">ROUND(INDEX(Archetypes!$E$2:$E$127, MATCH(D1572, Archetypes!$A$2:$A$127, 0))*INDEX(Unit_Grades!$B$2:$B$7, MATCH(F1572, Unit_Grades!$A$2:$A$7, 0))*INDEX(Unit_Paths!$B$2:$B$4, MATCH(E1572, Unit_Paths!$A$2:$A$4, 0)),1)</f>
        <v>32</v>
      </c>
      <c r="I1572" s="6" t="n">
        <f aca="false">ROUND(INDEX(Archetypes!$F$2:$F$127, MATCH(D1572, Archetypes!$A$2:$A$127, 0))*INDEX(Unit_Grades!$B$2:$B$7, MATCH(F1572, Unit_Grades!$A$2:$A$7, 0))*INDEX(Unit_Paths!$C$2:$C$4, MATCH(E1572, Unit_Paths!$A$2:$A$4, 0)),1)</f>
        <v>64</v>
      </c>
      <c r="J1572" s="6" t="n">
        <f aca="false">ROUND(INDEX(Archetypes!$G$2:$G$127, MATCH(D1572, Archetypes!$A$2:$A$127, 0))*INDEX(Unit_Grades!$B$2:$B$7, MATCH(F1572, Unit_Grades!$A$2:$A$7, 0))*INDEX(Unit_Paths!$D$2:$D$4, MATCH(E1572, Unit_Paths!$A$2:$A$4, 0)),0)</f>
        <v>256</v>
      </c>
      <c r="K1572" s="6" t="n">
        <f aca="false">ROUND(INDEX(Archetypes!$H$2:$H$127, MATCH(D1572, Archetypes!$A$2:$A$127, 0))*INDEX(Unit_Paths!$E$2:$E$4, MATCH(E1572, Unit_Paths!$A$2:$A$4, 0)),1)</f>
        <v>150</v>
      </c>
      <c r="L1572" s="6" t="n">
        <f aca="false">ROUND(INDEX(Archetypes!$I$2:$I$127, MATCH(D1572, Archetypes!$A$2:$A$127, 0))*INDEX(Unit_Grades!$C$2:$C$7, MATCH(F1572, Unit_Grades!$A$2:$A$7, 0)),1)</f>
        <v>22.4</v>
      </c>
      <c r="M1572" s="6" t="n">
        <f aca="false">ROUND(INDEX(Archetypes!$J$2:$J$127, MATCH(D1572, Archetypes!$A$2:$A$127, 0))*INDEX(Unit_Grades!$D$2:$D$7, MATCH(F1572, Unit_Grades!$A$2:$A$7, 0)),1)</f>
        <v>22.8</v>
      </c>
      <c r="N1572" s="6" t="n">
        <f aca="false">ROUND(M1572/24,2)</f>
        <v>0.95</v>
      </c>
    </row>
    <row r="1573" customFormat="false" ht="15" hidden="false" customHeight="true" outlineLevel="0" collapsed="false">
      <c r="A1573" s="6" t="n">
        <v>5</v>
      </c>
      <c r="B1573" s="6" t="s">
        <v>3053</v>
      </c>
      <c r="C1573" s="6" t="s">
        <v>1451</v>
      </c>
      <c r="D1573" s="6" t="str">
        <f aca="false">A1573&amp;"|"&amp;C1573</f>
        <v>5|Probe</v>
      </c>
      <c r="E1573" s="6" t="s">
        <v>1556</v>
      </c>
      <c r="F1573" s="6" t="s">
        <v>1548</v>
      </c>
      <c r="G1573" s="6" t="str">
        <f aca="false">INDEX(Archetypes!$D$2:$D$127, MATCH(D1573, Archetypes!$A$2:$A$127, 0))</f>
        <v>Recon</v>
      </c>
      <c r="H1573" s="6" t="n">
        <f aca="false">ROUND(INDEX(Archetypes!$E$2:$E$127, MATCH(D1573, Archetypes!$A$2:$A$127, 0))*INDEX(Unit_Grades!$B$2:$B$7, MATCH(F1573, Unit_Grades!$A$2:$A$7, 0))*INDEX(Unit_Paths!$B$2:$B$4, MATCH(E1573, Unit_Paths!$A$2:$A$4, 0)),1)</f>
        <v>42</v>
      </c>
      <c r="I1573" s="6" t="n">
        <f aca="false">ROUND(INDEX(Archetypes!$F$2:$F$127, MATCH(D1573, Archetypes!$A$2:$A$127, 0))*INDEX(Unit_Grades!$B$2:$B$7, MATCH(F1573, Unit_Grades!$A$2:$A$7, 0))*INDEX(Unit_Paths!$C$2:$C$4, MATCH(E1573, Unit_Paths!$A$2:$A$4, 0)),1)</f>
        <v>84</v>
      </c>
      <c r="J1573" s="6" t="n">
        <f aca="false">ROUND(INDEX(Archetypes!$G$2:$G$127, MATCH(D1573, Archetypes!$A$2:$A$127, 0))*INDEX(Unit_Grades!$B$2:$B$7, MATCH(F1573, Unit_Grades!$A$2:$A$7, 0))*INDEX(Unit_Paths!$D$2:$D$4, MATCH(E1573, Unit_Paths!$A$2:$A$4, 0)),0)</f>
        <v>336</v>
      </c>
      <c r="K1573" s="6" t="n">
        <f aca="false">ROUND(INDEX(Archetypes!$H$2:$H$127, MATCH(D1573, Archetypes!$A$2:$A$127, 0))*INDEX(Unit_Paths!$E$2:$E$4, MATCH(E1573, Unit_Paths!$A$2:$A$4, 0)),1)</f>
        <v>150</v>
      </c>
      <c r="L1573" s="6" t="n">
        <f aca="false">ROUND(INDEX(Archetypes!$I$2:$I$127, MATCH(D1573, Archetypes!$A$2:$A$127, 0))*INDEX(Unit_Grades!$C$2:$C$7, MATCH(F1573, Unit_Grades!$A$2:$A$7, 0)),1)</f>
        <v>29.6</v>
      </c>
      <c r="M1573" s="6" t="n">
        <f aca="false">ROUND(INDEX(Archetypes!$J$2:$J$127, MATCH(D1573, Archetypes!$A$2:$A$127, 0))*INDEX(Unit_Grades!$D$2:$D$7, MATCH(F1573, Unit_Grades!$A$2:$A$7, 0)),1)</f>
        <v>39</v>
      </c>
      <c r="N1573" s="6" t="n">
        <f aca="false">ROUND(M1573/24,2)</f>
        <v>1.63</v>
      </c>
    </row>
    <row r="1574" customFormat="false" ht="15" hidden="false" customHeight="true" outlineLevel="0" collapsed="false">
      <c r="A1574" s="6" t="n">
        <v>5</v>
      </c>
      <c r="B1574" s="6" t="s">
        <v>3054</v>
      </c>
      <c r="C1574" s="6" t="s">
        <v>1451</v>
      </c>
      <c r="D1574" s="6" t="str">
        <f aca="false">A1574&amp;"|"&amp;C1574</f>
        <v>5|Probe</v>
      </c>
      <c r="E1574" s="6" t="s">
        <v>1558</v>
      </c>
      <c r="F1574" s="6" t="s">
        <v>1538</v>
      </c>
      <c r="G1574" s="6" t="str">
        <f aca="false">INDEX(Archetypes!$D$2:$D$127, MATCH(D1574, Archetypes!$A$2:$A$127, 0))</f>
        <v>Recon</v>
      </c>
      <c r="H1574" s="6" t="n">
        <f aca="false">ROUND(INDEX(Archetypes!$E$2:$E$127, MATCH(D1574, Archetypes!$A$2:$A$127, 0))*INDEX(Unit_Grades!$B$2:$B$7, MATCH(F1574, Unit_Grades!$A$2:$A$7, 0))*INDEX(Unit_Paths!$B$2:$B$4, MATCH(E1574, Unit_Paths!$A$2:$A$4, 0)),1)</f>
        <v>12</v>
      </c>
      <c r="I1574" s="6" t="n">
        <f aca="false">ROUND(INDEX(Archetypes!$F$2:$F$127, MATCH(D1574, Archetypes!$A$2:$A$127, 0))*INDEX(Unit_Grades!$B$2:$B$7, MATCH(F1574, Unit_Grades!$A$2:$A$7, 0))*INDEX(Unit_Paths!$C$2:$C$4, MATCH(E1574, Unit_Paths!$A$2:$A$4, 0)),1)</f>
        <v>17</v>
      </c>
      <c r="J1574" s="6" t="n">
        <f aca="false">ROUND(INDEX(Archetypes!$G$2:$G$127, MATCH(D1574, Archetypes!$A$2:$A$127, 0))*INDEX(Unit_Grades!$B$2:$B$7, MATCH(F1574, Unit_Grades!$A$2:$A$7, 0))*INDEX(Unit_Paths!$D$2:$D$4, MATCH(E1574, Unit_Paths!$A$2:$A$4, 0)),0)</f>
        <v>76</v>
      </c>
      <c r="K1574" s="6" t="n">
        <f aca="false">ROUND(INDEX(Archetypes!$H$2:$H$127, MATCH(D1574, Archetypes!$A$2:$A$127, 0))*INDEX(Unit_Paths!$E$2:$E$4, MATCH(E1574, Unit_Paths!$A$2:$A$4, 0)),1)</f>
        <v>157.5</v>
      </c>
      <c r="L1574" s="6" t="n">
        <f aca="false">ROUND(INDEX(Archetypes!$I$2:$I$127, MATCH(D1574, Archetypes!$A$2:$A$127, 0))*INDEX(Unit_Grades!$C$2:$C$7, MATCH(F1574, Unit_Grades!$A$2:$A$7, 0)),1)</f>
        <v>8</v>
      </c>
      <c r="M1574" s="6" t="n">
        <f aca="false">ROUND(INDEX(Archetypes!$J$2:$J$127, MATCH(D1574, Archetypes!$A$2:$A$127, 0))*INDEX(Unit_Grades!$D$2:$D$7, MATCH(F1574, Unit_Grades!$A$2:$A$7, 0)),1)</f>
        <v>3.3</v>
      </c>
      <c r="N1574" s="6" t="n">
        <f aca="false">ROUND(M1574/24,2)</f>
        <v>0.14</v>
      </c>
    </row>
    <row r="1575" customFormat="false" ht="15" hidden="false" customHeight="true" outlineLevel="0" collapsed="false">
      <c r="A1575" s="6" t="n">
        <v>5</v>
      </c>
      <c r="B1575" s="6" t="s">
        <v>3055</v>
      </c>
      <c r="C1575" s="6" t="s">
        <v>1451</v>
      </c>
      <c r="D1575" s="6" t="str">
        <f aca="false">A1575&amp;"|"&amp;C1575</f>
        <v>5|Probe</v>
      </c>
      <c r="E1575" s="6" t="s">
        <v>1558</v>
      </c>
      <c r="F1575" s="6" t="s">
        <v>1540</v>
      </c>
      <c r="G1575" s="6" t="str">
        <f aca="false">INDEX(Archetypes!$D$2:$D$127, MATCH(D1575, Archetypes!$A$2:$A$127, 0))</f>
        <v>Recon</v>
      </c>
      <c r="H1575" s="6" t="n">
        <f aca="false">ROUND(INDEX(Archetypes!$E$2:$E$127, MATCH(D1575, Archetypes!$A$2:$A$127, 0))*INDEX(Unit_Grades!$B$2:$B$7, MATCH(F1575, Unit_Grades!$A$2:$A$7, 0))*INDEX(Unit_Paths!$B$2:$B$4, MATCH(E1575, Unit_Paths!$A$2:$A$4, 0)),1)</f>
        <v>16.2</v>
      </c>
      <c r="I1575" s="6" t="n">
        <f aca="false">ROUND(INDEX(Archetypes!$F$2:$F$127, MATCH(D1575, Archetypes!$A$2:$A$127, 0))*INDEX(Unit_Grades!$B$2:$B$7, MATCH(F1575, Unit_Grades!$A$2:$A$7, 0))*INDEX(Unit_Paths!$C$2:$C$4, MATCH(E1575, Unit_Paths!$A$2:$A$4, 0)),1)</f>
        <v>23</v>
      </c>
      <c r="J1575" s="6" t="n">
        <f aca="false">ROUND(INDEX(Archetypes!$G$2:$G$127, MATCH(D1575, Archetypes!$A$2:$A$127, 0))*INDEX(Unit_Grades!$B$2:$B$7, MATCH(F1575, Unit_Grades!$A$2:$A$7, 0))*INDEX(Unit_Paths!$D$2:$D$4, MATCH(E1575, Unit_Paths!$A$2:$A$4, 0)),0)</f>
        <v>103</v>
      </c>
      <c r="K1575" s="6" t="n">
        <f aca="false">ROUND(INDEX(Archetypes!$H$2:$H$127, MATCH(D1575, Archetypes!$A$2:$A$127, 0))*INDEX(Unit_Paths!$E$2:$E$4, MATCH(E1575, Unit_Paths!$A$2:$A$4, 0)),1)</f>
        <v>157.5</v>
      </c>
      <c r="L1575" s="6" t="n">
        <f aca="false">ROUND(INDEX(Archetypes!$I$2:$I$127, MATCH(D1575, Archetypes!$A$2:$A$127, 0))*INDEX(Unit_Grades!$C$2:$C$7, MATCH(F1575, Unit_Grades!$A$2:$A$7, 0)),1)</f>
        <v>10</v>
      </c>
      <c r="M1575" s="6" t="n">
        <f aca="false">ROUND(INDEX(Archetypes!$J$2:$J$127, MATCH(D1575, Archetypes!$A$2:$A$127, 0))*INDEX(Unit_Grades!$D$2:$D$7, MATCH(F1575, Unit_Grades!$A$2:$A$7, 0)),1)</f>
        <v>4.9</v>
      </c>
      <c r="N1575" s="6" t="n">
        <f aca="false">ROUND(M1575/24,2)</f>
        <v>0.2</v>
      </c>
    </row>
    <row r="1576" customFormat="false" ht="15" hidden="false" customHeight="true" outlineLevel="0" collapsed="false">
      <c r="A1576" s="6" t="n">
        <v>5</v>
      </c>
      <c r="B1576" s="6" t="s">
        <v>3056</v>
      </c>
      <c r="C1576" s="6" t="s">
        <v>1451</v>
      </c>
      <c r="D1576" s="6" t="str">
        <f aca="false">A1576&amp;"|"&amp;C1576</f>
        <v>5|Probe</v>
      </c>
      <c r="E1576" s="6" t="s">
        <v>1558</v>
      </c>
      <c r="F1576" s="6" t="s">
        <v>1542</v>
      </c>
      <c r="G1576" s="6" t="str">
        <f aca="false">INDEX(Archetypes!$D$2:$D$127, MATCH(D1576, Archetypes!$A$2:$A$127, 0))</f>
        <v>Recon</v>
      </c>
      <c r="H1576" s="6" t="n">
        <f aca="false">ROUND(INDEX(Archetypes!$E$2:$E$127, MATCH(D1576, Archetypes!$A$2:$A$127, 0))*INDEX(Unit_Grades!$B$2:$B$7, MATCH(F1576, Unit_Grades!$A$2:$A$7, 0))*INDEX(Unit_Paths!$B$2:$B$4, MATCH(E1576, Unit_Paths!$A$2:$A$4, 0)),1)</f>
        <v>21.6</v>
      </c>
      <c r="I1576" s="6" t="n">
        <f aca="false">ROUND(INDEX(Archetypes!$F$2:$F$127, MATCH(D1576, Archetypes!$A$2:$A$127, 0))*INDEX(Unit_Grades!$B$2:$B$7, MATCH(F1576, Unit_Grades!$A$2:$A$7, 0))*INDEX(Unit_Paths!$C$2:$C$4, MATCH(E1576, Unit_Paths!$A$2:$A$4, 0)),1)</f>
        <v>30.6</v>
      </c>
      <c r="J1576" s="6" t="n">
        <f aca="false">ROUND(INDEX(Archetypes!$G$2:$G$127, MATCH(D1576, Archetypes!$A$2:$A$127, 0))*INDEX(Unit_Grades!$B$2:$B$7, MATCH(F1576, Unit_Grades!$A$2:$A$7, 0))*INDEX(Unit_Paths!$D$2:$D$4, MATCH(E1576, Unit_Paths!$A$2:$A$4, 0)),0)</f>
        <v>137</v>
      </c>
      <c r="K1576" s="6" t="n">
        <f aca="false">ROUND(INDEX(Archetypes!$H$2:$H$127, MATCH(D1576, Archetypes!$A$2:$A$127, 0))*INDEX(Unit_Paths!$E$2:$E$4, MATCH(E1576, Unit_Paths!$A$2:$A$4, 0)),1)</f>
        <v>157.5</v>
      </c>
      <c r="L1576" s="6" t="n">
        <f aca="false">ROUND(INDEX(Archetypes!$I$2:$I$127, MATCH(D1576, Archetypes!$A$2:$A$127, 0))*INDEX(Unit_Grades!$C$2:$C$7, MATCH(F1576, Unit_Grades!$A$2:$A$7, 0)),1)</f>
        <v>12.8</v>
      </c>
      <c r="M1576" s="6" t="n">
        <f aca="false">ROUND(INDEX(Archetypes!$J$2:$J$127, MATCH(D1576, Archetypes!$A$2:$A$127, 0))*INDEX(Unit_Grades!$D$2:$D$7, MATCH(F1576, Unit_Grades!$A$2:$A$7, 0)),1)</f>
        <v>8.1</v>
      </c>
      <c r="N1576" s="6" t="n">
        <f aca="false">ROUND(M1576/24,2)</f>
        <v>0.34</v>
      </c>
    </row>
    <row r="1577" customFormat="false" ht="15" hidden="false" customHeight="true" outlineLevel="0" collapsed="false">
      <c r="A1577" s="6" t="n">
        <v>5</v>
      </c>
      <c r="B1577" s="6" t="s">
        <v>3057</v>
      </c>
      <c r="C1577" s="6" t="s">
        <v>1451</v>
      </c>
      <c r="D1577" s="6" t="str">
        <f aca="false">A1577&amp;"|"&amp;C1577</f>
        <v>5|Probe</v>
      </c>
      <c r="E1577" s="6" t="s">
        <v>1558</v>
      </c>
      <c r="F1577" s="6" t="s">
        <v>1544</v>
      </c>
      <c r="G1577" s="6" t="str">
        <f aca="false">INDEX(Archetypes!$D$2:$D$127, MATCH(D1577, Archetypes!$A$2:$A$127, 0))</f>
        <v>Recon</v>
      </c>
      <c r="H1577" s="6" t="n">
        <f aca="false">ROUND(INDEX(Archetypes!$E$2:$E$127, MATCH(D1577, Archetypes!$A$2:$A$127, 0))*INDEX(Unit_Grades!$B$2:$B$7, MATCH(F1577, Unit_Grades!$A$2:$A$7, 0))*INDEX(Unit_Paths!$B$2:$B$4, MATCH(E1577, Unit_Paths!$A$2:$A$4, 0)),1)</f>
        <v>28.8</v>
      </c>
      <c r="I1577" s="6" t="n">
        <f aca="false">ROUND(INDEX(Archetypes!$F$2:$F$127, MATCH(D1577, Archetypes!$A$2:$A$127, 0))*INDEX(Unit_Grades!$B$2:$B$7, MATCH(F1577, Unit_Grades!$A$2:$A$7, 0))*INDEX(Unit_Paths!$C$2:$C$4, MATCH(E1577, Unit_Paths!$A$2:$A$4, 0)),1)</f>
        <v>40.8</v>
      </c>
      <c r="J1577" s="6" t="n">
        <f aca="false">ROUND(INDEX(Archetypes!$G$2:$G$127, MATCH(D1577, Archetypes!$A$2:$A$127, 0))*INDEX(Unit_Grades!$B$2:$B$7, MATCH(F1577, Unit_Grades!$A$2:$A$7, 0))*INDEX(Unit_Paths!$D$2:$D$4, MATCH(E1577, Unit_Paths!$A$2:$A$4, 0)),0)</f>
        <v>182</v>
      </c>
      <c r="K1577" s="6" t="n">
        <f aca="false">ROUND(INDEX(Archetypes!$H$2:$H$127, MATCH(D1577, Archetypes!$A$2:$A$127, 0))*INDEX(Unit_Paths!$E$2:$E$4, MATCH(E1577, Unit_Paths!$A$2:$A$4, 0)),1)</f>
        <v>157.5</v>
      </c>
      <c r="L1577" s="6" t="n">
        <f aca="false">ROUND(INDEX(Archetypes!$I$2:$I$127, MATCH(D1577, Archetypes!$A$2:$A$127, 0))*INDEX(Unit_Grades!$C$2:$C$7, MATCH(F1577, Unit_Grades!$A$2:$A$7, 0)),1)</f>
        <v>16.8</v>
      </c>
      <c r="M1577" s="6" t="n">
        <f aca="false">ROUND(INDEX(Archetypes!$J$2:$J$127, MATCH(D1577, Archetypes!$A$2:$A$127, 0))*INDEX(Unit_Grades!$D$2:$D$7, MATCH(F1577, Unit_Grades!$A$2:$A$7, 0)),1)</f>
        <v>13</v>
      </c>
      <c r="N1577" s="6" t="n">
        <f aca="false">ROUND(M1577/24,2)</f>
        <v>0.54</v>
      </c>
    </row>
    <row r="1578" customFormat="false" ht="15" hidden="false" customHeight="true" outlineLevel="0" collapsed="false">
      <c r="A1578" s="6" t="n">
        <v>5</v>
      </c>
      <c r="B1578" s="6" t="s">
        <v>3058</v>
      </c>
      <c r="C1578" s="6" t="s">
        <v>1451</v>
      </c>
      <c r="D1578" s="6" t="str">
        <f aca="false">A1578&amp;"|"&amp;C1578</f>
        <v>5|Probe</v>
      </c>
      <c r="E1578" s="6" t="s">
        <v>1558</v>
      </c>
      <c r="F1578" s="6" t="s">
        <v>1546</v>
      </c>
      <c r="G1578" s="6" t="str">
        <f aca="false">INDEX(Archetypes!$D$2:$D$127, MATCH(D1578, Archetypes!$A$2:$A$127, 0))</f>
        <v>Recon</v>
      </c>
      <c r="H1578" s="6" t="n">
        <f aca="false">ROUND(INDEX(Archetypes!$E$2:$E$127, MATCH(D1578, Archetypes!$A$2:$A$127, 0))*INDEX(Unit_Grades!$B$2:$B$7, MATCH(F1578, Unit_Grades!$A$2:$A$7, 0))*INDEX(Unit_Paths!$B$2:$B$4, MATCH(E1578, Unit_Paths!$A$2:$A$4, 0)),1)</f>
        <v>38.4</v>
      </c>
      <c r="I1578" s="6" t="n">
        <f aca="false">ROUND(INDEX(Archetypes!$F$2:$F$127, MATCH(D1578, Archetypes!$A$2:$A$127, 0))*INDEX(Unit_Grades!$B$2:$B$7, MATCH(F1578, Unit_Grades!$A$2:$A$7, 0))*INDEX(Unit_Paths!$C$2:$C$4, MATCH(E1578, Unit_Paths!$A$2:$A$4, 0)),1)</f>
        <v>54.4</v>
      </c>
      <c r="J1578" s="6" t="n">
        <f aca="false">ROUND(INDEX(Archetypes!$G$2:$G$127, MATCH(D1578, Archetypes!$A$2:$A$127, 0))*INDEX(Unit_Grades!$B$2:$B$7, MATCH(F1578, Unit_Grades!$A$2:$A$7, 0))*INDEX(Unit_Paths!$D$2:$D$4, MATCH(E1578, Unit_Paths!$A$2:$A$4, 0)),0)</f>
        <v>243</v>
      </c>
      <c r="K1578" s="6" t="n">
        <f aca="false">ROUND(INDEX(Archetypes!$H$2:$H$127, MATCH(D1578, Archetypes!$A$2:$A$127, 0))*INDEX(Unit_Paths!$E$2:$E$4, MATCH(E1578, Unit_Paths!$A$2:$A$4, 0)),1)</f>
        <v>157.5</v>
      </c>
      <c r="L1578" s="6" t="n">
        <f aca="false">ROUND(INDEX(Archetypes!$I$2:$I$127, MATCH(D1578, Archetypes!$A$2:$A$127, 0))*INDEX(Unit_Grades!$C$2:$C$7, MATCH(F1578, Unit_Grades!$A$2:$A$7, 0)),1)</f>
        <v>22.4</v>
      </c>
      <c r="M1578" s="6" t="n">
        <f aca="false">ROUND(INDEX(Archetypes!$J$2:$J$127, MATCH(D1578, Archetypes!$A$2:$A$127, 0))*INDEX(Unit_Grades!$D$2:$D$7, MATCH(F1578, Unit_Grades!$A$2:$A$7, 0)),1)</f>
        <v>22.8</v>
      </c>
      <c r="N1578" s="6" t="n">
        <f aca="false">ROUND(M1578/24,2)</f>
        <v>0.95</v>
      </c>
    </row>
    <row r="1579" customFormat="false" ht="15" hidden="false" customHeight="true" outlineLevel="0" collapsed="false">
      <c r="A1579" s="6" t="n">
        <v>5</v>
      </c>
      <c r="B1579" s="6" t="s">
        <v>3059</v>
      </c>
      <c r="C1579" s="6" t="s">
        <v>1451</v>
      </c>
      <c r="D1579" s="6" t="str">
        <f aca="false">A1579&amp;"|"&amp;C1579</f>
        <v>5|Probe</v>
      </c>
      <c r="E1579" s="6" t="s">
        <v>1558</v>
      </c>
      <c r="F1579" s="6" t="s">
        <v>1548</v>
      </c>
      <c r="G1579" s="6" t="str">
        <f aca="false">INDEX(Archetypes!$D$2:$D$127, MATCH(D1579, Archetypes!$A$2:$A$127, 0))</f>
        <v>Recon</v>
      </c>
      <c r="H1579" s="6" t="n">
        <f aca="false">ROUND(INDEX(Archetypes!$E$2:$E$127, MATCH(D1579, Archetypes!$A$2:$A$127, 0))*INDEX(Unit_Grades!$B$2:$B$7, MATCH(F1579, Unit_Grades!$A$2:$A$7, 0))*INDEX(Unit_Paths!$B$2:$B$4, MATCH(E1579, Unit_Paths!$A$2:$A$4, 0)),1)</f>
        <v>50.4</v>
      </c>
      <c r="I1579" s="6" t="n">
        <f aca="false">ROUND(INDEX(Archetypes!$F$2:$F$127, MATCH(D1579, Archetypes!$A$2:$A$127, 0))*INDEX(Unit_Grades!$B$2:$B$7, MATCH(F1579, Unit_Grades!$A$2:$A$7, 0))*INDEX(Unit_Paths!$C$2:$C$4, MATCH(E1579, Unit_Paths!$A$2:$A$4, 0)),1)</f>
        <v>71.4</v>
      </c>
      <c r="J1579" s="6" t="n">
        <f aca="false">ROUND(INDEX(Archetypes!$G$2:$G$127, MATCH(D1579, Archetypes!$A$2:$A$127, 0))*INDEX(Unit_Grades!$B$2:$B$7, MATCH(F1579, Unit_Grades!$A$2:$A$7, 0))*INDEX(Unit_Paths!$D$2:$D$4, MATCH(E1579, Unit_Paths!$A$2:$A$4, 0)),0)</f>
        <v>319</v>
      </c>
      <c r="K1579" s="6" t="n">
        <f aca="false">ROUND(INDEX(Archetypes!$H$2:$H$127, MATCH(D1579, Archetypes!$A$2:$A$127, 0))*INDEX(Unit_Paths!$E$2:$E$4, MATCH(E1579, Unit_Paths!$A$2:$A$4, 0)),1)</f>
        <v>157.5</v>
      </c>
      <c r="L1579" s="6" t="n">
        <f aca="false">ROUND(INDEX(Archetypes!$I$2:$I$127, MATCH(D1579, Archetypes!$A$2:$A$127, 0))*INDEX(Unit_Grades!$C$2:$C$7, MATCH(F1579, Unit_Grades!$A$2:$A$7, 0)),1)</f>
        <v>29.6</v>
      </c>
      <c r="M1579" s="6" t="n">
        <f aca="false">ROUND(INDEX(Archetypes!$J$2:$J$127, MATCH(D1579, Archetypes!$A$2:$A$127, 0))*INDEX(Unit_Grades!$D$2:$D$7, MATCH(F1579, Unit_Grades!$A$2:$A$7, 0)),1)</f>
        <v>39</v>
      </c>
      <c r="N1579" s="6" t="n">
        <f aca="false">ROUND(M1579/24,2)</f>
        <v>1.63</v>
      </c>
    </row>
    <row r="1580" customFormat="false" ht="15" hidden="false" customHeight="true" outlineLevel="0" collapsed="false">
      <c r="A1580" s="6" t="n">
        <v>5</v>
      </c>
      <c r="B1580" s="6" t="s">
        <v>3060</v>
      </c>
      <c r="C1580" s="6" t="s">
        <v>1451</v>
      </c>
      <c r="D1580" s="6" t="str">
        <f aca="false">A1580&amp;"|"&amp;C1580</f>
        <v>5|Probe</v>
      </c>
      <c r="E1580" s="6" t="s">
        <v>1560</v>
      </c>
      <c r="F1580" s="6" t="s">
        <v>1538</v>
      </c>
      <c r="G1580" s="6" t="str">
        <f aca="false">INDEX(Archetypes!$D$2:$D$127, MATCH(D1580, Archetypes!$A$2:$A$127, 0))</f>
        <v>Recon</v>
      </c>
      <c r="H1580" s="6" t="n">
        <f aca="false">ROUND(INDEX(Archetypes!$E$2:$E$127, MATCH(D1580, Archetypes!$A$2:$A$127, 0))*INDEX(Unit_Grades!$B$2:$B$7, MATCH(F1580, Unit_Grades!$A$2:$A$7, 0))*INDEX(Unit_Paths!$B$2:$B$4, MATCH(E1580, Unit_Paths!$A$2:$A$4, 0)),1)</f>
        <v>8.5</v>
      </c>
      <c r="I1580" s="6" t="n">
        <f aca="false">ROUND(INDEX(Archetypes!$F$2:$F$127, MATCH(D1580, Archetypes!$A$2:$A$127, 0))*INDEX(Unit_Grades!$B$2:$B$7, MATCH(F1580, Unit_Grades!$A$2:$A$7, 0))*INDEX(Unit_Paths!$C$2:$C$4, MATCH(E1580, Unit_Paths!$A$2:$A$4, 0)),1)</f>
        <v>25</v>
      </c>
      <c r="J1580" s="6" t="n">
        <f aca="false">ROUND(INDEX(Archetypes!$G$2:$G$127, MATCH(D1580, Archetypes!$A$2:$A$127, 0))*INDEX(Unit_Grades!$B$2:$B$7, MATCH(F1580, Unit_Grades!$A$2:$A$7, 0))*INDEX(Unit_Paths!$D$2:$D$4, MATCH(E1580, Unit_Paths!$A$2:$A$4, 0)),0)</f>
        <v>92</v>
      </c>
      <c r="K1580" s="6" t="n">
        <f aca="false">ROUND(INDEX(Archetypes!$H$2:$H$127, MATCH(D1580, Archetypes!$A$2:$A$127, 0))*INDEX(Unit_Paths!$E$2:$E$4, MATCH(E1580, Unit_Paths!$A$2:$A$4, 0)),1)</f>
        <v>138</v>
      </c>
      <c r="L1580" s="6" t="n">
        <f aca="false">ROUND(INDEX(Archetypes!$I$2:$I$127, MATCH(D1580, Archetypes!$A$2:$A$127, 0))*INDEX(Unit_Grades!$C$2:$C$7, MATCH(F1580, Unit_Grades!$A$2:$A$7, 0)),1)</f>
        <v>8</v>
      </c>
      <c r="M1580" s="6" t="n">
        <f aca="false">ROUND(INDEX(Archetypes!$J$2:$J$127, MATCH(D1580, Archetypes!$A$2:$A$127, 0))*INDEX(Unit_Grades!$D$2:$D$7, MATCH(F1580, Unit_Grades!$A$2:$A$7, 0)),1)</f>
        <v>3.3</v>
      </c>
      <c r="N1580" s="6" t="n">
        <f aca="false">ROUND(M1580/24,2)</f>
        <v>0.14</v>
      </c>
    </row>
    <row r="1581" customFormat="false" ht="15" hidden="false" customHeight="true" outlineLevel="0" collapsed="false">
      <c r="A1581" s="6" t="n">
        <v>5</v>
      </c>
      <c r="B1581" s="6" t="s">
        <v>3061</v>
      </c>
      <c r="C1581" s="6" t="s">
        <v>1451</v>
      </c>
      <c r="D1581" s="6" t="str">
        <f aca="false">A1581&amp;"|"&amp;C1581</f>
        <v>5|Probe</v>
      </c>
      <c r="E1581" s="6" t="s">
        <v>1560</v>
      </c>
      <c r="F1581" s="6" t="s">
        <v>1540</v>
      </c>
      <c r="G1581" s="6" t="str">
        <f aca="false">INDEX(Archetypes!$D$2:$D$127, MATCH(D1581, Archetypes!$A$2:$A$127, 0))</f>
        <v>Recon</v>
      </c>
      <c r="H1581" s="6" t="n">
        <f aca="false">ROUND(INDEX(Archetypes!$E$2:$E$127, MATCH(D1581, Archetypes!$A$2:$A$127, 0))*INDEX(Unit_Grades!$B$2:$B$7, MATCH(F1581, Unit_Grades!$A$2:$A$7, 0))*INDEX(Unit_Paths!$B$2:$B$4, MATCH(E1581, Unit_Paths!$A$2:$A$4, 0)),1)</f>
        <v>11.5</v>
      </c>
      <c r="I1581" s="6" t="n">
        <f aca="false">ROUND(INDEX(Archetypes!$F$2:$F$127, MATCH(D1581, Archetypes!$A$2:$A$127, 0))*INDEX(Unit_Grades!$B$2:$B$7, MATCH(F1581, Unit_Grades!$A$2:$A$7, 0))*INDEX(Unit_Paths!$C$2:$C$4, MATCH(E1581, Unit_Paths!$A$2:$A$4, 0)),1)</f>
        <v>33.8</v>
      </c>
      <c r="J1581" s="6" t="n">
        <f aca="false">ROUND(INDEX(Archetypes!$G$2:$G$127, MATCH(D1581, Archetypes!$A$2:$A$127, 0))*INDEX(Unit_Grades!$B$2:$B$7, MATCH(F1581, Unit_Grades!$A$2:$A$7, 0))*INDEX(Unit_Paths!$D$2:$D$4, MATCH(E1581, Unit_Paths!$A$2:$A$4, 0)),0)</f>
        <v>124</v>
      </c>
      <c r="K1581" s="6" t="n">
        <f aca="false">ROUND(INDEX(Archetypes!$H$2:$H$127, MATCH(D1581, Archetypes!$A$2:$A$127, 0))*INDEX(Unit_Paths!$E$2:$E$4, MATCH(E1581, Unit_Paths!$A$2:$A$4, 0)),1)</f>
        <v>138</v>
      </c>
      <c r="L1581" s="6" t="n">
        <f aca="false">ROUND(INDEX(Archetypes!$I$2:$I$127, MATCH(D1581, Archetypes!$A$2:$A$127, 0))*INDEX(Unit_Grades!$C$2:$C$7, MATCH(F1581, Unit_Grades!$A$2:$A$7, 0)),1)</f>
        <v>10</v>
      </c>
      <c r="M1581" s="6" t="n">
        <f aca="false">ROUND(INDEX(Archetypes!$J$2:$J$127, MATCH(D1581, Archetypes!$A$2:$A$127, 0))*INDEX(Unit_Grades!$D$2:$D$7, MATCH(F1581, Unit_Grades!$A$2:$A$7, 0)),1)</f>
        <v>4.9</v>
      </c>
      <c r="N1581" s="6" t="n">
        <f aca="false">ROUND(M1581/24,2)</f>
        <v>0.2</v>
      </c>
    </row>
    <row r="1582" customFormat="false" ht="15" hidden="false" customHeight="true" outlineLevel="0" collapsed="false">
      <c r="A1582" s="6" t="n">
        <v>5</v>
      </c>
      <c r="B1582" s="6" t="s">
        <v>3062</v>
      </c>
      <c r="C1582" s="6" t="s">
        <v>1451</v>
      </c>
      <c r="D1582" s="6" t="str">
        <f aca="false">A1582&amp;"|"&amp;C1582</f>
        <v>5|Probe</v>
      </c>
      <c r="E1582" s="6" t="s">
        <v>1560</v>
      </c>
      <c r="F1582" s="6" t="s">
        <v>1542</v>
      </c>
      <c r="G1582" s="6" t="str">
        <f aca="false">INDEX(Archetypes!$D$2:$D$127, MATCH(D1582, Archetypes!$A$2:$A$127, 0))</f>
        <v>Recon</v>
      </c>
      <c r="H1582" s="6" t="n">
        <f aca="false">ROUND(INDEX(Archetypes!$E$2:$E$127, MATCH(D1582, Archetypes!$A$2:$A$127, 0))*INDEX(Unit_Grades!$B$2:$B$7, MATCH(F1582, Unit_Grades!$A$2:$A$7, 0))*INDEX(Unit_Paths!$B$2:$B$4, MATCH(E1582, Unit_Paths!$A$2:$A$4, 0)),1)</f>
        <v>15.3</v>
      </c>
      <c r="I1582" s="6" t="n">
        <f aca="false">ROUND(INDEX(Archetypes!$F$2:$F$127, MATCH(D1582, Archetypes!$A$2:$A$127, 0))*INDEX(Unit_Grades!$B$2:$B$7, MATCH(F1582, Unit_Grades!$A$2:$A$7, 0))*INDEX(Unit_Paths!$C$2:$C$4, MATCH(E1582, Unit_Paths!$A$2:$A$4, 0)),1)</f>
        <v>45</v>
      </c>
      <c r="J1582" s="6" t="n">
        <f aca="false">ROUND(INDEX(Archetypes!$G$2:$G$127, MATCH(D1582, Archetypes!$A$2:$A$127, 0))*INDEX(Unit_Grades!$B$2:$B$7, MATCH(F1582, Unit_Grades!$A$2:$A$7, 0))*INDEX(Unit_Paths!$D$2:$D$4, MATCH(E1582, Unit_Paths!$A$2:$A$4, 0)),0)</f>
        <v>166</v>
      </c>
      <c r="K1582" s="6" t="n">
        <f aca="false">ROUND(INDEX(Archetypes!$H$2:$H$127, MATCH(D1582, Archetypes!$A$2:$A$127, 0))*INDEX(Unit_Paths!$E$2:$E$4, MATCH(E1582, Unit_Paths!$A$2:$A$4, 0)),1)</f>
        <v>138</v>
      </c>
      <c r="L1582" s="6" t="n">
        <f aca="false">ROUND(INDEX(Archetypes!$I$2:$I$127, MATCH(D1582, Archetypes!$A$2:$A$127, 0))*INDEX(Unit_Grades!$C$2:$C$7, MATCH(F1582, Unit_Grades!$A$2:$A$7, 0)),1)</f>
        <v>12.8</v>
      </c>
      <c r="M1582" s="6" t="n">
        <f aca="false">ROUND(INDEX(Archetypes!$J$2:$J$127, MATCH(D1582, Archetypes!$A$2:$A$127, 0))*INDEX(Unit_Grades!$D$2:$D$7, MATCH(F1582, Unit_Grades!$A$2:$A$7, 0)),1)</f>
        <v>8.1</v>
      </c>
      <c r="N1582" s="6" t="n">
        <f aca="false">ROUND(M1582/24,2)</f>
        <v>0.34</v>
      </c>
    </row>
    <row r="1583" customFormat="false" ht="15" hidden="false" customHeight="true" outlineLevel="0" collapsed="false">
      <c r="A1583" s="6" t="n">
        <v>5</v>
      </c>
      <c r="B1583" s="6" t="s">
        <v>3063</v>
      </c>
      <c r="C1583" s="6" t="s">
        <v>1451</v>
      </c>
      <c r="D1583" s="6" t="str">
        <f aca="false">A1583&amp;"|"&amp;C1583</f>
        <v>5|Probe</v>
      </c>
      <c r="E1583" s="6" t="s">
        <v>1560</v>
      </c>
      <c r="F1583" s="6" t="s">
        <v>1544</v>
      </c>
      <c r="G1583" s="6" t="str">
        <f aca="false">INDEX(Archetypes!$D$2:$D$127, MATCH(D1583, Archetypes!$A$2:$A$127, 0))</f>
        <v>Recon</v>
      </c>
      <c r="H1583" s="6" t="n">
        <f aca="false">ROUND(INDEX(Archetypes!$E$2:$E$127, MATCH(D1583, Archetypes!$A$2:$A$127, 0))*INDEX(Unit_Grades!$B$2:$B$7, MATCH(F1583, Unit_Grades!$A$2:$A$7, 0))*INDEX(Unit_Paths!$B$2:$B$4, MATCH(E1583, Unit_Paths!$A$2:$A$4, 0)),1)</f>
        <v>20.4</v>
      </c>
      <c r="I1583" s="6" t="n">
        <f aca="false">ROUND(INDEX(Archetypes!$F$2:$F$127, MATCH(D1583, Archetypes!$A$2:$A$127, 0))*INDEX(Unit_Grades!$B$2:$B$7, MATCH(F1583, Unit_Grades!$A$2:$A$7, 0))*INDEX(Unit_Paths!$C$2:$C$4, MATCH(E1583, Unit_Paths!$A$2:$A$4, 0)),1)</f>
        <v>60</v>
      </c>
      <c r="J1583" s="6" t="n">
        <f aca="false">ROUND(INDEX(Archetypes!$G$2:$G$127, MATCH(D1583, Archetypes!$A$2:$A$127, 0))*INDEX(Unit_Grades!$B$2:$B$7, MATCH(F1583, Unit_Grades!$A$2:$A$7, 0))*INDEX(Unit_Paths!$D$2:$D$4, MATCH(E1583, Unit_Paths!$A$2:$A$4, 0)),0)</f>
        <v>221</v>
      </c>
      <c r="K1583" s="6" t="n">
        <f aca="false">ROUND(INDEX(Archetypes!$H$2:$H$127, MATCH(D1583, Archetypes!$A$2:$A$127, 0))*INDEX(Unit_Paths!$E$2:$E$4, MATCH(E1583, Unit_Paths!$A$2:$A$4, 0)),1)</f>
        <v>138</v>
      </c>
      <c r="L1583" s="6" t="n">
        <f aca="false">ROUND(INDEX(Archetypes!$I$2:$I$127, MATCH(D1583, Archetypes!$A$2:$A$127, 0))*INDEX(Unit_Grades!$C$2:$C$7, MATCH(F1583, Unit_Grades!$A$2:$A$7, 0)),1)</f>
        <v>16.8</v>
      </c>
      <c r="M1583" s="6" t="n">
        <f aca="false">ROUND(INDEX(Archetypes!$J$2:$J$127, MATCH(D1583, Archetypes!$A$2:$A$127, 0))*INDEX(Unit_Grades!$D$2:$D$7, MATCH(F1583, Unit_Grades!$A$2:$A$7, 0)),1)</f>
        <v>13</v>
      </c>
      <c r="N1583" s="6" t="n">
        <f aca="false">ROUND(M1583/24,2)</f>
        <v>0.54</v>
      </c>
    </row>
    <row r="1584" customFormat="false" ht="15" hidden="false" customHeight="true" outlineLevel="0" collapsed="false">
      <c r="A1584" s="6" t="n">
        <v>5</v>
      </c>
      <c r="B1584" s="6" t="s">
        <v>3064</v>
      </c>
      <c r="C1584" s="6" t="s">
        <v>1451</v>
      </c>
      <c r="D1584" s="6" t="str">
        <f aca="false">A1584&amp;"|"&amp;C1584</f>
        <v>5|Probe</v>
      </c>
      <c r="E1584" s="6" t="s">
        <v>1560</v>
      </c>
      <c r="F1584" s="6" t="s">
        <v>1546</v>
      </c>
      <c r="G1584" s="6" t="str">
        <f aca="false">INDEX(Archetypes!$D$2:$D$127, MATCH(D1584, Archetypes!$A$2:$A$127, 0))</f>
        <v>Recon</v>
      </c>
      <c r="H1584" s="6" t="n">
        <f aca="false">ROUND(INDEX(Archetypes!$E$2:$E$127, MATCH(D1584, Archetypes!$A$2:$A$127, 0))*INDEX(Unit_Grades!$B$2:$B$7, MATCH(F1584, Unit_Grades!$A$2:$A$7, 0))*INDEX(Unit_Paths!$B$2:$B$4, MATCH(E1584, Unit_Paths!$A$2:$A$4, 0)),1)</f>
        <v>27.2</v>
      </c>
      <c r="I1584" s="6" t="n">
        <f aca="false">ROUND(INDEX(Archetypes!$F$2:$F$127, MATCH(D1584, Archetypes!$A$2:$A$127, 0))*INDEX(Unit_Grades!$B$2:$B$7, MATCH(F1584, Unit_Grades!$A$2:$A$7, 0))*INDEX(Unit_Paths!$C$2:$C$4, MATCH(E1584, Unit_Paths!$A$2:$A$4, 0)),1)</f>
        <v>80</v>
      </c>
      <c r="J1584" s="6" t="n">
        <f aca="false">ROUND(INDEX(Archetypes!$G$2:$G$127, MATCH(D1584, Archetypes!$A$2:$A$127, 0))*INDEX(Unit_Grades!$B$2:$B$7, MATCH(F1584, Unit_Grades!$A$2:$A$7, 0))*INDEX(Unit_Paths!$D$2:$D$4, MATCH(E1584, Unit_Paths!$A$2:$A$4, 0)),0)</f>
        <v>294</v>
      </c>
      <c r="K1584" s="6" t="n">
        <f aca="false">ROUND(INDEX(Archetypes!$H$2:$H$127, MATCH(D1584, Archetypes!$A$2:$A$127, 0))*INDEX(Unit_Paths!$E$2:$E$4, MATCH(E1584, Unit_Paths!$A$2:$A$4, 0)),1)</f>
        <v>138</v>
      </c>
      <c r="L1584" s="6" t="n">
        <f aca="false">ROUND(INDEX(Archetypes!$I$2:$I$127, MATCH(D1584, Archetypes!$A$2:$A$127, 0))*INDEX(Unit_Grades!$C$2:$C$7, MATCH(F1584, Unit_Grades!$A$2:$A$7, 0)),1)</f>
        <v>22.4</v>
      </c>
      <c r="M1584" s="6" t="n">
        <f aca="false">ROUND(INDEX(Archetypes!$J$2:$J$127, MATCH(D1584, Archetypes!$A$2:$A$127, 0))*INDEX(Unit_Grades!$D$2:$D$7, MATCH(F1584, Unit_Grades!$A$2:$A$7, 0)),1)</f>
        <v>22.8</v>
      </c>
      <c r="N1584" s="6" t="n">
        <f aca="false">ROUND(M1584/24,2)</f>
        <v>0.95</v>
      </c>
    </row>
    <row r="1585" customFormat="false" ht="15" hidden="false" customHeight="true" outlineLevel="0" collapsed="false">
      <c r="A1585" s="6" t="n">
        <v>5</v>
      </c>
      <c r="B1585" s="6" t="s">
        <v>3065</v>
      </c>
      <c r="C1585" s="6" t="s">
        <v>1451</v>
      </c>
      <c r="D1585" s="6" t="str">
        <f aca="false">A1585&amp;"|"&amp;C1585</f>
        <v>5|Probe</v>
      </c>
      <c r="E1585" s="6" t="s">
        <v>1560</v>
      </c>
      <c r="F1585" s="6" t="s">
        <v>1548</v>
      </c>
      <c r="G1585" s="6" t="str">
        <f aca="false">INDEX(Archetypes!$D$2:$D$127, MATCH(D1585, Archetypes!$A$2:$A$127, 0))</f>
        <v>Recon</v>
      </c>
      <c r="H1585" s="6" t="n">
        <f aca="false">ROUND(INDEX(Archetypes!$E$2:$E$127, MATCH(D1585, Archetypes!$A$2:$A$127, 0))*INDEX(Unit_Grades!$B$2:$B$7, MATCH(F1585, Unit_Grades!$A$2:$A$7, 0))*INDEX(Unit_Paths!$B$2:$B$4, MATCH(E1585, Unit_Paths!$A$2:$A$4, 0)),1)</f>
        <v>35.7</v>
      </c>
      <c r="I1585" s="6" t="n">
        <f aca="false">ROUND(INDEX(Archetypes!$F$2:$F$127, MATCH(D1585, Archetypes!$A$2:$A$127, 0))*INDEX(Unit_Grades!$B$2:$B$7, MATCH(F1585, Unit_Grades!$A$2:$A$7, 0))*INDEX(Unit_Paths!$C$2:$C$4, MATCH(E1585, Unit_Paths!$A$2:$A$4, 0)),1)</f>
        <v>105</v>
      </c>
      <c r="J1585" s="6" t="n">
        <f aca="false">ROUND(INDEX(Archetypes!$G$2:$G$127, MATCH(D1585, Archetypes!$A$2:$A$127, 0))*INDEX(Unit_Grades!$B$2:$B$7, MATCH(F1585, Unit_Grades!$A$2:$A$7, 0))*INDEX(Unit_Paths!$D$2:$D$4, MATCH(E1585, Unit_Paths!$A$2:$A$4, 0)),0)</f>
        <v>386</v>
      </c>
      <c r="K1585" s="6" t="n">
        <f aca="false">ROUND(INDEX(Archetypes!$H$2:$H$127, MATCH(D1585, Archetypes!$A$2:$A$127, 0))*INDEX(Unit_Paths!$E$2:$E$4, MATCH(E1585, Unit_Paths!$A$2:$A$4, 0)),1)</f>
        <v>138</v>
      </c>
      <c r="L1585" s="6" t="n">
        <f aca="false">ROUND(INDEX(Archetypes!$I$2:$I$127, MATCH(D1585, Archetypes!$A$2:$A$127, 0))*INDEX(Unit_Grades!$C$2:$C$7, MATCH(F1585, Unit_Grades!$A$2:$A$7, 0)),1)</f>
        <v>29.6</v>
      </c>
      <c r="M1585" s="6" t="n">
        <f aca="false">ROUND(INDEX(Archetypes!$J$2:$J$127, MATCH(D1585, Archetypes!$A$2:$A$127, 0))*INDEX(Unit_Grades!$D$2:$D$7, MATCH(F1585, Unit_Grades!$A$2:$A$7, 0)),1)</f>
        <v>39</v>
      </c>
      <c r="N1585" s="6" t="n">
        <f aca="false">ROUND(M1585/24,2)</f>
        <v>1.63</v>
      </c>
    </row>
    <row r="1586" customFormat="false" ht="15" hidden="false" customHeight="true" outlineLevel="0" collapsed="false">
      <c r="A1586" s="6" t="n">
        <v>5</v>
      </c>
      <c r="B1586" s="6" t="s">
        <v>1453</v>
      </c>
      <c r="C1586" s="6" t="s">
        <v>1453</v>
      </c>
      <c r="D1586" s="6" t="str">
        <f aca="false">A1586&amp;"|"&amp;C1586</f>
        <v>5|Defense Platform</v>
      </c>
      <c r="E1586" s="6" t="s">
        <v>1556</v>
      </c>
      <c r="F1586" s="6" t="s">
        <v>1538</v>
      </c>
      <c r="G1586" s="6" t="str">
        <f aca="false">INDEX(Archetypes!$D$2:$D$127, MATCH(D1586, Archetypes!$A$2:$A$127, 0))</f>
        <v>Static Defense</v>
      </c>
      <c r="H1586" s="6" t="n">
        <f aca="false">ROUND(INDEX(Archetypes!$E$2:$E$127, MATCH(D1586, Archetypes!$A$2:$A$127, 0))*INDEX(Unit_Grades!$B$2:$B$7, MATCH(F1586, Unit_Grades!$A$2:$A$7, 0))*INDEX(Unit_Paths!$B$2:$B$4, MATCH(E1586, Unit_Paths!$A$2:$A$4, 0)),1)</f>
        <v>420</v>
      </c>
      <c r="I1586" s="6" t="n">
        <f aca="false">ROUND(INDEX(Archetypes!$F$2:$F$127, MATCH(D1586, Archetypes!$A$2:$A$127, 0))*INDEX(Unit_Grades!$B$2:$B$7, MATCH(F1586, Unit_Grades!$A$2:$A$7, 0))*INDEX(Unit_Paths!$C$2:$C$4, MATCH(E1586, Unit_Paths!$A$2:$A$4, 0)),1)</f>
        <v>420</v>
      </c>
      <c r="J1586" s="6" t="n">
        <f aca="false">ROUND(INDEX(Archetypes!$G$2:$G$127, MATCH(D1586, Archetypes!$A$2:$A$127, 0))*INDEX(Unit_Grades!$B$2:$B$7, MATCH(F1586, Unit_Grades!$A$2:$A$7, 0))*INDEX(Unit_Paths!$D$2:$D$4, MATCH(E1586, Unit_Paths!$A$2:$A$4, 0)),0)</f>
        <v>2200</v>
      </c>
      <c r="K1586" s="6" t="n">
        <f aca="false">ROUND(INDEX(Archetypes!$H$2:$H$127, MATCH(D1586, Archetypes!$A$2:$A$127, 0))*INDEX(Unit_Paths!$E$2:$E$4, MATCH(E1586, Unit_Paths!$A$2:$A$4, 0)),1)</f>
        <v>0</v>
      </c>
      <c r="L1586" s="6" t="n">
        <f aca="false">ROUND(INDEX(Archetypes!$I$2:$I$127, MATCH(D1586, Archetypes!$A$2:$A$127, 0))*INDEX(Unit_Grades!$C$2:$C$7, MATCH(F1586, Unit_Grades!$A$2:$A$7, 0)),1)</f>
        <v>44</v>
      </c>
      <c r="M1586" s="6" t="n">
        <f aca="false">ROUND(INDEX(Archetypes!$J$2:$J$127, MATCH(D1586, Archetypes!$A$2:$A$127, 0))*INDEX(Unit_Grades!$D$2:$D$7, MATCH(F1586, Unit_Grades!$A$2:$A$7, 0)),1)</f>
        <v>17.9</v>
      </c>
      <c r="N1586" s="6" t="n">
        <f aca="false">ROUND(M1586/24,2)</f>
        <v>0.75</v>
      </c>
    </row>
    <row r="1587" customFormat="false" ht="15" hidden="false" customHeight="true" outlineLevel="0" collapsed="false">
      <c r="A1587" s="6" t="n">
        <v>5</v>
      </c>
      <c r="B1587" s="6" t="s">
        <v>3066</v>
      </c>
      <c r="C1587" s="6" t="s">
        <v>1453</v>
      </c>
      <c r="D1587" s="6" t="str">
        <f aca="false">A1587&amp;"|"&amp;C1587</f>
        <v>5|Defense Platform</v>
      </c>
      <c r="E1587" s="6" t="s">
        <v>1556</v>
      </c>
      <c r="F1587" s="6" t="s">
        <v>1540</v>
      </c>
      <c r="G1587" s="6" t="str">
        <f aca="false">INDEX(Archetypes!$D$2:$D$127, MATCH(D1587, Archetypes!$A$2:$A$127, 0))</f>
        <v>Static Defense</v>
      </c>
      <c r="H1587" s="6" t="n">
        <f aca="false">ROUND(INDEX(Archetypes!$E$2:$E$127, MATCH(D1587, Archetypes!$A$2:$A$127, 0))*INDEX(Unit_Grades!$B$2:$B$7, MATCH(F1587, Unit_Grades!$A$2:$A$7, 0))*INDEX(Unit_Paths!$B$2:$B$4, MATCH(E1587, Unit_Paths!$A$2:$A$4, 0)),1)</f>
        <v>567</v>
      </c>
      <c r="I1587" s="6" t="n">
        <f aca="false">ROUND(INDEX(Archetypes!$F$2:$F$127, MATCH(D1587, Archetypes!$A$2:$A$127, 0))*INDEX(Unit_Grades!$B$2:$B$7, MATCH(F1587, Unit_Grades!$A$2:$A$7, 0))*INDEX(Unit_Paths!$C$2:$C$4, MATCH(E1587, Unit_Paths!$A$2:$A$4, 0)),1)</f>
        <v>567</v>
      </c>
      <c r="J1587" s="6" t="n">
        <f aca="false">ROUND(INDEX(Archetypes!$G$2:$G$127, MATCH(D1587, Archetypes!$A$2:$A$127, 0))*INDEX(Unit_Grades!$B$2:$B$7, MATCH(F1587, Unit_Grades!$A$2:$A$7, 0))*INDEX(Unit_Paths!$D$2:$D$4, MATCH(E1587, Unit_Paths!$A$2:$A$4, 0)),0)</f>
        <v>2970</v>
      </c>
      <c r="K1587" s="6" t="n">
        <f aca="false">ROUND(INDEX(Archetypes!$H$2:$H$127, MATCH(D1587, Archetypes!$A$2:$A$127, 0))*INDEX(Unit_Paths!$E$2:$E$4, MATCH(E1587, Unit_Paths!$A$2:$A$4, 0)),1)</f>
        <v>0</v>
      </c>
      <c r="L1587" s="6" t="n">
        <f aca="false">ROUND(INDEX(Archetypes!$I$2:$I$127, MATCH(D1587, Archetypes!$A$2:$A$127, 0))*INDEX(Unit_Grades!$C$2:$C$7, MATCH(F1587, Unit_Grades!$A$2:$A$7, 0)),1)</f>
        <v>55</v>
      </c>
      <c r="M1587" s="6" t="n">
        <f aca="false">ROUND(INDEX(Archetypes!$J$2:$J$127, MATCH(D1587, Archetypes!$A$2:$A$127, 0))*INDEX(Unit_Grades!$D$2:$D$7, MATCH(F1587, Unit_Grades!$A$2:$A$7, 0)),1)</f>
        <v>26.8</v>
      </c>
      <c r="N1587" s="6" t="n">
        <f aca="false">ROUND(M1587/24,2)</f>
        <v>1.12</v>
      </c>
    </row>
    <row r="1588" customFormat="false" ht="15" hidden="false" customHeight="true" outlineLevel="0" collapsed="false">
      <c r="A1588" s="6" t="n">
        <v>5</v>
      </c>
      <c r="B1588" s="6" t="s">
        <v>3067</v>
      </c>
      <c r="C1588" s="6" t="s">
        <v>1453</v>
      </c>
      <c r="D1588" s="6" t="str">
        <f aca="false">A1588&amp;"|"&amp;C1588</f>
        <v>5|Defense Platform</v>
      </c>
      <c r="E1588" s="6" t="s">
        <v>1556</v>
      </c>
      <c r="F1588" s="6" t="s">
        <v>1542</v>
      </c>
      <c r="G1588" s="6" t="str">
        <f aca="false">INDEX(Archetypes!$D$2:$D$127, MATCH(D1588, Archetypes!$A$2:$A$127, 0))</f>
        <v>Static Defense</v>
      </c>
      <c r="H1588" s="6" t="n">
        <f aca="false">ROUND(INDEX(Archetypes!$E$2:$E$127, MATCH(D1588, Archetypes!$A$2:$A$127, 0))*INDEX(Unit_Grades!$B$2:$B$7, MATCH(F1588, Unit_Grades!$A$2:$A$7, 0))*INDEX(Unit_Paths!$B$2:$B$4, MATCH(E1588, Unit_Paths!$A$2:$A$4, 0)),1)</f>
        <v>756</v>
      </c>
      <c r="I1588" s="6" t="n">
        <f aca="false">ROUND(INDEX(Archetypes!$F$2:$F$127, MATCH(D1588, Archetypes!$A$2:$A$127, 0))*INDEX(Unit_Grades!$B$2:$B$7, MATCH(F1588, Unit_Grades!$A$2:$A$7, 0))*INDEX(Unit_Paths!$C$2:$C$4, MATCH(E1588, Unit_Paths!$A$2:$A$4, 0)),1)</f>
        <v>756</v>
      </c>
      <c r="J1588" s="6" t="n">
        <f aca="false">ROUND(INDEX(Archetypes!$G$2:$G$127, MATCH(D1588, Archetypes!$A$2:$A$127, 0))*INDEX(Unit_Grades!$B$2:$B$7, MATCH(F1588, Unit_Grades!$A$2:$A$7, 0))*INDEX(Unit_Paths!$D$2:$D$4, MATCH(E1588, Unit_Paths!$A$2:$A$4, 0)),0)</f>
        <v>3960</v>
      </c>
      <c r="K1588" s="6" t="n">
        <f aca="false">ROUND(INDEX(Archetypes!$H$2:$H$127, MATCH(D1588, Archetypes!$A$2:$A$127, 0))*INDEX(Unit_Paths!$E$2:$E$4, MATCH(E1588, Unit_Paths!$A$2:$A$4, 0)),1)</f>
        <v>0</v>
      </c>
      <c r="L1588" s="6" t="n">
        <f aca="false">ROUND(INDEX(Archetypes!$I$2:$I$127, MATCH(D1588, Archetypes!$A$2:$A$127, 0))*INDEX(Unit_Grades!$C$2:$C$7, MATCH(F1588, Unit_Grades!$A$2:$A$7, 0)),1)</f>
        <v>70.4</v>
      </c>
      <c r="M1588" s="6" t="n">
        <f aca="false">ROUND(INDEX(Archetypes!$J$2:$J$127, MATCH(D1588, Archetypes!$A$2:$A$127, 0))*INDEX(Unit_Grades!$D$2:$D$7, MATCH(F1588, Unit_Grades!$A$2:$A$7, 0)),1)</f>
        <v>44.7</v>
      </c>
      <c r="N1588" s="6" t="n">
        <f aca="false">ROUND(M1588/24,2)</f>
        <v>1.86</v>
      </c>
    </row>
    <row r="1589" customFormat="false" ht="15" hidden="false" customHeight="true" outlineLevel="0" collapsed="false">
      <c r="A1589" s="6" t="n">
        <v>5</v>
      </c>
      <c r="B1589" s="6" t="s">
        <v>3068</v>
      </c>
      <c r="C1589" s="6" t="s">
        <v>1453</v>
      </c>
      <c r="D1589" s="6" t="str">
        <f aca="false">A1589&amp;"|"&amp;C1589</f>
        <v>5|Defense Platform</v>
      </c>
      <c r="E1589" s="6" t="s">
        <v>1556</v>
      </c>
      <c r="F1589" s="6" t="s">
        <v>1544</v>
      </c>
      <c r="G1589" s="6" t="str">
        <f aca="false">INDEX(Archetypes!$D$2:$D$127, MATCH(D1589, Archetypes!$A$2:$A$127, 0))</f>
        <v>Static Defense</v>
      </c>
      <c r="H1589" s="6" t="n">
        <f aca="false">ROUND(INDEX(Archetypes!$E$2:$E$127, MATCH(D1589, Archetypes!$A$2:$A$127, 0))*INDEX(Unit_Grades!$B$2:$B$7, MATCH(F1589, Unit_Grades!$A$2:$A$7, 0))*INDEX(Unit_Paths!$B$2:$B$4, MATCH(E1589, Unit_Paths!$A$2:$A$4, 0)),1)</f>
        <v>1008</v>
      </c>
      <c r="I1589" s="6" t="n">
        <f aca="false">ROUND(INDEX(Archetypes!$F$2:$F$127, MATCH(D1589, Archetypes!$A$2:$A$127, 0))*INDEX(Unit_Grades!$B$2:$B$7, MATCH(F1589, Unit_Grades!$A$2:$A$7, 0))*INDEX(Unit_Paths!$C$2:$C$4, MATCH(E1589, Unit_Paths!$A$2:$A$4, 0)),1)</f>
        <v>1008</v>
      </c>
      <c r="J1589" s="6" t="n">
        <f aca="false">ROUND(INDEX(Archetypes!$G$2:$G$127, MATCH(D1589, Archetypes!$A$2:$A$127, 0))*INDEX(Unit_Grades!$B$2:$B$7, MATCH(F1589, Unit_Grades!$A$2:$A$7, 0))*INDEX(Unit_Paths!$D$2:$D$4, MATCH(E1589, Unit_Paths!$A$2:$A$4, 0)),0)</f>
        <v>5280</v>
      </c>
      <c r="K1589" s="6" t="n">
        <f aca="false">ROUND(INDEX(Archetypes!$H$2:$H$127, MATCH(D1589, Archetypes!$A$2:$A$127, 0))*INDEX(Unit_Paths!$E$2:$E$4, MATCH(E1589, Unit_Paths!$A$2:$A$4, 0)),1)</f>
        <v>0</v>
      </c>
      <c r="L1589" s="6" t="n">
        <f aca="false">ROUND(INDEX(Archetypes!$I$2:$I$127, MATCH(D1589, Archetypes!$A$2:$A$127, 0))*INDEX(Unit_Grades!$C$2:$C$7, MATCH(F1589, Unit_Grades!$A$2:$A$7, 0)),1)</f>
        <v>92.4</v>
      </c>
      <c r="M1589" s="6" t="n">
        <f aca="false">ROUND(INDEX(Archetypes!$J$2:$J$127, MATCH(D1589, Archetypes!$A$2:$A$127, 0))*INDEX(Unit_Grades!$D$2:$D$7, MATCH(F1589, Unit_Grades!$A$2:$A$7, 0)),1)</f>
        <v>71.4</v>
      </c>
      <c r="N1589" s="6" t="n">
        <f aca="false">ROUND(M1589/24,2)</f>
        <v>2.98</v>
      </c>
    </row>
    <row r="1590" customFormat="false" ht="15" hidden="false" customHeight="true" outlineLevel="0" collapsed="false">
      <c r="A1590" s="6" t="n">
        <v>5</v>
      </c>
      <c r="B1590" s="6" t="s">
        <v>3069</v>
      </c>
      <c r="C1590" s="6" t="s">
        <v>1453</v>
      </c>
      <c r="D1590" s="6" t="str">
        <f aca="false">A1590&amp;"|"&amp;C1590</f>
        <v>5|Defense Platform</v>
      </c>
      <c r="E1590" s="6" t="s">
        <v>1556</v>
      </c>
      <c r="F1590" s="6" t="s">
        <v>1546</v>
      </c>
      <c r="G1590" s="6" t="str">
        <f aca="false">INDEX(Archetypes!$D$2:$D$127, MATCH(D1590, Archetypes!$A$2:$A$127, 0))</f>
        <v>Static Defense</v>
      </c>
      <c r="H1590" s="6" t="n">
        <f aca="false">ROUND(INDEX(Archetypes!$E$2:$E$127, MATCH(D1590, Archetypes!$A$2:$A$127, 0))*INDEX(Unit_Grades!$B$2:$B$7, MATCH(F1590, Unit_Grades!$A$2:$A$7, 0))*INDEX(Unit_Paths!$B$2:$B$4, MATCH(E1590, Unit_Paths!$A$2:$A$4, 0)),1)</f>
        <v>1344</v>
      </c>
      <c r="I1590" s="6" t="n">
        <f aca="false">ROUND(INDEX(Archetypes!$F$2:$F$127, MATCH(D1590, Archetypes!$A$2:$A$127, 0))*INDEX(Unit_Grades!$B$2:$B$7, MATCH(F1590, Unit_Grades!$A$2:$A$7, 0))*INDEX(Unit_Paths!$C$2:$C$4, MATCH(E1590, Unit_Paths!$A$2:$A$4, 0)),1)</f>
        <v>1344</v>
      </c>
      <c r="J1590" s="6" t="n">
        <f aca="false">ROUND(INDEX(Archetypes!$G$2:$G$127, MATCH(D1590, Archetypes!$A$2:$A$127, 0))*INDEX(Unit_Grades!$B$2:$B$7, MATCH(F1590, Unit_Grades!$A$2:$A$7, 0))*INDEX(Unit_Paths!$D$2:$D$4, MATCH(E1590, Unit_Paths!$A$2:$A$4, 0)),0)</f>
        <v>7040</v>
      </c>
      <c r="K1590" s="6" t="n">
        <f aca="false">ROUND(INDEX(Archetypes!$H$2:$H$127, MATCH(D1590, Archetypes!$A$2:$A$127, 0))*INDEX(Unit_Paths!$E$2:$E$4, MATCH(E1590, Unit_Paths!$A$2:$A$4, 0)),1)</f>
        <v>0</v>
      </c>
      <c r="L1590" s="6" t="n">
        <f aca="false">ROUND(INDEX(Archetypes!$I$2:$I$127, MATCH(D1590, Archetypes!$A$2:$A$127, 0))*INDEX(Unit_Grades!$C$2:$C$7, MATCH(F1590, Unit_Grades!$A$2:$A$7, 0)),1)</f>
        <v>123.2</v>
      </c>
      <c r="M1590" s="6" t="n">
        <f aca="false">ROUND(INDEX(Archetypes!$J$2:$J$127, MATCH(D1590, Archetypes!$A$2:$A$127, 0))*INDEX(Unit_Grades!$D$2:$D$7, MATCH(F1590, Unit_Grades!$A$2:$A$7, 0)),1)</f>
        <v>125</v>
      </c>
      <c r="N1590" s="6" t="n">
        <f aca="false">ROUND(M1590/24,2)</f>
        <v>5.21</v>
      </c>
    </row>
    <row r="1591" customFormat="false" ht="15" hidden="false" customHeight="true" outlineLevel="0" collapsed="false">
      <c r="A1591" s="6" t="n">
        <v>5</v>
      </c>
      <c r="B1591" s="6" t="s">
        <v>3070</v>
      </c>
      <c r="C1591" s="6" t="s">
        <v>1453</v>
      </c>
      <c r="D1591" s="6" t="str">
        <f aca="false">A1591&amp;"|"&amp;C1591</f>
        <v>5|Defense Platform</v>
      </c>
      <c r="E1591" s="6" t="s">
        <v>1556</v>
      </c>
      <c r="F1591" s="6" t="s">
        <v>1548</v>
      </c>
      <c r="G1591" s="6" t="str">
        <f aca="false">INDEX(Archetypes!$D$2:$D$127, MATCH(D1591, Archetypes!$A$2:$A$127, 0))</f>
        <v>Static Defense</v>
      </c>
      <c r="H1591" s="6" t="n">
        <f aca="false">ROUND(INDEX(Archetypes!$E$2:$E$127, MATCH(D1591, Archetypes!$A$2:$A$127, 0))*INDEX(Unit_Grades!$B$2:$B$7, MATCH(F1591, Unit_Grades!$A$2:$A$7, 0))*INDEX(Unit_Paths!$B$2:$B$4, MATCH(E1591, Unit_Paths!$A$2:$A$4, 0)),1)</f>
        <v>1764</v>
      </c>
      <c r="I1591" s="6" t="n">
        <f aca="false">ROUND(INDEX(Archetypes!$F$2:$F$127, MATCH(D1591, Archetypes!$A$2:$A$127, 0))*INDEX(Unit_Grades!$B$2:$B$7, MATCH(F1591, Unit_Grades!$A$2:$A$7, 0))*INDEX(Unit_Paths!$C$2:$C$4, MATCH(E1591, Unit_Paths!$A$2:$A$4, 0)),1)</f>
        <v>1764</v>
      </c>
      <c r="J1591" s="6" t="n">
        <f aca="false">ROUND(INDEX(Archetypes!$G$2:$G$127, MATCH(D1591, Archetypes!$A$2:$A$127, 0))*INDEX(Unit_Grades!$B$2:$B$7, MATCH(F1591, Unit_Grades!$A$2:$A$7, 0))*INDEX(Unit_Paths!$D$2:$D$4, MATCH(E1591, Unit_Paths!$A$2:$A$4, 0)),0)</f>
        <v>9240</v>
      </c>
      <c r="K1591" s="6" t="n">
        <f aca="false">ROUND(INDEX(Archetypes!$H$2:$H$127, MATCH(D1591, Archetypes!$A$2:$A$127, 0))*INDEX(Unit_Paths!$E$2:$E$4, MATCH(E1591, Unit_Paths!$A$2:$A$4, 0)),1)</f>
        <v>0</v>
      </c>
      <c r="L1591" s="6" t="n">
        <f aca="false">ROUND(INDEX(Archetypes!$I$2:$I$127, MATCH(D1591, Archetypes!$A$2:$A$127, 0))*INDEX(Unit_Grades!$C$2:$C$7, MATCH(F1591, Unit_Grades!$A$2:$A$7, 0)),1)</f>
        <v>162.8</v>
      </c>
      <c r="M1591" s="6" t="n">
        <f aca="false">ROUND(INDEX(Archetypes!$J$2:$J$127, MATCH(D1591, Archetypes!$A$2:$A$127, 0))*INDEX(Unit_Grades!$D$2:$D$7, MATCH(F1591, Unit_Grades!$A$2:$A$7, 0)),1)</f>
        <v>214.3</v>
      </c>
      <c r="N1591" s="6" t="n">
        <f aca="false">ROUND(M1591/24,2)</f>
        <v>8.93</v>
      </c>
    </row>
    <row r="1592" customFormat="false" ht="15" hidden="false" customHeight="true" outlineLevel="0" collapsed="false">
      <c r="A1592" s="6" t="n">
        <v>5</v>
      </c>
      <c r="B1592" s="6" t="s">
        <v>3071</v>
      </c>
      <c r="C1592" s="6" t="s">
        <v>1453</v>
      </c>
      <c r="D1592" s="6" t="str">
        <f aca="false">A1592&amp;"|"&amp;C1592</f>
        <v>5|Defense Platform</v>
      </c>
      <c r="E1592" s="6" t="s">
        <v>1558</v>
      </c>
      <c r="F1592" s="6" t="s">
        <v>1538</v>
      </c>
      <c r="G1592" s="6" t="str">
        <f aca="false">INDEX(Archetypes!$D$2:$D$127, MATCH(D1592, Archetypes!$A$2:$A$127, 0))</f>
        <v>Static Defense</v>
      </c>
      <c r="H1592" s="6" t="n">
        <f aca="false">ROUND(INDEX(Archetypes!$E$2:$E$127, MATCH(D1592, Archetypes!$A$2:$A$127, 0))*INDEX(Unit_Grades!$B$2:$B$7, MATCH(F1592, Unit_Grades!$A$2:$A$7, 0))*INDEX(Unit_Paths!$B$2:$B$4, MATCH(E1592, Unit_Paths!$A$2:$A$4, 0)),1)</f>
        <v>504</v>
      </c>
      <c r="I1592" s="6" t="n">
        <f aca="false">ROUND(INDEX(Archetypes!$F$2:$F$127, MATCH(D1592, Archetypes!$A$2:$A$127, 0))*INDEX(Unit_Grades!$B$2:$B$7, MATCH(F1592, Unit_Grades!$A$2:$A$7, 0))*INDEX(Unit_Paths!$C$2:$C$4, MATCH(E1592, Unit_Paths!$A$2:$A$4, 0)),1)</f>
        <v>357</v>
      </c>
      <c r="J1592" s="6" t="n">
        <f aca="false">ROUND(INDEX(Archetypes!$G$2:$G$127, MATCH(D1592, Archetypes!$A$2:$A$127, 0))*INDEX(Unit_Grades!$B$2:$B$7, MATCH(F1592, Unit_Grades!$A$2:$A$7, 0))*INDEX(Unit_Paths!$D$2:$D$4, MATCH(E1592, Unit_Paths!$A$2:$A$4, 0)),0)</f>
        <v>2090</v>
      </c>
      <c r="K1592" s="6" t="n">
        <f aca="false">ROUND(INDEX(Archetypes!$H$2:$H$127, MATCH(D1592, Archetypes!$A$2:$A$127, 0))*INDEX(Unit_Paths!$E$2:$E$4, MATCH(E1592, Unit_Paths!$A$2:$A$4, 0)),1)</f>
        <v>0</v>
      </c>
      <c r="L1592" s="6" t="n">
        <f aca="false">ROUND(INDEX(Archetypes!$I$2:$I$127, MATCH(D1592, Archetypes!$A$2:$A$127, 0))*INDEX(Unit_Grades!$C$2:$C$7, MATCH(F1592, Unit_Grades!$A$2:$A$7, 0)),1)</f>
        <v>44</v>
      </c>
      <c r="M1592" s="6" t="n">
        <f aca="false">ROUND(INDEX(Archetypes!$J$2:$J$127, MATCH(D1592, Archetypes!$A$2:$A$127, 0))*INDEX(Unit_Grades!$D$2:$D$7, MATCH(F1592, Unit_Grades!$A$2:$A$7, 0)),1)</f>
        <v>17.9</v>
      </c>
      <c r="N1592" s="6" t="n">
        <f aca="false">ROUND(M1592/24,2)</f>
        <v>0.75</v>
      </c>
    </row>
    <row r="1593" customFormat="false" ht="15" hidden="false" customHeight="true" outlineLevel="0" collapsed="false">
      <c r="A1593" s="6" t="n">
        <v>5</v>
      </c>
      <c r="B1593" s="6" t="s">
        <v>3072</v>
      </c>
      <c r="C1593" s="6" t="s">
        <v>1453</v>
      </c>
      <c r="D1593" s="6" t="str">
        <f aca="false">A1593&amp;"|"&amp;C1593</f>
        <v>5|Defense Platform</v>
      </c>
      <c r="E1593" s="6" t="s">
        <v>1558</v>
      </c>
      <c r="F1593" s="6" t="s">
        <v>1540</v>
      </c>
      <c r="G1593" s="6" t="str">
        <f aca="false">INDEX(Archetypes!$D$2:$D$127, MATCH(D1593, Archetypes!$A$2:$A$127, 0))</f>
        <v>Static Defense</v>
      </c>
      <c r="H1593" s="6" t="n">
        <f aca="false">ROUND(INDEX(Archetypes!$E$2:$E$127, MATCH(D1593, Archetypes!$A$2:$A$127, 0))*INDEX(Unit_Grades!$B$2:$B$7, MATCH(F1593, Unit_Grades!$A$2:$A$7, 0))*INDEX(Unit_Paths!$B$2:$B$4, MATCH(E1593, Unit_Paths!$A$2:$A$4, 0)),1)</f>
        <v>680.4</v>
      </c>
      <c r="I1593" s="6" t="n">
        <f aca="false">ROUND(INDEX(Archetypes!$F$2:$F$127, MATCH(D1593, Archetypes!$A$2:$A$127, 0))*INDEX(Unit_Grades!$B$2:$B$7, MATCH(F1593, Unit_Grades!$A$2:$A$7, 0))*INDEX(Unit_Paths!$C$2:$C$4, MATCH(E1593, Unit_Paths!$A$2:$A$4, 0)),1)</f>
        <v>482</v>
      </c>
      <c r="J1593" s="6" t="n">
        <f aca="false">ROUND(INDEX(Archetypes!$G$2:$G$127, MATCH(D1593, Archetypes!$A$2:$A$127, 0))*INDEX(Unit_Grades!$B$2:$B$7, MATCH(F1593, Unit_Grades!$A$2:$A$7, 0))*INDEX(Unit_Paths!$D$2:$D$4, MATCH(E1593, Unit_Paths!$A$2:$A$4, 0)),0)</f>
        <v>2822</v>
      </c>
      <c r="K1593" s="6" t="n">
        <f aca="false">ROUND(INDEX(Archetypes!$H$2:$H$127, MATCH(D1593, Archetypes!$A$2:$A$127, 0))*INDEX(Unit_Paths!$E$2:$E$4, MATCH(E1593, Unit_Paths!$A$2:$A$4, 0)),1)</f>
        <v>0</v>
      </c>
      <c r="L1593" s="6" t="n">
        <f aca="false">ROUND(INDEX(Archetypes!$I$2:$I$127, MATCH(D1593, Archetypes!$A$2:$A$127, 0))*INDEX(Unit_Grades!$C$2:$C$7, MATCH(F1593, Unit_Grades!$A$2:$A$7, 0)),1)</f>
        <v>55</v>
      </c>
      <c r="M1593" s="6" t="n">
        <f aca="false">ROUND(INDEX(Archetypes!$J$2:$J$127, MATCH(D1593, Archetypes!$A$2:$A$127, 0))*INDEX(Unit_Grades!$D$2:$D$7, MATCH(F1593, Unit_Grades!$A$2:$A$7, 0)),1)</f>
        <v>26.8</v>
      </c>
      <c r="N1593" s="6" t="n">
        <f aca="false">ROUND(M1593/24,2)</f>
        <v>1.12</v>
      </c>
    </row>
    <row r="1594" customFormat="false" ht="15" hidden="false" customHeight="true" outlineLevel="0" collapsed="false">
      <c r="A1594" s="6" t="n">
        <v>5</v>
      </c>
      <c r="B1594" s="6" t="s">
        <v>3073</v>
      </c>
      <c r="C1594" s="6" t="s">
        <v>1453</v>
      </c>
      <c r="D1594" s="6" t="str">
        <f aca="false">A1594&amp;"|"&amp;C1594</f>
        <v>5|Defense Platform</v>
      </c>
      <c r="E1594" s="6" t="s">
        <v>1558</v>
      </c>
      <c r="F1594" s="6" t="s">
        <v>1542</v>
      </c>
      <c r="G1594" s="6" t="str">
        <f aca="false">INDEX(Archetypes!$D$2:$D$127, MATCH(D1594, Archetypes!$A$2:$A$127, 0))</f>
        <v>Static Defense</v>
      </c>
      <c r="H1594" s="6" t="n">
        <f aca="false">ROUND(INDEX(Archetypes!$E$2:$E$127, MATCH(D1594, Archetypes!$A$2:$A$127, 0))*INDEX(Unit_Grades!$B$2:$B$7, MATCH(F1594, Unit_Grades!$A$2:$A$7, 0))*INDEX(Unit_Paths!$B$2:$B$4, MATCH(E1594, Unit_Paths!$A$2:$A$4, 0)),1)</f>
        <v>907.2</v>
      </c>
      <c r="I1594" s="6" t="n">
        <f aca="false">ROUND(INDEX(Archetypes!$F$2:$F$127, MATCH(D1594, Archetypes!$A$2:$A$127, 0))*INDEX(Unit_Grades!$B$2:$B$7, MATCH(F1594, Unit_Grades!$A$2:$A$7, 0))*INDEX(Unit_Paths!$C$2:$C$4, MATCH(E1594, Unit_Paths!$A$2:$A$4, 0)),1)</f>
        <v>642.6</v>
      </c>
      <c r="J1594" s="6" t="n">
        <f aca="false">ROUND(INDEX(Archetypes!$G$2:$G$127, MATCH(D1594, Archetypes!$A$2:$A$127, 0))*INDEX(Unit_Grades!$B$2:$B$7, MATCH(F1594, Unit_Grades!$A$2:$A$7, 0))*INDEX(Unit_Paths!$D$2:$D$4, MATCH(E1594, Unit_Paths!$A$2:$A$4, 0)),0)</f>
        <v>3762</v>
      </c>
      <c r="K1594" s="6" t="n">
        <f aca="false">ROUND(INDEX(Archetypes!$H$2:$H$127, MATCH(D1594, Archetypes!$A$2:$A$127, 0))*INDEX(Unit_Paths!$E$2:$E$4, MATCH(E1594, Unit_Paths!$A$2:$A$4, 0)),1)</f>
        <v>0</v>
      </c>
      <c r="L1594" s="6" t="n">
        <f aca="false">ROUND(INDEX(Archetypes!$I$2:$I$127, MATCH(D1594, Archetypes!$A$2:$A$127, 0))*INDEX(Unit_Grades!$C$2:$C$7, MATCH(F1594, Unit_Grades!$A$2:$A$7, 0)),1)</f>
        <v>70.4</v>
      </c>
      <c r="M1594" s="6" t="n">
        <f aca="false">ROUND(INDEX(Archetypes!$J$2:$J$127, MATCH(D1594, Archetypes!$A$2:$A$127, 0))*INDEX(Unit_Grades!$D$2:$D$7, MATCH(F1594, Unit_Grades!$A$2:$A$7, 0)),1)</f>
        <v>44.7</v>
      </c>
      <c r="N1594" s="6" t="n">
        <f aca="false">ROUND(M1594/24,2)</f>
        <v>1.86</v>
      </c>
    </row>
    <row r="1595" customFormat="false" ht="15" hidden="false" customHeight="true" outlineLevel="0" collapsed="false">
      <c r="A1595" s="6" t="n">
        <v>5</v>
      </c>
      <c r="B1595" s="6" t="s">
        <v>3074</v>
      </c>
      <c r="C1595" s="6" t="s">
        <v>1453</v>
      </c>
      <c r="D1595" s="6" t="str">
        <f aca="false">A1595&amp;"|"&amp;C1595</f>
        <v>5|Defense Platform</v>
      </c>
      <c r="E1595" s="6" t="s">
        <v>1558</v>
      </c>
      <c r="F1595" s="6" t="s">
        <v>1544</v>
      </c>
      <c r="G1595" s="6" t="str">
        <f aca="false">INDEX(Archetypes!$D$2:$D$127, MATCH(D1595, Archetypes!$A$2:$A$127, 0))</f>
        <v>Static Defense</v>
      </c>
      <c r="H1595" s="6" t="n">
        <f aca="false">ROUND(INDEX(Archetypes!$E$2:$E$127, MATCH(D1595, Archetypes!$A$2:$A$127, 0))*INDEX(Unit_Grades!$B$2:$B$7, MATCH(F1595, Unit_Grades!$A$2:$A$7, 0))*INDEX(Unit_Paths!$B$2:$B$4, MATCH(E1595, Unit_Paths!$A$2:$A$4, 0)),1)</f>
        <v>1209.6</v>
      </c>
      <c r="I1595" s="6" t="n">
        <f aca="false">ROUND(INDEX(Archetypes!$F$2:$F$127, MATCH(D1595, Archetypes!$A$2:$A$127, 0))*INDEX(Unit_Grades!$B$2:$B$7, MATCH(F1595, Unit_Grades!$A$2:$A$7, 0))*INDEX(Unit_Paths!$C$2:$C$4, MATCH(E1595, Unit_Paths!$A$2:$A$4, 0)),1)</f>
        <v>856.8</v>
      </c>
      <c r="J1595" s="6" t="n">
        <f aca="false">ROUND(INDEX(Archetypes!$G$2:$G$127, MATCH(D1595, Archetypes!$A$2:$A$127, 0))*INDEX(Unit_Grades!$B$2:$B$7, MATCH(F1595, Unit_Grades!$A$2:$A$7, 0))*INDEX(Unit_Paths!$D$2:$D$4, MATCH(E1595, Unit_Paths!$A$2:$A$4, 0)),0)</f>
        <v>5016</v>
      </c>
      <c r="K1595" s="6" t="n">
        <f aca="false">ROUND(INDEX(Archetypes!$H$2:$H$127, MATCH(D1595, Archetypes!$A$2:$A$127, 0))*INDEX(Unit_Paths!$E$2:$E$4, MATCH(E1595, Unit_Paths!$A$2:$A$4, 0)),1)</f>
        <v>0</v>
      </c>
      <c r="L1595" s="6" t="n">
        <f aca="false">ROUND(INDEX(Archetypes!$I$2:$I$127, MATCH(D1595, Archetypes!$A$2:$A$127, 0))*INDEX(Unit_Grades!$C$2:$C$7, MATCH(F1595, Unit_Grades!$A$2:$A$7, 0)),1)</f>
        <v>92.4</v>
      </c>
      <c r="M1595" s="6" t="n">
        <f aca="false">ROUND(INDEX(Archetypes!$J$2:$J$127, MATCH(D1595, Archetypes!$A$2:$A$127, 0))*INDEX(Unit_Grades!$D$2:$D$7, MATCH(F1595, Unit_Grades!$A$2:$A$7, 0)),1)</f>
        <v>71.4</v>
      </c>
      <c r="N1595" s="6" t="n">
        <f aca="false">ROUND(M1595/24,2)</f>
        <v>2.98</v>
      </c>
    </row>
    <row r="1596" customFormat="false" ht="15" hidden="false" customHeight="true" outlineLevel="0" collapsed="false">
      <c r="A1596" s="6" t="n">
        <v>5</v>
      </c>
      <c r="B1596" s="6" t="s">
        <v>3075</v>
      </c>
      <c r="C1596" s="6" t="s">
        <v>1453</v>
      </c>
      <c r="D1596" s="6" t="str">
        <f aca="false">A1596&amp;"|"&amp;C1596</f>
        <v>5|Defense Platform</v>
      </c>
      <c r="E1596" s="6" t="s">
        <v>1558</v>
      </c>
      <c r="F1596" s="6" t="s">
        <v>1546</v>
      </c>
      <c r="G1596" s="6" t="str">
        <f aca="false">INDEX(Archetypes!$D$2:$D$127, MATCH(D1596, Archetypes!$A$2:$A$127, 0))</f>
        <v>Static Defense</v>
      </c>
      <c r="H1596" s="6" t="n">
        <f aca="false">ROUND(INDEX(Archetypes!$E$2:$E$127, MATCH(D1596, Archetypes!$A$2:$A$127, 0))*INDEX(Unit_Grades!$B$2:$B$7, MATCH(F1596, Unit_Grades!$A$2:$A$7, 0))*INDEX(Unit_Paths!$B$2:$B$4, MATCH(E1596, Unit_Paths!$A$2:$A$4, 0)),1)</f>
        <v>1612.8</v>
      </c>
      <c r="I1596" s="6" t="n">
        <f aca="false">ROUND(INDEX(Archetypes!$F$2:$F$127, MATCH(D1596, Archetypes!$A$2:$A$127, 0))*INDEX(Unit_Grades!$B$2:$B$7, MATCH(F1596, Unit_Grades!$A$2:$A$7, 0))*INDEX(Unit_Paths!$C$2:$C$4, MATCH(E1596, Unit_Paths!$A$2:$A$4, 0)),1)</f>
        <v>1142.4</v>
      </c>
      <c r="J1596" s="6" t="n">
        <f aca="false">ROUND(INDEX(Archetypes!$G$2:$G$127, MATCH(D1596, Archetypes!$A$2:$A$127, 0))*INDEX(Unit_Grades!$B$2:$B$7, MATCH(F1596, Unit_Grades!$A$2:$A$7, 0))*INDEX(Unit_Paths!$D$2:$D$4, MATCH(E1596, Unit_Paths!$A$2:$A$4, 0)),0)</f>
        <v>6688</v>
      </c>
      <c r="K1596" s="6" t="n">
        <f aca="false">ROUND(INDEX(Archetypes!$H$2:$H$127, MATCH(D1596, Archetypes!$A$2:$A$127, 0))*INDEX(Unit_Paths!$E$2:$E$4, MATCH(E1596, Unit_Paths!$A$2:$A$4, 0)),1)</f>
        <v>0</v>
      </c>
      <c r="L1596" s="6" t="n">
        <f aca="false">ROUND(INDEX(Archetypes!$I$2:$I$127, MATCH(D1596, Archetypes!$A$2:$A$127, 0))*INDEX(Unit_Grades!$C$2:$C$7, MATCH(F1596, Unit_Grades!$A$2:$A$7, 0)),1)</f>
        <v>123.2</v>
      </c>
      <c r="M1596" s="6" t="n">
        <f aca="false">ROUND(INDEX(Archetypes!$J$2:$J$127, MATCH(D1596, Archetypes!$A$2:$A$127, 0))*INDEX(Unit_Grades!$D$2:$D$7, MATCH(F1596, Unit_Grades!$A$2:$A$7, 0)),1)</f>
        <v>125</v>
      </c>
      <c r="N1596" s="6" t="n">
        <f aca="false">ROUND(M1596/24,2)</f>
        <v>5.21</v>
      </c>
    </row>
    <row r="1597" customFormat="false" ht="15" hidden="false" customHeight="true" outlineLevel="0" collapsed="false">
      <c r="A1597" s="6" t="n">
        <v>5</v>
      </c>
      <c r="B1597" s="6" t="s">
        <v>3076</v>
      </c>
      <c r="C1597" s="6" t="s">
        <v>1453</v>
      </c>
      <c r="D1597" s="6" t="str">
        <f aca="false">A1597&amp;"|"&amp;C1597</f>
        <v>5|Defense Platform</v>
      </c>
      <c r="E1597" s="6" t="s">
        <v>1558</v>
      </c>
      <c r="F1597" s="6" t="s">
        <v>1548</v>
      </c>
      <c r="G1597" s="6" t="str">
        <f aca="false">INDEX(Archetypes!$D$2:$D$127, MATCH(D1597, Archetypes!$A$2:$A$127, 0))</f>
        <v>Static Defense</v>
      </c>
      <c r="H1597" s="6" t="n">
        <f aca="false">ROUND(INDEX(Archetypes!$E$2:$E$127, MATCH(D1597, Archetypes!$A$2:$A$127, 0))*INDEX(Unit_Grades!$B$2:$B$7, MATCH(F1597, Unit_Grades!$A$2:$A$7, 0))*INDEX(Unit_Paths!$B$2:$B$4, MATCH(E1597, Unit_Paths!$A$2:$A$4, 0)),1)</f>
        <v>2116.8</v>
      </c>
      <c r="I1597" s="6" t="n">
        <f aca="false">ROUND(INDEX(Archetypes!$F$2:$F$127, MATCH(D1597, Archetypes!$A$2:$A$127, 0))*INDEX(Unit_Grades!$B$2:$B$7, MATCH(F1597, Unit_Grades!$A$2:$A$7, 0))*INDEX(Unit_Paths!$C$2:$C$4, MATCH(E1597, Unit_Paths!$A$2:$A$4, 0)),1)</f>
        <v>1499.4</v>
      </c>
      <c r="J1597" s="6" t="n">
        <f aca="false">ROUND(INDEX(Archetypes!$G$2:$G$127, MATCH(D1597, Archetypes!$A$2:$A$127, 0))*INDEX(Unit_Grades!$B$2:$B$7, MATCH(F1597, Unit_Grades!$A$2:$A$7, 0))*INDEX(Unit_Paths!$D$2:$D$4, MATCH(E1597, Unit_Paths!$A$2:$A$4, 0)),0)</f>
        <v>8778</v>
      </c>
      <c r="K1597" s="6" t="n">
        <f aca="false">ROUND(INDEX(Archetypes!$H$2:$H$127, MATCH(D1597, Archetypes!$A$2:$A$127, 0))*INDEX(Unit_Paths!$E$2:$E$4, MATCH(E1597, Unit_Paths!$A$2:$A$4, 0)),1)</f>
        <v>0</v>
      </c>
      <c r="L1597" s="6" t="n">
        <f aca="false">ROUND(INDEX(Archetypes!$I$2:$I$127, MATCH(D1597, Archetypes!$A$2:$A$127, 0))*INDEX(Unit_Grades!$C$2:$C$7, MATCH(F1597, Unit_Grades!$A$2:$A$7, 0)),1)</f>
        <v>162.8</v>
      </c>
      <c r="M1597" s="6" t="n">
        <f aca="false">ROUND(INDEX(Archetypes!$J$2:$J$127, MATCH(D1597, Archetypes!$A$2:$A$127, 0))*INDEX(Unit_Grades!$D$2:$D$7, MATCH(F1597, Unit_Grades!$A$2:$A$7, 0)),1)</f>
        <v>214.3</v>
      </c>
      <c r="N1597" s="6" t="n">
        <f aca="false">ROUND(M1597/24,2)</f>
        <v>8.93</v>
      </c>
    </row>
    <row r="1598" customFormat="false" ht="15" hidden="false" customHeight="true" outlineLevel="0" collapsed="false">
      <c r="A1598" s="6" t="n">
        <v>5</v>
      </c>
      <c r="B1598" s="6" t="s">
        <v>3077</v>
      </c>
      <c r="C1598" s="6" t="s">
        <v>1453</v>
      </c>
      <c r="D1598" s="6" t="str">
        <f aca="false">A1598&amp;"|"&amp;C1598</f>
        <v>5|Defense Platform</v>
      </c>
      <c r="E1598" s="6" t="s">
        <v>1560</v>
      </c>
      <c r="F1598" s="6" t="s">
        <v>1538</v>
      </c>
      <c r="G1598" s="6" t="str">
        <f aca="false">INDEX(Archetypes!$D$2:$D$127, MATCH(D1598, Archetypes!$A$2:$A$127, 0))</f>
        <v>Static Defense</v>
      </c>
      <c r="H1598" s="6" t="n">
        <f aca="false">ROUND(INDEX(Archetypes!$E$2:$E$127, MATCH(D1598, Archetypes!$A$2:$A$127, 0))*INDEX(Unit_Grades!$B$2:$B$7, MATCH(F1598, Unit_Grades!$A$2:$A$7, 0))*INDEX(Unit_Paths!$B$2:$B$4, MATCH(E1598, Unit_Paths!$A$2:$A$4, 0)),1)</f>
        <v>357</v>
      </c>
      <c r="I1598" s="6" t="n">
        <f aca="false">ROUND(INDEX(Archetypes!$F$2:$F$127, MATCH(D1598, Archetypes!$A$2:$A$127, 0))*INDEX(Unit_Grades!$B$2:$B$7, MATCH(F1598, Unit_Grades!$A$2:$A$7, 0))*INDEX(Unit_Paths!$C$2:$C$4, MATCH(E1598, Unit_Paths!$A$2:$A$4, 0)),1)</f>
        <v>525</v>
      </c>
      <c r="J1598" s="6" t="n">
        <f aca="false">ROUND(INDEX(Archetypes!$G$2:$G$127, MATCH(D1598, Archetypes!$A$2:$A$127, 0))*INDEX(Unit_Grades!$B$2:$B$7, MATCH(F1598, Unit_Grades!$A$2:$A$7, 0))*INDEX(Unit_Paths!$D$2:$D$4, MATCH(E1598, Unit_Paths!$A$2:$A$4, 0)),0)</f>
        <v>2530</v>
      </c>
      <c r="K1598" s="6" t="n">
        <f aca="false">ROUND(INDEX(Archetypes!$H$2:$H$127, MATCH(D1598, Archetypes!$A$2:$A$127, 0))*INDEX(Unit_Paths!$E$2:$E$4, MATCH(E1598, Unit_Paths!$A$2:$A$4, 0)),1)</f>
        <v>0</v>
      </c>
      <c r="L1598" s="6" t="n">
        <f aca="false">ROUND(INDEX(Archetypes!$I$2:$I$127, MATCH(D1598, Archetypes!$A$2:$A$127, 0))*INDEX(Unit_Grades!$C$2:$C$7, MATCH(F1598, Unit_Grades!$A$2:$A$7, 0)),1)</f>
        <v>44</v>
      </c>
      <c r="M1598" s="6" t="n">
        <f aca="false">ROUND(INDEX(Archetypes!$J$2:$J$127, MATCH(D1598, Archetypes!$A$2:$A$127, 0))*INDEX(Unit_Grades!$D$2:$D$7, MATCH(F1598, Unit_Grades!$A$2:$A$7, 0)),1)</f>
        <v>17.9</v>
      </c>
      <c r="N1598" s="6" t="n">
        <f aca="false">ROUND(M1598/24,2)</f>
        <v>0.75</v>
      </c>
    </row>
    <row r="1599" customFormat="false" ht="15" hidden="false" customHeight="true" outlineLevel="0" collapsed="false">
      <c r="A1599" s="6" t="n">
        <v>5</v>
      </c>
      <c r="B1599" s="6" t="s">
        <v>3078</v>
      </c>
      <c r="C1599" s="6" t="s">
        <v>1453</v>
      </c>
      <c r="D1599" s="6" t="str">
        <f aca="false">A1599&amp;"|"&amp;C1599</f>
        <v>5|Defense Platform</v>
      </c>
      <c r="E1599" s="6" t="s">
        <v>1560</v>
      </c>
      <c r="F1599" s="6" t="s">
        <v>1540</v>
      </c>
      <c r="G1599" s="6" t="str">
        <f aca="false">INDEX(Archetypes!$D$2:$D$127, MATCH(D1599, Archetypes!$A$2:$A$127, 0))</f>
        <v>Static Defense</v>
      </c>
      <c r="H1599" s="6" t="n">
        <f aca="false">ROUND(INDEX(Archetypes!$E$2:$E$127, MATCH(D1599, Archetypes!$A$2:$A$127, 0))*INDEX(Unit_Grades!$B$2:$B$7, MATCH(F1599, Unit_Grades!$A$2:$A$7, 0))*INDEX(Unit_Paths!$B$2:$B$4, MATCH(E1599, Unit_Paths!$A$2:$A$4, 0)),1)</f>
        <v>482</v>
      </c>
      <c r="I1599" s="6" t="n">
        <f aca="false">ROUND(INDEX(Archetypes!$F$2:$F$127, MATCH(D1599, Archetypes!$A$2:$A$127, 0))*INDEX(Unit_Grades!$B$2:$B$7, MATCH(F1599, Unit_Grades!$A$2:$A$7, 0))*INDEX(Unit_Paths!$C$2:$C$4, MATCH(E1599, Unit_Paths!$A$2:$A$4, 0)),1)</f>
        <v>708.8</v>
      </c>
      <c r="J1599" s="6" t="n">
        <f aca="false">ROUND(INDEX(Archetypes!$G$2:$G$127, MATCH(D1599, Archetypes!$A$2:$A$127, 0))*INDEX(Unit_Grades!$B$2:$B$7, MATCH(F1599, Unit_Grades!$A$2:$A$7, 0))*INDEX(Unit_Paths!$D$2:$D$4, MATCH(E1599, Unit_Paths!$A$2:$A$4, 0)),0)</f>
        <v>3415</v>
      </c>
      <c r="K1599" s="6" t="n">
        <f aca="false">ROUND(INDEX(Archetypes!$H$2:$H$127, MATCH(D1599, Archetypes!$A$2:$A$127, 0))*INDEX(Unit_Paths!$E$2:$E$4, MATCH(E1599, Unit_Paths!$A$2:$A$4, 0)),1)</f>
        <v>0</v>
      </c>
      <c r="L1599" s="6" t="n">
        <f aca="false">ROUND(INDEX(Archetypes!$I$2:$I$127, MATCH(D1599, Archetypes!$A$2:$A$127, 0))*INDEX(Unit_Grades!$C$2:$C$7, MATCH(F1599, Unit_Grades!$A$2:$A$7, 0)),1)</f>
        <v>55</v>
      </c>
      <c r="M1599" s="6" t="n">
        <f aca="false">ROUND(INDEX(Archetypes!$J$2:$J$127, MATCH(D1599, Archetypes!$A$2:$A$127, 0))*INDEX(Unit_Grades!$D$2:$D$7, MATCH(F1599, Unit_Grades!$A$2:$A$7, 0)),1)</f>
        <v>26.8</v>
      </c>
      <c r="N1599" s="6" t="n">
        <f aca="false">ROUND(M1599/24,2)</f>
        <v>1.12</v>
      </c>
    </row>
    <row r="1600" customFormat="false" ht="15" hidden="false" customHeight="true" outlineLevel="0" collapsed="false">
      <c r="A1600" s="6" t="n">
        <v>5</v>
      </c>
      <c r="B1600" s="6" t="s">
        <v>3079</v>
      </c>
      <c r="C1600" s="6" t="s">
        <v>1453</v>
      </c>
      <c r="D1600" s="6" t="str">
        <f aca="false">A1600&amp;"|"&amp;C1600</f>
        <v>5|Defense Platform</v>
      </c>
      <c r="E1600" s="6" t="s">
        <v>1560</v>
      </c>
      <c r="F1600" s="6" t="s">
        <v>1542</v>
      </c>
      <c r="G1600" s="6" t="str">
        <f aca="false">INDEX(Archetypes!$D$2:$D$127, MATCH(D1600, Archetypes!$A$2:$A$127, 0))</f>
        <v>Static Defense</v>
      </c>
      <c r="H1600" s="6" t="n">
        <f aca="false">ROUND(INDEX(Archetypes!$E$2:$E$127, MATCH(D1600, Archetypes!$A$2:$A$127, 0))*INDEX(Unit_Grades!$B$2:$B$7, MATCH(F1600, Unit_Grades!$A$2:$A$7, 0))*INDEX(Unit_Paths!$B$2:$B$4, MATCH(E1600, Unit_Paths!$A$2:$A$4, 0)),1)</f>
        <v>642.6</v>
      </c>
      <c r="I1600" s="6" t="n">
        <f aca="false">ROUND(INDEX(Archetypes!$F$2:$F$127, MATCH(D1600, Archetypes!$A$2:$A$127, 0))*INDEX(Unit_Grades!$B$2:$B$7, MATCH(F1600, Unit_Grades!$A$2:$A$7, 0))*INDEX(Unit_Paths!$C$2:$C$4, MATCH(E1600, Unit_Paths!$A$2:$A$4, 0)),1)</f>
        <v>945</v>
      </c>
      <c r="J1600" s="6" t="n">
        <f aca="false">ROUND(INDEX(Archetypes!$G$2:$G$127, MATCH(D1600, Archetypes!$A$2:$A$127, 0))*INDEX(Unit_Grades!$B$2:$B$7, MATCH(F1600, Unit_Grades!$A$2:$A$7, 0))*INDEX(Unit_Paths!$D$2:$D$4, MATCH(E1600, Unit_Paths!$A$2:$A$4, 0)),0)</f>
        <v>4554</v>
      </c>
      <c r="K1600" s="6" t="n">
        <f aca="false">ROUND(INDEX(Archetypes!$H$2:$H$127, MATCH(D1600, Archetypes!$A$2:$A$127, 0))*INDEX(Unit_Paths!$E$2:$E$4, MATCH(E1600, Unit_Paths!$A$2:$A$4, 0)),1)</f>
        <v>0</v>
      </c>
      <c r="L1600" s="6" t="n">
        <f aca="false">ROUND(INDEX(Archetypes!$I$2:$I$127, MATCH(D1600, Archetypes!$A$2:$A$127, 0))*INDEX(Unit_Grades!$C$2:$C$7, MATCH(F1600, Unit_Grades!$A$2:$A$7, 0)),1)</f>
        <v>70.4</v>
      </c>
      <c r="M1600" s="6" t="n">
        <f aca="false">ROUND(INDEX(Archetypes!$J$2:$J$127, MATCH(D1600, Archetypes!$A$2:$A$127, 0))*INDEX(Unit_Grades!$D$2:$D$7, MATCH(F1600, Unit_Grades!$A$2:$A$7, 0)),1)</f>
        <v>44.7</v>
      </c>
      <c r="N1600" s="6" t="n">
        <f aca="false">ROUND(M1600/24,2)</f>
        <v>1.86</v>
      </c>
    </row>
    <row r="1601" customFormat="false" ht="15" hidden="false" customHeight="true" outlineLevel="0" collapsed="false">
      <c r="A1601" s="6" t="n">
        <v>5</v>
      </c>
      <c r="B1601" s="6" t="s">
        <v>3080</v>
      </c>
      <c r="C1601" s="6" t="s">
        <v>1453</v>
      </c>
      <c r="D1601" s="6" t="str">
        <f aca="false">A1601&amp;"|"&amp;C1601</f>
        <v>5|Defense Platform</v>
      </c>
      <c r="E1601" s="6" t="s">
        <v>1560</v>
      </c>
      <c r="F1601" s="6" t="s">
        <v>1544</v>
      </c>
      <c r="G1601" s="6" t="str">
        <f aca="false">INDEX(Archetypes!$D$2:$D$127, MATCH(D1601, Archetypes!$A$2:$A$127, 0))</f>
        <v>Static Defense</v>
      </c>
      <c r="H1601" s="6" t="n">
        <f aca="false">ROUND(INDEX(Archetypes!$E$2:$E$127, MATCH(D1601, Archetypes!$A$2:$A$127, 0))*INDEX(Unit_Grades!$B$2:$B$7, MATCH(F1601, Unit_Grades!$A$2:$A$7, 0))*INDEX(Unit_Paths!$B$2:$B$4, MATCH(E1601, Unit_Paths!$A$2:$A$4, 0)),1)</f>
        <v>856.8</v>
      </c>
      <c r="I1601" s="6" t="n">
        <f aca="false">ROUND(INDEX(Archetypes!$F$2:$F$127, MATCH(D1601, Archetypes!$A$2:$A$127, 0))*INDEX(Unit_Grades!$B$2:$B$7, MATCH(F1601, Unit_Grades!$A$2:$A$7, 0))*INDEX(Unit_Paths!$C$2:$C$4, MATCH(E1601, Unit_Paths!$A$2:$A$4, 0)),1)</f>
        <v>1260</v>
      </c>
      <c r="J1601" s="6" t="n">
        <f aca="false">ROUND(INDEX(Archetypes!$G$2:$G$127, MATCH(D1601, Archetypes!$A$2:$A$127, 0))*INDEX(Unit_Grades!$B$2:$B$7, MATCH(F1601, Unit_Grades!$A$2:$A$7, 0))*INDEX(Unit_Paths!$D$2:$D$4, MATCH(E1601, Unit_Paths!$A$2:$A$4, 0)),0)</f>
        <v>6072</v>
      </c>
      <c r="K1601" s="6" t="n">
        <f aca="false">ROUND(INDEX(Archetypes!$H$2:$H$127, MATCH(D1601, Archetypes!$A$2:$A$127, 0))*INDEX(Unit_Paths!$E$2:$E$4, MATCH(E1601, Unit_Paths!$A$2:$A$4, 0)),1)</f>
        <v>0</v>
      </c>
      <c r="L1601" s="6" t="n">
        <f aca="false">ROUND(INDEX(Archetypes!$I$2:$I$127, MATCH(D1601, Archetypes!$A$2:$A$127, 0))*INDEX(Unit_Grades!$C$2:$C$7, MATCH(F1601, Unit_Grades!$A$2:$A$7, 0)),1)</f>
        <v>92.4</v>
      </c>
      <c r="M1601" s="6" t="n">
        <f aca="false">ROUND(INDEX(Archetypes!$J$2:$J$127, MATCH(D1601, Archetypes!$A$2:$A$127, 0))*INDEX(Unit_Grades!$D$2:$D$7, MATCH(F1601, Unit_Grades!$A$2:$A$7, 0)),1)</f>
        <v>71.4</v>
      </c>
      <c r="N1601" s="6" t="n">
        <f aca="false">ROUND(M1601/24,2)</f>
        <v>2.98</v>
      </c>
    </row>
    <row r="1602" customFormat="false" ht="15" hidden="false" customHeight="true" outlineLevel="0" collapsed="false">
      <c r="A1602" s="6" t="n">
        <v>5</v>
      </c>
      <c r="B1602" s="6" t="s">
        <v>3081</v>
      </c>
      <c r="C1602" s="6" t="s">
        <v>1453</v>
      </c>
      <c r="D1602" s="6" t="str">
        <f aca="false">A1602&amp;"|"&amp;C1602</f>
        <v>5|Defense Platform</v>
      </c>
      <c r="E1602" s="6" t="s">
        <v>1560</v>
      </c>
      <c r="F1602" s="6" t="s">
        <v>1546</v>
      </c>
      <c r="G1602" s="6" t="str">
        <f aca="false">INDEX(Archetypes!$D$2:$D$127, MATCH(D1602, Archetypes!$A$2:$A$127, 0))</f>
        <v>Static Defense</v>
      </c>
      <c r="H1602" s="6" t="n">
        <f aca="false">ROUND(INDEX(Archetypes!$E$2:$E$127, MATCH(D1602, Archetypes!$A$2:$A$127, 0))*INDEX(Unit_Grades!$B$2:$B$7, MATCH(F1602, Unit_Grades!$A$2:$A$7, 0))*INDEX(Unit_Paths!$B$2:$B$4, MATCH(E1602, Unit_Paths!$A$2:$A$4, 0)),1)</f>
        <v>1142.4</v>
      </c>
      <c r="I1602" s="6" t="n">
        <f aca="false">ROUND(INDEX(Archetypes!$F$2:$F$127, MATCH(D1602, Archetypes!$A$2:$A$127, 0))*INDEX(Unit_Grades!$B$2:$B$7, MATCH(F1602, Unit_Grades!$A$2:$A$7, 0))*INDEX(Unit_Paths!$C$2:$C$4, MATCH(E1602, Unit_Paths!$A$2:$A$4, 0)),1)</f>
        <v>1680</v>
      </c>
      <c r="J1602" s="6" t="n">
        <f aca="false">ROUND(INDEX(Archetypes!$G$2:$G$127, MATCH(D1602, Archetypes!$A$2:$A$127, 0))*INDEX(Unit_Grades!$B$2:$B$7, MATCH(F1602, Unit_Grades!$A$2:$A$7, 0))*INDEX(Unit_Paths!$D$2:$D$4, MATCH(E1602, Unit_Paths!$A$2:$A$4, 0)),0)</f>
        <v>8096</v>
      </c>
      <c r="K1602" s="6" t="n">
        <f aca="false">ROUND(INDEX(Archetypes!$H$2:$H$127, MATCH(D1602, Archetypes!$A$2:$A$127, 0))*INDEX(Unit_Paths!$E$2:$E$4, MATCH(E1602, Unit_Paths!$A$2:$A$4, 0)),1)</f>
        <v>0</v>
      </c>
      <c r="L1602" s="6" t="n">
        <f aca="false">ROUND(INDEX(Archetypes!$I$2:$I$127, MATCH(D1602, Archetypes!$A$2:$A$127, 0))*INDEX(Unit_Grades!$C$2:$C$7, MATCH(F1602, Unit_Grades!$A$2:$A$7, 0)),1)</f>
        <v>123.2</v>
      </c>
      <c r="M1602" s="6" t="n">
        <f aca="false">ROUND(INDEX(Archetypes!$J$2:$J$127, MATCH(D1602, Archetypes!$A$2:$A$127, 0))*INDEX(Unit_Grades!$D$2:$D$7, MATCH(F1602, Unit_Grades!$A$2:$A$7, 0)),1)</f>
        <v>125</v>
      </c>
      <c r="N1602" s="6" t="n">
        <f aca="false">ROUND(M1602/24,2)</f>
        <v>5.21</v>
      </c>
    </row>
    <row r="1603" customFormat="false" ht="15" hidden="false" customHeight="true" outlineLevel="0" collapsed="false">
      <c r="A1603" s="6" t="n">
        <v>5</v>
      </c>
      <c r="B1603" s="6" t="s">
        <v>3082</v>
      </c>
      <c r="C1603" s="6" t="s">
        <v>1453</v>
      </c>
      <c r="D1603" s="6" t="str">
        <f aca="false">A1603&amp;"|"&amp;C1603</f>
        <v>5|Defense Platform</v>
      </c>
      <c r="E1603" s="6" t="s">
        <v>1560</v>
      </c>
      <c r="F1603" s="6" t="s">
        <v>1548</v>
      </c>
      <c r="G1603" s="6" t="str">
        <f aca="false">INDEX(Archetypes!$D$2:$D$127, MATCH(D1603, Archetypes!$A$2:$A$127, 0))</f>
        <v>Static Defense</v>
      </c>
      <c r="H1603" s="6" t="n">
        <f aca="false">ROUND(INDEX(Archetypes!$E$2:$E$127, MATCH(D1603, Archetypes!$A$2:$A$127, 0))*INDEX(Unit_Grades!$B$2:$B$7, MATCH(F1603, Unit_Grades!$A$2:$A$7, 0))*INDEX(Unit_Paths!$B$2:$B$4, MATCH(E1603, Unit_Paths!$A$2:$A$4, 0)),1)</f>
        <v>1499.4</v>
      </c>
      <c r="I1603" s="6" t="n">
        <f aca="false">ROUND(INDEX(Archetypes!$F$2:$F$127, MATCH(D1603, Archetypes!$A$2:$A$127, 0))*INDEX(Unit_Grades!$B$2:$B$7, MATCH(F1603, Unit_Grades!$A$2:$A$7, 0))*INDEX(Unit_Paths!$C$2:$C$4, MATCH(E1603, Unit_Paths!$A$2:$A$4, 0)),1)</f>
        <v>2205</v>
      </c>
      <c r="J1603" s="6" t="n">
        <f aca="false">ROUND(INDEX(Archetypes!$G$2:$G$127, MATCH(D1603, Archetypes!$A$2:$A$127, 0))*INDEX(Unit_Grades!$B$2:$B$7, MATCH(F1603, Unit_Grades!$A$2:$A$7, 0))*INDEX(Unit_Paths!$D$2:$D$4, MATCH(E1603, Unit_Paths!$A$2:$A$4, 0)),0)</f>
        <v>10626</v>
      </c>
      <c r="K1603" s="6" t="n">
        <f aca="false">ROUND(INDEX(Archetypes!$H$2:$H$127, MATCH(D1603, Archetypes!$A$2:$A$127, 0))*INDEX(Unit_Paths!$E$2:$E$4, MATCH(E1603, Unit_Paths!$A$2:$A$4, 0)),1)</f>
        <v>0</v>
      </c>
      <c r="L1603" s="6" t="n">
        <f aca="false">ROUND(INDEX(Archetypes!$I$2:$I$127, MATCH(D1603, Archetypes!$A$2:$A$127, 0))*INDEX(Unit_Grades!$C$2:$C$7, MATCH(F1603, Unit_Grades!$A$2:$A$7, 0)),1)</f>
        <v>162.8</v>
      </c>
      <c r="M1603" s="6" t="n">
        <f aca="false">ROUND(INDEX(Archetypes!$J$2:$J$127, MATCH(D1603, Archetypes!$A$2:$A$127, 0))*INDEX(Unit_Grades!$D$2:$D$7, MATCH(F1603, Unit_Grades!$A$2:$A$7, 0)),1)</f>
        <v>214.3</v>
      </c>
      <c r="N1603" s="6" t="n">
        <f aca="false">ROUND(M1603/24,2)</f>
        <v>8.93</v>
      </c>
    </row>
    <row r="1604" customFormat="false" ht="15" hidden="false" customHeight="true" outlineLevel="0" collapsed="false">
      <c r="A1604" s="6" t="n">
        <v>5</v>
      </c>
      <c r="B1604" s="6" t="s">
        <v>1456</v>
      </c>
      <c r="C1604" s="6" t="s">
        <v>1456</v>
      </c>
      <c r="D1604" s="6" t="str">
        <f aca="false">A1604&amp;"|"&amp;C1604</f>
        <v>5|Star-Qi Blade Saint</v>
      </c>
      <c r="E1604" s="6" t="s">
        <v>1556</v>
      </c>
      <c r="F1604" s="6" t="s">
        <v>1538</v>
      </c>
      <c r="G1604" s="6" t="str">
        <f aca="false">INDEX(Archetypes!$D$2:$D$127, MATCH(D1604, Archetypes!$A$2:$A$127, 0))</f>
        <v>Cultivator</v>
      </c>
      <c r="H1604" s="6" t="n">
        <f aca="false">ROUND(INDEX(Archetypes!$E$2:$E$127, MATCH(D1604, Archetypes!$A$2:$A$127, 0))*INDEX(Unit_Grades!$B$2:$B$7, MATCH(F1604, Unit_Grades!$A$2:$A$7, 0))*INDEX(Unit_Paths!$B$2:$B$4, MATCH(E1604, Unit_Paths!$A$2:$A$4, 0)),1)</f>
        <v>520</v>
      </c>
      <c r="I1604" s="6" t="n">
        <f aca="false">ROUND(INDEX(Archetypes!$F$2:$F$127, MATCH(D1604, Archetypes!$A$2:$A$127, 0))*INDEX(Unit_Grades!$B$2:$B$7, MATCH(F1604, Unit_Grades!$A$2:$A$7, 0))*INDEX(Unit_Paths!$C$2:$C$4, MATCH(E1604, Unit_Paths!$A$2:$A$4, 0)),1)</f>
        <v>300</v>
      </c>
      <c r="J1604" s="6" t="n">
        <f aca="false">ROUND(INDEX(Archetypes!$G$2:$G$127, MATCH(D1604, Archetypes!$A$2:$A$127, 0))*INDEX(Unit_Grades!$B$2:$B$7, MATCH(F1604, Unit_Grades!$A$2:$A$7, 0))*INDEX(Unit_Paths!$D$2:$D$4, MATCH(E1604, Unit_Paths!$A$2:$A$4, 0)),0)</f>
        <v>1300</v>
      </c>
      <c r="K1604" s="6" t="n">
        <f aca="false">ROUND(INDEX(Archetypes!$H$2:$H$127, MATCH(D1604, Archetypes!$A$2:$A$127, 0))*INDEX(Unit_Paths!$E$2:$E$4, MATCH(E1604, Unit_Paths!$A$2:$A$4, 0)),1)</f>
        <v>60</v>
      </c>
      <c r="L1604" s="6" t="n">
        <f aca="false">ROUND(INDEX(Archetypes!$I$2:$I$127, MATCH(D1604, Archetypes!$A$2:$A$127, 0))*INDEX(Unit_Grades!$C$2:$C$7, MATCH(F1604, Unit_Grades!$A$2:$A$7, 0)),1)</f>
        <v>62</v>
      </c>
      <c r="M1604" s="6" t="n">
        <f aca="false">ROUND(INDEX(Archetypes!$J$2:$J$127, MATCH(D1604, Archetypes!$A$2:$A$127, 0))*INDEX(Unit_Grades!$D$2:$D$7, MATCH(F1604, Unit_Grades!$A$2:$A$7, 0)),1)</f>
        <v>25.2</v>
      </c>
      <c r="N1604" s="6" t="n">
        <f aca="false">ROUND(M1604/24,2)</f>
        <v>1.05</v>
      </c>
    </row>
    <row r="1605" customFormat="false" ht="15" hidden="false" customHeight="true" outlineLevel="0" collapsed="false">
      <c r="A1605" s="6" t="n">
        <v>5</v>
      </c>
      <c r="B1605" s="6" t="s">
        <v>3083</v>
      </c>
      <c r="C1605" s="6" t="s">
        <v>1456</v>
      </c>
      <c r="D1605" s="6" t="str">
        <f aca="false">A1605&amp;"|"&amp;C1605</f>
        <v>5|Star-Qi Blade Saint</v>
      </c>
      <c r="E1605" s="6" t="s">
        <v>1556</v>
      </c>
      <c r="F1605" s="6" t="s">
        <v>1540</v>
      </c>
      <c r="G1605" s="6" t="str">
        <f aca="false">INDEX(Archetypes!$D$2:$D$127, MATCH(D1605, Archetypes!$A$2:$A$127, 0))</f>
        <v>Cultivator</v>
      </c>
      <c r="H1605" s="6" t="n">
        <f aca="false">ROUND(INDEX(Archetypes!$E$2:$E$127, MATCH(D1605, Archetypes!$A$2:$A$127, 0))*INDEX(Unit_Grades!$B$2:$B$7, MATCH(F1605, Unit_Grades!$A$2:$A$7, 0))*INDEX(Unit_Paths!$B$2:$B$4, MATCH(E1605, Unit_Paths!$A$2:$A$4, 0)),1)</f>
        <v>702</v>
      </c>
      <c r="I1605" s="6" t="n">
        <f aca="false">ROUND(INDEX(Archetypes!$F$2:$F$127, MATCH(D1605, Archetypes!$A$2:$A$127, 0))*INDEX(Unit_Grades!$B$2:$B$7, MATCH(F1605, Unit_Grades!$A$2:$A$7, 0))*INDEX(Unit_Paths!$C$2:$C$4, MATCH(E1605, Unit_Paths!$A$2:$A$4, 0)),1)</f>
        <v>405</v>
      </c>
      <c r="J1605" s="6" t="n">
        <f aca="false">ROUND(INDEX(Archetypes!$G$2:$G$127, MATCH(D1605, Archetypes!$A$2:$A$127, 0))*INDEX(Unit_Grades!$B$2:$B$7, MATCH(F1605, Unit_Grades!$A$2:$A$7, 0))*INDEX(Unit_Paths!$D$2:$D$4, MATCH(E1605, Unit_Paths!$A$2:$A$4, 0)),0)</f>
        <v>1755</v>
      </c>
      <c r="K1605" s="6" t="n">
        <f aca="false">ROUND(INDEX(Archetypes!$H$2:$H$127, MATCH(D1605, Archetypes!$A$2:$A$127, 0))*INDEX(Unit_Paths!$E$2:$E$4, MATCH(E1605, Unit_Paths!$A$2:$A$4, 0)),1)</f>
        <v>60</v>
      </c>
      <c r="L1605" s="6" t="n">
        <f aca="false">ROUND(INDEX(Archetypes!$I$2:$I$127, MATCH(D1605, Archetypes!$A$2:$A$127, 0))*INDEX(Unit_Grades!$C$2:$C$7, MATCH(F1605, Unit_Grades!$A$2:$A$7, 0)),1)</f>
        <v>77.5</v>
      </c>
      <c r="M1605" s="6" t="n">
        <f aca="false">ROUND(INDEX(Archetypes!$J$2:$J$127, MATCH(D1605, Archetypes!$A$2:$A$127, 0))*INDEX(Unit_Grades!$D$2:$D$7, MATCH(F1605, Unit_Grades!$A$2:$A$7, 0)),1)</f>
        <v>37.7</v>
      </c>
      <c r="N1605" s="6" t="n">
        <f aca="false">ROUND(M1605/24,2)</f>
        <v>1.57</v>
      </c>
    </row>
    <row r="1606" customFormat="false" ht="15" hidden="false" customHeight="true" outlineLevel="0" collapsed="false">
      <c r="A1606" s="6" t="n">
        <v>5</v>
      </c>
      <c r="B1606" s="6" t="s">
        <v>3084</v>
      </c>
      <c r="C1606" s="6" t="s">
        <v>1456</v>
      </c>
      <c r="D1606" s="6" t="str">
        <f aca="false">A1606&amp;"|"&amp;C1606</f>
        <v>5|Star-Qi Blade Saint</v>
      </c>
      <c r="E1606" s="6" t="s">
        <v>1556</v>
      </c>
      <c r="F1606" s="6" t="s">
        <v>1542</v>
      </c>
      <c r="G1606" s="6" t="str">
        <f aca="false">INDEX(Archetypes!$D$2:$D$127, MATCH(D1606, Archetypes!$A$2:$A$127, 0))</f>
        <v>Cultivator</v>
      </c>
      <c r="H1606" s="6" t="n">
        <f aca="false">ROUND(INDEX(Archetypes!$E$2:$E$127, MATCH(D1606, Archetypes!$A$2:$A$127, 0))*INDEX(Unit_Grades!$B$2:$B$7, MATCH(F1606, Unit_Grades!$A$2:$A$7, 0))*INDEX(Unit_Paths!$B$2:$B$4, MATCH(E1606, Unit_Paths!$A$2:$A$4, 0)),1)</f>
        <v>936</v>
      </c>
      <c r="I1606" s="6" t="n">
        <f aca="false">ROUND(INDEX(Archetypes!$F$2:$F$127, MATCH(D1606, Archetypes!$A$2:$A$127, 0))*INDEX(Unit_Grades!$B$2:$B$7, MATCH(F1606, Unit_Grades!$A$2:$A$7, 0))*INDEX(Unit_Paths!$C$2:$C$4, MATCH(E1606, Unit_Paths!$A$2:$A$4, 0)),1)</f>
        <v>540</v>
      </c>
      <c r="J1606" s="6" t="n">
        <f aca="false">ROUND(INDEX(Archetypes!$G$2:$G$127, MATCH(D1606, Archetypes!$A$2:$A$127, 0))*INDEX(Unit_Grades!$B$2:$B$7, MATCH(F1606, Unit_Grades!$A$2:$A$7, 0))*INDEX(Unit_Paths!$D$2:$D$4, MATCH(E1606, Unit_Paths!$A$2:$A$4, 0)),0)</f>
        <v>2340</v>
      </c>
      <c r="K1606" s="6" t="n">
        <f aca="false">ROUND(INDEX(Archetypes!$H$2:$H$127, MATCH(D1606, Archetypes!$A$2:$A$127, 0))*INDEX(Unit_Paths!$E$2:$E$4, MATCH(E1606, Unit_Paths!$A$2:$A$4, 0)),1)</f>
        <v>60</v>
      </c>
      <c r="L1606" s="6" t="n">
        <f aca="false">ROUND(INDEX(Archetypes!$I$2:$I$127, MATCH(D1606, Archetypes!$A$2:$A$127, 0))*INDEX(Unit_Grades!$C$2:$C$7, MATCH(F1606, Unit_Grades!$A$2:$A$7, 0)),1)</f>
        <v>99.2</v>
      </c>
      <c r="M1606" s="6" t="n">
        <f aca="false">ROUND(INDEX(Archetypes!$J$2:$J$127, MATCH(D1606, Archetypes!$A$2:$A$127, 0))*INDEX(Unit_Grades!$D$2:$D$7, MATCH(F1606, Unit_Grades!$A$2:$A$7, 0)),1)</f>
        <v>62.9</v>
      </c>
      <c r="N1606" s="6" t="n">
        <f aca="false">ROUND(M1606/24,2)</f>
        <v>2.62</v>
      </c>
    </row>
    <row r="1607" customFormat="false" ht="15" hidden="false" customHeight="true" outlineLevel="0" collapsed="false">
      <c r="A1607" s="6" t="n">
        <v>5</v>
      </c>
      <c r="B1607" s="6" t="s">
        <v>3085</v>
      </c>
      <c r="C1607" s="6" t="s">
        <v>1456</v>
      </c>
      <c r="D1607" s="6" t="str">
        <f aca="false">A1607&amp;"|"&amp;C1607</f>
        <v>5|Star-Qi Blade Saint</v>
      </c>
      <c r="E1607" s="6" t="s">
        <v>1556</v>
      </c>
      <c r="F1607" s="6" t="s">
        <v>1544</v>
      </c>
      <c r="G1607" s="6" t="str">
        <f aca="false">INDEX(Archetypes!$D$2:$D$127, MATCH(D1607, Archetypes!$A$2:$A$127, 0))</f>
        <v>Cultivator</v>
      </c>
      <c r="H1607" s="6" t="n">
        <f aca="false">ROUND(INDEX(Archetypes!$E$2:$E$127, MATCH(D1607, Archetypes!$A$2:$A$127, 0))*INDEX(Unit_Grades!$B$2:$B$7, MATCH(F1607, Unit_Grades!$A$2:$A$7, 0))*INDEX(Unit_Paths!$B$2:$B$4, MATCH(E1607, Unit_Paths!$A$2:$A$4, 0)),1)</f>
        <v>1248</v>
      </c>
      <c r="I1607" s="6" t="n">
        <f aca="false">ROUND(INDEX(Archetypes!$F$2:$F$127, MATCH(D1607, Archetypes!$A$2:$A$127, 0))*INDEX(Unit_Grades!$B$2:$B$7, MATCH(F1607, Unit_Grades!$A$2:$A$7, 0))*INDEX(Unit_Paths!$C$2:$C$4, MATCH(E1607, Unit_Paths!$A$2:$A$4, 0)),1)</f>
        <v>720</v>
      </c>
      <c r="J1607" s="6" t="n">
        <f aca="false">ROUND(INDEX(Archetypes!$G$2:$G$127, MATCH(D1607, Archetypes!$A$2:$A$127, 0))*INDEX(Unit_Grades!$B$2:$B$7, MATCH(F1607, Unit_Grades!$A$2:$A$7, 0))*INDEX(Unit_Paths!$D$2:$D$4, MATCH(E1607, Unit_Paths!$A$2:$A$4, 0)),0)</f>
        <v>3120</v>
      </c>
      <c r="K1607" s="6" t="n">
        <f aca="false">ROUND(INDEX(Archetypes!$H$2:$H$127, MATCH(D1607, Archetypes!$A$2:$A$127, 0))*INDEX(Unit_Paths!$E$2:$E$4, MATCH(E1607, Unit_Paths!$A$2:$A$4, 0)),1)</f>
        <v>60</v>
      </c>
      <c r="L1607" s="6" t="n">
        <f aca="false">ROUND(INDEX(Archetypes!$I$2:$I$127, MATCH(D1607, Archetypes!$A$2:$A$127, 0))*INDEX(Unit_Grades!$C$2:$C$7, MATCH(F1607, Unit_Grades!$A$2:$A$7, 0)),1)</f>
        <v>130.2</v>
      </c>
      <c r="M1607" s="6" t="n">
        <f aca="false">ROUND(INDEX(Archetypes!$J$2:$J$127, MATCH(D1607, Archetypes!$A$2:$A$127, 0))*INDEX(Unit_Grades!$D$2:$D$7, MATCH(F1607, Unit_Grades!$A$2:$A$7, 0)),1)</f>
        <v>100.6</v>
      </c>
      <c r="N1607" s="6" t="n">
        <f aca="false">ROUND(M1607/24,2)</f>
        <v>4.19</v>
      </c>
    </row>
    <row r="1608" customFormat="false" ht="15" hidden="false" customHeight="true" outlineLevel="0" collapsed="false">
      <c r="A1608" s="6" t="n">
        <v>5</v>
      </c>
      <c r="B1608" s="6" t="s">
        <v>3086</v>
      </c>
      <c r="C1608" s="6" t="s">
        <v>1456</v>
      </c>
      <c r="D1608" s="6" t="str">
        <f aca="false">A1608&amp;"|"&amp;C1608</f>
        <v>5|Star-Qi Blade Saint</v>
      </c>
      <c r="E1608" s="6" t="s">
        <v>1556</v>
      </c>
      <c r="F1608" s="6" t="s">
        <v>1546</v>
      </c>
      <c r="G1608" s="6" t="str">
        <f aca="false">INDEX(Archetypes!$D$2:$D$127, MATCH(D1608, Archetypes!$A$2:$A$127, 0))</f>
        <v>Cultivator</v>
      </c>
      <c r="H1608" s="6" t="n">
        <f aca="false">ROUND(INDEX(Archetypes!$E$2:$E$127, MATCH(D1608, Archetypes!$A$2:$A$127, 0))*INDEX(Unit_Grades!$B$2:$B$7, MATCH(F1608, Unit_Grades!$A$2:$A$7, 0))*INDEX(Unit_Paths!$B$2:$B$4, MATCH(E1608, Unit_Paths!$A$2:$A$4, 0)),1)</f>
        <v>1664</v>
      </c>
      <c r="I1608" s="6" t="n">
        <f aca="false">ROUND(INDEX(Archetypes!$F$2:$F$127, MATCH(D1608, Archetypes!$A$2:$A$127, 0))*INDEX(Unit_Grades!$B$2:$B$7, MATCH(F1608, Unit_Grades!$A$2:$A$7, 0))*INDEX(Unit_Paths!$C$2:$C$4, MATCH(E1608, Unit_Paths!$A$2:$A$4, 0)),1)</f>
        <v>960</v>
      </c>
      <c r="J1608" s="6" t="n">
        <f aca="false">ROUND(INDEX(Archetypes!$G$2:$G$127, MATCH(D1608, Archetypes!$A$2:$A$127, 0))*INDEX(Unit_Grades!$B$2:$B$7, MATCH(F1608, Unit_Grades!$A$2:$A$7, 0))*INDEX(Unit_Paths!$D$2:$D$4, MATCH(E1608, Unit_Paths!$A$2:$A$4, 0)),0)</f>
        <v>4160</v>
      </c>
      <c r="K1608" s="6" t="n">
        <f aca="false">ROUND(INDEX(Archetypes!$H$2:$H$127, MATCH(D1608, Archetypes!$A$2:$A$127, 0))*INDEX(Unit_Paths!$E$2:$E$4, MATCH(E1608, Unit_Paths!$A$2:$A$4, 0)),1)</f>
        <v>60</v>
      </c>
      <c r="L1608" s="6" t="n">
        <f aca="false">ROUND(INDEX(Archetypes!$I$2:$I$127, MATCH(D1608, Archetypes!$A$2:$A$127, 0))*INDEX(Unit_Grades!$C$2:$C$7, MATCH(F1608, Unit_Grades!$A$2:$A$7, 0)),1)</f>
        <v>173.6</v>
      </c>
      <c r="M1608" s="6" t="n">
        <f aca="false">ROUND(INDEX(Archetypes!$J$2:$J$127, MATCH(D1608, Archetypes!$A$2:$A$127, 0))*INDEX(Unit_Grades!$D$2:$D$7, MATCH(F1608, Unit_Grades!$A$2:$A$7, 0)),1)</f>
        <v>176.1</v>
      </c>
      <c r="N1608" s="6" t="n">
        <f aca="false">ROUND(M1608/24,2)</f>
        <v>7.34</v>
      </c>
    </row>
    <row r="1609" customFormat="false" ht="15" hidden="false" customHeight="true" outlineLevel="0" collapsed="false">
      <c r="A1609" s="6" t="n">
        <v>5</v>
      </c>
      <c r="B1609" s="6" t="s">
        <v>3087</v>
      </c>
      <c r="C1609" s="6" t="s">
        <v>1456</v>
      </c>
      <c r="D1609" s="6" t="str">
        <f aca="false">A1609&amp;"|"&amp;C1609</f>
        <v>5|Star-Qi Blade Saint</v>
      </c>
      <c r="E1609" s="6" t="s">
        <v>1556</v>
      </c>
      <c r="F1609" s="6" t="s">
        <v>1548</v>
      </c>
      <c r="G1609" s="6" t="str">
        <f aca="false">INDEX(Archetypes!$D$2:$D$127, MATCH(D1609, Archetypes!$A$2:$A$127, 0))</f>
        <v>Cultivator</v>
      </c>
      <c r="H1609" s="6" t="n">
        <f aca="false">ROUND(INDEX(Archetypes!$E$2:$E$127, MATCH(D1609, Archetypes!$A$2:$A$127, 0))*INDEX(Unit_Grades!$B$2:$B$7, MATCH(F1609, Unit_Grades!$A$2:$A$7, 0))*INDEX(Unit_Paths!$B$2:$B$4, MATCH(E1609, Unit_Paths!$A$2:$A$4, 0)),1)</f>
        <v>2184</v>
      </c>
      <c r="I1609" s="6" t="n">
        <f aca="false">ROUND(INDEX(Archetypes!$F$2:$F$127, MATCH(D1609, Archetypes!$A$2:$A$127, 0))*INDEX(Unit_Grades!$B$2:$B$7, MATCH(F1609, Unit_Grades!$A$2:$A$7, 0))*INDEX(Unit_Paths!$C$2:$C$4, MATCH(E1609, Unit_Paths!$A$2:$A$4, 0)),1)</f>
        <v>1260</v>
      </c>
      <c r="J1609" s="6" t="n">
        <f aca="false">ROUND(INDEX(Archetypes!$G$2:$G$127, MATCH(D1609, Archetypes!$A$2:$A$127, 0))*INDEX(Unit_Grades!$B$2:$B$7, MATCH(F1609, Unit_Grades!$A$2:$A$7, 0))*INDEX(Unit_Paths!$D$2:$D$4, MATCH(E1609, Unit_Paths!$A$2:$A$4, 0)),0)</f>
        <v>5460</v>
      </c>
      <c r="K1609" s="6" t="n">
        <f aca="false">ROUND(INDEX(Archetypes!$H$2:$H$127, MATCH(D1609, Archetypes!$A$2:$A$127, 0))*INDEX(Unit_Paths!$E$2:$E$4, MATCH(E1609, Unit_Paths!$A$2:$A$4, 0)),1)</f>
        <v>60</v>
      </c>
      <c r="L1609" s="6" t="n">
        <f aca="false">ROUND(INDEX(Archetypes!$I$2:$I$127, MATCH(D1609, Archetypes!$A$2:$A$127, 0))*INDEX(Unit_Grades!$C$2:$C$7, MATCH(F1609, Unit_Grades!$A$2:$A$7, 0)),1)</f>
        <v>229.4</v>
      </c>
      <c r="M1609" s="6" t="n">
        <f aca="false">ROUND(INDEX(Archetypes!$J$2:$J$127, MATCH(D1609, Archetypes!$A$2:$A$127, 0))*INDEX(Unit_Grades!$D$2:$D$7, MATCH(F1609, Unit_Grades!$A$2:$A$7, 0)),1)</f>
        <v>301.9</v>
      </c>
      <c r="N1609" s="6" t="n">
        <f aca="false">ROUND(M1609/24,2)</f>
        <v>12.58</v>
      </c>
    </row>
    <row r="1610" customFormat="false" ht="15" hidden="false" customHeight="true" outlineLevel="0" collapsed="false">
      <c r="A1610" s="6" t="n">
        <v>5</v>
      </c>
      <c r="B1610" s="6" t="s">
        <v>3088</v>
      </c>
      <c r="C1610" s="6" t="s">
        <v>1456</v>
      </c>
      <c r="D1610" s="6" t="str">
        <f aca="false">A1610&amp;"|"&amp;C1610</f>
        <v>5|Star-Qi Blade Saint</v>
      </c>
      <c r="E1610" s="6" t="s">
        <v>1558</v>
      </c>
      <c r="F1610" s="6" t="s">
        <v>1538</v>
      </c>
      <c r="G1610" s="6" t="str">
        <f aca="false">INDEX(Archetypes!$D$2:$D$127, MATCH(D1610, Archetypes!$A$2:$A$127, 0))</f>
        <v>Cultivator</v>
      </c>
      <c r="H1610" s="6" t="n">
        <f aca="false">ROUND(INDEX(Archetypes!$E$2:$E$127, MATCH(D1610, Archetypes!$A$2:$A$127, 0))*INDEX(Unit_Grades!$B$2:$B$7, MATCH(F1610, Unit_Grades!$A$2:$A$7, 0))*INDEX(Unit_Paths!$B$2:$B$4, MATCH(E1610, Unit_Paths!$A$2:$A$4, 0)),1)</f>
        <v>624</v>
      </c>
      <c r="I1610" s="6" t="n">
        <f aca="false">ROUND(INDEX(Archetypes!$F$2:$F$127, MATCH(D1610, Archetypes!$A$2:$A$127, 0))*INDEX(Unit_Grades!$B$2:$B$7, MATCH(F1610, Unit_Grades!$A$2:$A$7, 0))*INDEX(Unit_Paths!$C$2:$C$4, MATCH(E1610, Unit_Paths!$A$2:$A$4, 0)),1)</f>
        <v>255</v>
      </c>
      <c r="J1610" s="6" t="n">
        <f aca="false">ROUND(INDEX(Archetypes!$G$2:$G$127, MATCH(D1610, Archetypes!$A$2:$A$127, 0))*INDEX(Unit_Grades!$B$2:$B$7, MATCH(F1610, Unit_Grades!$A$2:$A$7, 0))*INDEX(Unit_Paths!$D$2:$D$4, MATCH(E1610, Unit_Paths!$A$2:$A$4, 0)),0)</f>
        <v>1235</v>
      </c>
      <c r="K1610" s="6" t="n">
        <f aca="false">ROUND(INDEX(Archetypes!$H$2:$H$127, MATCH(D1610, Archetypes!$A$2:$A$127, 0))*INDEX(Unit_Paths!$E$2:$E$4, MATCH(E1610, Unit_Paths!$A$2:$A$4, 0)),1)</f>
        <v>63</v>
      </c>
      <c r="L1610" s="6" t="n">
        <f aca="false">ROUND(INDEX(Archetypes!$I$2:$I$127, MATCH(D1610, Archetypes!$A$2:$A$127, 0))*INDEX(Unit_Grades!$C$2:$C$7, MATCH(F1610, Unit_Grades!$A$2:$A$7, 0)),1)</f>
        <v>62</v>
      </c>
      <c r="M1610" s="6" t="n">
        <f aca="false">ROUND(INDEX(Archetypes!$J$2:$J$127, MATCH(D1610, Archetypes!$A$2:$A$127, 0))*INDEX(Unit_Grades!$D$2:$D$7, MATCH(F1610, Unit_Grades!$A$2:$A$7, 0)),1)</f>
        <v>25.2</v>
      </c>
      <c r="N1610" s="6" t="n">
        <f aca="false">ROUND(M1610/24,2)</f>
        <v>1.05</v>
      </c>
    </row>
    <row r="1611" customFormat="false" ht="15" hidden="false" customHeight="true" outlineLevel="0" collapsed="false">
      <c r="A1611" s="6" t="n">
        <v>5</v>
      </c>
      <c r="B1611" s="6" t="s">
        <v>3089</v>
      </c>
      <c r="C1611" s="6" t="s">
        <v>1456</v>
      </c>
      <c r="D1611" s="6" t="str">
        <f aca="false">A1611&amp;"|"&amp;C1611</f>
        <v>5|Star-Qi Blade Saint</v>
      </c>
      <c r="E1611" s="6" t="s">
        <v>1558</v>
      </c>
      <c r="F1611" s="6" t="s">
        <v>1540</v>
      </c>
      <c r="G1611" s="6" t="str">
        <f aca="false">INDEX(Archetypes!$D$2:$D$127, MATCH(D1611, Archetypes!$A$2:$A$127, 0))</f>
        <v>Cultivator</v>
      </c>
      <c r="H1611" s="6" t="n">
        <f aca="false">ROUND(INDEX(Archetypes!$E$2:$E$127, MATCH(D1611, Archetypes!$A$2:$A$127, 0))*INDEX(Unit_Grades!$B$2:$B$7, MATCH(F1611, Unit_Grades!$A$2:$A$7, 0))*INDEX(Unit_Paths!$B$2:$B$4, MATCH(E1611, Unit_Paths!$A$2:$A$4, 0)),1)</f>
        <v>842.4</v>
      </c>
      <c r="I1611" s="6" t="n">
        <f aca="false">ROUND(INDEX(Archetypes!$F$2:$F$127, MATCH(D1611, Archetypes!$A$2:$A$127, 0))*INDEX(Unit_Grades!$B$2:$B$7, MATCH(F1611, Unit_Grades!$A$2:$A$7, 0))*INDEX(Unit_Paths!$C$2:$C$4, MATCH(E1611, Unit_Paths!$A$2:$A$4, 0)),1)</f>
        <v>344.3</v>
      </c>
      <c r="J1611" s="6" t="n">
        <f aca="false">ROUND(INDEX(Archetypes!$G$2:$G$127, MATCH(D1611, Archetypes!$A$2:$A$127, 0))*INDEX(Unit_Grades!$B$2:$B$7, MATCH(F1611, Unit_Grades!$A$2:$A$7, 0))*INDEX(Unit_Paths!$D$2:$D$4, MATCH(E1611, Unit_Paths!$A$2:$A$4, 0)),0)</f>
        <v>1667</v>
      </c>
      <c r="K1611" s="6" t="n">
        <f aca="false">ROUND(INDEX(Archetypes!$H$2:$H$127, MATCH(D1611, Archetypes!$A$2:$A$127, 0))*INDEX(Unit_Paths!$E$2:$E$4, MATCH(E1611, Unit_Paths!$A$2:$A$4, 0)),1)</f>
        <v>63</v>
      </c>
      <c r="L1611" s="6" t="n">
        <f aca="false">ROUND(INDEX(Archetypes!$I$2:$I$127, MATCH(D1611, Archetypes!$A$2:$A$127, 0))*INDEX(Unit_Grades!$C$2:$C$7, MATCH(F1611, Unit_Grades!$A$2:$A$7, 0)),1)</f>
        <v>77.5</v>
      </c>
      <c r="M1611" s="6" t="n">
        <f aca="false">ROUND(INDEX(Archetypes!$J$2:$J$127, MATCH(D1611, Archetypes!$A$2:$A$127, 0))*INDEX(Unit_Grades!$D$2:$D$7, MATCH(F1611, Unit_Grades!$A$2:$A$7, 0)),1)</f>
        <v>37.7</v>
      </c>
      <c r="N1611" s="6" t="n">
        <f aca="false">ROUND(M1611/24,2)</f>
        <v>1.57</v>
      </c>
    </row>
    <row r="1612" customFormat="false" ht="15" hidden="false" customHeight="true" outlineLevel="0" collapsed="false">
      <c r="A1612" s="6" t="n">
        <v>5</v>
      </c>
      <c r="B1612" s="6" t="s">
        <v>3090</v>
      </c>
      <c r="C1612" s="6" t="s">
        <v>1456</v>
      </c>
      <c r="D1612" s="6" t="str">
        <f aca="false">A1612&amp;"|"&amp;C1612</f>
        <v>5|Star-Qi Blade Saint</v>
      </c>
      <c r="E1612" s="6" t="s">
        <v>1558</v>
      </c>
      <c r="F1612" s="6" t="s">
        <v>1542</v>
      </c>
      <c r="G1612" s="6" t="str">
        <f aca="false">INDEX(Archetypes!$D$2:$D$127, MATCH(D1612, Archetypes!$A$2:$A$127, 0))</f>
        <v>Cultivator</v>
      </c>
      <c r="H1612" s="6" t="n">
        <f aca="false">ROUND(INDEX(Archetypes!$E$2:$E$127, MATCH(D1612, Archetypes!$A$2:$A$127, 0))*INDEX(Unit_Grades!$B$2:$B$7, MATCH(F1612, Unit_Grades!$A$2:$A$7, 0))*INDEX(Unit_Paths!$B$2:$B$4, MATCH(E1612, Unit_Paths!$A$2:$A$4, 0)),1)</f>
        <v>1123.2</v>
      </c>
      <c r="I1612" s="6" t="n">
        <f aca="false">ROUND(INDEX(Archetypes!$F$2:$F$127, MATCH(D1612, Archetypes!$A$2:$A$127, 0))*INDEX(Unit_Grades!$B$2:$B$7, MATCH(F1612, Unit_Grades!$A$2:$A$7, 0))*INDEX(Unit_Paths!$C$2:$C$4, MATCH(E1612, Unit_Paths!$A$2:$A$4, 0)),1)</f>
        <v>459</v>
      </c>
      <c r="J1612" s="6" t="n">
        <f aca="false">ROUND(INDEX(Archetypes!$G$2:$G$127, MATCH(D1612, Archetypes!$A$2:$A$127, 0))*INDEX(Unit_Grades!$B$2:$B$7, MATCH(F1612, Unit_Grades!$A$2:$A$7, 0))*INDEX(Unit_Paths!$D$2:$D$4, MATCH(E1612, Unit_Paths!$A$2:$A$4, 0)),0)</f>
        <v>2223</v>
      </c>
      <c r="K1612" s="6" t="n">
        <f aca="false">ROUND(INDEX(Archetypes!$H$2:$H$127, MATCH(D1612, Archetypes!$A$2:$A$127, 0))*INDEX(Unit_Paths!$E$2:$E$4, MATCH(E1612, Unit_Paths!$A$2:$A$4, 0)),1)</f>
        <v>63</v>
      </c>
      <c r="L1612" s="6" t="n">
        <f aca="false">ROUND(INDEX(Archetypes!$I$2:$I$127, MATCH(D1612, Archetypes!$A$2:$A$127, 0))*INDEX(Unit_Grades!$C$2:$C$7, MATCH(F1612, Unit_Grades!$A$2:$A$7, 0)),1)</f>
        <v>99.2</v>
      </c>
      <c r="M1612" s="6" t="n">
        <f aca="false">ROUND(INDEX(Archetypes!$J$2:$J$127, MATCH(D1612, Archetypes!$A$2:$A$127, 0))*INDEX(Unit_Grades!$D$2:$D$7, MATCH(F1612, Unit_Grades!$A$2:$A$7, 0)),1)</f>
        <v>62.9</v>
      </c>
      <c r="N1612" s="6" t="n">
        <f aca="false">ROUND(M1612/24,2)</f>
        <v>2.62</v>
      </c>
    </row>
    <row r="1613" customFormat="false" ht="15" hidden="false" customHeight="true" outlineLevel="0" collapsed="false">
      <c r="A1613" s="6" t="n">
        <v>5</v>
      </c>
      <c r="B1613" s="6" t="s">
        <v>3091</v>
      </c>
      <c r="C1613" s="6" t="s">
        <v>1456</v>
      </c>
      <c r="D1613" s="6" t="str">
        <f aca="false">A1613&amp;"|"&amp;C1613</f>
        <v>5|Star-Qi Blade Saint</v>
      </c>
      <c r="E1613" s="6" t="s">
        <v>1558</v>
      </c>
      <c r="F1613" s="6" t="s">
        <v>1544</v>
      </c>
      <c r="G1613" s="6" t="str">
        <f aca="false">INDEX(Archetypes!$D$2:$D$127, MATCH(D1613, Archetypes!$A$2:$A$127, 0))</f>
        <v>Cultivator</v>
      </c>
      <c r="H1613" s="6" t="n">
        <f aca="false">ROUND(INDEX(Archetypes!$E$2:$E$127, MATCH(D1613, Archetypes!$A$2:$A$127, 0))*INDEX(Unit_Grades!$B$2:$B$7, MATCH(F1613, Unit_Grades!$A$2:$A$7, 0))*INDEX(Unit_Paths!$B$2:$B$4, MATCH(E1613, Unit_Paths!$A$2:$A$4, 0)),1)</f>
        <v>1497.6</v>
      </c>
      <c r="I1613" s="6" t="n">
        <f aca="false">ROUND(INDEX(Archetypes!$F$2:$F$127, MATCH(D1613, Archetypes!$A$2:$A$127, 0))*INDEX(Unit_Grades!$B$2:$B$7, MATCH(F1613, Unit_Grades!$A$2:$A$7, 0))*INDEX(Unit_Paths!$C$2:$C$4, MATCH(E1613, Unit_Paths!$A$2:$A$4, 0)),1)</f>
        <v>612</v>
      </c>
      <c r="J1613" s="6" t="n">
        <f aca="false">ROUND(INDEX(Archetypes!$G$2:$G$127, MATCH(D1613, Archetypes!$A$2:$A$127, 0))*INDEX(Unit_Grades!$B$2:$B$7, MATCH(F1613, Unit_Grades!$A$2:$A$7, 0))*INDEX(Unit_Paths!$D$2:$D$4, MATCH(E1613, Unit_Paths!$A$2:$A$4, 0)),0)</f>
        <v>2964</v>
      </c>
      <c r="K1613" s="6" t="n">
        <f aca="false">ROUND(INDEX(Archetypes!$H$2:$H$127, MATCH(D1613, Archetypes!$A$2:$A$127, 0))*INDEX(Unit_Paths!$E$2:$E$4, MATCH(E1613, Unit_Paths!$A$2:$A$4, 0)),1)</f>
        <v>63</v>
      </c>
      <c r="L1613" s="6" t="n">
        <f aca="false">ROUND(INDEX(Archetypes!$I$2:$I$127, MATCH(D1613, Archetypes!$A$2:$A$127, 0))*INDEX(Unit_Grades!$C$2:$C$7, MATCH(F1613, Unit_Grades!$A$2:$A$7, 0)),1)</f>
        <v>130.2</v>
      </c>
      <c r="M1613" s="6" t="n">
        <f aca="false">ROUND(INDEX(Archetypes!$J$2:$J$127, MATCH(D1613, Archetypes!$A$2:$A$127, 0))*INDEX(Unit_Grades!$D$2:$D$7, MATCH(F1613, Unit_Grades!$A$2:$A$7, 0)),1)</f>
        <v>100.6</v>
      </c>
      <c r="N1613" s="6" t="n">
        <f aca="false">ROUND(M1613/24,2)</f>
        <v>4.19</v>
      </c>
    </row>
    <row r="1614" customFormat="false" ht="15" hidden="false" customHeight="true" outlineLevel="0" collapsed="false">
      <c r="A1614" s="6" t="n">
        <v>5</v>
      </c>
      <c r="B1614" s="6" t="s">
        <v>3092</v>
      </c>
      <c r="C1614" s="6" t="s">
        <v>1456</v>
      </c>
      <c r="D1614" s="6" t="str">
        <f aca="false">A1614&amp;"|"&amp;C1614</f>
        <v>5|Star-Qi Blade Saint</v>
      </c>
      <c r="E1614" s="6" t="s">
        <v>1558</v>
      </c>
      <c r="F1614" s="6" t="s">
        <v>1546</v>
      </c>
      <c r="G1614" s="6" t="str">
        <f aca="false">INDEX(Archetypes!$D$2:$D$127, MATCH(D1614, Archetypes!$A$2:$A$127, 0))</f>
        <v>Cultivator</v>
      </c>
      <c r="H1614" s="6" t="n">
        <f aca="false">ROUND(INDEX(Archetypes!$E$2:$E$127, MATCH(D1614, Archetypes!$A$2:$A$127, 0))*INDEX(Unit_Grades!$B$2:$B$7, MATCH(F1614, Unit_Grades!$A$2:$A$7, 0))*INDEX(Unit_Paths!$B$2:$B$4, MATCH(E1614, Unit_Paths!$A$2:$A$4, 0)),1)</f>
        <v>1996.8</v>
      </c>
      <c r="I1614" s="6" t="n">
        <f aca="false">ROUND(INDEX(Archetypes!$F$2:$F$127, MATCH(D1614, Archetypes!$A$2:$A$127, 0))*INDEX(Unit_Grades!$B$2:$B$7, MATCH(F1614, Unit_Grades!$A$2:$A$7, 0))*INDEX(Unit_Paths!$C$2:$C$4, MATCH(E1614, Unit_Paths!$A$2:$A$4, 0)),1)</f>
        <v>816</v>
      </c>
      <c r="J1614" s="6" t="n">
        <f aca="false">ROUND(INDEX(Archetypes!$G$2:$G$127, MATCH(D1614, Archetypes!$A$2:$A$127, 0))*INDEX(Unit_Grades!$B$2:$B$7, MATCH(F1614, Unit_Grades!$A$2:$A$7, 0))*INDEX(Unit_Paths!$D$2:$D$4, MATCH(E1614, Unit_Paths!$A$2:$A$4, 0)),0)</f>
        <v>3952</v>
      </c>
      <c r="K1614" s="6" t="n">
        <f aca="false">ROUND(INDEX(Archetypes!$H$2:$H$127, MATCH(D1614, Archetypes!$A$2:$A$127, 0))*INDEX(Unit_Paths!$E$2:$E$4, MATCH(E1614, Unit_Paths!$A$2:$A$4, 0)),1)</f>
        <v>63</v>
      </c>
      <c r="L1614" s="6" t="n">
        <f aca="false">ROUND(INDEX(Archetypes!$I$2:$I$127, MATCH(D1614, Archetypes!$A$2:$A$127, 0))*INDEX(Unit_Grades!$C$2:$C$7, MATCH(F1614, Unit_Grades!$A$2:$A$7, 0)),1)</f>
        <v>173.6</v>
      </c>
      <c r="M1614" s="6" t="n">
        <f aca="false">ROUND(INDEX(Archetypes!$J$2:$J$127, MATCH(D1614, Archetypes!$A$2:$A$127, 0))*INDEX(Unit_Grades!$D$2:$D$7, MATCH(F1614, Unit_Grades!$A$2:$A$7, 0)),1)</f>
        <v>176.1</v>
      </c>
      <c r="N1614" s="6" t="n">
        <f aca="false">ROUND(M1614/24,2)</f>
        <v>7.34</v>
      </c>
    </row>
    <row r="1615" customFormat="false" ht="15" hidden="false" customHeight="true" outlineLevel="0" collapsed="false">
      <c r="A1615" s="6" t="n">
        <v>5</v>
      </c>
      <c r="B1615" s="6" t="s">
        <v>3093</v>
      </c>
      <c r="C1615" s="6" t="s">
        <v>1456</v>
      </c>
      <c r="D1615" s="6" t="str">
        <f aca="false">A1615&amp;"|"&amp;C1615</f>
        <v>5|Star-Qi Blade Saint</v>
      </c>
      <c r="E1615" s="6" t="s">
        <v>1558</v>
      </c>
      <c r="F1615" s="6" t="s">
        <v>1548</v>
      </c>
      <c r="G1615" s="6" t="str">
        <f aca="false">INDEX(Archetypes!$D$2:$D$127, MATCH(D1615, Archetypes!$A$2:$A$127, 0))</f>
        <v>Cultivator</v>
      </c>
      <c r="H1615" s="6" t="n">
        <f aca="false">ROUND(INDEX(Archetypes!$E$2:$E$127, MATCH(D1615, Archetypes!$A$2:$A$127, 0))*INDEX(Unit_Grades!$B$2:$B$7, MATCH(F1615, Unit_Grades!$A$2:$A$7, 0))*INDEX(Unit_Paths!$B$2:$B$4, MATCH(E1615, Unit_Paths!$A$2:$A$4, 0)),1)</f>
        <v>2620.8</v>
      </c>
      <c r="I1615" s="6" t="n">
        <f aca="false">ROUND(INDEX(Archetypes!$F$2:$F$127, MATCH(D1615, Archetypes!$A$2:$A$127, 0))*INDEX(Unit_Grades!$B$2:$B$7, MATCH(F1615, Unit_Grades!$A$2:$A$7, 0))*INDEX(Unit_Paths!$C$2:$C$4, MATCH(E1615, Unit_Paths!$A$2:$A$4, 0)),1)</f>
        <v>1071</v>
      </c>
      <c r="J1615" s="6" t="n">
        <f aca="false">ROUND(INDEX(Archetypes!$G$2:$G$127, MATCH(D1615, Archetypes!$A$2:$A$127, 0))*INDEX(Unit_Grades!$B$2:$B$7, MATCH(F1615, Unit_Grades!$A$2:$A$7, 0))*INDEX(Unit_Paths!$D$2:$D$4, MATCH(E1615, Unit_Paths!$A$2:$A$4, 0)),0)</f>
        <v>5187</v>
      </c>
      <c r="K1615" s="6" t="n">
        <f aca="false">ROUND(INDEX(Archetypes!$H$2:$H$127, MATCH(D1615, Archetypes!$A$2:$A$127, 0))*INDEX(Unit_Paths!$E$2:$E$4, MATCH(E1615, Unit_Paths!$A$2:$A$4, 0)),1)</f>
        <v>63</v>
      </c>
      <c r="L1615" s="6" t="n">
        <f aca="false">ROUND(INDEX(Archetypes!$I$2:$I$127, MATCH(D1615, Archetypes!$A$2:$A$127, 0))*INDEX(Unit_Grades!$C$2:$C$7, MATCH(F1615, Unit_Grades!$A$2:$A$7, 0)),1)</f>
        <v>229.4</v>
      </c>
      <c r="M1615" s="6" t="n">
        <f aca="false">ROUND(INDEX(Archetypes!$J$2:$J$127, MATCH(D1615, Archetypes!$A$2:$A$127, 0))*INDEX(Unit_Grades!$D$2:$D$7, MATCH(F1615, Unit_Grades!$A$2:$A$7, 0)),1)</f>
        <v>301.9</v>
      </c>
      <c r="N1615" s="6" t="n">
        <f aca="false">ROUND(M1615/24,2)</f>
        <v>12.58</v>
      </c>
    </row>
    <row r="1616" customFormat="false" ht="15" hidden="false" customHeight="true" outlineLevel="0" collapsed="false">
      <c r="A1616" s="6" t="n">
        <v>5</v>
      </c>
      <c r="B1616" s="6" t="s">
        <v>3094</v>
      </c>
      <c r="C1616" s="6" t="s">
        <v>1456</v>
      </c>
      <c r="D1616" s="6" t="str">
        <f aca="false">A1616&amp;"|"&amp;C1616</f>
        <v>5|Star-Qi Blade Saint</v>
      </c>
      <c r="E1616" s="6" t="s">
        <v>1560</v>
      </c>
      <c r="F1616" s="6" t="s">
        <v>1538</v>
      </c>
      <c r="G1616" s="6" t="str">
        <f aca="false">INDEX(Archetypes!$D$2:$D$127, MATCH(D1616, Archetypes!$A$2:$A$127, 0))</f>
        <v>Cultivator</v>
      </c>
      <c r="H1616" s="6" t="n">
        <f aca="false">ROUND(INDEX(Archetypes!$E$2:$E$127, MATCH(D1616, Archetypes!$A$2:$A$127, 0))*INDEX(Unit_Grades!$B$2:$B$7, MATCH(F1616, Unit_Grades!$A$2:$A$7, 0))*INDEX(Unit_Paths!$B$2:$B$4, MATCH(E1616, Unit_Paths!$A$2:$A$4, 0)),1)</f>
        <v>442</v>
      </c>
      <c r="I1616" s="6" t="n">
        <f aca="false">ROUND(INDEX(Archetypes!$F$2:$F$127, MATCH(D1616, Archetypes!$A$2:$A$127, 0))*INDEX(Unit_Grades!$B$2:$B$7, MATCH(F1616, Unit_Grades!$A$2:$A$7, 0))*INDEX(Unit_Paths!$C$2:$C$4, MATCH(E1616, Unit_Paths!$A$2:$A$4, 0)),1)</f>
        <v>375</v>
      </c>
      <c r="J1616" s="6" t="n">
        <f aca="false">ROUND(INDEX(Archetypes!$G$2:$G$127, MATCH(D1616, Archetypes!$A$2:$A$127, 0))*INDEX(Unit_Grades!$B$2:$B$7, MATCH(F1616, Unit_Grades!$A$2:$A$7, 0))*INDEX(Unit_Paths!$D$2:$D$4, MATCH(E1616, Unit_Paths!$A$2:$A$4, 0)),0)</f>
        <v>1495</v>
      </c>
      <c r="K1616" s="6" t="n">
        <f aca="false">ROUND(INDEX(Archetypes!$H$2:$H$127, MATCH(D1616, Archetypes!$A$2:$A$127, 0))*INDEX(Unit_Paths!$E$2:$E$4, MATCH(E1616, Unit_Paths!$A$2:$A$4, 0)),1)</f>
        <v>55.2</v>
      </c>
      <c r="L1616" s="6" t="n">
        <f aca="false">ROUND(INDEX(Archetypes!$I$2:$I$127, MATCH(D1616, Archetypes!$A$2:$A$127, 0))*INDEX(Unit_Grades!$C$2:$C$7, MATCH(F1616, Unit_Grades!$A$2:$A$7, 0)),1)</f>
        <v>62</v>
      </c>
      <c r="M1616" s="6" t="n">
        <f aca="false">ROUND(INDEX(Archetypes!$J$2:$J$127, MATCH(D1616, Archetypes!$A$2:$A$127, 0))*INDEX(Unit_Grades!$D$2:$D$7, MATCH(F1616, Unit_Grades!$A$2:$A$7, 0)),1)</f>
        <v>25.2</v>
      </c>
      <c r="N1616" s="6" t="n">
        <f aca="false">ROUND(M1616/24,2)</f>
        <v>1.05</v>
      </c>
    </row>
    <row r="1617" customFormat="false" ht="15" hidden="false" customHeight="true" outlineLevel="0" collapsed="false">
      <c r="A1617" s="6" t="n">
        <v>5</v>
      </c>
      <c r="B1617" s="6" t="s">
        <v>3095</v>
      </c>
      <c r="C1617" s="6" t="s">
        <v>1456</v>
      </c>
      <c r="D1617" s="6" t="str">
        <f aca="false">A1617&amp;"|"&amp;C1617</f>
        <v>5|Star-Qi Blade Saint</v>
      </c>
      <c r="E1617" s="6" t="s">
        <v>1560</v>
      </c>
      <c r="F1617" s="6" t="s">
        <v>1540</v>
      </c>
      <c r="G1617" s="6" t="str">
        <f aca="false">INDEX(Archetypes!$D$2:$D$127, MATCH(D1617, Archetypes!$A$2:$A$127, 0))</f>
        <v>Cultivator</v>
      </c>
      <c r="H1617" s="6" t="n">
        <f aca="false">ROUND(INDEX(Archetypes!$E$2:$E$127, MATCH(D1617, Archetypes!$A$2:$A$127, 0))*INDEX(Unit_Grades!$B$2:$B$7, MATCH(F1617, Unit_Grades!$A$2:$A$7, 0))*INDEX(Unit_Paths!$B$2:$B$4, MATCH(E1617, Unit_Paths!$A$2:$A$4, 0)),1)</f>
        <v>596.7</v>
      </c>
      <c r="I1617" s="6" t="n">
        <f aca="false">ROUND(INDEX(Archetypes!$F$2:$F$127, MATCH(D1617, Archetypes!$A$2:$A$127, 0))*INDEX(Unit_Grades!$B$2:$B$7, MATCH(F1617, Unit_Grades!$A$2:$A$7, 0))*INDEX(Unit_Paths!$C$2:$C$4, MATCH(E1617, Unit_Paths!$A$2:$A$4, 0)),1)</f>
        <v>506.3</v>
      </c>
      <c r="J1617" s="6" t="n">
        <f aca="false">ROUND(INDEX(Archetypes!$G$2:$G$127, MATCH(D1617, Archetypes!$A$2:$A$127, 0))*INDEX(Unit_Grades!$B$2:$B$7, MATCH(F1617, Unit_Grades!$A$2:$A$7, 0))*INDEX(Unit_Paths!$D$2:$D$4, MATCH(E1617, Unit_Paths!$A$2:$A$4, 0)),0)</f>
        <v>2018</v>
      </c>
      <c r="K1617" s="6" t="n">
        <f aca="false">ROUND(INDEX(Archetypes!$H$2:$H$127, MATCH(D1617, Archetypes!$A$2:$A$127, 0))*INDEX(Unit_Paths!$E$2:$E$4, MATCH(E1617, Unit_Paths!$A$2:$A$4, 0)),1)</f>
        <v>55.2</v>
      </c>
      <c r="L1617" s="6" t="n">
        <f aca="false">ROUND(INDEX(Archetypes!$I$2:$I$127, MATCH(D1617, Archetypes!$A$2:$A$127, 0))*INDEX(Unit_Grades!$C$2:$C$7, MATCH(F1617, Unit_Grades!$A$2:$A$7, 0)),1)</f>
        <v>77.5</v>
      </c>
      <c r="M1617" s="6" t="n">
        <f aca="false">ROUND(INDEX(Archetypes!$J$2:$J$127, MATCH(D1617, Archetypes!$A$2:$A$127, 0))*INDEX(Unit_Grades!$D$2:$D$7, MATCH(F1617, Unit_Grades!$A$2:$A$7, 0)),1)</f>
        <v>37.7</v>
      </c>
      <c r="N1617" s="6" t="n">
        <f aca="false">ROUND(M1617/24,2)</f>
        <v>1.57</v>
      </c>
    </row>
    <row r="1618" customFormat="false" ht="15" hidden="false" customHeight="true" outlineLevel="0" collapsed="false">
      <c r="A1618" s="6" t="n">
        <v>5</v>
      </c>
      <c r="B1618" s="6" t="s">
        <v>3096</v>
      </c>
      <c r="C1618" s="6" t="s">
        <v>1456</v>
      </c>
      <c r="D1618" s="6" t="str">
        <f aca="false">A1618&amp;"|"&amp;C1618</f>
        <v>5|Star-Qi Blade Saint</v>
      </c>
      <c r="E1618" s="6" t="s">
        <v>1560</v>
      </c>
      <c r="F1618" s="6" t="s">
        <v>1542</v>
      </c>
      <c r="G1618" s="6" t="str">
        <f aca="false">INDEX(Archetypes!$D$2:$D$127, MATCH(D1618, Archetypes!$A$2:$A$127, 0))</f>
        <v>Cultivator</v>
      </c>
      <c r="H1618" s="6" t="n">
        <f aca="false">ROUND(INDEX(Archetypes!$E$2:$E$127, MATCH(D1618, Archetypes!$A$2:$A$127, 0))*INDEX(Unit_Grades!$B$2:$B$7, MATCH(F1618, Unit_Grades!$A$2:$A$7, 0))*INDEX(Unit_Paths!$B$2:$B$4, MATCH(E1618, Unit_Paths!$A$2:$A$4, 0)),1)</f>
        <v>795.6</v>
      </c>
      <c r="I1618" s="6" t="n">
        <f aca="false">ROUND(INDEX(Archetypes!$F$2:$F$127, MATCH(D1618, Archetypes!$A$2:$A$127, 0))*INDEX(Unit_Grades!$B$2:$B$7, MATCH(F1618, Unit_Grades!$A$2:$A$7, 0))*INDEX(Unit_Paths!$C$2:$C$4, MATCH(E1618, Unit_Paths!$A$2:$A$4, 0)),1)</f>
        <v>675</v>
      </c>
      <c r="J1618" s="6" t="n">
        <f aca="false">ROUND(INDEX(Archetypes!$G$2:$G$127, MATCH(D1618, Archetypes!$A$2:$A$127, 0))*INDEX(Unit_Grades!$B$2:$B$7, MATCH(F1618, Unit_Grades!$A$2:$A$7, 0))*INDEX(Unit_Paths!$D$2:$D$4, MATCH(E1618, Unit_Paths!$A$2:$A$4, 0)),0)</f>
        <v>2691</v>
      </c>
      <c r="K1618" s="6" t="n">
        <f aca="false">ROUND(INDEX(Archetypes!$H$2:$H$127, MATCH(D1618, Archetypes!$A$2:$A$127, 0))*INDEX(Unit_Paths!$E$2:$E$4, MATCH(E1618, Unit_Paths!$A$2:$A$4, 0)),1)</f>
        <v>55.2</v>
      </c>
      <c r="L1618" s="6" t="n">
        <f aca="false">ROUND(INDEX(Archetypes!$I$2:$I$127, MATCH(D1618, Archetypes!$A$2:$A$127, 0))*INDEX(Unit_Grades!$C$2:$C$7, MATCH(F1618, Unit_Grades!$A$2:$A$7, 0)),1)</f>
        <v>99.2</v>
      </c>
      <c r="M1618" s="6" t="n">
        <f aca="false">ROUND(INDEX(Archetypes!$J$2:$J$127, MATCH(D1618, Archetypes!$A$2:$A$127, 0))*INDEX(Unit_Grades!$D$2:$D$7, MATCH(F1618, Unit_Grades!$A$2:$A$7, 0)),1)</f>
        <v>62.9</v>
      </c>
      <c r="N1618" s="6" t="n">
        <f aca="false">ROUND(M1618/24,2)</f>
        <v>2.62</v>
      </c>
    </row>
    <row r="1619" customFormat="false" ht="15" hidden="false" customHeight="true" outlineLevel="0" collapsed="false">
      <c r="A1619" s="6" t="n">
        <v>5</v>
      </c>
      <c r="B1619" s="6" t="s">
        <v>3097</v>
      </c>
      <c r="C1619" s="6" t="s">
        <v>1456</v>
      </c>
      <c r="D1619" s="6" t="str">
        <f aca="false">A1619&amp;"|"&amp;C1619</f>
        <v>5|Star-Qi Blade Saint</v>
      </c>
      <c r="E1619" s="6" t="s">
        <v>1560</v>
      </c>
      <c r="F1619" s="6" t="s">
        <v>1544</v>
      </c>
      <c r="G1619" s="6" t="str">
        <f aca="false">INDEX(Archetypes!$D$2:$D$127, MATCH(D1619, Archetypes!$A$2:$A$127, 0))</f>
        <v>Cultivator</v>
      </c>
      <c r="H1619" s="6" t="n">
        <f aca="false">ROUND(INDEX(Archetypes!$E$2:$E$127, MATCH(D1619, Archetypes!$A$2:$A$127, 0))*INDEX(Unit_Grades!$B$2:$B$7, MATCH(F1619, Unit_Grades!$A$2:$A$7, 0))*INDEX(Unit_Paths!$B$2:$B$4, MATCH(E1619, Unit_Paths!$A$2:$A$4, 0)),1)</f>
        <v>1060.8</v>
      </c>
      <c r="I1619" s="6" t="n">
        <f aca="false">ROUND(INDEX(Archetypes!$F$2:$F$127, MATCH(D1619, Archetypes!$A$2:$A$127, 0))*INDEX(Unit_Grades!$B$2:$B$7, MATCH(F1619, Unit_Grades!$A$2:$A$7, 0))*INDEX(Unit_Paths!$C$2:$C$4, MATCH(E1619, Unit_Paths!$A$2:$A$4, 0)),1)</f>
        <v>900</v>
      </c>
      <c r="J1619" s="6" t="n">
        <f aca="false">ROUND(INDEX(Archetypes!$G$2:$G$127, MATCH(D1619, Archetypes!$A$2:$A$127, 0))*INDEX(Unit_Grades!$B$2:$B$7, MATCH(F1619, Unit_Grades!$A$2:$A$7, 0))*INDEX(Unit_Paths!$D$2:$D$4, MATCH(E1619, Unit_Paths!$A$2:$A$4, 0)),0)</f>
        <v>3588</v>
      </c>
      <c r="K1619" s="6" t="n">
        <f aca="false">ROUND(INDEX(Archetypes!$H$2:$H$127, MATCH(D1619, Archetypes!$A$2:$A$127, 0))*INDEX(Unit_Paths!$E$2:$E$4, MATCH(E1619, Unit_Paths!$A$2:$A$4, 0)),1)</f>
        <v>55.2</v>
      </c>
      <c r="L1619" s="6" t="n">
        <f aca="false">ROUND(INDEX(Archetypes!$I$2:$I$127, MATCH(D1619, Archetypes!$A$2:$A$127, 0))*INDEX(Unit_Grades!$C$2:$C$7, MATCH(F1619, Unit_Grades!$A$2:$A$7, 0)),1)</f>
        <v>130.2</v>
      </c>
      <c r="M1619" s="6" t="n">
        <f aca="false">ROUND(INDEX(Archetypes!$J$2:$J$127, MATCH(D1619, Archetypes!$A$2:$A$127, 0))*INDEX(Unit_Grades!$D$2:$D$7, MATCH(F1619, Unit_Grades!$A$2:$A$7, 0)),1)</f>
        <v>100.6</v>
      </c>
      <c r="N1619" s="6" t="n">
        <f aca="false">ROUND(M1619/24,2)</f>
        <v>4.19</v>
      </c>
    </row>
    <row r="1620" customFormat="false" ht="15" hidden="false" customHeight="true" outlineLevel="0" collapsed="false">
      <c r="A1620" s="6" t="n">
        <v>5</v>
      </c>
      <c r="B1620" s="6" t="s">
        <v>3098</v>
      </c>
      <c r="C1620" s="6" t="s">
        <v>1456</v>
      </c>
      <c r="D1620" s="6" t="str">
        <f aca="false">A1620&amp;"|"&amp;C1620</f>
        <v>5|Star-Qi Blade Saint</v>
      </c>
      <c r="E1620" s="6" t="s">
        <v>1560</v>
      </c>
      <c r="F1620" s="6" t="s">
        <v>1546</v>
      </c>
      <c r="G1620" s="6" t="str">
        <f aca="false">INDEX(Archetypes!$D$2:$D$127, MATCH(D1620, Archetypes!$A$2:$A$127, 0))</f>
        <v>Cultivator</v>
      </c>
      <c r="H1620" s="6" t="n">
        <f aca="false">ROUND(INDEX(Archetypes!$E$2:$E$127, MATCH(D1620, Archetypes!$A$2:$A$127, 0))*INDEX(Unit_Grades!$B$2:$B$7, MATCH(F1620, Unit_Grades!$A$2:$A$7, 0))*INDEX(Unit_Paths!$B$2:$B$4, MATCH(E1620, Unit_Paths!$A$2:$A$4, 0)),1)</f>
        <v>1414.4</v>
      </c>
      <c r="I1620" s="6" t="n">
        <f aca="false">ROUND(INDEX(Archetypes!$F$2:$F$127, MATCH(D1620, Archetypes!$A$2:$A$127, 0))*INDEX(Unit_Grades!$B$2:$B$7, MATCH(F1620, Unit_Grades!$A$2:$A$7, 0))*INDEX(Unit_Paths!$C$2:$C$4, MATCH(E1620, Unit_Paths!$A$2:$A$4, 0)),1)</f>
        <v>1200</v>
      </c>
      <c r="J1620" s="6" t="n">
        <f aca="false">ROUND(INDEX(Archetypes!$G$2:$G$127, MATCH(D1620, Archetypes!$A$2:$A$127, 0))*INDEX(Unit_Grades!$B$2:$B$7, MATCH(F1620, Unit_Grades!$A$2:$A$7, 0))*INDEX(Unit_Paths!$D$2:$D$4, MATCH(E1620, Unit_Paths!$A$2:$A$4, 0)),0)</f>
        <v>4784</v>
      </c>
      <c r="K1620" s="6" t="n">
        <f aca="false">ROUND(INDEX(Archetypes!$H$2:$H$127, MATCH(D1620, Archetypes!$A$2:$A$127, 0))*INDEX(Unit_Paths!$E$2:$E$4, MATCH(E1620, Unit_Paths!$A$2:$A$4, 0)),1)</f>
        <v>55.2</v>
      </c>
      <c r="L1620" s="6" t="n">
        <f aca="false">ROUND(INDEX(Archetypes!$I$2:$I$127, MATCH(D1620, Archetypes!$A$2:$A$127, 0))*INDEX(Unit_Grades!$C$2:$C$7, MATCH(F1620, Unit_Grades!$A$2:$A$7, 0)),1)</f>
        <v>173.6</v>
      </c>
      <c r="M1620" s="6" t="n">
        <f aca="false">ROUND(INDEX(Archetypes!$J$2:$J$127, MATCH(D1620, Archetypes!$A$2:$A$127, 0))*INDEX(Unit_Grades!$D$2:$D$7, MATCH(F1620, Unit_Grades!$A$2:$A$7, 0)),1)</f>
        <v>176.1</v>
      </c>
      <c r="N1620" s="6" t="n">
        <f aca="false">ROUND(M1620/24,2)</f>
        <v>7.34</v>
      </c>
    </row>
    <row r="1621" customFormat="false" ht="15" hidden="false" customHeight="true" outlineLevel="0" collapsed="false">
      <c r="A1621" s="6" t="n">
        <v>5</v>
      </c>
      <c r="B1621" s="6" t="s">
        <v>3099</v>
      </c>
      <c r="C1621" s="6" t="s">
        <v>1456</v>
      </c>
      <c r="D1621" s="6" t="str">
        <f aca="false">A1621&amp;"|"&amp;C1621</f>
        <v>5|Star-Qi Blade Saint</v>
      </c>
      <c r="E1621" s="6" t="s">
        <v>1560</v>
      </c>
      <c r="F1621" s="6" t="s">
        <v>1548</v>
      </c>
      <c r="G1621" s="6" t="str">
        <f aca="false">INDEX(Archetypes!$D$2:$D$127, MATCH(D1621, Archetypes!$A$2:$A$127, 0))</f>
        <v>Cultivator</v>
      </c>
      <c r="H1621" s="6" t="n">
        <f aca="false">ROUND(INDEX(Archetypes!$E$2:$E$127, MATCH(D1621, Archetypes!$A$2:$A$127, 0))*INDEX(Unit_Grades!$B$2:$B$7, MATCH(F1621, Unit_Grades!$A$2:$A$7, 0))*INDEX(Unit_Paths!$B$2:$B$4, MATCH(E1621, Unit_Paths!$A$2:$A$4, 0)),1)</f>
        <v>1856.4</v>
      </c>
      <c r="I1621" s="6" t="n">
        <f aca="false">ROUND(INDEX(Archetypes!$F$2:$F$127, MATCH(D1621, Archetypes!$A$2:$A$127, 0))*INDEX(Unit_Grades!$B$2:$B$7, MATCH(F1621, Unit_Grades!$A$2:$A$7, 0))*INDEX(Unit_Paths!$C$2:$C$4, MATCH(E1621, Unit_Paths!$A$2:$A$4, 0)),1)</f>
        <v>1575</v>
      </c>
      <c r="J1621" s="6" t="n">
        <f aca="false">ROUND(INDEX(Archetypes!$G$2:$G$127, MATCH(D1621, Archetypes!$A$2:$A$127, 0))*INDEX(Unit_Grades!$B$2:$B$7, MATCH(F1621, Unit_Grades!$A$2:$A$7, 0))*INDEX(Unit_Paths!$D$2:$D$4, MATCH(E1621, Unit_Paths!$A$2:$A$4, 0)),0)</f>
        <v>6279</v>
      </c>
      <c r="K1621" s="6" t="n">
        <f aca="false">ROUND(INDEX(Archetypes!$H$2:$H$127, MATCH(D1621, Archetypes!$A$2:$A$127, 0))*INDEX(Unit_Paths!$E$2:$E$4, MATCH(E1621, Unit_Paths!$A$2:$A$4, 0)),1)</f>
        <v>55.2</v>
      </c>
      <c r="L1621" s="6" t="n">
        <f aca="false">ROUND(INDEX(Archetypes!$I$2:$I$127, MATCH(D1621, Archetypes!$A$2:$A$127, 0))*INDEX(Unit_Grades!$C$2:$C$7, MATCH(F1621, Unit_Grades!$A$2:$A$7, 0)),1)</f>
        <v>229.4</v>
      </c>
      <c r="M1621" s="6" t="n">
        <f aca="false">ROUND(INDEX(Archetypes!$J$2:$J$127, MATCH(D1621, Archetypes!$A$2:$A$127, 0))*INDEX(Unit_Grades!$D$2:$D$7, MATCH(F1621, Unit_Grades!$A$2:$A$7, 0)),1)</f>
        <v>301.9</v>
      </c>
      <c r="N1621" s="6" t="n">
        <f aca="false">ROUND(M1621/24,2)</f>
        <v>12.58</v>
      </c>
    </row>
    <row r="1622" customFormat="false" ht="15" hidden="false" customHeight="true" outlineLevel="0" collapsed="false">
      <c r="A1622" s="6" t="n">
        <v>6</v>
      </c>
      <c r="B1622" s="6" t="s">
        <v>1458</v>
      </c>
      <c r="C1622" s="6" t="s">
        <v>1458</v>
      </c>
      <c r="D1622" s="6" t="str">
        <f aca="false">A1622&amp;"|"&amp;C1622</f>
        <v>6|Lance Destroyer</v>
      </c>
      <c r="E1622" s="6" t="s">
        <v>1556</v>
      </c>
      <c r="F1622" s="6" t="s">
        <v>1538</v>
      </c>
      <c r="G1622" s="6" t="str">
        <f aca="false">INDEX(Archetypes!$D$2:$D$127, MATCH(D1622, Archetypes!$A$2:$A$127, 0))</f>
        <v>Alpha Strike</v>
      </c>
      <c r="H1622" s="6" t="n">
        <f aca="false">ROUND(INDEX(Archetypes!$E$2:$E$127, MATCH(D1622, Archetypes!$A$2:$A$127, 0))*INDEX(Unit_Grades!$B$2:$B$7, MATCH(F1622, Unit_Grades!$A$2:$A$7, 0))*INDEX(Unit_Paths!$B$2:$B$4, MATCH(E1622, Unit_Paths!$A$2:$A$4, 0)),1)</f>
        <v>700</v>
      </c>
      <c r="I1622" s="6" t="n">
        <f aca="false">ROUND(INDEX(Archetypes!$F$2:$F$127, MATCH(D1622, Archetypes!$A$2:$A$127, 0))*INDEX(Unit_Grades!$B$2:$B$7, MATCH(F1622, Unit_Grades!$A$2:$A$7, 0))*INDEX(Unit_Paths!$C$2:$C$4, MATCH(E1622, Unit_Paths!$A$2:$A$4, 0)),1)</f>
        <v>360</v>
      </c>
      <c r="J1622" s="6" t="n">
        <f aca="false">ROUND(INDEX(Archetypes!$G$2:$G$127, MATCH(D1622, Archetypes!$A$2:$A$127, 0))*INDEX(Unit_Grades!$B$2:$B$7, MATCH(F1622, Unit_Grades!$A$2:$A$7, 0))*INDEX(Unit_Paths!$D$2:$D$4, MATCH(E1622, Unit_Paths!$A$2:$A$4, 0)),0)</f>
        <v>1800</v>
      </c>
      <c r="K1622" s="6" t="n">
        <f aca="false">ROUND(INDEX(Archetypes!$H$2:$H$127, MATCH(D1622, Archetypes!$A$2:$A$127, 0))*INDEX(Unit_Paths!$E$2:$E$4, MATCH(E1622, Unit_Paths!$A$2:$A$4, 0)),1)</f>
        <v>70</v>
      </c>
      <c r="L1622" s="6" t="n">
        <f aca="false">ROUND(INDEX(Archetypes!$I$2:$I$127, MATCH(D1622, Archetypes!$A$2:$A$127, 0))*INDEX(Unit_Grades!$C$2:$C$7, MATCH(F1622, Unit_Grades!$A$2:$A$7, 0)),1)</f>
        <v>70</v>
      </c>
      <c r="M1622" s="6" t="n">
        <f aca="false">ROUND(INDEX(Archetypes!$J$2:$J$127, MATCH(D1622, Archetypes!$A$2:$A$127, 0))*INDEX(Unit_Grades!$D$2:$D$7, MATCH(F1622, Unit_Grades!$A$2:$A$7, 0)),1)</f>
        <v>28.4</v>
      </c>
      <c r="N1622" s="6" t="n">
        <f aca="false">ROUND(M1622/24,2)</f>
        <v>1.18</v>
      </c>
    </row>
    <row r="1623" customFormat="false" ht="15" hidden="false" customHeight="true" outlineLevel="0" collapsed="false">
      <c r="A1623" s="6" t="n">
        <v>6</v>
      </c>
      <c r="B1623" s="6" t="s">
        <v>3100</v>
      </c>
      <c r="C1623" s="6" t="s">
        <v>1458</v>
      </c>
      <c r="D1623" s="6" t="str">
        <f aca="false">A1623&amp;"|"&amp;C1623</f>
        <v>6|Lance Destroyer</v>
      </c>
      <c r="E1623" s="6" t="s">
        <v>1556</v>
      </c>
      <c r="F1623" s="6" t="s">
        <v>1540</v>
      </c>
      <c r="G1623" s="6" t="str">
        <f aca="false">INDEX(Archetypes!$D$2:$D$127, MATCH(D1623, Archetypes!$A$2:$A$127, 0))</f>
        <v>Alpha Strike</v>
      </c>
      <c r="H1623" s="6" t="n">
        <f aca="false">ROUND(INDEX(Archetypes!$E$2:$E$127, MATCH(D1623, Archetypes!$A$2:$A$127, 0))*INDEX(Unit_Grades!$B$2:$B$7, MATCH(F1623, Unit_Grades!$A$2:$A$7, 0))*INDEX(Unit_Paths!$B$2:$B$4, MATCH(E1623, Unit_Paths!$A$2:$A$4, 0)),1)</f>
        <v>945</v>
      </c>
      <c r="I1623" s="6" t="n">
        <f aca="false">ROUND(INDEX(Archetypes!$F$2:$F$127, MATCH(D1623, Archetypes!$A$2:$A$127, 0))*INDEX(Unit_Grades!$B$2:$B$7, MATCH(F1623, Unit_Grades!$A$2:$A$7, 0))*INDEX(Unit_Paths!$C$2:$C$4, MATCH(E1623, Unit_Paths!$A$2:$A$4, 0)),1)</f>
        <v>486</v>
      </c>
      <c r="J1623" s="6" t="n">
        <f aca="false">ROUND(INDEX(Archetypes!$G$2:$G$127, MATCH(D1623, Archetypes!$A$2:$A$127, 0))*INDEX(Unit_Grades!$B$2:$B$7, MATCH(F1623, Unit_Grades!$A$2:$A$7, 0))*INDEX(Unit_Paths!$D$2:$D$4, MATCH(E1623, Unit_Paths!$A$2:$A$4, 0)),0)</f>
        <v>2430</v>
      </c>
      <c r="K1623" s="6" t="n">
        <f aca="false">ROUND(INDEX(Archetypes!$H$2:$H$127, MATCH(D1623, Archetypes!$A$2:$A$127, 0))*INDEX(Unit_Paths!$E$2:$E$4, MATCH(E1623, Unit_Paths!$A$2:$A$4, 0)),1)</f>
        <v>70</v>
      </c>
      <c r="L1623" s="6" t="n">
        <f aca="false">ROUND(INDEX(Archetypes!$I$2:$I$127, MATCH(D1623, Archetypes!$A$2:$A$127, 0))*INDEX(Unit_Grades!$C$2:$C$7, MATCH(F1623, Unit_Grades!$A$2:$A$7, 0)),1)</f>
        <v>87.5</v>
      </c>
      <c r="M1623" s="6" t="n">
        <f aca="false">ROUND(INDEX(Archetypes!$J$2:$J$127, MATCH(D1623, Archetypes!$A$2:$A$127, 0))*INDEX(Unit_Grades!$D$2:$D$7, MATCH(F1623, Unit_Grades!$A$2:$A$7, 0)),1)</f>
        <v>42.6</v>
      </c>
      <c r="N1623" s="6" t="n">
        <f aca="false">ROUND(M1623/24,2)</f>
        <v>1.78</v>
      </c>
    </row>
    <row r="1624" customFormat="false" ht="15" hidden="false" customHeight="true" outlineLevel="0" collapsed="false">
      <c r="A1624" s="6" t="n">
        <v>6</v>
      </c>
      <c r="B1624" s="6" t="s">
        <v>3101</v>
      </c>
      <c r="C1624" s="6" t="s">
        <v>1458</v>
      </c>
      <c r="D1624" s="6" t="str">
        <f aca="false">A1624&amp;"|"&amp;C1624</f>
        <v>6|Lance Destroyer</v>
      </c>
      <c r="E1624" s="6" t="s">
        <v>1556</v>
      </c>
      <c r="F1624" s="6" t="s">
        <v>1542</v>
      </c>
      <c r="G1624" s="6" t="str">
        <f aca="false">INDEX(Archetypes!$D$2:$D$127, MATCH(D1624, Archetypes!$A$2:$A$127, 0))</f>
        <v>Alpha Strike</v>
      </c>
      <c r="H1624" s="6" t="n">
        <f aca="false">ROUND(INDEX(Archetypes!$E$2:$E$127, MATCH(D1624, Archetypes!$A$2:$A$127, 0))*INDEX(Unit_Grades!$B$2:$B$7, MATCH(F1624, Unit_Grades!$A$2:$A$7, 0))*INDEX(Unit_Paths!$B$2:$B$4, MATCH(E1624, Unit_Paths!$A$2:$A$4, 0)),1)</f>
        <v>1260</v>
      </c>
      <c r="I1624" s="6" t="n">
        <f aca="false">ROUND(INDEX(Archetypes!$F$2:$F$127, MATCH(D1624, Archetypes!$A$2:$A$127, 0))*INDEX(Unit_Grades!$B$2:$B$7, MATCH(F1624, Unit_Grades!$A$2:$A$7, 0))*INDEX(Unit_Paths!$C$2:$C$4, MATCH(E1624, Unit_Paths!$A$2:$A$4, 0)),1)</f>
        <v>648</v>
      </c>
      <c r="J1624" s="6" t="n">
        <f aca="false">ROUND(INDEX(Archetypes!$G$2:$G$127, MATCH(D1624, Archetypes!$A$2:$A$127, 0))*INDEX(Unit_Grades!$B$2:$B$7, MATCH(F1624, Unit_Grades!$A$2:$A$7, 0))*INDEX(Unit_Paths!$D$2:$D$4, MATCH(E1624, Unit_Paths!$A$2:$A$4, 0)),0)</f>
        <v>3240</v>
      </c>
      <c r="K1624" s="6" t="n">
        <f aca="false">ROUND(INDEX(Archetypes!$H$2:$H$127, MATCH(D1624, Archetypes!$A$2:$A$127, 0))*INDEX(Unit_Paths!$E$2:$E$4, MATCH(E1624, Unit_Paths!$A$2:$A$4, 0)),1)</f>
        <v>70</v>
      </c>
      <c r="L1624" s="6" t="n">
        <f aca="false">ROUND(INDEX(Archetypes!$I$2:$I$127, MATCH(D1624, Archetypes!$A$2:$A$127, 0))*INDEX(Unit_Grades!$C$2:$C$7, MATCH(F1624, Unit_Grades!$A$2:$A$7, 0)),1)</f>
        <v>112</v>
      </c>
      <c r="M1624" s="6" t="n">
        <f aca="false">ROUND(INDEX(Archetypes!$J$2:$J$127, MATCH(D1624, Archetypes!$A$2:$A$127, 0))*INDEX(Unit_Grades!$D$2:$D$7, MATCH(F1624, Unit_Grades!$A$2:$A$7, 0)),1)</f>
        <v>71</v>
      </c>
      <c r="N1624" s="6" t="n">
        <f aca="false">ROUND(M1624/24,2)</f>
        <v>2.96</v>
      </c>
    </row>
    <row r="1625" customFormat="false" ht="15" hidden="false" customHeight="true" outlineLevel="0" collapsed="false">
      <c r="A1625" s="6" t="n">
        <v>6</v>
      </c>
      <c r="B1625" s="6" t="s">
        <v>3102</v>
      </c>
      <c r="C1625" s="6" t="s">
        <v>1458</v>
      </c>
      <c r="D1625" s="6" t="str">
        <f aca="false">A1625&amp;"|"&amp;C1625</f>
        <v>6|Lance Destroyer</v>
      </c>
      <c r="E1625" s="6" t="s">
        <v>1556</v>
      </c>
      <c r="F1625" s="6" t="s">
        <v>1544</v>
      </c>
      <c r="G1625" s="6" t="str">
        <f aca="false">INDEX(Archetypes!$D$2:$D$127, MATCH(D1625, Archetypes!$A$2:$A$127, 0))</f>
        <v>Alpha Strike</v>
      </c>
      <c r="H1625" s="6" t="n">
        <f aca="false">ROUND(INDEX(Archetypes!$E$2:$E$127, MATCH(D1625, Archetypes!$A$2:$A$127, 0))*INDEX(Unit_Grades!$B$2:$B$7, MATCH(F1625, Unit_Grades!$A$2:$A$7, 0))*INDEX(Unit_Paths!$B$2:$B$4, MATCH(E1625, Unit_Paths!$A$2:$A$4, 0)),1)</f>
        <v>1680</v>
      </c>
      <c r="I1625" s="6" t="n">
        <f aca="false">ROUND(INDEX(Archetypes!$F$2:$F$127, MATCH(D1625, Archetypes!$A$2:$A$127, 0))*INDEX(Unit_Grades!$B$2:$B$7, MATCH(F1625, Unit_Grades!$A$2:$A$7, 0))*INDEX(Unit_Paths!$C$2:$C$4, MATCH(E1625, Unit_Paths!$A$2:$A$4, 0)),1)</f>
        <v>864</v>
      </c>
      <c r="J1625" s="6" t="n">
        <f aca="false">ROUND(INDEX(Archetypes!$G$2:$G$127, MATCH(D1625, Archetypes!$A$2:$A$127, 0))*INDEX(Unit_Grades!$B$2:$B$7, MATCH(F1625, Unit_Grades!$A$2:$A$7, 0))*INDEX(Unit_Paths!$D$2:$D$4, MATCH(E1625, Unit_Paths!$A$2:$A$4, 0)),0)</f>
        <v>4320</v>
      </c>
      <c r="K1625" s="6" t="n">
        <f aca="false">ROUND(INDEX(Archetypes!$H$2:$H$127, MATCH(D1625, Archetypes!$A$2:$A$127, 0))*INDEX(Unit_Paths!$E$2:$E$4, MATCH(E1625, Unit_Paths!$A$2:$A$4, 0)),1)</f>
        <v>70</v>
      </c>
      <c r="L1625" s="6" t="n">
        <f aca="false">ROUND(INDEX(Archetypes!$I$2:$I$127, MATCH(D1625, Archetypes!$A$2:$A$127, 0))*INDEX(Unit_Grades!$C$2:$C$7, MATCH(F1625, Unit_Grades!$A$2:$A$7, 0)),1)</f>
        <v>147</v>
      </c>
      <c r="M1625" s="6" t="n">
        <f aca="false">ROUND(INDEX(Archetypes!$J$2:$J$127, MATCH(D1625, Archetypes!$A$2:$A$127, 0))*INDEX(Unit_Grades!$D$2:$D$7, MATCH(F1625, Unit_Grades!$A$2:$A$7, 0)),1)</f>
        <v>113.6</v>
      </c>
      <c r="N1625" s="6" t="n">
        <f aca="false">ROUND(M1625/24,2)</f>
        <v>4.73</v>
      </c>
    </row>
    <row r="1626" customFormat="false" ht="15" hidden="false" customHeight="true" outlineLevel="0" collapsed="false">
      <c r="A1626" s="6" t="n">
        <v>6</v>
      </c>
      <c r="B1626" s="6" t="s">
        <v>3103</v>
      </c>
      <c r="C1626" s="6" t="s">
        <v>1458</v>
      </c>
      <c r="D1626" s="6" t="str">
        <f aca="false">A1626&amp;"|"&amp;C1626</f>
        <v>6|Lance Destroyer</v>
      </c>
      <c r="E1626" s="6" t="s">
        <v>1556</v>
      </c>
      <c r="F1626" s="6" t="s">
        <v>1546</v>
      </c>
      <c r="G1626" s="6" t="str">
        <f aca="false">INDEX(Archetypes!$D$2:$D$127, MATCH(D1626, Archetypes!$A$2:$A$127, 0))</f>
        <v>Alpha Strike</v>
      </c>
      <c r="H1626" s="6" t="n">
        <f aca="false">ROUND(INDEX(Archetypes!$E$2:$E$127, MATCH(D1626, Archetypes!$A$2:$A$127, 0))*INDEX(Unit_Grades!$B$2:$B$7, MATCH(F1626, Unit_Grades!$A$2:$A$7, 0))*INDEX(Unit_Paths!$B$2:$B$4, MATCH(E1626, Unit_Paths!$A$2:$A$4, 0)),1)</f>
        <v>2240</v>
      </c>
      <c r="I1626" s="6" t="n">
        <f aca="false">ROUND(INDEX(Archetypes!$F$2:$F$127, MATCH(D1626, Archetypes!$A$2:$A$127, 0))*INDEX(Unit_Grades!$B$2:$B$7, MATCH(F1626, Unit_Grades!$A$2:$A$7, 0))*INDEX(Unit_Paths!$C$2:$C$4, MATCH(E1626, Unit_Paths!$A$2:$A$4, 0)),1)</f>
        <v>1152</v>
      </c>
      <c r="J1626" s="6" t="n">
        <f aca="false">ROUND(INDEX(Archetypes!$G$2:$G$127, MATCH(D1626, Archetypes!$A$2:$A$127, 0))*INDEX(Unit_Grades!$B$2:$B$7, MATCH(F1626, Unit_Grades!$A$2:$A$7, 0))*INDEX(Unit_Paths!$D$2:$D$4, MATCH(E1626, Unit_Paths!$A$2:$A$4, 0)),0)</f>
        <v>5760</v>
      </c>
      <c r="K1626" s="6" t="n">
        <f aca="false">ROUND(INDEX(Archetypes!$H$2:$H$127, MATCH(D1626, Archetypes!$A$2:$A$127, 0))*INDEX(Unit_Paths!$E$2:$E$4, MATCH(E1626, Unit_Paths!$A$2:$A$4, 0)),1)</f>
        <v>70</v>
      </c>
      <c r="L1626" s="6" t="n">
        <f aca="false">ROUND(INDEX(Archetypes!$I$2:$I$127, MATCH(D1626, Archetypes!$A$2:$A$127, 0))*INDEX(Unit_Grades!$C$2:$C$7, MATCH(F1626, Unit_Grades!$A$2:$A$7, 0)),1)</f>
        <v>196</v>
      </c>
      <c r="M1626" s="6" t="n">
        <f aca="false">ROUND(INDEX(Archetypes!$J$2:$J$127, MATCH(D1626, Archetypes!$A$2:$A$127, 0))*INDEX(Unit_Grades!$D$2:$D$7, MATCH(F1626, Unit_Grades!$A$2:$A$7, 0)),1)</f>
        <v>198.9</v>
      </c>
      <c r="N1626" s="6" t="n">
        <f aca="false">ROUND(M1626/24,2)</f>
        <v>8.29</v>
      </c>
    </row>
    <row r="1627" customFormat="false" ht="15" hidden="false" customHeight="true" outlineLevel="0" collapsed="false">
      <c r="A1627" s="6" t="n">
        <v>6</v>
      </c>
      <c r="B1627" s="6" t="s">
        <v>3104</v>
      </c>
      <c r="C1627" s="6" t="s">
        <v>1458</v>
      </c>
      <c r="D1627" s="6" t="str">
        <f aca="false">A1627&amp;"|"&amp;C1627</f>
        <v>6|Lance Destroyer</v>
      </c>
      <c r="E1627" s="6" t="s">
        <v>1556</v>
      </c>
      <c r="F1627" s="6" t="s">
        <v>1548</v>
      </c>
      <c r="G1627" s="6" t="str">
        <f aca="false">INDEX(Archetypes!$D$2:$D$127, MATCH(D1627, Archetypes!$A$2:$A$127, 0))</f>
        <v>Alpha Strike</v>
      </c>
      <c r="H1627" s="6" t="n">
        <f aca="false">ROUND(INDEX(Archetypes!$E$2:$E$127, MATCH(D1627, Archetypes!$A$2:$A$127, 0))*INDEX(Unit_Grades!$B$2:$B$7, MATCH(F1627, Unit_Grades!$A$2:$A$7, 0))*INDEX(Unit_Paths!$B$2:$B$4, MATCH(E1627, Unit_Paths!$A$2:$A$4, 0)),1)</f>
        <v>2940</v>
      </c>
      <c r="I1627" s="6" t="n">
        <f aca="false">ROUND(INDEX(Archetypes!$F$2:$F$127, MATCH(D1627, Archetypes!$A$2:$A$127, 0))*INDEX(Unit_Grades!$B$2:$B$7, MATCH(F1627, Unit_Grades!$A$2:$A$7, 0))*INDEX(Unit_Paths!$C$2:$C$4, MATCH(E1627, Unit_Paths!$A$2:$A$4, 0)),1)</f>
        <v>1512</v>
      </c>
      <c r="J1627" s="6" t="n">
        <f aca="false">ROUND(INDEX(Archetypes!$G$2:$G$127, MATCH(D1627, Archetypes!$A$2:$A$127, 0))*INDEX(Unit_Grades!$B$2:$B$7, MATCH(F1627, Unit_Grades!$A$2:$A$7, 0))*INDEX(Unit_Paths!$D$2:$D$4, MATCH(E1627, Unit_Paths!$A$2:$A$4, 0)),0)</f>
        <v>7560</v>
      </c>
      <c r="K1627" s="6" t="n">
        <f aca="false">ROUND(INDEX(Archetypes!$H$2:$H$127, MATCH(D1627, Archetypes!$A$2:$A$127, 0))*INDEX(Unit_Paths!$E$2:$E$4, MATCH(E1627, Unit_Paths!$A$2:$A$4, 0)),1)</f>
        <v>70</v>
      </c>
      <c r="L1627" s="6" t="n">
        <f aca="false">ROUND(INDEX(Archetypes!$I$2:$I$127, MATCH(D1627, Archetypes!$A$2:$A$127, 0))*INDEX(Unit_Grades!$C$2:$C$7, MATCH(F1627, Unit_Grades!$A$2:$A$7, 0)),1)</f>
        <v>259</v>
      </c>
      <c r="M1627" s="6" t="n">
        <f aca="false">ROUND(INDEX(Archetypes!$J$2:$J$127, MATCH(D1627, Archetypes!$A$2:$A$127, 0))*INDEX(Unit_Grades!$D$2:$D$7, MATCH(F1627, Unit_Grades!$A$2:$A$7, 0)),1)</f>
        <v>340.9</v>
      </c>
      <c r="N1627" s="6" t="n">
        <f aca="false">ROUND(M1627/24,2)</f>
        <v>14.2</v>
      </c>
    </row>
    <row r="1628" customFormat="false" ht="15" hidden="false" customHeight="true" outlineLevel="0" collapsed="false">
      <c r="A1628" s="6" t="n">
        <v>6</v>
      </c>
      <c r="B1628" s="6" t="s">
        <v>3105</v>
      </c>
      <c r="C1628" s="6" t="s">
        <v>1458</v>
      </c>
      <c r="D1628" s="6" t="str">
        <f aca="false">A1628&amp;"|"&amp;C1628</f>
        <v>6|Lance Destroyer</v>
      </c>
      <c r="E1628" s="6" t="s">
        <v>1558</v>
      </c>
      <c r="F1628" s="6" t="s">
        <v>1538</v>
      </c>
      <c r="G1628" s="6" t="str">
        <f aca="false">INDEX(Archetypes!$D$2:$D$127, MATCH(D1628, Archetypes!$A$2:$A$127, 0))</f>
        <v>Alpha Strike</v>
      </c>
      <c r="H1628" s="6" t="n">
        <f aca="false">ROUND(INDEX(Archetypes!$E$2:$E$127, MATCH(D1628, Archetypes!$A$2:$A$127, 0))*INDEX(Unit_Grades!$B$2:$B$7, MATCH(F1628, Unit_Grades!$A$2:$A$7, 0))*INDEX(Unit_Paths!$B$2:$B$4, MATCH(E1628, Unit_Paths!$A$2:$A$4, 0)),1)</f>
        <v>840</v>
      </c>
      <c r="I1628" s="6" t="n">
        <f aca="false">ROUND(INDEX(Archetypes!$F$2:$F$127, MATCH(D1628, Archetypes!$A$2:$A$127, 0))*INDEX(Unit_Grades!$B$2:$B$7, MATCH(F1628, Unit_Grades!$A$2:$A$7, 0))*INDEX(Unit_Paths!$C$2:$C$4, MATCH(E1628, Unit_Paths!$A$2:$A$4, 0)),1)</f>
        <v>306</v>
      </c>
      <c r="J1628" s="6" t="n">
        <f aca="false">ROUND(INDEX(Archetypes!$G$2:$G$127, MATCH(D1628, Archetypes!$A$2:$A$127, 0))*INDEX(Unit_Grades!$B$2:$B$7, MATCH(F1628, Unit_Grades!$A$2:$A$7, 0))*INDEX(Unit_Paths!$D$2:$D$4, MATCH(E1628, Unit_Paths!$A$2:$A$4, 0)),0)</f>
        <v>1710</v>
      </c>
      <c r="K1628" s="6" t="n">
        <f aca="false">ROUND(INDEX(Archetypes!$H$2:$H$127, MATCH(D1628, Archetypes!$A$2:$A$127, 0))*INDEX(Unit_Paths!$E$2:$E$4, MATCH(E1628, Unit_Paths!$A$2:$A$4, 0)),1)</f>
        <v>73.5</v>
      </c>
      <c r="L1628" s="6" t="n">
        <f aca="false">ROUND(INDEX(Archetypes!$I$2:$I$127, MATCH(D1628, Archetypes!$A$2:$A$127, 0))*INDEX(Unit_Grades!$C$2:$C$7, MATCH(F1628, Unit_Grades!$A$2:$A$7, 0)),1)</f>
        <v>70</v>
      </c>
      <c r="M1628" s="6" t="n">
        <f aca="false">ROUND(INDEX(Archetypes!$J$2:$J$127, MATCH(D1628, Archetypes!$A$2:$A$127, 0))*INDEX(Unit_Grades!$D$2:$D$7, MATCH(F1628, Unit_Grades!$A$2:$A$7, 0)),1)</f>
        <v>28.4</v>
      </c>
      <c r="N1628" s="6" t="n">
        <f aca="false">ROUND(M1628/24,2)</f>
        <v>1.18</v>
      </c>
    </row>
    <row r="1629" customFormat="false" ht="15" hidden="false" customHeight="true" outlineLevel="0" collapsed="false">
      <c r="A1629" s="6" t="n">
        <v>6</v>
      </c>
      <c r="B1629" s="6" t="s">
        <v>3106</v>
      </c>
      <c r="C1629" s="6" t="s">
        <v>1458</v>
      </c>
      <c r="D1629" s="6" t="str">
        <f aca="false">A1629&amp;"|"&amp;C1629</f>
        <v>6|Lance Destroyer</v>
      </c>
      <c r="E1629" s="6" t="s">
        <v>1558</v>
      </c>
      <c r="F1629" s="6" t="s">
        <v>1540</v>
      </c>
      <c r="G1629" s="6" t="str">
        <f aca="false">INDEX(Archetypes!$D$2:$D$127, MATCH(D1629, Archetypes!$A$2:$A$127, 0))</f>
        <v>Alpha Strike</v>
      </c>
      <c r="H1629" s="6" t="n">
        <f aca="false">ROUND(INDEX(Archetypes!$E$2:$E$127, MATCH(D1629, Archetypes!$A$2:$A$127, 0))*INDEX(Unit_Grades!$B$2:$B$7, MATCH(F1629, Unit_Grades!$A$2:$A$7, 0))*INDEX(Unit_Paths!$B$2:$B$4, MATCH(E1629, Unit_Paths!$A$2:$A$4, 0)),1)</f>
        <v>1134</v>
      </c>
      <c r="I1629" s="6" t="n">
        <f aca="false">ROUND(INDEX(Archetypes!$F$2:$F$127, MATCH(D1629, Archetypes!$A$2:$A$127, 0))*INDEX(Unit_Grades!$B$2:$B$7, MATCH(F1629, Unit_Grades!$A$2:$A$7, 0))*INDEX(Unit_Paths!$C$2:$C$4, MATCH(E1629, Unit_Paths!$A$2:$A$4, 0)),1)</f>
        <v>413.1</v>
      </c>
      <c r="J1629" s="6" t="n">
        <f aca="false">ROUND(INDEX(Archetypes!$G$2:$G$127, MATCH(D1629, Archetypes!$A$2:$A$127, 0))*INDEX(Unit_Grades!$B$2:$B$7, MATCH(F1629, Unit_Grades!$A$2:$A$7, 0))*INDEX(Unit_Paths!$D$2:$D$4, MATCH(E1629, Unit_Paths!$A$2:$A$4, 0)),0)</f>
        <v>2309</v>
      </c>
      <c r="K1629" s="6" t="n">
        <f aca="false">ROUND(INDEX(Archetypes!$H$2:$H$127, MATCH(D1629, Archetypes!$A$2:$A$127, 0))*INDEX(Unit_Paths!$E$2:$E$4, MATCH(E1629, Unit_Paths!$A$2:$A$4, 0)),1)</f>
        <v>73.5</v>
      </c>
      <c r="L1629" s="6" t="n">
        <f aca="false">ROUND(INDEX(Archetypes!$I$2:$I$127, MATCH(D1629, Archetypes!$A$2:$A$127, 0))*INDEX(Unit_Grades!$C$2:$C$7, MATCH(F1629, Unit_Grades!$A$2:$A$7, 0)),1)</f>
        <v>87.5</v>
      </c>
      <c r="M1629" s="6" t="n">
        <f aca="false">ROUND(INDEX(Archetypes!$J$2:$J$127, MATCH(D1629, Archetypes!$A$2:$A$127, 0))*INDEX(Unit_Grades!$D$2:$D$7, MATCH(F1629, Unit_Grades!$A$2:$A$7, 0)),1)</f>
        <v>42.6</v>
      </c>
      <c r="N1629" s="6" t="n">
        <f aca="false">ROUND(M1629/24,2)</f>
        <v>1.78</v>
      </c>
    </row>
    <row r="1630" customFormat="false" ht="15" hidden="false" customHeight="true" outlineLevel="0" collapsed="false">
      <c r="A1630" s="6" t="n">
        <v>6</v>
      </c>
      <c r="B1630" s="6" t="s">
        <v>3107</v>
      </c>
      <c r="C1630" s="6" t="s">
        <v>1458</v>
      </c>
      <c r="D1630" s="6" t="str">
        <f aca="false">A1630&amp;"|"&amp;C1630</f>
        <v>6|Lance Destroyer</v>
      </c>
      <c r="E1630" s="6" t="s">
        <v>1558</v>
      </c>
      <c r="F1630" s="6" t="s">
        <v>1542</v>
      </c>
      <c r="G1630" s="6" t="str">
        <f aca="false">INDEX(Archetypes!$D$2:$D$127, MATCH(D1630, Archetypes!$A$2:$A$127, 0))</f>
        <v>Alpha Strike</v>
      </c>
      <c r="H1630" s="6" t="n">
        <f aca="false">ROUND(INDEX(Archetypes!$E$2:$E$127, MATCH(D1630, Archetypes!$A$2:$A$127, 0))*INDEX(Unit_Grades!$B$2:$B$7, MATCH(F1630, Unit_Grades!$A$2:$A$7, 0))*INDEX(Unit_Paths!$B$2:$B$4, MATCH(E1630, Unit_Paths!$A$2:$A$4, 0)),1)</f>
        <v>1512</v>
      </c>
      <c r="I1630" s="6" t="n">
        <f aca="false">ROUND(INDEX(Archetypes!$F$2:$F$127, MATCH(D1630, Archetypes!$A$2:$A$127, 0))*INDEX(Unit_Grades!$B$2:$B$7, MATCH(F1630, Unit_Grades!$A$2:$A$7, 0))*INDEX(Unit_Paths!$C$2:$C$4, MATCH(E1630, Unit_Paths!$A$2:$A$4, 0)),1)</f>
        <v>550.8</v>
      </c>
      <c r="J1630" s="6" t="n">
        <f aca="false">ROUND(INDEX(Archetypes!$G$2:$G$127, MATCH(D1630, Archetypes!$A$2:$A$127, 0))*INDEX(Unit_Grades!$B$2:$B$7, MATCH(F1630, Unit_Grades!$A$2:$A$7, 0))*INDEX(Unit_Paths!$D$2:$D$4, MATCH(E1630, Unit_Paths!$A$2:$A$4, 0)),0)</f>
        <v>3078</v>
      </c>
      <c r="K1630" s="6" t="n">
        <f aca="false">ROUND(INDEX(Archetypes!$H$2:$H$127, MATCH(D1630, Archetypes!$A$2:$A$127, 0))*INDEX(Unit_Paths!$E$2:$E$4, MATCH(E1630, Unit_Paths!$A$2:$A$4, 0)),1)</f>
        <v>73.5</v>
      </c>
      <c r="L1630" s="6" t="n">
        <f aca="false">ROUND(INDEX(Archetypes!$I$2:$I$127, MATCH(D1630, Archetypes!$A$2:$A$127, 0))*INDEX(Unit_Grades!$C$2:$C$7, MATCH(F1630, Unit_Grades!$A$2:$A$7, 0)),1)</f>
        <v>112</v>
      </c>
      <c r="M1630" s="6" t="n">
        <f aca="false">ROUND(INDEX(Archetypes!$J$2:$J$127, MATCH(D1630, Archetypes!$A$2:$A$127, 0))*INDEX(Unit_Grades!$D$2:$D$7, MATCH(F1630, Unit_Grades!$A$2:$A$7, 0)),1)</f>
        <v>71</v>
      </c>
      <c r="N1630" s="6" t="n">
        <f aca="false">ROUND(M1630/24,2)</f>
        <v>2.96</v>
      </c>
    </row>
    <row r="1631" customFormat="false" ht="15" hidden="false" customHeight="true" outlineLevel="0" collapsed="false">
      <c r="A1631" s="6" t="n">
        <v>6</v>
      </c>
      <c r="B1631" s="6" t="s">
        <v>3108</v>
      </c>
      <c r="C1631" s="6" t="s">
        <v>1458</v>
      </c>
      <c r="D1631" s="6" t="str">
        <f aca="false">A1631&amp;"|"&amp;C1631</f>
        <v>6|Lance Destroyer</v>
      </c>
      <c r="E1631" s="6" t="s">
        <v>1558</v>
      </c>
      <c r="F1631" s="6" t="s">
        <v>1544</v>
      </c>
      <c r="G1631" s="6" t="str">
        <f aca="false">INDEX(Archetypes!$D$2:$D$127, MATCH(D1631, Archetypes!$A$2:$A$127, 0))</f>
        <v>Alpha Strike</v>
      </c>
      <c r="H1631" s="6" t="n">
        <f aca="false">ROUND(INDEX(Archetypes!$E$2:$E$127, MATCH(D1631, Archetypes!$A$2:$A$127, 0))*INDEX(Unit_Grades!$B$2:$B$7, MATCH(F1631, Unit_Grades!$A$2:$A$7, 0))*INDEX(Unit_Paths!$B$2:$B$4, MATCH(E1631, Unit_Paths!$A$2:$A$4, 0)),1)</f>
        <v>2016</v>
      </c>
      <c r="I1631" s="6" t="n">
        <f aca="false">ROUND(INDEX(Archetypes!$F$2:$F$127, MATCH(D1631, Archetypes!$A$2:$A$127, 0))*INDEX(Unit_Grades!$B$2:$B$7, MATCH(F1631, Unit_Grades!$A$2:$A$7, 0))*INDEX(Unit_Paths!$C$2:$C$4, MATCH(E1631, Unit_Paths!$A$2:$A$4, 0)),1)</f>
        <v>734.4</v>
      </c>
      <c r="J1631" s="6" t="n">
        <f aca="false">ROUND(INDEX(Archetypes!$G$2:$G$127, MATCH(D1631, Archetypes!$A$2:$A$127, 0))*INDEX(Unit_Grades!$B$2:$B$7, MATCH(F1631, Unit_Grades!$A$2:$A$7, 0))*INDEX(Unit_Paths!$D$2:$D$4, MATCH(E1631, Unit_Paths!$A$2:$A$4, 0)),0)</f>
        <v>4104</v>
      </c>
      <c r="K1631" s="6" t="n">
        <f aca="false">ROUND(INDEX(Archetypes!$H$2:$H$127, MATCH(D1631, Archetypes!$A$2:$A$127, 0))*INDEX(Unit_Paths!$E$2:$E$4, MATCH(E1631, Unit_Paths!$A$2:$A$4, 0)),1)</f>
        <v>73.5</v>
      </c>
      <c r="L1631" s="6" t="n">
        <f aca="false">ROUND(INDEX(Archetypes!$I$2:$I$127, MATCH(D1631, Archetypes!$A$2:$A$127, 0))*INDEX(Unit_Grades!$C$2:$C$7, MATCH(F1631, Unit_Grades!$A$2:$A$7, 0)),1)</f>
        <v>147</v>
      </c>
      <c r="M1631" s="6" t="n">
        <f aca="false">ROUND(INDEX(Archetypes!$J$2:$J$127, MATCH(D1631, Archetypes!$A$2:$A$127, 0))*INDEX(Unit_Grades!$D$2:$D$7, MATCH(F1631, Unit_Grades!$A$2:$A$7, 0)),1)</f>
        <v>113.6</v>
      </c>
      <c r="N1631" s="6" t="n">
        <f aca="false">ROUND(M1631/24,2)</f>
        <v>4.73</v>
      </c>
    </row>
    <row r="1632" customFormat="false" ht="15" hidden="false" customHeight="true" outlineLevel="0" collapsed="false">
      <c r="A1632" s="6" t="n">
        <v>6</v>
      </c>
      <c r="B1632" s="6" t="s">
        <v>3109</v>
      </c>
      <c r="C1632" s="6" t="s">
        <v>1458</v>
      </c>
      <c r="D1632" s="6" t="str">
        <f aca="false">A1632&amp;"|"&amp;C1632</f>
        <v>6|Lance Destroyer</v>
      </c>
      <c r="E1632" s="6" t="s">
        <v>1558</v>
      </c>
      <c r="F1632" s="6" t="s">
        <v>1546</v>
      </c>
      <c r="G1632" s="6" t="str">
        <f aca="false">INDEX(Archetypes!$D$2:$D$127, MATCH(D1632, Archetypes!$A$2:$A$127, 0))</f>
        <v>Alpha Strike</v>
      </c>
      <c r="H1632" s="6" t="n">
        <f aca="false">ROUND(INDEX(Archetypes!$E$2:$E$127, MATCH(D1632, Archetypes!$A$2:$A$127, 0))*INDEX(Unit_Grades!$B$2:$B$7, MATCH(F1632, Unit_Grades!$A$2:$A$7, 0))*INDEX(Unit_Paths!$B$2:$B$4, MATCH(E1632, Unit_Paths!$A$2:$A$4, 0)),1)</f>
        <v>2688</v>
      </c>
      <c r="I1632" s="6" t="n">
        <f aca="false">ROUND(INDEX(Archetypes!$F$2:$F$127, MATCH(D1632, Archetypes!$A$2:$A$127, 0))*INDEX(Unit_Grades!$B$2:$B$7, MATCH(F1632, Unit_Grades!$A$2:$A$7, 0))*INDEX(Unit_Paths!$C$2:$C$4, MATCH(E1632, Unit_Paths!$A$2:$A$4, 0)),1)</f>
        <v>979.2</v>
      </c>
      <c r="J1632" s="6" t="n">
        <f aca="false">ROUND(INDEX(Archetypes!$G$2:$G$127, MATCH(D1632, Archetypes!$A$2:$A$127, 0))*INDEX(Unit_Grades!$B$2:$B$7, MATCH(F1632, Unit_Grades!$A$2:$A$7, 0))*INDEX(Unit_Paths!$D$2:$D$4, MATCH(E1632, Unit_Paths!$A$2:$A$4, 0)),0)</f>
        <v>5472</v>
      </c>
      <c r="K1632" s="6" t="n">
        <f aca="false">ROUND(INDEX(Archetypes!$H$2:$H$127, MATCH(D1632, Archetypes!$A$2:$A$127, 0))*INDEX(Unit_Paths!$E$2:$E$4, MATCH(E1632, Unit_Paths!$A$2:$A$4, 0)),1)</f>
        <v>73.5</v>
      </c>
      <c r="L1632" s="6" t="n">
        <f aca="false">ROUND(INDEX(Archetypes!$I$2:$I$127, MATCH(D1632, Archetypes!$A$2:$A$127, 0))*INDEX(Unit_Grades!$C$2:$C$7, MATCH(F1632, Unit_Grades!$A$2:$A$7, 0)),1)</f>
        <v>196</v>
      </c>
      <c r="M1632" s="6" t="n">
        <f aca="false">ROUND(INDEX(Archetypes!$J$2:$J$127, MATCH(D1632, Archetypes!$A$2:$A$127, 0))*INDEX(Unit_Grades!$D$2:$D$7, MATCH(F1632, Unit_Grades!$A$2:$A$7, 0)),1)</f>
        <v>198.9</v>
      </c>
      <c r="N1632" s="6" t="n">
        <f aca="false">ROUND(M1632/24,2)</f>
        <v>8.29</v>
      </c>
    </row>
    <row r="1633" customFormat="false" ht="15" hidden="false" customHeight="true" outlineLevel="0" collapsed="false">
      <c r="A1633" s="6" t="n">
        <v>6</v>
      </c>
      <c r="B1633" s="6" t="s">
        <v>3110</v>
      </c>
      <c r="C1633" s="6" t="s">
        <v>1458</v>
      </c>
      <c r="D1633" s="6" t="str">
        <f aca="false">A1633&amp;"|"&amp;C1633</f>
        <v>6|Lance Destroyer</v>
      </c>
      <c r="E1633" s="6" t="s">
        <v>1558</v>
      </c>
      <c r="F1633" s="6" t="s">
        <v>1548</v>
      </c>
      <c r="G1633" s="6" t="str">
        <f aca="false">INDEX(Archetypes!$D$2:$D$127, MATCH(D1633, Archetypes!$A$2:$A$127, 0))</f>
        <v>Alpha Strike</v>
      </c>
      <c r="H1633" s="6" t="n">
        <f aca="false">ROUND(INDEX(Archetypes!$E$2:$E$127, MATCH(D1633, Archetypes!$A$2:$A$127, 0))*INDEX(Unit_Grades!$B$2:$B$7, MATCH(F1633, Unit_Grades!$A$2:$A$7, 0))*INDEX(Unit_Paths!$B$2:$B$4, MATCH(E1633, Unit_Paths!$A$2:$A$4, 0)),1)</f>
        <v>3528</v>
      </c>
      <c r="I1633" s="6" t="n">
        <f aca="false">ROUND(INDEX(Archetypes!$F$2:$F$127, MATCH(D1633, Archetypes!$A$2:$A$127, 0))*INDEX(Unit_Grades!$B$2:$B$7, MATCH(F1633, Unit_Grades!$A$2:$A$7, 0))*INDEX(Unit_Paths!$C$2:$C$4, MATCH(E1633, Unit_Paths!$A$2:$A$4, 0)),1)</f>
        <v>1285.2</v>
      </c>
      <c r="J1633" s="6" t="n">
        <f aca="false">ROUND(INDEX(Archetypes!$G$2:$G$127, MATCH(D1633, Archetypes!$A$2:$A$127, 0))*INDEX(Unit_Grades!$B$2:$B$7, MATCH(F1633, Unit_Grades!$A$2:$A$7, 0))*INDEX(Unit_Paths!$D$2:$D$4, MATCH(E1633, Unit_Paths!$A$2:$A$4, 0)),0)</f>
        <v>7182</v>
      </c>
      <c r="K1633" s="6" t="n">
        <f aca="false">ROUND(INDEX(Archetypes!$H$2:$H$127, MATCH(D1633, Archetypes!$A$2:$A$127, 0))*INDEX(Unit_Paths!$E$2:$E$4, MATCH(E1633, Unit_Paths!$A$2:$A$4, 0)),1)</f>
        <v>73.5</v>
      </c>
      <c r="L1633" s="6" t="n">
        <f aca="false">ROUND(INDEX(Archetypes!$I$2:$I$127, MATCH(D1633, Archetypes!$A$2:$A$127, 0))*INDEX(Unit_Grades!$C$2:$C$7, MATCH(F1633, Unit_Grades!$A$2:$A$7, 0)),1)</f>
        <v>259</v>
      </c>
      <c r="M1633" s="6" t="n">
        <f aca="false">ROUND(INDEX(Archetypes!$J$2:$J$127, MATCH(D1633, Archetypes!$A$2:$A$127, 0))*INDEX(Unit_Grades!$D$2:$D$7, MATCH(F1633, Unit_Grades!$A$2:$A$7, 0)),1)</f>
        <v>340.9</v>
      </c>
      <c r="N1633" s="6" t="n">
        <f aca="false">ROUND(M1633/24,2)</f>
        <v>14.2</v>
      </c>
    </row>
    <row r="1634" customFormat="false" ht="15" hidden="false" customHeight="true" outlineLevel="0" collapsed="false">
      <c r="A1634" s="6" t="n">
        <v>6</v>
      </c>
      <c r="B1634" s="6" t="s">
        <v>3111</v>
      </c>
      <c r="C1634" s="6" t="s">
        <v>1458</v>
      </c>
      <c r="D1634" s="6" t="str">
        <f aca="false">A1634&amp;"|"&amp;C1634</f>
        <v>6|Lance Destroyer</v>
      </c>
      <c r="E1634" s="6" t="s">
        <v>1560</v>
      </c>
      <c r="F1634" s="6" t="s">
        <v>1538</v>
      </c>
      <c r="G1634" s="6" t="str">
        <f aca="false">INDEX(Archetypes!$D$2:$D$127, MATCH(D1634, Archetypes!$A$2:$A$127, 0))</f>
        <v>Alpha Strike</v>
      </c>
      <c r="H1634" s="6" t="n">
        <f aca="false">ROUND(INDEX(Archetypes!$E$2:$E$127, MATCH(D1634, Archetypes!$A$2:$A$127, 0))*INDEX(Unit_Grades!$B$2:$B$7, MATCH(F1634, Unit_Grades!$A$2:$A$7, 0))*INDEX(Unit_Paths!$B$2:$B$4, MATCH(E1634, Unit_Paths!$A$2:$A$4, 0)),1)</f>
        <v>595</v>
      </c>
      <c r="I1634" s="6" t="n">
        <f aca="false">ROUND(INDEX(Archetypes!$F$2:$F$127, MATCH(D1634, Archetypes!$A$2:$A$127, 0))*INDEX(Unit_Grades!$B$2:$B$7, MATCH(F1634, Unit_Grades!$A$2:$A$7, 0))*INDEX(Unit_Paths!$C$2:$C$4, MATCH(E1634, Unit_Paths!$A$2:$A$4, 0)),1)</f>
        <v>450</v>
      </c>
      <c r="J1634" s="6" t="n">
        <f aca="false">ROUND(INDEX(Archetypes!$G$2:$G$127, MATCH(D1634, Archetypes!$A$2:$A$127, 0))*INDEX(Unit_Grades!$B$2:$B$7, MATCH(F1634, Unit_Grades!$A$2:$A$7, 0))*INDEX(Unit_Paths!$D$2:$D$4, MATCH(E1634, Unit_Paths!$A$2:$A$4, 0)),0)</f>
        <v>2070</v>
      </c>
      <c r="K1634" s="6" t="n">
        <f aca="false">ROUND(INDEX(Archetypes!$H$2:$H$127, MATCH(D1634, Archetypes!$A$2:$A$127, 0))*INDEX(Unit_Paths!$E$2:$E$4, MATCH(E1634, Unit_Paths!$A$2:$A$4, 0)),1)</f>
        <v>64.4</v>
      </c>
      <c r="L1634" s="6" t="n">
        <f aca="false">ROUND(INDEX(Archetypes!$I$2:$I$127, MATCH(D1634, Archetypes!$A$2:$A$127, 0))*INDEX(Unit_Grades!$C$2:$C$7, MATCH(F1634, Unit_Grades!$A$2:$A$7, 0)),1)</f>
        <v>70</v>
      </c>
      <c r="M1634" s="6" t="n">
        <f aca="false">ROUND(INDEX(Archetypes!$J$2:$J$127, MATCH(D1634, Archetypes!$A$2:$A$127, 0))*INDEX(Unit_Grades!$D$2:$D$7, MATCH(F1634, Unit_Grades!$A$2:$A$7, 0)),1)</f>
        <v>28.4</v>
      </c>
      <c r="N1634" s="6" t="n">
        <f aca="false">ROUND(M1634/24,2)</f>
        <v>1.18</v>
      </c>
    </row>
    <row r="1635" customFormat="false" ht="15" hidden="false" customHeight="true" outlineLevel="0" collapsed="false">
      <c r="A1635" s="6" t="n">
        <v>6</v>
      </c>
      <c r="B1635" s="6" t="s">
        <v>3112</v>
      </c>
      <c r="C1635" s="6" t="s">
        <v>1458</v>
      </c>
      <c r="D1635" s="6" t="str">
        <f aca="false">A1635&amp;"|"&amp;C1635</f>
        <v>6|Lance Destroyer</v>
      </c>
      <c r="E1635" s="6" t="s">
        <v>1560</v>
      </c>
      <c r="F1635" s="6" t="s">
        <v>1540</v>
      </c>
      <c r="G1635" s="6" t="str">
        <f aca="false">INDEX(Archetypes!$D$2:$D$127, MATCH(D1635, Archetypes!$A$2:$A$127, 0))</f>
        <v>Alpha Strike</v>
      </c>
      <c r="H1635" s="6" t="n">
        <f aca="false">ROUND(INDEX(Archetypes!$E$2:$E$127, MATCH(D1635, Archetypes!$A$2:$A$127, 0))*INDEX(Unit_Grades!$B$2:$B$7, MATCH(F1635, Unit_Grades!$A$2:$A$7, 0))*INDEX(Unit_Paths!$B$2:$B$4, MATCH(E1635, Unit_Paths!$A$2:$A$4, 0)),1)</f>
        <v>803.3</v>
      </c>
      <c r="I1635" s="6" t="n">
        <f aca="false">ROUND(INDEX(Archetypes!$F$2:$F$127, MATCH(D1635, Archetypes!$A$2:$A$127, 0))*INDEX(Unit_Grades!$B$2:$B$7, MATCH(F1635, Unit_Grades!$A$2:$A$7, 0))*INDEX(Unit_Paths!$C$2:$C$4, MATCH(E1635, Unit_Paths!$A$2:$A$4, 0)),1)</f>
        <v>607.5</v>
      </c>
      <c r="J1635" s="6" t="n">
        <f aca="false">ROUND(INDEX(Archetypes!$G$2:$G$127, MATCH(D1635, Archetypes!$A$2:$A$127, 0))*INDEX(Unit_Grades!$B$2:$B$7, MATCH(F1635, Unit_Grades!$A$2:$A$7, 0))*INDEX(Unit_Paths!$D$2:$D$4, MATCH(E1635, Unit_Paths!$A$2:$A$4, 0)),0)</f>
        <v>2795</v>
      </c>
      <c r="K1635" s="6" t="n">
        <f aca="false">ROUND(INDEX(Archetypes!$H$2:$H$127, MATCH(D1635, Archetypes!$A$2:$A$127, 0))*INDEX(Unit_Paths!$E$2:$E$4, MATCH(E1635, Unit_Paths!$A$2:$A$4, 0)),1)</f>
        <v>64.4</v>
      </c>
      <c r="L1635" s="6" t="n">
        <f aca="false">ROUND(INDEX(Archetypes!$I$2:$I$127, MATCH(D1635, Archetypes!$A$2:$A$127, 0))*INDEX(Unit_Grades!$C$2:$C$7, MATCH(F1635, Unit_Grades!$A$2:$A$7, 0)),1)</f>
        <v>87.5</v>
      </c>
      <c r="M1635" s="6" t="n">
        <f aca="false">ROUND(INDEX(Archetypes!$J$2:$J$127, MATCH(D1635, Archetypes!$A$2:$A$127, 0))*INDEX(Unit_Grades!$D$2:$D$7, MATCH(F1635, Unit_Grades!$A$2:$A$7, 0)),1)</f>
        <v>42.6</v>
      </c>
      <c r="N1635" s="6" t="n">
        <f aca="false">ROUND(M1635/24,2)</f>
        <v>1.78</v>
      </c>
    </row>
    <row r="1636" customFormat="false" ht="15" hidden="false" customHeight="true" outlineLevel="0" collapsed="false">
      <c r="A1636" s="6" t="n">
        <v>6</v>
      </c>
      <c r="B1636" s="6" t="s">
        <v>3113</v>
      </c>
      <c r="C1636" s="6" t="s">
        <v>1458</v>
      </c>
      <c r="D1636" s="6" t="str">
        <f aca="false">A1636&amp;"|"&amp;C1636</f>
        <v>6|Lance Destroyer</v>
      </c>
      <c r="E1636" s="6" t="s">
        <v>1560</v>
      </c>
      <c r="F1636" s="6" t="s">
        <v>1542</v>
      </c>
      <c r="G1636" s="6" t="str">
        <f aca="false">INDEX(Archetypes!$D$2:$D$127, MATCH(D1636, Archetypes!$A$2:$A$127, 0))</f>
        <v>Alpha Strike</v>
      </c>
      <c r="H1636" s="6" t="n">
        <f aca="false">ROUND(INDEX(Archetypes!$E$2:$E$127, MATCH(D1636, Archetypes!$A$2:$A$127, 0))*INDEX(Unit_Grades!$B$2:$B$7, MATCH(F1636, Unit_Grades!$A$2:$A$7, 0))*INDEX(Unit_Paths!$B$2:$B$4, MATCH(E1636, Unit_Paths!$A$2:$A$4, 0)),1)</f>
        <v>1071</v>
      </c>
      <c r="I1636" s="6" t="n">
        <f aca="false">ROUND(INDEX(Archetypes!$F$2:$F$127, MATCH(D1636, Archetypes!$A$2:$A$127, 0))*INDEX(Unit_Grades!$B$2:$B$7, MATCH(F1636, Unit_Grades!$A$2:$A$7, 0))*INDEX(Unit_Paths!$C$2:$C$4, MATCH(E1636, Unit_Paths!$A$2:$A$4, 0)),1)</f>
        <v>810</v>
      </c>
      <c r="J1636" s="6" t="n">
        <f aca="false">ROUND(INDEX(Archetypes!$G$2:$G$127, MATCH(D1636, Archetypes!$A$2:$A$127, 0))*INDEX(Unit_Grades!$B$2:$B$7, MATCH(F1636, Unit_Grades!$A$2:$A$7, 0))*INDEX(Unit_Paths!$D$2:$D$4, MATCH(E1636, Unit_Paths!$A$2:$A$4, 0)),0)</f>
        <v>3726</v>
      </c>
      <c r="K1636" s="6" t="n">
        <f aca="false">ROUND(INDEX(Archetypes!$H$2:$H$127, MATCH(D1636, Archetypes!$A$2:$A$127, 0))*INDEX(Unit_Paths!$E$2:$E$4, MATCH(E1636, Unit_Paths!$A$2:$A$4, 0)),1)</f>
        <v>64.4</v>
      </c>
      <c r="L1636" s="6" t="n">
        <f aca="false">ROUND(INDEX(Archetypes!$I$2:$I$127, MATCH(D1636, Archetypes!$A$2:$A$127, 0))*INDEX(Unit_Grades!$C$2:$C$7, MATCH(F1636, Unit_Grades!$A$2:$A$7, 0)),1)</f>
        <v>112</v>
      </c>
      <c r="M1636" s="6" t="n">
        <f aca="false">ROUND(INDEX(Archetypes!$J$2:$J$127, MATCH(D1636, Archetypes!$A$2:$A$127, 0))*INDEX(Unit_Grades!$D$2:$D$7, MATCH(F1636, Unit_Grades!$A$2:$A$7, 0)),1)</f>
        <v>71</v>
      </c>
      <c r="N1636" s="6" t="n">
        <f aca="false">ROUND(M1636/24,2)</f>
        <v>2.96</v>
      </c>
    </row>
    <row r="1637" customFormat="false" ht="15" hidden="false" customHeight="true" outlineLevel="0" collapsed="false">
      <c r="A1637" s="6" t="n">
        <v>6</v>
      </c>
      <c r="B1637" s="6" t="s">
        <v>3114</v>
      </c>
      <c r="C1637" s="6" t="s">
        <v>1458</v>
      </c>
      <c r="D1637" s="6" t="str">
        <f aca="false">A1637&amp;"|"&amp;C1637</f>
        <v>6|Lance Destroyer</v>
      </c>
      <c r="E1637" s="6" t="s">
        <v>1560</v>
      </c>
      <c r="F1637" s="6" t="s">
        <v>1544</v>
      </c>
      <c r="G1637" s="6" t="str">
        <f aca="false">INDEX(Archetypes!$D$2:$D$127, MATCH(D1637, Archetypes!$A$2:$A$127, 0))</f>
        <v>Alpha Strike</v>
      </c>
      <c r="H1637" s="6" t="n">
        <f aca="false">ROUND(INDEX(Archetypes!$E$2:$E$127, MATCH(D1637, Archetypes!$A$2:$A$127, 0))*INDEX(Unit_Grades!$B$2:$B$7, MATCH(F1637, Unit_Grades!$A$2:$A$7, 0))*INDEX(Unit_Paths!$B$2:$B$4, MATCH(E1637, Unit_Paths!$A$2:$A$4, 0)),1)</f>
        <v>1428</v>
      </c>
      <c r="I1637" s="6" t="n">
        <f aca="false">ROUND(INDEX(Archetypes!$F$2:$F$127, MATCH(D1637, Archetypes!$A$2:$A$127, 0))*INDEX(Unit_Grades!$B$2:$B$7, MATCH(F1637, Unit_Grades!$A$2:$A$7, 0))*INDEX(Unit_Paths!$C$2:$C$4, MATCH(E1637, Unit_Paths!$A$2:$A$4, 0)),1)</f>
        <v>1080</v>
      </c>
      <c r="J1637" s="6" t="n">
        <f aca="false">ROUND(INDEX(Archetypes!$G$2:$G$127, MATCH(D1637, Archetypes!$A$2:$A$127, 0))*INDEX(Unit_Grades!$B$2:$B$7, MATCH(F1637, Unit_Grades!$A$2:$A$7, 0))*INDEX(Unit_Paths!$D$2:$D$4, MATCH(E1637, Unit_Paths!$A$2:$A$4, 0)),0)</f>
        <v>4968</v>
      </c>
      <c r="K1637" s="6" t="n">
        <f aca="false">ROUND(INDEX(Archetypes!$H$2:$H$127, MATCH(D1637, Archetypes!$A$2:$A$127, 0))*INDEX(Unit_Paths!$E$2:$E$4, MATCH(E1637, Unit_Paths!$A$2:$A$4, 0)),1)</f>
        <v>64.4</v>
      </c>
      <c r="L1637" s="6" t="n">
        <f aca="false">ROUND(INDEX(Archetypes!$I$2:$I$127, MATCH(D1637, Archetypes!$A$2:$A$127, 0))*INDEX(Unit_Grades!$C$2:$C$7, MATCH(F1637, Unit_Grades!$A$2:$A$7, 0)),1)</f>
        <v>147</v>
      </c>
      <c r="M1637" s="6" t="n">
        <f aca="false">ROUND(INDEX(Archetypes!$J$2:$J$127, MATCH(D1637, Archetypes!$A$2:$A$127, 0))*INDEX(Unit_Grades!$D$2:$D$7, MATCH(F1637, Unit_Grades!$A$2:$A$7, 0)),1)</f>
        <v>113.6</v>
      </c>
      <c r="N1637" s="6" t="n">
        <f aca="false">ROUND(M1637/24,2)</f>
        <v>4.73</v>
      </c>
    </row>
    <row r="1638" customFormat="false" ht="15" hidden="false" customHeight="true" outlineLevel="0" collapsed="false">
      <c r="A1638" s="6" t="n">
        <v>6</v>
      </c>
      <c r="B1638" s="6" t="s">
        <v>3115</v>
      </c>
      <c r="C1638" s="6" t="s">
        <v>1458</v>
      </c>
      <c r="D1638" s="6" t="str">
        <f aca="false">A1638&amp;"|"&amp;C1638</f>
        <v>6|Lance Destroyer</v>
      </c>
      <c r="E1638" s="6" t="s">
        <v>1560</v>
      </c>
      <c r="F1638" s="6" t="s">
        <v>1546</v>
      </c>
      <c r="G1638" s="6" t="str">
        <f aca="false">INDEX(Archetypes!$D$2:$D$127, MATCH(D1638, Archetypes!$A$2:$A$127, 0))</f>
        <v>Alpha Strike</v>
      </c>
      <c r="H1638" s="6" t="n">
        <f aca="false">ROUND(INDEX(Archetypes!$E$2:$E$127, MATCH(D1638, Archetypes!$A$2:$A$127, 0))*INDEX(Unit_Grades!$B$2:$B$7, MATCH(F1638, Unit_Grades!$A$2:$A$7, 0))*INDEX(Unit_Paths!$B$2:$B$4, MATCH(E1638, Unit_Paths!$A$2:$A$4, 0)),1)</f>
        <v>1904</v>
      </c>
      <c r="I1638" s="6" t="n">
        <f aca="false">ROUND(INDEX(Archetypes!$F$2:$F$127, MATCH(D1638, Archetypes!$A$2:$A$127, 0))*INDEX(Unit_Grades!$B$2:$B$7, MATCH(F1638, Unit_Grades!$A$2:$A$7, 0))*INDEX(Unit_Paths!$C$2:$C$4, MATCH(E1638, Unit_Paths!$A$2:$A$4, 0)),1)</f>
        <v>1440</v>
      </c>
      <c r="J1638" s="6" t="n">
        <f aca="false">ROUND(INDEX(Archetypes!$G$2:$G$127, MATCH(D1638, Archetypes!$A$2:$A$127, 0))*INDEX(Unit_Grades!$B$2:$B$7, MATCH(F1638, Unit_Grades!$A$2:$A$7, 0))*INDEX(Unit_Paths!$D$2:$D$4, MATCH(E1638, Unit_Paths!$A$2:$A$4, 0)),0)</f>
        <v>6624</v>
      </c>
      <c r="K1638" s="6" t="n">
        <f aca="false">ROUND(INDEX(Archetypes!$H$2:$H$127, MATCH(D1638, Archetypes!$A$2:$A$127, 0))*INDEX(Unit_Paths!$E$2:$E$4, MATCH(E1638, Unit_Paths!$A$2:$A$4, 0)),1)</f>
        <v>64.4</v>
      </c>
      <c r="L1638" s="6" t="n">
        <f aca="false">ROUND(INDEX(Archetypes!$I$2:$I$127, MATCH(D1638, Archetypes!$A$2:$A$127, 0))*INDEX(Unit_Grades!$C$2:$C$7, MATCH(F1638, Unit_Grades!$A$2:$A$7, 0)),1)</f>
        <v>196</v>
      </c>
      <c r="M1638" s="6" t="n">
        <f aca="false">ROUND(INDEX(Archetypes!$J$2:$J$127, MATCH(D1638, Archetypes!$A$2:$A$127, 0))*INDEX(Unit_Grades!$D$2:$D$7, MATCH(F1638, Unit_Grades!$A$2:$A$7, 0)),1)</f>
        <v>198.9</v>
      </c>
      <c r="N1638" s="6" t="n">
        <f aca="false">ROUND(M1638/24,2)</f>
        <v>8.29</v>
      </c>
    </row>
    <row r="1639" customFormat="false" ht="15" hidden="false" customHeight="true" outlineLevel="0" collapsed="false">
      <c r="A1639" s="6" t="n">
        <v>6</v>
      </c>
      <c r="B1639" s="6" t="s">
        <v>3116</v>
      </c>
      <c r="C1639" s="6" t="s">
        <v>1458</v>
      </c>
      <c r="D1639" s="6" t="str">
        <f aca="false">A1639&amp;"|"&amp;C1639</f>
        <v>6|Lance Destroyer</v>
      </c>
      <c r="E1639" s="6" t="s">
        <v>1560</v>
      </c>
      <c r="F1639" s="6" t="s">
        <v>1548</v>
      </c>
      <c r="G1639" s="6" t="str">
        <f aca="false">INDEX(Archetypes!$D$2:$D$127, MATCH(D1639, Archetypes!$A$2:$A$127, 0))</f>
        <v>Alpha Strike</v>
      </c>
      <c r="H1639" s="6" t="n">
        <f aca="false">ROUND(INDEX(Archetypes!$E$2:$E$127, MATCH(D1639, Archetypes!$A$2:$A$127, 0))*INDEX(Unit_Grades!$B$2:$B$7, MATCH(F1639, Unit_Grades!$A$2:$A$7, 0))*INDEX(Unit_Paths!$B$2:$B$4, MATCH(E1639, Unit_Paths!$A$2:$A$4, 0)),1)</f>
        <v>2499</v>
      </c>
      <c r="I1639" s="6" t="n">
        <f aca="false">ROUND(INDEX(Archetypes!$F$2:$F$127, MATCH(D1639, Archetypes!$A$2:$A$127, 0))*INDEX(Unit_Grades!$B$2:$B$7, MATCH(F1639, Unit_Grades!$A$2:$A$7, 0))*INDEX(Unit_Paths!$C$2:$C$4, MATCH(E1639, Unit_Paths!$A$2:$A$4, 0)),1)</f>
        <v>1890</v>
      </c>
      <c r="J1639" s="6" t="n">
        <f aca="false">ROUND(INDEX(Archetypes!$G$2:$G$127, MATCH(D1639, Archetypes!$A$2:$A$127, 0))*INDEX(Unit_Grades!$B$2:$B$7, MATCH(F1639, Unit_Grades!$A$2:$A$7, 0))*INDEX(Unit_Paths!$D$2:$D$4, MATCH(E1639, Unit_Paths!$A$2:$A$4, 0)),0)</f>
        <v>8694</v>
      </c>
      <c r="K1639" s="6" t="n">
        <f aca="false">ROUND(INDEX(Archetypes!$H$2:$H$127, MATCH(D1639, Archetypes!$A$2:$A$127, 0))*INDEX(Unit_Paths!$E$2:$E$4, MATCH(E1639, Unit_Paths!$A$2:$A$4, 0)),1)</f>
        <v>64.4</v>
      </c>
      <c r="L1639" s="6" t="n">
        <f aca="false">ROUND(INDEX(Archetypes!$I$2:$I$127, MATCH(D1639, Archetypes!$A$2:$A$127, 0))*INDEX(Unit_Grades!$C$2:$C$7, MATCH(F1639, Unit_Grades!$A$2:$A$7, 0)),1)</f>
        <v>259</v>
      </c>
      <c r="M1639" s="6" t="n">
        <f aca="false">ROUND(INDEX(Archetypes!$J$2:$J$127, MATCH(D1639, Archetypes!$A$2:$A$127, 0))*INDEX(Unit_Grades!$D$2:$D$7, MATCH(F1639, Unit_Grades!$A$2:$A$7, 0)),1)</f>
        <v>340.9</v>
      </c>
      <c r="N1639" s="6" t="n">
        <f aca="false">ROUND(M1639/24,2)</f>
        <v>14.2</v>
      </c>
    </row>
    <row r="1640" customFormat="false" ht="15" hidden="false" customHeight="true" outlineLevel="0" collapsed="false">
      <c r="A1640" s="6" t="n">
        <v>6</v>
      </c>
      <c r="B1640" s="6" t="s">
        <v>1461</v>
      </c>
      <c r="C1640" s="6" t="s">
        <v>1461</v>
      </c>
      <c r="D1640" s="6" t="str">
        <f aca="false">A1640&amp;"|"&amp;C1640</f>
        <v>6|Drone Carrier</v>
      </c>
      <c r="E1640" s="6" t="s">
        <v>1556</v>
      </c>
      <c r="F1640" s="6" t="s">
        <v>1538</v>
      </c>
      <c r="G1640" s="6" t="str">
        <f aca="false">INDEX(Archetypes!$D$2:$D$127, MATCH(D1640, Archetypes!$A$2:$A$127, 0))</f>
        <v>Drone</v>
      </c>
      <c r="H1640" s="6" t="n">
        <f aca="false">ROUND(INDEX(Archetypes!$E$2:$E$127, MATCH(D1640, Archetypes!$A$2:$A$127, 0))*INDEX(Unit_Grades!$B$2:$B$7, MATCH(F1640, Unit_Grades!$A$2:$A$7, 0))*INDEX(Unit_Paths!$B$2:$B$4, MATCH(E1640, Unit_Paths!$A$2:$A$4, 0)),1)</f>
        <v>560</v>
      </c>
      <c r="I1640" s="6" t="n">
        <f aca="false">ROUND(INDEX(Archetypes!$F$2:$F$127, MATCH(D1640, Archetypes!$A$2:$A$127, 0))*INDEX(Unit_Grades!$B$2:$B$7, MATCH(F1640, Unit_Grades!$A$2:$A$7, 0))*INDEX(Unit_Paths!$C$2:$C$4, MATCH(E1640, Unit_Paths!$A$2:$A$4, 0)),1)</f>
        <v>420</v>
      </c>
      <c r="J1640" s="6" t="n">
        <f aca="false">ROUND(INDEX(Archetypes!$G$2:$G$127, MATCH(D1640, Archetypes!$A$2:$A$127, 0))*INDEX(Unit_Grades!$B$2:$B$7, MATCH(F1640, Unit_Grades!$A$2:$A$7, 0))*INDEX(Unit_Paths!$D$2:$D$4, MATCH(E1640, Unit_Paths!$A$2:$A$4, 0)),0)</f>
        <v>2400</v>
      </c>
      <c r="K1640" s="6" t="n">
        <f aca="false">ROUND(INDEX(Archetypes!$H$2:$H$127, MATCH(D1640, Archetypes!$A$2:$A$127, 0))*INDEX(Unit_Paths!$E$2:$E$4, MATCH(E1640, Unit_Paths!$A$2:$A$4, 0)),1)</f>
        <v>55</v>
      </c>
      <c r="L1640" s="6" t="n">
        <f aca="false">ROUND(INDEX(Archetypes!$I$2:$I$127, MATCH(D1640, Archetypes!$A$2:$A$127, 0))*INDEX(Unit_Grades!$C$2:$C$7, MATCH(F1640, Unit_Grades!$A$2:$A$7, 0)),1)</f>
        <v>76</v>
      </c>
      <c r="M1640" s="6" t="n">
        <f aca="false">ROUND(INDEX(Archetypes!$J$2:$J$127, MATCH(D1640, Archetypes!$A$2:$A$127, 0))*INDEX(Unit_Grades!$D$2:$D$7, MATCH(F1640, Unit_Grades!$A$2:$A$7, 0)),1)</f>
        <v>30.8</v>
      </c>
      <c r="N1640" s="6" t="n">
        <f aca="false">ROUND(M1640/24,2)</f>
        <v>1.28</v>
      </c>
    </row>
    <row r="1641" customFormat="false" ht="15" hidden="false" customHeight="true" outlineLevel="0" collapsed="false">
      <c r="A1641" s="6" t="n">
        <v>6</v>
      </c>
      <c r="B1641" s="6" t="s">
        <v>3117</v>
      </c>
      <c r="C1641" s="6" t="s">
        <v>1461</v>
      </c>
      <c r="D1641" s="6" t="str">
        <f aca="false">A1641&amp;"|"&amp;C1641</f>
        <v>6|Drone Carrier</v>
      </c>
      <c r="E1641" s="6" t="s">
        <v>1556</v>
      </c>
      <c r="F1641" s="6" t="s">
        <v>1540</v>
      </c>
      <c r="G1641" s="6" t="str">
        <f aca="false">INDEX(Archetypes!$D$2:$D$127, MATCH(D1641, Archetypes!$A$2:$A$127, 0))</f>
        <v>Drone</v>
      </c>
      <c r="H1641" s="6" t="n">
        <f aca="false">ROUND(INDEX(Archetypes!$E$2:$E$127, MATCH(D1641, Archetypes!$A$2:$A$127, 0))*INDEX(Unit_Grades!$B$2:$B$7, MATCH(F1641, Unit_Grades!$A$2:$A$7, 0))*INDEX(Unit_Paths!$B$2:$B$4, MATCH(E1641, Unit_Paths!$A$2:$A$4, 0)),1)</f>
        <v>756</v>
      </c>
      <c r="I1641" s="6" t="n">
        <f aca="false">ROUND(INDEX(Archetypes!$F$2:$F$127, MATCH(D1641, Archetypes!$A$2:$A$127, 0))*INDEX(Unit_Grades!$B$2:$B$7, MATCH(F1641, Unit_Grades!$A$2:$A$7, 0))*INDEX(Unit_Paths!$C$2:$C$4, MATCH(E1641, Unit_Paths!$A$2:$A$4, 0)),1)</f>
        <v>567</v>
      </c>
      <c r="J1641" s="6" t="n">
        <f aca="false">ROUND(INDEX(Archetypes!$G$2:$G$127, MATCH(D1641, Archetypes!$A$2:$A$127, 0))*INDEX(Unit_Grades!$B$2:$B$7, MATCH(F1641, Unit_Grades!$A$2:$A$7, 0))*INDEX(Unit_Paths!$D$2:$D$4, MATCH(E1641, Unit_Paths!$A$2:$A$4, 0)),0)</f>
        <v>3240</v>
      </c>
      <c r="K1641" s="6" t="n">
        <f aca="false">ROUND(INDEX(Archetypes!$H$2:$H$127, MATCH(D1641, Archetypes!$A$2:$A$127, 0))*INDEX(Unit_Paths!$E$2:$E$4, MATCH(E1641, Unit_Paths!$A$2:$A$4, 0)),1)</f>
        <v>55</v>
      </c>
      <c r="L1641" s="6" t="n">
        <f aca="false">ROUND(INDEX(Archetypes!$I$2:$I$127, MATCH(D1641, Archetypes!$A$2:$A$127, 0))*INDEX(Unit_Grades!$C$2:$C$7, MATCH(F1641, Unit_Grades!$A$2:$A$7, 0)),1)</f>
        <v>95</v>
      </c>
      <c r="M1641" s="6" t="n">
        <f aca="false">ROUND(INDEX(Archetypes!$J$2:$J$127, MATCH(D1641, Archetypes!$A$2:$A$127, 0))*INDEX(Unit_Grades!$D$2:$D$7, MATCH(F1641, Unit_Grades!$A$2:$A$7, 0)),1)</f>
        <v>46.3</v>
      </c>
      <c r="N1641" s="6" t="n">
        <f aca="false">ROUND(M1641/24,2)</f>
        <v>1.93</v>
      </c>
    </row>
    <row r="1642" customFormat="false" ht="15" hidden="false" customHeight="true" outlineLevel="0" collapsed="false">
      <c r="A1642" s="6" t="n">
        <v>6</v>
      </c>
      <c r="B1642" s="6" t="s">
        <v>3118</v>
      </c>
      <c r="C1642" s="6" t="s">
        <v>1461</v>
      </c>
      <c r="D1642" s="6" t="str">
        <f aca="false">A1642&amp;"|"&amp;C1642</f>
        <v>6|Drone Carrier</v>
      </c>
      <c r="E1642" s="6" t="s">
        <v>1556</v>
      </c>
      <c r="F1642" s="6" t="s">
        <v>1542</v>
      </c>
      <c r="G1642" s="6" t="str">
        <f aca="false">INDEX(Archetypes!$D$2:$D$127, MATCH(D1642, Archetypes!$A$2:$A$127, 0))</f>
        <v>Drone</v>
      </c>
      <c r="H1642" s="6" t="n">
        <f aca="false">ROUND(INDEX(Archetypes!$E$2:$E$127, MATCH(D1642, Archetypes!$A$2:$A$127, 0))*INDEX(Unit_Grades!$B$2:$B$7, MATCH(F1642, Unit_Grades!$A$2:$A$7, 0))*INDEX(Unit_Paths!$B$2:$B$4, MATCH(E1642, Unit_Paths!$A$2:$A$4, 0)),1)</f>
        <v>1008</v>
      </c>
      <c r="I1642" s="6" t="n">
        <f aca="false">ROUND(INDEX(Archetypes!$F$2:$F$127, MATCH(D1642, Archetypes!$A$2:$A$127, 0))*INDEX(Unit_Grades!$B$2:$B$7, MATCH(F1642, Unit_Grades!$A$2:$A$7, 0))*INDEX(Unit_Paths!$C$2:$C$4, MATCH(E1642, Unit_Paths!$A$2:$A$4, 0)),1)</f>
        <v>756</v>
      </c>
      <c r="J1642" s="6" t="n">
        <f aca="false">ROUND(INDEX(Archetypes!$G$2:$G$127, MATCH(D1642, Archetypes!$A$2:$A$127, 0))*INDEX(Unit_Grades!$B$2:$B$7, MATCH(F1642, Unit_Grades!$A$2:$A$7, 0))*INDEX(Unit_Paths!$D$2:$D$4, MATCH(E1642, Unit_Paths!$A$2:$A$4, 0)),0)</f>
        <v>4320</v>
      </c>
      <c r="K1642" s="6" t="n">
        <f aca="false">ROUND(INDEX(Archetypes!$H$2:$H$127, MATCH(D1642, Archetypes!$A$2:$A$127, 0))*INDEX(Unit_Paths!$E$2:$E$4, MATCH(E1642, Unit_Paths!$A$2:$A$4, 0)),1)</f>
        <v>55</v>
      </c>
      <c r="L1642" s="6" t="n">
        <f aca="false">ROUND(INDEX(Archetypes!$I$2:$I$127, MATCH(D1642, Archetypes!$A$2:$A$127, 0))*INDEX(Unit_Grades!$C$2:$C$7, MATCH(F1642, Unit_Grades!$A$2:$A$7, 0)),1)</f>
        <v>121.6</v>
      </c>
      <c r="M1642" s="6" t="n">
        <f aca="false">ROUND(INDEX(Archetypes!$J$2:$J$127, MATCH(D1642, Archetypes!$A$2:$A$127, 0))*INDEX(Unit_Grades!$D$2:$D$7, MATCH(F1642, Unit_Grades!$A$2:$A$7, 0)),1)</f>
        <v>77.1</v>
      </c>
      <c r="N1642" s="6" t="n">
        <f aca="false">ROUND(M1642/24,2)</f>
        <v>3.21</v>
      </c>
    </row>
    <row r="1643" customFormat="false" ht="15" hidden="false" customHeight="true" outlineLevel="0" collapsed="false">
      <c r="A1643" s="6" t="n">
        <v>6</v>
      </c>
      <c r="B1643" s="6" t="s">
        <v>3119</v>
      </c>
      <c r="C1643" s="6" t="s">
        <v>1461</v>
      </c>
      <c r="D1643" s="6" t="str">
        <f aca="false">A1643&amp;"|"&amp;C1643</f>
        <v>6|Drone Carrier</v>
      </c>
      <c r="E1643" s="6" t="s">
        <v>1556</v>
      </c>
      <c r="F1643" s="6" t="s">
        <v>1544</v>
      </c>
      <c r="G1643" s="6" t="str">
        <f aca="false">INDEX(Archetypes!$D$2:$D$127, MATCH(D1643, Archetypes!$A$2:$A$127, 0))</f>
        <v>Drone</v>
      </c>
      <c r="H1643" s="6" t="n">
        <f aca="false">ROUND(INDEX(Archetypes!$E$2:$E$127, MATCH(D1643, Archetypes!$A$2:$A$127, 0))*INDEX(Unit_Grades!$B$2:$B$7, MATCH(F1643, Unit_Grades!$A$2:$A$7, 0))*INDEX(Unit_Paths!$B$2:$B$4, MATCH(E1643, Unit_Paths!$A$2:$A$4, 0)),1)</f>
        <v>1344</v>
      </c>
      <c r="I1643" s="6" t="n">
        <f aca="false">ROUND(INDEX(Archetypes!$F$2:$F$127, MATCH(D1643, Archetypes!$A$2:$A$127, 0))*INDEX(Unit_Grades!$B$2:$B$7, MATCH(F1643, Unit_Grades!$A$2:$A$7, 0))*INDEX(Unit_Paths!$C$2:$C$4, MATCH(E1643, Unit_Paths!$A$2:$A$4, 0)),1)</f>
        <v>1008</v>
      </c>
      <c r="J1643" s="6" t="n">
        <f aca="false">ROUND(INDEX(Archetypes!$G$2:$G$127, MATCH(D1643, Archetypes!$A$2:$A$127, 0))*INDEX(Unit_Grades!$B$2:$B$7, MATCH(F1643, Unit_Grades!$A$2:$A$7, 0))*INDEX(Unit_Paths!$D$2:$D$4, MATCH(E1643, Unit_Paths!$A$2:$A$4, 0)),0)</f>
        <v>5760</v>
      </c>
      <c r="K1643" s="6" t="n">
        <f aca="false">ROUND(INDEX(Archetypes!$H$2:$H$127, MATCH(D1643, Archetypes!$A$2:$A$127, 0))*INDEX(Unit_Paths!$E$2:$E$4, MATCH(E1643, Unit_Paths!$A$2:$A$4, 0)),1)</f>
        <v>55</v>
      </c>
      <c r="L1643" s="6" t="n">
        <f aca="false">ROUND(INDEX(Archetypes!$I$2:$I$127, MATCH(D1643, Archetypes!$A$2:$A$127, 0))*INDEX(Unit_Grades!$C$2:$C$7, MATCH(F1643, Unit_Grades!$A$2:$A$7, 0)),1)</f>
        <v>159.6</v>
      </c>
      <c r="M1643" s="6" t="n">
        <f aca="false">ROUND(INDEX(Archetypes!$J$2:$J$127, MATCH(D1643, Archetypes!$A$2:$A$127, 0))*INDEX(Unit_Grades!$D$2:$D$7, MATCH(F1643, Unit_Grades!$A$2:$A$7, 0)),1)</f>
        <v>123.4</v>
      </c>
      <c r="N1643" s="6" t="n">
        <f aca="false">ROUND(M1643/24,2)</f>
        <v>5.14</v>
      </c>
    </row>
    <row r="1644" customFormat="false" ht="15" hidden="false" customHeight="true" outlineLevel="0" collapsed="false">
      <c r="A1644" s="6" t="n">
        <v>6</v>
      </c>
      <c r="B1644" s="6" t="s">
        <v>3120</v>
      </c>
      <c r="C1644" s="6" t="s">
        <v>1461</v>
      </c>
      <c r="D1644" s="6" t="str">
        <f aca="false">A1644&amp;"|"&amp;C1644</f>
        <v>6|Drone Carrier</v>
      </c>
      <c r="E1644" s="6" t="s">
        <v>1556</v>
      </c>
      <c r="F1644" s="6" t="s">
        <v>1546</v>
      </c>
      <c r="G1644" s="6" t="str">
        <f aca="false">INDEX(Archetypes!$D$2:$D$127, MATCH(D1644, Archetypes!$A$2:$A$127, 0))</f>
        <v>Drone</v>
      </c>
      <c r="H1644" s="6" t="n">
        <f aca="false">ROUND(INDEX(Archetypes!$E$2:$E$127, MATCH(D1644, Archetypes!$A$2:$A$127, 0))*INDEX(Unit_Grades!$B$2:$B$7, MATCH(F1644, Unit_Grades!$A$2:$A$7, 0))*INDEX(Unit_Paths!$B$2:$B$4, MATCH(E1644, Unit_Paths!$A$2:$A$4, 0)),1)</f>
        <v>1792</v>
      </c>
      <c r="I1644" s="6" t="n">
        <f aca="false">ROUND(INDEX(Archetypes!$F$2:$F$127, MATCH(D1644, Archetypes!$A$2:$A$127, 0))*INDEX(Unit_Grades!$B$2:$B$7, MATCH(F1644, Unit_Grades!$A$2:$A$7, 0))*INDEX(Unit_Paths!$C$2:$C$4, MATCH(E1644, Unit_Paths!$A$2:$A$4, 0)),1)</f>
        <v>1344</v>
      </c>
      <c r="J1644" s="6" t="n">
        <f aca="false">ROUND(INDEX(Archetypes!$G$2:$G$127, MATCH(D1644, Archetypes!$A$2:$A$127, 0))*INDEX(Unit_Grades!$B$2:$B$7, MATCH(F1644, Unit_Grades!$A$2:$A$7, 0))*INDEX(Unit_Paths!$D$2:$D$4, MATCH(E1644, Unit_Paths!$A$2:$A$4, 0)),0)</f>
        <v>7680</v>
      </c>
      <c r="K1644" s="6" t="n">
        <f aca="false">ROUND(INDEX(Archetypes!$H$2:$H$127, MATCH(D1644, Archetypes!$A$2:$A$127, 0))*INDEX(Unit_Paths!$E$2:$E$4, MATCH(E1644, Unit_Paths!$A$2:$A$4, 0)),1)</f>
        <v>55</v>
      </c>
      <c r="L1644" s="6" t="n">
        <f aca="false">ROUND(INDEX(Archetypes!$I$2:$I$127, MATCH(D1644, Archetypes!$A$2:$A$127, 0))*INDEX(Unit_Grades!$C$2:$C$7, MATCH(F1644, Unit_Grades!$A$2:$A$7, 0)),1)</f>
        <v>212.8</v>
      </c>
      <c r="M1644" s="6" t="n">
        <f aca="false">ROUND(INDEX(Archetypes!$J$2:$J$127, MATCH(D1644, Archetypes!$A$2:$A$127, 0))*INDEX(Unit_Grades!$D$2:$D$7, MATCH(F1644, Unit_Grades!$A$2:$A$7, 0)),1)</f>
        <v>215.9</v>
      </c>
      <c r="N1644" s="6" t="n">
        <f aca="false">ROUND(M1644/24,2)</f>
        <v>9</v>
      </c>
    </row>
    <row r="1645" customFormat="false" ht="15" hidden="false" customHeight="true" outlineLevel="0" collapsed="false">
      <c r="A1645" s="6" t="n">
        <v>6</v>
      </c>
      <c r="B1645" s="6" t="s">
        <v>3121</v>
      </c>
      <c r="C1645" s="6" t="s">
        <v>1461</v>
      </c>
      <c r="D1645" s="6" t="str">
        <f aca="false">A1645&amp;"|"&amp;C1645</f>
        <v>6|Drone Carrier</v>
      </c>
      <c r="E1645" s="6" t="s">
        <v>1556</v>
      </c>
      <c r="F1645" s="6" t="s">
        <v>1548</v>
      </c>
      <c r="G1645" s="6" t="str">
        <f aca="false">INDEX(Archetypes!$D$2:$D$127, MATCH(D1645, Archetypes!$A$2:$A$127, 0))</f>
        <v>Drone</v>
      </c>
      <c r="H1645" s="6" t="n">
        <f aca="false">ROUND(INDEX(Archetypes!$E$2:$E$127, MATCH(D1645, Archetypes!$A$2:$A$127, 0))*INDEX(Unit_Grades!$B$2:$B$7, MATCH(F1645, Unit_Grades!$A$2:$A$7, 0))*INDEX(Unit_Paths!$B$2:$B$4, MATCH(E1645, Unit_Paths!$A$2:$A$4, 0)),1)</f>
        <v>2352</v>
      </c>
      <c r="I1645" s="6" t="n">
        <f aca="false">ROUND(INDEX(Archetypes!$F$2:$F$127, MATCH(D1645, Archetypes!$A$2:$A$127, 0))*INDEX(Unit_Grades!$B$2:$B$7, MATCH(F1645, Unit_Grades!$A$2:$A$7, 0))*INDEX(Unit_Paths!$C$2:$C$4, MATCH(E1645, Unit_Paths!$A$2:$A$4, 0)),1)</f>
        <v>1764</v>
      </c>
      <c r="J1645" s="6" t="n">
        <f aca="false">ROUND(INDEX(Archetypes!$G$2:$G$127, MATCH(D1645, Archetypes!$A$2:$A$127, 0))*INDEX(Unit_Grades!$B$2:$B$7, MATCH(F1645, Unit_Grades!$A$2:$A$7, 0))*INDEX(Unit_Paths!$D$2:$D$4, MATCH(E1645, Unit_Paths!$A$2:$A$4, 0)),0)</f>
        <v>10080</v>
      </c>
      <c r="K1645" s="6" t="n">
        <f aca="false">ROUND(INDEX(Archetypes!$H$2:$H$127, MATCH(D1645, Archetypes!$A$2:$A$127, 0))*INDEX(Unit_Paths!$E$2:$E$4, MATCH(E1645, Unit_Paths!$A$2:$A$4, 0)),1)</f>
        <v>55</v>
      </c>
      <c r="L1645" s="6" t="n">
        <f aca="false">ROUND(INDEX(Archetypes!$I$2:$I$127, MATCH(D1645, Archetypes!$A$2:$A$127, 0))*INDEX(Unit_Grades!$C$2:$C$7, MATCH(F1645, Unit_Grades!$A$2:$A$7, 0)),1)</f>
        <v>281.2</v>
      </c>
      <c r="M1645" s="6" t="n">
        <f aca="false">ROUND(INDEX(Archetypes!$J$2:$J$127, MATCH(D1645, Archetypes!$A$2:$A$127, 0))*INDEX(Unit_Grades!$D$2:$D$7, MATCH(F1645, Unit_Grades!$A$2:$A$7, 0)),1)</f>
        <v>370.1</v>
      </c>
      <c r="N1645" s="6" t="n">
        <f aca="false">ROUND(M1645/24,2)</f>
        <v>15.42</v>
      </c>
    </row>
    <row r="1646" customFormat="false" ht="15" hidden="false" customHeight="true" outlineLevel="0" collapsed="false">
      <c r="A1646" s="6" t="n">
        <v>6</v>
      </c>
      <c r="B1646" s="6" t="s">
        <v>3122</v>
      </c>
      <c r="C1646" s="6" t="s">
        <v>1461</v>
      </c>
      <c r="D1646" s="6" t="str">
        <f aca="false">A1646&amp;"|"&amp;C1646</f>
        <v>6|Drone Carrier</v>
      </c>
      <c r="E1646" s="6" t="s">
        <v>1558</v>
      </c>
      <c r="F1646" s="6" t="s">
        <v>1538</v>
      </c>
      <c r="G1646" s="6" t="str">
        <f aca="false">INDEX(Archetypes!$D$2:$D$127, MATCH(D1646, Archetypes!$A$2:$A$127, 0))</f>
        <v>Drone</v>
      </c>
      <c r="H1646" s="6" t="n">
        <f aca="false">ROUND(INDEX(Archetypes!$E$2:$E$127, MATCH(D1646, Archetypes!$A$2:$A$127, 0))*INDEX(Unit_Grades!$B$2:$B$7, MATCH(F1646, Unit_Grades!$A$2:$A$7, 0))*INDEX(Unit_Paths!$B$2:$B$4, MATCH(E1646, Unit_Paths!$A$2:$A$4, 0)),1)</f>
        <v>672</v>
      </c>
      <c r="I1646" s="6" t="n">
        <f aca="false">ROUND(INDEX(Archetypes!$F$2:$F$127, MATCH(D1646, Archetypes!$A$2:$A$127, 0))*INDEX(Unit_Grades!$B$2:$B$7, MATCH(F1646, Unit_Grades!$A$2:$A$7, 0))*INDEX(Unit_Paths!$C$2:$C$4, MATCH(E1646, Unit_Paths!$A$2:$A$4, 0)),1)</f>
        <v>357</v>
      </c>
      <c r="J1646" s="6" t="n">
        <f aca="false">ROUND(INDEX(Archetypes!$G$2:$G$127, MATCH(D1646, Archetypes!$A$2:$A$127, 0))*INDEX(Unit_Grades!$B$2:$B$7, MATCH(F1646, Unit_Grades!$A$2:$A$7, 0))*INDEX(Unit_Paths!$D$2:$D$4, MATCH(E1646, Unit_Paths!$A$2:$A$4, 0)),0)</f>
        <v>2280</v>
      </c>
      <c r="K1646" s="6" t="n">
        <f aca="false">ROUND(INDEX(Archetypes!$H$2:$H$127, MATCH(D1646, Archetypes!$A$2:$A$127, 0))*INDEX(Unit_Paths!$E$2:$E$4, MATCH(E1646, Unit_Paths!$A$2:$A$4, 0)),1)</f>
        <v>57.8</v>
      </c>
      <c r="L1646" s="6" t="n">
        <f aca="false">ROUND(INDEX(Archetypes!$I$2:$I$127, MATCH(D1646, Archetypes!$A$2:$A$127, 0))*INDEX(Unit_Grades!$C$2:$C$7, MATCH(F1646, Unit_Grades!$A$2:$A$7, 0)),1)</f>
        <v>76</v>
      </c>
      <c r="M1646" s="6" t="n">
        <f aca="false">ROUND(INDEX(Archetypes!$J$2:$J$127, MATCH(D1646, Archetypes!$A$2:$A$127, 0))*INDEX(Unit_Grades!$D$2:$D$7, MATCH(F1646, Unit_Grades!$A$2:$A$7, 0)),1)</f>
        <v>30.8</v>
      </c>
      <c r="N1646" s="6" t="n">
        <f aca="false">ROUND(M1646/24,2)</f>
        <v>1.28</v>
      </c>
    </row>
    <row r="1647" customFormat="false" ht="15" hidden="false" customHeight="true" outlineLevel="0" collapsed="false">
      <c r="A1647" s="6" t="n">
        <v>6</v>
      </c>
      <c r="B1647" s="6" t="s">
        <v>3123</v>
      </c>
      <c r="C1647" s="6" t="s">
        <v>1461</v>
      </c>
      <c r="D1647" s="6" t="str">
        <f aca="false">A1647&amp;"|"&amp;C1647</f>
        <v>6|Drone Carrier</v>
      </c>
      <c r="E1647" s="6" t="s">
        <v>1558</v>
      </c>
      <c r="F1647" s="6" t="s">
        <v>1540</v>
      </c>
      <c r="G1647" s="6" t="str">
        <f aca="false">INDEX(Archetypes!$D$2:$D$127, MATCH(D1647, Archetypes!$A$2:$A$127, 0))</f>
        <v>Drone</v>
      </c>
      <c r="H1647" s="6" t="n">
        <f aca="false">ROUND(INDEX(Archetypes!$E$2:$E$127, MATCH(D1647, Archetypes!$A$2:$A$127, 0))*INDEX(Unit_Grades!$B$2:$B$7, MATCH(F1647, Unit_Grades!$A$2:$A$7, 0))*INDEX(Unit_Paths!$B$2:$B$4, MATCH(E1647, Unit_Paths!$A$2:$A$4, 0)),1)</f>
        <v>907.2</v>
      </c>
      <c r="I1647" s="6" t="n">
        <f aca="false">ROUND(INDEX(Archetypes!$F$2:$F$127, MATCH(D1647, Archetypes!$A$2:$A$127, 0))*INDEX(Unit_Grades!$B$2:$B$7, MATCH(F1647, Unit_Grades!$A$2:$A$7, 0))*INDEX(Unit_Paths!$C$2:$C$4, MATCH(E1647, Unit_Paths!$A$2:$A$4, 0)),1)</f>
        <v>482</v>
      </c>
      <c r="J1647" s="6" t="n">
        <f aca="false">ROUND(INDEX(Archetypes!$G$2:$G$127, MATCH(D1647, Archetypes!$A$2:$A$127, 0))*INDEX(Unit_Grades!$B$2:$B$7, MATCH(F1647, Unit_Grades!$A$2:$A$7, 0))*INDEX(Unit_Paths!$D$2:$D$4, MATCH(E1647, Unit_Paths!$A$2:$A$4, 0)),0)</f>
        <v>3078</v>
      </c>
      <c r="K1647" s="6" t="n">
        <f aca="false">ROUND(INDEX(Archetypes!$H$2:$H$127, MATCH(D1647, Archetypes!$A$2:$A$127, 0))*INDEX(Unit_Paths!$E$2:$E$4, MATCH(E1647, Unit_Paths!$A$2:$A$4, 0)),1)</f>
        <v>57.8</v>
      </c>
      <c r="L1647" s="6" t="n">
        <f aca="false">ROUND(INDEX(Archetypes!$I$2:$I$127, MATCH(D1647, Archetypes!$A$2:$A$127, 0))*INDEX(Unit_Grades!$C$2:$C$7, MATCH(F1647, Unit_Grades!$A$2:$A$7, 0)),1)</f>
        <v>95</v>
      </c>
      <c r="M1647" s="6" t="n">
        <f aca="false">ROUND(INDEX(Archetypes!$J$2:$J$127, MATCH(D1647, Archetypes!$A$2:$A$127, 0))*INDEX(Unit_Grades!$D$2:$D$7, MATCH(F1647, Unit_Grades!$A$2:$A$7, 0)),1)</f>
        <v>46.3</v>
      </c>
      <c r="N1647" s="6" t="n">
        <f aca="false">ROUND(M1647/24,2)</f>
        <v>1.93</v>
      </c>
    </row>
    <row r="1648" customFormat="false" ht="15" hidden="false" customHeight="true" outlineLevel="0" collapsed="false">
      <c r="A1648" s="6" t="n">
        <v>6</v>
      </c>
      <c r="B1648" s="6" t="s">
        <v>3124</v>
      </c>
      <c r="C1648" s="6" t="s">
        <v>1461</v>
      </c>
      <c r="D1648" s="6" t="str">
        <f aca="false">A1648&amp;"|"&amp;C1648</f>
        <v>6|Drone Carrier</v>
      </c>
      <c r="E1648" s="6" t="s">
        <v>1558</v>
      </c>
      <c r="F1648" s="6" t="s">
        <v>1542</v>
      </c>
      <c r="G1648" s="6" t="str">
        <f aca="false">INDEX(Archetypes!$D$2:$D$127, MATCH(D1648, Archetypes!$A$2:$A$127, 0))</f>
        <v>Drone</v>
      </c>
      <c r="H1648" s="6" t="n">
        <f aca="false">ROUND(INDEX(Archetypes!$E$2:$E$127, MATCH(D1648, Archetypes!$A$2:$A$127, 0))*INDEX(Unit_Grades!$B$2:$B$7, MATCH(F1648, Unit_Grades!$A$2:$A$7, 0))*INDEX(Unit_Paths!$B$2:$B$4, MATCH(E1648, Unit_Paths!$A$2:$A$4, 0)),1)</f>
        <v>1209.6</v>
      </c>
      <c r="I1648" s="6" t="n">
        <f aca="false">ROUND(INDEX(Archetypes!$F$2:$F$127, MATCH(D1648, Archetypes!$A$2:$A$127, 0))*INDEX(Unit_Grades!$B$2:$B$7, MATCH(F1648, Unit_Grades!$A$2:$A$7, 0))*INDEX(Unit_Paths!$C$2:$C$4, MATCH(E1648, Unit_Paths!$A$2:$A$4, 0)),1)</f>
        <v>642.6</v>
      </c>
      <c r="J1648" s="6" t="n">
        <f aca="false">ROUND(INDEX(Archetypes!$G$2:$G$127, MATCH(D1648, Archetypes!$A$2:$A$127, 0))*INDEX(Unit_Grades!$B$2:$B$7, MATCH(F1648, Unit_Grades!$A$2:$A$7, 0))*INDEX(Unit_Paths!$D$2:$D$4, MATCH(E1648, Unit_Paths!$A$2:$A$4, 0)),0)</f>
        <v>4104</v>
      </c>
      <c r="K1648" s="6" t="n">
        <f aca="false">ROUND(INDEX(Archetypes!$H$2:$H$127, MATCH(D1648, Archetypes!$A$2:$A$127, 0))*INDEX(Unit_Paths!$E$2:$E$4, MATCH(E1648, Unit_Paths!$A$2:$A$4, 0)),1)</f>
        <v>57.8</v>
      </c>
      <c r="L1648" s="6" t="n">
        <f aca="false">ROUND(INDEX(Archetypes!$I$2:$I$127, MATCH(D1648, Archetypes!$A$2:$A$127, 0))*INDEX(Unit_Grades!$C$2:$C$7, MATCH(F1648, Unit_Grades!$A$2:$A$7, 0)),1)</f>
        <v>121.6</v>
      </c>
      <c r="M1648" s="6" t="n">
        <f aca="false">ROUND(INDEX(Archetypes!$J$2:$J$127, MATCH(D1648, Archetypes!$A$2:$A$127, 0))*INDEX(Unit_Grades!$D$2:$D$7, MATCH(F1648, Unit_Grades!$A$2:$A$7, 0)),1)</f>
        <v>77.1</v>
      </c>
      <c r="N1648" s="6" t="n">
        <f aca="false">ROUND(M1648/24,2)</f>
        <v>3.21</v>
      </c>
    </row>
    <row r="1649" customFormat="false" ht="15" hidden="false" customHeight="true" outlineLevel="0" collapsed="false">
      <c r="A1649" s="6" t="n">
        <v>6</v>
      </c>
      <c r="B1649" s="6" t="s">
        <v>3125</v>
      </c>
      <c r="C1649" s="6" t="s">
        <v>1461</v>
      </c>
      <c r="D1649" s="6" t="str">
        <f aca="false">A1649&amp;"|"&amp;C1649</f>
        <v>6|Drone Carrier</v>
      </c>
      <c r="E1649" s="6" t="s">
        <v>1558</v>
      </c>
      <c r="F1649" s="6" t="s">
        <v>1544</v>
      </c>
      <c r="G1649" s="6" t="str">
        <f aca="false">INDEX(Archetypes!$D$2:$D$127, MATCH(D1649, Archetypes!$A$2:$A$127, 0))</f>
        <v>Drone</v>
      </c>
      <c r="H1649" s="6" t="n">
        <f aca="false">ROUND(INDEX(Archetypes!$E$2:$E$127, MATCH(D1649, Archetypes!$A$2:$A$127, 0))*INDEX(Unit_Grades!$B$2:$B$7, MATCH(F1649, Unit_Grades!$A$2:$A$7, 0))*INDEX(Unit_Paths!$B$2:$B$4, MATCH(E1649, Unit_Paths!$A$2:$A$4, 0)),1)</f>
        <v>1612.8</v>
      </c>
      <c r="I1649" s="6" t="n">
        <f aca="false">ROUND(INDEX(Archetypes!$F$2:$F$127, MATCH(D1649, Archetypes!$A$2:$A$127, 0))*INDEX(Unit_Grades!$B$2:$B$7, MATCH(F1649, Unit_Grades!$A$2:$A$7, 0))*INDEX(Unit_Paths!$C$2:$C$4, MATCH(E1649, Unit_Paths!$A$2:$A$4, 0)),1)</f>
        <v>856.8</v>
      </c>
      <c r="J1649" s="6" t="n">
        <f aca="false">ROUND(INDEX(Archetypes!$G$2:$G$127, MATCH(D1649, Archetypes!$A$2:$A$127, 0))*INDEX(Unit_Grades!$B$2:$B$7, MATCH(F1649, Unit_Grades!$A$2:$A$7, 0))*INDEX(Unit_Paths!$D$2:$D$4, MATCH(E1649, Unit_Paths!$A$2:$A$4, 0)),0)</f>
        <v>5472</v>
      </c>
      <c r="K1649" s="6" t="n">
        <f aca="false">ROUND(INDEX(Archetypes!$H$2:$H$127, MATCH(D1649, Archetypes!$A$2:$A$127, 0))*INDEX(Unit_Paths!$E$2:$E$4, MATCH(E1649, Unit_Paths!$A$2:$A$4, 0)),1)</f>
        <v>57.8</v>
      </c>
      <c r="L1649" s="6" t="n">
        <f aca="false">ROUND(INDEX(Archetypes!$I$2:$I$127, MATCH(D1649, Archetypes!$A$2:$A$127, 0))*INDEX(Unit_Grades!$C$2:$C$7, MATCH(F1649, Unit_Grades!$A$2:$A$7, 0)),1)</f>
        <v>159.6</v>
      </c>
      <c r="M1649" s="6" t="n">
        <f aca="false">ROUND(INDEX(Archetypes!$J$2:$J$127, MATCH(D1649, Archetypes!$A$2:$A$127, 0))*INDEX(Unit_Grades!$D$2:$D$7, MATCH(F1649, Unit_Grades!$A$2:$A$7, 0)),1)</f>
        <v>123.4</v>
      </c>
      <c r="N1649" s="6" t="n">
        <f aca="false">ROUND(M1649/24,2)</f>
        <v>5.14</v>
      </c>
    </row>
    <row r="1650" customFormat="false" ht="15" hidden="false" customHeight="true" outlineLevel="0" collapsed="false">
      <c r="A1650" s="6" t="n">
        <v>6</v>
      </c>
      <c r="B1650" s="6" t="s">
        <v>3126</v>
      </c>
      <c r="C1650" s="6" t="s">
        <v>1461</v>
      </c>
      <c r="D1650" s="6" t="str">
        <f aca="false">A1650&amp;"|"&amp;C1650</f>
        <v>6|Drone Carrier</v>
      </c>
      <c r="E1650" s="6" t="s">
        <v>1558</v>
      </c>
      <c r="F1650" s="6" t="s">
        <v>1546</v>
      </c>
      <c r="G1650" s="6" t="str">
        <f aca="false">INDEX(Archetypes!$D$2:$D$127, MATCH(D1650, Archetypes!$A$2:$A$127, 0))</f>
        <v>Drone</v>
      </c>
      <c r="H1650" s="6" t="n">
        <f aca="false">ROUND(INDEX(Archetypes!$E$2:$E$127, MATCH(D1650, Archetypes!$A$2:$A$127, 0))*INDEX(Unit_Grades!$B$2:$B$7, MATCH(F1650, Unit_Grades!$A$2:$A$7, 0))*INDEX(Unit_Paths!$B$2:$B$4, MATCH(E1650, Unit_Paths!$A$2:$A$4, 0)),1)</f>
        <v>2150.4</v>
      </c>
      <c r="I1650" s="6" t="n">
        <f aca="false">ROUND(INDEX(Archetypes!$F$2:$F$127, MATCH(D1650, Archetypes!$A$2:$A$127, 0))*INDEX(Unit_Grades!$B$2:$B$7, MATCH(F1650, Unit_Grades!$A$2:$A$7, 0))*INDEX(Unit_Paths!$C$2:$C$4, MATCH(E1650, Unit_Paths!$A$2:$A$4, 0)),1)</f>
        <v>1142.4</v>
      </c>
      <c r="J1650" s="6" t="n">
        <f aca="false">ROUND(INDEX(Archetypes!$G$2:$G$127, MATCH(D1650, Archetypes!$A$2:$A$127, 0))*INDEX(Unit_Grades!$B$2:$B$7, MATCH(F1650, Unit_Grades!$A$2:$A$7, 0))*INDEX(Unit_Paths!$D$2:$D$4, MATCH(E1650, Unit_Paths!$A$2:$A$4, 0)),0)</f>
        <v>7296</v>
      </c>
      <c r="K1650" s="6" t="n">
        <f aca="false">ROUND(INDEX(Archetypes!$H$2:$H$127, MATCH(D1650, Archetypes!$A$2:$A$127, 0))*INDEX(Unit_Paths!$E$2:$E$4, MATCH(E1650, Unit_Paths!$A$2:$A$4, 0)),1)</f>
        <v>57.8</v>
      </c>
      <c r="L1650" s="6" t="n">
        <f aca="false">ROUND(INDEX(Archetypes!$I$2:$I$127, MATCH(D1650, Archetypes!$A$2:$A$127, 0))*INDEX(Unit_Grades!$C$2:$C$7, MATCH(F1650, Unit_Grades!$A$2:$A$7, 0)),1)</f>
        <v>212.8</v>
      </c>
      <c r="M1650" s="6" t="n">
        <f aca="false">ROUND(INDEX(Archetypes!$J$2:$J$127, MATCH(D1650, Archetypes!$A$2:$A$127, 0))*INDEX(Unit_Grades!$D$2:$D$7, MATCH(F1650, Unit_Grades!$A$2:$A$7, 0)),1)</f>
        <v>215.9</v>
      </c>
      <c r="N1650" s="6" t="n">
        <f aca="false">ROUND(M1650/24,2)</f>
        <v>9</v>
      </c>
    </row>
    <row r="1651" customFormat="false" ht="15" hidden="false" customHeight="true" outlineLevel="0" collapsed="false">
      <c r="A1651" s="6" t="n">
        <v>6</v>
      </c>
      <c r="B1651" s="6" t="s">
        <v>3127</v>
      </c>
      <c r="C1651" s="6" t="s">
        <v>1461</v>
      </c>
      <c r="D1651" s="6" t="str">
        <f aca="false">A1651&amp;"|"&amp;C1651</f>
        <v>6|Drone Carrier</v>
      </c>
      <c r="E1651" s="6" t="s">
        <v>1558</v>
      </c>
      <c r="F1651" s="6" t="s">
        <v>1548</v>
      </c>
      <c r="G1651" s="6" t="str">
        <f aca="false">INDEX(Archetypes!$D$2:$D$127, MATCH(D1651, Archetypes!$A$2:$A$127, 0))</f>
        <v>Drone</v>
      </c>
      <c r="H1651" s="6" t="n">
        <f aca="false">ROUND(INDEX(Archetypes!$E$2:$E$127, MATCH(D1651, Archetypes!$A$2:$A$127, 0))*INDEX(Unit_Grades!$B$2:$B$7, MATCH(F1651, Unit_Grades!$A$2:$A$7, 0))*INDEX(Unit_Paths!$B$2:$B$4, MATCH(E1651, Unit_Paths!$A$2:$A$4, 0)),1)</f>
        <v>2822.4</v>
      </c>
      <c r="I1651" s="6" t="n">
        <f aca="false">ROUND(INDEX(Archetypes!$F$2:$F$127, MATCH(D1651, Archetypes!$A$2:$A$127, 0))*INDEX(Unit_Grades!$B$2:$B$7, MATCH(F1651, Unit_Grades!$A$2:$A$7, 0))*INDEX(Unit_Paths!$C$2:$C$4, MATCH(E1651, Unit_Paths!$A$2:$A$4, 0)),1)</f>
        <v>1499.4</v>
      </c>
      <c r="J1651" s="6" t="n">
        <f aca="false">ROUND(INDEX(Archetypes!$G$2:$G$127, MATCH(D1651, Archetypes!$A$2:$A$127, 0))*INDEX(Unit_Grades!$B$2:$B$7, MATCH(F1651, Unit_Grades!$A$2:$A$7, 0))*INDEX(Unit_Paths!$D$2:$D$4, MATCH(E1651, Unit_Paths!$A$2:$A$4, 0)),0)</f>
        <v>9576</v>
      </c>
      <c r="K1651" s="6" t="n">
        <f aca="false">ROUND(INDEX(Archetypes!$H$2:$H$127, MATCH(D1651, Archetypes!$A$2:$A$127, 0))*INDEX(Unit_Paths!$E$2:$E$4, MATCH(E1651, Unit_Paths!$A$2:$A$4, 0)),1)</f>
        <v>57.8</v>
      </c>
      <c r="L1651" s="6" t="n">
        <f aca="false">ROUND(INDEX(Archetypes!$I$2:$I$127, MATCH(D1651, Archetypes!$A$2:$A$127, 0))*INDEX(Unit_Grades!$C$2:$C$7, MATCH(F1651, Unit_Grades!$A$2:$A$7, 0)),1)</f>
        <v>281.2</v>
      </c>
      <c r="M1651" s="6" t="n">
        <f aca="false">ROUND(INDEX(Archetypes!$J$2:$J$127, MATCH(D1651, Archetypes!$A$2:$A$127, 0))*INDEX(Unit_Grades!$D$2:$D$7, MATCH(F1651, Unit_Grades!$A$2:$A$7, 0)),1)</f>
        <v>370.1</v>
      </c>
      <c r="N1651" s="6" t="n">
        <f aca="false">ROUND(M1651/24,2)</f>
        <v>15.42</v>
      </c>
    </row>
    <row r="1652" customFormat="false" ht="15" hidden="false" customHeight="true" outlineLevel="0" collapsed="false">
      <c r="A1652" s="6" t="n">
        <v>6</v>
      </c>
      <c r="B1652" s="6" t="s">
        <v>3128</v>
      </c>
      <c r="C1652" s="6" t="s">
        <v>1461</v>
      </c>
      <c r="D1652" s="6" t="str">
        <f aca="false">A1652&amp;"|"&amp;C1652</f>
        <v>6|Drone Carrier</v>
      </c>
      <c r="E1652" s="6" t="s">
        <v>1560</v>
      </c>
      <c r="F1652" s="6" t="s">
        <v>1538</v>
      </c>
      <c r="G1652" s="6" t="str">
        <f aca="false">INDEX(Archetypes!$D$2:$D$127, MATCH(D1652, Archetypes!$A$2:$A$127, 0))</f>
        <v>Drone</v>
      </c>
      <c r="H1652" s="6" t="n">
        <f aca="false">ROUND(INDEX(Archetypes!$E$2:$E$127, MATCH(D1652, Archetypes!$A$2:$A$127, 0))*INDEX(Unit_Grades!$B$2:$B$7, MATCH(F1652, Unit_Grades!$A$2:$A$7, 0))*INDEX(Unit_Paths!$B$2:$B$4, MATCH(E1652, Unit_Paths!$A$2:$A$4, 0)),1)</f>
        <v>476</v>
      </c>
      <c r="I1652" s="6" t="n">
        <f aca="false">ROUND(INDEX(Archetypes!$F$2:$F$127, MATCH(D1652, Archetypes!$A$2:$A$127, 0))*INDEX(Unit_Grades!$B$2:$B$7, MATCH(F1652, Unit_Grades!$A$2:$A$7, 0))*INDEX(Unit_Paths!$C$2:$C$4, MATCH(E1652, Unit_Paths!$A$2:$A$4, 0)),1)</f>
        <v>525</v>
      </c>
      <c r="J1652" s="6" t="n">
        <f aca="false">ROUND(INDEX(Archetypes!$G$2:$G$127, MATCH(D1652, Archetypes!$A$2:$A$127, 0))*INDEX(Unit_Grades!$B$2:$B$7, MATCH(F1652, Unit_Grades!$A$2:$A$7, 0))*INDEX(Unit_Paths!$D$2:$D$4, MATCH(E1652, Unit_Paths!$A$2:$A$4, 0)),0)</f>
        <v>2760</v>
      </c>
      <c r="K1652" s="6" t="n">
        <f aca="false">ROUND(INDEX(Archetypes!$H$2:$H$127, MATCH(D1652, Archetypes!$A$2:$A$127, 0))*INDEX(Unit_Paths!$E$2:$E$4, MATCH(E1652, Unit_Paths!$A$2:$A$4, 0)),1)</f>
        <v>50.6</v>
      </c>
      <c r="L1652" s="6" t="n">
        <f aca="false">ROUND(INDEX(Archetypes!$I$2:$I$127, MATCH(D1652, Archetypes!$A$2:$A$127, 0))*INDEX(Unit_Grades!$C$2:$C$7, MATCH(F1652, Unit_Grades!$A$2:$A$7, 0)),1)</f>
        <v>76</v>
      </c>
      <c r="M1652" s="6" t="n">
        <f aca="false">ROUND(INDEX(Archetypes!$J$2:$J$127, MATCH(D1652, Archetypes!$A$2:$A$127, 0))*INDEX(Unit_Grades!$D$2:$D$7, MATCH(F1652, Unit_Grades!$A$2:$A$7, 0)),1)</f>
        <v>30.8</v>
      </c>
      <c r="N1652" s="6" t="n">
        <f aca="false">ROUND(M1652/24,2)</f>
        <v>1.28</v>
      </c>
    </row>
    <row r="1653" customFormat="false" ht="15" hidden="false" customHeight="true" outlineLevel="0" collapsed="false">
      <c r="A1653" s="6" t="n">
        <v>6</v>
      </c>
      <c r="B1653" s="6" t="s">
        <v>3129</v>
      </c>
      <c r="C1653" s="6" t="s">
        <v>1461</v>
      </c>
      <c r="D1653" s="6" t="str">
        <f aca="false">A1653&amp;"|"&amp;C1653</f>
        <v>6|Drone Carrier</v>
      </c>
      <c r="E1653" s="6" t="s">
        <v>1560</v>
      </c>
      <c r="F1653" s="6" t="s">
        <v>1540</v>
      </c>
      <c r="G1653" s="6" t="str">
        <f aca="false">INDEX(Archetypes!$D$2:$D$127, MATCH(D1653, Archetypes!$A$2:$A$127, 0))</f>
        <v>Drone</v>
      </c>
      <c r="H1653" s="6" t="n">
        <f aca="false">ROUND(INDEX(Archetypes!$E$2:$E$127, MATCH(D1653, Archetypes!$A$2:$A$127, 0))*INDEX(Unit_Grades!$B$2:$B$7, MATCH(F1653, Unit_Grades!$A$2:$A$7, 0))*INDEX(Unit_Paths!$B$2:$B$4, MATCH(E1653, Unit_Paths!$A$2:$A$4, 0)),1)</f>
        <v>642.6</v>
      </c>
      <c r="I1653" s="6" t="n">
        <f aca="false">ROUND(INDEX(Archetypes!$F$2:$F$127, MATCH(D1653, Archetypes!$A$2:$A$127, 0))*INDEX(Unit_Grades!$B$2:$B$7, MATCH(F1653, Unit_Grades!$A$2:$A$7, 0))*INDEX(Unit_Paths!$C$2:$C$4, MATCH(E1653, Unit_Paths!$A$2:$A$4, 0)),1)</f>
        <v>708.8</v>
      </c>
      <c r="J1653" s="6" t="n">
        <f aca="false">ROUND(INDEX(Archetypes!$G$2:$G$127, MATCH(D1653, Archetypes!$A$2:$A$127, 0))*INDEX(Unit_Grades!$B$2:$B$7, MATCH(F1653, Unit_Grades!$A$2:$A$7, 0))*INDEX(Unit_Paths!$D$2:$D$4, MATCH(E1653, Unit_Paths!$A$2:$A$4, 0)),0)</f>
        <v>3726</v>
      </c>
      <c r="K1653" s="6" t="n">
        <f aca="false">ROUND(INDEX(Archetypes!$H$2:$H$127, MATCH(D1653, Archetypes!$A$2:$A$127, 0))*INDEX(Unit_Paths!$E$2:$E$4, MATCH(E1653, Unit_Paths!$A$2:$A$4, 0)),1)</f>
        <v>50.6</v>
      </c>
      <c r="L1653" s="6" t="n">
        <f aca="false">ROUND(INDEX(Archetypes!$I$2:$I$127, MATCH(D1653, Archetypes!$A$2:$A$127, 0))*INDEX(Unit_Grades!$C$2:$C$7, MATCH(F1653, Unit_Grades!$A$2:$A$7, 0)),1)</f>
        <v>95</v>
      </c>
      <c r="M1653" s="6" t="n">
        <f aca="false">ROUND(INDEX(Archetypes!$J$2:$J$127, MATCH(D1653, Archetypes!$A$2:$A$127, 0))*INDEX(Unit_Grades!$D$2:$D$7, MATCH(F1653, Unit_Grades!$A$2:$A$7, 0)),1)</f>
        <v>46.3</v>
      </c>
      <c r="N1653" s="6" t="n">
        <f aca="false">ROUND(M1653/24,2)</f>
        <v>1.93</v>
      </c>
    </row>
    <row r="1654" customFormat="false" ht="15" hidden="false" customHeight="true" outlineLevel="0" collapsed="false">
      <c r="A1654" s="6" t="n">
        <v>6</v>
      </c>
      <c r="B1654" s="6" t="s">
        <v>3130</v>
      </c>
      <c r="C1654" s="6" t="s">
        <v>1461</v>
      </c>
      <c r="D1654" s="6" t="str">
        <f aca="false">A1654&amp;"|"&amp;C1654</f>
        <v>6|Drone Carrier</v>
      </c>
      <c r="E1654" s="6" t="s">
        <v>1560</v>
      </c>
      <c r="F1654" s="6" t="s">
        <v>1542</v>
      </c>
      <c r="G1654" s="6" t="str">
        <f aca="false">INDEX(Archetypes!$D$2:$D$127, MATCH(D1654, Archetypes!$A$2:$A$127, 0))</f>
        <v>Drone</v>
      </c>
      <c r="H1654" s="6" t="n">
        <f aca="false">ROUND(INDEX(Archetypes!$E$2:$E$127, MATCH(D1654, Archetypes!$A$2:$A$127, 0))*INDEX(Unit_Grades!$B$2:$B$7, MATCH(F1654, Unit_Grades!$A$2:$A$7, 0))*INDEX(Unit_Paths!$B$2:$B$4, MATCH(E1654, Unit_Paths!$A$2:$A$4, 0)),1)</f>
        <v>856.8</v>
      </c>
      <c r="I1654" s="6" t="n">
        <f aca="false">ROUND(INDEX(Archetypes!$F$2:$F$127, MATCH(D1654, Archetypes!$A$2:$A$127, 0))*INDEX(Unit_Grades!$B$2:$B$7, MATCH(F1654, Unit_Grades!$A$2:$A$7, 0))*INDEX(Unit_Paths!$C$2:$C$4, MATCH(E1654, Unit_Paths!$A$2:$A$4, 0)),1)</f>
        <v>945</v>
      </c>
      <c r="J1654" s="6" t="n">
        <f aca="false">ROUND(INDEX(Archetypes!$G$2:$G$127, MATCH(D1654, Archetypes!$A$2:$A$127, 0))*INDEX(Unit_Grades!$B$2:$B$7, MATCH(F1654, Unit_Grades!$A$2:$A$7, 0))*INDEX(Unit_Paths!$D$2:$D$4, MATCH(E1654, Unit_Paths!$A$2:$A$4, 0)),0)</f>
        <v>4968</v>
      </c>
      <c r="K1654" s="6" t="n">
        <f aca="false">ROUND(INDEX(Archetypes!$H$2:$H$127, MATCH(D1654, Archetypes!$A$2:$A$127, 0))*INDEX(Unit_Paths!$E$2:$E$4, MATCH(E1654, Unit_Paths!$A$2:$A$4, 0)),1)</f>
        <v>50.6</v>
      </c>
      <c r="L1654" s="6" t="n">
        <f aca="false">ROUND(INDEX(Archetypes!$I$2:$I$127, MATCH(D1654, Archetypes!$A$2:$A$127, 0))*INDEX(Unit_Grades!$C$2:$C$7, MATCH(F1654, Unit_Grades!$A$2:$A$7, 0)),1)</f>
        <v>121.6</v>
      </c>
      <c r="M1654" s="6" t="n">
        <f aca="false">ROUND(INDEX(Archetypes!$J$2:$J$127, MATCH(D1654, Archetypes!$A$2:$A$127, 0))*INDEX(Unit_Grades!$D$2:$D$7, MATCH(F1654, Unit_Grades!$A$2:$A$7, 0)),1)</f>
        <v>77.1</v>
      </c>
      <c r="N1654" s="6" t="n">
        <f aca="false">ROUND(M1654/24,2)</f>
        <v>3.21</v>
      </c>
    </row>
    <row r="1655" customFormat="false" ht="15" hidden="false" customHeight="true" outlineLevel="0" collapsed="false">
      <c r="A1655" s="6" t="n">
        <v>6</v>
      </c>
      <c r="B1655" s="6" t="s">
        <v>3131</v>
      </c>
      <c r="C1655" s="6" t="s">
        <v>1461</v>
      </c>
      <c r="D1655" s="6" t="str">
        <f aca="false">A1655&amp;"|"&amp;C1655</f>
        <v>6|Drone Carrier</v>
      </c>
      <c r="E1655" s="6" t="s">
        <v>1560</v>
      </c>
      <c r="F1655" s="6" t="s">
        <v>1544</v>
      </c>
      <c r="G1655" s="6" t="str">
        <f aca="false">INDEX(Archetypes!$D$2:$D$127, MATCH(D1655, Archetypes!$A$2:$A$127, 0))</f>
        <v>Drone</v>
      </c>
      <c r="H1655" s="6" t="n">
        <f aca="false">ROUND(INDEX(Archetypes!$E$2:$E$127, MATCH(D1655, Archetypes!$A$2:$A$127, 0))*INDEX(Unit_Grades!$B$2:$B$7, MATCH(F1655, Unit_Grades!$A$2:$A$7, 0))*INDEX(Unit_Paths!$B$2:$B$4, MATCH(E1655, Unit_Paths!$A$2:$A$4, 0)),1)</f>
        <v>1142.4</v>
      </c>
      <c r="I1655" s="6" t="n">
        <f aca="false">ROUND(INDEX(Archetypes!$F$2:$F$127, MATCH(D1655, Archetypes!$A$2:$A$127, 0))*INDEX(Unit_Grades!$B$2:$B$7, MATCH(F1655, Unit_Grades!$A$2:$A$7, 0))*INDEX(Unit_Paths!$C$2:$C$4, MATCH(E1655, Unit_Paths!$A$2:$A$4, 0)),1)</f>
        <v>1260</v>
      </c>
      <c r="J1655" s="6" t="n">
        <f aca="false">ROUND(INDEX(Archetypes!$G$2:$G$127, MATCH(D1655, Archetypes!$A$2:$A$127, 0))*INDEX(Unit_Grades!$B$2:$B$7, MATCH(F1655, Unit_Grades!$A$2:$A$7, 0))*INDEX(Unit_Paths!$D$2:$D$4, MATCH(E1655, Unit_Paths!$A$2:$A$4, 0)),0)</f>
        <v>6624</v>
      </c>
      <c r="K1655" s="6" t="n">
        <f aca="false">ROUND(INDEX(Archetypes!$H$2:$H$127, MATCH(D1655, Archetypes!$A$2:$A$127, 0))*INDEX(Unit_Paths!$E$2:$E$4, MATCH(E1655, Unit_Paths!$A$2:$A$4, 0)),1)</f>
        <v>50.6</v>
      </c>
      <c r="L1655" s="6" t="n">
        <f aca="false">ROUND(INDEX(Archetypes!$I$2:$I$127, MATCH(D1655, Archetypes!$A$2:$A$127, 0))*INDEX(Unit_Grades!$C$2:$C$7, MATCH(F1655, Unit_Grades!$A$2:$A$7, 0)),1)</f>
        <v>159.6</v>
      </c>
      <c r="M1655" s="6" t="n">
        <f aca="false">ROUND(INDEX(Archetypes!$J$2:$J$127, MATCH(D1655, Archetypes!$A$2:$A$127, 0))*INDEX(Unit_Grades!$D$2:$D$7, MATCH(F1655, Unit_Grades!$A$2:$A$7, 0)),1)</f>
        <v>123.4</v>
      </c>
      <c r="N1655" s="6" t="n">
        <f aca="false">ROUND(M1655/24,2)</f>
        <v>5.14</v>
      </c>
    </row>
    <row r="1656" customFormat="false" ht="15" hidden="false" customHeight="true" outlineLevel="0" collapsed="false">
      <c r="A1656" s="6" t="n">
        <v>6</v>
      </c>
      <c r="B1656" s="6" t="s">
        <v>3132</v>
      </c>
      <c r="C1656" s="6" t="s">
        <v>1461</v>
      </c>
      <c r="D1656" s="6" t="str">
        <f aca="false">A1656&amp;"|"&amp;C1656</f>
        <v>6|Drone Carrier</v>
      </c>
      <c r="E1656" s="6" t="s">
        <v>1560</v>
      </c>
      <c r="F1656" s="6" t="s">
        <v>1546</v>
      </c>
      <c r="G1656" s="6" t="str">
        <f aca="false">INDEX(Archetypes!$D$2:$D$127, MATCH(D1656, Archetypes!$A$2:$A$127, 0))</f>
        <v>Drone</v>
      </c>
      <c r="H1656" s="6" t="n">
        <f aca="false">ROUND(INDEX(Archetypes!$E$2:$E$127, MATCH(D1656, Archetypes!$A$2:$A$127, 0))*INDEX(Unit_Grades!$B$2:$B$7, MATCH(F1656, Unit_Grades!$A$2:$A$7, 0))*INDEX(Unit_Paths!$B$2:$B$4, MATCH(E1656, Unit_Paths!$A$2:$A$4, 0)),1)</f>
        <v>1523.2</v>
      </c>
      <c r="I1656" s="6" t="n">
        <f aca="false">ROUND(INDEX(Archetypes!$F$2:$F$127, MATCH(D1656, Archetypes!$A$2:$A$127, 0))*INDEX(Unit_Grades!$B$2:$B$7, MATCH(F1656, Unit_Grades!$A$2:$A$7, 0))*INDEX(Unit_Paths!$C$2:$C$4, MATCH(E1656, Unit_Paths!$A$2:$A$4, 0)),1)</f>
        <v>1680</v>
      </c>
      <c r="J1656" s="6" t="n">
        <f aca="false">ROUND(INDEX(Archetypes!$G$2:$G$127, MATCH(D1656, Archetypes!$A$2:$A$127, 0))*INDEX(Unit_Grades!$B$2:$B$7, MATCH(F1656, Unit_Grades!$A$2:$A$7, 0))*INDEX(Unit_Paths!$D$2:$D$4, MATCH(E1656, Unit_Paths!$A$2:$A$4, 0)),0)</f>
        <v>8832</v>
      </c>
      <c r="K1656" s="6" t="n">
        <f aca="false">ROUND(INDEX(Archetypes!$H$2:$H$127, MATCH(D1656, Archetypes!$A$2:$A$127, 0))*INDEX(Unit_Paths!$E$2:$E$4, MATCH(E1656, Unit_Paths!$A$2:$A$4, 0)),1)</f>
        <v>50.6</v>
      </c>
      <c r="L1656" s="6" t="n">
        <f aca="false">ROUND(INDEX(Archetypes!$I$2:$I$127, MATCH(D1656, Archetypes!$A$2:$A$127, 0))*INDEX(Unit_Grades!$C$2:$C$7, MATCH(F1656, Unit_Grades!$A$2:$A$7, 0)),1)</f>
        <v>212.8</v>
      </c>
      <c r="M1656" s="6" t="n">
        <f aca="false">ROUND(INDEX(Archetypes!$J$2:$J$127, MATCH(D1656, Archetypes!$A$2:$A$127, 0))*INDEX(Unit_Grades!$D$2:$D$7, MATCH(F1656, Unit_Grades!$A$2:$A$7, 0)),1)</f>
        <v>215.9</v>
      </c>
      <c r="N1656" s="6" t="n">
        <f aca="false">ROUND(M1656/24,2)</f>
        <v>9</v>
      </c>
    </row>
    <row r="1657" customFormat="false" ht="15" hidden="false" customHeight="true" outlineLevel="0" collapsed="false">
      <c r="A1657" s="6" t="n">
        <v>6</v>
      </c>
      <c r="B1657" s="6" t="s">
        <v>3133</v>
      </c>
      <c r="C1657" s="6" t="s">
        <v>1461</v>
      </c>
      <c r="D1657" s="6" t="str">
        <f aca="false">A1657&amp;"|"&amp;C1657</f>
        <v>6|Drone Carrier</v>
      </c>
      <c r="E1657" s="6" t="s">
        <v>1560</v>
      </c>
      <c r="F1657" s="6" t="s">
        <v>1548</v>
      </c>
      <c r="G1657" s="6" t="str">
        <f aca="false">INDEX(Archetypes!$D$2:$D$127, MATCH(D1657, Archetypes!$A$2:$A$127, 0))</f>
        <v>Drone</v>
      </c>
      <c r="H1657" s="6" t="n">
        <f aca="false">ROUND(INDEX(Archetypes!$E$2:$E$127, MATCH(D1657, Archetypes!$A$2:$A$127, 0))*INDEX(Unit_Grades!$B$2:$B$7, MATCH(F1657, Unit_Grades!$A$2:$A$7, 0))*INDEX(Unit_Paths!$B$2:$B$4, MATCH(E1657, Unit_Paths!$A$2:$A$4, 0)),1)</f>
        <v>1999.2</v>
      </c>
      <c r="I1657" s="6" t="n">
        <f aca="false">ROUND(INDEX(Archetypes!$F$2:$F$127, MATCH(D1657, Archetypes!$A$2:$A$127, 0))*INDEX(Unit_Grades!$B$2:$B$7, MATCH(F1657, Unit_Grades!$A$2:$A$7, 0))*INDEX(Unit_Paths!$C$2:$C$4, MATCH(E1657, Unit_Paths!$A$2:$A$4, 0)),1)</f>
        <v>2205</v>
      </c>
      <c r="J1657" s="6" t="n">
        <f aca="false">ROUND(INDEX(Archetypes!$G$2:$G$127, MATCH(D1657, Archetypes!$A$2:$A$127, 0))*INDEX(Unit_Grades!$B$2:$B$7, MATCH(F1657, Unit_Grades!$A$2:$A$7, 0))*INDEX(Unit_Paths!$D$2:$D$4, MATCH(E1657, Unit_Paths!$A$2:$A$4, 0)),0)</f>
        <v>11592</v>
      </c>
      <c r="K1657" s="6" t="n">
        <f aca="false">ROUND(INDEX(Archetypes!$H$2:$H$127, MATCH(D1657, Archetypes!$A$2:$A$127, 0))*INDEX(Unit_Paths!$E$2:$E$4, MATCH(E1657, Unit_Paths!$A$2:$A$4, 0)),1)</f>
        <v>50.6</v>
      </c>
      <c r="L1657" s="6" t="n">
        <f aca="false">ROUND(INDEX(Archetypes!$I$2:$I$127, MATCH(D1657, Archetypes!$A$2:$A$127, 0))*INDEX(Unit_Grades!$C$2:$C$7, MATCH(F1657, Unit_Grades!$A$2:$A$7, 0)),1)</f>
        <v>281.2</v>
      </c>
      <c r="M1657" s="6" t="n">
        <f aca="false">ROUND(INDEX(Archetypes!$J$2:$J$127, MATCH(D1657, Archetypes!$A$2:$A$127, 0))*INDEX(Unit_Grades!$D$2:$D$7, MATCH(F1657, Unit_Grades!$A$2:$A$7, 0)),1)</f>
        <v>370.1</v>
      </c>
      <c r="N1657" s="6" t="n">
        <f aca="false">ROUND(M1657/24,2)</f>
        <v>15.42</v>
      </c>
    </row>
    <row r="1658" customFormat="false" ht="15" hidden="false" customHeight="true" outlineLevel="0" collapsed="false">
      <c r="A1658" s="6" t="n">
        <v>6</v>
      </c>
      <c r="B1658" s="6" t="s">
        <v>1463</v>
      </c>
      <c r="C1658" s="6" t="s">
        <v>1463</v>
      </c>
      <c r="D1658" s="6" t="str">
        <f aca="false">A1658&amp;"|"&amp;C1658</f>
        <v>6|Aegis Cruiser</v>
      </c>
      <c r="E1658" s="6" t="s">
        <v>1556</v>
      </c>
      <c r="F1658" s="6" t="s">
        <v>1538</v>
      </c>
      <c r="G1658" s="6" t="str">
        <f aca="false">INDEX(Archetypes!$D$2:$D$127, MATCH(D1658, Archetypes!$A$2:$A$127, 0))</f>
        <v>Screen</v>
      </c>
      <c r="H1658" s="6" t="n">
        <f aca="false">ROUND(INDEX(Archetypes!$E$2:$E$127, MATCH(D1658, Archetypes!$A$2:$A$127, 0))*INDEX(Unit_Grades!$B$2:$B$7, MATCH(F1658, Unit_Grades!$A$2:$A$7, 0))*INDEX(Unit_Paths!$B$2:$B$4, MATCH(E1658, Unit_Paths!$A$2:$A$4, 0)),1)</f>
        <v>520</v>
      </c>
      <c r="I1658" s="6" t="n">
        <f aca="false">ROUND(INDEX(Archetypes!$F$2:$F$127, MATCH(D1658, Archetypes!$A$2:$A$127, 0))*INDEX(Unit_Grades!$B$2:$B$7, MATCH(F1658, Unit_Grades!$A$2:$A$7, 0))*INDEX(Unit_Paths!$C$2:$C$4, MATCH(E1658, Unit_Paths!$A$2:$A$4, 0)),1)</f>
        <v>560</v>
      </c>
      <c r="J1658" s="6" t="n">
        <f aca="false">ROUND(INDEX(Archetypes!$G$2:$G$127, MATCH(D1658, Archetypes!$A$2:$A$127, 0))*INDEX(Unit_Grades!$B$2:$B$7, MATCH(F1658, Unit_Grades!$A$2:$A$7, 0))*INDEX(Unit_Paths!$D$2:$D$4, MATCH(E1658, Unit_Paths!$A$2:$A$4, 0)),0)</f>
        <v>2600</v>
      </c>
      <c r="K1658" s="6" t="n">
        <f aca="false">ROUND(INDEX(Archetypes!$H$2:$H$127, MATCH(D1658, Archetypes!$A$2:$A$127, 0))*INDEX(Unit_Paths!$E$2:$E$4, MATCH(E1658, Unit_Paths!$A$2:$A$4, 0)),1)</f>
        <v>54</v>
      </c>
      <c r="L1658" s="6" t="n">
        <f aca="false">ROUND(INDEX(Archetypes!$I$2:$I$127, MATCH(D1658, Archetypes!$A$2:$A$127, 0))*INDEX(Unit_Grades!$C$2:$C$7, MATCH(F1658, Unit_Grades!$A$2:$A$7, 0)),1)</f>
        <v>74</v>
      </c>
      <c r="M1658" s="6" t="n">
        <f aca="false">ROUND(INDEX(Archetypes!$J$2:$J$127, MATCH(D1658, Archetypes!$A$2:$A$127, 0))*INDEX(Unit_Grades!$D$2:$D$7, MATCH(F1658, Unit_Grades!$A$2:$A$7, 0)),1)</f>
        <v>30</v>
      </c>
      <c r="N1658" s="6" t="n">
        <f aca="false">ROUND(M1658/24,2)</f>
        <v>1.25</v>
      </c>
    </row>
    <row r="1659" customFormat="false" ht="15" hidden="false" customHeight="true" outlineLevel="0" collapsed="false">
      <c r="A1659" s="6" t="n">
        <v>6</v>
      </c>
      <c r="B1659" s="6" t="s">
        <v>3134</v>
      </c>
      <c r="C1659" s="6" t="s">
        <v>1463</v>
      </c>
      <c r="D1659" s="6" t="str">
        <f aca="false">A1659&amp;"|"&amp;C1659</f>
        <v>6|Aegis Cruiser</v>
      </c>
      <c r="E1659" s="6" t="s">
        <v>1556</v>
      </c>
      <c r="F1659" s="6" t="s">
        <v>1540</v>
      </c>
      <c r="G1659" s="6" t="str">
        <f aca="false">INDEX(Archetypes!$D$2:$D$127, MATCH(D1659, Archetypes!$A$2:$A$127, 0))</f>
        <v>Screen</v>
      </c>
      <c r="H1659" s="6" t="n">
        <f aca="false">ROUND(INDEX(Archetypes!$E$2:$E$127, MATCH(D1659, Archetypes!$A$2:$A$127, 0))*INDEX(Unit_Grades!$B$2:$B$7, MATCH(F1659, Unit_Grades!$A$2:$A$7, 0))*INDEX(Unit_Paths!$B$2:$B$4, MATCH(E1659, Unit_Paths!$A$2:$A$4, 0)),1)</f>
        <v>702</v>
      </c>
      <c r="I1659" s="6" t="n">
        <f aca="false">ROUND(INDEX(Archetypes!$F$2:$F$127, MATCH(D1659, Archetypes!$A$2:$A$127, 0))*INDEX(Unit_Grades!$B$2:$B$7, MATCH(F1659, Unit_Grades!$A$2:$A$7, 0))*INDEX(Unit_Paths!$C$2:$C$4, MATCH(E1659, Unit_Paths!$A$2:$A$4, 0)),1)</f>
        <v>756</v>
      </c>
      <c r="J1659" s="6" t="n">
        <f aca="false">ROUND(INDEX(Archetypes!$G$2:$G$127, MATCH(D1659, Archetypes!$A$2:$A$127, 0))*INDEX(Unit_Grades!$B$2:$B$7, MATCH(F1659, Unit_Grades!$A$2:$A$7, 0))*INDEX(Unit_Paths!$D$2:$D$4, MATCH(E1659, Unit_Paths!$A$2:$A$4, 0)),0)</f>
        <v>3510</v>
      </c>
      <c r="K1659" s="6" t="n">
        <f aca="false">ROUND(INDEX(Archetypes!$H$2:$H$127, MATCH(D1659, Archetypes!$A$2:$A$127, 0))*INDEX(Unit_Paths!$E$2:$E$4, MATCH(E1659, Unit_Paths!$A$2:$A$4, 0)),1)</f>
        <v>54</v>
      </c>
      <c r="L1659" s="6" t="n">
        <f aca="false">ROUND(INDEX(Archetypes!$I$2:$I$127, MATCH(D1659, Archetypes!$A$2:$A$127, 0))*INDEX(Unit_Grades!$C$2:$C$7, MATCH(F1659, Unit_Grades!$A$2:$A$7, 0)),1)</f>
        <v>92.5</v>
      </c>
      <c r="M1659" s="6" t="n">
        <f aca="false">ROUND(INDEX(Archetypes!$J$2:$J$127, MATCH(D1659, Archetypes!$A$2:$A$127, 0))*INDEX(Unit_Grades!$D$2:$D$7, MATCH(F1659, Unit_Grades!$A$2:$A$7, 0)),1)</f>
        <v>45</v>
      </c>
      <c r="N1659" s="6" t="n">
        <f aca="false">ROUND(M1659/24,2)</f>
        <v>1.88</v>
      </c>
    </row>
    <row r="1660" customFormat="false" ht="15" hidden="false" customHeight="true" outlineLevel="0" collapsed="false">
      <c r="A1660" s="6" t="n">
        <v>6</v>
      </c>
      <c r="B1660" s="6" t="s">
        <v>3135</v>
      </c>
      <c r="C1660" s="6" t="s">
        <v>1463</v>
      </c>
      <c r="D1660" s="6" t="str">
        <f aca="false">A1660&amp;"|"&amp;C1660</f>
        <v>6|Aegis Cruiser</v>
      </c>
      <c r="E1660" s="6" t="s">
        <v>1556</v>
      </c>
      <c r="F1660" s="6" t="s">
        <v>1542</v>
      </c>
      <c r="G1660" s="6" t="str">
        <f aca="false">INDEX(Archetypes!$D$2:$D$127, MATCH(D1660, Archetypes!$A$2:$A$127, 0))</f>
        <v>Screen</v>
      </c>
      <c r="H1660" s="6" t="n">
        <f aca="false">ROUND(INDEX(Archetypes!$E$2:$E$127, MATCH(D1660, Archetypes!$A$2:$A$127, 0))*INDEX(Unit_Grades!$B$2:$B$7, MATCH(F1660, Unit_Grades!$A$2:$A$7, 0))*INDEX(Unit_Paths!$B$2:$B$4, MATCH(E1660, Unit_Paths!$A$2:$A$4, 0)),1)</f>
        <v>936</v>
      </c>
      <c r="I1660" s="6" t="n">
        <f aca="false">ROUND(INDEX(Archetypes!$F$2:$F$127, MATCH(D1660, Archetypes!$A$2:$A$127, 0))*INDEX(Unit_Grades!$B$2:$B$7, MATCH(F1660, Unit_Grades!$A$2:$A$7, 0))*INDEX(Unit_Paths!$C$2:$C$4, MATCH(E1660, Unit_Paths!$A$2:$A$4, 0)),1)</f>
        <v>1008</v>
      </c>
      <c r="J1660" s="6" t="n">
        <f aca="false">ROUND(INDEX(Archetypes!$G$2:$G$127, MATCH(D1660, Archetypes!$A$2:$A$127, 0))*INDEX(Unit_Grades!$B$2:$B$7, MATCH(F1660, Unit_Grades!$A$2:$A$7, 0))*INDEX(Unit_Paths!$D$2:$D$4, MATCH(E1660, Unit_Paths!$A$2:$A$4, 0)),0)</f>
        <v>4680</v>
      </c>
      <c r="K1660" s="6" t="n">
        <f aca="false">ROUND(INDEX(Archetypes!$H$2:$H$127, MATCH(D1660, Archetypes!$A$2:$A$127, 0))*INDEX(Unit_Paths!$E$2:$E$4, MATCH(E1660, Unit_Paths!$A$2:$A$4, 0)),1)</f>
        <v>54</v>
      </c>
      <c r="L1660" s="6" t="n">
        <f aca="false">ROUND(INDEX(Archetypes!$I$2:$I$127, MATCH(D1660, Archetypes!$A$2:$A$127, 0))*INDEX(Unit_Grades!$C$2:$C$7, MATCH(F1660, Unit_Grades!$A$2:$A$7, 0)),1)</f>
        <v>118.4</v>
      </c>
      <c r="M1660" s="6" t="n">
        <f aca="false">ROUND(INDEX(Archetypes!$J$2:$J$127, MATCH(D1660, Archetypes!$A$2:$A$127, 0))*INDEX(Unit_Grades!$D$2:$D$7, MATCH(F1660, Unit_Grades!$A$2:$A$7, 0)),1)</f>
        <v>75.1</v>
      </c>
      <c r="N1660" s="6" t="n">
        <f aca="false">ROUND(M1660/24,2)</f>
        <v>3.13</v>
      </c>
    </row>
    <row r="1661" customFormat="false" ht="15" hidden="false" customHeight="true" outlineLevel="0" collapsed="false">
      <c r="A1661" s="6" t="n">
        <v>6</v>
      </c>
      <c r="B1661" s="6" t="s">
        <v>3136</v>
      </c>
      <c r="C1661" s="6" t="s">
        <v>1463</v>
      </c>
      <c r="D1661" s="6" t="str">
        <f aca="false">A1661&amp;"|"&amp;C1661</f>
        <v>6|Aegis Cruiser</v>
      </c>
      <c r="E1661" s="6" t="s">
        <v>1556</v>
      </c>
      <c r="F1661" s="6" t="s">
        <v>1544</v>
      </c>
      <c r="G1661" s="6" t="str">
        <f aca="false">INDEX(Archetypes!$D$2:$D$127, MATCH(D1661, Archetypes!$A$2:$A$127, 0))</f>
        <v>Screen</v>
      </c>
      <c r="H1661" s="6" t="n">
        <f aca="false">ROUND(INDEX(Archetypes!$E$2:$E$127, MATCH(D1661, Archetypes!$A$2:$A$127, 0))*INDEX(Unit_Grades!$B$2:$B$7, MATCH(F1661, Unit_Grades!$A$2:$A$7, 0))*INDEX(Unit_Paths!$B$2:$B$4, MATCH(E1661, Unit_Paths!$A$2:$A$4, 0)),1)</f>
        <v>1248</v>
      </c>
      <c r="I1661" s="6" t="n">
        <f aca="false">ROUND(INDEX(Archetypes!$F$2:$F$127, MATCH(D1661, Archetypes!$A$2:$A$127, 0))*INDEX(Unit_Grades!$B$2:$B$7, MATCH(F1661, Unit_Grades!$A$2:$A$7, 0))*INDEX(Unit_Paths!$C$2:$C$4, MATCH(E1661, Unit_Paths!$A$2:$A$4, 0)),1)</f>
        <v>1344</v>
      </c>
      <c r="J1661" s="6" t="n">
        <f aca="false">ROUND(INDEX(Archetypes!$G$2:$G$127, MATCH(D1661, Archetypes!$A$2:$A$127, 0))*INDEX(Unit_Grades!$B$2:$B$7, MATCH(F1661, Unit_Grades!$A$2:$A$7, 0))*INDEX(Unit_Paths!$D$2:$D$4, MATCH(E1661, Unit_Paths!$A$2:$A$4, 0)),0)</f>
        <v>6240</v>
      </c>
      <c r="K1661" s="6" t="n">
        <f aca="false">ROUND(INDEX(Archetypes!$H$2:$H$127, MATCH(D1661, Archetypes!$A$2:$A$127, 0))*INDEX(Unit_Paths!$E$2:$E$4, MATCH(E1661, Unit_Paths!$A$2:$A$4, 0)),1)</f>
        <v>54</v>
      </c>
      <c r="L1661" s="6" t="n">
        <f aca="false">ROUND(INDEX(Archetypes!$I$2:$I$127, MATCH(D1661, Archetypes!$A$2:$A$127, 0))*INDEX(Unit_Grades!$C$2:$C$7, MATCH(F1661, Unit_Grades!$A$2:$A$7, 0)),1)</f>
        <v>155.4</v>
      </c>
      <c r="M1661" s="6" t="n">
        <f aca="false">ROUND(INDEX(Archetypes!$J$2:$J$127, MATCH(D1661, Archetypes!$A$2:$A$127, 0))*INDEX(Unit_Grades!$D$2:$D$7, MATCH(F1661, Unit_Grades!$A$2:$A$7, 0)),1)</f>
        <v>120.1</v>
      </c>
      <c r="N1661" s="6" t="n">
        <f aca="false">ROUND(M1661/24,2)</f>
        <v>5</v>
      </c>
    </row>
    <row r="1662" customFormat="false" ht="15" hidden="false" customHeight="true" outlineLevel="0" collapsed="false">
      <c r="A1662" s="6" t="n">
        <v>6</v>
      </c>
      <c r="B1662" s="6" t="s">
        <v>3137</v>
      </c>
      <c r="C1662" s="6" t="s">
        <v>1463</v>
      </c>
      <c r="D1662" s="6" t="str">
        <f aca="false">A1662&amp;"|"&amp;C1662</f>
        <v>6|Aegis Cruiser</v>
      </c>
      <c r="E1662" s="6" t="s">
        <v>1556</v>
      </c>
      <c r="F1662" s="6" t="s">
        <v>1546</v>
      </c>
      <c r="G1662" s="6" t="str">
        <f aca="false">INDEX(Archetypes!$D$2:$D$127, MATCH(D1662, Archetypes!$A$2:$A$127, 0))</f>
        <v>Screen</v>
      </c>
      <c r="H1662" s="6" t="n">
        <f aca="false">ROUND(INDEX(Archetypes!$E$2:$E$127, MATCH(D1662, Archetypes!$A$2:$A$127, 0))*INDEX(Unit_Grades!$B$2:$B$7, MATCH(F1662, Unit_Grades!$A$2:$A$7, 0))*INDEX(Unit_Paths!$B$2:$B$4, MATCH(E1662, Unit_Paths!$A$2:$A$4, 0)),1)</f>
        <v>1664</v>
      </c>
      <c r="I1662" s="6" t="n">
        <f aca="false">ROUND(INDEX(Archetypes!$F$2:$F$127, MATCH(D1662, Archetypes!$A$2:$A$127, 0))*INDEX(Unit_Grades!$B$2:$B$7, MATCH(F1662, Unit_Grades!$A$2:$A$7, 0))*INDEX(Unit_Paths!$C$2:$C$4, MATCH(E1662, Unit_Paths!$A$2:$A$4, 0)),1)</f>
        <v>1792</v>
      </c>
      <c r="J1662" s="6" t="n">
        <f aca="false">ROUND(INDEX(Archetypes!$G$2:$G$127, MATCH(D1662, Archetypes!$A$2:$A$127, 0))*INDEX(Unit_Grades!$B$2:$B$7, MATCH(F1662, Unit_Grades!$A$2:$A$7, 0))*INDEX(Unit_Paths!$D$2:$D$4, MATCH(E1662, Unit_Paths!$A$2:$A$4, 0)),0)</f>
        <v>8320</v>
      </c>
      <c r="K1662" s="6" t="n">
        <f aca="false">ROUND(INDEX(Archetypes!$H$2:$H$127, MATCH(D1662, Archetypes!$A$2:$A$127, 0))*INDEX(Unit_Paths!$E$2:$E$4, MATCH(E1662, Unit_Paths!$A$2:$A$4, 0)),1)</f>
        <v>54</v>
      </c>
      <c r="L1662" s="6" t="n">
        <f aca="false">ROUND(INDEX(Archetypes!$I$2:$I$127, MATCH(D1662, Archetypes!$A$2:$A$127, 0))*INDEX(Unit_Grades!$C$2:$C$7, MATCH(F1662, Unit_Grades!$A$2:$A$7, 0)),1)</f>
        <v>207.2</v>
      </c>
      <c r="M1662" s="6" t="n">
        <f aca="false">ROUND(INDEX(Archetypes!$J$2:$J$127, MATCH(D1662, Archetypes!$A$2:$A$127, 0))*INDEX(Unit_Grades!$D$2:$D$7, MATCH(F1662, Unit_Grades!$A$2:$A$7, 0)),1)</f>
        <v>210.2</v>
      </c>
      <c r="N1662" s="6" t="n">
        <f aca="false">ROUND(M1662/24,2)</f>
        <v>8.76</v>
      </c>
    </row>
    <row r="1663" customFormat="false" ht="15" hidden="false" customHeight="true" outlineLevel="0" collapsed="false">
      <c r="A1663" s="6" t="n">
        <v>6</v>
      </c>
      <c r="B1663" s="6" t="s">
        <v>3138</v>
      </c>
      <c r="C1663" s="6" t="s">
        <v>1463</v>
      </c>
      <c r="D1663" s="6" t="str">
        <f aca="false">A1663&amp;"|"&amp;C1663</f>
        <v>6|Aegis Cruiser</v>
      </c>
      <c r="E1663" s="6" t="s">
        <v>1556</v>
      </c>
      <c r="F1663" s="6" t="s">
        <v>1548</v>
      </c>
      <c r="G1663" s="6" t="str">
        <f aca="false">INDEX(Archetypes!$D$2:$D$127, MATCH(D1663, Archetypes!$A$2:$A$127, 0))</f>
        <v>Screen</v>
      </c>
      <c r="H1663" s="6" t="n">
        <f aca="false">ROUND(INDEX(Archetypes!$E$2:$E$127, MATCH(D1663, Archetypes!$A$2:$A$127, 0))*INDEX(Unit_Grades!$B$2:$B$7, MATCH(F1663, Unit_Grades!$A$2:$A$7, 0))*INDEX(Unit_Paths!$B$2:$B$4, MATCH(E1663, Unit_Paths!$A$2:$A$4, 0)),1)</f>
        <v>2184</v>
      </c>
      <c r="I1663" s="6" t="n">
        <f aca="false">ROUND(INDEX(Archetypes!$F$2:$F$127, MATCH(D1663, Archetypes!$A$2:$A$127, 0))*INDEX(Unit_Grades!$B$2:$B$7, MATCH(F1663, Unit_Grades!$A$2:$A$7, 0))*INDEX(Unit_Paths!$C$2:$C$4, MATCH(E1663, Unit_Paths!$A$2:$A$4, 0)),1)</f>
        <v>2352</v>
      </c>
      <c r="J1663" s="6" t="n">
        <f aca="false">ROUND(INDEX(Archetypes!$G$2:$G$127, MATCH(D1663, Archetypes!$A$2:$A$127, 0))*INDEX(Unit_Grades!$B$2:$B$7, MATCH(F1663, Unit_Grades!$A$2:$A$7, 0))*INDEX(Unit_Paths!$D$2:$D$4, MATCH(E1663, Unit_Paths!$A$2:$A$4, 0)),0)</f>
        <v>10920</v>
      </c>
      <c r="K1663" s="6" t="n">
        <f aca="false">ROUND(INDEX(Archetypes!$H$2:$H$127, MATCH(D1663, Archetypes!$A$2:$A$127, 0))*INDEX(Unit_Paths!$E$2:$E$4, MATCH(E1663, Unit_Paths!$A$2:$A$4, 0)),1)</f>
        <v>54</v>
      </c>
      <c r="L1663" s="6" t="n">
        <f aca="false">ROUND(INDEX(Archetypes!$I$2:$I$127, MATCH(D1663, Archetypes!$A$2:$A$127, 0))*INDEX(Unit_Grades!$C$2:$C$7, MATCH(F1663, Unit_Grades!$A$2:$A$7, 0)),1)</f>
        <v>273.8</v>
      </c>
      <c r="M1663" s="6" t="n">
        <f aca="false">ROUND(INDEX(Archetypes!$J$2:$J$127, MATCH(D1663, Archetypes!$A$2:$A$127, 0))*INDEX(Unit_Grades!$D$2:$D$7, MATCH(F1663, Unit_Grades!$A$2:$A$7, 0)),1)</f>
        <v>360.4</v>
      </c>
      <c r="N1663" s="6" t="n">
        <f aca="false">ROUND(M1663/24,2)</f>
        <v>15.02</v>
      </c>
    </row>
    <row r="1664" customFormat="false" ht="15" hidden="false" customHeight="true" outlineLevel="0" collapsed="false">
      <c r="A1664" s="6" t="n">
        <v>6</v>
      </c>
      <c r="B1664" s="6" t="s">
        <v>3139</v>
      </c>
      <c r="C1664" s="6" t="s">
        <v>1463</v>
      </c>
      <c r="D1664" s="6" t="str">
        <f aca="false">A1664&amp;"|"&amp;C1664</f>
        <v>6|Aegis Cruiser</v>
      </c>
      <c r="E1664" s="6" t="s">
        <v>1558</v>
      </c>
      <c r="F1664" s="6" t="s">
        <v>1538</v>
      </c>
      <c r="G1664" s="6" t="str">
        <f aca="false">INDEX(Archetypes!$D$2:$D$127, MATCH(D1664, Archetypes!$A$2:$A$127, 0))</f>
        <v>Screen</v>
      </c>
      <c r="H1664" s="6" t="n">
        <f aca="false">ROUND(INDEX(Archetypes!$E$2:$E$127, MATCH(D1664, Archetypes!$A$2:$A$127, 0))*INDEX(Unit_Grades!$B$2:$B$7, MATCH(F1664, Unit_Grades!$A$2:$A$7, 0))*INDEX(Unit_Paths!$B$2:$B$4, MATCH(E1664, Unit_Paths!$A$2:$A$4, 0)),1)</f>
        <v>624</v>
      </c>
      <c r="I1664" s="6" t="n">
        <f aca="false">ROUND(INDEX(Archetypes!$F$2:$F$127, MATCH(D1664, Archetypes!$A$2:$A$127, 0))*INDEX(Unit_Grades!$B$2:$B$7, MATCH(F1664, Unit_Grades!$A$2:$A$7, 0))*INDEX(Unit_Paths!$C$2:$C$4, MATCH(E1664, Unit_Paths!$A$2:$A$4, 0)),1)</f>
        <v>476</v>
      </c>
      <c r="J1664" s="6" t="n">
        <f aca="false">ROUND(INDEX(Archetypes!$G$2:$G$127, MATCH(D1664, Archetypes!$A$2:$A$127, 0))*INDEX(Unit_Grades!$B$2:$B$7, MATCH(F1664, Unit_Grades!$A$2:$A$7, 0))*INDEX(Unit_Paths!$D$2:$D$4, MATCH(E1664, Unit_Paths!$A$2:$A$4, 0)),0)</f>
        <v>2470</v>
      </c>
      <c r="K1664" s="6" t="n">
        <f aca="false">ROUND(INDEX(Archetypes!$H$2:$H$127, MATCH(D1664, Archetypes!$A$2:$A$127, 0))*INDEX(Unit_Paths!$E$2:$E$4, MATCH(E1664, Unit_Paths!$A$2:$A$4, 0)),1)</f>
        <v>56.7</v>
      </c>
      <c r="L1664" s="6" t="n">
        <f aca="false">ROUND(INDEX(Archetypes!$I$2:$I$127, MATCH(D1664, Archetypes!$A$2:$A$127, 0))*INDEX(Unit_Grades!$C$2:$C$7, MATCH(F1664, Unit_Grades!$A$2:$A$7, 0)),1)</f>
        <v>74</v>
      </c>
      <c r="M1664" s="6" t="n">
        <f aca="false">ROUND(INDEX(Archetypes!$J$2:$J$127, MATCH(D1664, Archetypes!$A$2:$A$127, 0))*INDEX(Unit_Grades!$D$2:$D$7, MATCH(F1664, Unit_Grades!$A$2:$A$7, 0)),1)</f>
        <v>30</v>
      </c>
      <c r="N1664" s="6" t="n">
        <f aca="false">ROUND(M1664/24,2)</f>
        <v>1.25</v>
      </c>
    </row>
    <row r="1665" customFormat="false" ht="15" hidden="false" customHeight="true" outlineLevel="0" collapsed="false">
      <c r="A1665" s="6" t="n">
        <v>6</v>
      </c>
      <c r="B1665" s="6" t="s">
        <v>3140</v>
      </c>
      <c r="C1665" s="6" t="s">
        <v>1463</v>
      </c>
      <c r="D1665" s="6" t="str">
        <f aca="false">A1665&amp;"|"&amp;C1665</f>
        <v>6|Aegis Cruiser</v>
      </c>
      <c r="E1665" s="6" t="s">
        <v>1558</v>
      </c>
      <c r="F1665" s="6" t="s">
        <v>1540</v>
      </c>
      <c r="G1665" s="6" t="str">
        <f aca="false">INDEX(Archetypes!$D$2:$D$127, MATCH(D1665, Archetypes!$A$2:$A$127, 0))</f>
        <v>Screen</v>
      </c>
      <c r="H1665" s="6" t="n">
        <f aca="false">ROUND(INDEX(Archetypes!$E$2:$E$127, MATCH(D1665, Archetypes!$A$2:$A$127, 0))*INDEX(Unit_Grades!$B$2:$B$7, MATCH(F1665, Unit_Grades!$A$2:$A$7, 0))*INDEX(Unit_Paths!$B$2:$B$4, MATCH(E1665, Unit_Paths!$A$2:$A$4, 0)),1)</f>
        <v>842.4</v>
      </c>
      <c r="I1665" s="6" t="n">
        <f aca="false">ROUND(INDEX(Archetypes!$F$2:$F$127, MATCH(D1665, Archetypes!$A$2:$A$127, 0))*INDEX(Unit_Grades!$B$2:$B$7, MATCH(F1665, Unit_Grades!$A$2:$A$7, 0))*INDEX(Unit_Paths!$C$2:$C$4, MATCH(E1665, Unit_Paths!$A$2:$A$4, 0)),1)</f>
        <v>642.6</v>
      </c>
      <c r="J1665" s="6" t="n">
        <f aca="false">ROUND(INDEX(Archetypes!$G$2:$G$127, MATCH(D1665, Archetypes!$A$2:$A$127, 0))*INDEX(Unit_Grades!$B$2:$B$7, MATCH(F1665, Unit_Grades!$A$2:$A$7, 0))*INDEX(Unit_Paths!$D$2:$D$4, MATCH(E1665, Unit_Paths!$A$2:$A$4, 0)),0)</f>
        <v>3335</v>
      </c>
      <c r="K1665" s="6" t="n">
        <f aca="false">ROUND(INDEX(Archetypes!$H$2:$H$127, MATCH(D1665, Archetypes!$A$2:$A$127, 0))*INDEX(Unit_Paths!$E$2:$E$4, MATCH(E1665, Unit_Paths!$A$2:$A$4, 0)),1)</f>
        <v>56.7</v>
      </c>
      <c r="L1665" s="6" t="n">
        <f aca="false">ROUND(INDEX(Archetypes!$I$2:$I$127, MATCH(D1665, Archetypes!$A$2:$A$127, 0))*INDEX(Unit_Grades!$C$2:$C$7, MATCH(F1665, Unit_Grades!$A$2:$A$7, 0)),1)</f>
        <v>92.5</v>
      </c>
      <c r="M1665" s="6" t="n">
        <f aca="false">ROUND(INDEX(Archetypes!$J$2:$J$127, MATCH(D1665, Archetypes!$A$2:$A$127, 0))*INDEX(Unit_Grades!$D$2:$D$7, MATCH(F1665, Unit_Grades!$A$2:$A$7, 0)),1)</f>
        <v>45</v>
      </c>
      <c r="N1665" s="6" t="n">
        <f aca="false">ROUND(M1665/24,2)</f>
        <v>1.88</v>
      </c>
    </row>
    <row r="1666" customFormat="false" ht="15" hidden="false" customHeight="true" outlineLevel="0" collapsed="false">
      <c r="A1666" s="6" t="n">
        <v>6</v>
      </c>
      <c r="B1666" s="6" t="s">
        <v>3141</v>
      </c>
      <c r="C1666" s="6" t="s">
        <v>1463</v>
      </c>
      <c r="D1666" s="6" t="str">
        <f aca="false">A1666&amp;"|"&amp;C1666</f>
        <v>6|Aegis Cruiser</v>
      </c>
      <c r="E1666" s="6" t="s">
        <v>1558</v>
      </c>
      <c r="F1666" s="6" t="s">
        <v>1542</v>
      </c>
      <c r="G1666" s="6" t="str">
        <f aca="false">INDEX(Archetypes!$D$2:$D$127, MATCH(D1666, Archetypes!$A$2:$A$127, 0))</f>
        <v>Screen</v>
      </c>
      <c r="H1666" s="6" t="n">
        <f aca="false">ROUND(INDEX(Archetypes!$E$2:$E$127, MATCH(D1666, Archetypes!$A$2:$A$127, 0))*INDEX(Unit_Grades!$B$2:$B$7, MATCH(F1666, Unit_Grades!$A$2:$A$7, 0))*INDEX(Unit_Paths!$B$2:$B$4, MATCH(E1666, Unit_Paths!$A$2:$A$4, 0)),1)</f>
        <v>1123.2</v>
      </c>
      <c r="I1666" s="6" t="n">
        <f aca="false">ROUND(INDEX(Archetypes!$F$2:$F$127, MATCH(D1666, Archetypes!$A$2:$A$127, 0))*INDEX(Unit_Grades!$B$2:$B$7, MATCH(F1666, Unit_Grades!$A$2:$A$7, 0))*INDEX(Unit_Paths!$C$2:$C$4, MATCH(E1666, Unit_Paths!$A$2:$A$4, 0)),1)</f>
        <v>856.8</v>
      </c>
      <c r="J1666" s="6" t="n">
        <f aca="false">ROUND(INDEX(Archetypes!$G$2:$G$127, MATCH(D1666, Archetypes!$A$2:$A$127, 0))*INDEX(Unit_Grades!$B$2:$B$7, MATCH(F1666, Unit_Grades!$A$2:$A$7, 0))*INDEX(Unit_Paths!$D$2:$D$4, MATCH(E1666, Unit_Paths!$A$2:$A$4, 0)),0)</f>
        <v>4446</v>
      </c>
      <c r="K1666" s="6" t="n">
        <f aca="false">ROUND(INDEX(Archetypes!$H$2:$H$127, MATCH(D1666, Archetypes!$A$2:$A$127, 0))*INDEX(Unit_Paths!$E$2:$E$4, MATCH(E1666, Unit_Paths!$A$2:$A$4, 0)),1)</f>
        <v>56.7</v>
      </c>
      <c r="L1666" s="6" t="n">
        <f aca="false">ROUND(INDEX(Archetypes!$I$2:$I$127, MATCH(D1666, Archetypes!$A$2:$A$127, 0))*INDEX(Unit_Grades!$C$2:$C$7, MATCH(F1666, Unit_Grades!$A$2:$A$7, 0)),1)</f>
        <v>118.4</v>
      </c>
      <c r="M1666" s="6" t="n">
        <f aca="false">ROUND(INDEX(Archetypes!$J$2:$J$127, MATCH(D1666, Archetypes!$A$2:$A$127, 0))*INDEX(Unit_Grades!$D$2:$D$7, MATCH(F1666, Unit_Grades!$A$2:$A$7, 0)),1)</f>
        <v>75.1</v>
      </c>
      <c r="N1666" s="6" t="n">
        <f aca="false">ROUND(M1666/24,2)</f>
        <v>3.13</v>
      </c>
    </row>
    <row r="1667" customFormat="false" ht="15" hidden="false" customHeight="true" outlineLevel="0" collapsed="false">
      <c r="A1667" s="6" t="n">
        <v>6</v>
      </c>
      <c r="B1667" s="6" t="s">
        <v>3142</v>
      </c>
      <c r="C1667" s="6" t="s">
        <v>1463</v>
      </c>
      <c r="D1667" s="6" t="str">
        <f aca="false">A1667&amp;"|"&amp;C1667</f>
        <v>6|Aegis Cruiser</v>
      </c>
      <c r="E1667" s="6" t="s">
        <v>1558</v>
      </c>
      <c r="F1667" s="6" t="s">
        <v>1544</v>
      </c>
      <c r="G1667" s="6" t="str">
        <f aca="false">INDEX(Archetypes!$D$2:$D$127, MATCH(D1667, Archetypes!$A$2:$A$127, 0))</f>
        <v>Screen</v>
      </c>
      <c r="H1667" s="6" t="n">
        <f aca="false">ROUND(INDEX(Archetypes!$E$2:$E$127, MATCH(D1667, Archetypes!$A$2:$A$127, 0))*INDEX(Unit_Grades!$B$2:$B$7, MATCH(F1667, Unit_Grades!$A$2:$A$7, 0))*INDEX(Unit_Paths!$B$2:$B$4, MATCH(E1667, Unit_Paths!$A$2:$A$4, 0)),1)</f>
        <v>1497.6</v>
      </c>
      <c r="I1667" s="6" t="n">
        <f aca="false">ROUND(INDEX(Archetypes!$F$2:$F$127, MATCH(D1667, Archetypes!$A$2:$A$127, 0))*INDEX(Unit_Grades!$B$2:$B$7, MATCH(F1667, Unit_Grades!$A$2:$A$7, 0))*INDEX(Unit_Paths!$C$2:$C$4, MATCH(E1667, Unit_Paths!$A$2:$A$4, 0)),1)</f>
        <v>1142.4</v>
      </c>
      <c r="J1667" s="6" t="n">
        <f aca="false">ROUND(INDEX(Archetypes!$G$2:$G$127, MATCH(D1667, Archetypes!$A$2:$A$127, 0))*INDEX(Unit_Grades!$B$2:$B$7, MATCH(F1667, Unit_Grades!$A$2:$A$7, 0))*INDEX(Unit_Paths!$D$2:$D$4, MATCH(E1667, Unit_Paths!$A$2:$A$4, 0)),0)</f>
        <v>5928</v>
      </c>
      <c r="K1667" s="6" t="n">
        <f aca="false">ROUND(INDEX(Archetypes!$H$2:$H$127, MATCH(D1667, Archetypes!$A$2:$A$127, 0))*INDEX(Unit_Paths!$E$2:$E$4, MATCH(E1667, Unit_Paths!$A$2:$A$4, 0)),1)</f>
        <v>56.7</v>
      </c>
      <c r="L1667" s="6" t="n">
        <f aca="false">ROUND(INDEX(Archetypes!$I$2:$I$127, MATCH(D1667, Archetypes!$A$2:$A$127, 0))*INDEX(Unit_Grades!$C$2:$C$7, MATCH(F1667, Unit_Grades!$A$2:$A$7, 0)),1)</f>
        <v>155.4</v>
      </c>
      <c r="M1667" s="6" t="n">
        <f aca="false">ROUND(INDEX(Archetypes!$J$2:$J$127, MATCH(D1667, Archetypes!$A$2:$A$127, 0))*INDEX(Unit_Grades!$D$2:$D$7, MATCH(F1667, Unit_Grades!$A$2:$A$7, 0)),1)</f>
        <v>120.1</v>
      </c>
      <c r="N1667" s="6" t="n">
        <f aca="false">ROUND(M1667/24,2)</f>
        <v>5</v>
      </c>
    </row>
    <row r="1668" customFormat="false" ht="15" hidden="false" customHeight="true" outlineLevel="0" collapsed="false">
      <c r="A1668" s="6" t="n">
        <v>6</v>
      </c>
      <c r="B1668" s="6" t="s">
        <v>3143</v>
      </c>
      <c r="C1668" s="6" t="s">
        <v>1463</v>
      </c>
      <c r="D1668" s="6" t="str">
        <f aca="false">A1668&amp;"|"&amp;C1668</f>
        <v>6|Aegis Cruiser</v>
      </c>
      <c r="E1668" s="6" t="s">
        <v>1558</v>
      </c>
      <c r="F1668" s="6" t="s">
        <v>1546</v>
      </c>
      <c r="G1668" s="6" t="str">
        <f aca="false">INDEX(Archetypes!$D$2:$D$127, MATCH(D1668, Archetypes!$A$2:$A$127, 0))</f>
        <v>Screen</v>
      </c>
      <c r="H1668" s="6" t="n">
        <f aca="false">ROUND(INDEX(Archetypes!$E$2:$E$127, MATCH(D1668, Archetypes!$A$2:$A$127, 0))*INDEX(Unit_Grades!$B$2:$B$7, MATCH(F1668, Unit_Grades!$A$2:$A$7, 0))*INDEX(Unit_Paths!$B$2:$B$4, MATCH(E1668, Unit_Paths!$A$2:$A$4, 0)),1)</f>
        <v>1996.8</v>
      </c>
      <c r="I1668" s="6" t="n">
        <f aca="false">ROUND(INDEX(Archetypes!$F$2:$F$127, MATCH(D1668, Archetypes!$A$2:$A$127, 0))*INDEX(Unit_Grades!$B$2:$B$7, MATCH(F1668, Unit_Grades!$A$2:$A$7, 0))*INDEX(Unit_Paths!$C$2:$C$4, MATCH(E1668, Unit_Paths!$A$2:$A$4, 0)),1)</f>
        <v>1523.2</v>
      </c>
      <c r="J1668" s="6" t="n">
        <f aca="false">ROUND(INDEX(Archetypes!$G$2:$G$127, MATCH(D1668, Archetypes!$A$2:$A$127, 0))*INDEX(Unit_Grades!$B$2:$B$7, MATCH(F1668, Unit_Grades!$A$2:$A$7, 0))*INDEX(Unit_Paths!$D$2:$D$4, MATCH(E1668, Unit_Paths!$A$2:$A$4, 0)),0)</f>
        <v>7904</v>
      </c>
      <c r="K1668" s="6" t="n">
        <f aca="false">ROUND(INDEX(Archetypes!$H$2:$H$127, MATCH(D1668, Archetypes!$A$2:$A$127, 0))*INDEX(Unit_Paths!$E$2:$E$4, MATCH(E1668, Unit_Paths!$A$2:$A$4, 0)),1)</f>
        <v>56.7</v>
      </c>
      <c r="L1668" s="6" t="n">
        <f aca="false">ROUND(INDEX(Archetypes!$I$2:$I$127, MATCH(D1668, Archetypes!$A$2:$A$127, 0))*INDEX(Unit_Grades!$C$2:$C$7, MATCH(F1668, Unit_Grades!$A$2:$A$7, 0)),1)</f>
        <v>207.2</v>
      </c>
      <c r="M1668" s="6" t="n">
        <f aca="false">ROUND(INDEX(Archetypes!$J$2:$J$127, MATCH(D1668, Archetypes!$A$2:$A$127, 0))*INDEX(Unit_Grades!$D$2:$D$7, MATCH(F1668, Unit_Grades!$A$2:$A$7, 0)),1)</f>
        <v>210.2</v>
      </c>
      <c r="N1668" s="6" t="n">
        <f aca="false">ROUND(M1668/24,2)</f>
        <v>8.76</v>
      </c>
    </row>
    <row r="1669" customFormat="false" ht="15" hidden="false" customHeight="true" outlineLevel="0" collapsed="false">
      <c r="A1669" s="6" t="n">
        <v>6</v>
      </c>
      <c r="B1669" s="6" t="s">
        <v>3144</v>
      </c>
      <c r="C1669" s="6" t="s">
        <v>1463</v>
      </c>
      <c r="D1669" s="6" t="str">
        <f aca="false">A1669&amp;"|"&amp;C1669</f>
        <v>6|Aegis Cruiser</v>
      </c>
      <c r="E1669" s="6" t="s">
        <v>1558</v>
      </c>
      <c r="F1669" s="6" t="s">
        <v>1548</v>
      </c>
      <c r="G1669" s="6" t="str">
        <f aca="false">INDEX(Archetypes!$D$2:$D$127, MATCH(D1669, Archetypes!$A$2:$A$127, 0))</f>
        <v>Screen</v>
      </c>
      <c r="H1669" s="6" t="n">
        <f aca="false">ROUND(INDEX(Archetypes!$E$2:$E$127, MATCH(D1669, Archetypes!$A$2:$A$127, 0))*INDEX(Unit_Grades!$B$2:$B$7, MATCH(F1669, Unit_Grades!$A$2:$A$7, 0))*INDEX(Unit_Paths!$B$2:$B$4, MATCH(E1669, Unit_Paths!$A$2:$A$4, 0)),1)</f>
        <v>2620.8</v>
      </c>
      <c r="I1669" s="6" t="n">
        <f aca="false">ROUND(INDEX(Archetypes!$F$2:$F$127, MATCH(D1669, Archetypes!$A$2:$A$127, 0))*INDEX(Unit_Grades!$B$2:$B$7, MATCH(F1669, Unit_Grades!$A$2:$A$7, 0))*INDEX(Unit_Paths!$C$2:$C$4, MATCH(E1669, Unit_Paths!$A$2:$A$4, 0)),1)</f>
        <v>1999.2</v>
      </c>
      <c r="J1669" s="6" t="n">
        <f aca="false">ROUND(INDEX(Archetypes!$G$2:$G$127, MATCH(D1669, Archetypes!$A$2:$A$127, 0))*INDEX(Unit_Grades!$B$2:$B$7, MATCH(F1669, Unit_Grades!$A$2:$A$7, 0))*INDEX(Unit_Paths!$D$2:$D$4, MATCH(E1669, Unit_Paths!$A$2:$A$4, 0)),0)</f>
        <v>10374</v>
      </c>
      <c r="K1669" s="6" t="n">
        <f aca="false">ROUND(INDEX(Archetypes!$H$2:$H$127, MATCH(D1669, Archetypes!$A$2:$A$127, 0))*INDEX(Unit_Paths!$E$2:$E$4, MATCH(E1669, Unit_Paths!$A$2:$A$4, 0)),1)</f>
        <v>56.7</v>
      </c>
      <c r="L1669" s="6" t="n">
        <f aca="false">ROUND(INDEX(Archetypes!$I$2:$I$127, MATCH(D1669, Archetypes!$A$2:$A$127, 0))*INDEX(Unit_Grades!$C$2:$C$7, MATCH(F1669, Unit_Grades!$A$2:$A$7, 0)),1)</f>
        <v>273.8</v>
      </c>
      <c r="M1669" s="6" t="n">
        <f aca="false">ROUND(INDEX(Archetypes!$J$2:$J$127, MATCH(D1669, Archetypes!$A$2:$A$127, 0))*INDEX(Unit_Grades!$D$2:$D$7, MATCH(F1669, Unit_Grades!$A$2:$A$7, 0)),1)</f>
        <v>360.4</v>
      </c>
      <c r="N1669" s="6" t="n">
        <f aca="false">ROUND(M1669/24,2)</f>
        <v>15.02</v>
      </c>
    </row>
    <row r="1670" customFormat="false" ht="15" hidden="false" customHeight="true" outlineLevel="0" collapsed="false">
      <c r="A1670" s="6" t="n">
        <v>6</v>
      </c>
      <c r="B1670" s="6" t="s">
        <v>3145</v>
      </c>
      <c r="C1670" s="6" t="s">
        <v>1463</v>
      </c>
      <c r="D1670" s="6" t="str">
        <f aca="false">A1670&amp;"|"&amp;C1670</f>
        <v>6|Aegis Cruiser</v>
      </c>
      <c r="E1670" s="6" t="s">
        <v>1560</v>
      </c>
      <c r="F1670" s="6" t="s">
        <v>1538</v>
      </c>
      <c r="G1670" s="6" t="str">
        <f aca="false">INDEX(Archetypes!$D$2:$D$127, MATCH(D1670, Archetypes!$A$2:$A$127, 0))</f>
        <v>Screen</v>
      </c>
      <c r="H1670" s="6" t="n">
        <f aca="false">ROUND(INDEX(Archetypes!$E$2:$E$127, MATCH(D1670, Archetypes!$A$2:$A$127, 0))*INDEX(Unit_Grades!$B$2:$B$7, MATCH(F1670, Unit_Grades!$A$2:$A$7, 0))*INDEX(Unit_Paths!$B$2:$B$4, MATCH(E1670, Unit_Paths!$A$2:$A$4, 0)),1)</f>
        <v>442</v>
      </c>
      <c r="I1670" s="6" t="n">
        <f aca="false">ROUND(INDEX(Archetypes!$F$2:$F$127, MATCH(D1670, Archetypes!$A$2:$A$127, 0))*INDEX(Unit_Grades!$B$2:$B$7, MATCH(F1670, Unit_Grades!$A$2:$A$7, 0))*INDEX(Unit_Paths!$C$2:$C$4, MATCH(E1670, Unit_Paths!$A$2:$A$4, 0)),1)</f>
        <v>700</v>
      </c>
      <c r="J1670" s="6" t="n">
        <f aca="false">ROUND(INDEX(Archetypes!$G$2:$G$127, MATCH(D1670, Archetypes!$A$2:$A$127, 0))*INDEX(Unit_Grades!$B$2:$B$7, MATCH(F1670, Unit_Grades!$A$2:$A$7, 0))*INDEX(Unit_Paths!$D$2:$D$4, MATCH(E1670, Unit_Paths!$A$2:$A$4, 0)),0)</f>
        <v>2990</v>
      </c>
      <c r="K1670" s="6" t="n">
        <f aca="false">ROUND(INDEX(Archetypes!$H$2:$H$127, MATCH(D1670, Archetypes!$A$2:$A$127, 0))*INDEX(Unit_Paths!$E$2:$E$4, MATCH(E1670, Unit_Paths!$A$2:$A$4, 0)),1)</f>
        <v>49.7</v>
      </c>
      <c r="L1670" s="6" t="n">
        <f aca="false">ROUND(INDEX(Archetypes!$I$2:$I$127, MATCH(D1670, Archetypes!$A$2:$A$127, 0))*INDEX(Unit_Grades!$C$2:$C$7, MATCH(F1670, Unit_Grades!$A$2:$A$7, 0)),1)</f>
        <v>74</v>
      </c>
      <c r="M1670" s="6" t="n">
        <f aca="false">ROUND(INDEX(Archetypes!$J$2:$J$127, MATCH(D1670, Archetypes!$A$2:$A$127, 0))*INDEX(Unit_Grades!$D$2:$D$7, MATCH(F1670, Unit_Grades!$A$2:$A$7, 0)),1)</f>
        <v>30</v>
      </c>
      <c r="N1670" s="6" t="n">
        <f aca="false">ROUND(M1670/24,2)</f>
        <v>1.25</v>
      </c>
    </row>
    <row r="1671" customFormat="false" ht="15" hidden="false" customHeight="true" outlineLevel="0" collapsed="false">
      <c r="A1671" s="6" t="n">
        <v>6</v>
      </c>
      <c r="B1671" s="6" t="s">
        <v>3146</v>
      </c>
      <c r="C1671" s="6" t="s">
        <v>1463</v>
      </c>
      <c r="D1671" s="6" t="str">
        <f aca="false">A1671&amp;"|"&amp;C1671</f>
        <v>6|Aegis Cruiser</v>
      </c>
      <c r="E1671" s="6" t="s">
        <v>1560</v>
      </c>
      <c r="F1671" s="6" t="s">
        <v>1540</v>
      </c>
      <c r="G1671" s="6" t="str">
        <f aca="false">INDEX(Archetypes!$D$2:$D$127, MATCH(D1671, Archetypes!$A$2:$A$127, 0))</f>
        <v>Screen</v>
      </c>
      <c r="H1671" s="6" t="n">
        <f aca="false">ROUND(INDEX(Archetypes!$E$2:$E$127, MATCH(D1671, Archetypes!$A$2:$A$127, 0))*INDEX(Unit_Grades!$B$2:$B$7, MATCH(F1671, Unit_Grades!$A$2:$A$7, 0))*INDEX(Unit_Paths!$B$2:$B$4, MATCH(E1671, Unit_Paths!$A$2:$A$4, 0)),1)</f>
        <v>596.7</v>
      </c>
      <c r="I1671" s="6" t="n">
        <f aca="false">ROUND(INDEX(Archetypes!$F$2:$F$127, MATCH(D1671, Archetypes!$A$2:$A$127, 0))*INDEX(Unit_Grades!$B$2:$B$7, MATCH(F1671, Unit_Grades!$A$2:$A$7, 0))*INDEX(Unit_Paths!$C$2:$C$4, MATCH(E1671, Unit_Paths!$A$2:$A$4, 0)),1)</f>
        <v>945</v>
      </c>
      <c r="J1671" s="6" t="n">
        <f aca="false">ROUND(INDEX(Archetypes!$G$2:$G$127, MATCH(D1671, Archetypes!$A$2:$A$127, 0))*INDEX(Unit_Grades!$B$2:$B$7, MATCH(F1671, Unit_Grades!$A$2:$A$7, 0))*INDEX(Unit_Paths!$D$2:$D$4, MATCH(E1671, Unit_Paths!$A$2:$A$4, 0)),0)</f>
        <v>4037</v>
      </c>
      <c r="K1671" s="6" t="n">
        <f aca="false">ROUND(INDEX(Archetypes!$H$2:$H$127, MATCH(D1671, Archetypes!$A$2:$A$127, 0))*INDEX(Unit_Paths!$E$2:$E$4, MATCH(E1671, Unit_Paths!$A$2:$A$4, 0)),1)</f>
        <v>49.7</v>
      </c>
      <c r="L1671" s="6" t="n">
        <f aca="false">ROUND(INDEX(Archetypes!$I$2:$I$127, MATCH(D1671, Archetypes!$A$2:$A$127, 0))*INDEX(Unit_Grades!$C$2:$C$7, MATCH(F1671, Unit_Grades!$A$2:$A$7, 0)),1)</f>
        <v>92.5</v>
      </c>
      <c r="M1671" s="6" t="n">
        <f aca="false">ROUND(INDEX(Archetypes!$J$2:$J$127, MATCH(D1671, Archetypes!$A$2:$A$127, 0))*INDEX(Unit_Grades!$D$2:$D$7, MATCH(F1671, Unit_Grades!$A$2:$A$7, 0)),1)</f>
        <v>45</v>
      </c>
      <c r="N1671" s="6" t="n">
        <f aca="false">ROUND(M1671/24,2)</f>
        <v>1.88</v>
      </c>
    </row>
    <row r="1672" customFormat="false" ht="15" hidden="false" customHeight="true" outlineLevel="0" collapsed="false">
      <c r="A1672" s="6" t="n">
        <v>6</v>
      </c>
      <c r="B1672" s="6" t="s">
        <v>3147</v>
      </c>
      <c r="C1672" s="6" t="s">
        <v>1463</v>
      </c>
      <c r="D1672" s="6" t="str">
        <f aca="false">A1672&amp;"|"&amp;C1672</f>
        <v>6|Aegis Cruiser</v>
      </c>
      <c r="E1672" s="6" t="s">
        <v>1560</v>
      </c>
      <c r="F1672" s="6" t="s">
        <v>1542</v>
      </c>
      <c r="G1672" s="6" t="str">
        <f aca="false">INDEX(Archetypes!$D$2:$D$127, MATCH(D1672, Archetypes!$A$2:$A$127, 0))</f>
        <v>Screen</v>
      </c>
      <c r="H1672" s="6" t="n">
        <f aca="false">ROUND(INDEX(Archetypes!$E$2:$E$127, MATCH(D1672, Archetypes!$A$2:$A$127, 0))*INDEX(Unit_Grades!$B$2:$B$7, MATCH(F1672, Unit_Grades!$A$2:$A$7, 0))*INDEX(Unit_Paths!$B$2:$B$4, MATCH(E1672, Unit_Paths!$A$2:$A$4, 0)),1)</f>
        <v>795.6</v>
      </c>
      <c r="I1672" s="6" t="n">
        <f aca="false">ROUND(INDEX(Archetypes!$F$2:$F$127, MATCH(D1672, Archetypes!$A$2:$A$127, 0))*INDEX(Unit_Grades!$B$2:$B$7, MATCH(F1672, Unit_Grades!$A$2:$A$7, 0))*INDEX(Unit_Paths!$C$2:$C$4, MATCH(E1672, Unit_Paths!$A$2:$A$4, 0)),1)</f>
        <v>1260</v>
      </c>
      <c r="J1672" s="6" t="n">
        <f aca="false">ROUND(INDEX(Archetypes!$G$2:$G$127, MATCH(D1672, Archetypes!$A$2:$A$127, 0))*INDEX(Unit_Grades!$B$2:$B$7, MATCH(F1672, Unit_Grades!$A$2:$A$7, 0))*INDEX(Unit_Paths!$D$2:$D$4, MATCH(E1672, Unit_Paths!$A$2:$A$4, 0)),0)</f>
        <v>5382</v>
      </c>
      <c r="K1672" s="6" t="n">
        <f aca="false">ROUND(INDEX(Archetypes!$H$2:$H$127, MATCH(D1672, Archetypes!$A$2:$A$127, 0))*INDEX(Unit_Paths!$E$2:$E$4, MATCH(E1672, Unit_Paths!$A$2:$A$4, 0)),1)</f>
        <v>49.7</v>
      </c>
      <c r="L1672" s="6" t="n">
        <f aca="false">ROUND(INDEX(Archetypes!$I$2:$I$127, MATCH(D1672, Archetypes!$A$2:$A$127, 0))*INDEX(Unit_Grades!$C$2:$C$7, MATCH(F1672, Unit_Grades!$A$2:$A$7, 0)),1)</f>
        <v>118.4</v>
      </c>
      <c r="M1672" s="6" t="n">
        <f aca="false">ROUND(INDEX(Archetypes!$J$2:$J$127, MATCH(D1672, Archetypes!$A$2:$A$127, 0))*INDEX(Unit_Grades!$D$2:$D$7, MATCH(F1672, Unit_Grades!$A$2:$A$7, 0)),1)</f>
        <v>75.1</v>
      </c>
      <c r="N1672" s="6" t="n">
        <f aca="false">ROUND(M1672/24,2)</f>
        <v>3.13</v>
      </c>
    </row>
    <row r="1673" customFormat="false" ht="15" hidden="false" customHeight="true" outlineLevel="0" collapsed="false">
      <c r="A1673" s="6" t="n">
        <v>6</v>
      </c>
      <c r="B1673" s="6" t="s">
        <v>3148</v>
      </c>
      <c r="C1673" s="6" t="s">
        <v>1463</v>
      </c>
      <c r="D1673" s="6" t="str">
        <f aca="false">A1673&amp;"|"&amp;C1673</f>
        <v>6|Aegis Cruiser</v>
      </c>
      <c r="E1673" s="6" t="s">
        <v>1560</v>
      </c>
      <c r="F1673" s="6" t="s">
        <v>1544</v>
      </c>
      <c r="G1673" s="6" t="str">
        <f aca="false">INDEX(Archetypes!$D$2:$D$127, MATCH(D1673, Archetypes!$A$2:$A$127, 0))</f>
        <v>Screen</v>
      </c>
      <c r="H1673" s="6" t="n">
        <f aca="false">ROUND(INDEX(Archetypes!$E$2:$E$127, MATCH(D1673, Archetypes!$A$2:$A$127, 0))*INDEX(Unit_Grades!$B$2:$B$7, MATCH(F1673, Unit_Grades!$A$2:$A$7, 0))*INDEX(Unit_Paths!$B$2:$B$4, MATCH(E1673, Unit_Paths!$A$2:$A$4, 0)),1)</f>
        <v>1060.8</v>
      </c>
      <c r="I1673" s="6" t="n">
        <f aca="false">ROUND(INDEX(Archetypes!$F$2:$F$127, MATCH(D1673, Archetypes!$A$2:$A$127, 0))*INDEX(Unit_Grades!$B$2:$B$7, MATCH(F1673, Unit_Grades!$A$2:$A$7, 0))*INDEX(Unit_Paths!$C$2:$C$4, MATCH(E1673, Unit_Paths!$A$2:$A$4, 0)),1)</f>
        <v>1680</v>
      </c>
      <c r="J1673" s="6" t="n">
        <f aca="false">ROUND(INDEX(Archetypes!$G$2:$G$127, MATCH(D1673, Archetypes!$A$2:$A$127, 0))*INDEX(Unit_Grades!$B$2:$B$7, MATCH(F1673, Unit_Grades!$A$2:$A$7, 0))*INDEX(Unit_Paths!$D$2:$D$4, MATCH(E1673, Unit_Paths!$A$2:$A$4, 0)),0)</f>
        <v>7176</v>
      </c>
      <c r="K1673" s="6" t="n">
        <f aca="false">ROUND(INDEX(Archetypes!$H$2:$H$127, MATCH(D1673, Archetypes!$A$2:$A$127, 0))*INDEX(Unit_Paths!$E$2:$E$4, MATCH(E1673, Unit_Paths!$A$2:$A$4, 0)),1)</f>
        <v>49.7</v>
      </c>
      <c r="L1673" s="6" t="n">
        <f aca="false">ROUND(INDEX(Archetypes!$I$2:$I$127, MATCH(D1673, Archetypes!$A$2:$A$127, 0))*INDEX(Unit_Grades!$C$2:$C$7, MATCH(F1673, Unit_Grades!$A$2:$A$7, 0)),1)</f>
        <v>155.4</v>
      </c>
      <c r="M1673" s="6" t="n">
        <f aca="false">ROUND(INDEX(Archetypes!$J$2:$J$127, MATCH(D1673, Archetypes!$A$2:$A$127, 0))*INDEX(Unit_Grades!$D$2:$D$7, MATCH(F1673, Unit_Grades!$A$2:$A$7, 0)),1)</f>
        <v>120.1</v>
      </c>
      <c r="N1673" s="6" t="n">
        <f aca="false">ROUND(M1673/24,2)</f>
        <v>5</v>
      </c>
    </row>
    <row r="1674" customFormat="false" ht="15" hidden="false" customHeight="true" outlineLevel="0" collapsed="false">
      <c r="A1674" s="6" t="n">
        <v>6</v>
      </c>
      <c r="B1674" s="6" t="s">
        <v>3149</v>
      </c>
      <c r="C1674" s="6" t="s">
        <v>1463</v>
      </c>
      <c r="D1674" s="6" t="str">
        <f aca="false">A1674&amp;"|"&amp;C1674</f>
        <v>6|Aegis Cruiser</v>
      </c>
      <c r="E1674" s="6" t="s">
        <v>1560</v>
      </c>
      <c r="F1674" s="6" t="s">
        <v>1546</v>
      </c>
      <c r="G1674" s="6" t="str">
        <f aca="false">INDEX(Archetypes!$D$2:$D$127, MATCH(D1674, Archetypes!$A$2:$A$127, 0))</f>
        <v>Screen</v>
      </c>
      <c r="H1674" s="6" t="n">
        <f aca="false">ROUND(INDEX(Archetypes!$E$2:$E$127, MATCH(D1674, Archetypes!$A$2:$A$127, 0))*INDEX(Unit_Grades!$B$2:$B$7, MATCH(F1674, Unit_Grades!$A$2:$A$7, 0))*INDEX(Unit_Paths!$B$2:$B$4, MATCH(E1674, Unit_Paths!$A$2:$A$4, 0)),1)</f>
        <v>1414.4</v>
      </c>
      <c r="I1674" s="6" t="n">
        <f aca="false">ROUND(INDEX(Archetypes!$F$2:$F$127, MATCH(D1674, Archetypes!$A$2:$A$127, 0))*INDEX(Unit_Grades!$B$2:$B$7, MATCH(F1674, Unit_Grades!$A$2:$A$7, 0))*INDEX(Unit_Paths!$C$2:$C$4, MATCH(E1674, Unit_Paths!$A$2:$A$4, 0)),1)</f>
        <v>2240</v>
      </c>
      <c r="J1674" s="6" t="n">
        <f aca="false">ROUND(INDEX(Archetypes!$G$2:$G$127, MATCH(D1674, Archetypes!$A$2:$A$127, 0))*INDEX(Unit_Grades!$B$2:$B$7, MATCH(F1674, Unit_Grades!$A$2:$A$7, 0))*INDEX(Unit_Paths!$D$2:$D$4, MATCH(E1674, Unit_Paths!$A$2:$A$4, 0)),0)</f>
        <v>9568</v>
      </c>
      <c r="K1674" s="6" t="n">
        <f aca="false">ROUND(INDEX(Archetypes!$H$2:$H$127, MATCH(D1674, Archetypes!$A$2:$A$127, 0))*INDEX(Unit_Paths!$E$2:$E$4, MATCH(E1674, Unit_Paths!$A$2:$A$4, 0)),1)</f>
        <v>49.7</v>
      </c>
      <c r="L1674" s="6" t="n">
        <f aca="false">ROUND(INDEX(Archetypes!$I$2:$I$127, MATCH(D1674, Archetypes!$A$2:$A$127, 0))*INDEX(Unit_Grades!$C$2:$C$7, MATCH(F1674, Unit_Grades!$A$2:$A$7, 0)),1)</f>
        <v>207.2</v>
      </c>
      <c r="M1674" s="6" t="n">
        <f aca="false">ROUND(INDEX(Archetypes!$J$2:$J$127, MATCH(D1674, Archetypes!$A$2:$A$127, 0))*INDEX(Unit_Grades!$D$2:$D$7, MATCH(F1674, Unit_Grades!$A$2:$A$7, 0)),1)</f>
        <v>210.2</v>
      </c>
      <c r="N1674" s="6" t="n">
        <f aca="false">ROUND(M1674/24,2)</f>
        <v>8.76</v>
      </c>
    </row>
    <row r="1675" customFormat="false" ht="15" hidden="false" customHeight="true" outlineLevel="0" collapsed="false">
      <c r="A1675" s="6" t="n">
        <v>6</v>
      </c>
      <c r="B1675" s="6" t="s">
        <v>3150</v>
      </c>
      <c r="C1675" s="6" t="s">
        <v>1463</v>
      </c>
      <c r="D1675" s="6" t="str">
        <f aca="false">A1675&amp;"|"&amp;C1675</f>
        <v>6|Aegis Cruiser</v>
      </c>
      <c r="E1675" s="6" t="s">
        <v>1560</v>
      </c>
      <c r="F1675" s="6" t="s">
        <v>1548</v>
      </c>
      <c r="G1675" s="6" t="str">
        <f aca="false">INDEX(Archetypes!$D$2:$D$127, MATCH(D1675, Archetypes!$A$2:$A$127, 0))</f>
        <v>Screen</v>
      </c>
      <c r="H1675" s="6" t="n">
        <f aca="false">ROUND(INDEX(Archetypes!$E$2:$E$127, MATCH(D1675, Archetypes!$A$2:$A$127, 0))*INDEX(Unit_Grades!$B$2:$B$7, MATCH(F1675, Unit_Grades!$A$2:$A$7, 0))*INDEX(Unit_Paths!$B$2:$B$4, MATCH(E1675, Unit_Paths!$A$2:$A$4, 0)),1)</f>
        <v>1856.4</v>
      </c>
      <c r="I1675" s="6" t="n">
        <f aca="false">ROUND(INDEX(Archetypes!$F$2:$F$127, MATCH(D1675, Archetypes!$A$2:$A$127, 0))*INDEX(Unit_Grades!$B$2:$B$7, MATCH(F1675, Unit_Grades!$A$2:$A$7, 0))*INDEX(Unit_Paths!$C$2:$C$4, MATCH(E1675, Unit_Paths!$A$2:$A$4, 0)),1)</f>
        <v>2940</v>
      </c>
      <c r="J1675" s="6" t="n">
        <f aca="false">ROUND(INDEX(Archetypes!$G$2:$G$127, MATCH(D1675, Archetypes!$A$2:$A$127, 0))*INDEX(Unit_Grades!$B$2:$B$7, MATCH(F1675, Unit_Grades!$A$2:$A$7, 0))*INDEX(Unit_Paths!$D$2:$D$4, MATCH(E1675, Unit_Paths!$A$2:$A$4, 0)),0)</f>
        <v>12558</v>
      </c>
      <c r="K1675" s="6" t="n">
        <f aca="false">ROUND(INDEX(Archetypes!$H$2:$H$127, MATCH(D1675, Archetypes!$A$2:$A$127, 0))*INDEX(Unit_Paths!$E$2:$E$4, MATCH(E1675, Unit_Paths!$A$2:$A$4, 0)),1)</f>
        <v>49.7</v>
      </c>
      <c r="L1675" s="6" t="n">
        <f aca="false">ROUND(INDEX(Archetypes!$I$2:$I$127, MATCH(D1675, Archetypes!$A$2:$A$127, 0))*INDEX(Unit_Grades!$C$2:$C$7, MATCH(F1675, Unit_Grades!$A$2:$A$7, 0)),1)</f>
        <v>273.8</v>
      </c>
      <c r="M1675" s="6" t="n">
        <f aca="false">ROUND(INDEX(Archetypes!$J$2:$J$127, MATCH(D1675, Archetypes!$A$2:$A$127, 0))*INDEX(Unit_Grades!$D$2:$D$7, MATCH(F1675, Unit_Grades!$A$2:$A$7, 0)),1)</f>
        <v>360.4</v>
      </c>
      <c r="N1675" s="6" t="n">
        <f aca="false">ROUND(M1675/24,2)</f>
        <v>15.02</v>
      </c>
    </row>
    <row r="1676" customFormat="false" ht="15" hidden="false" customHeight="true" outlineLevel="0" collapsed="false">
      <c r="A1676" s="6" t="n">
        <v>6</v>
      </c>
      <c r="B1676" s="6" t="s">
        <v>1465</v>
      </c>
      <c r="C1676" s="6" t="s">
        <v>1465</v>
      </c>
      <c r="D1676" s="6" t="str">
        <f aca="false">A1676&amp;"|"&amp;C1676</f>
        <v>6|Dreadnought</v>
      </c>
      <c r="E1676" s="6" t="s">
        <v>1556</v>
      </c>
      <c r="F1676" s="6" t="s">
        <v>1538</v>
      </c>
      <c r="G1676" s="6" t="str">
        <f aca="false">INDEX(Archetypes!$D$2:$D$127, MATCH(D1676, Archetypes!$A$2:$A$127, 0))</f>
        <v>Capital</v>
      </c>
      <c r="H1676" s="6" t="n">
        <f aca="false">ROUND(INDEX(Archetypes!$E$2:$E$127, MATCH(D1676, Archetypes!$A$2:$A$127, 0))*INDEX(Unit_Grades!$B$2:$B$7, MATCH(F1676, Unit_Grades!$A$2:$A$7, 0))*INDEX(Unit_Paths!$B$2:$B$4, MATCH(E1676, Unit_Paths!$A$2:$A$4, 0)),1)</f>
        <v>980</v>
      </c>
      <c r="I1676" s="6" t="n">
        <f aca="false">ROUND(INDEX(Archetypes!$F$2:$F$127, MATCH(D1676, Archetypes!$A$2:$A$127, 0))*INDEX(Unit_Grades!$B$2:$B$7, MATCH(F1676, Unit_Grades!$A$2:$A$7, 0))*INDEX(Unit_Paths!$C$2:$C$4, MATCH(E1676, Unit_Paths!$A$2:$A$4, 0)),1)</f>
        <v>700</v>
      </c>
      <c r="J1676" s="6" t="n">
        <f aca="false">ROUND(INDEX(Archetypes!$G$2:$G$127, MATCH(D1676, Archetypes!$A$2:$A$127, 0))*INDEX(Unit_Grades!$B$2:$B$7, MATCH(F1676, Unit_Grades!$A$2:$A$7, 0))*INDEX(Unit_Paths!$D$2:$D$4, MATCH(E1676, Unit_Paths!$A$2:$A$4, 0)),0)</f>
        <v>4200</v>
      </c>
      <c r="K1676" s="6" t="n">
        <f aca="false">ROUND(INDEX(Archetypes!$H$2:$H$127, MATCH(D1676, Archetypes!$A$2:$A$127, 0))*INDEX(Unit_Paths!$E$2:$E$4, MATCH(E1676, Unit_Paths!$A$2:$A$4, 0)),1)</f>
        <v>44</v>
      </c>
      <c r="L1676" s="6" t="n">
        <f aca="false">ROUND(INDEX(Archetypes!$I$2:$I$127, MATCH(D1676, Archetypes!$A$2:$A$127, 0))*INDEX(Unit_Grades!$C$2:$C$7, MATCH(F1676, Unit_Grades!$A$2:$A$7, 0)),1)</f>
        <v>120</v>
      </c>
      <c r="M1676" s="6" t="n">
        <f aca="false">ROUND(INDEX(Archetypes!$J$2:$J$127, MATCH(D1676, Archetypes!$A$2:$A$127, 0))*INDEX(Unit_Grades!$D$2:$D$7, MATCH(F1676, Unit_Grades!$A$2:$A$7, 0)),1)</f>
        <v>48.7</v>
      </c>
      <c r="N1676" s="6" t="n">
        <f aca="false">ROUND(M1676/24,2)</f>
        <v>2.03</v>
      </c>
    </row>
    <row r="1677" customFormat="false" ht="15" hidden="false" customHeight="true" outlineLevel="0" collapsed="false">
      <c r="A1677" s="6" t="n">
        <v>6</v>
      </c>
      <c r="B1677" s="6" t="s">
        <v>3151</v>
      </c>
      <c r="C1677" s="6" t="s">
        <v>1465</v>
      </c>
      <c r="D1677" s="6" t="str">
        <f aca="false">A1677&amp;"|"&amp;C1677</f>
        <v>6|Dreadnought</v>
      </c>
      <c r="E1677" s="6" t="s">
        <v>1556</v>
      </c>
      <c r="F1677" s="6" t="s">
        <v>1540</v>
      </c>
      <c r="G1677" s="6" t="str">
        <f aca="false">INDEX(Archetypes!$D$2:$D$127, MATCH(D1677, Archetypes!$A$2:$A$127, 0))</f>
        <v>Capital</v>
      </c>
      <c r="H1677" s="6" t="n">
        <f aca="false">ROUND(INDEX(Archetypes!$E$2:$E$127, MATCH(D1677, Archetypes!$A$2:$A$127, 0))*INDEX(Unit_Grades!$B$2:$B$7, MATCH(F1677, Unit_Grades!$A$2:$A$7, 0))*INDEX(Unit_Paths!$B$2:$B$4, MATCH(E1677, Unit_Paths!$A$2:$A$4, 0)),1)</f>
        <v>1323</v>
      </c>
      <c r="I1677" s="6" t="n">
        <f aca="false">ROUND(INDEX(Archetypes!$F$2:$F$127, MATCH(D1677, Archetypes!$A$2:$A$127, 0))*INDEX(Unit_Grades!$B$2:$B$7, MATCH(F1677, Unit_Grades!$A$2:$A$7, 0))*INDEX(Unit_Paths!$C$2:$C$4, MATCH(E1677, Unit_Paths!$A$2:$A$4, 0)),1)</f>
        <v>945</v>
      </c>
      <c r="J1677" s="6" t="n">
        <f aca="false">ROUND(INDEX(Archetypes!$G$2:$G$127, MATCH(D1677, Archetypes!$A$2:$A$127, 0))*INDEX(Unit_Grades!$B$2:$B$7, MATCH(F1677, Unit_Grades!$A$2:$A$7, 0))*INDEX(Unit_Paths!$D$2:$D$4, MATCH(E1677, Unit_Paths!$A$2:$A$4, 0)),0)</f>
        <v>5670</v>
      </c>
      <c r="K1677" s="6" t="n">
        <f aca="false">ROUND(INDEX(Archetypes!$H$2:$H$127, MATCH(D1677, Archetypes!$A$2:$A$127, 0))*INDEX(Unit_Paths!$E$2:$E$4, MATCH(E1677, Unit_Paths!$A$2:$A$4, 0)),1)</f>
        <v>44</v>
      </c>
      <c r="L1677" s="6" t="n">
        <f aca="false">ROUND(INDEX(Archetypes!$I$2:$I$127, MATCH(D1677, Archetypes!$A$2:$A$127, 0))*INDEX(Unit_Grades!$C$2:$C$7, MATCH(F1677, Unit_Grades!$A$2:$A$7, 0)),1)</f>
        <v>150</v>
      </c>
      <c r="M1677" s="6" t="n">
        <f aca="false">ROUND(INDEX(Archetypes!$J$2:$J$127, MATCH(D1677, Archetypes!$A$2:$A$127, 0))*INDEX(Unit_Grades!$D$2:$D$7, MATCH(F1677, Unit_Grades!$A$2:$A$7, 0)),1)</f>
        <v>73.1</v>
      </c>
      <c r="N1677" s="6" t="n">
        <f aca="false">ROUND(M1677/24,2)</f>
        <v>3.05</v>
      </c>
    </row>
    <row r="1678" customFormat="false" ht="15" hidden="false" customHeight="true" outlineLevel="0" collapsed="false">
      <c r="A1678" s="6" t="n">
        <v>6</v>
      </c>
      <c r="B1678" s="6" t="s">
        <v>3152</v>
      </c>
      <c r="C1678" s="6" t="s">
        <v>1465</v>
      </c>
      <c r="D1678" s="6" t="str">
        <f aca="false">A1678&amp;"|"&amp;C1678</f>
        <v>6|Dreadnought</v>
      </c>
      <c r="E1678" s="6" t="s">
        <v>1556</v>
      </c>
      <c r="F1678" s="6" t="s">
        <v>1542</v>
      </c>
      <c r="G1678" s="6" t="str">
        <f aca="false">INDEX(Archetypes!$D$2:$D$127, MATCH(D1678, Archetypes!$A$2:$A$127, 0))</f>
        <v>Capital</v>
      </c>
      <c r="H1678" s="6" t="n">
        <f aca="false">ROUND(INDEX(Archetypes!$E$2:$E$127, MATCH(D1678, Archetypes!$A$2:$A$127, 0))*INDEX(Unit_Grades!$B$2:$B$7, MATCH(F1678, Unit_Grades!$A$2:$A$7, 0))*INDEX(Unit_Paths!$B$2:$B$4, MATCH(E1678, Unit_Paths!$A$2:$A$4, 0)),1)</f>
        <v>1764</v>
      </c>
      <c r="I1678" s="6" t="n">
        <f aca="false">ROUND(INDEX(Archetypes!$F$2:$F$127, MATCH(D1678, Archetypes!$A$2:$A$127, 0))*INDEX(Unit_Grades!$B$2:$B$7, MATCH(F1678, Unit_Grades!$A$2:$A$7, 0))*INDEX(Unit_Paths!$C$2:$C$4, MATCH(E1678, Unit_Paths!$A$2:$A$4, 0)),1)</f>
        <v>1260</v>
      </c>
      <c r="J1678" s="6" t="n">
        <f aca="false">ROUND(INDEX(Archetypes!$G$2:$G$127, MATCH(D1678, Archetypes!$A$2:$A$127, 0))*INDEX(Unit_Grades!$B$2:$B$7, MATCH(F1678, Unit_Grades!$A$2:$A$7, 0))*INDEX(Unit_Paths!$D$2:$D$4, MATCH(E1678, Unit_Paths!$A$2:$A$4, 0)),0)</f>
        <v>7560</v>
      </c>
      <c r="K1678" s="6" t="n">
        <f aca="false">ROUND(INDEX(Archetypes!$H$2:$H$127, MATCH(D1678, Archetypes!$A$2:$A$127, 0))*INDEX(Unit_Paths!$E$2:$E$4, MATCH(E1678, Unit_Paths!$A$2:$A$4, 0)),1)</f>
        <v>44</v>
      </c>
      <c r="L1678" s="6" t="n">
        <f aca="false">ROUND(INDEX(Archetypes!$I$2:$I$127, MATCH(D1678, Archetypes!$A$2:$A$127, 0))*INDEX(Unit_Grades!$C$2:$C$7, MATCH(F1678, Unit_Grades!$A$2:$A$7, 0)),1)</f>
        <v>192</v>
      </c>
      <c r="M1678" s="6" t="n">
        <f aca="false">ROUND(INDEX(Archetypes!$J$2:$J$127, MATCH(D1678, Archetypes!$A$2:$A$127, 0))*INDEX(Unit_Grades!$D$2:$D$7, MATCH(F1678, Unit_Grades!$A$2:$A$7, 0)),1)</f>
        <v>121.8</v>
      </c>
      <c r="N1678" s="6" t="n">
        <f aca="false">ROUND(M1678/24,2)</f>
        <v>5.08</v>
      </c>
    </row>
    <row r="1679" customFormat="false" ht="15" hidden="false" customHeight="true" outlineLevel="0" collapsed="false">
      <c r="A1679" s="6" t="n">
        <v>6</v>
      </c>
      <c r="B1679" s="6" t="s">
        <v>3153</v>
      </c>
      <c r="C1679" s="6" t="s">
        <v>1465</v>
      </c>
      <c r="D1679" s="6" t="str">
        <f aca="false">A1679&amp;"|"&amp;C1679</f>
        <v>6|Dreadnought</v>
      </c>
      <c r="E1679" s="6" t="s">
        <v>1556</v>
      </c>
      <c r="F1679" s="6" t="s">
        <v>1544</v>
      </c>
      <c r="G1679" s="6" t="str">
        <f aca="false">INDEX(Archetypes!$D$2:$D$127, MATCH(D1679, Archetypes!$A$2:$A$127, 0))</f>
        <v>Capital</v>
      </c>
      <c r="H1679" s="6" t="n">
        <f aca="false">ROUND(INDEX(Archetypes!$E$2:$E$127, MATCH(D1679, Archetypes!$A$2:$A$127, 0))*INDEX(Unit_Grades!$B$2:$B$7, MATCH(F1679, Unit_Grades!$A$2:$A$7, 0))*INDEX(Unit_Paths!$B$2:$B$4, MATCH(E1679, Unit_Paths!$A$2:$A$4, 0)),1)</f>
        <v>2352</v>
      </c>
      <c r="I1679" s="6" t="n">
        <f aca="false">ROUND(INDEX(Archetypes!$F$2:$F$127, MATCH(D1679, Archetypes!$A$2:$A$127, 0))*INDEX(Unit_Grades!$B$2:$B$7, MATCH(F1679, Unit_Grades!$A$2:$A$7, 0))*INDEX(Unit_Paths!$C$2:$C$4, MATCH(E1679, Unit_Paths!$A$2:$A$4, 0)),1)</f>
        <v>1680</v>
      </c>
      <c r="J1679" s="6" t="n">
        <f aca="false">ROUND(INDEX(Archetypes!$G$2:$G$127, MATCH(D1679, Archetypes!$A$2:$A$127, 0))*INDEX(Unit_Grades!$B$2:$B$7, MATCH(F1679, Unit_Grades!$A$2:$A$7, 0))*INDEX(Unit_Paths!$D$2:$D$4, MATCH(E1679, Unit_Paths!$A$2:$A$4, 0)),0)</f>
        <v>10080</v>
      </c>
      <c r="K1679" s="6" t="n">
        <f aca="false">ROUND(INDEX(Archetypes!$H$2:$H$127, MATCH(D1679, Archetypes!$A$2:$A$127, 0))*INDEX(Unit_Paths!$E$2:$E$4, MATCH(E1679, Unit_Paths!$A$2:$A$4, 0)),1)</f>
        <v>44</v>
      </c>
      <c r="L1679" s="6" t="n">
        <f aca="false">ROUND(INDEX(Archetypes!$I$2:$I$127, MATCH(D1679, Archetypes!$A$2:$A$127, 0))*INDEX(Unit_Grades!$C$2:$C$7, MATCH(F1679, Unit_Grades!$A$2:$A$7, 0)),1)</f>
        <v>252</v>
      </c>
      <c r="M1679" s="6" t="n">
        <f aca="false">ROUND(INDEX(Archetypes!$J$2:$J$127, MATCH(D1679, Archetypes!$A$2:$A$127, 0))*INDEX(Unit_Grades!$D$2:$D$7, MATCH(F1679, Unit_Grades!$A$2:$A$7, 0)),1)</f>
        <v>194.8</v>
      </c>
      <c r="N1679" s="6" t="n">
        <f aca="false">ROUND(M1679/24,2)</f>
        <v>8.12</v>
      </c>
    </row>
    <row r="1680" customFormat="false" ht="15" hidden="false" customHeight="true" outlineLevel="0" collapsed="false">
      <c r="A1680" s="6" t="n">
        <v>6</v>
      </c>
      <c r="B1680" s="6" t="s">
        <v>3154</v>
      </c>
      <c r="C1680" s="6" t="s">
        <v>1465</v>
      </c>
      <c r="D1680" s="6" t="str">
        <f aca="false">A1680&amp;"|"&amp;C1680</f>
        <v>6|Dreadnought</v>
      </c>
      <c r="E1680" s="6" t="s">
        <v>1556</v>
      </c>
      <c r="F1680" s="6" t="s">
        <v>1546</v>
      </c>
      <c r="G1680" s="6" t="str">
        <f aca="false">INDEX(Archetypes!$D$2:$D$127, MATCH(D1680, Archetypes!$A$2:$A$127, 0))</f>
        <v>Capital</v>
      </c>
      <c r="H1680" s="6" t="n">
        <f aca="false">ROUND(INDEX(Archetypes!$E$2:$E$127, MATCH(D1680, Archetypes!$A$2:$A$127, 0))*INDEX(Unit_Grades!$B$2:$B$7, MATCH(F1680, Unit_Grades!$A$2:$A$7, 0))*INDEX(Unit_Paths!$B$2:$B$4, MATCH(E1680, Unit_Paths!$A$2:$A$4, 0)),1)</f>
        <v>3136</v>
      </c>
      <c r="I1680" s="6" t="n">
        <f aca="false">ROUND(INDEX(Archetypes!$F$2:$F$127, MATCH(D1680, Archetypes!$A$2:$A$127, 0))*INDEX(Unit_Grades!$B$2:$B$7, MATCH(F1680, Unit_Grades!$A$2:$A$7, 0))*INDEX(Unit_Paths!$C$2:$C$4, MATCH(E1680, Unit_Paths!$A$2:$A$4, 0)),1)</f>
        <v>2240</v>
      </c>
      <c r="J1680" s="6" t="n">
        <f aca="false">ROUND(INDEX(Archetypes!$G$2:$G$127, MATCH(D1680, Archetypes!$A$2:$A$127, 0))*INDEX(Unit_Grades!$B$2:$B$7, MATCH(F1680, Unit_Grades!$A$2:$A$7, 0))*INDEX(Unit_Paths!$D$2:$D$4, MATCH(E1680, Unit_Paths!$A$2:$A$4, 0)),0)</f>
        <v>13440</v>
      </c>
      <c r="K1680" s="6" t="n">
        <f aca="false">ROUND(INDEX(Archetypes!$H$2:$H$127, MATCH(D1680, Archetypes!$A$2:$A$127, 0))*INDEX(Unit_Paths!$E$2:$E$4, MATCH(E1680, Unit_Paths!$A$2:$A$4, 0)),1)</f>
        <v>44</v>
      </c>
      <c r="L1680" s="6" t="n">
        <f aca="false">ROUND(INDEX(Archetypes!$I$2:$I$127, MATCH(D1680, Archetypes!$A$2:$A$127, 0))*INDEX(Unit_Grades!$C$2:$C$7, MATCH(F1680, Unit_Grades!$A$2:$A$7, 0)),1)</f>
        <v>336</v>
      </c>
      <c r="M1680" s="6" t="n">
        <f aca="false">ROUND(INDEX(Archetypes!$J$2:$J$127, MATCH(D1680, Archetypes!$A$2:$A$127, 0))*INDEX(Unit_Grades!$D$2:$D$7, MATCH(F1680, Unit_Grades!$A$2:$A$7, 0)),1)</f>
        <v>340.9</v>
      </c>
      <c r="N1680" s="6" t="n">
        <f aca="false">ROUND(M1680/24,2)</f>
        <v>14.2</v>
      </c>
    </row>
    <row r="1681" customFormat="false" ht="15" hidden="false" customHeight="true" outlineLevel="0" collapsed="false">
      <c r="A1681" s="6" t="n">
        <v>6</v>
      </c>
      <c r="B1681" s="6" t="s">
        <v>3155</v>
      </c>
      <c r="C1681" s="6" t="s">
        <v>1465</v>
      </c>
      <c r="D1681" s="6" t="str">
        <f aca="false">A1681&amp;"|"&amp;C1681</f>
        <v>6|Dreadnought</v>
      </c>
      <c r="E1681" s="6" t="s">
        <v>1556</v>
      </c>
      <c r="F1681" s="6" t="s">
        <v>1548</v>
      </c>
      <c r="G1681" s="6" t="str">
        <f aca="false">INDEX(Archetypes!$D$2:$D$127, MATCH(D1681, Archetypes!$A$2:$A$127, 0))</f>
        <v>Capital</v>
      </c>
      <c r="H1681" s="6" t="n">
        <f aca="false">ROUND(INDEX(Archetypes!$E$2:$E$127, MATCH(D1681, Archetypes!$A$2:$A$127, 0))*INDEX(Unit_Grades!$B$2:$B$7, MATCH(F1681, Unit_Grades!$A$2:$A$7, 0))*INDEX(Unit_Paths!$B$2:$B$4, MATCH(E1681, Unit_Paths!$A$2:$A$4, 0)),1)</f>
        <v>4116</v>
      </c>
      <c r="I1681" s="6" t="n">
        <f aca="false">ROUND(INDEX(Archetypes!$F$2:$F$127, MATCH(D1681, Archetypes!$A$2:$A$127, 0))*INDEX(Unit_Grades!$B$2:$B$7, MATCH(F1681, Unit_Grades!$A$2:$A$7, 0))*INDEX(Unit_Paths!$C$2:$C$4, MATCH(E1681, Unit_Paths!$A$2:$A$4, 0)),1)</f>
        <v>2940</v>
      </c>
      <c r="J1681" s="6" t="n">
        <f aca="false">ROUND(INDEX(Archetypes!$G$2:$G$127, MATCH(D1681, Archetypes!$A$2:$A$127, 0))*INDEX(Unit_Grades!$B$2:$B$7, MATCH(F1681, Unit_Grades!$A$2:$A$7, 0))*INDEX(Unit_Paths!$D$2:$D$4, MATCH(E1681, Unit_Paths!$A$2:$A$4, 0)),0)</f>
        <v>17640</v>
      </c>
      <c r="K1681" s="6" t="n">
        <f aca="false">ROUND(INDEX(Archetypes!$H$2:$H$127, MATCH(D1681, Archetypes!$A$2:$A$127, 0))*INDEX(Unit_Paths!$E$2:$E$4, MATCH(E1681, Unit_Paths!$A$2:$A$4, 0)),1)</f>
        <v>44</v>
      </c>
      <c r="L1681" s="6" t="n">
        <f aca="false">ROUND(INDEX(Archetypes!$I$2:$I$127, MATCH(D1681, Archetypes!$A$2:$A$127, 0))*INDEX(Unit_Grades!$C$2:$C$7, MATCH(F1681, Unit_Grades!$A$2:$A$7, 0)),1)</f>
        <v>444</v>
      </c>
      <c r="M1681" s="6" t="n">
        <f aca="false">ROUND(INDEX(Archetypes!$J$2:$J$127, MATCH(D1681, Archetypes!$A$2:$A$127, 0))*INDEX(Unit_Grades!$D$2:$D$7, MATCH(F1681, Unit_Grades!$A$2:$A$7, 0)),1)</f>
        <v>584.4</v>
      </c>
      <c r="N1681" s="6" t="n">
        <f aca="false">ROUND(M1681/24,2)</f>
        <v>24.35</v>
      </c>
    </row>
    <row r="1682" customFormat="false" ht="15" hidden="false" customHeight="true" outlineLevel="0" collapsed="false">
      <c r="A1682" s="6" t="n">
        <v>6</v>
      </c>
      <c r="B1682" s="6" t="s">
        <v>3156</v>
      </c>
      <c r="C1682" s="6" t="s">
        <v>1465</v>
      </c>
      <c r="D1682" s="6" t="str">
        <f aca="false">A1682&amp;"|"&amp;C1682</f>
        <v>6|Dreadnought</v>
      </c>
      <c r="E1682" s="6" t="s">
        <v>1558</v>
      </c>
      <c r="F1682" s="6" t="s">
        <v>1538</v>
      </c>
      <c r="G1682" s="6" t="str">
        <f aca="false">INDEX(Archetypes!$D$2:$D$127, MATCH(D1682, Archetypes!$A$2:$A$127, 0))</f>
        <v>Capital</v>
      </c>
      <c r="H1682" s="6" t="n">
        <f aca="false">ROUND(INDEX(Archetypes!$E$2:$E$127, MATCH(D1682, Archetypes!$A$2:$A$127, 0))*INDEX(Unit_Grades!$B$2:$B$7, MATCH(F1682, Unit_Grades!$A$2:$A$7, 0))*INDEX(Unit_Paths!$B$2:$B$4, MATCH(E1682, Unit_Paths!$A$2:$A$4, 0)),1)</f>
        <v>1176</v>
      </c>
      <c r="I1682" s="6" t="n">
        <f aca="false">ROUND(INDEX(Archetypes!$F$2:$F$127, MATCH(D1682, Archetypes!$A$2:$A$127, 0))*INDEX(Unit_Grades!$B$2:$B$7, MATCH(F1682, Unit_Grades!$A$2:$A$7, 0))*INDEX(Unit_Paths!$C$2:$C$4, MATCH(E1682, Unit_Paths!$A$2:$A$4, 0)),1)</f>
        <v>595</v>
      </c>
      <c r="J1682" s="6" t="n">
        <f aca="false">ROUND(INDEX(Archetypes!$G$2:$G$127, MATCH(D1682, Archetypes!$A$2:$A$127, 0))*INDEX(Unit_Grades!$B$2:$B$7, MATCH(F1682, Unit_Grades!$A$2:$A$7, 0))*INDEX(Unit_Paths!$D$2:$D$4, MATCH(E1682, Unit_Paths!$A$2:$A$4, 0)),0)</f>
        <v>3990</v>
      </c>
      <c r="K1682" s="6" t="n">
        <f aca="false">ROUND(INDEX(Archetypes!$H$2:$H$127, MATCH(D1682, Archetypes!$A$2:$A$127, 0))*INDEX(Unit_Paths!$E$2:$E$4, MATCH(E1682, Unit_Paths!$A$2:$A$4, 0)),1)</f>
        <v>46.2</v>
      </c>
      <c r="L1682" s="6" t="n">
        <f aca="false">ROUND(INDEX(Archetypes!$I$2:$I$127, MATCH(D1682, Archetypes!$A$2:$A$127, 0))*INDEX(Unit_Grades!$C$2:$C$7, MATCH(F1682, Unit_Grades!$A$2:$A$7, 0)),1)</f>
        <v>120</v>
      </c>
      <c r="M1682" s="6" t="n">
        <f aca="false">ROUND(INDEX(Archetypes!$J$2:$J$127, MATCH(D1682, Archetypes!$A$2:$A$127, 0))*INDEX(Unit_Grades!$D$2:$D$7, MATCH(F1682, Unit_Grades!$A$2:$A$7, 0)),1)</f>
        <v>48.7</v>
      </c>
      <c r="N1682" s="6" t="n">
        <f aca="false">ROUND(M1682/24,2)</f>
        <v>2.03</v>
      </c>
    </row>
    <row r="1683" customFormat="false" ht="15" hidden="false" customHeight="true" outlineLevel="0" collapsed="false">
      <c r="A1683" s="6" t="n">
        <v>6</v>
      </c>
      <c r="B1683" s="6" t="s">
        <v>3157</v>
      </c>
      <c r="C1683" s="6" t="s">
        <v>1465</v>
      </c>
      <c r="D1683" s="6" t="str">
        <f aca="false">A1683&amp;"|"&amp;C1683</f>
        <v>6|Dreadnought</v>
      </c>
      <c r="E1683" s="6" t="s">
        <v>1558</v>
      </c>
      <c r="F1683" s="6" t="s">
        <v>1540</v>
      </c>
      <c r="G1683" s="6" t="str">
        <f aca="false">INDEX(Archetypes!$D$2:$D$127, MATCH(D1683, Archetypes!$A$2:$A$127, 0))</f>
        <v>Capital</v>
      </c>
      <c r="H1683" s="6" t="n">
        <f aca="false">ROUND(INDEX(Archetypes!$E$2:$E$127, MATCH(D1683, Archetypes!$A$2:$A$127, 0))*INDEX(Unit_Grades!$B$2:$B$7, MATCH(F1683, Unit_Grades!$A$2:$A$7, 0))*INDEX(Unit_Paths!$B$2:$B$4, MATCH(E1683, Unit_Paths!$A$2:$A$4, 0)),1)</f>
        <v>1587.6</v>
      </c>
      <c r="I1683" s="6" t="n">
        <f aca="false">ROUND(INDEX(Archetypes!$F$2:$F$127, MATCH(D1683, Archetypes!$A$2:$A$127, 0))*INDEX(Unit_Grades!$B$2:$B$7, MATCH(F1683, Unit_Grades!$A$2:$A$7, 0))*INDEX(Unit_Paths!$C$2:$C$4, MATCH(E1683, Unit_Paths!$A$2:$A$4, 0)),1)</f>
        <v>803.3</v>
      </c>
      <c r="J1683" s="6" t="n">
        <f aca="false">ROUND(INDEX(Archetypes!$G$2:$G$127, MATCH(D1683, Archetypes!$A$2:$A$127, 0))*INDEX(Unit_Grades!$B$2:$B$7, MATCH(F1683, Unit_Grades!$A$2:$A$7, 0))*INDEX(Unit_Paths!$D$2:$D$4, MATCH(E1683, Unit_Paths!$A$2:$A$4, 0)),0)</f>
        <v>5387</v>
      </c>
      <c r="K1683" s="6" t="n">
        <f aca="false">ROUND(INDEX(Archetypes!$H$2:$H$127, MATCH(D1683, Archetypes!$A$2:$A$127, 0))*INDEX(Unit_Paths!$E$2:$E$4, MATCH(E1683, Unit_Paths!$A$2:$A$4, 0)),1)</f>
        <v>46.2</v>
      </c>
      <c r="L1683" s="6" t="n">
        <f aca="false">ROUND(INDEX(Archetypes!$I$2:$I$127, MATCH(D1683, Archetypes!$A$2:$A$127, 0))*INDEX(Unit_Grades!$C$2:$C$7, MATCH(F1683, Unit_Grades!$A$2:$A$7, 0)),1)</f>
        <v>150</v>
      </c>
      <c r="M1683" s="6" t="n">
        <f aca="false">ROUND(INDEX(Archetypes!$J$2:$J$127, MATCH(D1683, Archetypes!$A$2:$A$127, 0))*INDEX(Unit_Grades!$D$2:$D$7, MATCH(F1683, Unit_Grades!$A$2:$A$7, 0)),1)</f>
        <v>73.1</v>
      </c>
      <c r="N1683" s="6" t="n">
        <f aca="false">ROUND(M1683/24,2)</f>
        <v>3.05</v>
      </c>
    </row>
    <row r="1684" customFormat="false" ht="15" hidden="false" customHeight="true" outlineLevel="0" collapsed="false">
      <c r="A1684" s="6" t="n">
        <v>6</v>
      </c>
      <c r="B1684" s="6" t="s">
        <v>3158</v>
      </c>
      <c r="C1684" s="6" t="s">
        <v>1465</v>
      </c>
      <c r="D1684" s="6" t="str">
        <f aca="false">A1684&amp;"|"&amp;C1684</f>
        <v>6|Dreadnought</v>
      </c>
      <c r="E1684" s="6" t="s">
        <v>1558</v>
      </c>
      <c r="F1684" s="6" t="s">
        <v>1542</v>
      </c>
      <c r="G1684" s="6" t="str">
        <f aca="false">INDEX(Archetypes!$D$2:$D$127, MATCH(D1684, Archetypes!$A$2:$A$127, 0))</f>
        <v>Capital</v>
      </c>
      <c r="H1684" s="6" t="n">
        <f aca="false">ROUND(INDEX(Archetypes!$E$2:$E$127, MATCH(D1684, Archetypes!$A$2:$A$127, 0))*INDEX(Unit_Grades!$B$2:$B$7, MATCH(F1684, Unit_Grades!$A$2:$A$7, 0))*INDEX(Unit_Paths!$B$2:$B$4, MATCH(E1684, Unit_Paths!$A$2:$A$4, 0)),1)</f>
        <v>2116.8</v>
      </c>
      <c r="I1684" s="6" t="n">
        <f aca="false">ROUND(INDEX(Archetypes!$F$2:$F$127, MATCH(D1684, Archetypes!$A$2:$A$127, 0))*INDEX(Unit_Grades!$B$2:$B$7, MATCH(F1684, Unit_Grades!$A$2:$A$7, 0))*INDEX(Unit_Paths!$C$2:$C$4, MATCH(E1684, Unit_Paths!$A$2:$A$4, 0)),1)</f>
        <v>1071</v>
      </c>
      <c r="J1684" s="6" t="n">
        <f aca="false">ROUND(INDEX(Archetypes!$G$2:$G$127, MATCH(D1684, Archetypes!$A$2:$A$127, 0))*INDEX(Unit_Grades!$B$2:$B$7, MATCH(F1684, Unit_Grades!$A$2:$A$7, 0))*INDEX(Unit_Paths!$D$2:$D$4, MATCH(E1684, Unit_Paths!$A$2:$A$4, 0)),0)</f>
        <v>7182</v>
      </c>
      <c r="K1684" s="6" t="n">
        <f aca="false">ROUND(INDEX(Archetypes!$H$2:$H$127, MATCH(D1684, Archetypes!$A$2:$A$127, 0))*INDEX(Unit_Paths!$E$2:$E$4, MATCH(E1684, Unit_Paths!$A$2:$A$4, 0)),1)</f>
        <v>46.2</v>
      </c>
      <c r="L1684" s="6" t="n">
        <f aca="false">ROUND(INDEX(Archetypes!$I$2:$I$127, MATCH(D1684, Archetypes!$A$2:$A$127, 0))*INDEX(Unit_Grades!$C$2:$C$7, MATCH(F1684, Unit_Grades!$A$2:$A$7, 0)),1)</f>
        <v>192</v>
      </c>
      <c r="M1684" s="6" t="n">
        <f aca="false">ROUND(INDEX(Archetypes!$J$2:$J$127, MATCH(D1684, Archetypes!$A$2:$A$127, 0))*INDEX(Unit_Grades!$D$2:$D$7, MATCH(F1684, Unit_Grades!$A$2:$A$7, 0)),1)</f>
        <v>121.8</v>
      </c>
      <c r="N1684" s="6" t="n">
        <f aca="false">ROUND(M1684/24,2)</f>
        <v>5.08</v>
      </c>
    </row>
    <row r="1685" customFormat="false" ht="15" hidden="false" customHeight="true" outlineLevel="0" collapsed="false">
      <c r="A1685" s="6" t="n">
        <v>6</v>
      </c>
      <c r="B1685" s="6" t="s">
        <v>3159</v>
      </c>
      <c r="C1685" s="6" t="s">
        <v>1465</v>
      </c>
      <c r="D1685" s="6" t="str">
        <f aca="false">A1685&amp;"|"&amp;C1685</f>
        <v>6|Dreadnought</v>
      </c>
      <c r="E1685" s="6" t="s">
        <v>1558</v>
      </c>
      <c r="F1685" s="6" t="s">
        <v>1544</v>
      </c>
      <c r="G1685" s="6" t="str">
        <f aca="false">INDEX(Archetypes!$D$2:$D$127, MATCH(D1685, Archetypes!$A$2:$A$127, 0))</f>
        <v>Capital</v>
      </c>
      <c r="H1685" s="6" t="n">
        <f aca="false">ROUND(INDEX(Archetypes!$E$2:$E$127, MATCH(D1685, Archetypes!$A$2:$A$127, 0))*INDEX(Unit_Grades!$B$2:$B$7, MATCH(F1685, Unit_Grades!$A$2:$A$7, 0))*INDEX(Unit_Paths!$B$2:$B$4, MATCH(E1685, Unit_Paths!$A$2:$A$4, 0)),1)</f>
        <v>2822.4</v>
      </c>
      <c r="I1685" s="6" t="n">
        <f aca="false">ROUND(INDEX(Archetypes!$F$2:$F$127, MATCH(D1685, Archetypes!$A$2:$A$127, 0))*INDEX(Unit_Grades!$B$2:$B$7, MATCH(F1685, Unit_Grades!$A$2:$A$7, 0))*INDEX(Unit_Paths!$C$2:$C$4, MATCH(E1685, Unit_Paths!$A$2:$A$4, 0)),1)</f>
        <v>1428</v>
      </c>
      <c r="J1685" s="6" t="n">
        <f aca="false">ROUND(INDEX(Archetypes!$G$2:$G$127, MATCH(D1685, Archetypes!$A$2:$A$127, 0))*INDEX(Unit_Grades!$B$2:$B$7, MATCH(F1685, Unit_Grades!$A$2:$A$7, 0))*INDEX(Unit_Paths!$D$2:$D$4, MATCH(E1685, Unit_Paths!$A$2:$A$4, 0)),0)</f>
        <v>9576</v>
      </c>
      <c r="K1685" s="6" t="n">
        <f aca="false">ROUND(INDEX(Archetypes!$H$2:$H$127, MATCH(D1685, Archetypes!$A$2:$A$127, 0))*INDEX(Unit_Paths!$E$2:$E$4, MATCH(E1685, Unit_Paths!$A$2:$A$4, 0)),1)</f>
        <v>46.2</v>
      </c>
      <c r="L1685" s="6" t="n">
        <f aca="false">ROUND(INDEX(Archetypes!$I$2:$I$127, MATCH(D1685, Archetypes!$A$2:$A$127, 0))*INDEX(Unit_Grades!$C$2:$C$7, MATCH(F1685, Unit_Grades!$A$2:$A$7, 0)),1)</f>
        <v>252</v>
      </c>
      <c r="M1685" s="6" t="n">
        <f aca="false">ROUND(INDEX(Archetypes!$J$2:$J$127, MATCH(D1685, Archetypes!$A$2:$A$127, 0))*INDEX(Unit_Grades!$D$2:$D$7, MATCH(F1685, Unit_Grades!$A$2:$A$7, 0)),1)</f>
        <v>194.8</v>
      </c>
      <c r="N1685" s="6" t="n">
        <f aca="false">ROUND(M1685/24,2)</f>
        <v>8.12</v>
      </c>
    </row>
    <row r="1686" customFormat="false" ht="15" hidden="false" customHeight="true" outlineLevel="0" collapsed="false">
      <c r="A1686" s="6" t="n">
        <v>6</v>
      </c>
      <c r="B1686" s="6" t="s">
        <v>3160</v>
      </c>
      <c r="C1686" s="6" t="s">
        <v>1465</v>
      </c>
      <c r="D1686" s="6" t="str">
        <f aca="false">A1686&amp;"|"&amp;C1686</f>
        <v>6|Dreadnought</v>
      </c>
      <c r="E1686" s="6" t="s">
        <v>1558</v>
      </c>
      <c r="F1686" s="6" t="s">
        <v>1546</v>
      </c>
      <c r="G1686" s="6" t="str">
        <f aca="false">INDEX(Archetypes!$D$2:$D$127, MATCH(D1686, Archetypes!$A$2:$A$127, 0))</f>
        <v>Capital</v>
      </c>
      <c r="H1686" s="6" t="n">
        <f aca="false">ROUND(INDEX(Archetypes!$E$2:$E$127, MATCH(D1686, Archetypes!$A$2:$A$127, 0))*INDEX(Unit_Grades!$B$2:$B$7, MATCH(F1686, Unit_Grades!$A$2:$A$7, 0))*INDEX(Unit_Paths!$B$2:$B$4, MATCH(E1686, Unit_Paths!$A$2:$A$4, 0)),1)</f>
        <v>3763.2</v>
      </c>
      <c r="I1686" s="6" t="n">
        <f aca="false">ROUND(INDEX(Archetypes!$F$2:$F$127, MATCH(D1686, Archetypes!$A$2:$A$127, 0))*INDEX(Unit_Grades!$B$2:$B$7, MATCH(F1686, Unit_Grades!$A$2:$A$7, 0))*INDEX(Unit_Paths!$C$2:$C$4, MATCH(E1686, Unit_Paths!$A$2:$A$4, 0)),1)</f>
        <v>1904</v>
      </c>
      <c r="J1686" s="6" t="n">
        <f aca="false">ROUND(INDEX(Archetypes!$G$2:$G$127, MATCH(D1686, Archetypes!$A$2:$A$127, 0))*INDEX(Unit_Grades!$B$2:$B$7, MATCH(F1686, Unit_Grades!$A$2:$A$7, 0))*INDEX(Unit_Paths!$D$2:$D$4, MATCH(E1686, Unit_Paths!$A$2:$A$4, 0)),0)</f>
        <v>12768</v>
      </c>
      <c r="K1686" s="6" t="n">
        <f aca="false">ROUND(INDEX(Archetypes!$H$2:$H$127, MATCH(D1686, Archetypes!$A$2:$A$127, 0))*INDEX(Unit_Paths!$E$2:$E$4, MATCH(E1686, Unit_Paths!$A$2:$A$4, 0)),1)</f>
        <v>46.2</v>
      </c>
      <c r="L1686" s="6" t="n">
        <f aca="false">ROUND(INDEX(Archetypes!$I$2:$I$127, MATCH(D1686, Archetypes!$A$2:$A$127, 0))*INDEX(Unit_Grades!$C$2:$C$7, MATCH(F1686, Unit_Grades!$A$2:$A$7, 0)),1)</f>
        <v>336</v>
      </c>
      <c r="M1686" s="6" t="n">
        <f aca="false">ROUND(INDEX(Archetypes!$J$2:$J$127, MATCH(D1686, Archetypes!$A$2:$A$127, 0))*INDEX(Unit_Grades!$D$2:$D$7, MATCH(F1686, Unit_Grades!$A$2:$A$7, 0)),1)</f>
        <v>340.9</v>
      </c>
      <c r="N1686" s="6" t="n">
        <f aca="false">ROUND(M1686/24,2)</f>
        <v>14.2</v>
      </c>
    </row>
    <row r="1687" customFormat="false" ht="15" hidden="false" customHeight="true" outlineLevel="0" collapsed="false">
      <c r="A1687" s="6" t="n">
        <v>6</v>
      </c>
      <c r="B1687" s="6" t="s">
        <v>3161</v>
      </c>
      <c r="C1687" s="6" t="s">
        <v>1465</v>
      </c>
      <c r="D1687" s="6" t="str">
        <f aca="false">A1687&amp;"|"&amp;C1687</f>
        <v>6|Dreadnought</v>
      </c>
      <c r="E1687" s="6" t="s">
        <v>1558</v>
      </c>
      <c r="F1687" s="6" t="s">
        <v>1548</v>
      </c>
      <c r="G1687" s="6" t="str">
        <f aca="false">INDEX(Archetypes!$D$2:$D$127, MATCH(D1687, Archetypes!$A$2:$A$127, 0))</f>
        <v>Capital</v>
      </c>
      <c r="H1687" s="6" t="n">
        <f aca="false">ROUND(INDEX(Archetypes!$E$2:$E$127, MATCH(D1687, Archetypes!$A$2:$A$127, 0))*INDEX(Unit_Grades!$B$2:$B$7, MATCH(F1687, Unit_Grades!$A$2:$A$7, 0))*INDEX(Unit_Paths!$B$2:$B$4, MATCH(E1687, Unit_Paths!$A$2:$A$4, 0)),1)</f>
        <v>4939.2</v>
      </c>
      <c r="I1687" s="6" t="n">
        <f aca="false">ROUND(INDEX(Archetypes!$F$2:$F$127, MATCH(D1687, Archetypes!$A$2:$A$127, 0))*INDEX(Unit_Grades!$B$2:$B$7, MATCH(F1687, Unit_Grades!$A$2:$A$7, 0))*INDEX(Unit_Paths!$C$2:$C$4, MATCH(E1687, Unit_Paths!$A$2:$A$4, 0)),1)</f>
        <v>2499</v>
      </c>
      <c r="J1687" s="6" t="n">
        <f aca="false">ROUND(INDEX(Archetypes!$G$2:$G$127, MATCH(D1687, Archetypes!$A$2:$A$127, 0))*INDEX(Unit_Grades!$B$2:$B$7, MATCH(F1687, Unit_Grades!$A$2:$A$7, 0))*INDEX(Unit_Paths!$D$2:$D$4, MATCH(E1687, Unit_Paths!$A$2:$A$4, 0)),0)</f>
        <v>16758</v>
      </c>
      <c r="K1687" s="6" t="n">
        <f aca="false">ROUND(INDEX(Archetypes!$H$2:$H$127, MATCH(D1687, Archetypes!$A$2:$A$127, 0))*INDEX(Unit_Paths!$E$2:$E$4, MATCH(E1687, Unit_Paths!$A$2:$A$4, 0)),1)</f>
        <v>46.2</v>
      </c>
      <c r="L1687" s="6" t="n">
        <f aca="false">ROUND(INDEX(Archetypes!$I$2:$I$127, MATCH(D1687, Archetypes!$A$2:$A$127, 0))*INDEX(Unit_Grades!$C$2:$C$7, MATCH(F1687, Unit_Grades!$A$2:$A$7, 0)),1)</f>
        <v>444</v>
      </c>
      <c r="M1687" s="6" t="n">
        <f aca="false">ROUND(INDEX(Archetypes!$J$2:$J$127, MATCH(D1687, Archetypes!$A$2:$A$127, 0))*INDEX(Unit_Grades!$D$2:$D$7, MATCH(F1687, Unit_Grades!$A$2:$A$7, 0)),1)</f>
        <v>584.4</v>
      </c>
      <c r="N1687" s="6" t="n">
        <f aca="false">ROUND(M1687/24,2)</f>
        <v>24.35</v>
      </c>
    </row>
    <row r="1688" customFormat="false" ht="15" hidden="false" customHeight="true" outlineLevel="0" collapsed="false">
      <c r="A1688" s="6" t="n">
        <v>6</v>
      </c>
      <c r="B1688" s="6" t="s">
        <v>3162</v>
      </c>
      <c r="C1688" s="6" t="s">
        <v>1465</v>
      </c>
      <c r="D1688" s="6" t="str">
        <f aca="false">A1688&amp;"|"&amp;C1688</f>
        <v>6|Dreadnought</v>
      </c>
      <c r="E1688" s="6" t="s">
        <v>1560</v>
      </c>
      <c r="F1688" s="6" t="s">
        <v>1538</v>
      </c>
      <c r="G1688" s="6" t="str">
        <f aca="false">INDEX(Archetypes!$D$2:$D$127, MATCH(D1688, Archetypes!$A$2:$A$127, 0))</f>
        <v>Capital</v>
      </c>
      <c r="H1688" s="6" t="n">
        <f aca="false">ROUND(INDEX(Archetypes!$E$2:$E$127, MATCH(D1688, Archetypes!$A$2:$A$127, 0))*INDEX(Unit_Grades!$B$2:$B$7, MATCH(F1688, Unit_Grades!$A$2:$A$7, 0))*INDEX(Unit_Paths!$B$2:$B$4, MATCH(E1688, Unit_Paths!$A$2:$A$4, 0)),1)</f>
        <v>833</v>
      </c>
      <c r="I1688" s="6" t="n">
        <f aca="false">ROUND(INDEX(Archetypes!$F$2:$F$127, MATCH(D1688, Archetypes!$A$2:$A$127, 0))*INDEX(Unit_Grades!$B$2:$B$7, MATCH(F1688, Unit_Grades!$A$2:$A$7, 0))*INDEX(Unit_Paths!$C$2:$C$4, MATCH(E1688, Unit_Paths!$A$2:$A$4, 0)),1)</f>
        <v>875</v>
      </c>
      <c r="J1688" s="6" t="n">
        <f aca="false">ROUND(INDEX(Archetypes!$G$2:$G$127, MATCH(D1688, Archetypes!$A$2:$A$127, 0))*INDEX(Unit_Grades!$B$2:$B$7, MATCH(F1688, Unit_Grades!$A$2:$A$7, 0))*INDEX(Unit_Paths!$D$2:$D$4, MATCH(E1688, Unit_Paths!$A$2:$A$4, 0)),0)</f>
        <v>4830</v>
      </c>
      <c r="K1688" s="6" t="n">
        <f aca="false">ROUND(INDEX(Archetypes!$H$2:$H$127, MATCH(D1688, Archetypes!$A$2:$A$127, 0))*INDEX(Unit_Paths!$E$2:$E$4, MATCH(E1688, Unit_Paths!$A$2:$A$4, 0)),1)</f>
        <v>40.5</v>
      </c>
      <c r="L1688" s="6" t="n">
        <f aca="false">ROUND(INDEX(Archetypes!$I$2:$I$127, MATCH(D1688, Archetypes!$A$2:$A$127, 0))*INDEX(Unit_Grades!$C$2:$C$7, MATCH(F1688, Unit_Grades!$A$2:$A$7, 0)),1)</f>
        <v>120</v>
      </c>
      <c r="M1688" s="6" t="n">
        <f aca="false">ROUND(INDEX(Archetypes!$J$2:$J$127, MATCH(D1688, Archetypes!$A$2:$A$127, 0))*INDEX(Unit_Grades!$D$2:$D$7, MATCH(F1688, Unit_Grades!$A$2:$A$7, 0)),1)</f>
        <v>48.7</v>
      </c>
      <c r="N1688" s="6" t="n">
        <f aca="false">ROUND(M1688/24,2)</f>
        <v>2.03</v>
      </c>
    </row>
    <row r="1689" customFormat="false" ht="15" hidden="false" customHeight="true" outlineLevel="0" collapsed="false">
      <c r="A1689" s="6" t="n">
        <v>6</v>
      </c>
      <c r="B1689" s="6" t="s">
        <v>3163</v>
      </c>
      <c r="C1689" s="6" t="s">
        <v>1465</v>
      </c>
      <c r="D1689" s="6" t="str">
        <f aca="false">A1689&amp;"|"&amp;C1689</f>
        <v>6|Dreadnought</v>
      </c>
      <c r="E1689" s="6" t="s">
        <v>1560</v>
      </c>
      <c r="F1689" s="6" t="s">
        <v>1540</v>
      </c>
      <c r="G1689" s="6" t="str">
        <f aca="false">INDEX(Archetypes!$D$2:$D$127, MATCH(D1689, Archetypes!$A$2:$A$127, 0))</f>
        <v>Capital</v>
      </c>
      <c r="H1689" s="6" t="n">
        <f aca="false">ROUND(INDEX(Archetypes!$E$2:$E$127, MATCH(D1689, Archetypes!$A$2:$A$127, 0))*INDEX(Unit_Grades!$B$2:$B$7, MATCH(F1689, Unit_Grades!$A$2:$A$7, 0))*INDEX(Unit_Paths!$B$2:$B$4, MATCH(E1689, Unit_Paths!$A$2:$A$4, 0)),1)</f>
        <v>1124.6</v>
      </c>
      <c r="I1689" s="6" t="n">
        <f aca="false">ROUND(INDEX(Archetypes!$F$2:$F$127, MATCH(D1689, Archetypes!$A$2:$A$127, 0))*INDEX(Unit_Grades!$B$2:$B$7, MATCH(F1689, Unit_Grades!$A$2:$A$7, 0))*INDEX(Unit_Paths!$C$2:$C$4, MATCH(E1689, Unit_Paths!$A$2:$A$4, 0)),1)</f>
        <v>1181.3</v>
      </c>
      <c r="J1689" s="6" t="n">
        <f aca="false">ROUND(INDEX(Archetypes!$G$2:$G$127, MATCH(D1689, Archetypes!$A$2:$A$127, 0))*INDEX(Unit_Grades!$B$2:$B$7, MATCH(F1689, Unit_Grades!$A$2:$A$7, 0))*INDEX(Unit_Paths!$D$2:$D$4, MATCH(E1689, Unit_Paths!$A$2:$A$4, 0)),0)</f>
        <v>6520</v>
      </c>
      <c r="K1689" s="6" t="n">
        <f aca="false">ROUND(INDEX(Archetypes!$H$2:$H$127, MATCH(D1689, Archetypes!$A$2:$A$127, 0))*INDEX(Unit_Paths!$E$2:$E$4, MATCH(E1689, Unit_Paths!$A$2:$A$4, 0)),1)</f>
        <v>40.5</v>
      </c>
      <c r="L1689" s="6" t="n">
        <f aca="false">ROUND(INDEX(Archetypes!$I$2:$I$127, MATCH(D1689, Archetypes!$A$2:$A$127, 0))*INDEX(Unit_Grades!$C$2:$C$7, MATCH(F1689, Unit_Grades!$A$2:$A$7, 0)),1)</f>
        <v>150</v>
      </c>
      <c r="M1689" s="6" t="n">
        <f aca="false">ROUND(INDEX(Archetypes!$J$2:$J$127, MATCH(D1689, Archetypes!$A$2:$A$127, 0))*INDEX(Unit_Grades!$D$2:$D$7, MATCH(F1689, Unit_Grades!$A$2:$A$7, 0)),1)</f>
        <v>73.1</v>
      </c>
      <c r="N1689" s="6" t="n">
        <f aca="false">ROUND(M1689/24,2)</f>
        <v>3.05</v>
      </c>
    </row>
    <row r="1690" customFormat="false" ht="15" hidden="false" customHeight="true" outlineLevel="0" collapsed="false">
      <c r="A1690" s="6" t="n">
        <v>6</v>
      </c>
      <c r="B1690" s="6" t="s">
        <v>3164</v>
      </c>
      <c r="C1690" s="6" t="s">
        <v>1465</v>
      </c>
      <c r="D1690" s="6" t="str">
        <f aca="false">A1690&amp;"|"&amp;C1690</f>
        <v>6|Dreadnought</v>
      </c>
      <c r="E1690" s="6" t="s">
        <v>1560</v>
      </c>
      <c r="F1690" s="6" t="s">
        <v>1542</v>
      </c>
      <c r="G1690" s="6" t="str">
        <f aca="false">INDEX(Archetypes!$D$2:$D$127, MATCH(D1690, Archetypes!$A$2:$A$127, 0))</f>
        <v>Capital</v>
      </c>
      <c r="H1690" s="6" t="n">
        <f aca="false">ROUND(INDEX(Archetypes!$E$2:$E$127, MATCH(D1690, Archetypes!$A$2:$A$127, 0))*INDEX(Unit_Grades!$B$2:$B$7, MATCH(F1690, Unit_Grades!$A$2:$A$7, 0))*INDEX(Unit_Paths!$B$2:$B$4, MATCH(E1690, Unit_Paths!$A$2:$A$4, 0)),1)</f>
        <v>1499.4</v>
      </c>
      <c r="I1690" s="6" t="n">
        <f aca="false">ROUND(INDEX(Archetypes!$F$2:$F$127, MATCH(D1690, Archetypes!$A$2:$A$127, 0))*INDEX(Unit_Grades!$B$2:$B$7, MATCH(F1690, Unit_Grades!$A$2:$A$7, 0))*INDEX(Unit_Paths!$C$2:$C$4, MATCH(E1690, Unit_Paths!$A$2:$A$4, 0)),1)</f>
        <v>1575</v>
      </c>
      <c r="J1690" s="6" t="n">
        <f aca="false">ROUND(INDEX(Archetypes!$G$2:$G$127, MATCH(D1690, Archetypes!$A$2:$A$127, 0))*INDEX(Unit_Grades!$B$2:$B$7, MATCH(F1690, Unit_Grades!$A$2:$A$7, 0))*INDEX(Unit_Paths!$D$2:$D$4, MATCH(E1690, Unit_Paths!$A$2:$A$4, 0)),0)</f>
        <v>8694</v>
      </c>
      <c r="K1690" s="6" t="n">
        <f aca="false">ROUND(INDEX(Archetypes!$H$2:$H$127, MATCH(D1690, Archetypes!$A$2:$A$127, 0))*INDEX(Unit_Paths!$E$2:$E$4, MATCH(E1690, Unit_Paths!$A$2:$A$4, 0)),1)</f>
        <v>40.5</v>
      </c>
      <c r="L1690" s="6" t="n">
        <f aca="false">ROUND(INDEX(Archetypes!$I$2:$I$127, MATCH(D1690, Archetypes!$A$2:$A$127, 0))*INDEX(Unit_Grades!$C$2:$C$7, MATCH(F1690, Unit_Grades!$A$2:$A$7, 0)),1)</f>
        <v>192</v>
      </c>
      <c r="M1690" s="6" t="n">
        <f aca="false">ROUND(INDEX(Archetypes!$J$2:$J$127, MATCH(D1690, Archetypes!$A$2:$A$127, 0))*INDEX(Unit_Grades!$D$2:$D$7, MATCH(F1690, Unit_Grades!$A$2:$A$7, 0)),1)</f>
        <v>121.8</v>
      </c>
      <c r="N1690" s="6" t="n">
        <f aca="false">ROUND(M1690/24,2)</f>
        <v>5.08</v>
      </c>
    </row>
    <row r="1691" customFormat="false" ht="15" hidden="false" customHeight="true" outlineLevel="0" collapsed="false">
      <c r="A1691" s="6" t="n">
        <v>6</v>
      </c>
      <c r="B1691" s="6" t="s">
        <v>3165</v>
      </c>
      <c r="C1691" s="6" t="s">
        <v>1465</v>
      </c>
      <c r="D1691" s="6" t="str">
        <f aca="false">A1691&amp;"|"&amp;C1691</f>
        <v>6|Dreadnought</v>
      </c>
      <c r="E1691" s="6" t="s">
        <v>1560</v>
      </c>
      <c r="F1691" s="6" t="s">
        <v>1544</v>
      </c>
      <c r="G1691" s="6" t="str">
        <f aca="false">INDEX(Archetypes!$D$2:$D$127, MATCH(D1691, Archetypes!$A$2:$A$127, 0))</f>
        <v>Capital</v>
      </c>
      <c r="H1691" s="6" t="n">
        <f aca="false">ROUND(INDEX(Archetypes!$E$2:$E$127, MATCH(D1691, Archetypes!$A$2:$A$127, 0))*INDEX(Unit_Grades!$B$2:$B$7, MATCH(F1691, Unit_Grades!$A$2:$A$7, 0))*INDEX(Unit_Paths!$B$2:$B$4, MATCH(E1691, Unit_Paths!$A$2:$A$4, 0)),1)</f>
        <v>1999.2</v>
      </c>
      <c r="I1691" s="6" t="n">
        <f aca="false">ROUND(INDEX(Archetypes!$F$2:$F$127, MATCH(D1691, Archetypes!$A$2:$A$127, 0))*INDEX(Unit_Grades!$B$2:$B$7, MATCH(F1691, Unit_Grades!$A$2:$A$7, 0))*INDEX(Unit_Paths!$C$2:$C$4, MATCH(E1691, Unit_Paths!$A$2:$A$4, 0)),1)</f>
        <v>2100</v>
      </c>
      <c r="J1691" s="6" t="n">
        <f aca="false">ROUND(INDEX(Archetypes!$G$2:$G$127, MATCH(D1691, Archetypes!$A$2:$A$127, 0))*INDEX(Unit_Grades!$B$2:$B$7, MATCH(F1691, Unit_Grades!$A$2:$A$7, 0))*INDEX(Unit_Paths!$D$2:$D$4, MATCH(E1691, Unit_Paths!$A$2:$A$4, 0)),0)</f>
        <v>11592</v>
      </c>
      <c r="K1691" s="6" t="n">
        <f aca="false">ROUND(INDEX(Archetypes!$H$2:$H$127, MATCH(D1691, Archetypes!$A$2:$A$127, 0))*INDEX(Unit_Paths!$E$2:$E$4, MATCH(E1691, Unit_Paths!$A$2:$A$4, 0)),1)</f>
        <v>40.5</v>
      </c>
      <c r="L1691" s="6" t="n">
        <f aca="false">ROUND(INDEX(Archetypes!$I$2:$I$127, MATCH(D1691, Archetypes!$A$2:$A$127, 0))*INDEX(Unit_Grades!$C$2:$C$7, MATCH(F1691, Unit_Grades!$A$2:$A$7, 0)),1)</f>
        <v>252</v>
      </c>
      <c r="M1691" s="6" t="n">
        <f aca="false">ROUND(INDEX(Archetypes!$J$2:$J$127, MATCH(D1691, Archetypes!$A$2:$A$127, 0))*INDEX(Unit_Grades!$D$2:$D$7, MATCH(F1691, Unit_Grades!$A$2:$A$7, 0)),1)</f>
        <v>194.8</v>
      </c>
      <c r="N1691" s="6" t="n">
        <f aca="false">ROUND(M1691/24,2)</f>
        <v>8.12</v>
      </c>
    </row>
    <row r="1692" customFormat="false" ht="15" hidden="false" customHeight="true" outlineLevel="0" collapsed="false">
      <c r="A1692" s="6" t="n">
        <v>6</v>
      </c>
      <c r="B1692" s="6" t="s">
        <v>3166</v>
      </c>
      <c r="C1692" s="6" t="s">
        <v>1465</v>
      </c>
      <c r="D1692" s="6" t="str">
        <f aca="false">A1692&amp;"|"&amp;C1692</f>
        <v>6|Dreadnought</v>
      </c>
      <c r="E1692" s="6" t="s">
        <v>1560</v>
      </c>
      <c r="F1692" s="6" t="s">
        <v>1546</v>
      </c>
      <c r="G1692" s="6" t="str">
        <f aca="false">INDEX(Archetypes!$D$2:$D$127, MATCH(D1692, Archetypes!$A$2:$A$127, 0))</f>
        <v>Capital</v>
      </c>
      <c r="H1692" s="6" t="n">
        <f aca="false">ROUND(INDEX(Archetypes!$E$2:$E$127, MATCH(D1692, Archetypes!$A$2:$A$127, 0))*INDEX(Unit_Grades!$B$2:$B$7, MATCH(F1692, Unit_Grades!$A$2:$A$7, 0))*INDEX(Unit_Paths!$B$2:$B$4, MATCH(E1692, Unit_Paths!$A$2:$A$4, 0)),1)</f>
        <v>2665.6</v>
      </c>
      <c r="I1692" s="6" t="n">
        <f aca="false">ROUND(INDEX(Archetypes!$F$2:$F$127, MATCH(D1692, Archetypes!$A$2:$A$127, 0))*INDEX(Unit_Grades!$B$2:$B$7, MATCH(F1692, Unit_Grades!$A$2:$A$7, 0))*INDEX(Unit_Paths!$C$2:$C$4, MATCH(E1692, Unit_Paths!$A$2:$A$4, 0)),1)</f>
        <v>2800</v>
      </c>
      <c r="J1692" s="6" t="n">
        <f aca="false">ROUND(INDEX(Archetypes!$G$2:$G$127, MATCH(D1692, Archetypes!$A$2:$A$127, 0))*INDEX(Unit_Grades!$B$2:$B$7, MATCH(F1692, Unit_Grades!$A$2:$A$7, 0))*INDEX(Unit_Paths!$D$2:$D$4, MATCH(E1692, Unit_Paths!$A$2:$A$4, 0)),0)</f>
        <v>15456</v>
      </c>
      <c r="K1692" s="6" t="n">
        <f aca="false">ROUND(INDEX(Archetypes!$H$2:$H$127, MATCH(D1692, Archetypes!$A$2:$A$127, 0))*INDEX(Unit_Paths!$E$2:$E$4, MATCH(E1692, Unit_Paths!$A$2:$A$4, 0)),1)</f>
        <v>40.5</v>
      </c>
      <c r="L1692" s="6" t="n">
        <f aca="false">ROUND(INDEX(Archetypes!$I$2:$I$127, MATCH(D1692, Archetypes!$A$2:$A$127, 0))*INDEX(Unit_Grades!$C$2:$C$7, MATCH(F1692, Unit_Grades!$A$2:$A$7, 0)),1)</f>
        <v>336</v>
      </c>
      <c r="M1692" s="6" t="n">
        <f aca="false">ROUND(INDEX(Archetypes!$J$2:$J$127, MATCH(D1692, Archetypes!$A$2:$A$127, 0))*INDEX(Unit_Grades!$D$2:$D$7, MATCH(F1692, Unit_Grades!$A$2:$A$7, 0)),1)</f>
        <v>340.9</v>
      </c>
      <c r="N1692" s="6" t="n">
        <f aca="false">ROUND(M1692/24,2)</f>
        <v>14.2</v>
      </c>
    </row>
    <row r="1693" customFormat="false" ht="15" hidden="false" customHeight="true" outlineLevel="0" collapsed="false">
      <c r="A1693" s="6" t="n">
        <v>6</v>
      </c>
      <c r="B1693" s="6" t="s">
        <v>3167</v>
      </c>
      <c r="C1693" s="6" t="s">
        <v>1465</v>
      </c>
      <c r="D1693" s="6" t="str">
        <f aca="false">A1693&amp;"|"&amp;C1693</f>
        <v>6|Dreadnought</v>
      </c>
      <c r="E1693" s="6" t="s">
        <v>1560</v>
      </c>
      <c r="F1693" s="6" t="s">
        <v>1548</v>
      </c>
      <c r="G1693" s="6" t="str">
        <f aca="false">INDEX(Archetypes!$D$2:$D$127, MATCH(D1693, Archetypes!$A$2:$A$127, 0))</f>
        <v>Capital</v>
      </c>
      <c r="H1693" s="6" t="n">
        <f aca="false">ROUND(INDEX(Archetypes!$E$2:$E$127, MATCH(D1693, Archetypes!$A$2:$A$127, 0))*INDEX(Unit_Grades!$B$2:$B$7, MATCH(F1693, Unit_Grades!$A$2:$A$7, 0))*INDEX(Unit_Paths!$B$2:$B$4, MATCH(E1693, Unit_Paths!$A$2:$A$4, 0)),1)</f>
        <v>3498.6</v>
      </c>
      <c r="I1693" s="6" t="n">
        <f aca="false">ROUND(INDEX(Archetypes!$F$2:$F$127, MATCH(D1693, Archetypes!$A$2:$A$127, 0))*INDEX(Unit_Grades!$B$2:$B$7, MATCH(F1693, Unit_Grades!$A$2:$A$7, 0))*INDEX(Unit_Paths!$C$2:$C$4, MATCH(E1693, Unit_Paths!$A$2:$A$4, 0)),1)</f>
        <v>3675</v>
      </c>
      <c r="J1693" s="6" t="n">
        <f aca="false">ROUND(INDEX(Archetypes!$G$2:$G$127, MATCH(D1693, Archetypes!$A$2:$A$127, 0))*INDEX(Unit_Grades!$B$2:$B$7, MATCH(F1693, Unit_Grades!$A$2:$A$7, 0))*INDEX(Unit_Paths!$D$2:$D$4, MATCH(E1693, Unit_Paths!$A$2:$A$4, 0)),0)</f>
        <v>20286</v>
      </c>
      <c r="K1693" s="6" t="n">
        <f aca="false">ROUND(INDEX(Archetypes!$H$2:$H$127, MATCH(D1693, Archetypes!$A$2:$A$127, 0))*INDEX(Unit_Paths!$E$2:$E$4, MATCH(E1693, Unit_Paths!$A$2:$A$4, 0)),1)</f>
        <v>40.5</v>
      </c>
      <c r="L1693" s="6" t="n">
        <f aca="false">ROUND(INDEX(Archetypes!$I$2:$I$127, MATCH(D1693, Archetypes!$A$2:$A$127, 0))*INDEX(Unit_Grades!$C$2:$C$7, MATCH(F1693, Unit_Grades!$A$2:$A$7, 0)),1)</f>
        <v>444</v>
      </c>
      <c r="M1693" s="6" t="n">
        <f aca="false">ROUND(INDEX(Archetypes!$J$2:$J$127, MATCH(D1693, Archetypes!$A$2:$A$127, 0))*INDEX(Unit_Grades!$D$2:$D$7, MATCH(F1693, Unit_Grades!$A$2:$A$7, 0)),1)</f>
        <v>584.4</v>
      </c>
      <c r="N1693" s="6" t="n">
        <f aca="false">ROUND(M1693/24,2)</f>
        <v>24.35</v>
      </c>
    </row>
    <row r="1694" customFormat="false" ht="15" hidden="false" customHeight="true" outlineLevel="0" collapsed="false">
      <c r="A1694" s="6" t="n">
        <v>6</v>
      </c>
      <c r="B1694" s="6" t="s">
        <v>1467</v>
      </c>
      <c r="C1694" s="6" t="s">
        <v>1467</v>
      </c>
      <c r="D1694" s="6" t="str">
        <f aca="false">A1694&amp;"|"&amp;C1694</f>
        <v>6|Titan</v>
      </c>
      <c r="E1694" s="6" t="s">
        <v>1556</v>
      </c>
      <c r="F1694" s="6" t="s">
        <v>1538</v>
      </c>
      <c r="G1694" s="6" t="str">
        <f aca="false">INDEX(Archetypes!$D$2:$D$127, MATCH(D1694, Archetypes!$A$2:$A$127, 0))</f>
        <v>Flagship</v>
      </c>
      <c r="H1694" s="6" t="n">
        <f aca="false">ROUND(INDEX(Archetypes!$E$2:$E$127, MATCH(D1694, Archetypes!$A$2:$A$127, 0))*INDEX(Unit_Grades!$B$2:$B$7, MATCH(F1694, Unit_Grades!$A$2:$A$7, 0))*INDEX(Unit_Paths!$B$2:$B$4, MATCH(E1694, Unit_Paths!$A$2:$A$4, 0)),1)</f>
        <v>1500</v>
      </c>
      <c r="I1694" s="6" t="n">
        <f aca="false">ROUND(INDEX(Archetypes!$F$2:$F$127, MATCH(D1694, Archetypes!$A$2:$A$127, 0))*INDEX(Unit_Grades!$B$2:$B$7, MATCH(F1694, Unit_Grades!$A$2:$A$7, 0))*INDEX(Unit_Paths!$C$2:$C$4, MATCH(E1694, Unit_Paths!$A$2:$A$4, 0)),1)</f>
        <v>1100</v>
      </c>
      <c r="J1694" s="6" t="n">
        <f aca="false">ROUND(INDEX(Archetypes!$G$2:$G$127, MATCH(D1694, Archetypes!$A$2:$A$127, 0))*INDEX(Unit_Grades!$B$2:$B$7, MATCH(F1694, Unit_Grades!$A$2:$A$7, 0))*INDEX(Unit_Paths!$D$2:$D$4, MATCH(E1694, Unit_Paths!$A$2:$A$4, 0)),0)</f>
        <v>8000</v>
      </c>
      <c r="K1694" s="6" t="n">
        <f aca="false">ROUND(INDEX(Archetypes!$H$2:$H$127, MATCH(D1694, Archetypes!$A$2:$A$127, 0))*INDEX(Unit_Paths!$E$2:$E$4, MATCH(E1694, Unit_Paths!$A$2:$A$4, 0)),1)</f>
        <v>40</v>
      </c>
      <c r="L1694" s="6" t="n">
        <f aca="false">ROUND(INDEX(Archetypes!$I$2:$I$127, MATCH(D1694, Archetypes!$A$2:$A$127, 0))*INDEX(Unit_Grades!$C$2:$C$7, MATCH(F1694, Unit_Grades!$A$2:$A$7, 0)),1)</f>
        <v>240</v>
      </c>
      <c r="M1694" s="6" t="n">
        <f aca="false">ROUND(INDEX(Archetypes!$J$2:$J$127, MATCH(D1694, Archetypes!$A$2:$A$127, 0))*INDEX(Unit_Grades!$D$2:$D$7, MATCH(F1694, Unit_Grades!$A$2:$A$7, 0)),1)</f>
        <v>97.4</v>
      </c>
      <c r="N1694" s="6" t="n">
        <f aca="false">ROUND(M1694/24,2)</f>
        <v>4.06</v>
      </c>
    </row>
    <row r="1695" customFormat="false" ht="15" hidden="false" customHeight="true" outlineLevel="0" collapsed="false">
      <c r="A1695" s="6" t="n">
        <v>6</v>
      </c>
      <c r="B1695" s="6" t="s">
        <v>3168</v>
      </c>
      <c r="C1695" s="6" t="s">
        <v>1467</v>
      </c>
      <c r="D1695" s="6" t="str">
        <f aca="false">A1695&amp;"|"&amp;C1695</f>
        <v>6|Titan</v>
      </c>
      <c r="E1695" s="6" t="s">
        <v>1556</v>
      </c>
      <c r="F1695" s="6" t="s">
        <v>1540</v>
      </c>
      <c r="G1695" s="6" t="str">
        <f aca="false">INDEX(Archetypes!$D$2:$D$127, MATCH(D1695, Archetypes!$A$2:$A$127, 0))</f>
        <v>Flagship</v>
      </c>
      <c r="H1695" s="6" t="n">
        <f aca="false">ROUND(INDEX(Archetypes!$E$2:$E$127, MATCH(D1695, Archetypes!$A$2:$A$127, 0))*INDEX(Unit_Grades!$B$2:$B$7, MATCH(F1695, Unit_Grades!$A$2:$A$7, 0))*INDEX(Unit_Paths!$B$2:$B$4, MATCH(E1695, Unit_Paths!$A$2:$A$4, 0)),1)</f>
        <v>2025</v>
      </c>
      <c r="I1695" s="6" t="n">
        <f aca="false">ROUND(INDEX(Archetypes!$F$2:$F$127, MATCH(D1695, Archetypes!$A$2:$A$127, 0))*INDEX(Unit_Grades!$B$2:$B$7, MATCH(F1695, Unit_Grades!$A$2:$A$7, 0))*INDEX(Unit_Paths!$C$2:$C$4, MATCH(E1695, Unit_Paths!$A$2:$A$4, 0)),1)</f>
        <v>1485</v>
      </c>
      <c r="J1695" s="6" t="n">
        <f aca="false">ROUND(INDEX(Archetypes!$G$2:$G$127, MATCH(D1695, Archetypes!$A$2:$A$127, 0))*INDEX(Unit_Grades!$B$2:$B$7, MATCH(F1695, Unit_Grades!$A$2:$A$7, 0))*INDEX(Unit_Paths!$D$2:$D$4, MATCH(E1695, Unit_Paths!$A$2:$A$4, 0)),0)</f>
        <v>10800</v>
      </c>
      <c r="K1695" s="6" t="n">
        <f aca="false">ROUND(INDEX(Archetypes!$H$2:$H$127, MATCH(D1695, Archetypes!$A$2:$A$127, 0))*INDEX(Unit_Paths!$E$2:$E$4, MATCH(E1695, Unit_Paths!$A$2:$A$4, 0)),1)</f>
        <v>40</v>
      </c>
      <c r="L1695" s="6" t="n">
        <f aca="false">ROUND(INDEX(Archetypes!$I$2:$I$127, MATCH(D1695, Archetypes!$A$2:$A$127, 0))*INDEX(Unit_Grades!$C$2:$C$7, MATCH(F1695, Unit_Grades!$A$2:$A$7, 0)),1)</f>
        <v>300</v>
      </c>
      <c r="M1695" s="6" t="n">
        <f aca="false">ROUND(INDEX(Archetypes!$J$2:$J$127, MATCH(D1695, Archetypes!$A$2:$A$127, 0))*INDEX(Unit_Grades!$D$2:$D$7, MATCH(F1695, Unit_Grades!$A$2:$A$7, 0)),1)</f>
        <v>146.1</v>
      </c>
      <c r="N1695" s="6" t="n">
        <f aca="false">ROUND(M1695/24,2)</f>
        <v>6.09</v>
      </c>
    </row>
    <row r="1696" customFormat="false" ht="15" hidden="false" customHeight="true" outlineLevel="0" collapsed="false">
      <c r="A1696" s="6" t="n">
        <v>6</v>
      </c>
      <c r="B1696" s="6" t="s">
        <v>3169</v>
      </c>
      <c r="C1696" s="6" t="s">
        <v>1467</v>
      </c>
      <c r="D1696" s="6" t="str">
        <f aca="false">A1696&amp;"|"&amp;C1696</f>
        <v>6|Titan</v>
      </c>
      <c r="E1696" s="6" t="s">
        <v>1556</v>
      </c>
      <c r="F1696" s="6" t="s">
        <v>1542</v>
      </c>
      <c r="G1696" s="6" t="str">
        <f aca="false">INDEX(Archetypes!$D$2:$D$127, MATCH(D1696, Archetypes!$A$2:$A$127, 0))</f>
        <v>Flagship</v>
      </c>
      <c r="H1696" s="6" t="n">
        <f aca="false">ROUND(INDEX(Archetypes!$E$2:$E$127, MATCH(D1696, Archetypes!$A$2:$A$127, 0))*INDEX(Unit_Grades!$B$2:$B$7, MATCH(F1696, Unit_Grades!$A$2:$A$7, 0))*INDEX(Unit_Paths!$B$2:$B$4, MATCH(E1696, Unit_Paths!$A$2:$A$4, 0)),1)</f>
        <v>2700</v>
      </c>
      <c r="I1696" s="6" t="n">
        <f aca="false">ROUND(INDEX(Archetypes!$F$2:$F$127, MATCH(D1696, Archetypes!$A$2:$A$127, 0))*INDEX(Unit_Grades!$B$2:$B$7, MATCH(F1696, Unit_Grades!$A$2:$A$7, 0))*INDEX(Unit_Paths!$C$2:$C$4, MATCH(E1696, Unit_Paths!$A$2:$A$4, 0)),1)</f>
        <v>1980</v>
      </c>
      <c r="J1696" s="6" t="n">
        <f aca="false">ROUND(INDEX(Archetypes!$G$2:$G$127, MATCH(D1696, Archetypes!$A$2:$A$127, 0))*INDEX(Unit_Grades!$B$2:$B$7, MATCH(F1696, Unit_Grades!$A$2:$A$7, 0))*INDEX(Unit_Paths!$D$2:$D$4, MATCH(E1696, Unit_Paths!$A$2:$A$4, 0)),0)</f>
        <v>14400</v>
      </c>
      <c r="K1696" s="6" t="n">
        <f aca="false">ROUND(INDEX(Archetypes!$H$2:$H$127, MATCH(D1696, Archetypes!$A$2:$A$127, 0))*INDEX(Unit_Paths!$E$2:$E$4, MATCH(E1696, Unit_Paths!$A$2:$A$4, 0)),1)</f>
        <v>40</v>
      </c>
      <c r="L1696" s="6" t="n">
        <f aca="false">ROUND(INDEX(Archetypes!$I$2:$I$127, MATCH(D1696, Archetypes!$A$2:$A$127, 0))*INDEX(Unit_Grades!$C$2:$C$7, MATCH(F1696, Unit_Grades!$A$2:$A$7, 0)),1)</f>
        <v>384</v>
      </c>
      <c r="M1696" s="6" t="n">
        <f aca="false">ROUND(INDEX(Archetypes!$J$2:$J$127, MATCH(D1696, Archetypes!$A$2:$A$127, 0))*INDEX(Unit_Grades!$D$2:$D$7, MATCH(F1696, Unit_Grades!$A$2:$A$7, 0)),1)</f>
        <v>243.5</v>
      </c>
      <c r="N1696" s="6" t="n">
        <f aca="false">ROUND(M1696/24,2)</f>
        <v>10.15</v>
      </c>
    </row>
    <row r="1697" customFormat="false" ht="15" hidden="false" customHeight="true" outlineLevel="0" collapsed="false">
      <c r="A1697" s="6" t="n">
        <v>6</v>
      </c>
      <c r="B1697" s="6" t="s">
        <v>3170</v>
      </c>
      <c r="C1697" s="6" t="s">
        <v>1467</v>
      </c>
      <c r="D1697" s="6" t="str">
        <f aca="false">A1697&amp;"|"&amp;C1697</f>
        <v>6|Titan</v>
      </c>
      <c r="E1697" s="6" t="s">
        <v>1556</v>
      </c>
      <c r="F1697" s="6" t="s">
        <v>1544</v>
      </c>
      <c r="G1697" s="6" t="str">
        <f aca="false">INDEX(Archetypes!$D$2:$D$127, MATCH(D1697, Archetypes!$A$2:$A$127, 0))</f>
        <v>Flagship</v>
      </c>
      <c r="H1697" s="6" t="n">
        <f aca="false">ROUND(INDEX(Archetypes!$E$2:$E$127, MATCH(D1697, Archetypes!$A$2:$A$127, 0))*INDEX(Unit_Grades!$B$2:$B$7, MATCH(F1697, Unit_Grades!$A$2:$A$7, 0))*INDEX(Unit_Paths!$B$2:$B$4, MATCH(E1697, Unit_Paths!$A$2:$A$4, 0)),1)</f>
        <v>3600</v>
      </c>
      <c r="I1697" s="6" t="n">
        <f aca="false">ROUND(INDEX(Archetypes!$F$2:$F$127, MATCH(D1697, Archetypes!$A$2:$A$127, 0))*INDEX(Unit_Grades!$B$2:$B$7, MATCH(F1697, Unit_Grades!$A$2:$A$7, 0))*INDEX(Unit_Paths!$C$2:$C$4, MATCH(E1697, Unit_Paths!$A$2:$A$4, 0)),1)</f>
        <v>2640</v>
      </c>
      <c r="J1697" s="6" t="n">
        <f aca="false">ROUND(INDEX(Archetypes!$G$2:$G$127, MATCH(D1697, Archetypes!$A$2:$A$127, 0))*INDEX(Unit_Grades!$B$2:$B$7, MATCH(F1697, Unit_Grades!$A$2:$A$7, 0))*INDEX(Unit_Paths!$D$2:$D$4, MATCH(E1697, Unit_Paths!$A$2:$A$4, 0)),0)</f>
        <v>19200</v>
      </c>
      <c r="K1697" s="6" t="n">
        <f aca="false">ROUND(INDEX(Archetypes!$H$2:$H$127, MATCH(D1697, Archetypes!$A$2:$A$127, 0))*INDEX(Unit_Paths!$E$2:$E$4, MATCH(E1697, Unit_Paths!$A$2:$A$4, 0)),1)</f>
        <v>40</v>
      </c>
      <c r="L1697" s="6" t="n">
        <f aca="false">ROUND(INDEX(Archetypes!$I$2:$I$127, MATCH(D1697, Archetypes!$A$2:$A$127, 0))*INDEX(Unit_Grades!$C$2:$C$7, MATCH(F1697, Unit_Grades!$A$2:$A$7, 0)),1)</f>
        <v>504</v>
      </c>
      <c r="M1697" s="6" t="n">
        <f aca="false">ROUND(INDEX(Archetypes!$J$2:$J$127, MATCH(D1697, Archetypes!$A$2:$A$127, 0))*INDEX(Unit_Grades!$D$2:$D$7, MATCH(F1697, Unit_Grades!$A$2:$A$7, 0)),1)</f>
        <v>389.6</v>
      </c>
      <c r="N1697" s="6" t="n">
        <f aca="false">ROUND(M1697/24,2)</f>
        <v>16.23</v>
      </c>
    </row>
    <row r="1698" customFormat="false" ht="15" hidden="false" customHeight="true" outlineLevel="0" collapsed="false">
      <c r="A1698" s="6" t="n">
        <v>6</v>
      </c>
      <c r="B1698" s="6" t="s">
        <v>3171</v>
      </c>
      <c r="C1698" s="6" t="s">
        <v>1467</v>
      </c>
      <c r="D1698" s="6" t="str">
        <f aca="false">A1698&amp;"|"&amp;C1698</f>
        <v>6|Titan</v>
      </c>
      <c r="E1698" s="6" t="s">
        <v>1556</v>
      </c>
      <c r="F1698" s="6" t="s">
        <v>1546</v>
      </c>
      <c r="G1698" s="6" t="str">
        <f aca="false">INDEX(Archetypes!$D$2:$D$127, MATCH(D1698, Archetypes!$A$2:$A$127, 0))</f>
        <v>Flagship</v>
      </c>
      <c r="H1698" s="6" t="n">
        <f aca="false">ROUND(INDEX(Archetypes!$E$2:$E$127, MATCH(D1698, Archetypes!$A$2:$A$127, 0))*INDEX(Unit_Grades!$B$2:$B$7, MATCH(F1698, Unit_Grades!$A$2:$A$7, 0))*INDEX(Unit_Paths!$B$2:$B$4, MATCH(E1698, Unit_Paths!$A$2:$A$4, 0)),1)</f>
        <v>4800</v>
      </c>
      <c r="I1698" s="6" t="n">
        <f aca="false">ROUND(INDEX(Archetypes!$F$2:$F$127, MATCH(D1698, Archetypes!$A$2:$A$127, 0))*INDEX(Unit_Grades!$B$2:$B$7, MATCH(F1698, Unit_Grades!$A$2:$A$7, 0))*INDEX(Unit_Paths!$C$2:$C$4, MATCH(E1698, Unit_Paths!$A$2:$A$4, 0)),1)</f>
        <v>3520</v>
      </c>
      <c r="J1698" s="6" t="n">
        <f aca="false">ROUND(INDEX(Archetypes!$G$2:$G$127, MATCH(D1698, Archetypes!$A$2:$A$127, 0))*INDEX(Unit_Grades!$B$2:$B$7, MATCH(F1698, Unit_Grades!$A$2:$A$7, 0))*INDEX(Unit_Paths!$D$2:$D$4, MATCH(E1698, Unit_Paths!$A$2:$A$4, 0)),0)</f>
        <v>25600</v>
      </c>
      <c r="K1698" s="6" t="n">
        <f aca="false">ROUND(INDEX(Archetypes!$H$2:$H$127, MATCH(D1698, Archetypes!$A$2:$A$127, 0))*INDEX(Unit_Paths!$E$2:$E$4, MATCH(E1698, Unit_Paths!$A$2:$A$4, 0)),1)</f>
        <v>40</v>
      </c>
      <c r="L1698" s="6" t="n">
        <f aca="false">ROUND(INDEX(Archetypes!$I$2:$I$127, MATCH(D1698, Archetypes!$A$2:$A$127, 0))*INDEX(Unit_Grades!$C$2:$C$7, MATCH(F1698, Unit_Grades!$A$2:$A$7, 0)),1)</f>
        <v>672</v>
      </c>
      <c r="M1698" s="6" t="n">
        <f aca="false">ROUND(INDEX(Archetypes!$J$2:$J$127, MATCH(D1698, Archetypes!$A$2:$A$127, 0))*INDEX(Unit_Grades!$D$2:$D$7, MATCH(F1698, Unit_Grades!$A$2:$A$7, 0)),1)</f>
        <v>681.8</v>
      </c>
      <c r="N1698" s="6" t="n">
        <f aca="false">ROUND(M1698/24,2)</f>
        <v>28.41</v>
      </c>
    </row>
    <row r="1699" customFormat="false" ht="15" hidden="false" customHeight="true" outlineLevel="0" collapsed="false">
      <c r="A1699" s="6" t="n">
        <v>6</v>
      </c>
      <c r="B1699" s="6" t="s">
        <v>3172</v>
      </c>
      <c r="C1699" s="6" t="s">
        <v>1467</v>
      </c>
      <c r="D1699" s="6" t="str">
        <f aca="false">A1699&amp;"|"&amp;C1699</f>
        <v>6|Titan</v>
      </c>
      <c r="E1699" s="6" t="s">
        <v>1556</v>
      </c>
      <c r="F1699" s="6" t="s">
        <v>1548</v>
      </c>
      <c r="G1699" s="6" t="str">
        <f aca="false">INDEX(Archetypes!$D$2:$D$127, MATCH(D1699, Archetypes!$A$2:$A$127, 0))</f>
        <v>Flagship</v>
      </c>
      <c r="H1699" s="6" t="n">
        <f aca="false">ROUND(INDEX(Archetypes!$E$2:$E$127, MATCH(D1699, Archetypes!$A$2:$A$127, 0))*INDEX(Unit_Grades!$B$2:$B$7, MATCH(F1699, Unit_Grades!$A$2:$A$7, 0))*INDEX(Unit_Paths!$B$2:$B$4, MATCH(E1699, Unit_Paths!$A$2:$A$4, 0)),1)</f>
        <v>6300</v>
      </c>
      <c r="I1699" s="6" t="n">
        <f aca="false">ROUND(INDEX(Archetypes!$F$2:$F$127, MATCH(D1699, Archetypes!$A$2:$A$127, 0))*INDEX(Unit_Grades!$B$2:$B$7, MATCH(F1699, Unit_Grades!$A$2:$A$7, 0))*INDEX(Unit_Paths!$C$2:$C$4, MATCH(E1699, Unit_Paths!$A$2:$A$4, 0)),1)</f>
        <v>4620</v>
      </c>
      <c r="J1699" s="6" t="n">
        <f aca="false">ROUND(INDEX(Archetypes!$G$2:$G$127, MATCH(D1699, Archetypes!$A$2:$A$127, 0))*INDEX(Unit_Grades!$B$2:$B$7, MATCH(F1699, Unit_Grades!$A$2:$A$7, 0))*INDEX(Unit_Paths!$D$2:$D$4, MATCH(E1699, Unit_Paths!$A$2:$A$4, 0)),0)</f>
        <v>33600</v>
      </c>
      <c r="K1699" s="6" t="n">
        <f aca="false">ROUND(INDEX(Archetypes!$H$2:$H$127, MATCH(D1699, Archetypes!$A$2:$A$127, 0))*INDEX(Unit_Paths!$E$2:$E$4, MATCH(E1699, Unit_Paths!$A$2:$A$4, 0)),1)</f>
        <v>40</v>
      </c>
      <c r="L1699" s="6" t="n">
        <f aca="false">ROUND(INDEX(Archetypes!$I$2:$I$127, MATCH(D1699, Archetypes!$A$2:$A$127, 0))*INDEX(Unit_Grades!$C$2:$C$7, MATCH(F1699, Unit_Grades!$A$2:$A$7, 0)),1)</f>
        <v>888</v>
      </c>
      <c r="M1699" s="6" t="n">
        <f aca="false">ROUND(INDEX(Archetypes!$J$2:$J$127, MATCH(D1699, Archetypes!$A$2:$A$127, 0))*INDEX(Unit_Grades!$D$2:$D$7, MATCH(F1699, Unit_Grades!$A$2:$A$7, 0)),1)</f>
        <v>1168.8</v>
      </c>
      <c r="N1699" s="6" t="n">
        <f aca="false">ROUND(M1699/24,2)</f>
        <v>48.7</v>
      </c>
    </row>
    <row r="1700" customFormat="false" ht="15" hidden="false" customHeight="true" outlineLevel="0" collapsed="false">
      <c r="A1700" s="6" t="n">
        <v>6</v>
      </c>
      <c r="B1700" s="6" t="s">
        <v>3173</v>
      </c>
      <c r="C1700" s="6" t="s">
        <v>1467</v>
      </c>
      <c r="D1700" s="6" t="str">
        <f aca="false">A1700&amp;"|"&amp;C1700</f>
        <v>6|Titan</v>
      </c>
      <c r="E1700" s="6" t="s">
        <v>1558</v>
      </c>
      <c r="F1700" s="6" t="s">
        <v>1538</v>
      </c>
      <c r="G1700" s="6" t="str">
        <f aca="false">INDEX(Archetypes!$D$2:$D$127, MATCH(D1700, Archetypes!$A$2:$A$127, 0))</f>
        <v>Flagship</v>
      </c>
      <c r="H1700" s="6" t="n">
        <f aca="false">ROUND(INDEX(Archetypes!$E$2:$E$127, MATCH(D1700, Archetypes!$A$2:$A$127, 0))*INDEX(Unit_Grades!$B$2:$B$7, MATCH(F1700, Unit_Grades!$A$2:$A$7, 0))*INDEX(Unit_Paths!$B$2:$B$4, MATCH(E1700, Unit_Paths!$A$2:$A$4, 0)),1)</f>
        <v>1800</v>
      </c>
      <c r="I1700" s="6" t="n">
        <f aca="false">ROUND(INDEX(Archetypes!$F$2:$F$127, MATCH(D1700, Archetypes!$A$2:$A$127, 0))*INDEX(Unit_Grades!$B$2:$B$7, MATCH(F1700, Unit_Grades!$A$2:$A$7, 0))*INDEX(Unit_Paths!$C$2:$C$4, MATCH(E1700, Unit_Paths!$A$2:$A$4, 0)),1)</f>
        <v>935</v>
      </c>
      <c r="J1700" s="6" t="n">
        <f aca="false">ROUND(INDEX(Archetypes!$G$2:$G$127, MATCH(D1700, Archetypes!$A$2:$A$127, 0))*INDEX(Unit_Grades!$B$2:$B$7, MATCH(F1700, Unit_Grades!$A$2:$A$7, 0))*INDEX(Unit_Paths!$D$2:$D$4, MATCH(E1700, Unit_Paths!$A$2:$A$4, 0)),0)</f>
        <v>7600</v>
      </c>
      <c r="K1700" s="6" t="n">
        <f aca="false">ROUND(INDEX(Archetypes!$H$2:$H$127, MATCH(D1700, Archetypes!$A$2:$A$127, 0))*INDEX(Unit_Paths!$E$2:$E$4, MATCH(E1700, Unit_Paths!$A$2:$A$4, 0)),1)</f>
        <v>42</v>
      </c>
      <c r="L1700" s="6" t="n">
        <f aca="false">ROUND(INDEX(Archetypes!$I$2:$I$127, MATCH(D1700, Archetypes!$A$2:$A$127, 0))*INDEX(Unit_Grades!$C$2:$C$7, MATCH(F1700, Unit_Grades!$A$2:$A$7, 0)),1)</f>
        <v>240</v>
      </c>
      <c r="M1700" s="6" t="n">
        <f aca="false">ROUND(INDEX(Archetypes!$J$2:$J$127, MATCH(D1700, Archetypes!$A$2:$A$127, 0))*INDEX(Unit_Grades!$D$2:$D$7, MATCH(F1700, Unit_Grades!$A$2:$A$7, 0)),1)</f>
        <v>97.4</v>
      </c>
      <c r="N1700" s="6" t="n">
        <f aca="false">ROUND(M1700/24,2)</f>
        <v>4.06</v>
      </c>
    </row>
    <row r="1701" customFormat="false" ht="15" hidden="false" customHeight="true" outlineLevel="0" collapsed="false">
      <c r="A1701" s="6" t="n">
        <v>6</v>
      </c>
      <c r="B1701" s="6" t="s">
        <v>3174</v>
      </c>
      <c r="C1701" s="6" t="s">
        <v>1467</v>
      </c>
      <c r="D1701" s="6" t="str">
        <f aca="false">A1701&amp;"|"&amp;C1701</f>
        <v>6|Titan</v>
      </c>
      <c r="E1701" s="6" t="s">
        <v>1558</v>
      </c>
      <c r="F1701" s="6" t="s">
        <v>1540</v>
      </c>
      <c r="G1701" s="6" t="str">
        <f aca="false">INDEX(Archetypes!$D$2:$D$127, MATCH(D1701, Archetypes!$A$2:$A$127, 0))</f>
        <v>Flagship</v>
      </c>
      <c r="H1701" s="6" t="n">
        <f aca="false">ROUND(INDEX(Archetypes!$E$2:$E$127, MATCH(D1701, Archetypes!$A$2:$A$127, 0))*INDEX(Unit_Grades!$B$2:$B$7, MATCH(F1701, Unit_Grades!$A$2:$A$7, 0))*INDEX(Unit_Paths!$B$2:$B$4, MATCH(E1701, Unit_Paths!$A$2:$A$4, 0)),1)</f>
        <v>2430</v>
      </c>
      <c r="I1701" s="6" t="n">
        <f aca="false">ROUND(INDEX(Archetypes!$F$2:$F$127, MATCH(D1701, Archetypes!$A$2:$A$127, 0))*INDEX(Unit_Grades!$B$2:$B$7, MATCH(F1701, Unit_Grades!$A$2:$A$7, 0))*INDEX(Unit_Paths!$C$2:$C$4, MATCH(E1701, Unit_Paths!$A$2:$A$4, 0)),1)</f>
        <v>1262.3</v>
      </c>
      <c r="J1701" s="6" t="n">
        <f aca="false">ROUND(INDEX(Archetypes!$G$2:$G$127, MATCH(D1701, Archetypes!$A$2:$A$127, 0))*INDEX(Unit_Grades!$B$2:$B$7, MATCH(F1701, Unit_Grades!$A$2:$A$7, 0))*INDEX(Unit_Paths!$D$2:$D$4, MATCH(E1701, Unit_Paths!$A$2:$A$4, 0)),0)</f>
        <v>10260</v>
      </c>
      <c r="K1701" s="6" t="n">
        <f aca="false">ROUND(INDEX(Archetypes!$H$2:$H$127, MATCH(D1701, Archetypes!$A$2:$A$127, 0))*INDEX(Unit_Paths!$E$2:$E$4, MATCH(E1701, Unit_Paths!$A$2:$A$4, 0)),1)</f>
        <v>42</v>
      </c>
      <c r="L1701" s="6" t="n">
        <f aca="false">ROUND(INDEX(Archetypes!$I$2:$I$127, MATCH(D1701, Archetypes!$A$2:$A$127, 0))*INDEX(Unit_Grades!$C$2:$C$7, MATCH(F1701, Unit_Grades!$A$2:$A$7, 0)),1)</f>
        <v>300</v>
      </c>
      <c r="M1701" s="6" t="n">
        <f aca="false">ROUND(INDEX(Archetypes!$J$2:$J$127, MATCH(D1701, Archetypes!$A$2:$A$127, 0))*INDEX(Unit_Grades!$D$2:$D$7, MATCH(F1701, Unit_Grades!$A$2:$A$7, 0)),1)</f>
        <v>146.1</v>
      </c>
      <c r="N1701" s="6" t="n">
        <f aca="false">ROUND(M1701/24,2)</f>
        <v>6.09</v>
      </c>
    </row>
    <row r="1702" customFormat="false" ht="15" hidden="false" customHeight="true" outlineLevel="0" collapsed="false">
      <c r="A1702" s="6" t="n">
        <v>6</v>
      </c>
      <c r="B1702" s="6" t="s">
        <v>3175</v>
      </c>
      <c r="C1702" s="6" t="s">
        <v>1467</v>
      </c>
      <c r="D1702" s="6" t="str">
        <f aca="false">A1702&amp;"|"&amp;C1702</f>
        <v>6|Titan</v>
      </c>
      <c r="E1702" s="6" t="s">
        <v>1558</v>
      </c>
      <c r="F1702" s="6" t="s">
        <v>1542</v>
      </c>
      <c r="G1702" s="6" t="str">
        <f aca="false">INDEX(Archetypes!$D$2:$D$127, MATCH(D1702, Archetypes!$A$2:$A$127, 0))</f>
        <v>Flagship</v>
      </c>
      <c r="H1702" s="6" t="n">
        <f aca="false">ROUND(INDEX(Archetypes!$E$2:$E$127, MATCH(D1702, Archetypes!$A$2:$A$127, 0))*INDEX(Unit_Grades!$B$2:$B$7, MATCH(F1702, Unit_Grades!$A$2:$A$7, 0))*INDEX(Unit_Paths!$B$2:$B$4, MATCH(E1702, Unit_Paths!$A$2:$A$4, 0)),1)</f>
        <v>3240</v>
      </c>
      <c r="I1702" s="6" t="n">
        <f aca="false">ROUND(INDEX(Archetypes!$F$2:$F$127, MATCH(D1702, Archetypes!$A$2:$A$127, 0))*INDEX(Unit_Grades!$B$2:$B$7, MATCH(F1702, Unit_Grades!$A$2:$A$7, 0))*INDEX(Unit_Paths!$C$2:$C$4, MATCH(E1702, Unit_Paths!$A$2:$A$4, 0)),1)</f>
        <v>1683</v>
      </c>
      <c r="J1702" s="6" t="n">
        <f aca="false">ROUND(INDEX(Archetypes!$G$2:$G$127, MATCH(D1702, Archetypes!$A$2:$A$127, 0))*INDEX(Unit_Grades!$B$2:$B$7, MATCH(F1702, Unit_Grades!$A$2:$A$7, 0))*INDEX(Unit_Paths!$D$2:$D$4, MATCH(E1702, Unit_Paths!$A$2:$A$4, 0)),0)</f>
        <v>13680</v>
      </c>
      <c r="K1702" s="6" t="n">
        <f aca="false">ROUND(INDEX(Archetypes!$H$2:$H$127, MATCH(D1702, Archetypes!$A$2:$A$127, 0))*INDEX(Unit_Paths!$E$2:$E$4, MATCH(E1702, Unit_Paths!$A$2:$A$4, 0)),1)</f>
        <v>42</v>
      </c>
      <c r="L1702" s="6" t="n">
        <f aca="false">ROUND(INDEX(Archetypes!$I$2:$I$127, MATCH(D1702, Archetypes!$A$2:$A$127, 0))*INDEX(Unit_Grades!$C$2:$C$7, MATCH(F1702, Unit_Grades!$A$2:$A$7, 0)),1)</f>
        <v>384</v>
      </c>
      <c r="M1702" s="6" t="n">
        <f aca="false">ROUND(INDEX(Archetypes!$J$2:$J$127, MATCH(D1702, Archetypes!$A$2:$A$127, 0))*INDEX(Unit_Grades!$D$2:$D$7, MATCH(F1702, Unit_Grades!$A$2:$A$7, 0)),1)</f>
        <v>243.5</v>
      </c>
      <c r="N1702" s="6" t="n">
        <f aca="false">ROUND(M1702/24,2)</f>
        <v>10.15</v>
      </c>
    </row>
    <row r="1703" customFormat="false" ht="15" hidden="false" customHeight="true" outlineLevel="0" collapsed="false">
      <c r="A1703" s="6" t="n">
        <v>6</v>
      </c>
      <c r="B1703" s="6" t="s">
        <v>3176</v>
      </c>
      <c r="C1703" s="6" t="s">
        <v>1467</v>
      </c>
      <c r="D1703" s="6" t="str">
        <f aca="false">A1703&amp;"|"&amp;C1703</f>
        <v>6|Titan</v>
      </c>
      <c r="E1703" s="6" t="s">
        <v>1558</v>
      </c>
      <c r="F1703" s="6" t="s">
        <v>1544</v>
      </c>
      <c r="G1703" s="6" t="str">
        <f aca="false">INDEX(Archetypes!$D$2:$D$127, MATCH(D1703, Archetypes!$A$2:$A$127, 0))</f>
        <v>Flagship</v>
      </c>
      <c r="H1703" s="6" t="n">
        <f aca="false">ROUND(INDEX(Archetypes!$E$2:$E$127, MATCH(D1703, Archetypes!$A$2:$A$127, 0))*INDEX(Unit_Grades!$B$2:$B$7, MATCH(F1703, Unit_Grades!$A$2:$A$7, 0))*INDEX(Unit_Paths!$B$2:$B$4, MATCH(E1703, Unit_Paths!$A$2:$A$4, 0)),1)</f>
        <v>4320</v>
      </c>
      <c r="I1703" s="6" t="n">
        <f aca="false">ROUND(INDEX(Archetypes!$F$2:$F$127, MATCH(D1703, Archetypes!$A$2:$A$127, 0))*INDEX(Unit_Grades!$B$2:$B$7, MATCH(F1703, Unit_Grades!$A$2:$A$7, 0))*INDEX(Unit_Paths!$C$2:$C$4, MATCH(E1703, Unit_Paths!$A$2:$A$4, 0)),1)</f>
        <v>2244</v>
      </c>
      <c r="J1703" s="6" t="n">
        <f aca="false">ROUND(INDEX(Archetypes!$G$2:$G$127, MATCH(D1703, Archetypes!$A$2:$A$127, 0))*INDEX(Unit_Grades!$B$2:$B$7, MATCH(F1703, Unit_Grades!$A$2:$A$7, 0))*INDEX(Unit_Paths!$D$2:$D$4, MATCH(E1703, Unit_Paths!$A$2:$A$4, 0)),0)</f>
        <v>18240</v>
      </c>
      <c r="K1703" s="6" t="n">
        <f aca="false">ROUND(INDEX(Archetypes!$H$2:$H$127, MATCH(D1703, Archetypes!$A$2:$A$127, 0))*INDEX(Unit_Paths!$E$2:$E$4, MATCH(E1703, Unit_Paths!$A$2:$A$4, 0)),1)</f>
        <v>42</v>
      </c>
      <c r="L1703" s="6" t="n">
        <f aca="false">ROUND(INDEX(Archetypes!$I$2:$I$127, MATCH(D1703, Archetypes!$A$2:$A$127, 0))*INDEX(Unit_Grades!$C$2:$C$7, MATCH(F1703, Unit_Grades!$A$2:$A$7, 0)),1)</f>
        <v>504</v>
      </c>
      <c r="M1703" s="6" t="n">
        <f aca="false">ROUND(INDEX(Archetypes!$J$2:$J$127, MATCH(D1703, Archetypes!$A$2:$A$127, 0))*INDEX(Unit_Grades!$D$2:$D$7, MATCH(F1703, Unit_Grades!$A$2:$A$7, 0)),1)</f>
        <v>389.6</v>
      </c>
      <c r="N1703" s="6" t="n">
        <f aca="false">ROUND(M1703/24,2)</f>
        <v>16.23</v>
      </c>
    </row>
    <row r="1704" customFormat="false" ht="15" hidden="false" customHeight="true" outlineLevel="0" collapsed="false">
      <c r="A1704" s="6" t="n">
        <v>6</v>
      </c>
      <c r="B1704" s="6" t="s">
        <v>3177</v>
      </c>
      <c r="C1704" s="6" t="s">
        <v>1467</v>
      </c>
      <c r="D1704" s="6" t="str">
        <f aca="false">A1704&amp;"|"&amp;C1704</f>
        <v>6|Titan</v>
      </c>
      <c r="E1704" s="6" t="s">
        <v>1558</v>
      </c>
      <c r="F1704" s="6" t="s">
        <v>1546</v>
      </c>
      <c r="G1704" s="6" t="str">
        <f aca="false">INDEX(Archetypes!$D$2:$D$127, MATCH(D1704, Archetypes!$A$2:$A$127, 0))</f>
        <v>Flagship</v>
      </c>
      <c r="H1704" s="6" t="n">
        <f aca="false">ROUND(INDEX(Archetypes!$E$2:$E$127, MATCH(D1704, Archetypes!$A$2:$A$127, 0))*INDEX(Unit_Grades!$B$2:$B$7, MATCH(F1704, Unit_Grades!$A$2:$A$7, 0))*INDEX(Unit_Paths!$B$2:$B$4, MATCH(E1704, Unit_Paths!$A$2:$A$4, 0)),1)</f>
        <v>5760</v>
      </c>
      <c r="I1704" s="6" t="n">
        <f aca="false">ROUND(INDEX(Archetypes!$F$2:$F$127, MATCH(D1704, Archetypes!$A$2:$A$127, 0))*INDEX(Unit_Grades!$B$2:$B$7, MATCH(F1704, Unit_Grades!$A$2:$A$7, 0))*INDEX(Unit_Paths!$C$2:$C$4, MATCH(E1704, Unit_Paths!$A$2:$A$4, 0)),1)</f>
        <v>2992</v>
      </c>
      <c r="J1704" s="6" t="n">
        <f aca="false">ROUND(INDEX(Archetypes!$G$2:$G$127, MATCH(D1704, Archetypes!$A$2:$A$127, 0))*INDEX(Unit_Grades!$B$2:$B$7, MATCH(F1704, Unit_Grades!$A$2:$A$7, 0))*INDEX(Unit_Paths!$D$2:$D$4, MATCH(E1704, Unit_Paths!$A$2:$A$4, 0)),0)</f>
        <v>24320</v>
      </c>
      <c r="K1704" s="6" t="n">
        <f aca="false">ROUND(INDEX(Archetypes!$H$2:$H$127, MATCH(D1704, Archetypes!$A$2:$A$127, 0))*INDEX(Unit_Paths!$E$2:$E$4, MATCH(E1704, Unit_Paths!$A$2:$A$4, 0)),1)</f>
        <v>42</v>
      </c>
      <c r="L1704" s="6" t="n">
        <f aca="false">ROUND(INDEX(Archetypes!$I$2:$I$127, MATCH(D1704, Archetypes!$A$2:$A$127, 0))*INDEX(Unit_Grades!$C$2:$C$7, MATCH(F1704, Unit_Grades!$A$2:$A$7, 0)),1)</f>
        <v>672</v>
      </c>
      <c r="M1704" s="6" t="n">
        <f aca="false">ROUND(INDEX(Archetypes!$J$2:$J$127, MATCH(D1704, Archetypes!$A$2:$A$127, 0))*INDEX(Unit_Grades!$D$2:$D$7, MATCH(F1704, Unit_Grades!$A$2:$A$7, 0)),1)</f>
        <v>681.8</v>
      </c>
      <c r="N1704" s="6" t="n">
        <f aca="false">ROUND(M1704/24,2)</f>
        <v>28.41</v>
      </c>
    </row>
    <row r="1705" customFormat="false" ht="15" hidden="false" customHeight="true" outlineLevel="0" collapsed="false">
      <c r="A1705" s="6" t="n">
        <v>6</v>
      </c>
      <c r="B1705" s="6" t="s">
        <v>3178</v>
      </c>
      <c r="C1705" s="6" t="s">
        <v>1467</v>
      </c>
      <c r="D1705" s="6" t="str">
        <f aca="false">A1705&amp;"|"&amp;C1705</f>
        <v>6|Titan</v>
      </c>
      <c r="E1705" s="6" t="s">
        <v>1558</v>
      </c>
      <c r="F1705" s="6" t="s">
        <v>1548</v>
      </c>
      <c r="G1705" s="6" t="str">
        <f aca="false">INDEX(Archetypes!$D$2:$D$127, MATCH(D1705, Archetypes!$A$2:$A$127, 0))</f>
        <v>Flagship</v>
      </c>
      <c r="H1705" s="6" t="n">
        <f aca="false">ROUND(INDEX(Archetypes!$E$2:$E$127, MATCH(D1705, Archetypes!$A$2:$A$127, 0))*INDEX(Unit_Grades!$B$2:$B$7, MATCH(F1705, Unit_Grades!$A$2:$A$7, 0))*INDEX(Unit_Paths!$B$2:$B$4, MATCH(E1705, Unit_Paths!$A$2:$A$4, 0)),1)</f>
        <v>7560</v>
      </c>
      <c r="I1705" s="6" t="n">
        <f aca="false">ROUND(INDEX(Archetypes!$F$2:$F$127, MATCH(D1705, Archetypes!$A$2:$A$127, 0))*INDEX(Unit_Grades!$B$2:$B$7, MATCH(F1705, Unit_Grades!$A$2:$A$7, 0))*INDEX(Unit_Paths!$C$2:$C$4, MATCH(E1705, Unit_Paths!$A$2:$A$4, 0)),1)</f>
        <v>3927</v>
      </c>
      <c r="J1705" s="6" t="n">
        <f aca="false">ROUND(INDEX(Archetypes!$G$2:$G$127, MATCH(D1705, Archetypes!$A$2:$A$127, 0))*INDEX(Unit_Grades!$B$2:$B$7, MATCH(F1705, Unit_Grades!$A$2:$A$7, 0))*INDEX(Unit_Paths!$D$2:$D$4, MATCH(E1705, Unit_Paths!$A$2:$A$4, 0)),0)</f>
        <v>31920</v>
      </c>
      <c r="K1705" s="6" t="n">
        <f aca="false">ROUND(INDEX(Archetypes!$H$2:$H$127, MATCH(D1705, Archetypes!$A$2:$A$127, 0))*INDEX(Unit_Paths!$E$2:$E$4, MATCH(E1705, Unit_Paths!$A$2:$A$4, 0)),1)</f>
        <v>42</v>
      </c>
      <c r="L1705" s="6" t="n">
        <f aca="false">ROUND(INDEX(Archetypes!$I$2:$I$127, MATCH(D1705, Archetypes!$A$2:$A$127, 0))*INDEX(Unit_Grades!$C$2:$C$7, MATCH(F1705, Unit_Grades!$A$2:$A$7, 0)),1)</f>
        <v>888</v>
      </c>
      <c r="M1705" s="6" t="n">
        <f aca="false">ROUND(INDEX(Archetypes!$J$2:$J$127, MATCH(D1705, Archetypes!$A$2:$A$127, 0))*INDEX(Unit_Grades!$D$2:$D$7, MATCH(F1705, Unit_Grades!$A$2:$A$7, 0)),1)</f>
        <v>1168.8</v>
      </c>
      <c r="N1705" s="6" t="n">
        <f aca="false">ROUND(M1705/24,2)</f>
        <v>48.7</v>
      </c>
    </row>
    <row r="1706" customFormat="false" ht="15" hidden="false" customHeight="true" outlineLevel="0" collapsed="false">
      <c r="A1706" s="6" t="n">
        <v>6</v>
      </c>
      <c r="B1706" s="6" t="s">
        <v>3179</v>
      </c>
      <c r="C1706" s="6" t="s">
        <v>1467</v>
      </c>
      <c r="D1706" s="6" t="str">
        <f aca="false">A1706&amp;"|"&amp;C1706</f>
        <v>6|Titan</v>
      </c>
      <c r="E1706" s="6" t="s">
        <v>1560</v>
      </c>
      <c r="F1706" s="6" t="s">
        <v>1538</v>
      </c>
      <c r="G1706" s="6" t="str">
        <f aca="false">INDEX(Archetypes!$D$2:$D$127, MATCH(D1706, Archetypes!$A$2:$A$127, 0))</f>
        <v>Flagship</v>
      </c>
      <c r="H1706" s="6" t="n">
        <f aca="false">ROUND(INDEX(Archetypes!$E$2:$E$127, MATCH(D1706, Archetypes!$A$2:$A$127, 0))*INDEX(Unit_Grades!$B$2:$B$7, MATCH(F1706, Unit_Grades!$A$2:$A$7, 0))*INDEX(Unit_Paths!$B$2:$B$4, MATCH(E1706, Unit_Paths!$A$2:$A$4, 0)),1)</f>
        <v>1275</v>
      </c>
      <c r="I1706" s="6" t="n">
        <f aca="false">ROUND(INDEX(Archetypes!$F$2:$F$127, MATCH(D1706, Archetypes!$A$2:$A$127, 0))*INDEX(Unit_Grades!$B$2:$B$7, MATCH(F1706, Unit_Grades!$A$2:$A$7, 0))*INDEX(Unit_Paths!$C$2:$C$4, MATCH(E1706, Unit_Paths!$A$2:$A$4, 0)),1)</f>
        <v>1375</v>
      </c>
      <c r="J1706" s="6" t="n">
        <f aca="false">ROUND(INDEX(Archetypes!$G$2:$G$127, MATCH(D1706, Archetypes!$A$2:$A$127, 0))*INDEX(Unit_Grades!$B$2:$B$7, MATCH(F1706, Unit_Grades!$A$2:$A$7, 0))*INDEX(Unit_Paths!$D$2:$D$4, MATCH(E1706, Unit_Paths!$A$2:$A$4, 0)),0)</f>
        <v>9200</v>
      </c>
      <c r="K1706" s="6" t="n">
        <f aca="false">ROUND(INDEX(Archetypes!$H$2:$H$127, MATCH(D1706, Archetypes!$A$2:$A$127, 0))*INDEX(Unit_Paths!$E$2:$E$4, MATCH(E1706, Unit_Paths!$A$2:$A$4, 0)),1)</f>
        <v>36.8</v>
      </c>
      <c r="L1706" s="6" t="n">
        <f aca="false">ROUND(INDEX(Archetypes!$I$2:$I$127, MATCH(D1706, Archetypes!$A$2:$A$127, 0))*INDEX(Unit_Grades!$C$2:$C$7, MATCH(F1706, Unit_Grades!$A$2:$A$7, 0)),1)</f>
        <v>240</v>
      </c>
      <c r="M1706" s="6" t="n">
        <f aca="false">ROUND(INDEX(Archetypes!$J$2:$J$127, MATCH(D1706, Archetypes!$A$2:$A$127, 0))*INDEX(Unit_Grades!$D$2:$D$7, MATCH(F1706, Unit_Grades!$A$2:$A$7, 0)),1)</f>
        <v>97.4</v>
      </c>
      <c r="N1706" s="6" t="n">
        <f aca="false">ROUND(M1706/24,2)</f>
        <v>4.06</v>
      </c>
    </row>
    <row r="1707" customFormat="false" ht="15" hidden="false" customHeight="true" outlineLevel="0" collapsed="false">
      <c r="A1707" s="6" t="n">
        <v>6</v>
      </c>
      <c r="B1707" s="6" t="s">
        <v>3180</v>
      </c>
      <c r="C1707" s="6" t="s">
        <v>1467</v>
      </c>
      <c r="D1707" s="6" t="str">
        <f aca="false">A1707&amp;"|"&amp;C1707</f>
        <v>6|Titan</v>
      </c>
      <c r="E1707" s="6" t="s">
        <v>1560</v>
      </c>
      <c r="F1707" s="6" t="s">
        <v>1540</v>
      </c>
      <c r="G1707" s="6" t="str">
        <f aca="false">INDEX(Archetypes!$D$2:$D$127, MATCH(D1707, Archetypes!$A$2:$A$127, 0))</f>
        <v>Flagship</v>
      </c>
      <c r="H1707" s="6" t="n">
        <f aca="false">ROUND(INDEX(Archetypes!$E$2:$E$127, MATCH(D1707, Archetypes!$A$2:$A$127, 0))*INDEX(Unit_Grades!$B$2:$B$7, MATCH(F1707, Unit_Grades!$A$2:$A$7, 0))*INDEX(Unit_Paths!$B$2:$B$4, MATCH(E1707, Unit_Paths!$A$2:$A$4, 0)),1)</f>
        <v>1721.3</v>
      </c>
      <c r="I1707" s="6" t="n">
        <f aca="false">ROUND(INDEX(Archetypes!$F$2:$F$127, MATCH(D1707, Archetypes!$A$2:$A$127, 0))*INDEX(Unit_Grades!$B$2:$B$7, MATCH(F1707, Unit_Grades!$A$2:$A$7, 0))*INDEX(Unit_Paths!$C$2:$C$4, MATCH(E1707, Unit_Paths!$A$2:$A$4, 0)),1)</f>
        <v>1856.3</v>
      </c>
      <c r="J1707" s="6" t="n">
        <f aca="false">ROUND(INDEX(Archetypes!$G$2:$G$127, MATCH(D1707, Archetypes!$A$2:$A$127, 0))*INDEX(Unit_Grades!$B$2:$B$7, MATCH(F1707, Unit_Grades!$A$2:$A$7, 0))*INDEX(Unit_Paths!$D$2:$D$4, MATCH(E1707, Unit_Paths!$A$2:$A$4, 0)),0)</f>
        <v>12420</v>
      </c>
      <c r="K1707" s="6" t="n">
        <f aca="false">ROUND(INDEX(Archetypes!$H$2:$H$127, MATCH(D1707, Archetypes!$A$2:$A$127, 0))*INDEX(Unit_Paths!$E$2:$E$4, MATCH(E1707, Unit_Paths!$A$2:$A$4, 0)),1)</f>
        <v>36.8</v>
      </c>
      <c r="L1707" s="6" t="n">
        <f aca="false">ROUND(INDEX(Archetypes!$I$2:$I$127, MATCH(D1707, Archetypes!$A$2:$A$127, 0))*INDEX(Unit_Grades!$C$2:$C$7, MATCH(F1707, Unit_Grades!$A$2:$A$7, 0)),1)</f>
        <v>300</v>
      </c>
      <c r="M1707" s="6" t="n">
        <f aca="false">ROUND(INDEX(Archetypes!$J$2:$J$127, MATCH(D1707, Archetypes!$A$2:$A$127, 0))*INDEX(Unit_Grades!$D$2:$D$7, MATCH(F1707, Unit_Grades!$A$2:$A$7, 0)),1)</f>
        <v>146.1</v>
      </c>
      <c r="N1707" s="6" t="n">
        <f aca="false">ROUND(M1707/24,2)</f>
        <v>6.09</v>
      </c>
    </row>
    <row r="1708" customFormat="false" ht="15" hidden="false" customHeight="true" outlineLevel="0" collapsed="false">
      <c r="A1708" s="6" t="n">
        <v>6</v>
      </c>
      <c r="B1708" s="6" t="s">
        <v>3181</v>
      </c>
      <c r="C1708" s="6" t="s">
        <v>1467</v>
      </c>
      <c r="D1708" s="6" t="str">
        <f aca="false">A1708&amp;"|"&amp;C1708</f>
        <v>6|Titan</v>
      </c>
      <c r="E1708" s="6" t="s">
        <v>1560</v>
      </c>
      <c r="F1708" s="6" t="s">
        <v>1542</v>
      </c>
      <c r="G1708" s="6" t="str">
        <f aca="false">INDEX(Archetypes!$D$2:$D$127, MATCH(D1708, Archetypes!$A$2:$A$127, 0))</f>
        <v>Flagship</v>
      </c>
      <c r="H1708" s="6" t="n">
        <f aca="false">ROUND(INDEX(Archetypes!$E$2:$E$127, MATCH(D1708, Archetypes!$A$2:$A$127, 0))*INDEX(Unit_Grades!$B$2:$B$7, MATCH(F1708, Unit_Grades!$A$2:$A$7, 0))*INDEX(Unit_Paths!$B$2:$B$4, MATCH(E1708, Unit_Paths!$A$2:$A$4, 0)),1)</f>
        <v>2295</v>
      </c>
      <c r="I1708" s="6" t="n">
        <f aca="false">ROUND(INDEX(Archetypes!$F$2:$F$127, MATCH(D1708, Archetypes!$A$2:$A$127, 0))*INDEX(Unit_Grades!$B$2:$B$7, MATCH(F1708, Unit_Grades!$A$2:$A$7, 0))*INDEX(Unit_Paths!$C$2:$C$4, MATCH(E1708, Unit_Paths!$A$2:$A$4, 0)),1)</f>
        <v>2475</v>
      </c>
      <c r="J1708" s="6" t="n">
        <f aca="false">ROUND(INDEX(Archetypes!$G$2:$G$127, MATCH(D1708, Archetypes!$A$2:$A$127, 0))*INDEX(Unit_Grades!$B$2:$B$7, MATCH(F1708, Unit_Grades!$A$2:$A$7, 0))*INDEX(Unit_Paths!$D$2:$D$4, MATCH(E1708, Unit_Paths!$A$2:$A$4, 0)),0)</f>
        <v>16560</v>
      </c>
      <c r="K1708" s="6" t="n">
        <f aca="false">ROUND(INDEX(Archetypes!$H$2:$H$127, MATCH(D1708, Archetypes!$A$2:$A$127, 0))*INDEX(Unit_Paths!$E$2:$E$4, MATCH(E1708, Unit_Paths!$A$2:$A$4, 0)),1)</f>
        <v>36.8</v>
      </c>
      <c r="L1708" s="6" t="n">
        <f aca="false">ROUND(INDEX(Archetypes!$I$2:$I$127, MATCH(D1708, Archetypes!$A$2:$A$127, 0))*INDEX(Unit_Grades!$C$2:$C$7, MATCH(F1708, Unit_Grades!$A$2:$A$7, 0)),1)</f>
        <v>384</v>
      </c>
      <c r="M1708" s="6" t="n">
        <f aca="false">ROUND(INDEX(Archetypes!$J$2:$J$127, MATCH(D1708, Archetypes!$A$2:$A$127, 0))*INDEX(Unit_Grades!$D$2:$D$7, MATCH(F1708, Unit_Grades!$A$2:$A$7, 0)),1)</f>
        <v>243.5</v>
      </c>
      <c r="N1708" s="6" t="n">
        <f aca="false">ROUND(M1708/24,2)</f>
        <v>10.15</v>
      </c>
    </row>
    <row r="1709" customFormat="false" ht="15" hidden="false" customHeight="true" outlineLevel="0" collapsed="false">
      <c r="A1709" s="6" t="n">
        <v>6</v>
      </c>
      <c r="B1709" s="6" t="s">
        <v>3182</v>
      </c>
      <c r="C1709" s="6" t="s">
        <v>1467</v>
      </c>
      <c r="D1709" s="6" t="str">
        <f aca="false">A1709&amp;"|"&amp;C1709</f>
        <v>6|Titan</v>
      </c>
      <c r="E1709" s="6" t="s">
        <v>1560</v>
      </c>
      <c r="F1709" s="6" t="s">
        <v>1544</v>
      </c>
      <c r="G1709" s="6" t="str">
        <f aca="false">INDEX(Archetypes!$D$2:$D$127, MATCH(D1709, Archetypes!$A$2:$A$127, 0))</f>
        <v>Flagship</v>
      </c>
      <c r="H1709" s="6" t="n">
        <f aca="false">ROUND(INDEX(Archetypes!$E$2:$E$127, MATCH(D1709, Archetypes!$A$2:$A$127, 0))*INDEX(Unit_Grades!$B$2:$B$7, MATCH(F1709, Unit_Grades!$A$2:$A$7, 0))*INDEX(Unit_Paths!$B$2:$B$4, MATCH(E1709, Unit_Paths!$A$2:$A$4, 0)),1)</f>
        <v>3060</v>
      </c>
      <c r="I1709" s="6" t="n">
        <f aca="false">ROUND(INDEX(Archetypes!$F$2:$F$127, MATCH(D1709, Archetypes!$A$2:$A$127, 0))*INDEX(Unit_Grades!$B$2:$B$7, MATCH(F1709, Unit_Grades!$A$2:$A$7, 0))*INDEX(Unit_Paths!$C$2:$C$4, MATCH(E1709, Unit_Paths!$A$2:$A$4, 0)),1)</f>
        <v>3300</v>
      </c>
      <c r="J1709" s="6" t="n">
        <f aca="false">ROUND(INDEX(Archetypes!$G$2:$G$127, MATCH(D1709, Archetypes!$A$2:$A$127, 0))*INDEX(Unit_Grades!$B$2:$B$7, MATCH(F1709, Unit_Grades!$A$2:$A$7, 0))*INDEX(Unit_Paths!$D$2:$D$4, MATCH(E1709, Unit_Paths!$A$2:$A$4, 0)),0)</f>
        <v>22080</v>
      </c>
      <c r="K1709" s="6" t="n">
        <f aca="false">ROUND(INDEX(Archetypes!$H$2:$H$127, MATCH(D1709, Archetypes!$A$2:$A$127, 0))*INDEX(Unit_Paths!$E$2:$E$4, MATCH(E1709, Unit_Paths!$A$2:$A$4, 0)),1)</f>
        <v>36.8</v>
      </c>
      <c r="L1709" s="6" t="n">
        <f aca="false">ROUND(INDEX(Archetypes!$I$2:$I$127, MATCH(D1709, Archetypes!$A$2:$A$127, 0))*INDEX(Unit_Grades!$C$2:$C$7, MATCH(F1709, Unit_Grades!$A$2:$A$7, 0)),1)</f>
        <v>504</v>
      </c>
      <c r="M1709" s="6" t="n">
        <f aca="false">ROUND(INDEX(Archetypes!$J$2:$J$127, MATCH(D1709, Archetypes!$A$2:$A$127, 0))*INDEX(Unit_Grades!$D$2:$D$7, MATCH(F1709, Unit_Grades!$A$2:$A$7, 0)),1)</f>
        <v>389.6</v>
      </c>
      <c r="N1709" s="6" t="n">
        <f aca="false">ROUND(M1709/24,2)</f>
        <v>16.23</v>
      </c>
    </row>
    <row r="1710" customFormat="false" ht="15" hidden="false" customHeight="true" outlineLevel="0" collapsed="false">
      <c r="A1710" s="6" t="n">
        <v>6</v>
      </c>
      <c r="B1710" s="6" t="s">
        <v>3183</v>
      </c>
      <c r="C1710" s="6" t="s">
        <v>1467</v>
      </c>
      <c r="D1710" s="6" t="str">
        <f aca="false">A1710&amp;"|"&amp;C1710</f>
        <v>6|Titan</v>
      </c>
      <c r="E1710" s="6" t="s">
        <v>1560</v>
      </c>
      <c r="F1710" s="6" t="s">
        <v>1546</v>
      </c>
      <c r="G1710" s="6" t="str">
        <f aca="false">INDEX(Archetypes!$D$2:$D$127, MATCH(D1710, Archetypes!$A$2:$A$127, 0))</f>
        <v>Flagship</v>
      </c>
      <c r="H1710" s="6" t="n">
        <f aca="false">ROUND(INDEX(Archetypes!$E$2:$E$127, MATCH(D1710, Archetypes!$A$2:$A$127, 0))*INDEX(Unit_Grades!$B$2:$B$7, MATCH(F1710, Unit_Grades!$A$2:$A$7, 0))*INDEX(Unit_Paths!$B$2:$B$4, MATCH(E1710, Unit_Paths!$A$2:$A$4, 0)),1)</f>
        <v>4080</v>
      </c>
      <c r="I1710" s="6" t="n">
        <f aca="false">ROUND(INDEX(Archetypes!$F$2:$F$127, MATCH(D1710, Archetypes!$A$2:$A$127, 0))*INDEX(Unit_Grades!$B$2:$B$7, MATCH(F1710, Unit_Grades!$A$2:$A$7, 0))*INDEX(Unit_Paths!$C$2:$C$4, MATCH(E1710, Unit_Paths!$A$2:$A$4, 0)),1)</f>
        <v>4400</v>
      </c>
      <c r="J1710" s="6" t="n">
        <f aca="false">ROUND(INDEX(Archetypes!$G$2:$G$127, MATCH(D1710, Archetypes!$A$2:$A$127, 0))*INDEX(Unit_Grades!$B$2:$B$7, MATCH(F1710, Unit_Grades!$A$2:$A$7, 0))*INDEX(Unit_Paths!$D$2:$D$4, MATCH(E1710, Unit_Paths!$A$2:$A$4, 0)),0)</f>
        <v>29440</v>
      </c>
      <c r="K1710" s="6" t="n">
        <f aca="false">ROUND(INDEX(Archetypes!$H$2:$H$127, MATCH(D1710, Archetypes!$A$2:$A$127, 0))*INDEX(Unit_Paths!$E$2:$E$4, MATCH(E1710, Unit_Paths!$A$2:$A$4, 0)),1)</f>
        <v>36.8</v>
      </c>
      <c r="L1710" s="6" t="n">
        <f aca="false">ROUND(INDEX(Archetypes!$I$2:$I$127, MATCH(D1710, Archetypes!$A$2:$A$127, 0))*INDEX(Unit_Grades!$C$2:$C$7, MATCH(F1710, Unit_Grades!$A$2:$A$7, 0)),1)</f>
        <v>672</v>
      </c>
      <c r="M1710" s="6" t="n">
        <f aca="false">ROUND(INDEX(Archetypes!$J$2:$J$127, MATCH(D1710, Archetypes!$A$2:$A$127, 0))*INDEX(Unit_Grades!$D$2:$D$7, MATCH(F1710, Unit_Grades!$A$2:$A$7, 0)),1)</f>
        <v>681.8</v>
      </c>
      <c r="N1710" s="6" t="n">
        <f aca="false">ROUND(M1710/24,2)</f>
        <v>28.41</v>
      </c>
    </row>
    <row r="1711" customFormat="false" ht="15" hidden="false" customHeight="true" outlineLevel="0" collapsed="false">
      <c r="A1711" s="6" t="n">
        <v>6</v>
      </c>
      <c r="B1711" s="6" t="s">
        <v>3184</v>
      </c>
      <c r="C1711" s="6" t="s">
        <v>1467</v>
      </c>
      <c r="D1711" s="6" t="str">
        <f aca="false">A1711&amp;"|"&amp;C1711</f>
        <v>6|Titan</v>
      </c>
      <c r="E1711" s="6" t="s">
        <v>1560</v>
      </c>
      <c r="F1711" s="6" t="s">
        <v>1548</v>
      </c>
      <c r="G1711" s="6" t="str">
        <f aca="false">INDEX(Archetypes!$D$2:$D$127, MATCH(D1711, Archetypes!$A$2:$A$127, 0))</f>
        <v>Flagship</v>
      </c>
      <c r="H1711" s="6" t="n">
        <f aca="false">ROUND(INDEX(Archetypes!$E$2:$E$127, MATCH(D1711, Archetypes!$A$2:$A$127, 0))*INDEX(Unit_Grades!$B$2:$B$7, MATCH(F1711, Unit_Grades!$A$2:$A$7, 0))*INDEX(Unit_Paths!$B$2:$B$4, MATCH(E1711, Unit_Paths!$A$2:$A$4, 0)),1)</f>
        <v>5355</v>
      </c>
      <c r="I1711" s="6" t="n">
        <f aca="false">ROUND(INDEX(Archetypes!$F$2:$F$127, MATCH(D1711, Archetypes!$A$2:$A$127, 0))*INDEX(Unit_Grades!$B$2:$B$7, MATCH(F1711, Unit_Grades!$A$2:$A$7, 0))*INDEX(Unit_Paths!$C$2:$C$4, MATCH(E1711, Unit_Paths!$A$2:$A$4, 0)),1)</f>
        <v>5775</v>
      </c>
      <c r="J1711" s="6" t="n">
        <f aca="false">ROUND(INDEX(Archetypes!$G$2:$G$127, MATCH(D1711, Archetypes!$A$2:$A$127, 0))*INDEX(Unit_Grades!$B$2:$B$7, MATCH(F1711, Unit_Grades!$A$2:$A$7, 0))*INDEX(Unit_Paths!$D$2:$D$4, MATCH(E1711, Unit_Paths!$A$2:$A$4, 0)),0)</f>
        <v>38640</v>
      </c>
      <c r="K1711" s="6" t="n">
        <f aca="false">ROUND(INDEX(Archetypes!$H$2:$H$127, MATCH(D1711, Archetypes!$A$2:$A$127, 0))*INDEX(Unit_Paths!$E$2:$E$4, MATCH(E1711, Unit_Paths!$A$2:$A$4, 0)),1)</f>
        <v>36.8</v>
      </c>
      <c r="L1711" s="6" t="n">
        <f aca="false">ROUND(INDEX(Archetypes!$I$2:$I$127, MATCH(D1711, Archetypes!$A$2:$A$127, 0))*INDEX(Unit_Grades!$C$2:$C$7, MATCH(F1711, Unit_Grades!$A$2:$A$7, 0)),1)</f>
        <v>888</v>
      </c>
      <c r="M1711" s="6" t="n">
        <f aca="false">ROUND(INDEX(Archetypes!$J$2:$J$127, MATCH(D1711, Archetypes!$A$2:$A$127, 0))*INDEX(Unit_Grades!$D$2:$D$7, MATCH(F1711, Unit_Grades!$A$2:$A$7, 0)),1)</f>
        <v>1168.8</v>
      </c>
      <c r="N1711" s="6" t="n">
        <f aca="false">ROUND(M1711/24,2)</f>
        <v>48.7</v>
      </c>
    </row>
    <row r="1712" customFormat="false" ht="15" hidden="false" customHeight="true" outlineLevel="0" collapsed="false">
      <c r="A1712" s="6" t="n">
        <v>6</v>
      </c>
      <c r="B1712" s="6" t="s">
        <v>1470</v>
      </c>
      <c r="C1712" s="6" t="s">
        <v>1470</v>
      </c>
      <c r="D1712" s="6" t="str">
        <f aca="false">A1712&amp;"|"&amp;C1712</f>
        <v>6|Interdictor</v>
      </c>
      <c r="E1712" s="6" t="s">
        <v>1556</v>
      </c>
      <c r="F1712" s="6" t="s">
        <v>1538</v>
      </c>
      <c r="G1712" s="6" t="str">
        <f aca="false">INDEX(Archetypes!$D$2:$D$127, MATCH(D1712, Archetypes!$A$2:$A$127, 0))</f>
        <v>EW/Utility</v>
      </c>
      <c r="H1712" s="6" t="n">
        <f aca="false">ROUND(INDEX(Archetypes!$E$2:$E$127, MATCH(D1712, Archetypes!$A$2:$A$127, 0))*INDEX(Unit_Grades!$B$2:$B$7, MATCH(F1712, Unit_Grades!$A$2:$A$7, 0))*INDEX(Unit_Paths!$B$2:$B$4, MATCH(E1712, Unit_Paths!$A$2:$A$4, 0)),1)</f>
        <v>480</v>
      </c>
      <c r="I1712" s="6" t="n">
        <f aca="false">ROUND(INDEX(Archetypes!$F$2:$F$127, MATCH(D1712, Archetypes!$A$2:$A$127, 0))*INDEX(Unit_Grades!$B$2:$B$7, MATCH(F1712, Unit_Grades!$A$2:$A$7, 0))*INDEX(Unit_Paths!$C$2:$C$4, MATCH(E1712, Unit_Paths!$A$2:$A$4, 0)),1)</f>
        <v>420</v>
      </c>
      <c r="J1712" s="6" t="n">
        <f aca="false">ROUND(INDEX(Archetypes!$G$2:$G$127, MATCH(D1712, Archetypes!$A$2:$A$127, 0))*INDEX(Unit_Grades!$B$2:$B$7, MATCH(F1712, Unit_Grades!$A$2:$A$7, 0))*INDEX(Unit_Paths!$D$2:$D$4, MATCH(E1712, Unit_Paths!$A$2:$A$4, 0)),0)</f>
        <v>2000</v>
      </c>
      <c r="K1712" s="6" t="n">
        <f aca="false">ROUND(INDEX(Archetypes!$H$2:$H$127, MATCH(D1712, Archetypes!$A$2:$A$127, 0))*INDEX(Unit_Paths!$E$2:$E$4, MATCH(E1712, Unit_Paths!$A$2:$A$4, 0)),1)</f>
        <v>60</v>
      </c>
      <c r="L1712" s="6" t="n">
        <f aca="false">ROUND(INDEX(Archetypes!$I$2:$I$127, MATCH(D1712, Archetypes!$A$2:$A$127, 0))*INDEX(Unit_Grades!$C$2:$C$7, MATCH(F1712, Unit_Grades!$A$2:$A$7, 0)),1)</f>
        <v>66</v>
      </c>
      <c r="M1712" s="6" t="n">
        <f aca="false">ROUND(INDEX(Archetypes!$J$2:$J$127, MATCH(D1712, Archetypes!$A$2:$A$127, 0))*INDEX(Unit_Grades!$D$2:$D$7, MATCH(F1712, Unit_Grades!$A$2:$A$7, 0)),1)</f>
        <v>26.8</v>
      </c>
      <c r="N1712" s="6" t="n">
        <f aca="false">ROUND(M1712/24,2)</f>
        <v>1.12</v>
      </c>
    </row>
    <row r="1713" customFormat="false" ht="15" hidden="false" customHeight="true" outlineLevel="0" collapsed="false">
      <c r="A1713" s="6" t="n">
        <v>6</v>
      </c>
      <c r="B1713" s="6" t="s">
        <v>3185</v>
      </c>
      <c r="C1713" s="6" t="s">
        <v>1470</v>
      </c>
      <c r="D1713" s="6" t="str">
        <f aca="false">A1713&amp;"|"&amp;C1713</f>
        <v>6|Interdictor</v>
      </c>
      <c r="E1713" s="6" t="s">
        <v>1556</v>
      </c>
      <c r="F1713" s="6" t="s">
        <v>1540</v>
      </c>
      <c r="G1713" s="6" t="str">
        <f aca="false">INDEX(Archetypes!$D$2:$D$127, MATCH(D1713, Archetypes!$A$2:$A$127, 0))</f>
        <v>EW/Utility</v>
      </c>
      <c r="H1713" s="6" t="n">
        <f aca="false">ROUND(INDEX(Archetypes!$E$2:$E$127, MATCH(D1713, Archetypes!$A$2:$A$127, 0))*INDEX(Unit_Grades!$B$2:$B$7, MATCH(F1713, Unit_Grades!$A$2:$A$7, 0))*INDEX(Unit_Paths!$B$2:$B$4, MATCH(E1713, Unit_Paths!$A$2:$A$4, 0)),1)</f>
        <v>648</v>
      </c>
      <c r="I1713" s="6" t="n">
        <f aca="false">ROUND(INDEX(Archetypes!$F$2:$F$127, MATCH(D1713, Archetypes!$A$2:$A$127, 0))*INDEX(Unit_Grades!$B$2:$B$7, MATCH(F1713, Unit_Grades!$A$2:$A$7, 0))*INDEX(Unit_Paths!$C$2:$C$4, MATCH(E1713, Unit_Paths!$A$2:$A$4, 0)),1)</f>
        <v>567</v>
      </c>
      <c r="J1713" s="6" t="n">
        <f aca="false">ROUND(INDEX(Archetypes!$G$2:$G$127, MATCH(D1713, Archetypes!$A$2:$A$127, 0))*INDEX(Unit_Grades!$B$2:$B$7, MATCH(F1713, Unit_Grades!$A$2:$A$7, 0))*INDEX(Unit_Paths!$D$2:$D$4, MATCH(E1713, Unit_Paths!$A$2:$A$4, 0)),0)</f>
        <v>2700</v>
      </c>
      <c r="K1713" s="6" t="n">
        <f aca="false">ROUND(INDEX(Archetypes!$H$2:$H$127, MATCH(D1713, Archetypes!$A$2:$A$127, 0))*INDEX(Unit_Paths!$E$2:$E$4, MATCH(E1713, Unit_Paths!$A$2:$A$4, 0)),1)</f>
        <v>60</v>
      </c>
      <c r="L1713" s="6" t="n">
        <f aca="false">ROUND(INDEX(Archetypes!$I$2:$I$127, MATCH(D1713, Archetypes!$A$2:$A$127, 0))*INDEX(Unit_Grades!$C$2:$C$7, MATCH(F1713, Unit_Grades!$A$2:$A$7, 0)),1)</f>
        <v>82.5</v>
      </c>
      <c r="M1713" s="6" t="n">
        <f aca="false">ROUND(INDEX(Archetypes!$J$2:$J$127, MATCH(D1713, Archetypes!$A$2:$A$127, 0))*INDEX(Unit_Grades!$D$2:$D$7, MATCH(F1713, Unit_Grades!$A$2:$A$7, 0)),1)</f>
        <v>40.2</v>
      </c>
      <c r="N1713" s="6" t="n">
        <f aca="false">ROUND(M1713/24,2)</f>
        <v>1.68</v>
      </c>
    </row>
    <row r="1714" customFormat="false" ht="15" hidden="false" customHeight="true" outlineLevel="0" collapsed="false">
      <c r="A1714" s="6" t="n">
        <v>6</v>
      </c>
      <c r="B1714" s="6" t="s">
        <v>3186</v>
      </c>
      <c r="C1714" s="6" t="s">
        <v>1470</v>
      </c>
      <c r="D1714" s="6" t="str">
        <f aca="false">A1714&amp;"|"&amp;C1714</f>
        <v>6|Interdictor</v>
      </c>
      <c r="E1714" s="6" t="s">
        <v>1556</v>
      </c>
      <c r="F1714" s="6" t="s">
        <v>1542</v>
      </c>
      <c r="G1714" s="6" t="str">
        <f aca="false">INDEX(Archetypes!$D$2:$D$127, MATCH(D1714, Archetypes!$A$2:$A$127, 0))</f>
        <v>EW/Utility</v>
      </c>
      <c r="H1714" s="6" t="n">
        <f aca="false">ROUND(INDEX(Archetypes!$E$2:$E$127, MATCH(D1714, Archetypes!$A$2:$A$127, 0))*INDEX(Unit_Grades!$B$2:$B$7, MATCH(F1714, Unit_Grades!$A$2:$A$7, 0))*INDEX(Unit_Paths!$B$2:$B$4, MATCH(E1714, Unit_Paths!$A$2:$A$4, 0)),1)</f>
        <v>864</v>
      </c>
      <c r="I1714" s="6" t="n">
        <f aca="false">ROUND(INDEX(Archetypes!$F$2:$F$127, MATCH(D1714, Archetypes!$A$2:$A$127, 0))*INDEX(Unit_Grades!$B$2:$B$7, MATCH(F1714, Unit_Grades!$A$2:$A$7, 0))*INDEX(Unit_Paths!$C$2:$C$4, MATCH(E1714, Unit_Paths!$A$2:$A$4, 0)),1)</f>
        <v>756</v>
      </c>
      <c r="J1714" s="6" t="n">
        <f aca="false">ROUND(INDEX(Archetypes!$G$2:$G$127, MATCH(D1714, Archetypes!$A$2:$A$127, 0))*INDEX(Unit_Grades!$B$2:$B$7, MATCH(F1714, Unit_Grades!$A$2:$A$7, 0))*INDEX(Unit_Paths!$D$2:$D$4, MATCH(E1714, Unit_Paths!$A$2:$A$4, 0)),0)</f>
        <v>3600</v>
      </c>
      <c r="K1714" s="6" t="n">
        <f aca="false">ROUND(INDEX(Archetypes!$H$2:$H$127, MATCH(D1714, Archetypes!$A$2:$A$127, 0))*INDEX(Unit_Paths!$E$2:$E$4, MATCH(E1714, Unit_Paths!$A$2:$A$4, 0)),1)</f>
        <v>60</v>
      </c>
      <c r="L1714" s="6" t="n">
        <f aca="false">ROUND(INDEX(Archetypes!$I$2:$I$127, MATCH(D1714, Archetypes!$A$2:$A$127, 0))*INDEX(Unit_Grades!$C$2:$C$7, MATCH(F1714, Unit_Grades!$A$2:$A$7, 0)),1)</f>
        <v>105.6</v>
      </c>
      <c r="M1714" s="6" t="n">
        <f aca="false">ROUND(INDEX(Archetypes!$J$2:$J$127, MATCH(D1714, Archetypes!$A$2:$A$127, 0))*INDEX(Unit_Grades!$D$2:$D$7, MATCH(F1714, Unit_Grades!$A$2:$A$7, 0)),1)</f>
        <v>67</v>
      </c>
      <c r="N1714" s="6" t="n">
        <f aca="false">ROUND(M1714/24,2)</f>
        <v>2.79</v>
      </c>
    </row>
    <row r="1715" customFormat="false" ht="15" hidden="false" customHeight="true" outlineLevel="0" collapsed="false">
      <c r="A1715" s="6" t="n">
        <v>6</v>
      </c>
      <c r="B1715" s="6" t="s">
        <v>3187</v>
      </c>
      <c r="C1715" s="6" t="s">
        <v>1470</v>
      </c>
      <c r="D1715" s="6" t="str">
        <f aca="false">A1715&amp;"|"&amp;C1715</f>
        <v>6|Interdictor</v>
      </c>
      <c r="E1715" s="6" t="s">
        <v>1556</v>
      </c>
      <c r="F1715" s="6" t="s">
        <v>1544</v>
      </c>
      <c r="G1715" s="6" t="str">
        <f aca="false">INDEX(Archetypes!$D$2:$D$127, MATCH(D1715, Archetypes!$A$2:$A$127, 0))</f>
        <v>EW/Utility</v>
      </c>
      <c r="H1715" s="6" t="n">
        <f aca="false">ROUND(INDEX(Archetypes!$E$2:$E$127, MATCH(D1715, Archetypes!$A$2:$A$127, 0))*INDEX(Unit_Grades!$B$2:$B$7, MATCH(F1715, Unit_Grades!$A$2:$A$7, 0))*INDEX(Unit_Paths!$B$2:$B$4, MATCH(E1715, Unit_Paths!$A$2:$A$4, 0)),1)</f>
        <v>1152</v>
      </c>
      <c r="I1715" s="6" t="n">
        <f aca="false">ROUND(INDEX(Archetypes!$F$2:$F$127, MATCH(D1715, Archetypes!$A$2:$A$127, 0))*INDEX(Unit_Grades!$B$2:$B$7, MATCH(F1715, Unit_Grades!$A$2:$A$7, 0))*INDEX(Unit_Paths!$C$2:$C$4, MATCH(E1715, Unit_Paths!$A$2:$A$4, 0)),1)</f>
        <v>1008</v>
      </c>
      <c r="J1715" s="6" t="n">
        <f aca="false">ROUND(INDEX(Archetypes!$G$2:$G$127, MATCH(D1715, Archetypes!$A$2:$A$127, 0))*INDEX(Unit_Grades!$B$2:$B$7, MATCH(F1715, Unit_Grades!$A$2:$A$7, 0))*INDEX(Unit_Paths!$D$2:$D$4, MATCH(E1715, Unit_Paths!$A$2:$A$4, 0)),0)</f>
        <v>4800</v>
      </c>
      <c r="K1715" s="6" t="n">
        <f aca="false">ROUND(INDEX(Archetypes!$H$2:$H$127, MATCH(D1715, Archetypes!$A$2:$A$127, 0))*INDEX(Unit_Paths!$E$2:$E$4, MATCH(E1715, Unit_Paths!$A$2:$A$4, 0)),1)</f>
        <v>60</v>
      </c>
      <c r="L1715" s="6" t="n">
        <f aca="false">ROUND(INDEX(Archetypes!$I$2:$I$127, MATCH(D1715, Archetypes!$A$2:$A$127, 0))*INDEX(Unit_Grades!$C$2:$C$7, MATCH(F1715, Unit_Grades!$A$2:$A$7, 0)),1)</f>
        <v>138.6</v>
      </c>
      <c r="M1715" s="6" t="n">
        <f aca="false">ROUND(INDEX(Archetypes!$J$2:$J$127, MATCH(D1715, Archetypes!$A$2:$A$127, 0))*INDEX(Unit_Grades!$D$2:$D$7, MATCH(F1715, Unit_Grades!$A$2:$A$7, 0)),1)</f>
        <v>107.2</v>
      </c>
      <c r="N1715" s="6" t="n">
        <f aca="false">ROUND(M1715/24,2)</f>
        <v>4.47</v>
      </c>
    </row>
    <row r="1716" customFormat="false" ht="15" hidden="false" customHeight="true" outlineLevel="0" collapsed="false">
      <c r="A1716" s="6" t="n">
        <v>6</v>
      </c>
      <c r="B1716" s="6" t="s">
        <v>3188</v>
      </c>
      <c r="C1716" s="6" t="s">
        <v>1470</v>
      </c>
      <c r="D1716" s="6" t="str">
        <f aca="false">A1716&amp;"|"&amp;C1716</f>
        <v>6|Interdictor</v>
      </c>
      <c r="E1716" s="6" t="s">
        <v>1556</v>
      </c>
      <c r="F1716" s="6" t="s">
        <v>1546</v>
      </c>
      <c r="G1716" s="6" t="str">
        <f aca="false">INDEX(Archetypes!$D$2:$D$127, MATCH(D1716, Archetypes!$A$2:$A$127, 0))</f>
        <v>EW/Utility</v>
      </c>
      <c r="H1716" s="6" t="n">
        <f aca="false">ROUND(INDEX(Archetypes!$E$2:$E$127, MATCH(D1716, Archetypes!$A$2:$A$127, 0))*INDEX(Unit_Grades!$B$2:$B$7, MATCH(F1716, Unit_Grades!$A$2:$A$7, 0))*INDEX(Unit_Paths!$B$2:$B$4, MATCH(E1716, Unit_Paths!$A$2:$A$4, 0)),1)</f>
        <v>1536</v>
      </c>
      <c r="I1716" s="6" t="n">
        <f aca="false">ROUND(INDEX(Archetypes!$F$2:$F$127, MATCH(D1716, Archetypes!$A$2:$A$127, 0))*INDEX(Unit_Grades!$B$2:$B$7, MATCH(F1716, Unit_Grades!$A$2:$A$7, 0))*INDEX(Unit_Paths!$C$2:$C$4, MATCH(E1716, Unit_Paths!$A$2:$A$4, 0)),1)</f>
        <v>1344</v>
      </c>
      <c r="J1716" s="6" t="n">
        <f aca="false">ROUND(INDEX(Archetypes!$G$2:$G$127, MATCH(D1716, Archetypes!$A$2:$A$127, 0))*INDEX(Unit_Grades!$B$2:$B$7, MATCH(F1716, Unit_Grades!$A$2:$A$7, 0))*INDEX(Unit_Paths!$D$2:$D$4, MATCH(E1716, Unit_Paths!$A$2:$A$4, 0)),0)</f>
        <v>6400</v>
      </c>
      <c r="K1716" s="6" t="n">
        <f aca="false">ROUND(INDEX(Archetypes!$H$2:$H$127, MATCH(D1716, Archetypes!$A$2:$A$127, 0))*INDEX(Unit_Paths!$E$2:$E$4, MATCH(E1716, Unit_Paths!$A$2:$A$4, 0)),1)</f>
        <v>60</v>
      </c>
      <c r="L1716" s="6" t="n">
        <f aca="false">ROUND(INDEX(Archetypes!$I$2:$I$127, MATCH(D1716, Archetypes!$A$2:$A$127, 0))*INDEX(Unit_Grades!$C$2:$C$7, MATCH(F1716, Unit_Grades!$A$2:$A$7, 0)),1)</f>
        <v>184.8</v>
      </c>
      <c r="M1716" s="6" t="n">
        <f aca="false">ROUND(INDEX(Archetypes!$J$2:$J$127, MATCH(D1716, Archetypes!$A$2:$A$127, 0))*INDEX(Unit_Grades!$D$2:$D$7, MATCH(F1716, Unit_Grades!$A$2:$A$7, 0)),1)</f>
        <v>187.5</v>
      </c>
      <c r="N1716" s="6" t="n">
        <f aca="false">ROUND(M1716/24,2)</f>
        <v>7.81</v>
      </c>
    </row>
    <row r="1717" customFormat="false" ht="15" hidden="false" customHeight="true" outlineLevel="0" collapsed="false">
      <c r="A1717" s="6" t="n">
        <v>6</v>
      </c>
      <c r="B1717" s="6" t="s">
        <v>3189</v>
      </c>
      <c r="C1717" s="6" t="s">
        <v>1470</v>
      </c>
      <c r="D1717" s="6" t="str">
        <f aca="false">A1717&amp;"|"&amp;C1717</f>
        <v>6|Interdictor</v>
      </c>
      <c r="E1717" s="6" t="s">
        <v>1556</v>
      </c>
      <c r="F1717" s="6" t="s">
        <v>1548</v>
      </c>
      <c r="G1717" s="6" t="str">
        <f aca="false">INDEX(Archetypes!$D$2:$D$127, MATCH(D1717, Archetypes!$A$2:$A$127, 0))</f>
        <v>EW/Utility</v>
      </c>
      <c r="H1717" s="6" t="n">
        <f aca="false">ROUND(INDEX(Archetypes!$E$2:$E$127, MATCH(D1717, Archetypes!$A$2:$A$127, 0))*INDEX(Unit_Grades!$B$2:$B$7, MATCH(F1717, Unit_Grades!$A$2:$A$7, 0))*INDEX(Unit_Paths!$B$2:$B$4, MATCH(E1717, Unit_Paths!$A$2:$A$4, 0)),1)</f>
        <v>2016</v>
      </c>
      <c r="I1717" s="6" t="n">
        <f aca="false">ROUND(INDEX(Archetypes!$F$2:$F$127, MATCH(D1717, Archetypes!$A$2:$A$127, 0))*INDEX(Unit_Grades!$B$2:$B$7, MATCH(F1717, Unit_Grades!$A$2:$A$7, 0))*INDEX(Unit_Paths!$C$2:$C$4, MATCH(E1717, Unit_Paths!$A$2:$A$4, 0)),1)</f>
        <v>1764</v>
      </c>
      <c r="J1717" s="6" t="n">
        <f aca="false">ROUND(INDEX(Archetypes!$G$2:$G$127, MATCH(D1717, Archetypes!$A$2:$A$127, 0))*INDEX(Unit_Grades!$B$2:$B$7, MATCH(F1717, Unit_Grades!$A$2:$A$7, 0))*INDEX(Unit_Paths!$D$2:$D$4, MATCH(E1717, Unit_Paths!$A$2:$A$4, 0)),0)</f>
        <v>8400</v>
      </c>
      <c r="K1717" s="6" t="n">
        <f aca="false">ROUND(INDEX(Archetypes!$H$2:$H$127, MATCH(D1717, Archetypes!$A$2:$A$127, 0))*INDEX(Unit_Paths!$E$2:$E$4, MATCH(E1717, Unit_Paths!$A$2:$A$4, 0)),1)</f>
        <v>60</v>
      </c>
      <c r="L1717" s="6" t="n">
        <f aca="false">ROUND(INDEX(Archetypes!$I$2:$I$127, MATCH(D1717, Archetypes!$A$2:$A$127, 0))*INDEX(Unit_Grades!$C$2:$C$7, MATCH(F1717, Unit_Grades!$A$2:$A$7, 0)),1)</f>
        <v>244.2</v>
      </c>
      <c r="M1717" s="6" t="n">
        <f aca="false">ROUND(INDEX(Archetypes!$J$2:$J$127, MATCH(D1717, Archetypes!$A$2:$A$127, 0))*INDEX(Unit_Grades!$D$2:$D$7, MATCH(F1717, Unit_Grades!$A$2:$A$7, 0)),1)</f>
        <v>321.5</v>
      </c>
      <c r="N1717" s="6" t="n">
        <f aca="false">ROUND(M1717/24,2)</f>
        <v>13.4</v>
      </c>
    </row>
    <row r="1718" customFormat="false" ht="15" hidden="false" customHeight="true" outlineLevel="0" collapsed="false">
      <c r="A1718" s="6" t="n">
        <v>6</v>
      </c>
      <c r="B1718" s="6" t="s">
        <v>3190</v>
      </c>
      <c r="C1718" s="6" t="s">
        <v>1470</v>
      </c>
      <c r="D1718" s="6" t="str">
        <f aca="false">A1718&amp;"|"&amp;C1718</f>
        <v>6|Interdictor</v>
      </c>
      <c r="E1718" s="6" t="s">
        <v>1558</v>
      </c>
      <c r="F1718" s="6" t="s">
        <v>1538</v>
      </c>
      <c r="G1718" s="6" t="str">
        <f aca="false">INDEX(Archetypes!$D$2:$D$127, MATCH(D1718, Archetypes!$A$2:$A$127, 0))</f>
        <v>EW/Utility</v>
      </c>
      <c r="H1718" s="6" t="n">
        <f aca="false">ROUND(INDEX(Archetypes!$E$2:$E$127, MATCH(D1718, Archetypes!$A$2:$A$127, 0))*INDEX(Unit_Grades!$B$2:$B$7, MATCH(F1718, Unit_Grades!$A$2:$A$7, 0))*INDEX(Unit_Paths!$B$2:$B$4, MATCH(E1718, Unit_Paths!$A$2:$A$4, 0)),1)</f>
        <v>576</v>
      </c>
      <c r="I1718" s="6" t="n">
        <f aca="false">ROUND(INDEX(Archetypes!$F$2:$F$127, MATCH(D1718, Archetypes!$A$2:$A$127, 0))*INDEX(Unit_Grades!$B$2:$B$7, MATCH(F1718, Unit_Grades!$A$2:$A$7, 0))*INDEX(Unit_Paths!$C$2:$C$4, MATCH(E1718, Unit_Paths!$A$2:$A$4, 0)),1)</f>
        <v>357</v>
      </c>
      <c r="J1718" s="6" t="n">
        <f aca="false">ROUND(INDEX(Archetypes!$G$2:$G$127, MATCH(D1718, Archetypes!$A$2:$A$127, 0))*INDEX(Unit_Grades!$B$2:$B$7, MATCH(F1718, Unit_Grades!$A$2:$A$7, 0))*INDEX(Unit_Paths!$D$2:$D$4, MATCH(E1718, Unit_Paths!$A$2:$A$4, 0)),0)</f>
        <v>1900</v>
      </c>
      <c r="K1718" s="6" t="n">
        <f aca="false">ROUND(INDEX(Archetypes!$H$2:$H$127, MATCH(D1718, Archetypes!$A$2:$A$127, 0))*INDEX(Unit_Paths!$E$2:$E$4, MATCH(E1718, Unit_Paths!$A$2:$A$4, 0)),1)</f>
        <v>63</v>
      </c>
      <c r="L1718" s="6" t="n">
        <f aca="false">ROUND(INDEX(Archetypes!$I$2:$I$127, MATCH(D1718, Archetypes!$A$2:$A$127, 0))*INDEX(Unit_Grades!$C$2:$C$7, MATCH(F1718, Unit_Grades!$A$2:$A$7, 0)),1)</f>
        <v>66</v>
      </c>
      <c r="M1718" s="6" t="n">
        <f aca="false">ROUND(INDEX(Archetypes!$J$2:$J$127, MATCH(D1718, Archetypes!$A$2:$A$127, 0))*INDEX(Unit_Grades!$D$2:$D$7, MATCH(F1718, Unit_Grades!$A$2:$A$7, 0)),1)</f>
        <v>26.8</v>
      </c>
      <c r="N1718" s="6" t="n">
        <f aca="false">ROUND(M1718/24,2)</f>
        <v>1.12</v>
      </c>
    </row>
    <row r="1719" customFormat="false" ht="15" hidden="false" customHeight="true" outlineLevel="0" collapsed="false">
      <c r="A1719" s="6" t="n">
        <v>6</v>
      </c>
      <c r="B1719" s="6" t="s">
        <v>3191</v>
      </c>
      <c r="C1719" s="6" t="s">
        <v>1470</v>
      </c>
      <c r="D1719" s="6" t="str">
        <f aca="false">A1719&amp;"|"&amp;C1719</f>
        <v>6|Interdictor</v>
      </c>
      <c r="E1719" s="6" t="s">
        <v>1558</v>
      </c>
      <c r="F1719" s="6" t="s">
        <v>1540</v>
      </c>
      <c r="G1719" s="6" t="str">
        <f aca="false">INDEX(Archetypes!$D$2:$D$127, MATCH(D1719, Archetypes!$A$2:$A$127, 0))</f>
        <v>EW/Utility</v>
      </c>
      <c r="H1719" s="6" t="n">
        <f aca="false">ROUND(INDEX(Archetypes!$E$2:$E$127, MATCH(D1719, Archetypes!$A$2:$A$127, 0))*INDEX(Unit_Grades!$B$2:$B$7, MATCH(F1719, Unit_Grades!$A$2:$A$7, 0))*INDEX(Unit_Paths!$B$2:$B$4, MATCH(E1719, Unit_Paths!$A$2:$A$4, 0)),1)</f>
        <v>777.6</v>
      </c>
      <c r="I1719" s="6" t="n">
        <f aca="false">ROUND(INDEX(Archetypes!$F$2:$F$127, MATCH(D1719, Archetypes!$A$2:$A$127, 0))*INDEX(Unit_Grades!$B$2:$B$7, MATCH(F1719, Unit_Grades!$A$2:$A$7, 0))*INDEX(Unit_Paths!$C$2:$C$4, MATCH(E1719, Unit_Paths!$A$2:$A$4, 0)),1)</f>
        <v>482</v>
      </c>
      <c r="J1719" s="6" t="n">
        <f aca="false">ROUND(INDEX(Archetypes!$G$2:$G$127, MATCH(D1719, Archetypes!$A$2:$A$127, 0))*INDEX(Unit_Grades!$B$2:$B$7, MATCH(F1719, Unit_Grades!$A$2:$A$7, 0))*INDEX(Unit_Paths!$D$2:$D$4, MATCH(E1719, Unit_Paths!$A$2:$A$4, 0)),0)</f>
        <v>2565</v>
      </c>
      <c r="K1719" s="6" t="n">
        <f aca="false">ROUND(INDEX(Archetypes!$H$2:$H$127, MATCH(D1719, Archetypes!$A$2:$A$127, 0))*INDEX(Unit_Paths!$E$2:$E$4, MATCH(E1719, Unit_Paths!$A$2:$A$4, 0)),1)</f>
        <v>63</v>
      </c>
      <c r="L1719" s="6" t="n">
        <f aca="false">ROUND(INDEX(Archetypes!$I$2:$I$127, MATCH(D1719, Archetypes!$A$2:$A$127, 0))*INDEX(Unit_Grades!$C$2:$C$7, MATCH(F1719, Unit_Grades!$A$2:$A$7, 0)),1)</f>
        <v>82.5</v>
      </c>
      <c r="M1719" s="6" t="n">
        <f aca="false">ROUND(INDEX(Archetypes!$J$2:$J$127, MATCH(D1719, Archetypes!$A$2:$A$127, 0))*INDEX(Unit_Grades!$D$2:$D$7, MATCH(F1719, Unit_Grades!$A$2:$A$7, 0)),1)</f>
        <v>40.2</v>
      </c>
      <c r="N1719" s="6" t="n">
        <f aca="false">ROUND(M1719/24,2)</f>
        <v>1.68</v>
      </c>
    </row>
    <row r="1720" customFormat="false" ht="15" hidden="false" customHeight="true" outlineLevel="0" collapsed="false">
      <c r="A1720" s="6" t="n">
        <v>6</v>
      </c>
      <c r="B1720" s="6" t="s">
        <v>3192</v>
      </c>
      <c r="C1720" s="6" t="s">
        <v>1470</v>
      </c>
      <c r="D1720" s="6" t="str">
        <f aca="false">A1720&amp;"|"&amp;C1720</f>
        <v>6|Interdictor</v>
      </c>
      <c r="E1720" s="6" t="s">
        <v>1558</v>
      </c>
      <c r="F1720" s="6" t="s">
        <v>1542</v>
      </c>
      <c r="G1720" s="6" t="str">
        <f aca="false">INDEX(Archetypes!$D$2:$D$127, MATCH(D1720, Archetypes!$A$2:$A$127, 0))</f>
        <v>EW/Utility</v>
      </c>
      <c r="H1720" s="6" t="n">
        <f aca="false">ROUND(INDEX(Archetypes!$E$2:$E$127, MATCH(D1720, Archetypes!$A$2:$A$127, 0))*INDEX(Unit_Grades!$B$2:$B$7, MATCH(F1720, Unit_Grades!$A$2:$A$7, 0))*INDEX(Unit_Paths!$B$2:$B$4, MATCH(E1720, Unit_Paths!$A$2:$A$4, 0)),1)</f>
        <v>1036.8</v>
      </c>
      <c r="I1720" s="6" t="n">
        <f aca="false">ROUND(INDEX(Archetypes!$F$2:$F$127, MATCH(D1720, Archetypes!$A$2:$A$127, 0))*INDEX(Unit_Grades!$B$2:$B$7, MATCH(F1720, Unit_Grades!$A$2:$A$7, 0))*INDEX(Unit_Paths!$C$2:$C$4, MATCH(E1720, Unit_Paths!$A$2:$A$4, 0)),1)</f>
        <v>642.6</v>
      </c>
      <c r="J1720" s="6" t="n">
        <f aca="false">ROUND(INDEX(Archetypes!$G$2:$G$127, MATCH(D1720, Archetypes!$A$2:$A$127, 0))*INDEX(Unit_Grades!$B$2:$B$7, MATCH(F1720, Unit_Grades!$A$2:$A$7, 0))*INDEX(Unit_Paths!$D$2:$D$4, MATCH(E1720, Unit_Paths!$A$2:$A$4, 0)),0)</f>
        <v>3420</v>
      </c>
      <c r="K1720" s="6" t="n">
        <f aca="false">ROUND(INDEX(Archetypes!$H$2:$H$127, MATCH(D1720, Archetypes!$A$2:$A$127, 0))*INDEX(Unit_Paths!$E$2:$E$4, MATCH(E1720, Unit_Paths!$A$2:$A$4, 0)),1)</f>
        <v>63</v>
      </c>
      <c r="L1720" s="6" t="n">
        <f aca="false">ROUND(INDEX(Archetypes!$I$2:$I$127, MATCH(D1720, Archetypes!$A$2:$A$127, 0))*INDEX(Unit_Grades!$C$2:$C$7, MATCH(F1720, Unit_Grades!$A$2:$A$7, 0)),1)</f>
        <v>105.6</v>
      </c>
      <c r="M1720" s="6" t="n">
        <f aca="false">ROUND(INDEX(Archetypes!$J$2:$J$127, MATCH(D1720, Archetypes!$A$2:$A$127, 0))*INDEX(Unit_Grades!$D$2:$D$7, MATCH(F1720, Unit_Grades!$A$2:$A$7, 0)),1)</f>
        <v>67</v>
      </c>
      <c r="N1720" s="6" t="n">
        <f aca="false">ROUND(M1720/24,2)</f>
        <v>2.79</v>
      </c>
    </row>
    <row r="1721" customFormat="false" ht="15" hidden="false" customHeight="true" outlineLevel="0" collapsed="false">
      <c r="A1721" s="6" t="n">
        <v>6</v>
      </c>
      <c r="B1721" s="6" t="s">
        <v>3193</v>
      </c>
      <c r="C1721" s="6" t="s">
        <v>1470</v>
      </c>
      <c r="D1721" s="6" t="str">
        <f aca="false">A1721&amp;"|"&amp;C1721</f>
        <v>6|Interdictor</v>
      </c>
      <c r="E1721" s="6" t="s">
        <v>1558</v>
      </c>
      <c r="F1721" s="6" t="s">
        <v>1544</v>
      </c>
      <c r="G1721" s="6" t="str">
        <f aca="false">INDEX(Archetypes!$D$2:$D$127, MATCH(D1721, Archetypes!$A$2:$A$127, 0))</f>
        <v>EW/Utility</v>
      </c>
      <c r="H1721" s="6" t="n">
        <f aca="false">ROUND(INDEX(Archetypes!$E$2:$E$127, MATCH(D1721, Archetypes!$A$2:$A$127, 0))*INDEX(Unit_Grades!$B$2:$B$7, MATCH(F1721, Unit_Grades!$A$2:$A$7, 0))*INDEX(Unit_Paths!$B$2:$B$4, MATCH(E1721, Unit_Paths!$A$2:$A$4, 0)),1)</f>
        <v>1382.4</v>
      </c>
      <c r="I1721" s="6" t="n">
        <f aca="false">ROUND(INDEX(Archetypes!$F$2:$F$127, MATCH(D1721, Archetypes!$A$2:$A$127, 0))*INDEX(Unit_Grades!$B$2:$B$7, MATCH(F1721, Unit_Grades!$A$2:$A$7, 0))*INDEX(Unit_Paths!$C$2:$C$4, MATCH(E1721, Unit_Paths!$A$2:$A$4, 0)),1)</f>
        <v>856.8</v>
      </c>
      <c r="J1721" s="6" t="n">
        <f aca="false">ROUND(INDEX(Archetypes!$G$2:$G$127, MATCH(D1721, Archetypes!$A$2:$A$127, 0))*INDEX(Unit_Grades!$B$2:$B$7, MATCH(F1721, Unit_Grades!$A$2:$A$7, 0))*INDEX(Unit_Paths!$D$2:$D$4, MATCH(E1721, Unit_Paths!$A$2:$A$4, 0)),0)</f>
        <v>4560</v>
      </c>
      <c r="K1721" s="6" t="n">
        <f aca="false">ROUND(INDEX(Archetypes!$H$2:$H$127, MATCH(D1721, Archetypes!$A$2:$A$127, 0))*INDEX(Unit_Paths!$E$2:$E$4, MATCH(E1721, Unit_Paths!$A$2:$A$4, 0)),1)</f>
        <v>63</v>
      </c>
      <c r="L1721" s="6" t="n">
        <f aca="false">ROUND(INDEX(Archetypes!$I$2:$I$127, MATCH(D1721, Archetypes!$A$2:$A$127, 0))*INDEX(Unit_Grades!$C$2:$C$7, MATCH(F1721, Unit_Grades!$A$2:$A$7, 0)),1)</f>
        <v>138.6</v>
      </c>
      <c r="M1721" s="6" t="n">
        <f aca="false">ROUND(INDEX(Archetypes!$J$2:$J$127, MATCH(D1721, Archetypes!$A$2:$A$127, 0))*INDEX(Unit_Grades!$D$2:$D$7, MATCH(F1721, Unit_Grades!$A$2:$A$7, 0)),1)</f>
        <v>107.2</v>
      </c>
      <c r="N1721" s="6" t="n">
        <f aca="false">ROUND(M1721/24,2)</f>
        <v>4.47</v>
      </c>
    </row>
    <row r="1722" customFormat="false" ht="15" hidden="false" customHeight="true" outlineLevel="0" collapsed="false">
      <c r="A1722" s="6" t="n">
        <v>6</v>
      </c>
      <c r="B1722" s="6" t="s">
        <v>3194</v>
      </c>
      <c r="C1722" s="6" t="s">
        <v>1470</v>
      </c>
      <c r="D1722" s="6" t="str">
        <f aca="false">A1722&amp;"|"&amp;C1722</f>
        <v>6|Interdictor</v>
      </c>
      <c r="E1722" s="6" t="s">
        <v>1558</v>
      </c>
      <c r="F1722" s="6" t="s">
        <v>1546</v>
      </c>
      <c r="G1722" s="6" t="str">
        <f aca="false">INDEX(Archetypes!$D$2:$D$127, MATCH(D1722, Archetypes!$A$2:$A$127, 0))</f>
        <v>EW/Utility</v>
      </c>
      <c r="H1722" s="6" t="n">
        <f aca="false">ROUND(INDEX(Archetypes!$E$2:$E$127, MATCH(D1722, Archetypes!$A$2:$A$127, 0))*INDEX(Unit_Grades!$B$2:$B$7, MATCH(F1722, Unit_Grades!$A$2:$A$7, 0))*INDEX(Unit_Paths!$B$2:$B$4, MATCH(E1722, Unit_Paths!$A$2:$A$4, 0)),1)</f>
        <v>1843.2</v>
      </c>
      <c r="I1722" s="6" t="n">
        <f aca="false">ROUND(INDEX(Archetypes!$F$2:$F$127, MATCH(D1722, Archetypes!$A$2:$A$127, 0))*INDEX(Unit_Grades!$B$2:$B$7, MATCH(F1722, Unit_Grades!$A$2:$A$7, 0))*INDEX(Unit_Paths!$C$2:$C$4, MATCH(E1722, Unit_Paths!$A$2:$A$4, 0)),1)</f>
        <v>1142.4</v>
      </c>
      <c r="J1722" s="6" t="n">
        <f aca="false">ROUND(INDEX(Archetypes!$G$2:$G$127, MATCH(D1722, Archetypes!$A$2:$A$127, 0))*INDEX(Unit_Grades!$B$2:$B$7, MATCH(F1722, Unit_Grades!$A$2:$A$7, 0))*INDEX(Unit_Paths!$D$2:$D$4, MATCH(E1722, Unit_Paths!$A$2:$A$4, 0)),0)</f>
        <v>6080</v>
      </c>
      <c r="K1722" s="6" t="n">
        <f aca="false">ROUND(INDEX(Archetypes!$H$2:$H$127, MATCH(D1722, Archetypes!$A$2:$A$127, 0))*INDEX(Unit_Paths!$E$2:$E$4, MATCH(E1722, Unit_Paths!$A$2:$A$4, 0)),1)</f>
        <v>63</v>
      </c>
      <c r="L1722" s="6" t="n">
        <f aca="false">ROUND(INDEX(Archetypes!$I$2:$I$127, MATCH(D1722, Archetypes!$A$2:$A$127, 0))*INDEX(Unit_Grades!$C$2:$C$7, MATCH(F1722, Unit_Grades!$A$2:$A$7, 0)),1)</f>
        <v>184.8</v>
      </c>
      <c r="M1722" s="6" t="n">
        <f aca="false">ROUND(INDEX(Archetypes!$J$2:$J$127, MATCH(D1722, Archetypes!$A$2:$A$127, 0))*INDEX(Unit_Grades!$D$2:$D$7, MATCH(F1722, Unit_Grades!$A$2:$A$7, 0)),1)</f>
        <v>187.5</v>
      </c>
      <c r="N1722" s="6" t="n">
        <f aca="false">ROUND(M1722/24,2)</f>
        <v>7.81</v>
      </c>
    </row>
    <row r="1723" customFormat="false" ht="15" hidden="false" customHeight="true" outlineLevel="0" collapsed="false">
      <c r="A1723" s="6" t="n">
        <v>6</v>
      </c>
      <c r="B1723" s="6" t="s">
        <v>3195</v>
      </c>
      <c r="C1723" s="6" t="s">
        <v>1470</v>
      </c>
      <c r="D1723" s="6" t="str">
        <f aca="false">A1723&amp;"|"&amp;C1723</f>
        <v>6|Interdictor</v>
      </c>
      <c r="E1723" s="6" t="s">
        <v>1558</v>
      </c>
      <c r="F1723" s="6" t="s">
        <v>1548</v>
      </c>
      <c r="G1723" s="6" t="str">
        <f aca="false">INDEX(Archetypes!$D$2:$D$127, MATCH(D1723, Archetypes!$A$2:$A$127, 0))</f>
        <v>EW/Utility</v>
      </c>
      <c r="H1723" s="6" t="n">
        <f aca="false">ROUND(INDEX(Archetypes!$E$2:$E$127, MATCH(D1723, Archetypes!$A$2:$A$127, 0))*INDEX(Unit_Grades!$B$2:$B$7, MATCH(F1723, Unit_Grades!$A$2:$A$7, 0))*INDEX(Unit_Paths!$B$2:$B$4, MATCH(E1723, Unit_Paths!$A$2:$A$4, 0)),1)</f>
        <v>2419.2</v>
      </c>
      <c r="I1723" s="6" t="n">
        <f aca="false">ROUND(INDEX(Archetypes!$F$2:$F$127, MATCH(D1723, Archetypes!$A$2:$A$127, 0))*INDEX(Unit_Grades!$B$2:$B$7, MATCH(F1723, Unit_Grades!$A$2:$A$7, 0))*INDEX(Unit_Paths!$C$2:$C$4, MATCH(E1723, Unit_Paths!$A$2:$A$4, 0)),1)</f>
        <v>1499.4</v>
      </c>
      <c r="J1723" s="6" t="n">
        <f aca="false">ROUND(INDEX(Archetypes!$G$2:$G$127, MATCH(D1723, Archetypes!$A$2:$A$127, 0))*INDEX(Unit_Grades!$B$2:$B$7, MATCH(F1723, Unit_Grades!$A$2:$A$7, 0))*INDEX(Unit_Paths!$D$2:$D$4, MATCH(E1723, Unit_Paths!$A$2:$A$4, 0)),0)</f>
        <v>7980</v>
      </c>
      <c r="K1723" s="6" t="n">
        <f aca="false">ROUND(INDEX(Archetypes!$H$2:$H$127, MATCH(D1723, Archetypes!$A$2:$A$127, 0))*INDEX(Unit_Paths!$E$2:$E$4, MATCH(E1723, Unit_Paths!$A$2:$A$4, 0)),1)</f>
        <v>63</v>
      </c>
      <c r="L1723" s="6" t="n">
        <f aca="false">ROUND(INDEX(Archetypes!$I$2:$I$127, MATCH(D1723, Archetypes!$A$2:$A$127, 0))*INDEX(Unit_Grades!$C$2:$C$7, MATCH(F1723, Unit_Grades!$A$2:$A$7, 0)),1)</f>
        <v>244.2</v>
      </c>
      <c r="M1723" s="6" t="n">
        <f aca="false">ROUND(INDEX(Archetypes!$J$2:$J$127, MATCH(D1723, Archetypes!$A$2:$A$127, 0))*INDEX(Unit_Grades!$D$2:$D$7, MATCH(F1723, Unit_Grades!$A$2:$A$7, 0)),1)</f>
        <v>321.5</v>
      </c>
      <c r="N1723" s="6" t="n">
        <f aca="false">ROUND(M1723/24,2)</f>
        <v>13.4</v>
      </c>
    </row>
    <row r="1724" customFormat="false" ht="15" hidden="false" customHeight="true" outlineLevel="0" collapsed="false">
      <c r="A1724" s="6" t="n">
        <v>6</v>
      </c>
      <c r="B1724" s="6" t="s">
        <v>3196</v>
      </c>
      <c r="C1724" s="6" t="s">
        <v>1470</v>
      </c>
      <c r="D1724" s="6" t="str">
        <f aca="false">A1724&amp;"|"&amp;C1724</f>
        <v>6|Interdictor</v>
      </c>
      <c r="E1724" s="6" t="s">
        <v>1560</v>
      </c>
      <c r="F1724" s="6" t="s">
        <v>1538</v>
      </c>
      <c r="G1724" s="6" t="str">
        <f aca="false">INDEX(Archetypes!$D$2:$D$127, MATCH(D1724, Archetypes!$A$2:$A$127, 0))</f>
        <v>EW/Utility</v>
      </c>
      <c r="H1724" s="6" t="n">
        <f aca="false">ROUND(INDEX(Archetypes!$E$2:$E$127, MATCH(D1724, Archetypes!$A$2:$A$127, 0))*INDEX(Unit_Grades!$B$2:$B$7, MATCH(F1724, Unit_Grades!$A$2:$A$7, 0))*INDEX(Unit_Paths!$B$2:$B$4, MATCH(E1724, Unit_Paths!$A$2:$A$4, 0)),1)</f>
        <v>408</v>
      </c>
      <c r="I1724" s="6" t="n">
        <f aca="false">ROUND(INDEX(Archetypes!$F$2:$F$127, MATCH(D1724, Archetypes!$A$2:$A$127, 0))*INDEX(Unit_Grades!$B$2:$B$7, MATCH(F1724, Unit_Grades!$A$2:$A$7, 0))*INDEX(Unit_Paths!$C$2:$C$4, MATCH(E1724, Unit_Paths!$A$2:$A$4, 0)),1)</f>
        <v>525</v>
      </c>
      <c r="J1724" s="6" t="n">
        <f aca="false">ROUND(INDEX(Archetypes!$G$2:$G$127, MATCH(D1724, Archetypes!$A$2:$A$127, 0))*INDEX(Unit_Grades!$B$2:$B$7, MATCH(F1724, Unit_Grades!$A$2:$A$7, 0))*INDEX(Unit_Paths!$D$2:$D$4, MATCH(E1724, Unit_Paths!$A$2:$A$4, 0)),0)</f>
        <v>2300</v>
      </c>
      <c r="K1724" s="6" t="n">
        <f aca="false">ROUND(INDEX(Archetypes!$H$2:$H$127, MATCH(D1724, Archetypes!$A$2:$A$127, 0))*INDEX(Unit_Paths!$E$2:$E$4, MATCH(E1724, Unit_Paths!$A$2:$A$4, 0)),1)</f>
        <v>55.2</v>
      </c>
      <c r="L1724" s="6" t="n">
        <f aca="false">ROUND(INDEX(Archetypes!$I$2:$I$127, MATCH(D1724, Archetypes!$A$2:$A$127, 0))*INDEX(Unit_Grades!$C$2:$C$7, MATCH(F1724, Unit_Grades!$A$2:$A$7, 0)),1)</f>
        <v>66</v>
      </c>
      <c r="M1724" s="6" t="n">
        <f aca="false">ROUND(INDEX(Archetypes!$J$2:$J$127, MATCH(D1724, Archetypes!$A$2:$A$127, 0))*INDEX(Unit_Grades!$D$2:$D$7, MATCH(F1724, Unit_Grades!$A$2:$A$7, 0)),1)</f>
        <v>26.8</v>
      </c>
      <c r="N1724" s="6" t="n">
        <f aca="false">ROUND(M1724/24,2)</f>
        <v>1.12</v>
      </c>
    </row>
    <row r="1725" customFormat="false" ht="15" hidden="false" customHeight="true" outlineLevel="0" collapsed="false">
      <c r="A1725" s="6" t="n">
        <v>6</v>
      </c>
      <c r="B1725" s="6" t="s">
        <v>3197</v>
      </c>
      <c r="C1725" s="6" t="s">
        <v>1470</v>
      </c>
      <c r="D1725" s="6" t="str">
        <f aca="false">A1725&amp;"|"&amp;C1725</f>
        <v>6|Interdictor</v>
      </c>
      <c r="E1725" s="6" t="s">
        <v>1560</v>
      </c>
      <c r="F1725" s="6" t="s">
        <v>1540</v>
      </c>
      <c r="G1725" s="6" t="str">
        <f aca="false">INDEX(Archetypes!$D$2:$D$127, MATCH(D1725, Archetypes!$A$2:$A$127, 0))</f>
        <v>EW/Utility</v>
      </c>
      <c r="H1725" s="6" t="n">
        <f aca="false">ROUND(INDEX(Archetypes!$E$2:$E$127, MATCH(D1725, Archetypes!$A$2:$A$127, 0))*INDEX(Unit_Grades!$B$2:$B$7, MATCH(F1725, Unit_Grades!$A$2:$A$7, 0))*INDEX(Unit_Paths!$B$2:$B$4, MATCH(E1725, Unit_Paths!$A$2:$A$4, 0)),1)</f>
        <v>550.8</v>
      </c>
      <c r="I1725" s="6" t="n">
        <f aca="false">ROUND(INDEX(Archetypes!$F$2:$F$127, MATCH(D1725, Archetypes!$A$2:$A$127, 0))*INDEX(Unit_Grades!$B$2:$B$7, MATCH(F1725, Unit_Grades!$A$2:$A$7, 0))*INDEX(Unit_Paths!$C$2:$C$4, MATCH(E1725, Unit_Paths!$A$2:$A$4, 0)),1)</f>
        <v>708.8</v>
      </c>
      <c r="J1725" s="6" t="n">
        <f aca="false">ROUND(INDEX(Archetypes!$G$2:$G$127, MATCH(D1725, Archetypes!$A$2:$A$127, 0))*INDEX(Unit_Grades!$B$2:$B$7, MATCH(F1725, Unit_Grades!$A$2:$A$7, 0))*INDEX(Unit_Paths!$D$2:$D$4, MATCH(E1725, Unit_Paths!$A$2:$A$4, 0)),0)</f>
        <v>3105</v>
      </c>
      <c r="K1725" s="6" t="n">
        <f aca="false">ROUND(INDEX(Archetypes!$H$2:$H$127, MATCH(D1725, Archetypes!$A$2:$A$127, 0))*INDEX(Unit_Paths!$E$2:$E$4, MATCH(E1725, Unit_Paths!$A$2:$A$4, 0)),1)</f>
        <v>55.2</v>
      </c>
      <c r="L1725" s="6" t="n">
        <f aca="false">ROUND(INDEX(Archetypes!$I$2:$I$127, MATCH(D1725, Archetypes!$A$2:$A$127, 0))*INDEX(Unit_Grades!$C$2:$C$7, MATCH(F1725, Unit_Grades!$A$2:$A$7, 0)),1)</f>
        <v>82.5</v>
      </c>
      <c r="M1725" s="6" t="n">
        <f aca="false">ROUND(INDEX(Archetypes!$J$2:$J$127, MATCH(D1725, Archetypes!$A$2:$A$127, 0))*INDEX(Unit_Grades!$D$2:$D$7, MATCH(F1725, Unit_Grades!$A$2:$A$7, 0)),1)</f>
        <v>40.2</v>
      </c>
      <c r="N1725" s="6" t="n">
        <f aca="false">ROUND(M1725/24,2)</f>
        <v>1.68</v>
      </c>
    </row>
    <row r="1726" customFormat="false" ht="15" hidden="false" customHeight="true" outlineLevel="0" collapsed="false">
      <c r="A1726" s="6" t="n">
        <v>6</v>
      </c>
      <c r="B1726" s="6" t="s">
        <v>3198</v>
      </c>
      <c r="C1726" s="6" t="s">
        <v>1470</v>
      </c>
      <c r="D1726" s="6" t="str">
        <f aca="false">A1726&amp;"|"&amp;C1726</f>
        <v>6|Interdictor</v>
      </c>
      <c r="E1726" s="6" t="s">
        <v>1560</v>
      </c>
      <c r="F1726" s="6" t="s">
        <v>1542</v>
      </c>
      <c r="G1726" s="6" t="str">
        <f aca="false">INDEX(Archetypes!$D$2:$D$127, MATCH(D1726, Archetypes!$A$2:$A$127, 0))</f>
        <v>EW/Utility</v>
      </c>
      <c r="H1726" s="6" t="n">
        <f aca="false">ROUND(INDEX(Archetypes!$E$2:$E$127, MATCH(D1726, Archetypes!$A$2:$A$127, 0))*INDEX(Unit_Grades!$B$2:$B$7, MATCH(F1726, Unit_Grades!$A$2:$A$7, 0))*INDEX(Unit_Paths!$B$2:$B$4, MATCH(E1726, Unit_Paths!$A$2:$A$4, 0)),1)</f>
        <v>734.4</v>
      </c>
      <c r="I1726" s="6" t="n">
        <f aca="false">ROUND(INDEX(Archetypes!$F$2:$F$127, MATCH(D1726, Archetypes!$A$2:$A$127, 0))*INDEX(Unit_Grades!$B$2:$B$7, MATCH(F1726, Unit_Grades!$A$2:$A$7, 0))*INDEX(Unit_Paths!$C$2:$C$4, MATCH(E1726, Unit_Paths!$A$2:$A$4, 0)),1)</f>
        <v>945</v>
      </c>
      <c r="J1726" s="6" t="n">
        <f aca="false">ROUND(INDEX(Archetypes!$G$2:$G$127, MATCH(D1726, Archetypes!$A$2:$A$127, 0))*INDEX(Unit_Grades!$B$2:$B$7, MATCH(F1726, Unit_Grades!$A$2:$A$7, 0))*INDEX(Unit_Paths!$D$2:$D$4, MATCH(E1726, Unit_Paths!$A$2:$A$4, 0)),0)</f>
        <v>4140</v>
      </c>
      <c r="K1726" s="6" t="n">
        <f aca="false">ROUND(INDEX(Archetypes!$H$2:$H$127, MATCH(D1726, Archetypes!$A$2:$A$127, 0))*INDEX(Unit_Paths!$E$2:$E$4, MATCH(E1726, Unit_Paths!$A$2:$A$4, 0)),1)</f>
        <v>55.2</v>
      </c>
      <c r="L1726" s="6" t="n">
        <f aca="false">ROUND(INDEX(Archetypes!$I$2:$I$127, MATCH(D1726, Archetypes!$A$2:$A$127, 0))*INDEX(Unit_Grades!$C$2:$C$7, MATCH(F1726, Unit_Grades!$A$2:$A$7, 0)),1)</f>
        <v>105.6</v>
      </c>
      <c r="M1726" s="6" t="n">
        <f aca="false">ROUND(INDEX(Archetypes!$J$2:$J$127, MATCH(D1726, Archetypes!$A$2:$A$127, 0))*INDEX(Unit_Grades!$D$2:$D$7, MATCH(F1726, Unit_Grades!$A$2:$A$7, 0)),1)</f>
        <v>67</v>
      </c>
      <c r="N1726" s="6" t="n">
        <f aca="false">ROUND(M1726/24,2)</f>
        <v>2.79</v>
      </c>
    </row>
    <row r="1727" customFormat="false" ht="15" hidden="false" customHeight="true" outlineLevel="0" collapsed="false">
      <c r="A1727" s="6" t="n">
        <v>6</v>
      </c>
      <c r="B1727" s="6" t="s">
        <v>3199</v>
      </c>
      <c r="C1727" s="6" t="s">
        <v>1470</v>
      </c>
      <c r="D1727" s="6" t="str">
        <f aca="false">A1727&amp;"|"&amp;C1727</f>
        <v>6|Interdictor</v>
      </c>
      <c r="E1727" s="6" t="s">
        <v>1560</v>
      </c>
      <c r="F1727" s="6" t="s">
        <v>1544</v>
      </c>
      <c r="G1727" s="6" t="str">
        <f aca="false">INDEX(Archetypes!$D$2:$D$127, MATCH(D1727, Archetypes!$A$2:$A$127, 0))</f>
        <v>EW/Utility</v>
      </c>
      <c r="H1727" s="6" t="n">
        <f aca="false">ROUND(INDEX(Archetypes!$E$2:$E$127, MATCH(D1727, Archetypes!$A$2:$A$127, 0))*INDEX(Unit_Grades!$B$2:$B$7, MATCH(F1727, Unit_Grades!$A$2:$A$7, 0))*INDEX(Unit_Paths!$B$2:$B$4, MATCH(E1727, Unit_Paths!$A$2:$A$4, 0)),1)</f>
        <v>979.2</v>
      </c>
      <c r="I1727" s="6" t="n">
        <f aca="false">ROUND(INDEX(Archetypes!$F$2:$F$127, MATCH(D1727, Archetypes!$A$2:$A$127, 0))*INDEX(Unit_Grades!$B$2:$B$7, MATCH(F1727, Unit_Grades!$A$2:$A$7, 0))*INDEX(Unit_Paths!$C$2:$C$4, MATCH(E1727, Unit_Paths!$A$2:$A$4, 0)),1)</f>
        <v>1260</v>
      </c>
      <c r="J1727" s="6" t="n">
        <f aca="false">ROUND(INDEX(Archetypes!$G$2:$G$127, MATCH(D1727, Archetypes!$A$2:$A$127, 0))*INDEX(Unit_Grades!$B$2:$B$7, MATCH(F1727, Unit_Grades!$A$2:$A$7, 0))*INDEX(Unit_Paths!$D$2:$D$4, MATCH(E1727, Unit_Paths!$A$2:$A$4, 0)),0)</f>
        <v>5520</v>
      </c>
      <c r="K1727" s="6" t="n">
        <f aca="false">ROUND(INDEX(Archetypes!$H$2:$H$127, MATCH(D1727, Archetypes!$A$2:$A$127, 0))*INDEX(Unit_Paths!$E$2:$E$4, MATCH(E1727, Unit_Paths!$A$2:$A$4, 0)),1)</f>
        <v>55.2</v>
      </c>
      <c r="L1727" s="6" t="n">
        <f aca="false">ROUND(INDEX(Archetypes!$I$2:$I$127, MATCH(D1727, Archetypes!$A$2:$A$127, 0))*INDEX(Unit_Grades!$C$2:$C$7, MATCH(F1727, Unit_Grades!$A$2:$A$7, 0)),1)</f>
        <v>138.6</v>
      </c>
      <c r="M1727" s="6" t="n">
        <f aca="false">ROUND(INDEX(Archetypes!$J$2:$J$127, MATCH(D1727, Archetypes!$A$2:$A$127, 0))*INDEX(Unit_Grades!$D$2:$D$7, MATCH(F1727, Unit_Grades!$A$2:$A$7, 0)),1)</f>
        <v>107.2</v>
      </c>
      <c r="N1727" s="6" t="n">
        <f aca="false">ROUND(M1727/24,2)</f>
        <v>4.47</v>
      </c>
    </row>
    <row r="1728" customFormat="false" ht="15" hidden="false" customHeight="true" outlineLevel="0" collapsed="false">
      <c r="A1728" s="6" t="n">
        <v>6</v>
      </c>
      <c r="B1728" s="6" t="s">
        <v>3200</v>
      </c>
      <c r="C1728" s="6" t="s">
        <v>1470</v>
      </c>
      <c r="D1728" s="6" t="str">
        <f aca="false">A1728&amp;"|"&amp;C1728</f>
        <v>6|Interdictor</v>
      </c>
      <c r="E1728" s="6" t="s">
        <v>1560</v>
      </c>
      <c r="F1728" s="6" t="s">
        <v>1546</v>
      </c>
      <c r="G1728" s="6" t="str">
        <f aca="false">INDEX(Archetypes!$D$2:$D$127, MATCH(D1728, Archetypes!$A$2:$A$127, 0))</f>
        <v>EW/Utility</v>
      </c>
      <c r="H1728" s="6" t="n">
        <f aca="false">ROUND(INDEX(Archetypes!$E$2:$E$127, MATCH(D1728, Archetypes!$A$2:$A$127, 0))*INDEX(Unit_Grades!$B$2:$B$7, MATCH(F1728, Unit_Grades!$A$2:$A$7, 0))*INDEX(Unit_Paths!$B$2:$B$4, MATCH(E1728, Unit_Paths!$A$2:$A$4, 0)),1)</f>
        <v>1305.6</v>
      </c>
      <c r="I1728" s="6" t="n">
        <f aca="false">ROUND(INDEX(Archetypes!$F$2:$F$127, MATCH(D1728, Archetypes!$A$2:$A$127, 0))*INDEX(Unit_Grades!$B$2:$B$7, MATCH(F1728, Unit_Grades!$A$2:$A$7, 0))*INDEX(Unit_Paths!$C$2:$C$4, MATCH(E1728, Unit_Paths!$A$2:$A$4, 0)),1)</f>
        <v>1680</v>
      </c>
      <c r="J1728" s="6" t="n">
        <f aca="false">ROUND(INDEX(Archetypes!$G$2:$G$127, MATCH(D1728, Archetypes!$A$2:$A$127, 0))*INDEX(Unit_Grades!$B$2:$B$7, MATCH(F1728, Unit_Grades!$A$2:$A$7, 0))*INDEX(Unit_Paths!$D$2:$D$4, MATCH(E1728, Unit_Paths!$A$2:$A$4, 0)),0)</f>
        <v>7360</v>
      </c>
      <c r="K1728" s="6" t="n">
        <f aca="false">ROUND(INDEX(Archetypes!$H$2:$H$127, MATCH(D1728, Archetypes!$A$2:$A$127, 0))*INDEX(Unit_Paths!$E$2:$E$4, MATCH(E1728, Unit_Paths!$A$2:$A$4, 0)),1)</f>
        <v>55.2</v>
      </c>
      <c r="L1728" s="6" t="n">
        <f aca="false">ROUND(INDEX(Archetypes!$I$2:$I$127, MATCH(D1728, Archetypes!$A$2:$A$127, 0))*INDEX(Unit_Grades!$C$2:$C$7, MATCH(F1728, Unit_Grades!$A$2:$A$7, 0)),1)</f>
        <v>184.8</v>
      </c>
      <c r="M1728" s="6" t="n">
        <f aca="false">ROUND(INDEX(Archetypes!$J$2:$J$127, MATCH(D1728, Archetypes!$A$2:$A$127, 0))*INDEX(Unit_Grades!$D$2:$D$7, MATCH(F1728, Unit_Grades!$A$2:$A$7, 0)),1)</f>
        <v>187.5</v>
      </c>
      <c r="N1728" s="6" t="n">
        <f aca="false">ROUND(M1728/24,2)</f>
        <v>7.81</v>
      </c>
    </row>
    <row r="1729" customFormat="false" ht="15" hidden="false" customHeight="true" outlineLevel="0" collapsed="false">
      <c r="A1729" s="6" t="n">
        <v>6</v>
      </c>
      <c r="B1729" s="6" t="s">
        <v>3201</v>
      </c>
      <c r="C1729" s="6" t="s">
        <v>1470</v>
      </c>
      <c r="D1729" s="6" t="str">
        <f aca="false">A1729&amp;"|"&amp;C1729</f>
        <v>6|Interdictor</v>
      </c>
      <c r="E1729" s="6" t="s">
        <v>1560</v>
      </c>
      <c r="F1729" s="6" t="s">
        <v>1548</v>
      </c>
      <c r="G1729" s="6" t="str">
        <f aca="false">INDEX(Archetypes!$D$2:$D$127, MATCH(D1729, Archetypes!$A$2:$A$127, 0))</f>
        <v>EW/Utility</v>
      </c>
      <c r="H1729" s="6" t="n">
        <f aca="false">ROUND(INDEX(Archetypes!$E$2:$E$127, MATCH(D1729, Archetypes!$A$2:$A$127, 0))*INDEX(Unit_Grades!$B$2:$B$7, MATCH(F1729, Unit_Grades!$A$2:$A$7, 0))*INDEX(Unit_Paths!$B$2:$B$4, MATCH(E1729, Unit_Paths!$A$2:$A$4, 0)),1)</f>
        <v>1713.6</v>
      </c>
      <c r="I1729" s="6" t="n">
        <f aca="false">ROUND(INDEX(Archetypes!$F$2:$F$127, MATCH(D1729, Archetypes!$A$2:$A$127, 0))*INDEX(Unit_Grades!$B$2:$B$7, MATCH(F1729, Unit_Grades!$A$2:$A$7, 0))*INDEX(Unit_Paths!$C$2:$C$4, MATCH(E1729, Unit_Paths!$A$2:$A$4, 0)),1)</f>
        <v>2205</v>
      </c>
      <c r="J1729" s="6" t="n">
        <f aca="false">ROUND(INDEX(Archetypes!$G$2:$G$127, MATCH(D1729, Archetypes!$A$2:$A$127, 0))*INDEX(Unit_Grades!$B$2:$B$7, MATCH(F1729, Unit_Grades!$A$2:$A$7, 0))*INDEX(Unit_Paths!$D$2:$D$4, MATCH(E1729, Unit_Paths!$A$2:$A$4, 0)),0)</f>
        <v>9660</v>
      </c>
      <c r="K1729" s="6" t="n">
        <f aca="false">ROUND(INDEX(Archetypes!$H$2:$H$127, MATCH(D1729, Archetypes!$A$2:$A$127, 0))*INDEX(Unit_Paths!$E$2:$E$4, MATCH(E1729, Unit_Paths!$A$2:$A$4, 0)),1)</f>
        <v>55.2</v>
      </c>
      <c r="L1729" s="6" t="n">
        <f aca="false">ROUND(INDEX(Archetypes!$I$2:$I$127, MATCH(D1729, Archetypes!$A$2:$A$127, 0))*INDEX(Unit_Grades!$C$2:$C$7, MATCH(F1729, Unit_Grades!$A$2:$A$7, 0)),1)</f>
        <v>244.2</v>
      </c>
      <c r="M1729" s="6" t="n">
        <f aca="false">ROUND(INDEX(Archetypes!$J$2:$J$127, MATCH(D1729, Archetypes!$A$2:$A$127, 0))*INDEX(Unit_Grades!$D$2:$D$7, MATCH(F1729, Unit_Grades!$A$2:$A$7, 0)),1)</f>
        <v>321.5</v>
      </c>
      <c r="N1729" s="6" t="n">
        <f aca="false">ROUND(M1729/24,2)</f>
        <v>13.4</v>
      </c>
    </row>
    <row r="1730" customFormat="false" ht="15" hidden="false" customHeight="true" outlineLevel="0" collapsed="false">
      <c r="A1730" s="6" t="n">
        <v>6</v>
      </c>
      <c r="B1730" s="6" t="s">
        <v>1472</v>
      </c>
      <c r="C1730" s="6" t="s">
        <v>1472</v>
      </c>
      <c r="D1730" s="6" t="str">
        <f aca="false">A1730&amp;"|"&amp;C1730</f>
        <v>6|Wormhole Tender</v>
      </c>
      <c r="E1730" s="6" t="s">
        <v>1556</v>
      </c>
      <c r="F1730" s="6" t="s">
        <v>1538</v>
      </c>
      <c r="G1730" s="6" t="str">
        <f aca="false">INDEX(Archetypes!$D$2:$D$127, MATCH(D1730, Archetypes!$A$2:$A$127, 0))</f>
        <v>Support</v>
      </c>
      <c r="H1730" s="6" t="n">
        <f aca="false">ROUND(INDEX(Archetypes!$E$2:$E$127, MATCH(D1730, Archetypes!$A$2:$A$127, 0))*INDEX(Unit_Grades!$B$2:$B$7, MATCH(F1730, Unit_Grades!$A$2:$A$7, 0))*INDEX(Unit_Paths!$B$2:$B$4, MATCH(E1730, Unit_Paths!$A$2:$A$4, 0)),1)</f>
        <v>300</v>
      </c>
      <c r="I1730" s="6" t="n">
        <f aca="false">ROUND(INDEX(Archetypes!$F$2:$F$127, MATCH(D1730, Archetypes!$A$2:$A$127, 0))*INDEX(Unit_Grades!$B$2:$B$7, MATCH(F1730, Unit_Grades!$A$2:$A$7, 0))*INDEX(Unit_Paths!$C$2:$C$4, MATCH(E1730, Unit_Paths!$A$2:$A$4, 0)),1)</f>
        <v>380</v>
      </c>
      <c r="J1730" s="6" t="n">
        <f aca="false">ROUND(INDEX(Archetypes!$G$2:$G$127, MATCH(D1730, Archetypes!$A$2:$A$127, 0))*INDEX(Unit_Grades!$B$2:$B$7, MATCH(F1730, Unit_Grades!$A$2:$A$7, 0))*INDEX(Unit_Paths!$D$2:$D$4, MATCH(E1730, Unit_Paths!$A$2:$A$4, 0)),0)</f>
        <v>1800</v>
      </c>
      <c r="K1730" s="6" t="n">
        <f aca="false">ROUND(INDEX(Archetypes!$H$2:$H$127, MATCH(D1730, Archetypes!$A$2:$A$127, 0))*INDEX(Unit_Paths!$E$2:$E$4, MATCH(E1730, Unit_Paths!$A$2:$A$4, 0)),1)</f>
        <v>62</v>
      </c>
      <c r="L1730" s="6" t="n">
        <f aca="false">ROUND(INDEX(Archetypes!$I$2:$I$127, MATCH(D1730, Archetypes!$A$2:$A$127, 0))*INDEX(Unit_Grades!$C$2:$C$7, MATCH(F1730, Unit_Grades!$A$2:$A$7, 0)),1)</f>
        <v>60</v>
      </c>
      <c r="M1730" s="6" t="n">
        <f aca="false">ROUND(INDEX(Archetypes!$J$2:$J$127, MATCH(D1730, Archetypes!$A$2:$A$127, 0))*INDEX(Unit_Grades!$D$2:$D$7, MATCH(F1730, Unit_Grades!$A$2:$A$7, 0)),1)</f>
        <v>24.4</v>
      </c>
      <c r="N1730" s="6" t="n">
        <f aca="false">ROUND(M1730/24,2)</f>
        <v>1.02</v>
      </c>
    </row>
    <row r="1731" customFormat="false" ht="15" hidden="false" customHeight="true" outlineLevel="0" collapsed="false">
      <c r="A1731" s="6" t="n">
        <v>6</v>
      </c>
      <c r="B1731" s="6" t="s">
        <v>3202</v>
      </c>
      <c r="C1731" s="6" t="s">
        <v>1472</v>
      </c>
      <c r="D1731" s="6" t="str">
        <f aca="false">A1731&amp;"|"&amp;C1731</f>
        <v>6|Wormhole Tender</v>
      </c>
      <c r="E1731" s="6" t="s">
        <v>1556</v>
      </c>
      <c r="F1731" s="6" t="s">
        <v>1540</v>
      </c>
      <c r="G1731" s="6" t="str">
        <f aca="false">INDEX(Archetypes!$D$2:$D$127, MATCH(D1731, Archetypes!$A$2:$A$127, 0))</f>
        <v>Support</v>
      </c>
      <c r="H1731" s="6" t="n">
        <f aca="false">ROUND(INDEX(Archetypes!$E$2:$E$127, MATCH(D1731, Archetypes!$A$2:$A$127, 0))*INDEX(Unit_Grades!$B$2:$B$7, MATCH(F1731, Unit_Grades!$A$2:$A$7, 0))*INDEX(Unit_Paths!$B$2:$B$4, MATCH(E1731, Unit_Paths!$A$2:$A$4, 0)),1)</f>
        <v>405</v>
      </c>
      <c r="I1731" s="6" t="n">
        <f aca="false">ROUND(INDEX(Archetypes!$F$2:$F$127, MATCH(D1731, Archetypes!$A$2:$A$127, 0))*INDEX(Unit_Grades!$B$2:$B$7, MATCH(F1731, Unit_Grades!$A$2:$A$7, 0))*INDEX(Unit_Paths!$C$2:$C$4, MATCH(E1731, Unit_Paths!$A$2:$A$4, 0)),1)</f>
        <v>513</v>
      </c>
      <c r="J1731" s="6" t="n">
        <f aca="false">ROUND(INDEX(Archetypes!$G$2:$G$127, MATCH(D1731, Archetypes!$A$2:$A$127, 0))*INDEX(Unit_Grades!$B$2:$B$7, MATCH(F1731, Unit_Grades!$A$2:$A$7, 0))*INDEX(Unit_Paths!$D$2:$D$4, MATCH(E1731, Unit_Paths!$A$2:$A$4, 0)),0)</f>
        <v>2430</v>
      </c>
      <c r="K1731" s="6" t="n">
        <f aca="false">ROUND(INDEX(Archetypes!$H$2:$H$127, MATCH(D1731, Archetypes!$A$2:$A$127, 0))*INDEX(Unit_Paths!$E$2:$E$4, MATCH(E1731, Unit_Paths!$A$2:$A$4, 0)),1)</f>
        <v>62</v>
      </c>
      <c r="L1731" s="6" t="n">
        <f aca="false">ROUND(INDEX(Archetypes!$I$2:$I$127, MATCH(D1731, Archetypes!$A$2:$A$127, 0))*INDEX(Unit_Grades!$C$2:$C$7, MATCH(F1731, Unit_Grades!$A$2:$A$7, 0)),1)</f>
        <v>75</v>
      </c>
      <c r="M1731" s="6" t="n">
        <f aca="false">ROUND(INDEX(Archetypes!$J$2:$J$127, MATCH(D1731, Archetypes!$A$2:$A$127, 0))*INDEX(Unit_Grades!$D$2:$D$7, MATCH(F1731, Unit_Grades!$A$2:$A$7, 0)),1)</f>
        <v>36.5</v>
      </c>
      <c r="N1731" s="6" t="n">
        <f aca="false">ROUND(M1731/24,2)</f>
        <v>1.52</v>
      </c>
    </row>
    <row r="1732" customFormat="false" ht="15" hidden="false" customHeight="true" outlineLevel="0" collapsed="false">
      <c r="A1732" s="6" t="n">
        <v>6</v>
      </c>
      <c r="B1732" s="6" t="s">
        <v>3203</v>
      </c>
      <c r="C1732" s="6" t="s">
        <v>1472</v>
      </c>
      <c r="D1732" s="6" t="str">
        <f aca="false">A1732&amp;"|"&amp;C1732</f>
        <v>6|Wormhole Tender</v>
      </c>
      <c r="E1732" s="6" t="s">
        <v>1556</v>
      </c>
      <c r="F1732" s="6" t="s">
        <v>1542</v>
      </c>
      <c r="G1732" s="6" t="str">
        <f aca="false">INDEX(Archetypes!$D$2:$D$127, MATCH(D1732, Archetypes!$A$2:$A$127, 0))</f>
        <v>Support</v>
      </c>
      <c r="H1732" s="6" t="n">
        <f aca="false">ROUND(INDEX(Archetypes!$E$2:$E$127, MATCH(D1732, Archetypes!$A$2:$A$127, 0))*INDEX(Unit_Grades!$B$2:$B$7, MATCH(F1732, Unit_Grades!$A$2:$A$7, 0))*INDEX(Unit_Paths!$B$2:$B$4, MATCH(E1732, Unit_Paths!$A$2:$A$4, 0)),1)</f>
        <v>540</v>
      </c>
      <c r="I1732" s="6" t="n">
        <f aca="false">ROUND(INDEX(Archetypes!$F$2:$F$127, MATCH(D1732, Archetypes!$A$2:$A$127, 0))*INDEX(Unit_Grades!$B$2:$B$7, MATCH(F1732, Unit_Grades!$A$2:$A$7, 0))*INDEX(Unit_Paths!$C$2:$C$4, MATCH(E1732, Unit_Paths!$A$2:$A$4, 0)),1)</f>
        <v>684</v>
      </c>
      <c r="J1732" s="6" t="n">
        <f aca="false">ROUND(INDEX(Archetypes!$G$2:$G$127, MATCH(D1732, Archetypes!$A$2:$A$127, 0))*INDEX(Unit_Grades!$B$2:$B$7, MATCH(F1732, Unit_Grades!$A$2:$A$7, 0))*INDEX(Unit_Paths!$D$2:$D$4, MATCH(E1732, Unit_Paths!$A$2:$A$4, 0)),0)</f>
        <v>3240</v>
      </c>
      <c r="K1732" s="6" t="n">
        <f aca="false">ROUND(INDEX(Archetypes!$H$2:$H$127, MATCH(D1732, Archetypes!$A$2:$A$127, 0))*INDEX(Unit_Paths!$E$2:$E$4, MATCH(E1732, Unit_Paths!$A$2:$A$4, 0)),1)</f>
        <v>62</v>
      </c>
      <c r="L1732" s="6" t="n">
        <f aca="false">ROUND(INDEX(Archetypes!$I$2:$I$127, MATCH(D1732, Archetypes!$A$2:$A$127, 0))*INDEX(Unit_Grades!$C$2:$C$7, MATCH(F1732, Unit_Grades!$A$2:$A$7, 0)),1)</f>
        <v>96</v>
      </c>
      <c r="M1732" s="6" t="n">
        <f aca="false">ROUND(INDEX(Archetypes!$J$2:$J$127, MATCH(D1732, Archetypes!$A$2:$A$127, 0))*INDEX(Unit_Grades!$D$2:$D$7, MATCH(F1732, Unit_Grades!$A$2:$A$7, 0)),1)</f>
        <v>60.9</v>
      </c>
      <c r="N1732" s="6" t="n">
        <f aca="false">ROUND(M1732/24,2)</f>
        <v>2.54</v>
      </c>
    </row>
    <row r="1733" customFormat="false" ht="15" hidden="false" customHeight="true" outlineLevel="0" collapsed="false">
      <c r="A1733" s="6" t="n">
        <v>6</v>
      </c>
      <c r="B1733" s="6" t="s">
        <v>3204</v>
      </c>
      <c r="C1733" s="6" t="s">
        <v>1472</v>
      </c>
      <c r="D1733" s="6" t="str">
        <f aca="false">A1733&amp;"|"&amp;C1733</f>
        <v>6|Wormhole Tender</v>
      </c>
      <c r="E1733" s="6" t="s">
        <v>1556</v>
      </c>
      <c r="F1733" s="6" t="s">
        <v>1544</v>
      </c>
      <c r="G1733" s="6" t="str">
        <f aca="false">INDEX(Archetypes!$D$2:$D$127, MATCH(D1733, Archetypes!$A$2:$A$127, 0))</f>
        <v>Support</v>
      </c>
      <c r="H1733" s="6" t="n">
        <f aca="false">ROUND(INDEX(Archetypes!$E$2:$E$127, MATCH(D1733, Archetypes!$A$2:$A$127, 0))*INDEX(Unit_Grades!$B$2:$B$7, MATCH(F1733, Unit_Grades!$A$2:$A$7, 0))*INDEX(Unit_Paths!$B$2:$B$4, MATCH(E1733, Unit_Paths!$A$2:$A$4, 0)),1)</f>
        <v>720</v>
      </c>
      <c r="I1733" s="6" t="n">
        <f aca="false">ROUND(INDEX(Archetypes!$F$2:$F$127, MATCH(D1733, Archetypes!$A$2:$A$127, 0))*INDEX(Unit_Grades!$B$2:$B$7, MATCH(F1733, Unit_Grades!$A$2:$A$7, 0))*INDEX(Unit_Paths!$C$2:$C$4, MATCH(E1733, Unit_Paths!$A$2:$A$4, 0)),1)</f>
        <v>912</v>
      </c>
      <c r="J1733" s="6" t="n">
        <f aca="false">ROUND(INDEX(Archetypes!$G$2:$G$127, MATCH(D1733, Archetypes!$A$2:$A$127, 0))*INDEX(Unit_Grades!$B$2:$B$7, MATCH(F1733, Unit_Grades!$A$2:$A$7, 0))*INDEX(Unit_Paths!$D$2:$D$4, MATCH(E1733, Unit_Paths!$A$2:$A$4, 0)),0)</f>
        <v>4320</v>
      </c>
      <c r="K1733" s="6" t="n">
        <f aca="false">ROUND(INDEX(Archetypes!$H$2:$H$127, MATCH(D1733, Archetypes!$A$2:$A$127, 0))*INDEX(Unit_Paths!$E$2:$E$4, MATCH(E1733, Unit_Paths!$A$2:$A$4, 0)),1)</f>
        <v>62</v>
      </c>
      <c r="L1733" s="6" t="n">
        <f aca="false">ROUND(INDEX(Archetypes!$I$2:$I$127, MATCH(D1733, Archetypes!$A$2:$A$127, 0))*INDEX(Unit_Grades!$C$2:$C$7, MATCH(F1733, Unit_Grades!$A$2:$A$7, 0)),1)</f>
        <v>126</v>
      </c>
      <c r="M1733" s="6" t="n">
        <f aca="false">ROUND(INDEX(Archetypes!$J$2:$J$127, MATCH(D1733, Archetypes!$A$2:$A$127, 0))*INDEX(Unit_Grades!$D$2:$D$7, MATCH(F1733, Unit_Grades!$A$2:$A$7, 0)),1)</f>
        <v>97.4</v>
      </c>
      <c r="N1733" s="6" t="n">
        <f aca="false">ROUND(M1733/24,2)</f>
        <v>4.06</v>
      </c>
    </row>
    <row r="1734" customFormat="false" ht="15" hidden="false" customHeight="true" outlineLevel="0" collapsed="false">
      <c r="A1734" s="6" t="n">
        <v>6</v>
      </c>
      <c r="B1734" s="6" t="s">
        <v>3205</v>
      </c>
      <c r="C1734" s="6" t="s">
        <v>1472</v>
      </c>
      <c r="D1734" s="6" t="str">
        <f aca="false">A1734&amp;"|"&amp;C1734</f>
        <v>6|Wormhole Tender</v>
      </c>
      <c r="E1734" s="6" t="s">
        <v>1556</v>
      </c>
      <c r="F1734" s="6" t="s">
        <v>1546</v>
      </c>
      <c r="G1734" s="6" t="str">
        <f aca="false">INDEX(Archetypes!$D$2:$D$127, MATCH(D1734, Archetypes!$A$2:$A$127, 0))</f>
        <v>Support</v>
      </c>
      <c r="H1734" s="6" t="n">
        <f aca="false">ROUND(INDEX(Archetypes!$E$2:$E$127, MATCH(D1734, Archetypes!$A$2:$A$127, 0))*INDEX(Unit_Grades!$B$2:$B$7, MATCH(F1734, Unit_Grades!$A$2:$A$7, 0))*INDEX(Unit_Paths!$B$2:$B$4, MATCH(E1734, Unit_Paths!$A$2:$A$4, 0)),1)</f>
        <v>960</v>
      </c>
      <c r="I1734" s="6" t="n">
        <f aca="false">ROUND(INDEX(Archetypes!$F$2:$F$127, MATCH(D1734, Archetypes!$A$2:$A$127, 0))*INDEX(Unit_Grades!$B$2:$B$7, MATCH(F1734, Unit_Grades!$A$2:$A$7, 0))*INDEX(Unit_Paths!$C$2:$C$4, MATCH(E1734, Unit_Paths!$A$2:$A$4, 0)),1)</f>
        <v>1216</v>
      </c>
      <c r="J1734" s="6" t="n">
        <f aca="false">ROUND(INDEX(Archetypes!$G$2:$G$127, MATCH(D1734, Archetypes!$A$2:$A$127, 0))*INDEX(Unit_Grades!$B$2:$B$7, MATCH(F1734, Unit_Grades!$A$2:$A$7, 0))*INDEX(Unit_Paths!$D$2:$D$4, MATCH(E1734, Unit_Paths!$A$2:$A$4, 0)),0)</f>
        <v>5760</v>
      </c>
      <c r="K1734" s="6" t="n">
        <f aca="false">ROUND(INDEX(Archetypes!$H$2:$H$127, MATCH(D1734, Archetypes!$A$2:$A$127, 0))*INDEX(Unit_Paths!$E$2:$E$4, MATCH(E1734, Unit_Paths!$A$2:$A$4, 0)),1)</f>
        <v>62</v>
      </c>
      <c r="L1734" s="6" t="n">
        <f aca="false">ROUND(INDEX(Archetypes!$I$2:$I$127, MATCH(D1734, Archetypes!$A$2:$A$127, 0))*INDEX(Unit_Grades!$C$2:$C$7, MATCH(F1734, Unit_Grades!$A$2:$A$7, 0)),1)</f>
        <v>168</v>
      </c>
      <c r="M1734" s="6" t="n">
        <f aca="false">ROUND(INDEX(Archetypes!$J$2:$J$127, MATCH(D1734, Archetypes!$A$2:$A$127, 0))*INDEX(Unit_Grades!$D$2:$D$7, MATCH(F1734, Unit_Grades!$A$2:$A$7, 0)),1)</f>
        <v>170.5</v>
      </c>
      <c r="N1734" s="6" t="n">
        <f aca="false">ROUND(M1734/24,2)</f>
        <v>7.1</v>
      </c>
    </row>
    <row r="1735" customFormat="false" ht="15" hidden="false" customHeight="true" outlineLevel="0" collapsed="false">
      <c r="A1735" s="6" t="n">
        <v>6</v>
      </c>
      <c r="B1735" s="6" t="s">
        <v>3206</v>
      </c>
      <c r="C1735" s="6" t="s">
        <v>1472</v>
      </c>
      <c r="D1735" s="6" t="str">
        <f aca="false">A1735&amp;"|"&amp;C1735</f>
        <v>6|Wormhole Tender</v>
      </c>
      <c r="E1735" s="6" t="s">
        <v>1556</v>
      </c>
      <c r="F1735" s="6" t="s">
        <v>1548</v>
      </c>
      <c r="G1735" s="6" t="str">
        <f aca="false">INDEX(Archetypes!$D$2:$D$127, MATCH(D1735, Archetypes!$A$2:$A$127, 0))</f>
        <v>Support</v>
      </c>
      <c r="H1735" s="6" t="n">
        <f aca="false">ROUND(INDEX(Archetypes!$E$2:$E$127, MATCH(D1735, Archetypes!$A$2:$A$127, 0))*INDEX(Unit_Grades!$B$2:$B$7, MATCH(F1735, Unit_Grades!$A$2:$A$7, 0))*INDEX(Unit_Paths!$B$2:$B$4, MATCH(E1735, Unit_Paths!$A$2:$A$4, 0)),1)</f>
        <v>1260</v>
      </c>
      <c r="I1735" s="6" t="n">
        <f aca="false">ROUND(INDEX(Archetypes!$F$2:$F$127, MATCH(D1735, Archetypes!$A$2:$A$127, 0))*INDEX(Unit_Grades!$B$2:$B$7, MATCH(F1735, Unit_Grades!$A$2:$A$7, 0))*INDEX(Unit_Paths!$C$2:$C$4, MATCH(E1735, Unit_Paths!$A$2:$A$4, 0)),1)</f>
        <v>1596</v>
      </c>
      <c r="J1735" s="6" t="n">
        <f aca="false">ROUND(INDEX(Archetypes!$G$2:$G$127, MATCH(D1735, Archetypes!$A$2:$A$127, 0))*INDEX(Unit_Grades!$B$2:$B$7, MATCH(F1735, Unit_Grades!$A$2:$A$7, 0))*INDEX(Unit_Paths!$D$2:$D$4, MATCH(E1735, Unit_Paths!$A$2:$A$4, 0)),0)</f>
        <v>7560</v>
      </c>
      <c r="K1735" s="6" t="n">
        <f aca="false">ROUND(INDEX(Archetypes!$H$2:$H$127, MATCH(D1735, Archetypes!$A$2:$A$127, 0))*INDEX(Unit_Paths!$E$2:$E$4, MATCH(E1735, Unit_Paths!$A$2:$A$4, 0)),1)</f>
        <v>62</v>
      </c>
      <c r="L1735" s="6" t="n">
        <f aca="false">ROUND(INDEX(Archetypes!$I$2:$I$127, MATCH(D1735, Archetypes!$A$2:$A$127, 0))*INDEX(Unit_Grades!$C$2:$C$7, MATCH(F1735, Unit_Grades!$A$2:$A$7, 0)),1)</f>
        <v>222</v>
      </c>
      <c r="M1735" s="6" t="n">
        <f aca="false">ROUND(INDEX(Archetypes!$J$2:$J$127, MATCH(D1735, Archetypes!$A$2:$A$127, 0))*INDEX(Unit_Grades!$D$2:$D$7, MATCH(F1735, Unit_Grades!$A$2:$A$7, 0)),1)</f>
        <v>292.2</v>
      </c>
      <c r="N1735" s="6" t="n">
        <f aca="false">ROUND(M1735/24,2)</f>
        <v>12.18</v>
      </c>
    </row>
    <row r="1736" customFormat="false" ht="15" hidden="false" customHeight="true" outlineLevel="0" collapsed="false">
      <c r="A1736" s="6" t="n">
        <v>6</v>
      </c>
      <c r="B1736" s="6" t="s">
        <v>3207</v>
      </c>
      <c r="C1736" s="6" t="s">
        <v>1472</v>
      </c>
      <c r="D1736" s="6" t="str">
        <f aca="false">A1736&amp;"|"&amp;C1736</f>
        <v>6|Wormhole Tender</v>
      </c>
      <c r="E1736" s="6" t="s">
        <v>1558</v>
      </c>
      <c r="F1736" s="6" t="s">
        <v>1538</v>
      </c>
      <c r="G1736" s="6" t="str">
        <f aca="false">INDEX(Archetypes!$D$2:$D$127, MATCH(D1736, Archetypes!$A$2:$A$127, 0))</f>
        <v>Support</v>
      </c>
      <c r="H1736" s="6" t="n">
        <f aca="false">ROUND(INDEX(Archetypes!$E$2:$E$127, MATCH(D1736, Archetypes!$A$2:$A$127, 0))*INDEX(Unit_Grades!$B$2:$B$7, MATCH(F1736, Unit_Grades!$A$2:$A$7, 0))*INDEX(Unit_Paths!$B$2:$B$4, MATCH(E1736, Unit_Paths!$A$2:$A$4, 0)),1)</f>
        <v>360</v>
      </c>
      <c r="I1736" s="6" t="n">
        <f aca="false">ROUND(INDEX(Archetypes!$F$2:$F$127, MATCH(D1736, Archetypes!$A$2:$A$127, 0))*INDEX(Unit_Grades!$B$2:$B$7, MATCH(F1736, Unit_Grades!$A$2:$A$7, 0))*INDEX(Unit_Paths!$C$2:$C$4, MATCH(E1736, Unit_Paths!$A$2:$A$4, 0)),1)</f>
        <v>323</v>
      </c>
      <c r="J1736" s="6" t="n">
        <f aca="false">ROUND(INDEX(Archetypes!$G$2:$G$127, MATCH(D1736, Archetypes!$A$2:$A$127, 0))*INDEX(Unit_Grades!$B$2:$B$7, MATCH(F1736, Unit_Grades!$A$2:$A$7, 0))*INDEX(Unit_Paths!$D$2:$D$4, MATCH(E1736, Unit_Paths!$A$2:$A$4, 0)),0)</f>
        <v>1710</v>
      </c>
      <c r="K1736" s="6" t="n">
        <f aca="false">ROUND(INDEX(Archetypes!$H$2:$H$127, MATCH(D1736, Archetypes!$A$2:$A$127, 0))*INDEX(Unit_Paths!$E$2:$E$4, MATCH(E1736, Unit_Paths!$A$2:$A$4, 0)),1)</f>
        <v>65.1</v>
      </c>
      <c r="L1736" s="6" t="n">
        <f aca="false">ROUND(INDEX(Archetypes!$I$2:$I$127, MATCH(D1736, Archetypes!$A$2:$A$127, 0))*INDEX(Unit_Grades!$C$2:$C$7, MATCH(F1736, Unit_Grades!$A$2:$A$7, 0)),1)</f>
        <v>60</v>
      </c>
      <c r="M1736" s="6" t="n">
        <f aca="false">ROUND(INDEX(Archetypes!$J$2:$J$127, MATCH(D1736, Archetypes!$A$2:$A$127, 0))*INDEX(Unit_Grades!$D$2:$D$7, MATCH(F1736, Unit_Grades!$A$2:$A$7, 0)),1)</f>
        <v>24.4</v>
      </c>
      <c r="N1736" s="6" t="n">
        <f aca="false">ROUND(M1736/24,2)</f>
        <v>1.02</v>
      </c>
    </row>
    <row r="1737" customFormat="false" ht="15" hidden="false" customHeight="true" outlineLevel="0" collapsed="false">
      <c r="A1737" s="6" t="n">
        <v>6</v>
      </c>
      <c r="B1737" s="6" t="s">
        <v>3208</v>
      </c>
      <c r="C1737" s="6" t="s">
        <v>1472</v>
      </c>
      <c r="D1737" s="6" t="str">
        <f aca="false">A1737&amp;"|"&amp;C1737</f>
        <v>6|Wormhole Tender</v>
      </c>
      <c r="E1737" s="6" t="s">
        <v>1558</v>
      </c>
      <c r="F1737" s="6" t="s">
        <v>1540</v>
      </c>
      <c r="G1737" s="6" t="str">
        <f aca="false">INDEX(Archetypes!$D$2:$D$127, MATCH(D1737, Archetypes!$A$2:$A$127, 0))</f>
        <v>Support</v>
      </c>
      <c r="H1737" s="6" t="n">
        <f aca="false">ROUND(INDEX(Archetypes!$E$2:$E$127, MATCH(D1737, Archetypes!$A$2:$A$127, 0))*INDEX(Unit_Grades!$B$2:$B$7, MATCH(F1737, Unit_Grades!$A$2:$A$7, 0))*INDEX(Unit_Paths!$B$2:$B$4, MATCH(E1737, Unit_Paths!$A$2:$A$4, 0)),1)</f>
        <v>486</v>
      </c>
      <c r="I1737" s="6" t="n">
        <f aca="false">ROUND(INDEX(Archetypes!$F$2:$F$127, MATCH(D1737, Archetypes!$A$2:$A$127, 0))*INDEX(Unit_Grades!$B$2:$B$7, MATCH(F1737, Unit_Grades!$A$2:$A$7, 0))*INDEX(Unit_Paths!$C$2:$C$4, MATCH(E1737, Unit_Paths!$A$2:$A$4, 0)),1)</f>
        <v>436.1</v>
      </c>
      <c r="J1737" s="6" t="n">
        <f aca="false">ROUND(INDEX(Archetypes!$G$2:$G$127, MATCH(D1737, Archetypes!$A$2:$A$127, 0))*INDEX(Unit_Grades!$B$2:$B$7, MATCH(F1737, Unit_Grades!$A$2:$A$7, 0))*INDEX(Unit_Paths!$D$2:$D$4, MATCH(E1737, Unit_Paths!$A$2:$A$4, 0)),0)</f>
        <v>2309</v>
      </c>
      <c r="K1737" s="6" t="n">
        <f aca="false">ROUND(INDEX(Archetypes!$H$2:$H$127, MATCH(D1737, Archetypes!$A$2:$A$127, 0))*INDEX(Unit_Paths!$E$2:$E$4, MATCH(E1737, Unit_Paths!$A$2:$A$4, 0)),1)</f>
        <v>65.1</v>
      </c>
      <c r="L1737" s="6" t="n">
        <f aca="false">ROUND(INDEX(Archetypes!$I$2:$I$127, MATCH(D1737, Archetypes!$A$2:$A$127, 0))*INDEX(Unit_Grades!$C$2:$C$7, MATCH(F1737, Unit_Grades!$A$2:$A$7, 0)),1)</f>
        <v>75</v>
      </c>
      <c r="M1737" s="6" t="n">
        <f aca="false">ROUND(INDEX(Archetypes!$J$2:$J$127, MATCH(D1737, Archetypes!$A$2:$A$127, 0))*INDEX(Unit_Grades!$D$2:$D$7, MATCH(F1737, Unit_Grades!$A$2:$A$7, 0)),1)</f>
        <v>36.5</v>
      </c>
      <c r="N1737" s="6" t="n">
        <f aca="false">ROUND(M1737/24,2)</f>
        <v>1.52</v>
      </c>
    </row>
    <row r="1738" customFormat="false" ht="15" hidden="false" customHeight="true" outlineLevel="0" collapsed="false">
      <c r="A1738" s="6" t="n">
        <v>6</v>
      </c>
      <c r="B1738" s="6" t="s">
        <v>3209</v>
      </c>
      <c r="C1738" s="6" t="s">
        <v>1472</v>
      </c>
      <c r="D1738" s="6" t="str">
        <f aca="false">A1738&amp;"|"&amp;C1738</f>
        <v>6|Wormhole Tender</v>
      </c>
      <c r="E1738" s="6" t="s">
        <v>1558</v>
      </c>
      <c r="F1738" s="6" t="s">
        <v>1542</v>
      </c>
      <c r="G1738" s="6" t="str">
        <f aca="false">INDEX(Archetypes!$D$2:$D$127, MATCH(D1738, Archetypes!$A$2:$A$127, 0))</f>
        <v>Support</v>
      </c>
      <c r="H1738" s="6" t="n">
        <f aca="false">ROUND(INDEX(Archetypes!$E$2:$E$127, MATCH(D1738, Archetypes!$A$2:$A$127, 0))*INDEX(Unit_Grades!$B$2:$B$7, MATCH(F1738, Unit_Grades!$A$2:$A$7, 0))*INDEX(Unit_Paths!$B$2:$B$4, MATCH(E1738, Unit_Paths!$A$2:$A$4, 0)),1)</f>
        <v>648</v>
      </c>
      <c r="I1738" s="6" t="n">
        <f aca="false">ROUND(INDEX(Archetypes!$F$2:$F$127, MATCH(D1738, Archetypes!$A$2:$A$127, 0))*INDEX(Unit_Grades!$B$2:$B$7, MATCH(F1738, Unit_Grades!$A$2:$A$7, 0))*INDEX(Unit_Paths!$C$2:$C$4, MATCH(E1738, Unit_Paths!$A$2:$A$4, 0)),1)</f>
        <v>581.4</v>
      </c>
      <c r="J1738" s="6" t="n">
        <f aca="false">ROUND(INDEX(Archetypes!$G$2:$G$127, MATCH(D1738, Archetypes!$A$2:$A$127, 0))*INDEX(Unit_Grades!$B$2:$B$7, MATCH(F1738, Unit_Grades!$A$2:$A$7, 0))*INDEX(Unit_Paths!$D$2:$D$4, MATCH(E1738, Unit_Paths!$A$2:$A$4, 0)),0)</f>
        <v>3078</v>
      </c>
      <c r="K1738" s="6" t="n">
        <f aca="false">ROUND(INDEX(Archetypes!$H$2:$H$127, MATCH(D1738, Archetypes!$A$2:$A$127, 0))*INDEX(Unit_Paths!$E$2:$E$4, MATCH(E1738, Unit_Paths!$A$2:$A$4, 0)),1)</f>
        <v>65.1</v>
      </c>
      <c r="L1738" s="6" t="n">
        <f aca="false">ROUND(INDEX(Archetypes!$I$2:$I$127, MATCH(D1738, Archetypes!$A$2:$A$127, 0))*INDEX(Unit_Grades!$C$2:$C$7, MATCH(F1738, Unit_Grades!$A$2:$A$7, 0)),1)</f>
        <v>96</v>
      </c>
      <c r="M1738" s="6" t="n">
        <f aca="false">ROUND(INDEX(Archetypes!$J$2:$J$127, MATCH(D1738, Archetypes!$A$2:$A$127, 0))*INDEX(Unit_Grades!$D$2:$D$7, MATCH(F1738, Unit_Grades!$A$2:$A$7, 0)),1)</f>
        <v>60.9</v>
      </c>
      <c r="N1738" s="6" t="n">
        <f aca="false">ROUND(M1738/24,2)</f>
        <v>2.54</v>
      </c>
    </row>
    <row r="1739" customFormat="false" ht="15" hidden="false" customHeight="true" outlineLevel="0" collapsed="false">
      <c r="A1739" s="6" t="n">
        <v>6</v>
      </c>
      <c r="B1739" s="6" t="s">
        <v>3210</v>
      </c>
      <c r="C1739" s="6" t="s">
        <v>1472</v>
      </c>
      <c r="D1739" s="6" t="str">
        <f aca="false">A1739&amp;"|"&amp;C1739</f>
        <v>6|Wormhole Tender</v>
      </c>
      <c r="E1739" s="6" t="s">
        <v>1558</v>
      </c>
      <c r="F1739" s="6" t="s">
        <v>1544</v>
      </c>
      <c r="G1739" s="6" t="str">
        <f aca="false">INDEX(Archetypes!$D$2:$D$127, MATCH(D1739, Archetypes!$A$2:$A$127, 0))</f>
        <v>Support</v>
      </c>
      <c r="H1739" s="6" t="n">
        <f aca="false">ROUND(INDEX(Archetypes!$E$2:$E$127, MATCH(D1739, Archetypes!$A$2:$A$127, 0))*INDEX(Unit_Grades!$B$2:$B$7, MATCH(F1739, Unit_Grades!$A$2:$A$7, 0))*INDEX(Unit_Paths!$B$2:$B$4, MATCH(E1739, Unit_Paths!$A$2:$A$4, 0)),1)</f>
        <v>864</v>
      </c>
      <c r="I1739" s="6" t="n">
        <f aca="false">ROUND(INDEX(Archetypes!$F$2:$F$127, MATCH(D1739, Archetypes!$A$2:$A$127, 0))*INDEX(Unit_Grades!$B$2:$B$7, MATCH(F1739, Unit_Grades!$A$2:$A$7, 0))*INDEX(Unit_Paths!$C$2:$C$4, MATCH(E1739, Unit_Paths!$A$2:$A$4, 0)),1)</f>
        <v>775.2</v>
      </c>
      <c r="J1739" s="6" t="n">
        <f aca="false">ROUND(INDEX(Archetypes!$G$2:$G$127, MATCH(D1739, Archetypes!$A$2:$A$127, 0))*INDEX(Unit_Grades!$B$2:$B$7, MATCH(F1739, Unit_Grades!$A$2:$A$7, 0))*INDEX(Unit_Paths!$D$2:$D$4, MATCH(E1739, Unit_Paths!$A$2:$A$4, 0)),0)</f>
        <v>4104</v>
      </c>
      <c r="K1739" s="6" t="n">
        <f aca="false">ROUND(INDEX(Archetypes!$H$2:$H$127, MATCH(D1739, Archetypes!$A$2:$A$127, 0))*INDEX(Unit_Paths!$E$2:$E$4, MATCH(E1739, Unit_Paths!$A$2:$A$4, 0)),1)</f>
        <v>65.1</v>
      </c>
      <c r="L1739" s="6" t="n">
        <f aca="false">ROUND(INDEX(Archetypes!$I$2:$I$127, MATCH(D1739, Archetypes!$A$2:$A$127, 0))*INDEX(Unit_Grades!$C$2:$C$7, MATCH(F1739, Unit_Grades!$A$2:$A$7, 0)),1)</f>
        <v>126</v>
      </c>
      <c r="M1739" s="6" t="n">
        <f aca="false">ROUND(INDEX(Archetypes!$J$2:$J$127, MATCH(D1739, Archetypes!$A$2:$A$127, 0))*INDEX(Unit_Grades!$D$2:$D$7, MATCH(F1739, Unit_Grades!$A$2:$A$7, 0)),1)</f>
        <v>97.4</v>
      </c>
      <c r="N1739" s="6" t="n">
        <f aca="false">ROUND(M1739/24,2)</f>
        <v>4.06</v>
      </c>
    </row>
    <row r="1740" customFormat="false" ht="15" hidden="false" customHeight="true" outlineLevel="0" collapsed="false">
      <c r="A1740" s="6" t="n">
        <v>6</v>
      </c>
      <c r="B1740" s="6" t="s">
        <v>3211</v>
      </c>
      <c r="C1740" s="6" t="s">
        <v>1472</v>
      </c>
      <c r="D1740" s="6" t="str">
        <f aca="false">A1740&amp;"|"&amp;C1740</f>
        <v>6|Wormhole Tender</v>
      </c>
      <c r="E1740" s="6" t="s">
        <v>1558</v>
      </c>
      <c r="F1740" s="6" t="s">
        <v>1546</v>
      </c>
      <c r="G1740" s="6" t="str">
        <f aca="false">INDEX(Archetypes!$D$2:$D$127, MATCH(D1740, Archetypes!$A$2:$A$127, 0))</f>
        <v>Support</v>
      </c>
      <c r="H1740" s="6" t="n">
        <f aca="false">ROUND(INDEX(Archetypes!$E$2:$E$127, MATCH(D1740, Archetypes!$A$2:$A$127, 0))*INDEX(Unit_Grades!$B$2:$B$7, MATCH(F1740, Unit_Grades!$A$2:$A$7, 0))*INDEX(Unit_Paths!$B$2:$B$4, MATCH(E1740, Unit_Paths!$A$2:$A$4, 0)),1)</f>
        <v>1152</v>
      </c>
      <c r="I1740" s="6" t="n">
        <f aca="false">ROUND(INDEX(Archetypes!$F$2:$F$127, MATCH(D1740, Archetypes!$A$2:$A$127, 0))*INDEX(Unit_Grades!$B$2:$B$7, MATCH(F1740, Unit_Grades!$A$2:$A$7, 0))*INDEX(Unit_Paths!$C$2:$C$4, MATCH(E1740, Unit_Paths!$A$2:$A$4, 0)),1)</f>
        <v>1033.6</v>
      </c>
      <c r="J1740" s="6" t="n">
        <f aca="false">ROUND(INDEX(Archetypes!$G$2:$G$127, MATCH(D1740, Archetypes!$A$2:$A$127, 0))*INDEX(Unit_Grades!$B$2:$B$7, MATCH(F1740, Unit_Grades!$A$2:$A$7, 0))*INDEX(Unit_Paths!$D$2:$D$4, MATCH(E1740, Unit_Paths!$A$2:$A$4, 0)),0)</f>
        <v>5472</v>
      </c>
      <c r="K1740" s="6" t="n">
        <f aca="false">ROUND(INDEX(Archetypes!$H$2:$H$127, MATCH(D1740, Archetypes!$A$2:$A$127, 0))*INDEX(Unit_Paths!$E$2:$E$4, MATCH(E1740, Unit_Paths!$A$2:$A$4, 0)),1)</f>
        <v>65.1</v>
      </c>
      <c r="L1740" s="6" t="n">
        <f aca="false">ROUND(INDEX(Archetypes!$I$2:$I$127, MATCH(D1740, Archetypes!$A$2:$A$127, 0))*INDEX(Unit_Grades!$C$2:$C$7, MATCH(F1740, Unit_Grades!$A$2:$A$7, 0)),1)</f>
        <v>168</v>
      </c>
      <c r="M1740" s="6" t="n">
        <f aca="false">ROUND(INDEX(Archetypes!$J$2:$J$127, MATCH(D1740, Archetypes!$A$2:$A$127, 0))*INDEX(Unit_Grades!$D$2:$D$7, MATCH(F1740, Unit_Grades!$A$2:$A$7, 0)),1)</f>
        <v>170.5</v>
      </c>
      <c r="N1740" s="6" t="n">
        <f aca="false">ROUND(M1740/24,2)</f>
        <v>7.1</v>
      </c>
    </row>
    <row r="1741" customFormat="false" ht="15" hidden="false" customHeight="true" outlineLevel="0" collapsed="false">
      <c r="A1741" s="6" t="n">
        <v>6</v>
      </c>
      <c r="B1741" s="6" t="s">
        <v>3212</v>
      </c>
      <c r="C1741" s="6" t="s">
        <v>1472</v>
      </c>
      <c r="D1741" s="6" t="str">
        <f aca="false">A1741&amp;"|"&amp;C1741</f>
        <v>6|Wormhole Tender</v>
      </c>
      <c r="E1741" s="6" t="s">
        <v>1558</v>
      </c>
      <c r="F1741" s="6" t="s">
        <v>1548</v>
      </c>
      <c r="G1741" s="6" t="str">
        <f aca="false">INDEX(Archetypes!$D$2:$D$127, MATCH(D1741, Archetypes!$A$2:$A$127, 0))</f>
        <v>Support</v>
      </c>
      <c r="H1741" s="6" t="n">
        <f aca="false">ROUND(INDEX(Archetypes!$E$2:$E$127, MATCH(D1741, Archetypes!$A$2:$A$127, 0))*INDEX(Unit_Grades!$B$2:$B$7, MATCH(F1741, Unit_Grades!$A$2:$A$7, 0))*INDEX(Unit_Paths!$B$2:$B$4, MATCH(E1741, Unit_Paths!$A$2:$A$4, 0)),1)</f>
        <v>1512</v>
      </c>
      <c r="I1741" s="6" t="n">
        <f aca="false">ROUND(INDEX(Archetypes!$F$2:$F$127, MATCH(D1741, Archetypes!$A$2:$A$127, 0))*INDEX(Unit_Grades!$B$2:$B$7, MATCH(F1741, Unit_Grades!$A$2:$A$7, 0))*INDEX(Unit_Paths!$C$2:$C$4, MATCH(E1741, Unit_Paths!$A$2:$A$4, 0)),1)</f>
        <v>1356.6</v>
      </c>
      <c r="J1741" s="6" t="n">
        <f aca="false">ROUND(INDEX(Archetypes!$G$2:$G$127, MATCH(D1741, Archetypes!$A$2:$A$127, 0))*INDEX(Unit_Grades!$B$2:$B$7, MATCH(F1741, Unit_Grades!$A$2:$A$7, 0))*INDEX(Unit_Paths!$D$2:$D$4, MATCH(E1741, Unit_Paths!$A$2:$A$4, 0)),0)</f>
        <v>7182</v>
      </c>
      <c r="K1741" s="6" t="n">
        <f aca="false">ROUND(INDEX(Archetypes!$H$2:$H$127, MATCH(D1741, Archetypes!$A$2:$A$127, 0))*INDEX(Unit_Paths!$E$2:$E$4, MATCH(E1741, Unit_Paths!$A$2:$A$4, 0)),1)</f>
        <v>65.1</v>
      </c>
      <c r="L1741" s="6" t="n">
        <f aca="false">ROUND(INDEX(Archetypes!$I$2:$I$127, MATCH(D1741, Archetypes!$A$2:$A$127, 0))*INDEX(Unit_Grades!$C$2:$C$7, MATCH(F1741, Unit_Grades!$A$2:$A$7, 0)),1)</f>
        <v>222</v>
      </c>
      <c r="M1741" s="6" t="n">
        <f aca="false">ROUND(INDEX(Archetypes!$J$2:$J$127, MATCH(D1741, Archetypes!$A$2:$A$127, 0))*INDEX(Unit_Grades!$D$2:$D$7, MATCH(F1741, Unit_Grades!$A$2:$A$7, 0)),1)</f>
        <v>292.2</v>
      </c>
      <c r="N1741" s="6" t="n">
        <f aca="false">ROUND(M1741/24,2)</f>
        <v>12.18</v>
      </c>
    </row>
    <row r="1742" customFormat="false" ht="15" hidden="false" customHeight="true" outlineLevel="0" collapsed="false">
      <c r="A1742" s="6" t="n">
        <v>6</v>
      </c>
      <c r="B1742" s="6" t="s">
        <v>3213</v>
      </c>
      <c r="C1742" s="6" t="s">
        <v>1472</v>
      </c>
      <c r="D1742" s="6" t="str">
        <f aca="false">A1742&amp;"|"&amp;C1742</f>
        <v>6|Wormhole Tender</v>
      </c>
      <c r="E1742" s="6" t="s">
        <v>1560</v>
      </c>
      <c r="F1742" s="6" t="s">
        <v>1538</v>
      </c>
      <c r="G1742" s="6" t="str">
        <f aca="false">INDEX(Archetypes!$D$2:$D$127, MATCH(D1742, Archetypes!$A$2:$A$127, 0))</f>
        <v>Support</v>
      </c>
      <c r="H1742" s="6" t="n">
        <f aca="false">ROUND(INDEX(Archetypes!$E$2:$E$127, MATCH(D1742, Archetypes!$A$2:$A$127, 0))*INDEX(Unit_Grades!$B$2:$B$7, MATCH(F1742, Unit_Grades!$A$2:$A$7, 0))*INDEX(Unit_Paths!$B$2:$B$4, MATCH(E1742, Unit_Paths!$A$2:$A$4, 0)),1)</f>
        <v>255</v>
      </c>
      <c r="I1742" s="6" t="n">
        <f aca="false">ROUND(INDEX(Archetypes!$F$2:$F$127, MATCH(D1742, Archetypes!$A$2:$A$127, 0))*INDEX(Unit_Grades!$B$2:$B$7, MATCH(F1742, Unit_Grades!$A$2:$A$7, 0))*INDEX(Unit_Paths!$C$2:$C$4, MATCH(E1742, Unit_Paths!$A$2:$A$4, 0)),1)</f>
        <v>475</v>
      </c>
      <c r="J1742" s="6" t="n">
        <f aca="false">ROUND(INDEX(Archetypes!$G$2:$G$127, MATCH(D1742, Archetypes!$A$2:$A$127, 0))*INDEX(Unit_Grades!$B$2:$B$7, MATCH(F1742, Unit_Grades!$A$2:$A$7, 0))*INDEX(Unit_Paths!$D$2:$D$4, MATCH(E1742, Unit_Paths!$A$2:$A$4, 0)),0)</f>
        <v>2070</v>
      </c>
      <c r="K1742" s="6" t="n">
        <f aca="false">ROUND(INDEX(Archetypes!$H$2:$H$127, MATCH(D1742, Archetypes!$A$2:$A$127, 0))*INDEX(Unit_Paths!$E$2:$E$4, MATCH(E1742, Unit_Paths!$A$2:$A$4, 0)),1)</f>
        <v>57</v>
      </c>
      <c r="L1742" s="6" t="n">
        <f aca="false">ROUND(INDEX(Archetypes!$I$2:$I$127, MATCH(D1742, Archetypes!$A$2:$A$127, 0))*INDEX(Unit_Grades!$C$2:$C$7, MATCH(F1742, Unit_Grades!$A$2:$A$7, 0)),1)</f>
        <v>60</v>
      </c>
      <c r="M1742" s="6" t="n">
        <f aca="false">ROUND(INDEX(Archetypes!$J$2:$J$127, MATCH(D1742, Archetypes!$A$2:$A$127, 0))*INDEX(Unit_Grades!$D$2:$D$7, MATCH(F1742, Unit_Grades!$A$2:$A$7, 0)),1)</f>
        <v>24.4</v>
      </c>
      <c r="N1742" s="6" t="n">
        <f aca="false">ROUND(M1742/24,2)</f>
        <v>1.02</v>
      </c>
    </row>
    <row r="1743" customFormat="false" ht="15" hidden="false" customHeight="true" outlineLevel="0" collapsed="false">
      <c r="A1743" s="6" t="n">
        <v>6</v>
      </c>
      <c r="B1743" s="6" t="s">
        <v>3214</v>
      </c>
      <c r="C1743" s="6" t="s">
        <v>1472</v>
      </c>
      <c r="D1743" s="6" t="str">
        <f aca="false">A1743&amp;"|"&amp;C1743</f>
        <v>6|Wormhole Tender</v>
      </c>
      <c r="E1743" s="6" t="s">
        <v>1560</v>
      </c>
      <c r="F1743" s="6" t="s">
        <v>1540</v>
      </c>
      <c r="G1743" s="6" t="str">
        <f aca="false">INDEX(Archetypes!$D$2:$D$127, MATCH(D1743, Archetypes!$A$2:$A$127, 0))</f>
        <v>Support</v>
      </c>
      <c r="H1743" s="6" t="n">
        <f aca="false">ROUND(INDEX(Archetypes!$E$2:$E$127, MATCH(D1743, Archetypes!$A$2:$A$127, 0))*INDEX(Unit_Grades!$B$2:$B$7, MATCH(F1743, Unit_Grades!$A$2:$A$7, 0))*INDEX(Unit_Paths!$B$2:$B$4, MATCH(E1743, Unit_Paths!$A$2:$A$4, 0)),1)</f>
        <v>344.3</v>
      </c>
      <c r="I1743" s="6" t="n">
        <f aca="false">ROUND(INDEX(Archetypes!$F$2:$F$127, MATCH(D1743, Archetypes!$A$2:$A$127, 0))*INDEX(Unit_Grades!$B$2:$B$7, MATCH(F1743, Unit_Grades!$A$2:$A$7, 0))*INDEX(Unit_Paths!$C$2:$C$4, MATCH(E1743, Unit_Paths!$A$2:$A$4, 0)),1)</f>
        <v>641.3</v>
      </c>
      <c r="J1743" s="6" t="n">
        <f aca="false">ROUND(INDEX(Archetypes!$G$2:$G$127, MATCH(D1743, Archetypes!$A$2:$A$127, 0))*INDEX(Unit_Grades!$B$2:$B$7, MATCH(F1743, Unit_Grades!$A$2:$A$7, 0))*INDEX(Unit_Paths!$D$2:$D$4, MATCH(E1743, Unit_Paths!$A$2:$A$4, 0)),0)</f>
        <v>2795</v>
      </c>
      <c r="K1743" s="6" t="n">
        <f aca="false">ROUND(INDEX(Archetypes!$H$2:$H$127, MATCH(D1743, Archetypes!$A$2:$A$127, 0))*INDEX(Unit_Paths!$E$2:$E$4, MATCH(E1743, Unit_Paths!$A$2:$A$4, 0)),1)</f>
        <v>57</v>
      </c>
      <c r="L1743" s="6" t="n">
        <f aca="false">ROUND(INDEX(Archetypes!$I$2:$I$127, MATCH(D1743, Archetypes!$A$2:$A$127, 0))*INDEX(Unit_Grades!$C$2:$C$7, MATCH(F1743, Unit_Grades!$A$2:$A$7, 0)),1)</f>
        <v>75</v>
      </c>
      <c r="M1743" s="6" t="n">
        <f aca="false">ROUND(INDEX(Archetypes!$J$2:$J$127, MATCH(D1743, Archetypes!$A$2:$A$127, 0))*INDEX(Unit_Grades!$D$2:$D$7, MATCH(F1743, Unit_Grades!$A$2:$A$7, 0)),1)</f>
        <v>36.5</v>
      </c>
      <c r="N1743" s="6" t="n">
        <f aca="false">ROUND(M1743/24,2)</f>
        <v>1.52</v>
      </c>
    </row>
    <row r="1744" customFormat="false" ht="15" hidden="false" customHeight="true" outlineLevel="0" collapsed="false">
      <c r="A1744" s="6" t="n">
        <v>6</v>
      </c>
      <c r="B1744" s="6" t="s">
        <v>3215</v>
      </c>
      <c r="C1744" s="6" t="s">
        <v>1472</v>
      </c>
      <c r="D1744" s="6" t="str">
        <f aca="false">A1744&amp;"|"&amp;C1744</f>
        <v>6|Wormhole Tender</v>
      </c>
      <c r="E1744" s="6" t="s">
        <v>1560</v>
      </c>
      <c r="F1744" s="6" t="s">
        <v>1542</v>
      </c>
      <c r="G1744" s="6" t="str">
        <f aca="false">INDEX(Archetypes!$D$2:$D$127, MATCH(D1744, Archetypes!$A$2:$A$127, 0))</f>
        <v>Support</v>
      </c>
      <c r="H1744" s="6" t="n">
        <f aca="false">ROUND(INDEX(Archetypes!$E$2:$E$127, MATCH(D1744, Archetypes!$A$2:$A$127, 0))*INDEX(Unit_Grades!$B$2:$B$7, MATCH(F1744, Unit_Grades!$A$2:$A$7, 0))*INDEX(Unit_Paths!$B$2:$B$4, MATCH(E1744, Unit_Paths!$A$2:$A$4, 0)),1)</f>
        <v>459</v>
      </c>
      <c r="I1744" s="6" t="n">
        <f aca="false">ROUND(INDEX(Archetypes!$F$2:$F$127, MATCH(D1744, Archetypes!$A$2:$A$127, 0))*INDEX(Unit_Grades!$B$2:$B$7, MATCH(F1744, Unit_Grades!$A$2:$A$7, 0))*INDEX(Unit_Paths!$C$2:$C$4, MATCH(E1744, Unit_Paths!$A$2:$A$4, 0)),1)</f>
        <v>855</v>
      </c>
      <c r="J1744" s="6" t="n">
        <f aca="false">ROUND(INDEX(Archetypes!$G$2:$G$127, MATCH(D1744, Archetypes!$A$2:$A$127, 0))*INDEX(Unit_Grades!$B$2:$B$7, MATCH(F1744, Unit_Grades!$A$2:$A$7, 0))*INDEX(Unit_Paths!$D$2:$D$4, MATCH(E1744, Unit_Paths!$A$2:$A$4, 0)),0)</f>
        <v>3726</v>
      </c>
      <c r="K1744" s="6" t="n">
        <f aca="false">ROUND(INDEX(Archetypes!$H$2:$H$127, MATCH(D1744, Archetypes!$A$2:$A$127, 0))*INDEX(Unit_Paths!$E$2:$E$4, MATCH(E1744, Unit_Paths!$A$2:$A$4, 0)),1)</f>
        <v>57</v>
      </c>
      <c r="L1744" s="6" t="n">
        <f aca="false">ROUND(INDEX(Archetypes!$I$2:$I$127, MATCH(D1744, Archetypes!$A$2:$A$127, 0))*INDEX(Unit_Grades!$C$2:$C$7, MATCH(F1744, Unit_Grades!$A$2:$A$7, 0)),1)</f>
        <v>96</v>
      </c>
      <c r="M1744" s="6" t="n">
        <f aca="false">ROUND(INDEX(Archetypes!$J$2:$J$127, MATCH(D1744, Archetypes!$A$2:$A$127, 0))*INDEX(Unit_Grades!$D$2:$D$7, MATCH(F1744, Unit_Grades!$A$2:$A$7, 0)),1)</f>
        <v>60.9</v>
      </c>
      <c r="N1744" s="6" t="n">
        <f aca="false">ROUND(M1744/24,2)</f>
        <v>2.54</v>
      </c>
    </row>
    <row r="1745" customFormat="false" ht="15" hidden="false" customHeight="true" outlineLevel="0" collapsed="false">
      <c r="A1745" s="6" t="n">
        <v>6</v>
      </c>
      <c r="B1745" s="6" t="s">
        <v>3216</v>
      </c>
      <c r="C1745" s="6" t="s">
        <v>1472</v>
      </c>
      <c r="D1745" s="6" t="str">
        <f aca="false">A1745&amp;"|"&amp;C1745</f>
        <v>6|Wormhole Tender</v>
      </c>
      <c r="E1745" s="6" t="s">
        <v>1560</v>
      </c>
      <c r="F1745" s="6" t="s">
        <v>1544</v>
      </c>
      <c r="G1745" s="6" t="str">
        <f aca="false">INDEX(Archetypes!$D$2:$D$127, MATCH(D1745, Archetypes!$A$2:$A$127, 0))</f>
        <v>Support</v>
      </c>
      <c r="H1745" s="6" t="n">
        <f aca="false">ROUND(INDEX(Archetypes!$E$2:$E$127, MATCH(D1745, Archetypes!$A$2:$A$127, 0))*INDEX(Unit_Grades!$B$2:$B$7, MATCH(F1745, Unit_Grades!$A$2:$A$7, 0))*INDEX(Unit_Paths!$B$2:$B$4, MATCH(E1745, Unit_Paths!$A$2:$A$4, 0)),1)</f>
        <v>612</v>
      </c>
      <c r="I1745" s="6" t="n">
        <f aca="false">ROUND(INDEX(Archetypes!$F$2:$F$127, MATCH(D1745, Archetypes!$A$2:$A$127, 0))*INDEX(Unit_Grades!$B$2:$B$7, MATCH(F1745, Unit_Grades!$A$2:$A$7, 0))*INDEX(Unit_Paths!$C$2:$C$4, MATCH(E1745, Unit_Paths!$A$2:$A$4, 0)),1)</f>
        <v>1140</v>
      </c>
      <c r="J1745" s="6" t="n">
        <f aca="false">ROUND(INDEX(Archetypes!$G$2:$G$127, MATCH(D1745, Archetypes!$A$2:$A$127, 0))*INDEX(Unit_Grades!$B$2:$B$7, MATCH(F1745, Unit_Grades!$A$2:$A$7, 0))*INDEX(Unit_Paths!$D$2:$D$4, MATCH(E1745, Unit_Paths!$A$2:$A$4, 0)),0)</f>
        <v>4968</v>
      </c>
      <c r="K1745" s="6" t="n">
        <f aca="false">ROUND(INDEX(Archetypes!$H$2:$H$127, MATCH(D1745, Archetypes!$A$2:$A$127, 0))*INDEX(Unit_Paths!$E$2:$E$4, MATCH(E1745, Unit_Paths!$A$2:$A$4, 0)),1)</f>
        <v>57</v>
      </c>
      <c r="L1745" s="6" t="n">
        <f aca="false">ROUND(INDEX(Archetypes!$I$2:$I$127, MATCH(D1745, Archetypes!$A$2:$A$127, 0))*INDEX(Unit_Grades!$C$2:$C$7, MATCH(F1745, Unit_Grades!$A$2:$A$7, 0)),1)</f>
        <v>126</v>
      </c>
      <c r="M1745" s="6" t="n">
        <f aca="false">ROUND(INDEX(Archetypes!$J$2:$J$127, MATCH(D1745, Archetypes!$A$2:$A$127, 0))*INDEX(Unit_Grades!$D$2:$D$7, MATCH(F1745, Unit_Grades!$A$2:$A$7, 0)),1)</f>
        <v>97.4</v>
      </c>
      <c r="N1745" s="6" t="n">
        <f aca="false">ROUND(M1745/24,2)</f>
        <v>4.06</v>
      </c>
    </row>
    <row r="1746" customFormat="false" ht="15" hidden="false" customHeight="true" outlineLevel="0" collapsed="false">
      <c r="A1746" s="6" t="n">
        <v>6</v>
      </c>
      <c r="B1746" s="6" t="s">
        <v>3217</v>
      </c>
      <c r="C1746" s="6" t="s">
        <v>1472</v>
      </c>
      <c r="D1746" s="6" t="str">
        <f aca="false">A1746&amp;"|"&amp;C1746</f>
        <v>6|Wormhole Tender</v>
      </c>
      <c r="E1746" s="6" t="s">
        <v>1560</v>
      </c>
      <c r="F1746" s="6" t="s">
        <v>1546</v>
      </c>
      <c r="G1746" s="6" t="str">
        <f aca="false">INDEX(Archetypes!$D$2:$D$127, MATCH(D1746, Archetypes!$A$2:$A$127, 0))</f>
        <v>Support</v>
      </c>
      <c r="H1746" s="6" t="n">
        <f aca="false">ROUND(INDEX(Archetypes!$E$2:$E$127, MATCH(D1746, Archetypes!$A$2:$A$127, 0))*INDEX(Unit_Grades!$B$2:$B$7, MATCH(F1746, Unit_Grades!$A$2:$A$7, 0))*INDEX(Unit_Paths!$B$2:$B$4, MATCH(E1746, Unit_Paths!$A$2:$A$4, 0)),1)</f>
        <v>816</v>
      </c>
      <c r="I1746" s="6" t="n">
        <f aca="false">ROUND(INDEX(Archetypes!$F$2:$F$127, MATCH(D1746, Archetypes!$A$2:$A$127, 0))*INDEX(Unit_Grades!$B$2:$B$7, MATCH(F1746, Unit_Grades!$A$2:$A$7, 0))*INDEX(Unit_Paths!$C$2:$C$4, MATCH(E1746, Unit_Paths!$A$2:$A$4, 0)),1)</f>
        <v>1520</v>
      </c>
      <c r="J1746" s="6" t="n">
        <f aca="false">ROUND(INDEX(Archetypes!$G$2:$G$127, MATCH(D1746, Archetypes!$A$2:$A$127, 0))*INDEX(Unit_Grades!$B$2:$B$7, MATCH(F1746, Unit_Grades!$A$2:$A$7, 0))*INDEX(Unit_Paths!$D$2:$D$4, MATCH(E1746, Unit_Paths!$A$2:$A$4, 0)),0)</f>
        <v>6624</v>
      </c>
      <c r="K1746" s="6" t="n">
        <f aca="false">ROUND(INDEX(Archetypes!$H$2:$H$127, MATCH(D1746, Archetypes!$A$2:$A$127, 0))*INDEX(Unit_Paths!$E$2:$E$4, MATCH(E1746, Unit_Paths!$A$2:$A$4, 0)),1)</f>
        <v>57</v>
      </c>
      <c r="L1746" s="6" t="n">
        <f aca="false">ROUND(INDEX(Archetypes!$I$2:$I$127, MATCH(D1746, Archetypes!$A$2:$A$127, 0))*INDEX(Unit_Grades!$C$2:$C$7, MATCH(F1746, Unit_Grades!$A$2:$A$7, 0)),1)</f>
        <v>168</v>
      </c>
      <c r="M1746" s="6" t="n">
        <f aca="false">ROUND(INDEX(Archetypes!$J$2:$J$127, MATCH(D1746, Archetypes!$A$2:$A$127, 0))*INDEX(Unit_Grades!$D$2:$D$7, MATCH(F1746, Unit_Grades!$A$2:$A$7, 0)),1)</f>
        <v>170.5</v>
      </c>
      <c r="N1746" s="6" t="n">
        <f aca="false">ROUND(M1746/24,2)</f>
        <v>7.1</v>
      </c>
    </row>
    <row r="1747" customFormat="false" ht="15" hidden="false" customHeight="true" outlineLevel="0" collapsed="false">
      <c r="A1747" s="6" t="n">
        <v>6</v>
      </c>
      <c r="B1747" s="6" t="s">
        <v>3218</v>
      </c>
      <c r="C1747" s="6" t="s">
        <v>1472</v>
      </c>
      <c r="D1747" s="6" t="str">
        <f aca="false">A1747&amp;"|"&amp;C1747</f>
        <v>6|Wormhole Tender</v>
      </c>
      <c r="E1747" s="6" t="s">
        <v>1560</v>
      </c>
      <c r="F1747" s="6" t="s">
        <v>1548</v>
      </c>
      <c r="G1747" s="6" t="str">
        <f aca="false">INDEX(Archetypes!$D$2:$D$127, MATCH(D1747, Archetypes!$A$2:$A$127, 0))</f>
        <v>Support</v>
      </c>
      <c r="H1747" s="6" t="n">
        <f aca="false">ROUND(INDEX(Archetypes!$E$2:$E$127, MATCH(D1747, Archetypes!$A$2:$A$127, 0))*INDEX(Unit_Grades!$B$2:$B$7, MATCH(F1747, Unit_Grades!$A$2:$A$7, 0))*INDEX(Unit_Paths!$B$2:$B$4, MATCH(E1747, Unit_Paths!$A$2:$A$4, 0)),1)</f>
        <v>1071</v>
      </c>
      <c r="I1747" s="6" t="n">
        <f aca="false">ROUND(INDEX(Archetypes!$F$2:$F$127, MATCH(D1747, Archetypes!$A$2:$A$127, 0))*INDEX(Unit_Grades!$B$2:$B$7, MATCH(F1747, Unit_Grades!$A$2:$A$7, 0))*INDEX(Unit_Paths!$C$2:$C$4, MATCH(E1747, Unit_Paths!$A$2:$A$4, 0)),1)</f>
        <v>1995</v>
      </c>
      <c r="J1747" s="6" t="n">
        <f aca="false">ROUND(INDEX(Archetypes!$G$2:$G$127, MATCH(D1747, Archetypes!$A$2:$A$127, 0))*INDEX(Unit_Grades!$B$2:$B$7, MATCH(F1747, Unit_Grades!$A$2:$A$7, 0))*INDEX(Unit_Paths!$D$2:$D$4, MATCH(E1747, Unit_Paths!$A$2:$A$4, 0)),0)</f>
        <v>8694</v>
      </c>
      <c r="K1747" s="6" t="n">
        <f aca="false">ROUND(INDEX(Archetypes!$H$2:$H$127, MATCH(D1747, Archetypes!$A$2:$A$127, 0))*INDEX(Unit_Paths!$E$2:$E$4, MATCH(E1747, Unit_Paths!$A$2:$A$4, 0)),1)</f>
        <v>57</v>
      </c>
      <c r="L1747" s="6" t="n">
        <f aca="false">ROUND(INDEX(Archetypes!$I$2:$I$127, MATCH(D1747, Archetypes!$A$2:$A$127, 0))*INDEX(Unit_Grades!$C$2:$C$7, MATCH(F1747, Unit_Grades!$A$2:$A$7, 0)),1)</f>
        <v>222</v>
      </c>
      <c r="M1747" s="6" t="n">
        <f aca="false">ROUND(INDEX(Archetypes!$J$2:$J$127, MATCH(D1747, Archetypes!$A$2:$A$127, 0))*INDEX(Unit_Grades!$D$2:$D$7, MATCH(F1747, Unit_Grades!$A$2:$A$7, 0)),1)</f>
        <v>292.2</v>
      </c>
      <c r="N1747" s="6" t="n">
        <f aca="false">ROUND(M1747/24,2)</f>
        <v>12.18</v>
      </c>
    </row>
    <row r="1748" customFormat="false" ht="15" hidden="false" customHeight="true" outlineLevel="0" collapsed="false">
      <c r="A1748" s="6" t="n">
        <v>6</v>
      </c>
      <c r="B1748" s="6" t="s">
        <v>1474</v>
      </c>
      <c r="C1748" s="6" t="s">
        <v>1474</v>
      </c>
      <c r="D1748" s="6" t="str">
        <f aca="false">A1748&amp;"|"&amp;C1748</f>
        <v>6|Ghost Frigate</v>
      </c>
      <c r="E1748" s="6" t="s">
        <v>1556</v>
      </c>
      <c r="F1748" s="6" t="s">
        <v>1538</v>
      </c>
      <c r="G1748" s="6" t="str">
        <f aca="false">INDEX(Archetypes!$D$2:$D$127, MATCH(D1748, Archetypes!$A$2:$A$127, 0))</f>
        <v>Agent</v>
      </c>
      <c r="H1748" s="6" t="n">
        <f aca="false">ROUND(INDEX(Archetypes!$E$2:$E$127, MATCH(D1748, Archetypes!$A$2:$A$127, 0))*INDEX(Unit_Grades!$B$2:$B$7, MATCH(F1748, Unit_Grades!$A$2:$A$7, 0))*INDEX(Unit_Paths!$B$2:$B$4, MATCH(E1748, Unit_Paths!$A$2:$A$4, 0)),1)</f>
        <v>520</v>
      </c>
      <c r="I1748" s="6" t="n">
        <f aca="false">ROUND(INDEX(Archetypes!$F$2:$F$127, MATCH(D1748, Archetypes!$A$2:$A$127, 0))*INDEX(Unit_Grades!$B$2:$B$7, MATCH(F1748, Unit_Grades!$A$2:$A$7, 0))*INDEX(Unit_Paths!$C$2:$C$4, MATCH(E1748, Unit_Paths!$A$2:$A$4, 0)),1)</f>
        <v>220</v>
      </c>
      <c r="J1748" s="6" t="n">
        <f aca="false">ROUND(INDEX(Archetypes!$G$2:$G$127, MATCH(D1748, Archetypes!$A$2:$A$127, 0))*INDEX(Unit_Grades!$B$2:$B$7, MATCH(F1748, Unit_Grades!$A$2:$A$7, 0))*INDEX(Unit_Paths!$D$2:$D$4, MATCH(E1748, Unit_Paths!$A$2:$A$4, 0)),0)</f>
        <v>1100</v>
      </c>
      <c r="K1748" s="6" t="n">
        <f aca="false">ROUND(INDEX(Archetypes!$H$2:$H$127, MATCH(D1748, Archetypes!$A$2:$A$127, 0))*INDEX(Unit_Paths!$E$2:$E$4, MATCH(E1748, Unit_Paths!$A$2:$A$4, 0)),1)</f>
        <v>90</v>
      </c>
      <c r="L1748" s="6" t="n">
        <f aca="false">ROUND(INDEX(Archetypes!$I$2:$I$127, MATCH(D1748, Archetypes!$A$2:$A$127, 0))*INDEX(Unit_Grades!$C$2:$C$7, MATCH(F1748, Unit_Grades!$A$2:$A$7, 0)),1)</f>
        <v>64</v>
      </c>
      <c r="M1748" s="6" t="n">
        <f aca="false">ROUND(INDEX(Archetypes!$J$2:$J$127, MATCH(D1748, Archetypes!$A$2:$A$127, 0))*INDEX(Unit_Grades!$D$2:$D$7, MATCH(F1748, Unit_Grades!$A$2:$A$7, 0)),1)</f>
        <v>26</v>
      </c>
      <c r="N1748" s="6" t="n">
        <f aca="false">ROUND(M1748/24,2)</f>
        <v>1.08</v>
      </c>
    </row>
    <row r="1749" customFormat="false" ht="15" hidden="false" customHeight="true" outlineLevel="0" collapsed="false">
      <c r="A1749" s="6" t="n">
        <v>6</v>
      </c>
      <c r="B1749" s="6" t="s">
        <v>3219</v>
      </c>
      <c r="C1749" s="6" t="s">
        <v>1474</v>
      </c>
      <c r="D1749" s="6" t="str">
        <f aca="false">A1749&amp;"|"&amp;C1749</f>
        <v>6|Ghost Frigate</v>
      </c>
      <c r="E1749" s="6" t="s">
        <v>1556</v>
      </c>
      <c r="F1749" s="6" t="s">
        <v>1540</v>
      </c>
      <c r="G1749" s="6" t="str">
        <f aca="false">INDEX(Archetypes!$D$2:$D$127, MATCH(D1749, Archetypes!$A$2:$A$127, 0))</f>
        <v>Agent</v>
      </c>
      <c r="H1749" s="6" t="n">
        <f aca="false">ROUND(INDEX(Archetypes!$E$2:$E$127, MATCH(D1749, Archetypes!$A$2:$A$127, 0))*INDEX(Unit_Grades!$B$2:$B$7, MATCH(F1749, Unit_Grades!$A$2:$A$7, 0))*INDEX(Unit_Paths!$B$2:$B$4, MATCH(E1749, Unit_Paths!$A$2:$A$4, 0)),1)</f>
        <v>702</v>
      </c>
      <c r="I1749" s="6" t="n">
        <f aca="false">ROUND(INDEX(Archetypes!$F$2:$F$127, MATCH(D1749, Archetypes!$A$2:$A$127, 0))*INDEX(Unit_Grades!$B$2:$B$7, MATCH(F1749, Unit_Grades!$A$2:$A$7, 0))*INDEX(Unit_Paths!$C$2:$C$4, MATCH(E1749, Unit_Paths!$A$2:$A$4, 0)),1)</f>
        <v>297</v>
      </c>
      <c r="J1749" s="6" t="n">
        <f aca="false">ROUND(INDEX(Archetypes!$G$2:$G$127, MATCH(D1749, Archetypes!$A$2:$A$127, 0))*INDEX(Unit_Grades!$B$2:$B$7, MATCH(F1749, Unit_Grades!$A$2:$A$7, 0))*INDEX(Unit_Paths!$D$2:$D$4, MATCH(E1749, Unit_Paths!$A$2:$A$4, 0)),0)</f>
        <v>1485</v>
      </c>
      <c r="K1749" s="6" t="n">
        <f aca="false">ROUND(INDEX(Archetypes!$H$2:$H$127, MATCH(D1749, Archetypes!$A$2:$A$127, 0))*INDEX(Unit_Paths!$E$2:$E$4, MATCH(E1749, Unit_Paths!$A$2:$A$4, 0)),1)</f>
        <v>90</v>
      </c>
      <c r="L1749" s="6" t="n">
        <f aca="false">ROUND(INDEX(Archetypes!$I$2:$I$127, MATCH(D1749, Archetypes!$A$2:$A$127, 0))*INDEX(Unit_Grades!$C$2:$C$7, MATCH(F1749, Unit_Grades!$A$2:$A$7, 0)),1)</f>
        <v>80</v>
      </c>
      <c r="M1749" s="6" t="n">
        <f aca="false">ROUND(INDEX(Archetypes!$J$2:$J$127, MATCH(D1749, Archetypes!$A$2:$A$127, 0))*INDEX(Unit_Grades!$D$2:$D$7, MATCH(F1749, Unit_Grades!$A$2:$A$7, 0)),1)</f>
        <v>39</v>
      </c>
      <c r="N1749" s="6" t="n">
        <f aca="false">ROUND(M1749/24,2)</f>
        <v>1.63</v>
      </c>
    </row>
    <row r="1750" customFormat="false" ht="15" hidden="false" customHeight="true" outlineLevel="0" collapsed="false">
      <c r="A1750" s="6" t="n">
        <v>6</v>
      </c>
      <c r="B1750" s="6" t="s">
        <v>3220</v>
      </c>
      <c r="C1750" s="6" t="s">
        <v>1474</v>
      </c>
      <c r="D1750" s="6" t="str">
        <f aca="false">A1750&amp;"|"&amp;C1750</f>
        <v>6|Ghost Frigate</v>
      </c>
      <c r="E1750" s="6" t="s">
        <v>1556</v>
      </c>
      <c r="F1750" s="6" t="s">
        <v>1542</v>
      </c>
      <c r="G1750" s="6" t="str">
        <f aca="false">INDEX(Archetypes!$D$2:$D$127, MATCH(D1750, Archetypes!$A$2:$A$127, 0))</f>
        <v>Agent</v>
      </c>
      <c r="H1750" s="6" t="n">
        <f aca="false">ROUND(INDEX(Archetypes!$E$2:$E$127, MATCH(D1750, Archetypes!$A$2:$A$127, 0))*INDEX(Unit_Grades!$B$2:$B$7, MATCH(F1750, Unit_Grades!$A$2:$A$7, 0))*INDEX(Unit_Paths!$B$2:$B$4, MATCH(E1750, Unit_Paths!$A$2:$A$4, 0)),1)</f>
        <v>936</v>
      </c>
      <c r="I1750" s="6" t="n">
        <f aca="false">ROUND(INDEX(Archetypes!$F$2:$F$127, MATCH(D1750, Archetypes!$A$2:$A$127, 0))*INDEX(Unit_Grades!$B$2:$B$7, MATCH(F1750, Unit_Grades!$A$2:$A$7, 0))*INDEX(Unit_Paths!$C$2:$C$4, MATCH(E1750, Unit_Paths!$A$2:$A$4, 0)),1)</f>
        <v>396</v>
      </c>
      <c r="J1750" s="6" t="n">
        <f aca="false">ROUND(INDEX(Archetypes!$G$2:$G$127, MATCH(D1750, Archetypes!$A$2:$A$127, 0))*INDEX(Unit_Grades!$B$2:$B$7, MATCH(F1750, Unit_Grades!$A$2:$A$7, 0))*INDEX(Unit_Paths!$D$2:$D$4, MATCH(E1750, Unit_Paths!$A$2:$A$4, 0)),0)</f>
        <v>1980</v>
      </c>
      <c r="K1750" s="6" t="n">
        <f aca="false">ROUND(INDEX(Archetypes!$H$2:$H$127, MATCH(D1750, Archetypes!$A$2:$A$127, 0))*INDEX(Unit_Paths!$E$2:$E$4, MATCH(E1750, Unit_Paths!$A$2:$A$4, 0)),1)</f>
        <v>90</v>
      </c>
      <c r="L1750" s="6" t="n">
        <f aca="false">ROUND(INDEX(Archetypes!$I$2:$I$127, MATCH(D1750, Archetypes!$A$2:$A$127, 0))*INDEX(Unit_Grades!$C$2:$C$7, MATCH(F1750, Unit_Grades!$A$2:$A$7, 0)),1)</f>
        <v>102.4</v>
      </c>
      <c r="M1750" s="6" t="n">
        <f aca="false">ROUND(INDEX(Archetypes!$J$2:$J$127, MATCH(D1750, Archetypes!$A$2:$A$127, 0))*INDEX(Unit_Grades!$D$2:$D$7, MATCH(F1750, Unit_Grades!$A$2:$A$7, 0)),1)</f>
        <v>64.9</v>
      </c>
      <c r="N1750" s="6" t="n">
        <f aca="false">ROUND(M1750/24,2)</f>
        <v>2.7</v>
      </c>
    </row>
    <row r="1751" customFormat="false" ht="15" hidden="false" customHeight="true" outlineLevel="0" collapsed="false">
      <c r="A1751" s="6" t="n">
        <v>6</v>
      </c>
      <c r="B1751" s="6" t="s">
        <v>3221</v>
      </c>
      <c r="C1751" s="6" t="s">
        <v>1474</v>
      </c>
      <c r="D1751" s="6" t="str">
        <f aca="false">A1751&amp;"|"&amp;C1751</f>
        <v>6|Ghost Frigate</v>
      </c>
      <c r="E1751" s="6" t="s">
        <v>1556</v>
      </c>
      <c r="F1751" s="6" t="s">
        <v>1544</v>
      </c>
      <c r="G1751" s="6" t="str">
        <f aca="false">INDEX(Archetypes!$D$2:$D$127, MATCH(D1751, Archetypes!$A$2:$A$127, 0))</f>
        <v>Agent</v>
      </c>
      <c r="H1751" s="6" t="n">
        <f aca="false">ROUND(INDEX(Archetypes!$E$2:$E$127, MATCH(D1751, Archetypes!$A$2:$A$127, 0))*INDEX(Unit_Grades!$B$2:$B$7, MATCH(F1751, Unit_Grades!$A$2:$A$7, 0))*INDEX(Unit_Paths!$B$2:$B$4, MATCH(E1751, Unit_Paths!$A$2:$A$4, 0)),1)</f>
        <v>1248</v>
      </c>
      <c r="I1751" s="6" t="n">
        <f aca="false">ROUND(INDEX(Archetypes!$F$2:$F$127, MATCH(D1751, Archetypes!$A$2:$A$127, 0))*INDEX(Unit_Grades!$B$2:$B$7, MATCH(F1751, Unit_Grades!$A$2:$A$7, 0))*INDEX(Unit_Paths!$C$2:$C$4, MATCH(E1751, Unit_Paths!$A$2:$A$4, 0)),1)</f>
        <v>528</v>
      </c>
      <c r="J1751" s="6" t="n">
        <f aca="false">ROUND(INDEX(Archetypes!$G$2:$G$127, MATCH(D1751, Archetypes!$A$2:$A$127, 0))*INDEX(Unit_Grades!$B$2:$B$7, MATCH(F1751, Unit_Grades!$A$2:$A$7, 0))*INDEX(Unit_Paths!$D$2:$D$4, MATCH(E1751, Unit_Paths!$A$2:$A$4, 0)),0)</f>
        <v>2640</v>
      </c>
      <c r="K1751" s="6" t="n">
        <f aca="false">ROUND(INDEX(Archetypes!$H$2:$H$127, MATCH(D1751, Archetypes!$A$2:$A$127, 0))*INDEX(Unit_Paths!$E$2:$E$4, MATCH(E1751, Unit_Paths!$A$2:$A$4, 0)),1)</f>
        <v>90</v>
      </c>
      <c r="L1751" s="6" t="n">
        <f aca="false">ROUND(INDEX(Archetypes!$I$2:$I$127, MATCH(D1751, Archetypes!$A$2:$A$127, 0))*INDEX(Unit_Grades!$C$2:$C$7, MATCH(F1751, Unit_Grades!$A$2:$A$7, 0)),1)</f>
        <v>134.4</v>
      </c>
      <c r="M1751" s="6" t="n">
        <f aca="false">ROUND(INDEX(Archetypes!$J$2:$J$127, MATCH(D1751, Archetypes!$A$2:$A$127, 0))*INDEX(Unit_Grades!$D$2:$D$7, MATCH(F1751, Unit_Grades!$A$2:$A$7, 0)),1)</f>
        <v>103.9</v>
      </c>
      <c r="N1751" s="6" t="n">
        <f aca="false">ROUND(M1751/24,2)</f>
        <v>4.33</v>
      </c>
    </row>
    <row r="1752" customFormat="false" ht="15" hidden="false" customHeight="true" outlineLevel="0" collapsed="false">
      <c r="A1752" s="6" t="n">
        <v>6</v>
      </c>
      <c r="B1752" s="6" t="s">
        <v>3222</v>
      </c>
      <c r="C1752" s="6" t="s">
        <v>1474</v>
      </c>
      <c r="D1752" s="6" t="str">
        <f aca="false">A1752&amp;"|"&amp;C1752</f>
        <v>6|Ghost Frigate</v>
      </c>
      <c r="E1752" s="6" t="s">
        <v>1556</v>
      </c>
      <c r="F1752" s="6" t="s">
        <v>1546</v>
      </c>
      <c r="G1752" s="6" t="str">
        <f aca="false">INDEX(Archetypes!$D$2:$D$127, MATCH(D1752, Archetypes!$A$2:$A$127, 0))</f>
        <v>Agent</v>
      </c>
      <c r="H1752" s="6" t="n">
        <f aca="false">ROUND(INDEX(Archetypes!$E$2:$E$127, MATCH(D1752, Archetypes!$A$2:$A$127, 0))*INDEX(Unit_Grades!$B$2:$B$7, MATCH(F1752, Unit_Grades!$A$2:$A$7, 0))*INDEX(Unit_Paths!$B$2:$B$4, MATCH(E1752, Unit_Paths!$A$2:$A$4, 0)),1)</f>
        <v>1664</v>
      </c>
      <c r="I1752" s="6" t="n">
        <f aca="false">ROUND(INDEX(Archetypes!$F$2:$F$127, MATCH(D1752, Archetypes!$A$2:$A$127, 0))*INDEX(Unit_Grades!$B$2:$B$7, MATCH(F1752, Unit_Grades!$A$2:$A$7, 0))*INDEX(Unit_Paths!$C$2:$C$4, MATCH(E1752, Unit_Paths!$A$2:$A$4, 0)),1)</f>
        <v>704</v>
      </c>
      <c r="J1752" s="6" t="n">
        <f aca="false">ROUND(INDEX(Archetypes!$G$2:$G$127, MATCH(D1752, Archetypes!$A$2:$A$127, 0))*INDEX(Unit_Grades!$B$2:$B$7, MATCH(F1752, Unit_Grades!$A$2:$A$7, 0))*INDEX(Unit_Paths!$D$2:$D$4, MATCH(E1752, Unit_Paths!$A$2:$A$4, 0)),0)</f>
        <v>3520</v>
      </c>
      <c r="K1752" s="6" t="n">
        <f aca="false">ROUND(INDEX(Archetypes!$H$2:$H$127, MATCH(D1752, Archetypes!$A$2:$A$127, 0))*INDEX(Unit_Paths!$E$2:$E$4, MATCH(E1752, Unit_Paths!$A$2:$A$4, 0)),1)</f>
        <v>90</v>
      </c>
      <c r="L1752" s="6" t="n">
        <f aca="false">ROUND(INDEX(Archetypes!$I$2:$I$127, MATCH(D1752, Archetypes!$A$2:$A$127, 0))*INDEX(Unit_Grades!$C$2:$C$7, MATCH(F1752, Unit_Grades!$A$2:$A$7, 0)),1)</f>
        <v>179.2</v>
      </c>
      <c r="M1752" s="6" t="n">
        <f aca="false">ROUND(INDEX(Archetypes!$J$2:$J$127, MATCH(D1752, Archetypes!$A$2:$A$127, 0))*INDEX(Unit_Grades!$D$2:$D$7, MATCH(F1752, Unit_Grades!$A$2:$A$7, 0)),1)</f>
        <v>181.8</v>
      </c>
      <c r="N1752" s="6" t="n">
        <f aca="false">ROUND(M1752/24,2)</f>
        <v>7.58</v>
      </c>
    </row>
    <row r="1753" customFormat="false" ht="15" hidden="false" customHeight="true" outlineLevel="0" collapsed="false">
      <c r="A1753" s="6" t="n">
        <v>6</v>
      </c>
      <c r="B1753" s="6" t="s">
        <v>3223</v>
      </c>
      <c r="C1753" s="6" t="s">
        <v>1474</v>
      </c>
      <c r="D1753" s="6" t="str">
        <f aca="false">A1753&amp;"|"&amp;C1753</f>
        <v>6|Ghost Frigate</v>
      </c>
      <c r="E1753" s="6" t="s">
        <v>1556</v>
      </c>
      <c r="F1753" s="6" t="s">
        <v>1548</v>
      </c>
      <c r="G1753" s="6" t="str">
        <f aca="false">INDEX(Archetypes!$D$2:$D$127, MATCH(D1753, Archetypes!$A$2:$A$127, 0))</f>
        <v>Agent</v>
      </c>
      <c r="H1753" s="6" t="n">
        <f aca="false">ROUND(INDEX(Archetypes!$E$2:$E$127, MATCH(D1753, Archetypes!$A$2:$A$127, 0))*INDEX(Unit_Grades!$B$2:$B$7, MATCH(F1753, Unit_Grades!$A$2:$A$7, 0))*INDEX(Unit_Paths!$B$2:$B$4, MATCH(E1753, Unit_Paths!$A$2:$A$4, 0)),1)</f>
        <v>2184</v>
      </c>
      <c r="I1753" s="6" t="n">
        <f aca="false">ROUND(INDEX(Archetypes!$F$2:$F$127, MATCH(D1753, Archetypes!$A$2:$A$127, 0))*INDEX(Unit_Grades!$B$2:$B$7, MATCH(F1753, Unit_Grades!$A$2:$A$7, 0))*INDEX(Unit_Paths!$C$2:$C$4, MATCH(E1753, Unit_Paths!$A$2:$A$4, 0)),1)</f>
        <v>924</v>
      </c>
      <c r="J1753" s="6" t="n">
        <f aca="false">ROUND(INDEX(Archetypes!$G$2:$G$127, MATCH(D1753, Archetypes!$A$2:$A$127, 0))*INDEX(Unit_Grades!$B$2:$B$7, MATCH(F1753, Unit_Grades!$A$2:$A$7, 0))*INDEX(Unit_Paths!$D$2:$D$4, MATCH(E1753, Unit_Paths!$A$2:$A$4, 0)),0)</f>
        <v>4620</v>
      </c>
      <c r="K1753" s="6" t="n">
        <f aca="false">ROUND(INDEX(Archetypes!$H$2:$H$127, MATCH(D1753, Archetypes!$A$2:$A$127, 0))*INDEX(Unit_Paths!$E$2:$E$4, MATCH(E1753, Unit_Paths!$A$2:$A$4, 0)),1)</f>
        <v>90</v>
      </c>
      <c r="L1753" s="6" t="n">
        <f aca="false">ROUND(INDEX(Archetypes!$I$2:$I$127, MATCH(D1753, Archetypes!$A$2:$A$127, 0))*INDEX(Unit_Grades!$C$2:$C$7, MATCH(F1753, Unit_Grades!$A$2:$A$7, 0)),1)</f>
        <v>236.8</v>
      </c>
      <c r="M1753" s="6" t="n">
        <f aca="false">ROUND(INDEX(Archetypes!$J$2:$J$127, MATCH(D1753, Archetypes!$A$2:$A$127, 0))*INDEX(Unit_Grades!$D$2:$D$7, MATCH(F1753, Unit_Grades!$A$2:$A$7, 0)),1)</f>
        <v>311.6</v>
      </c>
      <c r="N1753" s="6" t="n">
        <f aca="false">ROUND(M1753/24,2)</f>
        <v>12.98</v>
      </c>
    </row>
    <row r="1754" customFormat="false" ht="15" hidden="false" customHeight="true" outlineLevel="0" collapsed="false">
      <c r="A1754" s="6" t="n">
        <v>6</v>
      </c>
      <c r="B1754" s="6" t="s">
        <v>3224</v>
      </c>
      <c r="C1754" s="6" t="s">
        <v>1474</v>
      </c>
      <c r="D1754" s="6" t="str">
        <f aca="false">A1754&amp;"|"&amp;C1754</f>
        <v>6|Ghost Frigate</v>
      </c>
      <c r="E1754" s="6" t="s">
        <v>1558</v>
      </c>
      <c r="F1754" s="6" t="s">
        <v>1538</v>
      </c>
      <c r="G1754" s="6" t="str">
        <f aca="false">INDEX(Archetypes!$D$2:$D$127, MATCH(D1754, Archetypes!$A$2:$A$127, 0))</f>
        <v>Agent</v>
      </c>
      <c r="H1754" s="6" t="n">
        <f aca="false">ROUND(INDEX(Archetypes!$E$2:$E$127, MATCH(D1754, Archetypes!$A$2:$A$127, 0))*INDEX(Unit_Grades!$B$2:$B$7, MATCH(F1754, Unit_Grades!$A$2:$A$7, 0))*INDEX(Unit_Paths!$B$2:$B$4, MATCH(E1754, Unit_Paths!$A$2:$A$4, 0)),1)</f>
        <v>624</v>
      </c>
      <c r="I1754" s="6" t="n">
        <f aca="false">ROUND(INDEX(Archetypes!$F$2:$F$127, MATCH(D1754, Archetypes!$A$2:$A$127, 0))*INDEX(Unit_Grades!$B$2:$B$7, MATCH(F1754, Unit_Grades!$A$2:$A$7, 0))*INDEX(Unit_Paths!$C$2:$C$4, MATCH(E1754, Unit_Paths!$A$2:$A$4, 0)),1)</f>
        <v>187</v>
      </c>
      <c r="J1754" s="6" t="n">
        <f aca="false">ROUND(INDEX(Archetypes!$G$2:$G$127, MATCH(D1754, Archetypes!$A$2:$A$127, 0))*INDEX(Unit_Grades!$B$2:$B$7, MATCH(F1754, Unit_Grades!$A$2:$A$7, 0))*INDEX(Unit_Paths!$D$2:$D$4, MATCH(E1754, Unit_Paths!$A$2:$A$4, 0)),0)</f>
        <v>1045</v>
      </c>
      <c r="K1754" s="6" t="n">
        <f aca="false">ROUND(INDEX(Archetypes!$H$2:$H$127, MATCH(D1754, Archetypes!$A$2:$A$127, 0))*INDEX(Unit_Paths!$E$2:$E$4, MATCH(E1754, Unit_Paths!$A$2:$A$4, 0)),1)</f>
        <v>94.5</v>
      </c>
      <c r="L1754" s="6" t="n">
        <f aca="false">ROUND(INDEX(Archetypes!$I$2:$I$127, MATCH(D1754, Archetypes!$A$2:$A$127, 0))*INDEX(Unit_Grades!$C$2:$C$7, MATCH(F1754, Unit_Grades!$A$2:$A$7, 0)),1)</f>
        <v>64</v>
      </c>
      <c r="M1754" s="6" t="n">
        <f aca="false">ROUND(INDEX(Archetypes!$J$2:$J$127, MATCH(D1754, Archetypes!$A$2:$A$127, 0))*INDEX(Unit_Grades!$D$2:$D$7, MATCH(F1754, Unit_Grades!$A$2:$A$7, 0)),1)</f>
        <v>26</v>
      </c>
      <c r="N1754" s="6" t="n">
        <f aca="false">ROUND(M1754/24,2)</f>
        <v>1.08</v>
      </c>
    </row>
    <row r="1755" customFormat="false" ht="15" hidden="false" customHeight="true" outlineLevel="0" collapsed="false">
      <c r="A1755" s="6" t="n">
        <v>6</v>
      </c>
      <c r="B1755" s="6" t="s">
        <v>3225</v>
      </c>
      <c r="C1755" s="6" t="s">
        <v>1474</v>
      </c>
      <c r="D1755" s="6" t="str">
        <f aca="false">A1755&amp;"|"&amp;C1755</f>
        <v>6|Ghost Frigate</v>
      </c>
      <c r="E1755" s="6" t="s">
        <v>1558</v>
      </c>
      <c r="F1755" s="6" t="s">
        <v>1540</v>
      </c>
      <c r="G1755" s="6" t="str">
        <f aca="false">INDEX(Archetypes!$D$2:$D$127, MATCH(D1755, Archetypes!$A$2:$A$127, 0))</f>
        <v>Agent</v>
      </c>
      <c r="H1755" s="6" t="n">
        <f aca="false">ROUND(INDEX(Archetypes!$E$2:$E$127, MATCH(D1755, Archetypes!$A$2:$A$127, 0))*INDEX(Unit_Grades!$B$2:$B$7, MATCH(F1755, Unit_Grades!$A$2:$A$7, 0))*INDEX(Unit_Paths!$B$2:$B$4, MATCH(E1755, Unit_Paths!$A$2:$A$4, 0)),1)</f>
        <v>842.4</v>
      </c>
      <c r="I1755" s="6" t="n">
        <f aca="false">ROUND(INDEX(Archetypes!$F$2:$F$127, MATCH(D1755, Archetypes!$A$2:$A$127, 0))*INDEX(Unit_Grades!$B$2:$B$7, MATCH(F1755, Unit_Grades!$A$2:$A$7, 0))*INDEX(Unit_Paths!$C$2:$C$4, MATCH(E1755, Unit_Paths!$A$2:$A$4, 0)),1)</f>
        <v>252.5</v>
      </c>
      <c r="J1755" s="6" t="n">
        <f aca="false">ROUND(INDEX(Archetypes!$G$2:$G$127, MATCH(D1755, Archetypes!$A$2:$A$127, 0))*INDEX(Unit_Grades!$B$2:$B$7, MATCH(F1755, Unit_Grades!$A$2:$A$7, 0))*INDEX(Unit_Paths!$D$2:$D$4, MATCH(E1755, Unit_Paths!$A$2:$A$4, 0)),0)</f>
        <v>1411</v>
      </c>
      <c r="K1755" s="6" t="n">
        <f aca="false">ROUND(INDEX(Archetypes!$H$2:$H$127, MATCH(D1755, Archetypes!$A$2:$A$127, 0))*INDEX(Unit_Paths!$E$2:$E$4, MATCH(E1755, Unit_Paths!$A$2:$A$4, 0)),1)</f>
        <v>94.5</v>
      </c>
      <c r="L1755" s="6" t="n">
        <f aca="false">ROUND(INDEX(Archetypes!$I$2:$I$127, MATCH(D1755, Archetypes!$A$2:$A$127, 0))*INDEX(Unit_Grades!$C$2:$C$7, MATCH(F1755, Unit_Grades!$A$2:$A$7, 0)),1)</f>
        <v>80</v>
      </c>
      <c r="M1755" s="6" t="n">
        <f aca="false">ROUND(INDEX(Archetypes!$J$2:$J$127, MATCH(D1755, Archetypes!$A$2:$A$127, 0))*INDEX(Unit_Grades!$D$2:$D$7, MATCH(F1755, Unit_Grades!$A$2:$A$7, 0)),1)</f>
        <v>39</v>
      </c>
      <c r="N1755" s="6" t="n">
        <f aca="false">ROUND(M1755/24,2)</f>
        <v>1.63</v>
      </c>
    </row>
    <row r="1756" customFormat="false" ht="15" hidden="false" customHeight="true" outlineLevel="0" collapsed="false">
      <c r="A1756" s="6" t="n">
        <v>6</v>
      </c>
      <c r="B1756" s="6" t="s">
        <v>3226</v>
      </c>
      <c r="C1756" s="6" t="s">
        <v>1474</v>
      </c>
      <c r="D1756" s="6" t="str">
        <f aca="false">A1756&amp;"|"&amp;C1756</f>
        <v>6|Ghost Frigate</v>
      </c>
      <c r="E1756" s="6" t="s">
        <v>1558</v>
      </c>
      <c r="F1756" s="6" t="s">
        <v>1542</v>
      </c>
      <c r="G1756" s="6" t="str">
        <f aca="false">INDEX(Archetypes!$D$2:$D$127, MATCH(D1756, Archetypes!$A$2:$A$127, 0))</f>
        <v>Agent</v>
      </c>
      <c r="H1756" s="6" t="n">
        <f aca="false">ROUND(INDEX(Archetypes!$E$2:$E$127, MATCH(D1756, Archetypes!$A$2:$A$127, 0))*INDEX(Unit_Grades!$B$2:$B$7, MATCH(F1756, Unit_Grades!$A$2:$A$7, 0))*INDEX(Unit_Paths!$B$2:$B$4, MATCH(E1756, Unit_Paths!$A$2:$A$4, 0)),1)</f>
        <v>1123.2</v>
      </c>
      <c r="I1756" s="6" t="n">
        <f aca="false">ROUND(INDEX(Archetypes!$F$2:$F$127, MATCH(D1756, Archetypes!$A$2:$A$127, 0))*INDEX(Unit_Grades!$B$2:$B$7, MATCH(F1756, Unit_Grades!$A$2:$A$7, 0))*INDEX(Unit_Paths!$C$2:$C$4, MATCH(E1756, Unit_Paths!$A$2:$A$4, 0)),1)</f>
        <v>336.6</v>
      </c>
      <c r="J1756" s="6" t="n">
        <f aca="false">ROUND(INDEX(Archetypes!$G$2:$G$127, MATCH(D1756, Archetypes!$A$2:$A$127, 0))*INDEX(Unit_Grades!$B$2:$B$7, MATCH(F1756, Unit_Grades!$A$2:$A$7, 0))*INDEX(Unit_Paths!$D$2:$D$4, MATCH(E1756, Unit_Paths!$A$2:$A$4, 0)),0)</f>
        <v>1881</v>
      </c>
      <c r="K1756" s="6" t="n">
        <f aca="false">ROUND(INDEX(Archetypes!$H$2:$H$127, MATCH(D1756, Archetypes!$A$2:$A$127, 0))*INDEX(Unit_Paths!$E$2:$E$4, MATCH(E1756, Unit_Paths!$A$2:$A$4, 0)),1)</f>
        <v>94.5</v>
      </c>
      <c r="L1756" s="6" t="n">
        <f aca="false">ROUND(INDEX(Archetypes!$I$2:$I$127, MATCH(D1756, Archetypes!$A$2:$A$127, 0))*INDEX(Unit_Grades!$C$2:$C$7, MATCH(F1756, Unit_Grades!$A$2:$A$7, 0)),1)</f>
        <v>102.4</v>
      </c>
      <c r="M1756" s="6" t="n">
        <f aca="false">ROUND(INDEX(Archetypes!$J$2:$J$127, MATCH(D1756, Archetypes!$A$2:$A$127, 0))*INDEX(Unit_Grades!$D$2:$D$7, MATCH(F1756, Unit_Grades!$A$2:$A$7, 0)),1)</f>
        <v>64.9</v>
      </c>
      <c r="N1756" s="6" t="n">
        <f aca="false">ROUND(M1756/24,2)</f>
        <v>2.7</v>
      </c>
    </row>
    <row r="1757" customFormat="false" ht="15" hidden="false" customHeight="true" outlineLevel="0" collapsed="false">
      <c r="A1757" s="6" t="n">
        <v>6</v>
      </c>
      <c r="B1757" s="6" t="s">
        <v>3227</v>
      </c>
      <c r="C1757" s="6" t="s">
        <v>1474</v>
      </c>
      <c r="D1757" s="6" t="str">
        <f aca="false">A1757&amp;"|"&amp;C1757</f>
        <v>6|Ghost Frigate</v>
      </c>
      <c r="E1757" s="6" t="s">
        <v>1558</v>
      </c>
      <c r="F1757" s="6" t="s">
        <v>1544</v>
      </c>
      <c r="G1757" s="6" t="str">
        <f aca="false">INDEX(Archetypes!$D$2:$D$127, MATCH(D1757, Archetypes!$A$2:$A$127, 0))</f>
        <v>Agent</v>
      </c>
      <c r="H1757" s="6" t="n">
        <f aca="false">ROUND(INDEX(Archetypes!$E$2:$E$127, MATCH(D1757, Archetypes!$A$2:$A$127, 0))*INDEX(Unit_Grades!$B$2:$B$7, MATCH(F1757, Unit_Grades!$A$2:$A$7, 0))*INDEX(Unit_Paths!$B$2:$B$4, MATCH(E1757, Unit_Paths!$A$2:$A$4, 0)),1)</f>
        <v>1497.6</v>
      </c>
      <c r="I1757" s="6" t="n">
        <f aca="false">ROUND(INDEX(Archetypes!$F$2:$F$127, MATCH(D1757, Archetypes!$A$2:$A$127, 0))*INDEX(Unit_Grades!$B$2:$B$7, MATCH(F1757, Unit_Grades!$A$2:$A$7, 0))*INDEX(Unit_Paths!$C$2:$C$4, MATCH(E1757, Unit_Paths!$A$2:$A$4, 0)),1)</f>
        <v>448.8</v>
      </c>
      <c r="J1757" s="6" t="n">
        <f aca="false">ROUND(INDEX(Archetypes!$G$2:$G$127, MATCH(D1757, Archetypes!$A$2:$A$127, 0))*INDEX(Unit_Grades!$B$2:$B$7, MATCH(F1757, Unit_Grades!$A$2:$A$7, 0))*INDEX(Unit_Paths!$D$2:$D$4, MATCH(E1757, Unit_Paths!$A$2:$A$4, 0)),0)</f>
        <v>2508</v>
      </c>
      <c r="K1757" s="6" t="n">
        <f aca="false">ROUND(INDEX(Archetypes!$H$2:$H$127, MATCH(D1757, Archetypes!$A$2:$A$127, 0))*INDEX(Unit_Paths!$E$2:$E$4, MATCH(E1757, Unit_Paths!$A$2:$A$4, 0)),1)</f>
        <v>94.5</v>
      </c>
      <c r="L1757" s="6" t="n">
        <f aca="false">ROUND(INDEX(Archetypes!$I$2:$I$127, MATCH(D1757, Archetypes!$A$2:$A$127, 0))*INDEX(Unit_Grades!$C$2:$C$7, MATCH(F1757, Unit_Grades!$A$2:$A$7, 0)),1)</f>
        <v>134.4</v>
      </c>
      <c r="M1757" s="6" t="n">
        <f aca="false">ROUND(INDEX(Archetypes!$J$2:$J$127, MATCH(D1757, Archetypes!$A$2:$A$127, 0))*INDEX(Unit_Grades!$D$2:$D$7, MATCH(F1757, Unit_Grades!$A$2:$A$7, 0)),1)</f>
        <v>103.9</v>
      </c>
      <c r="N1757" s="6" t="n">
        <f aca="false">ROUND(M1757/24,2)</f>
        <v>4.33</v>
      </c>
    </row>
    <row r="1758" customFormat="false" ht="15" hidden="false" customHeight="true" outlineLevel="0" collapsed="false">
      <c r="A1758" s="6" t="n">
        <v>6</v>
      </c>
      <c r="B1758" s="6" t="s">
        <v>3228</v>
      </c>
      <c r="C1758" s="6" t="s">
        <v>1474</v>
      </c>
      <c r="D1758" s="6" t="str">
        <f aca="false">A1758&amp;"|"&amp;C1758</f>
        <v>6|Ghost Frigate</v>
      </c>
      <c r="E1758" s="6" t="s">
        <v>1558</v>
      </c>
      <c r="F1758" s="6" t="s">
        <v>1546</v>
      </c>
      <c r="G1758" s="6" t="str">
        <f aca="false">INDEX(Archetypes!$D$2:$D$127, MATCH(D1758, Archetypes!$A$2:$A$127, 0))</f>
        <v>Agent</v>
      </c>
      <c r="H1758" s="6" t="n">
        <f aca="false">ROUND(INDEX(Archetypes!$E$2:$E$127, MATCH(D1758, Archetypes!$A$2:$A$127, 0))*INDEX(Unit_Grades!$B$2:$B$7, MATCH(F1758, Unit_Grades!$A$2:$A$7, 0))*INDEX(Unit_Paths!$B$2:$B$4, MATCH(E1758, Unit_Paths!$A$2:$A$4, 0)),1)</f>
        <v>1996.8</v>
      </c>
      <c r="I1758" s="6" t="n">
        <f aca="false">ROUND(INDEX(Archetypes!$F$2:$F$127, MATCH(D1758, Archetypes!$A$2:$A$127, 0))*INDEX(Unit_Grades!$B$2:$B$7, MATCH(F1758, Unit_Grades!$A$2:$A$7, 0))*INDEX(Unit_Paths!$C$2:$C$4, MATCH(E1758, Unit_Paths!$A$2:$A$4, 0)),1)</f>
        <v>598.4</v>
      </c>
      <c r="J1758" s="6" t="n">
        <f aca="false">ROUND(INDEX(Archetypes!$G$2:$G$127, MATCH(D1758, Archetypes!$A$2:$A$127, 0))*INDEX(Unit_Grades!$B$2:$B$7, MATCH(F1758, Unit_Grades!$A$2:$A$7, 0))*INDEX(Unit_Paths!$D$2:$D$4, MATCH(E1758, Unit_Paths!$A$2:$A$4, 0)),0)</f>
        <v>3344</v>
      </c>
      <c r="K1758" s="6" t="n">
        <f aca="false">ROUND(INDEX(Archetypes!$H$2:$H$127, MATCH(D1758, Archetypes!$A$2:$A$127, 0))*INDEX(Unit_Paths!$E$2:$E$4, MATCH(E1758, Unit_Paths!$A$2:$A$4, 0)),1)</f>
        <v>94.5</v>
      </c>
      <c r="L1758" s="6" t="n">
        <f aca="false">ROUND(INDEX(Archetypes!$I$2:$I$127, MATCH(D1758, Archetypes!$A$2:$A$127, 0))*INDEX(Unit_Grades!$C$2:$C$7, MATCH(F1758, Unit_Grades!$A$2:$A$7, 0)),1)</f>
        <v>179.2</v>
      </c>
      <c r="M1758" s="6" t="n">
        <f aca="false">ROUND(INDEX(Archetypes!$J$2:$J$127, MATCH(D1758, Archetypes!$A$2:$A$127, 0))*INDEX(Unit_Grades!$D$2:$D$7, MATCH(F1758, Unit_Grades!$A$2:$A$7, 0)),1)</f>
        <v>181.8</v>
      </c>
      <c r="N1758" s="6" t="n">
        <f aca="false">ROUND(M1758/24,2)</f>
        <v>7.58</v>
      </c>
    </row>
    <row r="1759" customFormat="false" ht="15" hidden="false" customHeight="true" outlineLevel="0" collapsed="false">
      <c r="A1759" s="6" t="n">
        <v>6</v>
      </c>
      <c r="B1759" s="6" t="s">
        <v>3229</v>
      </c>
      <c r="C1759" s="6" t="s">
        <v>1474</v>
      </c>
      <c r="D1759" s="6" t="str">
        <f aca="false">A1759&amp;"|"&amp;C1759</f>
        <v>6|Ghost Frigate</v>
      </c>
      <c r="E1759" s="6" t="s">
        <v>1558</v>
      </c>
      <c r="F1759" s="6" t="s">
        <v>1548</v>
      </c>
      <c r="G1759" s="6" t="str">
        <f aca="false">INDEX(Archetypes!$D$2:$D$127, MATCH(D1759, Archetypes!$A$2:$A$127, 0))</f>
        <v>Agent</v>
      </c>
      <c r="H1759" s="6" t="n">
        <f aca="false">ROUND(INDEX(Archetypes!$E$2:$E$127, MATCH(D1759, Archetypes!$A$2:$A$127, 0))*INDEX(Unit_Grades!$B$2:$B$7, MATCH(F1759, Unit_Grades!$A$2:$A$7, 0))*INDEX(Unit_Paths!$B$2:$B$4, MATCH(E1759, Unit_Paths!$A$2:$A$4, 0)),1)</f>
        <v>2620.8</v>
      </c>
      <c r="I1759" s="6" t="n">
        <f aca="false">ROUND(INDEX(Archetypes!$F$2:$F$127, MATCH(D1759, Archetypes!$A$2:$A$127, 0))*INDEX(Unit_Grades!$B$2:$B$7, MATCH(F1759, Unit_Grades!$A$2:$A$7, 0))*INDEX(Unit_Paths!$C$2:$C$4, MATCH(E1759, Unit_Paths!$A$2:$A$4, 0)),1)</f>
        <v>785.4</v>
      </c>
      <c r="J1759" s="6" t="n">
        <f aca="false">ROUND(INDEX(Archetypes!$G$2:$G$127, MATCH(D1759, Archetypes!$A$2:$A$127, 0))*INDEX(Unit_Grades!$B$2:$B$7, MATCH(F1759, Unit_Grades!$A$2:$A$7, 0))*INDEX(Unit_Paths!$D$2:$D$4, MATCH(E1759, Unit_Paths!$A$2:$A$4, 0)),0)</f>
        <v>4389</v>
      </c>
      <c r="K1759" s="6" t="n">
        <f aca="false">ROUND(INDEX(Archetypes!$H$2:$H$127, MATCH(D1759, Archetypes!$A$2:$A$127, 0))*INDEX(Unit_Paths!$E$2:$E$4, MATCH(E1759, Unit_Paths!$A$2:$A$4, 0)),1)</f>
        <v>94.5</v>
      </c>
      <c r="L1759" s="6" t="n">
        <f aca="false">ROUND(INDEX(Archetypes!$I$2:$I$127, MATCH(D1759, Archetypes!$A$2:$A$127, 0))*INDEX(Unit_Grades!$C$2:$C$7, MATCH(F1759, Unit_Grades!$A$2:$A$7, 0)),1)</f>
        <v>236.8</v>
      </c>
      <c r="M1759" s="6" t="n">
        <f aca="false">ROUND(INDEX(Archetypes!$J$2:$J$127, MATCH(D1759, Archetypes!$A$2:$A$127, 0))*INDEX(Unit_Grades!$D$2:$D$7, MATCH(F1759, Unit_Grades!$A$2:$A$7, 0)),1)</f>
        <v>311.6</v>
      </c>
      <c r="N1759" s="6" t="n">
        <f aca="false">ROUND(M1759/24,2)</f>
        <v>12.98</v>
      </c>
    </row>
    <row r="1760" customFormat="false" ht="15" hidden="false" customHeight="true" outlineLevel="0" collapsed="false">
      <c r="A1760" s="6" t="n">
        <v>6</v>
      </c>
      <c r="B1760" s="6" t="s">
        <v>3230</v>
      </c>
      <c r="C1760" s="6" t="s">
        <v>1474</v>
      </c>
      <c r="D1760" s="6" t="str">
        <f aca="false">A1760&amp;"|"&amp;C1760</f>
        <v>6|Ghost Frigate</v>
      </c>
      <c r="E1760" s="6" t="s">
        <v>1560</v>
      </c>
      <c r="F1760" s="6" t="s">
        <v>1538</v>
      </c>
      <c r="G1760" s="6" t="str">
        <f aca="false">INDEX(Archetypes!$D$2:$D$127, MATCH(D1760, Archetypes!$A$2:$A$127, 0))</f>
        <v>Agent</v>
      </c>
      <c r="H1760" s="6" t="n">
        <f aca="false">ROUND(INDEX(Archetypes!$E$2:$E$127, MATCH(D1760, Archetypes!$A$2:$A$127, 0))*INDEX(Unit_Grades!$B$2:$B$7, MATCH(F1760, Unit_Grades!$A$2:$A$7, 0))*INDEX(Unit_Paths!$B$2:$B$4, MATCH(E1760, Unit_Paths!$A$2:$A$4, 0)),1)</f>
        <v>442</v>
      </c>
      <c r="I1760" s="6" t="n">
        <f aca="false">ROUND(INDEX(Archetypes!$F$2:$F$127, MATCH(D1760, Archetypes!$A$2:$A$127, 0))*INDEX(Unit_Grades!$B$2:$B$7, MATCH(F1760, Unit_Grades!$A$2:$A$7, 0))*INDEX(Unit_Paths!$C$2:$C$4, MATCH(E1760, Unit_Paths!$A$2:$A$4, 0)),1)</f>
        <v>275</v>
      </c>
      <c r="J1760" s="6" t="n">
        <f aca="false">ROUND(INDEX(Archetypes!$G$2:$G$127, MATCH(D1760, Archetypes!$A$2:$A$127, 0))*INDEX(Unit_Grades!$B$2:$B$7, MATCH(F1760, Unit_Grades!$A$2:$A$7, 0))*INDEX(Unit_Paths!$D$2:$D$4, MATCH(E1760, Unit_Paths!$A$2:$A$4, 0)),0)</f>
        <v>1265</v>
      </c>
      <c r="K1760" s="6" t="n">
        <f aca="false">ROUND(INDEX(Archetypes!$H$2:$H$127, MATCH(D1760, Archetypes!$A$2:$A$127, 0))*INDEX(Unit_Paths!$E$2:$E$4, MATCH(E1760, Unit_Paths!$A$2:$A$4, 0)),1)</f>
        <v>82.8</v>
      </c>
      <c r="L1760" s="6" t="n">
        <f aca="false">ROUND(INDEX(Archetypes!$I$2:$I$127, MATCH(D1760, Archetypes!$A$2:$A$127, 0))*INDEX(Unit_Grades!$C$2:$C$7, MATCH(F1760, Unit_Grades!$A$2:$A$7, 0)),1)</f>
        <v>64</v>
      </c>
      <c r="M1760" s="6" t="n">
        <f aca="false">ROUND(INDEX(Archetypes!$J$2:$J$127, MATCH(D1760, Archetypes!$A$2:$A$127, 0))*INDEX(Unit_Grades!$D$2:$D$7, MATCH(F1760, Unit_Grades!$A$2:$A$7, 0)),1)</f>
        <v>26</v>
      </c>
      <c r="N1760" s="6" t="n">
        <f aca="false">ROUND(M1760/24,2)</f>
        <v>1.08</v>
      </c>
    </row>
    <row r="1761" customFormat="false" ht="15" hidden="false" customHeight="true" outlineLevel="0" collapsed="false">
      <c r="A1761" s="6" t="n">
        <v>6</v>
      </c>
      <c r="B1761" s="6" t="s">
        <v>3231</v>
      </c>
      <c r="C1761" s="6" t="s">
        <v>1474</v>
      </c>
      <c r="D1761" s="6" t="str">
        <f aca="false">A1761&amp;"|"&amp;C1761</f>
        <v>6|Ghost Frigate</v>
      </c>
      <c r="E1761" s="6" t="s">
        <v>1560</v>
      </c>
      <c r="F1761" s="6" t="s">
        <v>1540</v>
      </c>
      <c r="G1761" s="6" t="str">
        <f aca="false">INDEX(Archetypes!$D$2:$D$127, MATCH(D1761, Archetypes!$A$2:$A$127, 0))</f>
        <v>Agent</v>
      </c>
      <c r="H1761" s="6" t="n">
        <f aca="false">ROUND(INDEX(Archetypes!$E$2:$E$127, MATCH(D1761, Archetypes!$A$2:$A$127, 0))*INDEX(Unit_Grades!$B$2:$B$7, MATCH(F1761, Unit_Grades!$A$2:$A$7, 0))*INDEX(Unit_Paths!$B$2:$B$4, MATCH(E1761, Unit_Paths!$A$2:$A$4, 0)),1)</f>
        <v>596.7</v>
      </c>
      <c r="I1761" s="6" t="n">
        <f aca="false">ROUND(INDEX(Archetypes!$F$2:$F$127, MATCH(D1761, Archetypes!$A$2:$A$127, 0))*INDEX(Unit_Grades!$B$2:$B$7, MATCH(F1761, Unit_Grades!$A$2:$A$7, 0))*INDEX(Unit_Paths!$C$2:$C$4, MATCH(E1761, Unit_Paths!$A$2:$A$4, 0)),1)</f>
        <v>371.3</v>
      </c>
      <c r="J1761" s="6" t="n">
        <f aca="false">ROUND(INDEX(Archetypes!$G$2:$G$127, MATCH(D1761, Archetypes!$A$2:$A$127, 0))*INDEX(Unit_Grades!$B$2:$B$7, MATCH(F1761, Unit_Grades!$A$2:$A$7, 0))*INDEX(Unit_Paths!$D$2:$D$4, MATCH(E1761, Unit_Paths!$A$2:$A$4, 0)),0)</f>
        <v>1708</v>
      </c>
      <c r="K1761" s="6" t="n">
        <f aca="false">ROUND(INDEX(Archetypes!$H$2:$H$127, MATCH(D1761, Archetypes!$A$2:$A$127, 0))*INDEX(Unit_Paths!$E$2:$E$4, MATCH(E1761, Unit_Paths!$A$2:$A$4, 0)),1)</f>
        <v>82.8</v>
      </c>
      <c r="L1761" s="6" t="n">
        <f aca="false">ROUND(INDEX(Archetypes!$I$2:$I$127, MATCH(D1761, Archetypes!$A$2:$A$127, 0))*INDEX(Unit_Grades!$C$2:$C$7, MATCH(F1761, Unit_Grades!$A$2:$A$7, 0)),1)</f>
        <v>80</v>
      </c>
      <c r="M1761" s="6" t="n">
        <f aca="false">ROUND(INDEX(Archetypes!$J$2:$J$127, MATCH(D1761, Archetypes!$A$2:$A$127, 0))*INDEX(Unit_Grades!$D$2:$D$7, MATCH(F1761, Unit_Grades!$A$2:$A$7, 0)),1)</f>
        <v>39</v>
      </c>
      <c r="N1761" s="6" t="n">
        <f aca="false">ROUND(M1761/24,2)</f>
        <v>1.63</v>
      </c>
    </row>
    <row r="1762" customFormat="false" ht="15" hidden="false" customHeight="true" outlineLevel="0" collapsed="false">
      <c r="A1762" s="6" t="n">
        <v>6</v>
      </c>
      <c r="B1762" s="6" t="s">
        <v>3232</v>
      </c>
      <c r="C1762" s="6" t="s">
        <v>1474</v>
      </c>
      <c r="D1762" s="6" t="str">
        <f aca="false">A1762&amp;"|"&amp;C1762</f>
        <v>6|Ghost Frigate</v>
      </c>
      <c r="E1762" s="6" t="s">
        <v>1560</v>
      </c>
      <c r="F1762" s="6" t="s">
        <v>1542</v>
      </c>
      <c r="G1762" s="6" t="str">
        <f aca="false">INDEX(Archetypes!$D$2:$D$127, MATCH(D1762, Archetypes!$A$2:$A$127, 0))</f>
        <v>Agent</v>
      </c>
      <c r="H1762" s="6" t="n">
        <f aca="false">ROUND(INDEX(Archetypes!$E$2:$E$127, MATCH(D1762, Archetypes!$A$2:$A$127, 0))*INDEX(Unit_Grades!$B$2:$B$7, MATCH(F1762, Unit_Grades!$A$2:$A$7, 0))*INDEX(Unit_Paths!$B$2:$B$4, MATCH(E1762, Unit_Paths!$A$2:$A$4, 0)),1)</f>
        <v>795.6</v>
      </c>
      <c r="I1762" s="6" t="n">
        <f aca="false">ROUND(INDEX(Archetypes!$F$2:$F$127, MATCH(D1762, Archetypes!$A$2:$A$127, 0))*INDEX(Unit_Grades!$B$2:$B$7, MATCH(F1762, Unit_Grades!$A$2:$A$7, 0))*INDEX(Unit_Paths!$C$2:$C$4, MATCH(E1762, Unit_Paths!$A$2:$A$4, 0)),1)</f>
        <v>495</v>
      </c>
      <c r="J1762" s="6" t="n">
        <f aca="false">ROUND(INDEX(Archetypes!$G$2:$G$127, MATCH(D1762, Archetypes!$A$2:$A$127, 0))*INDEX(Unit_Grades!$B$2:$B$7, MATCH(F1762, Unit_Grades!$A$2:$A$7, 0))*INDEX(Unit_Paths!$D$2:$D$4, MATCH(E1762, Unit_Paths!$A$2:$A$4, 0)),0)</f>
        <v>2277</v>
      </c>
      <c r="K1762" s="6" t="n">
        <f aca="false">ROUND(INDEX(Archetypes!$H$2:$H$127, MATCH(D1762, Archetypes!$A$2:$A$127, 0))*INDEX(Unit_Paths!$E$2:$E$4, MATCH(E1762, Unit_Paths!$A$2:$A$4, 0)),1)</f>
        <v>82.8</v>
      </c>
      <c r="L1762" s="6" t="n">
        <f aca="false">ROUND(INDEX(Archetypes!$I$2:$I$127, MATCH(D1762, Archetypes!$A$2:$A$127, 0))*INDEX(Unit_Grades!$C$2:$C$7, MATCH(F1762, Unit_Grades!$A$2:$A$7, 0)),1)</f>
        <v>102.4</v>
      </c>
      <c r="M1762" s="6" t="n">
        <f aca="false">ROUND(INDEX(Archetypes!$J$2:$J$127, MATCH(D1762, Archetypes!$A$2:$A$127, 0))*INDEX(Unit_Grades!$D$2:$D$7, MATCH(F1762, Unit_Grades!$A$2:$A$7, 0)),1)</f>
        <v>64.9</v>
      </c>
      <c r="N1762" s="6" t="n">
        <f aca="false">ROUND(M1762/24,2)</f>
        <v>2.7</v>
      </c>
    </row>
    <row r="1763" customFormat="false" ht="15" hidden="false" customHeight="true" outlineLevel="0" collapsed="false">
      <c r="A1763" s="6" t="n">
        <v>6</v>
      </c>
      <c r="B1763" s="6" t="s">
        <v>3233</v>
      </c>
      <c r="C1763" s="6" t="s">
        <v>1474</v>
      </c>
      <c r="D1763" s="6" t="str">
        <f aca="false">A1763&amp;"|"&amp;C1763</f>
        <v>6|Ghost Frigate</v>
      </c>
      <c r="E1763" s="6" t="s">
        <v>1560</v>
      </c>
      <c r="F1763" s="6" t="s">
        <v>1544</v>
      </c>
      <c r="G1763" s="6" t="str">
        <f aca="false">INDEX(Archetypes!$D$2:$D$127, MATCH(D1763, Archetypes!$A$2:$A$127, 0))</f>
        <v>Agent</v>
      </c>
      <c r="H1763" s="6" t="n">
        <f aca="false">ROUND(INDEX(Archetypes!$E$2:$E$127, MATCH(D1763, Archetypes!$A$2:$A$127, 0))*INDEX(Unit_Grades!$B$2:$B$7, MATCH(F1763, Unit_Grades!$A$2:$A$7, 0))*INDEX(Unit_Paths!$B$2:$B$4, MATCH(E1763, Unit_Paths!$A$2:$A$4, 0)),1)</f>
        <v>1060.8</v>
      </c>
      <c r="I1763" s="6" t="n">
        <f aca="false">ROUND(INDEX(Archetypes!$F$2:$F$127, MATCH(D1763, Archetypes!$A$2:$A$127, 0))*INDEX(Unit_Grades!$B$2:$B$7, MATCH(F1763, Unit_Grades!$A$2:$A$7, 0))*INDEX(Unit_Paths!$C$2:$C$4, MATCH(E1763, Unit_Paths!$A$2:$A$4, 0)),1)</f>
        <v>660</v>
      </c>
      <c r="J1763" s="6" t="n">
        <f aca="false">ROUND(INDEX(Archetypes!$G$2:$G$127, MATCH(D1763, Archetypes!$A$2:$A$127, 0))*INDEX(Unit_Grades!$B$2:$B$7, MATCH(F1763, Unit_Grades!$A$2:$A$7, 0))*INDEX(Unit_Paths!$D$2:$D$4, MATCH(E1763, Unit_Paths!$A$2:$A$4, 0)),0)</f>
        <v>3036</v>
      </c>
      <c r="K1763" s="6" t="n">
        <f aca="false">ROUND(INDEX(Archetypes!$H$2:$H$127, MATCH(D1763, Archetypes!$A$2:$A$127, 0))*INDEX(Unit_Paths!$E$2:$E$4, MATCH(E1763, Unit_Paths!$A$2:$A$4, 0)),1)</f>
        <v>82.8</v>
      </c>
      <c r="L1763" s="6" t="n">
        <f aca="false">ROUND(INDEX(Archetypes!$I$2:$I$127, MATCH(D1763, Archetypes!$A$2:$A$127, 0))*INDEX(Unit_Grades!$C$2:$C$7, MATCH(F1763, Unit_Grades!$A$2:$A$7, 0)),1)</f>
        <v>134.4</v>
      </c>
      <c r="M1763" s="6" t="n">
        <f aca="false">ROUND(INDEX(Archetypes!$J$2:$J$127, MATCH(D1763, Archetypes!$A$2:$A$127, 0))*INDEX(Unit_Grades!$D$2:$D$7, MATCH(F1763, Unit_Grades!$A$2:$A$7, 0)),1)</f>
        <v>103.9</v>
      </c>
      <c r="N1763" s="6" t="n">
        <f aca="false">ROUND(M1763/24,2)</f>
        <v>4.33</v>
      </c>
    </row>
    <row r="1764" customFormat="false" ht="15" hidden="false" customHeight="true" outlineLevel="0" collapsed="false">
      <c r="A1764" s="6" t="n">
        <v>6</v>
      </c>
      <c r="B1764" s="6" t="s">
        <v>3234</v>
      </c>
      <c r="C1764" s="6" t="s">
        <v>1474</v>
      </c>
      <c r="D1764" s="6" t="str">
        <f aca="false">A1764&amp;"|"&amp;C1764</f>
        <v>6|Ghost Frigate</v>
      </c>
      <c r="E1764" s="6" t="s">
        <v>1560</v>
      </c>
      <c r="F1764" s="6" t="s">
        <v>1546</v>
      </c>
      <c r="G1764" s="6" t="str">
        <f aca="false">INDEX(Archetypes!$D$2:$D$127, MATCH(D1764, Archetypes!$A$2:$A$127, 0))</f>
        <v>Agent</v>
      </c>
      <c r="H1764" s="6" t="n">
        <f aca="false">ROUND(INDEX(Archetypes!$E$2:$E$127, MATCH(D1764, Archetypes!$A$2:$A$127, 0))*INDEX(Unit_Grades!$B$2:$B$7, MATCH(F1764, Unit_Grades!$A$2:$A$7, 0))*INDEX(Unit_Paths!$B$2:$B$4, MATCH(E1764, Unit_Paths!$A$2:$A$4, 0)),1)</f>
        <v>1414.4</v>
      </c>
      <c r="I1764" s="6" t="n">
        <f aca="false">ROUND(INDEX(Archetypes!$F$2:$F$127, MATCH(D1764, Archetypes!$A$2:$A$127, 0))*INDEX(Unit_Grades!$B$2:$B$7, MATCH(F1764, Unit_Grades!$A$2:$A$7, 0))*INDEX(Unit_Paths!$C$2:$C$4, MATCH(E1764, Unit_Paths!$A$2:$A$4, 0)),1)</f>
        <v>880</v>
      </c>
      <c r="J1764" s="6" t="n">
        <f aca="false">ROUND(INDEX(Archetypes!$G$2:$G$127, MATCH(D1764, Archetypes!$A$2:$A$127, 0))*INDEX(Unit_Grades!$B$2:$B$7, MATCH(F1764, Unit_Grades!$A$2:$A$7, 0))*INDEX(Unit_Paths!$D$2:$D$4, MATCH(E1764, Unit_Paths!$A$2:$A$4, 0)),0)</f>
        <v>4048</v>
      </c>
      <c r="K1764" s="6" t="n">
        <f aca="false">ROUND(INDEX(Archetypes!$H$2:$H$127, MATCH(D1764, Archetypes!$A$2:$A$127, 0))*INDEX(Unit_Paths!$E$2:$E$4, MATCH(E1764, Unit_Paths!$A$2:$A$4, 0)),1)</f>
        <v>82.8</v>
      </c>
      <c r="L1764" s="6" t="n">
        <f aca="false">ROUND(INDEX(Archetypes!$I$2:$I$127, MATCH(D1764, Archetypes!$A$2:$A$127, 0))*INDEX(Unit_Grades!$C$2:$C$7, MATCH(F1764, Unit_Grades!$A$2:$A$7, 0)),1)</f>
        <v>179.2</v>
      </c>
      <c r="M1764" s="6" t="n">
        <f aca="false">ROUND(INDEX(Archetypes!$J$2:$J$127, MATCH(D1764, Archetypes!$A$2:$A$127, 0))*INDEX(Unit_Grades!$D$2:$D$7, MATCH(F1764, Unit_Grades!$A$2:$A$7, 0)),1)</f>
        <v>181.8</v>
      </c>
      <c r="N1764" s="6" t="n">
        <f aca="false">ROUND(M1764/24,2)</f>
        <v>7.58</v>
      </c>
    </row>
    <row r="1765" customFormat="false" ht="15" hidden="false" customHeight="true" outlineLevel="0" collapsed="false">
      <c r="A1765" s="6" t="n">
        <v>6</v>
      </c>
      <c r="B1765" s="6" t="s">
        <v>3235</v>
      </c>
      <c r="C1765" s="6" t="s">
        <v>1474</v>
      </c>
      <c r="D1765" s="6" t="str">
        <f aca="false">A1765&amp;"|"&amp;C1765</f>
        <v>6|Ghost Frigate</v>
      </c>
      <c r="E1765" s="6" t="s">
        <v>1560</v>
      </c>
      <c r="F1765" s="6" t="s">
        <v>1548</v>
      </c>
      <c r="G1765" s="6" t="str">
        <f aca="false">INDEX(Archetypes!$D$2:$D$127, MATCH(D1765, Archetypes!$A$2:$A$127, 0))</f>
        <v>Agent</v>
      </c>
      <c r="H1765" s="6" t="n">
        <f aca="false">ROUND(INDEX(Archetypes!$E$2:$E$127, MATCH(D1765, Archetypes!$A$2:$A$127, 0))*INDEX(Unit_Grades!$B$2:$B$7, MATCH(F1765, Unit_Grades!$A$2:$A$7, 0))*INDEX(Unit_Paths!$B$2:$B$4, MATCH(E1765, Unit_Paths!$A$2:$A$4, 0)),1)</f>
        <v>1856.4</v>
      </c>
      <c r="I1765" s="6" t="n">
        <f aca="false">ROUND(INDEX(Archetypes!$F$2:$F$127, MATCH(D1765, Archetypes!$A$2:$A$127, 0))*INDEX(Unit_Grades!$B$2:$B$7, MATCH(F1765, Unit_Grades!$A$2:$A$7, 0))*INDEX(Unit_Paths!$C$2:$C$4, MATCH(E1765, Unit_Paths!$A$2:$A$4, 0)),1)</f>
        <v>1155</v>
      </c>
      <c r="J1765" s="6" t="n">
        <f aca="false">ROUND(INDEX(Archetypes!$G$2:$G$127, MATCH(D1765, Archetypes!$A$2:$A$127, 0))*INDEX(Unit_Grades!$B$2:$B$7, MATCH(F1765, Unit_Grades!$A$2:$A$7, 0))*INDEX(Unit_Paths!$D$2:$D$4, MATCH(E1765, Unit_Paths!$A$2:$A$4, 0)),0)</f>
        <v>5313</v>
      </c>
      <c r="K1765" s="6" t="n">
        <f aca="false">ROUND(INDEX(Archetypes!$H$2:$H$127, MATCH(D1765, Archetypes!$A$2:$A$127, 0))*INDEX(Unit_Paths!$E$2:$E$4, MATCH(E1765, Unit_Paths!$A$2:$A$4, 0)),1)</f>
        <v>82.8</v>
      </c>
      <c r="L1765" s="6" t="n">
        <f aca="false">ROUND(INDEX(Archetypes!$I$2:$I$127, MATCH(D1765, Archetypes!$A$2:$A$127, 0))*INDEX(Unit_Grades!$C$2:$C$7, MATCH(F1765, Unit_Grades!$A$2:$A$7, 0)),1)</f>
        <v>236.8</v>
      </c>
      <c r="M1765" s="6" t="n">
        <f aca="false">ROUND(INDEX(Archetypes!$J$2:$J$127, MATCH(D1765, Archetypes!$A$2:$A$127, 0))*INDEX(Unit_Grades!$D$2:$D$7, MATCH(F1765, Unit_Grades!$A$2:$A$7, 0)),1)</f>
        <v>311.6</v>
      </c>
      <c r="N1765" s="6" t="n">
        <f aca="false">ROUND(M1765/24,2)</f>
        <v>12.98</v>
      </c>
    </row>
    <row r="1766" customFormat="false" ht="15" hidden="false" customHeight="true" outlineLevel="0" collapsed="false">
      <c r="A1766" s="6" t="n">
        <v>6</v>
      </c>
      <c r="B1766" s="6" t="s">
        <v>1476</v>
      </c>
      <c r="C1766" s="6" t="s">
        <v>1476</v>
      </c>
      <c r="D1766" s="6" t="str">
        <f aca="false">A1766&amp;"|"&amp;C1766</f>
        <v>6|Precursor Construct</v>
      </c>
      <c r="E1766" s="6" t="s">
        <v>1556</v>
      </c>
      <c r="F1766" s="6" t="s">
        <v>1538</v>
      </c>
      <c r="G1766" s="6" t="str">
        <f aca="false">INDEX(Archetypes!$D$2:$D$127, MATCH(D1766, Archetypes!$A$2:$A$127, 0))</f>
        <v>Elite Shock</v>
      </c>
      <c r="H1766" s="6" t="n">
        <f aca="false">ROUND(INDEX(Archetypes!$E$2:$E$127, MATCH(D1766, Archetypes!$A$2:$A$127, 0))*INDEX(Unit_Grades!$B$2:$B$7, MATCH(F1766, Unit_Grades!$A$2:$A$7, 0))*INDEX(Unit_Paths!$B$2:$B$4, MATCH(E1766, Unit_Paths!$A$2:$A$4, 0)),1)</f>
        <v>900</v>
      </c>
      <c r="I1766" s="6" t="n">
        <f aca="false">ROUND(INDEX(Archetypes!$F$2:$F$127, MATCH(D1766, Archetypes!$A$2:$A$127, 0))*INDEX(Unit_Grades!$B$2:$B$7, MATCH(F1766, Unit_Grades!$A$2:$A$7, 0))*INDEX(Unit_Paths!$C$2:$C$4, MATCH(E1766, Unit_Paths!$A$2:$A$4, 0)),1)</f>
        <v>640</v>
      </c>
      <c r="J1766" s="6" t="n">
        <f aca="false">ROUND(INDEX(Archetypes!$G$2:$G$127, MATCH(D1766, Archetypes!$A$2:$A$127, 0))*INDEX(Unit_Grades!$B$2:$B$7, MATCH(F1766, Unit_Grades!$A$2:$A$7, 0))*INDEX(Unit_Paths!$D$2:$D$4, MATCH(E1766, Unit_Paths!$A$2:$A$4, 0)),0)</f>
        <v>3400</v>
      </c>
      <c r="K1766" s="6" t="n">
        <f aca="false">ROUND(INDEX(Archetypes!$H$2:$H$127, MATCH(D1766, Archetypes!$A$2:$A$127, 0))*INDEX(Unit_Paths!$E$2:$E$4, MATCH(E1766, Unit_Paths!$A$2:$A$4, 0)),1)</f>
        <v>58</v>
      </c>
      <c r="L1766" s="6" t="n">
        <f aca="false">ROUND(INDEX(Archetypes!$I$2:$I$127, MATCH(D1766, Archetypes!$A$2:$A$127, 0))*INDEX(Unit_Grades!$C$2:$C$7, MATCH(F1766, Unit_Grades!$A$2:$A$7, 0)),1)</f>
        <v>110</v>
      </c>
      <c r="M1766" s="6" t="n">
        <f aca="false">ROUND(INDEX(Archetypes!$J$2:$J$127, MATCH(D1766, Archetypes!$A$2:$A$127, 0))*INDEX(Unit_Grades!$D$2:$D$7, MATCH(F1766, Unit_Grades!$A$2:$A$7, 0)),1)</f>
        <v>44.6</v>
      </c>
      <c r="N1766" s="6" t="n">
        <f aca="false">ROUND(M1766/24,2)</f>
        <v>1.86</v>
      </c>
    </row>
    <row r="1767" customFormat="false" ht="15" hidden="false" customHeight="true" outlineLevel="0" collapsed="false">
      <c r="A1767" s="6" t="n">
        <v>6</v>
      </c>
      <c r="B1767" s="6" t="s">
        <v>3236</v>
      </c>
      <c r="C1767" s="6" t="s">
        <v>1476</v>
      </c>
      <c r="D1767" s="6" t="str">
        <f aca="false">A1767&amp;"|"&amp;C1767</f>
        <v>6|Precursor Construct</v>
      </c>
      <c r="E1767" s="6" t="s">
        <v>1556</v>
      </c>
      <c r="F1767" s="6" t="s">
        <v>1540</v>
      </c>
      <c r="G1767" s="6" t="str">
        <f aca="false">INDEX(Archetypes!$D$2:$D$127, MATCH(D1767, Archetypes!$A$2:$A$127, 0))</f>
        <v>Elite Shock</v>
      </c>
      <c r="H1767" s="6" t="n">
        <f aca="false">ROUND(INDEX(Archetypes!$E$2:$E$127, MATCH(D1767, Archetypes!$A$2:$A$127, 0))*INDEX(Unit_Grades!$B$2:$B$7, MATCH(F1767, Unit_Grades!$A$2:$A$7, 0))*INDEX(Unit_Paths!$B$2:$B$4, MATCH(E1767, Unit_Paths!$A$2:$A$4, 0)),1)</f>
        <v>1215</v>
      </c>
      <c r="I1767" s="6" t="n">
        <f aca="false">ROUND(INDEX(Archetypes!$F$2:$F$127, MATCH(D1767, Archetypes!$A$2:$A$127, 0))*INDEX(Unit_Grades!$B$2:$B$7, MATCH(F1767, Unit_Grades!$A$2:$A$7, 0))*INDEX(Unit_Paths!$C$2:$C$4, MATCH(E1767, Unit_Paths!$A$2:$A$4, 0)),1)</f>
        <v>864</v>
      </c>
      <c r="J1767" s="6" t="n">
        <f aca="false">ROUND(INDEX(Archetypes!$G$2:$G$127, MATCH(D1767, Archetypes!$A$2:$A$127, 0))*INDEX(Unit_Grades!$B$2:$B$7, MATCH(F1767, Unit_Grades!$A$2:$A$7, 0))*INDEX(Unit_Paths!$D$2:$D$4, MATCH(E1767, Unit_Paths!$A$2:$A$4, 0)),0)</f>
        <v>4590</v>
      </c>
      <c r="K1767" s="6" t="n">
        <f aca="false">ROUND(INDEX(Archetypes!$H$2:$H$127, MATCH(D1767, Archetypes!$A$2:$A$127, 0))*INDEX(Unit_Paths!$E$2:$E$4, MATCH(E1767, Unit_Paths!$A$2:$A$4, 0)),1)</f>
        <v>58</v>
      </c>
      <c r="L1767" s="6" t="n">
        <f aca="false">ROUND(INDEX(Archetypes!$I$2:$I$127, MATCH(D1767, Archetypes!$A$2:$A$127, 0))*INDEX(Unit_Grades!$C$2:$C$7, MATCH(F1767, Unit_Grades!$A$2:$A$7, 0)),1)</f>
        <v>137.5</v>
      </c>
      <c r="M1767" s="6" t="n">
        <f aca="false">ROUND(INDEX(Archetypes!$J$2:$J$127, MATCH(D1767, Archetypes!$A$2:$A$127, 0))*INDEX(Unit_Grades!$D$2:$D$7, MATCH(F1767, Unit_Grades!$A$2:$A$7, 0)),1)</f>
        <v>67</v>
      </c>
      <c r="N1767" s="6" t="n">
        <f aca="false">ROUND(M1767/24,2)</f>
        <v>2.79</v>
      </c>
    </row>
    <row r="1768" customFormat="false" ht="15" hidden="false" customHeight="true" outlineLevel="0" collapsed="false">
      <c r="A1768" s="6" t="n">
        <v>6</v>
      </c>
      <c r="B1768" s="6" t="s">
        <v>3237</v>
      </c>
      <c r="C1768" s="6" t="s">
        <v>1476</v>
      </c>
      <c r="D1768" s="6" t="str">
        <f aca="false">A1768&amp;"|"&amp;C1768</f>
        <v>6|Precursor Construct</v>
      </c>
      <c r="E1768" s="6" t="s">
        <v>1556</v>
      </c>
      <c r="F1768" s="6" t="s">
        <v>1542</v>
      </c>
      <c r="G1768" s="6" t="str">
        <f aca="false">INDEX(Archetypes!$D$2:$D$127, MATCH(D1768, Archetypes!$A$2:$A$127, 0))</f>
        <v>Elite Shock</v>
      </c>
      <c r="H1768" s="6" t="n">
        <f aca="false">ROUND(INDEX(Archetypes!$E$2:$E$127, MATCH(D1768, Archetypes!$A$2:$A$127, 0))*INDEX(Unit_Grades!$B$2:$B$7, MATCH(F1768, Unit_Grades!$A$2:$A$7, 0))*INDEX(Unit_Paths!$B$2:$B$4, MATCH(E1768, Unit_Paths!$A$2:$A$4, 0)),1)</f>
        <v>1620</v>
      </c>
      <c r="I1768" s="6" t="n">
        <f aca="false">ROUND(INDEX(Archetypes!$F$2:$F$127, MATCH(D1768, Archetypes!$A$2:$A$127, 0))*INDEX(Unit_Grades!$B$2:$B$7, MATCH(F1768, Unit_Grades!$A$2:$A$7, 0))*INDEX(Unit_Paths!$C$2:$C$4, MATCH(E1768, Unit_Paths!$A$2:$A$4, 0)),1)</f>
        <v>1152</v>
      </c>
      <c r="J1768" s="6" t="n">
        <f aca="false">ROUND(INDEX(Archetypes!$G$2:$G$127, MATCH(D1768, Archetypes!$A$2:$A$127, 0))*INDEX(Unit_Grades!$B$2:$B$7, MATCH(F1768, Unit_Grades!$A$2:$A$7, 0))*INDEX(Unit_Paths!$D$2:$D$4, MATCH(E1768, Unit_Paths!$A$2:$A$4, 0)),0)</f>
        <v>6120</v>
      </c>
      <c r="K1768" s="6" t="n">
        <f aca="false">ROUND(INDEX(Archetypes!$H$2:$H$127, MATCH(D1768, Archetypes!$A$2:$A$127, 0))*INDEX(Unit_Paths!$E$2:$E$4, MATCH(E1768, Unit_Paths!$A$2:$A$4, 0)),1)</f>
        <v>58</v>
      </c>
      <c r="L1768" s="6" t="n">
        <f aca="false">ROUND(INDEX(Archetypes!$I$2:$I$127, MATCH(D1768, Archetypes!$A$2:$A$127, 0))*INDEX(Unit_Grades!$C$2:$C$7, MATCH(F1768, Unit_Grades!$A$2:$A$7, 0)),1)</f>
        <v>176</v>
      </c>
      <c r="M1768" s="6" t="n">
        <f aca="false">ROUND(INDEX(Archetypes!$J$2:$J$127, MATCH(D1768, Archetypes!$A$2:$A$127, 0))*INDEX(Unit_Grades!$D$2:$D$7, MATCH(F1768, Unit_Grades!$A$2:$A$7, 0)),1)</f>
        <v>111.6</v>
      </c>
      <c r="N1768" s="6" t="n">
        <f aca="false">ROUND(M1768/24,2)</f>
        <v>4.65</v>
      </c>
    </row>
    <row r="1769" customFormat="false" ht="15" hidden="false" customHeight="true" outlineLevel="0" collapsed="false">
      <c r="A1769" s="6" t="n">
        <v>6</v>
      </c>
      <c r="B1769" s="6" t="s">
        <v>3238</v>
      </c>
      <c r="C1769" s="6" t="s">
        <v>1476</v>
      </c>
      <c r="D1769" s="6" t="str">
        <f aca="false">A1769&amp;"|"&amp;C1769</f>
        <v>6|Precursor Construct</v>
      </c>
      <c r="E1769" s="6" t="s">
        <v>1556</v>
      </c>
      <c r="F1769" s="6" t="s">
        <v>1544</v>
      </c>
      <c r="G1769" s="6" t="str">
        <f aca="false">INDEX(Archetypes!$D$2:$D$127, MATCH(D1769, Archetypes!$A$2:$A$127, 0))</f>
        <v>Elite Shock</v>
      </c>
      <c r="H1769" s="6" t="n">
        <f aca="false">ROUND(INDEX(Archetypes!$E$2:$E$127, MATCH(D1769, Archetypes!$A$2:$A$127, 0))*INDEX(Unit_Grades!$B$2:$B$7, MATCH(F1769, Unit_Grades!$A$2:$A$7, 0))*INDEX(Unit_Paths!$B$2:$B$4, MATCH(E1769, Unit_Paths!$A$2:$A$4, 0)),1)</f>
        <v>2160</v>
      </c>
      <c r="I1769" s="6" t="n">
        <f aca="false">ROUND(INDEX(Archetypes!$F$2:$F$127, MATCH(D1769, Archetypes!$A$2:$A$127, 0))*INDEX(Unit_Grades!$B$2:$B$7, MATCH(F1769, Unit_Grades!$A$2:$A$7, 0))*INDEX(Unit_Paths!$C$2:$C$4, MATCH(E1769, Unit_Paths!$A$2:$A$4, 0)),1)</f>
        <v>1536</v>
      </c>
      <c r="J1769" s="6" t="n">
        <f aca="false">ROUND(INDEX(Archetypes!$G$2:$G$127, MATCH(D1769, Archetypes!$A$2:$A$127, 0))*INDEX(Unit_Grades!$B$2:$B$7, MATCH(F1769, Unit_Grades!$A$2:$A$7, 0))*INDEX(Unit_Paths!$D$2:$D$4, MATCH(E1769, Unit_Paths!$A$2:$A$4, 0)),0)</f>
        <v>8160</v>
      </c>
      <c r="K1769" s="6" t="n">
        <f aca="false">ROUND(INDEX(Archetypes!$H$2:$H$127, MATCH(D1769, Archetypes!$A$2:$A$127, 0))*INDEX(Unit_Paths!$E$2:$E$4, MATCH(E1769, Unit_Paths!$A$2:$A$4, 0)),1)</f>
        <v>58</v>
      </c>
      <c r="L1769" s="6" t="n">
        <f aca="false">ROUND(INDEX(Archetypes!$I$2:$I$127, MATCH(D1769, Archetypes!$A$2:$A$127, 0))*INDEX(Unit_Grades!$C$2:$C$7, MATCH(F1769, Unit_Grades!$A$2:$A$7, 0)),1)</f>
        <v>231</v>
      </c>
      <c r="M1769" s="6" t="n">
        <f aca="false">ROUND(INDEX(Archetypes!$J$2:$J$127, MATCH(D1769, Archetypes!$A$2:$A$127, 0))*INDEX(Unit_Grades!$D$2:$D$7, MATCH(F1769, Unit_Grades!$A$2:$A$7, 0)),1)</f>
        <v>178.6</v>
      </c>
      <c r="N1769" s="6" t="n">
        <f aca="false">ROUND(M1769/24,2)</f>
        <v>7.44</v>
      </c>
    </row>
    <row r="1770" customFormat="false" ht="15" hidden="false" customHeight="true" outlineLevel="0" collapsed="false">
      <c r="A1770" s="6" t="n">
        <v>6</v>
      </c>
      <c r="B1770" s="6" t="s">
        <v>3239</v>
      </c>
      <c r="C1770" s="6" t="s">
        <v>1476</v>
      </c>
      <c r="D1770" s="6" t="str">
        <f aca="false">A1770&amp;"|"&amp;C1770</f>
        <v>6|Precursor Construct</v>
      </c>
      <c r="E1770" s="6" t="s">
        <v>1556</v>
      </c>
      <c r="F1770" s="6" t="s">
        <v>1546</v>
      </c>
      <c r="G1770" s="6" t="str">
        <f aca="false">INDEX(Archetypes!$D$2:$D$127, MATCH(D1770, Archetypes!$A$2:$A$127, 0))</f>
        <v>Elite Shock</v>
      </c>
      <c r="H1770" s="6" t="n">
        <f aca="false">ROUND(INDEX(Archetypes!$E$2:$E$127, MATCH(D1770, Archetypes!$A$2:$A$127, 0))*INDEX(Unit_Grades!$B$2:$B$7, MATCH(F1770, Unit_Grades!$A$2:$A$7, 0))*INDEX(Unit_Paths!$B$2:$B$4, MATCH(E1770, Unit_Paths!$A$2:$A$4, 0)),1)</f>
        <v>2880</v>
      </c>
      <c r="I1770" s="6" t="n">
        <f aca="false">ROUND(INDEX(Archetypes!$F$2:$F$127, MATCH(D1770, Archetypes!$A$2:$A$127, 0))*INDEX(Unit_Grades!$B$2:$B$7, MATCH(F1770, Unit_Grades!$A$2:$A$7, 0))*INDEX(Unit_Paths!$C$2:$C$4, MATCH(E1770, Unit_Paths!$A$2:$A$4, 0)),1)</f>
        <v>2048</v>
      </c>
      <c r="J1770" s="6" t="n">
        <f aca="false">ROUND(INDEX(Archetypes!$G$2:$G$127, MATCH(D1770, Archetypes!$A$2:$A$127, 0))*INDEX(Unit_Grades!$B$2:$B$7, MATCH(F1770, Unit_Grades!$A$2:$A$7, 0))*INDEX(Unit_Paths!$D$2:$D$4, MATCH(E1770, Unit_Paths!$A$2:$A$4, 0)),0)</f>
        <v>10880</v>
      </c>
      <c r="K1770" s="6" t="n">
        <f aca="false">ROUND(INDEX(Archetypes!$H$2:$H$127, MATCH(D1770, Archetypes!$A$2:$A$127, 0))*INDEX(Unit_Paths!$E$2:$E$4, MATCH(E1770, Unit_Paths!$A$2:$A$4, 0)),1)</f>
        <v>58</v>
      </c>
      <c r="L1770" s="6" t="n">
        <f aca="false">ROUND(INDEX(Archetypes!$I$2:$I$127, MATCH(D1770, Archetypes!$A$2:$A$127, 0))*INDEX(Unit_Grades!$C$2:$C$7, MATCH(F1770, Unit_Grades!$A$2:$A$7, 0)),1)</f>
        <v>308</v>
      </c>
      <c r="M1770" s="6" t="n">
        <f aca="false">ROUND(INDEX(Archetypes!$J$2:$J$127, MATCH(D1770, Archetypes!$A$2:$A$127, 0))*INDEX(Unit_Grades!$D$2:$D$7, MATCH(F1770, Unit_Grades!$A$2:$A$7, 0)),1)</f>
        <v>312.5</v>
      </c>
      <c r="N1770" s="6" t="n">
        <f aca="false">ROUND(M1770/24,2)</f>
        <v>13.02</v>
      </c>
    </row>
    <row r="1771" customFormat="false" ht="15" hidden="false" customHeight="true" outlineLevel="0" collapsed="false">
      <c r="A1771" s="6" t="n">
        <v>6</v>
      </c>
      <c r="B1771" s="6" t="s">
        <v>3240</v>
      </c>
      <c r="C1771" s="6" t="s">
        <v>1476</v>
      </c>
      <c r="D1771" s="6" t="str">
        <f aca="false">A1771&amp;"|"&amp;C1771</f>
        <v>6|Precursor Construct</v>
      </c>
      <c r="E1771" s="6" t="s">
        <v>1556</v>
      </c>
      <c r="F1771" s="6" t="s">
        <v>1548</v>
      </c>
      <c r="G1771" s="6" t="str">
        <f aca="false">INDEX(Archetypes!$D$2:$D$127, MATCH(D1771, Archetypes!$A$2:$A$127, 0))</f>
        <v>Elite Shock</v>
      </c>
      <c r="H1771" s="6" t="n">
        <f aca="false">ROUND(INDEX(Archetypes!$E$2:$E$127, MATCH(D1771, Archetypes!$A$2:$A$127, 0))*INDEX(Unit_Grades!$B$2:$B$7, MATCH(F1771, Unit_Grades!$A$2:$A$7, 0))*INDEX(Unit_Paths!$B$2:$B$4, MATCH(E1771, Unit_Paths!$A$2:$A$4, 0)),1)</f>
        <v>3780</v>
      </c>
      <c r="I1771" s="6" t="n">
        <f aca="false">ROUND(INDEX(Archetypes!$F$2:$F$127, MATCH(D1771, Archetypes!$A$2:$A$127, 0))*INDEX(Unit_Grades!$B$2:$B$7, MATCH(F1771, Unit_Grades!$A$2:$A$7, 0))*INDEX(Unit_Paths!$C$2:$C$4, MATCH(E1771, Unit_Paths!$A$2:$A$4, 0)),1)</f>
        <v>2688</v>
      </c>
      <c r="J1771" s="6" t="n">
        <f aca="false">ROUND(INDEX(Archetypes!$G$2:$G$127, MATCH(D1771, Archetypes!$A$2:$A$127, 0))*INDEX(Unit_Grades!$B$2:$B$7, MATCH(F1771, Unit_Grades!$A$2:$A$7, 0))*INDEX(Unit_Paths!$D$2:$D$4, MATCH(E1771, Unit_Paths!$A$2:$A$4, 0)),0)</f>
        <v>14280</v>
      </c>
      <c r="K1771" s="6" t="n">
        <f aca="false">ROUND(INDEX(Archetypes!$H$2:$H$127, MATCH(D1771, Archetypes!$A$2:$A$127, 0))*INDEX(Unit_Paths!$E$2:$E$4, MATCH(E1771, Unit_Paths!$A$2:$A$4, 0)),1)</f>
        <v>58</v>
      </c>
      <c r="L1771" s="6" t="n">
        <f aca="false">ROUND(INDEX(Archetypes!$I$2:$I$127, MATCH(D1771, Archetypes!$A$2:$A$127, 0))*INDEX(Unit_Grades!$C$2:$C$7, MATCH(F1771, Unit_Grades!$A$2:$A$7, 0)),1)</f>
        <v>407</v>
      </c>
      <c r="M1771" s="6" t="n">
        <f aca="false">ROUND(INDEX(Archetypes!$J$2:$J$127, MATCH(D1771, Archetypes!$A$2:$A$127, 0))*INDEX(Unit_Grades!$D$2:$D$7, MATCH(F1771, Unit_Grades!$A$2:$A$7, 0)),1)</f>
        <v>535.7</v>
      </c>
      <c r="N1771" s="6" t="n">
        <f aca="false">ROUND(M1771/24,2)</f>
        <v>22.32</v>
      </c>
    </row>
    <row r="1772" customFormat="false" ht="15" hidden="false" customHeight="true" outlineLevel="0" collapsed="false">
      <c r="A1772" s="6" t="n">
        <v>6</v>
      </c>
      <c r="B1772" s="6" t="s">
        <v>3241</v>
      </c>
      <c r="C1772" s="6" t="s">
        <v>1476</v>
      </c>
      <c r="D1772" s="6" t="str">
        <f aca="false">A1772&amp;"|"&amp;C1772</f>
        <v>6|Precursor Construct</v>
      </c>
      <c r="E1772" s="6" t="s">
        <v>1558</v>
      </c>
      <c r="F1772" s="6" t="s">
        <v>1538</v>
      </c>
      <c r="G1772" s="6" t="str">
        <f aca="false">INDEX(Archetypes!$D$2:$D$127, MATCH(D1772, Archetypes!$A$2:$A$127, 0))</f>
        <v>Elite Shock</v>
      </c>
      <c r="H1772" s="6" t="n">
        <f aca="false">ROUND(INDEX(Archetypes!$E$2:$E$127, MATCH(D1772, Archetypes!$A$2:$A$127, 0))*INDEX(Unit_Grades!$B$2:$B$7, MATCH(F1772, Unit_Grades!$A$2:$A$7, 0))*INDEX(Unit_Paths!$B$2:$B$4, MATCH(E1772, Unit_Paths!$A$2:$A$4, 0)),1)</f>
        <v>1080</v>
      </c>
      <c r="I1772" s="6" t="n">
        <f aca="false">ROUND(INDEX(Archetypes!$F$2:$F$127, MATCH(D1772, Archetypes!$A$2:$A$127, 0))*INDEX(Unit_Grades!$B$2:$B$7, MATCH(F1772, Unit_Grades!$A$2:$A$7, 0))*INDEX(Unit_Paths!$C$2:$C$4, MATCH(E1772, Unit_Paths!$A$2:$A$4, 0)),1)</f>
        <v>544</v>
      </c>
      <c r="J1772" s="6" t="n">
        <f aca="false">ROUND(INDEX(Archetypes!$G$2:$G$127, MATCH(D1772, Archetypes!$A$2:$A$127, 0))*INDEX(Unit_Grades!$B$2:$B$7, MATCH(F1772, Unit_Grades!$A$2:$A$7, 0))*INDEX(Unit_Paths!$D$2:$D$4, MATCH(E1772, Unit_Paths!$A$2:$A$4, 0)),0)</f>
        <v>3230</v>
      </c>
      <c r="K1772" s="6" t="n">
        <f aca="false">ROUND(INDEX(Archetypes!$H$2:$H$127, MATCH(D1772, Archetypes!$A$2:$A$127, 0))*INDEX(Unit_Paths!$E$2:$E$4, MATCH(E1772, Unit_Paths!$A$2:$A$4, 0)),1)</f>
        <v>60.9</v>
      </c>
      <c r="L1772" s="6" t="n">
        <f aca="false">ROUND(INDEX(Archetypes!$I$2:$I$127, MATCH(D1772, Archetypes!$A$2:$A$127, 0))*INDEX(Unit_Grades!$C$2:$C$7, MATCH(F1772, Unit_Grades!$A$2:$A$7, 0)),1)</f>
        <v>110</v>
      </c>
      <c r="M1772" s="6" t="n">
        <f aca="false">ROUND(INDEX(Archetypes!$J$2:$J$127, MATCH(D1772, Archetypes!$A$2:$A$127, 0))*INDEX(Unit_Grades!$D$2:$D$7, MATCH(F1772, Unit_Grades!$A$2:$A$7, 0)),1)</f>
        <v>44.6</v>
      </c>
      <c r="N1772" s="6" t="n">
        <f aca="false">ROUND(M1772/24,2)</f>
        <v>1.86</v>
      </c>
    </row>
    <row r="1773" customFormat="false" ht="15" hidden="false" customHeight="true" outlineLevel="0" collapsed="false">
      <c r="A1773" s="6" t="n">
        <v>6</v>
      </c>
      <c r="B1773" s="6" t="s">
        <v>3242</v>
      </c>
      <c r="C1773" s="6" t="s">
        <v>1476</v>
      </c>
      <c r="D1773" s="6" t="str">
        <f aca="false">A1773&amp;"|"&amp;C1773</f>
        <v>6|Precursor Construct</v>
      </c>
      <c r="E1773" s="6" t="s">
        <v>1558</v>
      </c>
      <c r="F1773" s="6" t="s">
        <v>1540</v>
      </c>
      <c r="G1773" s="6" t="str">
        <f aca="false">INDEX(Archetypes!$D$2:$D$127, MATCH(D1773, Archetypes!$A$2:$A$127, 0))</f>
        <v>Elite Shock</v>
      </c>
      <c r="H1773" s="6" t="n">
        <f aca="false">ROUND(INDEX(Archetypes!$E$2:$E$127, MATCH(D1773, Archetypes!$A$2:$A$127, 0))*INDEX(Unit_Grades!$B$2:$B$7, MATCH(F1773, Unit_Grades!$A$2:$A$7, 0))*INDEX(Unit_Paths!$B$2:$B$4, MATCH(E1773, Unit_Paths!$A$2:$A$4, 0)),1)</f>
        <v>1458</v>
      </c>
      <c r="I1773" s="6" t="n">
        <f aca="false">ROUND(INDEX(Archetypes!$F$2:$F$127, MATCH(D1773, Archetypes!$A$2:$A$127, 0))*INDEX(Unit_Grades!$B$2:$B$7, MATCH(F1773, Unit_Grades!$A$2:$A$7, 0))*INDEX(Unit_Paths!$C$2:$C$4, MATCH(E1773, Unit_Paths!$A$2:$A$4, 0)),1)</f>
        <v>734.4</v>
      </c>
      <c r="J1773" s="6" t="n">
        <f aca="false">ROUND(INDEX(Archetypes!$G$2:$G$127, MATCH(D1773, Archetypes!$A$2:$A$127, 0))*INDEX(Unit_Grades!$B$2:$B$7, MATCH(F1773, Unit_Grades!$A$2:$A$7, 0))*INDEX(Unit_Paths!$D$2:$D$4, MATCH(E1773, Unit_Paths!$A$2:$A$4, 0)),0)</f>
        <v>4361</v>
      </c>
      <c r="K1773" s="6" t="n">
        <f aca="false">ROUND(INDEX(Archetypes!$H$2:$H$127, MATCH(D1773, Archetypes!$A$2:$A$127, 0))*INDEX(Unit_Paths!$E$2:$E$4, MATCH(E1773, Unit_Paths!$A$2:$A$4, 0)),1)</f>
        <v>60.9</v>
      </c>
      <c r="L1773" s="6" t="n">
        <f aca="false">ROUND(INDEX(Archetypes!$I$2:$I$127, MATCH(D1773, Archetypes!$A$2:$A$127, 0))*INDEX(Unit_Grades!$C$2:$C$7, MATCH(F1773, Unit_Grades!$A$2:$A$7, 0)),1)</f>
        <v>137.5</v>
      </c>
      <c r="M1773" s="6" t="n">
        <f aca="false">ROUND(INDEX(Archetypes!$J$2:$J$127, MATCH(D1773, Archetypes!$A$2:$A$127, 0))*INDEX(Unit_Grades!$D$2:$D$7, MATCH(F1773, Unit_Grades!$A$2:$A$7, 0)),1)</f>
        <v>67</v>
      </c>
      <c r="N1773" s="6" t="n">
        <f aca="false">ROUND(M1773/24,2)</f>
        <v>2.79</v>
      </c>
    </row>
    <row r="1774" customFormat="false" ht="15" hidden="false" customHeight="true" outlineLevel="0" collapsed="false">
      <c r="A1774" s="6" t="n">
        <v>6</v>
      </c>
      <c r="B1774" s="6" t="s">
        <v>3243</v>
      </c>
      <c r="C1774" s="6" t="s">
        <v>1476</v>
      </c>
      <c r="D1774" s="6" t="str">
        <f aca="false">A1774&amp;"|"&amp;C1774</f>
        <v>6|Precursor Construct</v>
      </c>
      <c r="E1774" s="6" t="s">
        <v>1558</v>
      </c>
      <c r="F1774" s="6" t="s">
        <v>1542</v>
      </c>
      <c r="G1774" s="6" t="str">
        <f aca="false">INDEX(Archetypes!$D$2:$D$127, MATCH(D1774, Archetypes!$A$2:$A$127, 0))</f>
        <v>Elite Shock</v>
      </c>
      <c r="H1774" s="6" t="n">
        <f aca="false">ROUND(INDEX(Archetypes!$E$2:$E$127, MATCH(D1774, Archetypes!$A$2:$A$127, 0))*INDEX(Unit_Grades!$B$2:$B$7, MATCH(F1774, Unit_Grades!$A$2:$A$7, 0))*INDEX(Unit_Paths!$B$2:$B$4, MATCH(E1774, Unit_Paths!$A$2:$A$4, 0)),1)</f>
        <v>1944</v>
      </c>
      <c r="I1774" s="6" t="n">
        <f aca="false">ROUND(INDEX(Archetypes!$F$2:$F$127, MATCH(D1774, Archetypes!$A$2:$A$127, 0))*INDEX(Unit_Grades!$B$2:$B$7, MATCH(F1774, Unit_Grades!$A$2:$A$7, 0))*INDEX(Unit_Paths!$C$2:$C$4, MATCH(E1774, Unit_Paths!$A$2:$A$4, 0)),1)</f>
        <v>979.2</v>
      </c>
      <c r="J1774" s="6" t="n">
        <f aca="false">ROUND(INDEX(Archetypes!$G$2:$G$127, MATCH(D1774, Archetypes!$A$2:$A$127, 0))*INDEX(Unit_Grades!$B$2:$B$7, MATCH(F1774, Unit_Grades!$A$2:$A$7, 0))*INDEX(Unit_Paths!$D$2:$D$4, MATCH(E1774, Unit_Paths!$A$2:$A$4, 0)),0)</f>
        <v>5814</v>
      </c>
      <c r="K1774" s="6" t="n">
        <f aca="false">ROUND(INDEX(Archetypes!$H$2:$H$127, MATCH(D1774, Archetypes!$A$2:$A$127, 0))*INDEX(Unit_Paths!$E$2:$E$4, MATCH(E1774, Unit_Paths!$A$2:$A$4, 0)),1)</f>
        <v>60.9</v>
      </c>
      <c r="L1774" s="6" t="n">
        <f aca="false">ROUND(INDEX(Archetypes!$I$2:$I$127, MATCH(D1774, Archetypes!$A$2:$A$127, 0))*INDEX(Unit_Grades!$C$2:$C$7, MATCH(F1774, Unit_Grades!$A$2:$A$7, 0)),1)</f>
        <v>176</v>
      </c>
      <c r="M1774" s="6" t="n">
        <f aca="false">ROUND(INDEX(Archetypes!$J$2:$J$127, MATCH(D1774, Archetypes!$A$2:$A$127, 0))*INDEX(Unit_Grades!$D$2:$D$7, MATCH(F1774, Unit_Grades!$A$2:$A$7, 0)),1)</f>
        <v>111.6</v>
      </c>
      <c r="N1774" s="6" t="n">
        <f aca="false">ROUND(M1774/24,2)</f>
        <v>4.65</v>
      </c>
    </row>
    <row r="1775" customFormat="false" ht="15" hidden="false" customHeight="true" outlineLevel="0" collapsed="false">
      <c r="A1775" s="6" t="n">
        <v>6</v>
      </c>
      <c r="B1775" s="6" t="s">
        <v>3244</v>
      </c>
      <c r="C1775" s="6" t="s">
        <v>1476</v>
      </c>
      <c r="D1775" s="6" t="str">
        <f aca="false">A1775&amp;"|"&amp;C1775</f>
        <v>6|Precursor Construct</v>
      </c>
      <c r="E1775" s="6" t="s">
        <v>1558</v>
      </c>
      <c r="F1775" s="6" t="s">
        <v>1544</v>
      </c>
      <c r="G1775" s="6" t="str">
        <f aca="false">INDEX(Archetypes!$D$2:$D$127, MATCH(D1775, Archetypes!$A$2:$A$127, 0))</f>
        <v>Elite Shock</v>
      </c>
      <c r="H1775" s="6" t="n">
        <f aca="false">ROUND(INDEX(Archetypes!$E$2:$E$127, MATCH(D1775, Archetypes!$A$2:$A$127, 0))*INDEX(Unit_Grades!$B$2:$B$7, MATCH(F1775, Unit_Grades!$A$2:$A$7, 0))*INDEX(Unit_Paths!$B$2:$B$4, MATCH(E1775, Unit_Paths!$A$2:$A$4, 0)),1)</f>
        <v>2592</v>
      </c>
      <c r="I1775" s="6" t="n">
        <f aca="false">ROUND(INDEX(Archetypes!$F$2:$F$127, MATCH(D1775, Archetypes!$A$2:$A$127, 0))*INDEX(Unit_Grades!$B$2:$B$7, MATCH(F1775, Unit_Grades!$A$2:$A$7, 0))*INDEX(Unit_Paths!$C$2:$C$4, MATCH(E1775, Unit_Paths!$A$2:$A$4, 0)),1)</f>
        <v>1305.6</v>
      </c>
      <c r="J1775" s="6" t="n">
        <f aca="false">ROUND(INDEX(Archetypes!$G$2:$G$127, MATCH(D1775, Archetypes!$A$2:$A$127, 0))*INDEX(Unit_Grades!$B$2:$B$7, MATCH(F1775, Unit_Grades!$A$2:$A$7, 0))*INDEX(Unit_Paths!$D$2:$D$4, MATCH(E1775, Unit_Paths!$A$2:$A$4, 0)),0)</f>
        <v>7752</v>
      </c>
      <c r="K1775" s="6" t="n">
        <f aca="false">ROUND(INDEX(Archetypes!$H$2:$H$127, MATCH(D1775, Archetypes!$A$2:$A$127, 0))*INDEX(Unit_Paths!$E$2:$E$4, MATCH(E1775, Unit_Paths!$A$2:$A$4, 0)),1)</f>
        <v>60.9</v>
      </c>
      <c r="L1775" s="6" t="n">
        <f aca="false">ROUND(INDEX(Archetypes!$I$2:$I$127, MATCH(D1775, Archetypes!$A$2:$A$127, 0))*INDEX(Unit_Grades!$C$2:$C$7, MATCH(F1775, Unit_Grades!$A$2:$A$7, 0)),1)</f>
        <v>231</v>
      </c>
      <c r="M1775" s="6" t="n">
        <f aca="false">ROUND(INDEX(Archetypes!$J$2:$J$127, MATCH(D1775, Archetypes!$A$2:$A$127, 0))*INDEX(Unit_Grades!$D$2:$D$7, MATCH(F1775, Unit_Grades!$A$2:$A$7, 0)),1)</f>
        <v>178.6</v>
      </c>
      <c r="N1775" s="6" t="n">
        <f aca="false">ROUND(M1775/24,2)</f>
        <v>7.44</v>
      </c>
    </row>
    <row r="1776" customFormat="false" ht="15" hidden="false" customHeight="true" outlineLevel="0" collapsed="false">
      <c r="A1776" s="6" t="n">
        <v>6</v>
      </c>
      <c r="B1776" s="6" t="s">
        <v>3245</v>
      </c>
      <c r="C1776" s="6" t="s">
        <v>1476</v>
      </c>
      <c r="D1776" s="6" t="str">
        <f aca="false">A1776&amp;"|"&amp;C1776</f>
        <v>6|Precursor Construct</v>
      </c>
      <c r="E1776" s="6" t="s">
        <v>1558</v>
      </c>
      <c r="F1776" s="6" t="s">
        <v>1546</v>
      </c>
      <c r="G1776" s="6" t="str">
        <f aca="false">INDEX(Archetypes!$D$2:$D$127, MATCH(D1776, Archetypes!$A$2:$A$127, 0))</f>
        <v>Elite Shock</v>
      </c>
      <c r="H1776" s="6" t="n">
        <f aca="false">ROUND(INDEX(Archetypes!$E$2:$E$127, MATCH(D1776, Archetypes!$A$2:$A$127, 0))*INDEX(Unit_Grades!$B$2:$B$7, MATCH(F1776, Unit_Grades!$A$2:$A$7, 0))*INDEX(Unit_Paths!$B$2:$B$4, MATCH(E1776, Unit_Paths!$A$2:$A$4, 0)),1)</f>
        <v>3456</v>
      </c>
      <c r="I1776" s="6" t="n">
        <f aca="false">ROUND(INDEX(Archetypes!$F$2:$F$127, MATCH(D1776, Archetypes!$A$2:$A$127, 0))*INDEX(Unit_Grades!$B$2:$B$7, MATCH(F1776, Unit_Grades!$A$2:$A$7, 0))*INDEX(Unit_Paths!$C$2:$C$4, MATCH(E1776, Unit_Paths!$A$2:$A$4, 0)),1)</f>
        <v>1740.8</v>
      </c>
      <c r="J1776" s="6" t="n">
        <f aca="false">ROUND(INDEX(Archetypes!$G$2:$G$127, MATCH(D1776, Archetypes!$A$2:$A$127, 0))*INDEX(Unit_Grades!$B$2:$B$7, MATCH(F1776, Unit_Grades!$A$2:$A$7, 0))*INDEX(Unit_Paths!$D$2:$D$4, MATCH(E1776, Unit_Paths!$A$2:$A$4, 0)),0)</f>
        <v>10336</v>
      </c>
      <c r="K1776" s="6" t="n">
        <f aca="false">ROUND(INDEX(Archetypes!$H$2:$H$127, MATCH(D1776, Archetypes!$A$2:$A$127, 0))*INDEX(Unit_Paths!$E$2:$E$4, MATCH(E1776, Unit_Paths!$A$2:$A$4, 0)),1)</f>
        <v>60.9</v>
      </c>
      <c r="L1776" s="6" t="n">
        <f aca="false">ROUND(INDEX(Archetypes!$I$2:$I$127, MATCH(D1776, Archetypes!$A$2:$A$127, 0))*INDEX(Unit_Grades!$C$2:$C$7, MATCH(F1776, Unit_Grades!$A$2:$A$7, 0)),1)</f>
        <v>308</v>
      </c>
      <c r="M1776" s="6" t="n">
        <f aca="false">ROUND(INDEX(Archetypes!$J$2:$J$127, MATCH(D1776, Archetypes!$A$2:$A$127, 0))*INDEX(Unit_Grades!$D$2:$D$7, MATCH(F1776, Unit_Grades!$A$2:$A$7, 0)),1)</f>
        <v>312.5</v>
      </c>
      <c r="N1776" s="6" t="n">
        <f aca="false">ROUND(M1776/24,2)</f>
        <v>13.02</v>
      </c>
    </row>
    <row r="1777" customFormat="false" ht="15" hidden="false" customHeight="true" outlineLevel="0" collapsed="false">
      <c r="A1777" s="6" t="n">
        <v>6</v>
      </c>
      <c r="B1777" s="6" t="s">
        <v>3246</v>
      </c>
      <c r="C1777" s="6" t="s">
        <v>1476</v>
      </c>
      <c r="D1777" s="6" t="str">
        <f aca="false">A1777&amp;"|"&amp;C1777</f>
        <v>6|Precursor Construct</v>
      </c>
      <c r="E1777" s="6" t="s">
        <v>1558</v>
      </c>
      <c r="F1777" s="6" t="s">
        <v>1548</v>
      </c>
      <c r="G1777" s="6" t="str">
        <f aca="false">INDEX(Archetypes!$D$2:$D$127, MATCH(D1777, Archetypes!$A$2:$A$127, 0))</f>
        <v>Elite Shock</v>
      </c>
      <c r="H1777" s="6" t="n">
        <f aca="false">ROUND(INDEX(Archetypes!$E$2:$E$127, MATCH(D1777, Archetypes!$A$2:$A$127, 0))*INDEX(Unit_Grades!$B$2:$B$7, MATCH(F1777, Unit_Grades!$A$2:$A$7, 0))*INDEX(Unit_Paths!$B$2:$B$4, MATCH(E1777, Unit_Paths!$A$2:$A$4, 0)),1)</f>
        <v>4536</v>
      </c>
      <c r="I1777" s="6" t="n">
        <f aca="false">ROUND(INDEX(Archetypes!$F$2:$F$127, MATCH(D1777, Archetypes!$A$2:$A$127, 0))*INDEX(Unit_Grades!$B$2:$B$7, MATCH(F1777, Unit_Grades!$A$2:$A$7, 0))*INDEX(Unit_Paths!$C$2:$C$4, MATCH(E1777, Unit_Paths!$A$2:$A$4, 0)),1)</f>
        <v>2284.8</v>
      </c>
      <c r="J1777" s="6" t="n">
        <f aca="false">ROUND(INDEX(Archetypes!$G$2:$G$127, MATCH(D1777, Archetypes!$A$2:$A$127, 0))*INDEX(Unit_Grades!$B$2:$B$7, MATCH(F1777, Unit_Grades!$A$2:$A$7, 0))*INDEX(Unit_Paths!$D$2:$D$4, MATCH(E1777, Unit_Paths!$A$2:$A$4, 0)),0)</f>
        <v>13566</v>
      </c>
      <c r="K1777" s="6" t="n">
        <f aca="false">ROUND(INDEX(Archetypes!$H$2:$H$127, MATCH(D1777, Archetypes!$A$2:$A$127, 0))*INDEX(Unit_Paths!$E$2:$E$4, MATCH(E1777, Unit_Paths!$A$2:$A$4, 0)),1)</f>
        <v>60.9</v>
      </c>
      <c r="L1777" s="6" t="n">
        <f aca="false">ROUND(INDEX(Archetypes!$I$2:$I$127, MATCH(D1777, Archetypes!$A$2:$A$127, 0))*INDEX(Unit_Grades!$C$2:$C$7, MATCH(F1777, Unit_Grades!$A$2:$A$7, 0)),1)</f>
        <v>407</v>
      </c>
      <c r="M1777" s="6" t="n">
        <f aca="false">ROUND(INDEX(Archetypes!$J$2:$J$127, MATCH(D1777, Archetypes!$A$2:$A$127, 0))*INDEX(Unit_Grades!$D$2:$D$7, MATCH(F1777, Unit_Grades!$A$2:$A$7, 0)),1)</f>
        <v>535.7</v>
      </c>
      <c r="N1777" s="6" t="n">
        <f aca="false">ROUND(M1777/24,2)</f>
        <v>22.32</v>
      </c>
    </row>
    <row r="1778" customFormat="false" ht="15" hidden="false" customHeight="true" outlineLevel="0" collapsed="false">
      <c r="A1778" s="6" t="n">
        <v>6</v>
      </c>
      <c r="B1778" s="6" t="s">
        <v>3247</v>
      </c>
      <c r="C1778" s="6" t="s">
        <v>1476</v>
      </c>
      <c r="D1778" s="6" t="str">
        <f aca="false">A1778&amp;"|"&amp;C1778</f>
        <v>6|Precursor Construct</v>
      </c>
      <c r="E1778" s="6" t="s">
        <v>1560</v>
      </c>
      <c r="F1778" s="6" t="s">
        <v>1538</v>
      </c>
      <c r="G1778" s="6" t="str">
        <f aca="false">INDEX(Archetypes!$D$2:$D$127, MATCH(D1778, Archetypes!$A$2:$A$127, 0))</f>
        <v>Elite Shock</v>
      </c>
      <c r="H1778" s="6" t="n">
        <f aca="false">ROUND(INDEX(Archetypes!$E$2:$E$127, MATCH(D1778, Archetypes!$A$2:$A$127, 0))*INDEX(Unit_Grades!$B$2:$B$7, MATCH(F1778, Unit_Grades!$A$2:$A$7, 0))*INDEX(Unit_Paths!$B$2:$B$4, MATCH(E1778, Unit_Paths!$A$2:$A$4, 0)),1)</f>
        <v>765</v>
      </c>
      <c r="I1778" s="6" t="n">
        <f aca="false">ROUND(INDEX(Archetypes!$F$2:$F$127, MATCH(D1778, Archetypes!$A$2:$A$127, 0))*INDEX(Unit_Grades!$B$2:$B$7, MATCH(F1778, Unit_Grades!$A$2:$A$7, 0))*INDEX(Unit_Paths!$C$2:$C$4, MATCH(E1778, Unit_Paths!$A$2:$A$4, 0)),1)</f>
        <v>800</v>
      </c>
      <c r="J1778" s="6" t="n">
        <f aca="false">ROUND(INDEX(Archetypes!$G$2:$G$127, MATCH(D1778, Archetypes!$A$2:$A$127, 0))*INDEX(Unit_Grades!$B$2:$B$7, MATCH(F1778, Unit_Grades!$A$2:$A$7, 0))*INDEX(Unit_Paths!$D$2:$D$4, MATCH(E1778, Unit_Paths!$A$2:$A$4, 0)),0)</f>
        <v>3910</v>
      </c>
      <c r="K1778" s="6" t="n">
        <f aca="false">ROUND(INDEX(Archetypes!$H$2:$H$127, MATCH(D1778, Archetypes!$A$2:$A$127, 0))*INDEX(Unit_Paths!$E$2:$E$4, MATCH(E1778, Unit_Paths!$A$2:$A$4, 0)),1)</f>
        <v>53.4</v>
      </c>
      <c r="L1778" s="6" t="n">
        <f aca="false">ROUND(INDEX(Archetypes!$I$2:$I$127, MATCH(D1778, Archetypes!$A$2:$A$127, 0))*INDEX(Unit_Grades!$C$2:$C$7, MATCH(F1778, Unit_Grades!$A$2:$A$7, 0)),1)</f>
        <v>110</v>
      </c>
      <c r="M1778" s="6" t="n">
        <f aca="false">ROUND(INDEX(Archetypes!$J$2:$J$127, MATCH(D1778, Archetypes!$A$2:$A$127, 0))*INDEX(Unit_Grades!$D$2:$D$7, MATCH(F1778, Unit_Grades!$A$2:$A$7, 0)),1)</f>
        <v>44.6</v>
      </c>
      <c r="N1778" s="6" t="n">
        <f aca="false">ROUND(M1778/24,2)</f>
        <v>1.86</v>
      </c>
    </row>
    <row r="1779" customFormat="false" ht="15" hidden="false" customHeight="true" outlineLevel="0" collapsed="false">
      <c r="A1779" s="6" t="n">
        <v>6</v>
      </c>
      <c r="B1779" s="6" t="s">
        <v>3248</v>
      </c>
      <c r="C1779" s="6" t="s">
        <v>1476</v>
      </c>
      <c r="D1779" s="6" t="str">
        <f aca="false">A1779&amp;"|"&amp;C1779</f>
        <v>6|Precursor Construct</v>
      </c>
      <c r="E1779" s="6" t="s">
        <v>1560</v>
      </c>
      <c r="F1779" s="6" t="s">
        <v>1540</v>
      </c>
      <c r="G1779" s="6" t="str">
        <f aca="false">INDEX(Archetypes!$D$2:$D$127, MATCH(D1779, Archetypes!$A$2:$A$127, 0))</f>
        <v>Elite Shock</v>
      </c>
      <c r="H1779" s="6" t="n">
        <f aca="false">ROUND(INDEX(Archetypes!$E$2:$E$127, MATCH(D1779, Archetypes!$A$2:$A$127, 0))*INDEX(Unit_Grades!$B$2:$B$7, MATCH(F1779, Unit_Grades!$A$2:$A$7, 0))*INDEX(Unit_Paths!$B$2:$B$4, MATCH(E1779, Unit_Paths!$A$2:$A$4, 0)),1)</f>
        <v>1032.8</v>
      </c>
      <c r="I1779" s="6" t="n">
        <f aca="false">ROUND(INDEX(Archetypes!$F$2:$F$127, MATCH(D1779, Archetypes!$A$2:$A$127, 0))*INDEX(Unit_Grades!$B$2:$B$7, MATCH(F1779, Unit_Grades!$A$2:$A$7, 0))*INDEX(Unit_Paths!$C$2:$C$4, MATCH(E1779, Unit_Paths!$A$2:$A$4, 0)),1)</f>
        <v>1080</v>
      </c>
      <c r="J1779" s="6" t="n">
        <f aca="false">ROUND(INDEX(Archetypes!$G$2:$G$127, MATCH(D1779, Archetypes!$A$2:$A$127, 0))*INDEX(Unit_Grades!$B$2:$B$7, MATCH(F1779, Unit_Grades!$A$2:$A$7, 0))*INDEX(Unit_Paths!$D$2:$D$4, MATCH(E1779, Unit_Paths!$A$2:$A$4, 0)),0)</f>
        <v>5279</v>
      </c>
      <c r="K1779" s="6" t="n">
        <f aca="false">ROUND(INDEX(Archetypes!$H$2:$H$127, MATCH(D1779, Archetypes!$A$2:$A$127, 0))*INDEX(Unit_Paths!$E$2:$E$4, MATCH(E1779, Unit_Paths!$A$2:$A$4, 0)),1)</f>
        <v>53.4</v>
      </c>
      <c r="L1779" s="6" t="n">
        <f aca="false">ROUND(INDEX(Archetypes!$I$2:$I$127, MATCH(D1779, Archetypes!$A$2:$A$127, 0))*INDEX(Unit_Grades!$C$2:$C$7, MATCH(F1779, Unit_Grades!$A$2:$A$7, 0)),1)</f>
        <v>137.5</v>
      </c>
      <c r="M1779" s="6" t="n">
        <f aca="false">ROUND(INDEX(Archetypes!$J$2:$J$127, MATCH(D1779, Archetypes!$A$2:$A$127, 0))*INDEX(Unit_Grades!$D$2:$D$7, MATCH(F1779, Unit_Grades!$A$2:$A$7, 0)),1)</f>
        <v>67</v>
      </c>
      <c r="N1779" s="6" t="n">
        <f aca="false">ROUND(M1779/24,2)</f>
        <v>2.79</v>
      </c>
    </row>
    <row r="1780" customFormat="false" ht="15" hidden="false" customHeight="true" outlineLevel="0" collapsed="false">
      <c r="A1780" s="6" t="n">
        <v>6</v>
      </c>
      <c r="B1780" s="6" t="s">
        <v>3249</v>
      </c>
      <c r="C1780" s="6" t="s">
        <v>1476</v>
      </c>
      <c r="D1780" s="6" t="str">
        <f aca="false">A1780&amp;"|"&amp;C1780</f>
        <v>6|Precursor Construct</v>
      </c>
      <c r="E1780" s="6" t="s">
        <v>1560</v>
      </c>
      <c r="F1780" s="6" t="s">
        <v>1542</v>
      </c>
      <c r="G1780" s="6" t="str">
        <f aca="false">INDEX(Archetypes!$D$2:$D$127, MATCH(D1780, Archetypes!$A$2:$A$127, 0))</f>
        <v>Elite Shock</v>
      </c>
      <c r="H1780" s="6" t="n">
        <f aca="false">ROUND(INDEX(Archetypes!$E$2:$E$127, MATCH(D1780, Archetypes!$A$2:$A$127, 0))*INDEX(Unit_Grades!$B$2:$B$7, MATCH(F1780, Unit_Grades!$A$2:$A$7, 0))*INDEX(Unit_Paths!$B$2:$B$4, MATCH(E1780, Unit_Paths!$A$2:$A$4, 0)),1)</f>
        <v>1377</v>
      </c>
      <c r="I1780" s="6" t="n">
        <f aca="false">ROUND(INDEX(Archetypes!$F$2:$F$127, MATCH(D1780, Archetypes!$A$2:$A$127, 0))*INDEX(Unit_Grades!$B$2:$B$7, MATCH(F1780, Unit_Grades!$A$2:$A$7, 0))*INDEX(Unit_Paths!$C$2:$C$4, MATCH(E1780, Unit_Paths!$A$2:$A$4, 0)),1)</f>
        <v>1440</v>
      </c>
      <c r="J1780" s="6" t="n">
        <f aca="false">ROUND(INDEX(Archetypes!$G$2:$G$127, MATCH(D1780, Archetypes!$A$2:$A$127, 0))*INDEX(Unit_Grades!$B$2:$B$7, MATCH(F1780, Unit_Grades!$A$2:$A$7, 0))*INDEX(Unit_Paths!$D$2:$D$4, MATCH(E1780, Unit_Paths!$A$2:$A$4, 0)),0)</f>
        <v>7038</v>
      </c>
      <c r="K1780" s="6" t="n">
        <f aca="false">ROUND(INDEX(Archetypes!$H$2:$H$127, MATCH(D1780, Archetypes!$A$2:$A$127, 0))*INDEX(Unit_Paths!$E$2:$E$4, MATCH(E1780, Unit_Paths!$A$2:$A$4, 0)),1)</f>
        <v>53.4</v>
      </c>
      <c r="L1780" s="6" t="n">
        <f aca="false">ROUND(INDEX(Archetypes!$I$2:$I$127, MATCH(D1780, Archetypes!$A$2:$A$127, 0))*INDEX(Unit_Grades!$C$2:$C$7, MATCH(F1780, Unit_Grades!$A$2:$A$7, 0)),1)</f>
        <v>176</v>
      </c>
      <c r="M1780" s="6" t="n">
        <f aca="false">ROUND(INDEX(Archetypes!$J$2:$J$127, MATCH(D1780, Archetypes!$A$2:$A$127, 0))*INDEX(Unit_Grades!$D$2:$D$7, MATCH(F1780, Unit_Grades!$A$2:$A$7, 0)),1)</f>
        <v>111.6</v>
      </c>
      <c r="N1780" s="6" t="n">
        <f aca="false">ROUND(M1780/24,2)</f>
        <v>4.65</v>
      </c>
    </row>
    <row r="1781" customFormat="false" ht="15" hidden="false" customHeight="true" outlineLevel="0" collapsed="false">
      <c r="A1781" s="6" t="n">
        <v>6</v>
      </c>
      <c r="B1781" s="6" t="s">
        <v>3250</v>
      </c>
      <c r="C1781" s="6" t="s">
        <v>1476</v>
      </c>
      <c r="D1781" s="6" t="str">
        <f aca="false">A1781&amp;"|"&amp;C1781</f>
        <v>6|Precursor Construct</v>
      </c>
      <c r="E1781" s="6" t="s">
        <v>1560</v>
      </c>
      <c r="F1781" s="6" t="s">
        <v>1544</v>
      </c>
      <c r="G1781" s="6" t="str">
        <f aca="false">INDEX(Archetypes!$D$2:$D$127, MATCH(D1781, Archetypes!$A$2:$A$127, 0))</f>
        <v>Elite Shock</v>
      </c>
      <c r="H1781" s="6" t="n">
        <f aca="false">ROUND(INDEX(Archetypes!$E$2:$E$127, MATCH(D1781, Archetypes!$A$2:$A$127, 0))*INDEX(Unit_Grades!$B$2:$B$7, MATCH(F1781, Unit_Grades!$A$2:$A$7, 0))*INDEX(Unit_Paths!$B$2:$B$4, MATCH(E1781, Unit_Paths!$A$2:$A$4, 0)),1)</f>
        <v>1836</v>
      </c>
      <c r="I1781" s="6" t="n">
        <f aca="false">ROUND(INDEX(Archetypes!$F$2:$F$127, MATCH(D1781, Archetypes!$A$2:$A$127, 0))*INDEX(Unit_Grades!$B$2:$B$7, MATCH(F1781, Unit_Grades!$A$2:$A$7, 0))*INDEX(Unit_Paths!$C$2:$C$4, MATCH(E1781, Unit_Paths!$A$2:$A$4, 0)),1)</f>
        <v>1920</v>
      </c>
      <c r="J1781" s="6" t="n">
        <f aca="false">ROUND(INDEX(Archetypes!$G$2:$G$127, MATCH(D1781, Archetypes!$A$2:$A$127, 0))*INDEX(Unit_Grades!$B$2:$B$7, MATCH(F1781, Unit_Grades!$A$2:$A$7, 0))*INDEX(Unit_Paths!$D$2:$D$4, MATCH(E1781, Unit_Paths!$A$2:$A$4, 0)),0)</f>
        <v>9384</v>
      </c>
      <c r="K1781" s="6" t="n">
        <f aca="false">ROUND(INDEX(Archetypes!$H$2:$H$127, MATCH(D1781, Archetypes!$A$2:$A$127, 0))*INDEX(Unit_Paths!$E$2:$E$4, MATCH(E1781, Unit_Paths!$A$2:$A$4, 0)),1)</f>
        <v>53.4</v>
      </c>
      <c r="L1781" s="6" t="n">
        <f aca="false">ROUND(INDEX(Archetypes!$I$2:$I$127, MATCH(D1781, Archetypes!$A$2:$A$127, 0))*INDEX(Unit_Grades!$C$2:$C$7, MATCH(F1781, Unit_Grades!$A$2:$A$7, 0)),1)</f>
        <v>231</v>
      </c>
      <c r="M1781" s="6" t="n">
        <f aca="false">ROUND(INDEX(Archetypes!$J$2:$J$127, MATCH(D1781, Archetypes!$A$2:$A$127, 0))*INDEX(Unit_Grades!$D$2:$D$7, MATCH(F1781, Unit_Grades!$A$2:$A$7, 0)),1)</f>
        <v>178.6</v>
      </c>
      <c r="N1781" s="6" t="n">
        <f aca="false">ROUND(M1781/24,2)</f>
        <v>7.44</v>
      </c>
    </row>
    <row r="1782" customFormat="false" ht="15" hidden="false" customHeight="true" outlineLevel="0" collapsed="false">
      <c r="A1782" s="6" t="n">
        <v>6</v>
      </c>
      <c r="B1782" s="6" t="s">
        <v>3251</v>
      </c>
      <c r="C1782" s="6" t="s">
        <v>1476</v>
      </c>
      <c r="D1782" s="6" t="str">
        <f aca="false">A1782&amp;"|"&amp;C1782</f>
        <v>6|Precursor Construct</v>
      </c>
      <c r="E1782" s="6" t="s">
        <v>1560</v>
      </c>
      <c r="F1782" s="6" t="s">
        <v>1546</v>
      </c>
      <c r="G1782" s="6" t="str">
        <f aca="false">INDEX(Archetypes!$D$2:$D$127, MATCH(D1782, Archetypes!$A$2:$A$127, 0))</f>
        <v>Elite Shock</v>
      </c>
      <c r="H1782" s="6" t="n">
        <f aca="false">ROUND(INDEX(Archetypes!$E$2:$E$127, MATCH(D1782, Archetypes!$A$2:$A$127, 0))*INDEX(Unit_Grades!$B$2:$B$7, MATCH(F1782, Unit_Grades!$A$2:$A$7, 0))*INDEX(Unit_Paths!$B$2:$B$4, MATCH(E1782, Unit_Paths!$A$2:$A$4, 0)),1)</f>
        <v>2448</v>
      </c>
      <c r="I1782" s="6" t="n">
        <f aca="false">ROUND(INDEX(Archetypes!$F$2:$F$127, MATCH(D1782, Archetypes!$A$2:$A$127, 0))*INDEX(Unit_Grades!$B$2:$B$7, MATCH(F1782, Unit_Grades!$A$2:$A$7, 0))*INDEX(Unit_Paths!$C$2:$C$4, MATCH(E1782, Unit_Paths!$A$2:$A$4, 0)),1)</f>
        <v>2560</v>
      </c>
      <c r="J1782" s="6" t="n">
        <f aca="false">ROUND(INDEX(Archetypes!$G$2:$G$127, MATCH(D1782, Archetypes!$A$2:$A$127, 0))*INDEX(Unit_Grades!$B$2:$B$7, MATCH(F1782, Unit_Grades!$A$2:$A$7, 0))*INDEX(Unit_Paths!$D$2:$D$4, MATCH(E1782, Unit_Paths!$A$2:$A$4, 0)),0)</f>
        <v>12512</v>
      </c>
      <c r="K1782" s="6" t="n">
        <f aca="false">ROUND(INDEX(Archetypes!$H$2:$H$127, MATCH(D1782, Archetypes!$A$2:$A$127, 0))*INDEX(Unit_Paths!$E$2:$E$4, MATCH(E1782, Unit_Paths!$A$2:$A$4, 0)),1)</f>
        <v>53.4</v>
      </c>
      <c r="L1782" s="6" t="n">
        <f aca="false">ROUND(INDEX(Archetypes!$I$2:$I$127, MATCH(D1782, Archetypes!$A$2:$A$127, 0))*INDEX(Unit_Grades!$C$2:$C$7, MATCH(F1782, Unit_Grades!$A$2:$A$7, 0)),1)</f>
        <v>308</v>
      </c>
      <c r="M1782" s="6" t="n">
        <f aca="false">ROUND(INDEX(Archetypes!$J$2:$J$127, MATCH(D1782, Archetypes!$A$2:$A$127, 0))*INDEX(Unit_Grades!$D$2:$D$7, MATCH(F1782, Unit_Grades!$A$2:$A$7, 0)),1)</f>
        <v>312.5</v>
      </c>
      <c r="N1782" s="6" t="n">
        <f aca="false">ROUND(M1782/24,2)</f>
        <v>13.02</v>
      </c>
    </row>
    <row r="1783" customFormat="false" ht="15" hidden="false" customHeight="true" outlineLevel="0" collapsed="false">
      <c r="A1783" s="6" t="n">
        <v>6</v>
      </c>
      <c r="B1783" s="6" t="s">
        <v>3252</v>
      </c>
      <c r="C1783" s="6" t="s">
        <v>1476</v>
      </c>
      <c r="D1783" s="6" t="str">
        <f aca="false">A1783&amp;"|"&amp;C1783</f>
        <v>6|Precursor Construct</v>
      </c>
      <c r="E1783" s="6" t="s">
        <v>1560</v>
      </c>
      <c r="F1783" s="6" t="s">
        <v>1548</v>
      </c>
      <c r="G1783" s="6" t="str">
        <f aca="false">INDEX(Archetypes!$D$2:$D$127, MATCH(D1783, Archetypes!$A$2:$A$127, 0))</f>
        <v>Elite Shock</v>
      </c>
      <c r="H1783" s="6" t="n">
        <f aca="false">ROUND(INDEX(Archetypes!$E$2:$E$127, MATCH(D1783, Archetypes!$A$2:$A$127, 0))*INDEX(Unit_Grades!$B$2:$B$7, MATCH(F1783, Unit_Grades!$A$2:$A$7, 0))*INDEX(Unit_Paths!$B$2:$B$4, MATCH(E1783, Unit_Paths!$A$2:$A$4, 0)),1)</f>
        <v>3213</v>
      </c>
      <c r="I1783" s="6" t="n">
        <f aca="false">ROUND(INDEX(Archetypes!$F$2:$F$127, MATCH(D1783, Archetypes!$A$2:$A$127, 0))*INDEX(Unit_Grades!$B$2:$B$7, MATCH(F1783, Unit_Grades!$A$2:$A$7, 0))*INDEX(Unit_Paths!$C$2:$C$4, MATCH(E1783, Unit_Paths!$A$2:$A$4, 0)),1)</f>
        <v>3360</v>
      </c>
      <c r="J1783" s="6" t="n">
        <f aca="false">ROUND(INDEX(Archetypes!$G$2:$G$127, MATCH(D1783, Archetypes!$A$2:$A$127, 0))*INDEX(Unit_Grades!$B$2:$B$7, MATCH(F1783, Unit_Grades!$A$2:$A$7, 0))*INDEX(Unit_Paths!$D$2:$D$4, MATCH(E1783, Unit_Paths!$A$2:$A$4, 0)),0)</f>
        <v>16422</v>
      </c>
      <c r="K1783" s="6" t="n">
        <f aca="false">ROUND(INDEX(Archetypes!$H$2:$H$127, MATCH(D1783, Archetypes!$A$2:$A$127, 0))*INDEX(Unit_Paths!$E$2:$E$4, MATCH(E1783, Unit_Paths!$A$2:$A$4, 0)),1)</f>
        <v>53.4</v>
      </c>
      <c r="L1783" s="6" t="n">
        <f aca="false">ROUND(INDEX(Archetypes!$I$2:$I$127, MATCH(D1783, Archetypes!$A$2:$A$127, 0))*INDEX(Unit_Grades!$C$2:$C$7, MATCH(F1783, Unit_Grades!$A$2:$A$7, 0)),1)</f>
        <v>407</v>
      </c>
      <c r="M1783" s="6" t="n">
        <f aca="false">ROUND(INDEX(Archetypes!$J$2:$J$127, MATCH(D1783, Archetypes!$A$2:$A$127, 0))*INDEX(Unit_Grades!$D$2:$D$7, MATCH(F1783, Unit_Grades!$A$2:$A$7, 0)),1)</f>
        <v>535.7</v>
      </c>
      <c r="N1783" s="6" t="n">
        <f aca="false">ROUND(M1783/24,2)</f>
        <v>22.32</v>
      </c>
    </row>
    <row r="1784" customFormat="false" ht="15" hidden="false" customHeight="true" outlineLevel="0" collapsed="false">
      <c r="A1784" s="6" t="n">
        <v>6</v>
      </c>
      <c r="B1784" s="6" t="s">
        <v>1478</v>
      </c>
      <c r="C1784" s="6" t="s">
        <v>1478</v>
      </c>
      <c r="D1784" s="6" t="str">
        <f aca="false">A1784&amp;"|"&amp;C1784</f>
        <v>6|Marine Legion</v>
      </c>
      <c r="E1784" s="6" t="s">
        <v>1556</v>
      </c>
      <c r="F1784" s="6" t="s">
        <v>1538</v>
      </c>
      <c r="G1784" s="6" t="str">
        <f aca="false">INDEX(Archetypes!$D$2:$D$127, MATCH(D1784, Archetypes!$A$2:$A$127, 0))</f>
        <v>Shock Infantry</v>
      </c>
      <c r="H1784" s="6" t="n">
        <f aca="false">ROUND(INDEX(Archetypes!$E$2:$E$127, MATCH(D1784, Archetypes!$A$2:$A$127, 0))*INDEX(Unit_Grades!$B$2:$B$7, MATCH(F1784, Unit_Grades!$A$2:$A$7, 0))*INDEX(Unit_Paths!$B$2:$B$4, MATCH(E1784, Unit_Paths!$A$2:$A$4, 0)),1)</f>
        <v>540</v>
      </c>
      <c r="I1784" s="6" t="n">
        <f aca="false">ROUND(INDEX(Archetypes!$F$2:$F$127, MATCH(D1784, Archetypes!$A$2:$A$127, 0))*INDEX(Unit_Grades!$B$2:$B$7, MATCH(F1784, Unit_Grades!$A$2:$A$7, 0))*INDEX(Unit_Paths!$C$2:$C$4, MATCH(E1784, Unit_Paths!$A$2:$A$4, 0)),1)</f>
        <v>420</v>
      </c>
      <c r="J1784" s="6" t="n">
        <f aca="false">ROUND(INDEX(Archetypes!$G$2:$G$127, MATCH(D1784, Archetypes!$A$2:$A$127, 0))*INDEX(Unit_Grades!$B$2:$B$7, MATCH(F1784, Unit_Grades!$A$2:$A$7, 0))*INDEX(Unit_Paths!$D$2:$D$4, MATCH(E1784, Unit_Paths!$A$2:$A$4, 0)),0)</f>
        <v>2200</v>
      </c>
      <c r="K1784" s="6" t="n">
        <f aca="false">ROUND(INDEX(Archetypes!$H$2:$H$127, MATCH(D1784, Archetypes!$A$2:$A$127, 0))*INDEX(Unit_Paths!$E$2:$E$4, MATCH(E1784, Unit_Paths!$A$2:$A$4, 0)),1)</f>
        <v>30</v>
      </c>
      <c r="L1784" s="6" t="n">
        <f aca="false">ROUND(INDEX(Archetypes!$I$2:$I$127, MATCH(D1784, Archetypes!$A$2:$A$127, 0))*INDEX(Unit_Grades!$C$2:$C$7, MATCH(F1784, Unit_Grades!$A$2:$A$7, 0)),1)</f>
        <v>64</v>
      </c>
      <c r="M1784" s="6" t="n">
        <f aca="false">ROUND(INDEX(Archetypes!$J$2:$J$127, MATCH(D1784, Archetypes!$A$2:$A$127, 0))*INDEX(Unit_Grades!$D$2:$D$7, MATCH(F1784, Unit_Grades!$A$2:$A$7, 0)),1)</f>
        <v>26</v>
      </c>
      <c r="N1784" s="6" t="n">
        <f aca="false">ROUND(M1784/24,2)</f>
        <v>1.08</v>
      </c>
    </row>
    <row r="1785" customFormat="false" ht="15" hidden="false" customHeight="true" outlineLevel="0" collapsed="false">
      <c r="A1785" s="6" t="n">
        <v>6</v>
      </c>
      <c r="B1785" s="6" t="s">
        <v>3253</v>
      </c>
      <c r="C1785" s="6" t="s">
        <v>1478</v>
      </c>
      <c r="D1785" s="6" t="str">
        <f aca="false">A1785&amp;"|"&amp;C1785</f>
        <v>6|Marine Legion</v>
      </c>
      <c r="E1785" s="6" t="s">
        <v>1556</v>
      </c>
      <c r="F1785" s="6" t="s">
        <v>1540</v>
      </c>
      <c r="G1785" s="6" t="str">
        <f aca="false">INDEX(Archetypes!$D$2:$D$127, MATCH(D1785, Archetypes!$A$2:$A$127, 0))</f>
        <v>Shock Infantry</v>
      </c>
      <c r="H1785" s="6" t="n">
        <f aca="false">ROUND(INDEX(Archetypes!$E$2:$E$127, MATCH(D1785, Archetypes!$A$2:$A$127, 0))*INDEX(Unit_Grades!$B$2:$B$7, MATCH(F1785, Unit_Grades!$A$2:$A$7, 0))*INDEX(Unit_Paths!$B$2:$B$4, MATCH(E1785, Unit_Paths!$A$2:$A$4, 0)),1)</f>
        <v>729</v>
      </c>
      <c r="I1785" s="6" t="n">
        <f aca="false">ROUND(INDEX(Archetypes!$F$2:$F$127, MATCH(D1785, Archetypes!$A$2:$A$127, 0))*INDEX(Unit_Grades!$B$2:$B$7, MATCH(F1785, Unit_Grades!$A$2:$A$7, 0))*INDEX(Unit_Paths!$C$2:$C$4, MATCH(E1785, Unit_Paths!$A$2:$A$4, 0)),1)</f>
        <v>567</v>
      </c>
      <c r="J1785" s="6" t="n">
        <f aca="false">ROUND(INDEX(Archetypes!$G$2:$G$127, MATCH(D1785, Archetypes!$A$2:$A$127, 0))*INDEX(Unit_Grades!$B$2:$B$7, MATCH(F1785, Unit_Grades!$A$2:$A$7, 0))*INDEX(Unit_Paths!$D$2:$D$4, MATCH(E1785, Unit_Paths!$A$2:$A$4, 0)),0)</f>
        <v>2970</v>
      </c>
      <c r="K1785" s="6" t="n">
        <f aca="false">ROUND(INDEX(Archetypes!$H$2:$H$127, MATCH(D1785, Archetypes!$A$2:$A$127, 0))*INDEX(Unit_Paths!$E$2:$E$4, MATCH(E1785, Unit_Paths!$A$2:$A$4, 0)),1)</f>
        <v>30</v>
      </c>
      <c r="L1785" s="6" t="n">
        <f aca="false">ROUND(INDEX(Archetypes!$I$2:$I$127, MATCH(D1785, Archetypes!$A$2:$A$127, 0))*INDEX(Unit_Grades!$C$2:$C$7, MATCH(F1785, Unit_Grades!$A$2:$A$7, 0)),1)</f>
        <v>80</v>
      </c>
      <c r="M1785" s="6" t="n">
        <f aca="false">ROUND(INDEX(Archetypes!$J$2:$J$127, MATCH(D1785, Archetypes!$A$2:$A$127, 0))*INDEX(Unit_Grades!$D$2:$D$7, MATCH(F1785, Unit_Grades!$A$2:$A$7, 0)),1)</f>
        <v>39</v>
      </c>
      <c r="N1785" s="6" t="n">
        <f aca="false">ROUND(M1785/24,2)</f>
        <v>1.63</v>
      </c>
    </row>
    <row r="1786" customFormat="false" ht="15" hidden="false" customHeight="true" outlineLevel="0" collapsed="false">
      <c r="A1786" s="6" t="n">
        <v>6</v>
      </c>
      <c r="B1786" s="6" t="s">
        <v>3254</v>
      </c>
      <c r="C1786" s="6" t="s">
        <v>1478</v>
      </c>
      <c r="D1786" s="6" t="str">
        <f aca="false">A1786&amp;"|"&amp;C1786</f>
        <v>6|Marine Legion</v>
      </c>
      <c r="E1786" s="6" t="s">
        <v>1556</v>
      </c>
      <c r="F1786" s="6" t="s">
        <v>1542</v>
      </c>
      <c r="G1786" s="6" t="str">
        <f aca="false">INDEX(Archetypes!$D$2:$D$127, MATCH(D1786, Archetypes!$A$2:$A$127, 0))</f>
        <v>Shock Infantry</v>
      </c>
      <c r="H1786" s="6" t="n">
        <f aca="false">ROUND(INDEX(Archetypes!$E$2:$E$127, MATCH(D1786, Archetypes!$A$2:$A$127, 0))*INDEX(Unit_Grades!$B$2:$B$7, MATCH(F1786, Unit_Grades!$A$2:$A$7, 0))*INDEX(Unit_Paths!$B$2:$B$4, MATCH(E1786, Unit_Paths!$A$2:$A$4, 0)),1)</f>
        <v>972</v>
      </c>
      <c r="I1786" s="6" t="n">
        <f aca="false">ROUND(INDEX(Archetypes!$F$2:$F$127, MATCH(D1786, Archetypes!$A$2:$A$127, 0))*INDEX(Unit_Grades!$B$2:$B$7, MATCH(F1786, Unit_Grades!$A$2:$A$7, 0))*INDEX(Unit_Paths!$C$2:$C$4, MATCH(E1786, Unit_Paths!$A$2:$A$4, 0)),1)</f>
        <v>756</v>
      </c>
      <c r="J1786" s="6" t="n">
        <f aca="false">ROUND(INDEX(Archetypes!$G$2:$G$127, MATCH(D1786, Archetypes!$A$2:$A$127, 0))*INDEX(Unit_Grades!$B$2:$B$7, MATCH(F1786, Unit_Grades!$A$2:$A$7, 0))*INDEX(Unit_Paths!$D$2:$D$4, MATCH(E1786, Unit_Paths!$A$2:$A$4, 0)),0)</f>
        <v>3960</v>
      </c>
      <c r="K1786" s="6" t="n">
        <f aca="false">ROUND(INDEX(Archetypes!$H$2:$H$127, MATCH(D1786, Archetypes!$A$2:$A$127, 0))*INDEX(Unit_Paths!$E$2:$E$4, MATCH(E1786, Unit_Paths!$A$2:$A$4, 0)),1)</f>
        <v>30</v>
      </c>
      <c r="L1786" s="6" t="n">
        <f aca="false">ROUND(INDEX(Archetypes!$I$2:$I$127, MATCH(D1786, Archetypes!$A$2:$A$127, 0))*INDEX(Unit_Grades!$C$2:$C$7, MATCH(F1786, Unit_Grades!$A$2:$A$7, 0)),1)</f>
        <v>102.4</v>
      </c>
      <c r="M1786" s="6" t="n">
        <f aca="false">ROUND(INDEX(Archetypes!$J$2:$J$127, MATCH(D1786, Archetypes!$A$2:$A$127, 0))*INDEX(Unit_Grades!$D$2:$D$7, MATCH(F1786, Unit_Grades!$A$2:$A$7, 0)),1)</f>
        <v>64.9</v>
      </c>
      <c r="N1786" s="6" t="n">
        <f aca="false">ROUND(M1786/24,2)</f>
        <v>2.7</v>
      </c>
    </row>
    <row r="1787" customFormat="false" ht="15" hidden="false" customHeight="true" outlineLevel="0" collapsed="false">
      <c r="A1787" s="6" t="n">
        <v>6</v>
      </c>
      <c r="B1787" s="6" t="s">
        <v>3255</v>
      </c>
      <c r="C1787" s="6" t="s">
        <v>1478</v>
      </c>
      <c r="D1787" s="6" t="str">
        <f aca="false">A1787&amp;"|"&amp;C1787</f>
        <v>6|Marine Legion</v>
      </c>
      <c r="E1787" s="6" t="s">
        <v>1556</v>
      </c>
      <c r="F1787" s="6" t="s">
        <v>1544</v>
      </c>
      <c r="G1787" s="6" t="str">
        <f aca="false">INDEX(Archetypes!$D$2:$D$127, MATCH(D1787, Archetypes!$A$2:$A$127, 0))</f>
        <v>Shock Infantry</v>
      </c>
      <c r="H1787" s="6" t="n">
        <f aca="false">ROUND(INDEX(Archetypes!$E$2:$E$127, MATCH(D1787, Archetypes!$A$2:$A$127, 0))*INDEX(Unit_Grades!$B$2:$B$7, MATCH(F1787, Unit_Grades!$A$2:$A$7, 0))*INDEX(Unit_Paths!$B$2:$B$4, MATCH(E1787, Unit_Paths!$A$2:$A$4, 0)),1)</f>
        <v>1296</v>
      </c>
      <c r="I1787" s="6" t="n">
        <f aca="false">ROUND(INDEX(Archetypes!$F$2:$F$127, MATCH(D1787, Archetypes!$A$2:$A$127, 0))*INDEX(Unit_Grades!$B$2:$B$7, MATCH(F1787, Unit_Grades!$A$2:$A$7, 0))*INDEX(Unit_Paths!$C$2:$C$4, MATCH(E1787, Unit_Paths!$A$2:$A$4, 0)),1)</f>
        <v>1008</v>
      </c>
      <c r="J1787" s="6" t="n">
        <f aca="false">ROUND(INDEX(Archetypes!$G$2:$G$127, MATCH(D1787, Archetypes!$A$2:$A$127, 0))*INDEX(Unit_Grades!$B$2:$B$7, MATCH(F1787, Unit_Grades!$A$2:$A$7, 0))*INDEX(Unit_Paths!$D$2:$D$4, MATCH(E1787, Unit_Paths!$A$2:$A$4, 0)),0)</f>
        <v>5280</v>
      </c>
      <c r="K1787" s="6" t="n">
        <f aca="false">ROUND(INDEX(Archetypes!$H$2:$H$127, MATCH(D1787, Archetypes!$A$2:$A$127, 0))*INDEX(Unit_Paths!$E$2:$E$4, MATCH(E1787, Unit_Paths!$A$2:$A$4, 0)),1)</f>
        <v>30</v>
      </c>
      <c r="L1787" s="6" t="n">
        <f aca="false">ROUND(INDEX(Archetypes!$I$2:$I$127, MATCH(D1787, Archetypes!$A$2:$A$127, 0))*INDEX(Unit_Grades!$C$2:$C$7, MATCH(F1787, Unit_Grades!$A$2:$A$7, 0)),1)</f>
        <v>134.4</v>
      </c>
      <c r="M1787" s="6" t="n">
        <f aca="false">ROUND(INDEX(Archetypes!$J$2:$J$127, MATCH(D1787, Archetypes!$A$2:$A$127, 0))*INDEX(Unit_Grades!$D$2:$D$7, MATCH(F1787, Unit_Grades!$A$2:$A$7, 0)),1)</f>
        <v>103.9</v>
      </c>
      <c r="N1787" s="6" t="n">
        <f aca="false">ROUND(M1787/24,2)</f>
        <v>4.33</v>
      </c>
    </row>
    <row r="1788" customFormat="false" ht="15" hidden="false" customHeight="true" outlineLevel="0" collapsed="false">
      <c r="A1788" s="6" t="n">
        <v>6</v>
      </c>
      <c r="B1788" s="6" t="s">
        <v>3256</v>
      </c>
      <c r="C1788" s="6" t="s">
        <v>1478</v>
      </c>
      <c r="D1788" s="6" t="str">
        <f aca="false">A1788&amp;"|"&amp;C1788</f>
        <v>6|Marine Legion</v>
      </c>
      <c r="E1788" s="6" t="s">
        <v>1556</v>
      </c>
      <c r="F1788" s="6" t="s">
        <v>1546</v>
      </c>
      <c r="G1788" s="6" t="str">
        <f aca="false">INDEX(Archetypes!$D$2:$D$127, MATCH(D1788, Archetypes!$A$2:$A$127, 0))</f>
        <v>Shock Infantry</v>
      </c>
      <c r="H1788" s="6" t="n">
        <f aca="false">ROUND(INDEX(Archetypes!$E$2:$E$127, MATCH(D1788, Archetypes!$A$2:$A$127, 0))*INDEX(Unit_Grades!$B$2:$B$7, MATCH(F1788, Unit_Grades!$A$2:$A$7, 0))*INDEX(Unit_Paths!$B$2:$B$4, MATCH(E1788, Unit_Paths!$A$2:$A$4, 0)),1)</f>
        <v>1728</v>
      </c>
      <c r="I1788" s="6" t="n">
        <f aca="false">ROUND(INDEX(Archetypes!$F$2:$F$127, MATCH(D1788, Archetypes!$A$2:$A$127, 0))*INDEX(Unit_Grades!$B$2:$B$7, MATCH(F1788, Unit_Grades!$A$2:$A$7, 0))*INDEX(Unit_Paths!$C$2:$C$4, MATCH(E1788, Unit_Paths!$A$2:$A$4, 0)),1)</f>
        <v>1344</v>
      </c>
      <c r="J1788" s="6" t="n">
        <f aca="false">ROUND(INDEX(Archetypes!$G$2:$G$127, MATCH(D1788, Archetypes!$A$2:$A$127, 0))*INDEX(Unit_Grades!$B$2:$B$7, MATCH(F1788, Unit_Grades!$A$2:$A$7, 0))*INDEX(Unit_Paths!$D$2:$D$4, MATCH(E1788, Unit_Paths!$A$2:$A$4, 0)),0)</f>
        <v>7040</v>
      </c>
      <c r="K1788" s="6" t="n">
        <f aca="false">ROUND(INDEX(Archetypes!$H$2:$H$127, MATCH(D1788, Archetypes!$A$2:$A$127, 0))*INDEX(Unit_Paths!$E$2:$E$4, MATCH(E1788, Unit_Paths!$A$2:$A$4, 0)),1)</f>
        <v>30</v>
      </c>
      <c r="L1788" s="6" t="n">
        <f aca="false">ROUND(INDEX(Archetypes!$I$2:$I$127, MATCH(D1788, Archetypes!$A$2:$A$127, 0))*INDEX(Unit_Grades!$C$2:$C$7, MATCH(F1788, Unit_Grades!$A$2:$A$7, 0)),1)</f>
        <v>179.2</v>
      </c>
      <c r="M1788" s="6" t="n">
        <f aca="false">ROUND(INDEX(Archetypes!$J$2:$J$127, MATCH(D1788, Archetypes!$A$2:$A$127, 0))*INDEX(Unit_Grades!$D$2:$D$7, MATCH(F1788, Unit_Grades!$A$2:$A$7, 0)),1)</f>
        <v>181.8</v>
      </c>
      <c r="N1788" s="6" t="n">
        <f aca="false">ROUND(M1788/24,2)</f>
        <v>7.58</v>
      </c>
    </row>
    <row r="1789" customFormat="false" ht="15" hidden="false" customHeight="true" outlineLevel="0" collapsed="false">
      <c r="A1789" s="6" t="n">
        <v>6</v>
      </c>
      <c r="B1789" s="6" t="s">
        <v>3257</v>
      </c>
      <c r="C1789" s="6" t="s">
        <v>1478</v>
      </c>
      <c r="D1789" s="6" t="str">
        <f aca="false">A1789&amp;"|"&amp;C1789</f>
        <v>6|Marine Legion</v>
      </c>
      <c r="E1789" s="6" t="s">
        <v>1556</v>
      </c>
      <c r="F1789" s="6" t="s">
        <v>1548</v>
      </c>
      <c r="G1789" s="6" t="str">
        <f aca="false">INDEX(Archetypes!$D$2:$D$127, MATCH(D1789, Archetypes!$A$2:$A$127, 0))</f>
        <v>Shock Infantry</v>
      </c>
      <c r="H1789" s="6" t="n">
        <f aca="false">ROUND(INDEX(Archetypes!$E$2:$E$127, MATCH(D1789, Archetypes!$A$2:$A$127, 0))*INDEX(Unit_Grades!$B$2:$B$7, MATCH(F1789, Unit_Grades!$A$2:$A$7, 0))*INDEX(Unit_Paths!$B$2:$B$4, MATCH(E1789, Unit_Paths!$A$2:$A$4, 0)),1)</f>
        <v>2268</v>
      </c>
      <c r="I1789" s="6" t="n">
        <f aca="false">ROUND(INDEX(Archetypes!$F$2:$F$127, MATCH(D1789, Archetypes!$A$2:$A$127, 0))*INDEX(Unit_Grades!$B$2:$B$7, MATCH(F1789, Unit_Grades!$A$2:$A$7, 0))*INDEX(Unit_Paths!$C$2:$C$4, MATCH(E1789, Unit_Paths!$A$2:$A$4, 0)),1)</f>
        <v>1764</v>
      </c>
      <c r="J1789" s="6" t="n">
        <f aca="false">ROUND(INDEX(Archetypes!$G$2:$G$127, MATCH(D1789, Archetypes!$A$2:$A$127, 0))*INDEX(Unit_Grades!$B$2:$B$7, MATCH(F1789, Unit_Grades!$A$2:$A$7, 0))*INDEX(Unit_Paths!$D$2:$D$4, MATCH(E1789, Unit_Paths!$A$2:$A$4, 0)),0)</f>
        <v>9240</v>
      </c>
      <c r="K1789" s="6" t="n">
        <f aca="false">ROUND(INDEX(Archetypes!$H$2:$H$127, MATCH(D1789, Archetypes!$A$2:$A$127, 0))*INDEX(Unit_Paths!$E$2:$E$4, MATCH(E1789, Unit_Paths!$A$2:$A$4, 0)),1)</f>
        <v>30</v>
      </c>
      <c r="L1789" s="6" t="n">
        <f aca="false">ROUND(INDEX(Archetypes!$I$2:$I$127, MATCH(D1789, Archetypes!$A$2:$A$127, 0))*INDEX(Unit_Grades!$C$2:$C$7, MATCH(F1789, Unit_Grades!$A$2:$A$7, 0)),1)</f>
        <v>236.8</v>
      </c>
      <c r="M1789" s="6" t="n">
        <f aca="false">ROUND(INDEX(Archetypes!$J$2:$J$127, MATCH(D1789, Archetypes!$A$2:$A$127, 0))*INDEX(Unit_Grades!$D$2:$D$7, MATCH(F1789, Unit_Grades!$A$2:$A$7, 0)),1)</f>
        <v>311.6</v>
      </c>
      <c r="N1789" s="6" t="n">
        <f aca="false">ROUND(M1789/24,2)</f>
        <v>12.98</v>
      </c>
    </row>
    <row r="1790" customFormat="false" ht="15" hidden="false" customHeight="true" outlineLevel="0" collapsed="false">
      <c r="A1790" s="6" t="n">
        <v>6</v>
      </c>
      <c r="B1790" s="6" t="s">
        <v>3258</v>
      </c>
      <c r="C1790" s="6" t="s">
        <v>1478</v>
      </c>
      <c r="D1790" s="6" t="str">
        <f aca="false">A1790&amp;"|"&amp;C1790</f>
        <v>6|Marine Legion</v>
      </c>
      <c r="E1790" s="6" t="s">
        <v>1558</v>
      </c>
      <c r="F1790" s="6" t="s">
        <v>1538</v>
      </c>
      <c r="G1790" s="6" t="str">
        <f aca="false">INDEX(Archetypes!$D$2:$D$127, MATCH(D1790, Archetypes!$A$2:$A$127, 0))</f>
        <v>Shock Infantry</v>
      </c>
      <c r="H1790" s="6" t="n">
        <f aca="false">ROUND(INDEX(Archetypes!$E$2:$E$127, MATCH(D1790, Archetypes!$A$2:$A$127, 0))*INDEX(Unit_Grades!$B$2:$B$7, MATCH(F1790, Unit_Grades!$A$2:$A$7, 0))*INDEX(Unit_Paths!$B$2:$B$4, MATCH(E1790, Unit_Paths!$A$2:$A$4, 0)),1)</f>
        <v>648</v>
      </c>
      <c r="I1790" s="6" t="n">
        <f aca="false">ROUND(INDEX(Archetypes!$F$2:$F$127, MATCH(D1790, Archetypes!$A$2:$A$127, 0))*INDEX(Unit_Grades!$B$2:$B$7, MATCH(F1790, Unit_Grades!$A$2:$A$7, 0))*INDEX(Unit_Paths!$C$2:$C$4, MATCH(E1790, Unit_Paths!$A$2:$A$4, 0)),1)</f>
        <v>357</v>
      </c>
      <c r="J1790" s="6" t="n">
        <f aca="false">ROUND(INDEX(Archetypes!$G$2:$G$127, MATCH(D1790, Archetypes!$A$2:$A$127, 0))*INDEX(Unit_Grades!$B$2:$B$7, MATCH(F1790, Unit_Grades!$A$2:$A$7, 0))*INDEX(Unit_Paths!$D$2:$D$4, MATCH(E1790, Unit_Paths!$A$2:$A$4, 0)),0)</f>
        <v>2090</v>
      </c>
      <c r="K1790" s="6" t="n">
        <f aca="false">ROUND(INDEX(Archetypes!$H$2:$H$127, MATCH(D1790, Archetypes!$A$2:$A$127, 0))*INDEX(Unit_Paths!$E$2:$E$4, MATCH(E1790, Unit_Paths!$A$2:$A$4, 0)),1)</f>
        <v>31.5</v>
      </c>
      <c r="L1790" s="6" t="n">
        <f aca="false">ROUND(INDEX(Archetypes!$I$2:$I$127, MATCH(D1790, Archetypes!$A$2:$A$127, 0))*INDEX(Unit_Grades!$C$2:$C$7, MATCH(F1790, Unit_Grades!$A$2:$A$7, 0)),1)</f>
        <v>64</v>
      </c>
      <c r="M1790" s="6" t="n">
        <f aca="false">ROUND(INDEX(Archetypes!$J$2:$J$127, MATCH(D1790, Archetypes!$A$2:$A$127, 0))*INDEX(Unit_Grades!$D$2:$D$7, MATCH(F1790, Unit_Grades!$A$2:$A$7, 0)),1)</f>
        <v>26</v>
      </c>
      <c r="N1790" s="6" t="n">
        <f aca="false">ROUND(M1790/24,2)</f>
        <v>1.08</v>
      </c>
    </row>
    <row r="1791" customFormat="false" ht="15" hidden="false" customHeight="true" outlineLevel="0" collapsed="false">
      <c r="A1791" s="6" t="n">
        <v>6</v>
      </c>
      <c r="B1791" s="6" t="s">
        <v>3259</v>
      </c>
      <c r="C1791" s="6" t="s">
        <v>1478</v>
      </c>
      <c r="D1791" s="6" t="str">
        <f aca="false">A1791&amp;"|"&amp;C1791</f>
        <v>6|Marine Legion</v>
      </c>
      <c r="E1791" s="6" t="s">
        <v>1558</v>
      </c>
      <c r="F1791" s="6" t="s">
        <v>1540</v>
      </c>
      <c r="G1791" s="6" t="str">
        <f aca="false">INDEX(Archetypes!$D$2:$D$127, MATCH(D1791, Archetypes!$A$2:$A$127, 0))</f>
        <v>Shock Infantry</v>
      </c>
      <c r="H1791" s="6" t="n">
        <f aca="false">ROUND(INDEX(Archetypes!$E$2:$E$127, MATCH(D1791, Archetypes!$A$2:$A$127, 0))*INDEX(Unit_Grades!$B$2:$B$7, MATCH(F1791, Unit_Grades!$A$2:$A$7, 0))*INDEX(Unit_Paths!$B$2:$B$4, MATCH(E1791, Unit_Paths!$A$2:$A$4, 0)),1)</f>
        <v>874.8</v>
      </c>
      <c r="I1791" s="6" t="n">
        <f aca="false">ROUND(INDEX(Archetypes!$F$2:$F$127, MATCH(D1791, Archetypes!$A$2:$A$127, 0))*INDEX(Unit_Grades!$B$2:$B$7, MATCH(F1791, Unit_Grades!$A$2:$A$7, 0))*INDEX(Unit_Paths!$C$2:$C$4, MATCH(E1791, Unit_Paths!$A$2:$A$4, 0)),1)</f>
        <v>482</v>
      </c>
      <c r="J1791" s="6" t="n">
        <f aca="false">ROUND(INDEX(Archetypes!$G$2:$G$127, MATCH(D1791, Archetypes!$A$2:$A$127, 0))*INDEX(Unit_Grades!$B$2:$B$7, MATCH(F1791, Unit_Grades!$A$2:$A$7, 0))*INDEX(Unit_Paths!$D$2:$D$4, MATCH(E1791, Unit_Paths!$A$2:$A$4, 0)),0)</f>
        <v>2822</v>
      </c>
      <c r="K1791" s="6" t="n">
        <f aca="false">ROUND(INDEX(Archetypes!$H$2:$H$127, MATCH(D1791, Archetypes!$A$2:$A$127, 0))*INDEX(Unit_Paths!$E$2:$E$4, MATCH(E1791, Unit_Paths!$A$2:$A$4, 0)),1)</f>
        <v>31.5</v>
      </c>
      <c r="L1791" s="6" t="n">
        <f aca="false">ROUND(INDEX(Archetypes!$I$2:$I$127, MATCH(D1791, Archetypes!$A$2:$A$127, 0))*INDEX(Unit_Grades!$C$2:$C$7, MATCH(F1791, Unit_Grades!$A$2:$A$7, 0)),1)</f>
        <v>80</v>
      </c>
      <c r="M1791" s="6" t="n">
        <f aca="false">ROUND(INDEX(Archetypes!$J$2:$J$127, MATCH(D1791, Archetypes!$A$2:$A$127, 0))*INDEX(Unit_Grades!$D$2:$D$7, MATCH(F1791, Unit_Grades!$A$2:$A$7, 0)),1)</f>
        <v>39</v>
      </c>
      <c r="N1791" s="6" t="n">
        <f aca="false">ROUND(M1791/24,2)</f>
        <v>1.63</v>
      </c>
    </row>
    <row r="1792" customFormat="false" ht="15" hidden="false" customHeight="true" outlineLevel="0" collapsed="false">
      <c r="A1792" s="6" t="n">
        <v>6</v>
      </c>
      <c r="B1792" s="6" t="s">
        <v>3260</v>
      </c>
      <c r="C1792" s="6" t="s">
        <v>1478</v>
      </c>
      <c r="D1792" s="6" t="str">
        <f aca="false">A1792&amp;"|"&amp;C1792</f>
        <v>6|Marine Legion</v>
      </c>
      <c r="E1792" s="6" t="s">
        <v>1558</v>
      </c>
      <c r="F1792" s="6" t="s">
        <v>1542</v>
      </c>
      <c r="G1792" s="6" t="str">
        <f aca="false">INDEX(Archetypes!$D$2:$D$127, MATCH(D1792, Archetypes!$A$2:$A$127, 0))</f>
        <v>Shock Infantry</v>
      </c>
      <c r="H1792" s="6" t="n">
        <f aca="false">ROUND(INDEX(Archetypes!$E$2:$E$127, MATCH(D1792, Archetypes!$A$2:$A$127, 0))*INDEX(Unit_Grades!$B$2:$B$7, MATCH(F1792, Unit_Grades!$A$2:$A$7, 0))*INDEX(Unit_Paths!$B$2:$B$4, MATCH(E1792, Unit_Paths!$A$2:$A$4, 0)),1)</f>
        <v>1166.4</v>
      </c>
      <c r="I1792" s="6" t="n">
        <f aca="false">ROUND(INDEX(Archetypes!$F$2:$F$127, MATCH(D1792, Archetypes!$A$2:$A$127, 0))*INDEX(Unit_Grades!$B$2:$B$7, MATCH(F1792, Unit_Grades!$A$2:$A$7, 0))*INDEX(Unit_Paths!$C$2:$C$4, MATCH(E1792, Unit_Paths!$A$2:$A$4, 0)),1)</f>
        <v>642.6</v>
      </c>
      <c r="J1792" s="6" t="n">
        <f aca="false">ROUND(INDEX(Archetypes!$G$2:$G$127, MATCH(D1792, Archetypes!$A$2:$A$127, 0))*INDEX(Unit_Grades!$B$2:$B$7, MATCH(F1792, Unit_Grades!$A$2:$A$7, 0))*INDEX(Unit_Paths!$D$2:$D$4, MATCH(E1792, Unit_Paths!$A$2:$A$4, 0)),0)</f>
        <v>3762</v>
      </c>
      <c r="K1792" s="6" t="n">
        <f aca="false">ROUND(INDEX(Archetypes!$H$2:$H$127, MATCH(D1792, Archetypes!$A$2:$A$127, 0))*INDEX(Unit_Paths!$E$2:$E$4, MATCH(E1792, Unit_Paths!$A$2:$A$4, 0)),1)</f>
        <v>31.5</v>
      </c>
      <c r="L1792" s="6" t="n">
        <f aca="false">ROUND(INDEX(Archetypes!$I$2:$I$127, MATCH(D1792, Archetypes!$A$2:$A$127, 0))*INDEX(Unit_Grades!$C$2:$C$7, MATCH(F1792, Unit_Grades!$A$2:$A$7, 0)),1)</f>
        <v>102.4</v>
      </c>
      <c r="M1792" s="6" t="n">
        <f aca="false">ROUND(INDEX(Archetypes!$J$2:$J$127, MATCH(D1792, Archetypes!$A$2:$A$127, 0))*INDEX(Unit_Grades!$D$2:$D$7, MATCH(F1792, Unit_Grades!$A$2:$A$7, 0)),1)</f>
        <v>64.9</v>
      </c>
      <c r="N1792" s="6" t="n">
        <f aca="false">ROUND(M1792/24,2)</f>
        <v>2.7</v>
      </c>
    </row>
    <row r="1793" customFormat="false" ht="15" hidden="false" customHeight="true" outlineLevel="0" collapsed="false">
      <c r="A1793" s="6" t="n">
        <v>6</v>
      </c>
      <c r="B1793" s="6" t="s">
        <v>3261</v>
      </c>
      <c r="C1793" s="6" t="s">
        <v>1478</v>
      </c>
      <c r="D1793" s="6" t="str">
        <f aca="false">A1793&amp;"|"&amp;C1793</f>
        <v>6|Marine Legion</v>
      </c>
      <c r="E1793" s="6" t="s">
        <v>1558</v>
      </c>
      <c r="F1793" s="6" t="s">
        <v>1544</v>
      </c>
      <c r="G1793" s="6" t="str">
        <f aca="false">INDEX(Archetypes!$D$2:$D$127, MATCH(D1793, Archetypes!$A$2:$A$127, 0))</f>
        <v>Shock Infantry</v>
      </c>
      <c r="H1793" s="6" t="n">
        <f aca="false">ROUND(INDEX(Archetypes!$E$2:$E$127, MATCH(D1793, Archetypes!$A$2:$A$127, 0))*INDEX(Unit_Grades!$B$2:$B$7, MATCH(F1793, Unit_Grades!$A$2:$A$7, 0))*INDEX(Unit_Paths!$B$2:$B$4, MATCH(E1793, Unit_Paths!$A$2:$A$4, 0)),1)</f>
        <v>1555.2</v>
      </c>
      <c r="I1793" s="6" t="n">
        <f aca="false">ROUND(INDEX(Archetypes!$F$2:$F$127, MATCH(D1793, Archetypes!$A$2:$A$127, 0))*INDEX(Unit_Grades!$B$2:$B$7, MATCH(F1793, Unit_Grades!$A$2:$A$7, 0))*INDEX(Unit_Paths!$C$2:$C$4, MATCH(E1793, Unit_Paths!$A$2:$A$4, 0)),1)</f>
        <v>856.8</v>
      </c>
      <c r="J1793" s="6" t="n">
        <f aca="false">ROUND(INDEX(Archetypes!$G$2:$G$127, MATCH(D1793, Archetypes!$A$2:$A$127, 0))*INDEX(Unit_Grades!$B$2:$B$7, MATCH(F1793, Unit_Grades!$A$2:$A$7, 0))*INDEX(Unit_Paths!$D$2:$D$4, MATCH(E1793, Unit_Paths!$A$2:$A$4, 0)),0)</f>
        <v>5016</v>
      </c>
      <c r="K1793" s="6" t="n">
        <f aca="false">ROUND(INDEX(Archetypes!$H$2:$H$127, MATCH(D1793, Archetypes!$A$2:$A$127, 0))*INDEX(Unit_Paths!$E$2:$E$4, MATCH(E1793, Unit_Paths!$A$2:$A$4, 0)),1)</f>
        <v>31.5</v>
      </c>
      <c r="L1793" s="6" t="n">
        <f aca="false">ROUND(INDEX(Archetypes!$I$2:$I$127, MATCH(D1793, Archetypes!$A$2:$A$127, 0))*INDEX(Unit_Grades!$C$2:$C$7, MATCH(F1793, Unit_Grades!$A$2:$A$7, 0)),1)</f>
        <v>134.4</v>
      </c>
      <c r="M1793" s="6" t="n">
        <f aca="false">ROUND(INDEX(Archetypes!$J$2:$J$127, MATCH(D1793, Archetypes!$A$2:$A$127, 0))*INDEX(Unit_Grades!$D$2:$D$7, MATCH(F1793, Unit_Grades!$A$2:$A$7, 0)),1)</f>
        <v>103.9</v>
      </c>
      <c r="N1793" s="6" t="n">
        <f aca="false">ROUND(M1793/24,2)</f>
        <v>4.33</v>
      </c>
    </row>
    <row r="1794" customFormat="false" ht="15" hidden="false" customHeight="true" outlineLevel="0" collapsed="false">
      <c r="A1794" s="6" t="n">
        <v>6</v>
      </c>
      <c r="B1794" s="6" t="s">
        <v>3262</v>
      </c>
      <c r="C1794" s="6" t="s">
        <v>1478</v>
      </c>
      <c r="D1794" s="6" t="str">
        <f aca="false">A1794&amp;"|"&amp;C1794</f>
        <v>6|Marine Legion</v>
      </c>
      <c r="E1794" s="6" t="s">
        <v>1558</v>
      </c>
      <c r="F1794" s="6" t="s">
        <v>1546</v>
      </c>
      <c r="G1794" s="6" t="str">
        <f aca="false">INDEX(Archetypes!$D$2:$D$127, MATCH(D1794, Archetypes!$A$2:$A$127, 0))</f>
        <v>Shock Infantry</v>
      </c>
      <c r="H1794" s="6" t="n">
        <f aca="false">ROUND(INDEX(Archetypes!$E$2:$E$127, MATCH(D1794, Archetypes!$A$2:$A$127, 0))*INDEX(Unit_Grades!$B$2:$B$7, MATCH(F1794, Unit_Grades!$A$2:$A$7, 0))*INDEX(Unit_Paths!$B$2:$B$4, MATCH(E1794, Unit_Paths!$A$2:$A$4, 0)),1)</f>
        <v>2073.6</v>
      </c>
      <c r="I1794" s="6" t="n">
        <f aca="false">ROUND(INDEX(Archetypes!$F$2:$F$127, MATCH(D1794, Archetypes!$A$2:$A$127, 0))*INDEX(Unit_Grades!$B$2:$B$7, MATCH(F1794, Unit_Grades!$A$2:$A$7, 0))*INDEX(Unit_Paths!$C$2:$C$4, MATCH(E1794, Unit_Paths!$A$2:$A$4, 0)),1)</f>
        <v>1142.4</v>
      </c>
      <c r="J1794" s="6" t="n">
        <f aca="false">ROUND(INDEX(Archetypes!$G$2:$G$127, MATCH(D1794, Archetypes!$A$2:$A$127, 0))*INDEX(Unit_Grades!$B$2:$B$7, MATCH(F1794, Unit_Grades!$A$2:$A$7, 0))*INDEX(Unit_Paths!$D$2:$D$4, MATCH(E1794, Unit_Paths!$A$2:$A$4, 0)),0)</f>
        <v>6688</v>
      </c>
      <c r="K1794" s="6" t="n">
        <f aca="false">ROUND(INDEX(Archetypes!$H$2:$H$127, MATCH(D1794, Archetypes!$A$2:$A$127, 0))*INDEX(Unit_Paths!$E$2:$E$4, MATCH(E1794, Unit_Paths!$A$2:$A$4, 0)),1)</f>
        <v>31.5</v>
      </c>
      <c r="L1794" s="6" t="n">
        <f aca="false">ROUND(INDEX(Archetypes!$I$2:$I$127, MATCH(D1794, Archetypes!$A$2:$A$127, 0))*INDEX(Unit_Grades!$C$2:$C$7, MATCH(F1794, Unit_Grades!$A$2:$A$7, 0)),1)</f>
        <v>179.2</v>
      </c>
      <c r="M1794" s="6" t="n">
        <f aca="false">ROUND(INDEX(Archetypes!$J$2:$J$127, MATCH(D1794, Archetypes!$A$2:$A$127, 0))*INDEX(Unit_Grades!$D$2:$D$7, MATCH(F1794, Unit_Grades!$A$2:$A$7, 0)),1)</f>
        <v>181.8</v>
      </c>
      <c r="N1794" s="6" t="n">
        <f aca="false">ROUND(M1794/24,2)</f>
        <v>7.58</v>
      </c>
    </row>
    <row r="1795" customFormat="false" ht="15" hidden="false" customHeight="true" outlineLevel="0" collapsed="false">
      <c r="A1795" s="6" t="n">
        <v>6</v>
      </c>
      <c r="B1795" s="6" t="s">
        <v>3263</v>
      </c>
      <c r="C1795" s="6" t="s">
        <v>1478</v>
      </c>
      <c r="D1795" s="6" t="str">
        <f aca="false">A1795&amp;"|"&amp;C1795</f>
        <v>6|Marine Legion</v>
      </c>
      <c r="E1795" s="6" t="s">
        <v>1558</v>
      </c>
      <c r="F1795" s="6" t="s">
        <v>1548</v>
      </c>
      <c r="G1795" s="6" t="str">
        <f aca="false">INDEX(Archetypes!$D$2:$D$127, MATCH(D1795, Archetypes!$A$2:$A$127, 0))</f>
        <v>Shock Infantry</v>
      </c>
      <c r="H1795" s="6" t="n">
        <f aca="false">ROUND(INDEX(Archetypes!$E$2:$E$127, MATCH(D1795, Archetypes!$A$2:$A$127, 0))*INDEX(Unit_Grades!$B$2:$B$7, MATCH(F1795, Unit_Grades!$A$2:$A$7, 0))*INDEX(Unit_Paths!$B$2:$B$4, MATCH(E1795, Unit_Paths!$A$2:$A$4, 0)),1)</f>
        <v>2721.6</v>
      </c>
      <c r="I1795" s="6" t="n">
        <f aca="false">ROUND(INDEX(Archetypes!$F$2:$F$127, MATCH(D1795, Archetypes!$A$2:$A$127, 0))*INDEX(Unit_Grades!$B$2:$B$7, MATCH(F1795, Unit_Grades!$A$2:$A$7, 0))*INDEX(Unit_Paths!$C$2:$C$4, MATCH(E1795, Unit_Paths!$A$2:$A$4, 0)),1)</f>
        <v>1499.4</v>
      </c>
      <c r="J1795" s="6" t="n">
        <f aca="false">ROUND(INDEX(Archetypes!$G$2:$G$127, MATCH(D1795, Archetypes!$A$2:$A$127, 0))*INDEX(Unit_Grades!$B$2:$B$7, MATCH(F1795, Unit_Grades!$A$2:$A$7, 0))*INDEX(Unit_Paths!$D$2:$D$4, MATCH(E1795, Unit_Paths!$A$2:$A$4, 0)),0)</f>
        <v>8778</v>
      </c>
      <c r="K1795" s="6" t="n">
        <f aca="false">ROUND(INDEX(Archetypes!$H$2:$H$127, MATCH(D1795, Archetypes!$A$2:$A$127, 0))*INDEX(Unit_Paths!$E$2:$E$4, MATCH(E1795, Unit_Paths!$A$2:$A$4, 0)),1)</f>
        <v>31.5</v>
      </c>
      <c r="L1795" s="6" t="n">
        <f aca="false">ROUND(INDEX(Archetypes!$I$2:$I$127, MATCH(D1795, Archetypes!$A$2:$A$127, 0))*INDEX(Unit_Grades!$C$2:$C$7, MATCH(F1795, Unit_Grades!$A$2:$A$7, 0)),1)</f>
        <v>236.8</v>
      </c>
      <c r="M1795" s="6" t="n">
        <f aca="false">ROUND(INDEX(Archetypes!$J$2:$J$127, MATCH(D1795, Archetypes!$A$2:$A$127, 0))*INDEX(Unit_Grades!$D$2:$D$7, MATCH(F1795, Unit_Grades!$A$2:$A$7, 0)),1)</f>
        <v>311.6</v>
      </c>
      <c r="N1795" s="6" t="n">
        <f aca="false">ROUND(M1795/24,2)</f>
        <v>12.98</v>
      </c>
    </row>
    <row r="1796" customFormat="false" ht="15" hidden="false" customHeight="true" outlineLevel="0" collapsed="false">
      <c r="A1796" s="6" t="n">
        <v>6</v>
      </c>
      <c r="B1796" s="6" t="s">
        <v>3264</v>
      </c>
      <c r="C1796" s="6" t="s">
        <v>1478</v>
      </c>
      <c r="D1796" s="6" t="str">
        <f aca="false">A1796&amp;"|"&amp;C1796</f>
        <v>6|Marine Legion</v>
      </c>
      <c r="E1796" s="6" t="s">
        <v>1560</v>
      </c>
      <c r="F1796" s="6" t="s">
        <v>1538</v>
      </c>
      <c r="G1796" s="6" t="str">
        <f aca="false">INDEX(Archetypes!$D$2:$D$127, MATCH(D1796, Archetypes!$A$2:$A$127, 0))</f>
        <v>Shock Infantry</v>
      </c>
      <c r="H1796" s="6" t="n">
        <f aca="false">ROUND(INDEX(Archetypes!$E$2:$E$127, MATCH(D1796, Archetypes!$A$2:$A$127, 0))*INDEX(Unit_Grades!$B$2:$B$7, MATCH(F1796, Unit_Grades!$A$2:$A$7, 0))*INDEX(Unit_Paths!$B$2:$B$4, MATCH(E1796, Unit_Paths!$A$2:$A$4, 0)),1)</f>
        <v>459</v>
      </c>
      <c r="I1796" s="6" t="n">
        <f aca="false">ROUND(INDEX(Archetypes!$F$2:$F$127, MATCH(D1796, Archetypes!$A$2:$A$127, 0))*INDEX(Unit_Grades!$B$2:$B$7, MATCH(F1796, Unit_Grades!$A$2:$A$7, 0))*INDEX(Unit_Paths!$C$2:$C$4, MATCH(E1796, Unit_Paths!$A$2:$A$4, 0)),1)</f>
        <v>525</v>
      </c>
      <c r="J1796" s="6" t="n">
        <f aca="false">ROUND(INDEX(Archetypes!$G$2:$G$127, MATCH(D1796, Archetypes!$A$2:$A$127, 0))*INDEX(Unit_Grades!$B$2:$B$7, MATCH(F1796, Unit_Grades!$A$2:$A$7, 0))*INDEX(Unit_Paths!$D$2:$D$4, MATCH(E1796, Unit_Paths!$A$2:$A$4, 0)),0)</f>
        <v>2530</v>
      </c>
      <c r="K1796" s="6" t="n">
        <f aca="false">ROUND(INDEX(Archetypes!$H$2:$H$127, MATCH(D1796, Archetypes!$A$2:$A$127, 0))*INDEX(Unit_Paths!$E$2:$E$4, MATCH(E1796, Unit_Paths!$A$2:$A$4, 0)),1)</f>
        <v>27.6</v>
      </c>
      <c r="L1796" s="6" t="n">
        <f aca="false">ROUND(INDEX(Archetypes!$I$2:$I$127, MATCH(D1796, Archetypes!$A$2:$A$127, 0))*INDEX(Unit_Grades!$C$2:$C$7, MATCH(F1796, Unit_Grades!$A$2:$A$7, 0)),1)</f>
        <v>64</v>
      </c>
      <c r="M1796" s="6" t="n">
        <f aca="false">ROUND(INDEX(Archetypes!$J$2:$J$127, MATCH(D1796, Archetypes!$A$2:$A$127, 0))*INDEX(Unit_Grades!$D$2:$D$7, MATCH(F1796, Unit_Grades!$A$2:$A$7, 0)),1)</f>
        <v>26</v>
      </c>
      <c r="N1796" s="6" t="n">
        <f aca="false">ROUND(M1796/24,2)</f>
        <v>1.08</v>
      </c>
    </row>
    <row r="1797" customFormat="false" ht="15" hidden="false" customHeight="true" outlineLevel="0" collapsed="false">
      <c r="A1797" s="6" t="n">
        <v>6</v>
      </c>
      <c r="B1797" s="6" t="s">
        <v>3265</v>
      </c>
      <c r="C1797" s="6" t="s">
        <v>1478</v>
      </c>
      <c r="D1797" s="6" t="str">
        <f aca="false">A1797&amp;"|"&amp;C1797</f>
        <v>6|Marine Legion</v>
      </c>
      <c r="E1797" s="6" t="s">
        <v>1560</v>
      </c>
      <c r="F1797" s="6" t="s">
        <v>1540</v>
      </c>
      <c r="G1797" s="6" t="str">
        <f aca="false">INDEX(Archetypes!$D$2:$D$127, MATCH(D1797, Archetypes!$A$2:$A$127, 0))</f>
        <v>Shock Infantry</v>
      </c>
      <c r="H1797" s="6" t="n">
        <f aca="false">ROUND(INDEX(Archetypes!$E$2:$E$127, MATCH(D1797, Archetypes!$A$2:$A$127, 0))*INDEX(Unit_Grades!$B$2:$B$7, MATCH(F1797, Unit_Grades!$A$2:$A$7, 0))*INDEX(Unit_Paths!$B$2:$B$4, MATCH(E1797, Unit_Paths!$A$2:$A$4, 0)),1)</f>
        <v>619.7</v>
      </c>
      <c r="I1797" s="6" t="n">
        <f aca="false">ROUND(INDEX(Archetypes!$F$2:$F$127, MATCH(D1797, Archetypes!$A$2:$A$127, 0))*INDEX(Unit_Grades!$B$2:$B$7, MATCH(F1797, Unit_Grades!$A$2:$A$7, 0))*INDEX(Unit_Paths!$C$2:$C$4, MATCH(E1797, Unit_Paths!$A$2:$A$4, 0)),1)</f>
        <v>708.8</v>
      </c>
      <c r="J1797" s="6" t="n">
        <f aca="false">ROUND(INDEX(Archetypes!$G$2:$G$127, MATCH(D1797, Archetypes!$A$2:$A$127, 0))*INDEX(Unit_Grades!$B$2:$B$7, MATCH(F1797, Unit_Grades!$A$2:$A$7, 0))*INDEX(Unit_Paths!$D$2:$D$4, MATCH(E1797, Unit_Paths!$A$2:$A$4, 0)),0)</f>
        <v>3415</v>
      </c>
      <c r="K1797" s="6" t="n">
        <f aca="false">ROUND(INDEX(Archetypes!$H$2:$H$127, MATCH(D1797, Archetypes!$A$2:$A$127, 0))*INDEX(Unit_Paths!$E$2:$E$4, MATCH(E1797, Unit_Paths!$A$2:$A$4, 0)),1)</f>
        <v>27.6</v>
      </c>
      <c r="L1797" s="6" t="n">
        <f aca="false">ROUND(INDEX(Archetypes!$I$2:$I$127, MATCH(D1797, Archetypes!$A$2:$A$127, 0))*INDEX(Unit_Grades!$C$2:$C$7, MATCH(F1797, Unit_Grades!$A$2:$A$7, 0)),1)</f>
        <v>80</v>
      </c>
      <c r="M1797" s="6" t="n">
        <f aca="false">ROUND(INDEX(Archetypes!$J$2:$J$127, MATCH(D1797, Archetypes!$A$2:$A$127, 0))*INDEX(Unit_Grades!$D$2:$D$7, MATCH(F1797, Unit_Grades!$A$2:$A$7, 0)),1)</f>
        <v>39</v>
      </c>
      <c r="N1797" s="6" t="n">
        <f aca="false">ROUND(M1797/24,2)</f>
        <v>1.63</v>
      </c>
    </row>
    <row r="1798" customFormat="false" ht="15" hidden="false" customHeight="true" outlineLevel="0" collapsed="false">
      <c r="A1798" s="6" t="n">
        <v>6</v>
      </c>
      <c r="B1798" s="6" t="s">
        <v>3266</v>
      </c>
      <c r="C1798" s="6" t="s">
        <v>1478</v>
      </c>
      <c r="D1798" s="6" t="str">
        <f aca="false">A1798&amp;"|"&amp;C1798</f>
        <v>6|Marine Legion</v>
      </c>
      <c r="E1798" s="6" t="s">
        <v>1560</v>
      </c>
      <c r="F1798" s="6" t="s">
        <v>1542</v>
      </c>
      <c r="G1798" s="6" t="str">
        <f aca="false">INDEX(Archetypes!$D$2:$D$127, MATCH(D1798, Archetypes!$A$2:$A$127, 0))</f>
        <v>Shock Infantry</v>
      </c>
      <c r="H1798" s="6" t="n">
        <f aca="false">ROUND(INDEX(Archetypes!$E$2:$E$127, MATCH(D1798, Archetypes!$A$2:$A$127, 0))*INDEX(Unit_Grades!$B$2:$B$7, MATCH(F1798, Unit_Grades!$A$2:$A$7, 0))*INDEX(Unit_Paths!$B$2:$B$4, MATCH(E1798, Unit_Paths!$A$2:$A$4, 0)),1)</f>
        <v>826.2</v>
      </c>
      <c r="I1798" s="6" t="n">
        <f aca="false">ROUND(INDEX(Archetypes!$F$2:$F$127, MATCH(D1798, Archetypes!$A$2:$A$127, 0))*INDEX(Unit_Grades!$B$2:$B$7, MATCH(F1798, Unit_Grades!$A$2:$A$7, 0))*INDEX(Unit_Paths!$C$2:$C$4, MATCH(E1798, Unit_Paths!$A$2:$A$4, 0)),1)</f>
        <v>945</v>
      </c>
      <c r="J1798" s="6" t="n">
        <f aca="false">ROUND(INDEX(Archetypes!$G$2:$G$127, MATCH(D1798, Archetypes!$A$2:$A$127, 0))*INDEX(Unit_Grades!$B$2:$B$7, MATCH(F1798, Unit_Grades!$A$2:$A$7, 0))*INDEX(Unit_Paths!$D$2:$D$4, MATCH(E1798, Unit_Paths!$A$2:$A$4, 0)),0)</f>
        <v>4554</v>
      </c>
      <c r="K1798" s="6" t="n">
        <f aca="false">ROUND(INDEX(Archetypes!$H$2:$H$127, MATCH(D1798, Archetypes!$A$2:$A$127, 0))*INDEX(Unit_Paths!$E$2:$E$4, MATCH(E1798, Unit_Paths!$A$2:$A$4, 0)),1)</f>
        <v>27.6</v>
      </c>
      <c r="L1798" s="6" t="n">
        <f aca="false">ROUND(INDEX(Archetypes!$I$2:$I$127, MATCH(D1798, Archetypes!$A$2:$A$127, 0))*INDEX(Unit_Grades!$C$2:$C$7, MATCH(F1798, Unit_Grades!$A$2:$A$7, 0)),1)</f>
        <v>102.4</v>
      </c>
      <c r="M1798" s="6" t="n">
        <f aca="false">ROUND(INDEX(Archetypes!$J$2:$J$127, MATCH(D1798, Archetypes!$A$2:$A$127, 0))*INDEX(Unit_Grades!$D$2:$D$7, MATCH(F1798, Unit_Grades!$A$2:$A$7, 0)),1)</f>
        <v>64.9</v>
      </c>
      <c r="N1798" s="6" t="n">
        <f aca="false">ROUND(M1798/24,2)</f>
        <v>2.7</v>
      </c>
    </row>
    <row r="1799" customFormat="false" ht="15" hidden="false" customHeight="true" outlineLevel="0" collapsed="false">
      <c r="A1799" s="6" t="n">
        <v>6</v>
      </c>
      <c r="B1799" s="6" t="s">
        <v>3267</v>
      </c>
      <c r="C1799" s="6" t="s">
        <v>1478</v>
      </c>
      <c r="D1799" s="6" t="str">
        <f aca="false">A1799&amp;"|"&amp;C1799</f>
        <v>6|Marine Legion</v>
      </c>
      <c r="E1799" s="6" t="s">
        <v>1560</v>
      </c>
      <c r="F1799" s="6" t="s">
        <v>1544</v>
      </c>
      <c r="G1799" s="6" t="str">
        <f aca="false">INDEX(Archetypes!$D$2:$D$127, MATCH(D1799, Archetypes!$A$2:$A$127, 0))</f>
        <v>Shock Infantry</v>
      </c>
      <c r="H1799" s="6" t="n">
        <f aca="false">ROUND(INDEX(Archetypes!$E$2:$E$127, MATCH(D1799, Archetypes!$A$2:$A$127, 0))*INDEX(Unit_Grades!$B$2:$B$7, MATCH(F1799, Unit_Grades!$A$2:$A$7, 0))*INDEX(Unit_Paths!$B$2:$B$4, MATCH(E1799, Unit_Paths!$A$2:$A$4, 0)),1)</f>
        <v>1101.6</v>
      </c>
      <c r="I1799" s="6" t="n">
        <f aca="false">ROUND(INDEX(Archetypes!$F$2:$F$127, MATCH(D1799, Archetypes!$A$2:$A$127, 0))*INDEX(Unit_Grades!$B$2:$B$7, MATCH(F1799, Unit_Grades!$A$2:$A$7, 0))*INDEX(Unit_Paths!$C$2:$C$4, MATCH(E1799, Unit_Paths!$A$2:$A$4, 0)),1)</f>
        <v>1260</v>
      </c>
      <c r="J1799" s="6" t="n">
        <f aca="false">ROUND(INDEX(Archetypes!$G$2:$G$127, MATCH(D1799, Archetypes!$A$2:$A$127, 0))*INDEX(Unit_Grades!$B$2:$B$7, MATCH(F1799, Unit_Grades!$A$2:$A$7, 0))*INDEX(Unit_Paths!$D$2:$D$4, MATCH(E1799, Unit_Paths!$A$2:$A$4, 0)),0)</f>
        <v>6072</v>
      </c>
      <c r="K1799" s="6" t="n">
        <f aca="false">ROUND(INDEX(Archetypes!$H$2:$H$127, MATCH(D1799, Archetypes!$A$2:$A$127, 0))*INDEX(Unit_Paths!$E$2:$E$4, MATCH(E1799, Unit_Paths!$A$2:$A$4, 0)),1)</f>
        <v>27.6</v>
      </c>
      <c r="L1799" s="6" t="n">
        <f aca="false">ROUND(INDEX(Archetypes!$I$2:$I$127, MATCH(D1799, Archetypes!$A$2:$A$127, 0))*INDEX(Unit_Grades!$C$2:$C$7, MATCH(F1799, Unit_Grades!$A$2:$A$7, 0)),1)</f>
        <v>134.4</v>
      </c>
      <c r="M1799" s="6" t="n">
        <f aca="false">ROUND(INDEX(Archetypes!$J$2:$J$127, MATCH(D1799, Archetypes!$A$2:$A$127, 0))*INDEX(Unit_Grades!$D$2:$D$7, MATCH(F1799, Unit_Grades!$A$2:$A$7, 0)),1)</f>
        <v>103.9</v>
      </c>
      <c r="N1799" s="6" t="n">
        <f aca="false">ROUND(M1799/24,2)</f>
        <v>4.33</v>
      </c>
    </row>
    <row r="1800" customFormat="false" ht="15" hidden="false" customHeight="true" outlineLevel="0" collapsed="false">
      <c r="A1800" s="6" t="n">
        <v>6</v>
      </c>
      <c r="B1800" s="6" t="s">
        <v>3268</v>
      </c>
      <c r="C1800" s="6" t="s">
        <v>1478</v>
      </c>
      <c r="D1800" s="6" t="str">
        <f aca="false">A1800&amp;"|"&amp;C1800</f>
        <v>6|Marine Legion</v>
      </c>
      <c r="E1800" s="6" t="s">
        <v>1560</v>
      </c>
      <c r="F1800" s="6" t="s">
        <v>1546</v>
      </c>
      <c r="G1800" s="6" t="str">
        <f aca="false">INDEX(Archetypes!$D$2:$D$127, MATCH(D1800, Archetypes!$A$2:$A$127, 0))</f>
        <v>Shock Infantry</v>
      </c>
      <c r="H1800" s="6" t="n">
        <f aca="false">ROUND(INDEX(Archetypes!$E$2:$E$127, MATCH(D1800, Archetypes!$A$2:$A$127, 0))*INDEX(Unit_Grades!$B$2:$B$7, MATCH(F1800, Unit_Grades!$A$2:$A$7, 0))*INDEX(Unit_Paths!$B$2:$B$4, MATCH(E1800, Unit_Paths!$A$2:$A$4, 0)),1)</f>
        <v>1468.8</v>
      </c>
      <c r="I1800" s="6" t="n">
        <f aca="false">ROUND(INDEX(Archetypes!$F$2:$F$127, MATCH(D1800, Archetypes!$A$2:$A$127, 0))*INDEX(Unit_Grades!$B$2:$B$7, MATCH(F1800, Unit_Grades!$A$2:$A$7, 0))*INDEX(Unit_Paths!$C$2:$C$4, MATCH(E1800, Unit_Paths!$A$2:$A$4, 0)),1)</f>
        <v>1680</v>
      </c>
      <c r="J1800" s="6" t="n">
        <f aca="false">ROUND(INDEX(Archetypes!$G$2:$G$127, MATCH(D1800, Archetypes!$A$2:$A$127, 0))*INDEX(Unit_Grades!$B$2:$B$7, MATCH(F1800, Unit_Grades!$A$2:$A$7, 0))*INDEX(Unit_Paths!$D$2:$D$4, MATCH(E1800, Unit_Paths!$A$2:$A$4, 0)),0)</f>
        <v>8096</v>
      </c>
      <c r="K1800" s="6" t="n">
        <f aca="false">ROUND(INDEX(Archetypes!$H$2:$H$127, MATCH(D1800, Archetypes!$A$2:$A$127, 0))*INDEX(Unit_Paths!$E$2:$E$4, MATCH(E1800, Unit_Paths!$A$2:$A$4, 0)),1)</f>
        <v>27.6</v>
      </c>
      <c r="L1800" s="6" t="n">
        <f aca="false">ROUND(INDEX(Archetypes!$I$2:$I$127, MATCH(D1800, Archetypes!$A$2:$A$127, 0))*INDEX(Unit_Grades!$C$2:$C$7, MATCH(F1800, Unit_Grades!$A$2:$A$7, 0)),1)</f>
        <v>179.2</v>
      </c>
      <c r="M1800" s="6" t="n">
        <f aca="false">ROUND(INDEX(Archetypes!$J$2:$J$127, MATCH(D1800, Archetypes!$A$2:$A$127, 0))*INDEX(Unit_Grades!$D$2:$D$7, MATCH(F1800, Unit_Grades!$A$2:$A$7, 0)),1)</f>
        <v>181.8</v>
      </c>
      <c r="N1800" s="6" t="n">
        <f aca="false">ROUND(M1800/24,2)</f>
        <v>7.58</v>
      </c>
    </row>
    <row r="1801" customFormat="false" ht="15" hidden="false" customHeight="true" outlineLevel="0" collapsed="false">
      <c r="A1801" s="6" t="n">
        <v>6</v>
      </c>
      <c r="B1801" s="6" t="s">
        <v>3269</v>
      </c>
      <c r="C1801" s="6" t="s">
        <v>1478</v>
      </c>
      <c r="D1801" s="6" t="str">
        <f aca="false">A1801&amp;"|"&amp;C1801</f>
        <v>6|Marine Legion</v>
      </c>
      <c r="E1801" s="6" t="s">
        <v>1560</v>
      </c>
      <c r="F1801" s="6" t="s">
        <v>1548</v>
      </c>
      <c r="G1801" s="6" t="str">
        <f aca="false">INDEX(Archetypes!$D$2:$D$127, MATCH(D1801, Archetypes!$A$2:$A$127, 0))</f>
        <v>Shock Infantry</v>
      </c>
      <c r="H1801" s="6" t="n">
        <f aca="false">ROUND(INDEX(Archetypes!$E$2:$E$127, MATCH(D1801, Archetypes!$A$2:$A$127, 0))*INDEX(Unit_Grades!$B$2:$B$7, MATCH(F1801, Unit_Grades!$A$2:$A$7, 0))*INDEX(Unit_Paths!$B$2:$B$4, MATCH(E1801, Unit_Paths!$A$2:$A$4, 0)),1)</f>
        <v>1927.8</v>
      </c>
      <c r="I1801" s="6" t="n">
        <f aca="false">ROUND(INDEX(Archetypes!$F$2:$F$127, MATCH(D1801, Archetypes!$A$2:$A$127, 0))*INDEX(Unit_Grades!$B$2:$B$7, MATCH(F1801, Unit_Grades!$A$2:$A$7, 0))*INDEX(Unit_Paths!$C$2:$C$4, MATCH(E1801, Unit_Paths!$A$2:$A$4, 0)),1)</f>
        <v>2205</v>
      </c>
      <c r="J1801" s="6" t="n">
        <f aca="false">ROUND(INDEX(Archetypes!$G$2:$G$127, MATCH(D1801, Archetypes!$A$2:$A$127, 0))*INDEX(Unit_Grades!$B$2:$B$7, MATCH(F1801, Unit_Grades!$A$2:$A$7, 0))*INDEX(Unit_Paths!$D$2:$D$4, MATCH(E1801, Unit_Paths!$A$2:$A$4, 0)),0)</f>
        <v>10626</v>
      </c>
      <c r="K1801" s="6" t="n">
        <f aca="false">ROUND(INDEX(Archetypes!$H$2:$H$127, MATCH(D1801, Archetypes!$A$2:$A$127, 0))*INDEX(Unit_Paths!$E$2:$E$4, MATCH(E1801, Unit_Paths!$A$2:$A$4, 0)),1)</f>
        <v>27.6</v>
      </c>
      <c r="L1801" s="6" t="n">
        <f aca="false">ROUND(INDEX(Archetypes!$I$2:$I$127, MATCH(D1801, Archetypes!$A$2:$A$127, 0))*INDEX(Unit_Grades!$C$2:$C$7, MATCH(F1801, Unit_Grades!$A$2:$A$7, 0)),1)</f>
        <v>236.8</v>
      </c>
      <c r="M1801" s="6" t="n">
        <f aca="false">ROUND(INDEX(Archetypes!$J$2:$J$127, MATCH(D1801, Archetypes!$A$2:$A$127, 0))*INDEX(Unit_Grades!$D$2:$D$7, MATCH(F1801, Unit_Grades!$A$2:$A$7, 0)),1)</f>
        <v>311.6</v>
      </c>
      <c r="N1801" s="6" t="n">
        <f aca="false">ROUND(M1801/24,2)</f>
        <v>12.98</v>
      </c>
    </row>
    <row r="1802" customFormat="false" ht="15" hidden="false" customHeight="true" outlineLevel="0" collapsed="false">
      <c r="A1802" s="6" t="n">
        <v>6</v>
      </c>
      <c r="B1802" s="6" t="s">
        <v>1480</v>
      </c>
      <c r="C1802" s="6" t="s">
        <v>1480</v>
      </c>
      <c r="D1802" s="6" t="str">
        <f aca="false">A1802&amp;"|"&amp;C1802</f>
        <v>6|Hauler Convoy</v>
      </c>
      <c r="E1802" s="6" t="s">
        <v>1556</v>
      </c>
      <c r="F1802" s="6" t="s">
        <v>1538</v>
      </c>
      <c r="G1802" s="6" t="str">
        <f aca="false">INDEX(Archetypes!$D$2:$D$127, MATCH(D1802, Archetypes!$A$2:$A$127, 0))</f>
        <v>Logistics</v>
      </c>
      <c r="H1802" s="6" t="n">
        <f aca="false">ROUND(INDEX(Archetypes!$E$2:$E$127, MATCH(D1802, Archetypes!$A$2:$A$127, 0))*INDEX(Unit_Grades!$B$2:$B$7, MATCH(F1802, Unit_Grades!$A$2:$A$7, 0))*INDEX(Unit_Paths!$B$2:$B$4, MATCH(E1802, Unit_Paths!$A$2:$A$4, 0)),1)</f>
        <v>80</v>
      </c>
      <c r="I1802" s="6" t="n">
        <f aca="false">ROUND(INDEX(Archetypes!$F$2:$F$127, MATCH(D1802, Archetypes!$A$2:$A$127, 0))*INDEX(Unit_Grades!$B$2:$B$7, MATCH(F1802, Unit_Grades!$A$2:$A$7, 0))*INDEX(Unit_Paths!$C$2:$C$4, MATCH(E1802, Unit_Paths!$A$2:$A$4, 0)),1)</f>
        <v>360</v>
      </c>
      <c r="J1802" s="6" t="n">
        <f aca="false">ROUND(INDEX(Archetypes!$G$2:$G$127, MATCH(D1802, Archetypes!$A$2:$A$127, 0))*INDEX(Unit_Grades!$B$2:$B$7, MATCH(F1802, Unit_Grades!$A$2:$A$7, 0))*INDEX(Unit_Paths!$D$2:$D$4, MATCH(E1802, Unit_Paths!$A$2:$A$4, 0)),0)</f>
        <v>2600</v>
      </c>
      <c r="K1802" s="6" t="n">
        <f aca="false">ROUND(INDEX(Archetypes!$H$2:$H$127, MATCH(D1802, Archetypes!$A$2:$A$127, 0))*INDEX(Unit_Paths!$E$2:$E$4, MATCH(E1802, Unit_Paths!$A$2:$A$4, 0)),1)</f>
        <v>58</v>
      </c>
      <c r="L1802" s="6" t="n">
        <f aca="false">ROUND(INDEX(Archetypes!$I$2:$I$127, MATCH(D1802, Archetypes!$A$2:$A$127, 0))*INDEX(Unit_Grades!$C$2:$C$7, MATCH(F1802, Unit_Grades!$A$2:$A$7, 0)),1)</f>
        <v>44</v>
      </c>
      <c r="M1802" s="6" t="n">
        <f aca="false">ROUND(INDEX(Archetypes!$J$2:$J$127, MATCH(D1802, Archetypes!$A$2:$A$127, 0))*INDEX(Unit_Grades!$D$2:$D$7, MATCH(F1802, Unit_Grades!$A$2:$A$7, 0)),1)</f>
        <v>17.9</v>
      </c>
      <c r="N1802" s="6" t="n">
        <f aca="false">ROUND(M1802/24,2)</f>
        <v>0.75</v>
      </c>
    </row>
    <row r="1803" customFormat="false" ht="15" hidden="false" customHeight="true" outlineLevel="0" collapsed="false">
      <c r="A1803" s="6" t="n">
        <v>6</v>
      </c>
      <c r="B1803" s="6" t="s">
        <v>3270</v>
      </c>
      <c r="C1803" s="6" t="s">
        <v>1480</v>
      </c>
      <c r="D1803" s="6" t="str">
        <f aca="false">A1803&amp;"|"&amp;C1803</f>
        <v>6|Hauler Convoy</v>
      </c>
      <c r="E1803" s="6" t="s">
        <v>1556</v>
      </c>
      <c r="F1803" s="6" t="s">
        <v>1540</v>
      </c>
      <c r="G1803" s="6" t="str">
        <f aca="false">INDEX(Archetypes!$D$2:$D$127, MATCH(D1803, Archetypes!$A$2:$A$127, 0))</f>
        <v>Logistics</v>
      </c>
      <c r="H1803" s="6" t="n">
        <f aca="false">ROUND(INDEX(Archetypes!$E$2:$E$127, MATCH(D1803, Archetypes!$A$2:$A$127, 0))*INDEX(Unit_Grades!$B$2:$B$7, MATCH(F1803, Unit_Grades!$A$2:$A$7, 0))*INDEX(Unit_Paths!$B$2:$B$4, MATCH(E1803, Unit_Paths!$A$2:$A$4, 0)),1)</f>
        <v>108</v>
      </c>
      <c r="I1803" s="6" t="n">
        <f aca="false">ROUND(INDEX(Archetypes!$F$2:$F$127, MATCH(D1803, Archetypes!$A$2:$A$127, 0))*INDEX(Unit_Grades!$B$2:$B$7, MATCH(F1803, Unit_Grades!$A$2:$A$7, 0))*INDEX(Unit_Paths!$C$2:$C$4, MATCH(E1803, Unit_Paths!$A$2:$A$4, 0)),1)</f>
        <v>486</v>
      </c>
      <c r="J1803" s="6" t="n">
        <f aca="false">ROUND(INDEX(Archetypes!$G$2:$G$127, MATCH(D1803, Archetypes!$A$2:$A$127, 0))*INDEX(Unit_Grades!$B$2:$B$7, MATCH(F1803, Unit_Grades!$A$2:$A$7, 0))*INDEX(Unit_Paths!$D$2:$D$4, MATCH(E1803, Unit_Paths!$A$2:$A$4, 0)),0)</f>
        <v>3510</v>
      </c>
      <c r="K1803" s="6" t="n">
        <f aca="false">ROUND(INDEX(Archetypes!$H$2:$H$127, MATCH(D1803, Archetypes!$A$2:$A$127, 0))*INDEX(Unit_Paths!$E$2:$E$4, MATCH(E1803, Unit_Paths!$A$2:$A$4, 0)),1)</f>
        <v>58</v>
      </c>
      <c r="L1803" s="6" t="n">
        <f aca="false">ROUND(INDEX(Archetypes!$I$2:$I$127, MATCH(D1803, Archetypes!$A$2:$A$127, 0))*INDEX(Unit_Grades!$C$2:$C$7, MATCH(F1803, Unit_Grades!$A$2:$A$7, 0)),1)</f>
        <v>55</v>
      </c>
      <c r="M1803" s="6" t="n">
        <f aca="false">ROUND(INDEX(Archetypes!$J$2:$J$127, MATCH(D1803, Archetypes!$A$2:$A$127, 0))*INDEX(Unit_Grades!$D$2:$D$7, MATCH(F1803, Unit_Grades!$A$2:$A$7, 0)),1)</f>
        <v>26.8</v>
      </c>
      <c r="N1803" s="6" t="n">
        <f aca="false">ROUND(M1803/24,2)</f>
        <v>1.12</v>
      </c>
    </row>
    <row r="1804" customFormat="false" ht="15" hidden="false" customHeight="true" outlineLevel="0" collapsed="false">
      <c r="A1804" s="6" t="n">
        <v>6</v>
      </c>
      <c r="B1804" s="6" t="s">
        <v>3271</v>
      </c>
      <c r="C1804" s="6" t="s">
        <v>1480</v>
      </c>
      <c r="D1804" s="6" t="str">
        <f aca="false">A1804&amp;"|"&amp;C1804</f>
        <v>6|Hauler Convoy</v>
      </c>
      <c r="E1804" s="6" t="s">
        <v>1556</v>
      </c>
      <c r="F1804" s="6" t="s">
        <v>1542</v>
      </c>
      <c r="G1804" s="6" t="str">
        <f aca="false">INDEX(Archetypes!$D$2:$D$127, MATCH(D1804, Archetypes!$A$2:$A$127, 0))</f>
        <v>Logistics</v>
      </c>
      <c r="H1804" s="6" t="n">
        <f aca="false">ROUND(INDEX(Archetypes!$E$2:$E$127, MATCH(D1804, Archetypes!$A$2:$A$127, 0))*INDEX(Unit_Grades!$B$2:$B$7, MATCH(F1804, Unit_Grades!$A$2:$A$7, 0))*INDEX(Unit_Paths!$B$2:$B$4, MATCH(E1804, Unit_Paths!$A$2:$A$4, 0)),1)</f>
        <v>144</v>
      </c>
      <c r="I1804" s="6" t="n">
        <f aca="false">ROUND(INDEX(Archetypes!$F$2:$F$127, MATCH(D1804, Archetypes!$A$2:$A$127, 0))*INDEX(Unit_Grades!$B$2:$B$7, MATCH(F1804, Unit_Grades!$A$2:$A$7, 0))*INDEX(Unit_Paths!$C$2:$C$4, MATCH(E1804, Unit_Paths!$A$2:$A$4, 0)),1)</f>
        <v>648</v>
      </c>
      <c r="J1804" s="6" t="n">
        <f aca="false">ROUND(INDEX(Archetypes!$G$2:$G$127, MATCH(D1804, Archetypes!$A$2:$A$127, 0))*INDEX(Unit_Grades!$B$2:$B$7, MATCH(F1804, Unit_Grades!$A$2:$A$7, 0))*INDEX(Unit_Paths!$D$2:$D$4, MATCH(E1804, Unit_Paths!$A$2:$A$4, 0)),0)</f>
        <v>4680</v>
      </c>
      <c r="K1804" s="6" t="n">
        <f aca="false">ROUND(INDEX(Archetypes!$H$2:$H$127, MATCH(D1804, Archetypes!$A$2:$A$127, 0))*INDEX(Unit_Paths!$E$2:$E$4, MATCH(E1804, Unit_Paths!$A$2:$A$4, 0)),1)</f>
        <v>58</v>
      </c>
      <c r="L1804" s="6" t="n">
        <f aca="false">ROUND(INDEX(Archetypes!$I$2:$I$127, MATCH(D1804, Archetypes!$A$2:$A$127, 0))*INDEX(Unit_Grades!$C$2:$C$7, MATCH(F1804, Unit_Grades!$A$2:$A$7, 0)),1)</f>
        <v>70.4</v>
      </c>
      <c r="M1804" s="6" t="n">
        <f aca="false">ROUND(INDEX(Archetypes!$J$2:$J$127, MATCH(D1804, Archetypes!$A$2:$A$127, 0))*INDEX(Unit_Grades!$D$2:$D$7, MATCH(F1804, Unit_Grades!$A$2:$A$7, 0)),1)</f>
        <v>44.7</v>
      </c>
      <c r="N1804" s="6" t="n">
        <f aca="false">ROUND(M1804/24,2)</f>
        <v>1.86</v>
      </c>
    </row>
    <row r="1805" customFormat="false" ht="15" hidden="false" customHeight="true" outlineLevel="0" collapsed="false">
      <c r="A1805" s="6" t="n">
        <v>6</v>
      </c>
      <c r="B1805" s="6" t="s">
        <v>3272</v>
      </c>
      <c r="C1805" s="6" t="s">
        <v>1480</v>
      </c>
      <c r="D1805" s="6" t="str">
        <f aca="false">A1805&amp;"|"&amp;C1805</f>
        <v>6|Hauler Convoy</v>
      </c>
      <c r="E1805" s="6" t="s">
        <v>1556</v>
      </c>
      <c r="F1805" s="6" t="s">
        <v>1544</v>
      </c>
      <c r="G1805" s="6" t="str">
        <f aca="false">INDEX(Archetypes!$D$2:$D$127, MATCH(D1805, Archetypes!$A$2:$A$127, 0))</f>
        <v>Logistics</v>
      </c>
      <c r="H1805" s="6" t="n">
        <f aca="false">ROUND(INDEX(Archetypes!$E$2:$E$127, MATCH(D1805, Archetypes!$A$2:$A$127, 0))*INDEX(Unit_Grades!$B$2:$B$7, MATCH(F1805, Unit_Grades!$A$2:$A$7, 0))*INDEX(Unit_Paths!$B$2:$B$4, MATCH(E1805, Unit_Paths!$A$2:$A$4, 0)),1)</f>
        <v>192</v>
      </c>
      <c r="I1805" s="6" t="n">
        <f aca="false">ROUND(INDEX(Archetypes!$F$2:$F$127, MATCH(D1805, Archetypes!$A$2:$A$127, 0))*INDEX(Unit_Grades!$B$2:$B$7, MATCH(F1805, Unit_Grades!$A$2:$A$7, 0))*INDEX(Unit_Paths!$C$2:$C$4, MATCH(E1805, Unit_Paths!$A$2:$A$4, 0)),1)</f>
        <v>864</v>
      </c>
      <c r="J1805" s="6" t="n">
        <f aca="false">ROUND(INDEX(Archetypes!$G$2:$G$127, MATCH(D1805, Archetypes!$A$2:$A$127, 0))*INDEX(Unit_Grades!$B$2:$B$7, MATCH(F1805, Unit_Grades!$A$2:$A$7, 0))*INDEX(Unit_Paths!$D$2:$D$4, MATCH(E1805, Unit_Paths!$A$2:$A$4, 0)),0)</f>
        <v>6240</v>
      </c>
      <c r="K1805" s="6" t="n">
        <f aca="false">ROUND(INDEX(Archetypes!$H$2:$H$127, MATCH(D1805, Archetypes!$A$2:$A$127, 0))*INDEX(Unit_Paths!$E$2:$E$4, MATCH(E1805, Unit_Paths!$A$2:$A$4, 0)),1)</f>
        <v>58</v>
      </c>
      <c r="L1805" s="6" t="n">
        <f aca="false">ROUND(INDEX(Archetypes!$I$2:$I$127, MATCH(D1805, Archetypes!$A$2:$A$127, 0))*INDEX(Unit_Grades!$C$2:$C$7, MATCH(F1805, Unit_Grades!$A$2:$A$7, 0)),1)</f>
        <v>92.4</v>
      </c>
      <c r="M1805" s="6" t="n">
        <f aca="false">ROUND(INDEX(Archetypes!$J$2:$J$127, MATCH(D1805, Archetypes!$A$2:$A$127, 0))*INDEX(Unit_Grades!$D$2:$D$7, MATCH(F1805, Unit_Grades!$A$2:$A$7, 0)),1)</f>
        <v>71.4</v>
      </c>
      <c r="N1805" s="6" t="n">
        <f aca="false">ROUND(M1805/24,2)</f>
        <v>2.98</v>
      </c>
    </row>
    <row r="1806" customFormat="false" ht="15" hidden="false" customHeight="true" outlineLevel="0" collapsed="false">
      <c r="A1806" s="6" t="n">
        <v>6</v>
      </c>
      <c r="B1806" s="6" t="s">
        <v>3273</v>
      </c>
      <c r="C1806" s="6" t="s">
        <v>1480</v>
      </c>
      <c r="D1806" s="6" t="str">
        <f aca="false">A1806&amp;"|"&amp;C1806</f>
        <v>6|Hauler Convoy</v>
      </c>
      <c r="E1806" s="6" t="s">
        <v>1556</v>
      </c>
      <c r="F1806" s="6" t="s">
        <v>1546</v>
      </c>
      <c r="G1806" s="6" t="str">
        <f aca="false">INDEX(Archetypes!$D$2:$D$127, MATCH(D1806, Archetypes!$A$2:$A$127, 0))</f>
        <v>Logistics</v>
      </c>
      <c r="H1806" s="6" t="n">
        <f aca="false">ROUND(INDEX(Archetypes!$E$2:$E$127, MATCH(D1806, Archetypes!$A$2:$A$127, 0))*INDEX(Unit_Grades!$B$2:$B$7, MATCH(F1806, Unit_Grades!$A$2:$A$7, 0))*INDEX(Unit_Paths!$B$2:$B$4, MATCH(E1806, Unit_Paths!$A$2:$A$4, 0)),1)</f>
        <v>256</v>
      </c>
      <c r="I1806" s="6" t="n">
        <f aca="false">ROUND(INDEX(Archetypes!$F$2:$F$127, MATCH(D1806, Archetypes!$A$2:$A$127, 0))*INDEX(Unit_Grades!$B$2:$B$7, MATCH(F1806, Unit_Grades!$A$2:$A$7, 0))*INDEX(Unit_Paths!$C$2:$C$4, MATCH(E1806, Unit_Paths!$A$2:$A$4, 0)),1)</f>
        <v>1152</v>
      </c>
      <c r="J1806" s="6" t="n">
        <f aca="false">ROUND(INDEX(Archetypes!$G$2:$G$127, MATCH(D1806, Archetypes!$A$2:$A$127, 0))*INDEX(Unit_Grades!$B$2:$B$7, MATCH(F1806, Unit_Grades!$A$2:$A$7, 0))*INDEX(Unit_Paths!$D$2:$D$4, MATCH(E1806, Unit_Paths!$A$2:$A$4, 0)),0)</f>
        <v>8320</v>
      </c>
      <c r="K1806" s="6" t="n">
        <f aca="false">ROUND(INDEX(Archetypes!$H$2:$H$127, MATCH(D1806, Archetypes!$A$2:$A$127, 0))*INDEX(Unit_Paths!$E$2:$E$4, MATCH(E1806, Unit_Paths!$A$2:$A$4, 0)),1)</f>
        <v>58</v>
      </c>
      <c r="L1806" s="6" t="n">
        <f aca="false">ROUND(INDEX(Archetypes!$I$2:$I$127, MATCH(D1806, Archetypes!$A$2:$A$127, 0))*INDEX(Unit_Grades!$C$2:$C$7, MATCH(F1806, Unit_Grades!$A$2:$A$7, 0)),1)</f>
        <v>123.2</v>
      </c>
      <c r="M1806" s="6" t="n">
        <f aca="false">ROUND(INDEX(Archetypes!$J$2:$J$127, MATCH(D1806, Archetypes!$A$2:$A$127, 0))*INDEX(Unit_Grades!$D$2:$D$7, MATCH(F1806, Unit_Grades!$A$2:$A$7, 0)),1)</f>
        <v>125</v>
      </c>
      <c r="N1806" s="6" t="n">
        <f aca="false">ROUND(M1806/24,2)</f>
        <v>5.21</v>
      </c>
    </row>
    <row r="1807" customFormat="false" ht="15" hidden="false" customHeight="true" outlineLevel="0" collapsed="false">
      <c r="A1807" s="6" t="n">
        <v>6</v>
      </c>
      <c r="B1807" s="6" t="s">
        <v>3274</v>
      </c>
      <c r="C1807" s="6" t="s">
        <v>1480</v>
      </c>
      <c r="D1807" s="6" t="str">
        <f aca="false">A1807&amp;"|"&amp;C1807</f>
        <v>6|Hauler Convoy</v>
      </c>
      <c r="E1807" s="6" t="s">
        <v>1556</v>
      </c>
      <c r="F1807" s="6" t="s">
        <v>1548</v>
      </c>
      <c r="G1807" s="6" t="str">
        <f aca="false">INDEX(Archetypes!$D$2:$D$127, MATCH(D1807, Archetypes!$A$2:$A$127, 0))</f>
        <v>Logistics</v>
      </c>
      <c r="H1807" s="6" t="n">
        <f aca="false">ROUND(INDEX(Archetypes!$E$2:$E$127, MATCH(D1807, Archetypes!$A$2:$A$127, 0))*INDEX(Unit_Grades!$B$2:$B$7, MATCH(F1807, Unit_Grades!$A$2:$A$7, 0))*INDEX(Unit_Paths!$B$2:$B$4, MATCH(E1807, Unit_Paths!$A$2:$A$4, 0)),1)</f>
        <v>336</v>
      </c>
      <c r="I1807" s="6" t="n">
        <f aca="false">ROUND(INDEX(Archetypes!$F$2:$F$127, MATCH(D1807, Archetypes!$A$2:$A$127, 0))*INDEX(Unit_Grades!$B$2:$B$7, MATCH(F1807, Unit_Grades!$A$2:$A$7, 0))*INDEX(Unit_Paths!$C$2:$C$4, MATCH(E1807, Unit_Paths!$A$2:$A$4, 0)),1)</f>
        <v>1512</v>
      </c>
      <c r="J1807" s="6" t="n">
        <f aca="false">ROUND(INDEX(Archetypes!$G$2:$G$127, MATCH(D1807, Archetypes!$A$2:$A$127, 0))*INDEX(Unit_Grades!$B$2:$B$7, MATCH(F1807, Unit_Grades!$A$2:$A$7, 0))*INDEX(Unit_Paths!$D$2:$D$4, MATCH(E1807, Unit_Paths!$A$2:$A$4, 0)),0)</f>
        <v>10920</v>
      </c>
      <c r="K1807" s="6" t="n">
        <f aca="false">ROUND(INDEX(Archetypes!$H$2:$H$127, MATCH(D1807, Archetypes!$A$2:$A$127, 0))*INDEX(Unit_Paths!$E$2:$E$4, MATCH(E1807, Unit_Paths!$A$2:$A$4, 0)),1)</f>
        <v>58</v>
      </c>
      <c r="L1807" s="6" t="n">
        <f aca="false">ROUND(INDEX(Archetypes!$I$2:$I$127, MATCH(D1807, Archetypes!$A$2:$A$127, 0))*INDEX(Unit_Grades!$C$2:$C$7, MATCH(F1807, Unit_Grades!$A$2:$A$7, 0)),1)</f>
        <v>162.8</v>
      </c>
      <c r="M1807" s="6" t="n">
        <f aca="false">ROUND(INDEX(Archetypes!$J$2:$J$127, MATCH(D1807, Archetypes!$A$2:$A$127, 0))*INDEX(Unit_Grades!$D$2:$D$7, MATCH(F1807, Unit_Grades!$A$2:$A$7, 0)),1)</f>
        <v>214.3</v>
      </c>
      <c r="N1807" s="6" t="n">
        <f aca="false">ROUND(M1807/24,2)</f>
        <v>8.93</v>
      </c>
    </row>
    <row r="1808" customFormat="false" ht="15" hidden="false" customHeight="true" outlineLevel="0" collapsed="false">
      <c r="A1808" s="6" t="n">
        <v>6</v>
      </c>
      <c r="B1808" s="6" t="s">
        <v>3275</v>
      </c>
      <c r="C1808" s="6" t="s">
        <v>1480</v>
      </c>
      <c r="D1808" s="6" t="str">
        <f aca="false">A1808&amp;"|"&amp;C1808</f>
        <v>6|Hauler Convoy</v>
      </c>
      <c r="E1808" s="6" t="s">
        <v>1558</v>
      </c>
      <c r="F1808" s="6" t="s">
        <v>1538</v>
      </c>
      <c r="G1808" s="6" t="str">
        <f aca="false">INDEX(Archetypes!$D$2:$D$127, MATCH(D1808, Archetypes!$A$2:$A$127, 0))</f>
        <v>Logistics</v>
      </c>
      <c r="H1808" s="6" t="n">
        <f aca="false">ROUND(INDEX(Archetypes!$E$2:$E$127, MATCH(D1808, Archetypes!$A$2:$A$127, 0))*INDEX(Unit_Grades!$B$2:$B$7, MATCH(F1808, Unit_Grades!$A$2:$A$7, 0))*INDEX(Unit_Paths!$B$2:$B$4, MATCH(E1808, Unit_Paths!$A$2:$A$4, 0)),1)</f>
        <v>96</v>
      </c>
      <c r="I1808" s="6" t="n">
        <f aca="false">ROUND(INDEX(Archetypes!$F$2:$F$127, MATCH(D1808, Archetypes!$A$2:$A$127, 0))*INDEX(Unit_Grades!$B$2:$B$7, MATCH(F1808, Unit_Grades!$A$2:$A$7, 0))*INDEX(Unit_Paths!$C$2:$C$4, MATCH(E1808, Unit_Paths!$A$2:$A$4, 0)),1)</f>
        <v>306</v>
      </c>
      <c r="J1808" s="6" t="n">
        <f aca="false">ROUND(INDEX(Archetypes!$G$2:$G$127, MATCH(D1808, Archetypes!$A$2:$A$127, 0))*INDEX(Unit_Grades!$B$2:$B$7, MATCH(F1808, Unit_Grades!$A$2:$A$7, 0))*INDEX(Unit_Paths!$D$2:$D$4, MATCH(E1808, Unit_Paths!$A$2:$A$4, 0)),0)</f>
        <v>2470</v>
      </c>
      <c r="K1808" s="6" t="n">
        <f aca="false">ROUND(INDEX(Archetypes!$H$2:$H$127, MATCH(D1808, Archetypes!$A$2:$A$127, 0))*INDEX(Unit_Paths!$E$2:$E$4, MATCH(E1808, Unit_Paths!$A$2:$A$4, 0)),1)</f>
        <v>60.9</v>
      </c>
      <c r="L1808" s="6" t="n">
        <f aca="false">ROUND(INDEX(Archetypes!$I$2:$I$127, MATCH(D1808, Archetypes!$A$2:$A$127, 0))*INDEX(Unit_Grades!$C$2:$C$7, MATCH(F1808, Unit_Grades!$A$2:$A$7, 0)),1)</f>
        <v>44</v>
      </c>
      <c r="M1808" s="6" t="n">
        <f aca="false">ROUND(INDEX(Archetypes!$J$2:$J$127, MATCH(D1808, Archetypes!$A$2:$A$127, 0))*INDEX(Unit_Grades!$D$2:$D$7, MATCH(F1808, Unit_Grades!$A$2:$A$7, 0)),1)</f>
        <v>17.9</v>
      </c>
      <c r="N1808" s="6" t="n">
        <f aca="false">ROUND(M1808/24,2)</f>
        <v>0.75</v>
      </c>
    </row>
    <row r="1809" customFormat="false" ht="15" hidden="false" customHeight="true" outlineLevel="0" collapsed="false">
      <c r="A1809" s="6" t="n">
        <v>6</v>
      </c>
      <c r="B1809" s="6" t="s">
        <v>3276</v>
      </c>
      <c r="C1809" s="6" t="s">
        <v>1480</v>
      </c>
      <c r="D1809" s="6" t="str">
        <f aca="false">A1809&amp;"|"&amp;C1809</f>
        <v>6|Hauler Convoy</v>
      </c>
      <c r="E1809" s="6" t="s">
        <v>1558</v>
      </c>
      <c r="F1809" s="6" t="s">
        <v>1540</v>
      </c>
      <c r="G1809" s="6" t="str">
        <f aca="false">INDEX(Archetypes!$D$2:$D$127, MATCH(D1809, Archetypes!$A$2:$A$127, 0))</f>
        <v>Logistics</v>
      </c>
      <c r="H1809" s="6" t="n">
        <f aca="false">ROUND(INDEX(Archetypes!$E$2:$E$127, MATCH(D1809, Archetypes!$A$2:$A$127, 0))*INDEX(Unit_Grades!$B$2:$B$7, MATCH(F1809, Unit_Grades!$A$2:$A$7, 0))*INDEX(Unit_Paths!$B$2:$B$4, MATCH(E1809, Unit_Paths!$A$2:$A$4, 0)),1)</f>
        <v>129.6</v>
      </c>
      <c r="I1809" s="6" t="n">
        <f aca="false">ROUND(INDEX(Archetypes!$F$2:$F$127, MATCH(D1809, Archetypes!$A$2:$A$127, 0))*INDEX(Unit_Grades!$B$2:$B$7, MATCH(F1809, Unit_Grades!$A$2:$A$7, 0))*INDEX(Unit_Paths!$C$2:$C$4, MATCH(E1809, Unit_Paths!$A$2:$A$4, 0)),1)</f>
        <v>413.1</v>
      </c>
      <c r="J1809" s="6" t="n">
        <f aca="false">ROUND(INDEX(Archetypes!$G$2:$G$127, MATCH(D1809, Archetypes!$A$2:$A$127, 0))*INDEX(Unit_Grades!$B$2:$B$7, MATCH(F1809, Unit_Grades!$A$2:$A$7, 0))*INDEX(Unit_Paths!$D$2:$D$4, MATCH(E1809, Unit_Paths!$A$2:$A$4, 0)),0)</f>
        <v>3335</v>
      </c>
      <c r="K1809" s="6" t="n">
        <f aca="false">ROUND(INDEX(Archetypes!$H$2:$H$127, MATCH(D1809, Archetypes!$A$2:$A$127, 0))*INDEX(Unit_Paths!$E$2:$E$4, MATCH(E1809, Unit_Paths!$A$2:$A$4, 0)),1)</f>
        <v>60.9</v>
      </c>
      <c r="L1809" s="6" t="n">
        <f aca="false">ROUND(INDEX(Archetypes!$I$2:$I$127, MATCH(D1809, Archetypes!$A$2:$A$127, 0))*INDEX(Unit_Grades!$C$2:$C$7, MATCH(F1809, Unit_Grades!$A$2:$A$7, 0)),1)</f>
        <v>55</v>
      </c>
      <c r="M1809" s="6" t="n">
        <f aca="false">ROUND(INDEX(Archetypes!$J$2:$J$127, MATCH(D1809, Archetypes!$A$2:$A$127, 0))*INDEX(Unit_Grades!$D$2:$D$7, MATCH(F1809, Unit_Grades!$A$2:$A$7, 0)),1)</f>
        <v>26.8</v>
      </c>
      <c r="N1809" s="6" t="n">
        <f aca="false">ROUND(M1809/24,2)</f>
        <v>1.12</v>
      </c>
    </row>
    <row r="1810" customFormat="false" ht="15" hidden="false" customHeight="true" outlineLevel="0" collapsed="false">
      <c r="A1810" s="6" t="n">
        <v>6</v>
      </c>
      <c r="B1810" s="6" t="s">
        <v>3277</v>
      </c>
      <c r="C1810" s="6" t="s">
        <v>1480</v>
      </c>
      <c r="D1810" s="6" t="str">
        <f aca="false">A1810&amp;"|"&amp;C1810</f>
        <v>6|Hauler Convoy</v>
      </c>
      <c r="E1810" s="6" t="s">
        <v>1558</v>
      </c>
      <c r="F1810" s="6" t="s">
        <v>1542</v>
      </c>
      <c r="G1810" s="6" t="str">
        <f aca="false">INDEX(Archetypes!$D$2:$D$127, MATCH(D1810, Archetypes!$A$2:$A$127, 0))</f>
        <v>Logistics</v>
      </c>
      <c r="H1810" s="6" t="n">
        <f aca="false">ROUND(INDEX(Archetypes!$E$2:$E$127, MATCH(D1810, Archetypes!$A$2:$A$127, 0))*INDEX(Unit_Grades!$B$2:$B$7, MATCH(F1810, Unit_Grades!$A$2:$A$7, 0))*INDEX(Unit_Paths!$B$2:$B$4, MATCH(E1810, Unit_Paths!$A$2:$A$4, 0)),1)</f>
        <v>172.8</v>
      </c>
      <c r="I1810" s="6" t="n">
        <f aca="false">ROUND(INDEX(Archetypes!$F$2:$F$127, MATCH(D1810, Archetypes!$A$2:$A$127, 0))*INDEX(Unit_Grades!$B$2:$B$7, MATCH(F1810, Unit_Grades!$A$2:$A$7, 0))*INDEX(Unit_Paths!$C$2:$C$4, MATCH(E1810, Unit_Paths!$A$2:$A$4, 0)),1)</f>
        <v>550.8</v>
      </c>
      <c r="J1810" s="6" t="n">
        <f aca="false">ROUND(INDEX(Archetypes!$G$2:$G$127, MATCH(D1810, Archetypes!$A$2:$A$127, 0))*INDEX(Unit_Grades!$B$2:$B$7, MATCH(F1810, Unit_Grades!$A$2:$A$7, 0))*INDEX(Unit_Paths!$D$2:$D$4, MATCH(E1810, Unit_Paths!$A$2:$A$4, 0)),0)</f>
        <v>4446</v>
      </c>
      <c r="K1810" s="6" t="n">
        <f aca="false">ROUND(INDEX(Archetypes!$H$2:$H$127, MATCH(D1810, Archetypes!$A$2:$A$127, 0))*INDEX(Unit_Paths!$E$2:$E$4, MATCH(E1810, Unit_Paths!$A$2:$A$4, 0)),1)</f>
        <v>60.9</v>
      </c>
      <c r="L1810" s="6" t="n">
        <f aca="false">ROUND(INDEX(Archetypes!$I$2:$I$127, MATCH(D1810, Archetypes!$A$2:$A$127, 0))*INDEX(Unit_Grades!$C$2:$C$7, MATCH(F1810, Unit_Grades!$A$2:$A$7, 0)),1)</f>
        <v>70.4</v>
      </c>
      <c r="M1810" s="6" t="n">
        <f aca="false">ROUND(INDEX(Archetypes!$J$2:$J$127, MATCH(D1810, Archetypes!$A$2:$A$127, 0))*INDEX(Unit_Grades!$D$2:$D$7, MATCH(F1810, Unit_Grades!$A$2:$A$7, 0)),1)</f>
        <v>44.7</v>
      </c>
      <c r="N1810" s="6" t="n">
        <f aca="false">ROUND(M1810/24,2)</f>
        <v>1.86</v>
      </c>
    </row>
    <row r="1811" customFormat="false" ht="15" hidden="false" customHeight="true" outlineLevel="0" collapsed="false">
      <c r="A1811" s="6" t="n">
        <v>6</v>
      </c>
      <c r="B1811" s="6" t="s">
        <v>3278</v>
      </c>
      <c r="C1811" s="6" t="s">
        <v>1480</v>
      </c>
      <c r="D1811" s="6" t="str">
        <f aca="false">A1811&amp;"|"&amp;C1811</f>
        <v>6|Hauler Convoy</v>
      </c>
      <c r="E1811" s="6" t="s">
        <v>1558</v>
      </c>
      <c r="F1811" s="6" t="s">
        <v>1544</v>
      </c>
      <c r="G1811" s="6" t="str">
        <f aca="false">INDEX(Archetypes!$D$2:$D$127, MATCH(D1811, Archetypes!$A$2:$A$127, 0))</f>
        <v>Logistics</v>
      </c>
      <c r="H1811" s="6" t="n">
        <f aca="false">ROUND(INDEX(Archetypes!$E$2:$E$127, MATCH(D1811, Archetypes!$A$2:$A$127, 0))*INDEX(Unit_Grades!$B$2:$B$7, MATCH(F1811, Unit_Grades!$A$2:$A$7, 0))*INDEX(Unit_Paths!$B$2:$B$4, MATCH(E1811, Unit_Paths!$A$2:$A$4, 0)),1)</f>
        <v>230.4</v>
      </c>
      <c r="I1811" s="6" t="n">
        <f aca="false">ROUND(INDEX(Archetypes!$F$2:$F$127, MATCH(D1811, Archetypes!$A$2:$A$127, 0))*INDEX(Unit_Grades!$B$2:$B$7, MATCH(F1811, Unit_Grades!$A$2:$A$7, 0))*INDEX(Unit_Paths!$C$2:$C$4, MATCH(E1811, Unit_Paths!$A$2:$A$4, 0)),1)</f>
        <v>734.4</v>
      </c>
      <c r="J1811" s="6" t="n">
        <f aca="false">ROUND(INDEX(Archetypes!$G$2:$G$127, MATCH(D1811, Archetypes!$A$2:$A$127, 0))*INDEX(Unit_Grades!$B$2:$B$7, MATCH(F1811, Unit_Grades!$A$2:$A$7, 0))*INDEX(Unit_Paths!$D$2:$D$4, MATCH(E1811, Unit_Paths!$A$2:$A$4, 0)),0)</f>
        <v>5928</v>
      </c>
      <c r="K1811" s="6" t="n">
        <f aca="false">ROUND(INDEX(Archetypes!$H$2:$H$127, MATCH(D1811, Archetypes!$A$2:$A$127, 0))*INDEX(Unit_Paths!$E$2:$E$4, MATCH(E1811, Unit_Paths!$A$2:$A$4, 0)),1)</f>
        <v>60.9</v>
      </c>
      <c r="L1811" s="6" t="n">
        <f aca="false">ROUND(INDEX(Archetypes!$I$2:$I$127, MATCH(D1811, Archetypes!$A$2:$A$127, 0))*INDEX(Unit_Grades!$C$2:$C$7, MATCH(F1811, Unit_Grades!$A$2:$A$7, 0)),1)</f>
        <v>92.4</v>
      </c>
      <c r="M1811" s="6" t="n">
        <f aca="false">ROUND(INDEX(Archetypes!$J$2:$J$127, MATCH(D1811, Archetypes!$A$2:$A$127, 0))*INDEX(Unit_Grades!$D$2:$D$7, MATCH(F1811, Unit_Grades!$A$2:$A$7, 0)),1)</f>
        <v>71.4</v>
      </c>
      <c r="N1811" s="6" t="n">
        <f aca="false">ROUND(M1811/24,2)</f>
        <v>2.98</v>
      </c>
    </row>
    <row r="1812" customFormat="false" ht="15" hidden="false" customHeight="true" outlineLevel="0" collapsed="false">
      <c r="A1812" s="6" t="n">
        <v>6</v>
      </c>
      <c r="B1812" s="6" t="s">
        <v>3279</v>
      </c>
      <c r="C1812" s="6" t="s">
        <v>1480</v>
      </c>
      <c r="D1812" s="6" t="str">
        <f aca="false">A1812&amp;"|"&amp;C1812</f>
        <v>6|Hauler Convoy</v>
      </c>
      <c r="E1812" s="6" t="s">
        <v>1558</v>
      </c>
      <c r="F1812" s="6" t="s">
        <v>1546</v>
      </c>
      <c r="G1812" s="6" t="str">
        <f aca="false">INDEX(Archetypes!$D$2:$D$127, MATCH(D1812, Archetypes!$A$2:$A$127, 0))</f>
        <v>Logistics</v>
      </c>
      <c r="H1812" s="6" t="n">
        <f aca="false">ROUND(INDEX(Archetypes!$E$2:$E$127, MATCH(D1812, Archetypes!$A$2:$A$127, 0))*INDEX(Unit_Grades!$B$2:$B$7, MATCH(F1812, Unit_Grades!$A$2:$A$7, 0))*INDEX(Unit_Paths!$B$2:$B$4, MATCH(E1812, Unit_Paths!$A$2:$A$4, 0)),1)</f>
        <v>307.2</v>
      </c>
      <c r="I1812" s="6" t="n">
        <f aca="false">ROUND(INDEX(Archetypes!$F$2:$F$127, MATCH(D1812, Archetypes!$A$2:$A$127, 0))*INDEX(Unit_Grades!$B$2:$B$7, MATCH(F1812, Unit_Grades!$A$2:$A$7, 0))*INDEX(Unit_Paths!$C$2:$C$4, MATCH(E1812, Unit_Paths!$A$2:$A$4, 0)),1)</f>
        <v>979.2</v>
      </c>
      <c r="J1812" s="6" t="n">
        <f aca="false">ROUND(INDEX(Archetypes!$G$2:$G$127, MATCH(D1812, Archetypes!$A$2:$A$127, 0))*INDEX(Unit_Grades!$B$2:$B$7, MATCH(F1812, Unit_Grades!$A$2:$A$7, 0))*INDEX(Unit_Paths!$D$2:$D$4, MATCH(E1812, Unit_Paths!$A$2:$A$4, 0)),0)</f>
        <v>7904</v>
      </c>
      <c r="K1812" s="6" t="n">
        <f aca="false">ROUND(INDEX(Archetypes!$H$2:$H$127, MATCH(D1812, Archetypes!$A$2:$A$127, 0))*INDEX(Unit_Paths!$E$2:$E$4, MATCH(E1812, Unit_Paths!$A$2:$A$4, 0)),1)</f>
        <v>60.9</v>
      </c>
      <c r="L1812" s="6" t="n">
        <f aca="false">ROUND(INDEX(Archetypes!$I$2:$I$127, MATCH(D1812, Archetypes!$A$2:$A$127, 0))*INDEX(Unit_Grades!$C$2:$C$7, MATCH(F1812, Unit_Grades!$A$2:$A$7, 0)),1)</f>
        <v>123.2</v>
      </c>
      <c r="M1812" s="6" t="n">
        <f aca="false">ROUND(INDEX(Archetypes!$J$2:$J$127, MATCH(D1812, Archetypes!$A$2:$A$127, 0))*INDEX(Unit_Grades!$D$2:$D$7, MATCH(F1812, Unit_Grades!$A$2:$A$7, 0)),1)</f>
        <v>125</v>
      </c>
      <c r="N1812" s="6" t="n">
        <f aca="false">ROUND(M1812/24,2)</f>
        <v>5.21</v>
      </c>
    </row>
    <row r="1813" customFormat="false" ht="15" hidden="false" customHeight="true" outlineLevel="0" collapsed="false">
      <c r="A1813" s="6" t="n">
        <v>6</v>
      </c>
      <c r="B1813" s="6" t="s">
        <v>3280</v>
      </c>
      <c r="C1813" s="6" t="s">
        <v>1480</v>
      </c>
      <c r="D1813" s="6" t="str">
        <f aca="false">A1813&amp;"|"&amp;C1813</f>
        <v>6|Hauler Convoy</v>
      </c>
      <c r="E1813" s="6" t="s">
        <v>1558</v>
      </c>
      <c r="F1813" s="6" t="s">
        <v>1548</v>
      </c>
      <c r="G1813" s="6" t="str">
        <f aca="false">INDEX(Archetypes!$D$2:$D$127, MATCH(D1813, Archetypes!$A$2:$A$127, 0))</f>
        <v>Logistics</v>
      </c>
      <c r="H1813" s="6" t="n">
        <f aca="false">ROUND(INDEX(Archetypes!$E$2:$E$127, MATCH(D1813, Archetypes!$A$2:$A$127, 0))*INDEX(Unit_Grades!$B$2:$B$7, MATCH(F1813, Unit_Grades!$A$2:$A$7, 0))*INDEX(Unit_Paths!$B$2:$B$4, MATCH(E1813, Unit_Paths!$A$2:$A$4, 0)),1)</f>
        <v>403.2</v>
      </c>
      <c r="I1813" s="6" t="n">
        <f aca="false">ROUND(INDEX(Archetypes!$F$2:$F$127, MATCH(D1813, Archetypes!$A$2:$A$127, 0))*INDEX(Unit_Grades!$B$2:$B$7, MATCH(F1813, Unit_Grades!$A$2:$A$7, 0))*INDEX(Unit_Paths!$C$2:$C$4, MATCH(E1813, Unit_Paths!$A$2:$A$4, 0)),1)</f>
        <v>1285.2</v>
      </c>
      <c r="J1813" s="6" t="n">
        <f aca="false">ROUND(INDEX(Archetypes!$G$2:$G$127, MATCH(D1813, Archetypes!$A$2:$A$127, 0))*INDEX(Unit_Grades!$B$2:$B$7, MATCH(F1813, Unit_Grades!$A$2:$A$7, 0))*INDEX(Unit_Paths!$D$2:$D$4, MATCH(E1813, Unit_Paths!$A$2:$A$4, 0)),0)</f>
        <v>10374</v>
      </c>
      <c r="K1813" s="6" t="n">
        <f aca="false">ROUND(INDEX(Archetypes!$H$2:$H$127, MATCH(D1813, Archetypes!$A$2:$A$127, 0))*INDEX(Unit_Paths!$E$2:$E$4, MATCH(E1813, Unit_Paths!$A$2:$A$4, 0)),1)</f>
        <v>60.9</v>
      </c>
      <c r="L1813" s="6" t="n">
        <f aca="false">ROUND(INDEX(Archetypes!$I$2:$I$127, MATCH(D1813, Archetypes!$A$2:$A$127, 0))*INDEX(Unit_Grades!$C$2:$C$7, MATCH(F1813, Unit_Grades!$A$2:$A$7, 0)),1)</f>
        <v>162.8</v>
      </c>
      <c r="M1813" s="6" t="n">
        <f aca="false">ROUND(INDEX(Archetypes!$J$2:$J$127, MATCH(D1813, Archetypes!$A$2:$A$127, 0))*INDEX(Unit_Grades!$D$2:$D$7, MATCH(F1813, Unit_Grades!$A$2:$A$7, 0)),1)</f>
        <v>214.3</v>
      </c>
      <c r="N1813" s="6" t="n">
        <f aca="false">ROUND(M1813/24,2)</f>
        <v>8.93</v>
      </c>
    </row>
    <row r="1814" customFormat="false" ht="15" hidden="false" customHeight="true" outlineLevel="0" collapsed="false">
      <c r="A1814" s="6" t="n">
        <v>6</v>
      </c>
      <c r="B1814" s="6" t="s">
        <v>3281</v>
      </c>
      <c r="C1814" s="6" t="s">
        <v>1480</v>
      </c>
      <c r="D1814" s="6" t="str">
        <f aca="false">A1814&amp;"|"&amp;C1814</f>
        <v>6|Hauler Convoy</v>
      </c>
      <c r="E1814" s="6" t="s">
        <v>1560</v>
      </c>
      <c r="F1814" s="6" t="s">
        <v>1538</v>
      </c>
      <c r="G1814" s="6" t="str">
        <f aca="false">INDEX(Archetypes!$D$2:$D$127, MATCH(D1814, Archetypes!$A$2:$A$127, 0))</f>
        <v>Logistics</v>
      </c>
      <c r="H1814" s="6" t="n">
        <f aca="false">ROUND(INDEX(Archetypes!$E$2:$E$127, MATCH(D1814, Archetypes!$A$2:$A$127, 0))*INDEX(Unit_Grades!$B$2:$B$7, MATCH(F1814, Unit_Grades!$A$2:$A$7, 0))*INDEX(Unit_Paths!$B$2:$B$4, MATCH(E1814, Unit_Paths!$A$2:$A$4, 0)),1)</f>
        <v>68</v>
      </c>
      <c r="I1814" s="6" t="n">
        <f aca="false">ROUND(INDEX(Archetypes!$F$2:$F$127, MATCH(D1814, Archetypes!$A$2:$A$127, 0))*INDEX(Unit_Grades!$B$2:$B$7, MATCH(F1814, Unit_Grades!$A$2:$A$7, 0))*INDEX(Unit_Paths!$C$2:$C$4, MATCH(E1814, Unit_Paths!$A$2:$A$4, 0)),1)</f>
        <v>450</v>
      </c>
      <c r="J1814" s="6" t="n">
        <f aca="false">ROUND(INDEX(Archetypes!$G$2:$G$127, MATCH(D1814, Archetypes!$A$2:$A$127, 0))*INDEX(Unit_Grades!$B$2:$B$7, MATCH(F1814, Unit_Grades!$A$2:$A$7, 0))*INDEX(Unit_Paths!$D$2:$D$4, MATCH(E1814, Unit_Paths!$A$2:$A$4, 0)),0)</f>
        <v>2990</v>
      </c>
      <c r="K1814" s="6" t="n">
        <f aca="false">ROUND(INDEX(Archetypes!$H$2:$H$127, MATCH(D1814, Archetypes!$A$2:$A$127, 0))*INDEX(Unit_Paths!$E$2:$E$4, MATCH(E1814, Unit_Paths!$A$2:$A$4, 0)),1)</f>
        <v>53.4</v>
      </c>
      <c r="L1814" s="6" t="n">
        <f aca="false">ROUND(INDEX(Archetypes!$I$2:$I$127, MATCH(D1814, Archetypes!$A$2:$A$127, 0))*INDEX(Unit_Grades!$C$2:$C$7, MATCH(F1814, Unit_Grades!$A$2:$A$7, 0)),1)</f>
        <v>44</v>
      </c>
      <c r="M1814" s="6" t="n">
        <f aca="false">ROUND(INDEX(Archetypes!$J$2:$J$127, MATCH(D1814, Archetypes!$A$2:$A$127, 0))*INDEX(Unit_Grades!$D$2:$D$7, MATCH(F1814, Unit_Grades!$A$2:$A$7, 0)),1)</f>
        <v>17.9</v>
      </c>
      <c r="N1814" s="6" t="n">
        <f aca="false">ROUND(M1814/24,2)</f>
        <v>0.75</v>
      </c>
    </row>
    <row r="1815" customFormat="false" ht="15" hidden="false" customHeight="true" outlineLevel="0" collapsed="false">
      <c r="A1815" s="6" t="n">
        <v>6</v>
      </c>
      <c r="B1815" s="6" t="s">
        <v>3282</v>
      </c>
      <c r="C1815" s="6" t="s">
        <v>1480</v>
      </c>
      <c r="D1815" s="6" t="str">
        <f aca="false">A1815&amp;"|"&amp;C1815</f>
        <v>6|Hauler Convoy</v>
      </c>
      <c r="E1815" s="6" t="s">
        <v>1560</v>
      </c>
      <c r="F1815" s="6" t="s">
        <v>1540</v>
      </c>
      <c r="G1815" s="6" t="str">
        <f aca="false">INDEX(Archetypes!$D$2:$D$127, MATCH(D1815, Archetypes!$A$2:$A$127, 0))</f>
        <v>Logistics</v>
      </c>
      <c r="H1815" s="6" t="n">
        <f aca="false">ROUND(INDEX(Archetypes!$E$2:$E$127, MATCH(D1815, Archetypes!$A$2:$A$127, 0))*INDEX(Unit_Grades!$B$2:$B$7, MATCH(F1815, Unit_Grades!$A$2:$A$7, 0))*INDEX(Unit_Paths!$B$2:$B$4, MATCH(E1815, Unit_Paths!$A$2:$A$4, 0)),1)</f>
        <v>91.8</v>
      </c>
      <c r="I1815" s="6" t="n">
        <f aca="false">ROUND(INDEX(Archetypes!$F$2:$F$127, MATCH(D1815, Archetypes!$A$2:$A$127, 0))*INDEX(Unit_Grades!$B$2:$B$7, MATCH(F1815, Unit_Grades!$A$2:$A$7, 0))*INDEX(Unit_Paths!$C$2:$C$4, MATCH(E1815, Unit_Paths!$A$2:$A$4, 0)),1)</f>
        <v>607.5</v>
      </c>
      <c r="J1815" s="6" t="n">
        <f aca="false">ROUND(INDEX(Archetypes!$G$2:$G$127, MATCH(D1815, Archetypes!$A$2:$A$127, 0))*INDEX(Unit_Grades!$B$2:$B$7, MATCH(F1815, Unit_Grades!$A$2:$A$7, 0))*INDEX(Unit_Paths!$D$2:$D$4, MATCH(E1815, Unit_Paths!$A$2:$A$4, 0)),0)</f>
        <v>4037</v>
      </c>
      <c r="K1815" s="6" t="n">
        <f aca="false">ROUND(INDEX(Archetypes!$H$2:$H$127, MATCH(D1815, Archetypes!$A$2:$A$127, 0))*INDEX(Unit_Paths!$E$2:$E$4, MATCH(E1815, Unit_Paths!$A$2:$A$4, 0)),1)</f>
        <v>53.4</v>
      </c>
      <c r="L1815" s="6" t="n">
        <f aca="false">ROUND(INDEX(Archetypes!$I$2:$I$127, MATCH(D1815, Archetypes!$A$2:$A$127, 0))*INDEX(Unit_Grades!$C$2:$C$7, MATCH(F1815, Unit_Grades!$A$2:$A$7, 0)),1)</f>
        <v>55</v>
      </c>
      <c r="M1815" s="6" t="n">
        <f aca="false">ROUND(INDEX(Archetypes!$J$2:$J$127, MATCH(D1815, Archetypes!$A$2:$A$127, 0))*INDEX(Unit_Grades!$D$2:$D$7, MATCH(F1815, Unit_Grades!$A$2:$A$7, 0)),1)</f>
        <v>26.8</v>
      </c>
      <c r="N1815" s="6" t="n">
        <f aca="false">ROUND(M1815/24,2)</f>
        <v>1.12</v>
      </c>
    </row>
    <row r="1816" customFormat="false" ht="15" hidden="false" customHeight="true" outlineLevel="0" collapsed="false">
      <c r="A1816" s="6" t="n">
        <v>6</v>
      </c>
      <c r="B1816" s="6" t="s">
        <v>3283</v>
      </c>
      <c r="C1816" s="6" t="s">
        <v>1480</v>
      </c>
      <c r="D1816" s="6" t="str">
        <f aca="false">A1816&amp;"|"&amp;C1816</f>
        <v>6|Hauler Convoy</v>
      </c>
      <c r="E1816" s="6" t="s">
        <v>1560</v>
      </c>
      <c r="F1816" s="6" t="s">
        <v>1542</v>
      </c>
      <c r="G1816" s="6" t="str">
        <f aca="false">INDEX(Archetypes!$D$2:$D$127, MATCH(D1816, Archetypes!$A$2:$A$127, 0))</f>
        <v>Logistics</v>
      </c>
      <c r="H1816" s="6" t="n">
        <f aca="false">ROUND(INDEX(Archetypes!$E$2:$E$127, MATCH(D1816, Archetypes!$A$2:$A$127, 0))*INDEX(Unit_Grades!$B$2:$B$7, MATCH(F1816, Unit_Grades!$A$2:$A$7, 0))*INDEX(Unit_Paths!$B$2:$B$4, MATCH(E1816, Unit_Paths!$A$2:$A$4, 0)),1)</f>
        <v>122.4</v>
      </c>
      <c r="I1816" s="6" t="n">
        <f aca="false">ROUND(INDEX(Archetypes!$F$2:$F$127, MATCH(D1816, Archetypes!$A$2:$A$127, 0))*INDEX(Unit_Grades!$B$2:$B$7, MATCH(F1816, Unit_Grades!$A$2:$A$7, 0))*INDEX(Unit_Paths!$C$2:$C$4, MATCH(E1816, Unit_Paths!$A$2:$A$4, 0)),1)</f>
        <v>810</v>
      </c>
      <c r="J1816" s="6" t="n">
        <f aca="false">ROUND(INDEX(Archetypes!$G$2:$G$127, MATCH(D1816, Archetypes!$A$2:$A$127, 0))*INDEX(Unit_Grades!$B$2:$B$7, MATCH(F1816, Unit_Grades!$A$2:$A$7, 0))*INDEX(Unit_Paths!$D$2:$D$4, MATCH(E1816, Unit_Paths!$A$2:$A$4, 0)),0)</f>
        <v>5382</v>
      </c>
      <c r="K1816" s="6" t="n">
        <f aca="false">ROUND(INDEX(Archetypes!$H$2:$H$127, MATCH(D1816, Archetypes!$A$2:$A$127, 0))*INDEX(Unit_Paths!$E$2:$E$4, MATCH(E1816, Unit_Paths!$A$2:$A$4, 0)),1)</f>
        <v>53.4</v>
      </c>
      <c r="L1816" s="6" t="n">
        <f aca="false">ROUND(INDEX(Archetypes!$I$2:$I$127, MATCH(D1816, Archetypes!$A$2:$A$127, 0))*INDEX(Unit_Grades!$C$2:$C$7, MATCH(F1816, Unit_Grades!$A$2:$A$7, 0)),1)</f>
        <v>70.4</v>
      </c>
      <c r="M1816" s="6" t="n">
        <f aca="false">ROUND(INDEX(Archetypes!$J$2:$J$127, MATCH(D1816, Archetypes!$A$2:$A$127, 0))*INDEX(Unit_Grades!$D$2:$D$7, MATCH(F1816, Unit_Grades!$A$2:$A$7, 0)),1)</f>
        <v>44.7</v>
      </c>
      <c r="N1816" s="6" t="n">
        <f aca="false">ROUND(M1816/24,2)</f>
        <v>1.86</v>
      </c>
    </row>
    <row r="1817" customFormat="false" ht="15" hidden="false" customHeight="true" outlineLevel="0" collapsed="false">
      <c r="A1817" s="6" t="n">
        <v>6</v>
      </c>
      <c r="B1817" s="6" t="s">
        <v>3284</v>
      </c>
      <c r="C1817" s="6" t="s">
        <v>1480</v>
      </c>
      <c r="D1817" s="6" t="str">
        <f aca="false">A1817&amp;"|"&amp;C1817</f>
        <v>6|Hauler Convoy</v>
      </c>
      <c r="E1817" s="6" t="s">
        <v>1560</v>
      </c>
      <c r="F1817" s="6" t="s">
        <v>1544</v>
      </c>
      <c r="G1817" s="6" t="str">
        <f aca="false">INDEX(Archetypes!$D$2:$D$127, MATCH(D1817, Archetypes!$A$2:$A$127, 0))</f>
        <v>Logistics</v>
      </c>
      <c r="H1817" s="6" t="n">
        <f aca="false">ROUND(INDEX(Archetypes!$E$2:$E$127, MATCH(D1817, Archetypes!$A$2:$A$127, 0))*INDEX(Unit_Grades!$B$2:$B$7, MATCH(F1817, Unit_Grades!$A$2:$A$7, 0))*INDEX(Unit_Paths!$B$2:$B$4, MATCH(E1817, Unit_Paths!$A$2:$A$4, 0)),1)</f>
        <v>163.2</v>
      </c>
      <c r="I1817" s="6" t="n">
        <f aca="false">ROUND(INDEX(Archetypes!$F$2:$F$127, MATCH(D1817, Archetypes!$A$2:$A$127, 0))*INDEX(Unit_Grades!$B$2:$B$7, MATCH(F1817, Unit_Grades!$A$2:$A$7, 0))*INDEX(Unit_Paths!$C$2:$C$4, MATCH(E1817, Unit_Paths!$A$2:$A$4, 0)),1)</f>
        <v>1080</v>
      </c>
      <c r="J1817" s="6" t="n">
        <f aca="false">ROUND(INDEX(Archetypes!$G$2:$G$127, MATCH(D1817, Archetypes!$A$2:$A$127, 0))*INDEX(Unit_Grades!$B$2:$B$7, MATCH(F1817, Unit_Grades!$A$2:$A$7, 0))*INDEX(Unit_Paths!$D$2:$D$4, MATCH(E1817, Unit_Paths!$A$2:$A$4, 0)),0)</f>
        <v>7176</v>
      </c>
      <c r="K1817" s="6" t="n">
        <f aca="false">ROUND(INDEX(Archetypes!$H$2:$H$127, MATCH(D1817, Archetypes!$A$2:$A$127, 0))*INDEX(Unit_Paths!$E$2:$E$4, MATCH(E1817, Unit_Paths!$A$2:$A$4, 0)),1)</f>
        <v>53.4</v>
      </c>
      <c r="L1817" s="6" t="n">
        <f aca="false">ROUND(INDEX(Archetypes!$I$2:$I$127, MATCH(D1817, Archetypes!$A$2:$A$127, 0))*INDEX(Unit_Grades!$C$2:$C$7, MATCH(F1817, Unit_Grades!$A$2:$A$7, 0)),1)</f>
        <v>92.4</v>
      </c>
      <c r="M1817" s="6" t="n">
        <f aca="false">ROUND(INDEX(Archetypes!$J$2:$J$127, MATCH(D1817, Archetypes!$A$2:$A$127, 0))*INDEX(Unit_Grades!$D$2:$D$7, MATCH(F1817, Unit_Grades!$A$2:$A$7, 0)),1)</f>
        <v>71.4</v>
      </c>
      <c r="N1817" s="6" t="n">
        <f aca="false">ROUND(M1817/24,2)</f>
        <v>2.98</v>
      </c>
    </row>
    <row r="1818" customFormat="false" ht="15" hidden="false" customHeight="true" outlineLevel="0" collapsed="false">
      <c r="A1818" s="6" t="n">
        <v>6</v>
      </c>
      <c r="B1818" s="6" t="s">
        <v>3285</v>
      </c>
      <c r="C1818" s="6" t="s">
        <v>1480</v>
      </c>
      <c r="D1818" s="6" t="str">
        <f aca="false">A1818&amp;"|"&amp;C1818</f>
        <v>6|Hauler Convoy</v>
      </c>
      <c r="E1818" s="6" t="s">
        <v>1560</v>
      </c>
      <c r="F1818" s="6" t="s">
        <v>1546</v>
      </c>
      <c r="G1818" s="6" t="str">
        <f aca="false">INDEX(Archetypes!$D$2:$D$127, MATCH(D1818, Archetypes!$A$2:$A$127, 0))</f>
        <v>Logistics</v>
      </c>
      <c r="H1818" s="6" t="n">
        <f aca="false">ROUND(INDEX(Archetypes!$E$2:$E$127, MATCH(D1818, Archetypes!$A$2:$A$127, 0))*INDEX(Unit_Grades!$B$2:$B$7, MATCH(F1818, Unit_Grades!$A$2:$A$7, 0))*INDEX(Unit_Paths!$B$2:$B$4, MATCH(E1818, Unit_Paths!$A$2:$A$4, 0)),1)</f>
        <v>217.6</v>
      </c>
      <c r="I1818" s="6" t="n">
        <f aca="false">ROUND(INDEX(Archetypes!$F$2:$F$127, MATCH(D1818, Archetypes!$A$2:$A$127, 0))*INDEX(Unit_Grades!$B$2:$B$7, MATCH(F1818, Unit_Grades!$A$2:$A$7, 0))*INDEX(Unit_Paths!$C$2:$C$4, MATCH(E1818, Unit_Paths!$A$2:$A$4, 0)),1)</f>
        <v>1440</v>
      </c>
      <c r="J1818" s="6" t="n">
        <f aca="false">ROUND(INDEX(Archetypes!$G$2:$G$127, MATCH(D1818, Archetypes!$A$2:$A$127, 0))*INDEX(Unit_Grades!$B$2:$B$7, MATCH(F1818, Unit_Grades!$A$2:$A$7, 0))*INDEX(Unit_Paths!$D$2:$D$4, MATCH(E1818, Unit_Paths!$A$2:$A$4, 0)),0)</f>
        <v>9568</v>
      </c>
      <c r="K1818" s="6" t="n">
        <f aca="false">ROUND(INDEX(Archetypes!$H$2:$H$127, MATCH(D1818, Archetypes!$A$2:$A$127, 0))*INDEX(Unit_Paths!$E$2:$E$4, MATCH(E1818, Unit_Paths!$A$2:$A$4, 0)),1)</f>
        <v>53.4</v>
      </c>
      <c r="L1818" s="6" t="n">
        <f aca="false">ROUND(INDEX(Archetypes!$I$2:$I$127, MATCH(D1818, Archetypes!$A$2:$A$127, 0))*INDEX(Unit_Grades!$C$2:$C$7, MATCH(F1818, Unit_Grades!$A$2:$A$7, 0)),1)</f>
        <v>123.2</v>
      </c>
      <c r="M1818" s="6" t="n">
        <f aca="false">ROUND(INDEX(Archetypes!$J$2:$J$127, MATCH(D1818, Archetypes!$A$2:$A$127, 0))*INDEX(Unit_Grades!$D$2:$D$7, MATCH(F1818, Unit_Grades!$A$2:$A$7, 0)),1)</f>
        <v>125</v>
      </c>
      <c r="N1818" s="6" t="n">
        <f aca="false">ROUND(M1818/24,2)</f>
        <v>5.21</v>
      </c>
    </row>
    <row r="1819" customFormat="false" ht="15" hidden="false" customHeight="true" outlineLevel="0" collapsed="false">
      <c r="A1819" s="6" t="n">
        <v>6</v>
      </c>
      <c r="B1819" s="6" t="s">
        <v>3286</v>
      </c>
      <c r="C1819" s="6" t="s">
        <v>1480</v>
      </c>
      <c r="D1819" s="6" t="str">
        <f aca="false">A1819&amp;"|"&amp;C1819</f>
        <v>6|Hauler Convoy</v>
      </c>
      <c r="E1819" s="6" t="s">
        <v>1560</v>
      </c>
      <c r="F1819" s="6" t="s">
        <v>1548</v>
      </c>
      <c r="G1819" s="6" t="str">
        <f aca="false">INDEX(Archetypes!$D$2:$D$127, MATCH(D1819, Archetypes!$A$2:$A$127, 0))</f>
        <v>Logistics</v>
      </c>
      <c r="H1819" s="6" t="n">
        <f aca="false">ROUND(INDEX(Archetypes!$E$2:$E$127, MATCH(D1819, Archetypes!$A$2:$A$127, 0))*INDEX(Unit_Grades!$B$2:$B$7, MATCH(F1819, Unit_Grades!$A$2:$A$7, 0))*INDEX(Unit_Paths!$B$2:$B$4, MATCH(E1819, Unit_Paths!$A$2:$A$4, 0)),1)</f>
        <v>285.6</v>
      </c>
      <c r="I1819" s="6" t="n">
        <f aca="false">ROUND(INDEX(Archetypes!$F$2:$F$127, MATCH(D1819, Archetypes!$A$2:$A$127, 0))*INDEX(Unit_Grades!$B$2:$B$7, MATCH(F1819, Unit_Grades!$A$2:$A$7, 0))*INDEX(Unit_Paths!$C$2:$C$4, MATCH(E1819, Unit_Paths!$A$2:$A$4, 0)),1)</f>
        <v>1890</v>
      </c>
      <c r="J1819" s="6" t="n">
        <f aca="false">ROUND(INDEX(Archetypes!$G$2:$G$127, MATCH(D1819, Archetypes!$A$2:$A$127, 0))*INDEX(Unit_Grades!$B$2:$B$7, MATCH(F1819, Unit_Grades!$A$2:$A$7, 0))*INDEX(Unit_Paths!$D$2:$D$4, MATCH(E1819, Unit_Paths!$A$2:$A$4, 0)),0)</f>
        <v>12558</v>
      </c>
      <c r="K1819" s="6" t="n">
        <f aca="false">ROUND(INDEX(Archetypes!$H$2:$H$127, MATCH(D1819, Archetypes!$A$2:$A$127, 0))*INDEX(Unit_Paths!$E$2:$E$4, MATCH(E1819, Unit_Paths!$A$2:$A$4, 0)),1)</f>
        <v>53.4</v>
      </c>
      <c r="L1819" s="6" t="n">
        <f aca="false">ROUND(INDEX(Archetypes!$I$2:$I$127, MATCH(D1819, Archetypes!$A$2:$A$127, 0))*INDEX(Unit_Grades!$C$2:$C$7, MATCH(F1819, Unit_Grades!$A$2:$A$7, 0)),1)</f>
        <v>162.8</v>
      </c>
      <c r="M1819" s="6" t="n">
        <f aca="false">ROUND(INDEX(Archetypes!$J$2:$J$127, MATCH(D1819, Archetypes!$A$2:$A$127, 0))*INDEX(Unit_Grades!$D$2:$D$7, MATCH(F1819, Unit_Grades!$A$2:$A$7, 0)),1)</f>
        <v>214.3</v>
      </c>
      <c r="N1819" s="6" t="n">
        <f aca="false">ROUND(M1819/24,2)</f>
        <v>8.93</v>
      </c>
    </row>
    <row r="1820" customFormat="false" ht="15" hidden="false" customHeight="true" outlineLevel="0" collapsed="false">
      <c r="A1820" s="6" t="n">
        <v>6</v>
      </c>
      <c r="B1820" s="6" t="s">
        <v>1482</v>
      </c>
      <c r="C1820" s="6" t="s">
        <v>1482</v>
      </c>
      <c r="D1820" s="6" t="str">
        <f aca="false">A1820&amp;"|"&amp;C1820</f>
        <v>6|Gate Engineer</v>
      </c>
      <c r="E1820" s="6" t="s">
        <v>1556</v>
      </c>
      <c r="F1820" s="6" t="s">
        <v>1538</v>
      </c>
      <c r="G1820" s="6" t="str">
        <f aca="false">INDEX(Archetypes!$D$2:$D$127, MATCH(D1820, Archetypes!$A$2:$A$127, 0))</f>
        <v>Support</v>
      </c>
      <c r="H1820" s="6" t="n">
        <f aca="false">ROUND(INDEX(Archetypes!$E$2:$E$127, MATCH(D1820, Archetypes!$A$2:$A$127, 0))*INDEX(Unit_Grades!$B$2:$B$7, MATCH(F1820, Unit_Grades!$A$2:$A$7, 0))*INDEX(Unit_Paths!$B$2:$B$4, MATCH(E1820, Unit_Paths!$A$2:$A$4, 0)),1)</f>
        <v>120</v>
      </c>
      <c r="I1820" s="6" t="n">
        <f aca="false">ROUND(INDEX(Archetypes!$F$2:$F$127, MATCH(D1820, Archetypes!$A$2:$A$127, 0))*INDEX(Unit_Grades!$B$2:$B$7, MATCH(F1820, Unit_Grades!$A$2:$A$7, 0))*INDEX(Unit_Paths!$C$2:$C$4, MATCH(E1820, Unit_Paths!$A$2:$A$4, 0)),1)</f>
        <v>340</v>
      </c>
      <c r="J1820" s="6" t="n">
        <f aca="false">ROUND(INDEX(Archetypes!$G$2:$G$127, MATCH(D1820, Archetypes!$A$2:$A$127, 0))*INDEX(Unit_Grades!$B$2:$B$7, MATCH(F1820, Unit_Grades!$A$2:$A$7, 0))*INDEX(Unit_Paths!$D$2:$D$4, MATCH(E1820, Unit_Paths!$A$2:$A$4, 0)),0)</f>
        <v>1600</v>
      </c>
      <c r="K1820" s="6" t="n">
        <f aca="false">ROUND(INDEX(Archetypes!$H$2:$H$127, MATCH(D1820, Archetypes!$A$2:$A$127, 0))*INDEX(Unit_Paths!$E$2:$E$4, MATCH(E1820, Unit_Paths!$A$2:$A$4, 0)),1)</f>
        <v>56</v>
      </c>
      <c r="L1820" s="6" t="n">
        <f aca="false">ROUND(INDEX(Archetypes!$I$2:$I$127, MATCH(D1820, Archetypes!$A$2:$A$127, 0))*INDEX(Unit_Grades!$C$2:$C$7, MATCH(F1820, Unit_Grades!$A$2:$A$7, 0)),1)</f>
        <v>44</v>
      </c>
      <c r="M1820" s="6" t="n">
        <f aca="false">ROUND(INDEX(Archetypes!$J$2:$J$127, MATCH(D1820, Archetypes!$A$2:$A$127, 0))*INDEX(Unit_Grades!$D$2:$D$7, MATCH(F1820, Unit_Grades!$A$2:$A$7, 0)),1)</f>
        <v>17.9</v>
      </c>
      <c r="N1820" s="6" t="n">
        <f aca="false">ROUND(M1820/24,2)</f>
        <v>0.75</v>
      </c>
    </row>
    <row r="1821" customFormat="false" ht="15" hidden="false" customHeight="true" outlineLevel="0" collapsed="false">
      <c r="A1821" s="6" t="n">
        <v>6</v>
      </c>
      <c r="B1821" s="6" t="s">
        <v>3287</v>
      </c>
      <c r="C1821" s="6" t="s">
        <v>1482</v>
      </c>
      <c r="D1821" s="6" t="str">
        <f aca="false">A1821&amp;"|"&amp;C1821</f>
        <v>6|Gate Engineer</v>
      </c>
      <c r="E1821" s="6" t="s">
        <v>1556</v>
      </c>
      <c r="F1821" s="6" t="s">
        <v>1540</v>
      </c>
      <c r="G1821" s="6" t="str">
        <f aca="false">INDEX(Archetypes!$D$2:$D$127, MATCH(D1821, Archetypes!$A$2:$A$127, 0))</f>
        <v>Support</v>
      </c>
      <c r="H1821" s="6" t="n">
        <f aca="false">ROUND(INDEX(Archetypes!$E$2:$E$127, MATCH(D1821, Archetypes!$A$2:$A$127, 0))*INDEX(Unit_Grades!$B$2:$B$7, MATCH(F1821, Unit_Grades!$A$2:$A$7, 0))*INDEX(Unit_Paths!$B$2:$B$4, MATCH(E1821, Unit_Paths!$A$2:$A$4, 0)),1)</f>
        <v>162</v>
      </c>
      <c r="I1821" s="6" t="n">
        <f aca="false">ROUND(INDEX(Archetypes!$F$2:$F$127, MATCH(D1821, Archetypes!$A$2:$A$127, 0))*INDEX(Unit_Grades!$B$2:$B$7, MATCH(F1821, Unit_Grades!$A$2:$A$7, 0))*INDEX(Unit_Paths!$C$2:$C$4, MATCH(E1821, Unit_Paths!$A$2:$A$4, 0)),1)</f>
        <v>459</v>
      </c>
      <c r="J1821" s="6" t="n">
        <f aca="false">ROUND(INDEX(Archetypes!$G$2:$G$127, MATCH(D1821, Archetypes!$A$2:$A$127, 0))*INDEX(Unit_Grades!$B$2:$B$7, MATCH(F1821, Unit_Grades!$A$2:$A$7, 0))*INDEX(Unit_Paths!$D$2:$D$4, MATCH(E1821, Unit_Paths!$A$2:$A$4, 0)),0)</f>
        <v>2160</v>
      </c>
      <c r="K1821" s="6" t="n">
        <f aca="false">ROUND(INDEX(Archetypes!$H$2:$H$127, MATCH(D1821, Archetypes!$A$2:$A$127, 0))*INDEX(Unit_Paths!$E$2:$E$4, MATCH(E1821, Unit_Paths!$A$2:$A$4, 0)),1)</f>
        <v>56</v>
      </c>
      <c r="L1821" s="6" t="n">
        <f aca="false">ROUND(INDEX(Archetypes!$I$2:$I$127, MATCH(D1821, Archetypes!$A$2:$A$127, 0))*INDEX(Unit_Grades!$C$2:$C$7, MATCH(F1821, Unit_Grades!$A$2:$A$7, 0)),1)</f>
        <v>55</v>
      </c>
      <c r="M1821" s="6" t="n">
        <f aca="false">ROUND(INDEX(Archetypes!$J$2:$J$127, MATCH(D1821, Archetypes!$A$2:$A$127, 0))*INDEX(Unit_Grades!$D$2:$D$7, MATCH(F1821, Unit_Grades!$A$2:$A$7, 0)),1)</f>
        <v>26.8</v>
      </c>
      <c r="N1821" s="6" t="n">
        <f aca="false">ROUND(M1821/24,2)</f>
        <v>1.12</v>
      </c>
    </row>
    <row r="1822" customFormat="false" ht="15" hidden="false" customHeight="true" outlineLevel="0" collapsed="false">
      <c r="A1822" s="6" t="n">
        <v>6</v>
      </c>
      <c r="B1822" s="6" t="s">
        <v>3288</v>
      </c>
      <c r="C1822" s="6" t="s">
        <v>1482</v>
      </c>
      <c r="D1822" s="6" t="str">
        <f aca="false">A1822&amp;"|"&amp;C1822</f>
        <v>6|Gate Engineer</v>
      </c>
      <c r="E1822" s="6" t="s">
        <v>1556</v>
      </c>
      <c r="F1822" s="6" t="s">
        <v>1542</v>
      </c>
      <c r="G1822" s="6" t="str">
        <f aca="false">INDEX(Archetypes!$D$2:$D$127, MATCH(D1822, Archetypes!$A$2:$A$127, 0))</f>
        <v>Support</v>
      </c>
      <c r="H1822" s="6" t="n">
        <f aca="false">ROUND(INDEX(Archetypes!$E$2:$E$127, MATCH(D1822, Archetypes!$A$2:$A$127, 0))*INDEX(Unit_Grades!$B$2:$B$7, MATCH(F1822, Unit_Grades!$A$2:$A$7, 0))*INDEX(Unit_Paths!$B$2:$B$4, MATCH(E1822, Unit_Paths!$A$2:$A$4, 0)),1)</f>
        <v>216</v>
      </c>
      <c r="I1822" s="6" t="n">
        <f aca="false">ROUND(INDEX(Archetypes!$F$2:$F$127, MATCH(D1822, Archetypes!$A$2:$A$127, 0))*INDEX(Unit_Grades!$B$2:$B$7, MATCH(F1822, Unit_Grades!$A$2:$A$7, 0))*INDEX(Unit_Paths!$C$2:$C$4, MATCH(E1822, Unit_Paths!$A$2:$A$4, 0)),1)</f>
        <v>612</v>
      </c>
      <c r="J1822" s="6" t="n">
        <f aca="false">ROUND(INDEX(Archetypes!$G$2:$G$127, MATCH(D1822, Archetypes!$A$2:$A$127, 0))*INDEX(Unit_Grades!$B$2:$B$7, MATCH(F1822, Unit_Grades!$A$2:$A$7, 0))*INDEX(Unit_Paths!$D$2:$D$4, MATCH(E1822, Unit_Paths!$A$2:$A$4, 0)),0)</f>
        <v>2880</v>
      </c>
      <c r="K1822" s="6" t="n">
        <f aca="false">ROUND(INDEX(Archetypes!$H$2:$H$127, MATCH(D1822, Archetypes!$A$2:$A$127, 0))*INDEX(Unit_Paths!$E$2:$E$4, MATCH(E1822, Unit_Paths!$A$2:$A$4, 0)),1)</f>
        <v>56</v>
      </c>
      <c r="L1822" s="6" t="n">
        <f aca="false">ROUND(INDEX(Archetypes!$I$2:$I$127, MATCH(D1822, Archetypes!$A$2:$A$127, 0))*INDEX(Unit_Grades!$C$2:$C$7, MATCH(F1822, Unit_Grades!$A$2:$A$7, 0)),1)</f>
        <v>70.4</v>
      </c>
      <c r="M1822" s="6" t="n">
        <f aca="false">ROUND(INDEX(Archetypes!$J$2:$J$127, MATCH(D1822, Archetypes!$A$2:$A$127, 0))*INDEX(Unit_Grades!$D$2:$D$7, MATCH(F1822, Unit_Grades!$A$2:$A$7, 0)),1)</f>
        <v>44.7</v>
      </c>
      <c r="N1822" s="6" t="n">
        <f aca="false">ROUND(M1822/24,2)</f>
        <v>1.86</v>
      </c>
    </row>
    <row r="1823" customFormat="false" ht="15" hidden="false" customHeight="true" outlineLevel="0" collapsed="false">
      <c r="A1823" s="6" t="n">
        <v>6</v>
      </c>
      <c r="B1823" s="6" t="s">
        <v>3289</v>
      </c>
      <c r="C1823" s="6" t="s">
        <v>1482</v>
      </c>
      <c r="D1823" s="6" t="str">
        <f aca="false">A1823&amp;"|"&amp;C1823</f>
        <v>6|Gate Engineer</v>
      </c>
      <c r="E1823" s="6" t="s">
        <v>1556</v>
      </c>
      <c r="F1823" s="6" t="s">
        <v>1544</v>
      </c>
      <c r="G1823" s="6" t="str">
        <f aca="false">INDEX(Archetypes!$D$2:$D$127, MATCH(D1823, Archetypes!$A$2:$A$127, 0))</f>
        <v>Support</v>
      </c>
      <c r="H1823" s="6" t="n">
        <f aca="false">ROUND(INDEX(Archetypes!$E$2:$E$127, MATCH(D1823, Archetypes!$A$2:$A$127, 0))*INDEX(Unit_Grades!$B$2:$B$7, MATCH(F1823, Unit_Grades!$A$2:$A$7, 0))*INDEX(Unit_Paths!$B$2:$B$4, MATCH(E1823, Unit_Paths!$A$2:$A$4, 0)),1)</f>
        <v>288</v>
      </c>
      <c r="I1823" s="6" t="n">
        <f aca="false">ROUND(INDEX(Archetypes!$F$2:$F$127, MATCH(D1823, Archetypes!$A$2:$A$127, 0))*INDEX(Unit_Grades!$B$2:$B$7, MATCH(F1823, Unit_Grades!$A$2:$A$7, 0))*INDEX(Unit_Paths!$C$2:$C$4, MATCH(E1823, Unit_Paths!$A$2:$A$4, 0)),1)</f>
        <v>816</v>
      </c>
      <c r="J1823" s="6" t="n">
        <f aca="false">ROUND(INDEX(Archetypes!$G$2:$G$127, MATCH(D1823, Archetypes!$A$2:$A$127, 0))*INDEX(Unit_Grades!$B$2:$B$7, MATCH(F1823, Unit_Grades!$A$2:$A$7, 0))*INDEX(Unit_Paths!$D$2:$D$4, MATCH(E1823, Unit_Paths!$A$2:$A$4, 0)),0)</f>
        <v>3840</v>
      </c>
      <c r="K1823" s="6" t="n">
        <f aca="false">ROUND(INDEX(Archetypes!$H$2:$H$127, MATCH(D1823, Archetypes!$A$2:$A$127, 0))*INDEX(Unit_Paths!$E$2:$E$4, MATCH(E1823, Unit_Paths!$A$2:$A$4, 0)),1)</f>
        <v>56</v>
      </c>
      <c r="L1823" s="6" t="n">
        <f aca="false">ROUND(INDEX(Archetypes!$I$2:$I$127, MATCH(D1823, Archetypes!$A$2:$A$127, 0))*INDEX(Unit_Grades!$C$2:$C$7, MATCH(F1823, Unit_Grades!$A$2:$A$7, 0)),1)</f>
        <v>92.4</v>
      </c>
      <c r="M1823" s="6" t="n">
        <f aca="false">ROUND(INDEX(Archetypes!$J$2:$J$127, MATCH(D1823, Archetypes!$A$2:$A$127, 0))*INDEX(Unit_Grades!$D$2:$D$7, MATCH(F1823, Unit_Grades!$A$2:$A$7, 0)),1)</f>
        <v>71.4</v>
      </c>
      <c r="N1823" s="6" t="n">
        <f aca="false">ROUND(M1823/24,2)</f>
        <v>2.98</v>
      </c>
    </row>
    <row r="1824" customFormat="false" ht="15" hidden="false" customHeight="true" outlineLevel="0" collapsed="false">
      <c r="A1824" s="6" t="n">
        <v>6</v>
      </c>
      <c r="B1824" s="6" t="s">
        <v>3290</v>
      </c>
      <c r="C1824" s="6" t="s">
        <v>1482</v>
      </c>
      <c r="D1824" s="6" t="str">
        <f aca="false">A1824&amp;"|"&amp;C1824</f>
        <v>6|Gate Engineer</v>
      </c>
      <c r="E1824" s="6" t="s">
        <v>1556</v>
      </c>
      <c r="F1824" s="6" t="s">
        <v>1546</v>
      </c>
      <c r="G1824" s="6" t="str">
        <f aca="false">INDEX(Archetypes!$D$2:$D$127, MATCH(D1824, Archetypes!$A$2:$A$127, 0))</f>
        <v>Support</v>
      </c>
      <c r="H1824" s="6" t="n">
        <f aca="false">ROUND(INDEX(Archetypes!$E$2:$E$127, MATCH(D1824, Archetypes!$A$2:$A$127, 0))*INDEX(Unit_Grades!$B$2:$B$7, MATCH(F1824, Unit_Grades!$A$2:$A$7, 0))*INDEX(Unit_Paths!$B$2:$B$4, MATCH(E1824, Unit_Paths!$A$2:$A$4, 0)),1)</f>
        <v>384</v>
      </c>
      <c r="I1824" s="6" t="n">
        <f aca="false">ROUND(INDEX(Archetypes!$F$2:$F$127, MATCH(D1824, Archetypes!$A$2:$A$127, 0))*INDEX(Unit_Grades!$B$2:$B$7, MATCH(F1824, Unit_Grades!$A$2:$A$7, 0))*INDEX(Unit_Paths!$C$2:$C$4, MATCH(E1824, Unit_Paths!$A$2:$A$4, 0)),1)</f>
        <v>1088</v>
      </c>
      <c r="J1824" s="6" t="n">
        <f aca="false">ROUND(INDEX(Archetypes!$G$2:$G$127, MATCH(D1824, Archetypes!$A$2:$A$127, 0))*INDEX(Unit_Grades!$B$2:$B$7, MATCH(F1824, Unit_Grades!$A$2:$A$7, 0))*INDEX(Unit_Paths!$D$2:$D$4, MATCH(E1824, Unit_Paths!$A$2:$A$4, 0)),0)</f>
        <v>5120</v>
      </c>
      <c r="K1824" s="6" t="n">
        <f aca="false">ROUND(INDEX(Archetypes!$H$2:$H$127, MATCH(D1824, Archetypes!$A$2:$A$127, 0))*INDEX(Unit_Paths!$E$2:$E$4, MATCH(E1824, Unit_Paths!$A$2:$A$4, 0)),1)</f>
        <v>56</v>
      </c>
      <c r="L1824" s="6" t="n">
        <f aca="false">ROUND(INDEX(Archetypes!$I$2:$I$127, MATCH(D1824, Archetypes!$A$2:$A$127, 0))*INDEX(Unit_Grades!$C$2:$C$7, MATCH(F1824, Unit_Grades!$A$2:$A$7, 0)),1)</f>
        <v>123.2</v>
      </c>
      <c r="M1824" s="6" t="n">
        <f aca="false">ROUND(INDEX(Archetypes!$J$2:$J$127, MATCH(D1824, Archetypes!$A$2:$A$127, 0))*INDEX(Unit_Grades!$D$2:$D$7, MATCH(F1824, Unit_Grades!$A$2:$A$7, 0)),1)</f>
        <v>125</v>
      </c>
      <c r="N1824" s="6" t="n">
        <f aca="false">ROUND(M1824/24,2)</f>
        <v>5.21</v>
      </c>
    </row>
    <row r="1825" customFormat="false" ht="15" hidden="false" customHeight="true" outlineLevel="0" collapsed="false">
      <c r="A1825" s="6" t="n">
        <v>6</v>
      </c>
      <c r="B1825" s="6" t="s">
        <v>3291</v>
      </c>
      <c r="C1825" s="6" t="s">
        <v>1482</v>
      </c>
      <c r="D1825" s="6" t="str">
        <f aca="false">A1825&amp;"|"&amp;C1825</f>
        <v>6|Gate Engineer</v>
      </c>
      <c r="E1825" s="6" t="s">
        <v>1556</v>
      </c>
      <c r="F1825" s="6" t="s">
        <v>1548</v>
      </c>
      <c r="G1825" s="6" t="str">
        <f aca="false">INDEX(Archetypes!$D$2:$D$127, MATCH(D1825, Archetypes!$A$2:$A$127, 0))</f>
        <v>Support</v>
      </c>
      <c r="H1825" s="6" t="n">
        <f aca="false">ROUND(INDEX(Archetypes!$E$2:$E$127, MATCH(D1825, Archetypes!$A$2:$A$127, 0))*INDEX(Unit_Grades!$B$2:$B$7, MATCH(F1825, Unit_Grades!$A$2:$A$7, 0))*INDEX(Unit_Paths!$B$2:$B$4, MATCH(E1825, Unit_Paths!$A$2:$A$4, 0)),1)</f>
        <v>504</v>
      </c>
      <c r="I1825" s="6" t="n">
        <f aca="false">ROUND(INDEX(Archetypes!$F$2:$F$127, MATCH(D1825, Archetypes!$A$2:$A$127, 0))*INDEX(Unit_Grades!$B$2:$B$7, MATCH(F1825, Unit_Grades!$A$2:$A$7, 0))*INDEX(Unit_Paths!$C$2:$C$4, MATCH(E1825, Unit_Paths!$A$2:$A$4, 0)),1)</f>
        <v>1428</v>
      </c>
      <c r="J1825" s="6" t="n">
        <f aca="false">ROUND(INDEX(Archetypes!$G$2:$G$127, MATCH(D1825, Archetypes!$A$2:$A$127, 0))*INDEX(Unit_Grades!$B$2:$B$7, MATCH(F1825, Unit_Grades!$A$2:$A$7, 0))*INDEX(Unit_Paths!$D$2:$D$4, MATCH(E1825, Unit_Paths!$A$2:$A$4, 0)),0)</f>
        <v>6720</v>
      </c>
      <c r="K1825" s="6" t="n">
        <f aca="false">ROUND(INDEX(Archetypes!$H$2:$H$127, MATCH(D1825, Archetypes!$A$2:$A$127, 0))*INDEX(Unit_Paths!$E$2:$E$4, MATCH(E1825, Unit_Paths!$A$2:$A$4, 0)),1)</f>
        <v>56</v>
      </c>
      <c r="L1825" s="6" t="n">
        <f aca="false">ROUND(INDEX(Archetypes!$I$2:$I$127, MATCH(D1825, Archetypes!$A$2:$A$127, 0))*INDEX(Unit_Grades!$C$2:$C$7, MATCH(F1825, Unit_Grades!$A$2:$A$7, 0)),1)</f>
        <v>162.8</v>
      </c>
      <c r="M1825" s="6" t="n">
        <f aca="false">ROUND(INDEX(Archetypes!$J$2:$J$127, MATCH(D1825, Archetypes!$A$2:$A$127, 0))*INDEX(Unit_Grades!$D$2:$D$7, MATCH(F1825, Unit_Grades!$A$2:$A$7, 0)),1)</f>
        <v>214.3</v>
      </c>
      <c r="N1825" s="6" t="n">
        <f aca="false">ROUND(M1825/24,2)</f>
        <v>8.93</v>
      </c>
    </row>
    <row r="1826" customFormat="false" ht="15" hidden="false" customHeight="true" outlineLevel="0" collapsed="false">
      <c r="A1826" s="6" t="n">
        <v>6</v>
      </c>
      <c r="B1826" s="6" t="s">
        <v>3292</v>
      </c>
      <c r="C1826" s="6" t="s">
        <v>1482</v>
      </c>
      <c r="D1826" s="6" t="str">
        <f aca="false">A1826&amp;"|"&amp;C1826</f>
        <v>6|Gate Engineer</v>
      </c>
      <c r="E1826" s="6" t="s">
        <v>1558</v>
      </c>
      <c r="F1826" s="6" t="s">
        <v>1538</v>
      </c>
      <c r="G1826" s="6" t="str">
        <f aca="false">INDEX(Archetypes!$D$2:$D$127, MATCH(D1826, Archetypes!$A$2:$A$127, 0))</f>
        <v>Support</v>
      </c>
      <c r="H1826" s="6" t="n">
        <f aca="false">ROUND(INDEX(Archetypes!$E$2:$E$127, MATCH(D1826, Archetypes!$A$2:$A$127, 0))*INDEX(Unit_Grades!$B$2:$B$7, MATCH(F1826, Unit_Grades!$A$2:$A$7, 0))*INDEX(Unit_Paths!$B$2:$B$4, MATCH(E1826, Unit_Paths!$A$2:$A$4, 0)),1)</f>
        <v>144</v>
      </c>
      <c r="I1826" s="6" t="n">
        <f aca="false">ROUND(INDEX(Archetypes!$F$2:$F$127, MATCH(D1826, Archetypes!$A$2:$A$127, 0))*INDEX(Unit_Grades!$B$2:$B$7, MATCH(F1826, Unit_Grades!$A$2:$A$7, 0))*INDEX(Unit_Paths!$C$2:$C$4, MATCH(E1826, Unit_Paths!$A$2:$A$4, 0)),1)</f>
        <v>289</v>
      </c>
      <c r="J1826" s="6" t="n">
        <f aca="false">ROUND(INDEX(Archetypes!$G$2:$G$127, MATCH(D1826, Archetypes!$A$2:$A$127, 0))*INDEX(Unit_Grades!$B$2:$B$7, MATCH(F1826, Unit_Grades!$A$2:$A$7, 0))*INDEX(Unit_Paths!$D$2:$D$4, MATCH(E1826, Unit_Paths!$A$2:$A$4, 0)),0)</f>
        <v>1520</v>
      </c>
      <c r="K1826" s="6" t="n">
        <f aca="false">ROUND(INDEX(Archetypes!$H$2:$H$127, MATCH(D1826, Archetypes!$A$2:$A$127, 0))*INDEX(Unit_Paths!$E$2:$E$4, MATCH(E1826, Unit_Paths!$A$2:$A$4, 0)),1)</f>
        <v>58.8</v>
      </c>
      <c r="L1826" s="6" t="n">
        <f aca="false">ROUND(INDEX(Archetypes!$I$2:$I$127, MATCH(D1826, Archetypes!$A$2:$A$127, 0))*INDEX(Unit_Grades!$C$2:$C$7, MATCH(F1826, Unit_Grades!$A$2:$A$7, 0)),1)</f>
        <v>44</v>
      </c>
      <c r="M1826" s="6" t="n">
        <f aca="false">ROUND(INDEX(Archetypes!$J$2:$J$127, MATCH(D1826, Archetypes!$A$2:$A$127, 0))*INDEX(Unit_Grades!$D$2:$D$7, MATCH(F1826, Unit_Grades!$A$2:$A$7, 0)),1)</f>
        <v>17.9</v>
      </c>
      <c r="N1826" s="6" t="n">
        <f aca="false">ROUND(M1826/24,2)</f>
        <v>0.75</v>
      </c>
    </row>
    <row r="1827" customFormat="false" ht="15" hidden="false" customHeight="true" outlineLevel="0" collapsed="false">
      <c r="A1827" s="6" t="n">
        <v>6</v>
      </c>
      <c r="B1827" s="6" t="s">
        <v>3293</v>
      </c>
      <c r="C1827" s="6" t="s">
        <v>1482</v>
      </c>
      <c r="D1827" s="6" t="str">
        <f aca="false">A1827&amp;"|"&amp;C1827</f>
        <v>6|Gate Engineer</v>
      </c>
      <c r="E1827" s="6" t="s">
        <v>1558</v>
      </c>
      <c r="F1827" s="6" t="s">
        <v>1540</v>
      </c>
      <c r="G1827" s="6" t="str">
        <f aca="false">INDEX(Archetypes!$D$2:$D$127, MATCH(D1827, Archetypes!$A$2:$A$127, 0))</f>
        <v>Support</v>
      </c>
      <c r="H1827" s="6" t="n">
        <f aca="false">ROUND(INDEX(Archetypes!$E$2:$E$127, MATCH(D1827, Archetypes!$A$2:$A$127, 0))*INDEX(Unit_Grades!$B$2:$B$7, MATCH(F1827, Unit_Grades!$A$2:$A$7, 0))*INDEX(Unit_Paths!$B$2:$B$4, MATCH(E1827, Unit_Paths!$A$2:$A$4, 0)),1)</f>
        <v>194.4</v>
      </c>
      <c r="I1827" s="6" t="n">
        <f aca="false">ROUND(INDEX(Archetypes!$F$2:$F$127, MATCH(D1827, Archetypes!$A$2:$A$127, 0))*INDEX(Unit_Grades!$B$2:$B$7, MATCH(F1827, Unit_Grades!$A$2:$A$7, 0))*INDEX(Unit_Paths!$C$2:$C$4, MATCH(E1827, Unit_Paths!$A$2:$A$4, 0)),1)</f>
        <v>390.2</v>
      </c>
      <c r="J1827" s="6" t="n">
        <f aca="false">ROUND(INDEX(Archetypes!$G$2:$G$127, MATCH(D1827, Archetypes!$A$2:$A$127, 0))*INDEX(Unit_Grades!$B$2:$B$7, MATCH(F1827, Unit_Grades!$A$2:$A$7, 0))*INDEX(Unit_Paths!$D$2:$D$4, MATCH(E1827, Unit_Paths!$A$2:$A$4, 0)),0)</f>
        <v>2052</v>
      </c>
      <c r="K1827" s="6" t="n">
        <f aca="false">ROUND(INDEX(Archetypes!$H$2:$H$127, MATCH(D1827, Archetypes!$A$2:$A$127, 0))*INDEX(Unit_Paths!$E$2:$E$4, MATCH(E1827, Unit_Paths!$A$2:$A$4, 0)),1)</f>
        <v>58.8</v>
      </c>
      <c r="L1827" s="6" t="n">
        <f aca="false">ROUND(INDEX(Archetypes!$I$2:$I$127, MATCH(D1827, Archetypes!$A$2:$A$127, 0))*INDEX(Unit_Grades!$C$2:$C$7, MATCH(F1827, Unit_Grades!$A$2:$A$7, 0)),1)</f>
        <v>55</v>
      </c>
      <c r="M1827" s="6" t="n">
        <f aca="false">ROUND(INDEX(Archetypes!$J$2:$J$127, MATCH(D1827, Archetypes!$A$2:$A$127, 0))*INDEX(Unit_Grades!$D$2:$D$7, MATCH(F1827, Unit_Grades!$A$2:$A$7, 0)),1)</f>
        <v>26.8</v>
      </c>
      <c r="N1827" s="6" t="n">
        <f aca="false">ROUND(M1827/24,2)</f>
        <v>1.12</v>
      </c>
    </row>
    <row r="1828" customFormat="false" ht="15" hidden="false" customHeight="true" outlineLevel="0" collapsed="false">
      <c r="A1828" s="6" t="n">
        <v>6</v>
      </c>
      <c r="B1828" s="6" t="s">
        <v>3294</v>
      </c>
      <c r="C1828" s="6" t="s">
        <v>1482</v>
      </c>
      <c r="D1828" s="6" t="str">
        <f aca="false">A1828&amp;"|"&amp;C1828</f>
        <v>6|Gate Engineer</v>
      </c>
      <c r="E1828" s="6" t="s">
        <v>1558</v>
      </c>
      <c r="F1828" s="6" t="s">
        <v>1542</v>
      </c>
      <c r="G1828" s="6" t="str">
        <f aca="false">INDEX(Archetypes!$D$2:$D$127, MATCH(D1828, Archetypes!$A$2:$A$127, 0))</f>
        <v>Support</v>
      </c>
      <c r="H1828" s="6" t="n">
        <f aca="false">ROUND(INDEX(Archetypes!$E$2:$E$127, MATCH(D1828, Archetypes!$A$2:$A$127, 0))*INDEX(Unit_Grades!$B$2:$B$7, MATCH(F1828, Unit_Grades!$A$2:$A$7, 0))*INDEX(Unit_Paths!$B$2:$B$4, MATCH(E1828, Unit_Paths!$A$2:$A$4, 0)),1)</f>
        <v>259.2</v>
      </c>
      <c r="I1828" s="6" t="n">
        <f aca="false">ROUND(INDEX(Archetypes!$F$2:$F$127, MATCH(D1828, Archetypes!$A$2:$A$127, 0))*INDEX(Unit_Grades!$B$2:$B$7, MATCH(F1828, Unit_Grades!$A$2:$A$7, 0))*INDEX(Unit_Paths!$C$2:$C$4, MATCH(E1828, Unit_Paths!$A$2:$A$4, 0)),1)</f>
        <v>520.2</v>
      </c>
      <c r="J1828" s="6" t="n">
        <f aca="false">ROUND(INDEX(Archetypes!$G$2:$G$127, MATCH(D1828, Archetypes!$A$2:$A$127, 0))*INDEX(Unit_Grades!$B$2:$B$7, MATCH(F1828, Unit_Grades!$A$2:$A$7, 0))*INDEX(Unit_Paths!$D$2:$D$4, MATCH(E1828, Unit_Paths!$A$2:$A$4, 0)),0)</f>
        <v>2736</v>
      </c>
      <c r="K1828" s="6" t="n">
        <f aca="false">ROUND(INDEX(Archetypes!$H$2:$H$127, MATCH(D1828, Archetypes!$A$2:$A$127, 0))*INDEX(Unit_Paths!$E$2:$E$4, MATCH(E1828, Unit_Paths!$A$2:$A$4, 0)),1)</f>
        <v>58.8</v>
      </c>
      <c r="L1828" s="6" t="n">
        <f aca="false">ROUND(INDEX(Archetypes!$I$2:$I$127, MATCH(D1828, Archetypes!$A$2:$A$127, 0))*INDEX(Unit_Grades!$C$2:$C$7, MATCH(F1828, Unit_Grades!$A$2:$A$7, 0)),1)</f>
        <v>70.4</v>
      </c>
      <c r="M1828" s="6" t="n">
        <f aca="false">ROUND(INDEX(Archetypes!$J$2:$J$127, MATCH(D1828, Archetypes!$A$2:$A$127, 0))*INDEX(Unit_Grades!$D$2:$D$7, MATCH(F1828, Unit_Grades!$A$2:$A$7, 0)),1)</f>
        <v>44.7</v>
      </c>
      <c r="N1828" s="6" t="n">
        <f aca="false">ROUND(M1828/24,2)</f>
        <v>1.86</v>
      </c>
    </row>
    <row r="1829" customFormat="false" ht="15" hidden="false" customHeight="true" outlineLevel="0" collapsed="false">
      <c r="A1829" s="6" t="n">
        <v>6</v>
      </c>
      <c r="B1829" s="6" t="s">
        <v>3295</v>
      </c>
      <c r="C1829" s="6" t="s">
        <v>1482</v>
      </c>
      <c r="D1829" s="6" t="str">
        <f aca="false">A1829&amp;"|"&amp;C1829</f>
        <v>6|Gate Engineer</v>
      </c>
      <c r="E1829" s="6" t="s">
        <v>1558</v>
      </c>
      <c r="F1829" s="6" t="s">
        <v>1544</v>
      </c>
      <c r="G1829" s="6" t="str">
        <f aca="false">INDEX(Archetypes!$D$2:$D$127, MATCH(D1829, Archetypes!$A$2:$A$127, 0))</f>
        <v>Support</v>
      </c>
      <c r="H1829" s="6" t="n">
        <f aca="false">ROUND(INDEX(Archetypes!$E$2:$E$127, MATCH(D1829, Archetypes!$A$2:$A$127, 0))*INDEX(Unit_Grades!$B$2:$B$7, MATCH(F1829, Unit_Grades!$A$2:$A$7, 0))*INDEX(Unit_Paths!$B$2:$B$4, MATCH(E1829, Unit_Paths!$A$2:$A$4, 0)),1)</f>
        <v>345.6</v>
      </c>
      <c r="I1829" s="6" t="n">
        <f aca="false">ROUND(INDEX(Archetypes!$F$2:$F$127, MATCH(D1829, Archetypes!$A$2:$A$127, 0))*INDEX(Unit_Grades!$B$2:$B$7, MATCH(F1829, Unit_Grades!$A$2:$A$7, 0))*INDEX(Unit_Paths!$C$2:$C$4, MATCH(E1829, Unit_Paths!$A$2:$A$4, 0)),1)</f>
        <v>693.6</v>
      </c>
      <c r="J1829" s="6" t="n">
        <f aca="false">ROUND(INDEX(Archetypes!$G$2:$G$127, MATCH(D1829, Archetypes!$A$2:$A$127, 0))*INDEX(Unit_Grades!$B$2:$B$7, MATCH(F1829, Unit_Grades!$A$2:$A$7, 0))*INDEX(Unit_Paths!$D$2:$D$4, MATCH(E1829, Unit_Paths!$A$2:$A$4, 0)),0)</f>
        <v>3648</v>
      </c>
      <c r="K1829" s="6" t="n">
        <f aca="false">ROUND(INDEX(Archetypes!$H$2:$H$127, MATCH(D1829, Archetypes!$A$2:$A$127, 0))*INDEX(Unit_Paths!$E$2:$E$4, MATCH(E1829, Unit_Paths!$A$2:$A$4, 0)),1)</f>
        <v>58.8</v>
      </c>
      <c r="L1829" s="6" t="n">
        <f aca="false">ROUND(INDEX(Archetypes!$I$2:$I$127, MATCH(D1829, Archetypes!$A$2:$A$127, 0))*INDEX(Unit_Grades!$C$2:$C$7, MATCH(F1829, Unit_Grades!$A$2:$A$7, 0)),1)</f>
        <v>92.4</v>
      </c>
      <c r="M1829" s="6" t="n">
        <f aca="false">ROUND(INDEX(Archetypes!$J$2:$J$127, MATCH(D1829, Archetypes!$A$2:$A$127, 0))*INDEX(Unit_Grades!$D$2:$D$7, MATCH(F1829, Unit_Grades!$A$2:$A$7, 0)),1)</f>
        <v>71.4</v>
      </c>
      <c r="N1829" s="6" t="n">
        <f aca="false">ROUND(M1829/24,2)</f>
        <v>2.98</v>
      </c>
    </row>
    <row r="1830" customFormat="false" ht="15" hidden="false" customHeight="true" outlineLevel="0" collapsed="false">
      <c r="A1830" s="6" t="n">
        <v>6</v>
      </c>
      <c r="B1830" s="6" t="s">
        <v>3296</v>
      </c>
      <c r="C1830" s="6" t="s">
        <v>1482</v>
      </c>
      <c r="D1830" s="6" t="str">
        <f aca="false">A1830&amp;"|"&amp;C1830</f>
        <v>6|Gate Engineer</v>
      </c>
      <c r="E1830" s="6" t="s">
        <v>1558</v>
      </c>
      <c r="F1830" s="6" t="s">
        <v>1546</v>
      </c>
      <c r="G1830" s="6" t="str">
        <f aca="false">INDEX(Archetypes!$D$2:$D$127, MATCH(D1830, Archetypes!$A$2:$A$127, 0))</f>
        <v>Support</v>
      </c>
      <c r="H1830" s="6" t="n">
        <f aca="false">ROUND(INDEX(Archetypes!$E$2:$E$127, MATCH(D1830, Archetypes!$A$2:$A$127, 0))*INDEX(Unit_Grades!$B$2:$B$7, MATCH(F1830, Unit_Grades!$A$2:$A$7, 0))*INDEX(Unit_Paths!$B$2:$B$4, MATCH(E1830, Unit_Paths!$A$2:$A$4, 0)),1)</f>
        <v>460.8</v>
      </c>
      <c r="I1830" s="6" t="n">
        <f aca="false">ROUND(INDEX(Archetypes!$F$2:$F$127, MATCH(D1830, Archetypes!$A$2:$A$127, 0))*INDEX(Unit_Grades!$B$2:$B$7, MATCH(F1830, Unit_Grades!$A$2:$A$7, 0))*INDEX(Unit_Paths!$C$2:$C$4, MATCH(E1830, Unit_Paths!$A$2:$A$4, 0)),1)</f>
        <v>924.8</v>
      </c>
      <c r="J1830" s="6" t="n">
        <f aca="false">ROUND(INDEX(Archetypes!$G$2:$G$127, MATCH(D1830, Archetypes!$A$2:$A$127, 0))*INDEX(Unit_Grades!$B$2:$B$7, MATCH(F1830, Unit_Grades!$A$2:$A$7, 0))*INDEX(Unit_Paths!$D$2:$D$4, MATCH(E1830, Unit_Paths!$A$2:$A$4, 0)),0)</f>
        <v>4864</v>
      </c>
      <c r="K1830" s="6" t="n">
        <f aca="false">ROUND(INDEX(Archetypes!$H$2:$H$127, MATCH(D1830, Archetypes!$A$2:$A$127, 0))*INDEX(Unit_Paths!$E$2:$E$4, MATCH(E1830, Unit_Paths!$A$2:$A$4, 0)),1)</f>
        <v>58.8</v>
      </c>
      <c r="L1830" s="6" t="n">
        <f aca="false">ROUND(INDEX(Archetypes!$I$2:$I$127, MATCH(D1830, Archetypes!$A$2:$A$127, 0))*INDEX(Unit_Grades!$C$2:$C$7, MATCH(F1830, Unit_Grades!$A$2:$A$7, 0)),1)</f>
        <v>123.2</v>
      </c>
      <c r="M1830" s="6" t="n">
        <f aca="false">ROUND(INDEX(Archetypes!$J$2:$J$127, MATCH(D1830, Archetypes!$A$2:$A$127, 0))*INDEX(Unit_Grades!$D$2:$D$7, MATCH(F1830, Unit_Grades!$A$2:$A$7, 0)),1)</f>
        <v>125</v>
      </c>
      <c r="N1830" s="6" t="n">
        <f aca="false">ROUND(M1830/24,2)</f>
        <v>5.21</v>
      </c>
    </row>
    <row r="1831" customFormat="false" ht="15" hidden="false" customHeight="true" outlineLevel="0" collapsed="false">
      <c r="A1831" s="6" t="n">
        <v>6</v>
      </c>
      <c r="B1831" s="6" t="s">
        <v>3297</v>
      </c>
      <c r="C1831" s="6" t="s">
        <v>1482</v>
      </c>
      <c r="D1831" s="6" t="str">
        <f aca="false">A1831&amp;"|"&amp;C1831</f>
        <v>6|Gate Engineer</v>
      </c>
      <c r="E1831" s="6" t="s">
        <v>1558</v>
      </c>
      <c r="F1831" s="6" t="s">
        <v>1548</v>
      </c>
      <c r="G1831" s="6" t="str">
        <f aca="false">INDEX(Archetypes!$D$2:$D$127, MATCH(D1831, Archetypes!$A$2:$A$127, 0))</f>
        <v>Support</v>
      </c>
      <c r="H1831" s="6" t="n">
        <f aca="false">ROUND(INDEX(Archetypes!$E$2:$E$127, MATCH(D1831, Archetypes!$A$2:$A$127, 0))*INDEX(Unit_Grades!$B$2:$B$7, MATCH(F1831, Unit_Grades!$A$2:$A$7, 0))*INDEX(Unit_Paths!$B$2:$B$4, MATCH(E1831, Unit_Paths!$A$2:$A$4, 0)),1)</f>
        <v>604.8</v>
      </c>
      <c r="I1831" s="6" t="n">
        <f aca="false">ROUND(INDEX(Archetypes!$F$2:$F$127, MATCH(D1831, Archetypes!$A$2:$A$127, 0))*INDEX(Unit_Grades!$B$2:$B$7, MATCH(F1831, Unit_Grades!$A$2:$A$7, 0))*INDEX(Unit_Paths!$C$2:$C$4, MATCH(E1831, Unit_Paths!$A$2:$A$4, 0)),1)</f>
        <v>1213.8</v>
      </c>
      <c r="J1831" s="6" t="n">
        <f aca="false">ROUND(INDEX(Archetypes!$G$2:$G$127, MATCH(D1831, Archetypes!$A$2:$A$127, 0))*INDEX(Unit_Grades!$B$2:$B$7, MATCH(F1831, Unit_Grades!$A$2:$A$7, 0))*INDEX(Unit_Paths!$D$2:$D$4, MATCH(E1831, Unit_Paths!$A$2:$A$4, 0)),0)</f>
        <v>6384</v>
      </c>
      <c r="K1831" s="6" t="n">
        <f aca="false">ROUND(INDEX(Archetypes!$H$2:$H$127, MATCH(D1831, Archetypes!$A$2:$A$127, 0))*INDEX(Unit_Paths!$E$2:$E$4, MATCH(E1831, Unit_Paths!$A$2:$A$4, 0)),1)</f>
        <v>58.8</v>
      </c>
      <c r="L1831" s="6" t="n">
        <f aca="false">ROUND(INDEX(Archetypes!$I$2:$I$127, MATCH(D1831, Archetypes!$A$2:$A$127, 0))*INDEX(Unit_Grades!$C$2:$C$7, MATCH(F1831, Unit_Grades!$A$2:$A$7, 0)),1)</f>
        <v>162.8</v>
      </c>
      <c r="M1831" s="6" t="n">
        <f aca="false">ROUND(INDEX(Archetypes!$J$2:$J$127, MATCH(D1831, Archetypes!$A$2:$A$127, 0))*INDEX(Unit_Grades!$D$2:$D$7, MATCH(F1831, Unit_Grades!$A$2:$A$7, 0)),1)</f>
        <v>214.3</v>
      </c>
      <c r="N1831" s="6" t="n">
        <f aca="false">ROUND(M1831/24,2)</f>
        <v>8.93</v>
      </c>
    </row>
    <row r="1832" customFormat="false" ht="15" hidden="false" customHeight="true" outlineLevel="0" collapsed="false">
      <c r="A1832" s="6" t="n">
        <v>6</v>
      </c>
      <c r="B1832" s="6" t="s">
        <v>3298</v>
      </c>
      <c r="C1832" s="6" t="s">
        <v>1482</v>
      </c>
      <c r="D1832" s="6" t="str">
        <f aca="false">A1832&amp;"|"&amp;C1832</f>
        <v>6|Gate Engineer</v>
      </c>
      <c r="E1832" s="6" t="s">
        <v>1560</v>
      </c>
      <c r="F1832" s="6" t="s">
        <v>1538</v>
      </c>
      <c r="G1832" s="6" t="str">
        <f aca="false">INDEX(Archetypes!$D$2:$D$127, MATCH(D1832, Archetypes!$A$2:$A$127, 0))</f>
        <v>Support</v>
      </c>
      <c r="H1832" s="6" t="n">
        <f aca="false">ROUND(INDEX(Archetypes!$E$2:$E$127, MATCH(D1832, Archetypes!$A$2:$A$127, 0))*INDEX(Unit_Grades!$B$2:$B$7, MATCH(F1832, Unit_Grades!$A$2:$A$7, 0))*INDEX(Unit_Paths!$B$2:$B$4, MATCH(E1832, Unit_Paths!$A$2:$A$4, 0)),1)</f>
        <v>102</v>
      </c>
      <c r="I1832" s="6" t="n">
        <f aca="false">ROUND(INDEX(Archetypes!$F$2:$F$127, MATCH(D1832, Archetypes!$A$2:$A$127, 0))*INDEX(Unit_Grades!$B$2:$B$7, MATCH(F1832, Unit_Grades!$A$2:$A$7, 0))*INDEX(Unit_Paths!$C$2:$C$4, MATCH(E1832, Unit_Paths!$A$2:$A$4, 0)),1)</f>
        <v>425</v>
      </c>
      <c r="J1832" s="6" t="n">
        <f aca="false">ROUND(INDEX(Archetypes!$G$2:$G$127, MATCH(D1832, Archetypes!$A$2:$A$127, 0))*INDEX(Unit_Grades!$B$2:$B$7, MATCH(F1832, Unit_Grades!$A$2:$A$7, 0))*INDEX(Unit_Paths!$D$2:$D$4, MATCH(E1832, Unit_Paths!$A$2:$A$4, 0)),0)</f>
        <v>1840</v>
      </c>
      <c r="K1832" s="6" t="n">
        <f aca="false">ROUND(INDEX(Archetypes!$H$2:$H$127, MATCH(D1832, Archetypes!$A$2:$A$127, 0))*INDEX(Unit_Paths!$E$2:$E$4, MATCH(E1832, Unit_Paths!$A$2:$A$4, 0)),1)</f>
        <v>51.5</v>
      </c>
      <c r="L1832" s="6" t="n">
        <f aca="false">ROUND(INDEX(Archetypes!$I$2:$I$127, MATCH(D1832, Archetypes!$A$2:$A$127, 0))*INDEX(Unit_Grades!$C$2:$C$7, MATCH(F1832, Unit_Grades!$A$2:$A$7, 0)),1)</f>
        <v>44</v>
      </c>
      <c r="M1832" s="6" t="n">
        <f aca="false">ROUND(INDEX(Archetypes!$J$2:$J$127, MATCH(D1832, Archetypes!$A$2:$A$127, 0))*INDEX(Unit_Grades!$D$2:$D$7, MATCH(F1832, Unit_Grades!$A$2:$A$7, 0)),1)</f>
        <v>17.9</v>
      </c>
      <c r="N1832" s="6" t="n">
        <f aca="false">ROUND(M1832/24,2)</f>
        <v>0.75</v>
      </c>
    </row>
    <row r="1833" customFormat="false" ht="15" hidden="false" customHeight="true" outlineLevel="0" collapsed="false">
      <c r="A1833" s="6" t="n">
        <v>6</v>
      </c>
      <c r="B1833" s="6" t="s">
        <v>3299</v>
      </c>
      <c r="C1833" s="6" t="s">
        <v>1482</v>
      </c>
      <c r="D1833" s="6" t="str">
        <f aca="false">A1833&amp;"|"&amp;C1833</f>
        <v>6|Gate Engineer</v>
      </c>
      <c r="E1833" s="6" t="s">
        <v>1560</v>
      </c>
      <c r="F1833" s="6" t="s">
        <v>1540</v>
      </c>
      <c r="G1833" s="6" t="str">
        <f aca="false">INDEX(Archetypes!$D$2:$D$127, MATCH(D1833, Archetypes!$A$2:$A$127, 0))</f>
        <v>Support</v>
      </c>
      <c r="H1833" s="6" t="n">
        <f aca="false">ROUND(INDEX(Archetypes!$E$2:$E$127, MATCH(D1833, Archetypes!$A$2:$A$127, 0))*INDEX(Unit_Grades!$B$2:$B$7, MATCH(F1833, Unit_Grades!$A$2:$A$7, 0))*INDEX(Unit_Paths!$B$2:$B$4, MATCH(E1833, Unit_Paths!$A$2:$A$4, 0)),1)</f>
        <v>137.7</v>
      </c>
      <c r="I1833" s="6" t="n">
        <f aca="false">ROUND(INDEX(Archetypes!$F$2:$F$127, MATCH(D1833, Archetypes!$A$2:$A$127, 0))*INDEX(Unit_Grades!$B$2:$B$7, MATCH(F1833, Unit_Grades!$A$2:$A$7, 0))*INDEX(Unit_Paths!$C$2:$C$4, MATCH(E1833, Unit_Paths!$A$2:$A$4, 0)),1)</f>
        <v>573.8</v>
      </c>
      <c r="J1833" s="6" t="n">
        <f aca="false">ROUND(INDEX(Archetypes!$G$2:$G$127, MATCH(D1833, Archetypes!$A$2:$A$127, 0))*INDEX(Unit_Grades!$B$2:$B$7, MATCH(F1833, Unit_Grades!$A$2:$A$7, 0))*INDEX(Unit_Paths!$D$2:$D$4, MATCH(E1833, Unit_Paths!$A$2:$A$4, 0)),0)</f>
        <v>2484</v>
      </c>
      <c r="K1833" s="6" t="n">
        <f aca="false">ROUND(INDEX(Archetypes!$H$2:$H$127, MATCH(D1833, Archetypes!$A$2:$A$127, 0))*INDEX(Unit_Paths!$E$2:$E$4, MATCH(E1833, Unit_Paths!$A$2:$A$4, 0)),1)</f>
        <v>51.5</v>
      </c>
      <c r="L1833" s="6" t="n">
        <f aca="false">ROUND(INDEX(Archetypes!$I$2:$I$127, MATCH(D1833, Archetypes!$A$2:$A$127, 0))*INDEX(Unit_Grades!$C$2:$C$7, MATCH(F1833, Unit_Grades!$A$2:$A$7, 0)),1)</f>
        <v>55</v>
      </c>
      <c r="M1833" s="6" t="n">
        <f aca="false">ROUND(INDEX(Archetypes!$J$2:$J$127, MATCH(D1833, Archetypes!$A$2:$A$127, 0))*INDEX(Unit_Grades!$D$2:$D$7, MATCH(F1833, Unit_Grades!$A$2:$A$7, 0)),1)</f>
        <v>26.8</v>
      </c>
      <c r="N1833" s="6" t="n">
        <f aca="false">ROUND(M1833/24,2)</f>
        <v>1.12</v>
      </c>
    </row>
    <row r="1834" customFormat="false" ht="15" hidden="false" customHeight="true" outlineLevel="0" collapsed="false">
      <c r="A1834" s="6" t="n">
        <v>6</v>
      </c>
      <c r="B1834" s="6" t="s">
        <v>3300</v>
      </c>
      <c r="C1834" s="6" t="s">
        <v>1482</v>
      </c>
      <c r="D1834" s="6" t="str">
        <f aca="false">A1834&amp;"|"&amp;C1834</f>
        <v>6|Gate Engineer</v>
      </c>
      <c r="E1834" s="6" t="s">
        <v>1560</v>
      </c>
      <c r="F1834" s="6" t="s">
        <v>1542</v>
      </c>
      <c r="G1834" s="6" t="str">
        <f aca="false">INDEX(Archetypes!$D$2:$D$127, MATCH(D1834, Archetypes!$A$2:$A$127, 0))</f>
        <v>Support</v>
      </c>
      <c r="H1834" s="6" t="n">
        <f aca="false">ROUND(INDEX(Archetypes!$E$2:$E$127, MATCH(D1834, Archetypes!$A$2:$A$127, 0))*INDEX(Unit_Grades!$B$2:$B$7, MATCH(F1834, Unit_Grades!$A$2:$A$7, 0))*INDEX(Unit_Paths!$B$2:$B$4, MATCH(E1834, Unit_Paths!$A$2:$A$4, 0)),1)</f>
        <v>183.6</v>
      </c>
      <c r="I1834" s="6" t="n">
        <f aca="false">ROUND(INDEX(Archetypes!$F$2:$F$127, MATCH(D1834, Archetypes!$A$2:$A$127, 0))*INDEX(Unit_Grades!$B$2:$B$7, MATCH(F1834, Unit_Grades!$A$2:$A$7, 0))*INDEX(Unit_Paths!$C$2:$C$4, MATCH(E1834, Unit_Paths!$A$2:$A$4, 0)),1)</f>
        <v>765</v>
      </c>
      <c r="J1834" s="6" t="n">
        <f aca="false">ROUND(INDEX(Archetypes!$G$2:$G$127, MATCH(D1834, Archetypes!$A$2:$A$127, 0))*INDEX(Unit_Grades!$B$2:$B$7, MATCH(F1834, Unit_Grades!$A$2:$A$7, 0))*INDEX(Unit_Paths!$D$2:$D$4, MATCH(E1834, Unit_Paths!$A$2:$A$4, 0)),0)</f>
        <v>3312</v>
      </c>
      <c r="K1834" s="6" t="n">
        <f aca="false">ROUND(INDEX(Archetypes!$H$2:$H$127, MATCH(D1834, Archetypes!$A$2:$A$127, 0))*INDEX(Unit_Paths!$E$2:$E$4, MATCH(E1834, Unit_Paths!$A$2:$A$4, 0)),1)</f>
        <v>51.5</v>
      </c>
      <c r="L1834" s="6" t="n">
        <f aca="false">ROUND(INDEX(Archetypes!$I$2:$I$127, MATCH(D1834, Archetypes!$A$2:$A$127, 0))*INDEX(Unit_Grades!$C$2:$C$7, MATCH(F1834, Unit_Grades!$A$2:$A$7, 0)),1)</f>
        <v>70.4</v>
      </c>
      <c r="M1834" s="6" t="n">
        <f aca="false">ROUND(INDEX(Archetypes!$J$2:$J$127, MATCH(D1834, Archetypes!$A$2:$A$127, 0))*INDEX(Unit_Grades!$D$2:$D$7, MATCH(F1834, Unit_Grades!$A$2:$A$7, 0)),1)</f>
        <v>44.7</v>
      </c>
      <c r="N1834" s="6" t="n">
        <f aca="false">ROUND(M1834/24,2)</f>
        <v>1.86</v>
      </c>
    </row>
    <row r="1835" customFormat="false" ht="15" hidden="false" customHeight="true" outlineLevel="0" collapsed="false">
      <c r="A1835" s="6" t="n">
        <v>6</v>
      </c>
      <c r="B1835" s="6" t="s">
        <v>3301</v>
      </c>
      <c r="C1835" s="6" t="s">
        <v>1482</v>
      </c>
      <c r="D1835" s="6" t="str">
        <f aca="false">A1835&amp;"|"&amp;C1835</f>
        <v>6|Gate Engineer</v>
      </c>
      <c r="E1835" s="6" t="s">
        <v>1560</v>
      </c>
      <c r="F1835" s="6" t="s">
        <v>1544</v>
      </c>
      <c r="G1835" s="6" t="str">
        <f aca="false">INDEX(Archetypes!$D$2:$D$127, MATCH(D1835, Archetypes!$A$2:$A$127, 0))</f>
        <v>Support</v>
      </c>
      <c r="H1835" s="6" t="n">
        <f aca="false">ROUND(INDEX(Archetypes!$E$2:$E$127, MATCH(D1835, Archetypes!$A$2:$A$127, 0))*INDEX(Unit_Grades!$B$2:$B$7, MATCH(F1835, Unit_Grades!$A$2:$A$7, 0))*INDEX(Unit_Paths!$B$2:$B$4, MATCH(E1835, Unit_Paths!$A$2:$A$4, 0)),1)</f>
        <v>244.8</v>
      </c>
      <c r="I1835" s="6" t="n">
        <f aca="false">ROUND(INDEX(Archetypes!$F$2:$F$127, MATCH(D1835, Archetypes!$A$2:$A$127, 0))*INDEX(Unit_Grades!$B$2:$B$7, MATCH(F1835, Unit_Grades!$A$2:$A$7, 0))*INDEX(Unit_Paths!$C$2:$C$4, MATCH(E1835, Unit_Paths!$A$2:$A$4, 0)),1)</f>
        <v>1020</v>
      </c>
      <c r="J1835" s="6" t="n">
        <f aca="false">ROUND(INDEX(Archetypes!$G$2:$G$127, MATCH(D1835, Archetypes!$A$2:$A$127, 0))*INDEX(Unit_Grades!$B$2:$B$7, MATCH(F1835, Unit_Grades!$A$2:$A$7, 0))*INDEX(Unit_Paths!$D$2:$D$4, MATCH(E1835, Unit_Paths!$A$2:$A$4, 0)),0)</f>
        <v>4416</v>
      </c>
      <c r="K1835" s="6" t="n">
        <f aca="false">ROUND(INDEX(Archetypes!$H$2:$H$127, MATCH(D1835, Archetypes!$A$2:$A$127, 0))*INDEX(Unit_Paths!$E$2:$E$4, MATCH(E1835, Unit_Paths!$A$2:$A$4, 0)),1)</f>
        <v>51.5</v>
      </c>
      <c r="L1835" s="6" t="n">
        <f aca="false">ROUND(INDEX(Archetypes!$I$2:$I$127, MATCH(D1835, Archetypes!$A$2:$A$127, 0))*INDEX(Unit_Grades!$C$2:$C$7, MATCH(F1835, Unit_Grades!$A$2:$A$7, 0)),1)</f>
        <v>92.4</v>
      </c>
      <c r="M1835" s="6" t="n">
        <f aca="false">ROUND(INDEX(Archetypes!$J$2:$J$127, MATCH(D1835, Archetypes!$A$2:$A$127, 0))*INDEX(Unit_Grades!$D$2:$D$7, MATCH(F1835, Unit_Grades!$A$2:$A$7, 0)),1)</f>
        <v>71.4</v>
      </c>
      <c r="N1835" s="6" t="n">
        <f aca="false">ROUND(M1835/24,2)</f>
        <v>2.98</v>
      </c>
    </row>
    <row r="1836" customFormat="false" ht="15" hidden="false" customHeight="true" outlineLevel="0" collapsed="false">
      <c r="A1836" s="6" t="n">
        <v>6</v>
      </c>
      <c r="B1836" s="6" t="s">
        <v>3302</v>
      </c>
      <c r="C1836" s="6" t="s">
        <v>1482</v>
      </c>
      <c r="D1836" s="6" t="str">
        <f aca="false">A1836&amp;"|"&amp;C1836</f>
        <v>6|Gate Engineer</v>
      </c>
      <c r="E1836" s="6" t="s">
        <v>1560</v>
      </c>
      <c r="F1836" s="6" t="s">
        <v>1546</v>
      </c>
      <c r="G1836" s="6" t="str">
        <f aca="false">INDEX(Archetypes!$D$2:$D$127, MATCH(D1836, Archetypes!$A$2:$A$127, 0))</f>
        <v>Support</v>
      </c>
      <c r="H1836" s="6" t="n">
        <f aca="false">ROUND(INDEX(Archetypes!$E$2:$E$127, MATCH(D1836, Archetypes!$A$2:$A$127, 0))*INDEX(Unit_Grades!$B$2:$B$7, MATCH(F1836, Unit_Grades!$A$2:$A$7, 0))*INDEX(Unit_Paths!$B$2:$B$4, MATCH(E1836, Unit_Paths!$A$2:$A$4, 0)),1)</f>
        <v>326.4</v>
      </c>
      <c r="I1836" s="6" t="n">
        <f aca="false">ROUND(INDEX(Archetypes!$F$2:$F$127, MATCH(D1836, Archetypes!$A$2:$A$127, 0))*INDEX(Unit_Grades!$B$2:$B$7, MATCH(F1836, Unit_Grades!$A$2:$A$7, 0))*INDEX(Unit_Paths!$C$2:$C$4, MATCH(E1836, Unit_Paths!$A$2:$A$4, 0)),1)</f>
        <v>1360</v>
      </c>
      <c r="J1836" s="6" t="n">
        <f aca="false">ROUND(INDEX(Archetypes!$G$2:$G$127, MATCH(D1836, Archetypes!$A$2:$A$127, 0))*INDEX(Unit_Grades!$B$2:$B$7, MATCH(F1836, Unit_Grades!$A$2:$A$7, 0))*INDEX(Unit_Paths!$D$2:$D$4, MATCH(E1836, Unit_Paths!$A$2:$A$4, 0)),0)</f>
        <v>5888</v>
      </c>
      <c r="K1836" s="6" t="n">
        <f aca="false">ROUND(INDEX(Archetypes!$H$2:$H$127, MATCH(D1836, Archetypes!$A$2:$A$127, 0))*INDEX(Unit_Paths!$E$2:$E$4, MATCH(E1836, Unit_Paths!$A$2:$A$4, 0)),1)</f>
        <v>51.5</v>
      </c>
      <c r="L1836" s="6" t="n">
        <f aca="false">ROUND(INDEX(Archetypes!$I$2:$I$127, MATCH(D1836, Archetypes!$A$2:$A$127, 0))*INDEX(Unit_Grades!$C$2:$C$7, MATCH(F1836, Unit_Grades!$A$2:$A$7, 0)),1)</f>
        <v>123.2</v>
      </c>
      <c r="M1836" s="6" t="n">
        <f aca="false">ROUND(INDEX(Archetypes!$J$2:$J$127, MATCH(D1836, Archetypes!$A$2:$A$127, 0))*INDEX(Unit_Grades!$D$2:$D$7, MATCH(F1836, Unit_Grades!$A$2:$A$7, 0)),1)</f>
        <v>125</v>
      </c>
      <c r="N1836" s="6" t="n">
        <f aca="false">ROUND(M1836/24,2)</f>
        <v>5.21</v>
      </c>
    </row>
    <row r="1837" customFormat="false" ht="15" hidden="false" customHeight="true" outlineLevel="0" collapsed="false">
      <c r="A1837" s="6" t="n">
        <v>6</v>
      </c>
      <c r="B1837" s="6" t="s">
        <v>3303</v>
      </c>
      <c r="C1837" s="6" t="s">
        <v>1482</v>
      </c>
      <c r="D1837" s="6" t="str">
        <f aca="false">A1837&amp;"|"&amp;C1837</f>
        <v>6|Gate Engineer</v>
      </c>
      <c r="E1837" s="6" t="s">
        <v>1560</v>
      </c>
      <c r="F1837" s="6" t="s">
        <v>1548</v>
      </c>
      <c r="G1837" s="6" t="str">
        <f aca="false">INDEX(Archetypes!$D$2:$D$127, MATCH(D1837, Archetypes!$A$2:$A$127, 0))</f>
        <v>Support</v>
      </c>
      <c r="H1837" s="6" t="n">
        <f aca="false">ROUND(INDEX(Archetypes!$E$2:$E$127, MATCH(D1837, Archetypes!$A$2:$A$127, 0))*INDEX(Unit_Grades!$B$2:$B$7, MATCH(F1837, Unit_Grades!$A$2:$A$7, 0))*INDEX(Unit_Paths!$B$2:$B$4, MATCH(E1837, Unit_Paths!$A$2:$A$4, 0)),1)</f>
        <v>428.4</v>
      </c>
      <c r="I1837" s="6" t="n">
        <f aca="false">ROUND(INDEX(Archetypes!$F$2:$F$127, MATCH(D1837, Archetypes!$A$2:$A$127, 0))*INDEX(Unit_Grades!$B$2:$B$7, MATCH(F1837, Unit_Grades!$A$2:$A$7, 0))*INDEX(Unit_Paths!$C$2:$C$4, MATCH(E1837, Unit_Paths!$A$2:$A$4, 0)),1)</f>
        <v>1785</v>
      </c>
      <c r="J1837" s="6" t="n">
        <f aca="false">ROUND(INDEX(Archetypes!$G$2:$G$127, MATCH(D1837, Archetypes!$A$2:$A$127, 0))*INDEX(Unit_Grades!$B$2:$B$7, MATCH(F1837, Unit_Grades!$A$2:$A$7, 0))*INDEX(Unit_Paths!$D$2:$D$4, MATCH(E1837, Unit_Paths!$A$2:$A$4, 0)),0)</f>
        <v>7728</v>
      </c>
      <c r="K1837" s="6" t="n">
        <f aca="false">ROUND(INDEX(Archetypes!$H$2:$H$127, MATCH(D1837, Archetypes!$A$2:$A$127, 0))*INDEX(Unit_Paths!$E$2:$E$4, MATCH(E1837, Unit_Paths!$A$2:$A$4, 0)),1)</f>
        <v>51.5</v>
      </c>
      <c r="L1837" s="6" t="n">
        <f aca="false">ROUND(INDEX(Archetypes!$I$2:$I$127, MATCH(D1837, Archetypes!$A$2:$A$127, 0))*INDEX(Unit_Grades!$C$2:$C$7, MATCH(F1837, Unit_Grades!$A$2:$A$7, 0)),1)</f>
        <v>162.8</v>
      </c>
      <c r="M1837" s="6" t="n">
        <f aca="false">ROUND(INDEX(Archetypes!$J$2:$J$127, MATCH(D1837, Archetypes!$A$2:$A$127, 0))*INDEX(Unit_Grades!$D$2:$D$7, MATCH(F1837, Unit_Grades!$A$2:$A$7, 0)),1)</f>
        <v>214.3</v>
      </c>
      <c r="N1837" s="6" t="n">
        <f aca="false">ROUND(M1837/24,2)</f>
        <v>8.93</v>
      </c>
    </row>
    <row r="1838" customFormat="false" ht="15" hidden="false" customHeight="true" outlineLevel="0" collapsed="false">
      <c r="A1838" s="6" t="n">
        <v>6</v>
      </c>
      <c r="B1838" s="6" t="s">
        <v>1484</v>
      </c>
      <c r="C1838" s="6" t="s">
        <v>1484</v>
      </c>
      <c r="D1838" s="6" t="str">
        <f aca="false">A1838&amp;"|"&amp;C1838</f>
        <v>6|Void Prophet</v>
      </c>
      <c r="E1838" s="6" t="s">
        <v>1556</v>
      </c>
      <c r="F1838" s="6" t="s">
        <v>1538</v>
      </c>
      <c r="G1838" s="6" t="str">
        <f aca="false">INDEX(Archetypes!$D$2:$D$127, MATCH(D1838, Archetypes!$A$2:$A$127, 0))</f>
        <v>Conquest</v>
      </c>
      <c r="H1838" s="6" t="n">
        <f aca="false">ROUND(INDEX(Archetypes!$E$2:$E$127, MATCH(D1838, Archetypes!$A$2:$A$127, 0))*INDEX(Unit_Grades!$B$2:$B$7, MATCH(F1838, Unit_Grades!$A$2:$A$7, 0))*INDEX(Unit_Paths!$B$2:$B$4, MATCH(E1838, Unit_Paths!$A$2:$A$4, 0)),1)</f>
        <v>60</v>
      </c>
      <c r="I1838" s="6" t="n">
        <f aca="false">ROUND(INDEX(Archetypes!$F$2:$F$127, MATCH(D1838, Archetypes!$A$2:$A$127, 0))*INDEX(Unit_Grades!$B$2:$B$7, MATCH(F1838, Unit_Grades!$A$2:$A$7, 0))*INDEX(Unit_Paths!$C$2:$C$4, MATCH(E1838, Unit_Paths!$A$2:$A$4, 0)),1)</f>
        <v>180</v>
      </c>
      <c r="J1838" s="6" t="n">
        <f aca="false">ROUND(INDEX(Archetypes!$G$2:$G$127, MATCH(D1838, Archetypes!$A$2:$A$127, 0))*INDEX(Unit_Grades!$B$2:$B$7, MATCH(F1838, Unit_Grades!$A$2:$A$7, 0))*INDEX(Unit_Paths!$D$2:$D$4, MATCH(E1838, Unit_Paths!$A$2:$A$4, 0)),0)</f>
        <v>1200</v>
      </c>
      <c r="K1838" s="6" t="n">
        <f aca="false">ROUND(INDEX(Archetypes!$H$2:$H$127, MATCH(D1838, Archetypes!$A$2:$A$127, 0))*INDEX(Unit_Paths!$E$2:$E$4, MATCH(E1838, Unit_Paths!$A$2:$A$4, 0)),1)</f>
        <v>48</v>
      </c>
      <c r="L1838" s="6" t="n">
        <f aca="false">ROUND(INDEX(Archetypes!$I$2:$I$127, MATCH(D1838, Archetypes!$A$2:$A$127, 0))*INDEX(Unit_Grades!$C$2:$C$7, MATCH(F1838, Unit_Grades!$A$2:$A$7, 0)),1)</f>
        <v>140</v>
      </c>
      <c r="M1838" s="6" t="n">
        <f aca="false">ROUND(INDEX(Archetypes!$J$2:$J$127, MATCH(D1838, Archetypes!$A$2:$A$127, 0))*INDEX(Unit_Grades!$D$2:$D$7, MATCH(F1838, Unit_Grades!$A$2:$A$7, 0)),1)</f>
        <v>56.8</v>
      </c>
      <c r="N1838" s="6" t="n">
        <f aca="false">ROUND(M1838/24,2)</f>
        <v>2.37</v>
      </c>
    </row>
    <row r="1839" customFormat="false" ht="15" hidden="false" customHeight="true" outlineLevel="0" collapsed="false">
      <c r="A1839" s="6" t="n">
        <v>6</v>
      </c>
      <c r="B1839" s="6" t="s">
        <v>3304</v>
      </c>
      <c r="C1839" s="6" t="s">
        <v>1484</v>
      </c>
      <c r="D1839" s="6" t="str">
        <f aca="false">A1839&amp;"|"&amp;C1839</f>
        <v>6|Void Prophet</v>
      </c>
      <c r="E1839" s="6" t="s">
        <v>1556</v>
      </c>
      <c r="F1839" s="6" t="s">
        <v>1540</v>
      </c>
      <c r="G1839" s="6" t="str">
        <f aca="false">INDEX(Archetypes!$D$2:$D$127, MATCH(D1839, Archetypes!$A$2:$A$127, 0))</f>
        <v>Conquest</v>
      </c>
      <c r="H1839" s="6" t="n">
        <f aca="false">ROUND(INDEX(Archetypes!$E$2:$E$127, MATCH(D1839, Archetypes!$A$2:$A$127, 0))*INDEX(Unit_Grades!$B$2:$B$7, MATCH(F1839, Unit_Grades!$A$2:$A$7, 0))*INDEX(Unit_Paths!$B$2:$B$4, MATCH(E1839, Unit_Paths!$A$2:$A$4, 0)),1)</f>
        <v>81</v>
      </c>
      <c r="I1839" s="6" t="n">
        <f aca="false">ROUND(INDEX(Archetypes!$F$2:$F$127, MATCH(D1839, Archetypes!$A$2:$A$127, 0))*INDEX(Unit_Grades!$B$2:$B$7, MATCH(F1839, Unit_Grades!$A$2:$A$7, 0))*INDEX(Unit_Paths!$C$2:$C$4, MATCH(E1839, Unit_Paths!$A$2:$A$4, 0)),1)</f>
        <v>243</v>
      </c>
      <c r="J1839" s="6" t="n">
        <f aca="false">ROUND(INDEX(Archetypes!$G$2:$G$127, MATCH(D1839, Archetypes!$A$2:$A$127, 0))*INDEX(Unit_Grades!$B$2:$B$7, MATCH(F1839, Unit_Grades!$A$2:$A$7, 0))*INDEX(Unit_Paths!$D$2:$D$4, MATCH(E1839, Unit_Paths!$A$2:$A$4, 0)),0)</f>
        <v>1620</v>
      </c>
      <c r="K1839" s="6" t="n">
        <f aca="false">ROUND(INDEX(Archetypes!$H$2:$H$127, MATCH(D1839, Archetypes!$A$2:$A$127, 0))*INDEX(Unit_Paths!$E$2:$E$4, MATCH(E1839, Unit_Paths!$A$2:$A$4, 0)),1)</f>
        <v>48</v>
      </c>
      <c r="L1839" s="6" t="n">
        <f aca="false">ROUND(INDEX(Archetypes!$I$2:$I$127, MATCH(D1839, Archetypes!$A$2:$A$127, 0))*INDEX(Unit_Grades!$C$2:$C$7, MATCH(F1839, Unit_Grades!$A$2:$A$7, 0)),1)</f>
        <v>175</v>
      </c>
      <c r="M1839" s="6" t="n">
        <f aca="false">ROUND(INDEX(Archetypes!$J$2:$J$127, MATCH(D1839, Archetypes!$A$2:$A$127, 0))*INDEX(Unit_Grades!$D$2:$D$7, MATCH(F1839, Unit_Grades!$A$2:$A$7, 0)),1)</f>
        <v>85.2</v>
      </c>
      <c r="N1839" s="6" t="n">
        <f aca="false">ROUND(M1839/24,2)</f>
        <v>3.55</v>
      </c>
    </row>
    <row r="1840" customFormat="false" ht="15" hidden="false" customHeight="true" outlineLevel="0" collapsed="false">
      <c r="A1840" s="6" t="n">
        <v>6</v>
      </c>
      <c r="B1840" s="6" t="s">
        <v>3305</v>
      </c>
      <c r="C1840" s="6" t="s">
        <v>1484</v>
      </c>
      <c r="D1840" s="6" t="str">
        <f aca="false">A1840&amp;"|"&amp;C1840</f>
        <v>6|Void Prophet</v>
      </c>
      <c r="E1840" s="6" t="s">
        <v>1556</v>
      </c>
      <c r="F1840" s="6" t="s">
        <v>1542</v>
      </c>
      <c r="G1840" s="6" t="str">
        <f aca="false">INDEX(Archetypes!$D$2:$D$127, MATCH(D1840, Archetypes!$A$2:$A$127, 0))</f>
        <v>Conquest</v>
      </c>
      <c r="H1840" s="6" t="n">
        <f aca="false">ROUND(INDEX(Archetypes!$E$2:$E$127, MATCH(D1840, Archetypes!$A$2:$A$127, 0))*INDEX(Unit_Grades!$B$2:$B$7, MATCH(F1840, Unit_Grades!$A$2:$A$7, 0))*INDEX(Unit_Paths!$B$2:$B$4, MATCH(E1840, Unit_Paths!$A$2:$A$4, 0)),1)</f>
        <v>108</v>
      </c>
      <c r="I1840" s="6" t="n">
        <f aca="false">ROUND(INDEX(Archetypes!$F$2:$F$127, MATCH(D1840, Archetypes!$A$2:$A$127, 0))*INDEX(Unit_Grades!$B$2:$B$7, MATCH(F1840, Unit_Grades!$A$2:$A$7, 0))*INDEX(Unit_Paths!$C$2:$C$4, MATCH(E1840, Unit_Paths!$A$2:$A$4, 0)),1)</f>
        <v>324</v>
      </c>
      <c r="J1840" s="6" t="n">
        <f aca="false">ROUND(INDEX(Archetypes!$G$2:$G$127, MATCH(D1840, Archetypes!$A$2:$A$127, 0))*INDEX(Unit_Grades!$B$2:$B$7, MATCH(F1840, Unit_Grades!$A$2:$A$7, 0))*INDEX(Unit_Paths!$D$2:$D$4, MATCH(E1840, Unit_Paths!$A$2:$A$4, 0)),0)</f>
        <v>2160</v>
      </c>
      <c r="K1840" s="6" t="n">
        <f aca="false">ROUND(INDEX(Archetypes!$H$2:$H$127, MATCH(D1840, Archetypes!$A$2:$A$127, 0))*INDEX(Unit_Paths!$E$2:$E$4, MATCH(E1840, Unit_Paths!$A$2:$A$4, 0)),1)</f>
        <v>48</v>
      </c>
      <c r="L1840" s="6" t="n">
        <f aca="false">ROUND(INDEX(Archetypes!$I$2:$I$127, MATCH(D1840, Archetypes!$A$2:$A$127, 0))*INDEX(Unit_Grades!$C$2:$C$7, MATCH(F1840, Unit_Grades!$A$2:$A$7, 0)),1)</f>
        <v>224</v>
      </c>
      <c r="M1840" s="6" t="n">
        <f aca="false">ROUND(INDEX(Archetypes!$J$2:$J$127, MATCH(D1840, Archetypes!$A$2:$A$127, 0))*INDEX(Unit_Grades!$D$2:$D$7, MATCH(F1840, Unit_Grades!$A$2:$A$7, 0)),1)</f>
        <v>142.1</v>
      </c>
      <c r="N1840" s="6" t="n">
        <f aca="false">ROUND(M1840/24,2)</f>
        <v>5.92</v>
      </c>
    </row>
    <row r="1841" customFormat="false" ht="15" hidden="false" customHeight="true" outlineLevel="0" collapsed="false">
      <c r="A1841" s="6" t="n">
        <v>6</v>
      </c>
      <c r="B1841" s="6" t="s">
        <v>3306</v>
      </c>
      <c r="C1841" s="6" t="s">
        <v>1484</v>
      </c>
      <c r="D1841" s="6" t="str">
        <f aca="false">A1841&amp;"|"&amp;C1841</f>
        <v>6|Void Prophet</v>
      </c>
      <c r="E1841" s="6" t="s">
        <v>1556</v>
      </c>
      <c r="F1841" s="6" t="s">
        <v>1544</v>
      </c>
      <c r="G1841" s="6" t="str">
        <f aca="false">INDEX(Archetypes!$D$2:$D$127, MATCH(D1841, Archetypes!$A$2:$A$127, 0))</f>
        <v>Conquest</v>
      </c>
      <c r="H1841" s="6" t="n">
        <f aca="false">ROUND(INDEX(Archetypes!$E$2:$E$127, MATCH(D1841, Archetypes!$A$2:$A$127, 0))*INDEX(Unit_Grades!$B$2:$B$7, MATCH(F1841, Unit_Grades!$A$2:$A$7, 0))*INDEX(Unit_Paths!$B$2:$B$4, MATCH(E1841, Unit_Paths!$A$2:$A$4, 0)),1)</f>
        <v>144</v>
      </c>
      <c r="I1841" s="6" t="n">
        <f aca="false">ROUND(INDEX(Archetypes!$F$2:$F$127, MATCH(D1841, Archetypes!$A$2:$A$127, 0))*INDEX(Unit_Grades!$B$2:$B$7, MATCH(F1841, Unit_Grades!$A$2:$A$7, 0))*INDEX(Unit_Paths!$C$2:$C$4, MATCH(E1841, Unit_Paths!$A$2:$A$4, 0)),1)</f>
        <v>432</v>
      </c>
      <c r="J1841" s="6" t="n">
        <f aca="false">ROUND(INDEX(Archetypes!$G$2:$G$127, MATCH(D1841, Archetypes!$A$2:$A$127, 0))*INDEX(Unit_Grades!$B$2:$B$7, MATCH(F1841, Unit_Grades!$A$2:$A$7, 0))*INDEX(Unit_Paths!$D$2:$D$4, MATCH(E1841, Unit_Paths!$A$2:$A$4, 0)),0)</f>
        <v>2880</v>
      </c>
      <c r="K1841" s="6" t="n">
        <f aca="false">ROUND(INDEX(Archetypes!$H$2:$H$127, MATCH(D1841, Archetypes!$A$2:$A$127, 0))*INDEX(Unit_Paths!$E$2:$E$4, MATCH(E1841, Unit_Paths!$A$2:$A$4, 0)),1)</f>
        <v>48</v>
      </c>
      <c r="L1841" s="6" t="n">
        <f aca="false">ROUND(INDEX(Archetypes!$I$2:$I$127, MATCH(D1841, Archetypes!$A$2:$A$127, 0))*INDEX(Unit_Grades!$C$2:$C$7, MATCH(F1841, Unit_Grades!$A$2:$A$7, 0)),1)</f>
        <v>294</v>
      </c>
      <c r="M1841" s="6" t="n">
        <f aca="false">ROUND(INDEX(Archetypes!$J$2:$J$127, MATCH(D1841, Archetypes!$A$2:$A$127, 0))*INDEX(Unit_Grades!$D$2:$D$7, MATCH(F1841, Unit_Grades!$A$2:$A$7, 0)),1)</f>
        <v>227.3</v>
      </c>
      <c r="N1841" s="6" t="n">
        <f aca="false">ROUND(M1841/24,2)</f>
        <v>9.47</v>
      </c>
    </row>
    <row r="1842" customFormat="false" ht="15" hidden="false" customHeight="true" outlineLevel="0" collapsed="false">
      <c r="A1842" s="6" t="n">
        <v>6</v>
      </c>
      <c r="B1842" s="6" t="s">
        <v>3307</v>
      </c>
      <c r="C1842" s="6" t="s">
        <v>1484</v>
      </c>
      <c r="D1842" s="6" t="str">
        <f aca="false">A1842&amp;"|"&amp;C1842</f>
        <v>6|Void Prophet</v>
      </c>
      <c r="E1842" s="6" t="s">
        <v>1556</v>
      </c>
      <c r="F1842" s="6" t="s">
        <v>1546</v>
      </c>
      <c r="G1842" s="6" t="str">
        <f aca="false">INDEX(Archetypes!$D$2:$D$127, MATCH(D1842, Archetypes!$A$2:$A$127, 0))</f>
        <v>Conquest</v>
      </c>
      <c r="H1842" s="6" t="n">
        <f aca="false">ROUND(INDEX(Archetypes!$E$2:$E$127, MATCH(D1842, Archetypes!$A$2:$A$127, 0))*INDEX(Unit_Grades!$B$2:$B$7, MATCH(F1842, Unit_Grades!$A$2:$A$7, 0))*INDEX(Unit_Paths!$B$2:$B$4, MATCH(E1842, Unit_Paths!$A$2:$A$4, 0)),1)</f>
        <v>192</v>
      </c>
      <c r="I1842" s="6" t="n">
        <f aca="false">ROUND(INDEX(Archetypes!$F$2:$F$127, MATCH(D1842, Archetypes!$A$2:$A$127, 0))*INDEX(Unit_Grades!$B$2:$B$7, MATCH(F1842, Unit_Grades!$A$2:$A$7, 0))*INDEX(Unit_Paths!$C$2:$C$4, MATCH(E1842, Unit_Paths!$A$2:$A$4, 0)),1)</f>
        <v>576</v>
      </c>
      <c r="J1842" s="6" t="n">
        <f aca="false">ROUND(INDEX(Archetypes!$G$2:$G$127, MATCH(D1842, Archetypes!$A$2:$A$127, 0))*INDEX(Unit_Grades!$B$2:$B$7, MATCH(F1842, Unit_Grades!$A$2:$A$7, 0))*INDEX(Unit_Paths!$D$2:$D$4, MATCH(E1842, Unit_Paths!$A$2:$A$4, 0)),0)</f>
        <v>3840</v>
      </c>
      <c r="K1842" s="6" t="n">
        <f aca="false">ROUND(INDEX(Archetypes!$H$2:$H$127, MATCH(D1842, Archetypes!$A$2:$A$127, 0))*INDEX(Unit_Paths!$E$2:$E$4, MATCH(E1842, Unit_Paths!$A$2:$A$4, 0)),1)</f>
        <v>48</v>
      </c>
      <c r="L1842" s="6" t="n">
        <f aca="false">ROUND(INDEX(Archetypes!$I$2:$I$127, MATCH(D1842, Archetypes!$A$2:$A$127, 0))*INDEX(Unit_Grades!$C$2:$C$7, MATCH(F1842, Unit_Grades!$A$2:$A$7, 0)),1)</f>
        <v>392</v>
      </c>
      <c r="M1842" s="6" t="n">
        <f aca="false">ROUND(INDEX(Archetypes!$J$2:$J$127, MATCH(D1842, Archetypes!$A$2:$A$127, 0))*INDEX(Unit_Grades!$D$2:$D$7, MATCH(F1842, Unit_Grades!$A$2:$A$7, 0)),1)</f>
        <v>397.7</v>
      </c>
      <c r="N1842" s="6" t="n">
        <f aca="false">ROUND(M1842/24,2)</f>
        <v>16.57</v>
      </c>
    </row>
    <row r="1843" customFormat="false" ht="15" hidden="false" customHeight="true" outlineLevel="0" collapsed="false">
      <c r="A1843" s="6" t="n">
        <v>6</v>
      </c>
      <c r="B1843" s="6" t="s">
        <v>3308</v>
      </c>
      <c r="C1843" s="6" t="s">
        <v>1484</v>
      </c>
      <c r="D1843" s="6" t="str">
        <f aca="false">A1843&amp;"|"&amp;C1843</f>
        <v>6|Void Prophet</v>
      </c>
      <c r="E1843" s="6" t="s">
        <v>1556</v>
      </c>
      <c r="F1843" s="6" t="s">
        <v>1548</v>
      </c>
      <c r="G1843" s="6" t="str">
        <f aca="false">INDEX(Archetypes!$D$2:$D$127, MATCH(D1843, Archetypes!$A$2:$A$127, 0))</f>
        <v>Conquest</v>
      </c>
      <c r="H1843" s="6" t="n">
        <f aca="false">ROUND(INDEX(Archetypes!$E$2:$E$127, MATCH(D1843, Archetypes!$A$2:$A$127, 0))*INDEX(Unit_Grades!$B$2:$B$7, MATCH(F1843, Unit_Grades!$A$2:$A$7, 0))*INDEX(Unit_Paths!$B$2:$B$4, MATCH(E1843, Unit_Paths!$A$2:$A$4, 0)),1)</f>
        <v>252</v>
      </c>
      <c r="I1843" s="6" t="n">
        <f aca="false">ROUND(INDEX(Archetypes!$F$2:$F$127, MATCH(D1843, Archetypes!$A$2:$A$127, 0))*INDEX(Unit_Grades!$B$2:$B$7, MATCH(F1843, Unit_Grades!$A$2:$A$7, 0))*INDEX(Unit_Paths!$C$2:$C$4, MATCH(E1843, Unit_Paths!$A$2:$A$4, 0)),1)</f>
        <v>756</v>
      </c>
      <c r="J1843" s="6" t="n">
        <f aca="false">ROUND(INDEX(Archetypes!$G$2:$G$127, MATCH(D1843, Archetypes!$A$2:$A$127, 0))*INDEX(Unit_Grades!$B$2:$B$7, MATCH(F1843, Unit_Grades!$A$2:$A$7, 0))*INDEX(Unit_Paths!$D$2:$D$4, MATCH(E1843, Unit_Paths!$A$2:$A$4, 0)),0)</f>
        <v>5040</v>
      </c>
      <c r="K1843" s="6" t="n">
        <f aca="false">ROUND(INDEX(Archetypes!$H$2:$H$127, MATCH(D1843, Archetypes!$A$2:$A$127, 0))*INDEX(Unit_Paths!$E$2:$E$4, MATCH(E1843, Unit_Paths!$A$2:$A$4, 0)),1)</f>
        <v>48</v>
      </c>
      <c r="L1843" s="6" t="n">
        <f aca="false">ROUND(INDEX(Archetypes!$I$2:$I$127, MATCH(D1843, Archetypes!$A$2:$A$127, 0))*INDEX(Unit_Grades!$C$2:$C$7, MATCH(F1843, Unit_Grades!$A$2:$A$7, 0)),1)</f>
        <v>518</v>
      </c>
      <c r="M1843" s="6" t="n">
        <f aca="false">ROUND(INDEX(Archetypes!$J$2:$J$127, MATCH(D1843, Archetypes!$A$2:$A$127, 0))*INDEX(Unit_Grades!$D$2:$D$7, MATCH(F1843, Unit_Grades!$A$2:$A$7, 0)),1)</f>
        <v>681.8</v>
      </c>
      <c r="N1843" s="6" t="n">
        <f aca="false">ROUND(M1843/24,2)</f>
        <v>28.41</v>
      </c>
    </row>
    <row r="1844" customFormat="false" ht="15" hidden="false" customHeight="true" outlineLevel="0" collapsed="false">
      <c r="A1844" s="6" t="n">
        <v>6</v>
      </c>
      <c r="B1844" s="6" t="s">
        <v>3309</v>
      </c>
      <c r="C1844" s="6" t="s">
        <v>1484</v>
      </c>
      <c r="D1844" s="6" t="str">
        <f aca="false">A1844&amp;"|"&amp;C1844</f>
        <v>6|Void Prophet</v>
      </c>
      <c r="E1844" s="6" t="s">
        <v>1558</v>
      </c>
      <c r="F1844" s="6" t="s">
        <v>1538</v>
      </c>
      <c r="G1844" s="6" t="str">
        <f aca="false">INDEX(Archetypes!$D$2:$D$127, MATCH(D1844, Archetypes!$A$2:$A$127, 0))</f>
        <v>Conquest</v>
      </c>
      <c r="H1844" s="6" t="n">
        <f aca="false">ROUND(INDEX(Archetypes!$E$2:$E$127, MATCH(D1844, Archetypes!$A$2:$A$127, 0))*INDEX(Unit_Grades!$B$2:$B$7, MATCH(F1844, Unit_Grades!$A$2:$A$7, 0))*INDEX(Unit_Paths!$B$2:$B$4, MATCH(E1844, Unit_Paths!$A$2:$A$4, 0)),1)</f>
        <v>72</v>
      </c>
      <c r="I1844" s="6" t="n">
        <f aca="false">ROUND(INDEX(Archetypes!$F$2:$F$127, MATCH(D1844, Archetypes!$A$2:$A$127, 0))*INDEX(Unit_Grades!$B$2:$B$7, MATCH(F1844, Unit_Grades!$A$2:$A$7, 0))*INDEX(Unit_Paths!$C$2:$C$4, MATCH(E1844, Unit_Paths!$A$2:$A$4, 0)),1)</f>
        <v>153</v>
      </c>
      <c r="J1844" s="6" t="n">
        <f aca="false">ROUND(INDEX(Archetypes!$G$2:$G$127, MATCH(D1844, Archetypes!$A$2:$A$127, 0))*INDEX(Unit_Grades!$B$2:$B$7, MATCH(F1844, Unit_Grades!$A$2:$A$7, 0))*INDEX(Unit_Paths!$D$2:$D$4, MATCH(E1844, Unit_Paths!$A$2:$A$4, 0)),0)</f>
        <v>1140</v>
      </c>
      <c r="K1844" s="6" t="n">
        <f aca="false">ROUND(INDEX(Archetypes!$H$2:$H$127, MATCH(D1844, Archetypes!$A$2:$A$127, 0))*INDEX(Unit_Paths!$E$2:$E$4, MATCH(E1844, Unit_Paths!$A$2:$A$4, 0)),1)</f>
        <v>50.4</v>
      </c>
      <c r="L1844" s="6" t="n">
        <f aca="false">ROUND(INDEX(Archetypes!$I$2:$I$127, MATCH(D1844, Archetypes!$A$2:$A$127, 0))*INDEX(Unit_Grades!$C$2:$C$7, MATCH(F1844, Unit_Grades!$A$2:$A$7, 0)),1)</f>
        <v>140</v>
      </c>
      <c r="M1844" s="6" t="n">
        <f aca="false">ROUND(INDEX(Archetypes!$J$2:$J$127, MATCH(D1844, Archetypes!$A$2:$A$127, 0))*INDEX(Unit_Grades!$D$2:$D$7, MATCH(F1844, Unit_Grades!$A$2:$A$7, 0)),1)</f>
        <v>56.8</v>
      </c>
      <c r="N1844" s="6" t="n">
        <f aca="false">ROUND(M1844/24,2)</f>
        <v>2.37</v>
      </c>
    </row>
    <row r="1845" customFormat="false" ht="15" hidden="false" customHeight="true" outlineLevel="0" collapsed="false">
      <c r="A1845" s="6" t="n">
        <v>6</v>
      </c>
      <c r="B1845" s="6" t="s">
        <v>3310</v>
      </c>
      <c r="C1845" s="6" t="s">
        <v>1484</v>
      </c>
      <c r="D1845" s="6" t="str">
        <f aca="false">A1845&amp;"|"&amp;C1845</f>
        <v>6|Void Prophet</v>
      </c>
      <c r="E1845" s="6" t="s">
        <v>1558</v>
      </c>
      <c r="F1845" s="6" t="s">
        <v>1540</v>
      </c>
      <c r="G1845" s="6" t="str">
        <f aca="false">INDEX(Archetypes!$D$2:$D$127, MATCH(D1845, Archetypes!$A$2:$A$127, 0))</f>
        <v>Conquest</v>
      </c>
      <c r="H1845" s="6" t="n">
        <f aca="false">ROUND(INDEX(Archetypes!$E$2:$E$127, MATCH(D1845, Archetypes!$A$2:$A$127, 0))*INDEX(Unit_Grades!$B$2:$B$7, MATCH(F1845, Unit_Grades!$A$2:$A$7, 0))*INDEX(Unit_Paths!$B$2:$B$4, MATCH(E1845, Unit_Paths!$A$2:$A$4, 0)),1)</f>
        <v>97.2</v>
      </c>
      <c r="I1845" s="6" t="n">
        <f aca="false">ROUND(INDEX(Archetypes!$F$2:$F$127, MATCH(D1845, Archetypes!$A$2:$A$127, 0))*INDEX(Unit_Grades!$B$2:$B$7, MATCH(F1845, Unit_Grades!$A$2:$A$7, 0))*INDEX(Unit_Paths!$C$2:$C$4, MATCH(E1845, Unit_Paths!$A$2:$A$4, 0)),1)</f>
        <v>206.6</v>
      </c>
      <c r="J1845" s="6" t="n">
        <f aca="false">ROUND(INDEX(Archetypes!$G$2:$G$127, MATCH(D1845, Archetypes!$A$2:$A$127, 0))*INDEX(Unit_Grades!$B$2:$B$7, MATCH(F1845, Unit_Grades!$A$2:$A$7, 0))*INDEX(Unit_Paths!$D$2:$D$4, MATCH(E1845, Unit_Paths!$A$2:$A$4, 0)),0)</f>
        <v>1539</v>
      </c>
      <c r="K1845" s="6" t="n">
        <f aca="false">ROUND(INDEX(Archetypes!$H$2:$H$127, MATCH(D1845, Archetypes!$A$2:$A$127, 0))*INDEX(Unit_Paths!$E$2:$E$4, MATCH(E1845, Unit_Paths!$A$2:$A$4, 0)),1)</f>
        <v>50.4</v>
      </c>
      <c r="L1845" s="6" t="n">
        <f aca="false">ROUND(INDEX(Archetypes!$I$2:$I$127, MATCH(D1845, Archetypes!$A$2:$A$127, 0))*INDEX(Unit_Grades!$C$2:$C$7, MATCH(F1845, Unit_Grades!$A$2:$A$7, 0)),1)</f>
        <v>175</v>
      </c>
      <c r="M1845" s="6" t="n">
        <f aca="false">ROUND(INDEX(Archetypes!$J$2:$J$127, MATCH(D1845, Archetypes!$A$2:$A$127, 0))*INDEX(Unit_Grades!$D$2:$D$7, MATCH(F1845, Unit_Grades!$A$2:$A$7, 0)),1)</f>
        <v>85.2</v>
      </c>
      <c r="N1845" s="6" t="n">
        <f aca="false">ROUND(M1845/24,2)</f>
        <v>3.55</v>
      </c>
    </row>
    <row r="1846" customFormat="false" ht="15" hidden="false" customHeight="true" outlineLevel="0" collapsed="false">
      <c r="A1846" s="6" t="n">
        <v>6</v>
      </c>
      <c r="B1846" s="6" t="s">
        <v>3311</v>
      </c>
      <c r="C1846" s="6" t="s">
        <v>1484</v>
      </c>
      <c r="D1846" s="6" t="str">
        <f aca="false">A1846&amp;"|"&amp;C1846</f>
        <v>6|Void Prophet</v>
      </c>
      <c r="E1846" s="6" t="s">
        <v>1558</v>
      </c>
      <c r="F1846" s="6" t="s">
        <v>1542</v>
      </c>
      <c r="G1846" s="6" t="str">
        <f aca="false">INDEX(Archetypes!$D$2:$D$127, MATCH(D1846, Archetypes!$A$2:$A$127, 0))</f>
        <v>Conquest</v>
      </c>
      <c r="H1846" s="6" t="n">
        <f aca="false">ROUND(INDEX(Archetypes!$E$2:$E$127, MATCH(D1846, Archetypes!$A$2:$A$127, 0))*INDEX(Unit_Grades!$B$2:$B$7, MATCH(F1846, Unit_Grades!$A$2:$A$7, 0))*INDEX(Unit_Paths!$B$2:$B$4, MATCH(E1846, Unit_Paths!$A$2:$A$4, 0)),1)</f>
        <v>129.6</v>
      </c>
      <c r="I1846" s="6" t="n">
        <f aca="false">ROUND(INDEX(Archetypes!$F$2:$F$127, MATCH(D1846, Archetypes!$A$2:$A$127, 0))*INDEX(Unit_Grades!$B$2:$B$7, MATCH(F1846, Unit_Grades!$A$2:$A$7, 0))*INDEX(Unit_Paths!$C$2:$C$4, MATCH(E1846, Unit_Paths!$A$2:$A$4, 0)),1)</f>
        <v>275.4</v>
      </c>
      <c r="J1846" s="6" t="n">
        <f aca="false">ROUND(INDEX(Archetypes!$G$2:$G$127, MATCH(D1846, Archetypes!$A$2:$A$127, 0))*INDEX(Unit_Grades!$B$2:$B$7, MATCH(F1846, Unit_Grades!$A$2:$A$7, 0))*INDEX(Unit_Paths!$D$2:$D$4, MATCH(E1846, Unit_Paths!$A$2:$A$4, 0)),0)</f>
        <v>2052</v>
      </c>
      <c r="K1846" s="6" t="n">
        <f aca="false">ROUND(INDEX(Archetypes!$H$2:$H$127, MATCH(D1846, Archetypes!$A$2:$A$127, 0))*INDEX(Unit_Paths!$E$2:$E$4, MATCH(E1846, Unit_Paths!$A$2:$A$4, 0)),1)</f>
        <v>50.4</v>
      </c>
      <c r="L1846" s="6" t="n">
        <f aca="false">ROUND(INDEX(Archetypes!$I$2:$I$127, MATCH(D1846, Archetypes!$A$2:$A$127, 0))*INDEX(Unit_Grades!$C$2:$C$7, MATCH(F1846, Unit_Grades!$A$2:$A$7, 0)),1)</f>
        <v>224</v>
      </c>
      <c r="M1846" s="6" t="n">
        <f aca="false">ROUND(INDEX(Archetypes!$J$2:$J$127, MATCH(D1846, Archetypes!$A$2:$A$127, 0))*INDEX(Unit_Grades!$D$2:$D$7, MATCH(F1846, Unit_Grades!$A$2:$A$7, 0)),1)</f>
        <v>142.1</v>
      </c>
      <c r="N1846" s="6" t="n">
        <f aca="false">ROUND(M1846/24,2)</f>
        <v>5.92</v>
      </c>
    </row>
    <row r="1847" customFormat="false" ht="15" hidden="false" customHeight="true" outlineLevel="0" collapsed="false">
      <c r="A1847" s="6" t="n">
        <v>6</v>
      </c>
      <c r="B1847" s="6" t="s">
        <v>3312</v>
      </c>
      <c r="C1847" s="6" t="s">
        <v>1484</v>
      </c>
      <c r="D1847" s="6" t="str">
        <f aca="false">A1847&amp;"|"&amp;C1847</f>
        <v>6|Void Prophet</v>
      </c>
      <c r="E1847" s="6" t="s">
        <v>1558</v>
      </c>
      <c r="F1847" s="6" t="s">
        <v>1544</v>
      </c>
      <c r="G1847" s="6" t="str">
        <f aca="false">INDEX(Archetypes!$D$2:$D$127, MATCH(D1847, Archetypes!$A$2:$A$127, 0))</f>
        <v>Conquest</v>
      </c>
      <c r="H1847" s="6" t="n">
        <f aca="false">ROUND(INDEX(Archetypes!$E$2:$E$127, MATCH(D1847, Archetypes!$A$2:$A$127, 0))*INDEX(Unit_Grades!$B$2:$B$7, MATCH(F1847, Unit_Grades!$A$2:$A$7, 0))*INDEX(Unit_Paths!$B$2:$B$4, MATCH(E1847, Unit_Paths!$A$2:$A$4, 0)),1)</f>
        <v>172.8</v>
      </c>
      <c r="I1847" s="6" t="n">
        <f aca="false">ROUND(INDEX(Archetypes!$F$2:$F$127, MATCH(D1847, Archetypes!$A$2:$A$127, 0))*INDEX(Unit_Grades!$B$2:$B$7, MATCH(F1847, Unit_Grades!$A$2:$A$7, 0))*INDEX(Unit_Paths!$C$2:$C$4, MATCH(E1847, Unit_Paths!$A$2:$A$4, 0)),1)</f>
        <v>367.2</v>
      </c>
      <c r="J1847" s="6" t="n">
        <f aca="false">ROUND(INDEX(Archetypes!$G$2:$G$127, MATCH(D1847, Archetypes!$A$2:$A$127, 0))*INDEX(Unit_Grades!$B$2:$B$7, MATCH(F1847, Unit_Grades!$A$2:$A$7, 0))*INDEX(Unit_Paths!$D$2:$D$4, MATCH(E1847, Unit_Paths!$A$2:$A$4, 0)),0)</f>
        <v>2736</v>
      </c>
      <c r="K1847" s="6" t="n">
        <f aca="false">ROUND(INDEX(Archetypes!$H$2:$H$127, MATCH(D1847, Archetypes!$A$2:$A$127, 0))*INDEX(Unit_Paths!$E$2:$E$4, MATCH(E1847, Unit_Paths!$A$2:$A$4, 0)),1)</f>
        <v>50.4</v>
      </c>
      <c r="L1847" s="6" t="n">
        <f aca="false">ROUND(INDEX(Archetypes!$I$2:$I$127, MATCH(D1847, Archetypes!$A$2:$A$127, 0))*INDEX(Unit_Grades!$C$2:$C$7, MATCH(F1847, Unit_Grades!$A$2:$A$7, 0)),1)</f>
        <v>294</v>
      </c>
      <c r="M1847" s="6" t="n">
        <f aca="false">ROUND(INDEX(Archetypes!$J$2:$J$127, MATCH(D1847, Archetypes!$A$2:$A$127, 0))*INDEX(Unit_Grades!$D$2:$D$7, MATCH(F1847, Unit_Grades!$A$2:$A$7, 0)),1)</f>
        <v>227.3</v>
      </c>
      <c r="N1847" s="6" t="n">
        <f aca="false">ROUND(M1847/24,2)</f>
        <v>9.47</v>
      </c>
    </row>
    <row r="1848" customFormat="false" ht="15" hidden="false" customHeight="true" outlineLevel="0" collapsed="false">
      <c r="A1848" s="6" t="n">
        <v>6</v>
      </c>
      <c r="B1848" s="6" t="s">
        <v>3313</v>
      </c>
      <c r="C1848" s="6" t="s">
        <v>1484</v>
      </c>
      <c r="D1848" s="6" t="str">
        <f aca="false">A1848&amp;"|"&amp;C1848</f>
        <v>6|Void Prophet</v>
      </c>
      <c r="E1848" s="6" t="s">
        <v>1558</v>
      </c>
      <c r="F1848" s="6" t="s">
        <v>1546</v>
      </c>
      <c r="G1848" s="6" t="str">
        <f aca="false">INDEX(Archetypes!$D$2:$D$127, MATCH(D1848, Archetypes!$A$2:$A$127, 0))</f>
        <v>Conquest</v>
      </c>
      <c r="H1848" s="6" t="n">
        <f aca="false">ROUND(INDEX(Archetypes!$E$2:$E$127, MATCH(D1848, Archetypes!$A$2:$A$127, 0))*INDEX(Unit_Grades!$B$2:$B$7, MATCH(F1848, Unit_Grades!$A$2:$A$7, 0))*INDEX(Unit_Paths!$B$2:$B$4, MATCH(E1848, Unit_Paths!$A$2:$A$4, 0)),1)</f>
        <v>230.4</v>
      </c>
      <c r="I1848" s="6" t="n">
        <f aca="false">ROUND(INDEX(Archetypes!$F$2:$F$127, MATCH(D1848, Archetypes!$A$2:$A$127, 0))*INDEX(Unit_Grades!$B$2:$B$7, MATCH(F1848, Unit_Grades!$A$2:$A$7, 0))*INDEX(Unit_Paths!$C$2:$C$4, MATCH(E1848, Unit_Paths!$A$2:$A$4, 0)),1)</f>
        <v>489.6</v>
      </c>
      <c r="J1848" s="6" t="n">
        <f aca="false">ROUND(INDEX(Archetypes!$G$2:$G$127, MATCH(D1848, Archetypes!$A$2:$A$127, 0))*INDEX(Unit_Grades!$B$2:$B$7, MATCH(F1848, Unit_Grades!$A$2:$A$7, 0))*INDEX(Unit_Paths!$D$2:$D$4, MATCH(E1848, Unit_Paths!$A$2:$A$4, 0)),0)</f>
        <v>3648</v>
      </c>
      <c r="K1848" s="6" t="n">
        <f aca="false">ROUND(INDEX(Archetypes!$H$2:$H$127, MATCH(D1848, Archetypes!$A$2:$A$127, 0))*INDEX(Unit_Paths!$E$2:$E$4, MATCH(E1848, Unit_Paths!$A$2:$A$4, 0)),1)</f>
        <v>50.4</v>
      </c>
      <c r="L1848" s="6" t="n">
        <f aca="false">ROUND(INDEX(Archetypes!$I$2:$I$127, MATCH(D1848, Archetypes!$A$2:$A$127, 0))*INDEX(Unit_Grades!$C$2:$C$7, MATCH(F1848, Unit_Grades!$A$2:$A$7, 0)),1)</f>
        <v>392</v>
      </c>
      <c r="M1848" s="6" t="n">
        <f aca="false">ROUND(INDEX(Archetypes!$J$2:$J$127, MATCH(D1848, Archetypes!$A$2:$A$127, 0))*INDEX(Unit_Grades!$D$2:$D$7, MATCH(F1848, Unit_Grades!$A$2:$A$7, 0)),1)</f>
        <v>397.7</v>
      </c>
      <c r="N1848" s="6" t="n">
        <f aca="false">ROUND(M1848/24,2)</f>
        <v>16.57</v>
      </c>
    </row>
    <row r="1849" customFormat="false" ht="15" hidden="false" customHeight="true" outlineLevel="0" collapsed="false">
      <c r="A1849" s="6" t="n">
        <v>6</v>
      </c>
      <c r="B1849" s="6" t="s">
        <v>3314</v>
      </c>
      <c r="C1849" s="6" t="s">
        <v>1484</v>
      </c>
      <c r="D1849" s="6" t="str">
        <f aca="false">A1849&amp;"|"&amp;C1849</f>
        <v>6|Void Prophet</v>
      </c>
      <c r="E1849" s="6" t="s">
        <v>1558</v>
      </c>
      <c r="F1849" s="6" t="s">
        <v>1548</v>
      </c>
      <c r="G1849" s="6" t="str">
        <f aca="false">INDEX(Archetypes!$D$2:$D$127, MATCH(D1849, Archetypes!$A$2:$A$127, 0))</f>
        <v>Conquest</v>
      </c>
      <c r="H1849" s="6" t="n">
        <f aca="false">ROUND(INDEX(Archetypes!$E$2:$E$127, MATCH(D1849, Archetypes!$A$2:$A$127, 0))*INDEX(Unit_Grades!$B$2:$B$7, MATCH(F1849, Unit_Grades!$A$2:$A$7, 0))*INDEX(Unit_Paths!$B$2:$B$4, MATCH(E1849, Unit_Paths!$A$2:$A$4, 0)),1)</f>
        <v>302.4</v>
      </c>
      <c r="I1849" s="6" t="n">
        <f aca="false">ROUND(INDEX(Archetypes!$F$2:$F$127, MATCH(D1849, Archetypes!$A$2:$A$127, 0))*INDEX(Unit_Grades!$B$2:$B$7, MATCH(F1849, Unit_Grades!$A$2:$A$7, 0))*INDEX(Unit_Paths!$C$2:$C$4, MATCH(E1849, Unit_Paths!$A$2:$A$4, 0)),1)</f>
        <v>642.6</v>
      </c>
      <c r="J1849" s="6" t="n">
        <f aca="false">ROUND(INDEX(Archetypes!$G$2:$G$127, MATCH(D1849, Archetypes!$A$2:$A$127, 0))*INDEX(Unit_Grades!$B$2:$B$7, MATCH(F1849, Unit_Grades!$A$2:$A$7, 0))*INDEX(Unit_Paths!$D$2:$D$4, MATCH(E1849, Unit_Paths!$A$2:$A$4, 0)),0)</f>
        <v>4788</v>
      </c>
      <c r="K1849" s="6" t="n">
        <f aca="false">ROUND(INDEX(Archetypes!$H$2:$H$127, MATCH(D1849, Archetypes!$A$2:$A$127, 0))*INDEX(Unit_Paths!$E$2:$E$4, MATCH(E1849, Unit_Paths!$A$2:$A$4, 0)),1)</f>
        <v>50.4</v>
      </c>
      <c r="L1849" s="6" t="n">
        <f aca="false">ROUND(INDEX(Archetypes!$I$2:$I$127, MATCH(D1849, Archetypes!$A$2:$A$127, 0))*INDEX(Unit_Grades!$C$2:$C$7, MATCH(F1849, Unit_Grades!$A$2:$A$7, 0)),1)</f>
        <v>518</v>
      </c>
      <c r="M1849" s="6" t="n">
        <f aca="false">ROUND(INDEX(Archetypes!$J$2:$J$127, MATCH(D1849, Archetypes!$A$2:$A$127, 0))*INDEX(Unit_Grades!$D$2:$D$7, MATCH(F1849, Unit_Grades!$A$2:$A$7, 0)),1)</f>
        <v>681.8</v>
      </c>
      <c r="N1849" s="6" t="n">
        <f aca="false">ROUND(M1849/24,2)</f>
        <v>28.41</v>
      </c>
    </row>
    <row r="1850" customFormat="false" ht="15" hidden="false" customHeight="true" outlineLevel="0" collapsed="false">
      <c r="A1850" s="6" t="n">
        <v>6</v>
      </c>
      <c r="B1850" s="6" t="s">
        <v>3315</v>
      </c>
      <c r="C1850" s="6" t="s">
        <v>1484</v>
      </c>
      <c r="D1850" s="6" t="str">
        <f aca="false">A1850&amp;"|"&amp;C1850</f>
        <v>6|Void Prophet</v>
      </c>
      <c r="E1850" s="6" t="s">
        <v>1560</v>
      </c>
      <c r="F1850" s="6" t="s">
        <v>1538</v>
      </c>
      <c r="G1850" s="6" t="str">
        <f aca="false">INDEX(Archetypes!$D$2:$D$127, MATCH(D1850, Archetypes!$A$2:$A$127, 0))</f>
        <v>Conquest</v>
      </c>
      <c r="H1850" s="6" t="n">
        <f aca="false">ROUND(INDEX(Archetypes!$E$2:$E$127, MATCH(D1850, Archetypes!$A$2:$A$127, 0))*INDEX(Unit_Grades!$B$2:$B$7, MATCH(F1850, Unit_Grades!$A$2:$A$7, 0))*INDEX(Unit_Paths!$B$2:$B$4, MATCH(E1850, Unit_Paths!$A$2:$A$4, 0)),1)</f>
        <v>51</v>
      </c>
      <c r="I1850" s="6" t="n">
        <f aca="false">ROUND(INDEX(Archetypes!$F$2:$F$127, MATCH(D1850, Archetypes!$A$2:$A$127, 0))*INDEX(Unit_Grades!$B$2:$B$7, MATCH(F1850, Unit_Grades!$A$2:$A$7, 0))*INDEX(Unit_Paths!$C$2:$C$4, MATCH(E1850, Unit_Paths!$A$2:$A$4, 0)),1)</f>
        <v>225</v>
      </c>
      <c r="J1850" s="6" t="n">
        <f aca="false">ROUND(INDEX(Archetypes!$G$2:$G$127, MATCH(D1850, Archetypes!$A$2:$A$127, 0))*INDEX(Unit_Grades!$B$2:$B$7, MATCH(F1850, Unit_Grades!$A$2:$A$7, 0))*INDEX(Unit_Paths!$D$2:$D$4, MATCH(E1850, Unit_Paths!$A$2:$A$4, 0)),0)</f>
        <v>1380</v>
      </c>
      <c r="K1850" s="6" t="n">
        <f aca="false">ROUND(INDEX(Archetypes!$H$2:$H$127, MATCH(D1850, Archetypes!$A$2:$A$127, 0))*INDEX(Unit_Paths!$E$2:$E$4, MATCH(E1850, Unit_Paths!$A$2:$A$4, 0)),1)</f>
        <v>44.2</v>
      </c>
      <c r="L1850" s="6" t="n">
        <f aca="false">ROUND(INDEX(Archetypes!$I$2:$I$127, MATCH(D1850, Archetypes!$A$2:$A$127, 0))*INDEX(Unit_Grades!$C$2:$C$7, MATCH(F1850, Unit_Grades!$A$2:$A$7, 0)),1)</f>
        <v>140</v>
      </c>
      <c r="M1850" s="6" t="n">
        <f aca="false">ROUND(INDEX(Archetypes!$J$2:$J$127, MATCH(D1850, Archetypes!$A$2:$A$127, 0))*INDEX(Unit_Grades!$D$2:$D$7, MATCH(F1850, Unit_Grades!$A$2:$A$7, 0)),1)</f>
        <v>56.8</v>
      </c>
      <c r="N1850" s="6" t="n">
        <f aca="false">ROUND(M1850/24,2)</f>
        <v>2.37</v>
      </c>
    </row>
    <row r="1851" customFormat="false" ht="15" hidden="false" customHeight="true" outlineLevel="0" collapsed="false">
      <c r="A1851" s="6" t="n">
        <v>6</v>
      </c>
      <c r="B1851" s="6" t="s">
        <v>3316</v>
      </c>
      <c r="C1851" s="6" t="s">
        <v>1484</v>
      </c>
      <c r="D1851" s="6" t="str">
        <f aca="false">A1851&amp;"|"&amp;C1851</f>
        <v>6|Void Prophet</v>
      </c>
      <c r="E1851" s="6" t="s">
        <v>1560</v>
      </c>
      <c r="F1851" s="6" t="s">
        <v>1540</v>
      </c>
      <c r="G1851" s="6" t="str">
        <f aca="false">INDEX(Archetypes!$D$2:$D$127, MATCH(D1851, Archetypes!$A$2:$A$127, 0))</f>
        <v>Conquest</v>
      </c>
      <c r="H1851" s="6" t="n">
        <f aca="false">ROUND(INDEX(Archetypes!$E$2:$E$127, MATCH(D1851, Archetypes!$A$2:$A$127, 0))*INDEX(Unit_Grades!$B$2:$B$7, MATCH(F1851, Unit_Grades!$A$2:$A$7, 0))*INDEX(Unit_Paths!$B$2:$B$4, MATCH(E1851, Unit_Paths!$A$2:$A$4, 0)),1)</f>
        <v>68.9</v>
      </c>
      <c r="I1851" s="6" t="n">
        <f aca="false">ROUND(INDEX(Archetypes!$F$2:$F$127, MATCH(D1851, Archetypes!$A$2:$A$127, 0))*INDEX(Unit_Grades!$B$2:$B$7, MATCH(F1851, Unit_Grades!$A$2:$A$7, 0))*INDEX(Unit_Paths!$C$2:$C$4, MATCH(E1851, Unit_Paths!$A$2:$A$4, 0)),1)</f>
        <v>303.8</v>
      </c>
      <c r="J1851" s="6" t="n">
        <f aca="false">ROUND(INDEX(Archetypes!$G$2:$G$127, MATCH(D1851, Archetypes!$A$2:$A$127, 0))*INDEX(Unit_Grades!$B$2:$B$7, MATCH(F1851, Unit_Grades!$A$2:$A$7, 0))*INDEX(Unit_Paths!$D$2:$D$4, MATCH(E1851, Unit_Paths!$A$2:$A$4, 0)),0)</f>
        <v>1863</v>
      </c>
      <c r="K1851" s="6" t="n">
        <f aca="false">ROUND(INDEX(Archetypes!$H$2:$H$127, MATCH(D1851, Archetypes!$A$2:$A$127, 0))*INDEX(Unit_Paths!$E$2:$E$4, MATCH(E1851, Unit_Paths!$A$2:$A$4, 0)),1)</f>
        <v>44.2</v>
      </c>
      <c r="L1851" s="6" t="n">
        <f aca="false">ROUND(INDEX(Archetypes!$I$2:$I$127, MATCH(D1851, Archetypes!$A$2:$A$127, 0))*INDEX(Unit_Grades!$C$2:$C$7, MATCH(F1851, Unit_Grades!$A$2:$A$7, 0)),1)</f>
        <v>175</v>
      </c>
      <c r="M1851" s="6" t="n">
        <f aca="false">ROUND(INDEX(Archetypes!$J$2:$J$127, MATCH(D1851, Archetypes!$A$2:$A$127, 0))*INDEX(Unit_Grades!$D$2:$D$7, MATCH(F1851, Unit_Grades!$A$2:$A$7, 0)),1)</f>
        <v>85.2</v>
      </c>
      <c r="N1851" s="6" t="n">
        <f aca="false">ROUND(M1851/24,2)</f>
        <v>3.55</v>
      </c>
    </row>
    <row r="1852" customFormat="false" ht="15" hidden="false" customHeight="true" outlineLevel="0" collapsed="false">
      <c r="A1852" s="6" t="n">
        <v>6</v>
      </c>
      <c r="B1852" s="6" t="s">
        <v>3317</v>
      </c>
      <c r="C1852" s="6" t="s">
        <v>1484</v>
      </c>
      <c r="D1852" s="6" t="str">
        <f aca="false">A1852&amp;"|"&amp;C1852</f>
        <v>6|Void Prophet</v>
      </c>
      <c r="E1852" s="6" t="s">
        <v>1560</v>
      </c>
      <c r="F1852" s="6" t="s">
        <v>1542</v>
      </c>
      <c r="G1852" s="6" t="str">
        <f aca="false">INDEX(Archetypes!$D$2:$D$127, MATCH(D1852, Archetypes!$A$2:$A$127, 0))</f>
        <v>Conquest</v>
      </c>
      <c r="H1852" s="6" t="n">
        <f aca="false">ROUND(INDEX(Archetypes!$E$2:$E$127, MATCH(D1852, Archetypes!$A$2:$A$127, 0))*INDEX(Unit_Grades!$B$2:$B$7, MATCH(F1852, Unit_Grades!$A$2:$A$7, 0))*INDEX(Unit_Paths!$B$2:$B$4, MATCH(E1852, Unit_Paths!$A$2:$A$4, 0)),1)</f>
        <v>91.8</v>
      </c>
      <c r="I1852" s="6" t="n">
        <f aca="false">ROUND(INDEX(Archetypes!$F$2:$F$127, MATCH(D1852, Archetypes!$A$2:$A$127, 0))*INDEX(Unit_Grades!$B$2:$B$7, MATCH(F1852, Unit_Grades!$A$2:$A$7, 0))*INDEX(Unit_Paths!$C$2:$C$4, MATCH(E1852, Unit_Paths!$A$2:$A$4, 0)),1)</f>
        <v>405</v>
      </c>
      <c r="J1852" s="6" t="n">
        <f aca="false">ROUND(INDEX(Archetypes!$G$2:$G$127, MATCH(D1852, Archetypes!$A$2:$A$127, 0))*INDEX(Unit_Grades!$B$2:$B$7, MATCH(F1852, Unit_Grades!$A$2:$A$7, 0))*INDEX(Unit_Paths!$D$2:$D$4, MATCH(E1852, Unit_Paths!$A$2:$A$4, 0)),0)</f>
        <v>2484</v>
      </c>
      <c r="K1852" s="6" t="n">
        <f aca="false">ROUND(INDEX(Archetypes!$H$2:$H$127, MATCH(D1852, Archetypes!$A$2:$A$127, 0))*INDEX(Unit_Paths!$E$2:$E$4, MATCH(E1852, Unit_Paths!$A$2:$A$4, 0)),1)</f>
        <v>44.2</v>
      </c>
      <c r="L1852" s="6" t="n">
        <f aca="false">ROUND(INDEX(Archetypes!$I$2:$I$127, MATCH(D1852, Archetypes!$A$2:$A$127, 0))*INDEX(Unit_Grades!$C$2:$C$7, MATCH(F1852, Unit_Grades!$A$2:$A$7, 0)),1)</f>
        <v>224</v>
      </c>
      <c r="M1852" s="6" t="n">
        <f aca="false">ROUND(INDEX(Archetypes!$J$2:$J$127, MATCH(D1852, Archetypes!$A$2:$A$127, 0))*INDEX(Unit_Grades!$D$2:$D$7, MATCH(F1852, Unit_Grades!$A$2:$A$7, 0)),1)</f>
        <v>142.1</v>
      </c>
      <c r="N1852" s="6" t="n">
        <f aca="false">ROUND(M1852/24,2)</f>
        <v>5.92</v>
      </c>
    </row>
    <row r="1853" customFormat="false" ht="15" hidden="false" customHeight="true" outlineLevel="0" collapsed="false">
      <c r="A1853" s="6" t="n">
        <v>6</v>
      </c>
      <c r="B1853" s="6" t="s">
        <v>3318</v>
      </c>
      <c r="C1853" s="6" t="s">
        <v>1484</v>
      </c>
      <c r="D1853" s="6" t="str">
        <f aca="false">A1853&amp;"|"&amp;C1853</f>
        <v>6|Void Prophet</v>
      </c>
      <c r="E1853" s="6" t="s">
        <v>1560</v>
      </c>
      <c r="F1853" s="6" t="s">
        <v>1544</v>
      </c>
      <c r="G1853" s="6" t="str">
        <f aca="false">INDEX(Archetypes!$D$2:$D$127, MATCH(D1853, Archetypes!$A$2:$A$127, 0))</f>
        <v>Conquest</v>
      </c>
      <c r="H1853" s="6" t="n">
        <f aca="false">ROUND(INDEX(Archetypes!$E$2:$E$127, MATCH(D1853, Archetypes!$A$2:$A$127, 0))*INDEX(Unit_Grades!$B$2:$B$7, MATCH(F1853, Unit_Grades!$A$2:$A$7, 0))*INDEX(Unit_Paths!$B$2:$B$4, MATCH(E1853, Unit_Paths!$A$2:$A$4, 0)),1)</f>
        <v>122.4</v>
      </c>
      <c r="I1853" s="6" t="n">
        <f aca="false">ROUND(INDEX(Archetypes!$F$2:$F$127, MATCH(D1853, Archetypes!$A$2:$A$127, 0))*INDEX(Unit_Grades!$B$2:$B$7, MATCH(F1853, Unit_Grades!$A$2:$A$7, 0))*INDEX(Unit_Paths!$C$2:$C$4, MATCH(E1853, Unit_Paths!$A$2:$A$4, 0)),1)</f>
        <v>540</v>
      </c>
      <c r="J1853" s="6" t="n">
        <f aca="false">ROUND(INDEX(Archetypes!$G$2:$G$127, MATCH(D1853, Archetypes!$A$2:$A$127, 0))*INDEX(Unit_Grades!$B$2:$B$7, MATCH(F1853, Unit_Grades!$A$2:$A$7, 0))*INDEX(Unit_Paths!$D$2:$D$4, MATCH(E1853, Unit_Paths!$A$2:$A$4, 0)),0)</f>
        <v>3312</v>
      </c>
      <c r="K1853" s="6" t="n">
        <f aca="false">ROUND(INDEX(Archetypes!$H$2:$H$127, MATCH(D1853, Archetypes!$A$2:$A$127, 0))*INDEX(Unit_Paths!$E$2:$E$4, MATCH(E1853, Unit_Paths!$A$2:$A$4, 0)),1)</f>
        <v>44.2</v>
      </c>
      <c r="L1853" s="6" t="n">
        <f aca="false">ROUND(INDEX(Archetypes!$I$2:$I$127, MATCH(D1853, Archetypes!$A$2:$A$127, 0))*INDEX(Unit_Grades!$C$2:$C$7, MATCH(F1853, Unit_Grades!$A$2:$A$7, 0)),1)</f>
        <v>294</v>
      </c>
      <c r="M1853" s="6" t="n">
        <f aca="false">ROUND(INDEX(Archetypes!$J$2:$J$127, MATCH(D1853, Archetypes!$A$2:$A$127, 0))*INDEX(Unit_Grades!$D$2:$D$7, MATCH(F1853, Unit_Grades!$A$2:$A$7, 0)),1)</f>
        <v>227.3</v>
      </c>
      <c r="N1853" s="6" t="n">
        <f aca="false">ROUND(M1853/24,2)</f>
        <v>9.47</v>
      </c>
    </row>
    <row r="1854" customFormat="false" ht="15" hidden="false" customHeight="true" outlineLevel="0" collapsed="false">
      <c r="A1854" s="6" t="n">
        <v>6</v>
      </c>
      <c r="B1854" s="6" t="s">
        <v>3319</v>
      </c>
      <c r="C1854" s="6" t="s">
        <v>1484</v>
      </c>
      <c r="D1854" s="6" t="str">
        <f aca="false">A1854&amp;"|"&amp;C1854</f>
        <v>6|Void Prophet</v>
      </c>
      <c r="E1854" s="6" t="s">
        <v>1560</v>
      </c>
      <c r="F1854" s="6" t="s">
        <v>1546</v>
      </c>
      <c r="G1854" s="6" t="str">
        <f aca="false">INDEX(Archetypes!$D$2:$D$127, MATCH(D1854, Archetypes!$A$2:$A$127, 0))</f>
        <v>Conquest</v>
      </c>
      <c r="H1854" s="6" t="n">
        <f aca="false">ROUND(INDEX(Archetypes!$E$2:$E$127, MATCH(D1854, Archetypes!$A$2:$A$127, 0))*INDEX(Unit_Grades!$B$2:$B$7, MATCH(F1854, Unit_Grades!$A$2:$A$7, 0))*INDEX(Unit_Paths!$B$2:$B$4, MATCH(E1854, Unit_Paths!$A$2:$A$4, 0)),1)</f>
        <v>163.2</v>
      </c>
      <c r="I1854" s="6" t="n">
        <f aca="false">ROUND(INDEX(Archetypes!$F$2:$F$127, MATCH(D1854, Archetypes!$A$2:$A$127, 0))*INDEX(Unit_Grades!$B$2:$B$7, MATCH(F1854, Unit_Grades!$A$2:$A$7, 0))*INDEX(Unit_Paths!$C$2:$C$4, MATCH(E1854, Unit_Paths!$A$2:$A$4, 0)),1)</f>
        <v>720</v>
      </c>
      <c r="J1854" s="6" t="n">
        <f aca="false">ROUND(INDEX(Archetypes!$G$2:$G$127, MATCH(D1854, Archetypes!$A$2:$A$127, 0))*INDEX(Unit_Grades!$B$2:$B$7, MATCH(F1854, Unit_Grades!$A$2:$A$7, 0))*INDEX(Unit_Paths!$D$2:$D$4, MATCH(E1854, Unit_Paths!$A$2:$A$4, 0)),0)</f>
        <v>4416</v>
      </c>
      <c r="K1854" s="6" t="n">
        <f aca="false">ROUND(INDEX(Archetypes!$H$2:$H$127, MATCH(D1854, Archetypes!$A$2:$A$127, 0))*INDEX(Unit_Paths!$E$2:$E$4, MATCH(E1854, Unit_Paths!$A$2:$A$4, 0)),1)</f>
        <v>44.2</v>
      </c>
      <c r="L1854" s="6" t="n">
        <f aca="false">ROUND(INDEX(Archetypes!$I$2:$I$127, MATCH(D1854, Archetypes!$A$2:$A$127, 0))*INDEX(Unit_Grades!$C$2:$C$7, MATCH(F1854, Unit_Grades!$A$2:$A$7, 0)),1)</f>
        <v>392</v>
      </c>
      <c r="M1854" s="6" t="n">
        <f aca="false">ROUND(INDEX(Archetypes!$J$2:$J$127, MATCH(D1854, Archetypes!$A$2:$A$127, 0))*INDEX(Unit_Grades!$D$2:$D$7, MATCH(F1854, Unit_Grades!$A$2:$A$7, 0)),1)</f>
        <v>397.7</v>
      </c>
      <c r="N1854" s="6" t="n">
        <f aca="false">ROUND(M1854/24,2)</f>
        <v>16.57</v>
      </c>
    </row>
    <row r="1855" customFormat="false" ht="15" hidden="false" customHeight="true" outlineLevel="0" collapsed="false">
      <c r="A1855" s="6" t="n">
        <v>6</v>
      </c>
      <c r="B1855" s="6" t="s">
        <v>3320</v>
      </c>
      <c r="C1855" s="6" t="s">
        <v>1484</v>
      </c>
      <c r="D1855" s="6" t="str">
        <f aca="false">A1855&amp;"|"&amp;C1855</f>
        <v>6|Void Prophet</v>
      </c>
      <c r="E1855" s="6" t="s">
        <v>1560</v>
      </c>
      <c r="F1855" s="6" t="s">
        <v>1548</v>
      </c>
      <c r="G1855" s="6" t="str">
        <f aca="false">INDEX(Archetypes!$D$2:$D$127, MATCH(D1855, Archetypes!$A$2:$A$127, 0))</f>
        <v>Conquest</v>
      </c>
      <c r="H1855" s="6" t="n">
        <f aca="false">ROUND(INDEX(Archetypes!$E$2:$E$127, MATCH(D1855, Archetypes!$A$2:$A$127, 0))*INDEX(Unit_Grades!$B$2:$B$7, MATCH(F1855, Unit_Grades!$A$2:$A$7, 0))*INDEX(Unit_Paths!$B$2:$B$4, MATCH(E1855, Unit_Paths!$A$2:$A$4, 0)),1)</f>
        <v>214.2</v>
      </c>
      <c r="I1855" s="6" t="n">
        <f aca="false">ROUND(INDEX(Archetypes!$F$2:$F$127, MATCH(D1855, Archetypes!$A$2:$A$127, 0))*INDEX(Unit_Grades!$B$2:$B$7, MATCH(F1855, Unit_Grades!$A$2:$A$7, 0))*INDEX(Unit_Paths!$C$2:$C$4, MATCH(E1855, Unit_Paths!$A$2:$A$4, 0)),1)</f>
        <v>945</v>
      </c>
      <c r="J1855" s="6" t="n">
        <f aca="false">ROUND(INDEX(Archetypes!$G$2:$G$127, MATCH(D1855, Archetypes!$A$2:$A$127, 0))*INDEX(Unit_Grades!$B$2:$B$7, MATCH(F1855, Unit_Grades!$A$2:$A$7, 0))*INDEX(Unit_Paths!$D$2:$D$4, MATCH(E1855, Unit_Paths!$A$2:$A$4, 0)),0)</f>
        <v>5796</v>
      </c>
      <c r="K1855" s="6" t="n">
        <f aca="false">ROUND(INDEX(Archetypes!$H$2:$H$127, MATCH(D1855, Archetypes!$A$2:$A$127, 0))*INDEX(Unit_Paths!$E$2:$E$4, MATCH(E1855, Unit_Paths!$A$2:$A$4, 0)),1)</f>
        <v>44.2</v>
      </c>
      <c r="L1855" s="6" t="n">
        <f aca="false">ROUND(INDEX(Archetypes!$I$2:$I$127, MATCH(D1855, Archetypes!$A$2:$A$127, 0))*INDEX(Unit_Grades!$C$2:$C$7, MATCH(F1855, Unit_Grades!$A$2:$A$7, 0)),1)</f>
        <v>518</v>
      </c>
      <c r="M1855" s="6" t="n">
        <f aca="false">ROUND(INDEX(Archetypes!$J$2:$J$127, MATCH(D1855, Archetypes!$A$2:$A$127, 0))*INDEX(Unit_Grades!$D$2:$D$7, MATCH(F1855, Unit_Grades!$A$2:$A$7, 0)),1)</f>
        <v>681.8</v>
      </c>
      <c r="N1855" s="6" t="n">
        <f aca="false">ROUND(M1855/24,2)</f>
        <v>28.41</v>
      </c>
    </row>
    <row r="1856" customFormat="false" ht="15" hidden="false" customHeight="true" outlineLevel="0" collapsed="false">
      <c r="A1856" s="6" t="n">
        <v>6</v>
      </c>
      <c r="B1856" s="6" t="s">
        <v>1486</v>
      </c>
      <c r="C1856" s="6" t="s">
        <v>1486</v>
      </c>
      <c r="D1856" s="6" t="str">
        <f aca="false">A1856&amp;"|"&amp;C1856</f>
        <v>6|Sentinel Platform</v>
      </c>
      <c r="E1856" s="6" t="s">
        <v>1556</v>
      </c>
      <c r="F1856" s="6" t="s">
        <v>1538</v>
      </c>
      <c r="G1856" s="6" t="str">
        <f aca="false">INDEX(Archetypes!$D$2:$D$127, MATCH(D1856, Archetypes!$A$2:$A$127, 0))</f>
        <v>Static Defense</v>
      </c>
      <c r="H1856" s="6" t="n">
        <f aca="false">ROUND(INDEX(Archetypes!$E$2:$E$127, MATCH(D1856, Archetypes!$A$2:$A$127, 0))*INDEX(Unit_Grades!$B$2:$B$7, MATCH(F1856, Unit_Grades!$A$2:$A$7, 0))*INDEX(Unit_Paths!$B$2:$B$4, MATCH(E1856, Unit_Paths!$A$2:$A$4, 0)),1)</f>
        <v>900</v>
      </c>
      <c r="I1856" s="6" t="n">
        <f aca="false">ROUND(INDEX(Archetypes!$F$2:$F$127, MATCH(D1856, Archetypes!$A$2:$A$127, 0))*INDEX(Unit_Grades!$B$2:$B$7, MATCH(F1856, Unit_Grades!$A$2:$A$7, 0))*INDEX(Unit_Paths!$C$2:$C$4, MATCH(E1856, Unit_Paths!$A$2:$A$4, 0)),1)</f>
        <v>900</v>
      </c>
      <c r="J1856" s="6" t="n">
        <f aca="false">ROUND(INDEX(Archetypes!$G$2:$G$127, MATCH(D1856, Archetypes!$A$2:$A$127, 0))*INDEX(Unit_Grades!$B$2:$B$7, MATCH(F1856, Unit_Grades!$A$2:$A$7, 0))*INDEX(Unit_Paths!$D$2:$D$4, MATCH(E1856, Unit_Paths!$A$2:$A$4, 0)),0)</f>
        <v>5200</v>
      </c>
      <c r="K1856" s="6" t="n">
        <f aca="false">ROUND(INDEX(Archetypes!$H$2:$H$127, MATCH(D1856, Archetypes!$A$2:$A$127, 0))*INDEX(Unit_Paths!$E$2:$E$4, MATCH(E1856, Unit_Paths!$A$2:$A$4, 0)),1)</f>
        <v>0</v>
      </c>
      <c r="L1856" s="6" t="n">
        <f aca="false">ROUND(INDEX(Archetypes!$I$2:$I$127, MATCH(D1856, Archetypes!$A$2:$A$127, 0))*INDEX(Unit_Grades!$C$2:$C$7, MATCH(F1856, Unit_Grades!$A$2:$A$7, 0)),1)</f>
        <v>90</v>
      </c>
      <c r="M1856" s="6" t="n">
        <f aca="false">ROUND(INDEX(Archetypes!$J$2:$J$127, MATCH(D1856, Archetypes!$A$2:$A$127, 0))*INDEX(Unit_Grades!$D$2:$D$7, MATCH(F1856, Unit_Grades!$A$2:$A$7, 0)),1)</f>
        <v>36.5</v>
      </c>
      <c r="N1856" s="6" t="n">
        <f aca="false">ROUND(M1856/24,2)</f>
        <v>1.52</v>
      </c>
    </row>
    <row r="1857" customFormat="false" ht="15" hidden="false" customHeight="true" outlineLevel="0" collapsed="false">
      <c r="A1857" s="6" t="n">
        <v>6</v>
      </c>
      <c r="B1857" s="6" t="s">
        <v>3321</v>
      </c>
      <c r="C1857" s="6" t="s">
        <v>1486</v>
      </c>
      <c r="D1857" s="6" t="str">
        <f aca="false">A1857&amp;"|"&amp;C1857</f>
        <v>6|Sentinel Platform</v>
      </c>
      <c r="E1857" s="6" t="s">
        <v>1556</v>
      </c>
      <c r="F1857" s="6" t="s">
        <v>1540</v>
      </c>
      <c r="G1857" s="6" t="str">
        <f aca="false">INDEX(Archetypes!$D$2:$D$127, MATCH(D1857, Archetypes!$A$2:$A$127, 0))</f>
        <v>Static Defense</v>
      </c>
      <c r="H1857" s="6" t="n">
        <f aca="false">ROUND(INDEX(Archetypes!$E$2:$E$127, MATCH(D1857, Archetypes!$A$2:$A$127, 0))*INDEX(Unit_Grades!$B$2:$B$7, MATCH(F1857, Unit_Grades!$A$2:$A$7, 0))*INDEX(Unit_Paths!$B$2:$B$4, MATCH(E1857, Unit_Paths!$A$2:$A$4, 0)),1)</f>
        <v>1215</v>
      </c>
      <c r="I1857" s="6" t="n">
        <f aca="false">ROUND(INDEX(Archetypes!$F$2:$F$127, MATCH(D1857, Archetypes!$A$2:$A$127, 0))*INDEX(Unit_Grades!$B$2:$B$7, MATCH(F1857, Unit_Grades!$A$2:$A$7, 0))*INDEX(Unit_Paths!$C$2:$C$4, MATCH(E1857, Unit_Paths!$A$2:$A$4, 0)),1)</f>
        <v>1215</v>
      </c>
      <c r="J1857" s="6" t="n">
        <f aca="false">ROUND(INDEX(Archetypes!$G$2:$G$127, MATCH(D1857, Archetypes!$A$2:$A$127, 0))*INDEX(Unit_Grades!$B$2:$B$7, MATCH(F1857, Unit_Grades!$A$2:$A$7, 0))*INDEX(Unit_Paths!$D$2:$D$4, MATCH(E1857, Unit_Paths!$A$2:$A$4, 0)),0)</f>
        <v>7020</v>
      </c>
      <c r="K1857" s="6" t="n">
        <f aca="false">ROUND(INDEX(Archetypes!$H$2:$H$127, MATCH(D1857, Archetypes!$A$2:$A$127, 0))*INDEX(Unit_Paths!$E$2:$E$4, MATCH(E1857, Unit_Paths!$A$2:$A$4, 0)),1)</f>
        <v>0</v>
      </c>
      <c r="L1857" s="6" t="n">
        <f aca="false">ROUND(INDEX(Archetypes!$I$2:$I$127, MATCH(D1857, Archetypes!$A$2:$A$127, 0))*INDEX(Unit_Grades!$C$2:$C$7, MATCH(F1857, Unit_Grades!$A$2:$A$7, 0)),1)</f>
        <v>112.5</v>
      </c>
      <c r="M1857" s="6" t="n">
        <f aca="false">ROUND(INDEX(Archetypes!$J$2:$J$127, MATCH(D1857, Archetypes!$A$2:$A$127, 0))*INDEX(Unit_Grades!$D$2:$D$7, MATCH(F1857, Unit_Grades!$A$2:$A$7, 0)),1)</f>
        <v>54.8</v>
      </c>
      <c r="N1857" s="6" t="n">
        <f aca="false">ROUND(M1857/24,2)</f>
        <v>2.28</v>
      </c>
    </row>
    <row r="1858" customFormat="false" ht="15" hidden="false" customHeight="true" outlineLevel="0" collapsed="false">
      <c r="A1858" s="6" t="n">
        <v>6</v>
      </c>
      <c r="B1858" s="6" t="s">
        <v>3322</v>
      </c>
      <c r="C1858" s="6" t="s">
        <v>1486</v>
      </c>
      <c r="D1858" s="6" t="str">
        <f aca="false">A1858&amp;"|"&amp;C1858</f>
        <v>6|Sentinel Platform</v>
      </c>
      <c r="E1858" s="6" t="s">
        <v>1556</v>
      </c>
      <c r="F1858" s="6" t="s">
        <v>1542</v>
      </c>
      <c r="G1858" s="6" t="str">
        <f aca="false">INDEX(Archetypes!$D$2:$D$127, MATCH(D1858, Archetypes!$A$2:$A$127, 0))</f>
        <v>Static Defense</v>
      </c>
      <c r="H1858" s="6" t="n">
        <f aca="false">ROUND(INDEX(Archetypes!$E$2:$E$127, MATCH(D1858, Archetypes!$A$2:$A$127, 0))*INDEX(Unit_Grades!$B$2:$B$7, MATCH(F1858, Unit_Grades!$A$2:$A$7, 0))*INDEX(Unit_Paths!$B$2:$B$4, MATCH(E1858, Unit_Paths!$A$2:$A$4, 0)),1)</f>
        <v>1620</v>
      </c>
      <c r="I1858" s="6" t="n">
        <f aca="false">ROUND(INDEX(Archetypes!$F$2:$F$127, MATCH(D1858, Archetypes!$A$2:$A$127, 0))*INDEX(Unit_Grades!$B$2:$B$7, MATCH(F1858, Unit_Grades!$A$2:$A$7, 0))*INDEX(Unit_Paths!$C$2:$C$4, MATCH(E1858, Unit_Paths!$A$2:$A$4, 0)),1)</f>
        <v>1620</v>
      </c>
      <c r="J1858" s="6" t="n">
        <f aca="false">ROUND(INDEX(Archetypes!$G$2:$G$127, MATCH(D1858, Archetypes!$A$2:$A$127, 0))*INDEX(Unit_Grades!$B$2:$B$7, MATCH(F1858, Unit_Grades!$A$2:$A$7, 0))*INDEX(Unit_Paths!$D$2:$D$4, MATCH(E1858, Unit_Paths!$A$2:$A$4, 0)),0)</f>
        <v>9360</v>
      </c>
      <c r="K1858" s="6" t="n">
        <f aca="false">ROUND(INDEX(Archetypes!$H$2:$H$127, MATCH(D1858, Archetypes!$A$2:$A$127, 0))*INDEX(Unit_Paths!$E$2:$E$4, MATCH(E1858, Unit_Paths!$A$2:$A$4, 0)),1)</f>
        <v>0</v>
      </c>
      <c r="L1858" s="6" t="n">
        <f aca="false">ROUND(INDEX(Archetypes!$I$2:$I$127, MATCH(D1858, Archetypes!$A$2:$A$127, 0))*INDEX(Unit_Grades!$C$2:$C$7, MATCH(F1858, Unit_Grades!$A$2:$A$7, 0)),1)</f>
        <v>144</v>
      </c>
      <c r="M1858" s="6" t="n">
        <f aca="false">ROUND(INDEX(Archetypes!$J$2:$J$127, MATCH(D1858, Archetypes!$A$2:$A$127, 0))*INDEX(Unit_Grades!$D$2:$D$7, MATCH(F1858, Unit_Grades!$A$2:$A$7, 0)),1)</f>
        <v>91.3</v>
      </c>
      <c r="N1858" s="6" t="n">
        <f aca="false">ROUND(M1858/24,2)</f>
        <v>3.8</v>
      </c>
    </row>
    <row r="1859" customFormat="false" ht="15" hidden="false" customHeight="true" outlineLevel="0" collapsed="false">
      <c r="A1859" s="6" t="n">
        <v>6</v>
      </c>
      <c r="B1859" s="6" t="s">
        <v>3323</v>
      </c>
      <c r="C1859" s="6" t="s">
        <v>1486</v>
      </c>
      <c r="D1859" s="6" t="str">
        <f aca="false">A1859&amp;"|"&amp;C1859</f>
        <v>6|Sentinel Platform</v>
      </c>
      <c r="E1859" s="6" t="s">
        <v>1556</v>
      </c>
      <c r="F1859" s="6" t="s">
        <v>1544</v>
      </c>
      <c r="G1859" s="6" t="str">
        <f aca="false">INDEX(Archetypes!$D$2:$D$127, MATCH(D1859, Archetypes!$A$2:$A$127, 0))</f>
        <v>Static Defense</v>
      </c>
      <c r="H1859" s="6" t="n">
        <f aca="false">ROUND(INDEX(Archetypes!$E$2:$E$127, MATCH(D1859, Archetypes!$A$2:$A$127, 0))*INDEX(Unit_Grades!$B$2:$B$7, MATCH(F1859, Unit_Grades!$A$2:$A$7, 0))*INDEX(Unit_Paths!$B$2:$B$4, MATCH(E1859, Unit_Paths!$A$2:$A$4, 0)),1)</f>
        <v>2160</v>
      </c>
      <c r="I1859" s="6" t="n">
        <f aca="false">ROUND(INDEX(Archetypes!$F$2:$F$127, MATCH(D1859, Archetypes!$A$2:$A$127, 0))*INDEX(Unit_Grades!$B$2:$B$7, MATCH(F1859, Unit_Grades!$A$2:$A$7, 0))*INDEX(Unit_Paths!$C$2:$C$4, MATCH(E1859, Unit_Paths!$A$2:$A$4, 0)),1)</f>
        <v>2160</v>
      </c>
      <c r="J1859" s="6" t="n">
        <f aca="false">ROUND(INDEX(Archetypes!$G$2:$G$127, MATCH(D1859, Archetypes!$A$2:$A$127, 0))*INDEX(Unit_Grades!$B$2:$B$7, MATCH(F1859, Unit_Grades!$A$2:$A$7, 0))*INDEX(Unit_Paths!$D$2:$D$4, MATCH(E1859, Unit_Paths!$A$2:$A$4, 0)),0)</f>
        <v>12480</v>
      </c>
      <c r="K1859" s="6" t="n">
        <f aca="false">ROUND(INDEX(Archetypes!$H$2:$H$127, MATCH(D1859, Archetypes!$A$2:$A$127, 0))*INDEX(Unit_Paths!$E$2:$E$4, MATCH(E1859, Unit_Paths!$A$2:$A$4, 0)),1)</f>
        <v>0</v>
      </c>
      <c r="L1859" s="6" t="n">
        <f aca="false">ROUND(INDEX(Archetypes!$I$2:$I$127, MATCH(D1859, Archetypes!$A$2:$A$127, 0))*INDEX(Unit_Grades!$C$2:$C$7, MATCH(F1859, Unit_Grades!$A$2:$A$7, 0)),1)</f>
        <v>189</v>
      </c>
      <c r="M1859" s="6" t="n">
        <f aca="false">ROUND(INDEX(Archetypes!$J$2:$J$127, MATCH(D1859, Archetypes!$A$2:$A$127, 0))*INDEX(Unit_Grades!$D$2:$D$7, MATCH(F1859, Unit_Grades!$A$2:$A$7, 0)),1)</f>
        <v>146.1</v>
      </c>
      <c r="N1859" s="6" t="n">
        <f aca="false">ROUND(M1859/24,2)</f>
        <v>6.09</v>
      </c>
    </row>
    <row r="1860" customFormat="false" ht="15" hidden="false" customHeight="true" outlineLevel="0" collapsed="false">
      <c r="A1860" s="6" t="n">
        <v>6</v>
      </c>
      <c r="B1860" s="6" t="s">
        <v>3324</v>
      </c>
      <c r="C1860" s="6" t="s">
        <v>1486</v>
      </c>
      <c r="D1860" s="6" t="str">
        <f aca="false">A1860&amp;"|"&amp;C1860</f>
        <v>6|Sentinel Platform</v>
      </c>
      <c r="E1860" s="6" t="s">
        <v>1556</v>
      </c>
      <c r="F1860" s="6" t="s">
        <v>1546</v>
      </c>
      <c r="G1860" s="6" t="str">
        <f aca="false">INDEX(Archetypes!$D$2:$D$127, MATCH(D1860, Archetypes!$A$2:$A$127, 0))</f>
        <v>Static Defense</v>
      </c>
      <c r="H1860" s="6" t="n">
        <f aca="false">ROUND(INDEX(Archetypes!$E$2:$E$127, MATCH(D1860, Archetypes!$A$2:$A$127, 0))*INDEX(Unit_Grades!$B$2:$B$7, MATCH(F1860, Unit_Grades!$A$2:$A$7, 0))*INDEX(Unit_Paths!$B$2:$B$4, MATCH(E1860, Unit_Paths!$A$2:$A$4, 0)),1)</f>
        <v>2880</v>
      </c>
      <c r="I1860" s="6" t="n">
        <f aca="false">ROUND(INDEX(Archetypes!$F$2:$F$127, MATCH(D1860, Archetypes!$A$2:$A$127, 0))*INDEX(Unit_Grades!$B$2:$B$7, MATCH(F1860, Unit_Grades!$A$2:$A$7, 0))*INDEX(Unit_Paths!$C$2:$C$4, MATCH(E1860, Unit_Paths!$A$2:$A$4, 0)),1)</f>
        <v>2880</v>
      </c>
      <c r="J1860" s="6" t="n">
        <f aca="false">ROUND(INDEX(Archetypes!$G$2:$G$127, MATCH(D1860, Archetypes!$A$2:$A$127, 0))*INDEX(Unit_Grades!$B$2:$B$7, MATCH(F1860, Unit_Grades!$A$2:$A$7, 0))*INDEX(Unit_Paths!$D$2:$D$4, MATCH(E1860, Unit_Paths!$A$2:$A$4, 0)),0)</f>
        <v>16640</v>
      </c>
      <c r="K1860" s="6" t="n">
        <f aca="false">ROUND(INDEX(Archetypes!$H$2:$H$127, MATCH(D1860, Archetypes!$A$2:$A$127, 0))*INDEX(Unit_Paths!$E$2:$E$4, MATCH(E1860, Unit_Paths!$A$2:$A$4, 0)),1)</f>
        <v>0</v>
      </c>
      <c r="L1860" s="6" t="n">
        <f aca="false">ROUND(INDEX(Archetypes!$I$2:$I$127, MATCH(D1860, Archetypes!$A$2:$A$127, 0))*INDEX(Unit_Grades!$C$2:$C$7, MATCH(F1860, Unit_Grades!$A$2:$A$7, 0)),1)</f>
        <v>252</v>
      </c>
      <c r="M1860" s="6" t="n">
        <f aca="false">ROUND(INDEX(Archetypes!$J$2:$J$127, MATCH(D1860, Archetypes!$A$2:$A$127, 0))*INDEX(Unit_Grades!$D$2:$D$7, MATCH(F1860, Unit_Grades!$A$2:$A$7, 0)),1)</f>
        <v>255.7</v>
      </c>
      <c r="N1860" s="6" t="n">
        <f aca="false">ROUND(M1860/24,2)</f>
        <v>10.65</v>
      </c>
    </row>
    <row r="1861" customFormat="false" ht="15" hidden="false" customHeight="true" outlineLevel="0" collapsed="false">
      <c r="A1861" s="6" t="n">
        <v>6</v>
      </c>
      <c r="B1861" s="6" t="s">
        <v>3325</v>
      </c>
      <c r="C1861" s="6" t="s">
        <v>1486</v>
      </c>
      <c r="D1861" s="6" t="str">
        <f aca="false">A1861&amp;"|"&amp;C1861</f>
        <v>6|Sentinel Platform</v>
      </c>
      <c r="E1861" s="6" t="s">
        <v>1556</v>
      </c>
      <c r="F1861" s="6" t="s">
        <v>1548</v>
      </c>
      <c r="G1861" s="6" t="str">
        <f aca="false">INDEX(Archetypes!$D$2:$D$127, MATCH(D1861, Archetypes!$A$2:$A$127, 0))</f>
        <v>Static Defense</v>
      </c>
      <c r="H1861" s="6" t="n">
        <f aca="false">ROUND(INDEX(Archetypes!$E$2:$E$127, MATCH(D1861, Archetypes!$A$2:$A$127, 0))*INDEX(Unit_Grades!$B$2:$B$7, MATCH(F1861, Unit_Grades!$A$2:$A$7, 0))*INDEX(Unit_Paths!$B$2:$B$4, MATCH(E1861, Unit_Paths!$A$2:$A$4, 0)),1)</f>
        <v>3780</v>
      </c>
      <c r="I1861" s="6" t="n">
        <f aca="false">ROUND(INDEX(Archetypes!$F$2:$F$127, MATCH(D1861, Archetypes!$A$2:$A$127, 0))*INDEX(Unit_Grades!$B$2:$B$7, MATCH(F1861, Unit_Grades!$A$2:$A$7, 0))*INDEX(Unit_Paths!$C$2:$C$4, MATCH(E1861, Unit_Paths!$A$2:$A$4, 0)),1)</f>
        <v>3780</v>
      </c>
      <c r="J1861" s="6" t="n">
        <f aca="false">ROUND(INDEX(Archetypes!$G$2:$G$127, MATCH(D1861, Archetypes!$A$2:$A$127, 0))*INDEX(Unit_Grades!$B$2:$B$7, MATCH(F1861, Unit_Grades!$A$2:$A$7, 0))*INDEX(Unit_Paths!$D$2:$D$4, MATCH(E1861, Unit_Paths!$A$2:$A$4, 0)),0)</f>
        <v>21840</v>
      </c>
      <c r="K1861" s="6" t="n">
        <f aca="false">ROUND(INDEX(Archetypes!$H$2:$H$127, MATCH(D1861, Archetypes!$A$2:$A$127, 0))*INDEX(Unit_Paths!$E$2:$E$4, MATCH(E1861, Unit_Paths!$A$2:$A$4, 0)),1)</f>
        <v>0</v>
      </c>
      <c r="L1861" s="6" t="n">
        <f aca="false">ROUND(INDEX(Archetypes!$I$2:$I$127, MATCH(D1861, Archetypes!$A$2:$A$127, 0))*INDEX(Unit_Grades!$C$2:$C$7, MATCH(F1861, Unit_Grades!$A$2:$A$7, 0)),1)</f>
        <v>333</v>
      </c>
      <c r="M1861" s="6" t="n">
        <f aca="false">ROUND(INDEX(Archetypes!$J$2:$J$127, MATCH(D1861, Archetypes!$A$2:$A$127, 0))*INDEX(Unit_Grades!$D$2:$D$7, MATCH(F1861, Unit_Grades!$A$2:$A$7, 0)),1)</f>
        <v>438.4</v>
      </c>
      <c r="N1861" s="6" t="n">
        <f aca="false">ROUND(M1861/24,2)</f>
        <v>18.27</v>
      </c>
    </row>
    <row r="1862" customFormat="false" ht="15" hidden="false" customHeight="true" outlineLevel="0" collapsed="false">
      <c r="A1862" s="6" t="n">
        <v>6</v>
      </c>
      <c r="B1862" s="6" t="s">
        <v>3326</v>
      </c>
      <c r="C1862" s="6" t="s">
        <v>1486</v>
      </c>
      <c r="D1862" s="6" t="str">
        <f aca="false">A1862&amp;"|"&amp;C1862</f>
        <v>6|Sentinel Platform</v>
      </c>
      <c r="E1862" s="6" t="s">
        <v>1558</v>
      </c>
      <c r="F1862" s="6" t="s">
        <v>1538</v>
      </c>
      <c r="G1862" s="6" t="str">
        <f aca="false">INDEX(Archetypes!$D$2:$D$127, MATCH(D1862, Archetypes!$A$2:$A$127, 0))</f>
        <v>Static Defense</v>
      </c>
      <c r="H1862" s="6" t="n">
        <f aca="false">ROUND(INDEX(Archetypes!$E$2:$E$127, MATCH(D1862, Archetypes!$A$2:$A$127, 0))*INDEX(Unit_Grades!$B$2:$B$7, MATCH(F1862, Unit_Grades!$A$2:$A$7, 0))*INDEX(Unit_Paths!$B$2:$B$4, MATCH(E1862, Unit_Paths!$A$2:$A$4, 0)),1)</f>
        <v>1080</v>
      </c>
      <c r="I1862" s="6" t="n">
        <f aca="false">ROUND(INDEX(Archetypes!$F$2:$F$127, MATCH(D1862, Archetypes!$A$2:$A$127, 0))*INDEX(Unit_Grades!$B$2:$B$7, MATCH(F1862, Unit_Grades!$A$2:$A$7, 0))*INDEX(Unit_Paths!$C$2:$C$4, MATCH(E1862, Unit_Paths!$A$2:$A$4, 0)),1)</f>
        <v>765</v>
      </c>
      <c r="J1862" s="6" t="n">
        <f aca="false">ROUND(INDEX(Archetypes!$G$2:$G$127, MATCH(D1862, Archetypes!$A$2:$A$127, 0))*INDEX(Unit_Grades!$B$2:$B$7, MATCH(F1862, Unit_Grades!$A$2:$A$7, 0))*INDEX(Unit_Paths!$D$2:$D$4, MATCH(E1862, Unit_Paths!$A$2:$A$4, 0)),0)</f>
        <v>4940</v>
      </c>
      <c r="K1862" s="6" t="n">
        <f aca="false">ROUND(INDEX(Archetypes!$H$2:$H$127, MATCH(D1862, Archetypes!$A$2:$A$127, 0))*INDEX(Unit_Paths!$E$2:$E$4, MATCH(E1862, Unit_Paths!$A$2:$A$4, 0)),1)</f>
        <v>0</v>
      </c>
      <c r="L1862" s="6" t="n">
        <f aca="false">ROUND(INDEX(Archetypes!$I$2:$I$127, MATCH(D1862, Archetypes!$A$2:$A$127, 0))*INDEX(Unit_Grades!$C$2:$C$7, MATCH(F1862, Unit_Grades!$A$2:$A$7, 0)),1)</f>
        <v>90</v>
      </c>
      <c r="M1862" s="6" t="n">
        <f aca="false">ROUND(INDEX(Archetypes!$J$2:$J$127, MATCH(D1862, Archetypes!$A$2:$A$127, 0))*INDEX(Unit_Grades!$D$2:$D$7, MATCH(F1862, Unit_Grades!$A$2:$A$7, 0)),1)</f>
        <v>36.5</v>
      </c>
      <c r="N1862" s="6" t="n">
        <f aca="false">ROUND(M1862/24,2)</f>
        <v>1.52</v>
      </c>
    </row>
    <row r="1863" customFormat="false" ht="15" hidden="false" customHeight="true" outlineLevel="0" collapsed="false">
      <c r="A1863" s="6" t="n">
        <v>6</v>
      </c>
      <c r="B1863" s="6" t="s">
        <v>3327</v>
      </c>
      <c r="C1863" s="6" t="s">
        <v>1486</v>
      </c>
      <c r="D1863" s="6" t="str">
        <f aca="false">A1863&amp;"|"&amp;C1863</f>
        <v>6|Sentinel Platform</v>
      </c>
      <c r="E1863" s="6" t="s">
        <v>1558</v>
      </c>
      <c r="F1863" s="6" t="s">
        <v>1540</v>
      </c>
      <c r="G1863" s="6" t="str">
        <f aca="false">INDEX(Archetypes!$D$2:$D$127, MATCH(D1863, Archetypes!$A$2:$A$127, 0))</f>
        <v>Static Defense</v>
      </c>
      <c r="H1863" s="6" t="n">
        <f aca="false">ROUND(INDEX(Archetypes!$E$2:$E$127, MATCH(D1863, Archetypes!$A$2:$A$127, 0))*INDEX(Unit_Grades!$B$2:$B$7, MATCH(F1863, Unit_Grades!$A$2:$A$7, 0))*INDEX(Unit_Paths!$B$2:$B$4, MATCH(E1863, Unit_Paths!$A$2:$A$4, 0)),1)</f>
        <v>1458</v>
      </c>
      <c r="I1863" s="6" t="n">
        <f aca="false">ROUND(INDEX(Archetypes!$F$2:$F$127, MATCH(D1863, Archetypes!$A$2:$A$127, 0))*INDEX(Unit_Grades!$B$2:$B$7, MATCH(F1863, Unit_Grades!$A$2:$A$7, 0))*INDEX(Unit_Paths!$C$2:$C$4, MATCH(E1863, Unit_Paths!$A$2:$A$4, 0)),1)</f>
        <v>1032.8</v>
      </c>
      <c r="J1863" s="6" t="n">
        <f aca="false">ROUND(INDEX(Archetypes!$G$2:$G$127, MATCH(D1863, Archetypes!$A$2:$A$127, 0))*INDEX(Unit_Grades!$B$2:$B$7, MATCH(F1863, Unit_Grades!$A$2:$A$7, 0))*INDEX(Unit_Paths!$D$2:$D$4, MATCH(E1863, Unit_Paths!$A$2:$A$4, 0)),0)</f>
        <v>6669</v>
      </c>
      <c r="K1863" s="6" t="n">
        <f aca="false">ROUND(INDEX(Archetypes!$H$2:$H$127, MATCH(D1863, Archetypes!$A$2:$A$127, 0))*INDEX(Unit_Paths!$E$2:$E$4, MATCH(E1863, Unit_Paths!$A$2:$A$4, 0)),1)</f>
        <v>0</v>
      </c>
      <c r="L1863" s="6" t="n">
        <f aca="false">ROUND(INDEX(Archetypes!$I$2:$I$127, MATCH(D1863, Archetypes!$A$2:$A$127, 0))*INDEX(Unit_Grades!$C$2:$C$7, MATCH(F1863, Unit_Grades!$A$2:$A$7, 0)),1)</f>
        <v>112.5</v>
      </c>
      <c r="M1863" s="6" t="n">
        <f aca="false">ROUND(INDEX(Archetypes!$J$2:$J$127, MATCH(D1863, Archetypes!$A$2:$A$127, 0))*INDEX(Unit_Grades!$D$2:$D$7, MATCH(F1863, Unit_Grades!$A$2:$A$7, 0)),1)</f>
        <v>54.8</v>
      </c>
      <c r="N1863" s="6" t="n">
        <f aca="false">ROUND(M1863/24,2)</f>
        <v>2.28</v>
      </c>
    </row>
    <row r="1864" customFormat="false" ht="15" hidden="false" customHeight="true" outlineLevel="0" collapsed="false">
      <c r="A1864" s="6" t="n">
        <v>6</v>
      </c>
      <c r="B1864" s="6" t="s">
        <v>3328</v>
      </c>
      <c r="C1864" s="6" t="s">
        <v>1486</v>
      </c>
      <c r="D1864" s="6" t="str">
        <f aca="false">A1864&amp;"|"&amp;C1864</f>
        <v>6|Sentinel Platform</v>
      </c>
      <c r="E1864" s="6" t="s">
        <v>1558</v>
      </c>
      <c r="F1864" s="6" t="s">
        <v>1542</v>
      </c>
      <c r="G1864" s="6" t="str">
        <f aca="false">INDEX(Archetypes!$D$2:$D$127, MATCH(D1864, Archetypes!$A$2:$A$127, 0))</f>
        <v>Static Defense</v>
      </c>
      <c r="H1864" s="6" t="n">
        <f aca="false">ROUND(INDEX(Archetypes!$E$2:$E$127, MATCH(D1864, Archetypes!$A$2:$A$127, 0))*INDEX(Unit_Grades!$B$2:$B$7, MATCH(F1864, Unit_Grades!$A$2:$A$7, 0))*INDEX(Unit_Paths!$B$2:$B$4, MATCH(E1864, Unit_Paths!$A$2:$A$4, 0)),1)</f>
        <v>1944</v>
      </c>
      <c r="I1864" s="6" t="n">
        <f aca="false">ROUND(INDEX(Archetypes!$F$2:$F$127, MATCH(D1864, Archetypes!$A$2:$A$127, 0))*INDEX(Unit_Grades!$B$2:$B$7, MATCH(F1864, Unit_Grades!$A$2:$A$7, 0))*INDEX(Unit_Paths!$C$2:$C$4, MATCH(E1864, Unit_Paths!$A$2:$A$4, 0)),1)</f>
        <v>1377</v>
      </c>
      <c r="J1864" s="6" t="n">
        <f aca="false">ROUND(INDEX(Archetypes!$G$2:$G$127, MATCH(D1864, Archetypes!$A$2:$A$127, 0))*INDEX(Unit_Grades!$B$2:$B$7, MATCH(F1864, Unit_Grades!$A$2:$A$7, 0))*INDEX(Unit_Paths!$D$2:$D$4, MATCH(E1864, Unit_Paths!$A$2:$A$4, 0)),0)</f>
        <v>8892</v>
      </c>
      <c r="K1864" s="6" t="n">
        <f aca="false">ROUND(INDEX(Archetypes!$H$2:$H$127, MATCH(D1864, Archetypes!$A$2:$A$127, 0))*INDEX(Unit_Paths!$E$2:$E$4, MATCH(E1864, Unit_Paths!$A$2:$A$4, 0)),1)</f>
        <v>0</v>
      </c>
      <c r="L1864" s="6" t="n">
        <f aca="false">ROUND(INDEX(Archetypes!$I$2:$I$127, MATCH(D1864, Archetypes!$A$2:$A$127, 0))*INDEX(Unit_Grades!$C$2:$C$7, MATCH(F1864, Unit_Grades!$A$2:$A$7, 0)),1)</f>
        <v>144</v>
      </c>
      <c r="M1864" s="6" t="n">
        <f aca="false">ROUND(INDEX(Archetypes!$J$2:$J$127, MATCH(D1864, Archetypes!$A$2:$A$127, 0))*INDEX(Unit_Grades!$D$2:$D$7, MATCH(F1864, Unit_Grades!$A$2:$A$7, 0)),1)</f>
        <v>91.3</v>
      </c>
      <c r="N1864" s="6" t="n">
        <f aca="false">ROUND(M1864/24,2)</f>
        <v>3.8</v>
      </c>
    </row>
    <row r="1865" customFormat="false" ht="15" hidden="false" customHeight="true" outlineLevel="0" collapsed="false">
      <c r="A1865" s="6" t="n">
        <v>6</v>
      </c>
      <c r="B1865" s="6" t="s">
        <v>3329</v>
      </c>
      <c r="C1865" s="6" t="s">
        <v>1486</v>
      </c>
      <c r="D1865" s="6" t="str">
        <f aca="false">A1865&amp;"|"&amp;C1865</f>
        <v>6|Sentinel Platform</v>
      </c>
      <c r="E1865" s="6" t="s">
        <v>1558</v>
      </c>
      <c r="F1865" s="6" t="s">
        <v>1544</v>
      </c>
      <c r="G1865" s="6" t="str">
        <f aca="false">INDEX(Archetypes!$D$2:$D$127, MATCH(D1865, Archetypes!$A$2:$A$127, 0))</f>
        <v>Static Defense</v>
      </c>
      <c r="H1865" s="6" t="n">
        <f aca="false">ROUND(INDEX(Archetypes!$E$2:$E$127, MATCH(D1865, Archetypes!$A$2:$A$127, 0))*INDEX(Unit_Grades!$B$2:$B$7, MATCH(F1865, Unit_Grades!$A$2:$A$7, 0))*INDEX(Unit_Paths!$B$2:$B$4, MATCH(E1865, Unit_Paths!$A$2:$A$4, 0)),1)</f>
        <v>2592</v>
      </c>
      <c r="I1865" s="6" t="n">
        <f aca="false">ROUND(INDEX(Archetypes!$F$2:$F$127, MATCH(D1865, Archetypes!$A$2:$A$127, 0))*INDEX(Unit_Grades!$B$2:$B$7, MATCH(F1865, Unit_Grades!$A$2:$A$7, 0))*INDEX(Unit_Paths!$C$2:$C$4, MATCH(E1865, Unit_Paths!$A$2:$A$4, 0)),1)</f>
        <v>1836</v>
      </c>
      <c r="J1865" s="6" t="n">
        <f aca="false">ROUND(INDEX(Archetypes!$G$2:$G$127, MATCH(D1865, Archetypes!$A$2:$A$127, 0))*INDEX(Unit_Grades!$B$2:$B$7, MATCH(F1865, Unit_Grades!$A$2:$A$7, 0))*INDEX(Unit_Paths!$D$2:$D$4, MATCH(E1865, Unit_Paths!$A$2:$A$4, 0)),0)</f>
        <v>11856</v>
      </c>
      <c r="K1865" s="6" t="n">
        <f aca="false">ROUND(INDEX(Archetypes!$H$2:$H$127, MATCH(D1865, Archetypes!$A$2:$A$127, 0))*INDEX(Unit_Paths!$E$2:$E$4, MATCH(E1865, Unit_Paths!$A$2:$A$4, 0)),1)</f>
        <v>0</v>
      </c>
      <c r="L1865" s="6" t="n">
        <f aca="false">ROUND(INDEX(Archetypes!$I$2:$I$127, MATCH(D1865, Archetypes!$A$2:$A$127, 0))*INDEX(Unit_Grades!$C$2:$C$7, MATCH(F1865, Unit_Grades!$A$2:$A$7, 0)),1)</f>
        <v>189</v>
      </c>
      <c r="M1865" s="6" t="n">
        <f aca="false">ROUND(INDEX(Archetypes!$J$2:$J$127, MATCH(D1865, Archetypes!$A$2:$A$127, 0))*INDEX(Unit_Grades!$D$2:$D$7, MATCH(F1865, Unit_Grades!$A$2:$A$7, 0)),1)</f>
        <v>146.1</v>
      </c>
      <c r="N1865" s="6" t="n">
        <f aca="false">ROUND(M1865/24,2)</f>
        <v>6.09</v>
      </c>
    </row>
    <row r="1866" customFormat="false" ht="15" hidden="false" customHeight="true" outlineLevel="0" collapsed="false">
      <c r="A1866" s="6" t="n">
        <v>6</v>
      </c>
      <c r="B1866" s="6" t="s">
        <v>3330</v>
      </c>
      <c r="C1866" s="6" t="s">
        <v>1486</v>
      </c>
      <c r="D1866" s="6" t="str">
        <f aca="false">A1866&amp;"|"&amp;C1866</f>
        <v>6|Sentinel Platform</v>
      </c>
      <c r="E1866" s="6" t="s">
        <v>1558</v>
      </c>
      <c r="F1866" s="6" t="s">
        <v>1546</v>
      </c>
      <c r="G1866" s="6" t="str">
        <f aca="false">INDEX(Archetypes!$D$2:$D$127, MATCH(D1866, Archetypes!$A$2:$A$127, 0))</f>
        <v>Static Defense</v>
      </c>
      <c r="H1866" s="6" t="n">
        <f aca="false">ROUND(INDEX(Archetypes!$E$2:$E$127, MATCH(D1866, Archetypes!$A$2:$A$127, 0))*INDEX(Unit_Grades!$B$2:$B$7, MATCH(F1866, Unit_Grades!$A$2:$A$7, 0))*INDEX(Unit_Paths!$B$2:$B$4, MATCH(E1866, Unit_Paths!$A$2:$A$4, 0)),1)</f>
        <v>3456</v>
      </c>
      <c r="I1866" s="6" t="n">
        <f aca="false">ROUND(INDEX(Archetypes!$F$2:$F$127, MATCH(D1866, Archetypes!$A$2:$A$127, 0))*INDEX(Unit_Grades!$B$2:$B$7, MATCH(F1866, Unit_Grades!$A$2:$A$7, 0))*INDEX(Unit_Paths!$C$2:$C$4, MATCH(E1866, Unit_Paths!$A$2:$A$4, 0)),1)</f>
        <v>2448</v>
      </c>
      <c r="J1866" s="6" t="n">
        <f aca="false">ROUND(INDEX(Archetypes!$G$2:$G$127, MATCH(D1866, Archetypes!$A$2:$A$127, 0))*INDEX(Unit_Grades!$B$2:$B$7, MATCH(F1866, Unit_Grades!$A$2:$A$7, 0))*INDEX(Unit_Paths!$D$2:$D$4, MATCH(E1866, Unit_Paths!$A$2:$A$4, 0)),0)</f>
        <v>15808</v>
      </c>
      <c r="K1866" s="6" t="n">
        <f aca="false">ROUND(INDEX(Archetypes!$H$2:$H$127, MATCH(D1866, Archetypes!$A$2:$A$127, 0))*INDEX(Unit_Paths!$E$2:$E$4, MATCH(E1866, Unit_Paths!$A$2:$A$4, 0)),1)</f>
        <v>0</v>
      </c>
      <c r="L1866" s="6" t="n">
        <f aca="false">ROUND(INDEX(Archetypes!$I$2:$I$127, MATCH(D1866, Archetypes!$A$2:$A$127, 0))*INDEX(Unit_Grades!$C$2:$C$7, MATCH(F1866, Unit_Grades!$A$2:$A$7, 0)),1)</f>
        <v>252</v>
      </c>
      <c r="M1866" s="6" t="n">
        <f aca="false">ROUND(INDEX(Archetypes!$J$2:$J$127, MATCH(D1866, Archetypes!$A$2:$A$127, 0))*INDEX(Unit_Grades!$D$2:$D$7, MATCH(F1866, Unit_Grades!$A$2:$A$7, 0)),1)</f>
        <v>255.7</v>
      </c>
      <c r="N1866" s="6" t="n">
        <f aca="false">ROUND(M1866/24,2)</f>
        <v>10.65</v>
      </c>
    </row>
    <row r="1867" customFormat="false" ht="15" hidden="false" customHeight="true" outlineLevel="0" collapsed="false">
      <c r="A1867" s="6" t="n">
        <v>6</v>
      </c>
      <c r="B1867" s="6" t="s">
        <v>3331</v>
      </c>
      <c r="C1867" s="6" t="s">
        <v>1486</v>
      </c>
      <c r="D1867" s="6" t="str">
        <f aca="false">A1867&amp;"|"&amp;C1867</f>
        <v>6|Sentinel Platform</v>
      </c>
      <c r="E1867" s="6" t="s">
        <v>1558</v>
      </c>
      <c r="F1867" s="6" t="s">
        <v>1548</v>
      </c>
      <c r="G1867" s="6" t="str">
        <f aca="false">INDEX(Archetypes!$D$2:$D$127, MATCH(D1867, Archetypes!$A$2:$A$127, 0))</f>
        <v>Static Defense</v>
      </c>
      <c r="H1867" s="6" t="n">
        <f aca="false">ROUND(INDEX(Archetypes!$E$2:$E$127, MATCH(D1867, Archetypes!$A$2:$A$127, 0))*INDEX(Unit_Grades!$B$2:$B$7, MATCH(F1867, Unit_Grades!$A$2:$A$7, 0))*INDEX(Unit_Paths!$B$2:$B$4, MATCH(E1867, Unit_Paths!$A$2:$A$4, 0)),1)</f>
        <v>4536</v>
      </c>
      <c r="I1867" s="6" t="n">
        <f aca="false">ROUND(INDEX(Archetypes!$F$2:$F$127, MATCH(D1867, Archetypes!$A$2:$A$127, 0))*INDEX(Unit_Grades!$B$2:$B$7, MATCH(F1867, Unit_Grades!$A$2:$A$7, 0))*INDEX(Unit_Paths!$C$2:$C$4, MATCH(E1867, Unit_Paths!$A$2:$A$4, 0)),1)</f>
        <v>3213</v>
      </c>
      <c r="J1867" s="6" t="n">
        <f aca="false">ROUND(INDEX(Archetypes!$G$2:$G$127, MATCH(D1867, Archetypes!$A$2:$A$127, 0))*INDEX(Unit_Grades!$B$2:$B$7, MATCH(F1867, Unit_Grades!$A$2:$A$7, 0))*INDEX(Unit_Paths!$D$2:$D$4, MATCH(E1867, Unit_Paths!$A$2:$A$4, 0)),0)</f>
        <v>20748</v>
      </c>
      <c r="K1867" s="6" t="n">
        <f aca="false">ROUND(INDEX(Archetypes!$H$2:$H$127, MATCH(D1867, Archetypes!$A$2:$A$127, 0))*INDEX(Unit_Paths!$E$2:$E$4, MATCH(E1867, Unit_Paths!$A$2:$A$4, 0)),1)</f>
        <v>0</v>
      </c>
      <c r="L1867" s="6" t="n">
        <f aca="false">ROUND(INDEX(Archetypes!$I$2:$I$127, MATCH(D1867, Archetypes!$A$2:$A$127, 0))*INDEX(Unit_Grades!$C$2:$C$7, MATCH(F1867, Unit_Grades!$A$2:$A$7, 0)),1)</f>
        <v>333</v>
      </c>
      <c r="M1867" s="6" t="n">
        <f aca="false">ROUND(INDEX(Archetypes!$J$2:$J$127, MATCH(D1867, Archetypes!$A$2:$A$127, 0))*INDEX(Unit_Grades!$D$2:$D$7, MATCH(F1867, Unit_Grades!$A$2:$A$7, 0)),1)</f>
        <v>438.4</v>
      </c>
      <c r="N1867" s="6" t="n">
        <f aca="false">ROUND(M1867/24,2)</f>
        <v>18.27</v>
      </c>
    </row>
    <row r="1868" customFormat="false" ht="15" hidden="false" customHeight="true" outlineLevel="0" collapsed="false">
      <c r="A1868" s="6" t="n">
        <v>6</v>
      </c>
      <c r="B1868" s="6" t="s">
        <v>3332</v>
      </c>
      <c r="C1868" s="6" t="s">
        <v>1486</v>
      </c>
      <c r="D1868" s="6" t="str">
        <f aca="false">A1868&amp;"|"&amp;C1868</f>
        <v>6|Sentinel Platform</v>
      </c>
      <c r="E1868" s="6" t="s">
        <v>1560</v>
      </c>
      <c r="F1868" s="6" t="s">
        <v>1538</v>
      </c>
      <c r="G1868" s="6" t="str">
        <f aca="false">INDEX(Archetypes!$D$2:$D$127, MATCH(D1868, Archetypes!$A$2:$A$127, 0))</f>
        <v>Static Defense</v>
      </c>
      <c r="H1868" s="6" t="n">
        <f aca="false">ROUND(INDEX(Archetypes!$E$2:$E$127, MATCH(D1868, Archetypes!$A$2:$A$127, 0))*INDEX(Unit_Grades!$B$2:$B$7, MATCH(F1868, Unit_Grades!$A$2:$A$7, 0))*INDEX(Unit_Paths!$B$2:$B$4, MATCH(E1868, Unit_Paths!$A$2:$A$4, 0)),1)</f>
        <v>765</v>
      </c>
      <c r="I1868" s="6" t="n">
        <f aca="false">ROUND(INDEX(Archetypes!$F$2:$F$127, MATCH(D1868, Archetypes!$A$2:$A$127, 0))*INDEX(Unit_Grades!$B$2:$B$7, MATCH(F1868, Unit_Grades!$A$2:$A$7, 0))*INDEX(Unit_Paths!$C$2:$C$4, MATCH(E1868, Unit_Paths!$A$2:$A$4, 0)),1)</f>
        <v>1125</v>
      </c>
      <c r="J1868" s="6" t="n">
        <f aca="false">ROUND(INDEX(Archetypes!$G$2:$G$127, MATCH(D1868, Archetypes!$A$2:$A$127, 0))*INDEX(Unit_Grades!$B$2:$B$7, MATCH(F1868, Unit_Grades!$A$2:$A$7, 0))*INDEX(Unit_Paths!$D$2:$D$4, MATCH(E1868, Unit_Paths!$A$2:$A$4, 0)),0)</f>
        <v>5980</v>
      </c>
      <c r="K1868" s="6" t="n">
        <f aca="false">ROUND(INDEX(Archetypes!$H$2:$H$127, MATCH(D1868, Archetypes!$A$2:$A$127, 0))*INDEX(Unit_Paths!$E$2:$E$4, MATCH(E1868, Unit_Paths!$A$2:$A$4, 0)),1)</f>
        <v>0</v>
      </c>
      <c r="L1868" s="6" t="n">
        <f aca="false">ROUND(INDEX(Archetypes!$I$2:$I$127, MATCH(D1868, Archetypes!$A$2:$A$127, 0))*INDEX(Unit_Grades!$C$2:$C$7, MATCH(F1868, Unit_Grades!$A$2:$A$7, 0)),1)</f>
        <v>90</v>
      </c>
      <c r="M1868" s="6" t="n">
        <f aca="false">ROUND(INDEX(Archetypes!$J$2:$J$127, MATCH(D1868, Archetypes!$A$2:$A$127, 0))*INDEX(Unit_Grades!$D$2:$D$7, MATCH(F1868, Unit_Grades!$A$2:$A$7, 0)),1)</f>
        <v>36.5</v>
      </c>
      <c r="N1868" s="6" t="n">
        <f aca="false">ROUND(M1868/24,2)</f>
        <v>1.52</v>
      </c>
    </row>
    <row r="1869" customFormat="false" ht="15" hidden="false" customHeight="true" outlineLevel="0" collapsed="false">
      <c r="A1869" s="6" t="n">
        <v>6</v>
      </c>
      <c r="B1869" s="6" t="s">
        <v>3333</v>
      </c>
      <c r="C1869" s="6" t="s">
        <v>1486</v>
      </c>
      <c r="D1869" s="6" t="str">
        <f aca="false">A1869&amp;"|"&amp;C1869</f>
        <v>6|Sentinel Platform</v>
      </c>
      <c r="E1869" s="6" t="s">
        <v>1560</v>
      </c>
      <c r="F1869" s="6" t="s">
        <v>1540</v>
      </c>
      <c r="G1869" s="6" t="str">
        <f aca="false">INDEX(Archetypes!$D$2:$D$127, MATCH(D1869, Archetypes!$A$2:$A$127, 0))</f>
        <v>Static Defense</v>
      </c>
      <c r="H1869" s="6" t="n">
        <f aca="false">ROUND(INDEX(Archetypes!$E$2:$E$127, MATCH(D1869, Archetypes!$A$2:$A$127, 0))*INDEX(Unit_Grades!$B$2:$B$7, MATCH(F1869, Unit_Grades!$A$2:$A$7, 0))*INDEX(Unit_Paths!$B$2:$B$4, MATCH(E1869, Unit_Paths!$A$2:$A$4, 0)),1)</f>
        <v>1032.8</v>
      </c>
      <c r="I1869" s="6" t="n">
        <f aca="false">ROUND(INDEX(Archetypes!$F$2:$F$127, MATCH(D1869, Archetypes!$A$2:$A$127, 0))*INDEX(Unit_Grades!$B$2:$B$7, MATCH(F1869, Unit_Grades!$A$2:$A$7, 0))*INDEX(Unit_Paths!$C$2:$C$4, MATCH(E1869, Unit_Paths!$A$2:$A$4, 0)),1)</f>
        <v>1518.8</v>
      </c>
      <c r="J1869" s="6" t="n">
        <f aca="false">ROUND(INDEX(Archetypes!$G$2:$G$127, MATCH(D1869, Archetypes!$A$2:$A$127, 0))*INDEX(Unit_Grades!$B$2:$B$7, MATCH(F1869, Unit_Grades!$A$2:$A$7, 0))*INDEX(Unit_Paths!$D$2:$D$4, MATCH(E1869, Unit_Paths!$A$2:$A$4, 0)),0)</f>
        <v>8073</v>
      </c>
      <c r="K1869" s="6" t="n">
        <f aca="false">ROUND(INDEX(Archetypes!$H$2:$H$127, MATCH(D1869, Archetypes!$A$2:$A$127, 0))*INDEX(Unit_Paths!$E$2:$E$4, MATCH(E1869, Unit_Paths!$A$2:$A$4, 0)),1)</f>
        <v>0</v>
      </c>
      <c r="L1869" s="6" t="n">
        <f aca="false">ROUND(INDEX(Archetypes!$I$2:$I$127, MATCH(D1869, Archetypes!$A$2:$A$127, 0))*INDEX(Unit_Grades!$C$2:$C$7, MATCH(F1869, Unit_Grades!$A$2:$A$7, 0)),1)</f>
        <v>112.5</v>
      </c>
      <c r="M1869" s="6" t="n">
        <f aca="false">ROUND(INDEX(Archetypes!$J$2:$J$127, MATCH(D1869, Archetypes!$A$2:$A$127, 0))*INDEX(Unit_Grades!$D$2:$D$7, MATCH(F1869, Unit_Grades!$A$2:$A$7, 0)),1)</f>
        <v>54.8</v>
      </c>
      <c r="N1869" s="6" t="n">
        <f aca="false">ROUND(M1869/24,2)</f>
        <v>2.28</v>
      </c>
    </row>
    <row r="1870" customFormat="false" ht="15" hidden="false" customHeight="true" outlineLevel="0" collapsed="false">
      <c r="A1870" s="6" t="n">
        <v>6</v>
      </c>
      <c r="B1870" s="6" t="s">
        <v>3334</v>
      </c>
      <c r="C1870" s="6" t="s">
        <v>1486</v>
      </c>
      <c r="D1870" s="6" t="str">
        <f aca="false">A1870&amp;"|"&amp;C1870</f>
        <v>6|Sentinel Platform</v>
      </c>
      <c r="E1870" s="6" t="s">
        <v>1560</v>
      </c>
      <c r="F1870" s="6" t="s">
        <v>1542</v>
      </c>
      <c r="G1870" s="6" t="str">
        <f aca="false">INDEX(Archetypes!$D$2:$D$127, MATCH(D1870, Archetypes!$A$2:$A$127, 0))</f>
        <v>Static Defense</v>
      </c>
      <c r="H1870" s="6" t="n">
        <f aca="false">ROUND(INDEX(Archetypes!$E$2:$E$127, MATCH(D1870, Archetypes!$A$2:$A$127, 0))*INDEX(Unit_Grades!$B$2:$B$7, MATCH(F1870, Unit_Grades!$A$2:$A$7, 0))*INDEX(Unit_Paths!$B$2:$B$4, MATCH(E1870, Unit_Paths!$A$2:$A$4, 0)),1)</f>
        <v>1377</v>
      </c>
      <c r="I1870" s="6" t="n">
        <f aca="false">ROUND(INDEX(Archetypes!$F$2:$F$127, MATCH(D1870, Archetypes!$A$2:$A$127, 0))*INDEX(Unit_Grades!$B$2:$B$7, MATCH(F1870, Unit_Grades!$A$2:$A$7, 0))*INDEX(Unit_Paths!$C$2:$C$4, MATCH(E1870, Unit_Paths!$A$2:$A$4, 0)),1)</f>
        <v>2025</v>
      </c>
      <c r="J1870" s="6" t="n">
        <f aca="false">ROUND(INDEX(Archetypes!$G$2:$G$127, MATCH(D1870, Archetypes!$A$2:$A$127, 0))*INDEX(Unit_Grades!$B$2:$B$7, MATCH(F1870, Unit_Grades!$A$2:$A$7, 0))*INDEX(Unit_Paths!$D$2:$D$4, MATCH(E1870, Unit_Paths!$A$2:$A$4, 0)),0)</f>
        <v>10764</v>
      </c>
      <c r="K1870" s="6" t="n">
        <f aca="false">ROUND(INDEX(Archetypes!$H$2:$H$127, MATCH(D1870, Archetypes!$A$2:$A$127, 0))*INDEX(Unit_Paths!$E$2:$E$4, MATCH(E1870, Unit_Paths!$A$2:$A$4, 0)),1)</f>
        <v>0</v>
      </c>
      <c r="L1870" s="6" t="n">
        <f aca="false">ROUND(INDEX(Archetypes!$I$2:$I$127, MATCH(D1870, Archetypes!$A$2:$A$127, 0))*INDEX(Unit_Grades!$C$2:$C$7, MATCH(F1870, Unit_Grades!$A$2:$A$7, 0)),1)</f>
        <v>144</v>
      </c>
      <c r="M1870" s="6" t="n">
        <f aca="false">ROUND(INDEX(Archetypes!$J$2:$J$127, MATCH(D1870, Archetypes!$A$2:$A$127, 0))*INDEX(Unit_Grades!$D$2:$D$7, MATCH(F1870, Unit_Grades!$A$2:$A$7, 0)),1)</f>
        <v>91.3</v>
      </c>
      <c r="N1870" s="6" t="n">
        <f aca="false">ROUND(M1870/24,2)</f>
        <v>3.8</v>
      </c>
    </row>
    <row r="1871" customFormat="false" ht="15" hidden="false" customHeight="true" outlineLevel="0" collapsed="false">
      <c r="A1871" s="6" t="n">
        <v>6</v>
      </c>
      <c r="B1871" s="6" t="s">
        <v>3335</v>
      </c>
      <c r="C1871" s="6" t="s">
        <v>1486</v>
      </c>
      <c r="D1871" s="6" t="str">
        <f aca="false">A1871&amp;"|"&amp;C1871</f>
        <v>6|Sentinel Platform</v>
      </c>
      <c r="E1871" s="6" t="s">
        <v>1560</v>
      </c>
      <c r="F1871" s="6" t="s">
        <v>1544</v>
      </c>
      <c r="G1871" s="6" t="str">
        <f aca="false">INDEX(Archetypes!$D$2:$D$127, MATCH(D1871, Archetypes!$A$2:$A$127, 0))</f>
        <v>Static Defense</v>
      </c>
      <c r="H1871" s="6" t="n">
        <f aca="false">ROUND(INDEX(Archetypes!$E$2:$E$127, MATCH(D1871, Archetypes!$A$2:$A$127, 0))*INDEX(Unit_Grades!$B$2:$B$7, MATCH(F1871, Unit_Grades!$A$2:$A$7, 0))*INDEX(Unit_Paths!$B$2:$B$4, MATCH(E1871, Unit_Paths!$A$2:$A$4, 0)),1)</f>
        <v>1836</v>
      </c>
      <c r="I1871" s="6" t="n">
        <f aca="false">ROUND(INDEX(Archetypes!$F$2:$F$127, MATCH(D1871, Archetypes!$A$2:$A$127, 0))*INDEX(Unit_Grades!$B$2:$B$7, MATCH(F1871, Unit_Grades!$A$2:$A$7, 0))*INDEX(Unit_Paths!$C$2:$C$4, MATCH(E1871, Unit_Paths!$A$2:$A$4, 0)),1)</f>
        <v>2700</v>
      </c>
      <c r="J1871" s="6" t="n">
        <f aca="false">ROUND(INDEX(Archetypes!$G$2:$G$127, MATCH(D1871, Archetypes!$A$2:$A$127, 0))*INDEX(Unit_Grades!$B$2:$B$7, MATCH(F1871, Unit_Grades!$A$2:$A$7, 0))*INDEX(Unit_Paths!$D$2:$D$4, MATCH(E1871, Unit_Paths!$A$2:$A$4, 0)),0)</f>
        <v>14352</v>
      </c>
      <c r="K1871" s="6" t="n">
        <f aca="false">ROUND(INDEX(Archetypes!$H$2:$H$127, MATCH(D1871, Archetypes!$A$2:$A$127, 0))*INDEX(Unit_Paths!$E$2:$E$4, MATCH(E1871, Unit_Paths!$A$2:$A$4, 0)),1)</f>
        <v>0</v>
      </c>
      <c r="L1871" s="6" t="n">
        <f aca="false">ROUND(INDEX(Archetypes!$I$2:$I$127, MATCH(D1871, Archetypes!$A$2:$A$127, 0))*INDEX(Unit_Grades!$C$2:$C$7, MATCH(F1871, Unit_Grades!$A$2:$A$7, 0)),1)</f>
        <v>189</v>
      </c>
      <c r="M1871" s="6" t="n">
        <f aca="false">ROUND(INDEX(Archetypes!$J$2:$J$127, MATCH(D1871, Archetypes!$A$2:$A$127, 0))*INDEX(Unit_Grades!$D$2:$D$7, MATCH(F1871, Unit_Grades!$A$2:$A$7, 0)),1)</f>
        <v>146.1</v>
      </c>
      <c r="N1871" s="6" t="n">
        <f aca="false">ROUND(M1871/24,2)</f>
        <v>6.09</v>
      </c>
    </row>
    <row r="1872" customFormat="false" ht="15" hidden="false" customHeight="true" outlineLevel="0" collapsed="false">
      <c r="A1872" s="6" t="n">
        <v>6</v>
      </c>
      <c r="B1872" s="6" t="s">
        <v>3336</v>
      </c>
      <c r="C1872" s="6" t="s">
        <v>1486</v>
      </c>
      <c r="D1872" s="6" t="str">
        <f aca="false">A1872&amp;"|"&amp;C1872</f>
        <v>6|Sentinel Platform</v>
      </c>
      <c r="E1872" s="6" t="s">
        <v>1560</v>
      </c>
      <c r="F1872" s="6" t="s">
        <v>1546</v>
      </c>
      <c r="G1872" s="6" t="str">
        <f aca="false">INDEX(Archetypes!$D$2:$D$127, MATCH(D1872, Archetypes!$A$2:$A$127, 0))</f>
        <v>Static Defense</v>
      </c>
      <c r="H1872" s="6" t="n">
        <f aca="false">ROUND(INDEX(Archetypes!$E$2:$E$127, MATCH(D1872, Archetypes!$A$2:$A$127, 0))*INDEX(Unit_Grades!$B$2:$B$7, MATCH(F1872, Unit_Grades!$A$2:$A$7, 0))*INDEX(Unit_Paths!$B$2:$B$4, MATCH(E1872, Unit_Paths!$A$2:$A$4, 0)),1)</f>
        <v>2448</v>
      </c>
      <c r="I1872" s="6" t="n">
        <f aca="false">ROUND(INDEX(Archetypes!$F$2:$F$127, MATCH(D1872, Archetypes!$A$2:$A$127, 0))*INDEX(Unit_Grades!$B$2:$B$7, MATCH(F1872, Unit_Grades!$A$2:$A$7, 0))*INDEX(Unit_Paths!$C$2:$C$4, MATCH(E1872, Unit_Paths!$A$2:$A$4, 0)),1)</f>
        <v>3600</v>
      </c>
      <c r="J1872" s="6" t="n">
        <f aca="false">ROUND(INDEX(Archetypes!$G$2:$G$127, MATCH(D1872, Archetypes!$A$2:$A$127, 0))*INDEX(Unit_Grades!$B$2:$B$7, MATCH(F1872, Unit_Grades!$A$2:$A$7, 0))*INDEX(Unit_Paths!$D$2:$D$4, MATCH(E1872, Unit_Paths!$A$2:$A$4, 0)),0)</f>
        <v>19136</v>
      </c>
      <c r="K1872" s="6" t="n">
        <f aca="false">ROUND(INDEX(Archetypes!$H$2:$H$127, MATCH(D1872, Archetypes!$A$2:$A$127, 0))*INDEX(Unit_Paths!$E$2:$E$4, MATCH(E1872, Unit_Paths!$A$2:$A$4, 0)),1)</f>
        <v>0</v>
      </c>
      <c r="L1872" s="6" t="n">
        <f aca="false">ROUND(INDEX(Archetypes!$I$2:$I$127, MATCH(D1872, Archetypes!$A$2:$A$127, 0))*INDEX(Unit_Grades!$C$2:$C$7, MATCH(F1872, Unit_Grades!$A$2:$A$7, 0)),1)</f>
        <v>252</v>
      </c>
      <c r="M1872" s="6" t="n">
        <f aca="false">ROUND(INDEX(Archetypes!$J$2:$J$127, MATCH(D1872, Archetypes!$A$2:$A$127, 0))*INDEX(Unit_Grades!$D$2:$D$7, MATCH(F1872, Unit_Grades!$A$2:$A$7, 0)),1)</f>
        <v>255.7</v>
      </c>
      <c r="N1872" s="6" t="n">
        <f aca="false">ROUND(M1872/24,2)</f>
        <v>10.65</v>
      </c>
    </row>
    <row r="1873" customFormat="false" ht="15" hidden="false" customHeight="true" outlineLevel="0" collapsed="false">
      <c r="A1873" s="6" t="n">
        <v>6</v>
      </c>
      <c r="B1873" s="6" t="s">
        <v>3337</v>
      </c>
      <c r="C1873" s="6" t="s">
        <v>1486</v>
      </c>
      <c r="D1873" s="6" t="str">
        <f aca="false">A1873&amp;"|"&amp;C1873</f>
        <v>6|Sentinel Platform</v>
      </c>
      <c r="E1873" s="6" t="s">
        <v>1560</v>
      </c>
      <c r="F1873" s="6" t="s">
        <v>1548</v>
      </c>
      <c r="G1873" s="6" t="str">
        <f aca="false">INDEX(Archetypes!$D$2:$D$127, MATCH(D1873, Archetypes!$A$2:$A$127, 0))</f>
        <v>Static Defense</v>
      </c>
      <c r="H1873" s="6" t="n">
        <f aca="false">ROUND(INDEX(Archetypes!$E$2:$E$127, MATCH(D1873, Archetypes!$A$2:$A$127, 0))*INDEX(Unit_Grades!$B$2:$B$7, MATCH(F1873, Unit_Grades!$A$2:$A$7, 0))*INDEX(Unit_Paths!$B$2:$B$4, MATCH(E1873, Unit_Paths!$A$2:$A$4, 0)),1)</f>
        <v>3213</v>
      </c>
      <c r="I1873" s="6" t="n">
        <f aca="false">ROUND(INDEX(Archetypes!$F$2:$F$127, MATCH(D1873, Archetypes!$A$2:$A$127, 0))*INDEX(Unit_Grades!$B$2:$B$7, MATCH(F1873, Unit_Grades!$A$2:$A$7, 0))*INDEX(Unit_Paths!$C$2:$C$4, MATCH(E1873, Unit_Paths!$A$2:$A$4, 0)),1)</f>
        <v>4725</v>
      </c>
      <c r="J1873" s="6" t="n">
        <f aca="false">ROUND(INDEX(Archetypes!$G$2:$G$127, MATCH(D1873, Archetypes!$A$2:$A$127, 0))*INDEX(Unit_Grades!$B$2:$B$7, MATCH(F1873, Unit_Grades!$A$2:$A$7, 0))*INDEX(Unit_Paths!$D$2:$D$4, MATCH(E1873, Unit_Paths!$A$2:$A$4, 0)),0)</f>
        <v>25116</v>
      </c>
      <c r="K1873" s="6" t="n">
        <f aca="false">ROUND(INDEX(Archetypes!$H$2:$H$127, MATCH(D1873, Archetypes!$A$2:$A$127, 0))*INDEX(Unit_Paths!$E$2:$E$4, MATCH(E1873, Unit_Paths!$A$2:$A$4, 0)),1)</f>
        <v>0</v>
      </c>
      <c r="L1873" s="6" t="n">
        <f aca="false">ROUND(INDEX(Archetypes!$I$2:$I$127, MATCH(D1873, Archetypes!$A$2:$A$127, 0))*INDEX(Unit_Grades!$C$2:$C$7, MATCH(F1873, Unit_Grades!$A$2:$A$7, 0)),1)</f>
        <v>333</v>
      </c>
      <c r="M1873" s="6" t="n">
        <f aca="false">ROUND(INDEX(Archetypes!$J$2:$J$127, MATCH(D1873, Archetypes!$A$2:$A$127, 0))*INDEX(Unit_Grades!$D$2:$D$7, MATCH(F1873, Unit_Grades!$A$2:$A$7, 0)),1)</f>
        <v>438.4</v>
      </c>
      <c r="N1873" s="6" t="n">
        <f aca="false">ROUND(M1873/24,2)</f>
        <v>18.27</v>
      </c>
    </row>
    <row r="1874" customFormat="false" ht="15" hidden="false" customHeight="true" outlineLevel="0" collapsed="false">
      <c r="A1874" s="6" t="n">
        <v>6</v>
      </c>
      <c r="B1874" s="6" t="s">
        <v>1488</v>
      </c>
      <c r="C1874" s="6" t="s">
        <v>1488</v>
      </c>
      <c r="D1874" s="6" t="str">
        <f aca="false">A1874&amp;"|"&amp;C1874</f>
        <v>6|Armada Tender</v>
      </c>
      <c r="E1874" s="6" t="s">
        <v>1556</v>
      </c>
      <c r="F1874" s="6" t="s">
        <v>1538</v>
      </c>
      <c r="G1874" s="6" t="str">
        <f aca="false">INDEX(Archetypes!$D$2:$D$127, MATCH(D1874, Archetypes!$A$2:$A$127, 0))</f>
        <v>Logistics</v>
      </c>
      <c r="H1874" s="6" t="n">
        <f aca="false">ROUND(INDEX(Archetypes!$E$2:$E$127, MATCH(D1874, Archetypes!$A$2:$A$127, 0))*INDEX(Unit_Grades!$B$2:$B$7, MATCH(F1874, Unit_Grades!$A$2:$A$7, 0))*INDEX(Unit_Paths!$B$2:$B$4, MATCH(E1874, Unit_Paths!$A$2:$A$4, 0)),1)</f>
        <v>200</v>
      </c>
      <c r="I1874" s="6" t="n">
        <f aca="false">ROUND(INDEX(Archetypes!$F$2:$F$127, MATCH(D1874, Archetypes!$A$2:$A$127, 0))*INDEX(Unit_Grades!$B$2:$B$7, MATCH(F1874, Unit_Grades!$A$2:$A$7, 0))*INDEX(Unit_Paths!$C$2:$C$4, MATCH(E1874, Unit_Paths!$A$2:$A$4, 0)),1)</f>
        <v>460</v>
      </c>
      <c r="J1874" s="6" t="n">
        <f aca="false">ROUND(INDEX(Archetypes!$G$2:$G$127, MATCH(D1874, Archetypes!$A$2:$A$127, 0))*INDEX(Unit_Grades!$B$2:$B$7, MATCH(F1874, Unit_Grades!$A$2:$A$7, 0))*INDEX(Unit_Paths!$D$2:$D$4, MATCH(E1874, Unit_Paths!$A$2:$A$4, 0)),0)</f>
        <v>2800</v>
      </c>
      <c r="K1874" s="6" t="n">
        <f aca="false">ROUND(INDEX(Archetypes!$H$2:$H$127, MATCH(D1874, Archetypes!$A$2:$A$127, 0))*INDEX(Unit_Paths!$E$2:$E$4, MATCH(E1874, Unit_Paths!$A$2:$A$4, 0)),1)</f>
        <v>52</v>
      </c>
      <c r="L1874" s="6" t="n">
        <f aca="false">ROUND(INDEX(Archetypes!$I$2:$I$127, MATCH(D1874, Archetypes!$A$2:$A$127, 0))*INDEX(Unit_Grades!$C$2:$C$7, MATCH(F1874, Unit_Grades!$A$2:$A$7, 0)),1)</f>
        <v>56</v>
      </c>
      <c r="M1874" s="6" t="n">
        <f aca="false">ROUND(INDEX(Archetypes!$J$2:$J$127, MATCH(D1874, Archetypes!$A$2:$A$127, 0))*INDEX(Unit_Grades!$D$2:$D$7, MATCH(F1874, Unit_Grades!$A$2:$A$7, 0)),1)</f>
        <v>22.7</v>
      </c>
      <c r="N1874" s="6" t="n">
        <f aca="false">ROUND(M1874/24,2)</f>
        <v>0.95</v>
      </c>
    </row>
    <row r="1875" customFormat="false" ht="15" hidden="false" customHeight="true" outlineLevel="0" collapsed="false">
      <c r="A1875" s="6" t="n">
        <v>6</v>
      </c>
      <c r="B1875" s="6" t="s">
        <v>3338</v>
      </c>
      <c r="C1875" s="6" t="s">
        <v>1488</v>
      </c>
      <c r="D1875" s="6" t="str">
        <f aca="false">A1875&amp;"|"&amp;C1875</f>
        <v>6|Armada Tender</v>
      </c>
      <c r="E1875" s="6" t="s">
        <v>1556</v>
      </c>
      <c r="F1875" s="6" t="s">
        <v>1540</v>
      </c>
      <c r="G1875" s="6" t="str">
        <f aca="false">INDEX(Archetypes!$D$2:$D$127, MATCH(D1875, Archetypes!$A$2:$A$127, 0))</f>
        <v>Logistics</v>
      </c>
      <c r="H1875" s="6" t="n">
        <f aca="false">ROUND(INDEX(Archetypes!$E$2:$E$127, MATCH(D1875, Archetypes!$A$2:$A$127, 0))*INDEX(Unit_Grades!$B$2:$B$7, MATCH(F1875, Unit_Grades!$A$2:$A$7, 0))*INDEX(Unit_Paths!$B$2:$B$4, MATCH(E1875, Unit_Paths!$A$2:$A$4, 0)),1)</f>
        <v>270</v>
      </c>
      <c r="I1875" s="6" t="n">
        <f aca="false">ROUND(INDEX(Archetypes!$F$2:$F$127, MATCH(D1875, Archetypes!$A$2:$A$127, 0))*INDEX(Unit_Grades!$B$2:$B$7, MATCH(F1875, Unit_Grades!$A$2:$A$7, 0))*INDEX(Unit_Paths!$C$2:$C$4, MATCH(E1875, Unit_Paths!$A$2:$A$4, 0)),1)</f>
        <v>621</v>
      </c>
      <c r="J1875" s="6" t="n">
        <f aca="false">ROUND(INDEX(Archetypes!$G$2:$G$127, MATCH(D1875, Archetypes!$A$2:$A$127, 0))*INDEX(Unit_Grades!$B$2:$B$7, MATCH(F1875, Unit_Grades!$A$2:$A$7, 0))*INDEX(Unit_Paths!$D$2:$D$4, MATCH(E1875, Unit_Paths!$A$2:$A$4, 0)),0)</f>
        <v>3780</v>
      </c>
      <c r="K1875" s="6" t="n">
        <f aca="false">ROUND(INDEX(Archetypes!$H$2:$H$127, MATCH(D1875, Archetypes!$A$2:$A$127, 0))*INDEX(Unit_Paths!$E$2:$E$4, MATCH(E1875, Unit_Paths!$A$2:$A$4, 0)),1)</f>
        <v>52</v>
      </c>
      <c r="L1875" s="6" t="n">
        <f aca="false">ROUND(INDEX(Archetypes!$I$2:$I$127, MATCH(D1875, Archetypes!$A$2:$A$127, 0))*INDEX(Unit_Grades!$C$2:$C$7, MATCH(F1875, Unit_Grades!$A$2:$A$7, 0)),1)</f>
        <v>70</v>
      </c>
      <c r="M1875" s="6" t="n">
        <f aca="false">ROUND(INDEX(Archetypes!$J$2:$J$127, MATCH(D1875, Archetypes!$A$2:$A$127, 0))*INDEX(Unit_Grades!$D$2:$D$7, MATCH(F1875, Unit_Grades!$A$2:$A$7, 0)),1)</f>
        <v>34.1</v>
      </c>
      <c r="N1875" s="6" t="n">
        <f aca="false">ROUND(M1875/24,2)</f>
        <v>1.42</v>
      </c>
    </row>
    <row r="1876" customFormat="false" ht="15" hidden="false" customHeight="true" outlineLevel="0" collapsed="false">
      <c r="A1876" s="6" t="n">
        <v>6</v>
      </c>
      <c r="B1876" s="6" t="s">
        <v>3339</v>
      </c>
      <c r="C1876" s="6" t="s">
        <v>1488</v>
      </c>
      <c r="D1876" s="6" t="str">
        <f aca="false">A1876&amp;"|"&amp;C1876</f>
        <v>6|Armada Tender</v>
      </c>
      <c r="E1876" s="6" t="s">
        <v>1556</v>
      </c>
      <c r="F1876" s="6" t="s">
        <v>1542</v>
      </c>
      <c r="G1876" s="6" t="str">
        <f aca="false">INDEX(Archetypes!$D$2:$D$127, MATCH(D1876, Archetypes!$A$2:$A$127, 0))</f>
        <v>Logistics</v>
      </c>
      <c r="H1876" s="6" t="n">
        <f aca="false">ROUND(INDEX(Archetypes!$E$2:$E$127, MATCH(D1876, Archetypes!$A$2:$A$127, 0))*INDEX(Unit_Grades!$B$2:$B$7, MATCH(F1876, Unit_Grades!$A$2:$A$7, 0))*INDEX(Unit_Paths!$B$2:$B$4, MATCH(E1876, Unit_Paths!$A$2:$A$4, 0)),1)</f>
        <v>360</v>
      </c>
      <c r="I1876" s="6" t="n">
        <f aca="false">ROUND(INDEX(Archetypes!$F$2:$F$127, MATCH(D1876, Archetypes!$A$2:$A$127, 0))*INDEX(Unit_Grades!$B$2:$B$7, MATCH(F1876, Unit_Grades!$A$2:$A$7, 0))*INDEX(Unit_Paths!$C$2:$C$4, MATCH(E1876, Unit_Paths!$A$2:$A$4, 0)),1)</f>
        <v>828</v>
      </c>
      <c r="J1876" s="6" t="n">
        <f aca="false">ROUND(INDEX(Archetypes!$G$2:$G$127, MATCH(D1876, Archetypes!$A$2:$A$127, 0))*INDEX(Unit_Grades!$B$2:$B$7, MATCH(F1876, Unit_Grades!$A$2:$A$7, 0))*INDEX(Unit_Paths!$D$2:$D$4, MATCH(E1876, Unit_Paths!$A$2:$A$4, 0)),0)</f>
        <v>5040</v>
      </c>
      <c r="K1876" s="6" t="n">
        <f aca="false">ROUND(INDEX(Archetypes!$H$2:$H$127, MATCH(D1876, Archetypes!$A$2:$A$127, 0))*INDEX(Unit_Paths!$E$2:$E$4, MATCH(E1876, Unit_Paths!$A$2:$A$4, 0)),1)</f>
        <v>52</v>
      </c>
      <c r="L1876" s="6" t="n">
        <f aca="false">ROUND(INDEX(Archetypes!$I$2:$I$127, MATCH(D1876, Archetypes!$A$2:$A$127, 0))*INDEX(Unit_Grades!$C$2:$C$7, MATCH(F1876, Unit_Grades!$A$2:$A$7, 0)),1)</f>
        <v>89.6</v>
      </c>
      <c r="M1876" s="6" t="n">
        <f aca="false">ROUND(INDEX(Archetypes!$J$2:$J$127, MATCH(D1876, Archetypes!$A$2:$A$127, 0))*INDEX(Unit_Grades!$D$2:$D$7, MATCH(F1876, Unit_Grades!$A$2:$A$7, 0)),1)</f>
        <v>56.8</v>
      </c>
      <c r="N1876" s="6" t="n">
        <f aca="false">ROUND(M1876/24,2)</f>
        <v>2.37</v>
      </c>
    </row>
    <row r="1877" customFormat="false" ht="15" hidden="false" customHeight="true" outlineLevel="0" collapsed="false">
      <c r="A1877" s="6" t="n">
        <v>6</v>
      </c>
      <c r="B1877" s="6" t="s">
        <v>3340</v>
      </c>
      <c r="C1877" s="6" t="s">
        <v>1488</v>
      </c>
      <c r="D1877" s="6" t="str">
        <f aca="false">A1877&amp;"|"&amp;C1877</f>
        <v>6|Armada Tender</v>
      </c>
      <c r="E1877" s="6" t="s">
        <v>1556</v>
      </c>
      <c r="F1877" s="6" t="s">
        <v>1544</v>
      </c>
      <c r="G1877" s="6" t="str">
        <f aca="false">INDEX(Archetypes!$D$2:$D$127, MATCH(D1877, Archetypes!$A$2:$A$127, 0))</f>
        <v>Logistics</v>
      </c>
      <c r="H1877" s="6" t="n">
        <f aca="false">ROUND(INDEX(Archetypes!$E$2:$E$127, MATCH(D1877, Archetypes!$A$2:$A$127, 0))*INDEX(Unit_Grades!$B$2:$B$7, MATCH(F1877, Unit_Grades!$A$2:$A$7, 0))*INDEX(Unit_Paths!$B$2:$B$4, MATCH(E1877, Unit_Paths!$A$2:$A$4, 0)),1)</f>
        <v>480</v>
      </c>
      <c r="I1877" s="6" t="n">
        <f aca="false">ROUND(INDEX(Archetypes!$F$2:$F$127, MATCH(D1877, Archetypes!$A$2:$A$127, 0))*INDEX(Unit_Grades!$B$2:$B$7, MATCH(F1877, Unit_Grades!$A$2:$A$7, 0))*INDEX(Unit_Paths!$C$2:$C$4, MATCH(E1877, Unit_Paths!$A$2:$A$4, 0)),1)</f>
        <v>1104</v>
      </c>
      <c r="J1877" s="6" t="n">
        <f aca="false">ROUND(INDEX(Archetypes!$G$2:$G$127, MATCH(D1877, Archetypes!$A$2:$A$127, 0))*INDEX(Unit_Grades!$B$2:$B$7, MATCH(F1877, Unit_Grades!$A$2:$A$7, 0))*INDEX(Unit_Paths!$D$2:$D$4, MATCH(E1877, Unit_Paths!$A$2:$A$4, 0)),0)</f>
        <v>6720</v>
      </c>
      <c r="K1877" s="6" t="n">
        <f aca="false">ROUND(INDEX(Archetypes!$H$2:$H$127, MATCH(D1877, Archetypes!$A$2:$A$127, 0))*INDEX(Unit_Paths!$E$2:$E$4, MATCH(E1877, Unit_Paths!$A$2:$A$4, 0)),1)</f>
        <v>52</v>
      </c>
      <c r="L1877" s="6" t="n">
        <f aca="false">ROUND(INDEX(Archetypes!$I$2:$I$127, MATCH(D1877, Archetypes!$A$2:$A$127, 0))*INDEX(Unit_Grades!$C$2:$C$7, MATCH(F1877, Unit_Grades!$A$2:$A$7, 0)),1)</f>
        <v>117.6</v>
      </c>
      <c r="M1877" s="6" t="n">
        <f aca="false">ROUND(INDEX(Archetypes!$J$2:$J$127, MATCH(D1877, Archetypes!$A$2:$A$127, 0))*INDEX(Unit_Grades!$D$2:$D$7, MATCH(F1877, Unit_Grades!$A$2:$A$7, 0)),1)</f>
        <v>90.9</v>
      </c>
      <c r="N1877" s="6" t="n">
        <f aca="false">ROUND(M1877/24,2)</f>
        <v>3.79</v>
      </c>
    </row>
    <row r="1878" customFormat="false" ht="15" hidden="false" customHeight="true" outlineLevel="0" collapsed="false">
      <c r="A1878" s="6" t="n">
        <v>6</v>
      </c>
      <c r="B1878" s="6" t="s">
        <v>3341</v>
      </c>
      <c r="C1878" s="6" t="s">
        <v>1488</v>
      </c>
      <c r="D1878" s="6" t="str">
        <f aca="false">A1878&amp;"|"&amp;C1878</f>
        <v>6|Armada Tender</v>
      </c>
      <c r="E1878" s="6" t="s">
        <v>1556</v>
      </c>
      <c r="F1878" s="6" t="s">
        <v>1546</v>
      </c>
      <c r="G1878" s="6" t="str">
        <f aca="false">INDEX(Archetypes!$D$2:$D$127, MATCH(D1878, Archetypes!$A$2:$A$127, 0))</f>
        <v>Logistics</v>
      </c>
      <c r="H1878" s="6" t="n">
        <f aca="false">ROUND(INDEX(Archetypes!$E$2:$E$127, MATCH(D1878, Archetypes!$A$2:$A$127, 0))*INDEX(Unit_Grades!$B$2:$B$7, MATCH(F1878, Unit_Grades!$A$2:$A$7, 0))*INDEX(Unit_Paths!$B$2:$B$4, MATCH(E1878, Unit_Paths!$A$2:$A$4, 0)),1)</f>
        <v>640</v>
      </c>
      <c r="I1878" s="6" t="n">
        <f aca="false">ROUND(INDEX(Archetypes!$F$2:$F$127, MATCH(D1878, Archetypes!$A$2:$A$127, 0))*INDEX(Unit_Grades!$B$2:$B$7, MATCH(F1878, Unit_Grades!$A$2:$A$7, 0))*INDEX(Unit_Paths!$C$2:$C$4, MATCH(E1878, Unit_Paths!$A$2:$A$4, 0)),1)</f>
        <v>1472</v>
      </c>
      <c r="J1878" s="6" t="n">
        <f aca="false">ROUND(INDEX(Archetypes!$G$2:$G$127, MATCH(D1878, Archetypes!$A$2:$A$127, 0))*INDEX(Unit_Grades!$B$2:$B$7, MATCH(F1878, Unit_Grades!$A$2:$A$7, 0))*INDEX(Unit_Paths!$D$2:$D$4, MATCH(E1878, Unit_Paths!$A$2:$A$4, 0)),0)</f>
        <v>8960</v>
      </c>
      <c r="K1878" s="6" t="n">
        <f aca="false">ROUND(INDEX(Archetypes!$H$2:$H$127, MATCH(D1878, Archetypes!$A$2:$A$127, 0))*INDEX(Unit_Paths!$E$2:$E$4, MATCH(E1878, Unit_Paths!$A$2:$A$4, 0)),1)</f>
        <v>52</v>
      </c>
      <c r="L1878" s="6" t="n">
        <f aca="false">ROUND(INDEX(Archetypes!$I$2:$I$127, MATCH(D1878, Archetypes!$A$2:$A$127, 0))*INDEX(Unit_Grades!$C$2:$C$7, MATCH(F1878, Unit_Grades!$A$2:$A$7, 0)),1)</f>
        <v>156.8</v>
      </c>
      <c r="M1878" s="6" t="n">
        <f aca="false">ROUND(INDEX(Archetypes!$J$2:$J$127, MATCH(D1878, Archetypes!$A$2:$A$127, 0))*INDEX(Unit_Grades!$D$2:$D$7, MATCH(F1878, Unit_Grades!$A$2:$A$7, 0)),1)</f>
        <v>159.1</v>
      </c>
      <c r="N1878" s="6" t="n">
        <f aca="false">ROUND(M1878/24,2)</f>
        <v>6.63</v>
      </c>
    </row>
    <row r="1879" customFormat="false" ht="15" hidden="false" customHeight="true" outlineLevel="0" collapsed="false">
      <c r="A1879" s="6" t="n">
        <v>6</v>
      </c>
      <c r="B1879" s="6" t="s">
        <v>3342</v>
      </c>
      <c r="C1879" s="6" t="s">
        <v>1488</v>
      </c>
      <c r="D1879" s="6" t="str">
        <f aca="false">A1879&amp;"|"&amp;C1879</f>
        <v>6|Armada Tender</v>
      </c>
      <c r="E1879" s="6" t="s">
        <v>1556</v>
      </c>
      <c r="F1879" s="6" t="s">
        <v>1548</v>
      </c>
      <c r="G1879" s="6" t="str">
        <f aca="false">INDEX(Archetypes!$D$2:$D$127, MATCH(D1879, Archetypes!$A$2:$A$127, 0))</f>
        <v>Logistics</v>
      </c>
      <c r="H1879" s="6" t="n">
        <f aca="false">ROUND(INDEX(Archetypes!$E$2:$E$127, MATCH(D1879, Archetypes!$A$2:$A$127, 0))*INDEX(Unit_Grades!$B$2:$B$7, MATCH(F1879, Unit_Grades!$A$2:$A$7, 0))*INDEX(Unit_Paths!$B$2:$B$4, MATCH(E1879, Unit_Paths!$A$2:$A$4, 0)),1)</f>
        <v>840</v>
      </c>
      <c r="I1879" s="6" t="n">
        <f aca="false">ROUND(INDEX(Archetypes!$F$2:$F$127, MATCH(D1879, Archetypes!$A$2:$A$127, 0))*INDEX(Unit_Grades!$B$2:$B$7, MATCH(F1879, Unit_Grades!$A$2:$A$7, 0))*INDEX(Unit_Paths!$C$2:$C$4, MATCH(E1879, Unit_Paths!$A$2:$A$4, 0)),1)</f>
        <v>1932</v>
      </c>
      <c r="J1879" s="6" t="n">
        <f aca="false">ROUND(INDEX(Archetypes!$G$2:$G$127, MATCH(D1879, Archetypes!$A$2:$A$127, 0))*INDEX(Unit_Grades!$B$2:$B$7, MATCH(F1879, Unit_Grades!$A$2:$A$7, 0))*INDEX(Unit_Paths!$D$2:$D$4, MATCH(E1879, Unit_Paths!$A$2:$A$4, 0)),0)</f>
        <v>11760</v>
      </c>
      <c r="K1879" s="6" t="n">
        <f aca="false">ROUND(INDEX(Archetypes!$H$2:$H$127, MATCH(D1879, Archetypes!$A$2:$A$127, 0))*INDEX(Unit_Paths!$E$2:$E$4, MATCH(E1879, Unit_Paths!$A$2:$A$4, 0)),1)</f>
        <v>52</v>
      </c>
      <c r="L1879" s="6" t="n">
        <f aca="false">ROUND(INDEX(Archetypes!$I$2:$I$127, MATCH(D1879, Archetypes!$A$2:$A$127, 0))*INDEX(Unit_Grades!$C$2:$C$7, MATCH(F1879, Unit_Grades!$A$2:$A$7, 0)),1)</f>
        <v>207.2</v>
      </c>
      <c r="M1879" s="6" t="n">
        <f aca="false">ROUND(INDEX(Archetypes!$J$2:$J$127, MATCH(D1879, Archetypes!$A$2:$A$127, 0))*INDEX(Unit_Grades!$D$2:$D$7, MATCH(F1879, Unit_Grades!$A$2:$A$7, 0)),1)</f>
        <v>272.8</v>
      </c>
      <c r="N1879" s="6" t="n">
        <f aca="false">ROUND(M1879/24,2)</f>
        <v>11.37</v>
      </c>
    </row>
    <row r="1880" customFormat="false" ht="15" hidden="false" customHeight="true" outlineLevel="0" collapsed="false">
      <c r="A1880" s="6" t="n">
        <v>6</v>
      </c>
      <c r="B1880" s="6" t="s">
        <v>3343</v>
      </c>
      <c r="C1880" s="6" t="s">
        <v>1488</v>
      </c>
      <c r="D1880" s="6" t="str">
        <f aca="false">A1880&amp;"|"&amp;C1880</f>
        <v>6|Armada Tender</v>
      </c>
      <c r="E1880" s="6" t="s">
        <v>1558</v>
      </c>
      <c r="F1880" s="6" t="s">
        <v>1538</v>
      </c>
      <c r="G1880" s="6" t="str">
        <f aca="false">INDEX(Archetypes!$D$2:$D$127, MATCH(D1880, Archetypes!$A$2:$A$127, 0))</f>
        <v>Logistics</v>
      </c>
      <c r="H1880" s="6" t="n">
        <f aca="false">ROUND(INDEX(Archetypes!$E$2:$E$127, MATCH(D1880, Archetypes!$A$2:$A$127, 0))*INDEX(Unit_Grades!$B$2:$B$7, MATCH(F1880, Unit_Grades!$A$2:$A$7, 0))*INDEX(Unit_Paths!$B$2:$B$4, MATCH(E1880, Unit_Paths!$A$2:$A$4, 0)),1)</f>
        <v>240</v>
      </c>
      <c r="I1880" s="6" t="n">
        <f aca="false">ROUND(INDEX(Archetypes!$F$2:$F$127, MATCH(D1880, Archetypes!$A$2:$A$127, 0))*INDEX(Unit_Grades!$B$2:$B$7, MATCH(F1880, Unit_Grades!$A$2:$A$7, 0))*INDEX(Unit_Paths!$C$2:$C$4, MATCH(E1880, Unit_Paths!$A$2:$A$4, 0)),1)</f>
        <v>391</v>
      </c>
      <c r="J1880" s="6" t="n">
        <f aca="false">ROUND(INDEX(Archetypes!$G$2:$G$127, MATCH(D1880, Archetypes!$A$2:$A$127, 0))*INDEX(Unit_Grades!$B$2:$B$7, MATCH(F1880, Unit_Grades!$A$2:$A$7, 0))*INDEX(Unit_Paths!$D$2:$D$4, MATCH(E1880, Unit_Paths!$A$2:$A$4, 0)),0)</f>
        <v>2660</v>
      </c>
      <c r="K1880" s="6" t="n">
        <f aca="false">ROUND(INDEX(Archetypes!$H$2:$H$127, MATCH(D1880, Archetypes!$A$2:$A$127, 0))*INDEX(Unit_Paths!$E$2:$E$4, MATCH(E1880, Unit_Paths!$A$2:$A$4, 0)),1)</f>
        <v>54.6</v>
      </c>
      <c r="L1880" s="6" t="n">
        <f aca="false">ROUND(INDEX(Archetypes!$I$2:$I$127, MATCH(D1880, Archetypes!$A$2:$A$127, 0))*INDEX(Unit_Grades!$C$2:$C$7, MATCH(F1880, Unit_Grades!$A$2:$A$7, 0)),1)</f>
        <v>56</v>
      </c>
      <c r="M1880" s="6" t="n">
        <f aca="false">ROUND(INDEX(Archetypes!$J$2:$J$127, MATCH(D1880, Archetypes!$A$2:$A$127, 0))*INDEX(Unit_Grades!$D$2:$D$7, MATCH(F1880, Unit_Grades!$A$2:$A$7, 0)),1)</f>
        <v>22.7</v>
      </c>
      <c r="N1880" s="6" t="n">
        <f aca="false">ROUND(M1880/24,2)</f>
        <v>0.95</v>
      </c>
    </row>
    <row r="1881" customFormat="false" ht="15" hidden="false" customHeight="true" outlineLevel="0" collapsed="false">
      <c r="A1881" s="6" t="n">
        <v>6</v>
      </c>
      <c r="B1881" s="6" t="s">
        <v>3344</v>
      </c>
      <c r="C1881" s="6" t="s">
        <v>1488</v>
      </c>
      <c r="D1881" s="6" t="str">
        <f aca="false">A1881&amp;"|"&amp;C1881</f>
        <v>6|Armada Tender</v>
      </c>
      <c r="E1881" s="6" t="s">
        <v>1558</v>
      </c>
      <c r="F1881" s="6" t="s">
        <v>1540</v>
      </c>
      <c r="G1881" s="6" t="str">
        <f aca="false">INDEX(Archetypes!$D$2:$D$127, MATCH(D1881, Archetypes!$A$2:$A$127, 0))</f>
        <v>Logistics</v>
      </c>
      <c r="H1881" s="6" t="n">
        <f aca="false">ROUND(INDEX(Archetypes!$E$2:$E$127, MATCH(D1881, Archetypes!$A$2:$A$127, 0))*INDEX(Unit_Grades!$B$2:$B$7, MATCH(F1881, Unit_Grades!$A$2:$A$7, 0))*INDEX(Unit_Paths!$B$2:$B$4, MATCH(E1881, Unit_Paths!$A$2:$A$4, 0)),1)</f>
        <v>324</v>
      </c>
      <c r="I1881" s="6" t="n">
        <f aca="false">ROUND(INDEX(Archetypes!$F$2:$F$127, MATCH(D1881, Archetypes!$A$2:$A$127, 0))*INDEX(Unit_Grades!$B$2:$B$7, MATCH(F1881, Unit_Grades!$A$2:$A$7, 0))*INDEX(Unit_Paths!$C$2:$C$4, MATCH(E1881, Unit_Paths!$A$2:$A$4, 0)),1)</f>
        <v>527.9</v>
      </c>
      <c r="J1881" s="6" t="n">
        <f aca="false">ROUND(INDEX(Archetypes!$G$2:$G$127, MATCH(D1881, Archetypes!$A$2:$A$127, 0))*INDEX(Unit_Grades!$B$2:$B$7, MATCH(F1881, Unit_Grades!$A$2:$A$7, 0))*INDEX(Unit_Paths!$D$2:$D$4, MATCH(E1881, Unit_Paths!$A$2:$A$4, 0)),0)</f>
        <v>3591</v>
      </c>
      <c r="K1881" s="6" t="n">
        <f aca="false">ROUND(INDEX(Archetypes!$H$2:$H$127, MATCH(D1881, Archetypes!$A$2:$A$127, 0))*INDEX(Unit_Paths!$E$2:$E$4, MATCH(E1881, Unit_Paths!$A$2:$A$4, 0)),1)</f>
        <v>54.6</v>
      </c>
      <c r="L1881" s="6" t="n">
        <f aca="false">ROUND(INDEX(Archetypes!$I$2:$I$127, MATCH(D1881, Archetypes!$A$2:$A$127, 0))*INDEX(Unit_Grades!$C$2:$C$7, MATCH(F1881, Unit_Grades!$A$2:$A$7, 0)),1)</f>
        <v>70</v>
      </c>
      <c r="M1881" s="6" t="n">
        <f aca="false">ROUND(INDEX(Archetypes!$J$2:$J$127, MATCH(D1881, Archetypes!$A$2:$A$127, 0))*INDEX(Unit_Grades!$D$2:$D$7, MATCH(F1881, Unit_Grades!$A$2:$A$7, 0)),1)</f>
        <v>34.1</v>
      </c>
      <c r="N1881" s="6" t="n">
        <f aca="false">ROUND(M1881/24,2)</f>
        <v>1.42</v>
      </c>
    </row>
    <row r="1882" customFormat="false" ht="15" hidden="false" customHeight="true" outlineLevel="0" collapsed="false">
      <c r="A1882" s="6" t="n">
        <v>6</v>
      </c>
      <c r="B1882" s="6" t="s">
        <v>3345</v>
      </c>
      <c r="C1882" s="6" t="s">
        <v>1488</v>
      </c>
      <c r="D1882" s="6" t="str">
        <f aca="false">A1882&amp;"|"&amp;C1882</f>
        <v>6|Armada Tender</v>
      </c>
      <c r="E1882" s="6" t="s">
        <v>1558</v>
      </c>
      <c r="F1882" s="6" t="s">
        <v>1542</v>
      </c>
      <c r="G1882" s="6" t="str">
        <f aca="false">INDEX(Archetypes!$D$2:$D$127, MATCH(D1882, Archetypes!$A$2:$A$127, 0))</f>
        <v>Logistics</v>
      </c>
      <c r="H1882" s="6" t="n">
        <f aca="false">ROUND(INDEX(Archetypes!$E$2:$E$127, MATCH(D1882, Archetypes!$A$2:$A$127, 0))*INDEX(Unit_Grades!$B$2:$B$7, MATCH(F1882, Unit_Grades!$A$2:$A$7, 0))*INDEX(Unit_Paths!$B$2:$B$4, MATCH(E1882, Unit_Paths!$A$2:$A$4, 0)),1)</f>
        <v>432</v>
      </c>
      <c r="I1882" s="6" t="n">
        <f aca="false">ROUND(INDEX(Archetypes!$F$2:$F$127, MATCH(D1882, Archetypes!$A$2:$A$127, 0))*INDEX(Unit_Grades!$B$2:$B$7, MATCH(F1882, Unit_Grades!$A$2:$A$7, 0))*INDEX(Unit_Paths!$C$2:$C$4, MATCH(E1882, Unit_Paths!$A$2:$A$4, 0)),1)</f>
        <v>703.8</v>
      </c>
      <c r="J1882" s="6" t="n">
        <f aca="false">ROUND(INDEX(Archetypes!$G$2:$G$127, MATCH(D1882, Archetypes!$A$2:$A$127, 0))*INDEX(Unit_Grades!$B$2:$B$7, MATCH(F1882, Unit_Grades!$A$2:$A$7, 0))*INDEX(Unit_Paths!$D$2:$D$4, MATCH(E1882, Unit_Paths!$A$2:$A$4, 0)),0)</f>
        <v>4788</v>
      </c>
      <c r="K1882" s="6" t="n">
        <f aca="false">ROUND(INDEX(Archetypes!$H$2:$H$127, MATCH(D1882, Archetypes!$A$2:$A$127, 0))*INDEX(Unit_Paths!$E$2:$E$4, MATCH(E1882, Unit_Paths!$A$2:$A$4, 0)),1)</f>
        <v>54.6</v>
      </c>
      <c r="L1882" s="6" t="n">
        <f aca="false">ROUND(INDEX(Archetypes!$I$2:$I$127, MATCH(D1882, Archetypes!$A$2:$A$127, 0))*INDEX(Unit_Grades!$C$2:$C$7, MATCH(F1882, Unit_Grades!$A$2:$A$7, 0)),1)</f>
        <v>89.6</v>
      </c>
      <c r="M1882" s="6" t="n">
        <f aca="false">ROUND(INDEX(Archetypes!$J$2:$J$127, MATCH(D1882, Archetypes!$A$2:$A$127, 0))*INDEX(Unit_Grades!$D$2:$D$7, MATCH(F1882, Unit_Grades!$A$2:$A$7, 0)),1)</f>
        <v>56.8</v>
      </c>
      <c r="N1882" s="6" t="n">
        <f aca="false">ROUND(M1882/24,2)</f>
        <v>2.37</v>
      </c>
    </row>
    <row r="1883" customFormat="false" ht="15" hidden="false" customHeight="true" outlineLevel="0" collapsed="false">
      <c r="A1883" s="6" t="n">
        <v>6</v>
      </c>
      <c r="B1883" s="6" t="s">
        <v>3346</v>
      </c>
      <c r="C1883" s="6" t="s">
        <v>1488</v>
      </c>
      <c r="D1883" s="6" t="str">
        <f aca="false">A1883&amp;"|"&amp;C1883</f>
        <v>6|Armada Tender</v>
      </c>
      <c r="E1883" s="6" t="s">
        <v>1558</v>
      </c>
      <c r="F1883" s="6" t="s">
        <v>1544</v>
      </c>
      <c r="G1883" s="6" t="str">
        <f aca="false">INDEX(Archetypes!$D$2:$D$127, MATCH(D1883, Archetypes!$A$2:$A$127, 0))</f>
        <v>Logistics</v>
      </c>
      <c r="H1883" s="6" t="n">
        <f aca="false">ROUND(INDEX(Archetypes!$E$2:$E$127, MATCH(D1883, Archetypes!$A$2:$A$127, 0))*INDEX(Unit_Grades!$B$2:$B$7, MATCH(F1883, Unit_Grades!$A$2:$A$7, 0))*INDEX(Unit_Paths!$B$2:$B$4, MATCH(E1883, Unit_Paths!$A$2:$A$4, 0)),1)</f>
        <v>576</v>
      </c>
      <c r="I1883" s="6" t="n">
        <f aca="false">ROUND(INDEX(Archetypes!$F$2:$F$127, MATCH(D1883, Archetypes!$A$2:$A$127, 0))*INDEX(Unit_Grades!$B$2:$B$7, MATCH(F1883, Unit_Grades!$A$2:$A$7, 0))*INDEX(Unit_Paths!$C$2:$C$4, MATCH(E1883, Unit_Paths!$A$2:$A$4, 0)),1)</f>
        <v>938.4</v>
      </c>
      <c r="J1883" s="6" t="n">
        <f aca="false">ROUND(INDEX(Archetypes!$G$2:$G$127, MATCH(D1883, Archetypes!$A$2:$A$127, 0))*INDEX(Unit_Grades!$B$2:$B$7, MATCH(F1883, Unit_Grades!$A$2:$A$7, 0))*INDEX(Unit_Paths!$D$2:$D$4, MATCH(E1883, Unit_Paths!$A$2:$A$4, 0)),0)</f>
        <v>6384</v>
      </c>
      <c r="K1883" s="6" t="n">
        <f aca="false">ROUND(INDEX(Archetypes!$H$2:$H$127, MATCH(D1883, Archetypes!$A$2:$A$127, 0))*INDEX(Unit_Paths!$E$2:$E$4, MATCH(E1883, Unit_Paths!$A$2:$A$4, 0)),1)</f>
        <v>54.6</v>
      </c>
      <c r="L1883" s="6" t="n">
        <f aca="false">ROUND(INDEX(Archetypes!$I$2:$I$127, MATCH(D1883, Archetypes!$A$2:$A$127, 0))*INDEX(Unit_Grades!$C$2:$C$7, MATCH(F1883, Unit_Grades!$A$2:$A$7, 0)),1)</f>
        <v>117.6</v>
      </c>
      <c r="M1883" s="6" t="n">
        <f aca="false">ROUND(INDEX(Archetypes!$J$2:$J$127, MATCH(D1883, Archetypes!$A$2:$A$127, 0))*INDEX(Unit_Grades!$D$2:$D$7, MATCH(F1883, Unit_Grades!$A$2:$A$7, 0)),1)</f>
        <v>90.9</v>
      </c>
      <c r="N1883" s="6" t="n">
        <f aca="false">ROUND(M1883/24,2)</f>
        <v>3.79</v>
      </c>
    </row>
    <row r="1884" customFormat="false" ht="15" hidden="false" customHeight="true" outlineLevel="0" collapsed="false">
      <c r="A1884" s="6" t="n">
        <v>6</v>
      </c>
      <c r="B1884" s="6" t="s">
        <v>3347</v>
      </c>
      <c r="C1884" s="6" t="s">
        <v>1488</v>
      </c>
      <c r="D1884" s="6" t="str">
        <f aca="false">A1884&amp;"|"&amp;C1884</f>
        <v>6|Armada Tender</v>
      </c>
      <c r="E1884" s="6" t="s">
        <v>1558</v>
      </c>
      <c r="F1884" s="6" t="s">
        <v>1546</v>
      </c>
      <c r="G1884" s="6" t="str">
        <f aca="false">INDEX(Archetypes!$D$2:$D$127, MATCH(D1884, Archetypes!$A$2:$A$127, 0))</f>
        <v>Logistics</v>
      </c>
      <c r="H1884" s="6" t="n">
        <f aca="false">ROUND(INDEX(Archetypes!$E$2:$E$127, MATCH(D1884, Archetypes!$A$2:$A$127, 0))*INDEX(Unit_Grades!$B$2:$B$7, MATCH(F1884, Unit_Grades!$A$2:$A$7, 0))*INDEX(Unit_Paths!$B$2:$B$4, MATCH(E1884, Unit_Paths!$A$2:$A$4, 0)),1)</f>
        <v>768</v>
      </c>
      <c r="I1884" s="6" t="n">
        <f aca="false">ROUND(INDEX(Archetypes!$F$2:$F$127, MATCH(D1884, Archetypes!$A$2:$A$127, 0))*INDEX(Unit_Grades!$B$2:$B$7, MATCH(F1884, Unit_Grades!$A$2:$A$7, 0))*INDEX(Unit_Paths!$C$2:$C$4, MATCH(E1884, Unit_Paths!$A$2:$A$4, 0)),1)</f>
        <v>1251.2</v>
      </c>
      <c r="J1884" s="6" t="n">
        <f aca="false">ROUND(INDEX(Archetypes!$G$2:$G$127, MATCH(D1884, Archetypes!$A$2:$A$127, 0))*INDEX(Unit_Grades!$B$2:$B$7, MATCH(F1884, Unit_Grades!$A$2:$A$7, 0))*INDEX(Unit_Paths!$D$2:$D$4, MATCH(E1884, Unit_Paths!$A$2:$A$4, 0)),0)</f>
        <v>8512</v>
      </c>
      <c r="K1884" s="6" t="n">
        <f aca="false">ROUND(INDEX(Archetypes!$H$2:$H$127, MATCH(D1884, Archetypes!$A$2:$A$127, 0))*INDEX(Unit_Paths!$E$2:$E$4, MATCH(E1884, Unit_Paths!$A$2:$A$4, 0)),1)</f>
        <v>54.6</v>
      </c>
      <c r="L1884" s="6" t="n">
        <f aca="false">ROUND(INDEX(Archetypes!$I$2:$I$127, MATCH(D1884, Archetypes!$A$2:$A$127, 0))*INDEX(Unit_Grades!$C$2:$C$7, MATCH(F1884, Unit_Grades!$A$2:$A$7, 0)),1)</f>
        <v>156.8</v>
      </c>
      <c r="M1884" s="6" t="n">
        <f aca="false">ROUND(INDEX(Archetypes!$J$2:$J$127, MATCH(D1884, Archetypes!$A$2:$A$127, 0))*INDEX(Unit_Grades!$D$2:$D$7, MATCH(F1884, Unit_Grades!$A$2:$A$7, 0)),1)</f>
        <v>159.1</v>
      </c>
      <c r="N1884" s="6" t="n">
        <f aca="false">ROUND(M1884/24,2)</f>
        <v>6.63</v>
      </c>
    </row>
    <row r="1885" customFormat="false" ht="15" hidden="false" customHeight="true" outlineLevel="0" collapsed="false">
      <c r="A1885" s="6" t="n">
        <v>6</v>
      </c>
      <c r="B1885" s="6" t="s">
        <v>3348</v>
      </c>
      <c r="C1885" s="6" t="s">
        <v>1488</v>
      </c>
      <c r="D1885" s="6" t="str">
        <f aca="false">A1885&amp;"|"&amp;C1885</f>
        <v>6|Armada Tender</v>
      </c>
      <c r="E1885" s="6" t="s">
        <v>1558</v>
      </c>
      <c r="F1885" s="6" t="s">
        <v>1548</v>
      </c>
      <c r="G1885" s="6" t="str">
        <f aca="false">INDEX(Archetypes!$D$2:$D$127, MATCH(D1885, Archetypes!$A$2:$A$127, 0))</f>
        <v>Logistics</v>
      </c>
      <c r="H1885" s="6" t="n">
        <f aca="false">ROUND(INDEX(Archetypes!$E$2:$E$127, MATCH(D1885, Archetypes!$A$2:$A$127, 0))*INDEX(Unit_Grades!$B$2:$B$7, MATCH(F1885, Unit_Grades!$A$2:$A$7, 0))*INDEX(Unit_Paths!$B$2:$B$4, MATCH(E1885, Unit_Paths!$A$2:$A$4, 0)),1)</f>
        <v>1008</v>
      </c>
      <c r="I1885" s="6" t="n">
        <f aca="false">ROUND(INDEX(Archetypes!$F$2:$F$127, MATCH(D1885, Archetypes!$A$2:$A$127, 0))*INDEX(Unit_Grades!$B$2:$B$7, MATCH(F1885, Unit_Grades!$A$2:$A$7, 0))*INDEX(Unit_Paths!$C$2:$C$4, MATCH(E1885, Unit_Paths!$A$2:$A$4, 0)),1)</f>
        <v>1642.2</v>
      </c>
      <c r="J1885" s="6" t="n">
        <f aca="false">ROUND(INDEX(Archetypes!$G$2:$G$127, MATCH(D1885, Archetypes!$A$2:$A$127, 0))*INDEX(Unit_Grades!$B$2:$B$7, MATCH(F1885, Unit_Grades!$A$2:$A$7, 0))*INDEX(Unit_Paths!$D$2:$D$4, MATCH(E1885, Unit_Paths!$A$2:$A$4, 0)),0)</f>
        <v>11172</v>
      </c>
      <c r="K1885" s="6" t="n">
        <f aca="false">ROUND(INDEX(Archetypes!$H$2:$H$127, MATCH(D1885, Archetypes!$A$2:$A$127, 0))*INDEX(Unit_Paths!$E$2:$E$4, MATCH(E1885, Unit_Paths!$A$2:$A$4, 0)),1)</f>
        <v>54.6</v>
      </c>
      <c r="L1885" s="6" t="n">
        <f aca="false">ROUND(INDEX(Archetypes!$I$2:$I$127, MATCH(D1885, Archetypes!$A$2:$A$127, 0))*INDEX(Unit_Grades!$C$2:$C$7, MATCH(F1885, Unit_Grades!$A$2:$A$7, 0)),1)</f>
        <v>207.2</v>
      </c>
      <c r="M1885" s="6" t="n">
        <f aca="false">ROUND(INDEX(Archetypes!$J$2:$J$127, MATCH(D1885, Archetypes!$A$2:$A$127, 0))*INDEX(Unit_Grades!$D$2:$D$7, MATCH(F1885, Unit_Grades!$A$2:$A$7, 0)),1)</f>
        <v>272.8</v>
      </c>
      <c r="N1885" s="6" t="n">
        <f aca="false">ROUND(M1885/24,2)</f>
        <v>11.37</v>
      </c>
    </row>
    <row r="1886" customFormat="false" ht="15" hidden="false" customHeight="true" outlineLevel="0" collapsed="false">
      <c r="A1886" s="6" t="n">
        <v>6</v>
      </c>
      <c r="B1886" s="6" t="s">
        <v>3349</v>
      </c>
      <c r="C1886" s="6" t="s">
        <v>1488</v>
      </c>
      <c r="D1886" s="6" t="str">
        <f aca="false">A1886&amp;"|"&amp;C1886</f>
        <v>6|Armada Tender</v>
      </c>
      <c r="E1886" s="6" t="s">
        <v>1560</v>
      </c>
      <c r="F1886" s="6" t="s">
        <v>1538</v>
      </c>
      <c r="G1886" s="6" t="str">
        <f aca="false">INDEX(Archetypes!$D$2:$D$127, MATCH(D1886, Archetypes!$A$2:$A$127, 0))</f>
        <v>Logistics</v>
      </c>
      <c r="H1886" s="6" t="n">
        <f aca="false">ROUND(INDEX(Archetypes!$E$2:$E$127, MATCH(D1886, Archetypes!$A$2:$A$127, 0))*INDEX(Unit_Grades!$B$2:$B$7, MATCH(F1886, Unit_Grades!$A$2:$A$7, 0))*INDEX(Unit_Paths!$B$2:$B$4, MATCH(E1886, Unit_Paths!$A$2:$A$4, 0)),1)</f>
        <v>170</v>
      </c>
      <c r="I1886" s="6" t="n">
        <f aca="false">ROUND(INDEX(Archetypes!$F$2:$F$127, MATCH(D1886, Archetypes!$A$2:$A$127, 0))*INDEX(Unit_Grades!$B$2:$B$7, MATCH(F1886, Unit_Grades!$A$2:$A$7, 0))*INDEX(Unit_Paths!$C$2:$C$4, MATCH(E1886, Unit_Paths!$A$2:$A$4, 0)),1)</f>
        <v>575</v>
      </c>
      <c r="J1886" s="6" t="n">
        <f aca="false">ROUND(INDEX(Archetypes!$G$2:$G$127, MATCH(D1886, Archetypes!$A$2:$A$127, 0))*INDEX(Unit_Grades!$B$2:$B$7, MATCH(F1886, Unit_Grades!$A$2:$A$7, 0))*INDEX(Unit_Paths!$D$2:$D$4, MATCH(E1886, Unit_Paths!$A$2:$A$4, 0)),0)</f>
        <v>3220</v>
      </c>
      <c r="K1886" s="6" t="n">
        <f aca="false">ROUND(INDEX(Archetypes!$H$2:$H$127, MATCH(D1886, Archetypes!$A$2:$A$127, 0))*INDEX(Unit_Paths!$E$2:$E$4, MATCH(E1886, Unit_Paths!$A$2:$A$4, 0)),1)</f>
        <v>47.8</v>
      </c>
      <c r="L1886" s="6" t="n">
        <f aca="false">ROUND(INDEX(Archetypes!$I$2:$I$127, MATCH(D1886, Archetypes!$A$2:$A$127, 0))*INDEX(Unit_Grades!$C$2:$C$7, MATCH(F1886, Unit_Grades!$A$2:$A$7, 0)),1)</f>
        <v>56</v>
      </c>
      <c r="M1886" s="6" t="n">
        <f aca="false">ROUND(INDEX(Archetypes!$J$2:$J$127, MATCH(D1886, Archetypes!$A$2:$A$127, 0))*INDEX(Unit_Grades!$D$2:$D$7, MATCH(F1886, Unit_Grades!$A$2:$A$7, 0)),1)</f>
        <v>22.7</v>
      </c>
      <c r="N1886" s="6" t="n">
        <f aca="false">ROUND(M1886/24,2)</f>
        <v>0.95</v>
      </c>
    </row>
    <row r="1887" customFormat="false" ht="15" hidden="false" customHeight="true" outlineLevel="0" collapsed="false">
      <c r="A1887" s="6" t="n">
        <v>6</v>
      </c>
      <c r="B1887" s="6" t="s">
        <v>3350</v>
      </c>
      <c r="C1887" s="6" t="s">
        <v>1488</v>
      </c>
      <c r="D1887" s="6" t="str">
        <f aca="false">A1887&amp;"|"&amp;C1887</f>
        <v>6|Armada Tender</v>
      </c>
      <c r="E1887" s="6" t="s">
        <v>1560</v>
      </c>
      <c r="F1887" s="6" t="s">
        <v>1540</v>
      </c>
      <c r="G1887" s="6" t="str">
        <f aca="false">INDEX(Archetypes!$D$2:$D$127, MATCH(D1887, Archetypes!$A$2:$A$127, 0))</f>
        <v>Logistics</v>
      </c>
      <c r="H1887" s="6" t="n">
        <f aca="false">ROUND(INDEX(Archetypes!$E$2:$E$127, MATCH(D1887, Archetypes!$A$2:$A$127, 0))*INDEX(Unit_Grades!$B$2:$B$7, MATCH(F1887, Unit_Grades!$A$2:$A$7, 0))*INDEX(Unit_Paths!$B$2:$B$4, MATCH(E1887, Unit_Paths!$A$2:$A$4, 0)),1)</f>
        <v>229.5</v>
      </c>
      <c r="I1887" s="6" t="n">
        <f aca="false">ROUND(INDEX(Archetypes!$F$2:$F$127, MATCH(D1887, Archetypes!$A$2:$A$127, 0))*INDEX(Unit_Grades!$B$2:$B$7, MATCH(F1887, Unit_Grades!$A$2:$A$7, 0))*INDEX(Unit_Paths!$C$2:$C$4, MATCH(E1887, Unit_Paths!$A$2:$A$4, 0)),1)</f>
        <v>776.3</v>
      </c>
      <c r="J1887" s="6" t="n">
        <f aca="false">ROUND(INDEX(Archetypes!$G$2:$G$127, MATCH(D1887, Archetypes!$A$2:$A$127, 0))*INDEX(Unit_Grades!$B$2:$B$7, MATCH(F1887, Unit_Grades!$A$2:$A$7, 0))*INDEX(Unit_Paths!$D$2:$D$4, MATCH(E1887, Unit_Paths!$A$2:$A$4, 0)),0)</f>
        <v>4347</v>
      </c>
      <c r="K1887" s="6" t="n">
        <f aca="false">ROUND(INDEX(Archetypes!$H$2:$H$127, MATCH(D1887, Archetypes!$A$2:$A$127, 0))*INDEX(Unit_Paths!$E$2:$E$4, MATCH(E1887, Unit_Paths!$A$2:$A$4, 0)),1)</f>
        <v>47.8</v>
      </c>
      <c r="L1887" s="6" t="n">
        <f aca="false">ROUND(INDEX(Archetypes!$I$2:$I$127, MATCH(D1887, Archetypes!$A$2:$A$127, 0))*INDEX(Unit_Grades!$C$2:$C$7, MATCH(F1887, Unit_Grades!$A$2:$A$7, 0)),1)</f>
        <v>70</v>
      </c>
      <c r="M1887" s="6" t="n">
        <f aca="false">ROUND(INDEX(Archetypes!$J$2:$J$127, MATCH(D1887, Archetypes!$A$2:$A$127, 0))*INDEX(Unit_Grades!$D$2:$D$7, MATCH(F1887, Unit_Grades!$A$2:$A$7, 0)),1)</f>
        <v>34.1</v>
      </c>
      <c r="N1887" s="6" t="n">
        <f aca="false">ROUND(M1887/24,2)</f>
        <v>1.42</v>
      </c>
    </row>
    <row r="1888" customFormat="false" ht="15" hidden="false" customHeight="true" outlineLevel="0" collapsed="false">
      <c r="A1888" s="6" t="n">
        <v>6</v>
      </c>
      <c r="B1888" s="6" t="s">
        <v>3351</v>
      </c>
      <c r="C1888" s="6" t="s">
        <v>1488</v>
      </c>
      <c r="D1888" s="6" t="str">
        <f aca="false">A1888&amp;"|"&amp;C1888</f>
        <v>6|Armada Tender</v>
      </c>
      <c r="E1888" s="6" t="s">
        <v>1560</v>
      </c>
      <c r="F1888" s="6" t="s">
        <v>1542</v>
      </c>
      <c r="G1888" s="6" t="str">
        <f aca="false">INDEX(Archetypes!$D$2:$D$127, MATCH(D1888, Archetypes!$A$2:$A$127, 0))</f>
        <v>Logistics</v>
      </c>
      <c r="H1888" s="6" t="n">
        <f aca="false">ROUND(INDEX(Archetypes!$E$2:$E$127, MATCH(D1888, Archetypes!$A$2:$A$127, 0))*INDEX(Unit_Grades!$B$2:$B$7, MATCH(F1888, Unit_Grades!$A$2:$A$7, 0))*INDEX(Unit_Paths!$B$2:$B$4, MATCH(E1888, Unit_Paths!$A$2:$A$4, 0)),1)</f>
        <v>306</v>
      </c>
      <c r="I1888" s="6" t="n">
        <f aca="false">ROUND(INDEX(Archetypes!$F$2:$F$127, MATCH(D1888, Archetypes!$A$2:$A$127, 0))*INDEX(Unit_Grades!$B$2:$B$7, MATCH(F1888, Unit_Grades!$A$2:$A$7, 0))*INDEX(Unit_Paths!$C$2:$C$4, MATCH(E1888, Unit_Paths!$A$2:$A$4, 0)),1)</f>
        <v>1035</v>
      </c>
      <c r="J1888" s="6" t="n">
        <f aca="false">ROUND(INDEX(Archetypes!$G$2:$G$127, MATCH(D1888, Archetypes!$A$2:$A$127, 0))*INDEX(Unit_Grades!$B$2:$B$7, MATCH(F1888, Unit_Grades!$A$2:$A$7, 0))*INDEX(Unit_Paths!$D$2:$D$4, MATCH(E1888, Unit_Paths!$A$2:$A$4, 0)),0)</f>
        <v>5796</v>
      </c>
      <c r="K1888" s="6" t="n">
        <f aca="false">ROUND(INDEX(Archetypes!$H$2:$H$127, MATCH(D1888, Archetypes!$A$2:$A$127, 0))*INDEX(Unit_Paths!$E$2:$E$4, MATCH(E1888, Unit_Paths!$A$2:$A$4, 0)),1)</f>
        <v>47.8</v>
      </c>
      <c r="L1888" s="6" t="n">
        <f aca="false">ROUND(INDEX(Archetypes!$I$2:$I$127, MATCH(D1888, Archetypes!$A$2:$A$127, 0))*INDEX(Unit_Grades!$C$2:$C$7, MATCH(F1888, Unit_Grades!$A$2:$A$7, 0)),1)</f>
        <v>89.6</v>
      </c>
      <c r="M1888" s="6" t="n">
        <f aca="false">ROUND(INDEX(Archetypes!$J$2:$J$127, MATCH(D1888, Archetypes!$A$2:$A$127, 0))*INDEX(Unit_Grades!$D$2:$D$7, MATCH(F1888, Unit_Grades!$A$2:$A$7, 0)),1)</f>
        <v>56.8</v>
      </c>
      <c r="N1888" s="6" t="n">
        <f aca="false">ROUND(M1888/24,2)</f>
        <v>2.37</v>
      </c>
    </row>
    <row r="1889" customFormat="false" ht="15" hidden="false" customHeight="true" outlineLevel="0" collapsed="false">
      <c r="A1889" s="6" t="n">
        <v>6</v>
      </c>
      <c r="B1889" s="6" t="s">
        <v>3352</v>
      </c>
      <c r="C1889" s="6" t="s">
        <v>1488</v>
      </c>
      <c r="D1889" s="6" t="str">
        <f aca="false">A1889&amp;"|"&amp;C1889</f>
        <v>6|Armada Tender</v>
      </c>
      <c r="E1889" s="6" t="s">
        <v>1560</v>
      </c>
      <c r="F1889" s="6" t="s">
        <v>1544</v>
      </c>
      <c r="G1889" s="6" t="str">
        <f aca="false">INDEX(Archetypes!$D$2:$D$127, MATCH(D1889, Archetypes!$A$2:$A$127, 0))</f>
        <v>Logistics</v>
      </c>
      <c r="H1889" s="6" t="n">
        <f aca="false">ROUND(INDEX(Archetypes!$E$2:$E$127, MATCH(D1889, Archetypes!$A$2:$A$127, 0))*INDEX(Unit_Grades!$B$2:$B$7, MATCH(F1889, Unit_Grades!$A$2:$A$7, 0))*INDEX(Unit_Paths!$B$2:$B$4, MATCH(E1889, Unit_Paths!$A$2:$A$4, 0)),1)</f>
        <v>408</v>
      </c>
      <c r="I1889" s="6" t="n">
        <f aca="false">ROUND(INDEX(Archetypes!$F$2:$F$127, MATCH(D1889, Archetypes!$A$2:$A$127, 0))*INDEX(Unit_Grades!$B$2:$B$7, MATCH(F1889, Unit_Grades!$A$2:$A$7, 0))*INDEX(Unit_Paths!$C$2:$C$4, MATCH(E1889, Unit_Paths!$A$2:$A$4, 0)),1)</f>
        <v>1380</v>
      </c>
      <c r="J1889" s="6" t="n">
        <f aca="false">ROUND(INDEX(Archetypes!$G$2:$G$127, MATCH(D1889, Archetypes!$A$2:$A$127, 0))*INDEX(Unit_Grades!$B$2:$B$7, MATCH(F1889, Unit_Grades!$A$2:$A$7, 0))*INDEX(Unit_Paths!$D$2:$D$4, MATCH(E1889, Unit_Paths!$A$2:$A$4, 0)),0)</f>
        <v>7728</v>
      </c>
      <c r="K1889" s="6" t="n">
        <f aca="false">ROUND(INDEX(Archetypes!$H$2:$H$127, MATCH(D1889, Archetypes!$A$2:$A$127, 0))*INDEX(Unit_Paths!$E$2:$E$4, MATCH(E1889, Unit_Paths!$A$2:$A$4, 0)),1)</f>
        <v>47.8</v>
      </c>
      <c r="L1889" s="6" t="n">
        <f aca="false">ROUND(INDEX(Archetypes!$I$2:$I$127, MATCH(D1889, Archetypes!$A$2:$A$127, 0))*INDEX(Unit_Grades!$C$2:$C$7, MATCH(F1889, Unit_Grades!$A$2:$A$7, 0)),1)</f>
        <v>117.6</v>
      </c>
      <c r="M1889" s="6" t="n">
        <f aca="false">ROUND(INDEX(Archetypes!$J$2:$J$127, MATCH(D1889, Archetypes!$A$2:$A$127, 0))*INDEX(Unit_Grades!$D$2:$D$7, MATCH(F1889, Unit_Grades!$A$2:$A$7, 0)),1)</f>
        <v>90.9</v>
      </c>
      <c r="N1889" s="6" t="n">
        <f aca="false">ROUND(M1889/24,2)</f>
        <v>3.79</v>
      </c>
    </row>
    <row r="1890" customFormat="false" ht="15" hidden="false" customHeight="true" outlineLevel="0" collapsed="false">
      <c r="A1890" s="6" t="n">
        <v>6</v>
      </c>
      <c r="B1890" s="6" t="s">
        <v>3353</v>
      </c>
      <c r="C1890" s="6" t="s">
        <v>1488</v>
      </c>
      <c r="D1890" s="6" t="str">
        <f aca="false">A1890&amp;"|"&amp;C1890</f>
        <v>6|Armada Tender</v>
      </c>
      <c r="E1890" s="6" t="s">
        <v>1560</v>
      </c>
      <c r="F1890" s="6" t="s">
        <v>1546</v>
      </c>
      <c r="G1890" s="6" t="str">
        <f aca="false">INDEX(Archetypes!$D$2:$D$127, MATCH(D1890, Archetypes!$A$2:$A$127, 0))</f>
        <v>Logistics</v>
      </c>
      <c r="H1890" s="6" t="n">
        <f aca="false">ROUND(INDEX(Archetypes!$E$2:$E$127, MATCH(D1890, Archetypes!$A$2:$A$127, 0))*INDEX(Unit_Grades!$B$2:$B$7, MATCH(F1890, Unit_Grades!$A$2:$A$7, 0))*INDEX(Unit_Paths!$B$2:$B$4, MATCH(E1890, Unit_Paths!$A$2:$A$4, 0)),1)</f>
        <v>544</v>
      </c>
      <c r="I1890" s="6" t="n">
        <f aca="false">ROUND(INDEX(Archetypes!$F$2:$F$127, MATCH(D1890, Archetypes!$A$2:$A$127, 0))*INDEX(Unit_Grades!$B$2:$B$7, MATCH(F1890, Unit_Grades!$A$2:$A$7, 0))*INDEX(Unit_Paths!$C$2:$C$4, MATCH(E1890, Unit_Paths!$A$2:$A$4, 0)),1)</f>
        <v>1840</v>
      </c>
      <c r="J1890" s="6" t="n">
        <f aca="false">ROUND(INDEX(Archetypes!$G$2:$G$127, MATCH(D1890, Archetypes!$A$2:$A$127, 0))*INDEX(Unit_Grades!$B$2:$B$7, MATCH(F1890, Unit_Grades!$A$2:$A$7, 0))*INDEX(Unit_Paths!$D$2:$D$4, MATCH(E1890, Unit_Paths!$A$2:$A$4, 0)),0)</f>
        <v>10304</v>
      </c>
      <c r="K1890" s="6" t="n">
        <f aca="false">ROUND(INDEX(Archetypes!$H$2:$H$127, MATCH(D1890, Archetypes!$A$2:$A$127, 0))*INDEX(Unit_Paths!$E$2:$E$4, MATCH(E1890, Unit_Paths!$A$2:$A$4, 0)),1)</f>
        <v>47.8</v>
      </c>
      <c r="L1890" s="6" t="n">
        <f aca="false">ROUND(INDEX(Archetypes!$I$2:$I$127, MATCH(D1890, Archetypes!$A$2:$A$127, 0))*INDEX(Unit_Grades!$C$2:$C$7, MATCH(F1890, Unit_Grades!$A$2:$A$7, 0)),1)</f>
        <v>156.8</v>
      </c>
      <c r="M1890" s="6" t="n">
        <f aca="false">ROUND(INDEX(Archetypes!$J$2:$J$127, MATCH(D1890, Archetypes!$A$2:$A$127, 0))*INDEX(Unit_Grades!$D$2:$D$7, MATCH(F1890, Unit_Grades!$A$2:$A$7, 0)),1)</f>
        <v>159.1</v>
      </c>
      <c r="N1890" s="6" t="n">
        <f aca="false">ROUND(M1890/24,2)</f>
        <v>6.63</v>
      </c>
    </row>
    <row r="1891" customFormat="false" ht="15" hidden="false" customHeight="true" outlineLevel="0" collapsed="false">
      <c r="A1891" s="6" t="n">
        <v>6</v>
      </c>
      <c r="B1891" s="6" t="s">
        <v>3354</v>
      </c>
      <c r="C1891" s="6" t="s">
        <v>1488</v>
      </c>
      <c r="D1891" s="6" t="str">
        <f aca="false">A1891&amp;"|"&amp;C1891</f>
        <v>6|Armada Tender</v>
      </c>
      <c r="E1891" s="6" t="s">
        <v>1560</v>
      </c>
      <c r="F1891" s="6" t="s">
        <v>1548</v>
      </c>
      <c r="G1891" s="6" t="str">
        <f aca="false">INDEX(Archetypes!$D$2:$D$127, MATCH(D1891, Archetypes!$A$2:$A$127, 0))</f>
        <v>Logistics</v>
      </c>
      <c r="H1891" s="6" t="n">
        <f aca="false">ROUND(INDEX(Archetypes!$E$2:$E$127, MATCH(D1891, Archetypes!$A$2:$A$127, 0))*INDEX(Unit_Grades!$B$2:$B$7, MATCH(F1891, Unit_Grades!$A$2:$A$7, 0))*INDEX(Unit_Paths!$B$2:$B$4, MATCH(E1891, Unit_Paths!$A$2:$A$4, 0)),1)</f>
        <v>714</v>
      </c>
      <c r="I1891" s="6" t="n">
        <f aca="false">ROUND(INDEX(Archetypes!$F$2:$F$127, MATCH(D1891, Archetypes!$A$2:$A$127, 0))*INDEX(Unit_Grades!$B$2:$B$7, MATCH(F1891, Unit_Grades!$A$2:$A$7, 0))*INDEX(Unit_Paths!$C$2:$C$4, MATCH(E1891, Unit_Paths!$A$2:$A$4, 0)),1)</f>
        <v>2415</v>
      </c>
      <c r="J1891" s="6" t="n">
        <f aca="false">ROUND(INDEX(Archetypes!$G$2:$G$127, MATCH(D1891, Archetypes!$A$2:$A$127, 0))*INDEX(Unit_Grades!$B$2:$B$7, MATCH(F1891, Unit_Grades!$A$2:$A$7, 0))*INDEX(Unit_Paths!$D$2:$D$4, MATCH(E1891, Unit_Paths!$A$2:$A$4, 0)),0)</f>
        <v>13524</v>
      </c>
      <c r="K1891" s="6" t="n">
        <f aca="false">ROUND(INDEX(Archetypes!$H$2:$H$127, MATCH(D1891, Archetypes!$A$2:$A$127, 0))*INDEX(Unit_Paths!$E$2:$E$4, MATCH(E1891, Unit_Paths!$A$2:$A$4, 0)),1)</f>
        <v>47.8</v>
      </c>
      <c r="L1891" s="6" t="n">
        <f aca="false">ROUND(INDEX(Archetypes!$I$2:$I$127, MATCH(D1891, Archetypes!$A$2:$A$127, 0))*INDEX(Unit_Grades!$C$2:$C$7, MATCH(F1891, Unit_Grades!$A$2:$A$7, 0)),1)</f>
        <v>207.2</v>
      </c>
      <c r="M1891" s="6" t="n">
        <f aca="false">ROUND(INDEX(Archetypes!$J$2:$J$127, MATCH(D1891, Archetypes!$A$2:$A$127, 0))*INDEX(Unit_Grades!$D$2:$D$7, MATCH(F1891, Unit_Grades!$A$2:$A$7, 0)),1)</f>
        <v>272.8</v>
      </c>
      <c r="N1891" s="6" t="n">
        <f aca="false">ROUND(M1891/24,2)</f>
        <v>11.37</v>
      </c>
    </row>
    <row r="1892" customFormat="false" ht="15" hidden="false" customHeight="true" outlineLevel="0" collapsed="false">
      <c r="A1892" s="6" t="n">
        <v>6</v>
      </c>
      <c r="B1892" s="6" t="s">
        <v>1490</v>
      </c>
      <c r="C1892" s="6" t="s">
        <v>1490</v>
      </c>
      <c r="D1892" s="6" t="str">
        <f aca="false">A1892&amp;"|"&amp;C1892</f>
        <v>6|Planet-Cracker</v>
      </c>
      <c r="E1892" s="6" t="s">
        <v>1556</v>
      </c>
      <c r="F1892" s="6" t="s">
        <v>1538</v>
      </c>
      <c r="G1892" s="6" t="str">
        <f aca="false">INDEX(Archetypes!$D$2:$D$127, MATCH(D1892, Archetypes!$A$2:$A$127, 0))</f>
        <v>Ultimate Siege</v>
      </c>
      <c r="H1892" s="6" t="n">
        <f aca="false">ROUND(INDEX(Archetypes!$E$2:$E$127, MATCH(D1892, Archetypes!$A$2:$A$127, 0))*INDEX(Unit_Grades!$B$2:$B$7, MATCH(F1892, Unit_Grades!$A$2:$A$7, 0))*INDEX(Unit_Paths!$B$2:$B$4, MATCH(E1892, Unit_Paths!$A$2:$A$4, 0)),1)</f>
        <v>2400</v>
      </c>
      <c r="I1892" s="6" t="n">
        <f aca="false">ROUND(INDEX(Archetypes!$F$2:$F$127, MATCH(D1892, Archetypes!$A$2:$A$127, 0))*INDEX(Unit_Grades!$B$2:$B$7, MATCH(F1892, Unit_Grades!$A$2:$A$7, 0))*INDEX(Unit_Paths!$C$2:$C$4, MATCH(E1892, Unit_Paths!$A$2:$A$4, 0)),1)</f>
        <v>600</v>
      </c>
      <c r="J1892" s="6" t="n">
        <f aca="false">ROUND(INDEX(Archetypes!$G$2:$G$127, MATCH(D1892, Archetypes!$A$2:$A$127, 0))*INDEX(Unit_Grades!$B$2:$B$7, MATCH(F1892, Unit_Grades!$A$2:$A$7, 0))*INDEX(Unit_Paths!$D$2:$D$4, MATCH(E1892, Unit_Paths!$A$2:$A$4, 0)),0)</f>
        <v>5000</v>
      </c>
      <c r="K1892" s="6" t="n">
        <f aca="false">ROUND(INDEX(Archetypes!$H$2:$H$127, MATCH(D1892, Archetypes!$A$2:$A$127, 0))*INDEX(Unit_Paths!$E$2:$E$4, MATCH(E1892, Unit_Paths!$A$2:$A$4, 0)),1)</f>
        <v>26</v>
      </c>
      <c r="L1892" s="6" t="n">
        <f aca="false">ROUND(INDEX(Archetypes!$I$2:$I$127, MATCH(D1892, Archetypes!$A$2:$A$127, 0))*INDEX(Unit_Grades!$C$2:$C$7, MATCH(F1892, Unit_Grades!$A$2:$A$7, 0)),1)</f>
        <v>400</v>
      </c>
      <c r="M1892" s="6" t="n">
        <f aca="false">ROUND(INDEX(Archetypes!$J$2:$J$127, MATCH(D1892, Archetypes!$A$2:$A$127, 0))*INDEX(Unit_Grades!$D$2:$D$7, MATCH(F1892, Unit_Grades!$A$2:$A$7, 0)),1)</f>
        <v>162.3</v>
      </c>
      <c r="N1892" s="6" t="n">
        <f aca="false">ROUND(M1892/24,2)</f>
        <v>6.76</v>
      </c>
    </row>
    <row r="1893" customFormat="false" ht="15" hidden="false" customHeight="true" outlineLevel="0" collapsed="false">
      <c r="A1893" s="6" t="n">
        <v>6</v>
      </c>
      <c r="B1893" s="6" t="s">
        <v>3355</v>
      </c>
      <c r="C1893" s="6" t="s">
        <v>1490</v>
      </c>
      <c r="D1893" s="6" t="str">
        <f aca="false">A1893&amp;"|"&amp;C1893</f>
        <v>6|Planet-Cracker</v>
      </c>
      <c r="E1893" s="6" t="s">
        <v>1556</v>
      </c>
      <c r="F1893" s="6" t="s">
        <v>1540</v>
      </c>
      <c r="G1893" s="6" t="str">
        <f aca="false">INDEX(Archetypes!$D$2:$D$127, MATCH(D1893, Archetypes!$A$2:$A$127, 0))</f>
        <v>Ultimate Siege</v>
      </c>
      <c r="H1893" s="6" t="n">
        <f aca="false">ROUND(INDEX(Archetypes!$E$2:$E$127, MATCH(D1893, Archetypes!$A$2:$A$127, 0))*INDEX(Unit_Grades!$B$2:$B$7, MATCH(F1893, Unit_Grades!$A$2:$A$7, 0))*INDEX(Unit_Paths!$B$2:$B$4, MATCH(E1893, Unit_Paths!$A$2:$A$4, 0)),1)</f>
        <v>3240</v>
      </c>
      <c r="I1893" s="6" t="n">
        <f aca="false">ROUND(INDEX(Archetypes!$F$2:$F$127, MATCH(D1893, Archetypes!$A$2:$A$127, 0))*INDEX(Unit_Grades!$B$2:$B$7, MATCH(F1893, Unit_Grades!$A$2:$A$7, 0))*INDEX(Unit_Paths!$C$2:$C$4, MATCH(E1893, Unit_Paths!$A$2:$A$4, 0)),1)</f>
        <v>810</v>
      </c>
      <c r="J1893" s="6" t="n">
        <f aca="false">ROUND(INDEX(Archetypes!$G$2:$G$127, MATCH(D1893, Archetypes!$A$2:$A$127, 0))*INDEX(Unit_Grades!$B$2:$B$7, MATCH(F1893, Unit_Grades!$A$2:$A$7, 0))*INDEX(Unit_Paths!$D$2:$D$4, MATCH(E1893, Unit_Paths!$A$2:$A$4, 0)),0)</f>
        <v>6750</v>
      </c>
      <c r="K1893" s="6" t="n">
        <f aca="false">ROUND(INDEX(Archetypes!$H$2:$H$127, MATCH(D1893, Archetypes!$A$2:$A$127, 0))*INDEX(Unit_Paths!$E$2:$E$4, MATCH(E1893, Unit_Paths!$A$2:$A$4, 0)),1)</f>
        <v>26</v>
      </c>
      <c r="L1893" s="6" t="n">
        <f aca="false">ROUND(INDEX(Archetypes!$I$2:$I$127, MATCH(D1893, Archetypes!$A$2:$A$127, 0))*INDEX(Unit_Grades!$C$2:$C$7, MATCH(F1893, Unit_Grades!$A$2:$A$7, 0)),1)</f>
        <v>500</v>
      </c>
      <c r="M1893" s="6" t="n">
        <f aca="false">ROUND(INDEX(Archetypes!$J$2:$J$127, MATCH(D1893, Archetypes!$A$2:$A$127, 0))*INDEX(Unit_Grades!$D$2:$D$7, MATCH(F1893, Unit_Grades!$A$2:$A$7, 0)),1)</f>
        <v>243.5</v>
      </c>
      <c r="N1893" s="6" t="n">
        <f aca="false">ROUND(M1893/24,2)</f>
        <v>10.15</v>
      </c>
    </row>
    <row r="1894" customFormat="false" ht="15" hidden="false" customHeight="true" outlineLevel="0" collapsed="false">
      <c r="A1894" s="6" t="n">
        <v>6</v>
      </c>
      <c r="B1894" s="6" t="s">
        <v>3356</v>
      </c>
      <c r="C1894" s="6" t="s">
        <v>1490</v>
      </c>
      <c r="D1894" s="6" t="str">
        <f aca="false">A1894&amp;"|"&amp;C1894</f>
        <v>6|Planet-Cracker</v>
      </c>
      <c r="E1894" s="6" t="s">
        <v>1556</v>
      </c>
      <c r="F1894" s="6" t="s">
        <v>1542</v>
      </c>
      <c r="G1894" s="6" t="str">
        <f aca="false">INDEX(Archetypes!$D$2:$D$127, MATCH(D1894, Archetypes!$A$2:$A$127, 0))</f>
        <v>Ultimate Siege</v>
      </c>
      <c r="H1894" s="6" t="n">
        <f aca="false">ROUND(INDEX(Archetypes!$E$2:$E$127, MATCH(D1894, Archetypes!$A$2:$A$127, 0))*INDEX(Unit_Grades!$B$2:$B$7, MATCH(F1894, Unit_Grades!$A$2:$A$7, 0))*INDEX(Unit_Paths!$B$2:$B$4, MATCH(E1894, Unit_Paths!$A$2:$A$4, 0)),1)</f>
        <v>4320</v>
      </c>
      <c r="I1894" s="6" t="n">
        <f aca="false">ROUND(INDEX(Archetypes!$F$2:$F$127, MATCH(D1894, Archetypes!$A$2:$A$127, 0))*INDEX(Unit_Grades!$B$2:$B$7, MATCH(F1894, Unit_Grades!$A$2:$A$7, 0))*INDEX(Unit_Paths!$C$2:$C$4, MATCH(E1894, Unit_Paths!$A$2:$A$4, 0)),1)</f>
        <v>1080</v>
      </c>
      <c r="J1894" s="6" t="n">
        <f aca="false">ROUND(INDEX(Archetypes!$G$2:$G$127, MATCH(D1894, Archetypes!$A$2:$A$127, 0))*INDEX(Unit_Grades!$B$2:$B$7, MATCH(F1894, Unit_Grades!$A$2:$A$7, 0))*INDEX(Unit_Paths!$D$2:$D$4, MATCH(E1894, Unit_Paths!$A$2:$A$4, 0)),0)</f>
        <v>9000</v>
      </c>
      <c r="K1894" s="6" t="n">
        <f aca="false">ROUND(INDEX(Archetypes!$H$2:$H$127, MATCH(D1894, Archetypes!$A$2:$A$127, 0))*INDEX(Unit_Paths!$E$2:$E$4, MATCH(E1894, Unit_Paths!$A$2:$A$4, 0)),1)</f>
        <v>26</v>
      </c>
      <c r="L1894" s="6" t="n">
        <f aca="false">ROUND(INDEX(Archetypes!$I$2:$I$127, MATCH(D1894, Archetypes!$A$2:$A$127, 0))*INDEX(Unit_Grades!$C$2:$C$7, MATCH(F1894, Unit_Grades!$A$2:$A$7, 0)),1)</f>
        <v>640</v>
      </c>
      <c r="M1894" s="6" t="n">
        <f aca="false">ROUND(INDEX(Archetypes!$J$2:$J$127, MATCH(D1894, Archetypes!$A$2:$A$127, 0))*INDEX(Unit_Grades!$D$2:$D$7, MATCH(F1894, Unit_Grades!$A$2:$A$7, 0)),1)</f>
        <v>405.8</v>
      </c>
      <c r="N1894" s="6" t="n">
        <f aca="false">ROUND(M1894/24,2)</f>
        <v>16.91</v>
      </c>
    </row>
    <row r="1895" customFormat="false" ht="15" hidden="false" customHeight="true" outlineLevel="0" collapsed="false">
      <c r="A1895" s="6" t="n">
        <v>6</v>
      </c>
      <c r="B1895" s="6" t="s">
        <v>3357</v>
      </c>
      <c r="C1895" s="6" t="s">
        <v>1490</v>
      </c>
      <c r="D1895" s="6" t="str">
        <f aca="false">A1895&amp;"|"&amp;C1895</f>
        <v>6|Planet-Cracker</v>
      </c>
      <c r="E1895" s="6" t="s">
        <v>1556</v>
      </c>
      <c r="F1895" s="6" t="s">
        <v>1544</v>
      </c>
      <c r="G1895" s="6" t="str">
        <f aca="false">INDEX(Archetypes!$D$2:$D$127, MATCH(D1895, Archetypes!$A$2:$A$127, 0))</f>
        <v>Ultimate Siege</v>
      </c>
      <c r="H1895" s="6" t="n">
        <f aca="false">ROUND(INDEX(Archetypes!$E$2:$E$127, MATCH(D1895, Archetypes!$A$2:$A$127, 0))*INDEX(Unit_Grades!$B$2:$B$7, MATCH(F1895, Unit_Grades!$A$2:$A$7, 0))*INDEX(Unit_Paths!$B$2:$B$4, MATCH(E1895, Unit_Paths!$A$2:$A$4, 0)),1)</f>
        <v>5760</v>
      </c>
      <c r="I1895" s="6" t="n">
        <f aca="false">ROUND(INDEX(Archetypes!$F$2:$F$127, MATCH(D1895, Archetypes!$A$2:$A$127, 0))*INDEX(Unit_Grades!$B$2:$B$7, MATCH(F1895, Unit_Grades!$A$2:$A$7, 0))*INDEX(Unit_Paths!$C$2:$C$4, MATCH(E1895, Unit_Paths!$A$2:$A$4, 0)),1)</f>
        <v>1440</v>
      </c>
      <c r="J1895" s="6" t="n">
        <f aca="false">ROUND(INDEX(Archetypes!$G$2:$G$127, MATCH(D1895, Archetypes!$A$2:$A$127, 0))*INDEX(Unit_Grades!$B$2:$B$7, MATCH(F1895, Unit_Grades!$A$2:$A$7, 0))*INDEX(Unit_Paths!$D$2:$D$4, MATCH(E1895, Unit_Paths!$A$2:$A$4, 0)),0)</f>
        <v>12000</v>
      </c>
      <c r="K1895" s="6" t="n">
        <f aca="false">ROUND(INDEX(Archetypes!$H$2:$H$127, MATCH(D1895, Archetypes!$A$2:$A$127, 0))*INDEX(Unit_Paths!$E$2:$E$4, MATCH(E1895, Unit_Paths!$A$2:$A$4, 0)),1)</f>
        <v>26</v>
      </c>
      <c r="L1895" s="6" t="n">
        <f aca="false">ROUND(INDEX(Archetypes!$I$2:$I$127, MATCH(D1895, Archetypes!$A$2:$A$127, 0))*INDEX(Unit_Grades!$C$2:$C$7, MATCH(F1895, Unit_Grades!$A$2:$A$7, 0)),1)</f>
        <v>840</v>
      </c>
      <c r="M1895" s="6" t="n">
        <f aca="false">ROUND(INDEX(Archetypes!$J$2:$J$127, MATCH(D1895, Archetypes!$A$2:$A$127, 0))*INDEX(Unit_Grades!$D$2:$D$7, MATCH(F1895, Unit_Grades!$A$2:$A$7, 0)),1)</f>
        <v>649.3</v>
      </c>
      <c r="N1895" s="6" t="n">
        <f aca="false">ROUND(M1895/24,2)</f>
        <v>27.05</v>
      </c>
    </row>
    <row r="1896" customFormat="false" ht="15" hidden="false" customHeight="true" outlineLevel="0" collapsed="false">
      <c r="A1896" s="6" t="n">
        <v>6</v>
      </c>
      <c r="B1896" s="6" t="s">
        <v>3358</v>
      </c>
      <c r="C1896" s="6" t="s">
        <v>1490</v>
      </c>
      <c r="D1896" s="6" t="str">
        <f aca="false">A1896&amp;"|"&amp;C1896</f>
        <v>6|Planet-Cracker</v>
      </c>
      <c r="E1896" s="6" t="s">
        <v>1556</v>
      </c>
      <c r="F1896" s="6" t="s">
        <v>1546</v>
      </c>
      <c r="G1896" s="6" t="str">
        <f aca="false">INDEX(Archetypes!$D$2:$D$127, MATCH(D1896, Archetypes!$A$2:$A$127, 0))</f>
        <v>Ultimate Siege</v>
      </c>
      <c r="H1896" s="6" t="n">
        <f aca="false">ROUND(INDEX(Archetypes!$E$2:$E$127, MATCH(D1896, Archetypes!$A$2:$A$127, 0))*INDEX(Unit_Grades!$B$2:$B$7, MATCH(F1896, Unit_Grades!$A$2:$A$7, 0))*INDEX(Unit_Paths!$B$2:$B$4, MATCH(E1896, Unit_Paths!$A$2:$A$4, 0)),1)</f>
        <v>7680</v>
      </c>
      <c r="I1896" s="6" t="n">
        <f aca="false">ROUND(INDEX(Archetypes!$F$2:$F$127, MATCH(D1896, Archetypes!$A$2:$A$127, 0))*INDEX(Unit_Grades!$B$2:$B$7, MATCH(F1896, Unit_Grades!$A$2:$A$7, 0))*INDEX(Unit_Paths!$C$2:$C$4, MATCH(E1896, Unit_Paths!$A$2:$A$4, 0)),1)</f>
        <v>1920</v>
      </c>
      <c r="J1896" s="6" t="n">
        <f aca="false">ROUND(INDEX(Archetypes!$G$2:$G$127, MATCH(D1896, Archetypes!$A$2:$A$127, 0))*INDEX(Unit_Grades!$B$2:$B$7, MATCH(F1896, Unit_Grades!$A$2:$A$7, 0))*INDEX(Unit_Paths!$D$2:$D$4, MATCH(E1896, Unit_Paths!$A$2:$A$4, 0)),0)</f>
        <v>16000</v>
      </c>
      <c r="K1896" s="6" t="n">
        <f aca="false">ROUND(INDEX(Archetypes!$H$2:$H$127, MATCH(D1896, Archetypes!$A$2:$A$127, 0))*INDEX(Unit_Paths!$E$2:$E$4, MATCH(E1896, Unit_Paths!$A$2:$A$4, 0)),1)</f>
        <v>26</v>
      </c>
      <c r="L1896" s="6" t="n">
        <f aca="false">ROUND(INDEX(Archetypes!$I$2:$I$127, MATCH(D1896, Archetypes!$A$2:$A$127, 0))*INDEX(Unit_Grades!$C$2:$C$7, MATCH(F1896, Unit_Grades!$A$2:$A$7, 0)),1)</f>
        <v>1120</v>
      </c>
      <c r="M1896" s="6" t="n">
        <f aca="false">ROUND(INDEX(Archetypes!$J$2:$J$127, MATCH(D1896, Archetypes!$A$2:$A$127, 0))*INDEX(Unit_Grades!$D$2:$D$7, MATCH(F1896, Unit_Grades!$A$2:$A$7, 0)),1)</f>
        <v>1136.3</v>
      </c>
      <c r="N1896" s="6" t="n">
        <f aca="false">ROUND(M1896/24,2)</f>
        <v>47.35</v>
      </c>
    </row>
    <row r="1897" customFormat="false" ht="15" hidden="false" customHeight="true" outlineLevel="0" collapsed="false">
      <c r="A1897" s="6" t="n">
        <v>6</v>
      </c>
      <c r="B1897" s="6" t="s">
        <v>3359</v>
      </c>
      <c r="C1897" s="6" t="s">
        <v>1490</v>
      </c>
      <c r="D1897" s="6" t="str">
        <f aca="false">A1897&amp;"|"&amp;C1897</f>
        <v>6|Planet-Cracker</v>
      </c>
      <c r="E1897" s="6" t="s">
        <v>1556</v>
      </c>
      <c r="F1897" s="6" t="s">
        <v>1548</v>
      </c>
      <c r="G1897" s="6" t="str">
        <f aca="false">INDEX(Archetypes!$D$2:$D$127, MATCH(D1897, Archetypes!$A$2:$A$127, 0))</f>
        <v>Ultimate Siege</v>
      </c>
      <c r="H1897" s="6" t="n">
        <f aca="false">ROUND(INDEX(Archetypes!$E$2:$E$127, MATCH(D1897, Archetypes!$A$2:$A$127, 0))*INDEX(Unit_Grades!$B$2:$B$7, MATCH(F1897, Unit_Grades!$A$2:$A$7, 0))*INDEX(Unit_Paths!$B$2:$B$4, MATCH(E1897, Unit_Paths!$A$2:$A$4, 0)),1)</f>
        <v>10080</v>
      </c>
      <c r="I1897" s="6" t="n">
        <f aca="false">ROUND(INDEX(Archetypes!$F$2:$F$127, MATCH(D1897, Archetypes!$A$2:$A$127, 0))*INDEX(Unit_Grades!$B$2:$B$7, MATCH(F1897, Unit_Grades!$A$2:$A$7, 0))*INDEX(Unit_Paths!$C$2:$C$4, MATCH(E1897, Unit_Paths!$A$2:$A$4, 0)),1)</f>
        <v>2520</v>
      </c>
      <c r="J1897" s="6" t="n">
        <f aca="false">ROUND(INDEX(Archetypes!$G$2:$G$127, MATCH(D1897, Archetypes!$A$2:$A$127, 0))*INDEX(Unit_Grades!$B$2:$B$7, MATCH(F1897, Unit_Grades!$A$2:$A$7, 0))*INDEX(Unit_Paths!$D$2:$D$4, MATCH(E1897, Unit_Paths!$A$2:$A$4, 0)),0)</f>
        <v>21000</v>
      </c>
      <c r="K1897" s="6" t="n">
        <f aca="false">ROUND(INDEX(Archetypes!$H$2:$H$127, MATCH(D1897, Archetypes!$A$2:$A$127, 0))*INDEX(Unit_Paths!$E$2:$E$4, MATCH(E1897, Unit_Paths!$A$2:$A$4, 0)),1)</f>
        <v>26</v>
      </c>
      <c r="L1897" s="6" t="n">
        <f aca="false">ROUND(INDEX(Archetypes!$I$2:$I$127, MATCH(D1897, Archetypes!$A$2:$A$127, 0))*INDEX(Unit_Grades!$C$2:$C$7, MATCH(F1897, Unit_Grades!$A$2:$A$7, 0)),1)</f>
        <v>1480</v>
      </c>
      <c r="M1897" s="6" t="n">
        <f aca="false">ROUND(INDEX(Archetypes!$J$2:$J$127, MATCH(D1897, Archetypes!$A$2:$A$127, 0))*INDEX(Unit_Grades!$D$2:$D$7, MATCH(F1897, Unit_Grades!$A$2:$A$7, 0)),1)</f>
        <v>1948</v>
      </c>
      <c r="N1897" s="6" t="n">
        <f aca="false">ROUND(M1897/24,2)</f>
        <v>81.17</v>
      </c>
    </row>
    <row r="1898" customFormat="false" ht="15" hidden="false" customHeight="true" outlineLevel="0" collapsed="false">
      <c r="A1898" s="6" t="n">
        <v>6</v>
      </c>
      <c r="B1898" s="6" t="s">
        <v>3360</v>
      </c>
      <c r="C1898" s="6" t="s">
        <v>1490</v>
      </c>
      <c r="D1898" s="6" t="str">
        <f aca="false">A1898&amp;"|"&amp;C1898</f>
        <v>6|Planet-Cracker</v>
      </c>
      <c r="E1898" s="6" t="s">
        <v>1558</v>
      </c>
      <c r="F1898" s="6" t="s">
        <v>1538</v>
      </c>
      <c r="G1898" s="6" t="str">
        <f aca="false">INDEX(Archetypes!$D$2:$D$127, MATCH(D1898, Archetypes!$A$2:$A$127, 0))</f>
        <v>Ultimate Siege</v>
      </c>
      <c r="H1898" s="6" t="n">
        <f aca="false">ROUND(INDEX(Archetypes!$E$2:$E$127, MATCH(D1898, Archetypes!$A$2:$A$127, 0))*INDEX(Unit_Grades!$B$2:$B$7, MATCH(F1898, Unit_Grades!$A$2:$A$7, 0))*INDEX(Unit_Paths!$B$2:$B$4, MATCH(E1898, Unit_Paths!$A$2:$A$4, 0)),1)</f>
        <v>2880</v>
      </c>
      <c r="I1898" s="6" t="n">
        <f aca="false">ROUND(INDEX(Archetypes!$F$2:$F$127, MATCH(D1898, Archetypes!$A$2:$A$127, 0))*INDEX(Unit_Grades!$B$2:$B$7, MATCH(F1898, Unit_Grades!$A$2:$A$7, 0))*INDEX(Unit_Paths!$C$2:$C$4, MATCH(E1898, Unit_Paths!$A$2:$A$4, 0)),1)</f>
        <v>510</v>
      </c>
      <c r="J1898" s="6" t="n">
        <f aca="false">ROUND(INDEX(Archetypes!$G$2:$G$127, MATCH(D1898, Archetypes!$A$2:$A$127, 0))*INDEX(Unit_Grades!$B$2:$B$7, MATCH(F1898, Unit_Grades!$A$2:$A$7, 0))*INDEX(Unit_Paths!$D$2:$D$4, MATCH(E1898, Unit_Paths!$A$2:$A$4, 0)),0)</f>
        <v>4750</v>
      </c>
      <c r="K1898" s="6" t="n">
        <f aca="false">ROUND(INDEX(Archetypes!$H$2:$H$127, MATCH(D1898, Archetypes!$A$2:$A$127, 0))*INDEX(Unit_Paths!$E$2:$E$4, MATCH(E1898, Unit_Paths!$A$2:$A$4, 0)),1)</f>
        <v>27.3</v>
      </c>
      <c r="L1898" s="6" t="n">
        <f aca="false">ROUND(INDEX(Archetypes!$I$2:$I$127, MATCH(D1898, Archetypes!$A$2:$A$127, 0))*INDEX(Unit_Grades!$C$2:$C$7, MATCH(F1898, Unit_Grades!$A$2:$A$7, 0)),1)</f>
        <v>400</v>
      </c>
      <c r="M1898" s="6" t="n">
        <f aca="false">ROUND(INDEX(Archetypes!$J$2:$J$127, MATCH(D1898, Archetypes!$A$2:$A$127, 0))*INDEX(Unit_Grades!$D$2:$D$7, MATCH(F1898, Unit_Grades!$A$2:$A$7, 0)),1)</f>
        <v>162.3</v>
      </c>
      <c r="N1898" s="6" t="n">
        <f aca="false">ROUND(M1898/24,2)</f>
        <v>6.76</v>
      </c>
    </row>
    <row r="1899" customFormat="false" ht="15" hidden="false" customHeight="true" outlineLevel="0" collapsed="false">
      <c r="A1899" s="6" t="n">
        <v>6</v>
      </c>
      <c r="B1899" s="6" t="s">
        <v>3361</v>
      </c>
      <c r="C1899" s="6" t="s">
        <v>1490</v>
      </c>
      <c r="D1899" s="6" t="str">
        <f aca="false">A1899&amp;"|"&amp;C1899</f>
        <v>6|Planet-Cracker</v>
      </c>
      <c r="E1899" s="6" t="s">
        <v>1558</v>
      </c>
      <c r="F1899" s="6" t="s">
        <v>1540</v>
      </c>
      <c r="G1899" s="6" t="str">
        <f aca="false">INDEX(Archetypes!$D$2:$D$127, MATCH(D1899, Archetypes!$A$2:$A$127, 0))</f>
        <v>Ultimate Siege</v>
      </c>
      <c r="H1899" s="6" t="n">
        <f aca="false">ROUND(INDEX(Archetypes!$E$2:$E$127, MATCH(D1899, Archetypes!$A$2:$A$127, 0))*INDEX(Unit_Grades!$B$2:$B$7, MATCH(F1899, Unit_Grades!$A$2:$A$7, 0))*INDEX(Unit_Paths!$B$2:$B$4, MATCH(E1899, Unit_Paths!$A$2:$A$4, 0)),1)</f>
        <v>3888</v>
      </c>
      <c r="I1899" s="6" t="n">
        <f aca="false">ROUND(INDEX(Archetypes!$F$2:$F$127, MATCH(D1899, Archetypes!$A$2:$A$127, 0))*INDEX(Unit_Grades!$B$2:$B$7, MATCH(F1899, Unit_Grades!$A$2:$A$7, 0))*INDEX(Unit_Paths!$C$2:$C$4, MATCH(E1899, Unit_Paths!$A$2:$A$4, 0)),1)</f>
        <v>688.5</v>
      </c>
      <c r="J1899" s="6" t="n">
        <f aca="false">ROUND(INDEX(Archetypes!$G$2:$G$127, MATCH(D1899, Archetypes!$A$2:$A$127, 0))*INDEX(Unit_Grades!$B$2:$B$7, MATCH(F1899, Unit_Grades!$A$2:$A$7, 0))*INDEX(Unit_Paths!$D$2:$D$4, MATCH(E1899, Unit_Paths!$A$2:$A$4, 0)),0)</f>
        <v>6413</v>
      </c>
      <c r="K1899" s="6" t="n">
        <f aca="false">ROUND(INDEX(Archetypes!$H$2:$H$127, MATCH(D1899, Archetypes!$A$2:$A$127, 0))*INDEX(Unit_Paths!$E$2:$E$4, MATCH(E1899, Unit_Paths!$A$2:$A$4, 0)),1)</f>
        <v>27.3</v>
      </c>
      <c r="L1899" s="6" t="n">
        <f aca="false">ROUND(INDEX(Archetypes!$I$2:$I$127, MATCH(D1899, Archetypes!$A$2:$A$127, 0))*INDEX(Unit_Grades!$C$2:$C$7, MATCH(F1899, Unit_Grades!$A$2:$A$7, 0)),1)</f>
        <v>500</v>
      </c>
      <c r="M1899" s="6" t="n">
        <f aca="false">ROUND(INDEX(Archetypes!$J$2:$J$127, MATCH(D1899, Archetypes!$A$2:$A$127, 0))*INDEX(Unit_Grades!$D$2:$D$7, MATCH(F1899, Unit_Grades!$A$2:$A$7, 0)),1)</f>
        <v>243.5</v>
      </c>
      <c r="N1899" s="6" t="n">
        <f aca="false">ROUND(M1899/24,2)</f>
        <v>10.15</v>
      </c>
    </row>
    <row r="1900" customFormat="false" ht="15" hidden="false" customHeight="true" outlineLevel="0" collapsed="false">
      <c r="A1900" s="6" t="n">
        <v>6</v>
      </c>
      <c r="B1900" s="6" t="s">
        <v>3362</v>
      </c>
      <c r="C1900" s="6" t="s">
        <v>1490</v>
      </c>
      <c r="D1900" s="6" t="str">
        <f aca="false">A1900&amp;"|"&amp;C1900</f>
        <v>6|Planet-Cracker</v>
      </c>
      <c r="E1900" s="6" t="s">
        <v>1558</v>
      </c>
      <c r="F1900" s="6" t="s">
        <v>1542</v>
      </c>
      <c r="G1900" s="6" t="str">
        <f aca="false">INDEX(Archetypes!$D$2:$D$127, MATCH(D1900, Archetypes!$A$2:$A$127, 0))</f>
        <v>Ultimate Siege</v>
      </c>
      <c r="H1900" s="6" t="n">
        <f aca="false">ROUND(INDEX(Archetypes!$E$2:$E$127, MATCH(D1900, Archetypes!$A$2:$A$127, 0))*INDEX(Unit_Grades!$B$2:$B$7, MATCH(F1900, Unit_Grades!$A$2:$A$7, 0))*INDEX(Unit_Paths!$B$2:$B$4, MATCH(E1900, Unit_Paths!$A$2:$A$4, 0)),1)</f>
        <v>5184</v>
      </c>
      <c r="I1900" s="6" t="n">
        <f aca="false">ROUND(INDEX(Archetypes!$F$2:$F$127, MATCH(D1900, Archetypes!$A$2:$A$127, 0))*INDEX(Unit_Grades!$B$2:$B$7, MATCH(F1900, Unit_Grades!$A$2:$A$7, 0))*INDEX(Unit_Paths!$C$2:$C$4, MATCH(E1900, Unit_Paths!$A$2:$A$4, 0)),1)</f>
        <v>918</v>
      </c>
      <c r="J1900" s="6" t="n">
        <f aca="false">ROUND(INDEX(Archetypes!$G$2:$G$127, MATCH(D1900, Archetypes!$A$2:$A$127, 0))*INDEX(Unit_Grades!$B$2:$B$7, MATCH(F1900, Unit_Grades!$A$2:$A$7, 0))*INDEX(Unit_Paths!$D$2:$D$4, MATCH(E1900, Unit_Paths!$A$2:$A$4, 0)),0)</f>
        <v>8550</v>
      </c>
      <c r="K1900" s="6" t="n">
        <f aca="false">ROUND(INDEX(Archetypes!$H$2:$H$127, MATCH(D1900, Archetypes!$A$2:$A$127, 0))*INDEX(Unit_Paths!$E$2:$E$4, MATCH(E1900, Unit_Paths!$A$2:$A$4, 0)),1)</f>
        <v>27.3</v>
      </c>
      <c r="L1900" s="6" t="n">
        <f aca="false">ROUND(INDEX(Archetypes!$I$2:$I$127, MATCH(D1900, Archetypes!$A$2:$A$127, 0))*INDEX(Unit_Grades!$C$2:$C$7, MATCH(F1900, Unit_Grades!$A$2:$A$7, 0)),1)</f>
        <v>640</v>
      </c>
      <c r="M1900" s="6" t="n">
        <f aca="false">ROUND(INDEX(Archetypes!$J$2:$J$127, MATCH(D1900, Archetypes!$A$2:$A$127, 0))*INDEX(Unit_Grades!$D$2:$D$7, MATCH(F1900, Unit_Grades!$A$2:$A$7, 0)),1)</f>
        <v>405.8</v>
      </c>
      <c r="N1900" s="6" t="n">
        <f aca="false">ROUND(M1900/24,2)</f>
        <v>16.91</v>
      </c>
    </row>
    <row r="1901" customFormat="false" ht="15" hidden="false" customHeight="true" outlineLevel="0" collapsed="false">
      <c r="A1901" s="6" t="n">
        <v>6</v>
      </c>
      <c r="B1901" s="6" t="s">
        <v>3363</v>
      </c>
      <c r="C1901" s="6" t="s">
        <v>1490</v>
      </c>
      <c r="D1901" s="6" t="str">
        <f aca="false">A1901&amp;"|"&amp;C1901</f>
        <v>6|Planet-Cracker</v>
      </c>
      <c r="E1901" s="6" t="s">
        <v>1558</v>
      </c>
      <c r="F1901" s="6" t="s">
        <v>1544</v>
      </c>
      <c r="G1901" s="6" t="str">
        <f aca="false">INDEX(Archetypes!$D$2:$D$127, MATCH(D1901, Archetypes!$A$2:$A$127, 0))</f>
        <v>Ultimate Siege</v>
      </c>
      <c r="H1901" s="6" t="n">
        <f aca="false">ROUND(INDEX(Archetypes!$E$2:$E$127, MATCH(D1901, Archetypes!$A$2:$A$127, 0))*INDEX(Unit_Grades!$B$2:$B$7, MATCH(F1901, Unit_Grades!$A$2:$A$7, 0))*INDEX(Unit_Paths!$B$2:$B$4, MATCH(E1901, Unit_Paths!$A$2:$A$4, 0)),1)</f>
        <v>6912</v>
      </c>
      <c r="I1901" s="6" t="n">
        <f aca="false">ROUND(INDEX(Archetypes!$F$2:$F$127, MATCH(D1901, Archetypes!$A$2:$A$127, 0))*INDEX(Unit_Grades!$B$2:$B$7, MATCH(F1901, Unit_Grades!$A$2:$A$7, 0))*INDEX(Unit_Paths!$C$2:$C$4, MATCH(E1901, Unit_Paths!$A$2:$A$4, 0)),1)</f>
        <v>1224</v>
      </c>
      <c r="J1901" s="6" t="n">
        <f aca="false">ROUND(INDEX(Archetypes!$G$2:$G$127, MATCH(D1901, Archetypes!$A$2:$A$127, 0))*INDEX(Unit_Grades!$B$2:$B$7, MATCH(F1901, Unit_Grades!$A$2:$A$7, 0))*INDEX(Unit_Paths!$D$2:$D$4, MATCH(E1901, Unit_Paths!$A$2:$A$4, 0)),0)</f>
        <v>11400</v>
      </c>
      <c r="K1901" s="6" t="n">
        <f aca="false">ROUND(INDEX(Archetypes!$H$2:$H$127, MATCH(D1901, Archetypes!$A$2:$A$127, 0))*INDEX(Unit_Paths!$E$2:$E$4, MATCH(E1901, Unit_Paths!$A$2:$A$4, 0)),1)</f>
        <v>27.3</v>
      </c>
      <c r="L1901" s="6" t="n">
        <f aca="false">ROUND(INDEX(Archetypes!$I$2:$I$127, MATCH(D1901, Archetypes!$A$2:$A$127, 0))*INDEX(Unit_Grades!$C$2:$C$7, MATCH(F1901, Unit_Grades!$A$2:$A$7, 0)),1)</f>
        <v>840</v>
      </c>
      <c r="M1901" s="6" t="n">
        <f aca="false">ROUND(INDEX(Archetypes!$J$2:$J$127, MATCH(D1901, Archetypes!$A$2:$A$127, 0))*INDEX(Unit_Grades!$D$2:$D$7, MATCH(F1901, Unit_Grades!$A$2:$A$7, 0)),1)</f>
        <v>649.3</v>
      </c>
      <c r="N1901" s="6" t="n">
        <f aca="false">ROUND(M1901/24,2)</f>
        <v>27.05</v>
      </c>
    </row>
    <row r="1902" customFormat="false" ht="15" hidden="false" customHeight="true" outlineLevel="0" collapsed="false">
      <c r="A1902" s="6" t="n">
        <v>6</v>
      </c>
      <c r="B1902" s="6" t="s">
        <v>3364</v>
      </c>
      <c r="C1902" s="6" t="s">
        <v>1490</v>
      </c>
      <c r="D1902" s="6" t="str">
        <f aca="false">A1902&amp;"|"&amp;C1902</f>
        <v>6|Planet-Cracker</v>
      </c>
      <c r="E1902" s="6" t="s">
        <v>1558</v>
      </c>
      <c r="F1902" s="6" t="s">
        <v>1546</v>
      </c>
      <c r="G1902" s="6" t="str">
        <f aca="false">INDEX(Archetypes!$D$2:$D$127, MATCH(D1902, Archetypes!$A$2:$A$127, 0))</f>
        <v>Ultimate Siege</v>
      </c>
      <c r="H1902" s="6" t="n">
        <f aca="false">ROUND(INDEX(Archetypes!$E$2:$E$127, MATCH(D1902, Archetypes!$A$2:$A$127, 0))*INDEX(Unit_Grades!$B$2:$B$7, MATCH(F1902, Unit_Grades!$A$2:$A$7, 0))*INDEX(Unit_Paths!$B$2:$B$4, MATCH(E1902, Unit_Paths!$A$2:$A$4, 0)),1)</f>
        <v>9216</v>
      </c>
      <c r="I1902" s="6" t="n">
        <f aca="false">ROUND(INDEX(Archetypes!$F$2:$F$127, MATCH(D1902, Archetypes!$A$2:$A$127, 0))*INDEX(Unit_Grades!$B$2:$B$7, MATCH(F1902, Unit_Grades!$A$2:$A$7, 0))*INDEX(Unit_Paths!$C$2:$C$4, MATCH(E1902, Unit_Paths!$A$2:$A$4, 0)),1)</f>
        <v>1632</v>
      </c>
      <c r="J1902" s="6" t="n">
        <f aca="false">ROUND(INDEX(Archetypes!$G$2:$G$127, MATCH(D1902, Archetypes!$A$2:$A$127, 0))*INDEX(Unit_Grades!$B$2:$B$7, MATCH(F1902, Unit_Grades!$A$2:$A$7, 0))*INDEX(Unit_Paths!$D$2:$D$4, MATCH(E1902, Unit_Paths!$A$2:$A$4, 0)),0)</f>
        <v>15200</v>
      </c>
      <c r="K1902" s="6" t="n">
        <f aca="false">ROUND(INDEX(Archetypes!$H$2:$H$127, MATCH(D1902, Archetypes!$A$2:$A$127, 0))*INDEX(Unit_Paths!$E$2:$E$4, MATCH(E1902, Unit_Paths!$A$2:$A$4, 0)),1)</f>
        <v>27.3</v>
      </c>
      <c r="L1902" s="6" t="n">
        <f aca="false">ROUND(INDEX(Archetypes!$I$2:$I$127, MATCH(D1902, Archetypes!$A$2:$A$127, 0))*INDEX(Unit_Grades!$C$2:$C$7, MATCH(F1902, Unit_Grades!$A$2:$A$7, 0)),1)</f>
        <v>1120</v>
      </c>
      <c r="M1902" s="6" t="n">
        <f aca="false">ROUND(INDEX(Archetypes!$J$2:$J$127, MATCH(D1902, Archetypes!$A$2:$A$127, 0))*INDEX(Unit_Grades!$D$2:$D$7, MATCH(F1902, Unit_Grades!$A$2:$A$7, 0)),1)</f>
        <v>1136.3</v>
      </c>
      <c r="N1902" s="6" t="n">
        <f aca="false">ROUND(M1902/24,2)</f>
        <v>47.35</v>
      </c>
    </row>
    <row r="1903" customFormat="false" ht="15" hidden="false" customHeight="true" outlineLevel="0" collapsed="false">
      <c r="A1903" s="6" t="n">
        <v>6</v>
      </c>
      <c r="B1903" s="6" t="s">
        <v>3365</v>
      </c>
      <c r="C1903" s="6" t="s">
        <v>1490</v>
      </c>
      <c r="D1903" s="6" t="str">
        <f aca="false">A1903&amp;"|"&amp;C1903</f>
        <v>6|Planet-Cracker</v>
      </c>
      <c r="E1903" s="6" t="s">
        <v>1558</v>
      </c>
      <c r="F1903" s="6" t="s">
        <v>1548</v>
      </c>
      <c r="G1903" s="6" t="str">
        <f aca="false">INDEX(Archetypes!$D$2:$D$127, MATCH(D1903, Archetypes!$A$2:$A$127, 0))</f>
        <v>Ultimate Siege</v>
      </c>
      <c r="H1903" s="6" t="n">
        <f aca="false">ROUND(INDEX(Archetypes!$E$2:$E$127, MATCH(D1903, Archetypes!$A$2:$A$127, 0))*INDEX(Unit_Grades!$B$2:$B$7, MATCH(F1903, Unit_Grades!$A$2:$A$7, 0))*INDEX(Unit_Paths!$B$2:$B$4, MATCH(E1903, Unit_Paths!$A$2:$A$4, 0)),1)</f>
        <v>12096</v>
      </c>
      <c r="I1903" s="6" t="n">
        <f aca="false">ROUND(INDEX(Archetypes!$F$2:$F$127, MATCH(D1903, Archetypes!$A$2:$A$127, 0))*INDEX(Unit_Grades!$B$2:$B$7, MATCH(F1903, Unit_Grades!$A$2:$A$7, 0))*INDEX(Unit_Paths!$C$2:$C$4, MATCH(E1903, Unit_Paths!$A$2:$A$4, 0)),1)</f>
        <v>2142</v>
      </c>
      <c r="J1903" s="6" t="n">
        <f aca="false">ROUND(INDEX(Archetypes!$G$2:$G$127, MATCH(D1903, Archetypes!$A$2:$A$127, 0))*INDEX(Unit_Grades!$B$2:$B$7, MATCH(F1903, Unit_Grades!$A$2:$A$7, 0))*INDEX(Unit_Paths!$D$2:$D$4, MATCH(E1903, Unit_Paths!$A$2:$A$4, 0)),0)</f>
        <v>19950</v>
      </c>
      <c r="K1903" s="6" t="n">
        <f aca="false">ROUND(INDEX(Archetypes!$H$2:$H$127, MATCH(D1903, Archetypes!$A$2:$A$127, 0))*INDEX(Unit_Paths!$E$2:$E$4, MATCH(E1903, Unit_Paths!$A$2:$A$4, 0)),1)</f>
        <v>27.3</v>
      </c>
      <c r="L1903" s="6" t="n">
        <f aca="false">ROUND(INDEX(Archetypes!$I$2:$I$127, MATCH(D1903, Archetypes!$A$2:$A$127, 0))*INDEX(Unit_Grades!$C$2:$C$7, MATCH(F1903, Unit_Grades!$A$2:$A$7, 0)),1)</f>
        <v>1480</v>
      </c>
      <c r="M1903" s="6" t="n">
        <f aca="false">ROUND(INDEX(Archetypes!$J$2:$J$127, MATCH(D1903, Archetypes!$A$2:$A$127, 0))*INDEX(Unit_Grades!$D$2:$D$7, MATCH(F1903, Unit_Grades!$A$2:$A$7, 0)),1)</f>
        <v>1948</v>
      </c>
      <c r="N1903" s="6" t="n">
        <f aca="false">ROUND(M1903/24,2)</f>
        <v>81.17</v>
      </c>
    </row>
    <row r="1904" customFormat="false" ht="15" hidden="false" customHeight="true" outlineLevel="0" collapsed="false">
      <c r="A1904" s="6" t="n">
        <v>6</v>
      </c>
      <c r="B1904" s="6" t="s">
        <v>3366</v>
      </c>
      <c r="C1904" s="6" t="s">
        <v>1490</v>
      </c>
      <c r="D1904" s="6" t="str">
        <f aca="false">A1904&amp;"|"&amp;C1904</f>
        <v>6|Planet-Cracker</v>
      </c>
      <c r="E1904" s="6" t="s">
        <v>1560</v>
      </c>
      <c r="F1904" s="6" t="s">
        <v>1538</v>
      </c>
      <c r="G1904" s="6" t="str">
        <f aca="false">INDEX(Archetypes!$D$2:$D$127, MATCH(D1904, Archetypes!$A$2:$A$127, 0))</f>
        <v>Ultimate Siege</v>
      </c>
      <c r="H1904" s="6" t="n">
        <f aca="false">ROUND(INDEX(Archetypes!$E$2:$E$127, MATCH(D1904, Archetypes!$A$2:$A$127, 0))*INDEX(Unit_Grades!$B$2:$B$7, MATCH(F1904, Unit_Grades!$A$2:$A$7, 0))*INDEX(Unit_Paths!$B$2:$B$4, MATCH(E1904, Unit_Paths!$A$2:$A$4, 0)),1)</f>
        <v>2040</v>
      </c>
      <c r="I1904" s="6" t="n">
        <f aca="false">ROUND(INDEX(Archetypes!$F$2:$F$127, MATCH(D1904, Archetypes!$A$2:$A$127, 0))*INDEX(Unit_Grades!$B$2:$B$7, MATCH(F1904, Unit_Grades!$A$2:$A$7, 0))*INDEX(Unit_Paths!$C$2:$C$4, MATCH(E1904, Unit_Paths!$A$2:$A$4, 0)),1)</f>
        <v>750</v>
      </c>
      <c r="J1904" s="6" t="n">
        <f aca="false">ROUND(INDEX(Archetypes!$G$2:$G$127, MATCH(D1904, Archetypes!$A$2:$A$127, 0))*INDEX(Unit_Grades!$B$2:$B$7, MATCH(F1904, Unit_Grades!$A$2:$A$7, 0))*INDEX(Unit_Paths!$D$2:$D$4, MATCH(E1904, Unit_Paths!$A$2:$A$4, 0)),0)</f>
        <v>5750</v>
      </c>
      <c r="K1904" s="6" t="n">
        <f aca="false">ROUND(INDEX(Archetypes!$H$2:$H$127, MATCH(D1904, Archetypes!$A$2:$A$127, 0))*INDEX(Unit_Paths!$E$2:$E$4, MATCH(E1904, Unit_Paths!$A$2:$A$4, 0)),1)</f>
        <v>23.9</v>
      </c>
      <c r="L1904" s="6" t="n">
        <f aca="false">ROUND(INDEX(Archetypes!$I$2:$I$127, MATCH(D1904, Archetypes!$A$2:$A$127, 0))*INDEX(Unit_Grades!$C$2:$C$7, MATCH(F1904, Unit_Grades!$A$2:$A$7, 0)),1)</f>
        <v>400</v>
      </c>
      <c r="M1904" s="6" t="n">
        <f aca="false">ROUND(INDEX(Archetypes!$J$2:$J$127, MATCH(D1904, Archetypes!$A$2:$A$127, 0))*INDEX(Unit_Grades!$D$2:$D$7, MATCH(F1904, Unit_Grades!$A$2:$A$7, 0)),1)</f>
        <v>162.3</v>
      </c>
      <c r="N1904" s="6" t="n">
        <f aca="false">ROUND(M1904/24,2)</f>
        <v>6.76</v>
      </c>
    </row>
    <row r="1905" customFormat="false" ht="15" hidden="false" customHeight="true" outlineLevel="0" collapsed="false">
      <c r="A1905" s="6" t="n">
        <v>6</v>
      </c>
      <c r="B1905" s="6" t="s">
        <v>3367</v>
      </c>
      <c r="C1905" s="6" t="s">
        <v>1490</v>
      </c>
      <c r="D1905" s="6" t="str">
        <f aca="false">A1905&amp;"|"&amp;C1905</f>
        <v>6|Planet-Cracker</v>
      </c>
      <c r="E1905" s="6" t="s">
        <v>1560</v>
      </c>
      <c r="F1905" s="6" t="s">
        <v>1540</v>
      </c>
      <c r="G1905" s="6" t="str">
        <f aca="false">INDEX(Archetypes!$D$2:$D$127, MATCH(D1905, Archetypes!$A$2:$A$127, 0))</f>
        <v>Ultimate Siege</v>
      </c>
      <c r="H1905" s="6" t="n">
        <f aca="false">ROUND(INDEX(Archetypes!$E$2:$E$127, MATCH(D1905, Archetypes!$A$2:$A$127, 0))*INDEX(Unit_Grades!$B$2:$B$7, MATCH(F1905, Unit_Grades!$A$2:$A$7, 0))*INDEX(Unit_Paths!$B$2:$B$4, MATCH(E1905, Unit_Paths!$A$2:$A$4, 0)),1)</f>
        <v>2754</v>
      </c>
      <c r="I1905" s="6" t="n">
        <f aca="false">ROUND(INDEX(Archetypes!$F$2:$F$127, MATCH(D1905, Archetypes!$A$2:$A$127, 0))*INDEX(Unit_Grades!$B$2:$B$7, MATCH(F1905, Unit_Grades!$A$2:$A$7, 0))*INDEX(Unit_Paths!$C$2:$C$4, MATCH(E1905, Unit_Paths!$A$2:$A$4, 0)),1)</f>
        <v>1012.5</v>
      </c>
      <c r="J1905" s="6" t="n">
        <f aca="false">ROUND(INDEX(Archetypes!$G$2:$G$127, MATCH(D1905, Archetypes!$A$2:$A$127, 0))*INDEX(Unit_Grades!$B$2:$B$7, MATCH(F1905, Unit_Grades!$A$2:$A$7, 0))*INDEX(Unit_Paths!$D$2:$D$4, MATCH(E1905, Unit_Paths!$A$2:$A$4, 0)),0)</f>
        <v>7762</v>
      </c>
      <c r="K1905" s="6" t="n">
        <f aca="false">ROUND(INDEX(Archetypes!$H$2:$H$127, MATCH(D1905, Archetypes!$A$2:$A$127, 0))*INDEX(Unit_Paths!$E$2:$E$4, MATCH(E1905, Unit_Paths!$A$2:$A$4, 0)),1)</f>
        <v>23.9</v>
      </c>
      <c r="L1905" s="6" t="n">
        <f aca="false">ROUND(INDEX(Archetypes!$I$2:$I$127, MATCH(D1905, Archetypes!$A$2:$A$127, 0))*INDEX(Unit_Grades!$C$2:$C$7, MATCH(F1905, Unit_Grades!$A$2:$A$7, 0)),1)</f>
        <v>500</v>
      </c>
      <c r="M1905" s="6" t="n">
        <f aca="false">ROUND(INDEX(Archetypes!$J$2:$J$127, MATCH(D1905, Archetypes!$A$2:$A$127, 0))*INDEX(Unit_Grades!$D$2:$D$7, MATCH(F1905, Unit_Grades!$A$2:$A$7, 0)),1)</f>
        <v>243.5</v>
      </c>
      <c r="N1905" s="6" t="n">
        <f aca="false">ROUND(M1905/24,2)</f>
        <v>10.15</v>
      </c>
    </row>
    <row r="1906" customFormat="false" ht="15" hidden="false" customHeight="true" outlineLevel="0" collapsed="false">
      <c r="A1906" s="6" t="n">
        <v>6</v>
      </c>
      <c r="B1906" s="6" t="s">
        <v>3368</v>
      </c>
      <c r="C1906" s="6" t="s">
        <v>1490</v>
      </c>
      <c r="D1906" s="6" t="str">
        <f aca="false">A1906&amp;"|"&amp;C1906</f>
        <v>6|Planet-Cracker</v>
      </c>
      <c r="E1906" s="6" t="s">
        <v>1560</v>
      </c>
      <c r="F1906" s="6" t="s">
        <v>1542</v>
      </c>
      <c r="G1906" s="6" t="str">
        <f aca="false">INDEX(Archetypes!$D$2:$D$127, MATCH(D1906, Archetypes!$A$2:$A$127, 0))</f>
        <v>Ultimate Siege</v>
      </c>
      <c r="H1906" s="6" t="n">
        <f aca="false">ROUND(INDEX(Archetypes!$E$2:$E$127, MATCH(D1906, Archetypes!$A$2:$A$127, 0))*INDEX(Unit_Grades!$B$2:$B$7, MATCH(F1906, Unit_Grades!$A$2:$A$7, 0))*INDEX(Unit_Paths!$B$2:$B$4, MATCH(E1906, Unit_Paths!$A$2:$A$4, 0)),1)</f>
        <v>3672</v>
      </c>
      <c r="I1906" s="6" t="n">
        <f aca="false">ROUND(INDEX(Archetypes!$F$2:$F$127, MATCH(D1906, Archetypes!$A$2:$A$127, 0))*INDEX(Unit_Grades!$B$2:$B$7, MATCH(F1906, Unit_Grades!$A$2:$A$7, 0))*INDEX(Unit_Paths!$C$2:$C$4, MATCH(E1906, Unit_Paths!$A$2:$A$4, 0)),1)</f>
        <v>1350</v>
      </c>
      <c r="J1906" s="6" t="n">
        <f aca="false">ROUND(INDEX(Archetypes!$G$2:$G$127, MATCH(D1906, Archetypes!$A$2:$A$127, 0))*INDEX(Unit_Grades!$B$2:$B$7, MATCH(F1906, Unit_Grades!$A$2:$A$7, 0))*INDEX(Unit_Paths!$D$2:$D$4, MATCH(E1906, Unit_Paths!$A$2:$A$4, 0)),0)</f>
        <v>10350</v>
      </c>
      <c r="K1906" s="6" t="n">
        <f aca="false">ROUND(INDEX(Archetypes!$H$2:$H$127, MATCH(D1906, Archetypes!$A$2:$A$127, 0))*INDEX(Unit_Paths!$E$2:$E$4, MATCH(E1906, Unit_Paths!$A$2:$A$4, 0)),1)</f>
        <v>23.9</v>
      </c>
      <c r="L1906" s="6" t="n">
        <f aca="false">ROUND(INDEX(Archetypes!$I$2:$I$127, MATCH(D1906, Archetypes!$A$2:$A$127, 0))*INDEX(Unit_Grades!$C$2:$C$7, MATCH(F1906, Unit_Grades!$A$2:$A$7, 0)),1)</f>
        <v>640</v>
      </c>
      <c r="M1906" s="6" t="n">
        <f aca="false">ROUND(INDEX(Archetypes!$J$2:$J$127, MATCH(D1906, Archetypes!$A$2:$A$127, 0))*INDEX(Unit_Grades!$D$2:$D$7, MATCH(F1906, Unit_Grades!$A$2:$A$7, 0)),1)</f>
        <v>405.8</v>
      </c>
      <c r="N1906" s="6" t="n">
        <f aca="false">ROUND(M1906/24,2)</f>
        <v>16.91</v>
      </c>
    </row>
    <row r="1907" customFormat="false" ht="15" hidden="false" customHeight="true" outlineLevel="0" collapsed="false">
      <c r="A1907" s="6" t="n">
        <v>6</v>
      </c>
      <c r="B1907" s="6" t="s">
        <v>3369</v>
      </c>
      <c r="C1907" s="6" t="s">
        <v>1490</v>
      </c>
      <c r="D1907" s="6" t="str">
        <f aca="false">A1907&amp;"|"&amp;C1907</f>
        <v>6|Planet-Cracker</v>
      </c>
      <c r="E1907" s="6" t="s">
        <v>1560</v>
      </c>
      <c r="F1907" s="6" t="s">
        <v>1544</v>
      </c>
      <c r="G1907" s="6" t="str">
        <f aca="false">INDEX(Archetypes!$D$2:$D$127, MATCH(D1907, Archetypes!$A$2:$A$127, 0))</f>
        <v>Ultimate Siege</v>
      </c>
      <c r="H1907" s="6" t="n">
        <f aca="false">ROUND(INDEX(Archetypes!$E$2:$E$127, MATCH(D1907, Archetypes!$A$2:$A$127, 0))*INDEX(Unit_Grades!$B$2:$B$7, MATCH(F1907, Unit_Grades!$A$2:$A$7, 0))*INDEX(Unit_Paths!$B$2:$B$4, MATCH(E1907, Unit_Paths!$A$2:$A$4, 0)),1)</f>
        <v>4896</v>
      </c>
      <c r="I1907" s="6" t="n">
        <f aca="false">ROUND(INDEX(Archetypes!$F$2:$F$127, MATCH(D1907, Archetypes!$A$2:$A$127, 0))*INDEX(Unit_Grades!$B$2:$B$7, MATCH(F1907, Unit_Grades!$A$2:$A$7, 0))*INDEX(Unit_Paths!$C$2:$C$4, MATCH(E1907, Unit_Paths!$A$2:$A$4, 0)),1)</f>
        <v>1800</v>
      </c>
      <c r="J1907" s="6" t="n">
        <f aca="false">ROUND(INDEX(Archetypes!$G$2:$G$127, MATCH(D1907, Archetypes!$A$2:$A$127, 0))*INDEX(Unit_Grades!$B$2:$B$7, MATCH(F1907, Unit_Grades!$A$2:$A$7, 0))*INDEX(Unit_Paths!$D$2:$D$4, MATCH(E1907, Unit_Paths!$A$2:$A$4, 0)),0)</f>
        <v>13800</v>
      </c>
      <c r="K1907" s="6" t="n">
        <f aca="false">ROUND(INDEX(Archetypes!$H$2:$H$127, MATCH(D1907, Archetypes!$A$2:$A$127, 0))*INDEX(Unit_Paths!$E$2:$E$4, MATCH(E1907, Unit_Paths!$A$2:$A$4, 0)),1)</f>
        <v>23.9</v>
      </c>
      <c r="L1907" s="6" t="n">
        <f aca="false">ROUND(INDEX(Archetypes!$I$2:$I$127, MATCH(D1907, Archetypes!$A$2:$A$127, 0))*INDEX(Unit_Grades!$C$2:$C$7, MATCH(F1907, Unit_Grades!$A$2:$A$7, 0)),1)</f>
        <v>840</v>
      </c>
      <c r="M1907" s="6" t="n">
        <f aca="false">ROUND(INDEX(Archetypes!$J$2:$J$127, MATCH(D1907, Archetypes!$A$2:$A$127, 0))*INDEX(Unit_Grades!$D$2:$D$7, MATCH(F1907, Unit_Grades!$A$2:$A$7, 0)),1)</f>
        <v>649.3</v>
      </c>
      <c r="N1907" s="6" t="n">
        <f aca="false">ROUND(M1907/24,2)</f>
        <v>27.05</v>
      </c>
    </row>
    <row r="1908" customFormat="false" ht="15" hidden="false" customHeight="true" outlineLevel="0" collapsed="false">
      <c r="A1908" s="6" t="n">
        <v>6</v>
      </c>
      <c r="B1908" s="6" t="s">
        <v>3370</v>
      </c>
      <c r="C1908" s="6" t="s">
        <v>1490</v>
      </c>
      <c r="D1908" s="6" t="str">
        <f aca="false">A1908&amp;"|"&amp;C1908</f>
        <v>6|Planet-Cracker</v>
      </c>
      <c r="E1908" s="6" t="s">
        <v>1560</v>
      </c>
      <c r="F1908" s="6" t="s">
        <v>1546</v>
      </c>
      <c r="G1908" s="6" t="str">
        <f aca="false">INDEX(Archetypes!$D$2:$D$127, MATCH(D1908, Archetypes!$A$2:$A$127, 0))</f>
        <v>Ultimate Siege</v>
      </c>
      <c r="H1908" s="6" t="n">
        <f aca="false">ROUND(INDEX(Archetypes!$E$2:$E$127, MATCH(D1908, Archetypes!$A$2:$A$127, 0))*INDEX(Unit_Grades!$B$2:$B$7, MATCH(F1908, Unit_Grades!$A$2:$A$7, 0))*INDEX(Unit_Paths!$B$2:$B$4, MATCH(E1908, Unit_Paths!$A$2:$A$4, 0)),1)</f>
        <v>6528</v>
      </c>
      <c r="I1908" s="6" t="n">
        <f aca="false">ROUND(INDEX(Archetypes!$F$2:$F$127, MATCH(D1908, Archetypes!$A$2:$A$127, 0))*INDEX(Unit_Grades!$B$2:$B$7, MATCH(F1908, Unit_Grades!$A$2:$A$7, 0))*INDEX(Unit_Paths!$C$2:$C$4, MATCH(E1908, Unit_Paths!$A$2:$A$4, 0)),1)</f>
        <v>2400</v>
      </c>
      <c r="J1908" s="6" t="n">
        <f aca="false">ROUND(INDEX(Archetypes!$G$2:$G$127, MATCH(D1908, Archetypes!$A$2:$A$127, 0))*INDEX(Unit_Grades!$B$2:$B$7, MATCH(F1908, Unit_Grades!$A$2:$A$7, 0))*INDEX(Unit_Paths!$D$2:$D$4, MATCH(E1908, Unit_Paths!$A$2:$A$4, 0)),0)</f>
        <v>18400</v>
      </c>
      <c r="K1908" s="6" t="n">
        <f aca="false">ROUND(INDEX(Archetypes!$H$2:$H$127, MATCH(D1908, Archetypes!$A$2:$A$127, 0))*INDEX(Unit_Paths!$E$2:$E$4, MATCH(E1908, Unit_Paths!$A$2:$A$4, 0)),1)</f>
        <v>23.9</v>
      </c>
      <c r="L1908" s="6" t="n">
        <f aca="false">ROUND(INDEX(Archetypes!$I$2:$I$127, MATCH(D1908, Archetypes!$A$2:$A$127, 0))*INDEX(Unit_Grades!$C$2:$C$7, MATCH(F1908, Unit_Grades!$A$2:$A$7, 0)),1)</f>
        <v>1120</v>
      </c>
      <c r="M1908" s="6" t="n">
        <f aca="false">ROUND(INDEX(Archetypes!$J$2:$J$127, MATCH(D1908, Archetypes!$A$2:$A$127, 0))*INDEX(Unit_Grades!$D$2:$D$7, MATCH(F1908, Unit_Grades!$A$2:$A$7, 0)),1)</f>
        <v>1136.3</v>
      </c>
      <c r="N1908" s="6" t="n">
        <f aca="false">ROUND(M1908/24,2)</f>
        <v>47.35</v>
      </c>
    </row>
    <row r="1909" customFormat="false" ht="15" hidden="false" customHeight="true" outlineLevel="0" collapsed="false">
      <c r="A1909" s="6" t="n">
        <v>6</v>
      </c>
      <c r="B1909" s="6" t="s">
        <v>3371</v>
      </c>
      <c r="C1909" s="6" t="s">
        <v>1490</v>
      </c>
      <c r="D1909" s="6" t="str">
        <f aca="false">A1909&amp;"|"&amp;C1909</f>
        <v>6|Planet-Cracker</v>
      </c>
      <c r="E1909" s="6" t="s">
        <v>1560</v>
      </c>
      <c r="F1909" s="6" t="s">
        <v>1548</v>
      </c>
      <c r="G1909" s="6" t="str">
        <f aca="false">INDEX(Archetypes!$D$2:$D$127, MATCH(D1909, Archetypes!$A$2:$A$127, 0))</f>
        <v>Ultimate Siege</v>
      </c>
      <c r="H1909" s="6" t="n">
        <f aca="false">ROUND(INDEX(Archetypes!$E$2:$E$127, MATCH(D1909, Archetypes!$A$2:$A$127, 0))*INDEX(Unit_Grades!$B$2:$B$7, MATCH(F1909, Unit_Grades!$A$2:$A$7, 0))*INDEX(Unit_Paths!$B$2:$B$4, MATCH(E1909, Unit_Paths!$A$2:$A$4, 0)),1)</f>
        <v>8568</v>
      </c>
      <c r="I1909" s="6" t="n">
        <f aca="false">ROUND(INDEX(Archetypes!$F$2:$F$127, MATCH(D1909, Archetypes!$A$2:$A$127, 0))*INDEX(Unit_Grades!$B$2:$B$7, MATCH(F1909, Unit_Grades!$A$2:$A$7, 0))*INDEX(Unit_Paths!$C$2:$C$4, MATCH(E1909, Unit_Paths!$A$2:$A$4, 0)),1)</f>
        <v>3150</v>
      </c>
      <c r="J1909" s="6" t="n">
        <f aca="false">ROUND(INDEX(Archetypes!$G$2:$G$127, MATCH(D1909, Archetypes!$A$2:$A$127, 0))*INDEX(Unit_Grades!$B$2:$B$7, MATCH(F1909, Unit_Grades!$A$2:$A$7, 0))*INDEX(Unit_Paths!$D$2:$D$4, MATCH(E1909, Unit_Paths!$A$2:$A$4, 0)),0)</f>
        <v>24150</v>
      </c>
      <c r="K1909" s="6" t="n">
        <f aca="false">ROUND(INDEX(Archetypes!$H$2:$H$127, MATCH(D1909, Archetypes!$A$2:$A$127, 0))*INDEX(Unit_Paths!$E$2:$E$4, MATCH(E1909, Unit_Paths!$A$2:$A$4, 0)),1)</f>
        <v>23.9</v>
      </c>
      <c r="L1909" s="6" t="n">
        <f aca="false">ROUND(INDEX(Archetypes!$I$2:$I$127, MATCH(D1909, Archetypes!$A$2:$A$127, 0))*INDEX(Unit_Grades!$C$2:$C$7, MATCH(F1909, Unit_Grades!$A$2:$A$7, 0)),1)</f>
        <v>1480</v>
      </c>
      <c r="M1909" s="6" t="n">
        <f aca="false">ROUND(INDEX(Archetypes!$J$2:$J$127, MATCH(D1909, Archetypes!$A$2:$A$127, 0))*INDEX(Unit_Grades!$D$2:$D$7, MATCH(F1909, Unit_Grades!$A$2:$A$7, 0)),1)</f>
        <v>1948</v>
      </c>
      <c r="N1909" s="6" t="n">
        <f aca="false">ROUND(M1909/24,2)</f>
        <v>81.17</v>
      </c>
    </row>
    <row r="1910" customFormat="false" ht="15" hidden="false" customHeight="true" outlineLevel="0" collapsed="false">
      <c r="A1910" s="6" t="n">
        <v>6</v>
      </c>
      <c r="B1910" s="6" t="s">
        <v>1493</v>
      </c>
      <c r="C1910" s="6" t="s">
        <v>1493</v>
      </c>
      <c r="D1910" s="6" t="str">
        <f aca="false">A1910&amp;"|"&amp;C1910</f>
        <v>6|Dao Sovereign Guard</v>
      </c>
      <c r="E1910" s="6" t="s">
        <v>1556</v>
      </c>
      <c r="F1910" s="6" t="s">
        <v>1538</v>
      </c>
      <c r="G1910" s="6" t="str">
        <f aca="false">INDEX(Archetypes!$D$2:$D$127, MATCH(D1910, Archetypes!$A$2:$A$127, 0))</f>
        <v>Cultivator</v>
      </c>
      <c r="H1910" s="6" t="n">
        <f aca="false">ROUND(INDEX(Archetypes!$E$2:$E$127, MATCH(D1910, Archetypes!$A$2:$A$127, 0))*INDEX(Unit_Grades!$B$2:$B$7, MATCH(F1910, Unit_Grades!$A$2:$A$7, 0))*INDEX(Unit_Paths!$B$2:$B$4, MATCH(E1910, Unit_Paths!$A$2:$A$4, 0)),1)</f>
        <v>1200</v>
      </c>
      <c r="I1910" s="6" t="n">
        <f aca="false">ROUND(INDEX(Archetypes!$F$2:$F$127, MATCH(D1910, Archetypes!$A$2:$A$127, 0))*INDEX(Unit_Grades!$B$2:$B$7, MATCH(F1910, Unit_Grades!$A$2:$A$7, 0))*INDEX(Unit_Paths!$C$2:$C$4, MATCH(E1910, Unit_Paths!$A$2:$A$4, 0)),1)</f>
        <v>800</v>
      </c>
      <c r="J1910" s="6" t="n">
        <f aca="false">ROUND(INDEX(Archetypes!$G$2:$G$127, MATCH(D1910, Archetypes!$A$2:$A$127, 0))*INDEX(Unit_Grades!$B$2:$B$7, MATCH(F1910, Unit_Grades!$A$2:$A$7, 0))*INDEX(Unit_Paths!$D$2:$D$4, MATCH(E1910, Unit_Paths!$A$2:$A$4, 0)),0)</f>
        <v>4600</v>
      </c>
      <c r="K1910" s="6" t="n">
        <f aca="false">ROUND(INDEX(Archetypes!$H$2:$H$127, MATCH(D1910, Archetypes!$A$2:$A$127, 0))*INDEX(Unit_Paths!$E$2:$E$4, MATCH(E1910, Unit_Paths!$A$2:$A$4, 0)),1)</f>
        <v>52</v>
      </c>
      <c r="L1910" s="6" t="n">
        <f aca="false">ROUND(INDEX(Archetypes!$I$2:$I$127, MATCH(D1910, Archetypes!$A$2:$A$127, 0))*INDEX(Unit_Grades!$C$2:$C$7, MATCH(F1910, Unit_Grades!$A$2:$A$7, 0)),1)</f>
        <v>150</v>
      </c>
      <c r="M1910" s="6" t="n">
        <f aca="false">ROUND(INDEX(Archetypes!$J$2:$J$127, MATCH(D1910, Archetypes!$A$2:$A$127, 0))*INDEX(Unit_Grades!$D$2:$D$7, MATCH(F1910, Unit_Grades!$A$2:$A$7, 0)),1)</f>
        <v>60.9</v>
      </c>
      <c r="N1910" s="6" t="n">
        <f aca="false">ROUND(M1910/24,2)</f>
        <v>2.54</v>
      </c>
    </row>
    <row r="1911" customFormat="false" ht="15" hidden="false" customHeight="true" outlineLevel="0" collapsed="false">
      <c r="A1911" s="6" t="n">
        <v>6</v>
      </c>
      <c r="B1911" s="6" t="s">
        <v>3372</v>
      </c>
      <c r="C1911" s="6" t="s">
        <v>1493</v>
      </c>
      <c r="D1911" s="6" t="str">
        <f aca="false">A1911&amp;"|"&amp;C1911</f>
        <v>6|Dao Sovereign Guard</v>
      </c>
      <c r="E1911" s="6" t="s">
        <v>1556</v>
      </c>
      <c r="F1911" s="6" t="s">
        <v>1540</v>
      </c>
      <c r="G1911" s="6" t="str">
        <f aca="false">INDEX(Archetypes!$D$2:$D$127, MATCH(D1911, Archetypes!$A$2:$A$127, 0))</f>
        <v>Cultivator</v>
      </c>
      <c r="H1911" s="6" t="n">
        <f aca="false">ROUND(INDEX(Archetypes!$E$2:$E$127, MATCH(D1911, Archetypes!$A$2:$A$127, 0))*INDEX(Unit_Grades!$B$2:$B$7, MATCH(F1911, Unit_Grades!$A$2:$A$7, 0))*INDEX(Unit_Paths!$B$2:$B$4, MATCH(E1911, Unit_Paths!$A$2:$A$4, 0)),1)</f>
        <v>1620</v>
      </c>
      <c r="I1911" s="6" t="n">
        <f aca="false">ROUND(INDEX(Archetypes!$F$2:$F$127, MATCH(D1911, Archetypes!$A$2:$A$127, 0))*INDEX(Unit_Grades!$B$2:$B$7, MATCH(F1911, Unit_Grades!$A$2:$A$7, 0))*INDEX(Unit_Paths!$C$2:$C$4, MATCH(E1911, Unit_Paths!$A$2:$A$4, 0)),1)</f>
        <v>1080</v>
      </c>
      <c r="J1911" s="6" t="n">
        <f aca="false">ROUND(INDEX(Archetypes!$G$2:$G$127, MATCH(D1911, Archetypes!$A$2:$A$127, 0))*INDEX(Unit_Grades!$B$2:$B$7, MATCH(F1911, Unit_Grades!$A$2:$A$7, 0))*INDEX(Unit_Paths!$D$2:$D$4, MATCH(E1911, Unit_Paths!$A$2:$A$4, 0)),0)</f>
        <v>6210</v>
      </c>
      <c r="K1911" s="6" t="n">
        <f aca="false">ROUND(INDEX(Archetypes!$H$2:$H$127, MATCH(D1911, Archetypes!$A$2:$A$127, 0))*INDEX(Unit_Paths!$E$2:$E$4, MATCH(E1911, Unit_Paths!$A$2:$A$4, 0)),1)</f>
        <v>52</v>
      </c>
      <c r="L1911" s="6" t="n">
        <f aca="false">ROUND(INDEX(Archetypes!$I$2:$I$127, MATCH(D1911, Archetypes!$A$2:$A$127, 0))*INDEX(Unit_Grades!$C$2:$C$7, MATCH(F1911, Unit_Grades!$A$2:$A$7, 0)),1)</f>
        <v>187.5</v>
      </c>
      <c r="M1911" s="6" t="n">
        <f aca="false">ROUND(INDEX(Archetypes!$J$2:$J$127, MATCH(D1911, Archetypes!$A$2:$A$127, 0))*INDEX(Unit_Grades!$D$2:$D$7, MATCH(F1911, Unit_Grades!$A$2:$A$7, 0)),1)</f>
        <v>91.3</v>
      </c>
      <c r="N1911" s="6" t="n">
        <f aca="false">ROUND(M1911/24,2)</f>
        <v>3.8</v>
      </c>
    </row>
    <row r="1912" customFormat="false" ht="15" hidden="false" customHeight="true" outlineLevel="0" collapsed="false">
      <c r="A1912" s="6" t="n">
        <v>6</v>
      </c>
      <c r="B1912" s="6" t="s">
        <v>3373</v>
      </c>
      <c r="C1912" s="6" t="s">
        <v>1493</v>
      </c>
      <c r="D1912" s="6" t="str">
        <f aca="false">A1912&amp;"|"&amp;C1912</f>
        <v>6|Dao Sovereign Guard</v>
      </c>
      <c r="E1912" s="6" t="s">
        <v>1556</v>
      </c>
      <c r="F1912" s="6" t="s">
        <v>1542</v>
      </c>
      <c r="G1912" s="6" t="str">
        <f aca="false">INDEX(Archetypes!$D$2:$D$127, MATCH(D1912, Archetypes!$A$2:$A$127, 0))</f>
        <v>Cultivator</v>
      </c>
      <c r="H1912" s="6" t="n">
        <f aca="false">ROUND(INDEX(Archetypes!$E$2:$E$127, MATCH(D1912, Archetypes!$A$2:$A$127, 0))*INDEX(Unit_Grades!$B$2:$B$7, MATCH(F1912, Unit_Grades!$A$2:$A$7, 0))*INDEX(Unit_Paths!$B$2:$B$4, MATCH(E1912, Unit_Paths!$A$2:$A$4, 0)),1)</f>
        <v>2160</v>
      </c>
      <c r="I1912" s="6" t="n">
        <f aca="false">ROUND(INDEX(Archetypes!$F$2:$F$127, MATCH(D1912, Archetypes!$A$2:$A$127, 0))*INDEX(Unit_Grades!$B$2:$B$7, MATCH(F1912, Unit_Grades!$A$2:$A$7, 0))*INDEX(Unit_Paths!$C$2:$C$4, MATCH(E1912, Unit_Paths!$A$2:$A$4, 0)),1)</f>
        <v>1440</v>
      </c>
      <c r="J1912" s="6" t="n">
        <f aca="false">ROUND(INDEX(Archetypes!$G$2:$G$127, MATCH(D1912, Archetypes!$A$2:$A$127, 0))*INDEX(Unit_Grades!$B$2:$B$7, MATCH(F1912, Unit_Grades!$A$2:$A$7, 0))*INDEX(Unit_Paths!$D$2:$D$4, MATCH(E1912, Unit_Paths!$A$2:$A$4, 0)),0)</f>
        <v>8280</v>
      </c>
      <c r="K1912" s="6" t="n">
        <f aca="false">ROUND(INDEX(Archetypes!$H$2:$H$127, MATCH(D1912, Archetypes!$A$2:$A$127, 0))*INDEX(Unit_Paths!$E$2:$E$4, MATCH(E1912, Unit_Paths!$A$2:$A$4, 0)),1)</f>
        <v>52</v>
      </c>
      <c r="L1912" s="6" t="n">
        <f aca="false">ROUND(INDEX(Archetypes!$I$2:$I$127, MATCH(D1912, Archetypes!$A$2:$A$127, 0))*INDEX(Unit_Grades!$C$2:$C$7, MATCH(F1912, Unit_Grades!$A$2:$A$7, 0)),1)</f>
        <v>240</v>
      </c>
      <c r="M1912" s="6" t="n">
        <f aca="false">ROUND(INDEX(Archetypes!$J$2:$J$127, MATCH(D1912, Archetypes!$A$2:$A$127, 0))*INDEX(Unit_Grades!$D$2:$D$7, MATCH(F1912, Unit_Grades!$A$2:$A$7, 0)),1)</f>
        <v>152.2</v>
      </c>
      <c r="N1912" s="6" t="n">
        <f aca="false">ROUND(M1912/24,2)</f>
        <v>6.34</v>
      </c>
    </row>
    <row r="1913" customFormat="false" ht="15" hidden="false" customHeight="true" outlineLevel="0" collapsed="false">
      <c r="A1913" s="6" t="n">
        <v>6</v>
      </c>
      <c r="B1913" s="6" t="s">
        <v>3374</v>
      </c>
      <c r="C1913" s="6" t="s">
        <v>1493</v>
      </c>
      <c r="D1913" s="6" t="str">
        <f aca="false">A1913&amp;"|"&amp;C1913</f>
        <v>6|Dao Sovereign Guard</v>
      </c>
      <c r="E1913" s="6" t="s">
        <v>1556</v>
      </c>
      <c r="F1913" s="6" t="s">
        <v>1544</v>
      </c>
      <c r="G1913" s="6" t="str">
        <f aca="false">INDEX(Archetypes!$D$2:$D$127, MATCH(D1913, Archetypes!$A$2:$A$127, 0))</f>
        <v>Cultivator</v>
      </c>
      <c r="H1913" s="6" t="n">
        <f aca="false">ROUND(INDEX(Archetypes!$E$2:$E$127, MATCH(D1913, Archetypes!$A$2:$A$127, 0))*INDEX(Unit_Grades!$B$2:$B$7, MATCH(F1913, Unit_Grades!$A$2:$A$7, 0))*INDEX(Unit_Paths!$B$2:$B$4, MATCH(E1913, Unit_Paths!$A$2:$A$4, 0)),1)</f>
        <v>2880</v>
      </c>
      <c r="I1913" s="6" t="n">
        <f aca="false">ROUND(INDEX(Archetypes!$F$2:$F$127, MATCH(D1913, Archetypes!$A$2:$A$127, 0))*INDEX(Unit_Grades!$B$2:$B$7, MATCH(F1913, Unit_Grades!$A$2:$A$7, 0))*INDEX(Unit_Paths!$C$2:$C$4, MATCH(E1913, Unit_Paths!$A$2:$A$4, 0)),1)</f>
        <v>1920</v>
      </c>
      <c r="J1913" s="6" t="n">
        <f aca="false">ROUND(INDEX(Archetypes!$G$2:$G$127, MATCH(D1913, Archetypes!$A$2:$A$127, 0))*INDEX(Unit_Grades!$B$2:$B$7, MATCH(F1913, Unit_Grades!$A$2:$A$7, 0))*INDEX(Unit_Paths!$D$2:$D$4, MATCH(E1913, Unit_Paths!$A$2:$A$4, 0)),0)</f>
        <v>11040</v>
      </c>
      <c r="K1913" s="6" t="n">
        <f aca="false">ROUND(INDEX(Archetypes!$H$2:$H$127, MATCH(D1913, Archetypes!$A$2:$A$127, 0))*INDEX(Unit_Paths!$E$2:$E$4, MATCH(E1913, Unit_Paths!$A$2:$A$4, 0)),1)</f>
        <v>52</v>
      </c>
      <c r="L1913" s="6" t="n">
        <f aca="false">ROUND(INDEX(Archetypes!$I$2:$I$127, MATCH(D1913, Archetypes!$A$2:$A$127, 0))*INDEX(Unit_Grades!$C$2:$C$7, MATCH(F1913, Unit_Grades!$A$2:$A$7, 0)),1)</f>
        <v>315</v>
      </c>
      <c r="M1913" s="6" t="n">
        <f aca="false">ROUND(INDEX(Archetypes!$J$2:$J$127, MATCH(D1913, Archetypes!$A$2:$A$127, 0))*INDEX(Unit_Grades!$D$2:$D$7, MATCH(F1913, Unit_Grades!$A$2:$A$7, 0)),1)</f>
        <v>243.5</v>
      </c>
      <c r="N1913" s="6" t="n">
        <f aca="false">ROUND(M1913/24,2)</f>
        <v>10.15</v>
      </c>
    </row>
    <row r="1914" customFormat="false" ht="15" hidden="false" customHeight="true" outlineLevel="0" collapsed="false">
      <c r="A1914" s="6" t="n">
        <v>6</v>
      </c>
      <c r="B1914" s="6" t="s">
        <v>3375</v>
      </c>
      <c r="C1914" s="6" t="s">
        <v>1493</v>
      </c>
      <c r="D1914" s="6" t="str">
        <f aca="false">A1914&amp;"|"&amp;C1914</f>
        <v>6|Dao Sovereign Guard</v>
      </c>
      <c r="E1914" s="6" t="s">
        <v>1556</v>
      </c>
      <c r="F1914" s="6" t="s">
        <v>1546</v>
      </c>
      <c r="G1914" s="6" t="str">
        <f aca="false">INDEX(Archetypes!$D$2:$D$127, MATCH(D1914, Archetypes!$A$2:$A$127, 0))</f>
        <v>Cultivator</v>
      </c>
      <c r="H1914" s="6" t="n">
        <f aca="false">ROUND(INDEX(Archetypes!$E$2:$E$127, MATCH(D1914, Archetypes!$A$2:$A$127, 0))*INDEX(Unit_Grades!$B$2:$B$7, MATCH(F1914, Unit_Grades!$A$2:$A$7, 0))*INDEX(Unit_Paths!$B$2:$B$4, MATCH(E1914, Unit_Paths!$A$2:$A$4, 0)),1)</f>
        <v>3840</v>
      </c>
      <c r="I1914" s="6" t="n">
        <f aca="false">ROUND(INDEX(Archetypes!$F$2:$F$127, MATCH(D1914, Archetypes!$A$2:$A$127, 0))*INDEX(Unit_Grades!$B$2:$B$7, MATCH(F1914, Unit_Grades!$A$2:$A$7, 0))*INDEX(Unit_Paths!$C$2:$C$4, MATCH(E1914, Unit_Paths!$A$2:$A$4, 0)),1)</f>
        <v>2560</v>
      </c>
      <c r="J1914" s="6" t="n">
        <f aca="false">ROUND(INDEX(Archetypes!$G$2:$G$127, MATCH(D1914, Archetypes!$A$2:$A$127, 0))*INDEX(Unit_Grades!$B$2:$B$7, MATCH(F1914, Unit_Grades!$A$2:$A$7, 0))*INDEX(Unit_Paths!$D$2:$D$4, MATCH(E1914, Unit_Paths!$A$2:$A$4, 0)),0)</f>
        <v>14720</v>
      </c>
      <c r="K1914" s="6" t="n">
        <f aca="false">ROUND(INDEX(Archetypes!$H$2:$H$127, MATCH(D1914, Archetypes!$A$2:$A$127, 0))*INDEX(Unit_Paths!$E$2:$E$4, MATCH(E1914, Unit_Paths!$A$2:$A$4, 0)),1)</f>
        <v>52</v>
      </c>
      <c r="L1914" s="6" t="n">
        <f aca="false">ROUND(INDEX(Archetypes!$I$2:$I$127, MATCH(D1914, Archetypes!$A$2:$A$127, 0))*INDEX(Unit_Grades!$C$2:$C$7, MATCH(F1914, Unit_Grades!$A$2:$A$7, 0)),1)</f>
        <v>420</v>
      </c>
      <c r="M1914" s="6" t="n">
        <f aca="false">ROUND(INDEX(Archetypes!$J$2:$J$127, MATCH(D1914, Archetypes!$A$2:$A$127, 0))*INDEX(Unit_Grades!$D$2:$D$7, MATCH(F1914, Unit_Grades!$A$2:$A$7, 0)),1)</f>
        <v>426.2</v>
      </c>
      <c r="N1914" s="6" t="n">
        <f aca="false">ROUND(M1914/24,2)</f>
        <v>17.76</v>
      </c>
    </row>
    <row r="1915" customFormat="false" ht="15" hidden="false" customHeight="true" outlineLevel="0" collapsed="false">
      <c r="A1915" s="6" t="n">
        <v>6</v>
      </c>
      <c r="B1915" s="6" t="s">
        <v>3376</v>
      </c>
      <c r="C1915" s="6" t="s">
        <v>1493</v>
      </c>
      <c r="D1915" s="6" t="str">
        <f aca="false">A1915&amp;"|"&amp;C1915</f>
        <v>6|Dao Sovereign Guard</v>
      </c>
      <c r="E1915" s="6" t="s">
        <v>1556</v>
      </c>
      <c r="F1915" s="6" t="s">
        <v>1548</v>
      </c>
      <c r="G1915" s="6" t="str">
        <f aca="false">INDEX(Archetypes!$D$2:$D$127, MATCH(D1915, Archetypes!$A$2:$A$127, 0))</f>
        <v>Cultivator</v>
      </c>
      <c r="H1915" s="6" t="n">
        <f aca="false">ROUND(INDEX(Archetypes!$E$2:$E$127, MATCH(D1915, Archetypes!$A$2:$A$127, 0))*INDEX(Unit_Grades!$B$2:$B$7, MATCH(F1915, Unit_Grades!$A$2:$A$7, 0))*INDEX(Unit_Paths!$B$2:$B$4, MATCH(E1915, Unit_Paths!$A$2:$A$4, 0)),1)</f>
        <v>5040</v>
      </c>
      <c r="I1915" s="6" t="n">
        <f aca="false">ROUND(INDEX(Archetypes!$F$2:$F$127, MATCH(D1915, Archetypes!$A$2:$A$127, 0))*INDEX(Unit_Grades!$B$2:$B$7, MATCH(F1915, Unit_Grades!$A$2:$A$7, 0))*INDEX(Unit_Paths!$C$2:$C$4, MATCH(E1915, Unit_Paths!$A$2:$A$4, 0)),1)</f>
        <v>3360</v>
      </c>
      <c r="J1915" s="6" t="n">
        <f aca="false">ROUND(INDEX(Archetypes!$G$2:$G$127, MATCH(D1915, Archetypes!$A$2:$A$127, 0))*INDEX(Unit_Grades!$B$2:$B$7, MATCH(F1915, Unit_Grades!$A$2:$A$7, 0))*INDEX(Unit_Paths!$D$2:$D$4, MATCH(E1915, Unit_Paths!$A$2:$A$4, 0)),0)</f>
        <v>19320</v>
      </c>
      <c r="K1915" s="6" t="n">
        <f aca="false">ROUND(INDEX(Archetypes!$H$2:$H$127, MATCH(D1915, Archetypes!$A$2:$A$127, 0))*INDEX(Unit_Paths!$E$2:$E$4, MATCH(E1915, Unit_Paths!$A$2:$A$4, 0)),1)</f>
        <v>52</v>
      </c>
      <c r="L1915" s="6" t="n">
        <f aca="false">ROUND(INDEX(Archetypes!$I$2:$I$127, MATCH(D1915, Archetypes!$A$2:$A$127, 0))*INDEX(Unit_Grades!$C$2:$C$7, MATCH(F1915, Unit_Grades!$A$2:$A$7, 0)),1)</f>
        <v>555</v>
      </c>
      <c r="M1915" s="6" t="n">
        <f aca="false">ROUND(INDEX(Archetypes!$J$2:$J$127, MATCH(D1915, Archetypes!$A$2:$A$127, 0))*INDEX(Unit_Grades!$D$2:$D$7, MATCH(F1915, Unit_Grades!$A$2:$A$7, 0)),1)</f>
        <v>730.6</v>
      </c>
      <c r="N1915" s="6" t="n">
        <f aca="false">ROUND(M1915/24,2)</f>
        <v>30.44</v>
      </c>
    </row>
    <row r="1916" customFormat="false" ht="15" hidden="false" customHeight="true" outlineLevel="0" collapsed="false">
      <c r="A1916" s="6" t="n">
        <v>6</v>
      </c>
      <c r="B1916" s="6" t="s">
        <v>3377</v>
      </c>
      <c r="C1916" s="6" t="s">
        <v>1493</v>
      </c>
      <c r="D1916" s="6" t="str">
        <f aca="false">A1916&amp;"|"&amp;C1916</f>
        <v>6|Dao Sovereign Guard</v>
      </c>
      <c r="E1916" s="6" t="s">
        <v>1558</v>
      </c>
      <c r="F1916" s="6" t="s">
        <v>1538</v>
      </c>
      <c r="G1916" s="6" t="str">
        <f aca="false">INDEX(Archetypes!$D$2:$D$127, MATCH(D1916, Archetypes!$A$2:$A$127, 0))</f>
        <v>Cultivator</v>
      </c>
      <c r="H1916" s="6" t="n">
        <f aca="false">ROUND(INDEX(Archetypes!$E$2:$E$127, MATCH(D1916, Archetypes!$A$2:$A$127, 0))*INDEX(Unit_Grades!$B$2:$B$7, MATCH(F1916, Unit_Grades!$A$2:$A$7, 0))*INDEX(Unit_Paths!$B$2:$B$4, MATCH(E1916, Unit_Paths!$A$2:$A$4, 0)),1)</f>
        <v>1440</v>
      </c>
      <c r="I1916" s="6" t="n">
        <f aca="false">ROUND(INDEX(Archetypes!$F$2:$F$127, MATCH(D1916, Archetypes!$A$2:$A$127, 0))*INDEX(Unit_Grades!$B$2:$B$7, MATCH(F1916, Unit_Grades!$A$2:$A$7, 0))*INDEX(Unit_Paths!$C$2:$C$4, MATCH(E1916, Unit_Paths!$A$2:$A$4, 0)),1)</f>
        <v>680</v>
      </c>
      <c r="J1916" s="6" t="n">
        <f aca="false">ROUND(INDEX(Archetypes!$G$2:$G$127, MATCH(D1916, Archetypes!$A$2:$A$127, 0))*INDEX(Unit_Grades!$B$2:$B$7, MATCH(F1916, Unit_Grades!$A$2:$A$7, 0))*INDEX(Unit_Paths!$D$2:$D$4, MATCH(E1916, Unit_Paths!$A$2:$A$4, 0)),0)</f>
        <v>4370</v>
      </c>
      <c r="K1916" s="6" t="n">
        <f aca="false">ROUND(INDEX(Archetypes!$H$2:$H$127, MATCH(D1916, Archetypes!$A$2:$A$127, 0))*INDEX(Unit_Paths!$E$2:$E$4, MATCH(E1916, Unit_Paths!$A$2:$A$4, 0)),1)</f>
        <v>54.6</v>
      </c>
      <c r="L1916" s="6" t="n">
        <f aca="false">ROUND(INDEX(Archetypes!$I$2:$I$127, MATCH(D1916, Archetypes!$A$2:$A$127, 0))*INDEX(Unit_Grades!$C$2:$C$7, MATCH(F1916, Unit_Grades!$A$2:$A$7, 0)),1)</f>
        <v>150</v>
      </c>
      <c r="M1916" s="6" t="n">
        <f aca="false">ROUND(INDEX(Archetypes!$J$2:$J$127, MATCH(D1916, Archetypes!$A$2:$A$127, 0))*INDEX(Unit_Grades!$D$2:$D$7, MATCH(F1916, Unit_Grades!$A$2:$A$7, 0)),1)</f>
        <v>60.9</v>
      </c>
      <c r="N1916" s="6" t="n">
        <f aca="false">ROUND(M1916/24,2)</f>
        <v>2.54</v>
      </c>
    </row>
    <row r="1917" customFormat="false" ht="15" hidden="false" customHeight="true" outlineLevel="0" collapsed="false">
      <c r="A1917" s="6" t="n">
        <v>6</v>
      </c>
      <c r="B1917" s="6" t="s">
        <v>3378</v>
      </c>
      <c r="C1917" s="6" t="s">
        <v>1493</v>
      </c>
      <c r="D1917" s="6" t="str">
        <f aca="false">A1917&amp;"|"&amp;C1917</f>
        <v>6|Dao Sovereign Guard</v>
      </c>
      <c r="E1917" s="6" t="s">
        <v>1558</v>
      </c>
      <c r="F1917" s="6" t="s">
        <v>1540</v>
      </c>
      <c r="G1917" s="6" t="str">
        <f aca="false">INDEX(Archetypes!$D$2:$D$127, MATCH(D1917, Archetypes!$A$2:$A$127, 0))</f>
        <v>Cultivator</v>
      </c>
      <c r="H1917" s="6" t="n">
        <f aca="false">ROUND(INDEX(Archetypes!$E$2:$E$127, MATCH(D1917, Archetypes!$A$2:$A$127, 0))*INDEX(Unit_Grades!$B$2:$B$7, MATCH(F1917, Unit_Grades!$A$2:$A$7, 0))*INDEX(Unit_Paths!$B$2:$B$4, MATCH(E1917, Unit_Paths!$A$2:$A$4, 0)),1)</f>
        <v>1944</v>
      </c>
      <c r="I1917" s="6" t="n">
        <f aca="false">ROUND(INDEX(Archetypes!$F$2:$F$127, MATCH(D1917, Archetypes!$A$2:$A$127, 0))*INDEX(Unit_Grades!$B$2:$B$7, MATCH(F1917, Unit_Grades!$A$2:$A$7, 0))*INDEX(Unit_Paths!$C$2:$C$4, MATCH(E1917, Unit_Paths!$A$2:$A$4, 0)),1)</f>
        <v>918</v>
      </c>
      <c r="J1917" s="6" t="n">
        <f aca="false">ROUND(INDEX(Archetypes!$G$2:$G$127, MATCH(D1917, Archetypes!$A$2:$A$127, 0))*INDEX(Unit_Grades!$B$2:$B$7, MATCH(F1917, Unit_Grades!$A$2:$A$7, 0))*INDEX(Unit_Paths!$D$2:$D$4, MATCH(E1917, Unit_Paths!$A$2:$A$4, 0)),0)</f>
        <v>5900</v>
      </c>
      <c r="K1917" s="6" t="n">
        <f aca="false">ROUND(INDEX(Archetypes!$H$2:$H$127, MATCH(D1917, Archetypes!$A$2:$A$127, 0))*INDEX(Unit_Paths!$E$2:$E$4, MATCH(E1917, Unit_Paths!$A$2:$A$4, 0)),1)</f>
        <v>54.6</v>
      </c>
      <c r="L1917" s="6" t="n">
        <f aca="false">ROUND(INDEX(Archetypes!$I$2:$I$127, MATCH(D1917, Archetypes!$A$2:$A$127, 0))*INDEX(Unit_Grades!$C$2:$C$7, MATCH(F1917, Unit_Grades!$A$2:$A$7, 0)),1)</f>
        <v>187.5</v>
      </c>
      <c r="M1917" s="6" t="n">
        <f aca="false">ROUND(INDEX(Archetypes!$J$2:$J$127, MATCH(D1917, Archetypes!$A$2:$A$127, 0))*INDEX(Unit_Grades!$D$2:$D$7, MATCH(F1917, Unit_Grades!$A$2:$A$7, 0)),1)</f>
        <v>91.3</v>
      </c>
      <c r="N1917" s="6" t="n">
        <f aca="false">ROUND(M1917/24,2)</f>
        <v>3.8</v>
      </c>
    </row>
    <row r="1918" customFormat="false" ht="15" hidden="false" customHeight="true" outlineLevel="0" collapsed="false">
      <c r="A1918" s="6" t="n">
        <v>6</v>
      </c>
      <c r="B1918" s="6" t="s">
        <v>3379</v>
      </c>
      <c r="C1918" s="6" t="s">
        <v>1493</v>
      </c>
      <c r="D1918" s="6" t="str">
        <f aca="false">A1918&amp;"|"&amp;C1918</f>
        <v>6|Dao Sovereign Guard</v>
      </c>
      <c r="E1918" s="6" t="s">
        <v>1558</v>
      </c>
      <c r="F1918" s="6" t="s">
        <v>1542</v>
      </c>
      <c r="G1918" s="6" t="str">
        <f aca="false">INDEX(Archetypes!$D$2:$D$127, MATCH(D1918, Archetypes!$A$2:$A$127, 0))</f>
        <v>Cultivator</v>
      </c>
      <c r="H1918" s="6" t="n">
        <f aca="false">ROUND(INDEX(Archetypes!$E$2:$E$127, MATCH(D1918, Archetypes!$A$2:$A$127, 0))*INDEX(Unit_Grades!$B$2:$B$7, MATCH(F1918, Unit_Grades!$A$2:$A$7, 0))*INDEX(Unit_Paths!$B$2:$B$4, MATCH(E1918, Unit_Paths!$A$2:$A$4, 0)),1)</f>
        <v>2592</v>
      </c>
      <c r="I1918" s="6" t="n">
        <f aca="false">ROUND(INDEX(Archetypes!$F$2:$F$127, MATCH(D1918, Archetypes!$A$2:$A$127, 0))*INDEX(Unit_Grades!$B$2:$B$7, MATCH(F1918, Unit_Grades!$A$2:$A$7, 0))*INDEX(Unit_Paths!$C$2:$C$4, MATCH(E1918, Unit_Paths!$A$2:$A$4, 0)),1)</f>
        <v>1224</v>
      </c>
      <c r="J1918" s="6" t="n">
        <f aca="false">ROUND(INDEX(Archetypes!$G$2:$G$127, MATCH(D1918, Archetypes!$A$2:$A$127, 0))*INDEX(Unit_Grades!$B$2:$B$7, MATCH(F1918, Unit_Grades!$A$2:$A$7, 0))*INDEX(Unit_Paths!$D$2:$D$4, MATCH(E1918, Unit_Paths!$A$2:$A$4, 0)),0)</f>
        <v>7866</v>
      </c>
      <c r="K1918" s="6" t="n">
        <f aca="false">ROUND(INDEX(Archetypes!$H$2:$H$127, MATCH(D1918, Archetypes!$A$2:$A$127, 0))*INDEX(Unit_Paths!$E$2:$E$4, MATCH(E1918, Unit_Paths!$A$2:$A$4, 0)),1)</f>
        <v>54.6</v>
      </c>
      <c r="L1918" s="6" t="n">
        <f aca="false">ROUND(INDEX(Archetypes!$I$2:$I$127, MATCH(D1918, Archetypes!$A$2:$A$127, 0))*INDEX(Unit_Grades!$C$2:$C$7, MATCH(F1918, Unit_Grades!$A$2:$A$7, 0)),1)</f>
        <v>240</v>
      </c>
      <c r="M1918" s="6" t="n">
        <f aca="false">ROUND(INDEX(Archetypes!$J$2:$J$127, MATCH(D1918, Archetypes!$A$2:$A$127, 0))*INDEX(Unit_Grades!$D$2:$D$7, MATCH(F1918, Unit_Grades!$A$2:$A$7, 0)),1)</f>
        <v>152.2</v>
      </c>
      <c r="N1918" s="6" t="n">
        <f aca="false">ROUND(M1918/24,2)</f>
        <v>6.34</v>
      </c>
    </row>
    <row r="1919" customFormat="false" ht="15" hidden="false" customHeight="true" outlineLevel="0" collapsed="false">
      <c r="A1919" s="6" t="n">
        <v>6</v>
      </c>
      <c r="B1919" s="6" t="s">
        <v>3380</v>
      </c>
      <c r="C1919" s="6" t="s">
        <v>1493</v>
      </c>
      <c r="D1919" s="6" t="str">
        <f aca="false">A1919&amp;"|"&amp;C1919</f>
        <v>6|Dao Sovereign Guard</v>
      </c>
      <c r="E1919" s="6" t="s">
        <v>1558</v>
      </c>
      <c r="F1919" s="6" t="s">
        <v>1544</v>
      </c>
      <c r="G1919" s="6" t="str">
        <f aca="false">INDEX(Archetypes!$D$2:$D$127, MATCH(D1919, Archetypes!$A$2:$A$127, 0))</f>
        <v>Cultivator</v>
      </c>
      <c r="H1919" s="6" t="n">
        <f aca="false">ROUND(INDEX(Archetypes!$E$2:$E$127, MATCH(D1919, Archetypes!$A$2:$A$127, 0))*INDEX(Unit_Grades!$B$2:$B$7, MATCH(F1919, Unit_Grades!$A$2:$A$7, 0))*INDEX(Unit_Paths!$B$2:$B$4, MATCH(E1919, Unit_Paths!$A$2:$A$4, 0)),1)</f>
        <v>3456</v>
      </c>
      <c r="I1919" s="6" t="n">
        <f aca="false">ROUND(INDEX(Archetypes!$F$2:$F$127, MATCH(D1919, Archetypes!$A$2:$A$127, 0))*INDEX(Unit_Grades!$B$2:$B$7, MATCH(F1919, Unit_Grades!$A$2:$A$7, 0))*INDEX(Unit_Paths!$C$2:$C$4, MATCH(E1919, Unit_Paths!$A$2:$A$4, 0)),1)</f>
        <v>1632</v>
      </c>
      <c r="J1919" s="6" t="n">
        <f aca="false">ROUND(INDEX(Archetypes!$G$2:$G$127, MATCH(D1919, Archetypes!$A$2:$A$127, 0))*INDEX(Unit_Grades!$B$2:$B$7, MATCH(F1919, Unit_Grades!$A$2:$A$7, 0))*INDEX(Unit_Paths!$D$2:$D$4, MATCH(E1919, Unit_Paths!$A$2:$A$4, 0)),0)</f>
        <v>10488</v>
      </c>
      <c r="K1919" s="6" t="n">
        <f aca="false">ROUND(INDEX(Archetypes!$H$2:$H$127, MATCH(D1919, Archetypes!$A$2:$A$127, 0))*INDEX(Unit_Paths!$E$2:$E$4, MATCH(E1919, Unit_Paths!$A$2:$A$4, 0)),1)</f>
        <v>54.6</v>
      </c>
      <c r="L1919" s="6" t="n">
        <f aca="false">ROUND(INDEX(Archetypes!$I$2:$I$127, MATCH(D1919, Archetypes!$A$2:$A$127, 0))*INDEX(Unit_Grades!$C$2:$C$7, MATCH(F1919, Unit_Grades!$A$2:$A$7, 0)),1)</f>
        <v>315</v>
      </c>
      <c r="M1919" s="6" t="n">
        <f aca="false">ROUND(INDEX(Archetypes!$J$2:$J$127, MATCH(D1919, Archetypes!$A$2:$A$127, 0))*INDEX(Unit_Grades!$D$2:$D$7, MATCH(F1919, Unit_Grades!$A$2:$A$7, 0)),1)</f>
        <v>243.5</v>
      </c>
      <c r="N1919" s="6" t="n">
        <f aca="false">ROUND(M1919/24,2)</f>
        <v>10.15</v>
      </c>
    </row>
    <row r="1920" customFormat="false" ht="15" hidden="false" customHeight="true" outlineLevel="0" collapsed="false">
      <c r="A1920" s="6" t="n">
        <v>6</v>
      </c>
      <c r="B1920" s="6" t="s">
        <v>3381</v>
      </c>
      <c r="C1920" s="6" t="s">
        <v>1493</v>
      </c>
      <c r="D1920" s="6" t="str">
        <f aca="false">A1920&amp;"|"&amp;C1920</f>
        <v>6|Dao Sovereign Guard</v>
      </c>
      <c r="E1920" s="6" t="s">
        <v>1558</v>
      </c>
      <c r="F1920" s="6" t="s">
        <v>1546</v>
      </c>
      <c r="G1920" s="6" t="str">
        <f aca="false">INDEX(Archetypes!$D$2:$D$127, MATCH(D1920, Archetypes!$A$2:$A$127, 0))</f>
        <v>Cultivator</v>
      </c>
      <c r="H1920" s="6" t="n">
        <f aca="false">ROUND(INDEX(Archetypes!$E$2:$E$127, MATCH(D1920, Archetypes!$A$2:$A$127, 0))*INDEX(Unit_Grades!$B$2:$B$7, MATCH(F1920, Unit_Grades!$A$2:$A$7, 0))*INDEX(Unit_Paths!$B$2:$B$4, MATCH(E1920, Unit_Paths!$A$2:$A$4, 0)),1)</f>
        <v>4608</v>
      </c>
      <c r="I1920" s="6" t="n">
        <f aca="false">ROUND(INDEX(Archetypes!$F$2:$F$127, MATCH(D1920, Archetypes!$A$2:$A$127, 0))*INDEX(Unit_Grades!$B$2:$B$7, MATCH(F1920, Unit_Grades!$A$2:$A$7, 0))*INDEX(Unit_Paths!$C$2:$C$4, MATCH(E1920, Unit_Paths!$A$2:$A$4, 0)),1)</f>
        <v>2176</v>
      </c>
      <c r="J1920" s="6" t="n">
        <f aca="false">ROUND(INDEX(Archetypes!$G$2:$G$127, MATCH(D1920, Archetypes!$A$2:$A$127, 0))*INDEX(Unit_Grades!$B$2:$B$7, MATCH(F1920, Unit_Grades!$A$2:$A$7, 0))*INDEX(Unit_Paths!$D$2:$D$4, MATCH(E1920, Unit_Paths!$A$2:$A$4, 0)),0)</f>
        <v>13984</v>
      </c>
      <c r="K1920" s="6" t="n">
        <f aca="false">ROUND(INDEX(Archetypes!$H$2:$H$127, MATCH(D1920, Archetypes!$A$2:$A$127, 0))*INDEX(Unit_Paths!$E$2:$E$4, MATCH(E1920, Unit_Paths!$A$2:$A$4, 0)),1)</f>
        <v>54.6</v>
      </c>
      <c r="L1920" s="6" t="n">
        <f aca="false">ROUND(INDEX(Archetypes!$I$2:$I$127, MATCH(D1920, Archetypes!$A$2:$A$127, 0))*INDEX(Unit_Grades!$C$2:$C$7, MATCH(F1920, Unit_Grades!$A$2:$A$7, 0)),1)</f>
        <v>420</v>
      </c>
      <c r="M1920" s="6" t="n">
        <f aca="false">ROUND(INDEX(Archetypes!$J$2:$J$127, MATCH(D1920, Archetypes!$A$2:$A$127, 0))*INDEX(Unit_Grades!$D$2:$D$7, MATCH(F1920, Unit_Grades!$A$2:$A$7, 0)),1)</f>
        <v>426.2</v>
      </c>
      <c r="N1920" s="6" t="n">
        <f aca="false">ROUND(M1920/24,2)</f>
        <v>17.76</v>
      </c>
    </row>
    <row r="1921" customFormat="false" ht="15" hidden="false" customHeight="true" outlineLevel="0" collapsed="false">
      <c r="A1921" s="6" t="n">
        <v>6</v>
      </c>
      <c r="B1921" s="6" t="s">
        <v>3382</v>
      </c>
      <c r="C1921" s="6" t="s">
        <v>1493</v>
      </c>
      <c r="D1921" s="6" t="str">
        <f aca="false">A1921&amp;"|"&amp;C1921</f>
        <v>6|Dao Sovereign Guard</v>
      </c>
      <c r="E1921" s="6" t="s">
        <v>1558</v>
      </c>
      <c r="F1921" s="6" t="s">
        <v>1548</v>
      </c>
      <c r="G1921" s="6" t="str">
        <f aca="false">INDEX(Archetypes!$D$2:$D$127, MATCH(D1921, Archetypes!$A$2:$A$127, 0))</f>
        <v>Cultivator</v>
      </c>
      <c r="H1921" s="6" t="n">
        <f aca="false">ROUND(INDEX(Archetypes!$E$2:$E$127, MATCH(D1921, Archetypes!$A$2:$A$127, 0))*INDEX(Unit_Grades!$B$2:$B$7, MATCH(F1921, Unit_Grades!$A$2:$A$7, 0))*INDEX(Unit_Paths!$B$2:$B$4, MATCH(E1921, Unit_Paths!$A$2:$A$4, 0)),1)</f>
        <v>6048</v>
      </c>
      <c r="I1921" s="6" t="n">
        <f aca="false">ROUND(INDEX(Archetypes!$F$2:$F$127, MATCH(D1921, Archetypes!$A$2:$A$127, 0))*INDEX(Unit_Grades!$B$2:$B$7, MATCH(F1921, Unit_Grades!$A$2:$A$7, 0))*INDEX(Unit_Paths!$C$2:$C$4, MATCH(E1921, Unit_Paths!$A$2:$A$4, 0)),1)</f>
        <v>2856</v>
      </c>
      <c r="J1921" s="6" t="n">
        <f aca="false">ROUND(INDEX(Archetypes!$G$2:$G$127, MATCH(D1921, Archetypes!$A$2:$A$127, 0))*INDEX(Unit_Grades!$B$2:$B$7, MATCH(F1921, Unit_Grades!$A$2:$A$7, 0))*INDEX(Unit_Paths!$D$2:$D$4, MATCH(E1921, Unit_Paths!$A$2:$A$4, 0)),0)</f>
        <v>18354</v>
      </c>
      <c r="K1921" s="6" t="n">
        <f aca="false">ROUND(INDEX(Archetypes!$H$2:$H$127, MATCH(D1921, Archetypes!$A$2:$A$127, 0))*INDEX(Unit_Paths!$E$2:$E$4, MATCH(E1921, Unit_Paths!$A$2:$A$4, 0)),1)</f>
        <v>54.6</v>
      </c>
      <c r="L1921" s="6" t="n">
        <f aca="false">ROUND(INDEX(Archetypes!$I$2:$I$127, MATCH(D1921, Archetypes!$A$2:$A$127, 0))*INDEX(Unit_Grades!$C$2:$C$7, MATCH(F1921, Unit_Grades!$A$2:$A$7, 0)),1)</f>
        <v>555</v>
      </c>
      <c r="M1921" s="6" t="n">
        <f aca="false">ROUND(INDEX(Archetypes!$J$2:$J$127, MATCH(D1921, Archetypes!$A$2:$A$127, 0))*INDEX(Unit_Grades!$D$2:$D$7, MATCH(F1921, Unit_Grades!$A$2:$A$7, 0)),1)</f>
        <v>730.6</v>
      </c>
      <c r="N1921" s="6" t="n">
        <f aca="false">ROUND(M1921/24,2)</f>
        <v>30.44</v>
      </c>
    </row>
    <row r="1922" customFormat="false" ht="15" hidden="false" customHeight="true" outlineLevel="0" collapsed="false">
      <c r="A1922" s="6" t="n">
        <v>6</v>
      </c>
      <c r="B1922" s="6" t="s">
        <v>3383</v>
      </c>
      <c r="C1922" s="6" t="s">
        <v>1493</v>
      </c>
      <c r="D1922" s="6" t="str">
        <f aca="false">A1922&amp;"|"&amp;C1922</f>
        <v>6|Dao Sovereign Guard</v>
      </c>
      <c r="E1922" s="6" t="s">
        <v>1560</v>
      </c>
      <c r="F1922" s="6" t="s">
        <v>1538</v>
      </c>
      <c r="G1922" s="6" t="str">
        <f aca="false">INDEX(Archetypes!$D$2:$D$127, MATCH(D1922, Archetypes!$A$2:$A$127, 0))</f>
        <v>Cultivator</v>
      </c>
      <c r="H1922" s="6" t="n">
        <f aca="false">ROUND(INDEX(Archetypes!$E$2:$E$127, MATCH(D1922, Archetypes!$A$2:$A$127, 0))*INDEX(Unit_Grades!$B$2:$B$7, MATCH(F1922, Unit_Grades!$A$2:$A$7, 0))*INDEX(Unit_Paths!$B$2:$B$4, MATCH(E1922, Unit_Paths!$A$2:$A$4, 0)),1)</f>
        <v>1020</v>
      </c>
      <c r="I1922" s="6" t="n">
        <f aca="false">ROUND(INDEX(Archetypes!$F$2:$F$127, MATCH(D1922, Archetypes!$A$2:$A$127, 0))*INDEX(Unit_Grades!$B$2:$B$7, MATCH(F1922, Unit_Grades!$A$2:$A$7, 0))*INDEX(Unit_Paths!$C$2:$C$4, MATCH(E1922, Unit_Paths!$A$2:$A$4, 0)),1)</f>
        <v>1000</v>
      </c>
      <c r="J1922" s="6" t="n">
        <f aca="false">ROUND(INDEX(Archetypes!$G$2:$G$127, MATCH(D1922, Archetypes!$A$2:$A$127, 0))*INDEX(Unit_Grades!$B$2:$B$7, MATCH(F1922, Unit_Grades!$A$2:$A$7, 0))*INDEX(Unit_Paths!$D$2:$D$4, MATCH(E1922, Unit_Paths!$A$2:$A$4, 0)),0)</f>
        <v>5290</v>
      </c>
      <c r="K1922" s="6" t="n">
        <f aca="false">ROUND(INDEX(Archetypes!$H$2:$H$127, MATCH(D1922, Archetypes!$A$2:$A$127, 0))*INDEX(Unit_Paths!$E$2:$E$4, MATCH(E1922, Unit_Paths!$A$2:$A$4, 0)),1)</f>
        <v>47.8</v>
      </c>
      <c r="L1922" s="6" t="n">
        <f aca="false">ROUND(INDEX(Archetypes!$I$2:$I$127, MATCH(D1922, Archetypes!$A$2:$A$127, 0))*INDEX(Unit_Grades!$C$2:$C$7, MATCH(F1922, Unit_Grades!$A$2:$A$7, 0)),1)</f>
        <v>150</v>
      </c>
      <c r="M1922" s="6" t="n">
        <f aca="false">ROUND(INDEX(Archetypes!$J$2:$J$127, MATCH(D1922, Archetypes!$A$2:$A$127, 0))*INDEX(Unit_Grades!$D$2:$D$7, MATCH(F1922, Unit_Grades!$A$2:$A$7, 0)),1)</f>
        <v>60.9</v>
      </c>
      <c r="N1922" s="6" t="n">
        <f aca="false">ROUND(M1922/24,2)</f>
        <v>2.54</v>
      </c>
    </row>
    <row r="1923" customFormat="false" ht="15" hidden="false" customHeight="true" outlineLevel="0" collapsed="false">
      <c r="A1923" s="6" t="n">
        <v>6</v>
      </c>
      <c r="B1923" s="6" t="s">
        <v>3384</v>
      </c>
      <c r="C1923" s="6" t="s">
        <v>1493</v>
      </c>
      <c r="D1923" s="6" t="str">
        <f aca="false">A1923&amp;"|"&amp;C1923</f>
        <v>6|Dao Sovereign Guard</v>
      </c>
      <c r="E1923" s="6" t="s">
        <v>1560</v>
      </c>
      <c r="F1923" s="6" t="s">
        <v>1540</v>
      </c>
      <c r="G1923" s="6" t="str">
        <f aca="false">INDEX(Archetypes!$D$2:$D$127, MATCH(D1923, Archetypes!$A$2:$A$127, 0))</f>
        <v>Cultivator</v>
      </c>
      <c r="H1923" s="6" t="n">
        <f aca="false">ROUND(INDEX(Archetypes!$E$2:$E$127, MATCH(D1923, Archetypes!$A$2:$A$127, 0))*INDEX(Unit_Grades!$B$2:$B$7, MATCH(F1923, Unit_Grades!$A$2:$A$7, 0))*INDEX(Unit_Paths!$B$2:$B$4, MATCH(E1923, Unit_Paths!$A$2:$A$4, 0)),1)</f>
        <v>1377</v>
      </c>
      <c r="I1923" s="6" t="n">
        <f aca="false">ROUND(INDEX(Archetypes!$F$2:$F$127, MATCH(D1923, Archetypes!$A$2:$A$127, 0))*INDEX(Unit_Grades!$B$2:$B$7, MATCH(F1923, Unit_Grades!$A$2:$A$7, 0))*INDEX(Unit_Paths!$C$2:$C$4, MATCH(E1923, Unit_Paths!$A$2:$A$4, 0)),1)</f>
        <v>1350</v>
      </c>
      <c r="J1923" s="6" t="n">
        <f aca="false">ROUND(INDEX(Archetypes!$G$2:$G$127, MATCH(D1923, Archetypes!$A$2:$A$127, 0))*INDEX(Unit_Grades!$B$2:$B$7, MATCH(F1923, Unit_Grades!$A$2:$A$7, 0))*INDEX(Unit_Paths!$D$2:$D$4, MATCH(E1923, Unit_Paths!$A$2:$A$4, 0)),0)</f>
        <v>7141</v>
      </c>
      <c r="K1923" s="6" t="n">
        <f aca="false">ROUND(INDEX(Archetypes!$H$2:$H$127, MATCH(D1923, Archetypes!$A$2:$A$127, 0))*INDEX(Unit_Paths!$E$2:$E$4, MATCH(E1923, Unit_Paths!$A$2:$A$4, 0)),1)</f>
        <v>47.8</v>
      </c>
      <c r="L1923" s="6" t="n">
        <f aca="false">ROUND(INDEX(Archetypes!$I$2:$I$127, MATCH(D1923, Archetypes!$A$2:$A$127, 0))*INDEX(Unit_Grades!$C$2:$C$7, MATCH(F1923, Unit_Grades!$A$2:$A$7, 0)),1)</f>
        <v>187.5</v>
      </c>
      <c r="M1923" s="6" t="n">
        <f aca="false">ROUND(INDEX(Archetypes!$J$2:$J$127, MATCH(D1923, Archetypes!$A$2:$A$127, 0))*INDEX(Unit_Grades!$D$2:$D$7, MATCH(F1923, Unit_Grades!$A$2:$A$7, 0)),1)</f>
        <v>91.3</v>
      </c>
      <c r="N1923" s="6" t="n">
        <f aca="false">ROUND(M1923/24,2)</f>
        <v>3.8</v>
      </c>
    </row>
    <row r="1924" customFormat="false" ht="15" hidden="false" customHeight="true" outlineLevel="0" collapsed="false">
      <c r="A1924" s="6" t="n">
        <v>6</v>
      </c>
      <c r="B1924" s="6" t="s">
        <v>3385</v>
      </c>
      <c r="C1924" s="6" t="s">
        <v>1493</v>
      </c>
      <c r="D1924" s="6" t="str">
        <f aca="false">A1924&amp;"|"&amp;C1924</f>
        <v>6|Dao Sovereign Guard</v>
      </c>
      <c r="E1924" s="6" t="s">
        <v>1560</v>
      </c>
      <c r="F1924" s="6" t="s">
        <v>1542</v>
      </c>
      <c r="G1924" s="6" t="str">
        <f aca="false">INDEX(Archetypes!$D$2:$D$127, MATCH(D1924, Archetypes!$A$2:$A$127, 0))</f>
        <v>Cultivator</v>
      </c>
      <c r="H1924" s="6" t="n">
        <f aca="false">ROUND(INDEX(Archetypes!$E$2:$E$127, MATCH(D1924, Archetypes!$A$2:$A$127, 0))*INDEX(Unit_Grades!$B$2:$B$7, MATCH(F1924, Unit_Grades!$A$2:$A$7, 0))*INDEX(Unit_Paths!$B$2:$B$4, MATCH(E1924, Unit_Paths!$A$2:$A$4, 0)),1)</f>
        <v>1836</v>
      </c>
      <c r="I1924" s="6" t="n">
        <f aca="false">ROUND(INDEX(Archetypes!$F$2:$F$127, MATCH(D1924, Archetypes!$A$2:$A$127, 0))*INDEX(Unit_Grades!$B$2:$B$7, MATCH(F1924, Unit_Grades!$A$2:$A$7, 0))*INDEX(Unit_Paths!$C$2:$C$4, MATCH(E1924, Unit_Paths!$A$2:$A$4, 0)),1)</f>
        <v>1800</v>
      </c>
      <c r="J1924" s="6" t="n">
        <f aca="false">ROUND(INDEX(Archetypes!$G$2:$G$127, MATCH(D1924, Archetypes!$A$2:$A$127, 0))*INDEX(Unit_Grades!$B$2:$B$7, MATCH(F1924, Unit_Grades!$A$2:$A$7, 0))*INDEX(Unit_Paths!$D$2:$D$4, MATCH(E1924, Unit_Paths!$A$2:$A$4, 0)),0)</f>
        <v>9522</v>
      </c>
      <c r="K1924" s="6" t="n">
        <f aca="false">ROUND(INDEX(Archetypes!$H$2:$H$127, MATCH(D1924, Archetypes!$A$2:$A$127, 0))*INDEX(Unit_Paths!$E$2:$E$4, MATCH(E1924, Unit_Paths!$A$2:$A$4, 0)),1)</f>
        <v>47.8</v>
      </c>
      <c r="L1924" s="6" t="n">
        <f aca="false">ROUND(INDEX(Archetypes!$I$2:$I$127, MATCH(D1924, Archetypes!$A$2:$A$127, 0))*INDEX(Unit_Grades!$C$2:$C$7, MATCH(F1924, Unit_Grades!$A$2:$A$7, 0)),1)</f>
        <v>240</v>
      </c>
      <c r="M1924" s="6" t="n">
        <f aca="false">ROUND(INDEX(Archetypes!$J$2:$J$127, MATCH(D1924, Archetypes!$A$2:$A$127, 0))*INDEX(Unit_Grades!$D$2:$D$7, MATCH(F1924, Unit_Grades!$A$2:$A$7, 0)),1)</f>
        <v>152.2</v>
      </c>
      <c r="N1924" s="6" t="n">
        <f aca="false">ROUND(M1924/24,2)</f>
        <v>6.34</v>
      </c>
    </row>
    <row r="1925" customFormat="false" ht="15" hidden="false" customHeight="true" outlineLevel="0" collapsed="false">
      <c r="A1925" s="6" t="n">
        <v>6</v>
      </c>
      <c r="B1925" s="6" t="s">
        <v>3386</v>
      </c>
      <c r="C1925" s="6" t="s">
        <v>1493</v>
      </c>
      <c r="D1925" s="6" t="str">
        <f aca="false">A1925&amp;"|"&amp;C1925</f>
        <v>6|Dao Sovereign Guard</v>
      </c>
      <c r="E1925" s="6" t="s">
        <v>1560</v>
      </c>
      <c r="F1925" s="6" t="s">
        <v>1544</v>
      </c>
      <c r="G1925" s="6" t="str">
        <f aca="false">INDEX(Archetypes!$D$2:$D$127, MATCH(D1925, Archetypes!$A$2:$A$127, 0))</f>
        <v>Cultivator</v>
      </c>
      <c r="H1925" s="6" t="n">
        <f aca="false">ROUND(INDEX(Archetypes!$E$2:$E$127, MATCH(D1925, Archetypes!$A$2:$A$127, 0))*INDEX(Unit_Grades!$B$2:$B$7, MATCH(F1925, Unit_Grades!$A$2:$A$7, 0))*INDEX(Unit_Paths!$B$2:$B$4, MATCH(E1925, Unit_Paths!$A$2:$A$4, 0)),1)</f>
        <v>2448</v>
      </c>
      <c r="I1925" s="6" t="n">
        <f aca="false">ROUND(INDEX(Archetypes!$F$2:$F$127, MATCH(D1925, Archetypes!$A$2:$A$127, 0))*INDEX(Unit_Grades!$B$2:$B$7, MATCH(F1925, Unit_Grades!$A$2:$A$7, 0))*INDEX(Unit_Paths!$C$2:$C$4, MATCH(E1925, Unit_Paths!$A$2:$A$4, 0)),1)</f>
        <v>2400</v>
      </c>
      <c r="J1925" s="6" t="n">
        <f aca="false">ROUND(INDEX(Archetypes!$G$2:$G$127, MATCH(D1925, Archetypes!$A$2:$A$127, 0))*INDEX(Unit_Grades!$B$2:$B$7, MATCH(F1925, Unit_Grades!$A$2:$A$7, 0))*INDEX(Unit_Paths!$D$2:$D$4, MATCH(E1925, Unit_Paths!$A$2:$A$4, 0)),0)</f>
        <v>12696</v>
      </c>
      <c r="K1925" s="6" t="n">
        <f aca="false">ROUND(INDEX(Archetypes!$H$2:$H$127, MATCH(D1925, Archetypes!$A$2:$A$127, 0))*INDEX(Unit_Paths!$E$2:$E$4, MATCH(E1925, Unit_Paths!$A$2:$A$4, 0)),1)</f>
        <v>47.8</v>
      </c>
      <c r="L1925" s="6" t="n">
        <f aca="false">ROUND(INDEX(Archetypes!$I$2:$I$127, MATCH(D1925, Archetypes!$A$2:$A$127, 0))*INDEX(Unit_Grades!$C$2:$C$7, MATCH(F1925, Unit_Grades!$A$2:$A$7, 0)),1)</f>
        <v>315</v>
      </c>
      <c r="M1925" s="6" t="n">
        <f aca="false">ROUND(INDEX(Archetypes!$J$2:$J$127, MATCH(D1925, Archetypes!$A$2:$A$127, 0))*INDEX(Unit_Grades!$D$2:$D$7, MATCH(F1925, Unit_Grades!$A$2:$A$7, 0)),1)</f>
        <v>243.5</v>
      </c>
      <c r="N1925" s="6" t="n">
        <f aca="false">ROUND(M1925/24,2)</f>
        <v>10.15</v>
      </c>
    </row>
    <row r="1926" customFormat="false" ht="15" hidden="false" customHeight="true" outlineLevel="0" collapsed="false">
      <c r="A1926" s="6" t="n">
        <v>6</v>
      </c>
      <c r="B1926" s="6" t="s">
        <v>3387</v>
      </c>
      <c r="C1926" s="6" t="s">
        <v>1493</v>
      </c>
      <c r="D1926" s="6" t="str">
        <f aca="false">A1926&amp;"|"&amp;C1926</f>
        <v>6|Dao Sovereign Guard</v>
      </c>
      <c r="E1926" s="6" t="s">
        <v>1560</v>
      </c>
      <c r="F1926" s="6" t="s">
        <v>1546</v>
      </c>
      <c r="G1926" s="6" t="str">
        <f aca="false">INDEX(Archetypes!$D$2:$D$127, MATCH(D1926, Archetypes!$A$2:$A$127, 0))</f>
        <v>Cultivator</v>
      </c>
      <c r="H1926" s="6" t="n">
        <f aca="false">ROUND(INDEX(Archetypes!$E$2:$E$127, MATCH(D1926, Archetypes!$A$2:$A$127, 0))*INDEX(Unit_Grades!$B$2:$B$7, MATCH(F1926, Unit_Grades!$A$2:$A$7, 0))*INDEX(Unit_Paths!$B$2:$B$4, MATCH(E1926, Unit_Paths!$A$2:$A$4, 0)),1)</f>
        <v>3264</v>
      </c>
      <c r="I1926" s="6" t="n">
        <f aca="false">ROUND(INDEX(Archetypes!$F$2:$F$127, MATCH(D1926, Archetypes!$A$2:$A$127, 0))*INDEX(Unit_Grades!$B$2:$B$7, MATCH(F1926, Unit_Grades!$A$2:$A$7, 0))*INDEX(Unit_Paths!$C$2:$C$4, MATCH(E1926, Unit_Paths!$A$2:$A$4, 0)),1)</f>
        <v>3200</v>
      </c>
      <c r="J1926" s="6" t="n">
        <f aca="false">ROUND(INDEX(Archetypes!$G$2:$G$127, MATCH(D1926, Archetypes!$A$2:$A$127, 0))*INDEX(Unit_Grades!$B$2:$B$7, MATCH(F1926, Unit_Grades!$A$2:$A$7, 0))*INDEX(Unit_Paths!$D$2:$D$4, MATCH(E1926, Unit_Paths!$A$2:$A$4, 0)),0)</f>
        <v>16928</v>
      </c>
      <c r="K1926" s="6" t="n">
        <f aca="false">ROUND(INDEX(Archetypes!$H$2:$H$127, MATCH(D1926, Archetypes!$A$2:$A$127, 0))*INDEX(Unit_Paths!$E$2:$E$4, MATCH(E1926, Unit_Paths!$A$2:$A$4, 0)),1)</f>
        <v>47.8</v>
      </c>
      <c r="L1926" s="6" t="n">
        <f aca="false">ROUND(INDEX(Archetypes!$I$2:$I$127, MATCH(D1926, Archetypes!$A$2:$A$127, 0))*INDEX(Unit_Grades!$C$2:$C$7, MATCH(F1926, Unit_Grades!$A$2:$A$7, 0)),1)</f>
        <v>420</v>
      </c>
      <c r="M1926" s="6" t="n">
        <f aca="false">ROUND(INDEX(Archetypes!$J$2:$J$127, MATCH(D1926, Archetypes!$A$2:$A$127, 0))*INDEX(Unit_Grades!$D$2:$D$7, MATCH(F1926, Unit_Grades!$A$2:$A$7, 0)),1)</f>
        <v>426.2</v>
      </c>
      <c r="N1926" s="6" t="n">
        <f aca="false">ROUND(M1926/24,2)</f>
        <v>17.76</v>
      </c>
    </row>
    <row r="1927" customFormat="false" ht="15" hidden="false" customHeight="true" outlineLevel="0" collapsed="false">
      <c r="A1927" s="6" t="n">
        <v>6</v>
      </c>
      <c r="B1927" s="6" t="s">
        <v>3388</v>
      </c>
      <c r="C1927" s="6" t="s">
        <v>1493</v>
      </c>
      <c r="D1927" s="6" t="str">
        <f aca="false">A1927&amp;"|"&amp;C1927</f>
        <v>6|Dao Sovereign Guard</v>
      </c>
      <c r="E1927" s="6" t="s">
        <v>1560</v>
      </c>
      <c r="F1927" s="6" t="s">
        <v>1548</v>
      </c>
      <c r="G1927" s="6" t="str">
        <f aca="false">INDEX(Archetypes!$D$2:$D$127, MATCH(D1927, Archetypes!$A$2:$A$127, 0))</f>
        <v>Cultivator</v>
      </c>
      <c r="H1927" s="6" t="n">
        <f aca="false">ROUND(INDEX(Archetypes!$E$2:$E$127, MATCH(D1927, Archetypes!$A$2:$A$127, 0))*INDEX(Unit_Grades!$B$2:$B$7, MATCH(F1927, Unit_Grades!$A$2:$A$7, 0))*INDEX(Unit_Paths!$B$2:$B$4, MATCH(E1927, Unit_Paths!$A$2:$A$4, 0)),1)</f>
        <v>4284</v>
      </c>
      <c r="I1927" s="6" t="n">
        <f aca="false">ROUND(INDEX(Archetypes!$F$2:$F$127, MATCH(D1927, Archetypes!$A$2:$A$127, 0))*INDEX(Unit_Grades!$B$2:$B$7, MATCH(F1927, Unit_Grades!$A$2:$A$7, 0))*INDEX(Unit_Paths!$C$2:$C$4, MATCH(E1927, Unit_Paths!$A$2:$A$4, 0)),1)</f>
        <v>4200</v>
      </c>
      <c r="J1927" s="6" t="n">
        <f aca="false">ROUND(INDEX(Archetypes!$G$2:$G$127, MATCH(D1927, Archetypes!$A$2:$A$127, 0))*INDEX(Unit_Grades!$B$2:$B$7, MATCH(F1927, Unit_Grades!$A$2:$A$7, 0))*INDEX(Unit_Paths!$D$2:$D$4, MATCH(E1927, Unit_Paths!$A$2:$A$4, 0)),0)</f>
        <v>22218</v>
      </c>
      <c r="K1927" s="6" t="n">
        <f aca="false">ROUND(INDEX(Archetypes!$H$2:$H$127, MATCH(D1927, Archetypes!$A$2:$A$127, 0))*INDEX(Unit_Paths!$E$2:$E$4, MATCH(E1927, Unit_Paths!$A$2:$A$4, 0)),1)</f>
        <v>47.8</v>
      </c>
      <c r="L1927" s="6" t="n">
        <f aca="false">ROUND(INDEX(Archetypes!$I$2:$I$127, MATCH(D1927, Archetypes!$A$2:$A$127, 0))*INDEX(Unit_Grades!$C$2:$C$7, MATCH(F1927, Unit_Grades!$A$2:$A$7, 0)),1)</f>
        <v>555</v>
      </c>
      <c r="M1927" s="6" t="n">
        <f aca="false">ROUND(INDEX(Archetypes!$J$2:$J$127, MATCH(D1927, Archetypes!$A$2:$A$127, 0))*INDEX(Unit_Grades!$D$2:$D$7, MATCH(F1927, Unit_Grades!$A$2:$A$7, 0)),1)</f>
        <v>730.6</v>
      </c>
      <c r="N1927" s="6" t="n">
        <f aca="false">ROUND(M1927/24,2)</f>
        <v>30.44</v>
      </c>
    </row>
    <row r="1928" customFormat="false" ht="15" hidden="false" customHeight="true" outlineLevel="0" collapsed="false">
      <c r="A1928" s="6" t="n">
        <v>6</v>
      </c>
      <c r="B1928" s="6" t="s">
        <v>1495</v>
      </c>
      <c r="C1928" s="6" t="s">
        <v>1495</v>
      </c>
      <c r="D1928" s="6" t="str">
        <f aca="false">A1928&amp;"|"&amp;C1928</f>
        <v>6|Sword Intent Legion</v>
      </c>
      <c r="E1928" s="6" t="s">
        <v>1556</v>
      </c>
      <c r="F1928" s="6" t="s">
        <v>1538</v>
      </c>
      <c r="G1928" s="6" t="str">
        <f aca="false">INDEX(Archetypes!$D$2:$D$127, MATCH(D1928, Archetypes!$A$2:$A$127, 0))</f>
        <v>Cultivator</v>
      </c>
      <c r="H1928" s="6" t="n">
        <f aca="false">ROUND(INDEX(Archetypes!$E$2:$E$127, MATCH(D1928, Archetypes!$A$2:$A$127, 0))*INDEX(Unit_Grades!$B$2:$B$7, MATCH(F1928, Unit_Grades!$A$2:$A$7, 0))*INDEX(Unit_Paths!$B$2:$B$4, MATCH(E1928, Unit_Paths!$A$2:$A$4, 0)),1)</f>
        <v>1050</v>
      </c>
      <c r="I1928" s="6" t="n">
        <f aca="false">ROUND(INDEX(Archetypes!$F$2:$F$127, MATCH(D1928, Archetypes!$A$2:$A$127, 0))*INDEX(Unit_Grades!$B$2:$B$7, MATCH(F1928, Unit_Grades!$A$2:$A$7, 0))*INDEX(Unit_Paths!$C$2:$C$4, MATCH(E1928, Unit_Paths!$A$2:$A$4, 0)),1)</f>
        <v>620</v>
      </c>
      <c r="J1928" s="6" t="n">
        <f aca="false">ROUND(INDEX(Archetypes!$G$2:$G$127, MATCH(D1928, Archetypes!$A$2:$A$127, 0))*INDEX(Unit_Grades!$B$2:$B$7, MATCH(F1928, Unit_Grades!$A$2:$A$7, 0))*INDEX(Unit_Paths!$D$2:$D$4, MATCH(E1928, Unit_Paths!$A$2:$A$4, 0)),0)</f>
        <v>3600</v>
      </c>
      <c r="K1928" s="6" t="n">
        <f aca="false">ROUND(INDEX(Archetypes!$H$2:$H$127, MATCH(D1928, Archetypes!$A$2:$A$127, 0))*INDEX(Unit_Paths!$E$2:$E$4, MATCH(E1928, Unit_Paths!$A$2:$A$4, 0)),1)</f>
        <v>50</v>
      </c>
      <c r="L1928" s="6" t="n">
        <f aca="false">ROUND(INDEX(Archetypes!$I$2:$I$127, MATCH(D1928, Archetypes!$A$2:$A$127, 0))*INDEX(Unit_Grades!$C$2:$C$7, MATCH(F1928, Unit_Grades!$A$2:$A$7, 0)),1)</f>
        <v>130</v>
      </c>
      <c r="M1928" s="6" t="n">
        <f aca="false">ROUND(INDEX(Archetypes!$J$2:$J$127, MATCH(D1928, Archetypes!$A$2:$A$127, 0))*INDEX(Unit_Grades!$D$2:$D$7, MATCH(F1928, Unit_Grades!$A$2:$A$7, 0)),1)</f>
        <v>52.8</v>
      </c>
      <c r="N1928" s="6" t="n">
        <f aca="false">ROUND(M1928/24,2)</f>
        <v>2.2</v>
      </c>
    </row>
    <row r="1929" customFormat="false" ht="15" hidden="false" customHeight="true" outlineLevel="0" collapsed="false">
      <c r="A1929" s="6" t="n">
        <v>6</v>
      </c>
      <c r="B1929" s="6" t="s">
        <v>3389</v>
      </c>
      <c r="C1929" s="6" t="s">
        <v>1495</v>
      </c>
      <c r="D1929" s="6" t="str">
        <f aca="false">A1929&amp;"|"&amp;C1929</f>
        <v>6|Sword Intent Legion</v>
      </c>
      <c r="E1929" s="6" t="s">
        <v>1556</v>
      </c>
      <c r="F1929" s="6" t="s">
        <v>1540</v>
      </c>
      <c r="G1929" s="6" t="str">
        <f aca="false">INDEX(Archetypes!$D$2:$D$127, MATCH(D1929, Archetypes!$A$2:$A$127, 0))</f>
        <v>Cultivator</v>
      </c>
      <c r="H1929" s="6" t="n">
        <f aca="false">ROUND(INDEX(Archetypes!$E$2:$E$127, MATCH(D1929, Archetypes!$A$2:$A$127, 0))*INDEX(Unit_Grades!$B$2:$B$7, MATCH(F1929, Unit_Grades!$A$2:$A$7, 0))*INDEX(Unit_Paths!$B$2:$B$4, MATCH(E1929, Unit_Paths!$A$2:$A$4, 0)),1)</f>
        <v>1417.5</v>
      </c>
      <c r="I1929" s="6" t="n">
        <f aca="false">ROUND(INDEX(Archetypes!$F$2:$F$127, MATCH(D1929, Archetypes!$A$2:$A$127, 0))*INDEX(Unit_Grades!$B$2:$B$7, MATCH(F1929, Unit_Grades!$A$2:$A$7, 0))*INDEX(Unit_Paths!$C$2:$C$4, MATCH(E1929, Unit_Paths!$A$2:$A$4, 0)),1)</f>
        <v>837</v>
      </c>
      <c r="J1929" s="6" t="n">
        <f aca="false">ROUND(INDEX(Archetypes!$G$2:$G$127, MATCH(D1929, Archetypes!$A$2:$A$127, 0))*INDEX(Unit_Grades!$B$2:$B$7, MATCH(F1929, Unit_Grades!$A$2:$A$7, 0))*INDEX(Unit_Paths!$D$2:$D$4, MATCH(E1929, Unit_Paths!$A$2:$A$4, 0)),0)</f>
        <v>4860</v>
      </c>
      <c r="K1929" s="6" t="n">
        <f aca="false">ROUND(INDEX(Archetypes!$H$2:$H$127, MATCH(D1929, Archetypes!$A$2:$A$127, 0))*INDEX(Unit_Paths!$E$2:$E$4, MATCH(E1929, Unit_Paths!$A$2:$A$4, 0)),1)</f>
        <v>50</v>
      </c>
      <c r="L1929" s="6" t="n">
        <f aca="false">ROUND(INDEX(Archetypes!$I$2:$I$127, MATCH(D1929, Archetypes!$A$2:$A$127, 0))*INDEX(Unit_Grades!$C$2:$C$7, MATCH(F1929, Unit_Grades!$A$2:$A$7, 0)),1)</f>
        <v>162.5</v>
      </c>
      <c r="M1929" s="6" t="n">
        <f aca="false">ROUND(INDEX(Archetypes!$J$2:$J$127, MATCH(D1929, Archetypes!$A$2:$A$127, 0))*INDEX(Unit_Grades!$D$2:$D$7, MATCH(F1929, Unit_Grades!$A$2:$A$7, 0)),1)</f>
        <v>79.1</v>
      </c>
      <c r="N1929" s="6" t="n">
        <f aca="false">ROUND(M1929/24,2)</f>
        <v>3.3</v>
      </c>
    </row>
    <row r="1930" customFormat="false" ht="15" hidden="false" customHeight="true" outlineLevel="0" collapsed="false">
      <c r="A1930" s="6" t="n">
        <v>6</v>
      </c>
      <c r="B1930" s="6" t="s">
        <v>3390</v>
      </c>
      <c r="C1930" s="6" t="s">
        <v>1495</v>
      </c>
      <c r="D1930" s="6" t="str">
        <f aca="false">A1930&amp;"|"&amp;C1930</f>
        <v>6|Sword Intent Legion</v>
      </c>
      <c r="E1930" s="6" t="s">
        <v>1556</v>
      </c>
      <c r="F1930" s="6" t="s">
        <v>1542</v>
      </c>
      <c r="G1930" s="6" t="str">
        <f aca="false">INDEX(Archetypes!$D$2:$D$127, MATCH(D1930, Archetypes!$A$2:$A$127, 0))</f>
        <v>Cultivator</v>
      </c>
      <c r="H1930" s="6" t="n">
        <f aca="false">ROUND(INDEX(Archetypes!$E$2:$E$127, MATCH(D1930, Archetypes!$A$2:$A$127, 0))*INDEX(Unit_Grades!$B$2:$B$7, MATCH(F1930, Unit_Grades!$A$2:$A$7, 0))*INDEX(Unit_Paths!$B$2:$B$4, MATCH(E1930, Unit_Paths!$A$2:$A$4, 0)),1)</f>
        <v>1890</v>
      </c>
      <c r="I1930" s="6" t="n">
        <f aca="false">ROUND(INDEX(Archetypes!$F$2:$F$127, MATCH(D1930, Archetypes!$A$2:$A$127, 0))*INDEX(Unit_Grades!$B$2:$B$7, MATCH(F1930, Unit_Grades!$A$2:$A$7, 0))*INDEX(Unit_Paths!$C$2:$C$4, MATCH(E1930, Unit_Paths!$A$2:$A$4, 0)),1)</f>
        <v>1116</v>
      </c>
      <c r="J1930" s="6" t="n">
        <f aca="false">ROUND(INDEX(Archetypes!$G$2:$G$127, MATCH(D1930, Archetypes!$A$2:$A$127, 0))*INDEX(Unit_Grades!$B$2:$B$7, MATCH(F1930, Unit_Grades!$A$2:$A$7, 0))*INDEX(Unit_Paths!$D$2:$D$4, MATCH(E1930, Unit_Paths!$A$2:$A$4, 0)),0)</f>
        <v>6480</v>
      </c>
      <c r="K1930" s="6" t="n">
        <f aca="false">ROUND(INDEX(Archetypes!$H$2:$H$127, MATCH(D1930, Archetypes!$A$2:$A$127, 0))*INDEX(Unit_Paths!$E$2:$E$4, MATCH(E1930, Unit_Paths!$A$2:$A$4, 0)),1)</f>
        <v>50</v>
      </c>
      <c r="L1930" s="6" t="n">
        <f aca="false">ROUND(INDEX(Archetypes!$I$2:$I$127, MATCH(D1930, Archetypes!$A$2:$A$127, 0))*INDEX(Unit_Grades!$C$2:$C$7, MATCH(F1930, Unit_Grades!$A$2:$A$7, 0)),1)</f>
        <v>208</v>
      </c>
      <c r="M1930" s="6" t="n">
        <f aca="false">ROUND(INDEX(Archetypes!$J$2:$J$127, MATCH(D1930, Archetypes!$A$2:$A$127, 0))*INDEX(Unit_Grades!$D$2:$D$7, MATCH(F1930, Unit_Grades!$A$2:$A$7, 0)),1)</f>
        <v>131.9</v>
      </c>
      <c r="N1930" s="6" t="n">
        <f aca="false">ROUND(M1930/24,2)</f>
        <v>5.5</v>
      </c>
    </row>
    <row r="1931" customFormat="false" ht="15" hidden="false" customHeight="true" outlineLevel="0" collapsed="false">
      <c r="A1931" s="6" t="n">
        <v>6</v>
      </c>
      <c r="B1931" s="6" t="s">
        <v>3391</v>
      </c>
      <c r="C1931" s="6" t="s">
        <v>1495</v>
      </c>
      <c r="D1931" s="6" t="str">
        <f aca="false">A1931&amp;"|"&amp;C1931</f>
        <v>6|Sword Intent Legion</v>
      </c>
      <c r="E1931" s="6" t="s">
        <v>1556</v>
      </c>
      <c r="F1931" s="6" t="s">
        <v>1544</v>
      </c>
      <c r="G1931" s="6" t="str">
        <f aca="false">INDEX(Archetypes!$D$2:$D$127, MATCH(D1931, Archetypes!$A$2:$A$127, 0))</f>
        <v>Cultivator</v>
      </c>
      <c r="H1931" s="6" t="n">
        <f aca="false">ROUND(INDEX(Archetypes!$E$2:$E$127, MATCH(D1931, Archetypes!$A$2:$A$127, 0))*INDEX(Unit_Grades!$B$2:$B$7, MATCH(F1931, Unit_Grades!$A$2:$A$7, 0))*INDEX(Unit_Paths!$B$2:$B$4, MATCH(E1931, Unit_Paths!$A$2:$A$4, 0)),1)</f>
        <v>2520</v>
      </c>
      <c r="I1931" s="6" t="n">
        <f aca="false">ROUND(INDEX(Archetypes!$F$2:$F$127, MATCH(D1931, Archetypes!$A$2:$A$127, 0))*INDEX(Unit_Grades!$B$2:$B$7, MATCH(F1931, Unit_Grades!$A$2:$A$7, 0))*INDEX(Unit_Paths!$C$2:$C$4, MATCH(E1931, Unit_Paths!$A$2:$A$4, 0)),1)</f>
        <v>1488</v>
      </c>
      <c r="J1931" s="6" t="n">
        <f aca="false">ROUND(INDEX(Archetypes!$G$2:$G$127, MATCH(D1931, Archetypes!$A$2:$A$127, 0))*INDEX(Unit_Grades!$B$2:$B$7, MATCH(F1931, Unit_Grades!$A$2:$A$7, 0))*INDEX(Unit_Paths!$D$2:$D$4, MATCH(E1931, Unit_Paths!$A$2:$A$4, 0)),0)</f>
        <v>8640</v>
      </c>
      <c r="K1931" s="6" t="n">
        <f aca="false">ROUND(INDEX(Archetypes!$H$2:$H$127, MATCH(D1931, Archetypes!$A$2:$A$127, 0))*INDEX(Unit_Paths!$E$2:$E$4, MATCH(E1931, Unit_Paths!$A$2:$A$4, 0)),1)</f>
        <v>50</v>
      </c>
      <c r="L1931" s="6" t="n">
        <f aca="false">ROUND(INDEX(Archetypes!$I$2:$I$127, MATCH(D1931, Archetypes!$A$2:$A$127, 0))*INDEX(Unit_Grades!$C$2:$C$7, MATCH(F1931, Unit_Grades!$A$2:$A$7, 0)),1)</f>
        <v>273</v>
      </c>
      <c r="M1931" s="6" t="n">
        <f aca="false">ROUND(INDEX(Archetypes!$J$2:$J$127, MATCH(D1931, Archetypes!$A$2:$A$127, 0))*INDEX(Unit_Grades!$D$2:$D$7, MATCH(F1931, Unit_Grades!$A$2:$A$7, 0)),1)</f>
        <v>211</v>
      </c>
      <c r="N1931" s="6" t="n">
        <f aca="false">ROUND(M1931/24,2)</f>
        <v>8.79</v>
      </c>
    </row>
    <row r="1932" customFormat="false" ht="15" hidden="false" customHeight="true" outlineLevel="0" collapsed="false">
      <c r="A1932" s="6" t="n">
        <v>6</v>
      </c>
      <c r="B1932" s="6" t="s">
        <v>3392</v>
      </c>
      <c r="C1932" s="6" t="s">
        <v>1495</v>
      </c>
      <c r="D1932" s="6" t="str">
        <f aca="false">A1932&amp;"|"&amp;C1932</f>
        <v>6|Sword Intent Legion</v>
      </c>
      <c r="E1932" s="6" t="s">
        <v>1556</v>
      </c>
      <c r="F1932" s="6" t="s">
        <v>1546</v>
      </c>
      <c r="G1932" s="6" t="str">
        <f aca="false">INDEX(Archetypes!$D$2:$D$127, MATCH(D1932, Archetypes!$A$2:$A$127, 0))</f>
        <v>Cultivator</v>
      </c>
      <c r="H1932" s="6" t="n">
        <f aca="false">ROUND(INDEX(Archetypes!$E$2:$E$127, MATCH(D1932, Archetypes!$A$2:$A$127, 0))*INDEX(Unit_Grades!$B$2:$B$7, MATCH(F1932, Unit_Grades!$A$2:$A$7, 0))*INDEX(Unit_Paths!$B$2:$B$4, MATCH(E1932, Unit_Paths!$A$2:$A$4, 0)),1)</f>
        <v>3360</v>
      </c>
      <c r="I1932" s="6" t="n">
        <f aca="false">ROUND(INDEX(Archetypes!$F$2:$F$127, MATCH(D1932, Archetypes!$A$2:$A$127, 0))*INDEX(Unit_Grades!$B$2:$B$7, MATCH(F1932, Unit_Grades!$A$2:$A$7, 0))*INDEX(Unit_Paths!$C$2:$C$4, MATCH(E1932, Unit_Paths!$A$2:$A$4, 0)),1)</f>
        <v>1984</v>
      </c>
      <c r="J1932" s="6" t="n">
        <f aca="false">ROUND(INDEX(Archetypes!$G$2:$G$127, MATCH(D1932, Archetypes!$A$2:$A$127, 0))*INDEX(Unit_Grades!$B$2:$B$7, MATCH(F1932, Unit_Grades!$A$2:$A$7, 0))*INDEX(Unit_Paths!$D$2:$D$4, MATCH(E1932, Unit_Paths!$A$2:$A$4, 0)),0)</f>
        <v>11520</v>
      </c>
      <c r="K1932" s="6" t="n">
        <f aca="false">ROUND(INDEX(Archetypes!$H$2:$H$127, MATCH(D1932, Archetypes!$A$2:$A$127, 0))*INDEX(Unit_Paths!$E$2:$E$4, MATCH(E1932, Unit_Paths!$A$2:$A$4, 0)),1)</f>
        <v>50</v>
      </c>
      <c r="L1932" s="6" t="n">
        <f aca="false">ROUND(INDEX(Archetypes!$I$2:$I$127, MATCH(D1932, Archetypes!$A$2:$A$127, 0))*INDEX(Unit_Grades!$C$2:$C$7, MATCH(F1932, Unit_Grades!$A$2:$A$7, 0)),1)</f>
        <v>364</v>
      </c>
      <c r="M1932" s="6" t="n">
        <f aca="false">ROUND(INDEX(Archetypes!$J$2:$J$127, MATCH(D1932, Archetypes!$A$2:$A$127, 0))*INDEX(Unit_Grades!$D$2:$D$7, MATCH(F1932, Unit_Grades!$A$2:$A$7, 0)),1)</f>
        <v>369.3</v>
      </c>
      <c r="N1932" s="6" t="n">
        <f aca="false">ROUND(M1932/24,2)</f>
        <v>15.39</v>
      </c>
    </row>
    <row r="1933" customFormat="false" ht="15" hidden="false" customHeight="true" outlineLevel="0" collapsed="false">
      <c r="A1933" s="6" t="n">
        <v>6</v>
      </c>
      <c r="B1933" s="6" t="s">
        <v>3393</v>
      </c>
      <c r="C1933" s="6" t="s">
        <v>1495</v>
      </c>
      <c r="D1933" s="6" t="str">
        <f aca="false">A1933&amp;"|"&amp;C1933</f>
        <v>6|Sword Intent Legion</v>
      </c>
      <c r="E1933" s="6" t="s">
        <v>1556</v>
      </c>
      <c r="F1933" s="6" t="s">
        <v>1548</v>
      </c>
      <c r="G1933" s="6" t="str">
        <f aca="false">INDEX(Archetypes!$D$2:$D$127, MATCH(D1933, Archetypes!$A$2:$A$127, 0))</f>
        <v>Cultivator</v>
      </c>
      <c r="H1933" s="6" t="n">
        <f aca="false">ROUND(INDEX(Archetypes!$E$2:$E$127, MATCH(D1933, Archetypes!$A$2:$A$127, 0))*INDEX(Unit_Grades!$B$2:$B$7, MATCH(F1933, Unit_Grades!$A$2:$A$7, 0))*INDEX(Unit_Paths!$B$2:$B$4, MATCH(E1933, Unit_Paths!$A$2:$A$4, 0)),1)</f>
        <v>4410</v>
      </c>
      <c r="I1933" s="6" t="n">
        <f aca="false">ROUND(INDEX(Archetypes!$F$2:$F$127, MATCH(D1933, Archetypes!$A$2:$A$127, 0))*INDEX(Unit_Grades!$B$2:$B$7, MATCH(F1933, Unit_Grades!$A$2:$A$7, 0))*INDEX(Unit_Paths!$C$2:$C$4, MATCH(E1933, Unit_Paths!$A$2:$A$4, 0)),1)</f>
        <v>2604</v>
      </c>
      <c r="J1933" s="6" t="n">
        <f aca="false">ROUND(INDEX(Archetypes!$G$2:$G$127, MATCH(D1933, Archetypes!$A$2:$A$127, 0))*INDEX(Unit_Grades!$B$2:$B$7, MATCH(F1933, Unit_Grades!$A$2:$A$7, 0))*INDEX(Unit_Paths!$D$2:$D$4, MATCH(E1933, Unit_Paths!$A$2:$A$4, 0)),0)</f>
        <v>15120</v>
      </c>
      <c r="K1933" s="6" t="n">
        <f aca="false">ROUND(INDEX(Archetypes!$H$2:$H$127, MATCH(D1933, Archetypes!$A$2:$A$127, 0))*INDEX(Unit_Paths!$E$2:$E$4, MATCH(E1933, Unit_Paths!$A$2:$A$4, 0)),1)</f>
        <v>50</v>
      </c>
      <c r="L1933" s="6" t="n">
        <f aca="false">ROUND(INDEX(Archetypes!$I$2:$I$127, MATCH(D1933, Archetypes!$A$2:$A$127, 0))*INDEX(Unit_Grades!$C$2:$C$7, MATCH(F1933, Unit_Grades!$A$2:$A$7, 0)),1)</f>
        <v>481</v>
      </c>
      <c r="M1933" s="6" t="n">
        <f aca="false">ROUND(INDEX(Archetypes!$J$2:$J$127, MATCH(D1933, Archetypes!$A$2:$A$127, 0))*INDEX(Unit_Grades!$D$2:$D$7, MATCH(F1933, Unit_Grades!$A$2:$A$7, 0)),1)</f>
        <v>633.1</v>
      </c>
      <c r="N1933" s="6" t="n">
        <f aca="false">ROUND(M1933/24,2)</f>
        <v>26.38</v>
      </c>
    </row>
    <row r="1934" customFormat="false" ht="15" hidden="false" customHeight="true" outlineLevel="0" collapsed="false">
      <c r="A1934" s="6" t="n">
        <v>6</v>
      </c>
      <c r="B1934" s="6" t="s">
        <v>3394</v>
      </c>
      <c r="C1934" s="6" t="s">
        <v>1495</v>
      </c>
      <c r="D1934" s="6" t="str">
        <f aca="false">A1934&amp;"|"&amp;C1934</f>
        <v>6|Sword Intent Legion</v>
      </c>
      <c r="E1934" s="6" t="s">
        <v>1558</v>
      </c>
      <c r="F1934" s="6" t="s">
        <v>1538</v>
      </c>
      <c r="G1934" s="6" t="str">
        <f aca="false">INDEX(Archetypes!$D$2:$D$127, MATCH(D1934, Archetypes!$A$2:$A$127, 0))</f>
        <v>Cultivator</v>
      </c>
      <c r="H1934" s="6" t="n">
        <f aca="false">ROUND(INDEX(Archetypes!$E$2:$E$127, MATCH(D1934, Archetypes!$A$2:$A$127, 0))*INDEX(Unit_Grades!$B$2:$B$7, MATCH(F1934, Unit_Grades!$A$2:$A$7, 0))*INDEX(Unit_Paths!$B$2:$B$4, MATCH(E1934, Unit_Paths!$A$2:$A$4, 0)),1)</f>
        <v>1260</v>
      </c>
      <c r="I1934" s="6" t="n">
        <f aca="false">ROUND(INDEX(Archetypes!$F$2:$F$127, MATCH(D1934, Archetypes!$A$2:$A$127, 0))*INDEX(Unit_Grades!$B$2:$B$7, MATCH(F1934, Unit_Grades!$A$2:$A$7, 0))*INDEX(Unit_Paths!$C$2:$C$4, MATCH(E1934, Unit_Paths!$A$2:$A$4, 0)),1)</f>
        <v>527</v>
      </c>
      <c r="J1934" s="6" t="n">
        <f aca="false">ROUND(INDEX(Archetypes!$G$2:$G$127, MATCH(D1934, Archetypes!$A$2:$A$127, 0))*INDEX(Unit_Grades!$B$2:$B$7, MATCH(F1934, Unit_Grades!$A$2:$A$7, 0))*INDEX(Unit_Paths!$D$2:$D$4, MATCH(E1934, Unit_Paths!$A$2:$A$4, 0)),0)</f>
        <v>3420</v>
      </c>
      <c r="K1934" s="6" t="n">
        <f aca="false">ROUND(INDEX(Archetypes!$H$2:$H$127, MATCH(D1934, Archetypes!$A$2:$A$127, 0))*INDEX(Unit_Paths!$E$2:$E$4, MATCH(E1934, Unit_Paths!$A$2:$A$4, 0)),1)</f>
        <v>52.5</v>
      </c>
      <c r="L1934" s="6" t="n">
        <f aca="false">ROUND(INDEX(Archetypes!$I$2:$I$127, MATCH(D1934, Archetypes!$A$2:$A$127, 0))*INDEX(Unit_Grades!$C$2:$C$7, MATCH(F1934, Unit_Grades!$A$2:$A$7, 0)),1)</f>
        <v>130</v>
      </c>
      <c r="M1934" s="6" t="n">
        <f aca="false">ROUND(INDEX(Archetypes!$J$2:$J$127, MATCH(D1934, Archetypes!$A$2:$A$127, 0))*INDEX(Unit_Grades!$D$2:$D$7, MATCH(F1934, Unit_Grades!$A$2:$A$7, 0)),1)</f>
        <v>52.8</v>
      </c>
      <c r="N1934" s="6" t="n">
        <f aca="false">ROUND(M1934/24,2)</f>
        <v>2.2</v>
      </c>
    </row>
    <row r="1935" customFormat="false" ht="15" hidden="false" customHeight="true" outlineLevel="0" collapsed="false">
      <c r="A1935" s="6" t="n">
        <v>6</v>
      </c>
      <c r="B1935" s="6" t="s">
        <v>3395</v>
      </c>
      <c r="C1935" s="6" t="s">
        <v>1495</v>
      </c>
      <c r="D1935" s="6" t="str">
        <f aca="false">A1935&amp;"|"&amp;C1935</f>
        <v>6|Sword Intent Legion</v>
      </c>
      <c r="E1935" s="6" t="s">
        <v>1558</v>
      </c>
      <c r="F1935" s="6" t="s">
        <v>1540</v>
      </c>
      <c r="G1935" s="6" t="str">
        <f aca="false">INDEX(Archetypes!$D$2:$D$127, MATCH(D1935, Archetypes!$A$2:$A$127, 0))</f>
        <v>Cultivator</v>
      </c>
      <c r="H1935" s="6" t="n">
        <f aca="false">ROUND(INDEX(Archetypes!$E$2:$E$127, MATCH(D1935, Archetypes!$A$2:$A$127, 0))*INDEX(Unit_Grades!$B$2:$B$7, MATCH(F1935, Unit_Grades!$A$2:$A$7, 0))*INDEX(Unit_Paths!$B$2:$B$4, MATCH(E1935, Unit_Paths!$A$2:$A$4, 0)),1)</f>
        <v>1701</v>
      </c>
      <c r="I1935" s="6" t="n">
        <f aca="false">ROUND(INDEX(Archetypes!$F$2:$F$127, MATCH(D1935, Archetypes!$A$2:$A$127, 0))*INDEX(Unit_Grades!$B$2:$B$7, MATCH(F1935, Unit_Grades!$A$2:$A$7, 0))*INDEX(Unit_Paths!$C$2:$C$4, MATCH(E1935, Unit_Paths!$A$2:$A$4, 0)),1)</f>
        <v>711.5</v>
      </c>
      <c r="J1935" s="6" t="n">
        <f aca="false">ROUND(INDEX(Archetypes!$G$2:$G$127, MATCH(D1935, Archetypes!$A$2:$A$127, 0))*INDEX(Unit_Grades!$B$2:$B$7, MATCH(F1935, Unit_Grades!$A$2:$A$7, 0))*INDEX(Unit_Paths!$D$2:$D$4, MATCH(E1935, Unit_Paths!$A$2:$A$4, 0)),0)</f>
        <v>4617</v>
      </c>
      <c r="K1935" s="6" t="n">
        <f aca="false">ROUND(INDEX(Archetypes!$H$2:$H$127, MATCH(D1935, Archetypes!$A$2:$A$127, 0))*INDEX(Unit_Paths!$E$2:$E$4, MATCH(E1935, Unit_Paths!$A$2:$A$4, 0)),1)</f>
        <v>52.5</v>
      </c>
      <c r="L1935" s="6" t="n">
        <f aca="false">ROUND(INDEX(Archetypes!$I$2:$I$127, MATCH(D1935, Archetypes!$A$2:$A$127, 0))*INDEX(Unit_Grades!$C$2:$C$7, MATCH(F1935, Unit_Grades!$A$2:$A$7, 0)),1)</f>
        <v>162.5</v>
      </c>
      <c r="M1935" s="6" t="n">
        <f aca="false">ROUND(INDEX(Archetypes!$J$2:$J$127, MATCH(D1935, Archetypes!$A$2:$A$127, 0))*INDEX(Unit_Grades!$D$2:$D$7, MATCH(F1935, Unit_Grades!$A$2:$A$7, 0)),1)</f>
        <v>79.1</v>
      </c>
      <c r="N1935" s="6" t="n">
        <f aca="false">ROUND(M1935/24,2)</f>
        <v>3.3</v>
      </c>
    </row>
    <row r="1936" customFormat="false" ht="15" hidden="false" customHeight="true" outlineLevel="0" collapsed="false">
      <c r="A1936" s="6" t="n">
        <v>6</v>
      </c>
      <c r="B1936" s="6" t="s">
        <v>3396</v>
      </c>
      <c r="C1936" s="6" t="s">
        <v>1495</v>
      </c>
      <c r="D1936" s="6" t="str">
        <f aca="false">A1936&amp;"|"&amp;C1936</f>
        <v>6|Sword Intent Legion</v>
      </c>
      <c r="E1936" s="6" t="s">
        <v>1558</v>
      </c>
      <c r="F1936" s="6" t="s">
        <v>1542</v>
      </c>
      <c r="G1936" s="6" t="str">
        <f aca="false">INDEX(Archetypes!$D$2:$D$127, MATCH(D1936, Archetypes!$A$2:$A$127, 0))</f>
        <v>Cultivator</v>
      </c>
      <c r="H1936" s="6" t="n">
        <f aca="false">ROUND(INDEX(Archetypes!$E$2:$E$127, MATCH(D1936, Archetypes!$A$2:$A$127, 0))*INDEX(Unit_Grades!$B$2:$B$7, MATCH(F1936, Unit_Grades!$A$2:$A$7, 0))*INDEX(Unit_Paths!$B$2:$B$4, MATCH(E1936, Unit_Paths!$A$2:$A$4, 0)),1)</f>
        <v>2268</v>
      </c>
      <c r="I1936" s="6" t="n">
        <f aca="false">ROUND(INDEX(Archetypes!$F$2:$F$127, MATCH(D1936, Archetypes!$A$2:$A$127, 0))*INDEX(Unit_Grades!$B$2:$B$7, MATCH(F1936, Unit_Grades!$A$2:$A$7, 0))*INDEX(Unit_Paths!$C$2:$C$4, MATCH(E1936, Unit_Paths!$A$2:$A$4, 0)),1)</f>
        <v>948.6</v>
      </c>
      <c r="J1936" s="6" t="n">
        <f aca="false">ROUND(INDEX(Archetypes!$G$2:$G$127, MATCH(D1936, Archetypes!$A$2:$A$127, 0))*INDEX(Unit_Grades!$B$2:$B$7, MATCH(F1936, Unit_Grades!$A$2:$A$7, 0))*INDEX(Unit_Paths!$D$2:$D$4, MATCH(E1936, Unit_Paths!$A$2:$A$4, 0)),0)</f>
        <v>6156</v>
      </c>
      <c r="K1936" s="6" t="n">
        <f aca="false">ROUND(INDEX(Archetypes!$H$2:$H$127, MATCH(D1936, Archetypes!$A$2:$A$127, 0))*INDEX(Unit_Paths!$E$2:$E$4, MATCH(E1936, Unit_Paths!$A$2:$A$4, 0)),1)</f>
        <v>52.5</v>
      </c>
      <c r="L1936" s="6" t="n">
        <f aca="false">ROUND(INDEX(Archetypes!$I$2:$I$127, MATCH(D1936, Archetypes!$A$2:$A$127, 0))*INDEX(Unit_Grades!$C$2:$C$7, MATCH(F1936, Unit_Grades!$A$2:$A$7, 0)),1)</f>
        <v>208</v>
      </c>
      <c r="M1936" s="6" t="n">
        <f aca="false">ROUND(INDEX(Archetypes!$J$2:$J$127, MATCH(D1936, Archetypes!$A$2:$A$127, 0))*INDEX(Unit_Grades!$D$2:$D$7, MATCH(F1936, Unit_Grades!$A$2:$A$7, 0)),1)</f>
        <v>131.9</v>
      </c>
      <c r="N1936" s="6" t="n">
        <f aca="false">ROUND(M1936/24,2)</f>
        <v>5.5</v>
      </c>
    </row>
    <row r="1937" customFormat="false" ht="15" hidden="false" customHeight="true" outlineLevel="0" collapsed="false">
      <c r="A1937" s="6" t="n">
        <v>6</v>
      </c>
      <c r="B1937" s="6" t="s">
        <v>3397</v>
      </c>
      <c r="C1937" s="6" t="s">
        <v>1495</v>
      </c>
      <c r="D1937" s="6" t="str">
        <f aca="false">A1937&amp;"|"&amp;C1937</f>
        <v>6|Sword Intent Legion</v>
      </c>
      <c r="E1937" s="6" t="s">
        <v>1558</v>
      </c>
      <c r="F1937" s="6" t="s">
        <v>1544</v>
      </c>
      <c r="G1937" s="6" t="str">
        <f aca="false">INDEX(Archetypes!$D$2:$D$127, MATCH(D1937, Archetypes!$A$2:$A$127, 0))</f>
        <v>Cultivator</v>
      </c>
      <c r="H1937" s="6" t="n">
        <f aca="false">ROUND(INDEX(Archetypes!$E$2:$E$127, MATCH(D1937, Archetypes!$A$2:$A$127, 0))*INDEX(Unit_Grades!$B$2:$B$7, MATCH(F1937, Unit_Grades!$A$2:$A$7, 0))*INDEX(Unit_Paths!$B$2:$B$4, MATCH(E1937, Unit_Paths!$A$2:$A$4, 0)),1)</f>
        <v>3024</v>
      </c>
      <c r="I1937" s="6" t="n">
        <f aca="false">ROUND(INDEX(Archetypes!$F$2:$F$127, MATCH(D1937, Archetypes!$A$2:$A$127, 0))*INDEX(Unit_Grades!$B$2:$B$7, MATCH(F1937, Unit_Grades!$A$2:$A$7, 0))*INDEX(Unit_Paths!$C$2:$C$4, MATCH(E1937, Unit_Paths!$A$2:$A$4, 0)),1)</f>
        <v>1264.8</v>
      </c>
      <c r="J1937" s="6" t="n">
        <f aca="false">ROUND(INDEX(Archetypes!$G$2:$G$127, MATCH(D1937, Archetypes!$A$2:$A$127, 0))*INDEX(Unit_Grades!$B$2:$B$7, MATCH(F1937, Unit_Grades!$A$2:$A$7, 0))*INDEX(Unit_Paths!$D$2:$D$4, MATCH(E1937, Unit_Paths!$A$2:$A$4, 0)),0)</f>
        <v>8208</v>
      </c>
      <c r="K1937" s="6" t="n">
        <f aca="false">ROUND(INDEX(Archetypes!$H$2:$H$127, MATCH(D1937, Archetypes!$A$2:$A$127, 0))*INDEX(Unit_Paths!$E$2:$E$4, MATCH(E1937, Unit_Paths!$A$2:$A$4, 0)),1)</f>
        <v>52.5</v>
      </c>
      <c r="L1937" s="6" t="n">
        <f aca="false">ROUND(INDEX(Archetypes!$I$2:$I$127, MATCH(D1937, Archetypes!$A$2:$A$127, 0))*INDEX(Unit_Grades!$C$2:$C$7, MATCH(F1937, Unit_Grades!$A$2:$A$7, 0)),1)</f>
        <v>273</v>
      </c>
      <c r="M1937" s="6" t="n">
        <f aca="false">ROUND(INDEX(Archetypes!$J$2:$J$127, MATCH(D1937, Archetypes!$A$2:$A$127, 0))*INDEX(Unit_Grades!$D$2:$D$7, MATCH(F1937, Unit_Grades!$A$2:$A$7, 0)),1)</f>
        <v>211</v>
      </c>
      <c r="N1937" s="6" t="n">
        <f aca="false">ROUND(M1937/24,2)</f>
        <v>8.79</v>
      </c>
    </row>
    <row r="1938" customFormat="false" ht="15" hidden="false" customHeight="true" outlineLevel="0" collapsed="false">
      <c r="A1938" s="6" t="n">
        <v>6</v>
      </c>
      <c r="B1938" s="6" t="s">
        <v>3398</v>
      </c>
      <c r="C1938" s="6" t="s">
        <v>1495</v>
      </c>
      <c r="D1938" s="6" t="str">
        <f aca="false">A1938&amp;"|"&amp;C1938</f>
        <v>6|Sword Intent Legion</v>
      </c>
      <c r="E1938" s="6" t="s">
        <v>1558</v>
      </c>
      <c r="F1938" s="6" t="s">
        <v>1546</v>
      </c>
      <c r="G1938" s="6" t="str">
        <f aca="false">INDEX(Archetypes!$D$2:$D$127, MATCH(D1938, Archetypes!$A$2:$A$127, 0))</f>
        <v>Cultivator</v>
      </c>
      <c r="H1938" s="6" t="n">
        <f aca="false">ROUND(INDEX(Archetypes!$E$2:$E$127, MATCH(D1938, Archetypes!$A$2:$A$127, 0))*INDEX(Unit_Grades!$B$2:$B$7, MATCH(F1938, Unit_Grades!$A$2:$A$7, 0))*INDEX(Unit_Paths!$B$2:$B$4, MATCH(E1938, Unit_Paths!$A$2:$A$4, 0)),1)</f>
        <v>4032</v>
      </c>
      <c r="I1938" s="6" t="n">
        <f aca="false">ROUND(INDEX(Archetypes!$F$2:$F$127, MATCH(D1938, Archetypes!$A$2:$A$127, 0))*INDEX(Unit_Grades!$B$2:$B$7, MATCH(F1938, Unit_Grades!$A$2:$A$7, 0))*INDEX(Unit_Paths!$C$2:$C$4, MATCH(E1938, Unit_Paths!$A$2:$A$4, 0)),1)</f>
        <v>1686.4</v>
      </c>
      <c r="J1938" s="6" t="n">
        <f aca="false">ROUND(INDEX(Archetypes!$G$2:$G$127, MATCH(D1938, Archetypes!$A$2:$A$127, 0))*INDEX(Unit_Grades!$B$2:$B$7, MATCH(F1938, Unit_Grades!$A$2:$A$7, 0))*INDEX(Unit_Paths!$D$2:$D$4, MATCH(E1938, Unit_Paths!$A$2:$A$4, 0)),0)</f>
        <v>10944</v>
      </c>
      <c r="K1938" s="6" t="n">
        <f aca="false">ROUND(INDEX(Archetypes!$H$2:$H$127, MATCH(D1938, Archetypes!$A$2:$A$127, 0))*INDEX(Unit_Paths!$E$2:$E$4, MATCH(E1938, Unit_Paths!$A$2:$A$4, 0)),1)</f>
        <v>52.5</v>
      </c>
      <c r="L1938" s="6" t="n">
        <f aca="false">ROUND(INDEX(Archetypes!$I$2:$I$127, MATCH(D1938, Archetypes!$A$2:$A$127, 0))*INDEX(Unit_Grades!$C$2:$C$7, MATCH(F1938, Unit_Grades!$A$2:$A$7, 0)),1)</f>
        <v>364</v>
      </c>
      <c r="M1938" s="6" t="n">
        <f aca="false">ROUND(INDEX(Archetypes!$J$2:$J$127, MATCH(D1938, Archetypes!$A$2:$A$127, 0))*INDEX(Unit_Grades!$D$2:$D$7, MATCH(F1938, Unit_Grades!$A$2:$A$7, 0)),1)</f>
        <v>369.3</v>
      </c>
      <c r="N1938" s="6" t="n">
        <f aca="false">ROUND(M1938/24,2)</f>
        <v>15.39</v>
      </c>
    </row>
    <row r="1939" customFormat="false" ht="15" hidden="false" customHeight="true" outlineLevel="0" collapsed="false">
      <c r="A1939" s="6" t="n">
        <v>6</v>
      </c>
      <c r="B1939" s="6" t="s">
        <v>3399</v>
      </c>
      <c r="C1939" s="6" t="s">
        <v>1495</v>
      </c>
      <c r="D1939" s="6" t="str">
        <f aca="false">A1939&amp;"|"&amp;C1939</f>
        <v>6|Sword Intent Legion</v>
      </c>
      <c r="E1939" s="6" t="s">
        <v>1558</v>
      </c>
      <c r="F1939" s="6" t="s">
        <v>1548</v>
      </c>
      <c r="G1939" s="6" t="str">
        <f aca="false">INDEX(Archetypes!$D$2:$D$127, MATCH(D1939, Archetypes!$A$2:$A$127, 0))</f>
        <v>Cultivator</v>
      </c>
      <c r="H1939" s="6" t="n">
        <f aca="false">ROUND(INDEX(Archetypes!$E$2:$E$127, MATCH(D1939, Archetypes!$A$2:$A$127, 0))*INDEX(Unit_Grades!$B$2:$B$7, MATCH(F1939, Unit_Grades!$A$2:$A$7, 0))*INDEX(Unit_Paths!$B$2:$B$4, MATCH(E1939, Unit_Paths!$A$2:$A$4, 0)),1)</f>
        <v>5292</v>
      </c>
      <c r="I1939" s="6" t="n">
        <f aca="false">ROUND(INDEX(Archetypes!$F$2:$F$127, MATCH(D1939, Archetypes!$A$2:$A$127, 0))*INDEX(Unit_Grades!$B$2:$B$7, MATCH(F1939, Unit_Grades!$A$2:$A$7, 0))*INDEX(Unit_Paths!$C$2:$C$4, MATCH(E1939, Unit_Paths!$A$2:$A$4, 0)),1)</f>
        <v>2213.4</v>
      </c>
      <c r="J1939" s="6" t="n">
        <f aca="false">ROUND(INDEX(Archetypes!$G$2:$G$127, MATCH(D1939, Archetypes!$A$2:$A$127, 0))*INDEX(Unit_Grades!$B$2:$B$7, MATCH(F1939, Unit_Grades!$A$2:$A$7, 0))*INDEX(Unit_Paths!$D$2:$D$4, MATCH(E1939, Unit_Paths!$A$2:$A$4, 0)),0)</f>
        <v>14364</v>
      </c>
      <c r="K1939" s="6" t="n">
        <f aca="false">ROUND(INDEX(Archetypes!$H$2:$H$127, MATCH(D1939, Archetypes!$A$2:$A$127, 0))*INDEX(Unit_Paths!$E$2:$E$4, MATCH(E1939, Unit_Paths!$A$2:$A$4, 0)),1)</f>
        <v>52.5</v>
      </c>
      <c r="L1939" s="6" t="n">
        <f aca="false">ROUND(INDEX(Archetypes!$I$2:$I$127, MATCH(D1939, Archetypes!$A$2:$A$127, 0))*INDEX(Unit_Grades!$C$2:$C$7, MATCH(F1939, Unit_Grades!$A$2:$A$7, 0)),1)</f>
        <v>481</v>
      </c>
      <c r="M1939" s="6" t="n">
        <f aca="false">ROUND(INDEX(Archetypes!$J$2:$J$127, MATCH(D1939, Archetypes!$A$2:$A$127, 0))*INDEX(Unit_Grades!$D$2:$D$7, MATCH(F1939, Unit_Grades!$A$2:$A$7, 0)),1)</f>
        <v>633.1</v>
      </c>
      <c r="N1939" s="6" t="n">
        <f aca="false">ROUND(M1939/24,2)</f>
        <v>26.38</v>
      </c>
    </row>
    <row r="1940" customFormat="false" ht="15" hidden="false" customHeight="true" outlineLevel="0" collapsed="false">
      <c r="A1940" s="6" t="n">
        <v>6</v>
      </c>
      <c r="B1940" s="6" t="s">
        <v>3400</v>
      </c>
      <c r="C1940" s="6" t="s">
        <v>1495</v>
      </c>
      <c r="D1940" s="6" t="str">
        <f aca="false">A1940&amp;"|"&amp;C1940</f>
        <v>6|Sword Intent Legion</v>
      </c>
      <c r="E1940" s="6" t="s">
        <v>1560</v>
      </c>
      <c r="F1940" s="6" t="s">
        <v>1538</v>
      </c>
      <c r="G1940" s="6" t="str">
        <f aca="false">INDEX(Archetypes!$D$2:$D$127, MATCH(D1940, Archetypes!$A$2:$A$127, 0))</f>
        <v>Cultivator</v>
      </c>
      <c r="H1940" s="6" t="n">
        <f aca="false">ROUND(INDEX(Archetypes!$E$2:$E$127, MATCH(D1940, Archetypes!$A$2:$A$127, 0))*INDEX(Unit_Grades!$B$2:$B$7, MATCH(F1940, Unit_Grades!$A$2:$A$7, 0))*INDEX(Unit_Paths!$B$2:$B$4, MATCH(E1940, Unit_Paths!$A$2:$A$4, 0)),1)</f>
        <v>892.5</v>
      </c>
      <c r="I1940" s="6" t="n">
        <f aca="false">ROUND(INDEX(Archetypes!$F$2:$F$127, MATCH(D1940, Archetypes!$A$2:$A$127, 0))*INDEX(Unit_Grades!$B$2:$B$7, MATCH(F1940, Unit_Grades!$A$2:$A$7, 0))*INDEX(Unit_Paths!$C$2:$C$4, MATCH(E1940, Unit_Paths!$A$2:$A$4, 0)),1)</f>
        <v>775</v>
      </c>
      <c r="J1940" s="6" t="n">
        <f aca="false">ROUND(INDEX(Archetypes!$G$2:$G$127, MATCH(D1940, Archetypes!$A$2:$A$127, 0))*INDEX(Unit_Grades!$B$2:$B$7, MATCH(F1940, Unit_Grades!$A$2:$A$7, 0))*INDEX(Unit_Paths!$D$2:$D$4, MATCH(E1940, Unit_Paths!$A$2:$A$4, 0)),0)</f>
        <v>4140</v>
      </c>
      <c r="K1940" s="6" t="n">
        <f aca="false">ROUND(INDEX(Archetypes!$H$2:$H$127, MATCH(D1940, Archetypes!$A$2:$A$127, 0))*INDEX(Unit_Paths!$E$2:$E$4, MATCH(E1940, Unit_Paths!$A$2:$A$4, 0)),1)</f>
        <v>46</v>
      </c>
      <c r="L1940" s="6" t="n">
        <f aca="false">ROUND(INDEX(Archetypes!$I$2:$I$127, MATCH(D1940, Archetypes!$A$2:$A$127, 0))*INDEX(Unit_Grades!$C$2:$C$7, MATCH(F1940, Unit_Grades!$A$2:$A$7, 0)),1)</f>
        <v>130</v>
      </c>
      <c r="M1940" s="6" t="n">
        <f aca="false">ROUND(INDEX(Archetypes!$J$2:$J$127, MATCH(D1940, Archetypes!$A$2:$A$127, 0))*INDEX(Unit_Grades!$D$2:$D$7, MATCH(F1940, Unit_Grades!$A$2:$A$7, 0)),1)</f>
        <v>52.8</v>
      </c>
      <c r="N1940" s="6" t="n">
        <f aca="false">ROUND(M1940/24,2)</f>
        <v>2.2</v>
      </c>
    </row>
    <row r="1941" customFormat="false" ht="15" hidden="false" customHeight="true" outlineLevel="0" collapsed="false">
      <c r="A1941" s="6" t="n">
        <v>6</v>
      </c>
      <c r="B1941" s="6" t="s">
        <v>3401</v>
      </c>
      <c r="C1941" s="6" t="s">
        <v>1495</v>
      </c>
      <c r="D1941" s="6" t="str">
        <f aca="false">A1941&amp;"|"&amp;C1941</f>
        <v>6|Sword Intent Legion</v>
      </c>
      <c r="E1941" s="6" t="s">
        <v>1560</v>
      </c>
      <c r="F1941" s="6" t="s">
        <v>1540</v>
      </c>
      <c r="G1941" s="6" t="str">
        <f aca="false">INDEX(Archetypes!$D$2:$D$127, MATCH(D1941, Archetypes!$A$2:$A$127, 0))</f>
        <v>Cultivator</v>
      </c>
      <c r="H1941" s="6" t="n">
        <f aca="false">ROUND(INDEX(Archetypes!$E$2:$E$127, MATCH(D1941, Archetypes!$A$2:$A$127, 0))*INDEX(Unit_Grades!$B$2:$B$7, MATCH(F1941, Unit_Grades!$A$2:$A$7, 0))*INDEX(Unit_Paths!$B$2:$B$4, MATCH(E1941, Unit_Paths!$A$2:$A$4, 0)),1)</f>
        <v>1204.9</v>
      </c>
      <c r="I1941" s="6" t="n">
        <f aca="false">ROUND(INDEX(Archetypes!$F$2:$F$127, MATCH(D1941, Archetypes!$A$2:$A$127, 0))*INDEX(Unit_Grades!$B$2:$B$7, MATCH(F1941, Unit_Grades!$A$2:$A$7, 0))*INDEX(Unit_Paths!$C$2:$C$4, MATCH(E1941, Unit_Paths!$A$2:$A$4, 0)),1)</f>
        <v>1046.3</v>
      </c>
      <c r="J1941" s="6" t="n">
        <f aca="false">ROUND(INDEX(Archetypes!$G$2:$G$127, MATCH(D1941, Archetypes!$A$2:$A$127, 0))*INDEX(Unit_Grades!$B$2:$B$7, MATCH(F1941, Unit_Grades!$A$2:$A$7, 0))*INDEX(Unit_Paths!$D$2:$D$4, MATCH(E1941, Unit_Paths!$A$2:$A$4, 0)),0)</f>
        <v>5589</v>
      </c>
      <c r="K1941" s="6" t="n">
        <f aca="false">ROUND(INDEX(Archetypes!$H$2:$H$127, MATCH(D1941, Archetypes!$A$2:$A$127, 0))*INDEX(Unit_Paths!$E$2:$E$4, MATCH(E1941, Unit_Paths!$A$2:$A$4, 0)),1)</f>
        <v>46</v>
      </c>
      <c r="L1941" s="6" t="n">
        <f aca="false">ROUND(INDEX(Archetypes!$I$2:$I$127, MATCH(D1941, Archetypes!$A$2:$A$127, 0))*INDEX(Unit_Grades!$C$2:$C$7, MATCH(F1941, Unit_Grades!$A$2:$A$7, 0)),1)</f>
        <v>162.5</v>
      </c>
      <c r="M1941" s="6" t="n">
        <f aca="false">ROUND(INDEX(Archetypes!$J$2:$J$127, MATCH(D1941, Archetypes!$A$2:$A$127, 0))*INDEX(Unit_Grades!$D$2:$D$7, MATCH(F1941, Unit_Grades!$A$2:$A$7, 0)),1)</f>
        <v>79.1</v>
      </c>
      <c r="N1941" s="6" t="n">
        <f aca="false">ROUND(M1941/24,2)</f>
        <v>3.3</v>
      </c>
    </row>
    <row r="1942" customFormat="false" ht="15" hidden="false" customHeight="true" outlineLevel="0" collapsed="false">
      <c r="A1942" s="6" t="n">
        <v>6</v>
      </c>
      <c r="B1942" s="6" t="s">
        <v>3402</v>
      </c>
      <c r="C1942" s="6" t="s">
        <v>1495</v>
      </c>
      <c r="D1942" s="6" t="str">
        <f aca="false">A1942&amp;"|"&amp;C1942</f>
        <v>6|Sword Intent Legion</v>
      </c>
      <c r="E1942" s="6" t="s">
        <v>1560</v>
      </c>
      <c r="F1942" s="6" t="s">
        <v>1542</v>
      </c>
      <c r="G1942" s="6" t="str">
        <f aca="false">INDEX(Archetypes!$D$2:$D$127, MATCH(D1942, Archetypes!$A$2:$A$127, 0))</f>
        <v>Cultivator</v>
      </c>
      <c r="H1942" s="6" t="n">
        <f aca="false">ROUND(INDEX(Archetypes!$E$2:$E$127, MATCH(D1942, Archetypes!$A$2:$A$127, 0))*INDEX(Unit_Grades!$B$2:$B$7, MATCH(F1942, Unit_Grades!$A$2:$A$7, 0))*INDEX(Unit_Paths!$B$2:$B$4, MATCH(E1942, Unit_Paths!$A$2:$A$4, 0)),1)</f>
        <v>1606.5</v>
      </c>
      <c r="I1942" s="6" t="n">
        <f aca="false">ROUND(INDEX(Archetypes!$F$2:$F$127, MATCH(D1942, Archetypes!$A$2:$A$127, 0))*INDEX(Unit_Grades!$B$2:$B$7, MATCH(F1942, Unit_Grades!$A$2:$A$7, 0))*INDEX(Unit_Paths!$C$2:$C$4, MATCH(E1942, Unit_Paths!$A$2:$A$4, 0)),1)</f>
        <v>1395</v>
      </c>
      <c r="J1942" s="6" t="n">
        <f aca="false">ROUND(INDEX(Archetypes!$G$2:$G$127, MATCH(D1942, Archetypes!$A$2:$A$127, 0))*INDEX(Unit_Grades!$B$2:$B$7, MATCH(F1942, Unit_Grades!$A$2:$A$7, 0))*INDEX(Unit_Paths!$D$2:$D$4, MATCH(E1942, Unit_Paths!$A$2:$A$4, 0)),0)</f>
        <v>7452</v>
      </c>
      <c r="K1942" s="6" t="n">
        <f aca="false">ROUND(INDEX(Archetypes!$H$2:$H$127, MATCH(D1942, Archetypes!$A$2:$A$127, 0))*INDEX(Unit_Paths!$E$2:$E$4, MATCH(E1942, Unit_Paths!$A$2:$A$4, 0)),1)</f>
        <v>46</v>
      </c>
      <c r="L1942" s="6" t="n">
        <f aca="false">ROUND(INDEX(Archetypes!$I$2:$I$127, MATCH(D1942, Archetypes!$A$2:$A$127, 0))*INDEX(Unit_Grades!$C$2:$C$7, MATCH(F1942, Unit_Grades!$A$2:$A$7, 0)),1)</f>
        <v>208</v>
      </c>
      <c r="M1942" s="6" t="n">
        <f aca="false">ROUND(INDEX(Archetypes!$J$2:$J$127, MATCH(D1942, Archetypes!$A$2:$A$127, 0))*INDEX(Unit_Grades!$D$2:$D$7, MATCH(F1942, Unit_Grades!$A$2:$A$7, 0)),1)</f>
        <v>131.9</v>
      </c>
      <c r="N1942" s="6" t="n">
        <f aca="false">ROUND(M1942/24,2)</f>
        <v>5.5</v>
      </c>
    </row>
    <row r="1943" customFormat="false" ht="15" hidden="false" customHeight="true" outlineLevel="0" collapsed="false">
      <c r="A1943" s="6" t="n">
        <v>6</v>
      </c>
      <c r="B1943" s="6" t="s">
        <v>3403</v>
      </c>
      <c r="C1943" s="6" t="s">
        <v>1495</v>
      </c>
      <c r="D1943" s="6" t="str">
        <f aca="false">A1943&amp;"|"&amp;C1943</f>
        <v>6|Sword Intent Legion</v>
      </c>
      <c r="E1943" s="6" t="s">
        <v>1560</v>
      </c>
      <c r="F1943" s="6" t="s">
        <v>1544</v>
      </c>
      <c r="G1943" s="6" t="str">
        <f aca="false">INDEX(Archetypes!$D$2:$D$127, MATCH(D1943, Archetypes!$A$2:$A$127, 0))</f>
        <v>Cultivator</v>
      </c>
      <c r="H1943" s="6" t="n">
        <f aca="false">ROUND(INDEX(Archetypes!$E$2:$E$127, MATCH(D1943, Archetypes!$A$2:$A$127, 0))*INDEX(Unit_Grades!$B$2:$B$7, MATCH(F1943, Unit_Grades!$A$2:$A$7, 0))*INDEX(Unit_Paths!$B$2:$B$4, MATCH(E1943, Unit_Paths!$A$2:$A$4, 0)),1)</f>
        <v>2142</v>
      </c>
      <c r="I1943" s="6" t="n">
        <f aca="false">ROUND(INDEX(Archetypes!$F$2:$F$127, MATCH(D1943, Archetypes!$A$2:$A$127, 0))*INDEX(Unit_Grades!$B$2:$B$7, MATCH(F1943, Unit_Grades!$A$2:$A$7, 0))*INDEX(Unit_Paths!$C$2:$C$4, MATCH(E1943, Unit_Paths!$A$2:$A$4, 0)),1)</f>
        <v>1860</v>
      </c>
      <c r="J1943" s="6" t="n">
        <f aca="false">ROUND(INDEX(Archetypes!$G$2:$G$127, MATCH(D1943, Archetypes!$A$2:$A$127, 0))*INDEX(Unit_Grades!$B$2:$B$7, MATCH(F1943, Unit_Grades!$A$2:$A$7, 0))*INDEX(Unit_Paths!$D$2:$D$4, MATCH(E1943, Unit_Paths!$A$2:$A$4, 0)),0)</f>
        <v>9936</v>
      </c>
      <c r="K1943" s="6" t="n">
        <f aca="false">ROUND(INDEX(Archetypes!$H$2:$H$127, MATCH(D1943, Archetypes!$A$2:$A$127, 0))*INDEX(Unit_Paths!$E$2:$E$4, MATCH(E1943, Unit_Paths!$A$2:$A$4, 0)),1)</f>
        <v>46</v>
      </c>
      <c r="L1943" s="6" t="n">
        <f aca="false">ROUND(INDEX(Archetypes!$I$2:$I$127, MATCH(D1943, Archetypes!$A$2:$A$127, 0))*INDEX(Unit_Grades!$C$2:$C$7, MATCH(F1943, Unit_Grades!$A$2:$A$7, 0)),1)</f>
        <v>273</v>
      </c>
      <c r="M1943" s="6" t="n">
        <f aca="false">ROUND(INDEX(Archetypes!$J$2:$J$127, MATCH(D1943, Archetypes!$A$2:$A$127, 0))*INDEX(Unit_Grades!$D$2:$D$7, MATCH(F1943, Unit_Grades!$A$2:$A$7, 0)),1)</f>
        <v>211</v>
      </c>
      <c r="N1943" s="6" t="n">
        <f aca="false">ROUND(M1943/24,2)</f>
        <v>8.79</v>
      </c>
    </row>
    <row r="1944" customFormat="false" ht="15" hidden="false" customHeight="true" outlineLevel="0" collapsed="false">
      <c r="A1944" s="6" t="n">
        <v>6</v>
      </c>
      <c r="B1944" s="6" t="s">
        <v>3404</v>
      </c>
      <c r="C1944" s="6" t="s">
        <v>1495</v>
      </c>
      <c r="D1944" s="6" t="str">
        <f aca="false">A1944&amp;"|"&amp;C1944</f>
        <v>6|Sword Intent Legion</v>
      </c>
      <c r="E1944" s="6" t="s">
        <v>1560</v>
      </c>
      <c r="F1944" s="6" t="s">
        <v>1546</v>
      </c>
      <c r="G1944" s="6" t="str">
        <f aca="false">INDEX(Archetypes!$D$2:$D$127, MATCH(D1944, Archetypes!$A$2:$A$127, 0))</f>
        <v>Cultivator</v>
      </c>
      <c r="H1944" s="6" t="n">
        <f aca="false">ROUND(INDEX(Archetypes!$E$2:$E$127, MATCH(D1944, Archetypes!$A$2:$A$127, 0))*INDEX(Unit_Grades!$B$2:$B$7, MATCH(F1944, Unit_Grades!$A$2:$A$7, 0))*INDEX(Unit_Paths!$B$2:$B$4, MATCH(E1944, Unit_Paths!$A$2:$A$4, 0)),1)</f>
        <v>2856</v>
      </c>
      <c r="I1944" s="6" t="n">
        <f aca="false">ROUND(INDEX(Archetypes!$F$2:$F$127, MATCH(D1944, Archetypes!$A$2:$A$127, 0))*INDEX(Unit_Grades!$B$2:$B$7, MATCH(F1944, Unit_Grades!$A$2:$A$7, 0))*INDEX(Unit_Paths!$C$2:$C$4, MATCH(E1944, Unit_Paths!$A$2:$A$4, 0)),1)</f>
        <v>2480</v>
      </c>
      <c r="J1944" s="6" t="n">
        <f aca="false">ROUND(INDEX(Archetypes!$G$2:$G$127, MATCH(D1944, Archetypes!$A$2:$A$127, 0))*INDEX(Unit_Grades!$B$2:$B$7, MATCH(F1944, Unit_Grades!$A$2:$A$7, 0))*INDEX(Unit_Paths!$D$2:$D$4, MATCH(E1944, Unit_Paths!$A$2:$A$4, 0)),0)</f>
        <v>13248</v>
      </c>
      <c r="K1944" s="6" t="n">
        <f aca="false">ROUND(INDEX(Archetypes!$H$2:$H$127, MATCH(D1944, Archetypes!$A$2:$A$127, 0))*INDEX(Unit_Paths!$E$2:$E$4, MATCH(E1944, Unit_Paths!$A$2:$A$4, 0)),1)</f>
        <v>46</v>
      </c>
      <c r="L1944" s="6" t="n">
        <f aca="false">ROUND(INDEX(Archetypes!$I$2:$I$127, MATCH(D1944, Archetypes!$A$2:$A$127, 0))*INDEX(Unit_Grades!$C$2:$C$7, MATCH(F1944, Unit_Grades!$A$2:$A$7, 0)),1)</f>
        <v>364</v>
      </c>
      <c r="M1944" s="6" t="n">
        <f aca="false">ROUND(INDEX(Archetypes!$J$2:$J$127, MATCH(D1944, Archetypes!$A$2:$A$127, 0))*INDEX(Unit_Grades!$D$2:$D$7, MATCH(F1944, Unit_Grades!$A$2:$A$7, 0)),1)</f>
        <v>369.3</v>
      </c>
      <c r="N1944" s="6" t="n">
        <f aca="false">ROUND(M1944/24,2)</f>
        <v>15.39</v>
      </c>
    </row>
    <row r="1945" customFormat="false" ht="15" hidden="false" customHeight="true" outlineLevel="0" collapsed="false">
      <c r="A1945" s="6" t="n">
        <v>6</v>
      </c>
      <c r="B1945" s="6" t="s">
        <v>3405</v>
      </c>
      <c r="C1945" s="6" t="s">
        <v>1495</v>
      </c>
      <c r="D1945" s="6" t="str">
        <f aca="false">A1945&amp;"|"&amp;C1945</f>
        <v>6|Sword Intent Legion</v>
      </c>
      <c r="E1945" s="6" t="s">
        <v>1560</v>
      </c>
      <c r="F1945" s="6" t="s">
        <v>1548</v>
      </c>
      <c r="G1945" s="6" t="str">
        <f aca="false">INDEX(Archetypes!$D$2:$D$127, MATCH(D1945, Archetypes!$A$2:$A$127, 0))</f>
        <v>Cultivator</v>
      </c>
      <c r="H1945" s="6" t="n">
        <f aca="false">ROUND(INDEX(Archetypes!$E$2:$E$127, MATCH(D1945, Archetypes!$A$2:$A$127, 0))*INDEX(Unit_Grades!$B$2:$B$7, MATCH(F1945, Unit_Grades!$A$2:$A$7, 0))*INDEX(Unit_Paths!$B$2:$B$4, MATCH(E1945, Unit_Paths!$A$2:$A$4, 0)),1)</f>
        <v>3748.5</v>
      </c>
      <c r="I1945" s="6" t="n">
        <f aca="false">ROUND(INDEX(Archetypes!$F$2:$F$127, MATCH(D1945, Archetypes!$A$2:$A$127, 0))*INDEX(Unit_Grades!$B$2:$B$7, MATCH(F1945, Unit_Grades!$A$2:$A$7, 0))*INDEX(Unit_Paths!$C$2:$C$4, MATCH(E1945, Unit_Paths!$A$2:$A$4, 0)),1)</f>
        <v>3255</v>
      </c>
      <c r="J1945" s="6" t="n">
        <f aca="false">ROUND(INDEX(Archetypes!$G$2:$G$127, MATCH(D1945, Archetypes!$A$2:$A$127, 0))*INDEX(Unit_Grades!$B$2:$B$7, MATCH(F1945, Unit_Grades!$A$2:$A$7, 0))*INDEX(Unit_Paths!$D$2:$D$4, MATCH(E1945, Unit_Paths!$A$2:$A$4, 0)),0)</f>
        <v>17388</v>
      </c>
      <c r="K1945" s="6" t="n">
        <f aca="false">ROUND(INDEX(Archetypes!$H$2:$H$127, MATCH(D1945, Archetypes!$A$2:$A$127, 0))*INDEX(Unit_Paths!$E$2:$E$4, MATCH(E1945, Unit_Paths!$A$2:$A$4, 0)),1)</f>
        <v>46</v>
      </c>
      <c r="L1945" s="6" t="n">
        <f aca="false">ROUND(INDEX(Archetypes!$I$2:$I$127, MATCH(D1945, Archetypes!$A$2:$A$127, 0))*INDEX(Unit_Grades!$C$2:$C$7, MATCH(F1945, Unit_Grades!$A$2:$A$7, 0)),1)</f>
        <v>481</v>
      </c>
      <c r="M1945" s="6" t="n">
        <f aca="false">ROUND(INDEX(Archetypes!$J$2:$J$127, MATCH(D1945, Archetypes!$A$2:$A$127, 0))*INDEX(Unit_Grades!$D$2:$D$7, MATCH(F1945, Unit_Grades!$A$2:$A$7, 0)),1)</f>
        <v>633.1</v>
      </c>
      <c r="N1945" s="6" t="n">
        <f aca="false">ROUND(M1945/24,2)</f>
        <v>26.38</v>
      </c>
    </row>
    <row r="1946" customFormat="false" ht="15" hidden="false" customHeight="true" outlineLevel="0" collapsed="false">
      <c r="A1946" s="6" t="n">
        <v>7</v>
      </c>
      <c r="B1946" s="6" t="s">
        <v>1497</v>
      </c>
      <c r="C1946" s="6" t="s">
        <v>1497</v>
      </c>
      <c r="D1946" s="6" t="str">
        <f aca="false">A1946&amp;"|"&amp;C1946</f>
        <v>7|Lattice Line Ship</v>
      </c>
      <c r="E1946" s="6" t="s">
        <v>1556</v>
      </c>
      <c r="F1946" s="6" t="s">
        <v>1538</v>
      </c>
      <c r="G1946" s="6" t="str">
        <f aca="false">INDEX(Archetypes!$D$2:$D$127, MATCH(D1946, Archetypes!$A$2:$A$127, 0))</f>
        <v>Line Warship</v>
      </c>
      <c r="H1946" s="6" t="n">
        <f aca="false">ROUND(INDEX(Archetypes!$E$2:$E$127, MATCH(D1946, Archetypes!$A$2:$A$127, 0))*INDEX(Unit_Grades!$B$2:$B$7, MATCH(F1946, Unit_Grades!$A$2:$A$7, 0))*INDEX(Unit_Paths!$B$2:$B$4, MATCH(E1946, Unit_Paths!$A$2:$A$4, 0)),1)</f>
        <v>1600</v>
      </c>
      <c r="I1946" s="6" t="n">
        <f aca="false">ROUND(INDEX(Archetypes!$F$2:$F$127, MATCH(D1946, Archetypes!$A$2:$A$127, 0))*INDEX(Unit_Grades!$B$2:$B$7, MATCH(F1946, Unit_Grades!$A$2:$A$7, 0))*INDEX(Unit_Paths!$C$2:$C$4, MATCH(E1946, Unit_Paths!$A$2:$A$4, 0)),1)</f>
        <v>1200</v>
      </c>
      <c r="J1946" s="6" t="n">
        <f aca="false">ROUND(INDEX(Archetypes!$G$2:$G$127, MATCH(D1946, Archetypes!$A$2:$A$127, 0))*INDEX(Unit_Grades!$B$2:$B$7, MATCH(F1946, Unit_Grades!$A$2:$A$7, 0))*INDEX(Unit_Paths!$D$2:$D$4, MATCH(E1946, Unit_Paths!$A$2:$A$4, 0)),0)</f>
        <v>7000</v>
      </c>
      <c r="K1946" s="6" t="n">
        <f aca="false">ROUND(INDEX(Archetypes!$H$2:$H$127, MATCH(D1946, Archetypes!$A$2:$A$127, 0))*INDEX(Unit_Paths!$E$2:$E$4, MATCH(E1946, Unit_Paths!$A$2:$A$4, 0)),1)</f>
        <v>70</v>
      </c>
      <c r="L1946" s="6" t="n">
        <f aca="false">ROUND(INDEX(Archetypes!$I$2:$I$127, MATCH(D1946, Archetypes!$A$2:$A$127, 0))*INDEX(Unit_Grades!$C$2:$C$7, MATCH(F1946, Unit_Grades!$A$2:$A$7, 0)),1)</f>
        <v>180</v>
      </c>
      <c r="M1946" s="6" t="n">
        <f aca="false">ROUND(INDEX(Archetypes!$J$2:$J$127, MATCH(D1946, Archetypes!$A$2:$A$127, 0))*INDEX(Unit_Grades!$D$2:$D$7, MATCH(F1946, Unit_Grades!$A$2:$A$7, 0)),1)</f>
        <v>73.1</v>
      </c>
      <c r="N1946" s="6" t="n">
        <f aca="false">ROUND(M1946/24,2)</f>
        <v>3.05</v>
      </c>
    </row>
    <row r="1947" customFormat="false" ht="15" hidden="false" customHeight="true" outlineLevel="0" collapsed="false">
      <c r="A1947" s="6" t="n">
        <v>7</v>
      </c>
      <c r="B1947" s="6" t="s">
        <v>3406</v>
      </c>
      <c r="C1947" s="6" t="s">
        <v>1497</v>
      </c>
      <c r="D1947" s="6" t="str">
        <f aca="false">A1947&amp;"|"&amp;C1947</f>
        <v>7|Lattice Line Ship</v>
      </c>
      <c r="E1947" s="6" t="s">
        <v>1556</v>
      </c>
      <c r="F1947" s="6" t="s">
        <v>1540</v>
      </c>
      <c r="G1947" s="6" t="str">
        <f aca="false">INDEX(Archetypes!$D$2:$D$127, MATCH(D1947, Archetypes!$A$2:$A$127, 0))</f>
        <v>Line Warship</v>
      </c>
      <c r="H1947" s="6" t="n">
        <f aca="false">ROUND(INDEX(Archetypes!$E$2:$E$127, MATCH(D1947, Archetypes!$A$2:$A$127, 0))*INDEX(Unit_Grades!$B$2:$B$7, MATCH(F1947, Unit_Grades!$A$2:$A$7, 0))*INDEX(Unit_Paths!$B$2:$B$4, MATCH(E1947, Unit_Paths!$A$2:$A$4, 0)),1)</f>
        <v>2160</v>
      </c>
      <c r="I1947" s="6" t="n">
        <f aca="false">ROUND(INDEX(Archetypes!$F$2:$F$127, MATCH(D1947, Archetypes!$A$2:$A$127, 0))*INDEX(Unit_Grades!$B$2:$B$7, MATCH(F1947, Unit_Grades!$A$2:$A$7, 0))*INDEX(Unit_Paths!$C$2:$C$4, MATCH(E1947, Unit_Paths!$A$2:$A$4, 0)),1)</f>
        <v>1620</v>
      </c>
      <c r="J1947" s="6" t="n">
        <f aca="false">ROUND(INDEX(Archetypes!$G$2:$G$127, MATCH(D1947, Archetypes!$A$2:$A$127, 0))*INDEX(Unit_Grades!$B$2:$B$7, MATCH(F1947, Unit_Grades!$A$2:$A$7, 0))*INDEX(Unit_Paths!$D$2:$D$4, MATCH(E1947, Unit_Paths!$A$2:$A$4, 0)),0)</f>
        <v>9450</v>
      </c>
      <c r="K1947" s="6" t="n">
        <f aca="false">ROUND(INDEX(Archetypes!$H$2:$H$127, MATCH(D1947, Archetypes!$A$2:$A$127, 0))*INDEX(Unit_Paths!$E$2:$E$4, MATCH(E1947, Unit_Paths!$A$2:$A$4, 0)),1)</f>
        <v>70</v>
      </c>
      <c r="L1947" s="6" t="n">
        <f aca="false">ROUND(INDEX(Archetypes!$I$2:$I$127, MATCH(D1947, Archetypes!$A$2:$A$127, 0))*INDEX(Unit_Grades!$C$2:$C$7, MATCH(F1947, Unit_Grades!$A$2:$A$7, 0)),1)</f>
        <v>225</v>
      </c>
      <c r="M1947" s="6" t="n">
        <f aca="false">ROUND(INDEX(Archetypes!$J$2:$J$127, MATCH(D1947, Archetypes!$A$2:$A$127, 0))*INDEX(Unit_Grades!$D$2:$D$7, MATCH(F1947, Unit_Grades!$A$2:$A$7, 0)),1)</f>
        <v>109.6</v>
      </c>
      <c r="N1947" s="6" t="n">
        <f aca="false">ROUND(M1947/24,2)</f>
        <v>4.57</v>
      </c>
    </row>
    <row r="1948" customFormat="false" ht="15" hidden="false" customHeight="true" outlineLevel="0" collapsed="false">
      <c r="A1948" s="6" t="n">
        <v>7</v>
      </c>
      <c r="B1948" s="6" t="s">
        <v>3407</v>
      </c>
      <c r="C1948" s="6" t="s">
        <v>1497</v>
      </c>
      <c r="D1948" s="6" t="str">
        <f aca="false">A1948&amp;"|"&amp;C1948</f>
        <v>7|Lattice Line Ship</v>
      </c>
      <c r="E1948" s="6" t="s">
        <v>1556</v>
      </c>
      <c r="F1948" s="6" t="s">
        <v>1542</v>
      </c>
      <c r="G1948" s="6" t="str">
        <f aca="false">INDEX(Archetypes!$D$2:$D$127, MATCH(D1948, Archetypes!$A$2:$A$127, 0))</f>
        <v>Line Warship</v>
      </c>
      <c r="H1948" s="6" t="n">
        <f aca="false">ROUND(INDEX(Archetypes!$E$2:$E$127, MATCH(D1948, Archetypes!$A$2:$A$127, 0))*INDEX(Unit_Grades!$B$2:$B$7, MATCH(F1948, Unit_Grades!$A$2:$A$7, 0))*INDEX(Unit_Paths!$B$2:$B$4, MATCH(E1948, Unit_Paths!$A$2:$A$4, 0)),1)</f>
        <v>2880</v>
      </c>
      <c r="I1948" s="6" t="n">
        <f aca="false">ROUND(INDEX(Archetypes!$F$2:$F$127, MATCH(D1948, Archetypes!$A$2:$A$127, 0))*INDEX(Unit_Grades!$B$2:$B$7, MATCH(F1948, Unit_Grades!$A$2:$A$7, 0))*INDEX(Unit_Paths!$C$2:$C$4, MATCH(E1948, Unit_Paths!$A$2:$A$4, 0)),1)</f>
        <v>2160</v>
      </c>
      <c r="J1948" s="6" t="n">
        <f aca="false">ROUND(INDEX(Archetypes!$G$2:$G$127, MATCH(D1948, Archetypes!$A$2:$A$127, 0))*INDEX(Unit_Grades!$B$2:$B$7, MATCH(F1948, Unit_Grades!$A$2:$A$7, 0))*INDEX(Unit_Paths!$D$2:$D$4, MATCH(E1948, Unit_Paths!$A$2:$A$4, 0)),0)</f>
        <v>12600</v>
      </c>
      <c r="K1948" s="6" t="n">
        <f aca="false">ROUND(INDEX(Archetypes!$H$2:$H$127, MATCH(D1948, Archetypes!$A$2:$A$127, 0))*INDEX(Unit_Paths!$E$2:$E$4, MATCH(E1948, Unit_Paths!$A$2:$A$4, 0)),1)</f>
        <v>70</v>
      </c>
      <c r="L1948" s="6" t="n">
        <f aca="false">ROUND(INDEX(Archetypes!$I$2:$I$127, MATCH(D1948, Archetypes!$A$2:$A$127, 0))*INDEX(Unit_Grades!$C$2:$C$7, MATCH(F1948, Unit_Grades!$A$2:$A$7, 0)),1)</f>
        <v>288</v>
      </c>
      <c r="M1948" s="6" t="n">
        <f aca="false">ROUND(INDEX(Archetypes!$J$2:$J$127, MATCH(D1948, Archetypes!$A$2:$A$127, 0))*INDEX(Unit_Grades!$D$2:$D$7, MATCH(F1948, Unit_Grades!$A$2:$A$7, 0)),1)</f>
        <v>182.6</v>
      </c>
      <c r="N1948" s="6" t="n">
        <f aca="false">ROUND(M1948/24,2)</f>
        <v>7.61</v>
      </c>
    </row>
    <row r="1949" customFormat="false" ht="15" hidden="false" customHeight="true" outlineLevel="0" collapsed="false">
      <c r="A1949" s="6" t="n">
        <v>7</v>
      </c>
      <c r="B1949" s="6" t="s">
        <v>3408</v>
      </c>
      <c r="C1949" s="6" t="s">
        <v>1497</v>
      </c>
      <c r="D1949" s="6" t="str">
        <f aca="false">A1949&amp;"|"&amp;C1949</f>
        <v>7|Lattice Line Ship</v>
      </c>
      <c r="E1949" s="6" t="s">
        <v>1556</v>
      </c>
      <c r="F1949" s="6" t="s">
        <v>1544</v>
      </c>
      <c r="G1949" s="6" t="str">
        <f aca="false">INDEX(Archetypes!$D$2:$D$127, MATCH(D1949, Archetypes!$A$2:$A$127, 0))</f>
        <v>Line Warship</v>
      </c>
      <c r="H1949" s="6" t="n">
        <f aca="false">ROUND(INDEX(Archetypes!$E$2:$E$127, MATCH(D1949, Archetypes!$A$2:$A$127, 0))*INDEX(Unit_Grades!$B$2:$B$7, MATCH(F1949, Unit_Grades!$A$2:$A$7, 0))*INDEX(Unit_Paths!$B$2:$B$4, MATCH(E1949, Unit_Paths!$A$2:$A$4, 0)),1)</f>
        <v>3840</v>
      </c>
      <c r="I1949" s="6" t="n">
        <f aca="false">ROUND(INDEX(Archetypes!$F$2:$F$127, MATCH(D1949, Archetypes!$A$2:$A$127, 0))*INDEX(Unit_Grades!$B$2:$B$7, MATCH(F1949, Unit_Grades!$A$2:$A$7, 0))*INDEX(Unit_Paths!$C$2:$C$4, MATCH(E1949, Unit_Paths!$A$2:$A$4, 0)),1)</f>
        <v>2880</v>
      </c>
      <c r="J1949" s="6" t="n">
        <f aca="false">ROUND(INDEX(Archetypes!$G$2:$G$127, MATCH(D1949, Archetypes!$A$2:$A$127, 0))*INDEX(Unit_Grades!$B$2:$B$7, MATCH(F1949, Unit_Grades!$A$2:$A$7, 0))*INDEX(Unit_Paths!$D$2:$D$4, MATCH(E1949, Unit_Paths!$A$2:$A$4, 0)),0)</f>
        <v>16800</v>
      </c>
      <c r="K1949" s="6" t="n">
        <f aca="false">ROUND(INDEX(Archetypes!$H$2:$H$127, MATCH(D1949, Archetypes!$A$2:$A$127, 0))*INDEX(Unit_Paths!$E$2:$E$4, MATCH(E1949, Unit_Paths!$A$2:$A$4, 0)),1)</f>
        <v>70</v>
      </c>
      <c r="L1949" s="6" t="n">
        <f aca="false">ROUND(INDEX(Archetypes!$I$2:$I$127, MATCH(D1949, Archetypes!$A$2:$A$127, 0))*INDEX(Unit_Grades!$C$2:$C$7, MATCH(F1949, Unit_Grades!$A$2:$A$7, 0)),1)</f>
        <v>378</v>
      </c>
      <c r="M1949" s="6" t="n">
        <f aca="false">ROUND(INDEX(Archetypes!$J$2:$J$127, MATCH(D1949, Archetypes!$A$2:$A$127, 0))*INDEX(Unit_Grades!$D$2:$D$7, MATCH(F1949, Unit_Grades!$A$2:$A$7, 0)),1)</f>
        <v>292.2</v>
      </c>
      <c r="N1949" s="6" t="n">
        <f aca="false">ROUND(M1949/24,2)</f>
        <v>12.18</v>
      </c>
    </row>
    <row r="1950" customFormat="false" ht="15" hidden="false" customHeight="true" outlineLevel="0" collapsed="false">
      <c r="A1950" s="6" t="n">
        <v>7</v>
      </c>
      <c r="B1950" s="6" t="s">
        <v>3409</v>
      </c>
      <c r="C1950" s="6" t="s">
        <v>1497</v>
      </c>
      <c r="D1950" s="6" t="str">
        <f aca="false">A1950&amp;"|"&amp;C1950</f>
        <v>7|Lattice Line Ship</v>
      </c>
      <c r="E1950" s="6" t="s">
        <v>1556</v>
      </c>
      <c r="F1950" s="6" t="s">
        <v>1546</v>
      </c>
      <c r="G1950" s="6" t="str">
        <f aca="false">INDEX(Archetypes!$D$2:$D$127, MATCH(D1950, Archetypes!$A$2:$A$127, 0))</f>
        <v>Line Warship</v>
      </c>
      <c r="H1950" s="6" t="n">
        <f aca="false">ROUND(INDEX(Archetypes!$E$2:$E$127, MATCH(D1950, Archetypes!$A$2:$A$127, 0))*INDEX(Unit_Grades!$B$2:$B$7, MATCH(F1950, Unit_Grades!$A$2:$A$7, 0))*INDEX(Unit_Paths!$B$2:$B$4, MATCH(E1950, Unit_Paths!$A$2:$A$4, 0)),1)</f>
        <v>5120</v>
      </c>
      <c r="I1950" s="6" t="n">
        <f aca="false">ROUND(INDEX(Archetypes!$F$2:$F$127, MATCH(D1950, Archetypes!$A$2:$A$127, 0))*INDEX(Unit_Grades!$B$2:$B$7, MATCH(F1950, Unit_Grades!$A$2:$A$7, 0))*INDEX(Unit_Paths!$C$2:$C$4, MATCH(E1950, Unit_Paths!$A$2:$A$4, 0)),1)</f>
        <v>3840</v>
      </c>
      <c r="J1950" s="6" t="n">
        <f aca="false">ROUND(INDEX(Archetypes!$G$2:$G$127, MATCH(D1950, Archetypes!$A$2:$A$127, 0))*INDEX(Unit_Grades!$B$2:$B$7, MATCH(F1950, Unit_Grades!$A$2:$A$7, 0))*INDEX(Unit_Paths!$D$2:$D$4, MATCH(E1950, Unit_Paths!$A$2:$A$4, 0)),0)</f>
        <v>22400</v>
      </c>
      <c r="K1950" s="6" t="n">
        <f aca="false">ROUND(INDEX(Archetypes!$H$2:$H$127, MATCH(D1950, Archetypes!$A$2:$A$127, 0))*INDEX(Unit_Paths!$E$2:$E$4, MATCH(E1950, Unit_Paths!$A$2:$A$4, 0)),1)</f>
        <v>70</v>
      </c>
      <c r="L1950" s="6" t="n">
        <f aca="false">ROUND(INDEX(Archetypes!$I$2:$I$127, MATCH(D1950, Archetypes!$A$2:$A$127, 0))*INDEX(Unit_Grades!$C$2:$C$7, MATCH(F1950, Unit_Grades!$A$2:$A$7, 0)),1)</f>
        <v>504</v>
      </c>
      <c r="M1950" s="6" t="n">
        <f aca="false">ROUND(INDEX(Archetypes!$J$2:$J$127, MATCH(D1950, Archetypes!$A$2:$A$127, 0))*INDEX(Unit_Grades!$D$2:$D$7, MATCH(F1950, Unit_Grades!$A$2:$A$7, 0)),1)</f>
        <v>511.4</v>
      </c>
      <c r="N1950" s="6" t="n">
        <f aca="false">ROUND(M1950/24,2)</f>
        <v>21.31</v>
      </c>
    </row>
    <row r="1951" customFormat="false" ht="15" hidden="false" customHeight="true" outlineLevel="0" collapsed="false">
      <c r="A1951" s="6" t="n">
        <v>7</v>
      </c>
      <c r="B1951" s="6" t="s">
        <v>3410</v>
      </c>
      <c r="C1951" s="6" t="s">
        <v>1497</v>
      </c>
      <c r="D1951" s="6" t="str">
        <f aca="false">A1951&amp;"|"&amp;C1951</f>
        <v>7|Lattice Line Ship</v>
      </c>
      <c r="E1951" s="6" t="s">
        <v>1556</v>
      </c>
      <c r="F1951" s="6" t="s">
        <v>1548</v>
      </c>
      <c r="G1951" s="6" t="str">
        <f aca="false">INDEX(Archetypes!$D$2:$D$127, MATCH(D1951, Archetypes!$A$2:$A$127, 0))</f>
        <v>Line Warship</v>
      </c>
      <c r="H1951" s="6" t="n">
        <f aca="false">ROUND(INDEX(Archetypes!$E$2:$E$127, MATCH(D1951, Archetypes!$A$2:$A$127, 0))*INDEX(Unit_Grades!$B$2:$B$7, MATCH(F1951, Unit_Grades!$A$2:$A$7, 0))*INDEX(Unit_Paths!$B$2:$B$4, MATCH(E1951, Unit_Paths!$A$2:$A$4, 0)),1)</f>
        <v>6720</v>
      </c>
      <c r="I1951" s="6" t="n">
        <f aca="false">ROUND(INDEX(Archetypes!$F$2:$F$127, MATCH(D1951, Archetypes!$A$2:$A$127, 0))*INDEX(Unit_Grades!$B$2:$B$7, MATCH(F1951, Unit_Grades!$A$2:$A$7, 0))*INDEX(Unit_Paths!$C$2:$C$4, MATCH(E1951, Unit_Paths!$A$2:$A$4, 0)),1)</f>
        <v>5040</v>
      </c>
      <c r="J1951" s="6" t="n">
        <f aca="false">ROUND(INDEX(Archetypes!$G$2:$G$127, MATCH(D1951, Archetypes!$A$2:$A$127, 0))*INDEX(Unit_Grades!$B$2:$B$7, MATCH(F1951, Unit_Grades!$A$2:$A$7, 0))*INDEX(Unit_Paths!$D$2:$D$4, MATCH(E1951, Unit_Paths!$A$2:$A$4, 0)),0)</f>
        <v>29400</v>
      </c>
      <c r="K1951" s="6" t="n">
        <f aca="false">ROUND(INDEX(Archetypes!$H$2:$H$127, MATCH(D1951, Archetypes!$A$2:$A$127, 0))*INDEX(Unit_Paths!$E$2:$E$4, MATCH(E1951, Unit_Paths!$A$2:$A$4, 0)),1)</f>
        <v>70</v>
      </c>
      <c r="L1951" s="6" t="n">
        <f aca="false">ROUND(INDEX(Archetypes!$I$2:$I$127, MATCH(D1951, Archetypes!$A$2:$A$127, 0))*INDEX(Unit_Grades!$C$2:$C$7, MATCH(F1951, Unit_Grades!$A$2:$A$7, 0)),1)</f>
        <v>666</v>
      </c>
      <c r="M1951" s="6" t="n">
        <f aca="false">ROUND(INDEX(Archetypes!$J$2:$J$127, MATCH(D1951, Archetypes!$A$2:$A$127, 0))*INDEX(Unit_Grades!$D$2:$D$7, MATCH(F1951, Unit_Grades!$A$2:$A$7, 0)),1)</f>
        <v>876.6</v>
      </c>
      <c r="N1951" s="6" t="n">
        <f aca="false">ROUND(M1951/24,2)</f>
        <v>36.53</v>
      </c>
    </row>
    <row r="1952" customFormat="false" ht="15" hidden="false" customHeight="true" outlineLevel="0" collapsed="false">
      <c r="A1952" s="6" t="n">
        <v>7</v>
      </c>
      <c r="B1952" s="6" t="s">
        <v>3411</v>
      </c>
      <c r="C1952" s="6" t="s">
        <v>1497</v>
      </c>
      <c r="D1952" s="6" t="str">
        <f aca="false">A1952&amp;"|"&amp;C1952</f>
        <v>7|Lattice Line Ship</v>
      </c>
      <c r="E1952" s="6" t="s">
        <v>1558</v>
      </c>
      <c r="F1952" s="6" t="s">
        <v>1538</v>
      </c>
      <c r="G1952" s="6" t="str">
        <f aca="false">INDEX(Archetypes!$D$2:$D$127, MATCH(D1952, Archetypes!$A$2:$A$127, 0))</f>
        <v>Line Warship</v>
      </c>
      <c r="H1952" s="6" t="n">
        <f aca="false">ROUND(INDEX(Archetypes!$E$2:$E$127, MATCH(D1952, Archetypes!$A$2:$A$127, 0))*INDEX(Unit_Grades!$B$2:$B$7, MATCH(F1952, Unit_Grades!$A$2:$A$7, 0))*INDEX(Unit_Paths!$B$2:$B$4, MATCH(E1952, Unit_Paths!$A$2:$A$4, 0)),1)</f>
        <v>1920</v>
      </c>
      <c r="I1952" s="6" t="n">
        <f aca="false">ROUND(INDEX(Archetypes!$F$2:$F$127, MATCH(D1952, Archetypes!$A$2:$A$127, 0))*INDEX(Unit_Grades!$B$2:$B$7, MATCH(F1952, Unit_Grades!$A$2:$A$7, 0))*INDEX(Unit_Paths!$C$2:$C$4, MATCH(E1952, Unit_Paths!$A$2:$A$4, 0)),1)</f>
        <v>1020</v>
      </c>
      <c r="J1952" s="6" t="n">
        <f aca="false">ROUND(INDEX(Archetypes!$G$2:$G$127, MATCH(D1952, Archetypes!$A$2:$A$127, 0))*INDEX(Unit_Grades!$B$2:$B$7, MATCH(F1952, Unit_Grades!$A$2:$A$7, 0))*INDEX(Unit_Paths!$D$2:$D$4, MATCH(E1952, Unit_Paths!$A$2:$A$4, 0)),0)</f>
        <v>6650</v>
      </c>
      <c r="K1952" s="6" t="n">
        <f aca="false">ROUND(INDEX(Archetypes!$H$2:$H$127, MATCH(D1952, Archetypes!$A$2:$A$127, 0))*INDEX(Unit_Paths!$E$2:$E$4, MATCH(E1952, Unit_Paths!$A$2:$A$4, 0)),1)</f>
        <v>73.5</v>
      </c>
      <c r="L1952" s="6" t="n">
        <f aca="false">ROUND(INDEX(Archetypes!$I$2:$I$127, MATCH(D1952, Archetypes!$A$2:$A$127, 0))*INDEX(Unit_Grades!$C$2:$C$7, MATCH(F1952, Unit_Grades!$A$2:$A$7, 0)),1)</f>
        <v>180</v>
      </c>
      <c r="M1952" s="6" t="n">
        <f aca="false">ROUND(INDEX(Archetypes!$J$2:$J$127, MATCH(D1952, Archetypes!$A$2:$A$127, 0))*INDEX(Unit_Grades!$D$2:$D$7, MATCH(F1952, Unit_Grades!$A$2:$A$7, 0)),1)</f>
        <v>73.1</v>
      </c>
      <c r="N1952" s="6" t="n">
        <f aca="false">ROUND(M1952/24,2)</f>
        <v>3.05</v>
      </c>
    </row>
    <row r="1953" customFormat="false" ht="15" hidden="false" customHeight="true" outlineLevel="0" collapsed="false">
      <c r="A1953" s="6" t="n">
        <v>7</v>
      </c>
      <c r="B1953" s="6" t="s">
        <v>3412</v>
      </c>
      <c r="C1953" s="6" t="s">
        <v>1497</v>
      </c>
      <c r="D1953" s="6" t="str">
        <f aca="false">A1953&amp;"|"&amp;C1953</f>
        <v>7|Lattice Line Ship</v>
      </c>
      <c r="E1953" s="6" t="s">
        <v>1558</v>
      </c>
      <c r="F1953" s="6" t="s">
        <v>1540</v>
      </c>
      <c r="G1953" s="6" t="str">
        <f aca="false">INDEX(Archetypes!$D$2:$D$127, MATCH(D1953, Archetypes!$A$2:$A$127, 0))</f>
        <v>Line Warship</v>
      </c>
      <c r="H1953" s="6" t="n">
        <f aca="false">ROUND(INDEX(Archetypes!$E$2:$E$127, MATCH(D1953, Archetypes!$A$2:$A$127, 0))*INDEX(Unit_Grades!$B$2:$B$7, MATCH(F1953, Unit_Grades!$A$2:$A$7, 0))*INDEX(Unit_Paths!$B$2:$B$4, MATCH(E1953, Unit_Paths!$A$2:$A$4, 0)),1)</f>
        <v>2592</v>
      </c>
      <c r="I1953" s="6" t="n">
        <f aca="false">ROUND(INDEX(Archetypes!$F$2:$F$127, MATCH(D1953, Archetypes!$A$2:$A$127, 0))*INDEX(Unit_Grades!$B$2:$B$7, MATCH(F1953, Unit_Grades!$A$2:$A$7, 0))*INDEX(Unit_Paths!$C$2:$C$4, MATCH(E1953, Unit_Paths!$A$2:$A$4, 0)),1)</f>
        <v>1377</v>
      </c>
      <c r="J1953" s="6" t="n">
        <f aca="false">ROUND(INDEX(Archetypes!$G$2:$G$127, MATCH(D1953, Archetypes!$A$2:$A$127, 0))*INDEX(Unit_Grades!$B$2:$B$7, MATCH(F1953, Unit_Grades!$A$2:$A$7, 0))*INDEX(Unit_Paths!$D$2:$D$4, MATCH(E1953, Unit_Paths!$A$2:$A$4, 0)),0)</f>
        <v>8978</v>
      </c>
      <c r="K1953" s="6" t="n">
        <f aca="false">ROUND(INDEX(Archetypes!$H$2:$H$127, MATCH(D1953, Archetypes!$A$2:$A$127, 0))*INDEX(Unit_Paths!$E$2:$E$4, MATCH(E1953, Unit_Paths!$A$2:$A$4, 0)),1)</f>
        <v>73.5</v>
      </c>
      <c r="L1953" s="6" t="n">
        <f aca="false">ROUND(INDEX(Archetypes!$I$2:$I$127, MATCH(D1953, Archetypes!$A$2:$A$127, 0))*INDEX(Unit_Grades!$C$2:$C$7, MATCH(F1953, Unit_Grades!$A$2:$A$7, 0)),1)</f>
        <v>225</v>
      </c>
      <c r="M1953" s="6" t="n">
        <f aca="false">ROUND(INDEX(Archetypes!$J$2:$J$127, MATCH(D1953, Archetypes!$A$2:$A$127, 0))*INDEX(Unit_Grades!$D$2:$D$7, MATCH(F1953, Unit_Grades!$A$2:$A$7, 0)),1)</f>
        <v>109.6</v>
      </c>
      <c r="N1953" s="6" t="n">
        <f aca="false">ROUND(M1953/24,2)</f>
        <v>4.57</v>
      </c>
    </row>
    <row r="1954" customFormat="false" ht="15" hidden="false" customHeight="true" outlineLevel="0" collapsed="false">
      <c r="A1954" s="6" t="n">
        <v>7</v>
      </c>
      <c r="B1954" s="6" t="s">
        <v>3413</v>
      </c>
      <c r="C1954" s="6" t="s">
        <v>1497</v>
      </c>
      <c r="D1954" s="6" t="str">
        <f aca="false">A1954&amp;"|"&amp;C1954</f>
        <v>7|Lattice Line Ship</v>
      </c>
      <c r="E1954" s="6" t="s">
        <v>1558</v>
      </c>
      <c r="F1954" s="6" t="s">
        <v>1542</v>
      </c>
      <c r="G1954" s="6" t="str">
        <f aca="false">INDEX(Archetypes!$D$2:$D$127, MATCH(D1954, Archetypes!$A$2:$A$127, 0))</f>
        <v>Line Warship</v>
      </c>
      <c r="H1954" s="6" t="n">
        <f aca="false">ROUND(INDEX(Archetypes!$E$2:$E$127, MATCH(D1954, Archetypes!$A$2:$A$127, 0))*INDEX(Unit_Grades!$B$2:$B$7, MATCH(F1954, Unit_Grades!$A$2:$A$7, 0))*INDEX(Unit_Paths!$B$2:$B$4, MATCH(E1954, Unit_Paths!$A$2:$A$4, 0)),1)</f>
        <v>3456</v>
      </c>
      <c r="I1954" s="6" t="n">
        <f aca="false">ROUND(INDEX(Archetypes!$F$2:$F$127, MATCH(D1954, Archetypes!$A$2:$A$127, 0))*INDEX(Unit_Grades!$B$2:$B$7, MATCH(F1954, Unit_Grades!$A$2:$A$7, 0))*INDEX(Unit_Paths!$C$2:$C$4, MATCH(E1954, Unit_Paths!$A$2:$A$4, 0)),1)</f>
        <v>1836</v>
      </c>
      <c r="J1954" s="6" t="n">
        <f aca="false">ROUND(INDEX(Archetypes!$G$2:$G$127, MATCH(D1954, Archetypes!$A$2:$A$127, 0))*INDEX(Unit_Grades!$B$2:$B$7, MATCH(F1954, Unit_Grades!$A$2:$A$7, 0))*INDEX(Unit_Paths!$D$2:$D$4, MATCH(E1954, Unit_Paths!$A$2:$A$4, 0)),0)</f>
        <v>11970</v>
      </c>
      <c r="K1954" s="6" t="n">
        <f aca="false">ROUND(INDEX(Archetypes!$H$2:$H$127, MATCH(D1954, Archetypes!$A$2:$A$127, 0))*INDEX(Unit_Paths!$E$2:$E$4, MATCH(E1954, Unit_Paths!$A$2:$A$4, 0)),1)</f>
        <v>73.5</v>
      </c>
      <c r="L1954" s="6" t="n">
        <f aca="false">ROUND(INDEX(Archetypes!$I$2:$I$127, MATCH(D1954, Archetypes!$A$2:$A$127, 0))*INDEX(Unit_Grades!$C$2:$C$7, MATCH(F1954, Unit_Grades!$A$2:$A$7, 0)),1)</f>
        <v>288</v>
      </c>
      <c r="M1954" s="6" t="n">
        <f aca="false">ROUND(INDEX(Archetypes!$J$2:$J$127, MATCH(D1954, Archetypes!$A$2:$A$127, 0))*INDEX(Unit_Grades!$D$2:$D$7, MATCH(F1954, Unit_Grades!$A$2:$A$7, 0)),1)</f>
        <v>182.6</v>
      </c>
      <c r="N1954" s="6" t="n">
        <f aca="false">ROUND(M1954/24,2)</f>
        <v>7.61</v>
      </c>
    </row>
    <row r="1955" customFormat="false" ht="15" hidden="false" customHeight="true" outlineLevel="0" collapsed="false">
      <c r="A1955" s="6" t="n">
        <v>7</v>
      </c>
      <c r="B1955" s="6" t="s">
        <v>3414</v>
      </c>
      <c r="C1955" s="6" t="s">
        <v>1497</v>
      </c>
      <c r="D1955" s="6" t="str">
        <f aca="false">A1955&amp;"|"&amp;C1955</f>
        <v>7|Lattice Line Ship</v>
      </c>
      <c r="E1955" s="6" t="s">
        <v>1558</v>
      </c>
      <c r="F1955" s="6" t="s">
        <v>1544</v>
      </c>
      <c r="G1955" s="6" t="str">
        <f aca="false">INDEX(Archetypes!$D$2:$D$127, MATCH(D1955, Archetypes!$A$2:$A$127, 0))</f>
        <v>Line Warship</v>
      </c>
      <c r="H1955" s="6" t="n">
        <f aca="false">ROUND(INDEX(Archetypes!$E$2:$E$127, MATCH(D1955, Archetypes!$A$2:$A$127, 0))*INDEX(Unit_Grades!$B$2:$B$7, MATCH(F1955, Unit_Grades!$A$2:$A$7, 0))*INDEX(Unit_Paths!$B$2:$B$4, MATCH(E1955, Unit_Paths!$A$2:$A$4, 0)),1)</f>
        <v>4608</v>
      </c>
      <c r="I1955" s="6" t="n">
        <f aca="false">ROUND(INDEX(Archetypes!$F$2:$F$127, MATCH(D1955, Archetypes!$A$2:$A$127, 0))*INDEX(Unit_Grades!$B$2:$B$7, MATCH(F1955, Unit_Grades!$A$2:$A$7, 0))*INDEX(Unit_Paths!$C$2:$C$4, MATCH(E1955, Unit_Paths!$A$2:$A$4, 0)),1)</f>
        <v>2448</v>
      </c>
      <c r="J1955" s="6" t="n">
        <f aca="false">ROUND(INDEX(Archetypes!$G$2:$G$127, MATCH(D1955, Archetypes!$A$2:$A$127, 0))*INDEX(Unit_Grades!$B$2:$B$7, MATCH(F1955, Unit_Grades!$A$2:$A$7, 0))*INDEX(Unit_Paths!$D$2:$D$4, MATCH(E1955, Unit_Paths!$A$2:$A$4, 0)),0)</f>
        <v>15960</v>
      </c>
      <c r="K1955" s="6" t="n">
        <f aca="false">ROUND(INDEX(Archetypes!$H$2:$H$127, MATCH(D1955, Archetypes!$A$2:$A$127, 0))*INDEX(Unit_Paths!$E$2:$E$4, MATCH(E1955, Unit_Paths!$A$2:$A$4, 0)),1)</f>
        <v>73.5</v>
      </c>
      <c r="L1955" s="6" t="n">
        <f aca="false">ROUND(INDEX(Archetypes!$I$2:$I$127, MATCH(D1955, Archetypes!$A$2:$A$127, 0))*INDEX(Unit_Grades!$C$2:$C$7, MATCH(F1955, Unit_Grades!$A$2:$A$7, 0)),1)</f>
        <v>378</v>
      </c>
      <c r="M1955" s="6" t="n">
        <f aca="false">ROUND(INDEX(Archetypes!$J$2:$J$127, MATCH(D1955, Archetypes!$A$2:$A$127, 0))*INDEX(Unit_Grades!$D$2:$D$7, MATCH(F1955, Unit_Grades!$A$2:$A$7, 0)),1)</f>
        <v>292.2</v>
      </c>
      <c r="N1955" s="6" t="n">
        <f aca="false">ROUND(M1955/24,2)</f>
        <v>12.18</v>
      </c>
    </row>
    <row r="1956" customFormat="false" ht="15" hidden="false" customHeight="true" outlineLevel="0" collapsed="false">
      <c r="A1956" s="6" t="n">
        <v>7</v>
      </c>
      <c r="B1956" s="6" t="s">
        <v>3415</v>
      </c>
      <c r="C1956" s="6" t="s">
        <v>1497</v>
      </c>
      <c r="D1956" s="6" t="str">
        <f aca="false">A1956&amp;"|"&amp;C1956</f>
        <v>7|Lattice Line Ship</v>
      </c>
      <c r="E1956" s="6" t="s">
        <v>1558</v>
      </c>
      <c r="F1956" s="6" t="s">
        <v>1546</v>
      </c>
      <c r="G1956" s="6" t="str">
        <f aca="false">INDEX(Archetypes!$D$2:$D$127, MATCH(D1956, Archetypes!$A$2:$A$127, 0))</f>
        <v>Line Warship</v>
      </c>
      <c r="H1956" s="6" t="n">
        <f aca="false">ROUND(INDEX(Archetypes!$E$2:$E$127, MATCH(D1956, Archetypes!$A$2:$A$127, 0))*INDEX(Unit_Grades!$B$2:$B$7, MATCH(F1956, Unit_Grades!$A$2:$A$7, 0))*INDEX(Unit_Paths!$B$2:$B$4, MATCH(E1956, Unit_Paths!$A$2:$A$4, 0)),1)</f>
        <v>6144</v>
      </c>
      <c r="I1956" s="6" t="n">
        <f aca="false">ROUND(INDEX(Archetypes!$F$2:$F$127, MATCH(D1956, Archetypes!$A$2:$A$127, 0))*INDEX(Unit_Grades!$B$2:$B$7, MATCH(F1956, Unit_Grades!$A$2:$A$7, 0))*INDEX(Unit_Paths!$C$2:$C$4, MATCH(E1956, Unit_Paths!$A$2:$A$4, 0)),1)</f>
        <v>3264</v>
      </c>
      <c r="J1956" s="6" t="n">
        <f aca="false">ROUND(INDEX(Archetypes!$G$2:$G$127, MATCH(D1956, Archetypes!$A$2:$A$127, 0))*INDEX(Unit_Grades!$B$2:$B$7, MATCH(F1956, Unit_Grades!$A$2:$A$7, 0))*INDEX(Unit_Paths!$D$2:$D$4, MATCH(E1956, Unit_Paths!$A$2:$A$4, 0)),0)</f>
        <v>21280</v>
      </c>
      <c r="K1956" s="6" t="n">
        <f aca="false">ROUND(INDEX(Archetypes!$H$2:$H$127, MATCH(D1956, Archetypes!$A$2:$A$127, 0))*INDEX(Unit_Paths!$E$2:$E$4, MATCH(E1956, Unit_Paths!$A$2:$A$4, 0)),1)</f>
        <v>73.5</v>
      </c>
      <c r="L1956" s="6" t="n">
        <f aca="false">ROUND(INDEX(Archetypes!$I$2:$I$127, MATCH(D1956, Archetypes!$A$2:$A$127, 0))*INDEX(Unit_Grades!$C$2:$C$7, MATCH(F1956, Unit_Grades!$A$2:$A$7, 0)),1)</f>
        <v>504</v>
      </c>
      <c r="M1956" s="6" t="n">
        <f aca="false">ROUND(INDEX(Archetypes!$J$2:$J$127, MATCH(D1956, Archetypes!$A$2:$A$127, 0))*INDEX(Unit_Grades!$D$2:$D$7, MATCH(F1956, Unit_Grades!$A$2:$A$7, 0)),1)</f>
        <v>511.4</v>
      </c>
      <c r="N1956" s="6" t="n">
        <f aca="false">ROUND(M1956/24,2)</f>
        <v>21.31</v>
      </c>
    </row>
    <row r="1957" customFormat="false" ht="15" hidden="false" customHeight="true" outlineLevel="0" collapsed="false">
      <c r="A1957" s="6" t="n">
        <v>7</v>
      </c>
      <c r="B1957" s="6" t="s">
        <v>3416</v>
      </c>
      <c r="C1957" s="6" t="s">
        <v>1497</v>
      </c>
      <c r="D1957" s="6" t="str">
        <f aca="false">A1957&amp;"|"&amp;C1957</f>
        <v>7|Lattice Line Ship</v>
      </c>
      <c r="E1957" s="6" t="s">
        <v>1558</v>
      </c>
      <c r="F1957" s="6" t="s">
        <v>1548</v>
      </c>
      <c r="G1957" s="6" t="str">
        <f aca="false">INDEX(Archetypes!$D$2:$D$127, MATCH(D1957, Archetypes!$A$2:$A$127, 0))</f>
        <v>Line Warship</v>
      </c>
      <c r="H1957" s="6" t="n">
        <f aca="false">ROUND(INDEX(Archetypes!$E$2:$E$127, MATCH(D1957, Archetypes!$A$2:$A$127, 0))*INDEX(Unit_Grades!$B$2:$B$7, MATCH(F1957, Unit_Grades!$A$2:$A$7, 0))*INDEX(Unit_Paths!$B$2:$B$4, MATCH(E1957, Unit_Paths!$A$2:$A$4, 0)),1)</f>
        <v>8064</v>
      </c>
      <c r="I1957" s="6" t="n">
        <f aca="false">ROUND(INDEX(Archetypes!$F$2:$F$127, MATCH(D1957, Archetypes!$A$2:$A$127, 0))*INDEX(Unit_Grades!$B$2:$B$7, MATCH(F1957, Unit_Grades!$A$2:$A$7, 0))*INDEX(Unit_Paths!$C$2:$C$4, MATCH(E1957, Unit_Paths!$A$2:$A$4, 0)),1)</f>
        <v>4284</v>
      </c>
      <c r="J1957" s="6" t="n">
        <f aca="false">ROUND(INDEX(Archetypes!$G$2:$G$127, MATCH(D1957, Archetypes!$A$2:$A$127, 0))*INDEX(Unit_Grades!$B$2:$B$7, MATCH(F1957, Unit_Grades!$A$2:$A$7, 0))*INDEX(Unit_Paths!$D$2:$D$4, MATCH(E1957, Unit_Paths!$A$2:$A$4, 0)),0)</f>
        <v>27930</v>
      </c>
      <c r="K1957" s="6" t="n">
        <f aca="false">ROUND(INDEX(Archetypes!$H$2:$H$127, MATCH(D1957, Archetypes!$A$2:$A$127, 0))*INDEX(Unit_Paths!$E$2:$E$4, MATCH(E1957, Unit_Paths!$A$2:$A$4, 0)),1)</f>
        <v>73.5</v>
      </c>
      <c r="L1957" s="6" t="n">
        <f aca="false">ROUND(INDEX(Archetypes!$I$2:$I$127, MATCH(D1957, Archetypes!$A$2:$A$127, 0))*INDEX(Unit_Grades!$C$2:$C$7, MATCH(F1957, Unit_Grades!$A$2:$A$7, 0)),1)</f>
        <v>666</v>
      </c>
      <c r="M1957" s="6" t="n">
        <f aca="false">ROUND(INDEX(Archetypes!$J$2:$J$127, MATCH(D1957, Archetypes!$A$2:$A$127, 0))*INDEX(Unit_Grades!$D$2:$D$7, MATCH(F1957, Unit_Grades!$A$2:$A$7, 0)),1)</f>
        <v>876.6</v>
      </c>
      <c r="N1957" s="6" t="n">
        <f aca="false">ROUND(M1957/24,2)</f>
        <v>36.53</v>
      </c>
    </row>
    <row r="1958" customFormat="false" ht="15" hidden="false" customHeight="true" outlineLevel="0" collapsed="false">
      <c r="A1958" s="6" t="n">
        <v>7</v>
      </c>
      <c r="B1958" s="6" t="s">
        <v>3417</v>
      </c>
      <c r="C1958" s="6" t="s">
        <v>1497</v>
      </c>
      <c r="D1958" s="6" t="str">
        <f aca="false">A1958&amp;"|"&amp;C1958</f>
        <v>7|Lattice Line Ship</v>
      </c>
      <c r="E1958" s="6" t="s">
        <v>1560</v>
      </c>
      <c r="F1958" s="6" t="s">
        <v>1538</v>
      </c>
      <c r="G1958" s="6" t="str">
        <f aca="false">INDEX(Archetypes!$D$2:$D$127, MATCH(D1958, Archetypes!$A$2:$A$127, 0))</f>
        <v>Line Warship</v>
      </c>
      <c r="H1958" s="6" t="n">
        <f aca="false">ROUND(INDEX(Archetypes!$E$2:$E$127, MATCH(D1958, Archetypes!$A$2:$A$127, 0))*INDEX(Unit_Grades!$B$2:$B$7, MATCH(F1958, Unit_Grades!$A$2:$A$7, 0))*INDEX(Unit_Paths!$B$2:$B$4, MATCH(E1958, Unit_Paths!$A$2:$A$4, 0)),1)</f>
        <v>1360</v>
      </c>
      <c r="I1958" s="6" t="n">
        <f aca="false">ROUND(INDEX(Archetypes!$F$2:$F$127, MATCH(D1958, Archetypes!$A$2:$A$127, 0))*INDEX(Unit_Grades!$B$2:$B$7, MATCH(F1958, Unit_Grades!$A$2:$A$7, 0))*INDEX(Unit_Paths!$C$2:$C$4, MATCH(E1958, Unit_Paths!$A$2:$A$4, 0)),1)</f>
        <v>1500</v>
      </c>
      <c r="J1958" s="6" t="n">
        <f aca="false">ROUND(INDEX(Archetypes!$G$2:$G$127, MATCH(D1958, Archetypes!$A$2:$A$127, 0))*INDEX(Unit_Grades!$B$2:$B$7, MATCH(F1958, Unit_Grades!$A$2:$A$7, 0))*INDEX(Unit_Paths!$D$2:$D$4, MATCH(E1958, Unit_Paths!$A$2:$A$4, 0)),0)</f>
        <v>8050</v>
      </c>
      <c r="K1958" s="6" t="n">
        <f aca="false">ROUND(INDEX(Archetypes!$H$2:$H$127, MATCH(D1958, Archetypes!$A$2:$A$127, 0))*INDEX(Unit_Paths!$E$2:$E$4, MATCH(E1958, Unit_Paths!$A$2:$A$4, 0)),1)</f>
        <v>64.4</v>
      </c>
      <c r="L1958" s="6" t="n">
        <f aca="false">ROUND(INDEX(Archetypes!$I$2:$I$127, MATCH(D1958, Archetypes!$A$2:$A$127, 0))*INDEX(Unit_Grades!$C$2:$C$7, MATCH(F1958, Unit_Grades!$A$2:$A$7, 0)),1)</f>
        <v>180</v>
      </c>
      <c r="M1958" s="6" t="n">
        <f aca="false">ROUND(INDEX(Archetypes!$J$2:$J$127, MATCH(D1958, Archetypes!$A$2:$A$127, 0))*INDEX(Unit_Grades!$D$2:$D$7, MATCH(F1958, Unit_Grades!$A$2:$A$7, 0)),1)</f>
        <v>73.1</v>
      </c>
      <c r="N1958" s="6" t="n">
        <f aca="false">ROUND(M1958/24,2)</f>
        <v>3.05</v>
      </c>
    </row>
    <row r="1959" customFormat="false" ht="15" hidden="false" customHeight="true" outlineLevel="0" collapsed="false">
      <c r="A1959" s="6" t="n">
        <v>7</v>
      </c>
      <c r="B1959" s="6" t="s">
        <v>3418</v>
      </c>
      <c r="C1959" s="6" t="s">
        <v>1497</v>
      </c>
      <c r="D1959" s="6" t="str">
        <f aca="false">A1959&amp;"|"&amp;C1959</f>
        <v>7|Lattice Line Ship</v>
      </c>
      <c r="E1959" s="6" t="s">
        <v>1560</v>
      </c>
      <c r="F1959" s="6" t="s">
        <v>1540</v>
      </c>
      <c r="G1959" s="6" t="str">
        <f aca="false">INDEX(Archetypes!$D$2:$D$127, MATCH(D1959, Archetypes!$A$2:$A$127, 0))</f>
        <v>Line Warship</v>
      </c>
      <c r="H1959" s="6" t="n">
        <f aca="false">ROUND(INDEX(Archetypes!$E$2:$E$127, MATCH(D1959, Archetypes!$A$2:$A$127, 0))*INDEX(Unit_Grades!$B$2:$B$7, MATCH(F1959, Unit_Grades!$A$2:$A$7, 0))*INDEX(Unit_Paths!$B$2:$B$4, MATCH(E1959, Unit_Paths!$A$2:$A$4, 0)),1)</f>
        <v>1836</v>
      </c>
      <c r="I1959" s="6" t="n">
        <f aca="false">ROUND(INDEX(Archetypes!$F$2:$F$127, MATCH(D1959, Archetypes!$A$2:$A$127, 0))*INDEX(Unit_Grades!$B$2:$B$7, MATCH(F1959, Unit_Grades!$A$2:$A$7, 0))*INDEX(Unit_Paths!$C$2:$C$4, MATCH(E1959, Unit_Paths!$A$2:$A$4, 0)),1)</f>
        <v>2025</v>
      </c>
      <c r="J1959" s="6" t="n">
        <f aca="false">ROUND(INDEX(Archetypes!$G$2:$G$127, MATCH(D1959, Archetypes!$A$2:$A$127, 0))*INDEX(Unit_Grades!$B$2:$B$7, MATCH(F1959, Unit_Grades!$A$2:$A$7, 0))*INDEX(Unit_Paths!$D$2:$D$4, MATCH(E1959, Unit_Paths!$A$2:$A$4, 0)),0)</f>
        <v>10868</v>
      </c>
      <c r="K1959" s="6" t="n">
        <f aca="false">ROUND(INDEX(Archetypes!$H$2:$H$127, MATCH(D1959, Archetypes!$A$2:$A$127, 0))*INDEX(Unit_Paths!$E$2:$E$4, MATCH(E1959, Unit_Paths!$A$2:$A$4, 0)),1)</f>
        <v>64.4</v>
      </c>
      <c r="L1959" s="6" t="n">
        <f aca="false">ROUND(INDEX(Archetypes!$I$2:$I$127, MATCH(D1959, Archetypes!$A$2:$A$127, 0))*INDEX(Unit_Grades!$C$2:$C$7, MATCH(F1959, Unit_Grades!$A$2:$A$7, 0)),1)</f>
        <v>225</v>
      </c>
      <c r="M1959" s="6" t="n">
        <f aca="false">ROUND(INDEX(Archetypes!$J$2:$J$127, MATCH(D1959, Archetypes!$A$2:$A$127, 0))*INDEX(Unit_Grades!$D$2:$D$7, MATCH(F1959, Unit_Grades!$A$2:$A$7, 0)),1)</f>
        <v>109.6</v>
      </c>
      <c r="N1959" s="6" t="n">
        <f aca="false">ROUND(M1959/24,2)</f>
        <v>4.57</v>
      </c>
    </row>
    <row r="1960" customFormat="false" ht="15" hidden="false" customHeight="true" outlineLevel="0" collapsed="false">
      <c r="A1960" s="6" t="n">
        <v>7</v>
      </c>
      <c r="B1960" s="6" t="s">
        <v>3419</v>
      </c>
      <c r="C1960" s="6" t="s">
        <v>1497</v>
      </c>
      <c r="D1960" s="6" t="str">
        <f aca="false">A1960&amp;"|"&amp;C1960</f>
        <v>7|Lattice Line Ship</v>
      </c>
      <c r="E1960" s="6" t="s">
        <v>1560</v>
      </c>
      <c r="F1960" s="6" t="s">
        <v>1542</v>
      </c>
      <c r="G1960" s="6" t="str">
        <f aca="false">INDEX(Archetypes!$D$2:$D$127, MATCH(D1960, Archetypes!$A$2:$A$127, 0))</f>
        <v>Line Warship</v>
      </c>
      <c r="H1960" s="6" t="n">
        <f aca="false">ROUND(INDEX(Archetypes!$E$2:$E$127, MATCH(D1960, Archetypes!$A$2:$A$127, 0))*INDEX(Unit_Grades!$B$2:$B$7, MATCH(F1960, Unit_Grades!$A$2:$A$7, 0))*INDEX(Unit_Paths!$B$2:$B$4, MATCH(E1960, Unit_Paths!$A$2:$A$4, 0)),1)</f>
        <v>2448</v>
      </c>
      <c r="I1960" s="6" t="n">
        <f aca="false">ROUND(INDEX(Archetypes!$F$2:$F$127, MATCH(D1960, Archetypes!$A$2:$A$127, 0))*INDEX(Unit_Grades!$B$2:$B$7, MATCH(F1960, Unit_Grades!$A$2:$A$7, 0))*INDEX(Unit_Paths!$C$2:$C$4, MATCH(E1960, Unit_Paths!$A$2:$A$4, 0)),1)</f>
        <v>2700</v>
      </c>
      <c r="J1960" s="6" t="n">
        <f aca="false">ROUND(INDEX(Archetypes!$G$2:$G$127, MATCH(D1960, Archetypes!$A$2:$A$127, 0))*INDEX(Unit_Grades!$B$2:$B$7, MATCH(F1960, Unit_Grades!$A$2:$A$7, 0))*INDEX(Unit_Paths!$D$2:$D$4, MATCH(E1960, Unit_Paths!$A$2:$A$4, 0)),0)</f>
        <v>14490</v>
      </c>
      <c r="K1960" s="6" t="n">
        <f aca="false">ROUND(INDEX(Archetypes!$H$2:$H$127, MATCH(D1960, Archetypes!$A$2:$A$127, 0))*INDEX(Unit_Paths!$E$2:$E$4, MATCH(E1960, Unit_Paths!$A$2:$A$4, 0)),1)</f>
        <v>64.4</v>
      </c>
      <c r="L1960" s="6" t="n">
        <f aca="false">ROUND(INDEX(Archetypes!$I$2:$I$127, MATCH(D1960, Archetypes!$A$2:$A$127, 0))*INDEX(Unit_Grades!$C$2:$C$7, MATCH(F1960, Unit_Grades!$A$2:$A$7, 0)),1)</f>
        <v>288</v>
      </c>
      <c r="M1960" s="6" t="n">
        <f aca="false">ROUND(INDEX(Archetypes!$J$2:$J$127, MATCH(D1960, Archetypes!$A$2:$A$127, 0))*INDEX(Unit_Grades!$D$2:$D$7, MATCH(F1960, Unit_Grades!$A$2:$A$7, 0)),1)</f>
        <v>182.6</v>
      </c>
      <c r="N1960" s="6" t="n">
        <f aca="false">ROUND(M1960/24,2)</f>
        <v>7.61</v>
      </c>
    </row>
    <row r="1961" customFormat="false" ht="15" hidden="false" customHeight="true" outlineLevel="0" collapsed="false">
      <c r="A1961" s="6" t="n">
        <v>7</v>
      </c>
      <c r="B1961" s="6" t="s">
        <v>3420</v>
      </c>
      <c r="C1961" s="6" t="s">
        <v>1497</v>
      </c>
      <c r="D1961" s="6" t="str">
        <f aca="false">A1961&amp;"|"&amp;C1961</f>
        <v>7|Lattice Line Ship</v>
      </c>
      <c r="E1961" s="6" t="s">
        <v>1560</v>
      </c>
      <c r="F1961" s="6" t="s">
        <v>1544</v>
      </c>
      <c r="G1961" s="6" t="str">
        <f aca="false">INDEX(Archetypes!$D$2:$D$127, MATCH(D1961, Archetypes!$A$2:$A$127, 0))</f>
        <v>Line Warship</v>
      </c>
      <c r="H1961" s="6" t="n">
        <f aca="false">ROUND(INDEX(Archetypes!$E$2:$E$127, MATCH(D1961, Archetypes!$A$2:$A$127, 0))*INDEX(Unit_Grades!$B$2:$B$7, MATCH(F1961, Unit_Grades!$A$2:$A$7, 0))*INDEX(Unit_Paths!$B$2:$B$4, MATCH(E1961, Unit_Paths!$A$2:$A$4, 0)),1)</f>
        <v>3264</v>
      </c>
      <c r="I1961" s="6" t="n">
        <f aca="false">ROUND(INDEX(Archetypes!$F$2:$F$127, MATCH(D1961, Archetypes!$A$2:$A$127, 0))*INDEX(Unit_Grades!$B$2:$B$7, MATCH(F1961, Unit_Grades!$A$2:$A$7, 0))*INDEX(Unit_Paths!$C$2:$C$4, MATCH(E1961, Unit_Paths!$A$2:$A$4, 0)),1)</f>
        <v>3600</v>
      </c>
      <c r="J1961" s="6" t="n">
        <f aca="false">ROUND(INDEX(Archetypes!$G$2:$G$127, MATCH(D1961, Archetypes!$A$2:$A$127, 0))*INDEX(Unit_Grades!$B$2:$B$7, MATCH(F1961, Unit_Grades!$A$2:$A$7, 0))*INDEX(Unit_Paths!$D$2:$D$4, MATCH(E1961, Unit_Paths!$A$2:$A$4, 0)),0)</f>
        <v>19320</v>
      </c>
      <c r="K1961" s="6" t="n">
        <f aca="false">ROUND(INDEX(Archetypes!$H$2:$H$127, MATCH(D1961, Archetypes!$A$2:$A$127, 0))*INDEX(Unit_Paths!$E$2:$E$4, MATCH(E1961, Unit_Paths!$A$2:$A$4, 0)),1)</f>
        <v>64.4</v>
      </c>
      <c r="L1961" s="6" t="n">
        <f aca="false">ROUND(INDEX(Archetypes!$I$2:$I$127, MATCH(D1961, Archetypes!$A$2:$A$127, 0))*INDEX(Unit_Grades!$C$2:$C$7, MATCH(F1961, Unit_Grades!$A$2:$A$7, 0)),1)</f>
        <v>378</v>
      </c>
      <c r="M1961" s="6" t="n">
        <f aca="false">ROUND(INDEX(Archetypes!$J$2:$J$127, MATCH(D1961, Archetypes!$A$2:$A$127, 0))*INDEX(Unit_Grades!$D$2:$D$7, MATCH(F1961, Unit_Grades!$A$2:$A$7, 0)),1)</f>
        <v>292.2</v>
      </c>
      <c r="N1961" s="6" t="n">
        <f aca="false">ROUND(M1961/24,2)</f>
        <v>12.18</v>
      </c>
    </row>
    <row r="1962" customFormat="false" ht="15" hidden="false" customHeight="true" outlineLevel="0" collapsed="false">
      <c r="A1962" s="6" t="n">
        <v>7</v>
      </c>
      <c r="B1962" s="6" t="s">
        <v>3421</v>
      </c>
      <c r="C1962" s="6" t="s">
        <v>1497</v>
      </c>
      <c r="D1962" s="6" t="str">
        <f aca="false">A1962&amp;"|"&amp;C1962</f>
        <v>7|Lattice Line Ship</v>
      </c>
      <c r="E1962" s="6" t="s">
        <v>1560</v>
      </c>
      <c r="F1962" s="6" t="s">
        <v>1546</v>
      </c>
      <c r="G1962" s="6" t="str">
        <f aca="false">INDEX(Archetypes!$D$2:$D$127, MATCH(D1962, Archetypes!$A$2:$A$127, 0))</f>
        <v>Line Warship</v>
      </c>
      <c r="H1962" s="6" t="n">
        <f aca="false">ROUND(INDEX(Archetypes!$E$2:$E$127, MATCH(D1962, Archetypes!$A$2:$A$127, 0))*INDEX(Unit_Grades!$B$2:$B$7, MATCH(F1962, Unit_Grades!$A$2:$A$7, 0))*INDEX(Unit_Paths!$B$2:$B$4, MATCH(E1962, Unit_Paths!$A$2:$A$4, 0)),1)</f>
        <v>4352</v>
      </c>
      <c r="I1962" s="6" t="n">
        <f aca="false">ROUND(INDEX(Archetypes!$F$2:$F$127, MATCH(D1962, Archetypes!$A$2:$A$127, 0))*INDEX(Unit_Grades!$B$2:$B$7, MATCH(F1962, Unit_Grades!$A$2:$A$7, 0))*INDEX(Unit_Paths!$C$2:$C$4, MATCH(E1962, Unit_Paths!$A$2:$A$4, 0)),1)</f>
        <v>4800</v>
      </c>
      <c r="J1962" s="6" t="n">
        <f aca="false">ROUND(INDEX(Archetypes!$G$2:$G$127, MATCH(D1962, Archetypes!$A$2:$A$127, 0))*INDEX(Unit_Grades!$B$2:$B$7, MATCH(F1962, Unit_Grades!$A$2:$A$7, 0))*INDEX(Unit_Paths!$D$2:$D$4, MATCH(E1962, Unit_Paths!$A$2:$A$4, 0)),0)</f>
        <v>25760</v>
      </c>
      <c r="K1962" s="6" t="n">
        <f aca="false">ROUND(INDEX(Archetypes!$H$2:$H$127, MATCH(D1962, Archetypes!$A$2:$A$127, 0))*INDEX(Unit_Paths!$E$2:$E$4, MATCH(E1962, Unit_Paths!$A$2:$A$4, 0)),1)</f>
        <v>64.4</v>
      </c>
      <c r="L1962" s="6" t="n">
        <f aca="false">ROUND(INDEX(Archetypes!$I$2:$I$127, MATCH(D1962, Archetypes!$A$2:$A$127, 0))*INDEX(Unit_Grades!$C$2:$C$7, MATCH(F1962, Unit_Grades!$A$2:$A$7, 0)),1)</f>
        <v>504</v>
      </c>
      <c r="M1962" s="6" t="n">
        <f aca="false">ROUND(INDEX(Archetypes!$J$2:$J$127, MATCH(D1962, Archetypes!$A$2:$A$127, 0))*INDEX(Unit_Grades!$D$2:$D$7, MATCH(F1962, Unit_Grades!$A$2:$A$7, 0)),1)</f>
        <v>511.4</v>
      </c>
      <c r="N1962" s="6" t="n">
        <f aca="false">ROUND(M1962/24,2)</f>
        <v>21.31</v>
      </c>
    </row>
    <row r="1963" customFormat="false" ht="15" hidden="false" customHeight="true" outlineLevel="0" collapsed="false">
      <c r="A1963" s="6" t="n">
        <v>7</v>
      </c>
      <c r="B1963" s="6" t="s">
        <v>3422</v>
      </c>
      <c r="C1963" s="6" t="s">
        <v>1497</v>
      </c>
      <c r="D1963" s="6" t="str">
        <f aca="false">A1963&amp;"|"&amp;C1963</f>
        <v>7|Lattice Line Ship</v>
      </c>
      <c r="E1963" s="6" t="s">
        <v>1560</v>
      </c>
      <c r="F1963" s="6" t="s">
        <v>1548</v>
      </c>
      <c r="G1963" s="6" t="str">
        <f aca="false">INDEX(Archetypes!$D$2:$D$127, MATCH(D1963, Archetypes!$A$2:$A$127, 0))</f>
        <v>Line Warship</v>
      </c>
      <c r="H1963" s="6" t="n">
        <f aca="false">ROUND(INDEX(Archetypes!$E$2:$E$127, MATCH(D1963, Archetypes!$A$2:$A$127, 0))*INDEX(Unit_Grades!$B$2:$B$7, MATCH(F1963, Unit_Grades!$A$2:$A$7, 0))*INDEX(Unit_Paths!$B$2:$B$4, MATCH(E1963, Unit_Paths!$A$2:$A$4, 0)),1)</f>
        <v>5712</v>
      </c>
      <c r="I1963" s="6" t="n">
        <f aca="false">ROUND(INDEX(Archetypes!$F$2:$F$127, MATCH(D1963, Archetypes!$A$2:$A$127, 0))*INDEX(Unit_Grades!$B$2:$B$7, MATCH(F1963, Unit_Grades!$A$2:$A$7, 0))*INDEX(Unit_Paths!$C$2:$C$4, MATCH(E1963, Unit_Paths!$A$2:$A$4, 0)),1)</f>
        <v>6300</v>
      </c>
      <c r="J1963" s="6" t="n">
        <f aca="false">ROUND(INDEX(Archetypes!$G$2:$G$127, MATCH(D1963, Archetypes!$A$2:$A$127, 0))*INDEX(Unit_Grades!$B$2:$B$7, MATCH(F1963, Unit_Grades!$A$2:$A$7, 0))*INDEX(Unit_Paths!$D$2:$D$4, MATCH(E1963, Unit_Paths!$A$2:$A$4, 0)),0)</f>
        <v>33810</v>
      </c>
      <c r="K1963" s="6" t="n">
        <f aca="false">ROUND(INDEX(Archetypes!$H$2:$H$127, MATCH(D1963, Archetypes!$A$2:$A$127, 0))*INDEX(Unit_Paths!$E$2:$E$4, MATCH(E1963, Unit_Paths!$A$2:$A$4, 0)),1)</f>
        <v>64.4</v>
      </c>
      <c r="L1963" s="6" t="n">
        <f aca="false">ROUND(INDEX(Archetypes!$I$2:$I$127, MATCH(D1963, Archetypes!$A$2:$A$127, 0))*INDEX(Unit_Grades!$C$2:$C$7, MATCH(F1963, Unit_Grades!$A$2:$A$7, 0)),1)</f>
        <v>666</v>
      </c>
      <c r="M1963" s="6" t="n">
        <f aca="false">ROUND(INDEX(Archetypes!$J$2:$J$127, MATCH(D1963, Archetypes!$A$2:$A$127, 0))*INDEX(Unit_Grades!$D$2:$D$7, MATCH(F1963, Unit_Grades!$A$2:$A$7, 0)),1)</f>
        <v>876.6</v>
      </c>
      <c r="N1963" s="6" t="n">
        <f aca="false">ROUND(M1963/24,2)</f>
        <v>36.53</v>
      </c>
    </row>
    <row r="1964" customFormat="false" ht="15" hidden="false" customHeight="true" outlineLevel="0" collapsed="false">
      <c r="A1964" s="6" t="n">
        <v>7</v>
      </c>
      <c r="B1964" s="6" t="s">
        <v>1499</v>
      </c>
      <c r="C1964" s="6" t="s">
        <v>1499</v>
      </c>
      <c r="D1964" s="6" t="str">
        <f aca="false">A1964&amp;"|"&amp;C1964</f>
        <v>7|Void Reaver</v>
      </c>
      <c r="E1964" s="6" t="s">
        <v>1556</v>
      </c>
      <c r="F1964" s="6" t="s">
        <v>1538</v>
      </c>
      <c r="G1964" s="6" t="str">
        <f aca="false">INDEX(Archetypes!$D$2:$D$127, MATCH(D1964, Archetypes!$A$2:$A$127, 0))</f>
        <v>Skirmisher</v>
      </c>
      <c r="H1964" s="6" t="n">
        <f aca="false">ROUND(INDEX(Archetypes!$E$2:$E$127, MATCH(D1964, Archetypes!$A$2:$A$127, 0))*INDEX(Unit_Grades!$B$2:$B$7, MATCH(F1964, Unit_Grades!$A$2:$A$7, 0))*INDEX(Unit_Paths!$B$2:$B$4, MATCH(E1964, Unit_Paths!$A$2:$A$4, 0)),1)</f>
        <v>1500</v>
      </c>
      <c r="I1964" s="6" t="n">
        <f aca="false">ROUND(INDEX(Archetypes!$F$2:$F$127, MATCH(D1964, Archetypes!$A$2:$A$127, 0))*INDEX(Unit_Grades!$B$2:$B$7, MATCH(F1964, Unit_Grades!$A$2:$A$7, 0))*INDEX(Unit_Paths!$C$2:$C$4, MATCH(E1964, Unit_Paths!$A$2:$A$4, 0)),1)</f>
        <v>800</v>
      </c>
      <c r="J1964" s="6" t="n">
        <f aca="false">ROUND(INDEX(Archetypes!$G$2:$G$127, MATCH(D1964, Archetypes!$A$2:$A$127, 0))*INDEX(Unit_Grades!$B$2:$B$7, MATCH(F1964, Unit_Grades!$A$2:$A$7, 0))*INDEX(Unit_Paths!$D$2:$D$4, MATCH(E1964, Unit_Paths!$A$2:$A$4, 0)),0)</f>
        <v>5200</v>
      </c>
      <c r="K1964" s="6" t="n">
        <f aca="false">ROUND(INDEX(Archetypes!$H$2:$H$127, MATCH(D1964, Archetypes!$A$2:$A$127, 0))*INDEX(Unit_Paths!$E$2:$E$4, MATCH(E1964, Unit_Paths!$A$2:$A$4, 0)),1)</f>
        <v>110</v>
      </c>
      <c r="L1964" s="6" t="n">
        <f aca="false">ROUND(INDEX(Archetypes!$I$2:$I$127, MATCH(D1964, Archetypes!$A$2:$A$127, 0))*INDEX(Unit_Grades!$C$2:$C$7, MATCH(F1964, Unit_Grades!$A$2:$A$7, 0)),1)</f>
        <v>160</v>
      </c>
      <c r="M1964" s="6" t="n">
        <f aca="false">ROUND(INDEX(Archetypes!$J$2:$J$127, MATCH(D1964, Archetypes!$A$2:$A$127, 0))*INDEX(Unit_Grades!$D$2:$D$7, MATCH(F1964, Unit_Grades!$A$2:$A$7, 0)),1)</f>
        <v>64.9</v>
      </c>
      <c r="N1964" s="6" t="n">
        <f aca="false">ROUND(M1964/24,2)</f>
        <v>2.7</v>
      </c>
    </row>
    <row r="1965" customFormat="false" ht="15" hidden="false" customHeight="true" outlineLevel="0" collapsed="false">
      <c r="A1965" s="6" t="n">
        <v>7</v>
      </c>
      <c r="B1965" s="6" t="s">
        <v>3423</v>
      </c>
      <c r="C1965" s="6" t="s">
        <v>1499</v>
      </c>
      <c r="D1965" s="6" t="str">
        <f aca="false">A1965&amp;"|"&amp;C1965</f>
        <v>7|Void Reaver</v>
      </c>
      <c r="E1965" s="6" t="s">
        <v>1556</v>
      </c>
      <c r="F1965" s="6" t="s">
        <v>1540</v>
      </c>
      <c r="G1965" s="6" t="str">
        <f aca="false">INDEX(Archetypes!$D$2:$D$127, MATCH(D1965, Archetypes!$A$2:$A$127, 0))</f>
        <v>Skirmisher</v>
      </c>
      <c r="H1965" s="6" t="n">
        <f aca="false">ROUND(INDEX(Archetypes!$E$2:$E$127, MATCH(D1965, Archetypes!$A$2:$A$127, 0))*INDEX(Unit_Grades!$B$2:$B$7, MATCH(F1965, Unit_Grades!$A$2:$A$7, 0))*INDEX(Unit_Paths!$B$2:$B$4, MATCH(E1965, Unit_Paths!$A$2:$A$4, 0)),1)</f>
        <v>2025</v>
      </c>
      <c r="I1965" s="6" t="n">
        <f aca="false">ROUND(INDEX(Archetypes!$F$2:$F$127, MATCH(D1965, Archetypes!$A$2:$A$127, 0))*INDEX(Unit_Grades!$B$2:$B$7, MATCH(F1965, Unit_Grades!$A$2:$A$7, 0))*INDEX(Unit_Paths!$C$2:$C$4, MATCH(E1965, Unit_Paths!$A$2:$A$4, 0)),1)</f>
        <v>1080</v>
      </c>
      <c r="J1965" s="6" t="n">
        <f aca="false">ROUND(INDEX(Archetypes!$G$2:$G$127, MATCH(D1965, Archetypes!$A$2:$A$127, 0))*INDEX(Unit_Grades!$B$2:$B$7, MATCH(F1965, Unit_Grades!$A$2:$A$7, 0))*INDEX(Unit_Paths!$D$2:$D$4, MATCH(E1965, Unit_Paths!$A$2:$A$4, 0)),0)</f>
        <v>7020</v>
      </c>
      <c r="K1965" s="6" t="n">
        <f aca="false">ROUND(INDEX(Archetypes!$H$2:$H$127, MATCH(D1965, Archetypes!$A$2:$A$127, 0))*INDEX(Unit_Paths!$E$2:$E$4, MATCH(E1965, Unit_Paths!$A$2:$A$4, 0)),1)</f>
        <v>110</v>
      </c>
      <c r="L1965" s="6" t="n">
        <f aca="false">ROUND(INDEX(Archetypes!$I$2:$I$127, MATCH(D1965, Archetypes!$A$2:$A$127, 0))*INDEX(Unit_Grades!$C$2:$C$7, MATCH(F1965, Unit_Grades!$A$2:$A$7, 0)),1)</f>
        <v>200</v>
      </c>
      <c r="M1965" s="6" t="n">
        <f aca="false">ROUND(INDEX(Archetypes!$J$2:$J$127, MATCH(D1965, Archetypes!$A$2:$A$127, 0))*INDEX(Unit_Grades!$D$2:$D$7, MATCH(F1965, Unit_Grades!$A$2:$A$7, 0)),1)</f>
        <v>97.4</v>
      </c>
      <c r="N1965" s="6" t="n">
        <f aca="false">ROUND(M1965/24,2)</f>
        <v>4.06</v>
      </c>
    </row>
    <row r="1966" customFormat="false" ht="15" hidden="false" customHeight="true" outlineLevel="0" collapsed="false">
      <c r="A1966" s="6" t="n">
        <v>7</v>
      </c>
      <c r="B1966" s="6" t="s">
        <v>3424</v>
      </c>
      <c r="C1966" s="6" t="s">
        <v>1499</v>
      </c>
      <c r="D1966" s="6" t="str">
        <f aca="false">A1966&amp;"|"&amp;C1966</f>
        <v>7|Void Reaver</v>
      </c>
      <c r="E1966" s="6" t="s">
        <v>1556</v>
      </c>
      <c r="F1966" s="6" t="s">
        <v>1542</v>
      </c>
      <c r="G1966" s="6" t="str">
        <f aca="false">INDEX(Archetypes!$D$2:$D$127, MATCH(D1966, Archetypes!$A$2:$A$127, 0))</f>
        <v>Skirmisher</v>
      </c>
      <c r="H1966" s="6" t="n">
        <f aca="false">ROUND(INDEX(Archetypes!$E$2:$E$127, MATCH(D1966, Archetypes!$A$2:$A$127, 0))*INDEX(Unit_Grades!$B$2:$B$7, MATCH(F1966, Unit_Grades!$A$2:$A$7, 0))*INDEX(Unit_Paths!$B$2:$B$4, MATCH(E1966, Unit_Paths!$A$2:$A$4, 0)),1)</f>
        <v>2700</v>
      </c>
      <c r="I1966" s="6" t="n">
        <f aca="false">ROUND(INDEX(Archetypes!$F$2:$F$127, MATCH(D1966, Archetypes!$A$2:$A$127, 0))*INDEX(Unit_Grades!$B$2:$B$7, MATCH(F1966, Unit_Grades!$A$2:$A$7, 0))*INDEX(Unit_Paths!$C$2:$C$4, MATCH(E1966, Unit_Paths!$A$2:$A$4, 0)),1)</f>
        <v>1440</v>
      </c>
      <c r="J1966" s="6" t="n">
        <f aca="false">ROUND(INDEX(Archetypes!$G$2:$G$127, MATCH(D1966, Archetypes!$A$2:$A$127, 0))*INDEX(Unit_Grades!$B$2:$B$7, MATCH(F1966, Unit_Grades!$A$2:$A$7, 0))*INDEX(Unit_Paths!$D$2:$D$4, MATCH(E1966, Unit_Paths!$A$2:$A$4, 0)),0)</f>
        <v>9360</v>
      </c>
      <c r="K1966" s="6" t="n">
        <f aca="false">ROUND(INDEX(Archetypes!$H$2:$H$127, MATCH(D1966, Archetypes!$A$2:$A$127, 0))*INDEX(Unit_Paths!$E$2:$E$4, MATCH(E1966, Unit_Paths!$A$2:$A$4, 0)),1)</f>
        <v>110</v>
      </c>
      <c r="L1966" s="6" t="n">
        <f aca="false">ROUND(INDEX(Archetypes!$I$2:$I$127, MATCH(D1966, Archetypes!$A$2:$A$127, 0))*INDEX(Unit_Grades!$C$2:$C$7, MATCH(F1966, Unit_Grades!$A$2:$A$7, 0)),1)</f>
        <v>256</v>
      </c>
      <c r="M1966" s="6" t="n">
        <f aca="false">ROUND(INDEX(Archetypes!$J$2:$J$127, MATCH(D1966, Archetypes!$A$2:$A$127, 0))*INDEX(Unit_Grades!$D$2:$D$7, MATCH(F1966, Unit_Grades!$A$2:$A$7, 0)),1)</f>
        <v>162.3</v>
      </c>
      <c r="N1966" s="6" t="n">
        <f aca="false">ROUND(M1966/24,2)</f>
        <v>6.76</v>
      </c>
    </row>
    <row r="1967" customFormat="false" ht="15" hidden="false" customHeight="true" outlineLevel="0" collapsed="false">
      <c r="A1967" s="6" t="n">
        <v>7</v>
      </c>
      <c r="B1967" s="6" t="s">
        <v>3425</v>
      </c>
      <c r="C1967" s="6" t="s">
        <v>1499</v>
      </c>
      <c r="D1967" s="6" t="str">
        <f aca="false">A1967&amp;"|"&amp;C1967</f>
        <v>7|Void Reaver</v>
      </c>
      <c r="E1967" s="6" t="s">
        <v>1556</v>
      </c>
      <c r="F1967" s="6" t="s">
        <v>1544</v>
      </c>
      <c r="G1967" s="6" t="str">
        <f aca="false">INDEX(Archetypes!$D$2:$D$127, MATCH(D1967, Archetypes!$A$2:$A$127, 0))</f>
        <v>Skirmisher</v>
      </c>
      <c r="H1967" s="6" t="n">
        <f aca="false">ROUND(INDEX(Archetypes!$E$2:$E$127, MATCH(D1967, Archetypes!$A$2:$A$127, 0))*INDEX(Unit_Grades!$B$2:$B$7, MATCH(F1967, Unit_Grades!$A$2:$A$7, 0))*INDEX(Unit_Paths!$B$2:$B$4, MATCH(E1967, Unit_Paths!$A$2:$A$4, 0)),1)</f>
        <v>3600</v>
      </c>
      <c r="I1967" s="6" t="n">
        <f aca="false">ROUND(INDEX(Archetypes!$F$2:$F$127, MATCH(D1967, Archetypes!$A$2:$A$127, 0))*INDEX(Unit_Grades!$B$2:$B$7, MATCH(F1967, Unit_Grades!$A$2:$A$7, 0))*INDEX(Unit_Paths!$C$2:$C$4, MATCH(E1967, Unit_Paths!$A$2:$A$4, 0)),1)</f>
        <v>1920</v>
      </c>
      <c r="J1967" s="6" t="n">
        <f aca="false">ROUND(INDEX(Archetypes!$G$2:$G$127, MATCH(D1967, Archetypes!$A$2:$A$127, 0))*INDEX(Unit_Grades!$B$2:$B$7, MATCH(F1967, Unit_Grades!$A$2:$A$7, 0))*INDEX(Unit_Paths!$D$2:$D$4, MATCH(E1967, Unit_Paths!$A$2:$A$4, 0)),0)</f>
        <v>12480</v>
      </c>
      <c r="K1967" s="6" t="n">
        <f aca="false">ROUND(INDEX(Archetypes!$H$2:$H$127, MATCH(D1967, Archetypes!$A$2:$A$127, 0))*INDEX(Unit_Paths!$E$2:$E$4, MATCH(E1967, Unit_Paths!$A$2:$A$4, 0)),1)</f>
        <v>110</v>
      </c>
      <c r="L1967" s="6" t="n">
        <f aca="false">ROUND(INDEX(Archetypes!$I$2:$I$127, MATCH(D1967, Archetypes!$A$2:$A$127, 0))*INDEX(Unit_Grades!$C$2:$C$7, MATCH(F1967, Unit_Grades!$A$2:$A$7, 0)),1)</f>
        <v>336</v>
      </c>
      <c r="M1967" s="6" t="n">
        <f aca="false">ROUND(INDEX(Archetypes!$J$2:$J$127, MATCH(D1967, Archetypes!$A$2:$A$127, 0))*INDEX(Unit_Grades!$D$2:$D$7, MATCH(F1967, Unit_Grades!$A$2:$A$7, 0)),1)</f>
        <v>259.7</v>
      </c>
      <c r="N1967" s="6" t="n">
        <f aca="false">ROUND(M1967/24,2)</f>
        <v>10.82</v>
      </c>
    </row>
    <row r="1968" customFormat="false" ht="15" hidden="false" customHeight="true" outlineLevel="0" collapsed="false">
      <c r="A1968" s="6" t="n">
        <v>7</v>
      </c>
      <c r="B1968" s="6" t="s">
        <v>3426</v>
      </c>
      <c r="C1968" s="6" t="s">
        <v>1499</v>
      </c>
      <c r="D1968" s="6" t="str">
        <f aca="false">A1968&amp;"|"&amp;C1968</f>
        <v>7|Void Reaver</v>
      </c>
      <c r="E1968" s="6" t="s">
        <v>1556</v>
      </c>
      <c r="F1968" s="6" t="s">
        <v>1546</v>
      </c>
      <c r="G1968" s="6" t="str">
        <f aca="false">INDEX(Archetypes!$D$2:$D$127, MATCH(D1968, Archetypes!$A$2:$A$127, 0))</f>
        <v>Skirmisher</v>
      </c>
      <c r="H1968" s="6" t="n">
        <f aca="false">ROUND(INDEX(Archetypes!$E$2:$E$127, MATCH(D1968, Archetypes!$A$2:$A$127, 0))*INDEX(Unit_Grades!$B$2:$B$7, MATCH(F1968, Unit_Grades!$A$2:$A$7, 0))*INDEX(Unit_Paths!$B$2:$B$4, MATCH(E1968, Unit_Paths!$A$2:$A$4, 0)),1)</f>
        <v>4800</v>
      </c>
      <c r="I1968" s="6" t="n">
        <f aca="false">ROUND(INDEX(Archetypes!$F$2:$F$127, MATCH(D1968, Archetypes!$A$2:$A$127, 0))*INDEX(Unit_Grades!$B$2:$B$7, MATCH(F1968, Unit_Grades!$A$2:$A$7, 0))*INDEX(Unit_Paths!$C$2:$C$4, MATCH(E1968, Unit_Paths!$A$2:$A$4, 0)),1)</f>
        <v>2560</v>
      </c>
      <c r="J1968" s="6" t="n">
        <f aca="false">ROUND(INDEX(Archetypes!$G$2:$G$127, MATCH(D1968, Archetypes!$A$2:$A$127, 0))*INDEX(Unit_Grades!$B$2:$B$7, MATCH(F1968, Unit_Grades!$A$2:$A$7, 0))*INDEX(Unit_Paths!$D$2:$D$4, MATCH(E1968, Unit_Paths!$A$2:$A$4, 0)),0)</f>
        <v>16640</v>
      </c>
      <c r="K1968" s="6" t="n">
        <f aca="false">ROUND(INDEX(Archetypes!$H$2:$H$127, MATCH(D1968, Archetypes!$A$2:$A$127, 0))*INDEX(Unit_Paths!$E$2:$E$4, MATCH(E1968, Unit_Paths!$A$2:$A$4, 0)),1)</f>
        <v>110</v>
      </c>
      <c r="L1968" s="6" t="n">
        <f aca="false">ROUND(INDEX(Archetypes!$I$2:$I$127, MATCH(D1968, Archetypes!$A$2:$A$127, 0))*INDEX(Unit_Grades!$C$2:$C$7, MATCH(F1968, Unit_Grades!$A$2:$A$7, 0)),1)</f>
        <v>448</v>
      </c>
      <c r="M1968" s="6" t="n">
        <f aca="false">ROUND(INDEX(Archetypes!$J$2:$J$127, MATCH(D1968, Archetypes!$A$2:$A$127, 0))*INDEX(Unit_Grades!$D$2:$D$7, MATCH(F1968, Unit_Grades!$A$2:$A$7, 0)),1)</f>
        <v>454.5</v>
      </c>
      <c r="N1968" s="6" t="n">
        <f aca="false">ROUND(M1968/24,2)</f>
        <v>18.94</v>
      </c>
    </row>
    <row r="1969" customFormat="false" ht="15" hidden="false" customHeight="true" outlineLevel="0" collapsed="false">
      <c r="A1969" s="6" t="n">
        <v>7</v>
      </c>
      <c r="B1969" s="6" t="s">
        <v>3427</v>
      </c>
      <c r="C1969" s="6" t="s">
        <v>1499</v>
      </c>
      <c r="D1969" s="6" t="str">
        <f aca="false">A1969&amp;"|"&amp;C1969</f>
        <v>7|Void Reaver</v>
      </c>
      <c r="E1969" s="6" t="s">
        <v>1556</v>
      </c>
      <c r="F1969" s="6" t="s">
        <v>1548</v>
      </c>
      <c r="G1969" s="6" t="str">
        <f aca="false">INDEX(Archetypes!$D$2:$D$127, MATCH(D1969, Archetypes!$A$2:$A$127, 0))</f>
        <v>Skirmisher</v>
      </c>
      <c r="H1969" s="6" t="n">
        <f aca="false">ROUND(INDEX(Archetypes!$E$2:$E$127, MATCH(D1969, Archetypes!$A$2:$A$127, 0))*INDEX(Unit_Grades!$B$2:$B$7, MATCH(F1969, Unit_Grades!$A$2:$A$7, 0))*INDEX(Unit_Paths!$B$2:$B$4, MATCH(E1969, Unit_Paths!$A$2:$A$4, 0)),1)</f>
        <v>6300</v>
      </c>
      <c r="I1969" s="6" t="n">
        <f aca="false">ROUND(INDEX(Archetypes!$F$2:$F$127, MATCH(D1969, Archetypes!$A$2:$A$127, 0))*INDEX(Unit_Grades!$B$2:$B$7, MATCH(F1969, Unit_Grades!$A$2:$A$7, 0))*INDEX(Unit_Paths!$C$2:$C$4, MATCH(E1969, Unit_Paths!$A$2:$A$4, 0)),1)</f>
        <v>3360</v>
      </c>
      <c r="J1969" s="6" t="n">
        <f aca="false">ROUND(INDEX(Archetypes!$G$2:$G$127, MATCH(D1969, Archetypes!$A$2:$A$127, 0))*INDEX(Unit_Grades!$B$2:$B$7, MATCH(F1969, Unit_Grades!$A$2:$A$7, 0))*INDEX(Unit_Paths!$D$2:$D$4, MATCH(E1969, Unit_Paths!$A$2:$A$4, 0)),0)</f>
        <v>21840</v>
      </c>
      <c r="K1969" s="6" t="n">
        <f aca="false">ROUND(INDEX(Archetypes!$H$2:$H$127, MATCH(D1969, Archetypes!$A$2:$A$127, 0))*INDEX(Unit_Paths!$E$2:$E$4, MATCH(E1969, Unit_Paths!$A$2:$A$4, 0)),1)</f>
        <v>110</v>
      </c>
      <c r="L1969" s="6" t="n">
        <f aca="false">ROUND(INDEX(Archetypes!$I$2:$I$127, MATCH(D1969, Archetypes!$A$2:$A$127, 0))*INDEX(Unit_Grades!$C$2:$C$7, MATCH(F1969, Unit_Grades!$A$2:$A$7, 0)),1)</f>
        <v>592</v>
      </c>
      <c r="M1969" s="6" t="n">
        <f aca="false">ROUND(INDEX(Archetypes!$J$2:$J$127, MATCH(D1969, Archetypes!$A$2:$A$127, 0))*INDEX(Unit_Grades!$D$2:$D$7, MATCH(F1969, Unit_Grades!$A$2:$A$7, 0)),1)</f>
        <v>779.2</v>
      </c>
      <c r="N1969" s="6" t="n">
        <f aca="false">ROUND(M1969/24,2)</f>
        <v>32.47</v>
      </c>
    </row>
    <row r="1970" customFormat="false" ht="15" hidden="false" customHeight="true" outlineLevel="0" collapsed="false">
      <c r="A1970" s="6" t="n">
        <v>7</v>
      </c>
      <c r="B1970" s="6" t="s">
        <v>3428</v>
      </c>
      <c r="C1970" s="6" t="s">
        <v>1499</v>
      </c>
      <c r="D1970" s="6" t="str">
        <f aca="false">A1970&amp;"|"&amp;C1970</f>
        <v>7|Void Reaver</v>
      </c>
      <c r="E1970" s="6" t="s">
        <v>1558</v>
      </c>
      <c r="F1970" s="6" t="s">
        <v>1538</v>
      </c>
      <c r="G1970" s="6" t="str">
        <f aca="false">INDEX(Archetypes!$D$2:$D$127, MATCH(D1970, Archetypes!$A$2:$A$127, 0))</f>
        <v>Skirmisher</v>
      </c>
      <c r="H1970" s="6" t="n">
        <f aca="false">ROUND(INDEX(Archetypes!$E$2:$E$127, MATCH(D1970, Archetypes!$A$2:$A$127, 0))*INDEX(Unit_Grades!$B$2:$B$7, MATCH(F1970, Unit_Grades!$A$2:$A$7, 0))*INDEX(Unit_Paths!$B$2:$B$4, MATCH(E1970, Unit_Paths!$A$2:$A$4, 0)),1)</f>
        <v>1800</v>
      </c>
      <c r="I1970" s="6" t="n">
        <f aca="false">ROUND(INDEX(Archetypes!$F$2:$F$127, MATCH(D1970, Archetypes!$A$2:$A$127, 0))*INDEX(Unit_Grades!$B$2:$B$7, MATCH(F1970, Unit_Grades!$A$2:$A$7, 0))*INDEX(Unit_Paths!$C$2:$C$4, MATCH(E1970, Unit_Paths!$A$2:$A$4, 0)),1)</f>
        <v>680</v>
      </c>
      <c r="J1970" s="6" t="n">
        <f aca="false">ROUND(INDEX(Archetypes!$G$2:$G$127, MATCH(D1970, Archetypes!$A$2:$A$127, 0))*INDEX(Unit_Grades!$B$2:$B$7, MATCH(F1970, Unit_Grades!$A$2:$A$7, 0))*INDEX(Unit_Paths!$D$2:$D$4, MATCH(E1970, Unit_Paths!$A$2:$A$4, 0)),0)</f>
        <v>4940</v>
      </c>
      <c r="K1970" s="6" t="n">
        <f aca="false">ROUND(INDEX(Archetypes!$H$2:$H$127, MATCH(D1970, Archetypes!$A$2:$A$127, 0))*INDEX(Unit_Paths!$E$2:$E$4, MATCH(E1970, Unit_Paths!$A$2:$A$4, 0)),1)</f>
        <v>115.5</v>
      </c>
      <c r="L1970" s="6" t="n">
        <f aca="false">ROUND(INDEX(Archetypes!$I$2:$I$127, MATCH(D1970, Archetypes!$A$2:$A$127, 0))*INDEX(Unit_Grades!$C$2:$C$7, MATCH(F1970, Unit_Grades!$A$2:$A$7, 0)),1)</f>
        <v>160</v>
      </c>
      <c r="M1970" s="6" t="n">
        <f aca="false">ROUND(INDEX(Archetypes!$J$2:$J$127, MATCH(D1970, Archetypes!$A$2:$A$127, 0))*INDEX(Unit_Grades!$D$2:$D$7, MATCH(F1970, Unit_Grades!$A$2:$A$7, 0)),1)</f>
        <v>64.9</v>
      </c>
      <c r="N1970" s="6" t="n">
        <f aca="false">ROUND(M1970/24,2)</f>
        <v>2.7</v>
      </c>
    </row>
    <row r="1971" customFormat="false" ht="15" hidden="false" customHeight="true" outlineLevel="0" collapsed="false">
      <c r="A1971" s="6" t="n">
        <v>7</v>
      </c>
      <c r="B1971" s="6" t="s">
        <v>3429</v>
      </c>
      <c r="C1971" s="6" t="s">
        <v>1499</v>
      </c>
      <c r="D1971" s="6" t="str">
        <f aca="false">A1971&amp;"|"&amp;C1971</f>
        <v>7|Void Reaver</v>
      </c>
      <c r="E1971" s="6" t="s">
        <v>1558</v>
      </c>
      <c r="F1971" s="6" t="s">
        <v>1540</v>
      </c>
      <c r="G1971" s="6" t="str">
        <f aca="false">INDEX(Archetypes!$D$2:$D$127, MATCH(D1971, Archetypes!$A$2:$A$127, 0))</f>
        <v>Skirmisher</v>
      </c>
      <c r="H1971" s="6" t="n">
        <f aca="false">ROUND(INDEX(Archetypes!$E$2:$E$127, MATCH(D1971, Archetypes!$A$2:$A$127, 0))*INDEX(Unit_Grades!$B$2:$B$7, MATCH(F1971, Unit_Grades!$A$2:$A$7, 0))*INDEX(Unit_Paths!$B$2:$B$4, MATCH(E1971, Unit_Paths!$A$2:$A$4, 0)),1)</f>
        <v>2430</v>
      </c>
      <c r="I1971" s="6" t="n">
        <f aca="false">ROUND(INDEX(Archetypes!$F$2:$F$127, MATCH(D1971, Archetypes!$A$2:$A$127, 0))*INDEX(Unit_Grades!$B$2:$B$7, MATCH(F1971, Unit_Grades!$A$2:$A$7, 0))*INDEX(Unit_Paths!$C$2:$C$4, MATCH(E1971, Unit_Paths!$A$2:$A$4, 0)),1)</f>
        <v>918</v>
      </c>
      <c r="J1971" s="6" t="n">
        <f aca="false">ROUND(INDEX(Archetypes!$G$2:$G$127, MATCH(D1971, Archetypes!$A$2:$A$127, 0))*INDEX(Unit_Grades!$B$2:$B$7, MATCH(F1971, Unit_Grades!$A$2:$A$7, 0))*INDEX(Unit_Paths!$D$2:$D$4, MATCH(E1971, Unit_Paths!$A$2:$A$4, 0)),0)</f>
        <v>6669</v>
      </c>
      <c r="K1971" s="6" t="n">
        <f aca="false">ROUND(INDEX(Archetypes!$H$2:$H$127, MATCH(D1971, Archetypes!$A$2:$A$127, 0))*INDEX(Unit_Paths!$E$2:$E$4, MATCH(E1971, Unit_Paths!$A$2:$A$4, 0)),1)</f>
        <v>115.5</v>
      </c>
      <c r="L1971" s="6" t="n">
        <f aca="false">ROUND(INDEX(Archetypes!$I$2:$I$127, MATCH(D1971, Archetypes!$A$2:$A$127, 0))*INDEX(Unit_Grades!$C$2:$C$7, MATCH(F1971, Unit_Grades!$A$2:$A$7, 0)),1)</f>
        <v>200</v>
      </c>
      <c r="M1971" s="6" t="n">
        <f aca="false">ROUND(INDEX(Archetypes!$J$2:$J$127, MATCH(D1971, Archetypes!$A$2:$A$127, 0))*INDEX(Unit_Grades!$D$2:$D$7, MATCH(F1971, Unit_Grades!$A$2:$A$7, 0)),1)</f>
        <v>97.4</v>
      </c>
      <c r="N1971" s="6" t="n">
        <f aca="false">ROUND(M1971/24,2)</f>
        <v>4.06</v>
      </c>
    </row>
    <row r="1972" customFormat="false" ht="15" hidden="false" customHeight="true" outlineLevel="0" collapsed="false">
      <c r="A1972" s="6" t="n">
        <v>7</v>
      </c>
      <c r="B1972" s="6" t="s">
        <v>3430</v>
      </c>
      <c r="C1972" s="6" t="s">
        <v>1499</v>
      </c>
      <c r="D1972" s="6" t="str">
        <f aca="false">A1972&amp;"|"&amp;C1972</f>
        <v>7|Void Reaver</v>
      </c>
      <c r="E1972" s="6" t="s">
        <v>1558</v>
      </c>
      <c r="F1972" s="6" t="s">
        <v>1542</v>
      </c>
      <c r="G1972" s="6" t="str">
        <f aca="false">INDEX(Archetypes!$D$2:$D$127, MATCH(D1972, Archetypes!$A$2:$A$127, 0))</f>
        <v>Skirmisher</v>
      </c>
      <c r="H1972" s="6" t="n">
        <f aca="false">ROUND(INDEX(Archetypes!$E$2:$E$127, MATCH(D1972, Archetypes!$A$2:$A$127, 0))*INDEX(Unit_Grades!$B$2:$B$7, MATCH(F1972, Unit_Grades!$A$2:$A$7, 0))*INDEX(Unit_Paths!$B$2:$B$4, MATCH(E1972, Unit_Paths!$A$2:$A$4, 0)),1)</f>
        <v>3240</v>
      </c>
      <c r="I1972" s="6" t="n">
        <f aca="false">ROUND(INDEX(Archetypes!$F$2:$F$127, MATCH(D1972, Archetypes!$A$2:$A$127, 0))*INDEX(Unit_Grades!$B$2:$B$7, MATCH(F1972, Unit_Grades!$A$2:$A$7, 0))*INDEX(Unit_Paths!$C$2:$C$4, MATCH(E1972, Unit_Paths!$A$2:$A$4, 0)),1)</f>
        <v>1224</v>
      </c>
      <c r="J1972" s="6" t="n">
        <f aca="false">ROUND(INDEX(Archetypes!$G$2:$G$127, MATCH(D1972, Archetypes!$A$2:$A$127, 0))*INDEX(Unit_Grades!$B$2:$B$7, MATCH(F1972, Unit_Grades!$A$2:$A$7, 0))*INDEX(Unit_Paths!$D$2:$D$4, MATCH(E1972, Unit_Paths!$A$2:$A$4, 0)),0)</f>
        <v>8892</v>
      </c>
      <c r="K1972" s="6" t="n">
        <f aca="false">ROUND(INDEX(Archetypes!$H$2:$H$127, MATCH(D1972, Archetypes!$A$2:$A$127, 0))*INDEX(Unit_Paths!$E$2:$E$4, MATCH(E1972, Unit_Paths!$A$2:$A$4, 0)),1)</f>
        <v>115.5</v>
      </c>
      <c r="L1972" s="6" t="n">
        <f aca="false">ROUND(INDEX(Archetypes!$I$2:$I$127, MATCH(D1972, Archetypes!$A$2:$A$127, 0))*INDEX(Unit_Grades!$C$2:$C$7, MATCH(F1972, Unit_Grades!$A$2:$A$7, 0)),1)</f>
        <v>256</v>
      </c>
      <c r="M1972" s="6" t="n">
        <f aca="false">ROUND(INDEX(Archetypes!$J$2:$J$127, MATCH(D1972, Archetypes!$A$2:$A$127, 0))*INDEX(Unit_Grades!$D$2:$D$7, MATCH(F1972, Unit_Grades!$A$2:$A$7, 0)),1)</f>
        <v>162.3</v>
      </c>
      <c r="N1972" s="6" t="n">
        <f aca="false">ROUND(M1972/24,2)</f>
        <v>6.76</v>
      </c>
    </row>
    <row r="1973" customFormat="false" ht="15" hidden="false" customHeight="true" outlineLevel="0" collapsed="false">
      <c r="A1973" s="6" t="n">
        <v>7</v>
      </c>
      <c r="B1973" s="6" t="s">
        <v>3431</v>
      </c>
      <c r="C1973" s="6" t="s">
        <v>1499</v>
      </c>
      <c r="D1973" s="6" t="str">
        <f aca="false">A1973&amp;"|"&amp;C1973</f>
        <v>7|Void Reaver</v>
      </c>
      <c r="E1973" s="6" t="s">
        <v>1558</v>
      </c>
      <c r="F1973" s="6" t="s">
        <v>1544</v>
      </c>
      <c r="G1973" s="6" t="str">
        <f aca="false">INDEX(Archetypes!$D$2:$D$127, MATCH(D1973, Archetypes!$A$2:$A$127, 0))</f>
        <v>Skirmisher</v>
      </c>
      <c r="H1973" s="6" t="n">
        <f aca="false">ROUND(INDEX(Archetypes!$E$2:$E$127, MATCH(D1973, Archetypes!$A$2:$A$127, 0))*INDEX(Unit_Grades!$B$2:$B$7, MATCH(F1973, Unit_Grades!$A$2:$A$7, 0))*INDEX(Unit_Paths!$B$2:$B$4, MATCH(E1973, Unit_Paths!$A$2:$A$4, 0)),1)</f>
        <v>4320</v>
      </c>
      <c r="I1973" s="6" t="n">
        <f aca="false">ROUND(INDEX(Archetypes!$F$2:$F$127, MATCH(D1973, Archetypes!$A$2:$A$127, 0))*INDEX(Unit_Grades!$B$2:$B$7, MATCH(F1973, Unit_Grades!$A$2:$A$7, 0))*INDEX(Unit_Paths!$C$2:$C$4, MATCH(E1973, Unit_Paths!$A$2:$A$4, 0)),1)</f>
        <v>1632</v>
      </c>
      <c r="J1973" s="6" t="n">
        <f aca="false">ROUND(INDEX(Archetypes!$G$2:$G$127, MATCH(D1973, Archetypes!$A$2:$A$127, 0))*INDEX(Unit_Grades!$B$2:$B$7, MATCH(F1973, Unit_Grades!$A$2:$A$7, 0))*INDEX(Unit_Paths!$D$2:$D$4, MATCH(E1973, Unit_Paths!$A$2:$A$4, 0)),0)</f>
        <v>11856</v>
      </c>
      <c r="K1973" s="6" t="n">
        <f aca="false">ROUND(INDEX(Archetypes!$H$2:$H$127, MATCH(D1973, Archetypes!$A$2:$A$127, 0))*INDEX(Unit_Paths!$E$2:$E$4, MATCH(E1973, Unit_Paths!$A$2:$A$4, 0)),1)</f>
        <v>115.5</v>
      </c>
      <c r="L1973" s="6" t="n">
        <f aca="false">ROUND(INDEX(Archetypes!$I$2:$I$127, MATCH(D1973, Archetypes!$A$2:$A$127, 0))*INDEX(Unit_Grades!$C$2:$C$7, MATCH(F1973, Unit_Grades!$A$2:$A$7, 0)),1)</f>
        <v>336</v>
      </c>
      <c r="M1973" s="6" t="n">
        <f aca="false">ROUND(INDEX(Archetypes!$J$2:$J$127, MATCH(D1973, Archetypes!$A$2:$A$127, 0))*INDEX(Unit_Grades!$D$2:$D$7, MATCH(F1973, Unit_Grades!$A$2:$A$7, 0)),1)</f>
        <v>259.7</v>
      </c>
      <c r="N1973" s="6" t="n">
        <f aca="false">ROUND(M1973/24,2)</f>
        <v>10.82</v>
      </c>
    </row>
    <row r="1974" customFormat="false" ht="15" hidden="false" customHeight="true" outlineLevel="0" collapsed="false">
      <c r="A1974" s="6" t="n">
        <v>7</v>
      </c>
      <c r="B1974" s="6" t="s">
        <v>3432</v>
      </c>
      <c r="C1974" s="6" t="s">
        <v>1499</v>
      </c>
      <c r="D1974" s="6" t="str">
        <f aca="false">A1974&amp;"|"&amp;C1974</f>
        <v>7|Void Reaver</v>
      </c>
      <c r="E1974" s="6" t="s">
        <v>1558</v>
      </c>
      <c r="F1974" s="6" t="s">
        <v>1546</v>
      </c>
      <c r="G1974" s="6" t="str">
        <f aca="false">INDEX(Archetypes!$D$2:$D$127, MATCH(D1974, Archetypes!$A$2:$A$127, 0))</f>
        <v>Skirmisher</v>
      </c>
      <c r="H1974" s="6" t="n">
        <f aca="false">ROUND(INDEX(Archetypes!$E$2:$E$127, MATCH(D1974, Archetypes!$A$2:$A$127, 0))*INDEX(Unit_Grades!$B$2:$B$7, MATCH(F1974, Unit_Grades!$A$2:$A$7, 0))*INDEX(Unit_Paths!$B$2:$B$4, MATCH(E1974, Unit_Paths!$A$2:$A$4, 0)),1)</f>
        <v>5760</v>
      </c>
      <c r="I1974" s="6" t="n">
        <f aca="false">ROUND(INDEX(Archetypes!$F$2:$F$127, MATCH(D1974, Archetypes!$A$2:$A$127, 0))*INDEX(Unit_Grades!$B$2:$B$7, MATCH(F1974, Unit_Grades!$A$2:$A$7, 0))*INDEX(Unit_Paths!$C$2:$C$4, MATCH(E1974, Unit_Paths!$A$2:$A$4, 0)),1)</f>
        <v>2176</v>
      </c>
      <c r="J1974" s="6" t="n">
        <f aca="false">ROUND(INDEX(Archetypes!$G$2:$G$127, MATCH(D1974, Archetypes!$A$2:$A$127, 0))*INDEX(Unit_Grades!$B$2:$B$7, MATCH(F1974, Unit_Grades!$A$2:$A$7, 0))*INDEX(Unit_Paths!$D$2:$D$4, MATCH(E1974, Unit_Paths!$A$2:$A$4, 0)),0)</f>
        <v>15808</v>
      </c>
      <c r="K1974" s="6" t="n">
        <f aca="false">ROUND(INDEX(Archetypes!$H$2:$H$127, MATCH(D1974, Archetypes!$A$2:$A$127, 0))*INDEX(Unit_Paths!$E$2:$E$4, MATCH(E1974, Unit_Paths!$A$2:$A$4, 0)),1)</f>
        <v>115.5</v>
      </c>
      <c r="L1974" s="6" t="n">
        <f aca="false">ROUND(INDEX(Archetypes!$I$2:$I$127, MATCH(D1974, Archetypes!$A$2:$A$127, 0))*INDEX(Unit_Grades!$C$2:$C$7, MATCH(F1974, Unit_Grades!$A$2:$A$7, 0)),1)</f>
        <v>448</v>
      </c>
      <c r="M1974" s="6" t="n">
        <f aca="false">ROUND(INDEX(Archetypes!$J$2:$J$127, MATCH(D1974, Archetypes!$A$2:$A$127, 0))*INDEX(Unit_Grades!$D$2:$D$7, MATCH(F1974, Unit_Grades!$A$2:$A$7, 0)),1)</f>
        <v>454.5</v>
      </c>
      <c r="N1974" s="6" t="n">
        <f aca="false">ROUND(M1974/24,2)</f>
        <v>18.94</v>
      </c>
    </row>
    <row r="1975" customFormat="false" ht="15" hidden="false" customHeight="true" outlineLevel="0" collapsed="false">
      <c r="A1975" s="6" t="n">
        <v>7</v>
      </c>
      <c r="B1975" s="6" t="s">
        <v>3433</v>
      </c>
      <c r="C1975" s="6" t="s">
        <v>1499</v>
      </c>
      <c r="D1975" s="6" t="str">
        <f aca="false">A1975&amp;"|"&amp;C1975</f>
        <v>7|Void Reaver</v>
      </c>
      <c r="E1975" s="6" t="s">
        <v>1558</v>
      </c>
      <c r="F1975" s="6" t="s">
        <v>1548</v>
      </c>
      <c r="G1975" s="6" t="str">
        <f aca="false">INDEX(Archetypes!$D$2:$D$127, MATCH(D1975, Archetypes!$A$2:$A$127, 0))</f>
        <v>Skirmisher</v>
      </c>
      <c r="H1975" s="6" t="n">
        <f aca="false">ROUND(INDEX(Archetypes!$E$2:$E$127, MATCH(D1975, Archetypes!$A$2:$A$127, 0))*INDEX(Unit_Grades!$B$2:$B$7, MATCH(F1975, Unit_Grades!$A$2:$A$7, 0))*INDEX(Unit_Paths!$B$2:$B$4, MATCH(E1975, Unit_Paths!$A$2:$A$4, 0)),1)</f>
        <v>7560</v>
      </c>
      <c r="I1975" s="6" t="n">
        <f aca="false">ROUND(INDEX(Archetypes!$F$2:$F$127, MATCH(D1975, Archetypes!$A$2:$A$127, 0))*INDEX(Unit_Grades!$B$2:$B$7, MATCH(F1975, Unit_Grades!$A$2:$A$7, 0))*INDEX(Unit_Paths!$C$2:$C$4, MATCH(E1975, Unit_Paths!$A$2:$A$4, 0)),1)</f>
        <v>2856</v>
      </c>
      <c r="J1975" s="6" t="n">
        <f aca="false">ROUND(INDEX(Archetypes!$G$2:$G$127, MATCH(D1975, Archetypes!$A$2:$A$127, 0))*INDEX(Unit_Grades!$B$2:$B$7, MATCH(F1975, Unit_Grades!$A$2:$A$7, 0))*INDEX(Unit_Paths!$D$2:$D$4, MATCH(E1975, Unit_Paths!$A$2:$A$4, 0)),0)</f>
        <v>20748</v>
      </c>
      <c r="K1975" s="6" t="n">
        <f aca="false">ROUND(INDEX(Archetypes!$H$2:$H$127, MATCH(D1975, Archetypes!$A$2:$A$127, 0))*INDEX(Unit_Paths!$E$2:$E$4, MATCH(E1975, Unit_Paths!$A$2:$A$4, 0)),1)</f>
        <v>115.5</v>
      </c>
      <c r="L1975" s="6" t="n">
        <f aca="false">ROUND(INDEX(Archetypes!$I$2:$I$127, MATCH(D1975, Archetypes!$A$2:$A$127, 0))*INDEX(Unit_Grades!$C$2:$C$7, MATCH(F1975, Unit_Grades!$A$2:$A$7, 0)),1)</f>
        <v>592</v>
      </c>
      <c r="M1975" s="6" t="n">
        <f aca="false">ROUND(INDEX(Archetypes!$J$2:$J$127, MATCH(D1975, Archetypes!$A$2:$A$127, 0))*INDEX(Unit_Grades!$D$2:$D$7, MATCH(F1975, Unit_Grades!$A$2:$A$7, 0)),1)</f>
        <v>779.2</v>
      </c>
      <c r="N1975" s="6" t="n">
        <f aca="false">ROUND(M1975/24,2)</f>
        <v>32.47</v>
      </c>
    </row>
    <row r="1976" customFormat="false" ht="15" hidden="false" customHeight="true" outlineLevel="0" collapsed="false">
      <c r="A1976" s="6" t="n">
        <v>7</v>
      </c>
      <c r="B1976" s="6" t="s">
        <v>3434</v>
      </c>
      <c r="C1976" s="6" t="s">
        <v>1499</v>
      </c>
      <c r="D1976" s="6" t="str">
        <f aca="false">A1976&amp;"|"&amp;C1976</f>
        <v>7|Void Reaver</v>
      </c>
      <c r="E1976" s="6" t="s">
        <v>1560</v>
      </c>
      <c r="F1976" s="6" t="s">
        <v>1538</v>
      </c>
      <c r="G1976" s="6" t="str">
        <f aca="false">INDEX(Archetypes!$D$2:$D$127, MATCH(D1976, Archetypes!$A$2:$A$127, 0))</f>
        <v>Skirmisher</v>
      </c>
      <c r="H1976" s="6" t="n">
        <f aca="false">ROUND(INDEX(Archetypes!$E$2:$E$127, MATCH(D1976, Archetypes!$A$2:$A$127, 0))*INDEX(Unit_Grades!$B$2:$B$7, MATCH(F1976, Unit_Grades!$A$2:$A$7, 0))*INDEX(Unit_Paths!$B$2:$B$4, MATCH(E1976, Unit_Paths!$A$2:$A$4, 0)),1)</f>
        <v>1275</v>
      </c>
      <c r="I1976" s="6" t="n">
        <f aca="false">ROUND(INDEX(Archetypes!$F$2:$F$127, MATCH(D1976, Archetypes!$A$2:$A$127, 0))*INDEX(Unit_Grades!$B$2:$B$7, MATCH(F1976, Unit_Grades!$A$2:$A$7, 0))*INDEX(Unit_Paths!$C$2:$C$4, MATCH(E1976, Unit_Paths!$A$2:$A$4, 0)),1)</f>
        <v>1000</v>
      </c>
      <c r="J1976" s="6" t="n">
        <f aca="false">ROUND(INDEX(Archetypes!$G$2:$G$127, MATCH(D1976, Archetypes!$A$2:$A$127, 0))*INDEX(Unit_Grades!$B$2:$B$7, MATCH(F1976, Unit_Grades!$A$2:$A$7, 0))*INDEX(Unit_Paths!$D$2:$D$4, MATCH(E1976, Unit_Paths!$A$2:$A$4, 0)),0)</f>
        <v>5980</v>
      </c>
      <c r="K1976" s="6" t="n">
        <f aca="false">ROUND(INDEX(Archetypes!$H$2:$H$127, MATCH(D1976, Archetypes!$A$2:$A$127, 0))*INDEX(Unit_Paths!$E$2:$E$4, MATCH(E1976, Unit_Paths!$A$2:$A$4, 0)),1)</f>
        <v>101.2</v>
      </c>
      <c r="L1976" s="6" t="n">
        <f aca="false">ROUND(INDEX(Archetypes!$I$2:$I$127, MATCH(D1976, Archetypes!$A$2:$A$127, 0))*INDEX(Unit_Grades!$C$2:$C$7, MATCH(F1976, Unit_Grades!$A$2:$A$7, 0)),1)</f>
        <v>160</v>
      </c>
      <c r="M1976" s="6" t="n">
        <f aca="false">ROUND(INDEX(Archetypes!$J$2:$J$127, MATCH(D1976, Archetypes!$A$2:$A$127, 0))*INDEX(Unit_Grades!$D$2:$D$7, MATCH(F1976, Unit_Grades!$A$2:$A$7, 0)),1)</f>
        <v>64.9</v>
      </c>
      <c r="N1976" s="6" t="n">
        <f aca="false">ROUND(M1976/24,2)</f>
        <v>2.7</v>
      </c>
    </row>
    <row r="1977" customFormat="false" ht="15" hidden="false" customHeight="true" outlineLevel="0" collapsed="false">
      <c r="A1977" s="6" t="n">
        <v>7</v>
      </c>
      <c r="B1977" s="6" t="s">
        <v>3435</v>
      </c>
      <c r="C1977" s="6" t="s">
        <v>1499</v>
      </c>
      <c r="D1977" s="6" t="str">
        <f aca="false">A1977&amp;"|"&amp;C1977</f>
        <v>7|Void Reaver</v>
      </c>
      <c r="E1977" s="6" t="s">
        <v>1560</v>
      </c>
      <c r="F1977" s="6" t="s">
        <v>1540</v>
      </c>
      <c r="G1977" s="6" t="str">
        <f aca="false">INDEX(Archetypes!$D$2:$D$127, MATCH(D1977, Archetypes!$A$2:$A$127, 0))</f>
        <v>Skirmisher</v>
      </c>
      <c r="H1977" s="6" t="n">
        <f aca="false">ROUND(INDEX(Archetypes!$E$2:$E$127, MATCH(D1977, Archetypes!$A$2:$A$127, 0))*INDEX(Unit_Grades!$B$2:$B$7, MATCH(F1977, Unit_Grades!$A$2:$A$7, 0))*INDEX(Unit_Paths!$B$2:$B$4, MATCH(E1977, Unit_Paths!$A$2:$A$4, 0)),1)</f>
        <v>1721.3</v>
      </c>
      <c r="I1977" s="6" t="n">
        <f aca="false">ROUND(INDEX(Archetypes!$F$2:$F$127, MATCH(D1977, Archetypes!$A$2:$A$127, 0))*INDEX(Unit_Grades!$B$2:$B$7, MATCH(F1977, Unit_Grades!$A$2:$A$7, 0))*INDEX(Unit_Paths!$C$2:$C$4, MATCH(E1977, Unit_Paths!$A$2:$A$4, 0)),1)</f>
        <v>1350</v>
      </c>
      <c r="J1977" s="6" t="n">
        <f aca="false">ROUND(INDEX(Archetypes!$G$2:$G$127, MATCH(D1977, Archetypes!$A$2:$A$127, 0))*INDEX(Unit_Grades!$B$2:$B$7, MATCH(F1977, Unit_Grades!$A$2:$A$7, 0))*INDEX(Unit_Paths!$D$2:$D$4, MATCH(E1977, Unit_Paths!$A$2:$A$4, 0)),0)</f>
        <v>8073</v>
      </c>
      <c r="K1977" s="6" t="n">
        <f aca="false">ROUND(INDEX(Archetypes!$H$2:$H$127, MATCH(D1977, Archetypes!$A$2:$A$127, 0))*INDEX(Unit_Paths!$E$2:$E$4, MATCH(E1977, Unit_Paths!$A$2:$A$4, 0)),1)</f>
        <v>101.2</v>
      </c>
      <c r="L1977" s="6" t="n">
        <f aca="false">ROUND(INDEX(Archetypes!$I$2:$I$127, MATCH(D1977, Archetypes!$A$2:$A$127, 0))*INDEX(Unit_Grades!$C$2:$C$7, MATCH(F1977, Unit_Grades!$A$2:$A$7, 0)),1)</f>
        <v>200</v>
      </c>
      <c r="M1977" s="6" t="n">
        <f aca="false">ROUND(INDEX(Archetypes!$J$2:$J$127, MATCH(D1977, Archetypes!$A$2:$A$127, 0))*INDEX(Unit_Grades!$D$2:$D$7, MATCH(F1977, Unit_Grades!$A$2:$A$7, 0)),1)</f>
        <v>97.4</v>
      </c>
      <c r="N1977" s="6" t="n">
        <f aca="false">ROUND(M1977/24,2)</f>
        <v>4.06</v>
      </c>
    </row>
    <row r="1978" customFormat="false" ht="15" hidden="false" customHeight="true" outlineLevel="0" collapsed="false">
      <c r="A1978" s="6" t="n">
        <v>7</v>
      </c>
      <c r="B1978" s="6" t="s">
        <v>3436</v>
      </c>
      <c r="C1978" s="6" t="s">
        <v>1499</v>
      </c>
      <c r="D1978" s="6" t="str">
        <f aca="false">A1978&amp;"|"&amp;C1978</f>
        <v>7|Void Reaver</v>
      </c>
      <c r="E1978" s="6" t="s">
        <v>1560</v>
      </c>
      <c r="F1978" s="6" t="s">
        <v>1542</v>
      </c>
      <c r="G1978" s="6" t="str">
        <f aca="false">INDEX(Archetypes!$D$2:$D$127, MATCH(D1978, Archetypes!$A$2:$A$127, 0))</f>
        <v>Skirmisher</v>
      </c>
      <c r="H1978" s="6" t="n">
        <f aca="false">ROUND(INDEX(Archetypes!$E$2:$E$127, MATCH(D1978, Archetypes!$A$2:$A$127, 0))*INDEX(Unit_Grades!$B$2:$B$7, MATCH(F1978, Unit_Grades!$A$2:$A$7, 0))*INDEX(Unit_Paths!$B$2:$B$4, MATCH(E1978, Unit_Paths!$A$2:$A$4, 0)),1)</f>
        <v>2295</v>
      </c>
      <c r="I1978" s="6" t="n">
        <f aca="false">ROUND(INDEX(Archetypes!$F$2:$F$127, MATCH(D1978, Archetypes!$A$2:$A$127, 0))*INDEX(Unit_Grades!$B$2:$B$7, MATCH(F1978, Unit_Grades!$A$2:$A$7, 0))*INDEX(Unit_Paths!$C$2:$C$4, MATCH(E1978, Unit_Paths!$A$2:$A$4, 0)),1)</f>
        <v>1800</v>
      </c>
      <c r="J1978" s="6" t="n">
        <f aca="false">ROUND(INDEX(Archetypes!$G$2:$G$127, MATCH(D1978, Archetypes!$A$2:$A$127, 0))*INDEX(Unit_Grades!$B$2:$B$7, MATCH(F1978, Unit_Grades!$A$2:$A$7, 0))*INDEX(Unit_Paths!$D$2:$D$4, MATCH(E1978, Unit_Paths!$A$2:$A$4, 0)),0)</f>
        <v>10764</v>
      </c>
      <c r="K1978" s="6" t="n">
        <f aca="false">ROUND(INDEX(Archetypes!$H$2:$H$127, MATCH(D1978, Archetypes!$A$2:$A$127, 0))*INDEX(Unit_Paths!$E$2:$E$4, MATCH(E1978, Unit_Paths!$A$2:$A$4, 0)),1)</f>
        <v>101.2</v>
      </c>
      <c r="L1978" s="6" t="n">
        <f aca="false">ROUND(INDEX(Archetypes!$I$2:$I$127, MATCH(D1978, Archetypes!$A$2:$A$127, 0))*INDEX(Unit_Grades!$C$2:$C$7, MATCH(F1978, Unit_Grades!$A$2:$A$7, 0)),1)</f>
        <v>256</v>
      </c>
      <c r="M1978" s="6" t="n">
        <f aca="false">ROUND(INDEX(Archetypes!$J$2:$J$127, MATCH(D1978, Archetypes!$A$2:$A$127, 0))*INDEX(Unit_Grades!$D$2:$D$7, MATCH(F1978, Unit_Grades!$A$2:$A$7, 0)),1)</f>
        <v>162.3</v>
      </c>
      <c r="N1978" s="6" t="n">
        <f aca="false">ROUND(M1978/24,2)</f>
        <v>6.76</v>
      </c>
    </row>
    <row r="1979" customFormat="false" ht="15" hidden="false" customHeight="true" outlineLevel="0" collapsed="false">
      <c r="A1979" s="6" t="n">
        <v>7</v>
      </c>
      <c r="B1979" s="6" t="s">
        <v>3437</v>
      </c>
      <c r="C1979" s="6" t="s">
        <v>1499</v>
      </c>
      <c r="D1979" s="6" t="str">
        <f aca="false">A1979&amp;"|"&amp;C1979</f>
        <v>7|Void Reaver</v>
      </c>
      <c r="E1979" s="6" t="s">
        <v>1560</v>
      </c>
      <c r="F1979" s="6" t="s">
        <v>1544</v>
      </c>
      <c r="G1979" s="6" t="str">
        <f aca="false">INDEX(Archetypes!$D$2:$D$127, MATCH(D1979, Archetypes!$A$2:$A$127, 0))</f>
        <v>Skirmisher</v>
      </c>
      <c r="H1979" s="6" t="n">
        <f aca="false">ROUND(INDEX(Archetypes!$E$2:$E$127, MATCH(D1979, Archetypes!$A$2:$A$127, 0))*INDEX(Unit_Grades!$B$2:$B$7, MATCH(F1979, Unit_Grades!$A$2:$A$7, 0))*INDEX(Unit_Paths!$B$2:$B$4, MATCH(E1979, Unit_Paths!$A$2:$A$4, 0)),1)</f>
        <v>3060</v>
      </c>
      <c r="I1979" s="6" t="n">
        <f aca="false">ROUND(INDEX(Archetypes!$F$2:$F$127, MATCH(D1979, Archetypes!$A$2:$A$127, 0))*INDEX(Unit_Grades!$B$2:$B$7, MATCH(F1979, Unit_Grades!$A$2:$A$7, 0))*INDEX(Unit_Paths!$C$2:$C$4, MATCH(E1979, Unit_Paths!$A$2:$A$4, 0)),1)</f>
        <v>2400</v>
      </c>
      <c r="J1979" s="6" t="n">
        <f aca="false">ROUND(INDEX(Archetypes!$G$2:$G$127, MATCH(D1979, Archetypes!$A$2:$A$127, 0))*INDEX(Unit_Grades!$B$2:$B$7, MATCH(F1979, Unit_Grades!$A$2:$A$7, 0))*INDEX(Unit_Paths!$D$2:$D$4, MATCH(E1979, Unit_Paths!$A$2:$A$4, 0)),0)</f>
        <v>14352</v>
      </c>
      <c r="K1979" s="6" t="n">
        <f aca="false">ROUND(INDEX(Archetypes!$H$2:$H$127, MATCH(D1979, Archetypes!$A$2:$A$127, 0))*INDEX(Unit_Paths!$E$2:$E$4, MATCH(E1979, Unit_Paths!$A$2:$A$4, 0)),1)</f>
        <v>101.2</v>
      </c>
      <c r="L1979" s="6" t="n">
        <f aca="false">ROUND(INDEX(Archetypes!$I$2:$I$127, MATCH(D1979, Archetypes!$A$2:$A$127, 0))*INDEX(Unit_Grades!$C$2:$C$7, MATCH(F1979, Unit_Grades!$A$2:$A$7, 0)),1)</f>
        <v>336</v>
      </c>
      <c r="M1979" s="6" t="n">
        <f aca="false">ROUND(INDEX(Archetypes!$J$2:$J$127, MATCH(D1979, Archetypes!$A$2:$A$127, 0))*INDEX(Unit_Grades!$D$2:$D$7, MATCH(F1979, Unit_Grades!$A$2:$A$7, 0)),1)</f>
        <v>259.7</v>
      </c>
      <c r="N1979" s="6" t="n">
        <f aca="false">ROUND(M1979/24,2)</f>
        <v>10.82</v>
      </c>
    </row>
    <row r="1980" customFormat="false" ht="15" hidden="false" customHeight="true" outlineLevel="0" collapsed="false">
      <c r="A1980" s="6" t="n">
        <v>7</v>
      </c>
      <c r="B1980" s="6" t="s">
        <v>3438</v>
      </c>
      <c r="C1980" s="6" t="s">
        <v>1499</v>
      </c>
      <c r="D1980" s="6" t="str">
        <f aca="false">A1980&amp;"|"&amp;C1980</f>
        <v>7|Void Reaver</v>
      </c>
      <c r="E1980" s="6" t="s">
        <v>1560</v>
      </c>
      <c r="F1980" s="6" t="s">
        <v>1546</v>
      </c>
      <c r="G1980" s="6" t="str">
        <f aca="false">INDEX(Archetypes!$D$2:$D$127, MATCH(D1980, Archetypes!$A$2:$A$127, 0))</f>
        <v>Skirmisher</v>
      </c>
      <c r="H1980" s="6" t="n">
        <f aca="false">ROUND(INDEX(Archetypes!$E$2:$E$127, MATCH(D1980, Archetypes!$A$2:$A$127, 0))*INDEX(Unit_Grades!$B$2:$B$7, MATCH(F1980, Unit_Grades!$A$2:$A$7, 0))*INDEX(Unit_Paths!$B$2:$B$4, MATCH(E1980, Unit_Paths!$A$2:$A$4, 0)),1)</f>
        <v>4080</v>
      </c>
      <c r="I1980" s="6" t="n">
        <f aca="false">ROUND(INDEX(Archetypes!$F$2:$F$127, MATCH(D1980, Archetypes!$A$2:$A$127, 0))*INDEX(Unit_Grades!$B$2:$B$7, MATCH(F1980, Unit_Grades!$A$2:$A$7, 0))*INDEX(Unit_Paths!$C$2:$C$4, MATCH(E1980, Unit_Paths!$A$2:$A$4, 0)),1)</f>
        <v>3200</v>
      </c>
      <c r="J1980" s="6" t="n">
        <f aca="false">ROUND(INDEX(Archetypes!$G$2:$G$127, MATCH(D1980, Archetypes!$A$2:$A$127, 0))*INDEX(Unit_Grades!$B$2:$B$7, MATCH(F1980, Unit_Grades!$A$2:$A$7, 0))*INDEX(Unit_Paths!$D$2:$D$4, MATCH(E1980, Unit_Paths!$A$2:$A$4, 0)),0)</f>
        <v>19136</v>
      </c>
      <c r="K1980" s="6" t="n">
        <f aca="false">ROUND(INDEX(Archetypes!$H$2:$H$127, MATCH(D1980, Archetypes!$A$2:$A$127, 0))*INDEX(Unit_Paths!$E$2:$E$4, MATCH(E1980, Unit_Paths!$A$2:$A$4, 0)),1)</f>
        <v>101.2</v>
      </c>
      <c r="L1980" s="6" t="n">
        <f aca="false">ROUND(INDEX(Archetypes!$I$2:$I$127, MATCH(D1980, Archetypes!$A$2:$A$127, 0))*INDEX(Unit_Grades!$C$2:$C$7, MATCH(F1980, Unit_Grades!$A$2:$A$7, 0)),1)</f>
        <v>448</v>
      </c>
      <c r="M1980" s="6" t="n">
        <f aca="false">ROUND(INDEX(Archetypes!$J$2:$J$127, MATCH(D1980, Archetypes!$A$2:$A$127, 0))*INDEX(Unit_Grades!$D$2:$D$7, MATCH(F1980, Unit_Grades!$A$2:$A$7, 0)),1)</f>
        <v>454.5</v>
      </c>
      <c r="N1980" s="6" t="n">
        <f aca="false">ROUND(M1980/24,2)</f>
        <v>18.94</v>
      </c>
    </row>
    <row r="1981" customFormat="false" ht="15" hidden="false" customHeight="true" outlineLevel="0" collapsed="false">
      <c r="A1981" s="6" t="n">
        <v>7</v>
      </c>
      <c r="B1981" s="6" t="s">
        <v>3439</v>
      </c>
      <c r="C1981" s="6" t="s">
        <v>1499</v>
      </c>
      <c r="D1981" s="6" t="str">
        <f aca="false">A1981&amp;"|"&amp;C1981</f>
        <v>7|Void Reaver</v>
      </c>
      <c r="E1981" s="6" t="s">
        <v>1560</v>
      </c>
      <c r="F1981" s="6" t="s">
        <v>1548</v>
      </c>
      <c r="G1981" s="6" t="str">
        <f aca="false">INDEX(Archetypes!$D$2:$D$127, MATCH(D1981, Archetypes!$A$2:$A$127, 0))</f>
        <v>Skirmisher</v>
      </c>
      <c r="H1981" s="6" t="n">
        <f aca="false">ROUND(INDEX(Archetypes!$E$2:$E$127, MATCH(D1981, Archetypes!$A$2:$A$127, 0))*INDEX(Unit_Grades!$B$2:$B$7, MATCH(F1981, Unit_Grades!$A$2:$A$7, 0))*INDEX(Unit_Paths!$B$2:$B$4, MATCH(E1981, Unit_Paths!$A$2:$A$4, 0)),1)</f>
        <v>5355</v>
      </c>
      <c r="I1981" s="6" t="n">
        <f aca="false">ROUND(INDEX(Archetypes!$F$2:$F$127, MATCH(D1981, Archetypes!$A$2:$A$127, 0))*INDEX(Unit_Grades!$B$2:$B$7, MATCH(F1981, Unit_Grades!$A$2:$A$7, 0))*INDEX(Unit_Paths!$C$2:$C$4, MATCH(E1981, Unit_Paths!$A$2:$A$4, 0)),1)</f>
        <v>4200</v>
      </c>
      <c r="J1981" s="6" t="n">
        <f aca="false">ROUND(INDEX(Archetypes!$G$2:$G$127, MATCH(D1981, Archetypes!$A$2:$A$127, 0))*INDEX(Unit_Grades!$B$2:$B$7, MATCH(F1981, Unit_Grades!$A$2:$A$7, 0))*INDEX(Unit_Paths!$D$2:$D$4, MATCH(E1981, Unit_Paths!$A$2:$A$4, 0)),0)</f>
        <v>25116</v>
      </c>
      <c r="K1981" s="6" t="n">
        <f aca="false">ROUND(INDEX(Archetypes!$H$2:$H$127, MATCH(D1981, Archetypes!$A$2:$A$127, 0))*INDEX(Unit_Paths!$E$2:$E$4, MATCH(E1981, Unit_Paths!$A$2:$A$4, 0)),1)</f>
        <v>101.2</v>
      </c>
      <c r="L1981" s="6" t="n">
        <f aca="false">ROUND(INDEX(Archetypes!$I$2:$I$127, MATCH(D1981, Archetypes!$A$2:$A$127, 0))*INDEX(Unit_Grades!$C$2:$C$7, MATCH(F1981, Unit_Grades!$A$2:$A$7, 0)),1)</f>
        <v>592</v>
      </c>
      <c r="M1981" s="6" t="n">
        <f aca="false">ROUND(INDEX(Archetypes!$J$2:$J$127, MATCH(D1981, Archetypes!$A$2:$A$127, 0))*INDEX(Unit_Grades!$D$2:$D$7, MATCH(F1981, Unit_Grades!$A$2:$A$7, 0)),1)</f>
        <v>779.2</v>
      </c>
      <c r="N1981" s="6" t="n">
        <f aca="false">ROUND(M1981/24,2)</f>
        <v>32.47</v>
      </c>
    </row>
    <row r="1982" customFormat="false" ht="15" hidden="false" customHeight="true" outlineLevel="0" collapsed="false">
      <c r="A1982" s="6" t="n">
        <v>7</v>
      </c>
      <c r="B1982" s="6" t="s">
        <v>1501</v>
      </c>
      <c r="C1982" s="6" t="s">
        <v>1501</v>
      </c>
      <c r="D1982" s="6" t="str">
        <f aca="false">A1982&amp;"|"&amp;C1982</f>
        <v>7|Bridge Guardian</v>
      </c>
      <c r="E1982" s="6" t="s">
        <v>1556</v>
      </c>
      <c r="F1982" s="6" t="s">
        <v>1538</v>
      </c>
      <c r="G1982" s="6" t="str">
        <f aca="false">INDEX(Archetypes!$D$2:$D$127, MATCH(D1982, Archetypes!$A$2:$A$127, 0))</f>
        <v>Static Defense</v>
      </c>
      <c r="H1982" s="6" t="n">
        <f aca="false">ROUND(INDEX(Archetypes!$E$2:$E$127, MATCH(D1982, Archetypes!$A$2:$A$127, 0))*INDEX(Unit_Grades!$B$2:$B$7, MATCH(F1982, Unit_Grades!$A$2:$A$7, 0))*INDEX(Unit_Paths!$B$2:$B$4, MATCH(E1982, Unit_Paths!$A$2:$A$4, 0)),1)</f>
        <v>2000</v>
      </c>
      <c r="I1982" s="6" t="n">
        <f aca="false">ROUND(INDEX(Archetypes!$F$2:$F$127, MATCH(D1982, Archetypes!$A$2:$A$127, 0))*INDEX(Unit_Grades!$B$2:$B$7, MATCH(F1982, Unit_Grades!$A$2:$A$7, 0))*INDEX(Unit_Paths!$C$2:$C$4, MATCH(E1982, Unit_Paths!$A$2:$A$4, 0)),1)</f>
        <v>2200</v>
      </c>
      <c r="J1982" s="6" t="n">
        <f aca="false">ROUND(INDEX(Archetypes!$G$2:$G$127, MATCH(D1982, Archetypes!$A$2:$A$127, 0))*INDEX(Unit_Grades!$B$2:$B$7, MATCH(F1982, Unit_Grades!$A$2:$A$7, 0))*INDEX(Unit_Paths!$D$2:$D$4, MATCH(E1982, Unit_Paths!$A$2:$A$4, 0)),0)</f>
        <v>12000</v>
      </c>
      <c r="K1982" s="6" t="n">
        <f aca="false">ROUND(INDEX(Archetypes!$H$2:$H$127, MATCH(D1982, Archetypes!$A$2:$A$127, 0))*INDEX(Unit_Paths!$E$2:$E$4, MATCH(E1982, Unit_Paths!$A$2:$A$4, 0)),1)</f>
        <v>0</v>
      </c>
      <c r="L1982" s="6" t="n">
        <f aca="false">ROUND(INDEX(Archetypes!$I$2:$I$127, MATCH(D1982, Archetypes!$A$2:$A$127, 0))*INDEX(Unit_Grades!$C$2:$C$7, MATCH(F1982, Unit_Grades!$A$2:$A$7, 0)),1)</f>
        <v>220</v>
      </c>
      <c r="M1982" s="6" t="n">
        <f aca="false">ROUND(INDEX(Archetypes!$J$2:$J$127, MATCH(D1982, Archetypes!$A$2:$A$127, 0))*INDEX(Unit_Grades!$D$2:$D$7, MATCH(F1982, Unit_Grades!$A$2:$A$7, 0)),1)</f>
        <v>89.3</v>
      </c>
      <c r="N1982" s="6" t="n">
        <f aca="false">ROUND(M1982/24,2)</f>
        <v>3.72</v>
      </c>
    </row>
    <row r="1983" customFormat="false" ht="15" hidden="false" customHeight="true" outlineLevel="0" collapsed="false">
      <c r="A1983" s="6" t="n">
        <v>7</v>
      </c>
      <c r="B1983" s="6" t="s">
        <v>3440</v>
      </c>
      <c r="C1983" s="6" t="s">
        <v>1501</v>
      </c>
      <c r="D1983" s="6" t="str">
        <f aca="false">A1983&amp;"|"&amp;C1983</f>
        <v>7|Bridge Guardian</v>
      </c>
      <c r="E1983" s="6" t="s">
        <v>1556</v>
      </c>
      <c r="F1983" s="6" t="s">
        <v>1540</v>
      </c>
      <c r="G1983" s="6" t="str">
        <f aca="false">INDEX(Archetypes!$D$2:$D$127, MATCH(D1983, Archetypes!$A$2:$A$127, 0))</f>
        <v>Static Defense</v>
      </c>
      <c r="H1983" s="6" t="n">
        <f aca="false">ROUND(INDEX(Archetypes!$E$2:$E$127, MATCH(D1983, Archetypes!$A$2:$A$127, 0))*INDEX(Unit_Grades!$B$2:$B$7, MATCH(F1983, Unit_Grades!$A$2:$A$7, 0))*INDEX(Unit_Paths!$B$2:$B$4, MATCH(E1983, Unit_Paths!$A$2:$A$4, 0)),1)</f>
        <v>2700</v>
      </c>
      <c r="I1983" s="6" t="n">
        <f aca="false">ROUND(INDEX(Archetypes!$F$2:$F$127, MATCH(D1983, Archetypes!$A$2:$A$127, 0))*INDEX(Unit_Grades!$B$2:$B$7, MATCH(F1983, Unit_Grades!$A$2:$A$7, 0))*INDEX(Unit_Paths!$C$2:$C$4, MATCH(E1983, Unit_Paths!$A$2:$A$4, 0)),1)</f>
        <v>2970</v>
      </c>
      <c r="J1983" s="6" t="n">
        <f aca="false">ROUND(INDEX(Archetypes!$G$2:$G$127, MATCH(D1983, Archetypes!$A$2:$A$127, 0))*INDEX(Unit_Grades!$B$2:$B$7, MATCH(F1983, Unit_Grades!$A$2:$A$7, 0))*INDEX(Unit_Paths!$D$2:$D$4, MATCH(E1983, Unit_Paths!$A$2:$A$4, 0)),0)</f>
        <v>16200</v>
      </c>
      <c r="K1983" s="6" t="n">
        <f aca="false">ROUND(INDEX(Archetypes!$H$2:$H$127, MATCH(D1983, Archetypes!$A$2:$A$127, 0))*INDEX(Unit_Paths!$E$2:$E$4, MATCH(E1983, Unit_Paths!$A$2:$A$4, 0)),1)</f>
        <v>0</v>
      </c>
      <c r="L1983" s="6" t="n">
        <f aca="false">ROUND(INDEX(Archetypes!$I$2:$I$127, MATCH(D1983, Archetypes!$A$2:$A$127, 0))*INDEX(Unit_Grades!$C$2:$C$7, MATCH(F1983, Unit_Grades!$A$2:$A$7, 0)),1)</f>
        <v>275</v>
      </c>
      <c r="M1983" s="6" t="n">
        <f aca="false">ROUND(INDEX(Archetypes!$J$2:$J$127, MATCH(D1983, Archetypes!$A$2:$A$127, 0))*INDEX(Unit_Grades!$D$2:$D$7, MATCH(F1983, Unit_Grades!$A$2:$A$7, 0)),1)</f>
        <v>133.9</v>
      </c>
      <c r="N1983" s="6" t="n">
        <f aca="false">ROUND(M1983/24,2)</f>
        <v>5.58</v>
      </c>
    </row>
    <row r="1984" customFormat="false" ht="15" hidden="false" customHeight="true" outlineLevel="0" collapsed="false">
      <c r="A1984" s="6" t="n">
        <v>7</v>
      </c>
      <c r="B1984" s="6" t="s">
        <v>3441</v>
      </c>
      <c r="C1984" s="6" t="s">
        <v>1501</v>
      </c>
      <c r="D1984" s="6" t="str">
        <f aca="false">A1984&amp;"|"&amp;C1984</f>
        <v>7|Bridge Guardian</v>
      </c>
      <c r="E1984" s="6" t="s">
        <v>1556</v>
      </c>
      <c r="F1984" s="6" t="s">
        <v>1542</v>
      </c>
      <c r="G1984" s="6" t="str">
        <f aca="false">INDEX(Archetypes!$D$2:$D$127, MATCH(D1984, Archetypes!$A$2:$A$127, 0))</f>
        <v>Static Defense</v>
      </c>
      <c r="H1984" s="6" t="n">
        <f aca="false">ROUND(INDEX(Archetypes!$E$2:$E$127, MATCH(D1984, Archetypes!$A$2:$A$127, 0))*INDEX(Unit_Grades!$B$2:$B$7, MATCH(F1984, Unit_Grades!$A$2:$A$7, 0))*INDEX(Unit_Paths!$B$2:$B$4, MATCH(E1984, Unit_Paths!$A$2:$A$4, 0)),1)</f>
        <v>3600</v>
      </c>
      <c r="I1984" s="6" t="n">
        <f aca="false">ROUND(INDEX(Archetypes!$F$2:$F$127, MATCH(D1984, Archetypes!$A$2:$A$127, 0))*INDEX(Unit_Grades!$B$2:$B$7, MATCH(F1984, Unit_Grades!$A$2:$A$7, 0))*INDEX(Unit_Paths!$C$2:$C$4, MATCH(E1984, Unit_Paths!$A$2:$A$4, 0)),1)</f>
        <v>3960</v>
      </c>
      <c r="J1984" s="6" t="n">
        <f aca="false">ROUND(INDEX(Archetypes!$G$2:$G$127, MATCH(D1984, Archetypes!$A$2:$A$127, 0))*INDEX(Unit_Grades!$B$2:$B$7, MATCH(F1984, Unit_Grades!$A$2:$A$7, 0))*INDEX(Unit_Paths!$D$2:$D$4, MATCH(E1984, Unit_Paths!$A$2:$A$4, 0)),0)</f>
        <v>21600</v>
      </c>
      <c r="K1984" s="6" t="n">
        <f aca="false">ROUND(INDEX(Archetypes!$H$2:$H$127, MATCH(D1984, Archetypes!$A$2:$A$127, 0))*INDEX(Unit_Paths!$E$2:$E$4, MATCH(E1984, Unit_Paths!$A$2:$A$4, 0)),1)</f>
        <v>0</v>
      </c>
      <c r="L1984" s="6" t="n">
        <f aca="false">ROUND(INDEX(Archetypes!$I$2:$I$127, MATCH(D1984, Archetypes!$A$2:$A$127, 0))*INDEX(Unit_Grades!$C$2:$C$7, MATCH(F1984, Unit_Grades!$A$2:$A$7, 0)),1)</f>
        <v>352</v>
      </c>
      <c r="M1984" s="6" t="n">
        <f aca="false">ROUND(INDEX(Archetypes!$J$2:$J$127, MATCH(D1984, Archetypes!$A$2:$A$127, 0))*INDEX(Unit_Grades!$D$2:$D$7, MATCH(F1984, Unit_Grades!$A$2:$A$7, 0)),1)</f>
        <v>223.2</v>
      </c>
      <c r="N1984" s="6" t="n">
        <f aca="false">ROUND(M1984/24,2)</f>
        <v>9.3</v>
      </c>
    </row>
    <row r="1985" customFormat="false" ht="15" hidden="false" customHeight="true" outlineLevel="0" collapsed="false">
      <c r="A1985" s="6" t="n">
        <v>7</v>
      </c>
      <c r="B1985" s="6" t="s">
        <v>3442</v>
      </c>
      <c r="C1985" s="6" t="s">
        <v>1501</v>
      </c>
      <c r="D1985" s="6" t="str">
        <f aca="false">A1985&amp;"|"&amp;C1985</f>
        <v>7|Bridge Guardian</v>
      </c>
      <c r="E1985" s="6" t="s">
        <v>1556</v>
      </c>
      <c r="F1985" s="6" t="s">
        <v>1544</v>
      </c>
      <c r="G1985" s="6" t="str">
        <f aca="false">INDEX(Archetypes!$D$2:$D$127, MATCH(D1985, Archetypes!$A$2:$A$127, 0))</f>
        <v>Static Defense</v>
      </c>
      <c r="H1985" s="6" t="n">
        <f aca="false">ROUND(INDEX(Archetypes!$E$2:$E$127, MATCH(D1985, Archetypes!$A$2:$A$127, 0))*INDEX(Unit_Grades!$B$2:$B$7, MATCH(F1985, Unit_Grades!$A$2:$A$7, 0))*INDEX(Unit_Paths!$B$2:$B$4, MATCH(E1985, Unit_Paths!$A$2:$A$4, 0)),1)</f>
        <v>4800</v>
      </c>
      <c r="I1985" s="6" t="n">
        <f aca="false">ROUND(INDEX(Archetypes!$F$2:$F$127, MATCH(D1985, Archetypes!$A$2:$A$127, 0))*INDEX(Unit_Grades!$B$2:$B$7, MATCH(F1985, Unit_Grades!$A$2:$A$7, 0))*INDEX(Unit_Paths!$C$2:$C$4, MATCH(E1985, Unit_Paths!$A$2:$A$4, 0)),1)</f>
        <v>5280</v>
      </c>
      <c r="J1985" s="6" t="n">
        <f aca="false">ROUND(INDEX(Archetypes!$G$2:$G$127, MATCH(D1985, Archetypes!$A$2:$A$127, 0))*INDEX(Unit_Grades!$B$2:$B$7, MATCH(F1985, Unit_Grades!$A$2:$A$7, 0))*INDEX(Unit_Paths!$D$2:$D$4, MATCH(E1985, Unit_Paths!$A$2:$A$4, 0)),0)</f>
        <v>28800</v>
      </c>
      <c r="K1985" s="6" t="n">
        <f aca="false">ROUND(INDEX(Archetypes!$H$2:$H$127, MATCH(D1985, Archetypes!$A$2:$A$127, 0))*INDEX(Unit_Paths!$E$2:$E$4, MATCH(E1985, Unit_Paths!$A$2:$A$4, 0)),1)</f>
        <v>0</v>
      </c>
      <c r="L1985" s="6" t="n">
        <f aca="false">ROUND(INDEX(Archetypes!$I$2:$I$127, MATCH(D1985, Archetypes!$A$2:$A$127, 0))*INDEX(Unit_Grades!$C$2:$C$7, MATCH(F1985, Unit_Grades!$A$2:$A$7, 0)),1)</f>
        <v>462</v>
      </c>
      <c r="M1985" s="6" t="n">
        <f aca="false">ROUND(INDEX(Archetypes!$J$2:$J$127, MATCH(D1985, Archetypes!$A$2:$A$127, 0))*INDEX(Unit_Grades!$D$2:$D$7, MATCH(F1985, Unit_Grades!$A$2:$A$7, 0)),1)</f>
        <v>357.1</v>
      </c>
      <c r="N1985" s="6" t="n">
        <f aca="false">ROUND(M1985/24,2)</f>
        <v>14.88</v>
      </c>
    </row>
    <row r="1986" customFormat="false" ht="15" hidden="false" customHeight="true" outlineLevel="0" collapsed="false">
      <c r="A1986" s="6" t="n">
        <v>7</v>
      </c>
      <c r="B1986" s="6" t="s">
        <v>3443</v>
      </c>
      <c r="C1986" s="6" t="s">
        <v>1501</v>
      </c>
      <c r="D1986" s="6" t="str">
        <f aca="false">A1986&amp;"|"&amp;C1986</f>
        <v>7|Bridge Guardian</v>
      </c>
      <c r="E1986" s="6" t="s">
        <v>1556</v>
      </c>
      <c r="F1986" s="6" t="s">
        <v>1546</v>
      </c>
      <c r="G1986" s="6" t="str">
        <f aca="false">INDEX(Archetypes!$D$2:$D$127, MATCH(D1986, Archetypes!$A$2:$A$127, 0))</f>
        <v>Static Defense</v>
      </c>
      <c r="H1986" s="6" t="n">
        <f aca="false">ROUND(INDEX(Archetypes!$E$2:$E$127, MATCH(D1986, Archetypes!$A$2:$A$127, 0))*INDEX(Unit_Grades!$B$2:$B$7, MATCH(F1986, Unit_Grades!$A$2:$A$7, 0))*INDEX(Unit_Paths!$B$2:$B$4, MATCH(E1986, Unit_Paths!$A$2:$A$4, 0)),1)</f>
        <v>6400</v>
      </c>
      <c r="I1986" s="6" t="n">
        <f aca="false">ROUND(INDEX(Archetypes!$F$2:$F$127, MATCH(D1986, Archetypes!$A$2:$A$127, 0))*INDEX(Unit_Grades!$B$2:$B$7, MATCH(F1986, Unit_Grades!$A$2:$A$7, 0))*INDEX(Unit_Paths!$C$2:$C$4, MATCH(E1986, Unit_Paths!$A$2:$A$4, 0)),1)</f>
        <v>7040</v>
      </c>
      <c r="J1986" s="6" t="n">
        <f aca="false">ROUND(INDEX(Archetypes!$G$2:$G$127, MATCH(D1986, Archetypes!$A$2:$A$127, 0))*INDEX(Unit_Grades!$B$2:$B$7, MATCH(F1986, Unit_Grades!$A$2:$A$7, 0))*INDEX(Unit_Paths!$D$2:$D$4, MATCH(E1986, Unit_Paths!$A$2:$A$4, 0)),0)</f>
        <v>38400</v>
      </c>
      <c r="K1986" s="6" t="n">
        <f aca="false">ROUND(INDEX(Archetypes!$H$2:$H$127, MATCH(D1986, Archetypes!$A$2:$A$127, 0))*INDEX(Unit_Paths!$E$2:$E$4, MATCH(E1986, Unit_Paths!$A$2:$A$4, 0)),1)</f>
        <v>0</v>
      </c>
      <c r="L1986" s="6" t="n">
        <f aca="false">ROUND(INDEX(Archetypes!$I$2:$I$127, MATCH(D1986, Archetypes!$A$2:$A$127, 0))*INDEX(Unit_Grades!$C$2:$C$7, MATCH(F1986, Unit_Grades!$A$2:$A$7, 0)),1)</f>
        <v>616</v>
      </c>
      <c r="M1986" s="6" t="n">
        <f aca="false">ROUND(INDEX(Archetypes!$J$2:$J$127, MATCH(D1986, Archetypes!$A$2:$A$127, 0))*INDEX(Unit_Grades!$D$2:$D$7, MATCH(F1986, Unit_Grades!$A$2:$A$7, 0)),1)</f>
        <v>625</v>
      </c>
      <c r="N1986" s="6" t="n">
        <f aca="false">ROUND(M1986/24,2)</f>
        <v>26.04</v>
      </c>
    </row>
    <row r="1987" customFormat="false" ht="15" hidden="false" customHeight="true" outlineLevel="0" collapsed="false">
      <c r="A1987" s="6" t="n">
        <v>7</v>
      </c>
      <c r="B1987" s="6" t="s">
        <v>3444</v>
      </c>
      <c r="C1987" s="6" t="s">
        <v>1501</v>
      </c>
      <c r="D1987" s="6" t="str">
        <f aca="false">A1987&amp;"|"&amp;C1987</f>
        <v>7|Bridge Guardian</v>
      </c>
      <c r="E1987" s="6" t="s">
        <v>1556</v>
      </c>
      <c r="F1987" s="6" t="s">
        <v>1548</v>
      </c>
      <c r="G1987" s="6" t="str">
        <f aca="false">INDEX(Archetypes!$D$2:$D$127, MATCH(D1987, Archetypes!$A$2:$A$127, 0))</f>
        <v>Static Defense</v>
      </c>
      <c r="H1987" s="6" t="n">
        <f aca="false">ROUND(INDEX(Archetypes!$E$2:$E$127, MATCH(D1987, Archetypes!$A$2:$A$127, 0))*INDEX(Unit_Grades!$B$2:$B$7, MATCH(F1987, Unit_Grades!$A$2:$A$7, 0))*INDEX(Unit_Paths!$B$2:$B$4, MATCH(E1987, Unit_Paths!$A$2:$A$4, 0)),1)</f>
        <v>8400</v>
      </c>
      <c r="I1987" s="6" t="n">
        <f aca="false">ROUND(INDEX(Archetypes!$F$2:$F$127, MATCH(D1987, Archetypes!$A$2:$A$127, 0))*INDEX(Unit_Grades!$B$2:$B$7, MATCH(F1987, Unit_Grades!$A$2:$A$7, 0))*INDEX(Unit_Paths!$C$2:$C$4, MATCH(E1987, Unit_Paths!$A$2:$A$4, 0)),1)</f>
        <v>9240</v>
      </c>
      <c r="J1987" s="6" t="n">
        <f aca="false">ROUND(INDEX(Archetypes!$G$2:$G$127, MATCH(D1987, Archetypes!$A$2:$A$127, 0))*INDEX(Unit_Grades!$B$2:$B$7, MATCH(F1987, Unit_Grades!$A$2:$A$7, 0))*INDEX(Unit_Paths!$D$2:$D$4, MATCH(E1987, Unit_Paths!$A$2:$A$4, 0)),0)</f>
        <v>50400</v>
      </c>
      <c r="K1987" s="6" t="n">
        <f aca="false">ROUND(INDEX(Archetypes!$H$2:$H$127, MATCH(D1987, Archetypes!$A$2:$A$127, 0))*INDEX(Unit_Paths!$E$2:$E$4, MATCH(E1987, Unit_Paths!$A$2:$A$4, 0)),1)</f>
        <v>0</v>
      </c>
      <c r="L1987" s="6" t="n">
        <f aca="false">ROUND(INDEX(Archetypes!$I$2:$I$127, MATCH(D1987, Archetypes!$A$2:$A$127, 0))*INDEX(Unit_Grades!$C$2:$C$7, MATCH(F1987, Unit_Grades!$A$2:$A$7, 0)),1)</f>
        <v>814</v>
      </c>
      <c r="M1987" s="6" t="n">
        <f aca="false">ROUND(INDEX(Archetypes!$J$2:$J$127, MATCH(D1987, Archetypes!$A$2:$A$127, 0))*INDEX(Unit_Grades!$D$2:$D$7, MATCH(F1987, Unit_Grades!$A$2:$A$7, 0)),1)</f>
        <v>1071.4</v>
      </c>
      <c r="N1987" s="6" t="n">
        <f aca="false">ROUND(M1987/24,2)</f>
        <v>44.64</v>
      </c>
    </row>
    <row r="1988" customFormat="false" ht="15" hidden="false" customHeight="true" outlineLevel="0" collapsed="false">
      <c r="A1988" s="6" t="n">
        <v>7</v>
      </c>
      <c r="B1988" s="6" t="s">
        <v>3445</v>
      </c>
      <c r="C1988" s="6" t="s">
        <v>1501</v>
      </c>
      <c r="D1988" s="6" t="str">
        <f aca="false">A1988&amp;"|"&amp;C1988</f>
        <v>7|Bridge Guardian</v>
      </c>
      <c r="E1988" s="6" t="s">
        <v>1558</v>
      </c>
      <c r="F1988" s="6" t="s">
        <v>1538</v>
      </c>
      <c r="G1988" s="6" t="str">
        <f aca="false">INDEX(Archetypes!$D$2:$D$127, MATCH(D1988, Archetypes!$A$2:$A$127, 0))</f>
        <v>Static Defense</v>
      </c>
      <c r="H1988" s="6" t="n">
        <f aca="false">ROUND(INDEX(Archetypes!$E$2:$E$127, MATCH(D1988, Archetypes!$A$2:$A$127, 0))*INDEX(Unit_Grades!$B$2:$B$7, MATCH(F1988, Unit_Grades!$A$2:$A$7, 0))*INDEX(Unit_Paths!$B$2:$B$4, MATCH(E1988, Unit_Paths!$A$2:$A$4, 0)),1)</f>
        <v>2400</v>
      </c>
      <c r="I1988" s="6" t="n">
        <f aca="false">ROUND(INDEX(Archetypes!$F$2:$F$127, MATCH(D1988, Archetypes!$A$2:$A$127, 0))*INDEX(Unit_Grades!$B$2:$B$7, MATCH(F1988, Unit_Grades!$A$2:$A$7, 0))*INDEX(Unit_Paths!$C$2:$C$4, MATCH(E1988, Unit_Paths!$A$2:$A$4, 0)),1)</f>
        <v>1870</v>
      </c>
      <c r="J1988" s="6" t="n">
        <f aca="false">ROUND(INDEX(Archetypes!$G$2:$G$127, MATCH(D1988, Archetypes!$A$2:$A$127, 0))*INDEX(Unit_Grades!$B$2:$B$7, MATCH(F1988, Unit_Grades!$A$2:$A$7, 0))*INDEX(Unit_Paths!$D$2:$D$4, MATCH(E1988, Unit_Paths!$A$2:$A$4, 0)),0)</f>
        <v>11400</v>
      </c>
      <c r="K1988" s="6" t="n">
        <f aca="false">ROUND(INDEX(Archetypes!$H$2:$H$127, MATCH(D1988, Archetypes!$A$2:$A$127, 0))*INDEX(Unit_Paths!$E$2:$E$4, MATCH(E1988, Unit_Paths!$A$2:$A$4, 0)),1)</f>
        <v>0</v>
      </c>
      <c r="L1988" s="6" t="n">
        <f aca="false">ROUND(INDEX(Archetypes!$I$2:$I$127, MATCH(D1988, Archetypes!$A$2:$A$127, 0))*INDEX(Unit_Grades!$C$2:$C$7, MATCH(F1988, Unit_Grades!$A$2:$A$7, 0)),1)</f>
        <v>220</v>
      </c>
      <c r="M1988" s="6" t="n">
        <f aca="false">ROUND(INDEX(Archetypes!$J$2:$J$127, MATCH(D1988, Archetypes!$A$2:$A$127, 0))*INDEX(Unit_Grades!$D$2:$D$7, MATCH(F1988, Unit_Grades!$A$2:$A$7, 0)),1)</f>
        <v>89.3</v>
      </c>
      <c r="N1988" s="6" t="n">
        <f aca="false">ROUND(M1988/24,2)</f>
        <v>3.72</v>
      </c>
    </row>
    <row r="1989" customFormat="false" ht="15" hidden="false" customHeight="true" outlineLevel="0" collapsed="false">
      <c r="A1989" s="6" t="n">
        <v>7</v>
      </c>
      <c r="B1989" s="6" t="s">
        <v>3446</v>
      </c>
      <c r="C1989" s="6" t="s">
        <v>1501</v>
      </c>
      <c r="D1989" s="6" t="str">
        <f aca="false">A1989&amp;"|"&amp;C1989</f>
        <v>7|Bridge Guardian</v>
      </c>
      <c r="E1989" s="6" t="s">
        <v>1558</v>
      </c>
      <c r="F1989" s="6" t="s">
        <v>1540</v>
      </c>
      <c r="G1989" s="6" t="str">
        <f aca="false">INDEX(Archetypes!$D$2:$D$127, MATCH(D1989, Archetypes!$A$2:$A$127, 0))</f>
        <v>Static Defense</v>
      </c>
      <c r="H1989" s="6" t="n">
        <f aca="false">ROUND(INDEX(Archetypes!$E$2:$E$127, MATCH(D1989, Archetypes!$A$2:$A$127, 0))*INDEX(Unit_Grades!$B$2:$B$7, MATCH(F1989, Unit_Grades!$A$2:$A$7, 0))*INDEX(Unit_Paths!$B$2:$B$4, MATCH(E1989, Unit_Paths!$A$2:$A$4, 0)),1)</f>
        <v>3240</v>
      </c>
      <c r="I1989" s="6" t="n">
        <f aca="false">ROUND(INDEX(Archetypes!$F$2:$F$127, MATCH(D1989, Archetypes!$A$2:$A$127, 0))*INDEX(Unit_Grades!$B$2:$B$7, MATCH(F1989, Unit_Grades!$A$2:$A$7, 0))*INDEX(Unit_Paths!$C$2:$C$4, MATCH(E1989, Unit_Paths!$A$2:$A$4, 0)),1)</f>
        <v>2524.5</v>
      </c>
      <c r="J1989" s="6" t="n">
        <f aca="false">ROUND(INDEX(Archetypes!$G$2:$G$127, MATCH(D1989, Archetypes!$A$2:$A$127, 0))*INDEX(Unit_Grades!$B$2:$B$7, MATCH(F1989, Unit_Grades!$A$2:$A$7, 0))*INDEX(Unit_Paths!$D$2:$D$4, MATCH(E1989, Unit_Paths!$A$2:$A$4, 0)),0)</f>
        <v>15390</v>
      </c>
      <c r="K1989" s="6" t="n">
        <f aca="false">ROUND(INDEX(Archetypes!$H$2:$H$127, MATCH(D1989, Archetypes!$A$2:$A$127, 0))*INDEX(Unit_Paths!$E$2:$E$4, MATCH(E1989, Unit_Paths!$A$2:$A$4, 0)),1)</f>
        <v>0</v>
      </c>
      <c r="L1989" s="6" t="n">
        <f aca="false">ROUND(INDEX(Archetypes!$I$2:$I$127, MATCH(D1989, Archetypes!$A$2:$A$127, 0))*INDEX(Unit_Grades!$C$2:$C$7, MATCH(F1989, Unit_Grades!$A$2:$A$7, 0)),1)</f>
        <v>275</v>
      </c>
      <c r="M1989" s="6" t="n">
        <f aca="false">ROUND(INDEX(Archetypes!$J$2:$J$127, MATCH(D1989, Archetypes!$A$2:$A$127, 0))*INDEX(Unit_Grades!$D$2:$D$7, MATCH(F1989, Unit_Grades!$A$2:$A$7, 0)),1)</f>
        <v>133.9</v>
      </c>
      <c r="N1989" s="6" t="n">
        <f aca="false">ROUND(M1989/24,2)</f>
        <v>5.58</v>
      </c>
    </row>
    <row r="1990" customFormat="false" ht="15" hidden="false" customHeight="true" outlineLevel="0" collapsed="false">
      <c r="A1990" s="6" t="n">
        <v>7</v>
      </c>
      <c r="B1990" s="6" t="s">
        <v>3447</v>
      </c>
      <c r="C1990" s="6" t="s">
        <v>1501</v>
      </c>
      <c r="D1990" s="6" t="str">
        <f aca="false">A1990&amp;"|"&amp;C1990</f>
        <v>7|Bridge Guardian</v>
      </c>
      <c r="E1990" s="6" t="s">
        <v>1558</v>
      </c>
      <c r="F1990" s="6" t="s">
        <v>1542</v>
      </c>
      <c r="G1990" s="6" t="str">
        <f aca="false">INDEX(Archetypes!$D$2:$D$127, MATCH(D1990, Archetypes!$A$2:$A$127, 0))</f>
        <v>Static Defense</v>
      </c>
      <c r="H1990" s="6" t="n">
        <f aca="false">ROUND(INDEX(Archetypes!$E$2:$E$127, MATCH(D1990, Archetypes!$A$2:$A$127, 0))*INDEX(Unit_Grades!$B$2:$B$7, MATCH(F1990, Unit_Grades!$A$2:$A$7, 0))*INDEX(Unit_Paths!$B$2:$B$4, MATCH(E1990, Unit_Paths!$A$2:$A$4, 0)),1)</f>
        <v>4320</v>
      </c>
      <c r="I1990" s="6" t="n">
        <f aca="false">ROUND(INDEX(Archetypes!$F$2:$F$127, MATCH(D1990, Archetypes!$A$2:$A$127, 0))*INDEX(Unit_Grades!$B$2:$B$7, MATCH(F1990, Unit_Grades!$A$2:$A$7, 0))*INDEX(Unit_Paths!$C$2:$C$4, MATCH(E1990, Unit_Paths!$A$2:$A$4, 0)),1)</f>
        <v>3366</v>
      </c>
      <c r="J1990" s="6" t="n">
        <f aca="false">ROUND(INDEX(Archetypes!$G$2:$G$127, MATCH(D1990, Archetypes!$A$2:$A$127, 0))*INDEX(Unit_Grades!$B$2:$B$7, MATCH(F1990, Unit_Grades!$A$2:$A$7, 0))*INDEX(Unit_Paths!$D$2:$D$4, MATCH(E1990, Unit_Paths!$A$2:$A$4, 0)),0)</f>
        <v>20520</v>
      </c>
      <c r="K1990" s="6" t="n">
        <f aca="false">ROUND(INDEX(Archetypes!$H$2:$H$127, MATCH(D1990, Archetypes!$A$2:$A$127, 0))*INDEX(Unit_Paths!$E$2:$E$4, MATCH(E1990, Unit_Paths!$A$2:$A$4, 0)),1)</f>
        <v>0</v>
      </c>
      <c r="L1990" s="6" t="n">
        <f aca="false">ROUND(INDEX(Archetypes!$I$2:$I$127, MATCH(D1990, Archetypes!$A$2:$A$127, 0))*INDEX(Unit_Grades!$C$2:$C$7, MATCH(F1990, Unit_Grades!$A$2:$A$7, 0)),1)</f>
        <v>352</v>
      </c>
      <c r="M1990" s="6" t="n">
        <f aca="false">ROUND(INDEX(Archetypes!$J$2:$J$127, MATCH(D1990, Archetypes!$A$2:$A$127, 0))*INDEX(Unit_Grades!$D$2:$D$7, MATCH(F1990, Unit_Grades!$A$2:$A$7, 0)),1)</f>
        <v>223.2</v>
      </c>
      <c r="N1990" s="6" t="n">
        <f aca="false">ROUND(M1990/24,2)</f>
        <v>9.3</v>
      </c>
    </row>
    <row r="1991" customFormat="false" ht="15" hidden="false" customHeight="true" outlineLevel="0" collapsed="false">
      <c r="A1991" s="6" t="n">
        <v>7</v>
      </c>
      <c r="B1991" s="6" t="s">
        <v>3448</v>
      </c>
      <c r="C1991" s="6" t="s">
        <v>1501</v>
      </c>
      <c r="D1991" s="6" t="str">
        <f aca="false">A1991&amp;"|"&amp;C1991</f>
        <v>7|Bridge Guardian</v>
      </c>
      <c r="E1991" s="6" t="s">
        <v>1558</v>
      </c>
      <c r="F1991" s="6" t="s">
        <v>1544</v>
      </c>
      <c r="G1991" s="6" t="str">
        <f aca="false">INDEX(Archetypes!$D$2:$D$127, MATCH(D1991, Archetypes!$A$2:$A$127, 0))</f>
        <v>Static Defense</v>
      </c>
      <c r="H1991" s="6" t="n">
        <f aca="false">ROUND(INDEX(Archetypes!$E$2:$E$127, MATCH(D1991, Archetypes!$A$2:$A$127, 0))*INDEX(Unit_Grades!$B$2:$B$7, MATCH(F1991, Unit_Grades!$A$2:$A$7, 0))*INDEX(Unit_Paths!$B$2:$B$4, MATCH(E1991, Unit_Paths!$A$2:$A$4, 0)),1)</f>
        <v>5760</v>
      </c>
      <c r="I1991" s="6" t="n">
        <f aca="false">ROUND(INDEX(Archetypes!$F$2:$F$127, MATCH(D1991, Archetypes!$A$2:$A$127, 0))*INDEX(Unit_Grades!$B$2:$B$7, MATCH(F1991, Unit_Grades!$A$2:$A$7, 0))*INDEX(Unit_Paths!$C$2:$C$4, MATCH(E1991, Unit_Paths!$A$2:$A$4, 0)),1)</f>
        <v>4488</v>
      </c>
      <c r="J1991" s="6" t="n">
        <f aca="false">ROUND(INDEX(Archetypes!$G$2:$G$127, MATCH(D1991, Archetypes!$A$2:$A$127, 0))*INDEX(Unit_Grades!$B$2:$B$7, MATCH(F1991, Unit_Grades!$A$2:$A$7, 0))*INDEX(Unit_Paths!$D$2:$D$4, MATCH(E1991, Unit_Paths!$A$2:$A$4, 0)),0)</f>
        <v>27360</v>
      </c>
      <c r="K1991" s="6" t="n">
        <f aca="false">ROUND(INDEX(Archetypes!$H$2:$H$127, MATCH(D1991, Archetypes!$A$2:$A$127, 0))*INDEX(Unit_Paths!$E$2:$E$4, MATCH(E1991, Unit_Paths!$A$2:$A$4, 0)),1)</f>
        <v>0</v>
      </c>
      <c r="L1991" s="6" t="n">
        <f aca="false">ROUND(INDEX(Archetypes!$I$2:$I$127, MATCH(D1991, Archetypes!$A$2:$A$127, 0))*INDEX(Unit_Grades!$C$2:$C$7, MATCH(F1991, Unit_Grades!$A$2:$A$7, 0)),1)</f>
        <v>462</v>
      </c>
      <c r="M1991" s="6" t="n">
        <f aca="false">ROUND(INDEX(Archetypes!$J$2:$J$127, MATCH(D1991, Archetypes!$A$2:$A$127, 0))*INDEX(Unit_Grades!$D$2:$D$7, MATCH(F1991, Unit_Grades!$A$2:$A$7, 0)),1)</f>
        <v>357.1</v>
      </c>
      <c r="N1991" s="6" t="n">
        <f aca="false">ROUND(M1991/24,2)</f>
        <v>14.88</v>
      </c>
    </row>
    <row r="1992" customFormat="false" ht="15" hidden="false" customHeight="true" outlineLevel="0" collapsed="false">
      <c r="A1992" s="6" t="n">
        <v>7</v>
      </c>
      <c r="B1992" s="6" t="s">
        <v>3449</v>
      </c>
      <c r="C1992" s="6" t="s">
        <v>1501</v>
      </c>
      <c r="D1992" s="6" t="str">
        <f aca="false">A1992&amp;"|"&amp;C1992</f>
        <v>7|Bridge Guardian</v>
      </c>
      <c r="E1992" s="6" t="s">
        <v>1558</v>
      </c>
      <c r="F1992" s="6" t="s">
        <v>1546</v>
      </c>
      <c r="G1992" s="6" t="str">
        <f aca="false">INDEX(Archetypes!$D$2:$D$127, MATCH(D1992, Archetypes!$A$2:$A$127, 0))</f>
        <v>Static Defense</v>
      </c>
      <c r="H1992" s="6" t="n">
        <f aca="false">ROUND(INDEX(Archetypes!$E$2:$E$127, MATCH(D1992, Archetypes!$A$2:$A$127, 0))*INDEX(Unit_Grades!$B$2:$B$7, MATCH(F1992, Unit_Grades!$A$2:$A$7, 0))*INDEX(Unit_Paths!$B$2:$B$4, MATCH(E1992, Unit_Paths!$A$2:$A$4, 0)),1)</f>
        <v>7680</v>
      </c>
      <c r="I1992" s="6" t="n">
        <f aca="false">ROUND(INDEX(Archetypes!$F$2:$F$127, MATCH(D1992, Archetypes!$A$2:$A$127, 0))*INDEX(Unit_Grades!$B$2:$B$7, MATCH(F1992, Unit_Grades!$A$2:$A$7, 0))*INDEX(Unit_Paths!$C$2:$C$4, MATCH(E1992, Unit_Paths!$A$2:$A$4, 0)),1)</f>
        <v>5984</v>
      </c>
      <c r="J1992" s="6" t="n">
        <f aca="false">ROUND(INDEX(Archetypes!$G$2:$G$127, MATCH(D1992, Archetypes!$A$2:$A$127, 0))*INDEX(Unit_Grades!$B$2:$B$7, MATCH(F1992, Unit_Grades!$A$2:$A$7, 0))*INDEX(Unit_Paths!$D$2:$D$4, MATCH(E1992, Unit_Paths!$A$2:$A$4, 0)),0)</f>
        <v>36480</v>
      </c>
      <c r="K1992" s="6" t="n">
        <f aca="false">ROUND(INDEX(Archetypes!$H$2:$H$127, MATCH(D1992, Archetypes!$A$2:$A$127, 0))*INDEX(Unit_Paths!$E$2:$E$4, MATCH(E1992, Unit_Paths!$A$2:$A$4, 0)),1)</f>
        <v>0</v>
      </c>
      <c r="L1992" s="6" t="n">
        <f aca="false">ROUND(INDEX(Archetypes!$I$2:$I$127, MATCH(D1992, Archetypes!$A$2:$A$127, 0))*INDEX(Unit_Grades!$C$2:$C$7, MATCH(F1992, Unit_Grades!$A$2:$A$7, 0)),1)</f>
        <v>616</v>
      </c>
      <c r="M1992" s="6" t="n">
        <f aca="false">ROUND(INDEX(Archetypes!$J$2:$J$127, MATCH(D1992, Archetypes!$A$2:$A$127, 0))*INDEX(Unit_Grades!$D$2:$D$7, MATCH(F1992, Unit_Grades!$A$2:$A$7, 0)),1)</f>
        <v>625</v>
      </c>
      <c r="N1992" s="6" t="n">
        <f aca="false">ROUND(M1992/24,2)</f>
        <v>26.04</v>
      </c>
    </row>
    <row r="1993" customFormat="false" ht="15" hidden="false" customHeight="true" outlineLevel="0" collapsed="false">
      <c r="A1993" s="6" t="n">
        <v>7</v>
      </c>
      <c r="B1993" s="6" t="s">
        <v>3450</v>
      </c>
      <c r="C1993" s="6" t="s">
        <v>1501</v>
      </c>
      <c r="D1993" s="6" t="str">
        <f aca="false">A1993&amp;"|"&amp;C1993</f>
        <v>7|Bridge Guardian</v>
      </c>
      <c r="E1993" s="6" t="s">
        <v>1558</v>
      </c>
      <c r="F1993" s="6" t="s">
        <v>1548</v>
      </c>
      <c r="G1993" s="6" t="str">
        <f aca="false">INDEX(Archetypes!$D$2:$D$127, MATCH(D1993, Archetypes!$A$2:$A$127, 0))</f>
        <v>Static Defense</v>
      </c>
      <c r="H1993" s="6" t="n">
        <f aca="false">ROUND(INDEX(Archetypes!$E$2:$E$127, MATCH(D1993, Archetypes!$A$2:$A$127, 0))*INDEX(Unit_Grades!$B$2:$B$7, MATCH(F1993, Unit_Grades!$A$2:$A$7, 0))*INDEX(Unit_Paths!$B$2:$B$4, MATCH(E1993, Unit_Paths!$A$2:$A$4, 0)),1)</f>
        <v>10080</v>
      </c>
      <c r="I1993" s="6" t="n">
        <f aca="false">ROUND(INDEX(Archetypes!$F$2:$F$127, MATCH(D1993, Archetypes!$A$2:$A$127, 0))*INDEX(Unit_Grades!$B$2:$B$7, MATCH(F1993, Unit_Grades!$A$2:$A$7, 0))*INDEX(Unit_Paths!$C$2:$C$4, MATCH(E1993, Unit_Paths!$A$2:$A$4, 0)),1)</f>
        <v>7854</v>
      </c>
      <c r="J1993" s="6" t="n">
        <f aca="false">ROUND(INDEX(Archetypes!$G$2:$G$127, MATCH(D1993, Archetypes!$A$2:$A$127, 0))*INDEX(Unit_Grades!$B$2:$B$7, MATCH(F1993, Unit_Grades!$A$2:$A$7, 0))*INDEX(Unit_Paths!$D$2:$D$4, MATCH(E1993, Unit_Paths!$A$2:$A$4, 0)),0)</f>
        <v>47880</v>
      </c>
      <c r="K1993" s="6" t="n">
        <f aca="false">ROUND(INDEX(Archetypes!$H$2:$H$127, MATCH(D1993, Archetypes!$A$2:$A$127, 0))*INDEX(Unit_Paths!$E$2:$E$4, MATCH(E1993, Unit_Paths!$A$2:$A$4, 0)),1)</f>
        <v>0</v>
      </c>
      <c r="L1993" s="6" t="n">
        <f aca="false">ROUND(INDEX(Archetypes!$I$2:$I$127, MATCH(D1993, Archetypes!$A$2:$A$127, 0))*INDEX(Unit_Grades!$C$2:$C$7, MATCH(F1993, Unit_Grades!$A$2:$A$7, 0)),1)</f>
        <v>814</v>
      </c>
      <c r="M1993" s="6" t="n">
        <f aca="false">ROUND(INDEX(Archetypes!$J$2:$J$127, MATCH(D1993, Archetypes!$A$2:$A$127, 0))*INDEX(Unit_Grades!$D$2:$D$7, MATCH(F1993, Unit_Grades!$A$2:$A$7, 0)),1)</f>
        <v>1071.4</v>
      </c>
      <c r="N1993" s="6" t="n">
        <f aca="false">ROUND(M1993/24,2)</f>
        <v>44.64</v>
      </c>
    </row>
    <row r="1994" customFormat="false" ht="15" hidden="false" customHeight="true" outlineLevel="0" collapsed="false">
      <c r="A1994" s="6" t="n">
        <v>7</v>
      </c>
      <c r="B1994" s="6" t="s">
        <v>3451</v>
      </c>
      <c r="C1994" s="6" t="s">
        <v>1501</v>
      </c>
      <c r="D1994" s="6" t="str">
        <f aca="false">A1994&amp;"|"&amp;C1994</f>
        <v>7|Bridge Guardian</v>
      </c>
      <c r="E1994" s="6" t="s">
        <v>1560</v>
      </c>
      <c r="F1994" s="6" t="s">
        <v>1538</v>
      </c>
      <c r="G1994" s="6" t="str">
        <f aca="false">INDEX(Archetypes!$D$2:$D$127, MATCH(D1994, Archetypes!$A$2:$A$127, 0))</f>
        <v>Static Defense</v>
      </c>
      <c r="H1994" s="6" t="n">
        <f aca="false">ROUND(INDEX(Archetypes!$E$2:$E$127, MATCH(D1994, Archetypes!$A$2:$A$127, 0))*INDEX(Unit_Grades!$B$2:$B$7, MATCH(F1994, Unit_Grades!$A$2:$A$7, 0))*INDEX(Unit_Paths!$B$2:$B$4, MATCH(E1994, Unit_Paths!$A$2:$A$4, 0)),1)</f>
        <v>1700</v>
      </c>
      <c r="I1994" s="6" t="n">
        <f aca="false">ROUND(INDEX(Archetypes!$F$2:$F$127, MATCH(D1994, Archetypes!$A$2:$A$127, 0))*INDEX(Unit_Grades!$B$2:$B$7, MATCH(F1994, Unit_Grades!$A$2:$A$7, 0))*INDEX(Unit_Paths!$C$2:$C$4, MATCH(E1994, Unit_Paths!$A$2:$A$4, 0)),1)</f>
        <v>2750</v>
      </c>
      <c r="J1994" s="6" t="n">
        <f aca="false">ROUND(INDEX(Archetypes!$G$2:$G$127, MATCH(D1994, Archetypes!$A$2:$A$127, 0))*INDEX(Unit_Grades!$B$2:$B$7, MATCH(F1994, Unit_Grades!$A$2:$A$7, 0))*INDEX(Unit_Paths!$D$2:$D$4, MATCH(E1994, Unit_Paths!$A$2:$A$4, 0)),0)</f>
        <v>13800</v>
      </c>
      <c r="K1994" s="6" t="n">
        <f aca="false">ROUND(INDEX(Archetypes!$H$2:$H$127, MATCH(D1994, Archetypes!$A$2:$A$127, 0))*INDEX(Unit_Paths!$E$2:$E$4, MATCH(E1994, Unit_Paths!$A$2:$A$4, 0)),1)</f>
        <v>0</v>
      </c>
      <c r="L1994" s="6" t="n">
        <f aca="false">ROUND(INDEX(Archetypes!$I$2:$I$127, MATCH(D1994, Archetypes!$A$2:$A$127, 0))*INDEX(Unit_Grades!$C$2:$C$7, MATCH(F1994, Unit_Grades!$A$2:$A$7, 0)),1)</f>
        <v>220</v>
      </c>
      <c r="M1994" s="6" t="n">
        <f aca="false">ROUND(INDEX(Archetypes!$J$2:$J$127, MATCH(D1994, Archetypes!$A$2:$A$127, 0))*INDEX(Unit_Grades!$D$2:$D$7, MATCH(F1994, Unit_Grades!$A$2:$A$7, 0)),1)</f>
        <v>89.3</v>
      </c>
      <c r="N1994" s="6" t="n">
        <f aca="false">ROUND(M1994/24,2)</f>
        <v>3.72</v>
      </c>
    </row>
    <row r="1995" customFormat="false" ht="15" hidden="false" customHeight="true" outlineLevel="0" collapsed="false">
      <c r="A1995" s="6" t="n">
        <v>7</v>
      </c>
      <c r="B1995" s="6" t="s">
        <v>3452</v>
      </c>
      <c r="C1995" s="6" t="s">
        <v>1501</v>
      </c>
      <c r="D1995" s="6" t="str">
        <f aca="false">A1995&amp;"|"&amp;C1995</f>
        <v>7|Bridge Guardian</v>
      </c>
      <c r="E1995" s="6" t="s">
        <v>1560</v>
      </c>
      <c r="F1995" s="6" t="s">
        <v>1540</v>
      </c>
      <c r="G1995" s="6" t="str">
        <f aca="false">INDEX(Archetypes!$D$2:$D$127, MATCH(D1995, Archetypes!$A$2:$A$127, 0))</f>
        <v>Static Defense</v>
      </c>
      <c r="H1995" s="6" t="n">
        <f aca="false">ROUND(INDEX(Archetypes!$E$2:$E$127, MATCH(D1995, Archetypes!$A$2:$A$127, 0))*INDEX(Unit_Grades!$B$2:$B$7, MATCH(F1995, Unit_Grades!$A$2:$A$7, 0))*INDEX(Unit_Paths!$B$2:$B$4, MATCH(E1995, Unit_Paths!$A$2:$A$4, 0)),1)</f>
        <v>2295</v>
      </c>
      <c r="I1995" s="6" t="n">
        <f aca="false">ROUND(INDEX(Archetypes!$F$2:$F$127, MATCH(D1995, Archetypes!$A$2:$A$127, 0))*INDEX(Unit_Grades!$B$2:$B$7, MATCH(F1995, Unit_Grades!$A$2:$A$7, 0))*INDEX(Unit_Paths!$C$2:$C$4, MATCH(E1995, Unit_Paths!$A$2:$A$4, 0)),1)</f>
        <v>3712.5</v>
      </c>
      <c r="J1995" s="6" t="n">
        <f aca="false">ROUND(INDEX(Archetypes!$G$2:$G$127, MATCH(D1995, Archetypes!$A$2:$A$127, 0))*INDEX(Unit_Grades!$B$2:$B$7, MATCH(F1995, Unit_Grades!$A$2:$A$7, 0))*INDEX(Unit_Paths!$D$2:$D$4, MATCH(E1995, Unit_Paths!$A$2:$A$4, 0)),0)</f>
        <v>18630</v>
      </c>
      <c r="K1995" s="6" t="n">
        <f aca="false">ROUND(INDEX(Archetypes!$H$2:$H$127, MATCH(D1995, Archetypes!$A$2:$A$127, 0))*INDEX(Unit_Paths!$E$2:$E$4, MATCH(E1995, Unit_Paths!$A$2:$A$4, 0)),1)</f>
        <v>0</v>
      </c>
      <c r="L1995" s="6" t="n">
        <f aca="false">ROUND(INDEX(Archetypes!$I$2:$I$127, MATCH(D1995, Archetypes!$A$2:$A$127, 0))*INDEX(Unit_Grades!$C$2:$C$7, MATCH(F1995, Unit_Grades!$A$2:$A$7, 0)),1)</f>
        <v>275</v>
      </c>
      <c r="M1995" s="6" t="n">
        <f aca="false">ROUND(INDEX(Archetypes!$J$2:$J$127, MATCH(D1995, Archetypes!$A$2:$A$127, 0))*INDEX(Unit_Grades!$D$2:$D$7, MATCH(F1995, Unit_Grades!$A$2:$A$7, 0)),1)</f>
        <v>133.9</v>
      </c>
      <c r="N1995" s="6" t="n">
        <f aca="false">ROUND(M1995/24,2)</f>
        <v>5.58</v>
      </c>
    </row>
    <row r="1996" customFormat="false" ht="15" hidden="false" customHeight="true" outlineLevel="0" collapsed="false">
      <c r="A1996" s="6" t="n">
        <v>7</v>
      </c>
      <c r="B1996" s="6" t="s">
        <v>3453</v>
      </c>
      <c r="C1996" s="6" t="s">
        <v>1501</v>
      </c>
      <c r="D1996" s="6" t="str">
        <f aca="false">A1996&amp;"|"&amp;C1996</f>
        <v>7|Bridge Guardian</v>
      </c>
      <c r="E1996" s="6" t="s">
        <v>1560</v>
      </c>
      <c r="F1996" s="6" t="s">
        <v>1542</v>
      </c>
      <c r="G1996" s="6" t="str">
        <f aca="false">INDEX(Archetypes!$D$2:$D$127, MATCH(D1996, Archetypes!$A$2:$A$127, 0))</f>
        <v>Static Defense</v>
      </c>
      <c r="H1996" s="6" t="n">
        <f aca="false">ROUND(INDEX(Archetypes!$E$2:$E$127, MATCH(D1996, Archetypes!$A$2:$A$127, 0))*INDEX(Unit_Grades!$B$2:$B$7, MATCH(F1996, Unit_Grades!$A$2:$A$7, 0))*INDEX(Unit_Paths!$B$2:$B$4, MATCH(E1996, Unit_Paths!$A$2:$A$4, 0)),1)</f>
        <v>3060</v>
      </c>
      <c r="I1996" s="6" t="n">
        <f aca="false">ROUND(INDEX(Archetypes!$F$2:$F$127, MATCH(D1996, Archetypes!$A$2:$A$127, 0))*INDEX(Unit_Grades!$B$2:$B$7, MATCH(F1996, Unit_Grades!$A$2:$A$7, 0))*INDEX(Unit_Paths!$C$2:$C$4, MATCH(E1996, Unit_Paths!$A$2:$A$4, 0)),1)</f>
        <v>4950</v>
      </c>
      <c r="J1996" s="6" t="n">
        <f aca="false">ROUND(INDEX(Archetypes!$G$2:$G$127, MATCH(D1996, Archetypes!$A$2:$A$127, 0))*INDEX(Unit_Grades!$B$2:$B$7, MATCH(F1996, Unit_Grades!$A$2:$A$7, 0))*INDEX(Unit_Paths!$D$2:$D$4, MATCH(E1996, Unit_Paths!$A$2:$A$4, 0)),0)</f>
        <v>24840</v>
      </c>
      <c r="K1996" s="6" t="n">
        <f aca="false">ROUND(INDEX(Archetypes!$H$2:$H$127, MATCH(D1996, Archetypes!$A$2:$A$127, 0))*INDEX(Unit_Paths!$E$2:$E$4, MATCH(E1996, Unit_Paths!$A$2:$A$4, 0)),1)</f>
        <v>0</v>
      </c>
      <c r="L1996" s="6" t="n">
        <f aca="false">ROUND(INDEX(Archetypes!$I$2:$I$127, MATCH(D1996, Archetypes!$A$2:$A$127, 0))*INDEX(Unit_Grades!$C$2:$C$7, MATCH(F1996, Unit_Grades!$A$2:$A$7, 0)),1)</f>
        <v>352</v>
      </c>
      <c r="M1996" s="6" t="n">
        <f aca="false">ROUND(INDEX(Archetypes!$J$2:$J$127, MATCH(D1996, Archetypes!$A$2:$A$127, 0))*INDEX(Unit_Grades!$D$2:$D$7, MATCH(F1996, Unit_Grades!$A$2:$A$7, 0)),1)</f>
        <v>223.2</v>
      </c>
      <c r="N1996" s="6" t="n">
        <f aca="false">ROUND(M1996/24,2)</f>
        <v>9.3</v>
      </c>
    </row>
    <row r="1997" customFormat="false" ht="15" hidden="false" customHeight="true" outlineLevel="0" collapsed="false">
      <c r="A1997" s="6" t="n">
        <v>7</v>
      </c>
      <c r="B1997" s="6" t="s">
        <v>3454</v>
      </c>
      <c r="C1997" s="6" t="s">
        <v>1501</v>
      </c>
      <c r="D1997" s="6" t="str">
        <f aca="false">A1997&amp;"|"&amp;C1997</f>
        <v>7|Bridge Guardian</v>
      </c>
      <c r="E1997" s="6" t="s">
        <v>1560</v>
      </c>
      <c r="F1997" s="6" t="s">
        <v>1544</v>
      </c>
      <c r="G1997" s="6" t="str">
        <f aca="false">INDEX(Archetypes!$D$2:$D$127, MATCH(D1997, Archetypes!$A$2:$A$127, 0))</f>
        <v>Static Defense</v>
      </c>
      <c r="H1997" s="6" t="n">
        <f aca="false">ROUND(INDEX(Archetypes!$E$2:$E$127, MATCH(D1997, Archetypes!$A$2:$A$127, 0))*INDEX(Unit_Grades!$B$2:$B$7, MATCH(F1997, Unit_Grades!$A$2:$A$7, 0))*INDEX(Unit_Paths!$B$2:$B$4, MATCH(E1997, Unit_Paths!$A$2:$A$4, 0)),1)</f>
        <v>4080</v>
      </c>
      <c r="I1997" s="6" t="n">
        <f aca="false">ROUND(INDEX(Archetypes!$F$2:$F$127, MATCH(D1997, Archetypes!$A$2:$A$127, 0))*INDEX(Unit_Grades!$B$2:$B$7, MATCH(F1997, Unit_Grades!$A$2:$A$7, 0))*INDEX(Unit_Paths!$C$2:$C$4, MATCH(E1997, Unit_Paths!$A$2:$A$4, 0)),1)</f>
        <v>6600</v>
      </c>
      <c r="J1997" s="6" t="n">
        <f aca="false">ROUND(INDEX(Archetypes!$G$2:$G$127, MATCH(D1997, Archetypes!$A$2:$A$127, 0))*INDEX(Unit_Grades!$B$2:$B$7, MATCH(F1997, Unit_Grades!$A$2:$A$7, 0))*INDEX(Unit_Paths!$D$2:$D$4, MATCH(E1997, Unit_Paths!$A$2:$A$4, 0)),0)</f>
        <v>33120</v>
      </c>
      <c r="K1997" s="6" t="n">
        <f aca="false">ROUND(INDEX(Archetypes!$H$2:$H$127, MATCH(D1997, Archetypes!$A$2:$A$127, 0))*INDEX(Unit_Paths!$E$2:$E$4, MATCH(E1997, Unit_Paths!$A$2:$A$4, 0)),1)</f>
        <v>0</v>
      </c>
      <c r="L1997" s="6" t="n">
        <f aca="false">ROUND(INDEX(Archetypes!$I$2:$I$127, MATCH(D1997, Archetypes!$A$2:$A$127, 0))*INDEX(Unit_Grades!$C$2:$C$7, MATCH(F1997, Unit_Grades!$A$2:$A$7, 0)),1)</f>
        <v>462</v>
      </c>
      <c r="M1997" s="6" t="n">
        <f aca="false">ROUND(INDEX(Archetypes!$J$2:$J$127, MATCH(D1997, Archetypes!$A$2:$A$127, 0))*INDEX(Unit_Grades!$D$2:$D$7, MATCH(F1997, Unit_Grades!$A$2:$A$7, 0)),1)</f>
        <v>357.1</v>
      </c>
      <c r="N1997" s="6" t="n">
        <f aca="false">ROUND(M1997/24,2)</f>
        <v>14.88</v>
      </c>
    </row>
    <row r="1998" customFormat="false" ht="15" hidden="false" customHeight="true" outlineLevel="0" collapsed="false">
      <c r="A1998" s="6" t="n">
        <v>7</v>
      </c>
      <c r="B1998" s="6" t="s">
        <v>3455</v>
      </c>
      <c r="C1998" s="6" t="s">
        <v>1501</v>
      </c>
      <c r="D1998" s="6" t="str">
        <f aca="false">A1998&amp;"|"&amp;C1998</f>
        <v>7|Bridge Guardian</v>
      </c>
      <c r="E1998" s="6" t="s">
        <v>1560</v>
      </c>
      <c r="F1998" s="6" t="s">
        <v>1546</v>
      </c>
      <c r="G1998" s="6" t="str">
        <f aca="false">INDEX(Archetypes!$D$2:$D$127, MATCH(D1998, Archetypes!$A$2:$A$127, 0))</f>
        <v>Static Defense</v>
      </c>
      <c r="H1998" s="6" t="n">
        <f aca="false">ROUND(INDEX(Archetypes!$E$2:$E$127, MATCH(D1998, Archetypes!$A$2:$A$127, 0))*INDEX(Unit_Grades!$B$2:$B$7, MATCH(F1998, Unit_Grades!$A$2:$A$7, 0))*INDEX(Unit_Paths!$B$2:$B$4, MATCH(E1998, Unit_Paths!$A$2:$A$4, 0)),1)</f>
        <v>5440</v>
      </c>
      <c r="I1998" s="6" t="n">
        <f aca="false">ROUND(INDEX(Archetypes!$F$2:$F$127, MATCH(D1998, Archetypes!$A$2:$A$127, 0))*INDEX(Unit_Grades!$B$2:$B$7, MATCH(F1998, Unit_Grades!$A$2:$A$7, 0))*INDEX(Unit_Paths!$C$2:$C$4, MATCH(E1998, Unit_Paths!$A$2:$A$4, 0)),1)</f>
        <v>8800</v>
      </c>
      <c r="J1998" s="6" t="n">
        <f aca="false">ROUND(INDEX(Archetypes!$G$2:$G$127, MATCH(D1998, Archetypes!$A$2:$A$127, 0))*INDEX(Unit_Grades!$B$2:$B$7, MATCH(F1998, Unit_Grades!$A$2:$A$7, 0))*INDEX(Unit_Paths!$D$2:$D$4, MATCH(E1998, Unit_Paths!$A$2:$A$4, 0)),0)</f>
        <v>44160</v>
      </c>
      <c r="K1998" s="6" t="n">
        <f aca="false">ROUND(INDEX(Archetypes!$H$2:$H$127, MATCH(D1998, Archetypes!$A$2:$A$127, 0))*INDEX(Unit_Paths!$E$2:$E$4, MATCH(E1998, Unit_Paths!$A$2:$A$4, 0)),1)</f>
        <v>0</v>
      </c>
      <c r="L1998" s="6" t="n">
        <f aca="false">ROUND(INDEX(Archetypes!$I$2:$I$127, MATCH(D1998, Archetypes!$A$2:$A$127, 0))*INDEX(Unit_Grades!$C$2:$C$7, MATCH(F1998, Unit_Grades!$A$2:$A$7, 0)),1)</f>
        <v>616</v>
      </c>
      <c r="M1998" s="6" t="n">
        <f aca="false">ROUND(INDEX(Archetypes!$J$2:$J$127, MATCH(D1998, Archetypes!$A$2:$A$127, 0))*INDEX(Unit_Grades!$D$2:$D$7, MATCH(F1998, Unit_Grades!$A$2:$A$7, 0)),1)</f>
        <v>625</v>
      </c>
      <c r="N1998" s="6" t="n">
        <f aca="false">ROUND(M1998/24,2)</f>
        <v>26.04</v>
      </c>
    </row>
    <row r="1999" customFormat="false" ht="15" hidden="false" customHeight="true" outlineLevel="0" collapsed="false">
      <c r="A1999" s="6" t="n">
        <v>7</v>
      </c>
      <c r="B1999" s="6" t="s">
        <v>3456</v>
      </c>
      <c r="C1999" s="6" t="s">
        <v>1501</v>
      </c>
      <c r="D1999" s="6" t="str">
        <f aca="false">A1999&amp;"|"&amp;C1999</f>
        <v>7|Bridge Guardian</v>
      </c>
      <c r="E1999" s="6" t="s">
        <v>1560</v>
      </c>
      <c r="F1999" s="6" t="s">
        <v>1548</v>
      </c>
      <c r="G1999" s="6" t="str">
        <f aca="false">INDEX(Archetypes!$D$2:$D$127, MATCH(D1999, Archetypes!$A$2:$A$127, 0))</f>
        <v>Static Defense</v>
      </c>
      <c r="H1999" s="6" t="n">
        <f aca="false">ROUND(INDEX(Archetypes!$E$2:$E$127, MATCH(D1999, Archetypes!$A$2:$A$127, 0))*INDEX(Unit_Grades!$B$2:$B$7, MATCH(F1999, Unit_Grades!$A$2:$A$7, 0))*INDEX(Unit_Paths!$B$2:$B$4, MATCH(E1999, Unit_Paths!$A$2:$A$4, 0)),1)</f>
        <v>7140</v>
      </c>
      <c r="I1999" s="6" t="n">
        <f aca="false">ROUND(INDEX(Archetypes!$F$2:$F$127, MATCH(D1999, Archetypes!$A$2:$A$127, 0))*INDEX(Unit_Grades!$B$2:$B$7, MATCH(F1999, Unit_Grades!$A$2:$A$7, 0))*INDEX(Unit_Paths!$C$2:$C$4, MATCH(E1999, Unit_Paths!$A$2:$A$4, 0)),1)</f>
        <v>11550</v>
      </c>
      <c r="J1999" s="6" t="n">
        <f aca="false">ROUND(INDEX(Archetypes!$G$2:$G$127, MATCH(D1999, Archetypes!$A$2:$A$127, 0))*INDEX(Unit_Grades!$B$2:$B$7, MATCH(F1999, Unit_Grades!$A$2:$A$7, 0))*INDEX(Unit_Paths!$D$2:$D$4, MATCH(E1999, Unit_Paths!$A$2:$A$4, 0)),0)</f>
        <v>57960</v>
      </c>
      <c r="K1999" s="6" t="n">
        <f aca="false">ROUND(INDEX(Archetypes!$H$2:$H$127, MATCH(D1999, Archetypes!$A$2:$A$127, 0))*INDEX(Unit_Paths!$E$2:$E$4, MATCH(E1999, Unit_Paths!$A$2:$A$4, 0)),1)</f>
        <v>0</v>
      </c>
      <c r="L1999" s="6" t="n">
        <f aca="false">ROUND(INDEX(Archetypes!$I$2:$I$127, MATCH(D1999, Archetypes!$A$2:$A$127, 0))*INDEX(Unit_Grades!$C$2:$C$7, MATCH(F1999, Unit_Grades!$A$2:$A$7, 0)),1)</f>
        <v>814</v>
      </c>
      <c r="M1999" s="6" t="n">
        <f aca="false">ROUND(INDEX(Archetypes!$J$2:$J$127, MATCH(D1999, Archetypes!$A$2:$A$127, 0))*INDEX(Unit_Grades!$D$2:$D$7, MATCH(F1999, Unit_Grades!$A$2:$A$7, 0)),1)</f>
        <v>1071.4</v>
      </c>
      <c r="N1999" s="6" t="n">
        <f aca="false">ROUND(M1999/24,2)</f>
        <v>44.64</v>
      </c>
    </row>
    <row r="2000" customFormat="false" ht="15" hidden="false" customHeight="true" outlineLevel="0" collapsed="false">
      <c r="A2000" s="6" t="n">
        <v>7</v>
      </c>
      <c r="B2000" s="6" t="s">
        <v>1503</v>
      </c>
      <c r="C2000" s="6" t="s">
        <v>1503</v>
      </c>
      <c r="D2000" s="6" t="str">
        <f aca="false">A2000&amp;"|"&amp;C2000</f>
        <v>7|Harvest Titan</v>
      </c>
      <c r="E2000" s="6" t="s">
        <v>1556</v>
      </c>
      <c r="F2000" s="6" t="s">
        <v>1538</v>
      </c>
      <c r="G2000" s="6" t="str">
        <f aca="false">INDEX(Archetypes!$D$2:$D$127, MATCH(D2000, Archetypes!$A$2:$A$127, 0))</f>
        <v>Logistics</v>
      </c>
      <c r="H2000" s="6" t="n">
        <f aca="false">ROUND(INDEX(Archetypes!$E$2:$E$127, MATCH(D2000, Archetypes!$A$2:$A$127, 0))*INDEX(Unit_Grades!$B$2:$B$7, MATCH(F2000, Unit_Grades!$A$2:$A$7, 0))*INDEX(Unit_Paths!$B$2:$B$4, MATCH(E2000, Unit_Paths!$A$2:$A$4, 0)),1)</f>
        <v>400</v>
      </c>
      <c r="I2000" s="6" t="n">
        <f aca="false">ROUND(INDEX(Archetypes!$F$2:$F$127, MATCH(D2000, Archetypes!$A$2:$A$127, 0))*INDEX(Unit_Grades!$B$2:$B$7, MATCH(F2000, Unit_Grades!$A$2:$A$7, 0))*INDEX(Unit_Paths!$C$2:$C$4, MATCH(E2000, Unit_Paths!$A$2:$A$4, 0)),1)</f>
        <v>1600</v>
      </c>
      <c r="J2000" s="6" t="n">
        <f aca="false">ROUND(INDEX(Archetypes!$G$2:$G$127, MATCH(D2000, Archetypes!$A$2:$A$127, 0))*INDEX(Unit_Grades!$B$2:$B$7, MATCH(F2000, Unit_Grades!$A$2:$A$7, 0))*INDEX(Unit_Paths!$D$2:$D$4, MATCH(E2000, Unit_Paths!$A$2:$A$4, 0)),0)</f>
        <v>10000</v>
      </c>
      <c r="K2000" s="6" t="n">
        <f aca="false">ROUND(INDEX(Archetypes!$H$2:$H$127, MATCH(D2000, Archetypes!$A$2:$A$127, 0))*INDEX(Unit_Paths!$E$2:$E$4, MATCH(E2000, Unit_Paths!$A$2:$A$4, 0)),1)</f>
        <v>44</v>
      </c>
      <c r="L2000" s="6" t="n">
        <f aca="false">ROUND(INDEX(Archetypes!$I$2:$I$127, MATCH(D2000, Archetypes!$A$2:$A$127, 0))*INDEX(Unit_Grades!$C$2:$C$7, MATCH(F2000, Unit_Grades!$A$2:$A$7, 0)),1)</f>
        <v>190</v>
      </c>
      <c r="M2000" s="6" t="n">
        <f aca="false">ROUND(INDEX(Archetypes!$J$2:$J$127, MATCH(D2000, Archetypes!$A$2:$A$127, 0))*INDEX(Unit_Grades!$D$2:$D$7, MATCH(F2000, Unit_Grades!$A$2:$A$7, 0)),1)</f>
        <v>77.1</v>
      </c>
      <c r="N2000" s="6" t="n">
        <f aca="false">ROUND(M2000/24,2)</f>
        <v>3.21</v>
      </c>
    </row>
    <row r="2001" customFormat="false" ht="15" hidden="false" customHeight="true" outlineLevel="0" collapsed="false">
      <c r="A2001" s="6" t="n">
        <v>7</v>
      </c>
      <c r="B2001" s="6" t="s">
        <v>3457</v>
      </c>
      <c r="C2001" s="6" t="s">
        <v>1503</v>
      </c>
      <c r="D2001" s="6" t="str">
        <f aca="false">A2001&amp;"|"&amp;C2001</f>
        <v>7|Harvest Titan</v>
      </c>
      <c r="E2001" s="6" t="s">
        <v>1556</v>
      </c>
      <c r="F2001" s="6" t="s">
        <v>1540</v>
      </c>
      <c r="G2001" s="6" t="str">
        <f aca="false">INDEX(Archetypes!$D$2:$D$127, MATCH(D2001, Archetypes!$A$2:$A$127, 0))</f>
        <v>Logistics</v>
      </c>
      <c r="H2001" s="6" t="n">
        <f aca="false">ROUND(INDEX(Archetypes!$E$2:$E$127, MATCH(D2001, Archetypes!$A$2:$A$127, 0))*INDEX(Unit_Grades!$B$2:$B$7, MATCH(F2001, Unit_Grades!$A$2:$A$7, 0))*INDEX(Unit_Paths!$B$2:$B$4, MATCH(E2001, Unit_Paths!$A$2:$A$4, 0)),1)</f>
        <v>540</v>
      </c>
      <c r="I2001" s="6" t="n">
        <f aca="false">ROUND(INDEX(Archetypes!$F$2:$F$127, MATCH(D2001, Archetypes!$A$2:$A$127, 0))*INDEX(Unit_Grades!$B$2:$B$7, MATCH(F2001, Unit_Grades!$A$2:$A$7, 0))*INDEX(Unit_Paths!$C$2:$C$4, MATCH(E2001, Unit_Paths!$A$2:$A$4, 0)),1)</f>
        <v>2160</v>
      </c>
      <c r="J2001" s="6" t="n">
        <f aca="false">ROUND(INDEX(Archetypes!$G$2:$G$127, MATCH(D2001, Archetypes!$A$2:$A$127, 0))*INDEX(Unit_Grades!$B$2:$B$7, MATCH(F2001, Unit_Grades!$A$2:$A$7, 0))*INDEX(Unit_Paths!$D$2:$D$4, MATCH(E2001, Unit_Paths!$A$2:$A$4, 0)),0)</f>
        <v>13500</v>
      </c>
      <c r="K2001" s="6" t="n">
        <f aca="false">ROUND(INDEX(Archetypes!$H$2:$H$127, MATCH(D2001, Archetypes!$A$2:$A$127, 0))*INDEX(Unit_Paths!$E$2:$E$4, MATCH(E2001, Unit_Paths!$A$2:$A$4, 0)),1)</f>
        <v>44</v>
      </c>
      <c r="L2001" s="6" t="n">
        <f aca="false">ROUND(INDEX(Archetypes!$I$2:$I$127, MATCH(D2001, Archetypes!$A$2:$A$127, 0))*INDEX(Unit_Grades!$C$2:$C$7, MATCH(F2001, Unit_Grades!$A$2:$A$7, 0)),1)</f>
        <v>237.5</v>
      </c>
      <c r="M2001" s="6" t="n">
        <f aca="false">ROUND(INDEX(Archetypes!$J$2:$J$127, MATCH(D2001, Archetypes!$A$2:$A$127, 0))*INDEX(Unit_Grades!$D$2:$D$7, MATCH(F2001, Unit_Grades!$A$2:$A$7, 0)),1)</f>
        <v>115.7</v>
      </c>
      <c r="N2001" s="6" t="n">
        <f aca="false">ROUND(M2001/24,2)</f>
        <v>4.82</v>
      </c>
    </row>
    <row r="2002" customFormat="false" ht="15" hidden="false" customHeight="true" outlineLevel="0" collapsed="false">
      <c r="A2002" s="6" t="n">
        <v>7</v>
      </c>
      <c r="B2002" s="6" t="s">
        <v>3458</v>
      </c>
      <c r="C2002" s="6" t="s">
        <v>1503</v>
      </c>
      <c r="D2002" s="6" t="str">
        <f aca="false">A2002&amp;"|"&amp;C2002</f>
        <v>7|Harvest Titan</v>
      </c>
      <c r="E2002" s="6" t="s">
        <v>1556</v>
      </c>
      <c r="F2002" s="6" t="s">
        <v>1542</v>
      </c>
      <c r="G2002" s="6" t="str">
        <f aca="false">INDEX(Archetypes!$D$2:$D$127, MATCH(D2002, Archetypes!$A$2:$A$127, 0))</f>
        <v>Logistics</v>
      </c>
      <c r="H2002" s="6" t="n">
        <f aca="false">ROUND(INDEX(Archetypes!$E$2:$E$127, MATCH(D2002, Archetypes!$A$2:$A$127, 0))*INDEX(Unit_Grades!$B$2:$B$7, MATCH(F2002, Unit_Grades!$A$2:$A$7, 0))*INDEX(Unit_Paths!$B$2:$B$4, MATCH(E2002, Unit_Paths!$A$2:$A$4, 0)),1)</f>
        <v>720</v>
      </c>
      <c r="I2002" s="6" t="n">
        <f aca="false">ROUND(INDEX(Archetypes!$F$2:$F$127, MATCH(D2002, Archetypes!$A$2:$A$127, 0))*INDEX(Unit_Grades!$B$2:$B$7, MATCH(F2002, Unit_Grades!$A$2:$A$7, 0))*INDEX(Unit_Paths!$C$2:$C$4, MATCH(E2002, Unit_Paths!$A$2:$A$4, 0)),1)</f>
        <v>2880</v>
      </c>
      <c r="J2002" s="6" t="n">
        <f aca="false">ROUND(INDEX(Archetypes!$G$2:$G$127, MATCH(D2002, Archetypes!$A$2:$A$127, 0))*INDEX(Unit_Grades!$B$2:$B$7, MATCH(F2002, Unit_Grades!$A$2:$A$7, 0))*INDEX(Unit_Paths!$D$2:$D$4, MATCH(E2002, Unit_Paths!$A$2:$A$4, 0)),0)</f>
        <v>18000</v>
      </c>
      <c r="K2002" s="6" t="n">
        <f aca="false">ROUND(INDEX(Archetypes!$H$2:$H$127, MATCH(D2002, Archetypes!$A$2:$A$127, 0))*INDEX(Unit_Paths!$E$2:$E$4, MATCH(E2002, Unit_Paths!$A$2:$A$4, 0)),1)</f>
        <v>44</v>
      </c>
      <c r="L2002" s="6" t="n">
        <f aca="false">ROUND(INDEX(Archetypes!$I$2:$I$127, MATCH(D2002, Archetypes!$A$2:$A$127, 0))*INDEX(Unit_Grades!$C$2:$C$7, MATCH(F2002, Unit_Grades!$A$2:$A$7, 0)),1)</f>
        <v>304</v>
      </c>
      <c r="M2002" s="6" t="n">
        <f aca="false">ROUND(INDEX(Archetypes!$J$2:$J$127, MATCH(D2002, Archetypes!$A$2:$A$127, 0))*INDEX(Unit_Grades!$D$2:$D$7, MATCH(F2002, Unit_Grades!$A$2:$A$7, 0)),1)</f>
        <v>192.8</v>
      </c>
      <c r="N2002" s="6" t="n">
        <f aca="false">ROUND(M2002/24,2)</f>
        <v>8.03</v>
      </c>
    </row>
    <row r="2003" customFormat="false" ht="15" hidden="false" customHeight="true" outlineLevel="0" collapsed="false">
      <c r="A2003" s="6" t="n">
        <v>7</v>
      </c>
      <c r="B2003" s="6" t="s">
        <v>3459</v>
      </c>
      <c r="C2003" s="6" t="s">
        <v>1503</v>
      </c>
      <c r="D2003" s="6" t="str">
        <f aca="false">A2003&amp;"|"&amp;C2003</f>
        <v>7|Harvest Titan</v>
      </c>
      <c r="E2003" s="6" t="s">
        <v>1556</v>
      </c>
      <c r="F2003" s="6" t="s">
        <v>1544</v>
      </c>
      <c r="G2003" s="6" t="str">
        <f aca="false">INDEX(Archetypes!$D$2:$D$127, MATCH(D2003, Archetypes!$A$2:$A$127, 0))</f>
        <v>Logistics</v>
      </c>
      <c r="H2003" s="6" t="n">
        <f aca="false">ROUND(INDEX(Archetypes!$E$2:$E$127, MATCH(D2003, Archetypes!$A$2:$A$127, 0))*INDEX(Unit_Grades!$B$2:$B$7, MATCH(F2003, Unit_Grades!$A$2:$A$7, 0))*INDEX(Unit_Paths!$B$2:$B$4, MATCH(E2003, Unit_Paths!$A$2:$A$4, 0)),1)</f>
        <v>960</v>
      </c>
      <c r="I2003" s="6" t="n">
        <f aca="false">ROUND(INDEX(Archetypes!$F$2:$F$127, MATCH(D2003, Archetypes!$A$2:$A$127, 0))*INDEX(Unit_Grades!$B$2:$B$7, MATCH(F2003, Unit_Grades!$A$2:$A$7, 0))*INDEX(Unit_Paths!$C$2:$C$4, MATCH(E2003, Unit_Paths!$A$2:$A$4, 0)),1)</f>
        <v>3840</v>
      </c>
      <c r="J2003" s="6" t="n">
        <f aca="false">ROUND(INDEX(Archetypes!$G$2:$G$127, MATCH(D2003, Archetypes!$A$2:$A$127, 0))*INDEX(Unit_Grades!$B$2:$B$7, MATCH(F2003, Unit_Grades!$A$2:$A$7, 0))*INDEX(Unit_Paths!$D$2:$D$4, MATCH(E2003, Unit_Paths!$A$2:$A$4, 0)),0)</f>
        <v>24000</v>
      </c>
      <c r="K2003" s="6" t="n">
        <f aca="false">ROUND(INDEX(Archetypes!$H$2:$H$127, MATCH(D2003, Archetypes!$A$2:$A$127, 0))*INDEX(Unit_Paths!$E$2:$E$4, MATCH(E2003, Unit_Paths!$A$2:$A$4, 0)),1)</f>
        <v>44</v>
      </c>
      <c r="L2003" s="6" t="n">
        <f aca="false">ROUND(INDEX(Archetypes!$I$2:$I$127, MATCH(D2003, Archetypes!$A$2:$A$127, 0))*INDEX(Unit_Grades!$C$2:$C$7, MATCH(F2003, Unit_Grades!$A$2:$A$7, 0)),1)</f>
        <v>399</v>
      </c>
      <c r="M2003" s="6" t="n">
        <f aca="false">ROUND(INDEX(Archetypes!$J$2:$J$127, MATCH(D2003, Archetypes!$A$2:$A$127, 0))*INDEX(Unit_Grades!$D$2:$D$7, MATCH(F2003, Unit_Grades!$A$2:$A$7, 0)),1)</f>
        <v>308.4</v>
      </c>
      <c r="N2003" s="6" t="n">
        <f aca="false">ROUND(M2003/24,2)</f>
        <v>12.85</v>
      </c>
    </row>
    <row r="2004" customFormat="false" ht="15" hidden="false" customHeight="true" outlineLevel="0" collapsed="false">
      <c r="A2004" s="6" t="n">
        <v>7</v>
      </c>
      <c r="B2004" s="6" t="s">
        <v>3460</v>
      </c>
      <c r="C2004" s="6" t="s">
        <v>1503</v>
      </c>
      <c r="D2004" s="6" t="str">
        <f aca="false">A2004&amp;"|"&amp;C2004</f>
        <v>7|Harvest Titan</v>
      </c>
      <c r="E2004" s="6" t="s">
        <v>1556</v>
      </c>
      <c r="F2004" s="6" t="s">
        <v>1546</v>
      </c>
      <c r="G2004" s="6" t="str">
        <f aca="false">INDEX(Archetypes!$D$2:$D$127, MATCH(D2004, Archetypes!$A$2:$A$127, 0))</f>
        <v>Logistics</v>
      </c>
      <c r="H2004" s="6" t="n">
        <f aca="false">ROUND(INDEX(Archetypes!$E$2:$E$127, MATCH(D2004, Archetypes!$A$2:$A$127, 0))*INDEX(Unit_Grades!$B$2:$B$7, MATCH(F2004, Unit_Grades!$A$2:$A$7, 0))*INDEX(Unit_Paths!$B$2:$B$4, MATCH(E2004, Unit_Paths!$A$2:$A$4, 0)),1)</f>
        <v>1280</v>
      </c>
      <c r="I2004" s="6" t="n">
        <f aca="false">ROUND(INDEX(Archetypes!$F$2:$F$127, MATCH(D2004, Archetypes!$A$2:$A$127, 0))*INDEX(Unit_Grades!$B$2:$B$7, MATCH(F2004, Unit_Grades!$A$2:$A$7, 0))*INDEX(Unit_Paths!$C$2:$C$4, MATCH(E2004, Unit_Paths!$A$2:$A$4, 0)),1)</f>
        <v>5120</v>
      </c>
      <c r="J2004" s="6" t="n">
        <f aca="false">ROUND(INDEX(Archetypes!$G$2:$G$127, MATCH(D2004, Archetypes!$A$2:$A$127, 0))*INDEX(Unit_Grades!$B$2:$B$7, MATCH(F2004, Unit_Grades!$A$2:$A$7, 0))*INDEX(Unit_Paths!$D$2:$D$4, MATCH(E2004, Unit_Paths!$A$2:$A$4, 0)),0)</f>
        <v>32000</v>
      </c>
      <c r="K2004" s="6" t="n">
        <f aca="false">ROUND(INDEX(Archetypes!$H$2:$H$127, MATCH(D2004, Archetypes!$A$2:$A$127, 0))*INDEX(Unit_Paths!$E$2:$E$4, MATCH(E2004, Unit_Paths!$A$2:$A$4, 0)),1)</f>
        <v>44</v>
      </c>
      <c r="L2004" s="6" t="n">
        <f aca="false">ROUND(INDEX(Archetypes!$I$2:$I$127, MATCH(D2004, Archetypes!$A$2:$A$127, 0))*INDEX(Unit_Grades!$C$2:$C$7, MATCH(F2004, Unit_Grades!$A$2:$A$7, 0)),1)</f>
        <v>532</v>
      </c>
      <c r="M2004" s="6" t="n">
        <f aca="false">ROUND(INDEX(Archetypes!$J$2:$J$127, MATCH(D2004, Archetypes!$A$2:$A$127, 0))*INDEX(Unit_Grades!$D$2:$D$7, MATCH(F2004, Unit_Grades!$A$2:$A$7, 0)),1)</f>
        <v>539.8</v>
      </c>
      <c r="N2004" s="6" t="n">
        <f aca="false">ROUND(M2004/24,2)</f>
        <v>22.49</v>
      </c>
    </row>
    <row r="2005" customFormat="false" ht="15" hidden="false" customHeight="true" outlineLevel="0" collapsed="false">
      <c r="A2005" s="6" t="n">
        <v>7</v>
      </c>
      <c r="B2005" s="6" t="s">
        <v>3461</v>
      </c>
      <c r="C2005" s="6" t="s">
        <v>1503</v>
      </c>
      <c r="D2005" s="6" t="str">
        <f aca="false">A2005&amp;"|"&amp;C2005</f>
        <v>7|Harvest Titan</v>
      </c>
      <c r="E2005" s="6" t="s">
        <v>1556</v>
      </c>
      <c r="F2005" s="6" t="s">
        <v>1548</v>
      </c>
      <c r="G2005" s="6" t="str">
        <f aca="false">INDEX(Archetypes!$D$2:$D$127, MATCH(D2005, Archetypes!$A$2:$A$127, 0))</f>
        <v>Logistics</v>
      </c>
      <c r="H2005" s="6" t="n">
        <f aca="false">ROUND(INDEX(Archetypes!$E$2:$E$127, MATCH(D2005, Archetypes!$A$2:$A$127, 0))*INDEX(Unit_Grades!$B$2:$B$7, MATCH(F2005, Unit_Grades!$A$2:$A$7, 0))*INDEX(Unit_Paths!$B$2:$B$4, MATCH(E2005, Unit_Paths!$A$2:$A$4, 0)),1)</f>
        <v>1680</v>
      </c>
      <c r="I2005" s="6" t="n">
        <f aca="false">ROUND(INDEX(Archetypes!$F$2:$F$127, MATCH(D2005, Archetypes!$A$2:$A$127, 0))*INDEX(Unit_Grades!$B$2:$B$7, MATCH(F2005, Unit_Grades!$A$2:$A$7, 0))*INDEX(Unit_Paths!$C$2:$C$4, MATCH(E2005, Unit_Paths!$A$2:$A$4, 0)),1)</f>
        <v>6720</v>
      </c>
      <c r="J2005" s="6" t="n">
        <f aca="false">ROUND(INDEX(Archetypes!$G$2:$G$127, MATCH(D2005, Archetypes!$A$2:$A$127, 0))*INDEX(Unit_Grades!$B$2:$B$7, MATCH(F2005, Unit_Grades!$A$2:$A$7, 0))*INDEX(Unit_Paths!$D$2:$D$4, MATCH(E2005, Unit_Paths!$A$2:$A$4, 0)),0)</f>
        <v>42000</v>
      </c>
      <c r="K2005" s="6" t="n">
        <f aca="false">ROUND(INDEX(Archetypes!$H$2:$H$127, MATCH(D2005, Archetypes!$A$2:$A$127, 0))*INDEX(Unit_Paths!$E$2:$E$4, MATCH(E2005, Unit_Paths!$A$2:$A$4, 0)),1)</f>
        <v>44</v>
      </c>
      <c r="L2005" s="6" t="n">
        <f aca="false">ROUND(INDEX(Archetypes!$I$2:$I$127, MATCH(D2005, Archetypes!$A$2:$A$127, 0))*INDEX(Unit_Grades!$C$2:$C$7, MATCH(F2005, Unit_Grades!$A$2:$A$7, 0)),1)</f>
        <v>703</v>
      </c>
      <c r="M2005" s="6" t="n">
        <f aca="false">ROUND(INDEX(Archetypes!$J$2:$J$127, MATCH(D2005, Archetypes!$A$2:$A$127, 0))*INDEX(Unit_Grades!$D$2:$D$7, MATCH(F2005, Unit_Grades!$A$2:$A$7, 0)),1)</f>
        <v>925.3</v>
      </c>
      <c r="N2005" s="6" t="n">
        <f aca="false">ROUND(M2005/24,2)</f>
        <v>38.55</v>
      </c>
    </row>
    <row r="2006" customFormat="false" ht="15" hidden="false" customHeight="true" outlineLevel="0" collapsed="false">
      <c r="A2006" s="6" t="n">
        <v>7</v>
      </c>
      <c r="B2006" s="6" t="s">
        <v>3462</v>
      </c>
      <c r="C2006" s="6" t="s">
        <v>1503</v>
      </c>
      <c r="D2006" s="6" t="str">
        <f aca="false">A2006&amp;"|"&amp;C2006</f>
        <v>7|Harvest Titan</v>
      </c>
      <c r="E2006" s="6" t="s">
        <v>1558</v>
      </c>
      <c r="F2006" s="6" t="s">
        <v>1538</v>
      </c>
      <c r="G2006" s="6" t="str">
        <f aca="false">INDEX(Archetypes!$D$2:$D$127, MATCH(D2006, Archetypes!$A$2:$A$127, 0))</f>
        <v>Logistics</v>
      </c>
      <c r="H2006" s="6" t="n">
        <f aca="false">ROUND(INDEX(Archetypes!$E$2:$E$127, MATCH(D2006, Archetypes!$A$2:$A$127, 0))*INDEX(Unit_Grades!$B$2:$B$7, MATCH(F2006, Unit_Grades!$A$2:$A$7, 0))*INDEX(Unit_Paths!$B$2:$B$4, MATCH(E2006, Unit_Paths!$A$2:$A$4, 0)),1)</f>
        <v>480</v>
      </c>
      <c r="I2006" s="6" t="n">
        <f aca="false">ROUND(INDEX(Archetypes!$F$2:$F$127, MATCH(D2006, Archetypes!$A$2:$A$127, 0))*INDEX(Unit_Grades!$B$2:$B$7, MATCH(F2006, Unit_Grades!$A$2:$A$7, 0))*INDEX(Unit_Paths!$C$2:$C$4, MATCH(E2006, Unit_Paths!$A$2:$A$4, 0)),1)</f>
        <v>1360</v>
      </c>
      <c r="J2006" s="6" t="n">
        <f aca="false">ROUND(INDEX(Archetypes!$G$2:$G$127, MATCH(D2006, Archetypes!$A$2:$A$127, 0))*INDEX(Unit_Grades!$B$2:$B$7, MATCH(F2006, Unit_Grades!$A$2:$A$7, 0))*INDEX(Unit_Paths!$D$2:$D$4, MATCH(E2006, Unit_Paths!$A$2:$A$4, 0)),0)</f>
        <v>9500</v>
      </c>
      <c r="K2006" s="6" t="n">
        <f aca="false">ROUND(INDEX(Archetypes!$H$2:$H$127, MATCH(D2006, Archetypes!$A$2:$A$127, 0))*INDEX(Unit_Paths!$E$2:$E$4, MATCH(E2006, Unit_Paths!$A$2:$A$4, 0)),1)</f>
        <v>46.2</v>
      </c>
      <c r="L2006" s="6" t="n">
        <f aca="false">ROUND(INDEX(Archetypes!$I$2:$I$127, MATCH(D2006, Archetypes!$A$2:$A$127, 0))*INDEX(Unit_Grades!$C$2:$C$7, MATCH(F2006, Unit_Grades!$A$2:$A$7, 0)),1)</f>
        <v>190</v>
      </c>
      <c r="M2006" s="6" t="n">
        <f aca="false">ROUND(INDEX(Archetypes!$J$2:$J$127, MATCH(D2006, Archetypes!$A$2:$A$127, 0))*INDEX(Unit_Grades!$D$2:$D$7, MATCH(F2006, Unit_Grades!$A$2:$A$7, 0)),1)</f>
        <v>77.1</v>
      </c>
      <c r="N2006" s="6" t="n">
        <f aca="false">ROUND(M2006/24,2)</f>
        <v>3.21</v>
      </c>
    </row>
    <row r="2007" customFormat="false" ht="15" hidden="false" customHeight="true" outlineLevel="0" collapsed="false">
      <c r="A2007" s="6" t="n">
        <v>7</v>
      </c>
      <c r="B2007" s="6" t="s">
        <v>3463</v>
      </c>
      <c r="C2007" s="6" t="s">
        <v>1503</v>
      </c>
      <c r="D2007" s="6" t="str">
        <f aca="false">A2007&amp;"|"&amp;C2007</f>
        <v>7|Harvest Titan</v>
      </c>
      <c r="E2007" s="6" t="s">
        <v>1558</v>
      </c>
      <c r="F2007" s="6" t="s">
        <v>1540</v>
      </c>
      <c r="G2007" s="6" t="str">
        <f aca="false">INDEX(Archetypes!$D$2:$D$127, MATCH(D2007, Archetypes!$A$2:$A$127, 0))</f>
        <v>Logistics</v>
      </c>
      <c r="H2007" s="6" t="n">
        <f aca="false">ROUND(INDEX(Archetypes!$E$2:$E$127, MATCH(D2007, Archetypes!$A$2:$A$127, 0))*INDEX(Unit_Grades!$B$2:$B$7, MATCH(F2007, Unit_Grades!$A$2:$A$7, 0))*INDEX(Unit_Paths!$B$2:$B$4, MATCH(E2007, Unit_Paths!$A$2:$A$4, 0)),1)</f>
        <v>648</v>
      </c>
      <c r="I2007" s="6" t="n">
        <f aca="false">ROUND(INDEX(Archetypes!$F$2:$F$127, MATCH(D2007, Archetypes!$A$2:$A$127, 0))*INDEX(Unit_Grades!$B$2:$B$7, MATCH(F2007, Unit_Grades!$A$2:$A$7, 0))*INDEX(Unit_Paths!$C$2:$C$4, MATCH(E2007, Unit_Paths!$A$2:$A$4, 0)),1)</f>
        <v>1836</v>
      </c>
      <c r="J2007" s="6" t="n">
        <f aca="false">ROUND(INDEX(Archetypes!$G$2:$G$127, MATCH(D2007, Archetypes!$A$2:$A$127, 0))*INDEX(Unit_Grades!$B$2:$B$7, MATCH(F2007, Unit_Grades!$A$2:$A$7, 0))*INDEX(Unit_Paths!$D$2:$D$4, MATCH(E2007, Unit_Paths!$A$2:$A$4, 0)),0)</f>
        <v>12825</v>
      </c>
      <c r="K2007" s="6" t="n">
        <f aca="false">ROUND(INDEX(Archetypes!$H$2:$H$127, MATCH(D2007, Archetypes!$A$2:$A$127, 0))*INDEX(Unit_Paths!$E$2:$E$4, MATCH(E2007, Unit_Paths!$A$2:$A$4, 0)),1)</f>
        <v>46.2</v>
      </c>
      <c r="L2007" s="6" t="n">
        <f aca="false">ROUND(INDEX(Archetypes!$I$2:$I$127, MATCH(D2007, Archetypes!$A$2:$A$127, 0))*INDEX(Unit_Grades!$C$2:$C$7, MATCH(F2007, Unit_Grades!$A$2:$A$7, 0)),1)</f>
        <v>237.5</v>
      </c>
      <c r="M2007" s="6" t="n">
        <f aca="false">ROUND(INDEX(Archetypes!$J$2:$J$127, MATCH(D2007, Archetypes!$A$2:$A$127, 0))*INDEX(Unit_Grades!$D$2:$D$7, MATCH(F2007, Unit_Grades!$A$2:$A$7, 0)),1)</f>
        <v>115.7</v>
      </c>
      <c r="N2007" s="6" t="n">
        <f aca="false">ROUND(M2007/24,2)</f>
        <v>4.82</v>
      </c>
    </row>
    <row r="2008" customFormat="false" ht="15" hidden="false" customHeight="true" outlineLevel="0" collapsed="false">
      <c r="A2008" s="6" t="n">
        <v>7</v>
      </c>
      <c r="B2008" s="6" t="s">
        <v>3464</v>
      </c>
      <c r="C2008" s="6" t="s">
        <v>1503</v>
      </c>
      <c r="D2008" s="6" t="str">
        <f aca="false">A2008&amp;"|"&amp;C2008</f>
        <v>7|Harvest Titan</v>
      </c>
      <c r="E2008" s="6" t="s">
        <v>1558</v>
      </c>
      <c r="F2008" s="6" t="s">
        <v>1542</v>
      </c>
      <c r="G2008" s="6" t="str">
        <f aca="false">INDEX(Archetypes!$D$2:$D$127, MATCH(D2008, Archetypes!$A$2:$A$127, 0))</f>
        <v>Logistics</v>
      </c>
      <c r="H2008" s="6" t="n">
        <f aca="false">ROUND(INDEX(Archetypes!$E$2:$E$127, MATCH(D2008, Archetypes!$A$2:$A$127, 0))*INDEX(Unit_Grades!$B$2:$B$7, MATCH(F2008, Unit_Grades!$A$2:$A$7, 0))*INDEX(Unit_Paths!$B$2:$B$4, MATCH(E2008, Unit_Paths!$A$2:$A$4, 0)),1)</f>
        <v>864</v>
      </c>
      <c r="I2008" s="6" t="n">
        <f aca="false">ROUND(INDEX(Archetypes!$F$2:$F$127, MATCH(D2008, Archetypes!$A$2:$A$127, 0))*INDEX(Unit_Grades!$B$2:$B$7, MATCH(F2008, Unit_Grades!$A$2:$A$7, 0))*INDEX(Unit_Paths!$C$2:$C$4, MATCH(E2008, Unit_Paths!$A$2:$A$4, 0)),1)</f>
        <v>2448</v>
      </c>
      <c r="J2008" s="6" t="n">
        <f aca="false">ROUND(INDEX(Archetypes!$G$2:$G$127, MATCH(D2008, Archetypes!$A$2:$A$127, 0))*INDEX(Unit_Grades!$B$2:$B$7, MATCH(F2008, Unit_Grades!$A$2:$A$7, 0))*INDEX(Unit_Paths!$D$2:$D$4, MATCH(E2008, Unit_Paths!$A$2:$A$4, 0)),0)</f>
        <v>17100</v>
      </c>
      <c r="K2008" s="6" t="n">
        <f aca="false">ROUND(INDEX(Archetypes!$H$2:$H$127, MATCH(D2008, Archetypes!$A$2:$A$127, 0))*INDEX(Unit_Paths!$E$2:$E$4, MATCH(E2008, Unit_Paths!$A$2:$A$4, 0)),1)</f>
        <v>46.2</v>
      </c>
      <c r="L2008" s="6" t="n">
        <f aca="false">ROUND(INDEX(Archetypes!$I$2:$I$127, MATCH(D2008, Archetypes!$A$2:$A$127, 0))*INDEX(Unit_Grades!$C$2:$C$7, MATCH(F2008, Unit_Grades!$A$2:$A$7, 0)),1)</f>
        <v>304</v>
      </c>
      <c r="M2008" s="6" t="n">
        <f aca="false">ROUND(INDEX(Archetypes!$J$2:$J$127, MATCH(D2008, Archetypes!$A$2:$A$127, 0))*INDEX(Unit_Grades!$D$2:$D$7, MATCH(F2008, Unit_Grades!$A$2:$A$7, 0)),1)</f>
        <v>192.8</v>
      </c>
      <c r="N2008" s="6" t="n">
        <f aca="false">ROUND(M2008/24,2)</f>
        <v>8.03</v>
      </c>
    </row>
    <row r="2009" customFormat="false" ht="15" hidden="false" customHeight="true" outlineLevel="0" collapsed="false">
      <c r="A2009" s="6" t="n">
        <v>7</v>
      </c>
      <c r="B2009" s="6" t="s">
        <v>3465</v>
      </c>
      <c r="C2009" s="6" t="s">
        <v>1503</v>
      </c>
      <c r="D2009" s="6" t="str">
        <f aca="false">A2009&amp;"|"&amp;C2009</f>
        <v>7|Harvest Titan</v>
      </c>
      <c r="E2009" s="6" t="s">
        <v>1558</v>
      </c>
      <c r="F2009" s="6" t="s">
        <v>1544</v>
      </c>
      <c r="G2009" s="6" t="str">
        <f aca="false">INDEX(Archetypes!$D$2:$D$127, MATCH(D2009, Archetypes!$A$2:$A$127, 0))</f>
        <v>Logistics</v>
      </c>
      <c r="H2009" s="6" t="n">
        <f aca="false">ROUND(INDEX(Archetypes!$E$2:$E$127, MATCH(D2009, Archetypes!$A$2:$A$127, 0))*INDEX(Unit_Grades!$B$2:$B$7, MATCH(F2009, Unit_Grades!$A$2:$A$7, 0))*INDEX(Unit_Paths!$B$2:$B$4, MATCH(E2009, Unit_Paths!$A$2:$A$4, 0)),1)</f>
        <v>1152</v>
      </c>
      <c r="I2009" s="6" t="n">
        <f aca="false">ROUND(INDEX(Archetypes!$F$2:$F$127, MATCH(D2009, Archetypes!$A$2:$A$127, 0))*INDEX(Unit_Grades!$B$2:$B$7, MATCH(F2009, Unit_Grades!$A$2:$A$7, 0))*INDEX(Unit_Paths!$C$2:$C$4, MATCH(E2009, Unit_Paths!$A$2:$A$4, 0)),1)</f>
        <v>3264</v>
      </c>
      <c r="J2009" s="6" t="n">
        <f aca="false">ROUND(INDEX(Archetypes!$G$2:$G$127, MATCH(D2009, Archetypes!$A$2:$A$127, 0))*INDEX(Unit_Grades!$B$2:$B$7, MATCH(F2009, Unit_Grades!$A$2:$A$7, 0))*INDEX(Unit_Paths!$D$2:$D$4, MATCH(E2009, Unit_Paths!$A$2:$A$4, 0)),0)</f>
        <v>22800</v>
      </c>
      <c r="K2009" s="6" t="n">
        <f aca="false">ROUND(INDEX(Archetypes!$H$2:$H$127, MATCH(D2009, Archetypes!$A$2:$A$127, 0))*INDEX(Unit_Paths!$E$2:$E$4, MATCH(E2009, Unit_Paths!$A$2:$A$4, 0)),1)</f>
        <v>46.2</v>
      </c>
      <c r="L2009" s="6" t="n">
        <f aca="false">ROUND(INDEX(Archetypes!$I$2:$I$127, MATCH(D2009, Archetypes!$A$2:$A$127, 0))*INDEX(Unit_Grades!$C$2:$C$7, MATCH(F2009, Unit_Grades!$A$2:$A$7, 0)),1)</f>
        <v>399</v>
      </c>
      <c r="M2009" s="6" t="n">
        <f aca="false">ROUND(INDEX(Archetypes!$J$2:$J$127, MATCH(D2009, Archetypes!$A$2:$A$127, 0))*INDEX(Unit_Grades!$D$2:$D$7, MATCH(F2009, Unit_Grades!$A$2:$A$7, 0)),1)</f>
        <v>308.4</v>
      </c>
      <c r="N2009" s="6" t="n">
        <f aca="false">ROUND(M2009/24,2)</f>
        <v>12.85</v>
      </c>
    </row>
    <row r="2010" customFormat="false" ht="15" hidden="false" customHeight="true" outlineLevel="0" collapsed="false">
      <c r="A2010" s="6" t="n">
        <v>7</v>
      </c>
      <c r="B2010" s="6" t="s">
        <v>3466</v>
      </c>
      <c r="C2010" s="6" t="s">
        <v>1503</v>
      </c>
      <c r="D2010" s="6" t="str">
        <f aca="false">A2010&amp;"|"&amp;C2010</f>
        <v>7|Harvest Titan</v>
      </c>
      <c r="E2010" s="6" t="s">
        <v>1558</v>
      </c>
      <c r="F2010" s="6" t="s">
        <v>1546</v>
      </c>
      <c r="G2010" s="6" t="str">
        <f aca="false">INDEX(Archetypes!$D$2:$D$127, MATCH(D2010, Archetypes!$A$2:$A$127, 0))</f>
        <v>Logistics</v>
      </c>
      <c r="H2010" s="6" t="n">
        <f aca="false">ROUND(INDEX(Archetypes!$E$2:$E$127, MATCH(D2010, Archetypes!$A$2:$A$127, 0))*INDEX(Unit_Grades!$B$2:$B$7, MATCH(F2010, Unit_Grades!$A$2:$A$7, 0))*INDEX(Unit_Paths!$B$2:$B$4, MATCH(E2010, Unit_Paths!$A$2:$A$4, 0)),1)</f>
        <v>1536</v>
      </c>
      <c r="I2010" s="6" t="n">
        <f aca="false">ROUND(INDEX(Archetypes!$F$2:$F$127, MATCH(D2010, Archetypes!$A$2:$A$127, 0))*INDEX(Unit_Grades!$B$2:$B$7, MATCH(F2010, Unit_Grades!$A$2:$A$7, 0))*INDEX(Unit_Paths!$C$2:$C$4, MATCH(E2010, Unit_Paths!$A$2:$A$4, 0)),1)</f>
        <v>4352</v>
      </c>
      <c r="J2010" s="6" t="n">
        <f aca="false">ROUND(INDEX(Archetypes!$G$2:$G$127, MATCH(D2010, Archetypes!$A$2:$A$127, 0))*INDEX(Unit_Grades!$B$2:$B$7, MATCH(F2010, Unit_Grades!$A$2:$A$7, 0))*INDEX(Unit_Paths!$D$2:$D$4, MATCH(E2010, Unit_Paths!$A$2:$A$4, 0)),0)</f>
        <v>30400</v>
      </c>
      <c r="K2010" s="6" t="n">
        <f aca="false">ROUND(INDEX(Archetypes!$H$2:$H$127, MATCH(D2010, Archetypes!$A$2:$A$127, 0))*INDEX(Unit_Paths!$E$2:$E$4, MATCH(E2010, Unit_Paths!$A$2:$A$4, 0)),1)</f>
        <v>46.2</v>
      </c>
      <c r="L2010" s="6" t="n">
        <f aca="false">ROUND(INDEX(Archetypes!$I$2:$I$127, MATCH(D2010, Archetypes!$A$2:$A$127, 0))*INDEX(Unit_Grades!$C$2:$C$7, MATCH(F2010, Unit_Grades!$A$2:$A$7, 0)),1)</f>
        <v>532</v>
      </c>
      <c r="M2010" s="6" t="n">
        <f aca="false">ROUND(INDEX(Archetypes!$J$2:$J$127, MATCH(D2010, Archetypes!$A$2:$A$127, 0))*INDEX(Unit_Grades!$D$2:$D$7, MATCH(F2010, Unit_Grades!$A$2:$A$7, 0)),1)</f>
        <v>539.8</v>
      </c>
      <c r="N2010" s="6" t="n">
        <f aca="false">ROUND(M2010/24,2)</f>
        <v>22.49</v>
      </c>
    </row>
    <row r="2011" customFormat="false" ht="15" hidden="false" customHeight="true" outlineLevel="0" collapsed="false">
      <c r="A2011" s="6" t="n">
        <v>7</v>
      </c>
      <c r="B2011" s="6" t="s">
        <v>3467</v>
      </c>
      <c r="C2011" s="6" t="s">
        <v>1503</v>
      </c>
      <c r="D2011" s="6" t="str">
        <f aca="false">A2011&amp;"|"&amp;C2011</f>
        <v>7|Harvest Titan</v>
      </c>
      <c r="E2011" s="6" t="s">
        <v>1558</v>
      </c>
      <c r="F2011" s="6" t="s">
        <v>1548</v>
      </c>
      <c r="G2011" s="6" t="str">
        <f aca="false">INDEX(Archetypes!$D$2:$D$127, MATCH(D2011, Archetypes!$A$2:$A$127, 0))</f>
        <v>Logistics</v>
      </c>
      <c r="H2011" s="6" t="n">
        <f aca="false">ROUND(INDEX(Archetypes!$E$2:$E$127, MATCH(D2011, Archetypes!$A$2:$A$127, 0))*INDEX(Unit_Grades!$B$2:$B$7, MATCH(F2011, Unit_Grades!$A$2:$A$7, 0))*INDEX(Unit_Paths!$B$2:$B$4, MATCH(E2011, Unit_Paths!$A$2:$A$4, 0)),1)</f>
        <v>2016</v>
      </c>
      <c r="I2011" s="6" t="n">
        <f aca="false">ROUND(INDEX(Archetypes!$F$2:$F$127, MATCH(D2011, Archetypes!$A$2:$A$127, 0))*INDEX(Unit_Grades!$B$2:$B$7, MATCH(F2011, Unit_Grades!$A$2:$A$7, 0))*INDEX(Unit_Paths!$C$2:$C$4, MATCH(E2011, Unit_Paths!$A$2:$A$4, 0)),1)</f>
        <v>5712</v>
      </c>
      <c r="J2011" s="6" t="n">
        <f aca="false">ROUND(INDEX(Archetypes!$G$2:$G$127, MATCH(D2011, Archetypes!$A$2:$A$127, 0))*INDEX(Unit_Grades!$B$2:$B$7, MATCH(F2011, Unit_Grades!$A$2:$A$7, 0))*INDEX(Unit_Paths!$D$2:$D$4, MATCH(E2011, Unit_Paths!$A$2:$A$4, 0)),0)</f>
        <v>39900</v>
      </c>
      <c r="K2011" s="6" t="n">
        <f aca="false">ROUND(INDEX(Archetypes!$H$2:$H$127, MATCH(D2011, Archetypes!$A$2:$A$127, 0))*INDEX(Unit_Paths!$E$2:$E$4, MATCH(E2011, Unit_Paths!$A$2:$A$4, 0)),1)</f>
        <v>46.2</v>
      </c>
      <c r="L2011" s="6" t="n">
        <f aca="false">ROUND(INDEX(Archetypes!$I$2:$I$127, MATCH(D2011, Archetypes!$A$2:$A$127, 0))*INDEX(Unit_Grades!$C$2:$C$7, MATCH(F2011, Unit_Grades!$A$2:$A$7, 0)),1)</f>
        <v>703</v>
      </c>
      <c r="M2011" s="6" t="n">
        <f aca="false">ROUND(INDEX(Archetypes!$J$2:$J$127, MATCH(D2011, Archetypes!$A$2:$A$127, 0))*INDEX(Unit_Grades!$D$2:$D$7, MATCH(F2011, Unit_Grades!$A$2:$A$7, 0)),1)</f>
        <v>925.3</v>
      </c>
      <c r="N2011" s="6" t="n">
        <f aca="false">ROUND(M2011/24,2)</f>
        <v>38.55</v>
      </c>
    </row>
    <row r="2012" customFormat="false" ht="15" hidden="false" customHeight="true" outlineLevel="0" collapsed="false">
      <c r="A2012" s="6" t="n">
        <v>7</v>
      </c>
      <c r="B2012" s="6" t="s">
        <v>3468</v>
      </c>
      <c r="C2012" s="6" t="s">
        <v>1503</v>
      </c>
      <c r="D2012" s="6" t="str">
        <f aca="false">A2012&amp;"|"&amp;C2012</f>
        <v>7|Harvest Titan</v>
      </c>
      <c r="E2012" s="6" t="s">
        <v>1560</v>
      </c>
      <c r="F2012" s="6" t="s">
        <v>1538</v>
      </c>
      <c r="G2012" s="6" t="str">
        <f aca="false">INDEX(Archetypes!$D$2:$D$127, MATCH(D2012, Archetypes!$A$2:$A$127, 0))</f>
        <v>Logistics</v>
      </c>
      <c r="H2012" s="6" t="n">
        <f aca="false">ROUND(INDEX(Archetypes!$E$2:$E$127, MATCH(D2012, Archetypes!$A$2:$A$127, 0))*INDEX(Unit_Grades!$B$2:$B$7, MATCH(F2012, Unit_Grades!$A$2:$A$7, 0))*INDEX(Unit_Paths!$B$2:$B$4, MATCH(E2012, Unit_Paths!$A$2:$A$4, 0)),1)</f>
        <v>340</v>
      </c>
      <c r="I2012" s="6" t="n">
        <f aca="false">ROUND(INDEX(Archetypes!$F$2:$F$127, MATCH(D2012, Archetypes!$A$2:$A$127, 0))*INDEX(Unit_Grades!$B$2:$B$7, MATCH(F2012, Unit_Grades!$A$2:$A$7, 0))*INDEX(Unit_Paths!$C$2:$C$4, MATCH(E2012, Unit_Paths!$A$2:$A$4, 0)),1)</f>
        <v>2000</v>
      </c>
      <c r="J2012" s="6" t="n">
        <f aca="false">ROUND(INDEX(Archetypes!$G$2:$G$127, MATCH(D2012, Archetypes!$A$2:$A$127, 0))*INDEX(Unit_Grades!$B$2:$B$7, MATCH(F2012, Unit_Grades!$A$2:$A$7, 0))*INDEX(Unit_Paths!$D$2:$D$4, MATCH(E2012, Unit_Paths!$A$2:$A$4, 0)),0)</f>
        <v>11500</v>
      </c>
      <c r="K2012" s="6" t="n">
        <f aca="false">ROUND(INDEX(Archetypes!$H$2:$H$127, MATCH(D2012, Archetypes!$A$2:$A$127, 0))*INDEX(Unit_Paths!$E$2:$E$4, MATCH(E2012, Unit_Paths!$A$2:$A$4, 0)),1)</f>
        <v>40.5</v>
      </c>
      <c r="L2012" s="6" t="n">
        <f aca="false">ROUND(INDEX(Archetypes!$I$2:$I$127, MATCH(D2012, Archetypes!$A$2:$A$127, 0))*INDEX(Unit_Grades!$C$2:$C$7, MATCH(F2012, Unit_Grades!$A$2:$A$7, 0)),1)</f>
        <v>190</v>
      </c>
      <c r="M2012" s="6" t="n">
        <f aca="false">ROUND(INDEX(Archetypes!$J$2:$J$127, MATCH(D2012, Archetypes!$A$2:$A$127, 0))*INDEX(Unit_Grades!$D$2:$D$7, MATCH(F2012, Unit_Grades!$A$2:$A$7, 0)),1)</f>
        <v>77.1</v>
      </c>
      <c r="N2012" s="6" t="n">
        <f aca="false">ROUND(M2012/24,2)</f>
        <v>3.21</v>
      </c>
    </row>
    <row r="2013" customFormat="false" ht="15" hidden="false" customHeight="true" outlineLevel="0" collapsed="false">
      <c r="A2013" s="6" t="n">
        <v>7</v>
      </c>
      <c r="B2013" s="6" t="s">
        <v>3469</v>
      </c>
      <c r="C2013" s="6" t="s">
        <v>1503</v>
      </c>
      <c r="D2013" s="6" t="str">
        <f aca="false">A2013&amp;"|"&amp;C2013</f>
        <v>7|Harvest Titan</v>
      </c>
      <c r="E2013" s="6" t="s">
        <v>1560</v>
      </c>
      <c r="F2013" s="6" t="s">
        <v>1540</v>
      </c>
      <c r="G2013" s="6" t="str">
        <f aca="false">INDEX(Archetypes!$D$2:$D$127, MATCH(D2013, Archetypes!$A$2:$A$127, 0))</f>
        <v>Logistics</v>
      </c>
      <c r="H2013" s="6" t="n">
        <f aca="false">ROUND(INDEX(Archetypes!$E$2:$E$127, MATCH(D2013, Archetypes!$A$2:$A$127, 0))*INDEX(Unit_Grades!$B$2:$B$7, MATCH(F2013, Unit_Grades!$A$2:$A$7, 0))*INDEX(Unit_Paths!$B$2:$B$4, MATCH(E2013, Unit_Paths!$A$2:$A$4, 0)),1)</f>
        <v>459</v>
      </c>
      <c r="I2013" s="6" t="n">
        <f aca="false">ROUND(INDEX(Archetypes!$F$2:$F$127, MATCH(D2013, Archetypes!$A$2:$A$127, 0))*INDEX(Unit_Grades!$B$2:$B$7, MATCH(F2013, Unit_Grades!$A$2:$A$7, 0))*INDEX(Unit_Paths!$C$2:$C$4, MATCH(E2013, Unit_Paths!$A$2:$A$4, 0)),1)</f>
        <v>2700</v>
      </c>
      <c r="J2013" s="6" t="n">
        <f aca="false">ROUND(INDEX(Archetypes!$G$2:$G$127, MATCH(D2013, Archetypes!$A$2:$A$127, 0))*INDEX(Unit_Grades!$B$2:$B$7, MATCH(F2013, Unit_Grades!$A$2:$A$7, 0))*INDEX(Unit_Paths!$D$2:$D$4, MATCH(E2013, Unit_Paths!$A$2:$A$4, 0)),0)</f>
        <v>15525</v>
      </c>
      <c r="K2013" s="6" t="n">
        <f aca="false">ROUND(INDEX(Archetypes!$H$2:$H$127, MATCH(D2013, Archetypes!$A$2:$A$127, 0))*INDEX(Unit_Paths!$E$2:$E$4, MATCH(E2013, Unit_Paths!$A$2:$A$4, 0)),1)</f>
        <v>40.5</v>
      </c>
      <c r="L2013" s="6" t="n">
        <f aca="false">ROUND(INDEX(Archetypes!$I$2:$I$127, MATCH(D2013, Archetypes!$A$2:$A$127, 0))*INDEX(Unit_Grades!$C$2:$C$7, MATCH(F2013, Unit_Grades!$A$2:$A$7, 0)),1)</f>
        <v>237.5</v>
      </c>
      <c r="M2013" s="6" t="n">
        <f aca="false">ROUND(INDEX(Archetypes!$J$2:$J$127, MATCH(D2013, Archetypes!$A$2:$A$127, 0))*INDEX(Unit_Grades!$D$2:$D$7, MATCH(F2013, Unit_Grades!$A$2:$A$7, 0)),1)</f>
        <v>115.7</v>
      </c>
      <c r="N2013" s="6" t="n">
        <f aca="false">ROUND(M2013/24,2)</f>
        <v>4.82</v>
      </c>
    </row>
    <row r="2014" customFormat="false" ht="15" hidden="false" customHeight="true" outlineLevel="0" collapsed="false">
      <c r="A2014" s="6" t="n">
        <v>7</v>
      </c>
      <c r="B2014" s="6" t="s">
        <v>3470</v>
      </c>
      <c r="C2014" s="6" t="s">
        <v>1503</v>
      </c>
      <c r="D2014" s="6" t="str">
        <f aca="false">A2014&amp;"|"&amp;C2014</f>
        <v>7|Harvest Titan</v>
      </c>
      <c r="E2014" s="6" t="s">
        <v>1560</v>
      </c>
      <c r="F2014" s="6" t="s">
        <v>1542</v>
      </c>
      <c r="G2014" s="6" t="str">
        <f aca="false">INDEX(Archetypes!$D$2:$D$127, MATCH(D2014, Archetypes!$A$2:$A$127, 0))</f>
        <v>Logistics</v>
      </c>
      <c r="H2014" s="6" t="n">
        <f aca="false">ROUND(INDEX(Archetypes!$E$2:$E$127, MATCH(D2014, Archetypes!$A$2:$A$127, 0))*INDEX(Unit_Grades!$B$2:$B$7, MATCH(F2014, Unit_Grades!$A$2:$A$7, 0))*INDEX(Unit_Paths!$B$2:$B$4, MATCH(E2014, Unit_Paths!$A$2:$A$4, 0)),1)</f>
        <v>612</v>
      </c>
      <c r="I2014" s="6" t="n">
        <f aca="false">ROUND(INDEX(Archetypes!$F$2:$F$127, MATCH(D2014, Archetypes!$A$2:$A$127, 0))*INDEX(Unit_Grades!$B$2:$B$7, MATCH(F2014, Unit_Grades!$A$2:$A$7, 0))*INDEX(Unit_Paths!$C$2:$C$4, MATCH(E2014, Unit_Paths!$A$2:$A$4, 0)),1)</f>
        <v>3600</v>
      </c>
      <c r="J2014" s="6" t="n">
        <f aca="false">ROUND(INDEX(Archetypes!$G$2:$G$127, MATCH(D2014, Archetypes!$A$2:$A$127, 0))*INDEX(Unit_Grades!$B$2:$B$7, MATCH(F2014, Unit_Grades!$A$2:$A$7, 0))*INDEX(Unit_Paths!$D$2:$D$4, MATCH(E2014, Unit_Paths!$A$2:$A$4, 0)),0)</f>
        <v>20700</v>
      </c>
      <c r="K2014" s="6" t="n">
        <f aca="false">ROUND(INDEX(Archetypes!$H$2:$H$127, MATCH(D2014, Archetypes!$A$2:$A$127, 0))*INDEX(Unit_Paths!$E$2:$E$4, MATCH(E2014, Unit_Paths!$A$2:$A$4, 0)),1)</f>
        <v>40.5</v>
      </c>
      <c r="L2014" s="6" t="n">
        <f aca="false">ROUND(INDEX(Archetypes!$I$2:$I$127, MATCH(D2014, Archetypes!$A$2:$A$127, 0))*INDEX(Unit_Grades!$C$2:$C$7, MATCH(F2014, Unit_Grades!$A$2:$A$7, 0)),1)</f>
        <v>304</v>
      </c>
      <c r="M2014" s="6" t="n">
        <f aca="false">ROUND(INDEX(Archetypes!$J$2:$J$127, MATCH(D2014, Archetypes!$A$2:$A$127, 0))*INDEX(Unit_Grades!$D$2:$D$7, MATCH(F2014, Unit_Grades!$A$2:$A$7, 0)),1)</f>
        <v>192.8</v>
      </c>
      <c r="N2014" s="6" t="n">
        <f aca="false">ROUND(M2014/24,2)</f>
        <v>8.03</v>
      </c>
    </row>
    <row r="2015" customFormat="false" ht="15" hidden="false" customHeight="true" outlineLevel="0" collapsed="false">
      <c r="A2015" s="6" t="n">
        <v>7</v>
      </c>
      <c r="B2015" s="6" t="s">
        <v>3471</v>
      </c>
      <c r="C2015" s="6" t="s">
        <v>1503</v>
      </c>
      <c r="D2015" s="6" t="str">
        <f aca="false">A2015&amp;"|"&amp;C2015</f>
        <v>7|Harvest Titan</v>
      </c>
      <c r="E2015" s="6" t="s">
        <v>1560</v>
      </c>
      <c r="F2015" s="6" t="s">
        <v>1544</v>
      </c>
      <c r="G2015" s="6" t="str">
        <f aca="false">INDEX(Archetypes!$D$2:$D$127, MATCH(D2015, Archetypes!$A$2:$A$127, 0))</f>
        <v>Logistics</v>
      </c>
      <c r="H2015" s="6" t="n">
        <f aca="false">ROUND(INDEX(Archetypes!$E$2:$E$127, MATCH(D2015, Archetypes!$A$2:$A$127, 0))*INDEX(Unit_Grades!$B$2:$B$7, MATCH(F2015, Unit_Grades!$A$2:$A$7, 0))*INDEX(Unit_Paths!$B$2:$B$4, MATCH(E2015, Unit_Paths!$A$2:$A$4, 0)),1)</f>
        <v>816</v>
      </c>
      <c r="I2015" s="6" t="n">
        <f aca="false">ROUND(INDEX(Archetypes!$F$2:$F$127, MATCH(D2015, Archetypes!$A$2:$A$127, 0))*INDEX(Unit_Grades!$B$2:$B$7, MATCH(F2015, Unit_Grades!$A$2:$A$7, 0))*INDEX(Unit_Paths!$C$2:$C$4, MATCH(E2015, Unit_Paths!$A$2:$A$4, 0)),1)</f>
        <v>4800</v>
      </c>
      <c r="J2015" s="6" t="n">
        <f aca="false">ROUND(INDEX(Archetypes!$G$2:$G$127, MATCH(D2015, Archetypes!$A$2:$A$127, 0))*INDEX(Unit_Grades!$B$2:$B$7, MATCH(F2015, Unit_Grades!$A$2:$A$7, 0))*INDEX(Unit_Paths!$D$2:$D$4, MATCH(E2015, Unit_Paths!$A$2:$A$4, 0)),0)</f>
        <v>27600</v>
      </c>
      <c r="K2015" s="6" t="n">
        <f aca="false">ROUND(INDEX(Archetypes!$H$2:$H$127, MATCH(D2015, Archetypes!$A$2:$A$127, 0))*INDEX(Unit_Paths!$E$2:$E$4, MATCH(E2015, Unit_Paths!$A$2:$A$4, 0)),1)</f>
        <v>40.5</v>
      </c>
      <c r="L2015" s="6" t="n">
        <f aca="false">ROUND(INDEX(Archetypes!$I$2:$I$127, MATCH(D2015, Archetypes!$A$2:$A$127, 0))*INDEX(Unit_Grades!$C$2:$C$7, MATCH(F2015, Unit_Grades!$A$2:$A$7, 0)),1)</f>
        <v>399</v>
      </c>
      <c r="M2015" s="6" t="n">
        <f aca="false">ROUND(INDEX(Archetypes!$J$2:$J$127, MATCH(D2015, Archetypes!$A$2:$A$127, 0))*INDEX(Unit_Grades!$D$2:$D$7, MATCH(F2015, Unit_Grades!$A$2:$A$7, 0)),1)</f>
        <v>308.4</v>
      </c>
      <c r="N2015" s="6" t="n">
        <f aca="false">ROUND(M2015/24,2)</f>
        <v>12.85</v>
      </c>
    </row>
    <row r="2016" customFormat="false" ht="15" hidden="false" customHeight="true" outlineLevel="0" collapsed="false">
      <c r="A2016" s="6" t="n">
        <v>7</v>
      </c>
      <c r="B2016" s="6" t="s">
        <v>3472</v>
      </c>
      <c r="C2016" s="6" t="s">
        <v>1503</v>
      </c>
      <c r="D2016" s="6" t="str">
        <f aca="false">A2016&amp;"|"&amp;C2016</f>
        <v>7|Harvest Titan</v>
      </c>
      <c r="E2016" s="6" t="s">
        <v>1560</v>
      </c>
      <c r="F2016" s="6" t="s">
        <v>1546</v>
      </c>
      <c r="G2016" s="6" t="str">
        <f aca="false">INDEX(Archetypes!$D$2:$D$127, MATCH(D2016, Archetypes!$A$2:$A$127, 0))</f>
        <v>Logistics</v>
      </c>
      <c r="H2016" s="6" t="n">
        <f aca="false">ROUND(INDEX(Archetypes!$E$2:$E$127, MATCH(D2016, Archetypes!$A$2:$A$127, 0))*INDEX(Unit_Grades!$B$2:$B$7, MATCH(F2016, Unit_Grades!$A$2:$A$7, 0))*INDEX(Unit_Paths!$B$2:$B$4, MATCH(E2016, Unit_Paths!$A$2:$A$4, 0)),1)</f>
        <v>1088</v>
      </c>
      <c r="I2016" s="6" t="n">
        <f aca="false">ROUND(INDEX(Archetypes!$F$2:$F$127, MATCH(D2016, Archetypes!$A$2:$A$127, 0))*INDEX(Unit_Grades!$B$2:$B$7, MATCH(F2016, Unit_Grades!$A$2:$A$7, 0))*INDEX(Unit_Paths!$C$2:$C$4, MATCH(E2016, Unit_Paths!$A$2:$A$4, 0)),1)</f>
        <v>6400</v>
      </c>
      <c r="J2016" s="6" t="n">
        <f aca="false">ROUND(INDEX(Archetypes!$G$2:$G$127, MATCH(D2016, Archetypes!$A$2:$A$127, 0))*INDEX(Unit_Grades!$B$2:$B$7, MATCH(F2016, Unit_Grades!$A$2:$A$7, 0))*INDEX(Unit_Paths!$D$2:$D$4, MATCH(E2016, Unit_Paths!$A$2:$A$4, 0)),0)</f>
        <v>36800</v>
      </c>
      <c r="K2016" s="6" t="n">
        <f aca="false">ROUND(INDEX(Archetypes!$H$2:$H$127, MATCH(D2016, Archetypes!$A$2:$A$127, 0))*INDEX(Unit_Paths!$E$2:$E$4, MATCH(E2016, Unit_Paths!$A$2:$A$4, 0)),1)</f>
        <v>40.5</v>
      </c>
      <c r="L2016" s="6" t="n">
        <f aca="false">ROUND(INDEX(Archetypes!$I$2:$I$127, MATCH(D2016, Archetypes!$A$2:$A$127, 0))*INDEX(Unit_Grades!$C$2:$C$7, MATCH(F2016, Unit_Grades!$A$2:$A$7, 0)),1)</f>
        <v>532</v>
      </c>
      <c r="M2016" s="6" t="n">
        <f aca="false">ROUND(INDEX(Archetypes!$J$2:$J$127, MATCH(D2016, Archetypes!$A$2:$A$127, 0))*INDEX(Unit_Grades!$D$2:$D$7, MATCH(F2016, Unit_Grades!$A$2:$A$7, 0)),1)</f>
        <v>539.8</v>
      </c>
      <c r="N2016" s="6" t="n">
        <f aca="false">ROUND(M2016/24,2)</f>
        <v>22.49</v>
      </c>
    </row>
    <row r="2017" customFormat="false" ht="15" hidden="false" customHeight="true" outlineLevel="0" collapsed="false">
      <c r="A2017" s="6" t="n">
        <v>7</v>
      </c>
      <c r="B2017" s="6" t="s">
        <v>3473</v>
      </c>
      <c r="C2017" s="6" t="s">
        <v>1503</v>
      </c>
      <c r="D2017" s="6" t="str">
        <f aca="false">A2017&amp;"|"&amp;C2017</f>
        <v>7|Harvest Titan</v>
      </c>
      <c r="E2017" s="6" t="s">
        <v>1560</v>
      </c>
      <c r="F2017" s="6" t="s">
        <v>1548</v>
      </c>
      <c r="G2017" s="6" t="str">
        <f aca="false">INDEX(Archetypes!$D$2:$D$127, MATCH(D2017, Archetypes!$A$2:$A$127, 0))</f>
        <v>Logistics</v>
      </c>
      <c r="H2017" s="6" t="n">
        <f aca="false">ROUND(INDEX(Archetypes!$E$2:$E$127, MATCH(D2017, Archetypes!$A$2:$A$127, 0))*INDEX(Unit_Grades!$B$2:$B$7, MATCH(F2017, Unit_Grades!$A$2:$A$7, 0))*INDEX(Unit_Paths!$B$2:$B$4, MATCH(E2017, Unit_Paths!$A$2:$A$4, 0)),1)</f>
        <v>1428</v>
      </c>
      <c r="I2017" s="6" t="n">
        <f aca="false">ROUND(INDEX(Archetypes!$F$2:$F$127, MATCH(D2017, Archetypes!$A$2:$A$127, 0))*INDEX(Unit_Grades!$B$2:$B$7, MATCH(F2017, Unit_Grades!$A$2:$A$7, 0))*INDEX(Unit_Paths!$C$2:$C$4, MATCH(E2017, Unit_Paths!$A$2:$A$4, 0)),1)</f>
        <v>8400</v>
      </c>
      <c r="J2017" s="6" t="n">
        <f aca="false">ROUND(INDEX(Archetypes!$G$2:$G$127, MATCH(D2017, Archetypes!$A$2:$A$127, 0))*INDEX(Unit_Grades!$B$2:$B$7, MATCH(F2017, Unit_Grades!$A$2:$A$7, 0))*INDEX(Unit_Paths!$D$2:$D$4, MATCH(E2017, Unit_Paths!$A$2:$A$4, 0)),0)</f>
        <v>48300</v>
      </c>
      <c r="K2017" s="6" t="n">
        <f aca="false">ROUND(INDEX(Archetypes!$H$2:$H$127, MATCH(D2017, Archetypes!$A$2:$A$127, 0))*INDEX(Unit_Paths!$E$2:$E$4, MATCH(E2017, Unit_Paths!$A$2:$A$4, 0)),1)</f>
        <v>40.5</v>
      </c>
      <c r="L2017" s="6" t="n">
        <f aca="false">ROUND(INDEX(Archetypes!$I$2:$I$127, MATCH(D2017, Archetypes!$A$2:$A$127, 0))*INDEX(Unit_Grades!$C$2:$C$7, MATCH(F2017, Unit_Grades!$A$2:$A$7, 0)),1)</f>
        <v>703</v>
      </c>
      <c r="M2017" s="6" t="n">
        <f aca="false">ROUND(INDEX(Archetypes!$J$2:$J$127, MATCH(D2017, Archetypes!$A$2:$A$127, 0))*INDEX(Unit_Grades!$D$2:$D$7, MATCH(F2017, Unit_Grades!$A$2:$A$7, 0)),1)</f>
        <v>925.3</v>
      </c>
      <c r="N2017" s="6" t="n">
        <f aca="false">ROUND(M2017/24,2)</f>
        <v>38.55</v>
      </c>
    </row>
    <row r="2018" customFormat="false" ht="15" hidden="false" customHeight="true" outlineLevel="0" collapsed="false">
      <c r="A2018" s="6" t="n">
        <v>7</v>
      </c>
      <c r="B2018" s="6" t="s">
        <v>1505</v>
      </c>
      <c r="C2018" s="6" t="s">
        <v>1505</v>
      </c>
      <c r="D2018" s="6" t="str">
        <f aca="false">A2018&amp;"|"&amp;C2018</f>
        <v>7|Genesis Tender</v>
      </c>
      <c r="E2018" s="6" t="s">
        <v>1556</v>
      </c>
      <c r="F2018" s="6" t="s">
        <v>1538</v>
      </c>
      <c r="G2018" s="6" t="str">
        <f aca="false">INDEX(Archetypes!$D$2:$D$127, MATCH(D2018, Archetypes!$A$2:$A$127, 0))</f>
        <v>Support</v>
      </c>
      <c r="H2018" s="6" t="n">
        <f aca="false">ROUND(INDEX(Archetypes!$E$2:$E$127, MATCH(D2018, Archetypes!$A$2:$A$127, 0))*INDEX(Unit_Grades!$B$2:$B$7, MATCH(F2018, Unit_Grades!$A$2:$A$7, 0))*INDEX(Unit_Paths!$B$2:$B$4, MATCH(E2018, Unit_Paths!$A$2:$A$4, 0)),1)</f>
        <v>600</v>
      </c>
      <c r="I2018" s="6" t="n">
        <f aca="false">ROUND(INDEX(Archetypes!$F$2:$F$127, MATCH(D2018, Archetypes!$A$2:$A$127, 0))*INDEX(Unit_Grades!$B$2:$B$7, MATCH(F2018, Unit_Grades!$A$2:$A$7, 0))*INDEX(Unit_Paths!$C$2:$C$4, MATCH(E2018, Unit_Paths!$A$2:$A$4, 0)),1)</f>
        <v>1400</v>
      </c>
      <c r="J2018" s="6" t="n">
        <f aca="false">ROUND(INDEX(Archetypes!$G$2:$G$127, MATCH(D2018, Archetypes!$A$2:$A$127, 0))*INDEX(Unit_Grades!$B$2:$B$7, MATCH(F2018, Unit_Grades!$A$2:$A$7, 0))*INDEX(Unit_Paths!$D$2:$D$4, MATCH(E2018, Unit_Paths!$A$2:$A$4, 0)),0)</f>
        <v>8000</v>
      </c>
      <c r="K2018" s="6" t="n">
        <f aca="false">ROUND(INDEX(Archetypes!$H$2:$H$127, MATCH(D2018, Archetypes!$A$2:$A$127, 0))*INDEX(Unit_Paths!$E$2:$E$4, MATCH(E2018, Unit_Paths!$A$2:$A$4, 0)),1)</f>
        <v>50</v>
      </c>
      <c r="L2018" s="6" t="n">
        <f aca="false">ROUND(INDEX(Archetypes!$I$2:$I$127, MATCH(D2018, Archetypes!$A$2:$A$127, 0))*INDEX(Unit_Grades!$C$2:$C$7, MATCH(F2018, Unit_Grades!$A$2:$A$7, 0)),1)</f>
        <v>170</v>
      </c>
      <c r="M2018" s="6" t="n">
        <f aca="false">ROUND(INDEX(Archetypes!$J$2:$J$127, MATCH(D2018, Archetypes!$A$2:$A$127, 0))*INDEX(Unit_Grades!$D$2:$D$7, MATCH(F2018, Unit_Grades!$A$2:$A$7, 0)),1)</f>
        <v>69</v>
      </c>
      <c r="N2018" s="6" t="n">
        <f aca="false">ROUND(M2018/24,2)</f>
        <v>2.88</v>
      </c>
    </row>
    <row r="2019" customFormat="false" ht="15" hidden="false" customHeight="true" outlineLevel="0" collapsed="false">
      <c r="A2019" s="6" t="n">
        <v>7</v>
      </c>
      <c r="B2019" s="6" t="s">
        <v>3474</v>
      </c>
      <c r="C2019" s="6" t="s">
        <v>1505</v>
      </c>
      <c r="D2019" s="6" t="str">
        <f aca="false">A2019&amp;"|"&amp;C2019</f>
        <v>7|Genesis Tender</v>
      </c>
      <c r="E2019" s="6" t="s">
        <v>1556</v>
      </c>
      <c r="F2019" s="6" t="s">
        <v>1540</v>
      </c>
      <c r="G2019" s="6" t="str">
        <f aca="false">INDEX(Archetypes!$D$2:$D$127, MATCH(D2019, Archetypes!$A$2:$A$127, 0))</f>
        <v>Support</v>
      </c>
      <c r="H2019" s="6" t="n">
        <f aca="false">ROUND(INDEX(Archetypes!$E$2:$E$127, MATCH(D2019, Archetypes!$A$2:$A$127, 0))*INDEX(Unit_Grades!$B$2:$B$7, MATCH(F2019, Unit_Grades!$A$2:$A$7, 0))*INDEX(Unit_Paths!$B$2:$B$4, MATCH(E2019, Unit_Paths!$A$2:$A$4, 0)),1)</f>
        <v>810</v>
      </c>
      <c r="I2019" s="6" t="n">
        <f aca="false">ROUND(INDEX(Archetypes!$F$2:$F$127, MATCH(D2019, Archetypes!$A$2:$A$127, 0))*INDEX(Unit_Grades!$B$2:$B$7, MATCH(F2019, Unit_Grades!$A$2:$A$7, 0))*INDEX(Unit_Paths!$C$2:$C$4, MATCH(E2019, Unit_Paths!$A$2:$A$4, 0)),1)</f>
        <v>1890</v>
      </c>
      <c r="J2019" s="6" t="n">
        <f aca="false">ROUND(INDEX(Archetypes!$G$2:$G$127, MATCH(D2019, Archetypes!$A$2:$A$127, 0))*INDEX(Unit_Grades!$B$2:$B$7, MATCH(F2019, Unit_Grades!$A$2:$A$7, 0))*INDEX(Unit_Paths!$D$2:$D$4, MATCH(E2019, Unit_Paths!$A$2:$A$4, 0)),0)</f>
        <v>10800</v>
      </c>
      <c r="K2019" s="6" t="n">
        <f aca="false">ROUND(INDEX(Archetypes!$H$2:$H$127, MATCH(D2019, Archetypes!$A$2:$A$127, 0))*INDEX(Unit_Paths!$E$2:$E$4, MATCH(E2019, Unit_Paths!$A$2:$A$4, 0)),1)</f>
        <v>50</v>
      </c>
      <c r="L2019" s="6" t="n">
        <f aca="false">ROUND(INDEX(Archetypes!$I$2:$I$127, MATCH(D2019, Archetypes!$A$2:$A$127, 0))*INDEX(Unit_Grades!$C$2:$C$7, MATCH(F2019, Unit_Grades!$A$2:$A$7, 0)),1)</f>
        <v>212.5</v>
      </c>
      <c r="M2019" s="6" t="n">
        <f aca="false">ROUND(INDEX(Archetypes!$J$2:$J$127, MATCH(D2019, Archetypes!$A$2:$A$127, 0))*INDEX(Unit_Grades!$D$2:$D$7, MATCH(F2019, Unit_Grades!$A$2:$A$7, 0)),1)</f>
        <v>103.5</v>
      </c>
      <c r="N2019" s="6" t="n">
        <f aca="false">ROUND(M2019/24,2)</f>
        <v>4.31</v>
      </c>
    </row>
    <row r="2020" customFormat="false" ht="15" hidden="false" customHeight="true" outlineLevel="0" collapsed="false">
      <c r="A2020" s="6" t="n">
        <v>7</v>
      </c>
      <c r="B2020" s="6" t="s">
        <v>3475</v>
      </c>
      <c r="C2020" s="6" t="s">
        <v>1505</v>
      </c>
      <c r="D2020" s="6" t="str">
        <f aca="false">A2020&amp;"|"&amp;C2020</f>
        <v>7|Genesis Tender</v>
      </c>
      <c r="E2020" s="6" t="s">
        <v>1556</v>
      </c>
      <c r="F2020" s="6" t="s">
        <v>1542</v>
      </c>
      <c r="G2020" s="6" t="str">
        <f aca="false">INDEX(Archetypes!$D$2:$D$127, MATCH(D2020, Archetypes!$A$2:$A$127, 0))</f>
        <v>Support</v>
      </c>
      <c r="H2020" s="6" t="n">
        <f aca="false">ROUND(INDEX(Archetypes!$E$2:$E$127, MATCH(D2020, Archetypes!$A$2:$A$127, 0))*INDEX(Unit_Grades!$B$2:$B$7, MATCH(F2020, Unit_Grades!$A$2:$A$7, 0))*INDEX(Unit_Paths!$B$2:$B$4, MATCH(E2020, Unit_Paths!$A$2:$A$4, 0)),1)</f>
        <v>1080</v>
      </c>
      <c r="I2020" s="6" t="n">
        <f aca="false">ROUND(INDEX(Archetypes!$F$2:$F$127, MATCH(D2020, Archetypes!$A$2:$A$127, 0))*INDEX(Unit_Grades!$B$2:$B$7, MATCH(F2020, Unit_Grades!$A$2:$A$7, 0))*INDEX(Unit_Paths!$C$2:$C$4, MATCH(E2020, Unit_Paths!$A$2:$A$4, 0)),1)</f>
        <v>2520</v>
      </c>
      <c r="J2020" s="6" t="n">
        <f aca="false">ROUND(INDEX(Archetypes!$G$2:$G$127, MATCH(D2020, Archetypes!$A$2:$A$127, 0))*INDEX(Unit_Grades!$B$2:$B$7, MATCH(F2020, Unit_Grades!$A$2:$A$7, 0))*INDEX(Unit_Paths!$D$2:$D$4, MATCH(E2020, Unit_Paths!$A$2:$A$4, 0)),0)</f>
        <v>14400</v>
      </c>
      <c r="K2020" s="6" t="n">
        <f aca="false">ROUND(INDEX(Archetypes!$H$2:$H$127, MATCH(D2020, Archetypes!$A$2:$A$127, 0))*INDEX(Unit_Paths!$E$2:$E$4, MATCH(E2020, Unit_Paths!$A$2:$A$4, 0)),1)</f>
        <v>50</v>
      </c>
      <c r="L2020" s="6" t="n">
        <f aca="false">ROUND(INDEX(Archetypes!$I$2:$I$127, MATCH(D2020, Archetypes!$A$2:$A$127, 0))*INDEX(Unit_Grades!$C$2:$C$7, MATCH(F2020, Unit_Grades!$A$2:$A$7, 0)),1)</f>
        <v>272</v>
      </c>
      <c r="M2020" s="6" t="n">
        <f aca="false">ROUND(INDEX(Archetypes!$J$2:$J$127, MATCH(D2020, Archetypes!$A$2:$A$127, 0))*INDEX(Unit_Grades!$D$2:$D$7, MATCH(F2020, Unit_Grades!$A$2:$A$7, 0)),1)</f>
        <v>172.5</v>
      </c>
      <c r="N2020" s="6" t="n">
        <f aca="false">ROUND(M2020/24,2)</f>
        <v>7.19</v>
      </c>
    </row>
    <row r="2021" customFormat="false" ht="15" hidden="false" customHeight="true" outlineLevel="0" collapsed="false">
      <c r="A2021" s="6" t="n">
        <v>7</v>
      </c>
      <c r="B2021" s="6" t="s">
        <v>3476</v>
      </c>
      <c r="C2021" s="6" t="s">
        <v>1505</v>
      </c>
      <c r="D2021" s="6" t="str">
        <f aca="false">A2021&amp;"|"&amp;C2021</f>
        <v>7|Genesis Tender</v>
      </c>
      <c r="E2021" s="6" t="s">
        <v>1556</v>
      </c>
      <c r="F2021" s="6" t="s">
        <v>1544</v>
      </c>
      <c r="G2021" s="6" t="str">
        <f aca="false">INDEX(Archetypes!$D$2:$D$127, MATCH(D2021, Archetypes!$A$2:$A$127, 0))</f>
        <v>Support</v>
      </c>
      <c r="H2021" s="6" t="n">
        <f aca="false">ROUND(INDEX(Archetypes!$E$2:$E$127, MATCH(D2021, Archetypes!$A$2:$A$127, 0))*INDEX(Unit_Grades!$B$2:$B$7, MATCH(F2021, Unit_Grades!$A$2:$A$7, 0))*INDEX(Unit_Paths!$B$2:$B$4, MATCH(E2021, Unit_Paths!$A$2:$A$4, 0)),1)</f>
        <v>1440</v>
      </c>
      <c r="I2021" s="6" t="n">
        <f aca="false">ROUND(INDEX(Archetypes!$F$2:$F$127, MATCH(D2021, Archetypes!$A$2:$A$127, 0))*INDEX(Unit_Grades!$B$2:$B$7, MATCH(F2021, Unit_Grades!$A$2:$A$7, 0))*INDEX(Unit_Paths!$C$2:$C$4, MATCH(E2021, Unit_Paths!$A$2:$A$4, 0)),1)</f>
        <v>3360</v>
      </c>
      <c r="J2021" s="6" t="n">
        <f aca="false">ROUND(INDEX(Archetypes!$G$2:$G$127, MATCH(D2021, Archetypes!$A$2:$A$127, 0))*INDEX(Unit_Grades!$B$2:$B$7, MATCH(F2021, Unit_Grades!$A$2:$A$7, 0))*INDEX(Unit_Paths!$D$2:$D$4, MATCH(E2021, Unit_Paths!$A$2:$A$4, 0)),0)</f>
        <v>19200</v>
      </c>
      <c r="K2021" s="6" t="n">
        <f aca="false">ROUND(INDEX(Archetypes!$H$2:$H$127, MATCH(D2021, Archetypes!$A$2:$A$127, 0))*INDEX(Unit_Paths!$E$2:$E$4, MATCH(E2021, Unit_Paths!$A$2:$A$4, 0)),1)</f>
        <v>50</v>
      </c>
      <c r="L2021" s="6" t="n">
        <f aca="false">ROUND(INDEX(Archetypes!$I$2:$I$127, MATCH(D2021, Archetypes!$A$2:$A$127, 0))*INDEX(Unit_Grades!$C$2:$C$7, MATCH(F2021, Unit_Grades!$A$2:$A$7, 0)),1)</f>
        <v>357</v>
      </c>
      <c r="M2021" s="6" t="n">
        <f aca="false">ROUND(INDEX(Archetypes!$J$2:$J$127, MATCH(D2021, Archetypes!$A$2:$A$127, 0))*INDEX(Unit_Grades!$D$2:$D$7, MATCH(F2021, Unit_Grades!$A$2:$A$7, 0)),1)</f>
        <v>276</v>
      </c>
      <c r="N2021" s="6" t="n">
        <f aca="false">ROUND(M2021/24,2)</f>
        <v>11.5</v>
      </c>
    </row>
    <row r="2022" customFormat="false" ht="15" hidden="false" customHeight="true" outlineLevel="0" collapsed="false">
      <c r="A2022" s="6" t="n">
        <v>7</v>
      </c>
      <c r="B2022" s="6" t="s">
        <v>3477</v>
      </c>
      <c r="C2022" s="6" t="s">
        <v>1505</v>
      </c>
      <c r="D2022" s="6" t="str">
        <f aca="false">A2022&amp;"|"&amp;C2022</f>
        <v>7|Genesis Tender</v>
      </c>
      <c r="E2022" s="6" t="s">
        <v>1556</v>
      </c>
      <c r="F2022" s="6" t="s">
        <v>1546</v>
      </c>
      <c r="G2022" s="6" t="str">
        <f aca="false">INDEX(Archetypes!$D$2:$D$127, MATCH(D2022, Archetypes!$A$2:$A$127, 0))</f>
        <v>Support</v>
      </c>
      <c r="H2022" s="6" t="n">
        <f aca="false">ROUND(INDEX(Archetypes!$E$2:$E$127, MATCH(D2022, Archetypes!$A$2:$A$127, 0))*INDEX(Unit_Grades!$B$2:$B$7, MATCH(F2022, Unit_Grades!$A$2:$A$7, 0))*INDEX(Unit_Paths!$B$2:$B$4, MATCH(E2022, Unit_Paths!$A$2:$A$4, 0)),1)</f>
        <v>1920</v>
      </c>
      <c r="I2022" s="6" t="n">
        <f aca="false">ROUND(INDEX(Archetypes!$F$2:$F$127, MATCH(D2022, Archetypes!$A$2:$A$127, 0))*INDEX(Unit_Grades!$B$2:$B$7, MATCH(F2022, Unit_Grades!$A$2:$A$7, 0))*INDEX(Unit_Paths!$C$2:$C$4, MATCH(E2022, Unit_Paths!$A$2:$A$4, 0)),1)</f>
        <v>4480</v>
      </c>
      <c r="J2022" s="6" t="n">
        <f aca="false">ROUND(INDEX(Archetypes!$G$2:$G$127, MATCH(D2022, Archetypes!$A$2:$A$127, 0))*INDEX(Unit_Grades!$B$2:$B$7, MATCH(F2022, Unit_Grades!$A$2:$A$7, 0))*INDEX(Unit_Paths!$D$2:$D$4, MATCH(E2022, Unit_Paths!$A$2:$A$4, 0)),0)</f>
        <v>25600</v>
      </c>
      <c r="K2022" s="6" t="n">
        <f aca="false">ROUND(INDEX(Archetypes!$H$2:$H$127, MATCH(D2022, Archetypes!$A$2:$A$127, 0))*INDEX(Unit_Paths!$E$2:$E$4, MATCH(E2022, Unit_Paths!$A$2:$A$4, 0)),1)</f>
        <v>50</v>
      </c>
      <c r="L2022" s="6" t="n">
        <f aca="false">ROUND(INDEX(Archetypes!$I$2:$I$127, MATCH(D2022, Archetypes!$A$2:$A$127, 0))*INDEX(Unit_Grades!$C$2:$C$7, MATCH(F2022, Unit_Grades!$A$2:$A$7, 0)),1)</f>
        <v>476</v>
      </c>
      <c r="M2022" s="6" t="n">
        <f aca="false">ROUND(INDEX(Archetypes!$J$2:$J$127, MATCH(D2022, Archetypes!$A$2:$A$127, 0))*INDEX(Unit_Grades!$D$2:$D$7, MATCH(F2022, Unit_Grades!$A$2:$A$7, 0)),1)</f>
        <v>482.9</v>
      </c>
      <c r="N2022" s="6" t="n">
        <f aca="false">ROUND(M2022/24,2)</f>
        <v>20.12</v>
      </c>
    </row>
    <row r="2023" customFormat="false" ht="15" hidden="false" customHeight="true" outlineLevel="0" collapsed="false">
      <c r="A2023" s="6" t="n">
        <v>7</v>
      </c>
      <c r="B2023" s="6" t="s">
        <v>3478</v>
      </c>
      <c r="C2023" s="6" t="s">
        <v>1505</v>
      </c>
      <c r="D2023" s="6" t="str">
        <f aca="false">A2023&amp;"|"&amp;C2023</f>
        <v>7|Genesis Tender</v>
      </c>
      <c r="E2023" s="6" t="s">
        <v>1556</v>
      </c>
      <c r="F2023" s="6" t="s">
        <v>1548</v>
      </c>
      <c r="G2023" s="6" t="str">
        <f aca="false">INDEX(Archetypes!$D$2:$D$127, MATCH(D2023, Archetypes!$A$2:$A$127, 0))</f>
        <v>Support</v>
      </c>
      <c r="H2023" s="6" t="n">
        <f aca="false">ROUND(INDEX(Archetypes!$E$2:$E$127, MATCH(D2023, Archetypes!$A$2:$A$127, 0))*INDEX(Unit_Grades!$B$2:$B$7, MATCH(F2023, Unit_Grades!$A$2:$A$7, 0))*INDEX(Unit_Paths!$B$2:$B$4, MATCH(E2023, Unit_Paths!$A$2:$A$4, 0)),1)</f>
        <v>2520</v>
      </c>
      <c r="I2023" s="6" t="n">
        <f aca="false">ROUND(INDEX(Archetypes!$F$2:$F$127, MATCH(D2023, Archetypes!$A$2:$A$127, 0))*INDEX(Unit_Grades!$B$2:$B$7, MATCH(F2023, Unit_Grades!$A$2:$A$7, 0))*INDEX(Unit_Paths!$C$2:$C$4, MATCH(E2023, Unit_Paths!$A$2:$A$4, 0)),1)</f>
        <v>5880</v>
      </c>
      <c r="J2023" s="6" t="n">
        <f aca="false">ROUND(INDEX(Archetypes!$G$2:$G$127, MATCH(D2023, Archetypes!$A$2:$A$127, 0))*INDEX(Unit_Grades!$B$2:$B$7, MATCH(F2023, Unit_Grades!$A$2:$A$7, 0))*INDEX(Unit_Paths!$D$2:$D$4, MATCH(E2023, Unit_Paths!$A$2:$A$4, 0)),0)</f>
        <v>33600</v>
      </c>
      <c r="K2023" s="6" t="n">
        <f aca="false">ROUND(INDEX(Archetypes!$H$2:$H$127, MATCH(D2023, Archetypes!$A$2:$A$127, 0))*INDEX(Unit_Paths!$E$2:$E$4, MATCH(E2023, Unit_Paths!$A$2:$A$4, 0)),1)</f>
        <v>50</v>
      </c>
      <c r="L2023" s="6" t="n">
        <f aca="false">ROUND(INDEX(Archetypes!$I$2:$I$127, MATCH(D2023, Archetypes!$A$2:$A$127, 0))*INDEX(Unit_Grades!$C$2:$C$7, MATCH(F2023, Unit_Grades!$A$2:$A$7, 0)),1)</f>
        <v>629</v>
      </c>
      <c r="M2023" s="6" t="n">
        <f aca="false">ROUND(INDEX(Archetypes!$J$2:$J$127, MATCH(D2023, Archetypes!$A$2:$A$127, 0))*INDEX(Unit_Grades!$D$2:$D$7, MATCH(F2023, Unit_Grades!$A$2:$A$7, 0)),1)</f>
        <v>827.9</v>
      </c>
      <c r="N2023" s="6" t="n">
        <f aca="false">ROUND(M2023/24,2)</f>
        <v>34.5</v>
      </c>
    </row>
    <row r="2024" customFormat="false" ht="15" hidden="false" customHeight="true" outlineLevel="0" collapsed="false">
      <c r="A2024" s="6" t="n">
        <v>7</v>
      </c>
      <c r="B2024" s="6" t="s">
        <v>3479</v>
      </c>
      <c r="C2024" s="6" t="s">
        <v>1505</v>
      </c>
      <c r="D2024" s="6" t="str">
        <f aca="false">A2024&amp;"|"&amp;C2024</f>
        <v>7|Genesis Tender</v>
      </c>
      <c r="E2024" s="6" t="s">
        <v>1558</v>
      </c>
      <c r="F2024" s="6" t="s">
        <v>1538</v>
      </c>
      <c r="G2024" s="6" t="str">
        <f aca="false">INDEX(Archetypes!$D$2:$D$127, MATCH(D2024, Archetypes!$A$2:$A$127, 0))</f>
        <v>Support</v>
      </c>
      <c r="H2024" s="6" t="n">
        <f aca="false">ROUND(INDEX(Archetypes!$E$2:$E$127, MATCH(D2024, Archetypes!$A$2:$A$127, 0))*INDEX(Unit_Grades!$B$2:$B$7, MATCH(F2024, Unit_Grades!$A$2:$A$7, 0))*INDEX(Unit_Paths!$B$2:$B$4, MATCH(E2024, Unit_Paths!$A$2:$A$4, 0)),1)</f>
        <v>720</v>
      </c>
      <c r="I2024" s="6" t="n">
        <f aca="false">ROUND(INDEX(Archetypes!$F$2:$F$127, MATCH(D2024, Archetypes!$A$2:$A$127, 0))*INDEX(Unit_Grades!$B$2:$B$7, MATCH(F2024, Unit_Grades!$A$2:$A$7, 0))*INDEX(Unit_Paths!$C$2:$C$4, MATCH(E2024, Unit_Paths!$A$2:$A$4, 0)),1)</f>
        <v>1190</v>
      </c>
      <c r="J2024" s="6" t="n">
        <f aca="false">ROUND(INDEX(Archetypes!$G$2:$G$127, MATCH(D2024, Archetypes!$A$2:$A$127, 0))*INDEX(Unit_Grades!$B$2:$B$7, MATCH(F2024, Unit_Grades!$A$2:$A$7, 0))*INDEX(Unit_Paths!$D$2:$D$4, MATCH(E2024, Unit_Paths!$A$2:$A$4, 0)),0)</f>
        <v>7600</v>
      </c>
      <c r="K2024" s="6" t="n">
        <f aca="false">ROUND(INDEX(Archetypes!$H$2:$H$127, MATCH(D2024, Archetypes!$A$2:$A$127, 0))*INDEX(Unit_Paths!$E$2:$E$4, MATCH(E2024, Unit_Paths!$A$2:$A$4, 0)),1)</f>
        <v>52.5</v>
      </c>
      <c r="L2024" s="6" t="n">
        <f aca="false">ROUND(INDEX(Archetypes!$I$2:$I$127, MATCH(D2024, Archetypes!$A$2:$A$127, 0))*INDEX(Unit_Grades!$C$2:$C$7, MATCH(F2024, Unit_Grades!$A$2:$A$7, 0)),1)</f>
        <v>170</v>
      </c>
      <c r="M2024" s="6" t="n">
        <f aca="false">ROUND(INDEX(Archetypes!$J$2:$J$127, MATCH(D2024, Archetypes!$A$2:$A$127, 0))*INDEX(Unit_Grades!$D$2:$D$7, MATCH(F2024, Unit_Grades!$A$2:$A$7, 0)),1)</f>
        <v>69</v>
      </c>
      <c r="N2024" s="6" t="n">
        <f aca="false">ROUND(M2024/24,2)</f>
        <v>2.88</v>
      </c>
    </row>
    <row r="2025" customFormat="false" ht="15" hidden="false" customHeight="true" outlineLevel="0" collapsed="false">
      <c r="A2025" s="6" t="n">
        <v>7</v>
      </c>
      <c r="B2025" s="6" t="s">
        <v>3480</v>
      </c>
      <c r="C2025" s="6" t="s">
        <v>1505</v>
      </c>
      <c r="D2025" s="6" t="str">
        <f aca="false">A2025&amp;"|"&amp;C2025</f>
        <v>7|Genesis Tender</v>
      </c>
      <c r="E2025" s="6" t="s">
        <v>1558</v>
      </c>
      <c r="F2025" s="6" t="s">
        <v>1540</v>
      </c>
      <c r="G2025" s="6" t="str">
        <f aca="false">INDEX(Archetypes!$D$2:$D$127, MATCH(D2025, Archetypes!$A$2:$A$127, 0))</f>
        <v>Support</v>
      </c>
      <c r="H2025" s="6" t="n">
        <f aca="false">ROUND(INDEX(Archetypes!$E$2:$E$127, MATCH(D2025, Archetypes!$A$2:$A$127, 0))*INDEX(Unit_Grades!$B$2:$B$7, MATCH(F2025, Unit_Grades!$A$2:$A$7, 0))*INDEX(Unit_Paths!$B$2:$B$4, MATCH(E2025, Unit_Paths!$A$2:$A$4, 0)),1)</f>
        <v>972</v>
      </c>
      <c r="I2025" s="6" t="n">
        <f aca="false">ROUND(INDEX(Archetypes!$F$2:$F$127, MATCH(D2025, Archetypes!$A$2:$A$127, 0))*INDEX(Unit_Grades!$B$2:$B$7, MATCH(F2025, Unit_Grades!$A$2:$A$7, 0))*INDEX(Unit_Paths!$C$2:$C$4, MATCH(E2025, Unit_Paths!$A$2:$A$4, 0)),1)</f>
        <v>1606.5</v>
      </c>
      <c r="J2025" s="6" t="n">
        <f aca="false">ROUND(INDEX(Archetypes!$G$2:$G$127, MATCH(D2025, Archetypes!$A$2:$A$127, 0))*INDEX(Unit_Grades!$B$2:$B$7, MATCH(F2025, Unit_Grades!$A$2:$A$7, 0))*INDEX(Unit_Paths!$D$2:$D$4, MATCH(E2025, Unit_Paths!$A$2:$A$4, 0)),0)</f>
        <v>10260</v>
      </c>
      <c r="K2025" s="6" t="n">
        <f aca="false">ROUND(INDEX(Archetypes!$H$2:$H$127, MATCH(D2025, Archetypes!$A$2:$A$127, 0))*INDEX(Unit_Paths!$E$2:$E$4, MATCH(E2025, Unit_Paths!$A$2:$A$4, 0)),1)</f>
        <v>52.5</v>
      </c>
      <c r="L2025" s="6" t="n">
        <f aca="false">ROUND(INDEX(Archetypes!$I$2:$I$127, MATCH(D2025, Archetypes!$A$2:$A$127, 0))*INDEX(Unit_Grades!$C$2:$C$7, MATCH(F2025, Unit_Grades!$A$2:$A$7, 0)),1)</f>
        <v>212.5</v>
      </c>
      <c r="M2025" s="6" t="n">
        <f aca="false">ROUND(INDEX(Archetypes!$J$2:$J$127, MATCH(D2025, Archetypes!$A$2:$A$127, 0))*INDEX(Unit_Grades!$D$2:$D$7, MATCH(F2025, Unit_Grades!$A$2:$A$7, 0)),1)</f>
        <v>103.5</v>
      </c>
      <c r="N2025" s="6" t="n">
        <f aca="false">ROUND(M2025/24,2)</f>
        <v>4.31</v>
      </c>
    </row>
    <row r="2026" customFormat="false" ht="15" hidden="false" customHeight="true" outlineLevel="0" collapsed="false">
      <c r="A2026" s="6" t="n">
        <v>7</v>
      </c>
      <c r="B2026" s="6" t="s">
        <v>3481</v>
      </c>
      <c r="C2026" s="6" t="s">
        <v>1505</v>
      </c>
      <c r="D2026" s="6" t="str">
        <f aca="false">A2026&amp;"|"&amp;C2026</f>
        <v>7|Genesis Tender</v>
      </c>
      <c r="E2026" s="6" t="s">
        <v>1558</v>
      </c>
      <c r="F2026" s="6" t="s">
        <v>1542</v>
      </c>
      <c r="G2026" s="6" t="str">
        <f aca="false">INDEX(Archetypes!$D$2:$D$127, MATCH(D2026, Archetypes!$A$2:$A$127, 0))</f>
        <v>Support</v>
      </c>
      <c r="H2026" s="6" t="n">
        <f aca="false">ROUND(INDEX(Archetypes!$E$2:$E$127, MATCH(D2026, Archetypes!$A$2:$A$127, 0))*INDEX(Unit_Grades!$B$2:$B$7, MATCH(F2026, Unit_Grades!$A$2:$A$7, 0))*INDEX(Unit_Paths!$B$2:$B$4, MATCH(E2026, Unit_Paths!$A$2:$A$4, 0)),1)</f>
        <v>1296</v>
      </c>
      <c r="I2026" s="6" t="n">
        <f aca="false">ROUND(INDEX(Archetypes!$F$2:$F$127, MATCH(D2026, Archetypes!$A$2:$A$127, 0))*INDEX(Unit_Grades!$B$2:$B$7, MATCH(F2026, Unit_Grades!$A$2:$A$7, 0))*INDEX(Unit_Paths!$C$2:$C$4, MATCH(E2026, Unit_Paths!$A$2:$A$4, 0)),1)</f>
        <v>2142</v>
      </c>
      <c r="J2026" s="6" t="n">
        <f aca="false">ROUND(INDEX(Archetypes!$G$2:$G$127, MATCH(D2026, Archetypes!$A$2:$A$127, 0))*INDEX(Unit_Grades!$B$2:$B$7, MATCH(F2026, Unit_Grades!$A$2:$A$7, 0))*INDEX(Unit_Paths!$D$2:$D$4, MATCH(E2026, Unit_Paths!$A$2:$A$4, 0)),0)</f>
        <v>13680</v>
      </c>
      <c r="K2026" s="6" t="n">
        <f aca="false">ROUND(INDEX(Archetypes!$H$2:$H$127, MATCH(D2026, Archetypes!$A$2:$A$127, 0))*INDEX(Unit_Paths!$E$2:$E$4, MATCH(E2026, Unit_Paths!$A$2:$A$4, 0)),1)</f>
        <v>52.5</v>
      </c>
      <c r="L2026" s="6" t="n">
        <f aca="false">ROUND(INDEX(Archetypes!$I$2:$I$127, MATCH(D2026, Archetypes!$A$2:$A$127, 0))*INDEX(Unit_Grades!$C$2:$C$7, MATCH(F2026, Unit_Grades!$A$2:$A$7, 0)),1)</f>
        <v>272</v>
      </c>
      <c r="M2026" s="6" t="n">
        <f aca="false">ROUND(INDEX(Archetypes!$J$2:$J$127, MATCH(D2026, Archetypes!$A$2:$A$127, 0))*INDEX(Unit_Grades!$D$2:$D$7, MATCH(F2026, Unit_Grades!$A$2:$A$7, 0)),1)</f>
        <v>172.5</v>
      </c>
      <c r="N2026" s="6" t="n">
        <f aca="false">ROUND(M2026/24,2)</f>
        <v>7.19</v>
      </c>
    </row>
    <row r="2027" customFormat="false" ht="15" hidden="false" customHeight="true" outlineLevel="0" collapsed="false">
      <c r="A2027" s="6" t="n">
        <v>7</v>
      </c>
      <c r="B2027" s="6" t="s">
        <v>3482</v>
      </c>
      <c r="C2027" s="6" t="s">
        <v>1505</v>
      </c>
      <c r="D2027" s="6" t="str">
        <f aca="false">A2027&amp;"|"&amp;C2027</f>
        <v>7|Genesis Tender</v>
      </c>
      <c r="E2027" s="6" t="s">
        <v>1558</v>
      </c>
      <c r="F2027" s="6" t="s">
        <v>1544</v>
      </c>
      <c r="G2027" s="6" t="str">
        <f aca="false">INDEX(Archetypes!$D$2:$D$127, MATCH(D2027, Archetypes!$A$2:$A$127, 0))</f>
        <v>Support</v>
      </c>
      <c r="H2027" s="6" t="n">
        <f aca="false">ROUND(INDEX(Archetypes!$E$2:$E$127, MATCH(D2027, Archetypes!$A$2:$A$127, 0))*INDEX(Unit_Grades!$B$2:$B$7, MATCH(F2027, Unit_Grades!$A$2:$A$7, 0))*INDEX(Unit_Paths!$B$2:$B$4, MATCH(E2027, Unit_Paths!$A$2:$A$4, 0)),1)</f>
        <v>1728</v>
      </c>
      <c r="I2027" s="6" t="n">
        <f aca="false">ROUND(INDEX(Archetypes!$F$2:$F$127, MATCH(D2027, Archetypes!$A$2:$A$127, 0))*INDEX(Unit_Grades!$B$2:$B$7, MATCH(F2027, Unit_Grades!$A$2:$A$7, 0))*INDEX(Unit_Paths!$C$2:$C$4, MATCH(E2027, Unit_Paths!$A$2:$A$4, 0)),1)</f>
        <v>2856</v>
      </c>
      <c r="J2027" s="6" t="n">
        <f aca="false">ROUND(INDEX(Archetypes!$G$2:$G$127, MATCH(D2027, Archetypes!$A$2:$A$127, 0))*INDEX(Unit_Grades!$B$2:$B$7, MATCH(F2027, Unit_Grades!$A$2:$A$7, 0))*INDEX(Unit_Paths!$D$2:$D$4, MATCH(E2027, Unit_Paths!$A$2:$A$4, 0)),0)</f>
        <v>18240</v>
      </c>
      <c r="K2027" s="6" t="n">
        <f aca="false">ROUND(INDEX(Archetypes!$H$2:$H$127, MATCH(D2027, Archetypes!$A$2:$A$127, 0))*INDEX(Unit_Paths!$E$2:$E$4, MATCH(E2027, Unit_Paths!$A$2:$A$4, 0)),1)</f>
        <v>52.5</v>
      </c>
      <c r="L2027" s="6" t="n">
        <f aca="false">ROUND(INDEX(Archetypes!$I$2:$I$127, MATCH(D2027, Archetypes!$A$2:$A$127, 0))*INDEX(Unit_Grades!$C$2:$C$7, MATCH(F2027, Unit_Grades!$A$2:$A$7, 0)),1)</f>
        <v>357</v>
      </c>
      <c r="M2027" s="6" t="n">
        <f aca="false">ROUND(INDEX(Archetypes!$J$2:$J$127, MATCH(D2027, Archetypes!$A$2:$A$127, 0))*INDEX(Unit_Grades!$D$2:$D$7, MATCH(F2027, Unit_Grades!$A$2:$A$7, 0)),1)</f>
        <v>276</v>
      </c>
      <c r="N2027" s="6" t="n">
        <f aca="false">ROUND(M2027/24,2)</f>
        <v>11.5</v>
      </c>
    </row>
    <row r="2028" customFormat="false" ht="15" hidden="false" customHeight="true" outlineLevel="0" collapsed="false">
      <c r="A2028" s="6" t="n">
        <v>7</v>
      </c>
      <c r="B2028" s="6" t="s">
        <v>3483</v>
      </c>
      <c r="C2028" s="6" t="s">
        <v>1505</v>
      </c>
      <c r="D2028" s="6" t="str">
        <f aca="false">A2028&amp;"|"&amp;C2028</f>
        <v>7|Genesis Tender</v>
      </c>
      <c r="E2028" s="6" t="s">
        <v>1558</v>
      </c>
      <c r="F2028" s="6" t="s">
        <v>1546</v>
      </c>
      <c r="G2028" s="6" t="str">
        <f aca="false">INDEX(Archetypes!$D$2:$D$127, MATCH(D2028, Archetypes!$A$2:$A$127, 0))</f>
        <v>Support</v>
      </c>
      <c r="H2028" s="6" t="n">
        <f aca="false">ROUND(INDEX(Archetypes!$E$2:$E$127, MATCH(D2028, Archetypes!$A$2:$A$127, 0))*INDEX(Unit_Grades!$B$2:$B$7, MATCH(F2028, Unit_Grades!$A$2:$A$7, 0))*INDEX(Unit_Paths!$B$2:$B$4, MATCH(E2028, Unit_Paths!$A$2:$A$4, 0)),1)</f>
        <v>2304</v>
      </c>
      <c r="I2028" s="6" t="n">
        <f aca="false">ROUND(INDEX(Archetypes!$F$2:$F$127, MATCH(D2028, Archetypes!$A$2:$A$127, 0))*INDEX(Unit_Grades!$B$2:$B$7, MATCH(F2028, Unit_Grades!$A$2:$A$7, 0))*INDEX(Unit_Paths!$C$2:$C$4, MATCH(E2028, Unit_Paths!$A$2:$A$4, 0)),1)</f>
        <v>3808</v>
      </c>
      <c r="J2028" s="6" t="n">
        <f aca="false">ROUND(INDEX(Archetypes!$G$2:$G$127, MATCH(D2028, Archetypes!$A$2:$A$127, 0))*INDEX(Unit_Grades!$B$2:$B$7, MATCH(F2028, Unit_Grades!$A$2:$A$7, 0))*INDEX(Unit_Paths!$D$2:$D$4, MATCH(E2028, Unit_Paths!$A$2:$A$4, 0)),0)</f>
        <v>24320</v>
      </c>
      <c r="K2028" s="6" t="n">
        <f aca="false">ROUND(INDEX(Archetypes!$H$2:$H$127, MATCH(D2028, Archetypes!$A$2:$A$127, 0))*INDEX(Unit_Paths!$E$2:$E$4, MATCH(E2028, Unit_Paths!$A$2:$A$4, 0)),1)</f>
        <v>52.5</v>
      </c>
      <c r="L2028" s="6" t="n">
        <f aca="false">ROUND(INDEX(Archetypes!$I$2:$I$127, MATCH(D2028, Archetypes!$A$2:$A$127, 0))*INDEX(Unit_Grades!$C$2:$C$7, MATCH(F2028, Unit_Grades!$A$2:$A$7, 0)),1)</f>
        <v>476</v>
      </c>
      <c r="M2028" s="6" t="n">
        <f aca="false">ROUND(INDEX(Archetypes!$J$2:$J$127, MATCH(D2028, Archetypes!$A$2:$A$127, 0))*INDEX(Unit_Grades!$D$2:$D$7, MATCH(F2028, Unit_Grades!$A$2:$A$7, 0)),1)</f>
        <v>482.9</v>
      </c>
      <c r="N2028" s="6" t="n">
        <f aca="false">ROUND(M2028/24,2)</f>
        <v>20.12</v>
      </c>
    </row>
    <row r="2029" customFormat="false" ht="15" hidden="false" customHeight="true" outlineLevel="0" collapsed="false">
      <c r="A2029" s="6" t="n">
        <v>7</v>
      </c>
      <c r="B2029" s="6" t="s">
        <v>3484</v>
      </c>
      <c r="C2029" s="6" t="s">
        <v>1505</v>
      </c>
      <c r="D2029" s="6" t="str">
        <f aca="false">A2029&amp;"|"&amp;C2029</f>
        <v>7|Genesis Tender</v>
      </c>
      <c r="E2029" s="6" t="s">
        <v>1558</v>
      </c>
      <c r="F2029" s="6" t="s">
        <v>1548</v>
      </c>
      <c r="G2029" s="6" t="str">
        <f aca="false">INDEX(Archetypes!$D$2:$D$127, MATCH(D2029, Archetypes!$A$2:$A$127, 0))</f>
        <v>Support</v>
      </c>
      <c r="H2029" s="6" t="n">
        <f aca="false">ROUND(INDEX(Archetypes!$E$2:$E$127, MATCH(D2029, Archetypes!$A$2:$A$127, 0))*INDEX(Unit_Grades!$B$2:$B$7, MATCH(F2029, Unit_Grades!$A$2:$A$7, 0))*INDEX(Unit_Paths!$B$2:$B$4, MATCH(E2029, Unit_Paths!$A$2:$A$4, 0)),1)</f>
        <v>3024</v>
      </c>
      <c r="I2029" s="6" t="n">
        <f aca="false">ROUND(INDEX(Archetypes!$F$2:$F$127, MATCH(D2029, Archetypes!$A$2:$A$127, 0))*INDEX(Unit_Grades!$B$2:$B$7, MATCH(F2029, Unit_Grades!$A$2:$A$7, 0))*INDEX(Unit_Paths!$C$2:$C$4, MATCH(E2029, Unit_Paths!$A$2:$A$4, 0)),1)</f>
        <v>4998</v>
      </c>
      <c r="J2029" s="6" t="n">
        <f aca="false">ROUND(INDEX(Archetypes!$G$2:$G$127, MATCH(D2029, Archetypes!$A$2:$A$127, 0))*INDEX(Unit_Grades!$B$2:$B$7, MATCH(F2029, Unit_Grades!$A$2:$A$7, 0))*INDEX(Unit_Paths!$D$2:$D$4, MATCH(E2029, Unit_Paths!$A$2:$A$4, 0)),0)</f>
        <v>31920</v>
      </c>
      <c r="K2029" s="6" t="n">
        <f aca="false">ROUND(INDEX(Archetypes!$H$2:$H$127, MATCH(D2029, Archetypes!$A$2:$A$127, 0))*INDEX(Unit_Paths!$E$2:$E$4, MATCH(E2029, Unit_Paths!$A$2:$A$4, 0)),1)</f>
        <v>52.5</v>
      </c>
      <c r="L2029" s="6" t="n">
        <f aca="false">ROUND(INDEX(Archetypes!$I$2:$I$127, MATCH(D2029, Archetypes!$A$2:$A$127, 0))*INDEX(Unit_Grades!$C$2:$C$7, MATCH(F2029, Unit_Grades!$A$2:$A$7, 0)),1)</f>
        <v>629</v>
      </c>
      <c r="M2029" s="6" t="n">
        <f aca="false">ROUND(INDEX(Archetypes!$J$2:$J$127, MATCH(D2029, Archetypes!$A$2:$A$127, 0))*INDEX(Unit_Grades!$D$2:$D$7, MATCH(F2029, Unit_Grades!$A$2:$A$7, 0)),1)</f>
        <v>827.9</v>
      </c>
      <c r="N2029" s="6" t="n">
        <f aca="false">ROUND(M2029/24,2)</f>
        <v>34.5</v>
      </c>
    </row>
    <row r="2030" customFormat="false" ht="15" hidden="false" customHeight="true" outlineLevel="0" collapsed="false">
      <c r="A2030" s="6" t="n">
        <v>7</v>
      </c>
      <c r="B2030" s="6" t="s">
        <v>3485</v>
      </c>
      <c r="C2030" s="6" t="s">
        <v>1505</v>
      </c>
      <c r="D2030" s="6" t="str">
        <f aca="false">A2030&amp;"|"&amp;C2030</f>
        <v>7|Genesis Tender</v>
      </c>
      <c r="E2030" s="6" t="s">
        <v>1560</v>
      </c>
      <c r="F2030" s="6" t="s">
        <v>1538</v>
      </c>
      <c r="G2030" s="6" t="str">
        <f aca="false">INDEX(Archetypes!$D$2:$D$127, MATCH(D2030, Archetypes!$A$2:$A$127, 0))</f>
        <v>Support</v>
      </c>
      <c r="H2030" s="6" t="n">
        <f aca="false">ROUND(INDEX(Archetypes!$E$2:$E$127, MATCH(D2030, Archetypes!$A$2:$A$127, 0))*INDEX(Unit_Grades!$B$2:$B$7, MATCH(F2030, Unit_Grades!$A$2:$A$7, 0))*INDEX(Unit_Paths!$B$2:$B$4, MATCH(E2030, Unit_Paths!$A$2:$A$4, 0)),1)</f>
        <v>510</v>
      </c>
      <c r="I2030" s="6" t="n">
        <f aca="false">ROUND(INDEX(Archetypes!$F$2:$F$127, MATCH(D2030, Archetypes!$A$2:$A$127, 0))*INDEX(Unit_Grades!$B$2:$B$7, MATCH(F2030, Unit_Grades!$A$2:$A$7, 0))*INDEX(Unit_Paths!$C$2:$C$4, MATCH(E2030, Unit_Paths!$A$2:$A$4, 0)),1)</f>
        <v>1750</v>
      </c>
      <c r="J2030" s="6" t="n">
        <f aca="false">ROUND(INDEX(Archetypes!$G$2:$G$127, MATCH(D2030, Archetypes!$A$2:$A$127, 0))*INDEX(Unit_Grades!$B$2:$B$7, MATCH(F2030, Unit_Grades!$A$2:$A$7, 0))*INDEX(Unit_Paths!$D$2:$D$4, MATCH(E2030, Unit_Paths!$A$2:$A$4, 0)),0)</f>
        <v>9200</v>
      </c>
      <c r="K2030" s="6" t="n">
        <f aca="false">ROUND(INDEX(Archetypes!$H$2:$H$127, MATCH(D2030, Archetypes!$A$2:$A$127, 0))*INDEX(Unit_Paths!$E$2:$E$4, MATCH(E2030, Unit_Paths!$A$2:$A$4, 0)),1)</f>
        <v>46</v>
      </c>
      <c r="L2030" s="6" t="n">
        <f aca="false">ROUND(INDEX(Archetypes!$I$2:$I$127, MATCH(D2030, Archetypes!$A$2:$A$127, 0))*INDEX(Unit_Grades!$C$2:$C$7, MATCH(F2030, Unit_Grades!$A$2:$A$7, 0)),1)</f>
        <v>170</v>
      </c>
      <c r="M2030" s="6" t="n">
        <f aca="false">ROUND(INDEX(Archetypes!$J$2:$J$127, MATCH(D2030, Archetypes!$A$2:$A$127, 0))*INDEX(Unit_Grades!$D$2:$D$7, MATCH(F2030, Unit_Grades!$A$2:$A$7, 0)),1)</f>
        <v>69</v>
      </c>
      <c r="N2030" s="6" t="n">
        <f aca="false">ROUND(M2030/24,2)</f>
        <v>2.88</v>
      </c>
    </row>
    <row r="2031" customFormat="false" ht="15" hidden="false" customHeight="true" outlineLevel="0" collapsed="false">
      <c r="A2031" s="6" t="n">
        <v>7</v>
      </c>
      <c r="B2031" s="6" t="s">
        <v>3486</v>
      </c>
      <c r="C2031" s="6" t="s">
        <v>1505</v>
      </c>
      <c r="D2031" s="6" t="str">
        <f aca="false">A2031&amp;"|"&amp;C2031</f>
        <v>7|Genesis Tender</v>
      </c>
      <c r="E2031" s="6" t="s">
        <v>1560</v>
      </c>
      <c r="F2031" s="6" t="s">
        <v>1540</v>
      </c>
      <c r="G2031" s="6" t="str">
        <f aca="false">INDEX(Archetypes!$D$2:$D$127, MATCH(D2031, Archetypes!$A$2:$A$127, 0))</f>
        <v>Support</v>
      </c>
      <c r="H2031" s="6" t="n">
        <f aca="false">ROUND(INDEX(Archetypes!$E$2:$E$127, MATCH(D2031, Archetypes!$A$2:$A$127, 0))*INDEX(Unit_Grades!$B$2:$B$7, MATCH(F2031, Unit_Grades!$A$2:$A$7, 0))*INDEX(Unit_Paths!$B$2:$B$4, MATCH(E2031, Unit_Paths!$A$2:$A$4, 0)),1)</f>
        <v>688.5</v>
      </c>
      <c r="I2031" s="6" t="n">
        <f aca="false">ROUND(INDEX(Archetypes!$F$2:$F$127, MATCH(D2031, Archetypes!$A$2:$A$127, 0))*INDEX(Unit_Grades!$B$2:$B$7, MATCH(F2031, Unit_Grades!$A$2:$A$7, 0))*INDEX(Unit_Paths!$C$2:$C$4, MATCH(E2031, Unit_Paths!$A$2:$A$4, 0)),1)</f>
        <v>2362.5</v>
      </c>
      <c r="J2031" s="6" t="n">
        <f aca="false">ROUND(INDEX(Archetypes!$G$2:$G$127, MATCH(D2031, Archetypes!$A$2:$A$127, 0))*INDEX(Unit_Grades!$B$2:$B$7, MATCH(F2031, Unit_Grades!$A$2:$A$7, 0))*INDEX(Unit_Paths!$D$2:$D$4, MATCH(E2031, Unit_Paths!$A$2:$A$4, 0)),0)</f>
        <v>12420</v>
      </c>
      <c r="K2031" s="6" t="n">
        <f aca="false">ROUND(INDEX(Archetypes!$H$2:$H$127, MATCH(D2031, Archetypes!$A$2:$A$127, 0))*INDEX(Unit_Paths!$E$2:$E$4, MATCH(E2031, Unit_Paths!$A$2:$A$4, 0)),1)</f>
        <v>46</v>
      </c>
      <c r="L2031" s="6" t="n">
        <f aca="false">ROUND(INDEX(Archetypes!$I$2:$I$127, MATCH(D2031, Archetypes!$A$2:$A$127, 0))*INDEX(Unit_Grades!$C$2:$C$7, MATCH(F2031, Unit_Grades!$A$2:$A$7, 0)),1)</f>
        <v>212.5</v>
      </c>
      <c r="M2031" s="6" t="n">
        <f aca="false">ROUND(INDEX(Archetypes!$J$2:$J$127, MATCH(D2031, Archetypes!$A$2:$A$127, 0))*INDEX(Unit_Grades!$D$2:$D$7, MATCH(F2031, Unit_Grades!$A$2:$A$7, 0)),1)</f>
        <v>103.5</v>
      </c>
      <c r="N2031" s="6" t="n">
        <f aca="false">ROUND(M2031/24,2)</f>
        <v>4.31</v>
      </c>
    </row>
    <row r="2032" customFormat="false" ht="15" hidden="false" customHeight="true" outlineLevel="0" collapsed="false">
      <c r="A2032" s="6" t="n">
        <v>7</v>
      </c>
      <c r="B2032" s="6" t="s">
        <v>3487</v>
      </c>
      <c r="C2032" s="6" t="s">
        <v>1505</v>
      </c>
      <c r="D2032" s="6" t="str">
        <f aca="false">A2032&amp;"|"&amp;C2032</f>
        <v>7|Genesis Tender</v>
      </c>
      <c r="E2032" s="6" t="s">
        <v>1560</v>
      </c>
      <c r="F2032" s="6" t="s">
        <v>1542</v>
      </c>
      <c r="G2032" s="6" t="str">
        <f aca="false">INDEX(Archetypes!$D$2:$D$127, MATCH(D2032, Archetypes!$A$2:$A$127, 0))</f>
        <v>Support</v>
      </c>
      <c r="H2032" s="6" t="n">
        <f aca="false">ROUND(INDEX(Archetypes!$E$2:$E$127, MATCH(D2032, Archetypes!$A$2:$A$127, 0))*INDEX(Unit_Grades!$B$2:$B$7, MATCH(F2032, Unit_Grades!$A$2:$A$7, 0))*INDEX(Unit_Paths!$B$2:$B$4, MATCH(E2032, Unit_Paths!$A$2:$A$4, 0)),1)</f>
        <v>918</v>
      </c>
      <c r="I2032" s="6" t="n">
        <f aca="false">ROUND(INDEX(Archetypes!$F$2:$F$127, MATCH(D2032, Archetypes!$A$2:$A$127, 0))*INDEX(Unit_Grades!$B$2:$B$7, MATCH(F2032, Unit_Grades!$A$2:$A$7, 0))*INDEX(Unit_Paths!$C$2:$C$4, MATCH(E2032, Unit_Paths!$A$2:$A$4, 0)),1)</f>
        <v>3150</v>
      </c>
      <c r="J2032" s="6" t="n">
        <f aca="false">ROUND(INDEX(Archetypes!$G$2:$G$127, MATCH(D2032, Archetypes!$A$2:$A$127, 0))*INDEX(Unit_Grades!$B$2:$B$7, MATCH(F2032, Unit_Grades!$A$2:$A$7, 0))*INDEX(Unit_Paths!$D$2:$D$4, MATCH(E2032, Unit_Paths!$A$2:$A$4, 0)),0)</f>
        <v>16560</v>
      </c>
      <c r="K2032" s="6" t="n">
        <f aca="false">ROUND(INDEX(Archetypes!$H$2:$H$127, MATCH(D2032, Archetypes!$A$2:$A$127, 0))*INDEX(Unit_Paths!$E$2:$E$4, MATCH(E2032, Unit_Paths!$A$2:$A$4, 0)),1)</f>
        <v>46</v>
      </c>
      <c r="L2032" s="6" t="n">
        <f aca="false">ROUND(INDEX(Archetypes!$I$2:$I$127, MATCH(D2032, Archetypes!$A$2:$A$127, 0))*INDEX(Unit_Grades!$C$2:$C$7, MATCH(F2032, Unit_Grades!$A$2:$A$7, 0)),1)</f>
        <v>272</v>
      </c>
      <c r="M2032" s="6" t="n">
        <f aca="false">ROUND(INDEX(Archetypes!$J$2:$J$127, MATCH(D2032, Archetypes!$A$2:$A$127, 0))*INDEX(Unit_Grades!$D$2:$D$7, MATCH(F2032, Unit_Grades!$A$2:$A$7, 0)),1)</f>
        <v>172.5</v>
      </c>
      <c r="N2032" s="6" t="n">
        <f aca="false">ROUND(M2032/24,2)</f>
        <v>7.19</v>
      </c>
    </row>
    <row r="2033" customFormat="false" ht="15" hidden="false" customHeight="true" outlineLevel="0" collapsed="false">
      <c r="A2033" s="6" t="n">
        <v>7</v>
      </c>
      <c r="B2033" s="6" t="s">
        <v>3488</v>
      </c>
      <c r="C2033" s="6" t="s">
        <v>1505</v>
      </c>
      <c r="D2033" s="6" t="str">
        <f aca="false">A2033&amp;"|"&amp;C2033</f>
        <v>7|Genesis Tender</v>
      </c>
      <c r="E2033" s="6" t="s">
        <v>1560</v>
      </c>
      <c r="F2033" s="6" t="s">
        <v>1544</v>
      </c>
      <c r="G2033" s="6" t="str">
        <f aca="false">INDEX(Archetypes!$D$2:$D$127, MATCH(D2033, Archetypes!$A$2:$A$127, 0))</f>
        <v>Support</v>
      </c>
      <c r="H2033" s="6" t="n">
        <f aca="false">ROUND(INDEX(Archetypes!$E$2:$E$127, MATCH(D2033, Archetypes!$A$2:$A$127, 0))*INDEX(Unit_Grades!$B$2:$B$7, MATCH(F2033, Unit_Grades!$A$2:$A$7, 0))*INDEX(Unit_Paths!$B$2:$B$4, MATCH(E2033, Unit_Paths!$A$2:$A$4, 0)),1)</f>
        <v>1224</v>
      </c>
      <c r="I2033" s="6" t="n">
        <f aca="false">ROUND(INDEX(Archetypes!$F$2:$F$127, MATCH(D2033, Archetypes!$A$2:$A$127, 0))*INDEX(Unit_Grades!$B$2:$B$7, MATCH(F2033, Unit_Grades!$A$2:$A$7, 0))*INDEX(Unit_Paths!$C$2:$C$4, MATCH(E2033, Unit_Paths!$A$2:$A$4, 0)),1)</f>
        <v>4200</v>
      </c>
      <c r="J2033" s="6" t="n">
        <f aca="false">ROUND(INDEX(Archetypes!$G$2:$G$127, MATCH(D2033, Archetypes!$A$2:$A$127, 0))*INDEX(Unit_Grades!$B$2:$B$7, MATCH(F2033, Unit_Grades!$A$2:$A$7, 0))*INDEX(Unit_Paths!$D$2:$D$4, MATCH(E2033, Unit_Paths!$A$2:$A$4, 0)),0)</f>
        <v>22080</v>
      </c>
      <c r="K2033" s="6" t="n">
        <f aca="false">ROUND(INDEX(Archetypes!$H$2:$H$127, MATCH(D2033, Archetypes!$A$2:$A$127, 0))*INDEX(Unit_Paths!$E$2:$E$4, MATCH(E2033, Unit_Paths!$A$2:$A$4, 0)),1)</f>
        <v>46</v>
      </c>
      <c r="L2033" s="6" t="n">
        <f aca="false">ROUND(INDEX(Archetypes!$I$2:$I$127, MATCH(D2033, Archetypes!$A$2:$A$127, 0))*INDEX(Unit_Grades!$C$2:$C$7, MATCH(F2033, Unit_Grades!$A$2:$A$7, 0)),1)</f>
        <v>357</v>
      </c>
      <c r="M2033" s="6" t="n">
        <f aca="false">ROUND(INDEX(Archetypes!$J$2:$J$127, MATCH(D2033, Archetypes!$A$2:$A$127, 0))*INDEX(Unit_Grades!$D$2:$D$7, MATCH(F2033, Unit_Grades!$A$2:$A$7, 0)),1)</f>
        <v>276</v>
      </c>
      <c r="N2033" s="6" t="n">
        <f aca="false">ROUND(M2033/24,2)</f>
        <v>11.5</v>
      </c>
    </row>
    <row r="2034" customFormat="false" ht="15" hidden="false" customHeight="true" outlineLevel="0" collapsed="false">
      <c r="A2034" s="6" t="n">
        <v>7</v>
      </c>
      <c r="B2034" s="6" t="s">
        <v>3489</v>
      </c>
      <c r="C2034" s="6" t="s">
        <v>1505</v>
      </c>
      <c r="D2034" s="6" t="str">
        <f aca="false">A2034&amp;"|"&amp;C2034</f>
        <v>7|Genesis Tender</v>
      </c>
      <c r="E2034" s="6" t="s">
        <v>1560</v>
      </c>
      <c r="F2034" s="6" t="s">
        <v>1546</v>
      </c>
      <c r="G2034" s="6" t="str">
        <f aca="false">INDEX(Archetypes!$D$2:$D$127, MATCH(D2034, Archetypes!$A$2:$A$127, 0))</f>
        <v>Support</v>
      </c>
      <c r="H2034" s="6" t="n">
        <f aca="false">ROUND(INDEX(Archetypes!$E$2:$E$127, MATCH(D2034, Archetypes!$A$2:$A$127, 0))*INDEX(Unit_Grades!$B$2:$B$7, MATCH(F2034, Unit_Grades!$A$2:$A$7, 0))*INDEX(Unit_Paths!$B$2:$B$4, MATCH(E2034, Unit_Paths!$A$2:$A$4, 0)),1)</f>
        <v>1632</v>
      </c>
      <c r="I2034" s="6" t="n">
        <f aca="false">ROUND(INDEX(Archetypes!$F$2:$F$127, MATCH(D2034, Archetypes!$A$2:$A$127, 0))*INDEX(Unit_Grades!$B$2:$B$7, MATCH(F2034, Unit_Grades!$A$2:$A$7, 0))*INDEX(Unit_Paths!$C$2:$C$4, MATCH(E2034, Unit_Paths!$A$2:$A$4, 0)),1)</f>
        <v>5600</v>
      </c>
      <c r="J2034" s="6" t="n">
        <f aca="false">ROUND(INDEX(Archetypes!$G$2:$G$127, MATCH(D2034, Archetypes!$A$2:$A$127, 0))*INDEX(Unit_Grades!$B$2:$B$7, MATCH(F2034, Unit_Grades!$A$2:$A$7, 0))*INDEX(Unit_Paths!$D$2:$D$4, MATCH(E2034, Unit_Paths!$A$2:$A$4, 0)),0)</f>
        <v>29440</v>
      </c>
      <c r="K2034" s="6" t="n">
        <f aca="false">ROUND(INDEX(Archetypes!$H$2:$H$127, MATCH(D2034, Archetypes!$A$2:$A$127, 0))*INDEX(Unit_Paths!$E$2:$E$4, MATCH(E2034, Unit_Paths!$A$2:$A$4, 0)),1)</f>
        <v>46</v>
      </c>
      <c r="L2034" s="6" t="n">
        <f aca="false">ROUND(INDEX(Archetypes!$I$2:$I$127, MATCH(D2034, Archetypes!$A$2:$A$127, 0))*INDEX(Unit_Grades!$C$2:$C$7, MATCH(F2034, Unit_Grades!$A$2:$A$7, 0)),1)</f>
        <v>476</v>
      </c>
      <c r="M2034" s="6" t="n">
        <f aca="false">ROUND(INDEX(Archetypes!$J$2:$J$127, MATCH(D2034, Archetypes!$A$2:$A$127, 0))*INDEX(Unit_Grades!$D$2:$D$7, MATCH(F2034, Unit_Grades!$A$2:$A$7, 0)),1)</f>
        <v>482.9</v>
      </c>
      <c r="N2034" s="6" t="n">
        <f aca="false">ROUND(M2034/24,2)</f>
        <v>20.12</v>
      </c>
    </row>
    <row r="2035" customFormat="false" ht="15" hidden="false" customHeight="true" outlineLevel="0" collapsed="false">
      <c r="A2035" s="6" t="n">
        <v>7</v>
      </c>
      <c r="B2035" s="6" t="s">
        <v>3490</v>
      </c>
      <c r="C2035" s="6" t="s">
        <v>1505</v>
      </c>
      <c r="D2035" s="6" t="str">
        <f aca="false">A2035&amp;"|"&amp;C2035</f>
        <v>7|Genesis Tender</v>
      </c>
      <c r="E2035" s="6" t="s">
        <v>1560</v>
      </c>
      <c r="F2035" s="6" t="s">
        <v>1548</v>
      </c>
      <c r="G2035" s="6" t="str">
        <f aca="false">INDEX(Archetypes!$D$2:$D$127, MATCH(D2035, Archetypes!$A$2:$A$127, 0))</f>
        <v>Support</v>
      </c>
      <c r="H2035" s="6" t="n">
        <f aca="false">ROUND(INDEX(Archetypes!$E$2:$E$127, MATCH(D2035, Archetypes!$A$2:$A$127, 0))*INDEX(Unit_Grades!$B$2:$B$7, MATCH(F2035, Unit_Grades!$A$2:$A$7, 0))*INDEX(Unit_Paths!$B$2:$B$4, MATCH(E2035, Unit_Paths!$A$2:$A$4, 0)),1)</f>
        <v>2142</v>
      </c>
      <c r="I2035" s="6" t="n">
        <f aca="false">ROUND(INDEX(Archetypes!$F$2:$F$127, MATCH(D2035, Archetypes!$A$2:$A$127, 0))*INDEX(Unit_Grades!$B$2:$B$7, MATCH(F2035, Unit_Grades!$A$2:$A$7, 0))*INDEX(Unit_Paths!$C$2:$C$4, MATCH(E2035, Unit_Paths!$A$2:$A$4, 0)),1)</f>
        <v>7350</v>
      </c>
      <c r="J2035" s="6" t="n">
        <f aca="false">ROUND(INDEX(Archetypes!$G$2:$G$127, MATCH(D2035, Archetypes!$A$2:$A$127, 0))*INDEX(Unit_Grades!$B$2:$B$7, MATCH(F2035, Unit_Grades!$A$2:$A$7, 0))*INDEX(Unit_Paths!$D$2:$D$4, MATCH(E2035, Unit_Paths!$A$2:$A$4, 0)),0)</f>
        <v>38640</v>
      </c>
      <c r="K2035" s="6" t="n">
        <f aca="false">ROUND(INDEX(Archetypes!$H$2:$H$127, MATCH(D2035, Archetypes!$A$2:$A$127, 0))*INDEX(Unit_Paths!$E$2:$E$4, MATCH(E2035, Unit_Paths!$A$2:$A$4, 0)),1)</f>
        <v>46</v>
      </c>
      <c r="L2035" s="6" t="n">
        <f aca="false">ROUND(INDEX(Archetypes!$I$2:$I$127, MATCH(D2035, Archetypes!$A$2:$A$127, 0))*INDEX(Unit_Grades!$C$2:$C$7, MATCH(F2035, Unit_Grades!$A$2:$A$7, 0)),1)</f>
        <v>629</v>
      </c>
      <c r="M2035" s="6" t="n">
        <f aca="false">ROUND(INDEX(Archetypes!$J$2:$J$127, MATCH(D2035, Archetypes!$A$2:$A$127, 0))*INDEX(Unit_Grades!$D$2:$D$7, MATCH(F2035, Unit_Grades!$A$2:$A$7, 0)),1)</f>
        <v>827.9</v>
      </c>
      <c r="N2035" s="6" t="n">
        <f aca="false">ROUND(M2035/24,2)</f>
        <v>34.5</v>
      </c>
    </row>
    <row r="2036" customFormat="false" ht="15" hidden="false" customHeight="true" outlineLevel="0" collapsed="false">
      <c r="A2036" s="6" t="n">
        <v>7</v>
      </c>
      <c r="B2036" s="6" t="s">
        <v>1507</v>
      </c>
      <c r="C2036" s="6" t="s">
        <v>1507</v>
      </c>
      <c r="D2036" s="6" t="str">
        <f aca="false">A2036&amp;"|"&amp;C2036</f>
        <v>7|Echo Agent</v>
      </c>
      <c r="E2036" s="6" t="s">
        <v>1556</v>
      </c>
      <c r="F2036" s="6" t="s">
        <v>1538</v>
      </c>
      <c r="G2036" s="6" t="str">
        <f aca="false">INDEX(Archetypes!$D$2:$D$127, MATCH(D2036, Archetypes!$A$2:$A$127, 0))</f>
        <v>Agent</v>
      </c>
      <c r="H2036" s="6" t="n">
        <f aca="false">ROUND(INDEX(Archetypes!$E$2:$E$127, MATCH(D2036, Archetypes!$A$2:$A$127, 0))*INDEX(Unit_Grades!$B$2:$B$7, MATCH(F2036, Unit_Grades!$A$2:$A$7, 0))*INDEX(Unit_Paths!$B$2:$B$4, MATCH(E2036, Unit_Paths!$A$2:$A$4, 0)),1)</f>
        <v>900</v>
      </c>
      <c r="I2036" s="6" t="n">
        <f aca="false">ROUND(INDEX(Archetypes!$F$2:$F$127, MATCH(D2036, Archetypes!$A$2:$A$127, 0))*INDEX(Unit_Grades!$B$2:$B$7, MATCH(F2036, Unit_Grades!$A$2:$A$7, 0))*INDEX(Unit_Paths!$C$2:$C$4, MATCH(E2036, Unit_Paths!$A$2:$A$4, 0)),1)</f>
        <v>500</v>
      </c>
      <c r="J2036" s="6" t="n">
        <f aca="false">ROUND(INDEX(Archetypes!$G$2:$G$127, MATCH(D2036, Archetypes!$A$2:$A$127, 0))*INDEX(Unit_Grades!$B$2:$B$7, MATCH(F2036, Unit_Grades!$A$2:$A$7, 0))*INDEX(Unit_Paths!$D$2:$D$4, MATCH(E2036, Unit_Paths!$A$2:$A$4, 0)),0)</f>
        <v>3000</v>
      </c>
      <c r="K2036" s="6" t="n">
        <f aca="false">ROUND(INDEX(Archetypes!$H$2:$H$127, MATCH(D2036, Archetypes!$A$2:$A$127, 0))*INDEX(Unit_Paths!$E$2:$E$4, MATCH(E2036, Unit_Paths!$A$2:$A$4, 0)),1)</f>
        <v>120</v>
      </c>
      <c r="L2036" s="6" t="n">
        <f aca="false">ROUND(INDEX(Archetypes!$I$2:$I$127, MATCH(D2036, Archetypes!$A$2:$A$127, 0))*INDEX(Unit_Grades!$C$2:$C$7, MATCH(F2036, Unit_Grades!$A$2:$A$7, 0)),1)</f>
        <v>150</v>
      </c>
      <c r="M2036" s="6" t="n">
        <f aca="false">ROUND(INDEX(Archetypes!$J$2:$J$127, MATCH(D2036, Archetypes!$A$2:$A$127, 0))*INDEX(Unit_Grades!$D$2:$D$7, MATCH(F2036, Unit_Grades!$A$2:$A$7, 0)),1)</f>
        <v>60.9</v>
      </c>
      <c r="N2036" s="6" t="n">
        <f aca="false">ROUND(M2036/24,2)</f>
        <v>2.54</v>
      </c>
    </row>
    <row r="2037" customFormat="false" ht="15" hidden="false" customHeight="true" outlineLevel="0" collapsed="false">
      <c r="A2037" s="6" t="n">
        <v>7</v>
      </c>
      <c r="B2037" s="6" t="s">
        <v>3491</v>
      </c>
      <c r="C2037" s="6" t="s">
        <v>1507</v>
      </c>
      <c r="D2037" s="6" t="str">
        <f aca="false">A2037&amp;"|"&amp;C2037</f>
        <v>7|Echo Agent</v>
      </c>
      <c r="E2037" s="6" t="s">
        <v>1556</v>
      </c>
      <c r="F2037" s="6" t="s">
        <v>1540</v>
      </c>
      <c r="G2037" s="6" t="str">
        <f aca="false">INDEX(Archetypes!$D$2:$D$127, MATCH(D2037, Archetypes!$A$2:$A$127, 0))</f>
        <v>Agent</v>
      </c>
      <c r="H2037" s="6" t="n">
        <f aca="false">ROUND(INDEX(Archetypes!$E$2:$E$127, MATCH(D2037, Archetypes!$A$2:$A$127, 0))*INDEX(Unit_Grades!$B$2:$B$7, MATCH(F2037, Unit_Grades!$A$2:$A$7, 0))*INDEX(Unit_Paths!$B$2:$B$4, MATCH(E2037, Unit_Paths!$A$2:$A$4, 0)),1)</f>
        <v>1215</v>
      </c>
      <c r="I2037" s="6" t="n">
        <f aca="false">ROUND(INDEX(Archetypes!$F$2:$F$127, MATCH(D2037, Archetypes!$A$2:$A$127, 0))*INDEX(Unit_Grades!$B$2:$B$7, MATCH(F2037, Unit_Grades!$A$2:$A$7, 0))*INDEX(Unit_Paths!$C$2:$C$4, MATCH(E2037, Unit_Paths!$A$2:$A$4, 0)),1)</f>
        <v>675</v>
      </c>
      <c r="J2037" s="6" t="n">
        <f aca="false">ROUND(INDEX(Archetypes!$G$2:$G$127, MATCH(D2037, Archetypes!$A$2:$A$127, 0))*INDEX(Unit_Grades!$B$2:$B$7, MATCH(F2037, Unit_Grades!$A$2:$A$7, 0))*INDEX(Unit_Paths!$D$2:$D$4, MATCH(E2037, Unit_Paths!$A$2:$A$4, 0)),0)</f>
        <v>4050</v>
      </c>
      <c r="K2037" s="6" t="n">
        <f aca="false">ROUND(INDEX(Archetypes!$H$2:$H$127, MATCH(D2037, Archetypes!$A$2:$A$127, 0))*INDEX(Unit_Paths!$E$2:$E$4, MATCH(E2037, Unit_Paths!$A$2:$A$4, 0)),1)</f>
        <v>120</v>
      </c>
      <c r="L2037" s="6" t="n">
        <f aca="false">ROUND(INDEX(Archetypes!$I$2:$I$127, MATCH(D2037, Archetypes!$A$2:$A$127, 0))*INDEX(Unit_Grades!$C$2:$C$7, MATCH(F2037, Unit_Grades!$A$2:$A$7, 0)),1)</f>
        <v>187.5</v>
      </c>
      <c r="M2037" s="6" t="n">
        <f aca="false">ROUND(INDEX(Archetypes!$J$2:$J$127, MATCH(D2037, Archetypes!$A$2:$A$127, 0))*INDEX(Unit_Grades!$D$2:$D$7, MATCH(F2037, Unit_Grades!$A$2:$A$7, 0)),1)</f>
        <v>91.3</v>
      </c>
      <c r="N2037" s="6" t="n">
        <f aca="false">ROUND(M2037/24,2)</f>
        <v>3.8</v>
      </c>
    </row>
    <row r="2038" customFormat="false" ht="15" hidden="false" customHeight="true" outlineLevel="0" collapsed="false">
      <c r="A2038" s="6" t="n">
        <v>7</v>
      </c>
      <c r="B2038" s="6" t="s">
        <v>3492</v>
      </c>
      <c r="C2038" s="6" t="s">
        <v>1507</v>
      </c>
      <c r="D2038" s="6" t="str">
        <f aca="false">A2038&amp;"|"&amp;C2038</f>
        <v>7|Echo Agent</v>
      </c>
      <c r="E2038" s="6" t="s">
        <v>1556</v>
      </c>
      <c r="F2038" s="6" t="s">
        <v>1542</v>
      </c>
      <c r="G2038" s="6" t="str">
        <f aca="false">INDEX(Archetypes!$D$2:$D$127, MATCH(D2038, Archetypes!$A$2:$A$127, 0))</f>
        <v>Agent</v>
      </c>
      <c r="H2038" s="6" t="n">
        <f aca="false">ROUND(INDEX(Archetypes!$E$2:$E$127, MATCH(D2038, Archetypes!$A$2:$A$127, 0))*INDEX(Unit_Grades!$B$2:$B$7, MATCH(F2038, Unit_Grades!$A$2:$A$7, 0))*INDEX(Unit_Paths!$B$2:$B$4, MATCH(E2038, Unit_Paths!$A$2:$A$4, 0)),1)</f>
        <v>1620</v>
      </c>
      <c r="I2038" s="6" t="n">
        <f aca="false">ROUND(INDEX(Archetypes!$F$2:$F$127, MATCH(D2038, Archetypes!$A$2:$A$127, 0))*INDEX(Unit_Grades!$B$2:$B$7, MATCH(F2038, Unit_Grades!$A$2:$A$7, 0))*INDEX(Unit_Paths!$C$2:$C$4, MATCH(E2038, Unit_Paths!$A$2:$A$4, 0)),1)</f>
        <v>900</v>
      </c>
      <c r="J2038" s="6" t="n">
        <f aca="false">ROUND(INDEX(Archetypes!$G$2:$G$127, MATCH(D2038, Archetypes!$A$2:$A$127, 0))*INDEX(Unit_Grades!$B$2:$B$7, MATCH(F2038, Unit_Grades!$A$2:$A$7, 0))*INDEX(Unit_Paths!$D$2:$D$4, MATCH(E2038, Unit_Paths!$A$2:$A$4, 0)),0)</f>
        <v>5400</v>
      </c>
      <c r="K2038" s="6" t="n">
        <f aca="false">ROUND(INDEX(Archetypes!$H$2:$H$127, MATCH(D2038, Archetypes!$A$2:$A$127, 0))*INDEX(Unit_Paths!$E$2:$E$4, MATCH(E2038, Unit_Paths!$A$2:$A$4, 0)),1)</f>
        <v>120</v>
      </c>
      <c r="L2038" s="6" t="n">
        <f aca="false">ROUND(INDEX(Archetypes!$I$2:$I$127, MATCH(D2038, Archetypes!$A$2:$A$127, 0))*INDEX(Unit_Grades!$C$2:$C$7, MATCH(F2038, Unit_Grades!$A$2:$A$7, 0)),1)</f>
        <v>240</v>
      </c>
      <c r="M2038" s="6" t="n">
        <f aca="false">ROUND(INDEX(Archetypes!$J$2:$J$127, MATCH(D2038, Archetypes!$A$2:$A$127, 0))*INDEX(Unit_Grades!$D$2:$D$7, MATCH(F2038, Unit_Grades!$A$2:$A$7, 0)),1)</f>
        <v>152.2</v>
      </c>
      <c r="N2038" s="6" t="n">
        <f aca="false">ROUND(M2038/24,2)</f>
        <v>6.34</v>
      </c>
    </row>
    <row r="2039" customFormat="false" ht="15" hidden="false" customHeight="true" outlineLevel="0" collapsed="false">
      <c r="A2039" s="6" t="n">
        <v>7</v>
      </c>
      <c r="B2039" s="6" t="s">
        <v>3493</v>
      </c>
      <c r="C2039" s="6" t="s">
        <v>1507</v>
      </c>
      <c r="D2039" s="6" t="str">
        <f aca="false">A2039&amp;"|"&amp;C2039</f>
        <v>7|Echo Agent</v>
      </c>
      <c r="E2039" s="6" t="s">
        <v>1556</v>
      </c>
      <c r="F2039" s="6" t="s">
        <v>1544</v>
      </c>
      <c r="G2039" s="6" t="str">
        <f aca="false">INDEX(Archetypes!$D$2:$D$127, MATCH(D2039, Archetypes!$A$2:$A$127, 0))</f>
        <v>Agent</v>
      </c>
      <c r="H2039" s="6" t="n">
        <f aca="false">ROUND(INDEX(Archetypes!$E$2:$E$127, MATCH(D2039, Archetypes!$A$2:$A$127, 0))*INDEX(Unit_Grades!$B$2:$B$7, MATCH(F2039, Unit_Grades!$A$2:$A$7, 0))*INDEX(Unit_Paths!$B$2:$B$4, MATCH(E2039, Unit_Paths!$A$2:$A$4, 0)),1)</f>
        <v>2160</v>
      </c>
      <c r="I2039" s="6" t="n">
        <f aca="false">ROUND(INDEX(Archetypes!$F$2:$F$127, MATCH(D2039, Archetypes!$A$2:$A$127, 0))*INDEX(Unit_Grades!$B$2:$B$7, MATCH(F2039, Unit_Grades!$A$2:$A$7, 0))*INDEX(Unit_Paths!$C$2:$C$4, MATCH(E2039, Unit_Paths!$A$2:$A$4, 0)),1)</f>
        <v>1200</v>
      </c>
      <c r="J2039" s="6" t="n">
        <f aca="false">ROUND(INDEX(Archetypes!$G$2:$G$127, MATCH(D2039, Archetypes!$A$2:$A$127, 0))*INDEX(Unit_Grades!$B$2:$B$7, MATCH(F2039, Unit_Grades!$A$2:$A$7, 0))*INDEX(Unit_Paths!$D$2:$D$4, MATCH(E2039, Unit_Paths!$A$2:$A$4, 0)),0)</f>
        <v>7200</v>
      </c>
      <c r="K2039" s="6" t="n">
        <f aca="false">ROUND(INDEX(Archetypes!$H$2:$H$127, MATCH(D2039, Archetypes!$A$2:$A$127, 0))*INDEX(Unit_Paths!$E$2:$E$4, MATCH(E2039, Unit_Paths!$A$2:$A$4, 0)),1)</f>
        <v>120</v>
      </c>
      <c r="L2039" s="6" t="n">
        <f aca="false">ROUND(INDEX(Archetypes!$I$2:$I$127, MATCH(D2039, Archetypes!$A$2:$A$127, 0))*INDEX(Unit_Grades!$C$2:$C$7, MATCH(F2039, Unit_Grades!$A$2:$A$7, 0)),1)</f>
        <v>315</v>
      </c>
      <c r="M2039" s="6" t="n">
        <f aca="false">ROUND(INDEX(Archetypes!$J$2:$J$127, MATCH(D2039, Archetypes!$A$2:$A$127, 0))*INDEX(Unit_Grades!$D$2:$D$7, MATCH(F2039, Unit_Grades!$A$2:$A$7, 0)),1)</f>
        <v>243.5</v>
      </c>
      <c r="N2039" s="6" t="n">
        <f aca="false">ROUND(M2039/24,2)</f>
        <v>10.15</v>
      </c>
    </row>
    <row r="2040" customFormat="false" ht="15" hidden="false" customHeight="true" outlineLevel="0" collapsed="false">
      <c r="A2040" s="6" t="n">
        <v>7</v>
      </c>
      <c r="B2040" s="6" t="s">
        <v>3494</v>
      </c>
      <c r="C2040" s="6" t="s">
        <v>1507</v>
      </c>
      <c r="D2040" s="6" t="str">
        <f aca="false">A2040&amp;"|"&amp;C2040</f>
        <v>7|Echo Agent</v>
      </c>
      <c r="E2040" s="6" t="s">
        <v>1556</v>
      </c>
      <c r="F2040" s="6" t="s">
        <v>1546</v>
      </c>
      <c r="G2040" s="6" t="str">
        <f aca="false">INDEX(Archetypes!$D$2:$D$127, MATCH(D2040, Archetypes!$A$2:$A$127, 0))</f>
        <v>Agent</v>
      </c>
      <c r="H2040" s="6" t="n">
        <f aca="false">ROUND(INDEX(Archetypes!$E$2:$E$127, MATCH(D2040, Archetypes!$A$2:$A$127, 0))*INDEX(Unit_Grades!$B$2:$B$7, MATCH(F2040, Unit_Grades!$A$2:$A$7, 0))*INDEX(Unit_Paths!$B$2:$B$4, MATCH(E2040, Unit_Paths!$A$2:$A$4, 0)),1)</f>
        <v>2880</v>
      </c>
      <c r="I2040" s="6" t="n">
        <f aca="false">ROUND(INDEX(Archetypes!$F$2:$F$127, MATCH(D2040, Archetypes!$A$2:$A$127, 0))*INDEX(Unit_Grades!$B$2:$B$7, MATCH(F2040, Unit_Grades!$A$2:$A$7, 0))*INDEX(Unit_Paths!$C$2:$C$4, MATCH(E2040, Unit_Paths!$A$2:$A$4, 0)),1)</f>
        <v>1600</v>
      </c>
      <c r="J2040" s="6" t="n">
        <f aca="false">ROUND(INDEX(Archetypes!$G$2:$G$127, MATCH(D2040, Archetypes!$A$2:$A$127, 0))*INDEX(Unit_Grades!$B$2:$B$7, MATCH(F2040, Unit_Grades!$A$2:$A$7, 0))*INDEX(Unit_Paths!$D$2:$D$4, MATCH(E2040, Unit_Paths!$A$2:$A$4, 0)),0)</f>
        <v>9600</v>
      </c>
      <c r="K2040" s="6" t="n">
        <f aca="false">ROUND(INDEX(Archetypes!$H$2:$H$127, MATCH(D2040, Archetypes!$A$2:$A$127, 0))*INDEX(Unit_Paths!$E$2:$E$4, MATCH(E2040, Unit_Paths!$A$2:$A$4, 0)),1)</f>
        <v>120</v>
      </c>
      <c r="L2040" s="6" t="n">
        <f aca="false">ROUND(INDEX(Archetypes!$I$2:$I$127, MATCH(D2040, Archetypes!$A$2:$A$127, 0))*INDEX(Unit_Grades!$C$2:$C$7, MATCH(F2040, Unit_Grades!$A$2:$A$7, 0)),1)</f>
        <v>420</v>
      </c>
      <c r="M2040" s="6" t="n">
        <f aca="false">ROUND(INDEX(Archetypes!$J$2:$J$127, MATCH(D2040, Archetypes!$A$2:$A$127, 0))*INDEX(Unit_Grades!$D$2:$D$7, MATCH(F2040, Unit_Grades!$A$2:$A$7, 0)),1)</f>
        <v>426.2</v>
      </c>
      <c r="N2040" s="6" t="n">
        <f aca="false">ROUND(M2040/24,2)</f>
        <v>17.76</v>
      </c>
    </row>
    <row r="2041" customFormat="false" ht="15" hidden="false" customHeight="true" outlineLevel="0" collapsed="false">
      <c r="A2041" s="6" t="n">
        <v>7</v>
      </c>
      <c r="B2041" s="6" t="s">
        <v>3495</v>
      </c>
      <c r="C2041" s="6" t="s">
        <v>1507</v>
      </c>
      <c r="D2041" s="6" t="str">
        <f aca="false">A2041&amp;"|"&amp;C2041</f>
        <v>7|Echo Agent</v>
      </c>
      <c r="E2041" s="6" t="s">
        <v>1556</v>
      </c>
      <c r="F2041" s="6" t="s">
        <v>1548</v>
      </c>
      <c r="G2041" s="6" t="str">
        <f aca="false">INDEX(Archetypes!$D$2:$D$127, MATCH(D2041, Archetypes!$A$2:$A$127, 0))</f>
        <v>Agent</v>
      </c>
      <c r="H2041" s="6" t="n">
        <f aca="false">ROUND(INDEX(Archetypes!$E$2:$E$127, MATCH(D2041, Archetypes!$A$2:$A$127, 0))*INDEX(Unit_Grades!$B$2:$B$7, MATCH(F2041, Unit_Grades!$A$2:$A$7, 0))*INDEX(Unit_Paths!$B$2:$B$4, MATCH(E2041, Unit_Paths!$A$2:$A$4, 0)),1)</f>
        <v>3780</v>
      </c>
      <c r="I2041" s="6" t="n">
        <f aca="false">ROUND(INDEX(Archetypes!$F$2:$F$127, MATCH(D2041, Archetypes!$A$2:$A$127, 0))*INDEX(Unit_Grades!$B$2:$B$7, MATCH(F2041, Unit_Grades!$A$2:$A$7, 0))*INDEX(Unit_Paths!$C$2:$C$4, MATCH(E2041, Unit_Paths!$A$2:$A$4, 0)),1)</f>
        <v>2100</v>
      </c>
      <c r="J2041" s="6" t="n">
        <f aca="false">ROUND(INDEX(Archetypes!$G$2:$G$127, MATCH(D2041, Archetypes!$A$2:$A$127, 0))*INDEX(Unit_Grades!$B$2:$B$7, MATCH(F2041, Unit_Grades!$A$2:$A$7, 0))*INDEX(Unit_Paths!$D$2:$D$4, MATCH(E2041, Unit_Paths!$A$2:$A$4, 0)),0)</f>
        <v>12600</v>
      </c>
      <c r="K2041" s="6" t="n">
        <f aca="false">ROUND(INDEX(Archetypes!$H$2:$H$127, MATCH(D2041, Archetypes!$A$2:$A$127, 0))*INDEX(Unit_Paths!$E$2:$E$4, MATCH(E2041, Unit_Paths!$A$2:$A$4, 0)),1)</f>
        <v>120</v>
      </c>
      <c r="L2041" s="6" t="n">
        <f aca="false">ROUND(INDEX(Archetypes!$I$2:$I$127, MATCH(D2041, Archetypes!$A$2:$A$127, 0))*INDEX(Unit_Grades!$C$2:$C$7, MATCH(F2041, Unit_Grades!$A$2:$A$7, 0)),1)</f>
        <v>555</v>
      </c>
      <c r="M2041" s="6" t="n">
        <f aca="false">ROUND(INDEX(Archetypes!$J$2:$J$127, MATCH(D2041, Archetypes!$A$2:$A$127, 0))*INDEX(Unit_Grades!$D$2:$D$7, MATCH(F2041, Unit_Grades!$A$2:$A$7, 0)),1)</f>
        <v>730.6</v>
      </c>
      <c r="N2041" s="6" t="n">
        <f aca="false">ROUND(M2041/24,2)</f>
        <v>30.44</v>
      </c>
    </row>
    <row r="2042" customFormat="false" ht="15" hidden="false" customHeight="true" outlineLevel="0" collapsed="false">
      <c r="A2042" s="6" t="n">
        <v>7</v>
      </c>
      <c r="B2042" s="6" t="s">
        <v>3496</v>
      </c>
      <c r="C2042" s="6" t="s">
        <v>1507</v>
      </c>
      <c r="D2042" s="6" t="str">
        <f aca="false">A2042&amp;"|"&amp;C2042</f>
        <v>7|Echo Agent</v>
      </c>
      <c r="E2042" s="6" t="s">
        <v>1558</v>
      </c>
      <c r="F2042" s="6" t="s">
        <v>1538</v>
      </c>
      <c r="G2042" s="6" t="str">
        <f aca="false">INDEX(Archetypes!$D$2:$D$127, MATCH(D2042, Archetypes!$A$2:$A$127, 0))</f>
        <v>Agent</v>
      </c>
      <c r="H2042" s="6" t="n">
        <f aca="false">ROUND(INDEX(Archetypes!$E$2:$E$127, MATCH(D2042, Archetypes!$A$2:$A$127, 0))*INDEX(Unit_Grades!$B$2:$B$7, MATCH(F2042, Unit_Grades!$A$2:$A$7, 0))*INDEX(Unit_Paths!$B$2:$B$4, MATCH(E2042, Unit_Paths!$A$2:$A$4, 0)),1)</f>
        <v>1080</v>
      </c>
      <c r="I2042" s="6" t="n">
        <f aca="false">ROUND(INDEX(Archetypes!$F$2:$F$127, MATCH(D2042, Archetypes!$A$2:$A$127, 0))*INDEX(Unit_Grades!$B$2:$B$7, MATCH(F2042, Unit_Grades!$A$2:$A$7, 0))*INDEX(Unit_Paths!$C$2:$C$4, MATCH(E2042, Unit_Paths!$A$2:$A$4, 0)),1)</f>
        <v>425</v>
      </c>
      <c r="J2042" s="6" t="n">
        <f aca="false">ROUND(INDEX(Archetypes!$G$2:$G$127, MATCH(D2042, Archetypes!$A$2:$A$127, 0))*INDEX(Unit_Grades!$B$2:$B$7, MATCH(F2042, Unit_Grades!$A$2:$A$7, 0))*INDEX(Unit_Paths!$D$2:$D$4, MATCH(E2042, Unit_Paths!$A$2:$A$4, 0)),0)</f>
        <v>2850</v>
      </c>
      <c r="K2042" s="6" t="n">
        <f aca="false">ROUND(INDEX(Archetypes!$H$2:$H$127, MATCH(D2042, Archetypes!$A$2:$A$127, 0))*INDEX(Unit_Paths!$E$2:$E$4, MATCH(E2042, Unit_Paths!$A$2:$A$4, 0)),1)</f>
        <v>126</v>
      </c>
      <c r="L2042" s="6" t="n">
        <f aca="false">ROUND(INDEX(Archetypes!$I$2:$I$127, MATCH(D2042, Archetypes!$A$2:$A$127, 0))*INDEX(Unit_Grades!$C$2:$C$7, MATCH(F2042, Unit_Grades!$A$2:$A$7, 0)),1)</f>
        <v>150</v>
      </c>
      <c r="M2042" s="6" t="n">
        <f aca="false">ROUND(INDEX(Archetypes!$J$2:$J$127, MATCH(D2042, Archetypes!$A$2:$A$127, 0))*INDEX(Unit_Grades!$D$2:$D$7, MATCH(F2042, Unit_Grades!$A$2:$A$7, 0)),1)</f>
        <v>60.9</v>
      </c>
      <c r="N2042" s="6" t="n">
        <f aca="false">ROUND(M2042/24,2)</f>
        <v>2.54</v>
      </c>
    </row>
    <row r="2043" customFormat="false" ht="15" hidden="false" customHeight="true" outlineLevel="0" collapsed="false">
      <c r="A2043" s="6" t="n">
        <v>7</v>
      </c>
      <c r="B2043" s="6" t="s">
        <v>3497</v>
      </c>
      <c r="C2043" s="6" t="s">
        <v>1507</v>
      </c>
      <c r="D2043" s="6" t="str">
        <f aca="false">A2043&amp;"|"&amp;C2043</f>
        <v>7|Echo Agent</v>
      </c>
      <c r="E2043" s="6" t="s">
        <v>1558</v>
      </c>
      <c r="F2043" s="6" t="s">
        <v>1540</v>
      </c>
      <c r="G2043" s="6" t="str">
        <f aca="false">INDEX(Archetypes!$D$2:$D$127, MATCH(D2043, Archetypes!$A$2:$A$127, 0))</f>
        <v>Agent</v>
      </c>
      <c r="H2043" s="6" t="n">
        <f aca="false">ROUND(INDEX(Archetypes!$E$2:$E$127, MATCH(D2043, Archetypes!$A$2:$A$127, 0))*INDEX(Unit_Grades!$B$2:$B$7, MATCH(F2043, Unit_Grades!$A$2:$A$7, 0))*INDEX(Unit_Paths!$B$2:$B$4, MATCH(E2043, Unit_Paths!$A$2:$A$4, 0)),1)</f>
        <v>1458</v>
      </c>
      <c r="I2043" s="6" t="n">
        <f aca="false">ROUND(INDEX(Archetypes!$F$2:$F$127, MATCH(D2043, Archetypes!$A$2:$A$127, 0))*INDEX(Unit_Grades!$B$2:$B$7, MATCH(F2043, Unit_Grades!$A$2:$A$7, 0))*INDEX(Unit_Paths!$C$2:$C$4, MATCH(E2043, Unit_Paths!$A$2:$A$4, 0)),1)</f>
        <v>573.8</v>
      </c>
      <c r="J2043" s="6" t="n">
        <f aca="false">ROUND(INDEX(Archetypes!$G$2:$G$127, MATCH(D2043, Archetypes!$A$2:$A$127, 0))*INDEX(Unit_Grades!$B$2:$B$7, MATCH(F2043, Unit_Grades!$A$2:$A$7, 0))*INDEX(Unit_Paths!$D$2:$D$4, MATCH(E2043, Unit_Paths!$A$2:$A$4, 0)),0)</f>
        <v>3848</v>
      </c>
      <c r="K2043" s="6" t="n">
        <f aca="false">ROUND(INDEX(Archetypes!$H$2:$H$127, MATCH(D2043, Archetypes!$A$2:$A$127, 0))*INDEX(Unit_Paths!$E$2:$E$4, MATCH(E2043, Unit_Paths!$A$2:$A$4, 0)),1)</f>
        <v>126</v>
      </c>
      <c r="L2043" s="6" t="n">
        <f aca="false">ROUND(INDEX(Archetypes!$I$2:$I$127, MATCH(D2043, Archetypes!$A$2:$A$127, 0))*INDEX(Unit_Grades!$C$2:$C$7, MATCH(F2043, Unit_Grades!$A$2:$A$7, 0)),1)</f>
        <v>187.5</v>
      </c>
      <c r="M2043" s="6" t="n">
        <f aca="false">ROUND(INDEX(Archetypes!$J$2:$J$127, MATCH(D2043, Archetypes!$A$2:$A$127, 0))*INDEX(Unit_Grades!$D$2:$D$7, MATCH(F2043, Unit_Grades!$A$2:$A$7, 0)),1)</f>
        <v>91.3</v>
      </c>
      <c r="N2043" s="6" t="n">
        <f aca="false">ROUND(M2043/24,2)</f>
        <v>3.8</v>
      </c>
    </row>
    <row r="2044" customFormat="false" ht="15" hidden="false" customHeight="true" outlineLevel="0" collapsed="false">
      <c r="A2044" s="6" t="n">
        <v>7</v>
      </c>
      <c r="B2044" s="6" t="s">
        <v>3498</v>
      </c>
      <c r="C2044" s="6" t="s">
        <v>1507</v>
      </c>
      <c r="D2044" s="6" t="str">
        <f aca="false">A2044&amp;"|"&amp;C2044</f>
        <v>7|Echo Agent</v>
      </c>
      <c r="E2044" s="6" t="s">
        <v>1558</v>
      </c>
      <c r="F2044" s="6" t="s">
        <v>1542</v>
      </c>
      <c r="G2044" s="6" t="str">
        <f aca="false">INDEX(Archetypes!$D$2:$D$127, MATCH(D2044, Archetypes!$A$2:$A$127, 0))</f>
        <v>Agent</v>
      </c>
      <c r="H2044" s="6" t="n">
        <f aca="false">ROUND(INDEX(Archetypes!$E$2:$E$127, MATCH(D2044, Archetypes!$A$2:$A$127, 0))*INDEX(Unit_Grades!$B$2:$B$7, MATCH(F2044, Unit_Grades!$A$2:$A$7, 0))*INDEX(Unit_Paths!$B$2:$B$4, MATCH(E2044, Unit_Paths!$A$2:$A$4, 0)),1)</f>
        <v>1944</v>
      </c>
      <c r="I2044" s="6" t="n">
        <f aca="false">ROUND(INDEX(Archetypes!$F$2:$F$127, MATCH(D2044, Archetypes!$A$2:$A$127, 0))*INDEX(Unit_Grades!$B$2:$B$7, MATCH(F2044, Unit_Grades!$A$2:$A$7, 0))*INDEX(Unit_Paths!$C$2:$C$4, MATCH(E2044, Unit_Paths!$A$2:$A$4, 0)),1)</f>
        <v>765</v>
      </c>
      <c r="J2044" s="6" t="n">
        <f aca="false">ROUND(INDEX(Archetypes!$G$2:$G$127, MATCH(D2044, Archetypes!$A$2:$A$127, 0))*INDEX(Unit_Grades!$B$2:$B$7, MATCH(F2044, Unit_Grades!$A$2:$A$7, 0))*INDEX(Unit_Paths!$D$2:$D$4, MATCH(E2044, Unit_Paths!$A$2:$A$4, 0)),0)</f>
        <v>5130</v>
      </c>
      <c r="K2044" s="6" t="n">
        <f aca="false">ROUND(INDEX(Archetypes!$H$2:$H$127, MATCH(D2044, Archetypes!$A$2:$A$127, 0))*INDEX(Unit_Paths!$E$2:$E$4, MATCH(E2044, Unit_Paths!$A$2:$A$4, 0)),1)</f>
        <v>126</v>
      </c>
      <c r="L2044" s="6" t="n">
        <f aca="false">ROUND(INDEX(Archetypes!$I$2:$I$127, MATCH(D2044, Archetypes!$A$2:$A$127, 0))*INDEX(Unit_Grades!$C$2:$C$7, MATCH(F2044, Unit_Grades!$A$2:$A$7, 0)),1)</f>
        <v>240</v>
      </c>
      <c r="M2044" s="6" t="n">
        <f aca="false">ROUND(INDEX(Archetypes!$J$2:$J$127, MATCH(D2044, Archetypes!$A$2:$A$127, 0))*INDEX(Unit_Grades!$D$2:$D$7, MATCH(F2044, Unit_Grades!$A$2:$A$7, 0)),1)</f>
        <v>152.2</v>
      </c>
      <c r="N2044" s="6" t="n">
        <f aca="false">ROUND(M2044/24,2)</f>
        <v>6.34</v>
      </c>
    </row>
    <row r="2045" customFormat="false" ht="15" hidden="false" customHeight="true" outlineLevel="0" collapsed="false">
      <c r="A2045" s="6" t="n">
        <v>7</v>
      </c>
      <c r="B2045" s="6" t="s">
        <v>3499</v>
      </c>
      <c r="C2045" s="6" t="s">
        <v>1507</v>
      </c>
      <c r="D2045" s="6" t="str">
        <f aca="false">A2045&amp;"|"&amp;C2045</f>
        <v>7|Echo Agent</v>
      </c>
      <c r="E2045" s="6" t="s">
        <v>1558</v>
      </c>
      <c r="F2045" s="6" t="s">
        <v>1544</v>
      </c>
      <c r="G2045" s="6" t="str">
        <f aca="false">INDEX(Archetypes!$D$2:$D$127, MATCH(D2045, Archetypes!$A$2:$A$127, 0))</f>
        <v>Agent</v>
      </c>
      <c r="H2045" s="6" t="n">
        <f aca="false">ROUND(INDEX(Archetypes!$E$2:$E$127, MATCH(D2045, Archetypes!$A$2:$A$127, 0))*INDEX(Unit_Grades!$B$2:$B$7, MATCH(F2045, Unit_Grades!$A$2:$A$7, 0))*INDEX(Unit_Paths!$B$2:$B$4, MATCH(E2045, Unit_Paths!$A$2:$A$4, 0)),1)</f>
        <v>2592</v>
      </c>
      <c r="I2045" s="6" t="n">
        <f aca="false">ROUND(INDEX(Archetypes!$F$2:$F$127, MATCH(D2045, Archetypes!$A$2:$A$127, 0))*INDEX(Unit_Grades!$B$2:$B$7, MATCH(F2045, Unit_Grades!$A$2:$A$7, 0))*INDEX(Unit_Paths!$C$2:$C$4, MATCH(E2045, Unit_Paths!$A$2:$A$4, 0)),1)</f>
        <v>1020</v>
      </c>
      <c r="J2045" s="6" t="n">
        <f aca="false">ROUND(INDEX(Archetypes!$G$2:$G$127, MATCH(D2045, Archetypes!$A$2:$A$127, 0))*INDEX(Unit_Grades!$B$2:$B$7, MATCH(F2045, Unit_Grades!$A$2:$A$7, 0))*INDEX(Unit_Paths!$D$2:$D$4, MATCH(E2045, Unit_Paths!$A$2:$A$4, 0)),0)</f>
        <v>6840</v>
      </c>
      <c r="K2045" s="6" t="n">
        <f aca="false">ROUND(INDEX(Archetypes!$H$2:$H$127, MATCH(D2045, Archetypes!$A$2:$A$127, 0))*INDEX(Unit_Paths!$E$2:$E$4, MATCH(E2045, Unit_Paths!$A$2:$A$4, 0)),1)</f>
        <v>126</v>
      </c>
      <c r="L2045" s="6" t="n">
        <f aca="false">ROUND(INDEX(Archetypes!$I$2:$I$127, MATCH(D2045, Archetypes!$A$2:$A$127, 0))*INDEX(Unit_Grades!$C$2:$C$7, MATCH(F2045, Unit_Grades!$A$2:$A$7, 0)),1)</f>
        <v>315</v>
      </c>
      <c r="M2045" s="6" t="n">
        <f aca="false">ROUND(INDEX(Archetypes!$J$2:$J$127, MATCH(D2045, Archetypes!$A$2:$A$127, 0))*INDEX(Unit_Grades!$D$2:$D$7, MATCH(F2045, Unit_Grades!$A$2:$A$7, 0)),1)</f>
        <v>243.5</v>
      </c>
      <c r="N2045" s="6" t="n">
        <f aca="false">ROUND(M2045/24,2)</f>
        <v>10.15</v>
      </c>
    </row>
    <row r="2046" customFormat="false" ht="15" hidden="false" customHeight="true" outlineLevel="0" collapsed="false">
      <c r="A2046" s="6" t="n">
        <v>7</v>
      </c>
      <c r="B2046" s="6" t="s">
        <v>3500</v>
      </c>
      <c r="C2046" s="6" t="s">
        <v>1507</v>
      </c>
      <c r="D2046" s="6" t="str">
        <f aca="false">A2046&amp;"|"&amp;C2046</f>
        <v>7|Echo Agent</v>
      </c>
      <c r="E2046" s="6" t="s">
        <v>1558</v>
      </c>
      <c r="F2046" s="6" t="s">
        <v>1546</v>
      </c>
      <c r="G2046" s="6" t="str">
        <f aca="false">INDEX(Archetypes!$D$2:$D$127, MATCH(D2046, Archetypes!$A$2:$A$127, 0))</f>
        <v>Agent</v>
      </c>
      <c r="H2046" s="6" t="n">
        <f aca="false">ROUND(INDEX(Archetypes!$E$2:$E$127, MATCH(D2046, Archetypes!$A$2:$A$127, 0))*INDEX(Unit_Grades!$B$2:$B$7, MATCH(F2046, Unit_Grades!$A$2:$A$7, 0))*INDEX(Unit_Paths!$B$2:$B$4, MATCH(E2046, Unit_Paths!$A$2:$A$4, 0)),1)</f>
        <v>3456</v>
      </c>
      <c r="I2046" s="6" t="n">
        <f aca="false">ROUND(INDEX(Archetypes!$F$2:$F$127, MATCH(D2046, Archetypes!$A$2:$A$127, 0))*INDEX(Unit_Grades!$B$2:$B$7, MATCH(F2046, Unit_Grades!$A$2:$A$7, 0))*INDEX(Unit_Paths!$C$2:$C$4, MATCH(E2046, Unit_Paths!$A$2:$A$4, 0)),1)</f>
        <v>1360</v>
      </c>
      <c r="J2046" s="6" t="n">
        <f aca="false">ROUND(INDEX(Archetypes!$G$2:$G$127, MATCH(D2046, Archetypes!$A$2:$A$127, 0))*INDEX(Unit_Grades!$B$2:$B$7, MATCH(F2046, Unit_Grades!$A$2:$A$7, 0))*INDEX(Unit_Paths!$D$2:$D$4, MATCH(E2046, Unit_Paths!$A$2:$A$4, 0)),0)</f>
        <v>9120</v>
      </c>
      <c r="K2046" s="6" t="n">
        <f aca="false">ROUND(INDEX(Archetypes!$H$2:$H$127, MATCH(D2046, Archetypes!$A$2:$A$127, 0))*INDEX(Unit_Paths!$E$2:$E$4, MATCH(E2046, Unit_Paths!$A$2:$A$4, 0)),1)</f>
        <v>126</v>
      </c>
      <c r="L2046" s="6" t="n">
        <f aca="false">ROUND(INDEX(Archetypes!$I$2:$I$127, MATCH(D2046, Archetypes!$A$2:$A$127, 0))*INDEX(Unit_Grades!$C$2:$C$7, MATCH(F2046, Unit_Grades!$A$2:$A$7, 0)),1)</f>
        <v>420</v>
      </c>
      <c r="M2046" s="6" t="n">
        <f aca="false">ROUND(INDEX(Archetypes!$J$2:$J$127, MATCH(D2046, Archetypes!$A$2:$A$127, 0))*INDEX(Unit_Grades!$D$2:$D$7, MATCH(F2046, Unit_Grades!$A$2:$A$7, 0)),1)</f>
        <v>426.2</v>
      </c>
      <c r="N2046" s="6" t="n">
        <f aca="false">ROUND(M2046/24,2)</f>
        <v>17.76</v>
      </c>
    </row>
    <row r="2047" customFormat="false" ht="15" hidden="false" customHeight="true" outlineLevel="0" collapsed="false">
      <c r="A2047" s="6" t="n">
        <v>7</v>
      </c>
      <c r="B2047" s="6" t="s">
        <v>3501</v>
      </c>
      <c r="C2047" s="6" t="s">
        <v>1507</v>
      </c>
      <c r="D2047" s="6" t="str">
        <f aca="false">A2047&amp;"|"&amp;C2047</f>
        <v>7|Echo Agent</v>
      </c>
      <c r="E2047" s="6" t="s">
        <v>1558</v>
      </c>
      <c r="F2047" s="6" t="s">
        <v>1548</v>
      </c>
      <c r="G2047" s="6" t="str">
        <f aca="false">INDEX(Archetypes!$D$2:$D$127, MATCH(D2047, Archetypes!$A$2:$A$127, 0))</f>
        <v>Agent</v>
      </c>
      <c r="H2047" s="6" t="n">
        <f aca="false">ROUND(INDEX(Archetypes!$E$2:$E$127, MATCH(D2047, Archetypes!$A$2:$A$127, 0))*INDEX(Unit_Grades!$B$2:$B$7, MATCH(F2047, Unit_Grades!$A$2:$A$7, 0))*INDEX(Unit_Paths!$B$2:$B$4, MATCH(E2047, Unit_Paths!$A$2:$A$4, 0)),1)</f>
        <v>4536</v>
      </c>
      <c r="I2047" s="6" t="n">
        <f aca="false">ROUND(INDEX(Archetypes!$F$2:$F$127, MATCH(D2047, Archetypes!$A$2:$A$127, 0))*INDEX(Unit_Grades!$B$2:$B$7, MATCH(F2047, Unit_Grades!$A$2:$A$7, 0))*INDEX(Unit_Paths!$C$2:$C$4, MATCH(E2047, Unit_Paths!$A$2:$A$4, 0)),1)</f>
        <v>1785</v>
      </c>
      <c r="J2047" s="6" t="n">
        <f aca="false">ROUND(INDEX(Archetypes!$G$2:$G$127, MATCH(D2047, Archetypes!$A$2:$A$127, 0))*INDEX(Unit_Grades!$B$2:$B$7, MATCH(F2047, Unit_Grades!$A$2:$A$7, 0))*INDEX(Unit_Paths!$D$2:$D$4, MATCH(E2047, Unit_Paths!$A$2:$A$4, 0)),0)</f>
        <v>11970</v>
      </c>
      <c r="K2047" s="6" t="n">
        <f aca="false">ROUND(INDEX(Archetypes!$H$2:$H$127, MATCH(D2047, Archetypes!$A$2:$A$127, 0))*INDEX(Unit_Paths!$E$2:$E$4, MATCH(E2047, Unit_Paths!$A$2:$A$4, 0)),1)</f>
        <v>126</v>
      </c>
      <c r="L2047" s="6" t="n">
        <f aca="false">ROUND(INDEX(Archetypes!$I$2:$I$127, MATCH(D2047, Archetypes!$A$2:$A$127, 0))*INDEX(Unit_Grades!$C$2:$C$7, MATCH(F2047, Unit_Grades!$A$2:$A$7, 0)),1)</f>
        <v>555</v>
      </c>
      <c r="M2047" s="6" t="n">
        <f aca="false">ROUND(INDEX(Archetypes!$J$2:$J$127, MATCH(D2047, Archetypes!$A$2:$A$127, 0))*INDEX(Unit_Grades!$D$2:$D$7, MATCH(F2047, Unit_Grades!$A$2:$A$7, 0)),1)</f>
        <v>730.6</v>
      </c>
      <c r="N2047" s="6" t="n">
        <f aca="false">ROUND(M2047/24,2)</f>
        <v>30.44</v>
      </c>
    </row>
    <row r="2048" customFormat="false" ht="15" hidden="false" customHeight="true" outlineLevel="0" collapsed="false">
      <c r="A2048" s="6" t="n">
        <v>7</v>
      </c>
      <c r="B2048" s="6" t="s">
        <v>3502</v>
      </c>
      <c r="C2048" s="6" t="s">
        <v>1507</v>
      </c>
      <c r="D2048" s="6" t="str">
        <f aca="false">A2048&amp;"|"&amp;C2048</f>
        <v>7|Echo Agent</v>
      </c>
      <c r="E2048" s="6" t="s">
        <v>1560</v>
      </c>
      <c r="F2048" s="6" t="s">
        <v>1538</v>
      </c>
      <c r="G2048" s="6" t="str">
        <f aca="false">INDEX(Archetypes!$D$2:$D$127, MATCH(D2048, Archetypes!$A$2:$A$127, 0))</f>
        <v>Agent</v>
      </c>
      <c r="H2048" s="6" t="n">
        <f aca="false">ROUND(INDEX(Archetypes!$E$2:$E$127, MATCH(D2048, Archetypes!$A$2:$A$127, 0))*INDEX(Unit_Grades!$B$2:$B$7, MATCH(F2048, Unit_Grades!$A$2:$A$7, 0))*INDEX(Unit_Paths!$B$2:$B$4, MATCH(E2048, Unit_Paths!$A$2:$A$4, 0)),1)</f>
        <v>765</v>
      </c>
      <c r="I2048" s="6" t="n">
        <f aca="false">ROUND(INDEX(Archetypes!$F$2:$F$127, MATCH(D2048, Archetypes!$A$2:$A$127, 0))*INDEX(Unit_Grades!$B$2:$B$7, MATCH(F2048, Unit_Grades!$A$2:$A$7, 0))*INDEX(Unit_Paths!$C$2:$C$4, MATCH(E2048, Unit_Paths!$A$2:$A$4, 0)),1)</f>
        <v>625</v>
      </c>
      <c r="J2048" s="6" t="n">
        <f aca="false">ROUND(INDEX(Archetypes!$G$2:$G$127, MATCH(D2048, Archetypes!$A$2:$A$127, 0))*INDEX(Unit_Grades!$B$2:$B$7, MATCH(F2048, Unit_Grades!$A$2:$A$7, 0))*INDEX(Unit_Paths!$D$2:$D$4, MATCH(E2048, Unit_Paths!$A$2:$A$4, 0)),0)</f>
        <v>3450</v>
      </c>
      <c r="K2048" s="6" t="n">
        <f aca="false">ROUND(INDEX(Archetypes!$H$2:$H$127, MATCH(D2048, Archetypes!$A$2:$A$127, 0))*INDEX(Unit_Paths!$E$2:$E$4, MATCH(E2048, Unit_Paths!$A$2:$A$4, 0)),1)</f>
        <v>110.4</v>
      </c>
      <c r="L2048" s="6" t="n">
        <f aca="false">ROUND(INDEX(Archetypes!$I$2:$I$127, MATCH(D2048, Archetypes!$A$2:$A$127, 0))*INDEX(Unit_Grades!$C$2:$C$7, MATCH(F2048, Unit_Grades!$A$2:$A$7, 0)),1)</f>
        <v>150</v>
      </c>
      <c r="M2048" s="6" t="n">
        <f aca="false">ROUND(INDEX(Archetypes!$J$2:$J$127, MATCH(D2048, Archetypes!$A$2:$A$127, 0))*INDEX(Unit_Grades!$D$2:$D$7, MATCH(F2048, Unit_Grades!$A$2:$A$7, 0)),1)</f>
        <v>60.9</v>
      </c>
      <c r="N2048" s="6" t="n">
        <f aca="false">ROUND(M2048/24,2)</f>
        <v>2.54</v>
      </c>
    </row>
    <row r="2049" customFormat="false" ht="15" hidden="false" customHeight="true" outlineLevel="0" collapsed="false">
      <c r="A2049" s="6" t="n">
        <v>7</v>
      </c>
      <c r="B2049" s="6" t="s">
        <v>3503</v>
      </c>
      <c r="C2049" s="6" t="s">
        <v>1507</v>
      </c>
      <c r="D2049" s="6" t="str">
        <f aca="false">A2049&amp;"|"&amp;C2049</f>
        <v>7|Echo Agent</v>
      </c>
      <c r="E2049" s="6" t="s">
        <v>1560</v>
      </c>
      <c r="F2049" s="6" t="s">
        <v>1540</v>
      </c>
      <c r="G2049" s="6" t="str">
        <f aca="false">INDEX(Archetypes!$D$2:$D$127, MATCH(D2049, Archetypes!$A$2:$A$127, 0))</f>
        <v>Agent</v>
      </c>
      <c r="H2049" s="6" t="n">
        <f aca="false">ROUND(INDEX(Archetypes!$E$2:$E$127, MATCH(D2049, Archetypes!$A$2:$A$127, 0))*INDEX(Unit_Grades!$B$2:$B$7, MATCH(F2049, Unit_Grades!$A$2:$A$7, 0))*INDEX(Unit_Paths!$B$2:$B$4, MATCH(E2049, Unit_Paths!$A$2:$A$4, 0)),1)</f>
        <v>1032.8</v>
      </c>
      <c r="I2049" s="6" t="n">
        <f aca="false">ROUND(INDEX(Archetypes!$F$2:$F$127, MATCH(D2049, Archetypes!$A$2:$A$127, 0))*INDEX(Unit_Grades!$B$2:$B$7, MATCH(F2049, Unit_Grades!$A$2:$A$7, 0))*INDEX(Unit_Paths!$C$2:$C$4, MATCH(E2049, Unit_Paths!$A$2:$A$4, 0)),1)</f>
        <v>843.8</v>
      </c>
      <c r="J2049" s="6" t="n">
        <f aca="false">ROUND(INDEX(Archetypes!$G$2:$G$127, MATCH(D2049, Archetypes!$A$2:$A$127, 0))*INDEX(Unit_Grades!$B$2:$B$7, MATCH(F2049, Unit_Grades!$A$2:$A$7, 0))*INDEX(Unit_Paths!$D$2:$D$4, MATCH(E2049, Unit_Paths!$A$2:$A$4, 0)),0)</f>
        <v>4658</v>
      </c>
      <c r="K2049" s="6" t="n">
        <f aca="false">ROUND(INDEX(Archetypes!$H$2:$H$127, MATCH(D2049, Archetypes!$A$2:$A$127, 0))*INDEX(Unit_Paths!$E$2:$E$4, MATCH(E2049, Unit_Paths!$A$2:$A$4, 0)),1)</f>
        <v>110.4</v>
      </c>
      <c r="L2049" s="6" t="n">
        <f aca="false">ROUND(INDEX(Archetypes!$I$2:$I$127, MATCH(D2049, Archetypes!$A$2:$A$127, 0))*INDEX(Unit_Grades!$C$2:$C$7, MATCH(F2049, Unit_Grades!$A$2:$A$7, 0)),1)</f>
        <v>187.5</v>
      </c>
      <c r="M2049" s="6" t="n">
        <f aca="false">ROUND(INDEX(Archetypes!$J$2:$J$127, MATCH(D2049, Archetypes!$A$2:$A$127, 0))*INDEX(Unit_Grades!$D$2:$D$7, MATCH(F2049, Unit_Grades!$A$2:$A$7, 0)),1)</f>
        <v>91.3</v>
      </c>
      <c r="N2049" s="6" t="n">
        <f aca="false">ROUND(M2049/24,2)</f>
        <v>3.8</v>
      </c>
    </row>
    <row r="2050" customFormat="false" ht="15" hidden="false" customHeight="true" outlineLevel="0" collapsed="false">
      <c r="A2050" s="6" t="n">
        <v>7</v>
      </c>
      <c r="B2050" s="6" t="s">
        <v>3504</v>
      </c>
      <c r="C2050" s="6" t="s">
        <v>1507</v>
      </c>
      <c r="D2050" s="6" t="str">
        <f aca="false">A2050&amp;"|"&amp;C2050</f>
        <v>7|Echo Agent</v>
      </c>
      <c r="E2050" s="6" t="s">
        <v>1560</v>
      </c>
      <c r="F2050" s="6" t="s">
        <v>1542</v>
      </c>
      <c r="G2050" s="6" t="str">
        <f aca="false">INDEX(Archetypes!$D$2:$D$127, MATCH(D2050, Archetypes!$A$2:$A$127, 0))</f>
        <v>Agent</v>
      </c>
      <c r="H2050" s="6" t="n">
        <f aca="false">ROUND(INDEX(Archetypes!$E$2:$E$127, MATCH(D2050, Archetypes!$A$2:$A$127, 0))*INDEX(Unit_Grades!$B$2:$B$7, MATCH(F2050, Unit_Grades!$A$2:$A$7, 0))*INDEX(Unit_Paths!$B$2:$B$4, MATCH(E2050, Unit_Paths!$A$2:$A$4, 0)),1)</f>
        <v>1377</v>
      </c>
      <c r="I2050" s="6" t="n">
        <f aca="false">ROUND(INDEX(Archetypes!$F$2:$F$127, MATCH(D2050, Archetypes!$A$2:$A$127, 0))*INDEX(Unit_Grades!$B$2:$B$7, MATCH(F2050, Unit_Grades!$A$2:$A$7, 0))*INDEX(Unit_Paths!$C$2:$C$4, MATCH(E2050, Unit_Paths!$A$2:$A$4, 0)),1)</f>
        <v>1125</v>
      </c>
      <c r="J2050" s="6" t="n">
        <f aca="false">ROUND(INDEX(Archetypes!$G$2:$G$127, MATCH(D2050, Archetypes!$A$2:$A$127, 0))*INDEX(Unit_Grades!$B$2:$B$7, MATCH(F2050, Unit_Grades!$A$2:$A$7, 0))*INDEX(Unit_Paths!$D$2:$D$4, MATCH(E2050, Unit_Paths!$A$2:$A$4, 0)),0)</f>
        <v>6210</v>
      </c>
      <c r="K2050" s="6" t="n">
        <f aca="false">ROUND(INDEX(Archetypes!$H$2:$H$127, MATCH(D2050, Archetypes!$A$2:$A$127, 0))*INDEX(Unit_Paths!$E$2:$E$4, MATCH(E2050, Unit_Paths!$A$2:$A$4, 0)),1)</f>
        <v>110.4</v>
      </c>
      <c r="L2050" s="6" t="n">
        <f aca="false">ROUND(INDEX(Archetypes!$I$2:$I$127, MATCH(D2050, Archetypes!$A$2:$A$127, 0))*INDEX(Unit_Grades!$C$2:$C$7, MATCH(F2050, Unit_Grades!$A$2:$A$7, 0)),1)</f>
        <v>240</v>
      </c>
      <c r="M2050" s="6" t="n">
        <f aca="false">ROUND(INDEX(Archetypes!$J$2:$J$127, MATCH(D2050, Archetypes!$A$2:$A$127, 0))*INDEX(Unit_Grades!$D$2:$D$7, MATCH(F2050, Unit_Grades!$A$2:$A$7, 0)),1)</f>
        <v>152.2</v>
      </c>
      <c r="N2050" s="6" t="n">
        <f aca="false">ROUND(M2050/24,2)</f>
        <v>6.34</v>
      </c>
    </row>
    <row r="2051" customFormat="false" ht="15" hidden="false" customHeight="true" outlineLevel="0" collapsed="false">
      <c r="A2051" s="6" t="n">
        <v>7</v>
      </c>
      <c r="B2051" s="6" t="s">
        <v>3505</v>
      </c>
      <c r="C2051" s="6" t="s">
        <v>1507</v>
      </c>
      <c r="D2051" s="6" t="str">
        <f aca="false">A2051&amp;"|"&amp;C2051</f>
        <v>7|Echo Agent</v>
      </c>
      <c r="E2051" s="6" t="s">
        <v>1560</v>
      </c>
      <c r="F2051" s="6" t="s">
        <v>1544</v>
      </c>
      <c r="G2051" s="6" t="str">
        <f aca="false">INDEX(Archetypes!$D$2:$D$127, MATCH(D2051, Archetypes!$A$2:$A$127, 0))</f>
        <v>Agent</v>
      </c>
      <c r="H2051" s="6" t="n">
        <f aca="false">ROUND(INDEX(Archetypes!$E$2:$E$127, MATCH(D2051, Archetypes!$A$2:$A$127, 0))*INDEX(Unit_Grades!$B$2:$B$7, MATCH(F2051, Unit_Grades!$A$2:$A$7, 0))*INDEX(Unit_Paths!$B$2:$B$4, MATCH(E2051, Unit_Paths!$A$2:$A$4, 0)),1)</f>
        <v>1836</v>
      </c>
      <c r="I2051" s="6" t="n">
        <f aca="false">ROUND(INDEX(Archetypes!$F$2:$F$127, MATCH(D2051, Archetypes!$A$2:$A$127, 0))*INDEX(Unit_Grades!$B$2:$B$7, MATCH(F2051, Unit_Grades!$A$2:$A$7, 0))*INDEX(Unit_Paths!$C$2:$C$4, MATCH(E2051, Unit_Paths!$A$2:$A$4, 0)),1)</f>
        <v>1500</v>
      </c>
      <c r="J2051" s="6" t="n">
        <f aca="false">ROUND(INDEX(Archetypes!$G$2:$G$127, MATCH(D2051, Archetypes!$A$2:$A$127, 0))*INDEX(Unit_Grades!$B$2:$B$7, MATCH(F2051, Unit_Grades!$A$2:$A$7, 0))*INDEX(Unit_Paths!$D$2:$D$4, MATCH(E2051, Unit_Paths!$A$2:$A$4, 0)),0)</f>
        <v>8280</v>
      </c>
      <c r="K2051" s="6" t="n">
        <f aca="false">ROUND(INDEX(Archetypes!$H$2:$H$127, MATCH(D2051, Archetypes!$A$2:$A$127, 0))*INDEX(Unit_Paths!$E$2:$E$4, MATCH(E2051, Unit_Paths!$A$2:$A$4, 0)),1)</f>
        <v>110.4</v>
      </c>
      <c r="L2051" s="6" t="n">
        <f aca="false">ROUND(INDEX(Archetypes!$I$2:$I$127, MATCH(D2051, Archetypes!$A$2:$A$127, 0))*INDEX(Unit_Grades!$C$2:$C$7, MATCH(F2051, Unit_Grades!$A$2:$A$7, 0)),1)</f>
        <v>315</v>
      </c>
      <c r="M2051" s="6" t="n">
        <f aca="false">ROUND(INDEX(Archetypes!$J$2:$J$127, MATCH(D2051, Archetypes!$A$2:$A$127, 0))*INDEX(Unit_Grades!$D$2:$D$7, MATCH(F2051, Unit_Grades!$A$2:$A$7, 0)),1)</f>
        <v>243.5</v>
      </c>
      <c r="N2051" s="6" t="n">
        <f aca="false">ROUND(M2051/24,2)</f>
        <v>10.15</v>
      </c>
    </row>
    <row r="2052" customFormat="false" ht="15" hidden="false" customHeight="true" outlineLevel="0" collapsed="false">
      <c r="A2052" s="6" t="n">
        <v>7</v>
      </c>
      <c r="B2052" s="6" t="s">
        <v>3506</v>
      </c>
      <c r="C2052" s="6" t="s">
        <v>1507</v>
      </c>
      <c r="D2052" s="6" t="str">
        <f aca="false">A2052&amp;"|"&amp;C2052</f>
        <v>7|Echo Agent</v>
      </c>
      <c r="E2052" s="6" t="s">
        <v>1560</v>
      </c>
      <c r="F2052" s="6" t="s">
        <v>1546</v>
      </c>
      <c r="G2052" s="6" t="str">
        <f aca="false">INDEX(Archetypes!$D$2:$D$127, MATCH(D2052, Archetypes!$A$2:$A$127, 0))</f>
        <v>Agent</v>
      </c>
      <c r="H2052" s="6" t="n">
        <f aca="false">ROUND(INDEX(Archetypes!$E$2:$E$127, MATCH(D2052, Archetypes!$A$2:$A$127, 0))*INDEX(Unit_Grades!$B$2:$B$7, MATCH(F2052, Unit_Grades!$A$2:$A$7, 0))*INDEX(Unit_Paths!$B$2:$B$4, MATCH(E2052, Unit_Paths!$A$2:$A$4, 0)),1)</f>
        <v>2448</v>
      </c>
      <c r="I2052" s="6" t="n">
        <f aca="false">ROUND(INDEX(Archetypes!$F$2:$F$127, MATCH(D2052, Archetypes!$A$2:$A$127, 0))*INDEX(Unit_Grades!$B$2:$B$7, MATCH(F2052, Unit_Grades!$A$2:$A$7, 0))*INDEX(Unit_Paths!$C$2:$C$4, MATCH(E2052, Unit_Paths!$A$2:$A$4, 0)),1)</f>
        <v>2000</v>
      </c>
      <c r="J2052" s="6" t="n">
        <f aca="false">ROUND(INDEX(Archetypes!$G$2:$G$127, MATCH(D2052, Archetypes!$A$2:$A$127, 0))*INDEX(Unit_Grades!$B$2:$B$7, MATCH(F2052, Unit_Grades!$A$2:$A$7, 0))*INDEX(Unit_Paths!$D$2:$D$4, MATCH(E2052, Unit_Paths!$A$2:$A$4, 0)),0)</f>
        <v>11040</v>
      </c>
      <c r="K2052" s="6" t="n">
        <f aca="false">ROUND(INDEX(Archetypes!$H$2:$H$127, MATCH(D2052, Archetypes!$A$2:$A$127, 0))*INDEX(Unit_Paths!$E$2:$E$4, MATCH(E2052, Unit_Paths!$A$2:$A$4, 0)),1)</f>
        <v>110.4</v>
      </c>
      <c r="L2052" s="6" t="n">
        <f aca="false">ROUND(INDEX(Archetypes!$I$2:$I$127, MATCH(D2052, Archetypes!$A$2:$A$127, 0))*INDEX(Unit_Grades!$C$2:$C$7, MATCH(F2052, Unit_Grades!$A$2:$A$7, 0)),1)</f>
        <v>420</v>
      </c>
      <c r="M2052" s="6" t="n">
        <f aca="false">ROUND(INDEX(Archetypes!$J$2:$J$127, MATCH(D2052, Archetypes!$A$2:$A$127, 0))*INDEX(Unit_Grades!$D$2:$D$7, MATCH(F2052, Unit_Grades!$A$2:$A$7, 0)),1)</f>
        <v>426.2</v>
      </c>
      <c r="N2052" s="6" t="n">
        <f aca="false">ROUND(M2052/24,2)</f>
        <v>17.76</v>
      </c>
    </row>
    <row r="2053" customFormat="false" ht="15" hidden="false" customHeight="true" outlineLevel="0" collapsed="false">
      <c r="A2053" s="6" t="n">
        <v>7</v>
      </c>
      <c r="B2053" s="6" t="s">
        <v>3507</v>
      </c>
      <c r="C2053" s="6" t="s">
        <v>1507</v>
      </c>
      <c r="D2053" s="6" t="str">
        <f aca="false">A2053&amp;"|"&amp;C2053</f>
        <v>7|Echo Agent</v>
      </c>
      <c r="E2053" s="6" t="s">
        <v>1560</v>
      </c>
      <c r="F2053" s="6" t="s">
        <v>1548</v>
      </c>
      <c r="G2053" s="6" t="str">
        <f aca="false">INDEX(Archetypes!$D$2:$D$127, MATCH(D2053, Archetypes!$A$2:$A$127, 0))</f>
        <v>Agent</v>
      </c>
      <c r="H2053" s="6" t="n">
        <f aca="false">ROUND(INDEX(Archetypes!$E$2:$E$127, MATCH(D2053, Archetypes!$A$2:$A$127, 0))*INDEX(Unit_Grades!$B$2:$B$7, MATCH(F2053, Unit_Grades!$A$2:$A$7, 0))*INDEX(Unit_Paths!$B$2:$B$4, MATCH(E2053, Unit_Paths!$A$2:$A$4, 0)),1)</f>
        <v>3213</v>
      </c>
      <c r="I2053" s="6" t="n">
        <f aca="false">ROUND(INDEX(Archetypes!$F$2:$F$127, MATCH(D2053, Archetypes!$A$2:$A$127, 0))*INDEX(Unit_Grades!$B$2:$B$7, MATCH(F2053, Unit_Grades!$A$2:$A$7, 0))*INDEX(Unit_Paths!$C$2:$C$4, MATCH(E2053, Unit_Paths!$A$2:$A$4, 0)),1)</f>
        <v>2625</v>
      </c>
      <c r="J2053" s="6" t="n">
        <f aca="false">ROUND(INDEX(Archetypes!$G$2:$G$127, MATCH(D2053, Archetypes!$A$2:$A$127, 0))*INDEX(Unit_Grades!$B$2:$B$7, MATCH(F2053, Unit_Grades!$A$2:$A$7, 0))*INDEX(Unit_Paths!$D$2:$D$4, MATCH(E2053, Unit_Paths!$A$2:$A$4, 0)),0)</f>
        <v>14490</v>
      </c>
      <c r="K2053" s="6" t="n">
        <f aca="false">ROUND(INDEX(Archetypes!$H$2:$H$127, MATCH(D2053, Archetypes!$A$2:$A$127, 0))*INDEX(Unit_Paths!$E$2:$E$4, MATCH(E2053, Unit_Paths!$A$2:$A$4, 0)),1)</f>
        <v>110.4</v>
      </c>
      <c r="L2053" s="6" t="n">
        <f aca="false">ROUND(INDEX(Archetypes!$I$2:$I$127, MATCH(D2053, Archetypes!$A$2:$A$127, 0))*INDEX(Unit_Grades!$C$2:$C$7, MATCH(F2053, Unit_Grades!$A$2:$A$7, 0)),1)</f>
        <v>555</v>
      </c>
      <c r="M2053" s="6" t="n">
        <f aca="false">ROUND(INDEX(Archetypes!$J$2:$J$127, MATCH(D2053, Archetypes!$A$2:$A$127, 0))*INDEX(Unit_Grades!$D$2:$D$7, MATCH(F2053, Unit_Grades!$A$2:$A$7, 0)),1)</f>
        <v>730.6</v>
      </c>
      <c r="N2053" s="6" t="n">
        <f aca="false">ROUND(M2053/24,2)</f>
        <v>30.44</v>
      </c>
    </row>
    <row r="2054" customFormat="false" ht="15" hidden="false" customHeight="true" outlineLevel="0" collapsed="false">
      <c r="A2054" s="6" t="n">
        <v>7</v>
      </c>
      <c r="B2054" s="6" t="s">
        <v>1509</v>
      </c>
      <c r="C2054" s="6" t="s">
        <v>1509</v>
      </c>
      <c r="D2054" s="6" t="str">
        <f aca="false">A2054&amp;"|"&amp;C2054</f>
        <v>7|Continuum Bastion</v>
      </c>
      <c r="E2054" s="6" t="s">
        <v>1556</v>
      </c>
      <c r="F2054" s="6" t="s">
        <v>1538</v>
      </c>
      <c r="G2054" s="6" t="str">
        <f aca="false">INDEX(Archetypes!$D$2:$D$127, MATCH(D2054, Archetypes!$A$2:$A$127, 0))</f>
        <v>Static Defense</v>
      </c>
      <c r="H2054" s="6" t="n">
        <f aca="false">ROUND(INDEX(Archetypes!$E$2:$E$127, MATCH(D2054, Archetypes!$A$2:$A$127, 0))*INDEX(Unit_Grades!$B$2:$B$7, MATCH(F2054, Unit_Grades!$A$2:$A$7, 0))*INDEX(Unit_Paths!$B$2:$B$4, MATCH(E2054, Unit_Paths!$A$2:$A$4, 0)),1)</f>
        <v>2400</v>
      </c>
      <c r="I2054" s="6" t="n">
        <f aca="false">ROUND(INDEX(Archetypes!$F$2:$F$127, MATCH(D2054, Archetypes!$A$2:$A$127, 0))*INDEX(Unit_Grades!$B$2:$B$7, MATCH(F2054, Unit_Grades!$A$2:$A$7, 0))*INDEX(Unit_Paths!$C$2:$C$4, MATCH(E2054, Unit_Paths!$A$2:$A$4, 0)),1)</f>
        <v>2600</v>
      </c>
      <c r="J2054" s="6" t="n">
        <f aca="false">ROUND(INDEX(Archetypes!$G$2:$G$127, MATCH(D2054, Archetypes!$A$2:$A$127, 0))*INDEX(Unit_Grades!$B$2:$B$7, MATCH(F2054, Unit_Grades!$A$2:$A$7, 0))*INDEX(Unit_Paths!$D$2:$D$4, MATCH(E2054, Unit_Paths!$A$2:$A$4, 0)),0)</f>
        <v>16000</v>
      </c>
      <c r="K2054" s="6" t="n">
        <f aca="false">ROUND(INDEX(Archetypes!$H$2:$H$127, MATCH(D2054, Archetypes!$A$2:$A$127, 0))*INDEX(Unit_Paths!$E$2:$E$4, MATCH(E2054, Unit_Paths!$A$2:$A$4, 0)),1)</f>
        <v>10</v>
      </c>
      <c r="L2054" s="6" t="n">
        <f aca="false">ROUND(INDEX(Archetypes!$I$2:$I$127, MATCH(D2054, Archetypes!$A$2:$A$127, 0))*INDEX(Unit_Grades!$C$2:$C$7, MATCH(F2054, Unit_Grades!$A$2:$A$7, 0)),1)</f>
        <v>300</v>
      </c>
      <c r="M2054" s="6" t="n">
        <f aca="false">ROUND(INDEX(Archetypes!$J$2:$J$127, MATCH(D2054, Archetypes!$A$2:$A$127, 0))*INDEX(Unit_Grades!$D$2:$D$7, MATCH(F2054, Unit_Grades!$A$2:$A$7, 0)),1)</f>
        <v>121.8</v>
      </c>
      <c r="N2054" s="6" t="n">
        <f aca="false">ROUND(M2054/24,2)</f>
        <v>5.08</v>
      </c>
    </row>
    <row r="2055" customFormat="false" ht="15" hidden="false" customHeight="true" outlineLevel="0" collapsed="false">
      <c r="A2055" s="6" t="n">
        <v>7</v>
      </c>
      <c r="B2055" s="6" t="s">
        <v>3508</v>
      </c>
      <c r="C2055" s="6" t="s">
        <v>1509</v>
      </c>
      <c r="D2055" s="6" t="str">
        <f aca="false">A2055&amp;"|"&amp;C2055</f>
        <v>7|Continuum Bastion</v>
      </c>
      <c r="E2055" s="6" t="s">
        <v>1556</v>
      </c>
      <c r="F2055" s="6" t="s">
        <v>1540</v>
      </c>
      <c r="G2055" s="6" t="str">
        <f aca="false">INDEX(Archetypes!$D$2:$D$127, MATCH(D2055, Archetypes!$A$2:$A$127, 0))</f>
        <v>Static Defense</v>
      </c>
      <c r="H2055" s="6" t="n">
        <f aca="false">ROUND(INDEX(Archetypes!$E$2:$E$127, MATCH(D2055, Archetypes!$A$2:$A$127, 0))*INDEX(Unit_Grades!$B$2:$B$7, MATCH(F2055, Unit_Grades!$A$2:$A$7, 0))*INDEX(Unit_Paths!$B$2:$B$4, MATCH(E2055, Unit_Paths!$A$2:$A$4, 0)),1)</f>
        <v>3240</v>
      </c>
      <c r="I2055" s="6" t="n">
        <f aca="false">ROUND(INDEX(Archetypes!$F$2:$F$127, MATCH(D2055, Archetypes!$A$2:$A$127, 0))*INDEX(Unit_Grades!$B$2:$B$7, MATCH(F2055, Unit_Grades!$A$2:$A$7, 0))*INDEX(Unit_Paths!$C$2:$C$4, MATCH(E2055, Unit_Paths!$A$2:$A$4, 0)),1)</f>
        <v>3510</v>
      </c>
      <c r="J2055" s="6" t="n">
        <f aca="false">ROUND(INDEX(Archetypes!$G$2:$G$127, MATCH(D2055, Archetypes!$A$2:$A$127, 0))*INDEX(Unit_Grades!$B$2:$B$7, MATCH(F2055, Unit_Grades!$A$2:$A$7, 0))*INDEX(Unit_Paths!$D$2:$D$4, MATCH(E2055, Unit_Paths!$A$2:$A$4, 0)),0)</f>
        <v>21600</v>
      </c>
      <c r="K2055" s="6" t="n">
        <f aca="false">ROUND(INDEX(Archetypes!$H$2:$H$127, MATCH(D2055, Archetypes!$A$2:$A$127, 0))*INDEX(Unit_Paths!$E$2:$E$4, MATCH(E2055, Unit_Paths!$A$2:$A$4, 0)),1)</f>
        <v>10</v>
      </c>
      <c r="L2055" s="6" t="n">
        <f aca="false">ROUND(INDEX(Archetypes!$I$2:$I$127, MATCH(D2055, Archetypes!$A$2:$A$127, 0))*INDEX(Unit_Grades!$C$2:$C$7, MATCH(F2055, Unit_Grades!$A$2:$A$7, 0)),1)</f>
        <v>375</v>
      </c>
      <c r="M2055" s="6" t="n">
        <f aca="false">ROUND(INDEX(Archetypes!$J$2:$J$127, MATCH(D2055, Archetypes!$A$2:$A$127, 0))*INDEX(Unit_Grades!$D$2:$D$7, MATCH(F2055, Unit_Grades!$A$2:$A$7, 0)),1)</f>
        <v>182.6</v>
      </c>
      <c r="N2055" s="6" t="n">
        <f aca="false">ROUND(M2055/24,2)</f>
        <v>7.61</v>
      </c>
    </row>
    <row r="2056" customFormat="false" ht="15" hidden="false" customHeight="true" outlineLevel="0" collapsed="false">
      <c r="A2056" s="6" t="n">
        <v>7</v>
      </c>
      <c r="B2056" s="6" t="s">
        <v>3509</v>
      </c>
      <c r="C2056" s="6" t="s">
        <v>1509</v>
      </c>
      <c r="D2056" s="6" t="str">
        <f aca="false">A2056&amp;"|"&amp;C2056</f>
        <v>7|Continuum Bastion</v>
      </c>
      <c r="E2056" s="6" t="s">
        <v>1556</v>
      </c>
      <c r="F2056" s="6" t="s">
        <v>1542</v>
      </c>
      <c r="G2056" s="6" t="str">
        <f aca="false">INDEX(Archetypes!$D$2:$D$127, MATCH(D2056, Archetypes!$A$2:$A$127, 0))</f>
        <v>Static Defense</v>
      </c>
      <c r="H2056" s="6" t="n">
        <f aca="false">ROUND(INDEX(Archetypes!$E$2:$E$127, MATCH(D2056, Archetypes!$A$2:$A$127, 0))*INDEX(Unit_Grades!$B$2:$B$7, MATCH(F2056, Unit_Grades!$A$2:$A$7, 0))*INDEX(Unit_Paths!$B$2:$B$4, MATCH(E2056, Unit_Paths!$A$2:$A$4, 0)),1)</f>
        <v>4320</v>
      </c>
      <c r="I2056" s="6" t="n">
        <f aca="false">ROUND(INDEX(Archetypes!$F$2:$F$127, MATCH(D2056, Archetypes!$A$2:$A$127, 0))*INDEX(Unit_Grades!$B$2:$B$7, MATCH(F2056, Unit_Grades!$A$2:$A$7, 0))*INDEX(Unit_Paths!$C$2:$C$4, MATCH(E2056, Unit_Paths!$A$2:$A$4, 0)),1)</f>
        <v>4680</v>
      </c>
      <c r="J2056" s="6" t="n">
        <f aca="false">ROUND(INDEX(Archetypes!$G$2:$G$127, MATCH(D2056, Archetypes!$A$2:$A$127, 0))*INDEX(Unit_Grades!$B$2:$B$7, MATCH(F2056, Unit_Grades!$A$2:$A$7, 0))*INDEX(Unit_Paths!$D$2:$D$4, MATCH(E2056, Unit_Paths!$A$2:$A$4, 0)),0)</f>
        <v>28800</v>
      </c>
      <c r="K2056" s="6" t="n">
        <f aca="false">ROUND(INDEX(Archetypes!$H$2:$H$127, MATCH(D2056, Archetypes!$A$2:$A$127, 0))*INDEX(Unit_Paths!$E$2:$E$4, MATCH(E2056, Unit_Paths!$A$2:$A$4, 0)),1)</f>
        <v>10</v>
      </c>
      <c r="L2056" s="6" t="n">
        <f aca="false">ROUND(INDEX(Archetypes!$I$2:$I$127, MATCH(D2056, Archetypes!$A$2:$A$127, 0))*INDEX(Unit_Grades!$C$2:$C$7, MATCH(F2056, Unit_Grades!$A$2:$A$7, 0)),1)</f>
        <v>480</v>
      </c>
      <c r="M2056" s="6" t="n">
        <f aca="false">ROUND(INDEX(Archetypes!$J$2:$J$127, MATCH(D2056, Archetypes!$A$2:$A$127, 0))*INDEX(Unit_Grades!$D$2:$D$7, MATCH(F2056, Unit_Grades!$A$2:$A$7, 0)),1)</f>
        <v>304.4</v>
      </c>
      <c r="N2056" s="6" t="n">
        <f aca="false">ROUND(M2056/24,2)</f>
        <v>12.68</v>
      </c>
    </row>
    <row r="2057" customFormat="false" ht="15" hidden="false" customHeight="true" outlineLevel="0" collapsed="false">
      <c r="A2057" s="6" t="n">
        <v>7</v>
      </c>
      <c r="B2057" s="6" t="s">
        <v>3510</v>
      </c>
      <c r="C2057" s="6" t="s">
        <v>1509</v>
      </c>
      <c r="D2057" s="6" t="str">
        <f aca="false">A2057&amp;"|"&amp;C2057</f>
        <v>7|Continuum Bastion</v>
      </c>
      <c r="E2057" s="6" t="s">
        <v>1556</v>
      </c>
      <c r="F2057" s="6" t="s">
        <v>1544</v>
      </c>
      <c r="G2057" s="6" t="str">
        <f aca="false">INDEX(Archetypes!$D$2:$D$127, MATCH(D2057, Archetypes!$A$2:$A$127, 0))</f>
        <v>Static Defense</v>
      </c>
      <c r="H2057" s="6" t="n">
        <f aca="false">ROUND(INDEX(Archetypes!$E$2:$E$127, MATCH(D2057, Archetypes!$A$2:$A$127, 0))*INDEX(Unit_Grades!$B$2:$B$7, MATCH(F2057, Unit_Grades!$A$2:$A$7, 0))*INDEX(Unit_Paths!$B$2:$B$4, MATCH(E2057, Unit_Paths!$A$2:$A$4, 0)),1)</f>
        <v>5760</v>
      </c>
      <c r="I2057" s="6" t="n">
        <f aca="false">ROUND(INDEX(Archetypes!$F$2:$F$127, MATCH(D2057, Archetypes!$A$2:$A$127, 0))*INDEX(Unit_Grades!$B$2:$B$7, MATCH(F2057, Unit_Grades!$A$2:$A$7, 0))*INDEX(Unit_Paths!$C$2:$C$4, MATCH(E2057, Unit_Paths!$A$2:$A$4, 0)),1)</f>
        <v>6240</v>
      </c>
      <c r="J2057" s="6" t="n">
        <f aca="false">ROUND(INDEX(Archetypes!$G$2:$G$127, MATCH(D2057, Archetypes!$A$2:$A$127, 0))*INDEX(Unit_Grades!$B$2:$B$7, MATCH(F2057, Unit_Grades!$A$2:$A$7, 0))*INDEX(Unit_Paths!$D$2:$D$4, MATCH(E2057, Unit_Paths!$A$2:$A$4, 0)),0)</f>
        <v>38400</v>
      </c>
      <c r="K2057" s="6" t="n">
        <f aca="false">ROUND(INDEX(Archetypes!$H$2:$H$127, MATCH(D2057, Archetypes!$A$2:$A$127, 0))*INDEX(Unit_Paths!$E$2:$E$4, MATCH(E2057, Unit_Paths!$A$2:$A$4, 0)),1)</f>
        <v>10</v>
      </c>
      <c r="L2057" s="6" t="n">
        <f aca="false">ROUND(INDEX(Archetypes!$I$2:$I$127, MATCH(D2057, Archetypes!$A$2:$A$127, 0))*INDEX(Unit_Grades!$C$2:$C$7, MATCH(F2057, Unit_Grades!$A$2:$A$7, 0)),1)</f>
        <v>630</v>
      </c>
      <c r="M2057" s="6" t="n">
        <f aca="false">ROUND(INDEX(Archetypes!$J$2:$J$127, MATCH(D2057, Archetypes!$A$2:$A$127, 0))*INDEX(Unit_Grades!$D$2:$D$7, MATCH(F2057, Unit_Grades!$A$2:$A$7, 0)),1)</f>
        <v>487</v>
      </c>
      <c r="N2057" s="6" t="n">
        <f aca="false">ROUND(M2057/24,2)</f>
        <v>20.29</v>
      </c>
    </row>
    <row r="2058" customFormat="false" ht="15" hidden="false" customHeight="true" outlineLevel="0" collapsed="false">
      <c r="A2058" s="6" t="n">
        <v>7</v>
      </c>
      <c r="B2058" s="6" t="s">
        <v>3511</v>
      </c>
      <c r="C2058" s="6" t="s">
        <v>1509</v>
      </c>
      <c r="D2058" s="6" t="str">
        <f aca="false">A2058&amp;"|"&amp;C2058</f>
        <v>7|Continuum Bastion</v>
      </c>
      <c r="E2058" s="6" t="s">
        <v>1556</v>
      </c>
      <c r="F2058" s="6" t="s">
        <v>1546</v>
      </c>
      <c r="G2058" s="6" t="str">
        <f aca="false">INDEX(Archetypes!$D$2:$D$127, MATCH(D2058, Archetypes!$A$2:$A$127, 0))</f>
        <v>Static Defense</v>
      </c>
      <c r="H2058" s="6" t="n">
        <f aca="false">ROUND(INDEX(Archetypes!$E$2:$E$127, MATCH(D2058, Archetypes!$A$2:$A$127, 0))*INDEX(Unit_Grades!$B$2:$B$7, MATCH(F2058, Unit_Grades!$A$2:$A$7, 0))*INDEX(Unit_Paths!$B$2:$B$4, MATCH(E2058, Unit_Paths!$A$2:$A$4, 0)),1)</f>
        <v>7680</v>
      </c>
      <c r="I2058" s="6" t="n">
        <f aca="false">ROUND(INDEX(Archetypes!$F$2:$F$127, MATCH(D2058, Archetypes!$A$2:$A$127, 0))*INDEX(Unit_Grades!$B$2:$B$7, MATCH(F2058, Unit_Grades!$A$2:$A$7, 0))*INDEX(Unit_Paths!$C$2:$C$4, MATCH(E2058, Unit_Paths!$A$2:$A$4, 0)),1)</f>
        <v>8320</v>
      </c>
      <c r="J2058" s="6" t="n">
        <f aca="false">ROUND(INDEX(Archetypes!$G$2:$G$127, MATCH(D2058, Archetypes!$A$2:$A$127, 0))*INDEX(Unit_Grades!$B$2:$B$7, MATCH(F2058, Unit_Grades!$A$2:$A$7, 0))*INDEX(Unit_Paths!$D$2:$D$4, MATCH(E2058, Unit_Paths!$A$2:$A$4, 0)),0)</f>
        <v>51200</v>
      </c>
      <c r="K2058" s="6" t="n">
        <f aca="false">ROUND(INDEX(Archetypes!$H$2:$H$127, MATCH(D2058, Archetypes!$A$2:$A$127, 0))*INDEX(Unit_Paths!$E$2:$E$4, MATCH(E2058, Unit_Paths!$A$2:$A$4, 0)),1)</f>
        <v>10</v>
      </c>
      <c r="L2058" s="6" t="n">
        <f aca="false">ROUND(INDEX(Archetypes!$I$2:$I$127, MATCH(D2058, Archetypes!$A$2:$A$127, 0))*INDEX(Unit_Grades!$C$2:$C$7, MATCH(F2058, Unit_Grades!$A$2:$A$7, 0)),1)</f>
        <v>840</v>
      </c>
      <c r="M2058" s="6" t="n">
        <f aca="false">ROUND(INDEX(Archetypes!$J$2:$J$127, MATCH(D2058, Archetypes!$A$2:$A$127, 0))*INDEX(Unit_Grades!$D$2:$D$7, MATCH(F2058, Unit_Grades!$A$2:$A$7, 0)),1)</f>
        <v>852.3</v>
      </c>
      <c r="N2058" s="6" t="n">
        <f aca="false">ROUND(M2058/24,2)</f>
        <v>35.51</v>
      </c>
    </row>
    <row r="2059" customFormat="false" ht="15" hidden="false" customHeight="true" outlineLevel="0" collapsed="false">
      <c r="A2059" s="6" t="n">
        <v>7</v>
      </c>
      <c r="B2059" s="6" t="s">
        <v>3512</v>
      </c>
      <c r="C2059" s="6" t="s">
        <v>1509</v>
      </c>
      <c r="D2059" s="6" t="str">
        <f aca="false">A2059&amp;"|"&amp;C2059</f>
        <v>7|Continuum Bastion</v>
      </c>
      <c r="E2059" s="6" t="s">
        <v>1556</v>
      </c>
      <c r="F2059" s="6" t="s">
        <v>1548</v>
      </c>
      <c r="G2059" s="6" t="str">
        <f aca="false">INDEX(Archetypes!$D$2:$D$127, MATCH(D2059, Archetypes!$A$2:$A$127, 0))</f>
        <v>Static Defense</v>
      </c>
      <c r="H2059" s="6" t="n">
        <f aca="false">ROUND(INDEX(Archetypes!$E$2:$E$127, MATCH(D2059, Archetypes!$A$2:$A$127, 0))*INDEX(Unit_Grades!$B$2:$B$7, MATCH(F2059, Unit_Grades!$A$2:$A$7, 0))*INDEX(Unit_Paths!$B$2:$B$4, MATCH(E2059, Unit_Paths!$A$2:$A$4, 0)),1)</f>
        <v>10080</v>
      </c>
      <c r="I2059" s="6" t="n">
        <f aca="false">ROUND(INDEX(Archetypes!$F$2:$F$127, MATCH(D2059, Archetypes!$A$2:$A$127, 0))*INDEX(Unit_Grades!$B$2:$B$7, MATCH(F2059, Unit_Grades!$A$2:$A$7, 0))*INDEX(Unit_Paths!$C$2:$C$4, MATCH(E2059, Unit_Paths!$A$2:$A$4, 0)),1)</f>
        <v>10920</v>
      </c>
      <c r="J2059" s="6" t="n">
        <f aca="false">ROUND(INDEX(Archetypes!$G$2:$G$127, MATCH(D2059, Archetypes!$A$2:$A$127, 0))*INDEX(Unit_Grades!$B$2:$B$7, MATCH(F2059, Unit_Grades!$A$2:$A$7, 0))*INDEX(Unit_Paths!$D$2:$D$4, MATCH(E2059, Unit_Paths!$A$2:$A$4, 0)),0)</f>
        <v>67200</v>
      </c>
      <c r="K2059" s="6" t="n">
        <f aca="false">ROUND(INDEX(Archetypes!$H$2:$H$127, MATCH(D2059, Archetypes!$A$2:$A$127, 0))*INDEX(Unit_Paths!$E$2:$E$4, MATCH(E2059, Unit_Paths!$A$2:$A$4, 0)),1)</f>
        <v>10</v>
      </c>
      <c r="L2059" s="6" t="n">
        <f aca="false">ROUND(INDEX(Archetypes!$I$2:$I$127, MATCH(D2059, Archetypes!$A$2:$A$127, 0))*INDEX(Unit_Grades!$C$2:$C$7, MATCH(F2059, Unit_Grades!$A$2:$A$7, 0)),1)</f>
        <v>1110</v>
      </c>
      <c r="M2059" s="6" t="n">
        <f aca="false">ROUND(INDEX(Archetypes!$J$2:$J$127, MATCH(D2059, Archetypes!$A$2:$A$127, 0))*INDEX(Unit_Grades!$D$2:$D$7, MATCH(F2059, Unit_Grades!$A$2:$A$7, 0)),1)</f>
        <v>1461</v>
      </c>
      <c r="N2059" s="6" t="n">
        <f aca="false">ROUND(M2059/24,2)</f>
        <v>60.88</v>
      </c>
    </row>
    <row r="2060" customFormat="false" ht="15" hidden="false" customHeight="true" outlineLevel="0" collapsed="false">
      <c r="A2060" s="6" t="n">
        <v>7</v>
      </c>
      <c r="B2060" s="6" t="s">
        <v>3513</v>
      </c>
      <c r="C2060" s="6" t="s">
        <v>1509</v>
      </c>
      <c r="D2060" s="6" t="str">
        <f aca="false">A2060&amp;"|"&amp;C2060</f>
        <v>7|Continuum Bastion</v>
      </c>
      <c r="E2060" s="6" t="s">
        <v>1558</v>
      </c>
      <c r="F2060" s="6" t="s">
        <v>1538</v>
      </c>
      <c r="G2060" s="6" t="str">
        <f aca="false">INDEX(Archetypes!$D$2:$D$127, MATCH(D2060, Archetypes!$A$2:$A$127, 0))</f>
        <v>Static Defense</v>
      </c>
      <c r="H2060" s="6" t="n">
        <f aca="false">ROUND(INDEX(Archetypes!$E$2:$E$127, MATCH(D2060, Archetypes!$A$2:$A$127, 0))*INDEX(Unit_Grades!$B$2:$B$7, MATCH(F2060, Unit_Grades!$A$2:$A$7, 0))*INDEX(Unit_Paths!$B$2:$B$4, MATCH(E2060, Unit_Paths!$A$2:$A$4, 0)),1)</f>
        <v>2880</v>
      </c>
      <c r="I2060" s="6" t="n">
        <f aca="false">ROUND(INDEX(Archetypes!$F$2:$F$127, MATCH(D2060, Archetypes!$A$2:$A$127, 0))*INDEX(Unit_Grades!$B$2:$B$7, MATCH(F2060, Unit_Grades!$A$2:$A$7, 0))*INDEX(Unit_Paths!$C$2:$C$4, MATCH(E2060, Unit_Paths!$A$2:$A$4, 0)),1)</f>
        <v>2210</v>
      </c>
      <c r="J2060" s="6" t="n">
        <f aca="false">ROUND(INDEX(Archetypes!$G$2:$G$127, MATCH(D2060, Archetypes!$A$2:$A$127, 0))*INDEX(Unit_Grades!$B$2:$B$7, MATCH(F2060, Unit_Grades!$A$2:$A$7, 0))*INDEX(Unit_Paths!$D$2:$D$4, MATCH(E2060, Unit_Paths!$A$2:$A$4, 0)),0)</f>
        <v>15200</v>
      </c>
      <c r="K2060" s="6" t="n">
        <f aca="false">ROUND(INDEX(Archetypes!$H$2:$H$127, MATCH(D2060, Archetypes!$A$2:$A$127, 0))*INDEX(Unit_Paths!$E$2:$E$4, MATCH(E2060, Unit_Paths!$A$2:$A$4, 0)),1)</f>
        <v>10.5</v>
      </c>
      <c r="L2060" s="6" t="n">
        <f aca="false">ROUND(INDEX(Archetypes!$I$2:$I$127, MATCH(D2060, Archetypes!$A$2:$A$127, 0))*INDEX(Unit_Grades!$C$2:$C$7, MATCH(F2060, Unit_Grades!$A$2:$A$7, 0)),1)</f>
        <v>300</v>
      </c>
      <c r="M2060" s="6" t="n">
        <f aca="false">ROUND(INDEX(Archetypes!$J$2:$J$127, MATCH(D2060, Archetypes!$A$2:$A$127, 0))*INDEX(Unit_Grades!$D$2:$D$7, MATCH(F2060, Unit_Grades!$A$2:$A$7, 0)),1)</f>
        <v>121.8</v>
      </c>
      <c r="N2060" s="6" t="n">
        <f aca="false">ROUND(M2060/24,2)</f>
        <v>5.08</v>
      </c>
    </row>
    <row r="2061" customFormat="false" ht="15" hidden="false" customHeight="true" outlineLevel="0" collapsed="false">
      <c r="A2061" s="6" t="n">
        <v>7</v>
      </c>
      <c r="B2061" s="6" t="s">
        <v>3514</v>
      </c>
      <c r="C2061" s="6" t="s">
        <v>1509</v>
      </c>
      <c r="D2061" s="6" t="str">
        <f aca="false">A2061&amp;"|"&amp;C2061</f>
        <v>7|Continuum Bastion</v>
      </c>
      <c r="E2061" s="6" t="s">
        <v>1558</v>
      </c>
      <c r="F2061" s="6" t="s">
        <v>1540</v>
      </c>
      <c r="G2061" s="6" t="str">
        <f aca="false">INDEX(Archetypes!$D$2:$D$127, MATCH(D2061, Archetypes!$A$2:$A$127, 0))</f>
        <v>Static Defense</v>
      </c>
      <c r="H2061" s="6" t="n">
        <f aca="false">ROUND(INDEX(Archetypes!$E$2:$E$127, MATCH(D2061, Archetypes!$A$2:$A$127, 0))*INDEX(Unit_Grades!$B$2:$B$7, MATCH(F2061, Unit_Grades!$A$2:$A$7, 0))*INDEX(Unit_Paths!$B$2:$B$4, MATCH(E2061, Unit_Paths!$A$2:$A$4, 0)),1)</f>
        <v>3888</v>
      </c>
      <c r="I2061" s="6" t="n">
        <f aca="false">ROUND(INDEX(Archetypes!$F$2:$F$127, MATCH(D2061, Archetypes!$A$2:$A$127, 0))*INDEX(Unit_Grades!$B$2:$B$7, MATCH(F2061, Unit_Grades!$A$2:$A$7, 0))*INDEX(Unit_Paths!$C$2:$C$4, MATCH(E2061, Unit_Paths!$A$2:$A$4, 0)),1)</f>
        <v>2983.5</v>
      </c>
      <c r="J2061" s="6" t="n">
        <f aca="false">ROUND(INDEX(Archetypes!$G$2:$G$127, MATCH(D2061, Archetypes!$A$2:$A$127, 0))*INDEX(Unit_Grades!$B$2:$B$7, MATCH(F2061, Unit_Grades!$A$2:$A$7, 0))*INDEX(Unit_Paths!$D$2:$D$4, MATCH(E2061, Unit_Paths!$A$2:$A$4, 0)),0)</f>
        <v>20520</v>
      </c>
      <c r="K2061" s="6" t="n">
        <f aca="false">ROUND(INDEX(Archetypes!$H$2:$H$127, MATCH(D2061, Archetypes!$A$2:$A$127, 0))*INDEX(Unit_Paths!$E$2:$E$4, MATCH(E2061, Unit_Paths!$A$2:$A$4, 0)),1)</f>
        <v>10.5</v>
      </c>
      <c r="L2061" s="6" t="n">
        <f aca="false">ROUND(INDEX(Archetypes!$I$2:$I$127, MATCH(D2061, Archetypes!$A$2:$A$127, 0))*INDEX(Unit_Grades!$C$2:$C$7, MATCH(F2061, Unit_Grades!$A$2:$A$7, 0)),1)</f>
        <v>375</v>
      </c>
      <c r="M2061" s="6" t="n">
        <f aca="false">ROUND(INDEX(Archetypes!$J$2:$J$127, MATCH(D2061, Archetypes!$A$2:$A$127, 0))*INDEX(Unit_Grades!$D$2:$D$7, MATCH(F2061, Unit_Grades!$A$2:$A$7, 0)),1)</f>
        <v>182.6</v>
      </c>
      <c r="N2061" s="6" t="n">
        <f aca="false">ROUND(M2061/24,2)</f>
        <v>7.61</v>
      </c>
    </row>
    <row r="2062" customFormat="false" ht="15" hidden="false" customHeight="true" outlineLevel="0" collapsed="false">
      <c r="A2062" s="6" t="n">
        <v>7</v>
      </c>
      <c r="B2062" s="6" t="s">
        <v>3515</v>
      </c>
      <c r="C2062" s="6" t="s">
        <v>1509</v>
      </c>
      <c r="D2062" s="6" t="str">
        <f aca="false">A2062&amp;"|"&amp;C2062</f>
        <v>7|Continuum Bastion</v>
      </c>
      <c r="E2062" s="6" t="s">
        <v>1558</v>
      </c>
      <c r="F2062" s="6" t="s">
        <v>1542</v>
      </c>
      <c r="G2062" s="6" t="str">
        <f aca="false">INDEX(Archetypes!$D$2:$D$127, MATCH(D2062, Archetypes!$A$2:$A$127, 0))</f>
        <v>Static Defense</v>
      </c>
      <c r="H2062" s="6" t="n">
        <f aca="false">ROUND(INDEX(Archetypes!$E$2:$E$127, MATCH(D2062, Archetypes!$A$2:$A$127, 0))*INDEX(Unit_Grades!$B$2:$B$7, MATCH(F2062, Unit_Grades!$A$2:$A$7, 0))*INDEX(Unit_Paths!$B$2:$B$4, MATCH(E2062, Unit_Paths!$A$2:$A$4, 0)),1)</f>
        <v>5184</v>
      </c>
      <c r="I2062" s="6" t="n">
        <f aca="false">ROUND(INDEX(Archetypes!$F$2:$F$127, MATCH(D2062, Archetypes!$A$2:$A$127, 0))*INDEX(Unit_Grades!$B$2:$B$7, MATCH(F2062, Unit_Grades!$A$2:$A$7, 0))*INDEX(Unit_Paths!$C$2:$C$4, MATCH(E2062, Unit_Paths!$A$2:$A$4, 0)),1)</f>
        <v>3978</v>
      </c>
      <c r="J2062" s="6" t="n">
        <f aca="false">ROUND(INDEX(Archetypes!$G$2:$G$127, MATCH(D2062, Archetypes!$A$2:$A$127, 0))*INDEX(Unit_Grades!$B$2:$B$7, MATCH(F2062, Unit_Grades!$A$2:$A$7, 0))*INDEX(Unit_Paths!$D$2:$D$4, MATCH(E2062, Unit_Paths!$A$2:$A$4, 0)),0)</f>
        <v>27360</v>
      </c>
      <c r="K2062" s="6" t="n">
        <f aca="false">ROUND(INDEX(Archetypes!$H$2:$H$127, MATCH(D2062, Archetypes!$A$2:$A$127, 0))*INDEX(Unit_Paths!$E$2:$E$4, MATCH(E2062, Unit_Paths!$A$2:$A$4, 0)),1)</f>
        <v>10.5</v>
      </c>
      <c r="L2062" s="6" t="n">
        <f aca="false">ROUND(INDEX(Archetypes!$I$2:$I$127, MATCH(D2062, Archetypes!$A$2:$A$127, 0))*INDEX(Unit_Grades!$C$2:$C$7, MATCH(F2062, Unit_Grades!$A$2:$A$7, 0)),1)</f>
        <v>480</v>
      </c>
      <c r="M2062" s="6" t="n">
        <f aca="false">ROUND(INDEX(Archetypes!$J$2:$J$127, MATCH(D2062, Archetypes!$A$2:$A$127, 0))*INDEX(Unit_Grades!$D$2:$D$7, MATCH(F2062, Unit_Grades!$A$2:$A$7, 0)),1)</f>
        <v>304.4</v>
      </c>
      <c r="N2062" s="6" t="n">
        <f aca="false">ROUND(M2062/24,2)</f>
        <v>12.68</v>
      </c>
    </row>
    <row r="2063" customFormat="false" ht="15" hidden="false" customHeight="true" outlineLevel="0" collapsed="false">
      <c r="A2063" s="6" t="n">
        <v>7</v>
      </c>
      <c r="B2063" s="6" t="s">
        <v>3516</v>
      </c>
      <c r="C2063" s="6" t="s">
        <v>1509</v>
      </c>
      <c r="D2063" s="6" t="str">
        <f aca="false">A2063&amp;"|"&amp;C2063</f>
        <v>7|Continuum Bastion</v>
      </c>
      <c r="E2063" s="6" t="s">
        <v>1558</v>
      </c>
      <c r="F2063" s="6" t="s">
        <v>1544</v>
      </c>
      <c r="G2063" s="6" t="str">
        <f aca="false">INDEX(Archetypes!$D$2:$D$127, MATCH(D2063, Archetypes!$A$2:$A$127, 0))</f>
        <v>Static Defense</v>
      </c>
      <c r="H2063" s="6" t="n">
        <f aca="false">ROUND(INDEX(Archetypes!$E$2:$E$127, MATCH(D2063, Archetypes!$A$2:$A$127, 0))*INDEX(Unit_Grades!$B$2:$B$7, MATCH(F2063, Unit_Grades!$A$2:$A$7, 0))*INDEX(Unit_Paths!$B$2:$B$4, MATCH(E2063, Unit_Paths!$A$2:$A$4, 0)),1)</f>
        <v>6912</v>
      </c>
      <c r="I2063" s="6" t="n">
        <f aca="false">ROUND(INDEX(Archetypes!$F$2:$F$127, MATCH(D2063, Archetypes!$A$2:$A$127, 0))*INDEX(Unit_Grades!$B$2:$B$7, MATCH(F2063, Unit_Grades!$A$2:$A$7, 0))*INDEX(Unit_Paths!$C$2:$C$4, MATCH(E2063, Unit_Paths!$A$2:$A$4, 0)),1)</f>
        <v>5304</v>
      </c>
      <c r="J2063" s="6" t="n">
        <f aca="false">ROUND(INDEX(Archetypes!$G$2:$G$127, MATCH(D2063, Archetypes!$A$2:$A$127, 0))*INDEX(Unit_Grades!$B$2:$B$7, MATCH(F2063, Unit_Grades!$A$2:$A$7, 0))*INDEX(Unit_Paths!$D$2:$D$4, MATCH(E2063, Unit_Paths!$A$2:$A$4, 0)),0)</f>
        <v>36480</v>
      </c>
      <c r="K2063" s="6" t="n">
        <f aca="false">ROUND(INDEX(Archetypes!$H$2:$H$127, MATCH(D2063, Archetypes!$A$2:$A$127, 0))*INDEX(Unit_Paths!$E$2:$E$4, MATCH(E2063, Unit_Paths!$A$2:$A$4, 0)),1)</f>
        <v>10.5</v>
      </c>
      <c r="L2063" s="6" t="n">
        <f aca="false">ROUND(INDEX(Archetypes!$I$2:$I$127, MATCH(D2063, Archetypes!$A$2:$A$127, 0))*INDEX(Unit_Grades!$C$2:$C$7, MATCH(F2063, Unit_Grades!$A$2:$A$7, 0)),1)</f>
        <v>630</v>
      </c>
      <c r="M2063" s="6" t="n">
        <f aca="false">ROUND(INDEX(Archetypes!$J$2:$J$127, MATCH(D2063, Archetypes!$A$2:$A$127, 0))*INDEX(Unit_Grades!$D$2:$D$7, MATCH(F2063, Unit_Grades!$A$2:$A$7, 0)),1)</f>
        <v>487</v>
      </c>
      <c r="N2063" s="6" t="n">
        <f aca="false">ROUND(M2063/24,2)</f>
        <v>20.29</v>
      </c>
    </row>
    <row r="2064" customFormat="false" ht="15" hidden="false" customHeight="true" outlineLevel="0" collapsed="false">
      <c r="A2064" s="6" t="n">
        <v>7</v>
      </c>
      <c r="B2064" s="6" t="s">
        <v>3517</v>
      </c>
      <c r="C2064" s="6" t="s">
        <v>1509</v>
      </c>
      <c r="D2064" s="6" t="str">
        <f aca="false">A2064&amp;"|"&amp;C2064</f>
        <v>7|Continuum Bastion</v>
      </c>
      <c r="E2064" s="6" t="s">
        <v>1558</v>
      </c>
      <c r="F2064" s="6" t="s">
        <v>1546</v>
      </c>
      <c r="G2064" s="6" t="str">
        <f aca="false">INDEX(Archetypes!$D$2:$D$127, MATCH(D2064, Archetypes!$A$2:$A$127, 0))</f>
        <v>Static Defense</v>
      </c>
      <c r="H2064" s="6" t="n">
        <f aca="false">ROUND(INDEX(Archetypes!$E$2:$E$127, MATCH(D2064, Archetypes!$A$2:$A$127, 0))*INDEX(Unit_Grades!$B$2:$B$7, MATCH(F2064, Unit_Grades!$A$2:$A$7, 0))*INDEX(Unit_Paths!$B$2:$B$4, MATCH(E2064, Unit_Paths!$A$2:$A$4, 0)),1)</f>
        <v>9216</v>
      </c>
      <c r="I2064" s="6" t="n">
        <f aca="false">ROUND(INDEX(Archetypes!$F$2:$F$127, MATCH(D2064, Archetypes!$A$2:$A$127, 0))*INDEX(Unit_Grades!$B$2:$B$7, MATCH(F2064, Unit_Grades!$A$2:$A$7, 0))*INDEX(Unit_Paths!$C$2:$C$4, MATCH(E2064, Unit_Paths!$A$2:$A$4, 0)),1)</f>
        <v>7072</v>
      </c>
      <c r="J2064" s="6" t="n">
        <f aca="false">ROUND(INDEX(Archetypes!$G$2:$G$127, MATCH(D2064, Archetypes!$A$2:$A$127, 0))*INDEX(Unit_Grades!$B$2:$B$7, MATCH(F2064, Unit_Grades!$A$2:$A$7, 0))*INDEX(Unit_Paths!$D$2:$D$4, MATCH(E2064, Unit_Paths!$A$2:$A$4, 0)),0)</f>
        <v>48640</v>
      </c>
      <c r="K2064" s="6" t="n">
        <f aca="false">ROUND(INDEX(Archetypes!$H$2:$H$127, MATCH(D2064, Archetypes!$A$2:$A$127, 0))*INDEX(Unit_Paths!$E$2:$E$4, MATCH(E2064, Unit_Paths!$A$2:$A$4, 0)),1)</f>
        <v>10.5</v>
      </c>
      <c r="L2064" s="6" t="n">
        <f aca="false">ROUND(INDEX(Archetypes!$I$2:$I$127, MATCH(D2064, Archetypes!$A$2:$A$127, 0))*INDEX(Unit_Grades!$C$2:$C$7, MATCH(F2064, Unit_Grades!$A$2:$A$7, 0)),1)</f>
        <v>840</v>
      </c>
      <c r="M2064" s="6" t="n">
        <f aca="false">ROUND(INDEX(Archetypes!$J$2:$J$127, MATCH(D2064, Archetypes!$A$2:$A$127, 0))*INDEX(Unit_Grades!$D$2:$D$7, MATCH(F2064, Unit_Grades!$A$2:$A$7, 0)),1)</f>
        <v>852.3</v>
      </c>
      <c r="N2064" s="6" t="n">
        <f aca="false">ROUND(M2064/24,2)</f>
        <v>35.51</v>
      </c>
    </row>
    <row r="2065" customFormat="false" ht="15" hidden="false" customHeight="true" outlineLevel="0" collapsed="false">
      <c r="A2065" s="6" t="n">
        <v>7</v>
      </c>
      <c r="B2065" s="6" t="s">
        <v>3518</v>
      </c>
      <c r="C2065" s="6" t="s">
        <v>1509</v>
      </c>
      <c r="D2065" s="6" t="str">
        <f aca="false">A2065&amp;"|"&amp;C2065</f>
        <v>7|Continuum Bastion</v>
      </c>
      <c r="E2065" s="6" t="s">
        <v>1558</v>
      </c>
      <c r="F2065" s="6" t="s">
        <v>1548</v>
      </c>
      <c r="G2065" s="6" t="str">
        <f aca="false">INDEX(Archetypes!$D$2:$D$127, MATCH(D2065, Archetypes!$A$2:$A$127, 0))</f>
        <v>Static Defense</v>
      </c>
      <c r="H2065" s="6" t="n">
        <f aca="false">ROUND(INDEX(Archetypes!$E$2:$E$127, MATCH(D2065, Archetypes!$A$2:$A$127, 0))*INDEX(Unit_Grades!$B$2:$B$7, MATCH(F2065, Unit_Grades!$A$2:$A$7, 0))*INDEX(Unit_Paths!$B$2:$B$4, MATCH(E2065, Unit_Paths!$A$2:$A$4, 0)),1)</f>
        <v>12096</v>
      </c>
      <c r="I2065" s="6" t="n">
        <f aca="false">ROUND(INDEX(Archetypes!$F$2:$F$127, MATCH(D2065, Archetypes!$A$2:$A$127, 0))*INDEX(Unit_Grades!$B$2:$B$7, MATCH(F2065, Unit_Grades!$A$2:$A$7, 0))*INDEX(Unit_Paths!$C$2:$C$4, MATCH(E2065, Unit_Paths!$A$2:$A$4, 0)),1)</f>
        <v>9282</v>
      </c>
      <c r="J2065" s="6" t="n">
        <f aca="false">ROUND(INDEX(Archetypes!$G$2:$G$127, MATCH(D2065, Archetypes!$A$2:$A$127, 0))*INDEX(Unit_Grades!$B$2:$B$7, MATCH(F2065, Unit_Grades!$A$2:$A$7, 0))*INDEX(Unit_Paths!$D$2:$D$4, MATCH(E2065, Unit_Paths!$A$2:$A$4, 0)),0)</f>
        <v>63840</v>
      </c>
      <c r="K2065" s="6" t="n">
        <f aca="false">ROUND(INDEX(Archetypes!$H$2:$H$127, MATCH(D2065, Archetypes!$A$2:$A$127, 0))*INDEX(Unit_Paths!$E$2:$E$4, MATCH(E2065, Unit_Paths!$A$2:$A$4, 0)),1)</f>
        <v>10.5</v>
      </c>
      <c r="L2065" s="6" t="n">
        <f aca="false">ROUND(INDEX(Archetypes!$I$2:$I$127, MATCH(D2065, Archetypes!$A$2:$A$127, 0))*INDEX(Unit_Grades!$C$2:$C$7, MATCH(F2065, Unit_Grades!$A$2:$A$7, 0)),1)</f>
        <v>1110</v>
      </c>
      <c r="M2065" s="6" t="n">
        <f aca="false">ROUND(INDEX(Archetypes!$J$2:$J$127, MATCH(D2065, Archetypes!$A$2:$A$127, 0))*INDEX(Unit_Grades!$D$2:$D$7, MATCH(F2065, Unit_Grades!$A$2:$A$7, 0)),1)</f>
        <v>1461</v>
      </c>
      <c r="N2065" s="6" t="n">
        <f aca="false">ROUND(M2065/24,2)</f>
        <v>60.88</v>
      </c>
    </row>
    <row r="2066" customFormat="false" ht="15" hidden="false" customHeight="true" outlineLevel="0" collapsed="false">
      <c r="A2066" s="6" t="n">
        <v>7</v>
      </c>
      <c r="B2066" s="6" t="s">
        <v>3519</v>
      </c>
      <c r="C2066" s="6" t="s">
        <v>1509</v>
      </c>
      <c r="D2066" s="6" t="str">
        <f aca="false">A2066&amp;"|"&amp;C2066</f>
        <v>7|Continuum Bastion</v>
      </c>
      <c r="E2066" s="6" t="s">
        <v>1560</v>
      </c>
      <c r="F2066" s="6" t="s">
        <v>1538</v>
      </c>
      <c r="G2066" s="6" t="str">
        <f aca="false">INDEX(Archetypes!$D$2:$D$127, MATCH(D2066, Archetypes!$A$2:$A$127, 0))</f>
        <v>Static Defense</v>
      </c>
      <c r="H2066" s="6" t="n">
        <f aca="false">ROUND(INDEX(Archetypes!$E$2:$E$127, MATCH(D2066, Archetypes!$A$2:$A$127, 0))*INDEX(Unit_Grades!$B$2:$B$7, MATCH(F2066, Unit_Grades!$A$2:$A$7, 0))*INDEX(Unit_Paths!$B$2:$B$4, MATCH(E2066, Unit_Paths!$A$2:$A$4, 0)),1)</f>
        <v>2040</v>
      </c>
      <c r="I2066" s="6" t="n">
        <f aca="false">ROUND(INDEX(Archetypes!$F$2:$F$127, MATCH(D2066, Archetypes!$A$2:$A$127, 0))*INDEX(Unit_Grades!$B$2:$B$7, MATCH(F2066, Unit_Grades!$A$2:$A$7, 0))*INDEX(Unit_Paths!$C$2:$C$4, MATCH(E2066, Unit_Paths!$A$2:$A$4, 0)),1)</f>
        <v>3250</v>
      </c>
      <c r="J2066" s="6" t="n">
        <f aca="false">ROUND(INDEX(Archetypes!$G$2:$G$127, MATCH(D2066, Archetypes!$A$2:$A$127, 0))*INDEX(Unit_Grades!$B$2:$B$7, MATCH(F2066, Unit_Grades!$A$2:$A$7, 0))*INDEX(Unit_Paths!$D$2:$D$4, MATCH(E2066, Unit_Paths!$A$2:$A$4, 0)),0)</f>
        <v>18400</v>
      </c>
      <c r="K2066" s="6" t="n">
        <f aca="false">ROUND(INDEX(Archetypes!$H$2:$H$127, MATCH(D2066, Archetypes!$A$2:$A$127, 0))*INDEX(Unit_Paths!$E$2:$E$4, MATCH(E2066, Unit_Paths!$A$2:$A$4, 0)),1)</f>
        <v>9.2</v>
      </c>
      <c r="L2066" s="6" t="n">
        <f aca="false">ROUND(INDEX(Archetypes!$I$2:$I$127, MATCH(D2066, Archetypes!$A$2:$A$127, 0))*INDEX(Unit_Grades!$C$2:$C$7, MATCH(F2066, Unit_Grades!$A$2:$A$7, 0)),1)</f>
        <v>300</v>
      </c>
      <c r="M2066" s="6" t="n">
        <f aca="false">ROUND(INDEX(Archetypes!$J$2:$J$127, MATCH(D2066, Archetypes!$A$2:$A$127, 0))*INDEX(Unit_Grades!$D$2:$D$7, MATCH(F2066, Unit_Grades!$A$2:$A$7, 0)),1)</f>
        <v>121.8</v>
      </c>
      <c r="N2066" s="6" t="n">
        <f aca="false">ROUND(M2066/24,2)</f>
        <v>5.08</v>
      </c>
    </row>
    <row r="2067" customFormat="false" ht="15" hidden="false" customHeight="true" outlineLevel="0" collapsed="false">
      <c r="A2067" s="6" t="n">
        <v>7</v>
      </c>
      <c r="B2067" s="6" t="s">
        <v>3520</v>
      </c>
      <c r="C2067" s="6" t="s">
        <v>1509</v>
      </c>
      <c r="D2067" s="6" t="str">
        <f aca="false">A2067&amp;"|"&amp;C2067</f>
        <v>7|Continuum Bastion</v>
      </c>
      <c r="E2067" s="6" t="s">
        <v>1560</v>
      </c>
      <c r="F2067" s="6" t="s">
        <v>1540</v>
      </c>
      <c r="G2067" s="6" t="str">
        <f aca="false">INDEX(Archetypes!$D$2:$D$127, MATCH(D2067, Archetypes!$A$2:$A$127, 0))</f>
        <v>Static Defense</v>
      </c>
      <c r="H2067" s="6" t="n">
        <f aca="false">ROUND(INDEX(Archetypes!$E$2:$E$127, MATCH(D2067, Archetypes!$A$2:$A$127, 0))*INDEX(Unit_Grades!$B$2:$B$7, MATCH(F2067, Unit_Grades!$A$2:$A$7, 0))*INDEX(Unit_Paths!$B$2:$B$4, MATCH(E2067, Unit_Paths!$A$2:$A$4, 0)),1)</f>
        <v>2754</v>
      </c>
      <c r="I2067" s="6" t="n">
        <f aca="false">ROUND(INDEX(Archetypes!$F$2:$F$127, MATCH(D2067, Archetypes!$A$2:$A$127, 0))*INDEX(Unit_Grades!$B$2:$B$7, MATCH(F2067, Unit_Grades!$A$2:$A$7, 0))*INDEX(Unit_Paths!$C$2:$C$4, MATCH(E2067, Unit_Paths!$A$2:$A$4, 0)),1)</f>
        <v>4387.5</v>
      </c>
      <c r="J2067" s="6" t="n">
        <f aca="false">ROUND(INDEX(Archetypes!$G$2:$G$127, MATCH(D2067, Archetypes!$A$2:$A$127, 0))*INDEX(Unit_Grades!$B$2:$B$7, MATCH(F2067, Unit_Grades!$A$2:$A$7, 0))*INDEX(Unit_Paths!$D$2:$D$4, MATCH(E2067, Unit_Paths!$A$2:$A$4, 0)),0)</f>
        <v>24840</v>
      </c>
      <c r="K2067" s="6" t="n">
        <f aca="false">ROUND(INDEX(Archetypes!$H$2:$H$127, MATCH(D2067, Archetypes!$A$2:$A$127, 0))*INDEX(Unit_Paths!$E$2:$E$4, MATCH(E2067, Unit_Paths!$A$2:$A$4, 0)),1)</f>
        <v>9.2</v>
      </c>
      <c r="L2067" s="6" t="n">
        <f aca="false">ROUND(INDEX(Archetypes!$I$2:$I$127, MATCH(D2067, Archetypes!$A$2:$A$127, 0))*INDEX(Unit_Grades!$C$2:$C$7, MATCH(F2067, Unit_Grades!$A$2:$A$7, 0)),1)</f>
        <v>375</v>
      </c>
      <c r="M2067" s="6" t="n">
        <f aca="false">ROUND(INDEX(Archetypes!$J$2:$J$127, MATCH(D2067, Archetypes!$A$2:$A$127, 0))*INDEX(Unit_Grades!$D$2:$D$7, MATCH(F2067, Unit_Grades!$A$2:$A$7, 0)),1)</f>
        <v>182.6</v>
      </c>
      <c r="N2067" s="6" t="n">
        <f aca="false">ROUND(M2067/24,2)</f>
        <v>7.61</v>
      </c>
    </row>
    <row r="2068" customFormat="false" ht="15" hidden="false" customHeight="true" outlineLevel="0" collapsed="false">
      <c r="A2068" s="6" t="n">
        <v>7</v>
      </c>
      <c r="B2068" s="6" t="s">
        <v>3521</v>
      </c>
      <c r="C2068" s="6" t="s">
        <v>1509</v>
      </c>
      <c r="D2068" s="6" t="str">
        <f aca="false">A2068&amp;"|"&amp;C2068</f>
        <v>7|Continuum Bastion</v>
      </c>
      <c r="E2068" s="6" t="s">
        <v>1560</v>
      </c>
      <c r="F2068" s="6" t="s">
        <v>1542</v>
      </c>
      <c r="G2068" s="6" t="str">
        <f aca="false">INDEX(Archetypes!$D$2:$D$127, MATCH(D2068, Archetypes!$A$2:$A$127, 0))</f>
        <v>Static Defense</v>
      </c>
      <c r="H2068" s="6" t="n">
        <f aca="false">ROUND(INDEX(Archetypes!$E$2:$E$127, MATCH(D2068, Archetypes!$A$2:$A$127, 0))*INDEX(Unit_Grades!$B$2:$B$7, MATCH(F2068, Unit_Grades!$A$2:$A$7, 0))*INDEX(Unit_Paths!$B$2:$B$4, MATCH(E2068, Unit_Paths!$A$2:$A$4, 0)),1)</f>
        <v>3672</v>
      </c>
      <c r="I2068" s="6" t="n">
        <f aca="false">ROUND(INDEX(Archetypes!$F$2:$F$127, MATCH(D2068, Archetypes!$A$2:$A$127, 0))*INDEX(Unit_Grades!$B$2:$B$7, MATCH(F2068, Unit_Grades!$A$2:$A$7, 0))*INDEX(Unit_Paths!$C$2:$C$4, MATCH(E2068, Unit_Paths!$A$2:$A$4, 0)),1)</f>
        <v>5850</v>
      </c>
      <c r="J2068" s="6" t="n">
        <f aca="false">ROUND(INDEX(Archetypes!$G$2:$G$127, MATCH(D2068, Archetypes!$A$2:$A$127, 0))*INDEX(Unit_Grades!$B$2:$B$7, MATCH(F2068, Unit_Grades!$A$2:$A$7, 0))*INDEX(Unit_Paths!$D$2:$D$4, MATCH(E2068, Unit_Paths!$A$2:$A$4, 0)),0)</f>
        <v>33120</v>
      </c>
      <c r="K2068" s="6" t="n">
        <f aca="false">ROUND(INDEX(Archetypes!$H$2:$H$127, MATCH(D2068, Archetypes!$A$2:$A$127, 0))*INDEX(Unit_Paths!$E$2:$E$4, MATCH(E2068, Unit_Paths!$A$2:$A$4, 0)),1)</f>
        <v>9.2</v>
      </c>
      <c r="L2068" s="6" t="n">
        <f aca="false">ROUND(INDEX(Archetypes!$I$2:$I$127, MATCH(D2068, Archetypes!$A$2:$A$127, 0))*INDEX(Unit_Grades!$C$2:$C$7, MATCH(F2068, Unit_Grades!$A$2:$A$7, 0)),1)</f>
        <v>480</v>
      </c>
      <c r="M2068" s="6" t="n">
        <f aca="false">ROUND(INDEX(Archetypes!$J$2:$J$127, MATCH(D2068, Archetypes!$A$2:$A$127, 0))*INDEX(Unit_Grades!$D$2:$D$7, MATCH(F2068, Unit_Grades!$A$2:$A$7, 0)),1)</f>
        <v>304.4</v>
      </c>
      <c r="N2068" s="6" t="n">
        <f aca="false">ROUND(M2068/24,2)</f>
        <v>12.68</v>
      </c>
    </row>
    <row r="2069" customFormat="false" ht="15" hidden="false" customHeight="true" outlineLevel="0" collapsed="false">
      <c r="A2069" s="6" t="n">
        <v>7</v>
      </c>
      <c r="B2069" s="6" t="s">
        <v>3522</v>
      </c>
      <c r="C2069" s="6" t="s">
        <v>1509</v>
      </c>
      <c r="D2069" s="6" t="str">
        <f aca="false">A2069&amp;"|"&amp;C2069</f>
        <v>7|Continuum Bastion</v>
      </c>
      <c r="E2069" s="6" t="s">
        <v>1560</v>
      </c>
      <c r="F2069" s="6" t="s">
        <v>1544</v>
      </c>
      <c r="G2069" s="6" t="str">
        <f aca="false">INDEX(Archetypes!$D$2:$D$127, MATCH(D2069, Archetypes!$A$2:$A$127, 0))</f>
        <v>Static Defense</v>
      </c>
      <c r="H2069" s="6" t="n">
        <f aca="false">ROUND(INDEX(Archetypes!$E$2:$E$127, MATCH(D2069, Archetypes!$A$2:$A$127, 0))*INDEX(Unit_Grades!$B$2:$B$7, MATCH(F2069, Unit_Grades!$A$2:$A$7, 0))*INDEX(Unit_Paths!$B$2:$B$4, MATCH(E2069, Unit_Paths!$A$2:$A$4, 0)),1)</f>
        <v>4896</v>
      </c>
      <c r="I2069" s="6" t="n">
        <f aca="false">ROUND(INDEX(Archetypes!$F$2:$F$127, MATCH(D2069, Archetypes!$A$2:$A$127, 0))*INDEX(Unit_Grades!$B$2:$B$7, MATCH(F2069, Unit_Grades!$A$2:$A$7, 0))*INDEX(Unit_Paths!$C$2:$C$4, MATCH(E2069, Unit_Paths!$A$2:$A$4, 0)),1)</f>
        <v>7800</v>
      </c>
      <c r="J2069" s="6" t="n">
        <f aca="false">ROUND(INDEX(Archetypes!$G$2:$G$127, MATCH(D2069, Archetypes!$A$2:$A$127, 0))*INDEX(Unit_Grades!$B$2:$B$7, MATCH(F2069, Unit_Grades!$A$2:$A$7, 0))*INDEX(Unit_Paths!$D$2:$D$4, MATCH(E2069, Unit_Paths!$A$2:$A$4, 0)),0)</f>
        <v>44160</v>
      </c>
      <c r="K2069" s="6" t="n">
        <f aca="false">ROUND(INDEX(Archetypes!$H$2:$H$127, MATCH(D2069, Archetypes!$A$2:$A$127, 0))*INDEX(Unit_Paths!$E$2:$E$4, MATCH(E2069, Unit_Paths!$A$2:$A$4, 0)),1)</f>
        <v>9.2</v>
      </c>
      <c r="L2069" s="6" t="n">
        <f aca="false">ROUND(INDEX(Archetypes!$I$2:$I$127, MATCH(D2069, Archetypes!$A$2:$A$127, 0))*INDEX(Unit_Grades!$C$2:$C$7, MATCH(F2069, Unit_Grades!$A$2:$A$7, 0)),1)</f>
        <v>630</v>
      </c>
      <c r="M2069" s="6" t="n">
        <f aca="false">ROUND(INDEX(Archetypes!$J$2:$J$127, MATCH(D2069, Archetypes!$A$2:$A$127, 0))*INDEX(Unit_Grades!$D$2:$D$7, MATCH(F2069, Unit_Grades!$A$2:$A$7, 0)),1)</f>
        <v>487</v>
      </c>
      <c r="N2069" s="6" t="n">
        <f aca="false">ROUND(M2069/24,2)</f>
        <v>20.29</v>
      </c>
    </row>
    <row r="2070" customFormat="false" ht="15" hidden="false" customHeight="true" outlineLevel="0" collapsed="false">
      <c r="A2070" s="6" t="n">
        <v>7</v>
      </c>
      <c r="B2070" s="6" t="s">
        <v>3523</v>
      </c>
      <c r="C2070" s="6" t="s">
        <v>1509</v>
      </c>
      <c r="D2070" s="6" t="str">
        <f aca="false">A2070&amp;"|"&amp;C2070</f>
        <v>7|Continuum Bastion</v>
      </c>
      <c r="E2070" s="6" t="s">
        <v>1560</v>
      </c>
      <c r="F2070" s="6" t="s">
        <v>1546</v>
      </c>
      <c r="G2070" s="6" t="str">
        <f aca="false">INDEX(Archetypes!$D$2:$D$127, MATCH(D2070, Archetypes!$A$2:$A$127, 0))</f>
        <v>Static Defense</v>
      </c>
      <c r="H2070" s="6" t="n">
        <f aca="false">ROUND(INDEX(Archetypes!$E$2:$E$127, MATCH(D2070, Archetypes!$A$2:$A$127, 0))*INDEX(Unit_Grades!$B$2:$B$7, MATCH(F2070, Unit_Grades!$A$2:$A$7, 0))*INDEX(Unit_Paths!$B$2:$B$4, MATCH(E2070, Unit_Paths!$A$2:$A$4, 0)),1)</f>
        <v>6528</v>
      </c>
      <c r="I2070" s="6" t="n">
        <f aca="false">ROUND(INDEX(Archetypes!$F$2:$F$127, MATCH(D2070, Archetypes!$A$2:$A$127, 0))*INDEX(Unit_Grades!$B$2:$B$7, MATCH(F2070, Unit_Grades!$A$2:$A$7, 0))*INDEX(Unit_Paths!$C$2:$C$4, MATCH(E2070, Unit_Paths!$A$2:$A$4, 0)),1)</f>
        <v>10400</v>
      </c>
      <c r="J2070" s="6" t="n">
        <f aca="false">ROUND(INDEX(Archetypes!$G$2:$G$127, MATCH(D2070, Archetypes!$A$2:$A$127, 0))*INDEX(Unit_Grades!$B$2:$B$7, MATCH(F2070, Unit_Grades!$A$2:$A$7, 0))*INDEX(Unit_Paths!$D$2:$D$4, MATCH(E2070, Unit_Paths!$A$2:$A$4, 0)),0)</f>
        <v>58880</v>
      </c>
      <c r="K2070" s="6" t="n">
        <f aca="false">ROUND(INDEX(Archetypes!$H$2:$H$127, MATCH(D2070, Archetypes!$A$2:$A$127, 0))*INDEX(Unit_Paths!$E$2:$E$4, MATCH(E2070, Unit_Paths!$A$2:$A$4, 0)),1)</f>
        <v>9.2</v>
      </c>
      <c r="L2070" s="6" t="n">
        <f aca="false">ROUND(INDEX(Archetypes!$I$2:$I$127, MATCH(D2070, Archetypes!$A$2:$A$127, 0))*INDEX(Unit_Grades!$C$2:$C$7, MATCH(F2070, Unit_Grades!$A$2:$A$7, 0)),1)</f>
        <v>840</v>
      </c>
      <c r="M2070" s="6" t="n">
        <f aca="false">ROUND(INDEX(Archetypes!$J$2:$J$127, MATCH(D2070, Archetypes!$A$2:$A$127, 0))*INDEX(Unit_Grades!$D$2:$D$7, MATCH(F2070, Unit_Grades!$A$2:$A$7, 0)),1)</f>
        <v>852.3</v>
      </c>
      <c r="N2070" s="6" t="n">
        <f aca="false">ROUND(M2070/24,2)</f>
        <v>35.51</v>
      </c>
    </row>
    <row r="2071" customFormat="false" ht="15" hidden="false" customHeight="true" outlineLevel="0" collapsed="false">
      <c r="A2071" s="6" t="n">
        <v>7</v>
      </c>
      <c r="B2071" s="6" t="s">
        <v>3524</v>
      </c>
      <c r="C2071" s="6" t="s">
        <v>1509</v>
      </c>
      <c r="D2071" s="6" t="str">
        <f aca="false">A2071&amp;"|"&amp;C2071</f>
        <v>7|Continuum Bastion</v>
      </c>
      <c r="E2071" s="6" t="s">
        <v>1560</v>
      </c>
      <c r="F2071" s="6" t="s">
        <v>1548</v>
      </c>
      <c r="G2071" s="6" t="str">
        <f aca="false">INDEX(Archetypes!$D$2:$D$127, MATCH(D2071, Archetypes!$A$2:$A$127, 0))</f>
        <v>Static Defense</v>
      </c>
      <c r="H2071" s="6" t="n">
        <f aca="false">ROUND(INDEX(Archetypes!$E$2:$E$127, MATCH(D2071, Archetypes!$A$2:$A$127, 0))*INDEX(Unit_Grades!$B$2:$B$7, MATCH(F2071, Unit_Grades!$A$2:$A$7, 0))*INDEX(Unit_Paths!$B$2:$B$4, MATCH(E2071, Unit_Paths!$A$2:$A$4, 0)),1)</f>
        <v>8568</v>
      </c>
      <c r="I2071" s="6" t="n">
        <f aca="false">ROUND(INDEX(Archetypes!$F$2:$F$127, MATCH(D2071, Archetypes!$A$2:$A$127, 0))*INDEX(Unit_Grades!$B$2:$B$7, MATCH(F2071, Unit_Grades!$A$2:$A$7, 0))*INDEX(Unit_Paths!$C$2:$C$4, MATCH(E2071, Unit_Paths!$A$2:$A$4, 0)),1)</f>
        <v>13650</v>
      </c>
      <c r="J2071" s="6" t="n">
        <f aca="false">ROUND(INDEX(Archetypes!$G$2:$G$127, MATCH(D2071, Archetypes!$A$2:$A$127, 0))*INDEX(Unit_Grades!$B$2:$B$7, MATCH(F2071, Unit_Grades!$A$2:$A$7, 0))*INDEX(Unit_Paths!$D$2:$D$4, MATCH(E2071, Unit_Paths!$A$2:$A$4, 0)),0)</f>
        <v>77280</v>
      </c>
      <c r="K2071" s="6" t="n">
        <f aca="false">ROUND(INDEX(Archetypes!$H$2:$H$127, MATCH(D2071, Archetypes!$A$2:$A$127, 0))*INDEX(Unit_Paths!$E$2:$E$4, MATCH(E2071, Unit_Paths!$A$2:$A$4, 0)),1)</f>
        <v>9.2</v>
      </c>
      <c r="L2071" s="6" t="n">
        <f aca="false">ROUND(INDEX(Archetypes!$I$2:$I$127, MATCH(D2071, Archetypes!$A$2:$A$127, 0))*INDEX(Unit_Grades!$C$2:$C$7, MATCH(F2071, Unit_Grades!$A$2:$A$7, 0)),1)</f>
        <v>1110</v>
      </c>
      <c r="M2071" s="6" t="n">
        <f aca="false">ROUND(INDEX(Archetypes!$J$2:$J$127, MATCH(D2071, Archetypes!$A$2:$A$127, 0))*INDEX(Unit_Grades!$D$2:$D$7, MATCH(F2071, Unit_Grades!$A$2:$A$7, 0)),1)</f>
        <v>1461</v>
      </c>
      <c r="N2071" s="6" t="n">
        <f aca="false">ROUND(M2071/24,2)</f>
        <v>60.88</v>
      </c>
    </row>
    <row r="2072" customFormat="false" ht="15" hidden="false" customHeight="true" outlineLevel="0" collapsed="false">
      <c r="A2072" s="6" t="n">
        <v>7</v>
      </c>
      <c r="B2072" s="6" t="s">
        <v>1511</v>
      </c>
      <c r="C2072" s="6" t="s">
        <v>1511</v>
      </c>
      <c r="D2072" s="6" t="str">
        <f aca="false">A2072&amp;"|"&amp;C2072</f>
        <v>7|Path Avatar</v>
      </c>
      <c r="E2072" s="6" t="s">
        <v>1556</v>
      </c>
      <c r="F2072" s="6" t="s">
        <v>1538</v>
      </c>
      <c r="G2072" s="6" t="str">
        <f aca="false">INDEX(Archetypes!$D$2:$D$127, MATCH(D2072, Archetypes!$A$2:$A$127, 0))</f>
        <v>Flagship</v>
      </c>
      <c r="H2072" s="6" t="n">
        <f aca="false">ROUND(INDEX(Archetypes!$E$2:$E$127, MATCH(D2072, Archetypes!$A$2:$A$127, 0))*INDEX(Unit_Grades!$B$2:$B$7, MATCH(F2072, Unit_Grades!$A$2:$A$7, 0))*INDEX(Unit_Paths!$B$2:$B$4, MATCH(E2072, Unit_Paths!$A$2:$A$4, 0)),1)</f>
        <v>4000</v>
      </c>
      <c r="I2072" s="6" t="n">
        <f aca="false">ROUND(INDEX(Archetypes!$F$2:$F$127, MATCH(D2072, Archetypes!$A$2:$A$127, 0))*INDEX(Unit_Grades!$B$2:$B$7, MATCH(F2072, Unit_Grades!$A$2:$A$7, 0))*INDEX(Unit_Paths!$C$2:$C$4, MATCH(E2072, Unit_Paths!$A$2:$A$4, 0)),1)</f>
        <v>3000</v>
      </c>
      <c r="J2072" s="6" t="n">
        <f aca="false">ROUND(INDEX(Archetypes!$G$2:$G$127, MATCH(D2072, Archetypes!$A$2:$A$127, 0))*INDEX(Unit_Grades!$B$2:$B$7, MATCH(F2072, Unit_Grades!$A$2:$A$7, 0))*INDEX(Unit_Paths!$D$2:$D$4, MATCH(E2072, Unit_Paths!$A$2:$A$4, 0)),0)</f>
        <v>26000</v>
      </c>
      <c r="K2072" s="6" t="n">
        <f aca="false">ROUND(INDEX(Archetypes!$H$2:$H$127, MATCH(D2072, Archetypes!$A$2:$A$127, 0))*INDEX(Unit_Paths!$E$2:$E$4, MATCH(E2072, Unit_Paths!$A$2:$A$4, 0)),1)</f>
        <v>60</v>
      </c>
      <c r="L2072" s="6" t="n">
        <f aca="false">ROUND(INDEX(Archetypes!$I$2:$I$127, MATCH(D2072, Archetypes!$A$2:$A$127, 0))*INDEX(Unit_Grades!$C$2:$C$7, MATCH(F2072, Unit_Grades!$A$2:$A$7, 0)),1)</f>
        <v>900</v>
      </c>
      <c r="M2072" s="6" t="n">
        <f aca="false">ROUND(INDEX(Archetypes!$J$2:$J$127, MATCH(D2072, Archetypes!$A$2:$A$127, 0))*INDEX(Unit_Grades!$D$2:$D$7, MATCH(F2072, Unit_Grades!$A$2:$A$7, 0)),1)</f>
        <v>365.3</v>
      </c>
      <c r="N2072" s="6" t="n">
        <f aca="false">ROUND(M2072/24,2)</f>
        <v>15.22</v>
      </c>
    </row>
    <row r="2073" customFormat="false" ht="15" hidden="false" customHeight="true" outlineLevel="0" collapsed="false">
      <c r="A2073" s="6" t="n">
        <v>7</v>
      </c>
      <c r="B2073" s="6" t="s">
        <v>3525</v>
      </c>
      <c r="C2073" s="6" t="s">
        <v>1511</v>
      </c>
      <c r="D2073" s="6" t="str">
        <f aca="false">A2073&amp;"|"&amp;C2073</f>
        <v>7|Path Avatar</v>
      </c>
      <c r="E2073" s="6" t="s">
        <v>1556</v>
      </c>
      <c r="F2073" s="6" t="s">
        <v>1540</v>
      </c>
      <c r="G2073" s="6" t="str">
        <f aca="false">INDEX(Archetypes!$D$2:$D$127, MATCH(D2073, Archetypes!$A$2:$A$127, 0))</f>
        <v>Flagship</v>
      </c>
      <c r="H2073" s="6" t="n">
        <f aca="false">ROUND(INDEX(Archetypes!$E$2:$E$127, MATCH(D2073, Archetypes!$A$2:$A$127, 0))*INDEX(Unit_Grades!$B$2:$B$7, MATCH(F2073, Unit_Grades!$A$2:$A$7, 0))*INDEX(Unit_Paths!$B$2:$B$4, MATCH(E2073, Unit_Paths!$A$2:$A$4, 0)),1)</f>
        <v>5400</v>
      </c>
      <c r="I2073" s="6" t="n">
        <f aca="false">ROUND(INDEX(Archetypes!$F$2:$F$127, MATCH(D2073, Archetypes!$A$2:$A$127, 0))*INDEX(Unit_Grades!$B$2:$B$7, MATCH(F2073, Unit_Grades!$A$2:$A$7, 0))*INDEX(Unit_Paths!$C$2:$C$4, MATCH(E2073, Unit_Paths!$A$2:$A$4, 0)),1)</f>
        <v>4050</v>
      </c>
      <c r="J2073" s="6" t="n">
        <f aca="false">ROUND(INDEX(Archetypes!$G$2:$G$127, MATCH(D2073, Archetypes!$A$2:$A$127, 0))*INDEX(Unit_Grades!$B$2:$B$7, MATCH(F2073, Unit_Grades!$A$2:$A$7, 0))*INDEX(Unit_Paths!$D$2:$D$4, MATCH(E2073, Unit_Paths!$A$2:$A$4, 0)),0)</f>
        <v>35100</v>
      </c>
      <c r="K2073" s="6" t="n">
        <f aca="false">ROUND(INDEX(Archetypes!$H$2:$H$127, MATCH(D2073, Archetypes!$A$2:$A$127, 0))*INDEX(Unit_Paths!$E$2:$E$4, MATCH(E2073, Unit_Paths!$A$2:$A$4, 0)),1)</f>
        <v>60</v>
      </c>
      <c r="L2073" s="6" t="n">
        <f aca="false">ROUND(INDEX(Archetypes!$I$2:$I$127, MATCH(D2073, Archetypes!$A$2:$A$127, 0))*INDEX(Unit_Grades!$C$2:$C$7, MATCH(F2073, Unit_Grades!$A$2:$A$7, 0)),1)</f>
        <v>1125</v>
      </c>
      <c r="M2073" s="6" t="n">
        <f aca="false">ROUND(INDEX(Archetypes!$J$2:$J$127, MATCH(D2073, Archetypes!$A$2:$A$127, 0))*INDEX(Unit_Grades!$D$2:$D$7, MATCH(F2073, Unit_Grades!$A$2:$A$7, 0)),1)</f>
        <v>547.9</v>
      </c>
      <c r="N2073" s="6" t="n">
        <f aca="false">ROUND(M2073/24,2)</f>
        <v>22.83</v>
      </c>
    </row>
    <row r="2074" customFormat="false" ht="15" hidden="false" customHeight="true" outlineLevel="0" collapsed="false">
      <c r="A2074" s="6" t="n">
        <v>7</v>
      </c>
      <c r="B2074" s="6" t="s">
        <v>3526</v>
      </c>
      <c r="C2074" s="6" t="s">
        <v>1511</v>
      </c>
      <c r="D2074" s="6" t="str">
        <f aca="false">A2074&amp;"|"&amp;C2074</f>
        <v>7|Path Avatar</v>
      </c>
      <c r="E2074" s="6" t="s">
        <v>1556</v>
      </c>
      <c r="F2074" s="6" t="s">
        <v>1542</v>
      </c>
      <c r="G2074" s="6" t="str">
        <f aca="false">INDEX(Archetypes!$D$2:$D$127, MATCH(D2074, Archetypes!$A$2:$A$127, 0))</f>
        <v>Flagship</v>
      </c>
      <c r="H2074" s="6" t="n">
        <f aca="false">ROUND(INDEX(Archetypes!$E$2:$E$127, MATCH(D2074, Archetypes!$A$2:$A$127, 0))*INDEX(Unit_Grades!$B$2:$B$7, MATCH(F2074, Unit_Grades!$A$2:$A$7, 0))*INDEX(Unit_Paths!$B$2:$B$4, MATCH(E2074, Unit_Paths!$A$2:$A$4, 0)),1)</f>
        <v>7200</v>
      </c>
      <c r="I2074" s="6" t="n">
        <f aca="false">ROUND(INDEX(Archetypes!$F$2:$F$127, MATCH(D2074, Archetypes!$A$2:$A$127, 0))*INDEX(Unit_Grades!$B$2:$B$7, MATCH(F2074, Unit_Grades!$A$2:$A$7, 0))*INDEX(Unit_Paths!$C$2:$C$4, MATCH(E2074, Unit_Paths!$A$2:$A$4, 0)),1)</f>
        <v>5400</v>
      </c>
      <c r="J2074" s="6" t="n">
        <f aca="false">ROUND(INDEX(Archetypes!$G$2:$G$127, MATCH(D2074, Archetypes!$A$2:$A$127, 0))*INDEX(Unit_Grades!$B$2:$B$7, MATCH(F2074, Unit_Grades!$A$2:$A$7, 0))*INDEX(Unit_Paths!$D$2:$D$4, MATCH(E2074, Unit_Paths!$A$2:$A$4, 0)),0)</f>
        <v>46800</v>
      </c>
      <c r="K2074" s="6" t="n">
        <f aca="false">ROUND(INDEX(Archetypes!$H$2:$H$127, MATCH(D2074, Archetypes!$A$2:$A$127, 0))*INDEX(Unit_Paths!$E$2:$E$4, MATCH(E2074, Unit_Paths!$A$2:$A$4, 0)),1)</f>
        <v>60</v>
      </c>
      <c r="L2074" s="6" t="n">
        <f aca="false">ROUND(INDEX(Archetypes!$I$2:$I$127, MATCH(D2074, Archetypes!$A$2:$A$127, 0))*INDEX(Unit_Grades!$C$2:$C$7, MATCH(F2074, Unit_Grades!$A$2:$A$7, 0)),1)</f>
        <v>1440</v>
      </c>
      <c r="M2074" s="6" t="n">
        <f aca="false">ROUND(INDEX(Archetypes!$J$2:$J$127, MATCH(D2074, Archetypes!$A$2:$A$127, 0))*INDEX(Unit_Grades!$D$2:$D$7, MATCH(F2074, Unit_Grades!$A$2:$A$7, 0)),1)</f>
        <v>913.1</v>
      </c>
      <c r="N2074" s="6" t="n">
        <f aca="false">ROUND(M2074/24,2)</f>
        <v>38.05</v>
      </c>
    </row>
    <row r="2075" customFormat="false" ht="15" hidden="false" customHeight="true" outlineLevel="0" collapsed="false">
      <c r="A2075" s="6" t="n">
        <v>7</v>
      </c>
      <c r="B2075" s="6" t="s">
        <v>3527</v>
      </c>
      <c r="C2075" s="6" t="s">
        <v>1511</v>
      </c>
      <c r="D2075" s="6" t="str">
        <f aca="false">A2075&amp;"|"&amp;C2075</f>
        <v>7|Path Avatar</v>
      </c>
      <c r="E2075" s="6" t="s">
        <v>1556</v>
      </c>
      <c r="F2075" s="6" t="s">
        <v>1544</v>
      </c>
      <c r="G2075" s="6" t="str">
        <f aca="false">INDEX(Archetypes!$D$2:$D$127, MATCH(D2075, Archetypes!$A$2:$A$127, 0))</f>
        <v>Flagship</v>
      </c>
      <c r="H2075" s="6" t="n">
        <f aca="false">ROUND(INDEX(Archetypes!$E$2:$E$127, MATCH(D2075, Archetypes!$A$2:$A$127, 0))*INDEX(Unit_Grades!$B$2:$B$7, MATCH(F2075, Unit_Grades!$A$2:$A$7, 0))*INDEX(Unit_Paths!$B$2:$B$4, MATCH(E2075, Unit_Paths!$A$2:$A$4, 0)),1)</f>
        <v>9600</v>
      </c>
      <c r="I2075" s="6" t="n">
        <f aca="false">ROUND(INDEX(Archetypes!$F$2:$F$127, MATCH(D2075, Archetypes!$A$2:$A$127, 0))*INDEX(Unit_Grades!$B$2:$B$7, MATCH(F2075, Unit_Grades!$A$2:$A$7, 0))*INDEX(Unit_Paths!$C$2:$C$4, MATCH(E2075, Unit_Paths!$A$2:$A$4, 0)),1)</f>
        <v>7200</v>
      </c>
      <c r="J2075" s="6" t="n">
        <f aca="false">ROUND(INDEX(Archetypes!$G$2:$G$127, MATCH(D2075, Archetypes!$A$2:$A$127, 0))*INDEX(Unit_Grades!$B$2:$B$7, MATCH(F2075, Unit_Grades!$A$2:$A$7, 0))*INDEX(Unit_Paths!$D$2:$D$4, MATCH(E2075, Unit_Paths!$A$2:$A$4, 0)),0)</f>
        <v>62400</v>
      </c>
      <c r="K2075" s="6" t="n">
        <f aca="false">ROUND(INDEX(Archetypes!$H$2:$H$127, MATCH(D2075, Archetypes!$A$2:$A$127, 0))*INDEX(Unit_Paths!$E$2:$E$4, MATCH(E2075, Unit_Paths!$A$2:$A$4, 0)),1)</f>
        <v>60</v>
      </c>
      <c r="L2075" s="6" t="n">
        <f aca="false">ROUND(INDEX(Archetypes!$I$2:$I$127, MATCH(D2075, Archetypes!$A$2:$A$127, 0))*INDEX(Unit_Grades!$C$2:$C$7, MATCH(F2075, Unit_Grades!$A$2:$A$7, 0)),1)</f>
        <v>1890</v>
      </c>
      <c r="M2075" s="6" t="n">
        <f aca="false">ROUND(INDEX(Archetypes!$J$2:$J$127, MATCH(D2075, Archetypes!$A$2:$A$127, 0))*INDEX(Unit_Grades!$D$2:$D$7, MATCH(F2075, Unit_Grades!$A$2:$A$7, 0)),1)</f>
        <v>1461</v>
      </c>
      <c r="N2075" s="6" t="n">
        <f aca="false">ROUND(M2075/24,2)</f>
        <v>60.88</v>
      </c>
    </row>
    <row r="2076" customFormat="false" ht="15" hidden="false" customHeight="true" outlineLevel="0" collapsed="false">
      <c r="A2076" s="6" t="n">
        <v>7</v>
      </c>
      <c r="B2076" s="6" t="s">
        <v>3528</v>
      </c>
      <c r="C2076" s="6" t="s">
        <v>1511</v>
      </c>
      <c r="D2076" s="6" t="str">
        <f aca="false">A2076&amp;"|"&amp;C2076</f>
        <v>7|Path Avatar</v>
      </c>
      <c r="E2076" s="6" t="s">
        <v>1556</v>
      </c>
      <c r="F2076" s="6" t="s">
        <v>1546</v>
      </c>
      <c r="G2076" s="6" t="str">
        <f aca="false">INDEX(Archetypes!$D$2:$D$127, MATCH(D2076, Archetypes!$A$2:$A$127, 0))</f>
        <v>Flagship</v>
      </c>
      <c r="H2076" s="6" t="n">
        <f aca="false">ROUND(INDEX(Archetypes!$E$2:$E$127, MATCH(D2076, Archetypes!$A$2:$A$127, 0))*INDEX(Unit_Grades!$B$2:$B$7, MATCH(F2076, Unit_Grades!$A$2:$A$7, 0))*INDEX(Unit_Paths!$B$2:$B$4, MATCH(E2076, Unit_Paths!$A$2:$A$4, 0)),1)</f>
        <v>12800</v>
      </c>
      <c r="I2076" s="6" t="n">
        <f aca="false">ROUND(INDEX(Archetypes!$F$2:$F$127, MATCH(D2076, Archetypes!$A$2:$A$127, 0))*INDEX(Unit_Grades!$B$2:$B$7, MATCH(F2076, Unit_Grades!$A$2:$A$7, 0))*INDEX(Unit_Paths!$C$2:$C$4, MATCH(E2076, Unit_Paths!$A$2:$A$4, 0)),1)</f>
        <v>9600</v>
      </c>
      <c r="J2076" s="6" t="n">
        <f aca="false">ROUND(INDEX(Archetypes!$G$2:$G$127, MATCH(D2076, Archetypes!$A$2:$A$127, 0))*INDEX(Unit_Grades!$B$2:$B$7, MATCH(F2076, Unit_Grades!$A$2:$A$7, 0))*INDEX(Unit_Paths!$D$2:$D$4, MATCH(E2076, Unit_Paths!$A$2:$A$4, 0)),0)</f>
        <v>83200</v>
      </c>
      <c r="K2076" s="6" t="n">
        <f aca="false">ROUND(INDEX(Archetypes!$H$2:$H$127, MATCH(D2076, Archetypes!$A$2:$A$127, 0))*INDEX(Unit_Paths!$E$2:$E$4, MATCH(E2076, Unit_Paths!$A$2:$A$4, 0)),1)</f>
        <v>60</v>
      </c>
      <c r="L2076" s="6" t="n">
        <f aca="false">ROUND(INDEX(Archetypes!$I$2:$I$127, MATCH(D2076, Archetypes!$A$2:$A$127, 0))*INDEX(Unit_Grades!$C$2:$C$7, MATCH(F2076, Unit_Grades!$A$2:$A$7, 0)),1)</f>
        <v>2520</v>
      </c>
      <c r="M2076" s="6" t="n">
        <f aca="false">ROUND(INDEX(Archetypes!$J$2:$J$127, MATCH(D2076, Archetypes!$A$2:$A$127, 0))*INDEX(Unit_Grades!$D$2:$D$7, MATCH(F2076, Unit_Grades!$A$2:$A$7, 0)),1)</f>
        <v>2556.8</v>
      </c>
      <c r="N2076" s="6" t="n">
        <f aca="false">ROUND(M2076/24,2)</f>
        <v>106.53</v>
      </c>
    </row>
    <row r="2077" customFormat="false" ht="15" hidden="false" customHeight="true" outlineLevel="0" collapsed="false">
      <c r="A2077" s="6" t="n">
        <v>7</v>
      </c>
      <c r="B2077" s="6" t="s">
        <v>3529</v>
      </c>
      <c r="C2077" s="6" t="s">
        <v>1511</v>
      </c>
      <c r="D2077" s="6" t="str">
        <f aca="false">A2077&amp;"|"&amp;C2077</f>
        <v>7|Path Avatar</v>
      </c>
      <c r="E2077" s="6" t="s">
        <v>1556</v>
      </c>
      <c r="F2077" s="6" t="s">
        <v>1548</v>
      </c>
      <c r="G2077" s="6" t="str">
        <f aca="false">INDEX(Archetypes!$D$2:$D$127, MATCH(D2077, Archetypes!$A$2:$A$127, 0))</f>
        <v>Flagship</v>
      </c>
      <c r="H2077" s="6" t="n">
        <f aca="false">ROUND(INDEX(Archetypes!$E$2:$E$127, MATCH(D2077, Archetypes!$A$2:$A$127, 0))*INDEX(Unit_Grades!$B$2:$B$7, MATCH(F2077, Unit_Grades!$A$2:$A$7, 0))*INDEX(Unit_Paths!$B$2:$B$4, MATCH(E2077, Unit_Paths!$A$2:$A$4, 0)),1)</f>
        <v>16800</v>
      </c>
      <c r="I2077" s="6" t="n">
        <f aca="false">ROUND(INDEX(Archetypes!$F$2:$F$127, MATCH(D2077, Archetypes!$A$2:$A$127, 0))*INDEX(Unit_Grades!$B$2:$B$7, MATCH(F2077, Unit_Grades!$A$2:$A$7, 0))*INDEX(Unit_Paths!$C$2:$C$4, MATCH(E2077, Unit_Paths!$A$2:$A$4, 0)),1)</f>
        <v>12600</v>
      </c>
      <c r="J2077" s="6" t="n">
        <f aca="false">ROUND(INDEX(Archetypes!$G$2:$G$127, MATCH(D2077, Archetypes!$A$2:$A$127, 0))*INDEX(Unit_Grades!$B$2:$B$7, MATCH(F2077, Unit_Grades!$A$2:$A$7, 0))*INDEX(Unit_Paths!$D$2:$D$4, MATCH(E2077, Unit_Paths!$A$2:$A$4, 0)),0)</f>
        <v>109200</v>
      </c>
      <c r="K2077" s="6" t="n">
        <f aca="false">ROUND(INDEX(Archetypes!$H$2:$H$127, MATCH(D2077, Archetypes!$A$2:$A$127, 0))*INDEX(Unit_Paths!$E$2:$E$4, MATCH(E2077, Unit_Paths!$A$2:$A$4, 0)),1)</f>
        <v>60</v>
      </c>
      <c r="L2077" s="6" t="n">
        <f aca="false">ROUND(INDEX(Archetypes!$I$2:$I$127, MATCH(D2077, Archetypes!$A$2:$A$127, 0))*INDEX(Unit_Grades!$C$2:$C$7, MATCH(F2077, Unit_Grades!$A$2:$A$7, 0)),1)</f>
        <v>3330</v>
      </c>
      <c r="M2077" s="6" t="n">
        <f aca="false">ROUND(INDEX(Archetypes!$J$2:$J$127, MATCH(D2077, Archetypes!$A$2:$A$127, 0))*INDEX(Unit_Grades!$D$2:$D$7, MATCH(F2077, Unit_Grades!$A$2:$A$7, 0)),1)</f>
        <v>4383</v>
      </c>
      <c r="N2077" s="6" t="n">
        <f aca="false">ROUND(M2077/24,2)</f>
        <v>182.63</v>
      </c>
    </row>
    <row r="2078" customFormat="false" ht="15" hidden="false" customHeight="true" outlineLevel="0" collapsed="false">
      <c r="A2078" s="6" t="n">
        <v>7</v>
      </c>
      <c r="B2078" s="6" t="s">
        <v>3530</v>
      </c>
      <c r="C2078" s="6" t="s">
        <v>1511</v>
      </c>
      <c r="D2078" s="6" t="str">
        <f aca="false">A2078&amp;"|"&amp;C2078</f>
        <v>7|Path Avatar</v>
      </c>
      <c r="E2078" s="6" t="s">
        <v>1558</v>
      </c>
      <c r="F2078" s="6" t="s">
        <v>1538</v>
      </c>
      <c r="G2078" s="6" t="str">
        <f aca="false">INDEX(Archetypes!$D$2:$D$127, MATCH(D2078, Archetypes!$A$2:$A$127, 0))</f>
        <v>Flagship</v>
      </c>
      <c r="H2078" s="6" t="n">
        <f aca="false">ROUND(INDEX(Archetypes!$E$2:$E$127, MATCH(D2078, Archetypes!$A$2:$A$127, 0))*INDEX(Unit_Grades!$B$2:$B$7, MATCH(F2078, Unit_Grades!$A$2:$A$7, 0))*INDEX(Unit_Paths!$B$2:$B$4, MATCH(E2078, Unit_Paths!$A$2:$A$4, 0)),1)</f>
        <v>4800</v>
      </c>
      <c r="I2078" s="6" t="n">
        <f aca="false">ROUND(INDEX(Archetypes!$F$2:$F$127, MATCH(D2078, Archetypes!$A$2:$A$127, 0))*INDEX(Unit_Grades!$B$2:$B$7, MATCH(F2078, Unit_Grades!$A$2:$A$7, 0))*INDEX(Unit_Paths!$C$2:$C$4, MATCH(E2078, Unit_Paths!$A$2:$A$4, 0)),1)</f>
        <v>2550</v>
      </c>
      <c r="J2078" s="6" t="n">
        <f aca="false">ROUND(INDEX(Archetypes!$G$2:$G$127, MATCH(D2078, Archetypes!$A$2:$A$127, 0))*INDEX(Unit_Grades!$B$2:$B$7, MATCH(F2078, Unit_Grades!$A$2:$A$7, 0))*INDEX(Unit_Paths!$D$2:$D$4, MATCH(E2078, Unit_Paths!$A$2:$A$4, 0)),0)</f>
        <v>24700</v>
      </c>
      <c r="K2078" s="6" t="n">
        <f aca="false">ROUND(INDEX(Archetypes!$H$2:$H$127, MATCH(D2078, Archetypes!$A$2:$A$127, 0))*INDEX(Unit_Paths!$E$2:$E$4, MATCH(E2078, Unit_Paths!$A$2:$A$4, 0)),1)</f>
        <v>63</v>
      </c>
      <c r="L2078" s="6" t="n">
        <f aca="false">ROUND(INDEX(Archetypes!$I$2:$I$127, MATCH(D2078, Archetypes!$A$2:$A$127, 0))*INDEX(Unit_Grades!$C$2:$C$7, MATCH(F2078, Unit_Grades!$A$2:$A$7, 0)),1)</f>
        <v>900</v>
      </c>
      <c r="M2078" s="6" t="n">
        <f aca="false">ROUND(INDEX(Archetypes!$J$2:$J$127, MATCH(D2078, Archetypes!$A$2:$A$127, 0))*INDEX(Unit_Grades!$D$2:$D$7, MATCH(F2078, Unit_Grades!$A$2:$A$7, 0)),1)</f>
        <v>365.3</v>
      </c>
      <c r="N2078" s="6" t="n">
        <f aca="false">ROUND(M2078/24,2)</f>
        <v>15.22</v>
      </c>
    </row>
    <row r="2079" customFormat="false" ht="15" hidden="false" customHeight="true" outlineLevel="0" collapsed="false">
      <c r="A2079" s="6" t="n">
        <v>7</v>
      </c>
      <c r="B2079" s="6" t="s">
        <v>3531</v>
      </c>
      <c r="C2079" s="6" t="s">
        <v>1511</v>
      </c>
      <c r="D2079" s="6" t="str">
        <f aca="false">A2079&amp;"|"&amp;C2079</f>
        <v>7|Path Avatar</v>
      </c>
      <c r="E2079" s="6" t="s">
        <v>1558</v>
      </c>
      <c r="F2079" s="6" t="s">
        <v>1540</v>
      </c>
      <c r="G2079" s="6" t="str">
        <f aca="false">INDEX(Archetypes!$D$2:$D$127, MATCH(D2079, Archetypes!$A$2:$A$127, 0))</f>
        <v>Flagship</v>
      </c>
      <c r="H2079" s="6" t="n">
        <f aca="false">ROUND(INDEX(Archetypes!$E$2:$E$127, MATCH(D2079, Archetypes!$A$2:$A$127, 0))*INDEX(Unit_Grades!$B$2:$B$7, MATCH(F2079, Unit_Grades!$A$2:$A$7, 0))*INDEX(Unit_Paths!$B$2:$B$4, MATCH(E2079, Unit_Paths!$A$2:$A$4, 0)),1)</f>
        <v>6480</v>
      </c>
      <c r="I2079" s="6" t="n">
        <f aca="false">ROUND(INDEX(Archetypes!$F$2:$F$127, MATCH(D2079, Archetypes!$A$2:$A$127, 0))*INDEX(Unit_Grades!$B$2:$B$7, MATCH(F2079, Unit_Grades!$A$2:$A$7, 0))*INDEX(Unit_Paths!$C$2:$C$4, MATCH(E2079, Unit_Paths!$A$2:$A$4, 0)),1)</f>
        <v>3442.5</v>
      </c>
      <c r="J2079" s="6" t="n">
        <f aca="false">ROUND(INDEX(Archetypes!$G$2:$G$127, MATCH(D2079, Archetypes!$A$2:$A$127, 0))*INDEX(Unit_Grades!$B$2:$B$7, MATCH(F2079, Unit_Grades!$A$2:$A$7, 0))*INDEX(Unit_Paths!$D$2:$D$4, MATCH(E2079, Unit_Paths!$A$2:$A$4, 0)),0)</f>
        <v>33345</v>
      </c>
      <c r="K2079" s="6" t="n">
        <f aca="false">ROUND(INDEX(Archetypes!$H$2:$H$127, MATCH(D2079, Archetypes!$A$2:$A$127, 0))*INDEX(Unit_Paths!$E$2:$E$4, MATCH(E2079, Unit_Paths!$A$2:$A$4, 0)),1)</f>
        <v>63</v>
      </c>
      <c r="L2079" s="6" t="n">
        <f aca="false">ROUND(INDEX(Archetypes!$I$2:$I$127, MATCH(D2079, Archetypes!$A$2:$A$127, 0))*INDEX(Unit_Grades!$C$2:$C$7, MATCH(F2079, Unit_Grades!$A$2:$A$7, 0)),1)</f>
        <v>1125</v>
      </c>
      <c r="M2079" s="6" t="n">
        <f aca="false">ROUND(INDEX(Archetypes!$J$2:$J$127, MATCH(D2079, Archetypes!$A$2:$A$127, 0))*INDEX(Unit_Grades!$D$2:$D$7, MATCH(F2079, Unit_Grades!$A$2:$A$7, 0)),1)</f>
        <v>547.9</v>
      </c>
      <c r="N2079" s="6" t="n">
        <f aca="false">ROUND(M2079/24,2)</f>
        <v>22.83</v>
      </c>
    </row>
    <row r="2080" customFormat="false" ht="15" hidden="false" customHeight="true" outlineLevel="0" collapsed="false">
      <c r="A2080" s="6" t="n">
        <v>7</v>
      </c>
      <c r="B2080" s="6" t="s">
        <v>3532</v>
      </c>
      <c r="C2080" s="6" t="s">
        <v>1511</v>
      </c>
      <c r="D2080" s="6" t="str">
        <f aca="false">A2080&amp;"|"&amp;C2080</f>
        <v>7|Path Avatar</v>
      </c>
      <c r="E2080" s="6" t="s">
        <v>1558</v>
      </c>
      <c r="F2080" s="6" t="s">
        <v>1542</v>
      </c>
      <c r="G2080" s="6" t="str">
        <f aca="false">INDEX(Archetypes!$D$2:$D$127, MATCH(D2080, Archetypes!$A$2:$A$127, 0))</f>
        <v>Flagship</v>
      </c>
      <c r="H2080" s="6" t="n">
        <f aca="false">ROUND(INDEX(Archetypes!$E$2:$E$127, MATCH(D2080, Archetypes!$A$2:$A$127, 0))*INDEX(Unit_Grades!$B$2:$B$7, MATCH(F2080, Unit_Grades!$A$2:$A$7, 0))*INDEX(Unit_Paths!$B$2:$B$4, MATCH(E2080, Unit_Paths!$A$2:$A$4, 0)),1)</f>
        <v>8640</v>
      </c>
      <c r="I2080" s="6" t="n">
        <f aca="false">ROUND(INDEX(Archetypes!$F$2:$F$127, MATCH(D2080, Archetypes!$A$2:$A$127, 0))*INDEX(Unit_Grades!$B$2:$B$7, MATCH(F2080, Unit_Grades!$A$2:$A$7, 0))*INDEX(Unit_Paths!$C$2:$C$4, MATCH(E2080, Unit_Paths!$A$2:$A$4, 0)),1)</f>
        <v>4590</v>
      </c>
      <c r="J2080" s="6" t="n">
        <f aca="false">ROUND(INDEX(Archetypes!$G$2:$G$127, MATCH(D2080, Archetypes!$A$2:$A$127, 0))*INDEX(Unit_Grades!$B$2:$B$7, MATCH(F2080, Unit_Grades!$A$2:$A$7, 0))*INDEX(Unit_Paths!$D$2:$D$4, MATCH(E2080, Unit_Paths!$A$2:$A$4, 0)),0)</f>
        <v>44460</v>
      </c>
      <c r="K2080" s="6" t="n">
        <f aca="false">ROUND(INDEX(Archetypes!$H$2:$H$127, MATCH(D2080, Archetypes!$A$2:$A$127, 0))*INDEX(Unit_Paths!$E$2:$E$4, MATCH(E2080, Unit_Paths!$A$2:$A$4, 0)),1)</f>
        <v>63</v>
      </c>
      <c r="L2080" s="6" t="n">
        <f aca="false">ROUND(INDEX(Archetypes!$I$2:$I$127, MATCH(D2080, Archetypes!$A$2:$A$127, 0))*INDEX(Unit_Grades!$C$2:$C$7, MATCH(F2080, Unit_Grades!$A$2:$A$7, 0)),1)</f>
        <v>1440</v>
      </c>
      <c r="M2080" s="6" t="n">
        <f aca="false">ROUND(INDEX(Archetypes!$J$2:$J$127, MATCH(D2080, Archetypes!$A$2:$A$127, 0))*INDEX(Unit_Grades!$D$2:$D$7, MATCH(F2080, Unit_Grades!$A$2:$A$7, 0)),1)</f>
        <v>913.1</v>
      </c>
      <c r="N2080" s="6" t="n">
        <f aca="false">ROUND(M2080/24,2)</f>
        <v>38.05</v>
      </c>
    </row>
    <row r="2081" customFormat="false" ht="15" hidden="false" customHeight="true" outlineLevel="0" collapsed="false">
      <c r="A2081" s="6" t="n">
        <v>7</v>
      </c>
      <c r="B2081" s="6" t="s">
        <v>3533</v>
      </c>
      <c r="C2081" s="6" t="s">
        <v>1511</v>
      </c>
      <c r="D2081" s="6" t="str">
        <f aca="false">A2081&amp;"|"&amp;C2081</f>
        <v>7|Path Avatar</v>
      </c>
      <c r="E2081" s="6" t="s">
        <v>1558</v>
      </c>
      <c r="F2081" s="6" t="s">
        <v>1544</v>
      </c>
      <c r="G2081" s="6" t="str">
        <f aca="false">INDEX(Archetypes!$D$2:$D$127, MATCH(D2081, Archetypes!$A$2:$A$127, 0))</f>
        <v>Flagship</v>
      </c>
      <c r="H2081" s="6" t="n">
        <f aca="false">ROUND(INDEX(Archetypes!$E$2:$E$127, MATCH(D2081, Archetypes!$A$2:$A$127, 0))*INDEX(Unit_Grades!$B$2:$B$7, MATCH(F2081, Unit_Grades!$A$2:$A$7, 0))*INDEX(Unit_Paths!$B$2:$B$4, MATCH(E2081, Unit_Paths!$A$2:$A$4, 0)),1)</f>
        <v>11520</v>
      </c>
      <c r="I2081" s="6" t="n">
        <f aca="false">ROUND(INDEX(Archetypes!$F$2:$F$127, MATCH(D2081, Archetypes!$A$2:$A$127, 0))*INDEX(Unit_Grades!$B$2:$B$7, MATCH(F2081, Unit_Grades!$A$2:$A$7, 0))*INDEX(Unit_Paths!$C$2:$C$4, MATCH(E2081, Unit_Paths!$A$2:$A$4, 0)),1)</f>
        <v>6120</v>
      </c>
      <c r="J2081" s="6" t="n">
        <f aca="false">ROUND(INDEX(Archetypes!$G$2:$G$127, MATCH(D2081, Archetypes!$A$2:$A$127, 0))*INDEX(Unit_Grades!$B$2:$B$7, MATCH(F2081, Unit_Grades!$A$2:$A$7, 0))*INDEX(Unit_Paths!$D$2:$D$4, MATCH(E2081, Unit_Paths!$A$2:$A$4, 0)),0)</f>
        <v>59280</v>
      </c>
      <c r="K2081" s="6" t="n">
        <f aca="false">ROUND(INDEX(Archetypes!$H$2:$H$127, MATCH(D2081, Archetypes!$A$2:$A$127, 0))*INDEX(Unit_Paths!$E$2:$E$4, MATCH(E2081, Unit_Paths!$A$2:$A$4, 0)),1)</f>
        <v>63</v>
      </c>
      <c r="L2081" s="6" t="n">
        <f aca="false">ROUND(INDEX(Archetypes!$I$2:$I$127, MATCH(D2081, Archetypes!$A$2:$A$127, 0))*INDEX(Unit_Grades!$C$2:$C$7, MATCH(F2081, Unit_Grades!$A$2:$A$7, 0)),1)</f>
        <v>1890</v>
      </c>
      <c r="M2081" s="6" t="n">
        <f aca="false">ROUND(INDEX(Archetypes!$J$2:$J$127, MATCH(D2081, Archetypes!$A$2:$A$127, 0))*INDEX(Unit_Grades!$D$2:$D$7, MATCH(F2081, Unit_Grades!$A$2:$A$7, 0)),1)</f>
        <v>1461</v>
      </c>
      <c r="N2081" s="6" t="n">
        <f aca="false">ROUND(M2081/24,2)</f>
        <v>60.88</v>
      </c>
    </row>
    <row r="2082" customFormat="false" ht="15" hidden="false" customHeight="true" outlineLevel="0" collapsed="false">
      <c r="A2082" s="6" t="n">
        <v>7</v>
      </c>
      <c r="B2082" s="6" t="s">
        <v>3534</v>
      </c>
      <c r="C2082" s="6" t="s">
        <v>1511</v>
      </c>
      <c r="D2082" s="6" t="str">
        <f aca="false">A2082&amp;"|"&amp;C2082</f>
        <v>7|Path Avatar</v>
      </c>
      <c r="E2082" s="6" t="s">
        <v>1558</v>
      </c>
      <c r="F2082" s="6" t="s">
        <v>1546</v>
      </c>
      <c r="G2082" s="6" t="str">
        <f aca="false">INDEX(Archetypes!$D$2:$D$127, MATCH(D2082, Archetypes!$A$2:$A$127, 0))</f>
        <v>Flagship</v>
      </c>
      <c r="H2082" s="6" t="n">
        <f aca="false">ROUND(INDEX(Archetypes!$E$2:$E$127, MATCH(D2082, Archetypes!$A$2:$A$127, 0))*INDEX(Unit_Grades!$B$2:$B$7, MATCH(F2082, Unit_Grades!$A$2:$A$7, 0))*INDEX(Unit_Paths!$B$2:$B$4, MATCH(E2082, Unit_Paths!$A$2:$A$4, 0)),1)</f>
        <v>15360</v>
      </c>
      <c r="I2082" s="6" t="n">
        <f aca="false">ROUND(INDEX(Archetypes!$F$2:$F$127, MATCH(D2082, Archetypes!$A$2:$A$127, 0))*INDEX(Unit_Grades!$B$2:$B$7, MATCH(F2082, Unit_Grades!$A$2:$A$7, 0))*INDEX(Unit_Paths!$C$2:$C$4, MATCH(E2082, Unit_Paths!$A$2:$A$4, 0)),1)</f>
        <v>8160</v>
      </c>
      <c r="J2082" s="6" t="n">
        <f aca="false">ROUND(INDEX(Archetypes!$G$2:$G$127, MATCH(D2082, Archetypes!$A$2:$A$127, 0))*INDEX(Unit_Grades!$B$2:$B$7, MATCH(F2082, Unit_Grades!$A$2:$A$7, 0))*INDEX(Unit_Paths!$D$2:$D$4, MATCH(E2082, Unit_Paths!$A$2:$A$4, 0)),0)</f>
        <v>79040</v>
      </c>
      <c r="K2082" s="6" t="n">
        <f aca="false">ROUND(INDEX(Archetypes!$H$2:$H$127, MATCH(D2082, Archetypes!$A$2:$A$127, 0))*INDEX(Unit_Paths!$E$2:$E$4, MATCH(E2082, Unit_Paths!$A$2:$A$4, 0)),1)</f>
        <v>63</v>
      </c>
      <c r="L2082" s="6" t="n">
        <f aca="false">ROUND(INDEX(Archetypes!$I$2:$I$127, MATCH(D2082, Archetypes!$A$2:$A$127, 0))*INDEX(Unit_Grades!$C$2:$C$7, MATCH(F2082, Unit_Grades!$A$2:$A$7, 0)),1)</f>
        <v>2520</v>
      </c>
      <c r="M2082" s="6" t="n">
        <f aca="false">ROUND(INDEX(Archetypes!$J$2:$J$127, MATCH(D2082, Archetypes!$A$2:$A$127, 0))*INDEX(Unit_Grades!$D$2:$D$7, MATCH(F2082, Unit_Grades!$A$2:$A$7, 0)),1)</f>
        <v>2556.8</v>
      </c>
      <c r="N2082" s="6" t="n">
        <f aca="false">ROUND(M2082/24,2)</f>
        <v>106.53</v>
      </c>
    </row>
    <row r="2083" customFormat="false" ht="15" hidden="false" customHeight="true" outlineLevel="0" collapsed="false">
      <c r="A2083" s="6" t="n">
        <v>7</v>
      </c>
      <c r="B2083" s="6" t="s">
        <v>3535</v>
      </c>
      <c r="C2083" s="6" t="s">
        <v>1511</v>
      </c>
      <c r="D2083" s="6" t="str">
        <f aca="false">A2083&amp;"|"&amp;C2083</f>
        <v>7|Path Avatar</v>
      </c>
      <c r="E2083" s="6" t="s">
        <v>1558</v>
      </c>
      <c r="F2083" s="6" t="s">
        <v>1548</v>
      </c>
      <c r="G2083" s="6" t="str">
        <f aca="false">INDEX(Archetypes!$D$2:$D$127, MATCH(D2083, Archetypes!$A$2:$A$127, 0))</f>
        <v>Flagship</v>
      </c>
      <c r="H2083" s="6" t="n">
        <f aca="false">ROUND(INDEX(Archetypes!$E$2:$E$127, MATCH(D2083, Archetypes!$A$2:$A$127, 0))*INDEX(Unit_Grades!$B$2:$B$7, MATCH(F2083, Unit_Grades!$A$2:$A$7, 0))*INDEX(Unit_Paths!$B$2:$B$4, MATCH(E2083, Unit_Paths!$A$2:$A$4, 0)),1)</f>
        <v>20160</v>
      </c>
      <c r="I2083" s="6" t="n">
        <f aca="false">ROUND(INDEX(Archetypes!$F$2:$F$127, MATCH(D2083, Archetypes!$A$2:$A$127, 0))*INDEX(Unit_Grades!$B$2:$B$7, MATCH(F2083, Unit_Grades!$A$2:$A$7, 0))*INDEX(Unit_Paths!$C$2:$C$4, MATCH(E2083, Unit_Paths!$A$2:$A$4, 0)),1)</f>
        <v>10710</v>
      </c>
      <c r="J2083" s="6" t="n">
        <f aca="false">ROUND(INDEX(Archetypes!$G$2:$G$127, MATCH(D2083, Archetypes!$A$2:$A$127, 0))*INDEX(Unit_Grades!$B$2:$B$7, MATCH(F2083, Unit_Grades!$A$2:$A$7, 0))*INDEX(Unit_Paths!$D$2:$D$4, MATCH(E2083, Unit_Paths!$A$2:$A$4, 0)),0)</f>
        <v>103740</v>
      </c>
      <c r="K2083" s="6" t="n">
        <f aca="false">ROUND(INDEX(Archetypes!$H$2:$H$127, MATCH(D2083, Archetypes!$A$2:$A$127, 0))*INDEX(Unit_Paths!$E$2:$E$4, MATCH(E2083, Unit_Paths!$A$2:$A$4, 0)),1)</f>
        <v>63</v>
      </c>
      <c r="L2083" s="6" t="n">
        <f aca="false">ROUND(INDEX(Archetypes!$I$2:$I$127, MATCH(D2083, Archetypes!$A$2:$A$127, 0))*INDEX(Unit_Grades!$C$2:$C$7, MATCH(F2083, Unit_Grades!$A$2:$A$7, 0)),1)</f>
        <v>3330</v>
      </c>
      <c r="M2083" s="6" t="n">
        <f aca="false">ROUND(INDEX(Archetypes!$J$2:$J$127, MATCH(D2083, Archetypes!$A$2:$A$127, 0))*INDEX(Unit_Grades!$D$2:$D$7, MATCH(F2083, Unit_Grades!$A$2:$A$7, 0)),1)</f>
        <v>4383</v>
      </c>
      <c r="N2083" s="6" t="n">
        <f aca="false">ROUND(M2083/24,2)</f>
        <v>182.63</v>
      </c>
    </row>
    <row r="2084" customFormat="false" ht="15" hidden="false" customHeight="true" outlineLevel="0" collapsed="false">
      <c r="A2084" s="6" t="n">
        <v>7</v>
      </c>
      <c r="B2084" s="6" t="s">
        <v>3536</v>
      </c>
      <c r="C2084" s="6" t="s">
        <v>1511</v>
      </c>
      <c r="D2084" s="6" t="str">
        <f aca="false">A2084&amp;"|"&amp;C2084</f>
        <v>7|Path Avatar</v>
      </c>
      <c r="E2084" s="6" t="s">
        <v>1560</v>
      </c>
      <c r="F2084" s="6" t="s">
        <v>1538</v>
      </c>
      <c r="G2084" s="6" t="str">
        <f aca="false">INDEX(Archetypes!$D$2:$D$127, MATCH(D2084, Archetypes!$A$2:$A$127, 0))</f>
        <v>Flagship</v>
      </c>
      <c r="H2084" s="6" t="n">
        <f aca="false">ROUND(INDEX(Archetypes!$E$2:$E$127, MATCH(D2084, Archetypes!$A$2:$A$127, 0))*INDEX(Unit_Grades!$B$2:$B$7, MATCH(F2084, Unit_Grades!$A$2:$A$7, 0))*INDEX(Unit_Paths!$B$2:$B$4, MATCH(E2084, Unit_Paths!$A$2:$A$4, 0)),1)</f>
        <v>3400</v>
      </c>
      <c r="I2084" s="6" t="n">
        <f aca="false">ROUND(INDEX(Archetypes!$F$2:$F$127, MATCH(D2084, Archetypes!$A$2:$A$127, 0))*INDEX(Unit_Grades!$B$2:$B$7, MATCH(F2084, Unit_Grades!$A$2:$A$7, 0))*INDEX(Unit_Paths!$C$2:$C$4, MATCH(E2084, Unit_Paths!$A$2:$A$4, 0)),1)</f>
        <v>3750</v>
      </c>
      <c r="J2084" s="6" t="n">
        <f aca="false">ROUND(INDEX(Archetypes!$G$2:$G$127, MATCH(D2084, Archetypes!$A$2:$A$127, 0))*INDEX(Unit_Grades!$B$2:$B$7, MATCH(F2084, Unit_Grades!$A$2:$A$7, 0))*INDEX(Unit_Paths!$D$2:$D$4, MATCH(E2084, Unit_Paths!$A$2:$A$4, 0)),0)</f>
        <v>29900</v>
      </c>
      <c r="K2084" s="6" t="n">
        <f aca="false">ROUND(INDEX(Archetypes!$H$2:$H$127, MATCH(D2084, Archetypes!$A$2:$A$127, 0))*INDEX(Unit_Paths!$E$2:$E$4, MATCH(E2084, Unit_Paths!$A$2:$A$4, 0)),1)</f>
        <v>55.2</v>
      </c>
      <c r="L2084" s="6" t="n">
        <f aca="false">ROUND(INDEX(Archetypes!$I$2:$I$127, MATCH(D2084, Archetypes!$A$2:$A$127, 0))*INDEX(Unit_Grades!$C$2:$C$7, MATCH(F2084, Unit_Grades!$A$2:$A$7, 0)),1)</f>
        <v>900</v>
      </c>
      <c r="M2084" s="6" t="n">
        <f aca="false">ROUND(INDEX(Archetypes!$J$2:$J$127, MATCH(D2084, Archetypes!$A$2:$A$127, 0))*INDEX(Unit_Grades!$D$2:$D$7, MATCH(F2084, Unit_Grades!$A$2:$A$7, 0)),1)</f>
        <v>365.3</v>
      </c>
      <c r="N2084" s="6" t="n">
        <f aca="false">ROUND(M2084/24,2)</f>
        <v>15.22</v>
      </c>
    </row>
    <row r="2085" customFormat="false" ht="15" hidden="false" customHeight="true" outlineLevel="0" collapsed="false">
      <c r="A2085" s="6" t="n">
        <v>7</v>
      </c>
      <c r="B2085" s="6" t="s">
        <v>3537</v>
      </c>
      <c r="C2085" s="6" t="s">
        <v>1511</v>
      </c>
      <c r="D2085" s="6" t="str">
        <f aca="false">A2085&amp;"|"&amp;C2085</f>
        <v>7|Path Avatar</v>
      </c>
      <c r="E2085" s="6" t="s">
        <v>1560</v>
      </c>
      <c r="F2085" s="6" t="s">
        <v>1540</v>
      </c>
      <c r="G2085" s="6" t="str">
        <f aca="false">INDEX(Archetypes!$D$2:$D$127, MATCH(D2085, Archetypes!$A$2:$A$127, 0))</f>
        <v>Flagship</v>
      </c>
      <c r="H2085" s="6" t="n">
        <f aca="false">ROUND(INDEX(Archetypes!$E$2:$E$127, MATCH(D2085, Archetypes!$A$2:$A$127, 0))*INDEX(Unit_Grades!$B$2:$B$7, MATCH(F2085, Unit_Grades!$A$2:$A$7, 0))*INDEX(Unit_Paths!$B$2:$B$4, MATCH(E2085, Unit_Paths!$A$2:$A$4, 0)),1)</f>
        <v>4590</v>
      </c>
      <c r="I2085" s="6" t="n">
        <f aca="false">ROUND(INDEX(Archetypes!$F$2:$F$127, MATCH(D2085, Archetypes!$A$2:$A$127, 0))*INDEX(Unit_Grades!$B$2:$B$7, MATCH(F2085, Unit_Grades!$A$2:$A$7, 0))*INDEX(Unit_Paths!$C$2:$C$4, MATCH(E2085, Unit_Paths!$A$2:$A$4, 0)),1)</f>
        <v>5062.5</v>
      </c>
      <c r="J2085" s="6" t="n">
        <f aca="false">ROUND(INDEX(Archetypes!$G$2:$G$127, MATCH(D2085, Archetypes!$A$2:$A$127, 0))*INDEX(Unit_Grades!$B$2:$B$7, MATCH(F2085, Unit_Grades!$A$2:$A$7, 0))*INDEX(Unit_Paths!$D$2:$D$4, MATCH(E2085, Unit_Paths!$A$2:$A$4, 0)),0)</f>
        <v>40365</v>
      </c>
      <c r="K2085" s="6" t="n">
        <f aca="false">ROUND(INDEX(Archetypes!$H$2:$H$127, MATCH(D2085, Archetypes!$A$2:$A$127, 0))*INDEX(Unit_Paths!$E$2:$E$4, MATCH(E2085, Unit_Paths!$A$2:$A$4, 0)),1)</f>
        <v>55.2</v>
      </c>
      <c r="L2085" s="6" t="n">
        <f aca="false">ROUND(INDEX(Archetypes!$I$2:$I$127, MATCH(D2085, Archetypes!$A$2:$A$127, 0))*INDEX(Unit_Grades!$C$2:$C$7, MATCH(F2085, Unit_Grades!$A$2:$A$7, 0)),1)</f>
        <v>1125</v>
      </c>
      <c r="M2085" s="6" t="n">
        <f aca="false">ROUND(INDEX(Archetypes!$J$2:$J$127, MATCH(D2085, Archetypes!$A$2:$A$127, 0))*INDEX(Unit_Grades!$D$2:$D$7, MATCH(F2085, Unit_Grades!$A$2:$A$7, 0)),1)</f>
        <v>547.9</v>
      </c>
      <c r="N2085" s="6" t="n">
        <f aca="false">ROUND(M2085/24,2)</f>
        <v>22.83</v>
      </c>
    </row>
    <row r="2086" customFormat="false" ht="15" hidden="false" customHeight="true" outlineLevel="0" collapsed="false">
      <c r="A2086" s="6" t="n">
        <v>7</v>
      </c>
      <c r="B2086" s="6" t="s">
        <v>3538</v>
      </c>
      <c r="C2086" s="6" t="s">
        <v>1511</v>
      </c>
      <c r="D2086" s="6" t="str">
        <f aca="false">A2086&amp;"|"&amp;C2086</f>
        <v>7|Path Avatar</v>
      </c>
      <c r="E2086" s="6" t="s">
        <v>1560</v>
      </c>
      <c r="F2086" s="6" t="s">
        <v>1542</v>
      </c>
      <c r="G2086" s="6" t="str">
        <f aca="false">INDEX(Archetypes!$D$2:$D$127, MATCH(D2086, Archetypes!$A$2:$A$127, 0))</f>
        <v>Flagship</v>
      </c>
      <c r="H2086" s="6" t="n">
        <f aca="false">ROUND(INDEX(Archetypes!$E$2:$E$127, MATCH(D2086, Archetypes!$A$2:$A$127, 0))*INDEX(Unit_Grades!$B$2:$B$7, MATCH(F2086, Unit_Grades!$A$2:$A$7, 0))*INDEX(Unit_Paths!$B$2:$B$4, MATCH(E2086, Unit_Paths!$A$2:$A$4, 0)),1)</f>
        <v>6120</v>
      </c>
      <c r="I2086" s="6" t="n">
        <f aca="false">ROUND(INDEX(Archetypes!$F$2:$F$127, MATCH(D2086, Archetypes!$A$2:$A$127, 0))*INDEX(Unit_Grades!$B$2:$B$7, MATCH(F2086, Unit_Grades!$A$2:$A$7, 0))*INDEX(Unit_Paths!$C$2:$C$4, MATCH(E2086, Unit_Paths!$A$2:$A$4, 0)),1)</f>
        <v>6750</v>
      </c>
      <c r="J2086" s="6" t="n">
        <f aca="false">ROUND(INDEX(Archetypes!$G$2:$G$127, MATCH(D2086, Archetypes!$A$2:$A$127, 0))*INDEX(Unit_Grades!$B$2:$B$7, MATCH(F2086, Unit_Grades!$A$2:$A$7, 0))*INDEX(Unit_Paths!$D$2:$D$4, MATCH(E2086, Unit_Paths!$A$2:$A$4, 0)),0)</f>
        <v>53820</v>
      </c>
      <c r="K2086" s="6" t="n">
        <f aca="false">ROUND(INDEX(Archetypes!$H$2:$H$127, MATCH(D2086, Archetypes!$A$2:$A$127, 0))*INDEX(Unit_Paths!$E$2:$E$4, MATCH(E2086, Unit_Paths!$A$2:$A$4, 0)),1)</f>
        <v>55.2</v>
      </c>
      <c r="L2086" s="6" t="n">
        <f aca="false">ROUND(INDEX(Archetypes!$I$2:$I$127, MATCH(D2086, Archetypes!$A$2:$A$127, 0))*INDEX(Unit_Grades!$C$2:$C$7, MATCH(F2086, Unit_Grades!$A$2:$A$7, 0)),1)</f>
        <v>1440</v>
      </c>
      <c r="M2086" s="6" t="n">
        <f aca="false">ROUND(INDEX(Archetypes!$J$2:$J$127, MATCH(D2086, Archetypes!$A$2:$A$127, 0))*INDEX(Unit_Grades!$D$2:$D$7, MATCH(F2086, Unit_Grades!$A$2:$A$7, 0)),1)</f>
        <v>913.1</v>
      </c>
      <c r="N2086" s="6" t="n">
        <f aca="false">ROUND(M2086/24,2)</f>
        <v>38.05</v>
      </c>
    </row>
    <row r="2087" customFormat="false" ht="15" hidden="false" customHeight="true" outlineLevel="0" collapsed="false">
      <c r="A2087" s="6" t="n">
        <v>7</v>
      </c>
      <c r="B2087" s="6" t="s">
        <v>3539</v>
      </c>
      <c r="C2087" s="6" t="s">
        <v>1511</v>
      </c>
      <c r="D2087" s="6" t="str">
        <f aca="false">A2087&amp;"|"&amp;C2087</f>
        <v>7|Path Avatar</v>
      </c>
      <c r="E2087" s="6" t="s">
        <v>1560</v>
      </c>
      <c r="F2087" s="6" t="s">
        <v>1544</v>
      </c>
      <c r="G2087" s="6" t="str">
        <f aca="false">INDEX(Archetypes!$D$2:$D$127, MATCH(D2087, Archetypes!$A$2:$A$127, 0))</f>
        <v>Flagship</v>
      </c>
      <c r="H2087" s="6" t="n">
        <f aca="false">ROUND(INDEX(Archetypes!$E$2:$E$127, MATCH(D2087, Archetypes!$A$2:$A$127, 0))*INDEX(Unit_Grades!$B$2:$B$7, MATCH(F2087, Unit_Grades!$A$2:$A$7, 0))*INDEX(Unit_Paths!$B$2:$B$4, MATCH(E2087, Unit_Paths!$A$2:$A$4, 0)),1)</f>
        <v>8160</v>
      </c>
      <c r="I2087" s="6" t="n">
        <f aca="false">ROUND(INDEX(Archetypes!$F$2:$F$127, MATCH(D2087, Archetypes!$A$2:$A$127, 0))*INDEX(Unit_Grades!$B$2:$B$7, MATCH(F2087, Unit_Grades!$A$2:$A$7, 0))*INDEX(Unit_Paths!$C$2:$C$4, MATCH(E2087, Unit_Paths!$A$2:$A$4, 0)),1)</f>
        <v>9000</v>
      </c>
      <c r="J2087" s="6" t="n">
        <f aca="false">ROUND(INDEX(Archetypes!$G$2:$G$127, MATCH(D2087, Archetypes!$A$2:$A$127, 0))*INDEX(Unit_Grades!$B$2:$B$7, MATCH(F2087, Unit_Grades!$A$2:$A$7, 0))*INDEX(Unit_Paths!$D$2:$D$4, MATCH(E2087, Unit_Paths!$A$2:$A$4, 0)),0)</f>
        <v>71760</v>
      </c>
      <c r="K2087" s="6" t="n">
        <f aca="false">ROUND(INDEX(Archetypes!$H$2:$H$127, MATCH(D2087, Archetypes!$A$2:$A$127, 0))*INDEX(Unit_Paths!$E$2:$E$4, MATCH(E2087, Unit_Paths!$A$2:$A$4, 0)),1)</f>
        <v>55.2</v>
      </c>
      <c r="L2087" s="6" t="n">
        <f aca="false">ROUND(INDEX(Archetypes!$I$2:$I$127, MATCH(D2087, Archetypes!$A$2:$A$127, 0))*INDEX(Unit_Grades!$C$2:$C$7, MATCH(F2087, Unit_Grades!$A$2:$A$7, 0)),1)</f>
        <v>1890</v>
      </c>
      <c r="M2087" s="6" t="n">
        <f aca="false">ROUND(INDEX(Archetypes!$J$2:$J$127, MATCH(D2087, Archetypes!$A$2:$A$127, 0))*INDEX(Unit_Grades!$D$2:$D$7, MATCH(F2087, Unit_Grades!$A$2:$A$7, 0)),1)</f>
        <v>1461</v>
      </c>
      <c r="N2087" s="6" t="n">
        <f aca="false">ROUND(M2087/24,2)</f>
        <v>60.88</v>
      </c>
    </row>
    <row r="2088" customFormat="false" ht="15" hidden="false" customHeight="true" outlineLevel="0" collapsed="false">
      <c r="A2088" s="6" t="n">
        <v>7</v>
      </c>
      <c r="B2088" s="6" t="s">
        <v>3540</v>
      </c>
      <c r="C2088" s="6" t="s">
        <v>1511</v>
      </c>
      <c r="D2088" s="6" t="str">
        <f aca="false">A2088&amp;"|"&amp;C2088</f>
        <v>7|Path Avatar</v>
      </c>
      <c r="E2088" s="6" t="s">
        <v>1560</v>
      </c>
      <c r="F2088" s="6" t="s">
        <v>1546</v>
      </c>
      <c r="G2088" s="6" t="str">
        <f aca="false">INDEX(Archetypes!$D$2:$D$127, MATCH(D2088, Archetypes!$A$2:$A$127, 0))</f>
        <v>Flagship</v>
      </c>
      <c r="H2088" s="6" t="n">
        <f aca="false">ROUND(INDEX(Archetypes!$E$2:$E$127, MATCH(D2088, Archetypes!$A$2:$A$127, 0))*INDEX(Unit_Grades!$B$2:$B$7, MATCH(F2088, Unit_Grades!$A$2:$A$7, 0))*INDEX(Unit_Paths!$B$2:$B$4, MATCH(E2088, Unit_Paths!$A$2:$A$4, 0)),1)</f>
        <v>10880</v>
      </c>
      <c r="I2088" s="6" t="n">
        <f aca="false">ROUND(INDEX(Archetypes!$F$2:$F$127, MATCH(D2088, Archetypes!$A$2:$A$127, 0))*INDEX(Unit_Grades!$B$2:$B$7, MATCH(F2088, Unit_Grades!$A$2:$A$7, 0))*INDEX(Unit_Paths!$C$2:$C$4, MATCH(E2088, Unit_Paths!$A$2:$A$4, 0)),1)</f>
        <v>12000</v>
      </c>
      <c r="J2088" s="6" t="n">
        <f aca="false">ROUND(INDEX(Archetypes!$G$2:$G$127, MATCH(D2088, Archetypes!$A$2:$A$127, 0))*INDEX(Unit_Grades!$B$2:$B$7, MATCH(F2088, Unit_Grades!$A$2:$A$7, 0))*INDEX(Unit_Paths!$D$2:$D$4, MATCH(E2088, Unit_Paths!$A$2:$A$4, 0)),0)</f>
        <v>95680</v>
      </c>
      <c r="K2088" s="6" t="n">
        <f aca="false">ROUND(INDEX(Archetypes!$H$2:$H$127, MATCH(D2088, Archetypes!$A$2:$A$127, 0))*INDEX(Unit_Paths!$E$2:$E$4, MATCH(E2088, Unit_Paths!$A$2:$A$4, 0)),1)</f>
        <v>55.2</v>
      </c>
      <c r="L2088" s="6" t="n">
        <f aca="false">ROUND(INDEX(Archetypes!$I$2:$I$127, MATCH(D2088, Archetypes!$A$2:$A$127, 0))*INDEX(Unit_Grades!$C$2:$C$7, MATCH(F2088, Unit_Grades!$A$2:$A$7, 0)),1)</f>
        <v>2520</v>
      </c>
      <c r="M2088" s="6" t="n">
        <f aca="false">ROUND(INDEX(Archetypes!$J$2:$J$127, MATCH(D2088, Archetypes!$A$2:$A$127, 0))*INDEX(Unit_Grades!$D$2:$D$7, MATCH(F2088, Unit_Grades!$A$2:$A$7, 0)),1)</f>
        <v>2556.8</v>
      </c>
      <c r="N2088" s="6" t="n">
        <f aca="false">ROUND(M2088/24,2)</f>
        <v>106.53</v>
      </c>
    </row>
    <row r="2089" customFormat="false" ht="15" hidden="false" customHeight="true" outlineLevel="0" collapsed="false">
      <c r="A2089" s="6" t="n">
        <v>7</v>
      </c>
      <c r="B2089" s="6" t="s">
        <v>3541</v>
      </c>
      <c r="C2089" s="6" t="s">
        <v>1511</v>
      </c>
      <c r="D2089" s="6" t="str">
        <f aca="false">A2089&amp;"|"&amp;C2089</f>
        <v>7|Path Avatar</v>
      </c>
      <c r="E2089" s="6" t="s">
        <v>1560</v>
      </c>
      <c r="F2089" s="6" t="s">
        <v>1548</v>
      </c>
      <c r="G2089" s="6" t="str">
        <f aca="false">INDEX(Archetypes!$D$2:$D$127, MATCH(D2089, Archetypes!$A$2:$A$127, 0))</f>
        <v>Flagship</v>
      </c>
      <c r="H2089" s="6" t="n">
        <f aca="false">ROUND(INDEX(Archetypes!$E$2:$E$127, MATCH(D2089, Archetypes!$A$2:$A$127, 0))*INDEX(Unit_Grades!$B$2:$B$7, MATCH(F2089, Unit_Grades!$A$2:$A$7, 0))*INDEX(Unit_Paths!$B$2:$B$4, MATCH(E2089, Unit_Paths!$A$2:$A$4, 0)),1)</f>
        <v>14280</v>
      </c>
      <c r="I2089" s="6" t="n">
        <f aca="false">ROUND(INDEX(Archetypes!$F$2:$F$127, MATCH(D2089, Archetypes!$A$2:$A$127, 0))*INDEX(Unit_Grades!$B$2:$B$7, MATCH(F2089, Unit_Grades!$A$2:$A$7, 0))*INDEX(Unit_Paths!$C$2:$C$4, MATCH(E2089, Unit_Paths!$A$2:$A$4, 0)),1)</f>
        <v>15750</v>
      </c>
      <c r="J2089" s="6" t="n">
        <f aca="false">ROUND(INDEX(Archetypes!$G$2:$G$127, MATCH(D2089, Archetypes!$A$2:$A$127, 0))*INDEX(Unit_Grades!$B$2:$B$7, MATCH(F2089, Unit_Grades!$A$2:$A$7, 0))*INDEX(Unit_Paths!$D$2:$D$4, MATCH(E2089, Unit_Paths!$A$2:$A$4, 0)),0)</f>
        <v>125580</v>
      </c>
      <c r="K2089" s="6" t="n">
        <f aca="false">ROUND(INDEX(Archetypes!$H$2:$H$127, MATCH(D2089, Archetypes!$A$2:$A$127, 0))*INDEX(Unit_Paths!$E$2:$E$4, MATCH(E2089, Unit_Paths!$A$2:$A$4, 0)),1)</f>
        <v>55.2</v>
      </c>
      <c r="L2089" s="6" t="n">
        <f aca="false">ROUND(INDEX(Archetypes!$I$2:$I$127, MATCH(D2089, Archetypes!$A$2:$A$127, 0))*INDEX(Unit_Grades!$C$2:$C$7, MATCH(F2089, Unit_Grades!$A$2:$A$7, 0)),1)</f>
        <v>3330</v>
      </c>
      <c r="M2089" s="6" t="n">
        <f aca="false">ROUND(INDEX(Archetypes!$J$2:$J$127, MATCH(D2089, Archetypes!$A$2:$A$127, 0))*INDEX(Unit_Grades!$D$2:$D$7, MATCH(F2089, Unit_Grades!$A$2:$A$7, 0)),1)</f>
        <v>4383</v>
      </c>
      <c r="N2089" s="6" t="n">
        <f aca="false">ROUND(M2089/24,2)</f>
        <v>182.63</v>
      </c>
    </row>
    <row r="2090" customFormat="false" ht="15" hidden="false" customHeight="true" outlineLevel="0" collapsed="false">
      <c r="A2090" s="6" t="n">
        <v>7</v>
      </c>
      <c r="B2090" s="6" t="s">
        <v>1513</v>
      </c>
      <c r="C2090" s="6" t="s">
        <v>1513</v>
      </c>
      <c r="D2090" s="6" t="str">
        <f aca="false">A2090&amp;"|"&amp;C2090</f>
        <v>7|Void Ark</v>
      </c>
      <c r="E2090" s="6" t="s">
        <v>1556</v>
      </c>
      <c r="F2090" s="6" t="s">
        <v>1538</v>
      </c>
      <c r="G2090" s="6" t="str">
        <f aca="false">INDEX(Archetypes!$D$2:$D$127, MATCH(D2090, Archetypes!$A$2:$A$127, 0))</f>
        <v>Mobile Capital</v>
      </c>
      <c r="H2090" s="6" t="n">
        <f aca="false">ROUND(INDEX(Archetypes!$E$2:$E$127, MATCH(D2090, Archetypes!$A$2:$A$127, 0))*INDEX(Unit_Grades!$B$2:$B$7, MATCH(F2090, Unit_Grades!$A$2:$A$7, 0))*INDEX(Unit_Paths!$B$2:$B$4, MATCH(E2090, Unit_Paths!$A$2:$A$4, 0)),1)</f>
        <v>2000</v>
      </c>
      <c r="I2090" s="6" t="n">
        <f aca="false">ROUND(INDEX(Archetypes!$F$2:$F$127, MATCH(D2090, Archetypes!$A$2:$A$127, 0))*INDEX(Unit_Grades!$B$2:$B$7, MATCH(F2090, Unit_Grades!$A$2:$A$7, 0))*INDEX(Unit_Paths!$C$2:$C$4, MATCH(E2090, Unit_Paths!$A$2:$A$4, 0)),1)</f>
        <v>2800</v>
      </c>
      <c r="J2090" s="6" t="n">
        <f aca="false">ROUND(INDEX(Archetypes!$G$2:$G$127, MATCH(D2090, Archetypes!$A$2:$A$127, 0))*INDEX(Unit_Grades!$B$2:$B$7, MATCH(F2090, Unit_Grades!$A$2:$A$7, 0))*INDEX(Unit_Paths!$D$2:$D$4, MATCH(E2090, Unit_Paths!$A$2:$A$4, 0)),0)</f>
        <v>30000</v>
      </c>
      <c r="K2090" s="6" t="n">
        <f aca="false">ROUND(INDEX(Archetypes!$H$2:$H$127, MATCH(D2090, Archetypes!$A$2:$A$127, 0))*INDEX(Unit_Paths!$E$2:$E$4, MATCH(E2090, Unit_Paths!$A$2:$A$4, 0)),1)</f>
        <v>36</v>
      </c>
      <c r="L2090" s="6" t="n">
        <f aca="false">ROUND(INDEX(Archetypes!$I$2:$I$127, MATCH(D2090, Archetypes!$A$2:$A$127, 0))*INDEX(Unit_Grades!$C$2:$C$7, MATCH(F2090, Unit_Grades!$A$2:$A$7, 0)),1)</f>
        <v>600</v>
      </c>
      <c r="M2090" s="6" t="n">
        <f aca="false">ROUND(INDEX(Archetypes!$J$2:$J$127, MATCH(D2090, Archetypes!$A$2:$A$127, 0))*INDEX(Unit_Grades!$D$2:$D$7, MATCH(F2090, Unit_Grades!$A$2:$A$7, 0)),1)</f>
        <v>243.5</v>
      </c>
      <c r="N2090" s="6" t="n">
        <f aca="false">ROUND(M2090/24,2)</f>
        <v>10.15</v>
      </c>
    </row>
    <row r="2091" customFormat="false" ht="15" hidden="false" customHeight="true" outlineLevel="0" collapsed="false">
      <c r="A2091" s="6" t="n">
        <v>7</v>
      </c>
      <c r="B2091" s="6" t="s">
        <v>3542</v>
      </c>
      <c r="C2091" s="6" t="s">
        <v>1513</v>
      </c>
      <c r="D2091" s="6" t="str">
        <f aca="false">A2091&amp;"|"&amp;C2091</f>
        <v>7|Void Ark</v>
      </c>
      <c r="E2091" s="6" t="s">
        <v>1556</v>
      </c>
      <c r="F2091" s="6" t="s">
        <v>1540</v>
      </c>
      <c r="G2091" s="6" t="str">
        <f aca="false">INDEX(Archetypes!$D$2:$D$127, MATCH(D2091, Archetypes!$A$2:$A$127, 0))</f>
        <v>Mobile Capital</v>
      </c>
      <c r="H2091" s="6" t="n">
        <f aca="false">ROUND(INDEX(Archetypes!$E$2:$E$127, MATCH(D2091, Archetypes!$A$2:$A$127, 0))*INDEX(Unit_Grades!$B$2:$B$7, MATCH(F2091, Unit_Grades!$A$2:$A$7, 0))*INDEX(Unit_Paths!$B$2:$B$4, MATCH(E2091, Unit_Paths!$A$2:$A$4, 0)),1)</f>
        <v>2700</v>
      </c>
      <c r="I2091" s="6" t="n">
        <f aca="false">ROUND(INDEX(Archetypes!$F$2:$F$127, MATCH(D2091, Archetypes!$A$2:$A$127, 0))*INDEX(Unit_Grades!$B$2:$B$7, MATCH(F2091, Unit_Grades!$A$2:$A$7, 0))*INDEX(Unit_Paths!$C$2:$C$4, MATCH(E2091, Unit_Paths!$A$2:$A$4, 0)),1)</f>
        <v>3780</v>
      </c>
      <c r="J2091" s="6" t="n">
        <f aca="false">ROUND(INDEX(Archetypes!$G$2:$G$127, MATCH(D2091, Archetypes!$A$2:$A$127, 0))*INDEX(Unit_Grades!$B$2:$B$7, MATCH(F2091, Unit_Grades!$A$2:$A$7, 0))*INDEX(Unit_Paths!$D$2:$D$4, MATCH(E2091, Unit_Paths!$A$2:$A$4, 0)),0)</f>
        <v>40500</v>
      </c>
      <c r="K2091" s="6" t="n">
        <f aca="false">ROUND(INDEX(Archetypes!$H$2:$H$127, MATCH(D2091, Archetypes!$A$2:$A$127, 0))*INDEX(Unit_Paths!$E$2:$E$4, MATCH(E2091, Unit_Paths!$A$2:$A$4, 0)),1)</f>
        <v>36</v>
      </c>
      <c r="L2091" s="6" t="n">
        <f aca="false">ROUND(INDEX(Archetypes!$I$2:$I$127, MATCH(D2091, Archetypes!$A$2:$A$127, 0))*INDEX(Unit_Grades!$C$2:$C$7, MATCH(F2091, Unit_Grades!$A$2:$A$7, 0)),1)</f>
        <v>750</v>
      </c>
      <c r="M2091" s="6" t="n">
        <f aca="false">ROUND(INDEX(Archetypes!$J$2:$J$127, MATCH(D2091, Archetypes!$A$2:$A$127, 0))*INDEX(Unit_Grades!$D$2:$D$7, MATCH(F2091, Unit_Grades!$A$2:$A$7, 0)),1)</f>
        <v>365.3</v>
      </c>
      <c r="N2091" s="6" t="n">
        <f aca="false">ROUND(M2091/24,2)</f>
        <v>15.22</v>
      </c>
    </row>
    <row r="2092" customFormat="false" ht="15" hidden="false" customHeight="true" outlineLevel="0" collapsed="false">
      <c r="A2092" s="6" t="n">
        <v>7</v>
      </c>
      <c r="B2092" s="6" t="s">
        <v>3543</v>
      </c>
      <c r="C2092" s="6" t="s">
        <v>1513</v>
      </c>
      <c r="D2092" s="6" t="str">
        <f aca="false">A2092&amp;"|"&amp;C2092</f>
        <v>7|Void Ark</v>
      </c>
      <c r="E2092" s="6" t="s">
        <v>1556</v>
      </c>
      <c r="F2092" s="6" t="s">
        <v>1542</v>
      </c>
      <c r="G2092" s="6" t="str">
        <f aca="false">INDEX(Archetypes!$D$2:$D$127, MATCH(D2092, Archetypes!$A$2:$A$127, 0))</f>
        <v>Mobile Capital</v>
      </c>
      <c r="H2092" s="6" t="n">
        <f aca="false">ROUND(INDEX(Archetypes!$E$2:$E$127, MATCH(D2092, Archetypes!$A$2:$A$127, 0))*INDEX(Unit_Grades!$B$2:$B$7, MATCH(F2092, Unit_Grades!$A$2:$A$7, 0))*INDEX(Unit_Paths!$B$2:$B$4, MATCH(E2092, Unit_Paths!$A$2:$A$4, 0)),1)</f>
        <v>3600</v>
      </c>
      <c r="I2092" s="6" t="n">
        <f aca="false">ROUND(INDEX(Archetypes!$F$2:$F$127, MATCH(D2092, Archetypes!$A$2:$A$127, 0))*INDEX(Unit_Grades!$B$2:$B$7, MATCH(F2092, Unit_Grades!$A$2:$A$7, 0))*INDEX(Unit_Paths!$C$2:$C$4, MATCH(E2092, Unit_Paths!$A$2:$A$4, 0)),1)</f>
        <v>5040</v>
      </c>
      <c r="J2092" s="6" t="n">
        <f aca="false">ROUND(INDEX(Archetypes!$G$2:$G$127, MATCH(D2092, Archetypes!$A$2:$A$127, 0))*INDEX(Unit_Grades!$B$2:$B$7, MATCH(F2092, Unit_Grades!$A$2:$A$7, 0))*INDEX(Unit_Paths!$D$2:$D$4, MATCH(E2092, Unit_Paths!$A$2:$A$4, 0)),0)</f>
        <v>54000</v>
      </c>
      <c r="K2092" s="6" t="n">
        <f aca="false">ROUND(INDEX(Archetypes!$H$2:$H$127, MATCH(D2092, Archetypes!$A$2:$A$127, 0))*INDEX(Unit_Paths!$E$2:$E$4, MATCH(E2092, Unit_Paths!$A$2:$A$4, 0)),1)</f>
        <v>36</v>
      </c>
      <c r="L2092" s="6" t="n">
        <f aca="false">ROUND(INDEX(Archetypes!$I$2:$I$127, MATCH(D2092, Archetypes!$A$2:$A$127, 0))*INDEX(Unit_Grades!$C$2:$C$7, MATCH(F2092, Unit_Grades!$A$2:$A$7, 0)),1)</f>
        <v>960</v>
      </c>
      <c r="M2092" s="6" t="n">
        <f aca="false">ROUND(INDEX(Archetypes!$J$2:$J$127, MATCH(D2092, Archetypes!$A$2:$A$127, 0))*INDEX(Unit_Grades!$D$2:$D$7, MATCH(F2092, Unit_Grades!$A$2:$A$7, 0)),1)</f>
        <v>608.8</v>
      </c>
      <c r="N2092" s="6" t="n">
        <f aca="false">ROUND(M2092/24,2)</f>
        <v>25.37</v>
      </c>
    </row>
    <row r="2093" customFormat="false" ht="15" hidden="false" customHeight="true" outlineLevel="0" collapsed="false">
      <c r="A2093" s="6" t="n">
        <v>7</v>
      </c>
      <c r="B2093" s="6" t="s">
        <v>3544</v>
      </c>
      <c r="C2093" s="6" t="s">
        <v>1513</v>
      </c>
      <c r="D2093" s="6" t="str">
        <f aca="false">A2093&amp;"|"&amp;C2093</f>
        <v>7|Void Ark</v>
      </c>
      <c r="E2093" s="6" t="s">
        <v>1556</v>
      </c>
      <c r="F2093" s="6" t="s">
        <v>1544</v>
      </c>
      <c r="G2093" s="6" t="str">
        <f aca="false">INDEX(Archetypes!$D$2:$D$127, MATCH(D2093, Archetypes!$A$2:$A$127, 0))</f>
        <v>Mobile Capital</v>
      </c>
      <c r="H2093" s="6" t="n">
        <f aca="false">ROUND(INDEX(Archetypes!$E$2:$E$127, MATCH(D2093, Archetypes!$A$2:$A$127, 0))*INDEX(Unit_Grades!$B$2:$B$7, MATCH(F2093, Unit_Grades!$A$2:$A$7, 0))*INDEX(Unit_Paths!$B$2:$B$4, MATCH(E2093, Unit_Paths!$A$2:$A$4, 0)),1)</f>
        <v>4800</v>
      </c>
      <c r="I2093" s="6" t="n">
        <f aca="false">ROUND(INDEX(Archetypes!$F$2:$F$127, MATCH(D2093, Archetypes!$A$2:$A$127, 0))*INDEX(Unit_Grades!$B$2:$B$7, MATCH(F2093, Unit_Grades!$A$2:$A$7, 0))*INDEX(Unit_Paths!$C$2:$C$4, MATCH(E2093, Unit_Paths!$A$2:$A$4, 0)),1)</f>
        <v>6720</v>
      </c>
      <c r="J2093" s="6" t="n">
        <f aca="false">ROUND(INDEX(Archetypes!$G$2:$G$127, MATCH(D2093, Archetypes!$A$2:$A$127, 0))*INDEX(Unit_Grades!$B$2:$B$7, MATCH(F2093, Unit_Grades!$A$2:$A$7, 0))*INDEX(Unit_Paths!$D$2:$D$4, MATCH(E2093, Unit_Paths!$A$2:$A$4, 0)),0)</f>
        <v>72000</v>
      </c>
      <c r="K2093" s="6" t="n">
        <f aca="false">ROUND(INDEX(Archetypes!$H$2:$H$127, MATCH(D2093, Archetypes!$A$2:$A$127, 0))*INDEX(Unit_Paths!$E$2:$E$4, MATCH(E2093, Unit_Paths!$A$2:$A$4, 0)),1)</f>
        <v>36</v>
      </c>
      <c r="L2093" s="6" t="n">
        <f aca="false">ROUND(INDEX(Archetypes!$I$2:$I$127, MATCH(D2093, Archetypes!$A$2:$A$127, 0))*INDEX(Unit_Grades!$C$2:$C$7, MATCH(F2093, Unit_Grades!$A$2:$A$7, 0)),1)</f>
        <v>1260</v>
      </c>
      <c r="M2093" s="6" t="n">
        <f aca="false">ROUND(INDEX(Archetypes!$J$2:$J$127, MATCH(D2093, Archetypes!$A$2:$A$127, 0))*INDEX(Unit_Grades!$D$2:$D$7, MATCH(F2093, Unit_Grades!$A$2:$A$7, 0)),1)</f>
        <v>974</v>
      </c>
      <c r="N2093" s="6" t="n">
        <f aca="false">ROUND(M2093/24,2)</f>
        <v>40.58</v>
      </c>
    </row>
    <row r="2094" customFormat="false" ht="15" hidden="false" customHeight="true" outlineLevel="0" collapsed="false">
      <c r="A2094" s="6" t="n">
        <v>7</v>
      </c>
      <c r="B2094" s="6" t="s">
        <v>3545</v>
      </c>
      <c r="C2094" s="6" t="s">
        <v>1513</v>
      </c>
      <c r="D2094" s="6" t="str">
        <f aca="false">A2094&amp;"|"&amp;C2094</f>
        <v>7|Void Ark</v>
      </c>
      <c r="E2094" s="6" t="s">
        <v>1556</v>
      </c>
      <c r="F2094" s="6" t="s">
        <v>1546</v>
      </c>
      <c r="G2094" s="6" t="str">
        <f aca="false">INDEX(Archetypes!$D$2:$D$127, MATCH(D2094, Archetypes!$A$2:$A$127, 0))</f>
        <v>Mobile Capital</v>
      </c>
      <c r="H2094" s="6" t="n">
        <f aca="false">ROUND(INDEX(Archetypes!$E$2:$E$127, MATCH(D2094, Archetypes!$A$2:$A$127, 0))*INDEX(Unit_Grades!$B$2:$B$7, MATCH(F2094, Unit_Grades!$A$2:$A$7, 0))*INDEX(Unit_Paths!$B$2:$B$4, MATCH(E2094, Unit_Paths!$A$2:$A$4, 0)),1)</f>
        <v>6400</v>
      </c>
      <c r="I2094" s="6" t="n">
        <f aca="false">ROUND(INDEX(Archetypes!$F$2:$F$127, MATCH(D2094, Archetypes!$A$2:$A$127, 0))*INDEX(Unit_Grades!$B$2:$B$7, MATCH(F2094, Unit_Grades!$A$2:$A$7, 0))*INDEX(Unit_Paths!$C$2:$C$4, MATCH(E2094, Unit_Paths!$A$2:$A$4, 0)),1)</f>
        <v>8960</v>
      </c>
      <c r="J2094" s="6" t="n">
        <f aca="false">ROUND(INDEX(Archetypes!$G$2:$G$127, MATCH(D2094, Archetypes!$A$2:$A$127, 0))*INDEX(Unit_Grades!$B$2:$B$7, MATCH(F2094, Unit_Grades!$A$2:$A$7, 0))*INDEX(Unit_Paths!$D$2:$D$4, MATCH(E2094, Unit_Paths!$A$2:$A$4, 0)),0)</f>
        <v>96000</v>
      </c>
      <c r="K2094" s="6" t="n">
        <f aca="false">ROUND(INDEX(Archetypes!$H$2:$H$127, MATCH(D2094, Archetypes!$A$2:$A$127, 0))*INDEX(Unit_Paths!$E$2:$E$4, MATCH(E2094, Unit_Paths!$A$2:$A$4, 0)),1)</f>
        <v>36</v>
      </c>
      <c r="L2094" s="6" t="n">
        <f aca="false">ROUND(INDEX(Archetypes!$I$2:$I$127, MATCH(D2094, Archetypes!$A$2:$A$127, 0))*INDEX(Unit_Grades!$C$2:$C$7, MATCH(F2094, Unit_Grades!$A$2:$A$7, 0)),1)</f>
        <v>1680</v>
      </c>
      <c r="M2094" s="6" t="n">
        <f aca="false">ROUND(INDEX(Archetypes!$J$2:$J$127, MATCH(D2094, Archetypes!$A$2:$A$127, 0))*INDEX(Unit_Grades!$D$2:$D$7, MATCH(F2094, Unit_Grades!$A$2:$A$7, 0)),1)</f>
        <v>1704.5</v>
      </c>
      <c r="N2094" s="6" t="n">
        <f aca="false">ROUND(M2094/24,2)</f>
        <v>71.02</v>
      </c>
    </row>
    <row r="2095" customFormat="false" ht="15" hidden="false" customHeight="true" outlineLevel="0" collapsed="false">
      <c r="A2095" s="6" t="n">
        <v>7</v>
      </c>
      <c r="B2095" s="6" t="s">
        <v>3546</v>
      </c>
      <c r="C2095" s="6" t="s">
        <v>1513</v>
      </c>
      <c r="D2095" s="6" t="str">
        <f aca="false">A2095&amp;"|"&amp;C2095</f>
        <v>7|Void Ark</v>
      </c>
      <c r="E2095" s="6" t="s">
        <v>1556</v>
      </c>
      <c r="F2095" s="6" t="s">
        <v>1548</v>
      </c>
      <c r="G2095" s="6" t="str">
        <f aca="false">INDEX(Archetypes!$D$2:$D$127, MATCH(D2095, Archetypes!$A$2:$A$127, 0))</f>
        <v>Mobile Capital</v>
      </c>
      <c r="H2095" s="6" t="n">
        <f aca="false">ROUND(INDEX(Archetypes!$E$2:$E$127, MATCH(D2095, Archetypes!$A$2:$A$127, 0))*INDEX(Unit_Grades!$B$2:$B$7, MATCH(F2095, Unit_Grades!$A$2:$A$7, 0))*INDEX(Unit_Paths!$B$2:$B$4, MATCH(E2095, Unit_Paths!$A$2:$A$4, 0)),1)</f>
        <v>8400</v>
      </c>
      <c r="I2095" s="6" t="n">
        <f aca="false">ROUND(INDEX(Archetypes!$F$2:$F$127, MATCH(D2095, Archetypes!$A$2:$A$127, 0))*INDEX(Unit_Grades!$B$2:$B$7, MATCH(F2095, Unit_Grades!$A$2:$A$7, 0))*INDEX(Unit_Paths!$C$2:$C$4, MATCH(E2095, Unit_Paths!$A$2:$A$4, 0)),1)</f>
        <v>11760</v>
      </c>
      <c r="J2095" s="6" t="n">
        <f aca="false">ROUND(INDEX(Archetypes!$G$2:$G$127, MATCH(D2095, Archetypes!$A$2:$A$127, 0))*INDEX(Unit_Grades!$B$2:$B$7, MATCH(F2095, Unit_Grades!$A$2:$A$7, 0))*INDEX(Unit_Paths!$D$2:$D$4, MATCH(E2095, Unit_Paths!$A$2:$A$4, 0)),0)</f>
        <v>126000</v>
      </c>
      <c r="K2095" s="6" t="n">
        <f aca="false">ROUND(INDEX(Archetypes!$H$2:$H$127, MATCH(D2095, Archetypes!$A$2:$A$127, 0))*INDEX(Unit_Paths!$E$2:$E$4, MATCH(E2095, Unit_Paths!$A$2:$A$4, 0)),1)</f>
        <v>36</v>
      </c>
      <c r="L2095" s="6" t="n">
        <f aca="false">ROUND(INDEX(Archetypes!$I$2:$I$127, MATCH(D2095, Archetypes!$A$2:$A$127, 0))*INDEX(Unit_Grades!$C$2:$C$7, MATCH(F2095, Unit_Grades!$A$2:$A$7, 0)),1)</f>
        <v>2220</v>
      </c>
      <c r="M2095" s="6" t="n">
        <f aca="false">ROUND(INDEX(Archetypes!$J$2:$J$127, MATCH(D2095, Archetypes!$A$2:$A$127, 0))*INDEX(Unit_Grades!$D$2:$D$7, MATCH(F2095, Unit_Grades!$A$2:$A$7, 0)),1)</f>
        <v>2922</v>
      </c>
      <c r="N2095" s="6" t="n">
        <f aca="false">ROUND(M2095/24,2)</f>
        <v>121.75</v>
      </c>
    </row>
    <row r="2096" customFormat="false" ht="15" hidden="false" customHeight="true" outlineLevel="0" collapsed="false">
      <c r="A2096" s="6" t="n">
        <v>7</v>
      </c>
      <c r="B2096" s="6" t="s">
        <v>3547</v>
      </c>
      <c r="C2096" s="6" t="s">
        <v>1513</v>
      </c>
      <c r="D2096" s="6" t="str">
        <f aca="false">A2096&amp;"|"&amp;C2096</f>
        <v>7|Void Ark</v>
      </c>
      <c r="E2096" s="6" t="s">
        <v>1558</v>
      </c>
      <c r="F2096" s="6" t="s">
        <v>1538</v>
      </c>
      <c r="G2096" s="6" t="str">
        <f aca="false">INDEX(Archetypes!$D$2:$D$127, MATCH(D2096, Archetypes!$A$2:$A$127, 0))</f>
        <v>Mobile Capital</v>
      </c>
      <c r="H2096" s="6" t="n">
        <f aca="false">ROUND(INDEX(Archetypes!$E$2:$E$127, MATCH(D2096, Archetypes!$A$2:$A$127, 0))*INDEX(Unit_Grades!$B$2:$B$7, MATCH(F2096, Unit_Grades!$A$2:$A$7, 0))*INDEX(Unit_Paths!$B$2:$B$4, MATCH(E2096, Unit_Paths!$A$2:$A$4, 0)),1)</f>
        <v>2400</v>
      </c>
      <c r="I2096" s="6" t="n">
        <f aca="false">ROUND(INDEX(Archetypes!$F$2:$F$127, MATCH(D2096, Archetypes!$A$2:$A$127, 0))*INDEX(Unit_Grades!$B$2:$B$7, MATCH(F2096, Unit_Grades!$A$2:$A$7, 0))*INDEX(Unit_Paths!$C$2:$C$4, MATCH(E2096, Unit_Paths!$A$2:$A$4, 0)),1)</f>
        <v>2380</v>
      </c>
      <c r="J2096" s="6" t="n">
        <f aca="false">ROUND(INDEX(Archetypes!$G$2:$G$127, MATCH(D2096, Archetypes!$A$2:$A$127, 0))*INDEX(Unit_Grades!$B$2:$B$7, MATCH(F2096, Unit_Grades!$A$2:$A$7, 0))*INDEX(Unit_Paths!$D$2:$D$4, MATCH(E2096, Unit_Paths!$A$2:$A$4, 0)),0)</f>
        <v>28500</v>
      </c>
      <c r="K2096" s="6" t="n">
        <f aca="false">ROUND(INDEX(Archetypes!$H$2:$H$127, MATCH(D2096, Archetypes!$A$2:$A$127, 0))*INDEX(Unit_Paths!$E$2:$E$4, MATCH(E2096, Unit_Paths!$A$2:$A$4, 0)),1)</f>
        <v>37.8</v>
      </c>
      <c r="L2096" s="6" t="n">
        <f aca="false">ROUND(INDEX(Archetypes!$I$2:$I$127, MATCH(D2096, Archetypes!$A$2:$A$127, 0))*INDEX(Unit_Grades!$C$2:$C$7, MATCH(F2096, Unit_Grades!$A$2:$A$7, 0)),1)</f>
        <v>600</v>
      </c>
      <c r="M2096" s="6" t="n">
        <f aca="false">ROUND(INDEX(Archetypes!$J$2:$J$127, MATCH(D2096, Archetypes!$A$2:$A$127, 0))*INDEX(Unit_Grades!$D$2:$D$7, MATCH(F2096, Unit_Grades!$A$2:$A$7, 0)),1)</f>
        <v>243.5</v>
      </c>
      <c r="N2096" s="6" t="n">
        <f aca="false">ROUND(M2096/24,2)</f>
        <v>10.15</v>
      </c>
    </row>
    <row r="2097" customFormat="false" ht="15" hidden="false" customHeight="true" outlineLevel="0" collapsed="false">
      <c r="A2097" s="6" t="n">
        <v>7</v>
      </c>
      <c r="B2097" s="6" t="s">
        <v>3548</v>
      </c>
      <c r="C2097" s="6" t="s">
        <v>1513</v>
      </c>
      <c r="D2097" s="6" t="str">
        <f aca="false">A2097&amp;"|"&amp;C2097</f>
        <v>7|Void Ark</v>
      </c>
      <c r="E2097" s="6" t="s">
        <v>1558</v>
      </c>
      <c r="F2097" s="6" t="s">
        <v>1540</v>
      </c>
      <c r="G2097" s="6" t="str">
        <f aca="false">INDEX(Archetypes!$D$2:$D$127, MATCH(D2097, Archetypes!$A$2:$A$127, 0))</f>
        <v>Mobile Capital</v>
      </c>
      <c r="H2097" s="6" t="n">
        <f aca="false">ROUND(INDEX(Archetypes!$E$2:$E$127, MATCH(D2097, Archetypes!$A$2:$A$127, 0))*INDEX(Unit_Grades!$B$2:$B$7, MATCH(F2097, Unit_Grades!$A$2:$A$7, 0))*INDEX(Unit_Paths!$B$2:$B$4, MATCH(E2097, Unit_Paths!$A$2:$A$4, 0)),1)</f>
        <v>3240</v>
      </c>
      <c r="I2097" s="6" t="n">
        <f aca="false">ROUND(INDEX(Archetypes!$F$2:$F$127, MATCH(D2097, Archetypes!$A$2:$A$127, 0))*INDEX(Unit_Grades!$B$2:$B$7, MATCH(F2097, Unit_Grades!$A$2:$A$7, 0))*INDEX(Unit_Paths!$C$2:$C$4, MATCH(E2097, Unit_Paths!$A$2:$A$4, 0)),1)</f>
        <v>3213</v>
      </c>
      <c r="J2097" s="6" t="n">
        <f aca="false">ROUND(INDEX(Archetypes!$G$2:$G$127, MATCH(D2097, Archetypes!$A$2:$A$127, 0))*INDEX(Unit_Grades!$B$2:$B$7, MATCH(F2097, Unit_Grades!$A$2:$A$7, 0))*INDEX(Unit_Paths!$D$2:$D$4, MATCH(E2097, Unit_Paths!$A$2:$A$4, 0)),0)</f>
        <v>38475</v>
      </c>
      <c r="K2097" s="6" t="n">
        <f aca="false">ROUND(INDEX(Archetypes!$H$2:$H$127, MATCH(D2097, Archetypes!$A$2:$A$127, 0))*INDEX(Unit_Paths!$E$2:$E$4, MATCH(E2097, Unit_Paths!$A$2:$A$4, 0)),1)</f>
        <v>37.8</v>
      </c>
      <c r="L2097" s="6" t="n">
        <f aca="false">ROUND(INDEX(Archetypes!$I$2:$I$127, MATCH(D2097, Archetypes!$A$2:$A$127, 0))*INDEX(Unit_Grades!$C$2:$C$7, MATCH(F2097, Unit_Grades!$A$2:$A$7, 0)),1)</f>
        <v>750</v>
      </c>
      <c r="M2097" s="6" t="n">
        <f aca="false">ROUND(INDEX(Archetypes!$J$2:$J$127, MATCH(D2097, Archetypes!$A$2:$A$127, 0))*INDEX(Unit_Grades!$D$2:$D$7, MATCH(F2097, Unit_Grades!$A$2:$A$7, 0)),1)</f>
        <v>365.3</v>
      </c>
      <c r="N2097" s="6" t="n">
        <f aca="false">ROUND(M2097/24,2)</f>
        <v>15.22</v>
      </c>
    </row>
    <row r="2098" customFormat="false" ht="15" hidden="false" customHeight="true" outlineLevel="0" collapsed="false">
      <c r="A2098" s="6" t="n">
        <v>7</v>
      </c>
      <c r="B2098" s="6" t="s">
        <v>3549</v>
      </c>
      <c r="C2098" s="6" t="s">
        <v>1513</v>
      </c>
      <c r="D2098" s="6" t="str">
        <f aca="false">A2098&amp;"|"&amp;C2098</f>
        <v>7|Void Ark</v>
      </c>
      <c r="E2098" s="6" t="s">
        <v>1558</v>
      </c>
      <c r="F2098" s="6" t="s">
        <v>1542</v>
      </c>
      <c r="G2098" s="6" t="str">
        <f aca="false">INDEX(Archetypes!$D$2:$D$127, MATCH(D2098, Archetypes!$A$2:$A$127, 0))</f>
        <v>Mobile Capital</v>
      </c>
      <c r="H2098" s="6" t="n">
        <f aca="false">ROUND(INDEX(Archetypes!$E$2:$E$127, MATCH(D2098, Archetypes!$A$2:$A$127, 0))*INDEX(Unit_Grades!$B$2:$B$7, MATCH(F2098, Unit_Grades!$A$2:$A$7, 0))*INDEX(Unit_Paths!$B$2:$B$4, MATCH(E2098, Unit_Paths!$A$2:$A$4, 0)),1)</f>
        <v>4320</v>
      </c>
      <c r="I2098" s="6" t="n">
        <f aca="false">ROUND(INDEX(Archetypes!$F$2:$F$127, MATCH(D2098, Archetypes!$A$2:$A$127, 0))*INDEX(Unit_Grades!$B$2:$B$7, MATCH(F2098, Unit_Grades!$A$2:$A$7, 0))*INDEX(Unit_Paths!$C$2:$C$4, MATCH(E2098, Unit_Paths!$A$2:$A$4, 0)),1)</f>
        <v>4284</v>
      </c>
      <c r="J2098" s="6" t="n">
        <f aca="false">ROUND(INDEX(Archetypes!$G$2:$G$127, MATCH(D2098, Archetypes!$A$2:$A$127, 0))*INDEX(Unit_Grades!$B$2:$B$7, MATCH(F2098, Unit_Grades!$A$2:$A$7, 0))*INDEX(Unit_Paths!$D$2:$D$4, MATCH(E2098, Unit_Paths!$A$2:$A$4, 0)),0)</f>
        <v>51300</v>
      </c>
      <c r="K2098" s="6" t="n">
        <f aca="false">ROUND(INDEX(Archetypes!$H$2:$H$127, MATCH(D2098, Archetypes!$A$2:$A$127, 0))*INDEX(Unit_Paths!$E$2:$E$4, MATCH(E2098, Unit_Paths!$A$2:$A$4, 0)),1)</f>
        <v>37.8</v>
      </c>
      <c r="L2098" s="6" t="n">
        <f aca="false">ROUND(INDEX(Archetypes!$I$2:$I$127, MATCH(D2098, Archetypes!$A$2:$A$127, 0))*INDEX(Unit_Grades!$C$2:$C$7, MATCH(F2098, Unit_Grades!$A$2:$A$7, 0)),1)</f>
        <v>960</v>
      </c>
      <c r="M2098" s="6" t="n">
        <f aca="false">ROUND(INDEX(Archetypes!$J$2:$J$127, MATCH(D2098, Archetypes!$A$2:$A$127, 0))*INDEX(Unit_Grades!$D$2:$D$7, MATCH(F2098, Unit_Grades!$A$2:$A$7, 0)),1)</f>
        <v>608.8</v>
      </c>
      <c r="N2098" s="6" t="n">
        <f aca="false">ROUND(M2098/24,2)</f>
        <v>25.37</v>
      </c>
    </row>
    <row r="2099" customFormat="false" ht="15" hidden="false" customHeight="true" outlineLevel="0" collapsed="false">
      <c r="A2099" s="6" t="n">
        <v>7</v>
      </c>
      <c r="B2099" s="6" t="s">
        <v>3550</v>
      </c>
      <c r="C2099" s="6" t="s">
        <v>1513</v>
      </c>
      <c r="D2099" s="6" t="str">
        <f aca="false">A2099&amp;"|"&amp;C2099</f>
        <v>7|Void Ark</v>
      </c>
      <c r="E2099" s="6" t="s">
        <v>1558</v>
      </c>
      <c r="F2099" s="6" t="s">
        <v>1544</v>
      </c>
      <c r="G2099" s="6" t="str">
        <f aca="false">INDEX(Archetypes!$D$2:$D$127, MATCH(D2099, Archetypes!$A$2:$A$127, 0))</f>
        <v>Mobile Capital</v>
      </c>
      <c r="H2099" s="6" t="n">
        <f aca="false">ROUND(INDEX(Archetypes!$E$2:$E$127, MATCH(D2099, Archetypes!$A$2:$A$127, 0))*INDEX(Unit_Grades!$B$2:$B$7, MATCH(F2099, Unit_Grades!$A$2:$A$7, 0))*INDEX(Unit_Paths!$B$2:$B$4, MATCH(E2099, Unit_Paths!$A$2:$A$4, 0)),1)</f>
        <v>5760</v>
      </c>
      <c r="I2099" s="6" t="n">
        <f aca="false">ROUND(INDEX(Archetypes!$F$2:$F$127, MATCH(D2099, Archetypes!$A$2:$A$127, 0))*INDEX(Unit_Grades!$B$2:$B$7, MATCH(F2099, Unit_Grades!$A$2:$A$7, 0))*INDEX(Unit_Paths!$C$2:$C$4, MATCH(E2099, Unit_Paths!$A$2:$A$4, 0)),1)</f>
        <v>5712</v>
      </c>
      <c r="J2099" s="6" t="n">
        <f aca="false">ROUND(INDEX(Archetypes!$G$2:$G$127, MATCH(D2099, Archetypes!$A$2:$A$127, 0))*INDEX(Unit_Grades!$B$2:$B$7, MATCH(F2099, Unit_Grades!$A$2:$A$7, 0))*INDEX(Unit_Paths!$D$2:$D$4, MATCH(E2099, Unit_Paths!$A$2:$A$4, 0)),0)</f>
        <v>68400</v>
      </c>
      <c r="K2099" s="6" t="n">
        <f aca="false">ROUND(INDEX(Archetypes!$H$2:$H$127, MATCH(D2099, Archetypes!$A$2:$A$127, 0))*INDEX(Unit_Paths!$E$2:$E$4, MATCH(E2099, Unit_Paths!$A$2:$A$4, 0)),1)</f>
        <v>37.8</v>
      </c>
      <c r="L2099" s="6" t="n">
        <f aca="false">ROUND(INDEX(Archetypes!$I$2:$I$127, MATCH(D2099, Archetypes!$A$2:$A$127, 0))*INDEX(Unit_Grades!$C$2:$C$7, MATCH(F2099, Unit_Grades!$A$2:$A$7, 0)),1)</f>
        <v>1260</v>
      </c>
      <c r="M2099" s="6" t="n">
        <f aca="false">ROUND(INDEX(Archetypes!$J$2:$J$127, MATCH(D2099, Archetypes!$A$2:$A$127, 0))*INDEX(Unit_Grades!$D$2:$D$7, MATCH(F2099, Unit_Grades!$A$2:$A$7, 0)),1)</f>
        <v>974</v>
      </c>
      <c r="N2099" s="6" t="n">
        <f aca="false">ROUND(M2099/24,2)</f>
        <v>40.58</v>
      </c>
    </row>
    <row r="2100" customFormat="false" ht="15" hidden="false" customHeight="true" outlineLevel="0" collapsed="false">
      <c r="A2100" s="6" t="n">
        <v>7</v>
      </c>
      <c r="B2100" s="6" t="s">
        <v>3551</v>
      </c>
      <c r="C2100" s="6" t="s">
        <v>1513</v>
      </c>
      <c r="D2100" s="6" t="str">
        <f aca="false">A2100&amp;"|"&amp;C2100</f>
        <v>7|Void Ark</v>
      </c>
      <c r="E2100" s="6" t="s">
        <v>1558</v>
      </c>
      <c r="F2100" s="6" t="s">
        <v>1546</v>
      </c>
      <c r="G2100" s="6" t="str">
        <f aca="false">INDEX(Archetypes!$D$2:$D$127, MATCH(D2100, Archetypes!$A$2:$A$127, 0))</f>
        <v>Mobile Capital</v>
      </c>
      <c r="H2100" s="6" t="n">
        <f aca="false">ROUND(INDEX(Archetypes!$E$2:$E$127, MATCH(D2100, Archetypes!$A$2:$A$127, 0))*INDEX(Unit_Grades!$B$2:$B$7, MATCH(F2100, Unit_Grades!$A$2:$A$7, 0))*INDEX(Unit_Paths!$B$2:$B$4, MATCH(E2100, Unit_Paths!$A$2:$A$4, 0)),1)</f>
        <v>7680</v>
      </c>
      <c r="I2100" s="6" t="n">
        <f aca="false">ROUND(INDEX(Archetypes!$F$2:$F$127, MATCH(D2100, Archetypes!$A$2:$A$127, 0))*INDEX(Unit_Grades!$B$2:$B$7, MATCH(F2100, Unit_Grades!$A$2:$A$7, 0))*INDEX(Unit_Paths!$C$2:$C$4, MATCH(E2100, Unit_Paths!$A$2:$A$4, 0)),1)</f>
        <v>7616</v>
      </c>
      <c r="J2100" s="6" t="n">
        <f aca="false">ROUND(INDEX(Archetypes!$G$2:$G$127, MATCH(D2100, Archetypes!$A$2:$A$127, 0))*INDEX(Unit_Grades!$B$2:$B$7, MATCH(F2100, Unit_Grades!$A$2:$A$7, 0))*INDEX(Unit_Paths!$D$2:$D$4, MATCH(E2100, Unit_Paths!$A$2:$A$4, 0)),0)</f>
        <v>91200</v>
      </c>
      <c r="K2100" s="6" t="n">
        <f aca="false">ROUND(INDEX(Archetypes!$H$2:$H$127, MATCH(D2100, Archetypes!$A$2:$A$127, 0))*INDEX(Unit_Paths!$E$2:$E$4, MATCH(E2100, Unit_Paths!$A$2:$A$4, 0)),1)</f>
        <v>37.8</v>
      </c>
      <c r="L2100" s="6" t="n">
        <f aca="false">ROUND(INDEX(Archetypes!$I$2:$I$127, MATCH(D2100, Archetypes!$A$2:$A$127, 0))*INDEX(Unit_Grades!$C$2:$C$7, MATCH(F2100, Unit_Grades!$A$2:$A$7, 0)),1)</f>
        <v>1680</v>
      </c>
      <c r="M2100" s="6" t="n">
        <f aca="false">ROUND(INDEX(Archetypes!$J$2:$J$127, MATCH(D2100, Archetypes!$A$2:$A$127, 0))*INDEX(Unit_Grades!$D$2:$D$7, MATCH(F2100, Unit_Grades!$A$2:$A$7, 0)),1)</f>
        <v>1704.5</v>
      </c>
      <c r="N2100" s="6" t="n">
        <f aca="false">ROUND(M2100/24,2)</f>
        <v>71.02</v>
      </c>
    </row>
    <row r="2101" customFormat="false" ht="15" hidden="false" customHeight="true" outlineLevel="0" collapsed="false">
      <c r="A2101" s="6" t="n">
        <v>7</v>
      </c>
      <c r="B2101" s="6" t="s">
        <v>3552</v>
      </c>
      <c r="C2101" s="6" t="s">
        <v>1513</v>
      </c>
      <c r="D2101" s="6" t="str">
        <f aca="false">A2101&amp;"|"&amp;C2101</f>
        <v>7|Void Ark</v>
      </c>
      <c r="E2101" s="6" t="s">
        <v>1558</v>
      </c>
      <c r="F2101" s="6" t="s">
        <v>1548</v>
      </c>
      <c r="G2101" s="6" t="str">
        <f aca="false">INDEX(Archetypes!$D$2:$D$127, MATCH(D2101, Archetypes!$A$2:$A$127, 0))</f>
        <v>Mobile Capital</v>
      </c>
      <c r="H2101" s="6" t="n">
        <f aca="false">ROUND(INDEX(Archetypes!$E$2:$E$127, MATCH(D2101, Archetypes!$A$2:$A$127, 0))*INDEX(Unit_Grades!$B$2:$B$7, MATCH(F2101, Unit_Grades!$A$2:$A$7, 0))*INDEX(Unit_Paths!$B$2:$B$4, MATCH(E2101, Unit_Paths!$A$2:$A$4, 0)),1)</f>
        <v>10080</v>
      </c>
      <c r="I2101" s="6" t="n">
        <f aca="false">ROUND(INDEX(Archetypes!$F$2:$F$127, MATCH(D2101, Archetypes!$A$2:$A$127, 0))*INDEX(Unit_Grades!$B$2:$B$7, MATCH(F2101, Unit_Grades!$A$2:$A$7, 0))*INDEX(Unit_Paths!$C$2:$C$4, MATCH(E2101, Unit_Paths!$A$2:$A$4, 0)),1)</f>
        <v>9996</v>
      </c>
      <c r="J2101" s="6" t="n">
        <f aca="false">ROUND(INDEX(Archetypes!$G$2:$G$127, MATCH(D2101, Archetypes!$A$2:$A$127, 0))*INDEX(Unit_Grades!$B$2:$B$7, MATCH(F2101, Unit_Grades!$A$2:$A$7, 0))*INDEX(Unit_Paths!$D$2:$D$4, MATCH(E2101, Unit_Paths!$A$2:$A$4, 0)),0)</f>
        <v>119700</v>
      </c>
      <c r="K2101" s="6" t="n">
        <f aca="false">ROUND(INDEX(Archetypes!$H$2:$H$127, MATCH(D2101, Archetypes!$A$2:$A$127, 0))*INDEX(Unit_Paths!$E$2:$E$4, MATCH(E2101, Unit_Paths!$A$2:$A$4, 0)),1)</f>
        <v>37.8</v>
      </c>
      <c r="L2101" s="6" t="n">
        <f aca="false">ROUND(INDEX(Archetypes!$I$2:$I$127, MATCH(D2101, Archetypes!$A$2:$A$127, 0))*INDEX(Unit_Grades!$C$2:$C$7, MATCH(F2101, Unit_Grades!$A$2:$A$7, 0)),1)</f>
        <v>2220</v>
      </c>
      <c r="M2101" s="6" t="n">
        <f aca="false">ROUND(INDEX(Archetypes!$J$2:$J$127, MATCH(D2101, Archetypes!$A$2:$A$127, 0))*INDEX(Unit_Grades!$D$2:$D$7, MATCH(F2101, Unit_Grades!$A$2:$A$7, 0)),1)</f>
        <v>2922</v>
      </c>
      <c r="N2101" s="6" t="n">
        <f aca="false">ROUND(M2101/24,2)</f>
        <v>121.75</v>
      </c>
    </row>
    <row r="2102" customFormat="false" ht="15" hidden="false" customHeight="true" outlineLevel="0" collapsed="false">
      <c r="A2102" s="6" t="n">
        <v>7</v>
      </c>
      <c r="B2102" s="6" t="s">
        <v>3553</v>
      </c>
      <c r="C2102" s="6" t="s">
        <v>1513</v>
      </c>
      <c r="D2102" s="6" t="str">
        <f aca="false">A2102&amp;"|"&amp;C2102</f>
        <v>7|Void Ark</v>
      </c>
      <c r="E2102" s="6" t="s">
        <v>1560</v>
      </c>
      <c r="F2102" s="6" t="s">
        <v>1538</v>
      </c>
      <c r="G2102" s="6" t="str">
        <f aca="false">INDEX(Archetypes!$D$2:$D$127, MATCH(D2102, Archetypes!$A$2:$A$127, 0))</f>
        <v>Mobile Capital</v>
      </c>
      <c r="H2102" s="6" t="n">
        <f aca="false">ROUND(INDEX(Archetypes!$E$2:$E$127, MATCH(D2102, Archetypes!$A$2:$A$127, 0))*INDEX(Unit_Grades!$B$2:$B$7, MATCH(F2102, Unit_Grades!$A$2:$A$7, 0))*INDEX(Unit_Paths!$B$2:$B$4, MATCH(E2102, Unit_Paths!$A$2:$A$4, 0)),1)</f>
        <v>1700</v>
      </c>
      <c r="I2102" s="6" t="n">
        <f aca="false">ROUND(INDEX(Archetypes!$F$2:$F$127, MATCH(D2102, Archetypes!$A$2:$A$127, 0))*INDEX(Unit_Grades!$B$2:$B$7, MATCH(F2102, Unit_Grades!$A$2:$A$7, 0))*INDEX(Unit_Paths!$C$2:$C$4, MATCH(E2102, Unit_Paths!$A$2:$A$4, 0)),1)</f>
        <v>3500</v>
      </c>
      <c r="J2102" s="6" t="n">
        <f aca="false">ROUND(INDEX(Archetypes!$G$2:$G$127, MATCH(D2102, Archetypes!$A$2:$A$127, 0))*INDEX(Unit_Grades!$B$2:$B$7, MATCH(F2102, Unit_Grades!$A$2:$A$7, 0))*INDEX(Unit_Paths!$D$2:$D$4, MATCH(E2102, Unit_Paths!$A$2:$A$4, 0)),0)</f>
        <v>34500</v>
      </c>
      <c r="K2102" s="6" t="n">
        <f aca="false">ROUND(INDEX(Archetypes!$H$2:$H$127, MATCH(D2102, Archetypes!$A$2:$A$127, 0))*INDEX(Unit_Paths!$E$2:$E$4, MATCH(E2102, Unit_Paths!$A$2:$A$4, 0)),1)</f>
        <v>33.1</v>
      </c>
      <c r="L2102" s="6" t="n">
        <f aca="false">ROUND(INDEX(Archetypes!$I$2:$I$127, MATCH(D2102, Archetypes!$A$2:$A$127, 0))*INDEX(Unit_Grades!$C$2:$C$7, MATCH(F2102, Unit_Grades!$A$2:$A$7, 0)),1)</f>
        <v>600</v>
      </c>
      <c r="M2102" s="6" t="n">
        <f aca="false">ROUND(INDEX(Archetypes!$J$2:$J$127, MATCH(D2102, Archetypes!$A$2:$A$127, 0))*INDEX(Unit_Grades!$D$2:$D$7, MATCH(F2102, Unit_Grades!$A$2:$A$7, 0)),1)</f>
        <v>243.5</v>
      </c>
      <c r="N2102" s="6" t="n">
        <f aca="false">ROUND(M2102/24,2)</f>
        <v>10.15</v>
      </c>
    </row>
    <row r="2103" customFormat="false" ht="15" hidden="false" customHeight="true" outlineLevel="0" collapsed="false">
      <c r="A2103" s="6" t="n">
        <v>7</v>
      </c>
      <c r="B2103" s="6" t="s">
        <v>3554</v>
      </c>
      <c r="C2103" s="6" t="s">
        <v>1513</v>
      </c>
      <c r="D2103" s="6" t="str">
        <f aca="false">A2103&amp;"|"&amp;C2103</f>
        <v>7|Void Ark</v>
      </c>
      <c r="E2103" s="6" t="s">
        <v>1560</v>
      </c>
      <c r="F2103" s="6" t="s">
        <v>1540</v>
      </c>
      <c r="G2103" s="6" t="str">
        <f aca="false">INDEX(Archetypes!$D$2:$D$127, MATCH(D2103, Archetypes!$A$2:$A$127, 0))</f>
        <v>Mobile Capital</v>
      </c>
      <c r="H2103" s="6" t="n">
        <f aca="false">ROUND(INDEX(Archetypes!$E$2:$E$127, MATCH(D2103, Archetypes!$A$2:$A$127, 0))*INDEX(Unit_Grades!$B$2:$B$7, MATCH(F2103, Unit_Grades!$A$2:$A$7, 0))*INDEX(Unit_Paths!$B$2:$B$4, MATCH(E2103, Unit_Paths!$A$2:$A$4, 0)),1)</f>
        <v>2295</v>
      </c>
      <c r="I2103" s="6" t="n">
        <f aca="false">ROUND(INDEX(Archetypes!$F$2:$F$127, MATCH(D2103, Archetypes!$A$2:$A$127, 0))*INDEX(Unit_Grades!$B$2:$B$7, MATCH(F2103, Unit_Grades!$A$2:$A$7, 0))*INDEX(Unit_Paths!$C$2:$C$4, MATCH(E2103, Unit_Paths!$A$2:$A$4, 0)),1)</f>
        <v>4725</v>
      </c>
      <c r="J2103" s="6" t="n">
        <f aca="false">ROUND(INDEX(Archetypes!$G$2:$G$127, MATCH(D2103, Archetypes!$A$2:$A$127, 0))*INDEX(Unit_Grades!$B$2:$B$7, MATCH(F2103, Unit_Grades!$A$2:$A$7, 0))*INDEX(Unit_Paths!$D$2:$D$4, MATCH(E2103, Unit_Paths!$A$2:$A$4, 0)),0)</f>
        <v>46575</v>
      </c>
      <c r="K2103" s="6" t="n">
        <f aca="false">ROUND(INDEX(Archetypes!$H$2:$H$127, MATCH(D2103, Archetypes!$A$2:$A$127, 0))*INDEX(Unit_Paths!$E$2:$E$4, MATCH(E2103, Unit_Paths!$A$2:$A$4, 0)),1)</f>
        <v>33.1</v>
      </c>
      <c r="L2103" s="6" t="n">
        <f aca="false">ROUND(INDEX(Archetypes!$I$2:$I$127, MATCH(D2103, Archetypes!$A$2:$A$127, 0))*INDEX(Unit_Grades!$C$2:$C$7, MATCH(F2103, Unit_Grades!$A$2:$A$7, 0)),1)</f>
        <v>750</v>
      </c>
      <c r="M2103" s="6" t="n">
        <f aca="false">ROUND(INDEX(Archetypes!$J$2:$J$127, MATCH(D2103, Archetypes!$A$2:$A$127, 0))*INDEX(Unit_Grades!$D$2:$D$7, MATCH(F2103, Unit_Grades!$A$2:$A$7, 0)),1)</f>
        <v>365.3</v>
      </c>
      <c r="N2103" s="6" t="n">
        <f aca="false">ROUND(M2103/24,2)</f>
        <v>15.22</v>
      </c>
    </row>
    <row r="2104" customFormat="false" ht="15" hidden="false" customHeight="true" outlineLevel="0" collapsed="false">
      <c r="A2104" s="6" t="n">
        <v>7</v>
      </c>
      <c r="B2104" s="6" t="s">
        <v>3555</v>
      </c>
      <c r="C2104" s="6" t="s">
        <v>1513</v>
      </c>
      <c r="D2104" s="6" t="str">
        <f aca="false">A2104&amp;"|"&amp;C2104</f>
        <v>7|Void Ark</v>
      </c>
      <c r="E2104" s="6" t="s">
        <v>1560</v>
      </c>
      <c r="F2104" s="6" t="s">
        <v>1542</v>
      </c>
      <c r="G2104" s="6" t="str">
        <f aca="false">INDEX(Archetypes!$D$2:$D$127, MATCH(D2104, Archetypes!$A$2:$A$127, 0))</f>
        <v>Mobile Capital</v>
      </c>
      <c r="H2104" s="6" t="n">
        <f aca="false">ROUND(INDEX(Archetypes!$E$2:$E$127, MATCH(D2104, Archetypes!$A$2:$A$127, 0))*INDEX(Unit_Grades!$B$2:$B$7, MATCH(F2104, Unit_Grades!$A$2:$A$7, 0))*INDEX(Unit_Paths!$B$2:$B$4, MATCH(E2104, Unit_Paths!$A$2:$A$4, 0)),1)</f>
        <v>3060</v>
      </c>
      <c r="I2104" s="6" t="n">
        <f aca="false">ROUND(INDEX(Archetypes!$F$2:$F$127, MATCH(D2104, Archetypes!$A$2:$A$127, 0))*INDEX(Unit_Grades!$B$2:$B$7, MATCH(F2104, Unit_Grades!$A$2:$A$7, 0))*INDEX(Unit_Paths!$C$2:$C$4, MATCH(E2104, Unit_Paths!$A$2:$A$4, 0)),1)</f>
        <v>6300</v>
      </c>
      <c r="J2104" s="6" t="n">
        <f aca="false">ROUND(INDEX(Archetypes!$G$2:$G$127, MATCH(D2104, Archetypes!$A$2:$A$127, 0))*INDEX(Unit_Grades!$B$2:$B$7, MATCH(F2104, Unit_Grades!$A$2:$A$7, 0))*INDEX(Unit_Paths!$D$2:$D$4, MATCH(E2104, Unit_Paths!$A$2:$A$4, 0)),0)</f>
        <v>62100</v>
      </c>
      <c r="K2104" s="6" t="n">
        <f aca="false">ROUND(INDEX(Archetypes!$H$2:$H$127, MATCH(D2104, Archetypes!$A$2:$A$127, 0))*INDEX(Unit_Paths!$E$2:$E$4, MATCH(E2104, Unit_Paths!$A$2:$A$4, 0)),1)</f>
        <v>33.1</v>
      </c>
      <c r="L2104" s="6" t="n">
        <f aca="false">ROUND(INDEX(Archetypes!$I$2:$I$127, MATCH(D2104, Archetypes!$A$2:$A$127, 0))*INDEX(Unit_Grades!$C$2:$C$7, MATCH(F2104, Unit_Grades!$A$2:$A$7, 0)),1)</f>
        <v>960</v>
      </c>
      <c r="M2104" s="6" t="n">
        <f aca="false">ROUND(INDEX(Archetypes!$J$2:$J$127, MATCH(D2104, Archetypes!$A$2:$A$127, 0))*INDEX(Unit_Grades!$D$2:$D$7, MATCH(F2104, Unit_Grades!$A$2:$A$7, 0)),1)</f>
        <v>608.8</v>
      </c>
      <c r="N2104" s="6" t="n">
        <f aca="false">ROUND(M2104/24,2)</f>
        <v>25.37</v>
      </c>
    </row>
    <row r="2105" customFormat="false" ht="15" hidden="false" customHeight="true" outlineLevel="0" collapsed="false">
      <c r="A2105" s="6" t="n">
        <v>7</v>
      </c>
      <c r="B2105" s="6" t="s">
        <v>3556</v>
      </c>
      <c r="C2105" s="6" t="s">
        <v>1513</v>
      </c>
      <c r="D2105" s="6" t="str">
        <f aca="false">A2105&amp;"|"&amp;C2105</f>
        <v>7|Void Ark</v>
      </c>
      <c r="E2105" s="6" t="s">
        <v>1560</v>
      </c>
      <c r="F2105" s="6" t="s">
        <v>1544</v>
      </c>
      <c r="G2105" s="6" t="str">
        <f aca="false">INDEX(Archetypes!$D$2:$D$127, MATCH(D2105, Archetypes!$A$2:$A$127, 0))</f>
        <v>Mobile Capital</v>
      </c>
      <c r="H2105" s="6" t="n">
        <f aca="false">ROUND(INDEX(Archetypes!$E$2:$E$127, MATCH(D2105, Archetypes!$A$2:$A$127, 0))*INDEX(Unit_Grades!$B$2:$B$7, MATCH(F2105, Unit_Grades!$A$2:$A$7, 0))*INDEX(Unit_Paths!$B$2:$B$4, MATCH(E2105, Unit_Paths!$A$2:$A$4, 0)),1)</f>
        <v>4080</v>
      </c>
      <c r="I2105" s="6" t="n">
        <f aca="false">ROUND(INDEX(Archetypes!$F$2:$F$127, MATCH(D2105, Archetypes!$A$2:$A$127, 0))*INDEX(Unit_Grades!$B$2:$B$7, MATCH(F2105, Unit_Grades!$A$2:$A$7, 0))*INDEX(Unit_Paths!$C$2:$C$4, MATCH(E2105, Unit_Paths!$A$2:$A$4, 0)),1)</f>
        <v>8400</v>
      </c>
      <c r="J2105" s="6" t="n">
        <f aca="false">ROUND(INDEX(Archetypes!$G$2:$G$127, MATCH(D2105, Archetypes!$A$2:$A$127, 0))*INDEX(Unit_Grades!$B$2:$B$7, MATCH(F2105, Unit_Grades!$A$2:$A$7, 0))*INDEX(Unit_Paths!$D$2:$D$4, MATCH(E2105, Unit_Paths!$A$2:$A$4, 0)),0)</f>
        <v>82800</v>
      </c>
      <c r="K2105" s="6" t="n">
        <f aca="false">ROUND(INDEX(Archetypes!$H$2:$H$127, MATCH(D2105, Archetypes!$A$2:$A$127, 0))*INDEX(Unit_Paths!$E$2:$E$4, MATCH(E2105, Unit_Paths!$A$2:$A$4, 0)),1)</f>
        <v>33.1</v>
      </c>
      <c r="L2105" s="6" t="n">
        <f aca="false">ROUND(INDEX(Archetypes!$I$2:$I$127, MATCH(D2105, Archetypes!$A$2:$A$127, 0))*INDEX(Unit_Grades!$C$2:$C$7, MATCH(F2105, Unit_Grades!$A$2:$A$7, 0)),1)</f>
        <v>1260</v>
      </c>
      <c r="M2105" s="6" t="n">
        <f aca="false">ROUND(INDEX(Archetypes!$J$2:$J$127, MATCH(D2105, Archetypes!$A$2:$A$127, 0))*INDEX(Unit_Grades!$D$2:$D$7, MATCH(F2105, Unit_Grades!$A$2:$A$7, 0)),1)</f>
        <v>974</v>
      </c>
      <c r="N2105" s="6" t="n">
        <f aca="false">ROUND(M2105/24,2)</f>
        <v>40.58</v>
      </c>
    </row>
    <row r="2106" customFormat="false" ht="15" hidden="false" customHeight="true" outlineLevel="0" collapsed="false">
      <c r="A2106" s="6" t="n">
        <v>7</v>
      </c>
      <c r="B2106" s="6" t="s">
        <v>3557</v>
      </c>
      <c r="C2106" s="6" t="s">
        <v>1513</v>
      </c>
      <c r="D2106" s="6" t="str">
        <f aca="false">A2106&amp;"|"&amp;C2106</f>
        <v>7|Void Ark</v>
      </c>
      <c r="E2106" s="6" t="s">
        <v>1560</v>
      </c>
      <c r="F2106" s="6" t="s">
        <v>1546</v>
      </c>
      <c r="G2106" s="6" t="str">
        <f aca="false">INDEX(Archetypes!$D$2:$D$127, MATCH(D2106, Archetypes!$A$2:$A$127, 0))</f>
        <v>Mobile Capital</v>
      </c>
      <c r="H2106" s="6" t="n">
        <f aca="false">ROUND(INDEX(Archetypes!$E$2:$E$127, MATCH(D2106, Archetypes!$A$2:$A$127, 0))*INDEX(Unit_Grades!$B$2:$B$7, MATCH(F2106, Unit_Grades!$A$2:$A$7, 0))*INDEX(Unit_Paths!$B$2:$B$4, MATCH(E2106, Unit_Paths!$A$2:$A$4, 0)),1)</f>
        <v>5440</v>
      </c>
      <c r="I2106" s="6" t="n">
        <f aca="false">ROUND(INDEX(Archetypes!$F$2:$F$127, MATCH(D2106, Archetypes!$A$2:$A$127, 0))*INDEX(Unit_Grades!$B$2:$B$7, MATCH(F2106, Unit_Grades!$A$2:$A$7, 0))*INDEX(Unit_Paths!$C$2:$C$4, MATCH(E2106, Unit_Paths!$A$2:$A$4, 0)),1)</f>
        <v>11200</v>
      </c>
      <c r="J2106" s="6" t="n">
        <f aca="false">ROUND(INDEX(Archetypes!$G$2:$G$127, MATCH(D2106, Archetypes!$A$2:$A$127, 0))*INDEX(Unit_Grades!$B$2:$B$7, MATCH(F2106, Unit_Grades!$A$2:$A$7, 0))*INDEX(Unit_Paths!$D$2:$D$4, MATCH(E2106, Unit_Paths!$A$2:$A$4, 0)),0)</f>
        <v>110400</v>
      </c>
      <c r="K2106" s="6" t="n">
        <f aca="false">ROUND(INDEX(Archetypes!$H$2:$H$127, MATCH(D2106, Archetypes!$A$2:$A$127, 0))*INDEX(Unit_Paths!$E$2:$E$4, MATCH(E2106, Unit_Paths!$A$2:$A$4, 0)),1)</f>
        <v>33.1</v>
      </c>
      <c r="L2106" s="6" t="n">
        <f aca="false">ROUND(INDEX(Archetypes!$I$2:$I$127, MATCH(D2106, Archetypes!$A$2:$A$127, 0))*INDEX(Unit_Grades!$C$2:$C$7, MATCH(F2106, Unit_Grades!$A$2:$A$7, 0)),1)</f>
        <v>1680</v>
      </c>
      <c r="M2106" s="6" t="n">
        <f aca="false">ROUND(INDEX(Archetypes!$J$2:$J$127, MATCH(D2106, Archetypes!$A$2:$A$127, 0))*INDEX(Unit_Grades!$D$2:$D$7, MATCH(F2106, Unit_Grades!$A$2:$A$7, 0)),1)</f>
        <v>1704.5</v>
      </c>
      <c r="N2106" s="6" t="n">
        <f aca="false">ROUND(M2106/24,2)</f>
        <v>71.02</v>
      </c>
    </row>
    <row r="2107" customFormat="false" ht="15" hidden="false" customHeight="true" outlineLevel="0" collapsed="false">
      <c r="A2107" s="6" t="n">
        <v>7</v>
      </c>
      <c r="B2107" s="6" t="s">
        <v>3558</v>
      </c>
      <c r="C2107" s="6" t="s">
        <v>1513</v>
      </c>
      <c r="D2107" s="6" t="str">
        <f aca="false">A2107&amp;"|"&amp;C2107</f>
        <v>7|Void Ark</v>
      </c>
      <c r="E2107" s="6" t="s">
        <v>1560</v>
      </c>
      <c r="F2107" s="6" t="s">
        <v>1548</v>
      </c>
      <c r="G2107" s="6" t="str">
        <f aca="false">INDEX(Archetypes!$D$2:$D$127, MATCH(D2107, Archetypes!$A$2:$A$127, 0))</f>
        <v>Mobile Capital</v>
      </c>
      <c r="H2107" s="6" t="n">
        <f aca="false">ROUND(INDEX(Archetypes!$E$2:$E$127, MATCH(D2107, Archetypes!$A$2:$A$127, 0))*INDEX(Unit_Grades!$B$2:$B$7, MATCH(F2107, Unit_Grades!$A$2:$A$7, 0))*INDEX(Unit_Paths!$B$2:$B$4, MATCH(E2107, Unit_Paths!$A$2:$A$4, 0)),1)</f>
        <v>7140</v>
      </c>
      <c r="I2107" s="6" t="n">
        <f aca="false">ROUND(INDEX(Archetypes!$F$2:$F$127, MATCH(D2107, Archetypes!$A$2:$A$127, 0))*INDEX(Unit_Grades!$B$2:$B$7, MATCH(F2107, Unit_Grades!$A$2:$A$7, 0))*INDEX(Unit_Paths!$C$2:$C$4, MATCH(E2107, Unit_Paths!$A$2:$A$4, 0)),1)</f>
        <v>14700</v>
      </c>
      <c r="J2107" s="6" t="n">
        <f aca="false">ROUND(INDEX(Archetypes!$G$2:$G$127, MATCH(D2107, Archetypes!$A$2:$A$127, 0))*INDEX(Unit_Grades!$B$2:$B$7, MATCH(F2107, Unit_Grades!$A$2:$A$7, 0))*INDEX(Unit_Paths!$D$2:$D$4, MATCH(E2107, Unit_Paths!$A$2:$A$4, 0)),0)</f>
        <v>144900</v>
      </c>
      <c r="K2107" s="6" t="n">
        <f aca="false">ROUND(INDEX(Archetypes!$H$2:$H$127, MATCH(D2107, Archetypes!$A$2:$A$127, 0))*INDEX(Unit_Paths!$E$2:$E$4, MATCH(E2107, Unit_Paths!$A$2:$A$4, 0)),1)</f>
        <v>33.1</v>
      </c>
      <c r="L2107" s="6" t="n">
        <f aca="false">ROUND(INDEX(Archetypes!$I$2:$I$127, MATCH(D2107, Archetypes!$A$2:$A$127, 0))*INDEX(Unit_Grades!$C$2:$C$7, MATCH(F2107, Unit_Grades!$A$2:$A$7, 0)),1)</f>
        <v>2220</v>
      </c>
      <c r="M2107" s="6" t="n">
        <f aca="false">ROUND(INDEX(Archetypes!$J$2:$J$127, MATCH(D2107, Archetypes!$A$2:$A$127, 0))*INDEX(Unit_Grades!$D$2:$D$7, MATCH(F2107, Unit_Grades!$A$2:$A$7, 0)),1)</f>
        <v>2922</v>
      </c>
      <c r="N2107" s="6" t="n">
        <f aca="false">ROUND(M2107/24,2)</f>
        <v>121.75</v>
      </c>
    </row>
    <row r="2108" customFormat="false" ht="15" hidden="false" customHeight="true" outlineLevel="0" collapsed="false">
      <c r="A2108" s="6" t="n">
        <v>7</v>
      </c>
      <c r="B2108" s="6" t="s">
        <v>1516</v>
      </c>
      <c r="C2108" s="6" t="s">
        <v>1516</v>
      </c>
      <c r="D2108" s="6" t="str">
        <f aca="false">A2108&amp;"|"&amp;C2108</f>
        <v>7|Aether Sworn</v>
      </c>
      <c r="E2108" s="6" t="s">
        <v>1556</v>
      </c>
      <c r="F2108" s="6" t="s">
        <v>1538</v>
      </c>
      <c r="G2108" s="6" t="str">
        <f aca="false">INDEX(Archetypes!$D$2:$D$127, MATCH(D2108, Archetypes!$A$2:$A$127, 0))</f>
        <v>Cultivator</v>
      </c>
      <c r="H2108" s="6" t="n">
        <f aca="false">ROUND(INDEX(Archetypes!$E$2:$E$127, MATCH(D2108, Archetypes!$A$2:$A$127, 0))*INDEX(Unit_Grades!$B$2:$B$7, MATCH(F2108, Unit_Grades!$A$2:$A$7, 0))*INDEX(Unit_Paths!$B$2:$B$4, MATCH(E2108, Unit_Paths!$A$2:$A$4, 0)),1)</f>
        <v>2600</v>
      </c>
      <c r="I2108" s="6" t="n">
        <f aca="false">ROUND(INDEX(Archetypes!$F$2:$F$127, MATCH(D2108, Archetypes!$A$2:$A$127, 0))*INDEX(Unit_Grades!$B$2:$B$7, MATCH(F2108, Unit_Grades!$A$2:$A$7, 0))*INDEX(Unit_Paths!$C$2:$C$4, MATCH(E2108, Unit_Paths!$A$2:$A$4, 0)),1)</f>
        <v>1800</v>
      </c>
      <c r="J2108" s="6" t="n">
        <f aca="false">ROUND(INDEX(Archetypes!$G$2:$G$127, MATCH(D2108, Archetypes!$A$2:$A$127, 0))*INDEX(Unit_Grades!$B$2:$B$7, MATCH(F2108, Unit_Grades!$A$2:$A$7, 0))*INDEX(Unit_Paths!$D$2:$D$4, MATCH(E2108, Unit_Paths!$A$2:$A$4, 0)),0)</f>
        <v>11000</v>
      </c>
      <c r="K2108" s="6" t="n">
        <f aca="false">ROUND(INDEX(Archetypes!$H$2:$H$127, MATCH(D2108, Archetypes!$A$2:$A$127, 0))*INDEX(Unit_Paths!$E$2:$E$4, MATCH(E2108, Unit_Paths!$A$2:$A$4, 0)),1)</f>
        <v>66</v>
      </c>
      <c r="L2108" s="6" t="n">
        <f aca="false">ROUND(INDEX(Archetypes!$I$2:$I$127, MATCH(D2108, Archetypes!$A$2:$A$127, 0))*INDEX(Unit_Grades!$C$2:$C$7, MATCH(F2108, Unit_Grades!$A$2:$A$7, 0)),1)</f>
        <v>340</v>
      </c>
      <c r="M2108" s="6" t="n">
        <f aca="false">ROUND(INDEX(Archetypes!$J$2:$J$127, MATCH(D2108, Archetypes!$A$2:$A$127, 0))*INDEX(Unit_Grades!$D$2:$D$7, MATCH(F2108, Unit_Grades!$A$2:$A$7, 0)),1)</f>
        <v>138</v>
      </c>
      <c r="N2108" s="6" t="n">
        <f aca="false">ROUND(M2108/24,2)</f>
        <v>5.75</v>
      </c>
    </row>
    <row r="2109" customFormat="false" ht="15" hidden="false" customHeight="true" outlineLevel="0" collapsed="false">
      <c r="A2109" s="6" t="n">
        <v>7</v>
      </c>
      <c r="B2109" s="6" t="s">
        <v>3559</v>
      </c>
      <c r="C2109" s="6" t="s">
        <v>1516</v>
      </c>
      <c r="D2109" s="6" t="str">
        <f aca="false">A2109&amp;"|"&amp;C2109</f>
        <v>7|Aether Sworn</v>
      </c>
      <c r="E2109" s="6" t="s">
        <v>1556</v>
      </c>
      <c r="F2109" s="6" t="s">
        <v>1540</v>
      </c>
      <c r="G2109" s="6" t="str">
        <f aca="false">INDEX(Archetypes!$D$2:$D$127, MATCH(D2109, Archetypes!$A$2:$A$127, 0))</f>
        <v>Cultivator</v>
      </c>
      <c r="H2109" s="6" t="n">
        <f aca="false">ROUND(INDEX(Archetypes!$E$2:$E$127, MATCH(D2109, Archetypes!$A$2:$A$127, 0))*INDEX(Unit_Grades!$B$2:$B$7, MATCH(F2109, Unit_Grades!$A$2:$A$7, 0))*INDEX(Unit_Paths!$B$2:$B$4, MATCH(E2109, Unit_Paths!$A$2:$A$4, 0)),1)</f>
        <v>3510</v>
      </c>
      <c r="I2109" s="6" t="n">
        <f aca="false">ROUND(INDEX(Archetypes!$F$2:$F$127, MATCH(D2109, Archetypes!$A$2:$A$127, 0))*INDEX(Unit_Grades!$B$2:$B$7, MATCH(F2109, Unit_Grades!$A$2:$A$7, 0))*INDEX(Unit_Paths!$C$2:$C$4, MATCH(E2109, Unit_Paths!$A$2:$A$4, 0)),1)</f>
        <v>2430</v>
      </c>
      <c r="J2109" s="6" t="n">
        <f aca="false">ROUND(INDEX(Archetypes!$G$2:$G$127, MATCH(D2109, Archetypes!$A$2:$A$127, 0))*INDEX(Unit_Grades!$B$2:$B$7, MATCH(F2109, Unit_Grades!$A$2:$A$7, 0))*INDEX(Unit_Paths!$D$2:$D$4, MATCH(E2109, Unit_Paths!$A$2:$A$4, 0)),0)</f>
        <v>14850</v>
      </c>
      <c r="K2109" s="6" t="n">
        <f aca="false">ROUND(INDEX(Archetypes!$H$2:$H$127, MATCH(D2109, Archetypes!$A$2:$A$127, 0))*INDEX(Unit_Paths!$E$2:$E$4, MATCH(E2109, Unit_Paths!$A$2:$A$4, 0)),1)</f>
        <v>66</v>
      </c>
      <c r="L2109" s="6" t="n">
        <f aca="false">ROUND(INDEX(Archetypes!$I$2:$I$127, MATCH(D2109, Archetypes!$A$2:$A$127, 0))*INDEX(Unit_Grades!$C$2:$C$7, MATCH(F2109, Unit_Grades!$A$2:$A$7, 0)),1)</f>
        <v>425</v>
      </c>
      <c r="M2109" s="6" t="n">
        <f aca="false">ROUND(INDEX(Archetypes!$J$2:$J$127, MATCH(D2109, Archetypes!$A$2:$A$127, 0))*INDEX(Unit_Grades!$D$2:$D$7, MATCH(F2109, Unit_Grades!$A$2:$A$7, 0)),1)</f>
        <v>207</v>
      </c>
      <c r="N2109" s="6" t="n">
        <f aca="false">ROUND(M2109/24,2)</f>
        <v>8.63</v>
      </c>
    </row>
    <row r="2110" customFormat="false" ht="15" hidden="false" customHeight="true" outlineLevel="0" collapsed="false">
      <c r="A2110" s="6" t="n">
        <v>7</v>
      </c>
      <c r="B2110" s="6" t="s">
        <v>3560</v>
      </c>
      <c r="C2110" s="6" t="s">
        <v>1516</v>
      </c>
      <c r="D2110" s="6" t="str">
        <f aca="false">A2110&amp;"|"&amp;C2110</f>
        <v>7|Aether Sworn</v>
      </c>
      <c r="E2110" s="6" t="s">
        <v>1556</v>
      </c>
      <c r="F2110" s="6" t="s">
        <v>1542</v>
      </c>
      <c r="G2110" s="6" t="str">
        <f aca="false">INDEX(Archetypes!$D$2:$D$127, MATCH(D2110, Archetypes!$A$2:$A$127, 0))</f>
        <v>Cultivator</v>
      </c>
      <c r="H2110" s="6" t="n">
        <f aca="false">ROUND(INDEX(Archetypes!$E$2:$E$127, MATCH(D2110, Archetypes!$A$2:$A$127, 0))*INDEX(Unit_Grades!$B$2:$B$7, MATCH(F2110, Unit_Grades!$A$2:$A$7, 0))*INDEX(Unit_Paths!$B$2:$B$4, MATCH(E2110, Unit_Paths!$A$2:$A$4, 0)),1)</f>
        <v>4680</v>
      </c>
      <c r="I2110" s="6" t="n">
        <f aca="false">ROUND(INDEX(Archetypes!$F$2:$F$127, MATCH(D2110, Archetypes!$A$2:$A$127, 0))*INDEX(Unit_Grades!$B$2:$B$7, MATCH(F2110, Unit_Grades!$A$2:$A$7, 0))*INDEX(Unit_Paths!$C$2:$C$4, MATCH(E2110, Unit_Paths!$A$2:$A$4, 0)),1)</f>
        <v>3240</v>
      </c>
      <c r="J2110" s="6" t="n">
        <f aca="false">ROUND(INDEX(Archetypes!$G$2:$G$127, MATCH(D2110, Archetypes!$A$2:$A$127, 0))*INDEX(Unit_Grades!$B$2:$B$7, MATCH(F2110, Unit_Grades!$A$2:$A$7, 0))*INDEX(Unit_Paths!$D$2:$D$4, MATCH(E2110, Unit_Paths!$A$2:$A$4, 0)),0)</f>
        <v>19800</v>
      </c>
      <c r="K2110" s="6" t="n">
        <f aca="false">ROUND(INDEX(Archetypes!$H$2:$H$127, MATCH(D2110, Archetypes!$A$2:$A$127, 0))*INDEX(Unit_Paths!$E$2:$E$4, MATCH(E2110, Unit_Paths!$A$2:$A$4, 0)),1)</f>
        <v>66</v>
      </c>
      <c r="L2110" s="6" t="n">
        <f aca="false">ROUND(INDEX(Archetypes!$I$2:$I$127, MATCH(D2110, Archetypes!$A$2:$A$127, 0))*INDEX(Unit_Grades!$C$2:$C$7, MATCH(F2110, Unit_Grades!$A$2:$A$7, 0)),1)</f>
        <v>544</v>
      </c>
      <c r="M2110" s="6" t="n">
        <f aca="false">ROUND(INDEX(Archetypes!$J$2:$J$127, MATCH(D2110, Archetypes!$A$2:$A$127, 0))*INDEX(Unit_Grades!$D$2:$D$7, MATCH(F2110, Unit_Grades!$A$2:$A$7, 0)),1)</f>
        <v>345</v>
      </c>
      <c r="N2110" s="6" t="n">
        <f aca="false">ROUND(M2110/24,2)</f>
        <v>14.38</v>
      </c>
    </row>
    <row r="2111" customFormat="false" ht="15" hidden="false" customHeight="true" outlineLevel="0" collapsed="false">
      <c r="A2111" s="6" t="n">
        <v>7</v>
      </c>
      <c r="B2111" s="6" t="s">
        <v>3561</v>
      </c>
      <c r="C2111" s="6" t="s">
        <v>1516</v>
      </c>
      <c r="D2111" s="6" t="str">
        <f aca="false">A2111&amp;"|"&amp;C2111</f>
        <v>7|Aether Sworn</v>
      </c>
      <c r="E2111" s="6" t="s">
        <v>1556</v>
      </c>
      <c r="F2111" s="6" t="s">
        <v>1544</v>
      </c>
      <c r="G2111" s="6" t="str">
        <f aca="false">INDEX(Archetypes!$D$2:$D$127, MATCH(D2111, Archetypes!$A$2:$A$127, 0))</f>
        <v>Cultivator</v>
      </c>
      <c r="H2111" s="6" t="n">
        <f aca="false">ROUND(INDEX(Archetypes!$E$2:$E$127, MATCH(D2111, Archetypes!$A$2:$A$127, 0))*INDEX(Unit_Grades!$B$2:$B$7, MATCH(F2111, Unit_Grades!$A$2:$A$7, 0))*INDEX(Unit_Paths!$B$2:$B$4, MATCH(E2111, Unit_Paths!$A$2:$A$4, 0)),1)</f>
        <v>6240</v>
      </c>
      <c r="I2111" s="6" t="n">
        <f aca="false">ROUND(INDEX(Archetypes!$F$2:$F$127, MATCH(D2111, Archetypes!$A$2:$A$127, 0))*INDEX(Unit_Grades!$B$2:$B$7, MATCH(F2111, Unit_Grades!$A$2:$A$7, 0))*INDEX(Unit_Paths!$C$2:$C$4, MATCH(E2111, Unit_Paths!$A$2:$A$4, 0)),1)</f>
        <v>4320</v>
      </c>
      <c r="J2111" s="6" t="n">
        <f aca="false">ROUND(INDEX(Archetypes!$G$2:$G$127, MATCH(D2111, Archetypes!$A$2:$A$127, 0))*INDEX(Unit_Grades!$B$2:$B$7, MATCH(F2111, Unit_Grades!$A$2:$A$7, 0))*INDEX(Unit_Paths!$D$2:$D$4, MATCH(E2111, Unit_Paths!$A$2:$A$4, 0)),0)</f>
        <v>26400</v>
      </c>
      <c r="K2111" s="6" t="n">
        <f aca="false">ROUND(INDEX(Archetypes!$H$2:$H$127, MATCH(D2111, Archetypes!$A$2:$A$127, 0))*INDEX(Unit_Paths!$E$2:$E$4, MATCH(E2111, Unit_Paths!$A$2:$A$4, 0)),1)</f>
        <v>66</v>
      </c>
      <c r="L2111" s="6" t="n">
        <f aca="false">ROUND(INDEX(Archetypes!$I$2:$I$127, MATCH(D2111, Archetypes!$A$2:$A$127, 0))*INDEX(Unit_Grades!$C$2:$C$7, MATCH(F2111, Unit_Grades!$A$2:$A$7, 0)),1)</f>
        <v>714</v>
      </c>
      <c r="M2111" s="6" t="n">
        <f aca="false">ROUND(INDEX(Archetypes!$J$2:$J$127, MATCH(D2111, Archetypes!$A$2:$A$127, 0))*INDEX(Unit_Grades!$D$2:$D$7, MATCH(F2111, Unit_Grades!$A$2:$A$7, 0)),1)</f>
        <v>551.9</v>
      </c>
      <c r="N2111" s="6" t="n">
        <f aca="false">ROUND(M2111/24,2)</f>
        <v>23</v>
      </c>
    </row>
    <row r="2112" customFormat="false" ht="15" hidden="false" customHeight="true" outlineLevel="0" collapsed="false">
      <c r="A2112" s="6" t="n">
        <v>7</v>
      </c>
      <c r="B2112" s="6" t="s">
        <v>3562</v>
      </c>
      <c r="C2112" s="6" t="s">
        <v>1516</v>
      </c>
      <c r="D2112" s="6" t="str">
        <f aca="false">A2112&amp;"|"&amp;C2112</f>
        <v>7|Aether Sworn</v>
      </c>
      <c r="E2112" s="6" t="s">
        <v>1556</v>
      </c>
      <c r="F2112" s="6" t="s">
        <v>1546</v>
      </c>
      <c r="G2112" s="6" t="str">
        <f aca="false">INDEX(Archetypes!$D$2:$D$127, MATCH(D2112, Archetypes!$A$2:$A$127, 0))</f>
        <v>Cultivator</v>
      </c>
      <c r="H2112" s="6" t="n">
        <f aca="false">ROUND(INDEX(Archetypes!$E$2:$E$127, MATCH(D2112, Archetypes!$A$2:$A$127, 0))*INDEX(Unit_Grades!$B$2:$B$7, MATCH(F2112, Unit_Grades!$A$2:$A$7, 0))*INDEX(Unit_Paths!$B$2:$B$4, MATCH(E2112, Unit_Paths!$A$2:$A$4, 0)),1)</f>
        <v>8320</v>
      </c>
      <c r="I2112" s="6" t="n">
        <f aca="false">ROUND(INDEX(Archetypes!$F$2:$F$127, MATCH(D2112, Archetypes!$A$2:$A$127, 0))*INDEX(Unit_Grades!$B$2:$B$7, MATCH(F2112, Unit_Grades!$A$2:$A$7, 0))*INDEX(Unit_Paths!$C$2:$C$4, MATCH(E2112, Unit_Paths!$A$2:$A$4, 0)),1)</f>
        <v>5760</v>
      </c>
      <c r="J2112" s="6" t="n">
        <f aca="false">ROUND(INDEX(Archetypes!$G$2:$G$127, MATCH(D2112, Archetypes!$A$2:$A$127, 0))*INDEX(Unit_Grades!$B$2:$B$7, MATCH(F2112, Unit_Grades!$A$2:$A$7, 0))*INDEX(Unit_Paths!$D$2:$D$4, MATCH(E2112, Unit_Paths!$A$2:$A$4, 0)),0)</f>
        <v>35200</v>
      </c>
      <c r="K2112" s="6" t="n">
        <f aca="false">ROUND(INDEX(Archetypes!$H$2:$H$127, MATCH(D2112, Archetypes!$A$2:$A$127, 0))*INDEX(Unit_Paths!$E$2:$E$4, MATCH(E2112, Unit_Paths!$A$2:$A$4, 0)),1)</f>
        <v>66</v>
      </c>
      <c r="L2112" s="6" t="n">
        <f aca="false">ROUND(INDEX(Archetypes!$I$2:$I$127, MATCH(D2112, Archetypes!$A$2:$A$127, 0))*INDEX(Unit_Grades!$C$2:$C$7, MATCH(F2112, Unit_Grades!$A$2:$A$7, 0)),1)</f>
        <v>952</v>
      </c>
      <c r="M2112" s="6" t="n">
        <f aca="false">ROUND(INDEX(Archetypes!$J$2:$J$127, MATCH(D2112, Archetypes!$A$2:$A$127, 0))*INDEX(Unit_Grades!$D$2:$D$7, MATCH(F2112, Unit_Grades!$A$2:$A$7, 0)),1)</f>
        <v>965.9</v>
      </c>
      <c r="N2112" s="6" t="n">
        <f aca="false">ROUND(M2112/24,2)</f>
        <v>40.25</v>
      </c>
    </row>
    <row r="2113" customFormat="false" ht="15" hidden="false" customHeight="true" outlineLevel="0" collapsed="false">
      <c r="A2113" s="6" t="n">
        <v>7</v>
      </c>
      <c r="B2113" s="6" t="s">
        <v>3563</v>
      </c>
      <c r="C2113" s="6" t="s">
        <v>1516</v>
      </c>
      <c r="D2113" s="6" t="str">
        <f aca="false">A2113&amp;"|"&amp;C2113</f>
        <v>7|Aether Sworn</v>
      </c>
      <c r="E2113" s="6" t="s">
        <v>1556</v>
      </c>
      <c r="F2113" s="6" t="s">
        <v>1548</v>
      </c>
      <c r="G2113" s="6" t="str">
        <f aca="false">INDEX(Archetypes!$D$2:$D$127, MATCH(D2113, Archetypes!$A$2:$A$127, 0))</f>
        <v>Cultivator</v>
      </c>
      <c r="H2113" s="6" t="n">
        <f aca="false">ROUND(INDEX(Archetypes!$E$2:$E$127, MATCH(D2113, Archetypes!$A$2:$A$127, 0))*INDEX(Unit_Grades!$B$2:$B$7, MATCH(F2113, Unit_Grades!$A$2:$A$7, 0))*INDEX(Unit_Paths!$B$2:$B$4, MATCH(E2113, Unit_Paths!$A$2:$A$4, 0)),1)</f>
        <v>10920</v>
      </c>
      <c r="I2113" s="6" t="n">
        <f aca="false">ROUND(INDEX(Archetypes!$F$2:$F$127, MATCH(D2113, Archetypes!$A$2:$A$127, 0))*INDEX(Unit_Grades!$B$2:$B$7, MATCH(F2113, Unit_Grades!$A$2:$A$7, 0))*INDEX(Unit_Paths!$C$2:$C$4, MATCH(E2113, Unit_Paths!$A$2:$A$4, 0)),1)</f>
        <v>7560</v>
      </c>
      <c r="J2113" s="6" t="n">
        <f aca="false">ROUND(INDEX(Archetypes!$G$2:$G$127, MATCH(D2113, Archetypes!$A$2:$A$127, 0))*INDEX(Unit_Grades!$B$2:$B$7, MATCH(F2113, Unit_Grades!$A$2:$A$7, 0))*INDEX(Unit_Paths!$D$2:$D$4, MATCH(E2113, Unit_Paths!$A$2:$A$4, 0)),0)</f>
        <v>46200</v>
      </c>
      <c r="K2113" s="6" t="n">
        <f aca="false">ROUND(INDEX(Archetypes!$H$2:$H$127, MATCH(D2113, Archetypes!$A$2:$A$127, 0))*INDEX(Unit_Paths!$E$2:$E$4, MATCH(E2113, Unit_Paths!$A$2:$A$4, 0)),1)</f>
        <v>66</v>
      </c>
      <c r="L2113" s="6" t="n">
        <f aca="false">ROUND(INDEX(Archetypes!$I$2:$I$127, MATCH(D2113, Archetypes!$A$2:$A$127, 0))*INDEX(Unit_Grades!$C$2:$C$7, MATCH(F2113, Unit_Grades!$A$2:$A$7, 0)),1)</f>
        <v>1258</v>
      </c>
      <c r="M2113" s="6" t="n">
        <f aca="false">ROUND(INDEX(Archetypes!$J$2:$J$127, MATCH(D2113, Archetypes!$A$2:$A$127, 0))*INDEX(Unit_Grades!$D$2:$D$7, MATCH(F2113, Unit_Grades!$A$2:$A$7, 0)),1)</f>
        <v>1655.8</v>
      </c>
      <c r="N2113" s="6" t="n">
        <f aca="false">ROUND(M2113/24,2)</f>
        <v>68.99</v>
      </c>
    </row>
    <row r="2114" customFormat="false" ht="15" hidden="false" customHeight="true" outlineLevel="0" collapsed="false">
      <c r="A2114" s="6" t="n">
        <v>7</v>
      </c>
      <c r="B2114" s="6" t="s">
        <v>3564</v>
      </c>
      <c r="C2114" s="6" t="s">
        <v>1516</v>
      </c>
      <c r="D2114" s="6" t="str">
        <f aca="false">A2114&amp;"|"&amp;C2114</f>
        <v>7|Aether Sworn</v>
      </c>
      <c r="E2114" s="6" t="s">
        <v>1558</v>
      </c>
      <c r="F2114" s="6" t="s">
        <v>1538</v>
      </c>
      <c r="G2114" s="6" t="str">
        <f aca="false">INDEX(Archetypes!$D$2:$D$127, MATCH(D2114, Archetypes!$A$2:$A$127, 0))</f>
        <v>Cultivator</v>
      </c>
      <c r="H2114" s="6" t="n">
        <f aca="false">ROUND(INDEX(Archetypes!$E$2:$E$127, MATCH(D2114, Archetypes!$A$2:$A$127, 0))*INDEX(Unit_Grades!$B$2:$B$7, MATCH(F2114, Unit_Grades!$A$2:$A$7, 0))*INDEX(Unit_Paths!$B$2:$B$4, MATCH(E2114, Unit_Paths!$A$2:$A$4, 0)),1)</f>
        <v>3120</v>
      </c>
      <c r="I2114" s="6" t="n">
        <f aca="false">ROUND(INDEX(Archetypes!$F$2:$F$127, MATCH(D2114, Archetypes!$A$2:$A$127, 0))*INDEX(Unit_Grades!$B$2:$B$7, MATCH(F2114, Unit_Grades!$A$2:$A$7, 0))*INDEX(Unit_Paths!$C$2:$C$4, MATCH(E2114, Unit_Paths!$A$2:$A$4, 0)),1)</f>
        <v>1530</v>
      </c>
      <c r="J2114" s="6" t="n">
        <f aca="false">ROUND(INDEX(Archetypes!$G$2:$G$127, MATCH(D2114, Archetypes!$A$2:$A$127, 0))*INDEX(Unit_Grades!$B$2:$B$7, MATCH(F2114, Unit_Grades!$A$2:$A$7, 0))*INDEX(Unit_Paths!$D$2:$D$4, MATCH(E2114, Unit_Paths!$A$2:$A$4, 0)),0)</f>
        <v>10450</v>
      </c>
      <c r="K2114" s="6" t="n">
        <f aca="false">ROUND(INDEX(Archetypes!$H$2:$H$127, MATCH(D2114, Archetypes!$A$2:$A$127, 0))*INDEX(Unit_Paths!$E$2:$E$4, MATCH(E2114, Unit_Paths!$A$2:$A$4, 0)),1)</f>
        <v>69.3</v>
      </c>
      <c r="L2114" s="6" t="n">
        <f aca="false">ROUND(INDEX(Archetypes!$I$2:$I$127, MATCH(D2114, Archetypes!$A$2:$A$127, 0))*INDEX(Unit_Grades!$C$2:$C$7, MATCH(F2114, Unit_Grades!$A$2:$A$7, 0)),1)</f>
        <v>340</v>
      </c>
      <c r="M2114" s="6" t="n">
        <f aca="false">ROUND(INDEX(Archetypes!$J$2:$J$127, MATCH(D2114, Archetypes!$A$2:$A$127, 0))*INDEX(Unit_Grades!$D$2:$D$7, MATCH(F2114, Unit_Grades!$A$2:$A$7, 0)),1)</f>
        <v>138</v>
      </c>
      <c r="N2114" s="6" t="n">
        <f aca="false">ROUND(M2114/24,2)</f>
        <v>5.75</v>
      </c>
    </row>
    <row r="2115" customFormat="false" ht="15" hidden="false" customHeight="true" outlineLevel="0" collapsed="false">
      <c r="A2115" s="6" t="n">
        <v>7</v>
      </c>
      <c r="B2115" s="6" t="s">
        <v>3565</v>
      </c>
      <c r="C2115" s="6" t="s">
        <v>1516</v>
      </c>
      <c r="D2115" s="6" t="str">
        <f aca="false">A2115&amp;"|"&amp;C2115</f>
        <v>7|Aether Sworn</v>
      </c>
      <c r="E2115" s="6" t="s">
        <v>1558</v>
      </c>
      <c r="F2115" s="6" t="s">
        <v>1540</v>
      </c>
      <c r="G2115" s="6" t="str">
        <f aca="false">INDEX(Archetypes!$D$2:$D$127, MATCH(D2115, Archetypes!$A$2:$A$127, 0))</f>
        <v>Cultivator</v>
      </c>
      <c r="H2115" s="6" t="n">
        <f aca="false">ROUND(INDEX(Archetypes!$E$2:$E$127, MATCH(D2115, Archetypes!$A$2:$A$127, 0))*INDEX(Unit_Grades!$B$2:$B$7, MATCH(F2115, Unit_Grades!$A$2:$A$7, 0))*INDEX(Unit_Paths!$B$2:$B$4, MATCH(E2115, Unit_Paths!$A$2:$A$4, 0)),1)</f>
        <v>4212</v>
      </c>
      <c r="I2115" s="6" t="n">
        <f aca="false">ROUND(INDEX(Archetypes!$F$2:$F$127, MATCH(D2115, Archetypes!$A$2:$A$127, 0))*INDEX(Unit_Grades!$B$2:$B$7, MATCH(F2115, Unit_Grades!$A$2:$A$7, 0))*INDEX(Unit_Paths!$C$2:$C$4, MATCH(E2115, Unit_Paths!$A$2:$A$4, 0)),1)</f>
        <v>2065.5</v>
      </c>
      <c r="J2115" s="6" t="n">
        <f aca="false">ROUND(INDEX(Archetypes!$G$2:$G$127, MATCH(D2115, Archetypes!$A$2:$A$127, 0))*INDEX(Unit_Grades!$B$2:$B$7, MATCH(F2115, Unit_Grades!$A$2:$A$7, 0))*INDEX(Unit_Paths!$D$2:$D$4, MATCH(E2115, Unit_Paths!$A$2:$A$4, 0)),0)</f>
        <v>14108</v>
      </c>
      <c r="K2115" s="6" t="n">
        <f aca="false">ROUND(INDEX(Archetypes!$H$2:$H$127, MATCH(D2115, Archetypes!$A$2:$A$127, 0))*INDEX(Unit_Paths!$E$2:$E$4, MATCH(E2115, Unit_Paths!$A$2:$A$4, 0)),1)</f>
        <v>69.3</v>
      </c>
      <c r="L2115" s="6" t="n">
        <f aca="false">ROUND(INDEX(Archetypes!$I$2:$I$127, MATCH(D2115, Archetypes!$A$2:$A$127, 0))*INDEX(Unit_Grades!$C$2:$C$7, MATCH(F2115, Unit_Grades!$A$2:$A$7, 0)),1)</f>
        <v>425</v>
      </c>
      <c r="M2115" s="6" t="n">
        <f aca="false">ROUND(INDEX(Archetypes!$J$2:$J$127, MATCH(D2115, Archetypes!$A$2:$A$127, 0))*INDEX(Unit_Grades!$D$2:$D$7, MATCH(F2115, Unit_Grades!$A$2:$A$7, 0)),1)</f>
        <v>207</v>
      </c>
      <c r="N2115" s="6" t="n">
        <f aca="false">ROUND(M2115/24,2)</f>
        <v>8.63</v>
      </c>
    </row>
    <row r="2116" customFormat="false" ht="15" hidden="false" customHeight="true" outlineLevel="0" collapsed="false">
      <c r="A2116" s="6" t="n">
        <v>7</v>
      </c>
      <c r="B2116" s="6" t="s">
        <v>3566</v>
      </c>
      <c r="C2116" s="6" t="s">
        <v>1516</v>
      </c>
      <c r="D2116" s="6" t="str">
        <f aca="false">A2116&amp;"|"&amp;C2116</f>
        <v>7|Aether Sworn</v>
      </c>
      <c r="E2116" s="6" t="s">
        <v>1558</v>
      </c>
      <c r="F2116" s="6" t="s">
        <v>1542</v>
      </c>
      <c r="G2116" s="6" t="str">
        <f aca="false">INDEX(Archetypes!$D$2:$D$127, MATCH(D2116, Archetypes!$A$2:$A$127, 0))</f>
        <v>Cultivator</v>
      </c>
      <c r="H2116" s="6" t="n">
        <f aca="false">ROUND(INDEX(Archetypes!$E$2:$E$127, MATCH(D2116, Archetypes!$A$2:$A$127, 0))*INDEX(Unit_Grades!$B$2:$B$7, MATCH(F2116, Unit_Grades!$A$2:$A$7, 0))*INDEX(Unit_Paths!$B$2:$B$4, MATCH(E2116, Unit_Paths!$A$2:$A$4, 0)),1)</f>
        <v>5616</v>
      </c>
      <c r="I2116" s="6" t="n">
        <f aca="false">ROUND(INDEX(Archetypes!$F$2:$F$127, MATCH(D2116, Archetypes!$A$2:$A$127, 0))*INDEX(Unit_Grades!$B$2:$B$7, MATCH(F2116, Unit_Grades!$A$2:$A$7, 0))*INDEX(Unit_Paths!$C$2:$C$4, MATCH(E2116, Unit_Paths!$A$2:$A$4, 0)),1)</f>
        <v>2754</v>
      </c>
      <c r="J2116" s="6" t="n">
        <f aca="false">ROUND(INDEX(Archetypes!$G$2:$G$127, MATCH(D2116, Archetypes!$A$2:$A$127, 0))*INDEX(Unit_Grades!$B$2:$B$7, MATCH(F2116, Unit_Grades!$A$2:$A$7, 0))*INDEX(Unit_Paths!$D$2:$D$4, MATCH(E2116, Unit_Paths!$A$2:$A$4, 0)),0)</f>
        <v>18810</v>
      </c>
      <c r="K2116" s="6" t="n">
        <f aca="false">ROUND(INDEX(Archetypes!$H$2:$H$127, MATCH(D2116, Archetypes!$A$2:$A$127, 0))*INDEX(Unit_Paths!$E$2:$E$4, MATCH(E2116, Unit_Paths!$A$2:$A$4, 0)),1)</f>
        <v>69.3</v>
      </c>
      <c r="L2116" s="6" t="n">
        <f aca="false">ROUND(INDEX(Archetypes!$I$2:$I$127, MATCH(D2116, Archetypes!$A$2:$A$127, 0))*INDEX(Unit_Grades!$C$2:$C$7, MATCH(F2116, Unit_Grades!$A$2:$A$7, 0)),1)</f>
        <v>544</v>
      </c>
      <c r="M2116" s="6" t="n">
        <f aca="false">ROUND(INDEX(Archetypes!$J$2:$J$127, MATCH(D2116, Archetypes!$A$2:$A$127, 0))*INDEX(Unit_Grades!$D$2:$D$7, MATCH(F2116, Unit_Grades!$A$2:$A$7, 0)),1)</f>
        <v>345</v>
      </c>
      <c r="N2116" s="6" t="n">
        <f aca="false">ROUND(M2116/24,2)</f>
        <v>14.38</v>
      </c>
    </row>
    <row r="2117" customFormat="false" ht="15" hidden="false" customHeight="true" outlineLevel="0" collapsed="false">
      <c r="A2117" s="6" t="n">
        <v>7</v>
      </c>
      <c r="B2117" s="6" t="s">
        <v>3567</v>
      </c>
      <c r="C2117" s="6" t="s">
        <v>1516</v>
      </c>
      <c r="D2117" s="6" t="str">
        <f aca="false">A2117&amp;"|"&amp;C2117</f>
        <v>7|Aether Sworn</v>
      </c>
      <c r="E2117" s="6" t="s">
        <v>1558</v>
      </c>
      <c r="F2117" s="6" t="s">
        <v>1544</v>
      </c>
      <c r="G2117" s="6" t="str">
        <f aca="false">INDEX(Archetypes!$D$2:$D$127, MATCH(D2117, Archetypes!$A$2:$A$127, 0))</f>
        <v>Cultivator</v>
      </c>
      <c r="H2117" s="6" t="n">
        <f aca="false">ROUND(INDEX(Archetypes!$E$2:$E$127, MATCH(D2117, Archetypes!$A$2:$A$127, 0))*INDEX(Unit_Grades!$B$2:$B$7, MATCH(F2117, Unit_Grades!$A$2:$A$7, 0))*INDEX(Unit_Paths!$B$2:$B$4, MATCH(E2117, Unit_Paths!$A$2:$A$4, 0)),1)</f>
        <v>7488</v>
      </c>
      <c r="I2117" s="6" t="n">
        <f aca="false">ROUND(INDEX(Archetypes!$F$2:$F$127, MATCH(D2117, Archetypes!$A$2:$A$127, 0))*INDEX(Unit_Grades!$B$2:$B$7, MATCH(F2117, Unit_Grades!$A$2:$A$7, 0))*INDEX(Unit_Paths!$C$2:$C$4, MATCH(E2117, Unit_Paths!$A$2:$A$4, 0)),1)</f>
        <v>3672</v>
      </c>
      <c r="J2117" s="6" t="n">
        <f aca="false">ROUND(INDEX(Archetypes!$G$2:$G$127, MATCH(D2117, Archetypes!$A$2:$A$127, 0))*INDEX(Unit_Grades!$B$2:$B$7, MATCH(F2117, Unit_Grades!$A$2:$A$7, 0))*INDEX(Unit_Paths!$D$2:$D$4, MATCH(E2117, Unit_Paths!$A$2:$A$4, 0)),0)</f>
        <v>25080</v>
      </c>
      <c r="K2117" s="6" t="n">
        <f aca="false">ROUND(INDEX(Archetypes!$H$2:$H$127, MATCH(D2117, Archetypes!$A$2:$A$127, 0))*INDEX(Unit_Paths!$E$2:$E$4, MATCH(E2117, Unit_Paths!$A$2:$A$4, 0)),1)</f>
        <v>69.3</v>
      </c>
      <c r="L2117" s="6" t="n">
        <f aca="false">ROUND(INDEX(Archetypes!$I$2:$I$127, MATCH(D2117, Archetypes!$A$2:$A$127, 0))*INDEX(Unit_Grades!$C$2:$C$7, MATCH(F2117, Unit_Grades!$A$2:$A$7, 0)),1)</f>
        <v>714</v>
      </c>
      <c r="M2117" s="6" t="n">
        <f aca="false">ROUND(INDEX(Archetypes!$J$2:$J$127, MATCH(D2117, Archetypes!$A$2:$A$127, 0))*INDEX(Unit_Grades!$D$2:$D$7, MATCH(F2117, Unit_Grades!$A$2:$A$7, 0)),1)</f>
        <v>551.9</v>
      </c>
      <c r="N2117" s="6" t="n">
        <f aca="false">ROUND(M2117/24,2)</f>
        <v>23</v>
      </c>
    </row>
    <row r="2118" customFormat="false" ht="15" hidden="false" customHeight="true" outlineLevel="0" collapsed="false">
      <c r="A2118" s="6" t="n">
        <v>7</v>
      </c>
      <c r="B2118" s="6" t="s">
        <v>3568</v>
      </c>
      <c r="C2118" s="6" t="s">
        <v>1516</v>
      </c>
      <c r="D2118" s="6" t="str">
        <f aca="false">A2118&amp;"|"&amp;C2118</f>
        <v>7|Aether Sworn</v>
      </c>
      <c r="E2118" s="6" t="s">
        <v>1558</v>
      </c>
      <c r="F2118" s="6" t="s">
        <v>1546</v>
      </c>
      <c r="G2118" s="6" t="str">
        <f aca="false">INDEX(Archetypes!$D$2:$D$127, MATCH(D2118, Archetypes!$A$2:$A$127, 0))</f>
        <v>Cultivator</v>
      </c>
      <c r="H2118" s="6" t="n">
        <f aca="false">ROUND(INDEX(Archetypes!$E$2:$E$127, MATCH(D2118, Archetypes!$A$2:$A$127, 0))*INDEX(Unit_Grades!$B$2:$B$7, MATCH(F2118, Unit_Grades!$A$2:$A$7, 0))*INDEX(Unit_Paths!$B$2:$B$4, MATCH(E2118, Unit_Paths!$A$2:$A$4, 0)),1)</f>
        <v>9984</v>
      </c>
      <c r="I2118" s="6" t="n">
        <f aca="false">ROUND(INDEX(Archetypes!$F$2:$F$127, MATCH(D2118, Archetypes!$A$2:$A$127, 0))*INDEX(Unit_Grades!$B$2:$B$7, MATCH(F2118, Unit_Grades!$A$2:$A$7, 0))*INDEX(Unit_Paths!$C$2:$C$4, MATCH(E2118, Unit_Paths!$A$2:$A$4, 0)),1)</f>
        <v>4896</v>
      </c>
      <c r="J2118" s="6" t="n">
        <f aca="false">ROUND(INDEX(Archetypes!$G$2:$G$127, MATCH(D2118, Archetypes!$A$2:$A$127, 0))*INDEX(Unit_Grades!$B$2:$B$7, MATCH(F2118, Unit_Grades!$A$2:$A$7, 0))*INDEX(Unit_Paths!$D$2:$D$4, MATCH(E2118, Unit_Paths!$A$2:$A$4, 0)),0)</f>
        <v>33440</v>
      </c>
      <c r="K2118" s="6" t="n">
        <f aca="false">ROUND(INDEX(Archetypes!$H$2:$H$127, MATCH(D2118, Archetypes!$A$2:$A$127, 0))*INDEX(Unit_Paths!$E$2:$E$4, MATCH(E2118, Unit_Paths!$A$2:$A$4, 0)),1)</f>
        <v>69.3</v>
      </c>
      <c r="L2118" s="6" t="n">
        <f aca="false">ROUND(INDEX(Archetypes!$I$2:$I$127, MATCH(D2118, Archetypes!$A$2:$A$127, 0))*INDEX(Unit_Grades!$C$2:$C$7, MATCH(F2118, Unit_Grades!$A$2:$A$7, 0)),1)</f>
        <v>952</v>
      </c>
      <c r="M2118" s="6" t="n">
        <f aca="false">ROUND(INDEX(Archetypes!$J$2:$J$127, MATCH(D2118, Archetypes!$A$2:$A$127, 0))*INDEX(Unit_Grades!$D$2:$D$7, MATCH(F2118, Unit_Grades!$A$2:$A$7, 0)),1)</f>
        <v>965.9</v>
      </c>
      <c r="N2118" s="6" t="n">
        <f aca="false">ROUND(M2118/24,2)</f>
        <v>40.25</v>
      </c>
    </row>
    <row r="2119" customFormat="false" ht="15" hidden="false" customHeight="true" outlineLevel="0" collapsed="false">
      <c r="A2119" s="6" t="n">
        <v>7</v>
      </c>
      <c r="B2119" s="6" t="s">
        <v>3569</v>
      </c>
      <c r="C2119" s="6" t="s">
        <v>1516</v>
      </c>
      <c r="D2119" s="6" t="str">
        <f aca="false">A2119&amp;"|"&amp;C2119</f>
        <v>7|Aether Sworn</v>
      </c>
      <c r="E2119" s="6" t="s">
        <v>1558</v>
      </c>
      <c r="F2119" s="6" t="s">
        <v>1548</v>
      </c>
      <c r="G2119" s="6" t="str">
        <f aca="false">INDEX(Archetypes!$D$2:$D$127, MATCH(D2119, Archetypes!$A$2:$A$127, 0))</f>
        <v>Cultivator</v>
      </c>
      <c r="H2119" s="6" t="n">
        <f aca="false">ROUND(INDEX(Archetypes!$E$2:$E$127, MATCH(D2119, Archetypes!$A$2:$A$127, 0))*INDEX(Unit_Grades!$B$2:$B$7, MATCH(F2119, Unit_Grades!$A$2:$A$7, 0))*INDEX(Unit_Paths!$B$2:$B$4, MATCH(E2119, Unit_Paths!$A$2:$A$4, 0)),1)</f>
        <v>13104</v>
      </c>
      <c r="I2119" s="6" t="n">
        <f aca="false">ROUND(INDEX(Archetypes!$F$2:$F$127, MATCH(D2119, Archetypes!$A$2:$A$127, 0))*INDEX(Unit_Grades!$B$2:$B$7, MATCH(F2119, Unit_Grades!$A$2:$A$7, 0))*INDEX(Unit_Paths!$C$2:$C$4, MATCH(E2119, Unit_Paths!$A$2:$A$4, 0)),1)</f>
        <v>6426</v>
      </c>
      <c r="J2119" s="6" t="n">
        <f aca="false">ROUND(INDEX(Archetypes!$G$2:$G$127, MATCH(D2119, Archetypes!$A$2:$A$127, 0))*INDEX(Unit_Grades!$B$2:$B$7, MATCH(F2119, Unit_Grades!$A$2:$A$7, 0))*INDEX(Unit_Paths!$D$2:$D$4, MATCH(E2119, Unit_Paths!$A$2:$A$4, 0)),0)</f>
        <v>43890</v>
      </c>
      <c r="K2119" s="6" t="n">
        <f aca="false">ROUND(INDEX(Archetypes!$H$2:$H$127, MATCH(D2119, Archetypes!$A$2:$A$127, 0))*INDEX(Unit_Paths!$E$2:$E$4, MATCH(E2119, Unit_Paths!$A$2:$A$4, 0)),1)</f>
        <v>69.3</v>
      </c>
      <c r="L2119" s="6" t="n">
        <f aca="false">ROUND(INDEX(Archetypes!$I$2:$I$127, MATCH(D2119, Archetypes!$A$2:$A$127, 0))*INDEX(Unit_Grades!$C$2:$C$7, MATCH(F2119, Unit_Grades!$A$2:$A$7, 0)),1)</f>
        <v>1258</v>
      </c>
      <c r="M2119" s="6" t="n">
        <f aca="false">ROUND(INDEX(Archetypes!$J$2:$J$127, MATCH(D2119, Archetypes!$A$2:$A$127, 0))*INDEX(Unit_Grades!$D$2:$D$7, MATCH(F2119, Unit_Grades!$A$2:$A$7, 0)),1)</f>
        <v>1655.8</v>
      </c>
      <c r="N2119" s="6" t="n">
        <f aca="false">ROUND(M2119/24,2)</f>
        <v>68.99</v>
      </c>
    </row>
    <row r="2120" customFormat="false" ht="15" hidden="false" customHeight="true" outlineLevel="0" collapsed="false">
      <c r="A2120" s="6" t="n">
        <v>7</v>
      </c>
      <c r="B2120" s="6" t="s">
        <v>3570</v>
      </c>
      <c r="C2120" s="6" t="s">
        <v>1516</v>
      </c>
      <c r="D2120" s="6" t="str">
        <f aca="false">A2120&amp;"|"&amp;C2120</f>
        <v>7|Aether Sworn</v>
      </c>
      <c r="E2120" s="6" t="s">
        <v>1560</v>
      </c>
      <c r="F2120" s="6" t="s">
        <v>1538</v>
      </c>
      <c r="G2120" s="6" t="str">
        <f aca="false">INDEX(Archetypes!$D$2:$D$127, MATCH(D2120, Archetypes!$A$2:$A$127, 0))</f>
        <v>Cultivator</v>
      </c>
      <c r="H2120" s="6" t="n">
        <f aca="false">ROUND(INDEX(Archetypes!$E$2:$E$127, MATCH(D2120, Archetypes!$A$2:$A$127, 0))*INDEX(Unit_Grades!$B$2:$B$7, MATCH(F2120, Unit_Grades!$A$2:$A$7, 0))*INDEX(Unit_Paths!$B$2:$B$4, MATCH(E2120, Unit_Paths!$A$2:$A$4, 0)),1)</f>
        <v>2210</v>
      </c>
      <c r="I2120" s="6" t="n">
        <f aca="false">ROUND(INDEX(Archetypes!$F$2:$F$127, MATCH(D2120, Archetypes!$A$2:$A$127, 0))*INDEX(Unit_Grades!$B$2:$B$7, MATCH(F2120, Unit_Grades!$A$2:$A$7, 0))*INDEX(Unit_Paths!$C$2:$C$4, MATCH(E2120, Unit_Paths!$A$2:$A$4, 0)),1)</f>
        <v>2250</v>
      </c>
      <c r="J2120" s="6" t="n">
        <f aca="false">ROUND(INDEX(Archetypes!$G$2:$G$127, MATCH(D2120, Archetypes!$A$2:$A$127, 0))*INDEX(Unit_Grades!$B$2:$B$7, MATCH(F2120, Unit_Grades!$A$2:$A$7, 0))*INDEX(Unit_Paths!$D$2:$D$4, MATCH(E2120, Unit_Paths!$A$2:$A$4, 0)),0)</f>
        <v>12650</v>
      </c>
      <c r="K2120" s="6" t="n">
        <f aca="false">ROUND(INDEX(Archetypes!$H$2:$H$127, MATCH(D2120, Archetypes!$A$2:$A$127, 0))*INDEX(Unit_Paths!$E$2:$E$4, MATCH(E2120, Unit_Paths!$A$2:$A$4, 0)),1)</f>
        <v>60.7</v>
      </c>
      <c r="L2120" s="6" t="n">
        <f aca="false">ROUND(INDEX(Archetypes!$I$2:$I$127, MATCH(D2120, Archetypes!$A$2:$A$127, 0))*INDEX(Unit_Grades!$C$2:$C$7, MATCH(F2120, Unit_Grades!$A$2:$A$7, 0)),1)</f>
        <v>340</v>
      </c>
      <c r="M2120" s="6" t="n">
        <f aca="false">ROUND(INDEX(Archetypes!$J$2:$J$127, MATCH(D2120, Archetypes!$A$2:$A$127, 0))*INDEX(Unit_Grades!$D$2:$D$7, MATCH(F2120, Unit_Grades!$A$2:$A$7, 0)),1)</f>
        <v>138</v>
      </c>
      <c r="N2120" s="6" t="n">
        <f aca="false">ROUND(M2120/24,2)</f>
        <v>5.75</v>
      </c>
    </row>
    <row r="2121" customFormat="false" ht="15" hidden="false" customHeight="true" outlineLevel="0" collapsed="false">
      <c r="A2121" s="6" t="n">
        <v>7</v>
      </c>
      <c r="B2121" s="6" t="s">
        <v>3571</v>
      </c>
      <c r="C2121" s="6" t="s">
        <v>1516</v>
      </c>
      <c r="D2121" s="6" t="str">
        <f aca="false">A2121&amp;"|"&amp;C2121</f>
        <v>7|Aether Sworn</v>
      </c>
      <c r="E2121" s="6" t="s">
        <v>1560</v>
      </c>
      <c r="F2121" s="6" t="s">
        <v>1540</v>
      </c>
      <c r="G2121" s="6" t="str">
        <f aca="false">INDEX(Archetypes!$D$2:$D$127, MATCH(D2121, Archetypes!$A$2:$A$127, 0))</f>
        <v>Cultivator</v>
      </c>
      <c r="H2121" s="6" t="n">
        <f aca="false">ROUND(INDEX(Archetypes!$E$2:$E$127, MATCH(D2121, Archetypes!$A$2:$A$127, 0))*INDEX(Unit_Grades!$B$2:$B$7, MATCH(F2121, Unit_Grades!$A$2:$A$7, 0))*INDEX(Unit_Paths!$B$2:$B$4, MATCH(E2121, Unit_Paths!$A$2:$A$4, 0)),1)</f>
        <v>2983.5</v>
      </c>
      <c r="I2121" s="6" t="n">
        <f aca="false">ROUND(INDEX(Archetypes!$F$2:$F$127, MATCH(D2121, Archetypes!$A$2:$A$127, 0))*INDEX(Unit_Grades!$B$2:$B$7, MATCH(F2121, Unit_Grades!$A$2:$A$7, 0))*INDEX(Unit_Paths!$C$2:$C$4, MATCH(E2121, Unit_Paths!$A$2:$A$4, 0)),1)</f>
        <v>3037.5</v>
      </c>
      <c r="J2121" s="6" t="n">
        <f aca="false">ROUND(INDEX(Archetypes!$G$2:$G$127, MATCH(D2121, Archetypes!$A$2:$A$127, 0))*INDEX(Unit_Grades!$B$2:$B$7, MATCH(F2121, Unit_Grades!$A$2:$A$7, 0))*INDEX(Unit_Paths!$D$2:$D$4, MATCH(E2121, Unit_Paths!$A$2:$A$4, 0)),0)</f>
        <v>17078</v>
      </c>
      <c r="K2121" s="6" t="n">
        <f aca="false">ROUND(INDEX(Archetypes!$H$2:$H$127, MATCH(D2121, Archetypes!$A$2:$A$127, 0))*INDEX(Unit_Paths!$E$2:$E$4, MATCH(E2121, Unit_Paths!$A$2:$A$4, 0)),1)</f>
        <v>60.7</v>
      </c>
      <c r="L2121" s="6" t="n">
        <f aca="false">ROUND(INDEX(Archetypes!$I$2:$I$127, MATCH(D2121, Archetypes!$A$2:$A$127, 0))*INDEX(Unit_Grades!$C$2:$C$7, MATCH(F2121, Unit_Grades!$A$2:$A$7, 0)),1)</f>
        <v>425</v>
      </c>
      <c r="M2121" s="6" t="n">
        <f aca="false">ROUND(INDEX(Archetypes!$J$2:$J$127, MATCH(D2121, Archetypes!$A$2:$A$127, 0))*INDEX(Unit_Grades!$D$2:$D$7, MATCH(F2121, Unit_Grades!$A$2:$A$7, 0)),1)</f>
        <v>207</v>
      </c>
      <c r="N2121" s="6" t="n">
        <f aca="false">ROUND(M2121/24,2)</f>
        <v>8.63</v>
      </c>
    </row>
    <row r="2122" customFormat="false" ht="15" hidden="false" customHeight="true" outlineLevel="0" collapsed="false">
      <c r="A2122" s="6" t="n">
        <v>7</v>
      </c>
      <c r="B2122" s="6" t="s">
        <v>3572</v>
      </c>
      <c r="C2122" s="6" t="s">
        <v>1516</v>
      </c>
      <c r="D2122" s="6" t="str">
        <f aca="false">A2122&amp;"|"&amp;C2122</f>
        <v>7|Aether Sworn</v>
      </c>
      <c r="E2122" s="6" t="s">
        <v>1560</v>
      </c>
      <c r="F2122" s="6" t="s">
        <v>1542</v>
      </c>
      <c r="G2122" s="6" t="str">
        <f aca="false">INDEX(Archetypes!$D$2:$D$127, MATCH(D2122, Archetypes!$A$2:$A$127, 0))</f>
        <v>Cultivator</v>
      </c>
      <c r="H2122" s="6" t="n">
        <f aca="false">ROUND(INDEX(Archetypes!$E$2:$E$127, MATCH(D2122, Archetypes!$A$2:$A$127, 0))*INDEX(Unit_Grades!$B$2:$B$7, MATCH(F2122, Unit_Grades!$A$2:$A$7, 0))*INDEX(Unit_Paths!$B$2:$B$4, MATCH(E2122, Unit_Paths!$A$2:$A$4, 0)),1)</f>
        <v>3978</v>
      </c>
      <c r="I2122" s="6" t="n">
        <f aca="false">ROUND(INDEX(Archetypes!$F$2:$F$127, MATCH(D2122, Archetypes!$A$2:$A$127, 0))*INDEX(Unit_Grades!$B$2:$B$7, MATCH(F2122, Unit_Grades!$A$2:$A$7, 0))*INDEX(Unit_Paths!$C$2:$C$4, MATCH(E2122, Unit_Paths!$A$2:$A$4, 0)),1)</f>
        <v>4050</v>
      </c>
      <c r="J2122" s="6" t="n">
        <f aca="false">ROUND(INDEX(Archetypes!$G$2:$G$127, MATCH(D2122, Archetypes!$A$2:$A$127, 0))*INDEX(Unit_Grades!$B$2:$B$7, MATCH(F2122, Unit_Grades!$A$2:$A$7, 0))*INDEX(Unit_Paths!$D$2:$D$4, MATCH(E2122, Unit_Paths!$A$2:$A$4, 0)),0)</f>
        <v>22770</v>
      </c>
      <c r="K2122" s="6" t="n">
        <f aca="false">ROUND(INDEX(Archetypes!$H$2:$H$127, MATCH(D2122, Archetypes!$A$2:$A$127, 0))*INDEX(Unit_Paths!$E$2:$E$4, MATCH(E2122, Unit_Paths!$A$2:$A$4, 0)),1)</f>
        <v>60.7</v>
      </c>
      <c r="L2122" s="6" t="n">
        <f aca="false">ROUND(INDEX(Archetypes!$I$2:$I$127, MATCH(D2122, Archetypes!$A$2:$A$127, 0))*INDEX(Unit_Grades!$C$2:$C$7, MATCH(F2122, Unit_Grades!$A$2:$A$7, 0)),1)</f>
        <v>544</v>
      </c>
      <c r="M2122" s="6" t="n">
        <f aca="false">ROUND(INDEX(Archetypes!$J$2:$J$127, MATCH(D2122, Archetypes!$A$2:$A$127, 0))*INDEX(Unit_Grades!$D$2:$D$7, MATCH(F2122, Unit_Grades!$A$2:$A$7, 0)),1)</f>
        <v>345</v>
      </c>
      <c r="N2122" s="6" t="n">
        <f aca="false">ROUND(M2122/24,2)</f>
        <v>14.38</v>
      </c>
    </row>
    <row r="2123" customFormat="false" ht="15" hidden="false" customHeight="true" outlineLevel="0" collapsed="false">
      <c r="A2123" s="6" t="n">
        <v>7</v>
      </c>
      <c r="B2123" s="6" t="s">
        <v>3573</v>
      </c>
      <c r="C2123" s="6" t="s">
        <v>1516</v>
      </c>
      <c r="D2123" s="6" t="str">
        <f aca="false">A2123&amp;"|"&amp;C2123</f>
        <v>7|Aether Sworn</v>
      </c>
      <c r="E2123" s="6" t="s">
        <v>1560</v>
      </c>
      <c r="F2123" s="6" t="s">
        <v>1544</v>
      </c>
      <c r="G2123" s="6" t="str">
        <f aca="false">INDEX(Archetypes!$D$2:$D$127, MATCH(D2123, Archetypes!$A$2:$A$127, 0))</f>
        <v>Cultivator</v>
      </c>
      <c r="H2123" s="6" t="n">
        <f aca="false">ROUND(INDEX(Archetypes!$E$2:$E$127, MATCH(D2123, Archetypes!$A$2:$A$127, 0))*INDEX(Unit_Grades!$B$2:$B$7, MATCH(F2123, Unit_Grades!$A$2:$A$7, 0))*INDEX(Unit_Paths!$B$2:$B$4, MATCH(E2123, Unit_Paths!$A$2:$A$4, 0)),1)</f>
        <v>5304</v>
      </c>
      <c r="I2123" s="6" t="n">
        <f aca="false">ROUND(INDEX(Archetypes!$F$2:$F$127, MATCH(D2123, Archetypes!$A$2:$A$127, 0))*INDEX(Unit_Grades!$B$2:$B$7, MATCH(F2123, Unit_Grades!$A$2:$A$7, 0))*INDEX(Unit_Paths!$C$2:$C$4, MATCH(E2123, Unit_Paths!$A$2:$A$4, 0)),1)</f>
        <v>5400</v>
      </c>
      <c r="J2123" s="6" t="n">
        <f aca="false">ROUND(INDEX(Archetypes!$G$2:$G$127, MATCH(D2123, Archetypes!$A$2:$A$127, 0))*INDEX(Unit_Grades!$B$2:$B$7, MATCH(F2123, Unit_Grades!$A$2:$A$7, 0))*INDEX(Unit_Paths!$D$2:$D$4, MATCH(E2123, Unit_Paths!$A$2:$A$4, 0)),0)</f>
        <v>30360</v>
      </c>
      <c r="K2123" s="6" t="n">
        <f aca="false">ROUND(INDEX(Archetypes!$H$2:$H$127, MATCH(D2123, Archetypes!$A$2:$A$127, 0))*INDEX(Unit_Paths!$E$2:$E$4, MATCH(E2123, Unit_Paths!$A$2:$A$4, 0)),1)</f>
        <v>60.7</v>
      </c>
      <c r="L2123" s="6" t="n">
        <f aca="false">ROUND(INDEX(Archetypes!$I$2:$I$127, MATCH(D2123, Archetypes!$A$2:$A$127, 0))*INDEX(Unit_Grades!$C$2:$C$7, MATCH(F2123, Unit_Grades!$A$2:$A$7, 0)),1)</f>
        <v>714</v>
      </c>
      <c r="M2123" s="6" t="n">
        <f aca="false">ROUND(INDEX(Archetypes!$J$2:$J$127, MATCH(D2123, Archetypes!$A$2:$A$127, 0))*INDEX(Unit_Grades!$D$2:$D$7, MATCH(F2123, Unit_Grades!$A$2:$A$7, 0)),1)</f>
        <v>551.9</v>
      </c>
      <c r="N2123" s="6" t="n">
        <f aca="false">ROUND(M2123/24,2)</f>
        <v>23</v>
      </c>
    </row>
    <row r="2124" customFormat="false" ht="15" hidden="false" customHeight="true" outlineLevel="0" collapsed="false">
      <c r="A2124" s="6" t="n">
        <v>7</v>
      </c>
      <c r="B2124" s="6" t="s">
        <v>3574</v>
      </c>
      <c r="C2124" s="6" t="s">
        <v>1516</v>
      </c>
      <c r="D2124" s="6" t="str">
        <f aca="false">A2124&amp;"|"&amp;C2124</f>
        <v>7|Aether Sworn</v>
      </c>
      <c r="E2124" s="6" t="s">
        <v>1560</v>
      </c>
      <c r="F2124" s="6" t="s">
        <v>1546</v>
      </c>
      <c r="G2124" s="6" t="str">
        <f aca="false">INDEX(Archetypes!$D$2:$D$127, MATCH(D2124, Archetypes!$A$2:$A$127, 0))</f>
        <v>Cultivator</v>
      </c>
      <c r="H2124" s="6" t="n">
        <f aca="false">ROUND(INDEX(Archetypes!$E$2:$E$127, MATCH(D2124, Archetypes!$A$2:$A$127, 0))*INDEX(Unit_Grades!$B$2:$B$7, MATCH(F2124, Unit_Grades!$A$2:$A$7, 0))*INDEX(Unit_Paths!$B$2:$B$4, MATCH(E2124, Unit_Paths!$A$2:$A$4, 0)),1)</f>
        <v>7072</v>
      </c>
      <c r="I2124" s="6" t="n">
        <f aca="false">ROUND(INDEX(Archetypes!$F$2:$F$127, MATCH(D2124, Archetypes!$A$2:$A$127, 0))*INDEX(Unit_Grades!$B$2:$B$7, MATCH(F2124, Unit_Grades!$A$2:$A$7, 0))*INDEX(Unit_Paths!$C$2:$C$4, MATCH(E2124, Unit_Paths!$A$2:$A$4, 0)),1)</f>
        <v>7200</v>
      </c>
      <c r="J2124" s="6" t="n">
        <f aca="false">ROUND(INDEX(Archetypes!$G$2:$G$127, MATCH(D2124, Archetypes!$A$2:$A$127, 0))*INDEX(Unit_Grades!$B$2:$B$7, MATCH(F2124, Unit_Grades!$A$2:$A$7, 0))*INDEX(Unit_Paths!$D$2:$D$4, MATCH(E2124, Unit_Paths!$A$2:$A$4, 0)),0)</f>
        <v>40480</v>
      </c>
      <c r="K2124" s="6" t="n">
        <f aca="false">ROUND(INDEX(Archetypes!$H$2:$H$127, MATCH(D2124, Archetypes!$A$2:$A$127, 0))*INDEX(Unit_Paths!$E$2:$E$4, MATCH(E2124, Unit_Paths!$A$2:$A$4, 0)),1)</f>
        <v>60.7</v>
      </c>
      <c r="L2124" s="6" t="n">
        <f aca="false">ROUND(INDEX(Archetypes!$I$2:$I$127, MATCH(D2124, Archetypes!$A$2:$A$127, 0))*INDEX(Unit_Grades!$C$2:$C$7, MATCH(F2124, Unit_Grades!$A$2:$A$7, 0)),1)</f>
        <v>952</v>
      </c>
      <c r="M2124" s="6" t="n">
        <f aca="false">ROUND(INDEX(Archetypes!$J$2:$J$127, MATCH(D2124, Archetypes!$A$2:$A$127, 0))*INDEX(Unit_Grades!$D$2:$D$7, MATCH(F2124, Unit_Grades!$A$2:$A$7, 0)),1)</f>
        <v>965.9</v>
      </c>
      <c r="N2124" s="6" t="n">
        <f aca="false">ROUND(M2124/24,2)</f>
        <v>40.25</v>
      </c>
    </row>
    <row r="2125" customFormat="false" ht="15" hidden="false" customHeight="true" outlineLevel="0" collapsed="false">
      <c r="A2125" s="6" t="n">
        <v>7</v>
      </c>
      <c r="B2125" s="6" t="s">
        <v>3575</v>
      </c>
      <c r="C2125" s="6" t="s">
        <v>1516</v>
      </c>
      <c r="D2125" s="6" t="str">
        <f aca="false">A2125&amp;"|"&amp;C2125</f>
        <v>7|Aether Sworn</v>
      </c>
      <c r="E2125" s="6" t="s">
        <v>1560</v>
      </c>
      <c r="F2125" s="6" t="s">
        <v>1548</v>
      </c>
      <c r="G2125" s="6" t="str">
        <f aca="false">INDEX(Archetypes!$D$2:$D$127, MATCH(D2125, Archetypes!$A$2:$A$127, 0))</f>
        <v>Cultivator</v>
      </c>
      <c r="H2125" s="6" t="n">
        <f aca="false">ROUND(INDEX(Archetypes!$E$2:$E$127, MATCH(D2125, Archetypes!$A$2:$A$127, 0))*INDEX(Unit_Grades!$B$2:$B$7, MATCH(F2125, Unit_Grades!$A$2:$A$7, 0))*INDEX(Unit_Paths!$B$2:$B$4, MATCH(E2125, Unit_Paths!$A$2:$A$4, 0)),1)</f>
        <v>9282</v>
      </c>
      <c r="I2125" s="6" t="n">
        <f aca="false">ROUND(INDEX(Archetypes!$F$2:$F$127, MATCH(D2125, Archetypes!$A$2:$A$127, 0))*INDEX(Unit_Grades!$B$2:$B$7, MATCH(F2125, Unit_Grades!$A$2:$A$7, 0))*INDEX(Unit_Paths!$C$2:$C$4, MATCH(E2125, Unit_Paths!$A$2:$A$4, 0)),1)</f>
        <v>9450</v>
      </c>
      <c r="J2125" s="6" t="n">
        <f aca="false">ROUND(INDEX(Archetypes!$G$2:$G$127, MATCH(D2125, Archetypes!$A$2:$A$127, 0))*INDEX(Unit_Grades!$B$2:$B$7, MATCH(F2125, Unit_Grades!$A$2:$A$7, 0))*INDEX(Unit_Paths!$D$2:$D$4, MATCH(E2125, Unit_Paths!$A$2:$A$4, 0)),0)</f>
        <v>53130</v>
      </c>
      <c r="K2125" s="6" t="n">
        <f aca="false">ROUND(INDEX(Archetypes!$H$2:$H$127, MATCH(D2125, Archetypes!$A$2:$A$127, 0))*INDEX(Unit_Paths!$E$2:$E$4, MATCH(E2125, Unit_Paths!$A$2:$A$4, 0)),1)</f>
        <v>60.7</v>
      </c>
      <c r="L2125" s="6" t="n">
        <f aca="false">ROUND(INDEX(Archetypes!$I$2:$I$127, MATCH(D2125, Archetypes!$A$2:$A$127, 0))*INDEX(Unit_Grades!$C$2:$C$7, MATCH(F2125, Unit_Grades!$A$2:$A$7, 0)),1)</f>
        <v>1258</v>
      </c>
      <c r="M2125" s="6" t="n">
        <f aca="false">ROUND(INDEX(Archetypes!$J$2:$J$127, MATCH(D2125, Archetypes!$A$2:$A$127, 0))*INDEX(Unit_Grades!$D$2:$D$7, MATCH(F2125, Unit_Grades!$A$2:$A$7, 0)),1)</f>
        <v>1655.8</v>
      </c>
      <c r="N2125" s="6" t="n">
        <f aca="false">ROUND(M2125/24,2)</f>
        <v>68.99</v>
      </c>
    </row>
    <row r="2126" customFormat="false" ht="15" hidden="false" customHeight="true" outlineLevel="0" collapsed="false">
      <c r="A2126" s="6" t="n">
        <v>7</v>
      </c>
      <c r="B2126" s="6" t="s">
        <v>1518</v>
      </c>
      <c r="C2126" s="6" t="s">
        <v>1518</v>
      </c>
      <c r="D2126" s="6" t="str">
        <f aca="false">A2126&amp;"|"&amp;C2126</f>
        <v>7|Dao Manifest Choir</v>
      </c>
      <c r="E2126" s="6" t="s">
        <v>1556</v>
      </c>
      <c r="F2126" s="6" t="s">
        <v>1538</v>
      </c>
      <c r="G2126" s="6" t="str">
        <f aca="false">INDEX(Archetypes!$D$2:$D$127, MATCH(D2126, Archetypes!$A$2:$A$127, 0))</f>
        <v>Cultivator</v>
      </c>
      <c r="H2126" s="6" t="n">
        <f aca="false">ROUND(INDEX(Archetypes!$E$2:$E$127, MATCH(D2126, Archetypes!$A$2:$A$127, 0))*INDEX(Unit_Grades!$B$2:$B$7, MATCH(F2126, Unit_Grades!$A$2:$A$7, 0))*INDEX(Unit_Paths!$B$2:$B$4, MATCH(E2126, Unit_Paths!$A$2:$A$4, 0)),1)</f>
        <v>2300</v>
      </c>
      <c r="I2126" s="6" t="n">
        <f aca="false">ROUND(INDEX(Archetypes!$F$2:$F$127, MATCH(D2126, Archetypes!$A$2:$A$127, 0))*INDEX(Unit_Grades!$B$2:$B$7, MATCH(F2126, Unit_Grades!$A$2:$A$7, 0))*INDEX(Unit_Paths!$C$2:$C$4, MATCH(E2126, Unit_Paths!$A$2:$A$4, 0)),1)</f>
        <v>1500</v>
      </c>
      <c r="J2126" s="6" t="n">
        <f aca="false">ROUND(INDEX(Archetypes!$G$2:$G$127, MATCH(D2126, Archetypes!$A$2:$A$127, 0))*INDEX(Unit_Grades!$B$2:$B$7, MATCH(F2126, Unit_Grades!$A$2:$A$7, 0))*INDEX(Unit_Paths!$D$2:$D$4, MATCH(E2126, Unit_Paths!$A$2:$A$4, 0)),0)</f>
        <v>9000</v>
      </c>
      <c r="K2126" s="6" t="n">
        <f aca="false">ROUND(INDEX(Archetypes!$H$2:$H$127, MATCH(D2126, Archetypes!$A$2:$A$127, 0))*INDEX(Unit_Paths!$E$2:$E$4, MATCH(E2126, Unit_Paths!$A$2:$A$4, 0)),1)</f>
        <v>60</v>
      </c>
      <c r="L2126" s="6" t="n">
        <f aca="false">ROUND(INDEX(Archetypes!$I$2:$I$127, MATCH(D2126, Archetypes!$A$2:$A$127, 0))*INDEX(Unit_Grades!$C$2:$C$7, MATCH(F2126, Unit_Grades!$A$2:$A$7, 0)),1)</f>
        <v>300</v>
      </c>
      <c r="M2126" s="6" t="n">
        <f aca="false">ROUND(INDEX(Archetypes!$J$2:$J$127, MATCH(D2126, Archetypes!$A$2:$A$127, 0))*INDEX(Unit_Grades!$D$2:$D$7, MATCH(F2126, Unit_Grades!$A$2:$A$7, 0)),1)</f>
        <v>121.8</v>
      </c>
      <c r="N2126" s="6" t="n">
        <f aca="false">ROUND(M2126/24,2)</f>
        <v>5.08</v>
      </c>
    </row>
    <row r="2127" customFormat="false" ht="15" hidden="false" customHeight="true" outlineLevel="0" collapsed="false">
      <c r="A2127" s="6" t="n">
        <v>7</v>
      </c>
      <c r="B2127" s="6" t="s">
        <v>3576</v>
      </c>
      <c r="C2127" s="6" t="s">
        <v>1518</v>
      </c>
      <c r="D2127" s="6" t="str">
        <f aca="false">A2127&amp;"|"&amp;C2127</f>
        <v>7|Dao Manifest Choir</v>
      </c>
      <c r="E2127" s="6" t="s">
        <v>1556</v>
      </c>
      <c r="F2127" s="6" t="s">
        <v>1540</v>
      </c>
      <c r="G2127" s="6" t="str">
        <f aca="false">INDEX(Archetypes!$D$2:$D$127, MATCH(D2127, Archetypes!$A$2:$A$127, 0))</f>
        <v>Cultivator</v>
      </c>
      <c r="H2127" s="6" t="n">
        <f aca="false">ROUND(INDEX(Archetypes!$E$2:$E$127, MATCH(D2127, Archetypes!$A$2:$A$127, 0))*INDEX(Unit_Grades!$B$2:$B$7, MATCH(F2127, Unit_Grades!$A$2:$A$7, 0))*INDEX(Unit_Paths!$B$2:$B$4, MATCH(E2127, Unit_Paths!$A$2:$A$4, 0)),1)</f>
        <v>3105</v>
      </c>
      <c r="I2127" s="6" t="n">
        <f aca="false">ROUND(INDEX(Archetypes!$F$2:$F$127, MATCH(D2127, Archetypes!$A$2:$A$127, 0))*INDEX(Unit_Grades!$B$2:$B$7, MATCH(F2127, Unit_Grades!$A$2:$A$7, 0))*INDEX(Unit_Paths!$C$2:$C$4, MATCH(E2127, Unit_Paths!$A$2:$A$4, 0)),1)</f>
        <v>2025</v>
      </c>
      <c r="J2127" s="6" t="n">
        <f aca="false">ROUND(INDEX(Archetypes!$G$2:$G$127, MATCH(D2127, Archetypes!$A$2:$A$127, 0))*INDEX(Unit_Grades!$B$2:$B$7, MATCH(F2127, Unit_Grades!$A$2:$A$7, 0))*INDEX(Unit_Paths!$D$2:$D$4, MATCH(E2127, Unit_Paths!$A$2:$A$4, 0)),0)</f>
        <v>12150</v>
      </c>
      <c r="K2127" s="6" t="n">
        <f aca="false">ROUND(INDEX(Archetypes!$H$2:$H$127, MATCH(D2127, Archetypes!$A$2:$A$127, 0))*INDEX(Unit_Paths!$E$2:$E$4, MATCH(E2127, Unit_Paths!$A$2:$A$4, 0)),1)</f>
        <v>60</v>
      </c>
      <c r="L2127" s="6" t="n">
        <f aca="false">ROUND(INDEX(Archetypes!$I$2:$I$127, MATCH(D2127, Archetypes!$A$2:$A$127, 0))*INDEX(Unit_Grades!$C$2:$C$7, MATCH(F2127, Unit_Grades!$A$2:$A$7, 0)),1)</f>
        <v>375</v>
      </c>
      <c r="M2127" s="6" t="n">
        <f aca="false">ROUND(INDEX(Archetypes!$J$2:$J$127, MATCH(D2127, Archetypes!$A$2:$A$127, 0))*INDEX(Unit_Grades!$D$2:$D$7, MATCH(F2127, Unit_Grades!$A$2:$A$7, 0)),1)</f>
        <v>182.6</v>
      </c>
      <c r="N2127" s="6" t="n">
        <f aca="false">ROUND(M2127/24,2)</f>
        <v>7.61</v>
      </c>
    </row>
    <row r="2128" customFormat="false" ht="15" hidden="false" customHeight="true" outlineLevel="0" collapsed="false">
      <c r="A2128" s="6" t="n">
        <v>7</v>
      </c>
      <c r="B2128" s="6" t="s">
        <v>3577</v>
      </c>
      <c r="C2128" s="6" t="s">
        <v>1518</v>
      </c>
      <c r="D2128" s="6" t="str">
        <f aca="false">A2128&amp;"|"&amp;C2128</f>
        <v>7|Dao Manifest Choir</v>
      </c>
      <c r="E2128" s="6" t="s">
        <v>1556</v>
      </c>
      <c r="F2128" s="6" t="s">
        <v>1542</v>
      </c>
      <c r="G2128" s="6" t="str">
        <f aca="false">INDEX(Archetypes!$D$2:$D$127, MATCH(D2128, Archetypes!$A$2:$A$127, 0))</f>
        <v>Cultivator</v>
      </c>
      <c r="H2128" s="6" t="n">
        <f aca="false">ROUND(INDEX(Archetypes!$E$2:$E$127, MATCH(D2128, Archetypes!$A$2:$A$127, 0))*INDEX(Unit_Grades!$B$2:$B$7, MATCH(F2128, Unit_Grades!$A$2:$A$7, 0))*INDEX(Unit_Paths!$B$2:$B$4, MATCH(E2128, Unit_Paths!$A$2:$A$4, 0)),1)</f>
        <v>4140</v>
      </c>
      <c r="I2128" s="6" t="n">
        <f aca="false">ROUND(INDEX(Archetypes!$F$2:$F$127, MATCH(D2128, Archetypes!$A$2:$A$127, 0))*INDEX(Unit_Grades!$B$2:$B$7, MATCH(F2128, Unit_Grades!$A$2:$A$7, 0))*INDEX(Unit_Paths!$C$2:$C$4, MATCH(E2128, Unit_Paths!$A$2:$A$4, 0)),1)</f>
        <v>2700</v>
      </c>
      <c r="J2128" s="6" t="n">
        <f aca="false">ROUND(INDEX(Archetypes!$G$2:$G$127, MATCH(D2128, Archetypes!$A$2:$A$127, 0))*INDEX(Unit_Grades!$B$2:$B$7, MATCH(F2128, Unit_Grades!$A$2:$A$7, 0))*INDEX(Unit_Paths!$D$2:$D$4, MATCH(E2128, Unit_Paths!$A$2:$A$4, 0)),0)</f>
        <v>16200</v>
      </c>
      <c r="K2128" s="6" t="n">
        <f aca="false">ROUND(INDEX(Archetypes!$H$2:$H$127, MATCH(D2128, Archetypes!$A$2:$A$127, 0))*INDEX(Unit_Paths!$E$2:$E$4, MATCH(E2128, Unit_Paths!$A$2:$A$4, 0)),1)</f>
        <v>60</v>
      </c>
      <c r="L2128" s="6" t="n">
        <f aca="false">ROUND(INDEX(Archetypes!$I$2:$I$127, MATCH(D2128, Archetypes!$A$2:$A$127, 0))*INDEX(Unit_Grades!$C$2:$C$7, MATCH(F2128, Unit_Grades!$A$2:$A$7, 0)),1)</f>
        <v>480</v>
      </c>
      <c r="M2128" s="6" t="n">
        <f aca="false">ROUND(INDEX(Archetypes!$J$2:$J$127, MATCH(D2128, Archetypes!$A$2:$A$127, 0))*INDEX(Unit_Grades!$D$2:$D$7, MATCH(F2128, Unit_Grades!$A$2:$A$7, 0)),1)</f>
        <v>304.4</v>
      </c>
      <c r="N2128" s="6" t="n">
        <f aca="false">ROUND(M2128/24,2)</f>
        <v>12.68</v>
      </c>
    </row>
    <row r="2129" customFormat="false" ht="15" hidden="false" customHeight="true" outlineLevel="0" collapsed="false">
      <c r="A2129" s="6" t="n">
        <v>7</v>
      </c>
      <c r="B2129" s="6" t="s">
        <v>3578</v>
      </c>
      <c r="C2129" s="6" t="s">
        <v>1518</v>
      </c>
      <c r="D2129" s="6" t="str">
        <f aca="false">A2129&amp;"|"&amp;C2129</f>
        <v>7|Dao Manifest Choir</v>
      </c>
      <c r="E2129" s="6" t="s">
        <v>1556</v>
      </c>
      <c r="F2129" s="6" t="s">
        <v>1544</v>
      </c>
      <c r="G2129" s="6" t="str">
        <f aca="false">INDEX(Archetypes!$D$2:$D$127, MATCH(D2129, Archetypes!$A$2:$A$127, 0))</f>
        <v>Cultivator</v>
      </c>
      <c r="H2129" s="6" t="n">
        <f aca="false">ROUND(INDEX(Archetypes!$E$2:$E$127, MATCH(D2129, Archetypes!$A$2:$A$127, 0))*INDEX(Unit_Grades!$B$2:$B$7, MATCH(F2129, Unit_Grades!$A$2:$A$7, 0))*INDEX(Unit_Paths!$B$2:$B$4, MATCH(E2129, Unit_Paths!$A$2:$A$4, 0)),1)</f>
        <v>5520</v>
      </c>
      <c r="I2129" s="6" t="n">
        <f aca="false">ROUND(INDEX(Archetypes!$F$2:$F$127, MATCH(D2129, Archetypes!$A$2:$A$127, 0))*INDEX(Unit_Grades!$B$2:$B$7, MATCH(F2129, Unit_Grades!$A$2:$A$7, 0))*INDEX(Unit_Paths!$C$2:$C$4, MATCH(E2129, Unit_Paths!$A$2:$A$4, 0)),1)</f>
        <v>3600</v>
      </c>
      <c r="J2129" s="6" t="n">
        <f aca="false">ROUND(INDEX(Archetypes!$G$2:$G$127, MATCH(D2129, Archetypes!$A$2:$A$127, 0))*INDEX(Unit_Grades!$B$2:$B$7, MATCH(F2129, Unit_Grades!$A$2:$A$7, 0))*INDEX(Unit_Paths!$D$2:$D$4, MATCH(E2129, Unit_Paths!$A$2:$A$4, 0)),0)</f>
        <v>21600</v>
      </c>
      <c r="K2129" s="6" t="n">
        <f aca="false">ROUND(INDEX(Archetypes!$H$2:$H$127, MATCH(D2129, Archetypes!$A$2:$A$127, 0))*INDEX(Unit_Paths!$E$2:$E$4, MATCH(E2129, Unit_Paths!$A$2:$A$4, 0)),1)</f>
        <v>60</v>
      </c>
      <c r="L2129" s="6" t="n">
        <f aca="false">ROUND(INDEX(Archetypes!$I$2:$I$127, MATCH(D2129, Archetypes!$A$2:$A$127, 0))*INDEX(Unit_Grades!$C$2:$C$7, MATCH(F2129, Unit_Grades!$A$2:$A$7, 0)),1)</f>
        <v>630</v>
      </c>
      <c r="M2129" s="6" t="n">
        <f aca="false">ROUND(INDEX(Archetypes!$J$2:$J$127, MATCH(D2129, Archetypes!$A$2:$A$127, 0))*INDEX(Unit_Grades!$D$2:$D$7, MATCH(F2129, Unit_Grades!$A$2:$A$7, 0)),1)</f>
        <v>487</v>
      </c>
      <c r="N2129" s="6" t="n">
        <f aca="false">ROUND(M2129/24,2)</f>
        <v>20.29</v>
      </c>
    </row>
    <row r="2130" customFormat="false" ht="15" hidden="false" customHeight="true" outlineLevel="0" collapsed="false">
      <c r="A2130" s="6" t="n">
        <v>7</v>
      </c>
      <c r="B2130" s="6" t="s">
        <v>3579</v>
      </c>
      <c r="C2130" s="6" t="s">
        <v>1518</v>
      </c>
      <c r="D2130" s="6" t="str">
        <f aca="false">A2130&amp;"|"&amp;C2130</f>
        <v>7|Dao Manifest Choir</v>
      </c>
      <c r="E2130" s="6" t="s">
        <v>1556</v>
      </c>
      <c r="F2130" s="6" t="s">
        <v>1546</v>
      </c>
      <c r="G2130" s="6" t="str">
        <f aca="false">INDEX(Archetypes!$D$2:$D$127, MATCH(D2130, Archetypes!$A$2:$A$127, 0))</f>
        <v>Cultivator</v>
      </c>
      <c r="H2130" s="6" t="n">
        <f aca="false">ROUND(INDEX(Archetypes!$E$2:$E$127, MATCH(D2130, Archetypes!$A$2:$A$127, 0))*INDEX(Unit_Grades!$B$2:$B$7, MATCH(F2130, Unit_Grades!$A$2:$A$7, 0))*INDEX(Unit_Paths!$B$2:$B$4, MATCH(E2130, Unit_Paths!$A$2:$A$4, 0)),1)</f>
        <v>7360</v>
      </c>
      <c r="I2130" s="6" t="n">
        <f aca="false">ROUND(INDEX(Archetypes!$F$2:$F$127, MATCH(D2130, Archetypes!$A$2:$A$127, 0))*INDEX(Unit_Grades!$B$2:$B$7, MATCH(F2130, Unit_Grades!$A$2:$A$7, 0))*INDEX(Unit_Paths!$C$2:$C$4, MATCH(E2130, Unit_Paths!$A$2:$A$4, 0)),1)</f>
        <v>4800</v>
      </c>
      <c r="J2130" s="6" t="n">
        <f aca="false">ROUND(INDEX(Archetypes!$G$2:$G$127, MATCH(D2130, Archetypes!$A$2:$A$127, 0))*INDEX(Unit_Grades!$B$2:$B$7, MATCH(F2130, Unit_Grades!$A$2:$A$7, 0))*INDEX(Unit_Paths!$D$2:$D$4, MATCH(E2130, Unit_Paths!$A$2:$A$4, 0)),0)</f>
        <v>28800</v>
      </c>
      <c r="K2130" s="6" t="n">
        <f aca="false">ROUND(INDEX(Archetypes!$H$2:$H$127, MATCH(D2130, Archetypes!$A$2:$A$127, 0))*INDEX(Unit_Paths!$E$2:$E$4, MATCH(E2130, Unit_Paths!$A$2:$A$4, 0)),1)</f>
        <v>60</v>
      </c>
      <c r="L2130" s="6" t="n">
        <f aca="false">ROUND(INDEX(Archetypes!$I$2:$I$127, MATCH(D2130, Archetypes!$A$2:$A$127, 0))*INDEX(Unit_Grades!$C$2:$C$7, MATCH(F2130, Unit_Grades!$A$2:$A$7, 0)),1)</f>
        <v>840</v>
      </c>
      <c r="M2130" s="6" t="n">
        <f aca="false">ROUND(INDEX(Archetypes!$J$2:$J$127, MATCH(D2130, Archetypes!$A$2:$A$127, 0))*INDEX(Unit_Grades!$D$2:$D$7, MATCH(F2130, Unit_Grades!$A$2:$A$7, 0)),1)</f>
        <v>852.3</v>
      </c>
      <c r="N2130" s="6" t="n">
        <f aca="false">ROUND(M2130/24,2)</f>
        <v>35.51</v>
      </c>
    </row>
    <row r="2131" customFormat="false" ht="15" hidden="false" customHeight="true" outlineLevel="0" collapsed="false">
      <c r="A2131" s="6" t="n">
        <v>7</v>
      </c>
      <c r="B2131" s="6" t="s">
        <v>3580</v>
      </c>
      <c r="C2131" s="6" t="s">
        <v>1518</v>
      </c>
      <c r="D2131" s="6" t="str">
        <f aca="false">A2131&amp;"|"&amp;C2131</f>
        <v>7|Dao Manifest Choir</v>
      </c>
      <c r="E2131" s="6" t="s">
        <v>1556</v>
      </c>
      <c r="F2131" s="6" t="s">
        <v>1548</v>
      </c>
      <c r="G2131" s="6" t="str">
        <f aca="false">INDEX(Archetypes!$D$2:$D$127, MATCH(D2131, Archetypes!$A$2:$A$127, 0))</f>
        <v>Cultivator</v>
      </c>
      <c r="H2131" s="6" t="n">
        <f aca="false">ROUND(INDEX(Archetypes!$E$2:$E$127, MATCH(D2131, Archetypes!$A$2:$A$127, 0))*INDEX(Unit_Grades!$B$2:$B$7, MATCH(F2131, Unit_Grades!$A$2:$A$7, 0))*INDEX(Unit_Paths!$B$2:$B$4, MATCH(E2131, Unit_Paths!$A$2:$A$4, 0)),1)</f>
        <v>9660</v>
      </c>
      <c r="I2131" s="6" t="n">
        <f aca="false">ROUND(INDEX(Archetypes!$F$2:$F$127, MATCH(D2131, Archetypes!$A$2:$A$127, 0))*INDEX(Unit_Grades!$B$2:$B$7, MATCH(F2131, Unit_Grades!$A$2:$A$7, 0))*INDEX(Unit_Paths!$C$2:$C$4, MATCH(E2131, Unit_Paths!$A$2:$A$4, 0)),1)</f>
        <v>6300</v>
      </c>
      <c r="J2131" s="6" t="n">
        <f aca="false">ROUND(INDEX(Archetypes!$G$2:$G$127, MATCH(D2131, Archetypes!$A$2:$A$127, 0))*INDEX(Unit_Grades!$B$2:$B$7, MATCH(F2131, Unit_Grades!$A$2:$A$7, 0))*INDEX(Unit_Paths!$D$2:$D$4, MATCH(E2131, Unit_Paths!$A$2:$A$4, 0)),0)</f>
        <v>37800</v>
      </c>
      <c r="K2131" s="6" t="n">
        <f aca="false">ROUND(INDEX(Archetypes!$H$2:$H$127, MATCH(D2131, Archetypes!$A$2:$A$127, 0))*INDEX(Unit_Paths!$E$2:$E$4, MATCH(E2131, Unit_Paths!$A$2:$A$4, 0)),1)</f>
        <v>60</v>
      </c>
      <c r="L2131" s="6" t="n">
        <f aca="false">ROUND(INDEX(Archetypes!$I$2:$I$127, MATCH(D2131, Archetypes!$A$2:$A$127, 0))*INDEX(Unit_Grades!$C$2:$C$7, MATCH(F2131, Unit_Grades!$A$2:$A$7, 0)),1)</f>
        <v>1110</v>
      </c>
      <c r="M2131" s="6" t="n">
        <f aca="false">ROUND(INDEX(Archetypes!$J$2:$J$127, MATCH(D2131, Archetypes!$A$2:$A$127, 0))*INDEX(Unit_Grades!$D$2:$D$7, MATCH(F2131, Unit_Grades!$A$2:$A$7, 0)),1)</f>
        <v>1461</v>
      </c>
      <c r="N2131" s="6" t="n">
        <f aca="false">ROUND(M2131/24,2)</f>
        <v>60.88</v>
      </c>
    </row>
    <row r="2132" customFormat="false" ht="15" hidden="false" customHeight="true" outlineLevel="0" collapsed="false">
      <c r="A2132" s="6" t="n">
        <v>7</v>
      </c>
      <c r="B2132" s="6" t="s">
        <v>3581</v>
      </c>
      <c r="C2132" s="6" t="s">
        <v>1518</v>
      </c>
      <c r="D2132" s="6" t="str">
        <f aca="false">A2132&amp;"|"&amp;C2132</f>
        <v>7|Dao Manifest Choir</v>
      </c>
      <c r="E2132" s="6" t="s">
        <v>1558</v>
      </c>
      <c r="F2132" s="6" t="s">
        <v>1538</v>
      </c>
      <c r="G2132" s="6" t="str">
        <f aca="false">INDEX(Archetypes!$D$2:$D$127, MATCH(D2132, Archetypes!$A$2:$A$127, 0))</f>
        <v>Cultivator</v>
      </c>
      <c r="H2132" s="6" t="n">
        <f aca="false">ROUND(INDEX(Archetypes!$E$2:$E$127, MATCH(D2132, Archetypes!$A$2:$A$127, 0))*INDEX(Unit_Grades!$B$2:$B$7, MATCH(F2132, Unit_Grades!$A$2:$A$7, 0))*INDEX(Unit_Paths!$B$2:$B$4, MATCH(E2132, Unit_Paths!$A$2:$A$4, 0)),1)</f>
        <v>2760</v>
      </c>
      <c r="I2132" s="6" t="n">
        <f aca="false">ROUND(INDEX(Archetypes!$F$2:$F$127, MATCH(D2132, Archetypes!$A$2:$A$127, 0))*INDEX(Unit_Grades!$B$2:$B$7, MATCH(F2132, Unit_Grades!$A$2:$A$7, 0))*INDEX(Unit_Paths!$C$2:$C$4, MATCH(E2132, Unit_Paths!$A$2:$A$4, 0)),1)</f>
        <v>1275</v>
      </c>
      <c r="J2132" s="6" t="n">
        <f aca="false">ROUND(INDEX(Archetypes!$G$2:$G$127, MATCH(D2132, Archetypes!$A$2:$A$127, 0))*INDEX(Unit_Grades!$B$2:$B$7, MATCH(F2132, Unit_Grades!$A$2:$A$7, 0))*INDEX(Unit_Paths!$D$2:$D$4, MATCH(E2132, Unit_Paths!$A$2:$A$4, 0)),0)</f>
        <v>8550</v>
      </c>
      <c r="K2132" s="6" t="n">
        <f aca="false">ROUND(INDEX(Archetypes!$H$2:$H$127, MATCH(D2132, Archetypes!$A$2:$A$127, 0))*INDEX(Unit_Paths!$E$2:$E$4, MATCH(E2132, Unit_Paths!$A$2:$A$4, 0)),1)</f>
        <v>63</v>
      </c>
      <c r="L2132" s="6" t="n">
        <f aca="false">ROUND(INDEX(Archetypes!$I$2:$I$127, MATCH(D2132, Archetypes!$A$2:$A$127, 0))*INDEX(Unit_Grades!$C$2:$C$7, MATCH(F2132, Unit_Grades!$A$2:$A$7, 0)),1)</f>
        <v>300</v>
      </c>
      <c r="M2132" s="6" t="n">
        <f aca="false">ROUND(INDEX(Archetypes!$J$2:$J$127, MATCH(D2132, Archetypes!$A$2:$A$127, 0))*INDEX(Unit_Grades!$D$2:$D$7, MATCH(F2132, Unit_Grades!$A$2:$A$7, 0)),1)</f>
        <v>121.8</v>
      </c>
      <c r="N2132" s="6" t="n">
        <f aca="false">ROUND(M2132/24,2)</f>
        <v>5.08</v>
      </c>
    </row>
    <row r="2133" customFormat="false" ht="15" hidden="false" customHeight="true" outlineLevel="0" collapsed="false">
      <c r="A2133" s="6" t="n">
        <v>7</v>
      </c>
      <c r="B2133" s="6" t="s">
        <v>3582</v>
      </c>
      <c r="C2133" s="6" t="s">
        <v>1518</v>
      </c>
      <c r="D2133" s="6" t="str">
        <f aca="false">A2133&amp;"|"&amp;C2133</f>
        <v>7|Dao Manifest Choir</v>
      </c>
      <c r="E2133" s="6" t="s">
        <v>1558</v>
      </c>
      <c r="F2133" s="6" t="s">
        <v>1540</v>
      </c>
      <c r="G2133" s="6" t="str">
        <f aca="false">INDEX(Archetypes!$D$2:$D$127, MATCH(D2133, Archetypes!$A$2:$A$127, 0))</f>
        <v>Cultivator</v>
      </c>
      <c r="H2133" s="6" t="n">
        <f aca="false">ROUND(INDEX(Archetypes!$E$2:$E$127, MATCH(D2133, Archetypes!$A$2:$A$127, 0))*INDEX(Unit_Grades!$B$2:$B$7, MATCH(F2133, Unit_Grades!$A$2:$A$7, 0))*INDEX(Unit_Paths!$B$2:$B$4, MATCH(E2133, Unit_Paths!$A$2:$A$4, 0)),1)</f>
        <v>3726</v>
      </c>
      <c r="I2133" s="6" t="n">
        <f aca="false">ROUND(INDEX(Archetypes!$F$2:$F$127, MATCH(D2133, Archetypes!$A$2:$A$127, 0))*INDEX(Unit_Grades!$B$2:$B$7, MATCH(F2133, Unit_Grades!$A$2:$A$7, 0))*INDEX(Unit_Paths!$C$2:$C$4, MATCH(E2133, Unit_Paths!$A$2:$A$4, 0)),1)</f>
        <v>1721.3</v>
      </c>
      <c r="J2133" s="6" t="n">
        <f aca="false">ROUND(INDEX(Archetypes!$G$2:$G$127, MATCH(D2133, Archetypes!$A$2:$A$127, 0))*INDEX(Unit_Grades!$B$2:$B$7, MATCH(F2133, Unit_Grades!$A$2:$A$7, 0))*INDEX(Unit_Paths!$D$2:$D$4, MATCH(E2133, Unit_Paths!$A$2:$A$4, 0)),0)</f>
        <v>11543</v>
      </c>
      <c r="K2133" s="6" t="n">
        <f aca="false">ROUND(INDEX(Archetypes!$H$2:$H$127, MATCH(D2133, Archetypes!$A$2:$A$127, 0))*INDEX(Unit_Paths!$E$2:$E$4, MATCH(E2133, Unit_Paths!$A$2:$A$4, 0)),1)</f>
        <v>63</v>
      </c>
      <c r="L2133" s="6" t="n">
        <f aca="false">ROUND(INDEX(Archetypes!$I$2:$I$127, MATCH(D2133, Archetypes!$A$2:$A$127, 0))*INDEX(Unit_Grades!$C$2:$C$7, MATCH(F2133, Unit_Grades!$A$2:$A$7, 0)),1)</f>
        <v>375</v>
      </c>
      <c r="M2133" s="6" t="n">
        <f aca="false">ROUND(INDEX(Archetypes!$J$2:$J$127, MATCH(D2133, Archetypes!$A$2:$A$127, 0))*INDEX(Unit_Grades!$D$2:$D$7, MATCH(F2133, Unit_Grades!$A$2:$A$7, 0)),1)</f>
        <v>182.6</v>
      </c>
      <c r="N2133" s="6" t="n">
        <f aca="false">ROUND(M2133/24,2)</f>
        <v>7.61</v>
      </c>
    </row>
    <row r="2134" customFormat="false" ht="15" hidden="false" customHeight="true" outlineLevel="0" collapsed="false">
      <c r="A2134" s="6" t="n">
        <v>7</v>
      </c>
      <c r="B2134" s="6" t="s">
        <v>3583</v>
      </c>
      <c r="C2134" s="6" t="s">
        <v>1518</v>
      </c>
      <c r="D2134" s="6" t="str">
        <f aca="false">A2134&amp;"|"&amp;C2134</f>
        <v>7|Dao Manifest Choir</v>
      </c>
      <c r="E2134" s="6" t="s">
        <v>1558</v>
      </c>
      <c r="F2134" s="6" t="s">
        <v>1542</v>
      </c>
      <c r="G2134" s="6" t="str">
        <f aca="false">INDEX(Archetypes!$D$2:$D$127, MATCH(D2134, Archetypes!$A$2:$A$127, 0))</f>
        <v>Cultivator</v>
      </c>
      <c r="H2134" s="6" t="n">
        <f aca="false">ROUND(INDEX(Archetypes!$E$2:$E$127, MATCH(D2134, Archetypes!$A$2:$A$127, 0))*INDEX(Unit_Grades!$B$2:$B$7, MATCH(F2134, Unit_Grades!$A$2:$A$7, 0))*INDEX(Unit_Paths!$B$2:$B$4, MATCH(E2134, Unit_Paths!$A$2:$A$4, 0)),1)</f>
        <v>4968</v>
      </c>
      <c r="I2134" s="6" t="n">
        <f aca="false">ROUND(INDEX(Archetypes!$F$2:$F$127, MATCH(D2134, Archetypes!$A$2:$A$127, 0))*INDEX(Unit_Grades!$B$2:$B$7, MATCH(F2134, Unit_Grades!$A$2:$A$7, 0))*INDEX(Unit_Paths!$C$2:$C$4, MATCH(E2134, Unit_Paths!$A$2:$A$4, 0)),1)</f>
        <v>2295</v>
      </c>
      <c r="J2134" s="6" t="n">
        <f aca="false">ROUND(INDEX(Archetypes!$G$2:$G$127, MATCH(D2134, Archetypes!$A$2:$A$127, 0))*INDEX(Unit_Grades!$B$2:$B$7, MATCH(F2134, Unit_Grades!$A$2:$A$7, 0))*INDEX(Unit_Paths!$D$2:$D$4, MATCH(E2134, Unit_Paths!$A$2:$A$4, 0)),0)</f>
        <v>15390</v>
      </c>
      <c r="K2134" s="6" t="n">
        <f aca="false">ROUND(INDEX(Archetypes!$H$2:$H$127, MATCH(D2134, Archetypes!$A$2:$A$127, 0))*INDEX(Unit_Paths!$E$2:$E$4, MATCH(E2134, Unit_Paths!$A$2:$A$4, 0)),1)</f>
        <v>63</v>
      </c>
      <c r="L2134" s="6" t="n">
        <f aca="false">ROUND(INDEX(Archetypes!$I$2:$I$127, MATCH(D2134, Archetypes!$A$2:$A$127, 0))*INDEX(Unit_Grades!$C$2:$C$7, MATCH(F2134, Unit_Grades!$A$2:$A$7, 0)),1)</f>
        <v>480</v>
      </c>
      <c r="M2134" s="6" t="n">
        <f aca="false">ROUND(INDEX(Archetypes!$J$2:$J$127, MATCH(D2134, Archetypes!$A$2:$A$127, 0))*INDEX(Unit_Grades!$D$2:$D$7, MATCH(F2134, Unit_Grades!$A$2:$A$7, 0)),1)</f>
        <v>304.4</v>
      </c>
      <c r="N2134" s="6" t="n">
        <f aca="false">ROUND(M2134/24,2)</f>
        <v>12.68</v>
      </c>
    </row>
    <row r="2135" customFormat="false" ht="15" hidden="false" customHeight="true" outlineLevel="0" collapsed="false">
      <c r="A2135" s="6" t="n">
        <v>7</v>
      </c>
      <c r="B2135" s="6" t="s">
        <v>3584</v>
      </c>
      <c r="C2135" s="6" t="s">
        <v>1518</v>
      </c>
      <c r="D2135" s="6" t="str">
        <f aca="false">A2135&amp;"|"&amp;C2135</f>
        <v>7|Dao Manifest Choir</v>
      </c>
      <c r="E2135" s="6" t="s">
        <v>1558</v>
      </c>
      <c r="F2135" s="6" t="s">
        <v>1544</v>
      </c>
      <c r="G2135" s="6" t="str">
        <f aca="false">INDEX(Archetypes!$D$2:$D$127, MATCH(D2135, Archetypes!$A$2:$A$127, 0))</f>
        <v>Cultivator</v>
      </c>
      <c r="H2135" s="6" t="n">
        <f aca="false">ROUND(INDEX(Archetypes!$E$2:$E$127, MATCH(D2135, Archetypes!$A$2:$A$127, 0))*INDEX(Unit_Grades!$B$2:$B$7, MATCH(F2135, Unit_Grades!$A$2:$A$7, 0))*INDEX(Unit_Paths!$B$2:$B$4, MATCH(E2135, Unit_Paths!$A$2:$A$4, 0)),1)</f>
        <v>6624</v>
      </c>
      <c r="I2135" s="6" t="n">
        <f aca="false">ROUND(INDEX(Archetypes!$F$2:$F$127, MATCH(D2135, Archetypes!$A$2:$A$127, 0))*INDEX(Unit_Grades!$B$2:$B$7, MATCH(F2135, Unit_Grades!$A$2:$A$7, 0))*INDEX(Unit_Paths!$C$2:$C$4, MATCH(E2135, Unit_Paths!$A$2:$A$4, 0)),1)</f>
        <v>3060</v>
      </c>
      <c r="J2135" s="6" t="n">
        <f aca="false">ROUND(INDEX(Archetypes!$G$2:$G$127, MATCH(D2135, Archetypes!$A$2:$A$127, 0))*INDEX(Unit_Grades!$B$2:$B$7, MATCH(F2135, Unit_Grades!$A$2:$A$7, 0))*INDEX(Unit_Paths!$D$2:$D$4, MATCH(E2135, Unit_Paths!$A$2:$A$4, 0)),0)</f>
        <v>20520</v>
      </c>
      <c r="K2135" s="6" t="n">
        <f aca="false">ROUND(INDEX(Archetypes!$H$2:$H$127, MATCH(D2135, Archetypes!$A$2:$A$127, 0))*INDEX(Unit_Paths!$E$2:$E$4, MATCH(E2135, Unit_Paths!$A$2:$A$4, 0)),1)</f>
        <v>63</v>
      </c>
      <c r="L2135" s="6" t="n">
        <f aca="false">ROUND(INDEX(Archetypes!$I$2:$I$127, MATCH(D2135, Archetypes!$A$2:$A$127, 0))*INDEX(Unit_Grades!$C$2:$C$7, MATCH(F2135, Unit_Grades!$A$2:$A$7, 0)),1)</f>
        <v>630</v>
      </c>
      <c r="M2135" s="6" t="n">
        <f aca="false">ROUND(INDEX(Archetypes!$J$2:$J$127, MATCH(D2135, Archetypes!$A$2:$A$127, 0))*INDEX(Unit_Grades!$D$2:$D$7, MATCH(F2135, Unit_Grades!$A$2:$A$7, 0)),1)</f>
        <v>487</v>
      </c>
      <c r="N2135" s="6" t="n">
        <f aca="false">ROUND(M2135/24,2)</f>
        <v>20.29</v>
      </c>
    </row>
    <row r="2136" customFormat="false" ht="15" hidden="false" customHeight="true" outlineLevel="0" collapsed="false">
      <c r="A2136" s="6" t="n">
        <v>7</v>
      </c>
      <c r="B2136" s="6" t="s">
        <v>3585</v>
      </c>
      <c r="C2136" s="6" t="s">
        <v>1518</v>
      </c>
      <c r="D2136" s="6" t="str">
        <f aca="false">A2136&amp;"|"&amp;C2136</f>
        <v>7|Dao Manifest Choir</v>
      </c>
      <c r="E2136" s="6" t="s">
        <v>1558</v>
      </c>
      <c r="F2136" s="6" t="s">
        <v>1546</v>
      </c>
      <c r="G2136" s="6" t="str">
        <f aca="false">INDEX(Archetypes!$D$2:$D$127, MATCH(D2136, Archetypes!$A$2:$A$127, 0))</f>
        <v>Cultivator</v>
      </c>
      <c r="H2136" s="6" t="n">
        <f aca="false">ROUND(INDEX(Archetypes!$E$2:$E$127, MATCH(D2136, Archetypes!$A$2:$A$127, 0))*INDEX(Unit_Grades!$B$2:$B$7, MATCH(F2136, Unit_Grades!$A$2:$A$7, 0))*INDEX(Unit_Paths!$B$2:$B$4, MATCH(E2136, Unit_Paths!$A$2:$A$4, 0)),1)</f>
        <v>8832</v>
      </c>
      <c r="I2136" s="6" t="n">
        <f aca="false">ROUND(INDEX(Archetypes!$F$2:$F$127, MATCH(D2136, Archetypes!$A$2:$A$127, 0))*INDEX(Unit_Grades!$B$2:$B$7, MATCH(F2136, Unit_Grades!$A$2:$A$7, 0))*INDEX(Unit_Paths!$C$2:$C$4, MATCH(E2136, Unit_Paths!$A$2:$A$4, 0)),1)</f>
        <v>4080</v>
      </c>
      <c r="J2136" s="6" t="n">
        <f aca="false">ROUND(INDEX(Archetypes!$G$2:$G$127, MATCH(D2136, Archetypes!$A$2:$A$127, 0))*INDEX(Unit_Grades!$B$2:$B$7, MATCH(F2136, Unit_Grades!$A$2:$A$7, 0))*INDEX(Unit_Paths!$D$2:$D$4, MATCH(E2136, Unit_Paths!$A$2:$A$4, 0)),0)</f>
        <v>27360</v>
      </c>
      <c r="K2136" s="6" t="n">
        <f aca="false">ROUND(INDEX(Archetypes!$H$2:$H$127, MATCH(D2136, Archetypes!$A$2:$A$127, 0))*INDEX(Unit_Paths!$E$2:$E$4, MATCH(E2136, Unit_Paths!$A$2:$A$4, 0)),1)</f>
        <v>63</v>
      </c>
      <c r="L2136" s="6" t="n">
        <f aca="false">ROUND(INDEX(Archetypes!$I$2:$I$127, MATCH(D2136, Archetypes!$A$2:$A$127, 0))*INDEX(Unit_Grades!$C$2:$C$7, MATCH(F2136, Unit_Grades!$A$2:$A$7, 0)),1)</f>
        <v>840</v>
      </c>
      <c r="M2136" s="6" t="n">
        <f aca="false">ROUND(INDEX(Archetypes!$J$2:$J$127, MATCH(D2136, Archetypes!$A$2:$A$127, 0))*INDEX(Unit_Grades!$D$2:$D$7, MATCH(F2136, Unit_Grades!$A$2:$A$7, 0)),1)</f>
        <v>852.3</v>
      </c>
      <c r="N2136" s="6" t="n">
        <f aca="false">ROUND(M2136/24,2)</f>
        <v>35.51</v>
      </c>
    </row>
    <row r="2137" customFormat="false" ht="15" hidden="false" customHeight="true" outlineLevel="0" collapsed="false">
      <c r="A2137" s="6" t="n">
        <v>7</v>
      </c>
      <c r="B2137" s="6" t="s">
        <v>3586</v>
      </c>
      <c r="C2137" s="6" t="s">
        <v>1518</v>
      </c>
      <c r="D2137" s="6" t="str">
        <f aca="false">A2137&amp;"|"&amp;C2137</f>
        <v>7|Dao Manifest Choir</v>
      </c>
      <c r="E2137" s="6" t="s">
        <v>1558</v>
      </c>
      <c r="F2137" s="6" t="s">
        <v>1548</v>
      </c>
      <c r="G2137" s="6" t="str">
        <f aca="false">INDEX(Archetypes!$D$2:$D$127, MATCH(D2137, Archetypes!$A$2:$A$127, 0))</f>
        <v>Cultivator</v>
      </c>
      <c r="H2137" s="6" t="n">
        <f aca="false">ROUND(INDEX(Archetypes!$E$2:$E$127, MATCH(D2137, Archetypes!$A$2:$A$127, 0))*INDEX(Unit_Grades!$B$2:$B$7, MATCH(F2137, Unit_Grades!$A$2:$A$7, 0))*INDEX(Unit_Paths!$B$2:$B$4, MATCH(E2137, Unit_Paths!$A$2:$A$4, 0)),1)</f>
        <v>11592</v>
      </c>
      <c r="I2137" s="6" t="n">
        <f aca="false">ROUND(INDEX(Archetypes!$F$2:$F$127, MATCH(D2137, Archetypes!$A$2:$A$127, 0))*INDEX(Unit_Grades!$B$2:$B$7, MATCH(F2137, Unit_Grades!$A$2:$A$7, 0))*INDEX(Unit_Paths!$C$2:$C$4, MATCH(E2137, Unit_Paths!$A$2:$A$4, 0)),1)</f>
        <v>5355</v>
      </c>
      <c r="J2137" s="6" t="n">
        <f aca="false">ROUND(INDEX(Archetypes!$G$2:$G$127, MATCH(D2137, Archetypes!$A$2:$A$127, 0))*INDEX(Unit_Grades!$B$2:$B$7, MATCH(F2137, Unit_Grades!$A$2:$A$7, 0))*INDEX(Unit_Paths!$D$2:$D$4, MATCH(E2137, Unit_Paths!$A$2:$A$4, 0)),0)</f>
        <v>35910</v>
      </c>
      <c r="K2137" s="6" t="n">
        <f aca="false">ROUND(INDEX(Archetypes!$H$2:$H$127, MATCH(D2137, Archetypes!$A$2:$A$127, 0))*INDEX(Unit_Paths!$E$2:$E$4, MATCH(E2137, Unit_Paths!$A$2:$A$4, 0)),1)</f>
        <v>63</v>
      </c>
      <c r="L2137" s="6" t="n">
        <f aca="false">ROUND(INDEX(Archetypes!$I$2:$I$127, MATCH(D2137, Archetypes!$A$2:$A$127, 0))*INDEX(Unit_Grades!$C$2:$C$7, MATCH(F2137, Unit_Grades!$A$2:$A$7, 0)),1)</f>
        <v>1110</v>
      </c>
      <c r="M2137" s="6" t="n">
        <f aca="false">ROUND(INDEX(Archetypes!$J$2:$J$127, MATCH(D2137, Archetypes!$A$2:$A$127, 0))*INDEX(Unit_Grades!$D$2:$D$7, MATCH(F2137, Unit_Grades!$A$2:$A$7, 0)),1)</f>
        <v>1461</v>
      </c>
      <c r="N2137" s="6" t="n">
        <f aca="false">ROUND(M2137/24,2)</f>
        <v>60.88</v>
      </c>
    </row>
    <row r="2138" customFormat="false" ht="15" hidden="false" customHeight="true" outlineLevel="0" collapsed="false">
      <c r="A2138" s="6" t="n">
        <v>7</v>
      </c>
      <c r="B2138" s="6" t="s">
        <v>3587</v>
      </c>
      <c r="C2138" s="6" t="s">
        <v>1518</v>
      </c>
      <c r="D2138" s="6" t="str">
        <f aca="false">A2138&amp;"|"&amp;C2138</f>
        <v>7|Dao Manifest Choir</v>
      </c>
      <c r="E2138" s="6" t="s">
        <v>1560</v>
      </c>
      <c r="F2138" s="6" t="s">
        <v>1538</v>
      </c>
      <c r="G2138" s="6" t="str">
        <f aca="false">INDEX(Archetypes!$D$2:$D$127, MATCH(D2138, Archetypes!$A$2:$A$127, 0))</f>
        <v>Cultivator</v>
      </c>
      <c r="H2138" s="6" t="n">
        <f aca="false">ROUND(INDEX(Archetypes!$E$2:$E$127, MATCH(D2138, Archetypes!$A$2:$A$127, 0))*INDEX(Unit_Grades!$B$2:$B$7, MATCH(F2138, Unit_Grades!$A$2:$A$7, 0))*INDEX(Unit_Paths!$B$2:$B$4, MATCH(E2138, Unit_Paths!$A$2:$A$4, 0)),1)</f>
        <v>1955</v>
      </c>
      <c r="I2138" s="6" t="n">
        <f aca="false">ROUND(INDEX(Archetypes!$F$2:$F$127, MATCH(D2138, Archetypes!$A$2:$A$127, 0))*INDEX(Unit_Grades!$B$2:$B$7, MATCH(F2138, Unit_Grades!$A$2:$A$7, 0))*INDEX(Unit_Paths!$C$2:$C$4, MATCH(E2138, Unit_Paths!$A$2:$A$4, 0)),1)</f>
        <v>1875</v>
      </c>
      <c r="J2138" s="6" t="n">
        <f aca="false">ROUND(INDEX(Archetypes!$G$2:$G$127, MATCH(D2138, Archetypes!$A$2:$A$127, 0))*INDEX(Unit_Grades!$B$2:$B$7, MATCH(F2138, Unit_Grades!$A$2:$A$7, 0))*INDEX(Unit_Paths!$D$2:$D$4, MATCH(E2138, Unit_Paths!$A$2:$A$4, 0)),0)</f>
        <v>10350</v>
      </c>
      <c r="K2138" s="6" t="n">
        <f aca="false">ROUND(INDEX(Archetypes!$H$2:$H$127, MATCH(D2138, Archetypes!$A$2:$A$127, 0))*INDEX(Unit_Paths!$E$2:$E$4, MATCH(E2138, Unit_Paths!$A$2:$A$4, 0)),1)</f>
        <v>55.2</v>
      </c>
      <c r="L2138" s="6" t="n">
        <f aca="false">ROUND(INDEX(Archetypes!$I$2:$I$127, MATCH(D2138, Archetypes!$A$2:$A$127, 0))*INDEX(Unit_Grades!$C$2:$C$7, MATCH(F2138, Unit_Grades!$A$2:$A$7, 0)),1)</f>
        <v>300</v>
      </c>
      <c r="M2138" s="6" t="n">
        <f aca="false">ROUND(INDEX(Archetypes!$J$2:$J$127, MATCH(D2138, Archetypes!$A$2:$A$127, 0))*INDEX(Unit_Grades!$D$2:$D$7, MATCH(F2138, Unit_Grades!$A$2:$A$7, 0)),1)</f>
        <v>121.8</v>
      </c>
      <c r="N2138" s="6" t="n">
        <f aca="false">ROUND(M2138/24,2)</f>
        <v>5.08</v>
      </c>
    </row>
    <row r="2139" customFormat="false" ht="15" hidden="false" customHeight="true" outlineLevel="0" collapsed="false">
      <c r="A2139" s="6" t="n">
        <v>7</v>
      </c>
      <c r="B2139" s="6" t="s">
        <v>3588</v>
      </c>
      <c r="C2139" s="6" t="s">
        <v>1518</v>
      </c>
      <c r="D2139" s="6" t="str">
        <f aca="false">A2139&amp;"|"&amp;C2139</f>
        <v>7|Dao Manifest Choir</v>
      </c>
      <c r="E2139" s="6" t="s">
        <v>1560</v>
      </c>
      <c r="F2139" s="6" t="s">
        <v>1540</v>
      </c>
      <c r="G2139" s="6" t="str">
        <f aca="false">INDEX(Archetypes!$D$2:$D$127, MATCH(D2139, Archetypes!$A$2:$A$127, 0))</f>
        <v>Cultivator</v>
      </c>
      <c r="H2139" s="6" t="n">
        <f aca="false">ROUND(INDEX(Archetypes!$E$2:$E$127, MATCH(D2139, Archetypes!$A$2:$A$127, 0))*INDEX(Unit_Grades!$B$2:$B$7, MATCH(F2139, Unit_Grades!$A$2:$A$7, 0))*INDEX(Unit_Paths!$B$2:$B$4, MATCH(E2139, Unit_Paths!$A$2:$A$4, 0)),1)</f>
        <v>2639.3</v>
      </c>
      <c r="I2139" s="6" t="n">
        <f aca="false">ROUND(INDEX(Archetypes!$F$2:$F$127, MATCH(D2139, Archetypes!$A$2:$A$127, 0))*INDEX(Unit_Grades!$B$2:$B$7, MATCH(F2139, Unit_Grades!$A$2:$A$7, 0))*INDEX(Unit_Paths!$C$2:$C$4, MATCH(E2139, Unit_Paths!$A$2:$A$4, 0)),1)</f>
        <v>2531.3</v>
      </c>
      <c r="J2139" s="6" t="n">
        <f aca="false">ROUND(INDEX(Archetypes!$G$2:$G$127, MATCH(D2139, Archetypes!$A$2:$A$127, 0))*INDEX(Unit_Grades!$B$2:$B$7, MATCH(F2139, Unit_Grades!$A$2:$A$7, 0))*INDEX(Unit_Paths!$D$2:$D$4, MATCH(E2139, Unit_Paths!$A$2:$A$4, 0)),0)</f>
        <v>13972</v>
      </c>
      <c r="K2139" s="6" t="n">
        <f aca="false">ROUND(INDEX(Archetypes!$H$2:$H$127, MATCH(D2139, Archetypes!$A$2:$A$127, 0))*INDEX(Unit_Paths!$E$2:$E$4, MATCH(E2139, Unit_Paths!$A$2:$A$4, 0)),1)</f>
        <v>55.2</v>
      </c>
      <c r="L2139" s="6" t="n">
        <f aca="false">ROUND(INDEX(Archetypes!$I$2:$I$127, MATCH(D2139, Archetypes!$A$2:$A$127, 0))*INDEX(Unit_Grades!$C$2:$C$7, MATCH(F2139, Unit_Grades!$A$2:$A$7, 0)),1)</f>
        <v>375</v>
      </c>
      <c r="M2139" s="6" t="n">
        <f aca="false">ROUND(INDEX(Archetypes!$J$2:$J$127, MATCH(D2139, Archetypes!$A$2:$A$127, 0))*INDEX(Unit_Grades!$D$2:$D$7, MATCH(F2139, Unit_Grades!$A$2:$A$7, 0)),1)</f>
        <v>182.6</v>
      </c>
      <c r="N2139" s="6" t="n">
        <f aca="false">ROUND(M2139/24,2)</f>
        <v>7.61</v>
      </c>
    </row>
    <row r="2140" customFormat="false" ht="15" hidden="false" customHeight="true" outlineLevel="0" collapsed="false">
      <c r="A2140" s="6" t="n">
        <v>7</v>
      </c>
      <c r="B2140" s="6" t="s">
        <v>3589</v>
      </c>
      <c r="C2140" s="6" t="s">
        <v>1518</v>
      </c>
      <c r="D2140" s="6" t="str">
        <f aca="false">A2140&amp;"|"&amp;C2140</f>
        <v>7|Dao Manifest Choir</v>
      </c>
      <c r="E2140" s="6" t="s">
        <v>1560</v>
      </c>
      <c r="F2140" s="6" t="s">
        <v>1542</v>
      </c>
      <c r="G2140" s="6" t="str">
        <f aca="false">INDEX(Archetypes!$D$2:$D$127, MATCH(D2140, Archetypes!$A$2:$A$127, 0))</f>
        <v>Cultivator</v>
      </c>
      <c r="H2140" s="6" t="n">
        <f aca="false">ROUND(INDEX(Archetypes!$E$2:$E$127, MATCH(D2140, Archetypes!$A$2:$A$127, 0))*INDEX(Unit_Grades!$B$2:$B$7, MATCH(F2140, Unit_Grades!$A$2:$A$7, 0))*INDEX(Unit_Paths!$B$2:$B$4, MATCH(E2140, Unit_Paths!$A$2:$A$4, 0)),1)</f>
        <v>3519</v>
      </c>
      <c r="I2140" s="6" t="n">
        <f aca="false">ROUND(INDEX(Archetypes!$F$2:$F$127, MATCH(D2140, Archetypes!$A$2:$A$127, 0))*INDEX(Unit_Grades!$B$2:$B$7, MATCH(F2140, Unit_Grades!$A$2:$A$7, 0))*INDEX(Unit_Paths!$C$2:$C$4, MATCH(E2140, Unit_Paths!$A$2:$A$4, 0)),1)</f>
        <v>3375</v>
      </c>
      <c r="J2140" s="6" t="n">
        <f aca="false">ROUND(INDEX(Archetypes!$G$2:$G$127, MATCH(D2140, Archetypes!$A$2:$A$127, 0))*INDEX(Unit_Grades!$B$2:$B$7, MATCH(F2140, Unit_Grades!$A$2:$A$7, 0))*INDEX(Unit_Paths!$D$2:$D$4, MATCH(E2140, Unit_Paths!$A$2:$A$4, 0)),0)</f>
        <v>18630</v>
      </c>
      <c r="K2140" s="6" t="n">
        <f aca="false">ROUND(INDEX(Archetypes!$H$2:$H$127, MATCH(D2140, Archetypes!$A$2:$A$127, 0))*INDEX(Unit_Paths!$E$2:$E$4, MATCH(E2140, Unit_Paths!$A$2:$A$4, 0)),1)</f>
        <v>55.2</v>
      </c>
      <c r="L2140" s="6" t="n">
        <f aca="false">ROUND(INDEX(Archetypes!$I$2:$I$127, MATCH(D2140, Archetypes!$A$2:$A$127, 0))*INDEX(Unit_Grades!$C$2:$C$7, MATCH(F2140, Unit_Grades!$A$2:$A$7, 0)),1)</f>
        <v>480</v>
      </c>
      <c r="M2140" s="6" t="n">
        <f aca="false">ROUND(INDEX(Archetypes!$J$2:$J$127, MATCH(D2140, Archetypes!$A$2:$A$127, 0))*INDEX(Unit_Grades!$D$2:$D$7, MATCH(F2140, Unit_Grades!$A$2:$A$7, 0)),1)</f>
        <v>304.4</v>
      </c>
      <c r="N2140" s="6" t="n">
        <f aca="false">ROUND(M2140/24,2)</f>
        <v>12.68</v>
      </c>
    </row>
    <row r="2141" customFormat="false" ht="15" hidden="false" customHeight="true" outlineLevel="0" collapsed="false">
      <c r="A2141" s="6" t="n">
        <v>7</v>
      </c>
      <c r="B2141" s="6" t="s">
        <v>3590</v>
      </c>
      <c r="C2141" s="6" t="s">
        <v>1518</v>
      </c>
      <c r="D2141" s="6" t="str">
        <f aca="false">A2141&amp;"|"&amp;C2141</f>
        <v>7|Dao Manifest Choir</v>
      </c>
      <c r="E2141" s="6" t="s">
        <v>1560</v>
      </c>
      <c r="F2141" s="6" t="s">
        <v>1544</v>
      </c>
      <c r="G2141" s="6" t="str">
        <f aca="false">INDEX(Archetypes!$D$2:$D$127, MATCH(D2141, Archetypes!$A$2:$A$127, 0))</f>
        <v>Cultivator</v>
      </c>
      <c r="H2141" s="6" t="n">
        <f aca="false">ROUND(INDEX(Archetypes!$E$2:$E$127, MATCH(D2141, Archetypes!$A$2:$A$127, 0))*INDEX(Unit_Grades!$B$2:$B$7, MATCH(F2141, Unit_Grades!$A$2:$A$7, 0))*INDEX(Unit_Paths!$B$2:$B$4, MATCH(E2141, Unit_Paths!$A$2:$A$4, 0)),1)</f>
        <v>4692</v>
      </c>
      <c r="I2141" s="6" t="n">
        <f aca="false">ROUND(INDEX(Archetypes!$F$2:$F$127, MATCH(D2141, Archetypes!$A$2:$A$127, 0))*INDEX(Unit_Grades!$B$2:$B$7, MATCH(F2141, Unit_Grades!$A$2:$A$7, 0))*INDEX(Unit_Paths!$C$2:$C$4, MATCH(E2141, Unit_Paths!$A$2:$A$4, 0)),1)</f>
        <v>4500</v>
      </c>
      <c r="J2141" s="6" t="n">
        <f aca="false">ROUND(INDEX(Archetypes!$G$2:$G$127, MATCH(D2141, Archetypes!$A$2:$A$127, 0))*INDEX(Unit_Grades!$B$2:$B$7, MATCH(F2141, Unit_Grades!$A$2:$A$7, 0))*INDEX(Unit_Paths!$D$2:$D$4, MATCH(E2141, Unit_Paths!$A$2:$A$4, 0)),0)</f>
        <v>24840</v>
      </c>
      <c r="K2141" s="6" t="n">
        <f aca="false">ROUND(INDEX(Archetypes!$H$2:$H$127, MATCH(D2141, Archetypes!$A$2:$A$127, 0))*INDEX(Unit_Paths!$E$2:$E$4, MATCH(E2141, Unit_Paths!$A$2:$A$4, 0)),1)</f>
        <v>55.2</v>
      </c>
      <c r="L2141" s="6" t="n">
        <f aca="false">ROUND(INDEX(Archetypes!$I$2:$I$127, MATCH(D2141, Archetypes!$A$2:$A$127, 0))*INDEX(Unit_Grades!$C$2:$C$7, MATCH(F2141, Unit_Grades!$A$2:$A$7, 0)),1)</f>
        <v>630</v>
      </c>
      <c r="M2141" s="6" t="n">
        <f aca="false">ROUND(INDEX(Archetypes!$J$2:$J$127, MATCH(D2141, Archetypes!$A$2:$A$127, 0))*INDEX(Unit_Grades!$D$2:$D$7, MATCH(F2141, Unit_Grades!$A$2:$A$7, 0)),1)</f>
        <v>487</v>
      </c>
      <c r="N2141" s="6" t="n">
        <f aca="false">ROUND(M2141/24,2)</f>
        <v>20.29</v>
      </c>
    </row>
    <row r="2142" customFormat="false" ht="15" hidden="false" customHeight="true" outlineLevel="0" collapsed="false">
      <c r="A2142" s="6" t="n">
        <v>7</v>
      </c>
      <c r="B2142" s="6" t="s">
        <v>3591</v>
      </c>
      <c r="C2142" s="6" t="s">
        <v>1518</v>
      </c>
      <c r="D2142" s="6" t="str">
        <f aca="false">A2142&amp;"|"&amp;C2142</f>
        <v>7|Dao Manifest Choir</v>
      </c>
      <c r="E2142" s="6" t="s">
        <v>1560</v>
      </c>
      <c r="F2142" s="6" t="s">
        <v>1546</v>
      </c>
      <c r="G2142" s="6" t="str">
        <f aca="false">INDEX(Archetypes!$D$2:$D$127, MATCH(D2142, Archetypes!$A$2:$A$127, 0))</f>
        <v>Cultivator</v>
      </c>
      <c r="H2142" s="6" t="n">
        <f aca="false">ROUND(INDEX(Archetypes!$E$2:$E$127, MATCH(D2142, Archetypes!$A$2:$A$127, 0))*INDEX(Unit_Grades!$B$2:$B$7, MATCH(F2142, Unit_Grades!$A$2:$A$7, 0))*INDEX(Unit_Paths!$B$2:$B$4, MATCH(E2142, Unit_Paths!$A$2:$A$4, 0)),1)</f>
        <v>6256</v>
      </c>
      <c r="I2142" s="6" t="n">
        <f aca="false">ROUND(INDEX(Archetypes!$F$2:$F$127, MATCH(D2142, Archetypes!$A$2:$A$127, 0))*INDEX(Unit_Grades!$B$2:$B$7, MATCH(F2142, Unit_Grades!$A$2:$A$7, 0))*INDEX(Unit_Paths!$C$2:$C$4, MATCH(E2142, Unit_Paths!$A$2:$A$4, 0)),1)</f>
        <v>6000</v>
      </c>
      <c r="J2142" s="6" t="n">
        <f aca="false">ROUND(INDEX(Archetypes!$G$2:$G$127, MATCH(D2142, Archetypes!$A$2:$A$127, 0))*INDEX(Unit_Grades!$B$2:$B$7, MATCH(F2142, Unit_Grades!$A$2:$A$7, 0))*INDEX(Unit_Paths!$D$2:$D$4, MATCH(E2142, Unit_Paths!$A$2:$A$4, 0)),0)</f>
        <v>33120</v>
      </c>
      <c r="K2142" s="6" t="n">
        <f aca="false">ROUND(INDEX(Archetypes!$H$2:$H$127, MATCH(D2142, Archetypes!$A$2:$A$127, 0))*INDEX(Unit_Paths!$E$2:$E$4, MATCH(E2142, Unit_Paths!$A$2:$A$4, 0)),1)</f>
        <v>55.2</v>
      </c>
      <c r="L2142" s="6" t="n">
        <f aca="false">ROUND(INDEX(Archetypes!$I$2:$I$127, MATCH(D2142, Archetypes!$A$2:$A$127, 0))*INDEX(Unit_Grades!$C$2:$C$7, MATCH(F2142, Unit_Grades!$A$2:$A$7, 0)),1)</f>
        <v>840</v>
      </c>
      <c r="M2142" s="6" t="n">
        <f aca="false">ROUND(INDEX(Archetypes!$J$2:$J$127, MATCH(D2142, Archetypes!$A$2:$A$127, 0))*INDEX(Unit_Grades!$D$2:$D$7, MATCH(F2142, Unit_Grades!$A$2:$A$7, 0)),1)</f>
        <v>852.3</v>
      </c>
      <c r="N2142" s="6" t="n">
        <f aca="false">ROUND(M2142/24,2)</f>
        <v>35.51</v>
      </c>
    </row>
    <row r="2143" customFormat="false" ht="15" hidden="false" customHeight="true" outlineLevel="0" collapsed="false">
      <c r="A2143" s="6" t="n">
        <v>7</v>
      </c>
      <c r="B2143" s="6" t="s">
        <v>3592</v>
      </c>
      <c r="C2143" s="6" t="s">
        <v>1518</v>
      </c>
      <c r="D2143" s="6" t="str">
        <f aca="false">A2143&amp;"|"&amp;C2143</f>
        <v>7|Dao Manifest Choir</v>
      </c>
      <c r="E2143" s="6" t="s">
        <v>1560</v>
      </c>
      <c r="F2143" s="6" t="s">
        <v>1548</v>
      </c>
      <c r="G2143" s="6" t="str">
        <f aca="false">INDEX(Archetypes!$D$2:$D$127, MATCH(D2143, Archetypes!$A$2:$A$127, 0))</f>
        <v>Cultivator</v>
      </c>
      <c r="H2143" s="6" t="n">
        <f aca="false">ROUND(INDEX(Archetypes!$E$2:$E$127, MATCH(D2143, Archetypes!$A$2:$A$127, 0))*INDEX(Unit_Grades!$B$2:$B$7, MATCH(F2143, Unit_Grades!$A$2:$A$7, 0))*INDEX(Unit_Paths!$B$2:$B$4, MATCH(E2143, Unit_Paths!$A$2:$A$4, 0)),1)</f>
        <v>8211</v>
      </c>
      <c r="I2143" s="6" t="n">
        <f aca="false">ROUND(INDEX(Archetypes!$F$2:$F$127, MATCH(D2143, Archetypes!$A$2:$A$127, 0))*INDEX(Unit_Grades!$B$2:$B$7, MATCH(F2143, Unit_Grades!$A$2:$A$7, 0))*INDEX(Unit_Paths!$C$2:$C$4, MATCH(E2143, Unit_Paths!$A$2:$A$4, 0)),1)</f>
        <v>7875</v>
      </c>
      <c r="J2143" s="6" t="n">
        <f aca="false">ROUND(INDEX(Archetypes!$G$2:$G$127, MATCH(D2143, Archetypes!$A$2:$A$127, 0))*INDEX(Unit_Grades!$B$2:$B$7, MATCH(F2143, Unit_Grades!$A$2:$A$7, 0))*INDEX(Unit_Paths!$D$2:$D$4, MATCH(E2143, Unit_Paths!$A$2:$A$4, 0)),0)</f>
        <v>43470</v>
      </c>
      <c r="K2143" s="6" t="n">
        <f aca="false">ROUND(INDEX(Archetypes!$H$2:$H$127, MATCH(D2143, Archetypes!$A$2:$A$127, 0))*INDEX(Unit_Paths!$E$2:$E$4, MATCH(E2143, Unit_Paths!$A$2:$A$4, 0)),1)</f>
        <v>55.2</v>
      </c>
      <c r="L2143" s="6" t="n">
        <f aca="false">ROUND(INDEX(Archetypes!$I$2:$I$127, MATCH(D2143, Archetypes!$A$2:$A$127, 0))*INDEX(Unit_Grades!$C$2:$C$7, MATCH(F2143, Unit_Grades!$A$2:$A$7, 0)),1)</f>
        <v>1110</v>
      </c>
      <c r="M2143" s="6" t="n">
        <f aca="false">ROUND(INDEX(Archetypes!$J$2:$J$127, MATCH(D2143, Archetypes!$A$2:$A$127, 0))*INDEX(Unit_Grades!$D$2:$D$7, MATCH(F2143, Unit_Grades!$A$2:$A$7, 0)),1)</f>
        <v>1461</v>
      </c>
      <c r="N2143" s="6" t="n">
        <f aca="false">ROUND(M2143/24,2)</f>
        <v>60.88</v>
      </c>
    </row>
    <row r="2144" customFormat="false" ht="15" hidden="false" customHeight="true" outlineLevel="0" collapsed="false">
      <c r="A2144" s="6" t="n">
        <v>7</v>
      </c>
      <c r="B2144" s="6" t="s">
        <v>1520</v>
      </c>
      <c r="C2144" s="6" t="s">
        <v>1520</v>
      </c>
      <c r="D2144" s="6" t="str">
        <f aca="false">A2144&amp;"|"&amp;C2144</f>
        <v>7|Silent Hunter</v>
      </c>
      <c r="E2144" s="6" t="s">
        <v>1556</v>
      </c>
      <c r="F2144" s="6" t="s">
        <v>1538</v>
      </c>
      <c r="G2144" s="6" t="str">
        <f aca="false">INDEX(Archetypes!$D$2:$D$127, MATCH(D2144, Archetypes!$A$2:$A$127, 0))</f>
        <v>Alpha Strike</v>
      </c>
      <c r="H2144" s="6" t="n">
        <f aca="false">ROUND(INDEX(Archetypes!$E$2:$E$127, MATCH(D2144, Archetypes!$A$2:$A$127, 0))*INDEX(Unit_Grades!$B$2:$B$7, MATCH(F2144, Unit_Grades!$A$2:$A$7, 0))*INDEX(Unit_Paths!$B$2:$B$4, MATCH(E2144, Unit_Paths!$A$2:$A$4, 0)),1)</f>
        <v>2500</v>
      </c>
      <c r="I2144" s="6" t="n">
        <f aca="false">ROUND(INDEX(Archetypes!$F$2:$F$127, MATCH(D2144, Archetypes!$A$2:$A$127, 0))*INDEX(Unit_Grades!$B$2:$B$7, MATCH(F2144, Unit_Grades!$A$2:$A$7, 0))*INDEX(Unit_Paths!$C$2:$C$4, MATCH(E2144, Unit_Paths!$A$2:$A$4, 0)),1)</f>
        <v>1300</v>
      </c>
      <c r="J2144" s="6" t="n">
        <f aca="false">ROUND(INDEX(Archetypes!$G$2:$G$127, MATCH(D2144, Archetypes!$A$2:$A$127, 0))*INDEX(Unit_Grades!$B$2:$B$7, MATCH(F2144, Unit_Grades!$A$2:$A$7, 0))*INDEX(Unit_Paths!$D$2:$D$4, MATCH(E2144, Unit_Paths!$A$2:$A$4, 0)),0)</f>
        <v>8000</v>
      </c>
      <c r="K2144" s="6" t="n">
        <f aca="false">ROUND(INDEX(Archetypes!$H$2:$H$127, MATCH(D2144, Archetypes!$A$2:$A$127, 0))*INDEX(Unit_Paths!$E$2:$E$4, MATCH(E2144, Unit_Paths!$A$2:$A$4, 0)),1)</f>
        <v>90</v>
      </c>
      <c r="L2144" s="6" t="n">
        <f aca="false">ROUND(INDEX(Archetypes!$I$2:$I$127, MATCH(D2144, Archetypes!$A$2:$A$127, 0))*INDEX(Unit_Grades!$C$2:$C$7, MATCH(F2144, Unit_Grades!$A$2:$A$7, 0)),1)</f>
        <v>280</v>
      </c>
      <c r="M2144" s="6" t="n">
        <f aca="false">ROUND(INDEX(Archetypes!$J$2:$J$127, MATCH(D2144, Archetypes!$A$2:$A$127, 0))*INDEX(Unit_Grades!$D$2:$D$7, MATCH(F2144, Unit_Grades!$A$2:$A$7, 0)),1)</f>
        <v>113.6</v>
      </c>
      <c r="N2144" s="6" t="n">
        <f aca="false">ROUND(M2144/24,2)</f>
        <v>4.73</v>
      </c>
    </row>
    <row r="2145" customFormat="false" ht="15" hidden="false" customHeight="true" outlineLevel="0" collapsed="false">
      <c r="A2145" s="6" t="n">
        <v>7</v>
      </c>
      <c r="B2145" s="6" t="s">
        <v>3593</v>
      </c>
      <c r="C2145" s="6" t="s">
        <v>1520</v>
      </c>
      <c r="D2145" s="6" t="str">
        <f aca="false">A2145&amp;"|"&amp;C2145</f>
        <v>7|Silent Hunter</v>
      </c>
      <c r="E2145" s="6" t="s">
        <v>1556</v>
      </c>
      <c r="F2145" s="6" t="s">
        <v>1540</v>
      </c>
      <c r="G2145" s="6" t="str">
        <f aca="false">INDEX(Archetypes!$D$2:$D$127, MATCH(D2145, Archetypes!$A$2:$A$127, 0))</f>
        <v>Alpha Strike</v>
      </c>
      <c r="H2145" s="6" t="n">
        <f aca="false">ROUND(INDEX(Archetypes!$E$2:$E$127, MATCH(D2145, Archetypes!$A$2:$A$127, 0))*INDEX(Unit_Grades!$B$2:$B$7, MATCH(F2145, Unit_Grades!$A$2:$A$7, 0))*INDEX(Unit_Paths!$B$2:$B$4, MATCH(E2145, Unit_Paths!$A$2:$A$4, 0)),1)</f>
        <v>3375</v>
      </c>
      <c r="I2145" s="6" t="n">
        <f aca="false">ROUND(INDEX(Archetypes!$F$2:$F$127, MATCH(D2145, Archetypes!$A$2:$A$127, 0))*INDEX(Unit_Grades!$B$2:$B$7, MATCH(F2145, Unit_Grades!$A$2:$A$7, 0))*INDEX(Unit_Paths!$C$2:$C$4, MATCH(E2145, Unit_Paths!$A$2:$A$4, 0)),1)</f>
        <v>1755</v>
      </c>
      <c r="J2145" s="6" t="n">
        <f aca="false">ROUND(INDEX(Archetypes!$G$2:$G$127, MATCH(D2145, Archetypes!$A$2:$A$127, 0))*INDEX(Unit_Grades!$B$2:$B$7, MATCH(F2145, Unit_Grades!$A$2:$A$7, 0))*INDEX(Unit_Paths!$D$2:$D$4, MATCH(E2145, Unit_Paths!$A$2:$A$4, 0)),0)</f>
        <v>10800</v>
      </c>
      <c r="K2145" s="6" t="n">
        <f aca="false">ROUND(INDEX(Archetypes!$H$2:$H$127, MATCH(D2145, Archetypes!$A$2:$A$127, 0))*INDEX(Unit_Paths!$E$2:$E$4, MATCH(E2145, Unit_Paths!$A$2:$A$4, 0)),1)</f>
        <v>90</v>
      </c>
      <c r="L2145" s="6" t="n">
        <f aca="false">ROUND(INDEX(Archetypes!$I$2:$I$127, MATCH(D2145, Archetypes!$A$2:$A$127, 0))*INDEX(Unit_Grades!$C$2:$C$7, MATCH(F2145, Unit_Grades!$A$2:$A$7, 0)),1)</f>
        <v>350</v>
      </c>
      <c r="M2145" s="6" t="n">
        <f aca="false">ROUND(INDEX(Archetypes!$J$2:$J$127, MATCH(D2145, Archetypes!$A$2:$A$127, 0))*INDEX(Unit_Grades!$D$2:$D$7, MATCH(F2145, Unit_Grades!$A$2:$A$7, 0)),1)</f>
        <v>170.4</v>
      </c>
      <c r="N2145" s="6" t="n">
        <f aca="false">ROUND(M2145/24,2)</f>
        <v>7.1</v>
      </c>
    </row>
    <row r="2146" customFormat="false" ht="15" hidden="false" customHeight="true" outlineLevel="0" collapsed="false">
      <c r="A2146" s="6" t="n">
        <v>7</v>
      </c>
      <c r="B2146" s="6" t="s">
        <v>3594</v>
      </c>
      <c r="C2146" s="6" t="s">
        <v>1520</v>
      </c>
      <c r="D2146" s="6" t="str">
        <f aca="false">A2146&amp;"|"&amp;C2146</f>
        <v>7|Silent Hunter</v>
      </c>
      <c r="E2146" s="6" t="s">
        <v>1556</v>
      </c>
      <c r="F2146" s="6" t="s">
        <v>1542</v>
      </c>
      <c r="G2146" s="6" t="str">
        <f aca="false">INDEX(Archetypes!$D$2:$D$127, MATCH(D2146, Archetypes!$A$2:$A$127, 0))</f>
        <v>Alpha Strike</v>
      </c>
      <c r="H2146" s="6" t="n">
        <f aca="false">ROUND(INDEX(Archetypes!$E$2:$E$127, MATCH(D2146, Archetypes!$A$2:$A$127, 0))*INDEX(Unit_Grades!$B$2:$B$7, MATCH(F2146, Unit_Grades!$A$2:$A$7, 0))*INDEX(Unit_Paths!$B$2:$B$4, MATCH(E2146, Unit_Paths!$A$2:$A$4, 0)),1)</f>
        <v>4500</v>
      </c>
      <c r="I2146" s="6" t="n">
        <f aca="false">ROUND(INDEX(Archetypes!$F$2:$F$127, MATCH(D2146, Archetypes!$A$2:$A$127, 0))*INDEX(Unit_Grades!$B$2:$B$7, MATCH(F2146, Unit_Grades!$A$2:$A$7, 0))*INDEX(Unit_Paths!$C$2:$C$4, MATCH(E2146, Unit_Paths!$A$2:$A$4, 0)),1)</f>
        <v>2340</v>
      </c>
      <c r="J2146" s="6" t="n">
        <f aca="false">ROUND(INDEX(Archetypes!$G$2:$G$127, MATCH(D2146, Archetypes!$A$2:$A$127, 0))*INDEX(Unit_Grades!$B$2:$B$7, MATCH(F2146, Unit_Grades!$A$2:$A$7, 0))*INDEX(Unit_Paths!$D$2:$D$4, MATCH(E2146, Unit_Paths!$A$2:$A$4, 0)),0)</f>
        <v>14400</v>
      </c>
      <c r="K2146" s="6" t="n">
        <f aca="false">ROUND(INDEX(Archetypes!$H$2:$H$127, MATCH(D2146, Archetypes!$A$2:$A$127, 0))*INDEX(Unit_Paths!$E$2:$E$4, MATCH(E2146, Unit_Paths!$A$2:$A$4, 0)),1)</f>
        <v>90</v>
      </c>
      <c r="L2146" s="6" t="n">
        <f aca="false">ROUND(INDEX(Archetypes!$I$2:$I$127, MATCH(D2146, Archetypes!$A$2:$A$127, 0))*INDEX(Unit_Grades!$C$2:$C$7, MATCH(F2146, Unit_Grades!$A$2:$A$7, 0)),1)</f>
        <v>448</v>
      </c>
      <c r="M2146" s="6" t="n">
        <f aca="false">ROUND(INDEX(Archetypes!$J$2:$J$127, MATCH(D2146, Archetypes!$A$2:$A$127, 0))*INDEX(Unit_Grades!$D$2:$D$7, MATCH(F2146, Unit_Grades!$A$2:$A$7, 0)),1)</f>
        <v>284.1</v>
      </c>
      <c r="N2146" s="6" t="n">
        <f aca="false">ROUND(M2146/24,2)</f>
        <v>11.84</v>
      </c>
    </row>
    <row r="2147" customFormat="false" ht="15" hidden="false" customHeight="true" outlineLevel="0" collapsed="false">
      <c r="A2147" s="6" t="n">
        <v>7</v>
      </c>
      <c r="B2147" s="6" t="s">
        <v>3595</v>
      </c>
      <c r="C2147" s="6" t="s">
        <v>1520</v>
      </c>
      <c r="D2147" s="6" t="str">
        <f aca="false">A2147&amp;"|"&amp;C2147</f>
        <v>7|Silent Hunter</v>
      </c>
      <c r="E2147" s="6" t="s">
        <v>1556</v>
      </c>
      <c r="F2147" s="6" t="s">
        <v>1544</v>
      </c>
      <c r="G2147" s="6" t="str">
        <f aca="false">INDEX(Archetypes!$D$2:$D$127, MATCH(D2147, Archetypes!$A$2:$A$127, 0))</f>
        <v>Alpha Strike</v>
      </c>
      <c r="H2147" s="6" t="n">
        <f aca="false">ROUND(INDEX(Archetypes!$E$2:$E$127, MATCH(D2147, Archetypes!$A$2:$A$127, 0))*INDEX(Unit_Grades!$B$2:$B$7, MATCH(F2147, Unit_Grades!$A$2:$A$7, 0))*INDEX(Unit_Paths!$B$2:$B$4, MATCH(E2147, Unit_Paths!$A$2:$A$4, 0)),1)</f>
        <v>6000</v>
      </c>
      <c r="I2147" s="6" t="n">
        <f aca="false">ROUND(INDEX(Archetypes!$F$2:$F$127, MATCH(D2147, Archetypes!$A$2:$A$127, 0))*INDEX(Unit_Grades!$B$2:$B$7, MATCH(F2147, Unit_Grades!$A$2:$A$7, 0))*INDEX(Unit_Paths!$C$2:$C$4, MATCH(E2147, Unit_Paths!$A$2:$A$4, 0)),1)</f>
        <v>3120</v>
      </c>
      <c r="J2147" s="6" t="n">
        <f aca="false">ROUND(INDEX(Archetypes!$G$2:$G$127, MATCH(D2147, Archetypes!$A$2:$A$127, 0))*INDEX(Unit_Grades!$B$2:$B$7, MATCH(F2147, Unit_Grades!$A$2:$A$7, 0))*INDEX(Unit_Paths!$D$2:$D$4, MATCH(E2147, Unit_Paths!$A$2:$A$4, 0)),0)</f>
        <v>19200</v>
      </c>
      <c r="K2147" s="6" t="n">
        <f aca="false">ROUND(INDEX(Archetypes!$H$2:$H$127, MATCH(D2147, Archetypes!$A$2:$A$127, 0))*INDEX(Unit_Paths!$E$2:$E$4, MATCH(E2147, Unit_Paths!$A$2:$A$4, 0)),1)</f>
        <v>90</v>
      </c>
      <c r="L2147" s="6" t="n">
        <f aca="false">ROUND(INDEX(Archetypes!$I$2:$I$127, MATCH(D2147, Archetypes!$A$2:$A$127, 0))*INDEX(Unit_Grades!$C$2:$C$7, MATCH(F2147, Unit_Grades!$A$2:$A$7, 0)),1)</f>
        <v>588</v>
      </c>
      <c r="M2147" s="6" t="n">
        <f aca="false">ROUND(INDEX(Archetypes!$J$2:$J$127, MATCH(D2147, Archetypes!$A$2:$A$127, 0))*INDEX(Unit_Grades!$D$2:$D$7, MATCH(F2147, Unit_Grades!$A$2:$A$7, 0)),1)</f>
        <v>454.5</v>
      </c>
      <c r="N2147" s="6" t="n">
        <f aca="false">ROUND(M2147/24,2)</f>
        <v>18.94</v>
      </c>
    </row>
    <row r="2148" customFormat="false" ht="15" hidden="false" customHeight="true" outlineLevel="0" collapsed="false">
      <c r="A2148" s="6" t="n">
        <v>7</v>
      </c>
      <c r="B2148" s="6" t="s">
        <v>3596</v>
      </c>
      <c r="C2148" s="6" t="s">
        <v>1520</v>
      </c>
      <c r="D2148" s="6" t="str">
        <f aca="false">A2148&amp;"|"&amp;C2148</f>
        <v>7|Silent Hunter</v>
      </c>
      <c r="E2148" s="6" t="s">
        <v>1556</v>
      </c>
      <c r="F2148" s="6" t="s">
        <v>1546</v>
      </c>
      <c r="G2148" s="6" t="str">
        <f aca="false">INDEX(Archetypes!$D$2:$D$127, MATCH(D2148, Archetypes!$A$2:$A$127, 0))</f>
        <v>Alpha Strike</v>
      </c>
      <c r="H2148" s="6" t="n">
        <f aca="false">ROUND(INDEX(Archetypes!$E$2:$E$127, MATCH(D2148, Archetypes!$A$2:$A$127, 0))*INDEX(Unit_Grades!$B$2:$B$7, MATCH(F2148, Unit_Grades!$A$2:$A$7, 0))*INDEX(Unit_Paths!$B$2:$B$4, MATCH(E2148, Unit_Paths!$A$2:$A$4, 0)),1)</f>
        <v>8000</v>
      </c>
      <c r="I2148" s="6" t="n">
        <f aca="false">ROUND(INDEX(Archetypes!$F$2:$F$127, MATCH(D2148, Archetypes!$A$2:$A$127, 0))*INDEX(Unit_Grades!$B$2:$B$7, MATCH(F2148, Unit_Grades!$A$2:$A$7, 0))*INDEX(Unit_Paths!$C$2:$C$4, MATCH(E2148, Unit_Paths!$A$2:$A$4, 0)),1)</f>
        <v>4160</v>
      </c>
      <c r="J2148" s="6" t="n">
        <f aca="false">ROUND(INDEX(Archetypes!$G$2:$G$127, MATCH(D2148, Archetypes!$A$2:$A$127, 0))*INDEX(Unit_Grades!$B$2:$B$7, MATCH(F2148, Unit_Grades!$A$2:$A$7, 0))*INDEX(Unit_Paths!$D$2:$D$4, MATCH(E2148, Unit_Paths!$A$2:$A$4, 0)),0)</f>
        <v>25600</v>
      </c>
      <c r="K2148" s="6" t="n">
        <f aca="false">ROUND(INDEX(Archetypes!$H$2:$H$127, MATCH(D2148, Archetypes!$A$2:$A$127, 0))*INDEX(Unit_Paths!$E$2:$E$4, MATCH(E2148, Unit_Paths!$A$2:$A$4, 0)),1)</f>
        <v>90</v>
      </c>
      <c r="L2148" s="6" t="n">
        <f aca="false">ROUND(INDEX(Archetypes!$I$2:$I$127, MATCH(D2148, Archetypes!$A$2:$A$127, 0))*INDEX(Unit_Grades!$C$2:$C$7, MATCH(F2148, Unit_Grades!$A$2:$A$7, 0)),1)</f>
        <v>784</v>
      </c>
      <c r="M2148" s="6" t="n">
        <f aca="false">ROUND(INDEX(Archetypes!$J$2:$J$127, MATCH(D2148, Archetypes!$A$2:$A$127, 0))*INDEX(Unit_Grades!$D$2:$D$7, MATCH(F2148, Unit_Grades!$A$2:$A$7, 0)),1)</f>
        <v>795.4</v>
      </c>
      <c r="N2148" s="6" t="n">
        <f aca="false">ROUND(M2148/24,2)</f>
        <v>33.14</v>
      </c>
    </row>
    <row r="2149" customFormat="false" ht="15" hidden="false" customHeight="true" outlineLevel="0" collapsed="false">
      <c r="A2149" s="6" t="n">
        <v>7</v>
      </c>
      <c r="B2149" s="6" t="s">
        <v>3597</v>
      </c>
      <c r="C2149" s="6" t="s">
        <v>1520</v>
      </c>
      <c r="D2149" s="6" t="str">
        <f aca="false">A2149&amp;"|"&amp;C2149</f>
        <v>7|Silent Hunter</v>
      </c>
      <c r="E2149" s="6" t="s">
        <v>1556</v>
      </c>
      <c r="F2149" s="6" t="s">
        <v>1548</v>
      </c>
      <c r="G2149" s="6" t="str">
        <f aca="false">INDEX(Archetypes!$D$2:$D$127, MATCH(D2149, Archetypes!$A$2:$A$127, 0))</f>
        <v>Alpha Strike</v>
      </c>
      <c r="H2149" s="6" t="n">
        <f aca="false">ROUND(INDEX(Archetypes!$E$2:$E$127, MATCH(D2149, Archetypes!$A$2:$A$127, 0))*INDEX(Unit_Grades!$B$2:$B$7, MATCH(F2149, Unit_Grades!$A$2:$A$7, 0))*INDEX(Unit_Paths!$B$2:$B$4, MATCH(E2149, Unit_Paths!$A$2:$A$4, 0)),1)</f>
        <v>10500</v>
      </c>
      <c r="I2149" s="6" t="n">
        <f aca="false">ROUND(INDEX(Archetypes!$F$2:$F$127, MATCH(D2149, Archetypes!$A$2:$A$127, 0))*INDEX(Unit_Grades!$B$2:$B$7, MATCH(F2149, Unit_Grades!$A$2:$A$7, 0))*INDEX(Unit_Paths!$C$2:$C$4, MATCH(E2149, Unit_Paths!$A$2:$A$4, 0)),1)</f>
        <v>5460</v>
      </c>
      <c r="J2149" s="6" t="n">
        <f aca="false">ROUND(INDEX(Archetypes!$G$2:$G$127, MATCH(D2149, Archetypes!$A$2:$A$127, 0))*INDEX(Unit_Grades!$B$2:$B$7, MATCH(F2149, Unit_Grades!$A$2:$A$7, 0))*INDEX(Unit_Paths!$D$2:$D$4, MATCH(E2149, Unit_Paths!$A$2:$A$4, 0)),0)</f>
        <v>33600</v>
      </c>
      <c r="K2149" s="6" t="n">
        <f aca="false">ROUND(INDEX(Archetypes!$H$2:$H$127, MATCH(D2149, Archetypes!$A$2:$A$127, 0))*INDEX(Unit_Paths!$E$2:$E$4, MATCH(E2149, Unit_Paths!$A$2:$A$4, 0)),1)</f>
        <v>90</v>
      </c>
      <c r="L2149" s="6" t="n">
        <f aca="false">ROUND(INDEX(Archetypes!$I$2:$I$127, MATCH(D2149, Archetypes!$A$2:$A$127, 0))*INDEX(Unit_Grades!$C$2:$C$7, MATCH(F2149, Unit_Grades!$A$2:$A$7, 0)),1)</f>
        <v>1036</v>
      </c>
      <c r="M2149" s="6" t="n">
        <f aca="false">ROUND(INDEX(Archetypes!$J$2:$J$127, MATCH(D2149, Archetypes!$A$2:$A$127, 0))*INDEX(Unit_Grades!$D$2:$D$7, MATCH(F2149, Unit_Grades!$A$2:$A$7, 0)),1)</f>
        <v>1363.6</v>
      </c>
      <c r="N2149" s="6" t="n">
        <f aca="false">ROUND(M2149/24,2)</f>
        <v>56.82</v>
      </c>
    </row>
    <row r="2150" customFormat="false" ht="15" hidden="false" customHeight="true" outlineLevel="0" collapsed="false">
      <c r="A2150" s="6" t="n">
        <v>7</v>
      </c>
      <c r="B2150" s="6" t="s">
        <v>3598</v>
      </c>
      <c r="C2150" s="6" t="s">
        <v>1520</v>
      </c>
      <c r="D2150" s="6" t="str">
        <f aca="false">A2150&amp;"|"&amp;C2150</f>
        <v>7|Silent Hunter</v>
      </c>
      <c r="E2150" s="6" t="s">
        <v>1558</v>
      </c>
      <c r="F2150" s="6" t="s">
        <v>1538</v>
      </c>
      <c r="G2150" s="6" t="str">
        <f aca="false">INDEX(Archetypes!$D$2:$D$127, MATCH(D2150, Archetypes!$A$2:$A$127, 0))</f>
        <v>Alpha Strike</v>
      </c>
      <c r="H2150" s="6" t="n">
        <f aca="false">ROUND(INDEX(Archetypes!$E$2:$E$127, MATCH(D2150, Archetypes!$A$2:$A$127, 0))*INDEX(Unit_Grades!$B$2:$B$7, MATCH(F2150, Unit_Grades!$A$2:$A$7, 0))*INDEX(Unit_Paths!$B$2:$B$4, MATCH(E2150, Unit_Paths!$A$2:$A$4, 0)),1)</f>
        <v>3000</v>
      </c>
      <c r="I2150" s="6" t="n">
        <f aca="false">ROUND(INDEX(Archetypes!$F$2:$F$127, MATCH(D2150, Archetypes!$A$2:$A$127, 0))*INDEX(Unit_Grades!$B$2:$B$7, MATCH(F2150, Unit_Grades!$A$2:$A$7, 0))*INDEX(Unit_Paths!$C$2:$C$4, MATCH(E2150, Unit_Paths!$A$2:$A$4, 0)),1)</f>
        <v>1105</v>
      </c>
      <c r="J2150" s="6" t="n">
        <f aca="false">ROUND(INDEX(Archetypes!$G$2:$G$127, MATCH(D2150, Archetypes!$A$2:$A$127, 0))*INDEX(Unit_Grades!$B$2:$B$7, MATCH(F2150, Unit_Grades!$A$2:$A$7, 0))*INDEX(Unit_Paths!$D$2:$D$4, MATCH(E2150, Unit_Paths!$A$2:$A$4, 0)),0)</f>
        <v>7600</v>
      </c>
      <c r="K2150" s="6" t="n">
        <f aca="false">ROUND(INDEX(Archetypes!$H$2:$H$127, MATCH(D2150, Archetypes!$A$2:$A$127, 0))*INDEX(Unit_Paths!$E$2:$E$4, MATCH(E2150, Unit_Paths!$A$2:$A$4, 0)),1)</f>
        <v>94.5</v>
      </c>
      <c r="L2150" s="6" t="n">
        <f aca="false">ROUND(INDEX(Archetypes!$I$2:$I$127, MATCH(D2150, Archetypes!$A$2:$A$127, 0))*INDEX(Unit_Grades!$C$2:$C$7, MATCH(F2150, Unit_Grades!$A$2:$A$7, 0)),1)</f>
        <v>280</v>
      </c>
      <c r="M2150" s="6" t="n">
        <f aca="false">ROUND(INDEX(Archetypes!$J$2:$J$127, MATCH(D2150, Archetypes!$A$2:$A$127, 0))*INDEX(Unit_Grades!$D$2:$D$7, MATCH(F2150, Unit_Grades!$A$2:$A$7, 0)),1)</f>
        <v>113.6</v>
      </c>
      <c r="N2150" s="6" t="n">
        <f aca="false">ROUND(M2150/24,2)</f>
        <v>4.73</v>
      </c>
    </row>
    <row r="2151" customFormat="false" ht="15" hidden="false" customHeight="true" outlineLevel="0" collapsed="false">
      <c r="A2151" s="6" t="n">
        <v>7</v>
      </c>
      <c r="B2151" s="6" t="s">
        <v>3599</v>
      </c>
      <c r="C2151" s="6" t="s">
        <v>1520</v>
      </c>
      <c r="D2151" s="6" t="str">
        <f aca="false">A2151&amp;"|"&amp;C2151</f>
        <v>7|Silent Hunter</v>
      </c>
      <c r="E2151" s="6" t="s">
        <v>1558</v>
      </c>
      <c r="F2151" s="6" t="s">
        <v>1540</v>
      </c>
      <c r="G2151" s="6" t="str">
        <f aca="false">INDEX(Archetypes!$D$2:$D$127, MATCH(D2151, Archetypes!$A$2:$A$127, 0))</f>
        <v>Alpha Strike</v>
      </c>
      <c r="H2151" s="6" t="n">
        <f aca="false">ROUND(INDEX(Archetypes!$E$2:$E$127, MATCH(D2151, Archetypes!$A$2:$A$127, 0))*INDEX(Unit_Grades!$B$2:$B$7, MATCH(F2151, Unit_Grades!$A$2:$A$7, 0))*INDEX(Unit_Paths!$B$2:$B$4, MATCH(E2151, Unit_Paths!$A$2:$A$4, 0)),1)</f>
        <v>4050</v>
      </c>
      <c r="I2151" s="6" t="n">
        <f aca="false">ROUND(INDEX(Archetypes!$F$2:$F$127, MATCH(D2151, Archetypes!$A$2:$A$127, 0))*INDEX(Unit_Grades!$B$2:$B$7, MATCH(F2151, Unit_Grades!$A$2:$A$7, 0))*INDEX(Unit_Paths!$C$2:$C$4, MATCH(E2151, Unit_Paths!$A$2:$A$4, 0)),1)</f>
        <v>1491.8</v>
      </c>
      <c r="J2151" s="6" t="n">
        <f aca="false">ROUND(INDEX(Archetypes!$G$2:$G$127, MATCH(D2151, Archetypes!$A$2:$A$127, 0))*INDEX(Unit_Grades!$B$2:$B$7, MATCH(F2151, Unit_Grades!$A$2:$A$7, 0))*INDEX(Unit_Paths!$D$2:$D$4, MATCH(E2151, Unit_Paths!$A$2:$A$4, 0)),0)</f>
        <v>10260</v>
      </c>
      <c r="K2151" s="6" t="n">
        <f aca="false">ROUND(INDEX(Archetypes!$H$2:$H$127, MATCH(D2151, Archetypes!$A$2:$A$127, 0))*INDEX(Unit_Paths!$E$2:$E$4, MATCH(E2151, Unit_Paths!$A$2:$A$4, 0)),1)</f>
        <v>94.5</v>
      </c>
      <c r="L2151" s="6" t="n">
        <f aca="false">ROUND(INDEX(Archetypes!$I$2:$I$127, MATCH(D2151, Archetypes!$A$2:$A$127, 0))*INDEX(Unit_Grades!$C$2:$C$7, MATCH(F2151, Unit_Grades!$A$2:$A$7, 0)),1)</f>
        <v>350</v>
      </c>
      <c r="M2151" s="6" t="n">
        <f aca="false">ROUND(INDEX(Archetypes!$J$2:$J$127, MATCH(D2151, Archetypes!$A$2:$A$127, 0))*INDEX(Unit_Grades!$D$2:$D$7, MATCH(F2151, Unit_Grades!$A$2:$A$7, 0)),1)</f>
        <v>170.4</v>
      </c>
      <c r="N2151" s="6" t="n">
        <f aca="false">ROUND(M2151/24,2)</f>
        <v>7.1</v>
      </c>
    </row>
    <row r="2152" customFormat="false" ht="15" hidden="false" customHeight="true" outlineLevel="0" collapsed="false">
      <c r="A2152" s="6" t="n">
        <v>7</v>
      </c>
      <c r="B2152" s="6" t="s">
        <v>3600</v>
      </c>
      <c r="C2152" s="6" t="s">
        <v>1520</v>
      </c>
      <c r="D2152" s="6" t="str">
        <f aca="false">A2152&amp;"|"&amp;C2152</f>
        <v>7|Silent Hunter</v>
      </c>
      <c r="E2152" s="6" t="s">
        <v>1558</v>
      </c>
      <c r="F2152" s="6" t="s">
        <v>1542</v>
      </c>
      <c r="G2152" s="6" t="str">
        <f aca="false">INDEX(Archetypes!$D$2:$D$127, MATCH(D2152, Archetypes!$A$2:$A$127, 0))</f>
        <v>Alpha Strike</v>
      </c>
      <c r="H2152" s="6" t="n">
        <f aca="false">ROUND(INDEX(Archetypes!$E$2:$E$127, MATCH(D2152, Archetypes!$A$2:$A$127, 0))*INDEX(Unit_Grades!$B$2:$B$7, MATCH(F2152, Unit_Grades!$A$2:$A$7, 0))*INDEX(Unit_Paths!$B$2:$B$4, MATCH(E2152, Unit_Paths!$A$2:$A$4, 0)),1)</f>
        <v>5400</v>
      </c>
      <c r="I2152" s="6" t="n">
        <f aca="false">ROUND(INDEX(Archetypes!$F$2:$F$127, MATCH(D2152, Archetypes!$A$2:$A$127, 0))*INDEX(Unit_Grades!$B$2:$B$7, MATCH(F2152, Unit_Grades!$A$2:$A$7, 0))*INDEX(Unit_Paths!$C$2:$C$4, MATCH(E2152, Unit_Paths!$A$2:$A$4, 0)),1)</f>
        <v>1989</v>
      </c>
      <c r="J2152" s="6" t="n">
        <f aca="false">ROUND(INDEX(Archetypes!$G$2:$G$127, MATCH(D2152, Archetypes!$A$2:$A$127, 0))*INDEX(Unit_Grades!$B$2:$B$7, MATCH(F2152, Unit_Grades!$A$2:$A$7, 0))*INDEX(Unit_Paths!$D$2:$D$4, MATCH(E2152, Unit_Paths!$A$2:$A$4, 0)),0)</f>
        <v>13680</v>
      </c>
      <c r="K2152" s="6" t="n">
        <f aca="false">ROUND(INDEX(Archetypes!$H$2:$H$127, MATCH(D2152, Archetypes!$A$2:$A$127, 0))*INDEX(Unit_Paths!$E$2:$E$4, MATCH(E2152, Unit_Paths!$A$2:$A$4, 0)),1)</f>
        <v>94.5</v>
      </c>
      <c r="L2152" s="6" t="n">
        <f aca="false">ROUND(INDEX(Archetypes!$I$2:$I$127, MATCH(D2152, Archetypes!$A$2:$A$127, 0))*INDEX(Unit_Grades!$C$2:$C$7, MATCH(F2152, Unit_Grades!$A$2:$A$7, 0)),1)</f>
        <v>448</v>
      </c>
      <c r="M2152" s="6" t="n">
        <f aca="false">ROUND(INDEX(Archetypes!$J$2:$J$127, MATCH(D2152, Archetypes!$A$2:$A$127, 0))*INDEX(Unit_Grades!$D$2:$D$7, MATCH(F2152, Unit_Grades!$A$2:$A$7, 0)),1)</f>
        <v>284.1</v>
      </c>
      <c r="N2152" s="6" t="n">
        <f aca="false">ROUND(M2152/24,2)</f>
        <v>11.84</v>
      </c>
    </row>
    <row r="2153" customFormat="false" ht="15" hidden="false" customHeight="true" outlineLevel="0" collapsed="false">
      <c r="A2153" s="6" t="n">
        <v>7</v>
      </c>
      <c r="B2153" s="6" t="s">
        <v>3601</v>
      </c>
      <c r="C2153" s="6" t="s">
        <v>1520</v>
      </c>
      <c r="D2153" s="6" t="str">
        <f aca="false">A2153&amp;"|"&amp;C2153</f>
        <v>7|Silent Hunter</v>
      </c>
      <c r="E2153" s="6" t="s">
        <v>1558</v>
      </c>
      <c r="F2153" s="6" t="s">
        <v>1544</v>
      </c>
      <c r="G2153" s="6" t="str">
        <f aca="false">INDEX(Archetypes!$D$2:$D$127, MATCH(D2153, Archetypes!$A$2:$A$127, 0))</f>
        <v>Alpha Strike</v>
      </c>
      <c r="H2153" s="6" t="n">
        <f aca="false">ROUND(INDEX(Archetypes!$E$2:$E$127, MATCH(D2153, Archetypes!$A$2:$A$127, 0))*INDEX(Unit_Grades!$B$2:$B$7, MATCH(F2153, Unit_Grades!$A$2:$A$7, 0))*INDEX(Unit_Paths!$B$2:$B$4, MATCH(E2153, Unit_Paths!$A$2:$A$4, 0)),1)</f>
        <v>7200</v>
      </c>
      <c r="I2153" s="6" t="n">
        <f aca="false">ROUND(INDEX(Archetypes!$F$2:$F$127, MATCH(D2153, Archetypes!$A$2:$A$127, 0))*INDEX(Unit_Grades!$B$2:$B$7, MATCH(F2153, Unit_Grades!$A$2:$A$7, 0))*INDEX(Unit_Paths!$C$2:$C$4, MATCH(E2153, Unit_Paths!$A$2:$A$4, 0)),1)</f>
        <v>2652</v>
      </c>
      <c r="J2153" s="6" t="n">
        <f aca="false">ROUND(INDEX(Archetypes!$G$2:$G$127, MATCH(D2153, Archetypes!$A$2:$A$127, 0))*INDEX(Unit_Grades!$B$2:$B$7, MATCH(F2153, Unit_Grades!$A$2:$A$7, 0))*INDEX(Unit_Paths!$D$2:$D$4, MATCH(E2153, Unit_Paths!$A$2:$A$4, 0)),0)</f>
        <v>18240</v>
      </c>
      <c r="K2153" s="6" t="n">
        <f aca="false">ROUND(INDEX(Archetypes!$H$2:$H$127, MATCH(D2153, Archetypes!$A$2:$A$127, 0))*INDEX(Unit_Paths!$E$2:$E$4, MATCH(E2153, Unit_Paths!$A$2:$A$4, 0)),1)</f>
        <v>94.5</v>
      </c>
      <c r="L2153" s="6" t="n">
        <f aca="false">ROUND(INDEX(Archetypes!$I$2:$I$127, MATCH(D2153, Archetypes!$A$2:$A$127, 0))*INDEX(Unit_Grades!$C$2:$C$7, MATCH(F2153, Unit_Grades!$A$2:$A$7, 0)),1)</f>
        <v>588</v>
      </c>
      <c r="M2153" s="6" t="n">
        <f aca="false">ROUND(INDEX(Archetypes!$J$2:$J$127, MATCH(D2153, Archetypes!$A$2:$A$127, 0))*INDEX(Unit_Grades!$D$2:$D$7, MATCH(F2153, Unit_Grades!$A$2:$A$7, 0)),1)</f>
        <v>454.5</v>
      </c>
      <c r="N2153" s="6" t="n">
        <f aca="false">ROUND(M2153/24,2)</f>
        <v>18.94</v>
      </c>
    </row>
    <row r="2154" customFormat="false" ht="15" hidden="false" customHeight="true" outlineLevel="0" collapsed="false">
      <c r="A2154" s="6" t="n">
        <v>7</v>
      </c>
      <c r="B2154" s="6" t="s">
        <v>3602</v>
      </c>
      <c r="C2154" s="6" t="s">
        <v>1520</v>
      </c>
      <c r="D2154" s="6" t="str">
        <f aca="false">A2154&amp;"|"&amp;C2154</f>
        <v>7|Silent Hunter</v>
      </c>
      <c r="E2154" s="6" t="s">
        <v>1558</v>
      </c>
      <c r="F2154" s="6" t="s">
        <v>1546</v>
      </c>
      <c r="G2154" s="6" t="str">
        <f aca="false">INDEX(Archetypes!$D$2:$D$127, MATCH(D2154, Archetypes!$A$2:$A$127, 0))</f>
        <v>Alpha Strike</v>
      </c>
      <c r="H2154" s="6" t="n">
        <f aca="false">ROUND(INDEX(Archetypes!$E$2:$E$127, MATCH(D2154, Archetypes!$A$2:$A$127, 0))*INDEX(Unit_Grades!$B$2:$B$7, MATCH(F2154, Unit_Grades!$A$2:$A$7, 0))*INDEX(Unit_Paths!$B$2:$B$4, MATCH(E2154, Unit_Paths!$A$2:$A$4, 0)),1)</f>
        <v>9600</v>
      </c>
      <c r="I2154" s="6" t="n">
        <f aca="false">ROUND(INDEX(Archetypes!$F$2:$F$127, MATCH(D2154, Archetypes!$A$2:$A$127, 0))*INDEX(Unit_Grades!$B$2:$B$7, MATCH(F2154, Unit_Grades!$A$2:$A$7, 0))*INDEX(Unit_Paths!$C$2:$C$4, MATCH(E2154, Unit_Paths!$A$2:$A$4, 0)),1)</f>
        <v>3536</v>
      </c>
      <c r="J2154" s="6" t="n">
        <f aca="false">ROUND(INDEX(Archetypes!$G$2:$G$127, MATCH(D2154, Archetypes!$A$2:$A$127, 0))*INDEX(Unit_Grades!$B$2:$B$7, MATCH(F2154, Unit_Grades!$A$2:$A$7, 0))*INDEX(Unit_Paths!$D$2:$D$4, MATCH(E2154, Unit_Paths!$A$2:$A$4, 0)),0)</f>
        <v>24320</v>
      </c>
      <c r="K2154" s="6" t="n">
        <f aca="false">ROUND(INDEX(Archetypes!$H$2:$H$127, MATCH(D2154, Archetypes!$A$2:$A$127, 0))*INDEX(Unit_Paths!$E$2:$E$4, MATCH(E2154, Unit_Paths!$A$2:$A$4, 0)),1)</f>
        <v>94.5</v>
      </c>
      <c r="L2154" s="6" t="n">
        <f aca="false">ROUND(INDEX(Archetypes!$I$2:$I$127, MATCH(D2154, Archetypes!$A$2:$A$127, 0))*INDEX(Unit_Grades!$C$2:$C$7, MATCH(F2154, Unit_Grades!$A$2:$A$7, 0)),1)</f>
        <v>784</v>
      </c>
      <c r="M2154" s="6" t="n">
        <f aca="false">ROUND(INDEX(Archetypes!$J$2:$J$127, MATCH(D2154, Archetypes!$A$2:$A$127, 0))*INDEX(Unit_Grades!$D$2:$D$7, MATCH(F2154, Unit_Grades!$A$2:$A$7, 0)),1)</f>
        <v>795.4</v>
      </c>
      <c r="N2154" s="6" t="n">
        <f aca="false">ROUND(M2154/24,2)</f>
        <v>33.14</v>
      </c>
    </row>
    <row r="2155" customFormat="false" ht="15" hidden="false" customHeight="true" outlineLevel="0" collapsed="false">
      <c r="A2155" s="6" t="n">
        <v>7</v>
      </c>
      <c r="B2155" s="6" t="s">
        <v>3603</v>
      </c>
      <c r="C2155" s="6" t="s">
        <v>1520</v>
      </c>
      <c r="D2155" s="6" t="str">
        <f aca="false">A2155&amp;"|"&amp;C2155</f>
        <v>7|Silent Hunter</v>
      </c>
      <c r="E2155" s="6" t="s">
        <v>1558</v>
      </c>
      <c r="F2155" s="6" t="s">
        <v>1548</v>
      </c>
      <c r="G2155" s="6" t="str">
        <f aca="false">INDEX(Archetypes!$D$2:$D$127, MATCH(D2155, Archetypes!$A$2:$A$127, 0))</f>
        <v>Alpha Strike</v>
      </c>
      <c r="H2155" s="6" t="n">
        <f aca="false">ROUND(INDEX(Archetypes!$E$2:$E$127, MATCH(D2155, Archetypes!$A$2:$A$127, 0))*INDEX(Unit_Grades!$B$2:$B$7, MATCH(F2155, Unit_Grades!$A$2:$A$7, 0))*INDEX(Unit_Paths!$B$2:$B$4, MATCH(E2155, Unit_Paths!$A$2:$A$4, 0)),1)</f>
        <v>12600</v>
      </c>
      <c r="I2155" s="6" t="n">
        <f aca="false">ROUND(INDEX(Archetypes!$F$2:$F$127, MATCH(D2155, Archetypes!$A$2:$A$127, 0))*INDEX(Unit_Grades!$B$2:$B$7, MATCH(F2155, Unit_Grades!$A$2:$A$7, 0))*INDEX(Unit_Paths!$C$2:$C$4, MATCH(E2155, Unit_Paths!$A$2:$A$4, 0)),1)</f>
        <v>4641</v>
      </c>
      <c r="J2155" s="6" t="n">
        <f aca="false">ROUND(INDEX(Archetypes!$G$2:$G$127, MATCH(D2155, Archetypes!$A$2:$A$127, 0))*INDEX(Unit_Grades!$B$2:$B$7, MATCH(F2155, Unit_Grades!$A$2:$A$7, 0))*INDEX(Unit_Paths!$D$2:$D$4, MATCH(E2155, Unit_Paths!$A$2:$A$4, 0)),0)</f>
        <v>31920</v>
      </c>
      <c r="K2155" s="6" t="n">
        <f aca="false">ROUND(INDEX(Archetypes!$H$2:$H$127, MATCH(D2155, Archetypes!$A$2:$A$127, 0))*INDEX(Unit_Paths!$E$2:$E$4, MATCH(E2155, Unit_Paths!$A$2:$A$4, 0)),1)</f>
        <v>94.5</v>
      </c>
      <c r="L2155" s="6" t="n">
        <f aca="false">ROUND(INDEX(Archetypes!$I$2:$I$127, MATCH(D2155, Archetypes!$A$2:$A$127, 0))*INDEX(Unit_Grades!$C$2:$C$7, MATCH(F2155, Unit_Grades!$A$2:$A$7, 0)),1)</f>
        <v>1036</v>
      </c>
      <c r="M2155" s="6" t="n">
        <f aca="false">ROUND(INDEX(Archetypes!$J$2:$J$127, MATCH(D2155, Archetypes!$A$2:$A$127, 0))*INDEX(Unit_Grades!$D$2:$D$7, MATCH(F2155, Unit_Grades!$A$2:$A$7, 0)),1)</f>
        <v>1363.6</v>
      </c>
      <c r="N2155" s="6" t="n">
        <f aca="false">ROUND(M2155/24,2)</f>
        <v>56.82</v>
      </c>
    </row>
    <row r="2156" customFormat="false" ht="15" hidden="false" customHeight="true" outlineLevel="0" collapsed="false">
      <c r="A2156" s="6" t="n">
        <v>7</v>
      </c>
      <c r="B2156" s="6" t="s">
        <v>3604</v>
      </c>
      <c r="C2156" s="6" t="s">
        <v>1520</v>
      </c>
      <c r="D2156" s="6" t="str">
        <f aca="false">A2156&amp;"|"&amp;C2156</f>
        <v>7|Silent Hunter</v>
      </c>
      <c r="E2156" s="6" t="s">
        <v>1560</v>
      </c>
      <c r="F2156" s="6" t="s">
        <v>1538</v>
      </c>
      <c r="G2156" s="6" t="str">
        <f aca="false">INDEX(Archetypes!$D$2:$D$127, MATCH(D2156, Archetypes!$A$2:$A$127, 0))</f>
        <v>Alpha Strike</v>
      </c>
      <c r="H2156" s="6" t="n">
        <f aca="false">ROUND(INDEX(Archetypes!$E$2:$E$127, MATCH(D2156, Archetypes!$A$2:$A$127, 0))*INDEX(Unit_Grades!$B$2:$B$7, MATCH(F2156, Unit_Grades!$A$2:$A$7, 0))*INDEX(Unit_Paths!$B$2:$B$4, MATCH(E2156, Unit_Paths!$A$2:$A$4, 0)),1)</f>
        <v>2125</v>
      </c>
      <c r="I2156" s="6" t="n">
        <f aca="false">ROUND(INDEX(Archetypes!$F$2:$F$127, MATCH(D2156, Archetypes!$A$2:$A$127, 0))*INDEX(Unit_Grades!$B$2:$B$7, MATCH(F2156, Unit_Grades!$A$2:$A$7, 0))*INDEX(Unit_Paths!$C$2:$C$4, MATCH(E2156, Unit_Paths!$A$2:$A$4, 0)),1)</f>
        <v>1625</v>
      </c>
      <c r="J2156" s="6" t="n">
        <f aca="false">ROUND(INDEX(Archetypes!$G$2:$G$127, MATCH(D2156, Archetypes!$A$2:$A$127, 0))*INDEX(Unit_Grades!$B$2:$B$7, MATCH(F2156, Unit_Grades!$A$2:$A$7, 0))*INDEX(Unit_Paths!$D$2:$D$4, MATCH(E2156, Unit_Paths!$A$2:$A$4, 0)),0)</f>
        <v>9200</v>
      </c>
      <c r="K2156" s="6" t="n">
        <f aca="false">ROUND(INDEX(Archetypes!$H$2:$H$127, MATCH(D2156, Archetypes!$A$2:$A$127, 0))*INDEX(Unit_Paths!$E$2:$E$4, MATCH(E2156, Unit_Paths!$A$2:$A$4, 0)),1)</f>
        <v>82.8</v>
      </c>
      <c r="L2156" s="6" t="n">
        <f aca="false">ROUND(INDEX(Archetypes!$I$2:$I$127, MATCH(D2156, Archetypes!$A$2:$A$127, 0))*INDEX(Unit_Grades!$C$2:$C$7, MATCH(F2156, Unit_Grades!$A$2:$A$7, 0)),1)</f>
        <v>280</v>
      </c>
      <c r="M2156" s="6" t="n">
        <f aca="false">ROUND(INDEX(Archetypes!$J$2:$J$127, MATCH(D2156, Archetypes!$A$2:$A$127, 0))*INDEX(Unit_Grades!$D$2:$D$7, MATCH(F2156, Unit_Grades!$A$2:$A$7, 0)),1)</f>
        <v>113.6</v>
      </c>
      <c r="N2156" s="6" t="n">
        <f aca="false">ROUND(M2156/24,2)</f>
        <v>4.73</v>
      </c>
    </row>
    <row r="2157" customFormat="false" ht="15" hidden="false" customHeight="true" outlineLevel="0" collapsed="false">
      <c r="A2157" s="6" t="n">
        <v>7</v>
      </c>
      <c r="B2157" s="6" t="s">
        <v>3605</v>
      </c>
      <c r="C2157" s="6" t="s">
        <v>1520</v>
      </c>
      <c r="D2157" s="6" t="str">
        <f aca="false">A2157&amp;"|"&amp;C2157</f>
        <v>7|Silent Hunter</v>
      </c>
      <c r="E2157" s="6" t="s">
        <v>1560</v>
      </c>
      <c r="F2157" s="6" t="s">
        <v>1540</v>
      </c>
      <c r="G2157" s="6" t="str">
        <f aca="false">INDEX(Archetypes!$D$2:$D$127, MATCH(D2157, Archetypes!$A$2:$A$127, 0))</f>
        <v>Alpha Strike</v>
      </c>
      <c r="H2157" s="6" t="n">
        <f aca="false">ROUND(INDEX(Archetypes!$E$2:$E$127, MATCH(D2157, Archetypes!$A$2:$A$127, 0))*INDEX(Unit_Grades!$B$2:$B$7, MATCH(F2157, Unit_Grades!$A$2:$A$7, 0))*INDEX(Unit_Paths!$B$2:$B$4, MATCH(E2157, Unit_Paths!$A$2:$A$4, 0)),1)</f>
        <v>2868.8</v>
      </c>
      <c r="I2157" s="6" t="n">
        <f aca="false">ROUND(INDEX(Archetypes!$F$2:$F$127, MATCH(D2157, Archetypes!$A$2:$A$127, 0))*INDEX(Unit_Grades!$B$2:$B$7, MATCH(F2157, Unit_Grades!$A$2:$A$7, 0))*INDEX(Unit_Paths!$C$2:$C$4, MATCH(E2157, Unit_Paths!$A$2:$A$4, 0)),1)</f>
        <v>2193.8</v>
      </c>
      <c r="J2157" s="6" t="n">
        <f aca="false">ROUND(INDEX(Archetypes!$G$2:$G$127, MATCH(D2157, Archetypes!$A$2:$A$127, 0))*INDEX(Unit_Grades!$B$2:$B$7, MATCH(F2157, Unit_Grades!$A$2:$A$7, 0))*INDEX(Unit_Paths!$D$2:$D$4, MATCH(E2157, Unit_Paths!$A$2:$A$4, 0)),0)</f>
        <v>12420</v>
      </c>
      <c r="K2157" s="6" t="n">
        <f aca="false">ROUND(INDEX(Archetypes!$H$2:$H$127, MATCH(D2157, Archetypes!$A$2:$A$127, 0))*INDEX(Unit_Paths!$E$2:$E$4, MATCH(E2157, Unit_Paths!$A$2:$A$4, 0)),1)</f>
        <v>82.8</v>
      </c>
      <c r="L2157" s="6" t="n">
        <f aca="false">ROUND(INDEX(Archetypes!$I$2:$I$127, MATCH(D2157, Archetypes!$A$2:$A$127, 0))*INDEX(Unit_Grades!$C$2:$C$7, MATCH(F2157, Unit_Grades!$A$2:$A$7, 0)),1)</f>
        <v>350</v>
      </c>
      <c r="M2157" s="6" t="n">
        <f aca="false">ROUND(INDEX(Archetypes!$J$2:$J$127, MATCH(D2157, Archetypes!$A$2:$A$127, 0))*INDEX(Unit_Grades!$D$2:$D$7, MATCH(F2157, Unit_Grades!$A$2:$A$7, 0)),1)</f>
        <v>170.4</v>
      </c>
      <c r="N2157" s="6" t="n">
        <f aca="false">ROUND(M2157/24,2)</f>
        <v>7.1</v>
      </c>
    </row>
    <row r="2158" customFormat="false" ht="15" hidden="false" customHeight="true" outlineLevel="0" collapsed="false">
      <c r="A2158" s="6" t="n">
        <v>7</v>
      </c>
      <c r="B2158" s="6" t="s">
        <v>3606</v>
      </c>
      <c r="C2158" s="6" t="s">
        <v>1520</v>
      </c>
      <c r="D2158" s="6" t="str">
        <f aca="false">A2158&amp;"|"&amp;C2158</f>
        <v>7|Silent Hunter</v>
      </c>
      <c r="E2158" s="6" t="s">
        <v>1560</v>
      </c>
      <c r="F2158" s="6" t="s">
        <v>1542</v>
      </c>
      <c r="G2158" s="6" t="str">
        <f aca="false">INDEX(Archetypes!$D$2:$D$127, MATCH(D2158, Archetypes!$A$2:$A$127, 0))</f>
        <v>Alpha Strike</v>
      </c>
      <c r="H2158" s="6" t="n">
        <f aca="false">ROUND(INDEX(Archetypes!$E$2:$E$127, MATCH(D2158, Archetypes!$A$2:$A$127, 0))*INDEX(Unit_Grades!$B$2:$B$7, MATCH(F2158, Unit_Grades!$A$2:$A$7, 0))*INDEX(Unit_Paths!$B$2:$B$4, MATCH(E2158, Unit_Paths!$A$2:$A$4, 0)),1)</f>
        <v>3825</v>
      </c>
      <c r="I2158" s="6" t="n">
        <f aca="false">ROUND(INDEX(Archetypes!$F$2:$F$127, MATCH(D2158, Archetypes!$A$2:$A$127, 0))*INDEX(Unit_Grades!$B$2:$B$7, MATCH(F2158, Unit_Grades!$A$2:$A$7, 0))*INDEX(Unit_Paths!$C$2:$C$4, MATCH(E2158, Unit_Paths!$A$2:$A$4, 0)),1)</f>
        <v>2925</v>
      </c>
      <c r="J2158" s="6" t="n">
        <f aca="false">ROUND(INDEX(Archetypes!$G$2:$G$127, MATCH(D2158, Archetypes!$A$2:$A$127, 0))*INDEX(Unit_Grades!$B$2:$B$7, MATCH(F2158, Unit_Grades!$A$2:$A$7, 0))*INDEX(Unit_Paths!$D$2:$D$4, MATCH(E2158, Unit_Paths!$A$2:$A$4, 0)),0)</f>
        <v>16560</v>
      </c>
      <c r="K2158" s="6" t="n">
        <f aca="false">ROUND(INDEX(Archetypes!$H$2:$H$127, MATCH(D2158, Archetypes!$A$2:$A$127, 0))*INDEX(Unit_Paths!$E$2:$E$4, MATCH(E2158, Unit_Paths!$A$2:$A$4, 0)),1)</f>
        <v>82.8</v>
      </c>
      <c r="L2158" s="6" t="n">
        <f aca="false">ROUND(INDEX(Archetypes!$I$2:$I$127, MATCH(D2158, Archetypes!$A$2:$A$127, 0))*INDEX(Unit_Grades!$C$2:$C$7, MATCH(F2158, Unit_Grades!$A$2:$A$7, 0)),1)</f>
        <v>448</v>
      </c>
      <c r="M2158" s="6" t="n">
        <f aca="false">ROUND(INDEX(Archetypes!$J$2:$J$127, MATCH(D2158, Archetypes!$A$2:$A$127, 0))*INDEX(Unit_Grades!$D$2:$D$7, MATCH(F2158, Unit_Grades!$A$2:$A$7, 0)),1)</f>
        <v>284.1</v>
      </c>
      <c r="N2158" s="6" t="n">
        <f aca="false">ROUND(M2158/24,2)</f>
        <v>11.84</v>
      </c>
    </row>
    <row r="2159" customFormat="false" ht="15" hidden="false" customHeight="true" outlineLevel="0" collapsed="false">
      <c r="A2159" s="6" t="n">
        <v>7</v>
      </c>
      <c r="B2159" s="6" t="s">
        <v>3607</v>
      </c>
      <c r="C2159" s="6" t="s">
        <v>1520</v>
      </c>
      <c r="D2159" s="6" t="str">
        <f aca="false">A2159&amp;"|"&amp;C2159</f>
        <v>7|Silent Hunter</v>
      </c>
      <c r="E2159" s="6" t="s">
        <v>1560</v>
      </c>
      <c r="F2159" s="6" t="s">
        <v>1544</v>
      </c>
      <c r="G2159" s="6" t="str">
        <f aca="false">INDEX(Archetypes!$D$2:$D$127, MATCH(D2159, Archetypes!$A$2:$A$127, 0))</f>
        <v>Alpha Strike</v>
      </c>
      <c r="H2159" s="6" t="n">
        <f aca="false">ROUND(INDEX(Archetypes!$E$2:$E$127, MATCH(D2159, Archetypes!$A$2:$A$127, 0))*INDEX(Unit_Grades!$B$2:$B$7, MATCH(F2159, Unit_Grades!$A$2:$A$7, 0))*INDEX(Unit_Paths!$B$2:$B$4, MATCH(E2159, Unit_Paths!$A$2:$A$4, 0)),1)</f>
        <v>5100</v>
      </c>
      <c r="I2159" s="6" t="n">
        <f aca="false">ROUND(INDEX(Archetypes!$F$2:$F$127, MATCH(D2159, Archetypes!$A$2:$A$127, 0))*INDEX(Unit_Grades!$B$2:$B$7, MATCH(F2159, Unit_Grades!$A$2:$A$7, 0))*INDEX(Unit_Paths!$C$2:$C$4, MATCH(E2159, Unit_Paths!$A$2:$A$4, 0)),1)</f>
        <v>3900</v>
      </c>
      <c r="J2159" s="6" t="n">
        <f aca="false">ROUND(INDEX(Archetypes!$G$2:$G$127, MATCH(D2159, Archetypes!$A$2:$A$127, 0))*INDEX(Unit_Grades!$B$2:$B$7, MATCH(F2159, Unit_Grades!$A$2:$A$7, 0))*INDEX(Unit_Paths!$D$2:$D$4, MATCH(E2159, Unit_Paths!$A$2:$A$4, 0)),0)</f>
        <v>22080</v>
      </c>
      <c r="K2159" s="6" t="n">
        <f aca="false">ROUND(INDEX(Archetypes!$H$2:$H$127, MATCH(D2159, Archetypes!$A$2:$A$127, 0))*INDEX(Unit_Paths!$E$2:$E$4, MATCH(E2159, Unit_Paths!$A$2:$A$4, 0)),1)</f>
        <v>82.8</v>
      </c>
      <c r="L2159" s="6" t="n">
        <f aca="false">ROUND(INDEX(Archetypes!$I$2:$I$127, MATCH(D2159, Archetypes!$A$2:$A$127, 0))*INDEX(Unit_Grades!$C$2:$C$7, MATCH(F2159, Unit_Grades!$A$2:$A$7, 0)),1)</f>
        <v>588</v>
      </c>
      <c r="M2159" s="6" t="n">
        <f aca="false">ROUND(INDEX(Archetypes!$J$2:$J$127, MATCH(D2159, Archetypes!$A$2:$A$127, 0))*INDEX(Unit_Grades!$D$2:$D$7, MATCH(F2159, Unit_Grades!$A$2:$A$7, 0)),1)</f>
        <v>454.5</v>
      </c>
      <c r="N2159" s="6" t="n">
        <f aca="false">ROUND(M2159/24,2)</f>
        <v>18.94</v>
      </c>
    </row>
    <row r="2160" customFormat="false" ht="15" hidden="false" customHeight="true" outlineLevel="0" collapsed="false">
      <c r="A2160" s="6" t="n">
        <v>7</v>
      </c>
      <c r="B2160" s="6" t="s">
        <v>3608</v>
      </c>
      <c r="C2160" s="6" t="s">
        <v>1520</v>
      </c>
      <c r="D2160" s="6" t="str">
        <f aca="false">A2160&amp;"|"&amp;C2160</f>
        <v>7|Silent Hunter</v>
      </c>
      <c r="E2160" s="6" t="s">
        <v>1560</v>
      </c>
      <c r="F2160" s="6" t="s">
        <v>1546</v>
      </c>
      <c r="G2160" s="6" t="str">
        <f aca="false">INDEX(Archetypes!$D$2:$D$127, MATCH(D2160, Archetypes!$A$2:$A$127, 0))</f>
        <v>Alpha Strike</v>
      </c>
      <c r="H2160" s="6" t="n">
        <f aca="false">ROUND(INDEX(Archetypes!$E$2:$E$127, MATCH(D2160, Archetypes!$A$2:$A$127, 0))*INDEX(Unit_Grades!$B$2:$B$7, MATCH(F2160, Unit_Grades!$A$2:$A$7, 0))*INDEX(Unit_Paths!$B$2:$B$4, MATCH(E2160, Unit_Paths!$A$2:$A$4, 0)),1)</f>
        <v>6800</v>
      </c>
      <c r="I2160" s="6" t="n">
        <f aca="false">ROUND(INDEX(Archetypes!$F$2:$F$127, MATCH(D2160, Archetypes!$A$2:$A$127, 0))*INDEX(Unit_Grades!$B$2:$B$7, MATCH(F2160, Unit_Grades!$A$2:$A$7, 0))*INDEX(Unit_Paths!$C$2:$C$4, MATCH(E2160, Unit_Paths!$A$2:$A$4, 0)),1)</f>
        <v>5200</v>
      </c>
      <c r="J2160" s="6" t="n">
        <f aca="false">ROUND(INDEX(Archetypes!$G$2:$G$127, MATCH(D2160, Archetypes!$A$2:$A$127, 0))*INDEX(Unit_Grades!$B$2:$B$7, MATCH(F2160, Unit_Grades!$A$2:$A$7, 0))*INDEX(Unit_Paths!$D$2:$D$4, MATCH(E2160, Unit_Paths!$A$2:$A$4, 0)),0)</f>
        <v>29440</v>
      </c>
      <c r="K2160" s="6" t="n">
        <f aca="false">ROUND(INDEX(Archetypes!$H$2:$H$127, MATCH(D2160, Archetypes!$A$2:$A$127, 0))*INDEX(Unit_Paths!$E$2:$E$4, MATCH(E2160, Unit_Paths!$A$2:$A$4, 0)),1)</f>
        <v>82.8</v>
      </c>
      <c r="L2160" s="6" t="n">
        <f aca="false">ROUND(INDEX(Archetypes!$I$2:$I$127, MATCH(D2160, Archetypes!$A$2:$A$127, 0))*INDEX(Unit_Grades!$C$2:$C$7, MATCH(F2160, Unit_Grades!$A$2:$A$7, 0)),1)</f>
        <v>784</v>
      </c>
      <c r="M2160" s="6" t="n">
        <f aca="false">ROUND(INDEX(Archetypes!$J$2:$J$127, MATCH(D2160, Archetypes!$A$2:$A$127, 0))*INDEX(Unit_Grades!$D$2:$D$7, MATCH(F2160, Unit_Grades!$A$2:$A$7, 0)),1)</f>
        <v>795.4</v>
      </c>
      <c r="N2160" s="6" t="n">
        <f aca="false">ROUND(M2160/24,2)</f>
        <v>33.14</v>
      </c>
    </row>
    <row r="2161" customFormat="false" ht="15" hidden="false" customHeight="true" outlineLevel="0" collapsed="false">
      <c r="A2161" s="6" t="n">
        <v>7</v>
      </c>
      <c r="B2161" s="6" t="s">
        <v>3609</v>
      </c>
      <c r="C2161" s="6" t="s">
        <v>1520</v>
      </c>
      <c r="D2161" s="6" t="str">
        <f aca="false">A2161&amp;"|"&amp;C2161</f>
        <v>7|Silent Hunter</v>
      </c>
      <c r="E2161" s="6" t="s">
        <v>1560</v>
      </c>
      <c r="F2161" s="6" t="s">
        <v>1548</v>
      </c>
      <c r="G2161" s="6" t="str">
        <f aca="false">INDEX(Archetypes!$D$2:$D$127, MATCH(D2161, Archetypes!$A$2:$A$127, 0))</f>
        <v>Alpha Strike</v>
      </c>
      <c r="H2161" s="6" t="n">
        <f aca="false">ROUND(INDEX(Archetypes!$E$2:$E$127, MATCH(D2161, Archetypes!$A$2:$A$127, 0))*INDEX(Unit_Grades!$B$2:$B$7, MATCH(F2161, Unit_Grades!$A$2:$A$7, 0))*INDEX(Unit_Paths!$B$2:$B$4, MATCH(E2161, Unit_Paths!$A$2:$A$4, 0)),1)</f>
        <v>8925</v>
      </c>
      <c r="I2161" s="6" t="n">
        <f aca="false">ROUND(INDEX(Archetypes!$F$2:$F$127, MATCH(D2161, Archetypes!$A$2:$A$127, 0))*INDEX(Unit_Grades!$B$2:$B$7, MATCH(F2161, Unit_Grades!$A$2:$A$7, 0))*INDEX(Unit_Paths!$C$2:$C$4, MATCH(E2161, Unit_Paths!$A$2:$A$4, 0)),1)</f>
        <v>6825</v>
      </c>
      <c r="J2161" s="6" t="n">
        <f aca="false">ROUND(INDEX(Archetypes!$G$2:$G$127, MATCH(D2161, Archetypes!$A$2:$A$127, 0))*INDEX(Unit_Grades!$B$2:$B$7, MATCH(F2161, Unit_Grades!$A$2:$A$7, 0))*INDEX(Unit_Paths!$D$2:$D$4, MATCH(E2161, Unit_Paths!$A$2:$A$4, 0)),0)</f>
        <v>38640</v>
      </c>
      <c r="K2161" s="6" t="n">
        <f aca="false">ROUND(INDEX(Archetypes!$H$2:$H$127, MATCH(D2161, Archetypes!$A$2:$A$127, 0))*INDEX(Unit_Paths!$E$2:$E$4, MATCH(E2161, Unit_Paths!$A$2:$A$4, 0)),1)</f>
        <v>82.8</v>
      </c>
      <c r="L2161" s="6" t="n">
        <f aca="false">ROUND(INDEX(Archetypes!$I$2:$I$127, MATCH(D2161, Archetypes!$A$2:$A$127, 0))*INDEX(Unit_Grades!$C$2:$C$7, MATCH(F2161, Unit_Grades!$A$2:$A$7, 0)),1)</f>
        <v>1036</v>
      </c>
      <c r="M2161" s="6" t="n">
        <f aca="false">ROUND(INDEX(Archetypes!$J$2:$J$127, MATCH(D2161, Archetypes!$A$2:$A$127, 0))*INDEX(Unit_Grades!$D$2:$D$7, MATCH(F2161, Unit_Grades!$A$2:$A$7, 0)),1)</f>
        <v>1363.6</v>
      </c>
      <c r="N2161" s="6" t="n">
        <f aca="false">ROUND(M2161/24,2)</f>
        <v>56.82</v>
      </c>
    </row>
    <row r="2162" customFormat="false" ht="15" hidden="false" customHeight="true" outlineLevel="0" collapsed="false">
      <c r="A2162" s="6" t="n">
        <v>7</v>
      </c>
      <c r="B2162" s="6" t="s">
        <v>1522</v>
      </c>
      <c r="C2162" s="6" t="s">
        <v>1522</v>
      </c>
      <c r="D2162" s="6" t="str">
        <f aca="false">A2162&amp;"|"&amp;C2162</f>
        <v>7|Worldseed Escort</v>
      </c>
      <c r="E2162" s="6" t="s">
        <v>1556</v>
      </c>
      <c r="F2162" s="6" t="s">
        <v>1538</v>
      </c>
      <c r="G2162" s="6" t="str">
        <f aca="false">INDEX(Archetypes!$D$2:$D$127, MATCH(D2162, Archetypes!$A$2:$A$127, 0))</f>
        <v>Screen</v>
      </c>
      <c r="H2162" s="6" t="n">
        <f aca="false">ROUND(INDEX(Archetypes!$E$2:$E$127, MATCH(D2162, Archetypes!$A$2:$A$127, 0))*INDEX(Unit_Grades!$B$2:$B$7, MATCH(F2162, Unit_Grades!$A$2:$A$7, 0))*INDEX(Unit_Paths!$B$2:$B$4, MATCH(E2162, Unit_Paths!$A$2:$A$4, 0)),1)</f>
        <v>1700</v>
      </c>
      <c r="I2162" s="6" t="n">
        <f aca="false">ROUND(INDEX(Archetypes!$F$2:$F$127, MATCH(D2162, Archetypes!$A$2:$A$127, 0))*INDEX(Unit_Grades!$B$2:$B$7, MATCH(F2162, Unit_Grades!$A$2:$A$7, 0))*INDEX(Unit_Paths!$C$2:$C$4, MATCH(E2162, Unit_Paths!$A$2:$A$4, 0)),1)</f>
        <v>1900</v>
      </c>
      <c r="J2162" s="6" t="n">
        <f aca="false">ROUND(INDEX(Archetypes!$G$2:$G$127, MATCH(D2162, Archetypes!$A$2:$A$127, 0))*INDEX(Unit_Grades!$B$2:$B$7, MATCH(F2162, Unit_Grades!$A$2:$A$7, 0))*INDEX(Unit_Paths!$D$2:$D$4, MATCH(E2162, Unit_Paths!$A$2:$A$4, 0)),0)</f>
        <v>10000</v>
      </c>
      <c r="K2162" s="6" t="n">
        <f aca="false">ROUND(INDEX(Archetypes!$H$2:$H$127, MATCH(D2162, Archetypes!$A$2:$A$127, 0))*INDEX(Unit_Paths!$E$2:$E$4, MATCH(E2162, Unit_Paths!$A$2:$A$4, 0)),1)</f>
        <v>64</v>
      </c>
      <c r="L2162" s="6" t="n">
        <f aca="false">ROUND(INDEX(Archetypes!$I$2:$I$127, MATCH(D2162, Archetypes!$A$2:$A$127, 0))*INDEX(Unit_Grades!$C$2:$C$7, MATCH(F2162, Unit_Grades!$A$2:$A$7, 0)),1)</f>
        <v>210</v>
      </c>
      <c r="M2162" s="6" t="n">
        <f aca="false">ROUND(INDEX(Archetypes!$J$2:$J$127, MATCH(D2162, Archetypes!$A$2:$A$127, 0))*INDEX(Unit_Grades!$D$2:$D$7, MATCH(F2162, Unit_Grades!$A$2:$A$7, 0)),1)</f>
        <v>85.2</v>
      </c>
      <c r="N2162" s="6" t="n">
        <f aca="false">ROUND(M2162/24,2)</f>
        <v>3.55</v>
      </c>
    </row>
    <row r="2163" customFormat="false" ht="15" hidden="false" customHeight="true" outlineLevel="0" collapsed="false">
      <c r="A2163" s="6" t="n">
        <v>7</v>
      </c>
      <c r="B2163" s="6" t="s">
        <v>3610</v>
      </c>
      <c r="C2163" s="6" t="s">
        <v>1522</v>
      </c>
      <c r="D2163" s="6" t="str">
        <f aca="false">A2163&amp;"|"&amp;C2163</f>
        <v>7|Worldseed Escort</v>
      </c>
      <c r="E2163" s="6" t="s">
        <v>1556</v>
      </c>
      <c r="F2163" s="6" t="s">
        <v>1540</v>
      </c>
      <c r="G2163" s="6" t="str">
        <f aca="false">INDEX(Archetypes!$D$2:$D$127, MATCH(D2163, Archetypes!$A$2:$A$127, 0))</f>
        <v>Screen</v>
      </c>
      <c r="H2163" s="6" t="n">
        <f aca="false">ROUND(INDEX(Archetypes!$E$2:$E$127, MATCH(D2163, Archetypes!$A$2:$A$127, 0))*INDEX(Unit_Grades!$B$2:$B$7, MATCH(F2163, Unit_Grades!$A$2:$A$7, 0))*INDEX(Unit_Paths!$B$2:$B$4, MATCH(E2163, Unit_Paths!$A$2:$A$4, 0)),1)</f>
        <v>2295</v>
      </c>
      <c r="I2163" s="6" t="n">
        <f aca="false">ROUND(INDEX(Archetypes!$F$2:$F$127, MATCH(D2163, Archetypes!$A$2:$A$127, 0))*INDEX(Unit_Grades!$B$2:$B$7, MATCH(F2163, Unit_Grades!$A$2:$A$7, 0))*INDEX(Unit_Paths!$C$2:$C$4, MATCH(E2163, Unit_Paths!$A$2:$A$4, 0)),1)</f>
        <v>2565</v>
      </c>
      <c r="J2163" s="6" t="n">
        <f aca="false">ROUND(INDEX(Archetypes!$G$2:$G$127, MATCH(D2163, Archetypes!$A$2:$A$127, 0))*INDEX(Unit_Grades!$B$2:$B$7, MATCH(F2163, Unit_Grades!$A$2:$A$7, 0))*INDEX(Unit_Paths!$D$2:$D$4, MATCH(E2163, Unit_Paths!$A$2:$A$4, 0)),0)</f>
        <v>13500</v>
      </c>
      <c r="K2163" s="6" t="n">
        <f aca="false">ROUND(INDEX(Archetypes!$H$2:$H$127, MATCH(D2163, Archetypes!$A$2:$A$127, 0))*INDEX(Unit_Paths!$E$2:$E$4, MATCH(E2163, Unit_Paths!$A$2:$A$4, 0)),1)</f>
        <v>64</v>
      </c>
      <c r="L2163" s="6" t="n">
        <f aca="false">ROUND(INDEX(Archetypes!$I$2:$I$127, MATCH(D2163, Archetypes!$A$2:$A$127, 0))*INDEX(Unit_Grades!$C$2:$C$7, MATCH(F2163, Unit_Grades!$A$2:$A$7, 0)),1)</f>
        <v>262.5</v>
      </c>
      <c r="M2163" s="6" t="n">
        <f aca="false">ROUND(INDEX(Archetypes!$J$2:$J$127, MATCH(D2163, Archetypes!$A$2:$A$127, 0))*INDEX(Unit_Grades!$D$2:$D$7, MATCH(F2163, Unit_Grades!$A$2:$A$7, 0)),1)</f>
        <v>127.8</v>
      </c>
      <c r="N2163" s="6" t="n">
        <f aca="false">ROUND(M2163/24,2)</f>
        <v>5.33</v>
      </c>
    </row>
    <row r="2164" customFormat="false" ht="15" hidden="false" customHeight="true" outlineLevel="0" collapsed="false">
      <c r="A2164" s="6" t="n">
        <v>7</v>
      </c>
      <c r="B2164" s="6" t="s">
        <v>3611</v>
      </c>
      <c r="C2164" s="6" t="s">
        <v>1522</v>
      </c>
      <c r="D2164" s="6" t="str">
        <f aca="false">A2164&amp;"|"&amp;C2164</f>
        <v>7|Worldseed Escort</v>
      </c>
      <c r="E2164" s="6" t="s">
        <v>1556</v>
      </c>
      <c r="F2164" s="6" t="s">
        <v>1542</v>
      </c>
      <c r="G2164" s="6" t="str">
        <f aca="false">INDEX(Archetypes!$D$2:$D$127, MATCH(D2164, Archetypes!$A$2:$A$127, 0))</f>
        <v>Screen</v>
      </c>
      <c r="H2164" s="6" t="n">
        <f aca="false">ROUND(INDEX(Archetypes!$E$2:$E$127, MATCH(D2164, Archetypes!$A$2:$A$127, 0))*INDEX(Unit_Grades!$B$2:$B$7, MATCH(F2164, Unit_Grades!$A$2:$A$7, 0))*INDEX(Unit_Paths!$B$2:$B$4, MATCH(E2164, Unit_Paths!$A$2:$A$4, 0)),1)</f>
        <v>3060</v>
      </c>
      <c r="I2164" s="6" t="n">
        <f aca="false">ROUND(INDEX(Archetypes!$F$2:$F$127, MATCH(D2164, Archetypes!$A$2:$A$127, 0))*INDEX(Unit_Grades!$B$2:$B$7, MATCH(F2164, Unit_Grades!$A$2:$A$7, 0))*INDEX(Unit_Paths!$C$2:$C$4, MATCH(E2164, Unit_Paths!$A$2:$A$4, 0)),1)</f>
        <v>3420</v>
      </c>
      <c r="J2164" s="6" t="n">
        <f aca="false">ROUND(INDEX(Archetypes!$G$2:$G$127, MATCH(D2164, Archetypes!$A$2:$A$127, 0))*INDEX(Unit_Grades!$B$2:$B$7, MATCH(F2164, Unit_Grades!$A$2:$A$7, 0))*INDEX(Unit_Paths!$D$2:$D$4, MATCH(E2164, Unit_Paths!$A$2:$A$4, 0)),0)</f>
        <v>18000</v>
      </c>
      <c r="K2164" s="6" t="n">
        <f aca="false">ROUND(INDEX(Archetypes!$H$2:$H$127, MATCH(D2164, Archetypes!$A$2:$A$127, 0))*INDEX(Unit_Paths!$E$2:$E$4, MATCH(E2164, Unit_Paths!$A$2:$A$4, 0)),1)</f>
        <v>64</v>
      </c>
      <c r="L2164" s="6" t="n">
        <f aca="false">ROUND(INDEX(Archetypes!$I$2:$I$127, MATCH(D2164, Archetypes!$A$2:$A$127, 0))*INDEX(Unit_Grades!$C$2:$C$7, MATCH(F2164, Unit_Grades!$A$2:$A$7, 0)),1)</f>
        <v>336</v>
      </c>
      <c r="M2164" s="6" t="n">
        <f aca="false">ROUND(INDEX(Archetypes!$J$2:$J$127, MATCH(D2164, Archetypes!$A$2:$A$127, 0))*INDEX(Unit_Grades!$D$2:$D$7, MATCH(F2164, Unit_Grades!$A$2:$A$7, 0)),1)</f>
        <v>213.1</v>
      </c>
      <c r="N2164" s="6" t="n">
        <f aca="false">ROUND(M2164/24,2)</f>
        <v>8.88</v>
      </c>
    </row>
    <row r="2165" customFormat="false" ht="15" hidden="false" customHeight="true" outlineLevel="0" collapsed="false">
      <c r="A2165" s="6" t="n">
        <v>7</v>
      </c>
      <c r="B2165" s="6" t="s">
        <v>3612</v>
      </c>
      <c r="C2165" s="6" t="s">
        <v>1522</v>
      </c>
      <c r="D2165" s="6" t="str">
        <f aca="false">A2165&amp;"|"&amp;C2165</f>
        <v>7|Worldseed Escort</v>
      </c>
      <c r="E2165" s="6" t="s">
        <v>1556</v>
      </c>
      <c r="F2165" s="6" t="s">
        <v>1544</v>
      </c>
      <c r="G2165" s="6" t="str">
        <f aca="false">INDEX(Archetypes!$D$2:$D$127, MATCH(D2165, Archetypes!$A$2:$A$127, 0))</f>
        <v>Screen</v>
      </c>
      <c r="H2165" s="6" t="n">
        <f aca="false">ROUND(INDEX(Archetypes!$E$2:$E$127, MATCH(D2165, Archetypes!$A$2:$A$127, 0))*INDEX(Unit_Grades!$B$2:$B$7, MATCH(F2165, Unit_Grades!$A$2:$A$7, 0))*INDEX(Unit_Paths!$B$2:$B$4, MATCH(E2165, Unit_Paths!$A$2:$A$4, 0)),1)</f>
        <v>4080</v>
      </c>
      <c r="I2165" s="6" t="n">
        <f aca="false">ROUND(INDEX(Archetypes!$F$2:$F$127, MATCH(D2165, Archetypes!$A$2:$A$127, 0))*INDEX(Unit_Grades!$B$2:$B$7, MATCH(F2165, Unit_Grades!$A$2:$A$7, 0))*INDEX(Unit_Paths!$C$2:$C$4, MATCH(E2165, Unit_Paths!$A$2:$A$4, 0)),1)</f>
        <v>4560</v>
      </c>
      <c r="J2165" s="6" t="n">
        <f aca="false">ROUND(INDEX(Archetypes!$G$2:$G$127, MATCH(D2165, Archetypes!$A$2:$A$127, 0))*INDEX(Unit_Grades!$B$2:$B$7, MATCH(F2165, Unit_Grades!$A$2:$A$7, 0))*INDEX(Unit_Paths!$D$2:$D$4, MATCH(E2165, Unit_Paths!$A$2:$A$4, 0)),0)</f>
        <v>24000</v>
      </c>
      <c r="K2165" s="6" t="n">
        <f aca="false">ROUND(INDEX(Archetypes!$H$2:$H$127, MATCH(D2165, Archetypes!$A$2:$A$127, 0))*INDEX(Unit_Paths!$E$2:$E$4, MATCH(E2165, Unit_Paths!$A$2:$A$4, 0)),1)</f>
        <v>64</v>
      </c>
      <c r="L2165" s="6" t="n">
        <f aca="false">ROUND(INDEX(Archetypes!$I$2:$I$127, MATCH(D2165, Archetypes!$A$2:$A$127, 0))*INDEX(Unit_Grades!$C$2:$C$7, MATCH(F2165, Unit_Grades!$A$2:$A$7, 0)),1)</f>
        <v>441</v>
      </c>
      <c r="M2165" s="6" t="n">
        <f aca="false">ROUND(INDEX(Archetypes!$J$2:$J$127, MATCH(D2165, Archetypes!$A$2:$A$127, 0))*INDEX(Unit_Grades!$D$2:$D$7, MATCH(F2165, Unit_Grades!$A$2:$A$7, 0)),1)</f>
        <v>340.9</v>
      </c>
      <c r="N2165" s="6" t="n">
        <f aca="false">ROUND(M2165/24,2)</f>
        <v>14.2</v>
      </c>
    </row>
    <row r="2166" customFormat="false" ht="15" hidden="false" customHeight="true" outlineLevel="0" collapsed="false">
      <c r="A2166" s="6" t="n">
        <v>7</v>
      </c>
      <c r="B2166" s="6" t="s">
        <v>3613</v>
      </c>
      <c r="C2166" s="6" t="s">
        <v>1522</v>
      </c>
      <c r="D2166" s="6" t="str">
        <f aca="false">A2166&amp;"|"&amp;C2166</f>
        <v>7|Worldseed Escort</v>
      </c>
      <c r="E2166" s="6" t="s">
        <v>1556</v>
      </c>
      <c r="F2166" s="6" t="s">
        <v>1546</v>
      </c>
      <c r="G2166" s="6" t="str">
        <f aca="false">INDEX(Archetypes!$D$2:$D$127, MATCH(D2166, Archetypes!$A$2:$A$127, 0))</f>
        <v>Screen</v>
      </c>
      <c r="H2166" s="6" t="n">
        <f aca="false">ROUND(INDEX(Archetypes!$E$2:$E$127, MATCH(D2166, Archetypes!$A$2:$A$127, 0))*INDEX(Unit_Grades!$B$2:$B$7, MATCH(F2166, Unit_Grades!$A$2:$A$7, 0))*INDEX(Unit_Paths!$B$2:$B$4, MATCH(E2166, Unit_Paths!$A$2:$A$4, 0)),1)</f>
        <v>5440</v>
      </c>
      <c r="I2166" s="6" t="n">
        <f aca="false">ROUND(INDEX(Archetypes!$F$2:$F$127, MATCH(D2166, Archetypes!$A$2:$A$127, 0))*INDEX(Unit_Grades!$B$2:$B$7, MATCH(F2166, Unit_Grades!$A$2:$A$7, 0))*INDEX(Unit_Paths!$C$2:$C$4, MATCH(E2166, Unit_Paths!$A$2:$A$4, 0)),1)</f>
        <v>6080</v>
      </c>
      <c r="J2166" s="6" t="n">
        <f aca="false">ROUND(INDEX(Archetypes!$G$2:$G$127, MATCH(D2166, Archetypes!$A$2:$A$127, 0))*INDEX(Unit_Grades!$B$2:$B$7, MATCH(F2166, Unit_Grades!$A$2:$A$7, 0))*INDEX(Unit_Paths!$D$2:$D$4, MATCH(E2166, Unit_Paths!$A$2:$A$4, 0)),0)</f>
        <v>32000</v>
      </c>
      <c r="K2166" s="6" t="n">
        <f aca="false">ROUND(INDEX(Archetypes!$H$2:$H$127, MATCH(D2166, Archetypes!$A$2:$A$127, 0))*INDEX(Unit_Paths!$E$2:$E$4, MATCH(E2166, Unit_Paths!$A$2:$A$4, 0)),1)</f>
        <v>64</v>
      </c>
      <c r="L2166" s="6" t="n">
        <f aca="false">ROUND(INDEX(Archetypes!$I$2:$I$127, MATCH(D2166, Archetypes!$A$2:$A$127, 0))*INDEX(Unit_Grades!$C$2:$C$7, MATCH(F2166, Unit_Grades!$A$2:$A$7, 0)),1)</f>
        <v>588</v>
      </c>
      <c r="M2166" s="6" t="n">
        <f aca="false">ROUND(INDEX(Archetypes!$J$2:$J$127, MATCH(D2166, Archetypes!$A$2:$A$127, 0))*INDEX(Unit_Grades!$D$2:$D$7, MATCH(F2166, Unit_Grades!$A$2:$A$7, 0)),1)</f>
        <v>596.6</v>
      </c>
      <c r="N2166" s="6" t="n">
        <f aca="false">ROUND(M2166/24,2)</f>
        <v>24.86</v>
      </c>
    </row>
    <row r="2167" customFormat="false" ht="15" hidden="false" customHeight="true" outlineLevel="0" collapsed="false">
      <c r="A2167" s="6" t="n">
        <v>7</v>
      </c>
      <c r="B2167" s="6" t="s">
        <v>3614</v>
      </c>
      <c r="C2167" s="6" t="s">
        <v>1522</v>
      </c>
      <c r="D2167" s="6" t="str">
        <f aca="false">A2167&amp;"|"&amp;C2167</f>
        <v>7|Worldseed Escort</v>
      </c>
      <c r="E2167" s="6" t="s">
        <v>1556</v>
      </c>
      <c r="F2167" s="6" t="s">
        <v>1548</v>
      </c>
      <c r="G2167" s="6" t="str">
        <f aca="false">INDEX(Archetypes!$D$2:$D$127, MATCH(D2167, Archetypes!$A$2:$A$127, 0))</f>
        <v>Screen</v>
      </c>
      <c r="H2167" s="6" t="n">
        <f aca="false">ROUND(INDEX(Archetypes!$E$2:$E$127, MATCH(D2167, Archetypes!$A$2:$A$127, 0))*INDEX(Unit_Grades!$B$2:$B$7, MATCH(F2167, Unit_Grades!$A$2:$A$7, 0))*INDEX(Unit_Paths!$B$2:$B$4, MATCH(E2167, Unit_Paths!$A$2:$A$4, 0)),1)</f>
        <v>7140</v>
      </c>
      <c r="I2167" s="6" t="n">
        <f aca="false">ROUND(INDEX(Archetypes!$F$2:$F$127, MATCH(D2167, Archetypes!$A$2:$A$127, 0))*INDEX(Unit_Grades!$B$2:$B$7, MATCH(F2167, Unit_Grades!$A$2:$A$7, 0))*INDEX(Unit_Paths!$C$2:$C$4, MATCH(E2167, Unit_Paths!$A$2:$A$4, 0)),1)</f>
        <v>7980</v>
      </c>
      <c r="J2167" s="6" t="n">
        <f aca="false">ROUND(INDEX(Archetypes!$G$2:$G$127, MATCH(D2167, Archetypes!$A$2:$A$127, 0))*INDEX(Unit_Grades!$B$2:$B$7, MATCH(F2167, Unit_Grades!$A$2:$A$7, 0))*INDEX(Unit_Paths!$D$2:$D$4, MATCH(E2167, Unit_Paths!$A$2:$A$4, 0)),0)</f>
        <v>42000</v>
      </c>
      <c r="K2167" s="6" t="n">
        <f aca="false">ROUND(INDEX(Archetypes!$H$2:$H$127, MATCH(D2167, Archetypes!$A$2:$A$127, 0))*INDEX(Unit_Paths!$E$2:$E$4, MATCH(E2167, Unit_Paths!$A$2:$A$4, 0)),1)</f>
        <v>64</v>
      </c>
      <c r="L2167" s="6" t="n">
        <f aca="false">ROUND(INDEX(Archetypes!$I$2:$I$127, MATCH(D2167, Archetypes!$A$2:$A$127, 0))*INDEX(Unit_Grades!$C$2:$C$7, MATCH(F2167, Unit_Grades!$A$2:$A$7, 0)),1)</f>
        <v>777</v>
      </c>
      <c r="M2167" s="6" t="n">
        <f aca="false">ROUND(INDEX(Archetypes!$J$2:$J$127, MATCH(D2167, Archetypes!$A$2:$A$127, 0))*INDEX(Unit_Grades!$D$2:$D$7, MATCH(F2167, Unit_Grades!$A$2:$A$7, 0)),1)</f>
        <v>1022.8</v>
      </c>
      <c r="N2167" s="6" t="n">
        <f aca="false">ROUND(M2167/24,2)</f>
        <v>42.62</v>
      </c>
    </row>
    <row r="2168" customFormat="false" ht="15" hidden="false" customHeight="true" outlineLevel="0" collapsed="false">
      <c r="A2168" s="6" t="n">
        <v>7</v>
      </c>
      <c r="B2168" s="6" t="s">
        <v>3615</v>
      </c>
      <c r="C2168" s="6" t="s">
        <v>1522</v>
      </c>
      <c r="D2168" s="6" t="str">
        <f aca="false">A2168&amp;"|"&amp;C2168</f>
        <v>7|Worldseed Escort</v>
      </c>
      <c r="E2168" s="6" t="s">
        <v>1558</v>
      </c>
      <c r="F2168" s="6" t="s">
        <v>1538</v>
      </c>
      <c r="G2168" s="6" t="str">
        <f aca="false">INDEX(Archetypes!$D$2:$D$127, MATCH(D2168, Archetypes!$A$2:$A$127, 0))</f>
        <v>Screen</v>
      </c>
      <c r="H2168" s="6" t="n">
        <f aca="false">ROUND(INDEX(Archetypes!$E$2:$E$127, MATCH(D2168, Archetypes!$A$2:$A$127, 0))*INDEX(Unit_Grades!$B$2:$B$7, MATCH(F2168, Unit_Grades!$A$2:$A$7, 0))*INDEX(Unit_Paths!$B$2:$B$4, MATCH(E2168, Unit_Paths!$A$2:$A$4, 0)),1)</f>
        <v>2040</v>
      </c>
      <c r="I2168" s="6" t="n">
        <f aca="false">ROUND(INDEX(Archetypes!$F$2:$F$127, MATCH(D2168, Archetypes!$A$2:$A$127, 0))*INDEX(Unit_Grades!$B$2:$B$7, MATCH(F2168, Unit_Grades!$A$2:$A$7, 0))*INDEX(Unit_Paths!$C$2:$C$4, MATCH(E2168, Unit_Paths!$A$2:$A$4, 0)),1)</f>
        <v>1615</v>
      </c>
      <c r="J2168" s="6" t="n">
        <f aca="false">ROUND(INDEX(Archetypes!$G$2:$G$127, MATCH(D2168, Archetypes!$A$2:$A$127, 0))*INDEX(Unit_Grades!$B$2:$B$7, MATCH(F2168, Unit_Grades!$A$2:$A$7, 0))*INDEX(Unit_Paths!$D$2:$D$4, MATCH(E2168, Unit_Paths!$A$2:$A$4, 0)),0)</f>
        <v>9500</v>
      </c>
      <c r="K2168" s="6" t="n">
        <f aca="false">ROUND(INDEX(Archetypes!$H$2:$H$127, MATCH(D2168, Archetypes!$A$2:$A$127, 0))*INDEX(Unit_Paths!$E$2:$E$4, MATCH(E2168, Unit_Paths!$A$2:$A$4, 0)),1)</f>
        <v>67.2</v>
      </c>
      <c r="L2168" s="6" t="n">
        <f aca="false">ROUND(INDEX(Archetypes!$I$2:$I$127, MATCH(D2168, Archetypes!$A$2:$A$127, 0))*INDEX(Unit_Grades!$C$2:$C$7, MATCH(F2168, Unit_Grades!$A$2:$A$7, 0)),1)</f>
        <v>210</v>
      </c>
      <c r="M2168" s="6" t="n">
        <f aca="false">ROUND(INDEX(Archetypes!$J$2:$J$127, MATCH(D2168, Archetypes!$A$2:$A$127, 0))*INDEX(Unit_Grades!$D$2:$D$7, MATCH(F2168, Unit_Grades!$A$2:$A$7, 0)),1)</f>
        <v>85.2</v>
      </c>
      <c r="N2168" s="6" t="n">
        <f aca="false">ROUND(M2168/24,2)</f>
        <v>3.55</v>
      </c>
    </row>
    <row r="2169" customFormat="false" ht="15" hidden="false" customHeight="true" outlineLevel="0" collapsed="false">
      <c r="A2169" s="6" t="n">
        <v>7</v>
      </c>
      <c r="B2169" s="6" t="s">
        <v>3616</v>
      </c>
      <c r="C2169" s="6" t="s">
        <v>1522</v>
      </c>
      <c r="D2169" s="6" t="str">
        <f aca="false">A2169&amp;"|"&amp;C2169</f>
        <v>7|Worldseed Escort</v>
      </c>
      <c r="E2169" s="6" t="s">
        <v>1558</v>
      </c>
      <c r="F2169" s="6" t="s">
        <v>1540</v>
      </c>
      <c r="G2169" s="6" t="str">
        <f aca="false">INDEX(Archetypes!$D$2:$D$127, MATCH(D2169, Archetypes!$A$2:$A$127, 0))</f>
        <v>Screen</v>
      </c>
      <c r="H2169" s="6" t="n">
        <f aca="false">ROUND(INDEX(Archetypes!$E$2:$E$127, MATCH(D2169, Archetypes!$A$2:$A$127, 0))*INDEX(Unit_Grades!$B$2:$B$7, MATCH(F2169, Unit_Grades!$A$2:$A$7, 0))*INDEX(Unit_Paths!$B$2:$B$4, MATCH(E2169, Unit_Paths!$A$2:$A$4, 0)),1)</f>
        <v>2754</v>
      </c>
      <c r="I2169" s="6" t="n">
        <f aca="false">ROUND(INDEX(Archetypes!$F$2:$F$127, MATCH(D2169, Archetypes!$A$2:$A$127, 0))*INDEX(Unit_Grades!$B$2:$B$7, MATCH(F2169, Unit_Grades!$A$2:$A$7, 0))*INDEX(Unit_Paths!$C$2:$C$4, MATCH(E2169, Unit_Paths!$A$2:$A$4, 0)),1)</f>
        <v>2180.3</v>
      </c>
      <c r="J2169" s="6" t="n">
        <f aca="false">ROUND(INDEX(Archetypes!$G$2:$G$127, MATCH(D2169, Archetypes!$A$2:$A$127, 0))*INDEX(Unit_Grades!$B$2:$B$7, MATCH(F2169, Unit_Grades!$A$2:$A$7, 0))*INDEX(Unit_Paths!$D$2:$D$4, MATCH(E2169, Unit_Paths!$A$2:$A$4, 0)),0)</f>
        <v>12825</v>
      </c>
      <c r="K2169" s="6" t="n">
        <f aca="false">ROUND(INDEX(Archetypes!$H$2:$H$127, MATCH(D2169, Archetypes!$A$2:$A$127, 0))*INDEX(Unit_Paths!$E$2:$E$4, MATCH(E2169, Unit_Paths!$A$2:$A$4, 0)),1)</f>
        <v>67.2</v>
      </c>
      <c r="L2169" s="6" t="n">
        <f aca="false">ROUND(INDEX(Archetypes!$I$2:$I$127, MATCH(D2169, Archetypes!$A$2:$A$127, 0))*INDEX(Unit_Grades!$C$2:$C$7, MATCH(F2169, Unit_Grades!$A$2:$A$7, 0)),1)</f>
        <v>262.5</v>
      </c>
      <c r="M2169" s="6" t="n">
        <f aca="false">ROUND(INDEX(Archetypes!$J$2:$J$127, MATCH(D2169, Archetypes!$A$2:$A$127, 0))*INDEX(Unit_Grades!$D$2:$D$7, MATCH(F2169, Unit_Grades!$A$2:$A$7, 0)),1)</f>
        <v>127.8</v>
      </c>
      <c r="N2169" s="6" t="n">
        <f aca="false">ROUND(M2169/24,2)</f>
        <v>5.33</v>
      </c>
    </row>
    <row r="2170" customFormat="false" ht="15" hidden="false" customHeight="true" outlineLevel="0" collapsed="false">
      <c r="A2170" s="6" t="n">
        <v>7</v>
      </c>
      <c r="B2170" s="6" t="s">
        <v>3617</v>
      </c>
      <c r="C2170" s="6" t="s">
        <v>1522</v>
      </c>
      <c r="D2170" s="6" t="str">
        <f aca="false">A2170&amp;"|"&amp;C2170</f>
        <v>7|Worldseed Escort</v>
      </c>
      <c r="E2170" s="6" t="s">
        <v>1558</v>
      </c>
      <c r="F2170" s="6" t="s">
        <v>1542</v>
      </c>
      <c r="G2170" s="6" t="str">
        <f aca="false">INDEX(Archetypes!$D$2:$D$127, MATCH(D2170, Archetypes!$A$2:$A$127, 0))</f>
        <v>Screen</v>
      </c>
      <c r="H2170" s="6" t="n">
        <f aca="false">ROUND(INDEX(Archetypes!$E$2:$E$127, MATCH(D2170, Archetypes!$A$2:$A$127, 0))*INDEX(Unit_Grades!$B$2:$B$7, MATCH(F2170, Unit_Grades!$A$2:$A$7, 0))*INDEX(Unit_Paths!$B$2:$B$4, MATCH(E2170, Unit_Paths!$A$2:$A$4, 0)),1)</f>
        <v>3672</v>
      </c>
      <c r="I2170" s="6" t="n">
        <f aca="false">ROUND(INDEX(Archetypes!$F$2:$F$127, MATCH(D2170, Archetypes!$A$2:$A$127, 0))*INDEX(Unit_Grades!$B$2:$B$7, MATCH(F2170, Unit_Grades!$A$2:$A$7, 0))*INDEX(Unit_Paths!$C$2:$C$4, MATCH(E2170, Unit_Paths!$A$2:$A$4, 0)),1)</f>
        <v>2907</v>
      </c>
      <c r="J2170" s="6" t="n">
        <f aca="false">ROUND(INDEX(Archetypes!$G$2:$G$127, MATCH(D2170, Archetypes!$A$2:$A$127, 0))*INDEX(Unit_Grades!$B$2:$B$7, MATCH(F2170, Unit_Grades!$A$2:$A$7, 0))*INDEX(Unit_Paths!$D$2:$D$4, MATCH(E2170, Unit_Paths!$A$2:$A$4, 0)),0)</f>
        <v>17100</v>
      </c>
      <c r="K2170" s="6" t="n">
        <f aca="false">ROUND(INDEX(Archetypes!$H$2:$H$127, MATCH(D2170, Archetypes!$A$2:$A$127, 0))*INDEX(Unit_Paths!$E$2:$E$4, MATCH(E2170, Unit_Paths!$A$2:$A$4, 0)),1)</f>
        <v>67.2</v>
      </c>
      <c r="L2170" s="6" t="n">
        <f aca="false">ROUND(INDEX(Archetypes!$I$2:$I$127, MATCH(D2170, Archetypes!$A$2:$A$127, 0))*INDEX(Unit_Grades!$C$2:$C$7, MATCH(F2170, Unit_Grades!$A$2:$A$7, 0)),1)</f>
        <v>336</v>
      </c>
      <c r="M2170" s="6" t="n">
        <f aca="false">ROUND(INDEX(Archetypes!$J$2:$J$127, MATCH(D2170, Archetypes!$A$2:$A$127, 0))*INDEX(Unit_Grades!$D$2:$D$7, MATCH(F2170, Unit_Grades!$A$2:$A$7, 0)),1)</f>
        <v>213.1</v>
      </c>
      <c r="N2170" s="6" t="n">
        <f aca="false">ROUND(M2170/24,2)</f>
        <v>8.88</v>
      </c>
    </row>
    <row r="2171" customFormat="false" ht="15" hidden="false" customHeight="true" outlineLevel="0" collapsed="false">
      <c r="A2171" s="6" t="n">
        <v>7</v>
      </c>
      <c r="B2171" s="6" t="s">
        <v>3618</v>
      </c>
      <c r="C2171" s="6" t="s">
        <v>1522</v>
      </c>
      <c r="D2171" s="6" t="str">
        <f aca="false">A2171&amp;"|"&amp;C2171</f>
        <v>7|Worldseed Escort</v>
      </c>
      <c r="E2171" s="6" t="s">
        <v>1558</v>
      </c>
      <c r="F2171" s="6" t="s">
        <v>1544</v>
      </c>
      <c r="G2171" s="6" t="str">
        <f aca="false">INDEX(Archetypes!$D$2:$D$127, MATCH(D2171, Archetypes!$A$2:$A$127, 0))</f>
        <v>Screen</v>
      </c>
      <c r="H2171" s="6" t="n">
        <f aca="false">ROUND(INDEX(Archetypes!$E$2:$E$127, MATCH(D2171, Archetypes!$A$2:$A$127, 0))*INDEX(Unit_Grades!$B$2:$B$7, MATCH(F2171, Unit_Grades!$A$2:$A$7, 0))*INDEX(Unit_Paths!$B$2:$B$4, MATCH(E2171, Unit_Paths!$A$2:$A$4, 0)),1)</f>
        <v>4896</v>
      </c>
      <c r="I2171" s="6" t="n">
        <f aca="false">ROUND(INDEX(Archetypes!$F$2:$F$127, MATCH(D2171, Archetypes!$A$2:$A$127, 0))*INDEX(Unit_Grades!$B$2:$B$7, MATCH(F2171, Unit_Grades!$A$2:$A$7, 0))*INDEX(Unit_Paths!$C$2:$C$4, MATCH(E2171, Unit_Paths!$A$2:$A$4, 0)),1)</f>
        <v>3876</v>
      </c>
      <c r="J2171" s="6" t="n">
        <f aca="false">ROUND(INDEX(Archetypes!$G$2:$G$127, MATCH(D2171, Archetypes!$A$2:$A$127, 0))*INDEX(Unit_Grades!$B$2:$B$7, MATCH(F2171, Unit_Grades!$A$2:$A$7, 0))*INDEX(Unit_Paths!$D$2:$D$4, MATCH(E2171, Unit_Paths!$A$2:$A$4, 0)),0)</f>
        <v>22800</v>
      </c>
      <c r="K2171" s="6" t="n">
        <f aca="false">ROUND(INDEX(Archetypes!$H$2:$H$127, MATCH(D2171, Archetypes!$A$2:$A$127, 0))*INDEX(Unit_Paths!$E$2:$E$4, MATCH(E2171, Unit_Paths!$A$2:$A$4, 0)),1)</f>
        <v>67.2</v>
      </c>
      <c r="L2171" s="6" t="n">
        <f aca="false">ROUND(INDEX(Archetypes!$I$2:$I$127, MATCH(D2171, Archetypes!$A$2:$A$127, 0))*INDEX(Unit_Grades!$C$2:$C$7, MATCH(F2171, Unit_Grades!$A$2:$A$7, 0)),1)</f>
        <v>441</v>
      </c>
      <c r="M2171" s="6" t="n">
        <f aca="false">ROUND(INDEX(Archetypes!$J$2:$J$127, MATCH(D2171, Archetypes!$A$2:$A$127, 0))*INDEX(Unit_Grades!$D$2:$D$7, MATCH(F2171, Unit_Grades!$A$2:$A$7, 0)),1)</f>
        <v>340.9</v>
      </c>
      <c r="N2171" s="6" t="n">
        <f aca="false">ROUND(M2171/24,2)</f>
        <v>14.2</v>
      </c>
    </row>
    <row r="2172" customFormat="false" ht="15" hidden="false" customHeight="true" outlineLevel="0" collapsed="false">
      <c r="A2172" s="6" t="n">
        <v>7</v>
      </c>
      <c r="B2172" s="6" t="s">
        <v>3619</v>
      </c>
      <c r="C2172" s="6" t="s">
        <v>1522</v>
      </c>
      <c r="D2172" s="6" t="str">
        <f aca="false">A2172&amp;"|"&amp;C2172</f>
        <v>7|Worldseed Escort</v>
      </c>
      <c r="E2172" s="6" t="s">
        <v>1558</v>
      </c>
      <c r="F2172" s="6" t="s">
        <v>1546</v>
      </c>
      <c r="G2172" s="6" t="str">
        <f aca="false">INDEX(Archetypes!$D$2:$D$127, MATCH(D2172, Archetypes!$A$2:$A$127, 0))</f>
        <v>Screen</v>
      </c>
      <c r="H2172" s="6" t="n">
        <f aca="false">ROUND(INDEX(Archetypes!$E$2:$E$127, MATCH(D2172, Archetypes!$A$2:$A$127, 0))*INDEX(Unit_Grades!$B$2:$B$7, MATCH(F2172, Unit_Grades!$A$2:$A$7, 0))*INDEX(Unit_Paths!$B$2:$B$4, MATCH(E2172, Unit_Paths!$A$2:$A$4, 0)),1)</f>
        <v>6528</v>
      </c>
      <c r="I2172" s="6" t="n">
        <f aca="false">ROUND(INDEX(Archetypes!$F$2:$F$127, MATCH(D2172, Archetypes!$A$2:$A$127, 0))*INDEX(Unit_Grades!$B$2:$B$7, MATCH(F2172, Unit_Grades!$A$2:$A$7, 0))*INDEX(Unit_Paths!$C$2:$C$4, MATCH(E2172, Unit_Paths!$A$2:$A$4, 0)),1)</f>
        <v>5168</v>
      </c>
      <c r="J2172" s="6" t="n">
        <f aca="false">ROUND(INDEX(Archetypes!$G$2:$G$127, MATCH(D2172, Archetypes!$A$2:$A$127, 0))*INDEX(Unit_Grades!$B$2:$B$7, MATCH(F2172, Unit_Grades!$A$2:$A$7, 0))*INDEX(Unit_Paths!$D$2:$D$4, MATCH(E2172, Unit_Paths!$A$2:$A$4, 0)),0)</f>
        <v>30400</v>
      </c>
      <c r="K2172" s="6" t="n">
        <f aca="false">ROUND(INDEX(Archetypes!$H$2:$H$127, MATCH(D2172, Archetypes!$A$2:$A$127, 0))*INDEX(Unit_Paths!$E$2:$E$4, MATCH(E2172, Unit_Paths!$A$2:$A$4, 0)),1)</f>
        <v>67.2</v>
      </c>
      <c r="L2172" s="6" t="n">
        <f aca="false">ROUND(INDEX(Archetypes!$I$2:$I$127, MATCH(D2172, Archetypes!$A$2:$A$127, 0))*INDEX(Unit_Grades!$C$2:$C$7, MATCH(F2172, Unit_Grades!$A$2:$A$7, 0)),1)</f>
        <v>588</v>
      </c>
      <c r="M2172" s="6" t="n">
        <f aca="false">ROUND(INDEX(Archetypes!$J$2:$J$127, MATCH(D2172, Archetypes!$A$2:$A$127, 0))*INDEX(Unit_Grades!$D$2:$D$7, MATCH(F2172, Unit_Grades!$A$2:$A$7, 0)),1)</f>
        <v>596.6</v>
      </c>
      <c r="N2172" s="6" t="n">
        <f aca="false">ROUND(M2172/24,2)</f>
        <v>24.86</v>
      </c>
    </row>
    <row r="2173" customFormat="false" ht="15" hidden="false" customHeight="true" outlineLevel="0" collapsed="false">
      <c r="A2173" s="6" t="n">
        <v>7</v>
      </c>
      <c r="B2173" s="6" t="s">
        <v>3620</v>
      </c>
      <c r="C2173" s="6" t="s">
        <v>1522</v>
      </c>
      <c r="D2173" s="6" t="str">
        <f aca="false">A2173&amp;"|"&amp;C2173</f>
        <v>7|Worldseed Escort</v>
      </c>
      <c r="E2173" s="6" t="s">
        <v>1558</v>
      </c>
      <c r="F2173" s="6" t="s">
        <v>1548</v>
      </c>
      <c r="G2173" s="6" t="str">
        <f aca="false">INDEX(Archetypes!$D$2:$D$127, MATCH(D2173, Archetypes!$A$2:$A$127, 0))</f>
        <v>Screen</v>
      </c>
      <c r="H2173" s="6" t="n">
        <f aca="false">ROUND(INDEX(Archetypes!$E$2:$E$127, MATCH(D2173, Archetypes!$A$2:$A$127, 0))*INDEX(Unit_Grades!$B$2:$B$7, MATCH(F2173, Unit_Grades!$A$2:$A$7, 0))*INDEX(Unit_Paths!$B$2:$B$4, MATCH(E2173, Unit_Paths!$A$2:$A$4, 0)),1)</f>
        <v>8568</v>
      </c>
      <c r="I2173" s="6" t="n">
        <f aca="false">ROUND(INDEX(Archetypes!$F$2:$F$127, MATCH(D2173, Archetypes!$A$2:$A$127, 0))*INDEX(Unit_Grades!$B$2:$B$7, MATCH(F2173, Unit_Grades!$A$2:$A$7, 0))*INDEX(Unit_Paths!$C$2:$C$4, MATCH(E2173, Unit_Paths!$A$2:$A$4, 0)),1)</f>
        <v>6783</v>
      </c>
      <c r="J2173" s="6" t="n">
        <f aca="false">ROUND(INDEX(Archetypes!$G$2:$G$127, MATCH(D2173, Archetypes!$A$2:$A$127, 0))*INDEX(Unit_Grades!$B$2:$B$7, MATCH(F2173, Unit_Grades!$A$2:$A$7, 0))*INDEX(Unit_Paths!$D$2:$D$4, MATCH(E2173, Unit_Paths!$A$2:$A$4, 0)),0)</f>
        <v>39900</v>
      </c>
      <c r="K2173" s="6" t="n">
        <f aca="false">ROUND(INDEX(Archetypes!$H$2:$H$127, MATCH(D2173, Archetypes!$A$2:$A$127, 0))*INDEX(Unit_Paths!$E$2:$E$4, MATCH(E2173, Unit_Paths!$A$2:$A$4, 0)),1)</f>
        <v>67.2</v>
      </c>
      <c r="L2173" s="6" t="n">
        <f aca="false">ROUND(INDEX(Archetypes!$I$2:$I$127, MATCH(D2173, Archetypes!$A$2:$A$127, 0))*INDEX(Unit_Grades!$C$2:$C$7, MATCH(F2173, Unit_Grades!$A$2:$A$7, 0)),1)</f>
        <v>777</v>
      </c>
      <c r="M2173" s="6" t="n">
        <f aca="false">ROUND(INDEX(Archetypes!$J$2:$J$127, MATCH(D2173, Archetypes!$A$2:$A$127, 0))*INDEX(Unit_Grades!$D$2:$D$7, MATCH(F2173, Unit_Grades!$A$2:$A$7, 0)),1)</f>
        <v>1022.8</v>
      </c>
      <c r="N2173" s="6" t="n">
        <f aca="false">ROUND(M2173/24,2)</f>
        <v>42.62</v>
      </c>
    </row>
    <row r="2174" customFormat="false" ht="15" hidden="false" customHeight="true" outlineLevel="0" collapsed="false">
      <c r="A2174" s="6" t="n">
        <v>7</v>
      </c>
      <c r="B2174" s="6" t="s">
        <v>3621</v>
      </c>
      <c r="C2174" s="6" t="s">
        <v>1522</v>
      </c>
      <c r="D2174" s="6" t="str">
        <f aca="false">A2174&amp;"|"&amp;C2174</f>
        <v>7|Worldseed Escort</v>
      </c>
      <c r="E2174" s="6" t="s">
        <v>1560</v>
      </c>
      <c r="F2174" s="6" t="s">
        <v>1538</v>
      </c>
      <c r="G2174" s="6" t="str">
        <f aca="false">INDEX(Archetypes!$D$2:$D$127, MATCH(D2174, Archetypes!$A$2:$A$127, 0))</f>
        <v>Screen</v>
      </c>
      <c r="H2174" s="6" t="n">
        <f aca="false">ROUND(INDEX(Archetypes!$E$2:$E$127, MATCH(D2174, Archetypes!$A$2:$A$127, 0))*INDEX(Unit_Grades!$B$2:$B$7, MATCH(F2174, Unit_Grades!$A$2:$A$7, 0))*INDEX(Unit_Paths!$B$2:$B$4, MATCH(E2174, Unit_Paths!$A$2:$A$4, 0)),1)</f>
        <v>1445</v>
      </c>
      <c r="I2174" s="6" t="n">
        <f aca="false">ROUND(INDEX(Archetypes!$F$2:$F$127, MATCH(D2174, Archetypes!$A$2:$A$127, 0))*INDEX(Unit_Grades!$B$2:$B$7, MATCH(F2174, Unit_Grades!$A$2:$A$7, 0))*INDEX(Unit_Paths!$C$2:$C$4, MATCH(E2174, Unit_Paths!$A$2:$A$4, 0)),1)</f>
        <v>2375</v>
      </c>
      <c r="J2174" s="6" t="n">
        <f aca="false">ROUND(INDEX(Archetypes!$G$2:$G$127, MATCH(D2174, Archetypes!$A$2:$A$127, 0))*INDEX(Unit_Grades!$B$2:$B$7, MATCH(F2174, Unit_Grades!$A$2:$A$7, 0))*INDEX(Unit_Paths!$D$2:$D$4, MATCH(E2174, Unit_Paths!$A$2:$A$4, 0)),0)</f>
        <v>11500</v>
      </c>
      <c r="K2174" s="6" t="n">
        <f aca="false">ROUND(INDEX(Archetypes!$H$2:$H$127, MATCH(D2174, Archetypes!$A$2:$A$127, 0))*INDEX(Unit_Paths!$E$2:$E$4, MATCH(E2174, Unit_Paths!$A$2:$A$4, 0)),1)</f>
        <v>58.9</v>
      </c>
      <c r="L2174" s="6" t="n">
        <f aca="false">ROUND(INDEX(Archetypes!$I$2:$I$127, MATCH(D2174, Archetypes!$A$2:$A$127, 0))*INDEX(Unit_Grades!$C$2:$C$7, MATCH(F2174, Unit_Grades!$A$2:$A$7, 0)),1)</f>
        <v>210</v>
      </c>
      <c r="M2174" s="6" t="n">
        <f aca="false">ROUND(INDEX(Archetypes!$J$2:$J$127, MATCH(D2174, Archetypes!$A$2:$A$127, 0))*INDEX(Unit_Grades!$D$2:$D$7, MATCH(F2174, Unit_Grades!$A$2:$A$7, 0)),1)</f>
        <v>85.2</v>
      </c>
      <c r="N2174" s="6" t="n">
        <f aca="false">ROUND(M2174/24,2)</f>
        <v>3.55</v>
      </c>
    </row>
    <row r="2175" customFormat="false" ht="15" hidden="false" customHeight="true" outlineLevel="0" collapsed="false">
      <c r="A2175" s="6" t="n">
        <v>7</v>
      </c>
      <c r="B2175" s="6" t="s">
        <v>3622</v>
      </c>
      <c r="C2175" s="6" t="s">
        <v>1522</v>
      </c>
      <c r="D2175" s="6" t="str">
        <f aca="false">A2175&amp;"|"&amp;C2175</f>
        <v>7|Worldseed Escort</v>
      </c>
      <c r="E2175" s="6" t="s">
        <v>1560</v>
      </c>
      <c r="F2175" s="6" t="s">
        <v>1540</v>
      </c>
      <c r="G2175" s="6" t="str">
        <f aca="false">INDEX(Archetypes!$D$2:$D$127, MATCH(D2175, Archetypes!$A$2:$A$127, 0))</f>
        <v>Screen</v>
      </c>
      <c r="H2175" s="6" t="n">
        <f aca="false">ROUND(INDEX(Archetypes!$E$2:$E$127, MATCH(D2175, Archetypes!$A$2:$A$127, 0))*INDEX(Unit_Grades!$B$2:$B$7, MATCH(F2175, Unit_Grades!$A$2:$A$7, 0))*INDEX(Unit_Paths!$B$2:$B$4, MATCH(E2175, Unit_Paths!$A$2:$A$4, 0)),1)</f>
        <v>1950.8</v>
      </c>
      <c r="I2175" s="6" t="n">
        <f aca="false">ROUND(INDEX(Archetypes!$F$2:$F$127, MATCH(D2175, Archetypes!$A$2:$A$127, 0))*INDEX(Unit_Grades!$B$2:$B$7, MATCH(F2175, Unit_Grades!$A$2:$A$7, 0))*INDEX(Unit_Paths!$C$2:$C$4, MATCH(E2175, Unit_Paths!$A$2:$A$4, 0)),1)</f>
        <v>3206.3</v>
      </c>
      <c r="J2175" s="6" t="n">
        <f aca="false">ROUND(INDEX(Archetypes!$G$2:$G$127, MATCH(D2175, Archetypes!$A$2:$A$127, 0))*INDEX(Unit_Grades!$B$2:$B$7, MATCH(F2175, Unit_Grades!$A$2:$A$7, 0))*INDEX(Unit_Paths!$D$2:$D$4, MATCH(E2175, Unit_Paths!$A$2:$A$4, 0)),0)</f>
        <v>15525</v>
      </c>
      <c r="K2175" s="6" t="n">
        <f aca="false">ROUND(INDEX(Archetypes!$H$2:$H$127, MATCH(D2175, Archetypes!$A$2:$A$127, 0))*INDEX(Unit_Paths!$E$2:$E$4, MATCH(E2175, Unit_Paths!$A$2:$A$4, 0)),1)</f>
        <v>58.9</v>
      </c>
      <c r="L2175" s="6" t="n">
        <f aca="false">ROUND(INDEX(Archetypes!$I$2:$I$127, MATCH(D2175, Archetypes!$A$2:$A$127, 0))*INDEX(Unit_Grades!$C$2:$C$7, MATCH(F2175, Unit_Grades!$A$2:$A$7, 0)),1)</f>
        <v>262.5</v>
      </c>
      <c r="M2175" s="6" t="n">
        <f aca="false">ROUND(INDEX(Archetypes!$J$2:$J$127, MATCH(D2175, Archetypes!$A$2:$A$127, 0))*INDEX(Unit_Grades!$D$2:$D$7, MATCH(F2175, Unit_Grades!$A$2:$A$7, 0)),1)</f>
        <v>127.8</v>
      </c>
      <c r="N2175" s="6" t="n">
        <f aca="false">ROUND(M2175/24,2)</f>
        <v>5.33</v>
      </c>
    </row>
    <row r="2176" customFormat="false" ht="15" hidden="false" customHeight="true" outlineLevel="0" collapsed="false">
      <c r="A2176" s="6" t="n">
        <v>7</v>
      </c>
      <c r="B2176" s="6" t="s">
        <v>3623</v>
      </c>
      <c r="C2176" s="6" t="s">
        <v>1522</v>
      </c>
      <c r="D2176" s="6" t="str">
        <f aca="false">A2176&amp;"|"&amp;C2176</f>
        <v>7|Worldseed Escort</v>
      </c>
      <c r="E2176" s="6" t="s">
        <v>1560</v>
      </c>
      <c r="F2176" s="6" t="s">
        <v>1542</v>
      </c>
      <c r="G2176" s="6" t="str">
        <f aca="false">INDEX(Archetypes!$D$2:$D$127, MATCH(D2176, Archetypes!$A$2:$A$127, 0))</f>
        <v>Screen</v>
      </c>
      <c r="H2176" s="6" t="n">
        <f aca="false">ROUND(INDEX(Archetypes!$E$2:$E$127, MATCH(D2176, Archetypes!$A$2:$A$127, 0))*INDEX(Unit_Grades!$B$2:$B$7, MATCH(F2176, Unit_Grades!$A$2:$A$7, 0))*INDEX(Unit_Paths!$B$2:$B$4, MATCH(E2176, Unit_Paths!$A$2:$A$4, 0)),1)</f>
        <v>2601</v>
      </c>
      <c r="I2176" s="6" t="n">
        <f aca="false">ROUND(INDEX(Archetypes!$F$2:$F$127, MATCH(D2176, Archetypes!$A$2:$A$127, 0))*INDEX(Unit_Grades!$B$2:$B$7, MATCH(F2176, Unit_Grades!$A$2:$A$7, 0))*INDEX(Unit_Paths!$C$2:$C$4, MATCH(E2176, Unit_Paths!$A$2:$A$4, 0)),1)</f>
        <v>4275</v>
      </c>
      <c r="J2176" s="6" t="n">
        <f aca="false">ROUND(INDEX(Archetypes!$G$2:$G$127, MATCH(D2176, Archetypes!$A$2:$A$127, 0))*INDEX(Unit_Grades!$B$2:$B$7, MATCH(F2176, Unit_Grades!$A$2:$A$7, 0))*INDEX(Unit_Paths!$D$2:$D$4, MATCH(E2176, Unit_Paths!$A$2:$A$4, 0)),0)</f>
        <v>20700</v>
      </c>
      <c r="K2176" s="6" t="n">
        <f aca="false">ROUND(INDEX(Archetypes!$H$2:$H$127, MATCH(D2176, Archetypes!$A$2:$A$127, 0))*INDEX(Unit_Paths!$E$2:$E$4, MATCH(E2176, Unit_Paths!$A$2:$A$4, 0)),1)</f>
        <v>58.9</v>
      </c>
      <c r="L2176" s="6" t="n">
        <f aca="false">ROUND(INDEX(Archetypes!$I$2:$I$127, MATCH(D2176, Archetypes!$A$2:$A$127, 0))*INDEX(Unit_Grades!$C$2:$C$7, MATCH(F2176, Unit_Grades!$A$2:$A$7, 0)),1)</f>
        <v>336</v>
      </c>
      <c r="M2176" s="6" t="n">
        <f aca="false">ROUND(INDEX(Archetypes!$J$2:$J$127, MATCH(D2176, Archetypes!$A$2:$A$127, 0))*INDEX(Unit_Grades!$D$2:$D$7, MATCH(F2176, Unit_Grades!$A$2:$A$7, 0)),1)</f>
        <v>213.1</v>
      </c>
      <c r="N2176" s="6" t="n">
        <f aca="false">ROUND(M2176/24,2)</f>
        <v>8.88</v>
      </c>
    </row>
    <row r="2177" customFormat="false" ht="15" hidden="false" customHeight="true" outlineLevel="0" collapsed="false">
      <c r="A2177" s="6" t="n">
        <v>7</v>
      </c>
      <c r="B2177" s="6" t="s">
        <v>3624</v>
      </c>
      <c r="C2177" s="6" t="s">
        <v>1522</v>
      </c>
      <c r="D2177" s="6" t="str">
        <f aca="false">A2177&amp;"|"&amp;C2177</f>
        <v>7|Worldseed Escort</v>
      </c>
      <c r="E2177" s="6" t="s">
        <v>1560</v>
      </c>
      <c r="F2177" s="6" t="s">
        <v>1544</v>
      </c>
      <c r="G2177" s="6" t="str">
        <f aca="false">INDEX(Archetypes!$D$2:$D$127, MATCH(D2177, Archetypes!$A$2:$A$127, 0))</f>
        <v>Screen</v>
      </c>
      <c r="H2177" s="6" t="n">
        <f aca="false">ROUND(INDEX(Archetypes!$E$2:$E$127, MATCH(D2177, Archetypes!$A$2:$A$127, 0))*INDEX(Unit_Grades!$B$2:$B$7, MATCH(F2177, Unit_Grades!$A$2:$A$7, 0))*INDEX(Unit_Paths!$B$2:$B$4, MATCH(E2177, Unit_Paths!$A$2:$A$4, 0)),1)</f>
        <v>3468</v>
      </c>
      <c r="I2177" s="6" t="n">
        <f aca="false">ROUND(INDEX(Archetypes!$F$2:$F$127, MATCH(D2177, Archetypes!$A$2:$A$127, 0))*INDEX(Unit_Grades!$B$2:$B$7, MATCH(F2177, Unit_Grades!$A$2:$A$7, 0))*INDEX(Unit_Paths!$C$2:$C$4, MATCH(E2177, Unit_Paths!$A$2:$A$4, 0)),1)</f>
        <v>5700</v>
      </c>
      <c r="J2177" s="6" t="n">
        <f aca="false">ROUND(INDEX(Archetypes!$G$2:$G$127, MATCH(D2177, Archetypes!$A$2:$A$127, 0))*INDEX(Unit_Grades!$B$2:$B$7, MATCH(F2177, Unit_Grades!$A$2:$A$7, 0))*INDEX(Unit_Paths!$D$2:$D$4, MATCH(E2177, Unit_Paths!$A$2:$A$4, 0)),0)</f>
        <v>27600</v>
      </c>
      <c r="K2177" s="6" t="n">
        <f aca="false">ROUND(INDEX(Archetypes!$H$2:$H$127, MATCH(D2177, Archetypes!$A$2:$A$127, 0))*INDEX(Unit_Paths!$E$2:$E$4, MATCH(E2177, Unit_Paths!$A$2:$A$4, 0)),1)</f>
        <v>58.9</v>
      </c>
      <c r="L2177" s="6" t="n">
        <f aca="false">ROUND(INDEX(Archetypes!$I$2:$I$127, MATCH(D2177, Archetypes!$A$2:$A$127, 0))*INDEX(Unit_Grades!$C$2:$C$7, MATCH(F2177, Unit_Grades!$A$2:$A$7, 0)),1)</f>
        <v>441</v>
      </c>
      <c r="M2177" s="6" t="n">
        <f aca="false">ROUND(INDEX(Archetypes!$J$2:$J$127, MATCH(D2177, Archetypes!$A$2:$A$127, 0))*INDEX(Unit_Grades!$D$2:$D$7, MATCH(F2177, Unit_Grades!$A$2:$A$7, 0)),1)</f>
        <v>340.9</v>
      </c>
      <c r="N2177" s="6" t="n">
        <f aca="false">ROUND(M2177/24,2)</f>
        <v>14.2</v>
      </c>
    </row>
    <row r="2178" customFormat="false" ht="15" hidden="false" customHeight="true" outlineLevel="0" collapsed="false">
      <c r="A2178" s="6" t="n">
        <v>7</v>
      </c>
      <c r="B2178" s="6" t="s">
        <v>3625</v>
      </c>
      <c r="C2178" s="6" t="s">
        <v>1522</v>
      </c>
      <c r="D2178" s="6" t="str">
        <f aca="false">A2178&amp;"|"&amp;C2178</f>
        <v>7|Worldseed Escort</v>
      </c>
      <c r="E2178" s="6" t="s">
        <v>1560</v>
      </c>
      <c r="F2178" s="6" t="s">
        <v>1546</v>
      </c>
      <c r="G2178" s="6" t="str">
        <f aca="false">INDEX(Archetypes!$D$2:$D$127, MATCH(D2178, Archetypes!$A$2:$A$127, 0))</f>
        <v>Screen</v>
      </c>
      <c r="H2178" s="6" t="n">
        <f aca="false">ROUND(INDEX(Archetypes!$E$2:$E$127, MATCH(D2178, Archetypes!$A$2:$A$127, 0))*INDEX(Unit_Grades!$B$2:$B$7, MATCH(F2178, Unit_Grades!$A$2:$A$7, 0))*INDEX(Unit_Paths!$B$2:$B$4, MATCH(E2178, Unit_Paths!$A$2:$A$4, 0)),1)</f>
        <v>4624</v>
      </c>
      <c r="I2178" s="6" t="n">
        <f aca="false">ROUND(INDEX(Archetypes!$F$2:$F$127, MATCH(D2178, Archetypes!$A$2:$A$127, 0))*INDEX(Unit_Grades!$B$2:$B$7, MATCH(F2178, Unit_Grades!$A$2:$A$7, 0))*INDEX(Unit_Paths!$C$2:$C$4, MATCH(E2178, Unit_Paths!$A$2:$A$4, 0)),1)</f>
        <v>7600</v>
      </c>
      <c r="J2178" s="6" t="n">
        <f aca="false">ROUND(INDEX(Archetypes!$G$2:$G$127, MATCH(D2178, Archetypes!$A$2:$A$127, 0))*INDEX(Unit_Grades!$B$2:$B$7, MATCH(F2178, Unit_Grades!$A$2:$A$7, 0))*INDEX(Unit_Paths!$D$2:$D$4, MATCH(E2178, Unit_Paths!$A$2:$A$4, 0)),0)</f>
        <v>36800</v>
      </c>
      <c r="K2178" s="6" t="n">
        <f aca="false">ROUND(INDEX(Archetypes!$H$2:$H$127, MATCH(D2178, Archetypes!$A$2:$A$127, 0))*INDEX(Unit_Paths!$E$2:$E$4, MATCH(E2178, Unit_Paths!$A$2:$A$4, 0)),1)</f>
        <v>58.9</v>
      </c>
      <c r="L2178" s="6" t="n">
        <f aca="false">ROUND(INDEX(Archetypes!$I$2:$I$127, MATCH(D2178, Archetypes!$A$2:$A$127, 0))*INDEX(Unit_Grades!$C$2:$C$7, MATCH(F2178, Unit_Grades!$A$2:$A$7, 0)),1)</f>
        <v>588</v>
      </c>
      <c r="M2178" s="6" t="n">
        <f aca="false">ROUND(INDEX(Archetypes!$J$2:$J$127, MATCH(D2178, Archetypes!$A$2:$A$127, 0))*INDEX(Unit_Grades!$D$2:$D$7, MATCH(F2178, Unit_Grades!$A$2:$A$7, 0)),1)</f>
        <v>596.6</v>
      </c>
      <c r="N2178" s="6" t="n">
        <f aca="false">ROUND(M2178/24,2)</f>
        <v>24.86</v>
      </c>
    </row>
    <row r="2179" customFormat="false" ht="15" hidden="false" customHeight="true" outlineLevel="0" collapsed="false">
      <c r="A2179" s="6" t="n">
        <v>7</v>
      </c>
      <c r="B2179" s="6" t="s">
        <v>3626</v>
      </c>
      <c r="C2179" s="6" t="s">
        <v>1522</v>
      </c>
      <c r="D2179" s="6" t="str">
        <f aca="false">A2179&amp;"|"&amp;C2179</f>
        <v>7|Worldseed Escort</v>
      </c>
      <c r="E2179" s="6" t="s">
        <v>1560</v>
      </c>
      <c r="F2179" s="6" t="s">
        <v>1548</v>
      </c>
      <c r="G2179" s="6" t="str">
        <f aca="false">INDEX(Archetypes!$D$2:$D$127, MATCH(D2179, Archetypes!$A$2:$A$127, 0))</f>
        <v>Screen</v>
      </c>
      <c r="H2179" s="6" t="n">
        <f aca="false">ROUND(INDEX(Archetypes!$E$2:$E$127, MATCH(D2179, Archetypes!$A$2:$A$127, 0))*INDEX(Unit_Grades!$B$2:$B$7, MATCH(F2179, Unit_Grades!$A$2:$A$7, 0))*INDEX(Unit_Paths!$B$2:$B$4, MATCH(E2179, Unit_Paths!$A$2:$A$4, 0)),1)</f>
        <v>6069</v>
      </c>
      <c r="I2179" s="6" t="n">
        <f aca="false">ROUND(INDEX(Archetypes!$F$2:$F$127, MATCH(D2179, Archetypes!$A$2:$A$127, 0))*INDEX(Unit_Grades!$B$2:$B$7, MATCH(F2179, Unit_Grades!$A$2:$A$7, 0))*INDEX(Unit_Paths!$C$2:$C$4, MATCH(E2179, Unit_Paths!$A$2:$A$4, 0)),1)</f>
        <v>9975</v>
      </c>
      <c r="J2179" s="6" t="n">
        <f aca="false">ROUND(INDEX(Archetypes!$G$2:$G$127, MATCH(D2179, Archetypes!$A$2:$A$127, 0))*INDEX(Unit_Grades!$B$2:$B$7, MATCH(F2179, Unit_Grades!$A$2:$A$7, 0))*INDEX(Unit_Paths!$D$2:$D$4, MATCH(E2179, Unit_Paths!$A$2:$A$4, 0)),0)</f>
        <v>48300</v>
      </c>
      <c r="K2179" s="6" t="n">
        <f aca="false">ROUND(INDEX(Archetypes!$H$2:$H$127, MATCH(D2179, Archetypes!$A$2:$A$127, 0))*INDEX(Unit_Paths!$E$2:$E$4, MATCH(E2179, Unit_Paths!$A$2:$A$4, 0)),1)</f>
        <v>58.9</v>
      </c>
      <c r="L2179" s="6" t="n">
        <f aca="false">ROUND(INDEX(Archetypes!$I$2:$I$127, MATCH(D2179, Archetypes!$A$2:$A$127, 0))*INDEX(Unit_Grades!$C$2:$C$7, MATCH(F2179, Unit_Grades!$A$2:$A$7, 0)),1)</f>
        <v>777</v>
      </c>
      <c r="M2179" s="6" t="n">
        <f aca="false">ROUND(INDEX(Archetypes!$J$2:$J$127, MATCH(D2179, Archetypes!$A$2:$A$127, 0))*INDEX(Unit_Grades!$D$2:$D$7, MATCH(F2179, Unit_Grades!$A$2:$A$7, 0)),1)</f>
        <v>1022.8</v>
      </c>
      <c r="N2179" s="6" t="n">
        <f aca="false">ROUND(M2179/24,2)</f>
        <v>42.62</v>
      </c>
    </row>
    <row r="2180" customFormat="false" ht="15" hidden="false" customHeight="true" outlineLevel="0" collapsed="false">
      <c r="A2180" s="6" t="n">
        <v>7</v>
      </c>
      <c r="B2180" s="6" t="s">
        <v>1524</v>
      </c>
      <c r="C2180" s="6" t="s">
        <v>1524</v>
      </c>
      <c r="D2180" s="6" t="str">
        <f aca="false">A2180&amp;"|"&amp;C2180</f>
        <v>7|Tribulation Vanguard</v>
      </c>
      <c r="E2180" s="6" t="s">
        <v>1556</v>
      </c>
      <c r="F2180" s="6" t="s">
        <v>1538</v>
      </c>
      <c r="G2180" s="6" t="str">
        <f aca="false">INDEX(Archetypes!$D$2:$D$127, MATCH(D2180, Archetypes!$A$2:$A$127, 0))</f>
        <v>Elite Shock</v>
      </c>
      <c r="H2180" s="6" t="n">
        <f aca="false">ROUND(INDEX(Archetypes!$E$2:$E$127, MATCH(D2180, Archetypes!$A$2:$A$127, 0))*INDEX(Unit_Grades!$B$2:$B$7, MATCH(F2180, Unit_Grades!$A$2:$A$7, 0))*INDEX(Unit_Paths!$B$2:$B$4, MATCH(E2180, Unit_Paths!$A$2:$A$4, 0)),1)</f>
        <v>2800</v>
      </c>
      <c r="I2180" s="6" t="n">
        <f aca="false">ROUND(INDEX(Archetypes!$F$2:$F$127, MATCH(D2180, Archetypes!$A$2:$A$127, 0))*INDEX(Unit_Grades!$B$2:$B$7, MATCH(F2180, Unit_Grades!$A$2:$A$7, 0))*INDEX(Unit_Paths!$C$2:$C$4, MATCH(E2180, Unit_Paths!$A$2:$A$4, 0)),1)</f>
        <v>1900</v>
      </c>
      <c r="J2180" s="6" t="n">
        <f aca="false">ROUND(INDEX(Archetypes!$G$2:$G$127, MATCH(D2180, Archetypes!$A$2:$A$127, 0))*INDEX(Unit_Grades!$B$2:$B$7, MATCH(F2180, Unit_Grades!$A$2:$A$7, 0))*INDEX(Unit_Paths!$D$2:$D$4, MATCH(E2180, Unit_Paths!$A$2:$A$4, 0)),0)</f>
        <v>12000</v>
      </c>
      <c r="K2180" s="6" t="n">
        <f aca="false">ROUND(INDEX(Archetypes!$H$2:$H$127, MATCH(D2180, Archetypes!$A$2:$A$127, 0))*INDEX(Unit_Paths!$E$2:$E$4, MATCH(E2180, Unit_Paths!$A$2:$A$4, 0)),1)</f>
        <v>58</v>
      </c>
      <c r="L2180" s="6" t="n">
        <f aca="false">ROUND(INDEX(Archetypes!$I$2:$I$127, MATCH(D2180, Archetypes!$A$2:$A$127, 0))*INDEX(Unit_Grades!$C$2:$C$7, MATCH(F2180, Unit_Grades!$A$2:$A$7, 0)),1)</f>
        <v>360</v>
      </c>
      <c r="M2180" s="6" t="n">
        <f aca="false">ROUND(INDEX(Archetypes!$J$2:$J$127, MATCH(D2180, Archetypes!$A$2:$A$127, 0))*INDEX(Unit_Grades!$D$2:$D$7, MATCH(F2180, Unit_Grades!$A$2:$A$7, 0)),1)</f>
        <v>146.1</v>
      </c>
      <c r="N2180" s="6" t="n">
        <f aca="false">ROUND(M2180/24,2)</f>
        <v>6.09</v>
      </c>
    </row>
    <row r="2181" customFormat="false" ht="15" hidden="false" customHeight="true" outlineLevel="0" collapsed="false">
      <c r="A2181" s="6" t="n">
        <v>7</v>
      </c>
      <c r="B2181" s="6" t="s">
        <v>3627</v>
      </c>
      <c r="C2181" s="6" t="s">
        <v>1524</v>
      </c>
      <c r="D2181" s="6" t="str">
        <f aca="false">A2181&amp;"|"&amp;C2181</f>
        <v>7|Tribulation Vanguard</v>
      </c>
      <c r="E2181" s="6" t="s">
        <v>1556</v>
      </c>
      <c r="F2181" s="6" t="s">
        <v>1540</v>
      </c>
      <c r="G2181" s="6" t="str">
        <f aca="false">INDEX(Archetypes!$D$2:$D$127, MATCH(D2181, Archetypes!$A$2:$A$127, 0))</f>
        <v>Elite Shock</v>
      </c>
      <c r="H2181" s="6" t="n">
        <f aca="false">ROUND(INDEX(Archetypes!$E$2:$E$127, MATCH(D2181, Archetypes!$A$2:$A$127, 0))*INDEX(Unit_Grades!$B$2:$B$7, MATCH(F2181, Unit_Grades!$A$2:$A$7, 0))*INDEX(Unit_Paths!$B$2:$B$4, MATCH(E2181, Unit_Paths!$A$2:$A$4, 0)),1)</f>
        <v>3780</v>
      </c>
      <c r="I2181" s="6" t="n">
        <f aca="false">ROUND(INDEX(Archetypes!$F$2:$F$127, MATCH(D2181, Archetypes!$A$2:$A$127, 0))*INDEX(Unit_Grades!$B$2:$B$7, MATCH(F2181, Unit_Grades!$A$2:$A$7, 0))*INDEX(Unit_Paths!$C$2:$C$4, MATCH(E2181, Unit_Paths!$A$2:$A$4, 0)),1)</f>
        <v>2565</v>
      </c>
      <c r="J2181" s="6" t="n">
        <f aca="false">ROUND(INDEX(Archetypes!$G$2:$G$127, MATCH(D2181, Archetypes!$A$2:$A$127, 0))*INDEX(Unit_Grades!$B$2:$B$7, MATCH(F2181, Unit_Grades!$A$2:$A$7, 0))*INDEX(Unit_Paths!$D$2:$D$4, MATCH(E2181, Unit_Paths!$A$2:$A$4, 0)),0)</f>
        <v>16200</v>
      </c>
      <c r="K2181" s="6" t="n">
        <f aca="false">ROUND(INDEX(Archetypes!$H$2:$H$127, MATCH(D2181, Archetypes!$A$2:$A$127, 0))*INDEX(Unit_Paths!$E$2:$E$4, MATCH(E2181, Unit_Paths!$A$2:$A$4, 0)),1)</f>
        <v>58</v>
      </c>
      <c r="L2181" s="6" t="n">
        <f aca="false">ROUND(INDEX(Archetypes!$I$2:$I$127, MATCH(D2181, Archetypes!$A$2:$A$127, 0))*INDEX(Unit_Grades!$C$2:$C$7, MATCH(F2181, Unit_Grades!$A$2:$A$7, 0)),1)</f>
        <v>450</v>
      </c>
      <c r="M2181" s="6" t="n">
        <f aca="false">ROUND(INDEX(Archetypes!$J$2:$J$127, MATCH(D2181, Archetypes!$A$2:$A$127, 0))*INDEX(Unit_Grades!$D$2:$D$7, MATCH(F2181, Unit_Grades!$A$2:$A$7, 0)),1)</f>
        <v>219.2</v>
      </c>
      <c r="N2181" s="6" t="n">
        <f aca="false">ROUND(M2181/24,2)</f>
        <v>9.13</v>
      </c>
    </row>
    <row r="2182" customFormat="false" ht="15" hidden="false" customHeight="true" outlineLevel="0" collapsed="false">
      <c r="A2182" s="6" t="n">
        <v>7</v>
      </c>
      <c r="B2182" s="6" t="s">
        <v>3628</v>
      </c>
      <c r="C2182" s="6" t="s">
        <v>1524</v>
      </c>
      <c r="D2182" s="6" t="str">
        <f aca="false">A2182&amp;"|"&amp;C2182</f>
        <v>7|Tribulation Vanguard</v>
      </c>
      <c r="E2182" s="6" t="s">
        <v>1556</v>
      </c>
      <c r="F2182" s="6" t="s">
        <v>1542</v>
      </c>
      <c r="G2182" s="6" t="str">
        <f aca="false">INDEX(Archetypes!$D$2:$D$127, MATCH(D2182, Archetypes!$A$2:$A$127, 0))</f>
        <v>Elite Shock</v>
      </c>
      <c r="H2182" s="6" t="n">
        <f aca="false">ROUND(INDEX(Archetypes!$E$2:$E$127, MATCH(D2182, Archetypes!$A$2:$A$127, 0))*INDEX(Unit_Grades!$B$2:$B$7, MATCH(F2182, Unit_Grades!$A$2:$A$7, 0))*INDEX(Unit_Paths!$B$2:$B$4, MATCH(E2182, Unit_Paths!$A$2:$A$4, 0)),1)</f>
        <v>5040</v>
      </c>
      <c r="I2182" s="6" t="n">
        <f aca="false">ROUND(INDEX(Archetypes!$F$2:$F$127, MATCH(D2182, Archetypes!$A$2:$A$127, 0))*INDEX(Unit_Grades!$B$2:$B$7, MATCH(F2182, Unit_Grades!$A$2:$A$7, 0))*INDEX(Unit_Paths!$C$2:$C$4, MATCH(E2182, Unit_Paths!$A$2:$A$4, 0)),1)</f>
        <v>3420</v>
      </c>
      <c r="J2182" s="6" t="n">
        <f aca="false">ROUND(INDEX(Archetypes!$G$2:$G$127, MATCH(D2182, Archetypes!$A$2:$A$127, 0))*INDEX(Unit_Grades!$B$2:$B$7, MATCH(F2182, Unit_Grades!$A$2:$A$7, 0))*INDEX(Unit_Paths!$D$2:$D$4, MATCH(E2182, Unit_Paths!$A$2:$A$4, 0)),0)</f>
        <v>21600</v>
      </c>
      <c r="K2182" s="6" t="n">
        <f aca="false">ROUND(INDEX(Archetypes!$H$2:$H$127, MATCH(D2182, Archetypes!$A$2:$A$127, 0))*INDEX(Unit_Paths!$E$2:$E$4, MATCH(E2182, Unit_Paths!$A$2:$A$4, 0)),1)</f>
        <v>58</v>
      </c>
      <c r="L2182" s="6" t="n">
        <f aca="false">ROUND(INDEX(Archetypes!$I$2:$I$127, MATCH(D2182, Archetypes!$A$2:$A$127, 0))*INDEX(Unit_Grades!$C$2:$C$7, MATCH(F2182, Unit_Grades!$A$2:$A$7, 0)),1)</f>
        <v>576</v>
      </c>
      <c r="M2182" s="6" t="n">
        <f aca="false">ROUND(INDEX(Archetypes!$J$2:$J$127, MATCH(D2182, Archetypes!$A$2:$A$127, 0))*INDEX(Unit_Grades!$D$2:$D$7, MATCH(F2182, Unit_Grades!$A$2:$A$7, 0)),1)</f>
        <v>365.3</v>
      </c>
      <c r="N2182" s="6" t="n">
        <f aca="false">ROUND(M2182/24,2)</f>
        <v>15.22</v>
      </c>
    </row>
    <row r="2183" customFormat="false" ht="15" hidden="false" customHeight="true" outlineLevel="0" collapsed="false">
      <c r="A2183" s="6" t="n">
        <v>7</v>
      </c>
      <c r="B2183" s="6" t="s">
        <v>3629</v>
      </c>
      <c r="C2183" s="6" t="s">
        <v>1524</v>
      </c>
      <c r="D2183" s="6" t="str">
        <f aca="false">A2183&amp;"|"&amp;C2183</f>
        <v>7|Tribulation Vanguard</v>
      </c>
      <c r="E2183" s="6" t="s">
        <v>1556</v>
      </c>
      <c r="F2183" s="6" t="s">
        <v>1544</v>
      </c>
      <c r="G2183" s="6" t="str">
        <f aca="false">INDEX(Archetypes!$D$2:$D$127, MATCH(D2183, Archetypes!$A$2:$A$127, 0))</f>
        <v>Elite Shock</v>
      </c>
      <c r="H2183" s="6" t="n">
        <f aca="false">ROUND(INDEX(Archetypes!$E$2:$E$127, MATCH(D2183, Archetypes!$A$2:$A$127, 0))*INDEX(Unit_Grades!$B$2:$B$7, MATCH(F2183, Unit_Grades!$A$2:$A$7, 0))*INDEX(Unit_Paths!$B$2:$B$4, MATCH(E2183, Unit_Paths!$A$2:$A$4, 0)),1)</f>
        <v>6720</v>
      </c>
      <c r="I2183" s="6" t="n">
        <f aca="false">ROUND(INDEX(Archetypes!$F$2:$F$127, MATCH(D2183, Archetypes!$A$2:$A$127, 0))*INDEX(Unit_Grades!$B$2:$B$7, MATCH(F2183, Unit_Grades!$A$2:$A$7, 0))*INDEX(Unit_Paths!$C$2:$C$4, MATCH(E2183, Unit_Paths!$A$2:$A$4, 0)),1)</f>
        <v>4560</v>
      </c>
      <c r="J2183" s="6" t="n">
        <f aca="false">ROUND(INDEX(Archetypes!$G$2:$G$127, MATCH(D2183, Archetypes!$A$2:$A$127, 0))*INDEX(Unit_Grades!$B$2:$B$7, MATCH(F2183, Unit_Grades!$A$2:$A$7, 0))*INDEX(Unit_Paths!$D$2:$D$4, MATCH(E2183, Unit_Paths!$A$2:$A$4, 0)),0)</f>
        <v>28800</v>
      </c>
      <c r="K2183" s="6" t="n">
        <f aca="false">ROUND(INDEX(Archetypes!$H$2:$H$127, MATCH(D2183, Archetypes!$A$2:$A$127, 0))*INDEX(Unit_Paths!$E$2:$E$4, MATCH(E2183, Unit_Paths!$A$2:$A$4, 0)),1)</f>
        <v>58</v>
      </c>
      <c r="L2183" s="6" t="n">
        <f aca="false">ROUND(INDEX(Archetypes!$I$2:$I$127, MATCH(D2183, Archetypes!$A$2:$A$127, 0))*INDEX(Unit_Grades!$C$2:$C$7, MATCH(F2183, Unit_Grades!$A$2:$A$7, 0)),1)</f>
        <v>756</v>
      </c>
      <c r="M2183" s="6" t="n">
        <f aca="false">ROUND(INDEX(Archetypes!$J$2:$J$127, MATCH(D2183, Archetypes!$A$2:$A$127, 0))*INDEX(Unit_Grades!$D$2:$D$7, MATCH(F2183, Unit_Grades!$A$2:$A$7, 0)),1)</f>
        <v>584.4</v>
      </c>
      <c r="N2183" s="6" t="n">
        <f aca="false">ROUND(M2183/24,2)</f>
        <v>24.35</v>
      </c>
    </row>
    <row r="2184" customFormat="false" ht="15" hidden="false" customHeight="true" outlineLevel="0" collapsed="false">
      <c r="A2184" s="6" t="n">
        <v>7</v>
      </c>
      <c r="B2184" s="6" t="s">
        <v>3630</v>
      </c>
      <c r="C2184" s="6" t="s">
        <v>1524</v>
      </c>
      <c r="D2184" s="6" t="str">
        <f aca="false">A2184&amp;"|"&amp;C2184</f>
        <v>7|Tribulation Vanguard</v>
      </c>
      <c r="E2184" s="6" t="s">
        <v>1556</v>
      </c>
      <c r="F2184" s="6" t="s">
        <v>1546</v>
      </c>
      <c r="G2184" s="6" t="str">
        <f aca="false">INDEX(Archetypes!$D$2:$D$127, MATCH(D2184, Archetypes!$A$2:$A$127, 0))</f>
        <v>Elite Shock</v>
      </c>
      <c r="H2184" s="6" t="n">
        <f aca="false">ROUND(INDEX(Archetypes!$E$2:$E$127, MATCH(D2184, Archetypes!$A$2:$A$127, 0))*INDEX(Unit_Grades!$B$2:$B$7, MATCH(F2184, Unit_Grades!$A$2:$A$7, 0))*INDEX(Unit_Paths!$B$2:$B$4, MATCH(E2184, Unit_Paths!$A$2:$A$4, 0)),1)</f>
        <v>8960</v>
      </c>
      <c r="I2184" s="6" t="n">
        <f aca="false">ROUND(INDEX(Archetypes!$F$2:$F$127, MATCH(D2184, Archetypes!$A$2:$A$127, 0))*INDEX(Unit_Grades!$B$2:$B$7, MATCH(F2184, Unit_Grades!$A$2:$A$7, 0))*INDEX(Unit_Paths!$C$2:$C$4, MATCH(E2184, Unit_Paths!$A$2:$A$4, 0)),1)</f>
        <v>6080</v>
      </c>
      <c r="J2184" s="6" t="n">
        <f aca="false">ROUND(INDEX(Archetypes!$G$2:$G$127, MATCH(D2184, Archetypes!$A$2:$A$127, 0))*INDEX(Unit_Grades!$B$2:$B$7, MATCH(F2184, Unit_Grades!$A$2:$A$7, 0))*INDEX(Unit_Paths!$D$2:$D$4, MATCH(E2184, Unit_Paths!$A$2:$A$4, 0)),0)</f>
        <v>38400</v>
      </c>
      <c r="K2184" s="6" t="n">
        <f aca="false">ROUND(INDEX(Archetypes!$H$2:$H$127, MATCH(D2184, Archetypes!$A$2:$A$127, 0))*INDEX(Unit_Paths!$E$2:$E$4, MATCH(E2184, Unit_Paths!$A$2:$A$4, 0)),1)</f>
        <v>58</v>
      </c>
      <c r="L2184" s="6" t="n">
        <f aca="false">ROUND(INDEX(Archetypes!$I$2:$I$127, MATCH(D2184, Archetypes!$A$2:$A$127, 0))*INDEX(Unit_Grades!$C$2:$C$7, MATCH(F2184, Unit_Grades!$A$2:$A$7, 0)),1)</f>
        <v>1008</v>
      </c>
      <c r="M2184" s="6" t="n">
        <f aca="false">ROUND(INDEX(Archetypes!$J$2:$J$127, MATCH(D2184, Archetypes!$A$2:$A$127, 0))*INDEX(Unit_Grades!$D$2:$D$7, MATCH(F2184, Unit_Grades!$A$2:$A$7, 0)),1)</f>
        <v>1022.7</v>
      </c>
      <c r="N2184" s="6" t="n">
        <f aca="false">ROUND(M2184/24,2)</f>
        <v>42.61</v>
      </c>
    </row>
    <row r="2185" customFormat="false" ht="15" hidden="false" customHeight="true" outlineLevel="0" collapsed="false">
      <c r="A2185" s="6" t="n">
        <v>7</v>
      </c>
      <c r="B2185" s="6" t="s">
        <v>3631</v>
      </c>
      <c r="C2185" s="6" t="s">
        <v>1524</v>
      </c>
      <c r="D2185" s="6" t="str">
        <f aca="false">A2185&amp;"|"&amp;C2185</f>
        <v>7|Tribulation Vanguard</v>
      </c>
      <c r="E2185" s="6" t="s">
        <v>1556</v>
      </c>
      <c r="F2185" s="6" t="s">
        <v>1548</v>
      </c>
      <c r="G2185" s="6" t="str">
        <f aca="false">INDEX(Archetypes!$D$2:$D$127, MATCH(D2185, Archetypes!$A$2:$A$127, 0))</f>
        <v>Elite Shock</v>
      </c>
      <c r="H2185" s="6" t="n">
        <f aca="false">ROUND(INDEX(Archetypes!$E$2:$E$127, MATCH(D2185, Archetypes!$A$2:$A$127, 0))*INDEX(Unit_Grades!$B$2:$B$7, MATCH(F2185, Unit_Grades!$A$2:$A$7, 0))*INDEX(Unit_Paths!$B$2:$B$4, MATCH(E2185, Unit_Paths!$A$2:$A$4, 0)),1)</f>
        <v>11760</v>
      </c>
      <c r="I2185" s="6" t="n">
        <f aca="false">ROUND(INDEX(Archetypes!$F$2:$F$127, MATCH(D2185, Archetypes!$A$2:$A$127, 0))*INDEX(Unit_Grades!$B$2:$B$7, MATCH(F2185, Unit_Grades!$A$2:$A$7, 0))*INDEX(Unit_Paths!$C$2:$C$4, MATCH(E2185, Unit_Paths!$A$2:$A$4, 0)),1)</f>
        <v>7980</v>
      </c>
      <c r="J2185" s="6" t="n">
        <f aca="false">ROUND(INDEX(Archetypes!$G$2:$G$127, MATCH(D2185, Archetypes!$A$2:$A$127, 0))*INDEX(Unit_Grades!$B$2:$B$7, MATCH(F2185, Unit_Grades!$A$2:$A$7, 0))*INDEX(Unit_Paths!$D$2:$D$4, MATCH(E2185, Unit_Paths!$A$2:$A$4, 0)),0)</f>
        <v>50400</v>
      </c>
      <c r="K2185" s="6" t="n">
        <f aca="false">ROUND(INDEX(Archetypes!$H$2:$H$127, MATCH(D2185, Archetypes!$A$2:$A$127, 0))*INDEX(Unit_Paths!$E$2:$E$4, MATCH(E2185, Unit_Paths!$A$2:$A$4, 0)),1)</f>
        <v>58</v>
      </c>
      <c r="L2185" s="6" t="n">
        <f aca="false">ROUND(INDEX(Archetypes!$I$2:$I$127, MATCH(D2185, Archetypes!$A$2:$A$127, 0))*INDEX(Unit_Grades!$C$2:$C$7, MATCH(F2185, Unit_Grades!$A$2:$A$7, 0)),1)</f>
        <v>1332</v>
      </c>
      <c r="M2185" s="6" t="n">
        <f aca="false">ROUND(INDEX(Archetypes!$J$2:$J$127, MATCH(D2185, Archetypes!$A$2:$A$127, 0))*INDEX(Unit_Grades!$D$2:$D$7, MATCH(F2185, Unit_Grades!$A$2:$A$7, 0)),1)</f>
        <v>1753.2</v>
      </c>
      <c r="N2185" s="6" t="n">
        <f aca="false">ROUND(M2185/24,2)</f>
        <v>73.05</v>
      </c>
    </row>
    <row r="2186" customFormat="false" ht="15" hidden="false" customHeight="true" outlineLevel="0" collapsed="false">
      <c r="A2186" s="6" t="n">
        <v>7</v>
      </c>
      <c r="B2186" s="6" t="s">
        <v>3632</v>
      </c>
      <c r="C2186" s="6" t="s">
        <v>1524</v>
      </c>
      <c r="D2186" s="6" t="str">
        <f aca="false">A2186&amp;"|"&amp;C2186</f>
        <v>7|Tribulation Vanguard</v>
      </c>
      <c r="E2186" s="6" t="s">
        <v>1558</v>
      </c>
      <c r="F2186" s="6" t="s">
        <v>1538</v>
      </c>
      <c r="G2186" s="6" t="str">
        <f aca="false">INDEX(Archetypes!$D$2:$D$127, MATCH(D2186, Archetypes!$A$2:$A$127, 0))</f>
        <v>Elite Shock</v>
      </c>
      <c r="H2186" s="6" t="n">
        <f aca="false">ROUND(INDEX(Archetypes!$E$2:$E$127, MATCH(D2186, Archetypes!$A$2:$A$127, 0))*INDEX(Unit_Grades!$B$2:$B$7, MATCH(F2186, Unit_Grades!$A$2:$A$7, 0))*INDEX(Unit_Paths!$B$2:$B$4, MATCH(E2186, Unit_Paths!$A$2:$A$4, 0)),1)</f>
        <v>3360</v>
      </c>
      <c r="I2186" s="6" t="n">
        <f aca="false">ROUND(INDEX(Archetypes!$F$2:$F$127, MATCH(D2186, Archetypes!$A$2:$A$127, 0))*INDEX(Unit_Grades!$B$2:$B$7, MATCH(F2186, Unit_Grades!$A$2:$A$7, 0))*INDEX(Unit_Paths!$C$2:$C$4, MATCH(E2186, Unit_Paths!$A$2:$A$4, 0)),1)</f>
        <v>1615</v>
      </c>
      <c r="J2186" s="6" t="n">
        <f aca="false">ROUND(INDEX(Archetypes!$G$2:$G$127, MATCH(D2186, Archetypes!$A$2:$A$127, 0))*INDEX(Unit_Grades!$B$2:$B$7, MATCH(F2186, Unit_Grades!$A$2:$A$7, 0))*INDEX(Unit_Paths!$D$2:$D$4, MATCH(E2186, Unit_Paths!$A$2:$A$4, 0)),0)</f>
        <v>11400</v>
      </c>
      <c r="K2186" s="6" t="n">
        <f aca="false">ROUND(INDEX(Archetypes!$H$2:$H$127, MATCH(D2186, Archetypes!$A$2:$A$127, 0))*INDEX(Unit_Paths!$E$2:$E$4, MATCH(E2186, Unit_Paths!$A$2:$A$4, 0)),1)</f>
        <v>60.9</v>
      </c>
      <c r="L2186" s="6" t="n">
        <f aca="false">ROUND(INDEX(Archetypes!$I$2:$I$127, MATCH(D2186, Archetypes!$A$2:$A$127, 0))*INDEX(Unit_Grades!$C$2:$C$7, MATCH(F2186, Unit_Grades!$A$2:$A$7, 0)),1)</f>
        <v>360</v>
      </c>
      <c r="M2186" s="6" t="n">
        <f aca="false">ROUND(INDEX(Archetypes!$J$2:$J$127, MATCH(D2186, Archetypes!$A$2:$A$127, 0))*INDEX(Unit_Grades!$D$2:$D$7, MATCH(F2186, Unit_Grades!$A$2:$A$7, 0)),1)</f>
        <v>146.1</v>
      </c>
      <c r="N2186" s="6" t="n">
        <f aca="false">ROUND(M2186/24,2)</f>
        <v>6.09</v>
      </c>
    </row>
    <row r="2187" customFormat="false" ht="15" hidden="false" customHeight="true" outlineLevel="0" collapsed="false">
      <c r="A2187" s="6" t="n">
        <v>7</v>
      </c>
      <c r="B2187" s="6" t="s">
        <v>3633</v>
      </c>
      <c r="C2187" s="6" t="s">
        <v>1524</v>
      </c>
      <c r="D2187" s="6" t="str">
        <f aca="false">A2187&amp;"|"&amp;C2187</f>
        <v>7|Tribulation Vanguard</v>
      </c>
      <c r="E2187" s="6" t="s">
        <v>1558</v>
      </c>
      <c r="F2187" s="6" t="s">
        <v>1540</v>
      </c>
      <c r="G2187" s="6" t="str">
        <f aca="false">INDEX(Archetypes!$D$2:$D$127, MATCH(D2187, Archetypes!$A$2:$A$127, 0))</f>
        <v>Elite Shock</v>
      </c>
      <c r="H2187" s="6" t="n">
        <f aca="false">ROUND(INDEX(Archetypes!$E$2:$E$127, MATCH(D2187, Archetypes!$A$2:$A$127, 0))*INDEX(Unit_Grades!$B$2:$B$7, MATCH(F2187, Unit_Grades!$A$2:$A$7, 0))*INDEX(Unit_Paths!$B$2:$B$4, MATCH(E2187, Unit_Paths!$A$2:$A$4, 0)),1)</f>
        <v>4536</v>
      </c>
      <c r="I2187" s="6" t="n">
        <f aca="false">ROUND(INDEX(Archetypes!$F$2:$F$127, MATCH(D2187, Archetypes!$A$2:$A$127, 0))*INDEX(Unit_Grades!$B$2:$B$7, MATCH(F2187, Unit_Grades!$A$2:$A$7, 0))*INDEX(Unit_Paths!$C$2:$C$4, MATCH(E2187, Unit_Paths!$A$2:$A$4, 0)),1)</f>
        <v>2180.3</v>
      </c>
      <c r="J2187" s="6" t="n">
        <f aca="false">ROUND(INDEX(Archetypes!$G$2:$G$127, MATCH(D2187, Archetypes!$A$2:$A$127, 0))*INDEX(Unit_Grades!$B$2:$B$7, MATCH(F2187, Unit_Grades!$A$2:$A$7, 0))*INDEX(Unit_Paths!$D$2:$D$4, MATCH(E2187, Unit_Paths!$A$2:$A$4, 0)),0)</f>
        <v>15390</v>
      </c>
      <c r="K2187" s="6" t="n">
        <f aca="false">ROUND(INDEX(Archetypes!$H$2:$H$127, MATCH(D2187, Archetypes!$A$2:$A$127, 0))*INDEX(Unit_Paths!$E$2:$E$4, MATCH(E2187, Unit_Paths!$A$2:$A$4, 0)),1)</f>
        <v>60.9</v>
      </c>
      <c r="L2187" s="6" t="n">
        <f aca="false">ROUND(INDEX(Archetypes!$I$2:$I$127, MATCH(D2187, Archetypes!$A$2:$A$127, 0))*INDEX(Unit_Grades!$C$2:$C$7, MATCH(F2187, Unit_Grades!$A$2:$A$7, 0)),1)</f>
        <v>450</v>
      </c>
      <c r="M2187" s="6" t="n">
        <f aca="false">ROUND(INDEX(Archetypes!$J$2:$J$127, MATCH(D2187, Archetypes!$A$2:$A$127, 0))*INDEX(Unit_Grades!$D$2:$D$7, MATCH(F2187, Unit_Grades!$A$2:$A$7, 0)),1)</f>
        <v>219.2</v>
      </c>
      <c r="N2187" s="6" t="n">
        <f aca="false">ROUND(M2187/24,2)</f>
        <v>9.13</v>
      </c>
    </row>
    <row r="2188" customFormat="false" ht="15" hidden="false" customHeight="true" outlineLevel="0" collapsed="false">
      <c r="A2188" s="6" t="n">
        <v>7</v>
      </c>
      <c r="B2188" s="6" t="s">
        <v>3634</v>
      </c>
      <c r="C2188" s="6" t="s">
        <v>1524</v>
      </c>
      <c r="D2188" s="6" t="str">
        <f aca="false">A2188&amp;"|"&amp;C2188</f>
        <v>7|Tribulation Vanguard</v>
      </c>
      <c r="E2188" s="6" t="s">
        <v>1558</v>
      </c>
      <c r="F2188" s="6" t="s">
        <v>1542</v>
      </c>
      <c r="G2188" s="6" t="str">
        <f aca="false">INDEX(Archetypes!$D$2:$D$127, MATCH(D2188, Archetypes!$A$2:$A$127, 0))</f>
        <v>Elite Shock</v>
      </c>
      <c r="H2188" s="6" t="n">
        <f aca="false">ROUND(INDEX(Archetypes!$E$2:$E$127, MATCH(D2188, Archetypes!$A$2:$A$127, 0))*INDEX(Unit_Grades!$B$2:$B$7, MATCH(F2188, Unit_Grades!$A$2:$A$7, 0))*INDEX(Unit_Paths!$B$2:$B$4, MATCH(E2188, Unit_Paths!$A$2:$A$4, 0)),1)</f>
        <v>6048</v>
      </c>
      <c r="I2188" s="6" t="n">
        <f aca="false">ROUND(INDEX(Archetypes!$F$2:$F$127, MATCH(D2188, Archetypes!$A$2:$A$127, 0))*INDEX(Unit_Grades!$B$2:$B$7, MATCH(F2188, Unit_Grades!$A$2:$A$7, 0))*INDEX(Unit_Paths!$C$2:$C$4, MATCH(E2188, Unit_Paths!$A$2:$A$4, 0)),1)</f>
        <v>2907</v>
      </c>
      <c r="J2188" s="6" t="n">
        <f aca="false">ROUND(INDEX(Archetypes!$G$2:$G$127, MATCH(D2188, Archetypes!$A$2:$A$127, 0))*INDEX(Unit_Grades!$B$2:$B$7, MATCH(F2188, Unit_Grades!$A$2:$A$7, 0))*INDEX(Unit_Paths!$D$2:$D$4, MATCH(E2188, Unit_Paths!$A$2:$A$4, 0)),0)</f>
        <v>20520</v>
      </c>
      <c r="K2188" s="6" t="n">
        <f aca="false">ROUND(INDEX(Archetypes!$H$2:$H$127, MATCH(D2188, Archetypes!$A$2:$A$127, 0))*INDEX(Unit_Paths!$E$2:$E$4, MATCH(E2188, Unit_Paths!$A$2:$A$4, 0)),1)</f>
        <v>60.9</v>
      </c>
      <c r="L2188" s="6" t="n">
        <f aca="false">ROUND(INDEX(Archetypes!$I$2:$I$127, MATCH(D2188, Archetypes!$A$2:$A$127, 0))*INDEX(Unit_Grades!$C$2:$C$7, MATCH(F2188, Unit_Grades!$A$2:$A$7, 0)),1)</f>
        <v>576</v>
      </c>
      <c r="M2188" s="6" t="n">
        <f aca="false">ROUND(INDEX(Archetypes!$J$2:$J$127, MATCH(D2188, Archetypes!$A$2:$A$127, 0))*INDEX(Unit_Grades!$D$2:$D$7, MATCH(F2188, Unit_Grades!$A$2:$A$7, 0)),1)</f>
        <v>365.3</v>
      </c>
      <c r="N2188" s="6" t="n">
        <f aca="false">ROUND(M2188/24,2)</f>
        <v>15.22</v>
      </c>
    </row>
    <row r="2189" customFormat="false" ht="15" hidden="false" customHeight="true" outlineLevel="0" collapsed="false">
      <c r="A2189" s="6" t="n">
        <v>7</v>
      </c>
      <c r="B2189" s="6" t="s">
        <v>3635</v>
      </c>
      <c r="C2189" s="6" t="s">
        <v>1524</v>
      </c>
      <c r="D2189" s="6" t="str">
        <f aca="false">A2189&amp;"|"&amp;C2189</f>
        <v>7|Tribulation Vanguard</v>
      </c>
      <c r="E2189" s="6" t="s">
        <v>1558</v>
      </c>
      <c r="F2189" s="6" t="s">
        <v>1544</v>
      </c>
      <c r="G2189" s="6" t="str">
        <f aca="false">INDEX(Archetypes!$D$2:$D$127, MATCH(D2189, Archetypes!$A$2:$A$127, 0))</f>
        <v>Elite Shock</v>
      </c>
      <c r="H2189" s="6" t="n">
        <f aca="false">ROUND(INDEX(Archetypes!$E$2:$E$127, MATCH(D2189, Archetypes!$A$2:$A$127, 0))*INDEX(Unit_Grades!$B$2:$B$7, MATCH(F2189, Unit_Grades!$A$2:$A$7, 0))*INDEX(Unit_Paths!$B$2:$B$4, MATCH(E2189, Unit_Paths!$A$2:$A$4, 0)),1)</f>
        <v>8064</v>
      </c>
      <c r="I2189" s="6" t="n">
        <f aca="false">ROUND(INDEX(Archetypes!$F$2:$F$127, MATCH(D2189, Archetypes!$A$2:$A$127, 0))*INDEX(Unit_Grades!$B$2:$B$7, MATCH(F2189, Unit_Grades!$A$2:$A$7, 0))*INDEX(Unit_Paths!$C$2:$C$4, MATCH(E2189, Unit_Paths!$A$2:$A$4, 0)),1)</f>
        <v>3876</v>
      </c>
      <c r="J2189" s="6" t="n">
        <f aca="false">ROUND(INDEX(Archetypes!$G$2:$G$127, MATCH(D2189, Archetypes!$A$2:$A$127, 0))*INDEX(Unit_Grades!$B$2:$B$7, MATCH(F2189, Unit_Grades!$A$2:$A$7, 0))*INDEX(Unit_Paths!$D$2:$D$4, MATCH(E2189, Unit_Paths!$A$2:$A$4, 0)),0)</f>
        <v>27360</v>
      </c>
      <c r="K2189" s="6" t="n">
        <f aca="false">ROUND(INDEX(Archetypes!$H$2:$H$127, MATCH(D2189, Archetypes!$A$2:$A$127, 0))*INDEX(Unit_Paths!$E$2:$E$4, MATCH(E2189, Unit_Paths!$A$2:$A$4, 0)),1)</f>
        <v>60.9</v>
      </c>
      <c r="L2189" s="6" t="n">
        <f aca="false">ROUND(INDEX(Archetypes!$I$2:$I$127, MATCH(D2189, Archetypes!$A$2:$A$127, 0))*INDEX(Unit_Grades!$C$2:$C$7, MATCH(F2189, Unit_Grades!$A$2:$A$7, 0)),1)</f>
        <v>756</v>
      </c>
      <c r="M2189" s="6" t="n">
        <f aca="false">ROUND(INDEX(Archetypes!$J$2:$J$127, MATCH(D2189, Archetypes!$A$2:$A$127, 0))*INDEX(Unit_Grades!$D$2:$D$7, MATCH(F2189, Unit_Grades!$A$2:$A$7, 0)),1)</f>
        <v>584.4</v>
      </c>
      <c r="N2189" s="6" t="n">
        <f aca="false">ROUND(M2189/24,2)</f>
        <v>24.35</v>
      </c>
    </row>
    <row r="2190" customFormat="false" ht="15" hidden="false" customHeight="true" outlineLevel="0" collapsed="false">
      <c r="A2190" s="6" t="n">
        <v>7</v>
      </c>
      <c r="B2190" s="6" t="s">
        <v>3636</v>
      </c>
      <c r="C2190" s="6" t="s">
        <v>1524</v>
      </c>
      <c r="D2190" s="6" t="str">
        <f aca="false">A2190&amp;"|"&amp;C2190</f>
        <v>7|Tribulation Vanguard</v>
      </c>
      <c r="E2190" s="6" t="s">
        <v>1558</v>
      </c>
      <c r="F2190" s="6" t="s">
        <v>1546</v>
      </c>
      <c r="G2190" s="6" t="str">
        <f aca="false">INDEX(Archetypes!$D$2:$D$127, MATCH(D2190, Archetypes!$A$2:$A$127, 0))</f>
        <v>Elite Shock</v>
      </c>
      <c r="H2190" s="6" t="n">
        <f aca="false">ROUND(INDEX(Archetypes!$E$2:$E$127, MATCH(D2190, Archetypes!$A$2:$A$127, 0))*INDEX(Unit_Grades!$B$2:$B$7, MATCH(F2190, Unit_Grades!$A$2:$A$7, 0))*INDEX(Unit_Paths!$B$2:$B$4, MATCH(E2190, Unit_Paths!$A$2:$A$4, 0)),1)</f>
        <v>10752</v>
      </c>
      <c r="I2190" s="6" t="n">
        <f aca="false">ROUND(INDEX(Archetypes!$F$2:$F$127, MATCH(D2190, Archetypes!$A$2:$A$127, 0))*INDEX(Unit_Grades!$B$2:$B$7, MATCH(F2190, Unit_Grades!$A$2:$A$7, 0))*INDEX(Unit_Paths!$C$2:$C$4, MATCH(E2190, Unit_Paths!$A$2:$A$4, 0)),1)</f>
        <v>5168</v>
      </c>
      <c r="J2190" s="6" t="n">
        <f aca="false">ROUND(INDEX(Archetypes!$G$2:$G$127, MATCH(D2190, Archetypes!$A$2:$A$127, 0))*INDEX(Unit_Grades!$B$2:$B$7, MATCH(F2190, Unit_Grades!$A$2:$A$7, 0))*INDEX(Unit_Paths!$D$2:$D$4, MATCH(E2190, Unit_Paths!$A$2:$A$4, 0)),0)</f>
        <v>36480</v>
      </c>
      <c r="K2190" s="6" t="n">
        <f aca="false">ROUND(INDEX(Archetypes!$H$2:$H$127, MATCH(D2190, Archetypes!$A$2:$A$127, 0))*INDEX(Unit_Paths!$E$2:$E$4, MATCH(E2190, Unit_Paths!$A$2:$A$4, 0)),1)</f>
        <v>60.9</v>
      </c>
      <c r="L2190" s="6" t="n">
        <f aca="false">ROUND(INDEX(Archetypes!$I$2:$I$127, MATCH(D2190, Archetypes!$A$2:$A$127, 0))*INDEX(Unit_Grades!$C$2:$C$7, MATCH(F2190, Unit_Grades!$A$2:$A$7, 0)),1)</f>
        <v>1008</v>
      </c>
      <c r="M2190" s="6" t="n">
        <f aca="false">ROUND(INDEX(Archetypes!$J$2:$J$127, MATCH(D2190, Archetypes!$A$2:$A$127, 0))*INDEX(Unit_Grades!$D$2:$D$7, MATCH(F2190, Unit_Grades!$A$2:$A$7, 0)),1)</f>
        <v>1022.7</v>
      </c>
      <c r="N2190" s="6" t="n">
        <f aca="false">ROUND(M2190/24,2)</f>
        <v>42.61</v>
      </c>
    </row>
    <row r="2191" customFormat="false" ht="15" hidden="false" customHeight="true" outlineLevel="0" collapsed="false">
      <c r="A2191" s="6" t="n">
        <v>7</v>
      </c>
      <c r="B2191" s="6" t="s">
        <v>3637</v>
      </c>
      <c r="C2191" s="6" t="s">
        <v>1524</v>
      </c>
      <c r="D2191" s="6" t="str">
        <f aca="false">A2191&amp;"|"&amp;C2191</f>
        <v>7|Tribulation Vanguard</v>
      </c>
      <c r="E2191" s="6" t="s">
        <v>1558</v>
      </c>
      <c r="F2191" s="6" t="s">
        <v>1548</v>
      </c>
      <c r="G2191" s="6" t="str">
        <f aca="false">INDEX(Archetypes!$D$2:$D$127, MATCH(D2191, Archetypes!$A$2:$A$127, 0))</f>
        <v>Elite Shock</v>
      </c>
      <c r="H2191" s="6" t="n">
        <f aca="false">ROUND(INDEX(Archetypes!$E$2:$E$127, MATCH(D2191, Archetypes!$A$2:$A$127, 0))*INDEX(Unit_Grades!$B$2:$B$7, MATCH(F2191, Unit_Grades!$A$2:$A$7, 0))*INDEX(Unit_Paths!$B$2:$B$4, MATCH(E2191, Unit_Paths!$A$2:$A$4, 0)),1)</f>
        <v>14112</v>
      </c>
      <c r="I2191" s="6" t="n">
        <f aca="false">ROUND(INDEX(Archetypes!$F$2:$F$127, MATCH(D2191, Archetypes!$A$2:$A$127, 0))*INDEX(Unit_Grades!$B$2:$B$7, MATCH(F2191, Unit_Grades!$A$2:$A$7, 0))*INDEX(Unit_Paths!$C$2:$C$4, MATCH(E2191, Unit_Paths!$A$2:$A$4, 0)),1)</f>
        <v>6783</v>
      </c>
      <c r="J2191" s="6" t="n">
        <f aca="false">ROUND(INDEX(Archetypes!$G$2:$G$127, MATCH(D2191, Archetypes!$A$2:$A$127, 0))*INDEX(Unit_Grades!$B$2:$B$7, MATCH(F2191, Unit_Grades!$A$2:$A$7, 0))*INDEX(Unit_Paths!$D$2:$D$4, MATCH(E2191, Unit_Paths!$A$2:$A$4, 0)),0)</f>
        <v>47880</v>
      </c>
      <c r="K2191" s="6" t="n">
        <f aca="false">ROUND(INDEX(Archetypes!$H$2:$H$127, MATCH(D2191, Archetypes!$A$2:$A$127, 0))*INDEX(Unit_Paths!$E$2:$E$4, MATCH(E2191, Unit_Paths!$A$2:$A$4, 0)),1)</f>
        <v>60.9</v>
      </c>
      <c r="L2191" s="6" t="n">
        <f aca="false">ROUND(INDEX(Archetypes!$I$2:$I$127, MATCH(D2191, Archetypes!$A$2:$A$127, 0))*INDEX(Unit_Grades!$C$2:$C$7, MATCH(F2191, Unit_Grades!$A$2:$A$7, 0)),1)</f>
        <v>1332</v>
      </c>
      <c r="M2191" s="6" t="n">
        <f aca="false">ROUND(INDEX(Archetypes!$J$2:$J$127, MATCH(D2191, Archetypes!$A$2:$A$127, 0))*INDEX(Unit_Grades!$D$2:$D$7, MATCH(F2191, Unit_Grades!$A$2:$A$7, 0)),1)</f>
        <v>1753.2</v>
      </c>
      <c r="N2191" s="6" t="n">
        <f aca="false">ROUND(M2191/24,2)</f>
        <v>73.05</v>
      </c>
    </row>
    <row r="2192" customFormat="false" ht="15" hidden="false" customHeight="true" outlineLevel="0" collapsed="false">
      <c r="A2192" s="6" t="n">
        <v>7</v>
      </c>
      <c r="B2192" s="6" t="s">
        <v>3638</v>
      </c>
      <c r="C2192" s="6" t="s">
        <v>1524</v>
      </c>
      <c r="D2192" s="6" t="str">
        <f aca="false">A2192&amp;"|"&amp;C2192</f>
        <v>7|Tribulation Vanguard</v>
      </c>
      <c r="E2192" s="6" t="s">
        <v>1560</v>
      </c>
      <c r="F2192" s="6" t="s">
        <v>1538</v>
      </c>
      <c r="G2192" s="6" t="str">
        <f aca="false">INDEX(Archetypes!$D$2:$D$127, MATCH(D2192, Archetypes!$A$2:$A$127, 0))</f>
        <v>Elite Shock</v>
      </c>
      <c r="H2192" s="6" t="n">
        <f aca="false">ROUND(INDEX(Archetypes!$E$2:$E$127, MATCH(D2192, Archetypes!$A$2:$A$127, 0))*INDEX(Unit_Grades!$B$2:$B$7, MATCH(F2192, Unit_Grades!$A$2:$A$7, 0))*INDEX(Unit_Paths!$B$2:$B$4, MATCH(E2192, Unit_Paths!$A$2:$A$4, 0)),1)</f>
        <v>2380</v>
      </c>
      <c r="I2192" s="6" t="n">
        <f aca="false">ROUND(INDEX(Archetypes!$F$2:$F$127, MATCH(D2192, Archetypes!$A$2:$A$127, 0))*INDEX(Unit_Grades!$B$2:$B$7, MATCH(F2192, Unit_Grades!$A$2:$A$7, 0))*INDEX(Unit_Paths!$C$2:$C$4, MATCH(E2192, Unit_Paths!$A$2:$A$4, 0)),1)</f>
        <v>2375</v>
      </c>
      <c r="J2192" s="6" t="n">
        <f aca="false">ROUND(INDEX(Archetypes!$G$2:$G$127, MATCH(D2192, Archetypes!$A$2:$A$127, 0))*INDEX(Unit_Grades!$B$2:$B$7, MATCH(F2192, Unit_Grades!$A$2:$A$7, 0))*INDEX(Unit_Paths!$D$2:$D$4, MATCH(E2192, Unit_Paths!$A$2:$A$4, 0)),0)</f>
        <v>13800</v>
      </c>
      <c r="K2192" s="6" t="n">
        <f aca="false">ROUND(INDEX(Archetypes!$H$2:$H$127, MATCH(D2192, Archetypes!$A$2:$A$127, 0))*INDEX(Unit_Paths!$E$2:$E$4, MATCH(E2192, Unit_Paths!$A$2:$A$4, 0)),1)</f>
        <v>53.4</v>
      </c>
      <c r="L2192" s="6" t="n">
        <f aca="false">ROUND(INDEX(Archetypes!$I$2:$I$127, MATCH(D2192, Archetypes!$A$2:$A$127, 0))*INDEX(Unit_Grades!$C$2:$C$7, MATCH(F2192, Unit_Grades!$A$2:$A$7, 0)),1)</f>
        <v>360</v>
      </c>
      <c r="M2192" s="6" t="n">
        <f aca="false">ROUND(INDEX(Archetypes!$J$2:$J$127, MATCH(D2192, Archetypes!$A$2:$A$127, 0))*INDEX(Unit_Grades!$D$2:$D$7, MATCH(F2192, Unit_Grades!$A$2:$A$7, 0)),1)</f>
        <v>146.1</v>
      </c>
      <c r="N2192" s="6" t="n">
        <f aca="false">ROUND(M2192/24,2)</f>
        <v>6.09</v>
      </c>
    </row>
    <row r="2193" customFormat="false" ht="15" hidden="false" customHeight="true" outlineLevel="0" collapsed="false">
      <c r="A2193" s="6" t="n">
        <v>7</v>
      </c>
      <c r="B2193" s="6" t="s">
        <v>3639</v>
      </c>
      <c r="C2193" s="6" t="s">
        <v>1524</v>
      </c>
      <c r="D2193" s="6" t="str">
        <f aca="false">A2193&amp;"|"&amp;C2193</f>
        <v>7|Tribulation Vanguard</v>
      </c>
      <c r="E2193" s="6" t="s">
        <v>1560</v>
      </c>
      <c r="F2193" s="6" t="s">
        <v>1540</v>
      </c>
      <c r="G2193" s="6" t="str">
        <f aca="false">INDEX(Archetypes!$D$2:$D$127, MATCH(D2193, Archetypes!$A$2:$A$127, 0))</f>
        <v>Elite Shock</v>
      </c>
      <c r="H2193" s="6" t="n">
        <f aca="false">ROUND(INDEX(Archetypes!$E$2:$E$127, MATCH(D2193, Archetypes!$A$2:$A$127, 0))*INDEX(Unit_Grades!$B$2:$B$7, MATCH(F2193, Unit_Grades!$A$2:$A$7, 0))*INDEX(Unit_Paths!$B$2:$B$4, MATCH(E2193, Unit_Paths!$A$2:$A$4, 0)),1)</f>
        <v>3213</v>
      </c>
      <c r="I2193" s="6" t="n">
        <f aca="false">ROUND(INDEX(Archetypes!$F$2:$F$127, MATCH(D2193, Archetypes!$A$2:$A$127, 0))*INDEX(Unit_Grades!$B$2:$B$7, MATCH(F2193, Unit_Grades!$A$2:$A$7, 0))*INDEX(Unit_Paths!$C$2:$C$4, MATCH(E2193, Unit_Paths!$A$2:$A$4, 0)),1)</f>
        <v>3206.3</v>
      </c>
      <c r="J2193" s="6" t="n">
        <f aca="false">ROUND(INDEX(Archetypes!$G$2:$G$127, MATCH(D2193, Archetypes!$A$2:$A$127, 0))*INDEX(Unit_Grades!$B$2:$B$7, MATCH(F2193, Unit_Grades!$A$2:$A$7, 0))*INDEX(Unit_Paths!$D$2:$D$4, MATCH(E2193, Unit_Paths!$A$2:$A$4, 0)),0)</f>
        <v>18630</v>
      </c>
      <c r="K2193" s="6" t="n">
        <f aca="false">ROUND(INDEX(Archetypes!$H$2:$H$127, MATCH(D2193, Archetypes!$A$2:$A$127, 0))*INDEX(Unit_Paths!$E$2:$E$4, MATCH(E2193, Unit_Paths!$A$2:$A$4, 0)),1)</f>
        <v>53.4</v>
      </c>
      <c r="L2193" s="6" t="n">
        <f aca="false">ROUND(INDEX(Archetypes!$I$2:$I$127, MATCH(D2193, Archetypes!$A$2:$A$127, 0))*INDEX(Unit_Grades!$C$2:$C$7, MATCH(F2193, Unit_Grades!$A$2:$A$7, 0)),1)</f>
        <v>450</v>
      </c>
      <c r="M2193" s="6" t="n">
        <f aca="false">ROUND(INDEX(Archetypes!$J$2:$J$127, MATCH(D2193, Archetypes!$A$2:$A$127, 0))*INDEX(Unit_Grades!$D$2:$D$7, MATCH(F2193, Unit_Grades!$A$2:$A$7, 0)),1)</f>
        <v>219.2</v>
      </c>
      <c r="N2193" s="6" t="n">
        <f aca="false">ROUND(M2193/24,2)</f>
        <v>9.13</v>
      </c>
    </row>
    <row r="2194" customFormat="false" ht="15" hidden="false" customHeight="true" outlineLevel="0" collapsed="false">
      <c r="A2194" s="6" t="n">
        <v>7</v>
      </c>
      <c r="B2194" s="6" t="s">
        <v>3640</v>
      </c>
      <c r="C2194" s="6" t="s">
        <v>1524</v>
      </c>
      <c r="D2194" s="6" t="str">
        <f aca="false">A2194&amp;"|"&amp;C2194</f>
        <v>7|Tribulation Vanguard</v>
      </c>
      <c r="E2194" s="6" t="s">
        <v>1560</v>
      </c>
      <c r="F2194" s="6" t="s">
        <v>1542</v>
      </c>
      <c r="G2194" s="6" t="str">
        <f aca="false">INDEX(Archetypes!$D$2:$D$127, MATCH(D2194, Archetypes!$A$2:$A$127, 0))</f>
        <v>Elite Shock</v>
      </c>
      <c r="H2194" s="6" t="n">
        <f aca="false">ROUND(INDEX(Archetypes!$E$2:$E$127, MATCH(D2194, Archetypes!$A$2:$A$127, 0))*INDEX(Unit_Grades!$B$2:$B$7, MATCH(F2194, Unit_Grades!$A$2:$A$7, 0))*INDEX(Unit_Paths!$B$2:$B$4, MATCH(E2194, Unit_Paths!$A$2:$A$4, 0)),1)</f>
        <v>4284</v>
      </c>
      <c r="I2194" s="6" t="n">
        <f aca="false">ROUND(INDEX(Archetypes!$F$2:$F$127, MATCH(D2194, Archetypes!$A$2:$A$127, 0))*INDEX(Unit_Grades!$B$2:$B$7, MATCH(F2194, Unit_Grades!$A$2:$A$7, 0))*INDEX(Unit_Paths!$C$2:$C$4, MATCH(E2194, Unit_Paths!$A$2:$A$4, 0)),1)</f>
        <v>4275</v>
      </c>
      <c r="J2194" s="6" t="n">
        <f aca="false">ROUND(INDEX(Archetypes!$G$2:$G$127, MATCH(D2194, Archetypes!$A$2:$A$127, 0))*INDEX(Unit_Grades!$B$2:$B$7, MATCH(F2194, Unit_Grades!$A$2:$A$7, 0))*INDEX(Unit_Paths!$D$2:$D$4, MATCH(E2194, Unit_Paths!$A$2:$A$4, 0)),0)</f>
        <v>24840</v>
      </c>
      <c r="K2194" s="6" t="n">
        <f aca="false">ROUND(INDEX(Archetypes!$H$2:$H$127, MATCH(D2194, Archetypes!$A$2:$A$127, 0))*INDEX(Unit_Paths!$E$2:$E$4, MATCH(E2194, Unit_Paths!$A$2:$A$4, 0)),1)</f>
        <v>53.4</v>
      </c>
      <c r="L2194" s="6" t="n">
        <f aca="false">ROUND(INDEX(Archetypes!$I$2:$I$127, MATCH(D2194, Archetypes!$A$2:$A$127, 0))*INDEX(Unit_Grades!$C$2:$C$7, MATCH(F2194, Unit_Grades!$A$2:$A$7, 0)),1)</f>
        <v>576</v>
      </c>
      <c r="M2194" s="6" t="n">
        <f aca="false">ROUND(INDEX(Archetypes!$J$2:$J$127, MATCH(D2194, Archetypes!$A$2:$A$127, 0))*INDEX(Unit_Grades!$D$2:$D$7, MATCH(F2194, Unit_Grades!$A$2:$A$7, 0)),1)</f>
        <v>365.3</v>
      </c>
      <c r="N2194" s="6" t="n">
        <f aca="false">ROUND(M2194/24,2)</f>
        <v>15.22</v>
      </c>
    </row>
    <row r="2195" customFormat="false" ht="15" hidden="false" customHeight="true" outlineLevel="0" collapsed="false">
      <c r="A2195" s="6" t="n">
        <v>7</v>
      </c>
      <c r="B2195" s="6" t="s">
        <v>3641</v>
      </c>
      <c r="C2195" s="6" t="s">
        <v>1524</v>
      </c>
      <c r="D2195" s="6" t="str">
        <f aca="false">A2195&amp;"|"&amp;C2195</f>
        <v>7|Tribulation Vanguard</v>
      </c>
      <c r="E2195" s="6" t="s">
        <v>1560</v>
      </c>
      <c r="F2195" s="6" t="s">
        <v>1544</v>
      </c>
      <c r="G2195" s="6" t="str">
        <f aca="false">INDEX(Archetypes!$D$2:$D$127, MATCH(D2195, Archetypes!$A$2:$A$127, 0))</f>
        <v>Elite Shock</v>
      </c>
      <c r="H2195" s="6" t="n">
        <f aca="false">ROUND(INDEX(Archetypes!$E$2:$E$127, MATCH(D2195, Archetypes!$A$2:$A$127, 0))*INDEX(Unit_Grades!$B$2:$B$7, MATCH(F2195, Unit_Grades!$A$2:$A$7, 0))*INDEX(Unit_Paths!$B$2:$B$4, MATCH(E2195, Unit_Paths!$A$2:$A$4, 0)),1)</f>
        <v>5712</v>
      </c>
      <c r="I2195" s="6" t="n">
        <f aca="false">ROUND(INDEX(Archetypes!$F$2:$F$127, MATCH(D2195, Archetypes!$A$2:$A$127, 0))*INDEX(Unit_Grades!$B$2:$B$7, MATCH(F2195, Unit_Grades!$A$2:$A$7, 0))*INDEX(Unit_Paths!$C$2:$C$4, MATCH(E2195, Unit_Paths!$A$2:$A$4, 0)),1)</f>
        <v>5700</v>
      </c>
      <c r="J2195" s="6" t="n">
        <f aca="false">ROUND(INDEX(Archetypes!$G$2:$G$127, MATCH(D2195, Archetypes!$A$2:$A$127, 0))*INDEX(Unit_Grades!$B$2:$B$7, MATCH(F2195, Unit_Grades!$A$2:$A$7, 0))*INDEX(Unit_Paths!$D$2:$D$4, MATCH(E2195, Unit_Paths!$A$2:$A$4, 0)),0)</f>
        <v>33120</v>
      </c>
      <c r="K2195" s="6" t="n">
        <f aca="false">ROUND(INDEX(Archetypes!$H$2:$H$127, MATCH(D2195, Archetypes!$A$2:$A$127, 0))*INDEX(Unit_Paths!$E$2:$E$4, MATCH(E2195, Unit_Paths!$A$2:$A$4, 0)),1)</f>
        <v>53.4</v>
      </c>
      <c r="L2195" s="6" t="n">
        <f aca="false">ROUND(INDEX(Archetypes!$I$2:$I$127, MATCH(D2195, Archetypes!$A$2:$A$127, 0))*INDEX(Unit_Grades!$C$2:$C$7, MATCH(F2195, Unit_Grades!$A$2:$A$7, 0)),1)</f>
        <v>756</v>
      </c>
      <c r="M2195" s="6" t="n">
        <f aca="false">ROUND(INDEX(Archetypes!$J$2:$J$127, MATCH(D2195, Archetypes!$A$2:$A$127, 0))*INDEX(Unit_Grades!$D$2:$D$7, MATCH(F2195, Unit_Grades!$A$2:$A$7, 0)),1)</f>
        <v>584.4</v>
      </c>
      <c r="N2195" s="6" t="n">
        <f aca="false">ROUND(M2195/24,2)</f>
        <v>24.35</v>
      </c>
    </row>
    <row r="2196" customFormat="false" ht="15" hidden="false" customHeight="true" outlineLevel="0" collapsed="false">
      <c r="A2196" s="6" t="n">
        <v>7</v>
      </c>
      <c r="B2196" s="6" t="s">
        <v>3642</v>
      </c>
      <c r="C2196" s="6" t="s">
        <v>1524</v>
      </c>
      <c r="D2196" s="6" t="str">
        <f aca="false">A2196&amp;"|"&amp;C2196</f>
        <v>7|Tribulation Vanguard</v>
      </c>
      <c r="E2196" s="6" t="s">
        <v>1560</v>
      </c>
      <c r="F2196" s="6" t="s">
        <v>1546</v>
      </c>
      <c r="G2196" s="6" t="str">
        <f aca="false">INDEX(Archetypes!$D$2:$D$127, MATCH(D2196, Archetypes!$A$2:$A$127, 0))</f>
        <v>Elite Shock</v>
      </c>
      <c r="H2196" s="6" t="n">
        <f aca="false">ROUND(INDEX(Archetypes!$E$2:$E$127, MATCH(D2196, Archetypes!$A$2:$A$127, 0))*INDEX(Unit_Grades!$B$2:$B$7, MATCH(F2196, Unit_Grades!$A$2:$A$7, 0))*INDEX(Unit_Paths!$B$2:$B$4, MATCH(E2196, Unit_Paths!$A$2:$A$4, 0)),1)</f>
        <v>7616</v>
      </c>
      <c r="I2196" s="6" t="n">
        <f aca="false">ROUND(INDEX(Archetypes!$F$2:$F$127, MATCH(D2196, Archetypes!$A$2:$A$127, 0))*INDEX(Unit_Grades!$B$2:$B$7, MATCH(F2196, Unit_Grades!$A$2:$A$7, 0))*INDEX(Unit_Paths!$C$2:$C$4, MATCH(E2196, Unit_Paths!$A$2:$A$4, 0)),1)</f>
        <v>7600</v>
      </c>
      <c r="J2196" s="6" t="n">
        <f aca="false">ROUND(INDEX(Archetypes!$G$2:$G$127, MATCH(D2196, Archetypes!$A$2:$A$127, 0))*INDEX(Unit_Grades!$B$2:$B$7, MATCH(F2196, Unit_Grades!$A$2:$A$7, 0))*INDEX(Unit_Paths!$D$2:$D$4, MATCH(E2196, Unit_Paths!$A$2:$A$4, 0)),0)</f>
        <v>44160</v>
      </c>
      <c r="K2196" s="6" t="n">
        <f aca="false">ROUND(INDEX(Archetypes!$H$2:$H$127, MATCH(D2196, Archetypes!$A$2:$A$127, 0))*INDEX(Unit_Paths!$E$2:$E$4, MATCH(E2196, Unit_Paths!$A$2:$A$4, 0)),1)</f>
        <v>53.4</v>
      </c>
      <c r="L2196" s="6" t="n">
        <f aca="false">ROUND(INDEX(Archetypes!$I$2:$I$127, MATCH(D2196, Archetypes!$A$2:$A$127, 0))*INDEX(Unit_Grades!$C$2:$C$7, MATCH(F2196, Unit_Grades!$A$2:$A$7, 0)),1)</f>
        <v>1008</v>
      </c>
      <c r="M2196" s="6" t="n">
        <f aca="false">ROUND(INDEX(Archetypes!$J$2:$J$127, MATCH(D2196, Archetypes!$A$2:$A$127, 0))*INDEX(Unit_Grades!$D$2:$D$7, MATCH(F2196, Unit_Grades!$A$2:$A$7, 0)),1)</f>
        <v>1022.7</v>
      </c>
      <c r="N2196" s="6" t="n">
        <f aca="false">ROUND(M2196/24,2)</f>
        <v>42.61</v>
      </c>
    </row>
    <row r="2197" customFormat="false" ht="15" hidden="false" customHeight="true" outlineLevel="0" collapsed="false">
      <c r="A2197" s="6" t="n">
        <v>7</v>
      </c>
      <c r="B2197" s="6" t="s">
        <v>3643</v>
      </c>
      <c r="C2197" s="6" t="s">
        <v>1524</v>
      </c>
      <c r="D2197" s="6" t="str">
        <f aca="false">A2197&amp;"|"&amp;C2197</f>
        <v>7|Tribulation Vanguard</v>
      </c>
      <c r="E2197" s="6" t="s">
        <v>1560</v>
      </c>
      <c r="F2197" s="6" t="s">
        <v>1548</v>
      </c>
      <c r="G2197" s="6" t="str">
        <f aca="false">INDEX(Archetypes!$D$2:$D$127, MATCH(D2197, Archetypes!$A$2:$A$127, 0))</f>
        <v>Elite Shock</v>
      </c>
      <c r="H2197" s="6" t="n">
        <f aca="false">ROUND(INDEX(Archetypes!$E$2:$E$127, MATCH(D2197, Archetypes!$A$2:$A$127, 0))*INDEX(Unit_Grades!$B$2:$B$7, MATCH(F2197, Unit_Grades!$A$2:$A$7, 0))*INDEX(Unit_Paths!$B$2:$B$4, MATCH(E2197, Unit_Paths!$A$2:$A$4, 0)),1)</f>
        <v>9996</v>
      </c>
      <c r="I2197" s="6" t="n">
        <f aca="false">ROUND(INDEX(Archetypes!$F$2:$F$127, MATCH(D2197, Archetypes!$A$2:$A$127, 0))*INDEX(Unit_Grades!$B$2:$B$7, MATCH(F2197, Unit_Grades!$A$2:$A$7, 0))*INDEX(Unit_Paths!$C$2:$C$4, MATCH(E2197, Unit_Paths!$A$2:$A$4, 0)),1)</f>
        <v>9975</v>
      </c>
      <c r="J2197" s="6" t="n">
        <f aca="false">ROUND(INDEX(Archetypes!$G$2:$G$127, MATCH(D2197, Archetypes!$A$2:$A$127, 0))*INDEX(Unit_Grades!$B$2:$B$7, MATCH(F2197, Unit_Grades!$A$2:$A$7, 0))*INDEX(Unit_Paths!$D$2:$D$4, MATCH(E2197, Unit_Paths!$A$2:$A$4, 0)),0)</f>
        <v>57960</v>
      </c>
      <c r="K2197" s="6" t="n">
        <f aca="false">ROUND(INDEX(Archetypes!$H$2:$H$127, MATCH(D2197, Archetypes!$A$2:$A$127, 0))*INDEX(Unit_Paths!$E$2:$E$4, MATCH(E2197, Unit_Paths!$A$2:$A$4, 0)),1)</f>
        <v>53.4</v>
      </c>
      <c r="L2197" s="6" t="n">
        <f aca="false">ROUND(INDEX(Archetypes!$I$2:$I$127, MATCH(D2197, Archetypes!$A$2:$A$127, 0))*INDEX(Unit_Grades!$C$2:$C$7, MATCH(F2197, Unit_Grades!$A$2:$A$7, 0)),1)</f>
        <v>1332</v>
      </c>
      <c r="M2197" s="6" t="n">
        <f aca="false">ROUND(INDEX(Archetypes!$J$2:$J$127, MATCH(D2197, Archetypes!$A$2:$A$127, 0))*INDEX(Unit_Grades!$D$2:$D$7, MATCH(F2197, Unit_Grades!$A$2:$A$7, 0)),1)</f>
        <v>1753.2</v>
      </c>
      <c r="N2197" s="6" t="n">
        <f aca="false">ROUND(M2197/24,2)</f>
        <v>73.05</v>
      </c>
    </row>
    <row r="2198" customFormat="false" ht="15" hidden="false" customHeight="true" outlineLevel="0" collapsed="false">
      <c r="A2198" s="6" t="n">
        <v>7</v>
      </c>
      <c r="B2198" s="6" t="s">
        <v>1526</v>
      </c>
      <c r="C2198" s="6" t="s">
        <v>1526</v>
      </c>
      <c r="D2198" s="6" t="str">
        <f aca="false">A2198&amp;"|"&amp;C2198</f>
        <v>7|Samsara Herald</v>
      </c>
      <c r="E2198" s="6" t="s">
        <v>1556</v>
      </c>
      <c r="F2198" s="6" t="s">
        <v>1538</v>
      </c>
      <c r="G2198" s="6" t="str">
        <f aca="false">INDEX(Archetypes!$D$2:$D$127, MATCH(D2198, Archetypes!$A$2:$A$127, 0))</f>
        <v>Conquest</v>
      </c>
      <c r="H2198" s="6" t="n">
        <f aca="false">ROUND(INDEX(Archetypes!$E$2:$E$127, MATCH(D2198, Archetypes!$A$2:$A$127, 0))*INDEX(Unit_Grades!$B$2:$B$7, MATCH(F2198, Unit_Grades!$A$2:$A$7, 0))*INDEX(Unit_Paths!$B$2:$B$4, MATCH(E2198, Unit_Paths!$A$2:$A$4, 0)),1)</f>
        <v>400</v>
      </c>
      <c r="I2198" s="6" t="n">
        <f aca="false">ROUND(INDEX(Archetypes!$F$2:$F$127, MATCH(D2198, Archetypes!$A$2:$A$127, 0))*INDEX(Unit_Grades!$B$2:$B$7, MATCH(F2198, Unit_Grades!$A$2:$A$7, 0))*INDEX(Unit_Paths!$C$2:$C$4, MATCH(E2198, Unit_Paths!$A$2:$A$4, 0)),1)</f>
        <v>900</v>
      </c>
      <c r="J2198" s="6" t="n">
        <f aca="false">ROUND(INDEX(Archetypes!$G$2:$G$127, MATCH(D2198, Archetypes!$A$2:$A$127, 0))*INDEX(Unit_Grades!$B$2:$B$7, MATCH(F2198, Unit_Grades!$A$2:$A$7, 0))*INDEX(Unit_Paths!$D$2:$D$4, MATCH(E2198, Unit_Paths!$A$2:$A$4, 0)),0)</f>
        <v>6000</v>
      </c>
      <c r="K2198" s="6" t="n">
        <f aca="false">ROUND(INDEX(Archetypes!$H$2:$H$127, MATCH(D2198, Archetypes!$A$2:$A$127, 0))*INDEX(Unit_Paths!$E$2:$E$4, MATCH(E2198, Unit_Paths!$A$2:$A$4, 0)),1)</f>
        <v>52</v>
      </c>
      <c r="L2198" s="6" t="n">
        <f aca="false">ROUND(INDEX(Archetypes!$I$2:$I$127, MATCH(D2198, Archetypes!$A$2:$A$127, 0))*INDEX(Unit_Grades!$C$2:$C$7, MATCH(F2198, Unit_Grades!$A$2:$A$7, 0)),1)</f>
        <v>500</v>
      </c>
      <c r="M2198" s="6" t="n">
        <f aca="false">ROUND(INDEX(Archetypes!$J$2:$J$127, MATCH(D2198, Archetypes!$A$2:$A$127, 0))*INDEX(Unit_Grades!$D$2:$D$7, MATCH(F2198, Unit_Grades!$A$2:$A$7, 0)),1)</f>
        <v>202.9</v>
      </c>
      <c r="N2198" s="6" t="n">
        <f aca="false">ROUND(M2198/24,2)</f>
        <v>8.45</v>
      </c>
    </row>
    <row r="2199" customFormat="false" ht="15" hidden="false" customHeight="true" outlineLevel="0" collapsed="false">
      <c r="A2199" s="6" t="n">
        <v>7</v>
      </c>
      <c r="B2199" s="6" t="s">
        <v>3644</v>
      </c>
      <c r="C2199" s="6" t="s">
        <v>1526</v>
      </c>
      <c r="D2199" s="6" t="str">
        <f aca="false">A2199&amp;"|"&amp;C2199</f>
        <v>7|Samsara Herald</v>
      </c>
      <c r="E2199" s="6" t="s">
        <v>1556</v>
      </c>
      <c r="F2199" s="6" t="s">
        <v>1540</v>
      </c>
      <c r="G2199" s="6" t="str">
        <f aca="false">INDEX(Archetypes!$D$2:$D$127, MATCH(D2199, Archetypes!$A$2:$A$127, 0))</f>
        <v>Conquest</v>
      </c>
      <c r="H2199" s="6" t="n">
        <f aca="false">ROUND(INDEX(Archetypes!$E$2:$E$127, MATCH(D2199, Archetypes!$A$2:$A$127, 0))*INDEX(Unit_Grades!$B$2:$B$7, MATCH(F2199, Unit_Grades!$A$2:$A$7, 0))*INDEX(Unit_Paths!$B$2:$B$4, MATCH(E2199, Unit_Paths!$A$2:$A$4, 0)),1)</f>
        <v>540</v>
      </c>
      <c r="I2199" s="6" t="n">
        <f aca="false">ROUND(INDEX(Archetypes!$F$2:$F$127, MATCH(D2199, Archetypes!$A$2:$A$127, 0))*INDEX(Unit_Grades!$B$2:$B$7, MATCH(F2199, Unit_Grades!$A$2:$A$7, 0))*INDEX(Unit_Paths!$C$2:$C$4, MATCH(E2199, Unit_Paths!$A$2:$A$4, 0)),1)</f>
        <v>1215</v>
      </c>
      <c r="J2199" s="6" t="n">
        <f aca="false">ROUND(INDEX(Archetypes!$G$2:$G$127, MATCH(D2199, Archetypes!$A$2:$A$127, 0))*INDEX(Unit_Grades!$B$2:$B$7, MATCH(F2199, Unit_Grades!$A$2:$A$7, 0))*INDEX(Unit_Paths!$D$2:$D$4, MATCH(E2199, Unit_Paths!$A$2:$A$4, 0)),0)</f>
        <v>8100</v>
      </c>
      <c r="K2199" s="6" t="n">
        <f aca="false">ROUND(INDEX(Archetypes!$H$2:$H$127, MATCH(D2199, Archetypes!$A$2:$A$127, 0))*INDEX(Unit_Paths!$E$2:$E$4, MATCH(E2199, Unit_Paths!$A$2:$A$4, 0)),1)</f>
        <v>52</v>
      </c>
      <c r="L2199" s="6" t="n">
        <f aca="false">ROUND(INDEX(Archetypes!$I$2:$I$127, MATCH(D2199, Archetypes!$A$2:$A$127, 0))*INDEX(Unit_Grades!$C$2:$C$7, MATCH(F2199, Unit_Grades!$A$2:$A$7, 0)),1)</f>
        <v>625</v>
      </c>
      <c r="M2199" s="6" t="n">
        <f aca="false">ROUND(INDEX(Archetypes!$J$2:$J$127, MATCH(D2199, Archetypes!$A$2:$A$127, 0))*INDEX(Unit_Grades!$D$2:$D$7, MATCH(F2199, Unit_Grades!$A$2:$A$7, 0)),1)</f>
        <v>304.4</v>
      </c>
      <c r="N2199" s="6" t="n">
        <f aca="false">ROUND(M2199/24,2)</f>
        <v>12.68</v>
      </c>
    </row>
    <row r="2200" customFormat="false" ht="15" hidden="false" customHeight="true" outlineLevel="0" collapsed="false">
      <c r="A2200" s="6" t="n">
        <v>7</v>
      </c>
      <c r="B2200" s="6" t="s">
        <v>3645</v>
      </c>
      <c r="C2200" s="6" t="s">
        <v>1526</v>
      </c>
      <c r="D2200" s="6" t="str">
        <f aca="false">A2200&amp;"|"&amp;C2200</f>
        <v>7|Samsara Herald</v>
      </c>
      <c r="E2200" s="6" t="s">
        <v>1556</v>
      </c>
      <c r="F2200" s="6" t="s">
        <v>1542</v>
      </c>
      <c r="G2200" s="6" t="str">
        <f aca="false">INDEX(Archetypes!$D$2:$D$127, MATCH(D2200, Archetypes!$A$2:$A$127, 0))</f>
        <v>Conquest</v>
      </c>
      <c r="H2200" s="6" t="n">
        <f aca="false">ROUND(INDEX(Archetypes!$E$2:$E$127, MATCH(D2200, Archetypes!$A$2:$A$127, 0))*INDEX(Unit_Grades!$B$2:$B$7, MATCH(F2200, Unit_Grades!$A$2:$A$7, 0))*INDEX(Unit_Paths!$B$2:$B$4, MATCH(E2200, Unit_Paths!$A$2:$A$4, 0)),1)</f>
        <v>720</v>
      </c>
      <c r="I2200" s="6" t="n">
        <f aca="false">ROUND(INDEX(Archetypes!$F$2:$F$127, MATCH(D2200, Archetypes!$A$2:$A$127, 0))*INDEX(Unit_Grades!$B$2:$B$7, MATCH(F2200, Unit_Grades!$A$2:$A$7, 0))*INDEX(Unit_Paths!$C$2:$C$4, MATCH(E2200, Unit_Paths!$A$2:$A$4, 0)),1)</f>
        <v>1620</v>
      </c>
      <c r="J2200" s="6" t="n">
        <f aca="false">ROUND(INDEX(Archetypes!$G$2:$G$127, MATCH(D2200, Archetypes!$A$2:$A$127, 0))*INDEX(Unit_Grades!$B$2:$B$7, MATCH(F2200, Unit_Grades!$A$2:$A$7, 0))*INDEX(Unit_Paths!$D$2:$D$4, MATCH(E2200, Unit_Paths!$A$2:$A$4, 0)),0)</f>
        <v>10800</v>
      </c>
      <c r="K2200" s="6" t="n">
        <f aca="false">ROUND(INDEX(Archetypes!$H$2:$H$127, MATCH(D2200, Archetypes!$A$2:$A$127, 0))*INDEX(Unit_Paths!$E$2:$E$4, MATCH(E2200, Unit_Paths!$A$2:$A$4, 0)),1)</f>
        <v>52</v>
      </c>
      <c r="L2200" s="6" t="n">
        <f aca="false">ROUND(INDEX(Archetypes!$I$2:$I$127, MATCH(D2200, Archetypes!$A$2:$A$127, 0))*INDEX(Unit_Grades!$C$2:$C$7, MATCH(F2200, Unit_Grades!$A$2:$A$7, 0)),1)</f>
        <v>800</v>
      </c>
      <c r="M2200" s="6" t="n">
        <f aca="false">ROUND(INDEX(Archetypes!$J$2:$J$127, MATCH(D2200, Archetypes!$A$2:$A$127, 0))*INDEX(Unit_Grades!$D$2:$D$7, MATCH(F2200, Unit_Grades!$A$2:$A$7, 0)),1)</f>
        <v>507.3</v>
      </c>
      <c r="N2200" s="6" t="n">
        <f aca="false">ROUND(M2200/24,2)</f>
        <v>21.14</v>
      </c>
    </row>
    <row r="2201" customFormat="false" ht="15" hidden="false" customHeight="true" outlineLevel="0" collapsed="false">
      <c r="A2201" s="6" t="n">
        <v>7</v>
      </c>
      <c r="B2201" s="6" t="s">
        <v>3646</v>
      </c>
      <c r="C2201" s="6" t="s">
        <v>1526</v>
      </c>
      <c r="D2201" s="6" t="str">
        <f aca="false">A2201&amp;"|"&amp;C2201</f>
        <v>7|Samsara Herald</v>
      </c>
      <c r="E2201" s="6" t="s">
        <v>1556</v>
      </c>
      <c r="F2201" s="6" t="s">
        <v>1544</v>
      </c>
      <c r="G2201" s="6" t="str">
        <f aca="false">INDEX(Archetypes!$D$2:$D$127, MATCH(D2201, Archetypes!$A$2:$A$127, 0))</f>
        <v>Conquest</v>
      </c>
      <c r="H2201" s="6" t="n">
        <f aca="false">ROUND(INDEX(Archetypes!$E$2:$E$127, MATCH(D2201, Archetypes!$A$2:$A$127, 0))*INDEX(Unit_Grades!$B$2:$B$7, MATCH(F2201, Unit_Grades!$A$2:$A$7, 0))*INDEX(Unit_Paths!$B$2:$B$4, MATCH(E2201, Unit_Paths!$A$2:$A$4, 0)),1)</f>
        <v>960</v>
      </c>
      <c r="I2201" s="6" t="n">
        <f aca="false">ROUND(INDEX(Archetypes!$F$2:$F$127, MATCH(D2201, Archetypes!$A$2:$A$127, 0))*INDEX(Unit_Grades!$B$2:$B$7, MATCH(F2201, Unit_Grades!$A$2:$A$7, 0))*INDEX(Unit_Paths!$C$2:$C$4, MATCH(E2201, Unit_Paths!$A$2:$A$4, 0)),1)</f>
        <v>2160</v>
      </c>
      <c r="J2201" s="6" t="n">
        <f aca="false">ROUND(INDEX(Archetypes!$G$2:$G$127, MATCH(D2201, Archetypes!$A$2:$A$127, 0))*INDEX(Unit_Grades!$B$2:$B$7, MATCH(F2201, Unit_Grades!$A$2:$A$7, 0))*INDEX(Unit_Paths!$D$2:$D$4, MATCH(E2201, Unit_Paths!$A$2:$A$4, 0)),0)</f>
        <v>14400</v>
      </c>
      <c r="K2201" s="6" t="n">
        <f aca="false">ROUND(INDEX(Archetypes!$H$2:$H$127, MATCH(D2201, Archetypes!$A$2:$A$127, 0))*INDEX(Unit_Paths!$E$2:$E$4, MATCH(E2201, Unit_Paths!$A$2:$A$4, 0)),1)</f>
        <v>52</v>
      </c>
      <c r="L2201" s="6" t="n">
        <f aca="false">ROUND(INDEX(Archetypes!$I$2:$I$127, MATCH(D2201, Archetypes!$A$2:$A$127, 0))*INDEX(Unit_Grades!$C$2:$C$7, MATCH(F2201, Unit_Grades!$A$2:$A$7, 0)),1)</f>
        <v>1050</v>
      </c>
      <c r="M2201" s="6" t="n">
        <f aca="false">ROUND(INDEX(Archetypes!$J$2:$J$127, MATCH(D2201, Archetypes!$A$2:$A$127, 0))*INDEX(Unit_Grades!$D$2:$D$7, MATCH(F2201, Unit_Grades!$A$2:$A$7, 0)),1)</f>
        <v>811.7</v>
      </c>
      <c r="N2201" s="6" t="n">
        <f aca="false">ROUND(M2201/24,2)</f>
        <v>33.82</v>
      </c>
    </row>
    <row r="2202" customFormat="false" ht="15" hidden="false" customHeight="true" outlineLevel="0" collapsed="false">
      <c r="A2202" s="6" t="n">
        <v>7</v>
      </c>
      <c r="B2202" s="6" t="s">
        <v>3647</v>
      </c>
      <c r="C2202" s="6" t="s">
        <v>1526</v>
      </c>
      <c r="D2202" s="6" t="str">
        <f aca="false">A2202&amp;"|"&amp;C2202</f>
        <v>7|Samsara Herald</v>
      </c>
      <c r="E2202" s="6" t="s">
        <v>1556</v>
      </c>
      <c r="F2202" s="6" t="s">
        <v>1546</v>
      </c>
      <c r="G2202" s="6" t="str">
        <f aca="false">INDEX(Archetypes!$D$2:$D$127, MATCH(D2202, Archetypes!$A$2:$A$127, 0))</f>
        <v>Conquest</v>
      </c>
      <c r="H2202" s="6" t="n">
        <f aca="false">ROUND(INDEX(Archetypes!$E$2:$E$127, MATCH(D2202, Archetypes!$A$2:$A$127, 0))*INDEX(Unit_Grades!$B$2:$B$7, MATCH(F2202, Unit_Grades!$A$2:$A$7, 0))*INDEX(Unit_Paths!$B$2:$B$4, MATCH(E2202, Unit_Paths!$A$2:$A$4, 0)),1)</f>
        <v>1280</v>
      </c>
      <c r="I2202" s="6" t="n">
        <f aca="false">ROUND(INDEX(Archetypes!$F$2:$F$127, MATCH(D2202, Archetypes!$A$2:$A$127, 0))*INDEX(Unit_Grades!$B$2:$B$7, MATCH(F2202, Unit_Grades!$A$2:$A$7, 0))*INDEX(Unit_Paths!$C$2:$C$4, MATCH(E2202, Unit_Paths!$A$2:$A$4, 0)),1)</f>
        <v>2880</v>
      </c>
      <c r="J2202" s="6" t="n">
        <f aca="false">ROUND(INDEX(Archetypes!$G$2:$G$127, MATCH(D2202, Archetypes!$A$2:$A$127, 0))*INDEX(Unit_Grades!$B$2:$B$7, MATCH(F2202, Unit_Grades!$A$2:$A$7, 0))*INDEX(Unit_Paths!$D$2:$D$4, MATCH(E2202, Unit_Paths!$A$2:$A$4, 0)),0)</f>
        <v>19200</v>
      </c>
      <c r="K2202" s="6" t="n">
        <f aca="false">ROUND(INDEX(Archetypes!$H$2:$H$127, MATCH(D2202, Archetypes!$A$2:$A$127, 0))*INDEX(Unit_Paths!$E$2:$E$4, MATCH(E2202, Unit_Paths!$A$2:$A$4, 0)),1)</f>
        <v>52</v>
      </c>
      <c r="L2202" s="6" t="n">
        <f aca="false">ROUND(INDEX(Archetypes!$I$2:$I$127, MATCH(D2202, Archetypes!$A$2:$A$127, 0))*INDEX(Unit_Grades!$C$2:$C$7, MATCH(F2202, Unit_Grades!$A$2:$A$7, 0)),1)</f>
        <v>1400</v>
      </c>
      <c r="M2202" s="6" t="n">
        <f aca="false">ROUND(INDEX(Archetypes!$J$2:$J$127, MATCH(D2202, Archetypes!$A$2:$A$127, 0))*INDEX(Unit_Grades!$D$2:$D$7, MATCH(F2202, Unit_Grades!$A$2:$A$7, 0)),1)</f>
        <v>1420.4</v>
      </c>
      <c r="N2202" s="6" t="n">
        <f aca="false">ROUND(M2202/24,2)</f>
        <v>59.18</v>
      </c>
    </row>
    <row r="2203" customFormat="false" ht="15" hidden="false" customHeight="true" outlineLevel="0" collapsed="false">
      <c r="A2203" s="6" t="n">
        <v>7</v>
      </c>
      <c r="B2203" s="6" t="s">
        <v>3648</v>
      </c>
      <c r="C2203" s="6" t="s">
        <v>1526</v>
      </c>
      <c r="D2203" s="6" t="str">
        <f aca="false">A2203&amp;"|"&amp;C2203</f>
        <v>7|Samsara Herald</v>
      </c>
      <c r="E2203" s="6" t="s">
        <v>1556</v>
      </c>
      <c r="F2203" s="6" t="s">
        <v>1548</v>
      </c>
      <c r="G2203" s="6" t="str">
        <f aca="false">INDEX(Archetypes!$D$2:$D$127, MATCH(D2203, Archetypes!$A$2:$A$127, 0))</f>
        <v>Conquest</v>
      </c>
      <c r="H2203" s="6" t="n">
        <f aca="false">ROUND(INDEX(Archetypes!$E$2:$E$127, MATCH(D2203, Archetypes!$A$2:$A$127, 0))*INDEX(Unit_Grades!$B$2:$B$7, MATCH(F2203, Unit_Grades!$A$2:$A$7, 0))*INDEX(Unit_Paths!$B$2:$B$4, MATCH(E2203, Unit_Paths!$A$2:$A$4, 0)),1)</f>
        <v>1680</v>
      </c>
      <c r="I2203" s="6" t="n">
        <f aca="false">ROUND(INDEX(Archetypes!$F$2:$F$127, MATCH(D2203, Archetypes!$A$2:$A$127, 0))*INDEX(Unit_Grades!$B$2:$B$7, MATCH(F2203, Unit_Grades!$A$2:$A$7, 0))*INDEX(Unit_Paths!$C$2:$C$4, MATCH(E2203, Unit_Paths!$A$2:$A$4, 0)),1)</f>
        <v>3780</v>
      </c>
      <c r="J2203" s="6" t="n">
        <f aca="false">ROUND(INDEX(Archetypes!$G$2:$G$127, MATCH(D2203, Archetypes!$A$2:$A$127, 0))*INDEX(Unit_Grades!$B$2:$B$7, MATCH(F2203, Unit_Grades!$A$2:$A$7, 0))*INDEX(Unit_Paths!$D$2:$D$4, MATCH(E2203, Unit_Paths!$A$2:$A$4, 0)),0)</f>
        <v>25200</v>
      </c>
      <c r="K2203" s="6" t="n">
        <f aca="false">ROUND(INDEX(Archetypes!$H$2:$H$127, MATCH(D2203, Archetypes!$A$2:$A$127, 0))*INDEX(Unit_Paths!$E$2:$E$4, MATCH(E2203, Unit_Paths!$A$2:$A$4, 0)),1)</f>
        <v>52</v>
      </c>
      <c r="L2203" s="6" t="n">
        <f aca="false">ROUND(INDEX(Archetypes!$I$2:$I$127, MATCH(D2203, Archetypes!$A$2:$A$127, 0))*INDEX(Unit_Grades!$C$2:$C$7, MATCH(F2203, Unit_Grades!$A$2:$A$7, 0)),1)</f>
        <v>1850</v>
      </c>
      <c r="M2203" s="6" t="n">
        <f aca="false">ROUND(INDEX(Archetypes!$J$2:$J$127, MATCH(D2203, Archetypes!$A$2:$A$127, 0))*INDEX(Unit_Grades!$D$2:$D$7, MATCH(F2203, Unit_Grades!$A$2:$A$7, 0)),1)</f>
        <v>2435</v>
      </c>
      <c r="N2203" s="6" t="n">
        <f aca="false">ROUND(M2203/24,2)</f>
        <v>101.46</v>
      </c>
    </row>
    <row r="2204" customFormat="false" ht="15" hidden="false" customHeight="true" outlineLevel="0" collapsed="false">
      <c r="A2204" s="6" t="n">
        <v>7</v>
      </c>
      <c r="B2204" s="6" t="s">
        <v>3649</v>
      </c>
      <c r="C2204" s="6" t="s">
        <v>1526</v>
      </c>
      <c r="D2204" s="6" t="str">
        <f aca="false">A2204&amp;"|"&amp;C2204</f>
        <v>7|Samsara Herald</v>
      </c>
      <c r="E2204" s="6" t="s">
        <v>1558</v>
      </c>
      <c r="F2204" s="6" t="s">
        <v>1538</v>
      </c>
      <c r="G2204" s="6" t="str">
        <f aca="false">INDEX(Archetypes!$D$2:$D$127, MATCH(D2204, Archetypes!$A$2:$A$127, 0))</f>
        <v>Conquest</v>
      </c>
      <c r="H2204" s="6" t="n">
        <f aca="false">ROUND(INDEX(Archetypes!$E$2:$E$127, MATCH(D2204, Archetypes!$A$2:$A$127, 0))*INDEX(Unit_Grades!$B$2:$B$7, MATCH(F2204, Unit_Grades!$A$2:$A$7, 0))*INDEX(Unit_Paths!$B$2:$B$4, MATCH(E2204, Unit_Paths!$A$2:$A$4, 0)),1)</f>
        <v>480</v>
      </c>
      <c r="I2204" s="6" t="n">
        <f aca="false">ROUND(INDEX(Archetypes!$F$2:$F$127, MATCH(D2204, Archetypes!$A$2:$A$127, 0))*INDEX(Unit_Grades!$B$2:$B$7, MATCH(F2204, Unit_Grades!$A$2:$A$7, 0))*INDEX(Unit_Paths!$C$2:$C$4, MATCH(E2204, Unit_Paths!$A$2:$A$4, 0)),1)</f>
        <v>765</v>
      </c>
      <c r="J2204" s="6" t="n">
        <f aca="false">ROUND(INDEX(Archetypes!$G$2:$G$127, MATCH(D2204, Archetypes!$A$2:$A$127, 0))*INDEX(Unit_Grades!$B$2:$B$7, MATCH(F2204, Unit_Grades!$A$2:$A$7, 0))*INDEX(Unit_Paths!$D$2:$D$4, MATCH(E2204, Unit_Paths!$A$2:$A$4, 0)),0)</f>
        <v>5700</v>
      </c>
      <c r="K2204" s="6" t="n">
        <f aca="false">ROUND(INDEX(Archetypes!$H$2:$H$127, MATCH(D2204, Archetypes!$A$2:$A$127, 0))*INDEX(Unit_Paths!$E$2:$E$4, MATCH(E2204, Unit_Paths!$A$2:$A$4, 0)),1)</f>
        <v>54.6</v>
      </c>
      <c r="L2204" s="6" t="n">
        <f aca="false">ROUND(INDEX(Archetypes!$I$2:$I$127, MATCH(D2204, Archetypes!$A$2:$A$127, 0))*INDEX(Unit_Grades!$C$2:$C$7, MATCH(F2204, Unit_Grades!$A$2:$A$7, 0)),1)</f>
        <v>500</v>
      </c>
      <c r="M2204" s="6" t="n">
        <f aca="false">ROUND(INDEX(Archetypes!$J$2:$J$127, MATCH(D2204, Archetypes!$A$2:$A$127, 0))*INDEX(Unit_Grades!$D$2:$D$7, MATCH(F2204, Unit_Grades!$A$2:$A$7, 0)),1)</f>
        <v>202.9</v>
      </c>
      <c r="N2204" s="6" t="n">
        <f aca="false">ROUND(M2204/24,2)</f>
        <v>8.45</v>
      </c>
    </row>
    <row r="2205" customFormat="false" ht="15" hidden="false" customHeight="true" outlineLevel="0" collapsed="false">
      <c r="A2205" s="6" t="n">
        <v>7</v>
      </c>
      <c r="B2205" s="6" t="s">
        <v>3650</v>
      </c>
      <c r="C2205" s="6" t="s">
        <v>1526</v>
      </c>
      <c r="D2205" s="6" t="str">
        <f aca="false">A2205&amp;"|"&amp;C2205</f>
        <v>7|Samsara Herald</v>
      </c>
      <c r="E2205" s="6" t="s">
        <v>1558</v>
      </c>
      <c r="F2205" s="6" t="s">
        <v>1540</v>
      </c>
      <c r="G2205" s="6" t="str">
        <f aca="false">INDEX(Archetypes!$D$2:$D$127, MATCH(D2205, Archetypes!$A$2:$A$127, 0))</f>
        <v>Conquest</v>
      </c>
      <c r="H2205" s="6" t="n">
        <f aca="false">ROUND(INDEX(Archetypes!$E$2:$E$127, MATCH(D2205, Archetypes!$A$2:$A$127, 0))*INDEX(Unit_Grades!$B$2:$B$7, MATCH(F2205, Unit_Grades!$A$2:$A$7, 0))*INDEX(Unit_Paths!$B$2:$B$4, MATCH(E2205, Unit_Paths!$A$2:$A$4, 0)),1)</f>
        <v>648</v>
      </c>
      <c r="I2205" s="6" t="n">
        <f aca="false">ROUND(INDEX(Archetypes!$F$2:$F$127, MATCH(D2205, Archetypes!$A$2:$A$127, 0))*INDEX(Unit_Grades!$B$2:$B$7, MATCH(F2205, Unit_Grades!$A$2:$A$7, 0))*INDEX(Unit_Paths!$C$2:$C$4, MATCH(E2205, Unit_Paths!$A$2:$A$4, 0)),1)</f>
        <v>1032.8</v>
      </c>
      <c r="J2205" s="6" t="n">
        <f aca="false">ROUND(INDEX(Archetypes!$G$2:$G$127, MATCH(D2205, Archetypes!$A$2:$A$127, 0))*INDEX(Unit_Grades!$B$2:$B$7, MATCH(F2205, Unit_Grades!$A$2:$A$7, 0))*INDEX(Unit_Paths!$D$2:$D$4, MATCH(E2205, Unit_Paths!$A$2:$A$4, 0)),0)</f>
        <v>7695</v>
      </c>
      <c r="K2205" s="6" t="n">
        <f aca="false">ROUND(INDEX(Archetypes!$H$2:$H$127, MATCH(D2205, Archetypes!$A$2:$A$127, 0))*INDEX(Unit_Paths!$E$2:$E$4, MATCH(E2205, Unit_Paths!$A$2:$A$4, 0)),1)</f>
        <v>54.6</v>
      </c>
      <c r="L2205" s="6" t="n">
        <f aca="false">ROUND(INDEX(Archetypes!$I$2:$I$127, MATCH(D2205, Archetypes!$A$2:$A$127, 0))*INDEX(Unit_Grades!$C$2:$C$7, MATCH(F2205, Unit_Grades!$A$2:$A$7, 0)),1)</f>
        <v>625</v>
      </c>
      <c r="M2205" s="6" t="n">
        <f aca="false">ROUND(INDEX(Archetypes!$J$2:$J$127, MATCH(D2205, Archetypes!$A$2:$A$127, 0))*INDEX(Unit_Grades!$D$2:$D$7, MATCH(F2205, Unit_Grades!$A$2:$A$7, 0)),1)</f>
        <v>304.4</v>
      </c>
      <c r="N2205" s="6" t="n">
        <f aca="false">ROUND(M2205/24,2)</f>
        <v>12.68</v>
      </c>
    </row>
    <row r="2206" customFormat="false" ht="15" hidden="false" customHeight="true" outlineLevel="0" collapsed="false">
      <c r="A2206" s="6" t="n">
        <v>7</v>
      </c>
      <c r="B2206" s="6" t="s">
        <v>3651</v>
      </c>
      <c r="C2206" s="6" t="s">
        <v>1526</v>
      </c>
      <c r="D2206" s="6" t="str">
        <f aca="false">A2206&amp;"|"&amp;C2206</f>
        <v>7|Samsara Herald</v>
      </c>
      <c r="E2206" s="6" t="s">
        <v>1558</v>
      </c>
      <c r="F2206" s="6" t="s">
        <v>1542</v>
      </c>
      <c r="G2206" s="6" t="str">
        <f aca="false">INDEX(Archetypes!$D$2:$D$127, MATCH(D2206, Archetypes!$A$2:$A$127, 0))</f>
        <v>Conquest</v>
      </c>
      <c r="H2206" s="6" t="n">
        <f aca="false">ROUND(INDEX(Archetypes!$E$2:$E$127, MATCH(D2206, Archetypes!$A$2:$A$127, 0))*INDEX(Unit_Grades!$B$2:$B$7, MATCH(F2206, Unit_Grades!$A$2:$A$7, 0))*INDEX(Unit_Paths!$B$2:$B$4, MATCH(E2206, Unit_Paths!$A$2:$A$4, 0)),1)</f>
        <v>864</v>
      </c>
      <c r="I2206" s="6" t="n">
        <f aca="false">ROUND(INDEX(Archetypes!$F$2:$F$127, MATCH(D2206, Archetypes!$A$2:$A$127, 0))*INDEX(Unit_Grades!$B$2:$B$7, MATCH(F2206, Unit_Grades!$A$2:$A$7, 0))*INDEX(Unit_Paths!$C$2:$C$4, MATCH(E2206, Unit_Paths!$A$2:$A$4, 0)),1)</f>
        <v>1377</v>
      </c>
      <c r="J2206" s="6" t="n">
        <f aca="false">ROUND(INDEX(Archetypes!$G$2:$G$127, MATCH(D2206, Archetypes!$A$2:$A$127, 0))*INDEX(Unit_Grades!$B$2:$B$7, MATCH(F2206, Unit_Grades!$A$2:$A$7, 0))*INDEX(Unit_Paths!$D$2:$D$4, MATCH(E2206, Unit_Paths!$A$2:$A$4, 0)),0)</f>
        <v>10260</v>
      </c>
      <c r="K2206" s="6" t="n">
        <f aca="false">ROUND(INDEX(Archetypes!$H$2:$H$127, MATCH(D2206, Archetypes!$A$2:$A$127, 0))*INDEX(Unit_Paths!$E$2:$E$4, MATCH(E2206, Unit_Paths!$A$2:$A$4, 0)),1)</f>
        <v>54.6</v>
      </c>
      <c r="L2206" s="6" t="n">
        <f aca="false">ROUND(INDEX(Archetypes!$I$2:$I$127, MATCH(D2206, Archetypes!$A$2:$A$127, 0))*INDEX(Unit_Grades!$C$2:$C$7, MATCH(F2206, Unit_Grades!$A$2:$A$7, 0)),1)</f>
        <v>800</v>
      </c>
      <c r="M2206" s="6" t="n">
        <f aca="false">ROUND(INDEX(Archetypes!$J$2:$J$127, MATCH(D2206, Archetypes!$A$2:$A$127, 0))*INDEX(Unit_Grades!$D$2:$D$7, MATCH(F2206, Unit_Grades!$A$2:$A$7, 0)),1)</f>
        <v>507.3</v>
      </c>
      <c r="N2206" s="6" t="n">
        <f aca="false">ROUND(M2206/24,2)</f>
        <v>21.14</v>
      </c>
    </row>
    <row r="2207" customFormat="false" ht="15" hidden="false" customHeight="true" outlineLevel="0" collapsed="false">
      <c r="A2207" s="6" t="n">
        <v>7</v>
      </c>
      <c r="B2207" s="6" t="s">
        <v>3652</v>
      </c>
      <c r="C2207" s="6" t="s">
        <v>1526</v>
      </c>
      <c r="D2207" s="6" t="str">
        <f aca="false">A2207&amp;"|"&amp;C2207</f>
        <v>7|Samsara Herald</v>
      </c>
      <c r="E2207" s="6" t="s">
        <v>1558</v>
      </c>
      <c r="F2207" s="6" t="s">
        <v>1544</v>
      </c>
      <c r="G2207" s="6" t="str">
        <f aca="false">INDEX(Archetypes!$D$2:$D$127, MATCH(D2207, Archetypes!$A$2:$A$127, 0))</f>
        <v>Conquest</v>
      </c>
      <c r="H2207" s="6" t="n">
        <f aca="false">ROUND(INDEX(Archetypes!$E$2:$E$127, MATCH(D2207, Archetypes!$A$2:$A$127, 0))*INDEX(Unit_Grades!$B$2:$B$7, MATCH(F2207, Unit_Grades!$A$2:$A$7, 0))*INDEX(Unit_Paths!$B$2:$B$4, MATCH(E2207, Unit_Paths!$A$2:$A$4, 0)),1)</f>
        <v>1152</v>
      </c>
      <c r="I2207" s="6" t="n">
        <f aca="false">ROUND(INDEX(Archetypes!$F$2:$F$127, MATCH(D2207, Archetypes!$A$2:$A$127, 0))*INDEX(Unit_Grades!$B$2:$B$7, MATCH(F2207, Unit_Grades!$A$2:$A$7, 0))*INDEX(Unit_Paths!$C$2:$C$4, MATCH(E2207, Unit_Paths!$A$2:$A$4, 0)),1)</f>
        <v>1836</v>
      </c>
      <c r="J2207" s="6" t="n">
        <f aca="false">ROUND(INDEX(Archetypes!$G$2:$G$127, MATCH(D2207, Archetypes!$A$2:$A$127, 0))*INDEX(Unit_Grades!$B$2:$B$7, MATCH(F2207, Unit_Grades!$A$2:$A$7, 0))*INDEX(Unit_Paths!$D$2:$D$4, MATCH(E2207, Unit_Paths!$A$2:$A$4, 0)),0)</f>
        <v>13680</v>
      </c>
      <c r="K2207" s="6" t="n">
        <f aca="false">ROUND(INDEX(Archetypes!$H$2:$H$127, MATCH(D2207, Archetypes!$A$2:$A$127, 0))*INDEX(Unit_Paths!$E$2:$E$4, MATCH(E2207, Unit_Paths!$A$2:$A$4, 0)),1)</f>
        <v>54.6</v>
      </c>
      <c r="L2207" s="6" t="n">
        <f aca="false">ROUND(INDEX(Archetypes!$I$2:$I$127, MATCH(D2207, Archetypes!$A$2:$A$127, 0))*INDEX(Unit_Grades!$C$2:$C$7, MATCH(F2207, Unit_Grades!$A$2:$A$7, 0)),1)</f>
        <v>1050</v>
      </c>
      <c r="M2207" s="6" t="n">
        <f aca="false">ROUND(INDEX(Archetypes!$J$2:$J$127, MATCH(D2207, Archetypes!$A$2:$A$127, 0))*INDEX(Unit_Grades!$D$2:$D$7, MATCH(F2207, Unit_Grades!$A$2:$A$7, 0)),1)</f>
        <v>811.7</v>
      </c>
      <c r="N2207" s="6" t="n">
        <f aca="false">ROUND(M2207/24,2)</f>
        <v>33.82</v>
      </c>
    </row>
    <row r="2208" customFormat="false" ht="15" hidden="false" customHeight="true" outlineLevel="0" collapsed="false">
      <c r="A2208" s="6" t="n">
        <v>7</v>
      </c>
      <c r="B2208" s="6" t="s">
        <v>3653</v>
      </c>
      <c r="C2208" s="6" t="s">
        <v>1526</v>
      </c>
      <c r="D2208" s="6" t="str">
        <f aca="false">A2208&amp;"|"&amp;C2208</f>
        <v>7|Samsara Herald</v>
      </c>
      <c r="E2208" s="6" t="s">
        <v>1558</v>
      </c>
      <c r="F2208" s="6" t="s">
        <v>1546</v>
      </c>
      <c r="G2208" s="6" t="str">
        <f aca="false">INDEX(Archetypes!$D$2:$D$127, MATCH(D2208, Archetypes!$A$2:$A$127, 0))</f>
        <v>Conquest</v>
      </c>
      <c r="H2208" s="6" t="n">
        <f aca="false">ROUND(INDEX(Archetypes!$E$2:$E$127, MATCH(D2208, Archetypes!$A$2:$A$127, 0))*INDEX(Unit_Grades!$B$2:$B$7, MATCH(F2208, Unit_Grades!$A$2:$A$7, 0))*INDEX(Unit_Paths!$B$2:$B$4, MATCH(E2208, Unit_Paths!$A$2:$A$4, 0)),1)</f>
        <v>1536</v>
      </c>
      <c r="I2208" s="6" t="n">
        <f aca="false">ROUND(INDEX(Archetypes!$F$2:$F$127, MATCH(D2208, Archetypes!$A$2:$A$127, 0))*INDEX(Unit_Grades!$B$2:$B$7, MATCH(F2208, Unit_Grades!$A$2:$A$7, 0))*INDEX(Unit_Paths!$C$2:$C$4, MATCH(E2208, Unit_Paths!$A$2:$A$4, 0)),1)</f>
        <v>2448</v>
      </c>
      <c r="J2208" s="6" t="n">
        <f aca="false">ROUND(INDEX(Archetypes!$G$2:$G$127, MATCH(D2208, Archetypes!$A$2:$A$127, 0))*INDEX(Unit_Grades!$B$2:$B$7, MATCH(F2208, Unit_Grades!$A$2:$A$7, 0))*INDEX(Unit_Paths!$D$2:$D$4, MATCH(E2208, Unit_Paths!$A$2:$A$4, 0)),0)</f>
        <v>18240</v>
      </c>
      <c r="K2208" s="6" t="n">
        <f aca="false">ROUND(INDEX(Archetypes!$H$2:$H$127, MATCH(D2208, Archetypes!$A$2:$A$127, 0))*INDEX(Unit_Paths!$E$2:$E$4, MATCH(E2208, Unit_Paths!$A$2:$A$4, 0)),1)</f>
        <v>54.6</v>
      </c>
      <c r="L2208" s="6" t="n">
        <f aca="false">ROUND(INDEX(Archetypes!$I$2:$I$127, MATCH(D2208, Archetypes!$A$2:$A$127, 0))*INDEX(Unit_Grades!$C$2:$C$7, MATCH(F2208, Unit_Grades!$A$2:$A$7, 0)),1)</f>
        <v>1400</v>
      </c>
      <c r="M2208" s="6" t="n">
        <f aca="false">ROUND(INDEX(Archetypes!$J$2:$J$127, MATCH(D2208, Archetypes!$A$2:$A$127, 0))*INDEX(Unit_Grades!$D$2:$D$7, MATCH(F2208, Unit_Grades!$A$2:$A$7, 0)),1)</f>
        <v>1420.4</v>
      </c>
      <c r="N2208" s="6" t="n">
        <f aca="false">ROUND(M2208/24,2)</f>
        <v>59.18</v>
      </c>
    </row>
    <row r="2209" customFormat="false" ht="15" hidden="false" customHeight="true" outlineLevel="0" collapsed="false">
      <c r="A2209" s="6" t="n">
        <v>7</v>
      </c>
      <c r="B2209" s="6" t="s">
        <v>3654</v>
      </c>
      <c r="C2209" s="6" t="s">
        <v>1526</v>
      </c>
      <c r="D2209" s="6" t="str">
        <f aca="false">A2209&amp;"|"&amp;C2209</f>
        <v>7|Samsara Herald</v>
      </c>
      <c r="E2209" s="6" t="s">
        <v>1558</v>
      </c>
      <c r="F2209" s="6" t="s">
        <v>1548</v>
      </c>
      <c r="G2209" s="6" t="str">
        <f aca="false">INDEX(Archetypes!$D$2:$D$127, MATCH(D2209, Archetypes!$A$2:$A$127, 0))</f>
        <v>Conquest</v>
      </c>
      <c r="H2209" s="6" t="n">
        <f aca="false">ROUND(INDEX(Archetypes!$E$2:$E$127, MATCH(D2209, Archetypes!$A$2:$A$127, 0))*INDEX(Unit_Grades!$B$2:$B$7, MATCH(F2209, Unit_Grades!$A$2:$A$7, 0))*INDEX(Unit_Paths!$B$2:$B$4, MATCH(E2209, Unit_Paths!$A$2:$A$4, 0)),1)</f>
        <v>2016</v>
      </c>
      <c r="I2209" s="6" t="n">
        <f aca="false">ROUND(INDEX(Archetypes!$F$2:$F$127, MATCH(D2209, Archetypes!$A$2:$A$127, 0))*INDEX(Unit_Grades!$B$2:$B$7, MATCH(F2209, Unit_Grades!$A$2:$A$7, 0))*INDEX(Unit_Paths!$C$2:$C$4, MATCH(E2209, Unit_Paths!$A$2:$A$4, 0)),1)</f>
        <v>3213</v>
      </c>
      <c r="J2209" s="6" t="n">
        <f aca="false">ROUND(INDEX(Archetypes!$G$2:$G$127, MATCH(D2209, Archetypes!$A$2:$A$127, 0))*INDEX(Unit_Grades!$B$2:$B$7, MATCH(F2209, Unit_Grades!$A$2:$A$7, 0))*INDEX(Unit_Paths!$D$2:$D$4, MATCH(E2209, Unit_Paths!$A$2:$A$4, 0)),0)</f>
        <v>23940</v>
      </c>
      <c r="K2209" s="6" t="n">
        <f aca="false">ROUND(INDEX(Archetypes!$H$2:$H$127, MATCH(D2209, Archetypes!$A$2:$A$127, 0))*INDEX(Unit_Paths!$E$2:$E$4, MATCH(E2209, Unit_Paths!$A$2:$A$4, 0)),1)</f>
        <v>54.6</v>
      </c>
      <c r="L2209" s="6" t="n">
        <f aca="false">ROUND(INDEX(Archetypes!$I$2:$I$127, MATCH(D2209, Archetypes!$A$2:$A$127, 0))*INDEX(Unit_Grades!$C$2:$C$7, MATCH(F2209, Unit_Grades!$A$2:$A$7, 0)),1)</f>
        <v>1850</v>
      </c>
      <c r="M2209" s="6" t="n">
        <f aca="false">ROUND(INDEX(Archetypes!$J$2:$J$127, MATCH(D2209, Archetypes!$A$2:$A$127, 0))*INDEX(Unit_Grades!$D$2:$D$7, MATCH(F2209, Unit_Grades!$A$2:$A$7, 0)),1)</f>
        <v>2435</v>
      </c>
      <c r="N2209" s="6" t="n">
        <f aca="false">ROUND(M2209/24,2)</f>
        <v>101.46</v>
      </c>
    </row>
    <row r="2210" customFormat="false" ht="15" hidden="false" customHeight="true" outlineLevel="0" collapsed="false">
      <c r="A2210" s="6" t="n">
        <v>7</v>
      </c>
      <c r="B2210" s="6" t="s">
        <v>3655</v>
      </c>
      <c r="C2210" s="6" t="s">
        <v>1526</v>
      </c>
      <c r="D2210" s="6" t="str">
        <f aca="false">A2210&amp;"|"&amp;C2210</f>
        <v>7|Samsara Herald</v>
      </c>
      <c r="E2210" s="6" t="s">
        <v>1560</v>
      </c>
      <c r="F2210" s="6" t="s">
        <v>1538</v>
      </c>
      <c r="G2210" s="6" t="str">
        <f aca="false">INDEX(Archetypes!$D$2:$D$127, MATCH(D2210, Archetypes!$A$2:$A$127, 0))</f>
        <v>Conquest</v>
      </c>
      <c r="H2210" s="6" t="n">
        <f aca="false">ROUND(INDEX(Archetypes!$E$2:$E$127, MATCH(D2210, Archetypes!$A$2:$A$127, 0))*INDEX(Unit_Grades!$B$2:$B$7, MATCH(F2210, Unit_Grades!$A$2:$A$7, 0))*INDEX(Unit_Paths!$B$2:$B$4, MATCH(E2210, Unit_Paths!$A$2:$A$4, 0)),1)</f>
        <v>340</v>
      </c>
      <c r="I2210" s="6" t="n">
        <f aca="false">ROUND(INDEX(Archetypes!$F$2:$F$127, MATCH(D2210, Archetypes!$A$2:$A$127, 0))*INDEX(Unit_Grades!$B$2:$B$7, MATCH(F2210, Unit_Grades!$A$2:$A$7, 0))*INDEX(Unit_Paths!$C$2:$C$4, MATCH(E2210, Unit_Paths!$A$2:$A$4, 0)),1)</f>
        <v>1125</v>
      </c>
      <c r="J2210" s="6" t="n">
        <f aca="false">ROUND(INDEX(Archetypes!$G$2:$G$127, MATCH(D2210, Archetypes!$A$2:$A$127, 0))*INDEX(Unit_Grades!$B$2:$B$7, MATCH(F2210, Unit_Grades!$A$2:$A$7, 0))*INDEX(Unit_Paths!$D$2:$D$4, MATCH(E2210, Unit_Paths!$A$2:$A$4, 0)),0)</f>
        <v>6900</v>
      </c>
      <c r="K2210" s="6" t="n">
        <f aca="false">ROUND(INDEX(Archetypes!$H$2:$H$127, MATCH(D2210, Archetypes!$A$2:$A$127, 0))*INDEX(Unit_Paths!$E$2:$E$4, MATCH(E2210, Unit_Paths!$A$2:$A$4, 0)),1)</f>
        <v>47.8</v>
      </c>
      <c r="L2210" s="6" t="n">
        <f aca="false">ROUND(INDEX(Archetypes!$I$2:$I$127, MATCH(D2210, Archetypes!$A$2:$A$127, 0))*INDEX(Unit_Grades!$C$2:$C$7, MATCH(F2210, Unit_Grades!$A$2:$A$7, 0)),1)</f>
        <v>500</v>
      </c>
      <c r="M2210" s="6" t="n">
        <f aca="false">ROUND(INDEX(Archetypes!$J$2:$J$127, MATCH(D2210, Archetypes!$A$2:$A$127, 0))*INDEX(Unit_Grades!$D$2:$D$7, MATCH(F2210, Unit_Grades!$A$2:$A$7, 0)),1)</f>
        <v>202.9</v>
      </c>
      <c r="N2210" s="6" t="n">
        <f aca="false">ROUND(M2210/24,2)</f>
        <v>8.45</v>
      </c>
    </row>
    <row r="2211" customFormat="false" ht="15" hidden="false" customHeight="true" outlineLevel="0" collapsed="false">
      <c r="A2211" s="6" t="n">
        <v>7</v>
      </c>
      <c r="B2211" s="6" t="s">
        <v>3656</v>
      </c>
      <c r="C2211" s="6" t="s">
        <v>1526</v>
      </c>
      <c r="D2211" s="6" t="str">
        <f aca="false">A2211&amp;"|"&amp;C2211</f>
        <v>7|Samsara Herald</v>
      </c>
      <c r="E2211" s="6" t="s">
        <v>1560</v>
      </c>
      <c r="F2211" s="6" t="s">
        <v>1540</v>
      </c>
      <c r="G2211" s="6" t="str">
        <f aca="false">INDEX(Archetypes!$D$2:$D$127, MATCH(D2211, Archetypes!$A$2:$A$127, 0))</f>
        <v>Conquest</v>
      </c>
      <c r="H2211" s="6" t="n">
        <f aca="false">ROUND(INDEX(Archetypes!$E$2:$E$127, MATCH(D2211, Archetypes!$A$2:$A$127, 0))*INDEX(Unit_Grades!$B$2:$B$7, MATCH(F2211, Unit_Grades!$A$2:$A$7, 0))*INDEX(Unit_Paths!$B$2:$B$4, MATCH(E2211, Unit_Paths!$A$2:$A$4, 0)),1)</f>
        <v>459</v>
      </c>
      <c r="I2211" s="6" t="n">
        <f aca="false">ROUND(INDEX(Archetypes!$F$2:$F$127, MATCH(D2211, Archetypes!$A$2:$A$127, 0))*INDEX(Unit_Grades!$B$2:$B$7, MATCH(F2211, Unit_Grades!$A$2:$A$7, 0))*INDEX(Unit_Paths!$C$2:$C$4, MATCH(E2211, Unit_Paths!$A$2:$A$4, 0)),1)</f>
        <v>1518.8</v>
      </c>
      <c r="J2211" s="6" t="n">
        <f aca="false">ROUND(INDEX(Archetypes!$G$2:$G$127, MATCH(D2211, Archetypes!$A$2:$A$127, 0))*INDEX(Unit_Grades!$B$2:$B$7, MATCH(F2211, Unit_Grades!$A$2:$A$7, 0))*INDEX(Unit_Paths!$D$2:$D$4, MATCH(E2211, Unit_Paths!$A$2:$A$4, 0)),0)</f>
        <v>9315</v>
      </c>
      <c r="K2211" s="6" t="n">
        <f aca="false">ROUND(INDEX(Archetypes!$H$2:$H$127, MATCH(D2211, Archetypes!$A$2:$A$127, 0))*INDEX(Unit_Paths!$E$2:$E$4, MATCH(E2211, Unit_Paths!$A$2:$A$4, 0)),1)</f>
        <v>47.8</v>
      </c>
      <c r="L2211" s="6" t="n">
        <f aca="false">ROUND(INDEX(Archetypes!$I$2:$I$127, MATCH(D2211, Archetypes!$A$2:$A$127, 0))*INDEX(Unit_Grades!$C$2:$C$7, MATCH(F2211, Unit_Grades!$A$2:$A$7, 0)),1)</f>
        <v>625</v>
      </c>
      <c r="M2211" s="6" t="n">
        <f aca="false">ROUND(INDEX(Archetypes!$J$2:$J$127, MATCH(D2211, Archetypes!$A$2:$A$127, 0))*INDEX(Unit_Grades!$D$2:$D$7, MATCH(F2211, Unit_Grades!$A$2:$A$7, 0)),1)</f>
        <v>304.4</v>
      </c>
      <c r="N2211" s="6" t="n">
        <f aca="false">ROUND(M2211/24,2)</f>
        <v>12.68</v>
      </c>
    </row>
    <row r="2212" customFormat="false" ht="15" hidden="false" customHeight="true" outlineLevel="0" collapsed="false">
      <c r="A2212" s="6" t="n">
        <v>7</v>
      </c>
      <c r="B2212" s="6" t="s">
        <v>3657</v>
      </c>
      <c r="C2212" s="6" t="s">
        <v>1526</v>
      </c>
      <c r="D2212" s="6" t="str">
        <f aca="false">A2212&amp;"|"&amp;C2212</f>
        <v>7|Samsara Herald</v>
      </c>
      <c r="E2212" s="6" t="s">
        <v>1560</v>
      </c>
      <c r="F2212" s="6" t="s">
        <v>1542</v>
      </c>
      <c r="G2212" s="6" t="str">
        <f aca="false">INDEX(Archetypes!$D$2:$D$127, MATCH(D2212, Archetypes!$A$2:$A$127, 0))</f>
        <v>Conquest</v>
      </c>
      <c r="H2212" s="6" t="n">
        <f aca="false">ROUND(INDEX(Archetypes!$E$2:$E$127, MATCH(D2212, Archetypes!$A$2:$A$127, 0))*INDEX(Unit_Grades!$B$2:$B$7, MATCH(F2212, Unit_Grades!$A$2:$A$7, 0))*INDEX(Unit_Paths!$B$2:$B$4, MATCH(E2212, Unit_Paths!$A$2:$A$4, 0)),1)</f>
        <v>612</v>
      </c>
      <c r="I2212" s="6" t="n">
        <f aca="false">ROUND(INDEX(Archetypes!$F$2:$F$127, MATCH(D2212, Archetypes!$A$2:$A$127, 0))*INDEX(Unit_Grades!$B$2:$B$7, MATCH(F2212, Unit_Grades!$A$2:$A$7, 0))*INDEX(Unit_Paths!$C$2:$C$4, MATCH(E2212, Unit_Paths!$A$2:$A$4, 0)),1)</f>
        <v>2025</v>
      </c>
      <c r="J2212" s="6" t="n">
        <f aca="false">ROUND(INDEX(Archetypes!$G$2:$G$127, MATCH(D2212, Archetypes!$A$2:$A$127, 0))*INDEX(Unit_Grades!$B$2:$B$7, MATCH(F2212, Unit_Grades!$A$2:$A$7, 0))*INDEX(Unit_Paths!$D$2:$D$4, MATCH(E2212, Unit_Paths!$A$2:$A$4, 0)),0)</f>
        <v>12420</v>
      </c>
      <c r="K2212" s="6" t="n">
        <f aca="false">ROUND(INDEX(Archetypes!$H$2:$H$127, MATCH(D2212, Archetypes!$A$2:$A$127, 0))*INDEX(Unit_Paths!$E$2:$E$4, MATCH(E2212, Unit_Paths!$A$2:$A$4, 0)),1)</f>
        <v>47.8</v>
      </c>
      <c r="L2212" s="6" t="n">
        <f aca="false">ROUND(INDEX(Archetypes!$I$2:$I$127, MATCH(D2212, Archetypes!$A$2:$A$127, 0))*INDEX(Unit_Grades!$C$2:$C$7, MATCH(F2212, Unit_Grades!$A$2:$A$7, 0)),1)</f>
        <v>800</v>
      </c>
      <c r="M2212" s="6" t="n">
        <f aca="false">ROUND(INDEX(Archetypes!$J$2:$J$127, MATCH(D2212, Archetypes!$A$2:$A$127, 0))*INDEX(Unit_Grades!$D$2:$D$7, MATCH(F2212, Unit_Grades!$A$2:$A$7, 0)),1)</f>
        <v>507.3</v>
      </c>
      <c r="N2212" s="6" t="n">
        <f aca="false">ROUND(M2212/24,2)</f>
        <v>21.14</v>
      </c>
    </row>
    <row r="2213" customFormat="false" ht="15" hidden="false" customHeight="true" outlineLevel="0" collapsed="false">
      <c r="A2213" s="6" t="n">
        <v>7</v>
      </c>
      <c r="B2213" s="6" t="s">
        <v>3658</v>
      </c>
      <c r="C2213" s="6" t="s">
        <v>1526</v>
      </c>
      <c r="D2213" s="6" t="str">
        <f aca="false">A2213&amp;"|"&amp;C2213</f>
        <v>7|Samsara Herald</v>
      </c>
      <c r="E2213" s="6" t="s">
        <v>1560</v>
      </c>
      <c r="F2213" s="6" t="s">
        <v>1544</v>
      </c>
      <c r="G2213" s="6" t="str">
        <f aca="false">INDEX(Archetypes!$D$2:$D$127, MATCH(D2213, Archetypes!$A$2:$A$127, 0))</f>
        <v>Conquest</v>
      </c>
      <c r="H2213" s="6" t="n">
        <f aca="false">ROUND(INDEX(Archetypes!$E$2:$E$127, MATCH(D2213, Archetypes!$A$2:$A$127, 0))*INDEX(Unit_Grades!$B$2:$B$7, MATCH(F2213, Unit_Grades!$A$2:$A$7, 0))*INDEX(Unit_Paths!$B$2:$B$4, MATCH(E2213, Unit_Paths!$A$2:$A$4, 0)),1)</f>
        <v>816</v>
      </c>
      <c r="I2213" s="6" t="n">
        <f aca="false">ROUND(INDEX(Archetypes!$F$2:$F$127, MATCH(D2213, Archetypes!$A$2:$A$127, 0))*INDEX(Unit_Grades!$B$2:$B$7, MATCH(F2213, Unit_Grades!$A$2:$A$7, 0))*INDEX(Unit_Paths!$C$2:$C$4, MATCH(E2213, Unit_Paths!$A$2:$A$4, 0)),1)</f>
        <v>2700</v>
      </c>
      <c r="J2213" s="6" t="n">
        <f aca="false">ROUND(INDEX(Archetypes!$G$2:$G$127, MATCH(D2213, Archetypes!$A$2:$A$127, 0))*INDEX(Unit_Grades!$B$2:$B$7, MATCH(F2213, Unit_Grades!$A$2:$A$7, 0))*INDEX(Unit_Paths!$D$2:$D$4, MATCH(E2213, Unit_Paths!$A$2:$A$4, 0)),0)</f>
        <v>16560</v>
      </c>
      <c r="K2213" s="6" t="n">
        <f aca="false">ROUND(INDEX(Archetypes!$H$2:$H$127, MATCH(D2213, Archetypes!$A$2:$A$127, 0))*INDEX(Unit_Paths!$E$2:$E$4, MATCH(E2213, Unit_Paths!$A$2:$A$4, 0)),1)</f>
        <v>47.8</v>
      </c>
      <c r="L2213" s="6" t="n">
        <f aca="false">ROUND(INDEX(Archetypes!$I$2:$I$127, MATCH(D2213, Archetypes!$A$2:$A$127, 0))*INDEX(Unit_Grades!$C$2:$C$7, MATCH(F2213, Unit_Grades!$A$2:$A$7, 0)),1)</f>
        <v>1050</v>
      </c>
      <c r="M2213" s="6" t="n">
        <f aca="false">ROUND(INDEX(Archetypes!$J$2:$J$127, MATCH(D2213, Archetypes!$A$2:$A$127, 0))*INDEX(Unit_Grades!$D$2:$D$7, MATCH(F2213, Unit_Grades!$A$2:$A$7, 0)),1)</f>
        <v>811.7</v>
      </c>
      <c r="N2213" s="6" t="n">
        <f aca="false">ROUND(M2213/24,2)</f>
        <v>33.82</v>
      </c>
    </row>
    <row r="2214" customFormat="false" ht="15" hidden="false" customHeight="true" outlineLevel="0" collapsed="false">
      <c r="A2214" s="6" t="n">
        <v>7</v>
      </c>
      <c r="B2214" s="6" t="s">
        <v>3659</v>
      </c>
      <c r="C2214" s="6" t="s">
        <v>1526</v>
      </c>
      <c r="D2214" s="6" t="str">
        <f aca="false">A2214&amp;"|"&amp;C2214</f>
        <v>7|Samsara Herald</v>
      </c>
      <c r="E2214" s="6" t="s">
        <v>1560</v>
      </c>
      <c r="F2214" s="6" t="s">
        <v>1546</v>
      </c>
      <c r="G2214" s="6" t="str">
        <f aca="false">INDEX(Archetypes!$D$2:$D$127, MATCH(D2214, Archetypes!$A$2:$A$127, 0))</f>
        <v>Conquest</v>
      </c>
      <c r="H2214" s="6" t="n">
        <f aca="false">ROUND(INDEX(Archetypes!$E$2:$E$127, MATCH(D2214, Archetypes!$A$2:$A$127, 0))*INDEX(Unit_Grades!$B$2:$B$7, MATCH(F2214, Unit_Grades!$A$2:$A$7, 0))*INDEX(Unit_Paths!$B$2:$B$4, MATCH(E2214, Unit_Paths!$A$2:$A$4, 0)),1)</f>
        <v>1088</v>
      </c>
      <c r="I2214" s="6" t="n">
        <f aca="false">ROUND(INDEX(Archetypes!$F$2:$F$127, MATCH(D2214, Archetypes!$A$2:$A$127, 0))*INDEX(Unit_Grades!$B$2:$B$7, MATCH(F2214, Unit_Grades!$A$2:$A$7, 0))*INDEX(Unit_Paths!$C$2:$C$4, MATCH(E2214, Unit_Paths!$A$2:$A$4, 0)),1)</f>
        <v>3600</v>
      </c>
      <c r="J2214" s="6" t="n">
        <f aca="false">ROUND(INDEX(Archetypes!$G$2:$G$127, MATCH(D2214, Archetypes!$A$2:$A$127, 0))*INDEX(Unit_Grades!$B$2:$B$7, MATCH(F2214, Unit_Grades!$A$2:$A$7, 0))*INDEX(Unit_Paths!$D$2:$D$4, MATCH(E2214, Unit_Paths!$A$2:$A$4, 0)),0)</f>
        <v>22080</v>
      </c>
      <c r="K2214" s="6" t="n">
        <f aca="false">ROUND(INDEX(Archetypes!$H$2:$H$127, MATCH(D2214, Archetypes!$A$2:$A$127, 0))*INDEX(Unit_Paths!$E$2:$E$4, MATCH(E2214, Unit_Paths!$A$2:$A$4, 0)),1)</f>
        <v>47.8</v>
      </c>
      <c r="L2214" s="6" t="n">
        <f aca="false">ROUND(INDEX(Archetypes!$I$2:$I$127, MATCH(D2214, Archetypes!$A$2:$A$127, 0))*INDEX(Unit_Grades!$C$2:$C$7, MATCH(F2214, Unit_Grades!$A$2:$A$7, 0)),1)</f>
        <v>1400</v>
      </c>
      <c r="M2214" s="6" t="n">
        <f aca="false">ROUND(INDEX(Archetypes!$J$2:$J$127, MATCH(D2214, Archetypes!$A$2:$A$127, 0))*INDEX(Unit_Grades!$D$2:$D$7, MATCH(F2214, Unit_Grades!$A$2:$A$7, 0)),1)</f>
        <v>1420.4</v>
      </c>
      <c r="N2214" s="6" t="n">
        <f aca="false">ROUND(M2214/24,2)</f>
        <v>59.18</v>
      </c>
    </row>
    <row r="2215" customFormat="false" ht="15" hidden="false" customHeight="true" outlineLevel="0" collapsed="false">
      <c r="A2215" s="6" t="n">
        <v>7</v>
      </c>
      <c r="B2215" s="6" t="s">
        <v>3660</v>
      </c>
      <c r="C2215" s="6" t="s">
        <v>1526</v>
      </c>
      <c r="D2215" s="6" t="str">
        <f aca="false">A2215&amp;"|"&amp;C2215</f>
        <v>7|Samsara Herald</v>
      </c>
      <c r="E2215" s="6" t="s">
        <v>1560</v>
      </c>
      <c r="F2215" s="6" t="s">
        <v>1548</v>
      </c>
      <c r="G2215" s="6" t="str">
        <f aca="false">INDEX(Archetypes!$D$2:$D$127, MATCH(D2215, Archetypes!$A$2:$A$127, 0))</f>
        <v>Conquest</v>
      </c>
      <c r="H2215" s="6" t="n">
        <f aca="false">ROUND(INDEX(Archetypes!$E$2:$E$127, MATCH(D2215, Archetypes!$A$2:$A$127, 0))*INDEX(Unit_Grades!$B$2:$B$7, MATCH(F2215, Unit_Grades!$A$2:$A$7, 0))*INDEX(Unit_Paths!$B$2:$B$4, MATCH(E2215, Unit_Paths!$A$2:$A$4, 0)),1)</f>
        <v>1428</v>
      </c>
      <c r="I2215" s="6" t="n">
        <f aca="false">ROUND(INDEX(Archetypes!$F$2:$F$127, MATCH(D2215, Archetypes!$A$2:$A$127, 0))*INDEX(Unit_Grades!$B$2:$B$7, MATCH(F2215, Unit_Grades!$A$2:$A$7, 0))*INDEX(Unit_Paths!$C$2:$C$4, MATCH(E2215, Unit_Paths!$A$2:$A$4, 0)),1)</f>
        <v>4725</v>
      </c>
      <c r="J2215" s="6" t="n">
        <f aca="false">ROUND(INDEX(Archetypes!$G$2:$G$127, MATCH(D2215, Archetypes!$A$2:$A$127, 0))*INDEX(Unit_Grades!$B$2:$B$7, MATCH(F2215, Unit_Grades!$A$2:$A$7, 0))*INDEX(Unit_Paths!$D$2:$D$4, MATCH(E2215, Unit_Paths!$A$2:$A$4, 0)),0)</f>
        <v>28980</v>
      </c>
      <c r="K2215" s="6" t="n">
        <f aca="false">ROUND(INDEX(Archetypes!$H$2:$H$127, MATCH(D2215, Archetypes!$A$2:$A$127, 0))*INDEX(Unit_Paths!$E$2:$E$4, MATCH(E2215, Unit_Paths!$A$2:$A$4, 0)),1)</f>
        <v>47.8</v>
      </c>
      <c r="L2215" s="6" t="n">
        <f aca="false">ROUND(INDEX(Archetypes!$I$2:$I$127, MATCH(D2215, Archetypes!$A$2:$A$127, 0))*INDEX(Unit_Grades!$C$2:$C$7, MATCH(F2215, Unit_Grades!$A$2:$A$7, 0)),1)</f>
        <v>1850</v>
      </c>
      <c r="M2215" s="6" t="n">
        <f aca="false">ROUND(INDEX(Archetypes!$J$2:$J$127, MATCH(D2215, Archetypes!$A$2:$A$127, 0))*INDEX(Unit_Grades!$D$2:$D$7, MATCH(F2215, Unit_Grades!$A$2:$A$7, 0)),1)</f>
        <v>2435</v>
      </c>
      <c r="N2215" s="6" t="n">
        <f aca="false">ROUND(M2215/24,2)</f>
        <v>101.46</v>
      </c>
    </row>
    <row r="2216" customFormat="false" ht="15" hidden="false" customHeight="true" outlineLevel="0" collapsed="false">
      <c r="A2216" s="6" t="n">
        <v>7</v>
      </c>
      <c r="B2216" s="6" t="s">
        <v>1528</v>
      </c>
      <c r="C2216" s="6" t="s">
        <v>1528</v>
      </c>
      <c r="D2216" s="6" t="str">
        <f aca="false">A2216&amp;"|"&amp;C2216</f>
        <v>7|Aether Weaver</v>
      </c>
      <c r="E2216" s="6" t="s">
        <v>1556</v>
      </c>
      <c r="F2216" s="6" t="s">
        <v>1538</v>
      </c>
      <c r="G2216" s="6" t="str">
        <f aca="false">INDEX(Archetypes!$D$2:$D$127, MATCH(D2216, Archetypes!$A$2:$A$127, 0))</f>
        <v>EW/Utility</v>
      </c>
      <c r="H2216" s="6" t="n">
        <f aca="false">ROUND(INDEX(Archetypes!$E$2:$E$127, MATCH(D2216, Archetypes!$A$2:$A$127, 0))*INDEX(Unit_Grades!$B$2:$B$7, MATCH(F2216, Unit_Grades!$A$2:$A$7, 0))*INDEX(Unit_Paths!$B$2:$B$4, MATCH(E2216, Unit_Paths!$A$2:$A$4, 0)),1)</f>
        <v>1300</v>
      </c>
      <c r="I2216" s="6" t="n">
        <f aca="false">ROUND(INDEX(Archetypes!$F$2:$F$127, MATCH(D2216, Archetypes!$A$2:$A$127, 0))*INDEX(Unit_Grades!$B$2:$B$7, MATCH(F2216, Unit_Grades!$A$2:$A$7, 0))*INDEX(Unit_Paths!$C$2:$C$4, MATCH(E2216, Unit_Paths!$A$2:$A$4, 0)),1)</f>
        <v>1500</v>
      </c>
      <c r="J2216" s="6" t="n">
        <f aca="false">ROUND(INDEX(Archetypes!$G$2:$G$127, MATCH(D2216, Archetypes!$A$2:$A$127, 0))*INDEX(Unit_Grades!$B$2:$B$7, MATCH(F2216, Unit_Grades!$A$2:$A$7, 0))*INDEX(Unit_Paths!$D$2:$D$4, MATCH(E2216, Unit_Paths!$A$2:$A$4, 0)),0)</f>
        <v>7000</v>
      </c>
      <c r="K2216" s="6" t="n">
        <f aca="false">ROUND(INDEX(Archetypes!$H$2:$H$127, MATCH(D2216, Archetypes!$A$2:$A$127, 0))*INDEX(Unit_Paths!$E$2:$E$4, MATCH(E2216, Unit_Paths!$A$2:$A$4, 0)),1)</f>
        <v>68</v>
      </c>
      <c r="L2216" s="6" t="n">
        <f aca="false">ROUND(INDEX(Archetypes!$I$2:$I$127, MATCH(D2216, Archetypes!$A$2:$A$127, 0))*INDEX(Unit_Grades!$C$2:$C$7, MATCH(F2216, Unit_Grades!$A$2:$A$7, 0)),1)</f>
        <v>200</v>
      </c>
      <c r="M2216" s="6" t="n">
        <f aca="false">ROUND(INDEX(Archetypes!$J$2:$J$127, MATCH(D2216, Archetypes!$A$2:$A$127, 0))*INDEX(Unit_Grades!$D$2:$D$7, MATCH(F2216, Unit_Grades!$A$2:$A$7, 0)),1)</f>
        <v>81.2</v>
      </c>
      <c r="N2216" s="6" t="n">
        <f aca="false">ROUND(M2216/24,2)</f>
        <v>3.38</v>
      </c>
    </row>
    <row r="2217" customFormat="false" ht="15" hidden="false" customHeight="true" outlineLevel="0" collapsed="false">
      <c r="A2217" s="6" t="n">
        <v>7</v>
      </c>
      <c r="B2217" s="6" t="s">
        <v>3661</v>
      </c>
      <c r="C2217" s="6" t="s">
        <v>1528</v>
      </c>
      <c r="D2217" s="6" t="str">
        <f aca="false">A2217&amp;"|"&amp;C2217</f>
        <v>7|Aether Weaver</v>
      </c>
      <c r="E2217" s="6" t="s">
        <v>1556</v>
      </c>
      <c r="F2217" s="6" t="s">
        <v>1540</v>
      </c>
      <c r="G2217" s="6" t="str">
        <f aca="false">INDEX(Archetypes!$D$2:$D$127, MATCH(D2217, Archetypes!$A$2:$A$127, 0))</f>
        <v>EW/Utility</v>
      </c>
      <c r="H2217" s="6" t="n">
        <f aca="false">ROUND(INDEX(Archetypes!$E$2:$E$127, MATCH(D2217, Archetypes!$A$2:$A$127, 0))*INDEX(Unit_Grades!$B$2:$B$7, MATCH(F2217, Unit_Grades!$A$2:$A$7, 0))*INDEX(Unit_Paths!$B$2:$B$4, MATCH(E2217, Unit_Paths!$A$2:$A$4, 0)),1)</f>
        <v>1755</v>
      </c>
      <c r="I2217" s="6" t="n">
        <f aca="false">ROUND(INDEX(Archetypes!$F$2:$F$127, MATCH(D2217, Archetypes!$A$2:$A$127, 0))*INDEX(Unit_Grades!$B$2:$B$7, MATCH(F2217, Unit_Grades!$A$2:$A$7, 0))*INDEX(Unit_Paths!$C$2:$C$4, MATCH(E2217, Unit_Paths!$A$2:$A$4, 0)),1)</f>
        <v>2025</v>
      </c>
      <c r="J2217" s="6" t="n">
        <f aca="false">ROUND(INDEX(Archetypes!$G$2:$G$127, MATCH(D2217, Archetypes!$A$2:$A$127, 0))*INDEX(Unit_Grades!$B$2:$B$7, MATCH(F2217, Unit_Grades!$A$2:$A$7, 0))*INDEX(Unit_Paths!$D$2:$D$4, MATCH(E2217, Unit_Paths!$A$2:$A$4, 0)),0)</f>
        <v>9450</v>
      </c>
      <c r="K2217" s="6" t="n">
        <f aca="false">ROUND(INDEX(Archetypes!$H$2:$H$127, MATCH(D2217, Archetypes!$A$2:$A$127, 0))*INDEX(Unit_Paths!$E$2:$E$4, MATCH(E2217, Unit_Paths!$A$2:$A$4, 0)),1)</f>
        <v>68</v>
      </c>
      <c r="L2217" s="6" t="n">
        <f aca="false">ROUND(INDEX(Archetypes!$I$2:$I$127, MATCH(D2217, Archetypes!$A$2:$A$127, 0))*INDEX(Unit_Grades!$C$2:$C$7, MATCH(F2217, Unit_Grades!$A$2:$A$7, 0)),1)</f>
        <v>250</v>
      </c>
      <c r="M2217" s="6" t="n">
        <f aca="false">ROUND(INDEX(Archetypes!$J$2:$J$127, MATCH(D2217, Archetypes!$A$2:$A$127, 0))*INDEX(Unit_Grades!$D$2:$D$7, MATCH(F2217, Unit_Grades!$A$2:$A$7, 0)),1)</f>
        <v>121.8</v>
      </c>
      <c r="N2217" s="6" t="n">
        <f aca="false">ROUND(M2217/24,2)</f>
        <v>5.08</v>
      </c>
    </row>
    <row r="2218" customFormat="false" ht="15" hidden="false" customHeight="true" outlineLevel="0" collapsed="false">
      <c r="A2218" s="6" t="n">
        <v>7</v>
      </c>
      <c r="B2218" s="6" t="s">
        <v>3662</v>
      </c>
      <c r="C2218" s="6" t="s">
        <v>1528</v>
      </c>
      <c r="D2218" s="6" t="str">
        <f aca="false">A2218&amp;"|"&amp;C2218</f>
        <v>7|Aether Weaver</v>
      </c>
      <c r="E2218" s="6" t="s">
        <v>1556</v>
      </c>
      <c r="F2218" s="6" t="s">
        <v>1542</v>
      </c>
      <c r="G2218" s="6" t="str">
        <f aca="false">INDEX(Archetypes!$D$2:$D$127, MATCH(D2218, Archetypes!$A$2:$A$127, 0))</f>
        <v>EW/Utility</v>
      </c>
      <c r="H2218" s="6" t="n">
        <f aca="false">ROUND(INDEX(Archetypes!$E$2:$E$127, MATCH(D2218, Archetypes!$A$2:$A$127, 0))*INDEX(Unit_Grades!$B$2:$B$7, MATCH(F2218, Unit_Grades!$A$2:$A$7, 0))*INDEX(Unit_Paths!$B$2:$B$4, MATCH(E2218, Unit_Paths!$A$2:$A$4, 0)),1)</f>
        <v>2340</v>
      </c>
      <c r="I2218" s="6" t="n">
        <f aca="false">ROUND(INDEX(Archetypes!$F$2:$F$127, MATCH(D2218, Archetypes!$A$2:$A$127, 0))*INDEX(Unit_Grades!$B$2:$B$7, MATCH(F2218, Unit_Grades!$A$2:$A$7, 0))*INDEX(Unit_Paths!$C$2:$C$4, MATCH(E2218, Unit_Paths!$A$2:$A$4, 0)),1)</f>
        <v>2700</v>
      </c>
      <c r="J2218" s="6" t="n">
        <f aca="false">ROUND(INDEX(Archetypes!$G$2:$G$127, MATCH(D2218, Archetypes!$A$2:$A$127, 0))*INDEX(Unit_Grades!$B$2:$B$7, MATCH(F2218, Unit_Grades!$A$2:$A$7, 0))*INDEX(Unit_Paths!$D$2:$D$4, MATCH(E2218, Unit_Paths!$A$2:$A$4, 0)),0)</f>
        <v>12600</v>
      </c>
      <c r="K2218" s="6" t="n">
        <f aca="false">ROUND(INDEX(Archetypes!$H$2:$H$127, MATCH(D2218, Archetypes!$A$2:$A$127, 0))*INDEX(Unit_Paths!$E$2:$E$4, MATCH(E2218, Unit_Paths!$A$2:$A$4, 0)),1)</f>
        <v>68</v>
      </c>
      <c r="L2218" s="6" t="n">
        <f aca="false">ROUND(INDEX(Archetypes!$I$2:$I$127, MATCH(D2218, Archetypes!$A$2:$A$127, 0))*INDEX(Unit_Grades!$C$2:$C$7, MATCH(F2218, Unit_Grades!$A$2:$A$7, 0)),1)</f>
        <v>320</v>
      </c>
      <c r="M2218" s="6" t="n">
        <f aca="false">ROUND(INDEX(Archetypes!$J$2:$J$127, MATCH(D2218, Archetypes!$A$2:$A$127, 0))*INDEX(Unit_Grades!$D$2:$D$7, MATCH(F2218, Unit_Grades!$A$2:$A$7, 0)),1)</f>
        <v>202.9</v>
      </c>
      <c r="N2218" s="6" t="n">
        <f aca="false">ROUND(M2218/24,2)</f>
        <v>8.45</v>
      </c>
    </row>
    <row r="2219" customFormat="false" ht="15" hidden="false" customHeight="true" outlineLevel="0" collapsed="false">
      <c r="A2219" s="6" t="n">
        <v>7</v>
      </c>
      <c r="B2219" s="6" t="s">
        <v>3663</v>
      </c>
      <c r="C2219" s="6" t="s">
        <v>1528</v>
      </c>
      <c r="D2219" s="6" t="str">
        <f aca="false">A2219&amp;"|"&amp;C2219</f>
        <v>7|Aether Weaver</v>
      </c>
      <c r="E2219" s="6" t="s">
        <v>1556</v>
      </c>
      <c r="F2219" s="6" t="s">
        <v>1544</v>
      </c>
      <c r="G2219" s="6" t="str">
        <f aca="false">INDEX(Archetypes!$D$2:$D$127, MATCH(D2219, Archetypes!$A$2:$A$127, 0))</f>
        <v>EW/Utility</v>
      </c>
      <c r="H2219" s="6" t="n">
        <f aca="false">ROUND(INDEX(Archetypes!$E$2:$E$127, MATCH(D2219, Archetypes!$A$2:$A$127, 0))*INDEX(Unit_Grades!$B$2:$B$7, MATCH(F2219, Unit_Grades!$A$2:$A$7, 0))*INDEX(Unit_Paths!$B$2:$B$4, MATCH(E2219, Unit_Paths!$A$2:$A$4, 0)),1)</f>
        <v>3120</v>
      </c>
      <c r="I2219" s="6" t="n">
        <f aca="false">ROUND(INDEX(Archetypes!$F$2:$F$127, MATCH(D2219, Archetypes!$A$2:$A$127, 0))*INDEX(Unit_Grades!$B$2:$B$7, MATCH(F2219, Unit_Grades!$A$2:$A$7, 0))*INDEX(Unit_Paths!$C$2:$C$4, MATCH(E2219, Unit_Paths!$A$2:$A$4, 0)),1)</f>
        <v>3600</v>
      </c>
      <c r="J2219" s="6" t="n">
        <f aca="false">ROUND(INDEX(Archetypes!$G$2:$G$127, MATCH(D2219, Archetypes!$A$2:$A$127, 0))*INDEX(Unit_Grades!$B$2:$B$7, MATCH(F2219, Unit_Grades!$A$2:$A$7, 0))*INDEX(Unit_Paths!$D$2:$D$4, MATCH(E2219, Unit_Paths!$A$2:$A$4, 0)),0)</f>
        <v>16800</v>
      </c>
      <c r="K2219" s="6" t="n">
        <f aca="false">ROUND(INDEX(Archetypes!$H$2:$H$127, MATCH(D2219, Archetypes!$A$2:$A$127, 0))*INDEX(Unit_Paths!$E$2:$E$4, MATCH(E2219, Unit_Paths!$A$2:$A$4, 0)),1)</f>
        <v>68</v>
      </c>
      <c r="L2219" s="6" t="n">
        <f aca="false">ROUND(INDEX(Archetypes!$I$2:$I$127, MATCH(D2219, Archetypes!$A$2:$A$127, 0))*INDEX(Unit_Grades!$C$2:$C$7, MATCH(F2219, Unit_Grades!$A$2:$A$7, 0)),1)</f>
        <v>420</v>
      </c>
      <c r="M2219" s="6" t="n">
        <f aca="false">ROUND(INDEX(Archetypes!$J$2:$J$127, MATCH(D2219, Archetypes!$A$2:$A$127, 0))*INDEX(Unit_Grades!$D$2:$D$7, MATCH(F2219, Unit_Grades!$A$2:$A$7, 0)),1)</f>
        <v>324.7</v>
      </c>
      <c r="N2219" s="6" t="n">
        <f aca="false">ROUND(M2219/24,2)</f>
        <v>13.53</v>
      </c>
    </row>
    <row r="2220" customFormat="false" ht="15" hidden="false" customHeight="true" outlineLevel="0" collapsed="false">
      <c r="A2220" s="6" t="n">
        <v>7</v>
      </c>
      <c r="B2220" s="6" t="s">
        <v>3664</v>
      </c>
      <c r="C2220" s="6" t="s">
        <v>1528</v>
      </c>
      <c r="D2220" s="6" t="str">
        <f aca="false">A2220&amp;"|"&amp;C2220</f>
        <v>7|Aether Weaver</v>
      </c>
      <c r="E2220" s="6" t="s">
        <v>1556</v>
      </c>
      <c r="F2220" s="6" t="s">
        <v>1546</v>
      </c>
      <c r="G2220" s="6" t="str">
        <f aca="false">INDEX(Archetypes!$D$2:$D$127, MATCH(D2220, Archetypes!$A$2:$A$127, 0))</f>
        <v>EW/Utility</v>
      </c>
      <c r="H2220" s="6" t="n">
        <f aca="false">ROUND(INDEX(Archetypes!$E$2:$E$127, MATCH(D2220, Archetypes!$A$2:$A$127, 0))*INDEX(Unit_Grades!$B$2:$B$7, MATCH(F2220, Unit_Grades!$A$2:$A$7, 0))*INDEX(Unit_Paths!$B$2:$B$4, MATCH(E2220, Unit_Paths!$A$2:$A$4, 0)),1)</f>
        <v>4160</v>
      </c>
      <c r="I2220" s="6" t="n">
        <f aca="false">ROUND(INDEX(Archetypes!$F$2:$F$127, MATCH(D2220, Archetypes!$A$2:$A$127, 0))*INDEX(Unit_Grades!$B$2:$B$7, MATCH(F2220, Unit_Grades!$A$2:$A$7, 0))*INDEX(Unit_Paths!$C$2:$C$4, MATCH(E2220, Unit_Paths!$A$2:$A$4, 0)),1)</f>
        <v>4800</v>
      </c>
      <c r="J2220" s="6" t="n">
        <f aca="false">ROUND(INDEX(Archetypes!$G$2:$G$127, MATCH(D2220, Archetypes!$A$2:$A$127, 0))*INDEX(Unit_Grades!$B$2:$B$7, MATCH(F2220, Unit_Grades!$A$2:$A$7, 0))*INDEX(Unit_Paths!$D$2:$D$4, MATCH(E2220, Unit_Paths!$A$2:$A$4, 0)),0)</f>
        <v>22400</v>
      </c>
      <c r="K2220" s="6" t="n">
        <f aca="false">ROUND(INDEX(Archetypes!$H$2:$H$127, MATCH(D2220, Archetypes!$A$2:$A$127, 0))*INDEX(Unit_Paths!$E$2:$E$4, MATCH(E2220, Unit_Paths!$A$2:$A$4, 0)),1)</f>
        <v>68</v>
      </c>
      <c r="L2220" s="6" t="n">
        <f aca="false">ROUND(INDEX(Archetypes!$I$2:$I$127, MATCH(D2220, Archetypes!$A$2:$A$127, 0))*INDEX(Unit_Grades!$C$2:$C$7, MATCH(F2220, Unit_Grades!$A$2:$A$7, 0)),1)</f>
        <v>560</v>
      </c>
      <c r="M2220" s="6" t="n">
        <f aca="false">ROUND(INDEX(Archetypes!$J$2:$J$127, MATCH(D2220, Archetypes!$A$2:$A$127, 0))*INDEX(Unit_Grades!$D$2:$D$7, MATCH(F2220, Unit_Grades!$A$2:$A$7, 0)),1)</f>
        <v>568.2</v>
      </c>
      <c r="N2220" s="6" t="n">
        <f aca="false">ROUND(M2220/24,2)</f>
        <v>23.68</v>
      </c>
    </row>
    <row r="2221" customFormat="false" ht="15" hidden="false" customHeight="true" outlineLevel="0" collapsed="false">
      <c r="A2221" s="6" t="n">
        <v>7</v>
      </c>
      <c r="B2221" s="6" t="s">
        <v>3665</v>
      </c>
      <c r="C2221" s="6" t="s">
        <v>1528</v>
      </c>
      <c r="D2221" s="6" t="str">
        <f aca="false">A2221&amp;"|"&amp;C2221</f>
        <v>7|Aether Weaver</v>
      </c>
      <c r="E2221" s="6" t="s">
        <v>1556</v>
      </c>
      <c r="F2221" s="6" t="s">
        <v>1548</v>
      </c>
      <c r="G2221" s="6" t="str">
        <f aca="false">INDEX(Archetypes!$D$2:$D$127, MATCH(D2221, Archetypes!$A$2:$A$127, 0))</f>
        <v>EW/Utility</v>
      </c>
      <c r="H2221" s="6" t="n">
        <f aca="false">ROUND(INDEX(Archetypes!$E$2:$E$127, MATCH(D2221, Archetypes!$A$2:$A$127, 0))*INDEX(Unit_Grades!$B$2:$B$7, MATCH(F2221, Unit_Grades!$A$2:$A$7, 0))*INDEX(Unit_Paths!$B$2:$B$4, MATCH(E2221, Unit_Paths!$A$2:$A$4, 0)),1)</f>
        <v>5460</v>
      </c>
      <c r="I2221" s="6" t="n">
        <f aca="false">ROUND(INDEX(Archetypes!$F$2:$F$127, MATCH(D2221, Archetypes!$A$2:$A$127, 0))*INDEX(Unit_Grades!$B$2:$B$7, MATCH(F2221, Unit_Grades!$A$2:$A$7, 0))*INDEX(Unit_Paths!$C$2:$C$4, MATCH(E2221, Unit_Paths!$A$2:$A$4, 0)),1)</f>
        <v>6300</v>
      </c>
      <c r="J2221" s="6" t="n">
        <f aca="false">ROUND(INDEX(Archetypes!$G$2:$G$127, MATCH(D2221, Archetypes!$A$2:$A$127, 0))*INDEX(Unit_Grades!$B$2:$B$7, MATCH(F2221, Unit_Grades!$A$2:$A$7, 0))*INDEX(Unit_Paths!$D$2:$D$4, MATCH(E2221, Unit_Paths!$A$2:$A$4, 0)),0)</f>
        <v>29400</v>
      </c>
      <c r="K2221" s="6" t="n">
        <f aca="false">ROUND(INDEX(Archetypes!$H$2:$H$127, MATCH(D2221, Archetypes!$A$2:$A$127, 0))*INDEX(Unit_Paths!$E$2:$E$4, MATCH(E2221, Unit_Paths!$A$2:$A$4, 0)),1)</f>
        <v>68</v>
      </c>
      <c r="L2221" s="6" t="n">
        <f aca="false">ROUND(INDEX(Archetypes!$I$2:$I$127, MATCH(D2221, Archetypes!$A$2:$A$127, 0))*INDEX(Unit_Grades!$C$2:$C$7, MATCH(F2221, Unit_Grades!$A$2:$A$7, 0)),1)</f>
        <v>740</v>
      </c>
      <c r="M2221" s="6" t="n">
        <f aca="false">ROUND(INDEX(Archetypes!$J$2:$J$127, MATCH(D2221, Archetypes!$A$2:$A$127, 0))*INDEX(Unit_Grades!$D$2:$D$7, MATCH(F2221, Unit_Grades!$A$2:$A$7, 0)),1)</f>
        <v>974</v>
      </c>
      <c r="N2221" s="6" t="n">
        <f aca="false">ROUND(M2221/24,2)</f>
        <v>40.58</v>
      </c>
    </row>
    <row r="2222" customFormat="false" ht="15" hidden="false" customHeight="true" outlineLevel="0" collapsed="false">
      <c r="A2222" s="6" t="n">
        <v>7</v>
      </c>
      <c r="B2222" s="6" t="s">
        <v>3666</v>
      </c>
      <c r="C2222" s="6" t="s">
        <v>1528</v>
      </c>
      <c r="D2222" s="6" t="str">
        <f aca="false">A2222&amp;"|"&amp;C2222</f>
        <v>7|Aether Weaver</v>
      </c>
      <c r="E2222" s="6" t="s">
        <v>1558</v>
      </c>
      <c r="F2222" s="6" t="s">
        <v>1538</v>
      </c>
      <c r="G2222" s="6" t="str">
        <f aca="false">INDEX(Archetypes!$D$2:$D$127, MATCH(D2222, Archetypes!$A$2:$A$127, 0))</f>
        <v>EW/Utility</v>
      </c>
      <c r="H2222" s="6" t="n">
        <f aca="false">ROUND(INDEX(Archetypes!$E$2:$E$127, MATCH(D2222, Archetypes!$A$2:$A$127, 0))*INDEX(Unit_Grades!$B$2:$B$7, MATCH(F2222, Unit_Grades!$A$2:$A$7, 0))*INDEX(Unit_Paths!$B$2:$B$4, MATCH(E2222, Unit_Paths!$A$2:$A$4, 0)),1)</f>
        <v>1560</v>
      </c>
      <c r="I2222" s="6" t="n">
        <f aca="false">ROUND(INDEX(Archetypes!$F$2:$F$127, MATCH(D2222, Archetypes!$A$2:$A$127, 0))*INDEX(Unit_Grades!$B$2:$B$7, MATCH(F2222, Unit_Grades!$A$2:$A$7, 0))*INDEX(Unit_Paths!$C$2:$C$4, MATCH(E2222, Unit_Paths!$A$2:$A$4, 0)),1)</f>
        <v>1275</v>
      </c>
      <c r="J2222" s="6" t="n">
        <f aca="false">ROUND(INDEX(Archetypes!$G$2:$G$127, MATCH(D2222, Archetypes!$A$2:$A$127, 0))*INDEX(Unit_Grades!$B$2:$B$7, MATCH(F2222, Unit_Grades!$A$2:$A$7, 0))*INDEX(Unit_Paths!$D$2:$D$4, MATCH(E2222, Unit_Paths!$A$2:$A$4, 0)),0)</f>
        <v>6650</v>
      </c>
      <c r="K2222" s="6" t="n">
        <f aca="false">ROUND(INDEX(Archetypes!$H$2:$H$127, MATCH(D2222, Archetypes!$A$2:$A$127, 0))*INDEX(Unit_Paths!$E$2:$E$4, MATCH(E2222, Unit_Paths!$A$2:$A$4, 0)),1)</f>
        <v>71.4</v>
      </c>
      <c r="L2222" s="6" t="n">
        <f aca="false">ROUND(INDEX(Archetypes!$I$2:$I$127, MATCH(D2222, Archetypes!$A$2:$A$127, 0))*INDEX(Unit_Grades!$C$2:$C$7, MATCH(F2222, Unit_Grades!$A$2:$A$7, 0)),1)</f>
        <v>200</v>
      </c>
      <c r="M2222" s="6" t="n">
        <f aca="false">ROUND(INDEX(Archetypes!$J$2:$J$127, MATCH(D2222, Archetypes!$A$2:$A$127, 0))*INDEX(Unit_Grades!$D$2:$D$7, MATCH(F2222, Unit_Grades!$A$2:$A$7, 0)),1)</f>
        <v>81.2</v>
      </c>
      <c r="N2222" s="6" t="n">
        <f aca="false">ROUND(M2222/24,2)</f>
        <v>3.38</v>
      </c>
    </row>
    <row r="2223" customFormat="false" ht="15" hidden="false" customHeight="true" outlineLevel="0" collapsed="false">
      <c r="A2223" s="6" t="n">
        <v>7</v>
      </c>
      <c r="B2223" s="6" t="s">
        <v>3667</v>
      </c>
      <c r="C2223" s="6" t="s">
        <v>1528</v>
      </c>
      <c r="D2223" s="6" t="str">
        <f aca="false">A2223&amp;"|"&amp;C2223</f>
        <v>7|Aether Weaver</v>
      </c>
      <c r="E2223" s="6" t="s">
        <v>1558</v>
      </c>
      <c r="F2223" s="6" t="s">
        <v>1540</v>
      </c>
      <c r="G2223" s="6" t="str">
        <f aca="false">INDEX(Archetypes!$D$2:$D$127, MATCH(D2223, Archetypes!$A$2:$A$127, 0))</f>
        <v>EW/Utility</v>
      </c>
      <c r="H2223" s="6" t="n">
        <f aca="false">ROUND(INDEX(Archetypes!$E$2:$E$127, MATCH(D2223, Archetypes!$A$2:$A$127, 0))*INDEX(Unit_Grades!$B$2:$B$7, MATCH(F2223, Unit_Grades!$A$2:$A$7, 0))*INDEX(Unit_Paths!$B$2:$B$4, MATCH(E2223, Unit_Paths!$A$2:$A$4, 0)),1)</f>
        <v>2106</v>
      </c>
      <c r="I2223" s="6" t="n">
        <f aca="false">ROUND(INDEX(Archetypes!$F$2:$F$127, MATCH(D2223, Archetypes!$A$2:$A$127, 0))*INDEX(Unit_Grades!$B$2:$B$7, MATCH(F2223, Unit_Grades!$A$2:$A$7, 0))*INDEX(Unit_Paths!$C$2:$C$4, MATCH(E2223, Unit_Paths!$A$2:$A$4, 0)),1)</f>
        <v>1721.3</v>
      </c>
      <c r="J2223" s="6" t="n">
        <f aca="false">ROUND(INDEX(Archetypes!$G$2:$G$127, MATCH(D2223, Archetypes!$A$2:$A$127, 0))*INDEX(Unit_Grades!$B$2:$B$7, MATCH(F2223, Unit_Grades!$A$2:$A$7, 0))*INDEX(Unit_Paths!$D$2:$D$4, MATCH(E2223, Unit_Paths!$A$2:$A$4, 0)),0)</f>
        <v>8978</v>
      </c>
      <c r="K2223" s="6" t="n">
        <f aca="false">ROUND(INDEX(Archetypes!$H$2:$H$127, MATCH(D2223, Archetypes!$A$2:$A$127, 0))*INDEX(Unit_Paths!$E$2:$E$4, MATCH(E2223, Unit_Paths!$A$2:$A$4, 0)),1)</f>
        <v>71.4</v>
      </c>
      <c r="L2223" s="6" t="n">
        <f aca="false">ROUND(INDEX(Archetypes!$I$2:$I$127, MATCH(D2223, Archetypes!$A$2:$A$127, 0))*INDEX(Unit_Grades!$C$2:$C$7, MATCH(F2223, Unit_Grades!$A$2:$A$7, 0)),1)</f>
        <v>250</v>
      </c>
      <c r="M2223" s="6" t="n">
        <f aca="false">ROUND(INDEX(Archetypes!$J$2:$J$127, MATCH(D2223, Archetypes!$A$2:$A$127, 0))*INDEX(Unit_Grades!$D$2:$D$7, MATCH(F2223, Unit_Grades!$A$2:$A$7, 0)),1)</f>
        <v>121.8</v>
      </c>
      <c r="N2223" s="6" t="n">
        <f aca="false">ROUND(M2223/24,2)</f>
        <v>5.08</v>
      </c>
    </row>
    <row r="2224" customFormat="false" ht="15" hidden="false" customHeight="true" outlineLevel="0" collapsed="false">
      <c r="A2224" s="6" t="n">
        <v>7</v>
      </c>
      <c r="B2224" s="6" t="s">
        <v>3668</v>
      </c>
      <c r="C2224" s="6" t="s">
        <v>1528</v>
      </c>
      <c r="D2224" s="6" t="str">
        <f aca="false">A2224&amp;"|"&amp;C2224</f>
        <v>7|Aether Weaver</v>
      </c>
      <c r="E2224" s="6" t="s">
        <v>1558</v>
      </c>
      <c r="F2224" s="6" t="s">
        <v>1542</v>
      </c>
      <c r="G2224" s="6" t="str">
        <f aca="false">INDEX(Archetypes!$D$2:$D$127, MATCH(D2224, Archetypes!$A$2:$A$127, 0))</f>
        <v>EW/Utility</v>
      </c>
      <c r="H2224" s="6" t="n">
        <f aca="false">ROUND(INDEX(Archetypes!$E$2:$E$127, MATCH(D2224, Archetypes!$A$2:$A$127, 0))*INDEX(Unit_Grades!$B$2:$B$7, MATCH(F2224, Unit_Grades!$A$2:$A$7, 0))*INDEX(Unit_Paths!$B$2:$B$4, MATCH(E2224, Unit_Paths!$A$2:$A$4, 0)),1)</f>
        <v>2808</v>
      </c>
      <c r="I2224" s="6" t="n">
        <f aca="false">ROUND(INDEX(Archetypes!$F$2:$F$127, MATCH(D2224, Archetypes!$A$2:$A$127, 0))*INDEX(Unit_Grades!$B$2:$B$7, MATCH(F2224, Unit_Grades!$A$2:$A$7, 0))*INDEX(Unit_Paths!$C$2:$C$4, MATCH(E2224, Unit_Paths!$A$2:$A$4, 0)),1)</f>
        <v>2295</v>
      </c>
      <c r="J2224" s="6" t="n">
        <f aca="false">ROUND(INDEX(Archetypes!$G$2:$G$127, MATCH(D2224, Archetypes!$A$2:$A$127, 0))*INDEX(Unit_Grades!$B$2:$B$7, MATCH(F2224, Unit_Grades!$A$2:$A$7, 0))*INDEX(Unit_Paths!$D$2:$D$4, MATCH(E2224, Unit_Paths!$A$2:$A$4, 0)),0)</f>
        <v>11970</v>
      </c>
      <c r="K2224" s="6" t="n">
        <f aca="false">ROUND(INDEX(Archetypes!$H$2:$H$127, MATCH(D2224, Archetypes!$A$2:$A$127, 0))*INDEX(Unit_Paths!$E$2:$E$4, MATCH(E2224, Unit_Paths!$A$2:$A$4, 0)),1)</f>
        <v>71.4</v>
      </c>
      <c r="L2224" s="6" t="n">
        <f aca="false">ROUND(INDEX(Archetypes!$I$2:$I$127, MATCH(D2224, Archetypes!$A$2:$A$127, 0))*INDEX(Unit_Grades!$C$2:$C$7, MATCH(F2224, Unit_Grades!$A$2:$A$7, 0)),1)</f>
        <v>320</v>
      </c>
      <c r="M2224" s="6" t="n">
        <f aca="false">ROUND(INDEX(Archetypes!$J$2:$J$127, MATCH(D2224, Archetypes!$A$2:$A$127, 0))*INDEX(Unit_Grades!$D$2:$D$7, MATCH(F2224, Unit_Grades!$A$2:$A$7, 0)),1)</f>
        <v>202.9</v>
      </c>
      <c r="N2224" s="6" t="n">
        <f aca="false">ROUND(M2224/24,2)</f>
        <v>8.45</v>
      </c>
    </row>
    <row r="2225" customFormat="false" ht="15" hidden="false" customHeight="true" outlineLevel="0" collapsed="false">
      <c r="A2225" s="6" t="n">
        <v>7</v>
      </c>
      <c r="B2225" s="6" t="s">
        <v>3669</v>
      </c>
      <c r="C2225" s="6" t="s">
        <v>1528</v>
      </c>
      <c r="D2225" s="6" t="str">
        <f aca="false">A2225&amp;"|"&amp;C2225</f>
        <v>7|Aether Weaver</v>
      </c>
      <c r="E2225" s="6" t="s">
        <v>1558</v>
      </c>
      <c r="F2225" s="6" t="s">
        <v>1544</v>
      </c>
      <c r="G2225" s="6" t="str">
        <f aca="false">INDEX(Archetypes!$D$2:$D$127, MATCH(D2225, Archetypes!$A$2:$A$127, 0))</f>
        <v>EW/Utility</v>
      </c>
      <c r="H2225" s="6" t="n">
        <f aca="false">ROUND(INDEX(Archetypes!$E$2:$E$127, MATCH(D2225, Archetypes!$A$2:$A$127, 0))*INDEX(Unit_Grades!$B$2:$B$7, MATCH(F2225, Unit_Grades!$A$2:$A$7, 0))*INDEX(Unit_Paths!$B$2:$B$4, MATCH(E2225, Unit_Paths!$A$2:$A$4, 0)),1)</f>
        <v>3744</v>
      </c>
      <c r="I2225" s="6" t="n">
        <f aca="false">ROUND(INDEX(Archetypes!$F$2:$F$127, MATCH(D2225, Archetypes!$A$2:$A$127, 0))*INDEX(Unit_Grades!$B$2:$B$7, MATCH(F2225, Unit_Grades!$A$2:$A$7, 0))*INDEX(Unit_Paths!$C$2:$C$4, MATCH(E2225, Unit_Paths!$A$2:$A$4, 0)),1)</f>
        <v>3060</v>
      </c>
      <c r="J2225" s="6" t="n">
        <f aca="false">ROUND(INDEX(Archetypes!$G$2:$G$127, MATCH(D2225, Archetypes!$A$2:$A$127, 0))*INDEX(Unit_Grades!$B$2:$B$7, MATCH(F2225, Unit_Grades!$A$2:$A$7, 0))*INDEX(Unit_Paths!$D$2:$D$4, MATCH(E2225, Unit_Paths!$A$2:$A$4, 0)),0)</f>
        <v>15960</v>
      </c>
      <c r="K2225" s="6" t="n">
        <f aca="false">ROUND(INDEX(Archetypes!$H$2:$H$127, MATCH(D2225, Archetypes!$A$2:$A$127, 0))*INDEX(Unit_Paths!$E$2:$E$4, MATCH(E2225, Unit_Paths!$A$2:$A$4, 0)),1)</f>
        <v>71.4</v>
      </c>
      <c r="L2225" s="6" t="n">
        <f aca="false">ROUND(INDEX(Archetypes!$I$2:$I$127, MATCH(D2225, Archetypes!$A$2:$A$127, 0))*INDEX(Unit_Grades!$C$2:$C$7, MATCH(F2225, Unit_Grades!$A$2:$A$7, 0)),1)</f>
        <v>420</v>
      </c>
      <c r="M2225" s="6" t="n">
        <f aca="false">ROUND(INDEX(Archetypes!$J$2:$J$127, MATCH(D2225, Archetypes!$A$2:$A$127, 0))*INDEX(Unit_Grades!$D$2:$D$7, MATCH(F2225, Unit_Grades!$A$2:$A$7, 0)),1)</f>
        <v>324.7</v>
      </c>
      <c r="N2225" s="6" t="n">
        <f aca="false">ROUND(M2225/24,2)</f>
        <v>13.53</v>
      </c>
    </row>
    <row r="2226" customFormat="false" ht="15" hidden="false" customHeight="true" outlineLevel="0" collapsed="false">
      <c r="A2226" s="6" t="n">
        <v>7</v>
      </c>
      <c r="B2226" s="6" t="s">
        <v>3670</v>
      </c>
      <c r="C2226" s="6" t="s">
        <v>1528</v>
      </c>
      <c r="D2226" s="6" t="str">
        <f aca="false">A2226&amp;"|"&amp;C2226</f>
        <v>7|Aether Weaver</v>
      </c>
      <c r="E2226" s="6" t="s">
        <v>1558</v>
      </c>
      <c r="F2226" s="6" t="s">
        <v>1546</v>
      </c>
      <c r="G2226" s="6" t="str">
        <f aca="false">INDEX(Archetypes!$D$2:$D$127, MATCH(D2226, Archetypes!$A$2:$A$127, 0))</f>
        <v>EW/Utility</v>
      </c>
      <c r="H2226" s="6" t="n">
        <f aca="false">ROUND(INDEX(Archetypes!$E$2:$E$127, MATCH(D2226, Archetypes!$A$2:$A$127, 0))*INDEX(Unit_Grades!$B$2:$B$7, MATCH(F2226, Unit_Grades!$A$2:$A$7, 0))*INDEX(Unit_Paths!$B$2:$B$4, MATCH(E2226, Unit_Paths!$A$2:$A$4, 0)),1)</f>
        <v>4992</v>
      </c>
      <c r="I2226" s="6" t="n">
        <f aca="false">ROUND(INDEX(Archetypes!$F$2:$F$127, MATCH(D2226, Archetypes!$A$2:$A$127, 0))*INDEX(Unit_Grades!$B$2:$B$7, MATCH(F2226, Unit_Grades!$A$2:$A$7, 0))*INDEX(Unit_Paths!$C$2:$C$4, MATCH(E2226, Unit_Paths!$A$2:$A$4, 0)),1)</f>
        <v>4080</v>
      </c>
      <c r="J2226" s="6" t="n">
        <f aca="false">ROUND(INDEX(Archetypes!$G$2:$G$127, MATCH(D2226, Archetypes!$A$2:$A$127, 0))*INDEX(Unit_Grades!$B$2:$B$7, MATCH(F2226, Unit_Grades!$A$2:$A$7, 0))*INDEX(Unit_Paths!$D$2:$D$4, MATCH(E2226, Unit_Paths!$A$2:$A$4, 0)),0)</f>
        <v>21280</v>
      </c>
      <c r="K2226" s="6" t="n">
        <f aca="false">ROUND(INDEX(Archetypes!$H$2:$H$127, MATCH(D2226, Archetypes!$A$2:$A$127, 0))*INDEX(Unit_Paths!$E$2:$E$4, MATCH(E2226, Unit_Paths!$A$2:$A$4, 0)),1)</f>
        <v>71.4</v>
      </c>
      <c r="L2226" s="6" t="n">
        <f aca="false">ROUND(INDEX(Archetypes!$I$2:$I$127, MATCH(D2226, Archetypes!$A$2:$A$127, 0))*INDEX(Unit_Grades!$C$2:$C$7, MATCH(F2226, Unit_Grades!$A$2:$A$7, 0)),1)</f>
        <v>560</v>
      </c>
      <c r="M2226" s="6" t="n">
        <f aca="false">ROUND(INDEX(Archetypes!$J$2:$J$127, MATCH(D2226, Archetypes!$A$2:$A$127, 0))*INDEX(Unit_Grades!$D$2:$D$7, MATCH(F2226, Unit_Grades!$A$2:$A$7, 0)),1)</f>
        <v>568.2</v>
      </c>
      <c r="N2226" s="6" t="n">
        <f aca="false">ROUND(M2226/24,2)</f>
        <v>23.68</v>
      </c>
    </row>
    <row r="2227" customFormat="false" ht="15" hidden="false" customHeight="true" outlineLevel="0" collapsed="false">
      <c r="A2227" s="6" t="n">
        <v>7</v>
      </c>
      <c r="B2227" s="6" t="s">
        <v>3671</v>
      </c>
      <c r="C2227" s="6" t="s">
        <v>1528</v>
      </c>
      <c r="D2227" s="6" t="str">
        <f aca="false">A2227&amp;"|"&amp;C2227</f>
        <v>7|Aether Weaver</v>
      </c>
      <c r="E2227" s="6" t="s">
        <v>1558</v>
      </c>
      <c r="F2227" s="6" t="s">
        <v>1548</v>
      </c>
      <c r="G2227" s="6" t="str">
        <f aca="false">INDEX(Archetypes!$D$2:$D$127, MATCH(D2227, Archetypes!$A$2:$A$127, 0))</f>
        <v>EW/Utility</v>
      </c>
      <c r="H2227" s="6" t="n">
        <f aca="false">ROUND(INDEX(Archetypes!$E$2:$E$127, MATCH(D2227, Archetypes!$A$2:$A$127, 0))*INDEX(Unit_Grades!$B$2:$B$7, MATCH(F2227, Unit_Grades!$A$2:$A$7, 0))*INDEX(Unit_Paths!$B$2:$B$4, MATCH(E2227, Unit_Paths!$A$2:$A$4, 0)),1)</f>
        <v>6552</v>
      </c>
      <c r="I2227" s="6" t="n">
        <f aca="false">ROUND(INDEX(Archetypes!$F$2:$F$127, MATCH(D2227, Archetypes!$A$2:$A$127, 0))*INDEX(Unit_Grades!$B$2:$B$7, MATCH(F2227, Unit_Grades!$A$2:$A$7, 0))*INDEX(Unit_Paths!$C$2:$C$4, MATCH(E2227, Unit_Paths!$A$2:$A$4, 0)),1)</f>
        <v>5355</v>
      </c>
      <c r="J2227" s="6" t="n">
        <f aca="false">ROUND(INDEX(Archetypes!$G$2:$G$127, MATCH(D2227, Archetypes!$A$2:$A$127, 0))*INDEX(Unit_Grades!$B$2:$B$7, MATCH(F2227, Unit_Grades!$A$2:$A$7, 0))*INDEX(Unit_Paths!$D$2:$D$4, MATCH(E2227, Unit_Paths!$A$2:$A$4, 0)),0)</f>
        <v>27930</v>
      </c>
      <c r="K2227" s="6" t="n">
        <f aca="false">ROUND(INDEX(Archetypes!$H$2:$H$127, MATCH(D2227, Archetypes!$A$2:$A$127, 0))*INDEX(Unit_Paths!$E$2:$E$4, MATCH(E2227, Unit_Paths!$A$2:$A$4, 0)),1)</f>
        <v>71.4</v>
      </c>
      <c r="L2227" s="6" t="n">
        <f aca="false">ROUND(INDEX(Archetypes!$I$2:$I$127, MATCH(D2227, Archetypes!$A$2:$A$127, 0))*INDEX(Unit_Grades!$C$2:$C$7, MATCH(F2227, Unit_Grades!$A$2:$A$7, 0)),1)</f>
        <v>740</v>
      </c>
      <c r="M2227" s="6" t="n">
        <f aca="false">ROUND(INDEX(Archetypes!$J$2:$J$127, MATCH(D2227, Archetypes!$A$2:$A$127, 0))*INDEX(Unit_Grades!$D$2:$D$7, MATCH(F2227, Unit_Grades!$A$2:$A$7, 0)),1)</f>
        <v>974</v>
      </c>
      <c r="N2227" s="6" t="n">
        <f aca="false">ROUND(M2227/24,2)</f>
        <v>40.58</v>
      </c>
    </row>
    <row r="2228" customFormat="false" ht="15" hidden="false" customHeight="true" outlineLevel="0" collapsed="false">
      <c r="A2228" s="6" t="n">
        <v>7</v>
      </c>
      <c r="B2228" s="6" t="s">
        <v>3672</v>
      </c>
      <c r="C2228" s="6" t="s">
        <v>1528</v>
      </c>
      <c r="D2228" s="6" t="str">
        <f aca="false">A2228&amp;"|"&amp;C2228</f>
        <v>7|Aether Weaver</v>
      </c>
      <c r="E2228" s="6" t="s">
        <v>1560</v>
      </c>
      <c r="F2228" s="6" t="s">
        <v>1538</v>
      </c>
      <c r="G2228" s="6" t="str">
        <f aca="false">INDEX(Archetypes!$D$2:$D$127, MATCH(D2228, Archetypes!$A$2:$A$127, 0))</f>
        <v>EW/Utility</v>
      </c>
      <c r="H2228" s="6" t="n">
        <f aca="false">ROUND(INDEX(Archetypes!$E$2:$E$127, MATCH(D2228, Archetypes!$A$2:$A$127, 0))*INDEX(Unit_Grades!$B$2:$B$7, MATCH(F2228, Unit_Grades!$A$2:$A$7, 0))*INDEX(Unit_Paths!$B$2:$B$4, MATCH(E2228, Unit_Paths!$A$2:$A$4, 0)),1)</f>
        <v>1105</v>
      </c>
      <c r="I2228" s="6" t="n">
        <f aca="false">ROUND(INDEX(Archetypes!$F$2:$F$127, MATCH(D2228, Archetypes!$A$2:$A$127, 0))*INDEX(Unit_Grades!$B$2:$B$7, MATCH(F2228, Unit_Grades!$A$2:$A$7, 0))*INDEX(Unit_Paths!$C$2:$C$4, MATCH(E2228, Unit_Paths!$A$2:$A$4, 0)),1)</f>
        <v>1875</v>
      </c>
      <c r="J2228" s="6" t="n">
        <f aca="false">ROUND(INDEX(Archetypes!$G$2:$G$127, MATCH(D2228, Archetypes!$A$2:$A$127, 0))*INDEX(Unit_Grades!$B$2:$B$7, MATCH(F2228, Unit_Grades!$A$2:$A$7, 0))*INDEX(Unit_Paths!$D$2:$D$4, MATCH(E2228, Unit_Paths!$A$2:$A$4, 0)),0)</f>
        <v>8050</v>
      </c>
      <c r="K2228" s="6" t="n">
        <f aca="false">ROUND(INDEX(Archetypes!$H$2:$H$127, MATCH(D2228, Archetypes!$A$2:$A$127, 0))*INDEX(Unit_Paths!$E$2:$E$4, MATCH(E2228, Unit_Paths!$A$2:$A$4, 0)),1)</f>
        <v>62.6</v>
      </c>
      <c r="L2228" s="6" t="n">
        <f aca="false">ROUND(INDEX(Archetypes!$I$2:$I$127, MATCH(D2228, Archetypes!$A$2:$A$127, 0))*INDEX(Unit_Grades!$C$2:$C$7, MATCH(F2228, Unit_Grades!$A$2:$A$7, 0)),1)</f>
        <v>200</v>
      </c>
      <c r="M2228" s="6" t="n">
        <f aca="false">ROUND(INDEX(Archetypes!$J$2:$J$127, MATCH(D2228, Archetypes!$A$2:$A$127, 0))*INDEX(Unit_Grades!$D$2:$D$7, MATCH(F2228, Unit_Grades!$A$2:$A$7, 0)),1)</f>
        <v>81.2</v>
      </c>
      <c r="N2228" s="6" t="n">
        <f aca="false">ROUND(M2228/24,2)</f>
        <v>3.38</v>
      </c>
    </row>
    <row r="2229" customFormat="false" ht="15" hidden="false" customHeight="true" outlineLevel="0" collapsed="false">
      <c r="A2229" s="6" t="n">
        <v>7</v>
      </c>
      <c r="B2229" s="6" t="s">
        <v>3673</v>
      </c>
      <c r="C2229" s="6" t="s">
        <v>1528</v>
      </c>
      <c r="D2229" s="6" t="str">
        <f aca="false">A2229&amp;"|"&amp;C2229</f>
        <v>7|Aether Weaver</v>
      </c>
      <c r="E2229" s="6" t="s">
        <v>1560</v>
      </c>
      <c r="F2229" s="6" t="s">
        <v>1540</v>
      </c>
      <c r="G2229" s="6" t="str">
        <f aca="false">INDEX(Archetypes!$D$2:$D$127, MATCH(D2229, Archetypes!$A$2:$A$127, 0))</f>
        <v>EW/Utility</v>
      </c>
      <c r="H2229" s="6" t="n">
        <f aca="false">ROUND(INDEX(Archetypes!$E$2:$E$127, MATCH(D2229, Archetypes!$A$2:$A$127, 0))*INDEX(Unit_Grades!$B$2:$B$7, MATCH(F2229, Unit_Grades!$A$2:$A$7, 0))*INDEX(Unit_Paths!$B$2:$B$4, MATCH(E2229, Unit_Paths!$A$2:$A$4, 0)),1)</f>
        <v>1491.8</v>
      </c>
      <c r="I2229" s="6" t="n">
        <f aca="false">ROUND(INDEX(Archetypes!$F$2:$F$127, MATCH(D2229, Archetypes!$A$2:$A$127, 0))*INDEX(Unit_Grades!$B$2:$B$7, MATCH(F2229, Unit_Grades!$A$2:$A$7, 0))*INDEX(Unit_Paths!$C$2:$C$4, MATCH(E2229, Unit_Paths!$A$2:$A$4, 0)),1)</f>
        <v>2531.3</v>
      </c>
      <c r="J2229" s="6" t="n">
        <f aca="false">ROUND(INDEX(Archetypes!$G$2:$G$127, MATCH(D2229, Archetypes!$A$2:$A$127, 0))*INDEX(Unit_Grades!$B$2:$B$7, MATCH(F2229, Unit_Grades!$A$2:$A$7, 0))*INDEX(Unit_Paths!$D$2:$D$4, MATCH(E2229, Unit_Paths!$A$2:$A$4, 0)),0)</f>
        <v>10868</v>
      </c>
      <c r="K2229" s="6" t="n">
        <f aca="false">ROUND(INDEX(Archetypes!$H$2:$H$127, MATCH(D2229, Archetypes!$A$2:$A$127, 0))*INDEX(Unit_Paths!$E$2:$E$4, MATCH(E2229, Unit_Paths!$A$2:$A$4, 0)),1)</f>
        <v>62.6</v>
      </c>
      <c r="L2229" s="6" t="n">
        <f aca="false">ROUND(INDEX(Archetypes!$I$2:$I$127, MATCH(D2229, Archetypes!$A$2:$A$127, 0))*INDEX(Unit_Grades!$C$2:$C$7, MATCH(F2229, Unit_Grades!$A$2:$A$7, 0)),1)</f>
        <v>250</v>
      </c>
      <c r="M2229" s="6" t="n">
        <f aca="false">ROUND(INDEX(Archetypes!$J$2:$J$127, MATCH(D2229, Archetypes!$A$2:$A$127, 0))*INDEX(Unit_Grades!$D$2:$D$7, MATCH(F2229, Unit_Grades!$A$2:$A$7, 0)),1)</f>
        <v>121.8</v>
      </c>
      <c r="N2229" s="6" t="n">
        <f aca="false">ROUND(M2229/24,2)</f>
        <v>5.08</v>
      </c>
    </row>
    <row r="2230" customFormat="false" ht="15" hidden="false" customHeight="true" outlineLevel="0" collapsed="false">
      <c r="A2230" s="6" t="n">
        <v>7</v>
      </c>
      <c r="B2230" s="6" t="s">
        <v>3674</v>
      </c>
      <c r="C2230" s="6" t="s">
        <v>1528</v>
      </c>
      <c r="D2230" s="6" t="str">
        <f aca="false">A2230&amp;"|"&amp;C2230</f>
        <v>7|Aether Weaver</v>
      </c>
      <c r="E2230" s="6" t="s">
        <v>1560</v>
      </c>
      <c r="F2230" s="6" t="s">
        <v>1542</v>
      </c>
      <c r="G2230" s="6" t="str">
        <f aca="false">INDEX(Archetypes!$D$2:$D$127, MATCH(D2230, Archetypes!$A$2:$A$127, 0))</f>
        <v>EW/Utility</v>
      </c>
      <c r="H2230" s="6" t="n">
        <f aca="false">ROUND(INDEX(Archetypes!$E$2:$E$127, MATCH(D2230, Archetypes!$A$2:$A$127, 0))*INDEX(Unit_Grades!$B$2:$B$7, MATCH(F2230, Unit_Grades!$A$2:$A$7, 0))*INDEX(Unit_Paths!$B$2:$B$4, MATCH(E2230, Unit_Paths!$A$2:$A$4, 0)),1)</f>
        <v>1989</v>
      </c>
      <c r="I2230" s="6" t="n">
        <f aca="false">ROUND(INDEX(Archetypes!$F$2:$F$127, MATCH(D2230, Archetypes!$A$2:$A$127, 0))*INDEX(Unit_Grades!$B$2:$B$7, MATCH(F2230, Unit_Grades!$A$2:$A$7, 0))*INDEX(Unit_Paths!$C$2:$C$4, MATCH(E2230, Unit_Paths!$A$2:$A$4, 0)),1)</f>
        <v>3375</v>
      </c>
      <c r="J2230" s="6" t="n">
        <f aca="false">ROUND(INDEX(Archetypes!$G$2:$G$127, MATCH(D2230, Archetypes!$A$2:$A$127, 0))*INDEX(Unit_Grades!$B$2:$B$7, MATCH(F2230, Unit_Grades!$A$2:$A$7, 0))*INDEX(Unit_Paths!$D$2:$D$4, MATCH(E2230, Unit_Paths!$A$2:$A$4, 0)),0)</f>
        <v>14490</v>
      </c>
      <c r="K2230" s="6" t="n">
        <f aca="false">ROUND(INDEX(Archetypes!$H$2:$H$127, MATCH(D2230, Archetypes!$A$2:$A$127, 0))*INDEX(Unit_Paths!$E$2:$E$4, MATCH(E2230, Unit_Paths!$A$2:$A$4, 0)),1)</f>
        <v>62.6</v>
      </c>
      <c r="L2230" s="6" t="n">
        <f aca="false">ROUND(INDEX(Archetypes!$I$2:$I$127, MATCH(D2230, Archetypes!$A$2:$A$127, 0))*INDEX(Unit_Grades!$C$2:$C$7, MATCH(F2230, Unit_Grades!$A$2:$A$7, 0)),1)</f>
        <v>320</v>
      </c>
      <c r="M2230" s="6" t="n">
        <f aca="false">ROUND(INDEX(Archetypes!$J$2:$J$127, MATCH(D2230, Archetypes!$A$2:$A$127, 0))*INDEX(Unit_Grades!$D$2:$D$7, MATCH(F2230, Unit_Grades!$A$2:$A$7, 0)),1)</f>
        <v>202.9</v>
      </c>
      <c r="N2230" s="6" t="n">
        <f aca="false">ROUND(M2230/24,2)</f>
        <v>8.45</v>
      </c>
    </row>
    <row r="2231" customFormat="false" ht="15" hidden="false" customHeight="true" outlineLevel="0" collapsed="false">
      <c r="A2231" s="6" t="n">
        <v>7</v>
      </c>
      <c r="B2231" s="6" t="s">
        <v>3675</v>
      </c>
      <c r="C2231" s="6" t="s">
        <v>1528</v>
      </c>
      <c r="D2231" s="6" t="str">
        <f aca="false">A2231&amp;"|"&amp;C2231</f>
        <v>7|Aether Weaver</v>
      </c>
      <c r="E2231" s="6" t="s">
        <v>1560</v>
      </c>
      <c r="F2231" s="6" t="s">
        <v>1544</v>
      </c>
      <c r="G2231" s="6" t="str">
        <f aca="false">INDEX(Archetypes!$D$2:$D$127, MATCH(D2231, Archetypes!$A$2:$A$127, 0))</f>
        <v>EW/Utility</v>
      </c>
      <c r="H2231" s="6" t="n">
        <f aca="false">ROUND(INDEX(Archetypes!$E$2:$E$127, MATCH(D2231, Archetypes!$A$2:$A$127, 0))*INDEX(Unit_Grades!$B$2:$B$7, MATCH(F2231, Unit_Grades!$A$2:$A$7, 0))*INDEX(Unit_Paths!$B$2:$B$4, MATCH(E2231, Unit_Paths!$A$2:$A$4, 0)),1)</f>
        <v>2652</v>
      </c>
      <c r="I2231" s="6" t="n">
        <f aca="false">ROUND(INDEX(Archetypes!$F$2:$F$127, MATCH(D2231, Archetypes!$A$2:$A$127, 0))*INDEX(Unit_Grades!$B$2:$B$7, MATCH(F2231, Unit_Grades!$A$2:$A$7, 0))*INDEX(Unit_Paths!$C$2:$C$4, MATCH(E2231, Unit_Paths!$A$2:$A$4, 0)),1)</f>
        <v>4500</v>
      </c>
      <c r="J2231" s="6" t="n">
        <f aca="false">ROUND(INDEX(Archetypes!$G$2:$G$127, MATCH(D2231, Archetypes!$A$2:$A$127, 0))*INDEX(Unit_Grades!$B$2:$B$7, MATCH(F2231, Unit_Grades!$A$2:$A$7, 0))*INDEX(Unit_Paths!$D$2:$D$4, MATCH(E2231, Unit_Paths!$A$2:$A$4, 0)),0)</f>
        <v>19320</v>
      </c>
      <c r="K2231" s="6" t="n">
        <f aca="false">ROUND(INDEX(Archetypes!$H$2:$H$127, MATCH(D2231, Archetypes!$A$2:$A$127, 0))*INDEX(Unit_Paths!$E$2:$E$4, MATCH(E2231, Unit_Paths!$A$2:$A$4, 0)),1)</f>
        <v>62.6</v>
      </c>
      <c r="L2231" s="6" t="n">
        <f aca="false">ROUND(INDEX(Archetypes!$I$2:$I$127, MATCH(D2231, Archetypes!$A$2:$A$127, 0))*INDEX(Unit_Grades!$C$2:$C$7, MATCH(F2231, Unit_Grades!$A$2:$A$7, 0)),1)</f>
        <v>420</v>
      </c>
      <c r="M2231" s="6" t="n">
        <f aca="false">ROUND(INDEX(Archetypes!$J$2:$J$127, MATCH(D2231, Archetypes!$A$2:$A$127, 0))*INDEX(Unit_Grades!$D$2:$D$7, MATCH(F2231, Unit_Grades!$A$2:$A$7, 0)),1)</f>
        <v>324.7</v>
      </c>
      <c r="N2231" s="6" t="n">
        <f aca="false">ROUND(M2231/24,2)</f>
        <v>13.53</v>
      </c>
    </row>
    <row r="2232" customFormat="false" ht="15" hidden="false" customHeight="true" outlineLevel="0" collapsed="false">
      <c r="A2232" s="6" t="n">
        <v>7</v>
      </c>
      <c r="B2232" s="6" t="s">
        <v>3676</v>
      </c>
      <c r="C2232" s="6" t="s">
        <v>1528</v>
      </c>
      <c r="D2232" s="6" t="str">
        <f aca="false">A2232&amp;"|"&amp;C2232</f>
        <v>7|Aether Weaver</v>
      </c>
      <c r="E2232" s="6" t="s">
        <v>1560</v>
      </c>
      <c r="F2232" s="6" t="s">
        <v>1546</v>
      </c>
      <c r="G2232" s="6" t="str">
        <f aca="false">INDEX(Archetypes!$D$2:$D$127, MATCH(D2232, Archetypes!$A$2:$A$127, 0))</f>
        <v>EW/Utility</v>
      </c>
      <c r="H2232" s="6" t="n">
        <f aca="false">ROUND(INDEX(Archetypes!$E$2:$E$127, MATCH(D2232, Archetypes!$A$2:$A$127, 0))*INDEX(Unit_Grades!$B$2:$B$7, MATCH(F2232, Unit_Grades!$A$2:$A$7, 0))*INDEX(Unit_Paths!$B$2:$B$4, MATCH(E2232, Unit_Paths!$A$2:$A$4, 0)),1)</f>
        <v>3536</v>
      </c>
      <c r="I2232" s="6" t="n">
        <f aca="false">ROUND(INDEX(Archetypes!$F$2:$F$127, MATCH(D2232, Archetypes!$A$2:$A$127, 0))*INDEX(Unit_Grades!$B$2:$B$7, MATCH(F2232, Unit_Grades!$A$2:$A$7, 0))*INDEX(Unit_Paths!$C$2:$C$4, MATCH(E2232, Unit_Paths!$A$2:$A$4, 0)),1)</f>
        <v>6000</v>
      </c>
      <c r="J2232" s="6" t="n">
        <f aca="false">ROUND(INDEX(Archetypes!$G$2:$G$127, MATCH(D2232, Archetypes!$A$2:$A$127, 0))*INDEX(Unit_Grades!$B$2:$B$7, MATCH(F2232, Unit_Grades!$A$2:$A$7, 0))*INDEX(Unit_Paths!$D$2:$D$4, MATCH(E2232, Unit_Paths!$A$2:$A$4, 0)),0)</f>
        <v>25760</v>
      </c>
      <c r="K2232" s="6" t="n">
        <f aca="false">ROUND(INDEX(Archetypes!$H$2:$H$127, MATCH(D2232, Archetypes!$A$2:$A$127, 0))*INDEX(Unit_Paths!$E$2:$E$4, MATCH(E2232, Unit_Paths!$A$2:$A$4, 0)),1)</f>
        <v>62.6</v>
      </c>
      <c r="L2232" s="6" t="n">
        <f aca="false">ROUND(INDEX(Archetypes!$I$2:$I$127, MATCH(D2232, Archetypes!$A$2:$A$127, 0))*INDEX(Unit_Grades!$C$2:$C$7, MATCH(F2232, Unit_Grades!$A$2:$A$7, 0)),1)</f>
        <v>560</v>
      </c>
      <c r="M2232" s="6" t="n">
        <f aca="false">ROUND(INDEX(Archetypes!$J$2:$J$127, MATCH(D2232, Archetypes!$A$2:$A$127, 0))*INDEX(Unit_Grades!$D$2:$D$7, MATCH(F2232, Unit_Grades!$A$2:$A$7, 0)),1)</f>
        <v>568.2</v>
      </c>
      <c r="N2232" s="6" t="n">
        <f aca="false">ROUND(M2232/24,2)</f>
        <v>23.68</v>
      </c>
    </row>
    <row r="2233" customFormat="false" ht="15" hidden="false" customHeight="true" outlineLevel="0" collapsed="false">
      <c r="A2233" s="6" t="n">
        <v>7</v>
      </c>
      <c r="B2233" s="6" t="s">
        <v>3677</v>
      </c>
      <c r="C2233" s="6" t="s">
        <v>1528</v>
      </c>
      <c r="D2233" s="6" t="str">
        <f aca="false">A2233&amp;"|"&amp;C2233</f>
        <v>7|Aether Weaver</v>
      </c>
      <c r="E2233" s="6" t="s">
        <v>1560</v>
      </c>
      <c r="F2233" s="6" t="s">
        <v>1548</v>
      </c>
      <c r="G2233" s="6" t="str">
        <f aca="false">INDEX(Archetypes!$D$2:$D$127, MATCH(D2233, Archetypes!$A$2:$A$127, 0))</f>
        <v>EW/Utility</v>
      </c>
      <c r="H2233" s="6" t="n">
        <f aca="false">ROUND(INDEX(Archetypes!$E$2:$E$127, MATCH(D2233, Archetypes!$A$2:$A$127, 0))*INDEX(Unit_Grades!$B$2:$B$7, MATCH(F2233, Unit_Grades!$A$2:$A$7, 0))*INDEX(Unit_Paths!$B$2:$B$4, MATCH(E2233, Unit_Paths!$A$2:$A$4, 0)),1)</f>
        <v>4641</v>
      </c>
      <c r="I2233" s="6" t="n">
        <f aca="false">ROUND(INDEX(Archetypes!$F$2:$F$127, MATCH(D2233, Archetypes!$A$2:$A$127, 0))*INDEX(Unit_Grades!$B$2:$B$7, MATCH(F2233, Unit_Grades!$A$2:$A$7, 0))*INDEX(Unit_Paths!$C$2:$C$4, MATCH(E2233, Unit_Paths!$A$2:$A$4, 0)),1)</f>
        <v>7875</v>
      </c>
      <c r="J2233" s="6" t="n">
        <f aca="false">ROUND(INDEX(Archetypes!$G$2:$G$127, MATCH(D2233, Archetypes!$A$2:$A$127, 0))*INDEX(Unit_Grades!$B$2:$B$7, MATCH(F2233, Unit_Grades!$A$2:$A$7, 0))*INDEX(Unit_Paths!$D$2:$D$4, MATCH(E2233, Unit_Paths!$A$2:$A$4, 0)),0)</f>
        <v>33810</v>
      </c>
      <c r="K2233" s="6" t="n">
        <f aca="false">ROUND(INDEX(Archetypes!$H$2:$H$127, MATCH(D2233, Archetypes!$A$2:$A$127, 0))*INDEX(Unit_Paths!$E$2:$E$4, MATCH(E2233, Unit_Paths!$A$2:$A$4, 0)),1)</f>
        <v>62.6</v>
      </c>
      <c r="L2233" s="6" t="n">
        <f aca="false">ROUND(INDEX(Archetypes!$I$2:$I$127, MATCH(D2233, Archetypes!$A$2:$A$127, 0))*INDEX(Unit_Grades!$C$2:$C$7, MATCH(F2233, Unit_Grades!$A$2:$A$7, 0)),1)</f>
        <v>740</v>
      </c>
      <c r="M2233" s="6" t="n">
        <f aca="false">ROUND(INDEX(Archetypes!$J$2:$J$127, MATCH(D2233, Archetypes!$A$2:$A$127, 0))*INDEX(Unit_Grades!$D$2:$D$7, MATCH(F2233, Unit_Grades!$A$2:$A$7, 0)),1)</f>
        <v>974</v>
      </c>
      <c r="N2233" s="6" t="n">
        <f aca="false">ROUND(M2233/24,2)</f>
        <v>40.58</v>
      </c>
    </row>
    <row r="2234" customFormat="false" ht="15" hidden="false" customHeight="true" outlineLevel="0" collapsed="false">
      <c r="A2234" s="6" t="n">
        <v>7</v>
      </c>
      <c r="B2234" s="6" t="s">
        <v>1530</v>
      </c>
      <c r="C2234" s="6" t="s">
        <v>1530</v>
      </c>
      <c r="D2234" s="6" t="str">
        <f aca="false">A2234&amp;"|"&amp;C2234</f>
        <v>7|Primordial Beast Rider</v>
      </c>
      <c r="E2234" s="6" t="s">
        <v>1556</v>
      </c>
      <c r="F2234" s="6" t="s">
        <v>1538</v>
      </c>
      <c r="G2234" s="6" t="str">
        <f aca="false">INDEX(Archetypes!$D$2:$D$127, MATCH(D2234, Archetypes!$A$2:$A$127, 0))</f>
        <v>Shock Cavalry</v>
      </c>
      <c r="H2234" s="6" t="n">
        <f aca="false">ROUND(INDEX(Archetypes!$E$2:$E$127, MATCH(D2234, Archetypes!$A$2:$A$127, 0))*INDEX(Unit_Grades!$B$2:$B$7, MATCH(F2234, Unit_Grades!$A$2:$A$7, 0))*INDEX(Unit_Paths!$B$2:$B$4, MATCH(E2234, Unit_Paths!$A$2:$A$4, 0)),1)</f>
        <v>2700</v>
      </c>
      <c r="I2234" s="6" t="n">
        <f aca="false">ROUND(INDEX(Archetypes!$F$2:$F$127, MATCH(D2234, Archetypes!$A$2:$A$127, 0))*INDEX(Unit_Grades!$B$2:$B$7, MATCH(F2234, Unit_Grades!$A$2:$A$7, 0))*INDEX(Unit_Paths!$C$2:$C$4, MATCH(E2234, Unit_Paths!$A$2:$A$4, 0)),1)</f>
        <v>1700</v>
      </c>
      <c r="J2234" s="6" t="n">
        <f aca="false">ROUND(INDEX(Archetypes!$G$2:$G$127, MATCH(D2234, Archetypes!$A$2:$A$127, 0))*INDEX(Unit_Grades!$B$2:$B$7, MATCH(F2234, Unit_Grades!$A$2:$A$7, 0))*INDEX(Unit_Paths!$D$2:$D$4, MATCH(E2234, Unit_Paths!$A$2:$A$4, 0)),0)</f>
        <v>10500</v>
      </c>
      <c r="K2234" s="6" t="n">
        <f aca="false">ROUND(INDEX(Archetypes!$H$2:$H$127, MATCH(D2234, Archetypes!$A$2:$A$127, 0))*INDEX(Unit_Paths!$E$2:$E$4, MATCH(E2234, Unit_Paths!$A$2:$A$4, 0)),1)</f>
        <v>84</v>
      </c>
      <c r="L2234" s="6" t="n">
        <f aca="false">ROUND(INDEX(Archetypes!$I$2:$I$127, MATCH(D2234, Archetypes!$A$2:$A$127, 0))*INDEX(Unit_Grades!$C$2:$C$7, MATCH(F2234, Unit_Grades!$A$2:$A$7, 0)),1)</f>
        <v>330</v>
      </c>
      <c r="M2234" s="6" t="n">
        <f aca="false">ROUND(INDEX(Archetypes!$J$2:$J$127, MATCH(D2234, Archetypes!$A$2:$A$127, 0))*INDEX(Unit_Grades!$D$2:$D$7, MATCH(F2234, Unit_Grades!$A$2:$A$7, 0)),1)</f>
        <v>133.9</v>
      </c>
      <c r="N2234" s="6" t="n">
        <f aca="false">ROUND(M2234/24,2)</f>
        <v>5.58</v>
      </c>
    </row>
    <row r="2235" customFormat="false" ht="15" hidden="false" customHeight="true" outlineLevel="0" collapsed="false">
      <c r="A2235" s="6" t="n">
        <v>7</v>
      </c>
      <c r="B2235" s="6" t="s">
        <v>3678</v>
      </c>
      <c r="C2235" s="6" t="s">
        <v>1530</v>
      </c>
      <c r="D2235" s="6" t="str">
        <f aca="false">A2235&amp;"|"&amp;C2235</f>
        <v>7|Primordial Beast Rider</v>
      </c>
      <c r="E2235" s="6" t="s">
        <v>1556</v>
      </c>
      <c r="F2235" s="6" t="s">
        <v>1540</v>
      </c>
      <c r="G2235" s="6" t="str">
        <f aca="false">INDEX(Archetypes!$D$2:$D$127, MATCH(D2235, Archetypes!$A$2:$A$127, 0))</f>
        <v>Shock Cavalry</v>
      </c>
      <c r="H2235" s="6" t="n">
        <f aca="false">ROUND(INDEX(Archetypes!$E$2:$E$127, MATCH(D2235, Archetypes!$A$2:$A$127, 0))*INDEX(Unit_Grades!$B$2:$B$7, MATCH(F2235, Unit_Grades!$A$2:$A$7, 0))*INDEX(Unit_Paths!$B$2:$B$4, MATCH(E2235, Unit_Paths!$A$2:$A$4, 0)),1)</f>
        <v>3645</v>
      </c>
      <c r="I2235" s="6" t="n">
        <f aca="false">ROUND(INDEX(Archetypes!$F$2:$F$127, MATCH(D2235, Archetypes!$A$2:$A$127, 0))*INDEX(Unit_Grades!$B$2:$B$7, MATCH(F2235, Unit_Grades!$A$2:$A$7, 0))*INDEX(Unit_Paths!$C$2:$C$4, MATCH(E2235, Unit_Paths!$A$2:$A$4, 0)),1)</f>
        <v>2295</v>
      </c>
      <c r="J2235" s="6" t="n">
        <f aca="false">ROUND(INDEX(Archetypes!$G$2:$G$127, MATCH(D2235, Archetypes!$A$2:$A$127, 0))*INDEX(Unit_Grades!$B$2:$B$7, MATCH(F2235, Unit_Grades!$A$2:$A$7, 0))*INDEX(Unit_Paths!$D$2:$D$4, MATCH(E2235, Unit_Paths!$A$2:$A$4, 0)),0)</f>
        <v>14175</v>
      </c>
      <c r="K2235" s="6" t="n">
        <f aca="false">ROUND(INDEX(Archetypes!$H$2:$H$127, MATCH(D2235, Archetypes!$A$2:$A$127, 0))*INDEX(Unit_Paths!$E$2:$E$4, MATCH(E2235, Unit_Paths!$A$2:$A$4, 0)),1)</f>
        <v>84</v>
      </c>
      <c r="L2235" s="6" t="n">
        <f aca="false">ROUND(INDEX(Archetypes!$I$2:$I$127, MATCH(D2235, Archetypes!$A$2:$A$127, 0))*INDEX(Unit_Grades!$C$2:$C$7, MATCH(F2235, Unit_Grades!$A$2:$A$7, 0)),1)</f>
        <v>412.5</v>
      </c>
      <c r="M2235" s="6" t="n">
        <f aca="false">ROUND(INDEX(Archetypes!$J$2:$J$127, MATCH(D2235, Archetypes!$A$2:$A$127, 0))*INDEX(Unit_Grades!$D$2:$D$7, MATCH(F2235, Unit_Grades!$A$2:$A$7, 0)),1)</f>
        <v>200.9</v>
      </c>
      <c r="N2235" s="6" t="n">
        <f aca="false">ROUND(M2235/24,2)</f>
        <v>8.37</v>
      </c>
    </row>
    <row r="2236" customFormat="false" ht="15" hidden="false" customHeight="true" outlineLevel="0" collapsed="false">
      <c r="A2236" s="6" t="n">
        <v>7</v>
      </c>
      <c r="B2236" s="6" t="s">
        <v>3679</v>
      </c>
      <c r="C2236" s="6" t="s">
        <v>1530</v>
      </c>
      <c r="D2236" s="6" t="str">
        <f aca="false">A2236&amp;"|"&amp;C2236</f>
        <v>7|Primordial Beast Rider</v>
      </c>
      <c r="E2236" s="6" t="s">
        <v>1556</v>
      </c>
      <c r="F2236" s="6" t="s">
        <v>1542</v>
      </c>
      <c r="G2236" s="6" t="str">
        <f aca="false">INDEX(Archetypes!$D$2:$D$127, MATCH(D2236, Archetypes!$A$2:$A$127, 0))</f>
        <v>Shock Cavalry</v>
      </c>
      <c r="H2236" s="6" t="n">
        <f aca="false">ROUND(INDEX(Archetypes!$E$2:$E$127, MATCH(D2236, Archetypes!$A$2:$A$127, 0))*INDEX(Unit_Grades!$B$2:$B$7, MATCH(F2236, Unit_Grades!$A$2:$A$7, 0))*INDEX(Unit_Paths!$B$2:$B$4, MATCH(E2236, Unit_Paths!$A$2:$A$4, 0)),1)</f>
        <v>4860</v>
      </c>
      <c r="I2236" s="6" t="n">
        <f aca="false">ROUND(INDEX(Archetypes!$F$2:$F$127, MATCH(D2236, Archetypes!$A$2:$A$127, 0))*INDEX(Unit_Grades!$B$2:$B$7, MATCH(F2236, Unit_Grades!$A$2:$A$7, 0))*INDEX(Unit_Paths!$C$2:$C$4, MATCH(E2236, Unit_Paths!$A$2:$A$4, 0)),1)</f>
        <v>3060</v>
      </c>
      <c r="J2236" s="6" t="n">
        <f aca="false">ROUND(INDEX(Archetypes!$G$2:$G$127, MATCH(D2236, Archetypes!$A$2:$A$127, 0))*INDEX(Unit_Grades!$B$2:$B$7, MATCH(F2236, Unit_Grades!$A$2:$A$7, 0))*INDEX(Unit_Paths!$D$2:$D$4, MATCH(E2236, Unit_Paths!$A$2:$A$4, 0)),0)</f>
        <v>18900</v>
      </c>
      <c r="K2236" s="6" t="n">
        <f aca="false">ROUND(INDEX(Archetypes!$H$2:$H$127, MATCH(D2236, Archetypes!$A$2:$A$127, 0))*INDEX(Unit_Paths!$E$2:$E$4, MATCH(E2236, Unit_Paths!$A$2:$A$4, 0)),1)</f>
        <v>84</v>
      </c>
      <c r="L2236" s="6" t="n">
        <f aca="false">ROUND(INDEX(Archetypes!$I$2:$I$127, MATCH(D2236, Archetypes!$A$2:$A$127, 0))*INDEX(Unit_Grades!$C$2:$C$7, MATCH(F2236, Unit_Grades!$A$2:$A$7, 0)),1)</f>
        <v>528</v>
      </c>
      <c r="M2236" s="6" t="n">
        <f aca="false">ROUND(INDEX(Archetypes!$J$2:$J$127, MATCH(D2236, Archetypes!$A$2:$A$127, 0))*INDEX(Unit_Grades!$D$2:$D$7, MATCH(F2236, Unit_Grades!$A$2:$A$7, 0)),1)</f>
        <v>334.8</v>
      </c>
      <c r="N2236" s="6" t="n">
        <f aca="false">ROUND(M2236/24,2)</f>
        <v>13.95</v>
      </c>
    </row>
    <row r="2237" customFormat="false" ht="15" hidden="false" customHeight="true" outlineLevel="0" collapsed="false">
      <c r="A2237" s="6" t="n">
        <v>7</v>
      </c>
      <c r="B2237" s="6" t="s">
        <v>3680</v>
      </c>
      <c r="C2237" s="6" t="s">
        <v>1530</v>
      </c>
      <c r="D2237" s="6" t="str">
        <f aca="false">A2237&amp;"|"&amp;C2237</f>
        <v>7|Primordial Beast Rider</v>
      </c>
      <c r="E2237" s="6" t="s">
        <v>1556</v>
      </c>
      <c r="F2237" s="6" t="s">
        <v>1544</v>
      </c>
      <c r="G2237" s="6" t="str">
        <f aca="false">INDEX(Archetypes!$D$2:$D$127, MATCH(D2237, Archetypes!$A$2:$A$127, 0))</f>
        <v>Shock Cavalry</v>
      </c>
      <c r="H2237" s="6" t="n">
        <f aca="false">ROUND(INDEX(Archetypes!$E$2:$E$127, MATCH(D2237, Archetypes!$A$2:$A$127, 0))*INDEX(Unit_Grades!$B$2:$B$7, MATCH(F2237, Unit_Grades!$A$2:$A$7, 0))*INDEX(Unit_Paths!$B$2:$B$4, MATCH(E2237, Unit_Paths!$A$2:$A$4, 0)),1)</f>
        <v>6480</v>
      </c>
      <c r="I2237" s="6" t="n">
        <f aca="false">ROUND(INDEX(Archetypes!$F$2:$F$127, MATCH(D2237, Archetypes!$A$2:$A$127, 0))*INDEX(Unit_Grades!$B$2:$B$7, MATCH(F2237, Unit_Grades!$A$2:$A$7, 0))*INDEX(Unit_Paths!$C$2:$C$4, MATCH(E2237, Unit_Paths!$A$2:$A$4, 0)),1)</f>
        <v>4080</v>
      </c>
      <c r="J2237" s="6" t="n">
        <f aca="false">ROUND(INDEX(Archetypes!$G$2:$G$127, MATCH(D2237, Archetypes!$A$2:$A$127, 0))*INDEX(Unit_Grades!$B$2:$B$7, MATCH(F2237, Unit_Grades!$A$2:$A$7, 0))*INDEX(Unit_Paths!$D$2:$D$4, MATCH(E2237, Unit_Paths!$A$2:$A$4, 0)),0)</f>
        <v>25200</v>
      </c>
      <c r="K2237" s="6" t="n">
        <f aca="false">ROUND(INDEX(Archetypes!$H$2:$H$127, MATCH(D2237, Archetypes!$A$2:$A$127, 0))*INDEX(Unit_Paths!$E$2:$E$4, MATCH(E2237, Unit_Paths!$A$2:$A$4, 0)),1)</f>
        <v>84</v>
      </c>
      <c r="L2237" s="6" t="n">
        <f aca="false">ROUND(INDEX(Archetypes!$I$2:$I$127, MATCH(D2237, Archetypes!$A$2:$A$127, 0))*INDEX(Unit_Grades!$C$2:$C$7, MATCH(F2237, Unit_Grades!$A$2:$A$7, 0)),1)</f>
        <v>693</v>
      </c>
      <c r="M2237" s="6" t="n">
        <f aca="false">ROUND(INDEX(Archetypes!$J$2:$J$127, MATCH(D2237, Archetypes!$A$2:$A$127, 0))*INDEX(Unit_Grades!$D$2:$D$7, MATCH(F2237, Unit_Grades!$A$2:$A$7, 0)),1)</f>
        <v>535.7</v>
      </c>
      <c r="N2237" s="6" t="n">
        <f aca="false">ROUND(M2237/24,2)</f>
        <v>22.32</v>
      </c>
    </row>
    <row r="2238" customFormat="false" ht="15" hidden="false" customHeight="true" outlineLevel="0" collapsed="false">
      <c r="A2238" s="6" t="n">
        <v>7</v>
      </c>
      <c r="B2238" s="6" t="s">
        <v>3681</v>
      </c>
      <c r="C2238" s="6" t="s">
        <v>1530</v>
      </c>
      <c r="D2238" s="6" t="str">
        <f aca="false">A2238&amp;"|"&amp;C2238</f>
        <v>7|Primordial Beast Rider</v>
      </c>
      <c r="E2238" s="6" t="s">
        <v>1556</v>
      </c>
      <c r="F2238" s="6" t="s">
        <v>1546</v>
      </c>
      <c r="G2238" s="6" t="str">
        <f aca="false">INDEX(Archetypes!$D$2:$D$127, MATCH(D2238, Archetypes!$A$2:$A$127, 0))</f>
        <v>Shock Cavalry</v>
      </c>
      <c r="H2238" s="6" t="n">
        <f aca="false">ROUND(INDEX(Archetypes!$E$2:$E$127, MATCH(D2238, Archetypes!$A$2:$A$127, 0))*INDEX(Unit_Grades!$B$2:$B$7, MATCH(F2238, Unit_Grades!$A$2:$A$7, 0))*INDEX(Unit_Paths!$B$2:$B$4, MATCH(E2238, Unit_Paths!$A$2:$A$4, 0)),1)</f>
        <v>8640</v>
      </c>
      <c r="I2238" s="6" t="n">
        <f aca="false">ROUND(INDEX(Archetypes!$F$2:$F$127, MATCH(D2238, Archetypes!$A$2:$A$127, 0))*INDEX(Unit_Grades!$B$2:$B$7, MATCH(F2238, Unit_Grades!$A$2:$A$7, 0))*INDEX(Unit_Paths!$C$2:$C$4, MATCH(E2238, Unit_Paths!$A$2:$A$4, 0)),1)</f>
        <v>5440</v>
      </c>
      <c r="J2238" s="6" t="n">
        <f aca="false">ROUND(INDEX(Archetypes!$G$2:$G$127, MATCH(D2238, Archetypes!$A$2:$A$127, 0))*INDEX(Unit_Grades!$B$2:$B$7, MATCH(F2238, Unit_Grades!$A$2:$A$7, 0))*INDEX(Unit_Paths!$D$2:$D$4, MATCH(E2238, Unit_Paths!$A$2:$A$4, 0)),0)</f>
        <v>33600</v>
      </c>
      <c r="K2238" s="6" t="n">
        <f aca="false">ROUND(INDEX(Archetypes!$H$2:$H$127, MATCH(D2238, Archetypes!$A$2:$A$127, 0))*INDEX(Unit_Paths!$E$2:$E$4, MATCH(E2238, Unit_Paths!$A$2:$A$4, 0)),1)</f>
        <v>84</v>
      </c>
      <c r="L2238" s="6" t="n">
        <f aca="false">ROUND(INDEX(Archetypes!$I$2:$I$127, MATCH(D2238, Archetypes!$A$2:$A$127, 0))*INDEX(Unit_Grades!$C$2:$C$7, MATCH(F2238, Unit_Grades!$A$2:$A$7, 0)),1)</f>
        <v>924</v>
      </c>
      <c r="M2238" s="6" t="n">
        <f aca="false">ROUND(INDEX(Archetypes!$J$2:$J$127, MATCH(D2238, Archetypes!$A$2:$A$127, 0))*INDEX(Unit_Grades!$D$2:$D$7, MATCH(F2238, Unit_Grades!$A$2:$A$7, 0)),1)</f>
        <v>937.5</v>
      </c>
      <c r="N2238" s="6" t="n">
        <f aca="false">ROUND(M2238/24,2)</f>
        <v>39.06</v>
      </c>
    </row>
    <row r="2239" customFormat="false" ht="15" hidden="false" customHeight="true" outlineLevel="0" collapsed="false">
      <c r="A2239" s="6" t="n">
        <v>7</v>
      </c>
      <c r="B2239" s="6" t="s">
        <v>3682</v>
      </c>
      <c r="C2239" s="6" t="s">
        <v>1530</v>
      </c>
      <c r="D2239" s="6" t="str">
        <f aca="false">A2239&amp;"|"&amp;C2239</f>
        <v>7|Primordial Beast Rider</v>
      </c>
      <c r="E2239" s="6" t="s">
        <v>1556</v>
      </c>
      <c r="F2239" s="6" t="s">
        <v>1548</v>
      </c>
      <c r="G2239" s="6" t="str">
        <f aca="false">INDEX(Archetypes!$D$2:$D$127, MATCH(D2239, Archetypes!$A$2:$A$127, 0))</f>
        <v>Shock Cavalry</v>
      </c>
      <c r="H2239" s="6" t="n">
        <f aca="false">ROUND(INDEX(Archetypes!$E$2:$E$127, MATCH(D2239, Archetypes!$A$2:$A$127, 0))*INDEX(Unit_Grades!$B$2:$B$7, MATCH(F2239, Unit_Grades!$A$2:$A$7, 0))*INDEX(Unit_Paths!$B$2:$B$4, MATCH(E2239, Unit_Paths!$A$2:$A$4, 0)),1)</f>
        <v>11340</v>
      </c>
      <c r="I2239" s="6" t="n">
        <f aca="false">ROUND(INDEX(Archetypes!$F$2:$F$127, MATCH(D2239, Archetypes!$A$2:$A$127, 0))*INDEX(Unit_Grades!$B$2:$B$7, MATCH(F2239, Unit_Grades!$A$2:$A$7, 0))*INDEX(Unit_Paths!$C$2:$C$4, MATCH(E2239, Unit_Paths!$A$2:$A$4, 0)),1)</f>
        <v>7140</v>
      </c>
      <c r="J2239" s="6" t="n">
        <f aca="false">ROUND(INDEX(Archetypes!$G$2:$G$127, MATCH(D2239, Archetypes!$A$2:$A$127, 0))*INDEX(Unit_Grades!$B$2:$B$7, MATCH(F2239, Unit_Grades!$A$2:$A$7, 0))*INDEX(Unit_Paths!$D$2:$D$4, MATCH(E2239, Unit_Paths!$A$2:$A$4, 0)),0)</f>
        <v>44100</v>
      </c>
      <c r="K2239" s="6" t="n">
        <f aca="false">ROUND(INDEX(Archetypes!$H$2:$H$127, MATCH(D2239, Archetypes!$A$2:$A$127, 0))*INDEX(Unit_Paths!$E$2:$E$4, MATCH(E2239, Unit_Paths!$A$2:$A$4, 0)),1)</f>
        <v>84</v>
      </c>
      <c r="L2239" s="6" t="n">
        <f aca="false">ROUND(INDEX(Archetypes!$I$2:$I$127, MATCH(D2239, Archetypes!$A$2:$A$127, 0))*INDEX(Unit_Grades!$C$2:$C$7, MATCH(F2239, Unit_Grades!$A$2:$A$7, 0)),1)</f>
        <v>1221</v>
      </c>
      <c r="M2239" s="6" t="n">
        <f aca="false">ROUND(INDEX(Archetypes!$J$2:$J$127, MATCH(D2239, Archetypes!$A$2:$A$127, 0))*INDEX(Unit_Grades!$D$2:$D$7, MATCH(F2239, Unit_Grades!$A$2:$A$7, 0)),1)</f>
        <v>1607.2</v>
      </c>
      <c r="N2239" s="6" t="n">
        <f aca="false">ROUND(M2239/24,2)</f>
        <v>66.97</v>
      </c>
    </row>
    <row r="2240" customFormat="false" ht="15" hidden="false" customHeight="true" outlineLevel="0" collapsed="false">
      <c r="A2240" s="6" t="n">
        <v>7</v>
      </c>
      <c r="B2240" s="6" t="s">
        <v>3683</v>
      </c>
      <c r="C2240" s="6" t="s">
        <v>1530</v>
      </c>
      <c r="D2240" s="6" t="str">
        <f aca="false">A2240&amp;"|"&amp;C2240</f>
        <v>7|Primordial Beast Rider</v>
      </c>
      <c r="E2240" s="6" t="s">
        <v>1558</v>
      </c>
      <c r="F2240" s="6" t="s">
        <v>1538</v>
      </c>
      <c r="G2240" s="6" t="str">
        <f aca="false">INDEX(Archetypes!$D$2:$D$127, MATCH(D2240, Archetypes!$A$2:$A$127, 0))</f>
        <v>Shock Cavalry</v>
      </c>
      <c r="H2240" s="6" t="n">
        <f aca="false">ROUND(INDEX(Archetypes!$E$2:$E$127, MATCH(D2240, Archetypes!$A$2:$A$127, 0))*INDEX(Unit_Grades!$B$2:$B$7, MATCH(F2240, Unit_Grades!$A$2:$A$7, 0))*INDEX(Unit_Paths!$B$2:$B$4, MATCH(E2240, Unit_Paths!$A$2:$A$4, 0)),1)</f>
        <v>3240</v>
      </c>
      <c r="I2240" s="6" t="n">
        <f aca="false">ROUND(INDEX(Archetypes!$F$2:$F$127, MATCH(D2240, Archetypes!$A$2:$A$127, 0))*INDEX(Unit_Grades!$B$2:$B$7, MATCH(F2240, Unit_Grades!$A$2:$A$7, 0))*INDEX(Unit_Paths!$C$2:$C$4, MATCH(E2240, Unit_Paths!$A$2:$A$4, 0)),1)</f>
        <v>1445</v>
      </c>
      <c r="J2240" s="6" t="n">
        <f aca="false">ROUND(INDEX(Archetypes!$G$2:$G$127, MATCH(D2240, Archetypes!$A$2:$A$127, 0))*INDEX(Unit_Grades!$B$2:$B$7, MATCH(F2240, Unit_Grades!$A$2:$A$7, 0))*INDEX(Unit_Paths!$D$2:$D$4, MATCH(E2240, Unit_Paths!$A$2:$A$4, 0)),0)</f>
        <v>9975</v>
      </c>
      <c r="K2240" s="6" t="n">
        <f aca="false">ROUND(INDEX(Archetypes!$H$2:$H$127, MATCH(D2240, Archetypes!$A$2:$A$127, 0))*INDEX(Unit_Paths!$E$2:$E$4, MATCH(E2240, Unit_Paths!$A$2:$A$4, 0)),1)</f>
        <v>88.2</v>
      </c>
      <c r="L2240" s="6" t="n">
        <f aca="false">ROUND(INDEX(Archetypes!$I$2:$I$127, MATCH(D2240, Archetypes!$A$2:$A$127, 0))*INDEX(Unit_Grades!$C$2:$C$7, MATCH(F2240, Unit_Grades!$A$2:$A$7, 0)),1)</f>
        <v>330</v>
      </c>
      <c r="M2240" s="6" t="n">
        <f aca="false">ROUND(INDEX(Archetypes!$J$2:$J$127, MATCH(D2240, Archetypes!$A$2:$A$127, 0))*INDEX(Unit_Grades!$D$2:$D$7, MATCH(F2240, Unit_Grades!$A$2:$A$7, 0)),1)</f>
        <v>133.9</v>
      </c>
      <c r="N2240" s="6" t="n">
        <f aca="false">ROUND(M2240/24,2)</f>
        <v>5.58</v>
      </c>
    </row>
    <row r="2241" customFormat="false" ht="15" hidden="false" customHeight="true" outlineLevel="0" collapsed="false">
      <c r="A2241" s="6" t="n">
        <v>7</v>
      </c>
      <c r="B2241" s="6" t="s">
        <v>3684</v>
      </c>
      <c r="C2241" s="6" t="s">
        <v>1530</v>
      </c>
      <c r="D2241" s="6" t="str">
        <f aca="false">A2241&amp;"|"&amp;C2241</f>
        <v>7|Primordial Beast Rider</v>
      </c>
      <c r="E2241" s="6" t="s">
        <v>1558</v>
      </c>
      <c r="F2241" s="6" t="s">
        <v>1540</v>
      </c>
      <c r="G2241" s="6" t="str">
        <f aca="false">INDEX(Archetypes!$D$2:$D$127, MATCH(D2241, Archetypes!$A$2:$A$127, 0))</f>
        <v>Shock Cavalry</v>
      </c>
      <c r="H2241" s="6" t="n">
        <f aca="false">ROUND(INDEX(Archetypes!$E$2:$E$127, MATCH(D2241, Archetypes!$A$2:$A$127, 0))*INDEX(Unit_Grades!$B$2:$B$7, MATCH(F2241, Unit_Grades!$A$2:$A$7, 0))*INDEX(Unit_Paths!$B$2:$B$4, MATCH(E2241, Unit_Paths!$A$2:$A$4, 0)),1)</f>
        <v>4374</v>
      </c>
      <c r="I2241" s="6" t="n">
        <f aca="false">ROUND(INDEX(Archetypes!$F$2:$F$127, MATCH(D2241, Archetypes!$A$2:$A$127, 0))*INDEX(Unit_Grades!$B$2:$B$7, MATCH(F2241, Unit_Grades!$A$2:$A$7, 0))*INDEX(Unit_Paths!$C$2:$C$4, MATCH(E2241, Unit_Paths!$A$2:$A$4, 0)),1)</f>
        <v>1950.8</v>
      </c>
      <c r="J2241" s="6" t="n">
        <f aca="false">ROUND(INDEX(Archetypes!$G$2:$G$127, MATCH(D2241, Archetypes!$A$2:$A$127, 0))*INDEX(Unit_Grades!$B$2:$B$7, MATCH(F2241, Unit_Grades!$A$2:$A$7, 0))*INDEX(Unit_Paths!$D$2:$D$4, MATCH(E2241, Unit_Paths!$A$2:$A$4, 0)),0)</f>
        <v>13466</v>
      </c>
      <c r="K2241" s="6" t="n">
        <f aca="false">ROUND(INDEX(Archetypes!$H$2:$H$127, MATCH(D2241, Archetypes!$A$2:$A$127, 0))*INDEX(Unit_Paths!$E$2:$E$4, MATCH(E2241, Unit_Paths!$A$2:$A$4, 0)),1)</f>
        <v>88.2</v>
      </c>
      <c r="L2241" s="6" t="n">
        <f aca="false">ROUND(INDEX(Archetypes!$I$2:$I$127, MATCH(D2241, Archetypes!$A$2:$A$127, 0))*INDEX(Unit_Grades!$C$2:$C$7, MATCH(F2241, Unit_Grades!$A$2:$A$7, 0)),1)</f>
        <v>412.5</v>
      </c>
      <c r="M2241" s="6" t="n">
        <f aca="false">ROUND(INDEX(Archetypes!$J$2:$J$127, MATCH(D2241, Archetypes!$A$2:$A$127, 0))*INDEX(Unit_Grades!$D$2:$D$7, MATCH(F2241, Unit_Grades!$A$2:$A$7, 0)),1)</f>
        <v>200.9</v>
      </c>
      <c r="N2241" s="6" t="n">
        <f aca="false">ROUND(M2241/24,2)</f>
        <v>8.37</v>
      </c>
    </row>
    <row r="2242" customFormat="false" ht="15" hidden="false" customHeight="true" outlineLevel="0" collapsed="false">
      <c r="A2242" s="6" t="n">
        <v>7</v>
      </c>
      <c r="B2242" s="6" t="s">
        <v>3685</v>
      </c>
      <c r="C2242" s="6" t="s">
        <v>1530</v>
      </c>
      <c r="D2242" s="6" t="str">
        <f aca="false">A2242&amp;"|"&amp;C2242</f>
        <v>7|Primordial Beast Rider</v>
      </c>
      <c r="E2242" s="6" t="s">
        <v>1558</v>
      </c>
      <c r="F2242" s="6" t="s">
        <v>1542</v>
      </c>
      <c r="G2242" s="6" t="str">
        <f aca="false">INDEX(Archetypes!$D$2:$D$127, MATCH(D2242, Archetypes!$A$2:$A$127, 0))</f>
        <v>Shock Cavalry</v>
      </c>
      <c r="H2242" s="6" t="n">
        <f aca="false">ROUND(INDEX(Archetypes!$E$2:$E$127, MATCH(D2242, Archetypes!$A$2:$A$127, 0))*INDEX(Unit_Grades!$B$2:$B$7, MATCH(F2242, Unit_Grades!$A$2:$A$7, 0))*INDEX(Unit_Paths!$B$2:$B$4, MATCH(E2242, Unit_Paths!$A$2:$A$4, 0)),1)</f>
        <v>5832</v>
      </c>
      <c r="I2242" s="6" t="n">
        <f aca="false">ROUND(INDEX(Archetypes!$F$2:$F$127, MATCH(D2242, Archetypes!$A$2:$A$127, 0))*INDEX(Unit_Grades!$B$2:$B$7, MATCH(F2242, Unit_Grades!$A$2:$A$7, 0))*INDEX(Unit_Paths!$C$2:$C$4, MATCH(E2242, Unit_Paths!$A$2:$A$4, 0)),1)</f>
        <v>2601</v>
      </c>
      <c r="J2242" s="6" t="n">
        <f aca="false">ROUND(INDEX(Archetypes!$G$2:$G$127, MATCH(D2242, Archetypes!$A$2:$A$127, 0))*INDEX(Unit_Grades!$B$2:$B$7, MATCH(F2242, Unit_Grades!$A$2:$A$7, 0))*INDEX(Unit_Paths!$D$2:$D$4, MATCH(E2242, Unit_Paths!$A$2:$A$4, 0)),0)</f>
        <v>17955</v>
      </c>
      <c r="K2242" s="6" t="n">
        <f aca="false">ROUND(INDEX(Archetypes!$H$2:$H$127, MATCH(D2242, Archetypes!$A$2:$A$127, 0))*INDEX(Unit_Paths!$E$2:$E$4, MATCH(E2242, Unit_Paths!$A$2:$A$4, 0)),1)</f>
        <v>88.2</v>
      </c>
      <c r="L2242" s="6" t="n">
        <f aca="false">ROUND(INDEX(Archetypes!$I$2:$I$127, MATCH(D2242, Archetypes!$A$2:$A$127, 0))*INDEX(Unit_Grades!$C$2:$C$7, MATCH(F2242, Unit_Grades!$A$2:$A$7, 0)),1)</f>
        <v>528</v>
      </c>
      <c r="M2242" s="6" t="n">
        <f aca="false">ROUND(INDEX(Archetypes!$J$2:$J$127, MATCH(D2242, Archetypes!$A$2:$A$127, 0))*INDEX(Unit_Grades!$D$2:$D$7, MATCH(F2242, Unit_Grades!$A$2:$A$7, 0)),1)</f>
        <v>334.8</v>
      </c>
      <c r="N2242" s="6" t="n">
        <f aca="false">ROUND(M2242/24,2)</f>
        <v>13.95</v>
      </c>
    </row>
    <row r="2243" customFormat="false" ht="15" hidden="false" customHeight="true" outlineLevel="0" collapsed="false">
      <c r="A2243" s="6" t="n">
        <v>7</v>
      </c>
      <c r="B2243" s="6" t="s">
        <v>3686</v>
      </c>
      <c r="C2243" s="6" t="s">
        <v>1530</v>
      </c>
      <c r="D2243" s="6" t="str">
        <f aca="false">A2243&amp;"|"&amp;C2243</f>
        <v>7|Primordial Beast Rider</v>
      </c>
      <c r="E2243" s="6" t="s">
        <v>1558</v>
      </c>
      <c r="F2243" s="6" t="s">
        <v>1544</v>
      </c>
      <c r="G2243" s="6" t="str">
        <f aca="false">INDEX(Archetypes!$D$2:$D$127, MATCH(D2243, Archetypes!$A$2:$A$127, 0))</f>
        <v>Shock Cavalry</v>
      </c>
      <c r="H2243" s="6" t="n">
        <f aca="false">ROUND(INDEX(Archetypes!$E$2:$E$127, MATCH(D2243, Archetypes!$A$2:$A$127, 0))*INDEX(Unit_Grades!$B$2:$B$7, MATCH(F2243, Unit_Grades!$A$2:$A$7, 0))*INDEX(Unit_Paths!$B$2:$B$4, MATCH(E2243, Unit_Paths!$A$2:$A$4, 0)),1)</f>
        <v>7776</v>
      </c>
      <c r="I2243" s="6" t="n">
        <f aca="false">ROUND(INDEX(Archetypes!$F$2:$F$127, MATCH(D2243, Archetypes!$A$2:$A$127, 0))*INDEX(Unit_Grades!$B$2:$B$7, MATCH(F2243, Unit_Grades!$A$2:$A$7, 0))*INDEX(Unit_Paths!$C$2:$C$4, MATCH(E2243, Unit_Paths!$A$2:$A$4, 0)),1)</f>
        <v>3468</v>
      </c>
      <c r="J2243" s="6" t="n">
        <f aca="false">ROUND(INDEX(Archetypes!$G$2:$G$127, MATCH(D2243, Archetypes!$A$2:$A$127, 0))*INDEX(Unit_Grades!$B$2:$B$7, MATCH(F2243, Unit_Grades!$A$2:$A$7, 0))*INDEX(Unit_Paths!$D$2:$D$4, MATCH(E2243, Unit_Paths!$A$2:$A$4, 0)),0)</f>
        <v>23940</v>
      </c>
      <c r="K2243" s="6" t="n">
        <f aca="false">ROUND(INDEX(Archetypes!$H$2:$H$127, MATCH(D2243, Archetypes!$A$2:$A$127, 0))*INDEX(Unit_Paths!$E$2:$E$4, MATCH(E2243, Unit_Paths!$A$2:$A$4, 0)),1)</f>
        <v>88.2</v>
      </c>
      <c r="L2243" s="6" t="n">
        <f aca="false">ROUND(INDEX(Archetypes!$I$2:$I$127, MATCH(D2243, Archetypes!$A$2:$A$127, 0))*INDEX(Unit_Grades!$C$2:$C$7, MATCH(F2243, Unit_Grades!$A$2:$A$7, 0)),1)</f>
        <v>693</v>
      </c>
      <c r="M2243" s="6" t="n">
        <f aca="false">ROUND(INDEX(Archetypes!$J$2:$J$127, MATCH(D2243, Archetypes!$A$2:$A$127, 0))*INDEX(Unit_Grades!$D$2:$D$7, MATCH(F2243, Unit_Grades!$A$2:$A$7, 0)),1)</f>
        <v>535.7</v>
      </c>
      <c r="N2243" s="6" t="n">
        <f aca="false">ROUND(M2243/24,2)</f>
        <v>22.32</v>
      </c>
    </row>
    <row r="2244" customFormat="false" ht="15" hidden="false" customHeight="true" outlineLevel="0" collapsed="false">
      <c r="A2244" s="6" t="n">
        <v>7</v>
      </c>
      <c r="B2244" s="6" t="s">
        <v>3687</v>
      </c>
      <c r="C2244" s="6" t="s">
        <v>1530</v>
      </c>
      <c r="D2244" s="6" t="str">
        <f aca="false">A2244&amp;"|"&amp;C2244</f>
        <v>7|Primordial Beast Rider</v>
      </c>
      <c r="E2244" s="6" t="s">
        <v>1558</v>
      </c>
      <c r="F2244" s="6" t="s">
        <v>1546</v>
      </c>
      <c r="G2244" s="6" t="str">
        <f aca="false">INDEX(Archetypes!$D$2:$D$127, MATCH(D2244, Archetypes!$A$2:$A$127, 0))</f>
        <v>Shock Cavalry</v>
      </c>
      <c r="H2244" s="6" t="n">
        <f aca="false">ROUND(INDEX(Archetypes!$E$2:$E$127, MATCH(D2244, Archetypes!$A$2:$A$127, 0))*INDEX(Unit_Grades!$B$2:$B$7, MATCH(F2244, Unit_Grades!$A$2:$A$7, 0))*INDEX(Unit_Paths!$B$2:$B$4, MATCH(E2244, Unit_Paths!$A$2:$A$4, 0)),1)</f>
        <v>10368</v>
      </c>
      <c r="I2244" s="6" t="n">
        <f aca="false">ROUND(INDEX(Archetypes!$F$2:$F$127, MATCH(D2244, Archetypes!$A$2:$A$127, 0))*INDEX(Unit_Grades!$B$2:$B$7, MATCH(F2244, Unit_Grades!$A$2:$A$7, 0))*INDEX(Unit_Paths!$C$2:$C$4, MATCH(E2244, Unit_Paths!$A$2:$A$4, 0)),1)</f>
        <v>4624</v>
      </c>
      <c r="J2244" s="6" t="n">
        <f aca="false">ROUND(INDEX(Archetypes!$G$2:$G$127, MATCH(D2244, Archetypes!$A$2:$A$127, 0))*INDEX(Unit_Grades!$B$2:$B$7, MATCH(F2244, Unit_Grades!$A$2:$A$7, 0))*INDEX(Unit_Paths!$D$2:$D$4, MATCH(E2244, Unit_Paths!$A$2:$A$4, 0)),0)</f>
        <v>31920</v>
      </c>
      <c r="K2244" s="6" t="n">
        <f aca="false">ROUND(INDEX(Archetypes!$H$2:$H$127, MATCH(D2244, Archetypes!$A$2:$A$127, 0))*INDEX(Unit_Paths!$E$2:$E$4, MATCH(E2244, Unit_Paths!$A$2:$A$4, 0)),1)</f>
        <v>88.2</v>
      </c>
      <c r="L2244" s="6" t="n">
        <f aca="false">ROUND(INDEX(Archetypes!$I$2:$I$127, MATCH(D2244, Archetypes!$A$2:$A$127, 0))*INDEX(Unit_Grades!$C$2:$C$7, MATCH(F2244, Unit_Grades!$A$2:$A$7, 0)),1)</f>
        <v>924</v>
      </c>
      <c r="M2244" s="6" t="n">
        <f aca="false">ROUND(INDEX(Archetypes!$J$2:$J$127, MATCH(D2244, Archetypes!$A$2:$A$127, 0))*INDEX(Unit_Grades!$D$2:$D$7, MATCH(F2244, Unit_Grades!$A$2:$A$7, 0)),1)</f>
        <v>937.5</v>
      </c>
      <c r="N2244" s="6" t="n">
        <f aca="false">ROUND(M2244/24,2)</f>
        <v>39.06</v>
      </c>
    </row>
    <row r="2245" customFormat="false" ht="15" hidden="false" customHeight="true" outlineLevel="0" collapsed="false">
      <c r="A2245" s="6" t="n">
        <v>7</v>
      </c>
      <c r="B2245" s="6" t="s">
        <v>3688</v>
      </c>
      <c r="C2245" s="6" t="s">
        <v>1530</v>
      </c>
      <c r="D2245" s="6" t="str">
        <f aca="false">A2245&amp;"|"&amp;C2245</f>
        <v>7|Primordial Beast Rider</v>
      </c>
      <c r="E2245" s="6" t="s">
        <v>1558</v>
      </c>
      <c r="F2245" s="6" t="s">
        <v>1548</v>
      </c>
      <c r="G2245" s="6" t="str">
        <f aca="false">INDEX(Archetypes!$D$2:$D$127, MATCH(D2245, Archetypes!$A$2:$A$127, 0))</f>
        <v>Shock Cavalry</v>
      </c>
      <c r="H2245" s="6" t="n">
        <f aca="false">ROUND(INDEX(Archetypes!$E$2:$E$127, MATCH(D2245, Archetypes!$A$2:$A$127, 0))*INDEX(Unit_Grades!$B$2:$B$7, MATCH(F2245, Unit_Grades!$A$2:$A$7, 0))*INDEX(Unit_Paths!$B$2:$B$4, MATCH(E2245, Unit_Paths!$A$2:$A$4, 0)),1)</f>
        <v>13608</v>
      </c>
      <c r="I2245" s="6" t="n">
        <f aca="false">ROUND(INDEX(Archetypes!$F$2:$F$127, MATCH(D2245, Archetypes!$A$2:$A$127, 0))*INDEX(Unit_Grades!$B$2:$B$7, MATCH(F2245, Unit_Grades!$A$2:$A$7, 0))*INDEX(Unit_Paths!$C$2:$C$4, MATCH(E2245, Unit_Paths!$A$2:$A$4, 0)),1)</f>
        <v>6069</v>
      </c>
      <c r="J2245" s="6" t="n">
        <f aca="false">ROUND(INDEX(Archetypes!$G$2:$G$127, MATCH(D2245, Archetypes!$A$2:$A$127, 0))*INDEX(Unit_Grades!$B$2:$B$7, MATCH(F2245, Unit_Grades!$A$2:$A$7, 0))*INDEX(Unit_Paths!$D$2:$D$4, MATCH(E2245, Unit_Paths!$A$2:$A$4, 0)),0)</f>
        <v>41895</v>
      </c>
      <c r="K2245" s="6" t="n">
        <f aca="false">ROUND(INDEX(Archetypes!$H$2:$H$127, MATCH(D2245, Archetypes!$A$2:$A$127, 0))*INDEX(Unit_Paths!$E$2:$E$4, MATCH(E2245, Unit_Paths!$A$2:$A$4, 0)),1)</f>
        <v>88.2</v>
      </c>
      <c r="L2245" s="6" t="n">
        <f aca="false">ROUND(INDEX(Archetypes!$I$2:$I$127, MATCH(D2245, Archetypes!$A$2:$A$127, 0))*INDEX(Unit_Grades!$C$2:$C$7, MATCH(F2245, Unit_Grades!$A$2:$A$7, 0)),1)</f>
        <v>1221</v>
      </c>
      <c r="M2245" s="6" t="n">
        <f aca="false">ROUND(INDEX(Archetypes!$J$2:$J$127, MATCH(D2245, Archetypes!$A$2:$A$127, 0))*INDEX(Unit_Grades!$D$2:$D$7, MATCH(F2245, Unit_Grades!$A$2:$A$7, 0)),1)</f>
        <v>1607.2</v>
      </c>
      <c r="N2245" s="6" t="n">
        <f aca="false">ROUND(M2245/24,2)</f>
        <v>66.97</v>
      </c>
    </row>
    <row r="2246" customFormat="false" ht="15" hidden="false" customHeight="true" outlineLevel="0" collapsed="false">
      <c r="A2246" s="6" t="n">
        <v>7</v>
      </c>
      <c r="B2246" s="6" t="s">
        <v>3689</v>
      </c>
      <c r="C2246" s="6" t="s">
        <v>1530</v>
      </c>
      <c r="D2246" s="6" t="str">
        <f aca="false">A2246&amp;"|"&amp;C2246</f>
        <v>7|Primordial Beast Rider</v>
      </c>
      <c r="E2246" s="6" t="s">
        <v>1560</v>
      </c>
      <c r="F2246" s="6" t="s">
        <v>1538</v>
      </c>
      <c r="G2246" s="6" t="str">
        <f aca="false">INDEX(Archetypes!$D$2:$D$127, MATCH(D2246, Archetypes!$A$2:$A$127, 0))</f>
        <v>Shock Cavalry</v>
      </c>
      <c r="H2246" s="6" t="n">
        <f aca="false">ROUND(INDEX(Archetypes!$E$2:$E$127, MATCH(D2246, Archetypes!$A$2:$A$127, 0))*INDEX(Unit_Grades!$B$2:$B$7, MATCH(F2246, Unit_Grades!$A$2:$A$7, 0))*INDEX(Unit_Paths!$B$2:$B$4, MATCH(E2246, Unit_Paths!$A$2:$A$4, 0)),1)</f>
        <v>2295</v>
      </c>
      <c r="I2246" s="6" t="n">
        <f aca="false">ROUND(INDEX(Archetypes!$F$2:$F$127, MATCH(D2246, Archetypes!$A$2:$A$127, 0))*INDEX(Unit_Grades!$B$2:$B$7, MATCH(F2246, Unit_Grades!$A$2:$A$7, 0))*INDEX(Unit_Paths!$C$2:$C$4, MATCH(E2246, Unit_Paths!$A$2:$A$4, 0)),1)</f>
        <v>2125</v>
      </c>
      <c r="J2246" s="6" t="n">
        <f aca="false">ROUND(INDEX(Archetypes!$G$2:$G$127, MATCH(D2246, Archetypes!$A$2:$A$127, 0))*INDEX(Unit_Grades!$B$2:$B$7, MATCH(F2246, Unit_Grades!$A$2:$A$7, 0))*INDEX(Unit_Paths!$D$2:$D$4, MATCH(E2246, Unit_Paths!$A$2:$A$4, 0)),0)</f>
        <v>12075</v>
      </c>
      <c r="K2246" s="6" t="n">
        <f aca="false">ROUND(INDEX(Archetypes!$H$2:$H$127, MATCH(D2246, Archetypes!$A$2:$A$127, 0))*INDEX(Unit_Paths!$E$2:$E$4, MATCH(E2246, Unit_Paths!$A$2:$A$4, 0)),1)</f>
        <v>77.3</v>
      </c>
      <c r="L2246" s="6" t="n">
        <f aca="false">ROUND(INDEX(Archetypes!$I$2:$I$127, MATCH(D2246, Archetypes!$A$2:$A$127, 0))*INDEX(Unit_Grades!$C$2:$C$7, MATCH(F2246, Unit_Grades!$A$2:$A$7, 0)),1)</f>
        <v>330</v>
      </c>
      <c r="M2246" s="6" t="n">
        <f aca="false">ROUND(INDEX(Archetypes!$J$2:$J$127, MATCH(D2246, Archetypes!$A$2:$A$127, 0))*INDEX(Unit_Grades!$D$2:$D$7, MATCH(F2246, Unit_Grades!$A$2:$A$7, 0)),1)</f>
        <v>133.9</v>
      </c>
      <c r="N2246" s="6" t="n">
        <f aca="false">ROUND(M2246/24,2)</f>
        <v>5.58</v>
      </c>
    </row>
    <row r="2247" customFormat="false" ht="15" hidden="false" customHeight="true" outlineLevel="0" collapsed="false">
      <c r="A2247" s="6" t="n">
        <v>7</v>
      </c>
      <c r="B2247" s="6" t="s">
        <v>3690</v>
      </c>
      <c r="C2247" s="6" t="s">
        <v>1530</v>
      </c>
      <c r="D2247" s="6" t="str">
        <f aca="false">A2247&amp;"|"&amp;C2247</f>
        <v>7|Primordial Beast Rider</v>
      </c>
      <c r="E2247" s="6" t="s">
        <v>1560</v>
      </c>
      <c r="F2247" s="6" t="s">
        <v>1540</v>
      </c>
      <c r="G2247" s="6" t="str">
        <f aca="false">INDEX(Archetypes!$D$2:$D$127, MATCH(D2247, Archetypes!$A$2:$A$127, 0))</f>
        <v>Shock Cavalry</v>
      </c>
      <c r="H2247" s="6" t="n">
        <f aca="false">ROUND(INDEX(Archetypes!$E$2:$E$127, MATCH(D2247, Archetypes!$A$2:$A$127, 0))*INDEX(Unit_Grades!$B$2:$B$7, MATCH(F2247, Unit_Grades!$A$2:$A$7, 0))*INDEX(Unit_Paths!$B$2:$B$4, MATCH(E2247, Unit_Paths!$A$2:$A$4, 0)),1)</f>
        <v>3098.3</v>
      </c>
      <c r="I2247" s="6" t="n">
        <f aca="false">ROUND(INDEX(Archetypes!$F$2:$F$127, MATCH(D2247, Archetypes!$A$2:$A$127, 0))*INDEX(Unit_Grades!$B$2:$B$7, MATCH(F2247, Unit_Grades!$A$2:$A$7, 0))*INDEX(Unit_Paths!$C$2:$C$4, MATCH(E2247, Unit_Paths!$A$2:$A$4, 0)),1)</f>
        <v>2868.8</v>
      </c>
      <c r="J2247" s="6" t="n">
        <f aca="false">ROUND(INDEX(Archetypes!$G$2:$G$127, MATCH(D2247, Archetypes!$A$2:$A$127, 0))*INDEX(Unit_Grades!$B$2:$B$7, MATCH(F2247, Unit_Grades!$A$2:$A$7, 0))*INDEX(Unit_Paths!$D$2:$D$4, MATCH(E2247, Unit_Paths!$A$2:$A$4, 0)),0)</f>
        <v>16301</v>
      </c>
      <c r="K2247" s="6" t="n">
        <f aca="false">ROUND(INDEX(Archetypes!$H$2:$H$127, MATCH(D2247, Archetypes!$A$2:$A$127, 0))*INDEX(Unit_Paths!$E$2:$E$4, MATCH(E2247, Unit_Paths!$A$2:$A$4, 0)),1)</f>
        <v>77.3</v>
      </c>
      <c r="L2247" s="6" t="n">
        <f aca="false">ROUND(INDEX(Archetypes!$I$2:$I$127, MATCH(D2247, Archetypes!$A$2:$A$127, 0))*INDEX(Unit_Grades!$C$2:$C$7, MATCH(F2247, Unit_Grades!$A$2:$A$7, 0)),1)</f>
        <v>412.5</v>
      </c>
      <c r="M2247" s="6" t="n">
        <f aca="false">ROUND(INDEX(Archetypes!$J$2:$J$127, MATCH(D2247, Archetypes!$A$2:$A$127, 0))*INDEX(Unit_Grades!$D$2:$D$7, MATCH(F2247, Unit_Grades!$A$2:$A$7, 0)),1)</f>
        <v>200.9</v>
      </c>
      <c r="N2247" s="6" t="n">
        <f aca="false">ROUND(M2247/24,2)</f>
        <v>8.37</v>
      </c>
    </row>
    <row r="2248" customFormat="false" ht="15" hidden="false" customHeight="true" outlineLevel="0" collapsed="false">
      <c r="A2248" s="6" t="n">
        <v>7</v>
      </c>
      <c r="B2248" s="6" t="s">
        <v>3691</v>
      </c>
      <c r="C2248" s="6" t="s">
        <v>1530</v>
      </c>
      <c r="D2248" s="6" t="str">
        <f aca="false">A2248&amp;"|"&amp;C2248</f>
        <v>7|Primordial Beast Rider</v>
      </c>
      <c r="E2248" s="6" t="s">
        <v>1560</v>
      </c>
      <c r="F2248" s="6" t="s">
        <v>1542</v>
      </c>
      <c r="G2248" s="6" t="str">
        <f aca="false">INDEX(Archetypes!$D$2:$D$127, MATCH(D2248, Archetypes!$A$2:$A$127, 0))</f>
        <v>Shock Cavalry</v>
      </c>
      <c r="H2248" s="6" t="n">
        <f aca="false">ROUND(INDEX(Archetypes!$E$2:$E$127, MATCH(D2248, Archetypes!$A$2:$A$127, 0))*INDEX(Unit_Grades!$B$2:$B$7, MATCH(F2248, Unit_Grades!$A$2:$A$7, 0))*INDEX(Unit_Paths!$B$2:$B$4, MATCH(E2248, Unit_Paths!$A$2:$A$4, 0)),1)</f>
        <v>4131</v>
      </c>
      <c r="I2248" s="6" t="n">
        <f aca="false">ROUND(INDEX(Archetypes!$F$2:$F$127, MATCH(D2248, Archetypes!$A$2:$A$127, 0))*INDEX(Unit_Grades!$B$2:$B$7, MATCH(F2248, Unit_Grades!$A$2:$A$7, 0))*INDEX(Unit_Paths!$C$2:$C$4, MATCH(E2248, Unit_Paths!$A$2:$A$4, 0)),1)</f>
        <v>3825</v>
      </c>
      <c r="J2248" s="6" t="n">
        <f aca="false">ROUND(INDEX(Archetypes!$G$2:$G$127, MATCH(D2248, Archetypes!$A$2:$A$127, 0))*INDEX(Unit_Grades!$B$2:$B$7, MATCH(F2248, Unit_Grades!$A$2:$A$7, 0))*INDEX(Unit_Paths!$D$2:$D$4, MATCH(E2248, Unit_Paths!$A$2:$A$4, 0)),0)</f>
        <v>21735</v>
      </c>
      <c r="K2248" s="6" t="n">
        <f aca="false">ROUND(INDEX(Archetypes!$H$2:$H$127, MATCH(D2248, Archetypes!$A$2:$A$127, 0))*INDEX(Unit_Paths!$E$2:$E$4, MATCH(E2248, Unit_Paths!$A$2:$A$4, 0)),1)</f>
        <v>77.3</v>
      </c>
      <c r="L2248" s="6" t="n">
        <f aca="false">ROUND(INDEX(Archetypes!$I$2:$I$127, MATCH(D2248, Archetypes!$A$2:$A$127, 0))*INDEX(Unit_Grades!$C$2:$C$7, MATCH(F2248, Unit_Grades!$A$2:$A$7, 0)),1)</f>
        <v>528</v>
      </c>
      <c r="M2248" s="6" t="n">
        <f aca="false">ROUND(INDEX(Archetypes!$J$2:$J$127, MATCH(D2248, Archetypes!$A$2:$A$127, 0))*INDEX(Unit_Grades!$D$2:$D$7, MATCH(F2248, Unit_Grades!$A$2:$A$7, 0)),1)</f>
        <v>334.8</v>
      </c>
      <c r="N2248" s="6" t="n">
        <f aca="false">ROUND(M2248/24,2)</f>
        <v>13.95</v>
      </c>
    </row>
    <row r="2249" customFormat="false" ht="15" hidden="false" customHeight="true" outlineLevel="0" collapsed="false">
      <c r="A2249" s="6" t="n">
        <v>7</v>
      </c>
      <c r="B2249" s="6" t="s">
        <v>3692</v>
      </c>
      <c r="C2249" s="6" t="s">
        <v>1530</v>
      </c>
      <c r="D2249" s="6" t="str">
        <f aca="false">A2249&amp;"|"&amp;C2249</f>
        <v>7|Primordial Beast Rider</v>
      </c>
      <c r="E2249" s="6" t="s">
        <v>1560</v>
      </c>
      <c r="F2249" s="6" t="s">
        <v>1544</v>
      </c>
      <c r="G2249" s="6" t="str">
        <f aca="false">INDEX(Archetypes!$D$2:$D$127, MATCH(D2249, Archetypes!$A$2:$A$127, 0))</f>
        <v>Shock Cavalry</v>
      </c>
      <c r="H2249" s="6" t="n">
        <f aca="false">ROUND(INDEX(Archetypes!$E$2:$E$127, MATCH(D2249, Archetypes!$A$2:$A$127, 0))*INDEX(Unit_Grades!$B$2:$B$7, MATCH(F2249, Unit_Grades!$A$2:$A$7, 0))*INDEX(Unit_Paths!$B$2:$B$4, MATCH(E2249, Unit_Paths!$A$2:$A$4, 0)),1)</f>
        <v>5508</v>
      </c>
      <c r="I2249" s="6" t="n">
        <f aca="false">ROUND(INDEX(Archetypes!$F$2:$F$127, MATCH(D2249, Archetypes!$A$2:$A$127, 0))*INDEX(Unit_Grades!$B$2:$B$7, MATCH(F2249, Unit_Grades!$A$2:$A$7, 0))*INDEX(Unit_Paths!$C$2:$C$4, MATCH(E2249, Unit_Paths!$A$2:$A$4, 0)),1)</f>
        <v>5100</v>
      </c>
      <c r="J2249" s="6" t="n">
        <f aca="false">ROUND(INDEX(Archetypes!$G$2:$G$127, MATCH(D2249, Archetypes!$A$2:$A$127, 0))*INDEX(Unit_Grades!$B$2:$B$7, MATCH(F2249, Unit_Grades!$A$2:$A$7, 0))*INDEX(Unit_Paths!$D$2:$D$4, MATCH(E2249, Unit_Paths!$A$2:$A$4, 0)),0)</f>
        <v>28980</v>
      </c>
      <c r="K2249" s="6" t="n">
        <f aca="false">ROUND(INDEX(Archetypes!$H$2:$H$127, MATCH(D2249, Archetypes!$A$2:$A$127, 0))*INDEX(Unit_Paths!$E$2:$E$4, MATCH(E2249, Unit_Paths!$A$2:$A$4, 0)),1)</f>
        <v>77.3</v>
      </c>
      <c r="L2249" s="6" t="n">
        <f aca="false">ROUND(INDEX(Archetypes!$I$2:$I$127, MATCH(D2249, Archetypes!$A$2:$A$127, 0))*INDEX(Unit_Grades!$C$2:$C$7, MATCH(F2249, Unit_Grades!$A$2:$A$7, 0)),1)</f>
        <v>693</v>
      </c>
      <c r="M2249" s="6" t="n">
        <f aca="false">ROUND(INDEX(Archetypes!$J$2:$J$127, MATCH(D2249, Archetypes!$A$2:$A$127, 0))*INDEX(Unit_Grades!$D$2:$D$7, MATCH(F2249, Unit_Grades!$A$2:$A$7, 0)),1)</f>
        <v>535.7</v>
      </c>
      <c r="N2249" s="6" t="n">
        <f aca="false">ROUND(M2249/24,2)</f>
        <v>22.32</v>
      </c>
    </row>
    <row r="2250" customFormat="false" ht="15" hidden="false" customHeight="true" outlineLevel="0" collapsed="false">
      <c r="A2250" s="6" t="n">
        <v>7</v>
      </c>
      <c r="B2250" s="6" t="s">
        <v>3693</v>
      </c>
      <c r="C2250" s="6" t="s">
        <v>1530</v>
      </c>
      <c r="D2250" s="6" t="str">
        <f aca="false">A2250&amp;"|"&amp;C2250</f>
        <v>7|Primordial Beast Rider</v>
      </c>
      <c r="E2250" s="6" t="s">
        <v>1560</v>
      </c>
      <c r="F2250" s="6" t="s">
        <v>1546</v>
      </c>
      <c r="G2250" s="6" t="str">
        <f aca="false">INDEX(Archetypes!$D$2:$D$127, MATCH(D2250, Archetypes!$A$2:$A$127, 0))</f>
        <v>Shock Cavalry</v>
      </c>
      <c r="H2250" s="6" t="n">
        <f aca="false">ROUND(INDEX(Archetypes!$E$2:$E$127, MATCH(D2250, Archetypes!$A$2:$A$127, 0))*INDEX(Unit_Grades!$B$2:$B$7, MATCH(F2250, Unit_Grades!$A$2:$A$7, 0))*INDEX(Unit_Paths!$B$2:$B$4, MATCH(E2250, Unit_Paths!$A$2:$A$4, 0)),1)</f>
        <v>7344</v>
      </c>
      <c r="I2250" s="6" t="n">
        <f aca="false">ROUND(INDEX(Archetypes!$F$2:$F$127, MATCH(D2250, Archetypes!$A$2:$A$127, 0))*INDEX(Unit_Grades!$B$2:$B$7, MATCH(F2250, Unit_Grades!$A$2:$A$7, 0))*INDEX(Unit_Paths!$C$2:$C$4, MATCH(E2250, Unit_Paths!$A$2:$A$4, 0)),1)</f>
        <v>6800</v>
      </c>
      <c r="J2250" s="6" t="n">
        <f aca="false">ROUND(INDEX(Archetypes!$G$2:$G$127, MATCH(D2250, Archetypes!$A$2:$A$127, 0))*INDEX(Unit_Grades!$B$2:$B$7, MATCH(F2250, Unit_Grades!$A$2:$A$7, 0))*INDEX(Unit_Paths!$D$2:$D$4, MATCH(E2250, Unit_Paths!$A$2:$A$4, 0)),0)</f>
        <v>38640</v>
      </c>
      <c r="K2250" s="6" t="n">
        <f aca="false">ROUND(INDEX(Archetypes!$H$2:$H$127, MATCH(D2250, Archetypes!$A$2:$A$127, 0))*INDEX(Unit_Paths!$E$2:$E$4, MATCH(E2250, Unit_Paths!$A$2:$A$4, 0)),1)</f>
        <v>77.3</v>
      </c>
      <c r="L2250" s="6" t="n">
        <f aca="false">ROUND(INDEX(Archetypes!$I$2:$I$127, MATCH(D2250, Archetypes!$A$2:$A$127, 0))*INDEX(Unit_Grades!$C$2:$C$7, MATCH(F2250, Unit_Grades!$A$2:$A$7, 0)),1)</f>
        <v>924</v>
      </c>
      <c r="M2250" s="6" t="n">
        <f aca="false">ROUND(INDEX(Archetypes!$J$2:$J$127, MATCH(D2250, Archetypes!$A$2:$A$127, 0))*INDEX(Unit_Grades!$D$2:$D$7, MATCH(F2250, Unit_Grades!$A$2:$A$7, 0)),1)</f>
        <v>937.5</v>
      </c>
      <c r="N2250" s="6" t="n">
        <f aca="false">ROUND(M2250/24,2)</f>
        <v>39.06</v>
      </c>
    </row>
    <row r="2251" customFormat="false" ht="15" hidden="false" customHeight="true" outlineLevel="0" collapsed="false">
      <c r="A2251" s="6" t="n">
        <v>7</v>
      </c>
      <c r="B2251" s="6" t="s">
        <v>3694</v>
      </c>
      <c r="C2251" s="6" t="s">
        <v>1530</v>
      </c>
      <c r="D2251" s="6" t="str">
        <f aca="false">A2251&amp;"|"&amp;C2251</f>
        <v>7|Primordial Beast Rider</v>
      </c>
      <c r="E2251" s="6" t="s">
        <v>1560</v>
      </c>
      <c r="F2251" s="6" t="s">
        <v>1548</v>
      </c>
      <c r="G2251" s="6" t="str">
        <f aca="false">INDEX(Archetypes!$D$2:$D$127, MATCH(D2251, Archetypes!$A$2:$A$127, 0))</f>
        <v>Shock Cavalry</v>
      </c>
      <c r="H2251" s="6" t="n">
        <f aca="false">ROUND(INDEX(Archetypes!$E$2:$E$127, MATCH(D2251, Archetypes!$A$2:$A$127, 0))*INDEX(Unit_Grades!$B$2:$B$7, MATCH(F2251, Unit_Grades!$A$2:$A$7, 0))*INDEX(Unit_Paths!$B$2:$B$4, MATCH(E2251, Unit_Paths!$A$2:$A$4, 0)),1)</f>
        <v>9639</v>
      </c>
      <c r="I2251" s="6" t="n">
        <f aca="false">ROUND(INDEX(Archetypes!$F$2:$F$127, MATCH(D2251, Archetypes!$A$2:$A$127, 0))*INDEX(Unit_Grades!$B$2:$B$7, MATCH(F2251, Unit_Grades!$A$2:$A$7, 0))*INDEX(Unit_Paths!$C$2:$C$4, MATCH(E2251, Unit_Paths!$A$2:$A$4, 0)),1)</f>
        <v>8925</v>
      </c>
      <c r="J2251" s="6" t="n">
        <f aca="false">ROUND(INDEX(Archetypes!$G$2:$G$127, MATCH(D2251, Archetypes!$A$2:$A$127, 0))*INDEX(Unit_Grades!$B$2:$B$7, MATCH(F2251, Unit_Grades!$A$2:$A$7, 0))*INDEX(Unit_Paths!$D$2:$D$4, MATCH(E2251, Unit_Paths!$A$2:$A$4, 0)),0)</f>
        <v>50715</v>
      </c>
      <c r="K2251" s="6" t="n">
        <f aca="false">ROUND(INDEX(Archetypes!$H$2:$H$127, MATCH(D2251, Archetypes!$A$2:$A$127, 0))*INDEX(Unit_Paths!$E$2:$E$4, MATCH(E2251, Unit_Paths!$A$2:$A$4, 0)),1)</f>
        <v>77.3</v>
      </c>
      <c r="L2251" s="6" t="n">
        <f aca="false">ROUND(INDEX(Archetypes!$I$2:$I$127, MATCH(D2251, Archetypes!$A$2:$A$127, 0))*INDEX(Unit_Grades!$C$2:$C$7, MATCH(F2251, Unit_Grades!$A$2:$A$7, 0)),1)</f>
        <v>1221</v>
      </c>
      <c r="M2251" s="6" t="n">
        <f aca="false">ROUND(INDEX(Archetypes!$J$2:$J$127, MATCH(D2251, Archetypes!$A$2:$A$127, 0))*INDEX(Unit_Grades!$D$2:$D$7, MATCH(F2251, Unit_Grades!$A$2:$A$7, 0)),1)</f>
        <v>1607.2</v>
      </c>
      <c r="N2251" s="6" t="n">
        <f aca="false">ROUND(M2251/24,2)</f>
        <v>66.97</v>
      </c>
    </row>
    <row r="2252" customFormat="false" ht="15" hidden="false" customHeight="true" outlineLevel="0" collapsed="false">
      <c r="A2252" s="6" t="n">
        <v>7</v>
      </c>
      <c r="B2252" s="6" t="s">
        <v>1532</v>
      </c>
      <c r="C2252" s="6" t="s">
        <v>1532</v>
      </c>
      <c r="D2252" s="6" t="str">
        <f aca="false">A2252&amp;"|"&amp;C2252</f>
        <v>7|Boundless Swarm</v>
      </c>
      <c r="E2252" s="6" t="s">
        <v>1556</v>
      </c>
      <c r="F2252" s="6" t="s">
        <v>1538</v>
      </c>
      <c r="G2252" s="6" t="str">
        <f aca="false">INDEX(Archetypes!$D$2:$D$127, MATCH(D2252, Archetypes!$A$2:$A$127, 0))</f>
        <v>Drone</v>
      </c>
      <c r="H2252" s="6" t="n">
        <f aca="false">ROUND(INDEX(Archetypes!$E$2:$E$127, MATCH(D2252, Archetypes!$A$2:$A$127, 0))*INDEX(Unit_Grades!$B$2:$B$7, MATCH(F2252, Unit_Grades!$A$2:$A$7, 0))*INDEX(Unit_Paths!$B$2:$B$4, MATCH(E2252, Unit_Paths!$A$2:$A$4, 0)),1)</f>
        <v>1900</v>
      </c>
      <c r="I2252" s="6" t="n">
        <f aca="false">ROUND(INDEX(Archetypes!$F$2:$F$127, MATCH(D2252, Archetypes!$A$2:$A$127, 0))*INDEX(Unit_Grades!$B$2:$B$7, MATCH(F2252, Unit_Grades!$A$2:$A$7, 0))*INDEX(Unit_Paths!$C$2:$C$4, MATCH(E2252, Unit_Paths!$A$2:$A$4, 0)),1)</f>
        <v>900</v>
      </c>
      <c r="J2252" s="6" t="n">
        <f aca="false">ROUND(INDEX(Archetypes!$G$2:$G$127, MATCH(D2252, Archetypes!$A$2:$A$127, 0))*INDEX(Unit_Grades!$B$2:$B$7, MATCH(F2252, Unit_Grades!$A$2:$A$7, 0))*INDEX(Unit_Paths!$D$2:$D$4, MATCH(E2252, Unit_Paths!$A$2:$A$4, 0)),0)</f>
        <v>7000</v>
      </c>
      <c r="K2252" s="6" t="n">
        <f aca="false">ROUND(INDEX(Archetypes!$H$2:$H$127, MATCH(D2252, Archetypes!$A$2:$A$127, 0))*INDEX(Unit_Paths!$E$2:$E$4, MATCH(E2252, Unit_Paths!$A$2:$A$4, 0)),1)</f>
        <v>80</v>
      </c>
      <c r="L2252" s="6" t="n">
        <f aca="false">ROUND(INDEX(Archetypes!$I$2:$I$127, MATCH(D2252, Archetypes!$A$2:$A$127, 0))*INDEX(Unit_Grades!$C$2:$C$7, MATCH(F2252, Unit_Grades!$A$2:$A$7, 0)),1)</f>
        <v>240</v>
      </c>
      <c r="M2252" s="6" t="n">
        <f aca="false">ROUND(INDEX(Archetypes!$J$2:$J$127, MATCH(D2252, Archetypes!$A$2:$A$127, 0))*INDEX(Unit_Grades!$D$2:$D$7, MATCH(F2252, Unit_Grades!$A$2:$A$7, 0)),1)</f>
        <v>97.4</v>
      </c>
      <c r="N2252" s="6" t="n">
        <f aca="false">ROUND(M2252/24,2)</f>
        <v>4.06</v>
      </c>
    </row>
    <row r="2253" customFormat="false" ht="15" hidden="false" customHeight="true" outlineLevel="0" collapsed="false">
      <c r="A2253" s="6" t="n">
        <v>7</v>
      </c>
      <c r="B2253" s="6" t="s">
        <v>3695</v>
      </c>
      <c r="C2253" s="6" t="s">
        <v>1532</v>
      </c>
      <c r="D2253" s="6" t="str">
        <f aca="false">A2253&amp;"|"&amp;C2253</f>
        <v>7|Boundless Swarm</v>
      </c>
      <c r="E2253" s="6" t="s">
        <v>1556</v>
      </c>
      <c r="F2253" s="6" t="s">
        <v>1540</v>
      </c>
      <c r="G2253" s="6" t="str">
        <f aca="false">INDEX(Archetypes!$D$2:$D$127, MATCH(D2253, Archetypes!$A$2:$A$127, 0))</f>
        <v>Drone</v>
      </c>
      <c r="H2253" s="6" t="n">
        <f aca="false">ROUND(INDEX(Archetypes!$E$2:$E$127, MATCH(D2253, Archetypes!$A$2:$A$127, 0))*INDEX(Unit_Grades!$B$2:$B$7, MATCH(F2253, Unit_Grades!$A$2:$A$7, 0))*INDEX(Unit_Paths!$B$2:$B$4, MATCH(E2253, Unit_Paths!$A$2:$A$4, 0)),1)</f>
        <v>2565</v>
      </c>
      <c r="I2253" s="6" t="n">
        <f aca="false">ROUND(INDEX(Archetypes!$F$2:$F$127, MATCH(D2253, Archetypes!$A$2:$A$127, 0))*INDEX(Unit_Grades!$B$2:$B$7, MATCH(F2253, Unit_Grades!$A$2:$A$7, 0))*INDEX(Unit_Paths!$C$2:$C$4, MATCH(E2253, Unit_Paths!$A$2:$A$4, 0)),1)</f>
        <v>1215</v>
      </c>
      <c r="J2253" s="6" t="n">
        <f aca="false">ROUND(INDEX(Archetypes!$G$2:$G$127, MATCH(D2253, Archetypes!$A$2:$A$127, 0))*INDEX(Unit_Grades!$B$2:$B$7, MATCH(F2253, Unit_Grades!$A$2:$A$7, 0))*INDEX(Unit_Paths!$D$2:$D$4, MATCH(E2253, Unit_Paths!$A$2:$A$4, 0)),0)</f>
        <v>9450</v>
      </c>
      <c r="K2253" s="6" t="n">
        <f aca="false">ROUND(INDEX(Archetypes!$H$2:$H$127, MATCH(D2253, Archetypes!$A$2:$A$127, 0))*INDEX(Unit_Paths!$E$2:$E$4, MATCH(E2253, Unit_Paths!$A$2:$A$4, 0)),1)</f>
        <v>80</v>
      </c>
      <c r="L2253" s="6" t="n">
        <f aca="false">ROUND(INDEX(Archetypes!$I$2:$I$127, MATCH(D2253, Archetypes!$A$2:$A$127, 0))*INDEX(Unit_Grades!$C$2:$C$7, MATCH(F2253, Unit_Grades!$A$2:$A$7, 0)),1)</f>
        <v>300</v>
      </c>
      <c r="M2253" s="6" t="n">
        <f aca="false">ROUND(INDEX(Archetypes!$J$2:$J$127, MATCH(D2253, Archetypes!$A$2:$A$127, 0))*INDEX(Unit_Grades!$D$2:$D$7, MATCH(F2253, Unit_Grades!$A$2:$A$7, 0)),1)</f>
        <v>146.1</v>
      </c>
      <c r="N2253" s="6" t="n">
        <f aca="false">ROUND(M2253/24,2)</f>
        <v>6.09</v>
      </c>
    </row>
    <row r="2254" customFormat="false" ht="15" hidden="false" customHeight="true" outlineLevel="0" collapsed="false">
      <c r="A2254" s="6" t="n">
        <v>7</v>
      </c>
      <c r="B2254" s="6" t="s">
        <v>3696</v>
      </c>
      <c r="C2254" s="6" t="s">
        <v>1532</v>
      </c>
      <c r="D2254" s="6" t="str">
        <f aca="false">A2254&amp;"|"&amp;C2254</f>
        <v>7|Boundless Swarm</v>
      </c>
      <c r="E2254" s="6" t="s">
        <v>1556</v>
      </c>
      <c r="F2254" s="6" t="s">
        <v>1542</v>
      </c>
      <c r="G2254" s="6" t="str">
        <f aca="false">INDEX(Archetypes!$D$2:$D$127, MATCH(D2254, Archetypes!$A$2:$A$127, 0))</f>
        <v>Drone</v>
      </c>
      <c r="H2254" s="6" t="n">
        <f aca="false">ROUND(INDEX(Archetypes!$E$2:$E$127, MATCH(D2254, Archetypes!$A$2:$A$127, 0))*INDEX(Unit_Grades!$B$2:$B$7, MATCH(F2254, Unit_Grades!$A$2:$A$7, 0))*INDEX(Unit_Paths!$B$2:$B$4, MATCH(E2254, Unit_Paths!$A$2:$A$4, 0)),1)</f>
        <v>3420</v>
      </c>
      <c r="I2254" s="6" t="n">
        <f aca="false">ROUND(INDEX(Archetypes!$F$2:$F$127, MATCH(D2254, Archetypes!$A$2:$A$127, 0))*INDEX(Unit_Grades!$B$2:$B$7, MATCH(F2254, Unit_Grades!$A$2:$A$7, 0))*INDEX(Unit_Paths!$C$2:$C$4, MATCH(E2254, Unit_Paths!$A$2:$A$4, 0)),1)</f>
        <v>1620</v>
      </c>
      <c r="J2254" s="6" t="n">
        <f aca="false">ROUND(INDEX(Archetypes!$G$2:$G$127, MATCH(D2254, Archetypes!$A$2:$A$127, 0))*INDEX(Unit_Grades!$B$2:$B$7, MATCH(F2254, Unit_Grades!$A$2:$A$7, 0))*INDEX(Unit_Paths!$D$2:$D$4, MATCH(E2254, Unit_Paths!$A$2:$A$4, 0)),0)</f>
        <v>12600</v>
      </c>
      <c r="K2254" s="6" t="n">
        <f aca="false">ROUND(INDEX(Archetypes!$H$2:$H$127, MATCH(D2254, Archetypes!$A$2:$A$127, 0))*INDEX(Unit_Paths!$E$2:$E$4, MATCH(E2254, Unit_Paths!$A$2:$A$4, 0)),1)</f>
        <v>80</v>
      </c>
      <c r="L2254" s="6" t="n">
        <f aca="false">ROUND(INDEX(Archetypes!$I$2:$I$127, MATCH(D2254, Archetypes!$A$2:$A$127, 0))*INDEX(Unit_Grades!$C$2:$C$7, MATCH(F2254, Unit_Grades!$A$2:$A$7, 0)),1)</f>
        <v>384</v>
      </c>
      <c r="M2254" s="6" t="n">
        <f aca="false">ROUND(INDEX(Archetypes!$J$2:$J$127, MATCH(D2254, Archetypes!$A$2:$A$127, 0))*INDEX(Unit_Grades!$D$2:$D$7, MATCH(F2254, Unit_Grades!$A$2:$A$7, 0)),1)</f>
        <v>243.5</v>
      </c>
      <c r="N2254" s="6" t="n">
        <f aca="false">ROUND(M2254/24,2)</f>
        <v>10.15</v>
      </c>
    </row>
    <row r="2255" customFormat="false" ht="15" hidden="false" customHeight="true" outlineLevel="0" collapsed="false">
      <c r="A2255" s="6" t="n">
        <v>7</v>
      </c>
      <c r="B2255" s="6" t="s">
        <v>3697</v>
      </c>
      <c r="C2255" s="6" t="s">
        <v>1532</v>
      </c>
      <c r="D2255" s="6" t="str">
        <f aca="false">A2255&amp;"|"&amp;C2255</f>
        <v>7|Boundless Swarm</v>
      </c>
      <c r="E2255" s="6" t="s">
        <v>1556</v>
      </c>
      <c r="F2255" s="6" t="s">
        <v>1544</v>
      </c>
      <c r="G2255" s="6" t="str">
        <f aca="false">INDEX(Archetypes!$D$2:$D$127, MATCH(D2255, Archetypes!$A$2:$A$127, 0))</f>
        <v>Drone</v>
      </c>
      <c r="H2255" s="6" t="n">
        <f aca="false">ROUND(INDEX(Archetypes!$E$2:$E$127, MATCH(D2255, Archetypes!$A$2:$A$127, 0))*INDEX(Unit_Grades!$B$2:$B$7, MATCH(F2255, Unit_Grades!$A$2:$A$7, 0))*INDEX(Unit_Paths!$B$2:$B$4, MATCH(E2255, Unit_Paths!$A$2:$A$4, 0)),1)</f>
        <v>4560</v>
      </c>
      <c r="I2255" s="6" t="n">
        <f aca="false">ROUND(INDEX(Archetypes!$F$2:$F$127, MATCH(D2255, Archetypes!$A$2:$A$127, 0))*INDEX(Unit_Grades!$B$2:$B$7, MATCH(F2255, Unit_Grades!$A$2:$A$7, 0))*INDEX(Unit_Paths!$C$2:$C$4, MATCH(E2255, Unit_Paths!$A$2:$A$4, 0)),1)</f>
        <v>2160</v>
      </c>
      <c r="J2255" s="6" t="n">
        <f aca="false">ROUND(INDEX(Archetypes!$G$2:$G$127, MATCH(D2255, Archetypes!$A$2:$A$127, 0))*INDEX(Unit_Grades!$B$2:$B$7, MATCH(F2255, Unit_Grades!$A$2:$A$7, 0))*INDEX(Unit_Paths!$D$2:$D$4, MATCH(E2255, Unit_Paths!$A$2:$A$4, 0)),0)</f>
        <v>16800</v>
      </c>
      <c r="K2255" s="6" t="n">
        <f aca="false">ROUND(INDEX(Archetypes!$H$2:$H$127, MATCH(D2255, Archetypes!$A$2:$A$127, 0))*INDEX(Unit_Paths!$E$2:$E$4, MATCH(E2255, Unit_Paths!$A$2:$A$4, 0)),1)</f>
        <v>80</v>
      </c>
      <c r="L2255" s="6" t="n">
        <f aca="false">ROUND(INDEX(Archetypes!$I$2:$I$127, MATCH(D2255, Archetypes!$A$2:$A$127, 0))*INDEX(Unit_Grades!$C$2:$C$7, MATCH(F2255, Unit_Grades!$A$2:$A$7, 0)),1)</f>
        <v>504</v>
      </c>
      <c r="M2255" s="6" t="n">
        <f aca="false">ROUND(INDEX(Archetypes!$J$2:$J$127, MATCH(D2255, Archetypes!$A$2:$A$127, 0))*INDEX(Unit_Grades!$D$2:$D$7, MATCH(F2255, Unit_Grades!$A$2:$A$7, 0)),1)</f>
        <v>389.6</v>
      </c>
      <c r="N2255" s="6" t="n">
        <f aca="false">ROUND(M2255/24,2)</f>
        <v>16.23</v>
      </c>
    </row>
    <row r="2256" customFormat="false" ht="15" hidden="false" customHeight="true" outlineLevel="0" collapsed="false">
      <c r="A2256" s="6" t="n">
        <v>7</v>
      </c>
      <c r="B2256" s="6" t="s">
        <v>3698</v>
      </c>
      <c r="C2256" s="6" t="s">
        <v>1532</v>
      </c>
      <c r="D2256" s="6" t="str">
        <f aca="false">A2256&amp;"|"&amp;C2256</f>
        <v>7|Boundless Swarm</v>
      </c>
      <c r="E2256" s="6" t="s">
        <v>1556</v>
      </c>
      <c r="F2256" s="6" t="s">
        <v>1546</v>
      </c>
      <c r="G2256" s="6" t="str">
        <f aca="false">INDEX(Archetypes!$D$2:$D$127, MATCH(D2256, Archetypes!$A$2:$A$127, 0))</f>
        <v>Drone</v>
      </c>
      <c r="H2256" s="6" t="n">
        <f aca="false">ROUND(INDEX(Archetypes!$E$2:$E$127, MATCH(D2256, Archetypes!$A$2:$A$127, 0))*INDEX(Unit_Grades!$B$2:$B$7, MATCH(F2256, Unit_Grades!$A$2:$A$7, 0))*INDEX(Unit_Paths!$B$2:$B$4, MATCH(E2256, Unit_Paths!$A$2:$A$4, 0)),1)</f>
        <v>6080</v>
      </c>
      <c r="I2256" s="6" t="n">
        <f aca="false">ROUND(INDEX(Archetypes!$F$2:$F$127, MATCH(D2256, Archetypes!$A$2:$A$127, 0))*INDEX(Unit_Grades!$B$2:$B$7, MATCH(F2256, Unit_Grades!$A$2:$A$7, 0))*INDEX(Unit_Paths!$C$2:$C$4, MATCH(E2256, Unit_Paths!$A$2:$A$4, 0)),1)</f>
        <v>2880</v>
      </c>
      <c r="J2256" s="6" t="n">
        <f aca="false">ROUND(INDEX(Archetypes!$G$2:$G$127, MATCH(D2256, Archetypes!$A$2:$A$127, 0))*INDEX(Unit_Grades!$B$2:$B$7, MATCH(F2256, Unit_Grades!$A$2:$A$7, 0))*INDEX(Unit_Paths!$D$2:$D$4, MATCH(E2256, Unit_Paths!$A$2:$A$4, 0)),0)</f>
        <v>22400</v>
      </c>
      <c r="K2256" s="6" t="n">
        <f aca="false">ROUND(INDEX(Archetypes!$H$2:$H$127, MATCH(D2256, Archetypes!$A$2:$A$127, 0))*INDEX(Unit_Paths!$E$2:$E$4, MATCH(E2256, Unit_Paths!$A$2:$A$4, 0)),1)</f>
        <v>80</v>
      </c>
      <c r="L2256" s="6" t="n">
        <f aca="false">ROUND(INDEX(Archetypes!$I$2:$I$127, MATCH(D2256, Archetypes!$A$2:$A$127, 0))*INDEX(Unit_Grades!$C$2:$C$7, MATCH(F2256, Unit_Grades!$A$2:$A$7, 0)),1)</f>
        <v>672</v>
      </c>
      <c r="M2256" s="6" t="n">
        <f aca="false">ROUND(INDEX(Archetypes!$J$2:$J$127, MATCH(D2256, Archetypes!$A$2:$A$127, 0))*INDEX(Unit_Grades!$D$2:$D$7, MATCH(F2256, Unit_Grades!$A$2:$A$7, 0)),1)</f>
        <v>681.8</v>
      </c>
      <c r="N2256" s="6" t="n">
        <f aca="false">ROUND(M2256/24,2)</f>
        <v>28.41</v>
      </c>
    </row>
    <row r="2257" customFormat="false" ht="15" hidden="false" customHeight="true" outlineLevel="0" collapsed="false">
      <c r="A2257" s="6" t="n">
        <v>7</v>
      </c>
      <c r="B2257" s="6" t="s">
        <v>3699</v>
      </c>
      <c r="C2257" s="6" t="s">
        <v>1532</v>
      </c>
      <c r="D2257" s="6" t="str">
        <f aca="false">A2257&amp;"|"&amp;C2257</f>
        <v>7|Boundless Swarm</v>
      </c>
      <c r="E2257" s="6" t="s">
        <v>1556</v>
      </c>
      <c r="F2257" s="6" t="s">
        <v>1548</v>
      </c>
      <c r="G2257" s="6" t="str">
        <f aca="false">INDEX(Archetypes!$D$2:$D$127, MATCH(D2257, Archetypes!$A$2:$A$127, 0))</f>
        <v>Drone</v>
      </c>
      <c r="H2257" s="6" t="n">
        <f aca="false">ROUND(INDEX(Archetypes!$E$2:$E$127, MATCH(D2257, Archetypes!$A$2:$A$127, 0))*INDEX(Unit_Grades!$B$2:$B$7, MATCH(F2257, Unit_Grades!$A$2:$A$7, 0))*INDEX(Unit_Paths!$B$2:$B$4, MATCH(E2257, Unit_Paths!$A$2:$A$4, 0)),1)</f>
        <v>7980</v>
      </c>
      <c r="I2257" s="6" t="n">
        <f aca="false">ROUND(INDEX(Archetypes!$F$2:$F$127, MATCH(D2257, Archetypes!$A$2:$A$127, 0))*INDEX(Unit_Grades!$B$2:$B$7, MATCH(F2257, Unit_Grades!$A$2:$A$7, 0))*INDEX(Unit_Paths!$C$2:$C$4, MATCH(E2257, Unit_Paths!$A$2:$A$4, 0)),1)</f>
        <v>3780</v>
      </c>
      <c r="J2257" s="6" t="n">
        <f aca="false">ROUND(INDEX(Archetypes!$G$2:$G$127, MATCH(D2257, Archetypes!$A$2:$A$127, 0))*INDEX(Unit_Grades!$B$2:$B$7, MATCH(F2257, Unit_Grades!$A$2:$A$7, 0))*INDEX(Unit_Paths!$D$2:$D$4, MATCH(E2257, Unit_Paths!$A$2:$A$4, 0)),0)</f>
        <v>29400</v>
      </c>
      <c r="K2257" s="6" t="n">
        <f aca="false">ROUND(INDEX(Archetypes!$H$2:$H$127, MATCH(D2257, Archetypes!$A$2:$A$127, 0))*INDEX(Unit_Paths!$E$2:$E$4, MATCH(E2257, Unit_Paths!$A$2:$A$4, 0)),1)</f>
        <v>80</v>
      </c>
      <c r="L2257" s="6" t="n">
        <f aca="false">ROUND(INDEX(Archetypes!$I$2:$I$127, MATCH(D2257, Archetypes!$A$2:$A$127, 0))*INDEX(Unit_Grades!$C$2:$C$7, MATCH(F2257, Unit_Grades!$A$2:$A$7, 0)),1)</f>
        <v>888</v>
      </c>
      <c r="M2257" s="6" t="n">
        <f aca="false">ROUND(INDEX(Archetypes!$J$2:$J$127, MATCH(D2257, Archetypes!$A$2:$A$127, 0))*INDEX(Unit_Grades!$D$2:$D$7, MATCH(F2257, Unit_Grades!$A$2:$A$7, 0)),1)</f>
        <v>1168.8</v>
      </c>
      <c r="N2257" s="6" t="n">
        <f aca="false">ROUND(M2257/24,2)</f>
        <v>48.7</v>
      </c>
    </row>
    <row r="2258" customFormat="false" ht="15" hidden="false" customHeight="true" outlineLevel="0" collapsed="false">
      <c r="A2258" s="6" t="n">
        <v>7</v>
      </c>
      <c r="B2258" s="6" t="s">
        <v>3700</v>
      </c>
      <c r="C2258" s="6" t="s">
        <v>1532</v>
      </c>
      <c r="D2258" s="6" t="str">
        <f aca="false">A2258&amp;"|"&amp;C2258</f>
        <v>7|Boundless Swarm</v>
      </c>
      <c r="E2258" s="6" t="s">
        <v>1558</v>
      </c>
      <c r="F2258" s="6" t="s">
        <v>1538</v>
      </c>
      <c r="G2258" s="6" t="str">
        <f aca="false">INDEX(Archetypes!$D$2:$D$127, MATCH(D2258, Archetypes!$A$2:$A$127, 0))</f>
        <v>Drone</v>
      </c>
      <c r="H2258" s="6" t="n">
        <f aca="false">ROUND(INDEX(Archetypes!$E$2:$E$127, MATCH(D2258, Archetypes!$A$2:$A$127, 0))*INDEX(Unit_Grades!$B$2:$B$7, MATCH(F2258, Unit_Grades!$A$2:$A$7, 0))*INDEX(Unit_Paths!$B$2:$B$4, MATCH(E2258, Unit_Paths!$A$2:$A$4, 0)),1)</f>
        <v>2280</v>
      </c>
      <c r="I2258" s="6" t="n">
        <f aca="false">ROUND(INDEX(Archetypes!$F$2:$F$127, MATCH(D2258, Archetypes!$A$2:$A$127, 0))*INDEX(Unit_Grades!$B$2:$B$7, MATCH(F2258, Unit_Grades!$A$2:$A$7, 0))*INDEX(Unit_Paths!$C$2:$C$4, MATCH(E2258, Unit_Paths!$A$2:$A$4, 0)),1)</f>
        <v>765</v>
      </c>
      <c r="J2258" s="6" t="n">
        <f aca="false">ROUND(INDEX(Archetypes!$G$2:$G$127, MATCH(D2258, Archetypes!$A$2:$A$127, 0))*INDEX(Unit_Grades!$B$2:$B$7, MATCH(F2258, Unit_Grades!$A$2:$A$7, 0))*INDEX(Unit_Paths!$D$2:$D$4, MATCH(E2258, Unit_Paths!$A$2:$A$4, 0)),0)</f>
        <v>6650</v>
      </c>
      <c r="K2258" s="6" t="n">
        <f aca="false">ROUND(INDEX(Archetypes!$H$2:$H$127, MATCH(D2258, Archetypes!$A$2:$A$127, 0))*INDEX(Unit_Paths!$E$2:$E$4, MATCH(E2258, Unit_Paths!$A$2:$A$4, 0)),1)</f>
        <v>84</v>
      </c>
      <c r="L2258" s="6" t="n">
        <f aca="false">ROUND(INDEX(Archetypes!$I$2:$I$127, MATCH(D2258, Archetypes!$A$2:$A$127, 0))*INDEX(Unit_Grades!$C$2:$C$7, MATCH(F2258, Unit_Grades!$A$2:$A$7, 0)),1)</f>
        <v>240</v>
      </c>
      <c r="M2258" s="6" t="n">
        <f aca="false">ROUND(INDEX(Archetypes!$J$2:$J$127, MATCH(D2258, Archetypes!$A$2:$A$127, 0))*INDEX(Unit_Grades!$D$2:$D$7, MATCH(F2258, Unit_Grades!$A$2:$A$7, 0)),1)</f>
        <v>97.4</v>
      </c>
      <c r="N2258" s="6" t="n">
        <f aca="false">ROUND(M2258/24,2)</f>
        <v>4.06</v>
      </c>
    </row>
    <row r="2259" customFormat="false" ht="15" hidden="false" customHeight="true" outlineLevel="0" collapsed="false">
      <c r="A2259" s="6" t="n">
        <v>7</v>
      </c>
      <c r="B2259" s="6" t="s">
        <v>3701</v>
      </c>
      <c r="C2259" s="6" t="s">
        <v>1532</v>
      </c>
      <c r="D2259" s="6" t="str">
        <f aca="false">A2259&amp;"|"&amp;C2259</f>
        <v>7|Boundless Swarm</v>
      </c>
      <c r="E2259" s="6" t="s">
        <v>1558</v>
      </c>
      <c r="F2259" s="6" t="s">
        <v>1540</v>
      </c>
      <c r="G2259" s="6" t="str">
        <f aca="false">INDEX(Archetypes!$D$2:$D$127, MATCH(D2259, Archetypes!$A$2:$A$127, 0))</f>
        <v>Drone</v>
      </c>
      <c r="H2259" s="6" t="n">
        <f aca="false">ROUND(INDEX(Archetypes!$E$2:$E$127, MATCH(D2259, Archetypes!$A$2:$A$127, 0))*INDEX(Unit_Grades!$B$2:$B$7, MATCH(F2259, Unit_Grades!$A$2:$A$7, 0))*INDEX(Unit_Paths!$B$2:$B$4, MATCH(E2259, Unit_Paths!$A$2:$A$4, 0)),1)</f>
        <v>3078</v>
      </c>
      <c r="I2259" s="6" t="n">
        <f aca="false">ROUND(INDEX(Archetypes!$F$2:$F$127, MATCH(D2259, Archetypes!$A$2:$A$127, 0))*INDEX(Unit_Grades!$B$2:$B$7, MATCH(F2259, Unit_Grades!$A$2:$A$7, 0))*INDEX(Unit_Paths!$C$2:$C$4, MATCH(E2259, Unit_Paths!$A$2:$A$4, 0)),1)</f>
        <v>1032.8</v>
      </c>
      <c r="J2259" s="6" t="n">
        <f aca="false">ROUND(INDEX(Archetypes!$G$2:$G$127, MATCH(D2259, Archetypes!$A$2:$A$127, 0))*INDEX(Unit_Grades!$B$2:$B$7, MATCH(F2259, Unit_Grades!$A$2:$A$7, 0))*INDEX(Unit_Paths!$D$2:$D$4, MATCH(E2259, Unit_Paths!$A$2:$A$4, 0)),0)</f>
        <v>8978</v>
      </c>
      <c r="K2259" s="6" t="n">
        <f aca="false">ROUND(INDEX(Archetypes!$H$2:$H$127, MATCH(D2259, Archetypes!$A$2:$A$127, 0))*INDEX(Unit_Paths!$E$2:$E$4, MATCH(E2259, Unit_Paths!$A$2:$A$4, 0)),1)</f>
        <v>84</v>
      </c>
      <c r="L2259" s="6" t="n">
        <f aca="false">ROUND(INDEX(Archetypes!$I$2:$I$127, MATCH(D2259, Archetypes!$A$2:$A$127, 0))*INDEX(Unit_Grades!$C$2:$C$7, MATCH(F2259, Unit_Grades!$A$2:$A$7, 0)),1)</f>
        <v>300</v>
      </c>
      <c r="M2259" s="6" t="n">
        <f aca="false">ROUND(INDEX(Archetypes!$J$2:$J$127, MATCH(D2259, Archetypes!$A$2:$A$127, 0))*INDEX(Unit_Grades!$D$2:$D$7, MATCH(F2259, Unit_Grades!$A$2:$A$7, 0)),1)</f>
        <v>146.1</v>
      </c>
      <c r="N2259" s="6" t="n">
        <f aca="false">ROUND(M2259/24,2)</f>
        <v>6.09</v>
      </c>
    </row>
    <row r="2260" customFormat="false" ht="15" hidden="false" customHeight="true" outlineLevel="0" collapsed="false">
      <c r="A2260" s="6" t="n">
        <v>7</v>
      </c>
      <c r="B2260" s="6" t="s">
        <v>3702</v>
      </c>
      <c r="C2260" s="6" t="s">
        <v>1532</v>
      </c>
      <c r="D2260" s="6" t="str">
        <f aca="false">A2260&amp;"|"&amp;C2260</f>
        <v>7|Boundless Swarm</v>
      </c>
      <c r="E2260" s="6" t="s">
        <v>1558</v>
      </c>
      <c r="F2260" s="6" t="s">
        <v>1542</v>
      </c>
      <c r="G2260" s="6" t="str">
        <f aca="false">INDEX(Archetypes!$D$2:$D$127, MATCH(D2260, Archetypes!$A$2:$A$127, 0))</f>
        <v>Drone</v>
      </c>
      <c r="H2260" s="6" t="n">
        <f aca="false">ROUND(INDEX(Archetypes!$E$2:$E$127, MATCH(D2260, Archetypes!$A$2:$A$127, 0))*INDEX(Unit_Grades!$B$2:$B$7, MATCH(F2260, Unit_Grades!$A$2:$A$7, 0))*INDEX(Unit_Paths!$B$2:$B$4, MATCH(E2260, Unit_Paths!$A$2:$A$4, 0)),1)</f>
        <v>4104</v>
      </c>
      <c r="I2260" s="6" t="n">
        <f aca="false">ROUND(INDEX(Archetypes!$F$2:$F$127, MATCH(D2260, Archetypes!$A$2:$A$127, 0))*INDEX(Unit_Grades!$B$2:$B$7, MATCH(F2260, Unit_Grades!$A$2:$A$7, 0))*INDEX(Unit_Paths!$C$2:$C$4, MATCH(E2260, Unit_Paths!$A$2:$A$4, 0)),1)</f>
        <v>1377</v>
      </c>
      <c r="J2260" s="6" t="n">
        <f aca="false">ROUND(INDEX(Archetypes!$G$2:$G$127, MATCH(D2260, Archetypes!$A$2:$A$127, 0))*INDEX(Unit_Grades!$B$2:$B$7, MATCH(F2260, Unit_Grades!$A$2:$A$7, 0))*INDEX(Unit_Paths!$D$2:$D$4, MATCH(E2260, Unit_Paths!$A$2:$A$4, 0)),0)</f>
        <v>11970</v>
      </c>
      <c r="K2260" s="6" t="n">
        <f aca="false">ROUND(INDEX(Archetypes!$H$2:$H$127, MATCH(D2260, Archetypes!$A$2:$A$127, 0))*INDEX(Unit_Paths!$E$2:$E$4, MATCH(E2260, Unit_Paths!$A$2:$A$4, 0)),1)</f>
        <v>84</v>
      </c>
      <c r="L2260" s="6" t="n">
        <f aca="false">ROUND(INDEX(Archetypes!$I$2:$I$127, MATCH(D2260, Archetypes!$A$2:$A$127, 0))*INDEX(Unit_Grades!$C$2:$C$7, MATCH(F2260, Unit_Grades!$A$2:$A$7, 0)),1)</f>
        <v>384</v>
      </c>
      <c r="M2260" s="6" t="n">
        <f aca="false">ROUND(INDEX(Archetypes!$J$2:$J$127, MATCH(D2260, Archetypes!$A$2:$A$127, 0))*INDEX(Unit_Grades!$D$2:$D$7, MATCH(F2260, Unit_Grades!$A$2:$A$7, 0)),1)</f>
        <v>243.5</v>
      </c>
      <c r="N2260" s="6" t="n">
        <f aca="false">ROUND(M2260/24,2)</f>
        <v>10.15</v>
      </c>
    </row>
    <row r="2261" customFormat="false" ht="15" hidden="false" customHeight="true" outlineLevel="0" collapsed="false">
      <c r="A2261" s="6" t="n">
        <v>7</v>
      </c>
      <c r="B2261" s="6" t="s">
        <v>3703</v>
      </c>
      <c r="C2261" s="6" t="s">
        <v>1532</v>
      </c>
      <c r="D2261" s="6" t="str">
        <f aca="false">A2261&amp;"|"&amp;C2261</f>
        <v>7|Boundless Swarm</v>
      </c>
      <c r="E2261" s="6" t="s">
        <v>1558</v>
      </c>
      <c r="F2261" s="6" t="s">
        <v>1544</v>
      </c>
      <c r="G2261" s="6" t="str">
        <f aca="false">INDEX(Archetypes!$D$2:$D$127, MATCH(D2261, Archetypes!$A$2:$A$127, 0))</f>
        <v>Drone</v>
      </c>
      <c r="H2261" s="6" t="n">
        <f aca="false">ROUND(INDEX(Archetypes!$E$2:$E$127, MATCH(D2261, Archetypes!$A$2:$A$127, 0))*INDEX(Unit_Grades!$B$2:$B$7, MATCH(F2261, Unit_Grades!$A$2:$A$7, 0))*INDEX(Unit_Paths!$B$2:$B$4, MATCH(E2261, Unit_Paths!$A$2:$A$4, 0)),1)</f>
        <v>5472</v>
      </c>
      <c r="I2261" s="6" t="n">
        <f aca="false">ROUND(INDEX(Archetypes!$F$2:$F$127, MATCH(D2261, Archetypes!$A$2:$A$127, 0))*INDEX(Unit_Grades!$B$2:$B$7, MATCH(F2261, Unit_Grades!$A$2:$A$7, 0))*INDEX(Unit_Paths!$C$2:$C$4, MATCH(E2261, Unit_Paths!$A$2:$A$4, 0)),1)</f>
        <v>1836</v>
      </c>
      <c r="J2261" s="6" t="n">
        <f aca="false">ROUND(INDEX(Archetypes!$G$2:$G$127, MATCH(D2261, Archetypes!$A$2:$A$127, 0))*INDEX(Unit_Grades!$B$2:$B$7, MATCH(F2261, Unit_Grades!$A$2:$A$7, 0))*INDEX(Unit_Paths!$D$2:$D$4, MATCH(E2261, Unit_Paths!$A$2:$A$4, 0)),0)</f>
        <v>15960</v>
      </c>
      <c r="K2261" s="6" t="n">
        <f aca="false">ROUND(INDEX(Archetypes!$H$2:$H$127, MATCH(D2261, Archetypes!$A$2:$A$127, 0))*INDEX(Unit_Paths!$E$2:$E$4, MATCH(E2261, Unit_Paths!$A$2:$A$4, 0)),1)</f>
        <v>84</v>
      </c>
      <c r="L2261" s="6" t="n">
        <f aca="false">ROUND(INDEX(Archetypes!$I$2:$I$127, MATCH(D2261, Archetypes!$A$2:$A$127, 0))*INDEX(Unit_Grades!$C$2:$C$7, MATCH(F2261, Unit_Grades!$A$2:$A$7, 0)),1)</f>
        <v>504</v>
      </c>
      <c r="M2261" s="6" t="n">
        <f aca="false">ROUND(INDEX(Archetypes!$J$2:$J$127, MATCH(D2261, Archetypes!$A$2:$A$127, 0))*INDEX(Unit_Grades!$D$2:$D$7, MATCH(F2261, Unit_Grades!$A$2:$A$7, 0)),1)</f>
        <v>389.6</v>
      </c>
      <c r="N2261" s="6" t="n">
        <f aca="false">ROUND(M2261/24,2)</f>
        <v>16.23</v>
      </c>
    </row>
    <row r="2262" customFormat="false" ht="15" hidden="false" customHeight="true" outlineLevel="0" collapsed="false">
      <c r="A2262" s="6" t="n">
        <v>7</v>
      </c>
      <c r="B2262" s="6" t="s">
        <v>3704</v>
      </c>
      <c r="C2262" s="6" t="s">
        <v>1532</v>
      </c>
      <c r="D2262" s="6" t="str">
        <f aca="false">A2262&amp;"|"&amp;C2262</f>
        <v>7|Boundless Swarm</v>
      </c>
      <c r="E2262" s="6" t="s">
        <v>1558</v>
      </c>
      <c r="F2262" s="6" t="s">
        <v>1546</v>
      </c>
      <c r="G2262" s="6" t="str">
        <f aca="false">INDEX(Archetypes!$D$2:$D$127, MATCH(D2262, Archetypes!$A$2:$A$127, 0))</f>
        <v>Drone</v>
      </c>
      <c r="H2262" s="6" t="n">
        <f aca="false">ROUND(INDEX(Archetypes!$E$2:$E$127, MATCH(D2262, Archetypes!$A$2:$A$127, 0))*INDEX(Unit_Grades!$B$2:$B$7, MATCH(F2262, Unit_Grades!$A$2:$A$7, 0))*INDEX(Unit_Paths!$B$2:$B$4, MATCH(E2262, Unit_Paths!$A$2:$A$4, 0)),1)</f>
        <v>7296</v>
      </c>
      <c r="I2262" s="6" t="n">
        <f aca="false">ROUND(INDEX(Archetypes!$F$2:$F$127, MATCH(D2262, Archetypes!$A$2:$A$127, 0))*INDEX(Unit_Grades!$B$2:$B$7, MATCH(F2262, Unit_Grades!$A$2:$A$7, 0))*INDEX(Unit_Paths!$C$2:$C$4, MATCH(E2262, Unit_Paths!$A$2:$A$4, 0)),1)</f>
        <v>2448</v>
      </c>
      <c r="J2262" s="6" t="n">
        <f aca="false">ROUND(INDEX(Archetypes!$G$2:$G$127, MATCH(D2262, Archetypes!$A$2:$A$127, 0))*INDEX(Unit_Grades!$B$2:$B$7, MATCH(F2262, Unit_Grades!$A$2:$A$7, 0))*INDEX(Unit_Paths!$D$2:$D$4, MATCH(E2262, Unit_Paths!$A$2:$A$4, 0)),0)</f>
        <v>21280</v>
      </c>
      <c r="K2262" s="6" t="n">
        <f aca="false">ROUND(INDEX(Archetypes!$H$2:$H$127, MATCH(D2262, Archetypes!$A$2:$A$127, 0))*INDEX(Unit_Paths!$E$2:$E$4, MATCH(E2262, Unit_Paths!$A$2:$A$4, 0)),1)</f>
        <v>84</v>
      </c>
      <c r="L2262" s="6" t="n">
        <f aca="false">ROUND(INDEX(Archetypes!$I$2:$I$127, MATCH(D2262, Archetypes!$A$2:$A$127, 0))*INDEX(Unit_Grades!$C$2:$C$7, MATCH(F2262, Unit_Grades!$A$2:$A$7, 0)),1)</f>
        <v>672</v>
      </c>
      <c r="M2262" s="6" t="n">
        <f aca="false">ROUND(INDEX(Archetypes!$J$2:$J$127, MATCH(D2262, Archetypes!$A$2:$A$127, 0))*INDEX(Unit_Grades!$D$2:$D$7, MATCH(F2262, Unit_Grades!$A$2:$A$7, 0)),1)</f>
        <v>681.8</v>
      </c>
      <c r="N2262" s="6" t="n">
        <f aca="false">ROUND(M2262/24,2)</f>
        <v>28.41</v>
      </c>
    </row>
    <row r="2263" customFormat="false" ht="15" hidden="false" customHeight="true" outlineLevel="0" collapsed="false">
      <c r="A2263" s="6" t="n">
        <v>7</v>
      </c>
      <c r="B2263" s="6" t="s">
        <v>3705</v>
      </c>
      <c r="C2263" s="6" t="s">
        <v>1532</v>
      </c>
      <c r="D2263" s="6" t="str">
        <f aca="false">A2263&amp;"|"&amp;C2263</f>
        <v>7|Boundless Swarm</v>
      </c>
      <c r="E2263" s="6" t="s">
        <v>1558</v>
      </c>
      <c r="F2263" s="6" t="s">
        <v>1548</v>
      </c>
      <c r="G2263" s="6" t="str">
        <f aca="false">INDEX(Archetypes!$D$2:$D$127, MATCH(D2263, Archetypes!$A$2:$A$127, 0))</f>
        <v>Drone</v>
      </c>
      <c r="H2263" s="6" t="n">
        <f aca="false">ROUND(INDEX(Archetypes!$E$2:$E$127, MATCH(D2263, Archetypes!$A$2:$A$127, 0))*INDEX(Unit_Grades!$B$2:$B$7, MATCH(F2263, Unit_Grades!$A$2:$A$7, 0))*INDEX(Unit_Paths!$B$2:$B$4, MATCH(E2263, Unit_Paths!$A$2:$A$4, 0)),1)</f>
        <v>9576</v>
      </c>
      <c r="I2263" s="6" t="n">
        <f aca="false">ROUND(INDEX(Archetypes!$F$2:$F$127, MATCH(D2263, Archetypes!$A$2:$A$127, 0))*INDEX(Unit_Grades!$B$2:$B$7, MATCH(F2263, Unit_Grades!$A$2:$A$7, 0))*INDEX(Unit_Paths!$C$2:$C$4, MATCH(E2263, Unit_Paths!$A$2:$A$4, 0)),1)</f>
        <v>3213</v>
      </c>
      <c r="J2263" s="6" t="n">
        <f aca="false">ROUND(INDEX(Archetypes!$G$2:$G$127, MATCH(D2263, Archetypes!$A$2:$A$127, 0))*INDEX(Unit_Grades!$B$2:$B$7, MATCH(F2263, Unit_Grades!$A$2:$A$7, 0))*INDEX(Unit_Paths!$D$2:$D$4, MATCH(E2263, Unit_Paths!$A$2:$A$4, 0)),0)</f>
        <v>27930</v>
      </c>
      <c r="K2263" s="6" t="n">
        <f aca="false">ROUND(INDEX(Archetypes!$H$2:$H$127, MATCH(D2263, Archetypes!$A$2:$A$127, 0))*INDEX(Unit_Paths!$E$2:$E$4, MATCH(E2263, Unit_Paths!$A$2:$A$4, 0)),1)</f>
        <v>84</v>
      </c>
      <c r="L2263" s="6" t="n">
        <f aca="false">ROUND(INDEX(Archetypes!$I$2:$I$127, MATCH(D2263, Archetypes!$A$2:$A$127, 0))*INDEX(Unit_Grades!$C$2:$C$7, MATCH(F2263, Unit_Grades!$A$2:$A$7, 0)),1)</f>
        <v>888</v>
      </c>
      <c r="M2263" s="6" t="n">
        <f aca="false">ROUND(INDEX(Archetypes!$J$2:$J$127, MATCH(D2263, Archetypes!$A$2:$A$127, 0))*INDEX(Unit_Grades!$D$2:$D$7, MATCH(F2263, Unit_Grades!$A$2:$A$7, 0)),1)</f>
        <v>1168.8</v>
      </c>
      <c r="N2263" s="6" t="n">
        <f aca="false">ROUND(M2263/24,2)</f>
        <v>48.7</v>
      </c>
    </row>
    <row r="2264" customFormat="false" ht="15" hidden="false" customHeight="true" outlineLevel="0" collapsed="false">
      <c r="A2264" s="6" t="n">
        <v>7</v>
      </c>
      <c r="B2264" s="6" t="s">
        <v>3706</v>
      </c>
      <c r="C2264" s="6" t="s">
        <v>1532</v>
      </c>
      <c r="D2264" s="6" t="str">
        <f aca="false">A2264&amp;"|"&amp;C2264</f>
        <v>7|Boundless Swarm</v>
      </c>
      <c r="E2264" s="6" t="s">
        <v>1560</v>
      </c>
      <c r="F2264" s="6" t="s">
        <v>1538</v>
      </c>
      <c r="G2264" s="6" t="str">
        <f aca="false">INDEX(Archetypes!$D$2:$D$127, MATCH(D2264, Archetypes!$A$2:$A$127, 0))</f>
        <v>Drone</v>
      </c>
      <c r="H2264" s="6" t="n">
        <f aca="false">ROUND(INDEX(Archetypes!$E$2:$E$127, MATCH(D2264, Archetypes!$A$2:$A$127, 0))*INDEX(Unit_Grades!$B$2:$B$7, MATCH(F2264, Unit_Grades!$A$2:$A$7, 0))*INDEX(Unit_Paths!$B$2:$B$4, MATCH(E2264, Unit_Paths!$A$2:$A$4, 0)),1)</f>
        <v>1615</v>
      </c>
      <c r="I2264" s="6" t="n">
        <f aca="false">ROUND(INDEX(Archetypes!$F$2:$F$127, MATCH(D2264, Archetypes!$A$2:$A$127, 0))*INDEX(Unit_Grades!$B$2:$B$7, MATCH(F2264, Unit_Grades!$A$2:$A$7, 0))*INDEX(Unit_Paths!$C$2:$C$4, MATCH(E2264, Unit_Paths!$A$2:$A$4, 0)),1)</f>
        <v>1125</v>
      </c>
      <c r="J2264" s="6" t="n">
        <f aca="false">ROUND(INDEX(Archetypes!$G$2:$G$127, MATCH(D2264, Archetypes!$A$2:$A$127, 0))*INDEX(Unit_Grades!$B$2:$B$7, MATCH(F2264, Unit_Grades!$A$2:$A$7, 0))*INDEX(Unit_Paths!$D$2:$D$4, MATCH(E2264, Unit_Paths!$A$2:$A$4, 0)),0)</f>
        <v>8050</v>
      </c>
      <c r="K2264" s="6" t="n">
        <f aca="false">ROUND(INDEX(Archetypes!$H$2:$H$127, MATCH(D2264, Archetypes!$A$2:$A$127, 0))*INDEX(Unit_Paths!$E$2:$E$4, MATCH(E2264, Unit_Paths!$A$2:$A$4, 0)),1)</f>
        <v>73.6</v>
      </c>
      <c r="L2264" s="6" t="n">
        <f aca="false">ROUND(INDEX(Archetypes!$I$2:$I$127, MATCH(D2264, Archetypes!$A$2:$A$127, 0))*INDEX(Unit_Grades!$C$2:$C$7, MATCH(F2264, Unit_Grades!$A$2:$A$7, 0)),1)</f>
        <v>240</v>
      </c>
      <c r="M2264" s="6" t="n">
        <f aca="false">ROUND(INDEX(Archetypes!$J$2:$J$127, MATCH(D2264, Archetypes!$A$2:$A$127, 0))*INDEX(Unit_Grades!$D$2:$D$7, MATCH(F2264, Unit_Grades!$A$2:$A$7, 0)),1)</f>
        <v>97.4</v>
      </c>
      <c r="N2264" s="6" t="n">
        <f aca="false">ROUND(M2264/24,2)</f>
        <v>4.06</v>
      </c>
    </row>
    <row r="2265" customFormat="false" ht="15" hidden="false" customHeight="true" outlineLevel="0" collapsed="false">
      <c r="A2265" s="6" t="n">
        <v>7</v>
      </c>
      <c r="B2265" s="6" t="s">
        <v>3707</v>
      </c>
      <c r="C2265" s="6" t="s">
        <v>1532</v>
      </c>
      <c r="D2265" s="6" t="str">
        <f aca="false">A2265&amp;"|"&amp;C2265</f>
        <v>7|Boundless Swarm</v>
      </c>
      <c r="E2265" s="6" t="s">
        <v>1560</v>
      </c>
      <c r="F2265" s="6" t="s">
        <v>1540</v>
      </c>
      <c r="G2265" s="6" t="str">
        <f aca="false">INDEX(Archetypes!$D$2:$D$127, MATCH(D2265, Archetypes!$A$2:$A$127, 0))</f>
        <v>Drone</v>
      </c>
      <c r="H2265" s="6" t="n">
        <f aca="false">ROUND(INDEX(Archetypes!$E$2:$E$127, MATCH(D2265, Archetypes!$A$2:$A$127, 0))*INDEX(Unit_Grades!$B$2:$B$7, MATCH(F2265, Unit_Grades!$A$2:$A$7, 0))*INDEX(Unit_Paths!$B$2:$B$4, MATCH(E2265, Unit_Paths!$A$2:$A$4, 0)),1)</f>
        <v>2180.3</v>
      </c>
      <c r="I2265" s="6" t="n">
        <f aca="false">ROUND(INDEX(Archetypes!$F$2:$F$127, MATCH(D2265, Archetypes!$A$2:$A$127, 0))*INDEX(Unit_Grades!$B$2:$B$7, MATCH(F2265, Unit_Grades!$A$2:$A$7, 0))*INDEX(Unit_Paths!$C$2:$C$4, MATCH(E2265, Unit_Paths!$A$2:$A$4, 0)),1)</f>
        <v>1518.8</v>
      </c>
      <c r="J2265" s="6" t="n">
        <f aca="false">ROUND(INDEX(Archetypes!$G$2:$G$127, MATCH(D2265, Archetypes!$A$2:$A$127, 0))*INDEX(Unit_Grades!$B$2:$B$7, MATCH(F2265, Unit_Grades!$A$2:$A$7, 0))*INDEX(Unit_Paths!$D$2:$D$4, MATCH(E2265, Unit_Paths!$A$2:$A$4, 0)),0)</f>
        <v>10868</v>
      </c>
      <c r="K2265" s="6" t="n">
        <f aca="false">ROUND(INDEX(Archetypes!$H$2:$H$127, MATCH(D2265, Archetypes!$A$2:$A$127, 0))*INDEX(Unit_Paths!$E$2:$E$4, MATCH(E2265, Unit_Paths!$A$2:$A$4, 0)),1)</f>
        <v>73.6</v>
      </c>
      <c r="L2265" s="6" t="n">
        <f aca="false">ROUND(INDEX(Archetypes!$I$2:$I$127, MATCH(D2265, Archetypes!$A$2:$A$127, 0))*INDEX(Unit_Grades!$C$2:$C$7, MATCH(F2265, Unit_Grades!$A$2:$A$7, 0)),1)</f>
        <v>300</v>
      </c>
      <c r="M2265" s="6" t="n">
        <f aca="false">ROUND(INDEX(Archetypes!$J$2:$J$127, MATCH(D2265, Archetypes!$A$2:$A$127, 0))*INDEX(Unit_Grades!$D$2:$D$7, MATCH(F2265, Unit_Grades!$A$2:$A$7, 0)),1)</f>
        <v>146.1</v>
      </c>
      <c r="N2265" s="6" t="n">
        <f aca="false">ROUND(M2265/24,2)</f>
        <v>6.09</v>
      </c>
    </row>
    <row r="2266" customFormat="false" ht="15" hidden="false" customHeight="true" outlineLevel="0" collapsed="false">
      <c r="A2266" s="6" t="n">
        <v>7</v>
      </c>
      <c r="B2266" s="6" t="s">
        <v>3708</v>
      </c>
      <c r="C2266" s="6" t="s">
        <v>1532</v>
      </c>
      <c r="D2266" s="6" t="str">
        <f aca="false">A2266&amp;"|"&amp;C2266</f>
        <v>7|Boundless Swarm</v>
      </c>
      <c r="E2266" s="6" t="s">
        <v>1560</v>
      </c>
      <c r="F2266" s="6" t="s">
        <v>1542</v>
      </c>
      <c r="G2266" s="6" t="str">
        <f aca="false">INDEX(Archetypes!$D$2:$D$127, MATCH(D2266, Archetypes!$A$2:$A$127, 0))</f>
        <v>Drone</v>
      </c>
      <c r="H2266" s="6" t="n">
        <f aca="false">ROUND(INDEX(Archetypes!$E$2:$E$127, MATCH(D2266, Archetypes!$A$2:$A$127, 0))*INDEX(Unit_Grades!$B$2:$B$7, MATCH(F2266, Unit_Grades!$A$2:$A$7, 0))*INDEX(Unit_Paths!$B$2:$B$4, MATCH(E2266, Unit_Paths!$A$2:$A$4, 0)),1)</f>
        <v>2907</v>
      </c>
      <c r="I2266" s="6" t="n">
        <f aca="false">ROUND(INDEX(Archetypes!$F$2:$F$127, MATCH(D2266, Archetypes!$A$2:$A$127, 0))*INDEX(Unit_Grades!$B$2:$B$7, MATCH(F2266, Unit_Grades!$A$2:$A$7, 0))*INDEX(Unit_Paths!$C$2:$C$4, MATCH(E2266, Unit_Paths!$A$2:$A$4, 0)),1)</f>
        <v>2025</v>
      </c>
      <c r="J2266" s="6" t="n">
        <f aca="false">ROUND(INDEX(Archetypes!$G$2:$G$127, MATCH(D2266, Archetypes!$A$2:$A$127, 0))*INDEX(Unit_Grades!$B$2:$B$7, MATCH(F2266, Unit_Grades!$A$2:$A$7, 0))*INDEX(Unit_Paths!$D$2:$D$4, MATCH(E2266, Unit_Paths!$A$2:$A$4, 0)),0)</f>
        <v>14490</v>
      </c>
      <c r="K2266" s="6" t="n">
        <f aca="false">ROUND(INDEX(Archetypes!$H$2:$H$127, MATCH(D2266, Archetypes!$A$2:$A$127, 0))*INDEX(Unit_Paths!$E$2:$E$4, MATCH(E2266, Unit_Paths!$A$2:$A$4, 0)),1)</f>
        <v>73.6</v>
      </c>
      <c r="L2266" s="6" t="n">
        <f aca="false">ROUND(INDEX(Archetypes!$I$2:$I$127, MATCH(D2266, Archetypes!$A$2:$A$127, 0))*INDEX(Unit_Grades!$C$2:$C$7, MATCH(F2266, Unit_Grades!$A$2:$A$7, 0)),1)</f>
        <v>384</v>
      </c>
      <c r="M2266" s="6" t="n">
        <f aca="false">ROUND(INDEX(Archetypes!$J$2:$J$127, MATCH(D2266, Archetypes!$A$2:$A$127, 0))*INDEX(Unit_Grades!$D$2:$D$7, MATCH(F2266, Unit_Grades!$A$2:$A$7, 0)),1)</f>
        <v>243.5</v>
      </c>
      <c r="N2266" s="6" t="n">
        <f aca="false">ROUND(M2266/24,2)</f>
        <v>10.15</v>
      </c>
    </row>
    <row r="2267" customFormat="false" ht="15" hidden="false" customHeight="true" outlineLevel="0" collapsed="false">
      <c r="A2267" s="6" t="n">
        <v>7</v>
      </c>
      <c r="B2267" s="6" t="s">
        <v>3709</v>
      </c>
      <c r="C2267" s="6" t="s">
        <v>1532</v>
      </c>
      <c r="D2267" s="6" t="str">
        <f aca="false">A2267&amp;"|"&amp;C2267</f>
        <v>7|Boundless Swarm</v>
      </c>
      <c r="E2267" s="6" t="s">
        <v>1560</v>
      </c>
      <c r="F2267" s="6" t="s">
        <v>1544</v>
      </c>
      <c r="G2267" s="6" t="str">
        <f aca="false">INDEX(Archetypes!$D$2:$D$127, MATCH(D2267, Archetypes!$A$2:$A$127, 0))</f>
        <v>Drone</v>
      </c>
      <c r="H2267" s="6" t="n">
        <f aca="false">ROUND(INDEX(Archetypes!$E$2:$E$127, MATCH(D2267, Archetypes!$A$2:$A$127, 0))*INDEX(Unit_Grades!$B$2:$B$7, MATCH(F2267, Unit_Grades!$A$2:$A$7, 0))*INDEX(Unit_Paths!$B$2:$B$4, MATCH(E2267, Unit_Paths!$A$2:$A$4, 0)),1)</f>
        <v>3876</v>
      </c>
      <c r="I2267" s="6" t="n">
        <f aca="false">ROUND(INDEX(Archetypes!$F$2:$F$127, MATCH(D2267, Archetypes!$A$2:$A$127, 0))*INDEX(Unit_Grades!$B$2:$B$7, MATCH(F2267, Unit_Grades!$A$2:$A$7, 0))*INDEX(Unit_Paths!$C$2:$C$4, MATCH(E2267, Unit_Paths!$A$2:$A$4, 0)),1)</f>
        <v>2700</v>
      </c>
      <c r="J2267" s="6" t="n">
        <f aca="false">ROUND(INDEX(Archetypes!$G$2:$G$127, MATCH(D2267, Archetypes!$A$2:$A$127, 0))*INDEX(Unit_Grades!$B$2:$B$7, MATCH(F2267, Unit_Grades!$A$2:$A$7, 0))*INDEX(Unit_Paths!$D$2:$D$4, MATCH(E2267, Unit_Paths!$A$2:$A$4, 0)),0)</f>
        <v>19320</v>
      </c>
      <c r="K2267" s="6" t="n">
        <f aca="false">ROUND(INDEX(Archetypes!$H$2:$H$127, MATCH(D2267, Archetypes!$A$2:$A$127, 0))*INDEX(Unit_Paths!$E$2:$E$4, MATCH(E2267, Unit_Paths!$A$2:$A$4, 0)),1)</f>
        <v>73.6</v>
      </c>
      <c r="L2267" s="6" t="n">
        <f aca="false">ROUND(INDEX(Archetypes!$I$2:$I$127, MATCH(D2267, Archetypes!$A$2:$A$127, 0))*INDEX(Unit_Grades!$C$2:$C$7, MATCH(F2267, Unit_Grades!$A$2:$A$7, 0)),1)</f>
        <v>504</v>
      </c>
      <c r="M2267" s="6" t="n">
        <f aca="false">ROUND(INDEX(Archetypes!$J$2:$J$127, MATCH(D2267, Archetypes!$A$2:$A$127, 0))*INDEX(Unit_Grades!$D$2:$D$7, MATCH(F2267, Unit_Grades!$A$2:$A$7, 0)),1)</f>
        <v>389.6</v>
      </c>
      <c r="N2267" s="6" t="n">
        <f aca="false">ROUND(M2267/24,2)</f>
        <v>16.23</v>
      </c>
    </row>
    <row r="2268" customFormat="false" ht="15" hidden="false" customHeight="true" outlineLevel="0" collapsed="false">
      <c r="A2268" s="6" t="n">
        <v>7</v>
      </c>
      <c r="B2268" s="6" t="s">
        <v>3710</v>
      </c>
      <c r="C2268" s="6" t="s">
        <v>1532</v>
      </c>
      <c r="D2268" s="6" t="str">
        <f aca="false">A2268&amp;"|"&amp;C2268</f>
        <v>7|Boundless Swarm</v>
      </c>
      <c r="E2268" s="6" t="s">
        <v>1560</v>
      </c>
      <c r="F2268" s="6" t="s">
        <v>1546</v>
      </c>
      <c r="G2268" s="6" t="str">
        <f aca="false">INDEX(Archetypes!$D$2:$D$127, MATCH(D2268, Archetypes!$A$2:$A$127, 0))</f>
        <v>Drone</v>
      </c>
      <c r="H2268" s="6" t="n">
        <f aca="false">ROUND(INDEX(Archetypes!$E$2:$E$127, MATCH(D2268, Archetypes!$A$2:$A$127, 0))*INDEX(Unit_Grades!$B$2:$B$7, MATCH(F2268, Unit_Grades!$A$2:$A$7, 0))*INDEX(Unit_Paths!$B$2:$B$4, MATCH(E2268, Unit_Paths!$A$2:$A$4, 0)),1)</f>
        <v>5168</v>
      </c>
      <c r="I2268" s="6" t="n">
        <f aca="false">ROUND(INDEX(Archetypes!$F$2:$F$127, MATCH(D2268, Archetypes!$A$2:$A$127, 0))*INDEX(Unit_Grades!$B$2:$B$7, MATCH(F2268, Unit_Grades!$A$2:$A$7, 0))*INDEX(Unit_Paths!$C$2:$C$4, MATCH(E2268, Unit_Paths!$A$2:$A$4, 0)),1)</f>
        <v>3600</v>
      </c>
      <c r="J2268" s="6" t="n">
        <f aca="false">ROUND(INDEX(Archetypes!$G$2:$G$127, MATCH(D2268, Archetypes!$A$2:$A$127, 0))*INDEX(Unit_Grades!$B$2:$B$7, MATCH(F2268, Unit_Grades!$A$2:$A$7, 0))*INDEX(Unit_Paths!$D$2:$D$4, MATCH(E2268, Unit_Paths!$A$2:$A$4, 0)),0)</f>
        <v>25760</v>
      </c>
      <c r="K2268" s="6" t="n">
        <f aca="false">ROUND(INDEX(Archetypes!$H$2:$H$127, MATCH(D2268, Archetypes!$A$2:$A$127, 0))*INDEX(Unit_Paths!$E$2:$E$4, MATCH(E2268, Unit_Paths!$A$2:$A$4, 0)),1)</f>
        <v>73.6</v>
      </c>
      <c r="L2268" s="6" t="n">
        <f aca="false">ROUND(INDEX(Archetypes!$I$2:$I$127, MATCH(D2268, Archetypes!$A$2:$A$127, 0))*INDEX(Unit_Grades!$C$2:$C$7, MATCH(F2268, Unit_Grades!$A$2:$A$7, 0)),1)</f>
        <v>672</v>
      </c>
      <c r="M2268" s="6" t="n">
        <f aca="false">ROUND(INDEX(Archetypes!$J$2:$J$127, MATCH(D2268, Archetypes!$A$2:$A$127, 0))*INDEX(Unit_Grades!$D$2:$D$7, MATCH(F2268, Unit_Grades!$A$2:$A$7, 0)),1)</f>
        <v>681.8</v>
      </c>
      <c r="N2268" s="6" t="n">
        <f aca="false">ROUND(M2268/24,2)</f>
        <v>28.41</v>
      </c>
    </row>
    <row r="2269" customFormat="false" ht="15" hidden="false" customHeight="true" outlineLevel="0" collapsed="false">
      <c r="A2269" s="6" t="n">
        <v>7</v>
      </c>
      <c r="B2269" s="6" t="s">
        <v>3711</v>
      </c>
      <c r="C2269" s="6" t="s">
        <v>1532</v>
      </c>
      <c r="D2269" s="6" t="str">
        <f aca="false">A2269&amp;"|"&amp;C2269</f>
        <v>7|Boundless Swarm</v>
      </c>
      <c r="E2269" s="6" t="s">
        <v>1560</v>
      </c>
      <c r="F2269" s="6" t="s">
        <v>1548</v>
      </c>
      <c r="G2269" s="6" t="str">
        <f aca="false">INDEX(Archetypes!$D$2:$D$127, MATCH(D2269, Archetypes!$A$2:$A$127, 0))</f>
        <v>Drone</v>
      </c>
      <c r="H2269" s="6" t="n">
        <f aca="false">ROUND(INDEX(Archetypes!$E$2:$E$127, MATCH(D2269, Archetypes!$A$2:$A$127, 0))*INDEX(Unit_Grades!$B$2:$B$7, MATCH(F2269, Unit_Grades!$A$2:$A$7, 0))*INDEX(Unit_Paths!$B$2:$B$4, MATCH(E2269, Unit_Paths!$A$2:$A$4, 0)),1)</f>
        <v>6783</v>
      </c>
      <c r="I2269" s="6" t="n">
        <f aca="false">ROUND(INDEX(Archetypes!$F$2:$F$127, MATCH(D2269, Archetypes!$A$2:$A$127, 0))*INDEX(Unit_Grades!$B$2:$B$7, MATCH(F2269, Unit_Grades!$A$2:$A$7, 0))*INDEX(Unit_Paths!$C$2:$C$4, MATCH(E2269, Unit_Paths!$A$2:$A$4, 0)),1)</f>
        <v>4725</v>
      </c>
      <c r="J2269" s="6" t="n">
        <f aca="false">ROUND(INDEX(Archetypes!$G$2:$G$127, MATCH(D2269, Archetypes!$A$2:$A$127, 0))*INDEX(Unit_Grades!$B$2:$B$7, MATCH(F2269, Unit_Grades!$A$2:$A$7, 0))*INDEX(Unit_Paths!$D$2:$D$4, MATCH(E2269, Unit_Paths!$A$2:$A$4, 0)),0)</f>
        <v>33810</v>
      </c>
      <c r="K2269" s="6" t="n">
        <f aca="false">ROUND(INDEX(Archetypes!$H$2:$H$127, MATCH(D2269, Archetypes!$A$2:$A$127, 0))*INDEX(Unit_Paths!$E$2:$E$4, MATCH(E2269, Unit_Paths!$A$2:$A$4, 0)),1)</f>
        <v>73.6</v>
      </c>
      <c r="L2269" s="6" t="n">
        <f aca="false">ROUND(INDEX(Archetypes!$I$2:$I$127, MATCH(D2269, Archetypes!$A$2:$A$127, 0))*INDEX(Unit_Grades!$C$2:$C$7, MATCH(F2269, Unit_Grades!$A$2:$A$7, 0)),1)</f>
        <v>888</v>
      </c>
      <c r="M2269" s="6" t="n">
        <f aca="false">ROUND(INDEX(Archetypes!$J$2:$J$127, MATCH(D2269, Archetypes!$A$2:$A$127, 0))*INDEX(Unit_Grades!$D$2:$D$7, MATCH(F2269, Unit_Grades!$A$2:$A$7, 0)),1)</f>
        <v>1168.8</v>
      </c>
      <c r="N2269" s="6" t="n">
        <f aca="false">ROUND(M2269/24,2)</f>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5" min="2" style="1" width="5.52"/>
  </cols>
  <sheetData>
    <row r="1" customFormat="false" ht="72" hidden="false" customHeight="true" outlineLevel="0" collapsed="false">
      <c r="A1" s="8" t="s">
        <v>3712</v>
      </c>
      <c r="B1" s="11" t="s">
        <v>1249</v>
      </c>
      <c r="C1" s="11" t="s">
        <v>1252</v>
      </c>
      <c r="D1" s="11" t="s">
        <v>1256</v>
      </c>
      <c r="E1" s="11" t="s">
        <v>1259</v>
      </c>
      <c r="F1" s="11" t="s">
        <v>1264</v>
      </c>
      <c r="G1" s="11" t="s">
        <v>1307</v>
      </c>
      <c r="H1" s="11" t="s">
        <v>1275</v>
      </c>
      <c r="I1" s="11" t="s">
        <v>1270</v>
      </c>
      <c r="J1" s="11" t="s">
        <v>1284</v>
      </c>
      <c r="K1" s="11" t="s">
        <v>1267</v>
      </c>
      <c r="L1" s="11" t="s">
        <v>1323</v>
      </c>
      <c r="M1" s="11" t="s">
        <v>356</v>
      </c>
      <c r="N1" s="11" t="s">
        <v>1287</v>
      </c>
      <c r="O1" s="11" t="s">
        <v>1394</v>
      </c>
      <c r="P1" s="11" t="s">
        <v>1383</v>
      </c>
      <c r="Q1" s="11" t="s">
        <v>1378</v>
      </c>
      <c r="R1" s="11" t="s">
        <v>1403</v>
      </c>
      <c r="S1" s="11" t="s">
        <v>1406</v>
      </c>
      <c r="T1" s="11" t="s">
        <v>1409</v>
      </c>
      <c r="U1" s="11" t="s">
        <v>1352</v>
      </c>
      <c r="V1" s="11" t="s">
        <v>1355</v>
      </c>
      <c r="W1" s="11" t="s">
        <v>1360</v>
      </c>
      <c r="X1" s="11" t="s">
        <v>1363</v>
      </c>
      <c r="Y1" s="11" t="s">
        <v>1438</v>
      </c>
      <c r="Z1" s="11" t="s">
        <v>1443</v>
      </c>
      <c r="AA1" s="11" t="s">
        <v>1424</v>
      </c>
      <c r="AB1" s="11" t="s">
        <v>1427</v>
      </c>
      <c r="AC1" s="11" t="s">
        <v>1459</v>
      </c>
      <c r="AD1" s="11" t="s">
        <v>1454</v>
      </c>
      <c r="AE1" s="11" t="s">
        <v>1468</v>
      </c>
      <c r="AF1" s="11" t="s">
        <v>1514</v>
      </c>
      <c r="AG1" s="11" t="s">
        <v>1491</v>
      </c>
      <c r="AH1" s="11" t="s">
        <v>1320</v>
      </c>
      <c r="AI1" s="11" t="s">
        <v>1292</v>
      </c>
    </row>
    <row r="2" customFormat="false" ht="15" hidden="false" customHeight="true" outlineLevel="0" collapsed="false">
      <c r="A2" s="8" t="s">
        <v>1249</v>
      </c>
      <c r="B2" s="6" t="n">
        <v>1</v>
      </c>
      <c r="C2" s="9" t="n">
        <v>1.3</v>
      </c>
      <c r="D2" s="6" t="n">
        <v>1</v>
      </c>
      <c r="E2" s="6" t="n">
        <v>1</v>
      </c>
      <c r="F2" s="6" t="n">
        <v>1</v>
      </c>
      <c r="G2" s="6" t="n">
        <v>1</v>
      </c>
      <c r="H2" s="6" t="n">
        <v>1</v>
      </c>
      <c r="I2" s="6" t="n">
        <v>1</v>
      </c>
      <c r="J2" s="6" t="n">
        <v>1</v>
      </c>
      <c r="K2" s="6" t="n">
        <v>1</v>
      </c>
      <c r="L2" s="6" t="n">
        <v>1</v>
      </c>
      <c r="M2" s="6" t="n">
        <v>1</v>
      </c>
      <c r="N2" s="6" t="n">
        <v>1</v>
      </c>
      <c r="O2" s="6" t="n">
        <v>1</v>
      </c>
      <c r="P2" s="6" t="n">
        <v>1</v>
      </c>
      <c r="Q2" s="6" t="n">
        <v>1</v>
      </c>
      <c r="R2" s="6" t="n">
        <v>1</v>
      </c>
      <c r="S2" s="6" t="n">
        <v>1</v>
      </c>
      <c r="T2" s="6" t="n">
        <v>1</v>
      </c>
      <c r="U2" s="6" t="n">
        <v>1</v>
      </c>
      <c r="V2" s="6" t="n">
        <v>1</v>
      </c>
      <c r="W2" s="6" t="n">
        <v>1</v>
      </c>
      <c r="X2" s="6" t="n">
        <v>1</v>
      </c>
      <c r="Y2" s="6" t="n">
        <v>1</v>
      </c>
      <c r="Z2" s="6" t="n">
        <v>1</v>
      </c>
      <c r="AA2" s="6" t="n">
        <v>1</v>
      </c>
      <c r="AB2" s="6" t="n">
        <v>1</v>
      </c>
      <c r="AC2" s="6" t="n">
        <v>1</v>
      </c>
      <c r="AD2" s="6" t="n">
        <v>1</v>
      </c>
      <c r="AE2" s="6" t="n">
        <v>1</v>
      </c>
      <c r="AF2" s="6" t="n">
        <v>1</v>
      </c>
      <c r="AG2" s="6" t="n">
        <v>1</v>
      </c>
      <c r="AH2" s="6" t="n">
        <v>1</v>
      </c>
      <c r="AI2" s="6" t="n">
        <v>1</v>
      </c>
    </row>
    <row r="3" customFormat="false" ht="15" hidden="false" customHeight="true" outlineLevel="0" collapsed="false">
      <c r="A3" s="8" t="s">
        <v>1252</v>
      </c>
      <c r="B3" s="6" t="n">
        <v>1</v>
      </c>
      <c r="C3" s="6" t="n">
        <v>1</v>
      </c>
      <c r="D3" s="6" t="n">
        <v>1</v>
      </c>
      <c r="E3" s="6" t="n">
        <v>1</v>
      </c>
      <c r="F3" s="6" t="n">
        <v>1</v>
      </c>
      <c r="G3" s="9" t="n">
        <v>1.8</v>
      </c>
      <c r="H3" s="6" t="n">
        <v>1</v>
      </c>
      <c r="I3" s="6" t="n">
        <v>1</v>
      </c>
      <c r="J3" s="6" t="n">
        <v>1</v>
      </c>
      <c r="K3" s="6" t="n">
        <v>1</v>
      </c>
      <c r="L3" s="6" t="n">
        <v>1</v>
      </c>
      <c r="M3" s="6" t="n">
        <v>1</v>
      </c>
      <c r="N3" s="6" t="n">
        <v>1</v>
      </c>
      <c r="O3" s="6" t="n">
        <v>1</v>
      </c>
      <c r="P3" s="6" t="n">
        <v>1</v>
      </c>
      <c r="Q3" s="6" t="n">
        <v>1</v>
      </c>
      <c r="R3" s="6" t="n">
        <v>1</v>
      </c>
      <c r="S3" s="6" t="n">
        <v>1</v>
      </c>
      <c r="T3" s="6" t="n">
        <v>1</v>
      </c>
      <c r="U3" s="6" t="n">
        <v>1</v>
      </c>
      <c r="V3" s="6" t="n">
        <v>1</v>
      </c>
      <c r="W3" s="6" t="n">
        <v>1</v>
      </c>
      <c r="X3" s="6" t="n">
        <v>1</v>
      </c>
      <c r="Y3" s="6" t="n">
        <v>1</v>
      </c>
      <c r="Z3" s="6" t="n">
        <v>1</v>
      </c>
      <c r="AA3" s="6" t="n">
        <v>1</v>
      </c>
      <c r="AB3" s="6" t="n">
        <v>1</v>
      </c>
      <c r="AC3" s="6" t="n">
        <v>1</v>
      </c>
      <c r="AD3" s="6" t="n">
        <v>1</v>
      </c>
      <c r="AE3" s="6" t="n">
        <v>1</v>
      </c>
      <c r="AF3" s="6" t="n">
        <v>1</v>
      </c>
      <c r="AG3" s="6" t="n">
        <v>1</v>
      </c>
      <c r="AH3" s="6" t="n">
        <v>1</v>
      </c>
      <c r="AI3" s="6" t="n">
        <v>1</v>
      </c>
    </row>
    <row r="4" customFormat="false" ht="15" hidden="false" customHeight="true" outlineLevel="0" collapsed="false">
      <c r="A4" s="8" t="s">
        <v>1256</v>
      </c>
      <c r="B4" s="6" t="n">
        <v>1</v>
      </c>
      <c r="C4" s="6" t="n">
        <v>1</v>
      </c>
      <c r="D4" s="6" t="n">
        <v>1</v>
      </c>
      <c r="E4" s="9" t="n">
        <v>1.5</v>
      </c>
      <c r="F4" s="6" t="n">
        <v>1</v>
      </c>
      <c r="G4" s="6" t="n">
        <v>1</v>
      </c>
      <c r="H4" s="6" t="n">
        <v>1</v>
      </c>
      <c r="I4" s="6" t="n">
        <v>1</v>
      </c>
      <c r="J4" s="6" t="n">
        <v>1</v>
      </c>
      <c r="K4" s="6" t="n">
        <v>1</v>
      </c>
      <c r="L4" s="6" t="n">
        <v>1</v>
      </c>
      <c r="M4" s="6" t="n">
        <v>1</v>
      </c>
      <c r="N4" s="6" t="n">
        <v>1</v>
      </c>
      <c r="O4" s="6" t="n">
        <v>1</v>
      </c>
      <c r="P4" s="6" t="n">
        <v>1</v>
      </c>
      <c r="Q4" s="6" t="n">
        <v>1</v>
      </c>
      <c r="R4" s="6" t="n">
        <v>1</v>
      </c>
      <c r="S4" s="6" t="n">
        <v>1</v>
      </c>
      <c r="T4" s="6" t="n">
        <v>1</v>
      </c>
      <c r="U4" s="6" t="n">
        <v>1</v>
      </c>
      <c r="V4" s="6" t="n">
        <v>1</v>
      </c>
      <c r="W4" s="6" t="n">
        <v>1</v>
      </c>
      <c r="X4" s="6" t="n">
        <v>1</v>
      </c>
      <c r="Y4" s="6" t="n">
        <v>1</v>
      </c>
      <c r="Z4" s="6" t="n">
        <v>1</v>
      </c>
      <c r="AA4" s="6" t="n">
        <v>1</v>
      </c>
      <c r="AB4" s="6" t="n">
        <v>1</v>
      </c>
      <c r="AC4" s="6" t="n">
        <v>1</v>
      </c>
      <c r="AD4" s="6" t="n">
        <v>1</v>
      </c>
      <c r="AE4" s="6" t="n">
        <v>1</v>
      </c>
      <c r="AF4" s="6" t="n">
        <v>1</v>
      </c>
      <c r="AG4" s="6" t="n">
        <v>1</v>
      </c>
      <c r="AH4" s="6" t="n">
        <v>1</v>
      </c>
      <c r="AI4" s="6" t="n">
        <v>1</v>
      </c>
    </row>
    <row r="5" customFormat="false" ht="15" hidden="false" customHeight="true" outlineLevel="0" collapsed="false">
      <c r="A5" s="8" t="s">
        <v>1259</v>
      </c>
      <c r="B5" s="9" t="n">
        <v>1.4</v>
      </c>
      <c r="C5" s="6" t="n">
        <v>1</v>
      </c>
      <c r="D5" s="6" t="n">
        <v>1</v>
      </c>
      <c r="E5" s="6" t="n">
        <v>1</v>
      </c>
      <c r="F5" s="6" t="n">
        <v>1</v>
      </c>
      <c r="G5" s="6" t="n">
        <v>1</v>
      </c>
      <c r="H5" s="6" t="n">
        <v>1</v>
      </c>
      <c r="I5" s="6" t="n">
        <v>1</v>
      </c>
      <c r="J5" s="6" t="n">
        <v>1</v>
      </c>
      <c r="K5" s="6" t="n">
        <v>1</v>
      </c>
      <c r="L5" s="6" t="n">
        <v>1</v>
      </c>
      <c r="M5" s="6" t="n">
        <v>1</v>
      </c>
      <c r="N5" s="6" t="n">
        <v>1</v>
      </c>
      <c r="O5" s="6" t="n">
        <v>1</v>
      </c>
      <c r="P5" s="6" t="n">
        <v>1</v>
      </c>
      <c r="Q5" s="6" t="n">
        <v>1</v>
      </c>
      <c r="R5" s="6" t="n">
        <v>1</v>
      </c>
      <c r="S5" s="6" t="n">
        <v>1</v>
      </c>
      <c r="T5" s="6" t="n">
        <v>1</v>
      </c>
      <c r="U5" s="6" t="n">
        <v>1</v>
      </c>
      <c r="V5" s="6" t="n">
        <v>1</v>
      </c>
      <c r="W5" s="6" t="n">
        <v>1</v>
      </c>
      <c r="X5" s="6" t="n">
        <v>1</v>
      </c>
      <c r="Y5" s="6" t="n">
        <v>1</v>
      </c>
      <c r="Z5" s="6" t="n">
        <v>1</v>
      </c>
      <c r="AA5" s="6" t="n">
        <v>1</v>
      </c>
      <c r="AB5" s="6" t="n">
        <v>1</v>
      </c>
      <c r="AC5" s="6" t="n">
        <v>1</v>
      </c>
      <c r="AD5" s="6" t="n">
        <v>1</v>
      </c>
      <c r="AE5" s="6" t="n">
        <v>1</v>
      </c>
      <c r="AF5" s="6" t="n">
        <v>1</v>
      </c>
      <c r="AG5" s="6" t="n">
        <v>1</v>
      </c>
      <c r="AH5" s="6" t="n">
        <v>1</v>
      </c>
      <c r="AI5" s="6" t="n">
        <v>1</v>
      </c>
    </row>
    <row r="6" customFormat="false" ht="15" hidden="false" customHeight="true" outlineLevel="0" collapsed="false">
      <c r="A6" s="8" t="s">
        <v>1264</v>
      </c>
      <c r="B6" s="6" t="n">
        <v>1</v>
      </c>
      <c r="C6" s="6" t="n">
        <v>1</v>
      </c>
      <c r="D6" s="6" t="n">
        <v>1</v>
      </c>
      <c r="E6" s="6" t="n">
        <v>1</v>
      </c>
      <c r="F6" s="6" t="n">
        <v>1</v>
      </c>
      <c r="G6" s="6" t="n">
        <v>1</v>
      </c>
      <c r="H6" s="6" t="n">
        <v>1</v>
      </c>
      <c r="I6" s="6" t="n">
        <v>1</v>
      </c>
      <c r="J6" s="9" t="n">
        <v>1.8</v>
      </c>
      <c r="K6" s="6" t="n">
        <v>1</v>
      </c>
      <c r="L6" s="6" t="n">
        <v>1</v>
      </c>
      <c r="M6" s="9" t="n">
        <v>1.9</v>
      </c>
      <c r="N6" s="6" t="n">
        <v>1</v>
      </c>
      <c r="O6" s="6" t="n">
        <v>1</v>
      </c>
      <c r="P6" s="6" t="n">
        <v>1</v>
      </c>
      <c r="Q6" s="6" t="n">
        <v>1</v>
      </c>
      <c r="R6" s="6" t="n">
        <v>1</v>
      </c>
      <c r="S6" s="6" t="n">
        <v>1</v>
      </c>
      <c r="T6" s="6" t="n">
        <v>1</v>
      </c>
      <c r="U6" s="6" t="n">
        <v>1</v>
      </c>
      <c r="V6" s="6" t="n">
        <v>1</v>
      </c>
      <c r="W6" s="6" t="n">
        <v>1</v>
      </c>
      <c r="X6" s="6" t="n">
        <v>1</v>
      </c>
      <c r="Y6" s="6" t="n">
        <v>1</v>
      </c>
      <c r="Z6" s="6" t="n">
        <v>1</v>
      </c>
      <c r="AA6" s="6" t="n">
        <v>1</v>
      </c>
      <c r="AB6" s="6" t="n">
        <v>1</v>
      </c>
      <c r="AC6" s="6" t="n">
        <v>1</v>
      </c>
      <c r="AD6" s="6" t="n">
        <v>1</v>
      </c>
      <c r="AE6" s="6" t="n">
        <v>1</v>
      </c>
      <c r="AF6" s="6" t="n">
        <v>1</v>
      </c>
      <c r="AG6" s="6" t="n">
        <v>1</v>
      </c>
      <c r="AH6" s="6" t="n">
        <v>1</v>
      </c>
      <c r="AI6" s="6" t="n">
        <v>1</v>
      </c>
    </row>
    <row r="7" customFormat="false" ht="15" hidden="false" customHeight="true" outlineLevel="0" collapsed="false">
      <c r="A7" s="8" t="s">
        <v>1307</v>
      </c>
      <c r="B7" s="6" t="n">
        <v>1</v>
      </c>
      <c r="C7" s="6" t="n">
        <v>1</v>
      </c>
      <c r="D7" s="6" t="n">
        <v>1</v>
      </c>
      <c r="E7" s="9" t="n">
        <v>1.7</v>
      </c>
      <c r="F7" s="6" t="n">
        <v>1</v>
      </c>
      <c r="G7" s="6" t="n">
        <v>1</v>
      </c>
      <c r="H7" s="6" t="n">
        <v>1</v>
      </c>
      <c r="I7" s="6" t="n">
        <v>1</v>
      </c>
      <c r="J7" s="9" t="n">
        <v>1.8</v>
      </c>
      <c r="K7" s="6" t="n">
        <v>1</v>
      </c>
      <c r="L7" s="6" t="n">
        <v>1</v>
      </c>
      <c r="M7" s="6" t="n">
        <v>1</v>
      </c>
      <c r="N7" s="6" t="n">
        <v>1</v>
      </c>
      <c r="O7" s="6" t="n">
        <v>1</v>
      </c>
      <c r="P7" s="6" t="n">
        <v>1</v>
      </c>
      <c r="Q7" s="6" t="n">
        <v>1</v>
      </c>
      <c r="R7" s="6" t="n">
        <v>1</v>
      </c>
      <c r="S7" s="6" t="n">
        <v>1</v>
      </c>
      <c r="T7" s="6" t="n">
        <v>1</v>
      </c>
      <c r="U7" s="6" t="n">
        <v>1</v>
      </c>
      <c r="V7" s="6" t="n">
        <v>1</v>
      </c>
      <c r="W7" s="6" t="n">
        <v>1</v>
      </c>
      <c r="X7" s="6" t="n">
        <v>1</v>
      </c>
      <c r="Y7" s="6" t="n">
        <v>1</v>
      </c>
      <c r="Z7" s="6" t="n">
        <v>1</v>
      </c>
      <c r="AA7" s="6" t="n">
        <v>1</v>
      </c>
      <c r="AB7" s="6" t="n">
        <v>1</v>
      </c>
      <c r="AC7" s="6" t="n">
        <v>1</v>
      </c>
      <c r="AD7" s="6" t="n">
        <v>1</v>
      </c>
      <c r="AE7" s="6" t="n">
        <v>1</v>
      </c>
      <c r="AF7" s="6" t="n">
        <v>1</v>
      </c>
      <c r="AG7" s="6" t="n">
        <v>1</v>
      </c>
      <c r="AH7" s="6" t="n">
        <v>1</v>
      </c>
      <c r="AI7" s="6" t="n">
        <v>1</v>
      </c>
    </row>
    <row r="8" customFormat="false" ht="15" hidden="false" customHeight="true" outlineLevel="0" collapsed="false">
      <c r="A8" s="8" t="s">
        <v>1275</v>
      </c>
      <c r="B8" s="9" t="n">
        <v>1.5</v>
      </c>
      <c r="C8" s="6" t="n">
        <v>1</v>
      </c>
      <c r="D8" s="6" t="n">
        <v>1</v>
      </c>
      <c r="E8" s="6" t="n">
        <v>1</v>
      </c>
      <c r="F8" s="6" t="n">
        <v>1</v>
      </c>
      <c r="G8" s="6" t="n">
        <v>1</v>
      </c>
      <c r="H8" s="6" t="n">
        <v>1</v>
      </c>
      <c r="I8" s="6" t="n">
        <v>1</v>
      </c>
      <c r="J8" s="6" t="n">
        <v>1</v>
      </c>
      <c r="K8" s="6" t="n">
        <v>1</v>
      </c>
      <c r="L8" s="6" t="n">
        <v>1</v>
      </c>
      <c r="M8" s="6" t="n">
        <v>1</v>
      </c>
      <c r="N8" s="6" t="n">
        <v>1</v>
      </c>
      <c r="O8" s="6" t="n">
        <v>1</v>
      </c>
      <c r="P8" s="6" t="n">
        <v>1</v>
      </c>
      <c r="Q8" s="6" t="n">
        <v>1</v>
      </c>
      <c r="R8" s="6" t="n">
        <v>1</v>
      </c>
      <c r="S8" s="6" t="n">
        <v>1</v>
      </c>
      <c r="T8" s="6" t="n">
        <v>1</v>
      </c>
      <c r="U8" s="6" t="n">
        <v>1</v>
      </c>
      <c r="V8" s="6" t="n">
        <v>1</v>
      </c>
      <c r="W8" s="6" t="n">
        <v>1</v>
      </c>
      <c r="X8" s="6" t="n">
        <v>1</v>
      </c>
      <c r="Y8" s="6" t="n">
        <v>1</v>
      </c>
      <c r="Z8" s="6" t="n">
        <v>1</v>
      </c>
      <c r="AA8" s="6" t="n">
        <v>1</v>
      </c>
      <c r="AB8" s="6" t="n">
        <v>1</v>
      </c>
      <c r="AC8" s="6" t="n">
        <v>1</v>
      </c>
      <c r="AD8" s="6" t="n">
        <v>1</v>
      </c>
      <c r="AE8" s="6" t="n">
        <v>1</v>
      </c>
      <c r="AF8" s="6" t="n">
        <v>1</v>
      </c>
      <c r="AG8" s="6" t="n">
        <v>1</v>
      </c>
      <c r="AH8" s="6" t="n">
        <v>1</v>
      </c>
      <c r="AI8" s="6" t="n">
        <v>1</v>
      </c>
    </row>
    <row r="9" customFormat="false" ht="15" hidden="false" customHeight="true" outlineLevel="0" collapsed="false">
      <c r="A9" s="8" t="s">
        <v>1270</v>
      </c>
      <c r="B9" s="6" t="n">
        <v>1</v>
      </c>
      <c r="C9" s="6" t="n">
        <v>1</v>
      </c>
      <c r="D9" s="6" t="n">
        <v>1</v>
      </c>
      <c r="E9" s="6" t="n">
        <v>1</v>
      </c>
      <c r="F9" s="9" t="n">
        <v>1.4</v>
      </c>
      <c r="G9" s="6" t="n">
        <v>1</v>
      </c>
      <c r="H9" s="6" t="n">
        <v>1</v>
      </c>
      <c r="I9" s="6" t="n">
        <v>1</v>
      </c>
      <c r="J9" s="6" t="n">
        <v>1</v>
      </c>
      <c r="K9" s="6" t="n">
        <v>1</v>
      </c>
      <c r="L9" s="6" t="n">
        <v>1</v>
      </c>
      <c r="M9" s="6" t="n">
        <v>1</v>
      </c>
      <c r="N9" s="6" t="n">
        <v>1</v>
      </c>
      <c r="O9" s="6" t="n">
        <v>1</v>
      </c>
      <c r="P9" s="6" t="n">
        <v>1</v>
      </c>
      <c r="Q9" s="6" t="n">
        <v>1</v>
      </c>
      <c r="R9" s="6" t="n">
        <v>1</v>
      </c>
      <c r="S9" s="6" t="n">
        <v>1</v>
      </c>
      <c r="T9" s="6" t="n">
        <v>1</v>
      </c>
      <c r="U9" s="6" t="n">
        <v>1</v>
      </c>
      <c r="V9" s="6" t="n">
        <v>1</v>
      </c>
      <c r="W9" s="6" t="n">
        <v>1</v>
      </c>
      <c r="X9" s="6" t="n">
        <v>1</v>
      </c>
      <c r="Y9" s="6" t="n">
        <v>1</v>
      </c>
      <c r="Z9" s="6" t="n">
        <v>1</v>
      </c>
      <c r="AA9" s="6" t="n">
        <v>1</v>
      </c>
      <c r="AB9" s="6" t="n">
        <v>1</v>
      </c>
      <c r="AC9" s="9" t="n">
        <v>1.5</v>
      </c>
      <c r="AD9" s="6" t="n">
        <v>1</v>
      </c>
      <c r="AE9" s="6" t="n">
        <v>1</v>
      </c>
      <c r="AF9" s="6" t="n">
        <v>1</v>
      </c>
      <c r="AG9" s="6" t="n">
        <v>1</v>
      </c>
      <c r="AH9" s="6" t="n">
        <v>1</v>
      </c>
      <c r="AI9" s="6" t="n">
        <v>1</v>
      </c>
    </row>
    <row r="10" customFormat="false" ht="15" hidden="false" customHeight="true" outlineLevel="0" collapsed="false">
      <c r="A10" s="8" t="s">
        <v>1284</v>
      </c>
      <c r="B10" s="6" t="n">
        <v>1</v>
      </c>
      <c r="C10" s="6" t="n">
        <v>1</v>
      </c>
      <c r="D10" s="6" t="n">
        <v>1</v>
      </c>
      <c r="E10" s="6" t="n">
        <v>1</v>
      </c>
      <c r="F10" s="6" t="n">
        <v>1</v>
      </c>
      <c r="G10" s="6" t="n">
        <v>1</v>
      </c>
      <c r="H10" s="6" t="n">
        <v>1</v>
      </c>
      <c r="I10" s="6" t="n">
        <v>1</v>
      </c>
      <c r="J10" s="6" t="n">
        <v>1</v>
      </c>
      <c r="K10" s="6" t="n">
        <v>1</v>
      </c>
      <c r="L10" s="6" t="n">
        <v>1</v>
      </c>
      <c r="M10" s="6" t="n">
        <v>1</v>
      </c>
      <c r="N10" s="6" t="n">
        <v>1</v>
      </c>
      <c r="O10" s="6" t="n">
        <v>1</v>
      </c>
      <c r="P10" s="6" t="n">
        <v>1</v>
      </c>
      <c r="Q10" s="6" t="n">
        <v>1</v>
      </c>
      <c r="R10" s="6" t="n">
        <v>1</v>
      </c>
      <c r="S10" s="6" t="n">
        <v>1</v>
      </c>
      <c r="T10" s="6" t="n">
        <v>1</v>
      </c>
      <c r="U10" s="6" t="n">
        <v>1</v>
      </c>
      <c r="V10" s="6" t="n">
        <v>1</v>
      </c>
      <c r="W10" s="6" t="n">
        <v>1</v>
      </c>
      <c r="X10" s="6" t="n">
        <v>1</v>
      </c>
      <c r="Y10" s="6" t="n">
        <v>1</v>
      </c>
      <c r="Z10" s="6" t="n">
        <v>1</v>
      </c>
      <c r="AA10" s="6" t="n">
        <v>1</v>
      </c>
      <c r="AB10" s="6" t="n">
        <v>1</v>
      </c>
      <c r="AC10" s="6" t="n">
        <v>1</v>
      </c>
      <c r="AD10" s="9" t="n">
        <v>1.8</v>
      </c>
      <c r="AE10" s="6" t="n">
        <v>1</v>
      </c>
      <c r="AF10" s="6" t="n">
        <v>1</v>
      </c>
      <c r="AG10" s="6" t="n">
        <v>1</v>
      </c>
      <c r="AH10" s="6" t="n">
        <v>1</v>
      </c>
      <c r="AI10" s="6" t="n">
        <v>1</v>
      </c>
    </row>
    <row r="11" customFormat="false" ht="15" hidden="false" customHeight="true" outlineLevel="0" collapsed="false">
      <c r="A11" s="8" t="s">
        <v>1267</v>
      </c>
      <c r="B11" s="9" t="n">
        <v>0.4</v>
      </c>
      <c r="C11" s="9" t="n">
        <v>0.4</v>
      </c>
      <c r="D11" s="9" t="n">
        <v>0.4</v>
      </c>
      <c r="E11" s="9" t="n">
        <v>0.4</v>
      </c>
      <c r="F11" s="9" t="n">
        <v>0.4</v>
      </c>
      <c r="G11" s="9" t="n">
        <v>0.4</v>
      </c>
      <c r="H11" s="9" t="n">
        <v>0.4</v>
      </c>
      <c r="I11" s="9" t="n">
        <v>0.4</v>
      </c>
      <c r="J11" s="9" t="n">
        <v>0.4</v>
      </c>
      <c r="K11" s="6" t="n">
        <v>1</v>
      </c>
      <c r="L11" s="9" t="n">
        <v>0.4</v>
      </c>
      <c r="M11" s="6" t="n">
        <v>1</v>
      </c>
      <c r="N11" s="9" t="n">
        <v>0.4</v>
      </c>
      <c r="O11" s="9" t="n">
        <v>0.4</v>
      </c>
      <c r="P11" s="9" t="n">
        <v>0.4</v>
      </c>
      <c r="Q11" s="9" t="n">
        <v>0.4</v>
      </c>
      <c r="R11" s="9" t="n">
        <v>0.4</v>
      </c>
      <c r="S11" s="9" t="n">
        <v>0.4</v>
      </c>
      <c r="T11" s="9" t="n">
        <v>0.4</v>
      </c>
      <c r="U11" s="9" t="n">
        <v>0.4</v>
      </c>
      <c r="V11" s="9" t="n">
        <v>0.4</v>
      </c>
      <c r="W11" s="9" t="n">
        <v>0.4</v>
      </c>
      <c r="X11" s="9" t="n">
        <v>0.4</v>
      </c>
      <c r="Y11" s="9" t="n">
        <v>0.4</v>
      </c>
      <c r="Z11" s="9" t="n">
        <v>0.4</v>
      </c>
      <c r="AA11" s="9" t="n">
        <v>0.4</v>
      </c>
      <c r="AB11" s="9" t="n">
        <v>0.4</v>
      </c>
      <c r="AC11" s="9" t="n">
        <v>0.4</v>
      </c>
      <c r="AD11" s="9" t="n">
        <v>0.4</v>
      </c>
      <c r="AE11" s="9" t="n">
        <v>0.4</v>
      </c>
      <c r="AF11" s="9" t="n">
        <v>0.4</v>
      </c>
      <c r="AG11" s="9" t="n">
        <v>0.4</v>
      </c>
      <c r="AH11" s="9" t="n">
        <v>0.4</v>
      </c>
      <c r="AI11" s="9" t="n">
        <v>0.4</v>
      </c>
    </row>
    <row r="12" customFormat="false" ht="15" hidden="false" customHeight="true" outlineLevel="0" collapsed="false">
      <c r="A12" s="8" t="s">
        <v>1323</v>
      </c>
      <c r="B12" s="6" t="n">
        <v>1</v>
      </c>
      <c r="C12" s="6" t="n">
        <v>1</v>
      </c>
      <c r="D12" s="6" t="n">
        <v>1</v>
      </c>
      <c r="E12" s="6" t="n">
        <v>1</v>
      </c>
      <c r="F12" s="6" t="n">
        <v>1</v>
      </c>
      <c r="G12" s="6" t="n">
        <v>1</v>
      </c>
      <c r="H12" s="6" t="n">
        <v>1</v>
      </c>
      <c r="I12" s="6" t="n">
        <v>1</v>
      </c>
      <c r="J12" s="6" t="n">
        <v>1</v>
      </c>
      <c r="K12" s="6" t="n">
        <v>1</v>
      </c>
      <c r="L12" s="6" t="n">
        <v>1</v>
      </c>
      <c r="M12" s="6" t="n">
        <v>1</v>
      </c>
      <c r="N12" s="6" t="n">
        <v>1</v>
      </c>
      <c r="O12" s="6" t="n">
        <v>1</v>
      </c>
      <c r="P12" s="6" t="n">
        <v>1</v>
      </c>
      <c r="Q12" s="6" t="n">
        <v>1</v>
      </c>
      <c r="R12" s="6" t="n">
        <v>1</v>
      </c>
      <c r="S12" s="6" t="n">
        <v>1</v>
      </c>
      <c r="T12" s="6" t="n">
        <v>1</v>
      </c>
      <c r="U12" s="6" t="n">
        <v>1</v>
      </c>
      <c r="V12" s="6" t="n">
        <v>1</v>
      </c>
      <c r="W12" s="6" t="n">
        <v>1</v>
      </c>
      <c r="X12" s="6" t="n">
        <v>1</v>
      </c>
      <c r="Y12" s="6" t="n">
        <v>1</v>
      </c>
      <c r="Z12" s="6" t="n">
        <v>1</v>
      </c>
      <c r="AA12" s="6" t="n">
        <v>1</v>
      </c>
      <c r="AB12" s="6" t="n">
        <v>1</v>
      </c>
      <c r="AC12" s="6" t="n">
        <v>1</v>
      </c>
      <c r="AD12" s="6" t="n">
        <v>1</v>
      </c>
      <c r="AE12" s="6" t="n">
        <v>1</v>
      </c>
      <c r="AF12" s="6" t="n">
        <v>1</v>
      </c>
      <c r="AG12" s="6" t="n">
        <v>1</v>
      </c>
      <c r="AH12" s="9" t="n">
        <v>1.6</v>
      </c>
      <c r="AI12" s="6" t="n">
        <v>1</v>
      </c>
    </row>
    <row r="13" customFormat="false" ht="15" hidden="false" customHeight="true" outlineLevel="0" collapsed="false">
      <c r="A13" s="8" t="s">
        <v>356</v>
      </c>
      <c r="B13" s="9" t="n">
        <v>0.4</v>
      </c>
      <c r="C13" s="9" t="n">
        <v>0.4</v>
      </c>
      <c r="D13" s="9" t="n">
        <v>0.4</v>
      </c>
      <c r="E13" s="9" t="n">
        <v>0.4</v>
      </c>
      <c r="F13" s="9" t="n">
        <v>0.4</v>
      </c>
      <c r="G13" s="9" t="n">
        <v>0.4</v>
      </c>
      <c r="H13" s="9" t="n">
        <v>0.4</v>
      </c>
      <c r="I13" s="9" t="n">
        <v>0.4</v>
      </c>
      <c r="J13" s="9" t="n">
        <v>0.4</v>
      </c>
      <c r="K13" s="6" t="n">
        <v>1</v>
      </c>
      <c r="L13" s="9" t="n">
        <v>0.4</v>
      </c>
      <c r="M13" s="6" t="n">
        <v>1</v>
      </c>
      <c r="N13" s="9" t="n">
        <v>0.4</v>
      </c>
      <c r="O13" s="9" t="n">
        <v>0.4</v>
      </c>
      <c r="P13" s="9" t="n">
        <v>0.4</v>
      </c>
      <c r="Q13" s="9" t="n">
        <v>0.4</v>
      </c>
      <c r="R13" s="9" t="n">
        <v>0.4</v>
      </c>
      <c r="S13" s="9" t="n">
        <v>0.4</v>
      </c>
      <c r="T13" s="9" t="n">
        <v>0.4</v>
      </c>
      <c r="U13" s="9" t="n">
        <v>0.4</v>
      </c>
      <c r="V13" s="9" t="n">
        <v>0.4</v>
      </c>
      <c r="W13" s="9" t="n">
        <v>0.4</v>
      </c>
      <c r="X13" s="9" t="n">
        <v>0.4</v>
      </c>
      <c r="Y13" s="9" t="n">
        <v>0.4</v>
      </c>
      <c r="Z13" s="9" t="n">
        <v>0.4</v>
      </c>
      <c r="AA13" s="9" t="n">
        <v>0.4</v>
      </c>
      <c r="AB13" s="9" t="n">
        <v>0.4</v>
      </c>
      <c r="AC13" s="9" t="n">
        <v>0.4</v>
      </c>
      <c r="AD13" s="9" t="n">
        <v>0.4</v>
      </c>
      <c r="AE13" s="9" t="n">
        <v>0.4</v>
      </c>
      <c r="AF13" s="9" t="n">
        <v>0.4</v>
      </c>
      <c r="AG13" s="9" t="n">
        <v>0.4</v>
      </c>
      <c r="AH13" s="9" t="n">
        <v>0.4</v>
      </c>
      <c r="AI13" s="9" t="n">
        <v>0.4</v>
      </c>
    </row>
    <row r="14" customFormat="false" ht="15" hidden="false" customHeight="true" outlineLevel="0" collapsed="false">
      <c r="A14" s="8" t="s">
        <v>1287</v>
      </c>
      <c r="B14" s="6" t="n">
        <v>1</v>
      </c>
      <c r="C14" s="6" t="n">
        <v>1</v>
      </c>
      <c r="D14" s="6" t="n">
        <v>1</v>
      </c>
      <c r="E14" s="6" t="n">
        <v>1</v>
      </c>
      <c r="F14" s="6" t="n">
        <v>1</v>
      </c>
      <c r="G14" s="6" t="n">
        <v>1</v>
      </c>
      <c r="H14" s="6" t="n">
        <v>1</v>
      </c>
      <c r="I14" s="6" t="n">
        <v>1</v>
      </c>
      <c r="J14" s="6" t="n">
        <v>1</v>
      </c>
      <c r="K14" s="6" t="n">
        <v>1</v>
      </c>
      <c r="L14" s="6" t="n">
        <v>1</v>
      </c>
      <c r="M14" s="6" t="n">
        <v>1</v>
      </c>
      <c r="N14" s="6" t="n">
        <v>1</v>
      </c>
      <c r="O14" s="6" t="n">
        <v>1</v>
      </c>
      <c r="P14" s="6" t="n">
        <v>1</v>
      </c>
      <c r="Q14" s="6" t="n">
        <v>1</v>
      </c>
      <c r="R14" s="6" t="n">
        <v>1</v>
      </c>
      <c r="S14" s="6" t="n">
        <v>1</v>
      </c>
      <c r="T14" s="6" t="n">
        <v>1</v>
      </c>
      <c r="U14" s="6" t="n">
        <v>1</v>
      </c>
      <c r="V14" s="6" t="n">
        <v>1</v>
      </c>
      <c r="W14" s="6" t="n">
        <v>1</v>
      </c>
      <c r="X14" s="6" t="n">
        <v>1</v>
      </c>
      <c r="Y14" s="6" t="n">
        <v>1</v>
      </c>
      <c r="Z14" s="6" t="n">
        <v>1</v>
      </c>
      <c r="AA14" s="6" t="n">
        <v>1</v>
      </c>
      <c r="AB14" s="6" t="n">
        <v>1</v>
      </c>
      <c r="AC14" s="6" t="n">
        <v>1</v>
      </c>
      <c r="AD14" s="6" t="n">
        <v>1</v>
      </c>
      <c r="AE14" s="6" t="n">
        <v>1</v>
      </c>
      <c r="AF14" s="6" t="n">
        <v>1</v>
      </c>
      <c r="AG14" s="6" t="n">
        <v>1</v>
      </c>
      <c r="AH14" s="6" t="n">
        <v>1</v>
      </c>
      <c r="AI14" s="6" t="n">
        <v>1</v>
      </c>
    </row>
    <row r="15" customFormat="false" ht="15" hidden="false" customHeight="true" outlineLevel="0" collapsed="false">
      <c r="A15" s="8" t="s">
        <v>1394</v>
      </c>
      <c r="B15" s="9" t="n">
        <v>1.6</v>
      </c>
      <c r="C15" s="6" t="n">
        <v>1</v>
      </c>
      <c r="D15" s="6" t="n">
        <v>1</v>
      </c>
      <c r="E15" s="9" t="n">
        <v>1.6</v>
      </c>
      <c r="F15" s="6" t="n">
        <v>1</v>
      </c>
      <c r="G15" s="6" t="n">
        <v>1</v>
      </c>
      <c r="H15" s="6" t="n">
        <v>1</v>
      </c>
      <c r="I15" s="6" t="n">
        <v>1</v>
      </c>
      <c r="J15" s="6" t="n">
        <v>1</v>
      </c>
      <c r="K15" s="6" t="n">
        <v>1</v>
      </c>
      <c r="L15" s="6" t="n">
        <v>1</v>
      </c>
      <c r="M15" s="6" t="n">
        <v>1</v>
      </c>
      <c r="N15" s="6" t="n">
        <v>1</v>
      </c>
      <c r="O15" s="6" t="n">
        <v>1</v>
      </c>
      <c r="P15" s="6" t="n">
        <v>1</v>
      </c>
      <c r="Q15" s="6" t="n">
        <v>1</v>
      </c>
      <c r="R15" s="6" t="n">
        <v>1</v>
      </c>
      <c r="S15" s="6" t="n">
        <v>1</v>
      </c>
      <c r="T15" s="6" t="n">
        <v>1</v>
      </c>
      <c r="U15" s="6" t="n">
        <v>1</v>
      </c>
      <c r="V15" s="6" t="n">
        <v>1</v>
      </c>
      <c r="W15" s="6" t="n">
        <v>1</v>
      </c>
      <c r="X15" s="6" t="n">
        <v>1</v>
      </c>
      <c r="Y15" s="6" t="n">
        <v>1</v>
      </c>
      <c r="Z15" s="6" t="n">
        <v>1</v>
      </c>
      <c r="AA15" s="6" t="n">
        <v>1</v>
      </c>
      <c r="AB15" s="6" t="n">
        <v>1</v>
      </c>
      <c r="AC15" s="6" t="n">
        <v>1</v>
      </c>
      <c r="AD15" s="6" t="n">
        <v>1</v>
      </c>
      <c r="AE15" s="6" t="n">
        <v>1</v>
      </c>
      <c r="AF15" s="6" t="n">
        <v>1</v>
      </c>
      <c r="AG15" s="6" t="n">
        <v>1</v>
      </c>
      <c r="AH15" s="6" t="n">
        <v>1</v>
      </c>
      <c r="AI15" s="6" t="n">
        <v>1</v>
      </c>
    </row>
    <row r="16" customFormat="false" ht="15" hidden="false" customHeight="true" outlineLevel="0" collapsed="false">
      <c r="A16" s="8" t="s">
        <v>1383</v>
      </c>
      <c r="B16" s="6" t="n">
        <v>1</v>
      </c>
      <c r="C16" s="6" t="n">
        <v>1</v>
      </c>
      <c r="D16" s="6" t="n">
        <v>1</v>
      </c>
      <c r="E16" s="6" t="n">
        <v>1</v>
      </c>
      <c r="F16" s="6" t="n">
        <v>1</v>
      </c>
      <c r="G16" s="6" t="n">
        <v>1</v>
      </c>
      <c r="H16" s="6" t="n">
        <v>1</v>
      </c>
      <c r="I16" s="6" t="n">
        <v>1</v>
      </c>
      <c r="J16" s="6" t="n">
        <v>1</v>
      </c>
      <c r="K16" s="6" t="n">
        <v>1</v>
      </c>
      <c r="L16" s="6" t="n">
        <v>1</v>
      </c>
      <c r="M16" s="6" t="n">
        <v>1</v>
      </c>
      <c r="N16" s="6" t="n">
        <v>1</v>
      </c>
      <c r="O16" s="9" t="n">
        <v>1.9</v>
      </c>
      <c r="P16" s="6" t="n">
        <v>1</v>
      </c>
      <c r="Q16" s="6" t="n">
        <v>1</v>
      </c>
      <c r="R16" s="6" t="n">
        <v>1</v>
      </c>
      <c r="S16" s="6" t="n">
        <v>1</v>
      </c>
      <c r="T16" s="6" t="n">
        <v>1</v>
      </c>
      <c r="U16" s="6" t="n">
        <v>1</v>
      </c>
      <c r="V16" s="6" t="n">
        <v>1</v>
      </c>
      <c r="W16" s="6" t="n">
        <v>1</v>
      </c>
      <c r="X16" s="6" t="n">
        <v>1</v>
      </c>
      <c r="Y16" s="6" t="n">
        <v>1</v>
      </c>
      <c r="Z16" s="6" t="n">
        <v>1</v>
      </c>
      <c r="AA16" s="6" t="n">
        <v>1</v>
      </c>
      <c r="AB16" s="6" t="n">
        <v>1</v>
      </c>
      <c r="AC16" s="6" t="n">
        <v>1</v>
      </c>
      <c r="AD16" s="6" t="n">
        <v>1</v>
      </c>
      <c r="AE16" s="6" t="n">
        <v>1</v>
      </c>
      <c r="AF16" s="6" t="n">
        <v>1</v>
      </c>
      <c r="AG16" s="6" t="n">
        <v>1</v>
      </c>
      <c r="AH16" s="6" t="n">
        <v>1</v>
      </c>
      <c r="AI16" s="6" t="n">
        <v>1</v>
      </c>
    </row>
    <row r="17" customFormat="false" ht="15" hidden="false" customHeight="true" outlineLevel="0" collapsed="false">
      <c r="A17" s="8" t="s">
        <v>1378</v>
      </c>
      <c r="B17" s="9" t="n">
        <v>1.7</v>
      </c>
      <c r="C17" s="6" t="n">
        <v>1</v>
      </c>
      <c r="D17" s="9" t="n">
        <v>1.6</v>
      </c>
      <c r="E17" s="6" t="n">
        <v>1</v>
      </c>
      <c r="F17" s="6" t="n">
        <v>1</v>
      </c>
      <c r="G17" s="6" t="n">
        <v>1</v>
      </c>
      <c r="H17" s="6" t="n">
        <v>1</v>
      </c>
      <c r="I17" s="6" t="n">
        <v>1</v>
      </c>
      <c r="J17" s="6" t="n">
        <v>1</v>
      </c>
      <c r="K17" s="6" t="n">
        <v>1</v>
      </c>
      <c r="L17" s="6" t="n">
        <v>1</v>
      </c>
      <c r="M17" s="6" t="n">
        <v>1</v>
      </c>
      <c r="N17" s="6" t="n">
        <v>1</v>
      </c>
      <c r="O17" s="6" t="n">
        <v>1</v>
      </c>
      <c r="P17" s="6" t="n">
        <v>1</v>
      </c>
      <c r="Q17" s="6" t="n">
        <v>1</v>
      </c>
      <c r="R17" s="6" t="n">
        <v>1</v>
      </c>
      <c r="S17" s="6" t="n">
        <v>1</v>
      </c>
      <c r="T17" s="6" t="n">
        <v>1</v>
      </c>
      <c r="U17" s="6" t="n">
        <v>1</v>
      </c>
      <c r="V17" s="6" t="n">
        <v>1</v>
      </c>
      <c r="W17" s="6" t="n">
        <v>1</v>
      </c>
      <c r="X17" s="6" t="n">
        <v>1</v>
      </c>
      <c r="Y17" s="6" t="n">
        <v>1</v>
      </c>
      <c r="Z17" s="6" t="n">
        <v>1</v>
      </c>
      <c r="AA17" s="6" t="n">
        <v>1</v>
      </c>
      <c r="AB17" s="6" t="n">
        <v>1</v>
      </c>
      <c r="AC17" s="6" t="n">
        <v>1</v>
      </c>
      <c r="AD17" s="6" t="n">
        <v>1</v>
      </c>
      <c r="AE17" s="6" t="n">
        <v>1</v>
      </c>
      <c r="AF17" s="6" t="n">
        <v>1</v>
      </c>
      <c r="AG17" s="6" t="n">
        <v>1</v>
      </c>
      <c r="AH17" s="6" t="n">
        <v>1</v>
      </c>
      <c r="AI17" s="6" t="n">
        <v>1</v>
      </c>
    </row>
    <row r="18" customFormat="false" ht="15" hidden="false" customHeight="true" outlineLevel="0" collapsed="false">
      <c r="A18" s="8" t="s">
        <v>1403</v>
      </c>
      <c r="B18" s="6" t="n">
        <v>1</v>
      </c>
      <c r="C18" s="6" t="n">
        <v>1</v>
      </c>
      <c r="D18" s="6" t="n">
        <v>1</v>
      </c>
      <c r="E18" s="6" t="n">
        <v>1</v>
      </c>
      <c r="F18" s="6" t="n">
        <v>1</v>
      </c>
      <c r="G18" s="6" t="n">
        <v>1</v>
      </c>
      <c r="H18" s="6" t="n">
        <v>1</v>
      </c>
      <c r="I18" s="6" t="n">
        <v>1</v>
      </c>
      <c r="J18" s="6" t="n">
        <v>1</v>
      </c>
      <c r="K18" s="6" t="n">
        <v>1</v>
      </c>
      <c r="L18" s="6" t="n">
        <v>1</v>
      </c>
      <c r="M18" s="6" t="n">
        <v>1</v>
      </c>
      <c r="N18" s="6" t="n">
        <v>1</v>
      </c>
      <c r="O18" s="6" t="n">
        <v>1</v>
      </c>
      <c r="P18" s="6" t="n">
        <v>1</v>
      </c>
      <c r="Q18" s="6" t="n">
        <v>1</v>
      </c>
      <c r="R18" s="6" t="n">
        <v>1</v>
      </c>
      <c r="S18" s="9" t="n">
        <v>1.6</v>
      </c>
      <c r="T18" s="9" t="n">
        <v>1.7</v>
      </c>
      <c r="U18" s="6" t="n">
        <v>1</v>
      </c>
      <c r="V18" s="6" t="n">
        <v>1</v>
      </c>
      <c r="W18" s="6" t="n">
        <v>1</v>
      </c>
      <c r="X18" s="6" t="n">
        <v>1</v>
      </c>
      <c r="Y18" s="6" t="n">
        <v>1</v>
      </c>
      <c r="Z18" s="6" t="n">
        <v>1</v>
      </c>
      <c r="AA18" s="6" t="n">
        <v>1</v>
      </c>
      <c r="AB18" s="6" t="n">
        <v>1</v>
      </c>
      <c r="AC18" s="6" t="n">
        <v>1</v>
      </c>
      <c r="AD18" s="6" t="n">
        <v>1</v>
      </c>
      <c r="AE18" s="6" t="n">
        <v>1</v>
      </c>
      <c r="AF18" s="6" t="n">
        <v>1</v>
      </c>
      <c r="AG18" s="6" t="n">
        <v>1</v>
      </c>
      <c r="AH18" s="6" t="n">
        <v>1</v>
      </c>
      <c r="AI18" s="6" t="n">
        <v>1</v>
      </c>
    </row>
    <row r="19" customFormat="false" ht="15" hidden="false" customHeight="true" outlineLevel="0" collapsed="false">
      <c r="A19" s="8" t="s">
        <v>1406</v>
      </c>
      <c r="B19" s="6" t="n">
        <v>1</v>
      </c>
      <c r="C19" s="6" t="n">
        <v>1</v>
      </c>
      <c r="D19" s="6" t="n">
        <v>1</v>
      </c>
      <c r="E19" s="6" t="n">
        <v>1</v>
      </c>
      <c r="F19" s="6" t="n">
        <v>1</v>
      </c>
      <c r="G19" s="6" t="n">
        <v>1</v>
      </c>
      <c r="H19" s="6" t="n">
        <v>1</v>
      </c>
      <c r="I19" s="6" t="n">
        <v>1</v>
      </c>
      <c r="J19" s="6" t="n">
        <v>1</v>
      </c>
      <c r="K19" s="6" t="n">
        <v>1</v>
      </c>
      <c r="L19" s="6" t="n">
        <v>1</v>
      </c>
      <c r="M19" s="6" t="n">
        <v>1</v>
      </c>
      <c r="N19" s="6" t="n">
        <v>1</v>
      </c>
      <c r="O19" s="6" t="n">
        <v>1</v>
      </c>
      <c r="P19" s="6" t="n">
        <v>1</v>
      </c>
      <c r="Q19" s="6" t="n">
        <v>1</v>
      </c>
      <c r="R19" s="6" t="n">
        <v>1</v>
      </c>
      <c r="S19" s="6" t="n">
        <v>1</v>
      </c>
      <c r="T19" s="9" t="n">
        <v>1.8</v>
      </c>
      <c r="U19" s="6" t="n">
        <v>1</v>
      </c>
      <c r="V19" s="6" t="n">
        <v>1</v>
      </c>
      <c r="W19" s="6" t="n">
        <v>1</v>
      </c>
      <c r="X19" s="6" t="n">
        <v>1</v>
      </c>
      <c r="Y19" s="6" t="n">
        <v>1</v>
      </c>
      <c r="Z19" s="6" t="n">
        <v>1</v>
      </c>
      <c r="AA19" s="6" t="n">
        <v>1</v>
      </c>
      <c r="AB19" s="6" t="n">
        <v>1</v>
      </c>
      <c r="AC19" s="6" t="n">
        <v>1</v>
      </c>
      <c r="AD19" s="6" t="n">
        <v>1</v>
      </c>
      <c r="AE19" s="6" t="n">
        <v>1</v>
      </c>
      <c r="AF19" s="6" t="n">
        <v>1</v>
      </c>
      <c r="AG19" s="6" t="n">
        <v>1</v>
      </c>
      <c r="AH19" s="6" t="n">
        <v>1</v>
      </c>
      <c r="AI19" s="6" t="n">
        <v>1</v>
      </c>
    </row>
    <row r="20" customFormat="false" ht="15" hidden="false" customHeight="true" outlineLevel="0" collapsed="false">
      <c r="A20" s="8" t="s">
        <v>1409</v>
      </c>
      <c r="B20" s="6" t="n">
        <v>1</v>
      </c>
      <c r="C20" s="6" t="n">
        <v>1</v>
      </c>
      <c r="D20" s="6" t="n">
        <v>1</v>
      </c>
      <c r="E20" s="6" t="n">
        <v>1</v>
      </c>
      <c r="F20" s="6" t="n">
        <v>1</v>
      </c>
      <c r="G20" s="6" t="n">
        <v>1</v>
      </c>
      <c r="H20" s="6" t="n">
        <v>1</v>
      </c>
      <c r="I20" s="6" t="n">
        <v>1</v>
      </c>
      <c r="J20" s="6" t="n">
        <v>1</v>
      </c>
      <c r="K20" s="6" t="n">
        <v>1</v>
      </c>
      <c r="L20" s="6" t="n">
        <v>1</v>
      </c>
      <c r="M20" s="6" t="n">
        <v>1</v>
      </c>
      <c r="N20" s="6" t="n">
        <v>1</v>
      </c>
      <c r="O20" s="9" t="n">
        <v>1.7</v>
      </c>
      <c r="P20" s="6" t="n">
        <v>1</v>
      </c>
      <c r="Q20" s="6" t="n">
        <v>1</v>
      </c>
      <c r="R20" s="6" t="n">
        <v>1</v>
      </c>
      <c r="S20" s="6" t="n">
        <v>1</v>
      </c>
      <c r="T20" s="6" t="n">
        <v>1</v>
      </c>
      <c r="U20" s="6" t="n">
        <v>1</v>
      </c>
      <c r="V20" s="6" t="n">
        <v>1</v>
      </c>
      <c r="W20" s="6" t="n">
        <v>1</v>
      </c>
      <c r="X20" s="9" t="n">
        <v>1.6</v>
      </c>
      <c r="Y20" s="6" t="n">
        <v>1</v>
      </c>
      <c r="Z20" s="6" t="n">
        <v>1</v>
      </c>
      <c r="AA20" s="6" t="n">
        <v>1</v>
      </c>
      <c r="AB20" s="6" t="n">
        <v>1</v>
      </c>
      <c r="AC20" s="6" t="n">
        <v>1</v>
      </c>
      <c r="AD20" s="6" t="n">
        <v>1</v>
      </c>
      <c r="AE20" s="6" t="n">
        <v>1</v>
      </c>
      <c r="AF20" s="6" t="n">
        <v>1</v>
      </c>
      <c r="AG20" s="6" t="n">
        <v>1</v>
      </c>
      <c r="AH20" s="6" t="n">
        <v>1</v>
      </c>
      <c r="AI20" s="6" t="n">
        <v>1</v>
      </c>
    </row>
    <row r="21" customFormat="false" ht="15" hidden="false" customHeight="true" outlineLevel="0" collapsed="false">
      <c r="A21" s="8" t="s">
        <v>1352</v>
      </c>
      <c r="B21" s="6" t="n">
        <v>1</v>
      </c>
      <c r="C21" s="6" t="n">
        <v>1</v>
      </c>
      <c r="D21" s="6" t="n">
        <v>1</v>
      </c>
      <c r="E21" s="6" t="n">
        <v>1</v>
      </c>
      <c r="F21" s="6" t="n">
        <v>1</v>
      </c>
      <c r="G21" s="6" t="n">
        <v>1</v>
      </c>
      <c r="H21" s="6" t="n">
        <v>1</v>
      </c>
      <c r="I21" s="6" t="n">
        <v>1</v>
      </c>
      <c r="J21" s="6" t="n">
        <v>1</v>
      </c>
      <c r="K21" s="6" t="n">
        <v>1</v>
      </c>
      <c r="L21" s="6" t="n">
        <v>1</v>
      </c>
      <c r="M21" s="6" t="n">
        <v>1</v>
      </c>
      <c r="N21" s="6" t="n">
        <v>1</v>
      </c>
      <c r="O21" s="6" t="n">
        <v>1</v>
      </c>
      <c r="P21" s="6" t="n">
        <v>1</v>
      </c>
      <c r="Q21" s="6" t="n">
        <v>1</v>
      </c>
      <c r="R21" s="6" t="n">
        <v>1</v>
      </c>
      <c r="S21" s="6" t="n">
        <v>1</v>
      </c>
      <c r="T21" s="6" t="n">
        <v>1</v>
      </c>
      <c r="U21" s="6" t="n">
        <v>1</v>
      </c>
      <c r="V21" s="6" t="n">
        <v>1</v>
      </c>
      <c r="W21" s="9" t="n">
        <v>1.9</v>
      </c>
      <c r="X21" s="6" t="n">
        <v>1</v>
      </c>
      <c r="Y21" s="6" t="n">
        <v>1</v>
      </c>
      <c r="Z21" s="6" t="n">
        <v>1</v>
      </c>
      <c r="AA21" s="6" t="n">
        <v>1</v>
      </c>
      <c r="AB21" s="6" t="n">
        <v>1</v>
      </c>
      <c r="AC21" s="6" t="n">
        <v>1</v>
      </c>
      <c r="AD21" s="6" t="n">
        <v>1</v>
      </c>
      <c r="AE21" s="6" t="n">
        <v>1</v>
      </c>
      <c r="AF21" s="6" t="n">
        <v>1</v>
      </c>
      <c r="AG21" s="6" t="n">
        <v>1</v>
      </c>
      <c r="AH21" s="6" t="n">
        <v>1</v>
      </c>
      <c r="AI21" s="6" t="n">
        <v>1</v>
      </c>
    </row>
    <row r="22" customFormat="false" ht="15" hidden="false" customHeight="true" outlineLevel="0" collapsed="false">
      <c r="A22" s="8" t="s">
        <v>1355</v>
      </c>
      <c r="B22" s="6" t="n">
        <v>1</v>
      </c>
      <c r="C22" s="6" t="n">
        <v>1</v>
      </c>
      <c r="D22" s="6" t="n">
        <v>1</v>
      </c>
      <c r="E22" s="6" t="n">
        <v>1</v>
      </c>
      <c r="F22" s="6" t="n">
        <v>1</v>
      </c>
      <c r="G22" s="6" t="n">
        <v>1</v>
      </c>
      <c r="H22" s="6" t="n">
        <v>1</v>
      </c>
      <c r="I22" s="6" t="n">
        <v>1</v>
      </c>
      <c r="J22" s="6" t="n">
        <v>1</v>
      </c>
      <c r="K22" s="6" t="n">
        <v>1</v>
      </c>
      <c r="L22" s="6" t="n">
        <v>1</v>
      </c>
      <c r="M22" s="6" t="n">
        <v>1</v>
      </c>
      <c r="N22" s="6" t="n">
        <v>1</v>
      </c>
      <c r="O22" s="6" t="n">
        <v>1</v>
      </c>
      <c r="P22" s="6" t="n">
        <v>1</v>
      </c>
      <c r="Q22" s="6" t="n">
        <v>1</v>
      </c>
      <c r="R22" s="6" t="n">
        <v>1</v>
      </c>
      <c r="S22" s="6" t="n">
        <v>1</v>
      </c>
      <c r="T22" s="6" t="n">
        <v>1</v>
      </c>
      <c r="U22" s="9" t="n">
        <v>1.6</v>
      </c>
      <c r="V22" s="6" t="n">
        <v>1</v>
      </c>
      <c r="W22" s="6" t="n">
        <v>1</v>
      </c>
      <c r="X22" s="6" t="n">
        <v>1</v>
      </c>
      <c r="Y22" s="6" t="n">
        <v>1</v>
      </c>
      <c r="Z22" s="6" t="n">
        <v>1</v>
      </c>
      <c r="AA22" s="6" t="n">
        <v>1</v>
      </c>
      <c r="AB22" s="6" t="n">
        <v>1</v>
      </c>
      <c r="AC22" s="6" t="n">
        <v>1</v>
      </c>
      <c r="AD22" s="6" t="n">
        <v>1</v>
      </c>
      <c r="AE22" s="6" t="n">
        <v>1</v>
      </c>
      <c r="AF22" s="6" t="n">
        <v>1</v>
      </c>
      <c r="AG22" s="6" t="n">
        <v>1</v>
      </c>
      <c r="AH22" s="6" t="n">
        <v>1</v>
      </c>
      <c r="AI22" s="6" t="n">
        <v>1</v>
      </c>
    </row>
    <row r="23" customFormat="false" ht="15" hidden="false" customHeight="true" outlineLevel="0" collapsed="false">
      <c r="A23" s="8" t="s">
        <v>1360</v>
      </c>
      <c r="B23" s="6" t="n">
        <v>1</v>
      </c>
      <c r="C23" s="6" t="n">
        <v>1</v>
      </c>
      <c r="D23" s="6" t="n">
        <v>1</v>
      </c>
      <c r="E23" s="6" t="n">
        <v>1</v>
      </c>
      <c r="F23" s="6" t="n">
        <v>1</v>
      </c>
      <c r="G23" s="6" t="n">
        <v>1</v>
      </c>
      <c r="H23" s="6" t="n">
        <v>1</v>
      </c>
      <c r="I23" s="6" t="n">
        <v>1</v>
      </c>
      <c r="J23" s="6" t="n">
        <v>1</v>
      </c>
      <c r="K23" s="6" t="n">
        <v>1</v>
      </c>
      <c r="L23" s="6" t="n">
        <v>1</v>
      </c>
      <c r="M23" s="6" t="n">
        <v>1</v>
      </c>
      <c r="N23" s="6" t="n">
        <v>1</v>
      </c>
      <c r="O23" s="6" t="n">
        <v>1</v>
      </c>
      <c r="P23" s="6" t="n">
        <v>1</v>
      </c>
      <c r="Q23" s="6" t="n">
        <v>1</v>
      </c>
      <c r="R23" s="6" t="n">
        <v>1</v>
      </c>
      <c r="S23" s="6" t="n">
        <v>1</v>
      </c>
      <c r="T23" s="6" t="n">
        <v>1</v>
      </c>
      <c r="U23" s="6" t="n">
        <v>1</v>
      </c>
      <c r="V23" s="6" t="n">
        <v>1</v>
      </c>
      <c r="W23" s="6" t="n">
        <v>1</v>
      </c>
      <c r="X23" s="6" t="n">
        <v>1</v>
      </c>
      <c r="Y23" s="6" t="n">
        <v>1</v>
      </c>
      <c r="Z23" s="6" t="n">
        <v>1</v>
      </c>
      <c r="AA23" s="6" t="n">
        <v>1</v>
      </c>
      <c r="AB23" s="6" t="n">
        <v>1</v>
      </c>
      <c r="AC23" s="6" t="n">
        <v>1</v>
      </c>
      <c r="AD23" s="6" t="n">
        <v>1</v>
      </c>
      <c r="AE23" s="6" t="n">
        <v>1</v>
      </c>
      <c r="AF23" s="6" t="n">
        <v>1</v>
      </c>
      <c r="AG23" s="6" t="n">
        <v>1</v>
      </c>
      <c r="AH23" s="6" t="n">
        <v>1</v>
      </c>
      <c r="AI23" s="6" t="n">
        <v>1</v>
      </c>
    </row>
    <row r="24" customFormat="false" ht="15" hidden="false" customHeight="true" outlineLevel="0" collapsed="false">
      <c r="A24" s="8" t="s">
        <v>1363</v>
      </c>
      <c r="B24" s="6" t="n">
        <v>1</v>
      </c>
      <c r="C24" s="6" t="n">
        <v>1</v>
      </c>
      <c r="D24" s="6" t="n">
        <v>1</v>
      </c>
      <c r="E24" s="6" t="n">
        <v>1</v>
      </c>
      <c r="F24" s="6" t="n">
        <v>1</v>
      </c>
      <c r="G24" s="6" t="n">
        <v>1</v>
      </c>
      <c r="H24" s="6" t="n">
        <v>1</v>
      </c>
      <c r="I24" s="6" t="n">
        <v>1</v>
      </c>
      <c r="J24" s="6" t="n">
        <v>1</v>
      </c>
      <c r="K24" s="6" t="n">
        <v>1</v>
      </c>
      <c r="L24" s="6" t="n">
        <v>1</v>
      </c>
      <c r="M24" s="6" t="n">
        <v>1</v>
      </c>
      <c r="N24" s="6" t="n">
        <v>1</v>
      </c>
      <c r="O24" s="6" t="n">
        <v>1</v>
      </c>
      <c r="P24" s="6" t="n">
        <v>1</v>
      </c>
      <c r="Q24" s="6" t="n">
        <v>1</v>
      </c>
      <c r="R24" s="6" t="n">
        <v>1</v>
      </c>
      <c r="S24" s="6" t="n">
        <v>1</v>
      </c>
      <c r="T24" s="6" t="n">
        <v>1</v>
      </c>
      <c r="U24" s="6" t="n">
        <v>1</v>
      </c>
      <c r="V24" s="9" t="n">
        <v>1.5</v>
      </c>
      <c r="W24" s="6" t="n">
        <v>1</v>
      </c>
      <c r="X24" s="6" t="n">
        <v>1</v>
      </c>
      <c r="Y24" s="6" t="n">
        <v>1</v>
      </c>
      <c r="Z24" s="6" t="n">
        <v>1</v>
      </c>
      <c r="AA24" s="6" t="n">
        <v>1</v>
      </c>
      <c r="AB24" s="6" t="n">
        <v>1</v>
      </c>
      <c r="AC24" s="6" t="n">
        <v>1</v>
      </c>
      <c r="AD24" s="6" t="n">
        <v>1</v>
      </c>
      <c r="AE24" s="6" t="n">
        <v>1</v>
      </c>
      <c r="AF24" s="6" t="n">
        <v>1</v>
      </c>
      <c r="AG24" s="6" t="n">
        <v>1</v>
      </c>
      <c r="AH24" s="6" t="n">
        <v>1</v>
      </c>
      <c r="AI24" s="6" t="n">
        <v>1</v>
      </c>
    </row>
    <row r="25" customFormat="false" ht="15" hidden="false" customHeight="true" outlineLevel="0" collapsed="false">
      <c r="A25" s="8" t="s">
        <v>1438</v>
      </c>
      <c r="B25" s="6" t="n">
        <v>1</v>
      </c>
      <c r="C25" s="6" t="n">
        <v>1</v>
      </c>
      <c r="D25" s="6" t="n">
        <v>1</v>
      </c>
      <c r="E25" s="6" t="n">
        <v>1</v>
      </c>
      <c r="F25" s="6" t="n">
        <v>1</v>
      </c>
      <c r="G25" s="6" t="n">
        <v>1</v>
      </c>
      <c r="H25" s="6" t="n">
        <v>1</v>
      </c>
      <c r="I25" s="9" t="n">
        <v>1.4</v>
      </c>
      <c r="J25" s="6" t="n">
        <v>1</v>
      </c>
      <c r="K25" s="6" t="n">
        <v>1</v>
      </c>
      <c r="L25" s="6" t="n">
        <v>1</v>
      </c>
      <c r="M25" s="6" t="n">
        <v>1</v>
      </c>
      <c r="N25" s="6" t="n">
        <v>1</v>
      </c>
      <c r="O25" s="6" t="n">
        <v>1</v>
      </c>
      <c r="P25" s="6" t="n">
        <v>1</v>
      </c>
      <c r="Q25" s="6" t="n">
        <v>1</v>
      </c>
      <c r="R25" s="6" t="n">
        <v>1</v>
      </c>
      <c r="S25" s="6" t="n">
        <v>1</v>
      </c>
      <c r="T25" s="6" t="n">
        <v>1</v>
      </c>
      <c r="U25" s="6" t="n">
        <v>1</v>
      </c>
      <c r="V25" s="6" t="n">
        <v>1</v>
      </c>
      <c r="W25" s="6" t="n">
        <v>1</v>
      </c>
      <c r="X25" s="6" t="n">
        <v>1</v>
      </c>
      <c r="Y25" s="6" t="n">
        <v>1</v>
      </c>
      <c r="Z25" s="6" t="n">
        <v>1</v>
      </c>
      <c r="AA25" s="6" t="n">
        <v>1</v>
      </c>
      <c r="AB25" s="6" t="n">
        <v>1</v>
      </c>
      <c r="AC25" s="6" t="n">
        <v>1</v>
      </c>
      <c r="AD25" s="6" t="n">
        <v>1</v>
      </c>
      <c r="AE25" s="6" t="n">
        <v>1</v>
      </c>
      <c r="AF25" s="6" t="n">
        <v>1</v>
      </c>
      <c r="AG25" s="6" t="n">
        <v>1</v>
      </c>
      <c r="AH25" s="6" t="n">
        <v>1</v>
      </c>
      <c r="AI25" s="6" t="n">
        <v>1</v>
      </c>
    </row>
    <row r="26" customFormat="false" ht="15" hidden="false" customHeight="true" outlineLevel="0" collapsed="false">
      <c r="A26" s="8" t="s">
        <v>1443</v>
      </c>
      <c r="B26" s="6" t="n">
        <v>1</v>
      </c>
      <c r="C26" s="6" t="n">
        <v>1</v>
      </c>
      <c r="D26" s="6" t="n">
        <v>1</v>
      </c>
      <c r="E26" s="6" t="n">
        <v>1</v>
      </c>
      <c r="F26" s="6" t="n">
        <v>1</v>
      </c>
      <c r="G26" s="6" t="n">
        <v>1</v>
      </c>
      <c r="H26" s="6" t="n">
        <v>1</v>
      </c>
      <c r="I26" s="6" t="n">
        <v>1</v>
      </c>
      <c r="J26" s="6" t="n">
        <v>1</v>
      </c>
      <c r="K26" s="6" t="n">
        <v>1</v>
      </c>
      <c r="L26" s="6" t="n">
        <v>1</v>
      </c>
      <c r="M26" s="6" t="n">
        <v>1</v>
      </c>
      <c r="N26" s="6" t="n">
        <v>1</v>
      </c>
      <c r="O26" s="6" t="n">
        <v>1</v>
      </c>
      <c r="P26" s="6" t="n">
        <v>1</v>
      </c>
      <c r="Q26" s="6" t="n">
        <v>1</v>
      </c>
      <c r="R26" s="6" t="n">
        <v>1</v>
      </c>
      <c r="S26" s="6" t="n">
        <v>1</v>
      </c>
      <c r="T26" s="6" t="n">
        <v>1</v>
      </c>
      <c r="U26" s="6" t="n">
        <v>1</v>
      </c>
      <c r="V26" s="6" t="n">
        <v>1</v>
      </c>
      <c r="W26" s="6" t="n">
        <v>1</v>
      </c>
      <c r="X26" s="6" t="n">
        <v>1</v>
      </c>
      <c r="Y26" s="9" t="n">
        <v>1.5</v>
      </c>
      <c r="Z26" s="6" t="n">
        <v>1</v>
      </c>
      <c r="AA26" s="6" t="n">
        <v>1</v>
      </c>
      <c r="AB26" s="6" t="n">
        <v>1</v>
      </c>
      <c r="AC26" s="6" t="n">
        <v>1</v>
      </c>
      <c r="AD26" s="6" t="n">
        <v>1</v>
      </c>
      <c r="AE26" s="6" t="n">
        <v>1</v>
      </c>
      <c r="AF26" s="6" t="n">
        <v>1</v>
      </c>
      <c r="AG26" s="6" t="n">
        <v>1</v>
      </c>
      <c r="AH26" s="6" t="n">
        <v>1</v>
      </c>
      <c r="AI26" s="6" t="n">
        <v>1</v>
      </c>
    </row>
    <row r="27" customFormat="false" ht="15" hidden="false" customHeight="true" outlineLevel="0" collapsed="false">
      <c r="A27" s="8" t="s">
        <v>1424</v>
      </c>
      <c r="B27" s="6" t="n">
        <v>1</v>
      </c>
      <c r="C27" s="6" t="n">
        <v>1</v>
      </c>
      <c r="D27" s="6" t="n">
        <v>1</v>
      </c>
      <c r="E27" s="6" t="n">
        <v>1</v>
      </c>
      <c r="F27" s="6" t="n">
        <v>1</v>
      </c>
      <c r="G27" s="6" t="n">
        <v>1</v>
      </c>
      <c r="H27" s="6" t="n">
        <v>1</v>
      </c>
      <c r="I27" s="6" t="n">
        <v>1</v>
      </c>
      <c r="J27" s="6" t="n">
        <v>1</v>
      </c>
      <c r="K27" s="6" t="n">
        <v>1</v>
      </c>
      <c r="L27" s="6" t="n">
        <v>1</v>
      </c>
      <c r="M27" s="6" t="n">
        <v>1</v>
      </c>
      <c r="N27" s="6" t="n">
        <v>1</v>
      </c>
      <c r="O27" s="6" t="n">
        <v>1</v>
      </c>
      <c r="P27" s="6" t="n">
        <v>1</v>
      </c>
      <c r="Q27" s="6" t="n">
        <v>1</v>
      </c>
      <c r="R27" s="6" t="n">
        <v>1</v>
      </c>
      <c r="S27" s="6" t="n">
        <v>1</v>
      </c>
      <c r="T27" s="6" t="n">
        <v>1</v>
      </c>
      <c r="U27" s="6" t="n">
        <v>1</v>
      </c>
      <c r="V27" s="6" t="n">
        <v>1</v>
      </c>
      <c r="W27" s="6" t="n">
        <v>1</v>
      </c>
      <c r="X27" s="9" t="n">
        <v>1.4</v>
      </c>
      <c r="Y27" s="6" t="n">
        <v>1</v>
      </c>
      <c r="Z27" s="6" t="n">
        <v>1</v>
      </c>
      <c r="AA27" s="6" t="n">
        <v>1</v>
      </c>
      <c r="AB27" s="6" t="n">
        <v>1</v>
      </c>
      <c r="AC27" s="6" t="n">
        <v>1</v>
      </c>
      <c r="AD27" s="6" t="n">
        <v>1</v>
      </c>
      <c r="AE27" s="6" t="n">
        <v>1</v>
      </c>
      <c r="AF27" s="6" t="n">
        <v>1</v>
      </c>
      <c r="AG27" s="6" t="n">
        <v>1</v>
      </c>
      <c r="AH27" s="6" t="n">
        <v>1</v>
      </c>
      <c r="AI27" s="6" t="n">
        <v>1</v>
      </c>
    </row>
    <row r="28" customFormat="false" ht="15" hidden="false" customHeight="true" outlineLevel="0" collapsed="false">
      <c r="A28" s="8" t="s">
        <v>1427</v>
      </c>
      <c r="B28" s="6" t="n">
        <v>1</v>
      </c>
      <c r="C28" s="6" t="n">
        <v>1</v>
      </c>
      <c r="D28" s="6" t="n">
        <v>1</v>
      </c>
      <c r="E28" s="6" t="n">
        <v>1</v>
      </c>
      <c r="F28" s="6" t="n">
        <v>1</v>
      </c>
      <c r="G28" s="6" t="n">
        <v>1</v>
      </c>
      <c r="H28" s="6" t="n">
        <v>1</v>
      </c>
      <c r="I28" s="6" t="n">
        <v>1</v>
      </c>
      <c r="J28" s="6" t="n">
        <v>1</v>
      </c>
      <c r="K28" s="6" t="n">
        <v>1</v>
      </c>
      <c r="L28" s="6" t="n">
        <v>1</v>
      </c>
      <c r="M28" s="6" t="n">
        <v>1</v>
      </c>
      <c r="N28" s="6" t="n">
        <v>1</v>
      </c>
      <c r="O28" s="6" t="n">
        <v>1</v>
      </c>
      <c r="P28" s="6" t="n">
        <v>1</v>
      </c>
      <c r="Q28" s="6" t="n">
        <v>1</v>
      </c>
      <c r="R28" s="6" t="n">
        <v>1</v>
      </c>
      <c r="S28" s="6" t="n">
        <v>1</v>
      </c>
      <c r="T28" s="6" t="n">
        <v>1</v>
      </c>
      <c r="U28" s="6" t="n">
        <v>1</v>
      </c>
      <c r="V28" s="6" t="n">
        <v>1</v>
      </c>
      <c r="W28" s="6" t="n">
        <v>1</v>
      </c>
      <c r="X28" s="6" t="n">
        <v>1</v>
      </c>
      <c r="Y28" s="6" t="n">
        <v>1</v>
      </c>
      <c r="Z28" s="6" t="n">
        <v>1</v>
      </c>
      <c r="AA28" s="9" t="n">
        <v>1.9</v>
      </c>
      <c r="AB28" s="6" t="n">
        <v>1</v>
      </c>
      <c r="AC28" s="6" t="n">
        <v>1</v>
      </c>
      <c r="AD28" s="6" t="n">
        <v>1</v>
      </c>
      <c r="AE28" s="6" t="n">
        <v>1</v>
      </c>
      <c r="AF28" s="6" t="n">
        <v>1</v>
      </c>
      <c r="AG28" s="6" t="n">
        <v>1</v>
      </c>
      <c r="AH28" s="6" t="n">
        <v>1</v>
      </c>
      <c r="AI28" s="9" t="n">
        <v>1.4</v>
      </c>
    </row>
    <row r="29" customFormat="false" ht="15" hidden="false" customHeight="true" outlineLevel="0" collapsed="false">
      <c r="A29" s="8" t="s">
        <v>1459</v>
      </c>
      <c r="B29" s="6" t="n">
        <v>1</v>
      </c>
      <c r="C29" s="6" t="n">
        <v>1</v>
      </c>
      <c r="D29" s="6" t="n">
        <v>1</v>
      </c>
      <c r="E29" s="6" t="n">
        <v>1</v>
      </c>
      <c r="F29" s="6" t="n">
        <v>1</v>
      </c>
      <c r="G29" s="6" t="n">
        <v>1</v>
      </c>
      <c r="H29" s="6" t="n">
        <v>1</v>
      </c>
      <c r="I29" s="6" t="n">
        <v>1</v>
      </c>
      <c r="J29" s="6" t="n">
        <v>1</v>
      </c>
      <c r="K29" s="6" t="n">
        <v>1</v>
      </c>
      <c r="L29" s="6" t="n">
        <v>1</v>
      </c>
      <c r="M29" s="6" t="n">
        <v>1</v>
      </c>
      <c r="N29" s="6" t="n">
        <v>1</v>
      </c>
      <c r="O29" s="6" t="n">
        <v>1</v>
      </c>
      <c r="P29" s="6" t="n">
        <v>1</v>
      </c>
      <c r="Q29" s="6" t="n">
        <v>1</v>
      </c>
      <c r="R29" s="6" t="n">
        <v>1</v>
      </c>
      <c r="S29" s="6" t="n">
        <v>1</v>
      </c>
      <c r="T29" s="6" t="n">
        <v>1</v>
      </c>
      <c r="U29" s="6" t="n">
        <v>1</v>
      </c>
      <c r="V29" s="6" t="n">
        <v>1</v>
      </c>
      <c r="W29" s="6" t="n">
        <v>1</v>
      </c>
      <c r="X29" s="9" t="n">
        <v>1.7</v>
      </c>
      <c r="Y29" s="6" t="n">
        <v>1</v>
      </c>
      <c r="Z29" s="6" t="n">
        <v>1</v>
      </c>
      <c r="AA29" s="6" t="n">
        <v>1</v>
      </c>
      <c r="AB29" s="6" t="n">
        <v>1</v>
      </c>
      <c r="AC29" s="6" t="n">
        <v>1</v>
      </c>
      <c r="AD29" s="6" t="n">
        <v>1</v>
      </c>
      <c r="AE29" s="9" t="n">
        <v>1.5</v>
      </c>
      <c r="AF29" s="6" t="n">
        <v>1</v>
      </c>
      <c r="AG29" s="6" t="n">
        <v>1</v>
      </c>
      <c r="AH29" s="6" t="n">
        <v>1</v>
      </c>
      <c r="AI29" s="6" t="n">
        <v>1</v>
      </c>
    </row>
    <row r="30" customFormat="false" ht="15" hidden="false" customHeight="true" outlineLevel="0" collapsed="false">
      <c r="A30" s="8" t="s">
        <v>1454</v>
      </c>
      <c r="B30" s="6" t="n">
        <v>1</v>
      </c>
      <c r="C30" s="6" t="n">
        <v>1</v>
      </c>
      <c r="D30" s="6" t="n">
        <v>1</v>
      </c>
      <c r="E30" s="6" t="n">
        <v>1</v>
      </c>
      <c r="F30" s="6" t="n">
        <v>1</v>
      </c>
      <c r="G30" s="6" t="n">
        <v>1</v>
      </c>
      <c r="H30" s="6" t="n">
        <v>1</v>
      </c>
      <c r="I30" s="6" t="n">
        <v>1</v>
      </c>
      <c r="J30" s="9" t="n">
        <v>0.7</v>
      </c>
      <c r="K30" s="6" t="n">
        <v>1</v>
      </c>
      <c r="L30" s="6" t="n">
        <v>1</v>
      </c>
      <c r="M30" s="6" t="n">
        <v>1</v>
      </c>
      <c r="N30" s="6" t="n">
        <v>1</v>
      </c>
      <c r="O30" s="6" t="n">
        <v>1</v>
      </c>
      <c r="P30" s="6" t="n">
        <v>1</v>
      </c>
      <c r="Q30" s="6" t="n">
        <v>1</v>
      </c>
      <c r="R30" s="6" t="n">
        <v>1</v>
      </c>
      <c r="S30" s="6" t="n">
        <v>1</v>
      </c>
      <c r="T30" s="6" t="n">
        <v>1</v>
      </c>
      <c r="U30" s="6" t="n">
        <v>1</v>
      </c>
      <c r="V30" s="6" t="n">
        <v>1</v>
      </c>
      <c r="W30" s="6" t="n">
        <v>1</v>
      </c>
      <c r="X30" s="6" t="n">
        <v>1</v>
      </c>
      <c r="Y30" s="6" t="n">
        <v>1</v>
      </c>
      <c r="Z30" s="6" t="n">
        <v>1</v>
      </c>
      <c r="AA30" s="6" t="n">
        <v>1</v>
      </c>
      <c r="AB30" s="6" t="n">
        <v>1</v>
      </c>
      <c r="AC30" s="6" t="n">
        <v>1</v>
      </c>
      <c r="AD30" s="6" t="n">
        <v>1</v>
      </c>
      <c r="AE30" s="6" t="n">
        <v>1</v>
      </c>
      <c r="AF30" s="6" t="n">
        <v>1</v>
      </c>
      <c r="AG30" s="6" t="n">
        <v>1</v>
      </c>
      <c r="AH30" s="6" t="n">
        <v>1</v>
      </c>
      <c r="AI30" s="6" t="n">
        <v>1</v>
      </c>
    </row>
    <row r="31" customFormat="false" ht="15" hidden="false" customHeight="true" outlineLevel="0" collapsed="false">
      <c r="A31" s="8" t="s">
        <v>1468</v>
      </c>
      <c r="B31" s="6" t="n">
        <v>1</v>
      </c>
      <c r="C31" s="6" t="n">
        <v>1</v>
      </c>
      <c r="D31" s="6" t="n">
        <v>1</v>
      </c>
      <c r="E31" s="6" t="n">
        <v>1</v>
      </c>
      <c r="F31" s="6" t="n">
        <v>1</v>
      </c>
      <c r="G31" s="6" t="n">
        <v>1</v>
      </c>
      <c r="H31" s="6" t="n">
        <v>1</v>
      </c>
      <c r="I31" s="6" t="n">
        <v>1</v>
      </c>
      <c r="J31" s="6" t="n">
        <v>1</v>
      </c>
      <c r="K31" s="6" t="n">
        <v>1</v>
      </c>
      <c r="L31" s="6" t="n">
        <v>1</v>
      </c>
      <c r="M31" s="6" t="n">
        <v>1</v>
      </c>
      <c r="N31" s="6" t="n">
        <v>1</v>
      </c>
      <c r="O31" s="6" t="n">
        <v>1</v>
      </c>
      <c r="P31" s="6" t="n">
        <v>1</v>
      </c>
      <c r="Q31" s="6" t="n">
        <v>1</v>
      </c>
      <c r="R31" s="6" t="n">
        <v>1</v>
      </c>
      <c r="S31" s="6" t="n">
        <v>1</v>
      </c>
      <c r="T31" s="6" t="n">
        <v>1</v>
      </c>
      <c r="U31" s="6" t="n">
        <v>1</v>
      </c>
      <c r="V31" s="6" t="n">
        <v>1</v>
      </c>
      <c r="W31" s="6" t="n">
        <v>1</v>
      </c>
      <c r="X31" s="6" t="n">
        <v>1</v>
      </c>
      <c r="Y31" s="9" t="n">
        <v>1.5</v>
      </c>
      <c r="Z31" s="6" t="n">
        <v>1</v>
      </c>
      <c r="AA31" s="6" t="n">
        <v>1</v>
      </c>
      <c r="AB31" s="6" t="n">
        <v>1</v>
      </c>
      <c r="AC31" s="6" t="n">
        <v>1</v>
      </c>
      <c r="AD31" s="6" t="n">
        <v>1</v>
      </c>
      <c r="AE31" s="6" t="n">
        <v>1</v>
      </c>
      <c r="AF31" s="6" t="n">
        <v>1</v>
      </c>
      <c r="AG31" s="6" t="n">
        <v>1</v>
      </c>
      <c r="AH31" s="6" t="n">
        <v>1</v>
      </c>
      <c r="AI31" s="6" t="n">
        <v>1</v>
      </c>
    </row>
    <row r="32" customFormat="false" ht="15" hidden="false" customHeight="true" outlineLevel="0" collapsed="false">
      <c r="A32" s="8" t="s">
        <v>1514</v>
      </c>
      <c r="B32" s="6" t="n">
        <v>1</v>
      </c>
      <c r="C32" s="6" t="n">
        <v>1</v>
      </c>
      <c r="D32" s="6" t="n">
        <v>1</v>
      </c>
      <c r="E32" s="6" t="n">
        <v>1</v>
      </c>
      <c r="F32" s="6" t="n">
        <v>1</v>
      </c>
      <c r="G32" s="6" t="n">
        <v>1</v>
      </c>
      <c r="H32" s="6" t="n">
        <v>1</v>
      </c>
      <c r="I32" s="9" t="n">
        <v>1.3</v>
      </c>
      <c r="J32" s="6" t="n">
        <v>1</v>
      </c>
      <c r="K32" s="6" t="n">
        <v>1</v>
      </c>
      <c r="L32" s="6" t="n">
        <v>1</v>
      </c>
      <c r="M32" s="6" t="n">
        <v>1</v>
      </c>
      <c r="N32" s="6" t="n">
        <v>1</v>
      </c>
      <c r="O32" s="6" t="n">
        <v>1</v>
      </c>
      <c r="P32" s="6" t="n">
        <v>1</v>
      </c>
      <c r="Q32" s="6" t="n">
        <v>1</v>
      </c>
      <c r="R32" s="6" t="n">
        <v>1</v>
      </c>
      <c r="S32" s="6" t="n">
        <v>1</v>
      </c>
      <c r="T32" s="6" t="n">
        <v>1</v>
      </c>
      <c r="U32" s="6" t="n">
        <v>1</v>
      </c>
      <c r="V32" s="6" t="n">
        <v>1</v>
      </c>
      <c r="W32" s="6" t="n">
        <v>1</v>
      </c>
      <c r="X32" s="6" t="n">
        <v>1</v>
      </c>
      <c r="Y32" s="6" t="n">
        <v>1</v>
      </c>
      <c r="Z32" s="6" t="n">
        <v>1</v>
      </c>
      <c r="AA32" s="6" t="n">
        <v>1</v>
      </c>
      <c r="AB32" s="6" t="n">
        <v>1</v>
      </c>
      <c r="AC32" s="6" t="n">
        <v>1</v>
      </c>
      <c r="AD32" s="6" t="n">
        <v>1</v>
      </c>
      <c r="AE32" s="6" t="n">
        <v>1</v>
      </c>
      <c r="AF32" s="6" t="n">
        <v>1</v>
      </c>
      <c r="AG32" s="6" t="n">
        <v>1</v>
      </c>
      <c r="AH32" s="6" t="n">
        <v>1</v>
      </c>
      <c r="AI32" s="6" t="n">
        <v>1</v>
      </c>
    </row>
    <row r="33" customFormat="false" ht="15" hidden="false" customHeight="true" outlineLevel="0" collapsed="false">
      <c r="A33" s="8" t="s">
        <v>1491</v>
      </c>
      <c r="B33" s="6" t="n">
        <v>1</v>
      </c>
      <c r="C33" s="6" t="n">
        <v>1</v>
      </c>
      <c r="D33" s="6" t="n">
        <v>1</v>
      </c>
      <c r="E33" s="6" t="n">
        <v>1</v>
      </c>
      <c r="F33" s="6" t="n">
        <v>1</v>
      </c>
      <c r="G33" s="6" t="n">
        <v>1</v>
      </c>
      <c r="H33" s="6" t="n">
        <v>1</v>
      </c>
      <c r="I33" s="6" t="n">
        <v>1</v>
      </c>
      <c r="J33" s="6" t="n">
        <v>1</v>
      </c>
      <c r="K33" s="6" t="n">
        <v>1</v>
      </c>
      <c r="L33" s="6" t="n">
        <v>1</v>
      </c>
      <c r="M33" s="6" t="n">
        <v>1</v>
      </c>
      <c r="N33" s="6" t="n">
        <v>1</v>
      </c>
      <c r="O33" s="6" t="n">
        <v>1</v>
      </c>
      <c r="P33" s="6" t="n">
        <v>1</v>
      </c>
      <c r="Q33" s="6" t="n">
        <v>1</v>
      </c>
      <c r="R33" s="6" t="n">
        <v>1</v>
      </c>
      <c r="S33" s="6" t="n">
        <v>1</v>
      </c>
      <c r="T33" s="6" t="n">
        <v>1</v>
      </c>
      <c r="U33" s="6" t="n">
        <v>1</v>
      </c>
      <c r="V33" s="6" t="n">
        <v>1</v>
      </c>
      <c r="W33" s="6" t="n">
        <v>1</v>
      </c>
      <c r="X33" s="6" t="n">
        <v>1</v>
      </c>
      <c r="Y33" s="6" t="n">
        <v>1</v>
      </c>
      <c r="Z33" s="6" t="n">
        <v>1</v>
      </c>
      <c r="AA33" s="6" t="n">
        <v>1</v>
      </c>
      <c r="AB33" s="6" t="n">
        <v>1</v>
      </c>
      <c r="AC33" s="6" t="n">
        <v>1</v>
      </c>
      <c r="AD33" s="9" t="n">
        <v>2.2</v>
      </c>
      <c r="AE33" s="6" t="n">
        <v>1</v>
      </c>
      <c r="AF33" s="6" t="n">
        <v>1</v>
      </c>
      <c r="AG33" s="6" t="n">
        <v>1</v>
      </c>
      <c r="AH33" s="6" t="n">
        <v>1</v>
      </c>
      <c r="AI33" s="6" t="n">
        <v>1</v>
      </c>
    </row>
    <row r="34" customFormat="false" ht="15" hidden="false" customHeight="true" outlineLevel="0" collapsed="false">
      <c r="A34" s="8" t="s">
        <v>1320</v>
      </c>
      <c r="B34" s="9" t="n">
        <v>0.3</v>
      </c>
      <c r="C34" s="9" t="n">
        <v>0.3</v>
      </c>
      <c r="D34" s="9" t="n">
        <v>0.3</v>
      </c>
      <c r="E34" s="9" t="n">
        <v>0.3</v>
      </c>
      <c r="F34" s="9" t="n">
        <v>0.3</v>
      </c>
      <c r="G34" s="9" t="n">
        <v>0.3</v>
      </c>
      <c r="H34" s="9" t="n">
        <v>0.3</v>
      </c>
      <c r="I34" s="9" t="n">
        <v>0.3</v>
      </c>
      <c r="J34" s="9" t="n">
        <v>0.3</v>
      </c>
      <c r="K34" s="9" t="n">
        <v>0.3</v>
      </c>
      <c r="L34" s="9" t="n">
        <v>0.3</v>
      </c>
      <c r="M34" s="9" t="n">
        <v>0.3</v>
      </c>
      <c r="N34" s="9" t="n">
        <v>0.3</v>
      </c>
      <c r="O34" s="9" t="n">
        <v>0.3</v>
      </c>
      <c r="P34" s="9" t="n">
        <v>0.3</v>
      </c>
      <c r="Q34" s="9" t="n">
        <v>0.3</v>
      </c>
      <c r="R34" s="9" t="n">
        <v>0.3</v>
      </c>
      <c r="S34" s="9" t="n">
        <v>0.3</v>
      </c>
      <c r="T34" s="9" t="n">
        <v>0.3</v>
      </c>
      <c r="U34" s="9" t="n">
        <v>0.3</v>
      </c>
      <c r="V34" s="9" t="n">
        <v>0.3</v>
      </c>
      <c r="W34" s="9" t="n">
        <v>0.3</v>
      </c>
      <c r="X34" s="9" t="n">
        <v>0.3</v>
      </c>
      <c r="Y34" s="9" t="n">
        <v>0.3</v>
      </c>
      <c r="Z34" s="9" t="n">
        <v>0.3</v>
      </c>
      <c r="AA34" s="9" t="n">
        <v>0.3</v>
      </c>
      <c r="AB34" s="9" t="n">
        <v>0.3</v>
      </c>
      <c r="AC34" s="9" t="n">
        <v>0.3</v>
      </c>
      <c r="AD34" s="9" t="n">
        <v>0.3</v>
      </c>
      <c r="AE34" s="9" t="n">
        <v>0.3</v>
      </c>
      <c r="AF34" s="9" t="n">
        <v>0.3</v>
      </c>
      <c r="AG34" s="9" t="n">
        <v>0.3</v>
      </c>
      <c r="AH34" s="9" t="n">
        <v>0.3</v>
      </c>
      <c r="AI34" s="9" t="n">
        <v>0.3</v>
      </c>
    </row>
    <row r="35" customFormat="false" ht="15" hidden="false" customHeight="true" outlineLevel="0" collapsed="false">
      <c r="A35" s="8" t="s">
        <v>1292</v>
      </c>
      <c r="B35" s="9" t="n">
        <v>1.3</v>
      </c>
      <c r="C35" s="6" t="n">
        <v>1</v>
      </c>
      <c r="D35" s="6" t="n">
        <v>1</v>
      </c>
      <c r="E35" s="6" t="n">
        <v>1</v>
      </c>
      <c r="F35" s="6" t="n">
        <v>1</v>
      </c>
      <c r="G35" s="6" t="n">
        <v>1</v>
      </c>
      <c r="H35" s="6" t="n">
        <v>1</v>
      </c>
      <c r="I35" s="6" t="n">
        <v>1</v>
      </c>
      <c r="J35" s="6" t="n">
        <v>1</v>
      </c>
      <c r="K35" s="6" t="n">
        <v>1</v>
      </c>
      <c r="L35" s="6" t="n">
        <v>1</v>
      </c>
      <c r="M35" s="6" t="n">
        <v>1</v>
      </c>
      <c r="N35" s="6" t="n">
        <v>1</v>
      </c>
      <c r="O35" s="6" t="n">
        <v>1</v>
      </c>
      <c r="P35" s="6" t="n">
        <v>1</v>
      </c>
      <c r="Q35" s="6" t="n">
        <v>1</v>
      </c>
      <c r="R35" s="6" t="n">
        <v>1</v>
      </c>
      <c r="S35" s="6" t="n">
        <v>1</v>
      </c>
      <c r="T35" s="6" t="n">
        <v>1</v>
      </c>
      <c r="U35" s="6" t="n">
        <v>1</v>
      </c>
      <c r="V35" s="6" t="n">
        <v>1</v>
      </c>
      <c r="W35" s="6" t="n">
        <v>1</v>
      </c>
      <c r="X35" s="6" t="n">
        <v>1</v>
      </c>
      <c r="Y35" s="6" t="n">
        <v>1</v>
      </c>
      <c r="Z35" s="6" t="n">
        <v>1</v>
      </c>
      <c r="AA35" s="6" t="n">
        <v>1</v>
      </c>
      <c r="AB35" s="6" t="n">
        <v>1</v>
      </c>
      <c r="AC35" s="6" t="n">
        <v>1</v>
      </c>
      <c r="AD35" s="6" t="n">
        <v>1</v>
      </c>
      <c r="AE35" s="6" t="n">
        <v>1</v>
      </c>
      <c r="AF35" s="6" t="n">
        <v>1</v>
      </c>
      <c r="AG35" s="6" t="n">
        <v>1</v>
      </c>
      <c r="AH35" s="6" t="n">
        <v>1</v>
      </c>
      <c r="AI35" s="6" t="n">
        <v>1</v>
      </c>
    </row>
    <row r="37" customFormat="false" ht="15" hidden="false" customHeight="true" outlineLevel="0" collapsed="false">
      <c r="A37" s="7" t="s">
        <v>3713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
    <col collapsed="false" customWidth="true" hidden="false" outlineLevel="0" max="3" min="3" style="1" width="12"/>
    <col collapsed="false" customWidth="true" hidden="false" outlineLevel="0" max="4" min="4" style="1" width="10"/>
    <col collapsed="false" customWidth="true" hidden="false" outlineLevel="0" max="5" min="5" style="1" width="8"/>
    <col collapsed="false" customWidth="true" hidden="false" outlineLevel="0" max="7" min="6" style="1" width="42"/>
    <col collapsed="false" customWidth="true" hidden="false" outlineLevel="0" max="8" min="8" style="1" width="40"/>
  </cols>
  <sheetData>
    <row r="1" customFormat="false" ht="15" hidden="false" customHeight="true" outlineLevel="0" collapsed="false">
      <c r="A1" s="5" t="s">
        <v>3714</v>
      </c>
      <c r="B1" s="5" t="s">
        <v>246</v>
      </c>
      <c r="C1" s="5" t="s">
        <v>3715</v>
      </c>
      <c r="D1" s="5" t="s">
        <v>255</v>
      </c>
      <c r="E1" s="5" t="s">
        <v>256</v>
      </c>
      <c r="F1" s="5" t="s">
        <v>3716</v>
      </c>
      <c r="G1" s="5" t="s">
        <v>3717</v>
      </c>
      <c r="H1" s="5" t="s">
        <v>3718</v>
      </c>
    </row>
    <row r="2" customFormat="false" ht="15" hidden="false" customHeight="true" outlineLevel="0" collapsed="false">
      <c r="A2" s="6" t="s">
        <v>3719</v>
      </c>
      <c r="B2" s="6" t="n">
        <v>1</v>
      </c>
      <c r="C2" s="6" t="s">
        <v>3720</v>
      </c>
      <c r="D2" s="6" t="s">
        <v>261</v>
      </c>
      <c r="E2" s="6" t="s">
        <v>262</v>
      </c>
      <c r="F2" s="6" t="s">
        <v>3721</v>
      </c>
      <c r="G2" s="6" t="s">
        <v>3722</v>
      </c>
      <c r="H2" s="6" t="s">
        <v>86</v>
      </c>
    </row>
    <row r="3" customFormat="false" ht="15" hidden="false" customHeight="true" outlineLevel="0" collapsed="false">
      <c r="A3" s="6" t="s">
        <v>3723</v>
      </c>
      <c r="B3" s="6" t="n">
        <v>1</v>
      </c>
      <c r="C3" s="6" t="s">
        <v>312</v>
      </c>
      <c r="D3" s="6" t="s">
        <v>261</v>
      </c>
      <c r="E3" s="6" t="s">
        <v>262</v>
      </c>
      <c r="F3" s="6" t="s">
        <v>3724</v>
      </c>
      <c r="G3" s="6" t="s">
        <v>3722</v>
      </c>
      <c r="H3" s="6" t="s">
        <v>86</v>
      </c>
    </row>
    <row r="4" customFormat="false" ht="15" hidden="false" customHeight="true" outlineLevel="0" collapsed="false">
      <c r="A4" s="6" t="s">
        <v>3725</v>
      </c>
      <c r="B4" s="6" t="n">
        <v>1</v>
      </c>
      <c r="C4" s="6" t="s">
        <v>3726</v>
      </c>
      <c r="D4" s="6" t="s">
        <v>261</v>
      </c>
      <c r="E4" s="6" t="s">
        <v>262</v>
      </c>
      <c r="F4" s="6" t="s">
        <v>3727</v>
      </c>
      <c r="G4" s="6" t="s">
        <v>3722</v>
      </c>
      <c r="H4" s="6" t="s">
        <v>86</v>
      </c>
    </row>
    <row r="5" customFormat="false" ht="15" hidden="false" customHeight="true" outlineLevel="0" collapsed="false">
      <c r="A5" s="6" t="s">
        <v>3728</v>
      </c>
      <c r="B5" s="6" t="n">
        <v>2</v>
      </c>
      <c r="C5" s="6" t="s">
        <v>3720</v>
      </c>
      <c r="D5" s="6" t="s">
        <v>261</v>
      </c>
      <c r="E5" s="6" t="s">
        <v>262</v>
      </c>
      <c r="F5" s="6" t="s">
        <v>3721</v>
      </c>
      <c r="G5" s="6" t="s">
        <v>3722</v>
      </c>
      <c r="H5" s="6" t="s">
        <v>3729</v>
      </c>
    </row>
    <row r="6" customFormat="false" ht="15" hidden="false" customHeight="true" outlineLevel="0" collapsed="false">
      <c r="A6" s="6" t="s">
        <v>3730</v>
      </c>
      <c r="B6" s="6" t="n">
        <v>2</v>
      </c>
      <c r="C6" s="6" t="s">
        <v>312</v>
      </c>
      <c r="D6" s="6" t="s">
        <v>261</v>
      </c>
      <c r="E6" s="6" t="s">
        <v>262</v>
      </c>
      <c r="F6" s="6" t="s">
        <v>3724</v>
      </c>
      <c r="G6" s="6" t="s">
        <v>3722</v>
      </c>
      <c r="H6" s="6" t="s">
        <v>3729</v>
      </c>
    </row>
    <row r="7" customFormat="false" ht="15" hidden="false" customHeight="true" outlineLevel="0" collapsed="false">
      <c r="A7" s="6" t="s">
        <v>3731</v>
      </c>
      <c r="B7" s="6" t="n">
        <v>2</v>
      </c>
      <c r="C7" s="6" t="s">
        <v>3726</v>
      </c>
      <c r="D7" s="6" t="s">
        <v>261</v>
      </c>
      <c r="E7" s="6" t="s">
        <v>262</v>
      </c>
      <c r="F7" s="6" t="s">
        <v>3727</v>
      </c>
      <c r="G7" s="6" t="s">
        <v>3722</v>
      </c>
      <c r="H7" s="6" t="s">
        <v>3729</v>
      </c>
    </row>
    <row r="8" customFormat="false" ht="15" hidden="false" customHeight="true" outlineLevel="0" collapsed="false">
      <c r="A8" s="6" t="s">
        <v>3732</v>
      </c>
      <c r="B8" s="6" t="n">
        <v>3</v>
      </c>
      <c r="C8" s="6" t="s">
        <v>3720</v>
      </c>
      <c r="D8" s="6" t="s">
        <v>261</v>
      </c>
      <c r="E8" s="6" t="s">
        <v>262</v>
      </c>
      <c r="F8" s="6" t="s">
        <v>3721</v>
      </c>
      <c r="G8" s="6" t="s">
        <v>3722</v>
      </c>
      <c r="H8" s="6" t="s">
        <v>3733</v>
      </c>
    </row>
    <row r="9" customFormat="false" ht="15" hidden="false" customHeight="true" outlineLevel="0" collapsed="false">
      <c r="A9" s="6" t="s">
        <v>3734</v>
      </c>
      <c r="B9" s="6" t="n">
        <v>3</v>
      </c>
      <c r="C9" s="6" t="s">
        <v>312</v>
      </c>
      <c r="D9" s="6" t="s">
        <v>261</v>
      </c>
      <c r="E9" s="6" t="s">
        <v>262</v>
      </c>
      <c r="F9" s="6" t="s">
        <v>3724</v>
      </c>
      <c r="G9" s="6" t="s">
        <v>3722</v>
      </c>
      <c r="H9" s="6" t="s">
        <v>3733</v>
      </c>
    </row>
    <row r="10" customFormat="false" ht="15" hidden="false" customHeight="true" outlineLevel="0" collapsed="false">
      <c r="A10" s="6" t="s">
        <v>3735</v>
      </c>
      <c r="B10" s="6" t="n">
        <v>3</v>
      </c>
      <c r="C10" s="6" t="s">
        <v>3726</v>
      </c>
      <c r="D10" s="6" t="s">
        <v>261</v>
      </c>
      <c r="E10" s="6" t="s">
        <v>262</v>
      </c>
      <c r="F10" s="6" t="s">
        <v>3727</v>
      </c>
      <c r="G10" s="6" t="s">
        <v>3722</v>
      </c>
      <c r="H10" s="6" t="s">
        <v>3733</v>
      </c>
    </row>
    <row r="11" customFormat="false" ht="15" hidden="false" customHeight="true" outlineLevel="0" collapsed="false">
      <c r="A11" s="6" t="s">
        <v>3736</v>
      </c>
      <c r="B11" s="6" t="n">
        <v>4</v>
      </c>
      <c r="C11" s="6" t="s">
        <v>3720</v>
      </c>
      <c r="D11" s="6" t="s">
        <v>261</v>
      </c>
      <c r="E11" s="6" t="s">
        <v>262</v>
      </c>
      <c r="F11" s="6" t="s">
        <v>3721</v>
      </c>
      <c r="G11" s="6" t="s">
        <v>3722</v>
      </c>
      <c r="H11" s="6" t="s">
        <v>3737</v>
      </c>
    </row>
    <row r="12" customFormat="false" ht="15" hidden="false" customHeight="true" outlineLevel="0" collapsed="false">
      <c r="A12" s="6" t="s">
        <v>3738</v>
      </c>
      <c r="B12" s="6" t="n">
        <v>4</v>
      </c>
      <c r="C12" s="6" t="s">
        <v>312</v>
      </c>
      <c r="D12" s="6" t="s">
        <v>261</v>
      </c>
      <c r="E12" s="6" t="s">
        <v>262</v>
      </c>
      <c r="F12" s="6" t="s">
        <v>3724</v>
      </c>
      <c r="G12" s="6" t="s">
        <v>3722</v>
      </c>
      <c r="H12" s="6" t="s">
        <v>3737</v>
      </c>
    </row>
    <row r="13" customFormat="false" ht="15" hidden="false" customHeight="true" outlineLevel="0" collapsed="false">
      <c r="A13" s="6" t="s">
        <v>3739</v>
      </c>
      <c r="B13" s="6" t="n">
        <v>4</v>
      </c>
      <c r="C13" s="6" t="s">
        <v>3726</v>
      </c>
      <c r="D13" s="6" t="s">
        <v>261</v>
      </c>
      <c r="E13" s="6" t="s">
        <v>262</v>
      </c>
      <c r="F13" s="6" t="s">
        <v>3727</v>
      </c>
      <c r="G13" s="6" t="s">
        <v>3722</v>
      </c>
      <c r="H13" s="6" t="s">
        <v>3737</v>
      </c>
    </row>
    <row r="14" customFormat="false" ht="15" hidden="false" customHeight="true" outlineLevel="0" collapsed="false">
      <c r="A14" s="6" t="s">
        <v>3740</v>
      </c>
      <c r="B14" s="6" t="n">
        <v>5</v>
      </c>
      <c r="C14" s="6" t="s">
        <v>3720</v>
      </c>
      <c r="D14" s="6" t="s">
        <v>261</v>
      </c>
      <c r="E14" s="6" t="s">
        <v>262</v>
      </c>
      <c r="F14" s="6" t="s">
        <v>3721</v>
      </c>
      <c r="G14" s="6" t="s">
        <v>3722</v>
      </c>
      <c r="H14" s="6" t="s">
        <v>3741</v>
      </c>
    </row>
    <row r="15" customFormat="false" ht="15" hidden="false" customHeight="true" outlineLevel="0" collapsed="false">
      <c r="A15" s="6" t="s">
        <v>3742</v>
      </c>
      <c r="B15" s="6" t="n">
        <v>5</v>
      </c>
      <c r="C15" s="6" t="s">
        <v>312</v>
      </c>
      <c r="D15" s="6" t="s">
        <v>261</v>
      </c>
      <c r="E15" s="6" t="s">
        <v>262</v>
      </c>
      <c r="F15" s="6" t="s">
        <v>3724</v>
      </c>
      <c r="G15" s="6" t="s">
        <v>3722</v>
      </c>
      <c r="H15" s="6" t="s">
        <v>3741</v>
      </c>
    </row>
    <row r="16" customFormat="false" ht="15" hidden="false" customHeight="true" outlineLevel="0" collapsed="false">
      <c r="A16" s="6" t="s">
        <v>3743</v>
      </c>
      <c r="B16" s="6" t="n">
        <v>5</v>
      </c>
      <c r="C16" s="6" t="s">
        <v>3726</v>
      </c>
      <c r="D16" s="6" t="s">
        <v>261</v>
      </c>
      <c r="E16" s="6" t="s">
        <v>262</v>
      </c>
      <c r="F16" s="6" t="s">
        <v>3727</v>
      </c>
      <c r="G16" s="6" t="s">
        <v>3722</v>
      </c>
      <c r="H16" s="6" t="s">
        <v>3741</v>
      </c>
    </row>
    <row r="17" customFormat="false" ht="15" hidden="false" customHeight="true" outlineLevel="0" collapsed="false">
      <c r="A17" s="6" t="s">
        <v>3744</v>
      </c>
      <c r="B17" s="6" t="n">
        <v>6</v>
      </c>
      <c r="C17" s="6" t="s">
        <v>3720</v>
      </c>
      <c r="D17" s="6" t="s">
        <v>261</v>
      </c>
      <c r="E17" s="6" t="s">
        <v>262</v>
      </c>
      <c r="F17" s="6" t="s">
        <v>3721</v>
      </c>
      <c r="G17" s="6" t="s">
        <v>3722</v>
      </c>
      <c r="H17" s="6" t="s">
        <v>3745</v>
      </c>
    </row>
    <row r="18" customFormat="false" ht="15" hidden="false" customHeight="true" outlineLevel="0" collapsed="false">
      <c r="A18" s="6" t="s">
        <v>3746</v>
      </c>
      <c r="B18" s="6" t="n">
        <v>6</v>
      </c>
      <c r="C18" s="6" t="s">
        <v>312</v>
      </c>
      <c r="D18" s="6" t="s">
        <v>261</v>
      </c>
      <c r="E18" s="6" t="s">
        <v>262</v>
      </c>
      <c r="F18" s="6" t="s">
        <v>3724</v>
      </c>
      <c r="G18" s="6" t="s">
        <v>3722</v>
      </c>
      <c r="H18" s="6" t="s">
        <v>3745</v>
      </c>
    </row>
    <row r="19" customFormat="false" ht="15" hidden="false" customHeight="true" outlineLevel="0" collapsed="false">
      <c r="A19" s="6" t="s">
        <v>3747</v>
      </c>
      <c r="B19" s="6" t="n">
        <v>6</v>
      </c>
      <c r="C19" s="6" t="s">
        <v>3726</v>
      </c>
      <c r="D19" s="6" t="s">
        <v>261</v>
      </c>
      <c r="E19" s="6" t="s">
        <v>262</v>
      </c>
      <c r="F19" s="6" t="s">
        <v>3727</v>
      </c>
      <c r="G19" s="6" t="s">
        <v>3722</v>
      </c>
      <c r="H19" s="6" t="s">
        <v>3745</v>
      </c>
    </row>
    <row r="20" customFormat="false" ht="15" hidden="false" customHeight="true" outlineLevel="0" collapsed="false">
      <c r="A20" s="6" t="s">
        <v>3748</v>
      </c>
      <c r="B20" s="6" t="n">
        <v>7</v>
      </c>
      <c r="C20" s="6" t="s">
        <v>3720</v>
      </c>
      <c r="D20" s="6" t="s">
        <v>261</v>
      </c>
      <c r="E20" s="6" t="s">
        <v>262</v>
      </c>
      <c r="F20" s="6" t="s">
        <v>3721</v>
      </c>
      <c r="G20" s="6" t="s">
        <v>3722</v>
      </c>
      <c r="H20" s="6" t="s">
        <v>3749</v>
      </c>
    </row>
    <row r="21" customFormat="false" ht="15" hidden="false" customHeight="true" outlineLevel="0" collapsed="false">
      <c r="A21" s="6" t="s">
        <v>3750</v>
      </c>
      <c r="B21" s="6" t="n">
        <v>7</v>
      </c>
      <c r="C21" s="6" t="s">
        <v>312</v>
      </c>
      <c r="D21" s="6" t="s">
        <v>261</v>
      </c>
      <c r="E21" s="6" t="s">
        <v>262</v>
      </c>
      <c r="F21" s="6" t="s">
        <v>3724</v>
      </c>
      <c r="G21" s="6" t="s">
        <v>3722</v>
      </c>
      <c r="H21" s="6" t="s">
        <v>3749</v>
      </c>
    </row>
    <row r="22" customFormat="false" ht="15" hidden="false" customHeight="true" outlineLevel="0" collapsed="false">
      <c r="A22" s="6" t="s">
        <v>3751</v>
      </c>
      <c r="B22" s="6" t="n">
        <v>7</v>
      </c>
      <c r="C22" s="6" t="s">
        <v>3726</v>
      </c>
      <c r="D22" s="6" t="s">
        <v>261</v>
      </c>
      <c r="E22" s="6" t="s">
        <v>262</v>
      </c>
      <c r="F22" s="6" t="s">
        <v>3727</v>
      </c>
      <c r="G22" s="6" t="s">
        <v>3722</v>
      </c>
      <c r="H22" s="6" t="s">
        <v>3749</v>
      </c>
    </row>
    <row r="24" customFormat="false" ht="15" hidden="false" customHeight="true" outlineLevel="0" collapsed="false">
      <c r="A24" s="7" t="s">
        <v>3752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2"/>
    <col collapsed="false" customWidth="true" hidden="false" outlineLevel="0" max="3" min="3" style="1" width="7"/>
    <col collapsed="false" customWidth="true" hidden="false" outlineLevel="0" max="4" min="4" style="1" width="12"/>
    <col collapsed="false" customWidth="true" hidden="false" outlineLevel="0" max="5" min="5" style="1" width="10"/>
    <col collapsed="false" customWidth="true" hidden="false" outlineLevel="0" max="6" min="6" style="1" width="16"/>
    <col collapsed="false" customWidth="true" hidden="false" outlineLevel="0" max="7" min="7" style="1" width="44"/>
  </cols>
  <sheetData>
    <row r="1" customFormat="false" ht="15" hidden="false" customHeight="true" outlineLevel="0" collapsed="false">
      <c r="A1" s="5" t="s">
        <v>3753</v>
      </c>
      <c r="B1" s="5" t="s">
        <v>3754</v>
      </c>
      <c r="C1" s="5" t="s">
        <v>3755</v>
      </c>
      <c r="D1" s="5" t="s">
        <v>3756</v>
      </c>
      <c r="E1" s="5" t="s">
        <v>3757</v>
      </c>
      <c r="F1" s="5" t="s">
        <v>3758</v>
      </c>
      <c r="G1" s="5" t="s">
        <v>3759</v>
      </c>
      <c r="I1" s="8" t="s">
        <v>3760</v>
      </c>
    </row>
    <row r="2" customFormat="false" ht="15" hidden="false" customHeight="true" outlineLevel="0" collapsed="false">
      <c r="A2" s="6" t="s">
        <v>3761</v>
      </c>
      <c r="B2" s="6" t="s">
        <v>3762</v>
      </c>
      <c r="C2" s="6" t="n">
        <v>1</v>
      </c>
      <c r="D2" s="6" t="s">
        <v>3763</v>
      </c>
      <c r="E2" s="6" t="n">
        <f aca="false">ROUND($J$2*(1+0.12*(C2-1))*0.7,1)</f>
        <v>4.2</v>
      </c>
      <c r="F2" s="9" t="n">
        <v>0.8</v>
      </c>
      <c r="G2" s="6" t="s">
        <v>3764</v>
      </c>
      <c r="I2" s="6" t="s">
        <v>3762</v>
      </c>
      <c r="J2" s="9" t="n">
        <v>6</v>
      </c>
    </row>
    <row r="3" customFormat="false" ht="15" hidden="false" customHeight="true" outlineLevel="0" collapsed="false">
      <c r="A3" s="6" t="s">
        <v>3765</v>
      </c>
      <c r="B3" s="6" t="s">
        <v>3762</v>
      </c>
      <c r="C3" s="6" t="n">
        <v>1</v>
      </c>
      <c r="D3" s="6" t="s">
        <v>3766</v>
      </c>
      <c r="E3" s="6" t="n">
        <f aca="false">ROUND($J$2*(1+0.12*(C3-1))*1,1)</f>
        <v>6</v>
      </c>
      <c r="F3" s="9" t="n">
        <v>1</v>
      </c>
      <c r="G3" s="6" t="s">
        <v>3764</v>
      </c>
      <c r="I3" s="6" t="s">
        <v>3767</v>
      </c>
      <c r="J3" s="9" t="n">
        <v>5</v>
      </c>
    </row>
    <row r="4" customFormat="false" ht="15" hidden="false" customHeight="true" outlineLevel="0" collapsed="false">
      <c r="A4" s="6" t="s">
        <v>3768</v>
      </c>
      <c r="B4" s="6" t="s">
        <v>3762</v>
      </c>
      <c r="C4" s="6" t="n">
        <v>1</v>
      </c>
      <c r="D4" s="6" t="s">
        <v>3769</v>
      </c>
      <c r="E4" s="6" t="n">
        <f aca="false">ROUND($J$2*(1+0.12*(C4-1))*1.25,1)</f>
        <v>7.5</v>
      </c>
      <c r="F4" s="9" t="n">
        <v>1.5</v>
      </c>
      <c r="G4" s="6" t="s">
        <v>3764</v>
      </c>
      <c r="I4" s="6" t="s">
        <v>3770</v>
      </c>
      <c r="J4" s="9" t="n">
        <v>4</v>
      </c>
    </row>
    <row r="5" customFormat="false" ht="15" hidden="false" customHeight="true" outlineLevel="0" collapsed="false">
      <c r="A5" s="6" t="s">
        <v>3771</v>
      </c>
      <c r="B5" s="6" t="s">
        <v>3762</v>
      </c>
      <c r="C5" s="6" t="n">
        <v>1</v>
      </c>
      <c r="D5" s="6" t="s">
        <v>3772</v>
      </c>
      <c r="E5" s="6" t="n">
        <f aca="false">ROUND($J$2*(1+0.12*(C5-1))*1.6,1)</f>
        <v>9.6</v>
      </c>
      <c r="F5" s="9" t="n">
        <v>2.6</v>
      </c>
      <c r="G5" s="6" t="s">
        <v>3764</v>
      </c>
    </row>
    <row r="6" customFormat="false" ht="15" hidden="false" customHeight="true" outlineLevel="0" collapsed="false">
      <c r="A6" s="6" t="s">
        <v>3773</v>
      </c>
      <c r="B6" s="6" t="s">
        <v>3762</v>
      </c>
      <c r="C6" s="6" t="n">
        <v>1</v>
      </c>
      <c r="D6" s="6" t="s">
        <v>3774</v>
      </c>
      <c r="E6" s="6" t="n">
        <f aca="false">ROUND($J$2*(1+0.12*(C6-1))*2.2,1)</f>
        <v>13.2</v>
      </c>
      <c r="F6" s="6" t="s">
        <v>3775</v>
      </c>
      <c r="G6" s="6" t="s">
        <v>3776</v>
      </c>
      <c r="I6" s="7" t="s">
        <v>3777</v>
      </c>
    </row>
    <row r="7" customFormat="false" ht="15" hidden="false" customHeight="true" outlineLevel="0" collapsed="false">
      <c r="A7" s="6" t="s">
        <v>3778</v>
      </c>
      <c r="B7" s="6" t="s">
        <v>3762</v>
      </c>
      <c r="C7" s="6" t="n">
        <v>2</v>
      </c>
      <c r="D7" s="6" t="s">
        <v>3763</v>
      </c>
      <c r="E7" s="6" t="n">
        <f aca="false">ROUND($J$2*(1+0.12*(C7-1))*0.7,1)</f>
        <v>4.7</v>
      </c>
      <c r="F7" s="9" t="n">
        <v>0.8</v>
      </c>
      <c r="G7" s="6" t="s">
        <v>3764</v>
      </c>
    </row>
    <row r="8" customFormat="false" ht="15" hidden="false" customHeight="true" outlineLevel="0" collapsed="false">
      <c r="A8" s="6" t="s">
        <v>3779</v>
      </c>
      <c r="B8" s="6" t="s">
        <v>3762</v>
      </c>
      <c r="C8" s="6" t="n">
        <v>2</v>
      </c>
      <c r="D8" s="6" t="s">
        <v>3766</v>
      </c>
      <c r="E8" s="6" t="n">
        <f aca="false">ROUND($J$2*(1+0.12*(C8-1))*1,1)</f>
        <v>6.7</v>
      </c>
      <c r="F8" s="9" t="n">
        <v>1</v>
      </c>
      <c r="G8" s="6" t="s">
        <v>3764</v>
      </c>
    </row>
    <row r="9" customFormat="false" ht="15" hidden="false" customHeight="true" outlineLevel="0" collapsed="false">
      <c r="A9" s="6" t="s">
        <v>3780</v>
      </c>
      <c r="B9" s="6" t="s">
        <v>3762</v>
      </c>
      <c r="C9" s="6" t="n">
        <v>2</v>
      </c>
      <c r="D9" s="6" t="s">
        <v>3769</v>
      </c>
      <c r="E9" s="6" t="n">
        <f aca="false">ROUND($J$2*(1+0.12*(C9-1))*1.25,1)</f>
        <v>8.4</v>
      </c>
      <c r="F9" s="9" t="n">
        <v>1.5</v>
      </c>
      <c r="G9" s="6" t="s">
        <v>3764</v>
      </c>
    </row>
    <row r="10" customFormat="false" ht="15" hidden="false" customHeight="true" outlineLevel="0" collapsed="false">
      <c r="A10" s="6" t="s">
        <v>3781</v>
      </c>
      <c r="B10" s="6" t="s">
        <v>3762</v>
      </c>
      <c r="C10" s="6" t="n">
        <v>2</v>
      </c>
      <c r="D10" s="6" t="s">
        <v>3772</v>
      </c>
      <c r="E10" s="6" t="n">
        <f aca="false">ROUND($J$2*(1+0.12*(C10-1))*1.6,1)</f>
        <v>10.8</v>
      </c>
      <c r="F10" s="9" t="n">
        <v>2.6</v>
      </c>
      <c r="G10" s="6" t="s">
        <v>3764</v>
      </c>
    </row>
    <row r="11" customFormat="false" ht="15" hidden="false" customHeight="true" outlineLevel="0" collapsed="false">
      <c r="A11" s="6" t="s">
        <v>3782</v>
      </c>
      <c r="B11" s="6" t="s">
        <v>3762</v>
      </c>
      <c r="C11" s="6" t="n">
        <v>2</v>
      </c>
      <c r="D11" s="6" t="s">
        <v>3774</v>
      </c>
      <c r="E11" s="6" t="n">
        <f aca="false">ROUND($J$2*(1+0.12*(C11-1))*2.2,1)</f>
        <v>14.8</v>
      </c>
      <c r="F11" s="6" t="s">
        <v>3775</v>
      </c>
      <c r="G11" s="6" t="s">
        <v>3776</v>
      </c>
    </row>
    <row r="12" customFormat="false" ht="15" hidden="false" customHeight="true" outlineLevel="0" collapsed="false">
      <c r="A12" s="6" t="s">
        <v>3783</v>
      </c>
      <c r="B12" s="6" t="s">
        <v>3762</v>
      </c>
      <c r="C12" s="6" t="n">
        <v>3</v>
      </c>
      <c r="D12" s="6" t="s">
        <v>3763</v>
      </c>
      <c r="E12" s="6" t="n">
        <f aca="false">ROUND($J$2*(1+0.12*(C12-1))*0.7,1)</f>
        <v>5.2</v>
      </c>
      <c r="F12" s="9" t="n">
        <v>0.8</v>
      </c>
      <c r="G12" s="6" t="s">
        <v>3764</v>
      </c>
    </row>
    <row r="13" customFormat="false" ht="15" hidden="false" customHeight="true" outlineLevel="0" collapsed="false">
      <c r="A13" s="6" t="s">
        <v>3784</v>
      </c>
      <c r="B13" s="6" t="s">
        <v>3762</v>
      </c>
      <c r="C13" s="6" t="n">
        <v>3</v>
      </c>
      <c r="D13" s="6" t="s">
        <v>3766</v>
      </c>
      <c r="E13" s="6" t="n">
        <f aca="false">ROUND($J$2*(1+0.12*(C13-1))*1,1)</f>
        <v>7.4</v>
      </c>
      <c r="F13" s="9" t="n">
        <v>1</v>
      </c>
      <c r="G13" s="6" t="s">
        <v>3764</v>
      </c>
    </row>
    <row r="14" customFormat="false" ht="15" hidden="false" customHeight="true" outlineLevel="0" collapsed="false">
      <c r="A14" s="6" t="s">
        <v>3785</v>
      </c>
      <c r="B14" s="6" t="s">
        <v>3762</v>
      </c>
      <c r="C14" s="6" t="n">
        <v>3</v>
      </c>
      <c r="D14" s="6" t="s">
        <v>3769</v>
      </c>
      <c r="E14" s="6" t="n">
        <f aca="false">ROUND($J$2*(1+0.12*(C14-1))*1.25,1)</f>
        <v>9.3</v>
      </c>
      <c r="F14" s="9" t="n">
        <v>1.5</v>
      </c>
      <c r="G14" s="6" t="s">
        <v>3764</v>
      </c>
    </row>
    <row r="15" customFormat="false" ht="15" hidden="false" customHeight="true" outlineLevel="0" collapsed="false">
      <c r="A15" s="6" t="s">
        <v>3786</v>
      </c>
      <c r="B15" s="6" t="s">
        <v>3762</v>
      </c>
      <c r="C15" s="6" t="n">
        <v>3</v>
      </c>
      <c r="D15" s="6" t="s">
        <v>3772</v>
      </c>
      <c r="E15" s="6" t="n">
        <f aca="false">ROUND($J$2*(1+0.12*(C15-1))*1.6,1)</f>
        <v>11.9</v>
      </c>
      <c r="F15" s="9" t="n">
        <v>2.6</v>
      </c>
      <c r="G15" s="6" t="s">
        <v>3764</v>
      </c>
    </row>
    <row r="16" customFormat="false" ht="15" hidden="false" customHeight="true" outlineLevel="0" collapsed="false">
      <c r="A16" s="6" t="s">
        <v>3787</v>
      </c>
      <c r="B16" s="6" t="s">
        <v>3762</v>
      </c>
      <c r="C16" s="6" t="n">
        <v>3</v>
      </c>
      <c r="D16" s="6" t="s">
        <v>3774</v>
      </c>
      <c r="E16" s="6" t="n">
        <f aca="false">ROUND($J$2*(1+0.12*(C16-1))*2.2,1)</f>
        <v>16.4</v>
      </c>
      <c r="F16" s="6" t="s">
        <v>3775</v>
      </c>
      <c r="G16" s="6" t="s">
        <v>3776</v>
      </c>
    </row>
    <row r="17" customFormat="false" ht="15" hidden="false" customHeight="true" outlineLevel="0" collapsed="false">
      <c r="A17" s="6" t="s">
        <v>3788</v>
      </c>
      <c r="B17" s="6" t="s">
        <v>3762</v>
      </c>
      <c r="C17" s="6" t="n">
        <v>4</v>
      </c>
      <c r="D17" s="6" t="s">
        <v>3763</v>
      </c>
      <c r="E17" s="6" t="n">
        <f aca="false">ROUND($J$2*(1+0.12*(C17-1))*0.7,1)</f>
        <v>5.7</v>
      </c>
      <c r="F17" s="9" t="n">
        <v>0.8</v>
      </c>
      <c r="G17" s="6" t="s">
        <v>3764</v>
      </c>
    </row>
    <row r="18" customFormat="false" ht="15" hidden="false" customHeight="true" outlineLevel="0" collapsed="false">
      <c r="A18" s="6" t="s">
        <v>3789</v>
      </c>
      <c r="B18" s="6" t="s">
        <v>3762</v>
      </c>
      <c r="C18" s="6" t="n">
        <v>4</v>
      </c>
      <c r="D18" s="6" t="s">
        <v>3766</v>
      </c>
      <c r="E18" s="6" t="n">
        <f aca="false">ROUND($J$2*(1+0.12*(C18-1))*1,1)</f>
        <v>8.2</v>
      </c>
      <c r="F18" s="9" t="n">
        <v>1</v>
      </c>
      <c r="G18" s="6" t="s">
        <v>3764</v>
      </c>
    </row>
    <row r="19" customFormat="false" ht="15" hidden="false" customHeight="true" outlineLevel="0" collapsed="false">
      <c r="A19" s="6" t="s">
        <v>3790</v>
      </c>
      <c r="B19" s="6" t="s">
        <v>3762</v>
      </c>
      <c r="C19" s="6" t="n">
        <v>4</v>
      </c>
      <c r="D19" s="6" t="s">
        <v>3769</v>
      </c>
      <c r="E19" s="6" t="n">
        <f aca="false">ROUND($J$2*(1+0.12*(C19-1))*1.25,1)</f>
        <v>10.2</v>
      </c>
      <c r="F19" s="9" t="n">
        <v>1.5</v>
      </c>
      <c r="G19" s="6" t="s">
        <v>3764</v>
      </c>
    </row>
    <row r="20" customFormat="false" ht="15" hidden="false" customHeight="true" outlineLevel="0" collapsed="false">
      <c r="A20" s="6" t="s">
        <v>3791</v>
      </c>
      <c r="B20" s="6" t="s">
        <v>3762</v>
      </c>
      <c r="C20" s="6" t="n">
        <v>4</v>
      </c>
      <c r="D20" s="6" t="s">
        <v>3772</v>
      </c>
      <c r="E20" s="6" t="n">
        <f aca="false">ROUND($J$2*(1+0.12*(C20-1))*1.6,1)</f>
        <v>13.1</v>
      </c>
      <c r="F20" s="9" t="n">
        <v>2.6</v>
      </c>
      <c r="G20" s="6" t="s">
        <v>3764</v>
      </c>
    </row>
    <row r="21" customFormat="false" ht="15" hidden="false" customHeight="true" outlineLevel="0" collapsed="false">
      <c r="A21" s="6" t="s">
        <v>3792</v>
      </c>
      <c r="B21" s="6" t="s">
        <v>3762</v>
      </c>
      <c r="C21" s="6" t="n">
        <v>4</v>
      </c>
      <c r="D21" s="6" t="s">
        <v>3774</v>
      </c>
      <c r="E21" s="6" t="n">
        <f aca="false">ROUND($J$2*(1+0.12*(C21-1))*2.2,1)</f>
        <v>18</v>
      </c>
      <c r="F21" s="6" t="s">
        <v>3775</v>
      </c>
      <c r="G21" s="6" t="s">
        <v>3776</v>
      </c>
    </row>
    <row r="22" customFormat="false" ht="15" hidden="false" customHeight="true" outlineLevel="0" collapsed="false">
      <c r="A22" s="6" t="s">
        <v>3793</v>
      </c>
      <c r="B22" s="6" t="s">
        <v>3762</v>
      </c>
      <c r="C22" s="6" t="n">
        <v>5</v>
      </c>
      <c r="D22" s="6" t="s">
        <v>3763</v>
      </c>
      <c r="E22" s="6" t="n">
        <f aca="false">ROUND($J$2*(1+0.12*(C22-1))*0.7,1)</f>
        <v>6.2</v>
      </c>
      <c r="F22" s="9" t="n">
        <v>0.8</v>
      </c>
      <c r="G22" s="6" t="s">
        <v>3764</v>
      </c>
    </row>
    <row r="23" customFormat="false" ht="15" hidden="false" customHeight="true" outlineLevel="0" collapsed="false">
      <c r="A23" s="6" t="s">
        <v>3794</v>
      </c>
      <c r="B23" s="6" t="s">
        <v>3762</v>
      </c>
      <c r="C23" s="6" t="n">
        <v>5</v>
      </c>
      <c r="D23" s="6" t="s">
        <v>3766</v>
      </c>
      <c r="E23" s="6" t="n">
        <f aca="false">ROUND($J$2*(1+0.12*(C23-1))*1,1)</f>
        <v>8.9</v>
      </c>
      <c r="F23" s="9" t="n">
        <v>1</v>
      </c>
      <c r="G23" s="6" t="s">
        <v>3764</v>
      </c>
    </row>
    <row r="24" customFormat="false" ht="15" hidden="false" customHeight="true" outlineLevel="0" collapsed="false">
      <c r="A24" s="6" t="s">
        <v>3795</v>
      </c>
      <c r="B24" s="6" t="s">
        <v>3762</v>
      </c>
      <c r="C24" s="6" t="n">
        <v>5</v>
      </c>
      <c r="D24" s="6" t="s">
        <v>3769</v>
      </c>
      <c r="E24" s="6" t="n">
        <f aca="false">ROUND($J$2*(1+0.12*(C24-1))*1.25,1)</f>
        <v>11.1</v>
      </c>
      <c r="F24" s="9" t="n">
        <v>1.5</v>
      </c>
      <c r="G24" s="6" t="s">
        <v>3764</v>
      </c>
    </row>
    <row r="25" customFormat="false" ht="15" hidden="false" customHeight="true" outlineLevel="0" collapsed="false">
      <c r="A25" s="6" t="s">
        <v>3796</v>
      </c>
      <c r="B25" s="6" t="s">
        <v>3762</v>
      </c>
      <c r="C25" s="6" t="n">
        <v>5</v>
      </c>
      <c r="D25" s="6" t="s">
        <v>3772</v>
      </c>
      <c r="E25" s="6" t="n">
        <f aca="false">ROUND($J$2*(1+0.12*(C25-1))*1.6,1)</f>
        <v>14.2</v>
      </c>
      <c r="F25" s="9" t="n">
        <v>2.6</v>
      </c>
      <c r="G25" s="6" t="s">
        <v>3764</v>
      </c>
    </row>
    <row r="26" customFormat="false" ht="15" hidden="false" customHeight="true" outlineLevel="0" collapsed="false">
      <c r="A26" s="6" t="s">
        <v>3797</v>
      </c>
      <c r="B26" s="6" t="s">
        <v>3762</v>
      </c>
      <c r="C26" s="6" t="n">
        <v>5</v>
      </c>
      <c r="D26" s="6" t="s">
        <v>3774</v>
      </c>
      <c r="E26" s="6" t="n">
        <f aca="false">ROUND($J$2*(1+0.12*(C26-1))*2.2,1)</f>
        <v>19.5</v>
      </c>
      <c r="F26" s="6" t="s">
        <v>3775</v>
      </c>
      <c r="G26" s="6" t="s">
        <v>3776</v>
      </c>
    </row>
    <row r="27" customFormat="false" ht="15" hidden="false" customHeight="true" outlineLevel="0" collapsed="false">
      <c r="A27" s="6" t="s">
        <v>3798</v>
      </c>
      <c r="B27" s="6" t="s">
        <v>3762</v>
      </c>
      <c r="C27" s="6" t="n">
        <v>6</v>
      </c>
      <c r="D27" s="6" t="s">
        <v>3763</v>
      </c>
      <c r="E27" s="6" t="n">
        <f aca="false">ROUND($J$2*(1+0.12*(C27-1))*0.7,1)</f>
        <v>6.7</v>
      </c>
      <c r="F27" s="9" t="n">
        <v>0.8</v>
      </c>
      <c r="G27" s="6" t="s">
        <v>3764</v>
      </c>
    </row>
    <row r="28" customFormat="false" ht="15" hidden="false" customHeight="true" outlineLevel="0" collapsed="false">
      <c r="A28" s="6" t="s">
        <v>3799</v>
      </c>
      <c r="B28" s="6" t="s">
        <v>3762</v>
      </c>
      <c r="C28" s="6" t="n">
        <v>6</v>
      </c>
      <c r="D28" s="6" t="s">
        <v>3766</v>
      </c>
      <c r="E28" s="6" t="n">
        <f aca="false">ROUND($J$2*(1+0.12*(C28-1))*1,1)</f>
        <v>9.6</v>
      </c>
      <c r="F28" s="9" t="n">
        <v>1</v>
      </c>
      <c r="G28" s="6" t="s">
        <v>3764</v>
      </c>
    </row>
    <row r="29" customFormat="false" ht="15" hidden="false" customHeight="true" outlineLevel="0" collapsed="false">
      <c r="A29" s="6" t="s">
        <v>3800</v>
      </c>
      <c r="B29" s="6" t="s">
        <v>3762</v>
      </c>
      <c r="C29" s="6" t="n">
        <v>6</v>
      </c>
      <c r="D29" s="6" t="s">
        <v>3769</v>
      </c>
      <c r="E29" s="6" t="n">
        <f aca="false">ROUND($J$2*(1+0.12*(C29-1))*1.25,1)</f>
        <v>12</v>
      </c>
      <c r="F29" s="9" t="n">
        <v>1.5</v>
      </c>
      <c r="G29" s="6" t="s">
        <v>3764</v>
      </c>
    </row>
    <row r="30" customFormat="false" ht="15" hidden="false" customHeight="true" outlineLevel="0" collapsed="false">
      <c r="A30" s="6" t="s">
        <v>3801</v>
      </c>
      <c r="B30" s="6" t="s">
        <v>3762</v>
      </c>
      <c r="C30" s="6" t="n">
        <v>6</v>
      </c>
      <c r="D30" s="6" t="s">
        <v>3772</v>
      </c>
      <c r="E30" s="6" t="n">
        <f aca="false">ROUND($J$2*(1+0.12*(C30-1))*1.6,1)</f>
        <v>15.4</v>
      </c>
      <c r="F30" s="9" t="n">
        <v>2.6</v>
      </c>
      <c r="G30" s="6" t="s">
        <v>3764</v>
      </c>
    </row>
    <row r="31" customFormat="false" ht="15" hidden="false" customHeight="true" outlineLevel="0" collapsed="false">
      <c r="A31" s="6" t="s">
        <v>3802</v>
      </c>
      <c r="B31" s="6" t="s">
        <v>3762</v>
      </c>
      <c r="C31" s="6" t="n">
        <v>6</v>
      </c>
      <c r="D31" s="6" t="s">
        <v>3774</v>
      </c>
      <c r="E31" s="6" t="n">
        <f aca="false">ROUND($J$2*(1+0.12*(C31-1))*2.2,1)</f>
        <v>21.1</v>
      </c>
      <c r="F31" s="6" t="s">
        <v>3775</v>
      </c>
      <c r="G31" s="6" t="s">
        <v>3776</v>
      </c>
    </row>
    <row r="32" customFormat="false" ht="15" hidden="false" customHeight="true" outlineLevel="0" collapsed="false">
      <c r="A32" s="6" t="s">
        <v>3803</v>
      </c>
      <c r="B32" s="6" t="s">
        <v>3762</v>
      </c>
      <c r="C32" s="6" t="n">
        <v>7</v>
      </c>
      <c r="D32" s="6" t="s">
        <v>3763</v>
      </c>
      <c r="E32" s="6" t="n">
        <f aca="false">ROUND($J$2*(1+0.12*(C32-1))*0.7,1)</f>
        <v>7.2</v>
      </c>
      <c r="F32" s="9" t="n">
        <v>0.8</v>
      </c>
      <c r="G32" s="6" t="s">
        <v>3764</v>
      </c>
    </row>
    <row r="33" customFormat="false" ht="15" hidden="false" customHeight="true" outlineLevel="0" collapsed="false">
      <c r="A33" s="6" t="s">
        <v>3804</v>
      </c>
      <c r="B33" s="6" t="s">
        <v>3762</v>
      </c>
      <c r="C33" s="6" t="n">
        <v>7</v>
      </c>
      <c r="D33" s="6" t="s">
        <v>3766</v>
      </c>
      <c r="E33" s="6" t="n">
        <f aca="false">ROUND($J$2*(1+0.12*(C33-1))*1,1)</f>
        <v>10.3</v>
      </c>
      <c r="F33" s="9" t="n">
        <v>1</v>
      </c>
      <c r="G33" s="6" t="s">
        <v>3764</v>
      </c>
    </row>
    <row r="34" customFormat="false" ht="15" hidden="false" customHeight="true" outlineLevel="0" collapsed="false">
      <c r="A34" s="6" t="s">
        <v>3805</v>
      </c>
      <c r="B34" s="6" t="s">
        <v>3762</v>
      </c>
      <c r="C34" s="6" t="n">
        <v>7</v>
      </c>
      <c r="D34" s="6" t="s">
        <v>3769</v>
      </c>
      <c r="E34" s="6" t="n">
        <f aca="false">ROUND($J$2*(1+0.12*(C34-1))*1.25,1)</f>
        <v>12.9</v>
      </c>
      <c r="F34" s="9" t="n">
        <v>1.5</v>
      </c>
      <c r="G34" s="6" t="s">
        <v>3764</v>
      </c>
    </row>
    <row r="35" customFormat="false" ht="15" hidden="false" customHeight="true" outlineLevel="0" collapsed="false">
      <c r="A35" s="6" t="s">
        <v>3806</v>
      </c>
      <c r="B35" s="6" t="s">
        <v>3762</v>
      </c>
      <c r="C35" s="6" t="n">
        <v>7</v>
      </c>
      <c r="D35" s="6" t="s">
        <v>3772</v>
      </c>
      <c r="E35" s="6" t="n">
        <f aca="false">ROUND($J$2*(1+0.12*(C35-1))*1.6,1)</f>
        <v>16.5</v>
      </c>
      <c r="F35" s="9" t="n">
        <v>2.6</v>
      </c>
      <c r="G35" s="6" t="s">
        <v>3764</v>
      </c>
    </row>
    <row r="36" customFormat="false" ht="15" hidden="false" customHeight="true" outlineLevel="0" collapsed="false">
      <c r="A36" s="6" t="s">
        <v>3807</v>
      </c>
      <c r="B36" s="6" t="s">
        <v>3762</v>
      </c>
      <c r="C36" s="6" t="n">
        <v>7</v>
      </c>
      <c r="D36" s="6" t="s">
        <v>3774</v>
      </c>
      <c r="E36" s="6" t="n">
        <f aca="false">ROUND($J$2*(1+0.12*(C36-1))*2.2,1)</f>
        <v>22.7</v>
      </c>
      <c r="F36" s="6" t="s">
        <v>3775</v>
      </c>
      <c r="G36" s="6" t="s">
        <v>3776</v>
      </c>
    </row>
    <row r="37" customFormat="false" ht="15" hidden="false" customHeight="true" outlineLevel="0" collapsed="false">
      <c r="A37" s="6" t="s">
        <v>3808</v>
      </c>
      <c r="B37" s="6" t="s">
        <v>3762</v>
      </c>
      <c r="C37" s="6" t="n">
        <v>8</v>
      </c>
      <c r="D37" s="6" t="s">
        <v>3763</v>
      </c>
      <c r="E37" s="6" t="n">
        <f aca="false">ROUND($J$2*(1+0.12*(C37-1))*0.7,1)</f>
        <v>7.7</v>
      </c>
      <c r="F37" s="9" t="n">
        <v>0.8</v>
      </c>
      <c r="G37" s="6" t="s">
        <v>3764</v>
      </c>
    </row>
    <row r="38" customFormat="false" ht="15" hidden="false" customHeight="true" outlineLevel="0" collapsed="false">
      <c r="A38" s="6" t="s">
        <v>3809</v>
      </c>
      <c r="B38" s="6" t="s">
        <v>3762</v>
      </c>
      <c r="C38" s="6" t="n">
        <v>8</v>
      </c>
      <c r="D38" s="6" t="s">
        <v>3766</v>
      </c>
      <c r="E38" s="6" t="n">
        <f aca="false">ROUND($J$2*(1+0.12*(C38-1))*1,1)</f>
        <v>11</v>
      </c>
      <c r="F38" s="9" t="n">
        <v>1</v>
      </c>
      <c r="G38" s="6" t="s">
        <v>3764</v>
      </c>
    </row>
    <row r="39" customFormat="false" ht="15" hidden="false" customHeight="true" outlineLevel="0" collapsed="false">
      <c r="A39" s="6" t="s">
        <v>3810</v>
      </c>
      <c r="B39" s="6" t="s">
        <v>3762</v>
      </c>
      <c r="C39" s="6" t="n">
        <v>8</v>
      </c>
      <c r="D39" s="6" t="s">
        <v>3769</v>
      </c>
      <c r="E39" s="6" t="n">
        <f aca="false">ROUND($J$2*(1+0.12*(C39-1))*1.25,1)</f>
        <v>13.8</v>
      </c>
      <c r="F39" s="9" t="n">
        <v>1.5</v>
      </c>
      <c r="G39" s="6" t="s">
        <v>3764</v>
      </c>
    </row>
    <row r="40" customFormat="false" ht="15" hidden="false" customHeight="true" outlineLevel="0" collapsed="false">
      <c r="A40" s="6" t="s">
        <v>3811</v>
      </c>
      <c r="B40" s="6" t="s">
        <v>3762</v>
      </c>
      <c r="C40" s="6" t="n">
        <v>8</v>
      </c>
      <c r="D40" s="6" t="s">
        <v>3772</v>
      </c>
      <c r="E40" s="6" t="n">
        <f aca="false">ROUND($J$2*(1+0.12*(C40-1))*1.6,1)</f>
        <v>17.7</v>
      </c>
      <c r="F40" s="9" t="n">
        <v>2.6</v>
      </c>
      <c r="G40" s="6" t="s">
        <v>3764</v>
      </c>
    </row>
    <row r="41" customFormat="false" ht="15" hidden="false" customHeight="true" outlineLevel="0" collapsed="false">
      <c r="A41" s="6" t="s">
        <v>3812</v>
      </c>
      <c r="B41" s="6" t="s">
        <v>3762</v>
      </c>
      <c r="C41" s="6" t="n">
        <v>8</v>
      </c>
      <c r="D41" s="6" t="s">
        <v>3774</v>
      </c>
      <c r="E41" s="6" t="n">
        <f aca="false">ROUND($J$2*(1+0.12*(C41-1))*2.2,1)</f>
        <v>24.3</v>
      </c>
      <c r="F41" s="6" t="s">
        <v>3775</v>
      </c>
      <c r="G41" s="6" t="s">
        <v>3776</v>
      </c>
    </row>
    <row r="42" customFormat="false" ht="15" hidden="false" customHeight="true" outlineLevel="0" collapsed="false">
      <c r="A42" s="6" t="s">
        <v>3813</v>
      </c>
      <c r="B42" s="6" t="s">
        <v>3762</v>
      </c>
      <c r="C42" s="6" t="n">
        <v>9</v>
      </c>
      <c r="D42" s="6" t="s">
        <v>3763</v>
      </c>
      <c r="E42" s="6" t="n">
        <f aca="false">ROUND($J$2*(1+0.12*(C42-1))*0.7,1)</f>
        <v>8.2</v>
      </c>
      <c r="F42" s="9" t="n">
        <v>0.8</v>
      </c>
      <c r="G42" s="6" t="s">
        <v>3764</v>
      </c>
    </row>
    <row r="43" customFormat="false" ht="15" hidden="false" customHeight="true" outlineLevel="0" collapsed="false">
      <c r="A43" s="6" t="s">
        <v>3814</v>
      </c>
      <c r="B43" s="6" t="s">
        <v>3762</v>
      </c>
      <c r="C43" s="6" t="n">
        <v>9</v>
      </c>
      <c r="D43" s="6" t="s">
        <v>3766</v>
      </c>
      <c r="E43" s="6" t="n">
        <f aca="false">ROUND($J$2*(1+0.12*(C43-1))*1,1)</f>
        <v>11.8</v>
      </c>
      <c r="F43" s="9" t="n">
        <v>1</v>
      </c>
      <c r="G43" s="6" t="s">
        <v>3764</v>
      </c>
    </row>
    <row r="44" customFormat="false" ht="15" hidden="false" customHeight="true" outlineLevel="0" collapsed="false">
      <c r="A44" s="6" t="s">
        <v>3815</v>
      </c>
      <c r="B44" s="6" t="s">
        <v>3762</v>
      </c>
      <c r="C44" s="6" t="n">
        <v>9</v>
      </c>
      <c r="D44" s="6" t="s">
        <v>3769</v>
      </c>
      <c r="E44" s="6" t="n">
        <f aca="false">ROUND($J$2*(1+0.12*(C44-1))*1.25,1)</f>
        <v>14.7</v>
      </c>
      <c r="F44" s="9" t="n">
        <v>1.5</v>
      </c>
      <c r="G44" s="6" t="s">
        <v>3764</v>
      </c>
    </row>
    <row r="45" customFormat="false" ht="15" hidden="false" customHeight="true" outlineLevel="0" collapsed="false">
      <c r="A45" s="6" t="s">
        <v>3816</v>
      </c>
      <c r="B45" s="6" t="s">
        <v>3762</v>
      </c>
      <c r="C45" s="6" t="n">
        <v>9</v>
      </c>
      <c r="D45" s="6" t="s">
        <v>3772</v>
      </c>
      <c r="E45" s="6" t="n">
        <f aca="false">ROUND($J$2*(1+0.12*(C45-1))*1.6,1)</f>
        <v>18.8</v>
      </c>
      <c r="F45" s="9" t="n">
        <v>2.6</v>
      </c>
      <c r="G45" s="6" t="s">
        <v>3764</v>
      </c>
    </row>
    <row r="46" customFormat="false" ht="15" hidden="false" customHeight="true" outlineLevel="0" collapsed="false">
      <c r="A46" s="6" t="s">
        <v>3817</v>
      </c>
      <c r="B46" s="6" t="s">
        <v>3762</v>
      </c>
      <c r="C46" s="6" t="n">
        <v>9</v>
      </c>
      <c r="D46" s="6" t="s">
        <v>3774</v>
      </c>
      <c r="E46" s="6" t="n">
        <f aca="false">ROUND($J$2*(1+0.12*(C46-1))*2.2,1)</f>
        <v>25.9</v>
      </c>
      <c r="F46" s="6" t="s">
        <v>3775</v>
      </c>
      <c r="G46" s="6" t="s">
        <v>3776</v>
      </c>
    </row>
    <row r="47" customFormat="false" ht="15" hidden="false" customHeight="true" outlineLevel="0" collapsed="false">
      <c r="A47" s="6" t="s">
        <v>3818</v>
      </c>
      <c r="B47" s="6" t="s">
        <v>3767</v>
      </c>
      <c r="C47" s="6" t="n">
        <v>1</v>
      </c>
      <c r="D47" s="6" t="s">
        <v>3763</v>
      </c>
      <c r="E47" s="6" t="n">
        <f aca="false">ROUND($J$3*(1+0.12*(C47-1))*0.7,1)</f>
        <v>3.5</v>
      </c>
      <c r="F47" s="9" t="n">
        <v>0.8</v>
      </c>
      <c r="G47" s="6" t="s">
        <v>3764</v>
      </c>
    </row>
    <row r="48" customFormat="false" ht="15" hidden="false" customHeight="true" outlineLevel="0" collapsed="false">
      <c r="A48" s="6" t="s">
        <v>3819</v>
      </c>
      <c r="B48" s="6" t="s">
        <v>3767</v>
      </c>
      <c r="C48" s="6" t="n">
        <v>1</v>
      </c>
      <c r="D48" s="6" t="s">
        <v>3766</v>
      </c>
      <c r="E48" s="6" t="n">
        <f aca="false">ROUND($J$3*(1+0.12*(C48-1))*1,1)</f>
        <v>5</v>
      </c>
      <c r="F48" s="9" t="n">
        <v>1</v>
      </c>
      <c r="G48" s="6" t="s">
        <v>3764</v>
      </c>
    </row>
    <row r="49" customFormat="false" ht="15" hidden="false" customHeight="true" outlineLevel="0" collapsed="false">
      <c r="A49" s="6" t="s">
        <v>3820</v>
      </c>
      <c r="B49" s="6" t="s">
        <v>3767</v>
      </c>
      <c r="C49" s="6" t="n">
        <v>1</v>
      </c>
      <c r="D49" s="6" t="s">
        <v>3769</v>
      </c>
      <c r="E49" s="6" t="n">
        <f aca="false">ROUND($J$3*(1+0.12*(C49-1))*1.25,1)</f>
        <v>6.3</v>
      </c>
      <c r="F49" s="9" t="n">
        <v>1.5</v>
      </c>
      <c r="G49" s="6" t="s">
        <v>3764</v>
      </c>
    </row>
    <row r="50" customFormat="false" ht="15" hidden="false" customHeight="true" outlineLevel="0" collapsed="false">
      <c r="A50" s="6" t="s">
        <v>3821</v>
      </c>
      <c r="B50" s="6" t="s">
        <v>3767</v>
      </c>
      <c r="C50" s="6" t="n">
        <v>1</v>
      </c>
      <c r="D50" s="6" t="s">
        <v>3772</v>
      </c>
      <c r="E50" s="6" t="n">
        <f aca="false">ROUND($J$3*(1+0.12*(C50-1))*1.6,1)</f>
        <v>8</v>
      </c>
      <c r="F50" s="9" t="n">
        <v>2.6</v>
      </c>
      <c r="G50" s="6" t="s">
        <v>3764</v>
      </c>
    </row>
    <row r="51" customFormat="false" ht="15" hidden="false" customHeight="true" outlineLevel="0" collapsed="false">
      <c r="A51" s="6" t="s">
        <v>3822</v>
      </c>
      <c r="B51" s="6" t="s">
        <v>3767</v>
      </c>
      <c r="C51" s="6" t="n">
        <v>1</v>
      </c>
      <c r="D51" s="6" t="s">
        <v>3774</v>
      </c>
      <c r="E51" s="6" t="n">
        <f aca="false">ROUND($J$3*(1+0.12*(C51-1))*2.2,1)</f>
        <v>11</v>
      </c>
      <c r="F51" s="6" t="s">
        <v>3775</v>
      </c>
      <c r="G51" s="6" t="s">
        <v>3776</v>
      </c>
    </row>
    <row r="52" customFormat="false" ht="15" hidden="false" customHeight="true" outlineLevel="0" collapsed="false">
      <c r="A52" s="6" t="s">
        <v>3823</v>
      </c>
      <c r="B52" s="6" t="s">
        <v>3767</v>
      </c>
      <c r="C52" s="6" t="n">
        <v>2</v>
      </c>
      <c r="D52" s="6" t="s">
        <v>3763</v>
      </c>
      <c r="E52" s="6" t="n">
        <f aca="false">ROUND($J$3*(1+0.12*(C52-1))*0.7,1)</f>
        <v>3.9</v>
      </c>
      <c r="F52" s="9" t="n">
        <v>0.8</v>
      </c>
      <c r="G52" s="6" t="s">
        <v>3764</v>
      </c>
    </row>
    <row r="53" customFormat="false" ht="15" hidden="false" customHeight="true" outlineLevel="0" collapsed="false">
      <c r="A53" s="6" t="s">
        <v>3824</v>
      </c>
      <c r="B53" s="6" t="s">
        <v>3767</v>
      </c>
      <c r="C53" s="6" t="n">
        <v>2</v>
      </c>
      <c r="D53" s="6" t="s">
        <v>3766</v>
      </c>
      <c r="E53" s="6" t="n">
        <f aca="false">ROUND($J$3*(1+0.12*(C53-1))*1,1)</f>
        <v>5.6</v>
      </c>
      <c r="F53" s="9" t="n">
        <v>1</v>
      </c>
      <c r="G53" s="6" t="s">
        <v>3764</v>
      </c>
    </row>
    <row r="54" customFormat="false" ht="15" hidden="false" customHeight="true" outlineLevel="0" collapsed="false">
      <c r="A54" s="6" t="s">
        <v>3825</v>
      </c>
      <c r="B54" s="6" t="s">
        <v>3767</v>
      </c>
      <c r="C54" s="6" t="n">
        <v>2</v>
      </c>
      <c r="D54" s="6" t="s">
        <v>3769</v>
      </c>
      <c r="E54" s="6" t="n">
        <f aca="false">ROUND($J$3*(1+0.12*(C54-1))*1.25,1)</f>
        <v>7</v>
      </c>
      <c r="F54" s="9" t="n">
        <v>1.5</v>
      </c>
      <c r="G54" s="6" t="s">
        <v>3764</v>
      </c>
    </row>
    <row r="55" customFormat="false" ht="15" hidden="false" customHeight="true" outlineLevel="0" collapsed="false">
      <c r="A55" s="6" t="s">
        <v>3826</v>
      </c>
      <c r="B55" s="6" t="s">
        <v>3767</v>
      </c>
      <c r="C55" s="6" t="n">
        <v>2</v>
      </c>
      <c r="D55" s="6" t="s">
        <v>3772</v>
      </c>
      <c r="E55" s="6" t="n">
        <f aca="false">ROUND($J$3*(1+0.12*(C55-1))*1.6,1)</f>
        <v>9</v>
      </c>
      <c r="F55" s="9" t="n">
        <v>2.6</v>
      </c>
      <c r="G55" s="6" t="s">
        <v>3764</v>
      </c>
    </row>
    <row r="56" customFormat="false" ht="15" hidden="false" customHeight="true" outlineLevel="0" collapsed="false">
      <c r="A56" s="6" t="s">
        <v>3827</v>
      </c>
      <c r="B56" s="6" t="s">
        <v>3767</v>
      </c>
      <c r="C56" s="6" t="n">
        <v>2</v>
      </c>
      <c r="D56" s="6" t="s">
        <v>3774</v>
      </c>
      <c r="E56" s="6" t="n">
        <f aca="false">ROUND($J$3*(1+0.12*(C56-1))*2.2,1)</f>
        <v>12.3</v>
      </c>
      <c r="F56" s="6" t="s">
        <v>3775</v>
      </c>
      <c r="G56" s="6" t="s">
        <v>3776</v>
      </c>
    </row>
    <row r="57" customFormat="false" ht="15" hidden="false" customHeight="true" outlineLevel="0" collapsed="false">
      <c r="A57" s="6" t="s">
        <v>3828</v>
      </c>
      <c r="B57" s="6" t="s">
        <v>3767</v>
      </c>
      <c r="C57" s="6" t="n">
        <v>3</v>
      </c>
      <c r="D57" s="6" t="s">
        <v>3763</v>
      </c>
      <c r="E57" s="6" t="n">
        <f aca="false">ROUND($J$3*(1+0.12*(C57-1))*0.7,1)</f>
        <v>4.3</v>
      </c>
      <c r="F57" s="9" t="n">
        <v>0.8</v>
      </c>
      <c r="G57" s="6" t="s">
        <v>3764</v>
      </c>
    </row>
    <row r="58" customFormat="false" ht="15" hidden="false" customHeight="true" outlineLevel="0" collapsed="false">
      <c r="A58" s="6" t="s">
        <v>3829</v>
      </c>
      <c r="B58" s="6" t="s">
        <v>3767</v>
      </c>
      <c r="C58" s="6" t="n">
        <v>3</v>
      </c>
      <c r="D58" s="6" t="s">
        <v>3766</v>
      </c>
      <c r="E58" s="6" t="n">
        <f aca="false">ROUND($J$3*(1+0.12*(C58-1))*1,1)</f>
        <v>6.2</v>
      </c>
      <c r="F58" s="9" t="n">
        <v>1</v>
      </c>
      <c r="G58" s="6" t="s">
        <v>3764</v>
      </c>
    </row>
    <row r="59" customFormat="false" ht="15" hidden="false" customHeight="true" outlineLevel="0" collapsed="false">
      <c r="A59" s="6" t="s">
        <v>3830</v>
      </c>
      <c r="B59" s="6" t="s">
        <v>3767</v>
      </c>
      <c r="C59" s="6" t="n">
        <v>3</v>
      </c>
      <c r="D59" s="6" t="s">
        <v>3769</v>
      </c>
      <c r="E59" s="6" t="n">
        <f aca="false">ROUND($J$3*(1+0.12*(C59-1))*1.25,1)</f>
        <v>7.8</v>
      </c>
      <c r="F59" s="9" t="n">
        <v>1.5</v>
      </c>
      <c r="G59" s="6" t="s">
        <v>3764</v>
      </c>
    </row>
    <row r="60" customFormat="false" ht="15" hidden="false" customHeight="true" outlineLevel="0" collapsed="false">
      <c r="A60" s="6" t="s">
        <v>3831</v>
      </c>
      <c r="B60" s="6" t="s">
        <v>3767</v>
      </c>
      <c r="C60" s="6" t="n">
        <v>3</v>
      </c>
      <c r="D60" s="6" t="s">
        <v>3772</v>
      </c>
      <c r="E60" s="6" t="n">
        <f aca="false">ROUND($J$3*(1+0.12*(C60-1))*1.6,1)</f>
        <v>9.9</v>
      </c>
      <c r="F60" s="9" t="n">
        <v>2.6</v>
      </c>
      <c r="G60" s="6" t="s">
        <v>3764</v>
      </c>
    </row>
    <row r="61" customFormat="false" ht="15" hidden="false" customHeight="true" outlineLevel="0" collapsed="false">
      <c r="A61" s="6" t="s">
        <v>3832</v>
      </c>
      <c r="B61" s="6" t="s">
        <v>3767</v>
      </c>
      <c r="C61" s="6" t="n">
        <v>3</v>
      </c>
      <c r="D61" s="6" t="s">
        <v>3774</v>
      </c>
      <c r="E61" s="6" t="n">
        <f aca="false">ROUND($J$3*(1+0.12*(C61-1))*2.2,1)</f>
        <v>13.6</v>
      </c>
      <c r="F61" s="6" t="s">
        <v>3775</v>
      </c>
      <c r="G61" s="6" t="s">
        <v>3776</v>
      </c>
    </row>
    <row r="62" customFormat="false" ht="15" hidden="false" customHeight="true" outlineLevel="0" collapsed="false">
      <c r="A62" s="6" t="s">
        <v>3833</v>
      </c>
      <c r="B62" s="6" t="s">
        <v>3767</v>
      </c>
      <c r="C62" s="6" t="n">
        <v>4</v>
      </c>
      <c r="D62" s="6" t="s">
        <v>3763</v>
      </c>
      <c r="E62" s="6" t="n">
        <f aca="false">ROUND($J$3*(1+0.12*(C62-1))*0.7,1)</f>
        <v>4.8</v>
      </c>
      <c r="F62" s="9" t="n">
        <v>0.8</v>
      </c>
      <c r="G62" s="6" t="s">
        <v>3764</v>
      </c>
    </row>
    <row r="63" customFormat="false" ht="15" hidden="false" customHeight="true" outlineLevel="0" collapsed="false">
      <c r="A63" s="6" t="s">
        <v>3834</v>
      </c>
      <c r="B63" s="6" t="s">
        <v>3767</v>
      </c>
      <c r="C63" s="6" t="n">
        <v>4</v>
      </c>
      <c r="D63" s="6" t="s">
        <v>3766</v>
      </c>
      <c r="E63" s="6" t="n">
        <f aca="false">ROUND($J$3*(1+0.12*(C63-1))*1,1)</f>
        <v>6.8</v>
      </c>
      <c r="F63" s="9" t="n">
        <v>1</v>
      </c>
      <c r="G63" s="6" t="s">
        <v>3764</v>
      </c>
    </row>
    <row r="64" customFormat="false" ht="15" hidden="false" customHeight="true" outlineLevel="0" collapsed="false">
      <c r="A64" s="6" t="s">
        <v>3835</v>
      </c>
      <c r="B64" s="6" t="s">
        <v>3767</v>
      </c>
      <c r="C64" s="6" t="n">
        <v>4</v>
      </c>
      <c r="D64" s="6" t="s">
        <v>3769</v>
      </c>
      <c r="E64" s="6" t="n">
        <f aca="false">ROUND($J$3*(1+0.12*(C64-1))*1.25,1)</f>
        <v>8.5</v>
      </c>
      <c r="F64" s="9" t="n">
        <v>1.5</v>
      </c>
      <c r="G64" s="6" t="s">
        <v>3764</v>
      </c>
    </row>
    <row r="65" customFormat="false" ht="15" hidden="false" customHeight="true" outlineLevel="0" collapsed="false">
      <c r="A65" s="6" t="s">
        <v>3836</v>
      </c>
      <c r="B65" s="6" t="s">
        <v>3767</v>
      </c>
      <c r="C65" s="6" t="n">
        <v>4</v>
      </c>
      <c r="D65" s="6" t="s">
        <v>3772</v>
      </c>
      <c r="E65" s="6" t="n">
        <f aca="false">ROUND($J$3*(1+0.12*(C65-1))*1.6,1)</f>
        <v>10.9</v>
      </c>
      <c r="F65" s="9" t="n">
        <v>2.6</v>
      </c>
      <c r="G65" s="6" t="s">
        <v>3764</v>
      </c>
    </row>
    <row r="66" customFormat="false" ht="15" hidden="false" customHeight="true" outlineLevel="0" collapsed="false">
      <c r="A66" s="6" t="s">
        <v>3837</v>
      </c>
      <c r="B66" s="6" t="s">
        <v>3767</v>
      </c>
      <c r="C66" s="6" t="n">
        <v>4</v>
      </c>
      <c r="D66" s="6" t="s">
        <v>3774</v>
      </c>
      <c r="E66" s="6" t="n">
        <f aca="false">ROUND($J$3*(1+0.12*(C66-1))*2.2,1)</f>
        <v>15</v>
      </c>
      <c r="F66" s="6" t="s">
        <v>3775</v>
      </c>
      <c r="G66" s="6" t="s">
        <v>3776</v>
      </c>
    </row>
    <row r="67" customFormat="false" ht="15" hidden="false" customHeight="true" outlineLevel="0" collapsed="false">
      <c r="A67" s="6" t="s">
        <v>3838</v>
      </c>
      <c r="B67" s="6" t="s">
        <v>3767</v>
      </c>
      <c r="C67" s="6" t="n">
        <v>5</v>
      </c>
      <c r="D67" s="6" t="s">
        <v>3763</v>
      </c>
      <c r="E67" s="6" t="n">
        <f aca="false">ROUND($J$3*(1+0.12*(C67-1))*0.7,1)</f>
        <v>5.2</v>
      </c>
      <c r="F67" s="9" t="n">
        <v>0.8</v>
      </c>
      <c r="G67" s="6" t="s">
        <v>3764</v>
      </c>
    </row>
    <row r="68" customFormat="false" ht="15" hidden="false" customHeight="true" outlineLevel="0" collapsed="false">
      <c r="A68" s="6" t="s">
        <v>3839</v>
      </c>
      <c r="B68" s="6" t="s">
        <v>3767</v>
      </c>
      <c r="C68" s="6" t="n">
        <v>5</v>
      </c>
      <c r="D68" s="6" t="s">
        <v>3766</v>
      </c>
      <c r="E68" s="6" t="n">
        <f aca="false">ROUND($J$3*(1+0.12*(C68-1))*1,1)</f>
        <v>7.4</v>
      </c>
      <c r="F68" s="9" t="n">
        <v>1</v>
      </c>
      <c r="G68" s="6" t="s">
        <v>3764</v>
      </c>
    </row>
    <row r="69" customFormat="false" ht="15" hidden="false" customHeight="true" outlineLevel="0" collapsed="false">
      <c r="A69" s="6" t="s">
        <v>3840</v>
      </c>
      <c r="B69" s="6" t="s">
        <v>3767</v>
      </c>
      <c r="C69" s="6" t="n">
        <v>5</v>
      </c>
      <c r="D69" s="6" t="s">
        <v>3769</v>
      </c>
      <c r="E69" s="6" t="n">
        <f aca="false">ROUND($J$3*(1+0.12*(C69-1))*1.25,1)</f>
        <v>9.3</v>
      </c>
      <c r="F69" s="9" t="n">
        <v>1.5</v>
      </c>
      <c r="G69" s="6" t="s">
        <v>3764</v>
      </c>
    </row>
    <row r="70" customFormat="false" ht="15" hidden="false" customHeight="true" outlineLevel="0" collapsed="false">
      <c r="A70" s="6" t="s">
        <v>3841</v>
      </c>
      <c r="B70" s="6" t="s">
        <v>3767</v>
      </c>
      <c r="C70" s="6" t="n">
        <v>5</v>
      </c>
      <c r="D70" s="6" t="s">
        <v>3772</v>
      </c>
      <c r="E70" s="6" t="n">
        <f aca="false">ROUND($J$3*(1+0.12*(C70-1))*1.6,1)</f>
        <v>11.8</v>
      </c>
      <c r="F70" s="9" t="n">
        <v>2.6</v>
      </c>
      <c r="G70" s="6" t="s">
        <v>3764</v>
      </c>
    </row>
    <row r="71" customFormat="false" ht="15" hidden="false" customHeight="true" outlineLevel="0" collapsed="false">
      <c r="A71" s="6" t="s">
        <v>3842</v>
      </c>
      <c r="B71" s="6" t="s">
        <v>3767</v>
      </c>
      <c r="C71" s="6" t="n">
        <v>5</v>
      </c>
      <c r="D71" s="6" t="s">
        <v>3774</v>
      </c>
      <c r="E71" s="6" t="n">
        <f aca="false">ROUND($J$3*(1+0.12*(C71-1))*2.2,1)</f>
        <v>16.3</v>
      </c>
      <c r="F71" s="6" t="s">
        <v>3775</v>
      </c>
      <c r="G71" s="6" t="s">
        <v>3776</v>
      </c>
    </row>
    <row r="72" customFormat="false" ht="15" hidden="false" customHeight="true" outlineLevel="0" collapsed="false">
      <c r="A72" s="6" t="s">
        <v>3843</v>
      </c>
      <c r="B72" s="6" t="s">
        <v>3767</v>
      </c>
      <c r="C72" s="6" t="n">
        <v>6</v>
      </c>
      <c r="D72" s="6" t="s">
        <v>3763</v>
      </c>
      <c r="E72" s="6" t="n">
        <f aca="false">ROUND($J$3*(1+0.12*(C72-1))*0.7,1)</f>
        <v>5.6</v>
      </c>
      <c r="F72" s="9" t="n">
        <v>0.8</v>
      </c>
      <c r="G72" s="6" t="s">
        <v>3764</v>
      </c>
    </row>
    <row r="73" customFormat="false" ht="15" hidden="false" customHeight="true" outlineLevel="0" collapsed="false">
      <c r="A73" s="6" t="s">
        <v>3844</v>
      </c>
      <c r="B73" s="6" t="s">
        <v>3767</v>
      </c>
      <c r="C73" s="6" t="n">
        <v>6</v>
      </c>
      <c r="D73" s="6" t="s">
        <v>3766</v>
      </c>
      <c r="E73" s="6" t="n">
        <f aca="false">ROUND($J$3*(1+0.12*(C73-1))*1,1)</f>
        <v>8</v>
      </c>
      <c r="F73" s="9" t="n">
        <v>1</v>
      </c>
      <c r="G73" s="6" t="s">
        <v>3764</v>
      </c>
    </row>
    <row r="74" customFormat="false" ht="15" hidden="false" customHeight="true" outlineLevel="0" collapsed="false">
      <c r="A74" s="6" t="s">
        <v>3845</v>
      </c>
      <c r="B74" s="6" t="s">
        <v>3767</v>
      </c>
      <c r="C74" s="6" t="n">
        <v>6</v>
      </c>
      <c r="D74" s="6" t="s">
        <v>3769</v>
      </c>
      <c r="E74" s="6" t="n">
        <f aca="false">ROUND($J$3*(1+0.12*(C74-1))*1.25,1)</f>
        <v>10</v>
      </c>
      <c r="F74" s="9" t="n">
        <v>1.5</v>
      </c>
      <c r="G74" s="6" t="s">
        <v>3764</v>
      </c>
    </row>
    <row r="75" customFormat="false" ht="15" hidden="false" customHeight="true" outlineLevel="0" collapsed="false">
      <c r="A75" s="6" t="s">
        <v>3846</v>
      </c>
      <c r="B75" s="6" t="s">
        <v>3767</v>
      </c>
      <c r="C75" s="6" t="n">
        <v>6</v>
      </c>
      <c r="D75" s="6" t="s">
        <v>3772</v>
      </c>
      <c r="E75" s="6" t="n">
        <f aca="false">ROUND($J$3*(1+0.12*(C75-1))*1.6,1)</f>
        <v>12.8</v>
      </c>
      <c r="F75" s="9" t="n">
        <v>2.6</v>
      </c>
      <c r="G75" s="6" t="s">
        <v>3764</v>
      </c>
    </row>
    <row r="76" customFormat="false" ht="15" hidden="false" customHeight="true" outlineLevel="0" collapsed="false">
      <c r="A76" s="6" t="s">
        <v>3847</v>
      </c>
      <c r="B76" s="6" t="s">
        <v>3767</v>
      </c>
      <c r="C76" s="6" t="n">
        <v>6</v>
      </c>
      <c r="D76" s="6" t="s">
        <v>3774</v>
      </c>
      <c r="E76" s="6" t="n">
        <f aca="false">ROUND($J$3*(1+0.12*(C76-1))*2.2,1)</f>
        <v>17.6</v>
      </c>
      <c r="F76" s="6" t="s">
        <v>3775</v>
      </c>
      <c r="G76" s="6" t="s">
        <v>3776</v>
      </c>
    </row>
    <row r="77" customFormat="false" ht="15" hidden="false" customHeight="true" outlineLevel="0" collapsed="false">
      <c r="A77" s="6" t="s">
        <v>3848</v>
      </c>
      <c r="B77" s="6" t="s">
        <v>3767</v>
      </c>
      <c r="C77" s="6" t="n">
        <v>7</v>
      </c>
      <c r="D77" s="6" t="s">
        <v>3763</v>
      </c>
      <c r="E77" s="6" t="n">
        <f aca="false">ROUND($J$3*(1+0.12*(C77-1))*0.7,1)</f>
        <v>6</v>
      </c>
      <c r="F77" s="9" t="n">
        <v>0.8</v>
      </c>
      <c r="G77" s="6" t="s">
        <v>3764</v>
      </c>
    </row>
    <row r="78" customFormat="false" ht="15" hidden="false" customHeight="true" outlineLevel="0" collapsed="false">
      <c r="A78" s="6" t="s">
        <v>3849</v>
      </c>
      <c r="B78" s="6" t="s">
        <v>3767</v>
      </c>
      <c r="C78" s="6" t="n">
        <v>7</v>
      </c>
      <c r="D78" s="6" t="s">
        <v>3766</v>
      </c>
      <c r="E78" s="6" t="n">
        <f aca="false">ROUND($J$3*(1+0.12*(C78-1))*1,1)</f>
        <v>8.6</v>
      </c>
      <c r="F78" s="9" t="n">
        <v>1</v>
      </c>
      <c r="G78" s="6" t="s">
        <v>3764</v>
      </c>
    </row>
    <row r="79" customFormat="false" ht="15" hidden="false" customHeight="true" outlineLevel="0" collapsed="false">
      <c r="A79" s="6" t="s">
        <v>3850</v>
      </c>
      <c r="B79" s="6" t="s">
        <v>3767</v>
      </c>
      <c r="C79" s="6" t="n">
        <v>7</v>
      </c>
      <c r="D79" s="6" t="s">
        <v>3769</v>
      </c>
      <c r="E79" s="6" t="n">
        <f aca="false">ROUND($J$3*(1+0.12*(C79-1))*1.25,1)</f>
        <v>10.8</v>
      </c>
      <c r="F79" s="9" t="n">
        <v>1.5</v>
      </c>
      <c r="G79" s="6" t="s">
        <v>3764</v>
      </c>
    </row>
    <row r="80" customFormat="false" ht="15" hidden="false" customHeight="true" outlineLevel="0" collapsed="false">
      <c r="A80" s="6" t="s">
        <v>3851</v>
      </c>
      <c r="B80" s="6" t="s">
        <v>3767</v>
      </c>
      <c r="C80" s="6" t="n">
        <v>7</v>
      </c>
      <c r="D80" s="6" t="s">
        <v>3772</v>
      </c>
      <c r="E80" s="6" t="n">
        <f aca="false">ROUND($J$3*(1+0.12*(C80-1))*1.6,1)</f>
        <v>13.8</v>
      </c>
      <c r="F80" s="9" t="n">
        <v>2.6</v>
      </c>
      <c r="G80" s="6" t="s">
        <v>3764</v>
      </c>
    </row>
    <row r="81" customFormat="false" ht="15" hidden="false" customHeight="true" outlineLevel="0" collapsed="false">
      <c r="A81" s="6" t="s">
        <v>3852</v>
      </c>
      <c r="B81" s="6" t="s">
        <v>3767</v>
      </c>
      <c r="C81" s="6" t="n">
        <v>7</v>
      </c>
      <c r="D81" s="6" t="s">
        <v>3774</v>
      </c>
      <c r="E81" s="6" t="n">
        <f aca="false">ROUND($J$3*(1+0.12*(C81-1))*2.2,1)</f>
        <v>18.9</v>
      </c>
      <c r="F81" s="6" t="s">
        <v>3775</v>
      </c>
      <c r="G81" s="6" t="s">
        <v>3776</v>
      </c>
    </row>
    <row r="82" customFormat="false" ht="15" hidden="false" customHeight="true" outlineLevel="0" collapsed="false">
      <c r="A82" s="6" t="s">
        <v>3853</v>
      </c>
      <c r="B82" s="6" t="s">
        <v>3767</v>
      </c>
      <c r="C82" s="6" t="n">
        <v>8</v>
      </c>
      <c r="D82" s="6" t="s">
        <v>3763</v>
      </c>
      <c r="E82" s="6" t="n">
        <f aca="false">ROUND($J$3*(1+0.12*(C82-1))*0.7,1)</f>
        <v>6.4</v>
      </c>
      <c r="F82" s="9" t="n">
        <v>0.8</v>
      </c>
      <c r="G82" s="6" t="s">
        <v>3764</v>
      </c>
    </row>
    <row r="83" customFormat="false" ht="15" hidden="false" customHeight="true" outlineLevel="0" collapsed="false">
      <c r="A83" s="6" t="s">
        <v>3854</v>
      </c>
      <c r="B83" s="6" t="s">
        <v>3767</v>
      </c>
      <c r="C83" s="6" t="n">
        <v>8</v>
      </c>
      <c r="D83" s="6" t="s">
        <v>3766</v>
      </c>
      <c r="E83" s="6" t="n">
        <f aca="false">ROUND($J$3*(1+0.12*(C83-1))*1,1)</f>
        <v>9.2</v>
      </c>
      <c r="F83" s="9" t="n">
        <v>1</v>
      </c>
      <c r="G83" s="6" t="s">
        <v>3764</v>
      </c>
    </row>
    <row r="84" customFormat="false" ht="15" hidden="false" customHeight="true" outlineLevel="0" collapsed="false">
      <c r="A84" s="6" t="s">
        <v>3855</v>
      </c>
      <c r="B84" s="6" t="s">
        <v>3767</v>
      </c>
      <c r="C84" s="6" t="n">
        <v>8</v>
      </c>
      <c r="D84" s="6" t="s">
        <v>3769</v>
      </c>
      <c r="E84" s="6" t="n">
        <f aca="false">ROUND($J$3*(1+0.12*(C84-1))*1.25,1)</f>
        <v>11.5</v>
      </c>
      <c r="F84" s="9" t="n">
        <v>1.5</v>
      </c>
      <c r="G84" s="6" t="s">
        <v>3764</v>
      </c>
    </row>
    <row r="85" customFormat="false" ht="15" hidden="false" customHeight="true" outlineLevel="0" collapsed="false">
      <c r="A85" s="6" t="s">
        <v>3856</v>
      </c>
      <c r="B85" s="6" t="s">
        <v>3767</v>
      </c>
      <c r="C85" s="6" t="n">
        <v>8</v>
      </c>
      <c r="D85" s="6" t="s">
        <v>3772</v>
      </c>
      <c r="E85" s="6" t="n">
        <f aca="false">ROUND($J$3*(1+0.12*(C85-1))*1.6,1)</f>
        <v>14.7</v>
      </c>
      <c r="F85" s="9" t="n">
        <v>2.6</v>
      </c>
      <c r="G85" s="6" t="s">
        <v>3764</v>
      </c>
    </row>
    <row r="86" customFormat="false" ht="15" hidden="false" customHeight="true" outlineLevel="0" collapsed="false">
      <c r="A86" s="6" t="s">
        <v>3857</v>
      </c>
      <c r="B86" s="6" t="s">
        <v>3767</v>
      </c>
      <c r="C86" s="6" t="n">
        <v>8</v>
      </c>
      <c r="D86" s="6" t="s">
        <v>3774</v>
      </c>
      <c r="E86" s="6" t="n">
        <f aca="false">ROUND($J$3*(1+0.12*(C86-1))*2.2,1)</f>
        <v>20.2</v>
      </c>
      <c r="F86" s="6" t="s">
        <v>3775</v>
      </c>
      <c r="G86" s="6" t="s">
        <v>3776</v>
      </c>
    </row>
    <row r="87" customFormat="false" ht="15" hidden="false" customHeight="true" outlineLevel="0" collapsed="false">
      <c r="A87" s="6" t="s">
        <v>3858</v>
      </c>
      <c r="B87" s="6" t="s">
        <v>3767</v>
      </c>
      <c r="C87" s="6" t="n">
        <v>9</v>
      </c>
      <c r="D87" s="6" t="s">
        <v>3763</v>
      </c>
      <c r="E87" s="6" t="n">
        <f aca="false">ROUND($J$3*(1+0.12*(C87-1))*0.7,1)</f>
        <v>6.9</v>
      </c>
      <c r="F87" s="9" t="n">
        <v>0.8</v>
      </c>
      <c r="G87" s="6" t="s">
        <v>3764</v>
      </c>
    </row>
    <row r="88" customFormat="false" ht="15" hidden="false" customHeight="true" outlineLevel="0" collapsed="false">
      <c r="A88" s="6" t="s">
        <v>3859</v>
      </c>
      <c r="B88" s="6" t="s">
        <v>3767</v>
      </c>
      <c r="C88" s="6" t="n">
        <v>9</v>
      </c>
      <c r="D88" s="6" t="s">
        <v>3766</v>
      </c>
      <c r="E88" s="6" t="n">
        <f aca="false">ROUND($J$3*(1+0.12*(C88-1))*1,1)</f>
        <v>9.8</v>
      </c>
      <c r="F88" s="9" t="n">
        <v>1</v>
      </c>
      <c r="G88" s="6" t="s">
        <v>3764</v>
      </c>
    </row>
    <row r="89" customFormat="false" ht="15" hidden="false" customHeight="true" outlineLevel="0" collapsed="false">
      <c r="A89" s="6" t="s">
        <v>3860</v>
      </c>
      <c r="B89" s="6" t="s">
        <v>3767</v>
      </c>
      <c r="C89" s="6" t="n">
        <v>9</v>
      </c>
      <c r="D89" s="6" t="s">
        <v>3769</v>
      </c>
      <c r="E89" s="6" t="n">
        <f aca="false">ROUND($J$3*(1+0.12*(C89-1))*1.25,1)</f>
        <v>12.3</v>
      </c>
      <c r="F89" s="9" t="n">
        <v>1.5</v>
      </c>
      <c r="G89" s="6" t="s">
        <v>3764</v>
      </c>
    </row>
    <row r="90" customFormat="false" ht="15" hidden="false" customHeight="true" outlineLevel="0" collapsed="false">
      <c r="A90" s="6" t="s">
        <v>3861</v>
      </c>
      <c r="B90" s="6" t="s">
        <v>3767</v>
      </c>
      <c r="C90" s="6" t="n">
        <v>9</v>
      </c>
      <c r="D90" s="6" t="s">
        <v>3772</v>
      </c>
      <c r="E90" s="6" t="n">
        <f aca="false">ROUND($J$3*(1+0.12*(C90-1))*1.6,1)</f>
        <v>15.7</v>
      </c>
      <c r="F90" s="9" t="n">
        <v>2.6</v>
      </c>
      <c r="G90" s="6" t="s">
        <v>3764</v>
      </c>
    </row>
    <row r="91" customFormat="false" ht="15" hidden="false" customHeight="true" outlineLevel="0" collapsed="false">
      <c r="A91" s="6" t="s">
        <v>3862</v>
      </c>
      <c r="B91" s="6" t="s">
        <v>3767</v>
      </c>
      <c r="C91" s="6" t="n">
        <v>9</v>
      </c>
      <c r="D91" s="6" t="s">
        <v>3774</v>
      </c>
      <c r="E91" s="6" t="n">
        <f aca="false">ROUND($J$3*(1+0.12*(C91-1))*2.2,1)</f>
        <v>21.6</v>
      </c>
      <c r="F91" s="6" t="s">
        <v>3775</v>
      </c>
      <c r="G91" s="6" t="s">
        <v>3776</v>
      </c>
    </row>
    <row r="92" customFormat="false" ht="15" hidden="false" customHeight="true" outlineLevel="0" collapsed="false">
      <c r="A92" s="6" t="s">
        <v>3863</v>
      </c>
      <c r="B92" s="6" t="s">
        <v>3770</v>
      </c>
      <c r="C92" s="6" t="n">
        <v>1</v>
      </c>
      <c r="D92" s="6" t="s">
        <v>3763</v>
      </c>
      <c r="E92" s="6" t="n">
        <f aca="false">ROUND($J$4*(1+0.12*(C92-1))*0.7,1)</f>
        <v>2.8</v>
      </c>
      <c r="F92" s="9" t="n">
        <v>0.8</v>
      </c>
      <c r="G92" s="6" t="s">
        <v>3764</v>
      </c>
    </row>
    <row r="93" customFormat="false" ht="15" hidden="false" customHeight="true" outlineLevel="0" collapsed="false">
      <c r="A93" s="6" t="s">
        <v>3864</v>
      </c>
      <c r="B93" s="6" t="s">
        <v>3770</v>
      </c>
      <c r="C93" s="6" t="n">
        <v>1</v>
      </c>
      <c r="D93" s="6" t="s">
        <v>3766</v>
      </c>
      <c r="E93" s="6" t="n">
        <f aca="false">ROUND($J$4*(1+0.12*(C93-1))*1,1)</f>
        <v>4</v>
      </c>
      <c r="F93" s="9" t="n">
        <v>1</v>
      </c>
      <c r="G93" s="6" t="s">
        <v>3764</v>
      </c>
    </row>
    <row r="94" customFormat="false" ht="15" hidden="false" customHeight="true" outlineLevel="0" collapsed="false">
      <c r="A94" s="6" t="s">
        <v>3865</v>
      </c>
      <c r="B94" s="6" t="s">
        <v>3770</v>
      </c>
      <c r="C94" s="6" t="n">
        <v>1</v>
      </c>
      <c r="D94" s="6" t="s">
        <v>3769</v>
      </c>
      <c r="E94" s="6" t="n">
        <f aca="false">ROUND($J$4*(1+0.12*(C94-1))*1.25,1)</f>
        <v>5</v>
      </c>
      <c r="F94" s="9" t="n">
        <v>1.5</v>
      </c>
      <c r="G94" s="6" t="s">
        <v>3764</v>
      </c>
    </row>
    <row r="95" customFormat="false" ht="15" hidden="false" customHeight="true" outlineLevel="0" collapsed="false">
      <c r="A95" s="6" t="s">
        <v>3866</v>
      </c>
      <c r="B95" s="6" t="s">
        <v>3770</v>
      </c>
      <c r="C95" s="6" t="n">
        <v>1</v>
      </c>
      <c r="D95" s="6" t="s">
        <v>3772</v>
      </c>
      <c r="E95" s="6" t="n">
        <f aca="false">ROUND($J$4*(1+0.12*(C95-1))*1.6,1)</f>
        <v>6.4</v>
      </c>
      <c r="F95" s="9" t="n">
        <v>2.6</v>
      </c>
      <c r="G95" s="6" t="s">
        <v>3764</v>
      </c>
    </row>
    <row r="96" customFormat="false" ht="15" hidden="false" customHeight="true" outlineLevel="0" collapsed="false">
      <c r="A96" s="6" t="s">
        <v>3867</v>
      </c>
      <c r="B96" s="6" t="s">
        <v>3770</v>
      </c>
      <c r="C96" s="6" t="n">
        <v>1</v>
      </c>
      <c r="D96" s="6" t="s">
        <v>3774</v>
      </c>
      <c r="E96" s="6" t="n">
        <f aca="false">ROUND($J$4*(1+0.12*(C96-1))*2.2,1)</f>
        <v>8.8</v>
      </c>
      <c r="F96" s="6" t="s">
        <v>3775</v>
      </c>
      <c r="G96" s="6" t="s">
        <v>3776</v>
      </c>
    </row>
    <row r="97" customFormat="false" ht="15" hidden="false" customHeight="true" outlineLevel="0" collapsed="false">
      <c r="A97" s="6" t="s">
        <v>3868</v>
      </c>
      <c r="B97" s="6" t="s">
        <v>3770</v>
      </c>
      <c r="C97" s="6" t="n">
        <v>2</v>
      </c>
      <c r="D97" s="6" t="s">
        <v>3763</v>
      </c>
      <c r="E97" s="6" t="n">
        <f aca="false">ROUND($J$4*(1+0.12*(C97-1))*0.7,1)</f>
        <v>3.1</v>
      </c>
      <c r="F97" s="9" t="n">
        <v>0.8</v>
      </c>
      <c r="G97" s="6" t="s">
        <v>3764</v>
      </c>
    </row>
    <row r="98" customFormat="false" ht="15" hidden="false" customHeight="true" outlineLevel="0" collapsed="false">
      <c r="A98" s="6" t="s">
        <v>3869</v>
      </c>
      <c r="B98" s="6" t="s">
        <v>3770</v>
      </c>
      <c r="C98" s="6" t="n">
        <v>2</v>
      </c>
      <c r="D98" s="6" t="s">
        <v>3766</v>
      </c>
      <c r="E98" s="6" t="n">
        <f aca="false">ROUND($J$4*(1+0.12*(C98-1))*1,1)</f>
        <v>4.5</v>
      </c>
      <c r="F98" s="9" t="n">
        <v>1</v>
      </c>
      <c r="G98" s="6" t="s">
        <v>3764</v>
      </c>
    </row>
    <row r="99" customFormat="false" ht="15" hidden="false" customHeight="true" outlineLevel="0" collapsed="false">
      <c r="A99" s="6" t="s">
        <v>3870</v>
      </c>
      <c r="B99" s="6" t="s">
        <v>3770</v>
      </c>
      <c r="C99" s="6" t="n">
        <v>2</v>
      </c>
      <c r="D99" s="6" t="s">
        <v>3769</v>
      </c>
      <c r="E99" s="6" t="n">
        <f aca="false">ROUND($J$4*(1+0.12*(C99-1))*1.25,1)</f>
        <v>5.6</v>
      </c>
      <c r="F99" s="9" t="n">
        <v>1.5</v>
      </c>
      <c r="G99" s="6" t="s">
        <v>3764</v>
      </c>
    </row>
    <row r="100" customFormat="false" ht="15" hidden="false" customHeight="true" outlineLevel="0" collapsed="false">
      <c r="A100" s="6" t="s">
        <v>3871</v>
      </c>
      <c r="B100" s="6" t="s">
        <v>3770</v>
      </c>
      <c r="C100" s="6" t="n">
        <v>2</v>
      </c>
      <c r="D100" s="6" t="s">
        <v>3772</v>
      </c>
      <c r="E100" s="6" t="n">
        <f aca="false">ROUND($J$4*(1+0.12*(C100-1))*1.6,1)</f>
        <v>7.2</v>
      </c>
      <c r="F100" s="9" t="n">
        <v>2.6</v>
      </c>
      <c r="G100" s="6" t="s">
        <v>3764</v>
      </c>
    </row>
    <row r="101" customFormat="false" ht="15" hidden="false" customHeight="true" outlineLevel="0" collapsed="false">
      <c r="A101" s="6" t="s">
        <v>3872</v>
      </c>
      <c r="B101" s="6" t="s">
        <v>3770</v>
      </c>
      <c r="C101" s="6" t="n">
        <v>2</v>
      </c>
      <c r="D101" s="6" t="s">
        <v>3774</v>
      </c>
      <c r="E101" s="6" t="n">
        <f aca="false">ROUND($J$4*(1+0.12*(C101-1))*2.2,1)</f>
        <v>9.9</v>
      </c>
      <c r="F101" s="6" t="s">
        <v>3775</v>
      </c>
      <c r="G101" s="6" t="s">
        <v>3776</v>
      </c>
    </row>
    <row r="102" customFormat="false" ht="15" hidden="false" customHeight="true" outlineLevel="0" collapsed="false">
      <c r="A102" s="6" t="s">
        <v>3873</v>
      </c>
      <c r="B102" s="6" t="s">
        <v>3770</v>
      </c>
      <c r="C102" s="6" t="n">
        <v>3</v>
      </c>
      <c r="D102" s="6" t="s">
        <v>3763</v>
      </c>
      <c r="E102" s="6" t="n">
        <f aca="false">ROUND($J$4*(1+0.12*(C102-1))*0.7,1)</f>
        <v>3.5</v>
      </c>
      <c r="F102" s="9" t="n">
        <v>0.8</v>
      </c>
      <c r="G102" s="6" t="s">
        <v>3764</v>
      </c>
    </row>
    <row r="103" customFormat="false" ht="15" hidden="false" customHeight="true" outlineLevel="0" collapsed="false">
      <c r="A103" s="6" t="s">
        <v>3874</v>
      </c>
      <c r="B103" s="6" t="s">
        <v>3770</v>
      </c>
      <c r="C103" s="6" t="n">
        <v>3</v>
      </c>
      <c r="D103" s="6" t="s">
        <v>3766</v>
      </c>
      <c r="E103" s="6" t="n">
        <f aca="false">ROUND($J$4*(1+0.12*(C103-1))*1,1)</f>
        <v>5</v>
      </c>
      <c r="F103" s="9" t="n">
        <v>1</v>
      </c>
      <c r="G103" s="6" t="s">
        <v>3764</v>
      </c>
    </row>
    <row r="104" customFormat="false" ht="15" hidden="false" customHeight="true" outlineLevel="0" collapsed="false">
      <c r="A104" s="6" t="s">
        <v>3875</v>
      </c>
      <c r="B104" s="6" t="s">
        <v>3770</v>
      </c>
      <c r="C104" s="6" t="n">
        <v>3</v>
      </c>
      <c r="D104" s="6" t="s">
        <v>3769</v>
      </c>
      <c r="E104" s="6" t="n">
        <f aca="false">ROUND($J$4*(1+0.12*(C104-1))*1.25,1)</f>
        <v>6.2</v>
      </c>
      <c r="F104" s="9" t="n">
        <v>1.5</v>
      </c>
      <c r="G104" s="6" t="s">
        <v>3764</v>
      </c>
    </row>
    <row r="105" customFormat="false" ht="15" hidden="false" customHeight="true" outlineLevel="0" collapsed="false">
      <c r="A105" s="6" t="s">
        <v>3876</v>
      </c>
      <c r="B105" s="6" t="s">
        <v>3770</v>
      </c>
      <c r="C105" s="6" t="n">
        <v>3</v>
      </c>
      <c r="D105" s="6" t="s">
        <v>3772</v>
      </c>
      <c r="E105" s="6" t="n">
        <f aca="false">ROUND($J$4*(1+0.12*(C105-1))*1.6,1)</f>
        <v>7.9</v>
      </c>
      <c r="F105" s="9" t="n">
        <v>2.6</v>
      </c>
      <c r="G105" s="6" t="s">
        <v>3764</v>
      </c>
    </row>
    <row r="106" customFormat="false" ht="15" hidden="false" customHeight="true" outlineLevel="0" collapsed="false">
      <c r="A106" s="6" t="s">
        <v>3877</v>
      </c>
      <c r="B106" s="6" t="s">
        <v>3770</v>
      </c>
      <c r="C106" s="6" t="n">
        <v>3</v>
      </c>
      <c r="D106" s="6" t="s">
        <v>3774</v>
      </c>
      <c r="E106" s="6" t="n">
        <f aca="false">ROUND($J$4*(1+0.12*(C106-1))*2.2,1)</f>
        <v>10.9</v>
      </c>
      <c r="F106" s="6" t="s">
        <v>3775</v>
      </c>
      <c r="G106" s="6" t="s">
        <v>3776</v>
      </c>
    </row>
    <row r="107" customFormat="false" ht="15" hidden="false" customHeight="true" outlineLevel="0" collapsed="false">
      <c r="A107" s="6" t="s">
        <v>3878</v>
      </c>
      <c r="B107" s="6" t="s">
        <v>3770</v>
      </c>
      <c r="C107" s="6" t="n">
        <v>4</v>
      </c>
      <c r="D107" s="6" t="s">
        <v>3763</v>
      </c>
      <c r="E107" s="6" t="n">
        <f aca="false">ROUND($J$4*(1+0.12*(C107-1))*0.7,1)</f>
        <v>3.8</v>
      </c>
      <c r="F107" s="9" t="n">
        <v>0.8</v>
      </c>
      <c r="G107" s="6" t="s">
        <v>3764</v>
      </c>
    </row>
    <row r="108" customFormat="false" ht="15" hidden="false" customHeight="true" outlineLevel="0" collapsed="false">
      <c r="A108" s="6" t="s">
        <v>3879</v>
      </c>
      <c r="B108" s="6" t="s">
        <v>3770</v>
      </c>
      <c r="C108" s="6" t="n">
        <v>4</v>
      </c>
      <c r="D108" s="6" t="s">
        <v>3766</v>
      </c>
      <c r="E108" s="6" t="n">
        <f aca="false">ROUND($J$4*(1+0.12*(C108-1))*1,1)</f>
        <v>5.4</v>
      </c>
      <c r="F108" s="9" t="n">
        <v>1</v>
      </c>
      <c r="G108" s="6" t="s">
        <v>3764</v>
      </c>
    </row>
    <row r="109" customFormat="false" ht="15" hidden="false" customHeight="true" outlineLevel="0" collapsed="false">
      <c r="A109" s="6" t="s">
        <v>3880</v>
      </c>
      <c r="B109" s="6" t="s">
        <v>3770</v>
      </c>
      <c r="C109" s="6" t="n">
        <v>4</v>
      </c>
      <c r="D109" s="6" t="s">
        <v>3769</v>
      </c>
      <c r="E109" s="6" t="n">
        <f aca="false">ROUND($J$4*(1+0.12*(C109-1))*1.25,1)</f>
        <v>6.8</v>
      </c>
      <c r="F109" s="9" t="n">
        <v>1.5</v>
      </c>
      <c r="G109" s="6" t="s">
        <v>3764</v>
      </c>
    </row>
    <row r="110" customFormat="false" ht="15" hidden="false" customHeight="true" outlineLevel="0" collapsed="false">
      <c r="A110" s="6" t="s">
        <v>3881</v>
      </c>
      <c r="B110" s="6" t="s">
        <v>3770</v>
      </c>
      <c r="C110" s="6" t="n">
        <v>4</v>
      </c>
      <c r="D110" s="6" t="s">
        <v>3772</v>
      </c>
      <c r="E110" s="6" t="n">
        <f aca="false">ROUND($J$4*(1+0.12*(C110-1))*1.6,1)</f>
        <v>8.7</v>
      </c>
      <c r="F110" s="9" t="n">
        <v>2.6</v>
      </c>
      <c r="G110" s="6" t="s">
        <v>3764</v>
      </c>
    </row>
    <row r="111" customFormat="false" ht="15" hidden="false" customHeight="true" outlineLevel="0" collapsed="false">
      <c r="A111" s="6" t="s">
        <v>3882</v>
      </c>
      <c r="B111" s="6" t="s">
        <v>3770</v>
      </c>
      <c r="C111" s="6" t="n">
        <v>4</v>
      </c>
      <c r="D111" s="6" t="s">
        <v>3774</v>
      </c>
      <c r="E111" s="6" t="n">
        <f aca="false">ROUND($J$4*(1+0.12*(C111-1))*2.2,1)</f>
        <v>12</v>
      </c>
      <c r="F111" s="6" t="s">
        <v>3775</v>
      </c>
      <c r="G111" s="6" t="s">
        <v>3776</v>
      </c>
    </row>
    <row r="112" customFormat="false" ht="15" hidden="false" customHeight="true" outlineLevel="0" collapsed="false">
      <c r="A112" s="6" t="s">
        <v>3883</v>
      </c>
      <c r="B112" s="6" t="s">
        <v>3770</v>
      </c>
      <c r="C112" s="6" t="n">
        <v>5</v>
      </c>
      <c r="D112" s="6" t="s">
        <v>3763</v>
      </c>
      <c r="E112" s="6" t="n">
        <f aca="false">ROUND($J$4*(1+0.12*(C112-1))*0.7,1)</f>
        <v>4.1</v>
      </c>
      <c r="F112" s="9" t="n">
        <v>0.8</v>
      </c>
      <c r="G112" s="6" t="s">
        <v>3764</v>
      </c>
    </row>
    <row r="113" customFormat="false" ht="15" hidden="false" customHeight="true" outlineLevel="0" collapsed="false">
      <c r="A113" s="6" t="s">
        <v>3884</v>
      </c>
      <c r="B113" s="6" t="s">
        <v>3770</v>
      </c>
      <c r="C113" s="6" t="n">
        <v>5</v>
      </c>
      <c r="D113" s="6" t="s">
        <v>3766</v>
      </c>
      <c r="E113" s="6" t="n">
        <f aca="false">ROUND($J$4*(1+0.12*(C113-1))*1,1)</f>
        <v>5.9</v>
      </c>
      <c r="F113" s="9" t="n">
        <v>1</v>
      </c>
      <c r="G113" s="6" t="s">
        <v>3764</v>
      </c>
    </row>
    <row r="114" customFormat="false" ht="15" hidden="false" customHeight="true" outlineLevel="0" collapsed="false">
      <c r="A114" s="6" t="s">
        <v>3885</v>
      </c>
      <c r="B114" s="6" t="s">
        <v>3770</v>
      </c>
      <c r="C114" s="6" t="n">
        <v>5</v>
      </c>
      <c r="D114" s="6" t="s">
        <v>3769</v>
      </c>
      <c r="E114" s="6" t="n">
        <f aca="false">ROUND($J$4*(1+0.12*(C114-1))*1.25,1)</f>
        <v>7.4</v>
      </c>
      <c r="F114" s="9" t="n">
        <v>1.5</v>
      </c>
      <c r="G114" s="6" t="s">
        <v>3764</v>
      </c>
    </row>
    <row r="115" customFormat="false" ht="15" hidden="false" customHeight="true" outlineLevel="0" collapsed="false">
      <c r="A115" s="6" t="s">
        <v>3886</v>
      </c>
      <c r="B115" s="6" t="s">
        <v>3770</v>
      </c>
      <c r="C115" s="6" t="n">
        <v>5</v>
      </c>
      <c r="D115" s="6" t="s">
        <v>3772</v>
      </c>
      <c r="E115" s="6" t="n">
        <f aca="false">ROUND($J$4*(1+0.12*(C115-1))*1.6,1)</f>
        <v>9.5</v>
      </c>
      <c r="F115" s="9" t="n">
        <v>2.6</v>
      </c>
      <c r="G115" s="6" t="s">
        <v>3764</v>
      </c>
    </row>
    <row r="116" customFormat="false" ht="15" hidden="false" customHeight="true" outlineLevel="0" collapsed="false">
      <c r="A116" s="6" t="s">
        <v>3887</v>
      </c>
      <c r="B116" s="6" t="s">
        <v>3770</v>
      </c>
      <c r="C116" s="6" t="n">
        <v>5</v>
      </c>
      <c r="D116" s="6" t="s">
        <v>3774</v>
      </c>
      <c r="E116" s="6" t="n">
        <f aca="false">ROUND($J$4*(1+0.12*(C116-1))*2.2,1)</f>
        <v>13</v>
      </c>
      <c r="F116" s="6" t="s">
        <v>3775</v>
      </c>
      <c r="G116" s="6" t="s">
        <v>3776</v>
      </c>
    </row>
    <row r="117" customFormat="false" ht="15" hidden="false" customHeight="true" outlineLevel="0" collapsed="false">
      <c r="A117" s="6" t="s">
        <v>3888</v>
      </c>
      <c r="B117" s="6" t="s">
        <v>3770</v>
      </c>
      <c r="C117" s="6" t="n">
        <v>6</v>
      </c>
      <c r="D117" s="6" t="s">
        <v>3763</v>
      </c>
      <c r="E117" s="6" t="n">
        <f aca="false">ROUND($J$4*(1+0.12*(C117-1))*0.7,1)</f>
        <v>4.5</v>
      </c>
      <c r="F117" s="9" t="n">
        <v>0.8</v>
      </c>
      <c r="G117" s="6" t="s">
        <v>3764</v>
      </c>
    </row>
    <row r="118" customFormat="false" ht="15" hidden="false" customHeight="true" outlineLevel="0" collapsed="false">
      <c r="A118" s="6" t="s">
        <v>3889</v>
      </c>
      <c r="B118" s="6" t="s">
        <v>3770</v>
      </c>
      <c r="C118" s="6" t="n">
        <v>6</v>
      </c>
      <c r="D118" s="6" t="s">
        <v>3766</v>
      </c>
      <c r="E118" s="6" t="n">
        <f aca="false">ROUND($J$4*(1+0.12*(C118-1))*1,1)</f>
        <v>6.4</v>
      </c>
      <c r="F118" s="9" t="n">
        <v>1</v>
      </c>
      <c r="G118" s="6" t="s">
        <v>3764</v>
      </c>
    </row>
    <row r="119" customFormat="false" ht="15" hidden="false" customHeight="true" outlineLevel="0" collapsed="false">
      <c r="A119" s="6" t="s">
        <v>3890</v>
      </c>
      <c r="B119" s="6" t="s">
        <v>3770</v>
      </c>
      <c r="C119" s="6" t="n">
        <v>6</v>
      </c>
      <c r="D119" s="6" t="s">
        <v>3769</v>
      </c>
      <c r="E119" s="6" t="n">
        <f aca="false">ROUND($J$4*(1+0.12*(C119-1))*1.25,1)</f>
        <v>8</v>
      </c>
      <c r="F119" s="9" t="n">
        <v>1.5</v>
      </c>
      <c r="G119" s="6" t="s">
        <v>3764</v>
      </c>
    </row>
    <row r="120" customFormat="false" ht="15" hidden="false" customHeight="true" outlineLevel="0" collapsed="false">
      <c r="A120" s="6" t="s">
        <v>3891</v>
      </c>
      <c r="B120" s="6" t="s">
        <v>3770</v>
      </c>
      <c r="C120" s="6" t="n">
        <v>6</v>
      </c>
      <c r="D120" s="6" t="s">
        <v>3772</v>
      </c>
      <c r="E120" s="6" t="n">
        <f aca="false">ROUND($J$4*(1+0.12*(C120-1))*1.6,1)</f>
        <v>10.2</v>
      </c>
      <c r="F120" s="9" t="n">
        <v>2.6</v>
      </c>
      <c r="G120" s="6" t="s">
        <v>3764</v>
      </c>
    </row>
    <row r="121" customFormat="false" ht="15" hidden="false" customHeight="true" outlineLevel="0" collapsed="false">
      <c r="A121" s="6" t="s">
        <v>3892</v>
      </c>
      <c r="B121" s="6" t="s">
        <v>3770</v>
      </c>
      <c r="C121" s="6" t="n">
        <v>6</v>
      </c>
      <c r="D121" s="6" t="s">
        <v>3774</v>
      </c>
      <c r="E121" s="6" t="n">
        <f aca="false">ROUND($J$4*(1+0.12*(C121-1))*2.2,1)</f>
        <v>14.1</v>
      </c>
      <c r="F121" s="6" t="s">
        <v>3775</v>
      </c>
      <c r="G121" s="6" t="s">
        <v>3776</v>
      </c>
    </row>
    <row r="122" customFormat="false" ht="15" hidden="false" customHeight="true" outlineLevel="0" collapsed="false">
      <c r="A122" s="6" t="s">
        <v>3893</v>
      </c>
      <c r="B122" s="6" t="s">
        <v>3770</v>
      </c>
      <c r="C122" s="6" t="n">
        <v>7</v>
      </c>
      <c r="D122" s="6" t="s">
        <v>3763</v>
      </c>
      <c r="E122" s="6" t="n">
        <f aca="false">ROUND($J$4*(1+0.12*(C122-1))*0.7,1)</f>
        <v>4.8</v>
      </c>
      <c r="F122" s="9" t="n">
        <v>0.8</v>
      </c>
      <c r="G122" s="6" t="s">
        <v>3764</v>
      </c>
    </row>
    <row r="123" customFormat="false" ht="15" hidden="false" customHeight="true" outlineLevel="0" collapsed="false">
      <c r="A123" s="6" t="s">
        <v>3894</v>
      </c>
      <c r="B123" s="6" t="s">
        <v>3770</v>
      </c>
      <c r="C123" s="6" t="n">
        <v>7</v>
      </c>
      <c r="D123" s="6" t="s">
        <v>3766</v>
      </c>
      <c r="E123" s="6" t="n">
        <f aca="false">ROUND($J$4*(1+0.12*(C123-1))*1,1)</f>
        <v>6.9</v>
      </c>
      <c r="F123" s="9" t="n">
        <v>1</v>
      </c>
      <c r="G123" s="6" t="s">
        <v>3764</v>
      </c>
    </row>
    <row r="124" customFormat="false" ht="15" hidden="false" customHeight="true" outlineLevel="0" collapsed="false">
      <c r="A124" s="6" t="s">
        <v>3895</v>
      </c>
      <c r="B124" s="6" t="s">
        <v>3770</v>
      </c>
      <c r="C124" s="6" t="n">
        <v>7</v>
      </c>
      <c r="D124" s="6" t="s">
        <v>3769</v>
      </c>
      <c r="E124" s="6" t="n">
        <f aca="false">ROUND($J$4*(1+0.12*(C124-1))*1.25,1)</f>
        <v>8.6</v>
      </c>
      <c r="F124" s="9" t="n">
        <v>1.5</v>
      </c>
      <c r="G124" s="6" t="s">
        <v>3764</v>
      </c>
    </row>
    <row r="125" customFormat="false" ht="15" hidden="false" customHeight="true" outlineLevel="0" collapsed="false">
      <c r="A125" s="6" t="s">
        <v>3896</v>
      </c>
      <c r="B125" s="6" t="s">
        <v>3770</v>
      </c>
      <c r="C125" s="6" t="n">
        <v>7</v>
      </c>
      <c r="D125" s="6" t="s">
        <v>3772</v>
      </c>
      <c r="E125" s="6" t="n">
        <f aca="false">ROUND($J$4*(1+0.12*(C125-1))*1.6,1)</f>
        <v>11</v>
      </c>
      <c r="F125" s="9" t="n">
        <v>2.6</v>
      </c>
      <c r="G125" s="6" t="s">
        <v>3764</v>
      </c>
    </row>
    <row r="126" customFormat="false" ht="15" hidden="false" customHeight="true" outlineLevel="0" collapsed="false">
      <c r="A126" s="6" t="s">
        <v>3897</v>
      </c>
      <c r="B126" s="6" t="s">
        <v>3770</v>
      </c>
      <c r="C126" s="6" t="n">
        <v>7</v>
      </c>
      <c r="D126" s="6" t="s">
        <v>3774</v>
      </c>
      <c r="E126" s="6" t="n">
        <f aca="false">ROUND($J$4*(1+0.12*(C126-1))*2.2,1)</f>
        <v>15.1</v>
      </c>
      <c r="F126" s="6" t="s">
        <v>3775</v>
      </c>
      <c r="G126" s="6" t="s">
        <v>3776</v>
      </c>
    </row>
    <row r="127" customFormat="false" ht="15" hidden="false" customHeight="true" outlineLevel="0" collapsed="false">
      <c r="A127" s="6" t="s">
        <v>3898</v>
      </c>
      <c r="B127" s="6" t="s">
        <v>3770</v>
      </c>
      <c r="C127" s="6" t="n">
        <v>8</v>
      </c>
      <c r="D127" s="6" t="s">
        <v>3763</v>
      </c>
      <c r="E127" s="6" t="n">
        <f aca="false">ROUND($J$4*(1+0.12*(C127-1))*0.7,1)</f>
        <v>5.2</v>
      </c>
      <c r="F127" s="9" t="n">
        <v>0.8</v>
      </c>
      <c r="G127" s="6" t="s">
        <v>3764</v>
      </c>
    </row>
    <row r="128" customFormat="false" ht="15" hidden="false" customHeight="true" outlineLevel="0" collapsed="false">
      <c r="A128" s="6" t="s">
        <v>3899</v>
      </c>
      <c r="B128" s="6" t="s">
        <v>3770</v>
      </c>
      <c r="C128" s="6" t="n">
        <v>8</v>
      </c>
      <c r="D128" s="6" t="s">
        <v>3766</v>
      </c>
      <c r="E128" s="6" t="n">
        <f aca="false">ROUND($J$4*(1+0.12*(C128-1))*1,1)</f>
        <v>7.4</v>
      </c>
      <c r="F128" s="9" t="n">
        <v>1</v>
      </c>
      <c r="G128" s="6" t="s">
        <v>3764</v>
      </c>
    </row>
    <row r="129" customFormat="false" ht="15" hidden="false" customHeight="true" outlineLevel="0" collapsed="false">
      <c r="A129" s="6" t="s">
        <v>3900</v>
      </c>
      <c r="B129" s="6" t="s">
        <v>3770</v>
      </c>
      <c r="C129" s="6" t="n">
        <v>8</v>
      </c>
      <c r="D129" s="6" t="s">
        <v>3769</v>
      </c>
      <c r="E129" s="6" t="n">
        <f aca="false">ROUND($J$4*(1+0.12*(C129-1))*1.25,1)</f>
        <v>9.2</v>
      </c>
      <c r="F129" s="9" t="n">
        <v>1.5</v>
      </c>
      <c r="G129" s="6" t="s">
        <v>3764</v>
      </c>
    </row>
    <row r="130" customFormat="false" ht="15" hidden="false" customHeight="true" outlineLevel="0" collapsed="false">
      <c r="A130" s="6" t="s">
        <v>3901</v>
      </c>
      <c r="B130" s="6" t="s">
        <v>3770</v>
      </c>
      <c r="C130" s="6" t="n">
        <v>8</v>
      </c>
      <c r="D130" s="6" t="s">
        <v>3772</v>
      </c>
      <c r="E130" s="6" t="n">
        <f aca="false">ROUND($J$4*(1+0.12*(C130-1))*1.6,1)</f>
        <v>11.8</v>
      </c>
      <c r="F130" s="9" t="n">
        <v>2.6</v>
      </c>
      <c r="G130" s="6" t="s">
        <v>3764</v>
      </c>
    </row>
    <row r="131" customFormat="false" ht="15" hidden="false" customHeight="true" outlineLevel="0" collapsed="false">
      <c r="A131" s="6" t="s">
        <v>3902</v>
      </c>
      <c r="B131" s="6" t="s">
        <v>3770</v>
      </c>
      <c r="C131" s="6" t="n">
        <v>8</v>
      </c>
      <c r="D131" s="6" t="s">
        <v>3774</v>
      </c>
      <c r="E131" s="6" t="n">
        <f aca="false">ROUND($J$4*(1+0.12*(C131-1))*2.2,1)</f>
        <v>16.2</v>
      </c>
      <c r="F131" s="6" t="s">
        <v>3775</v>
      </c>
      <c r="G131" s="6" t="s">
        <v>3776</v>
      </c>
    </row>
    <row r="132" customFormat="false" ht="15" hidden="false" customHeight="true" outlineLevel="0" collapsed="false">
      <c r="A132" s="6" t="s">
        <v>3903</v>
      </c>
      <c r="B132" s="6" t="s">
        <v>3770</v>
      </c>
      <c r="C132" s="6" t="n">
        <v>9</v>
      </c>
      <c r="D132" s="6" t="s">
        <v>3763</v>
      </c>
      <c r="E132" s="6" t="n">
        <f aca="false">ROUND($J$4*(1+0.12*(C132-1))*0.7,1)</f>
        <v>5.5</v>
      </c>
      <c r="F132" s="9" t="n">
        <v>0.8</v>
      </c>
      <c r="G132" s="6" t="s">
        <v>3764</v>
      </c>
    </row>
    <row r="133" customFormat="false" ht="15" hidden="false" customHeight="true" outlineLevel="0" collapsed="false">
      <c r="A133" s="6" t="s">
        <v>3904</v>
      </c>
      <c r="B133" s="6" t="s">
        <v>3770</v>
      </c>
      <c r="C133" s="6" t="n">
        <v>9</v>
      </c>
      <c r="D133" s="6" t="s">
        <v>3766</v>
      </c>
      <c r="E133" s="6" t="n">
        <f aca="false">ROUND($J$4*(1+0.12*(C133-1))*1,1)</f>
        <v>7.8</v>
      </c>
      <c r="F133" s="9" t="n">
        <v>1</v>
      </c>
      <c r="G133" s="6" t="s">
        <v>3764</v>
      </c>
    </row>
    <row r="134" customFormat="false" ht="15" hidden="false" customHeight="true" outlineLevel="0" collapsed="false">
      <c r="A134" s="6" t="s">
        <v>3905</v>
      </c>
      <c r="B134" s="6" t="s">
        <v>3770</v>
      </c>
      <c r="C134" s="6" t="n">
        <v>9</v>
      </c>
      <c r="D134" s="6" t="s">
        <v>3769</v>
      </c>
      <c r="E134" s="6" t="n">
        <f aca="false">ROUND($J$4*(1+0.12*(C134-1))*1.25,1)</f>
        <v>9.8</v>
      </c>
      <c r="F134" s="9" t="n">
        <v>1.5</v>
      </c>
      <c r="G134" s="6" t="s">
        <v>3764</v>
      </c>
    </row>
    <row r="135" customFormat="false" ht="15" hidden="false" customHeight="true" outlineLevel="0" collapsed="false">
      <c r="A135" s="6" t="s">
        <v>3906</v>
      </c>
      <c r="B135" s="6" t="s">
        <v>3770</v>
      </c>
      <c r="C135" s="6" t="n">
        <v>9</v>
      </c>
      <c r="D135" s="6" t="s">
        <v>3772</v>
      </c>
      <c r="E135" s="6" t="n">
        <f aca="false">ROUND($J$4*(1+0.12*(C135-1))*1.6,1)</f>
        <v>12.5</v>
      </c>
      <c r="F135" s="9" t="n">
        <v>2.6</v>
      </c>
      <c r="G135" s="6" t="s">
        <v>3764</v>
      </c>
    </row>
    <row r="136" customFormat="false" ht="15" hidden="false" customHeight="true" outlineLevel="0" collapsed="false">
      <c r="A136" s="6" t="s">
        <v>3907</v>
      </c>
      <c r="B136" s="6" t="s">
        <v>3770</v>
      </c>
      <c r="C136" s="6" t="n">
        <v>9</v>
      </c>
      <c r="D136" s="6" t="s">
        <v>3774</v>
      </c>
      <c r="E136" s="6" t="n">
        <f aca="false">ROUND($J$4*(1+0.12*(C136-1))*2.2,1)</f>
        <v>17.2</v>
      </c>
      <c r="F136" s="6" t="s">
        <v>3775</v>
      </c>
      <c r="G136" s="6" t="s">
        <v>3776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52"/>
    <col collapsed="false" customWidth="true" hidden="false" outlineLevel="0" max="4" min="4" style="1" width="44"/>
  </cols>
  <sheetData>
    <row r="1" customFormat="false" ht="15" hidden="false" customHeight="true" outlineLevel="0" collapsed="false">
      <c r="A1" s="5" t="s">
        <v>3908</v>
      </c>
      <c r="B1" s="5" t="s">
        <v>3909</v>
      </c>
      <c r="C1" s="5" t="s">
        <v>3910</v>
      </c>
      <c r="D1" s="5" t="s">
        <v>3911</v>
      </c>
    </row>
    <row r="2" customFormat="false" ht="15" hidden="false" customHeight="true" outlineLevel="0" collapsed="false">
      <c r="A2" s="6" t="s">
        <v>3912</v>
      </c>
      <c r="B2" s="6" t="s">
        <v>3913</v>
      </c>
      <c r="C2" s="6" t="s">
        <v>3914</v>
      </c>
      <c r="D2" s="6" t="s">
        <v>3915</v>
      </c>
    </row>
    <row r="3" customFormat="false" ht="15" hidden="false" customHeight="true" outlineLevel="0" collapsed="false">
      <c r="A3" s="6" t="s">
        <v>3916</v>
      </c>
      <c r="B3" s="6" t="s">
        <v>3913</v>
      </c>
      <c r="C3" s="6" t="s">
        <v>3917</v>
      </c>
      <c r="D3" s="6" t="s">
        <v>3918</v>
      </c>
    </row>
    <row r="4" customFormat="false" ht="15" hidden="false" customHeight="true" outlineLevel="0" collapsed="false">
      <c r="A4" s="6" t="s">
        <v>3919</v>
      </c>
      <c r="B4" s="6" t="s">
        <v>3913</v>
      </c>
      <c r="C4" s="6" t="s">
        <v>3920</v>
      </c>
      <c r="D4" s="6" t="s">
        <v>3921</v>
      </c>
    </row>
    <row r="5" customFormat="false" ht="15" hidden="false" customHeight="true" outlineLevel="0" collapsed="false">
      <c r="A5" s="6" t="s">
        <v>3922</v>
      </c>
      <c r="B5" s="6" t="s">
        <v>3923</v>
      </c>
      <c r="C5" s="6" t="s">
        <v>3924</v>
      </c>
      <c r="D5" s="6" t="s">
        <v>3925</v>
      </c>
    </row>
    <row r="6" customFormat="false" ht="15" hidden="false" customHeight="true" outlineLevel="0" collapsed="false">
      <c r="A6" s="6" t="s">
        <v>3926</v>
      </c>
      <c r="B6" s="6" t="s">
        <v>3913</v>
      </c>
      <c r="C6" s="6" t="s">
        <v>3927</v>
      </c>
      <c r="D6" s="6" t="s">
        <v>3928</v>
      </c>
    </row>
    <row r="7" customFormat="false" ht="15" hidden="false" customHeight="true" outlineLevel="0" collapsed="false">
      <c r="A7" s="6" t="s">
        <v>3929</v>
      </c>
      <c r="B7" s="6" t="s">
        <v>3923</v>
      </c>
      <c r="C7" s="6" t="s">
        <v>3930</v>
      </c>
      <c r="D7" s="6" t="s">
        <v>3931</v>
      </c>
    </row>
    <row r="8" customFormat="false" ht="15" hidden="false" customHeight="true" outlineLevel="0" collapsed="false">
      <c r="A8" s="6" t="s">
        <v>3932</v>
      </c>
      <c r="B8" s="6" t="s">
        <v>3923</v>
      </c>
      <c r="C8" s="6" t="s">
        <v>3933</v>
      </c>
      <c r="D8" s="6" t="s">
        <v>3934</v>
      </c>
    </row>
    <row r="9" customFormat="false" ht="15" hidden="false" customHeight="true" outlineLevel="0" collapsed="false">
      <c r="A9" s="6" t="s">
        <v>3935</v>
      </c>
      <c r="B9" s="6" t="s">
        <v>3936</v>
      </c>
      <c r="C9" s="6" t="s">
        <v>3937</v>
      </c>
      <c r="D9" s="6" t="s">
        <v>3938</v>
      </c>
    </row>
    <row r="10" customFormat="false" ht="15" hidden="false" customHeight="true" outlineLevel="0" collapsed="false">
      <c r="A10" s="6" t="s">
        <v>3939</v>
      </c>
      <c r="B10" s="6" t="s">
        <v>3923</v>
      </c>
      <c r="C10" s="6" t="s">
        <v>3940</v>
      </c>
      <c r="D10" s="6" t="s">
        <v>3941</v>
      </c>
    </row>
    <row r="11" customFormat="false" ht="15" hidden="false" customHeight="true" outlineLevel="0" collapsed="false">
      <c r="A11" s="6" t="s">
        <v>3942</v>
      </c>
      <c r="B11" s="6" t="s">
        <v>3943</v>
      </c>
      <c r="C11" s="6" t="s">
        <v>3944</v>
      </c>
      <c r="D11" s="6" t="s">
        <v>3945</v>
      </c>
    </row>
    <row r="12" customFormat="false" ht="15" hidden="false" customHeight="true" outlineLevel="0" collapsed="false">
      <c r="A12" s="6" t="s">
        <v>3946</v>
      </c>
      <c r="B12" s="6" t="s">
        <v>3947</v>
      </c>
      <c r="C12" s="6" t="s">
        <v>3948</v>
      </c>
      <c r="D12" s="6" t="s">
        <v>3949</v>
      </c>
    </row>
    <row r="13" customFormat="false" ht="15" hidden="false" customHeight="true" outlineLevel="0" collapsed="false">
      <c r="A13" s="6" t="s">
        <v>3950</v>
      </c>
      <c r="B13" s="6" t="s">
        <v>3947</v>
      </c>
      <c r="C13" s="6" t="s">
        <v>3951</v>
      </c>
      <c r="D13" s="6" t="s">
        <v>3952</v>
      </c>
    </row>
    <row r="14" customFormat="false" ht="15" hidden="false" customHeight="true" outlineLevel="0" collapsed="false">
      <c r="A14" s="6" t="s">
        <v>3953</v>
      </c>
      <c r="B14" s="6" t="s">
        <v>3954</v>
      </c>
      <c r="C14" s="6" t="s">
        <v>3955</v>
      </c>
      <c r="D14" s="6" t="s">
        <v>3956</v>
      </c>
    </row>
    <row r="15" customFormat="false" ht="15" hidden="false" customHeight="true" outlineLevel="0" collapsed="false">
      <c r="A15" s="6" t="s">
        <v>3957</v>
      </c>
      <c r="B15" s="6" t="s">
        <v>3954</v>
      </c>
      <c r="C15" s="6" t="s">
        <v>3958</v>
      </c>
      <c r="D15" s="6" t="s">
        <v>3959</v>
      </c>
    </row>
    <row r="16" customFormat="false" ht="15" hidden="false" customHeight="true" outlineLevel="0" collapsed="false">
      <c r="A16" s="6" t="s">
        <v>3960</v>
      </c>
      <c r="B16" s="6" t="s">
        <v>3954</v>
      </c>
      <c r="C16" s="6" t="s">
        <v>3961</v>
      </c>
      <c r="D16" s="6" t="s">
        <v>3962</v>
      </c>
    </row>
    <row r="17" customFormat="false" ht="15" hidden="false" customHeight="true" outlineLevel="0" collapsed="false">
      <c r="A17" s="6" t="s">
        <v>3963</v>
      </c>
      <c r="B17" s="6" t="s">
        <v>3954</v>
      </c>
      <c r="C17" s="6" t="s">
        <v>3964</v>
      </c>
      <c r="D17" s="6" t="s">
        <v>3965</v>
      </c>
    </row>
    <row r="18" customFormat="false" ht="15" hidden="false" customHeight="true" outlineLevel="0" collapsed="false">
      <c r="A18" s="6" t="s">
        <v>3966</v>
      </c>
      <c r="B18" s="6" t="s">
        <v>3954</v>
      </c>
      <c r="C18" s="6" t="s">
        <v>3967</v>
      </c>
      <c r="D18" s="6" t="s">
        <v>3968</v>
      </c>
    </row>
    <row r="19" customFormat="false" ht="15" hidden="false" customHeight="true" outlineLevel="0" collapsed="false">
      <c r="A19" s="6" t="s">
        <v>3969</v>
      </c>
      <c r="B19" s="6" t="s">
        <v>3954</v>
      </c>
      <c r="C19" s="6" t="s">
        <v>3970</v>
      </c>
      <c r="D19" s="6" t="s">
        <v>3971</v>
      </c>
    </row>
    <row r="20" customFormat="false" ht="15" hidden="false" customHeight="true" outlineLevel="0" collapsed="false">
      <c r="A20" s="6" t="s">
        <v>3972</v>
      </c>
      <c r="B20" s="6" t="s">
        <v>3954</v>
      </c>
      <c r="C20" s="6" t="s">
        <v>3973</v>
      </c>
      <c r="D20" s="6" t="s">
        <v>3974</v>
      </c>
    </row>
    <row r="21" customFormat="false" ht="15" hidden="false" customHeight="true" outlineLevel="0" collapsed="false">
      <c r="A21" s="6" t="s">
        <v>3975</v>
      </c>
      <c r="B21" s="6" t="s">
        <v>3954</v>
      </c>
      <c r="C21" s="6" t="s">
        <v>3976</v>
      </c>
      <c r="D21" s="6" t="s">
        <v>3977</v>
      </c>
    </row>
    <row r="22" customFormat="false" ht="15" hidden="false" customHeight="true" outlineLevel="0" collapsed="false">
      <c r="A22" s="6" t="s">
        <v>3978</v>
      </c>
      <c r="B22" s="6" t="s">
        <v>3954</v>
      </c>
      <c r="C22" s="6" t="s">
        <v>3979</v>
      </c>
      <c r="D22" s="6" t="s">
        <v>3980</v>
      </c>
    </row>
    <row r="23" customFormat="false" ht="15" hidden="false" customHeight="true" outlineLevel="0" collapsed="false">
      <c r="A23" s="6" t="s">
        <v>3981</v>
      </c>
      <c r="B23" s="6" t="s">
        <v>3954</v>
      </c>
      <c r="C23" s="6" t="s">
        <v>3982</v>
      </c>
      <c r="D23" s="6" t="s">
        <v>3983</v>
      </c>
    </row>
    <row r="24" customFormat="false" ht="15" hidden="false" customHeight="true" outlineLevel="0" collapsed="false">
      <c r="A24" s="6" t="s">
        <v>3984</v>
      </c>
      <c r="B24" s="6" t="s">
        <v>3954</v>
      </c>
      <c r="C24" s="6" t="s">
        <v>3985</v>
      </c>
      <c r="D24" s="6" t="s">
        <v>3986</v>
      </c>
    </row>
    <row r="25" customFormat="false" ht="15" hidden="false" customHeight="true" outlineLevel="0" collapsed="false">
      <c r="A25" s="6" t="s">
        <v>3987</v>
      </c>
      <c r="B25" s="6" t="s">
        <v>3988</v>
      </c>
      <c r="C25" s="6" t="s">
        <v>3989</v>
      </c>
      <c r="D25" s="6" t="s">
        <v>3990</v>
      </c>
    </row>
    <row r="26" customFormat="false" ht="15" hidden="false" customHeight="true" outlineLevel="0" collapsed="false">
      <c r="A26" s="6" t="s">
        <v>3991</v>
      </c>
      <c r="B26" s="6" t="s">
        <v>3988</v>
      </c>
      <c r="C26" s="6" t="s">
        <v>3992</v>
      </c>
      <c r="D26" s="6" t="s">
        <v>3990</v>
      </c>
    </row>
    <row r="27" customFormat="false" ht="15" hidden="false" customHeight="true" outlineLevel="0" collapsed="false">
      <c r="A27" s="6" t="s">
        <v>3993</v>
      </c>
      <c r="B27" s="6" t="s">
        <v>3988</v>
      </c>
      <c r="C27" s="6" t="s">
        <v>3994</v>
      </c>
      <c r="D27" s="6" t="s">
        <v>3995</v>
      </c>
    </row>
    <row r="28" customFormat="false" ht="15" hidden="false" customHeight="true" outlineLevel="0" collapsed="false">
      <c r="A28" s="6" t="s">
        <v>3996</v>
      </c>
      <c r="B28" s="6" t="s">
        <v>3988</v>
      </c>
      <c r="C28" s="6" t="s">
        <v>3982</v>
      </c>
      <c r="D28" s="6" t="s">
        <v>3997</v>
      </c>
    </row>
    <row r="29" customFormat="false" ht="15" hidden="false" customHeight="true" outlineLevel="0" collapsed="false">
      <c r="A29" s="6" t="s">
        <v>3998</v>
      </c>
      <c r="B29" s="6" t="s">
        <v>3988</v>
      </c>
      <c r="C29" s="6" t="s">
        <v>3999</v>
      </c>
      <c r="D29" s="6" t="s">
        <v>4000</v>
      </c>
    </row>
    <row r="30" customFormat="false" ht="15" hidden="false" customHeight="true" outlineLevel="0" collapsed="false">
      <c r="A30" s="6" t="s">
        <v>4001</v>
      </c>
      <c r="B30" s="6" t="s">
        <v>4002</v>
      </c>
      <c r="C30" s="6" t="s">
        <v>4003</v>
      </c>
      <c r="D30" s="6" t="s">
        <v>4004</v>
      </c>
    </row>
    <row r="31" customFormat="false" ht="15" hidden="false" customHeight="true" outlineLevel="0" collapsed="false">
      <c r="A31" s="6" t="s">
        <v>4005</v>
      </c>
      <c r="B31" s="6" t="s">
        <v>3954</v>
      </c>
      <c r="C31" s="6" t="s">
        <v>4006</v>
      </c>
      <c r="D31" s="6" t="s">
        <v>4007</v>
      </c>
    </row>
    <row r="32" customFormat="false" ht="15" hidden="false" customHeight="true" outlineLevel="0" collapsed="false">
      <c r="A32" s="6" t="s">
        <v>4008</v>
      </c>
      <c r="B32" s="6" t="s">
        <v>3954</v>
      </c>
      <c r="C32" s="6" t="s">
        <v>4009</v>
      </c>
      <c r="D32" s="6" t="s">
        <v>4010</v>
      </c>
    </row>
    <row r="33" customFormat="false" ht="15" hidden="false" customHeight="true" outlineLevel="0" collapsed="false">
      <c r="A33" s="6" t="s">
        <v>4011</v>
      </c>
      <c r="B33" s="6" t="s">
        <v>3954</v>
      </c>
      <c r="C33" s="6" t="s">
        <v>4012</v>
      </c>
      <c r="D33" s="6" t="s">
        <v>4013</v>
      </c>
    </row>
    <row r="34" customFormat="false" ht="15" hidden="false" customHeight="true" outlineLevel="0" collapsed="false">
      <c r="A34" s="6" t="s">
        <v>4014</v>
      </c>
      <c r="B34" s="6" t="s">
        <v>3954</v>
      </c>
      <c r="C34" s="6" t="s">
        <v>4015</v>
      </c>
      <c r="D34" s="6" t="s">
        <v>4016</v>
      </c>
    </row>
    <row r="35" customFormat="false" ht="15" hidden="false" customHeight="true" outlineLevel="0" collapsed="false">
      <c r="A35" s="6" t="s">
        <v>4017</v>
      </c>
      <c r="B35" s="6" t="s">
        <v>4018</v>
      </c>
      <c r="C35" s="6" t="s">
        <v>4019</v>
      </c>
      <c r="D35" s="6" t="s">
        <v>4020</v>
      </c>
    </row>
    <row r="36" customFormat="false" ht="15" hidden="false" customHeight="true" outlineLevel="0" collapsed="false">
      <c r="A36" s="6" t="s">
        <v>4021</v>
      </c>
      <c r="B36" s="6" t="s">
        <v>4018</v>
      </c>
      <c r="C36" s="6" t="s">
        <v>4022</v>
      </c>
      <c r="D36" s="6" t="s">
        <v>4023</v>
      </c>
    </row>
    <row r="37" customFormat="false" ht="15" hidden="false" customHeight="true" outlineLevel="0" collapsed="false">
      <c r="A37" s="6" t="s">
        <v>4024</v>
      </c>
      <c r="B37" s="6" t="s">
        <v>4018</v>
      </c>
      <c r="C37" s="6" t="s">
        <v>4025</v>
      </c>
      <c r="D37" s="6" t="s">
        <v>4026</v>
      </c>
    </row>
    <row r="38" customFormat="false" ht="15" hidden="false" customHeight="true" outlineLevel="0" collapsed="false">
      <c r="A38" s="6" t="s">
        <v>4027</v>
      </c>
      <c r="B38" s="6" t="s">
        <v>4018</v>
      </c>
      <c r="C38" s="6" t="s">
        <v>4028</v>
      </c>
      <c r="D38" s="6" t="s">
        <v>962</v>
      </c>
    </row>
    <row r="39" customFormat="false" ht="15" hidden="false" customHeight="true" outlineLevel="0" collapsed="false">
      <c r="A39" s="6" t="s">
        <v>4029</v>
      </c>
      <c r="B39" s="6" t="s">
        <v>4018</v>
      </c>
      <c r="C39" s="6" t="s">
        <v>4030</v>
      </c>
      <c r="D39" s="6" t="s">
        <v>4031</v>
      </c>
    </row>
    <row r="40" customFormat="false" ht="15" hidden="false" customHeight="true" outlineLevel="0" collapsed="false">
      <c r="A40" s="6" t="s">
        <v>4032</v>
      </c>
      <c r="B40" s="6" t="s">
        <v>4033</v>
      </c>
      <c r="C40" s="6" t="s">
        <v>4034</v>
      </c>
      <c r="D40" s="6" t="s">
        <v>4035</v>
      </c>
    </row>
    <row r="41" customFormat="false" ht="15" hidden="false" customHeight="true" outlineLevel="0" collapsed="false">
      <c r="A41" s="6" t="s">
        <v>4036</v>
      </c>
      <c r="B41" s="6" t="s">
        <v>4033</v>
      </c>
      <c r="C41" s="6" t="s">
        <v>4037</v>
      </c>
      <c r="D41" s="6" t="s">
        <v>4038</v>
      </c>
    </row>
    <row r="42" customFormat="false" ht="15" hidden="false" customHeight="true" outlineLevel="0" collapsed="false">
      <c r="A42" s="6" t="s">
        <v>4039</v>
      </c>
      <c r="B42" s="6" t="s">
        <v>4033</v>
      </c>
      <c r="C42" s="6" t="s">
        <v>4040</v>
      </c>
      <c r="D42" s="6" t="s">
        <v>4041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15" hidden="false" customHeight="true" outlineLevel="0" collapsed="false">
      <c r="A1" s="5" t="s">
        <v>4042</v>
      </c>
      <c r="B1" s="5" t="s">
        <v>4043</v>
      </c>
    </row>
    <row r="2" customFormat="false" ht="42" hidden="false" customHeight="true" outlineLevel="0" collapsed="false">
      <c r="A2" s="3" t="s">
        <v>4044</v>
      </c>
      <c r="B2" s="4" t="s">
        <v>4045</v>
      </c>
    </row>
    <row r="3" customFormat="false" ht="42" hidden="false" customHeight="true" outlineLevel="0" collapsed="false">
      <c r="A3" s="3" t="s">
        <v>4046</v>
      </c>
      <c r="B3" s="4" t="s">
        <v>4047</v>
      </c>
    </row>
    <row r="4" customFormat="false" ht="42" hidden="false" customHeight="true" outlineLevel="0" collapsed="false">
      <c r="A4" s="3" t="s">
        <v>4048</v>
      </c>
      <c r="B4" s="4" t="s">
        <v>4049</v>
      </c>
    </row>
    <row r="5" customFormat="false" ht="42" hidden="false" customHeight="true" outlineLevel="0" collapsed="false">
      <c r="A5" s="3" t="s">
        <v>4050</v>
      </c>
      <c r="B5" s="4" t="s">
        <v>4051</v>
      </c>
    </row>
    <row r="6" customFormat="false" ht="42" hidden="false" customHeight="true" outlineLevel="0" collapsed="false">
      <c r="A6" s="3" t="s">
        <v>4052</v>
      </c>
      <c r="B6" s="4" t="s">
        <v>4053</v>
      </c>
    </row>
    <row r="7" customFormat="false" ht="42" hidden="false" customHeight="true" outlineLevel="0" collapsed="false">
      <c r="A7" s="3" t="s">
        <v>4054</v>
      </c>
      <c r="B7" s="4" t="s">
        <v>4055</v>
      </c>
    </row>
    <row r="8" customFormat="false" ht="42" hidden="false" customHeight="true" outlineLevel="0" collapsed="false">
      <c r="A8" s="3" t="s">
        <v>4056</v>
      </c>
      <c r="B8" s="4" t="s">
        <v>4057</v>
      </c>
    </row>
    <row r="9" customFormat="false" ht="42" hidden="false" customHeight="true" outlineLevel="0" collapsed="false">
      <c r="A9" s="3" t="s">
        <v>4058</v>
      </c>
      <c r="B9" s="4" t="s">
        <v>4059</v>
      </c>
    </row>
    <row r="10" customFormat="false" ht="42" hidden="false" customHeight="true" outlineLevel="0" collapsed="false">
      <c r="A10" s="3" t="s">
        <v>4060</v>
      </c>
      <c r="B10" s="4" t="s">
        <v>4061</v>
      </c>
    </row>
    <row r="11" customFormat="false" ht="42" hidden="false" customHeight="true" outlineLevel="0" collapsed="false">
      <c r="A11" s="3" t="s">
        <v>4062</v>
      </c>
      <c r="B11" s="4" t="s">
        <v>4063</v>
      </c>
    </row>
    <row r="12" customFormat="false" ht="42" hidden="false" customHeight="true" outlineLevel="0" collapsed="false">
      <c r="A12" s="3" t="s">
        <v>4064</v>
      </c>
      <c r="B12" s="4" t="s">
        <v>4065</v>
      </c>
    </row>
    <row r="13" customFormat="false" ht="42" hidden="false" customHeight="true" outlineLevel="0" collapsed="false">
      <c r="A13" s="3" t="s">
        <v>4066</v>
      </c>
      <c r="B13" s="4" t="s">
        <v>4067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6"/>
    <col collapsed="false" customWidth="true" hidden="false" outlineLevel="0" max="4" min="4" style="1" width="62"/>
  </cols>
  <sheetData>
    <row r="1" customFormat="false" ht="15" hidden="false" customHeight="true" outlineLevel="0" collapsed="false">
      <c r="A1" s="12" t="s">
        <v>4068</v>
      </c>
      <c r="B1" s="13"/>
      <c r="C1" s="13"/>
      <c r="D1" s="13"/>
    </row>
    <row r="2" customFormat="false" ht="15" hidden="false" customHeight="true" outlineLevel="0" collapsed="false">
      <c r="A2" s="8" t="s">
        <v>4069</v>
      </c>
      <c r="B2" s="8" t="s">
        <v>4070</v>
      </c>
      <c r="C2" s="8" t="s">
        <v>4071</v>
      </c>
      <c r="D2" s="8" t="s">
        <v>4072</v>
      </c>
    </row>
    <row r="3" customFormat="false" ht="15" hidden="false" customHeight="true" outlineLevel="0" collapsed="false">
      <c r="A3" s="6" t="s">
        <v>4073</v>
      </c>
      <c r="B3" s="9" t="n">
        <v>1</v>
      </c>
      <c r="C3" s="6" t="s">
        <v>4074</v>
      </c>
      <c r="D3" s="6" t="s">
        <v>4075</v>
      </c>
    </row>
    <row r="4" customFormat="false" ht="15" hidden="false" customHeight="true" outlineLevel="0" collapsed="false">
      <c r="A4" s="6" t="s">
        <v>4076</v>
      </c>
      <c r="B4" s="9" t="n">
        <v>8</v>
      </c>
      <c r="C4" s="6" t="s">
        <v>4077</v>
      </c>
      <c r="D4" s="6" t="s">
        <v>4078</v>
      </c>
    </row>
    <row r="5" customFormat="false" ht="15" hidden="false" customHeight="true" outlineLevel="0" collapsed="false">
      <c r="A5" s="6" t="s">
        <v>4079</v>
      </c>
      <c r="B5" s="9" t="n">
        <v>24</v>
      </c>
      <c r="C5" s="6" t="s">
        <v>4080</v>
      </c>
      <c r="D5" s="6"/>
    </row>
    <row r="6" customFormat="false" ht="15" hidden="false" customHeight="true" outlineLevel="0" collapsed="false">
      <c r="A6" s="6" t="s">
        <v>4081</v>
      </c>
      <c r="B6" s="9" t="n">
        <v>336</v>
      </c>
      <c r="C6" s="6" t="s">
        <v>4082</v>
      </c>
      <c r="D6" s="6" t="s">
        <v>4083</v>
      </c>
    </row>
    <row r="7" customFormat="false" ht="15" hidden="false" customHeight="true" outlineLevel="0" collapsed="false">
      <c r="A7" s="6" t="s">
        <v>4084</v>
      </c>
      <c r="B7" s="9" t="n">
        <v>2190</v>
      </c>
      <c r="C7" s="6" t="s">
        <v>4085</v>
      </c>
      <c r="D7" s="6" t="s">
        <v>4086</v>
      </c>
    </row>
    <row r="8" customFormat="false" ht="15" hidden="false" customHeight="true" outlineLevel="0" collapsed="false">
      <c r="A8" s="6" t="s">
        <v>4087</v>
      </c>
      <c r="B8" s="9" t="n">
        <v>8766</v>
      </c>
      <c r="C8" s="6" t="s">
        <v>4088</v>
      </c>
      <c r="D8" s="6" t="s">
        <v>4089</v>
      </c>
    </row>
    <row r="10" customFormat="false" ht="15" hidden="false" customHeight="true" outlineLevel="0" collapsed="false">
      <c r="A10" s="12" t="s">
        <v>4090</v>
      </c>
      <c r="B10" s="13"/>
      <c r="C10" s="13"/>
      <c r="D10" s="13"/>
    </row>
    <row r="11" customFormat="false" ht="15" hidden="false" customHeight="true" outlineLevel="0" collapsed="false">
      <c r="A11" s="8" t="s">
        <v>4091</v>
      </c>
      <c r="B11" s="8" t="s">
        <v>246</v>
      </c>
      <c r="C11" s="8" t="s">
        <v>4092</v>
      </c>
      <c r="D11" s="8" t="s">
        <v>4093</v>
      </c>
    </row>
    <row r="12" customFormat="false" ht="15" hidden="false" customHeight="true" outlineLevel="0" collapsed="false">
      <c r="A12" s="6" t="n">
        <v>0</v>
      </c>
      <c r="B12" s="6" t="n">
        <v>1</v>
      </c>
      <c r="C12" s="6" t="n">
        <f aca="false">ROUND($B$21+$B$22*A12+$B$23*B12,2)</f>
        <v>2.5</v>
      </c>
      <c r="D12" s="6" t="s">
        <v>4094</v>
      </c>
    </row>
    <row r="13" customFormat="false" ht="15" hidden="false" customHeight="true" outlineLevel="0" collapsed="false">
      <c r="A13" s="6" t="n">
        <v>3</v>
      </c>
      <c r="B13" s="6" t="n">
        <v>2</v>
      </c>
      <c r="C13" s="6" t="n">
        <f aca="false">ROUND($B$21+$B$22*A13+$B$23*B13,2)</f>
        <v>3.9</v>
      </c>
      <c r="D13" s="6" t="s">
        <v>4095</v>
      </c>
    </row>
    <row r="14" customFormat="false" ht="15" hidden="false" customHeight="true" outlineLevel="0" collapsed="false">
      <c r="A14" s="6" t="n">
        <v>5</v>
      </c>
      <c r="B14" s="6" t="n">
        <v>3</v>
      </c>
      <c r="C14" s="6" t="n">
        <f aca="false">ROUND($B$21+$B$22*A14+$B$23*B14,2)</f>
        <v>5</v>
      </c>
      <c r="D14" s="6" t="s">
        <v>4096</v>
      </c>
    </row>
    <row r="15" customFormat="false" ht="15" hidden="false" customHeight="true" outlineLevel="0" collapsed="false">
      <c r="A15" s="6" t="n">
        <v>7</v>
      </c>
      <c r="B15" s="6" t="n">
        <v>4</v>
      </c>
      <c r="C15" s="6" t="n">
        <f aca="false">ROUND($B$21+$B$22*A15+$B$23*B15,2)</f>
        <v>6.1</v>
      </c>
      <c r="D15" s="6" t="s">
        <v>4097</v>
      </c>
    </row>
    <row r="16" customFormat="false" ht="15" hidden="false" customHeight="true" outlineLevel="0" collapsed="false">
      <c r="A16" s="6" t="n">
        <v>10</v>
      </c>
      <c r="B16" s="6" t="n">
        <v>5</v>
      </c>
      <c r="C16" s="6" t="n">
        <f aca="false">ROUND($B$21+$B$22*A16+$B$23*B16,2)</f>
        <v>7.5</v>
      </c>
      <c r="D16" s="6" t="s">
        <v>4098</v>
      </c>
    </row>
    <row r="17" customFormat="false" ht="15" hidden="false" customHeight="true" outlineLevel="0" collapsed="false">
      <c r="A17" s="6" t="n">
        <v>10</v>
      </c>
      <c r="B17" s="6" t="n">
        <v>6</v>
      </c>
      <c r="C17" s="6" t="n">
        <f aca="false">ROUND($B$21+$B$22*A17+$B$23*B17,2)</f>
        <v>8</v>
      </c>
      <c r="D17" s="6" t="s">
        <v>4099</v>
      </c>
    </row>
    <row r="18" customFormat="false" ht="15" hidden="false" customHeight="true" outlineLevel="0" collapsed="false">
      <c r="A18" s="6" t="n">
        <v>10</v>
      </c>
      <c r="B18" s="6" t="n">
        <v>7</v>
      </c>
      <c r="C18" s="6" t="n">
        <f aca="false">ROUND($B$21+$B$22*A18+$B$23*B18,2)</f>
        <v>8.5</v>
      </c>
      <c r="D18" s="6" t="s">
        <v>4100</v>
      </c>
    </row>
    <row r="21" customFormat="false" ht="15" hidden="false" customHeight="true" outlineLevel="0" collapsed="false">
      <c r="A21" s="6" t="s">
        <v>4101</v>
      </c>
      <c r="B21" s="9" t="n">
        <v>2</v>
      </c>
    </row>
    <row r="22" customFormat="false" ht="15" hidden="false" customHeight="true" outlineLevel="0" collapsed="false">
      <c r="A22" s="6" t="s">
        <v>4102</v>
      </c>
      <c r="B22" s="9" t="n">
        <v>0.3</v>
      </c>
    </row>
    <row r="23" customFormat="false" ht="15" hidden="false" customHeight="true" outlineLevel="0" collapsed="false">
      <c r="A23" s="6" t="s">
        <v>4103</v>
      </c>
      <c r="B23" s="9" t="n">
        <v>0.5</v>
      </c>
    </row>
    <row r="25" customFormat="false" ht="15" hidden="false" customHeight="true" outlineLevel="0" collapsed="false">
      <c r="A25" s="3" t="s">
        <v>4104</v>
      </c>
      <c r="D25" s="6" t="s">
        <v>4105</v>
      </c>
    </row>
    <row r="27" customFormat="false" ht="15" hidden="false" customHeight="true" outlineLevel="0" collapsed="false">
      <c r="A27" s="12" t="s">
        <v>4106</v>
      </c>
      <c r="B27" s="13"/>
      <c r="C27" s="13"/>
      <c r="D27" s="13"/>
    </row>
    <row r="28" customFormat="false" ht="15" hidden="false" customHeight="true" outlineLevel="0" collapsed="false">
      <c r="A28" s="6" t="s">
        <v>4107</v>
      </c>
      <c r="D28" s="6" t="s">
        <v>4108</v>
      </c>
    </row>
    <row r="29" customFormat="false" ht="15" hidden="false" customHeight="true" outlineLevel="0" collapsed="false">
      <c r="A29" s="6" t="s">
        <v>4107</v>
      </c>
      <c r="D29" s="6" t="s">
        <v>4109</v>
      </c>
    </row>
    <row r="30" customFormat="false" ht="15" hidden="false" customHeight="true" outlineLevel="0" collapsed="false">
      <c r="A30" s="6" t="s">
        <v>4107</v>
      </c>
      <c r="D30" s="6" t="s">
        <v>4110</v>
      </c>
    </row>
    <row r="31" customFormat="false" ht="15" hidden="false" customHeight="true" outlineLevel="0" collapsed="false">
      <c r="A31" s="6" t="s">
        <v>4107</v>
      </c>
      <c r="D31" s="6" t="s">
        <v>4111</v>
      </c>
    </row>
    <row r="32" customFormat="false" ht="15" hidden="false" customHeight="true" outlineLevel="0" collapsed="false">
      <c r="A32" s="6" t="s">
        <v>4107</v>
      </c>
      <c r="D32" s="6" t="s">
        <v>4112</v>
      </c>
    </row>
    <row r="33" customFormat="false" ht="15" hidden="false" customHeight="true" outlineLevel="0" collapsed="false">
      <c r="A33" s="6" t="s">
        <v>4107</v>
      </c>
      <c r="D33" s="6" t="s">
        <v>4113</v>
      </c>
    </row>
    <row r="34" customFormat="false" ht="15" hidden="false" customHeight="true" outlineLevel="0" collapsed="false">
      <c r="A34" s="6" t="s">
        <v>4107</v>
      </c>
      <c r="D34" s="6" t="s">
        <v>4114</v>
      </c>
    </row>
    <row r="36" customFormat="false" ht="15" hidden="false" customHeight="true" outlineLevel="0" collapsed="false">
      <c r="A36" s="12" t="s">
        <v>4115</v>
      </c>
      <c r="B36" s="13"/>
      <c r="C36" s="13"/>
      <c r="D36" s="13"/>
    </row>
    <row r="37" customFormat="false" ht="15" hidden="false" customHeight="true" outlineLevel="0" collapsed="false">
      <c r="A37" s="8" t="s">
        <v>4116</v>
      </c>
      <c r="B37" s="8" t="s">
        <v>4117</v>
      </c>
      <c r="C37" s="8" t="s">
        <v>4118</v>
      </c>
      <c r="D37" s="8" t="s">
        <v>4119</v>
      </c>
    </row>
    <row r="38" customFormat="false" ht="15" hidden="false" customHeight="true" outlineLevel="0" collapsed="false">
      <c r="A38" s="9" t="n">
        <v>0</v>
      </c>
      <c r="B38" s="6" t="n">
        <v>0</v>
      </c>
      <c r="C38" s="9" t="s">
        <v>4120</v>
      </c>
      <c r="D38" s="6" t="s">
        <v>4121</v>
      </c>
    </row>
    <row r="39" customFormat="false" ht="15" hidden="false" customHeight="true" outlineLevel="0" collapsed="false">
      <c r="A39" s="9" t="n">
        <v>500</v>
      </c>
      <c r="B39" s="6" t="n">
        <v>1</v>
      </c>
      <c r="C39" s="9" t="s">
        <v>4122</v>
      </c>
      <c r="D39" s="6" t="s">
        <v>4123</v>
      </c>
    </row>
    <row r="40" customFormat="false" ht="15" hidden="false" customHeight="true" outlineLevel="0" collapsed="false">
      <c r="A40" s="9" t="n">
        <v>2000</v>
      </c>
      <c r="B40" s="6" t="n">
        <v>2</v>
      </c>
      <c r="C40" s="9" t="s">
        <v>4124</v>
      </c>
      <c r="D40" s="6" t="s">
        <v>4125</v>
      </c>
    </row>
    <row r="41" customFormat="false" ht="15" hidden="false" customHeight="true" outlineLevel="0" collapsed="false">
      <c r="A41" s="9" t="n">
        <v>8000</v>
      </c>
      <c r="B41" s="6" t="n">
        <v>3</v>
      </c>
      <c r="C41" s="9" t="s">
        <v>4126</v>
      </c>
      <c r="D41" s="6" t="s">
        <v>4127</v>
      </c>
    </row>
    <row r="42" customFormat="false" ht="15" hidden="false" customHeight="true" outlineLevel="0" collapsed="false">
      <c r="A42" s="9" t="n">
        <v>25000</v>
      </c>
      <c r="B42" s="6" t="n">
        <v>4</v>
      </c>
      <c r="C42" s="9" t="s">
        <v>4128</v>
      </c>
      <c r="D42" s="6" t="s">
        <v>4129</v>
      </c>
    </row>
    <row r="43" customFormat="false" ht="15" hidden="false" customHeight="true" outlineLevel="0" collapsed="false">
      <c r="A43" s="9" t="n">
        <v>75000</v>
      </c>
      <c r="B43" s="6" t="n">
        <v>5</v>
      </c>
      <c r="C43" s="9" t="s">
        <v>4130</v>
      </c>
      <c r="D43" s="6" t="s">
        <v>4131</v>
      </c>
    </row>
    <row r="44" customFormat="false" ht="15" hidden="false" customHeight="true" outlineLevel="0" collapsed="false">
      <c r="D44" s="7" t="s">
        <v>4132</v>
      </c>
    </row>
    <row r="46" customFormat="false" ht="15" hidden="false" customHeight="true" outlineLevel="0" collapsed="false">
      <c r="A46" s="12" t="s">
        <v>4133</v>
      </c>
      <c r="B46" s="13"/>
      <c r="C46" s="13"/>
      <c r="D46" s="13"/>
    </row>
    <row r="47" customFormat="false" ht="15" hidden="false" customHeight="true" outlineLevel="0" collapsed="false">
      <c r="A47" s="6" t="s">
        <v>4134</v>
      </c>
      <c r="D47" s="6" t="s">
        <v>4135</v>
      </c>
    </row>
    <row r="48" customFormat="false" ht="15" hidden="false" customHeight="true" outlineLevel="0" collapsed="false">
      <c r="A48" s="6" t="s">
        <v>4134</v>
      </c>
      <c r="D48" s="6" t="s">
        <v>4136</v>
      </c>
    </row>
    <row r="49" customFormat="false" ht="15" hidden="false" customHeight="true" outlineLevel="0" collapsed="false">
      <c r="A49" s="6" t="s">
        <v>4134</v>
      </c>
      <c r="D49" s="6" t="s">
        <v>4137</v>
      </c>
    </row>
    <row r="50" customFormat="false" ht="15" hidden="false" customHeight="true" outlineLevel="0" collapsed="false">
      <c r="A50" s="6" t="s">
        <v>4134</v>
      </c>
      <c r="D50" s="6" t="s">
        <v>4138</v>
      </c>
    </row>
    <row r="52" customFormat="false" ht="15" hidden="false" customHeight="true" outlineLevel="0" collapsed="false">
      <c r="A52" s="12" t="s">
        <v>4139</v>
      </c>
      <c r="B52" s="13"/>
      <c r="C52" s="13"/>
      <c r="D52" s="13"/>
    </row>
    <row r="53" customFormat="false" ht="15" hidden="false" customHeight="true" outlineLevel="0" collapsed="false">
      <c r="A53" s="8" t="s">
        <v>4140</v>
      </c>
      <c r="B53" s="8" t="s">
        <v>4141</v>
      </c>
      <c r="C53" s="8" t="s">
        <v>4142</v>
      </c>
      <c r="D53" s="8" t="s">
        <v>4072</v>
      </c>
    </row>
    <row r="54" customFormat="false" ht="15" hidden="false" customHeight="true" outlineLevel="0" collapsed="false">
      <c r="A54" s="6" t="s">
        <v>4143</v>
      </c>
      <c r="B54" s="9" t="n">
        <v>720</v>
      </c>
      <c r="C54" s="9" t="s">
        <v>4144</v>
      </c>
      <c r="D54" s="6" t="s">
        <v>4145</v>
      </c>
    </row>
    <row r="55" customFormat="false" ht="15" hidden="false" customHeight="true" outlineLevel="0" collapsed="false">
      <c r="A55" s="6" t="s">
        <v>4146</v>
      </c>
      <c r="B55" s="9" t="n">
        <v>1440</v>
      </c>
      <c r="C55" s="9" t="s">
        <v>4147</v>
      </c>
      <c r="D55" s="6"/>
    </row>
    <row r="56" customFormat="false" ht="15" hidden="false" customHeight="true" outlineLevel="0" collapsed="false">
      <c r="A56" s="6" t="s">
        <v>4148</v>
      </c>
      <c r="B56" s="9" t="n">
        <v>2880</v>
      </c>
      <c r="C56" s="9" t="s">
        <v>4149</v>
      </c>
      <c r="D56" s="6"/>
    </row>
    <row r="57" customFormat="false" ht="15" hidden="false" customHeight="true" outlineLevel="0" collapsed="false">
      <c r="A57" s="6" t="s">
        <v>4150</v>
      </c>
      <c r="B57" s="9" t="n">
        <v>5760</v>
      </c>
      <c r="C57" s="9" t="s">
        <v>4151</v>
      </c>
      <c r="D57" s="6"/>
    </row>
    <row r="58" customFormat="false" ht="15" hidden="false" customHeight="true" outlineLevel="0" collapsed="false">
      <c r="A58" s="6" t="s">
        <v>4152</v>
      </c>
      <c r="B58" s="9" t="n">
        <v>11520</v>
      </c>
      <c r="C58" s="9" t="s">
        <v>4153</v>
      </c>
      <c r="D58" s="6" t="s">
        <v>4154</v>
      </c>
    </row>
    <row r="59" customFormat="false" ht="15" hidden="false" customHeight="true" outlineLevel="0" collapsed="false">
      <c r="D59" s="7" t="s">
        <v>4155</v>
      </c>
    </row>
    <row r="61" customFormat="false" ht="15" hidden="false" customHeight="true" outlineLevel="0" collapsed="false">
      <c r="A61" s="12" t="s">
        <v>4156</v>
      </c>
      <c r="B61" s="13"/>
      <c r="C61" s="13"/>
      <c r="D61" s="13"/>
    </row>
    <row r="62" customFormat="false" ht="15" hidden="false" customHeight="true" outlineLevel="0" collapsed="false">
      <c r="A62" s="8" t="s">
        <v>4157</v>
      </c>
      <c r="B62" s="8" t="s">
        <v>4158</v>
      </c>
      <c r="C62" s="8" t="s">
        <v>4159</v>
      </c>
      <c r="D62" s="8" t="s">
        <v>4072</v>
      </c>
    </row>
    <row r="63" customFormat="false" ht="15" hidden="false" customHeight="true" outlineLevel="0" collapsed="false">
      <c r="A63" s="6" t="s">
        <v>4160</v>
      </c>
      <c r="B63" s="9" t="n">
        <v>48</v>
      </c>
      <c r="C63" s="6" t="s">
        <v>4161</v>
      </c>
      <c r="D63" s="6" t="s">
        <v>4162</v>
      </c>
    </row>
    <row r="64" customFormat="false" ht="15" hidden="false" customHeight="true" outlineLevel="0" collapsed="false">
      <c r="A64" s="6" t="s">
        <v>4163</v>
      </c>
      <c r="B64" s="9" t="n">
        <v>240</v>
      </c>
      <c r="C64" s="6" t="s">
        <v>4164</v>
      </c>
      <c r="D64" s="6" t="s">
        <v>4165</v>
      </c>
    </row>
    <row r="65" customFormat="false" ht="15" hidden="false" customHeight="true" outlineLevel="0" collapsed="false">
      <c r="A65" s="6" t="s">
        <v>4166</v>
      </c>
      <c r="B65" s="9" t="n">
        <v>1200</v>
      </c>
      <c r="C65" s="6" t="s">
        <v>4167</v>
      </c>
      <c r="D65" s="6"/>
    </row>
    <row r="66" customFormat="false" ht="15" hidden="false" customHeight="true" outlineLevel="0" collapsed="false">
      <c r="A66" s="6" t="s">
        <v>4168</v>
      </c>
      <c r="B66" s="9" t="n">
        <v>4800</v>
      </c>
      <c r="C66" s="6" t="s">
        <v>4169</v>
      </c>
      <c r="D66" s="6" t="s">
        <v>4170</v>
      </c>
    </row>
    <row r="67" customFormat="false" ht="15" hidden="false" customHeight="true" outlineLevel="0" collapsed="false">
      <c r="A67" s="6" t="s">
        <v>4171</v>
      </c>
      <c r="B67" s="9" t="n">
        <v>600</v>
      </c>
      <c r="C67" s="6" t="s">
        <v>4172</v>
      </c>
      <c r="D67" s="6" t="s">
        <v>4173</v>
      </c>
    </row>
    <row r="68" customFormat="false" ht="15" hidden="false" customHeight="true" outlineLevel="0" collapsed="false">
      <c r="D68" s="7" t="s">
        <v>4174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7" min="2" style="1" width="17"/>
  </cols>
  <sheetData>
    <row r="1" customFormat="false" ht="15" hidden="false" customHeight="true" outlineLevel="0" collapsed="false">
      <c r="A1" s="14" t="s">
        <v>4175</v>
      </c>
    </row>
    <row r="2" customFormat="false" ht="15" hidden="false" customHeight="true" outlineLevel="0" collapsed="false">
      <c r="A2" s="7" t="s">
        <v>4176</v>
      </c>
    </row>
    <row r="4" customFormat="false" ht="23.25" hidden="false" customHeight="true" outlineLevel="0" collapsed="false">
      <c r="A4" s="8" t="s">
        <v>4177</v>
      </c>
      <c r="B4" s="15" t="s">
        <v>4178</v>
      </c>
      <c r="C4" s="15" t="s">
        <v>4179</v>
      </c>
      <c r="D4" s="15" t="s">
        <v>4180</v>
      </c>
      <c r="E4" s="15" t="s">
        <v>4181</v>
      </c>
      <c r="F4" s="15" t="s">
        <v>4182</v>
      </c>
      <c r="G4" s="15" t="s">
        <v>4183</v>
      </c>
    </row>
    <row r="5" customFormat="false" ht="15" hidden="false" customHeight="true" outlineLevel="0" collapsed="false">
      <c r="A5" s="9" t="n">
        <v>0.25</v>
      </c>
      <c r="B5" s="6" t="n">
        <f aca="false">MATCH($A5*8766*1, Building_Levels!$G$2:$G$1339, 1)-1</f>
        <v>243</v>
      </c>
      <c r="C5" s="6" t="n">
        <f aca="false">MATCH($A5*8766*1.5, Building_Levels!$G$2:$G$1339, 1)-1</f>
        <v>273</v>
      </c>
      <c r="D5" s="6" t="n">
        <f aca="false">MATCH($A5*8766*2, Building_Levels!$G$2:$G$1339, 1)-1</f>
        <v>296</v>
      </c>
      <c r="E5" s="6" t="n">
        <f aca="false">MATCH($A5*8766*3, Building_Levels!$G$2:$G$1339, 1)-1</f>
        <v>331</v>
      </c>
      <c r="F5" s="6" t="n">
        <f aca="false">MATCH($A5*8766*5, Building_Levels!$G$2:$G$1339, 1)-1</f>
        <v>380</v>
      </c>
      <c r="G5" s="6" t="n">
        <f aca="false">MATCH($A5*8766*8.5, Building_Levels!$G$2:$G$1339, 1)-1</f>
        <v>436</v>
      </c>
    </row>
    <row r="6" customFormat="false" ht="15" hidden="false" customHeight="true" outlineLevel="0" collapsed="false">
      <c r="A6" s="9" t="n">
        <v>0.5</v>
      </c>
      <c r="B6" s="6" t="n">
        <f aca="false">MATCH($A6*8766*1, Building_Levels!$G$2:$G$1339, 1)-1</f>
        <v>296</v>
      </c>
      <c r="C6" s="6" t="n">
        <f aca="false">MATCH($A6*8766*1.5, Building_Levels!$G$2:$G$1339, 1)-1</f>
        <v>331</v>
      </c>
      <c r="D6" s="6" t="n">
        <f aca="false">MATCH($A6*8766*2, Building_Levels!$G$2:$G$1339, 1)-1</f>
        <v>358</v>
      </c>
      <c r="E6" s="6" t="n">
        <f aca="false">MATCH($A6*8766*3, Building_Levels!$G$2:$G$1339, 1)-1</f>
        <v>399</v>
      </c>
      <c r="F6" s="6" t="n">
        <f aca="false">MATCH($A6*8766*5, Building_Levels!$G$2:$G$1339, 1)-1</f>
        <v>455</v>
      </c>
      <c r="G6" s="6" t="n">
        <f aca="false">MATCH($A6*8766*8.5, Building_Levels!$G$2:$G$1339, 1)-1</f>
        <v>518</v>
      </c>
    </row>
    <row r="7" customFormat="false" ht="15" hidden="false" customHeight="true" outlineLevel="0" collapsed="false">
      <c r="A7" s="9" t="n">
        <v>1</v>
      </c>
      <c r="B7" s="6" t="n">
        <f aca="false">MATCH($A7*8766*1, Building_Levels!$G$2:$G$1339, 1)-1</f>
        <v>358</v>
      </c>
      <c r="C7" s="6" t="n">
        <f aca="false">MATCH($A7*8766*1.5, Building_Levels!$G$2:$G$1339, 1)-1</f>
        <v>399</v>
      </c>
      <c r="D7" s="6" t="n">
        <f aca="false">MATCH($A7*8766*2, Building_Levels!$G$2:$G$1339, 1)-1</f>
        <v>430</v>
      </c>
      <c r="E7" s="6" t="n">
        <f aca="false">MATCH($A7*8766*3, Building_Levels!$G$2:$G$1339, 1)-1</f>
        <v>476</v>
      </c>
      <c r="F7" s="6" t="n">
        <f aca="false">MATCH($A7*8766*5, Building_Levels!$G$2:$G$1339, 1)-1</f>
        <v>539</v>
      </c>
      <c r="G7" s="6" t="n">
        <f aca="false">MATCH($A7*8766*8.5, Building_Levels!$G$2:$G$1339, 1)-1</f>
        <v>610</v>
      </c>
    </row>
    <row r="8" customFormat="false" ht="15" hidden="false" customHeight="true" outlineLevel="0" collapsed="false">
      <c r="A8" s="9" t="n">
        <v>2</v>
      </c>
      <c r="B8" s="6" t="n">
        <f aca="false">MATCH($A8*8766*1, Building_Levels!$G$2:$G$1339, 1)-1</f>
        <v>430</v>
      </c>
      <c r="C8" s="6" t="n">
        <f aca="false">MATCH($A8*8766*1.5, Building_Levels!$G$2:$G$1339, 1)-1</f>
        <v>476</v>
      </c>
      <c r="D8" s="6" t="n">
        <f aca="false">MATCH($A8*8766*2, Building_Levels!$G$2:$G$1339, 1)-1</f>
        <v>511</v>
      </c>
      <c r="E8" s="6" t="n">
        <f aca="false">MATCH($A8*8766*3, Building_Levels!$G$2:$G$1339, 1)-1</f>
        <v>563</v>
      </c>
      <c r="F8" s="6" t="n">
        <f aca="false">MATCH($A8*8766*5, Building_Levels!$G$2:$G$1339, 1)-1</f>
        <v>633</v>
      </c>
      <c r="G8" s="6" t="n">
        <f aca="false">MATCH($A8*8766*8.5, Building_Levels!$G$2:$G$1339, 1)-1</f>
        <v>712</v>
      </c>
    </row>
    <row r="9" customFormat="false" ht="15" hidden="false" customHeight="true" outlineLevel="0" collapsed="false">
      <c r="A9" s="9" t="n">
        <v>3</v>
      </c>
      <c r="B9" s="6" t="n">
        <f aca="false">MATCH($A9*8766*1, Building_Levels!$G$2:$G$1339, 1)-1</f>
        <v>476</v>
      </c>
      <c r="C9" s="6" t="n">
        <f aca="false">MATCH($A9*8766*1.5, Building_Levels!$G$2:$G$1339, 1)-1</f>
        <v>526</v>
      </c>
      <c r="D9" s="6" t="n">
        <f aca="false">MATCH($A9*8766*2, Building_Levels!$G$2:$G$1339, 1)-1</f>
        <v>563</v>
      </c>
      <c r="E9" s="6" t="n">
        <f aca="false">MATCH($A9*8766*3, Building_Levels!$G$2:$G$1339, 1)-1</f>
        <v>618</v>
      </c>
      <c r="F9" s="6" t="n">
        <f aca="false">MATCH($A9*8766*5, Building_Levels!$G$2:$G$1339, 1)-1</f>
        <v>693</v>
      </c>
      <c r="G9" s="6" t="n">
        <f aca="false">MATCH($A9*8766*8.5, Building_Levels!$G$2:$G$1339, 1)-1</f>
        <v>776</v>
      </c>
    </row>
    <row r="10" customFormat="false" ht="15" hidden="false" customHeight="true" outlineLevel="0" collapsed="false">
      <c r="A10" s="9" t="n">
        <v>5</v>
      </c>
      <c r="B10" s="6" t="n">
        <f aca="false">MATCH($A10*8766*1, Building_Levels!$G$2:$G$1339, 1)-1</f>
        <v>539</v>
      </c>
      <c r="C10" s="6" t="n">
        <f aca="false">MATCH($A10*8766*1.5, Building_Levels!$G$2:$G$1339, 1)-1</f>
        <v>593</v>
      </c>
      <c r="D10" s="6" t="n">
        <f aca="false">MATCH($A10*8766*2, Building_Levels!$G$2:$G$1339, 1)-1</f>
        <v>633</v>
      </c>
      <c r="E10" s="6" t="n">
        <f aca="false">MATCH($A10*8766*3, Building_Levels!$G$2:$G$1339, 1)-1</f>
        <v>693</v>
      </c>
      <c r="F10" s="6" t="n">
        <f aca="false">MATCH($A10*8766*5, Building_Levels!$G$2:$G$1339, 1)-1</f>
        <v>773</v>
      </c>
      <c r="G10" s="6" t="n">
        <f aca="false">MATCH($A10*8766*8.5, Building_Levels!$G$2:$G$1339, 1)-1</f>
        <v>862</v>
      </c>
    </row>
    <row r="11" customFormat="false" ht="15" hidden="false" customHeight="true" outlineLevel="0" collapsed="false">
      <c r="A11" s="9" t="n">
        <v>7</v>
      </c>
      <c r="B11" s="6" t="n">
        <f aca="false">MATCH($A11*8766*1, Building_Levels!$G$2:$G$1339, 1)-1</f>
        <v>584</v>
      </c>
      <c r="C11" s="6" t="n">
        <f aca="false">MATCH($A11*8766*1.5, Building_Levels!$G$2:$G$1339, 1)-1</f>
        <v>640</v>
      </c>
      <c r="D11" s="6" t="n">
        <f aca="false">MATCH($A11*8766*2, Building_Levels!$G$2:$G$1339, 1)-1</f>
        <v>683</v>
      </c>
      <c r="E11" s="6" t="n">
        <f aca="false">MATCH($A11*8766*3, Building_Levels!$G$2:$G$1339, 1)-1</f>
        <v>745</v>
      </c>
      <c r="F11" s="6" t="n">
        <f aca="false">MATCH($A11*8766*5, Building_Levels!$G$2:$G$1339, 1)-1</f>
        <v>829</v>
      </c>
      <c r="G11" s="6" t="n">
        <f aca="false">MATCH($A11*8766*8.5, Building_Levels!$G$2:$G$1339, 1)-1</f>
        <v>920</v>
      </c>
    </row>
    <row r="12" customFormat="false" ht="15" hidden="false" customHeight="true" outlineLevel="0" collapsed="false">
      <c r="A12" s="9" t="n">
        <v>10</v>
      </c>
      <c r="B12" s="6" t="n">
        <f aca="false">MATCH($A12*8766*1, Building_Levels!$G$2:$G$1339, 1)-1</f>
        <v>633</v>
      </c>
      <c r="C12" s="6" t="n">
        <f aca="false">MATCH($A12*8766*1.5, Building_Levels!$G$2:$G$1339, 1)-1</f>
        <v>693</v>
      </c>
      <c r="D12" s="6" t="n">
        <f aca="false">MATCH($A12*8766*2, Building_Levels!$G$2:$G$1339, 1)-1</f>
        <v>738</v>
      </c>
      <c r="E12" s="6" t="n">
        <f aca="false">MATCH($A12*8766*3, Building_Levels!$G$2:$G$1339, 1)-1</f>
        <v>803</v>
      </c>
      <c r="F12" s="6" t="n">
        <f aca="false">MATCH($A12*8766*5, Building_Levels!$G$2:$G$1339, 1)-1</f>
        <v>890</v>
      </c>
      <c r="G12" s="6" t="n">
        <f aca="false">MATCH($A12*8766*8.5, Building_Levels!$G$2:$G$1339, 1)-1</f>
        <v>985</v>
      </c>
    </row>
    <row r="13" customFormat="false" ht="15" hidden="false" customHeight="true" outlineLevel="0" collapsed="false">
      <c r="A13" s="9" t="n">
        <v>15</v>
      </c>
      <c r="B13" s="6" t="n">
        <f aca="false">MATCH($A13*8766*1, Building_Levels!$G$2:$G$1339, 1)-1</f>
        <v>693</v>
      </c>
      <c r="C13" s="6" t="n">
        <f aca="false">MATCH($A13*8766*1.5, Building_Levels!$G$2:$G$1339, 1)-1</f>
        <v>756</v>
      </c>
      <c r="D13" s="6" t="n">
        <f aca="false">MATCH($A13*8766*2, Building_Levels!$G$2:$G$1339, 1)-1</f>
        <v>803</v>
      </c>
      <c r="E13" s="6" t="n">
        <f aca="false">MATCH($A13*8766*3, Building_Levels!$G$2:$G$1339, 1)-1</f>
        <v>871</v>
      </c>
      <c r="F13" s="6" t="n">
        <f aca="false">MATCH($A13*8766*5, Building_Levels!$G$2:$G$1339, 1)-1</f>
        <v>962</v>
      </c>
      <c r="G13" s="6" t="n">
        <f aca="false">MATCH($A13*8766*8.5, Building_Levels!$G$2:$G$1339, 1)-1</f>
        <v>1061</v>
      </c>
    </row>
    <row r="14" customFormat="false" ht="15" hidden="false" customHeight="true" outlineLevel="0" collapsed="false">
      <c r="A14" s="9" t="n">
        <v>20</v>
      </c>
      <c r="B14" s="6" t="n">
        <f aca="false">MATCH($A14*8766*1, Building_Levels!$G$2:$G$1339, 1)-1</f>
        <v>738</v>
      </c>
      <c r="C14" s="6" t="n">
        <f aca="false">MATCH($A14*8766*1.5, Building_Levels!$G$2:$G$1339, 1)-1</f>
        <v>803</v>
      </c>
      <c r="D14" s="6" t="n">
        <f aca="false">MATCH($A14*8766*2, Building_Levels!$G$2:$G$1339, 1)-1</f>
        <v>851</v>
      </c>
      <c r="E14" s="6" t="n">
        <f aca="false">MATCH($A14*8766*3, Building_Levels!$G$2:$G$1339, 1)-1</f>
        <v>922</v>
      </c>
      <c r="F14" s="6" t="n">
        <f aca="false">MATCH($A14*8766*5, Building_Levels!$G$2:$G$1339, 1)-1</f>
        <v>1015</v>
      </c>
      <c r="G14" s="6" t="n">
        <f aca="false">MATCH($A14*8766*8.5, Building_Levels!$G$2:$G$1339, 1)-1</f>
        <v>1117</v>
      </c>
    </row>
    <row r="15" customFormat="false" ht="15" hidden="false" customHeight="true" outlineLevel="0" collapsed="false">
      <c r="A15" s="9" t="n">
        <v>30</v>
      </c>
      <c r="B15" s="6" t="n">
        <f aca="false">MATCH($A15*8766*1, Building_Levels!$G$2:$G$1339, 1)-1</f>
        <v>803</v>
      </c>
      <c r="C15" s="6" t="n">
        <f aca="false">MATCH($A15*8766*1.5, Building_Levels!$G$2:$G$1339, 1)-1</f>
        <v>871</v>
      </c>
      <c r="D15" s="6" t="n">
        <f aca="false">MATCH($A15*8766*2, Building_Levels!$G$2:$G$1339, 1)-1</f>
        <v>922</v>
      </c>
      <c r="E15" s="6" t="n">
        <f aca="false">MATCH($A15*8766*3, Building_Levels!$G$2:$G$1339, 1)-1</f>
        <v>995</v>
      </c>
      <c r="F15" s="6" t="n">
        <f aca="false">MATCH($A15*8766*5, Building_Levels!$G$2:$G$1339, 1)-1</f>
        <v>1092</v>
      </c>
      <c r="G15" s="6" t="n">
        <f aca="false">MATCH($A15*8766*8.5, Building_Levels!$G$2:$G$1339, 1)-1</f>
        <v>1197</v>
      </c>
    </row>
    <row r="16" customFormat="false" ht="15" hidden="false" customHeight="true" outlineLevel="0" collapsed="false">
      <c r="A16" s="9" t="n">
        <v>50</v>
      </c>
      <c r="B16" s="6" t="n">
        <f aca="false">MATCH($A16*8766*1, Building_Levels!$G$2:$G$1339, 1)-1</f>
        <v>890</v>
      </c>
      <c r="C16" s="6" t="n">
        <f aca="false">MATCH($A16*8766*1.5, Building_Levels!$G$2:$G$1339, 1)-1</f>
        <v>962</v>
      </c>
      <c r="D16" s="6" t="n">
        <f aca="false">MATCH($A16*8766*2, Building_Levels!$G$2:$G$1339, 1)-1</f>
        <v>1015</v>
      </c>
      <c r="E16" s="6" t="n">
        <f aca="false">MATCH($A16*8766*3, Building_Levels!$G$2:$G$1339, 1)-1</f>
        <v>1092</v>
      </c>
      <c r="F16" s="6" t="n">
        <f aca="false">MATCH($A16*8766*5, Building_Levels!$G$2:$G$1339, 1)-1</f>
        <v>1193</v>
      </c>
      <c r="G16" s="6" t="n">
        <f aca="false">MATCH($A16*8766*8.5, Building_Levels!$G$2:$G$1339, 1)-1</f>
        <v>1302</v>
      </c>
    </row>
    <row r="18" customFormat="false" ht="15" hidden="false" customHeight="true" outlineLevel="0" collapsed="false">
      <c r="A18" s="7" t="s">
        <v>4184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6"/>
    <col collapsed="false" customWidth="true" hidden="false" outlineLevel="0" max="3" min="3" style="1" width="18"/>
    <col collapsed="false" customWidth="true" hidden="false" outlineLevel="0" max="4" min="4" style="1" width="64"/>
  </cols>
  <sheetData>
    <row r="1" customFormat="false" ht="15" hidden="false" customHeight="true" outlineLevel="0" collapsed="false">
      <c r="A1" s="12" t="s">
        <v>4185</v>
      </c>
      <c r="B1" s="13"/>
      <c r="C1" s="13"/>
      <c r="D1" s="13"/>
    </row>
    <row r="2" customFormat="false" ht="15" hidden="false" customHeight="true" outlineLevel="0" collapsed="false">
      <c r="A2" s="8" t="s">
        <v>4186</v>
      </c>
      <c r="B2" s="8" t="s">
        <v>4187</v>
      </c>
      <c r="C2" s="8" t="s">
        <v>4188</v>
      </c>
      <c r="D2" s="8" t="s">
        <v>4189</v>
      </c>
    </row>
    <row r="3" customFormat="false" ht="15" hidden="false" customHeight="true" outlineLevel="0" collapsed="false">
      <c r="A3" s="6" t="s">
        <v>4190</v>
      </c>
      <c r="B3" s="9" t="s">
        <v>4191</v>
      </c>
      <c r="C3" s="6" t="s">
        <v>4192</v>
      </c>
      <c r="D3" s="6" t="s">
        <v>4193</v>
      </c>
    </row>
    <row r="4" customFormat="false" ht="15" hidden="false" customHeight="true" outlineLevel="0" collapsed="false">
      <c r="A4" s="6" t="s">
        <v>4194</v>
      </c>
      <c r="B4" s="9" t="s">
        <v>4191</v>
      </c>
      <c r="C4" s="6" t="s">
        <v>4192</v>
      </c>
      <c r="D4" s="6" t="s">
        <v>4195</v>
      </c>
    </row>
    <row r="5" customFormat="false" ht="15" hidden="false" customHeight="true" outlineLevel="0" collapsed="false">
      <c r="A5" s="6" t="s">
        <v>4196</v>
      </c>
      <c r="B5" s="9" t="s">
        <v>4191</v>
      </c>
      <c r="C5" s="6" t="s">
        <v>4192</v>
      </c>
      <c r="D5" s="6" t="s">
        <v>4197</v>
      </c>
    </row>
    <row r="6" customFormat="false" ht="15" hidden="false" customHeight="true" outlineLevel="0" collapsed="false">
      <c r="A6" s="3" t="s">
        <v>4198</v>
      </c>
      <c r="B6" s="3" t="s">
        <v>4199</v>
      </c>
      <c r="C6" s="3" t="s">
        <v>4192</v>
      </c>
      <c r="D6" s="3" t="s">
        <v>4200</v>
      </c>
    </row>
    <row r="8" customFormat="false" ht="15" hidden="false" customHeight="true" outlineLevel="0" collapsed="false">
      <c r="A8" s="12" t="s">
        <v>4201</v>
      </c>
      <c r="B8" s="13"/>
      <c r="C8" s="13"/>
      <c r="D8" s="13"/>
    </row>
    <row r="9" customFormat="false" ht="15" hidden="false" customHeight="true" outlineLevel="0" collapsed="false">
      <c r="A9" s="6" t="s">
        <v>4134</v>
      </c>
      <c r="D9" s="6" t="s">
        <v>4202</v>
      </c>
    </row>
    <row r="10" customFormat="false" ht="15" hidden="false" customHeight="true" outlineLevel="0" collapsed="false">
      <c r="A10" s="6" t="s">
        <v>4134</v>
      </c>
      <c r="D10" s="6" t="s">
        <v>4203</v>
      </c>
    </row>
    <row r="11" customFormat="false" ht="15" hidden="false" customHeight="true" outlineLevel="0" collapsed="false">
      <c r="A11" s="6" t="s">
        <v>4134</v>
      </c>
      <c r="D11" s="6" t="s">
        <v>4204</v>
      </c>
    </row>
    <row r="12" customFormat="false" ht="15" hidden="false" customHeight="true" outlineLevel="0" collapsed="false">
      <c r="A12" s="6" t="s">
        <v>4134</v>
      </c>
      <c r="D12" s="6" t="s">
        <v>4205</v>
      </c>
    </row>
    <row r="13" customFormat="false" ht="15" hidden="false" customHeight="true" outlineLevel="0" collapsed="false">
      <c r="A13" s="6" t="s">
        <v>4134</v>
      </c>
      <c r="D13" s="6" t="s">
        <v>4206</v>
      </c>
    </row>
    <row r="15" customFormat="false" ht="15" hidden="false" customHeight="true" outlineLevel="0" collapsed="false">
      <c r="A15" s="12" t="s">
        <v>4207</v>
      </c>
      <c r="B15" s="13"/>
      <c r="C15" s="13"/>
      <c r="D15" s="13"/>
    </row>
    <row r="16" customFormat="false" ht="15" hidden="false" customHeight="true" outlineLevel="0" collapsed="false">
      <c r="A16" s="6" t="s">
        <v>4134</v>
      </c>
      <c r="D16" s="6" t="s">
        <v>4208</v>
      </c>
    </row>
    <row r="17" customFormat="false" ht="15" hidden="false" customHeight="true" outlineLevel="0" collapsed="false">
      <c r="A17" s="6" t="s">
        <v>4134</v>
      </c>
      <c r="D17" s="6" t="s">
        <v>4209</v>
      </c>
    </row>
    <row r="18" customFormat="false" ht="15" hidden="false" customHeight="true" outlineLevel="0" collapsed="false">
      <c r="A18" s="6" t="s">
        <v>4134</v>
      </c>
      <c r="D18" s="6" t="s">
        <v>4210</v>
      </c>
    </row>
    <row r="19" customFormat="false" ht="15" hidden="false" customHeight="true" outlineLevel="0" collapsed="false">
      <c r="A19" s="6" t="s">
        <v>4134</v>
      </c>
      <c r="D19" s="6" t="s">
        <v>4211</v>
      </c>
    </row>
    <row r="20" customFormat="false" ht="15" hidden="false" customHeight="true" outlineLevel="0" collapsed="false">
      <c r="A20" s="6" t="s">
        <v>4134</v>
      </c>
      <c r="D20" s="6" t="s">
        <v>4212</v>
      </c>
    </row>
    <row r="22" customFormat="false" ht="15" hidden="false" customHeight="true" outlineLevel="0" collapsed="false">
      <c r="A22" s="12" t="s">
        <v>4213</v>
      </c>
      <c r="B22" s="13"/>
      <c r="C22" s="13"/>
      <c r="D22" s="13"/>
    </row>
    <row r="23" customFormat="false" ht="15" hidden="false" customHeight="true" outlineLevel="0" collapsed="false">
      <c r="A23" s="8" t="s">
        <v>4214</v>
      </c>
      <c r="B23" s="13"/>
      <c r="C23" s="13"/>
      <c r="D23" s="8" t="s">
        <v>4215</v>
      </c>
    </row>
    <row r="24" customFormat="false" ht="15" hidden="false" customHeight="true" outlineLevel="0" collapsed="false">
      <c r="A24" s="6" t="s">
        <v>4216</v>
      </c>
      <c r="D24" s="6" t="s">
        <v>4217</v>
      </c>
    </row>
    <row r="25" customFormat="false" ht="15" hidden="false" customHeight="true" outlineLevel="0" collapsed="false">
      <c r="A25" s="6" t="s">
        <v>4218</v>
      </c>
      <c r="D25" s="6" t="s">
        <v>4219</v>
      </c>
    </row>
    <row r="26" customFormat="false" ht="15" hidden="false" customHeight="true" outlineLevel="0" collapsed="false">
      <c r="A26" s="6" t="s">
        <v>4220</v>
      </c>
      <c r="D26" s="6" t="s">
        <v>4221</v>
      </c>
    </row>
    <row r="27" customFormat="false" ht="15" hidden="false" customHeight="true" outlineLevel="0" collapsed="false">
      <c r="A27" s="6" t="s">
        <v>4222</v>
      </c>
      <c r="D27" s="6" t="s">
        <v>4223</v>
      </c>
    </row>
    <row r="28" customFormat="false" ht="15" hidden="false" customHeight="true" outlineLevel="0" collapsed="false">
      <c r="A28" s="6" t="s">
        <v>4224</v>
      </c>
      <c r="D28" s="6" t="s">
        <v>4225</v>
      </c>
    </row>
    <row r="29" customFormat="false" ht="15" hidden="false" customHeight="true" outlineLevel="0" collapsed="false">
      <c r="A29" s="6" t="s">
        <v>4226</v>
      </c>
      <c r="D29" s="6" t="s">
        <v>4227</v>
      </c>
    </row>
    <row r="30" customFormat="false" ht="15" hidden="false" customHeight="true" outlineLevel="0" collapsed="false">
      <c r="A30" s="6" t="s">
        <v>4228</v>
      </c>
      <c r="D30" s="6" t="s">
        <v>4229</v>
      </c>
    </row>
    <row r="31" customFormat="false" ht="15" hidden="false" customHeight="true" outlineLevel="0" collapsed="false">
      <c r="A31" s="6" t="s">
        <v>4230</v>
      </c>
      <c r="D31" s="6" t="s">
        <v>4231</v>
      </c>
    </row>
    <row r="33" customFormat="false" ht="15" hidden="false" customHeight="true" outlineLevel="0" collapsed="false">
      <c r="A33" s="12" t="s">
        <v>4232</v>
      </c>
      <c r="B33" s="13"/>
      <c r="C33" s="13"/>
      <c r="D33" s="13"/>
    </row>
    <row r="34" customFormat="false" ht="15" hidden="false" customHeight="true" outlineLevel="0" collapsed="false">
      <c r="A34" s="6"/>
      <c r="D34" s="6" t="s">
        <v>4233</v>
      </c>
    </row>
    <row r="35" customFormat="false" ht="15" hidden="false" customHeight="true" outlineLevel="0" collapsed="false">
      <c r="A35" s="6"/>
      <c r="D35" s="6" t="s">
        <v>4234</v>
      </c>
    </row>
    <row r="36" customFormat="false" ht="15" hidden="false" customHeight="true" outlineLevel="0" collapsed="false">
      <c r="A36" s="6"/>
      <c r="D36" s="6" t="s">
        <v>4235</v>
      </c>
    </row>
    <row r="37" customFormat="false" ht="15" hidden="false" customHeight="true" outlineLevel="0" collapsed="false">
      <c r="A37" s="6"/>
      <c r="D37" s="6" t="s">
        <v>4236</v>
      </c>
    </row>
    <row r="38" customFormat="false" ht="15" hidden="false" customHeight="true" outlineLevel="0" collapsed="false">
      <c r="A38" s="6"/>
      <c r="D38" s="6" t="s">
        <v>4237</v>
      </c>
    </row>
    <row r="39" customFormat="false" ht="15" hidden="false" customHeight="true" outlineLevel="0" collapsed="false">
      <c r="A39" s="6"/>
      <c r="D39" s="6" t="s">
        <v>4238</v>
      </c>
    </row>
    <row r="41" customFormat="false" ht="15" hidden="false" customHeight="true" outlineLevel="0" collapsed="false">
      <c r="A41" s="12" t="s">
        <v>4239</v>
      </c>
      <c r="B41" s="13"/>
      <c r="C41" s="13"/>
      <c r="D41" s="13"/>
    </row>
    <row r="42" customFormat="false" ht="55.5" hidden="false" customHeight="true" outlineLevel="0" collapsed="false">
      <c r="A42" s="6"/>
      <c r="D42" s="4" t="s">
        <v>4240</v>
      </c>
    </row>
    <row r="43" customFormat="false" ht="55.5" hidden="false" customHeight="true" outlineLevel="0" collapsed="false">
      <c r="A43" s="6"/>
      <c r="D43" s="4" t="s">
        <v>4241</v>
      </c>
    </row>
    <row r="44" customFormat="false" ht="55.5" hidden="false" customHeight="true" outlineLevel="0" collapsed="false">
      <c r="A44" s="6"/>
      <c r="D44" s="4" t="s">
        <v>4242</v>
      </c>
    </row>
    <row r="45" customFormat="false" ht="55.5" hidden="false" customHeight="true" outlineLevel="0" collapsed="false">
      <c r="A45" s="6"/>
      <c r="D45" s="4" t="s">
        <v>4243</v>
      </c>
    </row>
    <row r="46" customFormat="false" ht="55.5" hidden="false" customHeight="true" outlineLevel="0" collapsed="false">
      <c r="A46" s="6"/>
      <c r="D46" s="4" t="s">
        <v>4244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74"/>
    <col collapsed="false" customWidth="true" hidden="false" outlineLevel="0" max="3" min="3" style="1" width="52"/>
  </cols>
  <sheetData>
    <row r="1" customFormat="false" ht="15" hidden="false" customHeight="true" outlineLevel="0" collapsed="false">
      <c r="A1" s="5" t="s">
        <v>3954</v>
      </c>
      <c r="B1" s="5" t="s">
        <v>4245</v>
      </c>
      <c r="C1" s="5" t="s">
        <v>4246</v>
      </c>
    </row>
    <row r="2" customFormat="false" ht="73.5" hidden="false" customHeight="true" outlineLevel="0" collapsed="false">
      <c r="A2" s="16" t="s">
        <v>4247</v>
      </c>
      <c r="B2" s="4" t="s">
        <v>4248</v>
      </c>
      <c r="C2" s="4" t="s">
        <v>4249</v>
      </c>
    </row>
    <row r="3" customFormat="false" ht="73.5" hidden="false" customHeight="true" outlineLevel="0" collapsed="false">
      <c r="A3" s="16" t="s">
        <v>4250</v>
      </c>
      <c r="B3" s="4" t="s">
        <v>4251</v>
      </c>
      <c r="C3" s="4" t="s">
        <v>4252</v>
      </c>
    </row>
    <row r="4" customFormat="false" ht="73.5" hidden="false" customHeight="true" outlineLevel="0" collapsed="false">
      <c r="A4" s="16" t="s">
        <v>4253</v>
      </c>
      <c r="B4" s="4" t="s">
        <v>4254</v>
      </c>
      <c r="C4" s="4" t="s">
        <v>4255</v>
      </c>
    </row>
    <row r="5" customFormat="false" ht="73.5" hidden="false" customHeight="true" outlineLevel="0" collapsed="false">
      <c r="A5" s="16" t="s">
        <v>4256</v>
      </c>
      <c r="B5" s="4" t="s">
        <v>4257</v>
      </c>
      <c r="C5" s="4" t="s">
        <v>4258</v>
      </c>
    </row>
    <row r="6" customFormat="false" ht="73.5" hidden="false" customHeight="true" outlineLevel="0" collapsed="false">
      <c r="A6" s="16" t="s">
        <v>4259</v>
      </c>
      <c r="B6" s="4" t="s">
        <v>4260</v>
      </c>
      <c r="C6" s="4" t="s">
        <v>4261</v>
      </c>
    </row>
    <row r="7" customFormat="false" ht="73.5" hidden="false" customHeight="true" outlineLevel="0" collapsed="false">
      <c r="A7" s="16" t="s">
        <v>4262</v>
      </c>
      <c r="B7" s="4" t="s">
        <v>4263</v>
      </c>
      <c r="C7" s="4" t="s">
        <v>4264</v>
      </c>
    </row>
    <row r="8" customFormat="false" ht="73.5" hidden="false" customHeight="true" outlineLevel="0" collapsed="false">
      <c r="A8" s="16" t="s">
        <v>4265</v>
      </c>
      <c r="B8" s="4" t="s">
        <v>4266</v>
      </c>
      <c r="C8" s="4" t="s">
        <v>4267</v>
      </c>
    </row>
    <row r="9" customFormat="false" ht="73.5" hidden="false" customHeight="true" outlineLevel="0" collapsed="false">
      <c r="A9" s="16" t="s">
        <v>4268</v>
      </c>
      <c r="B9" s="4" t="s">
        <v>4269</v>
      </c>
      <c r="C9" s="4" t="s">
        <v>4270</v>
      </c>
    </row>
    <row r="10" customFormat="false" ht="73.5" hidden="false" customHeight="true" outlineLevel="0" collapsed="false">
      <c r="A10" s="16" t="s">
        <v>4271</v>
      </c>
      <c r="B10" s="4" t="s">
        <v>4272</v>
      </c>
      <c r="C10" s="4" t="s">
        <v>4273</v>
      </c>
    </row>
    <row r="11" customFormat="false" ht="73.5" hidden="false" customHeight="true" outlineLevel="0" collapsed="false">
      <c r="A11" s="16" t="s">
        <v>4274</v>
      </c>
      <c r="B11" s="4" t="s">
        <v>4275</v>
      </c>
      <c r="C11" s="4" t="s">
        <v>4276</v>
      </c>
    </row>
    <row r="12" customFormat="false" ht="73.5" hidden="false" customHeight="true" outlineLevel="0" collapsed="false">
      <c r="A12" s="16" t="s">
        <v>4277</v>
      </c>
      <c r="B12" s="4" t="s">
        <v>4278</v>
      </c>
      <c r="C12" s="4" t="s">
        <v>4279</v>
      </c>
    </row>
    <row r="13" customFormat="false" ht="73.5" hidden="false" customHeight="true" outlineLevel="0" collapsed="false">
      <c r="A13" s="16" t="s">
        <v>4280</v>
      </c>
      <c r="B13" s="4" t="s">
        <v>4281</v>
      </c>
      <c r="C13" s="4" t="s">
        <v>4282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40"/>
    <col collapsed="false" customWidth="true" hidden="false" outlineLevel="0" max="3" min="3" style="1" width="52"/>
    <col collapsed="false" customWidth="true" hidden="false" outlineLevel="0" max="4" min="4" style="1" width="26"/>
    <col collapsed="false" customWidth="true" hidden="false" outlineLevel="0" max="5" min="5" style="1" width="32"/>
  </cols>
  <sheetData>
    <row r="1" customFormat="false" ht="15" hidden="false" customHeight="true" outlineLevel="0" collapsed="false">
      <c r="A1" s="5" t="s">
        <v>248</v>
      </c>
      <c r="B1" s="5" t="s">
        <v>4283</v>
      </c>
      <c r="C1" s="5" t="s">
        <v>4284</v>
      </c>
      <c r="D1" s="5" t="s">
        <v>4285</v>
      </c>
      <c r="E1" s="5" t="s">
        <v>4286</v>
      </c>
    </row>
    <row r="2" customFormat="false" ht="66" hidden="false" customHeight="true" outlineLevel="0" collapsed="false">
      <c r="A2" s="16" t="s">
        <v>258</v>
      </c>
      <c r="B2" s="4" t="s">
        <v>3775</v>
      </c>
      <c r="C2" s="4" t="s">
        <v>4287</v>
      </c>
      <c r="D2" s="4" t="s">
        <v>4288</v>
      </c>
      <c r="E2" s="4" t="s">
        <v>4289</v>
      </c>
    </row>
    <row r="3" customFormat="false" ht="66" hidden="false" customHeight="true" outlineLevel="0" collapsed="false">
      <c r="A3" s="16" t="s">
        <v>264</v>
      </c>
      <c r="B3" s="4" t="s">
        <v>4290</v>
      </c>
      <c r="C3" s="4" t="s">
        <v>4291</v>
      </c>
      <c r="D3" s="4" t="s">
        <v>4292</v>
      </c>
      <c r="E3" s="4" t="s">
        <v>4293</v>
      </c>
    </row>
    <row r="4" customFormat="false" ht="66" hidden="false" customHeight="true" outlineLevel="0" collapsed="false">
      <c r="A4" s="16" t="s">
        <v>293</v>
      </c>
      <c r="B4" s="4" t="s">
        <v>4294</v>
      </c>
      <c r="C4" s="4" t="s">
        <v>4295</v>
      </c>
      <c r="D4" s="4" t="s">
        <v>4296</v>
      </c>
      <c r="E4" s="4" t="s">
        <v>4297</v>
      </c>
    </row>
    <row r="5" customFormat="false" ht="66" hidden="false" customHeight="true" outlineLevel="0" collapsed="false">
      <c r="A5" s="16" t="s">
        <v>312</v>
      </c>
      <c r="B5" s="4" t="s">
        <v>3775</v>
      </c>
      <c r="C5" s="4" t="s">
        <v>4298</v>
      </c>
      <c r="D5" s="4" t="s">
        <v>4299</v>
      </c>
      <c r="E5" s="4" t="s">
        <v>4300</v>
      </c>
    </row>
    <row r="6" customFormat="false" ht="66" hidden="false" customHeight="true" outlineLevel="0" collapsed="false">
      <c r="A6" s="16" t="s">
        <v>333</v>
      </c>
      <c r="B6" s="4" t="s">
        <v>4301</v>
      </c>
      <c r="C6" s="4" t="s">
        <v>4302</v>
      </c>
      <c r="D6" s="4" t="s">
        <v>4303</v>
      </c>
      <c r="E6" s="4" t="s">
        <v>4304</v>
      </c>
    </row>
    <row r="7" customFormat="false" ht="66" hidden="false" customHeight="true" outlineLevel="0" collapsed="false">
      <c r="A7" s="16" t="s">
        <v>342</v>
      </c>
      <c r="B7" s="4" t="s">
        <v>4305</v>
      </c>
      <c r="C7" s="4" t="s">
        <v>4306</v>
      </c>
      <c r="D7" s="4" t="s">
        <v>4307</v>
      </c>
      <c r="E7" s="4" t="s">
        <v>4308</v>
      </c>
    </row>
    <row r="8" customFormat="false" ht="66" hidden="false" customHeight="true" outlineLevel="0" collapsed="false">
      <c r="A8" s="16" t="s">
        <v>351</v>
      </c>
      <c r="B8" s="4" t="s">
        <v>4309</v>
      </c>
      <c r="C8" s="4" t="s">
        <v>4310</v>
      </c>
      <c r="D8" s="4" t="s">
        <v>4311</v>
      </c>
      <c r="E8" s="4" t="s">
        <v>4312</v>
      </c>
    </row>
    <row r="9" customFormat="false" ht="66" hidden="false" customHeight="true" outlineLevel="0" collapsed="false">
      <c r="A9" s="16" t="s">
        <v>371</v>
      </c>
      <c r="B9" s="4" t="s">
        <v>4313</v>
      </c>
      <c r="C9" s="4" t="s">
        <v>4314</v>
      </c>
      <c r="D9" s="4" t="s">
        <v>4315</v>
      </c>
      <c r="E9" s="4" t="s">
        <v>4316</v>
      </c>
    </row>
    <row r="10" customFormat="false" ht="66" hidden="false" customHeight="true" outlineLevel="0" collapsed="false">
      <c r="A10" s="16" t="s">
        <v>356</v>
      </c>
      <c r="B10" s="4" t="s">
        <v>4317</v>
      </c>
      <c r="C10" s="4" t="s">
        <v>4318</v>
      </c>
      <c r="D10" s="4" t="s">
        <v>4319</v>
      </c>
      <c r="E10" s="4" t="s">
        <v>4320</v>
      </c>
    </row>
    <row r="11" customFormat="false" ht="66" hidden="false" customHeight="true" outlineLevel="0" collapsed="false">
      <c r="A11" s="16" t="s">
        <v>804</v>
      </c>
      <c r="B11" s="4" t="s">
        <v>4321</v>
      </c>
      <c r="C11" s="4" t="s">
        <v>4322</v>
      </c>
      <c r="D11" s="4" t="s">
        <v>4323</v>
      </c>
      <c r="E11" s="4" t="s">
        <v>4324</v>
      </c>
    </row>
    <row r="12" customFormat="false" ht="66" hidden="false" customHeight="true" outlineLevel="0" collapsed="false">
      <c r="A12" s="16" t="s">
        <v>23</v>
      </c>
      <c r="B12" s="4" t="s">
        <v>4325</v>
      </c>
      <c r="C12" s="4" t="s">
        <v>4326</v>
      </c>
      <c r="D12" s="4" t="s">
        <v>4327</v>
      </c>
      <c r="E12" s="4" t="s">
        <v>4328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4"/>
    <col collapsed="false" customWidth="true" hidden="false" outlineLevel="0" max="3" min="3" style="1" width="13"/>
    <col collapsed="false" customWidth="true" hidden="false" outlineLevel="0" max="4" min="4" style="1" width="58"/>
    <col collapsed="false" customWidth="true" hidden="false" outlineLevel="0" max="5" min="5" style="1" width="40"/>
    <col collapsed="false" customWidth="true" hidden="false" outlineLevel="0" max="6" min="6" style="1" width="38"/>
  </cols>
  <sheetData>
    <row r="1" customFormat="false" ht="15" hidden="false" customHeight="true" outlineLevel="0" collapsed="false">
      <c r="A1" s="17" t="s">
        <v>4329</v>
      </c>
    </row>
    <row r="2" customFormat="false" ht="45.75" hidden="false" customHeight="true" outlineLevel="0" collapsed="false">
      <c r="A2" s="18" t="s">
        <v>4330</v>
      </c>
      <c r="B2" s="18"/>
      <c r="C2" s="18"/>
      <c r="D2" s="18"/>
      <c r="E2" s="18"/>
      <c r="F2" s="18"/>
    </row>
    <row r="4" customFormat="false" ht="15" hidden="false" customHeight="true" outlineLevel="0" collapsed="false">
      <c r="A4" s="8" t="s">
        <v>3755</v>
      </c>
      <c r="B4" s="8" t="s">
        <v>4331</v>
      </c>
      <c r="C4" s="8" t="s">
        <v>4332</v>
      </c>
      <c r="D4" s="8" t="s">
        <v>4333</v>
      </c>
      <c r="E4" s="8" t="s">
        <v>4334</v>
      </c>
      <c r="F4" s="8" t="s">
        <v>4335</v>
      </c>
    </row>
    <row r="5" customFormat="false" ht="39.75" hidden="false" customHeight="true" outlineLevel="0" collapsed="false">
      <c r="A5" s="3" t="n">
        <v>0</v>
      </c>
      <c r="B5" s="4" t="s">
        <v>4336</v>
      </c>
      <c r="C5" s="4" t="s">
        <v>4337</v>
      </c>
      <c r="D5" s="4" t="s">
        <v>4338</v>
      </c>
      <c r="E5" s="4" t="s">
        <v>4339</v>
      </c>
      <c r="F5" s="4" t="s">
        <v>4340</v>
      </c>
    </row>
    <row r="6" customFormat="false" ht="39.75" hidden="false" customHeight="true" outlineLevel="0" collapsed="false">
      <c r="A6" s="3" t="n">
        <v>1</v>
      </c>
      <c r="B6" s="4" t="s">
        <v>4341</v>
      </c>
      <c r="C6" s="4" t="s">
        <v>4337</v>
      </c>
      <c r="D6" s="4" t="s">
        <v>4342</v>
      </c>
      <c r="E6" s="4" t="s">
        <v>4343</v>
      </c>
      <c r="F6" s="4" t="s">
        <v>4344</v>
      </c>
    </row>
    <row r="7" customFormat="false" ht="39.75" hidden="false" customHeight="true" outlineLevel="0" collapsed="false">
      <c r="A7" s="3" t="n">
        <v>2</v>
      </c>
      <c r="B7" s="4" t="s">
        <v>4345</v>
      </c>
      <c r="C7" s="4" t="s">
        <v>4346</v>
      </c>
      <c r="D7" s="4" t="s">
        <v>4347</v>
      </c>
      <c r="E7" s="4" t="s">
        <v>4348</v>
      </c>
      <c r="F7" s="4" t="s">
        <v>4349</v>
      </c>
    </row>
    <row r="8" customFormat="false" ht="39.75" hidden="false" customHeight="true" outlineLevel="0" collapsed="false">
      <c r="A8" s="3" t="n">
        <v>3</v>
      </c>
      <c r="B8" s="4" t="s">
        <v>4350</v>
      </c>
      <c r="C8" s="4" t="s">
        <v>4351</v>
      </c>
      <c r="D8" s="4" t="s">
        <v>4352</v>
      </c>
      <c r="E8" s="4" t="s">
        <v>4353</v>
      </c>
      <c r="F8" s="4" t="s">
        <v>4354</v>
      </c>
    </row>
    <row r="9" customFormat="false" ht="39.75" hidden="false" customHeight="true" outlineLevel="0" collapsed="false">
      <c r="A9" s="3" t="n">
        <v>4</v>
      </c>
      <c r="B9" s="4" t="s">
        <v>4355</v>
      </c>
      <c r="C9" s="4" t="s">
        <v>4356</v>
      </c>
      <c r="D9" s="4" t="s">
        <v>4357</v>
      </c>
      <c r="E9" s="4" t="s">
        <v>4358</v>
      </c>
      <c r="F9" s="4" t="s">
        <v>4359</v>
      </c>
    </row>
    <row r="10" customFormat="false" ht="39.75" hidden="false" customHeight="true" outlineLevel="0" collapsed="false">
      <c r="A10" s="3" t="n">
        <v>5</v>
      </c>
      <c r="B10" s="4" t="s">
        <v>4360</v>
      </c>
      <c r="C10" s="4" t="s">
        <v>4361</v>
      </c>
      <c r="D10" s="4" t="s">
        <v>4362</v>
      </c>
      <c r="E10" s="4" t="s">
        <v>4363</v>
      </c>
      <c r="F10" s="4" t="s">
        <v>4364</v>
      </c>
    </row>
    <row r="11" customFormat="false" ht="39.75" hidden="false" customHeight="true" outlineLevel="0" collapsed="false">
      <c r="A11" s="3" t="n">
        <v>6</v>
      </c>
      <c r="B11" s="4" t="s">
        <v>4365</v>
      </c>
      <c r="C11" s="4" t="s">
        <v>4366</v>
      </c>
      <c r="D11" s="4" t="s">
        <v>4367</v>
      </c>
      <c r="E11" s="4" t="s">
        <v>4368</v>
      </c>
      <c r="F11" s="4" t="s">
        <v>4369</v>
      </c>
    </row>
    <row r="12" customFormat="false" ht="39.75" hidden="false" customHeight="true" outlineLevel="0" collapsed="false">
      <c r="A12" s="3" t="n">
        <v>7</v>
      </c>
      <c r="B12" s="4" t="s">
        <v>4370</v>
      </c>
      <c r="C12" s="4" t="s">
        <v>4371</v>
      </c>
      <c r="D12" s="4" t="s">
        <v>4372</v>
      </c>
      <c r="E12" s="4" t="s">
        <v>4373</v>
      </c>
      <c r="F12" s="4" t="s">
        <v>4374</v>
      </c>
    </row>
    <row r="13" customFormat="false" ht="39.75" hidden="false" customHeight="true" outlineLevel="0" collapsed="false">
      <c r="A13" s="3" t="n">
        <v>8</v>
      </c>
      <c r="B13" s="4" t="s">
        <v>4375</v>
      </c>
      <c r="C13" s="4" t="s">
        <v>4376</v>
      </c>
      <c r="D13" s="4" t="s">
        <v>4377</v>
      </c>
      <c r="E13" s="4" t="s">
        <v>4378</v>
      </c>
      <c r="F13" s="4" t="s">
        <v>4379</v>
      </c>
    </row>
    <row r="14" customFormat="false" ht="39.75" hidden="false" customHeight="true" outlineLevel="0" collapsed="false">
      <c r="A14" s="3" t="n">
        <v>9</v>
      </c>
      <c r="B14" s="4" t="s">
        <v>4380</v>
      </c>
      <c r="C14" s="4" t="s">
        <v>4381</v>
      </c>
      <c r="D14" s="4" t="s">
        <v>4382</v>
      </c>
      <c r="E14" s="4" t="s">
        <v>4383</v>
      </c>
      <c r="F14" s="4" t="s">
        <v>4384</v>
      </c>
    </row>
    <row r="15" customFormat="false" ht="39.75" hidden="false" customHeight="true" outlineLevel="0" collapsed="false">
      <c r="A15" s="3" t="n">
        <v>10</v>
      </c>
      <c r="B15" s="4" t="s">
        <v>4385</v>
      </c>
      <c r="C15" s="4" t="s">
        <v>4386</v>
      </c>
      <c r="D15" s="4" t="s">
        <v>4387</v>
      </c>
      <c r="E15" s="4" t="s">
        <v>4388</v>
      </c>
      <c r="F15" s="4" t="s">
        <v>4389</v>
      </c>
    </row>
    <row r="16" customFormat="false" ht="39.75" hidden="false" customHeight="true" outlineLevel="0" collapsed="false">
      <c r="A16" s="3" t="n">
        <v>11</v>
      </c>
      <c r="B16" s="4" t="s">
        <v>4390</v>
      </c>
      <c r="C16" s="4" t="s">
        <v>262</v>
      </c>
      <c r="D16" s="4" t="s">
        <v>4391</v>
      </c>
      <c r="E16" s="4" t="s">
        <v>4392</v>
      </c>
      <c r="F16" s="4" t="s">
        <v>4393</v>
      </c>
    </row>
    <row r="19" customFormat="false" ht="33.75" hidden="false" customHeight="true" outlineLevel="0" collapsed="false">
      <c r="A19" s="18" t="s">
        <v>4394</v>
      </c>
      <c r="B19" s="18"/>
      <c r="C19" s="18"/>
      <c r="D19" s="18"/>
      <c r="E19" s="18"/>
      <c r="F19" s="18"/>
    </row>
  </sheetData>
  <mergeCells count="2">
    <mergeCell ref="A2:F2"/>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60"/>
    <col collapsed="false" customWidth="true" hidden="false" outlineLevel="0" max="4" min="4" style="1" width="26"/>
  </cols>
  <sheetData>
    <row r="1" customFormat="false" ht="15" hidden="false" customHeight="true" outlineLevel="0" collapsed="false">
      <c r="A1" s="5" t="s">
        <v>4395</v>
      </c>
      <c r="B1" s="5" t="s">
        <v>4396</v>
      </c>
      <c r="C1" s="5" t="s">
        <v>4397</v>
      </c>
      <c r="D1" s="5" t="s">
        <v>4398</v>
      </c>
    </row>
    <row r="2" customFormat="false" ht="55.5" hidden="false" customHeight="true" outlineLevel="0" collapsed="false">
      <c r="A2" s="16" t="s">
        <v>4399</v>
      </c>
      <c r="B2" s="4" t="s">
        <v>4400</v>
      </c>
      <c r="C2" s="4" t="s">
        <v>4401</v>
      </c>
      <c r="D2" s="4" t="s">
        <v>4402</v>
      </c>
    </row>
    <row r="3" customFormat="false" ht="55.5" hidden="false" customHeight="true" outlineLevel="0" collapsed="false">
      <c r="A3" s="16" t="s">
        <v>4403</v>
      </c>
      <c r="B3" s="4" t="s">
        <v>4404</v>
      </c>
      <c r="C3" s="4" t="s">
        <v>4405</v>
      </c>
      <c r="D3" s="4" t="s">
        <v>4406</v>
      </c>
    </row>
    <row r="4" customFormat="false" ht="55.5" hidden="false" customHeight="true" outlineLevel="0" collapsed="false">
      <c r="A4" s="16" t="s">
        <v>4407</v>
      </c>
      <c r="B4" s="4" t="s">
        <v>4408</v>
      </c>
      <c r="C4" s="4" t="s">
        <v>4409</v>
      </c>
      <c r="D4" s="4" t="s">
        <v>4410</v>
      </c>
    </row>
    <row r="5" customFormat="false" ht="55.5" hidden="false" customHeight="true" outlineLevel="0" collapsed="false">
      <c r="A5" s="16" t="s">
        <v>4411</v>
      </c>
      <c r="B5" s="4" t="s">
        <v>4412</v>
      </c>
      <c r="C5" s="4" t="s">
        <v>4413</v>
      </c>
      <c r="D5" s="4" t="s">
        <v>4414</v>
      </c>
    </row>
    <row r="6" customFormat="false" ht="55.5" hidden="false" customHeight="true" outlineLevel="0" collapsed="false">
      <c r="A6" s="16" t="s">
        <v>4415</v>
      </c>
      <c r="B6" s="4" t="s">
        <v>4416</v>
      </c>
      <c r="C6" s="4" t="s">
        <v>4417</v>
      </c>
      <c r="D6" s="4" t="s">
        <v>4402</v>
      </c>
    </row>
    <row r="7" customFormat="false" ht="55.5" hidden="false" customHeight="true" outlineLevel="0" collapsed="false">
      <c r="A7" s="16" t="s">
        <v>4418</v>
      </c>
      <c r="B7" s="4" t="s">
        <v>4419</v>
      </c>
      <c r="C7" s="4" t="s">
        <v>4420</v>
      </c>
      <c r="D7" s="4" t="s">
        <v>4421</v>
      </c>
    </row>
    <row r="8" customFormat="false" ht="55.5" hidden="false" customHeight="true" outlineLevel="0" collapsed="false">
      <c r="A8" s="16" t="s">
        <v>4422</v>
      </c>
      <c r="B8" s="4" t="s">
        <v>4423</v>
      </c>
      <c r="C8" s="4" t="s">
        <v>4424</v>
      </c>
      <c r="D8" s="4" t="s">
        <v>4425</v>
      </c>
    </row>
    <row r="10" customFormat="false" ht="33.75" hidden="false" customHeight="true" outlineLevel="0" collapsed="false">
      <c r="A10" s="18" t="s">
        <v>4426</v>
      </c>
      <c r="B10" s="18"/>
      <c r="C10" s="18"/>
      <c r="D10" s="18"/>
    </row>
  </sheetData>
  <mergeCells count="1">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13"/>
    <col collapsed="false" customWidth="true" hidden="false" outlineLevel="0" max="5" min="4" style="1" width="40"/>
    <col collapsed="false" customWidth="true" hidden="false" outlineLevel="0" max="6" min="6" style="1" width="48"/>
    <col collapsed="false" customWidth="true" hidden="false" outlineLevel="0" max="7" min="7" style="1" width="30"/>
    <col collapsed="false" customWidth="true" hidden="false" outlineLevel="0" max="8" min="8" style="1" width="58"/>
  </cols>
  <sheetData>
    <row r="1" customFormat="false" ht="15" hidden="false" customHeight="true" outlineLevel="0" collapsed="false">
      <c r="A1" s="5" t="s">
        <v>4427</v>
      </c>
      <c r="B1" s="5" t="s">
        <v>247</v>
      </c>
      <c r="C1" s="5" t="s">
        <v>248</v>
      </c>
      <c r="D1" s="5" t="s">
        <v>4428</v>
      </c>
      <c r="E1" s="5" t="s">
        <v>4429</v>
      </c>
      <c r="F1" s="5" t="s">
        <v>4430</v>
      </c>
      <c r="G1" s="5" t="s">
        <v>4431</v>
      </c>
      <c r="H1" s="5" t="s">
        <v>4432</v>
      </c>
    </row>
    <row r="2" customFormat="false" ht="61.5" hidden="false" customHeight="true" outlineLevel="0" collapsed="false">
      <c r="A2" s="6" t="n">
        <v>1</v>
      </c>
      <c r="B2" s="16" t="s">
        <v>257</v>
      </c>
      <c r="C2" s="4" t="s">
        <v>258</v>
      </c>
      <c r="D2" s="4" t="s">
        <v>4433</v>
      </c>
      <c r="E2" s="4" t="s">
        <v>4434</v>
      </c>
      <c r="F2" s="4" t="s">
        <v>4435</v>
      </c>
      <c r="G2" s="4" t="s">
        <v>4436</v>
      </c>
      <c r="H2" s="4" t="s">
        <v>4437</v>
      </c>
    </row>
    <row r="3" customFormat="false" ht="61.5" hidden="false" customHeight="true" outlineLevel="0" collapsed="false">
      <c r="A3" s="6" t="n">
        <v>2</v>
      </c>
      <c r="B3" s="16" t="s">
        <v>263</v>
      </c>
      <c r="C3" s="4" t="s">
        <v>264</v>
      </c>
      <c r="D3" s="4" t="s">
        <v>4438</v>
      </c>
      <c r="E3" s="4" t="s">
        <v>4439</v>
      </c>
      <c r="F3" s="4" t="s">
        <v>4440</v>
      </c>
      <c r="G3" s="4" t="s">
        <v>4441</v>
      </c>
      <c r="H3" s="4" t="s">
        <v>4442</v>
      </c>
    </row>
    <row r="4" customFormat="false" ht="61.5" hidden="false" customHeight="true" outlineLevel="0" collapsed="false">
      <c r="A4" s="6" t="n">
        <v>3</v>
      </c>
      <c r="B4" s="16" t="s">
        <v>266</v>
      </c>
      <c r="C4" s="4" t="s">
        <v>264</v>
      </c>
      <c r="D4" s="4" t="s">
        <v>4443</v>
      </c>
      <c r="E4" s="4" t="s">
        <v>4444</v>
      </c>
      <c r="F4" s="4" t="s">
        <v>4445</v>
      </c>
      <c r="G4" s="4" t="s">
        <v>4446</v>
      </c>
      <c r="H4" s="4" t="s">
        <v>4447</v>
      </c>
    </row>
    <row r="5" customFormat="false" ht="61.5" hidden="false" customHeight="true" outlineLevel="0" collapsed="false">
      <c r="A5" s="6" t="n">
        <v>4</v>
      </c>
      <c r="B5" s="16" t="s">
        <v>268</v>
      </c>
      <c r="C5" s="4" t="s">
        <v>264</v>
      </c>
      <c r="D5" s="4" t="s">
        <v>4448</v>
      </c>
      <c r="E5" s="4" t="s">
        <v>4449</v>
      </c>
      <c r="F5" s="4" t="s">
        <v>4450</v>
      </c>
      <c r="G5" s="4" t="s">
        <v>4451</v>
      </c>
      <c r="H5" s="4" t="s">
        <v>4452</v>
      </c>
    </row>
    <row r="6" customFormat="false" ht="61.5" hidden="false" customHeight="true" outlineLevel="0" collapsed="false">
      <c r="A6" s="6" t="n">
        <v>5</v>
      </c>
      <c r="B6" s="16" t="s">
        <v>270</v>
      </c>
      <c r="C6" s="4" t="s">
        <v>264</v>
      </c>
      <c r="D6" s="4" t="s">
        <v>4453</v>
      </c>
      <c r="E6" s="4" t="s">
        <v>4454</v>
      </c>
      <c r="F6" s="4" t="s">
        <v>4455</v>
      </c>
      <c r="G6" s="4" t="s">
        <v>4456</v>
      </c>
      <c r="H6" s="4" t="s">
        <v>4457</v>
      </c>
    </row>
    <row r="7" customFormat="false" ht="61.5" hidden="false" customHeight="true" outlineLevel="0" collapsed="false">
      <c r="A7" s="6" t="n">
        <v>6</v>
      </c>
      <c r="B7" s="16" t="s">
        <v>272</v>
      </c>
      <c r="C7" s="4" t="s">
        <v>264</v>
      </c>
      <c r="D7" s="4" t="s">
        <v>4458</v>
      </c>
      <c r="E7" s="4" t="s">
        <v>4459</v>
      </c>
      <c r="F7" s="4" t="s">
        <v>4460</v>
      </c>
      <c r="G7" s="4" t="s">
        <v>4461</v>
      </c>
      <c r="H7" s="4" t="s">
        <v>4462</v>
      </c>
    </row>
    <row r="8" customFormat="false" ht="61.5" hidden="false" customHeight="true" outlineLevel="0" collapsed="false">
      <c r="A8" s="6" t="n">
        <v>7</v>
      </c>
      <c r="B8" s="16" t="s">
        <v>274</v>
      </c>
      <c r="C8" s="4" t="s">
        <v>264</v>
      </c>
      <c r="D8" s="4" t="s">
        <v>4463</v>
      </c>
      <c r="E8" s="4" t="s">
        <v>4464</v>
      </c>
      <c r="F8" s="4" t="s">
        <v>4465</v>
      </c>
      <c r="G8" s="4" t="s">
        <v>4466</v>
      </c>
      <c r="H8" s="4" t="s">
        <v>4467</v>
      </c>
    </row>
    <row r="9" customFormat="false" ht="61.5" hidden="false" customHeight="true" outlineLevel="0" collapsed="false">
      <c r="A9" s="6" t="n">
        <v>8</v>
      </c>
      <c r="B9" s="16" t="s">
        <v>276</v>
      </c>
      <c r="C9" s="4" t="s">
        <v>264</v>
      </c>
      <c r="D9" s="4" t="s">
        <v>4468</v>
      </c>
      <c r="E9" s="4" t="s">
        <v>4469</v>
      </c>
      <c r="F9" s="4" t="s">
        <v>4470</v>
      </c>
      <c r="G9" s="4" t="s">
        <v>4471</v>
      </c>
      <c r="H9" s="4" t="s">
        <v>4472</v>
      </c>
    </row>
    <row r="10" customFormat="false" ht="61.5" hidden="false" customHeight="true" outlineLevel="0" collapsed="false">
      <c r="A10" s="6" t="n">
        <v>9</v>
      </c>
      <c r="B10" s="16" t="s">
        <v>278</v>
      </c>
      <c r="C10" s="4" t="s">
        <v>264</v>
      </c>
      <c r="D10" s="4" t="s">
        <v>4473</v>
      </c>
      <c r="E10" s="4" t="s">
        <v>4474</v>
      </c>
      <c r="F10" s="4" t="s">
        <v>4475</v>
      </c>
      <c r="G10" s="4" t="s">
        <v>4476</v>
      </c>
      <c r="H10" s="4" t="s">
        <v>4477</v>
      </c>
    </row>
    <row r="11" customFormat="false" ht="61.5" hidden="false" customHeight="true" outlineLevel="0" collapsed="false">
      <c r="A11" s="6" t="n">
        <v>10</v>
      </c>
      <c r="B11" s="16" t="s">
        <v>280</v>
      </c>
      <c r="C11" s="4" t="s">
        <v>264</v>
      </c>
      <c r="D11" s="4" t="s">
        <v>4478</v>
      </c>
      <c r="E11" s="4" t="s">
        <v>4479</v>
      </c>
      <c r="F11" s="4" t="s">
        <v>4480</v>
      </c>
      <c r="G11" s="4" t="s">
        <v>4481</v>
      </c>
      <c r="H11" s="4" t="s">
        <v>4482</v>
      </c>
    </row>
    <row r="12" customFormat="false" ht="61.5" hidden="false" customHeight="true" outlineLevel="0" collapsed="false">
      <c r="A12" s="6" t="n">
        <v>11</v>
      </c>
      <c r="B12" s="16" t="s">
        <v>282</v>
      </c>
      <c r="C12" s="4" t="s">
        <v>264</v>
      </c>
      <c r="D12" s="4" t="s">
        <v>4483</v>
      </c>
      <c r="E12" s="4" t="s">
        <v>4484</v>
      </c>
      <c r="F12" s="4" t="s">
        <v>4485</v>
      </c>
      <c r="G12" s="4" t="s">
        <v>4486</v>
      </c>
      <c r="H12" s="4" t="s">
        <v>4487</v>
      </c>
    </row>
    <row r="13" customFormat="false" ht="61.5" hidden="false" customHeight="true" outlineLevel="0" collapsed="false">
      <c r="A13" s="6" t="n">
        <v>12</v>
      </c>
      <c r="B13" s="16" t="s">
        <v>284</v>
      </c>
      <c r="C13" s="4" t="s">
        <v>264</v>
      </c>
      <c r="D13" s="4" t="s">
        <v>4488</v>
      </c>
      <c r="E13" s="4" t="s">
        <v>4489</v>
      </c>
      <c r="F13" s="4" t="s">
        <v>4490</v>
      </c>
      <c r="G13" s="4" t="s">
        <v>4491</v>
      </c>
      <c r="H13" s="4" t="s">
        <v>4492</v>
      </c>
    </row>
    <row r="14" customFormat="false" ht="61.5" hidden="false" customHeight="true" outlineLevel="0" collapsed="false">
      <c r="A14" s="6" t="n">
        <v>13</v>
      </c>
      <c r="B14" s="16" t="s">
        <v>286</v>
      </c>
      <c r="C14" s="4" t="s">
        <v>264</v>
      </c>
      <c r="D14" s="4" t="s">
        <v>4493</v>
      </c>
      <c r="E14" s="4" t="s">
        <v>4494</v>
      </c>
      <c r="F14" s="4" t="s">
        <v>4495</v>
      </c>
      <c r="G14" s="4" t="s">
        <v>4486</v>
      </c>
      <c r="H14" s="4" t="s">
        <v>4496</v>
      </c>
    </row>
    <row r="15" customFormat="false" ht="61.5" hidden="false" customHeight="true" outlineLevel="0" collapsed="false">
      <c r="A15" s="6" t="n">
        <v>14</v>
      </c>
      <c r="B15" s="16" t="s">
        <v>288</v>
      </c>
      <c r="C15" s="4" t="s">
        <v>264</v>
      </c>
      <c r="D15" s="4" t="s">
        <v>4497</v>
      </c>
      <c r="E15" s="4" t="s">
        <v>4498</v>
      </c>
      <c r="F15" s="4" t="s">
        <v>4499</v>
      </c>
      <c r="G15" s="4" t="s">
        <v>4500</v>
      </c>
      <c r="H15" s="4" t="s">
        <v>4501</v>
      </c>
    </row>
    <row r="16" customFormat="false" ht="61.5" hidden="false" customHeight="true" outlineLevel="0" collapsed="false">
      <c r="A16" s="6" t="n">
        <v>15</v>
      </c>
      <c r="B16" s="16" t="s">
        <v>290</v>
      </c>
      <c r="C16" s="4" t="s">
        <v>264</v>
      </c>
      <c r="D16" s="4" t="s">
        <v>4502</v>
      </c>
      <c r="E16" s="4" t="s">
        <v>4503</v>
      </c>
      <c r="F16" s="4" t="s">
        <v>4504</v>
      </c>
      <c r="G16" s="4" t="s">
        <v>4505</v>
      </c>
      <c r="H16" s="4" t="s">
        <v>4506</v>
      </c>
    </row>
    <row r="17" customFormat="false" ht="61.5" hidden="false" customHeight="true" outlineLevel="0" collapsed="false">
      <c r="A17" s="6" t="n">
        <v>16</v>
      </c>
      <c r="B17" s="16" t="s">
        <v>292</v>
      </c>
      <c r="C17" s="4" t="s">
        <v>293</v>
      </c>
      <c r="D17" s="4" t="s">
        <v>4507</v>
      </c>
      <c r="E17" s="4" t="s">
        <v>4508</v>
      </c>
      <c r="F17" s="4" t="s">
        <v>4509</v>
      </c>
      <c r="G17" s="4" t="s">
        <v>4510</v>
      </c>
      <c r="H17" s="4" t="s">
        <v>4511</v>
      </c>
    </row>
    <row r="18" customFormat="false" ht="61.5" hidden="false" customHeight="true" outlineLevel="0" collapsed="false">
      <c r="A18" s="6" t="n">
        <v>17</v>
      </c>
      <c r="B18" s="16" t="s">
        <v>295</v>
      </c>
      <c r="C18" s="4" t="s">
        <v>293</v>
      </c>
      <c r="D18" s="4" t="s">
        <v>4512</v>
      </c>
      <c r="E18" s="4" t="s">
        <v>4513</v>
      </c>
      <c r="F18" s="4" t="s">
        <v>4514</v>
      </c>
      <c r="G18" s="4" t="s">
        <v>4515</v>
      </c>
      <c r="H18" s="4" t="s">
        <v>4516</v>
      </c>
    </row>
    <row r="19" customFormat="false" ht="61.5" hidden="false" customHeight="true" outlineLevel="0" collapsed="false">
      <c r="A19" s="6" t="n">
        <v>18</v>
      </c>
      <c r="B19" s="16" t="s">
        <v>297</v>
      </c>
      <c r="C19" s="4" t="s">
        <v>293</v>
      </c>
      <c r="D19" s="4" t="s">
        <v>4517</v>
      </c>
      <c r="E19" s="4" t="s">
        <v>4518</v>
      </c>
      <c r="F19" s="4" t="s">
        <v>4519</v>
      </c>
      <c r="G19" s="4" t="s">
        <v>4520</v>
      </c>
      <c r="H19" s="4" t="s">
        <v>4521</v>
      </c>
    </row>
    <row r="20" customFormat="false" ht="61.5" hidden="false" customHeight="true" outlineLevel="0" collapsed="false">
      <c r="A20" s="6" t="n">
        <v>19</v>
      </c>
      <c r="B20" s="16" t="s">
        <v>299</v>
      </c>
      <c r="C20" s="4" t="s">
        <v>293</v>
      </c>
      <c r="D20" s="4" t="s">
        <v>4522</v>
      </c>
      <c r="E20" s="4" t="s">
        <v>4523</v>
      </c>
      <c r="F20" s="4" t="s">
        <v>4524</v>
      </c>
      <c r="G20" s="4" t="s">
        <v>4525</v>
      </c>
      <c r="H20" s="4" t="s">
        <v>4526</v>
      </c>
    </row>
    <row r="21" customFormat="false" ht="61.5" hidden="false" customHeight="true" outlineLevel="0" collapsed="false">
      <c r="A21" s="6" t="n">
        <v>20</v>
      </c>
      <c r="B21" s="16" t="s">
        <v>301</v>
      </c>
      <c r="C21" s="4" t="s">
        <v>293</v>
      </c>
      <c r="D21" s="4" t="s">
        <v>4527</v>
      </c>
      <c r="E21" s="4" t="s">
        <v>4528</v>
      </c>
      <c r="F21" s="4" t="s">
        <v>4529</v>
      </c>
      <c r="G21" s="4" t="s">
        <v>4530</v>
      </c>
      <c r="H21" s="4" t="s">
        <v>4531</v>
      </c>
    </row>
    <row r="22" customFormat="false" ht="61.5" hidden="false" customHeight="true" outlineLevel="0" collapsed="false">
      <c r="A22" s="6" t="n">
        <v>21</v>
      </c>
      <c r="B22" s="16" t="s">
        <v>303</v>
      </c>
      <c r="C22" s="4" t="s">
        <v>293</v>
      </c>
      <c r="D22" s="4" t="s">
        <v>4532</v>
      </c>
      <c r="E22" s="4" t="s">
        <v>4533</v>
      </c>
      <c r="F22" s="4" t="s">
        <v>4534</v>
      </c>
      <c r="G22" s="4" t="s">
        <v>4535</v>
      </c>
      <c r="H22" s="4" t="s">
        <v>4536</v>
      </c>
    </row>
    <row r="23" customFormat="false" ht="61.5" hidden="false" customHeight="true" outlineLevel="0" collapsed="false">
      <c r="A23" s="6" t="n">
        <v>22</v>
      </c>
      <c r="B23" s="16" t="s">
        <v>305</v>
      </c>
      <c r="C23" s="4" t="s">
        <v>293</v>
      </c>
      <c r="D23" s="4" t="s">
        <v>4537</v>
      </c>
      <c r="E23" s="4" t="s">
        <v>4538</v>
      </c>
      <c r="F23" s="4" t="s">
        <v>4539</v>
      </c>
      <c r="G23" s="4" t="s">
        <v>4540</v>
      </c>
      <c r="H23" s="4" t="s">
        <v>4541</v>
      </c>
    </row>
    <row r="24" customFormat="false" ht="61.5" hidden="false" customHeight="true" outlineLevel="0" collapsed="false">
      <c r="A24" s="6" t="n">
        <v>23</v>
      </c>
      <c r="B24" s="16" t="s">
        <v>307</v>
      </c>
      <c r="C24" s="4" t="s">
        <v>293</v>
      </c>
      <c r="D24" s="4" t="s">
        <v>4542</v>
      </c>
      <c r="E24" s="4" t="s">
        <v>4543</v>
      </c>
      <c r="F24" s="4" t="s">
        <v>4544</v>
      </c>
      <c r="G24" s="4" t="s">
        <v>4545</v>
      </c>
      <c r="H24" s="4" t="s">
        <v>4546</v>
      </c>
    </row>
    <row r="25" customFormat="false" ht="61.5" hidden="false" customHeight="true" outlineLevel="0" collapsed="false">
      <c r="A25" s="6" t="n">
        <v>24</v>
      </c>
      <c r="B25" s="16" t="s">
        <v>309</v>
      </c>
      <c r="C25" s="4" t="s">
        <v>23</v>
      </c>
      <c r="D25" s="4" t="s">
        <v>4547</v>
      </c>
      <c r="E25" s="4" t="s">
        <v>4548</v>
      </c>
      <c r="F25" s="4" t="s">
        <v>4549</v>
      </c>
      <c r="G25" s="4" t="s">
        <v>4550</v>
      </c>
      <c r="H25" s="4" t="s">
        <v>4551</v>
      </c>
    </row>
    <row r="26" customFormat="false" ht="61.5" hidden="false" customHeight="true" outlineLevel="0" collapsed="false">
      <c r="A26" s="6" t="n">
        <v>25</v>
      </c>
      <c r="B26" s="16" t="s">
        <v>311</v>
      </c>
      <c r="C26" s="4" t="s">
        <v>312</v>
      </c>
      <c r="D26" s="4" t="s">
        <v>4552</v>
      </c>
      <c r="E26" s="4" t="s">
        <v>4553</v>
      </c>
      <c r="F26" s="4" t="s">
        <v>4554</v>
      </c>
      <c r="G26" s="4" t="s">
        <v>4555</v>
      </c>
      <c r="H26" s="4" t="s">
        <v>4556</v>
      </c>
    </row>
    <row r="27" customFormat="false" ht="61.5" hidden="false" customHeight="true" outlineLevel="0" collapsed="false">
      <c r="A27" s="6" t="n">
        <v>26</v>
      </c>
      <c r="B27" s="16" t="s">
        <v>314</v>
      </c>
      <c r="C27" s="4" t="s">
        <v>312</v>
      </c>
      <c r="D27" s="4" t="s">
        <v>4557</v>
      </c>
      <c r="E27" s="4" t="s">
        <v>4558</v>
      </c>
      <c r="F27" s="4" t="s">
        <v>4559</v>
      </c>
      <c r="G27" s="4" t="s">
        <v>4560</v>
      </c>
      <c r="H27" s="4" t="s">
        <v>4561</v>
      </c>
    </row>
    <row r="28" customFormat="false" ht="61.5" hidden="false" customHeight="true" outlineLevel="0" collapsed="false">
      <c r="A28" s="6" t="n">
        <v>27</v>
      </c>
      <c r="B28" s="16" t="s">
        <v>316</v>
      </c>
      <c r="C28" s="4" t="s">
        <v>312</v>
      </c>
      <c r="D28" s="4" t="s">
        <v>4562</v>
      </c>
      <c r="E28" s="4" t="s">
        <v>4563</v>
      </c>
      <c r="F28" s="4" t="s">
        <v>4564</v>
      </c>
      <c r="G28" s="4" t="s">
        <v>4565</v>
      </c>
      <c r="H28" s="4" t="s">
        <v>4566</v>
      </c>
    </row>
    <row r="29" customFormat="false" ht="61.5" hidden="false" customHeight="true" outlineLevel="0" collapsed="false">
      <c r="A29" s="6" t="n">
        <v>28</v>
      </c>
      <c r="B29" s="16" t="s">
        <v>318</v>
      </c>
      <c r="C29" s="4" t="s">
        <v>312</v>
      </c>
      <c r="D29" s="4" t="s">
        <v>4567</v>
      </c>
      <c r="E29" s="4" t="s">
        <v>4568</v>
      </c>
      <c r="F29" s="4" t="s">
        <v>4569</v>
      </c>
      <c r="G29" s="4" t="s">
        <v>4570</v>
      </c>
      <c r="H29" s="4" t="s">
        <v>4571</v>
      </c>
    </row>
    <row r="30" customFormat="false" ht="61.5" hidden="false" customHeight="true" outlineLevel="0" collapsed="false">
      <c r="A30" s="6" t="n">
        <v>29</v>
      </c>
      <c r="B30" s="16" t="s">
        <v>320</v>
      </c>
      <c r="C30" s="4" t="s">
        <v>312</v>
      </c>
      <c r="D30" s="4" t="s">
        <v>4572</v>
      </c>
      <c r="E30" s="4" t="s">
        <v>4573</v>
      </c>
      <c r="F30" s="4" t="s">
        <v>4574</v>
      </c>
      <c r="G30" s="4" t="s">
        <v>4575</v>
      </c>
      <c r="H30" s="4" t="s">
        <v>4576</v>
      </c>
    </row>
    <row r="31" customFormat="false" ht="61.5" hidden="false" customHeight="true" outlineLevel="0" collapsed="false">
      <c r="A31" s="6" t="n">
        <v>30</v>
      </c>
      <c r="B31" s="16" t="s">
        <v>322</v>
      </c>
      <c r="C31" s="4" t="s">
        <v>312</v>
      </c>
      <c r="D31" s="4" t="s">
        <v>4577</v>
      </c>
      <c r="E31" s="4" t="s">
        <v>4578</v>
      </c>
      <c r="F31" s="4" t="s">
        <v>4579</v>
      </c>
      <c r="G31" s="4" t="s">
        <v>4580</v>
      </c>
      <c r="H31" s="4" t="s">
        <v>4581</v>
      </c>
    </row>
    <row r="32" customFormat="false" ht="61.5" hidden="false" customHeight="true" outlineLevel="0" collapsed="false">
      <c r="A32" s="6" t="n">
        <v>31</v>
      </c>
      <c r="B32" s="16" t="s">
        <v>324</v>
      </c>
      <c r="C32" s="4" t="s">
        <v>312</v>
      </c>
      <c r="D32" s="4" t="s">
        <v>4582</v>
      </c>
      <c r="E32" s="4" t="s">
        <v>4583</v>
      </c>
      <c r="F32" s="4" t="s">
        <v>4584</v>
      </c>
      <c r="G32" s="4" t="s">
        <v>4585</v>
      </c>
      <c r="H32" s="4" t="s">
        <v>4586</v>
      </c>
    </row>
    <row r="33" customFormat="false" ht="61.5" hidden="false" customHeight="true" outlineLevel="0" collapsed="false">
      <c r="A33" s="6" t="n">
        <v>32</v>
      </c>
      <c r="B33" s="16" t="s">
        <v>326</v>
      </c>
      <c r="C33" s="4" t="s">
        <v>312</v>
      </c>
      <c r="D33" s="4" t="s">
        <v>4587</v>
      </c>
      <c r="E33" s="4" t="s">
        <v>4588</v>
      </c>
      <c r="F33" s="4" t="s">
        <v>4589</v>
      </c>
      <c r="G33" s="4" t="s">
        <v>4590</v>
      </c>
      <c r="H33" s="4" t="s">
        <v>4591</v>
      </c>
    </row>
    <row r="34" customFormat="false" ht="61.5" hidden="false" customHeight="true" outlineLevel="0" collapsed="false">
      <c r="A34" s="6" t="n">
        <v>33</v>
      </c>
      <c r="B34" s="16" t="s">
        <v>328</v>
      </c>
      <c r="C34" s="4" t="s">
        <v>312</v>
      </c>
      <c r="D34" s="4" t="s">
        <v>4592</v>
      </c>
      <c r="E34" s="4" t="s">
        <v>4593</v>
      </c>
      <c r="F34" s="4" t="s">
        <v>4594</v>
      </c>
      <c r="G34" s="4" t="s">
        <v>4595</v>
      </c>
      <c r="H34" s="4" t="s">
        <v>4596</v>
      </c>
    </row>
    <row r="35" customFormat="false" ht="61.5" hidden="false" customHeight="true" outlineLevel="0" collapsed="false">
      <c r="A35" s="6" t="n">
        <v>34</v>
      </c>
      <c r="B35" s="16" t="s">
        <v>330</v>
      </c>
      <c r="C35" s="4" t="s">
        <v>312</v>
      </c>
      <c r="D35" s="4" t="s">
        <v>4597</v>
      </c>
      <c r="E35" s="4" t="s">
        <v>4598</v>
      </c>
      <c r="F35" s="4" t="s">
        <v>4599</v>
      </c>
      <c r="G35" s="4" t="s">
        <v>4600</v>
      </c>
      <c r="H35" s="4" t="s">
        <v>4601</v>
      </c>
    </row>
    <row r="36" customFormat="false" ht="61.5" hidden="false" customHeight="true" outlineLevel="0" collapsed="false">
      <c r="A36" s="6" t="n">
        <v>35</v>
      </c>
      <c r="B36" s="16" t="s">
        <v>332</v>
      </c>
      <c r="C36" s="4" t="s">
        <v>333</v>
      </c>
      <c r="D36" s="4" t="s">
        <v>4602</v>
      </c>
      <c r="E36" s="4" t="s">
        <v>4603</v>
      </c>
      <c r="F36" s="4" t="s">
        <v>4604</v>
      </c>
      <c r="G36" s="4" t="s">
        <v>4605</v>
      </c>
      <c r="H36" s="4" t="s">
        <v>4606</v>
      </c>
    </row>
    <row r="37" customFormat="false" ht="61.5" hidden="false" customHeight="true" outlineLevel="0" collapsed="false">
      <c r="A37" s="6" t="n">
        <v>36</v>
      </c>
      <c r="B37" s="16" t="s">
        <v>335</v>
      </c>
      <c r="C37" s="4" t="s">
        <v>333</v>
      </c>
      <c r="D37" s="4" t="s">
        <v>4607</v>
      </c>
      <c r="E37" s="4" t="s">
        <v>4608</v>
      </c>
      <c r="F37" s="4" t="s">
        <v>4609</v>
      </c>
      <c r="G37" s="4" t="s">
        <v>4610</v>
      </c>
      <c r="H37" s="4" t="s">
        <v>4611</v>
      </c>
    </row>
    <row r="38" customFormat="false" ht="61.5" hidden="false" customHeight="true" outlineLevel="0" collapsed="false">
      <c r="A38" s="6" t="n">
        <v>37</v>
      </c>
      <c r="B38" s="16" t="s">
        <v>337</v>
      </c>
      <c r="C38" s="4" t="s">
        <v>333</v>
      </c>
      <c r="D38" s="4" t="s">
        <v>4612</v>
      </c>
      <c r="E38" s="4" t="s">
        <v>4613</v>
      </c>
      <c r="F38" s="4" t="s">
        <v>4614</v>
      </c>
      <c r="G38" s="4" t="s">
        <v>4615</v>
      </c>
      <c r="H38" s="4" t="s">
        <v>4616</v>
      </c>
    </row>
    <row r="39" customFormat="false" ht="61.5" hidden="false" customHeight="true" outlineLevel="0" collapsed="false">
      <c r="A39" s="6" t="n">
        <v>38</v>
      </c>
      <c r="B39" s="16" t="s">
        <v>339</v>
      </c>
      <c r="C39" s="4" t="s">
        <v>333</v>
      </c>
      <c r="D39" s="4" t="s">
        <v>4617</v>
      </c>
      <c r="E39" s="4" t="s">
        <v>4618</v>
      </c>
      <c r="F39" s="4" t="s">
        <v>4619</v>
      </c>
      <c r="G39" s="4" t="s">
        <v>4620</v>
      </c>
      <c r="H39" s="4" t="s">
        <v>4621</v>
      </c>
    </row>
    <row r="40" customFormat="false" ht="61.5" hidden="false" customHeight="true" outlineLevel="0" collapsed="false">
      <c r="A40" s="6" t="n">
        <v>39</v>
      </c>
      <c r="B40" s="16" t="s">
        <v>405</v>
      </c>
      <c r="C40" s="4" t="s">
        <v>333</v>
      </c>
      <c r="D40" s="4" t="s">
        <v>4622</v>
      </c>
      <c r="E40" s="4" t="s">
        <v>4623</v>
      </c>
      <c r="F40" s="4" t="s">
        <v>4624</v>
      </c>
      <c r="G40" s="4" t="s">
        <v>4625</v>
      </c>
      <c r="H40" s="4" t="s">
        <v>4626</v>
      </c>
    </row>
    <row r="41" customFormat="false" ht="61.5" hidden="false" customHeight="true" outlineLevel="0" collapsed="false">
      <c r="A41" s="6" t="n">
        <v>40</v>
      </c>
      <c r="B41" s="16" t="s">
        <v>341</v>
      </c>
      <c r="C41" s="4" t="s">
        <v>342</v>
      </c>
      <c r="D41" s="4" t="s">
        <v>4627</v>
      </c>
      <c r="E41" s="4" t="s">
        <v>4628</v>
      </c>
      <c r="F41" s="4" t="s">
        <v>4629</v>
      </c>
      <c r="G41" s="4" t="s">
        <v>4630</v>
      </c>
      <c r="H41" s="4" t="s">
        <v>4631</v>
      </c>
    </row>
    <row r="42" customFormat="false" ht="61.5" hidden="false" customHeight="true" outlineLevel="0" collapsed="false">
      <c r="A42" s="6" t="n">
        <v>41</v>
      </c>
      <c r="B42" s="16" t="s">
        <v>344</v>
      </c>
      <c r="C42" s="4" t="s">
        <v>342</v>
      </c>
      <c r="D42" s="4" t="s">
        <v>4632</v>
      </c>
      <c r="E42" s="4" t="s">
        <v>4633</v>
      </c>
      <c r="F42" s="4" t="s">
        <v>4634</v>
      </c>
      <c r="G42" s="4" t="s">
        <v>4635</v>
      </c>
      <c r="H42" s="4" t="s">
        <v>4636</v>
      </c>
    </row>
    <row r="43" customFormat="false" ht="61.5" hidden="false" customHeight="true" outlineLevel="0" collapsed="false">
      <c r="A43" s="6" t="n">
        <v>42</v>
      </c>
      <c r="B43" s="16" t="s">
        <v>346</v>
      </c>
      <c r="C43" s="4" t="s">
        <v>342</v>
      </c>
      <c r="D43" s="4" t="s">
        <v>4637</v>
      </c>
      <c r="E43" s="4" t="s">
        <v>4638</v>
      </c>
      <c r="F43" s="4" t="s">
        <v>4639</v>
      </c>
      <c r="G43" s="4" t="s">
        <v>4640</v>
      </c>
      <c r="H43" s="4" t="s">
        <v>4641</v>
      </c>
    </row>
    <row r="44" customFormat="false" ht="61.5" hidden="false" customHeight="true" outlineLevel="0" collapsed="false">
      <c r="A44" s="6" t="n">
        <v>43</v>
      </c>
      <c r="B44" s="16" t="s">
        <v>348</v>
      </c>
      <c r="C44" s="4" t="s">
        <v>342</v>
      </c>
      <c r="D44" s="4" t="s">
        <v>4642</v>
      </c>
      <c r="E44" s="4" t="s">
        <v>4643</v>
      </c>
      <c r="F44" s="4" t="s">
        <v>4644</v>
      </c>
      <c r="G44" s="4" t="s">
        <v>4645</v>
      </c>
      <c r="H44" s="4" t="s">
        <v>4646</v>
      </c>
    </row>
    <row r="45" customFormat="false" ht="61.5" hidden="false" customHeight="true" outlineLevel="0" collapsed="false">
      <c r="A45" s="6" t="n">
        <v>44</v>
      </c>
      <c r="B45" s="16" t="s">
        <v>350</v>
      </c>
      <c r="C45" s="4" t="s">
        <v>351</v>
      </c>
      <c r="D45" s="4" t="s">
        <v>4647</v>
      </c>
      <c r="E45" s="4" t="s">
        <v>4648</v>
      </c>
      <c r="F45" s="4" t="s">
        <v>4649</v>
      </c>
      <c r="G45" s="4" t="s">
        <v>4650</v>
      </c>
      <c r="H45" s="4" t="s">
        <v>4651</v>
      </c>
    </row>
    <row r="46" customFormat="false" ht="61.5" hidden="false" customHeight="true" outlineLevel="0" collapsed="false">
      <c r="A46" s="6" t="n">
        <v>45</v>
      </c>
      <c r="B46" s="16" t="s">
        <v>353</v>
      </c>
      <c r="C46" s="4" t="s">
        <v>351</v>
      </c>
      <c r="D46" s="4" t="s">
        <v>4652</v>
      </c>
      <c r="E46" s="4" t="s">
        <v>4653</v>
      </c>
      <c r="F46" s="4" t="s">
        <v>4654</v>
      </c>
      <c r="G46" s="4" t="s">
        <v>4655</v>
      </c>
      <c r="H46" s="4" t="s">
        <v>4656</v>
      </c>
    </row>
    <row r="47" customFormat="false" ht="61.5" hidden="false" customHeight="true" outlineLevel="0" collapsed="false">
      <c r="A47" s="6" t="n">
        <v>46</v>
      </c>
      <c r="B47" s="16" t="s">
        <v>355</v>
      </c>
      <c r="C47" s="4" t="s">
        <v>356</v>
      </c>
      <c r="D47" s="4" t="s">
        <v>4657</v>
      </c>
      <c r="E47" s="4" t="s">
        <v>4658</v>
      </c>
      <c r="F47" s="4" t="s">
        <v>4659</v>
      </c>
      <c r="G47" s="4" t="s">
        <v>4660</v>
      </c>
      <c r="H47" s="4" t="s">
        <v>4661</v>
      </c>
    </row>
    <row r="48" customFormat="false" ht="61.5" hidden="false" customHeight="true" outlineLevel="0" collapsed="false">
      <c r="A48" s="6" t="n">
        <v>47</v>
      </c>
      <c r="B48" s="16" t="s">
        <v>358</v>
      </c>
      <c r="C48" s="4" t="s">
        <v>356</v>
      </c>
      <c r="D48" s="4" t="s">
        <v>4662</v>
      </c>
      <c r="E48" s="4" t="s">
        <v>4663</v>
      </c>
      <c r="F48" s="4" t="s">
        <v>4664</v>
      </c>
      <c r="G48" s="4" t="s">
        <v>4665</v>
      </c>
      <c r="H48" s="4" t="s">
        <v>4666</v>
      </c>
    </row>
    <row r="49" customFormat="false" ht="61.5" hidden="false" customHeight="true" outlineLevel="0" collapsed="false">
      <c r="A49" s="6" t="n">
        <v>48</v>
      </c>
      <c r="B49" s="16" t="s">
        <v>360</v>
      </c>
      <c r="C49" s="4" t="s">
        <v>356</v>
      </c>
      <c r="D49" s="4" t="s">
        <v>4667</v>
      </c>
      <c r="E49" s="4" t="s">
        <v>4668</v>
      </c>
      <c r="F49" s="4" t="s">
        <v>4669</v>
      </c>
      <c r="G49" s="4" t="s">
        <v>4670</v>
      </c>
      <c r="H49" s="4" t="s">
        <v>4671</v>
      </c>
    </row>
    <row r="50" customFormat="false" ht="61.5" hidden="false" customHeight="true" outlineLevel="0" collapsed="false">
      <c r="A50" s="6" t="n">
        <v>49</v>
      </c>
      <c r="B50" s="16" t="s">
        <v>362</v>
      </c>
      <c r="C50" s="4" t="s">
        <v>356</v>
      </c>
      <c r="D50" s="4" t="s">
        <v>4672</v>
      </c>
      <c r="E50" s="4" t="s">
        <v>4673</v>
      </c>
      <c r="F50" s="4" t="s">
        <v>4674</v>
      </c>
      <c r="G50" s="4" t="s">
        <v>4675</v>
      </c>
      <c r="H50" s="4" t="s">
        <v>4676</v>
      </c>
    </row>
    <row r="51" customFormat="false" ht="61.5" hidden="false" customHeight="true" outlineLevel="0" collapsed="false">
      <c r="A51" s="6" t="n">
        <v>50</v>
      </c>
      <c r="B51" s="16" t="s">
        <v>364</v>
      </c>
      <c r="C51" s="4" t="s">
        <v>356</v>
      </c>
      <c r="D51" s="4" t="s">
        <v>4677</v>
      </c>
      <c r="E51" s="4" t="s">
        <v>4678</v>
      </c>
      <c r="F51" s="4" t="s">
        <v>4679</v>
      </c>
      <c r="G51" s="4" t="s">
        <v>4680</v>
      </c>
      <c r="H51" s="4" t="s">
        <v>4681</v>
      </c>
    </row>
    <row r="52" customFormat="false" ht="61.5" hidden="false" customHeight="true" outlineLevel="0" collapsed="false">
      <c r="A52" s="6" t="n">
        <v>51</v>
      </c>
      <c r="B52" s="16" t="s">
        <v>366</v>
      </c>
      <c r="C52" s="4" t="s">
        <v>356</v>
      </c>
      <c r="D52" s="4" t="s">
        <v>4682</v>
      </c>
      <c r="E52" s="4" t="s">
        <v>4683</v>
      </c>
      <c r="F52" s="4" t="s">
        <v>4684</v>
      </c>
      <c r="G52" s="4" t="s">
        <v>4685</v>
      </c>
      <c r="H52" s="4" t="s">
        <v>4686</v>
      </c>
    </row>
    <row r="53" customFormat="false" ht="61.5" hidden="false" customHeight="true" outlineLevel="0" collapsed="false">
      <c r="A53" s="6" t="n">
        <v>52</v>
      </c>
      <c r="B53" s="16" t="s">
        <v>368</v>
      </c>
      <c r="C53" s="4" t="s">
        <v>356</v>
      </c>
      <c r="D53" s="4" t="s">
        <v>4687</v>
      </c>
      <c r="E53" s="4" t="s">
        <v>4688</v>
      </c>
      <c r="F53" s="4" t="s">
        <v>4689</v>
      </c>
      <c r="G53" s="4" t="s">
        <v>4690</v>
      </c>
      <c r="H53" s="4" t="s">
        <v>4691</v>
      </c>
    </row>
    <row r="54" customFormat="false" ht="61.5" hidden="false" customHeight="true" outlineLevel="0" collapsed="false">
      <c r="A54" s="6" t="n">
        <v>53</v>
      </c>
      <c r="B54" s="16" t="s">
        <v>370</v>
      </c>
      <c r="C54" s="4" t="s">
        <v>371</v>
      </c>
      <c r="D54" s="4" t="s">
        <v>4692</v>
      </c>
      <c r="E54" s="4" t="s">
        <v>4693</v>
      </c>
      <c r="F54" s="4" t="s">
        <v>4694</v>
      </c>
      <c r="G54" s="4" t="s">
        <v>4695</v>
      </c>
      <c r="H54" s="4" t="s">
        <v>4696</v>
      </c>
    </row>
    <row r="55" customFormat="false" ht="61.5" hidden="false" customHeight="true" outlineLevel="0" collapsed="false">
      <c r="A55" s="6" t="n">
        <v>54</v>
      </c>
      <c r="B55" s="16" t="s">
        <v>373</v>
      </c>
      <c r="C55" s="4" t="s">
        <v>371</v>
      </c>
      <c r="D55" s="4" t="s">
        <v>4697</v>
      </c>
      <c r="E55" s="4" t="s">
        <v>4698</v>
      </c>
      <c r="F55" s="4" t="s">
        <v>4699</v>
      </c>
      <c r="G55" s="4" t="s">
        <v>4700</v>
      </c>
      <c r="H55" s="4" t="s">
        <v>4701</v>
      </c>
    </row>
    <row r="56" customFormat="false" ht="61.5" hidden="false" customHeight="true" outlineLevel="0" collapsed="false">
      <c r="A56" s="6" t="n">
        <v>55</v>
      </c>
      <c r="B56" s="16" t="s">
        <v>375</v>
      </c>
      <c r="C56" s="4" t="s">
        <v>371</v>
      </c>
      <c r="D56" s="4" t="s">
        <v>4702</v>
      </c>
      <c r="E56" s="4" t="s">
        <v>4703</v>
      </c>
      <c r="F56" s="4" t="s">
        <v>4704</v>
      </c>
      <c r="G56" s="4" t="s">
        <v>4705</v>
      </c>
      <c r="H56" s="4" t="s">
        <v>4706</v>
      </c>
    </row>
    <row r="57" customFormat="false" ht="61.5" hidden="false" customHeight="true" outlineLevel="0" collapsed="false">
      <c r="A57" s="6" t="n">
        <v>56</v>
      </c>
      <c r="B57" s="16" t="s">
        <v>377</v>
      </c>
      <c r="C57" s="4" t="s">
        <v>371</v>
      </c>
      <c r="D57" s="4" t="s">
        <v>4707</v>
      </c>
      <c r="E57" s="4" t="s">
        <v>4708</v>
      </c>
      <c r="F57" s="4" t="s">
        <v>4709</v>
      </c>
      <c r="G57" s="4" t="s">
        <v>4710</v>
      </c>
      <c r="H57" s="4" t="s">
        <v>4711</v>
      </c>
    </row>
    <row r="58" customFormat="false" ht="61.5" hidden="false" customHeight="true" outlineLevel="0" collapsed="false">
      <c r="A58" s="6" t="n">
        <v>57</v>
      </c>
      <c r="B58" s="16" t="s">
        <v>379</v>
      </c>
      <c r="C58" s="4" t="s">
        <v>371</v>
      </c>
      <c r="D58" s="4" t="s">
        <v>4712</v>
      </c>
      <c r="E58" s="4" t="s">
        <v>4713</v>
      </c>
      <c r="F58" s="4" t="s">
        <v>4714</v>
      </c>
      <c r="G58" s="4" t="s">
        <v>4715</v>
      </c>
      <c r="H58" s="4" t="s">
        <v>4716</v>
      </c>
    </row>
    <row r="59" customFormat="false" ht="61.5" hidden="false" customHeight="true" outlineLevel="0" collapsed="false">
      <c r="A59" s="6" t="n">
        <v>58</v>
      </c>
      <c r="B59" s="16" t="s">
        <v>381</v>
      </c>
      <c r="C59" s="4" t="s">
        <v>371</v>
      </c>
      <c r="D59" s="4" t="s">
        <v>4717</v>
      </c>
      <c r="E59" s="4" t="s">
        <v>4718</v>
      </c>
      <c r="F59" s="4" t="s">
        <v>4719</v>
      </c>
      <c r="G59" s="4" t="s">
        <v>4720</v>
      </c>
      <c r="H59" s="4" t="s">
        <v>4721</v>
      </c>
    </row>
    <row r="60" customFormat="false" ht="61.5" hidden="false" customHeight="true" outlineLevel="0" collapsed="false">
      <c r="A60" s="6" t="n">
        <v>59</v>
      </c>
      <c r="B60" s="16" t="s">
        <v>383</v>
      </c>
      <c r="C60" s="4" t="s">
        <v>371</v>
      </c>
      <c r="D60" s="4" t="s">
        <v>4722</v>
      </c>
      <c r="E60" s="4" t="s">
        <v>4723</v>
      </c>
      <c r="F60" s="4" t="s">
        <v>4724</v>
      </c>
      <c r="G60" s="4" t="s">
        <v>4725</v>
      </c>
      <c r="H60" s="4" t="s">
        <v>4726</v>
      </c>
    </row>
    <row r="61" customFormat="false" ht="61.5" hidden="false" customHeight="true" outlineLevel="0" collapsed="false">
      <c r="A61" s="6" t="n">
        <v>60</v>
      </c>
      <c r="B61" s="16" t="s">
        <v>385</v>
      </c>
      <c r="C61" s="4" t="s">
        <v>293</v>
      </c>
      <c r="D61" s="4" t="s">
        <v>4727</v>
      </c>
      <c r="E61" s="4" t="s">
        <v>4728</v>
      </c>
      <c r="F61" s="4" t="s">
        <v>4729</v>
      </c>
      <c r="G61" s="4" t="s">
        <v>4730</v>
      </c>
      <c r="H61" s="4" t="s">
        <v>4731</v>
      </c>
    </row>
    <row r="62" customFormat="false" ht="61.5" hidden="false" customHeight="true" outlineLevel="0" collapsed="false">
      <c r="A62" s="6" t="n">
        <v>61</v>
      </c>
      <c r="B62" s="16" t="s">
        <v>387</v>
      </c>
      <c r="C62" s="4" t="s">
        <v>356</v>
      </c>
      <c r="D62" s="4" t="s">
        <v>4732</v>
      </c>
      <c r="E62" s="4" t="s">
        <v>4733</v>
      </c>
      <c r="F62" s="4" t="s">
        <v>4734</v>
      </c>
      <c r="G62" s="4" t="s">
        <v>4735</v>
      </c>
      <c r="H62" s="4" t="s">
        <v>4736</v>
      </c>
    </row>
    <row r="63" customFormat="false" ht="61.5" hidden="false" customHeight="true" outlineLevel="0" collapsed="false">
      <c r="A63" s="6" t="n">
        <v>62</v>
      </c>
      <c r="B63" s="16" t="s">
        <v>389</v>
      </c>
      <c r="C63" s="4" t="s">
        <v>293</v>
      </c>
      <c r="D63" s="4" t="s">
        <v>4737</v>
      </c>
      <c r="E63" s="4" t="s">
        <v>4738</v>
      </c>
      <c r="F63" s="4" t="s">
        <v>4739</v>
      </c>
      <c r="G63" s="4" t="s">
        <v>4740</v>
      </c>
      <c r="H63" s="4" t="s">
        <v>4741</v>
      </c>
    </row>
    <row r="64" customFormat="false" ht="61.5" hidden="false" customHeight="true" outlineLevel="0" collapsed="false">
      <c r="A64" s="6" t="n">
        <v>63</v>
      </c>
      <c r="B64" s="16" t="s">
        <v>391</v>
      </c>
      <c r="C64" s="4" t="s">
        <v>293</v>
      </c>
      <c r="D64" s="4" t="s">
        <v>4742</v>
      </c>
      <c r="E64" s="4" t="s">
        <v>4743</v>
      </c>
      <c r="F64" s="4" t="s">
        <v>4744</v>
      </c>
      <c r="G64" s="4" t="s">
        <v>4745</v>
      </c>
      <c r="H64" s="4" t="s">
        <v>4746</v>
      </c>
    </row>
    <row r="65" customFormat="false" ht="61.5" hidden="false" customHeight="true" outlineLevel="0" collapsed="false">
      <c r="A65" s="6" t="n">
        <v>64</v>
      </c>
      <c r="B65" s="16" t="s">
        <v>393</v>
      </c>
      <c r="C65" s="4" t="s">
        <v>23</v>
      </c>
      <c r="D65" s="4" t="s">
        <v>4747</v>
      </c>
      <c r="E65" s="4" t="s">
        <v>4748</v>
      </c>
      <c r="F65" s="4" t="s">
        <v>4749</v>
      </c>
      <c r="G65" s="4" t="s">
        <v>4750</v>
      </c>
      <c r="H65" s="4" t="s">
        <v>4751</v>
      </c>
    </row>
    <row r="66" customFormat="false" ht="61.5" hidden="false" customHeight="true" outlineLevel="0" collapsed="false">
      <c r="A66" s="6" t="n">
        <v>65</v>
      </c>
      <c r="B66" s="16" t="s">
        <v>395</v>
      </c>
      <c r="C66" s="4" t="s">
        <v>23</v>
      </c>
      <c r="D66" s="4" t="s">
        <v>4752</v>
      </c>
      <c r="E66" s="4" t="s">
        <v>4753</v>
      </c>
      <c r="F66" s="4" t="s">
        <v>4754</v>
      </c>
      <c r="G66" s="4" t="s">
        <v>4755</v>
      </c>
      <c r="H66" s="4" t="s">
        <v>4756</v>
      </c>
    </row>
    <row r="67" customFormat="false" ht="61.5" hidden="false" customHeight="true" outlineLevel="0" collapsed="false">
      <c r="A67" s="6" t="n">
        <v>66</v>
      </c>
      <c r="B67" s="16" t="s">
        <v>397</v>
      </c>
      <c r="C67" s="4" t="s">
        <v>23</v>
      </c>
      <c r="D67" s="4" t="s">
        <v>4757</v>
      </c>
      <c r="E67" s="4" t="s">
        <v>4758</v>
      </c>
      <c r="F67" s="4" t="s">
        <v>4759</v>
      </c>
      <c r="G67" s="4" t="s">
        <v>4760</v>
      </c>
      <c r="H67" s="4" t="s">
        <v>4761</v>
      </c>
    </row>
    <row r="68" customFormat="false" ht="61.5" hidden="false" customHeight="true" outlineLevel="0" collapsed="false">
      <c r="A68" s="6" t="n">
        <v>67</v>
      </c>
      <c r="B68" s="16" t="s">
        <v>401</v>
      </c>
      <c r="C68" s="4" t="s">
        <v>23</v>
      </c>
      <c r="D68" s="4" t="s">
        <v>4762</v>
      </c>
      <c r="E68" s="4" t="s">
        <v>4763</v>
      </c>
      <c r="F68" s="4" t="s">
        <v>4764</v>
      </c>
      <c r="G68" s="4" t="s">
        <v>4765</v>
      </c>
      <c r="H68" s="4" t="s">
        <v>4766</v>
      </c>
    </row>
    <row r="69" customFormat="false" ht="61.5" hidden="false" customHeight="true" outlineLevel="0" collapsed="false">
      <c r="A69" s="6" t="n">
        <v>68</v>
      </c>
      <c r="B69" s="16" t="s">
        <v>403</v>
      </c>
      <c r="C69" s="4" t="s">
        <v>23</v>
      </c>
      <c r="D69" s="4" t="s">
        <v>4767</v>
      </c>
      <c r="E69" s="4" t="s">
        <v>4768</v>
      </c>
      <c r="F69" s="4" t="s">
        <v>4769</v>
      </c>
      <c r="G69" s="4" t="s">
        <v>4770</v>
      </c>
      <c r="H69" s="4" t="s">
        <v>4771</v>
      </c>
    </row>
    <row r="70" customFormat="false" ht="61.5" hidden="false" customHeight="true" outlineLevel="0" collapsed="false">
      <c r="A70" s="6" t="n">
        <v>69</v>
      </c>
      <c r="B70" s="16" t="s">
        <v>399</v>
      </c>
      <c r="C70" s="4" t="s">
        <v>312</v>
      </c>
      <c r="D70" s="4" t="s">
        <v>4772</v>
      </c>
      <c r="E70" s="4" t="s">
        <v>4773</v>
      </c>
      <c r="F70" s="4" t="s">
        <v>4774</v>
      </c>
      <c r="G70" s="4" t="s">
        <v>4775</v>
      </c>
      <c r="H70" s="4" t="s">
        <v>4776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7"/>
    <col collapsed="false" customWidth="true" hidden="false" outlineLevel="0" max="3" min="3" style="1" width="14"/>
    <col collapsed="false" customWidth="true" hidden="false" outlineLevel="0" max="4" min="4" style="1" width="104"/>
  </cols>
  <sheetData>
    <row r="1" customFormat="false" ht="15" hidden="false" customHeight="true" outlineLevel="0" collapsed="false">
      <c r="A1" s="5" t="s">
        <v>247</v>
      </c>
      <c r="B1" s="5" t="s">
        <v>3755</v>
      </c>
      <c r="C1" s="5" t="s">
        <v>4331</v>
      </c>
      <c r="D1" s="5" t="s">
        <v>4777</v>
      </c>
    </row>
    <row r="2" customFormat="false" ht="30" hidden="false" customHeight="true" outlineLevel="0" collapsed="false">
      <c r="A2" s="3" t="s">
        <v>257</v>
      </c>
      <c r="B2" s="6" t="n">
        <v>0</v>
      </c>
      <c r="C2" s="6" t="s">
        <v>4336</v>
      </c>
      <c r="D2" s="4" t="s">
        <v>4778</v>
      </c>
    </row>
    <row r="3" customFormat="false" ht="30" hidden="false" customHeight="true" outlineLevel="0" collapsed="false">
      <c r="A3" s="3"/>
      <c r="B3" s="6" t="n">
        <v>1</v>
      </c>
      <c r="C3" s="6" t="s">
        <v>4341</v>
      </c>
      <c r="D3" s="4" t="s">
        <v>4779</v>
      </c>
    </row>
    <row r="4" customFormat="false" ht="30" hidden="false" customHeight="true" outlineLevel="0" collapsed="false">
      <c r="A4" s="3"/>
      <c r="B4" s="6" t="n">
        <v>2</v>
      </c>
      <c r="C4" s="6" t="s">
        <v>4345</v>
      </c>
      <c r="D4" s="4" t="s">
        <v>4780</v>
      </c>
    </row>
    <row r="5" customFormat="false" ht="30" hidden="false" customHeight="true" outlineLevel="0" collapsed="false">
      <c r="A5" s="3"/>
      <c r="B5" s="6" t="n">
        <v>3</v>
      </c>
      <c r="C5" s="6" t="s">
        <v>4350</v>
      </c>
      <c r="D5" s="4" t="s">
        <v>4781</v>
      </c>
    </row>
    <row r="6" customFormat="false" ht="30" hidden="false" customHeight="true" outlineLevel="0" collapsed="false">
      <c r="A6" s="3"/>
      <c r="B6" s="6" t="n">
        <v>4</v>
      </c>
      <c r="C6" s="6" t="s">
        <v>4355</v>
      </c>
      <c r="D6" s="4" t="s">
        <v>4782</v>
      </c>
    </row>
    <row r="7" customFormat="false" ht="30" hidden="false" customHeight="true" outlineLevel="0" collapsed="false">
      <c r="A7" s="3"/>
      <c r="B7" s="6" t="n">
        <v>5</v>
      </c>
      <c r="C7" s="6" t="s">
        <v>4360</v>
      </c>
      <c r="D7" s="4" t="s">
        <v>4783</v>
      </c>
    </row>
    <row r="8" customFormat="false" ht="30" hidden="false" customHeight="true" outlineLevel="0" collapsed="false">
      <c r="A8" s="3"/>
      <c r="B8" s="6" t="n">
        <v>6</v>
      </c>
      <c r="C8" s="6" t="s">
        <v>4365</v>
      </c>
      <c r="D8" s="4" t="s">
        <v>4784</v>
      </c>
    </row>
    <row r="9" customFormat="false" ht="30" hidden="false" customHeight="true" outlineLevel="0" collapsed="false">
      <c r="A9" s="3"/>
      <c r="B9" s="6" t="n">
        <v>7</v>
      </c>
      <c r="C9" s="6" t="s">
        <v>4370</v>
      </c>
      <c r="D9" s="4" t="s">
        <v>4785</v>
      </c>
    </row>
    <row r="10" customFormat="false" ht="30" hidden="false" customHeight="true" outlineLevel="0" collapsed="false">
      <c r="A10" s="3"/>
      <c r="B10" s="6" t="n">
        <v>8</v>
      </c>
      <c r="C10" s="6" t="s">
        <v>4375</v>
      </c>
      <c r="D10" s="4" t="s">
        <v>4786</v>
      </c>
    </row>
    <row r="11" customFormat="false" ht="30" hidden="false" customHeight="true" outlineLevel="0" collapsed="false">
      <c r="A11" s="3"/>
      <c r="B11" s="6" t="n">
        <v>9</v>
      </c>
      <c r="C11" s="6" t="s">
        <v>4380</v>
      </c>
      <c r="D11" s="4" t="s">
        <v>4787</v>
      </c>
    </row>
    <row r="12" customFormat="false" ht="30" hidden="false" customHeight="true" outlineLevel="0" collapsed="false">
      <c r="A12" s="3"/>
      <c r="B12" s="6" t="n">
        <v>10</v>
      </c>
      <c r="C12" s="6" t="s">
        <v>4385</v>
      </c>
      <c r="D12" s="4" t="s">
        <v>4788</v>
      </c>
    </row>
    <row r="13" customFormat="false" ht="30" hidden="false" customHeight="true" outlineLevel="0" collapsed="false">
      <c r="A13" s="3"/>
      <c r="B13" s="6" t="n">
        <v>11</v>
      </c>
      <c r="C13" s="6" t="s">
        <v>4390</v>
      </c>
      <c r="D13" s="4" t="s">
        <v>4789</v>
      </c>
    </row>
    <row r="14" customFormat="false" ht="30" hidden="false" customHeight="true" outlineLevel="0" collapsed="false">
      <c r="A14" s="3" t="s">
        <v>263</v>
      </c>
      <c r="B14" s="6" t="n">
        <v>0</v>
      </c>
      <c r="C14" s="6" t="s">
        <v>4336</v>
      </c>
      <c r="D14" s="4" t="s">
        <v>4790</v>
      </c>
    </row>
    <row r="15" customFormat="false" ht="30" hidden="false" customHeight="true" outlineLevel="0" collapsed="false">
      <c r="A15" s="3"/>
      <c r="B15" s="6" t="n">
        <v>1</v>
      </c>
      <c r="C15" s="6" t="s">
        <v>4341</v>
      </c>
      <c r="D15" s="4" t="s">
        <v>4791</v>
      </c>
    </row>
    <row r="16" customFormat="false" ht="30" hidden="false" customHeight="true" outlineLevel="0" collapsed="false">
      <c r="A16" s="3"/>
      <c r="B16" s="6" t="n">
        <v>2</v>
      </c>
      <c r="C16" s="6" t="s">
        <v>4345</v>
      </c>
      <c r="D16" s="4" t="s">
        <v>4792</v>
      </c>
    </row>
    <row r="17" customFormat="false" ht="30" hidden="false" customHeight="true" outlineLevel="0" collapsed="false">
      <c r="A17" s="3"/>
      <c r="B17" s="6" t="n">
        <v>3</v>
      </c>
      <c r="C17" s="6" t="s">
        <v>4350</v>
      </c>
      <c r="D17" s="4" t="s">
        <v>4793</v>
      </c>
    </row>
    <row r="18" customFormat="false" ht="30" hidden="false" customHeight="true" outlineLevel="0" collapsed="false">
      <c r="A18" s="3"/>
      <c r="B18" s="6" t="n">
        <v>4</v>
      </c>
      <c r="C18" s="6" t="s">
        <v>4355</v>
      </c>
      <c r="D18" s="4" t="s">
        <v>4794</v>
      </c>
    </row>
    <row r="19" customFormat="false" ht="30" hidden="false" customHeight="true" outlineLevel="0" collapsed="false">
      <c r="A19" s="3"/>
      <c r="B19" s="6" t="n">
        <v>5</v>
      </c>
      <c r="C19" s="6" t="s">
        <v>4360</v>
      </c>
      <c r="D19" s="4" t="s">
        <v>4795</v>
      </c>
    </row>
    <row r="20" customFormat="false" ht="30" hidden="false" customHeight="true" outlineLevel="0" collapsed="false">
      <c r="A20" s="3"/>
      <c r="B20" s="6" t="n">
        <v>6</v>
      </c>
      <c r="C20" s="6" t="s">
        <v>4365</v>
      </c>
      <c r="D20" s="4" t="s">
        <v>4796</v>
      </c>
    </row>
    <row r="21" customFormat="false" ht="30" hidden="false" customHeight="true" outlineLevel="0" collapsed="false">
      <c r="A21" s="3"/>
      <c r="B21" s="6" t="n">
        <v>7</v>
      </c>
      <c r="C21" s="6" t="s">
        <v>4370</v>
      </c>
      <c r="D21" s="4" t="s">
        <v>4797</v>
      </c>
    </row>
    <row r="22" customFormat="false" ht="30" hidden="false" customHeight="true" outlineLevel="0" collapsed="false">
      <c r="A22" s="3"/>
      <c r="B22" s="6" t="n">
        <v>8</v>
      </c>
      <c r="C22" s="6" t="s">
        <v>4375</v>
      </c>
      <c r="D22" s="4" t="s">
        <v>4798</v>
      </c>
    </row>
    <row r="23" customFormat="false" ht="30" hidden="false" customHeight="true" outlineLevel="0" collapsed="false">
      <c r="A23" s="3"/>
      <c r="B23" s="6" t="n">
        <v>9</v>
      </c>
      <c r="C23" s="6" t="s">
        <v>4380</v>
      </c>
      <c r="D23" s="4" t="s">
        <v>4799</v>
      </c>
    </row>
    <row r="24" customFormat="false" ht="30" hidden="false" customHeight="true" outlineLevel="0" collapsed="false">
      <c r="A24" s="3"/>
      <c r="B24" s="6" t="n">
        <v>10</v>
      </c>
      <c r="C24" s="6" t="s">
        <v>4385</v>
      </c>
      <c r="D24" s="4" t="s">
        <v>4800</v>
      </c>
    </row>
    <row r="25" customFormat="false" ht="30" hidden="false" customHeight="true" outlineLevel="0" collapsed="false">
      <c r="A25" s="3"/>
      <c r="B25" s="6" t="n">
        <v>11</v>
      </c>
      <c r="C25" s="6" t="s">
        <v>4390</v>
      </c>
      <c r="D25" s="4" t="s">
        <v>4801</v>
      </c>
    </row>
    <row r="26" customFormat="false" ht="30" hidden="false" customHeight="true" outlineLevel="0" collapsed="false">
      <c r="A26" s="3" t="s">
        <v>332</v>
      </c>
      <c r="B26" s="6" t="n">
        <v>0</v>
      </c>
      <c r="C26" s="6" t="s">
        <v>4336</v>
      </c>
      <c r="D26" s="4" t="s">
        <v>4802</v>
      </c>
    </row>
    <row r="27" customFormat="false" ht="30" hidden="false" customHeight="true" outlineLevel="0" collapsed="false">
      <c r="A27" s="3"/>
      <c r="B27" s="6" t="n">
        <v>1</v>
      </c>
      <c r="C27" s="6" t="s">
        <v>4341</v>
      </c>
      <c r="D27" s="4" t="s">
        <v>4803</v>
      </c>
    </row>
    <row r="28" customFormat="false" ht="30" hidden="false" customHeight="true" outlineLevel="0" collapsed="false">
      <c r="A28" s="3"/>
      <c r="B28" s="6" t="n">
        <v>2</v>
      </c>
      <c r="C28" s="6" t="s">
        <v>4345</v>
      </c>
      <c r="D28" s="4" t="s">
        <v>4804</v>
      </c>
    </row>
    <row r="29" customFormat="false" ht="30" hidden="false" customHeight="true" outlineLevel="0" collapsed="false">
      <c r="A29" s="3"/>
      <c r="B29" s="6" t="n">
        <v>3</v>
      </c>
      <c r="C29" s="6" t="s">
        <v>4350</v>
      </c>
      <c r="D29" s="4" t="s">
        <v>4805</v>
      </c>
    </row>
    <row r="30" customFormat="false" ht="30" hidden="false" customHeight="true" outlineLevel="0" collapsed="false">
      <c r="A30" s="3"/>
      <c r="B30" s="6" t="n">
        <v>4</v>
      </c>
      <c r="C30" s="6" t="s">
        <v>4355</v>
      </c>
      <c r="D30" s="4" t="s">
        <v>4806</v>
      </c>
    </row>
    <row r="31" customFormat="false" ht="30" hidden="false" customHeight="true" outlineLevel="0" collapsed="false">
      <c r="A31" s="3"/>
      <c r="B31" s="6" t="n">
        <v>5</v>
      </c>
      <c r="C31" s="6" t="s">
        <v>4360</v>
      </c>
      <c r="D31" s="4" t="s">
        <v>4807</v>
      </c>
    </row>
    <row r="32" customFormat="false" ht="30" hidden="false" customHeight="true" outlineLevel="0" collapsed="false">
      <c r="A32" s="3"/>
      <c r="B32" s="6" t="n">
        <v>6</v>
      </c>
      <c r="C32" s="6" t="s">
        <v>4365</v>
      </c>
      <c r="D32" s="4" t="s">
        <v>4808</v>
      </c>
    </row>
    <row r="33" customFormat="false" ht="30" hidden="false" customHeight="true" outlineLevel="0" collapsed="false">
      <c r="A33" s="3"/>
      <c r="B33" s="6" t="n">
        <v>7</v>
      </c>
      <c r="C33" s="6" t="s">
        <v>4370</v>
      </c>
      <c r="D33" s="4" t="s">
        <v>4809</v>
      </c>
    </row>
    <row r="34" customFormat="false" ht="30" hidden="false" customHeight="true" outlineLevel="0" collapsed="false">
      <c r="A34" s="3"/>
      <c r="B34" s="6" t="n">
        <v>8</v>
      </c>
      <c r="C34" s="6" t="s">
        <v>4375</v>
      </c>
      <c r="D34" s="4" t="s">
        <v>4810</v>
      </c>
    </row>
    <row r="35" customFormat="false" ht="30" hidden="false" customHeight="true" outlineLevel="0" collapsed="false">
      <c r="A35" s="3"/>
      <c r="B35" s="6" t="n">
        <v>9</v>
      </c>
      <c r="C35" s="6" t="s">
        <v>4380</v>
      </c>
      <c r="D35" s="4" t="s">
        <v>4811</v>
      </c>
    </row>
    <row r="36" customFormat="false" ht="30" hidden="false" customHeight="true" outlineLevel="0" collapsed="false">
      <c r="A36" s="3"/>
      <c r="B36" s="6" t="n">
        <v>10</v>
      </c>
      <c r="C36" s="6" t="s">
        <v>4385</v>
      </c>
      <c r="D36" s="4" t="s">
        <v>4812</v>
      </c>
    </row>
    <row r="37" customFormat="false" ht="30" hidden="false" customHeight="true" outlineLevel="0" collapsed="false">
      <c r="A37" s="3"/>
      <c r="B37" s="6" t="n">
        <v>11</v>
      </c>
      <c r="C37" s="6" t="s">
        <v>4390</v>
      </c>
      <c r="D37" s="4" t="s">
        <v>4813</v>
      </c>
    </row>
    <row r="38" customFormat="false" ht="30" hidden="false" customHeight="true" outlineLevel="0" collapsed="false">
      <c r="A38" s="3" t="s">
        <v>393</v>
      </c>
      <c r="B38" s="6" t="n">
        <v>0</v>
      </c>
      <c r="C38" s="6" t="s">
        <v>4336</v>
      </c>
      <c r="D38" s="4" t="s">
        <v>4814</v>
      </c>
    </row>
    <row r="39" customFormat="false" ht="30" hidden="false" customHeight="true" outlineLevel="0" collapsed="false">
      <c r="A39" s="3"/>
      <c r="B39" s="6" t="n">
        <v>1</v>
      </c>
      <c r="C39" s="6" t="s">
        <v>4341</v>
      </c>
      <c r="D39" s="4" t="s">
        <v>4815</v>
      </c>
    </row>
    <row r="40" customFormat="false" ht="30" hidden="false" customHeight="true" outlineLevel="0" collapsed="false">
      <c r="A40" s="3"/>
      <c r="B40" s="6" t="n">
        <v>2</v>
      </c>
      <c r="C40" s="6" t="s">
        <v>4345</v>
      </c>
      <c r="D40" s="4" t="s">
        <v>4816</v>
      </c>
    </row>
    <row r="41" customFormat="false" ht="30" hidden="false" customHeight="true" outlineLevel="0" collapsed="false">
      <c r="A41" s="3"/>
      <c r="B41" s="6" t="n">
        <v>3</v>
      </c>
      <c r="C41" s="6" t="s">
        <v>4350</v>
      </c>
      <c r="D41" s="4" t="s">
        <v>4817</v>
      </c>
    </row>
    <row r="42" customFormat="false" ht="30" hidden="false" customHeight="true" outlineLevel="0" collapsed="false">
      <c r="A42" s="3"/>
      <c r="B42" s="6" t="n">
        <v>4</v>
      </c>
      <c r="C42" s="6" t="s">
        <v>4355</v>
      </c>
      <c r="D42" s="4" t="s">
        <v>4818</v>
      </c>
    </row>
    <row r="43" customFormat="false" ht="30" hidden="false" customHeight="true" outlineLevel="0" collapsed="false">
      <c r="A43" s="3"/>
      <c r="B43" s="6" t="n">
        <v>5</v>
      </c>
      <c r="C43" s="6" t="s">
        <v>4360</v>
      </c>
      <c r="D43" s="4" t="s">
        <v>4819</v>
      </c>
    </row>
    <row r="44" customFormat="false" ht="30" hidden="false" customHeight="true" outlineLevel="0" collapsed="false">
      <c r="A44" s="3"/>
      <c r="B44" s="6" t="n">
        <v>6</v>
      </c>
      <c r="C44" s="6" t="s">
        <v>4365</v>
      </c>
      <c r="D44" s="4" t="s">
        <v>4820</v>
      </c>
    </row>
    <row r="45" customFormat="false" ht="30" hidden="false" customHeight="true" outlineLevel="0" collapsed="false">
      <c r="A45" s="3"/>
      <c r="B45" s="6" t="n">
        <v>7</v>
      </c>
      <c r="C45" s="6" t="s">
        <v>4370</v>
      </c>
      <c r="D45" s="4" t="s">
        <v>4821</v>
      </c>
    </row>
    <row r="46" customFormat="false" ht="30" hidden="false" customHeight="true" outlineLevel="0" collapsed="false">
      <c r="A46" s="3"/>
      <c r="B46" s="6" t="n">
        <v>8</v>
      </c>
      <c r="C46" s="6" t="s">
        <v>4375</v>
      </c>
      <c r="D46" s="4" t="s">
        <v>4822</v>
      </c>
    </row>
    <row r="47" customFormat="false" ht="30" hidden="false" customHeight="true" outlineLevel="0" collapsed="false">
      <c r="A47" s="3"/>
      <c r="B47" s="6" t="n">
        <v>9</v>
      </c>
      <c r="C47" s="6" t="s">
        <v>4380</v>
      </c>
      <c r="D47" s="4" t="s">
        <v>4823</v>
      </c>
    </row>
    <row r="48" customFormat="false" ht="30" hidden="false" customHeight="true" outlineLevel="0" collapsed="false">
      <c r="A48" s="3"/>
      <c r="B48" s="6" t="n">
        <v>10</v>
      </c>
      <c r="C48" s="6" t="s">
        <v>4385</v>
      </c>
      <c r="D48" s="4" t="s">
        <v>4824</v>
      </c>
    </row>
    <row r="49" customFormat="false" ht="30" hidden="false" customHeight="true" outlineLevel="0" collapsed="false">
      <c r="A49" s="3"/>
      <c r="B49" s="6" t="n">
        <v>11</v>
      </c>
      <c r="C49" s="6" t="s">
        <v>4390</v>
      </c>
      <c r="D49" s="4" t="s">
        <v>4825</v>
      </c>
    </row>
    <row r="51" customFormat="false" ht="42" hidden="false" customHeight="true" outlineLevel="0" collapsed="false">
      <c r="A51" s="18" t="s">
        <v>4826</v>
      </c>
      <c r="B51" s="18"/>
      <c r="C51" s="18"/>
      <c r="D51" s="18"/>
    </row>
  </sheetData>
  <mergeCells count="1">
    <mergeCell ref="A51:D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7"/>
    <col collapsed="false" customWidth="true" hidden="false" outlineLevel="0" max="3" min="3" style="1" width="14"/>
    <col collapsed="false" customWidth="true" hidden="false" outlineLevel="0" max="4" min="4" style="1" width="15"/>
    <col collapsed="false" customWidth="true" hidden="false" outlineLevel="0" max="6" min="5" style="1" width="11"/>
    <col collapsed="false" customWidth="true" hidden="false" outlineLevel="0" max="7" min="7" style="1" width="44"/>
    <col collapsed="false" customWidth="true" hidden="false" outlineLevel="0" max="8" min="8" style="1" width="46"/>
  </cols>
  <sheetData>
    <row r="1" customFormat="false" ht="23.25" hidden="false" customHeight="true" outlineLevel="0" collapsed="false">
      <c r="A1" s="5" t="s">
        <v>4827</v>
      </c>
      <c r="B1" s="5" t="s">
        <v>246</v>
      </c>
      <c r="C1" s="5" t="s">
        <v>3909</v>
      </c>
      <c r="D1" s="5" t="s">
        <v>4828</v>
      </c>
      <c r="E1" s="5" t="s">
        <v>4829</v>
      </c>
      <c r="F1" s="5" t="s">
        <v>4830</v>
      </c>
      <c r="G1" s="5" t="s">
        <v>4831</v>
      </c>
      <c r="H1" s="5" t="s">
        <v>4072</v>
      </c>
    </row>
    <row r="2" customFormat="false" ht="39.75" hidden="false" customHeight="true" outlineLevel="0" collapsed="false">
      <c r="A2" s="16" t="s">
        <v>4832</v>
      </c>
      <c r="B2" s="6" t="s">
        <v>4833</v>
      </c>
      <c r="C2" s="6" t="s">
        <v>3913</v>
      </c>
      <c r="D2" s="9" t="n">
        <v>6</v>
      </c>
      <c r="E2" s="9" t="n">
        <v>18</v>
      </c>
      <c r="F2" s="9" t="n">
        <v>1</v>
      </c>
      <c r="G2" s="4" t="s">
        <v>4834</v>
      </c>
      <c r="H2" s="4" t="s">
        <v>4835</v>
      </c>
    </row>
    <row r="3" customFormat="false" ht="39.75" hidden="false" customHeight="true" outlineLevel="0" collapsed="false">
      <c r="A3" s="16" t="s">
        <v>4836</v>
      </c>
      <c r="B3" s="6" t="s">
        <v>4833</v>
      </c>
      <c r="C3" s="6" t="s">
        <v>3913</v>
      </c>
      <c r="D3" s="9" t="n">
        <v>24</v>
      </c>
      <c r="E3" s="9" t="n">
        <v>110</v>
      </c>
      <c r="F3" s="9" t="n">
        <v>2</v>
      </c>
      <c r="G3" s="4" t="s">
        <v>4837</v>
      </c>
      <c r="H3" s="4" t="s">
        <v>4838</v>
      </c>
    </row>
    <row r="4" customFormat="false" ht="39.75" hidden="false" customHeight="true" outlineLevel="0" collapsed="false">
      <c r="A4" s="16" t="s">
        <v>4839</v>
      </c>
      <c r="B4" s="6" t="s">
        <v>4840</v>
      </c>
      <c r="C4" s="6" t="s">
        <v>3913</v>
      </c>
      <c r="D4" s="9" t="n">
        <v>34</v>
      </c>
      <c r="E4" s="9" t="n">
        <v>130</v>
      </c>
      <c r="F4" s="9" t="n">
        <v>4</v>
      </c>
      <c r="G4" s="4" t="s">
        <v>4841</v>
      </c>
      <c r="H4" s="4" t="s">
        <v>4842</v>
      </c>
    </row>
    <row r="5" customFormat="false" ht="39.75" hidden="false" customHeight="true" outlineLevel="0" collapsed="false">
      <c r="A5" s="16" t="s">
        <v>4843</v>
      </c>
      <c r="B5" s="6" t="s">
        <v>4844</v>
      </c>
      <c r="C5" s="6" t="s">
        <v>3923</v>
      </c>
      <c r="D5" s="9" t="n">
        <v>48</v>
      </c>
      <c r="E5" s="9" t="n">
        <v>160</v>
      </c>
      <c r="F5" s="9" t="n">
        <v>8</v>
      </c>
      <c r="G5" s="4" t="s">
        <v>4845</v>
      </c>
      <c r="H5" s="4" t="s">
        <v>4846</v>
      </c>
    </row>
    <row r="6" customFormat="false" ht="39.75" hidden="false" customHeight="true" outlineLevel="0" collapsed="false">
      <c r="A6" s="16" t="s">
        <v>4847</v>
      </c>
      <c r="B6" s="6" t="s">
        <v>4848</v>
      </c>
      <c r="C6" s="6" t="s">
        <v>3947</v>
      </c>
      <c r="D6" s="9" t="n">
        <v>64</v>
      </c>
      <c r="E6" s="9" t="n">
        <v>200</v>
      </c>
      <c r="F6" s="9" t="n">
        <v>16</v>
      </c>
      <c r="G6" s="4" t="s">
        <v>4849</v>
      </c>
      <c r="H6" s="4" t="s">
        <v>4850</v>
      </c>
    </row>
    <row r="7" customFormat="false" ht="39.75" hidden="false" customHeight="true" outlineLevel="0" collapsed="false">
      <c r="A7" s="16" t="s">
        <v>4851</v>
      </c>
      <c r="B7" s="6" t="s">
        <v>4852</v>
      </c>
      <c r="C7" s="6" t="s">
        <v>3988</v>
      </c>
      <c r="D7" s="9" t="n">
        <v>12</v>
      </c>
      <c r="E7" s="9" t="n">
        <v>40</v>
      </c>
      <c r="F7" s="9" t="n">
        <v>4</v>
      </c>
      <c r="G7" s="4" t="s">
        <v>4853</v>
      </c>
      <c r="H7" s="4" t="s">
        <v>4854</v>
      </c>
    </row>
    <row r="8" customFormat="false" ht="39.75" hidden="false" customHeight="true" outlineLevel="0" collapsed="false">
      <c r="A8" s="16" t="s">
        <v>4855</v>
      </c>
      <c r="B8" s="6" t="s">
        <v>4852</v>
      </c>
      <c r="C8" s="6" t="s">
        <v>3954</v>
      </c>
      <c r="D8" s="9" t="n">
        <v>20</v>
      </c>
      <c r="E8" s="9" t="n">
        <v>70</v>
      </c>
      <c r="F8" s="9" t="n">
        <v>6</v>
      </c>
      <c r="G8" s="4" t="s">
        <v>4856</v>
      </c>
      <c r="H8" s="4" t="s">
        <v>4857</v>
      </c>
    </row>
    <row r="9" customFormat="false" ht="39.75" hidden="false" customHeight="true" outlineLevel="0" collapsed="false">
      <c r="A9" s="16" t="s">
        <v>4858</v>
      </c>
      <c r="B9" s="6" t="s">
        <v>4852</v>
      </c>
      <c r="C9" s="6" t="s">
        <v>4859</v>
      </c>
      <c r="D9" s="9" t="n">
        <v>30</v>
      </c>
      <c r="E9" s="9" t="n">
        <v>100</v>
      </c>
      <c r="F9" s="9" t="n">
        <v>8</v>
      </c>
      <c r="G9" s="4" t="s">
        <v>4860</v>
      </c>
      <c r="H9" s="4" t="s">
        <v>4861</v>
      </c>
    </row>
    <row r="10" customFormat="false" ht="39.75" hidden="false" customHeight="true" outlineLevel="0" collapsed="false">
      <c r="A10" s="16" t="s">
        <v>4862</v>
      </c>
      <c r="B10" s="6" t="s">
        <v>4852</v>
      </c>
      <c r="C10" s="6" t="s">
        <v>3954</v>
      </c>
      <c r="D10" s="9" t="n">
        <v>40</v>
      </c>
      <c r="E10" s="9" t="n">
        <v>140</v>
      </c>
      <c r="F10" s="9" t="n">
        <v>12</v>
      </c>
      <c r="G10" s="4" t="s">
        <v>4863</v>
      </c>
      <c r="H10" s="4" t="s">
        <v>4864</v>
      </c>
    </row>
    <row r="11" customFormat="false" ht="39.75" hidden="false" customHeight="true" outlineLevel="0" collapsed="false">
      <c r="A11" s="16" t="s">
        <v>4865</v>
      </c>
      <c r="B11" s="6" t="s">
        <v>4866</v>
      </c>
      <c r="C11" s="6" t="s">
        <v>3947</v>
      </c>
      <c r="D11" s="9" t="n">
        <v>80</v>
      </c>
      <c r="E11" s="9" t="n">
        <v>240</v>
      </c>
      <c r="F11" s="9" t="n">
        <v>24</v>
      </c>
      <c r="G11" s="4" t="s">
        <v>4867</v>
      </c>
      <c r="H11" s="4" t="s">
        <v>4868</v>
      </c>
    </row>
    <row r="12" customFormat="false" ht="39.75" hidden="false" customHeight="true" outlineLevel="0" collapsed="false">
      <c r="A12" s="16" t="s">
        <v>4869</v>
      </c>
      <c r="B12" s="6" t="s">
        <v>4870</v>
      </c>
      <c r="C12" s="6" t="s">
        <v>3954</v>
      </c>
      <c r="D12" s="9" t="n">
        <v>100</v>
      </c>
      <c r="E12" s="9" t="n">
        <v>280</v>
      </c>
      <c r="F12" s="9" t="n">
        <v>40</v>
      </c>
      <c r="G12" s="4" t="s">
        <v>4871</v>
      </c>
      <c r="H12" s="4" t="s">
        <v>4872</v>
      </c>
    </row>
    <row r="13" customFormat="false" ht="39.75" hidden="false" customHeight="true" outlineLevel="0" collapsed="false">
      <c r="A13" s="16" t="s">
        <v>4873</v>
      </c>
      <c r="B13" s="6" t="s">
        <v>4874</v>
      </c>
      <c r="C13" s="6" t="s">
        <v>4018</v>
      </c>
      <c r="D13" s="9" t="n">
        <v>140</v>
      </c>
      <c r="E13" s="9" t="n">
        <v>340</v>
      </c>
      <c r="F13" s="9" t="n">
        <v>80</v>
      </c>
      <c r="G13" s="4" t="s">
        <v>4875</v>
      </c>
      <c r="H13" s="4" t="s">
        <v>4876</v>
      </c>
    </row>
    <row r="15" customFormat="false" ht="31.5" hidden="false" customHeight="true" outlineLevel="0" collapsed="false">
      <c r="A15" s="18" t="s">
        <v>4877</v>
      </c>
      <c r="B15" s="18"/>
      <c r="C15" s="18"/>
      <c r="D15" s="18"/>
      <c r="E15" s="18"/>
      <c r="F15" s="18"/>
      <c r="G15" s="18"/>
      <c r="H15" s="18"/>
    </row>
  </sheetData>
  <mergeCells count="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62"/>
    <col collapsed="false" customWidth="true" hidden="false" outlineLevel="0" max="3" min="3" style="1" width="58"/>
  </cols>
  <sheetData>
    <row r="1" customFormat="false" ht="15" hidden="false" customHeight="true" outlineLevel="0" collapsed="false">
      <c r="A1" s="5" t="s">
        <v>4104</v>
      </c>
      <c r="B1" s="5" t="s">
        <v>4043</v>
      </c>
      <c r="C1" s="5" t="s">
        <v>4878</v>
      </c>
    </row>
    <row r="2" customFormat="false" ht="61.5" hidden="false" customHeight="true" outlineLevel="0" collapsed="false">
      <c r="A2" s="16" t="s">
        <v>4879</v>
      </c>
      <c r="B2" s="4" t="s">
        <v>4880</v>
      </c>
      <c r="C2" s="4" t="s">
        <v>4881</v>
      </c>
    </row>
    <row r="3" customFormat="false" ht="61.5" hidden="false" customHeight="true" outlineLevel="0" collapsed="false">
      <c r="A3" s="16" t="s">
        <v>4882</v>
      </c>
      <c r="B3" s="4" t="s">
        <v>4883</v>
      </c>
      <c r="C3" s="4" t="s">
        <v>4884</v>
      </c>
    </row>
    <row r="4" customFormat="false" ht="61.5" hidden="false" customHeight="true" outlineLevel="0" collapsed="false">
      <c r="A4" s="16" t="s">
        <v>4885</v>
      </c>
      <c r="B4" s="4" t="s">
        <v>4886</v>
      </c>
      <c r="C4" s="4" t="s">
        <v>4887</v>
      </c>
    </row>
    <row r="5" customFormat="false" ht="61.5" hidden="false" customHeight="true" outlineLevel="0" collapsed="false">
      <c r="A5" s="16" t="s">
        <v>4888</v>
      </c>
      <c r="B5" s="4" t="s">
        <v>4889</v>
      </c>
      <c r="C5" s="4" t="s">
        <v>4890</v>
      </c>
    </row>
    <row r="6" customFormat="false" ht="61.5" hidden="false" customHeight="true" outlineLevel="0" collapsed="false">
      <c r="A6" s="16" t="s">
        <v>4891</v>
      </c>
      <c r="B6" s="4" t="s">
        <v>4892</v>
      </c>
      <c r="C6" s="4" t="s">
        <v>4893</v>
      </c>
    </row>
    <row r="7" customFormat="false" ht="61.5" hidden="false" customHeight="true" outlineLevel="0" collapsed="false">
      <c r="A7" s="16" t="s">
        <v>4894</v>
      </c>
      <c r="B7" s="4" t="s">
        <v>4895</v>
      </c>
      <c r="C7" s="4" t="s">
        <v>4896</v>
      </c>
    </row>
    <row r="8" customFormat="false" ht="61.5" hidden="false" customHeight="true" outlineLevel="0" collapsed="false">
      <c r="A8" s="16" t="s">
        <v>4897</v>
      </c>
      <c r="B8" s="4" t="s">
        <v>4898</v>
      </c>
      <c r="C8" s="4" t="s">
        <v>4899</v>
      </c>
    </row>
    <row r="9" customFormat="false" ht="61.5" hidden="false" customHeight="true" outlineLevel="0" collapsed="false">
      <c r="A9" s="16" t="s">
        <v>4900</v>
      </c>
      <c r="B9" s="4" t="s">
        <v>4901</v>
      </c>
      <c r="C9" s="4" t="s">
        <v>4902</v>
      </c>
    </row>
    <row r="10" customFormat="false" ht="61.5" hidden="false" customHeight="true" outlineLevel="0" collapsed="false">
      <c r="A10" s="16" t="s">
        <v>4903</v>
      </c>
      <c r="B10" s="4" t="s">
        <v>4904</v>
      </c>
      <c r="C10" s="4" t="s">
        <v>4905</v>
      </c>
    </row>
    <row r="11" customFormat="false" ht="61.5" hidden="false" customHeight="true" outlineLevel="0" collapsed="false">
      <c r="A11" s="16" t="s">
        <v>4906</v>
      </c>
      <c r="B11" s="4" t="s">
        <v>4907</v>
      </c>
      <c r="C11" s="4" t="s">
        <v>4908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16"/>
    <col collapsed="false" customWidth="true" hidden="false" outlineLevel="0" max="4" min="4" style="1" width="18"/>
    <col collapsed="false" customWidth="true" hidden="false" outlineLevel="0" max="5" min="5" style="1" width="54"/>
  </cols>
  <sheetData>
    <row r="1" customFormat="false" ht="15" hidden="false" customHeight="true" outlineLevel="0" collapsed="false">
      <c r="A1" s="17" t="s">
        <v>4909</v>
      </c>
    </row>
    <row r="2" customFormat="false" ht="45.75" hidden="false" customHeight="true" outlineLevel="0" collapsed="false">
      <c r="A2" s="18" t="s">
        <v>4910</v>
      </c>
      <c r="B2" s="18"/>
      <c r="C2" s="18"/>
      <c r="D2" s="18"/>
      <c r="E2" s="18"/>
    </row>
    <row r="4" customFormat="false" ht="15" hidden="false" customHeight="true" outlineLevel="0" collapsed="false">
      <c r="A4" s="8" t="s">
        <v>4911</v>
      </c>
      <c r="B4" s="8" t="s">
        <v>4912</v>
      </c>
      <c r="C4" s="8" t="s">
        <v>4913</v>
      </c>
      <c r="D4" s="8" t="s">
        <v>4914</v>
      </c>
      <c r="E4" s="8" t="s">
        <v>4072</v>
      </c>
    </row>
    <row r="5" customFormat="false" ht="30" hidden="false" customHeight="true" outlineLevel="0" collapsed="false">
      <c r="A5" s="3" t="s">
        <v>4915</v>
      </c>
      <c r="B5" s="6" t="s">
        <v>4916</v>
      </c>
      <c r="C5" s="9" t="s">
        <v>4917</v>
      </c>
      <c r="D5" s="6" t="s">
        <v>4918</v>
      </c>
      <c r="E5" s="4" t="s">
        <v>4919</v>
      </c>
    </row>
    <row r="6" customFormat="false" ht="30" hidden="false" customHeight="true" outlineLevel="0" collapsed="false">
      <c r="A6" s="3" t="s">
        <v>4920</v>
      </c>
      <c r="B6" s="6" t="s">
        <v>4921</v>
      </c>
      <c r="C6" s="9" t="s">
        <v>4922</v>
      </c>
      <c r="D6" s="6" t="s">
        <v>4923</v>
      </c>
      <c r="E6" s="4" t="s">
        <v>4924</v>
      </c>
    </row>
    <row r="7" customFormat="false" ht="30" hidden="false" customHeight="true" outlineLevel="0" collapsed="false">
      <c r="A7" s="3" t="s">
        <v>4925</v>
      </c>
      <c r="B7" s="6" t="s">
        <v>4926</v>
      </c>
      <c r="C7" s="9" t="s">
        <v>4927</v>
      </c>
      <c r="D7" s="6" t="s">
        <v>4928</v>
      </c>
      <c r="E7" s="4" t="s">
        <v>4929</v>
      </c>
    </row>
    <row r="8" customFormat="false" ht="30" hidden="false" customHeight="true" outlineLevel="0" collapsed="false">
      <c r="A8" s="3" t="s">
        <v>4930</v>
      </c>
      <c r="B8" s="6" t="s">
        <v>4931</v>
      </c>
      <c r="C8" s="9" t="s">
        <v>4932</v>
      </c>
      <c r="D8" s="6" t="s">
        <v>4933</v>
      </c>
      <c r="E8" s="4" t="s">
        <v>4934</v>
      </c>
    </row>
    <row r="10" customFormat="false" ht="15" hidden="false" customHeight="true" outlineLevel="0" collapsed="false">
      <c r="A10" s="12" t="s">
        <v>4935</v>
      </c>
      <c r="B10" s="13"/>
      <c r="C10" s="13"/>
      <c r="D10" s="13"/>
      <c r="E10" s="13"/>
    </row>
    <row r="11" customFormat="false" ht="15" hidden="false" customHeight="true" outlineLevel="0" collapsed="false">
      <c r="A11" s="8" t="s">
        <v>4936</v>
      </c>
      <c r="B11" s="8" t="s">
        <v>1566</v>
      </c>
      <c r="C11" s="8" t="s">
        <v>4043</v>
      </c>
    </row>
    <row r="12" customFormat="false" ht="33.75" hidden="false" customHeight="true" outlineLevel="0" collapsed="false">
      <c r="A12" s="4" t="s">
        <v>4937</v>
      </c>
      <c r="B12" s="9" t="s">
        <v>4938</v>
      </c>
      <c r="C12" s="19" t="s">
        <v>4939</v>
      </c>
      <c r="D12" s="19"/>
      <c r="E12" s="19"/>
    </row>
    <row r="13" customFormat="false" ht="33.75" hidden="false" customHeight="true" outlineLevel="0" collapsed="false">
      <c r="A13" s="4" t="s">
        <v>4940</v>
      </c>
      <c r="B13" s="9" t="s">
        <v>4941</v>
      </c>
      <c r="C13" s="19" t="s">
        <v>4942</v>
      </c>
      <c r="D13" s="19"/>
      <c r="E13" s="19"/>
    </row>
    <row r="14" customFormat="false" ht="33.75" hidden="false" customHeight="true" outlineLevel="0" collapsed="false">
      <c r="A14" s="4" t="s">
        <v>4943</v>
      </c>
      <c r="B14" s="9" t="s">
        <v>4944</v>
      </c>
      <c r="C14" s="19" t="s">
        <v>4945</v>
      </c>
      <c r="D14" s="19"/>
      <c r="E14" s="19"/>
    </row>
    <row r="15" customFormat="false" ht="33.75" hidden="false" customHeight="true" outlineLevel="0" collapsed="false">
      <c r="A15" s="4" t="s">
        <v>4946</v>
      </c>
      <c r="B15" s="9" t="s">
        <v>4941</v>
      </c>
      <c r="C15" s="19" t="s">
        <v>4947</v>
      </c>
      <c r="D15" s="19"/>
      <c r="E15" s="19"/>
    </row>
    <row r="16" customFormat="false" ht="33.75" hidden="false" customHeight="true" outlineLevel="0" collapsed="false">
      <c r="A16" s="4" t="s">
        <v>4948</v>
      </c>
      <c r="B16" s="9" t="s">
        <v>4941</v>
      </c>
      <c r="C16" s="19" t="s">
        <v>4949</v>
      </c>
      <c r="D16" s="19"/>
      <c r="E16" s="19"/>
    </row>
    <row r="17" customFormat="false" ht="33.75" hidden="false" customHeight="true" outlineLevel="0" collapsed="false">
      <c r="A17" s="4" t="s">
        <v>4950</v>
      </c>
      <c r="B17" s="9" t="s">
        <v>4941</v>
      </c>
      <c r="C17" s="19" t="s">
        <v>4951</v>
      </c>
      <c r="D17" s="19"/>
      <c r="E17" s="19"/>
    </row>
    <row r="18" customFormat="false" ht="33.75" hidden="false" customHeight="true" outlineLevel="0" collapsed="false">
      <c r="A18" s="4" t="s">
        <v>4952</v>
      </c>
      <c r="B18" s="9" t="s">
        <v>4941</v>
      </c>
      <c r="C18" s="19" t="s">
        <v>4953</v>
      </c>
      <c r="D18" s="19"/>
      <c r="E18" s="19"/>
    </row>
    <row r="20" customFormat="false" ht="15" hidden="false" customHeight="true" outlineLevel="0" collapsed="false">
      <c r="A20" s="12" t="s">
        <v>4954</v>
      </c>
      <c r="B20" s="13"/>
      <c r="C20" s="13"/>
      <c r="D20" s="13"/>
      <c r="E20" s="13"/>
    </row>
    <row r="21" customFormat="false" ht="15" hidden="false" customHeight="true" outlineLevel="0" collapsed="false">
      <c r="A21" s="8" t="s">
        <v>4955</v>
      </c>
      <c r="B21" s="8" t="s">
        <v>4956</v>
      </c>
      <c r="C21" s="8" t="s">
        <v>4957</v>
      </c>
      <c r="D21" s="8" t="s">
        <v>4958</v>
      </c>
    </row>
    <row r="22" customFormat="false" ht="15" hidden="false" customHeight="true" outlineLevel="0" collapsed="false">
      <c r="A22" s="6" t="s">
        <v>4959</v>
      </c>
      <c r="B22" s="6" t="s">
        <v>4960</v>
      </c>
      <c r="C22" s="6" t="s">
        <v>4961</v>
      </c>
      <c r="D22" s="19" t="s">
        <v>4962</v>
      </c>
      <c r="E22" s="19"/>
    </row>
    <row r="23" customFormat="false" ht="15" hidden="false" customHeight="true" outlineLevel="0" collapsed="false">
      <c r="A23" s="6" t="s">
        <v>4963</v>
      </c>
      <c r="B23" s="6" t="s">
        <v>4964</v>
      </c>
      <c r="C23" s="6" t="s">
        <v>4965</v>
      </c>
      <c r="D23" s="19" t="s">
        <v>4966</v>
      </c>
      <c r="E23" s="19"/>
    </row>
    <row r="24" customFormat="false" ht="15" hidden="false" customHeight="true" outlineLevel="0" collapsed="false">
      <c r="A24" s="6" t="s">
        <v>4967</v>
      </c>
      <c r="B24" s="6" t="s">
        <v>4968</v>
      </c>
      <c r="C24" s="6" t="s">
        <v>4969</v>
      </c>
      <c r="D24" s="19" t="s">
        <v>4970</v>
      </c>
      <c r="E24" s="19"/>
    </row>
    <row r="25" customFormat="false" ht="15" hidden="false" customHeight="true" outlineLevel="0" collapsed="false">
      <c r="A25" s="6" t="s">
        <v>4971</v>
      </c>
      <c r="B25" s="6" t="s">
        <v>4972</v>
      </c>
      <c r="C25" s="6" t="s">
        <v>4973</v>
      </c>
      <c r="D25" s="19" t="s">
        <v>4974</v>
      </c>
      <c r="E25" s="19"/>
    </row>
    <row r="26" customFormat="false" ht="15" hidden="false" customHeight="true" outlineLevel="0" collapsed="false">
      <c r="A26" s="6" t="s">
        <v>3529</v>
      </c>
      <c r="B26" s="6" t="s">
        <v>4975</v>
      </c>
      <c r="C26" s="6" t="s">
        <v>4976</v>
      </c>
      <c r="D26" s="19" t="s">
        <v>4977</v>
      </c>
      <c r="E26" s="19"/>
    </row>
    <row r="27" customFormat="false" ht="15" hidden="false" customHeight="true" outlineLevel="0" collapsed="false">
      <c r="A27" s="6" t="s">
        <v>4978</v>
      </c>
      <c r="B27" s="6" t="s">
        <v>4979</v>
      </c>
      <c r="C27" s="6" t="s">
        <v>4980</v>
      </c>
      <c r="D27" s="19" t="s">
        <v>4981</v>
      </c>
      <c r="E27" s="19"/>
    </row>
    <row r="29" customFormat="false" ht="33.75" hidden="false" customHeight="true" outlineLevel="0" collapsed="false">
      <c r="A29" s="18" t="s">
        <v>4982</v>
      </c>
      <c r="B29" s="18"/>
      <c r="C29" s="18"/>
      <c r="D29" s="18"/>
      <c r="E29" s="18"/>
    </row>
    <row r="31" customFormat="false" ht="15" hidden="false" customHeight="true" outlineLevel="0" collapsed="false">
      <c r="A31" s="12" t="s">
        <v>4983</v>
      </c>
      <c r="B31" s="13"/>
      <c r="C31" s="13"/>
      <c r="D31" s="13"/>
      <c r="E31" s="13"/>
    </row>
    <row r="32" customFormat="false" ht="48" hidden="false" customHeight="true" outlineLevel="0" collapsed="false">
      <c r="A32" s="16" t="s">
        <v>4984</v>
      </c>
      <c r="B32" s="19" t="s">
        <v>4985</v>
      </c>
      <c r="C32" s="19"/>
      <c r="D32" s="19"/>
      <c r="E32" s="19"/>
    </row>
    <row r="33" customFormat="false" ht="48" hidden="false" customHeight="true" outlineLevel="0" collapsed="false">
      <c r="A33" s="16" t="s">
        <v>4986</v>
      </c>
      <c r="B33" s="19" t="s">
        <v>4987</v>
      </c>
      <c r="C33" s="19"/>
      <c r="D33" s="19"/>
      <c r="E33" s="19"/>
    </row>
    <row r="34" customFormat="false" ht="48" hidden="false" customHeight="true" outlineLevel="0" collapsed="false">
      <c r="A34" s="16" t="s">
        <v>4988</v>
      </c>
      <c r="B34" s="19" t="s">
        <v>4989</v>
      </c>
      <c r="C34" s="19"/>
      <c r="D34" s="19"/>
      <c r="E34" s="19"/>
    </row>
    <row r="35" customFormat="false" ht="48" hidden="false" customHeight="true" outlineLevel="0" collapsed="false">
      <c r="A35" s="16" t="s">
        <v>4990</v>
      </c>
      <c r="B35" s="19" t="s">
        <v>4991</v>
      </c>
      <c r="C35" s="19"/>
      <c r="D35" s="19"/>
      <c r="E35" s="19"/>
    </row>
    <row r="36" customFormat="false" ht="48" hidden="false" customHeight="true" outlineLevel="0" collapsed="false">
      <c r="A36" s="16" t="s">
        <v>4268</v>
      </c>
      <c r="B36" s="19" t="s">
        <v>4992</v>
      </c>
      <c r="C36" s="19"/>
      <c r="D36" s="19"/>
      <c r="E36" s="19"/>
    </row>
  </sheetData>
  <mergeCells count="20">
    <mergeCell ref="A2:E2"/>
    <mergeCell ref="C12:E12"/>
    <mergeCell ref="C13:E13"/>
    <mergeCell ref="C14:E14"/>
    <mergeCell ref="C15:E15"/>
    <mergeCell ref="C16:E16"/>
    <mergeCell ref="C17:E17"/>
    <mergeCell ref="C18:E18"/>
    <mergeCell ref="D22:E22"/>
    <mergeCell ref="D23:E23"/>
    <mergeCell ref="D24:E24"/>
    <mergeCell ref="D25:E25"/>
    <mergeCell ref="D26:E26"/>
    <mergeCell ref="D27:E27"/>
    <mergeCell ref="A29:E29"/>
    <mergeCell ref="B32:E32"/>
    <mergeCell ref="B33:E33"/>
    <mergeCell ref="B34:E34"/>
    <mergeCell ref="B35:E35"/>
    <mergeCell ref="B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54"/>
    <col collapsed="false" customWidth="true" hidden="false" outlineLevel="0" max="3" min="3" style="1" width="50"/>
    <col collapsed="false" customWidth="true" hidden="false" outlineLevel="0" max="4" min="4" style="1" width="44"/>
  </cols>
  <sheetData>
    <row r="1" customFormat="false" ht="15" hidden="false" customHeight="true" outlineLevel="0" collapsed="false">
      <c r="A1" s="5" t="s">
        <v>4993</v>
      </c>
      <c r="B1" s="5" t="s">
        <v>4994</v>
      </c>
      <c r="C1" s="5" t="s">
        <v>4995</v>
      </c>
      <c r="D1" s="5" t="s">
        <v>4996</v>
      </c>
    </row>
    <row r="2" customFormat="false" ht="61.5" hidden="false" customHeight="true" outlineLevel="0" collapsed="false">
      <c r="A2" s="16" t="s">
        <v>4997</v>
      </c>
      <c r="B2" s="4" t="s">
        <v>4998</v>
      </c>
      <c r="C2" s="4" t="s">
        <v>4999</v>
      </c>
      <c r="D2" s="4" t="s">
        <v>5000</v>
      </c>
    </row>
    <row r="3" customFormat="false" ht="61.5" hidden="false" customHeight="true" outlineLevel="0" collapsed="false">
      <c r="A3" s="16" t="s">
        <v>5001</v>
      </c>
      <c r="B3" s="4" t="s">
        <v>5002</v>
      </c>
      <c r="C3" s="4" t="s">
        <v>5003</v>
      </c>
      <c r="D3" s="4" t="s">
        <v>5004</v>
      </c>
    </row>
    <row r="4" customFormat="false" ht="61.5" hidden="false" customHeight="true" outlineLevel="0" collapsed="false">
      <c r="A4" s="16" t="s">
        <v>5005</v>
      </c>
      <c r="B4" s="4" t="s">
        <v>5006</v>
      </c>
      <c r="C4" s="4" t="s">
        <v>5007</v>
      </c>
      <c r="D4" s="4" t="s">
        <v>5008</v>
      </c>
    </row>
    <row r="5" customFormat="false" ht="61.5" hidden="false" customHeight="true" outlineLevel="0" collapsed="false">
      <c r="A5" s="16" t="s">
        <v>5009</v>
      </c>
      <c r="B5" s="4" t="s">
        <v>5010</v>
      </c>
      <c r="C5" s="4" t="s">
        <v>5011</v>
      </c>
      <c r="D5" s="4" t="s">
        <v>5012</v>
      </c>
    </row>
    <row r="6" customFormat="false" ht="61.5" hidden="false" customHeight="true" outlineLevel="0" collapsed="false">
      <c r="A6" s="16" t="s">
        <v>5013</v>
      </c>
      <c r="B6" s="4" t="s">
        <v>5014</v>
      </c>
      <c r="C6" s="4" t="s">
        <v>5015</v>
      </c>
      <c r="D6" s="4" t="s">
        <v>5016</v>
      </c>
    </row>
    <row r="7" customFormat="false" ht="61.5" hidden="false" customHeight="true" outlineLevel="0" collapsed="false">
      <c r="A7" s="16" t="s">
        <v>5017</v>
      </c>
      <c r="B7" s="4" t="s">
        <v>5018</v>
      </c>
      <c r="C7" s="4" t="s">
        <v>5019</v>
      </c>
      <c r="D7" s="4" t="s">
        <v>5020</v>
      </c>
    </row>
    <row r="9" customFormat="false" ht="31.5" hidden="false" customHeight="true" outlineLevel="0" collapsed="false">
      <c r="A9" s="18" t="s">
        <v>5021</v>
      </c>
      <c r="B9" s="18"/>
      <c r="C9" s="18"/>
      <c r="D9" s="18"/>
    </row>
  </sheetData>
  <mergeCells count="1">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62"/>
    <col collapsed="false" customWidth="true" hidden="false" outlineLevel="0" max="3" min="3" style="1" width="60"/>
  </cols>
  <sheetData>
    <row r="1" customFormat="false" ht="15" hidden="false" customHeight="true" outlineLevel="0" collapsed="false">
      <c r="A1" s="5" t="s">
        <v>5022</v>
      </c>
      <c r="B1" s="5" t="s">
        <v>5023</v>
      </c>
      <c r="C1" s="5" t="s">
        <v>5024</v>
      </c>
    </row>
    <row r="2" customFormat="false" ht="61.5" hidden="false" customHeight="true" outlineLevel="0" collapsed="false">
      <c r="A2" s="16" t="s">
        <v>5025</v>
      </c>
      <c r="B2" s="4" t="s">
        <v>5026</v>
      </c>
      <c r="C2" s="4" t="s">
        <v>5027</v>
      </c>
    </row>
    <row r="3" customFormat="false" ht="61.5" hidden="false" customHeight="true" outlineLevel="0" collapsed="false">
      <c r="A3" s="16" t="s">
        <v>51</v>
      </c>
      <c r="B3" s="4" t="s">
        <v>5028</v>
      </c>
      <c r="C3" s="4" t="s">
        <v>5029</v>
      </c>
    </row>
    <row r="4" customFormat="false" ht="61.5" hidden="false" customHeight="true" outlineLevel="0" collapsed="false">
      <c r="A4" s="16" t="s">
        <v>5030</v>
      </c>
      <c r="B4" s="4" t="s">
        <v>5031</v>
      </c>
      <c r="C4" s="4" t="s">
        <v>5032</v>
      </c>
    </row>
    <row r="5" customFormat="false" ht="61.5" hidden="false" customHeight="true" outlineLevel="0" collapsed="false">
      <c r="A5" s="16" t="s">
        <v>5033</v>
      </c>
      <c r="B5" s="4" t="s">
        <v>5034</v>
      </c>
      <c r="C5" s="4" t="s">
        <v>5035</v>
      </c>
    </row>
    <row r="6" customFormat="false" ht="61.5" hidden="false" customHeight="true" outlineLevel="0" collapsed="false">
      <c r="A6" s="16" t="s">
        <v>5036</v>
      </c>
      <c r="B6" s="4" t="s">
        <v>5037</v>
      </c>
      <c r="C6" s="4" t="s">
        <v>5038</v>
      </c>
    </row>
    <row r="7" customFormat="false" ht="61.5" hidden="false" customHeight="true" outlineLevel="0" collapsed="false">
      <c r="A7" s="16" t="s">
        <v>5039</v>
      </c>
      <c r="B7" s="4" t="s">
        <v>5040</v>
      </c>
      <c r="C7" s="4" t="s">
        <v>5041</v>
      </c>
    </row>
    <row r="8" customFormat="false" ht="61.5" hidden="false" customHeight="true" outlineLevel="0" collapsed="false">
      <c r="A8" s="16" t="s">
        <v>5042</v>
      </c>
      <c r="B8" s="4" t="s">
        <v>5043</v>
      </c>
      <c r="C8" s="4" t="s">
        <v>5044</v>
      </c>
    </row>
    <row r="9" customFormat="false" ht="61.5" hidden="false" customHeight="true" outlineLevel="0" collapsed="false">
      <c r="A9" s="16" t="s">
        <v>5045</v>
      </c>
      <c r="B9" s="4" t="s">
        <v>5046</v>
      </c>
      <c r="C9" s="4" t="s">
        <v>5047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1" width="4"/>
    <col collapsed="false" customWidth="true" hidden="false" outlineLevel="0" max="4" min="4" style="1" width="26"/>
    <col collapsed="false" customWidth="true" hidden="false" outlineLevel="0" max="5" min="5" style="1" width="14"/>
    <col collapsed="false" customWidth="true" hidden="false" outlineLevel="0" max="6" min="6" style="1" width="4"/>
    <col collapsed="false" customWidth="true" hidden="false" outlineLevel="0" max="7" min="7" style="1" width="30"/>
    <col collapsed="false" customWidth="true" hidden="false" outlineLevel="0" max="8" min="8" style="0" width="16"/>
  </cols>
  <sheetData>
    <row r="1" customFormat="false" ht="15" hidden="false" customHeight="true" outlineLevel="0" collapsed="false">
      <c r="A1" s="17" t="s">
        <v>5048</v>
      </c>
    </row>
    <row r="2" customFormat="false" ht="45.75" hidden="false" customHeight="true" outlineLevel="0" collapsed="false">
      <c r="A2" s="18" t="s">
        <v>5049</v>
      </c>
      <c r="B2" s="18"/>
      <c r="C2" s="18"/>
      <c r="D2" s="18"/>
      <c r="E2" s="18"/>
      <c r="F2" s="18"/>
      <c r="G2" s="18"/>
    </row>
    <row r="4" customFormat="false" ht="15" hidden="false" customHeight="true" outlineLevel="0" collapsed="false">
      <c r="A4" s="3" t="s">
        <v>5050</v>
      </c>
      <c r="D4" s="3" t="s">
        <v>5051</v>
      </c>
      <c r="G4" s="20" t="s">
        <v>5052</v>
      </c>
    </row>
    <row r="5" customFormat="false" ht="15" hidden="false" customHeight="true" outlineLevel="0" collapsed="false">
      <c r="A5" s="6" t="s">
        <v>5053</v>
      </c>
      <c r="B5" s="10" t="n">
        <v>100</v>
      </c>
      <c r="D5" s="6" t="s">
        <v>5054</v>
      </c>
      <c r="E5" s="10" t="n">
        <v>1000</v>
      </c>
      <c r="G5" s="21" t="s">
        <v>5055</v>
      </c>
      <c r="H5" s="22" t="n">
        <v>400</v>
      </c>
    </row>
    <row r="6" customFormat="false" ht="15" hidden="false" customHeight="true" outlineLevel="0" collapsed="false">
      <c r="A6" s="6" t="s">
        <v>5056</v>
      </c>
      <c r="B6" s="10" t="n">
        <v>0.21</v>
      </c>
      <c r="D6" s="6" t="s">
        <v>5057</v>
      </c>
      <c r="E6" s="10" t="n">
        <v>0.21</v>
      </c>
      <c r="G6" s="21" t="s">
        <v>5058</v>
      </c>
      <c r="H6" s="21" t="n">
        <f aca="false">MIN(Empire_Weight_Multiplier!$F$8, 1+($H$5/Empire_Weight_Multiplier!$B$8)^Empire_Weight_Multiplier!$D$8)</f>
        <v>29.246495881301</v>
      </c>
    </row>
    <row r="7" customFormat="false" ht="15" hidden="false" customHeight="true" outlineLevel="0" collapsed="false">
      <c r="A7" s="6" t="s">
        <v>5059</v>
      </c>
      <c r="B7" s="10" t="n">
        <v>1.3</v>
      </c>
      <c r="D7" s="6" t="s">
        <v>5060</v>
      </c>
      <c r="E7" s="10" t="n">
        <v>1.25</v>
      </c>
      <c r="G7" s="23" t="s">
        <v>5061</v>
      </c>
    </row>
    <row r="9" customFormat="false" ht="15" hidden="false" customHeight="true" outlineLevel="0" collapsed="false">
      <c r="A9" s="12" t="s">
        <v>5062</v>
      </c>
      <c r="B9" s="13"/>
      <c r="C9" s="13"/>
      <c r="D9" s="13"/>
      <c r="E9" s="13"/>
      <c r="F9" s="13"/>
      <c r="G9" s="13"/>
    </row>
    <row r="10" customFormat="false" ht="15" hidden="false" customHeight="true" outlineLevel="0" collapsed="false">
      <c r="A10" s="6" t="s">
        <v>5063</v>
      </c>
      <c r="B10" s="6" t="n">
        <f aca="false">ROUND($B$5*1338^$B$6*$B$7^23,0)</f>
        <v>189345</v>
      </c>
      <c r="G10" s="7" t="s">
        <v>5064</v>
      </c>
    </row>
    <row r="11" customFormat="false" ht="15" hidden="false" customHeight="true" outlineLevel="0" collapsed="false">
      <c r="A11" s="6" t="s">
        <v>5065</v>
      </c>
      <c r="B11" s="6" t="n">
        <f aca="false">ROUND($E$5/(1338^$E$6*$E$7^23),1)</f>
        <v>1.3</v>
      </c>
      <c r="G11" s="7" t="s">
        <v>5066</v>
      </c>
    </row>
    <row r="12" customFormat="false" ht="15" hidden="false" customHeight="true" outlineLevel="0" collapsed="false">
      <c r="A12" s="6" t="s">
        <v>5067</v>
      </c>
      <c r="B12" s="6" t="str">
        <f aca="false">ROUND(1338^$B$6,2)&amp;"x"</f>
        <v>4.53x</v>
      </c>
      <c r="G12" s="7" t="s">
        <v>5068</v>
      </c>
    </row>
    <row r="13" customFormat="false" ht="15" hidden="false" customHeight="true" outlineLevel="0" collapsed="false">
      <c r="A13" s="6" t="s">
        <v>5069</v>
      </c>
      <c r="B13" s="6" t="str">
        <f aca="false">"1/"&amp;ROUND(1338^$E$6,2)</f>
        <v>1/4.53</v>
      </c>
      <c r="G13" s="7" t="s">
        <v>5068</v>
      </c>
    </row>
    <row r="14" customFormat="false" ht="15" hidden="false" customHeight="true" outlineLevel="0" collapsed="false">
      <c r="A14" s="6" t="s">
        <v>5070</v>
      </c>
      <c r="B14" s="6" t="str">
        <f aca="false">ROUND(1338^($B$6+$E$6),1)&amp;"x"</f>
        <v>20.6x</v>
      </c>
      <c r="G14" s="7" t="s">
        <v>5071</v>
      </c>
    </row>
    <row r="15" customFormat="false" ht="15" hidden="false" customHeight="true" outlineLevel="0" collapsed="false">
      <c r="A15" s="6" t="s">
        <v>5072</v>
      </c>
      <c r="B15" s="6" t="str">
        <f aca="false">ROUND($B$7*$E$7,3)&amp;"x"</f>
        <v>1.625x</v>
      </c>
      <c r="G15" s="7" t="s">
        <v>5073</v>
      </c>
    </row>
    <row r="16" customFormat="false" ht="15" hidden="false" customHeight="true" outlineLevel="0" collapsed="false">
      <c r="A16" s="6" t="s">
        <v>5074</v>
      </c>
      <c r="B16" s="6" t="n">
        <f aca="false">ROUND(1338^($B$6+$E$6)*($B$7*$E$7)^23,0)</f>
        <v>1454585</v>
      </c>
      <c r="G16" s="7" t="s">
        <v>5075</v>
      </c>
    </row>
    <row r="17" customFormat="false" ht="15" hidden="false" customHeight="false" outlineLevel="0" collapsed="false">
      <c r="A17" s="21" t="s">
        <v>5076</v>
      </c>
      <c r="B17" s="21" t="n">
        <f aca="false">ROUND($B$5*1338^$B$6*$B$7^23*$H$6,0)</f>
        <v>5537666</v>
      </c>
    </row>
    <row r="18" customFormat="false" ht="15" hidden="false" customHeight="true" outlineLevel="0" collapsed="false">
      <c r="A18" s="12" t="s">
        <v>5077</v>
      </c>
      <c r="B18" s="13"/>
      <c r="C18" s="13"/>
      <c r="D18" s="13"/>
      <c r="E18" s="13"/>
      <c r="F18" s="13"/>
      <c r="G18" s="13"/>
    </row>
    <row r="19" customFormat="false" ht="15" hidden="false" customHeight="true" outlineLevel="0" collapsed="false">
      <c r="A19" s="8" t="s">
        <v>3755</v>
      </c>
      <c r="B19" s="8" t="s">
        <v>5078</v>
      </c>
      <c r="C19" s="8" t="s">
        <v>5079</v>
      </c>
      <c r="D19" s="8" t="s">
        <v>5080</v>
      </c>
      <c r="E19" s="8" t="s">
        <v>5081</v>
      </c>
    </row>
    <row r="20" customFormat="false" ht="15" hidden="false" customHeight="true" outlineLevel="0" collapsed="false">
      <c r="A20" s="6" t="n">
        <v>1</v>
      </c>
      <c r="B20" s="3" t="s">
        <v>5082</v>
      </c>
      <c r="C20" s="6" t="n">
        <f aca="false">ROUND(($B$7*$E$7)^(A20-1),1)</f>
        <v>1</v>
      </c>
      <c r="D20" s="6" t="n">
        <f aca="false">ROUND(C20/12,2)</f>
        <v>0.08</v>
      </c>
      <c r="E20" s="6" t="s">
        <v>5083</v>
      </c>
    </row>
    <row r="21" customFormat="false" ht="15" hidden="false" customHeight="true" outlineLevel="0" collapsed="false">
      <c r="A21" s="6" t="n">
        <v>2</v>
      </c>
      <c r="B21" s="3" t="s">
        <v>5084</v>
      </c>
      <c r="C21" s="6" t="n">
        <f aca="false">ROUND(($B$7*$E$7)^(A21-1),1)</f>
        <v>1.6</v>
      </c>
      <c r="D21" s="6" t="n">
        <f aca="false">ROUND(D20+C21/12,2)</f>
        <v>0.21</v>
      </c>
      <c r="E21" s="6"/>
    </row>
    <row r="22" customFormat="false" ht="15" hidden="false" customHeight="true" outlineLevel="0" collapsed="false">
      <c r="A22" s="6" t="n">
        <v>3</v>
      </c>
      <c r="B22" s="3" t="s">
        <v>5085</v>
      </c>
      <c r="C22" s="6" t="n">
        <f aca="false">ROUND(($B$7*$E$7)^(A22-1),1)</f>
        <v>2.6</v>
      </c>
      <c r="D22" s="6" t="n">
        <f aca="false">ROUND(D21+C22/12,2)</f>
        <v>0.43</v>
      </c>
      <c r="E22" s="6"/>
    </row>
    <row r="23" customFormat="false" ht="15" hidden="false" customHeight="true" outlineLevel="0" collapsed="false">
      <c r="A23" s="6" t="n">
        <v>4</v>
      </c>
      <c r="B23" s="3" t="s">
        <v>5086</v>
      </c>
      <c r="C23" s="6" t="n">
        <f aca="false">ROUND(($B$7*$E$7)^(A23-1),1)</f>
        <v>4.3</v>
      </c>
      <c r="D23" s="6" t="n">
        <f aca="false">ROUND(D22+C23/12,2)</f>
        <v>0.79</v>
      </c>
      <c r="E23" s="6" t="s">
        <v>5087</v>
      </c>
    </row>
    <row r="24" customFormat="false" ht="15" hidden="false" customHeight="true" outlineLevel="0" collapsed="false">
      <c r="A24" s="6" t="n">
        <v>5</v>
      </c>
      <c r="B24" s="3" t="s">
        <v>5088</v>
      </c>
      <c r="C24" s="6" t="n">
        <f aca="false">ROUND(($B$7*$E$7)^(A24-1),1)</f>
        <v>7</v>
      </c>
      <c r="D24" s="6" t="n">
        <f aca="false">ROUND(D23+C24/12,2)</f>
        <v>1.37</v>
      </c>
      <c r="E24" s="6"/>
    </row>
    <row r="25" customFormat="false" ht="15" hidden="false" customHeight="true" outlineLevel="0" collapsed="false">
      <c r="A25" s="6" t="n">
        <v>6</v>
      </c>
      <c r="B25" s="3" t="s">
        <v>5089</v>
      </c>
      <c r="C25" s="6" t="n">
        <f aca="false">ROUND(($B$7*$E$7)^(A25-1),1)</f>
        <v>11.3</v>
      </c>
      <c r="D25" s="6" t="n">
        <f aca="false">ROUND(D24+C25/12,2)</f>
        <v>2.31</v>
      </c>
      <c r="E25" s="6"/>
    </row>
    <row r="26" customFormat="false" ht="15" hidden="false" customHeight="true" outlineLevel="0" collapsed="false">
      <c r="A26" s="6" t="n">
        <v>7</v>
      </c>
      <c r="B26" s="3" t="s">
        <v>5090</v>
      </c>
      <c r="C26" s="6" t="n">
        <f aca="false">ROUND(($B$7*$E$7)^(A26-1),1)</f>
        <v>18.4</v>
      </c>
      <c r="D26" s="6" t="n">
        <f aca="false">ROUND(D25+C26/12,2)</f>
        <v>3.84</v>
      </c>
      <c r="E26" s="6"/>
    </row>
    <row r="27" customFormat="false" ht="15" hidden="false" customHeight="true" outlineLevel="0" collapsed="false">
      <c r="A27" s="6" t="n">
        <v>8</v>
      </c>
      <c r="B27" s="3" t="s">
        <v>5091</v>
      </c>
      <c r="C27" s="6" t="n">
        <f aca="false">ROUND(($B$7*$E$7)^(A27-1),1)</f>
        <v>29.9</v>
      </c>
      <c r="D27" s="6" t="n">
        <f aca="false">ROUND(D26+C27/12,2)</f>
        <v>6.33</v>
      </c>
      <c r="E27" s="6" t="s">
        <v>5092</v>
      </c>
    </row>
    <row r="28" customFormat="false" ht="15" hidden="false" customHeight="true" outlineLevel="0" collapsed="false">
      <c r="A28" s="6" t="n">
        <v>9</v>
      </c>
      <c r="B28" s="3" t="s">
        <v>5093</v>
      </c>
      <c r="C28" s="6" t="n">
        <f aca="false">ROUND(($B$7*$E$7)^(A28-1),1)</f>
        <v>48.6</v>
      </c>
      <c r="D28" s="6" t="n">
        <f aca="false">ROUND(D27+C28/12,2)</f>
        <v>10.38</v>
      </c>
      <c r="E28" s="6"/>
    </row>
    <row r="29" customFormat="false" ht="15" hidden="false" customHeight="true" outlineLevel="0" collapsed="false">
      <c r="A29" s="6" t="n">
        <v>10</v>
      </c>
      <c r="B29" s="3" t="s">
        <v>5094</v>
      </c>
      <c r="C29" s="6" t="n">
        <f aca="false">ROUND(($B$7*$E$7)^(A29-1),1)</f>
        <v>79</v>
      </c>
      <c r="D29" s="6" t="n">
        <f aca="false">ROUND(D28+C29/12,2)</f>
        <v>16.96</v>
      </c>
      <c r="E29" s="6"/>
    </row>
    <row r="30" customFormat="false" ht="15" hidden="false" customHeight="true" outlineLevel="0" collapsed="false">
      <c r="A30" s="6" t="n">
        <v>11</v>
      </c>
      <c r="B30" s="3" t="s">
        <v>5095</v>
      </c>
      <c r="C30" s="6" t="n">
        <f aca="false">ROUND(($B$7*$E$7)^(A30-1),1)</f>
        <v>128.4</v>
      </c>
      <c r="D30" s="6" t="n">
        <f aca="false">ROUND(D29+C30/12,2)</f>
        <v>27.66</v>
      </c>
      <c r="E30" s="6"/>
    </row>
    <row r="31" customFormat="false" ht="15" hidden="false" customHeight="true" outlineLevel="0" collapsed="false">
      <c r="A31" s="6" t="n">
        <v>12</v>
      </c>
      <c r="B31" s="3" t="s">
        <v>5096</v>
      </c>
      <c r="C31" s="6" t="n">
        <f aca="false">ROUND(($B$7*$E$7)^(A31-1),1)</f>
        <v>208.6</v>
      </c>
      <c r="D31" s="6" t="n">
        <f aca="false">ROUND(D30+C31/12,2)</f>
        <v>45.04</v>
      </c>
      <c r="E31" s="6" t="s">
        <v>5097</v>
      </c>
    </row>
    <row r="32" customFormat="false" ht="15" hidden="false" customHeight="true" outlineLevel="0" collapsed="false">
      <c r="A32" s="6" t="n">
        <v>13</v>
      </c>
      <c r="B32" s="3" t="s">
        <v>5098</v>
      </c>
      <c r="C32" s="6" t="n">
        <f aca="false">ROUND(($B$7*$E$7)^(A32-1),1)</f>
        <v>339</v>
      </c>
      <c r="D32" s="6" t="n">
        <f aca="false">ROUND(D31+C32/12,2)</f>
        <v>73.29</v>
      </c>
      <c r="E32" s="6"/>
    </row>
    <row r="33" customFormat="false" ht="15" hidden="false" customHeight="true" outlineLevel="0" collapsed="false">
      <c r="A33" s="6" t="n">
        <v>14</v>
      </c>
      <c r="B33" s="3" t="s">
        <v>5099</v>
      </c>
      <c r="C33" s="6" t="n">
        <f aca="false">ROUND(($B$7*$E$7)^(A33-1),1)</f>
        <v>550.9</v>
      </c>
      <c r="D33" s="6" t="n">
        <f aca="false">ROUND(D32+C33/12,2)</f>
        <v>119.2</v>
      </c>
      <c r="E33" s="6"/>
    </row>
    <row r="34" customFormat="false" ht="15" hidden="false" customHeight="true" outlineLevel="0" collapsed="false">
      <c r="A34" s="6" t="n">
        <v>15</v>
      </c>
      <c r="B34" s="3" t="s">
        <v>5100</v>
      </c>
      <c r="C34" s="6" t="n">
        <f aca="false">ROUND(($B$7*$E$7)^(A34-1),1)</f>
        <v>895.3</v>
      </c>
      <c r="D34" s="6" t="n">
        <f aca="false">ROUND(D33+C34/12,2)</f>
        <v>193.81</v>
      </c>
      <c r="E34" s="6"/>
    </row>
    <row r="35" customFormat="false" ht="15" hidden="false" customHeight="true" outlineLevel="0" collapsed="false">
      <c r="A35" s="6" t="n">
        <v>16</v>
      </c>
      <c r="B35" s="3" t="s">
        <v>5101</v>
      </c>
      <c r="C35" s="6" t="n">
        <f aca="false">ROUND(($B$7*$E$7)^(A35-1),1)</f>
        <v>1454.8</v>
      </c>
      <c r="D35" s="6" t="n">
        <f aca="false">ROUND(D34+C35/12,2)</f>
        <v>315.04</v>
      </c>
      <c r="E35" s="6" t="s">
        <v>5102</v>
      </c>
    </row>
    <row r="36" customFormat="false" ht="15" hidden="false" customHeight="true" outlineLevel="0" collapsed="false">
      <c r="A36" s="6" t="n">
        <v>17</v>
      </c>
      <c r="B36" s="3" t="s">
        <v>5103</v>
      </c>
      <c r="C36" s="6" t="n">
        <f aca="false">ROUND(($B$7*$E$7)^(A36-1),1)</f>
        <v>2364</v>
      </c>
      <c r="D36" s="6" t="n">
        <f aca="false">ROUND(D35+C36/12,2)</f>
        <v>512.04</v>
      </c>
      <c r="E36" s="6"/>
    </row>
    <row r="37" customFormat="false" ht="15" hidden="false" customHeight="true" outlineLevel="0" collapsed="false">
      <c r="A37" s="6" t="n">
        <v>18</v>
      </c>
      <c r="B37" s="3" t="s">
        <v>5104</v>
      </c>
      <c r="C37" s="6" t="n">
        <f aca="false">ROUND(($B$7*$E$7)^(A37-1),1)</f>
        <v>3841.6</v>
      </c>
      <c r="D37" s="6" t="n">
        <f aca="false">ROUND(D36+C37/12,2)</f>
        <v>832.17</v>
      </c>
      <c r="E37" s="6"/>
    </row>
    <row r="38" customFormat="false" ht="15" hidden="false" customHeight="true" outlineLevel="0" collapsed="false">
      <c r="A38" s="6" t="n">
        <v>19</v>
      </c>
      <c r="B38" s="3" t="s">
        <v>5105</v>
      </c>
      <c r="C38" s="6" t="n">
        <f aca="false">ROUND(($B$7*$E$7)^(A38-1),1)</f>
        <v>6242.5</v>
      </c>
      <c r="D38" s="6" t="n">
        <f aca="false">ROUND(D37+C38/12,2)</f>
        <v>1352.38</v>
      </c>
      <c r="E38" s="6"/>
    </row>
    <row r="39" customFormat="false" ht="15" hidden="false" customHeight="true" outlineLevel="0" collapsed="false">
      <c r="A39" s="6" t="n">
        <v>20</v>
      </c>
      <c r="B39" s="3" t="s">
        <v>5106</v>
      </c>
      <c r="C39" s="6" t="n">
        <f aca="false">ROUND(($B$7*$E$7)^(A39-1),1)</f>
        <v>10144.1</v>
      </c>
      <c r="D39" s="6" t="n">
        <f aca="false">ROUND(D38+C39/12,2)</f>
        <v>2197.72</v>
      </c>
      <c r="E39" s="6" t="s">
        <v>5107</v>
      </c>
    </row>
    <row r="40" customFormat="false" ht="15" hidden="false" customHeight="true" outlineLevel="0" collapsed="false">
      <c r="A40" s="6" t="n">
        <v>21</v>
      </c>
      <c r="B40" s="3" t="s">
        <v>5108</v>
      </c>
      <c r="C40" s="6" t="n">
        <f aca="false">ROUND(($B$7*$E$7)^(A40-1),1)</f>
        <v>16484.2</v>
      </c>
      <c r="D40" s="6" t="n">
        <f aca="false">ROUND(D39+C40/12,2)</f>
        <v>3571.4</v>
      </c>
      <c r="E40" s="6"/>
    </row>
    <row r="41" customFormat="false" ht="15" hidden="false" customHeight="true" outlineLevel="0" collapsed="false">
      <c r="A41" s="6" t="n">
        <v>22</v>
      </c>
      <c r="B41" s="3" t="s">
        <v>5109</v>
      </c>
      <c r="C41" s="6" t="n">
        <f aca="false">ROUND(($B$7*$E$7)^(A41-1),1)</f>
        <v>26786.8</v>
      </c>
      <c r="D41" s="6" t="n">
        <f aca="false">ROUND(D40+C41/12,2)</f>
        <v>5803.63</v>
      </c>
      <c r="E41" s="6"/>
    </row>
    <row r="42" customFormat="false" ht="15" hidden="false" customHeight="true" outlineLevel="0" collapsed="false">
      <c r="A42" s="6" t="n">
        <v>23</v>
      </c>
      <c r="B42" s="3" t="s">
        <v>5110</v>
      </c>
      <c r="C42" s="6" t="n">
        <f aca="false">ROUND(($B$7*$E$7)^(A42-1),1)</f>
        <v>43528.5</v>
      </c>
      <c r="D42" s="6" t="n">
        <f aca="false">ROUND(D41+C42/12,2)</f>
        <v>9431.01</v>
      </c>
      <c r="E42" s="6"/>
    </row>
    <row r="43" customFormat="false" ht="15" hidden="false" customHeight="true" outlineLevel="0" collapsed="false">
      <c r="A43" s="6" t="n">
        <v>24</v>
      </c>
      <c r="B43" s="3" t="s">
        <v>5111</v>
      </c>
      <c r="C43" s="6" t="n">
        <f aca="false">ROUND(($B$7*$E$7)^(A43-1),1)</f>
        <v>70733.9</v>
      </c>
      <c r="D43" s="6" t="n">
        <f aca="false">ROUND(D42+C43/12,2)</f>
        <v>15325.5</v>
      </c>
      <c r="E43" s="6" t="s">
        <v>5112</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0"/>
    <col collapsed="false" customWidth="true" hidden="false" outlineLevel="0" max="3" min="3" style="1" width="18"/>
    <col collapsed="false" customWidth="true" hidden="false" outlineLevel="0" max="4" min="4" style="1" width="22"/>
    <col collapsed="false" customWidth="true" hidden="false" outlineLevel="0" max="5" min="5" style="1" width="20"/>
    <col collapsed="false" customWidth="true" hidden="false" outlineLevel="0" max="6" min="6" style="1" width="26"/>
  </cols>
  <sheetData>
    <row r="1" customFormat="false" ht="15" hidden="false" customHeight="true" outlineLevel="0" collapsed="false">
      <c r="A1" s="5" t="s">
        <v>5113</v>
      </c>
      <c r="B1" s="5" t="s">
        <v>5114</v>
      </c>
      <c r="C1" s="5" t="s">
        <v>5115</v>
      </c>
      <c r="D1" s="5" t="s">
        <v>5116</v>
      </c>
      <c r="E1" s="5" t="s">
        <v>5117</v>
      </c>
      <c r="F1" s="5" t="s">
        <v>5118</v>
      </c>
    </row>
    <row r="2" customFormat="false" ht="15" hidden="false" customHeight="true" outlineLevel="0" collapsed="false">
      <c r="A2" s="6" t="n">
        <v>0</v>
      </c>
      <c r="B2" s="6" t="n">
        <f aca="false">ROUND(Veterancy_XP!$B$5*(A2+1)^Veterancy_XP!$B$6,0)</f>
        <v>100</v>
      </c>
      <c r="C2" s="6" t="n">
        <f aca="false">ROUND(1/(A2+1)^Veterancy_XP!$E$6,4)</f>
        <v>1</v>
      </c>
      <c r="D2" s="6" t="n">
        <f aca="false">ROUND(Veterancy_XP!$E$5*C2,1)</f>
        <v>1000</v>
      </c>
      <c r="E2" s="6" t="n">
        <f aca="false">ROUND(B2/D2,2)</f>
        <v>0.1</v>
      </c>
      <c r="F2" s="6" t="n">
        <f aca="false">E2</f>
        <v>0.1</v>
      </c>
    </row>
    <row r="3" customFormat="false" ht="15" hidden="false" customHeight="true" outlineLevel="0" collapsed="false">
      <c r="A3" s="6" t="n">
        <v>1</v>
      </c>
      <c r="B3" s="6" t="n">
        <f aca="false">ROUND(Veterancy_XP!$B$5*(A3+1)^Veterancy_XP!$B$6,0)</f>
        <v>116</v>
      </c>
      <c r="C3" s="6" t="n">
        <f aca="false">ROUND(1/(A3+1)^Veterancy_XP!$E$6,4)</f>
        <v>0.8645</v>
      </c>
      <c r="D3" s="6" t="n">
        <f aca="false">ROUND(Veterancy_XP!$E$5*C3,1)</f>
        <v>864.5</v>
      </c>
      <c r="E3" s="6" t="n">
        <f aca="false">ROUND(B3/D3,2)</f>
        <v>0.13</v>
      </c>
      <c r="F3" s="6" t="n">
        <f aca="false">ROUND(F2+E3,2)</f>
        <v>0.23</v>
      </c>
    </row>
    <row r="4" customFormat="false" ht="15" hidden="false" customHeight="true" outlineLevel="0" collapsed="false">
      <c r="A4" s="6" t="n">
        <v>2</v>
      </c>
      <c r="B4" s="6" t="n">
        <f aca="false">ROUND(Veterancy_XP!$B$5*(A4+1)^Veterancy_XP!$B$6,0)</f>
        <v>126</v>
      </c>
      <c r="C4" s="6" t="n">
        <f aca="false">ROUND(1/(A4+1)^Veterancy_XP!$E$6,4)</f>
        <v>0.794</v>
      </c>
      <c r="D4" s="6" t="n">
        <f aca="false">ROUND(Veterancy_XP!$E$5*C4,1)</f>
        <v>794</v>
      </c>
      <c r="E4" s="6" t="n">
        <f aca="false">ROUND(B4/D4,2)</f>
        <v>0.16</v>
      </c>
      <c r="F4" s="6" t="n">
        <f aca="false">ROUND(F3+E4,2)</f>
        <v>0.39</v>
      </c>
    </row>
    <row r="5" customFormat="false" ht="15" hidden="false" customHeight="true" outlineLevel="0" collapsed="false">
      <c r="A5" s="6" t="n">
        <v>3</v>
      </c>
      <c r="B5" s="6" t="n">
        <f aca="false">ROUND(Veterancy_XP!$B$5*(A5+1)^Veterancy_XP!$B$6,0)</f>
        <v>134</v>
      </c>
      <c r="C5" s="6" t="n">
        <f aca="false">ROUND(1/(A5+1)^Veterancy_XP!$E$6,4)</f>
        <v>0.7474</v>
      </c>
      <c r="D5" s="6" t="n">
        <f aca="false">ROUND(Veterancy_XP!$E$5*C5,1)</f>
        <v>747.4</v>
      </c>
      <c r="E5" s="6" t="n">
        <f aca="false">ROUND(B5/D5,2)</f>
        <v>0.18</v>
      </c>
      <c r="F5" s="6" t="n">
        <f aca="false">ROUND(F4+E5,2)</f>
        <v>0.57</v>
      </c>
    </row>
    <row r="6" customFormat="false" ht="15" hidden="false" customHeight="true" outlineLevel="0" collapsed="false">
      <c r="A6" s="6" t="n">
        <v>4</v>
      </c>
      <c r="B6" s="6" t="n">
        <f aca="false">ROUND(Veterancy_XP!$B$5*(A6+1)^Veterancy_XP!$B$6,0)</f>
        <v>140</v>
      </c>
      <c r="C6" s="6" t="n">
        <f aca="false">ROUND(1/(A6+1)^Veterancy_XP!$E$6,4)</f>
        <v>0.7132</v>
      </c>
      <c r="D6" s="6" t="n">
        <f aca="false">ROUND(Veterancy_XP!$E$5*C6,1)</f>
        <v>713.2</v>
      </c>
      <c r="E6" s="6" t="n">
        <f aca="false">ROUND(B6/D6,2)</f>
        <v>0.2</v>
      </c>
      <c r="F6" s="6" t="n">
        <f aca="false">ROUND(F5+E6,2)</f>
        <v>0.77</v>
      </c>
    </row>
    <row r="7" customFormat="false" ht="15" hidden="false" customHeight="true" outlineLevel="0" collapsed="false">
      <c r="A7" s="6" t="n">
        <v>5</v>
      </c>
      <c r="B7" s="6" t="n">
        <f aca="false">ROUND(Veterancy_XP!$B$5*(A7+1)^Veterancy_XP!$B$6,0)</f>
        <v>146</v>
      </c>
      <c r="C7" s="6" t="n">
        <f aca="false">ROUND(1/(A7+1)^Veterancy_XP!$E$6,4)</f>
        <v>0.6864</v>
      </c>
      <c r="D7" s="6" t="n">
        <f aca="false">ROUND(Veterancy_XP!$E$5*C7,1)</f>
        <v>686.4</v>
      </c>
      <c r="E7" s="6" t="n">
        <f aca="false">ROUND(B7/D7,2)</f>
        <v>0.21</v>
      </c>
      <c r="F7" s="6" t="n">
        <f aca="false">ROUND(F6+E7,2)</f>
        <v>0.98</v>
      </c>
    </row>
    <row r="8" customFormat="false" ht="15" hidden="false" customHeight="true" outlineLevel="0" collapsed="false">
      <c r="A8" s="6" t="n">
        <v>6</v>
      </c>
      <c r="B8" s="6" t="n">
        <f aca="false">ROUND(Veterancy_XP!$B$5*(A8+1)^Veterancy_XP!$B$6,0)</f>
        <v>150</v>
      </c>
      <c r="C8" s="6" t="n">
        <f aca="false">ROUND(1/(A8+1)^Veterancy_XP!$E$6,4)</f>
        <v>0.6646</v>
      </c>
      <c r="D8" s="6" t="n">
        <f aca="false">ROUND(Veterancy_XP!$E$5*C8,1)</f>
        <v>664.6</v>
      </c>
      <c r="E8" s="6" t="n">
        <f aca="false">ROUND(B8/D8,2)</f>
        <v>0.23</v>
      </c>
      <c r="F8" s="6" t="n">
        <f aca="false">ROUND(F7+E8,2)</f>
        <v>1.21</v>
      </c>
    </row>
    <row r="9" customFormat="false" ht="15" hidden="false" customHeight="true" outlineLevel="0" collapsed="false">
      <c r="A9" s="6" t="n">
        <v>7</v>
      </c>
      <c r="B9" s="6" t="n">
        <f aca="false">ROUND(Veterancy_XP!$B$5*(A9+1)^Veterancy_XP!$B$6,0)</f>
        <v>155</v>
      </c>
      <c r="C9" s="6" t="n">
        <f aca="false">ROUND(1/(A9+1)^Veterancy_XP!$E$6,4)</f>
        <v>0.6462</v>
      </c>
      <c r="D9" s="6" t="n">
        <f aca="false">ROUND(Veterancy_XP!$E$5*C9,1)</f>
        <v>646.2</v>
      </c>
      <c r="E9" s="6" t="n">
        <f aca="false">ROUND(B9/D9,2)</f>
        <v>0.24</v>
      </c>
      <c r="F9" s="6" t="n">
        <f aca="false">ROUND(F8+E9,2)</f>
        <v>1.45</v>
      </c>
    </row>
    <row r="10" customFormat="false" ht="15" hidden="false" customHeight="true" outlineLevel="0" collapsed="false">
      <c r="A10" s="6" t="n">
        <v>8</v>
      </c>
      <c r="B10" s="6" t="n">
        <f aca="false">ROUND(Veterancy_XP!$B$5*(A10+1)^Veterancy_XP!$B$6,0)</f>
        <v>159</v>
      </c>
      <c r="C10" s="6" t="n">
        <f aca="false">ROUND(1/(A10+1)^Veterancy_XP!$E$6,4)</f>
        <v>0.6304</v>
      </c>
      <c r="D10" s="6" t="n">
        <f aca="false">ROUND(Veterancy_XP!$E$5*C10,1)</f>
        <v>630.4</v>
      </c>
      <c r="E10" s="6" t="n">
        <f aca="false">ROUND(B10/D10,2)</f>
        <v>0.25</v>
      </c>
      <c r="F10" s="6" t="n">
        <f aca="false">ROUND(F9+E10,2)</f>
        <v>1.7</v>
      </c>
    </row>
    <row r="11" customFormat="false" ht="15" hidden="false" customHeight="true" outlineLevel="0" collapsed="false">
      <c r="A11" s="6" t="n">
        <v>9</v>
      </c>
      <c r="B11" s="6" t="n">
        <f aca="false">ROUND(Veterancy_XP!$B$5*(A11+1)^Veterancy_XP!$B$6,0)</f>
        <v>162</v>
      </c>
      <c r="C11" s="6" t="n">
        <f aca="false">ROUND(1/(A11+1)^Veterancy_XP!$E$6,4)</f>
        <v>0.6166</v>
      </c>
      <c r="D11" s="6" t="n">
        <f aca="false">ROUND(Veterancy_XP!$E$5*C11,1)</f>
        <v>616.6</v>
      </c>
      <c r="E11" s="6" t="n">
        <f aca="false">ROUND(B11/D11,2)</f>
        <v>0.26</v>
      </c>
      <c r="F11" s="6" t="n">
        <f aca="false">ROUND(F10+E11,2)</f>
        <v>1.96</v>
      </c>
    </row>
    <row r="12" customFormat="false" ht="15" hidden="false" customHeight="true" outlineLevel="0" collapsed="false">
      <c r="A12" s="6" t="n">
        <v>10</v>
      </c>
      <c r="B12" s="6" t="n">
        <f aca="false">ROUND(Veterancy_XP!$B$5*(A12+1)^Veterancy_XP!$B$6,0)</f>
        <v>165</v>
      </c>
      <c r="C12" s="6" t="n">
        <f aca="false">ROUND(1/(A12+1)^Veterancy_XP!$E$6,4)</f>
        <v>0.6044</v>
      </c>
      <c r="D12" s="6" t="n">
        <f aca="false">ROUND(Veterancy_XP!$E$5*C12,1)</f>
        <v>604.4</v>
      </c>
      <c r="E12" s="6" t="n">
        <f aca="false">ROUND(B12/D12,2)</f>
        <v>0.27</v>
      </c>
      <c r="F12" s="6" t="n">
        <f aca="false">ROUND(F11+E12,2)</f>
        <v>2.23</v>
      </c>
    </row>
    <row r="13" customFormat="false" ht="15" hidden="false" customHeight="true" outlineLevel="0" collapsed="false">
      <c r="A13" s="6" t="n">
        <v>11</v>
      </c>
      <c r="B13" s="6" t="n">
        <f aca="false">ROUND(Veterancy_XP!$B$5*(A13+1)^Veterancy_XP!$B$6,0)</f>
        <v>169</v>
      </c>
      <c r="C13" s="6" t="n">
        <f aca="false">ROUND(1/(A13+1)^Veterancy_XP!$E$6,4)</f>
        <v>0.5934</v>
      </c>
      <c r="D13" s="6" t="n">
        <f aca="false">ROUND(Veterancy_XP!$E$5*C13,1)</f>
        <v>593.4</v>
      </c>
      <c r="E13" s="6" t="n">
        <f aca="false">ROUND(B13/D13,2)</f>
        <v>0.28</v>
      </c>
      <c r="F13" s="6" t="n">
        <f aca="false">ROUND(F12+E13,2)</f>
        <v>2.51</v>
      </c>
    </row>
    <row r="14" customFormat="false" ht="15" hidden="false" customHeight="true" outlineLevel="0" collapsed="false">
      <c r="A14" s="6" t="n">
        <v>12</v>
      </c>
      <c r="B14" s="6" t="n">
        <f aca="false">ROUND(Veterancy_XP!$B$5*(A14+1)^Veterancy_XP!$B$6,0)</f>
        <v>171</v>
      </c>
      <c r="C14" s="6" t="n">
        <f aca="false">ROUND(1/(A14+1)^Veterancy_XP!$E$6,4)</f>
        <v>0.5835</v>
      </c>
      <c r="D14" s="6" t="n">
        <f aca="false">ROUND(Veterancy_XP!$E$5*C14,1)</f>
        <v>583.5</v>
      </c>
      <c r="E14" s="6" t="n">
        <f aca="false">ROUND(B14/D14,2)</f>
        <v>0.29</v>
      </c>
      <c r="F14" s="6" t="n">
        <f aca="false">ROUND(F13+E14,2)</f>
        <v>2.8</v>
      </c>
    </row>
    <row r="15" customFormat="false" ht="15" hidden="false" customHeight="true" outlineLevel="0" collapsed="false">
      <c r="A15" s="6" t="n">
        <v>13</v>
      </c>
      <c r="B15" s="6" t="n">
        <f aca="false">ROUND(Veterancy_XP!$B$5*(A15+1)^Veterancy_XP!$B$6,0)</f>
        <v>174</v>
      </c>
      <c r="C15" s="6" t="n">
        <f aca="false">ROUND(1/(A15+1)^Veterancy_XP!$E$6,4)</f>
        <v>0.5745</v>
      </c>
      <c r="D15" s="6" t="n">
        <f aca="false">ROUND(Veterancy_XP!$E$5*C15,1)</f>
        <v>574.5</v>
      </c>
      <c r="E15" s="6" t="n">
        <f aca="false">ROUND(B15/D15,2)</f>
        <v>0.3</v>
      </c>
      <c r="F15" s="6" t="n">
        <f aca="false">ROUND(F14+E15,2)</f>
        <v>3.1</v>
      </c>
    </row>
    <row r="16" customFormat="false" ht="15" hidden="false" customHeight="true" outlineLevel="0" collapsed="false">
      <c r="A16" s="6" t="n">
        <v>14</v>
      </c>
      <c r="B16" s="6" t="n">
        <f aca="false">ROUND(Veterancy_XP!$B$5*(A16+1)^Veterancy_XP!$B$6,0)</f>
        <v>177</v>
      </c>
      <c r="C16" s="6" t="n">
        <f aca="false">ROUND(1/(A16+1)^Veterancy_XP!$E$6,4)</f>
        <v>0.5663</v>
      </c>
      <c r="D16" s="6" t="n">
        <f aca="false">ROUND(Veterancy_XP!$E$5*C16,1)</f>
        <v>566.3</v>
      </c>
      <c r="E16" s="6" t="n">
        <f aca="false">ROUND(B16/D16,2)</f>
        <v>0.31</v>
      </c>
      <c r="F16" s="6" t="n">
        <f aca="false">ROUND(F15+E16,2)</f>
        <v>3.41</v>
      </c>
    </row>
    <row r="17" customFormat="false" ht="15" hidden="false" customHeight="true" outlineLevel="0" collapsed="false">
      <c r="A17" s="6" t="n">
        <v>15</v>
      </c>
      <c r="B17" s="6" t="n">
        <f aca="false">ROUND(Veterancy_XP!$B$5*(A17+1)^Veterancy_XP!$B$6,0)</f>
        <v>179</v>
      </c>
      <c r="C17" s="6" t="n">
        <f aca="false">ROUND(1/(A17+1)^Veterancy_XP!$E$6,4)</f>
        <v>0.5586</v>
      </c>
      <c r="D17" s="6" t="n">
        <f aca="false">ROUND(Veterancy_XP!$E$5*C17,1)</f>
        <v>558.6</v>
      </c>
      <c r="E17" s="6" t="n">
        <f aca="false">ROUND(B17/D17,2)</f>
        <v>0.32</v>
      </c>
      <c r="F17" s="6" t="n">
        <f aca="false">ROUND(F16+E17,2)</f>
        <v>3.73</v>
      </c>
    </row>
    <row r="18" customFormat="false" ht="15" hidden="false" customHeight="true" outlineLevel="0" collapsed="false">
      <c r="A18" s="6" t="n">
        <v>16</v>
      </c>
      <c r="B18" s="6" t="n">
        <f aca="false">ROUND(Veterancy_XP!$B$5*(A18+1)^Veterancy_XP!$B$6,0)</f>
        <v>181</v>
      </c>
      <c r="C18" s="6" t="n">
        <f aca="false">ROUND(1/(A18+1)^Veterancy_XP!$E$6,4)</f>
        <v>0.5516</v>
      </c>
      <c r="D18" s="6" t="n">
        <f aca="false">ROUND(Veterancy_XP!$E$5*C18,1)</f>
        <v>551.6</v>
      </c>
      <c r="E18" s="6" t="n">
        <f aca="false">ROUND(B18/D18,2)</f>
        <v>0.33</v>
      </c>
      <c r="F18" s="6" t="n">
        <f aca="false">ROUND(F17+E18,2)</f>
        <v>4.06</v>
      </c>
    </row>
    <row r="19" customFormat="false" ht="15" hidden="false" customHeight="true" outlineLevel="0" collapsed="false">
      <c r="A19" s="6" t="n">
        <v>17</v>
      </c>
      <c r="B19" s="6" t="n">
        <f aca="false">ROUND(Veterancy_XP!$B$5*(A19+1)^Veterancy_XP!$B$6,0)</f>
        <v>183</v>
      </c>
      <c r="C19" s="6" t="n">
        <f aca="false">ROUND(1/(A19+1)^Veterancy_XP!$E$6,4)</f>
        <v>0.545</v>
      </c>
      <c r="D19" s="6" t="n">
        <f aca="false">ROUND(Veterancy_XP!$E$5*C19,1)</f>
        <v>545</v>
      </c>
      <c r="E19" s="6" t="n">
        <f aca="false">ROUND(B19/D19,2)</f>
        <v>0.34</v>
      </c>
      <c r="F19" s="6" t="n">
        <f aca="false">ROUND(F18+E19,2)</f>
        <v>4.4</v>
      </c>
    </row>
    <row r="20" customFormat="false" ht="15" hidden="false" customHeight="true" outlineLevel="0" collapsed="false">
      <c r="A20" s="6" t="n">
        <v>18</v>
      </c>
      <c r="B20" s="6" t="n">
        <f aca="false">ROUND(Veterancy_XP!$B$5*(A20+1)^Veterancy_XP!$B$6,0)</f>
        <v>186</v>
      </c>
      <c r="C20" s="6" t="n">
        <f aca="false">ROUND(1/(A20+1)^Veterancy_XP!$E$6,4)</f>
        <v>0.5388</v>
      </c>
      <c r="D20" s="6" t="n">
        <f aca="false">ROUND(Veterancy_XP!$E$5*C20,1)</f>
        <v>538.8</v>
      </c>
      <c r="E20" s="6" t="n">
        <f aca="false">ROUND(B20/D20,2)</f>
        <v>0.35</v>
      </c>
      <c r="F20" s="6" t="n">
        <f aca="false">ROUND(F19+E20,2)</f>
        <v>4.75</v>
      </c>
    </row>
    <row r="21" customFormat="false" ht="15" hidden="false" customHeight="true" outlineLevel="0" collapsed="false">
      <c r="A21" s="6" t="n">
        <v>19</v>
      </c>
      <c r="B21" s="6" t="n">
        <f aca="false">ROUND(Veterancy_XP!$B$5*(A21+1)^Veterancy_XP!$B$6,0)</f>
        <v>188</v>
      </c>
      <c r="C21" s="6" t="n">
        <f aca="false">ROUND(1/(A21+1)^Veterancy_XP!$E$6,4)</f>
        <v>0.5331</v>
      </c>
      <c r="D21" s="6" t="n">
        <f aca="false">ROUND(Veterancy_XP!$E$5*C21,1)</f>
        <v>533.1</v>
      </c>
      <c r="E21" s="6" t="n">
        <f aca="false">ROUND(B21/D21,2)</f>
        <v>0.35</v>
      </c>
      <c r="F21" s="6" t="n">
        <f aca="false">ROUND(F20+E21,2)</f>
        <v>5.1</v>
      </c>
    </row>
    <row r="22" customFormat="false" ht="15" hidden="false" customHeight="true" outlineLevel="0" collapsed="false">
      <c r="A22" s="6" t="n">
        <v>20</v>
      </c>
      <c r="B22" s="6" t="n">
        <f aca="false">ROUND(Veterancy_XP!$B$5*(A22+1)^Veterancy_XP!$B$6,0)</f>
        <v>190</v>
      </c>
      <c r="C22" s="6" t="n">
        <f aca="false">ROUND(1/(A22+1)^Veterancy_XP!$E$6,4)</f>
        <v>0.5276</v>
      </c>
      <c r="D22" s="6" t="n">
        <f aca="false">ROUND(Veterancy_XP!$E$5*C22,1)</f>
        <v>527.6</v>
      </c>
      <c r="E22" s="6" t="n">
        <f aca="false">ROUND(B22/D22,2)</f>
        <v>0.36</v>
      </c>
      <c r="F22" s="6" t="n">
        <f aca="false">ROUND(F21+E22,2)</f>
        <v>5.46</v>
      </c>
    </row>
    <row r="23" customFormat="false" ht="15" hidden="false" customHeight="true" outlineLevel="0" collapsed="false">
      <c r="A23" s="6" t="n">
        <v>21</v>
      </c>
      <c r="B23" s="6" t="n">
        <f aca="false">ROUND(Veterancy_XP!$B$5*(A23+1)^Veterancy_XP!$B$6,0)</f>
        <v>191</v>
      </c>
      <c r="C23" s="6" t="n">
        <f aca="false">ROUND(1/(A23+1)^Veterancy_XP!$E$6,4)</f>
        <v>0.5225</v>
      </c>
      <c r="D23" s="6" t="n">
        <f aca="false">ROUND(Veterancy_XP!$E$5*C23,1)</f>
        <v>522.5</v>
      </c>
      <c r="E23" s="6" t="n">
        <f aca="false">ROUND(B23/D23,2)</f>
        <v>0.37</v>
      </c>
      <c r="F23" s="6" t="n">
        <f aca="false">ROUND(F22+E23,2)</f>
        <v>5.83</v>
      </c>
    </row>
    <row r="24" customFormat="false" ht="15" hidden="false" customHeight="true" outlineLevel="0" collapsed="false">
      <c r="A24" s="6" t="n">
        <v>22</v>
      </c>
      <c r="B24" s="6" t="n">
        <f aca="false">ROUND(Veterancy_XP!$B$5*(A24+1)^Veterancy_XP!$B$6,0)</f>
        <v>193</v>
      </c>
      <c r="C24" s="6" t="n">
        <f aca="false">ROUND(1/(A24+1)^Veterancy_XP!$E$6,4)</f>
        <v>0.5177</v>
      </c>
      <c r="D24" s="6" t="n">
        <f aca="false">ROUND(Veterancy_XP!$E$5*C24,1)</f>
        <v>517.7</v>
      </c>
      <c r="E24" s="6" t="n">
        <f aca="false">ROUND(B24/D24,2)</f>
        <v>0.37</v>
      </c>
      <c r="F24" s="6" t="n">
        <f aca="false">ROUND(F23+E24,2)</f>
        <v>6.2</v>
      </c>
    </row>
    <row r="25" customFormat="false" ht="15" hidden="false" customHeight="true" outlineLevel="0" collapsed="false">
      <c r="A25" s="6" t="n">
        <v>23</v>
      </c>
      <c r="B25" s="6" t="n">
        <f aca="false">ROUND(Veterancy_XP!$B$5*(A25+1)^Veterancy_XP!$B$6,0)</f>
        <v>195</v>
      </c>
      <c r="C25" s="6" t="n">
        <f aca="false">ROUND(1/(A25+1)^Veterancy_XP!$E$6,4)</f>
        <v>0.513</v>
      </c>
      <c r="D25" s="6" t="n">
        <f aca="false">ROUND(Veterancy_XP!$E$5*C25,1)</f>
        <v>513</v>
      </c>
      <c r="E25" s="6" t="n">
        <f aca="false">ROUND(B25/D25,2)</f>
        <v>0.38</v>
      </c>
      <c r="F25" s="6" t="n">
        <f aca="false">ROUND(F24+E25,2)</f>
        <v>6.58</v>
      </c>
    </row>
    <row r="26" customFormat="false" ht="15" hidden="false" customHeight="true" outlineLevel="0" collapsed="false">
      <c r="A26" s="6" t="n">
        <v>24</v>
      </c>
      <c r="B26" s="6" t="n">
        <f aca="false">ROUND(Veterancy_XP!$B$5*(A26+1)^Veterancy_XP!$B$6,0)</f>
        <v>197</v>
      </c>
      <c r="C26" s="6" t="n">
        <f aca="false">ROUND(1/(A26+1)^Veterancy_XP!$E$6,4)</f>
        <v>0.5087</v>
      </c>
      <c r="D26" s="6" t="n">
        <f aca="false">ROUND(Veterancy_XP!$E$5*C26,1)</f>
        <v>508.7</v>
      </c>
      <c r="E26" s="6" t="n">
        <f aca="false">ROUND(B26/D26,2)</f>
        <v>0.39</v>
      </c>
      <c r="F26" s="6" t="n">
        <f aca="false">ROUND(F25+E26,2)</f>
        <v>6.97</v>
      </c>
    </row>
    <row r="27" customFormat="false" ht="15" hidden="false" customHeight="true" outlineLevel="0" collapsed="false">
      <c r="A27" s="6" t="n">
        <v>25</v>
      </c>
      <c r="B27" s="6" t="n">
        <f aca="false">ROUND(Veterancy_XP!$B$5*(A27+1)^Veterancy_XP!$B$6,0)</f>
        <v>198</v>
      </c>
      <c r="C27" s="6" t="n">
        <f aca="false">ROUND(1/(A27+1)^Veterancy_XP!$E$6,4)</f>
        <v>0.5045</v>
      </c>
      <c r="D27" s="6" t="n">
        <f aca="false">ROUND(Veterancy_XP!$E$5*C27,1)</f>
        <v>504.5</v>
      </c>
      <c r="E27" s="6" t="n">
        <f aca="false">ROUND(B27/D27,2)</f>
        <v>0.39</v>
      </c>
      <c r="F27" s="6" t="n">
        <f aca="false">ROUND(F26+E27,2)</f>
        <v>7.36</v>
      </c>
    </row>
    <row r="28" customFormat="false" ht="15" hidden="false" customHeight="true" outlineLevel="0" collapsed="false">
      <c r="A28" s="6" t="n">
        <v>26</v>
      </c>
      <c r="B28" s="6" t="n">
        <f aca="false">ROUND(Veterancy_XP!$B$5*(A28+1)^Veterancy_XP!$B$6,0)</f>
        <v>200</v>
      </c>
      <c r="C28" s="6" t="n">
        <f aca="false">ROUND(1/(A28+1)^Veterancy_XP!$E$6,4)</f>
        <v>0.5005</v>
      </c>
      <c r="D28" s="6" t="n">
        <f aca="false">ROUND(Veterancy_XP!$E$5*C28,1)</f>
        <v>500.5</v>
      </c>
      <c r="E28" s="6" t="n">
        <f aca="false">ROUND(B28/D28,2)</f>
        <v>0.4</v>
      </c>
      <c r="F28" s="6" t="n">
        <f aca="false">ROUND(F27+E28,2)</f>
        <v>7.76</v>
      </c>
    </row>
    <row r="29" customFormat="false" ht="15" hidden="false" customHeight="true" outlineLevel="0" collapsed="false">
      <c r="A29" s="6" t="n">
        <v>27</v>
      </c>
      <c r="B29" s="6" t="n">
        <f aca="false">ROUND(Veterancy_XP!$B$5*(A29+1)^Veterancy_XP!$B$6,0)</f>
        <v>201</v>
      </c>
      <c r="C29" s="6" t="n">
        <f aca="false">ROUND(1/(A29+1)^Veterancy_XP!$E$6,4)</f>
        <v>0.4967</v>
      </c>
      <c r="D29" s="6" t="n">
        <f aca="false">ROUND(Veterancy_XP!$E$5*C29,1)</f>
        <v>496.7</v>
      </c>
      <c r="E29" s="6" t="n">
        <f aca="false">ROUND(B29/D29,2)</f>
        <v>0.4</v>
      </c>
      <c r="F29" s="6" t="n">
        <f aca="false">ROUND(F28+E29,2)</f>
        <v>8.16</v>
      </c>
    </row>
    <row r="30" customFormat="false" ht="15" hidden="false" customHeight="true" outlineLevel="0" collapsed="false">
      <c r="A30" s="6" t="n">
        <v>28</v>
      </c>
      <c r="B30" s="6" t="n">
        <f aca="false">ROUND(Veterancy_XP!$B$5*(A30+1)^Veterancy_XP!$B$6,0)</f>
        <v>203</v>
      </c>
      <c r="C30" s="6" t="n">
        <f aca="false">ROUND(1/(A30+1)^Veterancy_XP!$E$6,4)</f>
        <v>0.4931</v>
      </c>
      <c r="D30" s="6" t="n">
        <f aca="false">ROUND(Veterancy_XP!$E$5*C30,1)</f>
        <v>493.1</v>
      </c>
      <c r="E30" s="6" t="n">
        <f aca="false">ROUND(B30/D30,2)</f>
        <v>0.41</v>
      </c>
      <c r="F30" s="6" t="n">
        <f aca="false">ROUND(F29+E30,2)</f>
        <v>8.57</v>
      </c>
    </row>
    <row r="31" customFormat="false" ht="15" hidden="false" customHeight="true" outlineLevel="0" collapsed="false">
      <c r="A31" s="6" t="n">
        <v>29</v>
      </c>
      <c r="B31" s="6" t="n">
        <f aca="false">ROUND(Veterancy_XP!$B$5*(A31+1)^Veterancy_XP!$B$6,0)</f>
        <v>204</v>
      </c>
      <c r="C31" s="6" t="n">
        <f aca="false">ROUND(1/(A31+1)^Veterancy_XP!$E$6,4)</f>
        <v>0.4896</v>
      </c>
      <c r="D31" s="6" t="n">
        <f aca="false">ROUND(Veterancy_XP!$E$5*C31,1)</f>
        <v>489.6</v>
      </c>
      <c r="E31" s="6" t="n">
        <f aca="false">ROUND(B31/D31,2)</f>
        <v>0.42</v>
      </c>
      <c r="F31" s="6" t="n">
        <f aca="false">ROUND(F30+E31,2)</f>
        <v>8.99</v>
      </c>
    </row>
    <row r="32" customFormat="false" ht="15" hidden="false" customHeight="true" outlineLevel="0" collapsed="false">
      <c r="A32" s="6" t="n">
        <v>30</v>
      </c>
      <c r="B32" s="6" t="n">
        <f aca="false">ROUND(Veterancy_XP!$B$5*(A32+1)^Veterancy_XP!$B$6,0)</f>
        <v>206</v>
      </c>
      <c r="C32" s="6" t="n">
        <f aca="false">ROUND(1/(A32+1)^Veterancy_XP!$E$6,4)</f>
        <v>0.4862</v>
      </c>
      <c r="D32" s="6" t="n">
        <f aca="false">ROUND(Veterancy_XP!$E$5*C32,1)</f>
        <v>486.2</v>
      </c>
      <c r="E32" s="6" t="n">
        <f aca="false">ROUND(B32/D32,2)</f>
        <v>0.42</v>
      </c>
      <c r="F32" s="6" t="n">
        <f aca="false">ROUND(F31+E32,2)</f>
        <v>9.41</v>
      </c>
    </row>
    <row r="33" customFormat="false" ht="15" hidden="false" customHeight="true" outlineLevel="0" collapsed="false">
      <c r="A33" s="6" t="n">
        <v>31</v>
      </c>
      <c r="B33" s="6" t="n">
        <f aca="false">ROUND(Veterancy_XP!$B$5*(A33+1)^Veterancy_XP!$B$6,0)</f>
        <v>207</v>
      </c>
      <c r="C33" s="6" t="n">
        <f aca="false">ROUND(1/(A33+1)^Veterancy_XP!$E$6,4)</f>
        <v>0.483</v>
      </c>
      <c r="D33" s="6" t="n">
        <f aca="false">ROUND(Veterancy_XP!$E$5*C33,1)</f>
        <v>483</v>
      </c>
      <c r="E33" s="6" t="n">
        <f aca="false">ROUND(B33/D33,2)</f>
        <v>0.43</v>
      </c>
      <c r="F33" s="6" t="n">
        <f aca="false">ROUND(F32+E33,2)</f>
        <v>9.84</v>
      </c>
    </row>
    <row r="34" customFormat="false" ht="15" hidden="false" customHeight="true" outlineLevel="0" collapsed="false">
      <c r="A34" s="6" t="n">
        <v>32</v>
      </c>
      <c r="B34" s="6" t="n">
        <f aca="false">ROUND(Veterancy_XP!$B$5*(A34+1)^Veterancy_XP!$B$6,0)</f>
        <v>208</v>
      </c>
      <c r="C34" s="6" t="n">
        <f aca="false">ROUND(1/(A34+1)^Veterancy_XP!$E$6,4)</f>
        <v>0.4799</v>
      </c>
      <c r="D34" s="6" t="n">
        <f aca="false">ROUND(Veterancy_XP!$E$5*C34,1)</f>
        <v>479.9</v>
      </c>
      <c r="E34" s="6" t="n">
        <f aca="false">ROUND(B34/D34,2)</f>
        <v>0.43</v>
      </c>
      <c r="F34" s="6" t="n">
        <f aca="false">ROUND(F33+E34,2)</f>
        <v>10.27</v>
      </c>
    </row>
    <row r="35" customFormat="false" ht="15" hidden="false" customHeight="true" outlineLevel="0" collapsed="false">
      <c r="A35" s="6" t="n">
        <v>33</v>
      </c>
      <c r="B35" s="6" t="n">
        <f aca="false">ROUND(Veterancy_XP!$B$5*(A35+1)^Veterancy_XP!$B$6,0)</f>
        <v>210</v>
      </c>
      <c r="C35" s="6" t="n">
        <f aca="false">ROUND(1/(A35+1)^Veterancy_XP!$E$6,4)</f>
        <v>0.4769</v>
      </c>
      <c r="D35" s="6" t="n">
        <f aca="false">ROUND(Veterancy_XP!$E$5*C35,1)</f>
        <v>476.9</v>
      </c>
      <c r="E35" s="6" t="n">
        <f aca="false">ROUND(B35/D35,2)</f>
        <v>0.44</v>
      </c>
      <c r="F35" s="6" t="n">
        <f aca="false">ROUND(F34+E35,2)</f>
        <v>10.71</v>
      </c>
    </row>
    <row r="36" customFormat="false" ht="15" hidden="false" customHeight="true" outlineLevel="0" collapsed="false">
      <c r="A36" s="6" t="n">
        <v>34</v>
      </c>
      <c r="B36" s="6" t="n">
        <f aca="false">ROUND(Veterancy_XP!$B$5*(A36+1)^Veterancy_XP!$B$6,0)</f>
        <v>211</v>
      </c>
      <c r="C36" s="6" t="n">
        <f aca="false">ROUND(1/(A36+1)^Veterancy_XP!$E$6,4)</f>
        <v>0.474</v>
      </c>
      <c r="D36" s="6" t="n">
        <f aca="false">ROUND(Veterancy_XP!$E$5*C36,1)</f>
        <v>474</v>
      </c>
      <c r="E36" s="6" t="n">
        <f aca="false">ROUND(B36/D36,2)</f>
        <v>0.45</v>
      </c>
      <c r="F36" s="6" t="n">
        <f aca="false">ROUND(F35+E36,2)</f>
        <v>11.16</v>
      </c>
    </row>
    <row r="37" customFormat="false" ht="15" hidden="false" customHeight="true" outlineLevel="0" collapsed="false">
      <c r="A37" s="6" t="n">
        <v>35</v>
      </c>
      <c r="B37" s="6" t="n">
        <f aca="false">ROUND(Veterancy_XP!$B$5*(A37+1)^Veterancy_XP!$B$6,0)</f>
        <v>212</v>
      </c>
      <c r="C37" s="6" t="n">
        <f aca="false">ROUND(1/(A37+1)^Veterancy_XP!$E$6,4)</f>
        <v>0.4712</v>
      </c>
      <c r="D37" s="6" t="n">
        <f aca="false">ROUND(Veterancy_XP!$E$5*C37,1)</f>
        <v>471.2</v>
      </c>
      <c r="E37" s="6" t="n">
        <f aca="false">ROUND(B37/D37,2)</f>
        <v>0.45</v>
      </c>
      <c r="F37" s="6" t="n">
        <f aca="false">ROUND(F36+E37,2)</f>
        <v>11.61</v>
      </c>
    </row>
    <row r="38" customFormat="false" ht="15" hidden="false" customHeight="true" outlineLevel="0" collapsed="false">
      <c r="A38" s="6" t="n">
        <v>36</v>
      </c>
      <c r="B38" s="6" t="n">
        <f aca="false">ROUND(Veterancy_XP!$B$5*(A38+1)^Veterancy_XP!$B$6,0)</f>
        <v>213</v>
      </c>
      <c r="C38" s="6" t="n">
        <f aca="false">ROUND(1/(A38+1)^Veterancy_XP!$E$6,4)</f>
        <v>0.4685</v>
      </c>
      <c r="D38" s="6" t="n">
        <f aca="false">ROUND(Veterancy_XP!$E$5*C38,1)</f>
        <v>468.5</v>
      </c>
      <c r="E38" s="6" t="n">
        <f aca="false">ROUND(B38/D38,2)</f>
        <v>0.45</v>
      </c>
      <c r="F38" s="6" t="n">
        <f aca="false">ROUND(F37+E38,2)</f>
        <v>12.06</v>
      </c>
    </row>
    <row r="39" customFormat="false" ht="15" hidden="false" customHeight="true" outlineLevel="0" collapsed="false">
      <c r="A39" s="6" t="n">
        <v>37</v>
      </c>
      <c r="B39" s="6" t="n">
        <f aca="false">ROUND(Veterancy_XP!$B$5*(A39+1)^Veterancy_XP!$B$6,0)</f>
        <v>215</v>
      </c>
      <c r="C39" s="6" t="n">
        <f aca="false">ROUND(1/(A39+1)^Veterancy_XP!$E$6,4)</f>
        <v>0.4658</v>
      </c>
      <c r="D39" s="6" t="n">
        <f aca="false">ROUND(Veterancy_XP!$E$5*C39,1)</f>
        <v>465.8</v>
      </c>
      <c r="E39" s="6" t="n">
        <f aca="false">ROUND(B39/D39,2)</f>
        <v>0.46</v>
      </c>
      <c r="F39" s="6" t="n">
        <f aca="false">ROUND(F38+E39,2)</f>
        <v>12.52</v>
      </c>
    </row>
    <row r="40" customFormat="false" ht="15" hidden="false" customHeight="true" outlineLevel="0" collapsed="false">
      <c r="A40" s="6" t="n">
        <v>38</v>
      </c>
      <c r="B40" s="6" t="n">
        <f aca="false">ROUND(Veterancy_XP!$B$5*(A40+1)^Veterancy_XP!$B$6,0)</f>
        <v>216</v>
      </c>
      <c r="C40" s="6" t="n">
        <f aca="false">ROUND(1/(A40+1)^Veterancy_XP!$E$6,4)</f>
        <v>0.4633</v>
      </c>
      <c r="D40" s="6" t="n">
        <f aca="false">ROUND(Veterancy_XP!$E$5*C40,1)</f>
        <v>463.3</v>
      </c>
      <c r="E40" s="6" t="n">
        <f aca="false">ROUND(B40/D40,2)</f>
        <v>0.47</v>
      </c>
      <c r="F40" s="6" t="n">
        <f aca="false">ROUND(F39+E40,2)</f>
        <v>12.99</v>
      </c>
    </row>
    <row r="41" customFormat="false" ht="15" hidden="false" customHeight="true" outlineLevel="0" collapsed="false">
      <c r="A41" s="6" t="n">
        <v>39</v>
      </c>
      <c r="B41" s="6" t="n">
        <f aca="false">ROUND(Veterancy_XP!$B$5*(A41+1)^Veterancy_XP!$B$6,0)</f>
        <v>217</v>
      </c>
      <c r="C41" s="6" t="n">
        <f aca="false">ROUND(1/(A41+1)^Veterancy_XP!$E$6,4)</f>
        <v>0.4609</v>
      </c>
      <c r="D41" s="6" t="n">
        <f aca="false">ROUND(Veterancy_XP!$E$5*C41,1)</f>
        <v>460.9</v>
      </c>
      <c r="E41" s="6" t="n">
        <f aca="false">ROUND(B41/D41,2)</f>
        <v>0.47</v>
      </c>
      <c r="F41" s="6" t="n">
        <f aca="false">ROUND(F40+E41,2)</f>
        <v>13.46</v>
      </c>
    </row>
    <row r="42" customFormat="false" ht="15" hidden="false" customHeight="true" outlineLevel="0" collapsed="false">
      <c r="A42" s="6" t="n">
        <v>40</v>
      </c>
      <c r="B42" s="6" t="n">
        <f aca="false">ROUND(Veterancy_XP!$B$5*(A42+1)^Veterancy_XP!$B$6,0)</f>
        <v>218</v>
      </c>
      <c r="C42" s="6" t="n">
        <f aca="false">ROUND(1/(A42+1)^Veterancy_XP!$E$6,4)</f>
        <v>0.4585</v>
      </c>
      <c r="D42" s="6" t="n">
        <f aca="false">ROUND(Veterancy_XP!$E$5*C42,1)</f>
        <v>458.5</v>
      </c>
      <c r="E42" s="6" t="n">
        <f aca="false">ROUND(B42/D42,2)</f>
        <v>0.48</v>
      </c>
      <c r="F42" s="6" t="n">
        <f aca="false">ROUND(F41+E42,2)</f>
        <v>13.94</v>
      </c>
    </row>
    <row r="43" customFormat="false" ht="15" hidden="false" customHeight="true" outlineLevel="0" collapsed="false">
      <c r="A43" s="6" t="n">
        <v>41</v>
      </c>
      <c r="B43" s="6" t="n">
        <f aca="false">ROUND(Veterancy_XP!$B$5*(A43+1)^Veterancy_XP!$B$6,0)</f>
        <v>219</v>
      </c>
      <c r="C43" s="6" t="n">
        <f aca="false">ROUND(1/(A43+1)^Veterancy_XP!$E$6,4)</f>
        <v>0.4562</v>
      </c>
      <c r="D43" s="6" t="n">
        <f aca="false">ROUND(Veterancy_XP!$E$5*C43,1)</f>
        <v>456.2</v>
      </c>
      <c r="E43" s="6" t="n">
        <f aca="false">ROUND(B43/D43,2)</f>
        <v>0.48</v>
      </c>
      <c r="F43" s="6" t="n">
        <f aca="false">ROUND(F42+E43,2)</f>
        <v>14.42</v>
      </c>
    </row>
    <row r="44" customFormat="false" ht="15" hidden="false" customHeight="true" outlineLevel="0" collapsed="false">
      <c r="A44" s="6" t="n">
        <v>42</v>
      </c>
      <c r="B44" s="6" t="n">
        <f aca="false">ROUND(Veterancy_XP!$B$5*(A44+1)^Veterancy_XP!$B$6,0)</f>
        <v>220</v>
      </c>
      <c r="C44" s="6" t="n">
        <f aca="false">ROUND(1/(A44+1)^Veterancy_XP!$E$6,4)</f>
        <v>0.4539</v>
      </c>
      <c r="D44" s="6" t="n">
        <f aca="false">ROUND(Veterancy_XP!$E$5*C44,1)</f>
        <v>453.9</v>
      </c>
      <c r="E44" s="6" t="n">
        <f aca="false">ROUND(B44/D44,2)</f>
        <v>0.48</v>
      </c>
      <c r="F44" s="6" t="n">
        <f aca="false">ROUND(F43+E44,2)</f>
        <v>14.9</v>
      </c>
    </row>
    <row r="45" customFormat="false" ht="15" hidden="false" customHeight="true" outlineLevel="0" collapsed="false">
      <c r="A45" s="6" t="n">
        <v>43</v>
      </c>
      <c r="B45" s="6" t="n">
        <f aca="false">ROUND(Veterancy_XP!$B$5*(A45+1)^Veterancy_XP!$B$6,0)</f>
        <v>221</v>
      </c>
      <c r="C45" s="6" t="n">
        <f aca="false">ROUND(1/(A45+1)^Veterancy_XP!$E$6,4)</f>
        <v>0.4517</v>
      </c>
      <c r="D45" s="6" t="n">
        <f aca="false">ROUND(Veterancy_XP!$E$5*C45,1)</f>
        <v>451.7</v>
      </c>
      <c r="E45" s="6" t="n">
        <f aca="false">ROUND(B45/D45,2)</f>
        <v>0.49</v>
      </c>
      <c r="F45" s="6" t="n">
        <f aca="false">ROUND(F44+E45,2)</f>
        <v>15.39</v>
      </c>
    </row>
    <row r="46" customFormat="false" ht="15" hidden="false" customHeight="true" outlineLevel="0" collapsed="false">
      <c r="A46" s="6" t="n">
        <v>44</v>
      </c>
      <c r="B46" s="6" t="n">
        <f aca="false">ROUND(Veterancy_XP!$B$5*(A46+1)^Veterancy_XP!$B$6,0)</f>
        <v>222</v>
      </c>
      <c r="C46" s="6" t="n">
        <f aca="false">ROUND(1/(A46+1)^Veterancy_XP!$E$6,4)</f>
        <v>0.4496</v>
      </c>
      <c r="D46" s="6" t="n">
        <f aca="false">ROUND(Veterancy_XP!$E$5*C46,1)</f>
        <v>449.6</v>
      </c>
      <c r="E46" s="6" t="n">
        <f aca="false">ROUND(B46/D46,2)</f>
        <v>0.49</v>
      </c>
      <c r="F46" s="6" t="n">
        <f aca="false">ROUND(F45+E46,2)</f>
        <v>15.88</v>
      </c>
    </row>
    <row r="47" customFormat="false" ht="15" hidden="false" customHeight="true" outlineLevel="0" collapsed="false">
      <c r="A47" s="6" t="n">
        <v>45</v>
      </c>
      <c r="B47" s="6" t="n">
        <f aca="false">ROUND(Veterancy_XP!$B$5*(A47+1)^Veterancy_XP!$B$6,0)</f>
        <v>223</v>
      </c>
      <c r="C47" s="6" t="n">
        <f aca="false">ROUND(1/(A47+1)^Veterancy_XP!$E$6,4)</f>
        <v>0.4475</v>
      </c>
      <c r="D47" s="6" t="n">
        <f aca="false">ROUND(Veterancy_XP!$E$5*C47,1)</f>
        <v>447.5</v>
      </c>
      <c r="E47" s="6" t="n">
        <f aca="false">ROUND(B47/D47,2)</f>
        <v>0.5</v>
      </c>
      <c r="F47" s="6" t="n">
        <f aca="false">ROUND(F46+E47,2)</f>
        <v>16.38</v>
      </c>
    </row>
    <row r="48" customFormat="false" ht="15" hidden="false" customHeight="true" outlineLevel="0" collapsed="false">
      <c r="A48" s="6" t="n">
        <v>46</v>
      </c>
      <c r="B48" s="6" t="n">
        <f aca="false">ROUND(Veterancy_XP!$B$5*(A48+1)^Veterancy_XP!$B$6,0)</f>
        <v>224</v>
      </c>
      <c r="C48" s="6" t="n">
        <f aca="false">ROUND(1/(A48+1)^Veterancy_XP!$E$6,4)</f>
        <v>0.4455</v>
      </c>
      <c r="D48" s="6" t="n">
        <f aca="false">ROUND(Veterancy_XP!$E$5*C48,1)</f>
        <v>445.5</v>
      </c>
      <c r="E48" s="6" t="n">
        <f aca="false">ROUND(B48/D48,2)</f>
        <v>0.5</v>
      </c>
      <c r="F48" s="6" t="n">
        <f aca="false">ROUND(F47+E48,2)</f>
        <v>16.88</v>
      </c>
    </row>
    <row r="49" customFormat="false" ht="15" hidden="false" customHeight="true" outlineLevel="0" collapsed="false">
      <c r="A49" s="6" t="n">
        <v>47</v>
      </c>
      <c r="B49" s="6" t="n">
        <f aca="false">ROUND(Veterancy_XP!$B$5*(A49+1)^Veterancy_XP!$B$6,0)</f>
        <v>225</v>
      </c>
      <c r="C49" s="6" t="n">
        <f aca="false">ROUND(1/(A49+1)^Veterancy_XP!$E$6,4)</f>
        <v>0.4435</v>
      </c>
      <c r="D49" s="6" t="n">
        <f aca="false">ROUND(Veterancy_XP!$E$5*C49,1)</f>
        <v>443.5</v>
      </c>
      <c r="E49" s="6" t="n">
        <f aca="false">ROUND(B49/D49,2)</f>
        <v>0.51</v>
      </c>
      <c r="F49" s="6" t="n">
        <f aca="false">ROUND(F48+E49,2)</f>
        <v>17.39</v>
      </c>
    </row>
    <row r="50" customFormat="false" ht="15" hidden="false" customHeight="true" outlineLevel="0" collapsed="false">
      <c r="A50" s="6" t="n">
        <v>48</v>
      </c>
      <c r="B50" s="6" t="n">
        <f aca="false">ROUND(Veterancy_XP!$B$5*(A50+1)^Veterancy_XP!$B$6,0)</f>
        <v>226</v>
      </c>
      <c r="C50" s="6" t="n">
        <f aca="false">ROUND(1/(A50+1)^Veterancy_XP!$E$6,4)</f>
        <v>0.4416</v>
      </c>
      <c r="D50" s="6" t="n">
        <f aca="false">ROUND(Veterancy_XP!$E$5*C50,1)</f>
        <v>441.6</v>
      </c>
      <c r="E50" s="6" t="n">
        <f aca="false">ROUND(B50/D50,2)</f>
        <v>0.51</v>
      </c>
      <c r="F50" s="6" t="n">
        <f aca="false">ROUND(F49+E50,2)</f>
        <v>17.9</v>
      </c>
    </row>
    <row r="51" customFormat="false" ht="15" hidden="false" customHeight="true" outlineLevel="0" collapsed="false">
      <c r="A51" s="6" t="n">
        <v>49</v>
      </c>
      <c r="B51" s="6" t="n">
        <f aca="false">ROUND(Veterancy_XP!$B$5*(A51+1)^Veterancy_XP!$B$6,0)</f>
        <v>227</v>
      </c>
      <c r="C51" s="6" t="n">
        <f aca="false">ROUND(1/(A51+1)^Veterancy_XP!$E$6,4)</f>
        <v>0.4398</v>
      </c>
      <c r="D51" s="6" t="n">
        <f aca="false">ROUND(Veterancy_XP!$E$5*C51,1)</f>
        <v>439.8</v>
      </c>
      <c r="E51" s="6" t="n">
        <f aca="false">ROUND(B51/D51,2)</f>
        <v>0.52</v>
      </c>
      <c r="F51" s="6" t="n">
        <f aca="false">ROUND(F50+E51,2)</f>
        <v>18.42</v>
      </c>
    </row>
    <row r="52" customFormat="false" ht="15" hidden="false" customHeight="true" outlineLevel="0" collapsed="false">
      <c r="A52" s="6" t="n">
        <v>50</v>
      </c>
      <c r="B52" s="6" t="n">
        <f aca="false">ROUND(Veterancy_XP!$B$5*(A52+1)^Veterancy_XP!$B$6,0)</f>
        <v>228</v>
      </c>
      <c r="C52" s="6" t="n">
        <f aca="false">ROUND(1/(A52+1)^Veterancy_XP!$E$6,4)</f>
        <v>0.4379</v>
      </c>
      <c r="D52" s="6" t="n">
        <f aca="false">ROUND(Veterancy_XP!$E$5*C52,1)</f>
        <v>437.9</v>
      </c>
      <c r="E52" s="6" t="n">
        <f aca="false">ROUND(B52/D52,2)</f>
        <v>0.52</v>
      </c>
      <c r="F52" s="6" t="n">
        <f aca="false">ROUND(F51+E52,2)</f>
        <v>18.94</v>
      </c>
    </row>
    <row r="53" customFormat="false" ht="15" hidden="false" customHeight="true" outlineLevel="0" collapsed="false">
      <c r="A53" s="6" t="n">
        <v>51</v>
      </c>
      <c r="B53" s="6" t="n">
        <f aca="false">ROUND(Veterancy_XP!$B$5*(A53+1)^Veterancy_XP!$B$6,0)</f>
        <v>229</v>
      </c>
      <c r="C53" s="6" t="n">
        <f aca="false">ROUND(1/(A53+1)^Veterancy_XP!$E$6,4)</f>
        <v>0.4362</v>
      </c>
      <c r="D53" s="6" t="n">
        <f aca="false">ROUND(Veterancy_XP!$E$5*C53,1)</f>
        <v>436.2</v>
      </c>
      <c r="E53" s="6" t="n">
        <f aca="false">ROUND(B53/D53,2)</f>
        <v>0.52</v>
      </c>
      <c r="F53" s="6" t="n">
        <f aca="false">ROUND(F52+E53,2)</f>
        <v>19.46</v>
      </c>
    </row>
    <row r="54" customFormat="false" ht="15" hidden="false" customHeight="true" outlineLevel="0" collapsed="false">
      <c r="A54" s="6" t="n">
        <v>52</v>
      </c>
      <c r="B54" s="6" t="n">
        <f aca="false">ROUND(Veterancy_XP!$B$5*(A54+1)^Veterancy_XP!$B$6,0)</f>
        <v>230</v>
      </c>
      <c r="C54" s="6" t="n">
        <f aca="false">ROUND(1/(A54+1)^Veterancy_XP!$E$6,4)</f>
        <v>0.4344</v>
      </c>
      <c r="D54" s="6" t="n">
        <f aca="false">ROUND(Veterancy_XP!$E$5*C54,1)</f>
        <v>434.4</v>
      </c>
      <c r="E54" s="6" t="n">
        <f aca="false">ROUND(B54/D54,2)</f>
        <v>0.53</v>
      </c>
      <c r="F54" s="6" t="n">
        <f aca="false">ROUND(F53+E54,2)</f>
        <v>19.99</v>
      </c>
    </row>
    <row r="55" customFormat="false" ht="15" hidden="false" customHeight="true" outlineLevel="0" collapsed="false">
      <c r="A55" s="6" t="n">
        <v>53</v>
      </c>
      <c r="B55" s="6" t="n">
        <f aca="false">ROUND(Veterancy_XP!$B$5*(A55+1)^Veterancy_XP!$B$6,0)</f>
        <v>231</v>
      </c>
      <c r="C55" s="6" t="n">
        <f aca="false">ROUND(1/(A55+1)^Veterancy_XP!$E$6,4)</f>
        <v>0.4327</v>
      </c>
      <c r="D55" s="6" t="n">
        <f aca="false">ROUND(Veterancy_XP!$E$5*C55,1)</f>
        <v>432.7</v>
      </c>
      <c r="E55" s="6" t="n">
        <f aca="false">ROUND(B55/D55,2)</f>
        <v>0.53</v>
      </c>
      <c r="F55" s="6" t="n">
        <f aca="false">ROUND(F54+E55,2)</f>
        <v>20.52</v>
      </c>
    </row>
    <row r="56" customFormat="false" ht="15" hidden="false" customHeight="true" outlineLevel="0" collapsed="false">
      <c r="A56" s="6" t="n">
        <v>54</v>
      </c>
      <c r="B56" s="6" t="n">
        <f aca="false">ROUND(Veterancy_XP!$B$5*(A56+1)^Veterancy_XP!$B$6,0)</f>
        <v>232</v>
      </c>
      <c r="C56" s="6" t="n">
        <f aca="false">ROUND(1/(A56+1)^Veterancy_XP!$E$6,4)</f>
        <v>0.431</v>
      </c>
      <c r="D56" s="6" t="n">
        <f aca="false">ROUND(Veterancy_XP!$E$5*C56,1)</f>
        <v>431</v>
      </c>
      <c r="E56" s="6" t="n">
        <f aca="false">ROUND(B56/D56,2)</f>
        <v>0.54</v>
      </c>
      <c r="F56" s="6" t="n">
        <f aca="false">ROUND(F55+E56,2)</f>
        <v>21.06</v>
      </c>
    </row>
    <row r="57" customFormat="false" ht="15" hidden="false" customHeight="true" outlineLevel="0" collapsed="false">
      <c r="A57" s="6" t="n">
        <v>55</v>
      </c>
      <c r="B57" s="6" t="n">
        <f aca="false">ROUND(Veterancy_XP!$B$5*(A57+1)^Veterancy_XP!$B$6,0)</f>
        <v>233</v>
      </c>
      <c r="C57" s="6" t="n">
        <f aca="false">ROUND(1/(A57+1)^Veterancy_XP!$E$6,4)</f>
        <v>0.4294</v>
      </c>
      <c r="D57" s="6" t="n">
        <f aca="false">ROUND(Veterancy_XP!$E$5*C57,1)</f>
        <v>429.4</v>
      </c>
      <c r="E57" s="6" t="n">
        <f aca="false">ROUND(B57/D57,2)</f>
        <v>0.54</v>
      </c>
      <c r="F57" s="6" t="n">
        <f aca="false">ROUND(F56+E57,2)</f>
        <v>21.6</v>
      </c>
    </row>
    <row r="58" customFormat="false" ht="15" hidden="false" customHeight="true" outlineLevel="0" collapsed="false">
      <c r="A58" s="6" t="n">
        <v>56</v>
      </c>
      <c r="B58" s="6" t="n">
        <f aca="false">ROUND(Veterancy_XP!$B$5*(A58+1)^Veterancy_XP!$B$6,0)</f>
        <v>234</v>
      </c>
      <c r="C58" s="6" t="n">
        <f aca="false">ROUND(1/(A58+1)^Veterancy_XP!$E$6,4)</f>
        <v>0.4278</v>
      </c>
      <c r="D58" s="6" t="n">
        <f aca="false">ROUND(Veterancy_XP!$E$5*C58,1)</f>
        <v>427.8</v>
      </c>
      <c r="E58" s="6" t="n">
        <f aca="false">ROUND(B58/D58,2)</f>
        <v>0.55</v>
      </c>
      <c r="F58" s="6" t="n">
        <f aca="false">ROUND(F57+E58,2)</f>
        <v>22.15</v>
      </c>
    </row>
    <row r="59" customFormat="false" ht="15" hidden="false" customHeight="true" outlineLevel="0" collapsed="false">
      <c r="A59" s="6" t="n">
        <v>57</v>
      </c>
      <c r="B59" s="6" t="n">
        <f aca="false">ROUND(Veterancy_XP!$B$5*(A59+1)^Veterancy_XP!$B$6,0)</f>
        <v>235</v>
      </c>
      <c r="C59" s="6" t="n">
        <f aca="false">ROUND(1/(A59+1)^Veterancy_XP!$E$6,4)</f>
        <v>0.4263</v>
      </c>
      <c r="D59" s="6" t="n">
        <f aca="false">ROUND(Veterancy_XP!$E$5*C59,1)</f>
        <v>426.3</v>
      </c>
      <c r="E59" s="6" t="n">
        <f aca="false">ROUND(B59/D59,2)</f>
        <v>0.55</v>
      </c>
      <c r="F59" s="6" t="n">
        <f aca="false">ROUND(F58+E59,2)</f>
        <v>22.7</v>
      </c>
    </row>
    <row r="60" customFormat="false" ht="15" hidden="false" customHeight="true" outlineLevel="0" collapsed="false">
      <c r="A60" s="6" t="n">
        <v>58</v>
      </c>
      <c r="B60" s="6" t="n">
        <f aca="false">ROUND(Veterancy_XP!$B$5*(A60+1)^Veterancy_XP!$B$6,0)</f>
        <v>235</v>
      </c>
      <c r="C60" s="6" t="n">
        <f aca="false">ROUND(1/(A60+1)^Veterancy_XP!$E$6,4)</f>
        <v>0.4247</v>
      </c>
      <c r="D60" s="6" t="n">
        <f aca="false">ROUND(Veterancy_XP!$E$5*C60,1)</f>
        <v>424.7</v>
      </c>
      <c r="E60" s="6" t="n">
        <f aca="false">ROUND(B60/D60,2)</f>
        <v>0.55</v>
      </c>
      <c r="F60" s="6" t="n">
        <f aca="false">ROUND(F59+E60,2)</f>
        <v>23.25</v>
      </c>
    </row>
    <row r="61" customFormat="false" ht="15" hidden="false" customHeight="true" outlineLevel="0" collapsed="false">
      <c r="A61" s="6" t="n">
        <v>59</v>
      </c>
      <c r="B61" s="6" t="n">
        <f aca="false">ROUND(Veterancy_XP!$B$5*(A61+1)^Veterancy_XP!$B$6,0)</f>
        <v>236</v>
      </c>
      <c r="C61" s="6" t="n">
        <f aca="false">ROUND(1/(A61+1)^Veterancy_XP!$E$6,4)</f>
        <v>0.4232</v>
      </c>
      <c r="D61" s="6" t="n">
        <f aca="false">ROUND(Veterancy_XP!$E$5*C61,1)</f>
        <v>423.2</v>
      </c>
      <c r="E61" s="6" t="n">
        <f aca="false">ROUND(B61/D61,2)</f>
        <v>0.56</v>
      </c>
      <c r="F61" s="6" t="n">
        <f aca="false">ROUND(F60+E61,2)</f>
        <v>23.81</v>
      </c>
    </row>
    <row r="62" customFormat="false" ht="15" hidden="false" customHeight="true" outlineLevel="0" collapsed="false">
      <c r="A62" s="6" t="n">
        <v>60</v>
      </c>
      <c r="B62" s="6" t="n">
        <f aca="false">ROUND(Veterancy_XP!$B$5*(A62+1)^Veterancy_XP!$B$6,0)</f>
        <v>237</v>
      </c>
      <c r="C62" s="6" t="n">
        <f aca="false">ROUND(1/(A62+1)^Veterancy_XP!$E$6,4)</f>
        <v>0.4218</v>
      </c>
      <c r="D62" s="6" t="n">
        <f aca="false">ROUND(Veterancy_XP!$E$5*C62,1)</f>
        <v>421.8</v>
      </c>
      <c r="E62" s="6" t="n">
        <f aca="false">ROUND(B62/D62,2)</f>
        <v>0.56</v>
      </c>
      <c r="F62" s="6" t="n">
        <f aca="false">ROUND(F61+E62,2)</f>
        <v>24.37</v>
      </c>
    </row>
    <row r="63" customFormat="false" ht="15" hidden="false" customHeight="true" outlineLevel="0" collapsed="false">
      <c r="A63" s="6" t="n">
        <v>61</v>
      </c>
      <c r="B63" s="6" t="n">
        <f aca="false">ROUND(Veterancy_XP!$B$5*(A63+1)^Veterancy_XP!$B$6,0)</f>
        <v>238</v>
      </c>
      <c r="C63" s="6" t="n">
        <f aca="false">ROUND(1/(A63+1)^Veterancy_XP!$E$6,4)</f>
        <v>0.4203</v>
      </c>
      <c r="D63" s="6" t="n">
        <f aca="false">ROUND(Veterancy_XP!$E$5*C63,1)</f>
        <v>420.3</v>
      </c>
      <c r="E63" s="6" t="n">
        <f aca="false">ROUND(B63/D63,2)</f>
        <v>0.57</v>
      </c>
      <c r="F63" s="6" t="n">
        <f aca="false">ROUND(F62+E63,2)</f>
        <v>24.94</v>
      </c>
    </row>
    <row r="64" customFormat="false" ht="15" hidden="false" customHeight="true" outlineLevel="0" collapsed="false">
      <c r="A64" s="6" t="n">
        <v>62</v>
      </c>
      <c r="B64" s="6" t="n">
        <f aca="false">ROUND(Veterancy_XP!$B$5*(A64+1)^Veterancy_XP!$B$6,0)</f>
        <v>239</v>
      </c>
      <c r="C64" s="6" t="n">
        <f aca="false">ROUND(1/(A64+1)^Veterancy_XP!$E$6,4)</f>
        <v>0.4189</v>
      </c>
      <c r="D64" s="6" t="n">
        <f aca="false">ROUND(Veterancy_XP!$E$5*C64,1)</f>
        <v>418.9</v>
      </c>
      <c r="E64" s="6" t="n">
        <f aca="false">ROUND(B64/D64,2)</f>
        <v>0.57</v>
      </c>
      <c r="F64" s="6" t="n">
        <f aca="false">ROUND(F63+E64,2)</f>
        <v>25.51</v>
      </c>
    </row>
    <row r="65" customFormat="false" ht="15" hidden="false" customHeight="true" outlineLevel="0" collapsed="false">
      <c r="A65" s="6" t="n">
        <v>63</v>
      </c>
      <c r="B65" s="6" t="n">
        <f aca="false">ROUND(Veterancy_XP!$B$5*(A65+1)^Veterancy_XP!$B$6,0)</f>
        <v>239</v>
      </c>
      <c r="C65" s="6" t="n">
        <f aca="false">ROUND(1/(A65+1)^Veterancy_XP!$E$6,4)</f>
        <v>0.4175</v>
      </c>
      <c r="D65" s="6" t="n">
        <f aca="false">ROUND(Veterancy_XP!$E$5*C65,1)</f>
        <v>417.5</v>
      </c>
      <c r="E65" s="6" t="n">
        <f aca="false">ROUND(B65/D65,2)</f>
        <v>0.57</v>
      </c>
      <c r="F65" s="6" t="n">
        <f aca="false">ROUND(F64+E65,2)</f>
        <v>26.08</v>
      </c>
    </row>
    <row r="66" customFormat="false" ht="15" hidden="false" customHeight="true" outlineLevel="0" collapsed="false">
      <c r="A66" s="6" t="n">
        <v>64</v>
      </c>
      <c r="B66" s="6" t="n">
        <f aca="false">ROUND(Veterancy_XP!$B$5*(A66+1)^Veterancy_XP!$B$6,0)</f>
        <v>240</v>
      </c>
      <c r="C66" s="6" t="n">
        <f aca="false">ROUND(1/(A66+1)^Veterancy_XP!$E$6,4)</f>
        <v>0.4162</v>
      </c>
      <c r="D66" s="6" t="n">
        <f aca="false">ROUND(Veterancy_XP!$E$5*C66,1)</f>
        <v>416.2</v>
      </c>
      <c r="E66" s="6" t="n">
        <f aca="false">ROUND(B66/D66,2)</f>
        <v>0.58</v>
      </c>
      <c r="F66" s="6" t="n">
        <f aca="false">ROUND(F65+E66,2)</f>
        <v>26.66</v>
      </c>
    </row>
    <row r="67" customFormat="false" ht="15" hidden="false" customHeight="true" outlineLevel="0" collapsed="false">
      <c r="A67" s="6" t="n">
        <v>65</v>
      </c>
      <c r="B67" s="6" t="n">
        <f aca="false">ROUND(Veterancy_XP!$B$5*(A67+1)^Veterancy_XP!$B$6,0)</f>
        <v>241</v>
      </c>
      <c r="C67" s="6" t="n">
        <f aca="false">ROUND(1/(A67+1)^Veterancy_XP!$E$6,4)</f>
        <v>0.4149</v>
      </c>
      <c r="D67" s="6" t="n">
        <f aca="false">ROUND(Veterancy_XP!$E$5*C67,1)</f>
        <v>414.9</v>
      </c>
      <c r="E67" s="6" t="n">
        <f aca="false">ROUND(B67/D67,2)</f>
        <v>0.58</v>
      </c>
      <c r="F67" s="6" t="n">
        <f aca="false">ROUND(F66+E67,2)</f>
        <v>27.24</v>
      </c>
    </row>
    <row r="68" customFormat="false" ht="15" hidden="false" customHeight="true" outlineLevel="0" collapsed="false">
      <c r="A68" s="6" t="n">
        <v>66</v>
      </c>
      <c r="B68" s="6" t="n">
        <f aca="false">ROUND(Veterancy_XP!$B$5*(A68+1)^Veterancy_XP!$B$6,0)</f>
        <v>242</v>
      </c>
      <c r="C68" s="6" t="n">
        <f aca="false">ROUND(1/(A68+1)^Veterancy_XP!$E$6,4)</f>
        <v>0.4135</v>
      </c>
      <c r="D68" s="6" t="n">
        <f aca="false">ROUND(Veterancy_XP!$E$5*C68,1)</f>
        <v>413.5</v>
      </c>
      <c r="E68" s="6" t="n">
        <f aca="false">ROUND(B68/D68,2)</f>
        <v>0.59</v>
      </c>
      <c r="F68" s="6" t="n">
        <f aca="false">ROUND(F67+E68,2)</f>
        <v>27.83</v>
      </c>
    </row>
    <row r="69" customFormat="false" ht="15" hidden="false" customHeight="true" outlineLevel="0" collapsed="false">
      <c r="A69" s="6" t="n">
        <v>67</v>
      </c>
      <c r="B69" s="6" t="n">
        <f aca="false">ROUND(Veterancy_XP!$B$5*(A69+1)^Veterancy_XP!$B$6,0)</f>
        <v>243</v>
      </c>
      <c r="C69" s="6" t="n">
        <f aca="false">ROUND(1/(A69+1)^Veterancy_XP!$E$6,4)</f>
        <v>0.4123</v>
      </c>
      <c r="D69" s="6" t="n">
        <f aca="false">ROUND(Veterancy_XP!$E$5*C69,1)</f>
        <v>412.3</v>
      </c>
      <c r="E69" s="6" t="n">
        <f aca="false">ROUND(B69/D69,2)</f>
        <v>0.59</v>
      </c>
      <c r="F69" s="6" t="n">
        <f aca="false">ROUND(F68+E69,2)</f>
        <v>28.42</v>
      </c>
    </row>
    <row r="70" customFormat="false" ht="15" hidden="false" customHeight="true" outlineLevel="0" collapsed="false">
      <c r="A70" s="6" t="n">
        <v>68</v>
      </c>
      <c r="B70" s="6" t="n">
        <f aca="false">ROUND(Veterancy_XP!$B$5*(A70+1)^Veterancy_XP!$B$6,0)</f>
        <v>243</v>
      </c>
      <c r="C70" s="6" t="n">
        <f aca="false">ROUND(1/(A70+1)^Veterancy_XP!$E$6,4)</f>
        <v>0.411</v>
      </c>
      <c r="D70" s="6" t="n">
        <f aca="false">ROUND(Veterancy_XP!$E$5*C70,1)</f>
        <v>411</v>
      </c>
      <c r="E70" s="6" t="n">
        <f aca="false">ROUND(B70/D70,2)</f>
        <v>0.59</v>
      </c>
      <c r="F70" s="6" t="n">
        <f aca="false">ROUND(F69+E70,2)</f>
        <v>29.01</v>
      </c>
    </row>
    <row r="71" customFormat="false" ht="15" hidden="false" customHeight="true" outlineLevel="0" collapsed="false">
      <c r="A71" s="6" t="n">
        <v>69</v>
      </c>
      <c r="B71" s="6" t="n">
        <f aca="false">ROUND(Veterancy_XP!$B$5*(A71+1)^Veterancy_XP!$B$6,0)</f>
        <v>244</v>
      </c>
      <c r="C71" s="6" t="n">
        <f aca="false">ROUND(1/(A71+1)^Veterancy_XP!$E$6,4)</f>
        <v>0.4098</v>
      </c>
      <c r="D71" s="6" t="n">
        <f aca="false">ROUND(Veterancy_XP!$E$5*C71,1)</f>
        <v>409.8</v>
      </c>
      <c r="E71" s="6" t="n">
        <f aca="false">ROUND(B71/D71,2)</f>
        <v>0.6</v>
      </c>
      <c r="F71" s="6" t="n">
        <f aca="false">ROUND(F70+E71,2)</f>
        <v>29.61</v>
      </c>
    </row>
    <row r="72" customFormat="false" ht="15" hidden="false" customHeight="true" outlineLevel="0" collapsed="false">
      <c r="A72" s="6" t="n">
        <v>70</v>
      </c>
      <c r="B72" s="6" t="n">
        <f aca="false">ROUND(Veterancy_XP!$B$5*(A72+1)^Veterancy_XP!$B$6,0)</f>
        <v>245</v>
      </c>
      <c r="C72" s="6" t="n">
        <f aca="false">ROUND(1/(A72+1)^Veterancy_XP!$E$6,4)</f>
        <v>0.4085</v>
      </c>
      <c r="D72" s="6" t="n">
        <f aca="false">ROUND(Veterancy_XP!$E$5*C72,1)</f>
        <v>408.5</v>
      </c>
      <c r="E72" s="6" t="n">
        <f aca="false">ROUND(B72/D72,2)</f>
        <v>0.6</v>
      </c>
      <c r="F72" s="6" t="n">
        <f aca="false">ROUND(F71+E72,2)</f>
        <v>30.21</v>
      </c>
    </row>
    <row r="73" customFormat="false" ht="15" hidden="false" customHeight="true" outlineLevel="0" collapsed="false">
      <c r="A73" s="6" t="n">
        <v>71</v>
      </c>
      <c r="B73" s="6" t="n">
        <f aca="false">ROUND(Veterancy_XP!$B$5*(A73+1)^Veterancy_XP!$B$6,0)</f>
        <v>245</v>
      </c>
      <c r="C73" s="6" t="n">
        <f aca="false">ROUND(1/(A73+1)^Veterancy_XP!$E$6,4)</f>
        <v>0.4073</v>
      </c>
      <c r="D73" s="6" t="n">
        <f aca="false">ROUND(Veterancy_XP!$E$5*C73,1)</f>
        <v>407.3</v>
      </c>
      <c r="E73" s="6" t="n">
        <f aca="false">ROUND(B73/D73,2)</f>
        <v>0.6</v>
      </c>
      <c r="F73" s="6" t="n">
        <f aca="false">ROUND(F72+E73,2)</f>
        <v>30.81</v>
      </c>
    </row>
    <row r="74" customFormat="false" ht="15" hidden="false" customHeight="true" outlineLevel="0" collapsed="false">
      <c r="A74" s="6" t="n">
        <v>72</v>
      </c>
      <c r="B74" s="6" t="n">
        <f aca="false">ROUND(Veterancy_XP!$B$5*(A74+1)^Veterancy_XP!$B$6,0)</f>
        <v>246</v>
      </c>
      <c r="C74" s="6" t="n">
        <f aca="false">ROUND(1/(A74+1)^Veterancy_XP!$E$6,4)</f>
        <v>0.4062</v>
      </c>
      <c r="D74" s="6" t="n">
        <f aca="false">ROUND(Veterancy_XP!$E$5*C74,1)</f>
        <v>406.2</v>
      </c>
      <c r="E74" s="6" t="n">
        <f aca="false">ROUND(B74/D74,2)</f>
        <v>0.61</v>
      </c>
      <c r="F74" s="6" t="n">
        <f aca="false">ROUND(F73+E74,2)</f>
        <v>31.42</v>
      </c>
    </row>
    <row r="75" customFormat="false" ht="15" hidden="false" customHeight="true" outlineLevel="0" collapsed="false">
      <c r="A75" s="6" t="n">
        <v>73</v>
      </c>
      <c r="B75" s="6" t="n">
        <f aca="false">ROUND(Veterancy_XP!$B$5*(A75+1)^Veterancy_XP!$B$6,0)</f>
        <v>247</v>
      </c>
      <c r="C75" s="6" t="n">
        <f aca="false">ROUND(1/(A75+1)^Veterancy_XP!$E$6,4)</f>
        <v>0.405</v>
      </c>
      <c r="D75" s="6" t="n">
        <f aca="false">ROUND(Veterancy_XP!$E$5*C75,1)</f>
        <v>405</v>
      </c>
      <c r="E75" s="6" t="n">
        <f aca="false">ROUND(B75/D75,2)</f>
        <v>0.61</v>
      </c>
      <c r="F75" s="6" t="n">
        <f aca="false">ROUND(F74+E75,2)</f>
        <v>32.03</v>
      </c>
    </row>
    <row r="76" customFormat="false" ht="15" hidden="false" customHeight="true" outlineLevel="0" collapsed="false">
      <c r="A76" s="6" t="n">
        <v>74</v>
      </c>
      <c r="B76" s="6" t="n">
        <f aca="false">ROUND(Veterancy_XP!$B$5*(A76+1)^Veterancy_XP!$B$6,0)</f>
        <v>248</v>
      </c>
      <c r="C76" s="6" t="n">
        <f aca="false">ROUND(1/(A76+1)^Veterancy_XP!$E$6,4)</f>
        <v>0.4039</v>
      </c>
      <c r="D76" s="6" t="n">
        <f aca="false">ROUND(Veterancy_XP!$E$5*C76,1)</f>
        <v>403.9</v>
      </c>
      <c r="E76" s="6" t="n">
        <f aca="false">ROUND(B76/D76,2)</f>
        <v>0.61</v>
      </c>
      <c r="F76" s="6" t="n">
        <f aca="false">ROUND(F75+E76,2)</f>
        <v>32.64</v>
      </c>
    </row>
    <row r="77" customFormat="false" ht="15" hidden="false" customHeight="true" outlineLevel="0" collapsed="false">
      <c r="A77" s="6" t="n">
        <v>75</v>
      </c>
      <c r="B77" s="6" t="n">
        <f aca="false">ROUND(Veterancy_XP!$B$5*(A77+1)^Veterancy_XP!$B$6,0)</f>
        <v>248</v>
      </c>
      <c r="C77" s="6" t="n">
        <f aca="false">ROUND(1/(A77+1)^Veterancy_XP!$E$6,4)</f>
        <v>0.4027</v>
      </c>
      <c r="D77" s="6" t="n">
        <f aca="false">ROUND(Veterancy_XP!$E$5*C77,1)</f>
        <v>402.7</v>
      </c>
      <c r="E77" s="6" t="n">
        <f aca="false">ROUND(B77/D77,2)</f>
        <v>0.62</v>
      </c>
      <c r="F77" s="6" t="n">
        <f aca="false">ROUND(F76+E77,2)</f>
        <v>33.26</v>
      </c>
    </row>
    <row r="78" customFormat="false" ht="15" hidden="false" customHeight="true" outlineLevel="0" collapsed="false">
      <c r="A78" s="6" t="n">
        <v>76</v>
      </c>
      <c r="B78" s="6" t="n">
        <f aca="false">ROUND(Veterancy_XP!$B$5*(A78+1)^Veterancy_XP!$B$6,0)</f>
        <v>249</v>
      </c>
      <c r="C78" s="6" t="n">
        <f aca="false">ROUND(1/(A78+1)^Veterancy_XP!$E$6,4)</f>
        <v>0.4016</v>
      </c>
      <c r="D78" s="6" t="n">
        <f aca="false">ROUND(Veterancy_XP!$E$5*C78,1)</f>
        <v>401.6</v>
      </c>
      <c r="E78" s="6" t="n">
        <f aca="false">ROUND(B78/D78,2)</f>
        <v>0.62</v>
      </c>
      <c r="F78" s="6" t="n">
        <f aca="false">ROUND(F77+E78,2)</f>
        <v>33.88</v>
      </c>
    </row>
    <row r="79" customFormat="false" ht="15" hidden="false" customHeight="true" outlineLevel="0" collapsed="false">
      <c r="A79" s="6" t="n">
        <v>77</v>
      </c>
      <c r="B79" s="6" t="n">
        <f aca="false">ROUND(Veterancy_XP!$B$5*(A79+1)^Veterancy_XP!$B$6,0)</f>
        <v>250</v>
      </c>
      <c r="C79" s="6" t="n">
        <f aca="false">ROUND(1/(A79+1)^Veterancy_XP!$E$6,4)</f>
        <v>0.4006</v>
      </c>
      <c r="D79" s="6" t="n">
        <f aca="false">ROUND(Veterancy_XP!$E$5*C79,1)</f>
        <v>400.6</v>
      </c>
      <c r="E79" s="6" t="n">
        <f aca="false">ROUND(B79/D79,2)</f>
        <v>0.62</v>
      </c>
      <c r="F79" s="6" t="n">
        <f aca="false">ROUND(F78+E79,2)</f>
        <v>34.5</v>
      </c>
    </row>
    <row r="80" customFormat="false" ht="15" hidden="false" customHeight="true" outlineLevel="0" collapsed="false">
      <c r="A80" s="6" t="n">
        <v>78</v>
      </c>
      <c r="B80" s="6" t="n">
        <f aca="false">ROUND(Veterancy_XP!$B$5*(A80+1)^Veterancy_XP!$B$6,0)</f>
        <v>250</v>
      </c>
      <c r="C80" s="6" t="n">
        <f aca="false">ROUND(1/(A80+1)^Veterancy_XP!$E$6,4)</f>
        <v>0.3995</v>
      </c>
      <c r="D80" s="6" t="n">
        <f aca="false">ROUND(Veterancy_XP!$E$5*C80,1)</f>
        <v>399.5</v>
      </c>
      <c r="E80" s="6" t="n">
        <f aca="false">ROUND(B80/D80,2)</f>
        <v>0.63</v>
      </c>
      <c r="F80" s="6" t="n">
        <f aca="false">ROUND(F79+E80,2)</f>
        <v>35.13</v>
      </c>
    </row>
    <row r="81" customFormat="false" ht="15" hidden="false" customHeight="true" outlineLevel="0" collapsed="false">
      <c r="A81" s="6" t="n">
        <v>79</v>
      </c>
      <c r="B81" s="6" t="n">
        <f aca="false">ROUND(Veterancy_XP!$B$5*(A81+1)^Veterancy_XP!$B$6,0)</f>
        <v>251</v>
      </c>
      <c r="C81" s="6" t="n">
        <f aca="false">ROUND(1/(A81+1)^Veterancy_XP!$E$6,4)</f>
        <v>0.3984</v>
      </c>
      <c r="D81" s="6" t="n">
        <f aca="false">ROUND(Veterancy_XP!$E$5*C81,1)</f>
        <v>398.4</v>
      </c>
      <c r="E81" s="6" t="n">
        <f aca="false">ROUND(B81/D81,2)</f>
        <v>0.63</v>
      </c>
      <c r="F81" s="6" t="n">
        <f aca="false">ROUND(F80+E81,2)</f>
        <v>35.76</v>
      </c>
    </row>
    <row r="82" customFormat="false" ht="15" hidden="false" customHeight="true" outlineLevel="0" collapsed="false">
      <c r="A82" s="6" t="n">
        <v>80</v>
      </c>
      <c r="B82" s="6" t="n">
        <f aca="false">ROUND(Veterancy_XP!$B$5*(A82+1)^Veterancy_XP!$B$6,0)</f>
        <v>252</v>
      </c>
      <c r="C82" s="6" t="n">
        <f aca="false">ROUND(1/(A82+1)^Veterancy_XP!$E$6,4)</f>
        <v>0.3974</v>
      </c>
      <c r="D82" s="6" t="n">
        <f aca="false">ROUND(Veterancy_XP!$E$5*C82,1)</f>
        <v>397.4</v>
      </c>
      <c r="E82" s="6" t="n">
        <f aca="false">ROUND(B82/D82,2)</f>
        <v>0.63</v>
      </c>
      <c r="F82" s="6" t="n">
        <f aca="false">ROUND(F81+E82,2)</f>
        <v>36.39</v>
      </c>
    </row>
    <row r="83" customFormat="false" ht="15" hidden="false" customHeight="true" outlineLevel="0" collapsed="false">
      <c r="A83" s="6" t="n">
        <v>81</v>
      </c>
      <c r="B83" s="6" t="n">
        <f aca="false">ROUND(Veterancy_XP!$B$5*(A83+1)^Veterancy_XP!$B$6,0)</f>
        <v>252</v>
      </c>
      <c r="C83" s="6" t="n">
        <f aca="false">ROUND(1/(A83+1)^Veterancy_XP!$E$6,4)</f>
        <v>0.3964</v>
      </c>
      <c r="D83" s="6" t="n">
        <f aca="false">ROUND(Veterancy_XP!$E$5*C83,1)</f>
        <v>396.4</v>
      </c>
      <c r="E83" s="6" t="n">
        <f aca="false">ROUND(B83/D83,2)</f>
        <v>0.64</v>
      </c>
      <c r="F83" s="6" t="n">
        <f aca="false">ROUND(F82+E83,2)</f>
        <v>37.03</v>
      </c>
    </row>
    <row r="84" customFormat="false" ht="15" hidden="false" customHeight="true" outlineLevel="0" collapsed="false">
      <c r="A84" s="6" t="n">
        <v>82</v>
      </c>
      <c r="B84" s="6" t="n">
        <f aca="false">ROUND(Veterancy_XP!$B$5*(A84+1)^Veterancy_XP!$B$6,0)</f>
        <v>253</v>
      </c>
      <c r="C84" s="6" t="n">
        <f aca="false">ROUND(1/(A84+1)^Veterancy_XP!$E$6,4)</f>
        <v>0.3954</v>
      </c>
      <c r="D84" s="6" t="n">
        <f aca="false">ROUND(Veterancy_XP!$E$5*C84,1)</f>
        <v>395.4</v>
      </c>
      <c r="E84" s="6" t="n">
        <f aca="false">ROUND(B84/D84,2)</f>
        <v>0.64</v>
      </c>
      <c r="F84" s="6" t="n">
        <f aca="false">ROUND(F83+E84,2)</f>
        <v>37.67</v>
      </c>
    </row>
    <row r="85" customFormat="false" ht="15" hidden="false" customHeight="true" outlineLevel="0" collapsed="false">
      <c r="A85" s="6" t="n">
        <v>83</v>
      </c>
      <c r="B85" s="6" t="n">
        <f aca="false">ROUND(Veterancy_XP!$B$5*(A85+1)^Veterancy_XP!$B$6,0)</f>
        <v>254</v>
      </c>
      <c r="C85" s="6" t="n">
        <f aca="false">ROUND(1/(A85+1)^Veterancy_XP!$E$6,4)</f>
        <v>0.3944</v>
      </c>
      <c r="D85" s="6" t="n">
        <f aca="false">ROUND(Veterancy_XP!$E$5*C85,1)</f>
        <v>394.4</v>
      </c>
      <c r="E85" s="6" t="n">
        <f aca="false">ROUND(B85/D85,2)</f>
        <v>0.64</v>
      </c>
      <c r="F85" s="6" t="n">
        <f aca="false">ROUND(F84+E85,2)</f>
        <v>38.31</v>
      </c>
    </row>
    <row r="86" customFormat="false" ht="15" hidden="false" customHeight="true" outlineLevel="0" collapsed="false">
      <c r="A86" s="6" t="n">
        <v>84</v>
      </c>
      <c r="B86" s="6" t="n">
        <f aca="false">ROUND(Veterancy_XP!$B$5*(A86+1)^Veterancy_XP!$B$6,0)</f>
        <v>254</v>
      </c>
      <c r="C86" s="6" t="n">
        <f aca="false">ROUND(1/(A86+1)^Veterancy_XP!$E$6,4)</f>
        <v>0.3934</v>
      </c>
      <c r="D86" s="6" t="n">
        <f aca="false">ROUND(Veterancy_XP!$E$5*C86,1)</f>
        <v>393.4</v>
      </c>
      <c r="E86" s="6" t="n">
        <f aca="false">ROUND(B86/D86,2)</f>
        <v>0.65</v>
      </c>
      <c r="F86" s="6" t="n">
        <f aca="false">ROUND(F85+E86,2)</f>
        <v>38.96</v>
      </c>
    </row>
    <row r="87" customFormat="false" ht="15" hidden="false" customHeight="true" outlineLevel="0" collapsed="false">
      <c r="A87" s="6" t="n">
        <v>85</v>
      </c>
      <c r="B87" s="6" t="n">
        <f aca="false">ROUND(Veterancy_XP!$B$5*(A87+1)^Veterancy_XP!$B$6,0)</f>
        <v>255</v>
      </c>
      <c r="C87" s="6" t="n">
        <f aca="false">ROUND(1/(A87+1)^Veterancy_XP!$E$6,4)</f>
        <v>0.3924</v>
      </c>
      <c r="D87" s="6" t="n">
        <f aca="false">ROUND(Veterancy_XP!$E$5*C87,1)</f>
        <v>392.4</v>
      </c>
      <c r="E87" s="6" t="n">
        <f aca="false">ROUND(B87/D87,2)</f>
        <v>0.65</v>
      </c>
      <c r="F87" s="6" t="n">
        <f aca="false">ROUND(F86+E87,2)</f>
        <v>39.61</v>
      </c>
    </row>
    <row r="88" customFormat="false" ht="15" hidden="false" customHeight="true" outlineLevel="0" collapsed="false">
      <c r="A88" s="6" t="n">
        <v>86</v>
      </c>
      <c r="B88" s="6" t="n">
        <f aca="false">ROUND(Veterancy_XP!$B$5*(A88+1)^Veterancy_XP!$B$6,0)</f>
        <v>255</v>
      </c>
      <c r="C88" s="6" t="n">
        <f aca="false">ROUND(1/(A88+1)^Veterancy_XP!$E$6,4)</f>
        <v>0.3915</v>
      </c>
      <c r="D88" s="6" t="n">
        <f aca="false">ROUND(Veterancy_XP!$E$5*C88,1)</f>
        <v>391.5</v>
      </c>
      <c r="E88" s="6" t="n">
        <f aca="false">ROUND(B88/D88,2)</f>
        <v>0.65</v>
      </c>
      <c r="F88" s="6" t="n">
        <f aca="false">ROUND(F87+E88,2)</f>
        <v>40.26</v>
      </c>
    </row>
    <row r="89" customFormat="false" ht="15" hidden="false" customHeight="true" outlineLevel="0" collapsed="false">
      <c r="A89" s="6" t="n">
        <v>87</v>
      </c>
      <c r="B89" s="6" t="n">
        <f aca="false">ROUND(Veterancy_XP!$B$5*(A89+1)^Veterancy_XP!$B$6,0)</f>
        <v>256</v>
      </c>
      <c r="C89" s="6" t="n">
        <f aca="false">ROUND(1/(A89+1)^Veterancy_XP!$E$6,4)</f>
        <v>0.3905</v>
      </c>
      <c r="D89" s="6" t="n">
        <f aca="false">ROUND(Veterancy_XP!$E$5*C89,1)</f>
        <v>390.5</v>
      </c>
      <c r="E89" s="6" t="n">
        <f aca="false">ROUND(B89/D89,2)</f>
        <v>0.66</v>
      </c>
      <c r="F89" s="6" t="n">
        <f aca="false">ROUND(F88+E89,2)</f>
        <v>40.92</v>
      </c>
    </row>
    <row r="90" customFormat="false" ht="15" hidden="false" customHeight="true" outlineLevel="0" collapsed="false">
      <c r="A90" s="6" t="n">
        <v>88</v>
      </c>
      <c r="B90" s="6" t="n">
        <f aca="false">ROUND(Veterancy_XP!$B$5*(A90+1)^Veterancy_XP!$B$6,0)</f>
        <v>257</v>
      </c>
      <c r="C90" s="6" t="n">
        <f aca="false">ROUND(1/(A90+1)^Veterancy_XP!$E$6,4)</f>
        <v>0.3896</v>
      </c>
      <c r="D90" s="6" t="n">
        <f aca="false">ROUND(Veterancy_XP!$E$5*C90,1)</f>
        <v>389.6</v>
      </c>
      <c r="E90" s="6" t="n">
        <f aca="false">ROUND(B90/D90,2)</f>
        <v>0.66</v>
      </c>
      <c r="F90" s="6" t="n">
        <f aca="false">ROUND(F89+E90,2)</f>
        <v>41.58</v>
      </c>
    </row>
    <row r="91" customFormat="false" ht="15" hidden="false" customHeight="true" outlineLevel="0" collapsed="false">
      <c r="A91" s="6" t="n">
        <v>89</v>
      </c>
      <c r="B91" s="6" t="n">
        <f aca="false">ROUND(Veterancy_XP!$B$5*(A91+1)^Veterancy_XP!$B$6,0)</f>
        <v>257</v>
      </c>
      <c r="C91" s="6" t="n">
        <f aca="false">ROUND(1/(A91+1)^Veterancy_XP!$E$6,4)</f>
        <v>0.3887</v>
      </c>
      <c r="D91" s="6" t="n">
        <f aca="false">ROUND(Veterancy_XP!$E$5*C91,1)</f>
        <v>388.7</v>
      </c>
      <c r="E91" s="6" t="n">
        <f aca="false">ROUND(B91/D91,2)</f>
        <v>0.66</v>
      </c>
      <c r="F91" s="6" t="n">
        <f aca="false">ROUND(F90+E91,2)</f>
        <v>42.24</v>
      </c>
    </row>
    <row r="92" customFormat="false" ht="15" hidden="false" customHeight="true" outlineLevel="0" collapsed="false">
      <c r="A92" s="6" t="n">
        <v>90</v>
      </c>
      <c r="B92" s="6" t="n">
        <f aca="false">ROUND(Veterancy_XP!$B$5*(A92+1)^Veterancy_XP!$B$6,0)</f>
        <v>258</v>
      </c>
      <c r="C92" s="6" t="n">
        <f aca="false">ROUND(1/(A92+1)^Veterancy_XP!$E$6,4)</f>
        <v>0.3878</v>
      </c>
      <c r="D92" s="6" t="n">
        <f aca="false">ROUND(Veterancy_XP!$E$5*C92,1)</f>
        <v>387.8</v>
      </c>
      <c r="E92" s="6" t="n">
        <f aca="false">ROUND(B92/D92,2)</f>
        <v>0.67</v>
      </c>
      <c r="F92" s="6" t="n">
        <f aca="false">ROUND(F91+E92,2)</f>
        <v>42.91</v>
      </c>
    </row>
    <row r="93" customFormat="false" ht="15" hidden="false" customHeight="true" outlineLevel="0" collapsed="false">
      <c r="A93" s="6" t="n">
        <v>91</v>
      </c>
      <c r="B93" s="6" t="n">
        <f aca="false">ROUND(Veterancy_XP!$B$5*(A93+1)^Veterancy_XP!$B$6,0)</f>
        <v>258</v>
      </c>
      <c r="C93" s="6" t="n">
        <f aca="false">ROUND(1/(A93+1)^Veterancy_XP!$E$6,4)</f>
        <v>0.3869</v>
      </c>
      <c r="D93" s="6" t="n">
        <f aca="false">ROUND(Veterancy_XP!$E$5*C93,1)</f>
        <v>386.9</v>
      </c>
      <c r="E93" s="6" t="n">
        <f aca="false">ROUND(B93/D93,2)</f>
        <v>0.67</v>
      </c>
      <c r="F93" s="6" t="n">
        <f aca="false">ROUND(F92+E93,2)</f>
        <v>43.58</v>
      </c>
    </row>
    <row r="94" customFormat="false" ht="15" hidden="false" customHeight="true" outlineLevel="0" collapsed="false">
      <c r="A94" s="6" t="n">
        <v>92</v>
      </c>
      <c r="B94" s="6" t="n">
        <f aca="false">ROUND(Veterancy_XP!$B$5*(A94+1)^Veterancy_XP!$B$6,0)</f>
        <v>259</v>
      </c>
      <c r="C94" s="6" t="n">
        <f aca="false">ROUND(1/(A94+1)^Veterancy_XP!$E$6,4)</f>
        <v>0.386</v>
      </c>
      <c r="D94" s="6" t="n">
        <f aca="false">ROUND(Veterancy_XP!$E$5*C94,1)</f>
        <v>386</v>
      </c>
      <c r="E94" s="6" t="n">
        <f aca="false">ROUND(B94/D94,2)</f>
        <v>0.67</v>
      </c>
      <c r="F94" s="6" t="n">
        <f aca="false">ROUND(F93+E94,2)</f>
        <v>44.25</v>
      </c>
    </row>
    <row r="95" customFormat="false" ht="15" hidden="false" customHeight="true" outlineLevel="0" collapsed="false">
      <c r="A95" s="6" t="n">
        <v>93</v>
      </c>
      <c r="B95" s="6" t="n">
        <f aca="false">ROUND(Veterancy_XP!$B$5*(A95+1)^Veterancy_XP!$B$6,0)</f>
        <v>260</v>
      </c>
      <c r="C95" s="6" t="n">
        <f aca="false">ROUND(1/(A95+1)^Veterancy_XP!$E$6,4)</f>
        <v>0.3852</v>
      </c>
      <c r="D95" s="6" t="n">
        <f aca="false">ROUND(Veterancy_XP!$E$5*C95,1)</f>
        <v>385.2</v>
      </c>
      <c r="E95" s="6" t="n">
        <f aca="false">ROUND(B95/D95,2)</f>
        <v>0.67</v>
      </c>
      <c r="F95" s="6" t="n">
        <f aca="false">ROUND(F94+E95,2)</f>
        <v>44.92</v>
      </c>
    </row>
    <row r="96" customFormat="false" ht="15" hidden="false" customHeight="true" outlineLevel="0" collapsed="false">
      <c r="A96" s="6" t="n">
        <v>94</v>
      </c>
      <c r="B96" s="6" t="n">
        <f aca="false">ROUND(Veterancy_XP!$B$5*(A96+1)^Veterancy_XP!$B$6,0)</f>
        <v>260</v>
      </c>
      <c r="C96" s="6" t="n">
        <f aca="false">ROUND(1/(A96+1)^Veterancy_XP!$E$6,4)</f>
        <v>0.3843</v>
      </c>
      <c r="D96" s="6" t="n">
        <f aca="false">ROUND(Veterancy_XP!$E$5*C96,1)</f>
        <v>384.3</v>
      </c>
      <c r="E96" s="6" t="n">
        <f aca="false">ROUND(B96/D96,2)</f>
        <v>0.68</v>
      </c>
      <c r="F96" s="6" t="n">
        <f aca="false">ROUND(F95+E96,2)</f>
        <v>45.6</v>
      </c>
    </row>
    <row r="97" customFormat="false" ht="15" hidden="false" customHeight="true" outlineLevel="0" collapsed="false">
      <c r="A97" s="6" t="n">
        <v>95</v>
      </c>
      <c r="B97" s="6" t="n">
        <f aca="false">ROUND(Veterancy_XP!$B$5*(A97+1)^Veterancy_XP!$B$6,0)</f>
        <v>261</v>
      </c>
      <c r="C97" s="6" t="n">
        <f aca="false">ROUND(1/(A97+1)^Veterancy_XP!$E$6,4)</f>
        <v>0.3835</v>
      </c>
      <c r="D97" s="6" t="n">
        <f aca="false">ROUND(Veterancy_XP!$E$5*C97,1)</f>
        <v>383.5</v>
      </c>
      <c r="E97" s="6" t="n">
        <f aca="false">ROUND(B97/D97,2)</f>
        <v>0.68</v>
      </c>
      <c r="F97" s="6" t="n">
        <f aca="false">ROUND(F96+E97,2)</f>
        <v>46.28</v>
      </c>
    </row>
    <row r="98" customFormat="false" ht="15" hidden="false" customHeight="true" outlineLevel="0" collapsed="false">
      <c r="A98" s="6" t="n">
        <v>96</v>
      </c>
      <c r="B98" s="6" t="n">
        <f aca="false">ROUND(Veterancy_XP!$B$5*(A98+1)^Veterancy_XP!$B$6,0)</f>
        <v>261</v>
      </c>
      <c r="C98" s="6" t="n">
        <f aca="false">ROUND(1/(A98+1)^Veterancy_XP!$E$6,4)</f>
        <v>0.3826</v>
      </c>
      <c r="D98" s="6" t="n">
        <f aca="false">ROUND(Veterancy_XP!$E$5*C98,1)</f>
        <v>382.6</v>
      </c>
      <c r="E98" s="6" t="n">
        <f aca="false">ROUND(B98/D98,2)</f>
        <v>0.68</v>
      </c>
      <c r="F98" s="6" t="n">
        <f aca="false">ROUND(F97+E98,2)</f>
        <v>46.96</v>
      </c>
    </row>
    <row r="99" customFormat="false" ht="15" hidden="false" customHeight="true" outlineLevel="0" collapsed="false">
      <c r="A99" s="6" t="n">
        <v>97</v>
      </c>
      <c r="B99" s="6" t="n">
        <f aca="false">ROUND(Veterancy_XP!$B$5*(A99+1)^Veterancy_XP!$B$6,0)</f>
        <v>262</v>
      </c>
      <c r="C99" s="6" t="n">
        <f aca="false">ROUND(1/(A99+1)^Veterancy_XP!$E$6,4)</f>
        <v>0.3818</v>
      </c>
      <c r="D99" s="6" t="n">
        <f aca="false">ROUND(Veterancy_XP!$E$5*C99,1)</f>
        <v>381.8</v>
      </c>
      <c r="E99" s="6" t="n">
        <f aca="false">ROUND(B99/D99,2)</f>
        <v>0.69</v>
      </c>
      <c r="F99" s="6" t="n">
        <f aca="false">ROUND(F98+E99,2)</f>
        <v>47.65</v>
      </c>
    </row>
    <row r="100" customFormat="false" ht="15" hidden="false" customHeight="true" outlineLevel="0" collapsed="false">
      <c r="A100" s="6" t="n">
        <v>98</v>
      </c>
      <c r="B100" s="6" t="n">
        <f aca="false">ROUND(Veterancy_XP!$B$5*(A100+1)^Veterancy_XP!$B$6,0)</f>
        <v>262</v>
      </c>
      <c r="C100" s="6" t="n">
        <f aca="false">ROUND(1/(A100+1)^Veterancy_XP!$E$6,4)</f>
        <v>0.381</v>
      </c>
      <c r="D100" s="6" t="n">
        <f aca="false">ROUND(Veterancy_XP!$E$5*C100,1)</f>
        <v>381</v>
      </c>
      <c r="E100" s="6" t="n">
        <f aca="false">ROUND(B100/D100,2)</f>
        <v>0.69</v>
      </c>
      <c r="F100" s="6" t="n">
        <f aca="false">ROUND(F99+E100,2)</f>
        <v>48.34</v>
      </c>
    </row>
    <row r="101" customFormat="false" ht="15" hidden="false" customHeight="true" outlineLevel="0" collapsed="false">
      <c r="A101" s="6" t="n">
        <v>99</v>
      </c>
      <c r="B101" s="6" t="n">
        <f aca="false">ROUND(Veterancy_XP!$B$5*(A101+1)^Veterancy_XP!$B$6,0)</f>
        <v>263</v>
      </c>
      <c r="C101" s="6" t="n">
        <f aca="false">ROUND(1/(A101+1)^Veterancy_XP!$E$6,4)</f>
        <v>0.3802</v>
      </c>
      <c r="D101" s="6" t="n">
        <f aca="false">ROUND(Veterancy_XP!$E$5*C101,1)</f>
        <v>380.2</v>
      </c>
      <c r="E101" s="6" t="n">
        <f aca="false">ROUND(B101/D101,2)</f>
        <v>0.69</v>
      </c>
      <c r="F101" s="6" t="n">
        <f aca="false">ROUND(F100+E101,2)</f>
        <v>49.03</v>
      </c>
    </row>
    <row r="102" customFormat="false" ht="15" hidden="false" customHeight="true" outlineLevel="0" collapsed="false">
      <c r="A102" s="6" t="n">
        <v>100</v>
      </c>
      <c r="B102" s="6" t="n">
        <f aca="false">ROUND(Veterancy_XP!$B$5*(A102+1)^Veterancy_XP!$B$6,0)</f>
        <v>264</v>
      </c>
      <c r="C102" s="6" t="n">
        <f aca="false">ROUND(1/(A102+1)^Veterancy_XP!$E$6,4)</f>
        <v>0.3794</v>
      </c>
      <c r="D102" s="6" t="n">
        <f aca="false">ROUND(Veterancy_XP!$E$5*C102,1)</f>
        <v>379.4</v>
      </c>
      <c r="E102" s="6" t="n">
        <f aca="false">ROUND(B102/D102,2)</f>
        <v>0.7</v>
      </c>
      <c r="F102" s="6" t="n">
        <f aca="false">ROUND(F101+E102,2)</f>
        <v>49.73</v>
      </c>
    </row>
    <row r="103" customFormat="false" ht="15" hidden="false" customHeight="true" outlineLevel="0" collapsed="false">
      <c r="A103" s="6" t="n">
        <v>101</v>
      </c>
      <c r="B103" s="6" t="n">
        <f aca="false">ROUND(Veterancy_XP!$B$5*(A103+1)^Veterancy_XP!$B$6,0)</f>
        <v>264</v>
      </c>
      <c r="C103" s="6" t="n">
        <f aca="false">ROUND(1/(A103+1)^Veterancy_XP!$E$6,4)</f>
        <v>0.3786</v>
      </c>
      <c r="D103" s="6" t="n">
        <f aca="false">ROUND(Veterancy_XP!$E$5*C103,1)</f>
        <v>378.6</v>
      </c>
      <c r="E103" s="6" t="n">
        <f aca="false">ROUND(B103/D103,2)</f>
        <v>0.7</v>
      </c>
      <c r="F103" s="6" t="n">
        <f aca="false">ROUND(F102+E103,2)</f>
        <v>50.43</v>
      </c>
    </row>
    <row r="104" customFormat="false" ht="15" hidden="false" customHeight="true" outlineLevel="0" collapsed="false">
      <c r="A104" s="6" t="n">
        <v>102</v>
      </c>
      <c r="B104" s="6" t="n">
        <f aca="false">ROUND(Veterancy_XP!$B$5*(A104+1)^Veterancy_XP!$B$6,0)</f>
        <v>265</v>
      </c>
      <c r="C104" s="6" t="n">
        <f aca="false">ROUND(1/(A104+1)^Veterancy_XP!$E$6,4)</f>
        <v>0.3778</v>
      </c>
      <c r="D104" s="6" t="n">
        <f aca="false">ROUND(Veterancy_XP!$E$5*C104,1)</f>
        <v>377.8</v>
      </c>
      <c r="E104" s="6" t="n">
        <f aca="false">ROUND(B104/D104,2)</f>
        <v>0.7</v>
      </c>
      <c r="F104" s="6" t="n">
        <f aca="false">ROUND(F103+E104,2)</f>
        <v>51.13</v>
      </c>
    </row>
    <row r="105" customFormat="false" ht="15" hidden="false" customHeight="true" outlineLevel="0" collapsed="false">
      <c r="A105" s="6" t="n">
        <v>103</v>
      </c>
      <c r="B105" s="6" t="n">
        <f aca="false">ROUND(Veterancy_XP!$B$5*(A105+1)^Veterancy_XP!$B$6,0)</f>
        <v>265</v>
      </c>
      <c r="C105" s="6" t="n">
        <f aca="false">ROUND(1/(A105+1)^Veterancy_XP!$E$6,4)</f>
        <v>0.3771</v>
      </c>
      <c r="D105" s="6" t="n">
        <f aca="false">ROUND(Veterancy_XP!$E$5*C105,1)</f>
        <v>377.1</v>
      </c>
      <c r="E105" s="6" t="n">
        <f aca="false">ROUND(B105/D105,2)</f>
        <v>0.7</v>
      </c>
      <c r="F105" s="6" t="n">
        <f aca="false">ROUND(F104+E105,2)</f>
        <v>51.83</v>
      </c>
    </row>
    <row r="106" customFormat="false" ht="15" hidden="false" customHeight="true" outlineLevel="0" collapsed="false">
      <c r="A106" s="6" t="n">
        <v>104</v>
      </c>
      <c r="B106" s="6" t="n">
        <f aca="false">ROUND(Veterancy_XP!$B$5*(A106+1)^Veterancy_XP!$B$6,0)</f>
        <v>266</v>
      </c>
      <c r="C106" s="6" t="n">
        <f aca="false">ROUND(1/(A106+1)^Veterancy_XP!$E$6,4)</f>
        <v>0.3763</v>
      </c>
      <c r="D106" s="6" t="n">
        <f aca="false">ROUND(Veterancy_XP!$E$5*C106,1)</f>
        <v>376.3</v>
      </c>
      <c r="E106" s="6" t="n">
        <f aca="false">ROUND(B106/D106,2)</f>
        <v>0.71</v>
      </c>
      <c r="F106" s="6" t="n">
        <f aca="false">ROUND(F105+E106,2)</f>
        <v>52.54</v>
      </c>
    </row>
    <row r="107" customFormat="false" ht="15" hidden="false" customHeight="true" outlineLevel="0" collapsed="false">
      <c r="A107" s="6" t="n">
        <v>105</v>
      </c>
      <c r="B107" s="6" t="n">
        <f aca="false">ROUND(Veterancy_XP!$B$5*(A107+1)^Veterancy_XP!$B$6,0)</f>
        <v>266</v>
      </c>
      <c r="C107" s="6" t="n">
        <f aca="false">ROUND(1/(A107+1)^Veterancy_XP!$E$6,4)</f>
        <v>0.3756</v>
      </c>
      <c r="D107" s="6" t="n">
        <f aca="false">ROUND(Veterancy_XP!$E$5*C107,1)</f>
        <v>375.6</v>
      </c>
      <c r="E107" s="6" t="n">
        <f aca="false">ROUND(B107/D107,2)</f>
        <v>0.71</v>
      </c>
      <c r="F107" s="6" t="n">
        <f aca="false">ROUND(F106+E107,2)</f>
        <v>53.25</v>
      </c>
    </row>
    <row r="108" customFormat="false" ht="15" hidden="false" customHeight="true" outlineLevel="0" collapsed="false">
      <c r="A108" s="6" t="n">
        <v>106</v>
      </c>
      <c r="B108" s="6" t="n">
        <f aca="false">ROUND(Veterancy_XP!$B$5*(A108+1)^Veterancy_XP!$B$6,0)</f>
        <v>267</v>
      </c>
      <c r="C108" s="6" t="n">
        <f aca="false">ROUND(1/(A108+1)^Veterancy_XP!$E$6,4)</f>
        <v>0.3748</v>
      </c>
      <c r="D108" s="6" t="n">
        <f aca="false">ROUND(Veterancy_XP!$E$5*C108,1)</f>
        <v>374.8</v>
      </c>
      <c r="E108" s="6" t="n">
        <f aca="false">ROUND(B108/D108,2)</f>
        <v>0.71</v>
      </c>
      <c r="F108" s="6" t="n">
        <f aca="false">ROUND(F107+E108,2)</f>
        <v>53.96</v>
      </c>
    </row>
    <row r="109" customFormat="false" ht="15" hidden="false" customHeight="true" outlineLevel="0" collapsed="false">
      <c r="A109" s="6" t="n">
        <v>107</v>
      </c>
      <c r="B109" s="6" t="n">
        <f aca="false">ROUND(Veterancy_XP!$B$5*(A109+1)^Veterancy_XP!$B$6,0)</f>
        <v>267</v>
      </c>
      <c r="C109" s="6" t="n">
        <f aca="false">ROUND(1/(A109+1)^Veterancy_XP!$E$6,4)</f>
        <v>0.3741</v>
      </c>
      <c r="D109" s="6" t="n">
        <f aca="false">ROUND(Veterancy_XP!$E$5*C109,1)</f>
        <v>374.1</v>
      </c>
      <c r="E109" s="6" t="n">
        <f aca="false">ROUND(B109/D109,2)</f>
        <v>0.71</v>
      </c>
      <c r="F109" s="6" t="n">
        <f aca="false">ROUND(F108+E109,2)</f>
        <v>54.67</v>
      </c>
    </row>
    <row r="110" customFormat="false" ht="15" hidden="false" customHeight="true" outlineLevel="0" collapsed="false">
      <c r="A110" s="6" t="n">
        <v>108</v>
      </c>
      <c r="B110" s="6" t="n">
        <f aca="false">ROUND(Veterancy_XP!$B$5*(A110+1)^Veterancy_XP!$B$6,0)</f>
        <v>268</v>
      </c>
      <c r="C110" s="6" t="n">
        <f aca="false">ROUND(1/(A110+1)^Veterancy_XP!$E$6,4)</f>
        <v>0.3734</v>
      </c>
      <c r="D110" s="6" t="n">
        <f aca="false">ROUND(Veterancy_XP!$E$5*C110,1)</f>
        <v>373.4</v>
      </c>
      <c r="E110" s="6" t="n">
        <f aca="false">ROUND(B110/D110,2)</f>
        <v>0.72</v>
      </c>
      <c r="F110" s="6" t="n">
        <f aca="false">ROUND(F109+E110,2)</f>
        <v>55.39</v>
      </c>
    </row>
    <row r="111" customFormat="false" ht="15" hidden="false" customHeight="true" outlineLevel="0" collapsed="false">
      <c r="A111" s="6" t="n">
        <v>109</v>
      </c>
      <c r="B111" s="6" t="n">
        <f aca="false">ROUND(Veterancy_XP!$B$5*(A111+1)^Veterancy_XP!$B$6,0)</f>
        <v>268</v>
      </c>
      <c r="C111" s="6" t="n">
        <f aca="false">ROUND(1/(A111+1)^Veterancy_XP!$E$6,4)</f>
        <v>0.3727</v>
      </c>
      <c r="D111" s="6" t="n">
        <f aca="false">ROUND(Veterancy_XP!$E$5*C111,1)</f>
        <v>372.7</v>
      </c>
      <c r="E111" s="6" t="n">
        <f aca="false">ROUND(B111/D111,2)</f>
        <v>0.72</v>
      </c>
      <c r="F111" s="6" t="n">
        <f aca="false">ROUND(F110+E111,2)</f>
        <v>56.11</v>
      </c>
    </row>
    <row r="112" customFormat="false" ht="15" hidden="false" customHeight="true" outlineLevel="0" collapsed="false">
      <c r="A112" s="6" t="n">
        <v>110</v>
      </c>
      <c r="B112" s="6" t="n">
        <f aca="false">ROUND(Veterancy_XP!$B$5*(A112+1)^Veterancy_XP!$B$6,0)</f>
        <v>269</v>
      </c>
      <c r="C112" s="6" t="n">
        <f aca="false">ROUND(1/(A112+1)^Veterancy_XP!$E$6,4)</f>
        <v>0.3719</v>
      </c>
      <c r="D112" s="6" t="n">
        <f aca="false">ROUND(Veterancy_XP!$E$5*C112,1)</f>
        <v>371.9</v>
      </c>
      <c r="E112" s="6" t="n">
        <f aca="false">ROUND(B112/D112,2)</f>
        <v>0.72</v>
      </c>
      <c r="F112" s="6" t="n">
        <f aca="false">ROUND(F111+E112,2)</f>
        <v>56.83</v>
      </c>
    </row>
    <row r="113" customFormat="false" ht="15" hidden="false" customHeight="true" outlineLevel="0" collapsed="false">
      <c r="A113" s="6" t="n">
        <v>111</v>
      </c>
      <c r="B113" s="6" t="n">
        <f aca="false">ROUND(Veterancy_XP!$B$5*(A113+1)^Veterancy_XP!$B$6,0)</f>
        <v>269</v>
      </c>
      <c r="C113" s="6" t="n">
        <f aca="false">ROUND(1/(A113+1)^Veterancy_XP!$E$6,4)</f>
        <v>0.3712</v>
      </c>
      <c r="D113" s="6" t="n">
        <f aca="false">ROUND(Veterancy_XP!$E$5*C113,1)</f>
        <v>371.2</v>
      </c>
      <c r="E113" s="6" t="n">
        <f aca="false">ROUND(B113/D113,2)</f>
        <v>0.72</v>
      </c>
      <c r="F113" s="6" t="n">
        <f aca="false">ROUND(F112+E113,2)</f>
        <v>57.55</v>
      </c>
    </row>
    <row r="114" customFormat="false" ht="15" hidden="false" customHeight="true" outlineLevel="0" collapsed="false">
      <c r="A114" s="6" t="n">
        <v>112</v>
      </c>
      <c r="B114" s="6" t="n">
        <f aca="false">ROUND(Veterancy_XP!$B$5*(A114+1)^Veterancy_XP!$B$6,0)</f>
        <v>270</v>
      </c>
      <c r="C114" s="6" t="n">
        <f aca="false">ROUND(1/(A114+1)^Veterancy_XP!$E$6,4)</f>
        <v>0.3706</v>
      </c>
      <c r="D114" s="6" t="n">
        <f aca="false">ROUND(Veterancy_XP!$E$5*C114,1)</f>
        <v>370.6</v>
      </c>
      <c r="E114" s="6" t="n">
        <f aca="false">ROUND(B114/D114,2)</f>
        <v>0.73</v>
      </c>
      <c r="F114" s="6" t="n">
        <f aca="false">ROUND(F113+E114,2)</f>
        <v>58.28</v>
      </c>
    </row>
    <row r="115" customFormat="false" ht="15" hidden="false" customHeight="true" outlineLevel="0" collapsed="false">
      <c r="A115" s="6" t="n">
        <v>113</v>
      </c>
      <c r="B115" s="6" t="n">
        <f aca="false">ROUND(Veterancy_XP!$B$5*(A115+1)^Veterancy_XP!$B$6,0)</f>
        <v>270</v>
      </c>
      <c r="C115" s="6" t="n">
        <f aca="false">ROUND(1/(A115+1)^Veterancy_XP!$E$6,4)</f>
        <v>0.3699</v>
      </c>
      <c r="D115" s="6" t="n">
        <f aca="false">ROUND(Veterancy_XP!$E$5*C115,1)</f>
        <v>369.9</v>
      </c>
      <c r="E115" s="6" t="n">
        <f aca="false">ROUND(B115/D115,2)</f>
        <v>0.73</v>
      </c>
      <c r="F115" s="6" t="n">
        <f aca="false">ROUND(F114+E115,2)</f>
        <v>59.01</v>
      </c>
    </row>
    <row r="116" customFormat="false" ht="15" hidden="false" customHeight="true" outlineLevel="0" collapsed="false">
      <c r="A116" s="6" t="n">
        <v>114</v>
      </c>
      <c r="B116" s="6" t="n">
        <f aca="false">ROUND(Veterancy_XP!$B$5*(A116+1)^Veterancy_XP!$B$6,0)</f>
        <v>271</v>
      </c>
      <c r="C116" s="6" t="n">
        <f aca="false">ROUND(1/(A116+1)^Veterancy_XP!$E$6,4)</f>
        <v>0.3692</v>
      </c>
      <c r="D116" s="6" t="n">
        <f aca="false">ROUND(Veterancy_XP!$E$5*C116,1)</f>
        <v>369.2</v>
      </c>
      <c r="E116" s="6" t="n">
        <f aca="false">ROUND(B116/D116,2)</f>
        <v>0.73</v>
      </c>
      <c r="F116" s="6" t="n">
        <f aca="false">ROUND(F115+E116,2)</f>
        <v>59.74</v>
      </c>
    </row>
    <row r="117" customFormat="false" ht="15" hidden="false" customHeight="true" outlineLevel="0" collapsed="false">
      <c r="A117" s="6" t="n">
        <v>115</v>
      </c>
      <c r="B117" s="6" t="n">
        <f aca="false">ROUND(Veterancy_XP!$B$5*(A117+1)^Veterancy_XP!$B$6,0)</f>
        <v>271</v>
      </c>
      <c r="C117" s="6" t="n">
        <f aca="false">ROUND(1/(A117+1)^Veterancy_XP!$E$6,4)</f>
        <v>0.3685</v>
      </c>
      <c r="D117" s="6" t="n">
        <f aca="false">ROUND(Veterancy_XP!$E$5*C117,1)</f>
        <v>368.5</v>
      </c>
      <c r="E117" s="6" t="n">
        <f aca="false">ROUND(B117/D117,2)</f>
        <v>0.74</v>
      </c>
      <c r="F117" s="6" t="n">
        <f aca="false">ROUND(F116+E117,2)</f>
        <v>60.48</v>
      </c>
    </row>
    <row r="118" customFormat="false" ht="15" hidden="false" customHeight="true" outlineLevel="0" collapsed="false">
      <c r="A118" s="6" t="n">
        <v>116</v>
      </c>
      <c r="B118" s="6" t="n">
        <f aca="false">ROUND(Veterancy_XP!$B$5*(A118+1)^Veterancy_XP!$B$6,0)</f>
        <v>272</v>
      </c>
      <c r="C118" s="6" t="n">
        <f aca="false">ROUND(1/(A118+1)^Veterancy_XP!$E$6,4)</f>
        <v>0.3679</v>
      </c>
      <c r="D118" s="6" t="n">
        <f aca="false">ROUND(Veterancy_XP!$E$5*C118,1)</f>
        <v>367.9</v>
      </c>
      <c r="E118" s="6" t="n">
        <f aca="false">ROUND(B118/D118,2)</f>
        <v>0.74</v>
      </c>
      <c r="F118" s="6" t="n">
        <f aca="false">ROUND(F117+E118,2)</f>
        <v>61.22</v>
      </c>
    </row>
    <row r="119" customFormat="false" ht="15" hidden="false" customHeight="true" outlineLevel="0" collapsed="false">
      <c r="A119" s="6" t="n">
        <v>117</v>
      </c>
      <c r="B119" s="6" t="n">
        <f aca="false">ROUND(Veterancy_XP!$B$5*(A119+1)^Veterancy_XP!$B$6,0)</f>
        <v>272</v>
      </c>
      <c r="C119" s="6" t="n">
        <f aca="false">ROUND(1/(A119+1)^Veterancy_XP!$E$6,4)</f>
        <v>0.3672</v>
      </c>
      <c r="D119" s="6" t="n">
        <f aca="false">ROUND(Veterancy_XP!$E$5*C119,1)</f>
        <v>367.2</v>
      </c>
      <c r="E119" s="6" t="n">
        <f aca="false">ROUND(B119/D119,2)</f>
        <v>0.74</v>
      </c>
      <c r="F119" s="6" t="n">
        <f aca="false">ROUND(F118+E119,2)</f>
        <v>61.96</v>
      </c>
    </row>
    <row r="120" customFormat="false" ht="15" hidden="false" customHeight="true" outlineLevel="0" collapsed="false">
      <c r="A120" s="6" t="n">
        <v>118</v>
      </c>
      <c r="B120" s="6" t="n">
        <f aca="false">ROUND(Veterancy_XP!$B$5*(A120+1)^Veterancy_XP!$B$6,0)</f>
        <v>273</v>
      </c>
      <c r="C120" s="6" t="n">
        <f aca="false">ROUND(1/(A120+1)^Veterancy_XP!$E$6,4)</f>
        <v>0.3666</v>
      </c>
      <c r="D120" s="6" t="n">
        <f aca="false">ROUND(Veterancy_XP!$E$5*C120,1)</f>
        <v>366.6</v>
      </c>
      <c r="E120" s="6" t="n">
        <f aca="false">ROUND(B120/D120,2)</f>
        <v>0.74</v>
      </c>
      <c r="F120" s="6" t="n">
        <f aca="false">ROUND(F119+E120,2)</f>
        <v>62.7</v>
      </c>
    </row>
    <row r="121" customFormat="false" ht="15" hidden="false" customHeight="true" outlineLevel="0" collapsed="false">
      <c r="A121" s="6" t="n">
        <v>119</v>
      </c>
      <c r="B121" s="6" t="n">
        <f aca="false">ROUND(Veterancy_XP!$B$5*(A121+1)^Veterancy_XP!$B$6,0)</f>
        <v>273</v>
      </c>
      <c r="C121" s="6" t="n">
        <f aca="false">ROUND(1/(A121+1)^Veterancy_XP!$E$6,4)</f>
        <v>0.3659</v>
      </c>
      <c r="D121" s="6" t="n">
        <f aca="false">ROUND(Veterancy_XP!$E$5*C121,1)</f>
        <v>365.9</v>
      </c>
      <c r="E121" s="6" t="n">
        <f aca="false">ROUND(B121/D121,2)</f>
        <v>0.75</v>
      </c>
      <c r="F121" s="6" t="n">
        <f aca="false">ROUND(F120+E121,2)</f>
        <v>63.45</v>
      </c>
    </row>
    <row r="122" customFormat="false" ht="15" hidden="false" customHeight="true" outlineLevel="0" collapsed="false">
      <c r="A122" s="6" t="n">
        <v>120</v>
      </c>
      <c r="B122" s="6" t="n">
        <f aca="false">ROUND(Veterancy_XP!$B$5*(A122+1)^Veterancy_XP!$B$6,0)</f>
        <v>274</v>
      </c>
      <c r="C122" s="6" t="n">
        <f aca="false">ROUND(1/(A122+1)^Veterancy_XP!$E$6,4)</f>
        <v>0.3653</v>
      </c>
      <c r="D122" s="6" t="n">
        <f aca="false">ROUND(Veterancy_XP!$E$5*C122,1)</f>
        <v>365.3</v>
      </c>
      <c r="E122" s="6" t="n">
        <f aca="false">ROUND(B122/D122,2)</f>
        <v>0.75</v>
      </c>
      <c r="F122" s="6" t="n">
        <f aca="false">ROUND(F121+E122,2)</f>
        <v>64.2</v>
      </c>
    </row>
    <row r="123" customFormat="false" ht="15" hidden="false" customHeight="true" outlineLevel="0" collapsed="false">
      <c r="A123" s="6" t="n">
        <v>121</v>
      </c>
      <c r="B123" s="6" t="n">
        <f aca="false">ROUND(Veterancy_XP!$B$5*(A123+1)^Veterancy_XP!$B$6,0)</f>
        <v>274</v>
      </c>
      <c r="C123" s="6" t="n">
        <f aca="false">ROUND(1/(A123+1)^Veterancy_XP!$E$6,4)</f>
        <v>0.3646</v>
      </c>
      <c r="D123" s="6" t="n">
        <f aca="false">ROUND(Veterancy_XP!$E$5*C123,1)</f>
        <v>364.6</v>
      </c>
      <c r="E123" s="6" t="n">
        <f aca="false">ROUND(B123/D123,2)</f>
        <v>0.75</v>
      </c>
      <c r="F123" s="6" t="n">
        <f aca="false">ROUND(F122+E123,2)</f>
        <v>64.95</v>
      </c>
    </row>
    <row r="124" customFormat="false" ht="15" hidden="false" customHeight="true" outlineLevel="0" collapsed="false">
      <c r="A124" s="6" t="n">
        <v>122</v>
      </c>
      <c r="B124" s="6" t="n">
        <f aca="false">ROUND(Veterancy_XP!$B$5*(A124+1)^Veterancy_XP!$B$6,0)</f>
        <v>275</v>
      </c>
      <c r="C124" s="6" t="n">
        <f aca="false">ROUND(1/(A124+1)^Veterancy_XP!$E$6,4)</f>
        <v>0.364</v>
      </c>
      <c r="D124" s="6" t="n">
        <f aca="false">ROUND(Veterancy_XP!$E$5*C124,1)</f>
        <v>364</v>
      </c>
      <c r="E124" s="6" t="n">
        <f aca="false">ROUND(B124/D124,2)</f>
        <v>0.76</v>
      </c>
      <c r="F124" s="6" t="n">
        <f aca="false">ROUND(F123+E124,2)</f>
        <v>65.71</v>
      </c>
    </row>
    <row r="125" customFormat="false" ht="15" hidden="false" customHeight="true" outlineLevel="0" collapsed="false">
      <c r="A125" s="6" t="n">
        <v>123</v>
      </c>
      <c r="B125" s="6" t="n">
        <f aca="false">ROUND(Veterancy_XP!$B$5*(A125+1)^Veterancy_XP!$B$6,0)</f>
        <v>275</v>
      </c>
      <c r="C125" s="6" t="n">
        <f aca="false">ROUND(1/(A125+1)^Veterancy_XP!$E$6,4)</f>
        <v>0.3634</v>
      </c>
      <c r="D125" s="6" t="n">
        <f aca="false">ROUND(Veterancy_XP!$E$5*C125,1)</f>
        <v>363.4</v>
      </c>
      <c r="E125" s="6" t="n">
        <f aca="false">ROUND(B125/D125,2)</f>
        <v>0.76</v>
      </c>
      <c r="F125" s="6" t="n">
        <f aca="false">ROUND(F124+E125,2)</f>
        <v>66.47</v>
      </c>
    </row>
    <row r="126" customFormat="false" ht="15" hidden="false" customHeight="true" outlineLevel="0" collapsed="false">
      <c r="A126" s="6" t="n">
        <v>124</v>
      </c>
      <c r="B126" s="6" t="n">
        <f aca="false">ROUND(Veterancy_XP!$B$5*(A126+1)^Veterancy_XP!$B$6,0)</f>
        <v>276</v>
      </c>
      <c r="C126" s="6" t="n">
        <f aca="false">ROUND(1/(A126+1)^Veterancy_XP!$E$6,4)</f>
        <v>0.3628</v>
      </c>
      <c r="D126" s="6" t="n">
        <f aca="false">ROUND(Veterancy_XP!$E$5*C126,1)</f>
        <v>362.8</v>
      </c>
      <c r="E126" s="6" t="n">
        <f aca="false">ROUND(B126/D126,2)</f>
        <v>0.76</v>
      </c>
      <c r="F126" s="6" t="n">
        <f aca="false">ROUND(F125+E126,2)</f>
        <v>67.23</v>
      </c>
    </row>
    <row r="127" customFormat="false" ht="15" hidden="false" customHeight="true" outlineLevel="0" collapsed="false">
      <c r="A127" s="6" t="n">
        <v>125</v>
      </c>
      <c r="B127" s="6" t="n">
        <f aca="false">ROUND(Veterancy_XP!$B$5*(A127+1)^Veterancy_XP!$B$6,0)</f>
        <v>276</v>
      </c>
      <c r="C127" s="6" t="n">
        <f aca="false">ROUND(1/(A127+1)^Veterancy_XP!$E$6,4)</f>
        <v>0.3622</v>
      </c>
      <c r="D127" s="6" t="n">
        <f aca="false">ROUND(Veterancy_XP!$E$5*C127,1)</f>
        <v>362.2</v>
      </c>
      <c r="E127" s="6" t="n">
        <f aca="false">ROUND(B127/D127,2)</f>
        <v>0.76</v>
      </c>
      <c r="F127" s="6" t="n">
        <f aca="false">ROUND(F126+E127,2)</f>
        <v>67.99</v>
      </c>
    </row>
    <row r="128" customFormat="false" ht="15" hidden="false" customHeight="true" outlineLevel="0" collapsed="false">
      <c r="A128" s="6" t="n">
        <v>126</v>
      </c>
      <c r="B128" s="6" t="n">
        <f aca="false">ROUND(Veterancy_XP!$B$5*(A128+1)^Veterancy_XP!$B$6,0)</f>
        <v>277</v>
      </c>
      <c r="C128" s="6" t="n">
        <f aca="false">ROUND(1/(A128+1)^Veterancy_XP!$E$6,4)</f>
        <v>0.3616</v>
      </c>
      <c r="D128" s="6" t="n">
        <f aca="false">ROUND(Veterancy_XP!$E$5*C128,1)</f>
        <v>361.6</v>
      </c>
      <c r="E128" s="6" t="n">
        <f aca="false">ROUND(B128/D128,2)</f>
        <v>0.77</v>
      </c>
      <c r="F128" s="6" t="n">
        <f aca="false">ROUND(F127+E128,2)</f>
        <v>68.76</v>
      </c>
    </row>
    <row r="129" customFormat="false" ht="15" hidden="false" customHeight="true" outlineLevel="0" collapsed="false">
      <c r="A129" s="6" t="n">
        <v>127</v>
      </c>
      <c r="B129" s="6" t="n">
        <f aca="false">ROUND(Veterancy_XP!$B$5*(A129+1)^Veterancy_XP!$B$6,0)</f>
        <v>277</v>
      </c>
      <c r="C129" s="6" t="n">
        <f aca="false">ROUND(1/(A129+1)^Veterancy_XP!$E$6,4)</f>
        <v>0.361</v>
      </c>
      <c r="D129" s="6" t="n">
        <f aca="false">ROUND(Veterancy_XP!$E$5*C129,1)</f>
        <v>361</v>
      </c>
      <c r="E129" s="6" t="n">
        <f aca="false">ROUND(B129/D129,2)</f>
        <v>0.77</v>
      </c>
      <c r="F129" s="6" t="n">
        <f aca="false">ROUND(F128+E129,2)</f>
        <v>69.53</v>
      </c>
    </row>
    <row r="130" customFormat="false" ht="15" hidden="false" customHeight="true" outlineLevel="0" collapsed="false">
      <c r="A130" s="6" t="n">
        <v>128</v>
      </c>
      <c r="B130" s="6" t="n">
        <f aca="false">ROUND(Veterancy_XP!$B$5*(A130+1)^Veterancy_XP!$B$6,0)</f>
        <v>277</v>
      </c>
      <c r="C130" s="6" t="n">
        <f aca="false">ROUND(1/(A130+1)^Veterancy_XP!$E$6,4)</f>
        <v>0.3604</v>
      </c>
      <c r="D130" s="6" t="n">
        <f aca="false">ROUND(Veterancy_XP!$E$5*C130,1)</f>
        <v>360.4</v>
      </c>
      <c r="E130" s="6" t="n">
        <f aca="false">ROUND(B130/D130,2)</f>
        <v>0.77</v>
      </c>
      <c r="F130" s="6" t="n">
        <f aca="false">ROUND(F129+E130,2)</f>
        <v>70.3</v>
      </c>
    </row>
    <row r="131" customFormat="false" ht="15" hidden="false" customHeight="true" outlineLevel="0" collapsed="false">
      <c r="A131" s="6" t="n">
        <v>129</v>
      </c>
      <c r="B131" s="6" t="n">
        <f aca="false">ROUND(Veterancy_XP!$B$5*(A131+1)^Veterancy_XP!$B$6,0)</f>
        <v>278</v>
      </c>
      <c r="C131" s="6" t="n">
        <f aca="false">ROUND(1/(A131+1)^Veterancy_XP!$E$6,4)</f>
        <v>0.3598</v>
      </c>
      <c r="D131" s="6" t="n">
        <f aca="false">ROUND(Veterancy_XP!$E$5*C131,1)</f>
        <v>359.8</v>
      </c>
      <c r="E131" s="6" t="n">
        <f aca="false">ROUND(B131/D131,2)</f>
        <v>0.77</v>
      </c>
      <c r="F131" s="6" t="n">
        <f aca="false">ROUND(F130+E131,2)</f>
        <v>71.07</v>
      </c>
    </row>
    <row r="132" customFormat="false" ht="15" hidden="false" customHeight="true" outlineLevel="0" collapsed="false">
      <c r="A132" s="6" t="n">
        <v>130</v>
      </c>
      <c r="B132" s="6" t="n">
        <f aca="false">ROUND(Veterancy_XP!$B$5*(A132+1)^Veterancy_XP!$B$6,0)</f>
        <v>278</v>
      </c>
      <c r="C132" s="6" t="n">
        <f aca="false">ROUND(1/(A132+1)^Veterancy_XP!$E$6,4)</f>
        <v>0.3592</v>
      </c>
      <c r="D132" s="6" t="n">
        <f aca="false">ROUND(Veterancy_XP!$E$5*C132,1)</f>
        <v>359.2</v>
      </c>
      <c r="E132" s="6" t="n">
        <f aca="false">ROUND(B132/D132,2)</f>
        <v>0.77</v>
      </c>
      <c r="F132" s="6" t="n">
        <f aca="false">ROUND(F131+E132,2)</f>
        <v>71.84</v>
      </c>
    </row>
    <row r="133" customFormat="false" ht="15" hidden="false" customHeight="true" outlineLevel="0" collapsed="false">
      <c r="A133" s="6" t="n">
        <v>131</v>
      </c>
      <c r="B133" s="6" t="n">
        <f aca="false">ROUND(Veterancy_XP!$B$5*(A133+1)^Veterancy_XP!$B$6,0)</f>
        <v>279</v>
      </c>
      <c r="C133" s="6" t="n">
        <f aca="false">ROUND(1/(A133+1)^Veterancy_XP!$E$6,4)</f>
        <v>0.3587</v>
      </c>
      <c r="D133" s="6" t="n">
        <f aca="false">ROUND(Veterancy_XP!$E$5*C133,1)</f>
        <v>358.7</v>
      </c>
      <c r="E133" s="6" t="n">
        <f aca="false">ROUND(B133/D133,2)</f>
        <v>0.78</v>
      </c>
      <c r="F133" s="6" t="n">
        <f aca="false">ROUND(F132+E133,2)</f>
        <v>72.62</v>
      </c>
    </row>
    <row r="134" customFormat="false" ht="15" hidden="false" customHeight="true" outlineLevel="0" collapsed="false">
      <c r="A134" s="6" t="n">
        <v>132</v>
      </c>
      <c r="B134" s="6" t="n">
        <f aca="false">ROUND(Veterancy_XP!$B$5*(A134+1)^Veterancy_XP!$B$6,0)</f>
        <v>279</v>
      </c>
      <c r="C134" s="6" t="n">
        <f aca="false">ROUND(1/(A134+1)^Veterancy_XP!$E$6,4)</f>
        <v>0.3581</v>
      </c>
      <c r="D134" s="6" t="n">
        <f aca="false">ROUND(Veterancy_XP!$E$5*C134,1)</f>
        <v>358.1</v>
      </c>
      <c r="E134" s="6" t="n">
        <f aca="false">ROUND(B134/D134,2)</f>
        <v>0.78</v>
      </c>
      <c r="F134" s="6" t="n">
        <f aca="false">ROUND(F133+E134,2)</f>
        <v>73.4</v>
      </c>
    </row>
    <row r="135" customFormat="false" ht="15" hidden="false" customHeight="true" outlineLevel="0" collapsed="false">
      <c r="A135" s="6" t="n">
        <v>133</v>
      </c>
      <c r="B135" s="6" t="n">
        <f aca="false">ROUND(Veterancy_XP!$B$5*(A135+1)^Veterancy_XP!$B$6,0)</f>
        <v>280</v>
      </c>
      <c r="C135" s="6" t="n">
        <f aca="false">ROUND(1/(A135+1)^Veterancy_XP!$E$6,4)</f>
        <v>0.3575</v>
      </c>
      <c r="D135" s="6" t="n">
        <f aca="false">ROUND(Veterancy_XP!$E$5*C135,1)</f>
        <v>357.5</v>
      </c>
      <c r="E135" s="6" t="n">
        <f aca="false">ROUND(B135/D135,2)</f>
        <v>0.78</v>
      </c>
      <c r="F135" s="6" t="n">
        <f aca="false">ROUND(F134+E135,2)</f>
        <v>74.18</v>
      </c>
    </row>
    <row r="136" customFormat="false" ht="15" hidden="false" customHeight="true" outlineLevel="0" collapsed="false">
      <c r="A136" s="6" t="n">
        <v>134</v>
      </c>
      <c r="B136" s="6" t="n">
        <f aca="false">ROUND(Veterancy_XP!$B$5*(A136+1)^Veterancy_XP!$B$6,0)</f>
        <v>280</v>
      </c>
      <c r="C136" s="6" t="n">
        <f aca="false">ROUND(1/(A136+1)^Veterancy_XP!$E$6,4)</f>
        <v>0.357</v>
      </c>
      <c r="D136" s="6" t="n">
        <f aca="false">ROUND(Veterancy_XP!$E$5*C136,1)</f>
        <v>357</v>
      </c>
      <c r="E136" s="6" t="n">
        <f aca="false">ROUND(B136/D136,2)</f>
        <v>0.78</v>
      </c>
      <c r="F136" s="6" t="n">
        <f aca="false">ROUND(F135+E136,2)</f>
        <v>74.96</v>
      </c>
    </row>
    <row r="137" customFormat="false" ht="15" hidden="false" customHeight="true" outlineLevel="0" collapsed="false">
      <c r="A137" s="6" t="n">
        <v>135</v>
      </c>
      <c r="B137" s="6" t="n">
        <f aca="false">ROUND(Veterancy_XP!$B$5*(A137+1)^Veterancy_XP!$B$6,0)</f>
        <v>281</v>
      </c>
      <c r="C137" s="6" t="n">
        <f aca="false">ROUND(1/(A137+1)^Veterancy_XP!$E$6,4)</f>
        <v>0.3564</v>
      </c>
      <c r="D137" s="6" t="n">
        <f aca="false">ROUND(Veterancy_XP!$E$5*C137,1)</f>
        <v>356.4</v>
      </c>
      <c r="E137" s="6" t="n">
        <f aca="false">ROUND(B137/D137,2)</f>
        <v>0.79</v>
      </c>
      <c r="F137" s="6" t="n">
        <f aca="false">ROUND(F136+E137,2)</f>
        <v>75.75</v>
      </c>
    </row>
    <row r="138" customFormat="false" ht="15" hidden="false" customHeight="true" outlineLevel="0" collapsed="false">
      <c r="A138" s="6" t="n">
        <v>136</v>
      </c>
      <c r="B138" s="6" t="n">
        <f aca="false">ROUND(Veterancy_XP!$B$5*(A138+1)^Veterancy_XP!$B$6,0)</f>
        <v>281</v>
      </c>
      <c r="C138" s="6" t="n">
        <f aca="false">ROUND(1/(A138+1)^Veterancy_XP!$E$6,4)</f>
        <v>0.3559</v>
      </c>
      <c r="D138" s="6" t="n">
        <f aca="false">ROUND(Veterancy_XP!$E$5*C138,1)</f>
        <v>355.9</v>
      </c>
      <c r="E138" s="6" t="n">
        <f aca="false">ROUND(B138/D138,2)</f>
        <v>0.79</v>
      </c>
      <c r="F138" s="6" t="n">
        <f aca="false">ROUND(F137+E138,2)</f>
        <v>76.54</v>
      </c>
    </row>
    <row r="139" customFormat="false" ht="15" hidden="false" customHeight="true" outlineLevel="0" collapsed="false">
      <c r="A139" s="6" t="n">
        <v>137</v>
      </c>
      <c r="B139" s="6" t="n">
        <f aca="false">ROUND(Veterancy_XP!$B$5*(A139+1)^Veterancy_XP!$B$6,0)</f>
        <v>281</v>
      </c>
      <c r="C139" s="6" t="n">
        <f aca="false">ROUND(1/(A139+1)^Veterancy_XP!$E$6,4)</f>
        <v>0.3553</v>
      </c>
      <c r="D139" s="6" t="n">
        <f aca="false">ROUND(Veterancy_XP!$E$5*C139,1)</f>
        <v>355.3</v>
      </c>
      <c r="E139" s="6" t="n">
        <f aca="false">ROUND(B139/D139,2)</f>
        <v>0.79</v>
      </c>
      <c r="F139" s="6" t="n">
        <f aca="false">ROUND(F138+E139,2)</f>
        <v>77.33</v>
      </c>
    </row>
    <row r="140" customFormat="false" ht="15" hidden="false" customHeight="true" outlineLevel="0" collapsed="false">
      <c r="A140" s="6" t="n">
        <v>138</v>
      </c>
      <c r="B140" s="6" t="n">
        <f aca="false">ROUND(Veterancy_XP!$B$5*(A140+1)^Veterancy_XP!$B$6,0)</f>
        <v>282</v>
      </c>
      <c r="C140" s="6" t="n">
        <f aca="false">ROUND(1/(A140+1)^Veterancy_XP!$E$6,4)</f>
        <v>0.3548</v>
      </c>
      <c r="D140" s="6" t="n">
        <f aca="false">ROUND(Veterancy_XP!$E$5*C140,1)</f>
        <v>354.8</v>
      </c>
      <c r="E140" s="6" t="n">
        <f aca="false">ROUND(B140/D140,2)</f>
        <v>0.79</v>
      </c>
      <c r="F140" s="6" t="n">
        <f aca="false">ROUND(F139+E140,2)</f>
        <v>78.12</v>
      </c>
    </row>
    <row r="141" customFormat="false" ht="15" hidden="false" customHeight="true" outlineLevel="0" collapsed="false">
      <c r="A141" s="6" t="n">
        <v>139</v>
      </c>
      <c r="B141" s="6" t="n">
        <f aca="false">ROUND(Veterancy_XP!$B$5*(A141+1)^Veterancy_XP!$B$6,0)</f>
        <v>282</v>
      </c>
      <c r="C141" s="6" t="n">
        <f aca="false">ROUND(1/(A141+1)^Veterancy_XP!$E$6,4)</f>
        <v>0.3543</v>
      </c>
      <c r="D141" s="6" t="n">
        <f aca="false">ROUND(Veterancy_XP!$E$5*C141,1)</f>
        <v>354.3</v>
      </c>
      <c r="E141" s="6" t="n">
        <f aca="false">ROUND(B141/D141,2)</f>
        <v>0.8</v>
      </c>
      <c r="F141" s="6" t="n">
        <f aca="false">ROUND(F140+E141,2)</f>
        <v>78.92</v>
      </c>
    </row>
    <row r="142" customFormat="false" ht="15" hidden="false" customHeight="true" outlineLevel="0" collapsed="false">
      <c r="A142" s="6" t="n">
        <v>140</v>
      </c>
      <c r="B142" s="6" t="n">
        <f aca="false">ROUND(Veterancy_XP!$B$5*(A142+1)^Veterancy_XP!$B$6,0)</f>
        <v>283</v>
      </c>
      <c r="C142" s="6" t="n">
        <f aca="false">ROUND(1/(A142+1)^Veterancy_XP!$E$6,4)</f>
        <v>0.3537</v>
      </c>
      <c r="D142" s="6" t="n">
        <f aca="false">ROUND(Veterancy_XP!$E$5*C142,1)</f>
        <v>353.7</v>
      </c>
      <c r="E142" s="6" t="n">
        <f aca="false">ROUND(B142/D142,2)</f>
        <v>0.8</v>
      </c>
      <c r="F142" s="6" t="n">
        <f aca="false">ROUND(F141+E142,2)</f>
        <v>79.72</v>
      </c>
    </row>
    <row r="143" customFormat="false" ht="15" hidden="false" customHeight="true" outlineLevel="0" collapsed="false">
      <c r="A143" s="6" t="n">
        <v>141</v>
      </c>
      <c r="B143" s="6" t="n">
        <f aca="false">ROUND(Veterancy_XP!$B$5*(A143+1)^Veterancy_XP!$B$6,0)</f>
        <v>283</v>
      </c>
      <c r="C143" s="6" t="n">
        <f aca="false">ROUND(1/(A143+1)^Veterancy_XP!$E$6,4)</f>
        <v>0.3532</v>
      </c>
      <c r="D143" s="6" t="n">
        <f aca="false">ROUND(Veterancy_XP!$E$5*C143,1)</f>
        <v>353.2</v>
      </c>
      <c r="E143" s="6" t="n">
        <f aca="false">ROUND(B143/D143,2)</f>
        <v>0.8</v>
      </c>
      <c r="F143" s="6" t="n">
        <f aca="false">ROUND(F142+E143,2)</f>
        <v>80.52</v>
      </c>
    </row>
    <row r="144" customFormat="false" ht="15" hidden="false" customHeight="true" outlineLevel="0" collapsed="false">
      <c r="A144" s="6" t="n">
        <v>142</v>
      </c>
      <c r="B144" s="6" t="n">
        <f aca="false">ROUND(Veterancy_XP!$B$5*(A144+1)^Veterancy_XP!$B$6,0)</f>
        <v>284</v>
      </c>
      <c r="C144" s="6" t="n">
        <f aca="false">ROUND(1/(A144+1)^Veterancy_XP!$E$6,4)</f>
        <v>0.3527</v>
      </c>
      <c r="D144" s="6" t="n">
        <f aca="false">ROUND(Veterancy_XP!$E$5*C144,1)</f>
        <v>352.7</v>
      </c>
      <c r="E144" s="6" t="n">
        <f aca="false">ROUND(B144/D144,2)</f>
        <v>0.81</v>
      </c>
      <c r="F144" s="6" t="n">
        <f aca="false">ROUND(F143+E144,2)</f>
        <v>81.33</v>
      </c>
    </row>
    <row r="145" customFormat="false" ht="15" hidden="false" customHeight="true" outlineLevel="0" collapsed="false">
      <c r="A145" s="6" t="n">
        <v>143</v>
      </c>
      <c r="B145" s="6" t="n">
        <f aca="false">ROUND(Veterancy_XP!$B$5*(A145+1)^Veterancy_XP!$B$6,0)</f>
        <v>284</v>
      </c>
      <c r="C145" s="6" t="n">
        <f aca="false">ROUND(1/(A145+1)^Veterancy_XP!$E$6,4)</f>
        <v>0.3522</v>
      </c>
      <c r="D145" s="6" t="n">
        <f aca="false">ROUND(Veterancy_XP!$E$5*C145,1)</f>
        <v>352.2</v>
      </c>
      <c r="E145" s="6" t="n">
        <f aca="false">ROUND(B145/D145,2)</f>
        <v>0.81</v>
      </c>
      <c r="F145" s="6" t="n">
        <f aca="false">ROUND(F144+E145,2)</f>
        <v>82.14</v>
      </c>
    </row>
    <row r="146" customFormat="false" ht="15" hidden="false" customHeight="true" outlineLevel="0" collapsed="false">
      <c r="A146" s="6" t="n">
        <v>144</v>
      </c>
      <c r="B146" s="6" t="n">
        <f aca="false">ROUND(Veterancy_XP!$B$5*(A146+1)^Veterancy_XP!$B$6,0)</f>
        <v>284</v>
      </c>
      <c r="C146" s="6" t="n">
        <f aca="false">ROUND(1/(A146+1)^Veterancy_XP!$E$6,4)</f>
        <v>0.3517</v>
      </c>
      <c r="D146" s="6" t="n">
        <f aca="false">ROUND(Veterancy_XP!$E$5*C146,1)</f>
        <v>351.7</v>
      </c>
      <c r="E146" s="6" t="n">
        <f aca="false">ROUND(B146/D146,2)</f>
        <v>0.81</v>
      </c>
      <c r="F146" s="6" t="n">
        <f aca="false">ROUND(F145+E146,2)</f>
        <v>82.95</v>
      </c>
    </row>
    <row r="147" customFormat="false" ht="15" hidden="false" customHeight="true" outlineLevel="0" collapsed="false">
      <c r="A147" s="6" t="n">
        <v>145</v>
      </c>
      <c r="B147" s="6" t="n">
        <f aca="false">ROUND(Veterancy_XP!$B$5*(A147+1)^Veterancy_XP!$B$6,0)</f>
        <v>285</v>
      </c>
      <c r="C147" s="6" t="n">
        <f aca="false">ROUND(1/(A147+1)^Veterancy_XP!$E$6,4)</f>
        <v>0.3511</v>
      </c>
      <c r="D147" s="6" t="n">
        <f aca="false">ROUND(Veterancy_XP!$E$5*C147,1)</f>
        <v>351.1</v>
      </c>
      <c r="E147" s="6" t="n">
        <f aca="false">ROUND(B147/D147,2)</f>
        <v>0.81</v>
      </c>
      <c r="F147" s="6" t="n">
        <f aca="false">ROUND(F146+E147,2)</f>
        <v>83.76</v>
      </c>
    </row>
    <row r="148" customFormat="false" ht="15" hidden="false" customHeight="true" outlineLevel="0" collapsed="false">
      <c r="A148" s="6" t="n">
        <v>146</v>
      </c>
      <c r="B148" s="6" t="n">
        <f aca="false">ROUND(Veterancy_XP!$B$5*(A148+1)^Veterancy_XP!$B$6,0)</f>
        <v>285</v>
      </c>
      <c r="C148" s="6" t="n">
        <f aca="false">ROUND(1/(A148+1)^Veterancy_XP!$E$6,4)</f>
        <v>0.3506</v>
      </c>
      <c r="D148" s="6" t="n">
        <f aca="false">ROUND(Veterancy_XP!$E$5*C148,1)</f>
        <v>350.6</v>
      </c>
      <c r="E148" s="6" t="n">
        <f aca="false">ROUND(B148/D148,2)</f>
        <v>0.81</v>
      </c>
      <c r="F148" s="6" t="n">
        <f aca="false">ROUND(F147+E148,2)</f>
        <v>84.57</v>
      </c>
    </row>
    <row r="149" customFormat="false" ht="15" hidden="false" customHeight="true" outlineLevel="0" collapsed="false">
      <c r="A149" s="6" t="n">
        <v>147</v>
      </c>
      <c r="B149" s="6" t="n">
        <f aca="false">ROUND(Veterancy_XP!$B$5*(A149+1)^Veterancy_XP!$B$6,0)</f>
        <v>286</v>
      </c>
      <c r="C149" s="6" t="n">
        <f aca="false">ROUND(1/(A149+1)^Veterancy_XP!$E$6,4)</f>
        <v>0.3501</v>
      </c>
      <c r="D149" s="6" t="n">
        <f aca="false">ROUND(Veterancy_XP!$E$5*C149,1)</f>
        <v>350.1</v>
      </c>
      <c r="E149" s="6" t="n">
        <f aca="false">ROUND(B149/D149,2)</f>
        <v>0.82</v>
      </c>
      <c r="F149" s="6" t="n">
        <f aca="false">ROUND(F148+E149,2)</f>
        <v>85.39</v>
      </c>
    </row>
    <row r="150" customFormat="false" ht="15" hidden="false" customHeight="true" outlineLevel="0" collapsed="false">
      <c r="A150" s="6" t="n">
        <v>148</v>
      </c>
      <c r="B150" s="6" t="n">
        <f aca="false">ROUND(Veterancy_XP!$B$5*(A150+1)^Veterancy_XP!$B$6,0)</f>
        <v>286</v>
      </c>
      <c r="C150" s="6" t="n">
        <f aca="false">ROUND(1/(A150+1)^Veterancy_XP!$E$6,4)</f>
        <v>0.3496</v>
      </c>
      <c r="D150" s="6" t="n">
        <f aca="false">ROUND(Veterancy_XP!$E$5*C150,1)</f>
        <v>349.6</v>
      </c>
      <c r="E150" s="6" t="n">
        <f aca="false">ROUND(B150/D150,2)</f>
        <v>0.82</v>
      </c>
      <c r="F150" s="6" t="n">
        <f aca="false">ROUND(F149+E150,2)</f>
        <v>86.21</v>
      </c>
    </row>
    <row r="151" customFormat="false" ht="15" hidden="false" customHeight="true" outlineLevel="0" collapsed="false">
      <c r="A151" s="6" t="n">
        <v>149</v>
      </c>
      <c r="B151" s="6" t="n">
        <f aca="false">ROUND(Veterancy_XP!$B$5*(A151+1)^Veterancy_XP!$B$6,0)</f>
        <v>286</v>
      </c>
      <c r="C151" s="6" t="n">
        <f aca="false">ROUND(1/(A151+1)^Veterancy_XP!$E$6,4)</f>
        <v>0.3492</v>
      </c>
      <c r="D151" s="6" t="n">
        <f aca="false">ROUND(Veterancy_XP!$E$5*C151,1)</f>
        <v>349.2</v>
      </c>
      <c r="E151" s="6" t="n">
        <f aca="false">ROUND(B151/D151,2)</f>
        <v>0.82</v>
      </c>
      <c r="F151" s="6" t="n">
        <f aca="false">ROUND(F150+E151,2)</f>
        <v>87.03</v>
      </c>
    </row>
    <row r="152" customFormat="false" ht="15" hidden="false" customHeight="true" outlineLevel="0" collapsed="false">
      <c r="A152" s="6" t="n">
        <v>150</v>
      </c>
      <c r="B152" s="6" t="n">
        <f aca="false">ROUND(Veterancy_XP!$B$5*(A152+1)^Veterancy_XP!$B$6,0)</f>
        <v>287</v>
      </c>
      <c r="C152" s="6" t="n">
        <f aca="false">ROUND(1/(A152+1)^Veterancy_XP!$E$6,4)</f>
        <v>0.3487</v>
      </c>
      <c r="D152" s="6" t="n">
        <f aca="false">ROUND(Veterancy_XP!$E$5*C152,1)</f>
        <v>348.7</v>
      </c>
      <c r="E152" s="6" t="n">
        <f aca="false">ROUND(B152/D152,2)</f>
        <v>0.82</v>
      </c>
      <c r="F152" s="6" t="n">
        <f aca="false">ROUND(F151+E152,2)</f>
        <v>87.85</v>
      </c>
    </row>
    <row r="153" customFormat="false" ht="15" hidden="false" customHeight="true" outlineLevel="0" collapsed="false">
      <c r="A153" s="6" t="n">
        <v>151</v>
      </c>
      <c r="B153" s="6" t="n">
        <f aca="false">ROUND(Veterancy_XP!$B$5*(A153+1)^Veterancy_XP!$B$6,0)</f>
        <v>287</v>
      </c>
      <c r="C153" s="6" t="n">
        <f aca="false">ROUND(1/(A153+1)^Veterancy_XP!$E$6,4)</f>
        <v>0.3482</v>
      </c>
      <c r="D153" s="6" t="n">
        <f aca="false">ROUND(Veterancy_XP!$E$5*C153,1)</f>
        <v>348.2</v>
      </c>
      <c r="E153" s="6" t="n">
        <f aca="false">ROUND(B153/D153,2)</f>
        <v>0.82</v>
      </c>
      <c r="F153" s="6" t="n">
        <f aca="false">ROUND(F152+E153,2)</f>
        <v>88.67</v>
      </c>
    </row>
    <row r="154" customFormat="false" ht="15" hidden="false" customHeight="true" outlineLevel="0" collapsed="false">
      <c r="A154" s="6" t="n">
        <v>152</v>
      </c>
      <c r="B154" s="6" t="n">
        <f aca="false">ROUND(Veterancy_XP!$B$5*(A154+1)^Veterancy_XP!$B$6,0)</f>
        <v>288</v>
      </c>
      <c r="C154" s="6" t="n">
        <f aca="false">ROUND(1/(A154+1)^Veterancy_XP!$E$6,4)</f>
        <v>0.3477</v>
      </c>
      <c r="D154" s="6" t="n">
        <f aca="false">ROUND(Veterancy_XP!$E$5*C154,1)</f>
        <v>347.7</v>
      </c>
      <c r="E154" s="6" t="n">
        <f aca="false">ROUND(B154/D154,2)</f>
        <v>0.83</v>
      </c>
      <c r="F154" s="6" t="n">
        <f aca="false">ROUND(F153+E154,2)</f>
        <v>89.5</v>
      </c>
    </row>
    <row r="155" customFormat="false" ht="15" hidden="false" customHeight="true" outlineLevel="0" collapsed="false">
      <c r="A155" s="6" t="n">
        <v>153</v>
      </c>
      <c r="B155" s="6" t="n">
        <f aca="false">ROUND(Veterancy_XP!$B$5*(A155+1)^Veterancy_XP!$B$6,0)</f>
        <v>288</v>
      </c>
      <c r="C155" s="6" t="n">
        <f aca="false">ROUND(1/(A155+1)^Veterancy_XP!$E$6,4)</f>
        <v>0.3472</v>
      </c>
      <c r="D155" s="6" t="n">
        <f aca="false">ROUND(Veterancy_XP!$E$5*C155,1)</f>
        <v>347.2</v>
      </c>
      <c r="E155" s="6" t="n">
        <f aca="false">ROUND(B155/D155,2)</f>
        <v>0.83</v>
      </c>
      <c r="F155" s="6" t="n">
        <f aca="false">ROUND(F154+E155,2)</f>
        <v>90.33</v>
      </c>
    </row>
    <row r="156" customFormat="false" ht="15" hidden="false" customHeight="true" outlineLevel="0" collapsed="false">
      <c r="A156" s="6" t="n">
        <v>154</v>
      </c>
      <c r="B156" s="6" t="n">
        <f aca="false">ROUND(Veterancy_XP!$B$5*(A156+1)^Veterancy_XP!$B$6,0)</f>
        <v>288</v>
      </c>
      <c r="C156" s="6" t="n">
        <f aca="false">ROUND(1/(A156+1)^Veterancy_XP!$E$6,4)</f>
        <v>0.3468</v>
      </c>
      <c r="D156" s="6" t="n">
        <f aca="false">ROUND(Veterancy_XP!$E$5*C156,1)</f>
        <v>346.8</v>
      </c>
      <c r="E156" s="6" t="n">
        <f aca="false">ROUND(B156/D156,2)</f>
        <v>0.83</v>
      </c>
      <c r="F156" s="6" t="n">
        <f aca="false">ROUND(F155+E156,2)</f>
        <v>91.16</v>
      </c>
    </row>
    <row r="157" customFormat="false" ht="15" hidden="false" customHeight="true" outlineLevel="0" collapsed="false">
      <c r="A157" s="6" t="n">
        <v>155</v>
      </c>
      <c r="B157" s="6" t="n">
        <f aca="false">ROUND(Veterancy_XP!$B$5*(A157+1)^Veterancy_XP!$B$6,0)</f>
        <v>289</v>
      </c>
      <c r="C157" s="6" t="n">
        <f aca="false">ROUND(1/(A157+1)^Veterancy_XP!$E$6,4)</f>
        <v>0.3463</v>
      </c>
      <c r="D157" s="6" t="n">
        <f aca="false">ROUND(Veterancy_XP!$E$5*C157,1)</f>
        <v>346.3</v>
      </c>
      <c r="E157" s="6" t="n">
        <f aca="false">ROUND(B157/D157,2)</f>
        <v>0.83</v>
      </c>
      <c r="F157" s="6" t="n">
        <f aca="false">ROUND(F156+E157,2)</f>
        <v>91.99</v>
      </c>
    </row>
    <row r="158" customFormat="false" ht="15" hidden="false" customHeight="true" outlineLevel="0" collapsed="false">
      <c r="A158" s="6" t="n">
        <v>156</v>
      </c>
      <c r="B158" s="6" t="n">
        <f aca="false">ROUND(Veterancy_XP!$B$5*(A158+1)^Veterancy_XP!$B$6,0)</f>
        <v>289</v>
      </c>
      <c r="C158" s="6" t="n">
        <f aca="false">ROUND(1/(A158+1)^Veterancy_XP!$E$6,4)</f>
        <v>0.3458</v>
      </c>
      <c r="D158" s="6" t="n">
        <f aca="false">ROUND(Veterancy_XP!$E$5*C158,1)</f>
        <v>345.8</v>
      </c>
      <c r="E158" s="6" t="n">
        <f aca="false">ROUND(B158/D158,2)</f>
        <v>0.84</v>
      </c>
      <c r="F158" s="6" t="n">
        <f aca="false">ROUND(F157+E158,2)</f>
        <v>92.83</v>
      </c>
    </row>
    <row r="159" customFormat="false" ht="15" hidden="false" customHeight="true" outlineLevel="0" collapsed="false">
      <c r="A159" s="6" t="n">
        <v>157</v>
      </c>
      <c r="B159" s="6" t="n">
        <f aca="false">ROUND(Veterancy_XP!$B$5*(A159+1)^Veterancy_XP!$B$6,0)</f>
        <v>290</v>
      </c>
      <c r="C159" s="6" t="n">
        <f aca="false">ROUND(1/(A159+1)^Veterancy_XP!$E$6,4)</f>
        <v>0.3454</v>
      </c>
      <c r="D159" s="6" t="n">
        <f aca="false">ROUND(Veterancy_XP!$E$5*C159,1)</f>
        <v>345.4</v>
      </c>
      <c r="E159" s="6" t="n">
        <f aca="false">ROUND(B159/D159,2)</f>
        <v>0.84</v>
      </c>
      <c r="F159" s="6" t="n">
        <f aca="false">ROUND(F158+E159,2)</f>
        <v>93.67</v>
      </c>
    </row>
    <row r="160" customFormat="false" ht="15" hidden="false" customHeight="true" outlineLevel="0" collapsed="false">
      <c r="A160" s="6" t="n">
        <v>158</v>
      </c>
      <c r="B160" s="6" t="n">
        <f aca="false">ROUND(Veterancy_XP!$B$5*(A160+1)^Veterancy_XP!$B$6,0)</f>
        <v>290</v>
      </c>
      <c r="C160" s="6" t="n">
        <f aca="false">ROUND(1/(A160+1)^Veterancy_XP!$E$6,4)</f>
        <v>0.3449</v>
      </c>
      <c r="D160" s="6" t="n">
        <f aca="false">ROUND(Veterancy_XP!$E$5*C160,1)</f>
        <v>344.9</v>
      </c>
      <c r="E160" s="6" t="n">
        <f aca="false">ROUND(B160/D160,2)</f>
        <v>0.84</v>
      </c>
      <c r="F160" s="6" t="n">
        <f aca="false">ROUND(F159+E160,2)</f>
        <v>94.51</v>
      </c>
    </row>
    <row r="161" customFormat="false" ht="15" hidden="false" customHeight="true" outlineLevel="0" collapsed="false">
      <c r="A161" s="6" t="n">
        <v>159</v>
      </c>
      <c r="B161" s="6" t="n">
        <f aca="false">ROUND(Veterancy_XP!$B$5*(A161+1)^Veterancy_XP!$B$6,0)</f>
        <v>290</v>
      </c>
      <c r="C161" s="6" t="n">
        <f aca="false">ROUND(1/(A161+1)^Veterancy_XP!$E$6,4)</f>
        <v>0.3445</v>
      </c>
      <c r="D161" s="6" t="n">
        <f aca="false">ROUND(Veterancy_XP!$E$5*C161,1)</f>
        <v>344.5</v>
      </c>
      <c r="E161" s="6" t="n">
        <f aca="false">ROUND(B161/D161,2)</f>
        <v>0.84</v>
      </c>
      <c r="F161" s="6" t="n">
        <f aca="false">ROUND(F160+E161,2)</f>
        <v>95.35</v>
      </c>
    </row>
    <row r="162" customFormat="false" ht="15" hidden="false" customHeight="true" outlineLevel="0" collapsed="false">
      <c r="A162" s="6" t="n">
        <v>160</v>
      </c>
      <c r="B162" s="6" t="n">
        <f aca="false">ROUND(Veterancy_XP!$B$5*(A162+1)^Veterancy_XP!$B$6,0)</f>
        <v>291</v>
      </c>
      <c r="C162" s="6" t="n">
        <f aca="false">ROUND(1/(A162+1)^Veterancy_XP!$E$6,4)</f>
        <v>0.344</v>
      </c>
      <c r="D162" s="6" t="n">
        <f aca="false">ROUND(Veterancy_XP!$E$5*C162,1)</f>
        <v>344</v>
      </c>
      <c r="E162" s="6" t="n">
        <f aca="false">ROUND(B162/D162,2)</f>
        <v>0.85</v>
      </c>
      <c r="F162" s="6" t="n">
        <f aca="false">ROUND(F161+E162,2)</f>
        <v>96.2</v>
      </c>
    </row>
    <row r="163" customFormat="false" ht="15" hidden="false" customHeight="true" outlineLevel="0" collapsed="false">
      <c r="A163" s="6" t="n">
        <v>161</v>
      </c>
      <c r="B163" s="6" t="n">
        <f aca="false">ROUND(Veterancy_XP!$B$5*(A163+1)^Veterancy_XP!$B$6,0)</f>
        <v>291</v>
      </c>
      <c r="C163" s="6" t="n">
        <f aca="false">ROUND(1/(A163+1)^Veterancy_XP!$E$6,4)</f>
        <v>0.3436</v>
      </c>
      <c r="D163" s="6" t="n">
        <f aca="false">ROUND(Veterancy_XP!$E$5*C163,1)</f>
        <v>343.6</v>
      </c>
      <c r="E163" s="6" t="n">
        <f aca="false">ROUND(B163/D163,2)</f>
        <v>0.85</v>
      </c>
      <c r="F163" s="6" t="n">
        <f aca="false">ROUND(F162+E163,2)</f>
        <v>97.05</v>
      </c>
    </row>
    <row r="164" customFormat="false" ht="15" hidden="false" customHeight="true" outlineLevel="0" collapsed="false">
      <c r="A164" s="6" t="n">
        <v>162</v>
      </c>
      <c r="B164" s="6" t="n">
        <f aca="false">ROUND(Veterancy_XP!$B$5*(A164+1)^Veterancy_XP!$B$6,0)</f>
        <v>291</v>
      </c>
      <c r="C164" s="6" t="n">
        <f aca="false">ROUND(1/(A164+1)^Veterancy_XP!$E$6,4)</f>
        <v>0.3431</v>
      </c>
      <c r="D164" s="6" t="n">
        <f aca="false">ROUND(Veterancy_XP!$E$5*C164,1)</f>
        <v>343.1</v>
      </c>
      <c r="E164" s="6" t="n">
        <f aca="false">ROUND(B164/D164,2)</f>
        <v>0.85</v>
      </c>
      <c r="F164" s="6" t="n">
        <f aca="false">ROUND(F163+E164,2)</f>
        <v>97.9</v>
      </c>
    </row>
    <row r="165" customFormat="false" ht="15" hidden="false" customHeight="true" outlineLevel="0" collapsed="false">
      <c r="A165" s="6" t="n">
        <v>163</v>
      </c>
      <c r="B165" s="6" t="n">
        <f aca="false">ROUND(Veterancy_XP!$B$5*(A165+1)^Veterancy_XP!$B$6,0)</f>
        <v>292</v>
      </c>
      <c r="C165" s="6" t="n">
        <f aca="false">ROUND(1/(A165+1)^Veterancy_XP!$E$6,4)</f>
        <v>0.3427</v>
      </c>
      <c r="D165" s="6" t="n">
        <f aca="false">ROUND(Veterancy_XP!$E$5*C165,1)</f>
        <v>342.7</v>
      </c>
      <c r="E165" s="6" t="n">
        <f aca="false">ROUND(B165/D165,2)</f>
        <v>0.85</v>
      </c>
      <c r="F165" s="6" t="n">
        <f aca="false">ROUND(F164+E165,2)</f>
        <v>98.75</v>
      </c>
    </row>
    <row r="166" customFormat="false" ht="15" hidden="false" customHeight="true" outlineLevel="0" collapsed="false">
      <c r="A166" s="6" t="n">
        <v>164</v>
      </c>
      <c r="B166" s="6" t="n">
        <f aca="false">ROUND(Veterancy_XP!$B$5*(A166+1)^Veterancy_XP!$B$6,0)</f>
        <v>292</v>
      </c>
      <c r="C166" s="6" t="n">
        <f aca="false">ROUND(1/(A166+1)^Veterancy_XP!$E$6,4)</f>
        <v>0.3422</v>
      </c>
      <c r="D166" s="6" t="n">
        <f aca="false">ROUND(Veterancy_XP!$E$5*C166,1)</f>
        <v>342.2</v>
      </c>
      <c r="E166" s="6" t="n">
        <f aca="false">ROUND(B166/D166,2)</f>
        <v>0.85</v>
      </c>
      <c r="F166" s="6" t="n">
        <f aca="false">ROUND(F165+E166,2)</f>
        <v>99.6</v>
      </c>
    </row>
    <row r="167" customFormat="false" ht="15" hidden="false" customHeight="true" outlineLevel="0" collapsed="false">
      <c r="A167" s="6" t="n">
        <v>165</v>
      </c>
      <c r="B167" s="6" t="n">
        <f aca="false">ROUND(Veterancy_XP!$B$5*(A167+1)^Veterancy_XP!$B$6,0)</f>
        <v>293</v>
      </c>
      <c r="C167" s="6" t="n">
        <f aca="false">ROUND(1/(A167+1)^Veterancy_XP!$E$6,4)</f>
        <v>0.3418</v>
      </c>
      <c r="D167" s="6" t="n">
        <f aca="false">ROUND(Veterancy_XP!$E$5*C167,1)</f>
        <v>341.8</v>
      </c>
      <c r="E167" s="6" t="n">
        <f aca="false">ROUND(B167/D167,2)</f>
        <v>0.86</v>
      </c>
      <c r="F167" s="6" t="n">
        <f aca="false">ROUND(F166+E167,2)</f>
        <v>100.46</v>
      </c>
    </row>
    <row r="168" customFormat="false" ht="15" hidden="false" customHeight="true" outlineLevel="0" collapsed="false">
      <c r="A168" s="6" t="n">
        <v>166</v>
      </c>
      <c r="B168" s="6" t="n">
        <f aca="false">ROUND(Veterancy_XP!$B$5*(A168+1)^Veterancy_XP!$B$6,0)</f>
        <v>293</v>
      </c>
      <c r="C168" s="6" t="n">
        <f aca="false">ROUND(1/(A168+1)^Veterancy_XP!$E$6,4)</f>
        <v>0.3414</v>
      </c>
      <c r="D168" s="6" t="n">
        <f aca="false">ROUND(Veterancy_XP!$E$5*C168,1)</f>
        <v>341.4</v>
      </c>
      <c r="E168" s="6" t="n">
        <f aca="false">ROUND(B168/D168,2)</f>
        <v>0.86</v>
      </c>
      <c r="F168" s="6" t="n">
        <f aca="false">ROUND(F167+E168,2)</f>
        <v>101.32</v>
      </c>
    </row>
    <row r="169" customFormat="false" ht="15" hidden="false" customHeight="true" outlineLevel="0" collapsed="false">
      <c r="A169" s="6" t="n">
        <v>167</v>
      </c>
      <c r="B169" s="6" t="n">
        <f aca="false">ROUND(Veterancy_XP!$B$5*(A169+1)^Veterancy_XP!$B$6,0)</f>
        <v>293</v>
      </c>
      <c r="C169" s="6" t="n">
        <f aca="false">ROUND(1/(A169+1)^Veterancy_XP!$E$6,4)</f>
        <v>0.3409</v>
      </c>
      <c r="D169" s="6" t="n">
        <f aca="false">ROUND(Veterancy_XP!$E$5*C169,1)</f>
        <v>340.9</v>
      </c>
      <c r="E169" s="6" t="n">
        <f aca="false">ROUND(B169/D169,2)</f>
        <v>0.86</v>
      </c>
      <c r="F169" s="6" t="n">
        <f aca="false">ROUND(F168+E169,2)</f>
        <v>102.18</v>
      </c>
    </row>
    <row r="170" customFormat="false" ht="15" hidden="false" customHeight="true" outlineLevel="0" collapsed="false">
      <c r="A170" s="6" t="n">
        <v>168</v>
      </c>
      <c r="B170" s="6" t="n">
        <f aca="false">ROUND(Veterancy_XP!$B$5*(A170+1)^Veterancy_XP!$B$6,0)</f>
        <v>294</v>
      </c>
      <c r="C170" s="6" t="n">
        <f aca="false">ROUND(1/(A170+1)^Veterancy_XP!$E$6,4)</f>
        <v>0.3405</v>
      </c>
      <c r="D170" s="6" t="n">
        <f aca="false">ROUND(Veterancy_XP!$E$5*C170,1)</f>
        <v>340.5</v>
      </c>
      <c r="E170" s="6" t="n">
        <f aca="false">ROUND(B170/D170,2)</f>
        <v>0.86</v>
      </c>
      <c r="F170" s="6" t="n">
        <f aca="false">ROUND(F169+E170,2)</f>
        <v>103.04</v>
      </c>
    </row>
    <row r="171" customFormat="false" ht="15" hidden="false" customHeight="true" outlineLevel="0" collapsed="false">
      <c r="A171" s="6" t="n">
        <v>169</v>
      </c>
      <c r="B171" s="6" t="n">
        <f aca="false">ROUND(Veterancy_XP!$B$5*(A171+1)^Veterancy_XP!$B$6,0)</f>
        <v>294</v>
      </c>
      <c r="C171" s="6" t="n">
        <f aca="false">ROUND(1/(A171+1)^Veterancy_XP!$E$6,4)</f>
        <v>0.3401</v>
      </c>
      <c r="D171" s="6" t="n">
        <f aca="false">ROUND(Veterancy_XP!$E$5*C171,1)</f>
        <v>340.1</v>
      </c>
      <c r="E171" s="6" t="n">
        <f aca="false">ROUND(B171/D171,2)</f>
        <v>0.86</v>
      </c>
      <c r="F171" s="6" t="n">
        <f aca="false">ROUND(F170+E171,2)</f>
        <v>103.9</v>
      </c>
    </row>
    <row r="172" customFormat="false" ht="15" hidden="false" customHeight="true" outlineLevel="0" collapsed="false">
      <c r="A172" s="6" t="n">
        <v>170</v>
      </c>
      <c r="B172" s="6" t="n">
        <f aca="false">ROUND(Veterancy_XP!$B$5*(A172+1)^Veterancy_XP!$B$6,0)</f>
        <v>294</v>
      </c>
      <c r="C172" s="6" t="n">
        <f aca="false">ROUND(1/(A172+1)^Veterancy_XP!$E$6,4)</f>
        <v>0.3397</v>
      </c>
      <c r="D172" s="6" t="n">
        <f aca="false">ROUND(Veterancy_XP!$E$5*C172,1)</f>
        <v>339.7</v>
      </c>
      <c r="E172" s="6" t="n">
        <f aca="false">ROUND(B172/D172,2)</f>
        <v>0.87</v>
      </c>
      <c r="F172" s="6" t="n">
        <f aca="false">ROUND(F171+E172,2)</f>
        <v>104.77</v>
      </c>
    </row>
    <row r="173" customFormat="false" ht="15" hidden="false" customHeight="true" outlineLevel="0" collapsed="false">
      <c r="A173" s="6" t="n">
        <v>171</v>
      </c>
      <c r="B173" s="6" t="n">
        <f aca="false">ROUND(Veterancy_XP!$B$5*(A173+1)^Veterancy_XP!$B$6,0)</f>
        <v>295</v>
      </c>
      <c r="C173" s="6" t="n">
        <f aca="false">ROUND(1/(A173+1)^Veterancy_XP!$E$6,4)</f>
        <v>0.3393</v>
      </c>
      <c r="D173" s="6" t="n">
        <f aca="false">ROUND(Veterancy_XP!$E$5*C173,1)</f>
        <v>339.3</v>
      </c>
      <c r="E173" s="6" t="n">
        <f aca="false">ROUND(B173/D173,2)</f>
        <v>0.87</v>
      </c>
      <c r="F173" s="6" t="n">
        <f aca="false">ROUND(F172+E173,2)</f>
        <v>105.64</v>
      </c>
    </row>
    <row r="174" customFormat="false" ht="15" hidden="false" customHeight="true" outlineLevel="0" collapsed="false">
      <c r="A174" s="6" t="n">
        <v>172</v>
      </c>
      <c r="B174" s="6" t="n">
        <f aca="false">ROUND(Veterancy_XP!$B$5*(A174+1)^Veterancy_XP!$B$6,0)</f>
        <v>295</v>
      </c>
      <c r="C174" s="6" t="n">
        <f aca="false">ROUND(1/(A174+1)^Veterancy_XP!$E$6,4)</f>
        <v>0.3389</v>
      </c>
      <c r="D174" s="6" t="n">
        <f aca="false">ROUND(Veterancy_XP!$E$5*C174,1)</f>
        <v>338.9</v>
      </c>
      <c r="E174" s="6" t="n">
        <f aca="false">ROUND(B174/D174,2)</f>
        <v>0.87</v>
      </c>
      <c r="F174" s="6" t="n">
        <f aca="false">ROUND(F173+E174,2)</f>
        <v>106.51</v>
      </c>
    </row>
    <row r="175" customFormat="false" ht="15" hidden="false" customHeight="true" outlineLevel="0" collapsed="false">
      <c r="A175" s="6" t="n">
        <v>173</v>
      </c>
      <c r="B175" s="6" t="n">
        <f aca="false">ROUND(Veterancy_XP!$B$5*(A175+1)^Veterancy_XP!$B$6,0)</f>
        <v>295</v>
      </c>
      <c r="C175" s="6" t="n">
        <f aca="false">ROUND(1/(A175+1)^Veterancy_XP!$E$6,4)</f>
        <v>0.3384</v>
      </c>
      <c r="D175" s="6" t="n">
        <f aca="false">ROUND(Veterancy_XP!$E$5*C175,1)</f>
        <v>338.4</v>
      </c>
      <c r="E175" s="6" t="n">
        <f aca="false">ROUND(B175/D175,2)</f>
        <v>0.87</v>
      </c>
      <c r="F175" s="6" t="n">
        <f aca="false">ROUND(F174+E175,2)</f>
        <v>107.38</v>
      </c>
    </row>
    <row r="176" customFormat="false" ht="15" hidden="false" customHeight="true" outlineLevel="0" collapsed="false">
      <c r="A176" s="6" t="n">
        <v>174</v>
      </c>
      <c r="B176" s="6" t="n">
        <f aca="false">ROUND(Veterancy_XP!$B$5*(A176+1)^Veterancy_XP!$B$6,0)</f>
        <v>296</v>
      </c>
      <c r="C176" s="6" t="n">
        <f aca="false">ROUND(1/(A176+1)^Veterancy_XP!$E$6,4)</f>
        <v>0.338</v>
      </c>
      <c r="D176" s="6" t="n">
        <f aca="false">ROUND(Veterancy_XP!$E$5*C176,1)</f>
        <v>338</v>
      </c>
      <c r="E176" s="6" t="n">
        <f aca="false">ROUND(B176/D176,2)</f>
        <v>0.88</v>
      </c>
      <c r="F176" s="6" t="n">
        <f aca="false">ROUND(F175+E176,2)</f>
        <v>108.26</v>
      </c>
    </row>
    <row r="177" customFormat="false" ht="15" hidden="false" customHeight="true" outlineLevel="0" collapsed="false">
      <c r="A177" s="6" t="n">
        <v>175</v>
      </c>
      <c r="B177" s="6" t="n">
        <f aca="false">ROUND(Veterancy_XP!$B$5*(A177+1)^Veterancy_XP!$B$6,0)</f>
        <v>296</v>
      </c>
      <c r="C177" s="6" t="n">
        <f aca="false">ROUND(1/(A177+1)^Veterancy_XP!$E$6,4)</f>
        <v>0.3376</v>
      </c>
      <c r="D177" s="6" t="n">
        <f aca="false">ROUND(Veterancy_XP!$E$5*C177,1)</f>
        <v>337.6</v>
      </c>
      <c r="E177" s="6" t="n">
        <f aca="false">ROUND(B177/D177,2)</f>
        <v>0.88</v>
      </c>
      <c r="F177" s="6" t="n">
        <f aca="false">ROUND(F176+E177,2)</f>
        <v>109.14</v>
      </c>
    </row>
    <row r="178" customFormat="false" ht="15" hidden="false" customHeight="true" outlineLevel="0" collapsed="false">
      <c r="A178" s="6" t="n">
        <v>176</v>
      </c>
      <c r="B178" s="6" t="n">
        <f aca="false">ROUND(Veterancy_XP!$B$5*(A178+1)^Veterancy_XP!$B$6,0)</f>
        <v>297</v>
      </c>
      <c r="C178" s="6" t="n">
        <f aca="false">ROUND(1/(A178+1)^Veterancy_XP!$E$6,4)</f>
        <v>0.3372</v>
      </c>
      <c r="D178" s="6" t="n">
        <f aca="false">ROUND(Veterancy_XP!$E$5*C178,1)</f>
        <v>337.2</v>
      </c>
      <c r="E178" s="6" t="n">
        <f aca="false">ROUND(B178/D178,2)</f>
        <v>0.88</v>
      </c>
      <c r="F178" s="6" t="n">
        <f aca="false">ROUND(F177+E178,2)</f>
        <v>110.02</v>
      </c>
    </row>
    <row r="179" customFormat="false" ht="15" hidden="false" customHeight="true" outlineLevel="0" collapsed="false">
      <c r="A179" s="6" t="n">
        <v>177</v>
      </c>
      <c r="B179" s="6" t="n">
        <f aca="false">ROUND(Veterancy_XP!$B$5*(A179+1)^Veterancy_XP!$B$6,0)</f>
        <v>297</v>
      </c>
      <c r="C179" s="6" t="n">
        <f aca="false">ROUND(1/(A179+1)^Veterancy_XP!$E$6,4)</f>
        <v>0.3368</v>
      </c>
      <c r="D179" s="6" t="n">
        <f aca="false">ROUND(Veterancy_XP!$E$5*C179,1)</f>
        <v>336.8</v>
      </c>
      <c r="E179" s="6" t="n">
        <f aca="false">ROUND(B179/D179,2)</f>
        <v>0.88</v>
      </c>
      <c r="F179" s="6" t="n">
        <f aca="false">ROUND(F178+E179,2)</f>
        <v>110.9</v>
      </c>
    </row>
    <row r="180" customFormat="false" ht="15" hidden="false" customHeight="true" outlineLevel="0" collapsed="false">
      <c r="A180" s="6" t="n">
        <v>178</v>
      </c>
      <c r="B180" s="6" t="n">
        <f aca="false">ROUND(Veterancy_XP!$B$5*(A180+1)^Veterancy_XP!$B$6,0)</f>
        <v>297</v>
      </c>
      <c r="C180" s="6" t="n">
        <f aca="false">ROUND(1/(A180+1)^Veterancy_XP!$E$6,4)</f>
        <v>0.3364</v>
      </c>
      <c r="D180" s="6" t="n">
        <f aca="false">ROUND(Veterancy_XP!$E$5*C180,1)</f>
        <v>336.4</v>
      </c>
      <c r="E180" s="6" t="n">
        <f aca="false">ROUND(B180/D180,2)</f>
        <v>0.88</v>
      </c>
      <c r="F180" s="6" t="n">
        <f aca="false">ROUND(F179+E180,2)</f>
        <v>111.78</v>
      </c>
    </row>
    <row r="181" customFormat="false" ht="15" hidden="false" customHeight="true" outlineLevel="0" collapsed="false">
      <c r="A181" s="6" t="n">
        <v>179</v>
      </c>
      <c r="B181" s="6" t="n">
        <f aca="false">ROUND(Veterancy_XP!$B$5*(A181+1)^Veterancy_XP!$B$6,0)</f>
        <v>298</v>
      </c>
      <c r="C181" s="6" t="n">
        <f aca="false">ROUND(1/(A181+1)^Veterancy_XP!$E$6,4)</f>
        <v>0.336</v>
      </c>
      <c r="D181" s="6" t="n">
        <f aca="false">ROUND(Veterancy_XP!$E$5*C181,1)</f>
        <v>336</v>
      </c>
      <c r="E181" s="6" t="n">
        <f aca="false">ROUND(B181/D181,2)</f>
        <v>0.89</v>
      </c>
      <c r="F181" s="6" t="n">
        <f aca="false">ROUND(F180+E181,2)</f>
        <v>112.67</v>
      </c>
    </row>
    <row r="182" customFormat="false" ht="15" hidden="false" customHeight="true" outlineLevel="0" collapsed="false">
      <c r="A182" s="6" t="n">
        <v>180</v>
      </c>
      <c r="B182" s="6" t="n">
        <f aca="false">ROUND(Veterancy_XP!$B$5*(A182+1)^Veterancy_XP!$B$6,0)</f>
        <v>298</v>
      </c>
      <c r="C182" s="6" t="n">
        <f aca="false">ROUND(1/(A182+1)^Veterancy_XP!$E$6,4)</f>
        <v>0.3357</v>
      </c>
      <c r="D182" s="6" t="n">
        <f aca="false">ROUND(Veterancy_XP!$E$5*C182,1)</f>
        <v>335.7</v>
      </c>
      <c r="E182" s="6" t="n">
        <f aca="false">ROUND(B182/D182,2)</f>
        <v>0.89</v>
      </c>
      <c r="F182" s="6" t="n">
        <f aca="false">ROUND(F181+E182,2)</f>
        <v>113.56</v>
      </c>
    </row>
    <row r="183" customFormat="false" ht="15" hidden="false" customHeight="true" outlineLevel="0" collapsed="false">
      <c r="A183" s="6" t="n">
        <v>181</v>
      </c>
      <c r="B183" s="6" t="n">
        <f aca="false">ROUND(Veterancy_XP!$B$5*(A183+1)^Veterancy_XP!$B$6,0)</f>
        <v>298</v>
      </c>
      <c r="C183" s="6" t="n">
        <f aca="false">ROUND(1/(A183+1)^Veterancy_XP!$E$6,4)</f>
        <v>0.3353</v>
      </c>
      <c r="D183" s="6" t="n">
        <f aca="false">ROUND(Veterancy_XP!$E$5*C183,1)</f>
        <v>335.3</v>
      </c>
      <c r="E183" s="6" t="n">
        <f aca="false">ROUND(B183/D183,2)</f>
        <v>0.89</v>
      </c>
      <c r="F183" s="6" t="n">
        <f aca="false">ROUND(F182+E183,2)</f>
        <v>114.45</v>
      </c>
    </row>
    <row r="184" customFormat="false" ht="15" hidden="false" customHeight="true" outlineLevel="0" collapsed="false">
      <c r="A184" s="6" t="n">
        <v>182</v>
      </c>
      <c r="B184" s="6" t="n">
        <f aca="false">ROUND(Veterancy_XP!$B$5*(A184+1)^Veterancy_XP!$B$6,0)</f>
        <v>299</v>
      </c>
      <c r="C184" s="6" t="n">
        <f aca="false">ROUND(1/(A184+1)^Veterancy_XP!$E$6,4)</f>
        <v>0.3349</v>
      </c>
      <c r="D184" s="6" t="n">
        <f aca="false">ROUND(Veterancy_XP!$E$5*C184,1)</f>
        <v>334.9</v>
      </c>
      <c r="E184" s="6" t="n">
        <f aca="false">ROUND(B184/D184,2)</f>
        <v>0.89</v>
      </c>
      <c r="F184" s="6" t="n">
        <f aca="false">ROUND(F183+E184,2)</f>
        <v>115.34</v>
      </c>
    </row>
    <row r="185" customFormat="false" ht="15" hidden="false" customHeight="true" outlineLevel="0" collapsed="false">
      <c r="A185" s="6" t="n">
        <v>183</v>
      </c>
      <c r="B185" s="6" t="n">
        <f aca="false">ROUND(Veterancy_XP!$B$5*(A185+1)^Veterancy_XP!$B$6,0)</f>
        <v>299</v>
      </c>
      <c r="C185" s="6" t="n">
        <f aca="false">ROUND(1/(A185+1)^Veterancy_XP!$E$6,4)</f>
        <v>0.3345</v>
      </c>
      <c r="D185" s="6" t="n">
        <f aca="false">ROUND(Veterancy_XP!$E$5*C185,1)</f>
        <v>334.5</v>
      </c>
      <c r="E185" s="6" t="n">
        <f aca="false">ROUND(B185/D185,2)</f>
        <v>0.89</v>
      </c>
      <c r="F185" s="6" t="n">
        <f aca="false">ROUND(F184+E185,2)</f>
        <v>116.23</v>
      </c>
    </row>
    <row r="186" customFormat="false" ht="15" hidden="false" customHeight="true" outlineLevel="0" collapsed="false">
      <c r="A186" s="6" t="n">
        <v>184</v>
      </c>
      <c r="B186" s="6" t="n">
        <f aca="false">ROUND(Veterancy_XP!$B$5*(A186+1)^Veterancy_XP!$B$6,0)</f>
        <v>299</v>
      </c>
      <c r="C186" s="6" t="n">
        <f aca="false">ROUND(1/(A186+1)^Veterancy_XP!$E$6,4)</f>
        <v>0.3341</v>
      </c>
      <c r="D186" s="6" t="n">
        <f aca="false">ROUND(Veterancy_XP!$E$5*C186,1)</f>
        <v>334.1</v>
      </c>
      <c r="E186" s="6" t="n">
        <f aca="false">ROUND(B186/D186,2)</f>
        <v>0.89</v>
      </c>
      <c r="F186" s="6" t="n">
        <f aca="false">ROUND(F185+E186,2)</f>
        <v>117.12</v>
      </c>
    </row>
    <row r="187" customFormat="false" ht="15" hidden="false" customHeight="true" outlineLevel="0" collapsed="false">
      <c r="A187" s="6" t="n">
        <v>185</v>
      </c>
      <c r="B187" s="6" t="n">
        <f aca="false">ROUND(Veterancy_XP!$B$5*(A187+1)^Veterancy_XP!$B$6,0)</f>
        <v>300</v>
      </c>
      <c r="C187" s="6" t="n">
        <f aca="false">ROUND(1/(A187+1)^Veterancy_XP!$E$6,4)</f>
        <v>0.3337</v>
      </c>
      <c r="D187" s="6" t="n">
        <f aca="false">ROUND(Veterancy_XP!$E$5*C187,1)</f>
        <v>333.7</v>
      </c>
      <c r="E187" s="6" t="n">
        <f aca="false">ROUND(B187/D187,2)</f>
        <v>0.9</v>
      </c>
      <c r="F187" s="6" t="n">
        <f aca="false">ROUND(F186+E187,2)</f>
        <v>118.02</v>
      </c>
    </row>
    <row r="188" customFormat="false" ht="15" hidden="false" customHeight="true" outlineLevel="0" collapsed="false">
      <c r="A188" s="6" t="n">
        <v>186</v>
      </c>
      <c r="B188" s="6" t="n">
        <f aca="false">ROUND(Veterancy_XP!$B$5*(A188+1)^Veterancy_XP!$B$6,0)</f>
        <v>300</v>
      </c>
      <c r="C188" s="6" t="n">
        <f aca="false">ROUND(1/(A188+1)^Veterancy_XP!$E$6,4)</f>
        <v>0.3334</v>
      </c>
      <c r="D188" s="6" t="n">
        <f aca="false">ROUND(Veterancy_XP!$E$5*C188,1)</f>
        <v>333.4</v>
      </c>
      <c r="E188" s="6" t="n">
        <f aca="false">ROUND(B188/D188,2)</f>
        <v>0.9</v>
      </c>
      <c r="F188" s="6" t="n">
        <f aca="false">ROUND(F187+E188,2)</f>
        <v>118.92</v>
      </c>
    </row>
    <row r="189" customFormat="false" ht="15" hidden="false" customHeight="true" outlineLevel="0" collapsed="false">
      <c r="A189" s="6" t="n">
        <v>187</v>
      </c>
      <c r="B189" s="6" t="n">
        <f aca="false">ROUND(Veterancy_XP!$B$5*(A189+1)^Veterancy_XP!$B$6,0)</f>
        <v>300</v>
      </c>
      <c r="C189" s="6" t="n">
        <f aca="false">ROUND(1/(A189+1)^Veterancy_XP!$E$6,4)</f>
        <v>0.333</v>
      </c>
      <c r="D189" s="6" t="n">
        <f aca="false">ROUND(Veterancy_XP!$E$5*C189,1)</f>
        <v>333</v>
      </c>
      <c r="E189" s="6" t="n">
        <f aca="false">ROUND(B189/D189,2)</f>
        <v>0.9</v>
      </c>
      <c r="F189" s="6" t="n">
        <f aca="false">ROUND(F188+E189,2)</f>
        <v>119.82</v>
      </c>
    </row>
    <row r="190" customFormat="false" ht="15" hidden="false" customHeight="true" outlineLevel="0" collapsed="false">
      <c r="A190" s="6" t="n">
        <v>188</v>
      </c>
      <c r="B190" s="6" t="n">
        <f aca="false">ROUND(Veterancy_XP!$B$5*(A190+1)^Veterancy_XP!$B$6,0)</f>
        <v>301</v>
      </c>
      <c r="C190" s="6" t="n">
        <f aca="false">ROUND(1/(A190+1)^Veterancy_XP!$E$6,4)</f>
        <v>0.3326</v>
      </c>
      <c r="D190" s="6" t="n">
        <f aca="false">ROUND(Veterancy_XP!$E$5*C190,1)</f>
        <v>332.6</v>
      </c>
      <c r="E190" s="6" t="n">
        <f aca="false">ROUND(B190/D190,2)</f>
        <v>0.9</v>
      </c>
      <c r="F190" s="6" t="n">
        <f aca="false">ROUND(F189+E190,2)</f>
        <v>120.72</v>
      </c>
    </row>
    <row r="191" customFormat="false" ht="15" hidden="false" customHeight="true" outlineLevel="0" collapsed="false">
      <c r="A191" s="6" t="n">
        <v>189</v>
      </c>
      <c r="B191" s="6" t="n">
        <f aca="false">ROUND(Veterancy_XP!$B$5*(A191+1)^Veterancy_XP!$B$6,0)</f>
        <v>301</v>
      </c>
      <c r="C191" s="6" t="n">
        <f aca="false">ROUND(1/(A191+1)^Veterancy_XP!$E$6,4)</f>
        <v>0.3322</v>
      </c>
      <c r="D191" s="6" t="n">
        <f aca="false">ROUND(Veterancy_XP!$E$5*C191,1)</f>
        <v>332.2</v>
      </c>
      <c r="E191" s="6" t="n">
        <f aca="false">ROUND(B191/D191,2)</f>
        <v>0.91</v>
      </c>
      <c r="F191" s="6" t="n">
        <f aca="false">ROUND(F190+E191,2)</f>
        <v>121.63</v>
      </c>
    </row>
    <row r="192" customFormat="false" ht="15" hidden="false" customHeight="true" outlineLevel="0" collapsed="false">
      <c r="A192" s="6" t="n">
        <v>190</v>
      </c>
      <c r="B192" s="6" t="n">
        <f aca="false">ROUND(Veterancy_XP!$B$5*(A192+1)^Veterancy_XP!$B$6,0)</f>
        <v>301</v>
      </c>
      <c r="C192" s="6" t="n">
        <f aca="false">ROUND(1/(A192+1)^Veterancy_XP!$E$6,4)</f>
        <v>0.3319</v>
      </c>
      <c r="D192" s="6" t="n">
        <f aca="false">ROUND(Veterancy_XP!$E$5*C192,1)</f>
        <v>331.9</v>
      </c>
      <c r="E192" s="6" t="n">
        <f aca="false">ROUND(B192/D192,2)</f>
        <v>0.91</v>
      </c>
      <c r="F192" s="6" t="n">
        <f aca="false">ROUND(F191+E192,2)</f>
        <v>122.54</v>
      </c>
    </row>
    <row r="193" customFormat="false" ht="15" hidden="false" customHeight="true" outlineLevel="0" collapsed="false">
      <c r="A193" s="6" t="n">
        <v>191</v>
      </c>
      <c r="B193" s="6" t="n">
        <f aca="false">ROUND(Veterancy_XP!$B$5*(A193+1)^Veterancy_XP!$B$6,0)</f>
        <v>302</v>
      </c>
      <c r="C193" s="6" t="n">
        <f aca="false">ROUND(1/(A193+1)^Veterancy_XP!$E$6,4)</f>
        <v>0.3315</v>
      </c>
      <c r="D193" s="6" t="n">
        <f aca="false">ROUND(Veterancy_XP!$E$5*C193,1)</f>
        <v>331.5</v>
      </c>
      <c r="E193" s="6" t="n">
        <f aca="false">ROUND(B193/D193,2)</f>
        <v>0.91</v>
      </c>
      <c r="F193" s="6" t="n">
        <f aca="false">ROUND(F192+E193,2)</f>
        <v>123.45</v>
      </c>
    </row>
    <row r="194" customFormat="false" ht="15" hidden="false" customHeight="true" outlineLevel="0" collapsed="false">
      <c r="A194" s="6" t="n">
        <v>192</v>
      </c>
      <c r="B194" s="6" t="n">
        <f aca="false">ROUND(Veterancy_XP!$B$5*(A194+1)^Veterancy_XP!$B$6,0)</f>
        <v>302</v>
      </c>
      <c r="C194" s="6" t="n">
        <f aca="false">ROUND(1/(A194+1)^Veterancy_XP!$E$6,4)</f>
        <v>0.3312</v>
      </c>
      <c r="D194" s="6" t="n">
        <f aca="false">ROUND(Veterancy_XP!$E$5*C194,1)</f>
        <v>331.2</v>
      </c>
      <c r="E194" s="6" t="n">
        <f aca="false">ROUND(B194/D194,2)</f>
        <v>0.91</v>
      </c>
      <c r="F194" s="6" t="n">
        <f aca="false">ROUND(F193+E194,2)</f>
        <v>124.36</v>
      </c>
    </row>
    <row r="195" customFormat="false" ht="15" hidden="false" customHeight="true" outlineLevel="0" collapsed="false">
      <c r="A195" s="6" t="n">
        <v>193</v>
      </c>
      <c r="B195" s="6" t="n">
        <f aca="false">ROUND(Veterancy_XP!$B$5*(A195+1)^Veterancy_XP!$B$6,0)</f>
        <v>302</v>
      </c>
      <c r="C195" s="6" t="n">
        <f aca="false">ROUND(1/(A195+1)^Veterancy_XP!$E$6,4)</f>
        <v>0.3308</v>
      </c>
      <c r="D195" s="6" t="n">
        <f aca="false">ROUND(Veterancy_XP!$E$5*C195,1)</f>
        <v>330.8</v>
      </c>
      <c r="E195" s="6" t="n">
        <f aca="false">ROUND(B195/D195,2)</f>
        <v>0.91</v>
      </c>
      <c r="F195" s="6" t="n">
        <f aca="false">ROUND(F194+E195,2)</f>
        <v>125.27</v>
      </c>
    </row>
    <row r="196" customFormat="false" ht="15" hidden="false" customHeight="true" outlineLevel="0" collapsed="false">
      <c r="A196" s="6" t="n">
        <v>194</v>
      </c>
      <c r="B196" s="6" t="n">
        <f aca="false">ROUND(Veterancy_XP!$B$5*(A196+1)^Veterancy_XP!$B$6,0)</f>
        <v>303</v>
      </c>
      <c r="C196" s="6" t="n">
        <f aca="false">ROUND(1/(A196+1)^Veterancy_XP!$E$6,4)</f>
        <v>0.3304</v>
      </c>
      <c r="D196" s="6" t="n">
        <f aca="false">ROUND(Veterancy_XP!$E$5*C196,1)</f>
        <v>330.4</v>
      </c>
      <c r="E196" s="6" t="n">
        <f aca="false">ROUND(B196/D196,2)</f>
        <v>0.92</v>
      </c>
      <c r="F196" s="6" t="n">
        <f aca="false">ROUND(F195+E196,2)</f>
        <v>126.19</v>
      </c>
    </row>
    <row r="197" customFormat="false" ht="15" hidden="false" customHeight="true" outlineLevel="0" collapsed="false">
      <c r="A197" s="6" t="n">
        <v>195</v>
      </c>
      <c r="B197" s="6" t="n">
        <f aca="false">ROUND(Veterancy_XP!$B$5*(A197+1)^Veterancy_XP!$B$6,0)</f>
        <v>303</v>
      </c>
      <c r="C197" s="6" t="n">
        <f aca="false">ROUND(1/(A197+1)^Veterancy_XP!$E$6,4)</f>
        <v>0.3301</v>
      </c>
      <c r="D197" s="6" t="n">
        <f aca="false">ROUND(Veterancy_XP!$E$5*C197,1)</f>
        <v>330.1</v>
      </c>
      <c r="E197" s="6" t="n">
        <f aca="false">ROUND(B197/D197,2)</f>
        <v>0.92</v>
      </c>
      <c r="F197" s="6" t="n">
        <f aca="false">ROUND(F196+E197,2)</f>
        <v>127.11</v>
      </c>
    </row>
    <row r="198" customFormat="false" ht="15" hidden="false" customHeight="true" outlineLevel="0" collapsed="false">
      <c r="A198" s="6" t="n">
        <v>196</v>
      </c>
      <c r="B198" s="6" t="n">
        <f aca="false">ROUND(Veterancy_XP!$B$5*(A198+1)^Veterancy_XP!$B$6,0)</f>
        <v>303</v>
      </c>
      <c r="C198" s="6" t="n">
        <f aca="false">ROUND(1/(A198+1)^Veterancy_XP!$E$6,4)</f>
        <v>0.3297</v>
      </c>
      <c r="D198" s="6" t="n">
        <f aca="false">ROUND(Veterancy_XP!$E$5*C198,1)</f>
        <v>329.7</v>
      </c>
      <c r="E198" s="6" t="n">
        <f aca="false">ROUND(B198/D198,2)</f>
        <v>0.92</v>
      </c>
      <c r="F198" s="6" t="n">
        <f aca="false">ROUND(F197+E198,2)</f>
        <v>128.03</v>
      </c>
    </row>
    <row r="199" customFormat="false" ht="15" hidden="false" customHeight="true" outlineLevel="0" collapsed="false">
      <c r="A199" s="6" t="n">
        <v>197</v>
      </c>
      <c r="B199" s="6" t="n">
        <f aca="false">ROUND(Veterancy_XP!$B$5*(A199+1)^Veterancy_XP!$B$6,0)</f>
        <v>304</v>
      </c>
      <c r="C199" s="6" t="n">
        <f aca="false">ROUND(1/(A199+1)^Veterancy_XP!$E$6,4)</f>
        <v>0.3294</v>
      </c>
      <c r="D199" s="6" t="n">
        <f aca="false">ROUND(Veterancy_XP!$E$5*C199,1)</f>
        <v>329.4</v>
      </c>
      <c r="E199" s="6" t="n">
        <f aca="false">ROUND(B199/D199,2)</f>
        <v>0.92</v>
      </c>
      <c r="F199" s="6" t="n">
        <f aca="false">ROUND(F198+E199,2)</f>
        <v>128.95</v>
      </c>
    </row>
    <row r="200" customFormat="false" ht="15" hidden="false" customHeight="true" outlineLevel="0" collapsed="false">
      <c r="A200" s="6" t="n">
        <v>198</v>
      </c>
      <c r="B200" s="6" t="n">
        <f aca="false">ROUND(Veterancy_XP!$B$5*(A200+1)^Veterancy_XP!$B$6,0)</f>
        <v>304</v>
      </c>
      <c r="C200" s="6" t="n">
        <f aca="false">ROUND(1/(A200+1)^Veterancy_XP!$E$6,4)</f>
        <v>0.329</v>
      </c>
      <c r="D200" s="6" t="n">
        <f aca="false">ROUND(Veterancy_XP!$E$5*C200,1)</f>
        <v>329</v>
      </c>
      <c r="E200" s="6" t="n">
        <f aca="false">ROUND(B200/D200,2)</f>
        <v>0.92</v>
      </c>
      <c r="F200" s="6" t="n">
        <f aca="false">ROUND(F199+E200,2)</f>
        <v>129.87</v>
      </c>
    </row>
    <row r="201" customFormat="false" ht="15" hidden="false" customHeight="true" outlineLevel="0" collapsed="false">
      <c r="A201" s="6" t="n">
        <v>199</v>
      </c>
      <c r="B201" s="6" t="n">
        <f aca="false">ROUND(Veterancy_XP!$B$5*(A201+1)^Veterancy_XP!$B$6,0)</f>
        <v>304</v>
      </c>
      <c r="C201" s="6" t="n">
        <f aca="false">ROUND(1/(A201+1)^Veterancy_XP!$E$6,4)</f>
        <v>0.3287</v>
      </c>
      <c r="D201" s="6" t="n">
        <f aca="false">ROUND(Veterancy_XP!$E$5*C201,1)</f>
        <v>328.7</v>
      </c>
      <c r="E201" s="6" t="n">
        <f aca="false">ROUND(B201/D201,2)</f>
        <v>0.92</v>
      </c>
      <c r="F201" s="6" t="n">
        <f aca="false">ROUND(F200+E201,2)</f>
        <v>130.79</v>
      </c>
    </row>
    <row r="202" customFormat="false" ht="15" hidden="false" customHeight="true" outlineLevel="0" collapsed="false">
      <c r="A202" s="6" t="n">
        <v>200</v>
      </c>
      <c r="B202" s="6" t="n">
        <f aca="false">ROUND(Veterancy_XP!$B$5*(A202+1)^Veterancy_XP!$B$6,0)</f>
        <v>305</v>
      </c>
      <c r="C202" s="6" t="n">
        <f aca="false">ROUND(1/(A202+1)^Veterancy_XP!$E$6,4)</f>
        <v>0.3283</v>
      </c>
      <c r="D202" s="6" t="n">
        <f aca="false">ROUND(Veterancy_XP!$E$5*C202,1)</f>
        <v>328.3</v>
      </c>
      <c r="E202" s="6" t="n">
        <f aca="false">ROUND(B202/D202,2)</f>
        <v>0.93</v>
      </c>
      <c r="F202" s="6" t="n">
        <f aca="false">ROUND(F201+E202,2)</f>
        <v>131.72</v>
      </c>
    </row>
    <row r="203" customFormat="false" ht="15" hidden="false" customHeight="true" outlineLevel="0" collapsed="false">
      <c r="A203" s="6" t="n">
        <v>201</v>
      </c>
      <c r="B203" s="6" t="n">
        <f aca="false">ROUND(Veterancy_XP!$B$5*(A203+1)^Veterancy_XP!$B$6,0)</f>
        <v>305</v>
      </c>
      <c r="C203" s="6" t="n">
        <f aca="false">ROUND(1/(A203+1)^Veterancy_XP!$E$6,4)</f>
        <v>0.328</v>
      </c>
      <c r="D203" s="6" t="n">
        <f aca="false">ROUND(Veterancy_XP!$E$5*C203,1)</f>
        <v>328</v>
      </c>
      <c r="E203" s="6" t="n">
        <f aca="false">ROUND(B203/D203,2)</f>
        <v>0.93</v>
      </c>
      <c r="F203" s="6" t="n">
        <f aca="false">ROUND(F202+E203,2)</f>
        <v>132.65</v>
      </c>
    </row>
    <row r="204" customFormat="false" ht="15" hidden="false" customHeight="true" outlineLevel="0" collapsed="false">
      <c r="A204" s="6" t="n">
        <v>202</v>
      </c>
      <c r="B204" s="6" t="n">
        <f aca="false">ROUND(Veterancy_XP!$B$5*(A204+1)^Veterancy_XP!$B$6,0)</f>
        <v>305</v>
      </c>
      <c r="C204" s="6" t="n">
        <f aca="false">ROUND(1/(A204+1)^Veterancy_XP!$E$6,4)</f>
        <v>0.3277</v>
      </c>
      <c r="D204" s="6" t="n">
        <f aca="false">ROUND(Veterancy_XP!$E$5*C204,1)</f>
        <v>327.7</v>
      </c>
      <c r="E204" s="6" t="n">
        <f aca="false">ROUND(B204/D204,2)</f>
        <v>0.93</v>
      </c>
      <c r="F204" s="6" t="n">
        <f aca="false">ROUND(F203+E204,2)</f>
        <v>133.58</v>
      </c>
    </row>
    <row r="205" customFormat="false" ht="15" hidden="false" customHeight="true" outlineLevel="0" collapsed="false">
      <c r="A205" s="6" t="n">
        <v>203</v>
      </c>
      <c r="B205" s="6" t="n">
        <f aca="false">ROUND(Veterancy_XP!$B$5*(A205+1)^Veterancy_XP!$B$6,0)</f>
        <v>306</v>
      </c>
      <c r="C205" s="6" t="n">
        <f aca="false">ROUND(1/(A205+1)^Veterancy_XP!$E$6,4)</f>
        <v>0.3273</v>
      </c>
      <c r="D205" s="6" t="n">
        <f aca="false">ROUND(Veterancy_XP!$E$5*C205,1)</f>
        <v>327.3</v>
      </c>
      <c r="E205" s="6" t="n">
        <f aca="false">ROUND(B205/D205,2)</f>
        <v>0.93</v>
      </c>
      <c r="F205" s="6" t="n">
        <f aca="false">ROUND(F204+E205,2)</f>
        <v>134.51</v>
      </c>
    </row>
    <row r="206" customFormat="false" ht="15" hidden="false" customHeight="true" outlineLevel="0" collapsed="false">
      <c r="A206" s="6" t="n">
        <v>204</v>
      </c>
      <c r="B206" s="6" t="n">
        <f aca="false">ROUND(Veterancy_XP!$B$5*(A206+1)^Veterancy_XP!$B$6,0)</f>
        <v>306</v>
      </c>
      <c r="C206" s="6" t="n">
        <f aca="false">ROUND(1/(A206+1)^Veterancy_XP!$E$6,4)</f>
        <v>0.327</v>
      </c>
      <c r="D206" s="6" t="n">
        <f aca="false">ROUND(Veterancy_XP!$E$5*C206,1)</f>
        <v>327</v>
      </c>
      <c r="E206" s="6" t="n">
        <f aca="false">ROUND(B206/D206,2)</f>
        <v>0.94</v>
      </c>
      <c r="F206" s="6" t="n">
        <f aca="false">ROUND(F205+E206,2)</f>
        <v>135.45</v>
      </c>
    </row>
    <row r="207" customFormat="false" ht="15" hidden="false" customHeight="true" outlineLevel="0" collapsed="false">
      <c r="A207" s="6" t="n">
        <v>205</v>
      </c>
      <c r="B207" s="6" t="n">
        <f aca="false">ROUND(Veterancy_XP!$B$5*(A207+1)^Veterancy_XP!$B$6,0)</f>
        <v>306</v>
      </c>
      <c r="C207" s="6" t="n">
        <f aca="false">ROUND(1/(A207+1)^Veterancy_XP!$E$6,4)</f>
        <v>0.3267</v>
      </c>
      <c r="D207" s="6" t="n">
        <f aca="false">ROUND(Veterancy_XP!$E$5*C207,1)</f>
        <v>326.7</v>
      </c>
      <c r="E207" s="6" t="n">
        <f aca="false">ROUND(B207/D207,2)</f>
        <v>0.94</v>
      </c>
      <c r="F207" s="6" t="n">
        <f aca="false">ROUND(F206+E207,2)</f>
        <v>136.39</v>
      </c>
    </row>
    <row r="208" customFormat="false" ht="15" hidden="false" customHeight="true" outlineLevel="0" collapsed="false">
      <c r="A208" s="6" t="n">
        <v>206</v>
      </c>
      <c r="B208" s="6" t="n">
        <f aca="false">ROUND(Veterancy_XP!$B$5*(A208+1)^Veterancy_XP!$B$6,0)</f>
        <v>306</v>
      </c>
      <c r="C208" s="6" t="n">
        <f aca="false">ROUND(1/(A208+1)^Veterancy_XP!$E$6,4)</f>
        <v>0.3263</v>
      </c>
      <c r="D208" s="6" t="n">
        <f aca="false">ROUND(Veterancy_XP!$E$5*C208,1)</f>
        <v>326.3</v>
      </c>
      <c r="E208" s="6" t="n">
        <f aca="false">ROUND(B208/D208,2)</f>
        <v>0.94</v>
      </c>
      <c r="F208" s="6" t="n">
        <f aca="false">ROUND(F207+E208,2)</f>
        <v>137.33</v>
      </c>
    </row>
    <row r="209" customFormat="false" ht="15" hidden="false" customHeight="true" outlineLevel="0" collapsed="false">
      <c r="A209" s="6" t="n">
        <v>207</v>
      </c>
      <c r="B209" s="6" t="n">
        <f aca="false">ROUND(Veterancy_XP!$B$5*(A209+1)^Veterancy_XP!$B$6,0)</f>
        <v>307</v>
      </c>
      <c r="C209" s="6" t="n">
        <f aca="false">ROUND(1/(A209+1)^Veterancy_XP!$E$6,4)</f>
        <v>0.326</v>
      </c>
      <c r="D209" s="6" t="n">
        <f aca="false">ROUND(Veterancy_XP!$E$5*C209,1)</f>
        <v>326</v>
      </c>
      <c r="E209" s="6" t="n">
        <f aca="false">ROUND(B209/D209,2)</f>
        <v>0.94</v>
      </c>
      <c r="F209" s="6" t="n">
        <f aca="false">ROUND(F208+E209,2)</f>
        <v>138.27</v>
      </c>
    </row>
    <row r="210" customFormat="false" ht="15" hidden="false" customHeight="true" outlineLevel="0" collapsed="false">
      <c r="A210" s="6" t="n">
        <v>208</v>
      </c>
      <c r="B210" s="6" t="n">
        <f aca="false">ROUND(Veterancy_XP!$B$5*(A210+1)^Veterancy_XP!$B$6,0)</f>
        <v>307</v>
      </c>
      <c r="C210" s="6" t="n">
        <f aca="false">ROUND(1/(A210+1)^Veterancy_XP!$E$6,4)</f>
        <v>0.3257</v>
      </c>
      <c r="D210" s="6" t="n">
        <f aca="false">ROUND(Veterancy_XP!$E$5*C210,1)</f>
        <v>325.7</v>
      </c>
      <c r="E210" s="6" t="n">
        <f aca="false">ROUND(B210/D210,2)</f>
        <v>0.94</v>
      </c>
      <c r="F210" s="6" t="n">
        <f aca="false">ROUND(F209+E210,2)</f>
        <v>139.21</v>
      </c>
    </row>
    <row r="211" customFormat="false" ht="15" hidden="false" customHeight="true" outlineLevel="0" collapsed="false">
      <c r="A211" s="6" t="n">
        <v>209</v>
      </c>
      <c r="B211" s="6" t="n">
        <f aca="false">ROUND(Veterancy_XP!$B$5*(A211+1)^Veterancy_XP!$B$6,0)</f>
        <v>307</v>
      </c>
      <c r="C211" s="6" t="n">
        <f aca="false">ROUND(1/(A211+1)^Veterancy_XP!$E$6,4)</f>
        <v>0.3253</v>
      </c>
      <c r="D211" s="6" t="n">
        <f aca="false">ROUND(Veterancy_XP!$E$5*C211,1)</f>
        <v>325.3</v>
      </c>
      <c r="E211" s="6" t="n">
        <f aca="false">ROUND(B211/D211,2)</f>
        <v>0.94</v>
      </c>
      <c r="F211" s="6" t="n">
        <f aca="false">ROUND(F210+E211,2)</f>
        <v>140.15</v>
      </c>
    </row>
    <row r="212" customFormat="false" ht="15" hidden="false" customHeight="true" outlineLevel="0" collapsed="false">
      <c r="A212" s="6" t="n">
        <v>210</v>
      </c>
      <c r="B212" s="6" t="n">
        <f aca="false">ROUND(Veterancy_XP!$B$5*(A212+1)^Veterancy_XP!$B$6,0)</f>
        <v>308</v>
      </c>
      <c r="C212" s="6" t="n">
        <f aca="false">ROUND(1/(A212+1)^Veterancy_XP!$E$6,4)</f>
        <v>0.325</v>
      </c>
      <c r="D212" s="6" t="n">
        <f aca="false">ROUND(Veterancy_XP!$E$5*C212,1)</f>
        <v>325</v>
      </c>
      <c r="E212" s="6" t="n">
        <f aca="false">ROUND(B212/D212,2)</f>
        <v>0.95</v>
      </c>
      <c r="F212" s="6" t="n">
        <f aca="false">ROUND(F211+E212,2)</f>
        <v>141.1</v>
      </c>
    </row>
    <row r="213" customFormat="false" ht="15" hidden="false" customHeight="true" outlineLevel="0" collapsed="false">
      <c r="A213" s="6" t="n">
        <v>211</v>
      </c>
      <c r="B213" s="6" t="n">
        <f aca="false">ROUND(Veterancy_XP!$B$5*(A213+1)^Veterancy_XP!$B$6,0)</f>
        <v>308</v>
      </c>
      <c r="C213" s="6" t="n">
        <f aca="false">ROUND(1/(A213+1)^Veterancy_XP!$E$6,4)</f>
        <v>0.3247</v>
      </c>
      <c r="D213" s="6" t="n">
        <f aca="false">ROUND(Veterancy_XP!$E$5*C213,1)</f>
        <v>324.7</v>
      </c>
      <c r="E213" s="6" t="n">
        <f aca="false">ROUND(B213/D213,2)</f>
        <v>0.95</v>
      </c>
      <c r="F213" s="6" t="n">
        <f aca="false">ROUND(F212+E213,2)</f>
        <v>142.05</v>
      </c>
    </row>
    <row r="214" customFormat="false" ht="15" hidden="false" customHeight="true" outlineLevel="0" collapsed="false">
      <c r="A214" s="6" t="n">
        <v>212</v>
      </c>
      <c r="B214" s="6" t="n">
        <f aca="false">ROUND(Veterancy_XP!$B$5*(A214+1)^Veterancy_XP!$B$6,0)</f>
        <v>308</v>
      </c>
      <c r="C214" s="6" t="n">
        <f aca="false">ROUND(1/(A214+1)^Veterancy_XP!$E$6,4)</f>
        <v>0.3244</v>
      </c>
      <c r="D214" s="6" t="n">
        <f aca="false">ROUND(Veterancy_XP!$E$5*C214,1)</f>
        <v>324.4</v>
      </c>
      <c r="E214" s="6" t="n">
        <f aca="false">ROUND(B214/D214,2)</f>
        <v>0.95</v>
      </c>
      <c r="F214" s="6" t="n">
        <f aca="false">ROUND(F213+E214,2)</f>
        <v>143</v>
      </c>
    </row>
    <row r="215" customFormat="false" ht="15" hidden="false" customHeight="true" outlineLevel="0" collapsed="false">
      <c r="A215" s="6" t="n">
        <v>213</v>
      </c>
      <c r="B215" s="6" t="n">
        <f aca="false">ROUND(Veterancy_XP!$B$5*(A215+1)^Veterancy_XP!$B$6,0)</f>
        <v>309</v>
      </c>
      <c r="C215" s="6" t="n">
        <f aca="false">ROUND(1/(A215+1)^Veterancy_XP!$E$6,4)</f>
        <v>0.3241</v>
      </c>
      <c r="D215" s="6" t="n">
        <f aca="false">ROUND(Veterancy_XP!$E$5*C215,1)</f>
        <v>324.1</v>
      </c>
      <c r="E215" s="6" t="n">
        <f aca="false">ROUND(B215/D215,2)</f>
        <v>0.95</v>
      </c>
      <c r="F215" s="6" t="n">
        <f aca="false">ROUND(F214+E215,2)</f>
        <v>143.95</v>
      </c>
    </row>
    <row r="216" customFormat="false" ht="15" hidden="false" customHeight="true" outlineLevel="0" collapsed="false">
      <c r="A216" s="6" t="n">
        <v>214</v>
      </c>
      <c r="B216" s="6" t="n">
        <f aca="false">ROUND(Veterancy_XP!$B$5*(A216+1)^Veterancy_XP!$B$6,0)</f>
        <v>309</v>
      </c>
      <c r="C216" s="6" t="n">
        <f aca="false">ROUND(1/(A216+1)^Veterancy_XP!$E$6,4)</f>
        <v>0.3237</v>
      </c>
      <c r="D216" s="6" t="n">
        <f aca="false">ROUND(Veterancy_XP!$E$5*C216,1)</f>
        <v>323.7</v>
      </c>
      <c r="E216" s="6" t="n">
        <f aca="false">ROUND(B216/D216,2)</f>
        <v>0.95</v>
      </c>
      <c r="F216" s="6" t="n">
        <f aca="false">ROUND(F215+E216,2)</f>
        <v>144.9</v>
      </c>
    </row>
    <row r="217" customFormat="false" ht="15" hidden="false" customHeight="true" outlineLevel="0" collapsed="false">
      <c r="A217" s="6" t="n">
        <v>215</v>
      </c>
      <c r="B217" s="6" t="n">
        <f aca="false">ROUND(Veterancy_XP!$B$5*(A217+1)^Veterancy_XP!$B$6,0)</f>
        <v>309</v>
      </c>
      <c r="C217" s="6" t="n">
        <f aca="false">ROUND(1/(A217+1)^Veterancy_XP!$E$6,4)</f>
        <v>0.3234</v>
      </c>
      <c r="D217" s="6" t="n">
        <f aca="false">ROUND(Veterancy_XP!$E$5*C217,1)</f>
        <v>323.4</v>
      </c>
      <c r="E217" s="6" t="n">
        <f aca="false">ROUND(B217/D217,2)</f>
        <v>0.96</v>
      </c>
      <c r="F217" s="6" t="n">
        <f aca="false">ROUND(F216+E217,2)</f>
        <v>145.86</v>
      </c>
    </row>
    <row r="218" customFormat="false" ht="15" hidden="false" customHeight="true" outlineLevel="0" collapsed="false">
      <c r="A218" s="6" t="n">
        <v>216</v>
      </c>
      <c r="B218" s="6" t="n">
        <f aca="false">ROUND(Veterancy_XP!$B$5*(A218+1)^Veterancy_XP!$B$6,0)</f>
        <v>309</v>
      </c>
      <c r="C218" s="6" t="n">
        <f aca="false">ROUND(1/(A218+1)^Veterancy_XP!$E$6,4)</f>
        <v>0.3231</v>
      </c>
      <c r="D218" s="6" t="n">
        <f aca="false">ROUND(Veterancy_XP!$E$5*C218,1)</f>
        <v>323.1</v>
      </c>
      <c r="E218" s="6" t="n">
        <f aca="false">ROUND(B218/D218,2)</f>
        <v>0.96</v>
      </c>
      <c r="F218" s="6" t="n">
        <f aca="false">ROUND(F217+E218,2)</f>
        <v>146.82</v>
      </c>
    </row>
    <row r="219" customFormat="false" ht="15" hidden="false" customHeight="true" outlineLevel="0" collapsed="false">
      <c r="A219" s="6" t="n">
        <v>217</v>
      </c>
      <c r="B219" s="6" t="n">
        <f aca="false">ROUND(Veterancy_XP!$B$5*(A219+1)^Veterancy_XP!$B$6,0)</f>
        <v>310</v>
      </c>
      <c r="C219" s="6" t="n">
        <f aca="false">ROUND(1/(A219+1)^Veterancy_XP!$E$6,4)</f>
        <v>0.3228</v>
      </c>
      <c r="D219" s="6" t="n">
        <f aca="false">ROUND(Veterancy_XP!$E$5*C219,1)</f>
        <v>322.8</v>
      </c>
      <c r="E219" s="6" t="n">
        <f aca="false">ROUND(B219/D219,2)</f>
        <v>0.96</v>
      </c>
      <c r="F219" s="6" t="n">
        <f aca="false">ROUND(F218+E219,2)</f>
        <v>147.78</v>
      </c>
    </row>
    <row r="220" customFormat="false" ht="15" hidden="false" customHeight="true" outlineLevel="0" collapsed="false">
      <c r="A220" s="6" t="n">
        <v>218</v>
      </c>
      <c r="B220" s="6" t="n">
        <f aca="false">ROUND(Veterancy_XP!$B$5*(A220+1)^Veterancy_XP!$B$6,0)</f>
        <v>310</v>
      </c>
      <c r="C220" s="6" t="n">
        <f aca="false">ROUND(1/(A220+1)^Veterancy_XP!$E$6,4)</f>
        <v>0.3225</v>
      </c>
      <c r="D220" s="6" t="n">
        <f aca="false">ROUND(Veterancy_XP!$E$5*C220,1)</f>
        <v>322.5</v>
      </c>
      <c r="E220" s="6" t="n">
        <f aca="false">ROUND(B220/D220,2)</f>
        <v>0.96</v>
      </c>
      <c r="F220" s="6" t="n">
        <f aca="false">ROUND(F219+E220,2)</f>
        <v>148.74</v>
      </c>
    </row>
    <row r="221" customFormat="false" ht="15" hidden="false" customHeight="true" outlineLevel="0" collapsed="false">
      <c r="A221" s="6" t="n">
        <v>219</v>
      </c>
      <c r="B221" s="6" t="n">
        <f aca="false">ROUND(Veterancy_XP!$B$5*(A221+1)^Veterancy_XP!$B$6,0)</f>
        <v>310</v>
      </c>
      <c r="C221" s="6" t="n">
        <f aca="false">ROUND(1/(A221+1)^Veterancy_XP!$E$6,4)</f>
        <v>0.3222</v>
      </c>
      <c r="D221" s="6" t="n">
        <f aca="false">ROUND(Veterancy_XP!$E$5*C221,1)</f>
        <v>322.2</v>
      </c>
      <c r="E221" s="6" t="n">
        <f aca="false">ROUND(B221/D221,2)</f>
        <v>0.96</v>
      </c>
      <c r="F221" s="6" t="n">
        <f aca="false">ROUND(F220+E221,2)</f>
        <v>149.7</v>
      </c>
    </row>
    <row r="222" customFormat="false" ht="15" hidden="false" customHeight="true" outlineLevel="0" collapsed="false">
      <c r="A222" s="6" t="n">
        <v>220</v>
      </c>
      <c r="B222" s="6" t="n">
        <f aca="false">ROUND(Veterancy_XP!$B$5*(A222+1)^Veterancy_XP!$B$6,0)</f>
        <v>311</v>
      </c>
      <c r="C222" s="6" t="n">
        <f aca="false">ROUND(1/(A222+1)^Veterancy_XP!$E$6,4)</f>
        <v>0.3219</v>
      </c>
      <c r="D222" s="6" t="n">
        <f aca="false">ROUND(Veterancy_XP!$E$5*C222,1)</f>
        <v>321.9</v>
      </c>
      <c r="E222" s="6" t="n">
        <f aca="false">ROUND(B222/D222,2)</f>
        <v>0.97</v>
      </c>
      <c r="F222" s="6" t="n">
        <f aca="false">ROUND(F221+E222,2)</f>
        <v>150.67</v>
      </c>
    </row>
    <row r="223" customFormat="false" ht="15" hidden="false" customHeight="true" outlineLevel="0" collapsed="false">
      <c r="A223" s="6" t="n">
        <v>221</v>
      </c>
      <c r="B223" s="6" t="n">
        <f aca="false">ROUND(Veterancy_XP!$B$5*(A223+1)^Veterancy_XP!$B$6,0)</f>
        <v>311</v>
      </c>
      <c r="C223" s="6" t="n">
        <f aca="false">ROUND(1/(A223+1)^Veterancy_XP!$E$6,4)</f>
        <v>0.3216</v>
      </c>
      <c r="D223" s="6" t="n">
        <f aca="false">ROUND(Veterancy_XP!$E$5*C223,1)</f>
        <v>321.6</v>
      </c>
      <c r="E223" s="6" t="n">
        <f aca="false">ROUND(B223/D223,2)</f>
        <v>0.97</v>
      </c>
      <c r="F223" s="6" t="n">
        <f aca="false">ROUND(F222+E223,2)</f>
        <v>151.64</v>
      </c>
    </row>
    <row r="224" customFormat="false" ht="15" hidden="false" customHeight="true" outlineLevel="0" collapsed="false">
      <c r="A224" s="6" t="n">
        <v>222</v>
      </c>
      <c r="B224" s="6" t="n">
        <f aca="false">ROUND(Veterancy_XP!$B$5*(A224+1)^Veterancy_XP!$B$6,0)</f>
        <v>311</v>
      </c>
      <c r="C224" s="6" t="n">
        <f aca="false">ROUND(1/(A224+1)^Veterancy_XP!$E$6,4)</f>
        <v>0.3213</v>
      </c>
      <c r="D224" s="6" t="n">
        <f aca="false">ROUND(Veterancy_XP!$E$5*C224,1)</f>
        <v>321.3</v>
      </c>
      <c r="E224" s="6" t="n">
        <f aca="false">ROUND(B224/D224,2)</f>
        <v>0.97</v>
      </c>
      <c r="F224" s="6" t="n">
        <f aca="false">ROUND(F223+E224,2)</f>
        <v>152.61</v>
      </c>
    </row>
    <row r="225" customFormat="false" ht="15" hidden="false" customHeight="true" outlineLevel="0" collapsed="false">
      <c r="A225" s="6" t="n">
        <v>223</v>
      </c>
      <c r="B225" s="6" t="n">
        <f aca="false">ROUND(Veterancy_XP!$B$5*(A225+1)^Veterancy_XP!$B$6,0)</f>
        <v>312</v>
      </c>
      <c r="C225" s="6" t="n">
        <f aca="false">ROUND(1/(A225+1)^Veterancy_XP!$E$6,4)</f>
        <v>0.321</v>
      </c>
      <c r="D225" s="6" t="n">
        <f aca="false">ROUND(Veterancy_XP!$E$5*C225,1)</f>
        <v>321</v>
      </c>
      <c r="E225" s="6" t="n">
        <f aca="false">ROUND(B225/D225,2)</f>
        <v>0.97</v>
      </c>
      <c r="F225" s="6" t="n">
        <f aca="false">ROUND(F224+E225,2)</f>
        <v>153.58</v>
      </c>
    </row>
    <row r="226" customFormat="false" ht="15" hidden="false" customHeight="true" outlineLevel="0" collapsed="false">
      <c r="A226" s="6" t="n">
        <v>224</v>
      </c>
      <c r="B226" s="6" t="n">
        <f aca="false">ROUND(Veterancy_XP!$B$5*(A226+1)^Veterancy_XP!$B$6,0)</f>
        <v>312</v>
      </c>
      <c r="C226" s="6" t="n">
        <f aca="false">ROUND(1/(A226+1)^Veterancy_XP!$E$6,4)</f>
        <v>0.3207</v>
      </c>
      <c r="D226" s="6" t="n">
        <f aca="false">ROUND(Veterancy_XP!$E$5*C226,1)</f>
        <v>320.7</v>
      </c>
      <c r="E226" s="6" t="n">
        <f aca="false">ROUND(B226/D226,2)</f>
        <v>0.97</v>
      </c>
      <c r="F226" s="6" t="n">
        <f aca="false">ROUND(F225+E226,2)</f>
        <v>154.55</v>
      </c>
    </row>
    <row r="227" customFormat="false" ht="15" hidden="false" customHeight="true" outlineLevel="0" collapsed="false">
      <c r="A227" s="6" t="n">
        <v>225</v>
      </c>
      <c r="B227" s="6" t="n">
        <f aca="false">ROUND(Veterancy_XP!$B$5*(A227+1)^Veterancy_XP!$B$6,0)</f>
        <v>312</v>
      </c>
      <c r="C227" s="6" t="n">
        <f aca="false">ROUND(1/(A227+1)^Veterancy_XP!$E$6,4)</f>
        <v>0.3204</v>
      </c>
      <c r="D227" s="6" t="n">
        <f aca="false">ROUND(Veterancy_XP!$E$5*C227,1)</f>
        <v>320.4</v>
      </c>
      <c r="E227" s="6" t="n">
        <f aca="false">ROUND(B227/D227,2)</f>
        <v>0.97</v>
      </c>
      <c r="F227" s="6" t="n">
        <f aca="false">ROUND(F226+E227,2)</f>
        <v>155.52</v>
      </c>
    </row>
    <row r="228" customFormat="false" ht="15" hidden="false" customHeight="true" outlineLevel="0" collapsed="false">
      <c r="A228" s="6" t="n">
        <v>226</v>
      </c>
      <c r="B228" s="6" t="n">
        <f aca="false">ROUND(Veterancy_XP!$B$5*(A228+1)^Veterancy_XP!$B$6,0)</f>
        <v>312</v>
      </c>
      <c r="C228" s="6" t="n">
        <f aca="false">ROUND(1/(A228+1)^Veterancy_XP!$E$6,4)</f>
        <v>0.3201</v>
      </c>
      <c r="D228" s="6" t="n">
        <f aca="false">ROUND(Veterancy_XP!$E$5*C228,1)</f>
        <v>320.1</v>
      </c>
      <c r="E228" s="6" t="n">
        <f aca="false">ROUND(B228/D228,2)</f>
        <v>0.97</v>
      </c>
      <c r="F228" s="6" t="n">
        <f aca="false">ROUND(F227+E228,2)</f>
        <v>156.49</v>
      </c>
    </row>
    <row r="229" customFormat="false" ht="15" hidden="false" customHeight="true" outlineLevel="0" collapsed="false">
      <c r="A229" s="6" t="n">
        <v>227</v>
      </c>
      <c r="B229" s="6" t="n">
        <f aca="false">ROUND(Veterancy_XP!$B$5*(A229+1)^Veterancy_XP!$B$6,0)</f>
        <v>313</v>
      </c>
      <c r="C229" s="6" t="n">
        <f aca="false">ROUND(1/(A229+1)^Veterancy_XP!$E$6,4)</f>
        <v>0.3198</v>
      </c>
      <c r="D229" s="6" t="n">
        <f aca="false">ROUND(Veterancy_XP!$E$5*C229,1)</f>
        <v>319.8</v>
      </c>
      <c r="E229" s="6" t="n">
        <f aca="false">ROUND(B229/D229,2)</f>
        <v>0.98</v>
      </c>
      <c r="F229" s="6" t="n">
        <f aca="false">ROUND(F228+E229,2)</f>
        <v>157.47</v>
      </c>
    </row>
    <row r="230" customFormat="false" ht="15" hidden="false" customHeight="true" outlineLevel="0" collapsed="false">
      <c r="A230" s="6" t="n">
        <v>228</v>
      </c>
      <c r="B230" s="6" t="n">
        <f aca="false">ROUND(Veterancy_XP!$B$5*(A230+1)^Veterancy_XP!$B$6,0)</f>
        <v>313</v>
      </c>
      <c r="C230" s="6" t="n">
        <f aca="false">ROUND(1/(A230+1)^Veterancy_XP!$E$6,4)</f>
        <v>0.3195</v>
      </c>
      <c r="D230" s="6" t="n">
        <f aca="false">ROUND(Veterancy_XP!$E$5*C230,1)</f>
        <v>319.5</v>
      </c>
      <c r="E230" s="6" t="n">
        <f aca="false">ROUND(B230/D230,2)</f>
        <v>0.98</v>
      </c>
      <c r="F230" s="6" t="n">
        <f aca="false">ROUND(F229+E230,2)</f>
        <v>158.45</v>
      </c>
    </row>
    <row r="231" customFormat="false" ht="15" hidden="false" customHeight="true" outlineLevel="0" collapsed="false">
      <c r="A231" s="6" t="n">
        <v>229</v>
      </c>
      <c r="B231" s="6" t="n">
        <f aca="false">ROUND(Veterancy_XP!$B$5*(A231+1)^Veterancy_XP!$B$6,0)</f>
        <v>313</v>
      </c>
      <c r="C231" s="6" t="n">
        <f aca="false">ROUND(1/(A231+1)^Veterancy_XP!$E$6,4)</f>
        <v>0.3192</v>
      </c>
      <c r="D231" s="6" t="n">
        <f aca="false">ROUND(Veterancy_XP!$E$5*C231,1)</f>
        <v>319.2</v>
      </c>
      <c r="E231" s="6" t="n">
        <f aca="false">ROUND(B231/D231,2)</f>
        <v>0.98</v>
      </c>
      <c r="F231" s="6" t="n">
        <f aca="false">ROUND(F230+E231,2)</f>
        <v>159.43</v>
      </c>
    </row>
    <row r="232" customFormat="false" ht="15" hidden="false" customHeight="true" outlineLevel="0" collapsed="false">
      <c r="A232" s="6" t="n">
        <v>230</v>
      </c>
      <c r="B232" s="6" t="n">
        <f aca="false">ROUND(Veterancy_XP!$B$5*(A232+1)^Veterancy_XP!$B$6,0)</f>
        <v>314</v>
      </c>
      <c r="C232" s="6" t="n">
        <f aca="false">ROUND(1/(A232+1)^Veterancy_XP!$E$6,4)</f>
        <v>0.3189</v>
      </c>
      <c r="D232" s="6" t="n">
        <f aca="false">ROUND(Veterancy_XP!$E$5*C232,1)</f>
        <v>318.9</v>
      </c>
      <c r="E232" s="6" t="n">
        <f aca="false">ROUND(B232/D232,2)</f>
        <v>0.98</v>
      </c>
      <c r="F232" s="6" t="n">
        <f aca="false">ROUND(F231+E232,2)</f>
        <v>160.41</v>
      </c>
    </row>
    <row r="233" customFormat="false" ht="15" hidden="false" customHeight="true" outlineLevel="0" collapsed="false">
      <c r="A233" s="6" t="n">
        <v>231</v>
      </c>
      <c r="B233" s="6" t="n">
        <f aca="false">ROUND(Veterancy_XP!$B$5*(A233+1)^Veterancy_XP!$B$6,0)</f>
        <v>314</v>
      </c>
      <c r="C233" s="6" t="n">
        <f aca="false">ROUND(1/(A233+1)^Veterancy_XP!$E$6,4)</f>
        <v>0.3186</v>
      </c>
      <c r="D233" s="6" t="n">
        <f aca="false">ROUND(Veterancy_XP!$E$5*C233,1)</f>
        <v>318.6</v>
      </c>
      <c r="E233" s="6" t="n">
        <f aca="false">ROUND(B233/D233,2)</f>
        <v>0.99</v>
      </c>
      <c r="F233" s="6" t="n">
        <f aca="false">ROUND(F232+E233,2)</f>
        <v>161.4</v>
      </c>
    </row>
    <row r="234" customFormat="false" ht="15" hidden="false" customHeight="true" outlineLevel="0" collapsed="false">
      <c r="A234" s="6" t="n">
        <v>232</v>
      </c>
      <c r="B234" s="6" t="n">
        <f aca="false">ROUND(Veterancy_XP!$B$5*(A234+1)^Veterancy_XP!$B$6,0)</f>
        <v>314</v>
      </c>
      <c r="C234" s="6" t="n">
        <f aca="false">ROUND(1/(A234+1)^Veterancy_XP!$E$6,4)</f>
        <v>0.3183</v>
      </c>
      <c r="D234" s="6" t="n">
        <f aca="false">ROUND(Veterancy_XP!$E$5*C234,1)</f>
        <v>318.3</v>
      </c>
      <c r="E234" s="6" t="n">
        <f aca="false">ROUND(B234/D234,2)</f>
        <v>0.99</v>
      </c>
      <c r="F234" s="6" t="n">
        <f aca="false">ROUND(F233+E234,2)</f>
        <v>162.39</v>
      </c>
    </row>
    <row r="235" customFormat="false" ht="15" hidden="false" customHeight="true" outlineLevel="0" collapsed="false">
      <c r="A235" s="6" t="n">
        <v>233</v>
      </c>
      <c r="B235" s="6" t="n">
        <f aca="false">ROUND(Veterancy_XP!$B$5*(A235+1)^Veterancy_XP!$B$6,0)</f>
        <v>314</v>
      </c>
      <c r="C235" s="6" t="n">
        <f aca="false">ROUND(1/(A235+1)^Veterancy_XP!$E$6,4)</f>
        <v>0.318</v>
      </c>
      <c r="D235" s="6" t="n">
        <f aca="false">ROUND(Veterancy_XP!$E$5*C235,1)</f>
        <v>318</v>
      </c>
      <c r="E235" s="6" t="n">
        <f aca="false">ROUND(B235/D235,2)</f>
        <v>0.99</v>
      </c>
      <c r="F235" s="6" t="n">
        <f aca="false">ROUND(F234+E235,2)</f>
        <v>163.38</v>
      </c>
    </row>
    <row r="236" customFormat="false" ht="15" hidden="false" customHeight="true" outlineLevel="0" collapsed="false">
      <c r="A236" s="6" t="n">
        <v>234</v>
      </c>
      <c r="B236" s="6" t="n">
        <f aca="false">ROUND(Veterancy_XP!$B$5*(A236+1)^Veterancy_XP!$B$6,0)</f>
        <v>315</v>
      </c>
      <c r="C236" s="6" t="n">
        <f aca="false">ROUND(1/(A236+1)^Veterancy_XP!$E$6,4)</f>
        <v>0.3177</v>
      </c>
      <c r="D236" s="6" t="n">
        <f aca="false">ROUND(Veterancy_XP!$E$5*C236,1)</f>
        <v>317.7</v>
      </c>
      <c r="E236" s="6" t="n">
        <f aca="false">ROUND(B236/D236,2)</f>
        <v>0.99</v>
      </c>
      <c r="F236" s="6" t="n">
        <f aca="false">ROUND(F235+E236,2)</f>
        <v>164.37</v>
      </c>
    </row>
    <row r="237" customFormat="false" ht="15" hidden="false" customHeight="true" outlineLevel="0" collapsed="false">
      <c r="A237" s="6" t="n">
        <v>235</v>
      </c>
      <c r="B237" s="6" t="n">
        <f aca="false">ROUND(Veterancy_XP!$B$5*(A237+1)^Veterancy_XP!$B$6,0)</f>
        <v>315</v>
      </c>
      <c r="C237" s="6" t="n">
        <f aca="false">ROUND(1/(A237+1)^Veterancy_XP!$E$6,4)</f>
        <v>0.3175</v>
      </c>
      <c r="D237" s="6" t="n">
        <f aca="false">ROUND(Veterancy_XP!$E$5*C237,1)</f>
        <v>317.5</v>
      </c>
      <c r="E237" s="6" t="n">
        <f aca="false">ROUND(B237/D237,2)</f>
        <v>0.99</v>
      </c>
      <c r="F237" s="6" t="n">
        <f aca="false">ROUND(F236+E237,2)</f>
        <v>165.36</v>
      </c>
    </row>
    <row r="238" customFormat="false" ht="15" hidden="false" customHeight="true" outlineLevel="0" collapsed="false">
      <c r="A238" s="6" t="n">
        <v>236</v>
      </c>
      <c r="B238" s="6" t="n">
        <f aca="false">ROUND(Veterancy_XP!$B$5*(A238+1)^Veterancy_XP!$B$6,0)</f>
        <v>315</v>
      </c>
      <c r="C238" s="6" t="n">
        <f aca="false">ROUND(1/(A238+1)^Veterancy_XP!$E$6,4)</f>
        <v>0.3172</v>
      </c>
      <c r="D238" s="6" t="n">
        <f aca="false">ROUND(Veterancy_XP!$E$5*C238,1)</f>
        <v>317.2</v>
      </c>
      <c r="E238" s="6" t="n">
        <f aca="false">ROUND(B238/D238,2)</f>
        <v>0.99</v>
      </c>
      <c r="F238" s="6" t="n">
        <f aca="false">ROUND(F237+E238,2)</f>
        <v>166.35</v>
      </c>
    </row>
    <row r="239" customFormat="false" ht="15" hidden="false" customHeight="true" outlineLevel="0" collapsed="false">
      <c r="A239" s="6" t="n">
        <v>237</v>
      </c>
      <c r="B239" s="6" t="n">
        <f aca="false">ROUND(Veterancy_XP!$B$5*(A239+1)^Veterancy_XP!$B$6,0)</f>
        <v>316</v>
      </c>
      <c r="C239" s="6" t="n">
        <f aca="false">ROUND(1/(A239+1)^Veterancy_XP!$E$6,4)</f>
        <v>0.3169</v>
      </c>
      <c r="D239" s="6" t="n">
        <f aca="false">ROUND(Veterancy_XP!$E$5*C239,1)</f>
        <v>316.9</v>
      </c>
      <c r="E239" s="6" t="n">
        <f aca="false">ROUND(B239/D239,2)</f>
        <v>1</v>
      </c>
      <c r="F239" s="6" t="n">
        <f aca="false">ROUND(F238+E239,2)</f>
        <v>167.35</v>
      </c>
    </row>
    <row r="240" customFormat="false" ht="15" hidden="false" customHeight="true" outlineLevel="0" collapsed="false">
      <c r="A240" s="6" t="n">
        <v>238</v>
      </c>
      <c r="B240" s="6" t="n">
        <f aca="false">ROUND(Veterancy_XP!$B$5*(A240+1)^Veterancy_XP!$B$6,0)</f>
        <v>316</v>
      </c>
      <c r="C240" s="6" t="n">
        <f aca="false">ROUND(1/(A240+1)^Veterancy_XP!$E$6,4)</f>
        <v>0.3166</v>
      </c>
      <c r="D240" s="6" t="n">
        <f aca="false">ROUND(Veterancy_XP!$E$5*C240,1)</f>
        <v>316.6</v>
      </c>
      <c r="E240" s="6" t="n">
        <f aca="false">ROUND(B240/D240,2)</f>
        <v>1</v>
      </c>
      <c r="F240" s="6" t="n">
        <f aca="false">ROUND(F239+E240,2)</f>
        <v>168.35</v>
      </c>
    </row>
    <row r="241" customFormat="false" ht="15" hidden="false" customHeight="true" outlineLevel="0" collapsed="false">
      <c r="A241" s="6" t="n">
        <v>239</v>
      </c>
      <c r="B241" s="6" t="n">
        <f aca="false">ROUND(Veterancy_XP!$B$5*(A241+1)^Veterancy_XP!$B$6,0)</f>
        <v>316</v>
      </c>
      <c r="C241" s="6" t="n">
        <f aca="false">ROUND(1/(A241+1)^Veterancy_XP!$E$6,4)</f>
        <v>0.3163</v>
      </c>
      <c r="D241" s="6" t="n">
        <f aca="false">ROUND(Veterancy_XP!$E$5*C241,1)</f>
        <v>316.3</v>
      </c>
      <c r="E241" s="6" t="n">
        <f aca="false">ROUND(B241/D241,2)</f>
        <v>1</v>
      </c>
      <c r="F241" s="6" t="n">
        <f aca="false">ROUND(F240+E241,2)</f>
        <v>169.35</v>
      </c>
    </row>
    <row r="242" customFormat="false" ht="15" hidden="false" customHeight="true" outlineLevel="0" collapsed="false">
      <c r="A242" s="6" t="n">
        <v>240</v>
      </c>
      <c r="B242" s="6" t="n">
        <f aca="false">ROUND(Veterancy_XP!$B$5*(A242+1)^Veterancy_XP!$B$6,0)</f>
        <v>316</v>
      </c>
      <c r="C242" s="6" t="n">
        <f aca="false">ROUND(1/(A242+1)^Veterancy_XP!$E$6,4)</f>
        <v>0.3161</v>
      </c>
      <c r="D242" s="6" t="n">
        <f aca="false">ROUND(Veterancy_XP!$E$5*C242,1)</f>
        <v>316.1</v>
      </c>
      <c r="E242" s="6" t="n">
        <f aca="false">ROUND(B242/D242,2)</f>
        <v>1</v>
      </c>
      <c r="F242" s="6" t="n">
        <f aca="false">ROUND(F241+E242,2)</f>
        <v>170.35</v>
      </c>
    </row>
    <row r="243" customFormat="false" ht="15" hidden="false" customHeight="true" outlineLevel="0" collapsed="false">
      <c r="A243" s="6" t="n">
        <v>241</v>
      </c>
      <c r="B243" s="6" t="n">
        <f aca="false">ROUND(Veterancy_XP!$B$5*(A243+1)^Veterancy_XP!$B$6,0)</f>
        <v>317</v>
      </c>
      <c r="C243" s="6" t="n">
        <f aca="false">ROUND(1/(A243+1)^Veterancy_XP!$E$6,4)</f>
        <v>0.3158</v>
      </c>
      <c r="D243" s="6" t="n">
        <f aca="false">ROUND(Veterancy_XP!$E$5*C243,1)</f>
        <v>315.8</v>
      </c>
      <c r="E243" s="6" t="n">
        <f aca="false">ROUND(B243/D243,2)</f>
        <v>1</v>
      </c>
      <c r="F243" s="6" t="n">
        <f aca="false">ROUND(F242+E243,2)</f>
        <v>171.35</v>
      </c>
    </row>
    <row r="244" customFormat="false" ht="15" hidden="false" customHeight="true" outlineLevel="0" collapsed="false">
      <c r="A244" s="6" t="n">
        <v>242</v>
      </c>
      <c r="B244" s="6" t="n">
        <f aca="false">ROUND(Veterancy_XP!$B$5*(A244+1)^Veterancy_XP!$B$6,0)</f>
        <v>317</v>
      </c>
      <c r="C244" s="6" t="n">
        <f aca="false">ROUND(1/(A244+1)^Veterancy_XP!$E$6,4)</f>
        <v>0.3155</v>
      </c>
      <c r="D244" s="6" t="n">
        <f aca="false">ROUND(Veterancy_XP!$E$5*C244,1)</f>
        <v>315.5</v>
      </c>
      <c r="E244" s="6" t="n">
        <f aca="false">ROUND(B244/D244,2)</f>
        <v>1</v>
      </c>
      <c r="F244" s="6" t="n">
        <f aca="false">ROUND(F243+E244,2)</f>
        <v>172.35</v>
      </c>
    </row>
    <row r="245" customFormat="false" ht="15" hidden="false" customHeight="true" outlineLevel="0" collapsed="false">
      <c r="A245" s="6" t="n">
        <v>243</v>
      </c>
      <c r="B245" s="6" t="n">
        <f aca="false">ROUND(Veterancy_XP!$B$5*(A245+1)^Veterancy_XP!$B$6,0)</f>
        <v>317</v>
      </c>
      <c r="C245" s="6" t="n">
        <f aca="false">ROUND(1/(A245+1)^Veterancy_XP!$E$6,4)</f>
        <v>0.3152</v>
      </c>
      <c r="D245" s="6" t="n">
        <f aca="false">ROUND(Veterancy_XP!$E$5*C245,1)</f>
        <v>315.2</v>
      </c>
      <c r="E245" s="6" t="n">
        <f aca="false">ROUND(B245/D245,2)</f>
        <v>1.01</v>
      </c>
      <c r="F245" s="6" t="n">
        <f aca="false">ROUND(F244+E245,2)</f>
        <v>173.36</v>
      </c>
    </row>
    <row r="246" customFormat="false" ht="15" hidden="false" customHeight="true" outlineLevel="0" collapsed="false">
      <c r="A246" s="6" t="n">
        <v>244</v>
      </c>
      <c r="B246" s="6" t="n">
        <f aca="false">ROUND(Veterancy_XP!$B$5*(A246+1)^Veterancy_XP!$B$6,0)</f>
        <v>317</v>
      </c>
      <c r="C246" s="6" t="n">
        <f aca="false">ROUND(1/(A246+1)^Veterancy_XP!$E$6,4)</f>
        <v>0.315</v>
      </c>
      <c r="D246" s="6" t="n">
        <f aca="false">ROUND(Veterancy_XP!$E$5*C246,1)</f>
        <v>315</v>
      </c>
      <c r="E246" s="6" t="n">
        <f aca="false">ROUND(B246/D246,2)</f>
        <v>1.01</v>
      </c>
      <c r="F246" s="6" t="n">
        <f aca="false">ROUND(F245+E246,2)</f>
        <v>174.37</v>
      </c>
    </row>
    <row r="247" customFormat="false" ht="15" hidden="false" customHeight="true" outlineLevel="0" collapsed="false">
      <c r="A247" s="6" t="n">
        <v>245</v>
      </c>
      <c r="B247" s="6" t="n">
        <f aca="false">ROUND(Veterancy_XP!$B$5*(A247+1)^Veterancy_XP!$B$6,0)</f>
        <v>318</v>
      </c>
      <c r="C247" s="6" t="n">
        <f aca="false">ROUND(1/(A247+1)^Veterancy_XP!$E$6,4)</f>
        <v>0.3147</v>
      </c>
      <c r="D247" s="6" t="n">
        <f aca="false">ROUND(Veterancy_XP!$E$5*C247,1)</f>
        <v>314.7</v>
      </c>
      <c r="E247" s="6" t="n">
        <f aca="false">ROUND(B247/D247,2)</f>
        <v>1.01</v>
      </c>
      <c r="F247" s="6" t="n">
        <f aca="false">ROUND(F246+E247,2)</f>
        <v>175.38</v>
      </c>
    </row>
    <row r="248" customFormat="false" ht="15" hidden="false" customHeight="true" outlineLevel="0" collapsed="false">
      <c r="A248" s="6" t="n">
        <v>246</v>
      </c>
      <c r="B248" s="6" t="n">
        <f aca="false">ROUND(Veterancy_XP!$B$5*(A248+1)^Veterancy_XP!$B$6,0)</f>
        <v>318</v>
      </c>
      <c r="C248" s="6" t="n">
        <f aca="false">ROUND(1/(A248+1)^Veterancy_XP!$E$6,4)</f>
        <v>0.3144</v>
      </c>
      <c r="D248" s="6" t="n">
        <f aca="false">ROUND(Veterancy_XP!$E$5*C248,1)</f>
        <v>314.4</v>
      </c>
      <c r="E248" s="6" t="n">
        <f aca="false">ROUND(B248/D248,2)</f>
        <v>1.01</v>
      </c>
      <c r="F248" s="6" t="n">
        <f aca="false">ROUND(F247+E248,2)</f>
        <v>176.39</v>
      </c>
    </row>
    <row r="249" customFormat="false" ht="15" hidden="false" customHeight="true" outlineLevel="0" collapsed="false">
      <c r="A249" s="6" t="n">
        <v>247</v>
      </c>
      <c r="B249" s="6" t="n">
        <f aca="false">ROUND(Veterancy_XP!$B$5*(A249+1)^Veterancy_XP!$B$6,0)</f>
        <v>318</v>
      </c>
      <c r="C249" s="6" t="n">
        <f aca="false">ROUND(1/(A249+1)^Veterancy_XP!$E$6,4)</f>
        <v>0.3142</v>
      </c>
      <c r="D249" s="6" t="n">
        <f aca="false">ROUND(Veterancy_XP!$E$5*C249,1)</f>
        <v>314.2</v>
      </c>
      <c r="E249" s="6" t="n">
        <f aca="false">ROUND(B249/D249,2)</f>
        <v>1.01</v>
      </c>
      <c r="F249" s="6" t="n">
        <f aca="false">ROUND(F248+E249,2)</f>
        <v>177.4</v>
      </c>
    </row>
    <row r="250" customFormat="false" ht="15" hidden="false" customHeight="true" outlineLevel="0" collapsed="false">
      <c r="A250" s="6" t="n">
        <v>248</v>
      </c>
      <c r="B250" s="6" t="n">
        <f aca="false">ROUND(Veterancy_XP!$B$5*(A250+1)^Veterancy_XP!$B$6,0)</f>
        <v>319</v>
      </c>
      <c r="C250" s="6" t="n">
        <f aca="false">ROUND(1/(A250+1)^Veterancy_XP!$E$6,4)</f>
        <v>0.3139</v>
      </c>
      <c r="D250" s="6" t="n">
        <f aca="false">ROUND(Veterancy_XP!$E$5*C250,1)</f>
        <v>313.9</v>
      </c>
      <c r="E250" s="6" t="n">
        <f aca="false">ROUND(B250/D250,2)</f>
        <v>1.02</v>
      </c>
      <c r="F250" s="6" t="n">
        <f aca="false">ROUND(F249+E250,2)</f>
        <v>178.42</v>
      </c>
    </row>
    <row r="251" customFormat="false" ht="15" hidden="false" customHeight="true" outlineLevel="0" collapsed="false">
      <c r="A251" s="6" t="n">
        <v>249</v>
      </c>
      <c r="B251" s="6" t="n">
        <f aca="false">ROUND(Veterancy_XP!$B$5*(A251+1)^Veterancy_XP!$B$6,0)</f>
        <v>319</v>
      </c>
      <c r="C251" s="6" t="n">
        <f aca="false">ROUND(1/(A251+1)^Veterancy_XP!$E$6,4)</f>
        <v>0.3136</v>
      </c>
      <c r="D251" s="6" t="n">
        <f aca="false">ROUND(Veterancy_XP!$E$5*C251,1)</f>
        <v>313.6</v>
      </c>
      <c r="E251" s="6" t="n">
        <f aca="false">ROUND(B251/D251,2)</f>
        <v>1.02</v>
      </c>
      <c r="F251" s="6" t="n">
        <f aca="false">ROUND(F250+E251,2)</f>
        <v>179.44</v>
      </c>
    </row>
    <row r="252" customFormat="false" ht="15" hidden="false" customHeight="true" outlineLevel="0" collapsed="false">
      <c r="A252" s="6" t="n">
        <v>250</v>
      </c>
      <c r="B252" s="6" t="n">
        <f aca="false">ROUND(Veterancy_XP!$B$5*(A252+1)^Veterancy_XP!$B$6,0)</f>
        <v>319</v>
      </c>
      <c r="C252" s="6" t="n">
        <f aca="false">ROUND(1/(A252+1)^Veterancy_XP!$E$6,4)</f>
        <v>0.3134</v>
      </c>
      <c r="D252" s="6" t="n">
        <f aca="false">ROUND(Veterancy_XP!$E$5*C252,1)</f>
        <v>313.4</v>
      </c>
      <c r="E252" s="6" t="n">
        <f aca="false">ROUND(B252/D252,2)</f>
        <v>1.02</v>
      </c>
      <c r="F252" s="6" t="n">
        <f aca="false">ROUND(F251+E252,2)</f>
        <v>180.46</v>
      </c>
    </row>
    <row r="253" customFormat="false" ht="15" hidden="false" customHeight="true" outlineLevel="0" collapsed="false">
      <c r="A253" s="6" t="n">
        <v>251</v>
      </c>
      <c r="B253" s="6" t="n">
        <f aca="false">ROUND(Veterancy_XP!$B$5*(A253+1)^Veterancy_XP!$B$6,0)</f>
        <v>319</v>
      </c>
      <c r="C253" s="6" t="n">
        <f aca="false">ROUND(1/(A253+1)^Veterancy_XP!$E$6,4)</f>
        <v>0.3131</v>
      </c>
      <c r="D253" s="6" t="n">
        <f aca="false">ROUND(Veterancy_XP!$E$5*C253,1)</f>
        <v>313.1</v>
      </c>
      <c r="E253" s="6" t="n">
        <f aca="false">ROUND(B253/D253,2)</f>
        <v>1.02</v>
      </c>
      <c r="F253" s="6" t="n">
        <f aca="false">ROUND(F252+E253,2)</f>
        <v>181.48</v>
      </c>
    </row>
    <row r="254" customFormat="false" ht="15" hidden="false" customHeight="true" outlineLevel="0" collapsed="false">
      <c r="A254" s="6" t="n">
        <v>252</v>
      </c>
      <c r="B254" s="6" t="n">
        <f aca="false">ROUND(Veterancy_XP!$B$5*(A254+1)^Veterancy_XP!$B$6,0)</f>
        <v>320</v>
      </c>
      <c r="C254" s="6" t="n">
        <f aca="false">ROUND(1/(A254+1)^Veterancy_XP!$E$6,4)</f>
        <v>0.3129</v>
      </c>
      <c r="D254" s="6" t="n">
        <f aca="false">ROUND(Veterancy_XP!$E$5*C254,1)</f>
        <v>312.9</v>
      </c>
      <c r="E254" s="6" t="n">
        <f aca="false">ROUND(B254/D254,2)</f>
        <v>1.02</v>
      </c>
      <c r="F254" s="6" t="n">
        <f aca="false">ROUND(F253+E254,2)</f>
        <v>182.5</v>
      </c>
    </row>
    <row r="255" customFormat="false" ht="15" hidden="false" customHeight="true" outlineLevel="0" collapsed="false">
      <c r="A255" s="6" t="n">
        <v>253</v>
      </c>
      <c r="B255" s="6" t="n">
        <f aca="false">ROUND(Veterancy_XP!$B$5*(A255+1)^Veterancy_XP!$B$6,0)</f>
        <v>320</v>
      </c>
      <c r="C255" s="6" t="n">
        <f aca="false">ROUND(1/(A255+1)^Veterancy_XP!$E$6,4)</f>
        <v>0.3126</v>
      </c>
      <c r="D255" s="6" t="n">
        <f aca="false">ROUND(Veterancy_XP!$E$5*C255,1)</f>
        <v>312.6</v>
      </c>
      <c r="E255" s="6" t="n">
        <f aca="false">ROUND(B255/D255,2)</f>
        <v>1.02</v>
      </c>
      <c r="F255" s="6" t="n">
        <f aca="false">ROUND(F254+E255,2)</f>
        <v>183.52</v>
      </c>
    </row>
    <row r="256" customFormat="false" ht="15" hidden="false" customHeight="true" outlineLevel="0" collapsed="false">
      <c r="A256" s="6" t="n">
        <v>254</v>
      </c>
      <c r="B256" s="6" t="n">
        <f aca="false">ROUND(Veterancy_XP!$B$5*(A256+1)^Veterancy_XP!$B$6,0)</f>
        <v>320</v>
      </c>
      <c r="C256" s="6" t="n">
        <f aca="false">ROUND(1/(A256+1)^Veterancy_XP!$E$6,4)</f>
        <v>0.3123</v>
      </c>
      <c r="D256" s="6" t="n">
        <f aca="false">ROUND(Veterancy_XP!$E$5*C256,1)</f>
        <v>312.3</v>
      </c>
      <c r="E256" s="6" t="n">
        <f aca="false">ROUND(B256/D256,2)</f>
        <v>1.02</v>
      </c>
      <c r="F256" s="6" t="n">
        <f aca="false">ROUND(F255+E256,2)</f>
        <v>184.54</v>
      </c>
    </row>
    <row r="257" customFormat="false" ht="15" hidden="false" customHeight="true" outlineLevel="0" collapsed="false">
      <c r="A257" s="6" t="n">
        <v>255</v>
      </c>
      <c r="B257" s="6" t="n">
        <f aca="false">ROUND(Veterancy_XP!$B$5*(A257+1)^Veterancy_XP!$B$6,0)</f>
        <v>320</v>
      </c>
      <c r="C257" s="6" t="n">
        <f aca="false">ROUND(1/(A257+1)^Veterancy_XP!$E$6,4)</f>
        <v>0.3121</v>
      </c>
      <c r="D257" s="6" t="n">
        <f aca="false">ROUND(Veterancy_XP!$E$5*C257,1)</f>
        <v>312.1</v>
      </c>
      <c r="E257" s="6" t="n">
        <f aca="false">ROUND(B257/D257,2)</f>
        <v>1.03</v>
      </c>
      <c r="F257" s="6" t="n">
        <f aca="false">ROUND(F256+E257,2)</f>
        <v>185.57</v>
      </c>
    </row>
    <row r="258" customFormat="false" ht="15" hidden="false" customHeight="true" outlineLevel="0" collapsed="false">
      <c r="A258" s="6" t="n">
        <v>256</v>
      </c>
      <c r="B258" s="6" t="n">
        <f aca="false">ROUND(Veterancy_XP!$B$5*(A258+1)^Veterancy_XP!$B$6,0)</f>
        <v>321</v>
      </c>
      <c r="C258" s="6" t="n">
        <f aca="false">ROUND(1/(A258+1)^Veterancy_XP!$E$6,4)</f>
        <v>0.3118</v>
      </c>
      <c r="D258" s="6" t="n">
        <f aca="false">ROUND(Veterancy_XP!$E$5*C258,1)</f>
        <v>311.8</v>
      </c>
      <c r="E258" s="6" t="n">
        <f aca="false">ROUND(B258/D258,2)</f>
        <v>1.03</v>
      </c>
      <c r="F258" s="6" t="n">
        <f aca="false">ROUND(F257+E258,2)</f>
        <v>186.6</v>
      </c>
    </row>
    <row r="259" customFormat="false" ht="15" hidden="false" customHeight="true" outlineLevel="0" collapsed="false">
      <c r="A259" s="6" t="n">
        <v>257</v>
      </c>
      <c r="B259" s="6" t="n">
        <f aca="false">ROUND(Veterancy_XP!$B$5*(A259+1)^Veterancy_XP!$B$6,0)</f>
        <v>321</v>
      </c>
      <c r="C259" s="6" t="n">
        <f aca="false">ROUND(1/(A259+1)^Veterancy_XP!$E$6,4)</f>
        <v>0.3116</v>
      </c>
      <c r="D259" s="6" t="n">
        <f aca="false">ROUND(Veterancy_XP!$E$5*C259,1)</f>
        <v>311.6</v>
      </c>
      <c r="E259" s="6" t="n">
        <f aca="false">ROUND(B259/D259,2)</f>
        <v>1.03</v>
      </c>
      <c r="F259" s="6" t="n">
        <f aca="false">ROUND(F258+E259,2)</f>
        <v>187.63</v>
      </c>
    </row>
    <row r="260" customFormat="false" ht="15" hidden="false" customHeight="true" outlineLevel="0" collapsed="false">
      <c r="A260" s="6" t="n">
        <v>258</v>
      </c>
      <c r="B260" s="6" t="n">
        <f aca="false">ROUND(Veterancy_XP!$B$5*(A260+1)^Veterancy_XP!$B$6,0)</f>
        <v>321</v>
      </c>
      <c r="C260" s="6" t="n">
        <f aca="false">ROUND(1/(A260+1)^Veterancy_XP!$E$6,4)</f>
        <v>0.3113</v>
      </c>
      <c r="D260" s="6" t="n">
        <f aca="false">ROUND(Veterancy_XP!$E$5*C260,1)</f>
        <v>311.3</v>
      </c>
      <c r="E260" s="6" t="n">
        <f aca="false">ROUND(B260/D260,2)</f>
        <v>1.03</v>
      </c>
      <c r="F260" s="6" t="n">
        <f aca="false">ROUND(F259+E260,2)</f>
        <v>188.66</v>
      </c>
    </row>
    <row r="261" customFormat="false" ht="15" hidden="false" customHeight="true" outlineLevel="0" collapsed="false">
      <c r="A261" s="6" t="n">
        <v>259</v>
      </c>
      <c r="B261" s="6" t="n">
        <f aca="false">ROUND(Veterancy_XP!$B$5*(A261+1)^Veterancy_XP!$B$6,0)</f>
        <v>321</v>
      </c>
      <c r="C261" s="6" t="n">
        <f aca="false">ROUND(1/(A261+1)^Veterancy_XP!$E$6,4)</f>
        <v>0.3111</v>
      </c>
      <c r="D261" s="6" t="n">
        <f aca="false">ROUND(Veterancy_XP!$E$5*C261,1)</f>
        <v>311.1</v>
      </c>
      <c r="E261" s="6" t="n">
        <f aca="false">ROUND(B261/D261,2)</f>
        <v>1.03</v>
      </c>
      <c r="F261" s="6" t="n">
        <f aca="false">ROUND(F260+E261,2)</f>
        <v>189.69</v>
      </c>
    </row>
    <row r="262" customFormat="false" ht="15" hidden="false" customHeight="true" outlineLevel="0" collapsed="false">
      <c r="A262" s="6" t="n">
        <v>260</v>
      </c>
      <c r="B262" s="6" t="n">
        <f aca="false">ROUND(Veterancy_XP!$B$5*(A262+1)^Veterancy_XP!$B$6,0)</f>
        <v>322</v>
      </c>
      <c r="C262" s="6" t="n">
        <f aca="false">ROUND(1/(A262+1)^Veterancy_XP!$E$6,4)</f>
        <v>0.3108</v>
      </c>
      <c r="D262" s="6" t="n">
        <f aca="false">ROUND(Veterancy_XP!$E$5*C262,1)</f>
        <v>310.8</v>
      </c>
      <c r="E262" s="6" t="n">
        <f aca="false">ROUND(B262/D262,2)</f>
        <v>1.04</v>
      </c>
      <c r="F262" s="6" t="n">
        <f aca="false">ROUND(F261+E262,2)</f>
        <v>190.73</v>
      </c>
    </row>
    <row r="263" customFormat="false" ht="15" hidden="false" customHeight="true" outlineLevel="0" collapsed="false">
      <c r="A263" s="6" t="n">
        <v>261</v>
      </c>
      <c r="B263" s="6" t="n">
        <f aca="false">ROUND(Veterancy_XP!$B$5*(A263+1)^Veterancy_XP!$B$6,0)</f>
        <v>322</v>
      </c>
      <c r="C263" s="6" t="n">
        <f aca="false">ROUND(1/(A263+1)^Veterancy_XP!$E$6,4)</f>
        <v>0.3106</v>
      </c>
      <c r="D263" s="6" t="n">
        <f aca="false">ROUND(Veterancy_XP!$E$5*C263,1)</f>
        <v>310.6</v>
      </c>
      <c r="E263" s="6" t="n">
        <f aca="false">ROUND(B263/D263,2)</f>
        <v>1.04</v>
      </c>
      <c r="F263" s="6" t="n">
        <f aca="false">ROUND(F262+E263,2)</f>
        <v>191.77</v>
      </c>
    </row>
    <row r="264" customFormat="false" ht="15" hidden="false" customHeight="true" outlineLevel="0" collapsed="false">
      <c r="A264" s="6" t="n">
        <v>262</v>
      </c>
      <c r="B264" s="6" t="n">
        <f aca="false">ROUND(Veterancy_XP!$B$5*(A264+1)^Veterancy_XP!$B$6,0)</f>
        <v>322</v>
      </c>
      <c r="C264" s="6" t="n">
        <f aca="false">ROUND(1/(A264+1)^Veterancy_XP!$E$6,4)</f>
        <v>0.3103</v>
      </c>
      <c r="D264" s="6" t="n">
        <f aca="false">ROUND(Veterancy_XP!$E$5*C264,1)</f>
        <v>310.3</v>
      </c>
      <c r="E264" s="6" t="n">
        <f aca="false">ROUND(B264/D264,2)</f>
        <v>1.04</v>
      </c>
      <c r="F264" s="6" t="n">
        <f aca="false">ROUND(F263+E264,2)</f>
        <v>192.81</v>
      </c>
    </row>
    <row r="265" customFormat="false" ht="15" hidden="false" customHeight="true" outlineLevel="0" collapsed="false">
      <c r="A265" s="6" t="n">
        <v>263</v>
      </c>
      <c r="B265" s="6" t="n">
        <f aca="false">ROUND(Veterancy_XP!$B$5*(A265+1)^Veterancy_XP!$B$6,0)</f>
        <v>323</v>
      </c>
      <c r="C265" s="6" t="n">
        <f aca="false">ROUND(1/(A265+1)^Veterancy_XP!$E$6,4)</f>
        <v>0.3101</v>
      </c>
      <c r="D265" s="6" t="n">
        <f aca="false">ROUND(Veterancy_XP!$E$5*C265,1)</f>
        <v>310.1</v>
      </c>
      <c r="E265" s="6" t="n">
        <f aca="false">ROUND(B265/D265,2)</f>
        <v>1.04</v>
      </c>
      <c r="F265" s="6" t="n">
        <f aca="false">ROUND(F264+E265,2)</f>
        <v>193.85</v>
      </c>
    </row>
    <row r="266" customFormat="false" ht="15" hidden="false" customHeight="true" outlineLevel="0" collapsed="false">
      <c r="A266" s="6" t="n">
        <v>264</v>
      </c>
      <c r="B266" s="6" t="n">
        <f aca="false">ROUND(Veterancy_XP!$B$5*(A266+1)^Veterancy_XP!$B$6,0)</f>
        <v>323</v>
      </c>
      <c r="C266" s="6" t="n">
        <f aca="false">ROUND(1/(A266+1)^Veterancy_XP!$E$6,4)</f>
        <v>0.3098</v>
      </c>
      <c r="D266" s="6" t="n">
        <f aca="false">ROUND(Veterancy_XP!$E$5*C266,1)</f>
        <v>309.8</v>
      </c>
      <c r="E266" s="6" t="n">
        <f aca="false">ROUND(B266/D266,2)</f>
        <v>1.04</v>
      </c>
      <c r="F266" s="6" t="n">
        <f aca="false">ROUND(F265+E266,2)</f>
        <v>194.89</v>
      </c>
    </row>
    <row r="267" customFormat="false" ht="15" hidden="false" customHeight="true" outlineLevel="0" collapsed="false">
      <c r="A267" s="6" t="n">
        <v>265</v>
      </c>
      <c r="B267" s="6" t="n">
        <f aca="false">ROUND(Veterancy_XP!$B$5*(A267+1)^Veterancy_XP!$B$6,0)</f>
        <v>323</v>
      </c>
      <c r="C267" s="6" t="n">
        <f aca="false">ROUND(1/(A267+1)^Veterancy_XP!$E$6,4)</f>
        <v>0.3096</v>
      </c>
      <c r="D267" s="6" t="n">
        <f aca="false">ROUND(Veterancy_XP!$E$5*C267,1)</f>
        <v>309.6</v>
      </c>
      <c r="E267" s="6" t="n">
        <f aca="false">ROUND(B267/D267,2)</f>
        <v>1.04</v>
      </c>
      <c r="F267" s="6" t="n">
        <f aca="false">ROUND(F266+E267,2)</f>
        <v>195.93</v>
      </c>
    </row>
    <row r="268" customFormat="false" ht="15" hidden="false" customHeight="true" outlineLevel="0" collapsed="false">
      <c r="A268" s="6" t="n">
        <v>266</v>
      </c>
      <c r="B268" s="6" t="n">
        <f aca="false">ROUND(Veterancy_XP!$B$5*(A268+1)^Veterancy_XP!$B$6,0)</f>
        <v>323</v>
      </c>
      <c r="C268" s="6" t="n">
        <f aca="false">ROUND(1/(A268+1)^Veterancy_XP!$E$6,4)</f>
        <v>0.3093</v>
      </c>
      <c r="D268" s="6" t="n">
        <f aca="false">ROUND(Veterancy_XP!$E$5*C268,1)</f>
        <v>309.3</v>
      </c>
      <c r="E268" s="6" t="n">
        <f aca="false">ROUND(B268/D268,2)</f>
        <v>1.04</v>
      </c>
      <c r="F268" s="6" t="n">
        <f aca="false">ROUND(F267+E268,2)</f>
        <v>196.97</v>
      </c>
    </row>
    <row r="269" customFormat="false" ht="15" hidden="false" customHeight="true" outlineLevel="0" collapsed="false">
      <c r="A269" s="6" t="n">
        <v>267</v>
      </c>
      <c r="B269" s="6" t="n">
        <f aca="false">ROUND(Veterancy_XP!$B$5*(A269+1)^Veterancy_XP!$B$6,0)</f>
        <v>324</v>
      </c>
      <c r="C269" s="6" t="n">
        <f aca="false">ROUND(1/(A269+1)^Veterancy_XP!$E$6,4)</f>
        <v>0.3091</v>
      </c>
      <c r="D269" s="6" t="n">
        <f aca="false">ROUND(Veterancy_XP!$E$5*C269,1)</f>
        <v>309.1</v>
      </c>
      <c r="E269" s="6" t="n">
        <f aca="false">ROUND(B269/D269,2)</f>
        <v>1.05</v>
      </c>
      <c r="F269" s="6" t="n">
        <f aca="false">ROUND(F268+E269,2)</f>
        <v>198.02</v>
      </c>
    </row>
    <row r="270" customFormat="false" ht="15" hidden="false" customHeight="true" outlineLevel="0" collapsed="false">
      <c r="A270" s="6" t="n">
        <v>268</v>
      </c>
      <c r="B270" s="6" t="n">
        <f aca="false">ROUND(Veterancy_XP!$B$5*(A270+1)^Veterancy_XP!$B$6,0)</f>
        <v>324</v>
      </c>
      <c r="C270" s="6" t="n">
        <f aca="false">ROUND(1/(A270+1)^Veterancy_XP!$E$6,4)</f>
        <v>0.3089</v>
      </c>
      <c r="D270" s="6" t="n">
        <f aca="false">ROUND(Veterancy_XP!$E$5*C270,1)</f>
        <v>308.9</v>
      </c>
      <c r="E270" s="6" t="n">
        <f aca="false">ROUND(B270/D270,2)</f>
        <v>1.05</v>
      </c>
      <c r="F270" s="6" t="n">
        <f aca="false">ROUND(F269+E270,2)</f>
        <v>199.07</v>
      </c>
    </row>
    <row r="271" customFormat="false" ht="15" hidden="false" customHeight="true" outlineLevel="0" collapsed="false">
      <c r="A271" s="6" t="n">
        <v>269</v>
      </c>
      <c r="B271" s="6" t="n">
        <f aca="false">ROUND(Veterancy_XP!$B$5*(A271+1)^Veterancy_XP!$B$6,0)</f>
        <v>324</v>
      </c>
      <c r="C271" s="6" t="n">
        <f aca="false">ROUND(1/(A271+1)^Veterancy_XP!$E$6,4)</f>
        <v>0.3086</v>
      </c>
      <c r="D271" s="6" t="n">
        <f aca="false">ROUND(Veterancy_XP!$E$5*C271,1)</f>
        <v>308.6</v>
      </c>
      <c r="E271" s="6" t="n">
        <f aca="false">ROUND(B271/D271,2)</f>
        <v>1.05</v>
      </c>
      <c r="F271" s="6" t="n">
        <f aca="false">ROUND(F270+E271,2)</f>
        <v>200.12</v>
      </c>
    </row>
    <row r="272" customFormat="false" ht="15" hidden="false" customHeight="true" outlineLevel="0" collapsed="false">
      <c r="A272" s="6" t="n">
        <v>270</v>
      </c>
      <c r="B272" s="6" t="n">
        <f aca="false">ROUND(Veterancy_XP!$B$5*(A272+1)^Veterancy_XP!$B$6,0)</f>
        <v>324</v>
      </c>
      <c r="C272" s="6" t="n">
        <f aca="false">ROUND(1/(A272+1)^Veterancy_XP!$E$6,4)</f>
        <v>0.3084</v>
      </c>
      <c r="D272" s="6" t="n">
        <f aca="false">ROUND(Veterancy_XP!$E$5*C272,1)</f>
        <v>308.4</v>
      </c>
      <c r="E272" s="6" t="n">
        <f aca="false">ROUND(B272/D272,2)</f>
        <v>1.05</v>
      </c>
      <c r="F272" s="6" t="n">
        <f aca="false">ROUND(F271+E272,2)</f>
        <v>201.17</v>
      </c>
    </row>
    <row r="273" customFormat="false" ht="15" hidden="false" customHeight="true" outlineLevel="0" collapsed="false">
      <c r="A273" s="6" t="n">
        <v>271</v>
      </c>
      <c r="B273" s="6" t="n">
        <f aca="false">ROUND(Veterancy_XP!$B$5*(A273+1)^Veterancy_XP!$B$6,0)</f>
        <v>325</v>
      </c>
      <c r="C273" s="6" t="n">
        <f aca="false">ROUND(1/(A273+1)^Veterancy_XP!$E$6,4)</f>
        <v>0.3081</v>
      </c>
      <c r="D273" s="6" t="n">
        <f aca="false">ROUND(Veterancy_XP!$E$5*C273,1)</f>
        <v>308.1</v>
      </c>
      <c r="E273" s="6" t="n">
        <f aca="false">ROUND(B273/D273,2)</f>
        <v>1.05</v>
      </c>
      <c r="F273" s="6" t="n">
        <f aca="false">ROUND(F272+E273,2)</f>
        <v>202.22</v>
      </c>
    </row>
    <row r="274" customFormat="false" ht="15" hidden="false" customHeight="true" outlineLevel="0" collapsed="false">
      <c r="A274" s="6" t="n">
        <v>272</v>
      </c>
      <c r="B274" s="6" t="n">
        <f aca="false">ROUND(Veterancy_XP!$B$5*(A274+1)^Veterancy_XP!$B$6,0)</f>
        <v>325</v>
      </c>
      <c r="C274" s="6" t="n">
        <f aca="false">ROUND(1/(A274+1)^Veterancy_XP!$E$6,4)</f>
        <v>0.3079</v>
      </c>
      <c r="D274" s="6" t="n">
        <f aca="false">ROUND(Veterancy_XP!$E$5*C274,1)</f>
        <v>307.9</v>
      </c>
      <c r="E274" s="6" t="n">
        <f aca="false">ROUND(B274/D274,2)</f>
        <v>1.06</v>
      </c>
      <c r="F274" s="6" t="n">
        <f aca="false">ROUND(F273+E274,2)</f>
        <v>203.28</v>
      </c>
    </row>
    <row r="275" customFormat="false" ht="15" hidden="false" customHeight="true" outlineLevel="0" collapsed="false">
      <c r="A275" s="6" t="n">
        <v>273</v>
      </c>
      <c r="B275" s="6" t="n">
        <f aca="false">ROUND(Veterancy_XP!$B$5*(A275+1)^Veterancy_XP!$B$6,0)</f>
        <v>325</v>
      </c>
      <c r="C275" s="6" t="n">
        <f aca="false">ROUND(1/(A275+1)^Veterancy_XP!$E$6,4)</f>
        <v>0.3077</v>
      </c>
      <c r="D275" s="6" t="n">
        <f aca="false">ROUND(Veterancy_XP!$E$5*C275,1)</f>
        <v>307.7</v>
      </c>
      <c r="E275" s="6" t="n">
        <f aca="false">ROUND(B275/D275,2)</f>
        <v>1.06</v>
      </c>
      <c r="F275" s="6" t="n">
        <f aca="false">ROUND(F274+E275,2)</f>
        <v>204.34</v>
      </c>
    </row>
    <row r="276" customFormat="false" ht="15" hidden="false" customHeight="true" outlineLevel="0" collapsed="false">
      <c r="A276" s="6" t="n">
        <v>274</v>
      </c>
      <c r="B276" s="6" t="n">
        <f aca="false">ROUND(Veterancy_XP!$B$5*(A276+1)^Veterancy_XP!$B$6,0)</f>
        <v>325</v>
      </c>
      <c r="C276" s="6" t="n">
        <f aca="false">ROUND(1/(A276+1)^Veterancy_XP!$E$6,4)</f>
        <v>0.3074</v>
      </c>
      <c r="D276" s="6" t="n">
        <f aca="false">ROUND(Veterancy_XP!$E$5*C276,1)</f>
        <v>307.4</v>
      </c>
      <c r="E276" s="6" t="n">
        <f aca="false">ROUND(B276/D276,2)</f>
        <v>1.06</v>
      </c>
      <c r="F276" s="6" t="n">
        <f aca="false">ROUND(F275+E276,2)</f>
        <v>205.4</v>
      </c>
    </row>
    <row r="277" customFormat="false" ht="15" hidden="false" customHeight="true" outlineLevel="0" collapsed="false">
      <c r="A277" s="6" t="n">
        <v>275</v>
      </c>
      <c r="B277" s="6" t="n">
        <f aca="false">ROUND(Veterancy_XP!$B$5*(A277+1)^Veterancy_XP!$B$6,0)</f>
        <v>326</v>
      </c>
      <c r="C277" s="6" t="n">
        <f aca="false">ROUND(1/(A277+1)^Veterancy_XP!$E$6,4)</f>
        <v>0.3072</v>
      </c>
      <c r="D277" s="6" t="n">
        <f aca="false">ROUND(Veterancy_XP!$E$5*C277,1)</f>
        <v>307.2</v>
      </c>
      <c r="E277" s="6" t="n">
        <f aca="false">ROUND(B277/D277,2)</f>
        <v>1.06</v>
      </c>
      <c r="F277" s="6" t="n">
        <f aca="false">ROUND(F276+E277,2)</f>
        <v>206.46</v>
      </c>
    </row>
    <row r="278" customFormat="false" ht="15" hidden="false" customHeight="true" outlineLevel="0" collapsed="false">
      <c r="A278" s="6" t="n">
        <v>276</v>
      </c>
      <c r="B278" s="6" t="n">
        <f aca="false">ROUND(Veterancy_XP!$B$5*(A278+1)^Veterancy_XP!$B$6,0)</f>
        <v>326</v>
      </c>
      <c r="C278" s="6" t="n">
        <f aca="false">ROUND(1/(A278+1)^Veterancy_XP!$E$6,4)</f>
        <v>0.307</v>
      </c>
      <c r="D278" s="6" t="n">
        <f aca="false">ROUND(Veterancy_XP!$E$5*C278,1)</f>
        <v>307</v>
      </c>
      <c r="E278" s="6" t="n">
        <f aca="false">ROUND(B278/D278,2)</f>
        <v>1.06</v>
      </c>
      <c r="F278" s="6" t="n">
        <f aca="false">ROUND(F277+E278,2)</f>
        <v>207.52</v>
      </c>
    </row>
    <row r="279" customFormat="false" ht="15" hidden="false" customHeight="true" outlineLevel="0" collapsed="false">
      <c r="A279" s="6" t="n">
        <v>277</v>
      </c>
      <c r="B279" s="6" t="n">
        <f aca="false">ROUND(Veterancy_XP!$B$5*(A279+1)^Veterancy_XP!$B$6,0)</f>
        <v>326</v>
      </c>
      <c r="C279" s="6" t="n">
        <f aca="false">ROUND(1/(A279+1)^Veterancy_XP!$E$6,4)</f>
        <v>0.3067</v>
      </c>
      <c r="D279" s="6" t="n">
        <f aca="false">ROUND(Veterancy_XP!$E$5*C279,1)</f>
        <v>306.7</v>
      </c>
      <c r="E279" s="6" t="n">
        <f aca="false">ROUND(B279/D279,2)</f>
        <v>1.06</v>
      </c>
      <c r="F279" s="6" t="n">
        <f aca="false">ROUND(F278+E279,2)</f>
        <v>208.58</v>
      </c>
    </row>
    <row r="280" customFormat="false" ht="15" hidden="false" customHeight="true" outlineLevel="0" collapsed="false">
      <c r="A280" s="6" t="n">
        <v>278</v>
      </c>
      <c r="B280" s="6" t="n">
        <f aca="false">ROUND(Veterancy_XP!$B$5*(A280+1)^Veterancy_XP!$B$6,0)</f>
        <v>326</v>
      </c>
      <c r="C280" s="6" t="n">
        <f aca="false">ROUND(1/(A280+1)^Veterancy_XP!$E$6,4)</f>
        <v>0.3065</v>
      </c>
      <c r="D280" s="6" t="n">
        <f aca="false">ROUND(Veterancy_XP!$E$5*C280,1)</f>
        <v>306.5</v>
      </c>
      <c r="E280" s="6" t="n">
        <f aca="false">ROUND(B280/D280,2)</f>
        <v>1.06</v>
      </c>
      <c r="F280" s="6" t="n">
        <f aca="false">ROUND(F279+E280,2)</f>
        <v>209.64</v>
      </c>
    </row>
    <row r="281" customFormat="false" ht="15" hidden="false" customHeight="true" outlineLevel="0" collapsed="false">
      <c r="A281" s="6" t="n">
        <v>279</v>
      </c>
      <c r="B281" s="6" t="n">
        <f aca="false">ROUND(Veterancy_XP!$B$5*(A281+1)^Veterancy_XP!$B$6,0)</f>
        <v>327</v>
      </c>
      <c r="C281" s="6" t="n">
        <f aca="false">ROUND(1/(A281+1)^Veterancy_XP!$E$6,4)</f>
        <v>0.3063</v>
      </c>
      <c r="D281" s="6" t="n">
        <f aca="false">ROUND(Veterancy_XP!$E$5*C281,1)</f>
        <v>306.3</v>
      </c>
      <c r="E281" s="6" t="n">
        <f aca="false">ROUND(B281/D281,2)</f>
        <v>1.07</v>
      </c>
      <c r="F281" s="6" t="n">
        <f aca="false">ROUND(F280+E281,2)</f>
        <v>210.71</v>
      </c>
    </row>
    <row r="282" customFormat="false" ht="15" hidden="false" customHeight="true" outlineLevel="0" collapsed="false">
      <c r="A282" s="6" t="n">
        <v>280</v>
      </c>
      <c r="B282" s="6" t="n">
        <f aca="false">ROUND(Veterancy_XP!$B$5*(A282+1)^Veterancy_XP!$B$6,0)</f>
        <v>327</v>
      </c>
      <c r="C282" s="6" t="n">
        <f aca="false">ROUND(1/(A282+1)^Veterancy_XP!$E$6,4)</f>
        <v>0.306</v>
      </c>
      <c r="D282" s="6" t="n">
        <f aca="false">ROUND(Veterancy_XP!$E$5*C282,1)</f>
        <v>306</v>
      </c>
      <c r="E282" s="6" t="n">
        <f aca="false">ROUND(B282/D282,2)</f>
        <v>1.07</v>
      </c>
      <c r="F282" s="6" t="n">
        <f aca="false">ROUND(F281+E282,2)</f>
        <v>211.78</v>
      </c>
    </row>
    <row r="283" customFormat="false" ht="15" hidden="false" customHeight="true" outlineLevel="0" collapsed="false">
      <c r="A283" s="6" t="n">
        <v>281</v>
      </c>
      <c r="B283" s="6" t="n">
        <f aca="false">ROUND(Veterancy_XP!$B$5*(A283+1)^Veterancy_XP!$B$6,0)</f>
        <v>327</v>
      </c>
      <c r="C283" s="6" t="n">
        <f aca="false">ROUND(1/(A283+1)^Veterancy_XP!$E$6,4)</f>
        <v>0.3058</v>
      </c>
      <c r="D283" s="6" t="n">
        <f aca="false">ROUND(Veterancy_XP!$E$5*C283,1)</f>
        <v>305.8</v>
      </c>
      <c r="E283" s="6" t="n">
        <f aca="false">ROUND(B283/D283,2)</f>
        <v>1.07</v>
      </c>
      <c r="F283" s="6" t="n">
        <f aca="false">ROUND(F282+E283,2)</f>
        <v>212.85</v>
      </c>
    </row>
    <row r="284" customFormat="false" ht="15" hidden="false" customHeight="true" outlineLevel="0" collapsed="false">
      <c r="A284" s="6" t="n">
        <v>282</v>
      </c>
      <c r="B284" s="6" t="n">
        <f aca="false">ROUND(Veterancy_XP!$B$5*(A284+1)^Veterancy_XP!$B$6,0)</f>
        <v>327</v>
      </c>
      <c r="C284" s="6" t="n">
        <f aca="false">ROUND(1/(A284+1)^Veterancy_XP!$E$6,4)</f>
        <v>0.3056</v>
      </c>
      <c r="D284" s="6" t="n">
        <f aca="false">ROUND(Veterancy_XP!$E$5*C284,1)</f>
        <v>305.6</v>
      </c>
      <c r="E284" s="6" t="n">
        <f aca="false">ROUND(B284/D284,2)</f>
        <v>1.07</v>
      </c>
      <c r="F284" s="6" t="n">
        <f aca="false">ROUND(F283+E284,2)</f>
        <v>213.92</v>
      </c>
    </row>
    <row r="285" customFormat="false" ht="15" hidden="false" customHeight="true" outlineLevel="0" collapsed="false">
      <c r="A285" s="6" t="n">
        <v>283</v>
      </c>
      <c r="B285" s="6" t="n">
        <f aca="false">ROUND(Veterancy_XP!$B$5*(A285+1)^Veterancy_XP!$B$6,0)</f>
        <v>327</v>
      </c>
      <c r="C285" s="6" t="n">
        <f aca="false">ROUND(1/(A285+1)^Veterancy_XP!$E$6,4)</f>
        <v>0.3054</v>
      </c>
      <c r="D285" s="6" t="n">
        <f aca="false">ROUND(Veterancy_XP!$E$5*C285,1)</f>
        <v>305.4</v>
      </c>
      <c r="E285" s="6" t="n">
        <f aca="false">ROUND(B285/D285,2)</f>
        <v>1.07</v>
      </c>
      <c r="F285" s="6" t="n">
        <f aca="false">ROUND(F284+E285,2)</f>
        <v>214.99</v>
      </c>
    </row>
    <row r="286" customFormat="false" ht="15" hidden="false" customHeight="true" outlineLevel="0" collapsed="false">
      <c r="A286" s="6" t="n">
        <v>284</v>
      </c>
      <c r="B286" s="6" t="n">
        <f aca="false">ROUND(Veterancy_XP!$B$5*(A286+1)^Veterancy_XP!$B$6,0)</f>
        <v>328</v>
      </c>
      <c r="C286" s="6" t="n">
        <f aca="false">ROUND(1/(A286+1)^Veterancy_XP!$E$6,4)</f>
        <v>0.3051</v>
      </c>
      <c r="D286" s="6" t="n">
        <f aca="false">ROUND(Veterancy_XP!$E$5*C286,1)</f>
        <v>305.1</v>
      </c>
      <c r="E286" s="6" t="n">
        <f aca="false">ROUND(B286/D286,2)</f>
        <v>1.08</v>
      </c>
      <c r="F286" s="6" t="n">
        <f aca="false">ROUND(F285+E286,2)</f>
        <v>216.07</v>
      </c>
    </row>
    <row r="287" customFormat="false" ht="15" hidden="false" customHeight="true" outlineLevel="0" collapsed="false">
      <c r="A287" s="6" t="n">
        <v>285</v>
      </c>
      <c r="B287" s="6" t="n">
        <f aca="false">ROUND(Veterancy_XP!$B$5*(A287+1)^Veterancy_XP!$B$6,0)</f>
        <v>328</v>
      </c>
      <c r="C287" s="6" t="n">
        <f aca="false">ROUND(1/(A287+1)^Veterancy_XP!$E$6,4)</f>
        <v>0.3049</v>
      </c>
      <c r="D287" s="6" t="n">
        <f aca="false">ROUND(Veterancy_XP!$E$5*C287,1)</f>
        <v>304.9</v>
      </c>
      <c r="E287" s="6" t="n">
        <f aca="false">ROUND(B287/D287,2)</f>
        <v>1.08</v>
      </c>
      <c r="F287" s="6" t="n">
        <f aca="false">ROUND(F286+E287,2)</f>
        <v>217.15</v>
      </c>
    </row>
    <row r="288" customFormat="false" ht="15" hidden="false" customHeight="true" outlineLevel="0" collapsed="false">
      <c r="A288" s="6" t="n">
        <v>286</v>
      </c>
      <c r="B288" s="6" t="n">
        <f aca="false">ROUND(Veterancy_XP!$B$5*(A288+1)^Veterancy_XP!$B$6,0)</f>
        <v>328</v>
      </c>
      <c r="C288" s="6" t="n">
        <f aca="false">ROUND(1/(A288+1)^Veterancy_XP!$E$6,4)</f>
        <v>0.3047</v>
      </c>
      <c r="D288" s="6" t="n">
        <f aca="false">ROUND(Veterancy_XP!$E$5*C288,1)</f>
        <v>304.7</v>
      </c>
      <c r="E288" s="6" t="n">
        <f aca="false">ROUND(B288/D288,2)</f>
        <v>1.08</v>
      </c>
      <c r="F288" s="6" t="n">
        <f aca="false">ROUND(F287+E288,2)</f>
        <v>218.23</v>
      </c>
    </row>
    <row r="289" customFormat="false" ht="15" hidden="false" customHeight="true" outlineLevel="0" collapsed="false">
      <c r="A289" s="6" t="n">
        <v>287</v>
      </c>
      <c r="B289" s="6" t="n">
        <f aca="false">ROUND(Veterancy_XP!$B$5*(A289+1)^Veterancy_XP!$B$6,0)</f>
        <v>328</v>
      </c>
      <c r="C289" s="6" t="n">
        <f aca="false">ROUND(1/(A289+1)^Veterancy_XP!$E$6,4)</f>
        <v>0.3045</v>
      </c>
      <c r="D289" s="6" t="n">
        <f aca="false">ROUND(Veterancy_XP!$E$5*C289,1)</f>
        <v>304.5</v>
      </c>
      <c r="E289" s="6" t="n">
        <f aca="false">ROUND(B289/D289,2)</f>
        <v>1.08</v>
      </c>
      <c r="F289" s="6" t="n">
        <f aca="false">ROUND(F288+E289,2)</f>
        <v>219.31</v>
      </c>
    </row>
    <row r="290" customFormat="false" ht="15" hidden="false" customHeight="true" outlineLevel="0" collapsed="false">
      <c r="A290" s="6" t="n">
        <v>288</v>
      </c>
      <c r="B290" s="6" t="n">
        <f aca="false">ROUND(Veterancy_XP!$B$5*(A290+1)^Veterancy_XP!$B$6,0)</f>
        <v>329</v>
      </c>
      <c r="C290" s="6" t="n">
        <f aca="false">ROUND(1/(A290+1)^Veterancy_XP!$E$6,4)</f>
        <v>0.3042</v>
      </c>
      <c r="D290" s="6" t="n">
        <f aca="false">ROUND(Veterancy_XP!$E$5*C290,1)</f>
        <v>304.2</v>
      </c>
      <c r="E290" s="6" t="n">
        <f aca="false">ROUND(B290/D290,2)</f>
        <v>1.08</v>
      </c>
      <c r="F290" s="6" t="n">
        <f aca="false">ROUND(F289+E290,2)</f>
        <v>220.39</v>
      </c>
    </row>
    <row r="291" customFormat="false" ht="15" hidden="false" customHeight="true" outlineLevel="0" collapsed="false">
      <c r="A291" s="6" t="n">
        <v>289</v>
      </c>
      <c r="B291" s="6" t="n">
        <f aca="false">ROUND(Veterancy_XP!$B$5*(A291+1)^Veterancy_XP!$B$6,0)</f>
        <v>329</v>
      </c>
      <c r="C291" s="6" t="n">
        <f aca="false">ROUND(1/(A291+1)^Veterancy_XP!$E$6,4)</f>
        <v>0.304</v>
      </c>
      <c r="D291" s="6" t="n">
        <f aca="false">ROUND(Veterancy_XP!$E$5*C291,1)</f>
        <v>304</v>
      </c>
      <c r="E291" s="6" t="n">
        <f aca="false">ROUND(B291/D291,2)</f>
        <v>1.08</v>
      </c>
      <c r="F291" s="6" t="n">
        <f aca="false">ROUND(F290+E291,2)</f>
        <v>221.47</v>
      </c>
    </row>
    <row r="292" customFormat="false" ht="15" hidden="false" customHeight="true" outlineLevel="0" collapsed="false">
      <c r="A292" s="6" t="n">
        <v>290</v>
      </c>
      <c r="B292" s="6" t="n">
        <f aca="false">ROUND(Veterancy_XP!$B$5*(A292+1)^Veterancy_XP!$B$6,0)</f>
        <v>329</v>
      </c>
      <c r="C292" s="6" t="n">
        <f aca="false">ROUND(1/(A292+1)^Veterancy_XP!$E$6,4)</f>
        <v>0.3038</v>
      </c>
      <c r="D292" s="6" t="n">
        <f aca="false">ROUND(Veterancy_XP!$E$5*C292,1)</f>
        <v>303.8</v>
      </c>
      <c r="E292" s="6" t="n">
        <f aca="false">ROUND(B292/D292,2)</f>
        <v>1.08</v>
      </c>
      <c r="F292" s="6" t="n">
        <f aca="false">ROUND(F291+E292,2)</f>
        <v>222.55</v>
      </c>
    </row>
    <row r="293" customFormat="false" ht="15" hidden="false" customHeight="true" outlineLevel="0" collapsed="false">
      <c r="A293" s="6" t="n">
        <v>291</v>
      </c>
      <c r="B293" s="6" t="n">
        <f aca="false">ROUND(Veterancy_XP!$B$5*(A293+1)^Veterancy_XP!$B$6,0)</f>
        <v>329</v>
      </c>
      <c r="C293" s="6" t="n">
        <f aca="false">ROUND(1/(A293+1)^Veterancy_XP!$E$6,4)</f>
        <v>0.3036</v>
      </c>
      <c r="D293" s="6" t="n">
        <f aca="false">ROUND(Veterancy_XP!$E$5*C293,1)</f>
        <v>303.6</v>
      </c>
      <c r="E293" s="6" t="n">
        <f aca="false">ROUND(B293/D293,2)</f>
        <v>1.08</v>
      </c>
      <c r="F293" s="6" t="n">
        <f aca="false">ROUND(F292+E293,2)</f>
        <v>223.63</v>
      </c>
    </row>
    <row r="294" customFormat="false" ht="15" hidden="false" customHeight="true" outlineLevel="0" collapsed="false">
      <c r="A294" s="6" t="n">
        <v>292</v>
      </c>
      <c r="B294" s="6" t="n">
        <f aca="false">ROUND(Veterancy_XP!$B$5*(A294+1)^Veterancy_XP!$B$6,0)</f>
        <v>330</v>
      </c>
      <c r="C294" s="6" t="n">
        <f aca="false">ROUND(1/(A294+1)^Veterancy_XP!$E$6,4)</f>
        <v>0.3034</v>
      </c>
      <c r="D294" s="6" t="n">
        <f aca="false">ROUND(Veterancy_XP!$E$5*C294,1)</f>
        <v>303.4</v>
      </c>
      <c r="E294" s="6" t="n">
        <f aca="false">ROUND(B294/D294,2)</f>
        <v>1.09</v>
      </c>
      <c r="F294" s="6" t="n">
        <f aca="false">ROUND(F293+E294,2)</f>
        <v>224.72</v>
      </c>
    </row>
    <row r="295" customFormat="false" ht="15" hidden="false" customHeight="true" outlineLevel="0" collapsed="false">
      <c r="A295" s="6" t="n">
        <v>293</v>
      </c>
      <c r="B295" s="6" t="n">
        <f aca="false">ROUND(Veterancy_XP!$B$5*(A295+1)^Veterancy_XP!$B$6,0)</f>
        <v>330</v>
      </c>
      <c r="C295" s="6" t="n">
        <f aca="false">ROUND(1/(A295+1)^Veterancy_XP!$E$6,4)</f>
        <v>0.3031</v>
      </c>
      <c r="D295" s="6" t="n">
        <f aca="false">ROUND(Veterancy_XP!$E$5*C295,1)</f>
        <v>303.1</v>
      </c>
      <c r="E295" s="6" t="n">
        <f aca="false">ROUND(B295/D295,2)</f>
        <v>1.09</v>
      </c>
      <c r="F295" s="6" t="n">
        <f aca="false">ROUND(F294+E295,2)</f>
        <v>225.81</v>
      </c>
    </row>
    <row r="296" customFormat="false" ht="15" hidden="false" customHeight="true" outlineLevel="0" collapsed="false">
      <c r="A296" s="6" t="n">
        <v>294</v>
      </c>
      <c r="B296" s="6" t="n">
        <f aca="false">ROUND(Veterancy_XP!$B$5*(A296+1)^Veterancy_XP!$B$6,0)</f>
        <v>330</v>
      </c>
      <c r="C296" s="6" t="n">
        <f aca="false">ROUND(1/(A296+1)^Veterancy_XP!$E$6,4)</f>
        <v>0.3029</v>
      </c>
      <c r="D296" s="6" t="n">
        <f aca="false">ROUND(Veterancy_XP!$E$5*C296,1)</f>
        <v>302.9</v>
      </c>
      <c r="E296" s="6" t="n">
        <f aca="false">ROUND(B296/D296,2)</f>
        <v>1.09</v>
      </c>
      <c r="F296" s="6" t="n">
        <f aca="false">ROUND(F295+E296,2)</f>
        <v>226.9</v>
      </c>
    </row>
    <row r="297" customFormat="false" ht="15" hidden="false" customHeight="true" outlineLevel="0" collapsed="false">
      <c r="A297" s="6" t="n">
        <v>295</v>
      </c>
      <c r="B297" s="6" t="n">
        <f aca="false">ROUND(Veterancy_XP!$B$5*(A297+1)^Veterancy_XP!$B$6,0)</f>
        <v>330</v>
      </c>
      <c r="C297" s="6" t="n">
        <f aca="false">ROUND(1/(A297+1)^Veterancy_XP!$E$6,4)</f>
        <v>0.3027</v>
      </c>
      <c r="D297" s="6" t="n">
        <f aca="false">ROUND(Veterancy_XP!$E$5*C297,1)</f>
        <v>302.7</v>
      </c>
      <c r="E297" s="6" t="n">
        <f aca="false">ROUND(B297/D297,2)</f>
        <v>1.09</v>
      </c>
      <c r="F297" s="6" t="n">
        <f aca="false">ROUND(F296+E297,2)</f>
        <v>227.99</v>
      </c>
    </row>
    <row r="298" customFormat="false" ht="15" hidden="false" customHeight="true" outlineLevel="0" collapsed="false">
      <c r="A298" s="6" t="n">
        <v>296</v>
      </c>
      <c r="B298" s="6" t="n">
        <f aca="false">ROUND(Veterancy_XP!$B$5*(A298+1)^Veterancy_XP!$B$6,0)</f>
        <v>331</v>
      </c>
      <c r="C298" s="6" t="n">
        <f aca="false">ROUND(1/(A298+1)^Veterancy_XP!$E$6,4)</f>
        <v>0.3025</v>
      </c>
      <c r="D298" s="6" t="n">
        <f aca="false">ROUND(Veterancy_XP!$E$5*C298,1)</f>
        <v>302.5</v>
      </c>
      <c r="E298" s="6" t="n">
        <f aca="false">ROUND(B298/D298,2)</f>
        <v>1.09</v>
      </c>
      <c r="F298" s="6" t="n">
        <f aca="false">ROUND(F297+E298,2)</f>
        <v>229.08</v>
      </c>
    </row>
    <row r="299" customFormat="false" ht="15" hidden="false" customHeight="true" outlineLevel="0" collapsed="false">
      <c r="A299" s="6" t="n">
        <v>297</v>
      </c>
      <c r="B299" s="6" t="n">
        <f aca="false">ROUND(Veterancy_XP!$B$5*(A299+1)^Veterancy_XP!$B$6,0)</f>
        <v>331</v>
      </c>
      <c r="C299" s="6" t="n">
        <f aca="false">ROUND(1/(A299+1)^Veterancy_XP!$E$6,4)</f>
        <v>0.3023</v>
      </c>
      <c r="D299" s="6" t="n">
        <f aca="false">ROUND(Veterancy_XP!$E$5*C299,1)</f>
        <v>302.3</v>
      </c>
      <c r="E299" s="6" t="n">
        <f aca="false">ROUND(B299/D299,2)</f>
        <v>1.09</v>
      </c>
      <c r="F299" s="6" t="n">
        <f aca="false">ROUND(F298+E299,2)</f>
        <v>230.17</v>
      </c>
    </row>
    <row r="300" customFormat="false" ht="15" hidden="false" customHeight="true" outlineLevel="0" collapsed="false">
      <c r="A300" s="6" t="n">
        <v>298</v>
      </c>
      <c r="B300" s="6" t="n">
        <f aca="false">ROUND(Veterancy_XP!$B$5*(A300+1)^Veterancy_XP!$B$6,0)</f>
        <v>331</v>
      </c>
      <c r="C300" s="6" t="n">
        <f aca="false">ROUND(1/(A300+1)^Veterancy_XP!$E$6,4)</f>
        <v>0.3021</v>
      </c>
      <c r="D300" s="6" t="n">
        <f aca="false">ROUND(Veterancy_XP!$E$5*C300,1)</f>
        <v>302.1</v>
      </c>
      <c r="E300" s="6" t="n">
        <f aca="false">ROUND(B300/D300,2)</f>
        <v>1.1</v>
      </c>
      <c r="F300" s="6" t="n">
        <f aca="false">ROUND(F299+E300,2)</f>
        <v>231.27</v>
      </c>
    </row>
    <row r="301" customFormat="false" ht="15" hidden="false" customHeight="true" outlineLevel="0" collapsed="false">
      <c r="A301" s="6" t="n">
        <v>299</v>
      </c>
      <c r="B301" s="6" t="n">
        <f aca="false">ROUND(Veterancy_XP!$B$5*(A301+1)^Veterancy_XP!$B$6,0)</f>
        <v>331</v>
      </c>
      <c r="C301" s="6" t="n">
        <f aca="false">ROUND(1/(A301+1)^Veterancy_XP!$E$6,4)</f>
        <v>0.3019</v>
      </c>
      <c r="D301" s="6" t="n">
        <f aca="false">ROUND(Veterancy_XP!$E$5*C301,1)</f>
        <v>301.9</v>
      </c>
      <c r="E301" s="6" t="n">
        <f aca="false">ROUND(B301/D301,2)</f>
        <v>1.1</v>
      </c>
      <c r="F301" s="6" t="n">
        <f aca="false">ROUND(F300+E301,2)</f>
        <v>232.37</v>
      </c>
    </row>
    <row r="302" customFormat="false" ht="15" hidden="false" customHeight="true" outlineLevel="0" collapsed="false">
      <c r="A302" s="6" t="n">
        <v>300</v>
      </c>
      <c r="B302" s="6" t="n">
        <f aca="false">ROUND(Veterancy_XP!$B$5*(A302+1)^Veterancy_XP!$B$6,0)</f>
        <v>332</v>
      </c>
      <c r="C302" s="6" t="n">
        <f aca="false">ROUND(1/(A302+1)^Veterancy_XP!$E$6,4)</f>
        <v>0.3016</v>
      </c>
      <c r="D302" s="6" t="n">
        <f aca="false">ROUND(Veterancy_XP!$E$5*C302,1)</f>
        <v>301.6</v>
      </c>
      <c r="E302" s="6" t="n">
        <f aca="false">ROUND(B302/D302,2)</f>
        <v>1.1</v>
      </c>
      <c r="F302" s="6" t="n">
        <f aca="false">ROUND(F301+E302,2)</f>
        <v>233.47</v>
      </c>
    </row>
    <row r="303" customFormat="false" ht="15" hidden="false" customHeight="true" outlineLevel="0" collapsed="false">
      <c r="A303" s="6" t="n">
        <v>301</v>
      </c>
      <c r="B303" s="6" t="n">
        <f aca="false">ROUND(Veterancy_XP!$B$5*(A303+1)^Veterancy_XP!$B$6,0)</f>
        <v>332</v>
      </c>
      <c r="C303" s="6" t="n">
        <f aca="false">ROUND(1/(A303+1)^Veterancy_XP!$E$6,4)</f>
        <v>0.3014</v>
      </c>
      <c r="D303" s="6" t="n">
        <f aca="false">ROUND(Veterancy_XP!$E$5*C303,1)</f>
        <v>301.4</v>
      </c>
      <c r="E303" s="6" t="n">
        <f aca="false">ROUND(B303/D303,2)</f>
        <v>1.1</v>
      </c>
      <c r="F303" s="6" t="n">
        <f aca="false">ROUND(F302+E303,2)</f>
        <v>234.57</v>
      </c>
    </row>
    <row r="304" customFormat="false" ht="15" hidden="false" customHeight="true" outlineLevel="0" collapsed="false">
      <c r="A304" s="6" t="n">
        <v>302</v>
      </c>
      <c r="B304" s="6" t="n">
        <f aca="false">ROUND(Veterancy_XP!$B$5*(A304+1)^Veterancy_XP!$B$6,0)</f>
        <v>332</v>
      </c>
      <c r="C304" s="6" t="n">
        <f aca="false">ROUND(1/(A304+1)^Veterancy_XP!$E$6,4)</f>
        <v>0.3012</v>
      </c>
      <c r="D304" s="6" t="n">
        <f aca="false">ROUND(Veterancy_XP!$E$5*C304,1)</f>
        <v>301.2</v>
      </c>
      <c r="E304" s="6" t="n">
        <f aca="false">ROUND(B304/D304,2)</f>
        <v>1.1</v>
      </c>
      <c r="F304" s="6" t="n">
        <f aca="false">ROUND(F303+E304,2)</f>
        <v>235.67</v>
      </c>
    </row>
    <row r="305" customFormat="false" ht="15" hidden="false" customHeight="true" outlineLevel="0" collapsed="false">
      <c r="A305" s="6" t="n">
        <v>303</v>
      </c>
      <c r="B305" s="6" t="n">
        <f aca="false">ROUND(Veterancy_XP!$B$5*(A305+1)^Veterancy_XP!$B$6,0)</f>
        <v>332</v>
      </c>
      <c r="C305" s="6" t="n">
        <f aca="false">ROUND(1/(A305+1)^Veterancy_XP!$E$6,4)</f>
        <v>0.301</v>
      </c>
      <c r="D305" s="6" t="n">
        <f aca="false">ROUND(Veterancy_XP!$E$5*C305,1)</f>
        <v>301</v>
      </c>
      <c r="E305" s="6" t="n">
        <f aca="false">ROUND(B305/D305,2)</f>
        <v>1.1</v>
      </c>
      <c r="F305" s="6" t="n">
        <f aca="false">ROUND(F304+E305,2)</f>
        <v>236.77</v>
      </c>
    </row>
    <row r="306" customFormat="false" ht="15" hidden="false" customHeight="true" outlineLevel="0" collapsed="false">
      <c r="A306" s="6" t="n">
        <v>304</v>
      </c>
      <c r="B306" s="6" t="n">
        <f aca="false">ROUND(Veterancy_XP!$B$5*(A306+1)^Veterancy_XP!$B$6,0)</f>
        <v>332</v>
      </c>
      <c r="C306" s="6" t="n">
        <f aca="false">ROUND(1/(A306+1)^Veterancy_XP!$E$6,4)</f>
        <v>0.3008</v>
      </c>
      <c r="D306" s="6" t="n">
        <f aca="false">ROUND(Veterancy_XP!$E$5*C306,1)</f>
        <v>300.8</v>
      </c>
      <c r="E306" s="6" t="n">
        <f aca="false">ROUND(B306/D306,2)</f>
        <v>1.1</v>
      </c>
      <c r="F306" s="6" t="n">
        <f aca="false">ROUND(F305+E306,2)</f>
        <v>237.87</v>
      </c>
    </row>
    <row r="307" customFormat="false" ht="15" hidden="false" customHeight="true" outlineLevel="0" collapsed="false">
      <c r="A307" s="6" t="n">
        <v>305</v>
      </c>
      <c r="B307" s="6" t="n">
        <f aca="false">ROUND(Veterancy_XP!$B$5*(A307+1)^Veterancy_XP!$B$6,0)</f>
        <v>333</v>
      </c>
      <c r="C307" s="6" t="n">
        <f aca="false">ROUND(1/(A307+1)^Veterancy_XP!$E$6,4)</f>
        <v>0.3006</v>
      </c>
      <c r="D307" s="6" t="n">
        <f aca="false">ROUND(Veterancy_XP!$E$5*C307,1)</f>
        <v>300.6</v>
      </c>
      <c r="E307" s="6" t="n">
        <f aca="false">ROUND(B307/D307,2)</f>
        <v>1.11</v>
      </c>
      <c r="F307" s="6" t="n">
        <f aca="false">ROUND(F306+E307,2)</f>
        <v>238.98</v>
      </c>
    </row>
    <row r="308" customFormat="false" ht="15" hidden="false" customHeight="true" outlineLevel="0" collapsed="false">
      <c r="A308" s="6" t="n">
        <v>306</v>
      </c>
      <c r="B308" s="6" t="n">
        <f aca="false">ROUND(Veterancy_XP!$B$5*(A308+1)^Veterancy_XP!$B$6,0)</f>
        <v>333</v>
      </c>
      <c r="C308" s="6" t="n">
        <f aca="false">ROUND(1/(A308+1)^Veterancy_XP!$E$6,4)</f>
        <v>0.3004</v>
      </c>
      <c r="D308" s="6" t="n">
        <f aca="false">ROUND(Veterancy_XP!$E$5*C308,1)</f>
        <v>300.4</v>
      </c>
      <c r="E308" s="6" t="n">
        <f aca="false">ROUND(B308/D308,2)</f>
        <v>1.11</v>
      </c>
      <c r="F308" s="6" t="n">
        <f aca="false">ROUND(F307+E308,2)</f>
        <v>240.09</v>
      </c>
    </row>
    <row r="309" customFormat="false" ht="15" hidden="false" customHeight="true" outlineLevel="0" collapsed="false">
      <c r="A309" s="6" t="n">
        <v>307</v>
      </c>
      <c r="B309" s="6" t="n">
        <f aca="false">ROUND(Veterancy_XP!$B$5*(A309+1)^Veterancy_XP!$B$6,0)</f>
        <v>333</v>
      </c>
      <c r="C309" s="6" t="n">
        <f aca="false">ROUND(1/(A309+1)^Veterancy_XP!$E$6,4)</f>
        <v>0.3002</v>
      </c>
      <c r="D309" s="6" t="n">
        <f aca="false">ROUND(Veterancy_XP!$E$5*C309,1)</f>
        <v>300.2</v>
      </c>
      <c r="E309" s="6" t="n">
        <f aca="false">ROUND(B309/D309,2)</f>
        <v>1.11</v>
      </c>
      <c r="F309" s="6" t="n">
        <f aca="false">ROUND(F308+E309,2)</f>
        <v>241.2</v>
      </c>
    </row>
    <row r="310" customFormat="false" ht="15" hidden="false" customHeight="true" outlineLevel="0" collapsed="false">
      <c r="A310" s="6" t="n">
        <v>308</v>
      </c>
      <c r="B310" s="6" t="n">
        <f aca="false">ROUND(Veterancy_XP!$B$5*(A310+1)^Veterancy_XP!$B$6,0)</f>
        <v>333</v>
      </c>
      <c r="C310" s="6" t="n">
        <f aca="false">ROUND(1/(A310+1)^Veterancy_XP!$E$6,4)</f>
        <v>0.3</v>
      </c>
      <c r="D310" s="6" t="n">
        <f aca="false">ROUND(Veterancy_XP!$E$5*C310,1)</f>
        <v>300</v>
      </c>
      <c r="E310" s="6" t="n">
        <f aca="false">ROUND(B310/D310,2)</f>
        <v>1.11</v>
      </c>
      <c r="F310" s="6" t="n">
        <f aca="false">ROUND(F309+E310,2)</f>
        <v>242.31</v>
      </c>
    </row>
    <row r="311" customFormat="false" ht="15" hidden="false" customHeight="true" outlineLevel="0" collapsed="false">
      <c r="A311" s="6" t="n">
        <v>309</v>
      </c>
      <c r="B311" s="6" t="n">
        <f aca="false">ROUND(Veterancy_XP!$B$5*(A311+1)^Veterancy_XP!$B$6,0)</f>
        <v>334</v>
      </c>
      <c r="C311" s="6" t="n">
        <f aca="false">ROUND(1/(A311+1)^Veterancy_XP!$E$6,4)</f>
        <v>0.2998</v>
      </c>
      <c r="D311" s="6" t="n">
        <f aca="false">ROUND(Veterancy_XP!$E$5*C311,1)</f>
        <v>299.8</v>
      </c>
      <c r="E311" s="6" t="n">
        <f aca="false">ROUND(B311/D311,2)</f>
        <v>1.11</v>
      </c>
      <c r="F311" s="6" t="n">
        <f aca="false">ROUND(F310+E311,2)</f>
        <v>243.42</v>
      </c>
    </row>
    <row r="312" customFormat="false" ht="15" hidden="false" customHeight="true" outlineLevel="0" collapsed="false">
      <c r="A312" s="6" t="n">
        <v>310</v>
      </c>
      <c r="B312" s="6" t="n">
        <f aca="false">ROUND(Veterancy_XP!$B$5*(A312+1)^Veterancy_XP!$B$6,0)</f>
        <v>334</v>
      </c>
      <c r="C312" s="6" t="n">
        <f aca="false">ROUND(1/(A312+1)^Veterancy_XP!$E$6,4)</f>
        <v>0.2996</v>
      </c>
      <c r="D312" s="6" t="n">
        <f aca="false">ROUND(Veterancy_XP!$E$5*C312,1)</f>
        <v>299.6</v>
      </c>
      <c r="E312" s="6" t="n">
        <f aca="false">ROUND(B312/D312,2)</f>
        <v>1.11</v>
      </c>
      <c r="F312" s="6" t="n">
        <f aca="false">ROUND(F311+E312,2)</f>
        <v>244.53</v>
      </c>
    </row>
    <row r="313" customFormat="false" ht="15" hidden="false" customHeight="true" outlineLevel="0" collapsed="false">
      <c r="A313" s="6" t="n">
        <v>311</v>
      </c>
      <c r="B313" s="6" t="n">
        <f aca="false">ROUND(Veterancy_XP!$B$5*(A313+1)^Veterancy_XP!$B$6,0)</f>
        <v>334</v>
      </c>
      <c r="C313" s="6" t="n">
        <f aca="false">ROUND(1/(A313+1)^Veterancy_XP!$E$6,4)</f>
        <v>0.2994</v>
      </c>
      <c r="D313" s="6" t="n">
        <f aca="false">ROUND(Veterancy_XP!$E$5*C313,1)</f>
        <v>299.4</v>
      </c>
      <c r="E313" s="6" t="n">
        <f aca="false">ROUND(B313/D313,2)</f>
        <v>1.12</v>
      </c>
      <c r="F313" s="6" t="n">
        <f aca="false">ROUND(F312+E313,2)</f>
        <v>245.65</v>
      </c>
    </row>
    <row r="314" customFormat="false" ht="15" hidden="false" customHeight="true" outlineLevel="0" collapsed="false">
      <c r="A314" s="6" t="n">
        <v>312</v>
      </c>
      <c r="B314" s="6" t="n">
        <f aca="false">ROUND(Veterancy_XP!$B$5*(A314+1)^Veterancy_XP!$B$6,0)</f>
        <v>334</v>
      </c>
      <c r="C314" s="6" t="n">
        <f aca="false">ROUND(1/(A314+1)^Veterancy_XP!$E$6,4)</f>
        <v>0.2992</v>
      </c>
      <c r="D314" s="6" t="n">
        <f aca="false">ROUND(Veterancy_XP!$E$5*C314,1)</f>
        <v>299.2</v>
      </c>
      <c r="E314" s="6" t="n">
        <f aca="false">ROUND(B314/D314,2)</f>
        <v>1.12</v>
      </c>
      <c r="F314" s="6" t="n">
        <f aca="false">ROUND(F313+E314,2)</f>
        <v>246.77</v>
      </c>
    </row>
    <row r="315" customFormat="false" ht="15" hidden="false" customHeight="true" outlineLevel="0" collapsed="false">
      <c r="A315" s="6" t="n">
        <v>313</v>
      </c>
      <c r="B315" s="6" t="n">
        <f aca="false">ROUND(Veterancy_XP!$B$5*(A315+1)^Veterancy_XP!$B$6,0)</f>
        <v>334</v>
      </c>
      <c r="C315" s="6" t="n">
        <f aca="false">ROUND(1/(A315+1)^Veterancy_XP!$E$6,4)</f>
        <v>0.299</v>
      </c>
      <c r="D315" s="6" t="n">
        <f aca="false">ROUND(Veterancy_XP!$E$5*C315,1)</f>
        <v>299</v>
      </c>
      <c r="E315" s="6" t="n">
        <f aca="false">ROUND(B315/D315,2)</f>
        <v>1.12</v>
      </c>
      <c r="F315" s="6" t="n">
        <f aca="false">ROUND(F314+E315,2)</f>
        <v>247.89</v>
      </c>
    </row>
    <row r="316" customFormat="false" ht="15" hidden="false" customHeight="true" outlineLevel="0" collapsed="false">
      <c r="A316" s="6" t="n">
        <v>314</v>
      </c>
      <c r="B316" s="6" t="n">
        <f aca="false">ROUND(Veterancy_XP!$B$5*(A316+1)^Veterancy_XP!$B$6,0)</f>
        <v>335</v>
      </c>
      <c r="C316" s="6" t="n">
        <f aca="false">ROUND(1/(A316+1)^Veterancy_XP!$E$6,4)</f>
        <v>0.2988</v>
      </c>
      <c r="D316" s="6" t="n">
        <f aca="false">ROUND(Veterancy_XP!$E$5*C316,1)</f>
        <v>298.8</v>
      </c>
      <c r="E316" s="6" t="n">
        <f aca="false">ROUND(B316/D316,2)</f>
        <v>1.12</v>
      </c>
      <c r="F316" s="6" t="n">
        <f aca="false">ROUND(F315+E316,2)</f>
        <v>249.01</v>
      </c>
    </row>
    <row r="317" customFormat="false" ht="15" hidden="false" customHeight="true" outlineLevel="0" collapsed="false">
      <c r="A317" s="6" t="n">
        <v>315</v>
      </c>
      <c r="B317" s="6" t="n">
        <f aca="false">ROUND(Veterancy_XP!$B$5*(A317+1)^Veterancy_XP!$B$6,0)</f>
        <v>335</v>
      </c>
      <c r="C317" s="6" t="n">
        <f aca="false">ROUND(1/(A317+1)^Veterancy_XP!$E$6,4)</f>
        <v>0.2986</v>
      </c>
      <c r="D317" s="6" t="n">
        <f aca="false">ROUND(Veterancy_XP!$E$5*C317,1)</f>
        <v>298.6</v>
      </c>
      <c r="E317" s="6" t="n">
        <f aca="false">ROUND(B317/D317,2)</f>
        <v>1.12</v>
      </c>
      <c r="F317" s="6" t="n">
        <f aca="false">ROUND(F316+E317,2)</f>
        <v>250.13</v>
      </c>
    </row>
    <row r="318" customFormat="false" ht="15" hidden="false" customHeight="true" outlineLevel="0" collapsed="false">
      <c r="A318" s="6" t="n">
        <v>316</v>
      </c>
      <c r="B318" s="6" t="n">
        <f aca="false">ROUND(Veterancy_XP!$B$5*(A318+1)^Veterancy_XP!$B$6,0)</f>
        <v>335</v>
      </c>
      <c r="C318" s="6" t="n">
        <f aca="false">ROUND(1/(A318+1)^Veterancy_XP!$E$6,4)</f>
        <v>0.2984</v>
      </c>
      <c r="D318" s="6" t="n">
        <f aca="false">ROUND(Veterancy_XP!$E$5*C318,1)</f>
        <v>298.4</v>
      </c>
      <c r="E318" s="6" t="n">
        <f aca="false">ROUND(B318/D318,2)</f>
        <v>1.12</v>
      </c>
      <c r="F318" s="6" t="n">
        <f aca="false">ROUND(F317+E318,2)</f>
        <v>251.25</v>
      </c>
    </row>
    <row r="319" customFormat="false" ht="15" hidden="false" customHeight="true" outlineLevel="0" collapsed="false">
      <c r="A319" s="6" t="n">
        <v>317</v>
      </c>
      <c r="B319" s="6" t="n">
        <f aca="false">ROUND(Veterancy_XP!$B$5*(A319+1)^Veterancy_XP!$B$6,0)</f>
        <v>335</v>
      </c>
      <c r="C319" s="6" t="n">
        <f aca="false">ROUND(1/(A319+1)^Veterancy_XP!$E$6,4)</f>
        <v>0.2982</v>
      </c>
      <c r="D319" s="6" t="n">
        <f aca="false">ROUND(Veterancy_XP!$E$5*C319,1)</f>
        <v>298.2</v>
      </c>
      <c r="E319" s="6" t="n">
        <f aca="false">ROUND(B319/D319,2)</f>
        <v>1.12</v>
      </c>
      <c r="F319" s="6" t="n">
        <f aca="false">ROUND(F318+E319,2)</f>
        <v>252.37</v>
      </c>
    </row>
    <row r="320" customFormat="false" ht="15" hidden="false" customHeight="true" outlineLevel="0" collapsed="false">
      <c r="A320" s="6" t="n">
        <v>318</v>
      </c>
      <c r="B320" s="6" t="n">
        <f aca="false">ROUND(Veterancy_XP!$B$5*(A320+1)^Veterancy_XP!$B$6,0)</f>
        <v>336</v>
      </c>
      <c r="C320" s="6" t="n">
        <f aca="false">ROUND(1/(A320+1)^Veterancy_XP!$E$6,4)</f>
        <v>0.298</v>
      </c>
      <c r="D320" s="6" t="n">
        <f aca="false">ROUND(Veterancy_XP!$E$5*C320,1)</f>
        <v>298</v>
      </c>
      <c r="E320" s="6" t="n">
        <f aca="false">ROUND(B320/D320,2)</f>
        <v>1.13</v>
      </c>
      <c r="F320" s="6" t="n">
        <f aca="false">ROUND(F319+E320,2)</f>
        <v>253.5</v>
      </c>
    </row>
    <row r="321" customFormat="false" ht="15" hidden="false" customHeight="true" outlineLevel="0" collapsed="false">
      <c r="A321" s="6" t="n">
        <v>319</v>
      </c>
      <c r="B321" s="6" t="n">
        <f aca="false">ROUND(Veterancy_XP!$B$5*(A321+1)^Veterancy_XP!$B$6,0)</f>
        <v>336</v>
      </c>
      <c r="C321" s="6" t="n">
        <f aca="false">ROUND(1/(A321+1)^Veterancy_XP!$E$6,4)</f>
        <v>0.2978</v>
      </c>
      <c r="D321" s="6" t="n">
        <f aca="false">ROUND(Veterancy_XP!$E$5*C321,1)</f>
        <v>297.8</v>
      </c>
      <c r="E321" s="6" t="n">
        <f aca="false">ROUND(B321/D321,2)</f>
        <v>1.13</v>
      </c>
      <c r="F321" s="6" t="n">
        <f aca="false">ROUND(F320+E321,2)</f>
        <v>254.63</v>
      </c>
    </row>
    <row r="322" customFormat="false" ht="15" hidden="false" customHeight="true" outlineLevel="0" collapsed="false">
      <c r="A322" s="6" t="n">
        <v>320</v>
      </c>
      <c r="B322" s="6" t="n">
        <f aca="false">ROUND(Veterancy_XP!$B$5*(A322+1)^Veterancy_XP!$B$6,0)</f>
        <v>336</v>
      </c>
      <c r="C322" s="6" t="n">
        <f aca="false">ROUND(1/(A322+1)^Veterancy_XP!$E$6,4)</f>
        <v>0.2976</v>
      </c>
      <c r="D322" s="6" t="n">
        <f aca="false">ROUND(Veterancy_XP!$E$5*C322,1)</f>
        <v>297.6</v>
      </c>
      <c r="E322" s="6" t="n">
        <f aca="false">ROUND(B322/D322,2)</f>
        <v>1.13</v>
      </c>
      <c r="F322" s="6" t="n">
        <f aca="false">ROUND(F321+E322,2)</f>
        <v>255.76</v>
      </c>
    </row>
    <row r="323" customFormat="false" ht="15" hidden="false" customHeight="true" outlineLevel="0" collapsed="false">
      <c r="A323" s="6" t="n">
        <v>321</v>
      </c>
      <c r="B323" s="6" t="n">
        <f aca="false">ROUND(Veterancy_XP!$B$5*(A323+1)^Veterancy_XP!$B$6,0)</f>
        <v>336</v>
      </c>
      <c r="C323" s="6" t="n">
        <f aca="false">ROUND(1/(A323+1)^Veterancy_XP!$E$6,4)</f>
        <v>0.2974</v>
      </c>
      <c r="D323" s="6" t="n">
        <f aca="false">ROUND(Veterancy_XP!$E$5*C323,1)</f>
        <v>297.4</v>
      </c>
      <c r="E323" s="6" t="n">
        <f aca="false">ROUND(B323/D323,2)</f>
        <v>1.13</v>
      </c>
      <c r="F323" s="6" t="n">
        <f aca="false">ROUND(F322+E323,2)</f>
        <v>256.89</v>
      </c>
    </row>
    <row r="324" customFormat="false" ht="15" hidden="false" customHeight="true" outlineLevel="0" collapsed="false">
      <c r="A324" s="6" t="n">
        <v>322</v>
      </c>
      <c r="B324" s="6" t="n">
        <f aca="false">ROUND(Veterancy_XP!$B$5*(A324+1)^Veterancy_XP!$B$6,0)</f>
        <v>336</v>
      </c>
      <c r="C324" s="6" t="n">
        <f aca="false">ROUND(1/(A324+1)^Veterancy_XP!$E$6,4)</f>
        <v>0.2972</v>
      </c>
      <c r="D324" s="6" t="n">
        <f aca="false">ROUND(Veterancy_XP!$E$5*C324,1)</f>
        <v>297.2</v>
      </c>
      <c r="E324" s="6" t="n">
        <f aca="false">ROUND(B324/D324,2)</f>
        <v>1.13</v>
      </c>
      <c r="F324" s="6" t="n">
        <f aca="false">ROUND(F323+E324,2)</f>
        <v>258.02</v>
      </c>
    </row>
    <row r="325" customFormat="false" ht="15" hidden="false" customHeight="true" outlineLevel="0" collapsed="false">
      <c r="A325" s="6" t="n">
        <v>323</v>
      </c>
      <c r="B325" s="6" t="n">
        <f aca="false">ROUND(Veterancy_XP!$B$5*(A325+1)^Veterancy_XP!$B$6,0)</f>
        <v>337</v>
      </c>
      <c r="C325" s="6" t="n">
        <f aca="false">ROUND(1/(A325+1)^Veterancy_XP!$E$6,4)</f>
        <v>0.297</v>
      </c>
      <c r="D325" s="6" t="n">
        <f aca="false">ROUND(Veterancy_XP!$E$5*C325,1)</f>
        <v>297</v>
      </c>
      <c r="E325" s="6" t="n">
        <f aca="false">ROUND(B325/D325,2)</f>
        <v>1.13</v>
      </c>
      <c r="F325" s="6" t="n">
        <f aca="false">ROUND(F324+E325,2)</f>
        <v>259.15</v>
      </c>
    </row>
    <row r="326" customFormat="false" ht="15" hidden="false" customHeight="true" outlineLevel="0" collapsed="false">
      <c r="A326" s="6" t="n">
        <v>324</v>
      </c>
      <c r="B326" s="6" t="n">
        <f aca="false">ROUND(Veterancy_XP!$B$5*(A326+1)^Veterancy_XP!$B$6,0)</f>
        <v>337</v>
      </c>
      <c r="C326" s="6" t="n">
        <f aca="false">ROUND(1/(A326+1)^Veterancy_XP!$E$6,4)</f>
        <v>0.2968</v>
      </c>
      <c r="D326" s="6" t="n">
        <f aca="false">ROUND(Veterancy_XP!$E$5*C326,1)</f>
        <v>296.8</v>
      </c>
      <c r="E326" s="6" t="n">
        <f aca="false">ROUND(B326/D326,2)</f>
        <v>1.14</v>
      </c>
      <c r="F326" s="6" t="n">
        <f aca="false">ROUND(F325+E326,2)</f>
        <v>260.29</v>
      </c>
    </row>
    <row r="327" customFormat="false" ht="15" hidden="false" customHeight="true" outlineLevel="0" collapsed="false">
      <c r="A327" s="6" t="n">
        <v>325</v>
      </c>
      <c r="B327" s="6" t="n">
        <f aca="false">ROUND(Veterancy_XP!$B$5*(A327+1)^Veterancy_XP!$B$6,0)</f>
        <v>337</v>
      </c>
      <c r="C327" s="6" t="n">
        <f aca="false">ROUND(1/(A327+1)^Veterancy_XP!$E$6,4)</f>
        <v>0.2966</v>
      </c>
      <c r="D327" s="6" t="n">
        <f aca="false">ROUND(Veterancy_XP!$E$5*C327,1)</f>
        <v>296.6</v>
      </c>
      <c r="E327" s="6" t="n">
        <f aca="false">ROUND(B327/D327,2)</f>
        <v>1.14</v>
      </c>
      <c r="F327" s="6" t="n">
        <f aca="false">ROUND(F326+E327,2)</f>
        <v>261.43</v>
      </c>
    </row>
    <row r="328" customFormat="false" ht="15" hidden="false" customHeight="true" outlineLevel="0" collapsed="false">
      <c r="A328" s="6" t="n">
        <v>326</v>
      </c>
      <c r="B328" s="6" t="n">
        <f aca="false">ROUND(Veterancy_XP!$B$5*(A328+1)^Veterancy_XP!$B$6,0)</f>
        <v>337</v>
      </c>
      <c r="C328" s="6" t="n">
        <f aca="false">ROUND(1/(A328+1)^Veterancy_XP!$E$6,4)</f>
        <v>0.2964</v>
      </c>
      <c r="D328" s="6" t="n">
        <f aca="false">ROUND(Veterancy_XP!$E$5*C328,1)</f>
        <v>296.4</v>
      </c>
      <c r="E328" s="6" t="n">
        <f aca="false">ROUND(B328/D328,2)</f>
        <v>1.14</v>
      </c>
      <c r="F328" s="6" t="n">
        <f aca="false">ROUND(F327+E328,2)</f>
        <v>262.57</v>
      </c>
    </row>
    <row r="329" customFormat="false" ht="15" hidden="false" customHeight="true" outlineLevel="0" collapsed="false">
      <c r="A329" s="6" t="n">
        <v>327</v>
      </c>
      <c r="B329" s="6" t="n">
        <f aca="false">ROUND(Veterancy_XP!$B$5*(A329+1)^Veterancy_XP!$B$6,0)</f>
        <v>338</v>
      </c>
      <c r="C329" s="6" t="n">
        <f aca="false">ROUND(1/(A329+1)^Veterancy_XP!$E$6,4)</f>
        <v>0.2963</v>
      </c>
      <c r="D329" s="6" t="n">
        <f aca="false">ROUND(Veterancy_XP!$E$5*C329,1)</f>
        <v>296.3</v>
      </c>
      <c r="E329" s="6" t="n">
        <f aca="false">ROUND(B329/D329,2)</f>
        <v>1.14</v>
      </c>
      <c r="F329" s="6" t="n">
        <f aca="false">ROUND(F328+E329,2)</f>
        <v>263.71</v>
      </c>
    </row>
    <row r="330" customFormat="false" ht="15" hidden="false" customHeight="true" outlineLevel="0" collapsed="false">
      <c r="A330" s="6" t="n">
        <v>328</v>
      </c>
      <c r="B330" s="6" t="n">
        <f aca="false">ROUND(Veterancy_XP!$B$5*(A330+1)^Veterancy_XP!$B$6,0)</f>
        <v>338</v>
      </c>
      <c r="C330" s="6" t="n">
        <f aca="false">ROUND(1/(A330+1)^Veterancy_XP!$E$6,4)</f>
        <v>0.2961</v>
      </c>
      <c r="D330" s="6" t="n">
        <f aca="false">ROUND(Veterancy_XP!$E$5*C330,1)</f>
        <v>296.1</v>
      </c>
      <c r="E330" s="6" t="n">
        <f aca="false">ROUND(B330/D330,2)</f>
        <v>1.14</v>
      </c>
      <c r="F330" s="6" t="n">
        <f aca="false">ROUND(F329+E330,2)</f>
        <v>264.85</v>
      </c>
    </row>
    <row r="331" customFormat="false" ht="15" hidden="false" customHeight="true" outlineLevel="0" collapsed="false">
      <c r="A331" s="6" t="n">
        <v>329</v>
      </c>
      <c r="B331" s="6" t="n">
        <f aca="false">ROUND(Veterancy_XP!$B$5*(A331+1)^Veterancy_XP!$B$6,0)</f>
        <v>338</v>
      </c>
      <c r="C331" s="6" t="n">
        <f aca="false">ROUND(1/(A331+1)^Veterancy_XP!$E$6,4)</f>
        <v>0.2959</v>
      </c>
      <c r="D331" s="6" t="n">
        <f aca="false">ROUND(Veterancy_XP!$E$5*C331,1)</f>
        <v>295.9</v>
      </c>
      <c r="E331" s="6" t="n">
        <f aca="false">ROUND(B331/D331,2)</f>
        <v>1.14</v>
      </c>
      <c r="F331" s="6" t="n">
        <f aca="false">ROUND(F330+E331,2)</f>
        <v>265.99</v>
      </c>
    </row>
    <row r="332" customFormat="false" ht="15" hidden="false" customHeight="true" outlineLevel="0" collapsed="false">
      <c r="A332" s="6" t="n">
        <v>330</v>
      </c>
      <c r="B332" s="6" t="n">
        <f aca="false">ROUND(Veterancy_XP!$B$5*(A332+1)^Veterancy_XP!$B$6,0)</f>
        <v>338</v>
      </c>
      <c r="C332" s="6" t="n">
        <f aca="false">ROUND(1/(A332+1)^Veterancy_XP!$E$6,4)</f>
        <v>0.2957</v>
      </c>
      <c r="D332" s="6" t="n">
        <f aca="false">ROUND(Veterancy_XP!$E$5*C332,1)</f>
        <v>295.7</v>
      </c>
      <c r="E332" s="6" t="n">
        <f aca="false">ROUND(B332/D332,2)</f>
        <v>1.14</v>
      </c>
      <c r="F332" s="6" t="n">
        <f aca="false">ROUND(F331+E332,2)</f>
        <v>267.13</v>
      </c>
    </row>
    <row r="333" customFormat="false" ht="15" hidden="false" customHeight="true" outlineLevel="0" collapsed="false">
      <c r="A333" s="6" t="n">
        <v>331</v>
      </c>
      <c r="B333" s="6" t="n">
        <f aca="false">ROUND(Veterancy_XP!$B$5*(A333+1)^Veterancy_XP!$B$6,0)</f>
        <v>338</v>
      </c>
      <c r="C333" s="6" t="n">
        <f aca="false">ROUND(1/(A333+1)^Veterancy_XP!$E$6,4)</f>
        <v>0.2955</v>
      </c>
      <c r="D333" s="6" t="n">
        <f aca="false">ROUND(Veterancy_XP!$E$5*C333,1)</f>
        <v>295.5</v>
      </c>
      <c r="E333" s="6" t="n">
        <f aca="false">ROUND(B333/D333,2)</f>
        <v>1.14</v>
      </c>
      <c r="F333" s="6" t="n">
        <f aca="false">ROUND(F332+E333,2)</f>
        <v>268.27</v>
      </c>
    </row>
    <row r="334" customFormat="false" ht="15" hidden="false" customHeight="true" outlineLevel="0" collapsed="false">
      <c r="A334" s="6" t="n">
        <v>332</v>
      </c>
      <c r="B334" s="6" t="n">
        <f aca="false">ROUND(Veterancy_XP!$B$5*(A334+1)^Veterancy_XP!$B$6,0)</f>
        <v>339</v>
      </c>
      <c r="C334" s="6" t="n">
        <f aca="false">ROUND(1/(A334+1)^Veterancy_XP!$E$6,4)</f>
        <v>0.2953</v>
      </c>
      <c r="D334" s="6" t="n">
        <f aca="false">ROUND(Veterancy_XP!$E$5*C334,1)</f>
        <v>295.3</v>
      </c>
      <c r="E334" s="6" t="n">
        <f aca="false">ROUND(B334/D334,2)</f>
        <v>1.15</v>
      </c>
      <c r="F334" s="6" t="n">
        <f aca="false">ROUND(F333+E334,2)</f>
        <v>269.42</v>
      </c>
    </row>
    <row r="335" customFormat="false" ht="15" hidden="false" customHeight="true" outlineLevel="0" collapsed="false">
      <c r="A335" s="6" t="n">
        <v>333</v>
      </c>
      <c r="B335" s="6" t="n">
        <f aca="false">ROUND(Veterancy_XP!$B$5*(A335+1)^Veterancy_XP!$B$6,0)</f>
        <v>339</v>
      </c>
      <c r="C335" s="6" t="n">
        <f aca="false">ROUND(1/(A335+1)^Veterancy_XP!$E$6,4)</f>
        <v>0.2951</v>
      </c>
      <c r="D335" s="6" t="n">
        <f aca="false">ROUND(Veterancy_XP!$E$5*C335,1)</f>
        <v>295.1</v>
      </c>
      <c r="E335" s="6" t="n">
        <f aca="false">ROUND(B335/D335,2)</f>
        <v>1.15</v>
      </c>
      <c r="F335" s="6" t="n">
        <f aca="false">ROUND(F334+E335,2)</f>
        <v>270.57</v>
      </c>
    </row>
    <row r="336" customFormat="false" ht="15" hidden="false" customHeight="true" outlineLevel="0" collapsed="false">
      <c r="A336" s="6" t="n">
        <v>334</v>
      </c>
      <c r="B336" s="6" t="n">
        <f aca="false">ROUND(Veterancy_XP!$B$5*(A336+1)^Veterancy_XP!$B$6,0)</f>
        <v>339</v>
      </c>
      <c r="C336" s="6" t="n">
        <f aca="false">ROUND(1/(A336+1)^Veterancy_XP!$E$6,4)</f>
        <v>0.2949</v>
      </c>
      <c r="D336" s="6" t="n">
        <f aca="false">ROUND(Veterancy_XP!$E$5*C336,1)</f>
        <v>294.9</v>
      </c>
      <c r="E336" s="6" t="n">
        <f aca="false">ROUND(B336/D336,2)</f>
        <v>1.15</v>
      </c>
      <c r="F336" s="6" t="n">
        <f aca="false">ROUND(F335+E336,2)</f>
        <v>271.72</v>
      </c>
    </row>
    <row r="337" customFormat="false" ht="15" hidden="false" customHeight="true" outlineLevel="0" collapsed="false">
      <c r="A337" s="6" t="n">
        <v>335</v>
      </c>
      <c r="B337" s="6" t="n">
        <f aca="false">ROUND(Veterancy_XP!$B$5*(A337+1)^Veterancy_XP!$B$6,0)</f>
        <v>339</v>
      </c>
      <c r="C337" s="6" t="n">
        <f aca="false">ROUND(1/(A337+1)^Veterancy_XP!$E$6,4)</f>
        <v>0.2948</v>
      </c>
      <c r="D337" s="6" t="n">
        <f aca="false">ROUND(Veterancy_XP!$E$5*C337,1)</f>
        <v>294.8</v>
      </c>
      <c r="E337" s="6" t="n">
        <f aca="false">ROUND(B337/D337,2)</f>
        <v>1.15</v>
      </c>
      <c r="F337" s="6" t="n">
        <f aca="false">ROUND(F336+E337,2)</f>
        <v>272.87</v>
      </c>
    </row>
    <row r="338" customFormat="false" ht="15" hidden="false" customHeight="true" outlineLevel="0" collapsed="false">
      <c r="A338" s="6" t="n">
        <v>336</v>
      </c>
      <c r="B338" s="6" t="n">
        <f aca="false">ROUND(Veterancy_XP!$B$5*(A338+1)^Veterancy_XP!$B$6,0)</f>
        <v>339</v>
      </c>
      <c r="C338" s="6" t="n">
        <f aca="false">ROUND(1/(A338+1)^Veterancy_XP!$E$6,4)</f>
        <v>0.2946</v>
      </c>
      <c r="D338" s="6" t="n">
        <f aca="false">ROUND(Veterancy_XP!$E$5*C338,1)</f>
        <v>294.6</v>
      </c>
      <c r="E338" s="6" t="n">
        <f aca="false">ROUND(B338/D338,2)</f>
        <v>1.15</v>
      </c>
      <c r="F338" s="6" t="n">
        <f aca="false">ROUND(F337+E338,2)</f>
        <v>274.02</v>
      </c>
    </row>
    <row r="339" customFormat="false" ht="15" hidden="false" customHeight="true" outlineLevel="0" collapsed="false">
      <c r="A339" s="6" t="n">
        <v>337</v>
      </c>
      <c r="B339" s="6" t="n">
        <f aca="false">ROUND(Veterancy_XP!$B$5*(A339+1)^Veterancy_XP!$B$6,0)</f>
        <v>340</v>
      </c>
      <c r="C339" s="6" t="n">
        <f aca="false">ROUND(1/(A339+1)^Veterancy_XP!$E$6,4)</f>
        <v>0.2944</v>
      </c>
      <c r="D339" s="6" t="n">
        <f aca="false">ROUND(Veterancy_XP!$E$5*C339,1)</f>
        <v>294.4</v>
      </c>
      <c r="E339" s="6" t="n">
        <f aca="false">ROUND(B339/D339,2)</f>
        <v>1.15</v>
      </c>
      <c r="F339" s="6" t="n">
        <f aca="false">ROUND(F338+E339,2)</f>
        <v>275.17</v>
      </c>
    </row>
    <row r="340" customFormat="false" ht="15" hidden="false" customHeight="true" outlineLevel="0" collapsed="false">
      <c r="A340" s="6" t="n">
        <v>338</v>
      </c>
      <c r="B340" s="6" t="n">
        <f aca="false">ROUND(Veterancy_XP!$B$5*(A340+1)^Veterancy_XP!$B$6,0)</f>
        <v>340</v>
      </c>
      <c r="C340" s="6" t="n">
        <f aca="false">ROUND(1/(A340+1)^Veterancy_XP!$E$6,4)</f>
        <v>0.2942</v>
      </c>
      <c r="D340" s="6" t="n">
        <f aca="false">ROUND(Veterancy_XP!$E$5*C340,1)</f>
        <v>294.2</v>
      </c>
      <c r="E340" s="6" t="n">
        <f aca="false">ROUND(B340/D340,2)</f>
        <v>1.16</v>
      </c>
      <c r="F340" s="6" t="n">
        <f aca="false">ROUND(F339+E340,2)</f>
        <v>276.33</v>
      </c>
    </row>
    <row r="341" customFormat="false" ht="15" hidden="false" customHeight="true" outlineLevel="0" collapsed="false">
      <c r="A341" s="6" t="n">
        <v>339</v>
      </c>
      <c r="B341" s="6" t="n">
        <f aca="false">ROUND(Veterancy_XP!$B$5*(A341+1)^Veterancy_XP!$B$6,0)</f>
        <v>340</v>
      </c>
      <c r="C341" s="6" t="n">
        <f aca="false">ROUND(1/(A341+1)^Veterancy_XP!$E$6,4)</f>
        <v>0.294</v>
      </c>
      <c r="D341" s="6" t="n">
        <f aca="false">ROUND(Veterancy_XP!$E$5*C341,1)</f>
        <v>294</v>
      </c>
      <c r="E341" s="6" t="n">
        <f aca="false">ROUND(B341/D341,2)</f>
        <v>1.16</v>
      </c>
      <c r="F341" s="6" t="n">
        <f aca="false">ROUND(F340+E341,2)</f>
        <v>277.49</v>
      </c>
    </row>
    <row r="342" customFormat="false" ht="15" hidden="false" customHeight="true" outlineLevel="0" collapsed="false">
      <c r="A342" s="6" t="n">
        <v>340</v>
      </c>
      <c r="B342" s="6" t="n">
        <f aca="false">ROUND(Veterancy_XP!$B$5*(A342+1)^Veterancy_XP!$B$6,0)</f>
        <v>340</v>
      </c>
      <c r="C342" s="6" t="n">
        <f aca="false">ROUND(1/(A342+1)^Veterancy_XP!$E$6,4)</f>
        <v>0.2938</v>
      </c>
      <c r="D342" s="6" t="n">
        <f aca="false">ROUND(Veterancy_XP!$E$5*C342,1)</f>
        <v>293.8</v>
      </c>
      <c r="E342" s="6" t="n">
        <f aca="false">ROUND(B342/D342,2)</f>
        <v>1.16</v>
      </c>
      <c r="F342" s="6" t="n">
        <f aca="false">ROUND(F341+E342,2)</f>
        <v>278.65</v>
      </c>
    </row>
    <row r="343" customFormat="false" ht="15" hidden="false" customHeight="true" outlineLevel="0" collapsed="false">
      <c r="A343" s="6" t="n">
        <v>341</v>
      </c>
      <c r="B343" s="6" t="n">
        <f aca="false">ROUND(Veterancy_XP!$B$5*(A343+1)^Veterancy_XP!$B$6,0)</f>
        <v>341</v>
      </c>
      <c r="C343" s="6" t="n">
        <f aca="false">ROUND(1/(A343+1)^Veterancy_XP!$E$6,4)</f>
        <v>0.2937</v>
      </c>
      <c r="D343" s="6" t="n">
        <f aca="false">ROUND(Veterancy_XP!$E$5*C343,1)</f>
        <v>293.7</v>
      </c>
      <c r="E343" s="6" t="n">
        <f aca="false">ROUND(B343/D343,2)</f>
        <v>1.16</v>
      </c>
      <c r="F343" s="6" t="n">
        <f aca="false">ROUND(F342+E343,2)</f>
        <v>279.81</v>
      </c>
    </row>
    <row r="344" customFormat="false" ht="15" hidden="false" customHeight="true" outlineLevel="0" collapsed="false">
      <c r="A344" s="6" t="n">
        <v>342</v>
      </c>
      <c r="B344" s="6" t="n">
        <f aca="false">ROUND(Veterancy_XP!$B$5*(A344+1)^Veterancy_XP!$B$6,0)</f>
        <v>341</v>
      </c>
      <c r="C344" s="6" t="n">
        <f aca="false">ROUND(1/(A344+1)^Veterancy_XP!$E$6,4)</f>
        <v>0.2935</v>
      </c>
      <c r="D344" s="6" t="n">
        <f aca="false">ROUND(Veterancy_XP!$E$5*C344,1)</f>
        <v>293.5</v>
      </c>
      <c r="E344" s="6" t="n">
        <f aca="false">ROUND(B344/D344,2)</f>
        <v>1.16</v>
      </c>
      <c r="F344" s="6" t="n">
        <f aca="false">ROUND(F343+E344,2)</f>
        <v>280.97</v>
      </c>
    </row>
    <row r="345" customFormat="false" ht="15" hidden="false" customHeight="true" outlineLevel="0" collapsed="false">
      <c r="A345" s="6" t="n">
        <v>343</v>
      </c>
      <c r="B345" s="6" t="n">
        <f aca="false">ROUND(Veterancy_XP!$B$5*(A345+1)^Veterancy_XP!$B$6,0)</f>
        <v>341</v>
      </c>
      <c r="C345" s="6" t="n">
        <f aca="false">ROUND(1/(A345+1)^Veterancy_XP!$E$6,4)</f>
        <v>0.2933</v>
      </c>
      <c r="D345" s="6" t="n">
        <f aca="false">ROUND(Veterancy_XP!$E$5*C345,1)</f>
        <v>293.3</v>
      </c>
      <c r="E345" s="6" t="n">
        <f aca="false">ROUND(B345/D345,2)</f>
        <v>1.16</v>
      </c>
      <c r="F345" s="6" t="n">
        <f aca="false">ROUND(F344+E345,2)</f>
        <v>282.13</v>
      </c>
    </row>
    <row r="346" customFormat="false" ht="15" hidden="false" customHeight="true" outlineLevel="0" collapsed="false">
      <c r="A346" s="6" t="n">
        <v>344</v>
      </c>
      <c r="B346" s="6" t="n">
        <f aca="false">ROUND(Veterancy_XP!$B$5*(A346+1)^Veterancy_XP!$B$6,0)</f>
        <v>341</v>
      </c>
      <c r="C346" s="6" t="n">
        <f aca="false">ROUND(1/(A346+1)^Veterancy_XP!$E$6,4)</f>
        <v>0.2931</v>
      </c>
      <c r="D346" s="6" t="n">
        <f aca="false">ROUND(Veterancy_XP!$E$5*C346,1)</f>
        <v>293.1</v>
      </c>
      <c r="E346" s="6" t="n">
        <f aca="false">ROUND(B346/D346,2)</f>
        <v>1.16</v>
      </c>
      <c r="F346" s="6" t="n">
        <f aca="false">ROUND(F345+E346,2)</f>
        <v>283.29</v>
      </c>
    </row>
    <row r="347" customFormat="false" ht="15" hidden="false" customHeight="true" outlineLevel="0" collapsed="false">
      <c r="A347" s="6" t="n">
        <v>345</v>
      </c>
      <c r="B347" s="6" t="n">
        <f aca="false">ROUND(Veterancy_XP!$B$5*(A347+1)^Veterancy_XP!$B$6,0)</f>
        <v>341</v>
      </c>
      <c r="C347" s="6" t="n">
        <f aca="false">ROUND(1/(A347+1)^Veterancy_XP!$E$6,4)</f>
        <v>0.293</v>
      </c>
      <c r="D347" s="6" t="n">
        <f aca="false">ROUND(Veterancy_XP!$E$5*C347,1)</f>
        <v>293</v>
      </c>
      <c r="E347" s="6" t="n">
        <f aca="false">ROUND(B347/D347,2)</f>
        <v>1.16</v>
      </c>
      <c r="F347" s="6" t="n">
        <f aca="false">ROUND(F346+E347,2)</f>
        <v>284.45</v>
      </c>
    </row>
    <row r="348" customFormat="false" ht="15" hidden="false" customHeight="true" outlineLevel="0" collapsed="false">
      <c r="A348" s="6" t="n">
        <v>346</v>
      </c>
      <c r="B348" s="6" t="n">
        <f aca="false">ROUND(Veterancy_XP!$B$5*(A348+1)^Veterancy_XP!$B$6,0)</f>
        <v>342</v>
      </c>
      <c r="C348" s="6" t="n">
        <f aca="false">ROUND(1/(A348+1)^Veterancy_XP!$E$6,4)</f>
        <v>0.2928</v>
      </c>
      <c r="D348" s="6" t="n">
        <f aca="false">ROUND(Veterancy_XP!$E$5*C348,1)</f>
        <v>292.8</v>
      </c>
      <c r="E348" s="6" t="n">
        <f aca="false">ROUND(B348/D348,2)</f>
        <v>1.17</v>
      </c>
      <c r="F348" s="6" t="n">
        <f aca="false">ROUND(F347+E348,2)</f>
        <v>285.62</v>
      </c>
    </row>
    <row r="349" customFormat="false" ht="15" hidden="false" customHeight="true" outlineLevel="0" collapsed="false">
      <c r="A349" s="6" t="n">
        <v>347</v>
      </c>
      <c r="B349" s="6" t="n">
        <f aca="false">ROUND(Veterancy_XP!$B$5*(A349+1)^Veterancy_XP!$B$6,0)</f>
        <v>342</v>
      </c>
      <c r="C349" s="6" t="n">
        <f aca="false">ROUND(1/(A349+1)^Veterancy_XP!$E$6,4)</f>
        <v>0.2926</v>
      </c>
      <c r="D349" s="6" t="n">
        <f aca="false">ROUND(Veterancy_XP!$E$5*C349,1)</f>
        <v>292.6</v>
      </c>
      <c r="E349" s="6" t="n">
        <f aca="false">ROUND(B349/D349,2)</f>
        <v>1.17</v>
      </c>
      <c r="F349" s="6" t="n">
        <f aca="false">ROUND(F348+E349,2)</f>
        <v>286.79</v>
      </c>
    </row>
    <row r="350" customFormat="false" ht="15" hidden="false" customHeight="true" outlineLevel="0" collapsed="false">
      <c r="A350" s="6" t="n">
        <v>348</v>
      </c>
      <c r="B350" s="6" t="n">
        <f aca="false">ROUND(Veterancy_XP!$B$5*(A350+1)^Veterancy_XP!$B$6,0)</f>
        <v>342</v>
      </c>
      <c r="C350" s="6" t="n">
        <f aca="false">ROUND(1/(A350+1)^Veterancy_XP!$E$6,4)</f>
        <v>0.2924</v>
      </c>
      <c r="D350" s="6" t="n">
        <f aca="false">ROUND(Veterancy_XP!$E$5*C350,1)</f>
        <v>292.4</v>
      </c>
      <c r="E350" s="6" t="n">
        <f aca="false">ROUND(B350/D350,2)</f>
        <v>1.17</v>
      </c>
      <c r="F350" s="6" t="n">
        <f aca="false">ROUND(F349+E350,2)</f>
        <v>287.96</v>
      </c>
    </row>
    <row r="351" customFormat="false" ht="15" hidden="false" customHeight="true" outlineLevel="0" collapsed="false">
      <c r="A351" s="6" t="n">
        <v>349</v>
      </c>
      <c r="B351" s="6" t="n">
        <f aca="false">ROUND(Veterancy_XP!$B$5*(A351+1)^Veterancy_XP!$B$6,0)</f>
        <v>342</v>
      </c>
      <c r="C351" s="6" t="n">
        <f aca="false">ROUND(1/(A351+1)^Veterancy_XP!$E$6,4)</f>
        <v>0.2922</v>
      </c>
      <c r="D351" s="6" t="n">
        <f aca="false">ROUND(Veterancy_XP!$E$5*C351,1)</f>
        <v>292.2</v>
      </c>
      <c r="E351" s="6" t="n">
        <f aca="false">ROUND(B351/D351,2)</f>
        <v>1.17</v>
      </c>
      <c r="F351" s="6" t="n">
        <f aca="false">ROUND(F350+E351,2)</f>
        <v>289.13</v>
      </c>
    </row>
    <row r="352" customFormat="false" ht="15" hidden="false" customHeight="true" outlineLevel="0" collapsed="false">
      <c r="A352" s="6" t="n">
        <v>350</v>
      </c>
      <c r="B352" s="6" t="n">
        <f aca="false">ROUND(Veterancy_XP!$B$5*(A352+1)^Veterancy_XP!$B$6,0)</f>
        <v>342</v>
      </c>
      <c r="C352" s="6" t="n">
        <f aca="false">ROUND(1/(A352+1)^Veterancy_XP!$E$6,4)</f>
        <v>0.2921</v>
      </c>
      <c r="D352" s="6" t="n">
        <f aca="false">ROUND(Veterancy_XP!$E$5*C352,1)</f>
        <v>292.1</v>
      </c>
      <c r="E352" s="6" t="n">
        <f aca="false">ROUND(B352/D352,2)</f>
        <v>1.17</v>
      </c>
      <c r="F352" s="6" t="n">
        <f aca="false">ROUND(F351+E352,2)</f>
        <v>290.3</v>
      </c>
    </row>
    <row r="353" customFormat="false" ht="15" hidden="false" customHeight="true" outlineLevel="0" collapsed="false">
      <c r="A353" s="6" t="n">
        <v>351</v>
      </c>
      <c r="B353" s="6" t="n">
        <f aca="false">ROUND(Veterancy_XP!$B$5*(A353+1)^Veterancy_XP!$B$6,0)</f>
        <v>343</v>
      </c>
      <c r="C353" s="6" t="n">
        <f aca="false">ROUND(1/(A353+1)^Veterancy_XP!$E$6,4)</f>
        <v>0.2919</v>
      </c>
      <c r="D353" s="6" t="n">
        <f aca="false">ROUND(Veterancy_XP!$E$5*C353,1)</f>
        <v>291.9</v>
      </c>
      <c r="E353" s="6" t="n">
        <f aca="false">ROUND(B353/D353,2)</f>
        <v>1.18</v>
      </c>
      <c r="F353" s="6" t="n">
        <f aca="false">ROUND(F352+E353,2)</f>
        <v>291.48</v>
      </c>
    </row>
    <row r="354" customFormat="false" ht="15" hidden="false" customHeight="true" outlineLevel="0" collapsed="false">
      <c r="A354" s="6" t="n">
        <v>352</v>
      </c>
      <c r="B354" s="6" t="n">
        <f aca="false">ROUND(Veterancy_XP!$B$5*(A354+1)^Veterancy_XP!$B$6,0)</f>
        <v>343</v>
      </c>
      <c r="C354" s="6" t="n">
        <f aca="false">ROUND(1/(A354+1)^Veterancy_XP!$E$6,4)</f>
        <v>0.2917</v>
      </c>
      <c r="D354" s="6" t="n">
        <f aca="false">ROUND(Veterancy_XP!$E$5*C354,1)</f>
        <v>291.7</v>
      </c>
      <c r="E354" s="6" t="n">
        <f aca="false">ROUND(B354/D354,2)</f>
        <v>1.18</v>
      </c>
      <c r="F354" s="6" t="n">
        <f aca="false">ROUND(F353+E354,2)</f>
        <v>292.66</v>
      </c>
    </row>
    <row r="355" customFormat="false" ht="15" hidden="false" customHeight="true" outlineLevel="0" collapsed="false">
      <c r="A355" s="6" t="n">
        <v>353</v>
      </c>
      <c r="B355" s="6" t="n">
        <f aca="false">ROUND(Veterancy_XP!$B$5*(A355+1)^Veterancy_XP!$B$6,0)</f>
        <v>343</v>
      </c>
      <c r="C355" s="6" t="n">
        <f aca="false">ROUND(1/(A355+1)^Veterancy_XP!$E$6,4)</f>
        <v>0.2915</v>
      </c>
      <c r="D355" s="6" t="n">
        <f aca="false">ROUND(Veterancy_XP!$E$5*C355,1)</f>
        <v>291.5</v>
      </c>
      <c r="E355" s="6" t="n">
        <f aca="false">ROUND(B355/D355,2)</f>
        <v>1.18</v>
      </c>
      <c r="F355" s="6" t="n">
        <f aca="false">ROUND(F354+E355,2)</f>
        <v>293.84</v>
      </c>
    </row>
    <row r="356" customFormat="false" ht="15" hidden="false" customHeight="true" outlineLevel="0" collapsed="false">
      <c r="A356" s="6" t="n">
        <v>354</v>
      </c>
      <c r="B356" s="6" t="n">
        <f aca="false">ROUND(Veterancy_XP!$B$5*(A356+1)^Veterancy_XP!$B$6,0)</f>
        <v>343</v>
      </c>
      <c r="C356" s="6" t="n">
        <f aca="false">ROUND(1/(A356+1)^Veterancy_XP!$E$6,4)</f>
        <v>0.2914</v>
      </c>
      <c r="D356" s="6" t="n">
        <f aca="false">ROUND(Veterancy_XP!$E$5*C356,1)</f>
        <v>291.4</v>
      </c>
      <c r="E356" s="6" t="n">
        <f aca="false">ROUND(B356/D356,2)</f>
        <v>1.18</v>
      </c>
      <c r="F356" s="6" t="n">
        <f aca="false">ROUND(F355+E356,2)</f>
        <v>295.02</v>
      </c>
    </row>
    <row r="357" customFormat="false" ht="15" hidden="false" customHeight="true" outlineLevel="0" collapsed="false">
      <c r="A357" s="6" t="n">
        <v>355</v>
      </c>
      <c r="B357" s="6" t="n">
        <f aca="false">ROUND(Veterancy_XP!$B$5*(A357+1)^Veterancy_XP!$B$6,0)</f>
        <v>343</v>
      </c>
      <c r="C357" s="6" t="n">
        <f aca="false">ROUND(1/(A357+1)^Veterancy_XP!$E$6,4)</f>
        <v>0.2912</v>
      </c>
      <c r="D357" s="6" t="n">
        <f aca="false">ROUND(Veterancy_XP!$E$5*C357,1)</f>
        <v>291.2</v>
      </c>
      <c r="E357" s="6" t="n">
        <f aca="false">ROUND(B357/D357,2)</f>
        <v>1.18</v>
      </c>
      <c r="F357" s="6" t="n">
        <f aca="false">ROUND(F356+E357,2)</f>
        <v>296.2</v>
      </c>
    </row>
    <row r="358" customFormat="false" ht="15" hidden="false" customHeight="true" outlineLevel="0" collapsed="false">
      <c r="A358" s="6" t="n">
        <v>356</v>
      </c>
      <c r="B358" s="6" t="n">
        <f aca="false">ROUND(Veterancy_XP!$B$5*(A358+1)^Veterancy_XP!$B$6,0)</f>
        <v>344</v>
      </c>
      <c r="C358" s="6" t="n">
        <f aca="false">ROUND(1/(A358+1)^Veterancy_XP!$E$6,4)</f>
        <v>0.291</v>
      </c>
      <c r="D358" s="6" t="n">
        <f aca="false">ROUND(Veterancy_XP!$E$5*C358,1)</f>
        <v>291</v>
      </c>
      <c r="E358" s="6" t="n">
        <f aca="false">ROUND(B358/D358,2)</f>
        <v>1.18</v>
      </c>
      <c r="F358" s="6" t="n">
        <f aca="false">ROUND(F357+E358,2)</f>
        <v>297.38</v>
      </c>
    </row>
    <row r="359" customFormat="false" ht="15" hidden="false" customHeight="true" outlineLevel="0" collapsed="false">
      <c r="A359" s="6" t="n">
        <v>357</v>
      </c>
      <c r="B359" s="6" t="n">
        <f aca="false">ROUND(Veterancy_XP!$B$5*(A359+1)^Veterancy_XP!$B$6,0)</f>
        <v>344</v>
      </c>
      <c r="C359" s="6" t="n">
        <f aca="false">ROUND(1/(A359+1)^Veterancy_XP!$E$6,4)</f>
        <v>0.2909</v>
      </c>
      <c r="D359" s="6" t="n">
        <f aca="false">ROUND(Veterancy_XP!$E$5*C359,1)</f>
        <v>290.9</v>
      </c>
      <c r="E359" s="6" t="n">
        <f aca="false">ROUND(B359/D359,2)</f>
        <v>1.18</v>
      </c>
      <c r="F359" s="6" t="n">
        <f aca="false">ROUND(F358+E359,2)</f>
        <v>298.56</v>
      </c>
    </row>
    <row r="360" customFormat="false" ht="15" hidden="false" customHeight="true" outlineLevel="0" collapsed="false">
      <c r="A360" s="6" t="n">
        <v>358</v>
      </c>
      <c r="B360" s="6" t="n">
        <f aca="false">ROUND(Veterancy_XP!$B$5*(A360+1)^Veterancy_XP!$B$6,0)</f>
        <v>344</v>
      </c>
      <c r="C360" s="6" t="n">
        <f aca="false">ROUND(1/(A360+1)^Veterancy_XP!$E$6,4)</f>
        <v>0.2907</v>
      </c>
      <c r="D360" s="6" t="n">
        <f aca="false">ROUND(Veterancy_XP!$E$5*C360,1)</f>
        <v>290.7</v>
      </c>
      <c r="E360" s="6" t="n">
        <f aca="false">ROUND(B360/D360,2)</f>
        <v>1.18</v>
      </c>
      <c r="F360" s="6" t="n">
        <f aca="false">ROUND(F359+E360,2)</f>
        <v>299.74</v>
      </c>
    </row>
    <row r="361" customFormat="false" ht="15" hidden="false" customHeight="true" outlineLevel="0" collapsed="false">
      <c r="A361" s="6" t="n">
        <v>359</v>
      </c>
      <c r="B361" s="6" t="n">
        <f aca="false">ROUND(Veterancy_XP!$B$5*(A361+1)^Veterancy_XP!$B$6,0)</f>
        <v>344</v>
      </c>
      <c r="C361" s="6" t="n">
        <f aca="false">ROUND(1/(A361+1)^Veterancy_XP!$E$6,4)</f>
        <v>0.2905</v>
      </c>
      <c r="D361" s="6" t="n">
        <f aca="false">ROUND(Veterancy_XP!$E$5*C361,1)</f>
        <v>290.5</v>
      </c>
      <c r="E361" s="6" t="n">
        <f aca="false">ROUND(B361/D361,2)</f>
        <v>1.18</v>
      </c>
      <c r="F361" s="6" t="n">
        <f aca="false">ROUND(F360+E361,2)</f>
        <v>300.92</v>
      </c>
    </row>
    <row r="362" customFormat="false" ht="15" hidden="false" customHeight="true" outlineLevel="0" collapsed="false">
      <c r="A362" s="6" t="n">
        <v>360</v>
      </c>
      <c r="B362" s="6" t="n">
        <f aca="false">ROUND(Veterancy_XP!$B$5*(A362+1)^Veterancy_XP!$B$6,0)</f>
        <v>344</v>
      </c>
      <c r="C362" s="6" t="n">
        <f aca="false">ROUND(1/(A362+1)^Veterancy_XP!$E$6,4)</f>
        <v>0.2904</v>
      </c>
      <c r="D362" s="6" t="n">
        <f aca="false">ROUND(Veterancy_XP!$E$5*C362,1)</f>
        <v>290.4</v>
      </c>
      <c r="E362" s="6" t="n">
        <f aca="false">ROUND(B362/D362,2)</f>
        <v>1.18</v>
      </c>
      <c r="F362" s="6" t="n">
        <f aca="false">ROUND(F361+E362,2)</f>
        <v>302.1</v>
      </c>
    </row>
    <row r="363" customFormat="false" ht="15" hidden="false" customHeight="true" outlineLevel="0" collapsed="false">
      <c r="A363" s="6" t="n">
        <v>361</v>
      </c>
      <c r="B363" s="6" t="n">
        <f aca="false">ROUND(Veterancy_XP!$B$5*(A363+1)^Veterancy_XP!$B$6,0)</f>
        <v>345</v>
      </c>
      <c r="C363" s="6" t="n">
        <f aca="false">ROUND(1/(A363+1)^Veterancy_XP!$E$6,4)</f>
        <v>0.2902</v>
      </c>
      <c r="D363" s="6" t="n">
        <f aca="false">ROUND(Veterancy_XP!$E$5*C363,1)</f>
        <v>290.2</v>
      </c>
      <c r="E363" s="6" t="n">
        <f aca="false">ROUND(B363/D363,2)</f>
        <v>1.19</v>
      </c>
      <c r="F363" s="6" t="n">
        <f aca="false">ROUND(F362+E363,2)</f>
        <v>303.29</v>
      </c>
    </row>
    <row r="364" customFormat="false" ht="15" hidden="false" customHeight="true" outlineLevel="0" collapsed="false">
      <c r="A364" s="6" t="n">
        <v>362</v>
      </c>
      <c r="B364" s="6" t="n">
        <f aca="false">ROUND(Veterancy_XP!$B$5*(A364+1)^Veterancy_XP!$B$6,0)</f>
        <v>345</v>
      </c>
      <c r="C364" s="6" t="n">
        <f aca="false">ROUND(1/(A364+1)^Veterancy_XP!$E$6,4)</f>
        <v>0.29</v>
      </c>
      <c r="D364" s="6" t="n">
        <f aca="false">ROUND(Veterancy_XP!$E$5*C364,1)</f>
        <v>290</v>
      </c>
      <c r="E364" s="6" t="n">
        <f aca="false">ROUND(B364/D364,2)</f>
        <v>1.19</v>
      </c>
      <c r="F364" s="6" t="n">
        <f aca="false">ROUND(F363+E364,2)</f>
        <v>304.48</v>
      </c>
    </row>
    <row r="365" customFormat="false" ht="15" hidden="false" customHeight="true" outlineLevel="0" collapsed="false">
      <c r="A365" s="6" t="n">
        <v>363</v>
      </c>
      <c r="B365" s="6" t="n">
        <f aca="false">ROUND(Veterancy_XP!$B$5*(A365+1)^Veterancy_XP!$B$6,0)</f>
        <v>345</v>
      </c>
      <c r="C365" s="6" t="n">
        <f aca="false">ROUND(1/(A365+1)^Veterancy_XP!$E$6,4)</f>
        <v>0.2898</v>
      </c>
      <c r="D365" s="6" t="n">
        <f aca="false">ROUND(Veterancy_XP!$E$5*C365,1)</f>
        <v>289.8</v>
      </c>
      <c r="E365" s="6" t="n">
        <f aca="false">ROUND(B365/D365,2)</f>
        <v>1.19</v>
      </c>
      <c r="F365" s="6" t="n">
        <f aca="false">ROUND(F364+E365,2)</f>
        <v>305.67</v>
      </c>
    </row>
    <row r="366" customFormat="false" ht="15" hidden="false" customHeight="true" outlineLevel="0" collapsed="false">
      <c r="A366" s="6" t="n">
        <v>364</v>
      </c>
      <c r="B366" s="6" t="n">
        <f aca="false">ROUND(Veterancy_XP!$B$5*(A366+1)^Veterancy_XP!$B$6,0)</f>
        <v>345</v>
      </c>
      <c r="C366" s="6" t="n">
        <f aca="false">ROUND(1/(A366+1)^Veterancy_XP!$E$6,4)</f>
        <v>0.2897</v>
      </c>
      <c r="D366" s="6" t="n">
        <f aca="false">ROUND(Veterancy_XP!$E$5*C366,1)</f>
        <v>289.7</v>
      </c>
      <c r="E366" s="6" t="n">
        <f aca="false">ROUND(B366/D366,2)</f>
        <v>1.19</v>
      </c>
      <c r="F366" s="6" t="n">
        <f aca="false">ROUND(F365+E366,2)</f>
        <v>306.86</v>
      </c>
    </row>
    <row r="367" customFormat="false" ht="15" hidden="false" customHeight="true" outlineLevel="0" collapsed="false">
      <c r="A367" s="6" t="n">
        <v>365</v>
      </c>
      <c r="B367" s="6" t="n">
        <f aca="false">ROUND(Veterancy_XP!$B$5*(A367+1)^Veterancy_XP!$B$6,0)</f>
        <v>345</v>
      </c>
      <c r="C367" s="6" t="n">
        <f aca="false">ROUND(1/(A367+1)^Veterancy_XP!$E$6,4)</f>
        <v>0.2895</v>
      </c>
      <c r="D367" s="6" t="n">
        <f aca="false">ROUND(Veterancy_XP!$E$5*C367,1)</f>
        <v>289.5</v>
      </c>
      <c r="E367" s="6" t="n">
        <f aca="false">ROUND(B367/D367,2)</f>
        <v>1.19</v>
      </c>
      <c r="F367" s="6" t="n">
        <f aca="false">ROUND(F366+E367,2)</f>
        <v>308.05</v>
      </c>
    </row>
    <row r="368" customFormat="false" ht="15" hidden="false" customHeight="true" outlineLevel="0" collapsed="false">
      <c r="A368" s="6" t="n">
        <v>366</v>
      </c>
      <c r="B368" s="6" t="n">
        <f aca="false">ROUND(Veterancy_XP!$B$5*(A368+1)^Veterancy_XP!$B$6,0)</f>
        <v>346</v>
      </c>
      <c r="C368" s="6" t="n">
        <f aca="false">ROUND(1/(A368+1)^Veterancy_XP!$E$6,4)</f>
        <v>0.2893</v>
      </c>
      <c r="D368" s="6" t="n">
        <f aca="false">ROUND(Veterancy_XP!$E$5*C368,1)</f>
        <v>289.3</v>
      </c>
      <c r="E368" s="6" t="n">
        <f aca="false">ROUND(B368/D368,2)</f>
        <v>1.2</v>
      </c>
      <c r="F368" s="6" t="n">
        <f aca="false">ROUND(F367+E368,2)</f>
        <v>309.25</v>
      </c>
    </row>
    <row r="369" customFormat="false" ht="15" hidden="false" customHeight="true" outlineLevel="0" collapsed="false">
      <c r="A369" s="6" t="n">
        <v>367</v>
      </c>
      <c r="B369" s="6" t="n">
        <f aca="false">ROUND(Veterancy_XP!$B$5*(A369+1)^Veterancy_XP!$B$6,0)</f>
        <v>346</v>
      </c>
      <c r="C369" s="6" t="n">
        <f aca="false">ROUND(1/(A369+1)^Veterancy_XP!$E$6,4)</f>
        <v>0.2892</v>
      </c>
      <c r="D369" s="6" t="n">
        <f aca="false">ROUND(Veterancy_XP!$E$5*C369,1)</f>
        <v>289.2</v>
      </c>
      <c r="E369" s="6" t="n">
        <f aca="false">ROUND(B369/D369,2)</f>
        <v>1.2</v>
      </c>
      <c r="F369" s="6" t="n">
        <f aca="false">ROUND(F368+E369,2)</f>
        <v>310.45</v>
      </c>
    </row>
    <row r="370" customFormat="false" ht="15" hidden="false" customHeight="true" outlineLevel="0" collapsed="false">
      <c r="A370" s="6" t="n">
        <v>368</v>
      </c>
      <c r="B370" s="6" t="n">
        <f aca="false">ROUND(Veterancy_XP!$B$5*(A370+1)^Veterancy_XP!$B$6,0)</f>
        <v>346</v>
      </c>
      <c r="C370" s="6" t="n">
        <f aca="false">ROUND(1/(A370+1)^Veterancy_XP!$E$6,4)</f>
        <v>0.289</v>
      </c>
      <c r="D370" s="6" t="n">
        <f aca="false">ROUND(Veterancy_XP!$E$5*C370,1)</f>
        <v>289</v>
      </c>
      <c r="E370" s="6" t="n">
        <f aca="false">ROUND(B370/D370,2)</f>
        <v>1.2</v>
      </c>
      <c r="F370" s="6" t="n">
        <f aca="false">ROUND(F369+E370,2)</f>
        <v>311.65</v>
      </c>
    </row>
    <row r="371" customFormat="false" ht="15" hidden="false" customHeight="true" outlineLevel="0" collapsed="false">
      <c r="A371" s="6" t="n">
        <v>369</v>
      </c>
      <c r="B371" s="6" t="n">
        <f aca="false">ROUND(Veterancy_XP!$B$5*(A371+1)^Veterancy_XP!$B$6,0)</f>
        <v>346</v>
      </c>
      <c r="C371" s="6" t="n">
        <f aca="false">ROUND(1/(A371+1)^Veterancy_XP!$E$6,4)</f>
        <v>0.2889</v>
      </c>
      <c r="D371" s="6" t="n">
        <f aca="false">ROUND(Veterancy_XP!$E$5*C371,1)</f>
        <v>288.9</v>
      </c>
      <c r="E371" s="6" t="n">
        <f aca="false">ROUND(B371/D371,2)</f>
        <v>1.2</v>
      </c>
      <c r="F371" s="6" t="n">
        <f aca="false">ROUND(F370+E371,2)</f>
        <v>312.85</v>
      </c>
    </row>
    <row r="372" customFormat="false" ht="15" hidden="false" customHeight="true" outlineLevel="0" collapsed="false">
      <c r="A372" s="6" t="n">
        <v>370</v>
      </c>
      <c r="B372" s="6" t="n">
        <f aca="false">ROUND(Veterancy_XP!$B$5*(A372+1)^Veterancy_XP!$B$6,0)</f>
        <v>346</v>
      </c>
      <c r="C372" s="6" t="n">
        <f aca="false">ROUND(1/(A372+1)^Veterancy_XP!$E$6,4)</f>
        <v>0.2887</v>
      </c>
      <c r="D372" s="6" t="n">
        <f aca="false">ROUND(Veterancy_XP!$E$5*C372,1)</f>
        <v>288.7</v>
      </c>
      <c r="E372" s="6" t="n">
        <f aca="false">ROUND(B372/D372,2)</f>
        <v>1.2</v>
      </c>
      <c r="F372" s="6" t="n">
        <f aca="false">ROUND(F371+E372,2)</f>
        <v>314.05</v>
      </c>
    </row>
    <row r="373" customFormat="false" ht="15" hidden="false" customHeight="true" outlineLevel="0" collapsed="false">
      <c r="A373" s="6" t="n">
        <v>371</v>
      </c>
      <c r="B373" s="6" t="n">
        <f aca="false">ROUND(Veterancy_XP!$B$5*(A373+1)^Veterancy_XP!$B$6,0)</f>
        <v>347</v>
      </c>
      <c r="C373" s="6" t="n">
        <f aca="false">ROUND(1/(A373+1)^Veterancy_XP!$E$6,4)</f>
        <v>0.2885</v>
      </c>
      <c r="D373" s="6" t="n">
        <f aca="false">ROUND(Veterancy_XP!$E$5*C373,1)</f>
        <v>288.5</v>
      </c>
      <c r="E373" s="6" t="n">
        <f aca="false">ROUND(B373/D373,2)</f>
        <v>1.2</v>
      </c>
      <c r="F373" s="6" t="n">
        <f aca="false">ROUND(F372+E373,2)</f>
        <v>315.25</v>
      </c>
    </row>
    <row r="374" customFormat="false" ht="15" hidden="false" customHeight="true" outlineLevel="0" collapsed="false">
      <c r="A374" s="6" t="n">
        <v>372</v>
      </c>
      <c r="B374" s="6" t="n">
        <f aca="false">ROUND(Veterancy_XP!$B$5*(A374+1)^Veterancy_XP!$B$6,0)</f>
        <v>347</v>
      </c>
      <c r="C374" s="6" t="n">
        <f aca="false">ROUND(1/(A374+1)^Veterancy_XP!$E$6,4)</f>
        <v>0.2884</v>
      </c>
      <c r="D374" s="6" t="n">
        <f aca="false">ROUND(Veterancy_XP!$E$5*C374,1)</f>
        <v>288.4</v>
      </c>
      <c r="E374" s="6" t="n">
        <f aca="false">ROUND(B374/D374,2)</f>
        <v>1.2</v>
      </c>
      <c r="F374" s="6" t="n">
        <f aca="false">ROUND(F373+E374,2)</f>
        <v>316.45</v>
      </c>
    </row>
    <row r="375" customFormat="false" ht="15" hidden="false" customHeight="true" outlineLevel="0" collapsed="false">
      <c r="A375" s="6" t="n">
        <v>373</v>
      </c>
      <c r="B375" s="6" t="n">
        <f aca="false">ROUND(Veterancy_XP!$B$5*(A375+1)^Veterancy_XP!$B$6,0)</f>
        <v>347</v>
      </c>
      <c r="C375" s="6" t="n">
        <f aca="false">ROUND(1/(A375+1)^Veterancy_XP!$E$6,4)</f>
        <v>0.2882</v>
      </c>
      <c r="D375" s="6" t="n">
        <f aca="false">ROUND(Veterancy_XP!$E$5*C375,1)</f>
        <v>288.2</v>
      </c>
      <c r="E375" s="6" t="n">
        <f aca="false">ROUND(B375/D375,2)</f>
        <v>1.2</v>
      </c>
      <c r="F375" s="6" t="n">
        <f aca="false">ROUND(F374+E375,2)</f>
        <v>317.65</v>
      </c>
    </row>
    <row r="376" customFormat="false" ht="15" hidden="false" customHeight="true" outlineLevel="0" collapsed="false">
      <c r="A376" s="6" t="n">
        <v>374</v>
      </c>
      <c r="B376" s="6" t="n">
        <f aca="false">ROUND(Veterancy_XP!$B$5*(A376+1)^Veterancy_XP!$B$6,0)</f>
        <v>347</v>
      </c>
      <c r="C376" s="6" t="n">
        <f aca="false">ROUND(1/(A376+1)^Veterancy_XP!$E$6,4)</f>
        <v>0.288</v>
      </c>
      <c r="D376" s="6" t="n">
        <f aca="false">ROUND(Veterancy_XP!$E$5*C376,1)</f>
        <v>288</v>
      </c>
      <c r="E376" s="6" t="n">
        <f aca="false">ROUND(B376/D376,2)</f>
        <v>1.2</v>
      </c>
      <c r="F376" s="6" t="n">
        <f aca="false">ROUND(F375+E376,2)</f>
        <v>318.85</v>
      </c>
    </row>
    <row r="377" customFormat="false" ht="15" hidden="false" customHeight="true" outlineLevel="0" collapsed="false">
      <c r="A377" s="6" t="n">
        <v>375</v>
      </c>
      <c r="B377" s="6" t="n">
        <f aca="false">ROUND(Veterancy_XP!$B$5*(A377+1)^Veterancy_XP!$B$6,0)</f>
        <v>347</v>
      </c>
      <c r="C377" s="6" t="n">
        <f aca="false">ROUND(1/(A377+1)^Veterancy_XP!$E$6,4)</f>
        <v>0.2879</v>
      </c>
      <c r="D377" s="6" t="n">
        <f aca="false">ROUND(Veterancy_XP!$E$5*C377,1)</f>
        <v>287.9</v>
      </c>
      <c r="E377" s="6" t="n">
        <f aca="false">ROUND(B377/D377,2)</f>
        <v>1.21</v>
      </c>
      <c r="F377" s="6" t="n">
        <f aca="false">ROUND(F376+E377,2)</f>
        <v>320.06</v>
      </c>
    </row>
    <row r="378" customFormat="false" ht="15" hidden="false" customHeight="true" outlineLevel="0" collapsed="false">
      <c r="A378" s="6" t="n">
        <v>376</v>
      </c>
      <c r="B378" s="6" t="n">
        <f aca="false">ROUND(Veterancy_XP!$B$5*(A378+1)^Veterancy_XP!$B$6,0)</f>
        <v>348</v>
      </c>
      <c r="C378" s="6" t="n">
        <f aca="false">ROUND(1/(A378+1)^Veterancy_XP!$E$6,4)</f>
        <v>0.2877</v>
      </c>
      <c r="D378" s="6" t="n">
        <f aca="false">ROUND(Veterancy_XP!$E$5*C378,1)</f>
        <v>287.7</v>
      </c>
      <c r="E378" s="6" t="n">
        <f aca="false">ROUND(B378/D378,2)</f>
        <v>1.21</v>
      </c>
      <c r="F378" s="6" t="n">
        <f aca="false">ROUND(F377+E378,2)</f>
        <v>321.27</v>
      </c>
    </row>
    <row r="379" customFormat="false" ht="15" hidden="false" customHeight="true" outlineLevel="0" collapsed="false">
      <c r="A379" s="6" t="n">
        <v>377</v>
      </c>
      <c r="B379" s="6" t="n">
        <f aca="false">ROUND(Veterancy_XP!$B$5*(A379+1)^Veterancy_XP!$B$6,0)</f>
        <v>348</v>
      </c>
      <c r="C379" s="6" t="n">
        <f aca="false">ROUND(1/(A379+1)^Veterancy_XP!$E$6,4)</f>
        <v>0.2876</v>
      </c>
      <c r="D379" s="6" t="n">
        <f aca="false">ROUND(Veterancy_XP!$E$5*C379,1)</f>
        <v>287.6</v>
      </c>
      <c r="E379" s="6" t="n">
        <f aca="false">ROUND(B379/D379,2)</f>
        <v>1.21</v>
      </c>
      <c r="F379" s="6" t="n">
        <f aca="false">ROUND(F378+E379,2)</f>
        <v>322.48</v>
      </c>
    </row>
    <row r="380" customFormat="false" ht="15" hidden="false" customHeight="true" outlineLevel="0" collapsed="false">
      <c r="A380" s="6" t="n">
        <v>378</v>
      </c>
      <c r="B380" s="6" t="n">
        <f aca="false">ROUND(Veterancy_XP!$B$5*(A380+1)^Veterancy_XP!$B$6,0)</f>
        <v>348</v>
      </c>
      <c r="C380" s="6" t="n">
        <f aca="false">ROUND(1/(A380+1)^Veterancy_XP!$E$6,4)</f>
        <v>0.2874</v>
      </c>
      <c r="D380" s="6" t="n">
        <f aca="false">ROUND(Veterancy_XP!$E$5*C380,1)</f>
        <v>287.4</v>
      </c>
      <c r="E380" s="6" t="n">
        <f aca="false">ROUND(B380/D380,2)</f>
        <v>1.21</v>
      </c>
      <c r="F380" s="6" t="n">
        <f aca="false">ROUND(F379+E380,2)</f>
        <v>323.69</v>
      </c>
    </row>
    <row r="381" customFormat="false" ht="15" hidden="false" customHeight="true" outlineLevel="0" collapsed="false">
      <c r="A381" s="6" t="n">
        <v>379</v>
      </c>
      <c r="B381" s="6" t="n">
        <f aca="false">ROUND(Veterancy_XP!$B$5*(A381+1)^Veterancy_XP!$B$6,0)</f>
        <v>348</v>
      </c>
      <c r="C381" s="6" t="n">
        <f aca="false">ROUND(1/(A381+1)^Veterancy_XP!$E$6,4)</f>
        <v>0.2872</v>
      </c>
      <c r="D381" s="6" t="n">
        <f aca="false">ROUND(Veterancy_XP!$E$5*C381,1)</f>
        <v>287.2</v>
      </c>
      <c r="E381" s="6" t="n">
        <f aca="false">ROUND(B381/D381,2)</f>
        <v>1.21</v>
      </c>
      <c r="F381" s="6" t="n">
        <f aca="false">ROUND(F380+E381,2)</f>
        <v>324.9</v>
      </c>
    </row>
    <row r="382" customFormat="false" ht="15" hidden="false" customHeight="true" outlineLevel="0" collapsed="false">
      <c r="A382" s="6" t="n">
        <v>380</v>
      </c>
      <c r="B382" s="6" t="n">
        <f aca="false">ROUND(Veterancy_XP!$B$5*(A382+1)^Veterancy_XP!$B$6,0)</f>
        <v>348</v>
      </c>
      <c r="C382" s="6" t="n">
        <f aca="false">ROUND(1/(A382+1)^Veterancy_XP!$E$6,4)</f>
        <v>0.2871</v>
      </c>
      <c r="D382" s="6" t="n">
        <f aca="false">ROUND(Veterancy_XP!$E$5*C382,1)</f>
        <v>287.1</v>
      </c>
      <c r="E382" s="6" t="n">
        <f aca="false">ROUND(B382/D382,2)</f>
        <v>1.21</v>
      </c>
      <c r="F382" s="6" t="n">
        <f aca="false">ROUND(F381+E382,2)</f>
        <v>326.11</v>
      </c>
    </row>
    <row r="383" customFormat="false" ht="15" hidden="false" customHeight="true" outlineLevel="0" collapsed="false">
      <c r="A383" s="6" t="n">
        <v>381</v>
      </c>
      <c r="B383" s="6" t="n">
        <f aca="false">ROUND(Veterancy_XP!$B$5*(A383+1)^Veterancy_XP!$B$6,0)</f>
        <v>349</v>
      </c>
      <c r="C383" s="6" t="n">
        <f aca="false">ROUND(1/(A383+1)^Veterancy_XP!$E$6,4)</f>
        <v>0.2869</v>
      </c>
      <c r="D383" s="6" t="n">
        <f aca="false">ROUND(Veterancy_XP!$E$5*C383,1)</f>
        <v>286.9</v>
      </c>
      <c r="E383" s="6" t="n">
        <f aca="false">ROUND(B383/D383,2)</f>
        <v>1.22</v>
      </c>
      <c r="F383" s="6" t="n">
        <f aca="false">ROUND(F382+E383,2)</f>
        <v>327.33</v>
      </c>
    </row>
    <row r="384" customFormat="false" ht="15" hidden="false" customHeight="true" outlineLevel="0" collapsed="false">
      <c r="A384" s="6" t="n">
        <v>382</v>
      </c>
      <c r="B384" s="6" t="n">
        <f aca="false">ROUND(Veterancy_XP!$B$5*(A384+1)^Veterancy_XP!$B$6,0)</f>
        <v>349</v>
      </c>
      <c r="C384" s="6" t="n">
        <f aca="false">ROUND(1/(A384+1)^Veterancy_XP!$E$6,4)</f>
        <v>0.2868</v>
      </c>
      <c r="D384" s="6" t="n">
        <f aca="false">ROUND(Veterancy_XP!$E$5*C384,1)</f>
        <v>286.8</v>
      </c>
      <c r="E384" s="6" t="n">
        <f aca="false">ROUND(B384/D384,2)</f>
        <v>1.22</v>
      </c>
      <c r="F384" s="6" t="n">
        <f aca="false">ROUND(F383+E384,2)</f>
        <v>328.55</v>
      </c>
    </row>
    <row r="385" customFormat="false" ht="15" hidden="false" customHeight="true" outlineLevel="0" collapsed="false">
      <c r="A385" s="6" t="n">
        <v>383</v>
      </c>
      <c r="B385" s="6" t="n">
        <f aca="false">ROUND(Veterancy_XP!$B$5*(A385+1)^Veterancy_XP!$B$6,0)</f>
        <v>349</v>
      </c>
      <c r="C385" s="6" t="n">
        <f aca="false">ROUND(1/(A385+1)^Veterancy_XP!$E$6,4)</f>
        <v>0.2866</v>
      </c>
      <c r="D385" s="6" t="n">
        <f aca="false">ROUND(Veterancy_XP!$E$5*C385,1)</f>
        <v>286.6</v>
      </c>
      <c r="E385" s="6" t="n">
        <f aca="false">ROUND(B385/D385,2)</f>
        <v>1.22</v>
      </c>
      <c r="F385" s="6" t="n">
        <f aca="false">ROUND(F384+E385,2)</f>
        <v>329.77</v>
      </c>
    </row>
    <row r="386" customFormat="false" ht="15" hidden="false" customHeight="true" outlineLevel="0" collapsed="false">
      <c r="A386" s="6" t="n">
        <v>384</v>
      </c>
      <c r="B386" s="6" t="n">
        <f aca="false">ROUND(Veterancy_XP!$B$5*(A386+1)^Veterancy_XP!$B$6,0)</f>
        <v>349</v>
      </c>
      <c r="C386" s="6" t="n">
        <f aca="false">ROUND(1/(A386+1)^Veterancy_XP!$E$6,4)</f>
        <v>0.2865</v>
      </c>
      <c r="D386" s="6" t="n">
        <f aca="false">ROUND(Veterancy_XP!$E$5*C386,1)</f>
        <v>286.5</v>
      </c>
      <c r="E386" s="6" t="n">
        <f aca="false">ROUND(B386/D386,2)</f>
        <v>1.22</v>
      </c>
      <c r="F386" s="6" t="n">
        <f aca="false">ROUND(F385+E386,2)</f>
        <v>330.99</v>
      </c>
    </row>
    <row r="387" customFormat="false" ht="15" hidden="false" customHeight="true" outlineLevel="0" collapsed="false">
      <c r="A387" s="6" t="n">
        <v>385</v>
      </c>
      <c r="B387" s="6" t="n">
        <f aca="false">ROUND(Veterancy_XP!$B$5*(A387+1)^Veterancy_XP!$B$6,0)</f>
        <v>349</v>
      </c>
      <c r="C387" s="6" t="n">
        <f aca="false">ROUND(1/(A387+1)^Veterancy_XP!$E$6,4)</f>
        <v>0.2863</v>
      </c>
      <c r="D387" s="6" t="n">
        <f aca="false">ROUND(Veterancy_XP!$E$5*C387,1)</f>
        <v>286.3</v>
      </c>
      <c r="E387" s="6" t="n">
        <f aca="false">ROUND(B387/D387,2)</f>
        <v>1.22</v>
      </c>
      <c r="F387" s="6" t="n">
        <f aca="false">ROUND(F386+E387,2)</f>
        <v>332.21</v>
      </c>
    </row>
    <row r="388" customFormat="false" ht="15" hidden="false" customHeight="true" outlineLevel="0" collapsed="false">
      <c r="A388" s="6" t="n">
        <v>386</v>
      </c>
      <c r="B388" s="6" t="n">
        <f aca="false">ROUND(Veterancy_XP!$B$5*(A388+1)^Veterancy_XP!$B$6,0)</f>
        <v>349</v>
      </c>
      <c r="C388" s="6" t="n">
        <f aca="false">ROUND(1/(A388+1)^Veterancy_XP!$E$6,4)</f>
        <v>0.2861</v>
      </c>
      <c r="D388" s="6" t="n">
        <f aca="false">ROUND(Veterancy_XP!$E$5*C388,1)</f>
        <v>286.1</v>
      </c>
      <c r="E388" s="6" t="n">
        <f aca="false">ROUND(B388/D388,2)</f>
        <v>1.22</v>
      </c>
      <c r="F388" s="6" t="n">
        <f aca="false">ROUND(F387+E388,2)</f>
        <v>333.43</v>
      </c>
    </row>
    <row r="389" customFormat="false" ht="15" hidden="false" customHeight="true" outlineLevel="0" collapsed="false">
      <c r="A389" s="6" t="n">
        <v>387</v>
      </c>
      <c r="B389" s="6" t="n">
        <f aca="false">ROUND(Veterancy_XP!$B$5*(A389+1)^Veterancy_XP!$B$6,0)</f>
        <v>350</v>
      </c>
      <c r="C389" s="6" t="n">
        <f aca="false">ROUND(1/(A389+1)^Veterancy_XP!$E$6,4)</f>
        <v>0.286</v>
      </c>
      <c r="D389" s="6" t="n">
        <f aca="false">ROUND(Veterancy_XP!$E$5*C389,1)</f>
        <v>286</v>
      </c>
      <c r="E389" s="6" t="n">
        <f aca="false">ROUND(B389/D389,2)</f>
        <v>1.22</v>
      </c>
      <c r="F389" s="6" t="n">
        <f aca="false">ROUND(F388+E389,2)</f>
        <v>334.65</v>
      </c>
    </row>
    <row r="390" customFormat="false" ht="15" hidden="false" customHeight="true" outlineLevel="0" collapsed="false">
      <c r="A390" s="6" t="n">
        <v>388</v>
      </c>
      <c r="B390" s="6" t="n">
        <f aca="false">ROUND(Veterancy_XP!$B$5*(A390+1)^Veterancy_XP!$B$6,0)</f>
        <v>350</v>
      </c>
      <c r="C390" s="6" t="n">
        <f aca="false">ROUND(1/(A390+1)^Veterancy_XP!$E$6,4)</f>
        <v>0.2858</v>
      </c>
      <c r="D390" s="6" t="n">
        <f aca="false">ROUND(Veterancy_XP!$E$5*C390,1)</f>
        <v>285.8</v>
      </c>
      <c r="E390" s="6" t="n">
        <f aca="false">ROUND(B390/D390,2)</f>
        <v>1.22</v>
      </c>
      <c r="F390" s="6" t="n">
        <f aca="false">ROUND(F389+E390,2)</f>
        <v>335.87</v>
      </c>
    </row>
    <row r="391" customFormat="false" ht="15" hidden="false" customHeight="true" outlineLevel="0" collapsed="false">
      <c r="A391" s="6" t="n">
        <v>389</v>
      </c>
      <c r="B391" s="6" t="n">
        <f aca="false">ROUND(Veterancy_XP!$B$5*(A391+1)^Veterancy_XP!$B$6,0)</f>
        <v>350</v>
      </c>
      <c r="C391" s="6" t="n">
        <f aca="false">ROUND(1/(A391+1)^Veterancy_XP!$E$6,4)</f>
        <v>0.2857</v>
      </c>
      <c r="D391" s="6" t="n">
        <f aca="false">ROUND(Veterancy_XP!$E$5*C391,1)</f>
        <v>285.7</v>
      </c>
      <c r="E391" s="6" t="n">
        <f aca="false">ROUND(B391/D391,2)</f>
        <v>1.23</v>
      </c>
      <c r="F391" s="6" t="n">
        <f aca="false">ROUND(F390+E391,2)</f>
        <v>337.1</v>
      </c>
    </row>
    <row r="392" customFormat="false" ht="15" hidden="false" customHeight="true" outlineLevel="0" collapsed="false">
      <c r="A392" s="6" t="n">
        <v>390</v>
      </c>
      <c r="B392" s="6" t="n">
        <f aca="false">ROUND(Veterancy_XP!$B$5*(A392+1)^Veterancy_XP!$B$6,0)</f>
        <v>350</v>
      </c>
      <c r="C392" s="6" t="n">
        <f aca="false">ROUND(1/(A392+1)^Veterancy_XP!$E$6,4)</f>
        <v>0.2855</v>
      </c>
      <c r="D392" s="6" t="n">
        <f aca="false">ROUND(Veterancy_XP!$E$5*C392,1)</f>
        <v>285.5</v>
      </c>
      <c r="E392" s="6" t="n">
        <f aca="false">ROUND(B392/D392,2)</f>
        <v>1.23</v>
      </c>
      <c r="F392" s="6" t="n">
        <f aca="false">ROUND(F391+E392,2)</f>
        <v>338.33</v>
      </c>
    </row>
    <row r="393" customFormat="false" ht="15" hidden="false" customHeight="true" outlineLevel="0" collapsed="false">
      <c r="A393" s="6" t="n">
        <v>391</v>
      </c>
      <c r="B393" s="6" t="n">
        <f aca="false">ROUND(Veterancy_XP!$B$5*(A393+1)^Veterancy_XP!$B$6,0)</f>
        <v>350</v>
      </c>
      <c r="C393" s="6" t="n">
        <f aca="false">ROUND(1/(A393+1)^Veterancy_XP!$E$6,4)</f>
        <v>0.2854</v>
      </c>
      <c r="D393" s="6" t="n">
        <f aca="false">ROUND(Veterancy_XP!$E$5*C393,1)</f>
        <v>285.4</v>
      </c>
      <c r="E393" s="6" t="n">
        <f aca="false">ROUND(B393/D393,2)</f>
        <v>1.23</v>
      </c>
      <c r="F393" s="6" t="n">
        <f aca="false">ROUND(F392+E393,2)</f>
        <v>339.56</v>
      </c>
    </row>
    <row r="394" customFormat="false" ht="15" hidden="false" customHeight="true" outlineLevel="0" collapsed="false">
      <c r="A394" s="6" t="n">
        <v>392</v>
      </c>
      <c r="B394" s="6" t="n">
        <f aca="false">ROUND(Veterancy_XP!$B$5*(A394+1)^Veterancy_XP!$B$6,0)</f>
        <v>351</v>
      </c>
      <c r="C394" s="6" t="n">
        <f aca="false">ROUND(1/(A394+1)^Veterancy_XP!$E$6,4)</f>
        <v>0.2852</v>
      </c>
      <c r="D394" s="6" t="n">
        <f aca="false">ROUND(Veterancy_XP!$E$5*C394,1)</f>
        <v>285.2</v>
      </c>
      <c r="E394" s="6" t="n">
        <f aca="false">ROUND(B394/D394,2)</f>
        <v>1.23</v>
      </c>
      <c r="F394" s="6" t="n">
        <f aca="false">ROUND(F393+E394,2)</f>
        <v>340.79</v>
      </c>
    </row>
    <row r="395" customFormat="false" ht="15" hidden="false" customHeight="true" outlineLevel="0" collapsed="false">
      <c r="A395" s="6" t="n">
        <v>393</v>
      </c>
      <c r="B395" s="6" t="n">
        <f aca="false">ROUND(Veterancy_XP!$B$5*(A395+1)^Veterancy_XP!$B$6,0)</f>
        <v>351</v>
      </c>
      <c r="C395" s="6" t="n">
        <f aca="false">ROUND(1/(A395+1)^Veterancy_XP!$E$6,4)</f>
        <v>0.2851</v>
      </c>
      <c r="D395" s="6" t="n">
        <f aca="false">ROUND(Veterancy_XP!$E$5*C395,1)</f>
        <v>285.1</v>
      </c>
      <c r="E395" s="6" t="n">
        <f aca="false">ROUND(B395/D395,2)</f>
        <v>1.23</v>
      </c>
      <c r="F395" s="6" t="n">
        <f aca="false">ROUND(F394+E395,2)</f>
        <v>342.02</v>
      </c>
    </row>
    <row r="396" customFormat="false" ht="15" hidden="false" customHeight="true" outlineLevel="0" collapsed="false">
      <c r="A396" s="6" t="n">
        <v>394</v>
      </c>
      <c r="B396" s="6" t="n">
        <f aca="false">ROUND(Veterancy_XP!$B$5*(A396+1)^Veterancy_XP!$B$6,0)</f>
        <v>351</v>
      </c>
      <c r="C396" s="6" t="n">
        <f aca="false">ROUND(1/(A396+1)^Veterancy_XP!$E$6,4)</f>
        <v>0.2849</v>
      </c>
      <c r="D396" s="6" t="n">
        <f aca="false">ROUND(Veterancy_XP!$E$5*C396,1)</f>
        <v>284.9</v>
      </c>
      <c r="E396" s="6" t="n">
        <f aca="false">ROUND(B396/D396,2)</f>
        <v>1.23</v>
      </c>
      <c r="F396" s="6" t="n">
        <f aca="false">ROUND(F395+E396,2)</f>
        <v>343.25</v>
      </c>
    </row>
    <row r="397" customFormat="false" ht="15" hidden="false" customHeight="true" outlineLevel="0" collapsed="false">
      <c r="A397" s="6" t="n">
        <v>395</v>
      </c>
      <c r="B397" s="6" t="n">
        <f aca="false">ROUND(Veterancy_XP!$B$5*(A397+1)^Veterancy_XP!$B$6,0)</f>
        <v>351</v>
      </c>
      <c r="C397" s="6" t="n">
        <f aca="false">ROUND(1/(A397+1)^Veterancy_XP!$E$6,4)</f>
        <v>0.2848</v>
      </c>
      <c r="D397" s="6" t="n">
        <f aca="false">ROUND(Veterancy_XP!$E$5*C397,1)</f>
        <v>284.8</v>
      </c>
      <c r="E397" s="6" t="n">
        <f aca="false">ROUND(B397/D397,2)</f>
        <v>1.23</v>
      </c>
      <c r="F397" s="6" t="n">
        <f aca="false">ROUND(F396+E397,2)</f>
        <v>344.48</v>
      </c>
    </row>
    <row r="398" customFormat="false" ht="15" hidden="false" customHeight="true" outlineLevel="0" collapsed="false">
      <c r="A398" s="6" t="n">
        <v>396</v>
      </c>
      <c r="B398" s="6" t="n">
        <f aca="false">ROUND(Veterancy_XP!$B$5*(A398+1)^Veterancy_XP!$B$6,0)</f>
        <v>351</v>
      </c>
      <c r="C398" s="6" t="n">
        <f aca="false">ROUND(1/(A398+1)^Veterancy_XP!$E$6,4)</f>
        <v>0.2846</v>
      </c>
      <c r="D398" s="6" t="n">
        <f aca="false">ROUND(Veterancy_XP!$E$5*C398,1)</f>
        <v>284.6</v>
      </c>
      <c r="E398" s="6" t="n">
        <f aca="false">ROUND(B398/D398,2)</f>
        <v>1.23</v>
      </c>
      <c r="F398" s="6" t="n">
        <f aca="false">ROUND(F397+E398,2)</f>
        <v>345.71</v>
      </c>
    </row>
    <row r="399" customFormat="false" ht="15" hidden="false" customHeight="true" outlineLevel="0" collapsed="false">
      <c r="A399" s="6" t="n">
        <v>397</v>
      </c>
      <c r="B399" s="6" t="n">
        <f aca="false">ROUND(Veterancy_XP!$B$5*(A399+1)^Veterancy_XP!$B$6,0)</f>
        <v>352</v>
      </c>
      <c r="C399" s="6" t="n">
        <f aca="false">ROUND(1/(A399+1)^Veterancy_XP!$E$6,4)</f>
        <v>0.2845</v>
      </c>
      <c r="D399" s="6" t="n">
        <f aca="false">ROUND(Veterancy_XP!$E$5*C399,1)</f>
        <v>284.5</v>
      </c>
      <c r="E399" s="6" t="n">
        <f aca="false">ROUND(B399/D399,2)</f>
        <v>1.24</v>
      </c>
      <c r="F399" s="6" t="n">
        <f aca="false">ROUND(F398+E399,2)</f>
        <v>346.95</v>
      </c>
    </row>
    <row r="400" customFormat="false" ht="15" hidden="false" customHeight="true" outlineLevel="0" collapsed="false">
      <c r="A400" s="6" t="n">
        <v>398</v>
      </c>
      <c r="B400" s="6" t="n">
        <f aca="false">ROUND(Veterancy_XP!$B$5*(A400+1)^Veterancy_XP!$B$6,0)</f>
        <v>352</v>
      </c>
      <c r="C400" s="6" t="n">
        <f aca="false">ROUND(1/(A400+1)^Veterancy_XP!$E$6,4)</f>
        <v>0.2843</v>
      </c>
      <c r="D400" s="6" t="n">
        <f aca="false">ROUND(Veterancy_XP!$E$5*C400,1)</f>
        <v>284.3</v>
      </c>
      <c r="E400" s="6" t="n">
        <f aca="false">ROUND(B400/D400,2)</f>
        <v>1.24</v>
      </c>
      <c r="F400" s="6" t="n">
        <f aca="false">ROUND(F399+E400,2)</f>
        <v>348.19</v>
      </c>
    </row>
    <row r="401" customFormat="false" ht="15" hidden="false" customHeight="true" outlineLevel="0" collapsed="false">
      <c r="A401" s="6" t="n">
        <v>399</v>
      </c>
      <c r="B401" s="6" t="n">
        <f aca="false">ROUND(Veterancy_XP!$B$5*(A401+1)^Veterancy_XP!$B$6,0)</f>
        <v>352</v>
      </c>
      <c r="C401" s="6" t="n">
        <f aca="false">ROUND(1/(A401+1)^Veterancy_XP!$E$6,4)</f>
        <v>0.2842</v>
      </c>
      <c r="D401" s="6" t="n">
        <f aca="false">ROUND(Veterancy_XP!$E$5*C401,1)</f>
        <v>284.2</v>
      </c>
      <c r="E401" s="6" t="n">
        <f aca="false">ROUND(B401/D401,2)</f>
        <v>1.24</v>
      </c>
      <c r="F401" s="6" t="n">
        <f aca="false">ROUND(F400+E401,2)</f>
        <v>349.43</v>
      </c>
    </row>
    <row r="402" customFormat="false" ht="15" hidden="false" customHeight="true" outlineLevel="0" collapsed="false">
      <c r="A402" s="6" t="n">
        <v>400</v>
      </c>
      <c r="B402" s="6" t="n">
        <f aca="false">ROUND(Veterancy_XP!$B$5*(A402+1)^Veterancy_XP!$B$6,0)</f>
        <v>352</v>
      </c>
      <c r="C402" s="6" t="n">
        <f aca="false">ROUND(1/(A402+1)^Veterancy_XP!$E$6,4)</f>
        <v>0.284</v>
      </c>
      <c r="D402" s="6" t="n">
        <f aca="false">ROUND(Veterancy_XP!$E$5*C402,1)</f>
        <v>284</v>
      </c>
      <c r="E402" s="6" t="n">
        <f aca="false">ROUND(B402/D402,2)</f>
        <v>1.24</v>
      </c>
      <c r="F402" s="6" t="n">
        <f aca="false">ROUND(F401+E402,2)</f>
        <v>350.67</v>
      </c>
    </row>
    <row r="403" customFormat="false" ht="15" hidden="false" customHeight="true" outlineLevel="0" collapsed="false">
      <c r="A403" s="6" t="n">
        <v>401</v>
      </c>
      <c r="B403" s="6" t="n">
        <f aca="false">ROUND(Veterancy_XP!$B$5*(A403+1)^Veterancy_XP!$B$6,0)</f>
        <v>352</v>
      </c>
      <c r="C403" s="6" t="n">
        <f aca="false">ROUND(1/(A403+1)^Veterancy_XP!$E$6,4)</f>
        <v>0.2839</v>
      </c>
      <c r="D403" s="6" t="n">
        <f aca="false">ROUND(Veterancy_XP!$E$5*C403,1)</f>
        <v>283.9</v>
      </c>
      <c r="E403" s="6" t="n">
        <f aca="false">ROUND(B403/D403,2)</f>
        <v>1.24</v>
      </c>
      <c r="F403" s="6" t="n">
        <f aca="false">ROUND(F402+E403,2)</f>
        <v>351.91</v>
      </c>
    </row>
    <row r="404" customFormat="false" ht="15" hidden="false" customHeight="true" outlineLevel="0" collapsed="false">
      <c r="A404" s="6" t="n">
        <v>402</v>
      </c>
      <c r="B404" s="6" t="n">
        <f aca="false">ROUND(Veterancy_XP!$B$5*(A404+1)^Veterancy_XP!$B$6,0)</f>
        <v>352</v>
      </c>
      <c r="C404" s="6" t="n">
        <f aca="false">ROUND(1/(A404+1)^Veterancy_XP!$E$6,4)</f>
        <v>0.2837</v>
      </c>
      <c r="D404" s="6" t="n">
        <f aca="false">ROUND(Veterancy_XP!$E$5*C404,1)</f>
        <v>283.7</v>
      </c>
      <c r="E404" s="6" t="n">
        <f aca="false">ROUND(B404/D404,2)</f>
        <v>1.24</v>
      </c>
      <c r="F404" s="6" t="n">
        <f aca="false">ROUND(F403+E404,2)</f>
        <v>353.15</v>
      </c>
    </row>
    <row r="405" customFormat="false" ht="15" hidden="false" customHeight="true" outlineLevel="0" collapsed="false">
      <c r="A405" s="6" t="n">
        <v>403</v>
      </c>
      <c r="B405" s="6" t="n">
        <f aca="false">ROUND(Veterancy_XP!$B$5*(A405+1)^Veterancy_XP!$B$6,0)</f>
        <v>353</v>
      </c>
      <c r="C405" s="6" t="n">
        <f aca="false">ROUND(1/(A405+1)^Veterancy_XP!$E$6,4)</f>
        <v>0.2836</v>
      </c>
      <c r="D405" s="6" t="n">
        <f aca="false">ROUND(Veterancy_XP!$E$5*C405,1)</f>
        <v>283.6</v>
      </c>
      <c r="E405" s="6" t="n">
        <f aca="false">ROUND(B405/D405,2)</f>
        <v>1.24</v>
      </c>
      <c r="F405" s="6" t="n">
        <f aca="false">ROUND(F404+E405,2)</f>
        <v>354.39</v>
      </c>
    </row>
    <row r="406" customFormat="false" ht="15" hidden="false" customHeight="true" outlineLevel="0" collapsed="false">
      <c r="A406" s="6" t="n">
        <v>404</v>
      </c>
      <c r="B406" s="6" t="n">
        <f aca="false">ROUND(Veterancy_XP!$B$5*(A406+1)^Veterancy_XP!$B$6,0)</f>
        <v>353</v>
      </c>
      <c r="C406" s="6" t="n">
        <f aca="false">ROUND(1/(A406+1)^Veterancy_XP!$E$6,4)</f>
        <v>0.2834</v>
      </c>
      <c r="D406" s="6" t="n">
        <f aca="false">ROUND(Veterancy_XP!$E$5*C406,1)</f>
        <v>283.4</v>
      </c>
      <c r="E406" s="6" t="n">
        <f aca="false">ROUND(B406/D406,2)</f>
        <v>1.25</v>
      </c>
      <c r="F406" s="6" t="n">
        <f aca="false">ROUND(F405+E406,2)</f>
        <v>355.64</v>
      </c>
    </row>
    <row r="407" customFormat="false" ht="15" hidden="false" customHeight="true" outlineLevel="0" collapsed="false">
      <c r="A407" s="6" t="n">
        <v>405</v>
      </c>
      <c r="B407" s="6" t="n">
        <f aca="false">ROUND(Veterancy_XP!$B$5*(A407+1)^Veterancy_XP!$B$6,0)</f>
        <v>353</v>
      </c>
      <c r="C407" s="6" t="n">
        <f aca="false">ROUND(1/(A407+1)^Veterancy_XP!$E$6,4)</f>
        <v>0.2833</v>
      </c>
      <c r="D407" s="6" t="n">
        <f aca="false">ROUND(Veterancy_XP!$E$5*C407,1)</f>
        <v>283.3</v>
      </c>
      <c r="E407" s="6" t="n">
        <f aca="false">ROUND(B407/D407,2)</f>
        <v>1.25</v>
      </c>
      <c r="F407" s="6" t="n">
        <f aca="false">ROUND(F406+E407,2)</f>
        <v>356.89</v>
      </c>
    </row>
    <row r="408" customFormat="false" ht="15" hidden="false" customHeight="true" outlineLevel="0" collapsed="false">
      <c r="A408" s="6" t="n">
        <v>406</v>
      </c>
      <c r="B408" s="6" t="n">
        <f aca="false">ROUND(Veterancy_XP!$B$5*(A408+1)^Veterancy_XP!$B$6,0)</f>
        <v>353</v>
      </c>
      <c r="C408" s="6" t="n">
        <f aca="false">ROUND(1/(A408+1)^Veterancy_XP!$E$6,4)</f>
        <v>0.2831</v>
      </c>
      <c r="D408" s="6" t="n">
        <f aca="false">ROUND(Veterancy_XP!$E$5*C408,1)</f>
        <v>283.1</v>
      </c>
      <c r="E408" s="6" t="n">
        <f aca="false">ROUND(B408/D408,2)</f>
        <v>1.25</v>
      </c>
      <c r="F408" s="6" t="n">
        <f aca="false">ROUND(F407+E408,2)</f>
        <v>358.14</v>
      </c>
    </row>
    <row r="409" customFormat="false" ht="15" hidden="false" customHeight="true" outlineLevel="0" collapsed="false">
      <c r="A409" s="6" t="n">
        <v>407</v>
      </c>
      <c r="B409" s="6" t="n">
        <f aca="false">ROUND(Veterancy_XP!$B$5*(A409+1)^Veterancy_XP!$B$6,0)</f>
        <v>353</v>
      </c>
      <c r="C409" s="6" t="n">
        <f aca="false">ROUND(1/(A409+1)^Veterancy_XP!$E$6,4)</f>
        <v>0.283</v>
      </c>
      <c r="D409" s="6" t="n">
        <f aca="false">ROUND(Veterancy_XP!$E$5*C409,1)</f>
        <v>283</v>
      </c>
      <c r="E409" s="6" t="n">
        <f aca="false">ROUND(B409/D409,2)</f>
        <v>1.25</v>
      </c>
      <c r="F409" s="6" t="n">
        <f aca="false">ROUND(F408+E409,2)</f>
        <v>359.39</v>
      </c>
    </row>
    <row r="410" customFormat="false" ht="15" hidden="false" customHeight="true" outlineLevel="0" collapsed="false">
      <c r="A410" s="6" t="n">
        <v>408</v>
      </c>
      <c r="B410" s="6" t="n">
        <f aca="false">ROUND(Veterancy_XP!$B$5*(A410+1)^Veterancy_XP!$B$6,0)</f>
        <v>354</v>
      </c>
      <c r="C410" s="6" t="n">
        <f aca="false">ROUND(1/(A410+1)^Veterancy_XP!$E$6,4)</f>
        <v>0.2828</v>
      </c>
      <c r="D410" s="6" t="n">
        <f aca="false">ROUND(Veterancy_XP!$E$5*C410,1)</f>
        <v>282.8</v>
      </c>
      <c r="E410" s="6" t="n">
        <f aca="false">ROUND(B410/D410,2)</f>
        <v>1.25</v>
      </c>
      <c r="F410" s="6" t="n">
        <f aca="false">ROUND(F409+E410,2)</f>
        <v>360.64</v>
      </c>
    </row>
    <row r="411" customFormat="false" ht="15" hidden="false" customHeight="true" outlineLevel="0" collapsed="false">
      <c r="A411" s="6" t="n">
        <v>409</v>
      </c>
      <c r="B411" s="6" t="n">
        <f aca="false">ROUND(Veterancy_XP!$B$5*(A411+1)^Veterancy_XP!$B$6,0)</f>
        <v>354</v>
      </c>
      <c r="C411" s="6" t="n">
        <f aca="false">ROUND(1/(A411+1)^Veterancy_XP!$E$6,4)</f>
        <v>0.2827</v>
      </c>
      <c r="D411" s="6" t="n">
        <f aca="false">ROUND(Veterancy_XP!$E$5*C411,1)</f>
        <v>282.7</v>
      </c>
      <c r="E411" s="6" t="n">
        <f aca="false">ROUND(B411/D411,2)</f>
        <v>1.25</v>
      </c>
      <c r="F411" s="6" t="n">
        <f aca="false">ROUND(F410+E411,2)</f>
        <v>361.89</v>
      </c>
    </row>
    <row r="412" customFormat="false" ht="15" hidden="false" customHeight="true" outlineLevel="0" collapsed="false">
      <c r="A412" s="6" t="n">
        <v>410</v>
      </c>
      <c r="B412" s="6" t="n">
        <f aca="false">ROUND(Veterancy_XP!$B$5*(A412+1)^Veterancy_XP!$B$6,0)</f>
        <v>354</v>
      </c>
      <c r="C412" s="6" t="n">
        <f aca="false">ROUND(1/(A412+1)^Veterancy_XP!$E$6,4)</f>
        <v>0.2825</v>
      </c>
      <c r="D412" s="6" t="n">
        <f aca="false">ROUND(Veterancy_XP!$E$5*C412,1)</f>
        <v>282.5</v>
      </c>
      <c r="E412" s="6" t="n">
        <f aca="false">ROUND(B412/D412,2)</f>
        <v>1.25</v>
      </c>
      <c r="F412" s="6" t="n">
        <f aca="false">ROUND(F411+E412,2)</f>
        <v>363.14</v>
      </c>
    </row>
    <row r="413" customFormat="false" ht="15" hidden="false" customHeight="true" outlineLevel="0" collapsed="false">
      <c r="A413" s="6" t="n">
        <v>411</v>
      </c>
      <c r="B413" s="6" t="n">
        <f aca="false">ROUND(Veterancy_XP!$B$5*(A413+1)^Veterancy_XP!$B$6,0)</f>
        <v>354</v>
      </c>
      <c r="C413" s="6" t="n">
        <f aca="false">ROUND(1/(A413+1)^Veterancy_XP!$E$6,4)</f>
        <v>0.2824</v>
      </c>
      <c r="D413" s="6" t="n">
        <f aca="false">ROUND(Veterancy_XP!$E$5*C413,1)</f>
        <v>282.4</v>
      </c>
      <c r="E413" s="6" t="n">
        <f aca="false">ROUND(B413/D413,2)</f>
        <v>1.25</v>
      </c>
      <c r="F413" s="6" t="n">
        <f aca="false">ROUND(F412+E413,2)</f>
        <v>364.39</v>
      </c>
    </row>
    <row r="414" customFormat="false" ht="15" hidden="false" customHeight="true" outlineLevel="0" collapsed="false">
      <c r="A414" s="6" t="n">
        <v>412</v>
      </c>
      <c r="B414" s="6" t="n">
        <f aca="false">ROUND(Veterancy_XP!$B$5*(A414+1)^Veterancy_XP!$B$6,0)</f>
        <v>354</v>
      </c>
      <c r="C414" s="6" t="n">
        <f aca="false">ROUND(1/(A414+1)^Veterancy_XP!$E$6,4)</f>
        <v>0.2823</v>
      </c>
      <c r="D414" s="6" t="n">
        <f aca="false">ROUND(Veterancy_XP!$E$5*C414,1)</f>
        <v>282.3</v>
      </c>
      <c r="E414" s="6" t="n">
        <f aca="false">ROUND(B414/D414,2)</f>
        <v>1.25</v>
      </c>
      <c r="F414" s="6" t="n">
        <f aca="false">ROUND(F413+E414,2)</f>
        <v>365.64</v>
      </c>
    </row>
    <row r="415" customFormat="false" ht="15" hidden="false" customHeight="true" outlineLevel="0" collapsed="false">
      <c r="A415" s="6" t="n">
        <v>413</v>
      </c>
      <c r="B415" s="6" t="n">
        <f aca="false">ROUND(Veterancy_XP!$B$5*(A415+1)^Veterancy_XP!$B$6,0)</f>
        <v>354</v>
      </c>
      <c r="C415" s="6" t="n">
        <f aca="false">ROUND(1/(A415+1)^Veterancy_XP!$E$6,4)</f>
        <v>0.2821</v>
      </c>
      <c r="D415" s="6" t="n">
        <f aca="false">ROUND(Veterancy_XP!$E$5*C415,1)</f>
        <v>282.1</v>
      </c>
      <c r="E415" s="6" t="n">
        <f aca="false">ROUND(B415/D415,2)</f>
        <v>1.25</v>
      </c>
      <c r="F415" s="6" t="n">
        <f aca="false">ROUND(F414+E415,2)</f>
        <v>366.89</v>
      </c>
    </row>
    <row r="416" customFormat="false" ht="15" hidden="false" customHeight="true" outlineLevel="0" collapsed="false">
      <c r="A416" s="6" t="n">
        <v>414</v>
      </c>
      <c r="B416" s="6" t="n">
        <f aca="false">ROUND(Veterancy_XP!$B$5*(A416+1)^Veterancy_XP!$B$6,0)</f>
        <v>355</v>
      </c>
      <c r="C416" s="6" t="n">
        <f aca="false">ROUND(1/(A416+1)^Veterancy_XP!$E$6,4)</f>
        <v>0.282</v>
      </c>
      <c r="D416" s="6" t="n">
        <f aca="false">ROUND(Veterancy_XP!$E$5*C416,1)</f>
        <v>282</v>
      </c>
      <c r="E416" s="6" t="n">
        <f aca="false">ROUND(B416/D416,2)</f>
        <v>1.26</v>
      </c>
      <c r="F416" s="6" t="n">
        <f aca="false">ROUND(F415+E416,2)</f>
        <v>368.15</v>
      </c>
    </row>
    <row r="417" customFormat="false" ht="15" hidden="false" customHeight="true" outlineLevel="0" collapsed="false">
      <c r="A417" s="6" t="n">
        <v>415</v>
      </c>
      <c r="B417" s="6" t="n">
        <f aca="false">ROUND(Veterancy_XP!$B$5*(A417+1)^Veterancy_XP!$B$6,0)</f>
        <v>355</v>
      </c>
      <c r="C417" s="6" t="n">
        <f aca="false">ROUND(1/(A417+1)^Veterancy_XP!$E$6,4)</f>
        <v>0.2818</v>
      </c>
      <c r="D417" s="6" t="n">
        <f aca="false">ROUND(Veterancy_XP!$E$5*C417,1)</f>
        <v>281.8</v>
      </c>
      <c r="E417" s="6" t="n">
        <f aca="false">ROUND(B417/D417,2)</f>
        <v>1.26</v>
      </c>
      <c r="F417" s="6" t="n">
        <f aca="false">ROUND(F416+E417,2)</f>
        <v>369.41</v>
      </c>
    </row>
    <row r="418" customFormat="false" ht="15" hidden="false" customHeight="true" outlineLevel="0" collapsed="false">
      <c r="A418" s="6" t="n">
        <v>416</v>
      </c>
      <c r="B418" s="6" t="n">
        <f aca="false">ROUND(Veterancy_XP!$B$5*(A418+1)^Veterancy_XP!$B$6,0)</f>
        <v>355</v>
      </c>
      <c r="C418" s="6" t="n">
        <f aca="false">ROUND(1/(A418+1)^Veterancy_XP!$E$6,4)</f>
        <v>0.2817</v>
      </c>
      <c r="D418" s="6" t="n">
        <f aca="false">ROUND(Veterancy_XP!$E$5*C418,1)</f>
        <v>281.7</v>
      </c>
      <c r="E418" s="6" t="n">
        <f aca="false">ROUND(B418/D418,2)</f>
        <v>1.26</v>
      </c>
      <c r="F418" s="6" t="n">
        <f aca="false">ROUND(F417+E418,2)</f>
        <v>370.67</v>
      </c>
    </row>
    <row r="419" customFormat="false" ht="15" hidden="false" customHeight="true" outlineLevel="0" collapsed="false">
      <c r="A419" s="6" t="n">
        <v>417</v>
      </c>
      <c r="B419" s="6" t="n">
        <f aca="false">ROUND(Veterancy_XP!$B$5*(A419+1)^Veterancy_XP!$B$6,0)</f>
        <v>355</v>
      </c>
      <c r="C419" s="6" t="n">
        <f aca="false">ROUND(1/(A419+1)^Veterancy_XP!$E$6,4)</f>
        <v>0.2815</v>
      </c>
      <c r="D419" s="6" t="n">
        <f aca="false">ROUND(Veterancy_XP!$E$5*C419,1)</f>
        <v>281.5</v>
      </c>
      <c r="E419" s="6" t="n">
        <f aca="false">ROUND(B419/D419,2)</f>
        <v>1.26</v>
      </c>
      <c r="F419" s="6" t="n">
        <f aca="false">ROUND(F418+E419,2)</f>
        <v>371.93</v>
      </c>
    </row>
    <row r="420" customFormat="false" ht="15" hidden="false" customHeight="true" outlineLevel="0" collapsed="false">
      <c r="A420" s="6" t="n">
        <v>418</v>
      </c>
      <c r="B420" s="6" t="n">
        <f aca="false">ROUND(Veterancy_XP!$B$5*(A420+1)^Veterancy_XP!$B$6,0)</f>
        <v>355</v>
      </c>
      <c r="C420" s="6" t="n">
        <f aca="false">ROUND(1/(A420+1)^Veterancy_XP!$E$6,4)</f>
        <v>0.2814</v>
      </c>
      <c r="D420" s="6" t="n">
        <f aca="false">ROUND(Veterancy_XP!$E$5*C420,1)</f>
        <v>281.4</v>
      </c>
      <c r="E420" s="6" t="n">
        <f aca="false">ROUND(B420/D420,2)</f>
        <v>1.26</v>
      </c>
      <c r="F420" s="6" t="n">
        <f aca="false">ROUND(F419+E420,2)</f>
        <v>373.19</v>
      </c>
    </row>
    <row r="421" customFormat="false" ht="15" hidden="false" customHeight="true" outlineLevel="0" collapsed="false">
      <c r="A421" s="6" t="n">
        <v>419</v>
      </c>
      <c r="B421" s="6" t="n">
        <f aca="false">ROUND(Veterancy_XP!$B$5*(A421+1)^Veterancy_XP!$B$6,0)</f>
        <v>356</v>
      </c>
      <c r="C421" s="6" t="n">
        <f aca="false">ROUND(1/(A421+1)^Veterancy_XP!$E$6,4)</f>
        <v>0.2813</v>
      </c>
      <c r="D421" s="6" t="n">
        <f aca="false">ROUND(Veterancy_XP!$E$5*C421,1)</f>
        <v>281.3</v>
      </c>
      <c r="E421" s="6" t="n">
        <f aca="false">ROUND(B421/D421,2)</f>
        <v>1.27</v>
      </c>
      <c r="F421" s="6" t="n">
        <f aca="false">ROUND(F420+E421,2)</f>
        <v>374.46</v>
      </c>
    </row>
    <row r="422" customFormat="false" ht="15" hidden="false" customHeight="true" outlineLevel="0" collapsed="false">
      <c r="A422" s="6" t="n">
        <v>420</v>
      </c>
      <c r="B422" s="6" t="n">
        <f aca="false">ROUND(Veterancy_XP!$B$5*(A422+1)^Veterancy_XP!$B$6,0)</f>
        <v>356</v>
      </c>
      <c r="C422" s="6" t="n">
        <f aca="false">ROUND(1/(A422+1)^Veterancy_XP!$E$6,4)</f>
        <v>0.2811</v>
      </c>
      <c r="D422" s="6" t="n">
        <f aca="false">ROUND(Veterancy_XP!$E$5*C422,1)</f>
        <v>281.1</v>
      </c>
      <c r="E422" s="6" t="n">
        <f aca="false">ROUND(B422/D422,2)</f>
        <v>1.27</v>
      </c>
      <c r="F422" s="6" t="n">
        <f aca="false">ROUND(F421+E422,2)</f>
        <v>375.73</v>
      </c>
    </row>
    <row r="423" customFormat="false" ht="15" hidden="false" customHeight="true" outlineLevel="0" collapsed="false">
      <c r="A423" s="6" t="n">
        <v>421</v>
      </c>
      <c r="B423" s="6" t="n">
        <f aca="false">ROUND(Veterancy_XP!$B$5*(A423+1)^Veterancy_XP!$B$6,0)</f>
        <v>356</v>
      </c>
      <c r="C423" s="6" t="n">
        <f aca="false">ROUND(1/(A423+1)^Veterancy_XP!$E$6,4)</f>
        <v>0.281</v>
      </c>
      <c r="D423" s="6" t="n">
        <f aca="false">ROUND(Veterancy_XP!$E$5*C423,1)</f>
        <v>281</v>
      </c>
      <c r="E423" s="6" t="n">
        <f aca="false">ROUND(B423/D423,2)</f>
        <v>1.27</v>
      </c>
      <c r="F423" s="6" t="n">
        <f aca="false">ROUND(F422+E423,2)</f>
        <v>377</v>
      </c>
    </row>
    <row r="424" customFormat="false" ht="15" hidden="false" customHeight="true" outlineLevel="0" collapsed="false">
      <c r="A424" s="6" t="n">
        <v>422</v>
      </c>
      <c r="B424" s="6" t="n">
        <f aca="false">ROUND(Veterancy_XP!$B$5*(A424+1)^Veterancy_XP!$B$6,0)</f>
        <v>356</v>
      </c>
      <c r="C424" s="6" t="n">
        <f aca="false">ROUND(1/(A424+1)^Veterancy_XP!$E$6,4)</f>
        <v>0.2808</v>
      </c>
      <c r="D424" s="6" t="n">
        <f aca="false">ROUND(Veterancy_XP!$E$5*C424,1)</f>
        <v>280.8</v>
      </c>
      <c r="E424" s="6" t="n">
        <f aca="false">ROUND(B424/D424,2)</f>
        <v>1.27</v>
      </c>
      <c r="F424" s="6" t="n">
        <f aca="false">ROUND(F423+E424,2)</f>
        <v>378.27</v>
      </c>
    </row>
    <row r="425" customFormat="false" ht="15" hidden="false" customHeight="true" outlineLevel="0" collapsed="false">
      <c r="A425" s="6" t="n">
        <v>423</v>
      </c>
      <c r="B425" s="6" t="n">
        <f aca="false">ROUND(Veterancy_XP!$B$5*(A425+1)^Veterancy_XP!$B$6,0)</f>
        <v>356</v>
      </c>
      <c r="C425" s="6" t="n">
        <f aca="false">ROUND(1/(A425+1)^Veterancy_XP!$E$6,4)</f>
        <v>0.2807</v>
      </c>
      <c r="D425" s="6" t="n">
        <f aca="false">ROUND(Veterancy_XP!$E$5*C425,1)</f>
        <v>280.7</v>
      </c>
      <c r="E425" s="6" t="n">
        <f aca="false">ROUND(B425/D425,2)</f>
        <v>1.27</v>
      </c>
      <c r="F425" s="6" t="n">
        <f aca="false">ROUND(F424+E425,2)</f>
        <v>379.54</v>
      </c>
    </row>
    <row r="426" customFormat="false" ht="15" hidden="false" customHeight="true" outlineLevel="0" collapsed="false">
      <c r="A426" s="6" t="n">
        <v>424</v>
      </c>
      <c r="B426" s="6" t="n">
        <f aca="false">ROUND(Veterancy_XP!$B$5*(A426+1)^Veterancy_XP!$B$6,0)</f>
        <v>356</v>
      </c>
      <c r="C426" s="6" t="n">
        <f aca="false">ROUND(1/(A426+1)^Veterancy_XP!$E$6,4)</f>
        <v>0.2806</v>
      </c>
      <c r="D426" s="6" t="n">
        <f aca="false">ROUND(Veterancy_XP!$E$5*C426,1)</f>
        <v>280.6</v>
      </c>
      <c r="E426" s="6" t="n">
        <f aca="false">ROUND(B426/D426,2)</f>
        <v>1.27</v>
      </c>
      <c r="F426" s="6" t="n">
        <f aca="false">ROUND(F425+E426,2)</f>
        <v>380.81</v>
      </c>
    </row>
    <row r="427" customFormat="false" ht="15" hidden="false" customHeight="true" outlineLevel="0" collapsed="false">
      <c r="A427" s="6" t="n">
        <v>425</v>
      </c>
      <c r="B427" s="6" t="n">
        <f aca="false">ROUND(Veterancy_XP!$B$5*(A427+1)^Veterancy_XP!$B$6,0)</f>
        <v>357</v>
      </c>
      <c r="C427" s="6" t="n">
        <f aca="false">ROUND(1/(A427+1)^Veterancy_XP!$E$6,4)</f>
        <v>0.2804</v>
      </c>
      <c r="D427" s="6" t="n">
        <f aca="false">ROUND(Veterancy_XP!$E$5*C427,1)</f>
        <v>280.4</v>
      </c>
      <c r="E427" s="6" t="n">
        <f aca="false">ROUND(B427/D427,2)</f>
        <v>1.27</v>
      </c>
      <c r="F427" s="6" t="n">
        <f aca="false">ROUND(F426+E427,2)</f>
        <v>382.08</v>
      </c>
    </row>
    <row r="428" customFormat="false" ht="15" hidden="false" customHeight="true" outlineLevel="0" collapsed="false">
      <c r="A428" s="6" t="n">
        <v>426</v>
      </c>
      <c r="B428" s="6" t="n">
        <f aca="false">ROUND(Veterancy_XP!$B$5*(A428+1)^Veterancy_XP!$B$6,0)</f>
        <v>357</v>
      </c>
      <c r="C428" s="6" t="n">
        <f aca="false">ROUND(1/(A428+1)^Veterancy_XP!$E$6,4)</f>
        <v>0.2803</v>
      </c>
      <c r="D428" s="6" t="n">
        <f aca="false">ROUND(Veterancy_XP!$E$5*C428,1)</f>
        <v>280.3</v>
      </c>
      <c r="E428" s="6" t="n">
        <f aca="false">ROUND(B428/D428,2)</f>
        <v>1.27</v>
      </c>
      <c r="F428" s="6" t="n">
        <f aca="false">ROUND(F427+E428,2)</f>
        <v>383.35</v>
      </c>
    </row>
    <row r="429" customFormat="false" ht="15" hidden="false" customHeight="true" outlineLevel="0" collapsed="false">
      <c r="A429" s="6" t="n">
        <v>427</v>
      </c>
      <c r="B429" s="6" t="n">
        <f aca="false">ROUND(Veterancy_XP!$B$5*(A429+1)^Veterancy_XP!$B$6,0)</f>
        <v>357</v>
      </c>
      <c r="C429" s="6" t="n">
        <f aca="false">ROUND(1/(A429+1)^Veterancy_XP!$E$6,4)</f>
        <v>0.2802</v>
      </c>
      <c r="D429" s="6" t="n">
        <f aca="false">ROUND(Veterancy_XP!$E$5*C429,1)</f>
        <v>280.2</v>
      </c>
      <c r="E429" s="6" t="n">
        <f aca="false">ROUND(B429/D429,2)</f>
        <v>1.27</v>
      </c>
      <c r="F429" s="6" t="n">
        <f aca="false">ROUND(F428+E429,2)</f>
        <v>384.62</v>
      </c>
    </row>
    <row r="430" customFormat="false" ht="15" hidden="false" customHeight="true" outlineLevel="0" collapsed="false">
      <c r="A430" s="6" t="n">
        <v>428</v>
      </c>
      <c r="B430" s="6" t="n">
        <f aca="false">ROUND(Veterancy_XP!$B$5*(A430+1)^Veterancy_XP!$B$6,0)</f>
        <v>357</v>
      </c>
      <c r="C430" s="6" t="n">
        <f aca="false">ROUND(1/(A430+1)^Veterancy_XP!$E$6,4)</f>
        <v>0.28</v>
      </c>
      <c r="D430" s="6" t="n">
        <f aca="false">ROUND(Veterancy_XP!$E$5*C430,1)</f>
        <v>280</v>
      </c>
      <c r="E430" s="6" t="n">
        <f aca="false">ROUND(B430/D430,2)</f>
        <v>1.28</v>
      </c>
      <c r="F430" s="6" t="n">
        <f aca="false">ROUND(F429+E430,2)</f>
        <v>385.9</v>
      </c>
    </row>
    <row r="431" customFormat="false" ht="15" hidden="false" customHeight="true" outlineLevel="0" collapsed="false">
      <c r="A431" s="6" t="n">
        <v>429</v>
      </c>
      <c r="B431" s="6" t="n">
        <f aca="false">ROUND(Veterancy_XP!$B$5*(A431+1)^Veterancy_XP!$B$6,0)</f>
        <v>357</v>
      </c>
      <c r="C431" s="6" t="n">
        <f aca="false">ROUND(1/(A431+1)^Veterancy_XP!$E$6,4)</f>
        <v>0.2799</v>
      </c>
      <c r="D431" s="6" t="n">
        <f aca="false">ROUND(Veterancy_XP!$E$5*C431,1)</f>
        <v>279.9</v>
      </c>
      <c r="E431" s="6" t="n">
        <f aca="false">ROUND(B431/D431,2)</f>
        <v>1.28</v>
      </c>
      <c r="F431" s="6" t="n">
        <f aca="false">ROUND(F430+E431,2)</f>
        <v>387.18</v>
      </c>
    </row>
    <row r="432" customFormat="false" ht="15" hidden="false" customHeight="true" outlineLevel="0" collapsed="false">
      <c r="A432" s="6" t="n">
        <v>430</v>
      </c>
      <c r="B432" s="6" t="n">
        <f aca="false">ROUND(Veterancy_XP!$B$5*(A432+1)^Veterancy_XP!$B$6,0)</f>
        <v>357</v>
      </c>
      <c r="C432" s="6" t="n">
        <f aca="false">ROUND(1/(A432+1)^Veterancy_XP!$E$6,4)</f>
        <v>0.2797</v>
      </c>
      <c r="D432" s="6" t="n">
        <f aca="false">ROUND(Veterancy_XP!$E$5*C432,1)</f>
        <v>279.7</v>
      </c>
      <c r="E432" s="6" t="n">
        <f aca="false">ROUND(B432/D432,2)</f>
        <v>1.28</v>
      </c>
      <c r="F432" s="6" t="n">
        <f aca="false">ROUND(F431+E432,2)</f>
        <v>388.46</v>
      </c>
    </row>
    <row r="433" customFormat="false" ht="15" hidden="false" customHeight="true" outlineLevel="0" collapsed="false">
      <c r="A433" s="6" t="n">
        <v>431</v>
      </c>
      <c r="B433" s="6" t="n">
        <f aca="false">ROUND(Veterancy_XP!$B$5*(A433+1)^Veterancy_XP!$B$6,0)</f>
        <v>358</v>
      </c>
      <c r="C433" s="6" t="n">
        <f aca="false">ROUND(1/(A433+1)^Veterancy_XP!$E$6,4)</f>
        <v>0.2796</v>
      </c>
      <c r="D433" s="6" t="n">
        <f aca="false">ROUND(Veterancy_XP!$E$5*C433,1)</f>
        <v>279.6</v>
      </c>
      <c r="E433" s="6" t="n">
        <f aca="false">ROUND(B433/D433,2)</f>
        <v>1.28</v>
      </c>
      <c r="F433" s="6" t="n">
        <f aca="false">ROUND(F432+E433,2)</f>
        <v>389.74</v>
      </c>
    </row>
    <row r="434" customFormat="false" ht="15" hidden="false" customHeight="true" outlineLevel="0" collapsed="false">
      <c r="A434" s="6" t="n">
        <v>432</v>
      </c>
      <c r="B434" s="6" t="n">
        <f aca="false">ROUND(Veterancy_XP!$B$5*(A434+1)^Veterancy_XP!$B$6,0)</f>
        <v>358</v>
      </c>
      <c r="C434" s="6" t="n">
        <f aca="false">ROUND(1/(A434+1)^Veterancy_XP!$E$6,4)</f>
        <v>0.2795</v>
      </c>
      <c r="D434" s="6" t="n">
        <f aca="false">ROUND(Veterancy_XP!$E$5*C434,1)</f>
        <v>279.5</v>
      </c>
      <c r="E434" s="6" t="n">
        <f aca="false">ROUND(B434/D434,2)</f>
        <v>1.28</v>
      </c>
      <c r="F434" s="6" t="n">
        <f aca="false">ROUND(F433+E434,2)</f>
        <v>391.02</v>
      </c>
    </row>
    <row r="435" customFormat="false" ht="15" hidden="false" customHeight="true" outlineLevel="0" collapsed="false">
      <c r="A435" s="6" t="n">
        <v>433</v>
      </c>
      <c r="B435" s="6" t="n">
        <f aca="false">ROUND(Veterancy_XP!$B$5*(A435+1)^Veterancy_XP!$B$6,0)</f>
        <v>358</v>
      </c>
      <c r="C435" s="6" t="n">
        <f aca="false">ROUND(1/(A435+1)^Veterancy_XP!$E$6,4)</f>
        <v>0.2793</v>
      </c>
      <c r="D435" s="6" t="n">
        <f aca="false">ROUND(Veterancy_XP!$E$5*C435,1)</f>
        <v>279.3</v>
      </c>
      <c r="E435" s="6" t="n">
        <f aca="false">ROUND(B435/D435,2)</f>
        <v>1.28</v>
      </c>
      <c r="F435" s="6" t="n">
        <f aca="false">ROUND(F434+E435,2)</f>
        <v>392.3</v>
      </c>
    </row>
    <row r="436" customFormat="false" ht="15" hidden="false" customHeight="true" outlineLevel="0" collapsed="false">
      <c r="A436" s="6" t="n">
        <v>434</v>
      </c>
      <c r="B436" s="6" t="n">
        <f aca="false">ROUND(Veterancy_XP!$B$5*(A436+1)^Veterancy_XP!$B$6,0)</f>
        <v>358</v>
      </c>
      <c r="C436" s="6" t="n">
        <f aca="false">ROUND(1/(A436+1)^Veterancy_XP!$E$6,4)</f>
        <v>0.2792</v>
      </c>
      <c r="D436" s="6" t="n">
        <f aca="false">ROUND(Veterancy_XP!$E$5*C436,1)</f>
        <v>279.2</v>
      </c>
      <c r="E436" s="6" t="n">
        <f aca="false">ROUND(B436/D436,2)</f>
        <v>1.28</v>
      </c>
      <c r="F436" s="6" t="n">
        <f aca="false">ROUND(F435+E436,2)</f>
        <v>393.58</v>
      </c>
    </row>
    <row r="437" customFormat="false" ht="15" hidden="false" customHeight="true" outlineLevel="0" collapsed="false">
      <c r="A437" s="6" t="n">
        <v>435</v>
      </c>
      <c r="B437" s="6" t="n">
        <f aca="false">ROUND(Veterancy_XP!$B$5*(A437+1)^Veterancy_XP!$B$6,0)</f>
        <v>358</v>
      </c>
      <c r="C437" s="6" t="n">
        <f aca="false">ROUND(1/(A437+1)^Veterancy_XP!$E$6,4)</f>
        <v>0.2791</v>
      </c>
      <c r="D437" s="6" t="n">
        <f aca="false">ROUND(Veterancy_XP!$E$5*C437,1)</f>
        <v>279.1</v>
      </c>
      <c r="E437" s="6" t="n">
        <f aca="false">ROUND(B437/D437,2)</f>
        <v>1.28</v>
      </c>
      <c r="F437" s="6" t="n">
        <f aca="false">ROUND(F436+E437,2)</f>
        <v>394.86</v>
      </c>
    </row>
    <row r="438" customFormat="false" ht="15" hidden="false" customHeight="true" outlineLevel="0" collapsed="false">
      <c r="A438" s="6" t="n">
        <v>436</v>
      </c>
      <c r="B438" s="6" t="n">
        <f aca="false">ROUND(Veterancy_XP!$B$5*(A438+1)^Veterancy_XP!$B$6,0)</f>
        <v>359</v>
      </c>
      <c r="C438" s="6" t="n">
        <f aca="false">ROUND(1/(A438+1)^Veterancy_XP!$E$6,4)</f>
        <v>0.2789</v>
      </c>
      <c r="D438" s="6" t="n">
        <f aca="false">ROUND(Veterancy_XP!$E$5*C438,1)</f>
        <v>278.9</v>
      </c>
      <c r="E438" s="6" t="n">
        <f aca="false">ROUND(B438/D438,2)</f>
        <v>1.29</v>
      </c>
      <c r="F438" s="6" t="n">
        <f aca="false">ROUND(F437+E438,2)</f>
        <v>396.15</v>
      </c>
    </row>
    <row r="439" customFormat="false" ht="15" hidden="false" customHeight="true" outlineLevel="0" collapsed="false">
      <c r="A439" s="6" t="n">
        <v>437</v>
      </c>
      <c r="B439" s="6" t="n">
        <f aca="false">ROUND(Veterancy_XP!$B$5*(A439+1)^Veterancy_XP!$B$6,0)</f>
        <v>359</v>
      </c>
      <c r="C439" s="6" t="n">
        <f aca="false">ROUND(1/(A439+1)^Veterancy_XP!$E$6,4)</f>
        <v>0.2788</v>
      </c>
      <c r="D439" s="6" t="n">
        <f aca="false">ROUND(Veterancy_XP!$E$5*C439,1)</f>
        <v>278.8</v>
      </c>
      <c r="E439" s="6" t="n">
        <f aca="false">ROUND(B439/D439,2)</f>
        <v>1.29</v>
      </c>
      <c r="F439" s="6" t="n">
        <f aca="false">ROUND(F438+E439,2)</f>
        <v>397.44</v>
      </c>
    </row>
    <row r="440" customFormat="false" ht="15" hidden="false" customHeight="true" outlineLevel="0" collapsed="false">
      <c r="A440" s="6" t="n">
        <v>438</v>
      </c>
      <c r="B440" s="6" t="n">
        <f aca="false">ROUND(Veterancy_XP!$B$5*(A440+1)^Veterancy_XP!$B$6,0)</f>
        <v>359</v>
      </c>
      <c r="C440" s="6" t="n">
        <f aca="false">ROUND(1/(A440+1)^Veterancy_XP!$E$6,4)</f>
        <v>0.2787</v>
      </c>
      <c r="D440" s="6" t="n">
        <f aca="false">ROUND(Veterancy_XP!$E$5*C440,1)</f>
        <v>278.7</v>
      </c>
      <c r="E440" s="6" t="n">
        <f aca="false">ROUND(B440/D440,2)</f>
        <v>1.29</v>
      </c>
      <c r="F440" s="6" t="n">
        <f aca="false">ROUND(F439+E440,2)</f>
        <v>398.73</v>
      </c>
    </row>
    <row r="441" customFormat="false" ht="15" hidden="false" customHeight="true" outlineLevel="0" collapsed="false">
      <c r="A441" s="6" t="n">
        <v>439</v>
      </c>
      <c r="B441" s="6" t="n">
        <f aca="false">ROUND(Veterancy_XP!$B$5*(A441+1)^Veterancy_XP!$B$6,0)</f>
        <v>359</v>
      </c>
      <c r="C441" s="6" t="n">
        <f aca="false">ROUND(1/(A441+1)^Veterancy_XP!$E$6,4)</f>
        <v>0.2785</v>
      </c>
      <c r="D441" s="6" t="n">
        <f aca="false">ROUND(Veterancy_XP!$E$5*C441,1)</f>
        <v>278.5</v>
      </c>
      <c r="E441" s="6" t="n">
        <f aca="false">ROUND(B441/D441,2)</f>
        <v>1.29</v>
      </c>
      <c r="F441" s="6" t="n">
        <f aca="false">ROUND(F440+E441,2)</f>
        <v>400.02</v>
      </c>
    </row>
    <row r="442" customFormat="false" ht="15" hidden="false" customHeight="true" outlineLevel="0" collapsed="false">
      <c r="A442" s="6" t="n">
        <v>440</v>
      </c>
      <c r="B442" s="6" t="n">
        <f aca="false">ROUND(Veterancy_XP!$B$5*(A442+1)^Veterancy_XP!$B$6,0)</f>
        <v>359</v>
      </c>
      <c r="C442" s="6" t="n">
        <f aca="false">ROUND(1/(A442+1)^Veterancy_XP!$E$6,4)</f>
        <v>0.2784</v>
      </c>
      <c r="D442" s="6" t="n">
        <f aca="false">ROUND(Veterancy_XP!$E$5*C442,1)</f>
        <v>278.4</v>
      </c>
      <c r="E442" s="6" t="n">
        <f aca="false">ROUND(B442/D442,2)</f>
        <v>1.29</v>
      </c>
      <c r="F442" s="6" t="n">
        <f aca="false">ROUND(F441+E442,2)</f>
        <v>401.31</v>
      </c>
    </row>
    <row r="443" customFormat="false" ht="15" hidden="false" customHeight="true" outlineLevel="0" collapsed="false">
      <c r="A443" s="6" t="n">
        <v>441</v>
      </c>
      <c r="B443" s="6" t="n">
        <f aca="false">ROUND(Veterancy_XP!$B$5*(A443+1)^Veterancy_XP!$B$6,0)</f>
        <v>359</v>
      </c>
      <c r="C443" s="6" t="n">
        <f aca="false">ROUND(1/(A443+1)^Veterancy_XP!$E$6,4)</f>
        <v>0.2783</v>
      </c>
      <c r="D443" s="6" t="n">
        <f aca="false">ROUND(Veterancy_XP!$E$5*C443,1)</f>
        <v>278.3</v>
      </c>
      <c r="E443" s="6" t="n">
        <f aca="false">ROUND(B443/D443,2)</f>
        <v>1.29</v>
      </c>
      <c r="F443" s="6" t="n">
        <f aca="false">ROUND(F442+E443,2)</f>
        <v>402.6</v>
      </c>
    </row>
    <row r="444" customFormat="false" ht="15" hidden="false" customHeight="true" outlineLevel="0" collapsed="false">
      <c r="A444" s="6" t="n">
        <v>442</v>
      </c>
      <c r="B444" s="6" t="n">
        <f aca="false">ROUND(Veterancy_XP!$B$5*(A444+1)^Veterancy_XP!$B$6,0)</f>
        <v>360</v>
      </c>
      <c r="C444" s="6" t="n">
        <f aca="false">ROUND(1/(A444+1)^Veterancy_XP!$E$6,4)</f>
        <v>0.2781</v>
      </c>
      <c r="D444" s="6" t="n">
        <f aca="false">ROUND(Veterancy_XP!$E$5*C444,1)</f>
        <v>278.1</v>
      </c>
      <c r="E444" s="6" t="n">
        <f aca="false">ROUND(B444/D444,2)</f>
        <v>1.29</v>
      </c>
      <c r="F444" s="6" t="n">
        <f aca="false">ROUND(F443+E444,2)</f>
        <v>403.89</v>
      </c>
    </row>
    <row r="445" customFormat="false" ht="15" hidden="false" customHeight="true" outlineLevel="0" collapsed="false">
      <c r="A445" s="6" t="n">
        <v>443</v>
      </c>
      <c r="B445" s="6" t="n">
        <f aca="false">ROUND(Veterancy_XP!$B$5*(A445+1)^Veterancy_XP!$B$6,0)</f>
        <v>360</v>
      </c>
      <c r="C445" s="6" t="n">
        <f aca="false">ROUND(1/(A445+1)^Veterancy_XP!$E$6,4)</f>
        <v>0.278</v>
      </c>
      <c r="D445" s="6" t="n">
        <f aca="false">ROUND(Veterancy_XP!$E$5*C445,1)</f>
        <v>278</v>
      </c>
      <c r="E445" s="6" t="n">
        <f aca="false">ROUND(B445/D445,2)</f>
        <v>1.29</v>
      </c>
      <c r="F445" s="6" t="n">
        <f aca="false">ROUND(F444+E445,2)</f>
        <v>405.18</v>
      </c>
    </row>
    <row r="446" customFormat="false" ht="15" hidden="false" customHeight="true" outlineLevel="0" collapsed="false">
      <c r="A446" s="6" t="n">
        <v>444</v>
      </c>
      <c r="B446" s="6" t="n">
        <f aca="false">ROUND(Veterancy_XP!$B$5*(A446+1)^Veterancy_XP!$B$6,0)</f>
        <v>360</v>
      </c>
      <c r="C446" s="6" t="n">
        <f aca="false">ROUND(1/(A446+1)^Veterancy_XP!$E$6,4)</f>
        <v>0.2779</v>
      </c>
      <c r="D446" s="6" t="n">
        <f aca="false">ROUND(Veterancy_XP!$E$5*C446,1)</f>
        <v>277.9</v>
      </c>
      <c r="E446" s="6" t="n">
        <f aca="false">ROUND(B446/D446,2)</f>
        <v>1.3</v>
      </c>
      <c r="F446" s="6" t="n">
        <f aca="false">ROUND(F445+E446,2)</f>
        <v>406.48</v>
      </c>
    </row>
    <row r="447" customFormat="false" ht="15" hidden="false" customHeight="true" outlineLevel="0" collapsed="false">
      <c r="A447" s="6" t="n">
        <v>445</v>
      </c>
      <c r="B447" s="6" t="n">
        <f aca="false">ROUND(Veterancy_XP!$B$5*(A447+1)^Veterancy_XP!$B$6,0)</f>
        <v>360</v>
      </c>
      <c r="C447" s="6" t="n">
        <f aca="false">ROUND(1/(A447+1)^Veterancy_XP!$E$6,4)</f>
        <v>0.2777</v>
      </c>
      <c r="D447" s="6" t="n">
        <f aca="false">ROUND(Veterancy_XP!$E$5*C447,1)</f>
        <v>277.7</v>
      </c>
      <c r="E447" s="6" t="n">
        <f aca="false">ROUND(B447/D447,2)</f>
        <v>1.3</v>
      </c>
      <c r="F447" s="6" t="n">
        <f aca="false">ROUND(F446+E447,2)</f>
        <v>407.78</v>
      </c>
    </row>
    <row r="448" customFormat="false" ht="15" hidden="false" customHeight="true" outlineLevel="0" collapsed="false">
      <c r="A448" s="6" t="n">
        <v>446</v>
      </c>
      <c r="B448" s="6" t="n">
        <f aca="false">ROUND(Veterancy_XP!$B$5*(A448+1)^Veterancy_XP!$B$6,0)</f>
        <v>360</v>
      </c>
      <c r="C448" s="6" t="n">
        <f aca="false">ROUND(1/(A448+1)^Veterancy_XP!$E$6,4)</f>
        <v>0.2776</v>
      </c>
      <c r="D448" s="6" t="n">
        <f aca="false">ROUND(Veterancy_XP!$E$5*C448,1)</f>
        <v>277.6</v>
      </c>
      <c r="E448" s="6" t="n">
        <f aca="false">ROUND(B448/D448,2)</f>
        <v>1.3</v>
      </c>
      <c r="F448" s="6" t="n">
        <f aca="false">ROUND(F447+E448,2)</f>
        <v>409.08</v>
      </c>
    </row>
    <row r="449" customFormat="false" ht="15" hidden="false" customHeight="true" outlineLevel="0" collapsed="false">
      <c r="A449" s="6" t="n">
        <v>447</v>
      </c>
      <c r="B449" s="6" t="n">
        <f aca="false">ROUND(Veterancy_XP!$B$5*(A449+1)^Veterancy_XP!$B$6,0)</f>
        <v>360</v>
      </c>
      <c r="C449" s="6" t="n">
        <f aca="false">ROUND(1/(A449+1)^Veterancy_XP!$E$6,4)</f>
        <v>0.2775</v>
      </c>
      <c r="D449" s="6" t="n">
        <f aca="false">ROUND(Veterancy_XP!$E$5*C449,1)</f>
        <v>277.5</v>
      </c>
      <c r="E449" s="6" t="n">
        <f aca="false">ROUND(B449/D449,2)</f>
        <v>1.3</v>
      </c>
      <c r="F449" s="6" t="n">
        <f aca="false">ROUND(F448+E449,2)</f>
        <v>410.38</v>
      </c>
    </row>
    <row r="450" customFormat="false" ht="15" hidden="false" customHeight="true" outlineLevel="0" collapsed="false">
      <c r="A450" s="6" t="n">
        <v>448</v>
      </c>
      <c r="B450" s="6" t="n">
        <f aca="false">ROUND(Veterancy_XP!$B$5*(A450+1)^Veterancy_XP!$B$6,0)</f>
        <v>361</v>
      </c>
      <c r="C450" s="6" t="n">
        <f aca="false">ROUND(1/(A450+1)^Veterancy_XP!$E$6,4)</f>
        <v>0.2774</v>
      </c>
      <c r="D450" s="6" t="n">
        <f aca="false">ROUND(Veterancy_XP!$E$5*C450,1)</f>
        <v>277.4</v>
      </c>
      <c r="E450" s="6" t="n">
        <f aca="false">ROUND(B450/D450,2)</f>
        <v>1.3</v>
      </c>
      <c r="F450" s="6" t="n">
        <f aca="false">ROUND(F449+E450,2)</f>
        <v>411.68</v>
      </c>
    </row>
    <row r="451" customFormat="false" ht="15" hidden="false" customHeight="true" outlineLevel="0" collapsed="false">
      <c r="A451" s="6" t="n">
        <v>449</v>
      </c>
      <c r="B451" s="6" t="n">
        <f aca="false">ROUND(Veterancy_XP!$B$5*(A451+1)^Veterancy_XP!$B$6,0)</f>
        <v>361</v>
      </c>
      <c r="C451" s="6" t="n">
        <f aca="false">ROUND(1/(A451+1)^Veterancy_XP!$E$6,4)</f>
        <v>0.2772</v>
      </c>
      <c r="D451" s="6" t="n">
        <f aca="false">ROUND(Veterancy_XP!$E$5*C451,1)</f>
        <v>277.2</v>
      </c>
      <c r="E451" s="6" t="n">
        <f aca="false">ROUND(B451/D451,2)</f>
        <v>1.3</v>
      </c>
      <c r="F451" s="6" t="n">
        <f aca="false">ROUND(F450+E451,2)</f>
        <v>412.98</v>
      </c>
    </row>
    <row r="452" customFormat="false" ht="15" hidden="false" customHeight="true" outlineLevel="0" collapsed="false">
      <c r="A452" s="6" t="n">
        <v>450</v>
      </c>
      <c r="B452" s="6" t="n">
        <f aca="false">ROUND(Veterancy_XP!$B$5*(A452+1)^Veterancy_XP!$B$6,0)</f>
        <v>361</v>
      </c>
      <c r="C452" s="6" t="n">
        <f aca="false">ROUND(1/(A452+1)^Veterancy_XP!$E$6,4)</f>
        <v>0.2771</v>
      </c>
      <c r="D452" s="6" t="n">
        <f aca="false">ROUND(Veterancy_XP!$E$5*C452,1)</f>
        <v>277.1</v>
      </c>
      <c r="E452" s="6" t="n">
        <f aca="false">ROUND(B452/D452,2)</f>
        <v>1.3</v>
      </c>
      <c r="F452" s="6" t="n">
        <f aca="false">ROUND(F451+E452,2)</f>
        <v>414.28</v>
      </c>
    </row>
    <row r="453" customFormat="false" ht="15" hidden="false" customHeight="true" outlineLevel="0" collapsed="false">
      <c r="A453" s="6" t="n">
        <v>451</v>
      </c>
      <c r="B453" s="6" t="n">
        <f aca="false">ROUND(Veterancy_XP!$B$5*(A453+1)^Veterancy_XP!$B$6,0)</f>
        <v>361</v>
      </c>
      <c r="C453" s="6" t="n">
        <f aca="false">ROUND(1/(A453+1)^Veterancy_XP!$E$6,4)</f>
        <v>0.277</v>
      </c>
      <c r="D453" s="6" t="n">
        <f aca="false">ROUND(Veterancy_XP!$E$5*C453,1)</f>
        <v>277</v>
      </c>
      <c r="E453" s="6" t="n">
        <f aca="false">ROUND(B453/D453,2)</f>
        <v>1.3</v>
      </c>
      <c r="F453" s="6" t="n">
        <f aca="false">ROUND(F452+E453,2)</f>
        <v>415.58</v>
      </c>
    </row>
    <row r="454" customFormat="false" ht="15" hidden="false" customHeight="true" outlineLevel="0" collapsed="false">
      <c r="A454" s="6" t="n">
        <v>452</v>
      </c>
      <c r="B454" s="6" t="n">
        <f aca="false">ROUND(Veterancy_XP!$B$5*(A454+1)^Veterancy_XP!$B$6,0)</f>
        <v>361</v>
      </c>
      <c r="C454" s="6" t="n">
        <f aca="false">ROUND(1/(A454+1)^Veterancy_XP!$E$6,4)</f>
        <v>0.2768</v>
      </c>
      <c r="D454" s="6" t="n">
        <f aca="false">ROUND(Veterancy_XP!$E$5*C454,1)</f>
        <v>276.8</v>
      </c>
      <c r="E454" s="6" t="n">
        <f aca="false">ROUND(B454/D454,2)</f>
        <v>1.3</v>
      </c>
      <c r="F454" s="6" t="n">
        <f aca="false">ROUND(F453+E454,2)</f>
        <v>416.88</v>
      </c>
    </row>
    <row r="455" customFormat="false" ht="15" hidden="false" customHeight="true" outlineLevel="0" collapsed="false">
      <c r="A455" s="6" t="n">
        <v>453</v>
      </c>
      <c r="B455" s="6" t="n">
        <f aca="false">ROUND(Veterancy_XP!$B$5*(A455+1)^Veterancy_XP!$B$6,0)</f>
        <v>361</v>
      </c>
      <c r="C455" s="6" t="n">
        <f aca="false">ROUND(1/(A455+1)^Veterancy_XP!$E$6,4)</f>
        <v>0.2767</v>
      </c>
      <c r="D455" s="6" t="n">
        <f aca="false">ROUND(Veterancy_XP!$E$5*C455,1)</f>
        <v>276.7</v>
      </c>
      <c r="E455" s="6" t="n">
        <f aca="false">ROUND(B455/D455,2)</f>
        <v>1.3</v>
      </c>
      <c r="F455" s="6" t="n">
        <f aca="false">ROUND(F454+E455,2)</f>
        <v>418.18</v>
      </c>
    </row>
    <row r="456" customFormat="false" ht="15" hidden="false" customHeight="true" outlineLevel="0" collapsed="false">
      <c r="A456" s="6" t="n">
        <v>454</v>
      </c>
      <c r="B456" s="6" t="n">
        <f aca="false">ROUND(Veterancy_XP!$B$5*(A456+1)^Veterancy_XP!$B$6,0)</f>
        <v>362</v>
      </c>
      <c r="C456" s="6" t="n">
        <f aca="false">ROUND(1/(A456+1)^Veterancy_XP!$E$6,4)</f>
        <v>0.2766</v>
      </c>
      <c r="D456" s="6" t="n">
        <f aca="false">ROUND(Veterancy_XP!$E$5*C456,1)</f>
        <v>276.6</v>
      </c>
      <c r="E456" s="6" t="n">
        <f aca="false">ROUND(B456/D456,2)</f>
        <v>1.31</v>
      </c>
      <c r="F456" s="6" t="n">
        <f aca="false">ROUND(F455+E456,2)</f>
        <v>419.49</v>
      </c>
    </row>
    <row r="457" customFormat="false" ht="15" hidden="false" customHeight="true" outlineLevel="0" collapsed="false">
      <c r="A457" s="6" t="n">
        <v>455</v>
      </c>
      <c r="B457" s="6" t="n">
        <f aca="false">ROUND(Veterancy_XP!$B$5*(A457+1)^Veterancy_XP!$B$6,0)</f>
        <v>362</v>
      </c>
      <c r="C457" s="6" t="n">
        <f aca="false">ROUND(1/(A457+1)^Veterancy_XP!$E$6,4)</f>
        <v>0.2765</v>
      </c>
      <c r="D457" s="6" t="n">
        <f aca="false">ROUND(Veterancy_XP!$E$5*C457,1)</f>
        <v>276.5</v>
      </c>
      <c r="E457" s="6" t="n">
        <f aca="false">ROUND(B457/D457,2)</f>
        <v>1.31</v>
      </c>
      <c r="F457" s="6" t="n">
        <f aca="false">ROUND(F456+E457,2)</f>
        <v>420.8</v>
      </c>
    </row>
    <row r="458" customFormat="false" ht="15" hidden="false" customHeight="true" outlineLevel="0" collapsed="false">
      <c r="A458" s="6" t="n">
        <v>456</v>
      </c>
      <c r="B458" s="6" t="n">
        <f aca="false">ROUND(Veterancy_XP!$B$5*(A458+1)^Veterancy_XP!$B$6,0)</f>
        <v>362</v>
      </c>
      <c r="C458" s="6" t="n">
        <f aca="false">ROUND(1/(A458+1)^Veterancy_XP!$E$6,4)</f>
        <v>0.2763</v>
      </c>
      <c r="D458" s="6" t="n">
        <f aca="false">ROUND(Veterancy_XP!$E$5*C458,1)</f>
        <v>276.3</v>
      </c>
      <c r="E458" s="6" t="n">
        <f aca="false">ROUND(B458/D458,2)</f>
        <v>1.31</v>
      </c>
      <c r="F458" s="6" t="n">
        <f aca="false">ROUND(F457+E458,2)</f>
        <v>422.11</v>
      </c>
    </row>
    <row r="459" customFormat="false" ht="15" hidden="false" customHeight="true" outlineLevel="0" collapsed="false">
      <c r="A459" s="6" t="n">
        <v>457</v>
      </c>
      <c r="B459" s="6" t="n">
        <f aca="false">ROUND(Veterancy_XP!$B$5*(A459+1)^Veterancy_XP!$B$6,0)</f>
        <v>362</v>
      </c>
      <c r="C459" s="6" t="n">
        <f aca="false">ROUND(1/(A459+1)^Veterancy_XP!$E$6,4)</f>
        <v>0.2762</v>
      </c>
      <c r="D459" s="6" t="n">
        <f aca="false">ROUND(Veterancy_XP!$E$5*C459,1)</f>
        <v>276.2</v>
      </c>
      <c r="E459" s="6" t="n">
        <f aca="false">ROUND(B459/D459,2)</f>
        <v>1.31</v>
      </c>
      <c r="F459" s="6" t="n">
        <f aca="false">ROUND(F458+E459,2)</f>
        <v>423.42</v>
      </c>
    </row>
    <row r="460" customFormat="false" ht="15" hidden="false" customHeight="true" outlineLevel="0" collapsed="false">
      <c r="A460" s="6" t="n">
        <v>458</v>
      </c>
      <c r="B460" s="6" t="n">
        <f aca="false">ROUND(Veterancy_XP!$B$5*(A460+1)^Veterancy_XP!$B$6,0)</f>
        <v>362</v>
      </c>
      <c r="C460" s="6" t="n">
        <f aca="false">ROUND(1/(A460+1)^Veterancy_XP!$E$6,4)</f>
        <v>0.2761</v>
      </c>
      <c r="D460" s="6" t="n">
        <f aca="false">ROUND(Veterancy_XP!$E$5*C460,1)</f>
        <v>276.1</v>
      </c>
      <c r="E460" s="6" t="n">
        <f aca="false">ROUND(B460/D460,2)</f>
        <v>1.31</v>
      </c>
      <c r="F460" s="6" t="n">
        <f aca="false">ROUND(F459+E460,2)</f>
        <v>424.73</v>
      </c>
    </row>
    <row r="461" customFormat="false" ht="15" hidden="false" customHeight="true" outlineLevel="0" collapsed="false">
      <c r="A461" s="6" t="n">
        <v>459</v>
      </c>
      <c r="B461" s="6" t="n">
        <f aca="false">ROUND(Veterancy_XP!$B$5*(A461+1)^Veterancy_XP!$B$6,0)</f>
        <v>362</v>
      </c>
      <c r="C461" s="6" t="n">
        <f aca="false">ROUND(1/(A461+1)^Veterancy_XP!$E$6,4)</f>
        <v>0.2759</v>
      </c>
      <c r="D461" s="6" t="n">
        <f aca="false">ROUND(Veterancy_XP!$E$5*C461,1)</f>
        <v>275.9</v>
      </c>
      <c r="E461" s="6" t="n">
        <f aca="false">ROUND(B461/D461,2)</f>
        <v>1.31</v>
      </c>
      <c r="F461" s="6" t="n">
        <f aca="false">ROUND(F460+E461,2)</f>
        <v>426.04</v>
      </c>
    </row>
    <row r="462" customFormat="false" ht="15" hidden="false" customHeight="true" outlineLevel="0" collapsed="false">
      <c r="A462" s="6" t="n">
        <v>460</v>
      </c>
      <c r="B462" s="6" t="n">
        <f aca="false">ROUND(Veterancy_XP!$B$5*(A462+1)^Veterancy_XP!$B$6,0)</f>
        <v>363</v>
      </c>
      <c r="C462" s="6" t="n">
        <f aca="false">ROUND(1/(A462+1)^Veterancy_XP!$E$6,4)</f>
        <v>0.2758</v>
      </c>
      <c r="D462" s="6" t="n">
        <f aca="false">ROUND(Veterancy_XP!$E$5*C462,1)</f>
        <v>275.8</v>
      </c>
      <c r="E462" s="6" t="n">
        <f aca="false">ROUND(B462/D462,2)</f>
        <v>1.32</v>
      </c>
      <c r="F462" s="6" t="n">
        <f aca="false">ROUND(F461+E462,2)</f>
        <v>427.36</v>
      </c>
    </row>
    <row r="463" customFormat="false" ht="15" hidden="false" customHeight="true" outlineLevel="0" collapsed="false">
      <c r="A463" s="6" t="n">
        <v>461</v>
      </c>
      <c r="B463" s="6" t="n">
        <f aca="false">ROUND(Veterancy_XP!$B$5*(A463+1)^Veterancy_XP!$B$6,0)</f>
        <v>363</v>
      </c>
      <c r="C463" s="6" t="n">
        <f aca="false">ROUND(1/(A463+1)^Veterancy_XP!$E$6,4)</f>
        <v>0.2757</v>
      </c>
      <c r="D463" s="6" t="n">
        <f aca="false">ROUND(Veterancy_XP!$E$5*C463,1)</f>
        <v>275.7</v>
      </c>
      <c r="E463" s="6" t="n">
        <f aca="false">ROUND(B463/D463,2)</f>
        <v>1.32</v>
      </c>
      <c r="F463" s="6" t="n">
        <f aca="false">ROUND(F462+E463,2)</f>
        <v>428.68</v>
      </c>
    </row>
    <row r="464" customFormat="false" ht="15" hidden="false" customHeight="true" outlineLevel="0" collapsed="false">
      <c r="A464" s="6" t="n">
        <v>462</v>
      </c>
      <c r="B464" s="6" t="n">
        <f aca="false">ROUND(Veterancy_XP!$B$5*(A464+1)^Veterancy_XP!$B$6,0)</f>
        <v>363</v>
      </c>
      <c r="C464" s="6" t="n">
        <f aca="false">ROUND(1/(A464+1)^Veterancy_XP!$E$6,4)</f>
        <v>0.2756</v>
      </c>
      <c r="D464" s="6" t="n">
        <f aca="false">ROUND(Veterancy_XP!$E$5*C464,1)</f>
        <v>275.6</v>
      </c>
      <c r="E464" s="6" t="n">
        <f aca="false">ROUND(B464/D464,2)</f>
        <v>1.32</v>
      </c>
      <c r="F464" s="6" t="n">
        <f aca="false">ROUND(F463+E464,2)</f>
        <v>430</v>
      </c>
    </row>
    <row r="465" customFormat="false" ht="15" hidden="false" customHeight="true" outlineLevel="0" collapsed="false">
      <c r="A465" s="6" t="n">
        <v>463</v>
      </c>
      <c r="B465" s="6" t="n">
        <f aca="false">ROUND(Veterancy_XP!$B$5*(A465+1)^Veterancy_XP!$B$6,0)</f>
        <v>363</v>
      </c>
      <c r="C465" s="6" t="n">
        <f aca="false">ROUND(1/(A465+1)^Veterancy_XP!$E$6,4)</f>
        <v>0.2754</v>
      </c>
      <c r="D465" s="6" t="n">
        <f aca="false">ROUND(Veterancy_XP!$E$5*C465,1)</f>
        <v>275.4</v>
      </c>
      <c r="E465" s="6" t="n">
        <f aca="false">ROUND(B465/D465,2)</f>
        <v>1.32</v>
      </c>
      <c r="F465" s="6" t="n">
        <f aca="false">ROUND(F464+E465,2)</f>
        <v>431.32</v>
      </c>
    </row>
    <row r="466" customFormat="false" ht="15" hidden="false" customHeight="true" outlineLevel="0" collapsed="false">
      <c r="A466" s="6" t="n">
        <v>464</v>
      </c>
      <c r="B466" s="6" t="n">
        <f aca="false">ROUND(Veterancy_XP!$B$5*(A466+1)^Veterancy_XP!$B$6,0)</f>
        <v>363</v>
      </c>
      <c r="C466" s="6" t="n">
        <f aca="false">ROUND(1/(A466+1)^Veterancy_XP!$E$6,4)</f>
        <v>0.2753</v>
      </c>
      <c r="D466" s="6" t="n">
        <f aca="false">ROUND(Veterancy_XP!$E$5*C466,1)</f>
        <v>275.3</v>
      </c>
      <c r="E466" s="6" t="n">
        <f aca="false">ROUND(B466/D466,2)</f>
        <v>1.32</v>
      </c>
      <c r="F466" s="6" t="n">
        <f aca="false">ROUND(F465+E466,2)</f>
        <v>432.64</v>
      </c>
    </row>
    <row r="467" customFormat="false" ht="15" hidden="false" customHeight="true" outlineLevel="0" collapsed="false">
      <c r="A467" s="6" t="n">
        <v>465</v>
      </c>
      <c r="B467" s="6" t="n">
        <f aca="false">ROUND(Veterancy_XP!$B$5*(A467+1)^Veterancy_XP!$B$6,0)</f>
        <v>363</v>
      </c>
      <c r="C467" s="6" t="n">
        <f aca="false">ROUND(1/(A467+1)^Veterancy_XP!$E$6,4)</f>
        <v>0.2752</v>
      </c>
      <c r="D467" s="6" t="n">
        <f aca="false">ROUND(Veterancy_XP!$E$5*C467,1)</f>
        <v>275.2</v>
      </c>
      <c r="E467" s="6" t="n">
        <f aca="false">ROUND(B467/D467,2)</f>
        <v>1.32</v>
      </c>
      <c r="F467" s="6" t="n">
        <f aca="false">ROUND(F466+E467,2)</f>
        <v>433.96</v>
      </c>
    </row>
    <row r="468" customFormat="false" ht="15" hidden="false" customHeight="true" outlineLevel="0" collapsed="false">
      <c r="A468" s="6" t="n">
        <v>466</v>
      </c>
      <c r="B468" s="6" t="n">
        <f aca="false">ROUND(Veterancy_XP!$B$5*(A468+1)^Veterancy_XP!$B$6,0)</f>
        <v>364</v>
      </c>
      <c r="C468" s="6" t="n">
        <f aca="false">ROUND(1/(A468+1)^Veterancy_XP!$E$6,4)</f>
        <v>0.2751</v>
      </c>
      <c r="D468" s="6" t="n">
        <f aca="false">ROUND(Veterancy_XP!$E$5*C468,1)</f>
        <v>275.1</v>
      </c>
      <c r="E468" s="6" t="n">
        <f aca="false">ROUND(B468/D468,2)</f>
        <v>1.32</v>
      </c>
      <c r="F468" s="6" t="n">
        <f aca="false">ROUND(F467+E468,2)</f>
        <v>435.28</v>
      </c>
    </row>
    <row r="469" customFormat="false" ht="15" hidden="false" customHeight="true" outlineLevel="0" collapsed="false">
      <c r="A469" s="6" t="n">
        <v>467</v>
      </c>
      <c r="B469" s="6" t="n">
        <f aca="false">ROUND(Veterancy_XP!$B$5*(A469+1)^Veterancy_XP!$B$6,0)</f>
        <v>364</v>
      </c>
      <c r="C469" s="6" t="n">
        <f aca="false">ROUND(1/(A469+1)^Veterancy_XP!$E$6,4)</f>
        <v>0.2749</v>
      </c>
      <c r="D469" s="6" t="n">
        <f aca="false">ROUND(Veterancy_XP!$E$5*C469,1)</f>
        <v>274.9</v>
      </c>
      <c r="E469" s="6" t="n">
        <f aca="false">ROUND(B469/D469,2)</f>
        <v>1.32</v>
      </c>
      <c r="F469" s="6" t="n">
        <f aca="false">ROUND(F468+E469,2)</f>
        <v>436.6</v>
      </c>
    </row>
    <row r="470" customFormat="false" ht="15" hidden="false" customHeight="true" outlineLevel="0" collapsed="false">
      <c r="A470" s="6" t="n">
        <v>468</v>
      </c>
      <c r="B470" s="6" t="n">
        <f aca="false">ROUND(Veterancy_XP!$B$5*(A470+1)^Veterancy_XP!$B$6,0)</f>
        <v>364</v>
      </c>
      <c r="C470" s="6" t="n">
        <f aca="false">ROUND(1/(A470+1)^Veterancy_XP!$E$6,4)</f>
        <v>0.2748</v>
      </c>
      <c r="D470" s="6" t="n">
        <f aca="false">ROUND(Veterancy_XP!$E$5*C470,1)</f>
        <v>274.8</v>
      </c>
      <c r="E470" s="6" t="n">
        <f aca="false">ROUND(B470/D470,2)</f>
        <v>1.32</v>
      </c>
      <c r="F470" s="6" t="n">
        <f aca="false">ROUND(F469+E470,2)</f>
        <v>437.92</v>
      </c>
    </row>
    <row r="471" customFormat="false" ht="15" hidden="false" customHeight="true" outlineLevel="0" collapsed="false">
      <c r="A471" s="6" t="n">
        <v>469</v>
      </c>
      <c r="B471" s="6" t="n">
        <f aca="false">ROUND(Veterancy_XP!$B$5*(A471+1)^Veterancy_XP!$B$6,0)</f>
        <v>364</v>
      </c>
      <c r="C471" s="6" t="n">
        <f aca="false">ROUND(1/(A471+1)^Veterancy_XP!$E$6,4)</f>
        <v>0.2747</v>
      </c>
      <c r="D471" s="6" t="n">
        <f aca="false">ROUND(Veterancy_XP!$E$5*C471,1)</f>
        <v>274.7</v>
      </c>
      <c r="E471" s="6" t="n">
        <f aca="false">ROUND(B471/D471,2)</f>
        <v>1.33</v>
      </c>
      <c r="F471" s="6" t="n">
        <f aca="false">ROUND(F470+E471,2)</f>
        <v>439.25</v>
      </c>
    </row>
    <row r="472" customFormat="false" ht="15" hidden="false" customHeight="true" outlineLevel="0" collapsed="false">
      <c r="A472" s="6" t="n">
        <v>470</v>
      </c>
      <c r="B472" s="6" t="n">
        <f aca="false">ROUND(Veterancy_XP!$B$5*(A472+1)^Veterancy_XP!$B$6,0)</f>
        <v>364</v>
      </c>
      <c r="C472" s="6" t="n">
        <f aca="false">ROUND(1/(A472+1)^Veterancy_XP!$E$6,4)</f>
        <v>0.2746</v>
      </c>
      <c r="D472" s="6" t="n">
        <f aca="false">ROUND(Veterancy_XP!$E$5*C472,1)</f>
        <v>274.6</v>
      </c>
      <c r="E472" s="6" t="n">
        <f aca="false">ROUND(B472/D472,2)</f>
        <v>1.33</v>
      </c>
      <c r="F472" s="6" t="n">
        <f aca="false">ROUND(F471+E472,2)</f>
        <v>440.58</v>
      </c>
    </row>
    <row r="473" customFormat="false" ht="15" hidden="false" customHeight="true" outlineLevel="0" collapsed="false">
      <c r="A473" s="6" t="n">
        <v>471</v>
      </c>
      <c r="B473" s="6" t="n">
        <f aca="false">ROUND(Veterancy_XP!$B$5*(A473+1)^Veterancy_XP!$B$6,0)</f>
        <v>364</v>
      </c>
      <c r="C473" s="6" t="n">
        <f aca="false">ROUND(1/(A473+1)^Veterancy_XP!$E$6,4)</f>
        <v>0.2745</v>
      </c>
      <c r="D473" s="6" t="n">
        <f aca="false">ROUND(Veterancy_XP!$E$5*C473,1)</f>
        <v>274.5</v>
      </c>
      <c r="E473" s="6" t="n">
        <f aca="false">ROUND(B473/D473,2)</f>
        <v>1.33</v>
      </c>
      <c r="F473" s="6" t="n">
        <f aca="false">ROUND(F472+E473,2)</f>
        <v>441.91</v>
      </c>
    </row>
    <row r="474" customFormat="false" ht="15" hidden="false" customHeight="true" outlineLevel="0" collapsed="false">
      <c r="A474" s="6" t="n">
        <v>472</v>
      </c>
      <c r="B474" s="6" t="n">
        <f aca="false">ROUND(Veterancy_XP!$B$5*(A474+1)^Veterancy_XP!$B$6,0)</f>
        <v>365</v>
      </c>
      <c r="C474" s="6" t="n">
        <f aca="false">ROUND(1/(A474+1)^Veterancy_XP!$E$6,4)</f>
        <v>0.2743</v>
      </c>
      <c r="D474" s="6" t="n">
        <f aca="false">ROUND(Veterancy_XP!$E$5*C474,1)</f>
        <v>274.3</v>
      </c>
      <c r="E474" s="6" t="n">
        <f aca="false">ROUND(B474/D474,2)</f>
        <v>1.33</v>
      </c>
      <c r="F474" s="6" t="n">
        <f aca="false">ROUND(F473+E474,2)</f>
        <v>443.24</v>
      </c>
    </row>
    <row r="475" customFormat="false" ht="15" hidden="false" customHeight="true" outlineLevel="0" collapsed="false">
      <c r="A475" s="6" t="n">
        <v>473</v>
      </c>
      <c r="B475" s="6" t="n">
        <f aca="false">ROUND(Veterancy_XP!$B$5*(A475+1)^Veterancy_XP!$B$6,0)</f>
        <v>365</v>
      </c>
      <c r="C475" s="6" t="n">
        <f aca="false">ROUND(1/(A475+1)^Veterancy_XP!$E$6,4)</f>
        <v>0.2742</v>
      </c>
      <c r="D475" s="6" t="n">
        <f aca="false">ROUND(Veterancy_XP!$E$5*C475,1)</f>
        <v>274.2</v>
      </c>
      <c r="E475" s="6" t="n">
        <f aca="false">ROUND(B475/D475,2)</f>
        <v>1.33</v>
      </c>
      <c r="F475" s="6" t="n">
        <f aca="false">ROUND(F474+E475,2)</f>
        <v>444.57</v>
      </c>
    </row>
    <row r="476" customFormat="false" ht="15" hidden="false" customHeight="true" outlineLevel="0" collapsed="false">
      <c r="A476" s="6" t="n">
        <v>474</v>
      </c>
      <c r="B476" s="6" t="n">
        <f aca="false">ROUND(Veterancy_XP!$B$5*(A476+1)^Veterancy_XP!$B$6,0)</f>
        <v>365</v>
      </c>
      <c r="C476" s="6" t="n">
        <f aca="false">ROUND(1/(A476+1)^Veterancy_XP!$E$6,4)</f>
        <v>0.2741</v>
      </c>
      <c r="D476" s="6" t="n">
        <f aca="false">ROUND(Veterancy_XP!$E$5*C476,1)</f>
        <v>274.1</v>
      </c>
      <c r="E476" s="6" t="n">
        <f aca="false">ROUND(B476/D476,2)</f>
        <v>1.33</v>
      </c>
      <c r="F476" s="6" t="n">
        <f aca="false">ROUND(F475+E476,2)</f>
        <v>445.9</v>
      </c>
    </row>
    <row r="477" customFormat="false" ht="15" hidden="false" customHeight="true" outlineLevel="0" collapsed="false">
      <c r="A477" s="6" t="n">
        <v>475</v>
      </c>
      <c r="B477" s="6" t="n">
        <f aca="false">ROUND(Veterancy_XP!$B$5*(A477+1)^Veterancy_XP!$B$6,0)</f>
        <v>365</v>
      </c>
      <c r="C477" s="6" t="n">
        <f aca="false">ROUND(1/(A477+1)^Veterancy_XP!$E$6,4)</f>
        <v>0.274</v>
      </c>
      <c r="D477" s="6" t="n">
        <f aca="false">ROUND(Veterancy_XP!$E$5*C477,1)</f>
        <v>274</v>
      </c>
      <c r="E477" s="6" t="n">
        <f aca="false">ROUND(B477/D477,2)</f>
        <v>1.33</v>
      </c>
      <c r="F477" s="6" t="n">
        <f aca="false">ROUND(F476+E477,2)</f>
        <v>447.23</v>
      </c>
    </row>
    <row r="478" customFormat="false" ht="15" hidden="false" customHeight="true" outlineLevel="0" collapsed="false">
      <c r="A478" s="6" t="n">
        <v>476</v>
      </c>
      <c r="B478" s="6" t="n">
        <f aca="false">ROUND(Veterancy_XP!$B$5*(A478+1)^Veterancy_XP!$B$6,0)</f>
        <v>365</v>
      </c>
      <c r="C478" s="6" t="n">
        <f aca="false">ROUND(1/(A478+1)^Veterancy_XP!$E$6,4)</f>
        <v>0.2738</v>
      </c>
      <c r="D478" s="6" t="n">
        <f aca="false">ROUND(Veterancy_XP!$E$5*C478,1)</f>
        <v>273.8</v>
      </c>
      <c r="E478" s="6" t="n">
        <f aca="false">ROUND(B478/D478,2)</f>
        <v>1.33</v>
      </c>
      <c r="F478" s="6" t="n">
        <f aca="false">ROUND(F477+E478,2)</f>
        <v>448.56</v>
      </c>
    </row>
    <row r="479" customFormat="false" ht="15" hidden="false" customHeight="true" outlineLevel="0" collapsed="false">
      <c r="A479" s="6" t="n">
        <v>477</v>
      </c>
      <c r="B479" s="6" t="n">
        <f aca="false">ROUND(Veterancy_XP!$B$5*(A479+1)^Veterancy_XP!$B$6,0)</f>
        <v>365</v>
      </c>
      <c r="C479" s="6" t="n">
        <f aca="false">ROUND(1/(A479+1)^Veterancy_XP!$E$6,4)</f>
        <v>0.2737</v>
      </c>
      <c r="D479" s="6" t="n">
        <f aca="false">ROUND(Veterancy_XP!$E$5*C479,1)</f>
        <v>273.7</v>
      </c>
      <c r="E479" s="6" t="n">
        <f aca="false">ROUND(B479/D479,2)</f>
        <v>1.33</v>
      </c>
      <c r="F479" s="6" t="n">
        <f aca="false">ROUND(F478+E479,2)</f>
        <v>449.89</v>
      </c>
    </row>
    <row r="480" customFormat="false" ht="15" hidden="false" customHeight="true" outlineLevel="0" collapsed="false">
      <c r="A480" s="6" t="n">
        <v>478</v>
      </c>
      <c r="B480" s="6" t="n">
        <f aca="false">ROUND(Veterancy_XP!$B$5*(A480+1)^Veterancy_XP!$B$6,0)</f>
        <v>365</v>
      </c>
      <c r="C480" s="6" t="n">
        <f aca="false">ROUND(1/(A480+1)^Veterancy_XP!$E$6,4)</f>
        <v>0.2736</v>
      </c>
      <c r="D480" s="6" t="n">
        <f aca="false">ROUND(Veterancy_XP!$E$5*C480,1)</f>
        <v>273.6</v>
      </c>
      <c r="E480" s="6" t="n">
        <f aca="false">ROUND(B480/D480,2)</f>
        <v>1.33</v>
      </c>
      <c r="F480" s="6" t="n">
        <f aca="false">ROUND(F479+E480,2)</f>
        <v>451.22</v>
      </c>
    </row>
    <row r="481" customFormat="false" ht="15" hidden="false" customHeight="true" outlineLevel="0" collapsed="false">
      <c r="A481" s="6" t="n">
        <v>479</v>
      </c>
      <c r="B481" s="6" t="n">
        <f aca="false">ROUND(Veterancy_XP!$B$5*(A481+1)^Veterancy_XP!$B$6,0)</f>
        <v>366</v>
      </c>
      <c r="C481" s="6" t="n">
        <f aca="false">ROUND(1/(A481+1)^Veterancy_XP!$E$6,4)</f>
        <v>0.2735</v>
      </c>
      <c r="D481" s="6" t="n">
        <f aca="false">ROUND(Veterancy_XP!$E$5*C481,1)</f>
        <v>273.5</v>
      </c>
      <c r="E481" s="6" t="n">
        <f aca="false">ROUND(B481/D481,2)</f>
        <v>1.34</v>
      </c>
      <c r="F481" s="6" t="n">
        <f aca="false">ROUND(F480+E481,2)</f>
        <v>452.56</v>
      </c>
    </row>
    <row r="482" customFormat="false" ht="15" hidden="false" customHeight="true" outlineLevel="0" collapsed="false">
      <c r="A482" s="6" t="n">
        <v>480</v>
      </c>
      <c r="B482" s="6" t="n">
        <f aca="false">ROUND(Veterancy_XP!$B$5*(A482+1)^Veterancy_XP!$B$6,0)</f>
        <v>366</v>
      </c>
      <c r="C482" s="6" t="n">
        <f aca="false">ROUND(1/(A482+1)^Veterancy_XP!$E$6,4)</f>
        <v>0.2734</v>
      </c>
      <c r="D482" s="6" t="n">
        <f aca="false">ROUND(Veterancy_XP!$E$5*C482,1)</f>
        <v>273.4</v>
      </c>
      <c r="E482" s="6" t="n">
        <f aca="false">ROUND(B482/D482,2)</f>
        <v>1.34</v>
      </c>
      <c r="F482" s="6" t="n">
        <f aca="false">ROUND(F481+E482,2)</f>
        <v>453.9</v>
      </c>
    </row>
    <row r="483" customFormat="false" ht="15" hidden="false" customHeight="true" outlineLevel="0" collapsed="false">
      <c r="A483" s="6" t="n">
        <v>481</v>
      </c>
      <c r="B483" s="6" t="n">
        <f aca="false">ROUND(Veterancy_XP!$B$5*(A483+1)^Veterancy_XP!$B$6,0)</f>
        <v>366</v>
      </c>
      <c r="C483" s="6" t="n">
        <f aca="false">ROUND(1/(A483+1)^Veterancy_XP!$E$6,4)</f>
        <v>0.2732</v>
      </c>
      <c r="D483" s="6" t="n">
        <f aca="false">ROUND(Veterancy_XP!$E$5*C483,1)</f>
        <v>273.2</v>
      </c>
      <c r="E483" s="6" t="n">
        <f aca="false">ROUND(B483/D483,2)</f>
        <v>1.34</v>
      </c>
      <c r="F483" s="6" t="n">
        <f aca="false">ROUND(F482+E483,2)</f>
        <v>455.24</v>
      </c>
    </row>
    <row r="484" customFormat="false" ht="15" hidden="false" customHeight="true" outlineLevel="0" collapsed="false">
      <c r="A484" s="6" t="n">
        <v>482</v>
      </c>
      <c r="B484" s="6" t="n">
        <f aca="false">ROUND(Veterancy_XP!$B$5*(A484+1)^Veterancy_XP!$B$6,0)</f>
        <v>366</v>
      </c>
      <c r="C484" s="6" t="n">
        <f aca="false">ROUND(1/(A484+1)^Veterancy_XP!$E$6,4)</f>
        <v>0.2731</v>
      </c>
      <c r="D484" s="6" t="n">
        <f aca="false">ROUND(Veterancy_XP!$E$5*C484,1)</f>
        <v>273.1</v>
      </c>
      <c r="E484" s="6" t="n">
        <f aca="false">ROUND(B484/D484,2)</f>
        <v>1.34</v>
      </c>
      <c r="F484" s="6" t="n">
        <f aca="false">ROUND(F483+E484,2)</f>
        <v>456.58</v>
      </c>
    </row>
    <row r="485" customFormat="false" ht="15" hidden="false" customHeight="true" outlineLevel="0" collapsed="false">
      <c r="A485" s="6" t="n">
        <v>483</v>
      </c>
      <c r="B485" s="6" t="n">
        <f aca="false">ROUND(Veterancy_XP!$B$5*(A485+1)^Veterancy_XP!$B$6,0)</f>
        <v>366</v>
      </c>
      <c r="C485" s="6" t="n">
        <f aca="false">ROUND(1/(A485+1)^Veterancy_XP!$E$6,4)</f>
        <v>0.273</v>
      </c>
      <c r="D485" s="6" t="n">
        <f aca="false">ROUND(Veterancy_XP!$E$5*C485,1)</f>
        <v>273</v>
      </c>
      <c r="E485" s="6" t="n">
        <f aca="false">ROUND(B485/D485,2)</f>
        <v>1.34</v>
      </c>
      <c r="F485" s="6" t="n">
        <f aca="false">ROUND(F484+E485,2)</f>
        <v>457.92</v>
      </c>
    </row>
    <row r="486" customFormat="false" ht="15" hidden="false" customHeight="true" outlineLevel="0" collapsed="false">
      <c r="A486" s="6" t="n">
        <v>484</v>
      </c>
      <c r="B486" s="6" t="n">
        <f aca="false">ROUND(Veterancy_XP!$B$5*(A486+1)^Veterancy_XP!$B$6,0)</f>
        <v>366</v>
      </c>
      <c r="C486" s="6" t="n">
        <f aca="false">ROUND(1/(A486+1)^Veterancy_XP!$E$6,4)</f>
        <v>0.2729</v>
      </c>
      <c r="D486" s="6" t="n">
        <f aca="false">ROUND(Veterancy_XP!$E$5*C486,1)</f>
        <v>272.9</v>
      </c>
      <c r="E486" s="6" t="n">
        <f aca="false">ROUND(B486/D486,2)</f>
        <v>1.34</v>
      </c>
      <c r="F486" s="6" t="n">
        <f aca="false">ROUND(F485+E486,2)</f>
        <v>459.26</v>
      </c>
    </row>
    <row r="487" customFormat="false" ht="15" hidden="false" customHeight="true" outlineLevel="0" collapsed="false">
      <c r="A487" s="6" t="n">
        <v>485</v>
      </c>
      <c r="B487" s="6" t="n">
        <f aca="false">ROUND(Veterancy_XP!$B$5*(A487+1)^Veterancy_XP!$B$6,0)</f>
        <v>367</v>
      </c>
      <c r="C487" s="6" t="n">
        <f aca="false">ROUND(1/(A487+1)^Veterancy_XP!$E$6,4)</f>
        <v>0.2728</v>
      </c>
      <c r="D487" s="6" t="n">
        <f aca="false">ROUND(Veterancy_XP!$E$5*C487,1)</f>
        <v>272.8</v>
      </c>
      <c r="E487" s="6" t="n">
        <f aca="false">ROUND(B487/D487,2)</f>
        <v>1.35</v>
      </c>
      <c r="F487" s="6" t="n">
        <f aca="false">ROUND(F486+E487,2)</f>
        <v>460.61</v>
      </c>
    </row>
    <row r="488" customFormat="false" ht="15" hidden="false" customHeight="true" outlineLevel="0" collapsed="false">
      <c r="A488" s="6" t="n">
        <v>486</v>
      </c>
      <c r="B488" s="6" t="n">
        <f aca="false">ROUND(Veterancy_XP!$B$5*(A488+1)^Veterancy_XP!$B$6,0)</f>
        <v>367</v>
      </c>
      <c r="C488" s="6" t="n">
        <f aca="false">ROUND(1/(A488+1)^Veterancy_XP!$E$6,4)</f>
        <v>0.2727</v>
      </c>
      <c r="D488" s="6" t="n">
        <f aca="false">ROUND(Veterancy_XP!$E$5*C488,1)</f>
        <v>272.7</v>
      </c>
      <c r="E488" s="6" t="n">
        <f aca="false">ROUND(B488/D488,2)</f>
        <v>1.35</v>
      </c>
      <c r="F488" s="6" t="n">
        <f aca="false">ROUND(F487+E488,2)</f>
        <v>461.96</v>
      </c>
    </row>
    <row r="489" customFormat="false" ht="15" hidden="false" customHeight="true" outlineLevel="0" collapsed="false">
      <c r="A489" s="6" t="n">
        <v>487</v>
      </c>
      <c r="B489" s="6" t="n">
        <f aca="false">ROUND(Veterancy_XP!$B$5*(A489+1)^Veterancy_XP!$B$6,0)</f>
        <v>367</v>
      </c>
      <c r="C489" s="6" t="n">
        <f aca="false">ROUND(1/(A489+1)^Veterancy_XP!$E$6,4)</f>
        <v>0.2725</v>
      </c>
      <c r="D489" s="6" t="n">
        <f aca="false">ROUND(Veterancy_XP!$E$5*C489,1)</f>
        <v>272.5</v>
      </c>
      <c r="E489" s="6" t="n">
        <f aca="false">ROUND(B489/D489,2)</f>
        <v>1.35</v>
      </c>
      <c r="F489" s="6" t="n">
        <f aca="false">ROUND(F488+E489,2)</f>
        <v>463.31</v>
      </c>
    </row>
    <row r="490" customFormat="false" ht="15" hidden="false" customHeight="true" outlineLevel="0" collapsed="false">
      <c r="A490" s="6" t="n">
        <v>488</v>
      </c>
      <c r="B490" s="6" t="n">
        <f aca="false">ROUND(Veterancy_XP!$B$5*(A490+1)^Veterancy_XP!$B$6,0)</f>
        <v>367</v>
      </c>
      <c r="C490" s="6" t="n">
        <f aca="false">ROUND(1/(A490+1)^Veterancy_XP!$E$6,4)</f>
        <v>0.2724</v>
      </c>
      <c r="D490" s="6" t="n">
        <f aca="false">ROUND(Veterancy_XP!$E$5*C490,1)</f>
        <v>272.4</v>
      </c>
      <c r="E490" s="6" t="n">
        <f aca="false">ROUND(B490/D490,2)</f>
        <v>1.35</v>
      </c>
      <c r="F490" s="6" t="n">
        <f aca="false">ROUND(F489+E490,2)</f>
        <v>464.66</v>
      </c>
    </row>
    <row r="491" customFormat="false" ht="15" hidden="false" customHeight="true" outlineLevel="0" collapsed="false">
      <c r="A491" s="6" t="n">
        <v>489</v>
      </c>
      <c r="B491" s="6" t="n">
        <f aca="false">ROUND(Veterancy_XP!$B$5*(A491+1)^Veterancy_XP!$B$6,0)</f>
        <v>367</v>
      </c>
      <c r="C491" s="6" t="n">
        <f aca="false">ROUND(1/(A491+1)^Veterancy_XP!$E$6,4)</f>
        <v>0.2723</v>
      </c>
      <c r="D491" s="6" t="n">
        <f aca="false">ROUND(Veterancy_XP!$E$5*C491,1)</f>
        <v>272.3</v>
      </c>
      <c r="E491" s="6" t="n">
        <f aca="false">ROUND(B491/D491,2)</f>
        <v>1.35</v>
      </c>
      <c r="F491" s="6" t="n">
        <f aca="false">ROUND(F490+E491,2)</f>
        <v>466.01</v>
      </c>
    </row>
    <row r="492" customFormat="false" ht="15" hidden="false" customHeight="true" outlineLevel="0" collapsed="false">
      <c r="A492" s="6" t="n">
        <v>490</v>
      </c>
      <c r="B492" s="6" t="n">
        <f aca="false">ROUND(Veterancy_XP!$B$5*(A492+1)^Veterancy_XP!$B$6,0)</f>
        <v>367</v>
      </c>
      <c r="C492" s="6" t="n">
        <f aca="false">ROUND(1/(A492+1)^Veterancy_XP!$E$6,4)</f>
        <v>0.2722</v>
      </c>
      <c r="D492" s="6" t="n">
        <f aca="false">ROUND(Veterancy_XP!$E$5*C492,1)</f>
        <v>272.2</v>
      </c>
      <c r="E492" s="6" t="n">
        <f aca="false">ROUND(B492/D492,2)</f>
        <v>1.35</v>
      </c>
      <c r="F492" s="6" t="n">
        <f aca="false">ROUND(F491+E492,2)</f>
        <v>467.36</v>
      </c>
    </row>
    <row r="493" customFormat="false" ht="15" hidden="false" customHeight="true" outlineLevel="0" collapsed="false">
      <c r="A493" s="6" t="n">
        <v>491</v>
      </c>
      <c r="B493" s="6" t="n">
        <f aca="false">ROUND(Veterancy_XP!$B$5*(A493+1)^Veterancy_XP!$B$6,0)</f>
        <v>368</v>
      </c>
      <c r="C493" s="6" t="n">
        <f aca="false">ROUND(1/(A493+1)^Veterancy_XP!$E$6,4)</f>
        <v>0.2721</v>
      </c>
      <c r="D493" s="6" t="n">
        <f aca="false">ROUND(Veterancy_XP!$E$5*C493,1)</f>
        <v>272.1</v>
      </c>
      <c r="E493" s="6" t="n">
        <f aca="false">ROUND(B493/D493,2)</f>
        <v>1.35</v>
      </c>
      <c r="F493" s="6" t="n">
        <f aca="false">ROUND(F492+E493,2)</f>
        <v>468.71</v>
      </c>
    </row>
    <row r="494" customFormat="false" ht="15" hidden="false" customHeight="true" outlineLevel="0" collapsed="false">
      <c r="A494" s="6" t="n">
        <v>492</v>
      </c>
      <c r="B494" s="6" t="n">
        <f aca="false">ROUND(Veterancy_XP!$B$5*(A494+1)^Veterancy_XP!$B$6,0)</f>
        <v>368</v>
      </c>
      <c r="C494" s="6" t="n">
        <f aca="false">ROUND(1/(A494+1)^Veterancy_XP!$E$6,4)</f>
        <v>0.272</v>
      </c>
      <c r="D494" s="6" t="n">
        <f aca="false">ROUND(Veterancy_XP!$E$5*C494,1)</f>
        <v>272</v>
      </c>
      <c r="E494" s="6" t="n">
        <f aca="false">ROUND(B494/D494,2)</f>
        <v>1.35</v>
      </c>
      <c r="F494" s="6" t="n">
        <f aca="false">ROUND(F493+E494,2)</f>
        <v>470.06</v>
      </c>
    </row>
    <row r="495" customFormat="false" ht="15" hidden="false" customHeight="true" outlineLevel="0" collapsed="false">
      <c r="A495" s="6" t="n">
        <v>493</v>
      </c>
      <c r="B495" s="6" t="n">
        <f aca="false">ROUND(Veterancy_XP!$B$5*(A495+1)^Veterancy_XP!$B$6,0)</f>
        <v>368</v>
      </c>
      <c r="C495" s="6" t="n">
        <f aca="false">ROUND(1/(A495+1)^Veterancy_XP!$E$6,4)</f>
        <v>0.2718</v>
      </c>
      <c r="D495" s="6" t="n">
        <f aca="false">ROUND(Veterancy_XP!$E$5*C495,1)</f>
        <v>271.8</v>
      </c>
      <c r="E495" s="6" t="n">
        <f aca="false">ROUND(B495/D495,2)</f>
        <v>1.35</v>
      </c>
      <c r="F495" s="6" t="n">
        <f aca="false">ROUND(F494+E495,2)</f>
        <v>471.41</v>
      </c>
    </row>
    <row r="496" customFormat="false" ht="15" hidden="false" customHeight="true" outlineLevel="0" collapsed="false">
      <c r="A496" s="6" t="n">
        <v>494</v>
      </c>
      <c r="B496" s="6" t="n">
        <f aca="false">ROUND(Veterancy_XP!$B$5*(A496+1)^Veterancy_XP!$B$6,0)</f>
        <v>368</v>
      </c>
      <c r="C496" s="6" t="n">
        <f aca="false">ROUND(1/(A496+1)^Veterancy_XP!$E$6,4)</f>
        <v>0.2717</v>
      </c>
      <c r="D496" s="6" t="n">
        <f aca="false">ROUND(Veterancy_XP!$E$5*C496,1)</f>
        <v>271.7</v>
      </c>
      <c r="E496" s="6" t="n">
        <f aca="false">ROUND(B496/D496,2)</f>
        <v>1.35</v>
      </c>
      <c r="F496" s="6" t="n">
        <f aca="false">ROUND(F495+E496,2)</f>
        <v>472.76</v>
      </c>
    </row>
    <row r="497" customFormat="false" ht="15" hidden="false" customHeight="true" outlineLevel="0" collapsed="false">
      <c r="A497" s="6" t="n">
        <v>495</v>
      </c>
      <c r="B497" s="6" t="n">
        <f aca="false">ROUND(Veterancy_XP!$B$5*(A497+1)^Veterancy_XP!$B$6,0)</f>
        <v>368</v>
      </c>
      <c r="C497" s="6" t="n">
        <f aca="false">ROUND(1/(A497+1)^Veterancy_XP!$E$6,4)</f>
        <v>0.2716</v>
      </c>
      <c r="D497" s="6" t="n">
        <f aca="false">ROUND(Veterancy_XP!$E$5*C497,1)</f>
        <v>271.6</v>
      </c>
      <c r="E497" s="6" t="n">
        <f aca="false">ROUND(B497/D497,2)</f>
        <v>1.35</v>
      </c>
      <c r="F497" s="6" t="n">
        <f aca="false">ROUND(F496+E497,2)</f>
        <v>474.11</v>
      </c>
    </row>
    <row r="498" customFormat="false" ht="15" hidden="false" customHeight="true" outlineLevel="0" collapsed="false">
      <c r="A498" s="6" t="n">
        <v>496</v>
      </c>
      <c r="B498" s="6" t="n">
        <f aca="false">ROUND(Veterancy_XP!$B$5*(A498+1)^Veterancy_XP!$B$6,0)</f>
        <v>368</v>
      </c>
      <c r="C498" s="6" t="n">
        <f aca="false">ROUND(1/(A498+1)^Veterancy_XP!$E$6,4)</f>
        <v>0.2715</v>
      </c>
      <c r="D498" s="6" t="n">
        <f aca="false">ROUND(Veterancy_XP!$E$5*C498,1)</f>
        <v>271.5</v>
      </c>
      <c r="E498" s="6" t="n">
        <f aca="false">ROUND(B498/D498,2)</f>
        <v>1.36</v>
      </c>
      <c r="F498" s="6" t="n">
        <f aca="false">ROUND(F497+E498,2)</f>
        <v>475.47</v>
      </c>
    </row>
    <row r="499" customFormat="false" ht="15" hidden="false" customHeight="true" outlineLevel="0" collapsed="false">
      <c r="A499" s="6" t="n">
        <v>497</v>
      </c>
      <c r="B499" s="6" t="n">
        <f aca="false">ROUND(Veterancy_XP!$B$5*(A499+1)^Veterancy_XP!$B$6,0)</f>
        <v>368</v>
      </c>
      <c r="C499" s="6" t="n">
        <f aca="false">ROUND(1/(A499+1)^Veterancy_XP!$E$6,4)</f>
        <v>0.2714</v>
      </c>
      <c r="D499" s="6" t="n">
        <f aca="false">ROUND(Veterancy_XP!$E$5*C499,1)</f>
        <v>271.4</v>
      </c>
      <c r="E499" s="6" t="n">
        <f aca="false">ROUND(B499/D499,2)</f>
        <v>1.36</v>
      </c>
      <c r="F499" s="6" t="n">
        <f aca="false">ROUND(F498+E499,2)</f>
        <v>476.83</v>
      </c>
    </row>
    <row r="500" customFormat="false" ht="15" hidden="false" customHeight="true" outlineLevel="0" collapsed="false">
      <c r="A500" s="6" t="n">
        <v>498</v>
      </c>
      <c r="B500" s="6" t="n">
        <f aca="false">ROUND(Veterancy_XP!$B$5*(A500+1)^Veterancy_XP!$B$6,0)</f>
        <v>369</v>
      </c>
      <c r="C500" s="6" t="n">
        <f aca="false">ROUND(1/(A500+1)^Veterancy_XP!$E$6,4)</f>
        <v>0.2713</v>
      </c>
      <c r="D500" s="6" t="n">
        <f aca="false">ROUND(Veterancy_XP!$E$5*C500,1)</f>
        <v>271.3</v>
      </c>
      <c r="E500" s="6" t="n">
        <f aca="false">ROUND(B500/D500,2)</f>
        <v>1.36</v>
      </c>
      <c r="F500" s="6" t="n">
        <f aca="false">ROUND(F499+E500,2)</f>
        <v>478.19</v>
      </c>
    </row>
    <row r="501" customFormat="false" ht="15" hidden="false" customHeight="true" outlineLevel="0" collapsed="false">
      <c r="A501" s="6" t="n">
        <v>499</v>
      </c>
      <c r="B501" s="6" t="n">
        <f aca="false">ROUND(Veterancy_XP!$B$5*(A501+1)^Veterancy_XP!$B$6,0)</f>
        <v>369</v>
      </c>
      <c r="C501" s="6" t="n">
        <f aca="false">ROUND(1/(A501+1)^Veterancy_XP!$E$6,4)</f>
        <v>0.2712</v>
      </c>
      <c r="D501" s="6" t="n">
        <f aca="false">ROUND(Veterancy_XP!$E$5*C501,1)</f>
        <v>271.2</v>
      </c>
      <c r="E501" s="6" t="n">
        <f aca="false">ROUND(B501/D501,2)</f>
        <v>1.36</v>
      </c>
      <c r="F501" s="6" t="n">
        <f aca="false">ROUND(F500+E501,2)</f>
        <v>479.55</v>
      </c>
    </row>
    <row r="502" customFormat="false" ht="15" hidden="false" customHeight="true" outlineLevel="0" collapsed="false">
      <c r="A502" s="6" t="n">
        <v>500</v>
      </c>
      <c r="B502" s="6" t="n">
        <f aca="false">ROUND(Veterancy_XP!$B$5*(A502+1)^Veterancy_XP!$B$6,0)</f>
        <v>369</v>
      </c>
      <c r="C502" s="6" t="n">
        <f aca="false">ROUND(1/(A502+1)^Veterancy_XP!$E$6,4)</f>
        <v>0.271</v>
      </c>
      <c r="D502" s="6" t="n">
        <f aca="false">ROUND(Veterancy_XP!$E$5*C502,1)</f>
        <v>271</v>
      </c>
      <c r="E502" s="6" t="n">
        <f aca="false">ROUND(B502/D502,2)</f>
        <v>1.36</v>
      </c>
      <c r="F502" s="6" t="n">
        <f aca="false">ROUND(F501+E502,2)</f>
        <v>480.91</v>
      </c>
    </row>
    <row r="503" customFormat="false" ht="15" hidden="false" customHeight="true" outlineLevel="0" collapsed="false">
      <c r="A503" s="6" t="n">
        <v>501</v>
      </c>
      <c r="B503" s="6" t="n">
        <f aca="false">ROUND(Veterancy_XP!$B$5*(A503+1)^Veterancy_XP!$B$6,0)</f>
        <v>369</v>
      </c>
      <c r="C503" s="6" t="n">
        <f aca="false">ROUND(1/(A503+1)^Veterancy_XP!$E$6,4)</f>
        <v>0.2709</v>
      </c>
      <c r="D503" s="6" t="n">
        <f aca="false">ROUND(Veterancy_XP!$E$5*C503,1)</f>
        <v>270.9</v>
      </c>
      <c r="E503" s="6" t="n">
        <f aca="false">ROUND(B503/D503,2)</f>
        <v>1.36</v>
      </c>
      <c r="F503" s="6" t="n">
        <f aca="false">ROUND(F502+E503,2)</f>
        <v>482.27</v>
      </c>
    </row>
    <row r="504" customFormat="false" ht="15" hidden="false" customHeight="true" outlineLevel="0" collapsed="false">
      <c r="A504" s="6" t="n">
        <v>502</v>
      </c>
      <c r="B504" s="6" t="n">
        <f aca="false">ROUND(Veterancy_XP!$B$5*(A504+1)^Veterancy_XP!$B$6,0)</f>
        <v>369</v>
      </c>
      <c r="C504" s="6" t="n">
        <f aca="false">ROUND(1/(A504+1)^Veterancy_XP!$E$6,4)</f>
        <v>0.2708</v>
      </c>
      <c r="D504" s="6" t="n">
        <f aca="false">ROUND(Veterancy_XP!$E$5*C504,1)</f>
        <v>270.8</v>
      </c>
      <c r="E504" s="6" t="n">
        <f aca="false">ROUND(B504/D504,2)</f>
        <v>1.36</v>
      </c>
      <c r="F504" s="6" t="n">
        <f aca="false">ROUND(F503+E504,2)</f>
        <v>483.63</v>
      </c>
    </row>
    <row r="505" customFormat="false" ht="15" hidden="false" customHeight="true" outlineLevel="0" collapsed="false">
      <c r="A505" s="6" t="n">
        <v>503</v>
      </c>
      <c r="B505" s="6" t="n">
        <f aca="false">ROUND(Veterancy_XP!$B$5*(A505+1)^Veterancy_XP!$B$6,0)</f>
        <v>369</v>
      </c>
      <c r="C505" s="6" t="n">
        <f aca="false">ROUND(1/(A505+1)^Veterancy_XP!$E$6,4)</f>
        <v>0.2707</v>
      </c>
      <c r="D505" s="6" t="n">
        <f aca="false">ROUND(Veterancy_XP!$E$5*C505,1)</f>
        <v>270.7</v>
      </c>
      <c r="E505" s="6" t="n">
        <f aca="false">ROUND(B505/D505,2)</f>
        <v>1.36</v>
      </c>
      <c r="F505" s="6" t="n">
        <f aca="false">ROUND(F504+E505,2)</f>
        <v>484.99</v>
      </c>
    </row>
    <row r="506" customFormat="false" ht="15" hidden="false" customHeight="true" outlineLevel="0" collapsed="false">
      <c r="A506" s="6" t="n">
        <v>504</v>
      </c>
      <c r="B506" s="6" t="n">
        <f aca="false">ROUND(Veterancy_XP!$B$5*(A506+1)^Veterancy_XP!$B$6,0)</f>
        <v>370</v>
      </c>
      <c r="C506" s="6" t="n">
        <f aca="false">ROUND(1/(A506+1)^Veterancy_XP!$E$6,4)</f>
        <v>0.2706</v>
      </c>
      <c r="D506" s="6" t="n">
        <f aca="false">ROUND(Veterancy_XP!$E$5*C506,1)</f>
        <v>270.6</v>
      </c>
      <c r="E506" s="6" t="n">
        <f aca="false">ROUND(B506/D506,2)</f>
        <v>1.37</v>
      </c>
      <c r="F506" s="6" t="n">
        <f aca="false">ROUND(F505+E506,2)</f>
        <v>486.36</v>
      </c>
    </row>
    <row r="507" customFormat="false" ht="15" hidden="false" customHeight="true" outlineLevel="0" collapsed="false">
      <c r="A507" s="6" t="n">
        <v>505</v>
      </c>
      <c r="B507" s="6" t="n">
        <f aca="false">ROUND(Veterancy_XP!$B$5*(A507+1)^Veterancy_XP!$B$6,0)</f>
        <v>370</v>
      </c>
      <c r="C507" s="6" t="n">
        <f aca="false">ROUND(1/(A507+1)^Veterancy_XP!$E$6,4)</f>
        <v>0.2705</v>
      </c>
      <c r="D507" s="6" t="n">
        <f aca="false">ROUND(Veterancy_XP!$E$5*C507,1)</f>
        <v>270.5</v>
      </c>
      <c r="E507" s="6" t="n">
        <f aca="false">ROUND(B507/D507,2)</f>
        <v>1.37</v>
      </c>
      <c r="F507" s="6" t="n">
        <f aca="false">ROUND(F506+E507,2)</f>
        <v>487.73</v>
      </c>
    </row>
    <row r="508" customFormat="false" ht="15" hidden="false" customHeight="true" outlineLevel="0" collapsed="false">
      <c r="A508" s="6" t="n">
        <v>506</v>
      </c>
      <c r="B508" s="6" t="n">
        <f aca="false">ROUND(Veterancy_XP!$B$5*(A508+1)^Veterancy_XP!$B$6,0)</f>
        <v>370</v>
      </c>
      <c r="C508" s="6" t="n">
        <f aca="false">ROUND(1/(A508+1)^Veterancy_XP!$E$6,4)</f>
        <v>0.2704</v>
      </c>
      <c r="D508" s="6" t="n">
        <f aca="false">ROUND(Veterancy_XP!$E$5*C508,1)</f>
        <v>270.4</v>
      </c>
      <c r="E508" s="6" t="n">
        <f aca="false">ROUND(B508/D508,2)</f>
        <v>1.37</v>
      </c>
      <c r="F508" s="6" t="n">
        <f aca="false">ROUND(F507+E508,2)</f>
        <v>489.1</v>
      </c>
    </row>
    <row r="509" customFormat="false" ht="15" hidden="false" customHeight="true" outlineLevel="0" collapsed="false">
      <c r="A509" s="6" t="n">
        <v>507</v>
      </c>
      <c r="B509" s="6" t="n">
        <f aca="false">ROUND(Veterancy_XP!$B$5*(A509+1)^Veterancy_XP!$B$6,0)</f>
        <v>370</v>
      </c>
      <c r="C509" s="6" t="n">
        <f aca="false">ROUND(1/(A509+1)^Veterancy_XP!$E$6,4)</f>
        <v>0.2703</v>
      </c>
      <c r="D509" s="6" t="n">
        <f aca="false">ROUND(Veterancy_XP!$E$5*C509,1)</f>
        <v>270.3</v>
      </c>
      <c r="E509" s="6" t="n">
        <f aca="false">ROUND(B509/D509,2)</f>
        <v>1.37</v>
      </c>
      <c r="F509" s="6" t="n">
        <f aca="false">ROUND(F508+E509,2)</f>
        <v>490.47</v>
      </c>
    </row>
    <row r="510" customFormat="false" ht="15" hidden="false" customHeight="true" outlineLevel="0" collapsed="false">
      <c r="A510" s="6" t="n">
        <v>508</v>
      </c>
      <c r="B510" s="6" t="n">
        <f aca="false">ROUND(Veterancy_XP!$B$5*(A510+1)^Veterancy_XP!$B$6,0)</f>
        <v>370</v>
      </c>
      <c r="C510" s="6" t="n">
        <f aca="false">ROUND(1/(A510+1)^Veterancy_XP!$E$6,4)</f>
        <v>0.2701</v>
      </c>
      <c r="D510" s="6" t="n">
        <f aca="false">ROUND(Veterancy_XP!$E$5*C510,1)</f>
        <v>270.1</v>
      </c>
      <c r="E510" s="6" t="n">
        <f aca="false">ROUND(B510/D510,2)</f>
        <v>1.37</v>
      </c>
      <c r="F510" s="6" t="n">
        <f aca="false">ROUND(F509+E510,2)</f>
        <v>491.84</v>
      </c>
    </row>
    <row r="511" customFormat="false" ht="15" hidden="false" customHeight="true" outlineLevel="0" collapsed="false">
      <c r="A511" s="6" t="n">
        <v>509</v>
      </c>
      <c r="B511" s="6" t="n">
        <f aca="false">ROUND(Veterancy_XP!$B$5*(A511+1)^Veterancy_XP!$B$6,0)</f>
        <v>370</v>
      </c>
      <c r="C511" s="6" t="n">
        <f aca="false">ROUND(1/(A511+1)^Veterancy_XP!$E$6,4)</f>
        <v>0.27</v>
      </c>
      <c r="D511" s="6" t="n">
        <f aca="false">ROUND(Veterancy_XP!$E$5*C511,1)</f>
        <v>270</v>
      </c>
      <c r="E511" s="6" t="n">
        <f aca="false">ROUND(B511/D511,2)</f>
        <v>1.37</v>
      </c>
      <c r="F511" s="6" t="n">
        <f aca="false">ROUND(F510+E511,2)</f>
        <v>493.21</v>
      </c>
    </row>
    <row r="512" customFormat="false" ht="15" hidden="false" customHeight="true" outlineLevel="0" collapsed="false">
      <c r="A512" s="6" t="n">
        <v>510</v>
      </c>
      <c r="B512" s="6" t="n">
        <f aca="false">ROUND(Veterancy_XP!$B$5*(A512+1)^Veterancy_XP!$B$6,0)</f>
        <v>370</v>
      </c>
      <c r="C512" s="6" t="n">
        <f aca="false">ROUND(1/(A512+1)^Veterancy_XP!$E$6,4)</f>
        <v>0.2699</v>
      </c>
      <c r="D512" s="6" t="n">
        <f aca="false">ROUND(Veterancy_XP!$E$5*C512,1)</f>
        <v>269.9</v>
      </c>
      <c r="E512" s="6" t="n">
        <f aca="false">ROUND(B512/D512,2)</f>
        <v>1.37</v>
      </c>
      <c r="F512" s="6" t="n">
        <f aca="false">ROUND(F511+E512,2)</f>
        <v>494.58</v>
      </c>
    </row>
    <row r="513" customFormat="false" ht="15" hidden="false" customHeight="true" outlineLevel="0" collapsed="false">
      <c r="A513" s="6" t="n">
        <v>511</v>
      </c>
      <c r="B513" s="6" t="n">
        <f aca="false">ROUND(Veterancy_XP!$B$5*(A513+1)^Veterancy_XP!$B$6,0)</f>
        <v>371</v>
      </c>
      <c r="C513" s="6" t="n">
        <f aca="false">ROUND(1/(A513+1)^Veterancy_XP!$E$6,4)</f>
        <v>0.2698</v>
      </c>
      <c r="D513" s="6" t="n">
        <f aca="false">ROUND(Veterancy_XP!$E$5*C513,1)</f>
        <v>269.8</v>
      </c>
      <c r="E513" s="6" t="n">
        <f aca="false">ROUND(B513/D513,2)</f>
        <v>1.38</v>
      </c>
      <c r="F513" s="6" t="n">
        <f aca="false">ROUND(F512+E513,2)</f>
        <v>495.96</v>
      </c>
    </row>
    <row r="514" customFormat="false" ht="15" hidden="false" customHeight="true" outlineLevel="0" collapsed="false">
      <c r="A514" s="6" t="n">
        <v>512</v>
      </c>
      <c r="B514" s="6" t="n">
        <f aca="false">ROUND(Veterancy_XP!$B$5*(A514+1)^Veterancy_XP!$B$6,0)</f>
        <v>371</v>
      </c>
      <c r="C514" s="6" t="n">
        <f aca="false">ROUND(1/(A514+1)^Veterancy_XP!$E$6,4)</f>
        <v>0.2697</v>
      </c>
      <c r="D514" s="6" t="n">
        <f aca="false">ROUND(Veterancy_XP!$E$5*C514,1)</f>
        <v>269.7</v>
      </c>
      <c r="E514" s="6" t="n">
        <f aca="false">ROUND(B514/D514,2)</f>
        <v>1.38</v>
      </c>
      <c r="F514" s="6" t="n">
        <f aca="false">ROUND(F513+E514,2)</f>
        <v>497.34</v>
      </c>
    </row>
    <row r="515" customFormat="false" ht="15" hidden="false" customHeight="true" outlineLevel="0" collapsed="false">
      <c r="A515" s="6" t="n">
        <v>513</v>
      </c>
      <c r="B515" s="6" t="n">
        <f aca="false">ROUND(Veterancy_XP!$B$5*(A515+1)^Veterancy_XP!$B$6,0)</f>
        <v>371</v>
      </c>
      <c r="C515" s="6" t="n">
        <f aca="false">ROUND(1/(A515+1)^Veterancy_XP!$E$6,4)</f>
        <v>0.2696</v>
      </c>
      <c r="D515" s="6" t="n">
        <f aca="false">ROUND(Veterancy_XP!$E$5*C515,1)</f>
        <v>269.6</v>
      </c>
      <c r="E515" s="6" t="n">
        <f aca="false">ROUND(B515/D515,2)</f>
        <v>1.38</v>
      </c>
      <c r="F515" s="6" t="n">
        <f aca="false">ROUND(F514+E515,2)</f>
        <v>498.72</v>
      </c>
    </row>
    <row r="516" customFormat="false" ht="15" hidden="false" customHeight="true" outlineLevel="0" collapsed="false">
      <c r="A516" s="6" t="n">
        <v>514</v>
      </c>
      <c r="B516" s="6" t="n">
        <f aca="false">ROUND(Veterancy_XP!$B$5*(A516+1)^Veterancy_XP!$B$6,0)</f>
        <v>371</v>
      </c>
      <c r="C516" s="6" t="n">
        <f aca="false">ROUND(1/(A516+1)^Veterancy_XP!$E$6,4)</f>
        <v>0.2695</v>
      </c>
      <c r="D516" s="6" t="n">
        <f aca="false">ROUND(Veterancy_XP!$E$5*C516,1)</f>
        <v>269.5</v>
      </c>
      <c r="E516" s="6" t="n">
        <f aca="false">ROUND(B516/D516,2)</f>
        <v>1.38</v>
      </c>
      <c r="F516" s="6" t="n">
        <f aca="false">ROUND(F515+E516,2)</f>
        <v>500.1</v>
      </c>
    </row>
    <row r="517" customFormat="false" ht="15" hidden="false" customHeight="true" outlineLevel="0" collapsed="false">
      <c r="A517" s="6" t="n">
        <v>515</v>
      </c>
      <c r="B517" s="6" t="n">
        <f aca="false">ROUND(Veterancy_XP!$B$5*(A517+1)^Veterancy_XP!$B$6,0)</f>
        <v>371</v>
      </c>
      <c r="C517" s="6" t="n">
        <f aca="false">ROUND(1/(A517+1)^Veterancy_XP!$E$6,4)</f>
        <v>0.2694</v>
      </c>
      <c r="D517" s="6" t="n">
        <f aca="false">ROUND(Veterancy_XP!$E$5*C517,1)</f>
        <v>269.4</v>
      </c>
      <c r="E517" s="6" t="n">
        <f aca="false">ROUND(B517/D517,2)</f>
        <v>1.38</v>
      </c>
      <c r="F517" s="6" t="n">
        <f aca="false">ROUND(F516+E517,2)</f>
        <v>501.48</v>
      </c>
    </row>
    <row r="518" customFormat="false" ht="15" hidden="false" customHeight="true" outlineLevel="0" collapsed="false">
      <c r="A518" s="6" t="n">
        <v>516</v>
      </c>
      <c r="B518" s="6" t="n">
        <f aca="false">ROUND(Veterancy_XP!$B$5*(A518+1)^Veterancy_XP!$B$6,0)</f>
        <v>371</v>
      </c>
      <c r="C518" s="6" t="n">
        <f aca="false">ROUND(1/(A518+1)^Veterancy_XP!$E$6,4)</f>
        <v>0.2693</v>
      </c>
      <c r="D518" s="6" t="n">
        <f aca="false">ROUND(Veterancy_XP!$E$5*C518,1)</f>
        <v>269.3</v>
      </c>
      <c r="E518" s="6" t="n">
        <f aca="false">ROUND(B518/D518,2)</f>
        <v>1.38</v>
      </c>
      <c r="F518" s="6" t="n">
        <f aca="false">ROUND(F517+E518,2)</f>
        <v>502.86</v>
      </c>
    </row>
    <row r="519" customFormat="false" ht="15" hidden="false" customHeight="true" outlineLevel="0" collapsed="false">
      <c r="A519" s="6" t="n">
        <v>517</v>
      </c>
      <c r="B519" s="6" t="n">
        <f aca="false">ROUND(Veterancy_XP!$B$5*(A519+1)^Veterancy_XP!$B$6,0)</f>
        <v>372</v>
      </c>
      <c r="C519" s="6" t="n">
        <f aca="false">ROUND(1/(A519+1)^Veterancy_XP!$E$6,4)</f>
        <v>0.2691</v>
      </c>
      <c r="D519" s="6" t="n">
        <f aca="false">ROUND(Veterancy_XP!$E$5*C519,1)</f>
        <v>269.1</v>
      </c>
      <c r="E519" s="6" t="n">
        <f aca="false">ROUND(B519/D519,2)</f>
        <v>1.38</v>
      </c>
      <c r="F519" s="6" t="n">
        <f aca="false">ROUND(F518+E519,2)</f>
        <v>504.24</v>
      </c>
    </row>
    <row r="520" customFormat="false" ht="15" hidden="false" customHeight="true" outlineLevel="0" collapsed="false">
      <c r="A520" s="6" t="n">
        <v>518</v>
      </c>
      <c r="B520" s="6" t="n">
        <f aca="false">ROUND(Veterancy_XP!$B$5*(A520+1)^Veterancy_XP!$B$6,0)</f>
        <v>372</v>
      </c>
      <c r="C520" s="6" t="n">
        <f aca="false">ROUND(1/(A520+1)^Veterancy_XP!$E$6,4)</f>
        <v>0.269</v>
      </c>
      <c r="D520" s="6" t="n">
        <f aca="false">ROUND(Veterancy_XP!$E$5*C520,1)</f>
        <v>269</v>
      </c>
      <c r="E520" s="6" t="n">
        <f aca="false">ROUND(B520/D520,2)</f>
        <v>1.38</v>
      </c>
      <c r="F520" s="6" t="n">
        <f aca="false">ROUND(F519+E520,2)</f>
        <v>505.62</v>
      </c>
    </row>
    <row r="521" customFormat="false" ht="15" hidden="false" customHeight="true" outlineLevel="0" collapsed="false">
      <c r="A521" s="6" t="n">
        <v>519</v>
      </c>
      <c r="B521" s="6" t="n">
        <f aca="false">ROUND(Veterancy_XP!$B$5*(A521+1)^Veterancy_XP!$B$6,0)</f>
        <v>372</v>
      </c>
      <c r="C521" s="6" t="n">
        <f aca="false">ROUND(1/(A521+1)^Veterancy_XP!$E$6,4)</f>
        <v>0.2689</v>
      </c>
      <c r="D521" s="6" t="n">
        <f aca="false">ROUND(Veterancy_XP!$E$5*C521,1)</f>
        <v>268.9</v>
      </c>
      <c r="E521" s="6" t="n">
        <f aca="false">ROUND(B521/D521,2)</f>
        <v>1.38</v>
      </c>
      <c r="F521" s="6" t="n">
        <f aca="false">ROUND(F520+E521,2)</f>
        <v>507</v>
      </c>
    </row>
    <row r="522" customFormat="false" ht="15" hidden="false" customHeight="true" outlineLevel="0" collapsed="false">
      <c r="A522" s="6" t="n">
        <v>520</v>
      </c>
      <c r="B522" s="6" t="n">
        <f aca="false">ROUND(Veterancy_XP!$B$5*(A522+1)^Veterancy_XP!$B$6,0)</f>
        <v>372</v>
      </c>
      <c r="C522" s="6" t="n">
        <f aca="false">ROUND(1/(A522+1)^Veterancy_XP!$E$6,4)</f>
        <v>0.2688</v>
      </c>
      <c r="D522" s="6" t="n">
        <f aca="false">ROUND(Veterancy_XP!$E$5*C522,1)</f>
        <v>268.8</v>
      </c>
      <c r="E522" s="6" t="n">
        <f aca="false">ROUND(B522/D522,2)</f>
        <v>1.38</v>
      </c>
      <c r="F522" s="6" t="n">
        <f aca="false">ROUND(F521+E522,2)</f>
        <v>508.38</v>
      </c>
    </row>
    <row r="523" customFormat="false" ht="15" hidden="false" customHeight="true" outlineLevel="0" collapsed="false">
      <c r="A523" s="6" t="n">
        <v>521</v>
      </c>
      <c r="B523" s="6" t="n">
        <f aca="false">ROUND(Veterancy_XP!$B$5*(A523+1)^Veterancy_XP!$B$6,0)</f>
        <v>372</v>
      </c>
      <c r="C523" s="6" t="n">
        <f aca="false">ROUND(1/(A523+1)^Veterancy_XP!$E$6,4)</f>
        <v>0.2687</v>
      </c>
      <c r="D523" s="6" t="n">
        <f aca="false">ROUND(Veterancy_XP!$E$5*C523,1)</f>
        <v>268.7</v>
      </c>
      <c r="E523" s="6" t="n">
        <f aca="false">ROUND(B523/D523,2)</f>
        <v>1.38</v>
      </c>
      <c r="F523" s="6" t="n">
        <f aca="false">ROUND(F522+E523,2)</f>
        <v>509.76</v>
      </c>
    </row>
    <row r="524" customFormat="false" ht="15" hidden="false" customHeight="true" outlineLevel="0" collapsed="false">
      <c r="A524" s="6" t="n">
        <v>522</v>
      </c>
      <c r="B524" s="6" t="n">
        <f aca="false">ROUND(Veterancy_XP!$B$5*(A524+1)^Veterancy_XP!$B$6,0)</f>
        <v>372</v>
      </c>
      <c r="C524" s="6" t="n">
        <f aca="false">ROUND(1/(A524+1)^Veterancy_XP!$E$6,4)</f>
        <v>0.2686</v>
      </c>
      <c r="D524" s="6" t="n">
        <f aca="false">ROUND(Veterancy_XP!$E$5*C524,1)</f>
        <v>268.6</v>
      </c>
      <c r="E524" s="6" t="n">
        <f aca="false">ROUND(B524/D524,2)</f>
        <v>1.38</v>
      </c>
      <c r="F524" s="6" t="n">
        <f aca="false">ROUND(F523+E524,2)</f>
        <v>511.14</v>
      </c>
    </row>
    <row r="525" customFormat="false" ht="15" hidden="false" customHeight="true" outlineLevel="0" collapsed="false">
      <c r="A525" s="6" t="n">
        <v>523</v>
      </c>
      <c r="B525" s="6" t="n">
        <f aca="false">ROUND(Veterancy_XP!$B$5*(A525+1)^Veterancy_XP!$B$6,0)</f>
        <v>372</v>
      </c>
      <c r="C525" s="6" t="n">
        <f aca="false">ROUND(1/(A525+1)^Veterancy_XP!$E$6,4)</f>
        <v>0.2685</v>
      </c>
      <c r="D525" s="6" t="n">
        <f aca="false">ROUND(Veterancy_XP!$E$5*C525,1)</f>
        <v>268.5</v>
      </c>
      <c r="E525" s="6" t="n">
        <f aca="false">ROUND(B525/D525,2)</f>
        <v>1.39</v>
      </c>
      <c r="F525" s="6" t="n">
        <f aca="false">ROUND(F524+E525,2)</f>
        <v>512.53</v>
      </c>
    </row>
    <row r="526" customFormat="false" ht="15" hidden="false" customHeight="true" outlineLevel="0" collapsed="false">
      <c r="A526" s="6" t="n">
        <v>524</v>
      </c>
      <c r="B526" s="6" t="n">
        <f aca="false">ROUND(Veterancy_XP!$B$5*(A526+1)^Veterancy_XP!$B$6,0)</f>
        <v>373</v>
      </c>
      <c r="C526" s="6" t="n">
        <f aca="false">ROUND(1/(A526+1)^Veterancy_XP!$E$6,4)</f>
        <v>0.2684</v>
      </c>
      <c r="D526" s="6" t="n">
        <f aca="false">ROUND(Veterancy_XP!$E$5*C526,1)</f>
        <v>268.4</v>
      </c>
      <c r="E526" s="6" t="n">
        <f aca="false">ROUND(B526/D526,2)</f>
        <v>1.39</v>
      </c>
      <c r="F526" s="6" t="n">
        <f aca="false">ROUND(F525+E526,2)</f>
        <v>513.92</v>
      </c>
    </row>
    <row r="527" customFormat="false" ht="15" hidden="false" customHeight="true" outlineLevel="0" collapsed="false">
      <c r="A527" s="6" t="n">
        <v>525</v>
      </c>
      <c r="B527" s="6" t="n">
        <f aca="false">ROUND(Veterancy_XP!$B$5*(A527+1)^Veterancy_XP!$B$6,0)</f>
        <v>373</v>
      </c>
      <c r="C527" s="6" t="n">
        <f aca="false">ROUND(1/(A527+1)^Veterancy_XP!$E$6,4)</f>
        <v>0.2683</v>
      </c>
      <c r="D527" s="6" t="n">
        <f aca="false">ROUND(Veterancy_XP!$E$5*C527,1)</f>
        <v>268.3</v>
      </c>
      <c r="E527" s="6" t="n">
        <f aca="false">ROUND(B527/D527,2)</f>
        <v>1.39</v>
      </c>
      <c r="F527" s="6" t="n">
        <f aca="false">ROUND(F526+E527,2)</f>
        <v>515.31</v>
      </c>
    </row>
    <row r="528" customFormat="false" ht="15" hidden="false" customHeight="true" outlineLevel="0" collapsed="false">
      <c r="A528" s="6" t="n">
        <v>526</v>
      </c>
      <c r="B528" s="6" t="n">
        <f aca="false">ROUND(Veterancy_XP!$B$5*(A528+1)^Veterancy_XP!$B$6,0)</f>
        <v>373</v>
      </c>
      <c r="C528" s="6" t="n">
        <f aca="false">ROUND(1/(A528+1)^Veterancy_XP!$E$6,4)</f>
        <v>0.2682</v>
      </c>
      <c r="D528" s="6" t="n">
        <f aca="false">ROUND(Veterancy_XP!$E$5*C528,1)</f>
        <v>268.2</v>
      </c>
      <c r="E528" s="6" t="n">
        <f aca="false">ROUND(B528/D528,2)</f>
        <v>1.39</v>
      </c>
      <c r="F528" s="6" t="n">
        <f aca="false">ROUND(F527+E528,2)</f>
        <v>516.7</v>
      </c>
    </row>
    <row r="529" customFormat="false" ht="15" hidden="false" customHeight="true" outlineLevel="0" collapsed="false">
      <c r="A529" s="6" t="n">
        <v>527</v>
      </c>
      <c r="B529" s="6" t="n">
        <f aca="false">ROUND(Veterancy_XP!$B$5*(A529+1)^Veterancy_XP!$B$6,0)</f>
        <v>373</v>
      </c>
      <c r="C529" s="6" t="n">
        <f aca="false">ROUND(1/(A529+1)^Veterancy_XP!$E$6,4)</f>
        <v>0.2681</v>
      </c>
      <c r="D529" s="6" t="n">
        <f aca="false">ROUND(Veterancy_XP!$E$5*C529,1)</f>
        <v>268.1</v>
      </c>
      <c r="E529" s="6" t="n">
        <f aca="false">ROUND(B529/D529,2)</f>
        <v>1.39</v>
      </c>
      <c r="F529" s="6" t="n">
        <f aca="false">ROUND(F528+E529,2)</f>
        <v>518.09</v>
      </c>
    </row>
    <row r="530" customFormat="false" ht="15" hidden="false" customHeight="true" outlineLevel="0" collapsed="false">
      <c r="A530" s="6" t="n">
        <v>528</v>
      </c>
      <c r="B530" s="6" t="n">
        <f aca="false">ROUND(Veterancy_XP!$B$5*(A530+1)^Veterancy_XP!$B$6,0)</f>
        <v>373</v>
      </c>
      <c r="C530" s="6" t="n">
        <f aca="false">ROUND(1/(A530+1)^Veterancy_XP!$E$6,4)</f>
        <v>0.268</v>
      </c>
      <c r="D530" s="6" t="n">
        <f aca="false">ROUND(Veterancy_XP!$E$5*C530,1)</f>
        <v>268</v>
      </c>
      <c r="E530" s="6" t="n">
        <f aca="false">ROUND(B530/D530,2)</f>
        <v>1.39</v>
      </c>
      <c r="F530" s="6" t="n">
        <f aca="false">ROUND(F529+E530,2)</f>
        <v>519.48</v>
      </c>
    </row>
    <row r="531" customFormat="false" ht="15" hidden="false" customHeight="true" outlineLevel="0" collapsed="false">
      <c r="A531" s="6" t="n">
        <v>529</v>
      </c>
      <c r="B531" s="6" t="n">
        <f aca="false">ROUND(Veterancy_XP!$B$5*(A531+1)^Veterancy_XP!$B$6,0)</f>
        <v>373</v>
      </c>
      <c r="C531" s="6" t="n">
        <f aca="false">ROUND(1/(A531+1)^Veterancy_XP!$E$6,4)</f>
        <v>0.2679</v>
      </c>
      <c r="D531" s="6" t="n">
        <f aca="false">ROUND(Veterancy_XP!$E$5*C531,1)</f>
        <v>267.9</v>
      </c>
      <c r="E531" s="6" t="n">
        <f aca="false">ROUND(B531/D531,2)</f>
        <v>1.39</v>
      </c>
      <c r="F531" s="6" t="n">
        <f aca="false">ROUND(F530+E531,2)</f>
        <v>520.87</v>
      </c>
    </row>
    <row r="532" customFormat="false" ht="15" hidden="false" customHeight="true" outlineLevel="0" collapsed="false">
      <c r="A532" s="6" t="n">
        <v>530</v>
      </c>
      <c r="B532" s="6" t="n">
        <f aca="false">ROUND(Veterancy_XP!$B$5*(A532+1)^Veterancy_XP!$B$6,0)</f>
        <v>373</v>
      </c>
      <c r="C532" s="6" t="n">
        <f aca="false">ROUND(1/(A532+1)^Veterancy_XP!$E$6,4)</f>
        <v>0.2678</v>
      </c>
      <c r="D532" s="6" t="n">
        <f aca="false">ROUND(Veterancy_XP!$E$5*C532,1)</f>
        <v>267.8</v>
      </c>
      <c r="E532" s="6" t="n">
        <f aca="false">ROUND(B532/D532,2)</f>
        <v>1.39</v>
      </c>
      <c r="F532" s="6" t="n">
        <f aca="false">ROUND(F531+E532,2)</f>
        <v>522.26</v>
      </c>
    </row>
    <row r="533" customFormat="false" ht="15" hidden="false" customHeight="true" outlineLevel="0" collapsed="false">
      <c r="A533" s="6" t="n">
        <v>531</v>
      </c>
      <c r="B533" s="6" t="n">
        <f aca="false">ROUND(Veterancy_XP!$B$5*(A533+1)^Veterancy_XP!$B$6,0)</f>
        <v>374</v>
      </c>
      <c r="C533" s="6" t="n">
        <f aca="false">ROUND(1/(A533+1)^Veterancy_XP!$E$6,4)</f>
        <v>0.2676</v>
      </c>
      <c r="D533" s="6" t="n">
        <f aca="false">ROUND(Veterancy_XP!$E$5*C533,1)</f>
        <v>267.6</v>
      </c>
      <c r="E533" s="6" t="n">
        <f aca="false">ROUND(B533/D533,2)</f>
        <v>1.4</v>
      </c>
      <c r="F533" s="6" t="n">
        <f aca="false">ROUND(F532+E533,2)</f>
        <v>523.66</v>
      </c>
    </row>
    <row r="534" customFormat="false" ht="15" hidden="false" customHeight="true" outlineLevel="0" collapsed="false">
      <c r="A534" s="6" t="n">
        <v>532</v>
      </c>
      <c r="B534" s="6" t="n">
        <f aca="false">ROUND(Veterancy_XP!$B$5*(A534+1)^Veterancy_XP!$B$6,0)</f>
        <v>374</v>
      </c>
      <c r="C534" s="6" t="n">
        <f aca="false">ROUND(1/(A534+1)^Veterancy_XP!$E$6,4)</f>
        <v>0.2675</v>
      </c>
      <c r="D534" s="6" t="n">
        <f aca="false">ROUND(Veterancy_XP!$E$5*C534,1)</f>
        <v>267.5</v>
      </c>
      <c r="E534" s="6" t="n">
        <f aca="false">ROUND(B534/D534,2)</f>
        <v>1.4</v>
      </c>
      <c r="F534" s="6" t="n">
        <f aca="false">ROUND(F533+E534,2)</f>
        <v>525.06</v>
      </c>
    </row>
    <row r="535" customFormat="false" ht="15" hidden="false" customHeight="true" outlineLevel="0" collapsed="false">
      <c r="A535" s="6" t="n">
        <v>533</v>
      </c>
      <c r="B535" s="6" t="n">
        <f aca="false">ROUND(Veterancy_XP!$B$5*(A535+1)^Veterancy_XP!$B$6,0)</f>
        <v>374</v>
      </c>
      <c r="C535" s="6" t="n">
        <f aca="false">ROUND(1/(A535+1)^Veterancy_XP!$E$6,4)</f>
        <v>0.2674</v>
      </c>
      <c r="D535" s="6" t="n">
        <f aca="false">ROUND(Veterancy_XP!$E$5*C535,1)</f>
        <v>267.4</v>
      </c>
      <c r="E535" s="6" t="n">
        <f aca="false">ROUND(B535/D535,2)</f>
        <v>1.4</v>
      </c>
      <c r="F535" s="6" t="n">
        <f aca="false">ROUND(F534+E535,2)</f>
        <v>526.46</v>
      </c>
    </row>
    <row r="536" customFormat="false" ht="15" hidden="false" customHeight="true" outlineLevel="0" collapsed="false">
      <c r="A536" s="6" t="n">
        <v>534</v>
      </c>
      <c r="B536" s="6" t="n">
        <f aca="false">ROUND(Veterancy_XP!$B$5*(A536+1)^Veterancy_XP!$B$6,0)</f>
        <v>374</v>
      </c>
      <c r="C536" s="6" t="n">
        <f aca="false">ROUND(1/(A536+1)^Veterancy_XP!$E$6,4)</f>
        <v>0.2673</v>
      </c>
      <c r="D536" s="6" t="n">
        <f aca="false">ROUND(Veterancy_XP!$E$5*C536,1)</f>
        <v>267.3</v>
      </c>
      <c r="E536" s="6" t="n">
        <f aca="false">ROUND(B536/D536,2)</f>
        <v>1.4</v>
      </c>
      <c r="F536" s="6" t="n">
        <f aca="false">ROUND(F535+E536,2)</f>
        <v>527.86</v>
      </c>
    </row>
    <row r="537" customFormat="false" ht="15" hidden="false" customHeight="true" outlineLevel="0" collapsed="false">
      <c r="A537" s="6" t="n">
        <v>535</v>
      </c>
      <c r="B537" s="6" t="n">
        <f aca="false">ROUND(Veterancy_XP!$B$5*(A537+1)^Veterancy_XP!$B$6,0)</f>
        <v>374</v>
      </c>
      <c r="C537" s="6" t="n">
        <f aca="false">ROUND(1/(A537+1)^Veterancy_XP!$E$6,4)</f>
        <v>0.2672</v>
      </c>
      <c r="D537" s="6" t="n">
        <f aca="false">ROUND(Veterancy_XP!$E$5*C537,1)</f>
        <v>267.2</v>
      </c>
      <c r="E537" s="6" t="n">
        <f aca="false">ROUND(B537/D537,2)</f>
        <v>1.4</v>
      </c>
      <c r="F537" s="6" t="n">
        <f aca="false">ROUND(F536+E537,2)</f>
        <v>529.26</v>
      </c>
    </row>
    <row r="538" customFormat="false" ht="15" hidden="false" customHeight="true" outlineLevel="0" collapsed="false">
      <c r="A538" s="6" t="n">
        <v>536</v>
      </c>
      <c r="B538" s="6" t="n">
        <f aca="false">ROUND(Veterancy_XP!$B$5*(A538+1)^Veterancy_XP!$B$6,0)</f>
        <v>374</v>
      </c>
      <c r="C538" s="6" t="n">
        <f aca="false">ROUND(1/(A538+1)^Veterancy_XP!$E$6,4)</f>
        <v>0.2671</v>
      </c>
      <c r="D538" s="6" t="n">
        <f aca="false">ROUND(Veterancy_XP!$E$5*C538,1)</f>
        <v>267.1</v>
      </c>
      <c r="E538" s="6" t="n">
        <f aca="false">ROUND(B538/D538,2)</f>
        <v>1.4</v>
      </c>
      <c r="F538" s="6" t="n">
        <f aca="false">ROUND(F537+E538,2)</f>
        <v>530.66</v>
      </c>
    </row>
    <row r="539" customFormat="false" ht="15" hidden="false" customHeight="true" outlineLevel="0" collapsed="false">
      <c r="A539" s="6" t="n">
        <v>537</v>
      </c>
      <c r="B539" s="6" t="n">
        <f aca="false">ROUND(Veterancy_XP!$B$5*(A539+1)^Veterancy_XP!$B$6,0)</f>
        <v>375</v>
      </c>
      <c r="C539" s="6" t="n">
        <f aca="false">ROUND(1/(A539+1)^Veterancy_XP!$E$6,4)</f>
        <v>0.267</v>
      </c>
      <c r="D539" s="6" t="n">
        <f aca="false">ROUND(Veterancy_XP!$E$5*C539,1)</f>
        <v>267</v>
      </c>
      <c r="E539" s="6" t="n">
        <f aca="false">ROUND(B539/D539,2)</f>
        <v>1.4</v>
      </c>
      <c r="F539" s="6" t="n">
        <f aca="false">ROUND(F538+E539,2)</f>
        <v>532.06</v>
      </c>
    </row>
    <row r="540" customFormat="false" ht="15" hidden="false" customHeight="true" outlineLevel="0" collapsed="false">
      <c r="A540" s="6" t="n">
        <v>538</v>
      </c>
      <c r="B540" s="6" t="n">
        <f aca="false">ROUND(Veterancy_XP!$B$5*(A540+1)^Veterancy_XP!$B$6,0)</f>
        <v>375</v>
      </c>
      <c r="C540" s="6" t="n">
        <f aca="false">ROUND(1/(A540+1)^Veterancy_XP!$E$6,4)</f>
        <v>0.2669</v>
      </c>
      <c r="D540" s="6" t="n">
        <f aca="false">ROUND(Veterancy_XP!$E$5*C540,1)</f>
        <v>266.9</v>
      </c>
      <c r="E540" s="6" t="n">
        <f aca="false">ROUND(B540/D540,2)</f>
        <v>1.41</v>
      </c>
      <c r="F540" s="6" t="n">
        <f aca="false">ROUND(F539+E540,2)</f>
        <v>533.47</v>
      </c>
    </row>
    <row r="541" customFormat="false" ht="15" hidden="false" customHeight="true" outlineLevel="0" collapsed="false">
      <c r="A541" s="6" t="n">
        <v>539</v>
      </c>
      <c r="B541" s="6" t="n">
        <f aca="false">ROUND(Veterancy_XP!$B$5*(A541+1)^Veterancy_XP!$B$6,0)</f>
        <v>375</v>
      </c>
      <c r="C541" s="6" t="n">
        <f aca="false">ROUND(1/(A541+1)^Veterancy_XP!$E$6,4)</f>
        <v>0.2668</v>
      </c>
      <c r="D541" s="6" t="n">
        <f aca="false">ROUND(Veterancy_XP!$E$5*C541,1)</f>
        <v>266.8</v>
      </c>
      <c r="E541" s="6" t="n">
        <f aca="false">ROUND(B541/D541,2)</f>
        <v>1.41</v>
      </c>
      <c r="F541" s="6" t="n">
        <f aca="false">ROUND(F540+E541,2)</f>
        <v>534.88</v>
      </c>
    </row>
    <row r="542" customFormat="false" ht="15" hidden="false" customHeight="true" outlineLevel="0" collapsed="false">
      <c r="A542" s="6" t="n">
        <v>540</v>
      </c>
      <c r="B542" s="6" t="n">
        <f aca="false">ROUND(Veterancy_XP!$B$5*(A542+1)^Veterancy_XP!$B$6,0)</f>
        <v>375</v>
      </c>
      <c r="C542" s="6" t="n">
        <f aca="false">ROUND(1/(A542+1)^Veterancy_XP!$E$6,4)</f>
        <v>0.2667</v>
      </c>
      <c r="D542" s="6" t="n">
        <f aca="false">ROUND(Veterancy_XP!$E$5*C542,1)</f>
        <v>266.7</v>
      </c>
      <c r="E542" s="6" t="n">
        <f aca="false">ROUND(B542/D542,2)</f>
        <v>1.41</v>
      </c>
      <c r="F542" s="6" t="n">
        <f aca="false">ROUND(F541+E542,2)</f>
        <v>536.29</v>
      </c>
    </row>
    <row r="543" customFormat="false" ht="15" hidden="false" customHeight="true" outlineLevel="0" collapsed="false">
      <c r="A543" s="6" t="n">
        <v>541</v>
      </c>
      <c r="B543" s="6" t="n">
        <f aca="false">ROUND(Veterancy_XP!$B$5*(A543+1)^Veterancy_XP!$B$6,0)</f>
        <v>375</v>
      </c>
      <c r="C543" s="6" t="n">
        <f aca="false">ROUND(1/(A543+1)^Veterancy_XP!$E$6,4)</f>
        <v>0.2666</v>
      </c>
      <c r="D543" s="6" t="n">
        <f aca="false">ROUND(Veterancy_XP!$E$5*C543,1)</f>
        <v>266.6</v>
      </c>
      <c r="E543" s="6" t="n">
        <f aca="false">ROUND(B543/D543,2)</f>
        <v>1.41</v>
      </c>
      <c r="F543" s="6" t="n">
        <f aca="false">ROUND(F542+E543,2)</f>
        <v>537.7</v>
      </c>
    </row>
    <row r="544" customFormat="false" ht="15" hidden="false" customHeight="true" outlineLevel="0" collapsed="false">
      <c r="A544" s="6" t="n">
        <v>542</v>
      </c>
      <c r="B544" s="6" t="n">
        <f aca="false">ROUND(Veterancy_XP!$B$5*(A544+1)^Veterancy_XP!$B$6,0)</f>
        <v>375</v>
      </c>
      <c r="C544" s="6" t="n">
        <f aca="false">ROUND(1/(A544+1)^Veterancy_XP!$E$6,4)</f>
        <v>0.2665</v>
      </c>
      <c r="D544" s="6" t="n">
        <f aca="false">ROUND(Veterancy_XP!$E$5*C544,1)</f>
        <v>266.5</v>
      </c>
      <c r="E544" s="6" t="n">
        <f aca="false">ROUND(B544/D544,2)</f>
        <v>1.41</v>
      </c>
      <c r="F544" s="6" t="n">
        <f aca="false">ROUND(F543+E544,2)</f>
        <v>539.11</v>
      </c>
    </row>
    <row r="545" customFormat="false" ht="15" hidden="false" customHeight="true" outlineLevel="0" collapsed="false">
      <c r="A545" s="6" t="n">
        <v>543</v>
      </c>
      <c r="B545" s="6" t="n">
        <f aca="false">ROUND(Veterancy_XP!$B$5*(A545+1)^Veterancy_XP!$B$6,0)</f>
        <v>375</v>
      </c>
      <c r="C545" s="6" t="n">
        <f aca="false">ROUND(1/(A545+1)^Veterancy_XP!$E$6,4)</f>
        <v>0.2664</v>
      </c>
      <c r="D545" s="6" t="n">
        <f aca="false">ROUND(Veterancy_XP!$E$5*C545,1)</f>
        <v>266.4</v>
      </c>
      <c r="E545" s="6" t="n">
        <f aca="false">ROUND(B545/D545,2)</f>
        <v>1.41</v>
      </c>
      <c r="F545" s="6" t="n">
        <f aca="false">ROUND(F544+E545,2)</f>
        <v>540.52</v>
      </c>
    </row>
    <row r="546" customFormat="false" ht="15" hidden="false" customHeight="true" outlineLevel="0" collapsed="false">
      <c r="A546" s="6" t="n">
        <v>544</v>
      </c>
      <c r="B546" s="6" t="n">
        <f aca="false">ROUND(Veterancy_XP!$B$5*(A546+1)^Veterancy_XP!$B$6,0)</f>
        <v>376</v>
      </c>
      <c r="C546" s="6" t="n">
        <f aca="false">ROUND(1/(A546+1)^Veterancy_XP!$E$6,4)</f>
        <v>0.2663</v>
      </c>
      <c r="D546" s="6" t="n">
        <f aca="false">ROUND(Veterancy_XP!$E$5*C546,1)</f>
        <v>266.3</v>
      </c>
      <c r="E546" s="6" t="n">
        <f aca="false">ROUND(B546/D546,2)</f>
        <v>1.41</v>
      </c>
      <c r="F546" s="6" t="n">
        <f aca="false">ROUND(F545+E546,2)</f>
        <v>541.93</v>
      </c>
    </row>
    <row r="547" customFormat="false" ht="15" hidden="false" customHeight="true" outlineLevel="0" collapsed="false">
      <c r="A547" s="6" t="n">
        <v>545</v>
      </c>
      <c r="B547" s="6" t="n">
        <f aca="false">ROUND(Veterancy_XP!$B$5*(A547+1)^Veterancy_XP!$B$6,0)</f>
        <v>376</v>
      </c>
      <c r="C547" s="6" t="n">
        <f aca="false">ROUND(1/(A547+1)^Veterancy_XP!$E$6,4)</f>
        <v>0.2662</v>
      </c>
      <c r="D547" s="6" t="n">
        <f aca="false">ROUND(Veterancy_XP!$E$5*C547,1)</f>
        <v>266.2</v>
      </c>
      <c r="E547" s="6" t="n">
        <f aca="false">ROUND(B547/D547,2)</f>
        <v>1.41</v>
      </c>
      <c r="F547" s="6" t="n">
        <f aca="false">ROUND(F546+E547,2)</f>
        <v>543.34</v>
      </c>
    </row>
    <row r="548" customFormat="false" ht="15" hidden="false" customHeight="true" outlineLevel="0" collapsed="false">
      <c r="A548" s="6" t="n">
        <v>546</v>
      </c>
      <c r="B548" s="6" t="n">
        <f aca="false">ROUND(Veterancy_XP!$B$5*(A548+1)^Veterancy_XP!$B$6,0)</f>
        <v>376</v>
      </c>
      <c r="C548" s="6" t="n">
        <f aca="false">ROUND(1/(A548+1)^Veterancy_XP!$E$6,4)</f>
        <v>0.2661</v>
      </c>
      <c r="D548" s="6" t="n">
        <f aca="false">ROUND(Veterancy_XP!$E$5*C548,1)</f>
        <v>266.1</v>
      </c>
      <c r="E548" s="6" t="n">
        <f aca="false">ROUND(B548/D548,2)</f>
        <v>1.41</v>
      </c>
      <c r="F548" s="6" t="n">
        <f aca="false">ROUND(F547+E548,2)</f>
        <v>544.75</v>
      </c>
    </row>
    <row r="549" customFormat="false" ht="15" hidden="false" customHeight="true" outlineLevel="0" collapsed="false">
      <c r="A549" s="6" t="n">
        <v>547</v>
      </c>
      <c r="B549" s="6" t="n">
        <f aca="false">ROUND(Veterancy_XP!$B$5*(A549+1)^Veterancy_XP!$B$6,0)</f>
        <v>376</v>
      </c>
      <c r="C549" s="6" t="n">
        <f aca="false">ROUND(1/(A549+1)^Veterancy_XP!$E$6,4)</f>
        <v>0.266</v>
      </c>
      <c r="D549" s="6" t="n">
        <f aca="false">ROUND(Veterancy_XP!$E$5*C549,1)</f>
        <v>266</v>
      </c>
      <c r="E549" s="6" t="n">
        <f aca="false">ROUND(B549/D549,2)</f>
        <v>1.41</v>
      </c>
      <c r="F549" s="6" t="n">
        <f aca="false">ROUND(F548+E549,2)</f>
        <v>546.16</v>
      </c>
    </row>
    <row r="550" customFormat="false" ht="15" hidden="false" customHeight="true" outlineLevel="0" collapsed="false">
      <c r="A550" s="6" t="n">
        <v>548</v>
      </c>
      <c r="B550" s="6" t="n">
        <f aca="false">ROUND(Veterancy_XP!$B$5*(A550+1)^Veterancy_XP!$B$6,0)</f>
        <v>376</v>
      </c>
      <c r="C550" s="6" t="n">
        <f aca="false">ROUND(1/(A550+1)^Veterancy_XP!$E$6,4)</f>
        <v>0.2659</v>
      </c>
      <c r="D550" s="6" t="n">
        <f aca="false">ROUND(Veterancy_XP!$E$5*C550,1)</f>
        <v>265.9</v>
      </c>
      <c r="E550" s="6" t="n">
        <f aca="false">ROUND(B550/D550,2)</f>
        <v>1.41</v>
      </c>
      <c r="F550" s="6" t="n">
        <f aca="false">ROUND(F549+E550,2)</f>
        <v>547.57</v>
      </c>
    </row>
    <row r="551" customFormat="false" ht="15" hidden="false" customHeight="true" outlineLevel="0" collapsed="false">
      <c r="A551" s="6" t="n">
        <v>549</v>
      </c>
      <c r="B551" s="6" t="n">
        <f aca="false">ROUND(Veterancy_XP!$B$5*(A551+1)^Veterancy_XP!$B$6,0)</f>
        <v>376</v>
      </c>
      <c r="C551" s="6" t="n">
        <f aca="false">ROUND(1/(A551+1)^Veterancy_XP!$E$6,4)</f>
        <v>0.2658</v>
      </c>
      <c r="D551" s="6" t="n">
        <f aca="false">ROUND(Veterancy_XP!$E$5*C551,1)</f>
        <v>265.8</v>
      </c>
      <c r="E551" s="6" t="n">
        <f aca="false">ROUND(B551/D551,2)</f>
        <v>1.41</v>
      </c>
      <c r="F551" s="6" t="n">
        <f aca="false">ROUND(F550+E551,2)</f>
        <v>548.98</v>
      </c>
    </row>
    <row r="552" customFormat="false" ht="15" hidden="false" customHeight="true" outlineLevel="0" collapsed="false">
      <c r="A552" s="6" t="n">
        <v>550</v>
      </c>
      <c r="B552" s="6" t="n">
        <f aca="false">ROUND(Veterancy_XP!$B$5*(A552+1)^Veterancy_XP!$B$6,0)</f>
        <v>376</v>
      </c>
      <c r="C552" s="6" t="n">
        <f aca="false">ROUND(1/(A552+1)^Veterancy_XP!$E$6,4)</f>
        <v>0.2657</v>
      </c>
      <c r="D552" s="6" t="n">
        <f aca="false">ROUND(Veterancy_XP!$E$5*C552,1)</f>
        <v>265.7</v>
      </c>
      <c r="E552" s="6" t="n">
        <f aca="false">ROUND(B552/D552,2)</f>
        <v>1.42</v>
      </c>
      <c r="F552" s="6" t="n">
        <f aca="false">ROUND(F551+E552,2)</f>
        <v>550.4</v>
      </c>
    </row>
    <row r="553" customFormat="false" ht="15" hidden="false" customHeight="true" outlineLevel="0" collapsed="false">
      <c r="A553" s="6" t="n">
        <v>551</v>
      </c>
      <c r="B553" s="6" t="n">
        <f aca="false">ROUND(Veterancy_XP!$B$5*(A553+1)^Veterancy_XP!$B$6,0)</f>
        <v>377</v>
      </c>
      <c r="C553" s="6" t="n">
        <f aca="false">ROUND(1/(A553+1)^Veterancy_XP!$E$6,4)</f>
        <v>0.2656</v>
      </c>
      <c r="D553" s="6" t="n">
        <f aca="false">ROUND(Veterancy_XP!$E$5*C553,1)</f>
        <v>265.6</v>
      </c>
      <c r="E553" s="6" t="n">
        <f aca="false">ROUND(B553/D553,2)</f>
        <v>1.42</v>
      </c>
      <c r="F553" s="6" t="n">
        <f aca="false">ROUND(F552+E553,2)</f>
        <v>551.82</v>
      </c>
    </row>
    <row r="554" customFormat="false" ht="15" hidden="false" customHeight="true" outlineLevel="0" collapsed="false">
      <c r="A554" s="6" t="n">
        <v>552</v>
      </c>
      <c r="B554" s="6" t="n">
        <f aca="false">ROUND(Veterancy_XP!$B$5*(A554+1)^Veterancy_XP!$B$6,0)</f>
        <v>377</v>
      </c>
      <c r="C554" s="6" t="n">
        <f aca="false">ROUND(1/(A554+1)^Veterancy_XP!$E$6,4)</f>
        <v>0.2655</v>
      </c>
      <c r="D554" s="6" t="n">
        <f aca="false">ROUND(Veterancy_XP!$E$5*C554,1)</f>
        <v>265.5</v>
      </c>
      <c r="E554" s="6" t="n">
        <f aca="false">ROUND(B554/D554,2)</f>
        <v>1.42</v>
      </c>
      <c r="F554" s="6" t="n">
        <f aca="false">ROUND(F553+E554,2)</f>
        <v>553.24</v>
      </c>
    </row>
    <row r="555" customFormat="false" ht="15" hidden="false" customHeight="true" outlineLevel="0" collapsed="false">
      <c r="A555" s="6" t="n">
        <v>553</v>
      </c>
      <c r="B555" s="6" t="n">
        <f aca="false">ROUND(Veterancy_XP!$B$5*(A555+1)^Veterancy_XP!$B$6,0)</f>
        <v>377</v>
      </c>
      <c r="C555" s="6" t="n">
        <f aca="false">ROUND(1/(A555+1)^Veterancy_XP!$E$6,4)</f>
        <v>0.2654</v>
      </c>
      <c r="D555" s="6" t="n">
        <f aca="false">ROUND(Veterancy_XP!$E$5*C555,1)</f>
        <v>265.4</v>
      </c>
      <c r="E555" s="6" t="n">
        <f aca="false">ROUND(B555/D555,2)</f>
        <v>1.42</v>
      </c>
      <c r="F555" s="6" t="n">
        <f aca="false">ROUND(F554+E555,2)</f>
        <v>554.66</v>
      </c>
    </row>
    <row r="556" customFormat="false" ht="15" hidden="false" customHeight="true" outlineLevel="0" collapsed="false">
      <c r="A556" s="6" t="n">
        <v>554</v>
      </c>
      <c r="B556" s="6" t="n">
        <f aca="false">ROUND(Veterancy_XP!$B$5*(A556+1)^Veterancy_XP!$B$6,0)</f>
        <v>377</v>
      </c>
      <c r="C556" s="6" t="n">
        <f aca="false">ROUND(1/(A556+1)^Veterancy_XP!$E$6,4)</f>
        <v>0.2653</v>
      </c>
      <c r="D556" s="6" t="n">
        <f aca="false">ROUND(Veterancy_XP!$E$5*C556,1)</f>
        <v>265.3</v>
      </c>
      <c r="E556" s="6" t="n">
        <f aca="false">ROUND(B556/D556,2)</f>
        <v>1.42</v>
      </c>
      <c r="F556" s="6" t="n">
        <f aca="false">ROUND(F555+E556,2)</f>
        <v>556.08</v>
      </c>
    </row>
    <row r="557" customFormat="false" ht="15" hidden="false" customHeight="true" outlineLevel="0" collapsed="false">
      <c r="A557" s="6" t="n">
        <v>555</v>
      </c>
      <c r="B557" s="6" t="n">
        <f aca="false">ROUND(Veterancy_XP!$B$5*(A557+1)^Veterancy_XP!$B$6,0)</f>
        <v>377</v>
      </c>
      <c r="C557" s="6" t="n">
        <f aca="false">ROUND(1/(A557+1)^Veterancy_XP!$E$6,4)</f>
        <v>0.2652</v>
      </c>
      <c r="D557" s="6" t="n">
        <f aca="false">ROUND(Veterancy_XP!$E$5*C557,1)</f>
        <v>265.2</v>
      </c>
      <c r="E557" s="6" t="n">
        <f aca="false">ROUND(B557/D557,2)</f>
        <v>1.42</v>
      </c>
      <c r="F557" s="6" t="n">
        <f aca="false">ROUND(F556+E557,2)</f>
        <v>557.5</v>
      </c>
    </row>
    <row r="558" customFormat="false" ht="15" hidden="false" customHeight="true" outlineLevel="0" collapsed="false">
      <c r="A558" s="6" t="n">
        <v>556</v>
      </c>
      <c r="B558" s="6" t="n">
        <f aca="false">ROUND(Veterancy_XP!$B$5*(A558+1)^Veterancy_XP!$B$6,0)</f>
        <v>377</v>
      </c>
      <c r="C558" s="6" t="n">
        <f aca="false">ROUND(1/(A558+1)^Veterancy_XP!$E$6,4)</f>
        <v>0.2651</v>
      </c>
      <c r="D558" s="6" t="n">
        <f aca="false">ROUND(Veterancy_XP!$E$5*C558,1)</f>
        <v>265.1</v>
      </c>
      <c r="E558" s="6" t="n">
        <f aca="false">ROUND(B558/D558,2)</f>
        <v>1.42</v>
      </c>
      <c r="F558" s="6" t="n">
        <f aca="false">ROUND(F557+E558,2)</f>
        <v>558.92</v>
      </c>
    </row>
    <row r="559" customFormat="false" ht="15" hidden="false" customHeight="true" outlineLevel="0" collapsed="false">
      <c r="A559" s="6" t="n">
        <v>557</v>
      </c>
      <c r="B559" s="6" t="n">
        <f aca="false">ROUND(Veterancy_XP!$B$5*(A559+1)^Veterancy_XP!$B$6,0)</f>
        <v>377</v>
      </c>
      <c r="C559" s="6" t="n">
        <f aca="false">ROUND(1/(A559+1)^Veterancy_XP!$E$6,4)</f>
        <v>0.265</v>
      </c>
      <c r="D559" s="6" t="n">
        <f aca="false">ROUND(Veterancy_XP!$E$5*C559,1)</f>
        <v>265</v>
      </c>
      <c r="E559" s="6" t="n">
        <f aca="false">ROUND(B559/D559,2)</f>
        <v>1.42</v>
      </c>
      <c r="F559" s="6" t="n">
        <f aca="false">ROUND(F558+E559,2)</f>
        <v>560.34</v>
      </c>
    </row>
    <row r="560" customFormat="false" ht="15" hidden="false" customHeight="true" outlineLevel="0" collapsed="false">
      <c r="A560" s="6" t="n">
        <v>558</v>
      </c>
      <c r="B560" s="6" t="n">
        <f aca="false">ROUND(Veterancy_XP!$B$5*(A560+1)^Veterancy_XP!$B$6,0)</f>
        <v>378</v>
      </c>
      <c r="C560" s="6" t="n">
        <f aca="false">ROUND(1/(A560+1)^Veterancy_XP!$E$6,4)</f>
        <v>0.2649</v>
      </c>
      <c r="D560" s="6" t="n">
        <f aca="false">ROUND(Veterancy_XP!$E$5*C560,1)</f>
        <v>264.9</v>
      </c>
      <c r="E560" s="6" t="n">
        <f aca="false">ROUND(B560/D560,2)</f>
        <v>1.43</v>
      </c>
      <c r="F560" s="6" t="n">
        <f aca="false">ROUND(F559+E560,2)</f>
        <v>561.77</v>
      </c>
    </row>
    <row r="561" customFormat="false" ht="15" hidden="false" customHeight="true" outlineLevel="0" collapsed="false">
      <c r="A561" s="6" t="n">
        <v>559</v>
      </c>
      <c r="B561" s="6" t="n">
        <f aca="false">ROUND(Veterancy_XP!$B$5*(A561+1)^Veterancy_XP!$B$6,0)</f>
        <v>378</v>
      </c>
      <c r="C561" s="6" t="n">
        <f aca="false">ROUND(1/(A561+1)^Veterancy_XP!$E$6,4)</f>
        <v>0.2648</v>
      </c>
      <c r="D561" s="6" t="n">
        <f aca="false">ROUND(Veterancy_XP!$E$5*C561,1)</f>
        <v>264.8</v>
      </c>
      <c r="E561" s="6" t="n">
        <f aca="false">ROUND(B561/D561,2)</f>
        <v>1.43</v>
      </c>
      <c r="F561" s="6" t="n">
        <f aca="false">ROUND(F560+E561,2)</f>
        <v>563.2</v>
      </c>
    </row>
    <row r="562" customFormat="false" ht="15" hidden="false" customHeight="true" outlineLevel="0" collapsed="false">
      <c r="A562" s="6" t="n">
        <v>560</v>
      </c>
      <c r="B562" s="6" t="n">
        <f aca="false">ROUND(Veterancy_XP!$B$5*(A562+1)^Veterancy_XP!$B$6,0)</f>
        <v>378</v>
      </c>
      <c r="C562" s="6" t="n">
        <f aca="false">ROUND(1/(A562+1)^Veterancy_XP!$E$6,4)</f>
        <v>0.2647</v>
      </c>
      <c r="D562" s="6" t="n">
        <f aca="false">ROUND(Veterancy_XP!$E$5*C562,1)</f>
        <v>264.7</v>
      </c>
      <c r="E562" s="6" t="n">
        <f aca="false">ROUND(B562/D562,2)</f>
        <v>1.43</v>
      </c>
      <c r="F562" s="6" t="n">
        <f aca="false">ROUND(F561+E562,2)</f>
        <v>564.63</v>
      </c>
    </row>
    <row r="563" customFormat="false" ht="15" hidden="false" customHeight="true" outlineLevel="0" collapsed="false">
      <c r="A563" s="6" t="n">
        <v>561</v>
      </c>
      <c r="B563" s="6" t="n">
        <f aca="false">ROUND(Veterancy_XP!$B$5*(A563+1)^Veterancy_XP!$B$6,0)</f>
        <v>378</v>
      </c>
      <c r="C563" s="6" t="n">
        <f aca="false">ROUND(1/(A563+1)^Veterancy_XP!$E$6,4)</f>
        <v>0.2646</v>
      </c>
      <c r="D563" s="6" t="n">
        <f aca="false">ROUND(Veterancy_XP!$E$5*C563,1)</f>
        <v>264.6</v>
      </c>
      <c r="E563" s="6" t="n">
        <f aca="false">ROUND(B563/D563,2)</f>
        <v>1.43</v>
      </c>
      <c r="F563" s="6" t="n">
        <f aca="false">ROUND(F562+E563,2)</f>
        <v>566.06</v>
      </c>
    </row>
    <row r="564" customFormat="false" ht="15" hidden="false" customHeight="true" outlineLevel="0" collapsed="false">
      <c r="A564" s="6" t="n">
        <v>562</v>
      </c>
      <c r="B564" s="6" t="n">
        <f aca="false">ROUND(Veterancy_XP!$B$5*(A564+1)^Veterancy_XP!$B$6,0)</f>
        <v>378</v>
      </c>
      <c r="C564" s="6" t="n">
        <f aca="false">ROUND(1/(A564+1)^Veterancy_XP!$E$6,4)</f>
        <v>0.2645</v>
      </c>
      <c r="D564" s="6" t="n">
        <f aca="false">ROUND(Veterancy_XP!$E$5*C564,1)</f>
        <v>264.5</v>
      </c>
      <c r="E564" s="6" t="n">
        <f aca="false">ROUND(B564/D564,2)</f>
        <v>1.43</v>
      </c>
      <c r="F564" s="6" t="n">
        <f aca="false">ROUND(F563+E564,2)</f>
        <v>567.49</v>
      </c>
    </row>
    <row r="565" customFormat="false" ht="15" hidden="false" customHeight="true" outlineLevel="0" collapsed="false">
      <c r="A565" s="6" t="n">
        <v>563</v>
      </c>
      <c r="B565" s="6" t="n">
        <f aca="false">ROUND(Veterancy_XP!$B$5*(A565+1)^Veterancy_XP!$B$6,0)</f>
        <v>378</v>
      </c>
      <c r="C565" s="6" t="n">
        <f aca="false">ROUND(1/(A565+1)^Veterancy_XP!$E$6,4)</f>
        <v>0.2644</v>
      </c>
      <c r="D565" s="6" t="n">
        <f aca="false">ROUND(Veterancy_XP!$E$5*C565,1)</f>
        <v>264.4</v>
      </c>
      <c r="E565" s="6" t="n">
        <f aca="false">ROUND(B565/D565,2)</f>
        <v>1.43</v>
      </c>
      <c r="F565" s="6" t="n">
        <f aca="false">ROUND(F564+E565,2)</f>
        <v>568.92</v>
      </c>
    </row>
    <row r="566" customFormat="false" ht="15" hidden="false" customHeight="true" outlineLevel="0" collapsed="false">
      <c r="A566" s="6" t="n">
        <v>564</v>
      </c>
      <c r="B566" s="6" t="n">
        <f aca="false">ROUND(Veterancy_XP!$B$5*(A566+1)^Veterancy_XP!$B$6,0)</f>
        <v>378</v>
      </c>
      <c r="C566" s="6" t="n">
        <f aca="false">ROUND(1/(A566+1)^Veterancy_XP!$E$6,4)</f>
        <v>0.2643</v>
      </c>
      <c r="D566" s="6" t="n">
        <f aca="false">ROUND(Veterancy_XP!$E$5*C566,1)</f>
        <v>264.3</v>
      </c>
      <c r="E566" s="6" t="n">
        <f aca="false">ROUND(B566/D566,2)</f>
        <v>1.43</v>
      </c>
      <c r="F566" s="6" t="n">
        <f aca="false">ROUND(F565+E566,2)</f>
        <v>570.35</v>
      </c>
    </row>
    <row r="567" customFormat="false" ht="15" hidden="false" customHeight="true" outlineLevel="0" collapsed="false">
      <c r="A567" s="6" t="n">
        <v>565</v>
      </c>
      <c r="B567" s="6" t="n">
        <f aca="false">ROUND(Veterancy_XP!$B$5*(A567+1)^Veterancy_XP!$B$6,0)</f>
        <v>379</v>
      </c>
      <c r="C567" s="6" t="n">
        <f aca="false">ROUND(1/(A567+1)^Veterancy_XP!$E$6,4)</f>
        <v>0.2642</v>
      </c>
      <c r="D567" s="6" t="n">
        <f aca="false">ROUND(Veterancy_XP!$E$5*C567,1)</f>
        <v>264.2</v>
      </c>
      <c r="E567" s="6" t="n">
        <f aca="false">ROUND(B567/D567,2)</f>
        <v>1.43</v>
      </c>
      <c r="F567" s="6" t="n">
        <f aca="false">ROUND(F566+E567,2)</f>
        <v>571.78</v>
      </c>
    </row>
    <row r="568" customFormat="false" ht="15" hidden="false" customHeight="true" outlineLevel="0" collapsed="false">
      <c r="A568" s="6" t="n">
        <v>566</v>
      </c>
      <c r="B568" s="6" t="n">
        <f aca="false">ROUND(Veterancy_XP!$B$5*(A568+1)^Veterancy_XP!$B$6,0)</f>
        <v>379</v>
      </c>
      <c r="C568" s="6" t="n">
        <f aca="false">ROUND(1/(A568+1)^Veterancy_XP!$E$6,4)</f>
        <v>0.2641</v>
      </c>
      <c r="D568" s="6" t="n">
        <f aca="false">ROUND(Veterancy_XP!$E$5*C568,1)</f>
        <v>264.1</v>
      </c>
      <c r="E568" s="6" t="n">
        <f aca="false">ROUND(B568/D568,2)</f>
        <v>1.44</v>
      </c>
      <c r="F568" s="6" t="n">
        <f aca="false">ROUND(F567+E568,2)</f>
        <v>573.22</v>
      </c>
    </row>
    <row r="569" customFormat="false" ht="15" hidden="false" customHeight="true" outlineLevel="0" collapsed="false">
      <c r="A569" s="6" t="n">
        <v>567</v>
      </c>
      <c r="B569" s="6" t="n">
        <f aca="false">ROUND(Veterancy_XP!$B$5*(A569+1)^Veterancy_XP!$B$6,0)</f>
        <v>379</v>
      </c>
      <c r="C569" s="6" t="n">
        <f aca="false">ROUND(1/(A569+1)^Veterancy_XP!$E$6,4)</f>
        <v>0.264</v>
      </c>
      <c r="D569" s="6" t="n">
        <f aca="false">ROUND(Veterancy_XP!$E$5*C569,1)</f>
        <v>264</v>
      </c>
      <c r="E569" s="6" t="n">
        <f aca="false">ROUND(B569/D569,2)</f>
        <v>1.44</v>
      </c>
      <c r="F569" s="6" t="n">
        <f aca="false">ROUND(F568+E569,2)</f>
        <v>574.66</v>
      </c>
    </row>
    <row r="570" customFormat="false" ht="15" hidden="false" customHeight="true" outlineLevel="0" collapsed="false">
      <c r="A570" s="6" t="n">
        <v>568</v>
      </c>
      <c r="B570" s="6" t="n">
        <f aca="false">ROUND(Veterancy_XP!$B$5*(A570+1)^Veterancy_XP!$B$6,0)</f>
        <v>379</v>
      </c>
      <c r="C570" s="6" t="n">
        <f aca="false">ROUND(1/(A570+1)^Veterancy_XP!$E$6,4)</f>
        <v>0.2639</v>
      </c>
      <c r="D570" s="6" t="n">
        <f aca="false">ROUND(Veterancy_XP!$E$5*C570,1)</f>
        <v>263.9</v>
      </c>
      <c r="E570" s="6" t="n">
        <f aca="false">ROUND(B570/D570,2)</f>
        <v>1.44</v>
      </c>
      <c r="F570" s="6" t="n">
        <f aca="false">ROUND(F569+E570,2)</f>
        <v>576.1</v>
      </c>
    </row>
    <row r="571" customFormat="false" ht="15" hidden="false" customHeight="true" outlineLevel="0" collapsed="false">
      <c r="A571" s="6" t="n">
        <v>569</v>
      </c>
      <c r="B571" s="6" t="n">
        <f aca="false">ROUND(Veterancy_XP!$B$5*(A571+1)^Veterancy_XP!$B$6,0)</f>
        <v>379</v>
      </c>
      <c r="C571" s="6" t="n">
        <f aca="false">ROUND(1/(A571+1)^Veterancy_XP!$E$6,4)</f>
        <v>0.2638</v>
      </c>
      <c r="D571" s="6" t="n">
        <f aca="false">ROUND(Veterancy_XP!$E$5*C571,1)</f>
        <v>263.8</v>
      </c>
      <c r="E571" s="6" t="n">
        <f aca="false">ROUND(B571/D571,2)</f>
        <v>1.44</v>
      </c>
      <c r="F571" s="6" t="n">
        <f aca="false">ROUND(F570+E571,2)</f>
        <v>577.54</v>
      </c>
    </row>
    <row r="572" customFormat="false" ht="15" hidden="false" customHeight="true" outlineLevel="0" collapsed="false">
      <c r="A572" s="6" t="n">
        <v>570</v>
      </c>
      <c r="B572" s="6" t="n">
        <f aca="false">ROUND(Veterancy_XP!$B$5*(A572+1)^Veterancy_XP!$B$6,0)</f>
        <v>379</v>
      </c>
      <c r="C572" s="6" t="n">
        <f aca="false">ROUND(1/(A572+1)^Veterancy_XP!$E$6,4)</f>
        <v>0.2637</v>
      </c>
      <c r="D572" s="6" t="n">
        <f aca="false">ROUND(Veterancy_XP!$E$5*C572,1)</f>
        <v>263.7</v>
      </c>
      <c r="E572" s="6" t="n">
        <f aca="false">ROUND(B572/D572,2)</f>
        <v>1.44</v>
      </c>
      <c r="F572" s="6" t="n">
        <f aca="false">ROUND(F571+E572,2)</f>
        <v>578.98</v>
      </c>
    </row>
    <row r="573" customFormat="false" ht="15" hidden="false" customHeight="true" outlineLevel="0" collapsed="false">
      <c r="A573" s="6" t="n">
        <v>571</v>
      </c>
      <c r="B573" s="6" t="n">
        <f aca="false">ROUND(Veterancy_XP!$B$5*(A573+1)^Veterancy_XP!$B$6,0)</f>
        <v>379</v>
      </c>
      <c r="C573" s="6" t="n">
        <f aca="false">ROUND(1/(A573+1)^Veterancy_XP!$E$6,4)</f>
        <v>0.2636</v>
      </c>
      <c r="D573" s="6" t="n">
        <f aca="false">ROUND(Veterancy_XP!$E$5*C573,1)</f>
        <v>263.6</v>
      </c>
      <c r="E573" s="6" t="n">
        <f aca="false">ROUND(B573/D573,2)</f>
        <v>1.44</v>
      </c>
      <c r="F573" s="6" t="n">
        <f aca="false">ROUND(F572+E573,2)</f>
        <v>580.42</v>
      </c>
    </row>
    <row r="574" customFormat="false" ht="15" hidden="false" customHeight="true" outlineLevel="0" collapsed="false">
      <c r="A574" s="6" t="n">
        <v>572</v>
      </c>
      <c r="B574" s="6" t="n">
        <f aca="false">ROUND(Veterancy_XP!$B$5*(A574+1)^Veterancy_XP!$B$6,0)</f>
        <v>380</v>
      </c>
      <c r="C574" s="6" t="n">
        <f aca="false">ROUND(1/(A574+1)^Veterancy_XP!$E$6,4)</f>
        <v>0.2635</v>
      </c>
      <c r="D574" s="6" t="n">
        <f aca="false">ROUND(Veterancy_XP!$E$5*C574,1)</f>
        <v>263.5</v>
      </c>
      <c r="E574" s="6" t="n">
        <f aca="false">ROUND(B574/D574,2)</f>
        <v>1.44</v>
      </c>
      <c r="F574" s="6" t="n">
        <f aca="false">ROUND(F573+E574,2)</f>
        <v>581.86</v>
      </c>
    </row>
    <row r="575" customFormat="false" ht="15" hidden="false" customHeight="true" outlineLevel="0" collapsed="false">
      <c r="A575" s="6" t="n">
        <v>573</v>
      </c>
      <c r="B575" s="6" t="n">
        <f aca="false">ROUND(Veterancy_XP!$B$5*(A575+1)^Veterancy_XP!$B$6,0)</f>
        <v>380</v>
      </c>
      <c r="C575" s="6" t="n">
        <f aca="false">ROUND(1/(A575+1)^Veterancy_XP!$E$6,4)</f>
        <v>0.2634</v>
      </c>
      <c r="D575" s="6" t="n">
        <f aca="false">ROUND(Veterancy_XP!$E$5*C575,1)</f>
        <v>263.4</v>
      </c>
      <c r="E575" s="6" t="n">
        <f aca="false">ROUND(B575/D575,2)</f>
        <v>1.44</v>
      </c>
      <c r="F575" s="6" t="n">
        <f aca="false">ROUND(F574+E575,2)</f>
        <v>583.3</v>
      </c>
    </row>
    <row r="576" customFormat="false" ht="15" hidden="false" customHeight="true" outlineLevel="0" collapsed="false">
      <c r="A576" s="6" t="n">
        <v>574</v>
      </c>
      <c r="B576" s="6" t="n">
        <f aca="false">ROUND(Veterancy_XP!$B$5*(A576+1)^Veterancy_XP!$B$6,0)</f>
        <v>380</v>
      </c>
      <c r="C576" s="6" t="n">
        <f aca="false">ROUND(1/(A576+1)^Veterancy_XP!$E$6,4)</f>
        <v>0.2633</v>
      </c>
      <c r="D576" s="6" t="n">
        <f aca="false">ROUND(Veterancy_XP!$E$5*C576,1)</f>
        <v>263.3</v>
      </c>
      <c r="E576" s="6" t="n">
        <f aca="false">ROUND(B576/D576,2)</f>
        <v>1.44</v>
      </c>
      <c r="F576" s="6" t="n">
        <f aca="false">ROUND(F575+E576,2)</f>
        <v>584.74</v>
      </c>
    </row>
    <row r="577" customFormat="false" ht="15" hidden="false" customHeight="true" outlineLevel="0" collapsed="false">
      <c r="A577" s="6" t="n">
        <v>575</v>
      </c>
      <c r="B577" s="6" t="n">
        <f aca="false">ROUND(Veterancy_XP!$B$5*(A577+1)^Veterancy_XP!$B$6,0)</f>
        <v>380</v>
      </c>
      <c r="C577" s="6" t="n">
        <f aca="false">ROUND(1/(A577+1)^Veterancy_XP!$E$6,4)</f>
        <v>0.2632</v>
      </c>
      <c r="D577" s="6" t="n">
        <f aca="false">ROUND(Veterancy_XP!$E$5*C577,1)</f>
        <v>263.2</v>
      </c>
      <c r="E577" s="6" t="n">
        <f aca="false">ROUND(B577/D577,2)</f>
        <v>1.44</v>
      </c>
      <c r="F577" s="6" t="n">
        <f aca="false">ROUND(F576+E577,2)</f>
        <v>586.18</v>
      </c>
    </row>
    <row r="578" customFormat="false" ht="15" hidden="false" customHeight="true" outlineLevel="0" collapsed="false">
      <c r="A578" s="6" t="n">
        <v>576</v>
      </c>
      <c r="B578" s="6" t="n">
        <f aca="false">ROUND(Veterancy_XP!$B$5*(A578+1)^Veterancy_XP!$B$6,0)</f>
        <v>380</v>
      </c>
      <c r="C578" s="6" t="n">
        <f aca="false">ROUND(1/(A578+1)^Veterancy_XP!$E$6,4)</f>
        <v>0.2631</v>
      </c>
      <c r="D578" s="6" t="n">
        <f aca="false">ROUND(Veterancy_XP!$E$5*C578,1)</f>
        <v>263.1</v>
      </c>
      <c r="E578" s="6" t="n">
        <f aca="false">ROUND(B578/D578,2)</f>
        <v>1.44</v>
      </c>
      <c r="F578" s="6" t="n">
        <f aca="false">ROUND(F577+E578,2)</f>
        <v>587.62</v>
      </c>
    </row>
    <row r="579" customFormat="false" ht="15" hidden="false" customHeight="true" outlineLevel="0" collapsed="false">
      <c r="A579" s="6" t="n">
        <v>577</v>
      </c>
      <c r="B579" s="6" t="n">
        <f aca="false">ROUND(Veterancy_XP!$B$5*(A579+1)^Veterancy_XP!$B$6,0)</f>
        <v>380</v>
      </c>
      <c r="C579" s="6" t="n">
        <f aca="false">ROUND(1/(A579+1)^Veterancy_XP!$E$6,4)</f>
        <v>0.263</v>
      </c>
      <c r="D579" s="6" t="n">
        <f aca="false">ROUND(Veterancy_XP!$E$5*C579,1)</f>
        <v>263</v>
      </c>
      <c r="E579" s="6" t="n">
        <f aca="false">ROUND(B579/D579,2)</f>
        <v>1.44</v>
      </c>
      <c r="F579" s="6" t="n">
        <f aca="false">ROUND(F578+E579,2)</f>
        <v>589.06</v>
      </c>
    </row>
    <row r="580" customFormat="false" ht="15" hidden="false" customHeight="true" outlineLevel="0" collapsed="false">
      <c r="A580" s="6" t="n">
        <v>578</v>
      </c>
      <c r="B580" s="6" t="n">
        <f aca="false">ROUND(Veterancy_XP!$B$5*(A580+1)^Veterancy_XP!$B$6,0)</f>
        <v>380</v>
      </c>
      <c r="C580" s="6" t="n">
        <f aca="false">ROUND(1/(A580+1)^Veterancy_XP!$E$6,4)</f>
        <v>0.2629</v>
      </c>
      <c r="D580" s="6" t="n">
        <f aca="false">ROUND(Veterancy_XP!$E$5*C580,1)</f>
        <v>262.9</v>
      </c>
      <c r="E580" s="6" t="n">
        <f aca="false">ROUND(B580/D580,2)</f>
        <v>1.45</v>
      </c>
      <c r="F580" s="6" t="n">
        <f aca="false">ROUND(F579+E580,2)</f>
        <v>590.51</v>
      </c>
    </row>
    <row r="581" customFormat="false" ht="15" hidden="false" customHeight="true" outlineLevel="0" collapsed="false">
      <c r="A581" s="6" t="n">
        <v>579</v>
      </c>
      <c r="B581" s="6" t="n">
        <f aca="false">ROUND(Veterancy_XP!$B$5*(A581+1)^Veterancy_XP!$B$6,0)</f>
        <v>380</v>
      </c>
      <c r="C581" s="6" t="n">
        <f aca="false">ROUND(1/(A581+1)^Veterancy_XP!$E$6,4)</f>
        <v>0.2628</v>
      </c>
      <c r="D581" s="6" t="n">
        <f aca="false">ROUND(Veterancy_XP!$E$5*C581,1)</f>
        <v>262.8</v>
      </c>
      <c r="E581" s="6" t="n">
        <f aca="false">ROUND(B581/D581,2)</f>
        <v>1.45</v>
      </c>
      <c r="F581" s="6" t="n">
        <f aca="false">ROUND(F580+E581,2)</f>
        <v>591.96</v>
      </c>
    </row>
    <row r="582" customFormat="false" ht="15" hidden="false" customHeight="true" outlineLevel="0" collapsed="false">
      <c r="A582" s="6" t="n">
        <v>580</v>
      </c>
      <c r="B582" s="6" t="n">
        <f aca="false">ROUND(Veterancy_XP!$B$5*(A582+1)^Veterancy_XP!$B$6,0)</f>
        <v>381</v>
      </c>
      <c r="C582" s="6" t="n">
        <f aca="false">ROUND(1/(A582+1)^Veterancy_XP!$E$6,4)</f>
        <v>0.2627</v>
      </c>
      <c r="D582" s="6" t="n">
        <f aca="false">ROUND(Veterancy_XP!$E$5*C582,1)</f>
        <v>262.7</v>
      </c>
      <c r="E582" s="6" t="n">
        <f aca="false">ROUND(B582/D582,2)</f>
        <v>1.45</v>
      </c>
      <c r="F582" s="6" t="n">
        <f aca="false">ROUND(F581+E582,2)</f>
        <v>593.41</v>
      </c>
    </row>
    <row r="583" customFormat="false" ht="15" hidden="false" customHeight="true" outlineLevel="0" collapsed="false">
      <c r="A583" s="6" t="n">
        <v>581</v>
      </c>
      <c r="B583" s="6" t="n">
        <f aca="false">ROUND(Veterancy_XP!$B$5*(A583+1)^Veterancy_XP!$B$6,0)</f>
        <v>381</v>
      </c>
      <c r="C583" s="6" t="n">
        <f aca="false">ROUND(1/(A583+1)^Veterancy_XP!$E$6,4)</f>
        <v>0.2626</v>
      </c>
      <c r="D583" s="6" t="n">
        <f aca="false">ROUND(Veterancy_XP!$E$5*C583,1)</f>
        <v>262.6</v>
      </c>
      <c r="E583" s="6" t="n">
        <f aca="false">ROUND(B583/D583,2)</f>
        <v>1.45</v>
      </c>
      <c r="F583" s="6" t="n">
        <f aca="false">ROUND(F582+E583,2)</f>
        <v>594.86</v>
      </c>
    </row>
    <row r="584" customFormat="false" ht="15" hidden="false" customHeight="true" outlineLevel="0" collapsed="false">
      <c r="A584" s="6" t="n">
        <v>582</v>
      </c>
      <c r="B584" s="6" t="n">
        <f aca="false">ROUND(Veterancy_XP!$B$5*(A584+1)^Veterancy_XP!$B$6,0)</f>
        <v>381</v>
      </c>
      <c r="C584" s="6" t="n">
        <f aca="false">ROUND(1/(A584+1)^Veterancy_XP!$E$6,4)</f>
        <v>0.2625</v>
      </c>
      <c r="D584" s="6" t="n">
        <f aca="false">ROUND(Veterancy_XP!$E$5*C584,1)</f>
        <v>262.5</v>
      </c>
      <c r="E584" s="6" t="n">
        <f aca="false">ROUND(B584/D584,2)</f>
        <v>1.45</v>
      </c>
      <c r="F584" s="6" t="n">
        <f aca="false">ROUND(F583+E584,2)</f>
        <v>596.31</v>
      </c>
    </row>
    <row r="585" customFormat="false" ht="15" hidden="false" customHeight="true" outlineLevel="0" collapsed="false">
      <c r="A585" s="6" t="n">
        <v>583</v>
      </c>
      <c r="B585" s="6" t="n">
        <f aca="false">ROUND(Veterancy_XP!$B$5*(A585+1)^Veterancy_XP!$B$6,0)</f>
        <v>381</v>
      </c>
      <c r="C585" s="6" t="n">
        <f aca="false">ROUND(1/(A585+1)^Veterancy_XP!$E$6,4)</f>
        <v>0.2625</v>
      </c>
      <c r="D585" s="6" t="n">
        <f aca="false">ROUND(Veterancy_XP!$E$5*C585,1)</f>
        <v>262.5</v>
      </c>
      <c r="E585" s="6" t="n">
        <f aca="false">ROUND(B585/D585,2)</f>
        <v>1.45</v>
      </c>
      <c r="F585" s="6" t="n">
        <f aca="false">ROUND(F584+E585,2)</f>
        <v>597.76</v>
      </c>
    </row>
    <row r="586" customFormat="false" ht="15" hidden="false" customHeight="true" outlineLevel="0" collapsed="false">
      <c r="A586" s="6" t="n">
        <v>584</v>
      </c>
      <c r="B586" s="6" t="n">
        <f aca="false">ROUND(Veterancy_XP!$B$5*(A586+1)^Veterancy_XP!$B$6,0)</f>
        <v>381</v>
      </c>
      <c r="C586" s="6" t="n">
        <f aca="false">ROUND(1/(A586+1)^Veterancy_XP!$E$6,4)</f>
        <v>0.2624</v>
      </c>
      <c r="D586" s="6" t="n">
        <f aca="false">ROUND(Veterancy_XP!$E$5*C586,1)</f>
        <v>262.4</v>
      </c>
      <c r="E586" s="6" t="n">
        <f aca="false">ROUND(B586/D586,2)</f>
        <v>1.45</v>
      </c>
      <c r="F586" s="6" t="n">
        <f aca="false">ROUND(F585+E586,2)</f>
        <v>599.21</v>
      </c>
    </row>
    <row r="587" customFormat="false" ht="15" hidden="false" customHeight="true" outlineLevel="0" collapsed="false">
      <c r="A587" s="6" t="n">
        <v>585</v>
      </c>
      <c r="B587" s="6" t="n">
        <f aca="false">ROUND(Veterancy_XP!$B$5*(A587+1)^Veterancy_XP!$B$6,0)</f>
        <v>381</v>
      </c>
      <c r="C587" s="6" t="n">
        <f aca="false">ROUND(1/(A587+1)^Veterancy_XP!$E$6,4)</f>
        <v>0.2623</v>
      </c>
      <c r="D587" s="6" t="n">
        <f aca="false">ROUND(Veterancy_XP!$E$5*C587,1)</f>
        <v>262.3</v>
      </c>
      <c r="E587" s="6" t="n">
        <f aca="false">ROUND(B587/D587,2)</f>
        <v>1.45</v>
      </c>
      <c r="F587" s="6" t="n">
        <f aca="false">ROUND(F586+E587,2)</f>
        <v>600.66</v>
      </c>
    </row>
    <row r="588" customFormat="false" ht="15" hidden="false" customHeight="true" outlineLevel="0" collapsed="false">
      <c r="A588" s="6" t="n">
        <v>586</v>
      </c>
      <c r="B588" s="6" t="n">
        <f aca="false">ROUND(Veterancy_XP!$B$5*(A588+1)^Veterancy_XP!$B$6,0)</f>
        <v>381</v>
      </c>
      <c r="C588" s="6" t="n">
        <f aca="false">ROUND(1/(A588+1)^Veterancy_XP!$E$6,4)</f>
        <v>0.2622</v>
      </c>
      <c r="D588" s="6" t="n">
        <f aca="false">ROUND(Veterancy_XP!$E$5*C588,1)</f>
        <v>262.2</v>
      </c>
      <c r="E588" s="6" t="n">
        <f aca="false">ROUND(B588/D588,2)</f>
        <v>1.45</v>
      </c>
      <c r="F588" s="6" t="n">
        <f aca="false">ROUND(F587+E588,2)</f>
        <v>602.11</v>
      </c>
    </row>
    <row r="589" customFormat="false" ht="15" hidden="false" customHeight="true" outlineLevel="0" collapsed="false">
      <c r="A589" s="6" t="n">
        <v>587</v>
      </c>
      <c r="B589" s="6" t="n">
        <f aca="false">ROUND(Veterancy_XP!$B$5*(A589+1)^Veterancy_XP!$B$6,0)</f>
        <v>382</v>
      </c>
      <c r="C589" s="6" t="n">
        <f aca="false">ROUND(1/(A589+1)^Veterancy_XP!$E$6,4)</f>
        <v>0.2621</v>
      </c>
      <c r="D589" s="6" t="n">
        <f aca="false">ROUND(Veterancy_XP!$E$5*C589,1)</f>
        <v>262.1</v>
      </c>
      <c r="E589" s="6" t="n">
        <f aca="false">ROUND(B589/D589,2)</f>
        <v>1.46</v>
      </c>
      <c r="F589" s="6" t="n">
        <f aca="false">ROUND(F588+E589,2)</f>
        <v>603.57</v>
      </c>
    </row>
    <row r="590" customFormat="false" ht="15" hidden="false" customHeight="true" outlineLevel="0" collapsed="false">
      <c r="A590" s="6" t="n">
        <v>588</v>
      </c>
      <c r="B590" s="6" t="n">
        <f aca="false">ROUND(Veterancy_XP!$B$5*(A590+1)^Veterancy_XP!$B$6,0)</f>
        <v>382</v>
      </c>
      <c r="C590" s="6" t="n">
        <f aca="false">ROUND(1/(A590+1)^Veterancy_XP!$E$6,4)</f>
        <v>0.262</v>
      </c>
      <c r="D590" s="6" t="n">
        <f aca="false">ROUND(Veterancy_XP!$E$5*C590,1)</f>
        <v>262</v>
      </c>
      <c r="E590" s="6" t="n">
        <f aca="false">ROUND(B590/D590,2)</f>
        <v>1.46</v>
      </c>
      <c r="F590" s="6" t="n">
        <f aca="false">ROUND(F589+E590,2)</f>
        <v>605.03</v>
      </c>
    </row>
    <row r="591" customFormat="false" ht="15" hidden="false" customHeight="true" outlineLevel="0" collapsed="false">
      <c r="A591" s="6" t="n">
        <v>589</v>
      </c>
      <c r="B591" s="6" t="n">
        <f aca="false">ROUND(Veterancy_XP!$B$5*(A591+1)^Veterancy_XP!$B$6,0)</f>
        <v>382</v>
      </c>
      <c r="C591" s="6" t="n">
        <f aca="false">ROUND(1/(A591+1)^Veterancy_XP!$E$6,4)</f>
        <v>0.2619</v>
      </c>
      <c r="D591" s="6" t="n">
        <f aca="false">ROUND(Veterancy_XP!$E$5*C591,1)</f>
        <v>261.9</v>
      </c>
      <c r="E591" s="6" t="n">
        <f aca="false">ROUND(B591/D591,2)</f>
        <v>1.46</v>
      </c>
      <c r="F591" s="6" t="n">
        <f aca="false">ROUND(F590+E591,2)</f>
        <v>606.49</v>
      </c>
    </row>
    <row r="592" customFormat="false" ht="15" hidden="false" customHeight="true" outlineLevel="0" collapsed="false">
      <c r="A592" s="6" t="n">
        <v>590</v>
      </c>
      <c r="B592" s="6" t="n">
        <f aca="false">ROUND(Veterancy_XP!$B$5*(A592+1)^Veterancy_XP!$B$6,0)</f>
        <v>382</v>
      </c>
      <c r="C592" s="6" t="n">
        <f aca="false">ROUND(1/(A592+1)^Veterancy_XP!$E$6,4)</f>
        <v>0.2618</v>
      </c>
      <c r="D592" s="6" t="n">
        <f aca="false">ROUND(Veterancy_XP!$E$5*C592,1)</f>
        <v>261.8</v>
      </c>
      <c r="E592" s="6" t="n">
        <f aca="false">ROUND(B592/D592,2)</f>
        <v>1.46</v>
      </c>
      <c r="F592" s="6" t="n">
        <f aca="false">ROUND(F591+E592,2)</f>
        <v>607.95</v>
      </c>
    </row>
    <row r="593" customFormat="false" ht="15" hidden="false" customHeight="true" outlineLevel="0" collapsed="false">
      <c r="A593" s="6" t="n">
        <v>591</v>
      </c>
      <c r="B593" s="6" t="n">
        <f aca="false">ROUND(Veterancy_XP!$B$5*(A593+1)^Veterancy_XP!$B$6,0)</f>
        <v>382</v>
      </c>
      <c r="C593" s="6" t="n">
        <f aca="false">ROUND(1/(A593+1)^Veterancy_XP!$E$6,4)</f>
        <v>0.2617</v>
      </c>
      <c r="D593" s="6" t="n">
        <f aca="false">ROUND(Veterancy_XP!$E$5*C593,1)</f>
        <v>261.7</v>
      </c>
      <c r="E593" s="6" t="n">
        <f aca="false">ROUND(B593/D593,2)</f>
        <v>1.46</v>
      </c>
      <c r="F593" s="6" t="n">
        <f aca="false">ROUND(F592+E593,2)</f>
        <v>609.41</v>
      </c>
    </row>
    <row r="594" customFormat="false" ht="15" hidden="false" customHeight="true" outlineLevel="0" collapsed="false">
      <c r="A594" s="6" t="n">
        <v>592</v>
      </c>
      <c r="B594" s="6" t="n">
        <f aca="false">ROUND(Veterancy_XP!$B$5*(A594+1)^Veterancy_XP!$B$6,0)</f>
        <v>382</v>
      </c>
      <c r="C594" s="6" t="n">
        <f aca="false">ROUND(1/(A594+1)^Veterancy_XP!$E$6,4)</f>
        <v>0.2616</v>
      </c>
      <c r="D594" s="6" t="n">
        <f aca="false">ROUND(Veterancy_XP!$E$5*C594,1)</f>
        <v>261.6</v>
      </c>
      <c r="E594" s="6" t="n">
        <f aca="false">ROUND(B594/D594,2)</f>
        <v>1.46</v>
      </c>
      <c r="F594" s="6" t="n">
        <f aca="false">ROUND(F593+E594,2)</f>
        <v>610.87</v>
      </c>
    </row>
    <row r="595" customFormat="false" ht="15" hidden="false" customHeight="true" outlineLevel="0" collapsed="false">
      <c r="A595" s="6" t="n">
        <v>593</v>
      </c>
      <c r="B595" s="6" t="n">
        <f aca="false">ROUND(Veterancy_XP!$B$5*(A595+1)^Veterancy_XP!$B$6,0)</f>
        <v>382</v>
      </c>
      <c r="C595" s="6" t="n">
        <f aca="false">ROUND(1/(A595+1)^Veterancy_XP!$E$6,4)</f>
        <v>0.2615</v>
      </c>
      <c r="D595" s="6" t="n">
        <f aca="false">ROUND(Veterancy_XP!$E$5*C595,1)</f>
        <v>261.5</v>
      </c>
      <c r="E595" s="6" t="n">
        <f aca="false">ROUND(B595/D595,2)</f>
        <v>1.46</v>
      </c>
      <c r="F595" s="6" t="n">
        <f aca="false">ROUND(F594+E595,2)</f>
        <v>612.33</v>
      </c>
    </row>
    <row r="596" customFormat="false" ht="15" hidden="false" customHeight="true" outlineLevel="0" collapsed="false">
      <c r="A596" s="6" t="n">
        <v>594</v>
      </c>
      <c r="B596" s="6" t="n">
        <f aca="false">ROUND(Veterancy_XP!$B$5*(A596+1)^Veterancy_XP!$B$6,0)</f>
        <v>383</v>
      </c>
      <c r="C596" s="6" t="n">
        <f aca="false">ROUND(1/(A596+1)^Veterancy_XP!$E$6,4)</f>
        <v>0.2614</v>
      </c>
      <c r="D596" s="6" t="n">
        <f aca="false">ROUND(Veterancy_XP!$E$5*C596,1)</f>
        <v>261.4</v>
      </c>
      <c r="E596" s="6" t="n">
        <f aca="false">ROUND(B596/D596,2)</f>
        <v>1.47</v>
      </c>
      <c r="F596" s="6" t="n">
        <f aca="false">ROUND(F595+E596,2)</f>
        <v>613.8</v>
      </c>
    </row>
    <row r="597" customFormat="false" ht="15" hidden="false" customHeight="true" outlineLevel="0" collapsed="false">
      <c r="A597" s="6" t="n">
        <v>595</v>
      </c>
      <c r="B597" s="6" t="n">
        <f aca="false">ROUND(Veterancy_XP!$B$5*(A597+1)^Veterancy_XP!$B$6,0)</f>
        <v>383</v>
      </c>
      <c r="C597" s="6" t="n">
        <f aca="false">ROUND(1/(A597+1)^Veterancy_XP!$E$6,4)</f>
        <v>0.2613</v>
      </c>
      <c r="D597" s="6" t="n">
        <f aca="false">ROUND(Veterancy_XP!$E$5*C597,1)</f>
        <v>261.3</v>
      </c>
      <c r="E597" s="6" t="n">
        <f aca="false">ROUND(B597/D597,2)</f>
        <v>1.47</v>
      </c>
      <c r="F597" s="6" t="n">
        <f aca="false">ROUND(F596+E597,2)</f>
        <v>615.27</v>
      </c>
    </row>
    <row r="598" customFormat="false" ht="15" hidden="false" customHeight="true" outlineLevel="0" collapsed="false">
      <c r="A598" s="6" t="n">
        <v>596</v>
      </c>
      <c r="B598" s="6" t="n">
        <f aca="false">ROUND(Veterancy_XP!$B$5*(A598+1)^Veterancy_XP!$B$6,0)</f>
        <v>383</v>
      </c>
      <c r="C598" s="6" t="n">
        <f aca="false">ROUND(1/(A598+1)^Veterancy_XP!$E$6,4)</f>
        <v>0.2612</v>
      </c>
      <c r="D598" s="6" t="n">
        <f aca="false">ROUND(Veterancy_XP!$E$5*C598,1)</f>
        <v>261.2</v>
      </c>
      <c r="E598" s="6" t="n">
        <f aca="false">ROUND(B598/D598,2)</f>
        <v>1.47</v>
      </c>
      <c r="F598" s="6" t="n">
        <f aca="false">ROUND(F597+E598,2)</f>
        <v>616.74</v>
      </c>
    </row>
    <row r="599" customFormat="false" ht="15" hidden="false" customHeight="true" outlineLevel="0" collapsed="false">
      <c r="A599" s="6" t="n">
        <v>597</v>
      </c>
      <c r="B599" s="6" t="n">
        <f aca="false">ROUND(Veterancy_XP!$B$5*(A599+1)^Veterancy_XP!$B$6,0)</f>
        <v>383</v>
      </c>
      <c r="C599" s="6" t="n">
        <f aca="false">ROUND(1/(A599+1)^Veterancy_XP!$E$6,4)</f>
        <v>0.2612</v>
      </c>
      <c r="D599" s="6" t="n">
        <f aca="false">ROUND(Veterancy_XP!$E$5*C599,1)</f>
        <v>261.2</v>
      </c>
      <c r="E599" s="6" t="n">
        <f aca="false">ROUND(B599/D599,2)</f>
        <v>1.47</v>
      </c>
      <c r="F599" s="6" t="n">
        <f aca="false">ROUND(F598+E599,2)</f>
        <v>618.21</v>
      </c>
    </row>
    <row r="600" customFormat="false" ht="15" hidden="false" customHeight="true" outlineLevel="0" collapsed="false">
      <c r="A600" s="6" t="n">
        <v>598</v>
      </c>
      <c r="B600" s="6" t="n">
        <f aca="false">ROUND(Veterancy_XP!$B$5*(A600+1)^Veterancy_XP!$B$6,0)</f>
        <v>383</v>
      </c>
      <c r="C600" s="6" t="n">
        <f aca="false">ROUND(1/(A600+1)^Veterancy_XP!$E$6,4)</f>
        <v>0.2611</v>
      </c>
      <c r="D600" s="6" t="n">
        <f aca="false">ROUND(Veterancy_XP!$E$5*C600,1)</f>
        <v>261.1</v>
      </c>
      <c r="E600" s="6" t="n">
        <f aca="false">ROUND(B600/D600,2)</f>
        <v>1.47</v>
      </c>
      <c r="F600" s="6" t="n">
        <f aca="false">ROUND(F599+E600,2)</f>
        <v>619.68</v>
      </c>
    </row>
    <row r="601" customFormat="false" ht="15" hidden="false" customHeight="true" outlineLevel="0" collapsed="false">
      <c r="A601" s="6" t="n">
        <v>599</v>
      </c>
      <c r="B601" s="6" t="n">
        <f aca="false">ROUND(Veterancy_XP!$B$5*(A601+1)^Veterancy_XP!$B$6,0)</f>
        <v>383</v>
      </c>
      <c r="C601" s="6" t="n">
        <f aca="false">ROUND(1/(A601+1)^Veterancy_XP!$E$6,4)</f>
        <v>0.261</v>
      </c>
      <c r="D601" s="6" t="n">
        <f aca="false">ROUND(Veterancy_XP!$E$5*C601,1)</f>
        <v>261</v>
      </c>
      <c r="E601" s="6" t="n">
        <f aca="false">ROUND(B601/D601,2)</f>
        <v>1.47</v>
      </c>
      <c r="F601" s="6" t="n">
        <f aca="false">ROUND(F600+E601,2)</f>
        <v>621.15</v>
      </c>
    </row>
    <row r="602" customFormat="false" ht="15" hidden="false" customHeight="true" outlineLevel="0" collapsed="false">
      <c r="A602" s="6" t="n">
        <v>600</v>
      </c>
      <c r="B602" s="6" t="n">
        <f aca="false">ROUND(Veterancy_XP!$B$5*(A602+1)^Veterancy_XP!$B$6,0)</f>
        <v>383</v>
      </c>
      <c r="C602" s="6" t="n">
        <f aca="false">ROUND(1/(A602+1)^Veterancy_XP!$E$6,4)</f>
        <v>0.2609</v>
      </c>
      <c r="D602" s="6" t="n">
        <f aca="false">ROUND(Veterancy_XP!$E$5*C602,1)</f>
        <v>260.9</v>
      </c>
      <c r="E602" s="6" t="n">
        <f aca="false">ROUND(B602/D602,2)</f>
        <v>1.47</v>
      </c>
      <c r="F602" s="6" t="n">
        <f aca="false">ROUND(F601+E602,2)</f>
        <v>622.62</v>
      </c>
    </row>
    <row r="603" customFormat="false" ht="15" hidden="false" customHeight="true" outlineLevel="0" collapsed="false">
      <c r="A603" s="6" t="n">
        <v>601</v>
      </c>
      <c r="B603" s="6" t="n">
        <f aca="false">ROUND(Veterancy_XP!$B$5*(A603+1)^Veterancy_XP!$B$6,0)</f>
        <v>383</v>
      </c>
      <c r="C603" s="6" t="n">
        <f aca="false">ROUND(1/(A603+1)^Veterancy_XP!$E$6,4)</f>
        <v>0.2608</v>
      </c>
      <c r="D603" s="6" t="n">
        <f aca="false">ROUND(Veterancy_XP!$E$5*C603,1)</f>
        <v>260.8</v>
      </c>
      <c r="E603" s="6" t="n">
        <f aca="false">ROUND(B603/D603,2)</f>
        <v>1.47</v>
      </c>
      <c r="F603" s="6" t="n">
        <f aca="false">ROUND(F602+E603,2)</f>
        <v>624.09</v>
      </c>
    </row>
    <row r="604" customFormat="false" ht="15" hidden="false" customHeight="true" outlineLevel="0" collapsed="false">
      <c r="A604" s="6" t="n">
        <v>602</v>
      </c>
      <c r="B604" s="6" t="n">
        <f aca="false">ROUND(Veterancy_XP!$B$5*(A604+1)^Veterancy_XP!$B$6,0)</f>
        <v>384</v>
      </c>
      <c r="C604" s="6" t="n">
        <f aca="false">ROUND(1/(A604+1)^Veterancy_XP!$E$6,4)</f>
        <v>0.2607</v>
      </c>
      <c r="D604" s="6" t="n">
        <f aca="false">ROUND(Veterancy_XP!$E$5*C604,1)</f>
        <v>260.7</v>
      </c>
      <c r="E604" s="6" t="n">
        <f aca="false">ROUND(B604/D604,2)</f>
        <v>1.47</v>
      </c>
      <c r="F604" s="6" t="n">
        <f aca="false">ROUND(F603+E604,2)</f>
        <v>625.56</v>
      </c>
    </row>
    <row r="605" customFormat="false" ht="15" hidden="false" customHeight="true" outlineLevel="0" collapsed="false">
      <c r="A605" s="6" t="n">
        <v>603</v>
      </c>
      <c r="B605" s="6" t="n">
        <f aca="false">ROUND(Veterancy_XP!$B$5*(A605+1)^Veterancy_XP!$B$6,0)</f>
        <v>384</v>
      </c>
      <c r="C605" s="6" t="n">
        <f aca="false">ROUND(1/(A605+1)^Veterancy_XP!$E$6,4)</f>
        <v>0.2606</v>
      </c>
      <c r="D605" s="6" t="n">
        <f aca="false">ROUND(Veterancy_XP!$E$5*C605,1)</f>
        <v>260.6</v>
      </c>
      <c r="E605" s="6" t="n">
        <f aca="false">ROUND(B605/D605,2)</f>
        <v>1.47</v>
      </c>
      <c r="F605" s="6" t="n">
        <f aca="false">ROUND(F604+E605,2)</f>
        <v>627.03</v>
      </c>
    </row>
    <row r="606" customFormat="false" ht="15" hidden="false" customHeight="true" outlineLevel="0" collapsed="false">
      <c r="A606" s="6" t="n">
        <v>604</v>
      </c>
      <c r="B606" s="6" t="n">
        <f aca="false">ROUND(Veterancy_XP!$B$5*(A606+1)^Veterancy_XP!$B$6,0)</f>
        <v>384</v>
      </c>
      <c r="C606" s="6" t="n">
        <f aca="false">ROUND(1/(A606+1)^Veterancy_XP!$E$6,4)</f>
        <v>0.2605</v>
      </c>
      <c r="D606" s="6" t="n">
        <f aca="false">ROUND(Veterancy_XP!$E$5*C606,1)</f>
        <v>260.5</v>
      </c>
      <c r="E606" s="6" t="n">
        <f aca="false">ROUND(B606/D606,2)</f>
        <v>1.47</v>
      </c>
      <c r="F606" s="6" t="n">
        <f aca="false">ROUND(F605+E606,2)</f>
        <v>628.5</v>
      </c>
    </row>
    <row r="607" customFormat="false" ht="15" hidden="false" customHeight="true" outlineLevel="0" collapsed="false">
      <c r="A607" s="6" t="n">
        <v>605</v>
      </c>
      <c r="B607" s="6" t="n">
        <f aca="false">ROUND(Veterancy_XP!$B$5*(A607+1)^Veterancy_XP!$B$6,0)</f>
        <v>384</v>
      </c>
      <c r="C607" s="6" t="n">
        <f aca="false">ROUND(1/(A607+1)^Veterancy_XP!$E$6,4)</f>
        <v>0.2604</v>
      </c>
      <c r="D607" s="6" t="n">
        <f aca="false">ROUND(Veterancy_XP!$E$5*C607,1)</f>
        <v>260.4</v>
      </c>
      <c r="E607" s="6" t="n">
        <f aca="false">ROUND(B607/D607,2)</f>
        <v>1.47</v>
      </c>
      <c r="F607" s="6" t="n">
        <f aca="false">ROUND(F606+E607,2)</f>
        <v>629.97</v>
      </c>
    </row>
    <row r="608" customFormat="false" ht="15" hidden="false" customHeight="true" outlineLevel="0" collapsed="false">
      <c r="A608" s="6" t="n">
        <v>606</v>
      </c>
      <c r="B608" s="6" t="n">
        <f aca="false">ROUND(Veterancy_XP!$B$5*(A608+1)^Veterancy_XP!$B$6,0)</f>
        <v>384</v>
      </c>
      <c r="C608" s="6" t="n">
        <f aca="false">ROUND(1/(A608+1)^Veterancy_XP!$E$6,4)</f>
        <v>0.2603</v>
      </c>
      <c r="D608" s="6" t="n">
        <f aca="false">ROUND(Veterancy_XP!$E$5*C608,1)</f>
        <v>260.3</v>
      </c>
      <c r="E608" s="6" t="n">
        <f aca="false">ROUND(B608/D608,2)</f>
        <v>1.48</v>
      </c>
      <c r="F608" s="6" t="n">
        <f aca="false">ROUND(F607+E608,2)</f>
        <v>631.45</v>
      </c>
    </row>
    <row r="609" customFormat="false" ht="15" hidden="false" customHeight="true" outlineLevel="0" collapsed="false">
      <c r="A609" s="6" t="n">
        <v>607</v>
      </c>
      <c r="B609" s="6" t="n">
        <f aca="false">ROUND(Veterancy_XP!$B$5*(A609+1)^Veterancy_XP!$B$6,0)</f>
        <v>384</v>
      </c>
      <c r="C609" s="6" t="n">
        <f aca="false">ROUND(1/(A609+1)^Veterancy_XP!$E$6,4)</f>
        <v>0.2602</v>
      </c>
      <c r="D609" s="6" t="n">
        <f aca="false">ROUND(Veterancy_XP!$E$5*C609,1)</f>
        <v>260.2</v>
      </c>
      <c r="E609" s="6" t="n">
        <f aca="false">ROUND(B609/D609,2)</f>
        <v>1.48</v>
      </c>
      <c r="F609" s="6" t="n">
        <f aca="false">ROUND(F608+E609,2)</f>
        <v>632.93</v>
      </c>
    </row>
    <row r="610" customFormat="false" ht="15" hidden="false" customHeight="true" outlineLevel="0" collapsed="false">
      <c r="A610" s="6" t="n">
        <v>608</v>
      </c>
      <c r="B610" s="6" t="n">
        <f aca="false">ROUND(Veterancy_XP!$B$5*(A610+1)^Veterancy_XP!$B$6,0)</f>
        <v>384</v>
      </c>
      <c r="C610" s="6" t="n">
        <f aca="false">ROUND(1/(A610+1)^Veterancy_XP!$E$6,4)</f>
        <v>0.2602</v>
      </c>
      <c r="D610" s="6" t="n">
        <f aca="false">ROUND(Veterancy_XP!$E$5*C610,1)</f>
        <v>260.2</v>
      </c>
      <c r="E610" s="6" t="n">
        <f aca="false">ROUND(B610/D610,2)</f>
        <v>1.48</v>
      </c>
      <c r="F610" s="6" t="n">
        <f aca="false">ROUND(F609+E610,2)</f>
        <v>634.41</v>
      </c>
    </row>
    <row r="611" customFormat="false" ht="15" hidden="false" customHeight="true" outlineLevel="0" collapsed="false">
      <c r="A611" s="6" t="n">
        <v>609</v>
      </c>
      <c r="B611" s="6" t="n">
        <f aca="false">ROUND(Veterancy_XP!$B$5*(A611+1)^Veterancy_XP!$B$6,0)</f>
        <v>385</v>
      </c>
      <c r="C611" s="6" t="n">
        <f aca="false">ROUND(1/(A611+1)^Veterancy_XP!$E$6,4)</f>
        <v>0.2601</v>
      </c>
      <c r="D611" s="6" t="n">
        <f aca="false">ROUND(Veterancy_XP!$E$5*C611,1)</f>
        <v>260.1</v>
      </c>
      <c r="E611" s="6" t="n">
        <f aca="false">ROUND(B611/D611,2)</f>
        <v>1.48</v>
      </c>
      <c r="F611" s="6" t="n">
        <f aca="false">ROUND(F610+E611,2)</f>
        <v>635.89</v>
      </c>
    </row>
    <row r="612" customFormat="false" ht="15" hidden="false" customHeight="true" outlineLevel="0" collapsed="false">
      <c r="A612" s="6" t="n">
        <v>610</v>
      </c>
      <c r="B612" s="6" t="n">
        <f aca="false">ROUND(Veterancy_XP!$B$5*(A612+1)^Veterancy_XP!$B$6,0)</f>
        <v>385</v>
      </c>
      <c r="C612" s="6" t="n">
        <f aca="false">ROUND(1/(A612+1)^Veterancy_XP!$E$6,4)</f>
        <v>0.26</v>
      </c>
      <c r="D612" s="6" t="n">
        <f aca="false">ROUND(Veterancy_XP!$E$5*C612,1)</f>
        <v>260</v>
      </c>
      <c r="E612" s="6" t="n">
        <f aca="false">ROUND(B612/D612,2)</f>
        <v>1.48</v>
      </c>
      <c r="F612" s="6" t="n">
        <f aca="false">ROUND(F611+E612,2)</f>
        <v>637.37</v>
      </c>
    </row>
    <row r="613" customFormat="false" ht="15" hidden="false" customHeight="true" outlineLevel="0" collapsed="false">
      <c r="A613" s="6" t="n">
        <v>611</v>
      </c>
      <c r="B613" s="6" t="n">
        <f aca="false">ROUND(Veterancy_XP!$B$5*(A613+1)^Veterancy_XP!$B$6,0)</f>
        <v>385</v>
      </c>
      <c r="C613" s="6" t="n">
        <f aca="false">ROUND(1/(A613+1)^Veterancy_XP!$E$6,4)</f>
        <v>0.2599</v>
      </c>
      <c r="D613" s="6" t="n">
        <f aca="false">ROUND(Veterancy_XP!$E$5*C613,1)</f>
        <v>259.9</v>
      </c>
      <c r="E613" s="6" t="n">
        <f aca="false">ROUND(B613/D613,2)</f>
        <v>1.48</v>
      </c>
      <c r="F613" s="6" t="n">
        <f aca="false">ROUND(F612+E613,2)</f>
        <v>638.85</v>
      </c>
    </row>
    <row r="614" customFormat="false" ht="15" hidden="false" customHeight="true" outlineLevel="0" collapsed="false">
      <c r="A614" s="6" t="n">
        <v>612</v>
      </c>
      <c r="B614" s="6" t="n">
        <f aca="false">ROUND(Veterancy_XP!$B$5*(A614+1)^Veterancy_XP!$B$6,0)</f>
        <v>385</v>
      </c>
      <c r="C614" s="6" t="n">
        <f aca="false">ROUND(1/(A614+1)^Veterancy_XP!$E$6,4)</f>
        <v>0.2598</v>
      </c>
      <c r="D614" s="6" t="n">
        <f aca="false">ROUND(Veterancy_XP!$E$5*C614,1)</f>
        <v>259.8</v>
      </c>
      <c r="E614" s="6" t="n">
        <f aca="false">ROUND(B614/D614,2)</f>
        <v>1.48</v>
      </c>
      <c r="F614" s="6" t="n">
        <f aca="false">ROUND(F613+E614,2)</f>
        <v>640.33</v>
      </c>
    </row>
    <row r="615" customFormat="false" ht="15" hidden="false" customHeight="true" outlineLevel="0" collapsed="false">
      <c r="A615" s="6" t="n">
        <v>613</v>
      </c>
      <c r="B615" s="6" t="n">
        <f aca="false">ROUND(Veterancy_XP!$B$5*(A615+1)^Veterancy_XP!$B$6,0)</f>
        <v>385</v>
      </c>
      <c r="C615" s="6" t="n">
        <f aca="false">ROUND(1/(A615+1)^Veterancy_XP!$E$6,4)</f>
        <v>0.2597</v>
      </c>
      <c r="D615" s="6" t="n">
        <f aca="false">ROUND(Veterancy_XP!$E$5*C615,1)</f>
        <v>259.7</v>
      </c>
      <c r="E615" s="6" t="n">
        <f aca="false">ROUND(B615/D615,2)</f>
        <v>1.48</v>
      </c>
      <c r="F615" s="6" t="n">
        <f aca="false">ROUND(F614+E615,2)</f>
        <v>641.81</v>
      </c>
    </row>
    <row r="616" customFormat="false" ht="15" hidden="false" customHeight="true" outlineLevel="0" collapsed="false">
      <c r="A616" s="6" t="n">
        <v>614</v>
      </c>
      <c r="B616" s="6" t="n">
        <f aca="false">ROUND(Veterancy_XP!$B$5*(A616+1)^Veterancy_XP!$B$6,0)</f>
        <v>385</v>
      </c>
      <c r="C616" s="6" t="n">
        <f aca="false">ROUND(1/(A616+1)^Veterancy_XP!$E$6,4)</f>
        <v>0.2596</v>
      </c>
      <c r="D616" s="6" t="n">
        <f aca="false">ROUND(Veterancy_XP!$E$5*C616,1)</f>
        <v>259.6</v>
      </c>
      <c r="E616" s="6" t="n">
        <f aca="false">ROUND(B616/D616,2)</f>
        <v>1.48</v>
      </c>
      <c r="F616" s="6" t="n">
        <f aca="false">ROUND(F615+E616,2)</f>
        <v>643.29</v>
      </c>
    </row>
    <row r="617" customFormat="false" ht="15" hidden="false" customHeight="true" outlineLevel="0" collapsed="false">
      <c r="A617" s="6" t="n">
        <v>615</v>
      </c>
      <c r="B617" s="6" t="n">
        <f aca="false">ROUND(Veterancy_XP!$B$5*(A617+1)^Veterancy_XP!$B$6,0)</f>
        <v>385</v>
      </c>
      <c r="C617" s="6" t="n">
        <f aca="false">ROUND(1/(A617+1)^Veterancy_XP!$E$6,4)</f>
        <v>0.2595</v>
      </c>
      <c r="D617" s="6" t="n">
        <f aca="false">ROUND(Veterancy_XP!$E$5*C617,1)</f>
        <v>259.5</v>
      </c>
      <c r="E617" s="6" t="n">
        <f aca="false">ROUND(B617/D617,2)</f>
        <v>1.48</v>
      </c>
      <c r="F617" s="6" t="n">
        <f aca="false">ROUND(F616+E617,2)</f>
        <v>644.77</v>
      </c>
    </row>
    <row r="618" customFormat="false" ht="15" hidden="false" customHeight="true" outlineLevel="0" collapsed="false">
      <c r="A618" s="6" t="n">
        <v>616</v>
      </c>
      <c r="B618" s="6" t="n">
        <f aca="false">ROUND(Veterancy_XP!$B$5*(A618+1)^Veterancy_XP!$B$6,0)</f>
        <v>385</v>
      </c>
      <c r="C618" s="6" t="n">
        <f aca="false">ROUND(1/(A618+1)^Veterancy_XP!$E$6,4)</f>
        <v>0.2594</v>
      </c>
      <c r="D618" s="6" t="n">
        <f aca="false">ROUND(Veterancy_XP!$E$5*C618,1)</f>
        <v>259.4</v>
      </c>
      <c r="E618" s="6" t="n">
        <f aca="false">ROUND(B618/D618,2)</f>
        <v>1.48</v>
      </c>
      <c r="F618" s="6" t="n">
        <f aca="false">ROUND(F617+E618,2)</f>
        <v>646.25</v>
      </c>
    </row>
    <row r="619" customFormat="false" ht="15" hidden="false" customHeight="true" outlineLevel="0" collapsed="false">
      <c r="A619" s="6" t="n">
        <v>617</v>
      </c>
      <c r="B619" s="6" t="n">
        <f aca="false">ROUND(Veterancy_XP!$B$5*(A619+1)^Veterancy_XP!$B$6,0)</f>
        <v>386</v>
      </c>
      <c r="C619" s="6" t="n">
        <f aca="false">ROUND(1/(A619+1)^Veterancy_XP!$E$6,4)</f>
        <v>0.2594</v>
      </c>
      <c r="D619" s="6" t="n">
        <f aca="false">ROUND(Veterancy_XP!$E$5*C619,1)</f>
        <v>259.4</v>
      </c>
      <c r="E619" s="6" t="n">
        <f aca="false">ROUND(B619/D619,2)</f>
        <v>1.49</v>
      </c>
      <c r="F619" s="6" t="n">
        <f aca="false">ROUND(F618+E619,2)</f>
        <v>647.74</v>
      </c>
    </row>
    <row r="620" customFormat="false" ht="15" hidden="false" customHeight="true" outlineLevel="0" collapsed="false">
      <c r="A620" s="6" t="n">
        <v>618</v>
      </c>
      <c r="B620" s="6" t="n">
        <f aca="false">ROUND(Veterancy_XP!$B$5*(A620+1)^Veterancy_XP!$B$6,0)</f>
        <v>386</v>
      </c>
      <c r="C620" s="6" t="n">
        <f aca="false">ROUND(1/(A620+1)^Veterancy_XP!$E$6,4)</f>
        <v>0.2593</v>
      </c>
      <c r="D620" s="6" t="n">
        <f aca="false">ROUND(Veterancy_XP!$E$5*C620,1)</f>
        <v>259.3</v>
      </c>
      <c r="E620" s="6" t="n">
        <f aca="false">ROUND(B620/D620,2)</f>
        <v>1.49</v>
      </c>
      <c r="F620" s="6" t="n">
        <f aca="false">ROUND(F619+E620,2)</f>
        <v>649.23</v>
      </c>
    </row>
    <row r="621" customFormat="false" ht="15" hidden="false" customHeight="true" outlineLevel="0" collapsed="false">
      <c r="A621" s="6" t="n">
        <v>619</v>
      </c>
      <c r="B621" s="6" t="n">
        <f aca="false">ROUND(Veterancy_XP!$B$5*(A621+1)^Veterancy_XP!$B$6,0)</f>
        <v>386</v>
      </c>
      <c r="C621" s="6" t="n">
        <f aca="false">ROUND(1/(A621+1)^Veterancy_XP!$E$6,4)</f>
        <v>0.2592</v>
      </c>
      <c r="D621" s="6" t="n">
        <f aca="false">ROUND(Veterancy_XP!$E$5*C621,1)</f>
        <v>259.2</v>
      </c>
      <c r="E621" s="6" t="n">
        <f aca="false">ROUND(B621/D621,2)</f>
        <v>1.49</v>
      </c>
      <c r="F621" s="6" t="n">
        <f aca="false">ROUND(F620+E621,2)</f>
        <v>650.72</v>
      </c>
    </row>
    <row r="622" customFormat="false" ht="15" hidden="false" customHeight="true" outlineLevel="0" collapsed="false">
      <c r="A622" s="6" t="n">
        <v>620</v>
      </c>
      <c r="B622" s="6" t="n">
        <f aca="false">ROUND(Veterancy_XP!$B$5*(A622+1)^Veterancy_XP!$B$6,0)</f>
        <v>386</v>
      </c>
      <c r="C622" s="6" t="n">
        <f aca="false">ROUND(1/(A622+1)^Veterancy_XP!$E$6,4)</f>
        <v>0.2591</v>
      </c>
      <c r="D622" s="6" t="n">
        <f aca="false">ROUND(Veterancy_XP!$E$5*C622,1)</f>
        <v>259.1</v>
      </c>
      <c r="E622" s="6" t="n">
        <f aca="false">ROUND(B622/D622,2)</f>
        <v>1.49</v>
      </c>
      <c r="F622" s="6" t="n">
        <f aca="false">ROUND(F621+E622,2)</f>
        <v>652.21</v>
      </c>
    </row>
    <row r="623" customFormat="false" ht="15" hidden="false" customHeight="true" outlineLevel="0" collapsed="false">
      <c r="A623" s="6" t="n">
        <v>621</v>
      </c>
      <c r="B623" s="6" t="n">
        <f aca="false">ROUND(Veterancy_XP!$B$5*(A623+1)^Veterancy_XP!$B$6,0)</f>
        <v>386</v>
      </c>
      <c r="C623" s="6" t="n">
        <f aca="false">ROUND(1/(A623+1)^Veterancy_XP!$E$6,4)</f>
        <v>0.259</v>
      </c>
      <c r="D623" s="6" t="n">
        <f aca="false">ROUND(Veterancy_XP!$E$5*C623,1)</f>
        <v>259</v>
      </c>
      <c r="E623" s="6" t="n">
        <f aca="false">ROUND(B623/D623,2)</f>
        <v>1.49</v>
      </c>
      <c r="F623" s="6" t="n">
        <f aca="false">ROUND(F622+E623,2)</f>
        <v>653.7</v>
      </c>
    </row>
    <row r="624" customFormat="false" ht="15" hidden="false" customHeight="true" outlineLevel="0" collapsed="false">
      <c r="A624" s="6" t="n">
        <v>622</v>
      </c>
      <c r="B624" s="6" t="n">
        <f aca="false">ROUND(Veterancy_XP!$B$5*(A624+1)^Veterancy_XP!$B$6,0)</f>
        <v>386</v>
      </c>
      <c r="C624" s="6" t="n">
        <f aca="false">ROUND(1/(A624+1)^Veterancy_XP!$E$6,4)</f>
        <v>0.2589</v>
      </c>
      <c r="D624" s="6" t="n">
        <f aca="false">ROUND(Veterancy_XP!$E$5*C624,1)</f>
        <v>258.9</v>
      </c>
      <c r="E624" s="6" t="n">
        <f aca="false">ROUND(B624/D624,2)</f>
        <v>1.49</v>
      </c>
      <c r="F624" s="6" t="n">
        <f aca="false">ROUND(F623+E624,2)</f>
        <v>655.19</v>
      </c>
    </row>
    <row r="625" customFormat="false" ht="15" hidden="false" customHeight="true" outlineLevel="0" collapsed="false">
      <c r="A625" s="6" t="n">
        <v>623</v>
      </c>
      <c r="B625" s="6" t="n">
        <f aca="false">ROUND(Veterancy_XP!$B$5*(A625+1)^Veterancy_XP!$B$6,0)</f>
        <v>386</v>
      </c>
      <c r="C625" s="6" t="n">
        <f aca="false">ROUND(1/(A625+1)^Veterancy_XP!$E$6,4)</f>
        <v>0.2588</v>
      </c>
      <c r="D625" s="6" t="n">
        <f aca="false">ROUND(Veterancy_XP!$E$5*C625,1)</f>
        <v>258.8</v>
      </c>
      <c r="E625" s="6" t="n">
        <f aca="false">ROUND(B625/D625,2)</f>
        <v>1.49</v>
      </c>
      <c r="F625" s="6" t="n">
        <f aca="false">ROUND(F624+E625,2)</f>
        <v>656.68</v>
      </c>
    </row>
    <row r="626" customFormat="false" ht="15" hidden="false" customHeight="true" outlineLevel="0" collapsed="false">
      <c r="A626" s="6" t="n">
        <v>624</v>
      </c>
      <c r="B626" s="6" t="n">
        <f aca="false">ROUND(Veterancy_XP!$B$5*(A626+1)^Veterancy_XP!$B$6,0)</f>
        <v>386</v>
      </c>
      <c r="C626" s="6" t="n">
        <f aca="false">ROUND(1/(A626+1)^Veterancy_XP!$E$6,4)</f>
        <v>0.2587</v>
      </c>
      <c r="D626" s="6" t="n">
        <f aca="false">ROUND(Veterancy_XP!$E$5*C626,1)</f>
        <v>258.7</v>
      </c>
      <c r="E626" s="6" t="n">
        <f aca="false">ROUND(B626/D626,2)</f>
        <v>1.49</v>
      </c>
      <c r="F626" s="6" t="n">
        <f aca="false">ROUND(F625+E626,2)</f>
        <v>658.17</v>
      </c>
    </row>
    <row r="627" customFormat="false" ht="15" hidden="false" customHeight="true" outlineLevel="0" collapsed="false">
      <c r="A627" s="6" t="n">
        <v>625</v>
      </c>
      <c r="B627" s="6" t="n">
        <f aca="false">ROUND(Veterancy_XP!$B$5*(A627+1)^Veterancy_XP!$B$6,0)</f>
        <v>387</v>
      </c>
      <c r="C627" s="6" t="n">
        <f aca="false">ROUND(1/(A627+1)^Veterancy_XP!$E$6,4)</f>
        <v>0.2587</v>
      </c>
      <c r="D627" s="6" t="n">
        <f aca="false">ROUND(Veterancy_XP!$E$5*C627,1)</f>
        <v>258.7</v>
      </c>
      <c r="E627" s="6" t="n">
        <f aca="false">ROUND(B627/D627,2)</f>
        <v>1.5</v>
      </c>
      <c r="F627" s="6" t="n">
        <f aca="false">ROUND(F626+E627,2)</f>
        <v>659.67</v>
      </c>
    </row>
    <row r="628" customFormat="false" ht="15" hidden="false" customHeight="true" outlineLevel="0" collapsed="false">
      <c r="A628" s="6" t="n">
        <v>626</v>
      </c>
      <c r="B628" s="6" t="n">
        <f aca="false">ROUND(Veterancy_XP!$B$5*(A628+1)^Veterancy_XP!$B$6,0)</f>
        <v>387</v>
      </c>
      <c r="C628" s="6" t="n">
        <f aca="false">ROUND(1/(A628+1)^Veterancy_XP!$E$6,4)</f>
        <v>0.2586</v>
      </c>
      <c r="D628" s="6" t="n">
        <f aca="false">ROUND(Veterancy_XP!$E$5*C628,1)</f>
        <v>258.6</v>
      </c>
      <c r="E628" s="6" t="n">
        <f aca="false">ROUND(B628/D628,2)</f>
        <v>1.5</v>
      </c>
      <c r="F628" s="6" t="n">
        <f aca="false">ROUND(F627+E628,2)</f>
        <v>661.17</v>
      </c>
    </row>
    <row r="629" customFormat="false" ht="15" hidden="false" customHeight="true" outlineLevel="0" collapsed="false">
      <c r="A629" s="6" t="n">
        <v>627</v>
      </c>
      <c r="B629" s="6" t="n">
        <f aca="false">ROUND(Veterancy_XP!$B$5*(A629+1)^Veterancy_XP!$B$6,0)</f>
        <v>387</v>
      </c>
      <c r="C629" s="6" t="n">
        <f aca="false">ROUND(1/(A629+1)^Veterancy_XP!$E$6,4)</f>
        <v>0.2585</v>
      </c>
      <c r="D629" s="6" t="n">
        <f aca="false">ROUND(Veterancy_XP!$E$5*C629,1)</f>
        <v>258.5</v>
      </c>
      <c r="E629" s="6" t="n">
        <f aca="false">ROUND(B629/D629,2)</f>
        <v>1.5</v>
      </c>
      <c r="F629" s="6" t="n">
        <f aca="false">ROUND(F628+E629,2)</f>
        <v>662.67</v>
      </c>
    </row>
    <row r="630" customFormat="false" ht="15" hidden="false" customHeight="true" outlineLevel="0" collapsed="false">
      <c r="A630" s="6" t="n">
        <v>628</v>
      </c>
      <c r="B630" s="6" t="n">
        <f aca="false">ROUND(Veterancy_XP!$B$5*(A630+1)^Veterancy_XP!$B$6,0)</f>
        <v>387</v>
      </c>
      <c r="C630" s="6" t="n">
        <f aca="false">ROUND(1/(A630+1)^Veterancy_XP!$E$6,4)</f>
        <v>0.2584</v>
      </c>
      <c r="D630" s="6" t="n">
        <f aca="false">ROUND(Veterancy_XP!$E$5*C630,1)</f>
        <v>258.4</v>
      </c>
      <c r="E630" s="6" t="n">
        <f aca="false">ROUND(B630/D630,2)</f>
        <v>1.5</v>
      </c>
      <c r="F630" s="6" t="n">
        <f aca="false">ROUND(F629+E630,2)</f>
        <v>664.17</v>
      </c>
    </row>
    <row r="631" customFormat="false" ht="15" hidden="false" customHeight="true" outlineLevel="0" collapsed="false">
      <c r="A631" s="6" t="n">
        <v>629</v>
      </c>
      <c r="B631" s="6" t="n">
        <f aca="false">ROUND(Veterancy_XP!$B$5*(A631+1)^Veterancy_XP!$B$6,0)</f>
        <v>387</v>
      </c>
      <c r="C631" s="6" t="n">
        <f aca="false">ROUND(1/(A631+1)^Veterancy_XP!$E$6,4)</f>
        <v>0.2583</v>
      </c>
      <c r="D631" s="6" t="n">
        <f aca="false">ROUND(Veterancy_XP!$E$5*C631,1)</f>
        <v>258.3</v>
      </c>
      <c r="E631" s="6" t="n">
        <f aca="false">ROUND(B631/D631,2)</f>
        <v>1.5</v>
      </c>
      <c r="F631" s="6" t="n">
        <f aca="false">ROUND(F630+E631,2)</f>
        <v>665.67</v>
      </c>
    </row>
    <row r="632" customFormat="false" ht="15" hidden="false" customHeight="true" outlineLevel="0" collapsed="false">
      <c r="A632" s="6" t="n">
        <v>630</v>
      </c>
      <c r="B632" s="6" t="n">
        <f aca="false">ROUND(Veterancy_XP!$B$5*(A632+1)^Veterancy_XP!$B$6,0)</f>
        <v>387</v>
      </c>
      <c r="C632" s="6" t="n">
        <f aca="false">ROUND(1/(A632+1)^Veterancy_XP!$E$6,4)</f>
        <v>0.2582</v>
      </c>
      <c r="D632" s="6" t="n">
        <f aca="false">ROUND(Veterancy_XP!$E$5*C632,1)</f>
        <v>258.2</v>
      </c>
      <c r="E632" s="6" t="n">
        <f aca="false">ROUND(B632/D632,2)</f>
        <v>1.5</v>
      </c>
      <c r="F632" s="6" t="n">
        <f aca="false">ROUND(F631+E632,2)</f>
        <v>667.17</v>
      </c>
    </row>
    <row r="633" customFormat="false" ht="15" hidden="false" customHeight="true" outlineLevel="0" collapsed="false">
      <c r="A633" s="6" t="n">
        <v>631</v>
      </c>
      <c r="B633" s="6" t="n">
        <f aca="false">ROUND(Veterancy_XP!$B$5*(A633+1)^Veterancy_XP!$B$6,0)</f>
        <v>387</v>
      </c>
      <c r="C633" s="6" t="n">
        <f aca="false">ROUND(1/(A633+1)^Veterancy_XP!$E$6,4)</f>
        <v>0.2581</v>
      </c>
      <c r="D633" s="6" t="n">
        <f aca="false">ROUND(Veterancy_XP!$E$5*C633,1)</f>
        <v>258.1</v>
      </c>
      <c r="E633" s="6" t="n">
        <f aca="false">ROUND(B633/D633,2)</f>
        <v>1.5</v>
      </c>
      <c r="F633" s="6" t="n">
        <f aca="false">ROUND(F632+E633,2)</f>
        <v>668.67</v>
      </c>
    </row>
    <row r="634" customFormat="false" ht="15" hidden="false" customHeight="true" outlineLevel="0" collapsed="false">
      <c r="A634" s="6" t="n">
        <v>632</v>
      </c>
      <c r="B634" s="6" t="n">
        <f aca="false">ROUND(Veterancy_XP!$B$5*(A634+1)^Veterancy_XP!$B$6,0)</f>
        <v>388</v>
      </c>
      <c r="C634" s="6" t="n">
        <f aca="false">ROUND(1/(A634+1)^Veterancy_XP!$E$6,4)</f>
        <v>0.2581</v>
      </c>
      <c r="D634" s="6" t="n">
        <f aca="false">ROUND(Veterancy_XP!$E$5*C634,1)</f>
        <v>258.1</v>
      </c>
      <c r="E634" s="6" t="n">
        <f aca="false">ROUND(B634/D634,2)</f>
        <v>1.5</v>
      </c>
      <c r="F634" s="6" t="n">
        <f aca="false">ROUND(F633+E634,2)</f>
        <v>670.17</v>
      </c>
    </row>
    <row r="635" customFormat="false" ht="15" hidden="false" customHeight="true" outlineLevel="0" collapsed="false">
      <c r="A635" s="6" t="n">
        <v>633</v>
      </c>
      <c r="B635" s="6" t="n">
        <f aca="false">ROUND(Veterancy_XP!$B$5*(A635+1)^Veterancy_XP!$B$6,0)</f>
        <v>388</v>
      </c>
      <c r="C635" s="6" t="n">
        <f aca="false">ROUND(1/(A635+1)^Veterancy_XP!$E$6,4)</f>
        <v>0.258</v>
      </c>
      <c r="D635" s="6" t="n">
        <f aca="false">ROUND(Veterancy_XP!$E$5*C635,1)</f>
        <v>258</v>
      </c>
      <c r="E635" s="6" t="n">
        <f aca="false">ROUND(B635/D635,2)</f>
        <v>1.5</v>
      </c>
      <c r="F635" s="6" t="n">
        <f aca="false">ROUND(F634+E635,2)</f>
        <v>671.67</v>
      </c>
    </row>
    <row r="636" customFormat="false" ht="15" hidden="false" customHeight="true" outlineLevel="0" collapsed="false">
      <c r="A636" s="6" t="n">
        <v>634</v>
      </c>
      <c r="B636" s="6" t="n">
        <f aca="false">ROUND(Veterancy_XP!$B$5*(A636+1)^Veterancy_XP!$B$6,0)</f>
        <v>388</v>
      </c>
      <c r="C636" s="6" t="n">
        <f aca="false">ROUND(1/(A636+1)^Veterancy_XP!$E$6,4)</f>
        <v>0.2579</v>
      </c>
      <c r="D636" s="6" t="n">
        <f aca="false">ROUND(Veterancy_XP!$E$5*C636,1)</f>
        <v>257.9</v>
      </c>
      <c r="E636" s="6" t="n">
        <f aca="false">ROUND(B636/D636,2)</f>
        <v>1.5</v>
      </c>
      <c r="F636" s="6" t="n">
        <f aca="false">ROUND(F635+E636,2)</f>
        <v>673.17</v>
      </c>
    </row>
    <row r="637" customFormat="false" ht="15" hidden="false" customHeight="true" outlineLevel="0" collapsed="false">
      <c r="A637" s="6" t="n">
        <v>635</v>
      </c>
      <c r="B637" s="6" t="n">
        <f aca="false">ROUND(Veterancy_XP!$B$5*(A637+1)^Veterancy_XP!$B$6,0)</f>
        <v>388</v>
      </c>
      <c r="C637" s="6" t="n">
        <f aca="false">ROUND(1/(A637+1)^Veterancy_XP!$E$6,4)</f>
        <v>0.2578</v>
      </c>
      <c r="D637" s="6" t="n">
        <f aca="false">ROUND(Veterancy_XP!$E$5*C637,1)</f>
        <v>257.8</v>
      </c>
      <c r="E637" s="6" t="n">
        <f aca="false">ROUND(B637/D637,2)</f>
        <v>1.51</v>
      </c>
      <c r="F637" s="6" t="n">
        <f aca="false">ROUND(F636+E637,2)</f>
        <v>674.68</v>
      </c>
    </row>
    <row r="638" customFormat="false" ht="15" hidden="false" customHeight="true" outlineLevel="0" collapsed="false">
      <c r="A638" s="6" t="n">
        <v>636</v>
      </c>
      <c r="B638" s="6" t="n">
        <f aca="false">ROUND(Veterancy_XP!$B$5*(A638+1)^Veterancy_XP!$B$6,0)</f>
        <v>388</v>
      </c>
      <c r="C638" s="6" t="n">
        <f aca="false">ROUND(1/(A638+1)^Veterancy_XP!$E$6,4)</f>
        <v>0.2577</v>
      </c>
      <c r="D638" s="6" t="n">
        <f aca="false">ROUND(Veterancy_XP!$E$5*C638,1)</f>
        <v>257.7</v>
      </c>
      <c r="E638" s="6" t="n">
        <f aca="false">ROUND(B638/D638,2)</f>
        <v>1.51</v>
      </c>
      <c r="F638" s="6" t="n">
        <f aca="false">ROUND(F637+E638,2)</f>
        <v>676.19</v>
      </c>
    </row>
    <row r="639" customFormat="false" ht="15" hidden="false" customHeight="true" outlineLevel="0" collapsed="false">
      <c r="A639" s="6" t="n">
        <v>637</v>
      </c>
      <c r="B639" s="6" t="n">
        <f aca="false">ROUND(Veterancy_XP!$B$5*(A639+1)^Veterancy_XP!$B$6,0)</f>
        <v>388</v>
      </c>
      <c r="C639" s="6" t="n">
        <f aca="false">ROUND(1/(A639+1)^Veterancy_XP!$E$6,4)</f>
        <v>0.2576</v>
      </c>
      <c r="D639" s="6" t="n">
        <f aca="false">ROUND(Veterancy_XP!$E$5*C639,1)</f>
        <v>257.6</v>
      </c>
      <c r="E639" s="6" t="n">
        <f aca="false">ROUND(B639/D639,2)</f>
        <v>1.51</v>
      </c>
      <c r="F639" s="6" t="n">
        <f aca="false">ROUND(F638+E639,2)</f>
        <v>677.7</v>
      </c>
    </row>
    <row r="640" customFormat="false" ht="15" hidden="false" customHeight="true" outlineLevel="0" collapsed="false">
      <c r="A640" s="6" t="n">
        <v>638</v>
      </c>
      <c r="B640" s="6" t="n">
        <f aca="false">ROUND(Veterancy_XP!$B$5*(A640+1)^Veterancy_XP!$B$6,0)</f>
        <v>388</v>
      </c>
      <c r="C640" s="6" t="n">
        <f aca="false">ROUND(1/(A640+1)^Veterancy_XP!$E$6,4)</f>
        <v>0.2575</v>
      </c>
      <c r="D640" s="6" t="n">
        <f aca="false">ROUND(Veterancy_XP!$E$5*C640,1)</f>
        <v>257.5</v>
      </c>
      <c r="E640" s="6" t="n">
        <f aca="false">ROUND(B640/D640,2)</f>
        <v>1.51</v>
      </c>
      <c r="F640" s="6" t="n">
        <f aca="false">ROUND(F639+E640,2)</f>
        <v>679.21</v>
      </c>
    </row>
    <row r="641" customFormat="false" ht="15" hidden="false" customHeight="true" outlineLevel="0" collapsed="false">
      <c r="A641" s="6" t="n">
        <v>639</v>
      </c>
      <c r="B641" s="6" t="n">
        <f aca="false">ROUND(Veterancy_XP!$B$5*(A641+1)^Veterancy_XP!$B$6,0)</f>
        <v>388</v>
      </c>
      <c r="C641" s="6" t="n">
        <f aca="false">ROUND(1/(A641+1)^Veterancy_XP!$E$6,4)</f>
        <v>0.2575</v>
      </c>
      <c r="D641" s="6" t="n">
        <f aca="false">ROUND(Veterancy_XP!$E$5*C641,1)</f>
        <v>257.5</v>
      </c>
      <c r="E641" s="6" t="n">
        <f aca="false">ROUND(B641/D641,2)</f>
        <v>1.51</v>
      </c>
      <c r="F641" s="6" t="n">
        <f aca="false">ROUND(F640+E641,2)</f>
        <v>680.72</v>
      </c>
    </row>
    <row r="642" customFormat="false" ht="15" hidden="false" customHeight="true" outlineLevel="0" collapsed="false">
      <c r="A642" s="6" t="n">
        <v>640</v>
      </c>
      <c r="B642" s="6" t="n">
        <f aca="false">ROUND(Veterancy_XP!$B$5*(A642+1)^Veterancy_XP!$B$6,0)</f>
        <v>389</v>
      </c>
      <c r="C642" s="6" t="n">
        <f aca="false">ROUND(1/(A642+1)^Veterancy_XP!$E$6,4)</f>
        <v>0.2574</v>
      </c>
      <c r="D642" s="6" t="n">
        <f aca="false">ROUND(Veterancy_XP!$E$5*C642,1)</f>
        <v>257.4</v>
      </c>
      <c r="E642" s="6" t="n">
        <f aca="false">ROUND(B642/D642,2)</f>
        <v>1.51</v>
      </c>
      <c r="F642" s="6" t="n">
        <f aca="false">ROUND(F641+E642,2)</f>
        <v>682.23</v>
      </c>
    </row>
    <row r="643" customFormat="false" ht="15" hidden="false" customHeight="true" outlineLevel="0" collapsed="false">
      <c r="A643" s="6" t="n">
        <v>641</v>
      </c>
      <c r="B643" s="6" t="n">
        <f aca="false">ROUND(Veterancy_XP!$B$5*(A643+1)^Veterancy_XP!$B$6,0)</f>
        <v>389</v>
      </c>
      <c r="C643" s="6" t="n">
        <f aca="false">ROUND(1/(A643+1)^Veterancy_XP!$E$6,4)</f>
        <v>0.2573</v>
      </c>
      <c r="D643" s="6" t="n">
        <f aca="false">ROUND(Veterancy_XP!$E$5*C643,1)</f>
        <v>257.3</v>
      </c>
      <c r="E643" s="6" t="n">
        <f aca="false">ROUND(B643/D643,2)</f>
        <v>1.51</v>
      </c>
      <c r="F643" s="6" t="n">
        <f aca="false">ROUND(F642+E643,2)</f>
        <v>683.74</v>
      </c>
    </row>
    <row r="644" customFormat="false" ht="15" hidden="false" customHeight="true" outlineLevel="0" collapsed="false">
      <c r="A644" s="6" t="n">
        <v>642</v>
      </c>
      <c r="B644" s="6" t="n">
        <f aca="false">ROUND(Veterancy_XP!$B$5*(A644+1)^Veterancy_XP!$B$6,0)</f>
        <v>389</v>
      </c>
      <c r="C644" s="6" t="n">
        <f aca="false">ROUND(1/(A644+1)^Veterancy_XP!$E$6,4)</f>
        <v>0.2572</v>
      </c>
      <c r="D644" s="6" t="n">
        <f aca="false">ROUND(Veterancy_XP!$E$5*C644,1)</f>
        <v>257.2</v>
      </c>
      <c r="E644" s="6" t="n">
        <f aca="false">ROUND(B644/D644,2)</f>
        <v>1.51</v>
      </c>
      <c r="F644" s="6" t="n">
        <f aca="false">ROUND(F643+E644,2)</f>
        <v>685.25</v>
      </c>
    </row>
    <row r="645" customFormat="false" ht="15" hidden="false" customHeight="true" outlineLevel="0" collapsed="false">
      <c r="A645" s="6" t="n">
        <v>643</v>
      </c>
      <c r="B645" s="6" t="n">
        <f aca="false">ROUND(Veterancy_XP!$B$5*(A645+1)^Veterancy_XP!$B$6,0)</f>
        <v>389</v>
      </c>
      <c r="C645" s="6" t="n">
        <f aca="false">ROUND(1/(A645+1)^Veterancy_XP!$E$6,4)</f>
        <v>0.2571</v>
      </c>
      <c r="D645" s="6" t="n">
        <f aca="false">ROUND(Veterancy_XP!$E$5*C645,1)</f>
        <v>257.1</v>
      </c>
      <c r="E645" s="6" t="n">
        <f aca="false">ROUND(B645/D645,2)</f>
        <v>1.51</v>
      </c>
      <c r="F645" s="6" t="n">
        <f aca="false">ROUND(F644+E645,2)</f>
        <v>686.76</v>
      </c>
    </row>
    <row r="646" customFormat="false" ht="15" hidden="false" customHeight="true" outlineLevel="0" collapsed="false">
      <c r="A646" s="6" t="n">
        <v>644</v>
      </c>
      <c r="B646" s="6" t="n">
        <f aca="false">ROUND(Veterancy_XP!$B$5*(A646+1)^Veterancy_XP!$B$6,0)</f>
        <v>389</v>
      </c>
      <c r="C646" s="6" t="n">
        <f aca="false">ROUND(1/(A646+1)^Veterancy_XP!$E$6,4)</f>
        <v>0.257</v>
      </c>
      <c r="D646" s="6" t="n">
        <f aca="false">ROUND(Veterancy_XP!$E$5*C646,1)</f>
        <v>257</v>
      </c>
      <c r="E646" s="6" t="n">
        <f aca="false">ROUND(B646/D646,2)</f>
        <v>1.51</v>
      </c>
      <c r="F646" s="6" t="n">
        <f aca="false">ROUND(F645+E646,2)</f>
        <v>688.27</v>
      </c>
    </row>
    <row r="647" customFormat="false" ht="15" hidden="false" customHeight="true" outlineLevel="0" collapsed="false">
      <c r="A647" s="6" t="n">
        <v>645</v>
      </c>
      <c r="B647" s="6" t="n">
        <f aca="false">ROUND(Veterancy_XP!$B$5*(A647+1)^Veterancy_XP!$B$6,0)</f>
        <v>389</v>
      </c>
      <c r="C647" s="6" t="n">
        <f aca="false">ROUND(1/(A647+1)^Veterancy_XP!$E$6,4)</f>
        <v>0.257</v>
      </c>
      <c r="D647" s="6" t="n">
        <f aca="false">ROUND(Veterancy_XP!$E$5*C647,1)</f>
        <v>257</v>
      </c>
      <c r="E647" s="6" t="n">
        <f aca="false">ROUND(B647/D647,2)</f>
        <v>1.51</v>
      </c>
      <c r="F647" s="6" t="n">
        <f aca="false">ROUND(F646+E647,2)</f>
        <v>689.78</v>
      </c>
    </row>
    <row r="648" customFormat="false" ht="15" hidden="false" customHeight="true" outlineLevel="0" collapsed="false">
      <c r="A648" s="6" t="n">
        <v>646</v>
      </c>
      <c r="B648" s="6" t="n">
        <f aca="false">ROUND(Veterancy_XP!$B$5*(A648+1)^Veterancy_XP!$B$6,0)</f>
        <v>389</v>
      </c>
      <c r="C648" s="6" t="n">
        <f aca="false">ROUND(1/(A648+1)^Veterancy_XP!$E$6,4)</f>
        <v>0.2569</v>
      </c>
      <c r="D648" s="6" t="n">
        <f aca="false">ROUND(Veterancy_XP!$E$5*C648,1)</f>
        <v>256.9</v>
      </c>
      <c r="E648" s="6" t="n">
        <f aca="false">ROUND(B648/D648,2)</f>
        <v>1.51</v>
      </c>
      <c r="F648" s="6" t="n">
        <f aca="false">ROUND(F647+E648,2)</f>
        <v>691.29</v>
      </c>
    </row>
    <row r="649" customFormat="false" ht="15" hidden="false" customHeight="true" outlineLevel="0" collapsed="false">
      <c r="A649" s="6" t="n">
        <v>647</v>
      </c>
      <c r="B649" s="6" t="n">
        <f aca="false">ROUND(Veterancy_XP!$B$5*(A649+1)^Veterancy_XP!$B$6,0)</f>
        <v>389</v>
      </c>
      <c r="C649" s="6" t="n">
        <f aca="false">ROUND(1/(A649+1)^Veterancy_XP!$E$6,4)</f>
        <v>0.2568</v>
      </c>
      <c r="D649" s="6" t="n">
        <f aca="false">ROUND(Veterancy_XP!$E$5*C649,1)</f>
        <v>256.8</v>
      </c>
      <c r="E649" s="6" t="n">
        <f aca="false">ROUND(B649/D649,2)</f>
        <v>1.51</v>
      </c>
      <c r="F649" s="6" t="n">
        <f aca="false">ROUND(F648+E649,2)</f>
        <v>692.8</v>
      </c>
    </row>
    <row r="650" customFormat="false" ht="15" hidden="false" customHeight="true" outlineLevel="0" collapsed="false">
      <c r="A650" s="6" t="n">
        <v>648</v>
      </c>
      <c r="B650" s="6" t="n">
        <f aca="false">ROUND(Veterancy_XP!$B$5*(A650+1)^Veterancy_XP!$B$6,0)</f>
        <v>390</v>
      </c>
      <c r="C650" s="6" t="n">
        <f aca="false">ROUND(1/(A650+1)^Veterancy_XP!$E$6,4)</f>
        <v>0.2567</v>
      </c>
      <c r="D650" s="6" t="n">
        <f aca="false">ROUND(Veterancy_XP!$E$5*C650,1)</f>
        <v>256.7</v>
      </c>
      <c r="E650" s="6" t="n">
        <f aca="false">ROUND(B650/D650,2)</f>
        <v>1.52</v>
      </c>
      <c r="F650" s="6" t="n">
        <f aca="false">ROUND(F649+E650,2)</f>
        <v>694.32</v>
      </c>
    </row>
    <row r="651" customFormat="false" ht="15" hidden="false" customHeight="true" outlineLevel="0" collapsed="false">
      <c r="A651" s="6" t="n">
        <v>649</v>
      </c>
      <c r="B651" s="6" t="n">
        <f aca="false">ROUND(Veterancy_XP!$B$5*(A651+1)^Veterancy_XP!$B$6,0)</f>
        <v>390</v>
      </c>
      <c r="C651" s="6" t="n">
        <f aca="false">ROUND(1/(A651+1)^Veterancy_XP!$E$6,4)</f>
        <v>0.2566</v>
      </c>
      <c r="D651" s="6" t="n">
        <f aca="false">ROUND(Veterancy_XP!$E$5*C651,1)</f>
        <v>256.6</v>
      </c>
      <c r="E651" s="6" t="n">
        <f aca="false">ROUND(B651/D651,2)</f>
        <v>1.52</v>
      </c>
      <c r="F651" s="6" t="n">
        <f aca="false">ROUND(F650+E651,2)</f>
        <v>695.84</v>
      </c>
    </row>
    <row r="652" customFormat="false" ht="15" hidden="false" customHeight="true" outlineLevel="0" collapsed="false">
      <c r="A652" s="6" t="n">
        <v>650</v>
      </c>
      <c r="B652" s="6" t="n">
        <f aca="false">ROUND(Veterancy_XP!$B$5*(A652+1)^Veterancy_XP!$B$6,0)</f>
        <v>390</v>
      </c>
      <c r="C652" s="6" t="n">
        <f aca="false">ROUND(1/(A652+1)^Veterancy_XP!$E$6,4)</f>
        <v>0.2565</v>
      </c>
      <c r="D652" s="6" t="n">
        <f aca="false">ROUND(Veterancy_XP!$E$5*C652,1)</f>
        <v>256.5</v>
      </c>
      <c r="E652" s="6" t="n">
        <f aca="false">ROUND(B652/D652,2)</f>
        <v>1.52</v>
      </c>
      <c r="F652" s="6" t="n">
        <f aca="false">ROUND(F651+E652,2)</f>
        <v>697.36</v>
      </c>
    </row>
    <row r="653" customFormat="false" ht="15" hidden="false" customHeight="true" outlineLevel="0" collapsed="false">
      <c r="A653" s="6" t="n">
        <v>651</v>
      </c>
      <c r="B653" s="6" t="n">
        <f aca="false">ROUND(Veterancy_XP!$B$5*(A653+1)^Veterancy_XP!$B$6,0)</f>
        <v>390</v>
      </c>
      <c r="C653" s="6" t="n">
        <f aca="false">ROUND(1/(A653+1)^Veterancy_XP!$E$6,4)</f>
        <v>0.2565</v>
      </c>
      <c r="D653" s="6" t="n">
        <f aca="false">ROUND(Veterancy_XP!$E$5*C653,1)</f>
        <v>256.5</v>
      </c>
      <c r="E653" s="6" t="n">
        <f aca="false">ROUND(B653/D653,2)</f>
        <v>1.52</v>
      </c>
      <c r="F653" s="6" t="n">
        <f aca="false">ROUND(F652+E653,2)</f>
        <v>698.88</v>
      </c>
    </row>
    <row r="654" customFormat="false" ht="15" hidden="false" customHeight="true" outlineLevel="0" collapsed="false">
      <c r="A654" s="6" t="n">
        <v>652</v>
      </c>
      <c r="B654" s="6" t="n">
        <f aca="false">ROUND(Veterancy_XP!$B$5*(A654+1)^Veterancy_XP!$B$6,0)</f>
        <v>390</v>
      </c>
      <c r="C654" s="6" t="n">
        <f aca="false">ROUND(1/(A654+1)^Veterancy_XP!$E$6,4)</f>
        <v>0.2564</v>
      </c>
      <c r="D654" s="6" t="n">
        <f aca="false">ROUND(Veterancy_XP!$E$5*C654,1)</f>
        <v>256.4</v>
      </c>
      <c r="E654" s="6" t="n">
        <f aca="false">ROUND(B654/D654,2)</f>
        <v>1.52</v>
      </c>
      <c r="F654" s="6" t="n">
        <f aca="false">ROUND(F653+E654,2)</f>
        <v>700.4</v>
      </c>
    </row>
    <row r="655" customFormat="false" ht="15" hidden="false" customHeight="true" outlineLevel="0" collapsed="false">
      <c r="A655" s="6" t="n">
        <v>653</v>
      </c>
      <c r="B655" s="6" t="n">
        <f aca="false">ROUND(Veterancy_XP!$B$5*(A655+1)^Veterancy_XP!$B$6,0)</f>
        <v>390</v>
      </c>
      <c r="C655" s="6" t="n">
        <f aca="false">ROUND(1/(A655+1)^Veterancy_XP!$E$6,4)</f>
        <v>0.2563</v>
      </c>
      <c r="D655" s="6" t="n">
        <f aca="false">ROUND(Veterancy_XP!$E$5*C655,1)</f>
        <v>256.3</v>
      </c>
      <c r="E655" s="6" t="n">
        <f aca="false">ROUND(B655/D655,2)</f>
        <v>1.52</v>
      </c>
      <c r="F655" s="6" t="n">
        <f aca="false">ROUND(F654+E655,2)</f>
        <v>701.92</v>
      </c>
    </row>
    <row r="656" customFormat="false" ht="15" hidden="false" customHeight="true" outlineLevel="0" collapsed="false">
      <c r="A656" s="6" t="n">
        <v>654</v>
      </c>
      <c r="B656" s="6" t="n">
        <f aca="false">ROUND(Veterancy_XP!$B$5*(A656+1)^Veterancy_XP!$B$6,0)</f>
        <v>390</v>
      </c>
      <c r="C656" s="6" t="n">
        <f aca="false">ROUND(1/(A656+1)^Veterancy_XP!$E$6,4)</f>
        <v>0.2562</v>
      </c>
      <c r="D656" s="6" t="n">
        <f aca="false">ROUND(Veterancy_XP!$E$5*C656,1)</f>
        <v>256.2</v>
      </c>
      <c r="E656" s="6" t="n">
        <f aca="false">ROUND(B656/D656,2)</f>
        <v>1.52</v>
      </c>
      <c r="F656" s="6" t="n">
        <f aca="false">ROUND(F655+E656,2)</f>
        <v>703.44</v>
      </c>
    </row>
    <row r="657" customFormat="false" ht="15" hidden="false" customHeight="true" outlineLevel="0" collapsed="false">
      <c r="A657" s="6" t="n">
        <v>655</v>
      </c>
      <c r="B657" s="6" t="n">
        <f aca="false">ROUND(Veterancy_XP!$B$5*(A657+1)^Veterancy_XP!$B$6,0)</f>
        <v>390</v>
      </c>
      <c r="C657" s="6" t="n">
        <f aca="false">ROUND(1/(A657+1)^Veterancy_XP!$E$6,4)</f>
        <v>0.2561</v>
      </c>
      <c r="D657" s="6" t="n">
        <f aca="false">ROUND(Veterancy_XP!$E$5*C657,1)</f>
        <v>256.1</v>
      </c>
      <c r="E657" s="6" t="n">
        <f aca="false">ROUND(B657/D657,2)</f>
        <v>1.52</v>
      </c>
      <c r="F657" s="6" t="n">
        <f aca="false">ROUND(F656+E657,2)</f>
        <v>704.96</v>
      </c>
    </row>
    <row r="658" customFormat="false" ht="15" hidden="false" customHeight="true" outlineLevel="0" collapsed="false">
      <c r="A658" s="6" t="n">
        <v>656</v>
      </c>
      <c r="B658" s="6" t="n">
        <f aca="false">ROUND(Veterancy_XP!$B$5*(A658+1)^Veterancy_XP!$B$6,0)</f>
        <v>391</v>
      </c>
      <c r="C658" s="6" t="n">
        <f aca="false">ROUND(1/(A658+1)^Veterancy_XP!$E$6,4)</f>
        <v>0.256</v>
      </c>
      <c r="D658" s="6" t="n">
        <f aca="false">ROUND(Veterancy_XP!$E$5*C658,1)</f>
        <v>256</v>
      </c>
      <c r="E658" s="6" t="n">
        <f aca="false">ROUND(B658/D658,2)</f>
        <v>1.53</v>
      </c>
      <c r="F658" s="6" t="n">
        <f aca="false">ROUND(F657+E658,2)</f>
        <v>706.49</v>
      </c>
    </row>
    <row r="659" customFormat="false" ht="15" hidden="false" customHeight="true" outlineLevel="0" collapsed="false">
      <c r="A659" s="6" t="n">
        <v>657</v>
      </c>
      <c r="B659" s="6" t="n">
        <f aca="false">ROUND(Veterancy_XP!$B$5*(A659+1)^Veterancy_XP!$B$6,0)</f>
        <v>391</v>
      </c>
      <c r="C659" s="6" t="n">
        <f aca="false">ROUND(1/(A659+1)^Veterancy_XP!$E$6,4)</f>
        <v>0.256</v>
      </c>
      <c r="D659" s="6" t="n">
        <f aca="false">ROUND(Veterancy_XP!$E$5*C659,1)</f>
        <v>256</v>
      </c>
      <c r="E659" s="6" t="n">
        <f aca="false">ROUND(B659/D659,2)</f>
        <v>1.53</v>
      </c>
      <c r="F659" s="6" t="n">
        <f aca="false">ROUND(F658+E659,2)</f>
        <v>708.02</v>
      </c>
    </row>
    <row r="660" customFormat="false" ht="15" hidden="false" customHeight="true" outlineLevel="0" collapsed="false">
      <c r="A660" s="6" t="n">
        <v>658</v>
      </c>
      <c r="B660" s="6" t="n">
        <f aca="false">ROUND(Veterancy_XP!$B$5*(A660+1)^Veterancy_XP!$B$6,0)</f>
        <v>391</v>
      </c>
      <c r="C660" s="6" t="n">
        <f aca="false">ROUND(1/(A660+1)^Veterancy_XP!$E$6,4)</f>
        <v>0.2559</v>
      </c>
      <c r="D660" s="6" t="n">
        <f aca="false">ROUND(Veterancy_XP!$E$5*C660,1)</f>
        <v>255.9</v>
      </c>
      <c r="E660" s="6" t="n">
        <f aca="false">ROUND(B660/D660,2)</f>
        <v>1.53</v>
      </c>
      <c r="F660" s="6" t="n">
        <f aca="false">ROUND(F659+E660,2)</f>
        <v>709.55</v>
      </c>
    </row>
    <row r="661" customFormat="false" ht="15" hidden="false" customHeight="true" outlineLevel="0" collapsed="false">
      <c r="A661" s="6" t="n">
        <v>659</v>
      </c>
      <c r="B661" s="6" t="n">
        <f aca="false">ROUND(Veterancy_XP!$B$5*(A661+1)^Veterancy_XP!$B$6,0)</f>
        <v>391</v>
      </c>
      <c r="C661" s="6" t="n">
        <f aca="false">ROUND(1/(A661+1)^Veterancy_XP!$E$6,4)</f>
        <v>0.2558</v>
      </c>
      <c r="D661" s="6" t="n">
        <f aca="false">ROUND(Veterancy_XP!$E$5*C661,1)</f>
        <v>255.8</v>
      </c>
      <c r="E661" s="6" t="n">
        <f aca="false">ROUND(B661/D661,2)</f>
        <v>1.53</v>
      </c>
      <c r="F661" s="6" t="n">
        <f aca="false">ROUND(F660+E661,2)</f>
        <v>711.08</v>
      </c>
    </row>
    <row r="662" customFormat="false" ht="15" hidden="false" customHeight="true" outlineLevel="0" collapsed="false">
      <c r="A662" s="6" t="n">
        <v>660</v>
      </c>
      <c r="B662" s="6" t="n">
        <f aca="false">ROUND(Veterancy_XP!$B$5*(A662+1)^Veterancy_XP!$B$6,0)</f>
        <v>391</v>
      </c>
      <c r="C662" s="6" t="n">
        <f aca="false">ROUND(1/(A662+1)^Veterancy_XP!$E$6,4)</f>
        <v>0.2557</v>
      </c>
      <c r="D662" s="6" t="n">
        <f aca="false">ROUND(Veterancy_XP!$E$5*C662,1)</f>
        <v>255.7</v>
      </c>
      <c r="E662" s="6" t="n">
        <f aca="false">ROUND(B662/D662,2)</f>
        <v>1.53</v>
      </c>
      <c r="F662" s="6" t="n">
        <f aca="false">ROUND(F661+E662,2)</f>
        <v>712.61</v>
      </c>
    </row>
    <row r="663" customFormat="false" ht="15" hidden="false" customHeight="true" outlineLevel="0" collapsed="false">
      <c r="A663" s="6" t="n">
        <v>661</v>
      </c>
      <c r="B663" s="6" t="n">
        <f aca="false">ROUND(Veterancy_XP!$B$5*(A663+1)^Veterancy_XP!$B$6,0)</f>
        <v>391</v>
      </c>
      <c r="C663" s="6" t="n">
        <f aca="false">ROUND(1/(A663+1)^Veterancy_XP!$E$6,4)</f>
        <v>0.2556</v>
      </c>
      <c r="D663" s="6" t="n">
        <f aca="false">ROUND(Veterancy_XP!$E$5*C663,1)</f>
        <v>255.6</v>
      </c>
      <c r="E663" s="6" t="n">
        <f aca="false">ROUND(B663/D663,2)</f>
        <v>1.53</v>
      </c>
      <c r="F663" s="6" t="n">
        <f aca="false">ROUND(F662+E663,2)</f>
        <v>714.14</v>
      </c>
    </row>
    <row r="664" customFormat="false" ht="15" hidden="false" customHeight="true" outlineLevel="0" collapsed="false">
      <c r="A664" s="6" t="n">
        <v>662</v>
      </c>
      <c r="B664" s="6" t="n">
        <f aca="false">ROUND(Veterancy_XP!$B$5*(A664+1)^Veterancy_XP!$B$6,0)</f>
        <v>391</v>
      </c>
      <c r="C664" s="6" t="n">
        <f aca="false">ROUND(1/(A664+1)^Veterancy_XP!$E$6,4)</f>
        <v>0.2556</v>
      </c>
      <c r="D664" s="6" t="n">
        <f aca="false">ROUND(Veterancy_XP!$E$5*C664,1)</f>
        <v>255.6</v>
      </c>
      <c r="E664" s="6" t="n">
        <f aca="false">ROUND(B664/D664,2)</f>
        <v>1.53</v>
      </c>
      <c r="F664" s="6" t="n">
        <f aca="false">ROUND(F663+E664,2)</f>
        <v>715.67</v>
      </c>
    </row>
    <row r="665" customFormat="false" ht="15" hidden="false" customHeight="true" outlineLevel="0" collapsed="false">
      <c r="A665" s="6" t="n">
        <v>663</v>
      </c>
      <c r="B665" s="6" t="n">
        <f aca="false">ROUND(Veterancy_XP!$B$5*(A665+1)^Veterancy_XP!$B$6,0)</f>
        <v>391</v>
      </c>
      <c r="C665" s="6" t="n">
        <f aca="false">ROUND(1/(A665+1)^Veterancy_XP!$E$6,4)</f>
        <v>0.2555</v>
      </c>
      <c r="D665" s="6" t="n">
        <f aca="false">ROUND(Veterancy_XP!$E$5*C665,1)</f>
        <v>255.5</v>
      </c>
      <c r="E665" s="6" t="n">
        <f aca="false">ROUND(B665/D665,2)</f>
        <v>1.53</v>
      </c>
      <c r="F665" s="6" t="n">
        <f aca="false">ROUND(F664+E665,2)</f>
        <v>717.2</v>
      </c>
    </row>
    <row r="666" customFormat="false" ht="15" hidden="false" customHeight="true" outlineLevel="0" collapsed="false">
      <c r="A666" s="6" t="n">
        <v>664</v>
      </c>
      <c r="B666" s="6" t="n">
        <f aca="false">ROUND(Veterancy_XP!$B$5*(A666+1)^Veterancy_XP!$B$6,0)</f>
        <v>392</v>
      </c>
      <c r="C666" s="6" t="n">
        <f aca="false">ROUND(1/(A666+1)^Veterancy_XP!$E$6,4)</f>
        <v>0.2554</v>
      </c>
      <c r="D666" s="6" t="n">
        <f aca="false">ROUND(Veterancy_XP!$E$5*C666,1)</f>
        <v>255.4</v>
      </c>
      <c r="E666" s="6" t="n">
        <f aca="false">ROUND(B666/D666,2)</f>
        <v>1.53</v>
      </c>
      <c r="F666" s="6" t="n">
        <f aca="false">ROUND(F665+E666,2)</f>
        <v>718.73</v>
      </c>
    </row>
    <row r="667" customFormat="false" ht="15" hidden="false" customHeight="true" outlineLevel="0" collapsed="false">
      <c r="A667" s="6" t="n">
        <v>665</v>
      </c>
      <c r="B667" s="6" t="n">
        <f aca="false">ROUND(Veterancy_XP!$B$5*(A667+1)^Veterancy_XP!$B$6,0)</f>
        <v>392</v>
      </c>
      <c r="C667" s="6" t="n">
        <f aca="false">ROUND(1/(A667+1)^Veterancy_XP!$E$6,4)</f>
        <v>0.2553</v>
      </c>
      <c r="D667" s="6" t="n">
        <f aca="false">ROUND(Veterancy_XP!$E$5*C667,1)</f>
        <v>255.3</v>
      </c>
      <c r="E667" s="6" t="n">
        <f aca="false">ROUND(B667/D667,2)</f>
        <v>1.54</v>
      </c>
      <c r="F667" s="6" t="n">
        <f aca="false">ROUND(F666+E667,2)</f>
        <v>720.27</v>
      </c>
    </row>
    <row r="668" customFormat="false" ht="15" hidden="false" customHeight="true" outlineLevel="0" collapsed="false">
      <c r="A668" s="6" t="n">
        <v>666</v>
      </c>
      <c r="B668" s="6" t="n">
        <f aca="false">ROUND(Veterancy_XP!$B$5*(A668+1)^Veterancy_XP!$B$6,0)</f>
        <v>392</v>
      </c>
      <c r="C668" s="6" t="n">
        <f aca="false">ROUND(1/(A668+1)^Veterancy_XP!$E$6,4)</f>
        <v>0.2552</v>
      </c>
      <c r="D668" s="6" t="n">
        <f aca="false">ROUND(Veterancy_XP!$E$5*C668,1)</f>
        <v>255.2</v>
      </c>
      <c r="E668" s="6" t="n">
        <f aca="false">ROUND(B668/D668,2)</f>
        <v>1.54</v>
      </c>
      <c r="F668" s="6" t="n">
        <f aca="false">ROUND(F667+E668,2)</f>
        <v>721.81</v>
      </c>
    </row>
    <row r="669" customFormat="false" ht="15" hidden="false" customHeight="true" outlineLevel="0" collapsed="false">
      <c r="A669" s="6" t="n">
        <v>667</v>
      </c>
      <c r="B669" s="6" t="n">
        <f aca="false">ROUND(Veterancy_XP!$B$5*(A669+1)^Veterancy_XP!$B$6,0)</f>
        <v>392</v>
      </c>
      <c r="C669" s="6" t="n">
        <f aca="false">ROUND(1/(A669+1)^Veterancy_XP!$E$6,4)</f>
        <v>0.2552</v>
      </c>
      <c r="D669" s="6" t="n">
        <f aca="false">ROUND(Veterancy_XP!$E$5*C669,1)</f>
        <v>255.2</v>
      </c>
      <c r="E669" s="6" t="n">
        <f aca="false">ROUND(B669/D669,2)</f>
        <v>1.54</v>
      </c>
      <c r="F669" s="6" t="n">
        <f aca="false">ROUND(F668+E669,2)</f>
        <v>723.35</v>
      </c>
    </row>
    <row r="670" customFormat="false" ht="15" hidden="false" customHeight="true" outlineLevel="0" collapsed="false">
      <c r="A670" s="6" t="n">
        <v>668</v>
      </c>
      <c r="B670" s="6" t="n">
        <f aca="false">ROUND(Veterancy_XP!$B$5*(A670+1)^Veterancy_XP!$B$6,0)</f>
        <v>392</v>
      </c>
      <c r="C670" s="6" t="n">
        <f aca="false">ROUND(1/(A670+1)^Veterancy_XP!$E$6,4)</f>
        <v>0.2551</v>
      </c>
      <c r="D670" s="6" t="n">
        <f aca="false">ROUND(Veterancy_XP!$E$5*C670,1)</f>
        <v>255.1</v>
      </c>
      <c r="E670" s="6" t="n">
        <f aca="false">ROUND(B670/D670,2)</f>
        <v>1.54</v>
      </c>
      <c r="F670" s="6" t="n">
        <f aca="false">ROUND(F669+E670,2)</f>
        <v>724.89</v>
      </c>
    </row>
    <row r="671" customFormat="false" ht="15" hidden="false" customHeight="true" outlineLevel="0" collapsed="false">
      <c r="A671" s="6" t="n">
        <v>669</v>
      </c>
      <c r="B671" s="6" t="n">
        <f aca="false">ROUND(Veterancy_XP!$B$5*(A671+1)^Veterancy_XP!$B$6,0)</f>
        <v>392</v>
      </c>
      <c r="C671" s="6" t="n">
        <f aca="false">ROUND(1/(A671+1)^Veterancy_XP!$E$6,4)</f>
        <v>0.255</v>
      </c>
      <c r="D671" s="6" t="n">
        <f aca="false">ROUND(Veterancy_XP!$E$5*C671,1)</f>
        <v>255</v>
      </c>
      <c r="E671" s="6" t="n">
        <f aca="false">ROUND(B671/D671,2)</f>
        <v>1.54</v>
      </c>
      <c r="F671" s="6" t="n">
        <f aca="false">ROUND(F670+E671,2)</f>
        <v>726.43</v>
      </c>
    </row>
    <row r="672" customFormat="false" ht="15" hidden="false" customHeight="true" outlineLevel="0" collapsed="false">
      <c r="A672" s="6" t="n">
        <v>670</v>
      </c>
      <c r="B672" s="6" t="n">
        <f aca="false">ROUND(Veterancy_XP!$B$5*(A672+1)^Veterancy_XP!$B$6,0)</f>
        <v>392</v>
      </c>
      <c r="C672" s="6" t="n">
        <f aca="false">ROUND(1/(A672+1)^Veterancy_XP!$E$6,4)</f>
        <v>0.2549</v>
      </c>
      <c r="D672" s="6" t="n">
        <f aca="false">ROUND(Veterancy_XP!$E$5*C672,1)</f>
        <v>254.9</v>
      </c>
      <c r="E672" s="6" t="n">
        <f aca="false">ROUND(B672/D672,2)</f>
        <v>1.54</v>
      </c>
      <c r="F672" s="6" t="n">
        <f aca="false">ROUND(F671+E672,2)</f>
        <v>727.97</v>
      </c>
    </row>
    <row r="673" customFormat="false" ht="15" hidden="false" customHeight="true" outlineLevel="0" collapsed="false">
      <c r="A673" s="6" t="n">
        <v>671</v>
      </c>
      <c r="B673" s="6" t="n">
        <f aca="false">ROUND(Veterancy_XP!$B$5*(A673+1)^Veterancy_XP!$B$6,0)</f>
        <v>392</v>
      </c>
      <c r="C673" s="6" t="n">
        <f aca="false">ROUND(1/(A673+1)^Veterancy_XP!$E$6,4)</f>
        <v>0.2548</v>
      </c>
      <c r="D673" s="6" t="n">
        <f aca="false">ROUND(Veterancy_XP!$E$5*C673,1)</f>
        <v>254.8</v>
      </c>
      <c r="E673" s="6" t="n">
        <f aca="false">ROUND(B673/D673,2)</f>
        <v>1.54</v>
      </c>
      <c r="F673" s="6" t="n">
        <f aca="false">ROUND(F672+E673,2)</f>
        <v>729.51</v>
      </c>
    </row>
    <row r="674" customFormat="false" ht="15" hidden="false" customHeight="true" outlineLevel="0" collapsed="false">
      <c r="A674" s="6" t="n">
        <v>672</v>
      </c>
      <c r="B674" s="6" t="n">
        <f aca="false">ROUND(Veterancy_XP!$B$5*(A674+1)^Veterancy_XP!$B$6,0)</f>
        <v>393</v>
      </c>
      <c r="C674" s="6" t="n">
        <f aca="false">ROUND(1/(A674+1)^Veterancy_XP!$E$6,4)</f>
        <v>0.2548</v>
      </c>
      <c r="D674" s="6" t="n">
        <f aca="false">ROUND(Veterancy_XP!$E$5*C674,1)</f>
        <v>254.8</v>
      </c>
      <c r="E674" s="6" t="n">
        <f aca="false">ROUND(B674/D674,2)</f>
        <v>1.54</v>
      </c>
      <c r="F674" s="6" t="n">
        <f aca="false">ROUND(F673+E674,2)</f>
        <v>731.05</v>
      </c>
    </row>
    <row r="675" customFormat="false" ht="15" hidden="false" customHeight="true" outlineLevel="0" collapsed="false">
      <c r="A675" s="6" t="n">
        <v>673</v>
      </c>
      <c r="B675" s="6" t="n">
        <f aca="false">ROUND(Veterancy_XP!$B$5*(A675+1)^Veterancy_XP!$B$6,0)</f>
        <v>393</v>
      </c>
      <c r="C675" s="6" t="n">
        <f aca="false">ROUND(1/(A675+1)^Veterancy_XP!$E$6,4)</f>
        <v>0.2547</v>
      </c>
      <c r="D675" s="6" t="n">
        <f aca="false">ROUND(Veterancy_XP!$E$5*C675,1)</f>
        <v>254.7</v>
      </c>
      <c r="E675" s="6" t="n">
        <f aca="false">ROUND(B675/D675,2)</f>
        <v>1.54</v>
      </c>
      <c r="F675" s="6" t="n">
        <f aca="false">ROUND(F674+E675,2)</f>
        <v>732.59</v>
      </c>
    </row>
    <row r="676" customFormat="false" ht="15" hidden="false" customHeight="true" outlineLevel="0" collapsed="false">
      <c r="A676" s="6" t="n">
        <v>674</v>
      </c>
      <c r="B676" s="6" t="n">
        <f aca="false">ROUND(Veterancy_XP!$B$5*(A676+1)^Veterancy_XP!$B$6,0)</f>
        <v>393</v>
      </c>
      <c r="C676" s="6" t="n">
        <f aca="false">ROUND(1/(A676+1)^Veterancy_XP!$E$6,4)</f>
        <v>0.2546</v>
      </c>
      <c r="D676" s="6" t="n">
        <f aca="false">ROUND(Veterancy_XP!$E$5*C676,1)</f>
        <v>254.6</v>
      </c>
      <c r="E676" s="6" t="n">
        <f aca="false">ROUND(B676/D676,2)</f>
        <v>1.54</v>
      </c>
      <c r="F676" s="6" t="n">
        <f aca="false">ROUND(F675+E676,2)</f>
        <v>734.13</v>
      </c>
    </row>
    <row r="677" customFormat="false" ht="15" hidden="false" customHeight="true" outlineLevel="0" collapsed="false">
      <c r="A677" s="6" t="n">
        <v>675</v>
      </c>
      <c r="B677" s="6" t="n">
        <f aca="false">ROUND(Veterancy_XP!$B$5*(A677+1)^Veterancy_XP!$B$6,0)</f>
        <v>393</v>
      </c>
      <c r="C677" s="6" t="n">
        <f aca="false">ROUND(1/(A677+1)^Veterancy_XP!$E$6,4)</f>
        <v>0.2545</v>
      </c>
      <c r="D677" s="6" t="n">
        <f aca="false">ROUND(Veterancy_XP!$E$5*C677,1)</f>
        <v>254.5</v>
      </c>
      <c r="E677" s="6" t="n">
        <f aca="false">ROUND(B677/D677,2)</f>
        <v>1.54</v>
      </c>
      <c r="F677" s="6" t="n">
        <f aca="false">ROUND(F676+E677,2)</f>
        <v>735.67</v>
      </c>
    </row>
    <row r="678" customFormat="false" ht="15" hidden="false" customHeight="true" outlineLevel="0" collapsed="false">
      <c r="A678" s="6" t="n">
        <v>676</v>
      </c>
      <c r="B678" s="6" t="n">
        <f aca="false">ROUND(Veterancy_XP!$B$5*(A678+1)^Veterancy_XP!$B$6,0)</f>
        <v>393</v>
      </c>
      <c r="C678" s="6" t="n">
        <f aca="false">ROUND(1/(A678+1)^Veterancy_XP!$E$6,4)</f>
        <v>0.2544</v>
      </c>
      <c r="D678" s="6" t="n">
        <f aca="false">ROUND(Veterancy_XP!$E$5*C678,1)</f>
        <v>254.4</v>
      </c>
      <c r="E678" s="6" t="n">
        <f aca="false">ROUND(B678/D678,2)</f>
        <v>1.54</v>
      </c>
      <c r="F678" s="6" t="n">
        <f aca="false">ROUND(F677+E678,2)</f>
        <v>737.21</v>
      </c>
    </row>
    <row r="679" customFormat="false" ht="15" hidden="false" customHeight="true" outlineLevel="0" collapsed="false">
      <c r="A679" s="6" t="n">
        <v>677</v>
      </c>
      <c r="B679" s="6" t="n">
        <f aca="false">ROUND(Veterancy_XP!$B$5*(A679+1)^Veterancy_XP!$B$6,0)</f>
        <v>393</v>
      </c>
      <c r="C679" s="6" t="n">
        <f aca="false">ROUND(1/(A679+1)^Veterancy_XP!$E$6,4)</f>
        <v>0.2544</v>
      </c>
      <c r="D679" s="6" t="n">
        <f aca="false">ROUND(Veterancy_XP!$E$5*C679,1)</f>
        <v>254.4</v>
      </c>
      <c r="E679" s="6" t="n">
        <f aca="false">ROUND(B679/D679,2)</f>
        <v>1.54</v>
      </c>
      <c r="F679" s="6" t="n">
        <f aca="false">ROUND(F678+E679,2)</f>
        <v>738.75</v>
      </c>
    </row>
    <row r="680" customFormat="false" ht="15" hidden="false" customHeight="true" outlineLevel="0" collapsed="false">
      <c r="A680" s="6" t="n">
        <v>678</v>
      </c>
      <c r="B680" s="6" t="n">
        <f aca="false">ROUND(Veterancy_XP!$B$5*(A680+1)^Veterancy_XP!$B$6,0)</f>
        <v>393</v>
      </c>
      <c r="C680" s="6" t="n">
        <f aca="false">ROUND(1/(A680+1)^Veterancy_XP!$E$6,4)</f>
        <v>0.2543</v>
      </c>
      <c r="D680" s="6" t="n">
        <f aca="false">ROUND(Veterancy_XP!$E$5*C680,1)</f>
        <v>254.3</v>
      </c>
      <c r="E680" s="6" t="n">
        <f aca="false">ROUND(B680/D680,2)</f>
        <v>1.55</v>
      </c>
      <c r="F680" s="6" t="n">
        <f aca="false">ROUND(F679+E680,2)</f>
        <v>740.3</v>
      </c>
    </row>
    <row r="681" customFormat="false" ht="15" hidden="false" customHeight="true" outlineLevel="0" collapsed="false">
      <c r="A681" s="6" t="n">
        <v>679</v>
      </c>
      <c r="B681" s="6" t="n">
        <f aca="false">ROUND(Veterancy_XP!$B$5*(A681+1)^Veterancy_XP!$B$6,0)</f>
        <v>393</v>
      </c>
      <c r="C681" s="6" t="n">
        <f aca="false">ROUND(1/(A681+1)^Veterancy_XP!$E$6,4)</f>
        <v>0.2542</v>
      </c>
      <c r="D681" s="6" t="n">
        <f aca="false">ROUND(Veterancy_XP!$E$5*C681,1)</f>
        <v>254.2</v>
      </c>
      <c r="E681" s="6" t="n">
        <f aca="false">ROUND(B681/D681,2)</f>
        <v>1.55</v>
      </c>
      <c r="F681" s="6" t="n">
        <f aca="false">ROUND(F680+E681,2)</f>
        <v>741.85</v>
      </c>
    </row>
    <row r="682" customFormat="false" ht="15" hidden="false" customHeight="true" outlineLevel="0" collapsed="false">
      <c r="A682" s="6" t="n">
        <v>680</v>
      </c>
      <c r="B682" s="6" t="n">
        <f aca="false">ROUND(Veterancy_XP!$B$5*(A682+1)^Veterancy_XP!$B$6,0)</f>
        <v>394</v>
      </c>
      <c r="C682" s="6" t="n">
        <f aca="false">ROUND(1/(A682+1)^Veterancy_XP!$E$6,4)</f>
        <v>0.2541</v>
      </c>
      <c r="D682" s="6" t="n">
        <f aca="false">ROUND(Veterancy_XP!$E$5*C682,1)</f>
        <v>254.1</v>
      </c>
      <c r="E682" s="6" t="n">
        <f aca="false">ROUND(B682/D682,2)</f>
        <v>1.55</v>
      </c>
      <c r="F682" s="6" t="n">
        <f aca="false">ROUND(F681+E682,2)</f>
        <v>743.4</v>
      </c>
    </row>
    <row r="683" customFormat="false" ht="15" hidden="false" customHeight="true" outlineLevel="0" collapsed="false">
      <c r="A683" s="6" t="n">
        <v>681</v>
      </c>
      <c r="B683" s="6" t="n">
        <f aca="false">ROUND(Veterancy_XP!$B$5*(A683+1)^Veterancy_XP!$B$6,0)</f>
        <v>394</v>
      </c>
      <c r="C683" s="6" t="n">
        <f aca="false">ROUND(1/(A683+1)^Veterancy_XP!$E$6,4)</f>
        <v>0.254</v>
      </c>
      <c r="D683" s="6" t="n">
        <f aca="false">ROUND(Veterancy_XP!$E$5*C683,1)</f>
        <v>254</v>
      </c>
      <c r="E683" s="6" t="n">
        <f aca="false">ROUND(B683/D683,2)</f>
        <v>1.55</v>
      </c>
      <c r="F683" s="6" t="n">
        <f aca="false">ROUND(F682+E683,2)</f>
        <v>744.95</v>
      </c>
    </row>
    <row r="684" customFormat="false" ht="15" hidden="false" customHeight="true" outlineLevel="0" collapsed="false">
      <c r="A684" s="6" t="n">
        <v>682</v>
      </c>
      <c r="B684" s="6" t="n">
        <f aca="false">ROUND(Veterancy_XP!$B$5*(A684+1)^Veterancy_XP!$B$6,0)</f>
        <v>394</v>
      </c>
      <c r="C684" s="6" t="n">
        <f aca="false">ROUND(1/(A684+1)^Veterancy_XP!$E$6,4)</f>
        <v>0.254</v>
      </c>
      <c r="D684" s="6" t="n">
        <f aca="false">ROUND(Veterancy_XP!$E$5*C684,1)</f>
        <v>254</v>
      </c>
      <c r="E684" s="6" t="n">
        <f aca="false">ROUND(B684/D684,2)</f>
        <v>1.55</v>
      </c>
      <c r="F684" s="6" t="n">
        <f aca="false">ROUND(F683+E684,2)</f>
        <v>746.5</v>
      </c>
    </row>
    <row r="685" customFormat="false" ht="15" hidden="false" customHeight="true" outlineLevel="0" collapsed="false">
      <c r="A685" s="6" t="n">
        <v>683</v>
      </c>
      <c r="B685" s="6" t="n">
        <f aca="false">ROUND(Veterancy_XP!$B$5*(A685+1)^Veterancy_XP!$B$6,0)</f>
        <v>394</v>
      </c>
      <c r="C685" s="6" t="n">
        <f aca="false">ROUND(1/(A685+1)^Veterancy_XP!$E$6,4)</f>
        <v>0.2539</v>
      </c>
      <c r="D685" s="6" t="n">
        <f aca="false">ROUND(Veterancy_XP!$E$5*C685,1)</f>
        <v>253.9</v>
      </c>
      <c r="E685" s="6" t="n">
        <f aca="false">ROUND(B685/D685,2)</f>
        <v>1.55</v>
      </c>
      <c r="F685" s="6" t="n">
        <f aca="false">ROUND(F684+E685,2)</f>
        <v>748.05</v>
      </c>
    </row>
    <row r="686" customFormat="false" ht="15" hidden="false" customHeight="true" outlineLevel="0" collapsed="false">
      <c r="A686" s="6" t="n">
        <v>684</v>
      </c>
      <c r="B686" s="6" t="n">
        <f aca="false">ROUND(Veterancy_XP!$B$5*(A686+1)^Veterancy_XP!$B$6,0)</f>
        <v>394</v>
      </c>
      <c r="C686" s="6" t="n">
        <f aca="false">ROUND(1/(A686+1)^Veterancy_XP!$E$6,4)</f>
        <v>0.2538</v>
      </c>
      <c r="D686" s="6" t="n">
        <f aca="false">ROUND(Veterancy_XP!$E$5*C686,1)</f>
        <v>253.8</v>
      </c>
      <c r="E686" s="6" t="n">
        <f aca="false">ROUND(B686/D686,2)</f>
        <v>1.55</v>
      </c>
      <c r="F686" s="6" t="n">
        <f aca="false">ROUND(F685+E686,2)</f>
        <v>749.6</v>
      </c>
    </row>
    <row r="687" customFormat="false" ht="15" hidden="false" customHeight="true" outlineLevel="0" collapsed="false">
      <c r="A687" s="6" t="n">
        <v>685</v>
      </c>
      <c r="B687" s="6" t="n">
        <f aca="false">ROUND(Veterancy_XP!$B$5*(A687+1)^Veterancy_XP!$B$6,0)</f>
        <v>394</v>
      </c>
      <c r="C687" s="6" t="n">
        <f aca="false">ROUND(1/(A687+1)^Veterancy_XP!$E$6,4)</f>
        <v>0.2537</v>
      </c>
      <c r="D687" s="6" t="n">
        <f aca="false">ROUND(Veterancy_XP!$E$5*C687,1)</f>
        <v>253.7</v>
      </c>
      <c r="E687" s="6" t="n">
        <f aca="false">ROUND(B687/D687,2)</f>
        <v>1.55</v>
      </c>
      <c r="F687" s="6" t="n">
        <f aca="false">ROUND(F686+E687,2)</f>
        <v>751.15</v>
      </c>
    </row>
    <row r="688" customFormat="false" ht="15" hidden="false" customHeight="true" outlineLevel="0" collapsed="false">
      <c r="A688" s="6" t="n">
        <v>686</v>
      </c>
      <c r="B688" s="6" t="n">
        <f aca="false">ROUND(Veterancy_XP!$B$5*(A688+1)^Veterancy_XP!$B$6,0)</f>
        <v>394</v>
      </c>
      <c r="C688" s="6" t="n">
        <f aca="false">ROUND(1/(A688+1)^Veterancy_XP!$E$6,4)</f>
        <v>0.2537</v>
      </c>
      <c r="D688" s="6" t="n">
        <f aca="false">ROUND(Veterancy_XP!$E$5*C688,1)</f>
        <v>253.7</v>
      </c>
      <c r="E688" s="6" t="n">
        <f aca="false">ROUND(B688/D688,2)</f>
        <v>1.55</v>
      </c>
      <c r="F688" s="6" t="n">
        <f aca="false">ROUND(F687+E688,2)</f>
        <v>752.7</v>
      </c>
    </row>
    <row r="689" customFormat="false" ht="15" hidden="false" customHeight="true" outlineLevel="0" collapsed="false">
      <c r="A689" s="6" t="n">
        <v>687</v>
      </c>
      <c r="B689" s="6" t="n">
        <f aca="false">ROUND(Veterancy_XP!$B$5*(A689+1)^Veterancy_XP!$B$6,0)</f>
        <v>394</v>
      </c>
      <c r="C689" s="6" t="n">
        <f aca="false">ROUND(1/(A689+1)^Veterancy_XP!$E$6,4)</f>
        <v>0.2536</v>
      </c>
      <c r="D689" s="6" t="n">
        <f aca="false">ROUND(Veterancy_XP!$E$5*C689,1)</f>
        <v>253.6</v>
      </c>
      <c r="E689" s="6" t="n">
        <f aca="false">ROUND(B689/D689,2)</f>
        <v>1.55</v>
      </c>
      <c r="F689" s="6" t="n">
        <f aca="false">ROUND(F688+E689,2)</f>
        <v>754.25</v>
      </c>
    </row>
    <row r="690" customFormat="false" ht="15" hidden="false" customHeight="true" outlineLevel="0" collapsed="false">
      <c r="A690" s="6" t="n">
        <v>688</v>
      </c>
      <c r="B690" s="6" t="n">
        <f aca="false">ROUND(Veterancy_XP!$B$5*(A690+1)^Veterancy_XP!$B$6,0)</f>
        <v>394</v>
      </c>
      <c r="C690" s="6" t="n">
        <f aca="false">ROUND(1/(A690+1)^Veterancy_XP!$E$6,4)</f>
        <v>0.2535</v>
      </c>
      <c r="D690" s="6" t="n">
        <f aca="false">ROUND(Veterancy_XP!$E$5*C690,1)</f>
        <v>253.5</v>
      </c>
      <c r="E690" s="6" t="n">
        <f aca="false">ROUND(B690/D690,2)</f>
        <v>1.55</v>
      </c>
      <c r="F690" s="6" t="n">
        <f aca="false">ROUND(F689+E690,2)</f>
        <v>755.8</v>
      </c>
    </row>
    <row r="691" customFormat="false" ht="15" hidden="false" customHeight="true" outlineLevel="0" collapsed="false">
      <c r="A691" s="6" t="n">
        <v>689</v>
      </c>
      <c r="B691" s="6" t="n">
        <f aca="false">ROUND(Veterancy_XP!$B$5*(A691+1)^Veterancy_XP!$B$6,0)</f>
        <v>395</v>
      </c>
      <c r="C691" s="6" t="n">
        <f aca="false">ROUND(1/(A691+1)^Veterancy_XP!$E$6,4)</f>
        <v>0.2534</v>
      </c>
      <c r="D691" s="6" t="n">
        <f aca="false">ROUND(Veterancy_XP!$E$5*C691,1)</f>
        <v>253.4</v>
      </c>
      <c r="E691" s="6" t="n">
        <f aca="false">ROUND(B691/D691,2)</f>
        <v>1.56</v>
      </c>
      <c r="F691" s="6" t="n">
        <f aca="false">ROUND(F690+E691,2)</f>
        <v>757.36</v>
      </c>
    </row>
    <row r="692" customFormat="false" ht="15" hidden="false" customHeight="true" outlineLevel="0" collapsed="false">
      <c r="A692" s="6" t="n">
        <v>690</v>
      </c>
      <c r="B692" s="6" t="n">
        <f aca="false">ROUND(Veterancy_XP!$B$5*(A692+1)^Veterancy_XP!$B$6,0)</f>
        <v>395</v>
      </c>
      <c r="C692" s="6" t="n">
        <f aca="false">ROUND(1/(A692+1)^Veterancy_XP!$E$6,4)</f>
        <v>0.2533</v>
      </c>
      <c r="D692" s="6" t="n">
        <f aca="false">ROUND(Veterancy_XP!$E$5*C692,1)</f>
        <v>253.3</v>
      </c>
      <c r="E692" s="6" t="n">
        <f aca="false">ROUND(B692/D692,2)</f>
        <v>1.56</v>
      </c>
      <c r="F692" s="6" t="n">
        <f aca="false">ROUND(F691+E692,2)</f>
        <v>758.92</v>
      </c>
    </row>
    <row r="693" customFormat="false" ht="15" hidden="false" customHeight="true" outlineLevel="0" collapsed="false">
      <c r="A693" s="6" t="n">
        <v>691</v>
      </c>
      <c r="B693" s="6" t="n">
        <f aca="false">ROUND(Veterancy_XP!$B$5*(A693+1)^Veterancy_XP!$B$6,0)</f>
        <v>395</v>
      </c>
      <c r="C693" s="6" t="n">
        <f aca="false">ROUND(1/(A693+1)^Veterancy_XP!$E$6,4)</f>
        <v>0.2533</v>
      </c>
      <c r="D693" s="6" t="n">
        <f aca="false">ROUND(Veterancy_XP!$E$5*C693,1)</f>
        <v>253.3</v>
      </c>
      <c r="E693" s="6" t="n">
        <f aca="false">ROUND(B693/D693,2)</f>
        <v>1.56</v>
      </c>
      <c r="F693" s="6" t="n">
        <f aca="false">ROUND(F692+E693,2)</f>
        <v>760.48</v>
      </c>
    </row>
    <row r="694" customFormat="false" ht="15" hidden="false" customHeight="true" outlineLevel="0" collapsed="false">
      <c r="A694" s="6" t="n">
        <v>692</v>
      </c>
      <c r="B694" s="6" t="n">
        <f aca="false">ROUND(Veterancy_XP!$B$5*(A694+1)^Veterancy_XP!$B$6,0)</f>
        <v>395</v>
      </c>
      <c r="C694" s="6" t="n">
        <f aca="false">ROUND(1/(A694+1)^Veterancy_XP!$E$6,4)</f>
        <v>0.2532</v>
      </c>
      <c r="D694" s="6" t="n">
        <f aca="false">ROUND(Veterancy_XP!$E$5*C694,1)</f>
        <v>253.2</v>
      </c>
      <c r="E694" s="6" t="n">
        <f aca="false">ROUND(B694/D694,2)</f>
        <v>1.56</v>
      </c>
      <c r="F694" s="6" t="n">
        <f aca="false">ROUND(F693+E694,2)</f>
        <v>762.04</v>
      </c>
    </row>
    <row r="695" customFormat="false" ht="15" hidden="false" customHeight="true" outlineLevel="0" collapsed="false">
      <c r="A695" s="6" t="n">
        <v>693</v>
      </c>
      <c r="B695" s="6" t="n">
        <f aca="false">ROUND(Veterancy_XP!$B$5*(A695+1)^Veterancy_XP!$B$6,0)</f>
        <v>395</v>
      </c>
      <c r="C695" s="6" t="n">
        <f aca="false">ROUND(1/(A695+1)^Veterancy_XP!$E$6,4)</f>
        <v>0.2531</v>
      </c>
      <c r="D695" s="6" t="n">
        <f aca="false">ROUND(Veterancy_XP!$E$5*C695,1)</f>
        <v>253.1</v>
      </c>
      <c r="E695" s="6" t="n">
        <f aca="false">ROUND(B695/D695,2)</f>
        <v>1.56</v>
      </c>
      <c r="F695" s="6" t="n">
        <f aca="false">ROUND(F694+E695,2)</f>
        <v>763.6</v>
      </c>
    </row>
    <row r="696" customFormat="false" ht="15" hidden="false" customHeight="true" outlineLevel="0" collapsed="false">
      <c r="A696" s="6" t="n">
        <v>694</v>
      </c>
      <c r="B696" s="6" t="n">
        <f aca="false">ROUND(Veterancy_XP!$B$5*(A696+1)^Veterancy_XP!$B$6,0)</f>
        <v>395</v>
      </c>
      <c r="C696" s="6" t="n">
        <f aca="false">ROUND(1/(A696+1)^Veterancy_XP!$E$6,4)</f>
        <v>0.253</v>
      </c>
      <c r="D696" s="6" t="n">
        <f aca="false">ROUND(Veterancy_XP!$E$5*C696,1)</f>
        <v>253</v>
      </c>
      <c r="E696" s="6" t="n">
        <f aca="false">ROUND(B696/D696,2)</f>
        <v>1.56</v>
      </c>
      <c r="F696" s="6" t="n">
        <f aca="false">ROUND(F695+E696,2)</f>
        <v>765.16</v>
      </c>
    </row>
    <row r="697" customFormat="false" ht="15" hidden="false" customHeight="true" outlineLevel="0" collapsed="false">
      <c r="A697" s="6" t="n">
        <v>695</v>
      </c>
      <c r="B697" s="6" t="n">
        <f aca="false">ROUND(Veterancy_XP!$B$5*(A697+1)^Veterancy_XP!$B$6,0)</f>
        <v>395</v>
      </c>
      <c r="C697" s="6" t="n">
        <f aca="false">ROUND(1/(A697+1)^Veterancy_XP!$E$6,4)</f>
        <v>0.253</v>
      </c>
      <c r="D697" s="6" t="n">
        <f aca="false">ROUND(Veterancy_XP!$E$5*C697,1)</f>
        <v>253</v>
      </c>
      <c r="E697" s="6" t="n">
        <f aca="false">ROUND(B697/D697,2)</f>
        <v>1.56</v>
      </c>
      <c r="F697" s="6" t="n">
        <f aca="false">ROUND(F696+E697,2)</f>
        <v>766.72</v>
      </c>
    </row>
    <row r="698" customFormat="false" ht="15" hidden="false" customHeight="true" outlineLevel="0" collapsed="false">
      <c r="A698" s="6" t="n">
        <v>696</v>
      </c>
      <c r="B698" s="6" t="n">
        <f aca="false">ROUND(Veterancy_XP!$B$5*(A698+1)^Veterancy_XP!$B$6,0)</f>
        <v>395</v>
      </c>
      <c r="C698" s="6" t="n">
        <f aca="false">ROUND(1/(A698+1)^Veterancy_XP!$E$6,4)</f>
        <v>0.2529</v>
      </c>
      <c r="D698" s="6" t="n">
        <f aca="false">ROUND(Veterancy_XP!$E$5*C698,1)</f>
        <v>252.9</v>
      </c>
      <c r="E698" s="6" t="n">
        <f aca="false">ROUND(B698/D698,2)</f>
        <v>1.56</v>
      </c>
      <c r="F698" s="6" t="n">
        <f aca="false">ROUND(F697+E698,2)</f>
        <v>768.28</v>
      </c>
    </row>
    <row r="699" customFormat="false" ht="15" hidden="false" customHeight="true" outlineLevel="0" collapsed="false">
      <c r="A699" s="6" t="n">
        <v>697</v>
      </c>
      <c r="B699" s="6" t="n">
        <f aca="false">ROUND(Veterancy_XP!$B$5*(A699+1)^Veterancy_XP!$B$6,0)</f>
        <v>396</v>
      </c>
      <c r="C699" s="6" t="n">
        <f aca="false">ROUND(1/(A699+1)^Veterancy_XP!$E$6,4)</f>
        <v>0.2528</v>
      </c>
      <c r="D699" s="6" t="n">
        <f aca="false">ROUND(Veterancy_XP!$E$5*C699,1)</f>
        <v>252.8</v>
      </c>
      <c r="E699" s="6" t="n">
        <f aca="false">ROUND(B699/D699,2)</f>
        <v>1.57</v>
      </c>
      <c r="F699" s="6" t="n">
        <f aca="false">ROUND(F698+E699,2)</f>
        <v>769.85</v>
      </c>
    </row>
    <row r="700" customFormat="false" ht="15" hidden="false" customHeight="true" outlineLevel="0" collapsed="false">
      <c r="A700" s="6" t="n">
        <v>698</v>
      </c>
      <c r="B700" s="6" t="n">
        <f aca="false">ROUND(Veterancy_XP!$B$5*(A700+1)^Veterancy_XP!$B$6,0)</f>
        <v>396</v>
      </c>
      <c r="C700" s="6" t="n">
        <f aca="false">ROUND(1/(A700+1)^Veterancy_XP!$E$6,4)</f>
        <v>0.2527</v>
      </c>
      <c r="D700" s="6" t="n">
        <f aca="false">ROUND(Veterancy_XP!$E$5*C700,1)</f>
        <v>252.7</v>
      </c>
      <c r="E700" s="6" t="n">
        <f aca="false">ROUND(B700/D700,2)</f>
        <v>1.57</v>
      </c>
      <c r="F700" s="6" t="n">
        <f aca="false">ROUND(F699+E700,2)</f>
        <v>771.42</v>
      </c>
    </row>
    <row r="701" customFormat="false" ht="15" hidden="false" customHeight="true" outlineLevel="0" collapsed="false">
      <c r="A701" s="6" t="n">
        <v>699</v>
      </c>
      <c r="B701" s="6" t="n">
        <f aca="false">ROUND(Veterancy_XP!$B$5*(A701+1)^Veterancy_XP!$B$6,0)</f>
        <v>396</v>
      </c>
      <c r="C701" s="6" t="n">
        <f aca="false">ROUND(1/(A701+1)^Veterancy_XP!$E$6,4)</f>
        <v>0.2527</v>
      </c>
      <c r="D701" s="6" t="n">
        <f aca="false">ROUND(Veterancy_XP!$E$5*C701,1)</f>
        <v>252.7</v>
      </c>
      <c r="E701" s="6" t="n">
        <f aca="false">ROUND(B701/D701,2)</f>
        <v>1.57</v>
      </c>
      <c r="F701" s="6" t="n">
        <f aca="false">ROUND(F700+E701,2)</f>
        <v>772.99</v>
      </c>
    </row>
    <row r="702" customFormat="false" ht="15" hidden="false" customHeight="true" outlineLevel="0" collapsed="false">
      <c r="A702" s="6" t="n">
        <v>700</v>
      </c>
      <c r="B702" s="6" t="n">
        <f aca="false">ROUND(Veterancy_XP!$B$5*(A702+1)^Veterancy_XP!$B$6,0)</f>
        <v>396</v>
      </c>
      <c r="C702" s="6" t="n">
        <f aca="false">ROUND(1/(A702+1)^Veterancy_XP!$E$6,4)</f>
        <v>0.2526</v>
      </c>
      <c r="D702" s="6" t="n">
        <f aca="false">ROUND(Veterancy_XP!$E$5*C702,1)</f>
        <v>252.6</v>
      </c>
      <c r="E702" s="6" t="n">
        <f aca="false">ROUND(B702/D702,2)</f>
        <v>1.57</v>
      </c>
      <c r="F702" s="6" t="n">
        <f aca="false">ROUND(F701+E702,2)</f>
        <v>774.56</v>
      </c>
    </row>
    <row r="703" customFormat="false" ht="15" hidden="false" customHeight="true" outlineLevel="0" collapsed="false">
      <c r="A703" s="6" t="n">
        <v>701</v>
      </c>
      <c r="B703" s="6" t="n">
        <f aca="false">ROUND(Veterancy_XP!$B$5*(A703+1)^Veterancy_XP!$B$6,0)</f>
        <v>396</v>
      </c>
      <c r="C703" s="6" t="n">
        <f aca="false">ROUND(1/(A703+1)^Veterancy_XP!$E$6,4)</f>
        <v>0.2525</v>
      </c>
      <c r="D703" s="6" t="n">
        <f aca="false">ROUND(Veterancy_XP!$E$5*C703,1)</f>
        <v>252.5</v>
      </c>
      <c r="E703" s="6" t="n">
        <f aca="false">ROUND(B703/D703,2)</f>
        <v>1.57</v>
      </c>
      <c r="F703" s="6" t="n">
        <f aca="false">ROUND(F702+E703,2)</f>
        <v>776.13</v>
      </c>
    </row>
    <row r="704" customFormat="false" ht="15" hidden="false" customHeight="true" outlineLevel="0" collapsed="false">
      <c r="A704" s="6" t="n">
        <v>702</v>
      </c>
      <c r="B704" s="6" t="n">
        <f aca="false">ROUND(Veterancy_XP!$B$5*(A704+1)^Veterancy_XP!$B$6,0)</f>
        <v>396</v>
      </c>
      <c r="C704" s="6" t="n">
        <f aca="false">ROUND(1/(A704+1)^Veterancy_XP!$E$6,4)</f>
        <v>0.2524</v>
      </c>
      <c r="D704" s="6" t="n">
        <f aca="false">ROUND(Veterancy_XP!$E$5*C704,1)</f>
        <v>252.4</v>
      </c>
      <c r="E704" s="6" t="n">
        <f aca="false">ROUND(B704/D704,2)</f>
        <v>1.57</v>
      </c>
      <c r="F704" s="6" t="n">
        <f aca="false">ROUND(F703+E704,2)</f>
        <v>777.7</v>
      </c>
    </row>
    <row r="705" customFormat="false" ht="15" hidden="false" customHeight="true" outlineLevel="0" collapsed="false">
      <c r="A705" s="6" t="n">
        <v>703</v>
      </c>
      <c r="B705" s="6" t="n">
        <f aca="false">ROUND(Veterancy_XP!$B$5*(A705+1)^Veterancy_XP!$B$6,0)</f>
        <v>396</v>
      </c>
      <c r="C705" s="6" t="n">
        <f aca="false">ROUND(1/(A705+1)^Veterancy_XP!$E$6,4)</f>
        <v>0.2524</v>
      </c>
      <c r="D705" s="6" t="n">
        <f aca="false">ROUND(Veterancy_XP!$E$5*C705,1)</f>
        <v>252.4</v>
      </c>
      <c r="E705" s="6" t="n">
        <f aca="false">ROUND(B705/D705,2)</f>
        <v>1.57</v>
      </c>
      <c r="F705" s="6" t="n">
        <f aca="false">ROUND(F704+E705,2)</f>
        <v>779.27</v>
      </c>
    </row>
    <row r="706" customFormat="false" ht="15" hidden="false" customHeight="true" outlineLevel="0" collapsed="false">
      <c r="A706" s="6" t="n">
        <v>704</v>
      </c>
      <c r="B706" s="6" t="n">
        <f aca="false">ROUND(Veterancy_XP!$B$5*(A706+1)^Veterancy_XP!$B$6,0)</f>
        <v>396</v>
      </c>
      <c r="C706" s="6" t="n">
        <f aca="false">ROUND(1/(A706+1)^Veterancy_XP!$E$6,4)</f>
        <v>0.2523</v>
      </c>
      <c r="D706" s="6" t="n">
        <f aca="false">ROUND(Veterancy_XP!$E$5*C706,1)</f>
        <v>252.3</v>
      </c>
      <c r="E706" s="6" t="n">
        <f aca="false">ROUND(B706/D706,2)</f>
        <v>1.57</v>
      </c>
      <c r="F706" s="6" t="n">
        <f aca="false">ROUND(F705+E706,2)</f>
        <v>780.84</v>
      </c>
    </row>
    <row r="707" customFormat="false" ht="15" hidden="false" customHeight="true" outlineLevel="0" collapsed="false">
      <c r="A707" s="6" t="n">
        <v>705</v>
      </c>
      <c r="B707" s="6" t="n">
        <f aca="false">ROUND(Veterancy_XP!$B$5*(A707+1)^Veterancy_XP!$B$6,0)</f>
        <v>397</v>
      </c>
      <c r="C707" s="6" t="n">
        <f aca="false">ROUND(1/(A707+1)^Veterancy_XP!$E$6,4)</f>
        <v>0.2522</v>
      </c>
      <c r="D707" s="6" t="n">
        <f aca="false">ROUND(Veterancy_XP!$E$5*C707,1)</f>
        <v>252.2</v>
      </c>
      <c r="E707" s="6" t="n">
        <f aca="false">ROUND(B707/D707,2)</f>
        <v>1.57</v>
      </c>
      <c r="F707" s="6" t="n">
        <f aca="false">ROUND(F706+E707,2)</f>
        <v>782.41</v>
      </c>
    </row>
    <row r="708" customFormat="false" ht="15" hidden="false" customHeight="true" outlineLevel="0" collapsed="false">
      <c r="A708" s="6" t="n">
        <v>706</v>
      </c>
      <c r="B708" s="6" t="n">
        <f aca="false">ROUND(Veterancy_XP!$B$5*(A708+1)^Veterancy_XP!$B$6,0)</f>
        <v>397</v>
      </c>
      <c r="C708" s="6" t="n">
        <f aca="false">ROUND(1/(A708+1)^Veterancy_XP!$E$6,4)</f>
        <v>0.2521</v>
      </c>
      <c r="D708" s="6" t="n">
        <f aca="false">ROUND(Veterancy_XP!$E$5*C708,1)</f>
        <v>252.1</v>
      </c>
      <c r="E708" s="6" t="n">
        <f aca="false">ROUND(B708/D708,2)</f>
        <v>1.57</v>
      </c>
      <c r="F708" s="6" t="n">
        <f aca="false">ROUND(F707+E708,2)</f>
        <v>783.98</v>
      </c>
    </row>
    <row r="709" customFormat="false" ht="15" hidden="false" customHeight="true" outlineLevel="0" collapsed="false">
      <c r="A709" s="6" t="n">
        <v>707</v>
      </c>
      <c r="B709" s="6" t="n">
        <f aca="false">ROUND(Veterancy_XP!$B$5*(A709+1)^Veterancy_XP!$B$6,0)</f>
        <v>397</v>
      </c>
      <c r="C709" s="6" t="n">
        <f aca="false">ROUND(1/(A709+1)^Veterancy_XP!$E$6,4)</f>
        <v>0.2521</v>
      </c>
      <c r="D709" s="6" t="n">
        <f aca="false">ROUND(Veterancy_XP!$E$5*C709,1)</f>
        <v>252.1</v>
      </c>
      <c r="E709" s="6" t="n">
        <f aca="false">ROUND(B709/D709,2)</f>
        <v>1.57</v>
      </c>
      <c r="F709" s="6" t="n">
        <f aca="false">ROUND(F708+E709,2)</f>
        <v>785.55</v>
      </c>
    </row>
    <row r="710" customFormat="false" ht="15" hidden="false" customHeight="true" outlineLevel="0" collapsed="false">
      <c r="A710" s="6" t="n">
        <v>708</v>
      </c>
      <c r="B710" s="6" t="n">
        <f aca="false">ROUND(Veterancy_XP!$B$5*(A710+1)^Veterancy_XP!$B$6,0)</f>
        <v>397</v>
      </c>
      <c r="C710" s="6" t="n">
        <f aca="false">ROUND(1/(A710+1)^Veterancy_XP!$E$6,4)</f>
        <v>0.252</v>
      </c>
      <c r="D710" s="6" t="n">
        <f aca="false">ROUND(Veterancy_XP!$E$5*C710,1)</f>
        <v>252</v>
      </c>
      <c r="E710" s="6" t="n">
        <f aca="false">ROUND(B710/D710,2)</f>
        <v>1.58</v>
      </c>
      <c r="F710" s="6" t="n">
        <f aca="false">ROUND(F709+E710,2)</f>
        <v>787.13</v>
      </c>
    </row>
    <row r="711" customFormat="false" ht="15" hidden="false" customHeight="true" outlineLevel="0" collapsed="false">
      <c r="A711" s="6" t="n">
        <v>709</v>
      </c>
      <c r="B711" s="6" t="n">
        <f aca="false">ROUND(Veterancy_XP!$B$5*(A711+1)^Veterancy_XP!$B$6,0)</f>
        <v>397</v>
      </c>
      <c r="C711" s="6" t="n">
        <f aca="false">ROUND(1/(A711+1)^Veterancy_XP!$E$6,4)</f>
        <v>0.2519</v>
      </c>
      <c r="D711" s="6" t="n">
        <f aca="false">ROUND(Veterancy_XP!$E$5*C711,1)</f>
        <v>251.9</v>
      </c>
      <c r="E711" s="6" t="n">
        <f aca="false">ROUND(B711/D711,2)</f>
        <v>1.58</v>
      </c>
      <c r="F711" s="6" t="n">
        <f aca="false">ROUND(F710+E711,2)</f>
        <v>788.71</v>
      </c>
    </row>
    <row r="712" customFormat="false" ht="15" hidden="false" customHeight="true" outlineLevel="0" collapsed="false">
      <c r="A712" s="6" t="n">
        <v>710</v>
      </c>
      <c r="B712" s="6" t="n">
        <f aca="false">ROUND(Veterancy_XP!$B$5*(A712+1)^Veterancy_XP!$B$6,0)</f>
        <v>397</v>
      </c>
      <c r="C712" s="6" t="n">
        <f aca="false">ROUND(1/(A712+1)^Veterancy_XP!$E$6,4)</f>
        <v>0.2518</v>
      </c>
      <c r="D712" s="6" t="n">
        <f aca="false">ROUND(Veterancy_XP!$E$5*C712,1)</f>
        <v>251.8</v>
      </c>
      <c r="E712" s="6" t="n">
        <f aca="false">ROUND(B712/D712,2)</f>
        <v>1.58</v>
      </c>
      <c r="F712" s="6" t="n">
        <f aca="false">ROUND(F711+E712,2)</f>
        <v>790.29</v>
      </c>
    </row>
    <row r="713" customFormat="false" ht="15" hidden="false" customHeight="true" outlineLevel="0" collapsed="false">
      <c r="A713" s="6" t="n">
        <v>711</v>
      </c>
      <c r="B713" s="6" t="n">
        <f aca="false">ROUND(Veterancy_XP!$B$5*(A713+1)^Veterancy_XP!$B$6,0)</f>
        <v>397</v>
      </c>
      <c r="C713" s="6" t="n">
        <f aca="false">ROUND(1/(A713+1)^Veterancy_XP!$E$6,4)</f>
        <v>0.2518</v>
      </c>
      <c r="D713" s="6" t="n">
        <f aca="false">ROUND(Veterancy_XP!$E$5*C713,1)</f>
        <v>251.8</v>
      </c>
      <c r="E713" s="6" t="n">
        <f aca="false">ROUND(B713/D713,2)</f>
        <v>1.58</v>
      </c>
      <c r="F713" s="6" t="n">
        <f aca="false">ROUND(F712+E713,2)</f>
        <v>791.87</v>
      </c>
    </row>
    <row r="714" customFormat="false" ht="15" hidden="false" customHeight="true" outlineLevel="0" collapsed="false">
      <c r="A714" s="6" t="n">
        <v>712</v>
      </c>
      <c r="B714" s="6" t="n">
        <f aca="false">ROUND(Veterancy_XP!$B$5*(A714+1)^Veterancy_XP!$B$6,0)</f>
        <v>397</v>
      </c>
      <c r="C714" s="6" t="n">
        <f aca="false">ROUND(1/(A714+1)^Veterancy_XP!$E$6,4)</f>
        <v>0.2517</v>
      </c>
      <c r="D714" s="6" t="n">
        <f aca="false">ROUND(Veterancy_XP!$E$5*C714,1)</f>
        <v>251.7</v>
      </c>
      <c r="E714" s="6" t="n">
        <f aca="false">ROUND(B714/D714,2)</f>
        <v>1.58</v>
      </c>
      <c r="F714" s="6" t="n">
        <f aca="false">ROUND(F713+E714,2)</f>
        <v>793.45</v>
      </c>
    </row>
    <row r="715" customFormat="false" ht="15" hidden="false" customHeight="true" outlineLevel="0" collapsed="false">
      <c r="A715" s="6" t="n">
        <v>713</v>
      </c>
      <c r="B715" s="6" t="n">
        <f aca="false">ROUND(Veterancy_XP!$B$5*(A715+1)^Veterancy_XP!$B$6,0)</f>
        <v>397</v>
      </c>
      <c r="C715" s="6" t="n">
        <f aca="false">ROUND(1/(A715+1)^Veterancy_XP!$E$6,4)</f>
        <v>0.2516</v>
      </c>
      <c r="D715" s="6" t="n">
        <f aca="false">ROUND(Veterancy_XP!$E$5*C715,1)</f>
        <v>251.6</v>
      </c>
      <c r="E715" s="6" t="n">
        <f aca="false">ROUND(B715/D715,2)</f>
        <v>1.58</v>
      </c>
      <c r="F715" s="6" t="n">
        <f aca="false">ROUND(F714+E715,2)</f>
        <v>795.03</v>
      </c>
    </row>
    <row r="716" customFormat="false" ht="15" hidden="false" customHeight="true" outlineLevel="0" collapsed="false">
      <c r="A716" s="6" t="n">
        <v>714</v>
      </c>
      <c r="B716" s="6" t="n">
        <f aca="false">ROUND(Veterancy_XP!$B$5*(A716+1)^Veterancy_XP!$B$6,0)</f>
        <v>398</v>
      </c>
      <c r="C716" s="6" t="n">
        <f aca="false">ROUND(1/(A716+1)^Veterancy_XP!$E$6,4)</f>
        <v>0.2515</v>
      </c>
      <c r="D716" s="6" t="n">
        <f aca="false">ROUND(Veterancy_XP!$E$5*C716,1)</f>
        <v>251.5</v>
      </c>
      <c r="E716" s="6" t="n">
        <f aca="false">ROUND(B716/D716,2)</f>
        <v>1.58</v>
      </c>
      <c r="F716" s="6" t="n">
        <f aca="false">ROUND(F715+E716,2)</f>
        <v>796.61</v>
      </c>
    </row>
    <row r="717" customFormat="false" ht="15" hidden="false" customHeight="true" outlineLevel="0" collapsed="false">
      <c r="A717" s="6" t="n">
        <v>715</v>
      </c>
      <c r="B717" s="6" t="n">
        <f aca="false">ROUND(Veterancy_XP!$B$5*(A717+1)^Veterancy_XP!$B$6,0)</f>
        <v>398</v>
      </c>
      <c r="C717" s="6" t="n">
        <f aca="false">ROUND(1/(A717+1)^Veterancy_XP!$E$6,4)</f>
        <v>0.2515</v>
      </c>
      <c r="D717" s="6" t="n">
        <f aca="false">ROUND(Veterancy_XP!$E$5*C717,1)</f>
        <v>251.5</v>
      </c>
      <c r="E717" s="6" t="n">
        <f aca="false">ROUND(B717/D717,2)</f>
        <v>1.58</v>
      </c>
      <c r="F717" s="6" t="n">
        <f aca="false">ROUND(F716+E717,2)</f>
        <v>798.19</v>
      </c>
    </row>
    <row r="718" customFormat="false" ht="15" hidden="false" customHeight="true" outlineLevel="0" collapsed="false">
      <c r="A718" s="6" t="n">
        <v>716</v>
      </c>
      <c r="B718" s="6" t="n">
        <f aca="false">ROUND(Veterancy_XP!$B$5*(A718+1)^Veterancy_XP!$B$6,0)</f>
        <v>398</v>
      </c>
      <c r="C718" s="6" t="n">
        <f aca="false">ROUND(1/(A718+1)^Veterancy_XP!$E$6,4)</f>
        <v>0.2514</v>
      </c>
      <c r="D718" s="6" t="n">
        <f aca="false">ROUND(Veterancy_XP!$E$5*C718,1)</f>
        <v>251.4</v>
      </c>
      <c r="E718" s="6" t="n">
        <f aca="false">ROUND(B718/D718,2)</f>
        <v>1.58</v>
      </c>
      <c r="F718" s="6" t="n">
        <f aca="false">ROUND(F717+E718,2)</f>
        <v>799.77</v>
      </c>
    </row>
    <row r="719" customFormat="false" ht="15" hidden="false" customHeight="true" outlineLevel="0" collapsed="false">
      <c r="A719" s="6" t="n">
        <v>717</v>
      </c>
      <c r="B719" s="6" t="n">
        <f aca="false">ROUND(Veterancy_XP!$B$5*(A719+1)^Veterancy_XP!$B$6,0)</f>
        <v>398</v>
      </c>
      <c r="C719" s="6" t="n">
        <f aca="false">ROUND(1/(A719+1)^Veterancy_XP!$E$6,4)</f>
        <v>0.2513</v>
      </c>
      <c r="D719" s="6" t="n">
        <f aca="false">ROUND(Veterancy_XP!$E$5*C719,1)</f>
        <v>251.3</v>
      </c>
      <c r="E719" s="6" t="n">
        <f aca="false">ROUND(B719/D719,2)</f>
        <v>1.58</v>
      </c>
      <c r="F719" s="6" t="n">
        <f aca="false">ROUND(F718+E719,2)</f>
        <v>801.35</v>
      </c>
    </row>
    <row r="720" customFormat="false" ht="15" hidden="false" customHeight="true" outlineLevel="0" collapsed="false">
      <c r="A720" s="6" t="n">
        <v>718</v>
      </c>
      <c r="B720" s="6" t="n">
        <f aca="false">ROUND(Veterancy_XP!$B$5*(A720+1)^Veterancy_XP!$B$6,0)</f>
        <v>398</v>
      </c>
      <c r="C720" s="6" t="n">
        <f aca="false">ROUND(1/(A720+1)^Veterancy_XP!$E$6,4)</f>
        <v>0.2512</v>
      </c>
      <c r="D720" s="6" t="n">
        <f aca="false">ROUND(Veterancy_XP!$E$5*C720,1)</f>
        <v>251.2</v>
      </c>
      <c r="E720" s="6" t="n">
        <f aca="false">ROUND(B720/D720,2)</f>
        <v>1.58</v>
      </c>
      <c r="F720" s="6" t="n">
        <f aca="false">ROUND(F719+E720,2)</f>
        <v>802.93</v>
      </c>
    </row>
    <row r="721" customFormat="false" ht="15" hidden="false" customHeight="true" outlineLevel="0" collapsed="false">
      <c r="A721" s="6" t="n">
        <v>719</v>
      </c>
      <c r="B721" s="6" t="n">
        <f aca="false">ROUND(Veterancy_XP!$B$5*(A721+1)^Veterancy_XP!$B$6,0)</f>
        <v>398</v>
      </c>
      <c r="C721" s="6" t="n">
        <f aca="false">ROUND(1/(A721+1)^Veterancy_XP!$E$6,4)</f>
        <v>0.2512</v>
      </c>
      <c r="D721" s="6" t="n">
        <f aca="false">ROUND(Veterancy_XP!$E$5*C721,1)</f>
        <v>251.2</v>
      </c>
      <c r="E721" s="6" t="n">
        <f aca="false">ROUND(B721/D721,2)</f>
        <v>1.58</v>
      </c>
      <c r="F721" s="6" t="n">
        <f aca="false">ROUND(F720+E721,2)</f>
        <v>804.51</v>
      </c>
    </row>
    <row r="722" customFormat="false" ht="15" hidden="false" customHeight="true" outlineLevel="0" collapsed="false">
      <c r="A722" s="6" t="n">
        <v>720</v>
      </c>
      <c r="B722" s="6" t="n">
        <f aca="false">ROUND(Veterancy_XP!$B$5*(A722+1)^Veterancy_XP!$B$6,0)</f>
        <v>398</v>
      </c>
      <c r="C722" s="6" t="n">
        <f aca="false">ROUND(1/(A722+1)^Veterancy_XP!$E$6,4)</f>
        <v>0.2511</v>
      </c>
      <c r="D722" s="6" t="n">
        <f aca="false">ROUND(Veterancy_XP!$E$5*C722,1)</f>
        <v>251.1</v>
      </c>
      <c r="E722" s="6" t="n">
        <f aca="false">ROUND(B722/D722,2)</f>
        <v>1.59</v>
      </c>
      <c r="F722" s="6" t="n">
        <f aca="false">ROUND(F721+E722,2)</f>
        <v>806.1</v>
      </c>
    </row>
    <row r="723" customFormat="false" ht="15" hidden="false" customHeight="true" outlineLevel="0" collapsed="false">
      <c r="A723" s="6" t="n">
        <v>721</v>
      </c>
      <c r="B723" s="6" t="n">
        <f aca="false">ROUND(Veterancy_XP!$B$5*(A723+1)^Veterancy_XP!$B$6,0)</f>
        <v>398</v>
      </c>
      <c r="C723" s="6" t="n">
        <f aca="false">ROUND(1/(A723+1)^Veterancy_XP!$E$6,4)</f>
        <v>0.251</v>
      </c>
      <c r="D723" s="6" t="n">
        <f aca="false">ROUND(Veterancy_XP!$E$5*C723,1)</f>
        <v>251</v>
      </c>
      <c r="E723" s="6" t="n">
        <f aca="false">ROUND(B723/D723,2)</f>
        <v>1.59</v>
      </c>
      <c r="F723" s="6" t="n">
        <f aca="false">ROUND(F722+E723,2)</f>
        <v>807.69</v>
      </c>
    </row>
    <row r="724" customFormat="false" ht="15" hidden="false" customHeight="true" outlineLevel="0" collapsed="false">
      <c r="A724" s="6" t="n">
        <v>722</v>
      </c>
      <c r="B724" s="6" t="n">
        <f aca="false">ROUND(Veterancy_XP!$B$5*(A724+1)^Veterancy_XP!$B$6,0)</f>
        <v>398</v>
      </c>
      <c r="C724" s="6" t="n">
        <f aca="false">ROUND(1/(A724+1)^Veterancy_XP!$E$6,4)</f>
        <v>0.2509</v>
      </c>
      <c r="D724" s="6" t="n">
        <f aca="false">ROUND(Veterancy_XP!$E$5*C724,1)</f>
        <v>250.9</v>
      </c>
      <c r="E724" s="6" t="n">
        <f aca="false">ROUND(B724/D724,2)</f>
        <v>1.59</v>
      </c>
      <c r="F724" s="6" t="n">
        <f aca="false">ROUND(F723+E724,2)</f>
        <v>809.28</v>
      </c>
    </row>
    <row r="725" customFormat="false" ht="15" hidden="false" customHeight="true" outlineLevel="0" collapsed="false">
      <c r="A725" s="6" t="n">
        <v>723</v>
      </c>
      <c r="B725" s="6" t="n">
        <f aca="false">ROUND(Veterancy_XP!$B$5*(A725+1)^Veterancy_XP!$B$6,0)</f>
        <v>399</v>
      </c>
      <c r="C725" s="6" t="n">
        <f aca="false">ROUND(1/(A725+1)^Veterancy_XP!$E$6,4)</f>
        <v>0.2509</v>
      </c>
      <c r="D725" s="6" t="n">
        <f aca="false">ROUND(Veterancy_XP!$E$5*C725,1)</f>
        <v>250.9</v>
      </c>
      <c r="E725" s="6" t="n">
        <f aca="false">ROUND(B725/D725,2)</f>
        <v>1.59</v>
      </c>
      <c r="F725" s="6" t="n">
        <f aca="false">ROUND(F724+E725,2)</f>
        <v>810.87</v>
      </c>
    </row>
    <row r="726" customFormat="false" ht="15" hidden="false" customHeight="true" outlineLevel="0" collapsed="false">
      <c r="A726" s="6" t="n">
        <v>724</v>
      </c>
      <c r="B726" s="6" t="n">
        <f aca="false">ROUND(Veterancy_XP!$B$5*(A726+1)^Veterancy_XP!$B$6,0)</f>
        <v>399</v>
      </c>
      <c r="C726" s="6" t="n">
        <f aca="false">ROUND(1/(A726+1)^Veterancy_XP!$E$6,4)</f>
        <v>0.2508</v>
      </c>
      <c r="D726" s="6" t="n">
        <f aca="false">ROUND(Veterancy_XP!$E$5*C726,1)</f>
        <v>250.8</v>
      </c>
      <c r="E726" s="6" t="n">
        <f aca="false">ROUND(B726/D726,2)</f>
        <v>1.59</v>
      </c>
      <c r="F726" s="6" t="n">
        <f aca="false">ROUND(F725+E726,2)</f>
        <v>812.46</v>
      </c>
    </row>
    <row r="727" customFormat="false" ht="15" hidden="false" customHeight="true" outlineLevel="0" collapsed="false">
      <c r="A727" s="6" t="n">
        <v>725</v>
      </c>
      <c r="B727" s="6" t="n">
        <f aca="false">ROUND(Veterancy_XP!$B$5*(A727+1)^Veterancy_XP!$B$6,0)</f>
        <v>399</v>
      </c>
      <c r="C727" s="6" t="n">
        <f aca="false">ROUND(1/(A727+1)^Veterancy_XP!$E$6,4)</f>
        <v>0.2507</v>
      </c>
      <c r="D727" s="6" t="n">
        <f aca="false">ROUND(Veterancy_XP!$E$5*C727,1)</f>
        <v>250.7</v>
      </c>
      <c r="E727" s="6" t="n">
        <f aca="false">ROUND(B727/D727,2)</f>
        <v>1.59</v>
      </c>
      <c r="F727" s="6" t="n">
        <f aca="false">ROUND(F726+E727,2)</f>
        <v>814.05</v>
      </c>
    </row>
    <row r="728" customFormat="false" ht="15" hidden="false" customHeight="true" outlineLevel="0" collapsed="false">
      <c r="A728" s="6" t="n">
        <v>726</v>
      </c>
      <c r="B728" s="6" t="n">
        <f aca="false">ROUND(Veterancy_XP!$B$5*(A728+1)^Veterancy_XP!$B$6,0)</f>
        <v>399</v>
      </c>
      <c r="C728" s="6" t="n">
        <f aca="false">ROUND(1/(A728+1)^Veterancy_XP!$E$6,4)</f>
        <v>0.2507</v>
      </c>
      <c r="D728" s="6" t="n">
        <f aca="false">ROUND(Veterancy_XP!$E$5*C728,1)</f>
        <v>250.7</v>
      </c>
      <c r="E728" s="6" t="n">
        <f aca="false">ROUND(B728/D728,2)</f>
        <v>1.59</v>
      </c>
      <c r="F728" s="6" t="n">
        <f aca="false">ROUND(F727+E728,2)</f>
        <v>815.64</v>
      </c>
    </row>
    <row r="729" customFormat="false" ht="15" hidden="false" customHeight="true" outlineLevel="0" collapsed="false">
      <c r="A729" s="6" t="n">
        <v>727</v>
      </c>
      <c r="B729" s="6" t="n">
        <f aca="false">ROUND(Veterancy_XP!$B$5*(A729+1)^Veterancy_XP!$B$6,0)</f>
        <v>399</v>
      </c>
      <c r="C729" s="6" t="n">
        <f aca="false">ROUND(1/(A729+1)^Veterancy_XP!$E$6,4)</f>
        <v>0.2506</v>
      </c>
      <c r="D729" s="6" t="n">
        <f aca="false">ROUND(Veterancy_XP!$E$5*C729,1)</f>
        <v>250.6</v>
      </c>
      <c r="E729" s="6" t="n">
        <f aca="false">ROUND(B729/D729,2)</f>
        <v>1.59</v>
      </c>
      <c r="F729" s="6" t="n">
        <f aca="false">ROUND(F728+E729,2)</f>
        <v>817.23</v>
      </c>
    </row>
    <row r="730" customFormat="false" ht="15" hidden="false" customHeight="true" outlineLevel="0" collapsed="false">
      <c r="A730" s="6" t="n">
        <v>728</v>
      </c>
      <c r="B730" s="6" t="n">
        <f aca="false">ROUND(Veterancy_XP!$B$5*(A730+1)^Veterancy_XP!$B$6,0)</f>
        <v>399</v>
      </c>
      <c r="C730" s="6" t="n">
        <f aca="false">ROUND(1/(A730+1)^Veterancy_XP!$E$6,4)</f>
        <v>0.2505</v>
      </c>
      <c r="D730" s="6" t="n">
        <f aca="false">ROUND(Veterancy_XP!$E$5*C730,1)</f>
        <v>250.5</v>
      </c>
      <c r="E730" s="6" t="n">
        <f aca="false">ROUND(B730/D730,2)</f>
        <v>1.59</v>
      </c>
      <c r="F730" s="6" t="n">
        <f aca="false">ROUND(F729+E730,2)</f>
        <v>818.82</v>
      </c>
    </row>
    <row r="731" customFormat="false" ht="15" hidden="false" customHeight="true" outlineLevel="0" collapsed="false">
      <c r="A731" s="6" t="n">
        <v>729</v>
      </c>
      <c r="B731" s="6" t="n">
        <f aca="false">ROUND(Veterancy_XP!$B$5*(A731+1)^Veterancy_XP!$B$6,0)</f>
        <v>399</v>
      </c>
      <c r="C731" s="6" t="n">
        <f aca="false">ROUND(1/(A731+1)^Veterancy_XP!$E$6,4)</f>
        <v>0.2504</v>
      </c>
      <c r="D731" s="6" t="n">
        <f aca="false">ROUND(Veterancy_XP!$E$5*C731,1)</f>
        <v>250.4</v>
      </c>
      <c r="E731" s="6" t="n">
        <f aca="false">ROUND(B731/D731,2)</f>
        <v>1.59</v>
      </c>
      <c r="F731" s="6" t="n">
        <f aca="false">ROUND(F730+E731,2)</f>
        <v>820.41</v>
      </c>
    </row>
    <row r="732" customFormat="false" ht="15" hidden="false" customHeight="true" outlineLevel="0" collapsed="false">
      <c r="A732" s="6" t="n">
        <v>730</v>
      </c>
      <c r="B732" s="6" t="n">
        <f aca="false">ROUND(Veterancy_XP!$B$5*(A732+1)^Veterancy_XP!$B$6,0)</f>
        <v>399</v>
      </c>
      <c r="C732" s="6" t="n">
        <f aca="false">ROUND(1/(A732+1)^Veterancy_XP!$E$6,4)</f>
        <v>0.2504</v>
      </c>
      <c r="D732" s="6" t="n">
        <f aca="false">ROUND(Veterancy_XP!$E$5*C732,1)</f>
        <v>250.4</v>
      </c>
      <c r="E732" s="6" t="n">
        <f aca="false">ROUND(B732/D732,2)</f>
        <v>1.59</v>
      </c>
      <c r="F732" s="6" t="n">
        <f aca="false">ROUND(F731+E732,2)</f>
        <v>822</v>
      </c>
    </row>
    <row r="733" customFormat="false" ht="15" hidden="false" customHeight="true" outlineLevel="0" collapsed="false">
      <c r="A733" s="6" t="n">
        <v>731</v>
      </c>
      <c r="B733" s="6" t="n">
        <f aca="false">ROUND(Veterancy_XP!$B$5*(A733+1)^Veterancy_XP!$B$6,0)</f>
        <v>400</v>
      </c>
      <c r="C733" s="6" t="n">
        <f aca="false">ROUND(1/(A733+1)^Veterancy_XP!$E$6,4)</f>
        <v>0.2503</v>
      </c>
      <c r="D733" s="6" t="n">
        <f aca="false">ROUND(Veterancy_XP!$E$5*C733,1)</f>
        <v>250.3</v>
      </c>
      <c r="E733" s="6" t="n">
        <f aca="false">ROUND(B733/D733,2)</f>
        <v>1.6</v>
      </c>
      <c r="F733" s="6" t="n">
        <f aca="false">ROUND(F732+E733,2)</f>
        <v>823.6</v>
      </c>
    </row>
    <row r="734" customFormat="false" ht="15" hidden="false" customHeight="true" outlineLevel="0" collapsed="false">
      <c r="A734" s="6" t="n">
        <v>732</v>
      </c>
      <c r="B734" s="6" t="n">
        <f aca="false">ROUND(Veterancy_XP!$B$5*(A734+1)^Veterancy_XP!$B$6,0)</f>
        <v>400</v>
      </c>
      <c r="C734" s="6" t="n">
        <f aca="false">ROUND(1/(A734+1)^Veterancy_XP!$E$6,4)</f>
        <v>0.2502</v>
      </c>
      <c r="D734" s="6" t="n">
        <f aca="false">ROUND(Veterancy_XP!$E$5*C734,1)</f>
        <v>250.2</v>
      </c>
      <c r="E734" s="6" t="n">
        <f aca="false">ROUND(B734/D734,2)</f>
        <v>1.6</v>
      </c>
      <c r="F734" s="6" t="n">
        <f aca="false">ROUND(F733+E734,2)</f>
        <v>825.2</v>
      </c>
    </row>
    <row r="735" customFormat="false" ht="15" hidden="false" customHeight="true" outlineLevel="0" collapsed="false">
      <c r="A735" s="6" t="n">
        <v>733</v>
      </c>
      <c r="B735" s="6" t="n">
        <f aca="false">ROUND(Veterancy_XP!$B$5*(A735+1)^Veterancy_XP!$B$6,0)</f>
        <v>400</v>
      </c>
      <c r="C735" s="6" t="n">
        <f aca="false">ROUND(1/(A735+1)^Veterancy_XP!$E$6,4)</f>
        <v>0.2502</v>
      </c>
      <c r="D735" s="6" t="n">
        <f aca="false">ROUND(Veterancy_XP!$E$5*C735,1)</f>
        <v>250.2</v>
      </c>
      <c r="E735" s="6" t="n">
        <f aca="false">ROUND(B735/D735,2)</f>
        <v>1.6</v>
      </c>
      <c r="F735" s="6" t="n">
        <f aca="false">ROUND(F734+E735,2)</f>
        <v>826.8</v>
      </c>
    </row>
    <row r="736" customFormat="false" ht="15" hidden="false" customHeight="true" outlineLevel="0" collapsed="false">
      <c r="A736" s="6" t="n">
        <v>734</v>
      </c>
      <c r="B736" s="6" t="n">
        <f aca="false">ROUND(Veterancy_XP!$B$5*(A736+1)^Veterancy_XP!$B$6,0)</f>
        <v>400</v>
      </c>
      <c r="C736" s="6" t="n">
        <f aca="false">ROUND(1/(A736+1)^Veterancy_XP!$E$6,4)</f>
        <v>0.2501</v>
      </c>
      <c r="D736" s="6" t="n">
        <f aca="false">ROUND(Veterancy_XP!$E$5*C736,1)</f>
        <v>250.1</v>
      </c>
      <c r="E736" s="6" t="n">
        <f aca="false">ROUND(B736/D736,2)</f>
        <v>1.6</v>
      </c>
      <c r="F736" s="6" t="n">
        <f aca="false">ROUND(F735+E736,2)</f>
        <v>828.4</v>
      </c>
    </row>
    <row r="737" customFormat="false" ht="15" hidden="false" customHeight="true" outlineLevel="0" collapsed="false">
      <c r="A737" s="6" t="n">
        <v>735</v>
      </c>
      <c r="B737" s="6" t="n">
        <f aca="false">ROUND(Veterancy_XP!$B$5*(A737+1)^Veterancy_XP!$B$6,0)</f>
        <v>400</v>
      </c>
      <c r="C737" s="6" t="n">
        <f aca="false">ROUND(1/(A737+1)^Veterancy_XP!$E$6,4)</f>
        <v>0.25</v>
      </c>
      <c r="D737" s="6" t="n">
        <f aca="false">ROUND(Veterancy_XP!$E$5*C737,1)</f>
        <v>250</v>
      </c>
      <c r="E737" s="6" t="n">
        <f aca="false">ROUND(B737/D737,2)</f>
        <v>1.6</v>
      </c>
      <c r="F737" s="6" t="n">
        <f aca="false">ROUND(F736+E737,2)</f>
        <v>830</v>
      </c>
    </row>
    <row r="738" customFormat="false" ht="15" hidden="false" customHeight="true" outlineLevel="0" collapsed="false">
      <c r="A738" s="6" t="n">
        <v>736</v>
      </c>
      <c r="B738" s="6" t="n">
        <f aca="false">ROUND(Veterancy_XP!$B$5*(A738+1)^Veterancy_XP!$B$6,0)</f>
        <v>400</v>
      </c>
      <c r="C738" s="6" t="n">
        <f aca="false">ROUND(1/(A738+1)^Veterancy_XP!$E$6,4)</f>
        <v>0.2499</v>
      </c>
      <c r="D738" s="6" t="n">
        <f aca="false">ROUND(Veterancy_XP!$E$5*C738,1)</f>
        <v>249.9</v>
      </c>
      <c r="E738" s="6" t="n">
        <f aca="false">ROUND(B738/D738,2)</f>
        <v>1.6</v>
      </c>
      <c r="F738" s="6" t="n">
        <f aca="false">ROUND(F737+E738,2)</f>
        <v>831.6</v>
      </c>
    </row>
    <row r="739" customFormat="false" ht="15" hidden="false" customHeight="true" outlineLevel="0" collapsed="false">
      <c r="A739" s="6" t="n">
        <v>737</v>
      </c>
      <c r="B739" s="6" t="n">
        <f aca="false">ROUND(Veterancy_XP!$B$5*(A739+1)^Veterancy_XP!$B$6,0)</f>
        <v>400</v>
      </c>
      <c r="C739" s="6" t="n">
        <f aca="false">ROUND(1/(A739+1)^Veterancy_XP!$E$6,4)</f>
        <v>0.2499</v>
      </c>
      <c r="D739" s="6" t="n">
        <f aca="false">ROUND(Veterancy_XP!$E$5*C739,1)</f>
        <v>249.9</v>
      </c>
      <c r="E739" s="6" t="n">
        <f aca="false">ROUND(B739/D739,2)</f>
        <v>1.6</v>
      </c>
      <c r="F739" s="6" t="n">
        <f aca="false">ROUND(F738+E739,2)</f>
        <v>833.2</v>
      </c>
    </row>
    <row r="740" customFormat="false" ht="15" hidden="false" customHeight="true" outlineLevel="0" collapsed="false">
      <c r="A740" s="6" t="n">
        <v>738</v>
      </c>
      <c r="B740" s="6" t="n">
        <f aca="false">ROUND(Veterancy_XP!$B$5*(A740+1)^Veterancy_XP!$B$6,0)</f>
        <v>400</v>
      </c>
      <c r="C740" s="6" t="n">
        <f aca="false">ROUND(1/(A740+1)^Veterancy_XP!$E$6,4)</f>
        <v>0.2498</v>
      </c>
      <c r="D740" s="6" t="n">
        <f aca="false">ROUND(Veterancy_XP!$E$5*C740,1)</f>
        <v>249.8</v>
      </c>
      <c r="E740" s="6" t="n">
        <f aca="false">ROUND(B740/D740,2)</f>
        <v>1.6</v>
      </c>
      <c r="F740" s="6" t="n">
        <f aca="false">ROUND(F739+E740,2)</f>
        <v>834.8</v>
      </c>
    </row>
    <row r="741" customFormat="false" ht="15" hidden="false" customHeight="true" outlineLevel="0" collapsed="false">
      <c r="A741" s="6" t="n">
        <v>739</v>
      </c>
      <c r="B741" s="6" t="n">
        <f aca="false">ROUND(Veterancy_XP!$B$5*(A741+1)^Veterancy_XP!$B$6,0)</f>
        <v>400</v>
      </c>
      <c r="C741" s="6" t="n">
        <f aca="false">ROUND(1/(A741+1)^Veterancy_XP!$E$6,4)</f>
        <v>0.2497</v>
      </c>
      <c r="D741" s="6" t="n">
        <f aca="false">ROUND(Veterancy_XP!$E$5*C741,1)</f>
        <v>249.7</v>
      </c>
      <c r="E741" s="6" t="n">
        <f aca="false">ROUND(B741/D741,2)</f>
        <v>1.6</v>
      </c>
      <c r="F741" s="6" t="n">
        <f aca="false">ROUND(F740+E741,2)</f>
        <v>836.4</v>
      </c>
    </row>
    <row r="742" customFormat="false" ht="15" hidden="false" customHeight="true" outlineLevel="0" collapsed="false">
      <c r="A742" s="6" t="n">
        <v>740</v>
      </c>
      <c r="B742" s="6" t="n">
        <f aca="false">ROUND(Veterancy_XP!$B$5*(A742+1)^Veterancy_XP!$B$6,0)</f>
        <v>401</v>
      </c>
      <c r="C742" s="6" t="n">
        <f aca="false">ROUND(1/(A742+1)^Veterancy_XP!$E$6,4)</f>
        <v>0.2497</v>
      </c>
      <c r="D742" s="6" t="n">
        <f aca="false">ROUND(Veterancy_XP!$E$5*C742,1)</f>
        <v>249.7</v>
      </c>
      <c r="E742" s="6" t="n">
        <f aca="false">ROUND(B742/D742,2)</f>
        <v>1.61</v>
      </c>
      <c r="F742" s="6" t="n">
        <f aca="false">ROUND(F741+E742,2)</f>
        <v>838.01</v>
      </c>
    </row>
    <row r="743" customFormat="false" ht="15" hidden="false" customHeight="true" outlineLevel="0" collapsed="false">
      <c r="A743" s="6" t="n">
        <v>741</v>
      </c>
      <c r="B743" s="6" t="n">
        <f aca="false">ROUND(Veterancy_XP!$B$5*(A743+1)^Veterancy_XP!$B$6,0)</f>
        <v>401</v>
      </c>
      <c r="C743" s="6" t="n">
        <f aca="false">ROUND(1/(A743+1)^Veterancy_XP!$E$6,4)</f>
        <v>0.2496</v>
      </c>
      <c r="D743" s="6" t="n">
        <f aca="false">ROUND(Veterancy_XP!$E$5*C743,1)</f>
        <v>249.6</v>
      </c>
      <c r="E743" s="6" t="n">
        <f aca="false">ROUND(B743/D743,2)</f>
        <v>1.61</v>
      </c>
      <c r="F743" s="6" t="n">
        <f aca="false">ROUND(F742+E743,2)</f>
        <v>839.62</v>
      </c>
    </row>
    <row r="744" customFormat="false" ht="15" hidden="false" customHeight="true" outlineLevel="0" collapsed="false">
      <c r="A744" s="6" t="n">
        <v>742</v>
      </c>
      <c r="B744" s="6" t="n">
        <f aca="false">ROUND(Veterancy_XP!$B$5*(A744+1)^Veterancy_XP!$B$6,0)</f>
        <v>401</v>
      </c>
      <c r="C744" s="6" t="n">
        <f aca="false">ROUND(1/(A744+1)^Veterancy_XP!$E$6,4)</f>
        <v>0.2495</v>
      </c>
      <c r="D744" s="6" t="n">
        <f aca="false">ROUND(Veterancy_XP!$E$5*C744,1)</f>
        <v>249.5</v>
      </c>
      <c r="E744" s="6" t="n">
        <f aca="false">ROUND(B744/D744,2)</f>
        <v>1.61</v>
      </c>
      <c r="F744" s="6" t="n">
        <f aca="false">ROUND(F743+E744,2)</f>
        <v>841.23</v>
      </c>
    </row>
    <row r="745" customFormat="false" ht="15" hidden="false" customHeight="true" outlineLevel="0" collapsed="false">
      <c r="A745" s="6" t="n">
        <v>743</v>
      </c>
      <c r="B745" s="6" t="n">
        <f aca="false">ROUND(Veterancy_XP!$B$5*(A745+1)^Veterancy_XP!$B$6,0)</f>
        <v>401</v>
      </c>
      <c r="C745" s="6" t="n">
        <f aca="false">ROUND(1/(A745+1)^Veterancy_XP!$E$6,4)</f>
        <v>0.2494</v>
      </c>
      <c r="D745" s="6" t="n">
        <f aca="false">ROUND(Veterancy_XP!$E$5*C745,1)</f>
        <v>249.4</v>
      </c>
      <c r="E745" s="6" t="n">
        <f aca="false">ROUND(B745/D745,2)</f>
        <v>1.61</v>
      </c>
      <c r="F745" s="6" t="n">
        <f aca="false">ROUND(F744+E745,2)</f>
        <v>842.84</v>
      </c>
    </row>
    <row r="746" customFormat="false" ht="15" hidden="false" customHeight="true" outlineLevel="0" collapsed="false">
      <c r="A746" s="6" t="n">
        <v>744</v>
      </c>
      <c r="B746" s="6" t="n">
        <f aca="false">ROUND(Veterancy_XP!$B$5*(A746+1)^Veterancy_XP!$B$6,0)</f>
        <v>401</v>
      </c>
      <c r="C746" s="6" t="n">
        <f aca="false">ROUND(1/(A746+1)^Veterancy_XP!$E$6,4)</f>
        <v>0.2494</v>
      </c>
      <c r="D746" s="6" t="n">
        <f aca="false">ROUND(Veterancy_XP!$E$5*C746,1)</f>
        <v>249.4</v>
      </c>
      <c r="E746" s="6" t="n">
        <f aca="false">ROUND(B746/D746,2)</f>
        <v>1.61</v>
      </c>
      <c r="F746" s="6" t="n">
        <f aca="false">ROUND(F745+E746,2)</f>
        <v>844.45</v>
      </c>
    </row>
    <row r="747" customFormat="false" ht="15" hidden="false" customHeight="true" outlineLevel="0" collapsed="false">
      <c r="A747" s="6" t="n">
        <v>745</v>
      </c>
      <c r="B747" s="6" t="n">
        <f aca="false">ROUND(Veterancy_XP!$B$5*(A747+1)^Veterancy_XP!$B$6,0)</f>
        <v>401</v>
      </c>
      <c r="C747" s="6" t="n">
        <f aca="false">ROUND(1/(A747+1)^Veterancy_XP!$E$6,4)</f>
        <v>0.2493</v>
      </c>
      <c r="D747" s="6" t="n">
        <f aca="false">ROUND(Veterancy_XP!$E$5*C747,1)</f>
        <v>249.3</v>
      </c>
      <c r="E747" s="6" t="n">
        <f aca="false">ROUND(B747/D747,2)</f>
        <v>1.61</v>
      </c>
      <c r="F747" s="6" t="n">
        <f aca="false">ROUND(F746+E747,2)</f>
        <v>846.06</v>
      </c>
    </row>
    <row r="748" customFormat="false" ht="15" hidden="false" customHeight="true" outlineLevel="0" collapsed="false">
      <c r="A748" s="6" t="n">
        <v>746</v>
      </c>
      <c r="B748" s="6" t="n">
        <f aca="false">ROUND(Veterancy_XP!$B$5*(A748+1)^Veterancy_XP!$B$6,0)</f>
        <v>401</v>
      </c>
      <c r="C748" s="6" t="n">
        <f aca="false">ROUND(1/(A748+1)^Veterancy_XP!$E$6,4)</f>
        <v>0.2492</v>
      </c>
      <c r="D748" s="6" t="n">
        <f aca="false">ROUND(Veterancy_XP!$E$5*C748,1)</f>
        <v>249.2</v>
      </c>
      <c r="E748" s="6" t="n">
        <f aca="false">ROUND(B748/D748,2)</f>
        <v>1.61</v>
      </c>
      <c r="F748" s="6" t="n">
        <f aca="false">ROUND(F747+E748,2)</f>
        <v>847.67</v>
      </c>
    </row>
    <row r="749" customFormat="false" ht="15" hidden="false" customHeight="true" outlineLevel="0" collapsed="false">
      <c r="A749" s="6" t="n">
        <v>747</v>
      </c>
      <c r="B749" s="6" t="n">
        <f aca="false">ROUND(Veterancy_XP!$B$5*(A749+1)^Veterancy_XP!$B$6,0)</f>
        <v>401</v>
      </c>
      <c r="C749" s="6" t="n">
        <f aca="false">ROUND(1/(A749+1)^Veterancy_XP!$E$6,4)</f>
        <v>0.2492</v>
      </c>
      <c r="D749" s="6" t="n">
        <f aca="false">ROUND(Veterancy_XP!$E$5*C749,1)</f>
        <v>249.2</v>
      </c>
      <c r="E749" s="6" t="n">
        <f aca="false">ROUND(B749/D749,2)</f>
        <v>1.61</v>
      </c>
      <c r="F749" s="6" t="n">
        <f aca="false">ROUND(F748+E749,2)</f>
        <v>849.28</v>
      </c>
    </row>
    <row r="750" customFormat="false" ht="15" hidden="false" customHeight="true" outlineLevel="0" collapsed="false">
      <c r="A750" s="6" t="n">
        <v>748</v>
      </c>
      <c r="B750" s="6" t="n">
        <f aca="false">ROUND(Veterancy_XP!$B$5*(A750+1)^Veterancy_XP!$B$6,0)</f>
        <v>401</v>
      </c>
      <c r="C750" s="6" t="n">
        <f aca="false">ROUND(1/(A750+1)^Veterancy_XP!$E$6,4)</f>
        <v>0.2491</v>
      </c>
      <c r="D750" s="6" t="n">
        <f aca="false">ROUND(Veterancy_XP!$E$5*C750,1)</f>
        <v>249.1</v>
      </c>
      <c r="E750" s="6" t="n">
        <f aca="false">ROUND(B750/D750,2)</f>
        <v>1.61</v>
      </c>
      <c r="F750" s="6" t="n">
        <f aca="false">ROUND(F749+E750,2)</f>
        <v>850.89</v>
      </c>
    </row>
    <row r="751" customFormat="false" ht="15" hidden="false" customHeight="true" outlineLevel="0" collapsed="false">
      <c r="A751" s="6" t="n">
        <v>749</v>
      </c>
      <c r="B751" s="6" t="n">
        <f aca="false">ROUND(Veterancy_XP!$B$5*(A751+1)^Veterancy_XP!$B$6,0)</f>
        <v>402</v>
      </c>
      <c r="C751" s="6" t="n">
        <f aca="false">ROUND(1/(A751+1)^Veterancy_XP!$E$6,4)</f>
        <v>0.249</v>
      </c>
      <c r="D751" s="6" t="n">
        <f aca="false">ROUND(Veterancy_XP!$E$5*C751,1)</f>
        <v>249</v>
      </c>
      <c r="E751" s="6" t="n">
        <f aca="false">ROUND(B751/D751,2)</f>
        <v>1.61</v>
      </c>
      <c r="F751" s="6" t="n">
        <f aca="false">ROUND(F750+E751,2)</f>
        <v>852.5</v>
      </c>
    </row>
    <row r="752" customFormat="false" ht="15" hidden="false" customHeight="true" outlineLevel="0" collapsed="false">
      <c r="A752" s="6" t="n">
        <v>750</v>
      </c>
      <c r="B752" s="6" t="n">
        <f aca="false">ROUND(Veterancy_XP!$B$5*(A752+1)^Veterancy_XP!$B$6,0)</f>
        <v>402</v>
      </c>
      <c r="C752" s="6" t="n">
        <f aca="false">ROUND(1/(A752+1)^Veterancy_XP!$E$6,4)</f>
        <v>0.249</v>
      </c>
      <c r="D752" s="6" t="n">
        <f aca="false">ROUND(Veterancy_XP!$E$5*C752,1)</f>
        <v>249</v>
      </c>
      <c r="E752" s="6" t="n">
        <f aca="false">ROUND(B752/D752,2)</f>
        <v>1.61</v>
      </c>
      <c r="F752" s="6" t="n">
        <f aca="false">ROUND(F751+E752,2)</f>
        <v>854.11</v>
      </c>
    </row>
    <row r="753" customFormat="false" ht="15" hidden="false" customHeight="true" outlineLevel="0" collapsed="false">
      <c r="A753" s="6" t="n">
        <v>751</v>
      </c>
      <c r="B753" s="6" t="n">
        <f aca="false">ROUND(Veterancy_XP!$B$5*(A753+1)^Veterancy_XP!$B$6,0)</f>
        <v>402</v>
      </c>
      <c r="C753" s="6" t="n">
        <f aca="false">ROUND(1/(A753+1)^Veterancy_XP!$E$6,4)</f>
        <v>0.2489</v>
      </c>
      <c r="D753" s="6" t="n">
        <f aca="false">ROUND(Veterancy_XP!$E$5*C753,1)</f>
        <v>248.9</v>
      </c>
      <c r="E753" s="6" t="n">
        <f aca="false">ROUND(B753/D753,2)</f>
        <v>1.62</v>
      </c>
      <c r="F753" s="6" t="n">
        <f aca="false">ROUND(F752+E753,2)</f>
        <v>855.73</v>
      </c>
    </row>
    <row r="754" customFormat="false" ht="15" hidden="false" customHeight="true" outlineLevel="0" collapsed="false">
      <c r="A754" s="6" t="n">
        <v>752</v>
      </c>
      <c r="B754" s="6" t="n">
        <f aca="false">ROUND(Veterancy_XP!$B$5*(A754+1)^Veterancy_XP!$B$6,0)</f>
        <v>402</v>
      </c>
      <c r="C754" s="6" t="n">
        <f aca="false">ROUND(1/(A754+1)^Veterancy_XP!$E$6,4)</f>
        <v>0.2488</v>
      </c>
      <c r="D754" s="6" t="n">
        <f aca="false">ROUND(Veterancy_XP!$E$5*C754,1)</f>
        <v>248.8</v>
      </c>
      <c r="E754" s="6" t="n">
        <f aca="false">ROUND(B754/D754,2)</f>
        <v>1.62</v>
      </c>
      <c r="F754" s="6" t="n">
        <f aca="false">ROUND(F753+E754,2)</f>
        <v>857.35</v>
      </c>
    </row>
    <row r="755" customFormat="false" ht="15" hidden="false" customHeight="true" outlineLevel="0" collapsed="false">
      <c r="A755" s="6" t="n">
        <v>753</v>
      </c>
      <c r="B755" s="6" t="n">
        <f aca="false">ROUND(Veterancy_XP!$B$5*(A755+1)^Veterancy_XP!$B$6,0)</f>
        <v>402</v>
      </c>
      <c r="C755" s="6" t="n">
        <f aca="false">ROUND(1/(A755+1)^Veterancy_XP!$E$6,4)</f>
        <v>0.2487</v>
      </c>
      <c r="D755" s="6" t="n">
        <f aca="false">ROUND(Veterancy_XP!$E$5*C755,1)</f>
        <v>248.7</v>
      </c>
      <c r="E755" s="6" t="n">
        <f aca="false">ROUND(B755/D755,2)</f>
        <v>1.62</v>
      </c>
      <c r="F755" s="6" t="n">
        <f aca="false">ROUND(F754+E755,2)</f>
        <v>858.97</v>
      </c>
    </row>
    <row r="756" customFormat="false" ht="15" hidden="false" customHeight="true" outlineLevel="0" collapsed="false">
      <c r="A756" s="6" t="n">
        <v>754</v>
      </c>
      <c r="B756" s="6" t="n">
        <f aca="false">ROUND(Veterancy_XP!$B$5*(A756+1)^Veterancy_XP!$B$6,0)</f>
        <v>402</v>
      </c>
      <c r="C756" s="6" t="n">
        <f aca="false">ROUND(1/(A756+1)^Veterancy_XP!$E$6,4)</f>
        <v>0.2487</v>
      </c>
      <c r="D756" s="6" t="n">
        <f aca="false">ROUND(Veterancy_XP!$E$5*C756,1)</f>
        <v>248.7</v>
      </c>
      <c r="E756" s="6" t="n">
        <f aca="false">ROUND(B756/D756,2)</f>
        <v>1.62</v>
      </c>
      <c r="F756" s="6" t="n">
        <f aca="false">ROUND(F755+E756,2)</f>
        <v>860.59</v>
      </c>
    </row>
    <row r="757" customFormat="false" ht="15" hidden="false" customHeight="true" outlineLevel="0" collapsed="false">
      <c r="A757" s="6" t="n">
        <v>755</v>
      </c>
      <c r="B757" s="6" t="n">
        <f aca="false">ROUND(Veterancy_XP!$B$5*(A757+1)^Veterancy_XP!$B$6,0)</f>
        <v>402</v>
      </c>
      <c r="C757" s="6" t="n">
        <f aca="false">ROUND(1/(A757+1)^Veterancy_XP!$E$6,4)</f>
        <v>0.2486</v>
      </c>
      <c r="D757" s="6" t="n">
        <f aca="false">ROUND(Veterancy_XP!$E$5*C757,1)</f>
        <v>248.6</v>
      </c>
      <c r="E757" s="6" t="n">
        <f aca="false">ROUND(B757/D757,2)</f>
        <v>1.62</v>
      </c>
      <c r="F757" s="6" t="n">
        <f aca="false">ROUND(F756+E757,2)</f>
        <v>862.21</v>
      </c>
    </row>
    <row r="758" customFormat="false" ht="15" hidden="false" customHeight="true" outlineLevel="0" collapsed="false">
      <c r="A758" s="6" t="n">
        <v>756</v>
      </c>
      <c r="B758" s="6" t="n">
        <f aca="false">ROUND(Veterancy_XP!$B$5*(A758+1)^Veterancy_XP!$B$6,0)</f>
        <v>402</v>
      </c>
      <c r="C758" s="6" t="n">
        <f aca="false">ROUND(1/(A758+1)^Veterancy_XP!$E$6,4)</f>
        <v>0.2485</v>
      </c>
      <c r="D758" s="6" t="n">
        <f aca="false">ROUND(Veterancy_XP!$E$5*C758,1)</f>
        <v>248.5</v>
      </c>
      <c r="E758" s="6" t="n">
        <f aca="false">ROUND(B758/D758,2)</f>
        <v>1.62</v>
      </c>
      <c r="F758" s="6" t="n">
        <f aca="false">ROUND(F757+E758,2)</f>
        <v>863.83</v>
      </c>
    </row>
    <row r="759" customFormat="false" ht="15" hidden="false" customHeight="true" outlineLevel="0" collapsed="false">
      <c r="A759" s="6" t="n">
        <v>757</v>
      </c>
      <c r="B759" s="6" t="n">
        <f aca="false">ROUND(Veterancy_XP!$B$5*(A759+1)^Veterancy_XP!$B$6,0)</f>
        <v>402</v>
      </c>
      <c r="C759" s="6" t="n">
        <f aca="false">ROUND(1/(A759+1)^Veterancy_XP!$E$6,4)</f>
        <v>0.2485</v>
      </c>
      <c r="D759" s="6" t="n">
        <f aca="false">ROUND(Veterancy_XP!$E$5*C759,1)</f>
        <v>248.5</v>
      </c>
      <c r="E759" s="6" t="n">
        <f aca="false">ROUND(B759/D759,2)</f>
        <v>1.62</v>
      </c>
      <c r="F759" s="6" t="n">
        <f aca="false">ROUND(F758+E759,2)</f>
        <v>865.45</v>
      </c>
    </row>
    <row r="760" customFormat="false" ht="15" hidden="false" customHeight="true" outlineLevel="0" collapsed="false">
      <c r="A760" s="6" t="n">
        <v>758</v>
      </c>
      <c r="B760" s="6" t="n">
        <f aca="false">ROUND(Veterancy_XP!$B$5*(A760+1)^Veterancy_XP!$B$6,0)</f>
        <v>403</v>
      </c>
      <c r="C760" s="6" t="n">
        <f aca="false">ROUND(1/(A760+1)^Veterancy_XP!$E$6,4)</f>
        <v>0.2484</v>
      </c>
      <c r="D760" s="6" t="n">
        <f aca="false">ROUND(Veterancy_XP!$E$5*C760,1)</f>
        <v>248.4</v>
      </c>
      <c r="E760" s="6" t="n">
        <f aca="false">ROUND(B760/D760,2)</f>
        <v>1.62</v>
      </c>
      <c r="F760" s="6" t="n">
        <f aca="false">ROUND(F759+E760,2)</f>
        <v>867.07</v>
      </c>
    </row>
    <row r="761" customFormat="false" ht="15" hidden="false" customHeight="true" outlineLevel="0" collapsed="false">
      <c r="A761" s="6" t="n">
        <v>759</v>
      </c>
      <c r="B761" s="6" t="n">
        <f aca="false">ROUND(Veterancy_XP!$B$5*(A761+1)^Veterancy_XP!$B$6,0)</f>
        <v>403</v>
      </c>
      <c r="C761" s="6" t="n">
        <f aca="false">ROUND(1/(A761+1)^Veterancy_XP!$E$6,4)</f>
        <v>0.2483</v>
      </c>
      <c r="D761" s="6" t="n">
        <f aca="false">ROUND(Veterancy_XP!$E$5*C761,1)</f>
        <v>248.3</v>
      </c>
      <c r="E761" s="6" t="n">
        <f aca="false">ROUND(B761/D761,2)</f>
        <v>1.62</v>
      </c>
      <c r="F761" s="6" t="n">
        <f aca="false">ROUND(F760+E761,2)</f>
        <v>868.69</v>
      </c>
    </row>
    <row r="762" customFormat="false" ht="15" hidden="false" customHeight="true" outlineLevel="0" collapsed="false">
      <c r="A762" s="6" t="n">
        <v>760</v>
      </c>
      <c r="B762" s="6" t="n">
        <f aca="false">ROUND(Veterancy_XP!$B$5*(A762+1)^Veterancy_XP!$B$6,0)</f>
        <v>403</v>
      </c>
      <c r="C762" s="6" t="n">
        <f aca="false">ROUND(1/(A762+1)^Veterancy_XP!$E$6,4)</f>
        <v>0.2483</v>
      </c>
      <c r="D762" s="6" t="n">
        <f aca="false">ROUND(Veterancy_XP!$E$5*C762,1)</f>
        <v>248.3</v>
      </c>
      <c r="E762" s="6" t="n">
        <f aca="false">ROUND(B762/D762,2)</f>
        <v>1.62</v>
      </c>
      <c r="F762" s="6" t="n">
        <f aca="false">ROUND(F761+E762,2)</f>
        <v>870.31</v>
      </c>
    </row>
    <row r="763" customFormat="false" ht="15" hidden="false" customHeight="true" outlineLevel="0" collapsed="false">
      <c r="A763" s="6" t="n">
        <v>761</v>
      </c>
      <c r="B763" s="6" t="n">
        <f aca="false">ROUND(Veterancy_XP!$B$5*(A763+1)^Veterancy_XP!$B$6,0)</f>
        <v>403</v>
      </c>
      <c r="C763" s="6" t="n">
        <f aca="false">ROUND(1/(A763+1)^Veterancy_XP!$E$6,4)</f>
        <v>0.2482</v>
      </c>
      <c r="D763" s="6" t="n">
        <f aca="false">ROUND(Veterancy_XP!$E$5*C763,1)</f>
        <v>248.2</v>
      </c>
      <c r="E763" s="6" t="n">
        <f aca="false">ROUND(B763/D763,2)</f>
        <v>1.62</v>
      </c>
      <c r="F763" s="6" t="n">
        <f aca="false">ROUND(F762+E763,2)</f>
        <v>871.93</v>
      </c>
    </row>
    <row r="764" customFormat="false" ht="15" hidden="false" customHeight="true" outlineLevel="0" collapsed="false">
      <c r="A764" s="6" t="n">
        <v>762</v>
      </c>
      <c r="B764" s="6" t="n">
        <f aca="false">ROUND(Veterancy_XP!$B$5*(A764+1)^Veterancy_XP!$B$6,0)</f>
        <v>403</v>
      </c>
      <c r="C764" s="6" t="n">
        <f aca="false">ROUND(1/(A764+1)^Veterancy_XP!$E$6,4)</f>
        <v>0.2481</v>
      </c>
      <c r="D764" s="6" t="n">
        <f aca="false">ROUND(Veterancy_XP!$E$5*C764,1)</f>
        <v>248.1</v>
      </c>
      <c r="E764" s="6" t="n">
        <f aca="false">ROUND(B764/D764,2)</f>
        <v>1.62</v>
      </c>
      <c r="F764" s="6" t="n">
        <f aca="false">ROUND(F763+E764,2)</f>
        <v>873.55</v>
      </c>
    </row>
    <row r="765" customFormat="false" ht="15" hidden="false" customHeight="true" outlineLevel="0" collapsed="false">
      <c r="A765" s="6" t="n">
        <v>763</v>
      </c>
      <c r="B765" s="6" t="n">
        <f aca="false">ROUND(Veterancy_XP!$B$5*(A765+1)^Veterancy_XP!$B$6,0)</f>
        <v>403</v>
      </c>
      <c r="C765" s="6" t="n">
        <f aca="false">ROUND(1/(A765+1)^Veterancy_XP!$E$6,4)</f>
        <v>0.2481</v>
      </c>
      <c r="D765" s="6" t="n">
        <f aca="false">ROUND(Veterancy_XP!$E$5*C765,1)</f>
        <v>248.1</v>
      </c>
      <c r="E765" s="6" t="n">
        <f aca="false">ROUND(B765/D765,2)</f>
        <v>1.62</v>
      </c>
      <c r="F765" s="6" t="n">
        <f aca="false">ROUND(F764+E765,2)</f>
        <v>875.17</v>
      </c>
    </row>
    <row r="766" customFormat="false" ht="15" hidden="false" customHeight="true" outlineLevel="0" collapsed="false">
      <c r="A766" s="6" t="n">
        <v>764</v>
      </c>
      <c r="B766" s="6" t="n">
        <f aca="false">ROUND(Veterancy_XP!$B$5*(A766+1)^Veterancy_XP!$B$6,0)</f>
        <v>403</v>
      </c>
      <c r="C766" s="6" t="n">
        <f aca="false">ROUND(1/(A766+1)^Veterancy_XP!$E$6,4)</f>
        <v>0.248</v>
      </c>
      <c r="D766" s="6" t="n">
        <f aca="false">ROUND(Veterancy_XP!$E$5*C766,1)</f>
        <v>248</v>
      </c>
      <c r="E766" s="6" t="n">
        <f aca="false">ROUND(B766/D766,2)</f>
        <v>1.63</v>
      </c>
      <c r="F766" s="6" t="n">
        <f aca="false">ROUND(F765+E766,2)</f>
        <v>876.8</v>
      </c>
    </row>
    <row r="767" customFormat="false" ht="15" hidden="false" customHeight="true" outlineLevel="0" collapsed="false">
      <c r="A767" s="6" t="n">
        <v>765</v>
      </c>
      <c r="B767" s="6" t="n">
        <f aca="false">ROUND(Veterancy_XP!$B$5*(A767+1)^Veterancy_XP!$B$6,0)</f>
        <v>403</v>
      </c>
      <c r="C767" s="6" t="n">
        <f aca="false">ROUND(1/(A767+1)^Veterancy_XP!$E$6,4)</f>
        <v>0.2479</v>
      </c>
      <c r="D767" s="6" t="n">
        <f aca="false">ROUND(Veterancy_XP!$E$5*C767,1)</f>
        <v>247.9</v>
      </c>
      <c r="E767" s="6" t="n">
        <f aca="false">ROUND(B767/D767,2)</f>
        <v>1.63</v>
      </c>
      <c r="F767" s="6" t="n">
        <f aca="false">ROUND(F766+E767,2)</f>
        <v>878.43</v>
      </c>
    </row>
    <row r="768" customFormat="false" ht="15" hidden="false" customHeight="true" outlineLevel="0" collapsed="false">
      <c r="A768" s="6" t="n">
        <v>766</v>
      </c>
      <c r="B768" s="6" t="n">
        <f aca="false">ROUND(Veterancy_XP!$B$5*(A768+1)^Veterancy_XP!$B$6,0)</f>
        <v>403</v>
      </c>
      <c r="C768" s="6" t="n">
        <f aca="false">ROUND(1/(A768+1)^Veterancy_XP!$E$6,4)</f>
        <v>0.2479</v>
      </c>
      <c r="D768" s="6" t="n">
        <f aca="false">ROUND(Veterancy_XP!$E$5*C768,1)</f>
        <v>247.9</v>
      </c>
      <c r="E768" s="6" t="n">
        <f aca="false">ROUND(B768/D768,2)</f>
        <v>1.63</v>
      </c>
      <c r="F768" s="6" t="n">
        <f aca="false">ROUND(F767+E768,2)</f>
        <v>880.06</v>
      </c>
    </row>
    <row r="769" customFormat="false" ht="15" hidden="false" customHeight="true" outlineLevel="0" collapsed="false">
      <c r="A769" s="6" t="n">
        <v>767</v>
      </c>
      <c r="B769" s="6" t="n">
        <f aca="false">ROUND(Veterancy_XP!$B$5*(A769+1)^Veterancy_XP!$B$6,0)</f>
        <v>404</v>
      </c>
      <c r="C769" s="6" t="n">
        <f aca="false">ROUND(1/(A769+1)^Veterancy_XP!$E$6,4)</f>
        <v>0.2478</v>
      </c>
      <c r="D769" s="6" t="n">
        <f aca="false">ROUND(Veterancy_XP!$E$5*C769,1)</f>
        <v>247.8</v>
      </c>
      <c r="E769" s="6" t="n">
        <f aca="false">ROUND(B769/D769,2)</f>
        <v>1.63</v>
      </c>
      <c r="F769" s="6" t="n">
        <f aca="false">ROUND(F768+E769,2)</f>
        <v>881.69</v>
      </c>
    </row>
    <row r="770" customFormat="false" ht="15" hidden="false" customHeight="true" outlineLevel="0" collapsed="false">
      <c r="A770" s="6" t="n">
        <v>768</v>
      </c>
      <c r="B770" s="6" t="n">
        <f aca="false">ROUND(Veterancy_XP!$B$5*(A770+1)^Veterancy_XP!$B$6,0)</f>
        <v>404</v>
      </c>
      <c r="C770" s="6" t="n">
        <f aca="false">ROUND(1/(A770+1)^Veterancy_XP!$E$6,4)</f>
        <v>0.2477</v>
      </c>
      <c r="D770" s="6" t="n">
        <f aca="false">ROUND(Veterancy_XP!$E$5*C770,1)</f>
        <v>247.7</v>
      </c>
      <c r="E770" s="6" t="n">
        <f aca="false">ROUND(B770/D770,2)</f>
        <v>1.63</v>
      </c>
      <c r="F770" s="6" t="n">
        <f aca="false">ROUND(F769+E770,2)</f>
        <v>883.32</v>
      </c>
    </row>
    <row r="771" customFormat="false" ht="15" hidden="false" customHeight="true" outlineLevel="0" collapsed="false">
      <c r="A771" s="6" t="n">
        <v>769</v>
      </c>
      <c r="B771" s="6" t="n">
        <f aca="false">ROUND(Veterancy_XP!$B$5*(A771+1)^Veterancy_XP!$B$6,0)</f>
        <v>404</v>
      </c>
      <c r="C771" s="6" t="n">
        <f aca="false">ROUND(1/(A771+1)^Veterancy_XP!$E$6,4)</f>
        <v>0.2476</v>
      </c>
      <c r="D771" s="6" t="n">
        <f aca="false">ROUND(Veterancy_XP!$E$5*C771,1)</f>
        <v>247.6</v>
      </c>
      <c r="E771" s="6" t="n">
        <f aca="false">ROUND(B771/D771,2)</f>
        <v>1.63</v>
      </c>
      <c r="F771" s="6" t="n">
        <f aca="false">ROUND(F770+E771,2)</f>
        <v>884.95</v>
      </c>
    </row>
    <row r="772" customFormat="false" ht="15" hidden="false" customHeight="true" outlineLevel="0" collapsed="false">
      <c r="A772" s="6" t="n">
        <v>770</v>
      </c>
      <c r="B772" s="6" t="n">
        <f aca="false">ROUND(Veterancy_XP!$B$5*(A772+1)^Veterancy_XP!$B$6,0)</f>
        <v>404</v>
      </c>
      <c r="C772" s="6" t="n">
        <f aca="false">ROUND(1/(A772+1)^Veterancy_XP!$E$6,4)</f>
        <v>0.2476</v>
      </c>
      <c r="D772" s="6" t="n">
        <f aca="false">ROUND(Veterancy_XP!$E$5*C772,1)</f>
        <v>247.6</v>
      </c>
      <c r="E772" s="6" t="n">
        <f aca="false">ROUND(B772/D772,2)</f>
        <v>1.63</v>
      </c>
      <c r="F772" s="6" t="n">
        <f aca="false">ROUND(F771+E772,2)</f>
        <v>886.58</v>
      </c>
    </row>
    <row r="773" customFormat="false" ht="15" hidden="false" customHeight="true" outlineLevel="0" collapsed="false">
      <c r="A773" s="6" t="n">
        <v>771</v>
      </c>
      <c r="B773" s="6" t="n">
        <f aca="false">ROUND(Veterancy_XP!$B$5*(A773+1)^Veterancy_XP!$B$6,0)</f>
        <v>404</v>
      </c>
      <c r="C773" s="6" t="n">
        <f aca="false">ROUND(1/(A773+1)^Veterancy_XP!$E$6,4)</f>
        <v>0.2475</v>
      </c>
      <c r="D773" s="6" t="n">
        <f aca="false">ROUND(Veterancy_XP!$E$5*C773,1)</f>
        <v>247.5</v>
      </c>
      <c r="E773" s="6" t="n">
        <f aca="false">ROUND(B773/D773,2)</f>
        <v>1.63</v>
      </c>
      <c r="F773" s="6" t="n">
        <f aca="false">ROUND(F772+E773,2)</f>
        <v>888.21</v>
      </c>
    </row>
    <row r="774" customFormat="false" ht="15" hidden="false" customHeight="true" outlineLevel="0" collapsed="false">
      <c r="A774" s="6" t="n">
        <v>772</v>
      </c>
      <c r="B774" s="6" t="n">
        <f aca="false">ROUND(Veterancy_XP!$B$5*(A774+1)^Veterancy_XP!$B$6,0)</f>
        <v>404</v>
      </c>
      <c r="C774" s="6" t="n">
        <f aca="false">ROUND(1/(A774+1)^Veterancy_XP!$E$6,4)</f>
        <v>0.2474</v>
      </c>
      <c r="D774" s="6" t="n">
        <f aca="false">ROUND(Veterancy_XP!$E$5*C774,1)</f>
        <v>247.4</v>
      </c>
      <c r="E774" s="6" t="n">
        <f aca="false">ROUND(B774/D774,2)</f>
        <v>1.63</v>
      </c>
      <c r="F774" s="6" t="n">
        <f aca="false">ROUND(F773+E774,2)</f>
        <v>889.84</v>
      </c>
    </row>
    <row r="775" customFormat="false" ht="15" hidden="false" customHeight="true" outlineLevel="0" collapsed="false">
      <c r="A775" s="6" t="n">
        <v>773</v>
      </c>
      <c r="B775" s="6" t="n">
        <f aca="false">ROUND(Veterancy_XP!$B$5*(A775+1)^Veterancy_XP!$B$6,0)</f>
        <v>404</v>
      </c>
      <c r="C775" s="6" t="n">
        <f aca="false">ROUND(1/(A775+1)^Veterancy_XP!$E$6,4)</f>
        <v>0.2474</v>
      </c>
      <c r="D775" s="6" t="n">
        <f aca="false">ROUND(Veterancy_XP!$E$5*C775,1)</f>
        <v>247.4</v>
      </c>
      <c r="E775" s="6" t="n">
        <f aca="false">ROUND(B775/D775,2)</f>
        <v>1.63</v>
      </c>
      <c r="F775" s="6" t="n">
        <f aca="false">ROUND(F774+E775,2)</f>
        <v>891.47</v>
      </c>
    </row>
    <row r="776" customFormat="false" ht="15" hidden="false" customHeight="true" outlineLevel="0" collapsed="false">
      <c r="A776" s="6" t="n">
        <v>774</v>
      </c>
      <c r="B776" s="6" t="n">
        <f aca="false">ROUND(Veterancy_XP!$B$5*(A776+1)^Veterancy_XP!$B$6,0)</f>
        <v>404</v>
      </c>
      <c r="C776" s="6" t="n">
        <f aca="false">ROUND(1/(A776+1)^Veterancy_XP!$E$6,4)</f>
        <v>0.2473</v>
      </c>
      <c r="D776" s="6" t="n">
        <f aca="false">ROUND(Veterancy_XP!$E$5*C776,1)</f>
        <v>247.3</v>
      </c>
      <c r="E776" s="6" t="n">
        <f aca="false">ROUND(B776/D776,2)</f>
        <v>1.63</v>
      </c>
      <c r="F776" s="6" t="n">
        <f aca="false">ROUND(F775+E776,2)</f>
        <v>893.1</v>
      </c>
    </row>
    <row r="777" customFormat="false" ht="15" hidden="false" customHeight="true" outlineLevel="0" collapsed="false">
      <c r="A777" s="6" t="n">
        <v>775</v>
      </c>
      <c r="B777" s="6" t="n">
        <f aca="false">ROUND(Veterancy_XP!$B$5*(A777+1)^Veterancy_XP!$B$6,0)</f>
        <v>404</v>
      </c>
      <c r="C777" s="6" t="n">
        <f aca="false">ROUND(1/(A777+1)^Veterancy_XP!$E$6,4)</f>
        <v>0.2472</v>
      </c>
      <c r="D777" s="6" t="n">
        <f aca="false">ROUND(Veterancy_XP!$E$5*C777,1)</f>
        <v>247.2</v>
      </c>
      <c r="E777" s="6" t="n">
        <f aca="false">ROUND(B777/D777,2)</f>
        <v>1.63</v>
      </c>
      <c r="F777" s="6" t="n">
        <f aca="false">ROUND(F776+E777,2)</f>
        <v>894.73</v>
      </c>
    </row>
    <row r="778" customFormat="false" ht="15" hidden="false" customHeight="true" outlineLevel="0" collapsed="false">
      <c r="A778" s="6" t="n">
        <v>776</v>
      </c>
      <c r="B778" s="6" t="n">
        <f aca="false">ROUND(Veterancy_XP!$B$5*(A778+1)^Veterancy_XP!$B$6,0)</f>
        <v>405</v>
      </c>
      <c r="C778" s="6" t="n">
        <f aca="false">ROUND(1/(A778+1)^Veterancy_XP!$E$6,4)</f>
        <v>0.2472</v>
      </c>
      <c r="D778" s="6" t="n">
        <f aca="false">ROUND(Veterancy_XP!$E$5*C778,1)</f>
        <v>247.2</v>
      </c>
      <c r="E778" s="6" t="n">
        <f aca="false">ROUND(B778/D778,2)</f>
        <v>1.64</v>
      </c>
      <c r="F778" s="6" t="n">
        <f aca="false">ROUND(F777+E778,2)</f>
        <v>896.37</v>
      </c>
    </row>
    <row r="779" customFormat="false" ht="15" hidden="false" customHeight="true" outlineLevel="0" collapsed="false">
      <c r="A779" s="6" t="n">
        <v>777</v>
      </c>
      <c r="B779" s="6" t="n">
        <f aca="false">ROUND(Veterancy_XP!$B$5*(A779+1)^Veterancy_XP!$B$6,0)</f>
        <v>405</v>
      </c>
      <c r="C779" s="6" t="n">
        <f aca="false">ROUND(1/(A779+1)^Veterancy_XP!$E$6,4)</f>
        <v>0.2471</v>
      </c>
      <c r="D779" s="6" t="n">
        <f aca="false">ROUND(Veterancy_XP!$E$5*C779,1)</f>
        <v>247.1</v>
      </c>
      <c r="E779" s="6" t="n">
        <f aca="false">ROUND(B779/D779,2)</f>
        <v>1.64</v>
      </c>
      <c r="F779" s="6" t="n">
        <f aca="false">ROUND(F778+E779,2)</f>
        <v>898.01</v>
      </c>
    </row>
    <row r="780" customFormat="false" ht="15" hidden="false" customHeight="true" outlineLevel="0" collapsed="false">
      <c r="A780" s="6" t="n">
        <v>778</v>
      </c>
      <c r="B780" s="6" t="n">
        <f aca="false">ROUND(Veterancy_XP!$B$5*(A780+1)^Veterancy_XP!$B$6,0)</f>
        <v>405</v>
      </c>
      <c r="C780" s="6" t="n">
        <f aca="false">ROUND(1/(A780+1)^Veterancy_XP!$E$6,4)</f>
        <v>0.247</v>
      </c>
      <c r="D780" s="6" t="n">
        <f aca="false">ROUND(Veterancy_XP!$E$5*C780,1)</f>
        <v>247</v>
      </c>
      <c r="E780" s="6" t="n">
        <f aca="false">ROUND(B780/D780,2)</f>
        <v>1.64</v>
      </c>
      <c r="F780" s="6" t="n">
        <f aca="false">ROUND(F779+E780,2)</f>
        <v>899.65</v>
      </c>
    </row>
    <row r="781" customFormat="false" ht="15" hidden="false" customHeight="true" outlineLevel="0" collapsed="false">
      <c r="A781" s="6" t="n">
        <v>779</v>
      </c>
      <c r="B781" s="6" t="n">
        <f aca="false">ROUND(Veterancy_XP!$B$5*(A781+1)^Veterancy_XP!$B$6,0)</f>
        <v>405</v>
      </c>
      <c r="C781" s="6" t="n">
        <f aca="false">ROUND(1/(A781+1)^Veterancy_XP!$E$6,4)</f>
        <v>0.247</v>
      </c>
      <c r="D781" s="6" t="n">
        <f aca="false">ROUND(Veterancy_XP!$E$5*C781,1)</f>
        <v>247</v>
      </c>
      <c r="E781" s="6" t="n">
        <f aca="false">ROUND(B781/D781,2)</f>
        <v>1.64</v>
      </c>
      <c r="F781" s="6" t="n">
        <f aca="false">ROUND(F780+E781,2)</f>
        <v>901.29</v>
      </c>
    </row>
    <row r="782" customFormat="false" ht="15" hidden="false" customHeight="true" outlineLevel="0" collapsed="false">
      <c r="A782" s="6" t="n">
        <v>780</v>
      </c>
      <c r="B782" s="6" t="n">
        <f aca="false">ROUND(Veterancy_XP!$B$5*(A782+1)^Veterancy_XP!$B$6,0)</f>
        <v>405</v>
      </c>
      <c r="C782" s="6" t="n">
        <f aca="false">ROUND(1/(A782+1)^Veterancy_XP!$E$6,4)</f>
        <v>0.2469</v>
      </c>
      <c r="D782" s="6" t="n">
        <f aca="false">ROUND(Veterancy_XP!$E$5*C782,1)</f>
        <v>246.9</v>
      </c>
      <c r="E782" s="6" t="n">
        <f aca="false">ROUND(B782/D782,2)</f>
        <v>1.64</v>
      </c>
      <c r="F782" s="6" t="n">
        <f aca="false">ROUND(F781+E782,2)</f>
        <v>902.93</v>
      </c>
    </row>
    <row r="783" customFormat="false" ht="15" hidden="false" customHeight="true" outlineLevel="0" collapsed="false">
      <c r="A783" s="6" t="n">
        <v>781</v>
      </c>
      <c r="B783" s="6" t="n">
        <f aca="false">ROUND(Veterancy_XP!$B$5*(A783+1)^Veterancy_XP!$B$6,0)</f>
        <v>405</v>
      </c>
      <c r="C783" s="6" t="n">
        <f aca="false">ROUND(1/(A783+1)^Veterancy_XP!$E$6,4)</f>
        <v>0.2468</v>
      </c>
      <c r="D783" s="6" t="n">
        <f aca="false">ROUND(Veterancy_XP!$E$5*C783,1)</f>
        <v>246.8</v>
      </c>
      <c r="E783" s="6" t="n">
        <f aca="false">ROUND(B783/D783,2)</f>
        <v>1.64</v>
      </c>
      <c r="F783" s="6" t="n">
        <f aca="false">ROUND(F782+E783,2)</f>
        <v>904.57</v>
      </c>
    </row>
    <row r="784" customFormat="false" ht="15" hidden="false" customHeight="true" outlineLevel="0" collapsed="false">
      <c r="A784" s="6" t="n">
        <v>782</v>
      </c>
      <c r="B784" s="6" t="n">
        <f aca="false">ROUND(Veterancy_XP!$B$5*(A784+1)^Veterancy_XP!$B$6,0)</f>
        <v>405</v>
      </c>
      <c r="C784" s="6" t="n">
        <f aca="false">ROUND(1/(A784+1)^Veterancy_XP!$E$6,4)</f>
        <v>0.2468</v>
      </c>
      <c r="D784" s="6" t="n">
        <f aca="false">ROUND(Veterancy_XP!$E$5*C784,1)</f>
        <v>246.8</v>
      </c>
      <c r="E784" s="6" t="n">
        <f aca="false">ROUND(B784/D784,2)</f>
        <v>1.64</v>
      </c>
      <c r="F784" s="6" t="n">
        <f aca="false">ROUND(F783+E784,2)</f>
        <v>906.21</v>
      </c>
    </row>
    <row r="785" customFormat="false" ht="15" hidden="false" customHeight="true" outlineLevel="0" collapsed="false">
      <c r="A785" s="6" t="n">
        <v>783</v>
      </c>
      <c r="B785" s="6" t="n">
        <f aca="false">ROUND(Veterancy_XP!$B$5*(A785+1)^Veterancy_XP!$B$6,0)</f>
        <v>405</v>
      </c>
      <c r="C785" s="6" t="n">
        <f aca="false">ROUND(1/(A785+1)^Veterancy_XP!$E$6,4)</f>
        <v>0.2467</v>
      </c>
      <c r="D785" s="6" t="n">
        <f aca="false">ROUND(Veterancy_XP!$E$5*C785,1)</f>
        <v>246.7</v>
      </c>
      <c r="E785" s="6" t="n">
        <f aca="false">ROUND(B785/D785,2)</f>
        <v>1.64</v>
      </c>
      <c r="F785" s="6" t="n">
        <f aca="false">ROUND(F784+E785,2)</f>
        <v>907.85</v>
      </c>
    </row>
    <row r="786" customFormat="false" ht="15" hidden="false" customHeight="true" outlineLevel="0" collapsed="false">
      <c r="A786" s="6" t="n">
        <v>784</v>
      </c>
      <c r="B786" s="6" t="n">
        <f aca="false">ROUND(Veterancy_XP!$B$5*(A786+1)^Veterancy_XP!$B$6,0)</f>
        <v>405</v>
      </c>
      <c r="C786" s="6" t="n">
        <f aca="false">ROUND(1/(A786+1)^Veterancy_XP!$E$6,4)</f>
        <v>0.2466</v>
      </c>
      <c r="D786" s="6" t="n">
        <f aca="false">ROUND(Veterancy_XP!$E$5*C786,1)</f>
        <v>246.6</v>
      </c>
      <c r="E786" s="6" t="n">
        <f aca="false">ROUND(B786/D786,2)</f>
        <v>1.64</v>
      </c>
      <c r="F786" s="6" t="n">
        <f aca="false">ROUND(F785+E786,2)</f>
        <v>909.49</v>
      </c>
    </row>
    <row r="787" customFormat="false" ht="15" hidden="false" customHeight="true" outlineLevel="0" collapsed="false">
      <c r="A787" s="6" t="n">
        <v>785</v>
      </c>
      <c r="B787" s="6" t="n">
        <f aca="false">ROUND(Veterancy_XP!$B$5*(A787+1)^Veterancy_XP!$B$6,0)</f>
        <v>406</v>
      </c>
      <c r="C787" s="6" t="n">
        <f aca="false">ROUND(1/(A787+1)^Veterancy_XP!$E$6,4)</f>
        <v>0.2466</v>
      </c>
      <c r="D787" s="6" t="n">
        <f aca="false">ROUND(Veterancy_XP!$E$5*C787,1)</f>
        <v>246.6</v>
      </c>
      <c r="E787" s="6" t="n">
        <f aca="false">ROUND(B787/D787,2)</f>
        <v>1.65</v>
      </c>
      <c r="F787" s="6" t="n">
        <f aca="false">ROUND(F786+E787,2)</f>
        <v>911.14</v>
      </c>
    </row>
    <row r="788" customFormat="false" ht="15" hidden="false" customHeight="true" outlineLevel="0" collapsed="false">
      <c r="A788" s="6" t="n">
        <v>786</v>
      </c>
      <c r="B788" s="6" t="n">
        <f aca="false">ROUND(Veterancy_XP!$B$5*(A788+1)^Veterancy_XP!$B$6,0)</f>
        <v>406</v>
      </c>
      <c r="C788" s="6" t="n">
        <f aca="false">ROUND(1/(A788+1)^Veterancy_XP!$E$6,4)</f>
        <v>0.2465</v>
      </c>
      <c r="D788" s="6" t="n">
        <f aca="false">ROUND(Veterancy_XP!$E$5*C788,1)</f>
        <v>246.5</v>
      </c>
      <c r="E788" s="6" t="n">
        <f aca="false">ROUND(B788/D788,2)</f>
        <v>1.65</v>
      </c>
      <c r="F788" s="6" t="n">
        <f aca="false">ROUND(F787+E788,2)</f>
        <v>912.79</v>
      </c>
    </row>
    <row r="789" customFormat="false" ht="15" hidden="false" customHeight="true" outlineLevel="0" collapsed="false">
      <c r="A789" s="6" t="n">
        <v>787</v>
      </c>
      <c r="B789" s="6" t="n">
        <f aca="false">ROUND(Veterancy_XP!$B$5*(A789+1)^Veterancy_XP!$B$6,0)</f>
        <v>406</v>
      </c>
      <c r="C789" s="6" t="n">
        <f aca="false">ROUND(1/(A789+1)^Veterancy_XP!$E$6,4)</f>
        <v>0.2465</v>
      </c>
      <c r="D789" s="6" t="n">
        <f aca="false">ROUND(Veterancy_XP!$E$5*C789,1)</f>
        <v>246.5</v>
      </c>
      <c r="E789" s="6" t="n">
        <f aca="false">ROUND(B789/D789,2)</f>
        <v>1.65</v>
      </c>
      <c r="F789" s="6" t="n">
        <f aca="false">ROUND(F788+E789,2)</f>
        <v>914.44</v>
      </c>
    </row>
    <row r="790" customFormat="false" ht="15" hidden="false" customHeight="true" outlineLevel="0" collapsed="false">
      <c r="A790" s="6" t="n">
        <v>788</v>
      </c>
      <c r="B790" s="6" t="n">
        <f aca="false">ROUND(Veterancy_XP!$B$5*(A790+1)^Veterancy_XP!$B$6,0)</f>
        <v>406</v>
      </c>
      <c r="C790" s="6" t="n">
        <f aca="false">ROUND(1/(A790+1)^Veterancy_XP!$E$6,4)</f>
        <v>0.2464</v>
      </c>
      <c r="D790" s="6" t="n">
        <f aca="false">ROUND(Veterancy_XP!$E$5*C790,1)</f>
        <v>246.4</v>
      </c>
      <c r="E790" s="6" t="n">
        <f aca="false">ROUND(B790/D790,2)</f>
        <v>1.65</v>
      </c>
      <c r="F790" s="6" t="n">
        <f aca="false">ROUND(F789+E790,2)</f>
        <v>916.09</v>
      </c>
    </row>
    <row r="791" customFormat="false" ht="15" hidden="false" customHeight="true" outlineLevel="0" collapsed="false">
      <c r="A791" s="6" t="n">
        <v>789</v>
      </c>
      <c r="B791" s="6" t="n">
        <f aca="false">ROUND(Veterancy_XP!$B$5*(A791+1)^Veterancy_XP!$B$6,0)</f>
        <v>406</v>
      </c>
      <c r="C791" s="6" t="n">
        <f aca="false">ROUND(1/(A791+1)^Veterancy_XP!$E$6,4)</f>
        <v>0.2463</v>
      </c>
      <c r="D791" s="6" t="n">
        <f aca="false">ROUND(Veterancy_XP!$E$5*C791,1)</f>
        <v>246.3</v>
      </c>
      <c r="E791" s="6" t="n">
        <f aca="false">ROUND(B791/D791,2)</f>
        <v>1.65</v>
      </c>
      <c r="F791" s="6" t="n">
        <f aca="false">ROUND(F790+E791,2)</f>
        <v>917.74</v>
      </c>
    </row>
    <row r="792" customFormat="false" ht="15" hidden="false" customHeight="true" outlineLevel="0" collapsed="false">
      <c r="A792" s="6" t="n">
        <v>790</v>
      </c>
      <c r="B792" s="6" t="n">
        <f aca="false">ROUND(Veterancy_XP!$B$5*(A792+1)^Veterancy_XP!$B$6,0)</f>
        <v>406</v>
      </c>
      <c r="C792" s="6" t="n">
        <f aca="false">ROUND(1/(A792+1)^Veterancy_XP!$E$6,4)</f>
        <v>0.2463</v>
      </c>
      <c r="D792" s="6" t="n">
        <f aca="false">ROUND(Veterancy_XP!$E$5*C792,1)</f>
        <v>246.3</v>
      </c>
      <c r="E792" s="6" t="n">
        <f aca="false">ROUND(B792/D792,2)</f>
        <v>1.65</v>
      </c>
      <c r="F792" s="6" t="n">
        <f aca="false">ROUND(F791+E792,2)</f>
        <v>919.39</v>
      </c>
    </row>
    <row r="793" customFormat="false" ht="15" hidden="false" customHeight="true" outlineLevel="0" collapsed="false">
      <c r="A793" s="6" t="n">
        <v>791</v>
      </c>
      <c r="B793" s="6" t="n">
        <f aca="false">ROUND(Veterancy_XP!$B$5*(A793+1)^Veterancy_XP!$B$6,0)</f>
        <v>406</v>
      </c>
      <c r="C793" s="6" t="n">
        <f aca="false">ROUND(1/(A793+1)^Veterancy_XP!$E$6,4)</f>
        <v>0.2462</v>
      </c>
      <c r="D793" s="6" t="n">
        <f aca="false">ROUND(Veterancy_XP!$E$5*C793,1)</f>
        <v>246.2</v>
      </c>
      <c r="E793" s="6" t="n">
        <f aca="false">ROUND(B793/D793,2)</f>
        <v>1.65</v>
      </c>
      <c r="F793" s="6" t="n">
        <f aca="false">ROUND(F792+E793,2)</f>
        <v>921.04</v>
      </c>
    </row>
    <row r="794" customFormat="false" ht="15" hidden="false" customHeight="true" outlineLevel="0" collapsed="false">
      <c r="A794" s="6" t="n">
        <v>792</v>
      </c>
      <c r="B794" s="6" t="n">
        <f aca="false">ROUND(Veterancy_XP!$B$5*(A794+1)^Veterancy_XP!$B$6,0)</f>
        <v>406</v>
      </c>
      <c r="C794" s="6" t="n">
        <f aca="false">ROUND(1/(A794+1)^Veterancy_XP!$E$6,4)</f>
        <v>0.2461</v>
      </c>
      <c r="D794" s="6" t="n">
        <f aca="false">ROUND(Veterancy_XP!$E$5*C794,1)</f>
        <v>246.1</v>
      </c>
      <c r="E794" s="6" t="n">
        <f aca="false">ROUND(B794/D794,2)</f>
        <v>1.65</v>
      </c>
      <c r="F794" s="6" t="n">
        <f aca="false">ROUND(F793+E794,2)</f>
        <v>922.69</v>
      </c>
    </row>
    <row r="795" customFormat="false" ht="15" hidden="false" customHeight="true" outlineLevel="0" collapsed="false">
      <c r="A795" s="6" t="n">
        <v>793</v>
      </c>
      <c r="B795" s="6" t="n">
        <f aca="false">ROUND(Veterancy_XP!$B$5*(A795+1)^Veterancy_XP!$B$6,0)</f>
        <v>406</v>
      </c>
      <c r="C795" s="6" t="n">
        <f aca="false">ROUND(1/(A795+1)^Veterancy_XP!$E$6,4)</f>
        <v>0.2461</v>
      </c>
      <c r="D795" s="6" t="n">
        <f aca="false">ROUND(Veterancy_XP!$E$5*C795,1)</f>
        <v>246.1</v>
      </c>
      <c r="E795" s="6" t="n">
        <f aca="false">ROUND(B795/D795,2)</f>
        <v>1.65</v>
      </c>
      <c r="F795" s="6" t="n">
        <f aca="false">ROUND(F794+E795,2)</f>
        <v>924.34</v>
      </c>
    </row>
    <row r="796" customFormat="false" ht="15" hidden="false" customHeight="true" outlineLevel="0" collapsed="false">
      <c r="A796" s="6" t="n">
        <v>794</v>
      </c>
      <c r="B796" s="6" t="n">
        <f aca="false">ROUND(Veterancy_XP!$B$5*(A796+1)^Veterancy_XP!$B$6,0)</f>
        <v>407</v>
      </c>
      <c r="C796" s="6" t="n">
        <f aca="false">ROUND(1/(A796+1)^Veterancy_XP!$E$6,4)</f>
        <v>0.246</v>
      </c>
      <c r="D796" s="6" t="n">
        <f aca="false">ROUND(Veterancy_XP!$E$5*C796,1)</f>
        <v>246</v>
      </c>
      <c r="E796" s="6" t="n">
        <f aca="false">ROUND(B796/D796,2)</f>
        <v>1.65</v>
      </c>
      <c r="F796" s="6" t="n">
        <f aca="false">ROUND(F795+E796,2)</f>
        <v>925.99</v>
      </c>
    </row>
    <row r="797" customFormat="false" ht="15" hidden="false" customHeight="true" outlineLevel="0" collapsed="false">
      <c r="A797" s="6" t="n">
        <v>795</v>
      </c>
      <c r="B797" s="6" t="n">
        <f aca="false">ROUND(Veterancy_XP!$B$5*(A797+1)^Veterancy_XP!$B$6,0)</f>
        <v>407</v>
      </c>
      <c r="C797" s="6" t="n">
        <f aca="false">ROUND(1/(A797+1)^Veterancy_XP!$E$6,4)</f>
        <v>0.2459</v>
      </c>
      <c r="D797" s="6" t="n">
        <f aca="false">ROUND(Veterancy_XP!$E$5*C797,1)</f>
        <v>245.9</v>
      </c>
      <c r="E797" s="6" t="n">
        <f aca="false">ROUND(B797/D797,2)</f>
        <v>1.66</v>
      </c>
      <c r="F797" s="6" t="n">
        <f aca="false">ROUND(F796+E797,2)</f>
        <v>927.65</v>
      </c>
    </row>
    <row r="798" customFormat="false" ht="15" hidden="false" customHeight="true" outlineLevel="0" collapsed="false">
      <c r="A798" s="6" t="n">
        <v>796</v>
      </c>
      <c r="B798" s="6" t="n">
        <f aca="false">ROUND(Veterancy_XP!$B$5*(A798+1)^Veterancy_XP!$B$6,0)</f>
        <v>407</v>
      </c>
      <c r="C798" s="6" t="n">
        <f aca="false">ROUND(1/(A798+1)^Veterancy_XP!$E$6,4)</f>
        <v>0.2459</v>
      </c>
      <c r="D798" s="6" t="n">
        <f aca="false">ROUND(Veterancy_XP!$E$5*C798,1)</f>
        <v>245.9</v>
      </c>
      <c r="E798" s="6" t="n">
        <f aca="false">ROUND(B798/D798,2)</f>
        <v>1.66</v>
      </c>
      <c r="F798" s="6" t="n">
        <f aca="false">ROUND(F797+E798,2)</f>
        <v>929.31</v>
      </c>
    </row>
    <row r="799" customFormat="false" ht="15" hidden="false" customHeight="true" outlineLevel="0" collapsed="false">
      <c r="A799" s="6" t="n">
        <v>797</v>
      </c>
      <c r="B799" s="6" t="n">
        <f aca="false">ROUND(Veterancy_XP!$B$5*(A799+1)^Veterancy_XP!$B$6,0)</f>
        <v>407</v>
      </c>
      <c r="C799" s="6" t="n">
        <f aca="false">ROUND(1/(A799+1)^Veterancy_XP!$E$6,4)</f>
        <v>0.2458</v>
      </c>
      <c r="D799" s="6" t="n">
        <f aca="false">ROUND(Veterancy_XP!$E$5*C799,1)</f>
        <v>245.8</v>
      </c>
      <c r="E799" s="6" t="n">
        <f aca="false">ROUND(B799/D799,2)</f>
        <v>1.66</v>
      </c>
      <c r="F799" s="6" t="n">
        <f aca="false">ROUND(F798+E799,2)</f>
        <v>930.97</v>
      </c>
    </row>
    <row r="800" customFormat="false" ht="15" hidden="false" customHeight="true" outlineLevel="0" collapsed="false">
      <c r="A800" s="6" t="n">
        <v>798</v>
      </c>
      <c r="B800" s="6" t="n">
        <f aca="false">ROUND(Veterancy_XP!$B$5*(A800+1)^Veterancy_XP!$B$6,0)</f>
        <v>407</v>
      </c>
      <c r="C800" s="6" t="n">
        <f aca="false">ROUND(1/(A800+1)^Veterancy_XP!$E$6,4)</f>
        <v>0.2457</v>
      </c>
      <c r="D800" s="6" t="n">
        <f aca="false">ROUND(Veterancy_XP!$E$5*C800,1)</f>
        <v>245.7</v>
      </c>
      <c r="E800" s="6" t="n">
        <f aca="false">ROUND(B800/D800,2)</f>
        <v>1.66</v>
      </c>
      <c r="F800" s="6" t="n">
        <f aca="false">ROUND(F799+E800,2)</f>
        <v>932.63</v>
      </c>
    </row>
    <row r="801" customFormat="false" ht="15" hidden="false" customHeight="true" outlineLevel="0" collapsed="false">
      <c r="A801" s="6" t="n">
        <v>799</v>
      </c>
      <c r="B801" s="6" t="n">
        <f aca="false">ROUND(Veterancy_XP!$B$5*(A801+1)^Veterancy_XP!$B$6,0)</f>
        <v>407</v>
      </c>
      <c r="C801" s="6" t="n">
        <f aca="false">ROUND(1/(A801+1)^Veterancy_XP!$E$6,4)</f>
        <v>0.2457</v>
      </c>
      <c r="D801" s="6" t="n">
        <f aca="false">ROUND(Veterancy_XP!$E$5*C801,1)</f>
        <v>245.7</v>
      </c>
      <c r="E801" s="6" t="n">
        <f aca="false">ROUND(B801/D801,2)</f>
        <v>1.66</v>
      </c>
      <c r="F801" s="6" t="n">
        <f aca="false">ROUND(F800+E801,2)</f>
        <v>934.29</v>
      </c>
    </row>
    <row r="802" customFormat="false" ht="15" hidden="false" customHeight="true" outlineLevel="0" collapsed="false">
      <c r="A802" s="6" t="n">
        <v>800</v>
      </c>
      <c r="B802" s="6" t="n">
        <f aca="false">ROUND(Veterancy_XP!$B$5*(A802+1)^Veterancy_XP!$B$6,0)</f>
        <v>407</v>
      </c>
      <c r="C802" s="6" t="n">
        <f aca="false">ROUND(1/(A802+1)^Veterancy_XP!$E$6,4)</f>
        <v>0.2456</v>
      </c>
      <c r="D802" s="6" t="n">
        <f aca="false">ROUND(Veterancy_XP!$E$5*C802,1)</f>
        <v>245.6</v>
      </c>
      <c r="E802" s="6" t="n">
        <f aca="false">ROUND(B802/D802,2)</f>
        <v>1.66</v>
      </c>
      <c r="F802" s="6" t="n">
        <f aca="false">ROUND(F801+E802,2)</f>
        <v>935.95</v>
      </c>
    </row>
    <row r="803" customFormat="false" ht="15" hidden="false" customHeight="true" outlineLevel="0" collapsed="false">
      <c r="A803" s="6" t="n">
        <v>801</v>
      </c>
      <c r="B803" s="6" t="n">
        <f aca="false">ROUND(Veterancy_XP!$B$5*(A803+1)^Veterancy_XP!$B$6,0)</f>
        <v>407</v>
      </c>
      <c r="C803" s="6" t="n">
        <f aca="false">ROUND(1/(A803+1)^Veterancy_XP!$E$6,4)</f>
        <v>0.2455</v>
      </c>
      <c r="D803" s="6" t="n">
        <f aca="false">ROUND(Veterancy_XP!$E$5*C803,1)</f>
        <v>245.5</v>
      </c>
      <c r="E803" s="6" t="n">
        <f aca="false">ROUND(B803/D803,2)</f>
        <v>1.66</v>
      </c>
      <c r="F803" s="6" t="n">
        <f aca="false">ROUND(F802+E803,2)</f>
        <v>937.61</v>
      </c>
    </row>
    <row r="804" customFormat="false" ht="15" hidden="false" customHeight="true" outlineLevel="0" collapsed="false">
      <c r="A804" s="6" t="n">
        <v>802</v>
      </c>
      <c r="B804" s="6" t="n">
        <f aca="false">ROUND(Veterancy_XP!$B$5*(A804+1)^Veterancy_XP!$B$6,0)</f>
        <v>407</v>
      </c>
      <c r="C804" s="6" t="n">
        <f aca="false">ROUND(1/(A804+1)^Veterancy_XP!$E$6,4)</f>
        <v>0.2455</v>
      </c>
      <c r="D804" s="6" t="n">
        <f aca="false">ROUND(Veterancy_XP!$E$5*C804,1)</f>
        <v>245.5</v>
      </c>
      <c r="E804" s="6" t="n">
        <f aca="false">ROUND(B804/D804,2)</f>
        <v>1.66</v>
      </c>
      <c r="F804" s="6" t="n">
        <f aca="false">ROUND(F803+E804,2)</f>
        <v>939.27</v>
      </c>
    </row>
    <row r="805" customFormat="false" ht="15" hidden="false" customHeight="true" outlineLevel="0" collapsed="false">
      <c r="A805" s="6" t="n">
        <v>803</v>
      </c>
      <c r="B805" s="6" t="n">
        <f aca="false">ROUND(Veterancy_XP!$B$5*(A805+1)^Veterancy_XP!$B$6,0)</f>
        <v>407</v>
      </c>
      <c r="C805" s="6" t="n">
        <f aca="false">ROUND(1/(A805+1)^Veterancy_XP!$E$6,4)</f>
        <v>0.2454</v>
      </c>
      <c r="D805" s="6" t="n">
        <f aca="false">ROUND(Veterancy_XP!$E$5*C805,1)</f>
        <v>245.4</v>
      </c>
      <c r="E805" s="6" t="n">
        <f aca="false">ROUND(B805/D805,2)</f>
        <v>1.66</v>
      </c>
      <c r="F805" s="6" t="n">
        <f aca="false">ROUND(F804+E805,2)</f>
        <v>940.93</v>
      </c>
    </row>
    <row r="806" customFormat="false" ht="15" hidden="false" customHeight="true" outlineLevel="0" collapsed="false">
      <c r="A806" s="6" t="n">
        <v>804</v>
      </c>
      <c r="B806" s="6" t="n">
        <f aca="false">ROUND(Veterancy_XP!$B$5*(A806+1)^Veterancy_XP!$B$6,0)</f>
        <v>408</v>
      </c>
      <c r="C806" s="6" t="n">
        <f aca="false">ROUND(1/(A806+1)^Veterancy_XP!$E$6,4)</f>
        <v>0.2453</v>
      </c>
      <c r="D806" s="6" t="n">
        <f aca="false">ROUND(Veterancy_XP!$E$5*C806,1)</f>
        <v>245.3</v>
      </c>
      <c r="E806" s="6" t="n">
        <f aca="false">ROUND(B806/D806,2)</f>
        <v>1.66</v>
      </c>
      <c r="F806" s="6" t="n">
        <f aca="false">ROUND(F805+E806,2)</f>
        <v>942.59</v>
      </c>
    </row>
    <row r="807" customFormat="false" ht="15" hidden="false" customHeight="true" outlineLevel="0" collapsed="false">
      <c r="A807" s="6" t="n">
        <v>805</v>
      </c>
      <c r="B807" s="6" t="n">
        <f aca="false">ROUND(Veterancy_XP!$B$5*(A807+1)^Veterancy_XP!$B$6,0)</f>
        <v>408</v>
      </c>
      <c r="C807" s="6" t="n">
        <f aca="false">ROUND(1/(A807+1)^Veterancy_XP!$E$6,4)</f>
        <v>0.2453</v>
      </c>
      <c r="D807" s="6" t="n">
        <f aca="false">ROUND(Veterancy_XP!$E$5*C807,1)</f>
        <v>245.3</v>
      </c>
      <c r="E807" s="6" t="n">
        <f aca="false">ROUND(B807/D807,2)</f>
        <v>1.66</v>
      </c>
      <c r="F807" s="6" t="n">
        <f aca="false">ROUND(F806+E807,2)</f>
        <v>944.25</v>
      </c>
    </row>
    <row r="808" customFormat="false" ht="15" hidden="false" customHeight="true" outlineLevel="0" collapsed="false">
      <c r="A808" s="6" t="n">
        <v>806</v>
      </c>
      <c r="B808" s="6" t="n">
        <f aca="false">ROUND(Veterancy_XP!$B$5*(A808+1)^Veterancy_XP!$B$6,0)</f>
        <v>408</v>
      </c>
      <c r="C808" s="6" t="n">
        <f aca="false">ROUND(1/(A808+1)^Veterancy_XP!$E$6,4)</f>
        <v>0.2452</v>
      </c>
      <c r="D808" s="6" t="n">
        <f aca="false">ROUND(Veterancy_XP!$E$5*C808,1)</f>
        <v>245.2</v>
      </c>
      <c r="E808" s="6" t="n">
        <f aca="false">ROUND(B808/D808,2)</f>
        <v>1.66</v>
      </c>
      <c r="F808" s="6" t="n">
        <f aca="false">ROUND(F807+E808,2)</f>
        <v>945.91</v>
      </c>
    </row>
    <row r="809" customFormat="false" ht="15" hidden="false" customHeight="true" outlineLevel="0" collapsed="false">
      <c r="A809" s="6" t="n">
        <v>807</v>
      </c>
      <c r="B809" s="6" t="n">
        <f aca="false">ROUND(Veterancy_XP!$B$5*(A809+1)^Veterancy_XP!$B$6,0)</f>
        <v>408</v>
      </c>
      <c r="C809" s="6" t="n">
        <f aca="false">ROUND(1/(A809+1)^Veterancy_XP!$E$6,4)</f>
        <v>0.2452</v>
      </c>
      <c r="D809" s="6" t="n">
        <f aca="false">ROUND(Veterancy_XP!$E$5*C809,1)</f>
        <v>245.2</v>
      </c>
      <c r="E809" s="6" t="n">
        <f aca="false">ROUND(B809/D809,2)</f>
        <v>1.66</v>
      </c>
      <c r="F809" s="6" t="n">
        <f aca="false">ROUND(F808+E809,2)</f>
        <v>947.57</v>
      </c>
    </row>
    <row r="810" customFormat="false" ht="15" hidden="false" customHeight="true" outlineLevel="0" collapsed="false">
      <c r="A810" s="6" t="n">
        <v>808</v>
      </c>
      <c r="B810" s="6" t="n">
        <f aca="false">ROUND(Veterancy_XP!$B$5*(A810+1)^Veterancy_XP!$B$6,0)</f>
        <v>408</v>
      </c>
      <c r="C810" s="6" t="n">
        <f aca="false">ROUND(1/(A810+1)^Veterancy_XP!$E$6,4)</f>
        <v>0.2451</v>
      </c>
      <c r="D810" s="6" t="n">
        <f aca="false">ROUND(Veterancy_XP!$E$5*C810,1)</f>
        <v>245.1</v>
      </c>
      <c r="E810" s="6" t="n">
        <f aca="false">ROUND(B810/D810,2)</f>
        <v>1.66</v>
      </c>
      <c r="F810" s="6" t="n">
        <f aca="false">ROUND(F809+E810,2)</f>
        <v>949.23</v>
      </c>
    </row>
    <row r="811" customFormat="false" ht="15" hidden="false" customHeight="true" outlineLevel="0" collapsed="false">
      <c r="A811" s="6" t="n">
        <v>809</v>
      </c>
      <c r="B811" s="6" t="n">
        <f aca="false">ROUND(Veterancy_XP!$B$5*(A811+1)^Veterancy_XP!$B$6,0)</f>
        <v>408</v>
      </c>
      <c r="C811" s="6" t="n">
        <f aca="false">ROUND(1/(A811+1)^Veterancy_XP!$E$6,4)</f>
        <v>0.245</v>
      </c>
      <c r="D811" s="6" t="n">
        <f aca="false">ROUND(Veterancy_XP!$E$5*C811,1)</f>
        <v>245</v>
      </c>
      <c r="E811" s="6" t="n">
        <f aca="false">ROUND(B811/D811,2)</f>
        <v>1.67</v>
      </c>
      <c r="F811" s="6" t="n">
        <f aca="false">ROUND(F810+E811,2)</f>
        <v>950.9</v>
      </c>
    </row>
    <row r="812" customFormat="false" ht="15" hidden="false" customHeight="true" outlineLevel="0" collapsed="false">
      <c r="A812" s="6" t="n">
        <v>810</v>
      </c>
      <c r="B812" s="6" t="n">
        <f aca="false">ROUND(Veterancy_XP!$B$5*(A812+1)^Veterancy_XP!$B$6,0)</f>
        <v>408</v>
      </c>
      <c r="C812" s="6" t="n">
        <f aca="false">ROUND(1/(A812+1)^Veterancy_XP!$E$6,4)</f>
        <v>0.245</v>
      </c>
      <c r="D812" s="6" t="n">
        <f aca="false">ROUND(Veterancy_XP!$E$5*C812,1)</f>
        <v>245</v>
      </c>
      <c r="E812" s="6" t="n">
        <f aca="false">ROUND(B812/D812,2)</f>
        <v>1.67</v>
      </c>
      <c r="F812" s="6" t="n">
        <f aca="false">ROUND(F811+E812,2)</f>
        <v>952.57</v>
      </c>
    </row>
    <row r="813" customFormat="false" ht="15" hidden="false" customHeight="true" outlineLevel="0" collapsed="false">
      <c r="A813" s="6" t="n">
        <v>811</v>
      </c>
      <c r="B813" s="6" t="n">
        <f aca="false">ROUND(Veterancy_XP!$B$5*(A813+1)^Veterancy_XP!$B$6,0)</f>
        <v>408</v>
      </c>
      <c r="C813" s="6" t="n">
        <f aca="false">ROUND(1/(A813+1)^Veterancy_XP!$E$6,4)</f>
        <v>0.2449</v>
      </c>
      <c r="D813" s="6" t="n">
        <f aca="false">ROUND(Veterancy_XP!$E$5*C813,1)</f>
        <v>244.9</v>
      </c>
      <c r="E813" s="6" t="n">
        <f aca="false">ROUND(B813/D813,2)</f>
        <v>1.67</v>
      </c>
      <c r="F813" s="6" t="n">
        <f aca="false">ROUND(F812+E813,2)</f>
        <v>954.24</v>
      </c>
    </row>
    <row r="814" customFormat="false" ht="15" hidden="false" customHeight="true" outlineLevel="0" collapsed="false">
      <c r="A814" s="6" t="n">
        <v>812</v>
      </c>
      <c r="B814" s="6" t="n">
        <f aca="false">ROUND(Veterancy_XP!$B$5*(A814+1)^Veterancy_XP!$B$6,0)</f>
        <v>408</v>
      </c>
      <c r="C814" s="6" t="n">
        <f aca="false">ROUND(1/(A814+1)^Veterancy_XP!$E$6,4)</f>
        <v>0.2448</v>
      </c>
      <c r="D814" s="6" t="n">
        <f aca="false">ROUND(Veterancy_XP!$E$5*C814,1)</f>
        <v>244.8</v>
      </c>
      <c r="E814" s="6" t="n">
        <f aca="false">ROUND(B814/D814,2)</f>
        <v>1.67</v>
      </c>
      <c r="F814" s="6" t="n">
        <f aca="false">ROUND(F813+E814,2)</f>
        <v>955.91</v>
      </c>
    </row>
    <row r="815" customFormat="false" ht="15" hidden="false" customHeight="true" outlineLevel="0" collapsed="false">
      <c r="A815" s="6" t="n">
        <v>813</v>
      </c>
      <c r="B815" s="6" t="n">
        <f aca="false">ROUND(Veterancy_XP!$B$5*(A815+1)^Veterancy_XP!$B$6,0)</f>
        <v>409</v>
      </c>
      <c r="C815" s="6" t="n">
        <f aca="false">ROUND(1/(A815+1)^Veterancy_XP!$E$6,4)</f>
        <v>0.2448</v>
      </c>
      <c r="D815" s="6" t="n">
        <f aca="false">ROUND(Veterancy_XP!$E$5*C815,1)</f>
        <v>244.8</v>
      </c>
      <c r="E815" s="6" t="n">
        <f aca="false">ROUND(B815/D815,2)</f>
        <v>1.67</v>
      </c>
      <c r="F815" s="6" t="n">
        <f aca="false">ROUND(F814+E815,2)</f>
        <v>957.58</v>
      </c>
    </row>
    <row r="816" customFormat="false" ht="15" hidden="false" customHeight="true" outlineLevel="0" collapsed="false">
      <c r="A816" s="6" t="n">
        <v>814</v>
      </c>
      <c r="B816" s="6" t="n">
        <f aca="false">ROUND(Veterancy_XP!$B$5*(A816+1)^Veterancy_XP!$B$6,0)</f>
        <v>409</v>
      </c>
      <c r="C816" s="6" t="n">
        <f aca="false">ROUND(1/(A816+1)^Veterancy_XP!$E$6,4)</f>
        <v>0.2447</v>
      </c>
      <c r="D816" s="6" t="n">
        <f aca="false">ROUND(Veterancy_XP!$E$5*C816,1)</f>
        <v>244.7</v>
      </c>
      <c r="E816" s="6" t="n">
        <f aca="false">ROUND(B816/D816,2)</f>
        <v>1.67</v>
      </c>
      <c r="F816" s="6" t="n">
        <f aca="false">ROUND(F815+E816,2)</f>
        <v>959.25</v>
      </c>
    </row>
    <row r="817" customFormat="false" ht="15" hidden="false" customHeight="true" outlineLevel="0" collapsed="false">
      <c r="A817" s="6" t="n">
        <v>815</v>
      </c>
      <c r="B817" s="6" t="n">
        <f aca="false">ROUND(Veterancy_XP!$B$5*(A817+1)^Veterancy_XP!$B$6,0)</f>
        <v>409</v>
      </c>
      <c r="C817" s="6" t="n">
        <f aca="false">ROUND(1/(A817+1)^Veterancy_XP!$E$6,4)</f>
        <v>0.2446</v>
      </c>
      <c r="D817" s="6" t="n">
        <f aca="false">ROUND(Veterancy_XP!$E$5*C817,1)</f>
        <v>244.6</v>
      </c>
      <c r="E817" s="6" t="n">
        <f aca="false">ROUND(B817/D817,2)</f>
        <v>1.67</v>
      </c>
      <c r="F817" s="6" t="n">
        <f aca="false">ROUND(F816+E817,2)</f>
        <v>960.92</v>
      </c>
    </row>
    <row r="818" customFormat="false" ht="15" hidden="false" customHeight="true" outlineLevel="0" collapsed="false">
      <c r="A818" s="6" t="n">
        <v>816</v>
      </c>
      <c r="B818" s="6" t="n">
        <f aca="false">ROUND(Veterancy_XP!$B$5*(A818+1)^Veterancy_XP!$B$6,0)</f>
        <v>409</v>
      </c>
      <c r="C818" s="6" t="n">
        <f aca="false">ROUND(1/(A818+1)^Veterancy_XP!$E$6,4)</f>
        <v>0.2446</v>
      </c>
      <c r="D818" s="6" t="n">
        <f aca="false">ROUND(Veterancy_XP!$E$5*C818,1)</f>
        <v>244.6</v>
      </c>
      <c r="E818" s="6" t="n">
        <f aca="false">ROUND(B818/D818,2)</f>
        <v>1.67</v>
      </c>
      <c r="F818" s="6" t="n">
        <f aca="false">ROUND(F817+E818,2)</f>
        <v>962.59</v>
      </c>
    </row>
    <row r="819" customFormat="false" ht="15" hidden="false" customHeight="true" outlineLevel="0" collapsed="false">
      <c r="A819" s="6" t="n">
        <v>817</v>
      </c>
      <c r="B819" s="6" t="n">
        <f aca="false">ROUND(Veterancy_XP!$B$5*(A819+1)^Veterancy_XP!$B$6,0)</f>
        <v>409</v>
      </c>
      <c r="C819" s="6" t="n">
        <f aca="false">ROUND(1/(A819+1)^Veterancy_XP!$E$6,4)</f>
        <v>0.2445</v>
      </c>
      <c r="D819" s="6" t="n">
        <f aca="false">ROUND(Veterancy_XP!$E$5*C819,1)</f>
        <v>244.5</v>
      </c>
      <c r="E819" s="6" t="n">
        <f aca="false">ROUND(B819/D819,2)</f>
        <v>1.67</v>
      </c>
      <c r="F819" s="6" t="n">
        <f aca="false">ROUND(F818+E819,2)</f>
        <v>964.26</v>
      </c>
    </row>
    <row r="820" customFormat="false" ht="15" hidden="false" customHeight="true" outlineLevel="0" collapsed="false">
      <c r="A820" s="6" t="n">
        <v>818</v>
      </c>
      <c r="B820" s="6" t="n">
        <f aca="false">ROUND(Veterancy_XP!$B$5*(A820+1)^Veterancy_XP!$B$6,0)</f>
        <v>409</v>
      </c>
      <c r="C820" s="6" t="n">
        <f aca="false">ROUND(1/(A820+1)^Veterancy_XP!$E$6,4)</f>
        <v>0.2445</v>
      </c>
      <c r="D820" s="6" t="n">
        <f aca="false">ROUND(Veterancy_XP!$E$5*C820,1)</f>
        <v>244.5</v>
      </c>
      <c r="E820" s="6" t="n">
        <f aca="false">ROUND(B820/D820,2)</f>
        <v>1.67</v>
      </c>
      <c r="F820" s="6" t="n">
        <f aca="false">ROUND(F819+E820,2)</f>
        <v>965.93</v>
      </c>
    </row>
    <row r="821" customFormat="false" ht="15" hidden="false" customHeight="true" outlineLevel="0" collapsed="false">
      <c r="A821" s="6" t="n">
        <v>819</v>
      </c>
      <c r="B821" s="6" t="n">
        <f aca="false">ROUND(Veterancy_XP!$B$5*(A821+1)^Veterancy_XP!$B$6,0)</f>
        <v>409</v>
      </c>
      <c r="C821" s="6" t="n">
        <f aca="false">ROUND(1/(A821+1)^Veterancy_XP!$E$6,4)</f>
        <v>0.2444</v>
      </c>
      <c r="D821" s="6" t="n">
        <f aca="false">ROUND(Veterancy_XP!$E$5*C821,1)</f>
        <v>244.4</v>
      </c>
      <c r="E821" s="6" t="n">
        <f aca="false">ROUND(B821/D821,2)</f>
        <v>1.67</v>
      </c>
      <c r="F821" s="6" t="n">
        <f aca="false">ROUND(F820+E821,2)</f>
        <v>967.6</v>
      </c>
    </row>
    <row r="822" customFormat="false" ht="15" hidden="false" customHeight="true" outlineLevel="0" collapsed="false">
      <c r="A822" s="6" t="n">
        <v>820</v>
      </c>
      <c r="B822" s="6" t="n">
        <f aca="false">ROUND(Veterancy_XP!$B$5*(A822+1)^Veterancy_XP!$B$6,0)</f>
        <v>409</v>
      </c>
      <c r="C822" s="6" t="n">
        <f aca="false">ROUND(1/(A822+1)^Veterancy_XP!$E$6,4)</f>
        <v>0.2443</v>
      </c>
      <c r="D822" s="6" t="n">
        <f aca="false">ROUND(Veterancy_XP!$E$5*C822,1)</f>
        <v>244.3</v>
      </c>
      <c r="E822" s="6" t="n">
        <f aca="false">ROUND(B822/D822,2)</f>
        <v>1.67</v>
      </c>
      <c r="F822" s="6" t="n">
        <f aca="false">ROUND(F821+E822,2)</f>
        <v>969.27</v>
      </c>
    </row>
    <row r="823" customFormat="false" ht="15" hidden="false" customHeight="true" outlineLevel="0" collapsed="false">
      <c r="A823" s="6" t="n">
        <v>821</v>
      </c>
      <c r="B823" s="6" t="n">
        <f aca="false">ROUND(Veterancy_XP!$B$5*(A823+1)^Veterancy_XP!$B$6,0)</f>
        <v>409</v>
      </c>
      <c r="C823" s="6" t="n">
        <f aca="false">ROUND(1/(A823+1)^Veterancy_XP!$E$6,4)</f>
        <v>0.2443</v>
      </c>
      <c r="D823" s="6" t="n">
        <f aca="false">ROUND(Veterancy_XP!$E$5*C823,1)</f>
        <v>244.3</v>
      </c>
      <c r="E823" s="6" t="n">
        <f aca="false">ROUND(B823/D823,2)</f>
        <v>1.67</v>
      </c>
      <c r="F823" s="6" t="n">
        <f aca="false">ROUND(F822+E823,2)</f>
        <v>970.94</v>
      </c>
    </row>
    <row r="824" customFormat="false" ht="15" hidden="false" customHeight="true" outlineLevel="0" collapsed="false">
      <c r="A824" s="6" t="n">
        <v>822</v>
      </c>
      <c r="B824" s="6" t="n">
        <f aca="false">ROUND(Veterancy_XP!$B$5*(A824+1)^Veterancy_XP!$B$6,0)</f>
        <v>409</v>
      </c>
      <c r="C824" s="6" t="n">
        <f aca="false">ROUND(1/(A824+1)^Veterancy_XP!$E$6,4)</f>
        <v>0.2442</v>
      </c>
      <c r="D824" s="6" t="n">
        <f aca="false">ROUND(Veterancy_XP!$E$5*C824,1)</f>
        <v>244.2</v>
      </c>
      <c r="E824" s="6" t="n">
        <f aca="false">ROUND(B824/D824,2)</f>
        <v>1.67</v>
      </c>
      <c r="F824" s="6" t="n">
        <f aca="false">ROUND(F823+E824,2)</f>
        <v>972.61</v>
      </c>
    </row>
    <row r="825" customFormat="false" ht="15" hidden="false" customHeight="true" outlineLevel="0" collapsed="false">
      <c r="A825" s="6" t="n">
        <v>823</v>
      </c>
      <c r="B825" s="6" t="n">
        <f aca="false">ROUND(Veterancy_XP!$B$5*(A825+1)^Veterancy_XP!$B$6,0)</f>
        <v>410</v>
      </c>
      <c r="C825" s="6" t="n">
        <f aca="false">ROUND(1/(A825+1)^Veterancy_XP!$E$6,4)</f>
        <v>0.2441</v>
      </c>
      <c r="D825" s="6" t="n">
        <f aca="false">ROUND(Veterancy_XP!$E$5*C825,1)</f>
        <v>244.1</v>
      </c>
      <c r="E825" s="6" t="n">
        <f aca="false">ROUND(B825/D825,2)</f>
        <v>1.68</v>
      </c>
      <c r="F825" s="6" t="n">
        <f aca="false">ROUND(F824+E825,2)</f>
        <v>974.29</v>
      </c>
    </row>
    <row r="826" customFormat="false" ht="15" hidden="false" customHeight="true" outlineLevel="0" collapsed="false">
      <c r="A826" s="6" t="n">
        <v>824</v>
      </c>
      <c r="B826" s="6" t="n">
        <f aca="false">ROUND(Veterancy_XP!$B$5*(A826+1)^Veterancy_XP!$B$6,0)</f>
        <v>410</v>
      </c>
      <c r="C826" s="6" t="n">
        <f aca="false">ROUND(1/(A826+1)^Veterancy_XP!$E$6,4)</f>
        <v>0.2441</v>
      </c>
      <c r="D826" s="6" t="n">
        <f aca="false">ROUND(Veterancy_XP!$E$5*C826,1)</f>
        <v>244.1</v>
      </c>
      <c r="E826" s="6" t="n">
        <f aca="false">ROUND(B826/D826,2)</f>
        <v>1.68</v>
      </c>
      <c r="F826" s="6" t="n">
        <f aca="false">ROUND(F825+E826,2)</f>
        <v>975.97</v>
      </c>
    </row>
    <row r="827" customFormat="false" ht="15" hidden="false" customHeight="true" outlineLevel="0" collapsed="false">
      <c r="A827" s="6" t="n">
        <v>825</v>
      </c>
      <c r="B827" s="6" t="n">
        <f aca="false">ROUND(Veterancy_XP!$B$5*(A827+1)^Veterancy_XP!$B$6,0)</f>
        <v>410</v>
      </c>
      <c r="C827" s="6" t="n">
        <f aca="false">ROUND(1/(A827+1)^Veterancy_XP!$E$6,4)</f>
        <v>0.244</v>
      </c>
      <c r="D827" s="6" t="n">
        <f aca="false">ROUND(Veterancy_XP!$E$5*C827,1)</f>
        <v>244</v>
      </c>
      <c r="E827" s="6" t="n">
        <f aca="false">ROUND(B827/D827,2)</f>
        <v>1.68</v>
      </c>
      <c r="F827" s="6" t="n">
        <f aca="false">ROUND(F826+E827,2)</f>
        <v>977.65</v>
      </c>
    </row>
    <row r="828" customFormat="false" ht="15" hidden="false" customHeight="true" outlineLevel="0" collapsed="false">
      <c r="A828" s="6" t="n">
        <v>826</v>
      </c>
      <c r="B828" s="6" t="n">
        <f aca="false">ROUND(Veterancy_XP!$B$5*(A828+1)^Veterancy_XP!$B$6,0)</f>
        <v>410</v>
      </c>
      <c r="C828" s="6" t="n">
        <f aca="false">ROUND(1/(A828+1)^Veterancy_XP!$E$6,4)</f>
        <v>0.244</v>
      </c>
      <c r="D828" s="6" t="n">
        <f aca="false">ROUND(Veterancy_XP!$E$5*C828,1)</f>
        <v>244</v>
      </c>
      <c r="E828" s="6" t="n">
        <f aca="false">ROUND(B828/D828,2)</f>
        <v>1.68</v>
      </c>
      <c r="F828" s="6" t="n">
        <f aca="false">ROUND(F827+E828,2)</f>
        <v>979.33</v>
      </c>
    </row>
    <row r="829" customFormat="false" ht="15" hidden="false" customHeight="true" outlineLevel="0" collapsed="false">
      <c r="A829" s="6" t="n">
        <v>827</v>
      </c>
      <c r="B829" s="6" t="n">
        <f aca="false">ROUND(Veterancy_XP!$B$5*(A829+1)^Veterancy_XP!$B$6,0)</f>
        <v>410</v>
      </c>
      <c r="C829" s="6" t="n">
        <f aca="false">ROUND(1/(A829+1)^Veterancy_XP!$E$6,4)</f>
        <v>0.2439</v>
      </c>
      <c r="D829" s="6" t="n">
        <f aca="false">ROUND(Veterancy_XP!$E$5*C829,1)</f>
        <v>243.9</v>
      </c>
      <c r="E829" s="6" t="n">
        <f aca="false">ROUND(B829/D829,2)</f>
        <v>1.68</v>
      </c>
      <c r="F829" s="6" t="n">
        <f aca="false">ROUND(F828+E829,2)</f>
        <v>981.01</v>
      </c>
    </row>
    <row r="830" customFormat="false" ht="15" hidden="false" customHeight="true" outlineLevel="0" collapsed="false">
      <c r="A830" s="6" t="n">
        <v>828</v>
      </c>
      <c r="B830" s="6" t="n">
        <f aca="false">ROUND(Veterancy_XP!$B$5*(A830+1)^Veterancy_XP!$B$6,0)</f>
        <v>410</v>
      </c>
      <c r="C830" s="6" t="n">
        <f aca="false">ROUND(1/(A830+1)^Veterancy_XP!$E$6,4)</f>
        <v>0.2438</v>
      </c>
      <c r="D830" s="6" t="n">
        <f aca="false">ROUND(Veterancy_XP!$E$5*C830,1)</f>
        <v>243.8</v>
      </c>
      <c r="E830" s="6" t="n">
        <f aca="false">ROUND(B830/D830,2)</f>
        <v>1.68</v>
      </c>
      <c r="F830" s="6" t="n">
        <f aca="false">ROUND(F829+E830,2)</f>
        <v>982.69</v>
      </c>
    </row>
    <row r="831" customFormat="false" ht="15" hidden="false" customHeight="true" outlineLevel="0" collapsed="false">
      <c r="A831" s="6" t="n">
        <v>829</v>
      </c>
      <c r="B831" s="6" t="n">
        <f aca="false">ROUND(Veterancy_XP!$B$5*(A831+1)^Veterancy_XP!$B$6,0)</f>
        <v>410</v>
      </c>
      <c r="C831" s="6" t="n">
        <f aca="false">ROUND(1/(A831+1)^Veterancy_XP!$E$6,4)</f>
        <v>0.2438</v>
      </c>
      <c r="D831" s="6" t="n">
        <f aca="false">ROUND(Veterancy_XP!$E$5*C831,1)</f>
        <v>243.8</v>
      </c>
      <c r="E831" s="6" t="n">
        <f aca="false">ROUND(B831/D831,2)</f>
        <v>1.68</v>
      </c>
      <c r="F831" s="6" t="n">
        <f aca="false">ROUND(F830+E831,2)</f>
        <v>984.37</v>
      </c>
    </row>
    <row r="832" customFormat="false" ht="15" hidden="false" customHeight="true" outlineLevel="0" collapsed="false">
      <c r="A832" s="6" t="n">
        <v>830</v>
      </c>
      <c r="B832" s="6" t="n">
        <f aca="false">ROUND(Veterancy_XP!$B$5*(A832+1)^Veterancy_XP!$B$6,0)</f>
        <v>410</v>
      </c>
      <c r="C832" s="6" t="n">
        <f aca="false">ROUND(1/(A832+1)^Veterancy_XP!$E$6,4)</f>
        <v>0.2437</v>
      </c>
      <c r="D832" s="6" t="n">
        <f aca="false">ROUND(Veterancy_XP!$E$5*C832,1)</f>
        <v>243.7</v>
      </c>
      <c r="E832" s="6" t="n">
        <f aca="false">ROUND(B832/D832,2)</f>
        <v>1.68</v>
      </c>
      <c r="F832" s="6" t="n">
        <f aca="false">ROUND(F831+E832,2)</f>
        <v>986.05</v>
      </c>
    </row>
    <row r="833" customFormat="false" ht="15" hidden="false" customHeight="true" outlineLevel="0" collapsed="false">
      <c r="A833" s="6" t="n">
        <v>831</v>
      </c>
      <c r="B833" s="6" t="n">
        <f aca="false">ROUND(Veterancy_XP!$B$5*(A833+1)^Veterancy_XP!$B$6,0)</f>
        <v>410</v>
      </c>
      <c r="C833" s="6" t="n">
        <f aca="false">ROUND(1/(A833+1)^Veterancy_XP!$E$6,4)</f>
        <v>0.2437</v>
      </c>
      <c r="D833" s="6" t="n">
        <f aca="false">ROUND(Veterancy_XP!$E$5*C833,1)</f>
        <v>243.7</v>
      </c>
      <c r="E833" s="6" t="n">
        <f aca="false">ROUND(B833/D833,2)</f>
        <v>1.68</v>
      </c>
      <c r="F833" s="6" t="n">
        <f aca="false">ROUND(F832+E833,2)</f>
        <v>987.73</v>
      </c>
    </row>
    <row r="834" customFormat="false" ht="15" hidden="false" customHeight="true" outlineLevel="0" collapsed="false">
      <c r="A834" s="6" t="n">
        <v>832</v>
      </c>
      <c r="B834" s="6" t="n">
        <f aca="false">ROUND(Veterancy_XP!$B$5*(A834+1)^Veterancy_XP!$B$6,0)</f>
        <v>411</v>
      </c>
      <c r="C834" s="6" t="n">
        <f aca="false">ROUND(1/(A834+1)^Veterancy_XP!$E$6,4)</f>
        <v>0.2436</v>
      </c>
      <c r="D834" s="6" t="n">
        <f aca="false">ROUND(Veterancy_XP!$E$5*C834,1)</f>
        <v>243.6</v>
      </c>
      <c r="E834" s="6" t="n">
        <f aca="false">ROUND(B834/D834,2)</f>
        <v>1.69</v>
      </c>
      <c r="F834" s="6" t="n">
        <f aca="false">ROUND(F833+E834,2)</f>
        <v>989.42</v>
      </c>
    </row>
    <row r="835" customFormat="false" ht="15" hidden="false" customHeight="true" outlineLevel="0" collapsed="false">
      <c r="A835" s="6" t="n">
        <v>833</v>
      </c>
      <c r="B835" s="6" t="n">
        <f aca="false">ROUND(Veterancy_XP!$B$5*(A835+1)^Veterancy_XP!$B$6,0)</f>
        <v>411</v>
      </c>
      <c r="C835" s="6" t="n">
        <f aca="false">ROUND(1/(A835+1)^Veterancy_XP!$E$6,4)</f>
        <v>0.2435</v>
      </c>
      <c r="D835" s="6" t="n">
        <f aca="false">ROUND(Veterancy_XP!$E$5*C835,1)</f>
        <v>243.5</v>
      </c>
      <c r="E835" s="6" t="n">
        <f aca="false">ROUND(B835/D835,2)</f>
        <v>1.69</v>
      </c>
      <c r="F835" s="6" t="n">
        <f aca="false">ROUND(F834+E835,2)</f>
        <v>991.11</v>
      </c>
    </row>
    <row r="836" customFormat="false" ht="15" hidden="false" customHeight="true" outlineLevel="0" collapsed="false">
      <c r="A836" s="6" t="n">
        <v>834</v>
      </c>
      <c r="B836" s="6" t="n">
        <f aca="false">ROUND(Veterancy_XP!$B$5*(A836+1)^Veterancy_XP!$B$6,0)</f>
        <v>411</v>
      </c>
      <c r="C836" s="6" t="n">
        <f aca="false">ROUND(1/(A836+1)^Veterancy_XP!$E$6,4)</f>
        <v>0.2435</v>
      </c>
      <c r="D836" s="6" t="n">
        <f aca="false">ROUND(Veterancy_XP!$E$5*C836,1)</f>
        <v>243.5</v>
      </c>
      <c r="E836" s="6" t="n">
        <f aca="false">ROUND(B836/D836,2)</f>
        <v>1.69</v>
      </c>
      <c r="F836" s="6" t="n">
        <f aca="false">ROUND(F835+E836,2)</f>
        <v>992.8</v>
      </c>
    </row>
    <row r="837" customFormat="false" ht="15" hidden="false" customHeight="true" outlineLevel="0" collapsed="false">
      <c r="A837" s="6" t="n">
        <v>835</v>
      </c>
      <c r="B837" s="6" t="n">
        <f aca="false">ROUND(Veterancy_XP!$B$5*(A837+1)^Veterancy_XP!$B$6,0)</f>
        <v>411</v>
      </c>
      <c r="C837" s="6" t="n">
        <f aca="false">ROUND(1/(A837+1)^Veterancy_XP!$E$6,4)</f>
        <v>0.2434</v>
      </c>
      <c r="D837" s="6" t="n">
        <f aca="false">ROUND(Veterancy_XP!$E$5*C837,1)</f>
        <v>243.4</v>
      </c>
      <c r="E837" s="6" t="n">
        <f aca="false">ROUND(B837/D837,2)</f>
        <v>1.69</v>
      </c>
      <c r="F837" s="6" t="n">
        <f aca="false">ROUND(F836+E837,2)</f>
        <v>994.49</v>
      </c>
    </row>
    <row r="838" customFormat="false" ht="15" hidden="false" customHeight="true" outlineLevel="0" collapsed="false">
      <c r="A838" s="6" t="n">
        <v>836</v>
      </c>
      <c r="B838" s="6" t="n">
        <f aca="false">ROUND(Veterancy_XP!$B$5*(A838+1)^Veterancy_XP!$B$6,0)</f>
        <v>411</v>
      </c>
      <c r="C838" s="6" t="n">
        <f aca="false">ROUND(1/(A838+1)^Veterancy_XP!$E$6,4)</f>
        <v>0.2433</v>
      </c>
      <c r="D838" s="6" t="n">
        <f aca="false">ROUND(Veterancy_XP!$E$5*C838,1)</f>
        <v>243.3</v>
      </c>
      <c r="E838" s="6" t="n">
        <f aca="false">ROUND(B838/D838,2)</f>
        <v>1.69</v>
      </c>
      <c r="F838" s="6" t="n">
        <f aca="false">ROUND(F837+E838,2)</f>
        <v>996.18</v>
      </c>
    </row>
    <row r="839" customFormat="false" ht="15" hidden="false" customHeight="true" outlineLevel="0" collapsed="false">
      <c r="A839" s="6" t="n">
        <v>837</v>
      </c>
      <c r="B839" s="6" t="n">
        <f aca="false">ROUND(Veterancy_XP!$B$5*(A839+1)^Veterancy_XP!$B$6,0)</f>
        <v>411</v>
      </c>
      <c r="C839" s="6" t="n">
        <f aca="false">ROUND(1/(A839+1)^Veterancy_XP!$E$6,4)</f>
        <v>0.2433</v>
      </c>
      <c r="D839" s="6" t="n">
        <f aca="false">ROUND(Veterancy_XP!$E$5*C839,1)</f>
        <v>243.3</v>
      </c>
      <c r="E839" s="6" t="n">
        <f aca="false">ROUND(B839/D839,2)</f>
        <v>1.69</v>
      </c>
      <c r="F839" s="6" t="n">
        <f aca="false">ROUND(F838+E839,2)</f>
        <v>997.87</v>
      </c>
    </row>
    <row r="840" customFormat="false" ht="15" hidden="false" customHeight="true" outlineLevel="0" collapsed="false">
      <c r="A840" s="6" t="n">
        <v>838</v>
      </c>
      <c r="B840" s="6" t="n">
        <f aca="false">ROUND(Veterancy_XP!$B$5*(A840+1)^Veterancy_XP!$B$6,0)</f>
        <v>411</v>
      </c>
      <c r="C840" s="6" t="n">
        <f aca="false">ROUND(1/(A840+1)^Veterancy_XP!$E$6,4)</f>
        <v>0.2432</v>
      </c>
      <c r="D840" s="6" t="n">
        <f aca="false">ROUND(Veterancy_XP!$E$5*C840,1)</f>
        <v>243.2</v>
      </c>
      <c r="E840" s="6" t="n">
        <f aca="false">ROUND(B840/D840,2)</f>
        <v>1.69</v>
      </c>
      <c r="F840" s="6" t="n">
        <f aca="false">ROUND(F839+E840,2)</f>
        <v>999.56</v>
      </c>
    </row>
    <row r="841" customFormat="false" ht="15" hidden="false" customHeight="true" outlineLevel="0" collapsed="false">
      <c r="A841" s="6" t="n">
        <v>839</v>
      </c>
      <c r="B841" s="6" t="n">
        <f aca="false">ROUND(Veterancy_XP!$B$5*(A841+1)^Veterancy_XP!$B$6,0)</f>
        <v>411</v>
      </c>
      <c r="C841" s="6" t="n">
        <f aca="false">ROUND(1/(A841+1)^Veterancy_XP!$E$6,4)</f>
        <v>0.2432</v>
      </c>
      <c r="D841" s="6" t="n">
        <f aca="false">ROUND(Veterancy_XP!$E$5*C841,1)</f>
        <v>243.2</v>
      </c>
      <c r="E841" s="6" t="n">
        <f aca="false">ROUND(B841/D841,2)</f>
        <v>1.69</v>
      </c>
      <c r="F841" s="6" t="n">
        <f aca="false">ROUND(F840+E841,2)</f>
        <v>1001.25</v>
      </c>
    </row>
    <row r="842" customFormat="false" ht="15" hidden="false" customHeight="true" outlineLevel="0" collapsed="false">
      <c r="A842" s="6" t="n">
        <v>840</v>
      </c>
      <c r="B842" s="6" t="n">
        <f aca="false">ROUND(Veterancy_XP!$B$5*(A842+1)^Veterancy_XP!$B$6,0)</f>
        <v>411</v>
      </c>
      <c r="C842" s="6" t="n">
        <f aca="false">ROUND(1/(A842+1)^Veterancy_XP!$E$6,4)</f>
        <v>0.2431</v>
      </c>
      <c r="D842" s="6" t="n">
        <f aca="false">ROUND(Veterancy_XP!$E$5*C842,1)</f>
        <v>243.1</v>
      </c>
      <c r="E842" s="6" t="n">
        <f aca="false">ROUND(B842/D842,2)</f>
        <v>1.69</v>
      </c>
      <c r="F842" s="6" t="n">
        <f aca="false">ROUND(F841+E842,2)</f>
        <v>1002.94</v>
      </c>
    </row>
    <row r="843" customFormat="false" ht="15" hidden="false" customHeight="true" outlineLevel="0" collapsed="false">
      <c r="A843" s="6" t="n">
        <v>841</v>
      </c>
      <c r="B843" s="6" t="n">
        <f aca="false">ROUND(Veterancy_XP!$B$5*(A843+1)^Veterancy_XP!$B$6,0)</f>
        <v>411</v>
      </c>
      <c r="C843" s="6" t="n">
        <f aca="false">ROUND(1/(A843+1)^Veterancy_XP!$E$6,4)</f>
        <v>0.243</v>
      </c>
      <c r="D843" s="6" t="n">
        <f aca="false">ROUND(Veterancy_XP!$E$5*C843,1)</f>
        <v>243</v>
      </c>
      <c r="E843" s="6" t="n">
        <f aca="false">ROUND(B843/D843,2)</f>
        <v>1.69</v>
      </c>
      <c r="F843" s="6" t="n">
        <f aca="false">ROUND(F842+E843,2)</f>
        <v>1004.63</v>
      </c>
    </row>
    <row r="844" customFormat="false" ht="15" hidden="false" customHeight="true" outlineLevel="0" collapsed="false">
      <c r="A844" s="6" t="n">
        <v>842</v>
      </c>
      <c r="B844" s="6" t="n">
        <f aca="false">ROUND(Veterancy_XP!$B$5*(A844+1)^Veterancy_XP!$B$6,0)</f>
        <v>412</v>
      </c>
      <c r="C844" s="6" t="n">
        <f aca="false">ROUND(1/(A844+1)^Veterancy_XP!$E$6,4)</f>
        <v>0.243</v>
      </c>
      <c r="D844" s="6" t="n">
        <f aca="false">ROUND(Veterancy_XP!$E$5*C844,1)</f>
        <v>243</v>
      </c>
      <c r="E844" s="6" t="n">
        <f aca="false">ROUND(B844/D844,2)</f>
        <v>1.7</v>
      </c>
      <c r="F844" s="6" t="n">
        <f aca="false">ROUND(F843+E844,2)</f>
        <v>1006.33</v>
      </c>
    </row>
    <row r="845" customFormat="false" ht="15" hidden="false" customHeight="true" outlineLevel="0" collapsed="false">
      <c r="A845" s="6" t="n">
        <v>843</v>
      </c>
      <c r="B845" s="6" t="n">
        <f aca="false">ROUND(Veterancy_XP!$B$5*(A845+1)^Veterancy_XP!$B$6,0)</f>
        <v>412</v>
      </c>
      <c r="C845" s="6" t="n">
        <f aca="false">ROUND(1/(A845+1)^Veterancy_XP!$E$6,4)</f>
        <v>0.2429</v>
      </c>
      <c r="D845" s="6" t="n">
        <f aca="false">ROUND(Veterancy_XP!$E$5*C845,1)</f>
        <v>242.9</v>
      </c>
      <c r="E845" s="6" t="n">
        <f aca="false">ROUND(B845/D845,2)</f>
        <v>1.7</v>
      </c>
      <c r="F845" s="6" t="n">
        <f aca="false">ROUND(F844+E845,2)</f>
        <v>1008.03</v>
      </c>
    </row>
    <row r="846" customFormat="false" ht="15" hidden="false" customHeight="true" outlineLevel="0" collapsed="false">
      <c r="A846" s="6" t="n">
        <v>844</v>
      </c>
      <c r="B846" s="6" t="n">
        <f aca="false">ROUND(Veterancy_XP!$B$5*(A846+1)^Veterancy_XP!$B$6,0)</f>
        <v>412</v>
      </c>
      <c r="C846" s="6" t="n">
        <f aca="false">ROUND(1/(A846+1)^Veterancy_XP!$E$6,4)</f>
        <v>0.2429</v>
      </c>
      <c r="D846" s="6" t="n">
        <f aca="false">ROUND(Veterancy_XP!$E$5*C846,1)</f>
        <v>242.9</v>
      </c>
      <c r="E846" s="6" t="n">
        <f aca="false">ROUND(B846/D846,2)</f>
        <v>1.7</v>
      </c>
      <c r="F846" s="6" t="n">
        <f aca="false">ROUND(F845+E846,2)</f>
        <v>1009.73</v>
      </c>
    </row>
    <row r="847" customFormat="false" ht="15" hidden="false" customHeight="true" outlineLevel="0" collapsed="false">
      <c r="A847" s="6" t="n">
        <v>845</v>
      </c>
      <c r="B847" s="6" t="n">
        <f aca="false">ROUND(Veterancy_XP!$B$5*(A847+1)^Veterancy_XP!$B$6,0)</f>
        <v>412</v>
      </c>
      <c r="C847" s="6" t="n">
        <f aca="false">ROUND(1/(A847+1)^Veterancy_XP!$E$6,4)</f>
        <v>0.2428</v>
      </c>
      <c r="D847" s="6" t="n">
        <f aca="false">ROUND(Veterancy_XP!$E$5*C847,1)</f>
        <v>242.8</v>
      </c>
      <c r="E847" s="6" t="n">
        <f aca="false">ROUND(B847/D847,2)</f>
        <v>1.7</v>
      </c>
      <c r="F847" s="6" t="n">
        <f aca="false">ROUND(F846+E847,2)</f>
        <v>1011.43</v>
      </c>
    </row>
    <row r="848" customFormat="false" ht="15" hidden="false" customHeight="true" outlineLevel="0" collapsed="false">
      <c r="A848" s="6" t="n">
        <v>846</v>
      </c>
      <c r="B848" s="6" t="n">
        <f aca="false">ROUND(Veterancy_XP!$B$5*(A848+1)^Veterancy_XP!$B$6,0)</f>
        <v>412</v>
      </c>
      <c r="C848" s="6" t="n">
        <f aca="false">ROUND(1/(A848+1)^Veterancy_XP!$E$6,4)</f>
        <v>0.2427</v>
      </c>
      <c r="D848" s="6" t="n">
        <f aca="false">ROUND(Veterancy_XP!$E$5*C848,1)</f>
        <v>242.7</v>
      </c>
      <c r="E848" s="6" t="n">
        <f aca="false">ROUND(B848/D848,2)</f>
        <v>1.7</v>
      </c>
      <c r="F848" s="6" t="n">
        <f aca="false">ROUND(F847+E848,2)</f>
        <v>1013.13</v>
      </c>
    </row>
    <row r="849" customFormat="false" ht="15" hidden="false" customHeight="true" outlineLevel="0" collapsed="false">
      <c r="A849" s="6" t="n">
        <v>847</v>
      </c>
      <c r="B849" s="6" t="n">
        <f aca="false">ROUND(Veterancy_XP!$B$5*(A849+1)^Veterancy_XP!$B$6,0)</f>
        <v>412</v>
      </c>
      <c r="C849" s="6" t="n">
        <f aca="false">ROUND(1/(A849+1)^Veterancy_XP!$E$6,4)</f>
        <v>0.2427</v>
      </c>
      <c r="D849" s="6" t="n">
        <f aca="false">ROUND(Veterancy_XP!$E$5*C849,1)</f>
        <v>242.7</v>
      </c>
      <c r="E849" s="6" t="n">
        <f aca="false">ROUND(B849/D849,2)</f>
        <v>1.7</v>
      </c>
      <c r="F849" s="6" t="n">
        <f aca="false">ROUND(F848+E849,2)</f>
        <v>1014.83</v>
      </c>
    </row>
    <row r="850" customFormat="false" ht="15" hidden="false" customHeight="true" outlineLevel="0" collapsed="false">
      <c r="A850" s="6" t="n">
        <v>848</v>
      </c>
      <c r="B850" s="6" t="n">
        <f aca="false">ROUND(Veterancy_XP!$B$5*(A850+1)^Veterancy_XP!$B$6,0)</f>
        <v>412</v>
      </c>
      <c r="C850" s="6" t="n">
        <f aca="false">ROUND(1/(A850+1)^Veterancy_XP!$E$6,4)</f>
        <v>0.2426</v>
      </c>
      <c r="D850" s="6" t="n">
        <f aca="false">ROUND(Veterancy_XP!$E$5*C850,1)</f>
        <v>242.6</v>
      </c>
      <c r="E850" s="6" t="n">
        <f aca="false">ROUND(B850/D850,2)</f>
        <v>1.7</v>
      </c>
      <c r="F850" s="6" t="n">
        <f aca="false">ROUND(F849+E850,2)</f>
        <v>1016.53</v>
      </c>
    </row>
    <row r="851" customFormat="false" ht="15" hidden="false" customHeight="true" outlineLevel="0" collapsed="false">
      <c r="A851" s="6" t="n">
        <v>849</v>
      </c>
      <c r="B851" s="6" t="n">
        <f aca="false">ROUND(Veterancy_XP!$B$5*(A851+1)^Veterancy_XP!$B$6,0)</f>
        <v>412</v>
      </c>
      <c r="C851" s="6" t="n">
        <f aca="false">ROUND(1/(A851+1)^Veterancy_XP!$E$6,4)</f>
        <v>0.2426</v>
      </c>
      <c r="D851" s="6" t="n">
        <f aca="false">ROUND(Veterancy_XP!$E$5*C851,1)</f>
        <v>242.6</v>
      </c>
      <c r="E851" s="6" t="n">
        <f aca="false">ROUND(B851/D851,2)</f>
        <v>1.7</v>
      </c>
      <c r="F851" s="6" t="n">
        <f aca="false">ROUND(F850+E851,2)</f>
        <v>1018.23</v>
      </c>
    </row>
    <row r="852" customFormat="false" ht="15" hidden="false" customHeight="true" outlineLevel="0" collapsed="false">
      <c r="A852" s="6" t="n">
        <v>850</v>
      </c>
      <c r="B852" s="6" t="n">
        <f aca="false">ROUND(Veterancy_XP!$B$5*(A852+1)^Veterancy_XP!$B$6,0)</f>
        <v>412</v>
      </c>
      <c r="C852" s="6" t="n">
        <f aca="false">ROUND(1/(A852+1)^Veterancy_XP!$E$6,4)</f>
        <v>0.2425</v>
      </c>
      <c r="D852" s="6" t="n">
        <f aca="false">ROUND(Veterancy_XP!$E$5*C852,1)</f>
        <v>242.5</v>
      </c>
      <c r="E852" s="6" t="n">
        <f aca="false">ROUND(B852/D852,2)</f>
        <v>1.7</v>
      </c>
      <c r="F852" s="6" t="n">
        <f aca="false">ROUND(F851+E852,2)</f>
        <v>1019.93</v>
      </c>
    </row>
    <row r="853" customFormat="false" ht="15" hidden="false" customHeight="true" outlineLevel="0" collapsed="false">
      <c r="A853" s="6" t="n">
        <v>851</v>
      </c>
      <c r="B853" s="6" t="n">
        <f aca="false">ROUND(Veterancy_XP!$B$5*(A853+1)^Veterancy_XP!$B$6,0)</f>
        <v>412</v>
      </c>
      <c r="C853" s="6" t="n">
        <f aca="false">ROUND(1/(A853+1)^Veterancy_XP!$E$6,4)</f>
        <v>0.2424</v>
      </c>
      <c r="D853" s="6" t="n">
        <f aca="false">ROUND(Veterancy_XP!$E$5*C853,1)</f>
        <v>242.4</v>
      </c>
      <c r="E853" s="6" t="n">
        <f aca="false">ROUND(B853/D853,2)</f>
        <v>1.7</v>
      </c>
      <c r="F853" s="6" t="n">
        <f aca="false">ROUND(F852+E853,2)</f>
        <v>1021.63</v>
      </c>
    </row>
    <row r="854" customFormat="false" ht="15" hidden="false" customHeight="true" outlineLevel="0" collapsed="false">
      <c r="A854" s="6" t="n">
        <v>852</v>
      </c>
      <c r="B854" s="6" t="n">
        <f aca="false">ROUND(Veterancy_XP!$B$5*(A854+1)^Veterancy_XP!$B$6,0)</f>
        <v>413</v>
      </c>
      <c r="C854" s="6" t="n">
        <f aca="false">ROUND(1/(A854+1)^Veterancy_XP!$E$6,4)</f>
        <v>0.2424</v>
      </c>
      <c r="D854" s="6" t="n">
        <f aca="false">ROUND(Veterancy_XP!$E$5*C854,1)</f>
        <v>242.4</v>
      </c>
      <c r="E854" s="6" t="n">
        <f aca="false">ROUND(B854/D854,2)</f>
        <v>1.7</v>
      </c>
      <c r="F854" s="6" t="n">
        <f aca="false">ROUND(F853+E854,2)</f>
        <v>1023.33</v>
      </c>
    </row>
    <row r="855" customFormat="false" ht="15" hidden="false" customHeight="true" outlineLevel="0" collapsed="false">
      <c r="A855" s="6" t="n">
        <v>853</v>
      </c>
      <c r="B855" s="6" t="n">
        <f aca="false">ROUND(Veterancy_XP!$B$5*(A855+1)^Veterancy_XP!$B$6,0)</f>
        <v>413</v>
      </c>
      <c r="C855" s="6" t="n">
        <f aca="false">ROUND(1/(A855+1)^Veterancy_XP!$E$6,4)</f>
        <v>0.2423</v>
      </c>
      <c r="D855" s="6" t="n">
        <f aca="false">ROUND(Veterancy_XP!$E$5*C855,1)</f>
        <v>242.3</v>
      </c>
      <c r="E855" s="6" t="n">
        <f aca="false">ROUND(B855/D855,2)</f>
        <v>1.7</v>
      </c>
      <c r="F855" s="6" t="n">
        <f aca="false">ROUND(F854+E855,2)</f>
        <v>1025.03</v>
      </c>
    </row>
    <row r="856" customFormat="false" ht="15" hidden="false" customHeight="true" outlineLevel="0" collapsed="false">
      <c r="A856" s="6" t="n">
        <v>854</v>
      </c>
      <c r="B856" s="6" t="n">
        <f aca="false">ROUND(Veterancy_XP!$B$5*(A856+1)^Veterancy_XP!$B$6,0)</f>
        <v>413</v>
      </c>
      <c r="C856" s="6" t="n">
        <f aca="false">ROUND(1/(A856+1)^Veterancy_XP!$E$6,4)</f>
        <v>0.2423</v>
      </c>
      <c r="D856" s="6" t="n">
        <f aca="false">ROUND(Veterancy_XP!$E$5*C856,1)</f>
        <v>242.3</v>
      </c>
      <c r="E856" s="6" t="n">
        <f aca="false">ROUND(B856/D856,2)</f>
        <v>1.7</v>
      </c>
      <c r="F856" s="6" t="n">
        <f aca="false">ROUND(F855+E856,2)</f>
        <v>1026.73</v>
      </c>
    </row>
    <row r="857" customFormat="false" ht="15" hidden="false" customHeight="true" outlineLevel="0" collapsed="false">
      <c r="A857" s="6" t="n">
        <v>855</v>
      </c>
      <c r="B857" s="6" t="n">
        <f aca="false">ROUND(Veterancy_XP!$B$5*(A857+1)^Veterancy_XP!$B$6,0)</f>
        <v>413</v>
      </c>
      <c r="C857" s="6" t="n">
        <f aca="false">ROUND(1/(A857+1)^Veterancy_XP!$E$6,4)</f>
        <v>0.2422</v>
      </c>
      <c r="D857" s="6" t="n">
        <f aca="false">ROUND(Veterancy_XP!$E$5*C857,1)</f>
        <v>242.2</v>
      </c>
      <c r="E857" s="6" t="n">
        <f aca="false">ROUND(B857/D857,2)</f>
        <v>1.71</v>
      </c>
      <c r="F857" s="6" t="n">
        <f aca="false">ROUND(F856+E857,2)</f>
        <v>1028.44</v>
      </c>
    </row>
    <row r="858" customFormat="false" ht="15" hidden="false" customHeight="true" outlineLevel="0" collapsed="false">
      <c r="A858" s="6" t="n">
        <v>856</v>
      </c>
      <c r="B858" s="6" t="n">
        <f aca="false">ROUND(Veterancy_XP!$B$5*(A858+1)^Veterancy_XP!$B$6,0)</f>
        <v>413</v>
      </c>
      <c r="C858" s="6" t="n">
        <f aca="false">ROUND(1/(A858+1)^Veterancy_XP!$E$6,4)</f>
        <v>0.2421</v>
      </c>
      <c r="D858" s="6" t="n">
        <f aca="false">ROUND(Veterancy_XP!$E$5*C858,1)</f>
        <v>242.1</v>
      </c>
      <c r="E858" s="6" t="n">
        <f aca="false">ROUND(B858/D858,2)</f>
        <v>1.71</v>
      </c>
      <c r="F858" s="6" t="n">
        <f aca="false">ROUND(F857+E858,2)</f>
        <v>1030.15</v>
      </c>
    </row>
    <row r="859" customFormat="false" ht="15" hidden="false" customHeight="true" outlineLevel="0" collapsed="false">
      <c r="A859" s="6" t="n">
        <v>857</v>
      </c>
      <c r="B859" s="6" t="n">
        <f aca="false">ROUND(Veterancy_XP!$B$5*(A859+1)^Veterancy_XP!$B$6,0)</f>
        <v>413</v>
      </c>
      <c r="C859" s="6" t="n">
        <f aca="false">ROUND(1/(A859+1)^Veterancy_XP!$E$6,4)</f>
        <v>0.2421</v>
      </c>
      <c r="D859" s="6" t="n">
        <f aca="false">ROUND(Veterancy_XP!$E$5*C859,1)</f>
        <v>242.1</v>
      </c>
      <c r="E859" s="6" t="n">
        <f aca="false">ROUND(B859/D859,2)</f>
        <v>1.71</v>
      </c>
      <c r="F859" s="6" t="n">
        <f aca="false">ROUND(F858+E859,2)</f>
        <v>1031.86</v>
      </c>
    </row>
    <row r="860" customFormat="false" ht="15" hidden="false" customHeight="true" outlineLevel="0" collapsed="false">
      <c r="A860" s="6" t="n">
        <v>858</v>
      </c>
      <c r="B860" s="6" t="n">
        <f aca="false">ROUND(Veterancy_XP!$B$5*(A860+1)^Veterancy_XP!$B$6,0)</f>
        <v>413</v>
      </c>
      <c r="C860" s="6" t="n">
        <f aca="false">ROUND(1/(A860+1)^Veterancy_XP!$E$6,4)</f>
        <v>0.242</v>
      </c>
      <c r="D860" s="6" t="n">
        <f aca="false">ROUND(Veterancy_XP!$E$5*C860,1)</f>
        <v>242</v>
      </c>
      <c r="E860" s="6" t="n">
        <f aca="false">ROUND(B860/D860,2)</f>
        <v>1.71</v>
      </c>
      <c r="F860" s="6" t="n">
        <f aca="false">ROUND(F859+E860,2)</f>
        <v>1033.57</v>
      </c>
    </row>
    <row r="861" customFormat="false" ht="15" hidden="false" customHeight="true" outlineLevel="0" collapsed="false">
      <c r="A861" s="6" t="n">
        <v>859</v>
      </c>
      <c r="B861" s="6" t="n">
        <f aca="false">ROUND(Veterancy_XP!$B$5*(A861+1)^Veterancy_XP!$B$6,0)</f>
        <v>413</v>
      </c>
      <c r="C861" s="6" t="n">
        <f aca="false">ROUND(1/(A861+1)^Veterancy_XP!$E$6,4)</f>
        <v>0.242</v>
      </c>
      <c r="D861" s="6" t="n">
        <f aca="false">ROUND(Veterancy_XP!$E$5*C861,1)</f>
        <v>242</v>
      </c>
      <c r="E861" s="6" t="n">
        <f aca="false">ROUND(B861/D861,2)</f>
        <v>1.71</v>
      </c>
      <c r="F861" s="6" t="n">
        <f aca="false">ROUND(F860+E861,2)</f>
        <v>1035.28</v>
      </c>
    </row>
    <row r="862" customFormat="false" ht="15" hidden="false" customHeight="true" outlineLevel="0" collapsed="false">
      <c r="A862" s="6" t="n">
        <v>860</v>
      </c>
      <c r="B862" s="6" t="n">
        <f aca="false">ROUND(Veterancy_XP!$B$5*(A862+1)^Veterancy_XP!$B$6,0)</f>
        <v>413</v>
      </c>
      <c r="C862" s="6" t="n">
        <f aca="false">ROUND(1/(A862+1)^Veterancy_XP!$E$6,4)</f>
        <v>0.2419</v>
      </c>
      <c r="D862" s="6" t="n">
        <f aca="false">ROUND(Veterancy_XP!$E$5*C862,1)</f>
        <v>241.9</v>
      </c>
      <c r="E862" s="6" t="n">
        <f aca="false">ROUND(B862/D862,2)</f>
        <v>1.71</v>
      </c>
      <c r="F862" s="6" t="n">
        <f aca="false">ROUND(F861+E862,2)</f>
        <v>1036.99</v>
      </c>
    </row>
    <row r="863" customFormat="false" ht="15" hidden="false" customHeight="true" outlineLevel="0" collapsed="false">
      <c r="A863" s="6" t="n">
        <v>861</v>
      </c>
      <c r="B863" s="6" t="n">
        <f aca="false">ROUND(Veterancy_XP!$B$5*(A863+1)^Veterancy_XP!$B$6,0)</f>
        <v>413</v>
      </c>
      <c r="C863" s="6" t="n">
        <f aca="false">ROUND(1/(A863+1)^Veterancy_XP!$E$6,4)</f>
        <v>0.2418</v>
      </c>
      <c r="D863" s="6" t="n">
        <f aca="false">ROUND(Veterancy_XP!$E$5*C863,1)</f>
        <v>241.8</v>
      </c>
      <c r="E863" s="6" t="n">
        <f aca="false">ROUND(B863/D863,2)</f>
        <v>1.71</v>
      </c>
      <c r="F863" s="6" t="n">
        <f aca="false">ROUND(F862+E863,2)</f>
        <v>1038.7</v>
      </c>
    </row>
    <row r="864" customFormat="false" ht="15" hidden="false" customHeight="true" outlineLevel="0" collapsed="false">
      <c r="A864" s="6" t="n">
        <v>862</v>
      </c>
      <c r="B864" s="6" t="n">
        <f aca="false">ROUND(Veterancy_XP!$B$5*(A864+1)^Veterancy_XP!$B$6,0)</f>
        <v>414</v>
      </c>
      <c r="C864" s="6" t="n">
        <f aca="false">ROUND(1/(A864+1)^Veterancy_XP!$E$6,4)</f>
        <v>0.2418</v>
      </c>
      <c r="D864" s="6" t="n">
        <f aca="false">ROUND(Veterancy_XP!$E$5*C864,1)</f>
        <v>241.8</v>
      </c>
      <c r="E864" s="6" t="n">
        <f aca="false">ROUND(B864/D864,2)</f>
        <v>1.71</v>
      </c>
      <c r="F864" s="6" t="n">
        <f aca="false">ROUND(F863+E864,2)</f>
        <v>1040.41</v>
      </c>
    </row>
    <row r="865" customFormat="false" ht="15" hidden="false" customHeight="true" outlineLevel="0" collapsed="false">
      <c r="A865" s="6" t="n">
        <v>863</v>
      </c>
      <c r="B865" s="6" t="n">
        <f aca="false">ROUND(Veterancy_XP!$B$5*(A865+1)^Veterancy_XP!$B$6,0)</f>
        <v>414</v>
      </c>
      <c r="C865" s="6" t="n">
        <f aca="false">ROUND(1/(A865+1)^Veterancy_XP!$E$6,4)</f>
        <v>0.2417</v>
      </c>
      <c r="D865" s="6" t="n">
        <f aca="false">ROUND(Veterancy_XP!$E$5*C865,1)</f>
        <v>241.7</v>
      </c>
      <c r="E865" s="6" t="n">
        <f aca="false">ROUND(B865/D865,2)</f>
        <v>1.71</v>
      </c>
      <c r="F865" s="6" t="n">
        <f aca="false">ROUND(F864+E865,2)</f>
        <v>1042.12</v>
      </c>
    </row>
    <row r="866" customFormat="false" ht="15" hidden="false" customHeight="true" outlineLevel="0" collapsed="false">
      <c r="A866" s="6" t="n">
        <v>864</v>
      </c>
      <c r="B866" s="6" t="n">
        <f aca="false">ROUND(Veterancy_XP!$B$5*(A866+1)^Veterancy_XP!$B$6,0)</f>
        <v>414</v>
      </c>
      <c r="C866" s="6" t="n">
        <f aca="false">ROUND(1/(A866+1)^Veterancy_XP!$E$6,4)</f>
        <v>0.2417</v>
      </c>
      <c r="D866" s="6" t="n">
        <f aca="false">ROUND(Veterancy_XP!$E$5*C866,1)</f>
        <v>241.7</v>
      </c>
      <c r="E866" s="6" t="n">
        <f aca="false">ROUND(B866/D866,2)</f>
        <v>1.71</v>
      </c>
      <c r="F866" s="6" t="n">
        <f aca="false">ROUND(F865+E866,2)</f>
        <v>1043.83</v>
      </c>
    </row>
    <row r="867" customFormat="false" ht="15" hidden="false" customHeight="true" outlineLevel="0" collapsed="false">
      <c r="A867" s="6" t="n">
        <v>865</v>
      </c>
      <c r="B867" s="6" t="n">
        <f aca="false">ROUND(Veterancy_XP!$B$5*(A867+1)^Veterancy_XP!$B$6,0)</f>
        <v>414</v>
      </c>
      <c r="C867" s="6" t="n">
        <f aca="false">ROUND(1/(A867+1)^Veterancy_XP!$E$6,4)</f>
        <v>0.2416</v>
      </c>
      <c r="D867" s="6" t="n">
        <f aca="false">ROUND(Veterancy_XP!$E$5*C867,1)</f>
        <v>241.6</v>
      </c>
      <c r="E867" s="6" t="n">
        <f aca="false">ROUND(B867/D867,2)</f>
        <v>1.71</v>
      </c>
      <c r="F867" s="6" t="n">
        <f aca="false">ROUND(F866+E867,2)</f>
        <v>1045.54</v>
      </c>
    </row>
    <row r="868" customFormat="false" ht="15" hidden="false" customHeight="true" outlineLevel="0" collapsed="false">
      <c r="A868" s="6" t="n">
        <v>866</v>
      </c>
      <c r="B868" s="6" t="n">
        <f aca="false">ROUND(Veterancy_XP!$B$5*(A868+1)^Veterancy_XP!$B$6,0)</f>
        <v>414</v>
      </c>
      <c r="C868" s="6" t="n">
        <f aca="false">ROUND(1/(A868+1)^Veterancy_XP!$E$6,4)</f>
        <v>0.2416</v>
      </c>
      <c r="D868" s="6" t="n">
        <f aca="false">ROUND(Veterancy_XP!$E$5*C868,1)</f>
        <v>241.6</v>
      </c>
      <c r="E868" s="6" t="n">
        <f aca="false">ROUND(B868/D868,2)</f>
        <v>1.71</v>
      </c>
      <c r="F868" s="6" t="n">
        <f aca="false">ROUND(F867+E868,2)</f>
        <v>1047.25</v>
      </c>
    </row>
    <row r="869" customFormat="false" ht="15" hidden="false" customHeight="true" outlineLevel="0" collapsed="false">
      <c r="A869" s="6" t="n">
        <v>867</v>
      </c>
      <c r="B869" s="6" t="n">
        <f aca="false">ROUND(Veterancy_XP!$B$5*(A869+1)^Veterancy_XP!$B$6,0)</f>
        <v>414</v>
      </c>
      <c r="C869" s="6" t="n">
        <f aca="false">ROUND(1/(A869+1)^Veterancy_XP!$E$6,4)</f>
        <v>0.2415</v>
      </c>
      <c r="D869" s="6" t="n">
        <f aca="false">ROUND(Veterancy_XP!$E$5*C869,1)</f>
        <v>241.5</v>
      </c>
      <c r="E869" s="6" t="n">
        <f aca="false">ROUND(B869/D869,2)</f>
        <v>1.71</v>
      </c>
      <c r="F869" s="6" t="n">
        <f aca="false">ROUND(F868+E869,2)</f>
        <v>1048.96</v>
      </c>
    </row>
    <row r="870" customFormat="false" ht="15" hidden="false" customHeight="true" outlineLevel="0" collapsed="false">
      <c r="A870" s="6" t="n">
        <v>868</v>
      </c>
      <c r="B870" s="6" t="n">
        <f aca="false">ROUND(Veterancy_XP!$B$5*(A870+1)^Veterancy_XP!$B$6,0)</f>
        <v>414</v>
      </c>
      <c r="C870" s="6" t="n">
        <f aca="false">ROUND(1/(A870+1)^Veterancy_XP!$E$6,4)</f>
        <v>0.2414</v>
      </c>
      <c r="D870" s="6" t="n">
        <f aca="false">ROUND(Veterancy_XP!$E$5*C870,1)</f>
        <v>241.4</v>
      </c>
      <c r="E870" s="6" t="n">
        <f aca="false">ROUND(B870/D870,2)</f>
        <v>1.71</v>
      </c>
      <c r="F870" s="6" t="n">
        <f aca="false">ROUND(F869+E870,2)</f>
        <v>1050.67</v>
      </c>
    </row>
    <row r="871" customFormat="false" ht="15" hidden="false" customHeight="true" outlineLevel="0" collapsed="false">
      <c r="A871" s="6" t="n">
        <v>869</v>
      </c>
      <c r="B871" s="6" t="n">
        <f aca="false">ROUND(Veterancy_XP!$B$5*(A871+1)^Veterancy_XP!$B$6,0)</f>
        <v>414</v>
      </c>
      <c r="C871" s="6" t="n">
        <f aca="false">ROUND(1/(A871+1)^Veterancy_XP!$E$6,4)</f>
        <v>0.2414</v>
      </c>
      <c r="D871" s="6" t="n">
        <f aca="false">ROUND(Veterancy_XP!$E$5*C871,1)</f>
        <v>241.4</v>
      </c>
      <c r="E871" s="6" t="n">
        <f aca="false">ROUND(B871/D871,2)</f>
        <v>1.71</v>
      </c>
      <c r="F871" s="6" t="n">
        <f aca="false">ROUND(F870+E871,2)</f>
        <v>1052.38</v>
      </c>
    </row>
    <row r="872" customFormat="false" ht="15" hidden="false" customHeight="true" outlineLevel="0" collapsed="false">
      <c r="A872" s="6" t="n">
        <v>870</v>
      </c>
      <c r="B872" s="6" t="n">
        <f aca="false">ROUND(Veterancy_XP!$B$5*(A872+1)^Veterancy_XP!$B$6,0)</f>
        <v>414</v>
      </c>
      <c r="C872" s="6" t="n">
        <f aca="false">ROUND(1/(A872+1)^Veterancy_XP!$E$6,4)</f>
        <v>0.2413</v>
      </c>
      <c r="D872" s="6" t="n">
        <f aca="false">ROUND(Veterancy_XP!$E$5*C872,1)</f>
        <v>241.3</v>
      </c>
      <c r="E872" s="6" t="n">
        <f aca="false">ROUND(B872/D872,2)</f>
        <v>1.72</v>
      </c>
      <c r="F872" s="6" t="n">
        <f aca="false">ROUND(F871+E872,2)</f>
        <v>1054.1</v>
      </c>
    </row>
    <row r="873" customFormat="false" ht="15" hidden="false" customHeight="true" outlineLevel="0" collapsed="false">
      <c r="A873" s="6" t="n">
        <v>871</v>
      </c>
      <c r="B873" s="6" t="n">
        <f aca="false">ROUND(Veterancy_XP!$B$5*(A873+1)^Veterancy_XP!$B$6,0)</f>
        <v>414</v>
      </c>
      <c r="C873" s="6" t="n">
        <f aca="false">ROUND(1/(A873+1)^Veterancy_XP!$E$6,4)</f>
        <v>0.2413</v>
      </c>
      <c r="D873" s="6" t="n">
        <f aca="false">ROUND(Veterancy_XP!$E$5*C873,1)</f>
        <v>241.3</v>
      </c>
      <c r="E873" s="6" t="n">
        <f aca="false">ROUND(B873/D873,2)</f>
        <v>1.72</v>
      </c>
      <c r="F873" s="6" t="n">
        <f aca="false">ROUND(F872+E873,2)</f>
        <v>1055.82</v>
      </c>
    </row>
    <row r="874" customFormat="false" ht="15" hidden="false" customHeight="true" outlineLevel="0" collapsed="false">
      <c r="A874" s="6" t="n">
        <v>872</v>
      </c>
      <c r="B874" s="6" t="n">
        <f aca="false">ROUND(Veterancy_XP!$B$5*(A874+1)^Veterancy_XP!$B$6,0)</f>
        <v>415</v>
      </c>
      <c r="C874" s="6" t="n">
        <f aca="false">ROUND(1/(A874+1)^Veterancy_XP!$E$6,4)</f>
        <v>0.2412</v>
      </c>
      <c r="D874" s="6" t="n">
        <f aca="false">ROUND(Veterancy_XP!$E$5*C874,1)</f>
        <v>241.2</v>
      </c>
      <c r="E874" s="6" t="n">
        <f aca="false">ROUND(B874/D874,2)</f>
        <v>1.72</v>
      </c>
      <c r="F874" s="6" t="n">
        <f aca="false">ROUND(F873+E874,2)</f>
        <v>1057.54</v>
      </c>
    </row>
    <row r="875" customFormat="false" ht="15" hidden="false" customHeight="true" outlineLevel="0" collapsed="false">
      <c r="A875" s="6" t="n">
        <v>873</v>
      </c>
      <c r="B875" s="6" t="n">
        <f aca="false">ROUND(Veterancy_XP!$B$5*(A875+1)^Veterancy_XP!$B$6,0)</f>
        <v>415</v>
      </c>
      <c r="C875" s="6" t="n">
        <f aca="false">ROUND(1/(A875+1)^Veterancy_XP!$E$6,4)</f>
        <v>0.2411</v>
      </c>
      <c r="D875" s="6" t="n">
        <f aca="false">ROUND(Veterancy_XP!$E$5*C875,1)</f>
        <v>241.1</v>
      </c>
      <c r="E875" s="6" t="n">
        <f aca="false">ROUND(B875/D875,2)</f>
        <v>1.72</v>
      </c>
      <c r="F875" s="6" t="n">
        <f aca="false">ROUND(F874+E875,2)</f>
        <v>1059.26</v>
      </c>
    </row>
    <row r="876" customFormat="false" ht="15" hidden="false" customHeight="true" outlineLevel="0" collapsed="false">
      <c r="A876" s="6" t="n">
        <v>874</v>
      </c>
      <c r="B876" s="6" t="n">
        <f aca="false">ROUND(Veterancy_XP!$B$5*(A876+1)^Veterancy_XP!$B$6,0)</f>
        <v>415</v>
      </c>
      <c r="C876" s="6" t="n">
        <f aca="false">ROUND(1/(A876+1)^Veterancy_XP!$E$6,4)</f>
        <v>0.2411</v>
      </c>
      <c r="D876" s="6" t="n">
        <f aca="false">ROUND(Veterancy_XP!$E$5*C876,1)</f>
        <v>241.1</v>
      </c>
      <c r="E876" s="6" t="n">
        <f aca="false">ROUND(B876/D876,2)</f>
        <v>1.72</v>
      </c>
      <c r="F876" s="6" t="n">
        <f aca="false">ROUND(F875+E876,2)</f>
        <v>1060.98</v>
      </c>
    </row>
    <row r="877" customFormat="false" ht="15" hidden="false" customHeight="true" outlineLevel="0" collapsed="false">
      <c r="A877" s="6" t="n">
        <v>875</v>
      </c>
      <c r="B877" s="6" t="n">
        <f aca="false">ROUND(Veterancy_XP!$B$5*(A877+1)^Veterancy_XP!$B$6,0)</f>
        <v>415</v>
      </c>
      <c r="C877" s="6" t="n">
        <f aca="false">ROUND(1/(A877+1)^Veterancy_XP!$E$6,4)</f>
        <v>0.241</v>
      </c>
      <c r="D877" s="6" t="n">
        <f aca="false">ROUND(Veterancy_XP!$E$5*C877,1)</f>
        <v>241</v>
      </c>
      <c r="E877" s="6" t="n">
        <f aca="false">ROUND(B877/D877,2)</f>
        <v>1.72</v>
      </c>
      <c r="F877" s="6" t="n">
        <f aca="false">ROUND(F876+E877,2)</f>
        <v>1062.7</v>
      </c>
    </row>
    <row r="878" customFormat="false" ht="15" hidden="false" customHeight="true" outlineLevel="0" collapsed="false">
      <c r="A878" s="6" t="n">
        <v>876</v>
      </c>
      <c r="B878" s="6" t="n">
        <f aca="false">ROUND(Veterancy_XP!$B$5*(A878+1)^Veterancy_XP!$B$6,0)</f>
        <v>415</v>
      </c>
      <c r="C878" s="6" t="n">
        <f aca="false">ROUND(1/(A878+1)^Veterancy_XP!$E$6,4)</f>
        <v>0.241</v>
      </c>
      <c r="D878" s="6" t="n">
        <f aca="false">ROUND(Veterancy_XP!$E$5*C878,1)</f>
        <v>241</v>
      </c>
      <c r="E878" s="6" t="n">
        <f aca="false">ROUND(B878/D878,2)</f>
        <v>1.72</v>
      </c>
      <c r="F878" s="6" t="n">
        <f aca="false">ROUND(F877+E878,2)</f>
        <v>1064.42</v>
      </c>
    </row>
    <row r="879" customFormat="false" ht="15" hidden="false" customHeight="true" outlineLevel="0" collapsed="false">
      <c r="A879" s="6" t="n">
        <v>877</v>
      </c>
      <c r="B879" s="6" t="n">
        <f aca="false">ROUND(Veterancy_XP!$B$5*(A879+1)^Veterancy_XP!$B$6,0)</f>
        <v>415</v>
      </c>
      <c r="C879" s="6" t="n">
        <f aca="false">ROUND(1/(A879+1)^Veterancy_XP!$E$6,4)</f>
        <v>0.2409</v>
      </c>
      <c r="D879" s="6" t="n">
        <f aca="false">ROUND(Veterancy_XP!$E$5*C879,1)</f>
        <v>240.9</v>
      </c>
      <c r="E879" s="6" t="n">
        <f aca="false">ROUND(B879/D879,2)</f>
        <v>1.72</v>
      </c>
      <c r="F879" s="6" t="n">
        <f aca="false">ROUND(F878+E879,2)</f>
        <v>1066.14</v>
      </c>
    </row>
    <row r="880" customFormat="false" ht="15" hidden="false" customHeight="true" outlineLevel="0" collapsed="false">
      <c r="A880" s="6" t="n">
        <v>878</v>
      </c>
      <c r="B880" s="6" t="n">
        <f aca="false">ROUND(Veterancy_XP!$B$5*(A880+1)^Veterancy_XP!$B$6,0)</f>
        <v>415</v>
      </c>
      <c r="C880" s="6" t="n">
        <f aca="false">ROUND(1/(A880+1)^Veterancy_XP!$E$6,4)</f>
        <v>0.2409</v>
      </c>
      <c r="D880" s="6" t="n">
        <f aca="false">ROUND(Veterancy_XP!$E$5*C880,1)</f>
        <v>240.9</v>
      </c>
      <c r="E880" s="6" t="n">
        <f aca="false">ROUND(B880/D880,2)</f>
        <v>1.72</v>
      </c>
      <c r="F880" s="6" t="n">
        <f aca="false">ROUND(F879+E880,2)</f>
        <v>1067.86</v>
      </c>
    </row>
    <row r="881" customFormat="false" ht="15" hidden="false" customHeight="true" outlineLevel="0" collapsed="false">
      <c r="A881" s="6" t="n">
        <v>879</v>
      </c>
      <c r="B881" s="6" t="n">
        <f aca="false">ROUND(Veterancy_XP!$B$5*(A881+1)^Veterancy_XP!$B$6,0)</f>
        <v>415</v>
      </c>
      <c r="C881" s="6" t="n">
        <f aca="false">ROUND(1/(A881+1)^Veterancy_XP!$E$6,4)</f>
        <v>0.2408</v>
      </c>
      <c r="D881" s="6" t="n">
        <f aca="false">ROUND(Veterancy_XP!$E$5*C881,1)</f>
        <v>240.8</v>
      </c>
      <c r="E881" s="6" t="n">
        <f aca="false">ROUND(B881/D881,2)</f>
        <v>1.72</v>
      </c>
      <c r="F881" s="6" t="n">
        <f aca="false">ROUND(F880+E881,2)</f>
        <v>1069.58</v>
      </c>
    </row>
    <row r="882" customFormat="false" ht="15" hidden="false" customHeight="true" outlineLevel="0" collapsed="false">
      <c r="A882" s="6" t="n">
        <v>880</v>
      </c>
      <c r="B882" s="6" t="n">
        <f aca="false">ROUND(Veterancy_XP!$B$5*(A882+1)^Veterancy_XP!$B$6,0)</f>
        <v>415</v>
      </c>
      <c r="C882" s="6" t="n">
        <f aca="false">ROUND(1/(A882+1)^Veterancy_XP!$E$6,4)</f>
        <v>0.2407</v>
      </c>
      <c r="D882" s="6" t="n">
        <f aca="false">ROUND(Veterancy_XP!$E$5*C882,1)</f>
        <v>240.7</v>
      </c>
      <c r="E882" s="6" t="n">
        <f aca="false">ROUND(B882/D882,2)</f>
        <v>1.72</v>
      </c>
      <c r="F882" s="6" t="n">
        <f aca="false">ROUND(F881+E882,2)</f>
        <v>1071.3</v>
      </c>
    </row>
    <row r="883" customFormat="false" ht="15" hidden="false" customHeight="true" outlineLevel="0" collapsed="false">
      <c r="A883" s="6" t="n">
        <v>881</v>
      </c>
      <c r="B883" s="6" t="n">
        <f aca="false">ROUND(Veterancy_XP!$B$5*(A883+1)^Veterancy_XP!$B$6,0)</f>
        <v>415</v>
      </c>
      <c r="C883" s="6" t="n">
        <f aca="false">ROUND(1/(A883+1)^Veterancy_XP!$E$6,4)</f>
        <v>0.2407</v>
      </c>
      <c r="D883" s="6" t="n">
        <f aca="false">ROUND(Veterancy_XP!$E$5*C883,1)</f>
        <v>240.7</v>
      </c>
      <c r="E883" s="6" t="n">
        <f aca="false">ROUND(B883/D883,2)</f>
        <v>1.72</v>
      </c>
      <c r="F883" s="6" t="n">
        <f aca="false">ROUND(F882+E883,2)</f>
        <v>1073.02</v>
      </c>
    </row>
    <row r="884" customFormat="false" ht="15" hidden="false" customHeight="true" outlineLevel="0" collapsed="false">
      <c r="A884" s="6" t="n">
        <v>882</v>
      </c>
      <c r="B884" s="6" t="n">
        <f aca="false">ROUND(Veterancy_XP!$B$5*(A884+1)^Veterancy_XP!$B$6,0)</f>
        <v>416</v>
      </c>
      <c r="C884" s="6" t="n">
        <f aca="false">ROUND(1/(A884+1)^Veterancy_XP!$E$6,4)</f>
        <v>0.2406</v>
      </c>
      <c r="D884" s="6" t="n">
        <f aca="false">ROUND(Veterancy_XP!$E$5*C884,1)</f>
        <v>240.6</v>
      </c>
      <c r="E884" s="6" t="n">
        <f aca="false">ROUND(B884/D884,2)</f>
        <v>1.73</v>
      </c>
      <c r="F884" s="6" t="n">
        <f aca="false">ROUND(F883+E884,2)</f>
        <v>1074.75</v>
      </c>
    </row>
    <row r="885" customFormat="false" ht="15" hidden="false" customHeight="true" outlineLevel="0" collapsed="false">
      <c r="A885" s="6" t="n">
        <v>883</v>
      </c>
      <c r="B885" s="6" t="n">
        <f aca="false">ROUND(Veterancy_XP!$B$5*(A885+1)^Veterancy_XP!$B$6,0)</f>
        <v>416</v>
      </c>
      <c r="C885" s="6" t="n">
        <f aca="false">ROUND(1/(A885+1)^Veterancy_XP!$E$6,4)</f>
        <v>0.2406</v>
      </c>
      <c r="D885" s="6" t="n">
        <f aca="false">ROUND(Veterancy_XP!$E$5*C885,1)</f>
        <v>240.6</v>
      </c>
      <c r="E885" s="6" t="n">
        <f aca="false">ROUND(B885/D885,2)</f>
        <v>1.73</v>
      </c>
      <c r="F885" s="6" t="n">
        <f aca="false">ROUND(F884+E885,2)</f>
        <v>1076.48</v>
      </c>
    </row>
    <row r="886" customFormat="false" ht="15" hidden="false" customHeight="true" outlineLevel="0" collapsed="false">
      <c r="A886" s="6" t="n">
        <v>884</v>
      </c>
      <c r="B886" s="6" t="n">
        <f aca="false">ROUND(Veterancy_XP!$B$5*(A886+1)^Veterancy_XP!$B$6,0)</f>
        <v>416</v>
      </c>
      <c r="C886" s="6" t="n">
        <f aca="false">ROUND(1/(A886+1)^Veterancy_XP!$E$6,4)</f>
        <v>0.2405</v>
      </c>
      <c r="D886" s="6" t="n">
        <f aca="false">ROUND(Veterancy_XP!$E$5*C886,1)</f>
        <v>240.5</v>
      </c>
      <c r="E886" s="6" t="n">
        <f aca="false">ROUND(B886/D886,2)</f>
        <v>1.73</v>
      </c>
      <c r="F886" s="6" t="n">
        <f aca="false">ROUND(F885+E886,2)</f>
        <v>1078.21</v>
      </c>
    </row>
    <row r="887" customFormat="false" ht="15" hidden="false" customHeight="true" outlineLevel="0" collapsed="false">
      <c r="A887" s="6" t="n">
        <v>885</v>
      </c>
      <c r="B887" s="6" t="n">
        <f aca="false">ROUND(Veterancy_XP!$B$5*(A887+1)^Veterancy_XP!$B$6,0)</f>
        <v>416</v>
      </c>
      <c r="C887" s="6" t="n">
        <f aca="false">ROUND(1/(A887+1)^Veterancy_XP!$E$6,4)</f>
        <v>0.2405</v>
      </c>
      <c r="D887" s="6" t="n">
        <f aca="false">ROUND(Veterancy_XP!$E$5*C887,1)</f>
        <v>240.5</v>
      </c>
      <c r="E887" s="6" t="n">
        <f aca="false">ROUND(B887/D887,2)</f>
        <v>1.73</v>
      </c>
      <c r="F887" s="6" t="n">
        <f aca="false">ROUND(F886+E887,2)</f>
        <v>1079.94</v>
      </c>
    </row>
    <row r="888" customFormat="false" ht="15" hidden="false" customHeight="true" outlineLevel="0" collapsed="false">
      <c r="A888" s="6" t="n">
        <v>886</v>
      </c>
      <c r="B888" s="6" t="n">
        <f aca="false">ROUND(Veterancy_XP!$B$5*(A888+1)^Veterancy_XP!$B$6,0)</f>
        <v>416</v>
      </c>
      <c r="C888" s="6" t="n">
        <f aca="false">ROUND(1/(A888+1)^Veterancy_XP!$E$6,4)</f>
        <v>0.2404</v>
      </c>
      <c r="D888" s="6" t="n">
        <f aca="false">ROUND(Veterancy_XP!$E$5*C888,1)</f>
        <v>240.4</v>
      </c>
      <c r="E888" s="6" t="n">
        <f aca="false">ROUND(B888/D888,2)</f>
        <v>1.73</v>
      </c>
      <c r="F888" s="6" t="n">
        <f aca="false">ROUND(F887+E888,2)</f>
        <v>1081.67</v>
      </c>
    </row>
    <row r="889" customFormat="false" ht="15" hidden="false" customHeight="true" outlineLevel="0" collapsed="false">
      <c r="A889" s="6" t="n">
        <v>887</v>
      </c>
      <c r="B889" s="6" t="n">
        <f aca="false">ROUND(Veterancy_XP!$B$5*(A889+1)^Veterancy_XP!$B$6,0)</f>
        <v>416</v>
      </c>
      <c r="C889" s="6" t="n">
        <f aca="false">ROUND(1/(A889+1)^Veterancy_XP!$E$6,4)</f>
        <v>0.2403</v>
      </c>
      <c r="D889" s="6" t="n">
        <f aca="false">ROUND(Veterancy_XP!$E$5*C889,1)</f>
        <v>240.3</v>
      </c>
      <c r="E889" s="6" t="n">
        <f aca="false">ROUND(B889/D889,2)</f>
        <v>1.73</v>
      </c>
      <c r="F889" s="6" t="n">
        <f aca="false">ROUND(F888+E889,2)</f>
        <v>1083.4</v>
      </c>
    </row>
    <row r="890" customFormat="false" ht="15" hidden="false" customHeight="true" outlineLevel="0" collapsed="false">
      <c r="A890" s="6" t="n">
        <v>888</v>
      </c>
      <c r="B890" s="6" t="n">
        <f aca="false">ROUND(Veterancy_XP!$B$5*(A890+1)^Veterancy_XP!$B$6,0)</f>
        <v>416</v>
      </c>
      <c r="C890" s="6" t="n">
        <f aca="false">ROUND(1/(A890+1)^Veterancy_XP!$E$6,4)</f>
        <v>0.2403</v>
      </c>
      <c r="D890" s="6" t="n">
        <f aca="false">ROUND(Veterancy_XP!$E$5*C890,1)</f>
        <v>240.3</v>
      </c>
      <c r="E890" s="6" t="n">
        <f aca="false">ROUND(B890/D890,2)</f>
        <v>1.73</v>
      </c>
      <c r="F890" s="6" t="n">
        <f aca="false">ROUND(F889+E890,2)</f>
        <v>1085.13</v>
      </c>
    </row>
    <row r="891" customFormat="false" ht="15" hidden="false" customHeight="true" outlineLevel="0" collapsed="false">
      <c r="A891" s="6" t="n">
        <v>889</v>
      </c>
      <c r="B891" s="6" t="n">
        <f aca="false">ROUND(Veterancy_XP!$B$5*(A891+1)^Veterancy_XP!$B$6,0)</f>
        <v>416</v>
      </c>
      <c r="C891" s="6" t="n">
        <f aca="false">ROUND(1/(A891+1)^Veterancy_XP!$E$6,4)</f>
        <v>0.2402</v>
      </c>
      <c r="D891" s="6" t="n">
        <f aca="false">ROUND(Veterancy_XP!$E$5*C891,1)</f>
        <v>240.2</v>
      </c>
      <c r="E891" s="6" t="n">
        <f aca="false">ROUND(B891/D891,2)</f>
        <v>1.73</v>
      </c>
      <c r="F891" s="6" t="n">
        <f aca="false">ROUND(F890+E891,2)</f>
        <v>1086.86</v>
      </c>
    </row>
    <row r="892" customFormat="false" ht="15" hidden="false" customHeight="true" outlineLevel="0" collapsed="false">
      <c r="A892" s="6" t="n">
        <v>890</v>
      </c>
      <c r="B892" s="6" t="n">
        <f aca="false">ROUND(Veterancy_XP!$B$5*(A892+1)^Veterancy_XP!$B$6,0)</f>
        <v>416</v>
      </c>
      <c r="C892" s="6" t="n">
        <f aca="false">ROUND(1/(A892+1)^Veterancy_XP!$E$6,4)</f>
        <v>0.2402</v>
      </c>
      <c r="D892" s="6" t="n">
        <f aca="false">ROUND(Veterancy_XP!$E$5*C892,1)</f>
        <v>240.2</v>
      </c>
      <c r="E892" s="6" t="n">
        <f aca="false">ROUND(B892/D892,2)</f>
        <v>1.73</v>
      </c>
      <c r="F892" s="6" t="n">
        <f aca="false">ROUND(F891+E892,2)</f>
        <v>1088.59</v>
      </c>
    </row>
    <row r="893" customFormat="false" ht="15" hidden="false" customHeight="true" outlineLevel="0" collapsed="false">
      <c r="A893" s="6" t="n">
        <v>891</v>
      </c>
      <c r="B893" s="6" t="n">
        <f aca="false">ROUND(Veterancy_XP!$B$5*(A893+1)^Veterancy_XP!$B$6,0)</f>
        <v>416</v>
      </c>
      <c r="C893" s="6" t="n">
        <f aca="false">ROUND(1/(A893+1)^Veterancy_XP!$E$6,4)</f>
        <v>0.2401</v>
      </c>
      <c r="D893" s="6" t="n">
        <f aca="false">ROUND(Veterancy_XP!$E$5*C893,1)</f>
        <v>240.1</v>
      </c>
      <c r="E893" s="6" t="n">
        <f aca="false">ROUND(B893/D893,2)</f>
        <v>1.73</v>
      </c>
      <c r="F893" s="6" t="n">
        <f aca="false">ROUND(F892+E893,2)</f>
        <v>1090.32</v>
      </c>
    </row>
    <row r="894" customFormat="false" ht="15" hidden="false" customHeight="true" outlineLevel="0" collapsed="false">
      <c r="A894" s="6" t="n">
        <v>892</v>
      </c>
      <c r="B894" s="6" t="n">
        <f aca="false">ROUND(Veterancy_XP!$B$5*(A894+1)^Veterancy_XP!$B$6,0)</f>
        <v>417</v>
      </c>
      <c r="C894" s="6" t="n">
        <f aca="false">ROUND(1/(A894+1)^Veterancy_XP!$E$6,4)</f>
        <v>0.2401</v>
      </c>
      <c r="D894" s="6" t="n">
        <f aca="false">ROUND(Veterancy_XP!$E$5*C894,1)</f>
        <v>240.1</v>
      </c>
      <c r="E894" s="6" t="n">
        <f aca="false">ROUND(B894/D894,2)</f>
        <v>1.74</v>
      </c>
      <c r="F894" s="6" t="n">
        <f aca="false">ROUND(F893+E894,2)</f>
        <v>1092.06</v>
      </c>
    </row>
    <row r="895" customFormat="false" ht="15" hidden="false" customHeight="true" outlineLevel="0" collapsed="false">
      <c r="A895" s="6" t="n">
        <v>893</v>
      </c>
      <c r="B895" s="6" t="n">
        <f aca="false">ROUND(Veterancy_XP!$B$5*(A895+1)^Veterancy_XP!$B$6,0)</f>
        <v>417</v>
      </c>
      <c r="C895" s="6" t="n">
        <f aca="false">ROUND(1/(A895+1)^Veterancy_XP!$E$6,4)</f>
        <v>0.24</v>
      </c>
      <c r="D895" s="6" t="n">
        <f aca="false">ROUND(Veterancy_XP!$E$5*C895,1)</f>
        <v>240</v>
      </c>
      <c r="E895" s="6" t="n">
        <f aca="false">ROUND(B895/D895,2)</f>
        <v>1.74</v>
      </c>
      <c r="F895" s="6" t="n">
        <f aca="false">ROUND(F894+E895,2)</f>
        <v>1093.8</v>
      </c>
    </row>
    <row r="896" customFormat="false" ht="15" hidden="false" customHeight="true" outlineLevel="0" collapsed="false">
      <c r="A896" s="6" t="n">
        <v>894</v>
      </c>
      <c r="B896" s="6" t="n">
        <f aca="false">ROUND(Veterancy_XP!$B$5*(A896+1)^Veterancy_XP!$B$6,0)</f>
        <v>417</v>
      </c>
      <c r="C896" s="6" t="n">
        <f aca="false">ROUND(1/(A896+1)^Veterancy_XP!$E$6,4)</f>
        <v>0.2399</v>
      </c>
      <c r="D896" s="6" t="n">
        <f aca="false">ROUND(Veterancy_XP!$E$5*C896,1)</f>
        <v>239.9</v>
      </c>
      <c r="E896" s="6" t="n">
        <f aca="false">ROUND(B896/D896,2)</f>
        <v>1.74</v>
      </c>
      <c r="F896" s="6" t="n">
        <f aca="false">ROUND(F895+E896,2)</f>
        <v>1095.54</v>
      </c>
    </row>
    <row r="897" customFormat="false" ht="15" hidden="false" customHeight="true" outlineLevel="0" collapsed="false">
      <c r="A897" s="6" t="n">
        <v>895</v>
      </c>
      <c r="B897" s="6" t="n">
        <f aca="false">ROUND(Veterancy_XP!$B$5*(A897+1)^Veterancy_XP!$B$6,0)</f>
        <v>417</v>
      </c>
      <c r="C897" s="6" t="n">
        <f aca="false">ROUND(1/(A897+1)^Veterancy_XP!$E$6,4)</f>
        <v>0.2399</v>
      </c>
      <c r="D897" s="6" t="n">
        <f aca="false">ROUND(Veterancy_XP!$E$5*C897,1)</f>
        <v>239.9</v>
      </c>
      <c r="E897" s="6" t="n">
        <f aca="false">ROUND(B897/D897,2)</f>
        <v>1.74</v>
      </c>
      <c r="F897" s="6" t="n">
        <f aca="false">ROUND(F896+E897,2)</f>
        <v>1097.28</v>
      </c>
    </row>
    <row r="898" customFormat="false" ht="15" hidden="false" customHeight="true" outlineLevel="0" collapsed="false">
      <c r="A898" s="6" t="n">
        <v>896</v>
      </c>
      <c r="B898" s="6" t="n">
        <f aca="false">ROUND(Veterancy_XP!$B$5*(A898+1)^Veterancy_XP!$B$6,0)</f>
        <v>417</v>
      </c>
      <c r="C898" s="6" t="n">
        <f aca="false">ROUND(1/(A898+1)^Veterancy_XP!$E$6,4)</f>
        <v>0.2398</v>
      </c>
      <c r="D898" s="6" t="n">
        <f aca="false">ROUND(Veterancy_XP!$E$5*C898,1)</f>
        <v>239.8</v>
      </c>
      <c r="E898" s="6" t="n">
        <f aca="false">ROUND(B898/D898,2)</f>
        <v>1.74</v>
      </c>
      <c r="F898" s="6" t="n">
        <f aca="false">ROUND(F897+E898,2)</f>
        <v>1099.02</v>
      </c>
    </row>
    <row r="899" customFormat="false" ht="15" hidden="false" customHeight="true" outlineLevel="0" collapsed="false">
      <c r="A899" s="6" t="n">
        <v>897</v>
      </c>
      <c r="B899" s="6" t="n">
        <f aca="false">ROUND(Veterancy_XP!$B$5*(A899+1)^Veterancy_XP!$B$6,0)</f>
        <v>417</v>
      </c>
      <c r="C899" s="6" t="n">
        <f aca="false">ROUND(1/(A899+1)^Veterancy_XP!$E$6,4)</f>
        <v>0.2398</v>
      </c>
      <c r="D899" s="6" t="n">
        <f aca="false">ROUND(Veterancy_XP!$E$5*C899,1)</f>
        <v>239.8</v>
      </c>
      <c r="E899" s="6" t="n">
        <f aca="false">ROUND(B899/D899,2)</f>
        <v>1.74</v>
      </c>
      <c r="F899" s="6" t="n">
        <f aca="false">ROUND(F898+E899,2)</f>
        <v>1100.76</v>
      </c>
    </row>
    <row r="900" customFormat="false" ht="15" hidden="false" customHeight="true" outlineLevel="0" collapsed="false">
      <c r="A900" s="6" t="n">
        <v>898</v>
      </c>
      <c r="B900" s="6" t="n">
        <f aca="false">ROUND(Veterancy_XP!$B$5*(A900+1)^Veterancy_XP!$B$6,0)</f>
        <v>417</v>
      </c>
      <c r="C900" s="6" t="n">
        <f aca="false">ROUND(1/(A900+1)^Veterancy_XP!$E$6,4)</f>
        <v>0.2397</v>
      </c>
      <c r="D900" s="6" t="n">
        <f aca="false">ROUND(Veterancy_XP!$E$5*C900,1)</f>
        <v>239.7</v>
      </c>
      <c r="E900" s="6" t="n">
        <f aca="false">ROUND(B900/D900,2)</f>
        <v>1.74</v>
      </c>
      <c r="F900" s="6" t="n">
        <f aca="false">ROUND(F899+E900,2)</f>
        <v>1102.5</v>
      </c>
    </row>
    <row r="901" customFormat="false" ht="15" hidden="false" customHeight="true" outlineLevel="0" collapsed="false">
      <c r="A901" s="6" t="n">
        <v>899</v>
      </c>
      <c r="B901" s="6" t="n">
        <f aca="false">ROUND(Veterancy_XP!$B$5*(A901+1)^Veterancy_XP!$B$6,0)</f>
        <v>417</v>
      </c>
      <c r="C901" s="6" t="n">
        <f aca="false">ROUND(1/(A901+1)^Veterancy_XP!$E$6,4)</f>
        <v>0.2397</v>
      </c>
      <c r="D901" s="6" t="n">
        <f aca="false">ROUND(Veterancy_XP!$E$5*C901,1)</f>
        <v>239.7</v>
      </c>
      <c r="E901" s="6" t="n">
        <f aca="false">ROUND(B901/D901,2)</f>
        <v>1.74</v>
      </c>
      <c r="F901" s="6" t="n">
        <f aca="false">ROUND(F900+E901,2)</f>
        <v>1104.24</v>
      </c>
    </row>
    <row r="902" customFormat="false" ht="15" hidden="false" customHeight="true" outlineLevel="0" collapsed="false">
      <c r="A902" s="6" t="n">
        <v>900</v>
      </c>
      <c r="B902" s="6" t="n">
        <f aca="false">ROUND(Veterancy_XP!$B$5*(A902+1)^Veterancy_XP!$B$6,0)</f>
        <v>417</v>
      </c>
      <c r="C902" s="6" t="n">
        <f aca="false">ROUND(1/(A902+1)^Veterancy_XP!$E$6,4)</f>
        <v>0.2396</v>
      </c>
      <c r="D902" s="6" t="n">
        <f aca="false">ROUND(Veterancy_XP!$E$5*C902,1)</f>
        <v>239.6</v>
      </c>
      <c r="E902" s="6" t="n">
        <f aca="false">ROUND(B902/D902,2)</f>
        <v>1.74</v>
      </c>
      <c r="F902" s="6" t="n">
        <f aca="false">ROUND(F901+E902,2)</f>
        <v>1105.98</v>
      </c>
    </row>
    <row r="903" customFormat="false" ht="15" hidden="false" customHeight="true" outlineLevel="0" collapsed="false">
      <c r="A903" s="6" t="n">
        <v>901</v>
      </c>
      <c r="B903" s="6" t="n">
        <f aca="false">ROUND(Veterancy_XP!$B$5*(A903+1)^Veterancy_XP!$B$6,0)</f>
        <v>417</v>
      </c>
      <c r="C903" s="6" t="n">
        <f aca="false">ROUND(1/(A903+1)^Veterancy_XP!$E$6,4)</f>
        <v>0.2396</v>
      </c>
      <c r="D903" s="6" t="n">
        <f aca="false">ROUND(Veterancy_XP!$E$5*C903,1)</f>
        <v>239.6</v>
      </c>
      <c r="E903" s="6" t="n">
        <f aca="false">ROUND(B903/D903,2)</f>
        <v>1.74</v>
      </c>
      <c r="F903" s="6" t="n">
        <f aca="false">ROUND(F902+E903,2)</f>
        <v>1107.72</v>
      </c>
    </row>
    <row r="904" customFormat="false" ht="15" hidden="false" customHeight="true" outlineLevel="0" collapsed="false">
      <c r="A904" s="6" t="n">
        <v>902</v>
      </c>
      <c r="B904" s="6" t="n">
        <f aca="false">ROUND(Veterancy_XP!$B$5*(A904+1)^Veterancy_XP!$B$6,0)</f>
        <v>418</v>
      </c>
      <c r="C904" s="6" t="n">
        <f aca="false">ROUND(1/(A904+1)^Veterancy_XP!$E$6,4)</f>
        <v>0.2395</v>
      </c>
      <c r="D904" s="6" t="n">
        <f aca="false">ROUND(Veterancy_XP!$E$5*C904,1)</f>
        <v>239.5</v>
      </c>
      <c r="E904" s="6" t="n">
        <f aca="false">ROUND(B904/D904,2)</f>
        <v>1.75</v>
      </c>
      <c r="F904" s="6" t="n">
        <f aca="false">ROUND(F903+E904,2)</f>
        <v>1109.47</v>
      </c>
    </row>
    <row r="905" customFormat="false" ht="15" hidden="false" customHeight="true" outlineLevel="0" collapsed="false">
      <c r="A905" s="6" t="n">
        <v>903</v>
      </c>
      <c r="B905" s="6" t="n">
        <f aca="false">ROUND(Veterancy_XP!$B$5*(A905+1)^Veterancy_XP!$B$6,0)</f>
        <v>418</v>
      </c>
      <c r="C905" s="6" t="n">
        <f aca="false">ROUND(1/(A905+1)^Veterancy_XP!$E$6,4)</f>
        <v>0.2394</v>
      </c>
      <c r="D905" s="6" t="n">
        <f aca="false">ROUND(Veterancy_XP!$E$5*C905,1)</f>
        <v>239.4</v>
      </c>
      <c r="E905" s="6" t="n">
        <f aca="false">ROUND(B905/D905,2)</f>
        <v>1.75</v>
      </c>
      <c r="F905" s="6" t="n">
        <f aca="false">ROUND(F904+E905,2)</f>
        <v>1111.22</v>
      </c>
    </row>
    <row r="906" customFormat="false" ht="15" hidden="false" customHeight="true" outlineLevel="0" collapsed="false">
      <c r="A906" s="6" t="n">
        <v>904</v>
      </c>
      <c r="B906" s="6" t="n">
        <f aca="false">ROUND(Veterancy_XP!$B$5*(A906+1)^Veterancy_XP!$B$6,0)</f>
        <v>418</v>
      </c>
      <c r="C906" s="6" t="n">
        <f aca="false">ROUND(1/(A906+1)^Veterancy_XP!$E$6,4)</f>
        <v>0.2394</v>
      </c>
      <c r="D906" s="6" t="n">
        <f aca="false">ROUND(Veterancy_XP!$E$5*C906,1)</f>
        <v>239.4</v>
      </c>
      <c r="E906" s="6" t="n">
        <f aca="false">ROUND(B906/D906,2)</f>
        <v>1.75</v>
      </c>
      <c r="F906" s="6" t="n">
        <f aca="false">ROUND(F905+E906,2)</f>
        <v>1112.97</v>
      </c>
    </row>
    <row r="907" customFormat="false" ht="15" hidden="false" customHeight="true" outlineLevel="0" collapsed="false">
      <c r="A907" s="6" t="n">
        <v>905</v>
      </c>
      <c r="B907" s="6" t="n">
        <f aca="false">ROUND(Veterancy_XP!$B$5*(A907+1)^Veterancy_XP!$B$6,0)</f>
        <v>418</v>
      </c>
      <c r="C907" s="6" t="n">
        <f aca="false">ROUND(1/(A907+1)^Veterancy_XP!$E$6,4)</f>
        <v>0.2393</v>
      </c>
      <c r="D907" s="6" t="n">
        <f aca="false">ROUND(Veterancy_XP!$E$5*C907,1)</f>
        <v>239.3</v>
      </c>
      <c r="E907" s="6" t="n">
        <f aca="false">ROUND(B907/D907,2)</f>
        <v>1.75</v>
      </c>
      <c r="F907" s="6" t="n">
        <f aca="false">ROUND(F906+E907,2)</f>
        <v>1114.72</v>
      </c>
    </row>
    <row r="908" customFormat="false" ht="15" hidden="false" customHeight="true" outlineLevel="0" collapsed="false">
      <c r="A908" s="6" t="n">
        <v>906</v>
      </c>
      <c r="B908" s="6" t="n">
        <f aca="false">ROUND(Veterancy_XP!$B$5*(A908+1)^Veterancy_XP!$B$6,0)</f>
        <v>418</v>
      </c>
      <c r="C908" s="6" t="n">
        <f aca="false">ROUND(1/(A908+1)^Veterancy_XP!$E$6,4)</f>
        <v>0.2393</v>
      </c>
      <c r="D908" s="6" t="n">
        <f aca="false">ROUND(Veterancy_XP!$E$5*C908,1)</f>
        <v>239.3</v>
      </c>
      <c r="E908" s="6" t="n">
        <f aca="false">ROUND(B908/D908,2)</f>
        <v>1.75</v>
      </c>
      <c r="F908" s="6" t="n">
        <f aca="false">ROUND(F907+E908,2)</f>
        <v>1116.47</v>
      </c>
    </row>
    <row r="909" customFormat="false" ht="15" hidden="false" customHeight="true" outlineLevel="0" collapsed="false">
      <c r="A909" s="6" t="n">
        <v>907</v>
      </c>
      <c r="B909" s="6" t="n">
        <f aca="false">ROUND(Veterancy_XP!$B$5*(A909+1)^Veterancy_XP!$B$6,0)</f>
        <v>418</v>
      </c>
      <c r="C909" s="6" t="n">
        <f aca="false">ROUND(1/(A909+1)^Veterancy_XP!$E$6,4)</f>
        <v>0.2392</v>
      </c>
      <c r="D909" s="6" t="n">
        <f aca="false">ROUND(Veterancy_XP!$E$5*C909,1)</f>
        <v>239.2</v>
      </c>
      <c r="E909" s="6" t="n">
        <f aca="false">ROUND(B909/D909,2)</f>
        <v>1.75</v>
      </c>
      <c r="F909" s="6" t="n">
        <f aca="false">ROUND(F908+E909,2)</f>
        <v>1118.22</v>
      </c>
    </row>
    <row r="910" customFormat="false" ht="15" hidden="false" customHeight="true" outlineLevel="0" collapsed="false">
      <c r="A910" s="6" t="n">
        <v>908</v>
      </c>
      <c r="B910" s="6" t="n">
        <f aca="false">ROUND(Veterancy_XP!$B$5*(A910+1)^Veterancy_XP!$B$6,0)</f>
        <v>418</v>
      </c>
      <c r="C910" s="6" t="n">
        <f aca="false">ROUND(1/(A910+1)^Veterancy_XP!$E$6,4)</f>
        <v>0.2392</v>
      </c>
      <c r="D910" s="6" t="n">
        <f aca="false">ROUND(Veterancy_XP!$E$5*C910,1)</f>
        <v>239.2</v>
      </c>
      <c r="E910" s="6" t="n">
        <f aca="false">ROUND(B910/D910,2)</f>
        <v>1.75</v>
      </c>
      <c r="F910" s="6" t="n">
        <f aca="false">ROUND(F909+E910,2)</f>
        <v>1119.97</v>
      </c>
    </row>
    <row r="911" customFormat="false" ht="15" hidden="false" customHeight="true" outlineLevel="0" collapsed="false">
      <c r="A911" s="6" t="n">
        <v>909</v>
      </c>
      <c r="B911" s="6" t="n">
        <f aca="false">ROUND(Veterancy_XP!$B$5*(A911+1)^Veterancy_XP!$B$6,0)</f>
        <v>418</v>
      </c>
      <c r="C911" s="6" t="n">
        <f aca="false">ROUND(1/(A911+1)^Veterancy_XP!$E$6,4)</f>
        <v>0.2391</v>
      </c>
      <c r="D911" s="6" t="n">
        <f aca="false">ROUND(Veterancy_XP!$E$5*C911,1)</f>
        <v>239.1</v>
      </c>
      <c r="E911" s="6" t="n">
        <f aca="false">ROUND(B911/D911,2)</f>
        <v>1.75</v>
      </c>
      <c r="F911" s="6" t="n">
        <f aca="false">ROUND(F910+E911,2)</f>
        <v>1121.72</v>
      </c>
    </row>
    <row r="912" customFormat="false" ht="15" hidden="false" customHeight="true" outlineLevel="0" collapsed="false">
      <c r="A912" s="6" t="n">
        <v>910</v>
      </c>
      <c r="B912" s="6" t="n">
        <f aca="false">ROUND(Veterancy_XP!$B$5*(A912+1)^Veterancy_XP!$B$6,0)</f>
        <v>418</v>
      </c>
      <c r="C912" s="6" t="n">
        <f aca="false">ROUND(1/(A912+1)^Veterancy_XP!$E$6,4)</f>
        <v>0.2391</v>
      </c>
      <c r="D912" s="6" t="n">
        <f aca="false">ROUND(Veterancy_XP!$E$5*C912,1)</f>
        <v>239.1</v>
      </c>
      <c r="E912" s="6" t="n">
        <f aca="false">ROUND(B912/D912,2)</f>
        <v>1.75</v>
      </c>
      <c r="F912" s="6" t="n">
        <f aca="false">ROUND(F911+E912,2)</f>
        <v>1123.47</v>
      </c>
    </row>
    <row r="913" customFormat="false" ht="15" hidden="false" customHeight="true" outlineLevel="0" collapsed="false">
      <c r="A913" s="6" t="n">
        <v>911</v>
      </c>
      <c r="B913" s="6" t="n">
        <f aca="false">ROUND(Veterancy_XP!$B$5*(A913+1)^Veterancy_XP!$B$6,0)</f>
        <v>418</v>
      </c>
      <c r="C913" s="6" t="n">
        <f aca="false">ROUND(1/(A913+1)^Veterancy_XP!$E$6,4)</f>
        <v>0.239</v>
      </c>
      <c r="D913" s="6" t="n">
        <f aca="false">ROUND(Veterancy_XP!$E$5*C913,1)</f>
        <v>239</v>
      </c>
      <c r="E913" s="6" t="n">
        <f aca="false">ROUND(B913/D913,2)</f>
        <v>1.75</v>
      </c>
      <c r="F913" s="6" t="n">
        <f aca="false">ROUND(F912+E913,2)</f>
        <v>1125.22</v>
      </c>
    </row>
    <row r="914" customFormat="false" ht="15" hidden="false" customHeight="true" outlineLevel="0" collapsed="false">
      <c r="A914" s="6" t="n">
        <v>912</v>
      </c>
      <c r="B914" s="6" t="n">
        <f aca="false">ROUND(Veterancy_XP!$B$5*(A914+1)^Veterancy_XP!$B$6,0)</f>
        <v>419</v>
      </c>
      <c r="C914" s="6" t="n">
        <f aca="false">ROUND(1/(A914+1)^Veterancy_XP!$E$6,4)</f>
        <v>0.2389</v>
      </c>
      <c r="D914" s="6" t="n">
        <f aca="false">ROUND(Veterancy_XP!$E$5*C914,1)</f>
        <v>238.9</v>
      </c>
      <c r="E914" s="6" t="n">
        <f aca="false">ROUND(B914/D914,2)</f>
        <v>1.75</v>
      </c>
      <c r="F914" s="6" t="n">
        <f aca="false">ROUND(F913+E914,2)</f>
        <v>1126.97</v>
      </c>
    </row>
    <row r="915" customFormat="false" ht="15" hidden="false" customHeight="true" outlineLevel="0" collapsed="false">
      <c r="A915" s="6" t="n">
        <v>913</v>
      </c>
      <c r="B915" s="6" t="n">
        <f aca="false">ROUND(Veterancy_XP!$B$5*(A915+1)^Veterancy_XP!$B$6,0)</f>
        <v>419</v>
      </c>
      <c r="C915" s="6" t="n">
        <f aca="false">ROUND(1/(A915+1)^Veterancy_XP!$E$6,4)</f>
        <v>0.2389</v>
      </c>
      <c r="D915" s="6" t="n">
        <f aca="false">ROUND(Veterancy_XP!$E$5*C915,1)</f>
        <v>238.9</v>
      </c>
      <c r="E915" s="6" t="n">
        <f aca="false">ROUND(B915/D915,2)</f>
        <v>1.75</v>
      </c>
      <c r="F915" s="6" t="n">
        <f aca="false">ROUND(F914+E915,2)</f>
        <v>1128.72</v>
      </c>
    </row>
    <row r="916" customFormat="false" ht="15" hidden="false" customHeight="true" outlineLevel="0" collapsed="false">
      <c r="A916" s="6" t="n">
        <v>914</v>
      </c>
      <c r="B916" s="6" t="n">
        <f aca="false">ROUND(Veterancy_XP!$B$5*(A916+1)^Veterancy_XP!$B$6,0)</f>
        <v>419</v>
      </c>
      <c r="C916" s="6" t="n">
        <f aca="false">ROUND(1/(A916+1)^Veterancy_XP!$E$6,4)</f>
        <v>0.2388</v>
      </c>
      <c r="D916" s="6" t="n">
        <f aca="false">ROUND(Veterancy_XP!$E$5*C916,1)</f>
        <v>238.8</v>
      </c>
      <c r="E916" s="6" t="n">
        <f aca="false">ROUND(B916/D916,2)</f>
        <v>1.75</v>
      </c>
      <c r="F916" s="6" t="n">
        <f aca="false">ROUND(F915+E916,2)</f>
        <v>1130.47</v>
      </c>
    </row>
    <row r="917" customFormat="false" ht="15" hidden="false" customHeight="true" outlineLevel="0" collapsed="false">
      <c r="A917" s="6" t="n">
        <v>915</v>
      </c>
      <c r="B917" s="6" t="n">
        <f aca="false">ROUND(Veterancy_XP!$B$5*(A917+1)^Veterancy_XP!$B$6,0)</f>
        <v>419</v>
      </c>
      <c r="C917" s="6" t="n">
        <f aca="false">ROUND(1/(A917+1)^Veterancy_XP!$E$6,4)</f>
        <v>0.2388</v>
      </c>
      <c r="D917" s="6" t="n">
        <f aca="false">ROUND(Veterancy_XP!$E$5*C917,1)</f>
        <v>238.8</v>
      </c>
      <c r="E917" s="6" t="n">
        <f aca="false">ROUND(B917/D917,2)</f>
        <v>1.75</v>
      </c>
      <c r="F917" s="6" t="n">
        <f aca="false">ROUND(F916+E917,2)</f>
        <v>1132.22</v>
      </c>
    </row>
    <row r="918" customFormat="false" ht="15" hidden="false" customHeight="true" outlineLevel="0" collapsed="false">
      <c r="A918" s="6" t="n">
        <v>916</v>
      </c>
      <c r="B918" s="6" t="n">
        <f aca="false">ROUND(Veterancy_XP!$B$5*(A918+1)^Veterancy_XP!$B$6,0)</f>
        <v>419</v>
      </c>
      <c r="C918" s="6" t="n">
        <f aca="false">ROUND(1/(A918+1)^Veterancy_XP!$E$6,4)</f>
        <v>0.2387</v>
      </c>
      <c r="D918" s="6" t="n">
        <f aca="false">ROUND(Veterancy_XP!$E$5*C918,1)</f>
        <v>238.7</v>
      </c>
      <c r="E918" s="6" t="n">
        <f aca="false">ROUND(B918/D918,2)</f>
        <v>1.76</v>
      </c>
      <c r="F918" s="6" t="n">
        <f aca="false">ROUND(F917+E918,2)</f>
        <v>1133.98</v>
      </c>
    </row>
    <row r="919" customFormat="false" ht="15" hidden="false" customHeight="true" outlineLevel="0" collapsed="false">
      <c r="A919" s="6" t="n">
        <v>917</v>
      </c>
      <c r="B919" s="6" t="n">
        <f aca="false">ROUND(Veterancy_XP!$B$5*(A919+1)^Veterancy_XP!$B$6,0)</f>
        <v>419</v>
      </c>
      <c r="C919" s="6" t="n">
        <f aca="false">ROUND(1/(A919+1)^Veterancy_XP!$E$6,4)</f>
        <v>0.2387</v>
      </c>
      <c r="D919" s="6" t="n">
        <f aca="false">ROUND(Veterancy_XP!$E$5*C919,1)</f>
        <v>238.7</v>
      </c>
      <c r="E919" s="6" t="n">
        <f aca="false">ROUND(B919/D919,2)</f>
        <v>1.76</v>
      </c>
      <c r="F919" s="6" t="n">
        <f aca="false">ROUND(F918+E919,2)</f>
        <v>1135.74</v>
      </c>
    </row>
    <row r="920" customFormat="false" ht="15" hidden="false" customHeight="true" outlineLevel="0" collapsed="false">
      <c r="A920" s="6" t="n">
        <v>918</v>
      </c>
      <c r="B920" s="6" t="n">
        <f aca="false">ROUND(Veterancy_XP!$B$5*(A920+1)^Veterancy_XP!$B$6,0)</f>
        <v>419</v>
      </c>
      <c r="C920" s="6" t="n">
        <f aca="false">ROUND(1/(A920+1)^Veterancy_XP!$E$6,4)</f>
        <v>0.2386</v>
      </c>
      <c r="D920" s="6" t="n">
        <f aca="false">ROUND(Veterancy_XP!$E$5*C920,1)</f>
        <v>238.6</v>
      </c>
      <c r="E920" s="6" t="n">
        <f aca="false">ROUND(B920/D920,2)</f>
        <v>1.76</v>
      </c>
      <c r="F920" s="6" t="n">
        <f aca="false">ROUND(F919+E920,2)</f>
        <v>1137.5</v>
      </c>
    </row>
    <row r="921" customFormat="false" ht="15" hidden="false" customHeight="true" outlineLevel="0" collapsed="false">
      <c r="A921" s="6" t="n">
        <v>919</v>
      </c>
      <c r="B921" s="6" t="n">
        <f aca="false">ROUND(Veterancy_XP!$B$5*(A921+1)^Veterancy_XP!$B$6,0)</f>
        <v>419</v>
      </c>
      <c r="C921" s="6" t="n">
        <f aca="false">ROUND(1/(A921+1)^Veterancy_XP!$E$6,4)</f>
        <v>0.2386</v>
      </c>
      <c r="D921" s="6" t="n">
        <f aca="false">ROUND(Veterancy_XP!$E$5*C921,1)</f>
        <v>238.6</v>
      </c>
      <c r="E921" s="6" t="n">
        <f aca="false">ROUND(B921/D921,2)</f>
        <v>1.76</v>
      </c>
      <c r="F921" s="6" t="n">
        <f aca="false">ROUND(F920+E921,2)</f>
        <v>1139.26</v>
      </c>
    </row>
    <row r="922" customFormat="false" ht="15" hidden="false" customHeight="true" outlineLevel="0" collapsed="false">
      <c r="A922" s="6" t="n">
        <v>920</v>
      </c>
      <c r="B922" s="6" t="n">
        <f aca="false">ROUND(Veterancy_XP!$B$5*(A922+1)^Veterancy_XP!$B$6,0)</f>
        <v>419</v>
      </c>
      <c r="C922" s="6" t="n">
        <f aca="false">ROUND(1/(A922+1)^Veterancy_XP!$E$6,4)</f>
        <v>0.2385</v>
      </c>
      <c r="D922" s="6" t="n">
        <f aca="false">ROUND(Veterancy_XP!$E$5*C922,1)</f>
        <v>238.5</v>
      </c>
      <c r="E922" s="6" t="n">
        <f aca="false">ROUND(B922/D922,2)</f>
        <v>1.76</v>
      </c>
      <c r="F922" s="6" t="n">
        <f aca="false">ROUND(F921+E922,2)</f>
        <v>1141.02</v>
      </c>
    </row>
    <row r="923" customFormat="false" ht="15" hidden="false" customHeight="true" outlineLevel="0" collapsed="false">
      <c r="A923" s="6" t="n">
        <v>921</v>
      </c>
      <c r="B923" s="6" t="n">
        <f aca="false">ROUND(Veterancy_XP!$B$5*(A923+1)^Veterancy_XP!$B$6,0)</f>
        <v>419</v>
      </c>
      <c r="C923" s="6" t="n">
        <f aca="false">ROUND(1/(A923+1)^Veterancy_XP!$E$6,4)</f>
        <v>0.2385</v>
      </c>
      <c r="D923" s="6" t="n">
        <f aca="false">ROUND(Veterancy_XP!$E$5*C923,1)</f>
        <v>238.5</v>
      </c>
      <c r="E923" s="6" t="n">
        <f aca="false">ROUND(B923/D923,2)</f>
        <v>1.76</v>
      </c>
      <c r="F923" s="6" t="n">
        <f aca="false">ROUND(F922+E923,2)</f>
        <v>1142.78</v>
      </c>
    </row>
    <row r="924" customFormat="false" ht="15" hidden="false" customHeight="true" outlineLevel="0" collapsed="false">
      <c r="A924" s="6" t="n">
        <v>922</v>
      </c>
      <c r="B924" s="6" t="n">
        <f aca="false">ROUND(Veterancy_XP!$B$5*(A924+1)^Veterancy_XP!$B$6,0)</f>
        <v>419</v>
      </c>
      <c r="C924" s="6" t="n">
        <f aca="false">ROUND(1/(A924+1)^Veterancy_XP!$E$6,4)</f>
        <v>0.2384</v>
      </c>
      <c r="D924" s="6" t="n">
        <f aca="false">ROUND(Veterancy_XP!$E$5*C924,1)</f>
        <v>238.4</v>
      </c>
      <c r="E924" s="6" t="n">
        <f aca="false">ROUND(B924/D924,2)</f>
        <v>1.76</v>
      </c>
      <c r="F924" s="6" t="n">
        <f aca="false">ROUND(F923+E924,2)</f>
        <v>1144.54</v>
      </c>
    </row>
    <row r="925" customFormat="false" ht="15" hidden="false" customHeight="true" outlineLevel="0" collapsed="false">
      <c r="A925" s="6" t="n">
        <v>923</v>
      </c>
      <c r="B925" s="6" t="n">
        <f aca="false">ROUND(Veterancy_XP!$B$5*(A925+1)^Veterancy_XP!$B$6,0)</f>
        <v>420</v>
      </c>
      <c r="C925" s="6" t="n">
        <f aca="false">ROUND(1/(A925+1)^Veterancy_XP!$E$6,4)</f>
        <v>0.2383</v>
      </c>
      <c r="D925" s="6" t="n">
        <f aca="false">ROUND(Veterancy_XP!$E$5*C925,1)</f>
        <v>238.3</v>
      </c>
      <c r="E925" s="6" t="n">
        <f aca="false">ROUND(B925/D925,2)</f>
        <v>1.76</v>
      </c>
      <c r="F925" s="6" t="n">
        <f aca="false">ROUND(F924+E925,2)</f>
        <v>1146.3</v>
      </c>
    </row>
    <row r="926" customFormat="false" ht="15" hidden="false" customHeight="true" outlineLevel="0" collapsed="false">
      <c r="A926" s="6" t="n">
        <v>924</v>
      </c>
      <c r="B926" s="6" t="n">
        <f aca="false">ROUND(Veterancy_XP!$B$5*(A926+1)^Veterancy_XP!$B$6,0)</f>
        <v>420</v>
      </c>
      <c r="C926" s="6" t="n">
        <f aca="false">ROUND(1/(A926+1)^Veterancy_XP!$E$6,4)</f>
        <v>0.2383</v>
      </c>
      <c r="D926" s="6" t="n">
        <f aca="false">ROUND(Veterancy_XP!$E$5*C926,1)</f>
        <v>238.3</v>
      </c>
      <c r="E926" s="6" t="n">
        <f aca="false">ROUND(B926/D926,2)</f>
        <v>1.76</v>
      </c>
      <c r="F926" s="6" t="n">
        <f aca="false">ROUND(F925+E926,2)</f>
        <v>1148.06</v>
      </c>
    </row>
    <row r="927" customFormat="false" ht="15" hidden="false" customHeight="true" outlineLevel="0" collapsed="false">
      <c r="A927" s="6" t="n">
        <v>925</v>
      </c>
      <c r="B927" s="6" t="n">
        <f aca="false">ROUND(Veterancy_XP!$B$5*(A927+1)^Veterancy_XP!$B$6,0)</f>
        <v>420</v>
      </c>
      <c r="C927" s="6" t="n">
        <f aca="false">ROUND(1/(A927+1)^Veterancy_XP!$E$6,4)</f>
        <v>0.2382</v>
      </c>
      <c r="D927" s="6" t="n">
        <f aca="false">ROUND(Veterancy_XP!$E$5*C927,1)</f>
        <v>238.2</v>
      </c>
      <c r="E927" s="6" t="n">
        <f aca="false">ROUND(B927/D927,2)</f>
        <v>1.76</v>
      </c>
      <c r="F927" s="6" t="n">
        <f aca="false">ROUND(F926+E927,2)</f>
        <v>1149.82</v>
      </c>
    </row>
    <row r="928" customFormat="false" ht="15" hidden="false" customHeight="true" outlineLevel="0" collapsed="false">
      <c r="A928" s="6" t="n">
        <v>926</v>
      </c>
      <c r="B928" s="6" t="n">
        <f aca="false">ROUND(Veterancy_XP!$B$5*(A928+1)^Veterancy_XP!$B$6,0)</f>
        <v>420</v>
      </c>
      <c r="C928" s="6" t="n">
        <f aca="false">ROUND(1/(A928+1)^Veterancy_XP!$E$6,4)</f>
        <v>0.2382</v>
      </c>
      <c r="D928" s="6" t="n">
        <f aca="false">ROUND(Veterancy_XP!$E$5*C928,1)</f>
        <v>238.2</v>
      </c>
      <c r="E928" s="6" t="n">
        <f aca="false">ROUND(B928/D928,2)</f>
        <v>1.76</v>
      </c>
      <c r="F928" s="6" t="n">
        <f aca="false">ROUND(F927+E928,2)</f>
        <v>1151.58</v>
      </c>
    </row>
    <row r="929" customFormat="false" ht="15" hidden="false" customHeight="true" outlineLevel="0" collapsed="false">
      <c r="A929" s="6" t="n">
        <v>927</v>
      </c>
      <c r="B929" s="6" t="n">
        <f aca="false">ROUND(Veterancy_XP!$B$5*(A929+1)^Veterancy_XP!$B$6,0)</f>
        <v>420</v>
      </c>
      <c r="C929" s="6" t="n">
        <f aca="false">ROUND(1/(A929+1)^Veterancy_XP!$E$6,4)</f>
        <v>0.2381</v>
      </c>
      <c r="D929" s="6" t="n">
        <f aca="false">ROUND(Veterancy_XP!$E$5*C929,1)</f>
        <v>238.1</v>
      </c>
      <c r="E929" s="6" t="n">
        <f aca="false">ROUND(B929/D929,2)</f>
        <v>1.76</v>
      </c>
      <c r="F929" s="6" t="n">
        <f aca="false">ROUND(F928+E929,2)</f>
        <v>1153.34</v>
      </c>
    </row>
    <row r="930" customFormat="false" ht="15" hidden="false" customHeight="true" outlineLevel="0" collapsed="false">
      <c r="A930" s="6" t="n">
        <v>928</v>
      </c>
      <c r="B930" s="6" t="n">
        <f aca="false">ROUND(Veterancy_XP!$B$5*(A930+1)^Veterancy_XP!$B$6,0)</f>
        <v>420</v>
      </c>
      <c r="C930" s="6" t="n">
        <f aca="false">ROUND(1/(A930+1)^Veterancy_XP!$E$6,4)</f>
        <v>0.2381</v>
      </c>
      <c r="D930" s="6" t="n">
        <f aca="false">ROUND(Veterancy_XP!$E$5*C930,1)</f>
        <v>238.1</v>
      </c>
      <c r="E930" s="6" t="n">
        <f aca="false">ROUND(B930/D930,2)</f>
        <v>1.76</v>
      </c>
      <c r="F930" s="6" t="n">
        <f aca="false">ROUND(F929+E930,2)</f>
        <v>1155.1</v>
      </c>
    </row>
    <row r="931" customFormat="false" ht="15" hidden="false" customHeight="true" outlineLevel="0" collapsed="false">
      <c r="A931" s="6" t="n">
        <v>929</v>
      </c>
      <c r="B931" s="6" t="n">
        <f aca="false">ROUND(Veterancy_XP!$B$5*(A931+1)^Veterancy_XP!$B$6,0)</f>
        <v>420</v>
      </c>
      <c r="C931" s="6" t="n">
        <f aca="false">ROUND(1/(A931+1)^Veterancy_XP!$E$6,4)</f>
        <v>0.238</v>
      </c>
      <c r="D931" s="6" t="n">
        <f aca="false">ROUND(Veterancy_XP!$E$5*C931,1)</f>
        <v>238</v>
      </c>
      <c r="E931" s="6" t="n">
        <f aca="false">ROUND(B931/D931,2)</f>
        <v>1.76</v>
      </c>
      <c r="F931" s="6" t="n">
        <f aca="false">ROUND(F930+E931,2)</f>
        <v>1156.86</v>
      </c>
    </row>
    <row r="932" customFormat="false" ht="15" hidden="false" customHeight="true" outlineLevel="0" collapsed="false">
      <c r="A932" s="6" t="n">
        <v>930</v>
      </c>
      <c r="B932" s="6" t="n">
        <f aca="false">ROUND(Veterancy_XP!$B$5*(A932+1)^Veterancy_XP!$B$6,0)</f>
        <v>420</v>
      </c>
      <c r="C932" s="6" t="n">
        <f aca="false">ROUND(1/(A932+1)^Veterancy_XP!$E$6,4)</f>
        <v>0.238</v>
      </c>
      <c r="D932" s="6" t="n">
        <f aca="false">ROUND(Veterancy_XP!$E$5*C932,1)</f>
        <v>238</v>
      </c>
      <c r="E932" s="6" t="n">
        <f aca="false">ROUND(B932/D932,2)</f>
        <v>1.76</v>
      </c>
      <c r="F932" s="6" t="n">
        <f aca="false">ROUND(F931+E932,2)</f>
        <v>1158.62</v>
      </c>
    </row>
    <row r="933" customFormat="false" ht="15" hidden="false" customHeight="true" outlineLevel="0" collapsed="false">
      <c r="A933" s="6" t="n">
        <v>931</v>
      </c>
      <c r="B933" s="6" t="n">
        <f aca="false">ROUND(Veterancy_XP!$B$5*(A933+1)^Veterancy_XP!$B$6,0)</f>
        <v>420</v>
      </c>
      <c r="C933" s="6" t="n">
        <f aca="false">ROUND(1/(A933+1)^Veterancy_XP!$E$6,4)</f>
        <v>0.2379</v>
      </c>
      <c r="D933" s="6" t="n">
        <f aca="false">ROUND(Veterancy_XP!$E$5*C933,1)</f>
        <v>237.9</v>
      </c>
      <c r="E933" s="6" t="n">
        <f aca="false">ROUND(B933/D933,2)</f>
        <v>1.77</v>
      </c>
      <c r="F933" s="6" t="n">
        <f aca="false">ROUND(F932+E933,2)</f>
        <v>1160.39</v>
      </c>
    </row>
    <row r="934" customFormat="false" ht="15" hidden="false" customHeight="true" outlineLevel="0" collapsed="false">
      <c r="A934" s="6" t="n">
        <v>932</v>
      </c>
      <c r="B934" s="6" t="n">
        <f aca="false">ROUND(Veterancy_XP!$B$5*(A934+1)^Veterancy_XP!$B$6,0)</f>
        <v>420</v>
      </c>
      <c r="C934" s="6" t="n">
        <f aca="false">ROUND(1/(A934+1)^Veterancy_XP!$E$6,4)</f>
        <v>0.2379</v>
      </c>
      <c r="D934" s="6" t="n">
        <f aca="false">ROUND(Veterancy_XP!$E$5*C934,1)</f>
        <v>237.9</v>
      </c>
      <c r="E934" s="6" t="n">
        <f aca="false">ROUND(B934/D934,2)</f>
        <v>1.77</v>
      </c>
      <c r="F934" s="6" t="n">
        <f aca="false">ROUND(F933+E934,2)</f>
        <v>1162.16</v>
      </c>
    </row>
    <row r="935" customFormat="false" ht="15" hidden="false" customHeight="true" outlineLevel="0" collapsed="false">
      <c r="A935" s="6" t="n">
        <v>933</v>
      </c>
      <c r="B935" s="6" t="n">
        <f aca="false">ROUND(Veterancy_XP!$B$5*(A935+1)^Veterancy_XP!$B$6,0)</f>
        <v>421</v>
      </c>
      <c r="C935" s="6" t="n">
        <f aca="false">ROUND(1/(A935+1)^Veterancy_XP!$E$6,4)</f>
        <v>0.2378</v>
      </c>
      <c r="D935" s="6" t="n">
        <f aca="false">ROUND(Veterancy_XP!$E$5*C935,1)</f>
        <v>237.8</v>
      </c>
      <c r="E935" s="6" t="n">
        <f aca="false">ROUND(B935/D935,2)</f>
        <v>1.77</v>
      </c>
      <c r="F935" s="6" t="n">
        <f aca="false">ROUND(F934+E935,2)</f>
        <v>1163.93</v>
      </c>
    </row>
    <row r="936" customFormat="false" ht="15" hidden="false" customHeight="true" outlineLevel="0" collapsed="false">
      <c r="A936" s="6" t="n">
        <v>934</v>
      </c>
      <c r="B936" s="6" t="n">
        <f aca="false">ROUND(Veterancy_XP!$B$5*(A936+1)^Veterancy_XP!$B$6,0)</f>
        <v>421</v>
      </c>
      <c r="C936" s="6" t="n">
        <f aca="false">ROUND(1/(A936+1)^Veterancy_XP!$E$6,4)</f>
        <v>0.2378</v>
      </c>
      <c r="D936" s="6" t="n">
        <f aca="false">ROUND(Veterancy_XP!$E$5*C936,1)</f>
        <v>237.8</v>
      </c>
      <c r="E936" s="6" t="n">
        <f aca="false">ROUND(B936/D936,2)</f>
        <v>1.77</v>
      </c>
      <c r="F936" s="6" t="n">
        <f aca="false">ROUND(F935+E936,2)</f>
        <v>1165.7</v>
      </c>
    </row>
    <row r="937" customFormat="false" ht="15" hidden="false" customHeight="true" outlineLevel="0" collapsed="false">
      <c r="A937" s="6" t="n">
        <v>935</v>
      </c>
      <c r="B937" s="6" t="n">
        <f aca="false">ROUND(Veterancy_XP!$B$5*(A937+1)^Veterancy_XP!$B$6,0)</f>
        <v>421</v>
      </c>
      <c r="C937" s="6" t="n">
        <f aca="false">ROUND(1/(A937+1)^Veterancy_XP!$E$6,4)</f>
        <v>0.2377</v>
      </c>
      <c r="D937" s="6" t="n">
        <f aca="false">ROUND(Veterancy_XP!$E$5*C937,1)</f>
        <v>237.7</v>
      </c>
      <c r="E937" s="6" t="n">
        <f aca="false">ROUND(B937/D937,2)</f>
        <v>1.77</v>
      </c>
      <c r="F937" s="6" t="n">
        <f aca="false">ROUND(F936+E937,2)</f>
        <v>1167.47</v>
      </c>
    </row>
    <row r="938" customFormat="false" ht="15" hidden="false" customHeight="true" outlineLevel="0" collapsed="false">
      <c r="A938" s="6" t="n">
        <v>936</v>
      </c>
      <c r="B938" s="6" t="n">
        <f aca="false">ROUND(Veterancy_XP!$B$5*(A938+1)^Veterancy_XP!$B$6,0)</f>
        <v>421</v>
      </c>
      <c r="C938" s="6" t="n">
        <f aca="false">ROUND(1/(A938+1)^Veterancy_XP!$E$6,4)</f>
        <v>0.2376</v>
      </c>
      <c r="D938" s="6" t="n">
        <f aca="false">ROUND(Veterancy_XP!$E$5*C938,1)</f>
        <v>237.6</v>
      </c>
      <c r="E938" s="6" t="n">
        <f aca="false">ROUND(B938/D938,2)</f>
        <v>1.77</v>
      </c>
      <c r="F938" s="6" t="n">
        <f aca="false">ROUND(F937+E938,2)</f>
        <v>1169.24</v>
      </c>
    </row>
    <row r="939" customFormat="false" ht="15" hidden="false" customHeight="true" outlineLevel="0" collapsed="false">
      <c r="A939" s="6" t="n">
        <v>937</v>
      </c>
      <c r="B939" s="6" t="n">
        <f aca="false">ROUND(Veterancy_XP!$B$5*(A939+1)^Veterancy_XP!$B$6,0)</f>
        <v>421</v>
      </c>
      <c r="C939" s="6" t="n">
        <f aca="false">ROUND(1/(A939+1)^Veterancy_XP!$E$6,4)</f>
        <v>0.2376</v>
      </c>
      <c r="D939" s="6" t="n">
        <f aca="false">ROUND(Veterancy_XP!$E$5*C939,1)</f>
        <v>237.6</v>
      </c>
      <c r="E939" s="6" t="n">
        <f aca="false">ROUND(B939/D939,2)</f>
        <v>1.77</v>
      </c>
      <c r="F939" s="6" t="n">
        <f aca="false">ROUND(F938+E939,2)</f>
        <v>1171.01</v>
      </c>
    </row>
    <row r="940" customFormat="false" ht="15" hidden="false" customHeight="true" outlineLevel="0" collapsed="false">
      <c r="A940" s="6" t="n">
        <v>938</v>
      </c>
      <c r="B940" s="6" t="n">
        <f aca="false">ROUND(Veterancy_XP!$B$5*(A940+1)^Veterancy_XP!$B$6,0)</f>
        <v>421</v>
      </c>
      <c r="C940" s="6" t="n">
        <f aca="false">ROUND(1/(A940+1)^Veterancy_XP!$E$6,4)</f>
        <v>0.2375</v>
      </c>
      <c r="D940" s="6" t="n">
        <f aca="false">ROUND(Veterancy_XP!$E$5*C940,1)</f>
        <v>237.5</v>
      </c>
      <c r="E940" s="6" t="n">
        <f aca="false">ROUND(B940/D940,2)</f>
        <v>1.77</v>
      </c>
      <c r="F940" s="6" t="n">
        <f aca="false">ROUND(F939+E940,2)</f>
        <v>1172.78</v>
      </c>
    </row>
    <row r="941" customFormat="false" ht="15" hidden="false" customHeight="true" outlineLevel="0" collapsed="false">
      <c r="A941" s="6" t="n">
        <v>939</v>
      </c>
      <c r="B941" s="6" t="n">
        <f aca="false">ROUND(Veterancy_XP!$B$5*(A941+1)^Veterancy_XP!$B$6,0)</f>
        <v>421</v>
      </c>
      <c r="C941" s="6" t="n">
        <f aca="false">ROUND(1/(A941+1)^Veterancy_XP!$E$6,4)</f>
        <v>0.2375</v>
      </c>
      <c r="D941" s="6" t="n">
        <f aca="false">ROUND(Veterancy_XP!$E$5*C941,1)</f>
        <v>237.5</v>
      </c>
      <c r="E941" s="6" t="n">
        <f aca="false">ROUND(B941/D941,2)</f>
        <v>1.77</v>
      </c>
      <c r="F941" s="6" t="n">
        <f aca="false">ROUND(F940+E941,2)</f>
        <v>1174.55</v>
      </c>
    </row>
    <row r="942" customFormat="false" ht="15" hidden="false" customHeight="true" outlineLevel="0" collapsed="false">
      <c r="A942" s="6" t="n">
        <v>940</v>
      </c>
      <c r="B942" s="6" t="n">
        <f aca="false">ROUND(Veterancy_XP!$B$5*(A942+1)^Veterancy_XP!$B$6,0)</f>
        <v>421</v>
      </c>
      <c r="C942" s="6" t="n">
        <f aca="false">ROUND(1/(A942+1)^Veterancy_XP!$E$6,4)</f>
        <v>0.2374</v>
      </c>
      <c r="D942" s="6" t="n">
        <f aca="false">ROUND(Veterancy_XP!$E$5*C942,1)</f>
        <v>237.4</v>
      </c>
      <c r="E942" s="6" t="n">
        <f aca="false">ROUND(B942/D942,2)</f>
        <v>1.77</v>
      </c>
      <c r="F942" s="6" t="n">
        <f aca="false">ROUND(F941+E942,2)</f>
        <v>1176.32</v>
      </c>
    </row>
    <row r="943" customFormat="false" ht="15" hidden="false" customHeight="true" outlineLevel="0" collapsed="false">
      <c r="A943" s="6" t="n">
        <v>941</v>
      </c>
      <c r="B943" s="6" t="n">
        <f aca="false">ROUND(Veterancy_XP!$B$5*(A943+1)^Veterancy_XP!$B$6,0)</f>
        <v>421</v>
      </c>
      <c r="C943" s="6" t="n">
        <f aca="false">ROUND(1/(A943+1)^Veterancy_XP!$E$6,4)</f>
        <v>0.2374</v>
      </c>
      <c r="D943" s="6" t="n">
        <f aca="false">ROUND(Veterancy_XP!$E$5*C943,1)</f>
        <v>237.4</v>
      </c>
      <c r="E943" s="6" t="n">
        <f aca="false">ROUND(B943/D943,2)</f>
        <v>1.77</v>
      </c>
      <c r="F943" s="6" t="n">
        <f aca="false">ROUND(F942+E943,2)</f>
        <v>1178.09</v>
      </c>
    </row>
    <row r="944" customFormat="false" ht="15" hidden="false" customHeight="true" outlineLevel="0" collapsed="false">
      <c r="A944" s="6" t="n">
        <v>942</v>
      </c>
      <c r="B944" s="6" t="n">
        <f aca="false">ROUND(Veterancy_XP!$B$5*(A944+1)^Veterancy_XP!$B$6,0)</f>
        <v>421</v>
      </c>
      <c r="C944" s="6" t="n">
        <f aca="false">ROUND(1/(A944+1)^Veterancy_XP!$E$6,4)</f>
        <v>0.2373</v>
      </c>
      <c r="D944" s="6" t="n">
        <f aca="false">ROUND(Veterancy_XP!$E$5*C944,1)</f>
        <v>237.3</v>
      </c>
      <c r="E944" s="6" t="n">
        <f aca="false">ROUND(B944/D944,2)</f>
        <v>1.77</v>
      </c>
      <c r="F944" s="6" t="n">
        <f aca="false">ROUND(F943+E944,2)</f>
        <v>1179.86</v>
      </c>
    </row>
    <row r="945" customFormat="false" ht="15" hidden="false" customHeight="true" outlineLevel="0" collapsed="false">
      <c r="A945" s="6" t="n">
        <v>943</v>
      </c>
      <c r="B945" s="6" t="n">
        <f aca="false">ROUND(Veterancy_XP!$B$5*(A945+1)^Veterancy_XP!$B$6,0)</f>
        <v>421</v>
      </c>
      <c r="C945" s="6" t="n">
        <f aca="false">ROUND(1/(A945+1)^Veterancy_XP!$E$6,4)</f>
        <v>0.2373</v>
      </c>
      <c r="D945" s="6" t="n">
        <f aca="false">ROUND(Veterancy_XP!$E$5*C945,1)</f>
        <v>237.3</v>
      </c>
      <c r="E945" s="6" t="n">
        <f aca="false">ROUND(B945/D945,2)</f>
        <v>1.77</v>
      </c>
      <c r="F945" s="6" t="n">
        <f aca="false">ROUND(F944+E945,2)</f>
        <v>1181.63</v>
      </c>
    </row>
    <row r="946" customFormat="false" ht="15" hidden="false" customHeight="true" outlineLevel="0" collapsed="false">
      <c r="A946" s="6" t="n">
        <v>944</v>
      </c>
      <c r="B946" s="6" t="n">
        <f aca="false">ROUND(Veterancy_XP!$B$5*(A946+1)^Veterancy_XP!$B$6,0)</f>
        <v>422</v>
      </c>
      <c r="C946" s="6" t="n">
        <f aca="false">ROUND(1/(A946+1)^Veterancy_XP!$E$6,4)</f>
        <v>0.2372</v>
      </c>
      <c r="D946" s="6" t="n">
        <f aca="false">ROUND(Veterancy_XP!$E$5*C946,1)</f>
        <v>237.2</v>
      </c>
      <c r="E946" s="6" t="n">
        <f aca="false">ROUND(B946/D946,2)</f>
        <v>1.78</v>
      </c>
      <c r="F946" s="6" t="n">
        <f aca="false">ROUND(F945+E946,2)</f>
        <v>1183.41</v>
      </c>
    </row>
    <row r="947" customFormat="false" ht="15" hidden="false" customHeight="true" outlineLevel="0" collapsed="false">
      <c r="A947" s="6" t="n">
        <v>945</v>
      </c>
      <c r="B947" s="6" t="n">
        <f aca="false">ROUND(Veterancy_XP!$B$5*(A947+1)^Veterancy_XP!$B$6,0)</f>
        <v>422</v>
      </c>
      <c r="C947" s="6" t="n">
        <f aca="false">ROUND(1/(A947+1)^Veterancy_XP!$E$6,4)</f>
        <v>0.2372</v>
      </c>
      <c r="D947" s="6" t="n">
        <f aca="false">ROUND(Veterancy_XP!$E$5*C947,1)</f>
        <v>237.2</v>
      </c>
      <c r="E947" s="6" t="n">
        <f aca="false">ROUND(B947/D947,2)</f>
        <v>1.78</v>
      </c>
      <c r="F947" s="6" t="n">
        <f aca="false">ROUND(F946+E947,2)</f>
        <v>1185.19</v>
      </c>
    </row>
    <row r="948" customFormat="false" ht="15" hidden="false" customHeight="true" outlineLevel="0" collapsed="false">
      <c r="A948" s="6" t="n">
        <v>946</v>
      </c>
      <c r="B948" s="6" t="n">
        <f aca="false">ROUND(Veterancy_XP!$B$5*(A948+1)^Veterancy_XP!$B$6,0)</f>
        <v>422</v>
      </c>
      <c r="C948" s="6" t="n">
        <f aca="false">ROUND(1/(A948+1)^Veterancy_XP!$E$6,4)</f>
        <v>0.2371</v>
      </c>
      <c r="D948" s="6" t="n">
        <f aca="false">ROUND(Veterancy_XP!$E$5*C948,1)</f>
        <v>237.1</v>
      </c>
      <c r="E948" s="6" t="n">
        <f aca="false">ROUND(B948/D948,2)</f>
        <v>1.78</v>
      </c>
      <c r="F948" s="6" t="n">
        <f aca="false">ROUND(F947+E948,2)</f>
        <v>1186.97</v>
      </c>
    </row>
    <row r="949" customFormat="false" ht="15" hidden="false" customHeight="true" outlineLevel="0" collapsed="false">
      <c r="A949" s="6" t="n">
        <v>947</v>
      </c>
      <c r="B949" s="6" t="n">
        <f aca="false">ROUND(Veterancy_XP!$B$5*(A949+1)^Veterancy_XP!$B$6,0)</f>
        <v>422</v>
      </c>
      <c r="C949" s="6" t="n">
        <f aca="false">ROUND(1/(A949+1)^Veterancy_XP!$E$6,4)</f>
        <v>0.2371</v>
      </c>
      <c r="D949" s="6" t="n">
        <f aca="false">ROUND(Veterancy_XP!$E$5*C949,1)</f>
        <v>237.1</v>
      </c>
      <c r="E949" s="6" t="n">
        <f aca="false">ROUND(B949/D949,2)</f>
        <v>1.78</v>
      </c>
      <c r="F949" s="6" t="n">
        <f aca="false">ROUND(F948+E949,2)</f>
        <v>1188.75</v>
      </c>
    </row>
    <row r="950" customFormat="false" ht="15" hidden="false" customHeight="true" outlineLevel="0" collapsed="false">
      <c r="A950" s="6" t="n">
        <v>948</v>
      </c>
      <c r="B950" s="6" t="n">
        <f aca="false">ROUND(Veterancy_XP!$B$5*(A950+1)^Veterancy_XP!$B$6,0)</f>
        <v>422</v>
      </c>
      <c r="C950" s="6" t="n">
        <f aca="false">ROUND(1/(A950+1)^Veterancy_XP!$E$6,4)</f>
        <v>0.237</v>
      </c>
      <c r="D950" s="6" t="n">
        <f aca="false">ROUND(Veterancy_XP!$E$5*C950,1)</f>
        <v>237</v>
      </c>
      <c r="E950" s="6" t="n">
        <f aca="false">ROUND(B950/D950,2)</f>
        <v>1.78</v>
      </c>
      <c r="F950" s="6" t="n">
        <f aca="false">ROUND(F949+E950,2)</f>
        <v>1190.53</v>
      </c>
    </row>
    <row r="951" customFormat="false" ht="15" hidden="false" customHeight="true" outlineLevel="0" collapsed="false">
      <c r="A951" s="6" t="n">
        <v>949</v>
      </c>
      <c r="B951" s="6" t="n">
        <f aca="false">ROUND(Veterancy_XP!$B$5*(A951+1)^Veterancy_XP!$B$6,0)</f>
        <v>422</v>
      </c>
      <c r="C951" s="6" t="n">
        <f aca="false">ROUND(1/(A951+1)^Veterancy_XP!$E$6,4)</f>
        <v>0.237</v>
      </c>
      <c r="D951" s="6" t="n">
        <f aca="false">ROUND(Veterancy_XP!$E$5*C951,1)</f>
        <v>237</v>
      </c>
      <c r="E951" s="6" t="n">
        <f aca="false">ROUND(B951/D951,2)</f>
        <v>1.78</v>
      </c>
      <c r="F951" s="6" t="n">
        <f aca="false">ROUND(F950+E951,2)</f>
        <v>1192.31</v>
      </c>
    </row>
    <row r="952" customFormat="false" ht="15" hidden="false" customHeight="true" outlineLevel="0" collapsed="false">
      <c r="A952" s="6" t="n">
        <v>950</v>
      </c>
      <c r="B952" s="6" t="n">
        <f aca="false">ROUND(Veterancy_XP!$B$5*(A952+1)^Veterancy_XP!$B$6,0)</f>
        <v>422</v>
      </c>
      <c r="C952" s="6" t="n">
        <f aca="false">ROUND(1/(A952+1)^Veterancy_XP!$E$6,4)</f>
        <v>0.2369</v>
      </c>
      <c r="D952" s="6" t="n">
        <f aca="false">ROUND(Veterancy_XP!$E$5*C952,1)</f>
        <v>236.9</v>
      </c>
      <c r="E952" s="6" t="n">
        <f aca="false">ROUND(B952/D952,2)</f>
        <v>1.78</v>
      </c>
      <c r="F952" s="6" t="n">
        <f aca="false">ROUND(F951+E952,2)</f>
        <v>1194.09</v>
      </c>
    </row>
    <row r="953" customFormat="false" ht="15" hidden="false" customHeight="true" outlineLevel="0" collapsed="false">
      <c r="A953" s="6" t="n">
        <v>951</v>
      </c>
      <c r="B953" s="6" t="n">
        <f aca="false">ROUND(Veterancy_XP!$B$5*(A953+1)^Veterancy_XP!$B$6,0)</f>
        <v>422</v>
      </c>
      <c r="C953" s="6" t="n">
        <f aca="false">ROUND(1/(A953+1)^Veterancy_XP!$E$6,4)</f>
        <v>0.2369</v>
      </c>
      <c r="D953" s="6" t="n">
        <f aca="false">ROUND(Veterancy_XP!$E$5*C953,1)</f>
        <v>236.9</v>
      </c>
      <c r="E953" s="6" t="n">
        <f aca="false">ROUND(B953/D953,2)</f>
        <v>1.78</v>
      </c>
      <c r="F953" s="6" t="n">
        <f aca="false">ROUND(F952+E953,2)</f>
        <v>1195.87</v>
      </c>
    </row>
    <row r="954" customFormat="false" ht="15" hidden="false" customHeight="true" outlineLevel="0" collapsed="false">
      <c r="A954" s="6" t="n">
        <v>952</v>
      </c>
      <c r="B954" s="6" t="n">
        <f aca="false">ROUND(Veterancy_XP!$B$5*(A954+1)^Veterancy_XP!$B$6,0)</f>
        <v>422</v>
      </c>
      <c r="C954" s="6" t="n">
        <f aca="false">ROUND(1/(A954+1)^Veterancy_XP!$E$6,4)</f>
        <v>0.2368</v>
      </c>
      <c r="D954" s="6" t="n">
        <f aca="false">ROUND(Veterancy_XP!$E$5*C954,1)</f>
        <v>236.8</v>
      </c>
      <c r="E954" s="6" t="n">
        <f aca="false">ROUND(B954/D954,2)</f>
        <v>1.78</v>
      </c>
      <c r="F954" s="6" t="n">
        <f aca="false">ROUND(F953+E954,2)</f>
        <v>1197.65</v>
      </c>
    </row>
    <row r="955" customFormat="false" ht="15" hidden="false" customHeight="true" outlineLevel="0" collapsed="false">
      <c r="A955" s="6" t="n">
        <v>953</v>
      </c>
      <c r="B955" s="6" t="n">
        <f aca="false">ROUND(Veterancy_XP!$B$5*(A955+1)^Veterancy_XP!$B$6,0)</f>
        <v>422</v>
      </c>
      <c r="C955" s="6" t="n">
        <f aca="false">ROUND(1/(A955+1)^Veterancy_XP!$E$6,4)</f>
        <v>0.2368</v>
      </c>
      <c r="D955" s="6" t="n">
        <f aca="false">ROUND(Veterancy_XP!$E$5*C955,1)</f>
        <v>236.8</v>
      </c>
      <c r="E955" s="6" t="n">
        <f aca="false">ROUND(B955/D955,2)</f>
        <v>1.78</v>
      </c>
      <c r="F955" s="6" t="n">
        <f aca="false">ROUND(F954+E955,2)</f>
        <v>1199.43</v>
      </c>
    </row>
    <row r="956" customFormat="false" ht="15" hidden="false" customHeight="true" outlineLevel="0" collapsed="false">
      <c r="A956" s="6" t="n">
        <v>954</v>
      </c>
      <c r="B956" s="6" t="n">
        <f aca="false">ROUND(Veterancy_XP!$B$5*(A956+1)^Veterancy_XP!$B$6,0)</f>
        <v>422</v>
      </c>
      <c r="C956" s="6" t="n">
        <f aca="false">ROUND(1/(A956+1)^Veterancy_XP!$E$6,4)</f>
        <v>0.2367</v>
      </c>
      <c r="D956" s="6" t="n">
        <f aca="false">ROUND(Veterancy_XP!$E$5*C956,1)</f>
        <v>236.7</v>
      </c>
      <c r="E956" s="6" t="n">
        <f aca="false">ROUND(B956/D956,2)</f>
        <v>1.78</v>
      </c>
      <c r="F956" s="6" t="n">
        <f aca="false">ROUND(F955+E956,2)</f>
        <v>1201.21</v>
      </c>
    </row>
    <row r="957" customFormat="false" ht="15" hidden="false" customHeight="true" outlineLevel="0" collapsed="false">
      <c r="A957" s="6" t="n">
        <v>955</v>
      </c>
      <c r="B957" s="6" t="n">
        <f aca="false">ROUND(Veterancy_XP!$B$5*(A957+1)^Veterancy_XP!$B$6,0)</f>
        <v>423</v>
      </c>
      <c r="C957" s="6" t="n">
        <f aca="false">ROUND(1/(A957+1)^Veterancy_XP!$E$6,4)</f>
        <v>0.2366</v>
      </c>
      <c r="D957" s="6" t="n">
        <f aca="false">ROUND(Veterancy_XP!$E$5*C957,1)</f>
        <v>236.6</v>
      </c>
      <c r="E957" s="6" t="n">
        <f aca="false">ROUND(B957/D957,2)</f>
        <v>1.79</v>
      </c>
      <c r="F957" s="6" t="n">
        <f aca="false">ROUND(F956+E957,2)</f>
        <v>1203</v>
      </c>
    </row>
    <row r="958" customFormat="false" ht="15" hidden="false" customHeight="true" outlineLevel="0" collapsed="false">
      <c r="A958" s="6" t="n">
        <v>956</v>
      </c>
      <c r="B958" s="6" t="n">
        <f aca="false">ROUND(Veterancy_XP!$B$5*(A958+1)^Veterancy_XP!$B$6,0)</f>
        <v>423</v>
      </c>
      <c r="C958" s="6" t="n">
        <f aca="false">ROUND(1/(A958+1)^Veterancy_XP!$E$6,4)</f>
        <v>0.2366</v>
      </c>
      <c r="D958" s="6" t="n">
        <f aca="false">ROUND(Veterancy_XP!$E$5*C958,1)</f>
        <v>236.6</v>
      </c>
      <c r="E958" s="6" t="n">
        <f aca="false">ROUND(B958/D958,2)</f>
        <v>1.79</v>
      </c>
      <c r="F958" s="6" t="n">
        <f aca="false">ROUND(F957+E958,2)</f>
        <v>1204.79</v>
      </c>
    </row>
    <row r="959" customFormat="false" ht="15" hidden="false" customHeight="true" outlineLevel="0" collapsed="false">
      <c r="A959" s="6" t="n">
        <v>957</v>
      </c>
      <c r="B959" s="6" t="n">
        <f aca="false">ROUND(Veterancy_XP!$B$5*(A959+1)^Veterancy_XP!$B$6,0)</f>
        <v>423</v>
      </c>
      <c r="C959" s="6" t="n">
        <f aca="false">ROUND(1/(A959+1)^Veterancy_XP!$E$6,4)</f>
        <v>0.2365</v>
      </c>
      <c r="D959" s="6" t="n">
        <f aca="false">ROUND(Veterancy_XP!$E$5*C959,1)</f>
        <v>236.5</v>
      </c>
      <c r="E959" s="6" t="n">
        <f aca="false">ROUND(B959/D959,2)</f>
        <v>1.79</v>
      </c>
      <c r="F959" s="6" t="n">
        <f aca="false">ROUND(F958+E959,2)</f>
        <v>1206.58</v>
      </c>
    </row>
    <row r="960" customFormat="false" ht="15" hidden="false" customHeight="true" outlineLevel="0" collapsed="false">
      <c r="A960" s="6" t="n">
        <v>958</v>
      </c>
      <c r="B960" s="6" t="n">
        <f aca="false">ROUND(Veterancy_XP!$B$5*(A960+1)^Veterancy_XP!$B$6,0)</f>
        <v>423</v>
      </c>
      <c r="C960" s="6" t="n">
        <f aca="false">ROUND(1/(A960+1)^Veterancy_XP!$E$6,4)</f>
        <v>0.2365</v>
      </c>
      <c r="D960" s="6" t="n">
        <f aca="false">ROUND(Veterancy_XP!$E$5*C960,1)</f>
        <v>236.5</v>
      </c>
      <c r="E960" s="6" t="n">
        <f aca="false">ROUND(B960/D960,2)</f>
        <v>1.79</v>
      </c>
      <c r="F960" s="6" t="n">
        <f aca="false">ROUND(F959+E960,2)</f>
        <v>1208.37</v>
      </c>
    </row>
    <row r="961" customFormat="false" ht="15" hidden="false" customHeight="true" outlineLevel="0" collapsed="false">
      <c r="A961" s="6" t="n">
        <v>959</v>
      </c>
      <c r="B961" s="6" t="n">
        <f aca="false">ROUND(Veterancy_XP!$B$5*(A961+1)^Veterancy_XP!$B$6,0)</f>
        <v>423</v>
      </c>
      <c r="C961" s="6" t="n">
        <f aca="false">ROUND(1/(A961+1)^Veterancy_XP!$E$6,4)</f>
        <v>0.2364</v>
      </c>
      <c r="D961" s="6" t="n">
        <f aca="false">ROUND(Veterancy_XP!$E$5*C961,1)</f>
        <v>236.4</v>
      </c>
      <c r="E961" s="6" t="n">
        <f aca="false">ROUND(B961/D961,2)</f>
        <v>1.79</v>
      </c>
      <c r="F961" s="6" t="n">
        <f aca="false">ROUND(F960+E961,2)</f>
        <v>1210.16</v>
      </c>
    </row>
    <row r="962" customFormat="false" ht="15" hidden="false" customHeight="true" outlineLevel="0" collapsed="false">
      <c r="A962" s="6" t="n">
        <v>960</v>
      </c>
      <c r="B962" s="6" t="n">
        <f aca="false">ROUND(Veterancy_XP!$B$5*(A962+1)^Veterancy_XP!$B$6,0)</f>
        <v>423</v>
      </c>
      <c r="C962" s="6" t="n">
        <f aca="false">ROUND(1/(A962+1)^Veterancy_XP!$E$6,4)</f>
        <v>0.2364</v>
      </c>
      <c r="D962" s="6" t="n">
        <f aca="false">ROUND(Veterancy_XP!$E$5*C962,1)</f>
        <v>236.4</v>
      </c>
      <c r="E962" s="6" t="n">
        <f aca="false">ROUND(B962/D962,2)</f>
        <v>1.79</v>
      </c>
      <c r="F962" s="6" t="n">
        <f aca="false">ROUND(F961+E962,2)</f>
        <v>1211.95</v>
      </c>
    </row>
    <row r="963" customFormat="false" ht="15" hidden="false" customHeight="true" outlineLevel="0" collapsed="false">
      <c r="A963" s="6" t="n">
        <v>961</v>
      </c>
      <c r="B963" s="6" t="n">
        <f aca="false">ROUND(Veterancy_XP!$B$5*(A963+1)^Veterancy_XP!$B$6,0)</f>
        <v>423</v>
      </c>
      <c r="C963" s="6" t="n">
        <f aca="false">ROUND(1/(A963+1)^Veterancy_XP!$E$6,4)</f>
        <v>0.2363</v>
      </c>
      <c r="D963" s="6" t="n">
        <f aca="false">ROUND(Veterancy_XP!$E$5*C963,1)</f>
        <v>236.3</v>
      </c>
      <c r="E963" s="6" t="n">
        <f aca="false">ROUND(B963/D963,2)</f>
        <v>1.79</v>
      </c>
      <c r="F963" s="6" t="n">
        <f aca="false">ROUND(F962+E963,2)</f>
        <v>1213.74</v>
      </c>
    </row>
    <row r="964" customFormat="false" ht="15" hidden="false" customHeight="true" outlineLevel="0" collapsed="false">
      <c r="A964" s="6" t="n">
        <v>962</v>
      </c>
      <c r="B964" s="6" t="n">
        <f aca="false">ROUND(Veterancy_XP!$B$5*(A964+1)^Veterancy_XP!$B$6,0)</f>
        <v>423</v>
      </c>
      <c r="C964" s="6" t="n">
        <f aca="false">ROUND(1/(A964+1)^Veterancy_XP!$E$6,4)</f>
        <v>0.2363</v>
      </c>
      <c r="D964" s="6" t="n">
        <f aca="false">ROUND(Veterancy_XP!$E$5*C964,1)</f>
        <v>236.3</v>
      </c>
      <c r="E964" s="6" t="n">
        <f aca="false">ROUND(B964/D964,2)</f>
        <v>1.79</v>
      </c>
      <c r="F964" s="6" t="n">
        <f aca="false">ROUND(F963+E964,2)</f>
        <v>1215.53</v>
      </c>
    </row>
    <row r="965" customFormat="false" ht="15" hidden="false" customHeight="true" outlineLevel="0" collapsed="false">
      <c r="A965" s="6" t="n">
        <v>963</v>
      </c>
      <c r="B965" s="6" t="n">
        <f aca="false">ROUND(Veterancy_XP!$B$5*(A965+1)^Veterancy_XP!$B$6,0)</f>
        <v>423</v>
      </c>
      <c r="C965" s="6" t="n">
        <f aca="false">ROUND(1/(A965+1)^Veterancy_XP!$E$6,4)</f>
        <v>0.2362</v>
      </c>
      <c r="D965" s="6" t="n">
        <f aca="false">ROUND(Veterancy_XP!$E$5*C965,1)</f>
        <v>236.2</v>
      </c>
      <c r="E965" s="6" t="n">
        <f aca="false">ROUND(B965/D965,2)</f>
        <v>1.79</v>
      </c>
      <c r="F965" s="6" t="n">
        <f aca="false">ROUND(F964+E965,2)</f>
        <v>1217.32</v>
      </c>
    </row>
    <row r="966" customFormat="false" ht="15" hidden="false" customHeight="true" outlineLevel="0" collapsed="false">
      <c r="A966" s="6" t="n">
        <v>964</v>
      </c>
      <c r="B966" s="6" t="n">
        <f aca="false">ROUND(Veterancy_XP!$B$5*(A966+1)^Veterancy_XP!$B$6,0)</f>
        <v>423</v>
      </c>
      <c r="C966" s="6" t="n">
        <f aca="false">ROUND(1/(A966+1)^Veterancy_XP!$E$6,4)</f>
        <v>0.2362</v>
      </c>
      <c r="D966" s="6" t="n">
        <f aca="false">ROUND(Veterancy_XP!$E$5*C966,1)</f>
        <v>236.2</v>
      </c>
      <c r="E966" s="6" t="n">
        <f aca="false">ROUND(B966/D966,2)</f>
        <v>1.79</v>
      </c>
      <c r="F966" s="6" t="n">
        <f aca="false">ROUND(F965+E966,2)</f>
        <v>1219.11</v>
      </c>
    </row>
    <row r="967" customFormat="false" ht="15" hidden="false" customHeight="true" outlineLevel="0" collapsed="false">
      <c r="A967" s="6" t="n">
        <v>965</v>
      </c>
      <c r="B967" s="6" t="n">
        <f aca="false">ROUND(Veterancy_XP!$B$5*(A967+1)^Veterancy_XP!$B$6,0)</f>
        <v>423</v>
      </c>
      <c r="C967" s="6" t="n">
        <f aca="false">ROUND(1/(A967+1)^Veterancy_XP!$E$6,4)</f>
        <v>0.2361</v>
      </c>
      <c r="D967" s="6" t="n">
        <f aca="false">ROUND(Veterancy_XP!$E$5*C967,1)</f>
        <v>236.1</v>
      </c>
      <c r="E967" s="6" t="n">
        <f aca="false">ROUND(B967/D967,2)</f>
        <v>1.79</v>
      </c>
      <c r="F967" s="6" t="n">
        <f aca="false">ROUND(F966+E967,2)</f>
        <v>1220.9</v>
      </c>
    </row>
    <row r="968" customFormat="false" ht="15" hidden="false" customHeight="true" outlineLevel="0" collapsed="false">
      <c r="A968" s="6" t="n">
        <v>966</v>
      </c>
      <c r="B968" s="6" t="n">
        <f aca="false">ROUND(Veterancy_XP!$B$5*(A968+1)^Veterancy_XP!$B$6,0)</f>
        <v>424</v>
      </c>
      <c r="C968" s="6" t="n">
        <f aca="false">ROUND(1/(A968+1)^Veterancy_XP!$E$6,4)</f>
        <v>0.2361</v>
      </c>
      <c r="D968" s="6" t="n">
        <f aca="false">ROUND(Veterancy_XP!$E$5*C968,1)</f>
        <v>236.1</v>
      </c>
      <c r="E968" s="6" t="n">
        <f aca="false">ROUND(B968/D968,2)</f>
        <v>1.8</v>
      </c>
      <c r="F968" s="6" t="n">
        <f aca="false">ROUND(F967+E968,2)</f>
        <v>1222.7</v>
      </c>
    </row>
    <row r="969" customFormat="false" ht="15" hidden="false" customHeight="true" outlineLevel="0" collapsed="false">
      <c r="A969" s="6" t="n">
        <v>967</v>
      </c>
      <c r="B969" s="6" t="n">
        <f aca="false">ROUND(Veterancy_XP!$B$5*(A969+1)^Veterancy_XP!$B$6,0)</f>
        <v>424</v>
      </c>
      <c r="C969" s="6" t="n">
        <f aca="false">ROUND(1/(A969+1)^Veterancy_XP!$E$6,4)</f>
        <v>0.236</v>
      </c>
      <c r="D969" s="6" t="n">
        <f aca="false">ROUND(Veterancy_XP!$E$5*C969,1)</f>
        <v>236</v>
      </c>
      <c r="E969" s="6" t="n">
        <f aca="false">ROUND(B969/D969,2)</f>
        <v>1.8</v>
      </c>
      <c r="F969" s="6" t="n">
        <f aca="false">ROUND(F968+E969,2)</f>
        <v>1224.5</v>
      </c>
    </row>
    <row r="970" customFormat="false" ht="15" hidden="false" customHeight="true" outlineLevel="0" collapsed="false">
      <c r="A970" s="6" t="n">
        <v>968</v>
      </c>
      <c r="B970" s="6" t="n">
        <f aca="false">ROUND(Veterancy_XP!$B$5*(A970+1)^Veterancy_XP!$B$6,0)</f>
        <v>424</v>
      </c>
      <c r="C970" s="6" t="n">
        <f aca="false">ROUND(1/(A970+1)^Veterancy_XP!$E$6,4)</f>
        <v>0.236</v>
      </c>
      <c r="D970" s="6" t="n">
        <f aca="false">ROUND(Veterancy_XP!$E$5*C970,1)</f>
        <v>236</v>
      </c>
      <c r="E970" s="6" t="n">
        <f aca="false">ROUND(B970/D970,2)</f>
        <v>1.8</v>
      </c>
      <c r="F970" s="6" t="n">
        <f aca="false">ROUND(F969+E970,2)</f>
        <v>1226.3</v>
      </c>
    </row>
    <row r="971" customFormat="false" ht="15" hidden="false" customHeight="true" outlineLevel="0" collapsed="false">
      <c r="A971" s="6" t="n">
        <v>969</v>
      </c>
      <c r="B971" s="6" t="n">
        <f aca="false">ROUND(Veterancy_XP!$B$5*(A971+1)^Veterancy_XP!$B$6,0)</f>
        <v>424</v>
      </c>
      <c r="C971" s="6" t="n">
        <f aca="false">ROUND(1/(A971+1)^Veterancy_XP!$E$6,4)</f>
        <v>0.2359</v>
      </c>
      <c r="D971" s="6" t="n">
        <f aca="false">ROUND(Veterancy_XP!$E$5*C971,1)</f>
        <v>235.9</v>
      </c>
      <c r="E971" s="6" t="n">
        <f aca="false">ROUND(B971/D971,2)</f>
        <v>1.8</v>
      </c>
      <c r="F971" s="6" t="n">
        <f aca="false">ROUND(F970+E971,2)</f>
        <v>1228.1</v>
      </c>
    </row>
    <row r="972" customFormat="false" ht="15" hidden="false" customHeight="true" outlineLevel="0" collapsed="false">
      <c r="A972" s="6" t="n">
        <v>970</v>
      </c>
      <c r="B972" s="6" t="n">
        <f aca="false">ROUND(Veterancy_XP!$B$5*(A972+1)^Veterancy_XP!$B$6,0)</f>
        <v>424</v>
      </c>
      <c r="C972" s="6" t="n">
        <f aca="false">ROUND(1/(A972+1)^Veterancy_XP!$E$6,4)</f>
        <v>0.2359</v>
      </c>
      <c r="D972" s="6" t="n">
        <f aca="false">ROUND(Veterancy_XP!$E$5*C972,1)</f>
        <v>235.9</v>
      </c>
      <c r="E972" s="6" t="n">
        <f aca="false">ROUND(B972/D972,2)</f>
        <v>1.8</v>
      </c>
      <c r="F972" s="6" t="n">
        <f aca="false">ROUND(F971+E972,2)</f>
        <v>1229.9</v>
      </c>
    </row>
    <row r="973" customFormat="false" ht="15" hidden="false" customHeight="true" outlineLevel="0" collapsed="false">
      <c r="A973" s="6" t="n">
        <v>971</v>
      </c>
      <c r="B973" s="6" t="n">
        <f aca="false">ROUND(Veterancy_XP!$B$5*(A973+1)^Veterancy_XP!$B$6,0)</f>
        <v>424</v>
      </c>
      <c r="C973" s="6" t="n">
        <f aca="false">ROUND(1/(A973+1)^Veterancy_XP!$E$6,4)</f>
        <v>0.2358</v>
      </c>
      <c r="D973" s="6" t="n">
        <f aca="false">ROUND(Veterancy_XP!$E$5*C973,1)</f>
        <v>235.8</v>
      </c>
      <c r="E973" s="6" t="n">
        <f aca="false">ROUND(B973/D973,2)</f>
        <v>1.8</v>
      </c>
      <c r="F973" s="6" t="n">
        <f aca="false">ROUND(F972+E973,2)</f>
        <v>1231.7</v>
      </c>
    </row>
    <row r="974" customFormat="false" ht="15" hidden="false" customHeight="true" outlineLevel="0" collapsed="false">
      <c r="A974" s="6" t="n">
        <v>972</v>
      </c>
      <c r="B974" s="6" t="n">
        <f aca="false">ROUND(Veterancy_XP!$B$5*(A974+1)^Veterancy_XP!$B$6,0)</f>
        <v>424</v>
      </c>
      <c r="C974" s="6" t="n">
        <f aca="false">ROUND(1/(A974+1)^Veterancy_XP!$E$6,4)</f>
        <v>0.2358</v>
      </c>
      <c r="D974" s="6" t="n">
        <f aca="false">ROUND(Veterancy_XP!$E$5*C974,1)</f>
        <v>235.8</v>
      </c>
      <c r="E974" s="6" t="n">
        <f aca="false">ROUND(B974/D974,2)</f>
        <v>1.8</v>
      </c>
      <c r="F974" s="6" t="n">
        <f aca="false">ROUND(F973+E974,2)</f>
        <v>1233.5</v>
      </c>
    </row>
    <row r="975" customFormat="false" ht="15" hidden="false" customHeight="true" outlineLevel="0" collapsed="false">
      <c r="A975" s="6" t="n">
        <v>973</v>
      </c>
      <c r="B975" s="6" t="n">
        <f aca="false">ROUND(Veterancy_XP!$B$5*(A975+1)^Veterancy_XP!$B$6,0)</f>
        <v>424</v>
      </c>
      <c r="C975" s="6" t="n">
        <f aca="false">ROUND(1/(A975+1)^Veterancy_XP!$E$6,4)</f>
        <v>0.2357</v>
      </c>
      <c r="D975" s="6" t="n">
        <f aca="false">ROUND(Veterancy_XP!$E$5*C975,1)</f>
        <v>235.7</v>
      </c>
      <c r="E975" s="6" t="n">
        <f aca="false">ROUND(B975/D975,2)</f>
        <v>1.8</v>
      </c>
      <c r="F975" s="6" t="n">
        <f aca="false">ROUND(F974+E975,2)</f>
        <v>1235.3</v>
      </c>
    </row>
    <row r="976" customFormat="false" ht="15" hidden="false" customHeight="true" outlineLevel="0" collapsed="false">
      <c r="A976" s="6" t="n">
        <v>974</v>
      </c>
      <c r="B976" s="6" t="n">
        <f aca="false">ROUND(Veterancy_XP!$B$5*(A976+1)^Veterancy_XP!$B$6,0)</f>
        <v>424</v>
      </c>
      <c r="C976" s="6" t="n">
        <f aca="false">ROUND(1/(A976+1)^Veterancy_XP!$E$6,4)</f>
        <v>0.2357</v>
      </c>
      <c r="D976" s="6" t="n">
        <f aca="false">ROUND(Veterancy_XP!$E$5*C976,1)</f>
        <v>235.7</v>
      </c>
      <c r="E976" s="6" t="n">
        <f aca="false">ROUND(B976/D976,2)</f>
        <v>1.8</v>
      </c>
      <c r="F976" s="6" t="n">
        <f aca="false">ROUND(F975+E976,2)</f>
        <v>1237.1</v>
      </c>
    </row>
    <row r="977" customFormat="false" ht="15" hidden="false" customHeight="true" outlineLevel="0" collapsed="false">
      <c r="A977" s="6" t="n">
        <v>975</v>
      </c>
      <c r="B977" s="6" t="n">
        <f aca="false">ROUND(Veterancy_XP!$B$5*(A977+1)^Veterancy_XP!$B$6,0)</f>
        <v>424</v>
      </c>
      <c r="C977" s="6" t="n">
        <f aca="false">ROUND(1/(A977+1)^Veterancy_XP!$E$6,4)</f>
        <v>0.2356</v>
      </c>
      <c r="D977" s="6" t="n">
        <f aca="false">ROUND(Veterancy_XP!$E$5*C977,1)</f>
        <v>235.6</v>
      </c>
      <c r="E977" s="6" t="n">
        <f aca="false">ROUND(B977/D977,2)</f>
        <v>1.8</v>
      </c>
      <c r="F977" s="6" t="n">
        <f aca="false">ROUND(F976+E977,2)</f>
        <v>1238.9</v>
      </c>
    </row>
    <row r="978" customFormat="false" ht="15" hidden="false" customHeight="true" outlineLevel="0" collapsed="false">
      <c r="A978" s="6" t="n">
        <v>976</v>
      </c>
      <c r="B978" s="6" t="n">
        <f aca="false">ROUND(Veterancy_XP!$B$5*(A978+1)^Veterancy_XP!$B$6,0)</f>
        <v>425</v>
      </c>
      <c r="C978" s="6" t="n">
        <f aca="false">ROUND(1/(A978+1)^Veterancy_XP!$E$6,4)</f>
        <v>0.2356</v>
      </c>
      <c r="D978" s="6" t="n">
        <f aca="false">ROUND(Veterancy_XP!$E$5*C978,1)</f>
        <v>235.6</v>
      </c>
      <c r="E978" s="6" t="n">
        <f aca="false">ROUND(B978/D978,2)</f>
        <v>1.8</v>
      </c>
      <c r="F978" s="6" t="n">
        <f aca="false">ROUND(F977+E978,2)</f>
        <v>1240.7</v>
      </c>
    </row>
    <row r="979" customFormat="false" ht="15" hidden="false" customHeight="true" outlineLevel="0" collapsed="false">
      <c r="A979" s="6" t="n">
        <v>977</v>
      </c>
      <c r="B979" s="6" t="n">
        <f aca="false">ROUND(Veterancy_XP!$B$5*(A979+1)^Veterancy_XP!$B$6,0)</f>
        <v>425</v>
      </c>
      <c r="C979" s="6" t="n">
        <f aca="false">ROUND(1/(A979+1)^Veterancy_XP!$E$6,4)</f>
        <v>0.2355</v>
      </c>
      <c r="D979" s="6" t="n">
        <f aca="false">ROUND(Veterancy_XP!$E$5*C979,1)</f>
        <v>235.5</v>
      </c>
      <c r="E979" s="6" t="n">
        <f aca="false">ROUND(B979/D979,2)</f>
        <v>1.8</v>
      </c>
      <c r="F979" s="6" t="n">
        <f aca="false">ROUND(F978+E979,2)</f>
        <v>1242.5</v>
      </c>
    </row>
    <row r="980" customFormat="false" ht="15" hidden="false" customHeight="true" outlineLevel="0" collapsed="false">
      <c r="A980" s="6" t="n">
        <v>978</v>
      </c>
      <c r="B980" s="6" t="n">
        <f aca="false">ROUND(Veterancy_XP!$B$5*(A980+1)^Veterancy_XP!$B$6,0)</f>
        <v>425</v>
      </c>
      <c r="C980" s="6" t="n">
        <f aca="false">ROUND(1/(A980+1)^Veterancy_XP!$E$6,4)</f>
        <v>0.2355</v>
      </c>
      <c r="D980" s="6" t="n">
        <f aca="false">ROUND(Veterancy_XP!$E$5*C980,1)</f>
        <v>235.5</v>
      </c>
      <c r="E980" s="6" t="n">
        <f aca="false">ROUND(B980/D980,2)</f>
        <v>1.8</v>
      </c>
      <c r="F980" s="6" t="n">
        <f aca="false">ROUND(F979+E980,2)</f>
        <v>1244.3</v>
      </c>
    </row>
    <row r="981" customFormat="false" ht="15" hidden="false" customHeight="true" outlineLevel="0" collapsed="false">
      <c r="A981" s="6" t="n">
        <v>979</v>
      </c>
      <c r="B981" s="6" t="n">
        <f aca="false">ROUND(Veterancy_XP!$B$5*(A981+1)^Veterancy_XP!$B$6,0)</f>
        <v>425</v>
      </c>
      <c r="C981" s="6" t="n">
        <f aca="false">ROUND(1/(A981+1)^Veterancy_XP!$E$6,4)</f>
        <v>0.2354</v>
      </c>
      <c r="D981" s="6" t="n">
        <f aca="false">ROUND(Veterancy_XP!$E$5*C981,1)</f>
        <v>235.4</v>
      </c>
      <c r="E981" s="6" t="n">
        <f aca="false">ROUND(B981/D981,2)</f>
        <v>1.81</v>
      </c>
      <c r="F981" s="6" t="n">
        <f aca="false">ROUND(F980+E981,2)</f>
        <v>1246.11</v>
      </c>
    </row>
    <row r="982" customFormat="false" ht="15" hidden="false" customHeight="true" outlineLevel="0" collapsed="false">
      <c r="A982" s="6" t="n">
        <v>980</v>
      </c>
      <c r="B982" s="6" t="n">
        <f aca="false">ROUND(Veterancy_XP!$B$5*(A982+1)^Veterancy_XP!$B$6,0)</f>
        <v>425</v>
      </c>
      <c r="C982" s="6" t="n">
        <f aca="false">ROUND(1/(A982+1)^Veterancy_XP!$E$6,4)</f>
        <v>0.2354</v>
      </c>
      <c r="D982" s="6" t="n">
        <f aca="false">ROUND(Veterancy_XP!$E$5*C982,1)</f>
        <v>235.4</v>
      </c>
      <c r="E982" s="6" t="n">
        <f aca="false">ROUND(B982/D982,2)</f>
        <v>1.81</v>
      </c>
      <c r="F982" s="6" t="n">
        <f aca="false">ROUND(F981+E982,2)</f>
        <v>1247.92</v>
      </c>
    </row>
    <row r="983" customFormat="false" ht="15" hidden="false" customHeight="true" outlineLevel="0" collapsed="false">
      <c r="A983" s="6" t="n">
        <v>981</v>
      </c>
      <c r="B983" s="6" t="n">
        <f aca="false">ROUND(Veterancy_XP!$B$5*(A983+1)^Veterancy_XP!$B$6,0)</f>
        <v>425</v>
      </c>
      <c r="C983" s="6" t="n">
        <f aca="false">ROUND(1/(A983+1)^Veterancy_XP!$E$6,4)</f>
        <v>0.2353</v>
      </c>
      <c r="D983" s="6" t="n">
        <f aca="false">ROUND(Veterancy_XP!$E$5*C983,1)</f>
        <v>235.3</v>
      </c>
      <c r="E983" s="6" t="n">
        <f aca="false">ROUND(B983/D983,2)</f>
        <v>1.81</v>
      </c>
      <c r="F983" s="6" t="n">
        <f aca="false">ROUND(F982+E983,2)</f>
        <v>1249.73</v>
      </c>
    </row>
    <row r="984" customFormat="false" ht="15" hidden="false" customHeight="true" outlineLevel="0" collapsed="false">
      <c r="A984" s="6" t="n">
        <v>982</v>
      </c>
      <c r="B984" s="6" t="n">
        <f aca="false">ROUND(Veterancy_XP!$B$5*(A984+1)^Veterancy_XP!$B$6,0)</f>
        <v>425</v>
      </c>
      <c r="C984" s="6" t="n">
        <f aca="false">ROUND(1/(A984+1)^Veterancy_XP!$E$6,4)</f>
        <v>0.2353</v>
      </c>
      <c r="D984" s="6" t="n">
        <f aca="false">ROUND(Veterancy_XP!$E$5*C984,1)</f>
        <v>235.3</v>
      </c>
      <c r="E984" s="6" t="n">
        <f aca="false">ROUND(B984/D984,2)</f>
        <v>1.81</v>
      </c>
      <c r="F984" s="6" t="n">
        <f aca="false">ROUND(F983+E984,2)</f>
        <v>1251.54</v>
      </c>
    </row>
    <row r="985" customFormat="false" ht="15" hidden="false" customHeight="true" outlineLevel="0" collapsed="false">
      <c r="A985" s="6" t="n">
        <v>983</v>
      </c>
      <c r="B985" s="6" t="n">
        <f aca="false">ROUND(Veterancy_XP!$B$5*(A985+1)^Veterancy_XP!$B$6,0)</f>
        <v>425</v>
      </c>
      <c r="C985" s="6" t="n">
        <f aca="false">ROUND(1/(A985+1)^Veterancy_XP!$E$6,4)</f>
        <v>0.2352</v>
      </c>
      <c r="D985" s="6" t="n">
        <f aca="false">ROUND(Veterancy_XP!$E$5*C985,1)</f>
        <v>235.2</v>
      </c>
      <c r="E985" s="6" t="n">
        <f aca="false">ROUND(B985/D985,2)</f>
        <v>1.81</v>
      </c>
      <c r="F985" s="6" t="n">
        <f aca="false">ROUND(F984+E985,2)</f>
        <v>1253.35</v>
      </c>
    </row>
    <row r="986" customFormat="false" ht="15" hidden="false" customHeight="true" outlineLevel="0" collapsed="false">
      <c r="A986" s="6" t="n">
        <v>984</v>
      </c>
      <c r="B986" s="6" t="n">
        <f aca="false">ROUND(Veterancy_XP!$B$5*(A986+1)^Veterancy_XP!$B$6,0)</f>
        <v>425</v>
      </c>
      <c r="C986" s="6" t="n">
        <f aca="false">ROUND(1/(A986+1)^Veterancy_XP!$E$6,4)</f>
        <v>0.2352</v>
      </c>
      <c r="D986" s="6" t="n">
        <f aca="false">ROUND(Veterancy_XP!$E$5*C986,1)</f>
        <v>235.2</v>
      </c>
      <c r="E986" s="6" t="n">
        <f aca="false">ROUND(B986/D986,2)</f>
        <v>1.81</v>
      </c>
      <c r="F986" s="6" t="n">
        <f aca="false">ROUND(F985+E986,2)</f>
        <v>1255.16</v>
      </c>
    </row>
    <row r="987" customFormat="false" ht="15" hidden="false" customHeight="true" outlineLevel="0" collapsed="false">
      <c r="A987" s="6" t="n">
        <v>985</v>
      </c>
      <c r="B987" s="6" t="n">
        <f aca="false">ROUND(Veterancy_XP!$B$5*(A987+1)^Veterancy_XP!$B$6,0)</f>
        <v>425</v>
      </c>
      <c r="C987" s="6" t="n">
        <f aca="false">ROUND(1/(A987+1)^Veterancy_XP!$E$6,4)</f>
        <v>0.2351</v>
      </c>
      <c r="D987" s="6" t="n">
        <f aca="false">ROUND(Veterancy_XP!$E$5*C987,1)</f>
        <v>235.1</v>
      </c>
      <c r="E987" s="6" t="n">
        <f aca="false">ROUND(B987/D987,2)</f>
        <v>1.81</v>
      </c>
      <c r="F987" s="6" t="n">
        <f aca="false">ROUND(F986+E987,2)</f>
        <v>1256.97</v>
      </c>
    </row>
    <row r="988" customFormat="false" ht="15" hidden="false" customHeight="true" outlineLevel="0" collapsed="false">
      <c r="A988" s="6" t="n">
        <v>986</v>
      </c>
      <c r="B988" s="6" t="n">
        <f aca="false">ROUND(Veterancy_XP!$B$5*(A988+1)^Veterancy_XP!$B$6,0)</f>
        <v>425</v>
      </c>
      <c r="C988" s="6" t="n">
        <f aca="false">ROUND(1/(A988+1)^Veterancy_XP!$E$6,4)</f>
        <v>0.2351</v>
      </c>
      <c r="D988" s="6" t="n">
        <f aca="false">ROUND(Veterancy_XP!$E$5*C988,1)</f>
        <v>235.1</v>
      </c>
      <c r="E988" s="6" t="n">
        <f aca="false">ROUND(B988/D988,2)</f>
        <v>1.81</v>
      </c>
      <c r="F988" s="6" t="n">
        <f aca="false">ROUND(F987+E988,2)</f>
        <v>1258.78</v>
      </c>
    </row>
    <row r="989" customFormat="false" ht="15" hidden="false" customHeight="true" outlineLevel="0" collapsed="false">
      <c r="A989" s="6" t="n">
        <v>987</v>
      </c>
      <c r="B989" s="6" t="n">
        <f aca="false">ROUND(Veterancy_XP!$B$5*(A989+1)^Veterancy_XP!$B$6,0)</f>
        <v>425</v>
      </c>
      <c r="C989" s="6" t="n">
        <f aca="false">ROUND(1/(A989+1)^Veterancy_XP!$E$6,4)</f>
        <v>0.235</v>
      </c>
      <c r="D989" s="6" t="n">
        <f aca="false">ROUND(Veterancy_XP!$E$5*C989,1)</f>
        <v>235</v>
      </c>
      <c r="E989" s="6" t="n">
        <f aca="false">ROUND(B989/D989,2)</f>
        <v>1.81</v>
      </c>
      <c r="F989" s="6" t="n">
        <f aca="false">ROUND(F988+E989,2)</f>
        <v>1260.59</v>
      </c>
    </row>
    <row r="990" customFormat="false" ht="15" hidden="false" customHeight="true" outlineLevel="0" collapsed="false">
      <c r="A990" s="6" t="n">
        <v>988</v>
      </c>
      <c r="B990" s="6" t="n">
        <f aca="false">ROUND(Veterancy_XP!$B$5*(A990+1)^Veterancy_XP!$B$6,0)</f>
        <v>426</v>
      </c>
      <c r="C990" s="6" t="n">
        <f aca="false">ROUND(1/(A990+1)^Veterancy_XP!$E$6,4)</f>
        <v>0.235</v>
      </c>
      <c r="D990" s="6" t="n">
        <f aca="false">ROUND(Veterancy_XP!$E$5*C990,1)</f>
        <v>235</v>
      </c>
      <c r="E990" s="6" t="n">
        <f aca="false">ROUND(B990/D990,2)</f>
        <v>1.81</v>
      </c>
      <c r="F990" s="6" t="n">
        <f aca="false">ROUND(F989+E990,2)</f>
        <v>1262.4</v>
      </c>
    </row>
    <row r="991" customFormat="false" ht="15" hidden="false" customHeight="true" outlineLevel="0" collapsed="false">
      <c r="A991" s="6" t="n">
        <v>989</v>
      </c>
      <c r="B991" s="6" t="n">
        <f aca="false">ROUND(Veterancy_XP!$B$5*(A991+1)^Veterancy_XP!$B$6,0)</f>
        <v>426</v>
      </c>
      <c r="C991" s="6" t="n">
        <f aca="false">ROUND(1/(A991+1)^Veterancy_XP!$E$6,4)</f>
        <v>0.2349</v>
      </c>
      <c r="D991" s="6" t="n">
        <f aca="false">ROUND(Veterancy_XP!$E$5*C991,1)</f>
        <v>234.9</v>
      </c>
      <c r="E991" s="6" t="n">
        <f aca="false">ROUND(B991/D991,2)</f>
        <v>1.81</v>
      </c>
      <c r="F991" s="6" t="n">
        <f aca="false">ROUND(F990+E991,2)</f>
        <v>1264.21</v>
      </c>
    </row>
    <row r="992" customFormat="false" ht="15" hidden="false" customHeight="true" outlineLevel="0" collapsed="false">
      <c r="A992" s="6" t="n">
        <v>990</v>
      </c>
      <c r="B992" s="6" t="n">
        <f aca="false">ROUND(Veterancy_XP!$B$5*(A992+1)^Veterancy_XP!$B$6,0)</f>
        <v>426</v>
      </c>
      <c r="C992" s="6" t="n">
        <f aca="false">ROUND(1/(A992+1)^Veterancy_XP!$E$6,4)</f>
        <v>0.2349</v>
      </c>
      <c r="D992" s="6" t="n">
        <f aca="false">ROUND(Veterancy_XP!$E$5*C992,1)</f>
        <v>234.9</v>
      </c>
      <c r="E992" s="6" t="n">
        <f aca="false">ROUND(B992/D992,2)</f>
        <v>1.81</v>
      </c>
      <c r="F992" s="6" t="n">
        <f aca="false">ROUND(F991+E992,2)</f>
        <v>1266.02</v>
      </c>
    </row>
    <row r="993" customFormat="false" ht="15" hidden="false" customHeight="true" outlineLevel="0" collapsed="false">
      <c r="A993" s="6" t="n">
        <v>991</v>
      </c>
      <c r="B993" s="6" t="n">
        <f aca="false">ROUND(Veterancy_XP!$B$5*(A993+1)^Veterancy_XP!$B$6,0)</f>
        <v>426</v>
      </c>
      <c r="C993" s="6" t="n">
        <f aca="false">ROUND(1/(A993+1)^Veterancy_XP!$E$6,4)</f>
        <v>0.2348</v>
      </c>
      <c r="D993" s="6" t="n">
        <f aca="false">ROUND(Veterancy_XP!$E$5*C993,1)</f>
        <v>234.8</v>
      </c>
      <c r="E993" s="6" t="n">
        <f aca="false">ROUND(B993/D993,2)</f>
        <v>1.81</v>
      </c>
      <c r="F993" s="6" t="n">
        <f aca="false">ROUND(F992+E993,2)</f>
        <v>1267.83</v>
      </c>
    </row>
    <row r="994" customFormat="false" ht="15" hidden="false" customHeight="true" outlineLevel="0" collapsed="false">
      <c r="A994" s="6" t="n">
        <v>992</v>
      </c>
      <c r="B994" s="6" t="n">
        <f aca="false">ROUND(Veterancy_XP!$B$5*(A994+1)^Veterancy_XP!$B$6,0)</f>
        <v>426</v>
      </c>
      <c r="C994" s="6" t="n">
        <f aca="false">ROUND(1/(A994+1)^Veterancy_XP!$E$6,4)</f>
        <v>0.2348</v>
      </c>
      <c r="D994" s="6" t="n">
        <f aca="false">ROUND(Veterancy_XP!$E$5*C994,1)</f>
        <v>234.8</v>
      </c>
      <c r="E994" s="6" t="n">
        <f aca="false">ROUND(B994/D994,2)</f>
        <v>1.81</v>
      </c>
      <c r="F994" s="6" t="n">
        <f aca="false">ROUND(F993+E994,2)</f>
        <v>1269.64</v>
      </c>
    </row>
    <row r="995" customFormat="false" ht="15" hidden="false" customHeight="true" outlineLevel="0" collapsed="false">
      <c r="A995" s="6" t="n">
        <v>993</v>
      </c>
      <c r="B995" s="6" t="n">
        <f aca="false">ROUND(Veterancy_XP!$B$5*(A995+1)^Veterancy_XP!$B$6,0)</f>
        <v>426</v>
      </c>
      <c r="C995" s="6" t="n">
        <f aca="false">ROUND(1/(A995+1)^Veterancy_XP!$E$6,4)</f>
        <v>0.2347</v>
      </c>
      <c r="D995" s="6" t="n">
        <f aca="false">ROUND(Veterancy_XP!$E$5*C995,1)</f>
        <v>234.7</v>
      </c>
      <c r="E995" s="6" t="n">
        <f aca="false">ROUND(B995/D995,2)</f>
        <v>1.82</v>
      </c>
      <c r="F995" s="6" t="n">
        <f aca="false">ROUND(F994+E995,2)</f>
        <v>1271.46</v>
      </c>
    </row>
    <row r="996" customFormat="false" ht="15" hidden="false" customHeight="true" outlineLevel="0" collapsed="false">
      <c r="A996" s="6" t="n">
        <v>994</v>
      </c>
      <c r="B996" s="6" t="n">
        <f aca="false">ROUND(Veterancy_XP!$B$5*(A996+1)^Veterancy_XP!$B$6,0)</f>
        <v>426</v>
      </c>
      <c r="C996" s="6" t="n">
        <f aca="false">ROUND(1/(A996+1)^Veterancy_XP!$E$6,4)</f>
        <v>0.2347</v>
      </c>
      <c r="D996" s="6" t="n">
        <f aca="false">ROUND(Veterancy_XP!$E$5*C996,1)</f>
        <v>234.7</v>
      </c>
      <c r="E996" s="6" t="n">
        <f aca="false">ROUND(B996/D996,2)</f>
        <v>1.82</v>
      </c>
      <c r="F996" s="6" t="n">
        <f aca="false">ROUND(F995+E996,2)</f>
        <v>1273.28</v>
      </c>
    </row>
    <row r="997" customFormat="false" ht="15" hidden="false" customHeight="true" outlineLevel="0" collapsed="false">
      <c r="A997" s="6" t="n">
        <v>995</v>
      </c>
      <c r="B997" s="6" t="n">
        <f aca="false">ROUND(Veterancy_XP!$B$5*(A997+1)^Veterancy_XP!$B$6,0)</f>
        <v>426</v>
      </c>
      <c r="C997" s="6" t="n">
        <f aca="false">ROUND(1/(A997+1)^Veterancy_XP!$E$6,4)</f>
        <v>0.2346</v>
      </c>
      <c r="D997" s="6" t="n">
        <f aca="false">ROUND(Veterancy_XP!$E$5*C997,1)</f>
        <v>234.6</v>
      </c>
      <c r="E997" s="6" t="n">
        <f aca="false">ROUND(B997/D997,2)</f>
        <v>1.82</v>
      </c>
      <c r="F997" s="6" t="n">
        <f aca="false">ROUND(F996+E997,2)</f>
        <v>1275.1</v>
      </c>
    </row>
    <row r="998" customFormat="false" ht="15" hidden="false" customHeight="true" outlineLevel="0" collapsed="false">
      <c r="A998" s="6" t="n">
        <v>996</v>
      </c>
      <c r="B998" s="6" t="n">
        <f aca="false">ROUND(Veterancy_XP!$B$5*(A998+1)^Veterancy_XP!$B$6,0)</f>
        <v>426</v>
      </c>
      <c r="C998" s="6" t="n">
        <f aca="false">ROUND(1/(A998+1)^Veterancy_XP!$E$6,4)</f>
        <v>0.2346</v>
      </c>
      <c r="D998" s="6" t="n">
        <f aca="false">ROUND(Veterancy_XP!$E$5*C998,1)</f>
        <v>234.6</v>
      </c>
      <c r="E998" s="6" t="n">
        <f aca="false">ROUND(B998/D998,2)</f>
        <v>1.82</v>
      </c>
      <c r="F998" s="6" t="n">
        <f aca="false">ROUND(F997+E998,2)</f>
        <v>1276.92</v>
      </c>
    </row>
    <row r="999" customFormat="false" ht="15" hidden="false" customHeight="true" outlineLevel="0" collapsed="false">
      <c r="A999" s="6" t="n">
        <v>997</v>
      </c>
      <c r="B999" s="6" t="n">
        <f aca="false">ROUND(Veterancy_XP!$B$5*(A999+1)^Veterancy_XP!$B$6,0)</f>
        <v>426</v>
      </c>
      <c r="C999" s="6" t="n">
        <f aca="false">ROUND(1/(A999+1)^Veterancy_XP!$E$6,4)</f>
        <v>0.2345</v>
      </c>
      <c r="D999" s="6" t="n">
        <f aca="false">ROUND(Veterancy_XP!$E$5*C999,1)</f>
        <v>234.5</v>
      </c>
      <c r="E999" s="6" t="n">
        <f aca="false">ROUND(B999/D999,2)</f>
        <v>1.82</v>
      </c>
      <c r="F999" s="6" t="n">
        <f aca="false">ROUND(F998+E999,2)</f>
        <v>1278.74</v>
      </c>
    </row>
    <row r="1000" customFormat="false" ht="15" hidden="false" customHeight="true" outlineLevel="0" collapsed="false">
      <c r="A1000" s="6" t="n">
        <v>998</v>
      </c>
      <c r="B1000" s="6" t="n">
        <f aca="false">ROUND(Veterancy_XP!$B$5*(A1000+1)^Veterancy_XP!$B$6,0)</f>
        <v>426</v>
      </c>
      <c r="C1000" s="6" t="n">
        <f aca="false">ROUND(1/(A1000+1)^Veterancy_XP!$E$6,4)</f>
        <v>0.2345</v>
      </c>
      <c r="D1000" s="6" t="n">
        <f aca="false">ROUND(Veterancy_XP!$E$5*C1000,1)</f>
        <v>234.5</v>
      </c>
      <c r="E1000" s="6" t="n">
        <f aca="false">ROUND(B1000/D1000,2)</f>
        <v>1.82</v>
      </c>
      <c r="F1000" s="6" t="n">
        <f aca="false">ROUND(F999+E1000,2)</f>
        <v>1280.56</v>
      </c>
    </row>
    <row r="1001" customFormat="false" ht="15" hidden="false" customHeight="true" outlineLevel="0" collapsed="false">
      <c r="A1001" s="6" t="n">
        <v>999</v>
      </c>
      <c r="B1001" s="6" t="n">
        <f aca="false">ROUND(Veterancy_XP!$B$5*(A1001+1)^Veterancy_XP!$B$6,0)</f>
        <v>427</v>
      </c>
      <c r="C1001" s="6" t="n">
        <f aca="false">ROUND(1/(A1001+1)^Veterancy_XP!$E$6,4)</f>
        <v>0.2344</v>
      </c>
      <c r="D1001" s="6" t="n">
        <f aca="false">ROUND(Veterancy_XP!$E$5*C1001,1)</f>
        <v>234.4</v>
      </c>
      <c r="E1001" s="6" t="n">
        <f aca="false">ROUND(B1001/D1001,2)</f>
        <v>1.82</v>
      </c>
      <c r="F1001" s="6" t="n">
        <f aca="false">ROUND(F1000+E1001,2)</f>
        <v>1282.38</v>
      </c>
    </row>
    <row r="1002" customFormat="false" ht="15" hidden="false" customHeight="true" outlineLevel="0" collapsed="false">
      <c r="A1002" s="6" t="n">
        <v>1000</v>
      </c>
      <c r="B1002" s="6" t="n">
        <f aca="false">ROUND(Veterancy_XP!$B$5*(A1002+1)^Veterancy_XP!$B$6,0)</f>
        <v>427</v>
      </c>
      <c r="C1002" s="6" t="n">
        <f aca="false">ROUND(1/(A1002+1)^Veterancy_XP!$E$6,4)</f>
        <v>0.2344</v>
      </c>
      <c r="D1002" s="6" t="n">
        <f aca="false">ROUND(Veterancy_XP!$E$5*C1002,1)</f>
        <v>234.4</v>
      </c>
      <c r="E1002" s="6" t="n">
        <f aca="false">ROUND(B1002/D1002,2)</f>
        <v>1.82</v>
      </c>
      <c r="F1002" s="6" t="n">
        <f aca="false">ROUND(F1001+E1002,2)</f>
        <v>1284.2</v>
      </c>
    </row>
    <row r="1003" customFormat="false" ht="15" hidden="false" customHeight="true" outlineLevel="0" collapsed="false">
      <c r="A1003" s="6" t="n">
        <v>1001</v>
      </c>
      <c r="B1003" s="6" t="n">
        <f aca="false">ROUND(Veterancy_XP!$B$5*(A1003+1)^Veterancy_XP!$B$6,0)</f>
        <v>427</v>
      </c>
      <c r="C1003" s="6" t="n">
        <f aca="false">ROUND(1/(A1003+1)^Veterancy_XP!$E$6,4)</f>
        <v>0.2343</v>
      </c>
      <c r="D1003" s="6" t="n">
        <f aca="false">ROUND(Veterancy_XP!$E$5*C1003,1)</f>
        <v>234.3</v>
      </c>
      <c r="E1003" s="6" t="n">
        <f aca="false">ROUND(B1003/D1003,2)</f>
        <v>1.82</v>
      </c>
      <c r="F1003" s="6" t="n">
        <f aca="false">ROUND(F1002+E1003,2)</f>
        <v>1286.02</v>
      </c>
    </row>
    <row r="1004" customFormat="false" ht="15" hidden="false" customHeight="true" outlineLevel="0" collapsed="false">
      <c r="A1004" s="6" t="n">
        <v>1002</v>
      </c>
      <c r="B1004" s="6" t="n">
        <f aca="false">ROUND(Veterancy_XP!$B$5*(A1004+1)^Veterancy_XP!$B$6,0)</f>
        <v>427</v>
      </c>
      <c r="C1004" s="6" t="n">
        <f aca="false">ROUND(1/(A1004+1)^Veterancy_XP!$E$6,4)</f>
        <v>0.2343</v>
      </c>
      <c r="D1004" s="6" t="n">
        <f aca="false">ROUND(Veterancy_XP!$E$5*C1004,1)</f>
        <v>234.3</v>
      </c>
      <c r="E1004" s="6" t="n">
        <f aca="false">ROUND(B1004/D1004,2)</f>
        <v>1.82</v>
      </c>
      <c r="F1004" s="6" t="n">
        <f aca="false">ROUND(F1003+E1004,2)</f>
        <v>1287.84</v>
      </c>
    </row>
    <row r="1005" customFormat="false" ht="15" hidden="false" customHeight="true" outlineLevel="0" collapsed="false">
      <c r="A1005" s="6" t="n">
        <v>1003</v>
      </c>
      <c r="B1005" s="6" t="n">
        <f aca="false">ROUND(Veterancy_XP!$B$5*(A1005+1)^Veterancy_XP!$B$6,0)</f>
        <v>427</v>
      </c>
      <c r="C1005" s="6" t="n">
        <f aca="false">ROUND(1/(A1005+1)^Veterancy_XP!$E$6,4)</f>
        <v>0.2342</v>
      </c>
      <c r="D1005" s="6" t="n">
        <f aca="false">ROUND(Veterancy_XP!$E$5*C1005,1)</f>
        <v>234.2</v>
      </c>
      <c r="E1005" s="6" t="n">
        <f aca="false">ROUND(B1005/D1005,2)</f>
        <v>1.82</v>
      </c>
      <c r="F1005" s="6" t="n">
        <f aca="false">ROUND(F1004+E1005,2)</f>
        <v>1289.66</v>
      </c>
    </row>
    <row r="1006" customFormat="false" ht="15" hidden="false" customHeight="true" outlineLevel="0" collapsed="false">
      <c r="A1006" s="6" t="n">
        <v>1004</v>
      </c>
      <c r="B1006" s="6" t="n">
        <f aca="false">ROUND(Veterancy_XP!$B$5*(A1006+1)^Veterancy_XP!$B$6,0)</f>
        <v>427</v>
      </c>
      <c r="C1006" s="6" t="n">
        <f aca="false">ROUND(1/(A1006+1)^Veterancy_XP!$E$6,4)</f>
        <v>0.2342</v>
      </c>
      <c r="D1006" s="6" t="n">
        <f aca="false">ROUND(Veterancy_XP!$E$5*C1006,1)</f>
        <v>234.2</v>
      </c>
      <c r="E1006" s="6" t="n">
        <f aca="false">ROUND(B1006/D1006,2)</f>
        <v>1.82</v>
      </c>
      <c r="F1006" s="6" t="n">
        <f aca="false">ROUND(F1005+E1006,2)</f>
        <v>1291.48</v>
      </c>
    </row>
    <row r="1007" customFormat="false" ht="15" hidden="false" customHeight="true" outlineLevel="0" collapsed="false">
      <c r="A1007" s="6" t="n">
        <v>1005</v>
      </c>
      <c r="B1007" s="6" t="n">
        <f aca="false">ROUND(Veterancy_XP!$B$5*(A1007+1)^Veterancy_XP!$B$6,0)</f>
        <v>427</v>
      </c>
      <c r="C1007" s="6" t="n">
        <f aca="false">ROUND(1/(A1007+1)^Veterancy_XP!$E$6,4)</f>
        <v>0.2341</v>
      </c>
      <c r="D1007" s="6" t="n">
        <f aca="false">ROUND(Veterancy_XP!$E$5*C1007,1)</f>
        <v>234.1</v>
      </c>
      <c r="E1007" s="6" t="n">
        <f aca="false">ROUND(B1007/D1007,2)</f>
        <v>1.82</v>
      </c>
      <c r="F1007" s="6" t="n">
        <f aca="false">ROUND(F1006+E1007,2)</f>
        <v>1293.3</v>
      </c>
    </row>
    <row r="1008" customFormat="false" ht="15" hidden="false" customHeight="true" outlineLevel="0" collapsed="false">
      <c r="A1008" s="6" t="n">
        <v>1006</v>
      </c>
      <c r="B1008" s="6" t="n">
        <f aca="false">ROUND(Veterancy_XP!$B$5*(A1008+1)^Veterancy_XP!$B$6,0)</f>
        <v>427</v>
      </c>
      <c r="C1008" s="6" t="n">
        <f aca="false">ROUND(1/(A1008+1)^Veterancy_XP!$E$6,4)</f>
        <v>0.2341</v>
      </c>
      <c r="D1008" s="6" t="n">
        <f aca="false">ROUND(Veterancy_XP!$E$5*C1008,1)</f>
        <v>234.1</v>
      </c>
      <c r="E1008" s="6" t="n">
        <f aca="false">ROUND(B1008/D1008,2)</f>
        <v>1.82</v>
      </c>
      <c r="F1008" s="6" t="n">
        <f aca="false">ROUND(F1007+E1008,2)</f>
        <v>1295.12</v>
      </c>
    </row>
    <row r="1009" customFormat="false" ht="15" hidden="false" customHeight="true" outlineLevel="0" collapsed="false">
      <c r="A1009" s="6" t="n">
        <v>1007</v>
      </c>
      <c r="B1009" s="6" t="n">
        <f aca="false">ROUND(Veterancy_XP!$B$5*(A1009+1)^Veterancy_XP!$B$6,0)</f>
        <v>427</v>
      </c>
      <c r="C1009" s="6" t="n">
        <f aca="false">ROUND(1/(A1009+1)^Veterancy_XP!$E$6,4)</f>
        <v>0.234</v>
      </c>
      <c r="D1009" s="6" t="n">
        <f aca="false">ROUND(Veterancy_XP!$E$5*C1009,1)</f>
        <v>234</v>
      </c>
      <c r="E1009" s="6" t="n">
        <f aca="false">ROUND(B1009/D1009,2)</f>
        <v>1.82</v>
      </c>
      <c r="F1009" s="6" t="n">
        <f aca="false">ROUND(F1008+E1009,2)</f>
        <v>1296.94</v>
      </c>
    </row>
    <row r="1010" customFormat="false" ht="15" hidden="false" customHeight="true" outlineLevel="0" collapsed="false">
      <c r="A1010" s="6" t="n">
        <v>1008</v>
      </c>
      <c r="B1010" s="6" t="n">
        <f aca="false">ROUND(Veterancy_XP!$B$5*(A1010+1)^Veterancy_XP!$B$6,0)</f>
        <v>427</v>
      </c>
      <c r="C1010" s="6" t="n">
        <f aca="false">ROUND(1/(A1010+1)^Veterancy_XP!$E$6,4)</f>
        <v>0.234</v>
      </c>
      <c r="D1010" s="6" t="n">
        <f aca="false">ROUND(Veterancy_XP!$E$5*C1010,1)</f>
        <v>234</v>
      </c>
      <c r="E1010" s="6" t="n">
        <f aca="false">ROUND(B1010/D1010,2)</f>
        <v>1.82</v>
      </c>
      <c r="F1010" s="6" t="n">
        <f aca="false">ROUND(F1009+E1010,2)</f>
        <v>1298.76</v>
      </c>
    </row>
    <row r="1011" customFormat="false" ht="15" hidden="false" customHeight="true" outlineLevel="0" collapsed="false">
      <c r="A1011" s="6" t="n">
        <v>1009</v>
      </c>
      <c r="B1011" s="6" t="n">
        <f aca="false">ROUND(Veterancy_XP!$B$5*(A1011+1)^Veterancy_XP!$B$6,0)</f>
        <v>427</v>
      </c>
      <c r="C1011" s="6" t="n">
        <f aca="false">ROUND(1/(A1011+1)^Veterancy_XP!$E$6,4)</f>
        <v>0.2339</v>
      </c>
      <c r="D1011" s="6" t="n">
        <f aca="false">ROUND(Veterancy_XP!$E$5*C1011,1)</f>
        <v>233.9</v>
      </c>
      <c r="E1011" s="6" t="n">
        <f aca="false">ROUND(B1011/D1011,2)</f>
        <v>1.83</v>
      </c>
      <c r="F1011" s="6" t="n">
        <f aca="false">ROUND(F1010+E1011,2)</f>
        <v>1300.59</v>
      </c>
    </row>
    <row r="1012" customFormat="false" ht="15" hidden="false" customHeight="true" outlineLevel="0" collapsed="false">
      <c r="A1012" s="6" t="n">
        <v>1010</v>
      </c>
      <c r="B1012" s="6" t="n">
        <f aca="false">ROUND(Veterancy_XP!$B$5*(A1012+1)^Veterancy_XP!$B$6,0)</f>
        <v>428</v>
      </c>
      <c r="C1012" s="6" t="n">
        <f aca="false">ROUND(1/(A1012+1)^Veterancy_XP!$E$6,4)</f>
        <v>0.2339</v>
      </c>
      <c r="D1012" s="6" t="n">
        <f aca="false">ROUND(Veterancy_XP!$E$5*C1012,1)</f>
        <v>233.9</v>
      </c>
      <c r="E1012" s="6" t="n">
        <f aca="false">ROUND(B1012/D1012,2)</f>
        <v>1.83</v>
      </c>
      <c r="F1012" s="6" t="n">
        <f aca="false">ROUND(F1011+E1012,2)</f>
        <v>1302.42</v>
      </c>
    </row>
    <row r="1013" customFormat="false" ht="15" hidden="false" customHeight="true" outlineLevel="0" collapsed="false">
      <c r="A1013" s="6" t="n">
        <v>1011</v>
      </c>
      <c r="B1013" s="6" t="n">
        <f aca="false">ROUND(Veterancy_XP!$B$5*(A1013+1)^Veterancy_XP!$B$6,0)</f>
        <v>428</v>
      </c>
      <c r="C1013" s="6" t="n">
        <f aca="false">ROUND(1/(A1013+1)^Veterancy_XP!$E$6,4)</f>
        <v>0.2338</v>
      </c>
      <c r="D1013" s="6" t="n">
        <f aca="false">ROUND(Veterancy_XP!$E$5*C1013,1)</f>
        <v>233.8</v>
      </c>
      <c r="E1013" s="6" t="n">
        <f aca="false">ROUND(B1013/D1013,2)</f>
        <v>1.83</v>
      </c>
      <c r="F1013" s="6" t="n">
        <f aca="false">ROUND(F1012+E1013,2)</f>
        <v>1304.25</v>
      </c>
    </row>
    <row r="1014" customFormat="false" ht="15" hidden="false" customHeight="true" outlineLevel="0" collapsed="false">
      <c r="A1014" s="6" t="n">
        <v>1012</v>
      </c>
      <c r="B1014" s="6" t="n">
        <f aca="false">ROUND(Veterancy_XP!$B$5*(A1014+1)^Veterancy_XP!$B$6,0)</f>
        <v>428</v>
      </c>
      <c r="C1014" s="6" t="n">
        <f aca="false">ROUND(1/(A1014+1)^Veterancy_XP!$E$6,4)</f>
        <v>0.2338</v>
      </c>
      <c r="D1014" s="6" t="n">
        <f aca="false">ROUND(Veterancy_XP!$E$5*C1014,1)</f>
        <v>233.8</v>
      </c>
      <c r="E1014" s="6" t="n">
        <f aca="false">ROUND(B1014/D1014,2)</f>
        <v>1.83</v>
      </c>
      <c r="F1014" s="6" t="n">
        <f aca="false">ROUND(F1013+E1014,2)</f>
        <v>1306.08</v>
      </c>
    </row>
    <row r="1015" customFormat="false" ht="15" hidden="false" customHeight="true" outlineLevel="0" collapsed="false">
      <c r="A1015" s="6" t="n">
        <v>1013</v>
      </c>
      <c r="B1015" s="6" t="n">
        <f aca="false">ROUND(Veterancy_XP!$B$5*(A1015+1)^Veterancy_XP!$B$6,0)</f>
        <v>428</v>
      </c>
      <c r="C1015" s="6" t="n">
        <f aca="false">ROUND(1/(A1015+1)^Veterancy_XP!$E$6,4)</f>
        <v>0.2337</v>
      </c>
      <c r="D1015" s="6" t="n">
        <f aca="false">ROUND(Veterancy_XP!$E$5*C1015,1)</f>
        <v>233.7</v>
      </c>
      <c r="E1015" s="6" t="n">
        <f aca="false">ROUND(B1015/D1015,2)</f>
        <v>1.83</v>
      </c>
      <c r="F1015" s="6" t="n">
        <f aca="false">ROUND(F1014+E1015,2)</f>
        <v>1307.91</v>
      </c>
    </row>
    <row r="1016" customFormat="false" ht="15" hidden="false" customHeight="true" outlineLevel="0" collapsed="false">
      <c r="A1016" s="6" t="n">
        <v>1014</v>
      </c>
      <c r="B1016" s="6" t="n">
        <f aca="false">ROUND(Veterancy_XP!$B$5*(A1016+1)^Veterancy_XP!$B$6,0)</f>
        <v>428</v>
      </c>
      <c r="C1016" s="6" t="n">
        <f aca="false">ROUND(1/(A1016+1)^Veterancy_XP!$E$6,4)</f>
        <v>0.2337</v>
      </c>
      <c r="D1016" s="6" t="n">
        <f aca="false">ROUND(Veterancy_XP!$E$5*C1016,1)</f>
        <v>233.7</v>
      </c>
      <c r="E1016" s="6" t="n">
        <f aca="false">ROUND(B1016/D1016,2)</f>
        <v>1.83</v>
      </c>
      <c r="F1016" s="6" t="n">
        <f aca="false">ROUND(F1015+E1016,2)</f>
        <v>1309.74</v>
      </c>
    </row>
    <row r="1017" customFormat="false" ht="15" hidden="false" customHeight="true" outlineLevel="0" collapsed="false">
      <c r="A1017" s="6" t="n">
        <v>1015</v>
      </c>
      <c r="B1017" s="6" t="n">
        <f aca="false">ROUND(Veterancy_XP!$B$5*(A1017+1)^Veterancy_XP!$B$6,0)</f>
        <v>428</v>
      </c>
      <c r="C1017" s="6" t="n">
        <f aca="false">ROUND(1/(A1017+1)^Veterancy_XP!$E$6,4)</f>
        <v>0.2336</v>
      </c>
      <c r="D1017" s="6" t="n">
        <f aca="false">ROUND(Veterancy_XP!$E$5*C1017,1)</f>
        <v>233.6</v>
      </c>
      <c r="E1017" s="6" t="n">
        <f aca="false">ROUND(B1017/D1017,2)</f>
        <v>1.83</v>
      </c>
      <c r="F1017" s="6" t="n">
        <f aca="false">ROUND(F1016+E1017,2)</f>
        <v>1311.57</v>
      </c>
    </row>
    <row r="1018" customFormat="false" ht="15" hidden="false" customHeight="true" outlineLevel="0" collapsed="false">
      <c r="A1018" s="6" t="n">
        <v>1016</v>
      </c>
      <c r="B1018" s="6" t="n">
        <f aca="false">ROUND(Veterancy_XP!$B$5*(A1018+1)^Veterancy_XP!$B$6,0)</f>
        <v>428</v>
      </c>
      <c r="C1018" s="6" t="n">
        <f aca="false">ROUND(1/(A1018+1)^Veterancy_XP!$E$6,4)</f>
        <v>0.2336</v>
      </c>
      <c r="D1018" s="6" t="n">
        <f aca="false">ROUND(Veterancy_XP!$E$5*C1018,1)</f>
        <v>233.6</v>
      </c>
      <c r="E1018" s="6" t="n">
        <f aca="false">ROUND(B1018/D1018,2)</f>
        <v>1.83</v>
      </c>
      <c r="F1018" s="6" t="n">
        <f aca="false">ROUND(F1017+E1018,2)</f>
        <v>1313.4</v>
      </c>
    </row>
    <row r="1019" customFormat="false" ht="15" hidden="false" customHeight="true" outlineLevel="0" collapsed="false">
      <c r="A1019" s="6" t="n">
        <v>1017</v>
      </c>
      <c r="B1019" s="6" t="n">
        <f aca="false">ROUND(Veterancy_XP!$B$5*(A1019+1)^Veterancy_XP!$B$6,0)</f>
        <v>428</v>
      </c>
      <c r="C1019" s="6" t="n">
        <f aca="false">ROUND(1/(A1019+1)^Veterancy_XP!$E$6,4)</f>
        <v>0.2335</v>
      </c>
      <c r="D1019" s="6" t="n">
        <f aca="false">ROUND(Veterancy_XP!$E$5*C1019,1)</f>
        <v>233.5</v>
      </c>
      <c r="E1019" s="6" t="n">
        <f aca="false">ROUND(B1019/D1019,2)</f>
        <v>1.83</v>
      </c>
      <c r="F1019" s="6" t="n">
        <f aca="false">ROUND(F1018+E1019,2)</f>
        <v>1315.23</v>
      </c>
    </row>
    <row r="1020" customFormat="false" ht="15" hidden="false" customHeight="true" outlineLevel="0" collapsed="false">
      <c r="A1020" s="6" t="n">
        <v>1018</v>
      </c>
      <c r="B1020" s="6" t="n">
        <f aca="false">ROUND(Veterancy_XP!$B$5*(A1020+1)^Veterancy_XP!$B$6,0)</f>
        <v>428</v>
      </c>
      <c r="C1020" s="6" t="n">
        <f aca="false">ROUND(1/(A1020+1)^Veterancy_XP!$E$6,4)</f>
        <v>0.2335</v>
      </c>
      <c r="D1020" s="6" t="n">
        <f aca="false">ROUND(Veterancy_XP!$E$5*C1020,1)</f>
        <v>233.5</v>
      </c>
      <c r="E1020" s="6" t="n">
        <f aca="false">ROUND(B1020/D1020,2)</f>
        <v>1.83</v>
      </c>
      <c r="F1020" s="6" t="n">
        <f aca="false">ROUND(F1019+E1020,2)</f>
        <v>1317.06</v>
      </c>
    </row>
    <row r="1021" customFormat="false" ht="15" hidden="false" customHeight="true" outlineLevel="0" collapsed="false">
      <c r="A1021" s="6" t="n">
        <v>1019</v>
      </c>
      <c r="B1021" s="6" t="n">
        <f aca="false">ROUND(Veterancy_XP!$B$5*(A1021+1)^Veterancy_XP!$B$6,0)</f>
        <v>428</v>
      </c>
      <c r="C1021" s="6" t="n">
        <f aca="false">ROUND(1/(A1021+1)^Veterancy_XP!$E$6,4)</f>
        <v>0.2335</v>
      </c>
      <c r="D1021" s="6" t="n">
        <f aca="false">ROUND(Veterancy_XP!$E$5*C1021,1)</f>
        <v>233.5</v>
      </c>
      <c r="E1021" s="6" t="n">
        <f aca="false">ROUND(B1021/D1021,2)</f>
        <v>1.83</v>
      </c>
      <c r="F1021" s="6" t="n">
        <f aca="false">ROUND(F1020+E1021,2)</f>
        <v>1318.89</v>
      </c>
    </row>
    <row r="1022" customFormat="false" ht="15" hidden="false" customHeight="true" outlineLevel="0" collapsed="false">
      <c r="A1022" s="6" t="n">
        <v>1020</v>
      </c>
      <c r="B1022" s="6" t="n">
        <f aca="false">ROUND(Veterancy_XP!$B$5*(A1022+1)^Veterancy_XP!$B$6,0)</f>
        <v>428</v>
      </c>
      <c r="C1022" s="6" t="n">
        <f aca="false">ROUND(1/(A1022+1)^Veterancy_XP!$E$6,4)</f>
        <v>0.2334</v>
      </c>
      <c r="D1022" s="6" t="n">
        <f aca="false">ROUND(Veterancy_XP!$E$5*C1022,1)</f>
        <v>233.4</v>
      </c>
      <c r="E1022" s="6" t="n">
        <f aca="false">ROUND(B1022/D1022,2)</f>
        <v>1.83</v>
      </c>
      <c r="F1022" s="6" t="n">
        <f aca="false">ROUND(F1021+E1022,2)</f>
        <v>1320.72</v>
      </c>
    </row>
    <row r="1023" customFormat="false" ht="15" hidden="false" customHeight="true" outlineLevel="0" collapsed="false">
      <c r="A1023" s="6" t="n">
        <v>1021</v>
      </c>
      <c r="B1023" s="6" t="n">
        <f aca="false">ROUND(Veterancy_XP!$B$5*(A1023+1)^Veterancy_XP!$B$6,0)</f>
        <v>429</v>
      </c>
      <c r="C1023" s="6" t="n">
        <f aca="false">ROUND(1/(A1023+1)^Veterancy_XP!$E$6,4)</f>
        <v>0.2334</v>
      </c>
      <c r="D1023" s="6" t="n">
        <f aca="false">ROUND(Veterancy_XP!$E$5*C1023,1)</f>
        <v>233.4</v>
      </c>
      <c r="E1023" s="6" t="n">
        <f aca="false">ROUND(B1023/D1023,2)</f>
        <v>1.84</v>
      </c>
      <c r="F1023" s="6" t="n">
        <f aca="false">ROUND(F1022+E1023,2)</f>
        <v>1322.56</v>
      </c>
    </row>
    <row r="1024" customFormat="false" ht="15" hidden="false" customHeight="true" outlineLevel="0" collapsed="false">
      <c r="A1024" s="6" t="n">
        <v>1022</v>
      </c>
      <c r="B1024" s="6" t="n">
        <f aca="false">ROUND(Veterancy_XP!$B$5*(A1024+1)^Veterancy_XP!$B$6,0)</f>
        <v>429</v>
      </c>
      <c r="C1024" s="6" t="n">
        <f aca="false">ROUND(1/(A1024+1)^Veterancy_XP!$E$6,4)</f>
        <v>0.2333</v>
      </c>
      <c r="D1024" s="6" t="n">
        <f aca="false">ROUND(Veterancy_XP!$E$5*C1024,1)</f>
        <v>233.3</v>
      </c>
      <c r="E1024" s="6" t="n">
        <f aca="false">ROUND(B1024/D1024,2)</f>
        <v>1.84</v>
      </c>
      <c r="F1024" s="6" t="n">
        <f aca="false">ROUND(F1023+E1024,2)</f>
        <v>1324.4</v>
      </c>
    </row>
    <row r="1025" customFormat="false" ht="15" hidden="false" customHeight="true" outlineLevel="0" collapsed="false">
      <c r="A1025" s="6" t="n">
        <v>1023</v>
      </c>
      <c r="B1025" s="6" t="n">
        <f aca="false">ROUND(Veterancy_XP!$B$5*(A1025+1)^Veterancy_XP!$B$6,0)</f>
        <v>429</v>
      </c>
      <c r="C1025" s="6" t="n">
        <f aca="false">ROUND(1/(A1025+1)^Veterancy_XP!$E$6,4)</f>
        <v>0.2333</v>
      </c>
      <c r="D1025" s="6" t="n">
        <f aca="false">ROUND(Veterancy_XP!$E$5*C1025,1)</f>
        <v>233.3</v>
      </c>
      <c r="E1025" s="6" t="n">
        <f aca="false">ROUND(B1025/D1025,2)</f>
        <v>1.84</v>
      </c>
      <c r="F1025" s="6" t="n">
        <f aca="false">ROUND(F1024+E1025,2)</f>
        <v>1326.24</v>
      </c>
    </row>
    <row r="1026" customFormat="false" ht="15" hidden="false" customHeight="true" outlineLevel="0" collapsed="false">
      <c r="A1026" s="6" t="n">
        <v>1024</v>
      </c>
      <c r="B1026" s="6" t="n">
        <f aca="false">ROUND(Veterancy_XP!$B$5*(A1026+1)^Veterancy_XP!$B$6,0)</f>
        <v>429</v>
      </c>
      <c r="C1026" s="6" t="n">
        <f aca="false">ROUND(1/(A1026+1)^Veterancy_XP!$E$6,4)</f>
        <v>0.2332</v>
      </c>
      <c r="D1026" s="6" t="n">
        <f aca="false">ROUND(Veterancy_XP!$E$5*C1026,1)</f>
        <v>233.2</v>
      </c>
      <c r="E1026" s="6" t="n">
        <f aca="false">ROUND(B1026/D1026,2)</f>
        <v>1.84</v>
      </c>
      <c r="F1026" s="6" t="n">
        <f aca="false">ROUND(F1025+E1026,2)</f>
        <v>1328.08</v>
      </c>
    </row>
    <row r="1027" customFormat="false" ht="15" hidden="false" customHeight="true" outlineLevel="0" collapsed="false">
      <c r="A1027" s="6" t="n">
        <v>1025</v>
      </c>
      <c r="B1027" s="6" t="n">
        <f aca="false">ROUND(Veterancy_XP!$B$5*(A1027+1)^Veterancy_XP!$B$6,0)</f>
        <v>429</v>
      </c>
      <c r="C1027" s="6" t="n">
        <f aca="false">ROUND(1/(A1027+1)^Veterancy_XP!$E$6,4)</f>
        <v>0.2332</v>
      </c>
      <c r="D1027" s="6" t="n">
        <f aca="false">ROUND(Veterancy_XP!$E$5*C1027,1)</f>
        <v>233.2</v>
      </c>
      <c r="E1027" s="6" t="n">
        <f aca="false">ROUND(B1027/D1027,2)</f>
        <v>1.84</v>
      </c>
      <c r="F1027" s="6" t="n">
        <f aca="false">ROUND(F1026+E1027,2)</f>
        <v>1329.92</v>
      </c>
    </row>
    <row r="1028" customFormat="false" ht="15" hidden="false" customHeight="true" outlineLevel="0" collapsed="false">
      <c r="A1028" s="6" t="n">
        <v>1026</v>
      </c>
      <c r="B1028" s="6" t="n">
        <f aca="false">ROUND(Veterancy_XP!$B$5*(A1028+1)^Veterancy_XP!$B$6,0)</f>
        <v>429</v>
      </c>
      <c r="C1028" s="6" t="n">
        <f aca="false">ROUND(1/(A1028+1)^Veterancy_XP!$E$6,4)</f>
        <v>0.2331</v>
      </c>
      <c r="D1028" s="6" t="n">
        <f aca="false">ROUND(Veterancy_XP!$E$5*C1028,1)</f>
        <v>233.1</v>
      </c>
      <c r="E1028" s="6" t="n">
        <f aca="false">ROUND(B1028/D1028,2)</f>
        <v>1.84</v>
      </c>
      <c r="F1028" s="6" t="n">
        <f aca="false">ROUND(F1027+E1028,2)</f>
        <v>1331.76</v>
      </c>
    </row>
    <row r="1029" customFormat="false" ht="15" hidden="false" customHeight="true" outlineLevel="0" collapsed="false">
      <c r="A1029" s="6" t="n">
        <v>1027</v>
      </c>
      <c r="B1029" s="6" t="n">
        <f aca="false">ROUND(Veterancy_XP!$B$5*(A1029+1)^Veterancy_XP!$B$6,0)</f>
        <v>429</v>
      </c>
      <c r="C1029" s="6" t="n">
        <f aca="false">ROUND(1/(A1029+1)^Veterancy_XP!$E$6,4)</f>
        <v>0.2331</v>
      </c>
      <c r="D1029" s="6" t="n">
        <f aca="false">ROUND(Veterancy_XP!$E$5*C1029,1)</f>
        <v>233.1</v>
      </c>
      <c r="E1029" s="6" t="n">
        <f aca="false">ROUND(B1029/D1029,2)</f>
        <v>1.84</v>
      </c>
      <c r="F1029" s="6" t="n">
        <f aca="false">ROUND(F1028+E1029,2)</f>
        <v>1333.6</v>
      </c>
    </row>
    <row r="1030" customFormat="false" ht="15" hidden="false" customHeight="true" outlineLevel="0" collapsed="false">
      <c r="A1030" s="6" t="n">
        <v>1028</v>
      </c>
      <c r="B1030" s="6" t="n">
        <f aca="false">ROUND(Veterancy_XP!$B$5*(A1030+1)^Veterancy_XP!$B$6,0)</f>
        <v>429</v>
      </c>
      <c r="C1030" s="6" t="n">
        <f aca="false">ROUND(1/(A1030+1)^Veterancy_XP!$E$6,4)</f>
        <v>0.233</v>
      </c>
      <c r="D1030" s="6" t="n">
        <f aca="false">ROUND(Veterancy_XP!$E$5*C1030,1)</f>
        <v>233</v>
      </c>
      <c r="E1030" s="6" t="n">
        <f aca="false">ROUND(B1030/D1030,2)</f>
        <v>1.84</v>
      </c>
      <c r="F1030" s="6" t="n">
        <f aca="false">ROUND(F1029+E1030,2)</f>
        <v>1335.44</v>
      </c>
    </row>
    <row r="1031" customFormat="false" ht="15" hidden="false" customHeight="true" outlineLevel="0" collapsed="false">
      <c r="A1031" s="6" t="n">
        <v>1029</v>
      </c>
      <c r="B1031" s="6" t="n">
        <f aca="false">ROUND(Veterancy_XP!$B$5*(A1031+1)^Veterancy_XP!$B$6,0)</f>
        <v>429</v>
      </c>
      <c r="C1031" s="6" t="n">
        <f aca="false">ROUND(1/(A1031+1)^Veterancy_XP!$E$6,4)</f>
        <v>0.233</v>
      </c>
      <c r="D1031" s="6" t="n">
        <f aca="false">ROUND(Veterancy_XP!$E$5*C1031,1)</f>
        <v>233</v>
      </c>
      <c r="E1031" s="6" t="n">
        <f aca="false">ROUND(B1031/D1031,2)</f>
        <v>1.84</v>
      </c>
      <c r="F1031" s="6" t="n">
        <f aca="false">ROUND(F1030+E1031,2)</f>
        <v>1337.28</v>
      </c>
    </row>
    <row r="1032" customFormat="false" ht="15" hidden="false" customHeight="true" outlineLevel="0" collapsed="false">
      <c r="A1032" s="6" t="n">
        <v>1030</v>
      </c>
      <c r="B1032" s="6" t="n">
        <f aca="false">ROUND(Veterancy_XP!$B$5*(A1032+1)^Veterancy_XP!$B$6,0)</f>
        <v>429</v>
      </c>
      <c r="C1032" s="6" t="n">
        <f aca="false">ROUND(1/(A1032+1)^Veterancy_XP!$E$6,4)</f>
        <v>0.2329</v>
      </c>
      <c r="D1032" s="6" t="n">
        <f aca="false">ROUND(Veterancy_XP!$E$5*C1032,1)</f>
        <v>232.9</v>
      </c>
      <c r="E1032" s="6" t="n">
        <f aca="false">ROUND(B1032/D1032,2)</f>
        <v>1.84</v>
      </c>
      <c r="F1032" s="6" t="n">
        <f aca="false">ROUND(F1031+E1032,2)</f>
        <v>1339.12</v>
      </c>
    </row>
    <row r="1033" customFormat="false" ht="15" hidden="false" customHeight="true" outlineLevel="0" collapsed="false">
      <c r="A1033" s="6" t="n">
        <v>1031</v>
      </c>
      <c r="B1033" s="6" t="n">
        <f aca="false">ROUND(Veterancy_XP!$B$5*(A1033+1)^Veterancy_XP!$B$6,0)</f>
        <v>429</v>
      </c>
      <c r="C1033" s="6" t="n">
        <f aca="false">ROUND(1/(A1033+1)^Veterancy_XP!$E$6,4)</f>
        <v>0.2329</v>
      </c>
      <c r="D1033" s="6" t="n">
        <f aca="false">ROUND(Veterancy_XP!$E$5*C1033,1)</f>
        <v>232.9</v>
      </c>
      <c r="E1033" s="6" t="n">
        <f aca="false">ROUND(B1033/D1033,2)</f>
        <v>1.84</v>
      </c>
      <c r="F1033" s="6" t="n">
        <f aca="false">ROUND(F1032+E1033,2)</f>
        <v>1340.96</v>
      </c>
    </row>
    <row r="1034" customFormat="false" ht="15" hidden="false" customHeight="true" outlineLevel="0" collapsed="false">
      <c r="A1034" s="6" t="n">
        <v>1032</v>
      </c>
      <c r="B1034" s="6" t="n">
        <f aca="false">ROUND(Veterancy_XP!$B$5*(A1034+1)^Veterancy_XP!$B$6,0)</f>
        <v>429</v>
      </c>
      <c r="C1034" s="6" t="n">
        <f aca="false">ROUND(1/(A1034+1)^Veterancy_XP!$E$6,4)</f>
        <v>0.2328</v>
      </c>
      <c r="D1034" s="6" t="n">
        <f aca="false">ROUND(Veterancy_XP!$E$5*C1034,1)</f>
        <v>232.8</v>
      </c>
      <c r="E1034" s="6" t="n">
        <f aca="false">ROUND(B1034/D1034,2)</f>
        <v>1.84</v>
      </c>
      <c r="F1034" s="6" t="n">
        <f aca="false">ROUND(F1033+E1034,2)</f>
        <v>1342.8</v>
      </c>
    </row>
    <row r="1035" customFormat="false" ht="15" hidden="false" customHeight="true" outlineLevel="0" collapsed="false">
      <c r="A1035" s="6" t="n">
        <v>1033</v>
      </c>
      <c r="B1035" s="6" t="n">
        <f aca="false">ROUND(Veterancy_XP!$B$5*(A1035+1)^Veterancy_XP!$B$6,0)</f>
        <v>430</v>
      </c>
      <c r="C1035" s="6" t="n">
        <f aca="false">ROUND(1/(A1035+1)^Veterancy_XP!$E$6,4)</f>
        <v>0.2328</v>
      </c>
      <c r="D1035" s="6" t="n">
        <f aca="false">ROUND(Veterancy_XP!$E$5*C1035,1)</f>
        <v>232.8</v>
      </c>
      <c r="E1035" s="6" t="n">
        <f aca="false">ROUND(B1035/D1035,2)</f>
        <v>1.85</v>
      </c>
      <c r="F1035" s="6" t="n">
        <f aca="false">ROUND(F1034+E1035,2)</f>
        <v>1344.65</v>
      </c>
    </row>
    <row r="1036" customFormat="false" ht="15" hidden="false" customHeight="true" outlineLevel="0" collapsed="false">
      <c r="A1036" s="6" t="n">
        <v>1034</v>
      </c>
      <c r="B1036" s="6" t="n">
        <f aca="false">ROUND(Veterancy_XP!$B$5*(A1036+1)^Veterancy_XP!$B$6,0)</f>
        <v>430</v>
      </c>
      <c r="C1036" s="6" t="n">
        <f aca="false">ROUND(1/(A1036+1)^Veterancy_XP!$E$6,4)</f>
        <v>0.2327</v>
      </c>
      <c r="D1036" s="6" t="n">
        <f aca="false">ROUND(Veterancy_XP!$E$5*C1036,1)</f>
        <v>232.7</v>
      </c>
      <c r="E1036" s="6" t="n">
        <f aca="false">ROUND(B1036/D1036,2)</f>
        <v>1.85</v>
      </c>
      <c r="F1036" s="6" t="n">
        <f aca="false">ROUND(F1035+E1036,2)</f>
        <v>1346.5</v>
      </c>
    </row>
    <row r="1037" customFormat="false" ht="15" hidden="false" customHeight="true" outlineLevel="0" collapsed="false">
      <c r="A1037" s="6" t="n">
        <v>1035</v>
      </c>
      <c r="B1037" s="6" t="n">
        <f aca="false">ROUND(Veterancy_XP!$B$5*(A1037+1)^Veterancy_XP!$B$6,0)</f>
        <v>430</v>
      </c>
      <c r="C1037" s="6" t="n">
        <f aca="false">ROUND(1/(A1037+1)^Veterancy_XP!$E$6,4)</f>
        <v>0.2327</v>
      </c>
      <c r="D1037" s="6" t="n">
        <f aca="false">ROUND(Veterancy_XP!$E$5*C1037,1)</f>
        <v>232.7</v>
      </c>
      <c r="E1037" s="6" t="n">
        <f aca="false">ROUND(B1037/D1037,2)</f>
        <v>1.85</v>
      </c>
      <c r="F1037" s="6" t="n">
        <f aca="false">ROUND(F1036+E1037,2)</f>
        <v>1348.35</v>
      </c>
    </row>
    <row r="1038" customFormat="false" ht="15" hidden="false" customHeight="true" outlineLevel="0" collapsed="false">
      <c r="A1038" s="6" t="n">
        <v>1036</v>
      </c>
      <c r="B1038" s="6" t="n">
        <f aca="false">ROUND(Veterancy_XP!$B$5*(A1038+1)^Veterancy_XP!$B$6,0)</f>
        <v>430</v>
      </c>
      <c r="C1038" s="6" t="n">
        <f aca="false">ROUND(1/(A1038+1)^Veterancy_XP!$E$6,4)</f>
        <v>0.2326</v>
      </c>
      <c r="D1038" s="6" t="n">
        <f aca="false">ROUND(Veterancy_XP!$E$5*C1038,1)</f>
        <v>232.6</v>
      </c>
      <c r="E1038" s="6" t="n">
        <f aca="false">ROUND(B1038/D1038,2)</f>
        <v>1.85</v>
      </c>
      <c r="F1038" s="6" t="n">
        <f aca="false">ROUND(F1037+E1038,2)</f>
        <v>1350.2</v>
      </c>
    </row>
    <row r="1039" customFormat="false" ht="15" hidden="false" customHeight="true" outlineLevel="0" collapsed="false">
      <c r="A1039" s="6" t="n">
        <v>1037</v>
      </c>
      <c r="B1039" s="6" t="n">
        <f aca="false">ROUND(Veterancy_XP!$B$5*(A1039+1)^Veterancy_XP!$B$6,0)</f>
        <v>430</v>
      </c>
      <c r="C1039" s="6" t="n">
        <f aca="false">ROUND(1/(A1039+1)^Veterancy_XP!$E$6,4)</f>
        <v>0.2326</v>
      </c>
      <c r="D1039" s="6" t="n">
        <f aca="false">ROUND(Veterancy_XP!$E$5*C1039,1)</f>
        <v>232.6</v>
      </c>
      <c r="E1039" s="6" t="n">
        <f aca="false">ROUND(B1039/D1039,2)</f>
        <v>1.85</v>
      </c>
      <c r="F1039" s="6" t="n">
        <f aca="false">ROUND(F1038+E1039,2)</f>
        <v>1352.05</v>
      </c>
    </row>
    <row r="1040" customFormat="false" ht="15" hidden="false" customHeight="true" outlineLevel="0" collapsed="false">
      <c r="A1040" s="6" t="n">
        <v>1038</v>
      </c>
      <c r="B1040" s="6" t="n">
        <f aca="false">ROUND(Veterancy_XP!$B$5*(A1040+1)^Veterancy_XP!$B$6,0)</f>
        <v>430</v>
      </c>
      <c r="C1040" s="6" t="n">
        <f aca="false">ROUND(1/(A1040+1)^Veterancy_XP!$E$6,4)</f>
        <v>0.2325</v>
      </c>
      <c r="D1040" s="6" t="n">
        <f aca="false">ROUND(Veterancy_XP!$E$5*C1040,1)</f>
        <v>232.5</v>
      </c>
      <c r="E1040" s="6" t="n">
        <f aca="false">ROUND(B1040/D1040,2)</f>
        <v>1.85</v>
      </c>
      <c r="F1040" s="6" t="n">
        <f aca="false">ROUND(F1039+E1040,2)</f>
        <v>1353.9</v>
      </c>
    </row>
    <row r="1041" customFormat="false" ht="15" hidden="false" customHeight="true" outlineLevel="0" collapsed="false">
      <c r="A1041" s="6" t="n">
        <v>1039</v>
      </c>
      <c r="B1041" s="6" t="n">
        <f aca="false">ROUND(Veterancy_XP!$B$5*(A1041+1)^Veterancy_XP!$B$6,0)</f>
        <v>430</v>
      </c>
      <c r="C1041" s="6" t="n">
        <f aca="false">ROUND(1/(A1041+1)^Veterancy_XP!$E$6,4)</f>
        <v>0.2325</v>
      </c>
      <c r="D1041" s="6" t="n">
        <f aca="false">ROUND(Veterancy_XP!$E$5*C1041,1)</f>
        <v>232.5</v>
      </c>
      <c r="E1041" s="6" t="n">
        <f aca="false">ROUND(B1041/D1041,2)</f>
        <v>1.85</v>
      </c>
      <c r="F1041" s="6" t="n">
        <f aca="false">ROUND(F1040+E1041,2)</f>
        <v>1355.75</v>
      </c>
    </row>
    <row r="1042" customFormat="false" ht="15" hidden="false" customHeight="true" outlineLevel="0" collapsed="false">
      <c r="A1042" s="6" t="n">
        <v>1040</v>
      </c>
      <c r="B1042" s="6" t="n">
        <f aca="false">ROUND(Veterancy_XP!$B$5*(A1042+1)^Veterancy_XP!$B$6,0)</f>
        <v>430</v>
      </c>
      <c r="C1042" s="6" t="n">
        <f aca="false">ROUND(1/(A1042+1)^Veterancy_XP!$E$6,4)</f>
        <v>0.2325</v>
      </c>
      <c r="D1042" s="6" t="n">
        <f aca="false">ROUND(Veterancy_XP!$E$5*C1042,1)</f>
        <v>232.5</v>
      </c>
      <c r="E1042" s="6" t="n">
        <f aca="false">ROUND(B1042/D1042,2)</f>
        <v>1.85</v>
      </c>
      <c r="F1042" s="6" t="n">
        <f aca="false">ROUND(F1041+E1042,2)</f>
        <v>1357.6</v>
      </c>
    </row>
    <row r="1043" customFormat="false" ht="15" hidden="false" customHeight="true" outlineLevel="0" collapsed="false">
      <c r="A1043" s="6" t="n">
        <v>1041</v>
      </c>
      <c r="B1043" s="6" t="n">
        <f aca="false">ROUND(Veterancy_XP!$B$5*(A1043+1)^Veterancy_XP!$B$6,0)</f>
        <v>430</v>
      </c>
      <c r="C1043" s="6" t="n">
        <f aca="false">ROUND(1/(A1043+1)^Veterancy_XP!$E$6,4)</f>
        <v>0.2324</v>
      </c>
      <c r="D1043" s="6" t="n">
        <f aca="false">ROUND(Veterancy_XP!$E$5*C1043,1)</f>
        <v>232.4</v>
      </c>
      <c r="E1043" s="6" t="n">
        <f aca="false">ROUND(B1043/D1043,2)</f>
        <v>1.85</v>
      </c>
      <c r="F1043" s="6" t="n">
        <f aca="false">ROUND(F1042+E1043,2)</f>
        <v>1359.45</v>
      </c>
    </row>
    <row r="1044" customFormat="false" ht="15" hidden="false" customHeight="true" outlineLevel="0" collapsed="false">
      <c r="A1044" s="6" t="n">
        <v>1042</v>
      </c>
      <c r="B1044" s="6" t="n">
        <f aca="false">ROUND(Veterancy_XP!$B$5*(A1044+1)^Veterancy_XP!$B$6,0)</f>
        <v>430</v>
      </c>
      <c r="C1044" s="6" t="n">
        <f aca="false">ROUND(1/(A1044+1)^Veterancy_XP!$E$6,4)</f>
        <v>0.2324</v>
      </c>
      <c r="D1044" s="6" t="n">
        <f aca="false">ROUND(Veterancy_XP!$E$5*C1044,1)</f>
        <v>232.4</v>
      </c>
      <c r="E1044" s="6" t="n">
        <f aca="false">ROUND(B1044/D1044,2)</f>
        <v>1.85</v>
      </c>
      <c r="F1044" s="6" t="n">
        <f aca="false">ROUND(F1043+E1044,2)</f>
        <v>1361.3</v>
      </c>
    </row>
    <row r="1045" customFormat="false" ht="15" hidden="false" customHeight="true" outlineLevel="0" collapsed="false">
      <c r="A1045" s="6" t="n">
        <v>1043</v>
      </c>
      <c r="B1045" s="6" t="n">
        <f aca="false">ROUND(Veterancy_XP!$B$5*(A1045+1)^Veterancy_XP!$B$6,0)</f>
        <v>430</v>
      </c>
      <c r="C1045" s="6" t="n">
        <f aca="false">ROUND(1/(A1045+1)^Veterancy_XP!$E$6,4)</f>
        <v>0.2323</v>
      </c>
      <c r="D1045" s="6" t="n">
        <f aca="false">ROUND(Veterancy_XP!$E$5*C1045,1)</f>
        <v>232.3</v>
      </c>
      <c r="E1045" s="6" t="n">
        <f aca="false">ROUND(B1045/D1045,2)</f>
        <v>1.85</v>
      </c>
      <c r="F1045" s="6" t="n">
        <f aca="false">ROUND(F1044+E1045,2)</f>
        <v>1363.15</v>
      </c>
    </row>
    <row r="1046" customFormat="false" ht="15" hidden="false" customHeight="true" outlineLevel="0" collapsed="false">
      <c r="A1046" s="6" t="n">
        <v>1044</v>
      </c>
      <c r="B1046" s="6" t="n">
        <f aca="false">ROUND(Veterancy_XP!$B$5*(A1046+1)^Veterancy_XP!$B$6,0)</f>
        <v>431</v>
      </c>
      <c r="C1046" s="6" t="n">
        <f aca="false">ROUND(1/(A1046+1)^Veterancy_XP!$E$6,4)</f>
        <v>0.2323</v>
      </c>
      <c r="D1046" s="6" t="n">
        <f aca="false">ROUND(Veterancy_XP!$E$5*C1046,1)</f>
        <v>232.3</v>
      </c>
      <c r="E1046" s="6" t="n">
        <f aca="false">ROUND(B1046/D1046,2)</f>
        <v>1.86</v>
      </c>
      <c r="F1046" s="6" t="n">
        <f aca="false">ROUND(F1045+E1046,2)</f>
        <v>1365.01</v>
      </c>
    </row>
    <row r="1047" customFormat="false" ht="15" hidden="false" customHeight="true" outlineLevel="0" collapsed="false">
      <c r="A1047" s="6" t="n">
        <v>1045</v>
      </c>
      <c r="B1047" s="6" t="n">
        <f aca="false">ROUND(Veterancy_XP!$B$5*(A1047+1)^Veterancy_XP!$B$6,0)</f>
        <v>431</v>
      </c>
      <c r="C1047" s="6" t="n">
        <f aca="false">ROUND(1/(A1047+1)^Veterancy_XP!$E$6,4)</f>
        <v>0.2322</v>
      </c>
      <c r="D1047" s="6" t="n">
        <f aca="false">ROUND(Veterancy_XP!$E$5*C1047,1)</f>
        <v>232.2</v>
      </c>
      <c r="E1047" s="6" t="n">
        <f aca="false">ROUND(B1047/D1047,2)</f>
        <v>1.86</v>
      </c>
      <c r="F1047" s="6" t="n">
        <f aca="false">ROUND(F1046+E1047,2)</f>
        <v>1366.87</v>
      </c>
    </row>
    <row r="1048" customFormat="false" ht="15" hidden="false" customHeight="true" outlineLevel="0" collapsed="false">
      <c r="A1048" s="6" t="n">
        <v>1046</v>
      </c>
      <c r="B1048" s="6" t="n">
        <f aca="false">ROUND(Veterancy_XP!$B$5*(A1048+1)^Veterancy_XP!$B$6,0)</f>
        <v>431</v>
      </c>
      <c r="C1048" s="6" t="n">
        <f aca="false">ROUND(1/(A1048+1)^Veterancy_XP!$E$6,4)</f>
        <v>0.2322</v>
      </c>
      <c r="D1048" s="6" t="n">
        <f aca="false">ROUND(Veterancy_XP!$E$5*C1048,1)</f>
        <v>232.2</v>
      </c>
      <c r="E1048" s="6" t="n">
        <f aca="false">ROUND(B1048/D1048,2)</f>
        <v>1.86</v>
      </c>
      <c r="F1048" s="6" t="n">
        <f aca="false">ROUND(F1047+E1048,2)</f>
        <v>1368.73</v>
      </c>
    </row>
    <row r="1049" customFormat="false" ht="15" hidden="false" customHeight="true" outlineLevel="0" collapsed="false">
      <c r="A1049" s="6" t="n">
        <v>1047</v>
      </c>
      <c r="B1049" s="6" t="n">
        <f aca="false">ROUND(Veterancy_XP!$B$5*(A1049+1)^Veterancy_XP!$B$6,0)</f>
        <v>431</v>
      </c>
      <c r="C1049" s="6" t="n">
        <f aca="false">ROUND(1/(A1049+1)^Veterancy_XP!$E$6,4)</f>
        <v>0.2321</v>
      </c>
      <c r="D1049" s="6" t="n">
        <f aca="false">ROUND(Veterancy_XP!$E$5*C1049,1)</f>
        <v>232.1</v>
      </c>
      <c r="E1049" s="6" t="n">
        <f aca="false">ROUND(B1049/D1049,2)</f>
        <v>1.86</v>
      </c>
      <c r="F1049" s="6" t="n">
        <f aca="false">ROUND(F1048+E1049,2)</f>
        <v>1370.59</v>
      </c>
    </row>
    <row r="1050" customFormat="false" ht="15" hidden="false" customHeight="true" outlineLevel="0" collapsed="false">
      <c r="A1050" s="6" t="n">
        <v>1048</v>
      </c>
      <c r="B1050" s="6" t="n">
        <f aca="false">ROUND(Veterancy_XP!$B$5*(A1050+1)^Veterancy_XP!$B$6,0)</f>
        <v>431</v>
      </c>
      <c r="C1050" s="6" t="n">
        <f aca="false">ROUND(1/(A1050+1)^Veterancy_XP!$E$6,4)</f>
        <v>0.2321</v>
      </c>
      <c r="D1050" s="6" t="n">
        <f aca="false">ROUND(Veterancy_XP!$E$5*C1050,1)</f>
        <v>232.1</v>
      </c>
      <c r="E1050" s="6" t="n">
        <f aca="false">ROUND(B1050/D1050,2)</f>
        <v>1.86</v>
      </c>
      <c r="F1050" s="6" t="n">
        <f aca="false">ROUND(F1049+E1050,2)</f>
        <v>1372.45</v>
      </c>
    </row>
    <row r="1051" customFormat="false" ht="15" hidden="false" customHeight="true" outlineLevel="0" collapsed="false">
      <c r="A1051" s="6" t="n">
        <v>1049</v>
      </c>
      <c r="B1051" s="6" t="n">
        <f aca="false">ROUND(Veterancy_XP!$B$5*(A1051+1)^Veterancy_XP!$B$6,0)</f>
        <v>431</v>
      </c>
      <c r="C1051" s="6" t="n">
        <f aca="false">ROUND(1/(A1051+1)^Veterancy_XP!$E$6,4)</f>
        <v>0.232</v>
      </c>
      <c r="D1051" s="6" t="n">
        <f aca="false">ROUND(Veterancy_XP!$E$5*C1051,1)</f>
        <v>232</v>
      </c>
      <c r="E1051" s="6" t="n">
        <f aca="false">ROUND(B1051/D1051,2)</f>
        <v>1.86</v>
      </c>
      <c r="F1051" s="6" t="n">
        <f aca="false">ROUND(F1050+E1051,2)</f>
        <v>1374.31</v>
      </c>
    </row>
    <row r="1052" customFormat="false" ht="15" hidden="false" customHeight="true" outlineLevel="0" collapsed="false">
      <c r="A1052" s="6" t="n">
        <v>1050</v>
      </c>
      <c r="B1052" s="6" t="n">
        <f aca="false">ROUND(Veterancy_XP!$B$5*(A1052+1)^Veterancy_XP!$B$6,0)</f>
        <v>431</v>
      </c>
      <c r="C1052" s="6" t="n">
        <f aca="false">ROUND(1/(A1052+1)^Veterancy_XP!$E$6,4)</f>
        <v>0.232</v>
      </c>
      <c r="D1052" s="6" t="n">
        <f aca="false">ROUND(Veterancy_XP!$E$5*C1052,1)</f>
        <v>232</v>
      </c>
      <c r="E1052" s="6" t="n">
        <f aca="false">ROUND(B1052/D1052,2)</f>
        <v>1.86</v>
      </c>
      <c r="F1052" s="6" t="n">
        <f aca="false">ROUND(F1051+E1052,2)</f>
        <v>1376.17</v>
      </c>
    </row>
    <row r="1053" customFormat="false" ht="15" hidden="false" customHeight="true" outlineLevel="0" collapsed="false">
      <c r="A1053" s="6" t="n">
        <v>1051</v>
      </c>
      <c r="B1053" s="6" t="n">
        <f aca="false">ROUND(Veterancy_XP!$B$5*(A1053+1)^Veterancy_XP!$B$6,0)</f>
        <v>431</v>
      </c>
      <c r="C1053" s="6" t="n">
        <f aca="false">ROUND(1/(A1053+1)^Veterancy_XP!$E$6,4)</f>
        <v>0.2319</v>
      </c>
      <c r="D1053" s="6" t="n">
        <f aca="false">ROUND(Veterancy_XP!$E$5*C1053,1)</f>
        <v>231.9</v>
      </c>
      <c r="E1053" s="6" t="n">
        <f aca="false">ROUND(B1053/D1053,2)</f>
        <v>1.86</v>
      </c>
      <c r="F1053" s="6" t="n">
        <f aca="false">ROUND(F1052+E1053,2)</f>
        <v>1378.03</v>
      </c>
    </row>
    <row r="1054" customFormat="false" ht="15" hidden="false" customHeight="true" outlineLevel="0" collapsed="false">
      <c r="A1054" s="6" t="n">
        <v>1052</v>
      </c>
      <c r="B1054" s="6" t="n">
        <f aca="false">ROUND(Veterancy_XP!$B$5*(A1054+1)^Veterancy_XP!$B$6,0)</f>
        <v>431</v>
      </c>
      <c r="C1054" s="6" t="n">
        <f aca="false">ROUND(1/(A1054+1)^Veterancy_XP!$E$6,4)</f>
        <v>0.2319</v>
      </c>
      <c r="D1054" s="6" t="n">
        <f aca="false">ROUND(Veterancy_XP!$E$5*C1054,1)</f>
        <v>231.9</v>
      </c>
      <c r="E1054" s="6" t="n">
        <f aca="false">ROUND(B1054/D1054,2)</f>
        <v>1.86</v>
      </c>
      <c r="F1054" s="6" t="n">
        <f aca="false">ROUND(F1053+E1054,2)</f>
        <v>1379.89</v>
      </c>
    </row>
    <row r="1055" customFormat="false" ht="15" hidden="false" customHeight="true" outlineLevel="0" collapsed="false">
      <c r="A1055" s="6" t="n">
        <v>1053</v>
      </c>
      <c r="B1055" s="6" t="n">
        <f aca="false">ROUND(Veterancy_XP!$B$5*(A1055+1)^Veterancy_XP!$B$6,0)</f>
        <v>431</v>
      </c>
      <c r="C1055" s="6" t="n">
        <f aca="false">ROUND(1/(A1055+1)^Veterancy_XP!$E$6,4)</f>
        <v>0.2318</v>
      </c>
      <c r="D1055" s="6" t="n">
        <f aca="false">ROUND(Veterancy_XP!$E$5*C1055,1)</f>
        <v>231.8</v>
      </c>
      <c r="E1055" s="6" t="n">
        <f aca="false">ROUND(B1055/D1055,2)</f>
        <v>1.86</v>
      </c>
      <c r="F1055" s="6" t="n">
        <f aca="false">ROUND(F1054+E1055,2)</f>
        <v>1381.75</v>
      </c>
    </row>
    <row r="1056" customFormat="false" ht="15" hidden="false" customHeight="true" outlineLevel="0" collapsed="false">
      <c r="A1056" s="6" t="n">
        <v>1054</v>
      </c>
      <c r="B1056" s="6" t="n">
        <f aca="false">ROUND(Veterancy_XP!$B$5*(A1056+1)^Veterancy_XP!$B$6,0)</f>
        <v>431</v>
      </c>
      <c r="C1056" s="6" t="n">
        <f aca="false">ROUND(1/(A1056+1)^Veterancy_XP!$E$6,4)</f>
        <v>0.2318</v>
      </c>
      <c r="D1056" s="6" t="n">
        <f aca="false">ROUND(Veterancy_XP!$E$5*C1056,1)</f>
        <v>231.8</v>
      </c>
      <c r="E1056" s="6" t="n">
        <f aca="false">ROUND(B1056/D1056,2)</f>
        <v>1.86</v>
      </c>
      <c r="F1056" s="6" t="n">
        <f aca="false">ROUND(F1055+E1056,2)</f>
        <v>1383.61</v>
      </c>
    </row>
    <row r="1057" customFormat="false" ht="15" hidden="false" customHeight="true" outlineLevel="0" collapsed="false">
      <c r="A1057" s="6" t="n">
        <v>1055</v>
      </c>
      <c r="B1057" s="6" t="n">
        <f aca="false">ROUND(Veterancy_XP!$B$5*(A1057+1)^Veterancy_XP!$B$6,0)</f>
        <v>431</v>
      </c>
      <c r="C1057" s="6" t="n">
        <f aca="false">ROUND(1/(A1057+1)^Veterancy_XP!$E$6,4)</f>
        <v>0.2318</v>
      </c>
      <c r="D1057" s="6" t="n">
        <f aca="false">ROUND(Veterancy_XP!$E$5*C1057,1)</f>
        <v>231.8</v>
      </c>
      <c r="E1057" s="6" t="n">
        <f aca="false">ROUND(B1057/D1057,2)</f>
        <v>1.86</v>
      </c>
      <c r="F1057" s="6" t="n">
        <f aca="false">ROUND(F1056+E1057,2)</f>
        <v>1385.47</v>
      </c>
    </row>
    <row r="1058" customFormat="false" ht="15" hidden="false" customHeight="true" outlineLevel="0" collapsed="false">
      <c r="A1058" s="6" t="n">
        <v>1056</v>
      </c>
      <c r="B1058" s="6" t="n">
        <f aca="false">ROUND(Veterancy_XP!$B$5*(A1058+1)^Veterancy_XP!$B$6,0)</f>
        <v>432</v>
      </c>
      <c r="C1058" s="6" t="n">
        <f aca="false">ROUND(1/(A1058+1)^Veterancy_XP!$E$6,4)</f>
        <v>0.2317</v>
      </c>
      <c r="D1058" s="6" t="n">
        <f aca="false">ROUND(Veterancy_XP!$E$5*C1058,1)</f>
        <v>231.7</v>
      </c>
      <c r="E1058" s="6" t="n">
        <f aca="false">ROUND(B1058/D1058,2)</f>
        <v>1.86</v>
      </c>
      <c r="F1058" s="6" t="n">
        <f aca="false">ROUND(F1057+E1058,2)</f>
        <v>1387.33</v>
      </c>
    </row>
    <row r="1059" customFormat="false" ht="15" hidden="false" customHeight="true" outlineLevel="0" collapsed="false">
      <c r="A1059" s="6" t="n">
        <v>1057</v>
      </c>
      <c r="B1059" s="6" t="n">
        <f aca="false">ROUND(Veterancy_XP!$B$5*(A1059+1)^Veterancy_XP!$B$6,0)</f>
        <v>432</v>
      </c>
      <c r="C1059" s="6" t="n">
        <f aca="false">ROUND(1/(A1059+1)^Veterancy_XP!$E$6,4)</f>
        <v>0.2317</v>
      </c>
      <c r="D1059" s="6" t="n">
        <f aca="false">ROUND(Veterancy_XP!$E$5*C1059,1)</f>
        <v>231.7</v>
      </c>
      <c r="E1059" s="6" t="n">
        <f aca="false">ROUND(B1059/D1059,2)</f>
        <v>1.86</v>
      </c>
      <c r="F1059" s="6" t="n">
        <f aca="false">ROUND(F1058+E1059,2)</f>
        <v>1389.19</v>
      </c>
    </row>
    <row r="1060" customFormat="false" ht="15" hidden="false" customHeight="true" outlineLevel="0" collapsed="false">
      <c r="A1060" s="6" t="n">
        <v>1058</v>
      </c>
      <c r="B1060" s="6" t="n">
        <f aca="false">ROUND(Veterancy_XP!$B$5*(A1060+1)^Veterancy_XP!$B$6,0)</f>
        <v>432</v>
      </c>
      <c r="C1060" s="6" t="n">
        <f aca="false">ROUND(1/(A1060+1)^Veterancy_XP!$E$6,4)</f>
        <v>0.2316</v>
      </c>
      <c r="D1060" s="6" t="n">
        <f aca="false">ROUND(Veterancy_XP!$E$5*C1060,1)</f>
        <v>231.6</v>
      </c>
      <c r="E1060" s="6" t="n">
        <f aca="false">ROUND(B1060/D1060,2)</f>
        <v>1.87</v>
      </c>
      <c r="F1060" s="6" t="n">
        <f aca="false">ROUND(F1059+E1060,2)</f>
        <v>1391.06</v>
      </c>
    </row>
    <row r="1061" customFormat="false" ht="15" hidden="false" customHeight="true" outlineLevel="0" collapsed="false">
      <c r="A1061" s="6" t="n">
        <v>1059</v>
      </c>
      <c r="B1061" s="6" t="n">
        <f aca="false">ROUND(Veterancy_XP!$B$5*(A1061+1)^Veterancy_XP!$B$6,0)</f>
        <v>432</v>
      </c>
      <c r="C1061" s="6" t="n">
        <f aca="false">ROUND(1/(A1061+1)^Veterancy_XP!$E$6,4)</f>
        <v>0.2316</v>
      </c>
      <c r="D1061" s="6" t="n">
        <f aca="false">ROUND(Veterancy_XP!$E$5*C1061,1)</f>
        <v>231.6</v>
      </c>
      <c r="E1061" s="6" t="n">
        <f aca="false">ROUND(B1061/D1061,2)</f>
        <v>1.87</v>
      </c>
      <c r="F1061" s="6" t="n">
        <f aca="false">ROUND(F1060+E1061,2)</f>
        <v>1392.93</v>
      </c>
    </row>
    <row r="1062" customFormat="false" ht="15" hidden="false" customHeight="true" outlineLevel="0" collapsed="false">
      <c r="A1062" s="6" t="n">
        <v>1060</v>
      </c>
      <c r="B1062" s="6" t="n">
        <f aca="false">ROUND(Veterancy_XP!$B$5*(A1062+1)^Veterancy_XP!$B$6,0)</f>
        <v>432</v>
      </c>
      <c r="C1062" s="6" t="n">
        <f aca="false">ROUND(1/(A1062+1)^Veterancy_XP!$E$6,4)</f>
        <v>0.2315</v>
      </c>
      <c r="D1062" s="6" t="n">
        <f aca="false">ROUND(Veterancy_XP!$E$5*C1062,1)</f>
        <v>231.5</v>
      </c>
      <c r="E1062" s="6" t="n">
        <f aca="false">ROUND(B1062/D1062,2)</f>
        <v>1.87</v>
      </c>
      <c r="F1062" s="6" t="n">
        <f aca="false">ROUND(F1061+E1062,2)</f>
        <v>1394.8</v>
      </c>
    </row>
    <row r="1063" customFormat="false" ht="15" hidden="false" customHeight="true" outlineLevel="0" collapsed="false">
      <c r="A1063" s="6" t="n">
        <v>1061</v>
      </c>
      <c r="B1063" s="6" t="n">
        <f aca="false">ROUND(Veterancy_XP!$B$5*(A1063+1)^Veterancy_XP!$B$6,0)</f>
        <v>432</v>
      </c>
      <c r="C1063" s="6" t="n">
        <f aca="false">ROUND(1/(A1063+1)^Veterancy_XP!$E$6,4)</f>
        <v>0.2315</v>
      </c>
      <c r="D1063" s="6" t="n">
        <f aca="false">ROUND(Veterancy_XP!$E$5*C1063,1)</f>
        <v>231.5</v>
      </c>
      <c r="E1063" s="6" t="n">
        <f aca="false">ROUND(B1063/D1063,2)</f>
        <v>1.87</v>
      </c>
      <c r="F1063" s="6" t="n">
        <f aca="false">ROUND(F1062+E1063,2)</f>
        <v>1396.67</v>
      </c>
    </row>
    <row r="1064" customFormat="false" ht="15" hidden="false" customHeight="true" outlineLevel="0" collapsed="false">
      <c r="A1064" s="6" t="n">
        <v>1062</v>
      </c>
      <c r="B1064" s="6" t="n">
        <f aca="false">ROUND(Veterancy_XP!$B$5*(A1064+1)^Veterancy_XP!$B$6,0)</f>
        <v>432</v>
      </c>
      <c r="C1064" s="6" t="n">
        <f aca="false">ROUND(1/(A1064+1)^Veterancy_XP!$E$6,4)</f>
        <v>0.2314</v>
      </c>
      <c r="D1064" s="6" t="n">
        <f aca="false">ROUND(Veterancy_XP!$E$5*C1064,1)</f>
        <v>231.4</v>
      </c>
      <c r="E1064" s="6" t="n">
        <f aca="false">ROUND(B1064/D1064,2)</f>
        <v>1.87</v>
      </c>
      <c r="F1064" s="6" t="n">
        <f aca="false">ROUND(F1063+E1064,2)</f>
        <v>1398.54</v>
      </c>
    </row>
    <row r="1065" customFormat="false" ht="15" hidden="false" customHeight="true" outlineLevel="0" collapsed="false">
      <c r="A1065" s="6" t="n">
        <v>1063</v>
      </c>
      <c r="B1065" s="6" t="n">
        <f aca="false">ROUND(Veterancy_XP!$B$5*(A1065+1)^Veterancy_XP!$B$6,0)</f>
        <v>432</v>
      </c>
      <c r="C1065" s="6" t="n">
        <f aca="false">ROUND(1/(A1065+1)^Veterancy_XP!$E$6,4)</f>
        <v>0.2314</v>
      </c>
      <c r="D1065" s="6" t="n">
        <f aca="false">ROUND(Veterancy_XP!$E$5*C1065,1)</f>
        <v>231.4</v>
      </c>
      <c r="E1065" s="6" t="n">
        <f aca="false">ROUND(B1065/D1065,2)</f>
        <v>1.87</v>
      </c>
      <c r="F1065" s="6" t="n">
        <f aca="false">ROUND(F1064+E1065,2)</f>
        <v>1400.41</v>
      </c>
    </row>
    <row r="1066" customFormat="false" ht="15" hidden="false" customHeight="true" outlineLevel="0" collapsed="false">
      <c r="A1066" s="6" t="n">
        <v>1064</v>
      </c>
      <c r="B1066" s="6" t="n">
        <f aca="false">ROUND(Veterancy_XP!$B$5*(A1066+1)^Veterancy_XP!$B$6,0)</f>
        <v>432</v>
      </c>
      <c r="C1066" s="6" t="n">
        <f aca="false">ROUND(1/(A1066+1)^Veterancy_XP!$E$6,4)</f>
        <v>0.2313</v>
      </c>
      <c r="D1066" s="6" t="n">
        <f aca="false">ROUND(Veterancy_XP!$E$5*C1066,1)</f>
        <v>231.3</v>
      </c>
      <c r="E1066" s="6" t="n">
        <f aca="false">ROUND(B1066/D1066,2)</f>
        <v>1.87</v>
      </c>
      <c r="F1066" s="6" t="n">
        <f aca="false">ROUND(F1065+E1066,2)</f>
        <v>1402.28</v>
      </c>
    </row>
    <row r="1067" customFormat="false" ht="15" hidden="false" customHeight="true" outlineLevel="0" collapsed="false">
      <c r="A1067" s="6" t="n">
        <v>1065</v>
      </c>
      <c r="B1067" s="6" t="n">
        <f aca="false">ROUND(Veterancy_XP!$B$5*(A1067+1)^Veterancy_XP!$B$6,0)</f>
        <v>432</v>
      </c>
      <c r="C1067" s="6" t="n">
        <f aca="false">ROUND(1/(A1067+1)^Veterancy_XP!$E$6,4)</f>
        <v>0.2313</v>
      </c>
      <c r="D1067" s="6" t="n">
        <f aca="false">ROUND(Veterancy_XP!$E$5*C1067,1)</f>
        <v>231.3</v>
      </c>
      <c r="E1067" s="6" t="n">
        <f aca="false">ROUND(B1067/D1067,2)</f>
        <v>1.87</v>
      </c>
      <c r="F1067" s="6" t="n">
        <f aca="false">ROUND(F1066+E1067,2)</f>
        <v>1404.15</v>
      </c>
    </row>
    <row r="1068" customFormat="false" ht="15" hidden="false" customHeight="true" outlineLevel="0" collapsed="false">
      <c r="A1068" s="6" t="n">
        <v>1066</v>
      </c>
      <c r="B1068" s="6" t="n">
        <f aca="false">ROUND(Veterancy_XP!$B$5*(A1068+1)^Veterancy_XP!$B$6,0)</f>
        <v>432</v>
      </c>
      <c r="C1068" s="6" t="n">
        <f aca="false">ROUND(1/(A1068+1)^Veterancy_XP!$E$6,4)</f>
        <v>0.2313</v>
      </c>
      <c r="D1068" s="6" t="n">
        <f aca="false">ROUND(Veterancy_XP!$E$5*C1068,1)</f>
        <v>231.3</v>
      </c>
      <c r="E1068" s="6" t="n">
        <f aca="false">ROUND(B1068/D1068,2)</f>
        <v>1.87</v>
      </c>
      <c r="F1068" s="6" t="n">
        <f aca="false">ROUND(F1067+E1068,2)</f>
        <v>1406.02</v>
      </c>
    </row>
    <row r="1069" customFormat="false" ht="15" hidden="false" customHeight="true" outlineLevel="0" collapsed="false">
      <c r="A1069" s="6" t="n">
        <v>1067</v>
      </c>
      <c r="B1069" s="6" t="n">
        <f aca="false">ROUND(Veterancy_XP!$B$5*(A1069+1)^Veterancy_XP!$B$6,0)</f>
        <v>433</v>
      </c>
      <c r="C1069" s="6" t="n">
        <f aca="false">ROUND(1/(A1069+1)^Veterancy_XP!$E$6,4)</f>
        <v>0.2312</v>
      </c>
      <c r="D1069" s="6" t="n">
        <f aca="false">ROUND(Veterancy_XP!$E$5*C1069,1)</f>
        <v>231.2</v>
      </c>
      <c r="E1069" s="6" t="n">
        <f aca="false">ROUND(B1069/D1069,2)</f>
        <v>1.87</v>
      </c>
      <c r="F1069" s="6" t="n">
        <f aca="false">ROUND(F1068+E1069,2)</f>
        <v>1407.89</v>
      </c>
    </row>
    <row r="1070" customFormat="false" ht="15" hidden="false" customHeight="true" outlineLevel="0" collapsed="false">
      <c r="A1070" s="6" t="n">
        <v>1068</v>
      </c>
      <c r="B1070" s="6" t="n">
        <f aca="false">ROUND(Veterancy_XP!$B$5*(A1070+1)^Veterancy_XP!$B$6,0)</f>
        <v>433</v>
      </c>
      <c r="C1070" s="6" t="n">
        <f aca="false">ROUND(1/(A1070+1)^Veterancy_XP!$E$6,4)</f>
        <v>0.2312</v>
      </c>
      <c r="D1070" s="6" t="n">
        <f aca="false">ROUND(Veterancy_XP!$E$5*C1070,1)</f>
        <v>231.2</v>
      </c>
      <c r="E1070" s="6" t="n">
        <f aca="false">ROUND(B1070/D1070,2)</f>
        <v>1.87</v>
      </c>
      <c r="F1070" s="6" t="n">
        <f aca="false">ROUND(F1069+E1070,2)</f>
        <v>1409.76</v>
      </c>
    </row>
    <row r="1071" customFormat="false" ht="15" hidden="false" customHeight="true" outlineLevel="0" collapsed="false">
      <c r="A1071" s="6" t="n">
        <v>1069</v>
      </c>
      <c r="B1071" s="6" t="n">
        <f aca="false">ROUND(Veterancy_XP!$B$5*(A1071+1)^Veterancy_XP!$B$6,0)</f>
        <v>433</v>
      </c>
      <c r="C1071" s="6" t="n">
        <f aca="false">ROUND(1/(A1071+1)^Veterancy_XP!$E$6,4)</f>
        <v>0.2311</v>
      </c>
      <c r="D1071" s="6" t="n">
        <f aca="false">ROUND(Veterancy_XP!$E$5*C1071,1)</f>
        <v>231.1</v>
      </c>
      <c r="E1071" s="6" t="n">
        <f aca="false">ROUND(B1071/D1071,2)</f>
        <v>1.87</v>
      </c>
      <c r="F1071" s="6" t="n">
        <f aca="false">ROUND(F1070+E1071,2)</f>
        <v>1411.63</v>
      </c>
    </row>
    <row r="1072" customFormat="false" ht="15" hidden="false" customHeight="true" outlineLevel="0" collapsed="false">
      <c r="A1072" s="6" t="n">
        <v>1070</v>
      </c>
      <c r="B1072" s="6" t="n">
        <f aca="false">ROUND(Veterancy_XP!$B$5*(A1072+1)^Veterancy_XP!$B$6,0)</f>
        <v>433</v>
      </c>
      <c r="C1072" s="6" t="n">
        <f aca="false">ROUND(1/(A1072+1)^Veterancy_XP!$E$6,4)</f>
        <v>0.2311</v>
      </c>
      <c r="D1072" s="6" t="n">
        <f aca="false">ROUND(Veterancy_XP!$E$5*C1072,1)</f>
        <v>231.1</v>
      </c>
      <c r="E1072" s="6" t="n">
        <f aca="false">ROUND(B1072/D1072,2)</f>
        <v>1.87</v>
      </c>
      <c r="F1072" s="6" t="n">
        <f aca="false">ROUND(F1071+E1072,2)</f>
        <v>1413.5</v>
      </c>
    </row>
    <row r="1073" customFormat="false" ht="15" hidden="false" customHeight="true" outlineLevel="0" collapsed="false">
      <c r="A1073" s="6" t="n">
        <v>1071</v>
      </c>
      <c r="B1073" s="6" t="n">
        <f aca="false">ROUND(Veterancy_XP!$B$5*(A1073+1)^Veterancy_XP!$B$6,0)</f>
        <v>433</v>
      </c>
      <c r="C1073" s="6" t="n">
        <f aca="false">ROUND(1/(A1073+1)^Veterancy_XP!$E$6,4)</f>
        <v>0.231</v>
      </c>
      <c r="D1073" s="6" t="n">
        <f aca="false">ROUND(Veterancy_XP!$E$5*C1073,1)</f>
        <v>231</v>
      </c>
      <c r="E1073" s="6" t="n">
        <f aca="false">ROUND(B1073/D1073,2)</f>
        <v>1.87</v>
      </c>
      <c r="F1073" s="6" t="n">
        <f aca="false">ROUND(F1072+E1073,2)</f>
        <v>1415.37</v>
      </c>
    </row>
    <row r="1074" customFormat="false" ht="15" hidden="false" customHeight="true" outlineLevel="0" collapsed="false">
      <c r="A1074" s="6" t="n">
        <v>1072</v>
      </c>
      <c r="B1074" s="6" t="n">
        <f aca="false">ROUND(Veterancy_XP!$B$5*(A1074+1)^Veterancy_XP!$B$6,0)</f>
        <v>433</v>
      </c>
      <c r="C1074" s="6" t="n">
        <f aca="false">ROUND(1/(A1074+1)^Veterancy_XP!$E$6,4)</f>
        <v>0.231</v>
      </c>
      <c r="D1074" s="6" t="n">
        <f aca="false">ROUND(Veterancy_XP!$E$5*C1074,1)</f>
        <v>231</v>
      </c>
      <c r="E1074" s="6" t="n">
        <f aca="false">ROUND(B1074/D1074,2)</f>
        <v>1.87</v>
      </c>
      <c r="F1074" s="6" t="n">
        <f aca="false">ROUND(F1073+E1074,2)</f>
        <v>1417.24</v>
      </c>
    </row>
    <row r="1075" customFormat="false" ht="15" hidden="false" customHeight="true" outlineLevel="0" collapsed="false">
      <c r="A1075" s="6" t="n">
        <v>1073</v>
      </c>
      <c r="B1075" s="6" t="n">
        <f aca="false">ROUND(Veterancy_XP!$B$5*(A1075+1)^Veterancy_XP!$B$6,0)</f>
        <v>433</v>
      </c>
      <c r="C1075" s="6" t="n">
        <f aca="false">ROUND(1/(A1075+1)^Veterancy_XP!$E$6,4)</f>
        <v>0.2309</v>
      </c>
      <c r="D1075" s="6" t="n">
        <f aca="false">ROUND(Veterancy_XP!$E$5*C1075,1)</f>
        <v>230.9</v>
      </c>
      <c r="E1075" s="6" t="n">
        <f aca="false">ROUND(B1075/D1075,2)</f>
        <v>1.88</v>
      </c>
      <c r="F1075" s="6" t="n">
        <f aca="false">ROUND(F1074+E1075,2)</f>
        <v>1419.12</v>
      </c>
    </row>
    <row r="1076" customFormat="false" ht="15" hidden="false" customHeight="true" outlineLevel="0" collapsed="false">
      <c r="A1076" s="6" t="n">
        <v>1074</v>
      </c>
      <c r="B1076" s="6" t="n">
        <f aca="false">ROUND(Veterancy_XP!$B$5*(A1076+1)^Veterancy_XP!$B$6,0)</f>
        <v>433</v>
      </c>
      <c r="C1076" s="6" t="n">
        <f aca="false">ROUND(1/(A1076+1)^Veterancy_XP!$E$6,4)</f>
        <v>0.2309</v>
      </c>
      <c r="D1076" s="6" t="n">
        <f aca="false">ROUND(Veterancy_XP!$E$5*C1076,1)</f>
        <v>230.9</v>
      </c>
      <c r="E1076" s="6" t="n">
        <f aca="false">ROUND(B1076/D1076,2)</f>
        <v>1.88</v>
      </c>
      <c r="F1076" s="6" t="n">
        <f aca="false">ROUND(F1075+E1076,2)</f>
        <v>1421</v>
      </c>
    </row>
    <row r="1077" customFormat="false" ht="15" hidden="false" customHeight="true" outlineLevel="0" collapsed="false">
      <c r="A1077" s="6" t="n">
        <v>1075</v>
      </c>
      <c r="B1077" s="6" t="n">
        <f aca="false">ROUND(Veterancy_XP!$B$5*(A1077+1)^Veterancy_XP!$B$6,0)</f>
        <v>433</v>
      </c>
      <c r="C1077" s="6" t="n">
        <f aca="false">ROUND(1/(A1077+1)^Veterancy_XP!$E$6,4)</f>
        <v>0.2308</v>
      </c>
      <c r="D1077" s="6" t="n">
        <f aca="false">ROUND(Veterancy_XP!$E$5*C1077,1)</f>
        <v>230.8</v>
      </c>
      <c r="E1077" s="6" t="n">
        <f aca="false">ROUND(B1077/D1077,2)</f>
        <v>1.88</v>
      </c>
      <c r="F1077" s="6" t="n">
        <f aca="false">ROUND(F1076+E1077,2)</f>
        <v>1422.88</v>
      </c>
    </row>
    <row r="1078" customFormat="false" ht="15" hidden="false" customHeight="true" outlineLevel="0" collapsed="false">
      <c r="A1078" s="6" t="n">
        <v>1076</v>
      </c>
      <c r="B1078" s="6" t="n">
        <f aca="false">ROUND(Veterancy_XP!$B$5*(A1078+1)^Veterancy_XP!$B$6,0)</f>
        <v>433</v>
      </c>
      <c r="C1078" s="6" t="n">
        <f aca="false">ROUND(1/(A1078+1)^Veterancy_XP!$E$6,4)</f>
        <v>0.2308</v>
      </c>
      <c r="D1078" s="6" t="n">
        <f aca="false">ROUND(Veterancy_XP!$E$5*C1078,1)</f>
        <v>230.8</v>
      </c>
      <c r="E1078" s="6" t="n">
        <f aca="false">ROUND(B1078/D1078,2)</f>
        <v>1.88</v>
      </c>
      <c r="F1078" s="6" t="n">
        <f aca="false">ROUND(F1077+E1078,2)</f>
        <v>1424.76</v>
      </c>
    </row>
    <row r="1079" customFormat="false" ht="15" hidden="false" customHeight="true" outlineLevel="0" collapsed="false">
      <c r="A1079" s="6" t="n">
        <v>1077</v>
      </c>
      <c r="B1079" s="6" t="n">
        <f aca="false">ROUND(Veterancy_XP!$B$5*(A1079+1)^Veterancy_XP!$B$6,0)</f>
        <v>433</v>
      </c>
      <c r="C1079" s="6" t="n">
        <f aca="false">ROUND(1/(A1079+1)^Veterancy_XP!$E$6,4)</f>
        <v>0.2308</v>
      </c>
      <c r="D1079" s="6" t="n">
        <f aca="false">ROUND(Veterancy_XP!$E$5*C1079,1)</f>
        <v>230.8</v>
      </c>
      <c r="E1079" s="6" t="n">
        <f aca="false">ROUND(B1079/D1079,2)</f>
        <v>1.88</v>
      </c>
      <c r="F1079" s="6" t="n">
        <f aca="false">ROUND(F1078+E1079,2)</f>
        <v>1426.64</v>
      </c>
    </row>
    <row r="1080" customFormat="false" ht="15" hidden="false" customHeight="true" outlineLevel="0" collapsed="false">
      <c r="A1080" s="6" t="n">
        <v>1078</v>
      </c>
      <c r="B1080" s="6" t="n">
        <f aca="false">ROUND(Veterancy_XP!$B$5*(A1080+1)^Veterancy_XP!$B$6,0)</f>
        <v>433</v>
      </c>
      <c r="C1080" s="6" t="n">
        <f aca="false">ROUND(1/(A1080+1)^Veterancy_XP!$E$6,4)</f>
        <v>0.2307</v>
      </c>
      <c r="D1080" s="6" t="n">
        <f aca="false">ROUND(Veterancy_XP!$E$5*C1080,1)</f>
        <v>230.7</v>
      </c>
      <c r="E1080" s="6" t="n">
        <f aca="false">ROUND(B1080/D1080,2)</f>
        <v>1.88</v>
      </c>
      <c r="F1080" s="6" t="n">
        <f aca="false">ROUND(F1079+E1080,2)</f>
        <v>1428.52</v>
      </c>
    </row>
    <row r="1081" customFormat="false" ht="15" hidden="false" customHeight="true" outlineLevel="0" collapsed="false">
      <c r="A1081" s="6" t="n">
        <v>1079</v>
      </c>
      <c r="B1081" s="6" t="n">
        <f aca="false">ROUND(Veterancy_XP!$B$5*(A1081+1)^Veterancy_XP!$B$6,0)</f>
        <v>434</v>
      </c>
      <c r="C1081" s="6" t="n">
        <f aca="false">ROUND(1/(A1081+1)^Veterancy_XP!$E$6,4)</f>
        <v>0.2307</v>
      </c>
      <c r="D1081" s="6" t="n">
        <f aca="false">ROUND(Veterancy_XP!$E$5*C1081,1)</f>
        <v>230.7</v>
      </c>
      <c r="E1081" s="6" t="n">
        <f aca="false">ROUND(B1081/D1081,2)</f>
        <v>1.88</v>
      </c>
      <c r="F1081" s="6" t="n">
        <f aca="false">ROUND(F1080+E1081,2)</f>
        <v>1430.4</v>
      </c>
    </row>
    <row r="1082" customFormat="false" ht="15" hidden="false" customHeight="true" outlineLevel="0" collapsed="false">
      <c r="A1082" s="6" t="n">
        <v>1080</v>
      </c>
      <c r="B1082" s="6" t="n">
        <f aca="false">ROUND(Veterancy_XP!$B$5*(A1082+1)^Veterancy_XP!$B$6,0)</f>
        <v>434</v>
      </c>
      <c r="C1082" s="6" t="n">
        <f aca="false">ROUND(1/(A1082+1)^Veterancy_XP!$E$6,4)</f>
        <v>0.2306</v>
      </c>
      <c r="D1082" s="6" t="n">
        <f aca="false">ROUND(Veterancy_XP!$E$5*C1082,1)</f>
        <v>230.6</v>
      </c>
      <c r="E1082" s="6" t="n">
        <f aca="false">ROUND(B1082/D1082,2)</f>
        <v>1.88</v>
      </c>
      <c r="F1082" s="6" t="n">
        <f aca="false">ROUND(F1081+E1082,2)</f>
        <v>1432.28</v>
      </c>
    </row>
    <row r="1083" customFormat="false" ht="15" hidden="false" customHeight="true" outlineLevel="0" collapsed="false">
      <c r="A1083" s="6" t="n">
        <v>1081</v>
      </c>
      <c r="B1083" s="6" t="n">
        <f aca="false">ROUND(Veterancy_XP!$B$5*(A1083+1)^Veterancy_XP!$B$6,0)</f>
        <v>434</v>
      </c>
      <c r="C1083" s="6" t="n">
        <f aca="false">ROUND(1/(A1083+1)^Veterancy_XP!$E$6,4)</f>
        <v>0.2306</v>
      </c>
      <c r="D1083" s="6" t="n">
        <f aca="false">ROUND(Veterancy_XP!$E$5*C1083,1)</f>
        <v>230.6</v>
      </c>
      <c r="E1083" s="6" t="n">
        <f aca="false">ROUND(B1083/D1083,2)</f>
        <v>1.88</v>
      </c>
      <c r="F1083" s="6" t="n">
        <f aca="false">ROUND(F1082+E1083,2)</f>
        <v>1434.16</v>
      </c>
    </row>
    <row r="1084" customFormat="false" ht="15" hidden="false" customHeight="true" outlineLevel="0" collapsed="false">
      <c r="A1084" s="6" t="n">
        <v>1082</v>
      </c>
      <c r="B1084" s="6" t="n">
        <f aca="false">ROUND(Veterancy_XP!$B$5*(A1084+1)^Veterancy_XP!$B$6,0)</f>
        <v>434</v>
      </c>
      <c r="C1084" s="6" t="n">
        <f aca="false">ROUND(1/(A1084+1)^Veterancy_XP!$E$6,4)</f>
        <v>0.2305</v>
      </c>
      <c r="D1084" s="6" t="n">
        <f aca="false">ROUND(Veterancy_XP!$E$5*C1084,1)</f>
        <v>230.5</v>
      </c>
      <c r="E1084" s="6" t="n">
        <f aca="false">ROUND(B1084/D1084,2)</f>
        <v>1.88</v>
      </c>
      <c r="F1084" s="6" t="n">
        <f aca="false">ROUND(F1083+E1084,2)</f>
        <v>1436.04</v>
      </c>
    </row>
    <row r="1085" customFormat="false" ht="15" hidden="false" customHeight="true" outlineLevel="0" collapsed="false">
      <c r="A1085" s="6" t="n">
        <v>1083</v>
      </c>
      <c r="B1085" s="6" t="n">
        <f aca="false">ROUND(Veterancy_XP!$B$5*(A1085+1)^Veterancy_XP!$B$6,0)</f>
        <v>434</v>
      </c>
      <c r="C1085" s="6" t="n">
        <f aca="false">ROUND(1/(A1085+1)^Veterancy_XP!$E$6,4)</f>
        <v>0.2305</v>
      </c>
      <c r="D1085" s="6" t="n">
        <f aca="false">ROUND(Veterancy_XP!$E$5*C1085,1)</f>
        <v>230.5</v>
      </c>
      <c r="E1085" s="6" t="n">
        <f aca="false">ROUND(B1085/D1085,2)</f>
        <v>1.88</v>
      </c>
      <c r="F1085" s="6" t="n">
        <f aca="false">ROUND(F1084+E1085,2)</f>
        <v>1437.92</v>
      </c>
    </row>
    <row r="1086" customFormat="false" ht="15" hidden="false" customHeight="true" outlineLevel="0" collapsed="false">
      <c r="A1086" s="6" t="n">
        <v>1084</v>
      </c>
      <c r="B1086" s="6" t="n">
        <f aca="false">ROUND(Veterancy_XP!$B$5*(A1086+1)^Veterancy_XP!$B$6,0)</f>
        <v>434</v>
      </c>
      <c r="C1086" s="6" t="n">
        <f aca="false">ROUND(1/(A1086+1)^Veterancy_XP!$E$6,4)</f>
        <v>0.2304</v>
      </c>
      <c r="D1086" s="6" t="n">
        <f aca="false">ROUND(Veterancy_XP!$E$5*C1086,1)</f>
        <v>230.4</v>
      </c>
      <c r="E1086" s="6" t="n">
        <f aca="false">ROUND(B1086/D1086,2)</f>
        <v>1.88</v>
      </c>
      <c r="F1086" s="6" t="n">
        <f aca="false">ROUND(F1085+E1086,2)</f>
        <v>1439.8</v>
      </c>
    </row>
    <row r="1087" customFormat="false" ht="15" hidden="false" customHeight="true" outlineLevel="0" collapsed="false">
      <c r="A1087" s="6" t="n">
        <v>1085</v>
      </c>
      <c r="B1087" s="6" t="n">
        <f aca="false">ROUND(Veterancy_XP!$B$5*(A1087+1)^Veterancy_XP!$B$6,0)</f>
        <v>434</v>
      </c>
      <c r="C1087" s="6" t="n">
        <f aca="false">ROUND(1/(A1087+1)^Veterancy_XP!$E$6,4)</f>
        <v>0.2304</v>
      </c>
      <c r="D1087" s="6" t="n">
        <f aca="false">ROUND(Veterancy_XP!$E$5*C1087,1)</f>
        <v>230.4</v>
      </c>
      <c r="E1087" s="6" t="n">
        <f aca="false">ROUND(B1087/D1087,2)</f>
        <v>1.88</v>
      </c>
      <c r="F1087" s="6" t="n">
        <f aca="false">ROUND(F1086+E1087,2)</f>
        <v>1441.68</v>
      </c>
    </row>
    <row r="1088" customFormat="false" ht="15" hidden="false" customHeight="true" outlineLevel="0" collapsed="false">
      <c r="A1088" s="6" t="n">
        <v>1086</v>
      </c>
      <c r="B1088" s="6" t="n">
        <f aca="false">ROUND(Veterancy_XP!$B$5*(A1088+1)^Veterancy_XP!$B$6,0)</f>
        <v>434</v>
      </c>
      <c r="C1088" s="6" t="n">
        <f aca="false">ROUND(1/(A1088+1)^Veterancy_XP!$E$6,4)</f>
        <v>0.2304</v>
      </c>
      <c r="D1088" s="6" t="n">
        <f aca="false">ROUND(Veterancy_XP!$E$5*C1088,1)</f>
        <v>230.4</v>
      </c>
      <c r="E1088" s="6" t="n">
        <f aca="false">ROUND(B1088/D1088,2)</f>
        <v>1.88</v>
      </c>
      <c r="F1088" s="6" t="n">
        <f aca="false">ROUND(F1087+E1088,2)</f>
        <v>1443.56</v>
      </c>
    </row>
    <row r="1089" customFormat="false" ht="15" hidden="false" customHeight="true" outlineLevel="0" collapsed="false">
      <c r="A1089" s="6" t="n">
        <v>1087</v>
      </c>
      <c r="B1089" s="6" t="n">
        <f aca="false">ROUND(Veterancy_XP!$B$5*(A1089+1)^Veterancy_XP!$B$6,0)</f>
        <v>434</v>
      </c>
      <c r="C1089" s="6" t="n">
        <f aca="false">ROUND(1/(A1089+1)^Veterancy_XP!$E$6,4)</f>
        <v>0.2303</v>
      </c>
      <c r="D1089" s="6" t="n">
        <f aca="false">ROUND(Veterancy_XP!$E$5*C1089,1)</f>
        <v>230.3</v>
      </c>
      <c r="E1089" s="6" t="n">
        <f aca="false">ROUND(B1089/D1089,2)</f>
        <v>1.88</v>
      </c>
      <c r="F1089" s="6" t="n">
        <f aca="false">ROUND(F1088+E1089,2)</f>
        <v>1445.44</v>
      </c>
    </row>
    <row r="1090" customFormat="false" ht="15" hidden="false" customHeight="true" outlineLevel="0" collapsed="false">
      <c r="A1090" s="6" t="n">
        <v>1088</v>
      </c>
      <c r="B1090" s="6" t="n">
        <f aca="false">ROUND(Veterancy_XP!$B$5*(A1090+1)^Veterancy_XP!$B$6,0)</f>
        <v>434</v>
      </c>
      <c r="C1090" s="6" t="n">
        <f aca="false">ROUND(1/(A1090+1)^Veterancy_XP!$E$6,4)</f>
        <v>0.2303</v>
      </c>
      <c r="D1090" s="6" t="n">
        <f aca="false">ROUND(Veterancy_XP!$E$5*C1090,1)</f>
        <v>230.3</v>
      </c>
      <c r="E1090" s="6" t="n">
        <f aca="false">ROUND(B1090/D1090,2)</f>
        <v>1.88</v>
      </c>
      <c r="F1090" s="6" t="n">
        <f aca="false">ROUND(F1089+E1090,2)</f>
        <v>1447.32</v>
      </c>
    </row>
    <row r="1091" customFormat="false" ht="15" hidden="false" customHeight="true" outlineLevel="0" collapsed="false">
      <c r="A1091" s="6" t="n">
        <v>1089</v>
      </c>
      <c r="B1091" s="6" t="n">
        <f aca="false">ROUND(Veterancy_XP!$B$5*(A1091+1)^Veterancy_XP!$B$6,0)</f>
        <v>434</v>
      </c>
      <c r="C1091" s="6" t="n">
        <f aca="false">ROUND(1/(A1091+1)^Veterancy_XP!$E$6,4)</f>
        <v>0.2302</v>
      </c>
      <c r="D1091" s="6" t="n">
        <f aca="false">ROUND(Veterancy_XP!$E$5*C1091,1)</f>
        <v>230.2</v>
      </c>
      <c r="E1091" s="6" t="n">
        <f aca="false">ROUND(B1091/D1091,2)</f>
        <v>1.89</v>
      </c>
      <c r="F1091" s="6" t="n">
        <f aca="false">ROUND(F1090+E1091,2)</f>
        <v>1449.21</v>
      </c>
    </row>
    <row r="1092" customFormat="false" ht="15" hidden="false" customHeight="true" outlineLevel="0" collapsed="false">
      <c r="A1092" s="6" t="n">
        <v>1090</v>
      </c>
      <c r="B1092" s="6" t="n">
        <f aca="false">ROUND(Veterancy_XP!$B$5*(A1092+1)^Veterancy_XP!$B$6,0)</f>
        <v>434</v>
      </c>
      <c r="C1092" s="6" t="n">
        <f aca="false">ROUND(1/(A1092+1)^Veterancy_XP!$E$6,4)</f>
        <v>0.2302</v>
      </c>
      <c r="D1092" s="6" t="n">
        <f aca="false">ROUND(Veterancy_XP!$E$5*C1092,1)</f>
        <v>230.2</v>
      </c>
      <c r="E1092" s="6" t="n">
        <f aca="false">ROUND(B1092/D1092,2)</f>
        <v>1.89</v>
      </c>
      <c r="F1092" s="6" t="n">
        <f aca="false">ROUND(F1091+E1092,2)</f>
        <v>1451.1</v>
      </c>
    </row>
    <row r="1093" customFormat="false" ht="15" hidden="false" customHeight="true" outlineLevel="0" collapsed="false">
      <c r="A1093" s="6" t="n">
        <v>1091</v>
      </c>
      <c r="B1093" s="6" t="n">
        <f aca="false">ROUND(Veterancy_XP!$B$5*(A1093+1)^Veterancy_XP!$B$6,0)</f>
        <v>435</v>
      </c>
      <c r="C1093" s="6" t="n">
        <f aca="false">ROUND(1/(A1093+1)^Veterancy_XP!$E$6,4)</f>
        <v>0.2301</v>
      </c>
      <c r="D1093" s="6" t="n">
        <f aca="false">ROUND(Veterancy_XP!$E$5*C1093,1)</f>
        <v>230.1</v>
      </c>
      <c r="E1093" s="6" t="n">
        <f aca="false">ROUND(B1093/D1093,2)</f>
        <v>1.89</v>
      </c>
      <c r="F1093" s="6" t="n">
        <f aca="false">ROUND(F1092+E1093,2)</f>
        <v>1452.99</v>
      </c>
    </row>
    <row r="1094" customFormat="false" ht="15" hidden="false" customHeight="true" outlineLevel="0" collapsed="false">
      <c r="A1094" s="6" t="n">
        <v>1092</v>
      </c>
      <c r="B1094" s="6" t="n">
        <f aca="false">ROUND(Veterancy_XP!$B$5*(A1094+1)^Veterancy_XP!$B$6,0)</f>
        <v>435</v>
      </c>
      <c r="C1094" s="6" t="n">
        <f aca="false">ROUND(1/(A1094+1)^Veterancy_XP!$E$6,4)</f>
        <v>0.2301</v>
      </c>
      <c r="D1094" s="6" t="n">
        <f aca="false">ROUND(Veterancy_XP!$E$5*C1094,1)</f>
        <v>230.1</v>
      </c>
      <c r="E1094" s="6" t="n">
        <f aca="false">ROUND(B1094/D1094,2)</f>
        <v>1.89</v>
      </c>
      <c r="F1094" s="6" t="n">
        <f aca="false">ROUND(F1093+E1094,2)</f>
        <v>1454.88</v>
      </c>
    </row>
    <row r="1095" customFormat="false" ht="15" hidden="false" customHeight="true" outlineLevel="0" collapsed="false">
      <c r="A1095" s="6" t="n">
        <v>1093</v>
      </c>
      <c r="B1095" s="6" t="n">
        <f aca="false">ROUND(Veterancy_XP!$B$5*(A1095+1)^Veterancy_XP!$B$6,0)</f>
        <v>435</v>
      </c>
      <c r="C1095" s="6" t="n">
        <f aca="false">ROUND(1/(A1095+1)^Veterancy_XP!$E$6,4)</f>
        <v>0.23</v>
      </c>
      <c r="D1095" s="6" t="n">
        <f aca="false">ROUND(Veterancy_XP!$E$5*C1095,1)</f>
        <v>230</v>
      </c>
      <c r="E1095" s="6" t="n">
        <f aca="false">ROUND(B1095/D1095,2)</f>
        <v>1.89</v>
      </c>
      <c r="F1095" s="6" t="n">
        <f aca="false">ROUND(F1094+E1095,2)</f>
        <v>1456.77</v>
      </c>
    </row>
    <row r="1096" customFormat="false" ht="15" hidden="false" customHeight="true" outlineLevel="0" collapsed="false">
      <c r="A1096" s="6" t="n">
        <v>1094</v>
      </c>
      <c r="B1096" s="6" t="n">
        <f aca="false">ROUND(Veterancy_XP!$B$5*(A1096+1)^Veterancy_XP!$B$6,0)</f>
        <v>435</v>
      </c>
      <c r="C1096" s="6" t="n">
        <f aca="false">ROUND(1/(A1096+1)^Veterancy_XP!$E$6,4)</f>
        <v>0.23</v>
      </c>
      <c r="D1096" s="6" t="n">
        <f aca="false">ROUND(Veterancy_XP!$E$5*C1096,1)</f>
        <v>230</v>
      </c>
      <c r="E1096" s="6" t="n">
        <f aca="false">ROUND(B1096/D1096,2)</f>
        <v>1.89</v>
      </c>
      <c r="F1096" s="6" t="n">
        <f aca="false">ROUND(F1095+E1096,2)</f>
        <v>1458.66</v>
      </c>
    </row>
    <row r="1097" customFormat="false" ht="15" hidden="false" customHeight="true" outlineLevel="0" collapsed="false">
      <c r="A1097" s="6" t="n">
        <v>1095</v>
      </c>
      <c r="B1097" s="6" t="n">
        <f aca="false">ROUND(Veterancy_XP!$B$5*(A1097+1)^Veterancy_XP!$B$6,0)</f>
        <v>435</v>
      </c>
      <c r="C1097" s="6" t="n">
        <f aca="false">ROUND(1/(A1097+1)^Veterancy_XP!$E$6,4)</f>
        <v>0.23</v>
      </c>
      <c r="D1097" s="6" t="n">
        <f aca="false">ROUND(Veterancy_XP!$E$5*C1097,1)</f>
        <v>230</v>
      </c>
      <c r="E1097" s="6" t="n">
        <f aca="false">ROUND(B1097/D1097,2)</f>
        <v>1.89</v>
      </c>
      <c r="F1097" s="6" t="n">
        <f aca="false">ROUND(F1096+E1097,2)</f>
        <v>1460.55</v>
      </c>
    </row>
    <row r="1098" customFormat="false" ht="15" hidden="false" customHeight="true" outlineLevel="0" collapsed="false">
      <c r="A1098" s="6" t="n">
        <v>1096</v>
      </c>
      <c r="B1098" s="6" t="n">
        <f aca="false">ROUND(Veterancy_XP!$B$5*(A1098+1)^Veterancy_XP!$B$6,0)</f>
        <v>435</v>
      </c>
      <c r="C1098" s="6" t="n">
        <f aca="false">ROUND(1/(A1098+1)^Veterancy_XP!$E$6,4)</f>
        <v>0.2299</v>
      </c>
      <c r="D1098" s="6" t="n">
        <f aca="false">ROUND(Veterancy_XP!$E$5*C1098,1)</f>
        <v>229.9</v>
      </c>
      <c r="E1098" s="6" t="n">
        <f aca="false">ROUND(B1098/D1098,2)</f>
        <v>1.89</v>
      </c>
      <c r="F1098" s="6" t="n">
        <f aca="false">ROUND(F1097+E1098,2)</f>
        <v>1462.44</v>
      </c>
    </row>
    <row r="1099" customFormat="false" ht="15" hidden="false" customHeight="true" outlineLevel="0" collapsed="false">
      <c r="A1099" s="6" t="n">
        <v>1097</v>
      </c>
      <c r="B1099" s="6" t="n">
        <f aca="false">ROUND(Veterancy_XP!$B$5*(A1099+1)^Veterancy_XP!$B$6,0)</f>
        <v>435</v>
      </c>
      <c r="C1099" s="6" t="n">
        <f aca="false">ROUND(1/(A1099+1)^Veterancy_XP!$E$6,4)</f>
        <v>0.2299</v>
      </c>
      <c r="D1099" s="6" t="n">
        <f aca="false">ROUND(Veterancy_XP!$E$5*C1099,1)</f>
        <v>229.9</v>
      </c>
      <c r="E1099" s="6" t="n">
        <f aca="false">ROUND(B1099/D1099,2)</f>
        <v>1.89</v>
      </c>
      <c r="F1099" s="6" t="n">
        <f aca="false">ROUND(F1098+E1099,2)</f>
        <v>1464.33</v>
      </c>
    </row>
    <row r="1100" customFormat="false" ht="15" hidden="false" customHeight="true" outlineLevel="0" collapsed="false">
      <c r="A1100" s="6" t="n">
        <v>1098</v>
      </c>
      <c r="B1100" s="6" t="n">
        <f aca="false">ROUND(Veterancy_XP!$B$5*(A1100+1)^Veterancy_XP!$B$6,0)</f>
        <v>435</v>
      </c>
      <c r="C1100" s="6" t="n">
        <f aca="false">ROUND(1/(A1100+1)^Veterancy_XP!$E$6,4)</f>
        <v>0.2298</v>
      </c>
      <c r="D1100" s="6" t="n">
        <f aca="false">ROUND(Veterancy_XP!$E$5*C1100,1)</f>
        <v>229.8</v>
      </c>
      <c r="E1100" s="6" t="n">
        <f aca="false">ROUND(B1100/D1100,2)</f>
        <v>1.89</v>
      </c>
      <c r="F1100" s="6" t="n">
        <f aca="false">ROUND(F1099+E1100,2)</f>
        <v>1466.22</v>
      </c>
    </row>
    <row r="1101" customFormat="false" ht="15" hidden="false" customHeight="true" outlineLevel="0" collapsed="false">
      <c r="A1101" s="6" t="n">
        <v>1099</v>
      </c>
      <c r="B1101" s="6" t="n">
        <f aca="false">ROUND(Veterancy_XP!$B$5*(A1101+1)^Veterancy_XP!$B$6,0)</f>
        <v>435</v>
      </c>
      <c r="C1101" s="6" t="n">
        <f aca="false">ROUND(1/(A1101+1)^Veterancy_XP!$E$6,4)</f>
        <v>0.2298</v>
      </c>
      <c r="D1101" s="6" t="n">
        <f aca="false">ROUND(Veterancy_XP!$E$5*C1101,1)</f>
        <v>229.8</v>
      </c>
      <c r="E1101" s="6" t="n">
        <f aca="false">ROUND(B1101/D1101,2)</f>
        <v>1.89</v>
      </c>
      <c r="F1101" s="6" t="n">
        <f aca="false">ROUND(F1100+E1101,2)</f>
        <v>1468.11</v>
      </c>
    </row>
    <row r="1102" customFormat="false" ht="15" hidden="false" customHeight="true" outlineLevel="0" collapsed="false">
      <c r="A1102" s="6" t="n">
        <v>1100</v>
      </c>
      <c r="B1102" s="6" t="n">
        <f aca="false">ROUND(Veterancy_XP!$B$5*(A1102+1)^Veterancy_XP!$B$6,0)</f>
        <v>435</v>
      </c>
      <c r="C1102" s="6" t="n">
        <f aca="false">ROUND(1/(A1102+1)^Veterancy_XP!$E$6,4)</f>
        <v>0.2297</v>
      </c>
      <c r="D1102" s="6" t="n">
        <f aca="false">ROUND(Veterancy_XP!$E$5*C1102,1)</f>
        <v>229.7</v>
      </c>
      <c r="E1102" s="6" t="n">
        <f aca="false">ROUND(B1102/D1102,2)</f>
        <v>1.89</v>
      </c>
      <c r="F1102" s="6" t="n">
        <f aca="false">ROUND(F1101+E1102,2)</f>
        <v>1470</v>
      </c>
    </row>
    <row r="1103" customFormat="false" ht="15" hidden="false" customHeight="true" outlineLevel="0" collapsed="false">
      <c r="A1103" s="6" t="n">
        <v>1101</v>
      </c>
      <c r="B1103" s="6" t="n">
        <f aca="false">ROUND(Veterancy_XP!$B$5*(A1103+1)^Veterancy_XP!$B$6,0)</f>
        <v>435</v>
      </c>
      <c r="C1103" s="6" t="n">
        <f aca="false">ROUND(1/(A1103+1)^Veterancy_XP!$E$6,4)</f>
        <v>0.2297</v>
      </c>
      <c r="D1103" s="6" t="n">
        <f aca="false">ROUND(Veterancy_XP!$E$5*C1103,1)</f>
        <v>229.7</v>
      </c>
      <c r="E1103" s="6" t="n">
        <f aca="false">ROUND(B1103/D1103,2)</f>
        <v>1.89</v>
      </c>
      <c r="F1103" s="6" t="n">
        <f aca="false">ROUND(F1102+E1103,2)</f>
        <v>1471.89</v>
      </c>
    </row>
    <row r="1104" customFormat="false" ht="15" hidden="false" customHeight="true" outlineLevel="0" collapsed="false">
      <c r="A1104" s="6" t="n">
        <v>1102</v>
      </c>
      <c r="B1104" s="6" t="n">
        <f aca="false">ROUND(Veterancy_XP!$B$5*(A1104+1)^Veterancy_XP!$B$6,0)</f>
        <v>435</v>
      </c>
      <c r="C1104" s="6" t="n">
        <f aca="false">ROUND(1/(A1104+1)^Veterancy_XP!$E$6,4)</f>
        <v>0.2296</v>
      </c>
      <c r="D1104" s="6" t="n">
        <f aca="false">ROUND(Veterancy_XP!$E$5*C1104,1)</f>
        <v>229.6</v>
      </c>
      <c r="E1104" s="6" t="n">
        <f aca="false">ROUND(B1104/D1104,2)</f>
        <v>1.89</v>
      </c>
      <c r="F1104" s="6" t="n">
        <f aca="false">ROUND(F1103+E1104,2)</f>
        <v>1473.78</v>
      </c>
    </row>
    <row r="1105" customFormat="false" ht="15" hidden="false" customHeight="true" outlineLevel="0" collapsed="false">
      <c r="A1105" s="6" t="n">
        <v>1103</v>
      </c>
      <c r="B1105" s="6" t="n">
        <f aca="false">ROUND(Veterancy_XP!$B$5*(A1105+1)^Veterancy_XP!$B$6,0)</f>
        <v>436</v>
      </c>
      <c r="C1105" s="6" t="n">
        <f aca="false">ROUND(1/(A1105+1)^Veterancy_XP!$E$6,4)</f>
        <v>0.2296</v>
      </c>
      <c r="D1105" s="6" t="n">
        <f aca="false">ROUND(Veterancy_XP!$E$5*C1105,1)</f>
        <v>229.6</v>
      </c>
      <c r="E1105" s="6" t="n">
        <f aca="false">ROUND(B1105/D1105,2)</f>
        <v>1.9</v>
      </c>
      <c r="F1105" s="6" t="n">
        <f aca="false">ROUND(F1104+E1105,2)</f>
        <v>1475.68</v>
      </c>
    </row>
    <row r="1106" customFormat="false" ht="15" hidden="false" customHeight="true" outlineLevel="0" collapsed="false">
      <c r="A1106" s="6" t="n">
        <v>1104</v>
      </c>
      <c r="B1106" s="6" t="n">
        <f aca="false">ROUND(Veterancy_XP!$B$5*(A1106+1)^Veterancy_XP!$B$6,0)</f>
        <v>436</v>
      </c>
      <c r="C1106" s="6" t="n">
        <f aca="false">ROUND(1/(A1106+1)^Veterancy_XP!$E$6,4)</f>
        <v>0.2296</v>
      </c>
      <c r="D1106" s="6" t="n">
        <f aca="false">ROUND(Veterancy_XP!$E$5*C1106,1)</f>
        <v>229.6</v>
      </c>
      <c r="E1106" s="6" t="n">
        <f aca="false">ROUND(B1106/D1106,2)</f>
        <v>1.9</v>
      </c>
      <c r="F1106" s="6" t="n">
        <f aca="false">ROUND(F1105+E1106,2)</f>
        <v>1477.58</v>
      </c>
    </row>
    <row r="1107" customFormat="false" ht="15" hidden="false" customHeight="true" outlineLevel="0" collapsed="false">
      <c r="A1107" s="6" t="n">
        <v>1105</v>
      </c>
      <c r="B1107" s="6" t="n">
        <f aca="false">ROUND(Veterancy_XP!$B$5*(A1107+1)^Veterancy_XP!$B$6,0)</f>
        <v>436</v>
      </c>
      <c r="C1107" s="6" t="n">
        <f aca="false">ROUND(1/(A1107+1)^Veterancy_XP!$E$6,4)</f>
        <v>0.2295</v>
      </c>
      <c r="D1107" s="6" t="n">
        <f aca="false">ROUND(Veterancy_XP!$E$5*C1107,1)</f>
        <v>229.5</v>
      </c>
      <c r="E1107" s="6" t="n">
        <f aca="false">ROUND(B1107/D1107,2)</f>
        <v>1.9</v>
      </c>
      <c r="F1107" s="6" t="n">
        <f aca="false">ROUND(F1106+E1107,2)</f>
        <v>1479.48</v>
      </c>
    </row>
    <row r="1108" customFormat="false" ht="15" hidden="false" customHeight="true" outlineLevel="0" collapsed="false">
      <c r="A1108" s="6" t="n">
        <v>1106</v>
      </c>
      <c r="B1108" s="6" t="n">
        <f aca="false">ROUND(Veterancy_XP!$B$5*(A1108+1)^Veterancy_XP!$B$6,0)</f>
        <v>436</v>
      </c>
      <c r="C1108" s="6" t="n">
        <f aca="false">ROUND(1/(A1108+1)^Veterancy_XP!$E$6,4)</f>
        <v>0.2295</v>
      </c>
      <c r="D1108" s="6" t="n">
        <f aca="false">ROUND(Veterancy_XP!$E$5*C1108,1)</f>
        <v>229.5</v>
      </c>
      <c r="E1108" s="6" t="n">
        <f aca="false">ROUND(B1108/D1108,2)</f>
        <v>1.9</v>
      </c>
      <c r="F1108" s="6" t="n">
        <f aca="false">ROUND(F1107+E1108,2)</f>
        <v>1481.38</v>
      </c>
    </row>
    <row r="1109" customFormat="false" ht="15" hidden="false" customHeight="true" outlineLevel="0" collapsed="false">
      <c r="A1109" s="6" t="n">
        <v>1107</v>
      </c>
      <c r="B1109" s="6" t="n">
        <f aca="false">ROUND(Veterancy_XP!$B$5*(A1109+1)^Veterancy_XP!$B$6,0)</f>
        <v>436</v>
      </c>
      <c r="C1109" s="6" t="n">
        <f aca="false">ROUND(1/(A1109+1)^Veterancy_XP!$E$6,4)</f>
        <v>0.2294</v>
      </c>
      <c r="D1109" s="6" t="n">
        <f aca="false">ROUND(Veterancy_XP!$E$5*C1109,1)</f>
        <v>229.4</v>
      </c>
      <c r="E1109" s="6" t="n">
        <f aca="false">ROUND(B1109/D1109,2)</f>
        <v>1.9</v>
      </c>
      <c r="F1109" s="6" t="n">
        <f aca="false">ROUND(F1108+E1109,2)</f>
        <v>1483.28</v>
      </c>
    </row>
    <row r="1110" customFormat="false" ht="15" hidden="false" customHeight="true" outlineLevel="0" collapsed="false">
      <c r="A1110" s="6" t="n">
        <v>1108</v>
      </c>
      <c r="B1110" s="6" t="n">
        <f aca="false">ROUND(Veterancy_XP!$B$5*(A1110+1)^Veterancy_XP!$B$6,0)</f>
        <v>436</v>
      </c>
      <c r="C1110" s="6" t="n">
        <f aca="false">ROUND(1/(A1110+1)^Veterancy_XP!$E$6,4)</f>
        <v>0.2294</v>
      </c>
      <c r="D1110" s="6" t="n">
        <f aca="false">ROUND(Veterancy_XP!$E$5*C1110,1)</f>
        <v>229.4</v>
      </c>
      <c r="E1110" s="6" t="n">
        <f aca="false">ROUND(B1110/D1110,2)</f>
        <v>1.9</v>
      </c>
      <c r="F1110" s="6" t="n">
        <f aca="false">ROUND(F1109+E1110,2)</f>
        <v>1485.18</v>
      </c>
    </row>
    <row r="1111" customFormat="false" ht="15" hidden="false" customHeight="true" outlineLevel="0" collapsed="false">
      <c r="A1111" s="6" t="n">
        <v>1109</v>
      </c>
      <c r="B1111" s="6" t="n">
        <f aca="false">ROUND(Veterancy_XP!$B$5*(A1111+1)^Veterancy_XP!$B$6,0)</f>
        <v>436</v>
      </c>
      <c r="C1111" s="6" t="n">
        <f aca="false">ROUND(1/(A1111+1)^Veterancy_XP!$E$6,4)</f>
        <v>0.2293</v>
      </c>
      <c r="D1111" s="6" t="n">
        <f aca="false">ROUND(Veterancy_XP!$E$5*C1111,1)</f>
        <v>229.3</v>
      </c>
      <c r="E1111" s="6" t="n">
        <f aca="false">ROUND(B1111/D1111,2)</f>
        <v>1.9</v>
      </c>
      <c r="F1111" s="6" t="n">
        <f aca="false">ROUND(F1110+E1111,2)</f>
        <v>1487.08</v>
      </c>
    </row>
    <row r="1112" customFormat="false" ht="15" hidden="false" customHeight="true" outlineLevel="0" collapsed="false">
      <c r="A1112" s="6" t="n">
        <v>1110</v>
      </c>
      <c r="B1112" s="6" t="n">
        <f aca="false">ROUND(Veterancy_XP!$B$5*(A1112+1)^Veterancy_XP!$B$6,0)</f>
        <v>436</v>
      </c>
      <c r="C1112" s="6" t="n">
        <f aca="false">ROUND(1/(A1112+1)^Veterancy_XP!$E$6,4)</f>
        <v>0.2293</v>
      </c>
      <c r="D1112" s="6" t="n">
        <f aca="false">ROUND(Veterancy_XP!$E$5*C1112,1)</f>
        <v>229.3</v>
      </c>
      <c r="E1112" s="6" t="n">
        <f aca="false">ROUND(B1112/D1112,2)</f>
        <v>1.9</v>
      </c>
      <c r="F1112" s="6" t="n">
        <f aca="false">ROUND(F1111+E1112,2)</f>
        <v>1488.98</v>
      </c>
    </row>
    <row r="1113" customFormat="false" ht="15" hidden="false" customHeight="true" outlineLevel="0" collapsed="false">
      <c r="A1113" s="6" t="n">
        <v>1111</v>
      </c>
      <c r="B1113" s="6" t="n">
        <f aca="false">ROUND(Veterancy_XP!$B$5*(A1113+1)^Veterancy_XP!$B$6,0)</f>
        <v>436</v>
      </c>
      <c r="C1113" s="6" t="n">
        <f aca="false">ROUND(1/(A1113+1)^Veterancy_XP!$E$6,4)</f>
        <v>0.2293</v>
      </c>
      <c r="D1113" s="6" t="n">
        <f aca="false">ROUND(Veterancy_XP!$E$5*C1113,1)</f>
        <v>229.3</v>
      </c>
      <c r="E1113" s="6" t="n">
        <f aca="false">ROUND(B1113/D1113,2)</f>
        <v>1.9</v>
      </c>
      <c r="F1113" s="6" t="n">
        <f aca="false">ROUND(F1112+E1113,2)</f>
        <v>1490.88</v>
      </c>
    </row>
    <row r="1114" customFormat="false" ht="15" hidden="false" customHeight="true" outlineLevel="0" collapsed="false">
      <c r="A1114" s="6" t="n">
        <v>1112</v>
      </c>
      <c r="B1114" s="6" t="n">
        <f aca="false">ROUND(Veterancy_XP!$B$5*(A1114+1)^Veterancy_XP!$B$6,0)</f>
        <v>436</v>
      </c>
      <c r="C1114" s="6" t="n">
        <f aca="false">ROUND(1/(A1114+1)^Veterancy_XP!$E$6,4)</f>
        <v>0.2292</v>
      </c>
      <c r="D1114" s="6" t="n">
        <f aca="false">ROUND(Veterancy_XP!$E$5*C1114,1)</f>
        <v>229.2</v>
      </c>
      <c r="E1114" s="6" t="n">
        <f aca="false">ROUND(B1114/D1114,2)</f>
        <v>1.9</v>
      </c>
      <c r="F1114" s="6" t="n">
        <f aca="false">ROUND(F1113+E1114,2)</f>
        <v>1492.78</v>
      </c>
    </row>
    <row r="1115" customFormat="false" ht="15" hidden="false" customHeight="true" outlineLevel="0" collapsed="false">
      <c r="A1115" s="6" t="n">
        <v>1113</v>
      </c>
      <c r="B1115" s="6" t="n">
        <f aca="false">ROUND(Veterancy_XP!$B$5*(A1115+1)^Veterancy_XP!$B$6,0)</f>
        <v>436</v>
      </c>
      <c r="C1115" s="6" t="n">
        <f aca="false">ROUND(1/(A1115+1)^Veterancy_XP!$E$6,4)</f>
        <v>0.2292</v>
      </c>
      <c r="D1115" s="6" t="n">
        <f aca="false">ROUND(Veterancy_XP!$E$5*C1115,1)</f>
        <v>229.2</v>
      </c>
      <c r="E1115" s="6" t="n">
        <f aca="false">ROUND(B1115/D1115,2)</f>
        <v>1.9</v>
      </c>
      <c r="F1115" s="6" t="n">
        <f aca="false">ROUND(F1114+E1115,2)</f>
        <v>1494.68</v>
      </c>
    </row>
    <row r="1116" customFormat="false" ht="15" hidden="false" customHeight="true" outlineLevel="0" collapsed="false">
      <c r="A1116" s="6" t="n">
        <v>1114</v>
      </c>
      <c r="B1116" s="6" t="n">
        <f aca="false">ROUND(Veterancy_XP!$B$5*(A1116+1)^Veterancy_XP!$B$6,0)</f>
        <v>436</v>
      </c>
      <c r="C1116" s="6" t="n">
        <f aca="false">ROUND(1/(A1116+1)^Veterancy_XP!$E$6,4)</f>
        <v>0.2291</v>
      </c>
      <c r="D1116" s="6" t="n">
        <f aca="false">ROUND(Veterancy_XP!$E$5*C1116,1)</f>
        <v>229.1</v>
      </c>
      <c r="E1116" s="6" t="n">
        <f aca="false">ROUND(B1116/D1116,2)</f>
        <v>1.9</v>
      </c>
      <c r="F1116" s="6" t="n">
        <f aca="false">ROUND(F1115+E1116,2)</f>
        <v>1496.58</v>
      </c>
    </row>
    <row r="1117" customFormat="false" ht="15" hidden="false" customHeight="true" outlineLevel="0" collapsed="false">
      <c r="A1117" s="6" t="n">
        <v>1115</v>
      </c>
      <c r="B1117" s="6" t="n">
        <f aca="false">ROUND(Veterancy_XP!$B$5*(A1117+1)^Veterancy_XP!$B$6,0)</f>
        <v>437</v>
      </c>
      <c r="C1117" s="6" t="n">
        <f aca="false">ROUND(1/(A1117+1)^Veterancy_XP!$E$6,4)</f>
        <v>0.2291</v>
      </c>
      <c r="D1117" s="6" t="n">
        <f aca="false">ROUND(Veterancy_XP!$E$5*C1117,1)</f>
        <v>229.1</v>
      </c>
      <c r="E1117" s="6" t="n">
        <f aca="false">ROUND(B1117/D1117,2)</f>
        <v>1.91</v>
      </c>
      <c r="F1117" s="6" t="n">
        <f aca="false">ROUND(F1116+E1117,2)</f>
        <v>1498.49</v>
      </c>
    </row>
    <row r="1118" customFormat="false" ht="15" hidden="false" customHeight="true" outlineLevel="0" collapsed="false">
      <c r="A1118" s="6" t="n">
        <v>1116</v>
      </c>
      <c r="B1118" s="6" t="n">
        <f aca="false">ROUND(Veterancy_XP!$B$5*(A1118+1)^Veterancy_XP!$B$6,0)</f>
        <v>437</v>
      </c>
      <c r="C1118" s="6" t="n">
        <f aca="false">ROUND(1/(A1118+1)^Veterancy_XP!$E$6,4)</f>
        <v>0.229</v>
      </c>
      <c r="D1118" s="6" t="n">
        <f aca="false">ROUND(Veterancy_XP!$E$5*C1118,1)</f>
        <v>229</v>
      </c>
      <c r="E1118" s="6" t="n">
        <f aca="false">ROUND(B1118/D1118,2)</f>
        <v>1.91</v>
      </c>
      <c r="F1118" s="6" t="n">
        <f aca="false">ROUND(F1117+E1118,2)</f>
        <v>1500.4</v>
      </c>
    </row>
    <row r="1119" customFormat="false" ht="15" hidden="false" customHeight="true" outlineLevel="0" collapsed="false">
      <c r="A1119" s="6" t="n">
        <v>1117</v>
      </c>
      <c r="B1119" s="6" t="n">
        <f aca="false">ROUND(Veterancy_XP!$B$5*(A1119+1)^Veterancy_XP!$B$6,0)</f>
        <v>437</v>
      </c>
      <c r="C1119" s="6" t="n">
        <f aca="false">ROUND(1/(A1119+1)^Veterancy_XP!$E$6,4)</f>
        <v>0.229</v>
      </c>
      <c r="D1119" s="6" t="n">
        <f aca="false">ROUND(Veterancy_XP!$E$5*C1119,1)</f>
        <v>229</v>
      </c>
      <c r="E1119" s="6" t="n">
        <f aca="false">ROUND(B1119/D1119,2)</f>
        <v>1.91</v>
      </c>
      <c r="F1119" s="6" t="n">
        <f aca="false">ROUND(F1118+E1119,2)</f>
        <v>1502.31</v>
      </c>
    </row>
    <row r="1120" customFormat="false" ht="15" hidden="false" customHeight="true" outlineLevel="0" collapsed="false">
      <c r="A1120" s="6" t="n">
        <v>1118</v>
      </c>
      <c r="B1120" s="6" t="n">
        <f aca="false">ROUND(Veterancy_XP!$B$5*(A1120+1)^Veterancy_XP!$B$6,0)</f>
        <v>437</v>
      </c>
      <c r="C1120" s="6" t="n">
        <f aca="false">ROUND(1/(A1120+1)^Veterancy_XP!$E$6,4)</f>
        <v>0.229</v>
      </c>
      <c r="D1120" s="6" t="n">
        <f aca="false">ROUND(Veterancy_XP!$E$5*C1120,1)</f>
        <v>229</v>
      </c>
      <c r="E1120" s="6" t="n">
        <f aca="false">ROUND(B1120/D1120,2)</f>
        <v>1.91</v>
      </c>
      <c r="F1120" s="6" t="n">
        <f aca="false">ROUND(F1119+E1120,2)</f>
        <v>1504.22</v>
      </c>
    </row>
    <row r="1121" customFormat="false" ht="15" hidden="false" customHeight="true" outlineLevel="0" collapsed="false">
      <c r="A1121" s="6" t="n">
        <v>1119</v>
      </c>
      <c r="B1121" s="6" t="n">
        <f aca="false">ROUND(Veterancy_XP!$B$5*(A1121+1)^Veterancy_XP!$B$6,0)</f>
        <v>437</v>
      </c>
      <c r="C1121" s="6" t="n">
        <f aca="false">ROUND(1/(A1121+1)^Veterancy_XP!$E$6,4)</f>
        <v>0.2289</v>
      </c>
      <c r="D1121" s="6" t="n">
        <f aca="false">ROUND(Veterancy_XP!$E$5*C1121,1)</f>
        <v>228.9</v>
      </c>
      <c r="E1121" s="6" t="n">
        <f aca="false">ROUND(B1121/D1121,2)</f>
        <v>1.91</v>
      </c>
      <c r="F1121" s="6" t="n">
        <f aca="false">ROUND(F1120+E1121,2)</f>
        <v>1506.13</v>
      </c>
    </row>
    <row r="1122" customFormat="false" ht="15" hidden="false" customHeight="true" outlineLevel="0" collapsed="false">
      <c r="A1122" s="6" t="n">
        <v>1120</v>
      </c>
      <c r="B1122" s="6" t="n">
        <f aca="false">ROUND(Veterancy_XP!$B$5*(A1122+1)^Veterancy_XP!$B$6,0)</f>
        <v>437</v>
      </c>
      <c r="C1122" s="6" t="n">
        <f aca="false">ROUND(1/(A1122+1)^Veterancy_XP!$E$6,4)</f>
        <v>0.2289</v>
      </c>
      <c r="D1122" s="6" t="n">
        <f aca="false">ROUND(Veterancy_XP!$E$5*C1122,1)</f>
        <v>228.9</v>
      </c>
      <c r="E1122" s="6" t="n">
        <f aca="false">ROUND(B1122/D1122,2)</f>
        <v>1.91</v>
      </c>
      <c r="F1122" s="6" t="n">
        <f aca="false">ROUND(F1121+E1122,2)</f>
        <v>1508.04</v>
      </c>
    </row>
    <row r="1123" customFormat="false" ht="15" hidden="false" customHeight="true" outlineLevel="0" collapsed="false">
      <c r="A1123" s="6" t="n">
        <v>1121</v>
      </c>
      <c r="B1123" s="6" t="n">
        <f aca="false">ROUND(Veterancy_XP!$B$5*(A1123+1)^Veterancy_XP!$B$6,0)</f>
        <v>437</v>
      </c>
      <c r="C1123" s="6" t="n">
        <f aca="false">ROUND(1/(A1123+1)^Veterancy_XP!$E$6,4)</f>
        <v>0.2288</v>
      </c>
      <c r="D1123" s="6" t="n">
        <f aca="false">ROUND(Veterancy_XP!$E$5*C1123,1)</f>
        <v>228.8</v>
      </c>
      <c r="E1123" s="6" t="n">
        <f aca="false">ROUND(B1123/D1123,2)</f>
        <v>1.91</v>
      </c>
      <c r="F1123" s="6" t="n">
        <f aca="false">ROUND(F1122+E1123,2)</f>
        <v>1509.95</v>
      </c>
    </row>
    <row r="1124" customFormat="false" ht="15" hidden="false" customHeight="true" outlineLevel="0" collapsed="false">
      <c r="A1124" s="6" t="n">
        <v>1122</v>
      </c>
      <c r="B1124" s="6" t="n">
        <f aca="false">ROUND(Veterancy_XP!$B$5*(A1124+1)^Veterancy_XP!$B$6,0)</f>
        <v>437</v>
      </c>
      <c r="C1124" s="6" t="n">
        <f aca="false">ROUND(1/(A1124+1)^Veterancy_XP!$E$6,4)</f>
        <v>0.2288</v>
      </c>
      <c r="D1124" s="6" t="n">
        <f aca="false">ROUND(Veterancy_XP!$E$5*C1124,1)</f>
        <v>228.8</v>
      </c>
      <c r="E1124" s="6" t="n">
        <f aca="false">ROUND(B1124/D1124,2)</f>
        <v>1.91</v>
      </c>
      <c r="F1124" s="6" t="n">
        <f aca="false">ROUND(F1123+E1124,2)</f>
        <v>1511.86</v>
      </c>
    </row>
    <row r="1125" customFormat="false" ht="15" hidden="false" customHeight="true" outlineLevel="0" collapsed="false">
      <c r="A1125" s="6" t="n">
        <v>1123</v>
      </c>
      <c r="B1125" s="6" t="n">
        <f aca="false">ROUND(Veterancy_XP!$B$5*(A1125+1)^Veterancy_XP!$B$6,0)</f>
        <v>437</v>
      </c>
      <c r="C1125" s="6" t="n">
        <f aca="false">ROUND(1/(A1125+1)^Veterancy_XP!$E$6,4)</f>
        <v>0.2287</v>
      </c>
      <c r="D1125" s="6" t="n">
        <f aca="false">ROUND(Veterancy_XP!$E$5*C1125,1)</f>
        <v>228.7</v>
      </c>
      <c r="E1125" s="6" t="n">
        <f aca="false">ROUND(B1125/D1125,2)</f>
        <v>1.91</v>
      </c>
      <c r="F1125" s="6" t="n">
        <f aca="false">ROUND(F1124+E1125,2)</f>
        <v>1513.77</v>
      </c>
    </row>
    <row r="1126" customFormat="false" ht="15" hidden="false" customHeight="true" outlineLevel="0" collapsed="false">
      <c r="A1126" s="6" t="n">
        <v>1124</v>
      </c>
      <c r="B1126" s="6" t="n">
        <f aca="false">ROUND(Veterancy_XP!$B$5*(A1126+1)^Veterancy_XP!$B$6,0)</f>
        <v>437</v>
      </c>
      <c r="C1126" s="6" t="n">
        <f aca="false">ROUND(1/(A1126+1)^Veterancy_XP!$E$6,4)</f>
        <v>0.2287</v>
      </c>
      <c r="D1126" s="6" t="n">
        <f aca="false">ROUND(Veterancy_XP!$E$5*C1126,1)</f>
        <v>228.7</v>
      </c>
      <c r="E1126" s="6" t="n">
        <f aca="false">ROUND(B1126/D1126,2)</f>
        <v>1.91</v>
      </c>
      <c r="F1126" s="6" t="n">
        <f aca="false">ROUND(F1125+E1126,2)</f>
        <v>1515.68</v>
      </c>
    </row>
    <row r="1127" customFormat="false" ht="15" hidden="false" customHeight="true" outlineLevel="0" collapsed="false">
      <c r="A1127" s="6" t="n">
        <v>1125</v>
      </c>
      <c r="B1127" s="6" t="n">
        <f aca="false">ROUND(Veterancy_XP!$B$5*(A1127+1)^Veterancy_XP!$B$6,0)</f>
        <v>437</v>
      </c>
      <c r="C1127" s="6" t="n">
        <f aca="false">ROUND(1/(A1127+1)^Veterancy_XP!$E$6,4)</f>
        <v>0.2287</v>
      </c>
      <c r="D1127" s="6" t="n">
        <f aca="false">ROUND(Veterancy_XP!$E$5*C1127,1)</f>
        <v>228.7</v>
      </c>
      <c r="E1127" s="6" t="n">
        <f aca="false">ROUND(B1127/D1127,2)</f>
        <v>1.91</v>
      </c>
      <c r="F1127" s="6" t="n">
        <f aca="false">ROUND(F1126+E1127,2)</f>
        <v>1517.59</v>
      </c>
    </row>
    <row r="1128" customFormat="false" ht="15" hidden="false" customHeight="true" outlineLevel="0" collapsed="false">
      <c r="A1128" s="6" t="n">
        <v>1126</v>
      </c>
      <c r="B1128" s="6" t="n">
        <f aca="false">ROUND(Veterancy_XP!$B$5*(A1128+1)^Veterancy_XP!$B$6,0)</f>
        <v>437</v>
      </c>
      <c r="C1128" s="6" t="n">
        <f aca="false">ROUND(1/(A1128+1)^Veterancy_XP!$E$6,4)</f>
        <v>0.2286</v>
      </c>
      <c r="D1128" s="6" t="n">
        <f aca="false">ROUND(Veterancy_XP!$E$5*C1128,1)</f>
        <v>228.6</v>
      </c>
      <c r="E1128" s="6" t="n">
        <f aca="false">ROUND(B1128/D1128,2)</f>
        <v>1.91</v>
      </c>
      <c r="F1128" s="6" t="n">
        <f aca="false">ROUND(F1127+E1128,2)</f>
        <v>1519.5</v>
      </c>
    </row>
    <row r="1129" customFormat="false" ht="15" hidden="false" customHeight="true" outlineLevel="0" collapsed="false">
      <c r="A1129" s="6" t="n">
        <v>1127</v>
      </c>
      <c r="B1129" s="6" t="n">
        <f aca="false">ROUND(Veterancy_XP!$B$5*(A1129+1)^Veterancy_XP!$B$6,0)</f>
        <v>438</v>
      </c>
      <c r="C1129" s="6" t="n">
        <f aca="false">ROUND(1/(A1129+1)^Veterancy_XP!$E$6,4)</f>
        <v>0.2286</v>
      </c>
      <c r="D1129" s="6" t="n">
        <f aca="false">ROUND(Veterancy_XP!$E$5*C1129,1)</f>
        <v>228.6</v>
      </c>
      <c r="E1129" s="6" t="n">
        <f aca="false">ROUND(B1129/D1129,2)</f>
        <v>1.92</v>
      </c>
      <c r="F1129" s="6" t="n">
        <f aca="false">ROUND(F1128+E1129,2)</f>
        <v>1521.42</v>
      </c>
    </row>
    <row r="1130" customFormat="false" ht="15" hidden="false" customHeight="true" outlineLevel="0" collapsed="false">
      <c r="A1130" s="6" t="n">
        <v>1128</v>
      </c>
      <c r="B1130" s="6" t="n">
        <f aca="false">ROUND(Veterancy_XP!$B$5*(A1130+1)^Veterancy_XP!$B$6,0)</f>
        <v>438</v>
      </c>
      <c r="C1130" s="6" t="n">
        <f aca="false">ROUND(1/(A1130+1)^Veterancy_XP!$E$6,4)</f>
        <v>0.2285</v>
      </c>
      <c r="D1130" s="6" t="n">
        <f aca="false">ROUND(Veterancy_XP!$E$5*C1130,1)</f>
        <v>228.5</v>
      </c>
      <c r="E1130" s="6" t="n">
        <f aca="false">ROUND(B1130/D1130,2)</f>
        <v>1.92</v>
      </c>
      <c r="F1130" s="6" t="n">
        <f aca="false">ROUND(F1129+E1130,2)</f>
        <v>1523.34</v>
      </c>
    </row>
    <row r="1131" customFormat="false" ht="15" hidden="false" customHeight="true" outlineLevel="0" collapsed="false">
      <c r="A1131" s="6" t="n">
        <v>1129</v>
      </c>
      <c r="B1131" s="6" t="n">
        <f aca="false">ROUND(Veterancy_XP!$B$5*(A1131+1)^Veterancy_XP!$B$6,0)</f>
        <v>438</v>
      </c>
      <c r="C1131" s="6" t="n">
        <f aca="false">ROUND(1/(A1131+1)^Veterancy_XP!$E$6,4)</f>
        <v>0.2285</v>
      </c>
      <c r="D1131" s="6" t="n">
        <f aca="false">ROUND(Veterancy_XP!$E$5*C1131,1)</f>
        <v>228.5</v>
      </c>
      <c r="E1131" s="6" t="n">
        <f aca="false">ROUND(B1131/D1131,2)</f>
        <v>1.92</v>
      </c>
      <c r="F1131" s="6" t="n">
        <f aca="false">ROUND(F1130+E1131,2)</f>
        <v>1525.26</v>
      </c>
    </row>
    <row r="1132" customFormat="false" ht="15" hidden="false" customHeight="true" outlineLevel="0" collapsed="false">
      <c r="A1132" s="6" t="n">
        <v>1130</v>
      </c>
      <c r="B1132" s="6" t="n">
        <f aca="false">ROUND(Veterancy_XP!$B$5*(A1132+1)^Veterancy_XP!$B$6,0)</f>
        <v>438</v>
      </c>
      <c r="C1132" s="6" t="n">
        <f aca="false">ROUND(1/(A1132+1)^Veterancy_XP!$E$6,4)</f>
        <v>0.2284</v>
      </c>
      <c r="D1132" s="6" t="n">
        <f aca="false">ROUND(Veterancy_XP!$E$5*C1132,1)</f>
        <v>228.4</v>
      </c>
      <c r="E1132" s="6" t="n">
        <f aca="false">ROUND(B1132/D1132,2)</f>
        <v>1.92</v>
      </c>
      <c r="F1132" s="6" t="n">
        <f aca="false">ROUND(F1131+E1132,2)</f>
        <v>1527.18</v>
      </c>
    </row>
    <row r="1133" customFormat="false" ht="15" hidden="false" customHeight="true" outlineLevel="0" collapsed="false">
      <c r="A1133" s="6" t="n">
        <v>1131</v>
      </c>
      <c r="B1133" s="6" t="n">
        <f aca="false">ROUND(Veterancy_XP!$B$5*(A1133+1)^Veterancy_XP!$B$6,0)</f>
        <v>438</v>
      </c>
      <c r="C1133" s="6" t="n">
        <f aca="false">ROUND(1/(A1133+1)^Veterancy_XP!$E$6,4)</f>
        <v>0.2284</v>
      </c>
      <c r="D1133" s="6" t="n">
        <f aca="false">ROUND(Veterancy_XP!$E$5*C1133,1)</f>
        <v>228.4</v>
      </c>
      <c r="E1133" s="6" t="n">
        <f aca="false">ROUND(B1133/D1133,2)</f>
        <v>1.92</v>
      </c>
      <c r="F1133" s="6" t="n">
        <f aca="false">ROUND(F1132+E1133,2)</f>
        <v>1529.1</v>
      </c>
    </row>
    <row r="1134" customFormat="false" ht="15" hidden="false" customHeight="true" outlineLevel="0" collapsed="false">
      <c r="A1134" s="6" t="n">
        <v>1132</v>
      </c>
      <c r="B1134" s="6" t="n">
        <f aca="false">ROUND(Veterancy_XP!$B$5*(A1134+1)^Veterancy_XP!$B$6,0)</f>
        <v>438</v>
      </c>
      <c r="C1134" s="6" t="n">
        <f aca="false">ROUND(1/(A1134+1)^Veterancy_XP!$E$6,4)</f>
        <v>0.2284</v>
      </c>
      <c r="D1134" s="6" t="n">
        <f aca="false">ROUND(Veterancy_XP!$E$5*C1134,1)</f>
        <v>228.4</v>
      </c>
      <c r="E1134" s="6" t="n">
        <f aca="false">ROUND(B1134/D1134,2)</f>
        <v>1.92</v>
      </c>
      <c r="F1134" s="6" t="n">
        <f aca="false">ROUND(F1133+E1134,2)</f>
        <v>1531.02</v>
      </c>
    </row>
    <row r="1135" customFormat="false" ht="15" hidden="false" customHeight="true" outlineLevel="0" collapsed="false">
      <c r="A1135" s="6" t="n">
        <v>1133</v>
      </c>
      <c r="B1135" s="6" t="n">
        <f aca="false">ROUND(Veterancy_XP!$B$5*(A1135+1)^Veterancy_XP!$B$6,0)</f>
        <v>438</v>
      </c>
      <c r="C1135" s="6" t="n">
        <f aca="false">ROUND(1/(A1135+1)^Veterancy_XP!$E$6,4)</f>
        <v>0.2283</v>
      </c>
      <c r="D1135" s="6" t="n">
        <f aca="false">ROUND(Veterancy_XP!$E$5*C1135,1)</f>
        <v>228.3</v>
      </c>
      <c r="E1135" s="6" t="n">
        <f aca="false">ROUND(B1135/D1135,2)</f>
        <v>1.92</v>
      </c>
      <c r="F1135" s="6" t="n">
        <f aca="false">ROUND(F1134+E1135,2)</f>
        <v>1532.94</v>
      </c>
    </row>
    <row r="1136" customFormat="false" ht="15" hidden="false" customHeight="true" outlineLevel="0" collapsed="false">
      <c r="A1136" s="6" t="n">
        <v>1134</v>
      </c>
      <c r="B1136" s="6" t="n">
        <f aca="false">ROUND(Veterancy_XP!$B$5*(A1136+1)^Veterancy_XP!$B$6,0)</f>
        <v>438</v>
      </c>
      <c r="C1136" s="6" t="n">
        <f aca="false">ROUND(1/(A1136+1)^Veterancy_XP!$E$6,4)</f>
        <v>0.2283</v>
      </c>
      <c r="D1136" s="6" t="n">
        <f aca="false">ROUND(Veterancy_XP!$E$5*C1136,1)</f>
        <v>228.3</v>
      </c>
      <c r="E1136" s="6" t="n">
        <f aca="false">ROUND(B1136/D1136,2)</f>
        <v>1.92</v>
      </c>
      <c r="F1136" s="6" t="n">
        <f aca="false">ROUND(F1135+E1136,2)</f>
        <v>1534.86</v>
      </c>
    </row>
    <row r="1137" customFormat="false" ht="15" hidden="false" customHeight="true" outlineLevel="0" collapsed="false">
      <c r="A1137" s="6" t="n">
        <v>1135</v>
      </c>
      <c r="B1137" s="6" t="n">
        <f aca="false">ROUND(Veterancy_XP!$B$5*(A1137+1)^Veterancy_XP!$B$6,0)</f>
        <v>438</v>
      </c>
      <c r="C1137" s="6" t="n">
        <f aca="false">ROUND(1/(A1137+1)^Veterancy_XP!$E$6,4)</f>
        <v>0.2282</v>
      </c>
      <c r="D1137" s="6" t="n">
        <f aca="false">ROUND(Veterancy_XP!$E$5*C1137,1)</f>
        <v>228.2</v>
      </c>
      <c r="E1137" s="6" t="n">
        <f aca="false">ROUND(B1137/D1137,2)</f>
        <v>1.92</v>
      </c>
      <c r="F1137" s="6" t="n">
        <f aca="false">ROUND(F1136+E1137,2)</f>
        <v>1536.78</v>
      </c>
    </row>
    <row r="1138" customFormat="false" ht="15" hidden="false" customHeight="true" outlineLevel="0" collapsed="false">
      <c r="A1138" s="6" t="n">
        <v>1136</v>
      </c>
      <c r="B1138" s="6" t="n">
        <f aca="false">ROUND(Veterancy_XP!$B$5*(A1138+1)^Veterancy_XP!$B$6,0)</f>
        <v>438</v>
      </c>
      <c r="C1138" s="6" t="n">
        <f aca="false">ROUND(1/(A1138+1)^Veterancy_XP!$E$6,4)</f>
        <v>0.2282</v>
      </c>
      <c r="D1138" s="6" t="n">
        <f aca="false">ROUND(Veterancy_XP!$E$5*C1138,1)</f>
        <v>228.2</v>
      </c>
      <c r="E1138" s="6" t="n">
        <f aca="false">ROUND(B1138/D1138,2)</f>
        <v>1.92</v>
      </c>
      <c r="F1138" s="6" t="n">
        <f aca="false">ROUND(F1137+E1138,2)</f>
        <v>1538.7</v>
      </c>
    </row>
    <row r="1139" customFormat="false" ht="15" hidden="false" customHeight="true" outlineLevel="0" collapsed="false">
      <c r="A1139" s="6" t="n">
        <v>1137</v>
      </c>
      <c r="B1139" s="6" t="n">
        <f aca="false">ROUND(Veterancy_XP!$B$5*(A1139+1)^Veterancy_XP!$B$6,0)</f>
        <v>438</v>
      </c>
      <c r="C1139" s="6" t="n">
        <f aca="false">ROUND(1/(A1139+1)^Veterancy_XP!$E$6,4)</f>
        <v>0.2281</v>
      </c>
      <c r="D1139" s="6" t="n">
        <f aca="false">ROUND(Veterancy_XP!$E$5*C1139,1)</f>
        <v>228.1</v>
      </c>
      <c r="E1139" s="6" t="n">
        <f aca="false">ROUND(B1139/D1139,2)</f>
        <v>1.92</v>
      </c>
      <c r="F1139" s="6" t="n">
        <f aca="false">ROUND(F1138+E1139,2)</f>
        <v>1540.62</v>
      </c>
    </row>
    <row r="1140" customFormat="false" ht="15" hidden="false" customHeight="true" outlineLevel="0" collapsed="false">
      <c r="A1140" s="6" t="n">
        <v>1138</v>
      </c>
      <c r="B1140" s="6" t="n">
        <f aca="false">ROUND(Veterancy_XP!$B$5*(A1140+1)^Veterancy_XP!$B$6,0)</f>
        <v>438</v>
      </c>
      <c r="C1140" s="6" t="n">
        <f aca="false">ROUND(1/(A1140+1)^Veterancy_XP!$E$6,4)</f>
        <v>0.2281</v>
      </c>
      <c r="D1140" s="6" t="n">
        <f aca="false">ROUND(Veterancy_XP!$E$5*C1140,1)</f>
        <v>228.1</v>
      </c>
      <c r="E1140" s="6" t="n">
        <f aca="false">ROUND(B1140/D1140,2)</f>
        <v>1.92</v>
      </c>
      <c r="F1140" s="6" t="n">
        <f aca="false">ROUND(F1139+E1140,2)</f>
        <v>1542.54</v>
      </c>
    </row>
    <row r="1141" customFormat="false" ht="15" hidden="false" customHeight="true" outlineLevel="0" collapsed="false">
      <c r="A1141" s="6" t="n">
        <v>1139</v>
      </c>
      <c r="B1141" s="6" t="n">
        <f aca="false">ROUND(Veterancy_XP!$B$5*(A1141+1)^Veterancy_XP!$B$6,0)</f>
        <v>438</v>
      </c>
      <c r="C1141" s="6" t="n">
        <f aca="false">ROUND(1/(A1141+1)^Veterancy_XP!$E$6,4)</f>
        <v>0.2281</v>
      </c>
      <c r="D1141" s="6" t="n">
        <f aca="false">ROUND(Veterancy_XP!$E$5*C1141,1)</f>
        <v>228.1</v>
      </c>
      <c r="E1141" s="6" t="n">
        <f aca="false">ROUND(B1141/D1141,2)</f>
        <v>1.92</v>
      </c>
      <c r="F1141" s="6" t="n">
        <f aca="false">ROUND(F1140+E1141,2)</f>
        <v>1544.46</v>
      </c>
    </row>
    <row r="1142" customFormat="false" ht="15" hidden="false" customHeight="true" outlineLevel="0" collapsed="false">
      <c r="A1142" s="6" t="n">
        <v>1140</v>
      </c>
      <c r="B1142" s="6" t="n">
        <f aca="false">ROUND(Veterancy_XP!$B$5*(A1142+1)^Veterancy_XP!$B$6,0)</f>
        <v>439</v>
      </c>
      <c r="C1142" s="6" t="n">
        <f aca="false">ROUND(1/(A1142+1)^Veterancy_XP!$E$6,4)</f>
        <v>0.228</v>
      </c>
      <c r="D1142" s="6" t="n">
        <f aca="false">ROUND(Veterancy_XP!$E$5*C1142,1)</f>
        <v>228</v>
      </c>
      <c r="E1142" s="6" t="n">
        <f aca="false">ROUND(B1142/D1142,2)</f>
        <v>1.93</v>
      </c>
      <c r="F1142" s="6" t="n">
        <f aca="false">ROUND(F1141+E1142,2)</f>
        <v>1546.39</v>
      </c>
    </row>
    <row r="1143" customFormat="false" ht="15" hidden="false" customHeight="true" outlineLevel="0" collapsed="false">
      <c r="A1143" s="6" t="n">
        <v>1141</v>
      </c>
      <c r="B1143" s="6" t="n">
        <f aca="false">ROUND(Veterancy_XP!$B$5*(A1143+1)^Veterancy_XP!$B$6,0)</f>
        <v>439</v>
      </c>
      <c r="C1143" s="6" t="n">
        <f aca="false">ROUND(1/(A1143+1)^Veterancy_XP!$E$6,4)</f>
        <v>0.228</v>
      </c>
      <c r="D1143" s="6" t="n">
        <f aca="false">ROUND(Veterancy_XP!$E$5*C1143,1)</f>
        <v>228</v>
      </c>
      <c r="E1143" s="6" t="n">
        <f aca="false">ROUND(B1143/D1143,2)</f>
        <v>1.93</v>
      </c>
      <c r="F1143" s="6" t="n">
        <f aca="false">ROUND(F1142+E1143,2)</f>
        <v>1548.32</v>
      </c>
    </row>
    <row r="1144" customFormat="false" ht="15" hidden="false" customHeight="true" outlineLevel="0" collapsed="false">
      <c r="A1144" s="6" t="n">
        <v>1142</v>
      </c>
      <c r="B1144" s="6" t="n">
        <f aca="false">ROUND(Veterancy_XP!$B$5*(A1144+1)^Veterancy_XP!$B$6,0)</f>
        <v>439</v>
      </c>
      <c r="C1144" s="6" t="n">
        <f aca="false">ROUND(1/(A1144+1)^Veterancy_XP!$E$6,4)</f>
        <v>0.2279</v>
      </c>
      <c r="D1144" s="6" t="n">
        <f aca="false">ROUND(Veterancy_XP!$E$5*C1144,1)</f>
        <v>227.9</v>
      </c>
      <c r="E1144" s="6" t="n">
        <f aca="false">ROUND(B1144/D1144,2)</f>
        <v>1.93</v>
      </c>
      <c r="F1144" s="6" t="n">
        <f aca="false">ROUND(F1143+E1144,2)</f>
        <v>1550.25</v>
      </c>
    </row>
    <row r="1145" customFormat="false" ht="15" hidden="false" customHeight="true" outlineLevel="0" collapsed="false">
      <c r="A1145" s="6" t="n">
        <v>1143</v>
      </c>
      <c r="B1145" s="6" t="n">
        <f aca="false">ROUND(Veterancy_XP!$B$5*(A1145+1)^Veterancy_XP!$B$6,0)</f>
        <v>439</v>
      </c>
      <c r="C1145" s="6" t="n">
        <f aca="false">ROUND(1/(A1145+1)^Veterancy_XP!$E$6,4)</f>
        <v>0.2279</v>
      </c>
      <c r="D1145" s="6" t="n">
        <f aca="false">ROUND(Veterancy_XP!$E$5*C1145,1)</f>
        <v>227.9</v>
      </c>
      <c r="E1145" s="6" t="n">
        <f aca="false">ROUND(B1145/D1145,2)</f>
        <v>1.93</v>
      </c>
      <c r="F1145" s="6" t="n">
        <f aca="false">ROUND(F1144+E1145,2)</f>
        <v>1552.18</v>
      </c>
    </row>
    <row r="1146" customFormat="false" ht="15" hidden="false" customHeight="true" outlineLevel="0" collapsed="false">
      <c r="A1146" s="6" t="n">
        <v>1144</v>
      </c>
      <c r="B1146" s="6" t="n">
        <f aca="false">ROUND(Veterancy_XP!$B$5*(A1146+1)^Veterancy_XP!$B$6,0)</f>
        <v>439</v>
      </c>
      <c r="C1146" s="6" t="n">
        <f aca="false">ROUND(1/(A1146+1)^Veterancy_XP!$E$6,4)</f>
        <v>0.2279</v>
      </c>
      <c r="D1146" s="6" t="n">
        <f aca="false">ROUND(Veterancy_XP!$E$5*C1146,1)</f>
        <v>227.9</v>
      </c>
      <c r="E1146" s="6" t="n">
        <f aca="false">ROUND(B1146/D1146,2)</f>
        <v>1.93</v>
      </c>
      <c r="F1146" s="6" t="n">
        <f aca="false">ROUND(F1145+E1146,2)</f>
        <v>1554.11</v>
      </c>
    </row>
    <row r="1147" customFormat="false" ht="15" hidden="false" customHeight="true" outlineLevel="0" collapsed="false">
      <c r="A1147" s="6" t="n">
        <v>1145</v>
      </c>
      <c r="B1147" s="6" t="n">
        <f aca="false">ROUND(Veterancy_XP!$B$5*(A1147+1)^Veterancy_XP!$B$6,0)</f>
        <v>439</v>
      </c>
      <c r="C1147" s="6" t="n">
        <f aca="false">ROUND(1/(A1147+1)^Veterancy_XP!$E$6,4)</f>
        <v>0.2278</v>
      </c>
      <c r="D1147" s="6" t="n">
        <f aca="false">ROUND(Veterancy_XP!$E$5*C1147,1)</f>
        <v>227.8</v>
      </c>
      <c r="E1147" s="6" t="n">
        <f aca="false">ROUND(B1147/D1147,2)</f>
        <v>1.93</v>
      </c>
      <c r="F1147" s="6" t="n">
        <f aca="false">ROUND(F1146+E1147,2)</f>
        <v>1556.04</v>
      </c>
    </row>
    <row r="1148" customFormat="false" ht="15" hidden="false" customHeight="true" outlineLevel="0" collapsed="false">
      <c r="A1148" s="6" t="n">
        <v>1146</v>
      </c>
      <c r="B1148" s="6" t="n">
        <f aca="false">ROUND(Veterancy_XP!$B$5*(A1148+1)^Veterancy_XP!$B$6,0)</f>
        <v>439</v>
      </c>
      <c r="C1148" s="6" t="n">
        <f aca="false">ROUND(1/(A1148+1)^Veterancy_XP!$E$6,4)</f>
        <v>0.2278</v>
      </c>
      <c r="D1148" s="6" t="n">
        <f aca="false">ROUND(Veterancy_XP!$E$5*C1148,1)</f>
        <v>227.8</v>
      </c>
      <c r="E1148" s="6" t="n">
        <f aca="false">ROUND(B1148/D1148,2)</f>
        <v>1.93</v>
      </c>
      <c r="F1148" s="6" t="n">
        <f aca="false">ROUND(F1147+E1148,2)</f>
        <v>1557.97</v>
      </c>
    </row>
    <row r="1149" customFormat="false" ht="15" hidden="false" customHeight="true" outlineLevel="0" collapsed="false">
      <c r="A1149" s="6" t="n">
        <v>1147</v>
      </c>
      <c r="B1149" s="6" t="n">
        <f aca="false">ROUND(Veterancy_XP!$B$5*(A1149+1)^Veterancy_XP!$B$6,0)</f>
        <v>439</v>
      </c>
      <c r="C1149" s="6" t="n">
        <f aca="false">ROUND(1/(A1149+1)^Veterancy_XP!$E$6,4)</f>
        <v>0.2277</v>
      </c>
      <c r="D1149" s="6" t="n">
        <f aca="false">ROUND(Veterancy_XP!$E$5*C1149,1)</f>
        <v>227.7</v>
      </c>
      <c r="E1149" s="6" t="n">
        <f aca="false">ROUND(B1149/D1149,2)</f>
        <v>1.93</v>
      </c>
      <c r="F1149" s="6" t="n">
        <f aca="false">ROUND(F1148+E1149,2)</f>
        <v>1559.9</v>
      </c>
    </row>
    <row r="1150" customFormat="false" ht="15" hidden="false" customHeight="true" outlineLevel="0" collapsed="false">
      <c r="A1150" s="6" t="n">
        <v>1148</v>
      </c>
      <c r="B1150" s="6" t="n">
        <f aca="false">ROUND(Veterancy_XP!$B$5*(A1150+1)^Veterancy_XP!$B$6,0)</f>
        <v>439</v>
      </c>
      <c r="C1150" s="6" t="n">
        <f aca="false">ROUND(1/(A1150+1)^Veterancy_XP!$E$6,4)</f>
        <v>0.2277</v>
      </c>
      <c r="D1150" s="6" t="n">
        <f aca="false">ROUND(Veterancy_XP!$E$5*C1150,1)</f>
        <v>227.7</v>
      </c>
      <c r="E1150" s="6" t="n">
        <f aca="false">ROUND(B1150/D1150,2)</f>
        <v>1.93</v>
      </c>
      <c r="F1150" s="6" t="n">
        <f aca="false">ROUND(F1149+E1150,2)</f>
        <v>1561.83</v>
      </c>
    </row>
    <row r="1151" customFormat="false" ht="15" hidden="false" customHeight="true" outlineLevel="0" collapsed="false">
      <c r="A1151" s="6" t="n">
        <v>1149</v>
      </c>
      <c r="B1151" s="6" t="n">
        <f aca="false">ROUND(Veterancy_XP!$B$5*(A1151+1)^Veterancy_XP!$B$6,0)</f>
        <v>439</v>
      </c>
      <c r="C1151" s="6" t="n">
        <f aca="false">ROUND(1/(A1151+1)^Veterancy_XP!$E$6,4)</f>
        <v>0.2276</v>
      </c>
      <c r="D1151" s="6" t="n">
        <f aca="false">ROUND(Veterancy_XP!$E$5*C1151,1)</f>
        <v>227.6</v>
      </c>
      <c r="E1151" s="6" t="n">
        <f aca="false">ROUND(B1151/D1151,2)</f>
        <v>1.93</v>
      </c>
      <c r="F1151" s="6" t="n">
        <f aca="false">ROUND(F1150+E1151,2)</f>
        <v>1563.76</v>
      </c>
    </row>
    <row r="1152" customFormat="false" ht="15" hidden="false" customHeight="true" outlineLevel="0" collapsed="false">
      <c r="A1152" s="6" t="n">
        <v>1150</v>
      </c>
      <c r="B1152" s="6" t="n">
        <f aca="false">ROUND(Veterancy_XP!$B$5*(A1152+1)^Veterancy_XP!$B$6,0)</f>
        <v>439</v>
      </c>
      <c r="C1152" s="6" t="n">
        <f aca="false">ROUND(1/(A1152+1)^Veterancy_XP!$E$6,4)</f>
        <v>0.2276</v>
      </c>
      <c r="D1152" s="6" t="n">
        <f aca="false">ROUND(Veterancy_XP!$E$5*C1152,1)</f>
        <v>227.6</v>
      </c>
      <c r="E1152" s="6" t="n">
        <f aca="false">ROUND(B1152/D1152,2)</f>
        <v>1.93</v>
      </c>
      <c r="F1152" s="6" t="n">
        <f aca="false">ROUND(F1151+E1152,2)</f>
        <v>1565.69</v>
      </c>
    </row>
    <row r="1153" customFormat="false" ht="15" hidden="false" customHeight="true" outlineLevel="0" collapsed="false">
      <c r="A1153" s="6" t="n">
        <v>1151</v>
      </c>
      <c r="B1153" s="6" t="n">
        <f aca="false">ROUND(Veterancy_XP!$B$5*(A1153+1)^Veterancy_XP!$B$6,0)</f>
        <v>439</v>
      </c>
      <c r="C1153" s="6" t="n">
        <f aca="false">ROUND(1/(A1153+1)^Veterancy_XP!$E$6,4)</f>
        <v>0.2276</v>
      </c>
      <c r="D1153" s="6" t="n">
        <f aca="false">ROUND(Veterancy_XP!$E$5*C1153,1)</f>
        <v>227.6</v>
      </c>
      <c r="E1153" s="6" t="n">
        <f aca="false">ROUND(B1153/D1153,2)</f>
        <v>1.93</v>
      </c>
      <c r="F1153" s="6" t="n">
        <f aca="false">ROUND(F1152+E1153,2)</f>
        <v>1567.62</v>
      </c>
    </row>
    <row r="1154" customFormat="false" ht="15" hidden="false" customHeight="true" outlineLevel="0" collapsed="false">
      <c r="A1154" s="6" t="n">
        <v>1152</v>
      </c>
      <c r="B1154" s="6" t="n">
        <f aca="false">ROUND(Veterancy_XP!$B$5*(A1154+1)^Veterancy_XP!$B$6,0)</f>
        <v>440</v>
      </c>
      <c r="C1154" s="6" t="n">
        <f aca="false">ROUND(1/(A1154+1)^Veterancy_XP!$E$6,4)</f>
        <v>0.2275</v>
      </c>
      <c r="D1154" s="6" t="n">
        <f aca="false">ROUND(Veterancy_XP!$E$5*C1154,1)</f>
        <v>227.5</v>
      </c>
      <c r="E1154" s="6" t="n">
        <f aca="false">ROUND(B1154/D1154,2)</f>
        <v>1.93</v>
      </c>
      <c r="F1154" s="6" t="n">
        <f aca="false">ROUND(F1153+E1154,2)</f>
        <v>1569.55</v>
      </c>
    </row>
    <row r="1155" customFormat="false" ht="15" hidden="false" customHeight="true" outlineLevel="0" collapsed="false">
      <c r="A1155" s="6" t="n">
        <v>1153</v>
      </c>
      <c r="B1155" s="6" t="n">
        <f aca="false">ROUND(Veterancy_XP!$B$5*(A1155+1)^Veterancy_XP!$B$6,0)</f>
        <v>440</v>
      </c>
      <c r="C1155" s="6" t="n">
        <f aca="false">ROUND(1/(A1155+1)^Veterancy_XP!$E$6,4)</f>
        <v>0.2275</v>
      </c>
      <c r="D1155" s="6" t="n">
        <f aca="false">ROUND(Veterancy_XP!$E$5*C1155,1)</f>
        <v>227.5</v>
      </c>
      <c r="E1155" s="6" t="n">
        <f aca="false">ROUND(B1155/D1155,2)</f>
        <v>1.93</v>
      </c>
      <c r="F1155" s="6" t="n">
        <f aca="false">ROUND(F1154+E1155,2)</f>
        <v>1571.48</v>
      </c>
    </row>
    <row r="1156" customFormat="false" ht="15" hidden="false" customHeight="true" outlineLevel="0" collapsed="false">
      <c r="A1156" s="6" t="n">
        <v>1154</v>
      </c>
      <c r="B1156" s="6" t="n">
        <f aca="false">ROUND(Veterancy_XP!$B$5*(A1156+1)^Veterancy_XP!$B$6,0)</f>
        <v>440</v>
      </c>
      <c r="C1156" s="6" t="n">
        <f aca="false">ROUND(1/(A1156+1)^Veterancy_XP!$E$6,4)</f>
        <v>0.2274</v>
      </c>
      <c r="D1156" s="6" t="n">
        <f aca="false">ROUND(Veterancy_XP!$E$5*C1156,1)</f>
        <v>227.4</v>
      </c>
      <c r="E1156" s="6" t="n">
        <f aca="false">ROUND(B1156/D1156,2)</f>
        <v>1.93</v>
      </c>
      <c r="F1156" s="6" t="n">
        <f aca="false">ROUND(F1155+E1156,2)</f>
        <v>1573.41</v>
      </c>
    </row>
    <row r="1157" customFormat="false" ht="15" hidden="false" customHeight="true" outlineLevel="0" collapsed="false">
      <c r="A1157" s="6" t="n">
        <v>1155</v>
      </c>
      <c r="B1157" s="6" t="n">
        <f aca="false">ROUND(Veterancy_XP!$B$5*(A1157+1)^Veterancy_XP!$B$6,0)</f>
        <v>440</v>
      </c>
      <c r="C1157" s="6" t="n">
        <f aca="false">ROUND(1/(A1157+1)^Veterancy_XP!$E$6,4)</f>
        <v>0.2274</v>
      </c>
      <c r="D1157" s="6" t="n">
        <f aca="false">ROUND(Veterancy_XP!$E$5*C1157,1)</f>
        <v>227.4</v>
      </c>
      <c r="E1157" s="6" t="n">
        <f aca="false">ROUND(B1157/D1157,2)</f>
        <v>1.93</v>
      </c>
      <c r="F1157" s="6" t="n">
        <f aca="false">ROUND(F1156+E1157,2)</f>
        <v>1575.34</v>
      </c>
    </row>
    <row r="1158" customFormat="false" ht="15" hidden="false" customHeight="true" outlineLevel="0" collapsed="false">
      <c r="A1158" s="6" t="n">
        <v>1156</v>
      </c>
      <c r="B1158" s="6" t="n">
        <f aca="false">ROUND(Veterancy_XP!$B$5*(A1158+1)^Veterancy_XP!$B$6,0)</f>
        <v>440</v>
      </c>
      <c r="C1158" s="6" t="n">
        <f aca="false">ROUND(1/(A1158+1)^Veterancy_XP!$E$6,4)</f>
        <v>0.2274</v>
      </c>
      <c r="D1158" s="6" t="n">
        <f aca="false">ROUND(Veterancy_XP!$E$5*C1158,1)</f>
        <v>227.4</v>
      </c>
      <c r="E1158" s="6" t="n">
        <f aca="false">ROUND(B1158/D1158,2)</f>
        <v>1.93</v>
      </c>
      <c r="F1158" s="6" t="n">
        <f aca="false">ROUND(F1157+E1158,2)</f>
        <v>1577.27</v>
      </c>
    </row>
    <row r="1159" customFormat="false" ht="15" hidden="false" customHeight="true" outlineLevel="0" collapsed="false">
      <c r="A1159" s="6" t="n">
        <v>1157</v>
      </c>
      <c r="B1159" s="6" t="n">
        <f aca="false">ROUND(Veterancy_XP!$B$5*(A1159+1)^Veterancy_XP!$B$6,0)</f>
        <v>440</v>
      </c>
      <c r="C1159" s="6" t="n">
        <f aca="false">ROUND(1/(A1159+1)^Veterancy_XP!$E$6,4)</f>
        <v>0.2273</v>
      </c>
      <c r="D1159" s="6" t="n">
        <f aca="false">ROUND(Veterancy_XP!$E$5*C1159,1)</f>
        <v>227.3</v>
      </c>
      <c r="E1159" s="6" t="n">
        <f aca="false">ROUND(B1159/D1159,2)</f>
        <v>1.94</v>
      </c>
      <c r="F1159" s="6" t="n">
        <f aca="false">ROUND(F1158+E1159,2)</f>
        <v>1579.21</v>
      </c>
    </row>
    <row r="1160" customFormat="false" ht="15" hidden="false" customHeight="true" outlineLevel="0" collapsed="false">
      <c r="A1160" s="6" t="n">
        <v>1158</v>
      </c>
      <c r="B1160" s="6" t="n">
        <f aca="false">ROUND(Veterancy_XP!$B$5*(A1160+1)^Veterancy_XP!$B$6,0)</f>
        <v>440</v>
      </c>
      <c r="C1160" s="6" t="n">
        <f aca="false">ROUND(1/(A1160+1)^Veterancy_XP!$E$6,4)</f>
        <v>0.2273</v>
      </c>
      <c r="D1160" s="6" t="n">
        <f aca="false">ROUND(Veterancy_XP!$E$5*C1160,1)</f>
        <v>227.3</v>
      </c>
      <c r="E1160" s="6" t="n">
        <f aca="false">ROUND(B1160/D1160,2)</f>
        <v>1.94</v>
      </c>
      <c r="F1160" s="6" t="n">
        <f aca="false">ROUND(F1159+E1160,2)</f>
        <v>1581.15</v>
      </c>
    </row>
    <row r="1161" customFormat="false" ht="15" hidden="false" customHeight="true" outlineLevel="0" collapsed="false">
      <c r="A1161" s="6" t="n">
        <v>1159</v>
      </c>
      <c r="B1161" s="6" t="n">
        <f aca="false">ROUND(Veterancy_XP!$B$5*(A1161+1)^Veterancy_XP!$B$6,0)</f>
        <v>440</v>
      </c>
      <c r="C1161" s="6" t="n">
        <f aca="false">ROUND(1/(A1161+1)^Veterancy_XP!$E$6,4)</f>
        <v>0.2272</v>
      </c>
      <c r="D1161" s="6" t="n">
        <f aca="false">ROUND(Veterancy_XP!$E$5*C1161,1)</f>
        <v>227.2</v>
      </c>
      <c r="E1161" s="6" t="n">
        <f aca="false">ROUND(B1161/D1161,2)</f>
        <v>1.94</v>
      </c>
      <c r="F1161" s="6" t="n">
        <f aca="false">ROUND(F1160+E1161,2)</f>
        <v>1583.09</v>
      </c>
    </row>
    <row r="1162" customFormat="false" ht="15" hidden="false" customHeight="true" outlineLevel="0" collapsed="false">
      <c r="A1162" s="6" t="n">
        <v>1160</v>
      </c>
      <c r="B1162" s="6" t="n">
        <f aca="false">ROUND(Veterancy_XP!$B$5*(A1162+1)^Veterancy_XP!$B$6,0)</f>
        <v>440</v>
      </c>
      <c r="C1162" s="6" t="n">
        <f aca="false">ROUND(1/(A1162+1)^Veterancy_XP!$E$6,4)</f>
        <v>0.2272</v>
      </c>
      <c r="D1162" s="6" t="n">
        <f aca="false">ROUND(Veterancy_XP!$E$5*C1162,1)</f>
        <v>227.2</v>
      </c>
      <c r="E1162" s="6" t="n">
        <f aca="false">ROUND(B1162/D1162,2)</f>
        <v>1.94</v>
      </c>
      <c r="F1162" s="6" t="n">
        <f aca="false">ROUND(F1161+E1162,2)</f>
        <v>1585.03</v>
      </c>
    </row>
    <row r="1163" customFormat="false" ht="15" hidden="false" customHeight="true" outlineLevel="0" collapsed="false">
      <c r="A1163" s="6" t="n">
        <v>1161</v>
      </c>
      <c r="B1163" s="6" t="n">
        <f aca="false">ROUND(Veterancy_XP!$B$5*(A1163+1)^Veterancy_XP!$B$6,0)</f>
        <v>440</v>
      </c>
      <c r="C1163" s="6" t="n">
        <f aca="false">ROUND(1/(A1163+1)^Veterancy_XP!$E$6,4)</f>
        <v>0.2271</v>
      </c>
      <c r="D1163" s="6" t="n">
        <f aca="false">ROUND(Veterancy_XP!$E$5*C1163,1)</f>
        <v>227.1</v>
      </c>
      <c r="E1163" s="6" t="n">
        <f aca="false">ROUND(B1163/D1163,2)</f>
        <v>1.94</v>
      </c>
      <c r="F1163" s="6" t="n">
        <f aca="false">ROUND(F1162+E1163,2)</f>
        <v>1586.97</v>
      </c>
    </row>
    <row r="1164" customFormat="false" ht="15" hidden="false" customHeight="true" outlineLevel="0" collapsed="false">
      <c r="A1164" s="6" t="n">
        <v>1162</v>
      </c>
      <c r="B1164" s="6" t="n">
        <f aca="false">ROUND(Veterancy_XP!$B$5*(A1164+1)^Veterancy_XP!$B$6,0)</f>
        <v>440</v>
      </c>
      <c r="C1164" s="6" t="n">
        <f aca="false">ROUND(1/(A1164+1)^Veterancy_XP!$E$6,4)</f>
        <v>0.2271</v>
      </c>
      <c r="D1164" s="6" t="n">
        <f aca="false">ROUND(Veterancy_XP!$E$5*C1164,1)</f>
        <v>227.1</v>
      </c>
      <c r="E1164" s="6" t="n">
        <f aca="false">ROUND(B1164/D1164,2)</f>
        <v>1.94</v>
      </c>
      <c r="F1164" s="6" t="n">
        <f aca="false">ROUND(F1163+E1164,2)</f>
        <v>1588.91</v>
      </c>
    </row>
    <row r="1165" customFormat="false" ht="15" hidden="false" customHeight="true" outlineLevel="0" collapsed="false">
      <c r="A1165" s="6" t="n">
        <v>1163</v>
      </c>
      <c r="B1165" s="6" t="n">
        <f aca="false">ROUND(Veterancy_XP!$B$5*(A1165+1)^Veterancy_XP!$B$6,0)</f>
        <v>440</v>
      </c>
      <c r="C1165" s="6" t="n">
        <f aca="false">ROUND(1/(A1165+1)^Veterancy_XP!$E$6,4)</f>
        <v>0.2271</v>
      </c>
      <c r="D1165" s="6" t="n">
        <f aca="false">ROUND(Veterancy_XP!$E$5*C1165,1)</f>
        <v>227.1</v>
      </c>
      <c r="E1165" s="6" t="n">
        <f aca="false">ROUND(B1165/D1165,2)</f>
        <v>1.94</v>
      </c>
      <c r="F1165" s="6" t="n">
        <f aca="false">ROUND(F1164+E1165,2)</f>
        <v>1590.85</v>
      </c>
    </row>
    <row r="1166" customFormat="false" ht="15" hidden="false" customHeight="true" outlineLevel="0" collapsed="false">
      <c r="A1166" s="6" t="n">
        <v>1164</v>
      </c>
      <c r="B1166" s="6" t="n">
        <f aca="false">ROUND(Veterancy_XP!$B$5*(A1166+1)^Veterancy_XP!$B$6,0)</f>
        <v>440</v>
      </c>
      <c r="C1166" s="6" t="n">
        <f aca="false">ROUND(1/(A1166+1)^Veterancy_XP!$E$6,4)</f>
        <v>0.227</v>
      </c>
      <c r="D1166" s="6" t="n">
        <f aca="false">ROUND(Veterancy_XP!$E$5*C1166,1)</f>
        <v>227</v>
      </c>
      <c r="E1166" s="6" t="n">
        <f aca="false">ROUND(B1166/D1166,2)</f>
        <v>1.94</v>
      </c>
      <c r="F1166" s="6" t="n">
        <f aca="false">ROUND(F1165+E1166,2)</f>
        <v>1592.79</v>
      </c>
    </row>
    <row r="1167" customFormat="false" ht="15" hidden="false" customHeight="true" outlineLevel="0" collapsed="false">
      <c r="A1167" s="6" t="n">
        <v>1165</v>
      </c>
      <c r="B1167" s="6" t="n">
        <f aca="false">ROUND(Veterancy_XP!$B$5*(A1167+1)^Veterancy_XP!$B$6,0)</f>
        <v>441</v>
      </c>
      <c r="C1167" s="6" t="n">
        <f aca="false">ROUND(1/(A1167+1)^Veterancy_XP!$E$6,4)</f>
        <v>0.227</v>
      </c>
      <c r="D1167" s="6" t="n">
        <f aca="false">ROUND(Veterancy_XP!$E$5*C1167,1)</f>
        <v>227</v>
      </c>
      <c r="E1167" s="6" t="n">
        <f aca="false">ROUND(B1167/D1167,2)</f>
        <v>1.94</v>
      </c>
      <c r="F1167" s="6" t="n">
        <f aca="false">ROUND(F1166+E1167,2)</f>
        <v>1594.73</v>
      </c>
    </row>
    <row r="1168" customFormat="false" ht="15" hidden="false" customHeight="true" outlineLevel="0" collapsed="false">
      <c r="A1168" s="6" t="n">
        <v>1166</v>
      </c>
      <c r="B1168" s="6" t="n">
        <f aca="false">ROUND(Veterancy_XP!$B$5*(A1168+1)^Veterancy_XP!$B$6,0)</f>
        <v>441</v>
      </c>
      <c r="C1168" s="6" t="n">
        <f aca="false">ROUND(1/(A1168+1)^Veterancy_XP!$E$6,4)</f>
        <v>0.2269</v>
      </c>
      <c r="D1168" s="6" t="n">
        <f aca="false">ROUND(Veterancy_XP!$E$5*C1168,1)</f>
        <v>226.9</v>
      </c>
      <c r="E1168" s="6" t="n">
        <f aca="false">ROUND(B1168/D1168,2)</f>
        <v>1.94</v>
      </c>
      <c r="F1168" s="6" t="n">
        <f aca="false">ROUND(F1167+E1168,2)</f>
        <v>1596.67</v>
      </c>
    </row>
    <row r="1169" customFormat="false" ht="15" hidden="false" customHeight="true" outlineLevel="0" collapsed="false">
      <c r="A1169" s="6" t="n">
        <v>1167</v>
      </c>
      <c r="B1169" s="6" t="n">
        <f aca="false">ROUND(Veterancy_XP!$B$5*(A1169+1)^Veterancy_XP!$B$6,0)</f>
        <v>441</v>
      </c>
      <c r="C1169" s="6" t="n">
        <f aca="false">ROUND(1/(A1169+1)^Veterancy_XP!$E$6,4)</f>
        <v>0.2269</v>
      </c>
      <c r="D1169" s="6" t="n">
        <f aca="false">ROUND(Veterancy_XP!$E$5*C1169,1)</f>
        <v>226.9</v>
      </c>
      <c r="E1169" s="6" t="n">
        <f aca="false">ROUND(B1169/D1169,2)</f>
        <v>1.94</v>
      </c>
      <c r="F1169" s="6" t="n">
        <f aca="false">ROUND(F1168+E1169,2)</f>
        <v>1598.61</v>
      </c>
    </row>
    <row r="1170" customFormat="false" ht="15" hidden="false" customHeight="true" outlineLevel="0" collapsed="false">
      <c r="A1170" s="6" t="n">
        <v>1168</v>
      </c>
      <c r="B1170" s="6" t="n">
        <f aca="false">ROUND(Veterancy_XP!$B$5*(A1170+1)^Veterancy_XP!$B$6,0)</f>
        <v>441</v>
      </c>
      <c r="C1170" s="6" t="n">
        <f aca="false">ROUND(1/(A1170+1)^Veterancy_XP!$E$6,4)</f>
        <v>0.2269</v>
      </c>
      <c r="D1170" s="6" t="n">
        <f aca="false">ROUND(Veterancy_XP!$E$5*C1170,1)</f>
        <v>226.9</v>
      </c>
      <c r="E1170" s="6" t="n">
        <f aca="false">ROUND(B1170/D1170,2)</f>
        <v>1.94</v>
      </c>
      <c r="F1170" s="6" t="n">
        <f aca="false">ROUND(F1169+E1170,2)</f>
        <v>1600.55</v>
      </c>
    </row>
    <row r="1171" customFormat="false" ht="15" hidden="false" customHeight="true" outlineLevel="0" collapsed="false">
      <c r="A1171" s="6" t="n">
        <v>1169</v>
      </c>
      <c r="B1171" s="6" t="n">
        <f aca="false">ROUND(Veterancy_XP!$B$5*(A1171+1)^Veterancy_XP!$B$6,0)</f>
        <v>441</v>
      </c>
      <c r="C1171" s="6" t="n">
        <f aca="false">ROUND(1/(A1171+1)^Veterancy_XP!$E$6,4)</f>
        <v>0.2268</v>
      </c>
      <c r="D1171" s="6" t="n">
        <f aca="false">ROUND(Veterancy_XP!$E$5*C1171,1)</f>
        <v>226.8</v>
      </c>
      <c r="E1171" s="6" t="n">
        <f aca="false">ROUND(B1171/D1171,2)</f>
        <v>1.94</v>
      </c>
      <c r="F1171" s="6" t="n">
        <f aca="false">ROUND(F1170+E1171,2)</f>
        <v>1602.49</v>
      </c>
    </row>
    <row r="1172" customFormat="false" ht="15" hidden="false" customHeight="true" outlineLevel="0" collapsed="false">
      <c r="A1172" s="6" t="n">
        <v>1170</v>
      </c>
      <c r="B1172" s="6" t="n">
        <f aca="false">ROUND(Veterancy_XP!$B$5*(A1172+1)^Veterancy_XP!$B$6,0)</f>
        <v>441</v>
      </c>
      <c r="C1172" s="6" t="n">
        <f aca="false">ROUND(1/(A1172+1)^Veterancy_XP!$E$6,4)</f>
        <v>0.2268</v>
      </c>
      <c r="D1172" s="6" t="n">
        <f aca="false">ROUND(Veterancy_XP!$E$5*C1172,1)</f>
        <v>226.8</v>
      </c>
      <c r="E1172" s="6" t="n">
        <f aca="false">ROUND(B1172/D1172,2)</f>
        <v>1.94</v>
      </c>
      <c r="F1172" s="6" t="n">
        <f aca="false">ROUND(F1171+E1172,2)</f>
        <v>1604.43</v>
      </c>
    </row>
    <row r="1173" customFormat="false" ht="15" hidden="false" customHeight="true" outlineLevel="0" collapsed="false">
      <c r="A1173" s="6" t="n">
        <v>1171</v>
      </c>
      <c r="B1173" s="6" t="n">
        <f aca="false">ROUND(Veterancy_XP!$B$5*(A1173+1)^Veterancy_XP!$B$6,0)</f>
        <v>441</v>
      </c>
      <c r="C1173" s="6" t="n">
        <f aca="false">ROUND(1/(A1173+1)^Veterancy_XP!$E$6,4)</f>
        <v>0.2267</v>
      </c>
      <c r="D1173" s="6" t="n">
        <f aca="false">ROUND(Veterancy_XP!$E$5*C1173,1)</f>
        <v>226.7</v>
      </c>
      <c r="E1173" s="6" t="n">
        <f aca="false">ROUND(B1173/D1173,2)</f>
        <v>1.95</v>
      </c>
      <c r="F1173" s="6" t="n">
        <f aca="false">ROUND(F1172+E1173,2)</f>
        <v>1606.38</v>
      </c>
    </row>
    <row r="1174" customFormat="false" ht="15" hidden="false" customHeight="true" outlineLevel="0" collapsed="false">
      <c r="A1174" s="6" t="n">
        <v>1172</v>
      </c>
      <c r="B1174" s="6" t="n">
        <f aca="false">ROUND(Veterancy_XP!$B$5*(A1174+1)^Veterancy_XP!$B$6,0)</f>
        <v>441</v>
      </c>
      <c r="C1174" s="6" t="n">
        <f aca="false">ROUND(1/(A1174+1)^Veterancy_XP!$E$6,4)</f>
        <v>0.2267</v>
      </c>
      <c r="D1174" s="6" t="n">
        <f aca="false">ROUND(Veterancy_XP!$E$5*C1174,1)</f>
        <v>226.7</v>
      </c>
      <c r="E1174" s="6" t="n">
        <f aca="false">ROUND(B1174/D1174,2)</f>
        <v>1.95</v>
      </c>
      <c r="F1174" s="6" t="n">
        <f aca="false">ROUND(F1173+E1174,2)</f>
        <v>1608.33</v>
      </c>
    </row>
    <row r="1175" customFormat="false" ht="15" hidden="false" customHeight="true" outlineLevel="0" collapsed="false">
      <c r="A1175" s="6" t="n">
        <v>1173</v>
      </c>
      <c r="B1175" s="6" t="n">
        <f aca="false">ROUND(Veterancy_XP!$B$5*(A1175+1)^Veterancy_XP!$B$6,0)</f>
        <v>441</v>
      </c>
      <c r="C1175" s="6" t="n">
        <f aca="false">ROUND(1/(A1175+1)^Veterancy_XP!$E$6,4)</f>
        <v>0.2267</v>
      </c>
      <c r="D1175" s="6" t="n">
        <f aca="false">ROUND(Veterancy_XP!$E$5*C1175,1)</f>
        <v>226.7</v>
      </c>
      <c r="E1175" s="6" t="n">
        <f aca="false">ROUND(B1175/D1175,2)</f>
        <v>1.95</v>
      </c>
      <c r="F1175" s="6" t="n">
        <f aca="false">ROUND(F1174+E1175,2)</f>
        <v>1610.28</v>
      </c>
    </row>
    <row r="1176" customFormat="false" ht="15" hidden="false" customHeight="true" outlineLevel="0" collapsed="false">
      <c r="A1176" s="6" t="n">
        <v>1174</v>
      </c>
      <c r="B1176" s="6" t="n">
        <f aca="false">ROUND(Veterancy_XP!$B$5*(A1176+1)^Veterancy_XP!$B$6,0)</f>
        <v>441</v>
      </c>
      <c r="C1176" s="6" t="n">
        <f aca="false">ROUND(1/(A1176+1)^Veterancy_XP!$E$6,4)</f>
        <v>0.2266</v>
      </c>
      <c r="D1176" s="6" t="n">
        <f aca="false">ROUND(Veterancy_XP!$E$5*C1176,1)</f>
        <v>226.6</v>
      </c>
      <c r="E1176" s="6" t="n">
        <f aca="false">ROUND(B1176/D1176,2)</f>
        <v>1.95</v>
      </c>
      <c r="F1176" s="6" t="n">
        <f aca="false">ROUND(F1175+E1176,2)</f>
        <v>1612.23</v>
      </c>
    </row>
    <row r="1177" customFormat="false" ht="15" hidden="false" customHeight="true" outlineLevel="0" collapsed="false">
      <c r="A1177" s="6" t="n">
        <v>1175</v>
      </c>
      <c r="B1177" s="6" t="n">
        <f aca="false">ROUND(Veterancy_XP!$B$5*(A1177+1)^Veterancy_XP!$B$6,0)</f>
        <v>441</v>
      </c>
      <c r="C1177" s="6" t="n">
        <f aca="false">ROUND(1/(A1177+1)^Veterancy_XP!$E$6,4)</f>
        <v>0.2266</v>
      </c>
      <c r="D1177" s="6" t="n">
        <f aca="false">ROUND(Veterancy_XP!$E$5*C1177,1)</f>
        <v>226.6</v>
      </c>
      <c r="E1177" s="6" t="n">
        <f aca="false">ROUND(B1177/D1177,2)</f>
        <v>1.95</v>
      </c>
      <c r="F1177" s="6" t="n">
        <f aca="false">ROUND(F1176+E1177,2)</f>
        <v>1614.18</v>
      </c>
    </row>
    <row r="1178" customFormat="false" ht="15" hidden="false" customHeight="true" outlineLevel="0" collapsed="false">
      <c r="A1178" s="6" t="n">
        <v>1176</v>
      </c>
      <c r="B1178" s="6" t="n">
        <f aca="false">ROUND(Veterancy_XP!$B$5*(A1178+1)^Veterancy_XP!$B$6,0)</f>
        <v>441</v>
      </c>
      <c r="C1178" s="6" t="n">
        <f aca="false">ROUND(1/(A1178+1)^Veterancy_XP!$E$6,4)</f>
        <v>0.2265</v>
      </c>
      <c r="D1178" s="6" t="n">
        <f aca="false">ROUND(Veterancy_XP!$E$5*C1178,1)</f>
        <v>226.5</v>
      </c>
      <c r="E1178" s="6" t="n">
        <f aca="false">ROUND(B1178/D1178,2)</f>
        <v>1.95</v>
      </c>
      <c r="F1178" s="6" t="n">
        <f aca="false">ROUND(F1177+E1178,2)</f>
        <v>1616.13</v>
      </c>
    </row>
    <row r="1179" customFormat="false" ht="15" hidden="false" customHeight="true" outlineLevel="0" collapsed="false">
      <c r="A1179" s="6" t="n">
        <v>1177</v>
      </c>
      <c r="B1179" s="6" t="n">
        <f aca="false">ROUND(Veterancy_XP!$B$5*(A1179+1)^Veterancy_XP!$B$6,0)</f>
        <v>442</v>
      </c>
      <c r="C1179" s="6" t="n">
        <f aca="false">ROUND(1/(A1179+1)^Veterancy_XP!$E$6,4)</f>
        <v>0.2265</v>
      </c>
      <c r="D1179" s="6" t="n">
        <f aca="false">ROUND(Veterancy_XP!$E$5*C1179,1)</f>
        <v>226.5</v>
      </c>
      <c r="E1179" s="6" t="n">
        <f aca="false">ROUND(B1179/D1179,2)</f>
        <v>1.95</v>
      </c>
      <c r="F1179" s="6" t="n">
        <f aca="false">ROUND(F1178+E1179,2)</f>
        <v>1618.08</v>
      </c>
    </row>
    <row r="1180" customFormat="false" ht="15" hidden="false" customHeight="true" outlineLevel="0" collapsed="false">
      <c r="A1180" s="6" t="n">
        <v>1178</v>
      </c>
      <c r="B1180" s="6" t="n">
        <f aca="false">ROUND(Veterancy_XP!$B$5*(A1180+1)^Veterancy_XP!$B$6,0)</f>
        <v>442</v>
      </c>
      <c r="C1180" s="6" t="n">
        <f aca="false">ROUND(1/(A1180+1)^Veterancy_XP!$E$6,4)</f>
        <v>0.2265</v>
      </c>
      <c r="D1180" s="6" t="n">
        <f aca="false">ROUND(Veterancy_XP!$E$5*C1180,1)</f>
        <v>226.5</v>
      </c>
      <c r="E1180" s="6" t="n">
        <f aca="false">ROUND(B1180/D1180,2)</f>
        <v>1.95</v>
      </c>
      <c r="F1180" s="6" t="n">
        <f aca="false">ROUND(F1179+E1180,2)</f>
        <v>1620.03</v>
      </c>
    </row>
    <row r="1181" customFormat="false" ht="15" hidden="false" customHeight="true" outlineLevel="0" collapsed="false">
      <c r="A1181" s="6" t="n">
        <v>1179</v>
      </c>
      <c r="B1181" s="6" t="n">
        <f aca="false">ROUND(Veterancy_XP!$B$5*(A1181+1)^Veterancy_XP!$B$6,0)</f>
        <v>442</v>
      </c>
      <c r="C1181" s="6" t="n">
        <f aca="false">ROUND(1/(A1181+1)^Veterancy_XP!$E$6,4)</f>
        <v>0.2264</v>
      </c>
      <c r="D1181" s="6" t="n">
        <f aca="false">ROUND(Veterancy_XP!$E$5*C1181,1)</f>
        <v>226.4</v>
      </c>
      <c r="E1181" s="6" t="n">
        <f aca="false">ROUND(B1181/D1181,2)</f>
        <v>1.95</v>
      </c>
      <c r="F1181" s="6" t="n">
        <f aca="false">ROUND(F1180+E1181,2)</f>
        <v>1621.98</v>
      </c>
    </row>
    <row r="1182" customFormat="false" ht="15" hidden="false" customHeight="true" outlineLevel="0" collapsed="false">
      <c r="A1182" s="6" t="n">
        <v>1180</v>
      </c>
      <c r="B1182" s="6" t="n">
        <f aca="false">ROUND(Veterancy_XP!$B$5*(A1182+1)^Veterancy_XP!$B$6,0)</f>
        <v>442</v>
      </c>
      <c r="C1182" s="6" t="n">
        <f aca="false">ROUND(1/(A1182+1)^Veterancy_XP!$E$6,4)</f>
        <v>0.2264</v>
      </c>
      <c r="D1182" s="6" t="n">
        <f aca="false">ROUND(Veterancy_XP!$E$5*C1182,1)</f>
        <v>226.4</v>
      </c>
      <c r="E1182" s="6" t="n">
        <f aca="false">ROUND(B1182/D1182,2)</f>
        <v>1.95</v>
      </c>
      <c r="F1182" s="6" t="n">
        <f aca="false">ROUND(F1181+E1182,2)</f>
        <v>1623.93</v>
      </c>
    </row>
    <row r="1183" customFormat="false" ht="15" hidden="false" customHeight="true" outlineLevel="0" collapsed="false">
      <c r="A1183" s="6" t="n">
        <v>1181</v>
      </c>
      <c r="B1183" s="6" t="n">
        <f aca="false">ROUND(Veterancy_XP!$B$5*(A1183+1)^Veterancy_XP!$B$6,0)</f>
        <v>442</v>
      </c>
      <c r="C1183" s="6" t="n">
        <f aca="false">ROUND(1/(A1183+1)^Veterancy_XP!$E$6,4)</f>
        <v>0.2263</v>
      </c>
      <c r="D1183" s="6" t="n">
        <f aca="false">ROUND(Veterancy_XP!$E$5*C1183,1)</f>
        <v>226.3</v>
      </c>
      <c r="E1183" s="6" t="n">
        <f aca="false">ROUND(B1183/D1183,2)</f>
        <v>1.95</v>
      </c>
      <c r="F1183" s="6" t="n">
        <f aca="false">ROUND(F1182+E1183,2)</f>
        <v>1625.88</v>
      </c>
    </row>
    <row r="1184" customFormat="false" ht="15" hidden="false" customHeight="true" outlineLevel="0" collapsed="false">
      <c r="A1184" s="6" t="n">
        <v>1182</v>
      </c>
      <c r="B1184" s="6" t="n">
        <f aca="false">ROUND(Veterancy_XP!$B$5*(A1184+1)^Veterancy_XP!$B$6,0)</f>
        <v>442</v>
      </c>
      <c r="C1184" s="6" t="n">
        <f aca="false">ROUND(1/(A1184+1)^Veterancy_XP!$E$6,4)</f>
        <v>0.2263</v>
      </c>
      <c r="D1184" s="6" t="n">
        <f aca="false">ROUND(Veterancy_XP!$E$5*C1184,1)</f>
        <v>226.3</v>
      </c>
      <c r="E1184" s="6" t="n">
        <f aca="false">ROUND(B1184/D1184,2)</f>
        <v>1.95</v>
      </c>
      <c r="F1184" s="6" t="n">
        <f aca="false">ROUND(F1183+E1184,2)</f>
        <v>1627.83</v>
      </c>
    </row>
    <row r="1185" customFormat="false" ht="15" hidden="false" customHeight="true" outlineLevel="0" collapsed="false">
      <c r="A1185" s="6" t="n">
        <v>1183</v>
      </c>
      <c r="B1185" s="6" t="n">
        <f aca="false">ROUND(Veterancy_XP!$B$5*(A1185+1)^Veterancy_XP!$B$6,0)</f>
        <v>442</v>
      </c>
      <c r="C1185" s="6" t="n">
        <f aca="false">ROUND(1/(A1185+1)^Veterancy_XP!$E$6,4)</f>
        <v>0.2263</v>
      </c>
      <c r="D1185" s="6" t="n">
        <f aca="false">ROUND(Veterancy_XP!$E$5*C1185,1)</f>
        <v>226.3</v>
      </c>
      <c r="E1185" s="6" t="n">
        <f aca="false">ROUND(B1185/D1185,2)</f>
        <v>1.95</v>
      </c>
      <c r="F1185" s="6" t="n">
        <f aca="false">ROUND(F1184+E1185,2)</f>
        <v>1629.78</v>
      </c>
    </row>
    <row r="1186" customFormat="false" ht="15" hidden="false" customHeight="true" outlineLevel="0" collapsed="false">
      <c r="A1186" s="6" t="n">
        <v>1184</v>
      </c>
      <c r="B1186" s="6" t="n">
        <f aca="false">ROUND(Veterancy_XP!$B$5*(A1186+1)^Veterancy_XP!$B$6,0)</f>
        <v>442</v>
      </c>
      <c r="C1186" s="6" t="n">
        <f aca="false">ROUND(1/(A1186+1)^Veterancy_XP!$E$6,4)</f>
        <v>0.2262</v>
      </c>
      <c r="D1186" s="6" t="n">
        <f aca="false">ROUND(Veterancy_XP!$E$5*C1186,1)</f>
        <v>226.2</v>
      </c>
      <c r="E1186" s="6" t="n">
        <f aca="false">ROUND(B1186/D1186,2)</f>
        <v>1.95</v>
      </c>
      <c r="F1186" s="6" t="n">
        <f aca="false">ROUND(F1185+E1186,2)</f>
        <v>1631.73</v>
      </c>
    </row>
    <row r="1187" customFormat="false" ht="15" hidden="false" customHeight="true" outlineLevel="0" collapsed="false">
      <c r="A1187" s="6" t="n">
        <v>1185</v>
      </c>
      <c r="B1187" s="6" t="n">
        <f aca="false">ROUND(Veterancy_XP!$B$5*(A1187+1)^Veterancy_XP!$B$6,0)</f>
        <v>442</v>
      </c>
      <c r="C1187" s="6" t="n">
        <f aca="false">ROUND(1/(A1187+1)^Veterancy_XP!$E$6,4)</f>
        <v>0.2262</v>
      </c>
      <c r="D1187" s="6" t="n">
        <f aca="false">ROUND(Veterancy_XP!$E$5*C1187,1)</f>
        <v>226.2</v>
      </c>
      <c r="E1187" s="6" t="n">
        <f aca="false">ROUND(B1187/D1187,2)</f>
        <v>1.95</v>
      </c>
      <c r="F1187" s="6" t="n">
        <f aca="false">ROUND(F1186+E1187,2)</f>
        <v>1633.68</v>
      </c>
    </row>
    <row r="1188" customFormat="false" ht="15" hidden="false" customHeight="true" outlineLevel="0" collapsed="false">
      <c r="A1188" s="6" t="n">
        <v>1186</v>
      </c>
      <c r="B1188" s="6" t="n">
        <f aca="false">ROUND(Veterancy_XP!$B$5*(A1188+1)^Veterancy_XP!$B$6,0)</f>
        <v>442</v>
      </c>
      <c r="C1188" s="6" t="n">
        <f aca="false">ROUND(1/(A1188+1)^Veterancy_XP!$E$6,4)</f>
        <v>0.2261</v>
      </c>
      <c r="D1188" s="6" t="n">
        <f aca="false">ROUND(Veterancy_XP!$E$5*C1188,1)</f>
        <v>226.1</v>
      </c>
      <c r="E1188" s="6" t="n">
        <f aca="false">ROUND(B1188/D1188,2)</f>
        <v>1.95</v>
      </c>
      <c r="F1188" s="6" t="n">
        <f aca="false">ROUND(F1187+E1188,2)</f>
        <v>1635.63</v>
      </c>
    </row>
    <row r="1189" customFormat="false" ht="15" hidden="false" customHeight="true" outlineLevel="0" collapsed="false">
      <c r="A1189" s="6" t="n">
        <v>1187</v>
      </c>
      <c r="B1189" s="6" t="n">
        <f aca="false">ROUND(Veterancy_XP!$B$5*(A1189+1)^Veterancy_XP!$B$6,0)</f>
        <v>442</v>
      </c>
      <c r="C1189" s="6" t="n">
        <f aca="false">ROUND(1/(A1189+1)^Veterancy_XP!$E$6,4)</f>
        <v>0.2261</v>
      </c>
      <c r="D1189" s="6" t="n">
        <f aca="false">ROUND(Veterancy_XP!$E$5*C1189,1)</f>
        <v>226.1</v>
      </c>
      <c r="E1189" s="6" t="n">
        <f aca="false">ROUND(B1189/D1189,2)</f>
        <v>1.95</v>
      </c>
      <c r="F1189" s="6" t="n">
        <f aca="false">ROUND(F1188+E1189,2)</f>
        <v>1637.58</v>
      </c>
    </row>
    <row r="1190" customFormat="false" ht="15" hidden="false" customHeight="true" outlineLevel="0" collapsed="false">
      <c r="A1190" s="6" t="n">
        <v>1188</v>
      </c>
      <c r="B1190" s="6" t="n">
        <f aca="false">ROUND(Veterancy_XP!$B$5*(A1190+1)^Veterancy_XP!$B$6,0)</f>
        <v>442</v>
      </c>
      <c r="C1190" s="6" t="n">
        <f aca="false">ROUND(1/(A1190+1)^Veterancy_XP!$E$6,4)</f>
        <v>0.2261</v>
      </c>
      <c r="D1190" s="6" t="n">
        <f aca="false">ROUND(Veterancy_XP!$E$5*C1190,1)</f>
        <v>226.1</v>
      </c>
      <c r="E1190" s="6" t="n">
        <f aca="false">ROUND(B1190/D1190,2)</f>
        <v>1.95</v>
      </c>
      <c r="F1190" s="6" t="n">
        <f aca="false">ROUND(F1189+E1190,2)</f>
        <v>1639.53</v>
      </c>
    </row>
    <row r="1191" customFormat="false" ht="15" hidden="false" customHeight="true" outlineLevel="0" collapsed="false">
      <c r="A1191" s="6" t="n">
        <v>1189</v>
      </c>
      <c r="B1191" s="6" t="n">
        <f aca="false">ROUND(Veterancy_XP!$B$5*(A1191+1)^Veterancy_XP!$B$6,0)</f>
        <v>442</v>
      </c>
      <c r="C1191" s="6" t="n">
        <f aca="false">ROUND(1/(A1191+1)^Veterancy_XP!$E$6,4)</f>
        <v>0.226</v>
      </c>
      <c r="D1191" s="6" t="n">
        <f aca="false">ROUND(Veterancy_XP!$E$5*C1191,1)</f>
        <v>226</v>
      </c>
      <c r="E1191" s="6" t="n">
        <f aca="false">ROUND(B1191/D1191,2)</f>
        <v>1.96</v>
      </c>
      <c r="F1191" s="6" t="n">
        <f aca="false">ROUND(F1190+E1191,2)</f>
        <v>1641.49</v>
      </c>
    </row>
    <row r="1192" customFormat="false" ht="15" hidden="false" customHeight="true" outlineLevel="0" collapsed="false">
      <c r="A1192" s="6" t="n">
        <v>1190</v>
      </c>
      <c r="B1192" s="6" t="n">
        <f aca="false">ROUND(Veterancy_XP!$B$5*(A1192+1)^Veterancy_XP!$B$6,0)</f>
        <v>443</v>
      </c>
      <c r="C1192" s="6" t="n">
        <f aca="false">ROUND(1/(A1192+1)^Veterancy_XP!$E$6,4)</f>
        <v>0.226</v>
      </c>
      <c r="D1192" s="6" t="n">
        <f aca="false">ROUND(Veterancy_XP!$E$5*C1192,1)</f>
        <v>226</v>
      </c>
      <c r="E1192" s="6" t="n">
        <f aca="false">ROUND(B1192/D1192,2)</f>
        <v>1.96</v>
      </c>
      <c r="F1192" s="6" t="n">
        <f aca="false">ROUND(F1191+E1192,2)</f>
        <v>1643.45</v>
      </c>
    </row>
    <row r="1193" customFormat="false" ht="15" hidden="false" customHeight="true" outlineLevel="0" collapsed="false">
      <c r="A1193" s="6" t="n">
        <v>1191</v>
      </c>
      <c r="B1193" s="6" t="n">
        <f aca="false">ROUND(Veterancy_XP!$B$5*(A1193+1)^Veterancy_XP!$B$6,0)</f>
        <v>443</v>
      </c>
      <c r="C1193" s="6" t="n">
        <f aca="false">ROUND(1/(A1193+1)^Veterancy_XP!$E$6,4)</f>
        <v>0.2259</v>
      </c>
      <c r="D1193" s="6" t="n">
        <f aca="false">ROUND(Veterancy_XP!$E$5*C1193,1)</f>
        <v>225.9</v>
      </c>
      <c r="E1193" s="6" t="n">
        <f aca="false">ROUND(B1193/D1193,2)</f>
        <v>1.96</v>
      </c>
      <c r="F1193" s="6" t="n">
        <f aca="false">ROUND(F1192+E1193,2)</f>
        <v>1645.41</v>
      </c>
    </row>
    <row r="1194" customFormat="false" ht="15" hidden="false" customHeight="true" outlineLevel="0" collapsed="false">
      <c r="A1194" s="6" t="n">
        <v>1192</v>
      </c>
      <c r="B1194" s="6" t="n">
        <f aca="false">ROUND(Veterancy_XP!$B$5*(A1194+1)^Veterancy_XP!$B$6,0)</f>
        <v>443</v>
      </c>
      <c r="C1194" s="6" t="n">
        <f aca="false">ROUND(1/(A1194+1)^Veterancy_XP!$E$6,4)</f>
        <v>0.2259</v>
      </c>
      <c r="D1194" s="6" t="n">
        <f aca="false">ROUND(Veterancy_XP!$E$5*C1194,1)</f>
        <v>225.9</v>
      </c>
      <c r="E1194" s="6" t="n">
        <f aca="false">ROUND(B1194/D1194,2)</f>
        <v>1.96</v>
      </c>
      <c r="F1194" s="6" t="n">
        <f aca="false">ROUND(F1193+E1194,2)</f>
        <v>1647.37</v>
      </c>
    </row>
    <row r="1195" customFormat="false" ht="15" hidden="false" customHeight="true" outlineLevel="0" collapsed="false">
      <c r="A1195" s="6" t="n">
        <v>1193</v>
      </c>
      <c r="B1195" s="6" t="n">
        <f aca="false">ROUND(Veterancy_XP!$B$5*(A1195+1)^Veterancy_XP!$B$6,0)</f>
        <v>443</v>
      </c>
      <c r="C1195" s="6" t="n">
        <f aca="false">ROUND(1/(A1195+1)^Veterancy_XP!$E$6,4)</f>
        <v>0.2259</v>
      </c>
      <c r="D1195" s="6" t="n">
        <f aca="false">ROUND(Veterancy_XP!$E$5*C1195,1)</f>
        <v>225.9</v>
      </c>
      <c r="E1195" s="6" t="n">
        <f aca="false">ROUND(B1195/D1195,2)</f>
        <v>1.96</v>
      </c>
      <c r="F1195" s="6" t="n">
        <f aca="false">ROUND(F1194+E1195,2)</f>
        <v>1649.33</v>
      </c>
    </row>
    <row r="1196" customFormat="false" ht="15" hidden="false" customHeight="true" outlineLevel="0" collapsed="false">
      <c r="A1196" s="6" t="n">
        <v>1194</v>
      </c>
      <c r="B1196" s="6" t="n">
        <f aca="false">ROUND(Veterancy_XP!$B$5*(A1196+1)^Veterancy_XP!$B$6,0)</f>
        <v>443</v>
      </c>
      <c r="C1196" s="6" t="n">
        <f aca="false">ROUND(1/(A1196+1)^Veterancy_XP!$E$6,4)</f>
        <v>0.2258</v>
      </c>
      <c r="D1196" s="6" t="n">
        <f aca="false">ROUND(Veterancy_XP!$E$5*C1196,1)</f>
        <v>225.8</v>
      </c>
      <c r="E1196" s="6" t="n">
        <f aca="false">ROUND(B1196/D1196,2)</f>
        <v>1.96</v>
      </c>
      <c r="F1196" s="6" t="n">
        <f aca="false">ROUND(F1195+E1196,2)</f>
        <v>1651.29</v>
      </c>
    </row>
    <row r="1197" customFormat="false" ht="15" hidden="false" customHeight="true" outlineLevel="0" collapsed="false">
      <c r="A1197" s="6" t="n">
        <v>1195</v>
      </c>
      <c r="B1197" s="6" t="n">
        <f aca="false">ROUND(Veterancy_XP!$B$5*(A1197+1)^Veterancy_XP!$B$6,0)</f>
        <v>443</v>
      </c>
      <c r="C1197" s="6" t="n">
        <f aca="false">ROUND(1/(A1197+1)^Veterancy_XP!$E$6,4)</f>
        <v>0.2258</v>
      </c>
      <c r="D1197" s="6" t="n">
        <f aca="false">ROUND(Veterancy_XP!$E$5*C1197,1)</f>
        <v>225.8</v>
      </c>
      <c r="E1197" s="6" t="n">
        <f aca="false">ROUND(B1197/D1197,2)</f>
        <v>1.96</v>
      </c>
      <c r="F1197" s="6" t="n">
        <f aca="false">ROUND(F1196+E1197,2)</f>
        <v>1653.25</v>
      </c>
    </row>
    <row r="1198" customFormat="false" ht="15" hidden="false" customHeight="true" outlineLevel="0" collapsed="false">
      <c r="A1198" s="6" t="n">
        <v>1196</v>
      </c>
      <c r="B1198" s="6" t="n">
        <f aca="false">ROUND(Veterancy_XP!$B$5*(A1198+1)^Veterancy_XP!$B$6,0)</f>
        <v>443</v>
      </c>
      <c r="C1198" s="6" t="n">
        <f aca="false">ROUND(1/(A1198+1)^Veterancy_XP!$E$6,4)</f>
        <v>0.2257</v>
      </c>
      <c r="D1198" s="6" t="n">
        <f aca="false">ROUND(Veterancy_XP!$E$5*C1198,1)</f>
        <v>225.7</v>
      </c>
      <c r="E1198" s="6" t="n">
        <f aca="false">ROUND(B1198/D1198,2)</f>
        <v>1.96</v>
      </c>
      <c r="F1198" s="6" t="n">
        <f aca="false">ROUND(F1197+E1198,2)</f>
        <v>1655.21</v>
      </c>
    </row>
    <row r="1199" customFormat="false" ht="15" hidden="false" customHeight="true" outlineLevel="0" collapsed="false">
      <c r="A1199" s="6" t="n">
        <v>1197</v>
      </c>
      <c r="B1199" s="6" t="n">
        <f aca="false">ROUND(Veterancy_XP!$B$5*(A1199+1)^Veterancy_XP!$B$6,0)</f>
        <v>443</v>
      </c>
      <c r="C1199" s="6" t="n">
        <f aca="false">ROUND(1/(A1199+1)^Veterancy_XP!$E$6,4)</f>
        <v>0.2257</v>
      </c>
      <c r="D1199" s="6" t="n">
        <f aca="false">ROUND(Veterancy_XP!$E$5*C1199,1)</f>
        <v>225.7</v>
      </c>
      <c r="E1199" s="6" t="n">
        <f aca="false">ROUND(B1199/D1199,2)</f>
        <v>1.96</v>
      </c>
      <c r="F1199" s="6" t="n">
        <f aca="false">ROUND(F1198+E1199,2)</f>
        <v>1657.17</v>
      </c>
    </row>
    <row r="1200" customFormat="false" ht="15" hidden="false" customHeight="true" outlineLevel="0" collapsed="false">
      <c r="A1200" s="6" t="n">
        <v>1198</v>
      </c>
      <c r="B1200" s="6" t="n">
        <f aca="false">ROUND(Veterancy_XP!$B$5*(A1200+1)^Veterancy_XP!$B$6,0)</f>
        <v>443</v>
      </c>
      <c r="C1200" s="6" t="n">
        <f aca="false">ROUND(1/(A1200+1)^Veterancy_XP!$E$6,4)</f>
        <v>0.2257</v>
      </c>
      <c r="D1200" s="6" t="n">
        <f aca="false">ROUND(Veterancy_XP!$E$5*C1200,1)</f>
        <v>225.7</v>
      </c>
      <c r="E1200" s="6" t="n">
        <f aca="false">ROUND(B1200/D1200,2)</f>
        <v>1.96</v>
      </c>
      <c r="F1200" s="6" t="n">
        <f aca="false">ROUND(F1199+E1200,2)</f>
        <v>1659.13</v>
      </c>
    </row>
    <row r="1201" customFormat="false" ht="15" hidden="false" customHeight="true" outlineLevel="0" collapsed="false">
      <c r="A1201" s="6" t="n">
        <v>1199</v>
      </c>
      <c r="B1201" s="6" t="n">
        <f aca="false">ROUND(Veterancy_XP!$B$5*(A1201+1)^Veterancy_XP!$B$6,0)</f>
        <v>443</v>
      </c>
      <c r="C1201" s="6" t="n">
        <f aca="false">ROUND(1/(A1201+1)^Veterancy_XP!$E$6,4)</f>
        <v>0.2256</v>
      </c>
      <c r="D1201" s="6" t="n">
        <f aca="false">ROUND(Veterancy_XP!$E$5*C1201,1)</f>
        <v>225.6</v>
      </c>
      <c r="E1201" s="6" t="n">
        <f aca="false">ROUND(B1201/D1201,2)</f>
        <v>1.96</v>
      </c>
      <c r="F1201" s="6" t="n">
        <f aca="false">ROUND(F1200+E1201,2)</f>
        <v>1661.09</v>
      </c>
    </row>
    <row r="1202" customFormat="false" ht="15" hidden="false" customHeight="true" outlineLevel="0" collapsed="false">
      <c r="A1202" s="6" t="n">
        <v>1200</v>
      </c>
      <c r="B1202" s="6" t="n">
        <f aca="false">ROUND(Veterancy_XP!$B$5*(A1202+1)^Veterancy_XP!$B$6,0)</f>
        <v>443</v>
      </c>
      <c r="C1202" s="6" t="n">
        <f aca="false">ROUND(1/(A1202+1)^Veterancy_XP!$E$6,4)</f>
        <v>0.2256</v>
      </c>
      <c r="D1202" s="6" t="n">
        <f aca="false">ROUND(Veterancy_XP!$E$5*C1202,1)</f>
        <v>225.6</v>
      </c>
      <c r="E1202" s="6" t="n">
        <f aca="false">ROUND(B1202/D1202,2)</f>
        <v>1.96</v>
      </c>
      <c r="F1202" s="6" t="n">
        <f aca="false">ROUND(F1201+E1202,2)</f>
        <v>1663.05</v>
      </c>
    </row>
    <row r="1203" customFormat="false" ht="15" hidden="false" customHeight="true" outlineLevel="0" collapsed="false">
      <c r="A1203" s="6" t="n">
        <v>1201</v>
      </c>
      <c r="B1203" s="6" t="n">
        <f aca="false">ROUND(Veterancy_XP!$B$5*(A1203+1)^Veterancy_XP!$B$6,0)</f>
        <v>443</v>
      </c>
      <c r="C1203" s="6" t="n">
        <f aca="false">ROUND(1/(A1203+1)^Veterancy_XP!$E$6,4)</f>
        <v>0.2255</v>
      </c>
      <c r="D1203" s="6" t="n">
        <f aca="false">ROUND(Veterancy_XP!$E$5*C1203,1)</f>
        <v>225.5</v>
      </c>
      <c r="E1203" s="6" t="n">
        <f aca="false">ROUND(B1203/D1203,2)</f>
        <v>1.96</v>
      </c>
      <c r="F1203" s="6" t="n">
        <f aca="false">ROUND(F1202+E1203,2)</f>
        <v>1665.01</v>
      </c>
    </row>
    <row r="1204" customFormat="false" ht="15" hidden="false" customHeight="true" outlineLevel="0" collapsed="false">
      <c r="A1204" s="6" t="n">
        <v>1202</v>
      </c>
      <c r="B1204" s="6" t="n">
        <f aca="false">ROUND(Veterancy_XP!$B$5*(A1204+1)^Veterancy_XP!$B$6,0)</f>
        <v>443</v>
      </c>
      <c r="C1204" s="6" t="n">
        <f aca="false">ROUND(1/(A1204+1)^Veterancy_XP!$E$6,4)</f>
        <v>0.2255</v>
      </c>
      <c r="D1204" s="6" t="n">
        <f aca="false">ROUND(Veterancy_XP!$E$5*C1204,1)</f>
        <v>225.5</v>
      </c>
      <c r="E1204" s="6" t="n">
        <f aca="false">ROUND(B1204/D1204,2)</f>
        <v>1.96</v>
      </c>
      <c r="F1204" s="6" t="n">
        <f aca="false">ROUND(F1203+E1204,2)</f>
        <v>1666.97</v>
      </c>
    </row>
    <row r="1205" customFormat="false" ht="15" hidden="false" customHeight="true" outlineLevel="0" collapsed="false">
      <c r="A1205" s="6" t="n">
        <v>1203</v>
      </c>
      <c r="B1205" s="6" t="n">
        <f aca="false">ROUND(Veterancy_XP!$B$5*(A1205+1)^Veterancy_XP!$B$6,0)</f>
        <v>444</v>
      </c>
      <c r="C1205" s="6" t="n">
        <f aca="false">ROUND(1/(A1205+1)^Veterancy_XP!$E$6,4)</f>
        <v>0.2255</v>
      </c>
      <c r="D1205" s="6" t="n">
        <f aca="false">ROUND(Veterancy_XP!$E$5*C1205,1)</f>
        <v>225.5</v>
      </c>
      <c r="E1205" s="6" t="n">
        <f aca="false">ROUND(B1205/D1205,2)</f>
        <v>1.97</v>
      </c>
      <c r="F1205" s="6" t="n">
        <f aca="false">ROUND(F1204+E1205,2)</f>
        <v>1668.94</v>
      </c>
    </row>
    <row r="1206" customFormat="false" ht="15" hidden="false" customHeight="true" outlineLevel="0" collapsed="false">
      <c r="A1206" s="6" t="n">
        <v>1204</v>
      </c>
      <c r="B1206" s="6" t="n">
        <f aca="false">ROUND(Veterancy_XP!$B$5*(A1206+1)^Veterancy_XP!$B$6,0)</f>
        <v>444</v>
      </c>
      <c r="C1206" s="6" t="n">
        <f aca="false">ROUND(1/(A1206+1)^Veterancy_XP!$E$6,4)</f>
        <v>0.2254</v>
      </c>
      <c r="D1206" s="6" t="n">
        <f aca="false">ROUND(Veterancy_XP!$E$5*C1206,1)</f>
        <v>225.4</v>
      </c>
      <c r="E1206" s="6" t="n">
        <f aca="false">ROUND(B1206/D1206,2)</f>
        <v>1.97</v>
      </c>
      <c r="F1206" s="6" t="n">
        <f aca="false">ROUND(F1205+E1206,2)</f>
        <v>1670.91</v>
      </c>
    </row>
    <row r="1207" customFormat="false" ht="15" hidden="false" customHeight="true" outlineLevel="0" collapsed="false">
      <c r="A1207" s="6" t="n">
        <v>1205</v>
      </c>
      <c r="B1207" s="6" t="n">
        <f aca="false">ROUND(Veterancy_XP!$B$5*(A1207+1)^Veterancy_XP!$B$6,0)</f>
        <v>444</v>
      </c>
      <c r="C1207" s="6" t="n">
        <f aca="false">ROUND(1/(A1207+1)^Veterancy_XP!$E$6,4)</f>
        <v>0.2254</v>
      </c>
      <c r="D1207" s="6" t="n">
        <f aca="false">ROUND(Veterancy_XP!$E$5*C1207,1)</f>
        <v>225.4</v>
      </c>
      <c r="E1207" s="6" t="n">
        <f aca="false">ROUND(B1207/D1207,2)</f>
        <v>1.97</v>
      </c>
      <c r="F1207" s="6" t="n">
        <f aca="false">ROUND(F1206+E1207,2)</f>
        <v>1672.88</v>
      </c>
    </row>
    <row r="1208" customFormat="false" ht="15" hidden="false" customHeight="true" outlineLevel="0" collapsed="false">
      <c r="A1208" s="6" t="n">
        <v>1206</v>
      </c>
      <c r="B1208" s="6" t="n">
        <f aca="false">ROUND(Veterancy_XP!$B$5*(A1208+1)^Veterancy_XP!$B$6,0)</f>
        <v>444</v>
      </c>
      <c r="C1208" s="6" t="n">
        <f aca="false">ROUND(1/(A1208+1)^Veterancy_XP!$E$6,4)</f>
        <v>0.2253</v>
      </c>
      <c r="D1208" s="6" t="n">
        <f aca="false">ROUND(Veterancy_XP!$E$5*C1208,1)</f>
        <v>225.3</v>
      </c>
      <c r="E1208" s="6" t="n">
        <f aca="false">ROUND(B1208/D1208,2)</f>
        <v>1.97</v>
      </c>
      <c r="F1208" s="6" t="n">
        <f aca="false">ROUND(F1207+E1208,2)</f>
        <v>1674.85</v>
      </c>
    </row>
    <row r="1209" customFormat="false" ht="15" hidden="false" customHeight="true" outlineLevel="0" collapsed="false">
      <c r="A1209" s="6" t="n">
        <v>1207</v>
      </c>
      <c r="B1209" s="6" t="n">
        <f aca="false">ROUND(Veterancy_XP!$B$5*(A1209+1)^Veterancy_XP!$B$6,0)</f>
        <v>444</v>
      </c>
      <c r="C1209" s="6" t="n">
        <f aca="false">ROUND(1/(A1209+1)^Veterancy_XP!$E$6,4)</f>
        <v>0.2253</v>
      </c>
      <c r="D1209" s="6" t="n">
        <f aca="false">ROUND(Veterancy_XP!$E$5*C1209,1)</f>
        <v>225.3</v>
      </c>
      <c r="E1209" s="6" t="n">
        <f aca="false">ROUND(B1209/D1209,2)</f>
        <v>1.97</v>
      </c>
      <c r="F1209" s="6" t="n">
        <f aca="false">ROUND(F1208+E1209,2)</f>
        <v>1676.82</v>
      </c>
    </row>
    <row r="1210" customFormat="false" ht="15" hidden="false" customHeight="true" outlineLevel="0" collapsed="false">
      <c r="A1210" s="6" t="n">
        <v>1208</v>
      </c>
      <c r="B1210" s="6" t="n">
        <f aca="false">ROUND(Veterancy_XP!$B$5*(A1210+1)^Veterancy_XP!$B$6,0)</f>
        <v>444</v>
      </c>
      <c r="C1210" s="6" t="n">
        <f aca="false">ROUND(1/(A1210+1)^Veterancy_XP!$E$6,4)</f>
        <v>0.2253</v>
      </c>
      <c r="D1210" s="6" t="n">
        <f aca="false">ROUND(Veterancy_XP!$E$5*C1210,1)</f>
        <v>225.3</v>
      </c>
      <c r="E1210" s="6" t="n">
        <f aca="false">ROUND(B1210/D1210,2)</f>
        <v>1.97</v>
      </c>
      <c r="F1210" s="6" t="n">
        <f aca="false">ROUND(F1209+E1210,2)</f>
        <v>1678.79</v>
      </c>
    </row>
    <row r="1211" customFormat="false" ht="15" hidden="false" customHeight="true" outlineLevel="0" collapsed="false">
      <c r="A1211" s="6" t="n">
        <v>1209</v>
      </c>
      <c r="B1211" s="6" t="n">
        <f aca="false">ROUND(Veterancy_XP!$B$5*(A1211+1)^Veterancy_XP!$B$6,0)</f>
        <v>444</v>
      </c>
      <c r="C1211" s="6" t="n">
        <f aca="false">ROUND(1/(A1211+1)^Veterancy_XP!$E$6,4)</f>
        <v>0.2252</v>
      </c>
      <c r="D1211" s="6" t="n">
        <f aca="false">ROUND(Veterancy_XP!$E$5*C1211,1)</f>
        <v>225.2</v>
      </c>
      <c r="E1211" s="6" t="n">
        <f aca="false">ROUND(B1211/D1211,2)</f>
        <v>1.97</v>
      </c>
      <c r="F1211" s="6" t="n">
        <f aca="false">ROUND(F1210+E1211,2)</f>
        <v>1680.76</v>
      </c>
    </row>
    <row r="1212" customFormat="false" ht="15" hidden="false" customHeight="true" outlineLevel="0" collapsed="false">
      <c r="A1212" s="6" t="n">
        <v>1210</v>
      </c>
      <c r="B1212" s="6" t="n">
        <f aca="false">ROUND(Veterancy_XP!$B$5*(A1212+1)^Veterancy_XP!$B$6,0)</f>
        <v>444</v>
      </c>
      <c r="C1212" s="6" t="n">
        <f aca="false">ROUND(1/(A1212+1)^Veterancy_XP!$E$6,4)</f>
        <v>0.2252</v>
      </c>
      <c r="D1212" s="6" t="n">
        <f aca="false">ROUND(Veterancy_XP!$E$5*C1212,1)</f>
        <v>225.2</v>
      </c>
      <c r="E1212" s="6" t="n">
        <f aca="false">ROUND(B1212/D1212,2)</f>
        <v>1.97</v>
      </c>
      <c r="F1212" s="6" t="n">
        <f aca="false">ROUND(F1211+E1212,2)</f>
        <v>1682.73</v>
      </c>
    </row>
    <row r="1213" customFormat="false" ht="15" hidden="false" customHeight="true" outlineLevel="0" collapsed="false">
      <c r="A1213" s="6" t="n">
        <v>1211</v>
      </c>
      <c r="B1213" s="6" t="n">
        <f aca="false">ROUND(Veterancy_XP!$B$5*(A1213+1)^Veterancy_XP!$B$6,0)</f>
        <v>444</v>
      </c>
      <c r="C1213" s="6" t="n">
        <f aca="false">ROUND(1/(A1213+1)^Veterancy_XP!$E$6,4)</f>
        <v>0.2251</v>
      </c>
      <c r="D1213" s="6" t="n">
        <f aca="false">ROUND(Veterancy_XP!$E$5*C1213,1)</f>
        <v>225.1</v>
      </c>
      <c r="E1213" s="6" t="n">
        <f aca="false">ROUND(B1213/D1213,2)</f>
        <v>1.97</v>
      </c>
      <c r="F1213" s="6" t="n">
        <f aca="false">ROUND(F1212+E1213,2)</f>
        <v>1684.7</v>
      </c>
    </row>
    <row r="1214" customFormat="false" ht="15" hidden="false" customHeight="true" outlineLevel="0" collapsed="false">
      <c r="A1214" s="6" t="n">
        <v>1212</v>
      </c>
      <c r="B1214" s="6" t="n">
        <f aca="false">ROUND(Veterancy_XP!$B$5*(A1214+1)^Veterancy_XP!$B$6,0)</f>
        <v>444</v>
      </c>
      <c r="C1214" s="6" t="n">
        <f aca="false">ROUND(1/(A1214+1)^Veterancy_XP!$E$6,4)</f>
        <v>0.2251</v>
      </c>
      <c r="D1214" s="6" t="n">
        <f aca="false">ROUND(Veterancy_XP!$E$5*C1214,1)</f>
        <v>225.1</v>
      </c>
      <c r="E1214" s="6" t="n">
        <f aca="false">ROUND(B1214/D1214,2)</f>
        <v>1.97</v>
      </c>
      <c r="F1214" s="6" t="n">
        <f aca="false">ROUND(F1213+E1214,2)</f>
        <v>1686.67</v>
      </c>
    </row>
    <row r="1215" customFormat="false" ht="15" hidden="false" customHeight="true" outlineLevel="0" collapsed="false">
      <c r="A1215" s="6" t="n">
        <v>1213</v>
      </c>
      <c r="B1215" s="6" t="n">
        <f aca="false">ROUND(Veterancy_XP!$B$5*(A1215+1)^Veterancy_XP!$B$6,0)</f>
        <v>444</v>
      </c>
      <c r="C1215" s="6" t="n">
        <f aca="false">ROUND(1/(A1215+1)^Veterancy_XP!$E$6,4)</f>
        <v>0.2251</v>
      </c>
      <c r="D1215" s="6" t="n">
        <f aca="false">ROUND(Veterancy_XP!$E$5*C1215,1)</f>
        <v>225.1</v>
      </c>
      <c r="E1215" s="6" t="n">
        <f aca="false">ROUND(B1215/D1215,2)</f>
        <v>1.97</v>
      </c>
      <c r="F1215" s="6" t="n">
        <f aca="false">ROUND(F1214+E1215,2)</f>
        <v>1688.64</v>
      </c>
    </row>
    <row r="1216" customFormat="false" ht="15" hidden="false" customHeight="true" outlineLevel="0" collapsed="false">
      <c r="A1216" s="6" t="n">
        <v>1214</v>
      </c>
      <c r="B1216" s="6" t="n">
        <f aca="false">ROUND(Veterancy_XP!$B$5*(A1216+1)^Veterancy_XP!$B$6,0)</f>
        <v>444</v>
      </c>
      <c r="C1216" s="6" t="n">
        <f aca="false">ROUND(1/(A1216+1)^Veterancy_XP!$E$6,4)</f>
        <v>0.225</v>
      </c>
      <c r="D1216" s="6" t="n">
        <f aca="false">ROUND(Veterancy_XP!$E$5*C1216,1)</f>
        <v>225</v>
      </c>
      <c r="E1216" s="6" t="n">
        <f aca="false">ROUND(B1216/D1216,2)</f>
        <v>1.97</v>
      </c>
      <c r="F1216" s="6" t="n">
        <f aca="false">ROUND(F1215+E1216,2)</f>
        <v>1690.61</v>
      </c>
    </row>
    <row r="1217" customFormat="false" ht="15" hidden="false" customHeight="true" outlineLevel="0" collapsed="false">
      <c r="A1217" s="6" t="n">
        <v>1215</v>
      </c>
      <c r="B1217" s="6" t="n">
        <f aca="false">ROUND(Veterancy_XP!$B$5*(A1217+1)^Veterancy_XP!$B$6,0)</f>
        <v>444</v>
      </c>
      <c r="C1217" s="6" t="n">
        <f aca="false">ROUND(1/(A1217+1)^Veterancy_XP!$E$6,4)</f>
        <v>0.225</v>
      </c>
      <c r="D1217" s="6" t="n">
        <f aca="false">ROUND(Veterancy_XP!$E$5*C1217,1)</f>
        <v>225</v>
      </c>
      <c r="E1217" s="6" t="n">
        <f aca="false">ROUND(B1217/D1217,2)</f>
        <v>1.97</v>
      </c>
      <c r="F1217" s="6" t="n">
        <f aca="false">ROUND(F1216+E1217,2)</f>
        <v>1692.58</v>
      </c>
    </row>
    <row r="1218" customFormat="false" ht="15" hidden="false" customHeight="true" outlineLevel="0" collapsed="false">
      <c r="A1218" s="6" t="n">
        <v>1216</v>
      </c>
      <c r="B1218" s="6" t="n">
        <f aca="false">ROUND(Veterancy_XP!$B$5*(A1218+1)^Veterancy_XP!$B$6,0)</f>
        <v>445</v>
      </c>
      <c r="C1218" s="6" t="n">
        <f aca="false">ROUND(1/(A1218+1)^Veterancy_XP!$E$6,4)</f>
        <v>0.225</v>
      </c>
      <c r="D1218" s="6" t="n">
        <f aca="false">ROUND(Veterancy_XP!$E$5*C1218,1)</f>
        <v>225</v>
      </c>
      <c r="E1218" s="6" t="n">
        <f aca="false">ROUND(B1218/D1218,2)</f>
        <v>1.98</v>
      </c>
      <c r="F1218" s="6" t="n">
        <f aca="false">ROUND(F1217+E1218,2)</f>
        <v>1694.56</v>
      </c>
    </row>
    <row r="1219" customFormat="false" ht="15" hidden="false" customHeight="true" outlineLevel="0" collapsed="false">
      <c r="A1219" s="6" t="n">
        <v>1217</v>
      </c>
      <c r="B1219" s="6" t="n">
        <f aca="false">ROUND(Veterancy_XP!$B$5*(A1219+1)^Veterancy_XP!$B$6,0)</f>
        <v>445</v>
      </c>
      <c r="C1219" s="6" t="n">
        <f aca="false">ROUND(1/(A1219+1)^Veterancy_XP!$E$6,4)</f>
        <v>0.2249</v>
      </c>
      <c r="D1219" s="6" t="n">
        <f aca="false">ROUND(Veterancy_XP!$E$5*C1219,1)</f>
        <v>224.9</v>
      </c>
      <c r="E1219" s="6" t="n">
        <f aca="false">ROUND(B1219/D1219,2)</f>
        <v>1.98</v>
      </c>
      <c r="F1219" s="6" t="n">
        <f aca="false">ROUND(F1218+E1219,2)</f>
        <v>1696.54</v>
      </c>
    </row>
    <row r="1220" customFormat="false" ht="15" hidden="false" customHeight="true" outlineLevel="0" collapsed="false">
      <c r="A1220" s="6" t="n">
        <v>1218</v>
      </c>
      <c r="B1220" s="6" t="n">
        <f aca="false">ROUND(Veterancy_XP!$B$5*(A1220+1)^Veterancy_XP!$B$6,0)</f>
        <v>445</v>
      </c>
      <c r="C1220" s="6" t="n">
        <f aca="false">ROUND(1/(A1220+1)^Veterancy_XP!$E$6,4)</f>
        <v>0.2249</v>
      </c>
      <c r="D1220" s="6" t="n">
        <f aca="false">ROUND(Veterancy_XP!$E$5*C1220,1)</f>
        <v>224.9</v>
      </c>
      <c r="E1220" s="6" t="n">
        <f aca="false">ROUND(B1220/D1220,2)</f>
        <v>1.98</v>
      </c>
      <c r="F1220" s="6" t="n">
        <f aca="false">ROUND(F1219+E1220,2)</f>
        <v>1698.52</v>
      </c>
    </row>
    <row r="1221" customFormat="false" ht="15" hidden="false" customHeight="true" outlineLevel="0" collapsed="false">
      <c r="A1221" s="6" t="n">
        <v>1219</v>
      </c>
      <c r="B1221" s="6" t="n">
        <f aca="false">ROUND(Veterancy_XP!$B$5*(A1221+1)^Veterancy_XP!$B$6,0)</f>
        <v>445</v>
      </c>
      <c r="C1221" s="6" t="n">
        <f aca="false">ROUND(1/(A1221+1)^Veterancy_XP!$E$6,4)</f>
        <v>0.2248</v>
      </c>
      <c r="D1221" s="6" t="n">
        <f aca="false">ROUND(Veterancy_XP!$E$5*C1221,1)</f>
        <v>224.8</v>
      </c>
      <c r="E1221" s="6" t="n">
        <f aca="false">ROUND(B1221/D1221,2)</f>
        <v>1.98</v>
      </c>
      <c r="F1221" s="6" t="n">
        <f aca="false">ROUND(F1220+E1221,2)</f>
        <v>1700.5</v>
      </c>
    </row>
    <row r="1222" customFormat="false" ht="15" hidden="false" customHeight="true" outlineLevel="0" collapsed="false">
      <c r="A1222" s="6" t="n">
        <v>1220</v>
      </c>
      <c r="B1222" s="6" t="n">
        <f aca="false">ROUND(Veterancy_XP!$B$5*(A1222+1)^Veterancy_XP!$B$6,0)</f>
        <v>445</v>
      </c>
      <c r="C1222" s="6" t="n">
        <f aca="false">ROUND(1/(A1222+1)^Veterancy_XP!$E$6,4)</f>
        <v>0.2248</v>
      </c>
      <c r="D1222" s="6" t="n">
        <f aca="false">ROUND(Veterancy_XP!$E$5*C1222,1)</f>
        <v>224.8</v>
      </c>
      <c r="E1222" s="6" t="n">
        <f aca="false">ROUND(B1222/D1222,2)</f>
        <v>1.98</v>
      </c>
      <c r="F1222" s="6" t="n">
        <f aca="false">ROUND(F1221+E1222,2)</f>
        <v>1702.48</v>
      </c>
    </row>
    <row r="1223" customFormat="false" ht="15" hidden="false" customHeight="true" outlineLevel="0" collapsed="false">
      <c r="A1223" s="6" t="n">
        <v>1221</v>
      </c>
      <c r="B1223" s="6" t="n">
        <f aca="false">ROUND(Veterancy_XP!$B$5*(A1223+1)^Veterancy_XP!$B$6,0)</f>
        <v>445</v>
      </c>
      <c r="C1223" s="6" t="n">
        <f aca="false">ROUND(1/(A1223+1)^Veterancy_XP!$E$6,4)</f>
        <v>0.2248</v>
      </c>
      <c r="D1223" s="6" t="n">
        <f aca="false">ROUND(Veterancy_XP!$E$5*C1223,1)</f>
        <v>224.8</v>
      </c>
      <c r="E1223" s="6" t="n">
        <f aca="false">ROUND(B1223/D1223,2)</f>
        <v>1.98</v>
      </c>
      <c r="F1223" s="6" t="n">
        <f aca="false">ROUND(F1222+E1223,2)</f>
        <v>1704.46</v>
      </c>
    </row>
    <row r="1224" customFormat="false" ht="15" hidden="false" customHeight="true" outlineLevel="0" collapsed="false">
      <c r="A1224" s="6" t="n">
        <v>1222</v>
      </c>
      <c r="B1224" s="6" t="n">
        <f aca="false">ROUND(Veterancy_XP!$B$5*(A1224+1)^Veterancy_XP!$B$6,0)</f>
        <v>445</v>
      </c>
      <c r="C1224" s="6" t="n">
        <f aca="false">ROUND(1/(A1224+1)^Veterancy_XP!$E$6,4)</f>
        <v>0.2247</v>
      </c>
      <c r="D1224" s="6" t="n">
        <f aca="false">ROUND(Veterancy_XP!$E$5*C1224,1)</f>
        <v>224.7</v>
      </c>
      <c r="E1224" s="6" t="n">
        <f aca="false">ROUND(B1224/D1224,2)</f>
        <v>1.98</v>
      </c>
      <c r="F1224" s="6" t="n">
        <f aca="false">ROUND(F1223+E1224,2)</f>
        <v>1706.44</v>
      </c>
    </row>
    <row r="1225" customFormat="false" ht="15" hidden="false" customHeight="true" outlineLevel="0" collapsed="false">
      <c r="A1225" s="6" t="n">
        <v>1223</v>
      </c>
      <c r="B1225" s="6" t="n">
        <f aca="false">ROUND(Veterancy_XP!$B$5*(A1225+1)^Veterancy_XP!$B$6,0)</f>
        <v>445</v>
      </c>
      <c r="C1225" s="6" t="n">
        <f aca="false">ROUND(1/(A1225+1)^Veterancy_XP!$E$6,4)</f>
        <v>0.2247</v>
      </c>
      <c r="D1225" s="6" t="n">
        <f aca="false">ROUND(Veterancy_XP!$E$5*C1225,1)</f>
        <v>224.7</v>
      </c>
      <c r="E1225" s="6" t="n">
        <f aca="false">ROUND(B1225/D1225,2)</f>
        <v>1.98</v>
      </c>
      <c r="F1225" s="6" t="n">
        <f aca="false">ROUND(F1224+E1225,2)</f>
        <v>1708.42</v>
      </c>
    </row>
    <row r="1226" customFormat="false" ht="15" hidden="false" customHeight="true" outlineLevel="0" collapsed="false">
      <c r="A1226" s="6" t="n">
        <v>1224</v>
      </c>
      <c r="B1226" s="6" t="n">
        <f aca="false">ROUND(Veterancy_XP!$B$5*(A1226+1)^Veterancy_XP!$B$6,0)</f>
        <v>445</v>
      </c>
      <c r="C1226" s="6" t="n">
        <f aca="false">ROUND(1/(A1226+1)^Veterancy_XP!$E$6,4)</f>
        <v>0.2246</v>
      </c>
      <c r="D1226" s="6" t="n">
        <f aca="false">ROUND(Veterancy_XP!$E$5*C1226,1)</f>
        <v>224.6</v>
      </c>
      <c r="E1226" s="6" t="n">
        <f aca="false">ROUND(B1226/D1226,2)</f>
        <v>1.98</v>
      </c>
      <c r="F1226" s="6" t="n">
        <f aca="false">ROUND(F1225+E1226,2)</f>
        <v>1710.4</v>
      </c>
    </row>
    <row r="1227" customFormat="false" ht="15" hidden="false" customHeight="true" outlineLevel="0" collapsed="false">
      <c r="A1227" s="6" t="n">
        <v>1225</v>
      </c>
      <c r="B1227" s="6" t="n">
        <f aca="false">ROUND(Veterancy_XP!$B$5*(A1227+1)^Veterancy_XP!$B$6,0)</f>
        <v>445</v>
      </c>
      <c r="C1227" s="6" t="n">
        <f aca="false">ROUND(1/(A1227+1)^Veterancy_XP!$E$6,4)</f>
        <v>0.2246</v>
      </c>
      <c r="D1227" s="6" t="n">
        <f aca="false">ROUND(Veterancy_XP!$E$5*C1227,1)</f>
        <v>224.6</v>
      </c>
      <c r="E1227" s="6" t="n">
        <f aca="false">ROUND(B1227/D1227,2)</f>
        <v>1.98</v>
      </c>
      <c r="F1227" s="6" t="n">
        <f aca="false">ROUND(F1226+E1227,2)</f>
        <v>1712.38</v>
      </c>
    </row>
    <row r="1228" customFormat="false" ht="15" hidden="false" customHeight="true" outlineLevel="0" collapsed="false">
      <c r="A1228" s="6" t="n">
        <v>1226</v>
      </c>
      <c r="B1228" s="6" t="n">
        <f aca="false">ROUND(Veterancy_XP!$B$5*(A1228+1)^Veterancy_XP!$B$6,0)</f>
        <v>445</v>
      </c>
      <c r="C1228" s="6" t="n">
        <f aca="false">ROUND(1/(A1228+1)^Veterancy_XP!$E$6,4)</f>
        <v>0.2246</v>
      </c>
      <c r="D1228" s="6" t="n">
        <f aca="false">ROUND(Veterancy_XP!$E$5*C1228,1)</f>
        <v>224.6</v>
      </c>
      <c r="E1228" s="6" t="n">
        <f aca="false">ROUND(B1228/D1228,2)</f>
        <v>1.98</v>
      </c>
      <c r="F1228" s="6" t="n">
        <f aca="false">ROUND(F1227+E1228,2)</f>
        <v>1714.36</v>
      </c>
    </row>
    <row r="1229" customFormat="false" ht="15" hidden="false" customHeight="true" outlineLevel="0" collapsed="false">
      <c r="A1229" s="6" t="n">
        <v>1227</v>
      </c>
      <c r="B1229" s="6" t="n">
        <f aca="false">ROUND(Veterancy_XP!$B$5*(A1229+1)^Veterancy_XP!$B$6,0)</f>
        <v>445</v>
      </c>
      <c r="C1229" s="6" t="n">
        <f aca="false">ROUND(1/(A1229+1)^Veterancy_XP!$E$6,4)</f>
        <v>0.2245</v>
      </c>
      <c r="D1229" s="6" t="n">
        <f aca="false">ROUND(Veterancy_XP!$E$5*C1229,1)</f>
        <v>224.5</v>
      </c>
      <c r="E1229" s="6" t="n">
        <f aca="false">ROUND(B1229/D1229,2)</f>
        <v>1.98</v>
      </c>
      <c r="F1229" s="6" t="n">
        <f aca="false">ROUND(F1228+E1229,2)</f>
        <v>1716.34</v>
      </c>
    </row>
    <row r="1230" customFormat="false" ht="15" hidden="false" customHeight="true" outlineLevel="0" collapsed="false">
      <c r="A1230" s="6" t="n">
        <v>1228</v>
      </c>
      <c r="B1230" s="6" t="n">
        <f aca="false">ROUND(Veterancy_XP!$B$5*(A1230+1)^Veterancy_XP!$B$6,0)</f>
        <v>445</v>
      </c>
      <c r="C1230" s="6" t="n">
        <f aca="false">ROUND(1/(A1230+1)^Veterancy_XP!$E$6,4)</f>
        <v>0.2245</v>
      </c>
      <c r="D1230" s="6" t="n">
        <f aca="false">ROUND(Veterancy_XP!$E$5*C1230,1)</f>
        <v>224.5</v>
      </c>
      <c r="E1230" s="6" t="n">
        <f aca="false">ROUND(B1230/D1230,2)</f>
        <v>1.98</v>
      </c>
      <c r="F1230" s="6" t="n">
        <f aca="false">ROUND(F1229+E1230,2)</f>
        <v>1718.32</v>
      </c>
    </row>
    <row r="1231" customFormat="false" ht="15" hidden="false" customHeight="true" outlineLevel="0" collapsed="false">
      <c r="A1231" s="6" t="n">
        <v>1229</v>
      </c>
      <c r="B1231" s="6" t="n">
        <f aca="false">ROUND(Veterancy_XP!$B$5*(A1231+1)^Veterancy_XP!$B$6,0)</f>
        <v>446</v>
      </c>
      <c r="C1231" s="6" t="n">
        <f aca="false">ROUND(1/(A1231+1)^Veterancy_XP!$E$6,4)</f>
        <v>0.2245</v>
      </c>
      <c r="D1231" s="6" t="n">
        <f aca="false">ROUND(Veterancy_XP!$E$5*C1231,1)</f>
        <v>224.5</v>
      </c>
      <c r="E1231" s="6" t="n">
        <f aca="false">ROUND(B1231/D1231,2)</f>
        <v>1.99</v>
      </c>
      <c r="F1231" s="6" t="n">
        <f aca="false">ROUND(F1230+E1231,2)</f>
        <v>1720.31</v>
      </c>
    </row>
    <row r="1232" customFormat="false" ht="15" hidden="false" customHeight="true" outlineLevel="0" collapsed="false">
      <c r="A1232" s="6" t="n">
        <v>1230</v>
      </c>
      <c r="B1232" s="6" t="n">
        <f aca="false">ROUND(Veterancy_XP!$B$5*(A1232+1)^Veterancy_XP!$B$6,0)</f>
        <v>446</v>
      </c>
      <c r="C1232" s="6" t="n">
        <f aca="false">ROUND(1/(A1232+1)^Veterancy_XP!$E$6,4)</f>
        <v>0.2244</v>
      </c>
      <c r="D1232" s="6" t="n">
        <f aca="false">ROUND(Veterancy_XP!$E$5*C1232,1)</f>
        <v>224.4</v>
      </c>
      <c r="E1232" s="6" t="n">
        <f aca="false">ROUND(B1232/D1232,2)</f>
        <v>1.99</v>
      </c>
      <c r="F1232" s="6" t="n">
        <f aca="false">ROUND(F1231+E1232,2)</f>
        <v>1722.3</v>
      </c>
    </row>
    <row r="1233" customFormat="false" ht="15" hidden="false" customHeight="true" outlineLevel="0" collapsed="false">
      <c r="A1233" s="6" t="n">
        <v>1231</v>
      </c>
      <c r="B1233" s="6" t="n">
        <f aca="false">ROUND(Veterancy_XP!$B$5*(A1233+1)^Veterancy_XP!$B$6,0)</f>
        <v>446</v>
      </c>
      <c r="C1233" s="6" t="n">
        <f aca="false">ROUND(1/(A1233+1)^Veterancy_XP!$E$6,4)</f>
        <v>0.2244</v>
      </c>
      <c r="D1233" s="6" t="n">
        <f aca="false">ROUND(Veterancy_XP!$E$5*C1233,1)</f>
        <v>224.4</v>
      </c>
      <c r="E1233" s="6" t="n">
        <f aca="false">ROUND(B1233/D1233,2)</f>
        <v>1.99</v>
      </c>
      <c r="F1233" s="6" t="n">
        <f aca="false">ROUND(F1232+E1233,2)</f>
        <v>1724.29</v>
      </c>
    </row>
    <row r="1234" customFormat="false" ht="15" hidden="false" customHeight="true" outlineLevel="0" collapsed="false">
      <c r="A1234" s="6" t="n">
        <v>1232</v>
      </c>
      <c r="B1234" s="6" t="n">
        <f aca="false">ROUND(Veterancy_XP!$B$5*(A1234+1)^Veterancy_XP!$B$6,0)</f>
        <v>446</v>
      </c>
      <c r="C1234" s="6" t="n">
        <f aca="false">ROUND(1/(A1234+1)^Veterancy_XP!$E$6,4)</f>
        <v>0.2243</v>
      </c>
      <c r="D1234" s="6" t="n">
        <f aca="false">ROUND(Veterancy_XP!$E$5*C1234,1)</f>
        <v>224.3</v>
      </c>
      <c r="E1234" s="6" t="n">
        <f aca="false">ROUND(B1234/D1234,2)</f>
        <v>1.99</v>
      </c>
      <c r="F1234" s="6" t="n">
        <f aca="false">ROUND(F1233+E1234,2)</f>
        <v>1726.28</v>
      </c>
    </row>
    <row r="1235" customFormat="false" ht="15" hidden="false" customHeight="true" outlineLevel="0" collapsed="false">
      <c r="A1235" s="6" t="n">
        <v>1233</v>
      </c>
      <c r="B1235" s="6" t="n">
        <f aca="false">ROUND(Veterancy_XP!$B$5*(A1235+1)^Veterancy_XP!$B$6,0)</f>
        <v>446</v>
      </c>
      <c r="C1235" s="6" t="n">
        <f aca="false">ROUND(1/(A1235+1)^Veterancy_XP!$E$6,4)</f>
        <v>0.2243</v>
      </c>
      <c r="D1235" s="6" t="n">
        <f aca="false">ROUND(Veterancy_XP!$E$5*C1235,1)</f>
        <v>224.3</v>
      </c>
      <c r="E1235" s="6" t="n">
        <f aca="false">ROUND(B1235/D1235,2)</f>
        <v>1.99</v>
      </c>
      <c r="F1235" s="6" t="n">
        <f aca="false">ROUND(F1234+E1235,2)</f>
        <v>1728.27</v>
      </c>
    </row>
    <row r="1236" customFormat="false" ht="15" hidden="false" customHeight="true" outlineLevel="0" collapsed="false">
      <c r="A1236" s="6" t="n">
        <v>1234</v>
      </c>
      <c r="B1236" s="6" t="n">
        <f aca="false">ROUND(Veterancy_XP!$B$5*(A1236+1)^Veterancy_XP!$B$6,0)</f>
        <v>446</v>
      </c>
      <c r="C1236" s="6" t="n">
        <f aca="false">ROUND(1/(A1236+1)^Veterancy_XP!$E$6,4)</f>
        <v>0.2243</v>
      </c>
      <c r="D1236" s="6" t="n">
        <f aca="false">ROUND(Veterancy_XP!$E$5*C1236,1)</f>
        <v>224.3</v>
      </c>
      <c r="E1236" s="6" t="n">
        <f aca="false">ROUND(B1236/D1236,2)</f>
        <v>1.99</v>
      </c>
      <c r="F1236" s="6" t="n">
        <f aca="false">ROUND(F1235+E1236,2)</f>
        <v>1730.26</v>
      </c>
    </row>
    <row r="1237" customFormat="false" ht="15" hidden="false" customHeight="true" outlineLevel="0" collapsed="false">
      <c r="A1237" s="6" t="n">
        <v>1235</v>
      </c>
      <c r="B1237" s="6" t="n">
        <f aca="false">ROUND(Veterancy_XP!$B$5*(A1237+1)^Veterancy_XP!$B$6,0)</f>
        <v>446</v>
      </c>
      <c r="C1237" s="6" t="n">
        <f aca="false">ROUND(1/(A1237+1)^Veterancy_XP!$E$6,4)</f>
        <v>0.2242</v>
      </c>
      <c r="D1237" s="6" t="n">
        <f aca="false">ROUND(Veterancy_XP!$E$5*C1237,1)</f>
        <v>224.2</v>
      </c>
      <c r="E1237" s="6" t="n">
        <f aca="false">ROUND(B1237/D1237,2)</f>
        <v>1.99</v>
      </c>
      <c r="F1237" s="6" t="n">
        <f aca="false">ROUND(F1236+E1237,2)</f>
        <v>1732.25</v>
      </c>
    </row>
    <row r="1238" customFormat="false" ht="15" hidden="false" customHeight="true" outlineLevel="0" collapsed="false">
      <c r="A1238" s="6" t="n">
        <v>1236</v>
      </c>
      <c r="B1238" s="6" t="n">
        <f aca="false">ROUND(Veterancy_XP!$B$5*(A1238+1)^Veterancy_XP!$B$6,0)</f>
        <v>446</v>
      </c>
      <c r="C1238" s="6" t="n">
        <f aca="false">ROUND(1/(A1238+1)^Veterancy_XP!$E$6,4)</f>
        <v>0.2242</v>
      </c>
      <c r="D1238" s="6" t="n">
        <f aca="false">ROUND(Veterancy_XP!$E$5*C1238,1)</f>
        <v>224.2</v>
      </c>
      <c r="E1238" s="6" t="n">
        <f aca="false">ROUND(B1238/D1238,2)</f>
        <v>1.99</v>
      </c>
      <c r="F1238" s="6" t="n">
        <f aca="false">ROUND(F1237+E1238,2)</f>
        <v>1734.24</v>
      </c>
    </row>
    <row r="1239" customFormat="false" ht="15" hidden="false" customHeight="true" outlineLevel="0" collapsed="false">
      <c r="A1239" s="6" t="n">
        <v>1237</v>
      </c>
      <c r="B1239" s="6" t="n">
        <f aca="false">ROUND(Veterancy_XP!$B$5*(A1239+1)^Veterancy_XP!$B$6,0)</f>
        <v>446</v>
      </c>
      <c r="C1239" s="6" t="n">
        <f aca="false">ROUND(1/(A1239+1)^Veterancy_XP!$E$6,4)</f>
        <v>0.2241</v>
      </c>
      <c r="D1239" s="6" t="n">
        <f aca="false">ROUND(Veterancy_XP!$E$5*C1239,1)</f>
        <v>224.1</v>
      </c>
      <c r="E1239" s="6" t="n">
        <f aca="false">ROUND(B1239/D1239,2)</f>
        <v>1.99</v>
      </c>
      <c r="F1239" s="6" t="n">
        <f aca="false">ROUND(F1238+E1239,2)</f>
        <v>1736.23</v>
      </c>
    </row>
    <row r="1240" customFormat="false" ht="15" hidden="false" customHeight="true" outlineLevel="0" collapsed="false">
      <c r="A1240" s="6" t="n">
        <v>1238</v>
      </c>
      <c r="B1240" s="6" t="n">
        <f aca="false">ROUND(Veterancy_XP!$B$5*(A1240+1)^Veterancy_XP!$B$6,0)</f>
        <v>446</v>
      </c>
      <c r="C1240" s="6" t="n">
        <f aca="false">ROUND(1/(A1240+1)^Veterancy_XP!$E$6,4)</f>
        <v>0.2241</v>
      </c>
      <c r="D1240" s="6" t="n">
        <f aca="false">ROUND(Veterancy_XP!$E$5*C1240,1)</f>
        <v>224.1</v>
      </c>
      <c r="E1240" s="6" t="n">
        <f aca="false">ROUND(B1240/D1240,2)</f>
        <v>1.99</v>
      </c>
      <c r="F1240" s="6" t="n">
        <f aca="false">ROUND(F1239+E1240,2)</f>
        <v>1738.22</v>
      </c>
    </row>
    <row r="1241" customFormat="false" ht="15" hidden="false" customHeight="true" outlineLevel="0" collapsed="false">
      <c r="A1241" s="6" t="n">
        <v>1239</v>
      </c>
      <c r="B1241" s="6" t="n">
        <f aca="false">ROUND(Veterancy_XP!$B$5*(A1241+1)^Veterancy_XP!$B$6,0)</f>
        <v>446</v>
      </c>
      <c r="C1241" s="6" t="n">
        <f aca="false">ROUND(1/(A1241+1)^Veterancy_XP!$E$6,4)</f>
        <v>0.2241</v>
      </c>
      <c r="D1241" s="6" t="n">
        <f aca="false">ROUND(Veterancy_XP!$E$5*C1241,1)</f>
        <v>224.1</v>
      </c>
      <c r="E1241" s="6" t="n">
        <f aca="false">ROUND(B1241/D1241,2)</f>
        <v>1.99</v>
      </c>
      <c r="F1241" s="6" t="n">
        <f aca="false">ROUND(F1240+E1241,2)</f>
        <v>1740.21</v>
      </c>
    </row>
    <row r="1242" customFormat="false" ht="15" hidden="false" customHeight="true" outlineLevel="0" collapsed="false">
      <c r="A1242" s="6" t="n">
        <v>1240</v>
      </c>
      <c r="B1242" s="6" t="n">
        <f aca="false">ROUND(Veterancy_XP!$B$5*(A1242+1)^Veterancy_XP!$B$6,0)</f>
        <v>446</v>
      </c>
      <c r="C1242" s="6" t="n">
        <f aca="false">ROUND(1/(A1242+1)^Veterancy_XP!$E$6,4)</f>
        <v>0.224</v>
      </c>
      <c r="D1242" s="6" t="n">
        <f aca="false">ROUND(Veterancy_XP!$E$5*C1242,1)</f>
        <v>224</v>
      </c>
      <c r="E1242" s="6" t="n">
        <f aca="false">ROUND(B1242/D1242,2)</f>
        <v>1.99</v>
      </c>
      <c r="F1242" s="6" t="n">
        <f aca="false">ROUND(F1241+E1242,2)</f>
        <v>1742.2</v>
      </c>
    </row>
    <row r="1243" customFormat="false" ht="15" hidden="false" customHeight="true" outlineLevel="0" collapsed="false">
      <c r="A1243" s="6" t="n">
        <v>1241</v>
      </c>
      <c r="B1243" s="6" t="n">
        <f aca="false">ROUND(Veterancy_XP!$B$5*(A1243+1)^Veterancy_XP!$B$6,0)</f>
        <v>446</v>
      </c>
      <c r="C1243" s="6" t="n">
        <f aca="false">ROUND(1/(A1243+1)^Veterancy_XP!$E$6,4)</f>
        <v>0.224</v>
      </c>
      <c r="D1243" s="6" t="n">
        <f aca="false">ROUND(Veterancy_XP!$E$5*C1243,1)</f>
        <v>224</v>
      </c>
      <c r="E1243" s="6" t="n">
        <f aca="false">ROUND(B1243/D1243,2)</f>
        <v>1.99</v>
      </c>
      <c r="F1243" s="6" t="n">
        <f aca="false">ROUND(F1242+E1243,2)</f>
        <v>1744.19</v>
      </c>
    </row>
    <row r="1244" customFormat="false" ht="15" hidden="false" customHeight="true" outlineLevel="0" collapsed="false">
      <c r="A1244" s="6" t="n">
        <v>1242</v>
      </c>
      <c r="B1244" s="6" t="n">
        <f aca="false">ROUND(Veterancy_XP!$B$5*(A1244+1)^Veterancy_XP!$B$6,0)</f>
        <v>447</v>
      </c>
      <c r="C1244" s="6" t="n">
        <f aca="false">ROUND(1/(A1244+1)^Veterancy_XP!$E$6,4)</f>
        <v>0.224</v>
      </c>
      <c r="D1244" s="6" t="n">
        <f aca="false">ROUND(Veterancy_XP!$E$5*C1244,1)</f>
        <v>224</v>
      </c>
      <c r="E1244" s="6" t="n">
        <f aca="false">ROUND(B1244/D1244,2)</f>
        <v>2</v>
      </c>
      <c r="F1244" s="6" t="n">
        <f aca="false">ROUND(F1243+E1244,2)</f>
        <v>1746.19</v>
      </c>
    </row>
    <row r="1245" customFormat="false" ht="15" hidden="false" customHeight="true" outlineLevel="0" collapsed="false">
      <c r="A1245" s="6" t="n">
        <v>1243</v>
      </c>
      <c r="B1245" s="6" t="n">
        <f aca="false">ROUND(Veterancy_XP!$B$5*(A1245+1)^Veterancy_XP!$B$6,0)</f>
        <v>447</v>
      </c>
      <c r="C1245" s="6" t="n">
        <f aca="false">ROUND(1/(A1245+1)^Veterancy_XP!$E$6,4)</f>
        <v>0.2239</v>
      </c>
      <c r="D1245" s="6" t="n">
        <f aca="false">ROUND(Veterancy_XP!$E$5*C1245,1)</f>
        <v>223.9</v>
      </c>
      <c r="E1245" s="6" t="n">
        <f aca="false">ROUND(B1245/D1245,2)</f>
        <v>2</v>
      </c>
      <c r="F1245" s="6" t="n">
        <f aca="false">ROUND(F1244+E1245,2)</f>
        <v>1748.19</v>
      </c>
    </row>
    <row r="1246" customFormat="false" ht="15" hidden="false" customHeight="true" outlineLevel="0" collapsed="false">
      <c r="A1246" s="6" t="n">
        <v>1244</v>
      </c>
      <c r="B1246" s="6" t="n">
        <f aca="false">ROUND(Veterancy_XP!$B$5*(A1246+1)^Veterancy_XP!$B$6,0)</f>
        <v>447</v>
      </c>
      <c r="C1246" s="6" t="n">
        <f aca="false">ROUND(1/(A1246+1)^Veterancy_XP!$E$6,4)</f>
        <v>0.2239</v>
      </c>
      <c r="D1246" s="6" t="n">
        <f aca="false">ROUND(Veterancy_XP!$E$5*C1246,1)</f>
        <v>223.9</v>
      </c>
      <c r="E1246" s="6" t="n">
        <f aca="false">ROUND(B1246/D1246,2)</f>
        <v>2</v>
      </c>
      <c r="F1246" s="6" t="n">
        <f aca="false">ROUND(F1245+E1246,2)</f>
        <v>1750.19</v>
      </c>
    </row>
    <row r="1247" customFormat="false" ht="15" hidden="false" customHeight="true" outlineLevel="0" collapsed="false">
      <c r="A1247" s="6" t="n">
        <v>1245</v>
      </c>
      <c r="B1247" s="6" t="n">
        <f aca="false">ROUND(Veterancy_XP!$B$5*(A1247+1)^Veterancy_XP!$B$6,0)</f>
        <v>447</v>
      </c>
      <c r="C1247" s="6" t="n">
        <f aca="false">ROUND(1/(A1247+1)^Veterancy_XP!$E$6,4)</f>
        <v>0.2238</v>
      </c>
      <c r="D1247" s="6" t="n">
        <f aca="false">ROUND(Veterancy_XP!$E$5*C1247,1)</f>
        <v>223.8</v>
      </c>
      <c r="E1247" s="6" t="n">
        <f aca="false">ROUND(B1247/D1247,2)</f>
        <v>2</v>
      </c>
      <c r="F1247" s="6" t="n">
        <f aca="false">ROUND(F1246+E1247,2)</f>
        <v>1752.19</v>
      </c>
    </row>
    <row r="1248" customFormat="false" ht="15" hidden="false" customHeight="true" outlineLevel="0" collapsed="false">
      <c r="A1248" s="6" t="n">
        <v>1246</v>
      </c>
      <c r="B1248" s="6" t="n">
        <f aca="false">ROUND(Veterancy_XP!$B$5*(A1248+1)^Veterancy_XP!$B$6,0)</f>
        <v>447</v>
      </c>
      <c r="C1248" s="6" t="n">
        <f aca="false">ROUND(1/(A1248+1)^Veterancy_XP!$E$6,4)</f>
        <v>0.2238</v>
      </c>
      <c r="D1248" s="6" t="n">
        <f aca="false">ROUND(Veterancy_XP!$E$5*C1248,1)</f>
        <v>223.8</v>
      </c>
      <c r="E1248" s="6" t="n">
        <f aca="false">ROUND(B1248/D1248,2)</f>
        <v>2</v>
      </c>
      <c r="F1248" s="6" t="n">
        <f aca="false">ROUND(F1247+E1248,2)</f>
        <v>1754.19</v>
      </c>
    </row>
    <row r="1249" customFormat="false" ht="15" hidden="false" customHeight="true" outlineLevel="0" collapsed="false">
      <c r="A1249" s="6" t="n">
        <v>1247</v>
      </c>
      <c r="B1249" s="6" t="n">
        <f aca="false">ROUND(Veterancy_XP!$B$5*(A1249+1)^Veterancy_XP!$B$6,0)</f>
        <v>447</v>
      </c>
      <c r="C1249" s="6" t="n">
        <f aca="false">ROUND(1/(A1249+1)^Veterancy_XP!$E$6,4)</f>
        <v>0.2238</v>
      </c>
      <c r="D1249" s="6" t="n">
        <f aca="false">ROUND(Veterancy_XP!$E$5*C1249,1)</f>
        <v>223.8</v>
      </c>
      <c r="E1249" s="6" t="n">
        <f aca="false">ROUND(B1249/D1249,2)</f>
        <v>2</v>
      </c>
      <c r="F1249" s="6" t="n">
        <f aca="false">ROUND(F1248+E1249,2)</f>
        <v>1756.19</v>
      </c>
    </row>
    <row r="1250" customFormat="false" ht="15" hidden="false" customHeight="true" outlineLevel="0" collapsed="false">
      <c r="A1250" s="6" t="n">
        <v>1248</v>
      </c>
      <c r="B1250" s="6" t="n">
        <f aca="false">ROUND(Veterancy_XP!$B$5*(A1250+1)^Veterancy_XP!$B$6,0)</f>
        <v>447</v>
      </c>
      <c r="C1250" s="6" t="n">
        <f aca="false">ROUND(1/(A1250+1)^Veterancy_XP!$E$6,4)</f>
        <v>0.2237</v>
      </c>
      <c r="D1250" s="6" t="n">
        <f aca="false">ROUND(Veterancy_XP!$E$5*C1250,1)</f>
        <v>223.7</v>
      </c>
      <c r="E1250" s="6" t="n">
        <f aca="false">ROUND(B1250/D1250,2)</f>
        <v>2</v>
      </c>
      <c r="F1250" s="6" t="n">
        <f aca="false">ROUND(F1249+E1250,2)</f>
        <v>1758.19</v>
      </c>
    </row>
    <row r="1251" customFormat="false" ht="15" hidden="false" customHeight="true" outlineLevel="0" collapsed="false">
      <c r="A1251" s="6" t="n">
        <v>1249</v>
      </c>
      <c r="B1251" s="6" t="n">
        <f aca="false">ROUND(Veterancy_XP!$B$5*(A1251+1)^Veterancy_XP!$B$6,0)</f>
        <v>447</v>
      </c>
      <c r="C1251" s="6" t="n">
        <f aca="false">ROUND(1/(A1251+1)^Veterancy_XP!$E$6,4)</f>
        <v>0.2237</v>
      </c>
      <c r="D1251" s="6" t="n">
        <f aca="false">ROUND(Veterancy_XP!$E$5*C1251,1)</f>
        <v>223.7</v>
      </c>
      <c r="E1251" s="6" t="n">
        <f aca="false">ROUND(B1251/D1251,2)</f>
        <v>2</v>
      </c>
      <c r="F1251" s="6" t="n">
        <f aca="false">ROUND(F1250+E1251,2)</f>
        <v>1760.19</v>
      </c>
    </row>
    <row r="1252" customFormat="false" ht="15" hidden="false" customHeight="true" outlineLevel="0" collapsed="false">
      <c r="A1252" s="6" t="n">
        <v>1250</v>
      </c>
      <c r="B1252" s="6" t="n">
        <f aca="false">ROUND(Veterancy_XP!$B$5*(A1252+1)^Veterancy_XP!$B$6,0)</f>
        <v>447</v>
      </c>
      <c r="C1252" s="6" t="n">
        <f aca="false">ROUND(1/(A1252+1)^Veterancy_XP!$E$6,4)</f>
        <v>0.2237</v>
      </c>
      <c r="D1252" s="6" t="n">
        <f aca="false">ROUND(Veterancy_XP!$E$5*C1252,1)</f>
        <v>223.7</v>
      </c>
      <c r="E1252" s="6" t="n">
        <f aca="false">ROUND(B1252/D1252,2)</f>
        <v>2</v>
      </c>
      <c r="F1252" s="6" t="n">
        <f aca="false">ROUND(F1251+E1252,2)</f>
        <v>1762.19</v>
      </c>
    </row>
    <row r="1253" customFormat="false" ht="15" hidden="false" customHeight="true" outlineLevel="0" collapsed="false">
      <c r="A1253" s="6" t="n">
        <v>1251</v>
      </c>
      <c r="B1253" s="6" t="n">
        <f aca="false">ROUND(Veterancy_XP!$B$5*(A1253+1)^Veterancy_XP!$B$6,0)</f>
        <v>447</v>
      </c>
      <c r="C1253" s="6" t="n">
        <f aca="false">ROUND(1/(A1253+1)^Veterancy_XP!$E$6,4)</f>
        <v>0.2236</v>
      </c>
      <c r="D1253" s="6" t="n">
        <f aca="false">ROUND(Veterancy_XP!$E$5*C1253,1)</f>
        <v>223.6</v>
      </c>
      <c r="E1253" s="6" t="n">
        <f aca="false">ROUND(B1253/D1253,2)</f>
        <v>2</v>
      </c>
      <c r="F1253" s="6" t="n">
        <f aca="false">ROUND(F1252+E1253,2)</f>
        <v>1764.19</v>
      </c>
    </row>
    <row r="1254" customFormat="false" ht="15" hidden="false" customHeight="true" outlineLevel="0" collapsed="false">
      <c r="A1254" s="6" t="n">
        <v>1252</v>
      </c>
      <c r="B1254" s="6" t="n">
        <f aca="false">ROUND(Veterancy_XP!$B$5*(A1254+1)^Veterancy_XP!$B$6,0)</f>
        <v>447</v>
      </c>
      <c r="C1254" s="6" t="n">
        <f aca="false">ROUND(1/(A1254+1)^Veterancy_XP!$E$6,4)</f>
        <v>0.2236</v>
      </c>
      <c r="D1254" s="6" t="n">
        <f aca="false">ROUND(Veterancy_XP!$E$5*C1254,1)</f>
        <v>223.6</v>
      </c>
      <c r="E1254" s="6" t="n">
        <f aca="false">ROUND(B1254/D1254,2)</f>
        <v>2</v>
      </c>
      <c r="F1254" s="6" t="n">
        <f aca="false">ROUND(F1253+E1254,2)</f>
        <v>1766.19</v>
      </c>
    </row>
    <row r="1255" customFormat="false" ht="15" hidden="false" customHeight="true" outlineLevel="0" collapsed="false">
      <c r="A1255" s="6" t="n">
        <v>1253</v>
      </c>
      <c r="B1255" s="6" t="n">
        <f aca="false">ROUND(Veterancy_XP!$B$5*(A1255+1)^Veterancy_XP!$B$6,0)</f>
        <v>447</v>
      </c>
      <c r="C1255" s="6" t="n">
        <f aca="false">ROUND(1/(A1255+1)^Veterancy_XP!$E$6,4)</f>
        <v>0.2235</v>
      </c>
      <c r="D1255" s="6" t="n">
        <f aca="false">ROUND(Veterancy_XP!$E$5*C1255,1)</f>
        <v>223.5</v>
      </c>
      <c r="E1255" s="6" t="n">
        <f aca="false">ROUND(B1255/D1255,2)</f>
        <v>2</v>
      </c>
      <c r="F1255" s="6" t="n">
        <f aca="false">ROUND(F1254+E1255,2)</f>
        <v>1768.19</v>
      </c>
    </row>
    <row r="1256" customFormat="false" ht="15" hidden="false" customHeight="true" outlineLevel="0" collapsed="false">
      <c r="A1256" s="6" t="n">
        <v>1254</v>
      </c>
      <c r="B1256" s="6" t="n">
        <f aca="false">ROUND(Veterancy_XP!$B$5*(A1256+1)^Veterancy_XP!$B$6,0)</f>
        <v>447</v>
      </c>
      <c r="C1256" s="6" t="n">
        <f aca="false">ROUND(1/(A1256+1)^Veterancy_XP!$E$6,4)</f>
        <v>0.2235</v>
      </c>
      <c r="D1256" s="6" t="n">
        <f aca="false">ROUND(Veterancy_XP!$E$5*C1256,1)</f>
        <v>223.5</v>
      </c>
      <c r="E1256" s="6" t="n">
        <f aca="false">ROUND(B1256/D1256,2)</f>
        <v>2</v>
      </c>
      <c r="F1256" s="6" t="n">
        <f aca="false">ROUND(F1255+E1256,2)</f>
        <v>1770.19</v>
      </c>
    </row>
    <row r="1257" customFormat="false" ht="15" hidden="false" customHeight="true" outlineLevel="0" collapsed="false">
      <c r="A1257" s="6" t="n">
        <v>1255</v>
      </c>
      <c r="B1257" s="6" t="n">
        <f aca="false">ROUND(Veterancy_XP!$B$5*(A1257+1)^Veterancy_XP!$B$6,0)</f>
        <v>447</v>
      </c>
      <c r="C1257" s="6" t="n">
        <f aca="false">ROUND(1/(A1257+1)^Veterancy_XP!$E$6,4)</f>
        <v>0.2235</v>
      </c>
      <c r="D1257" s="6" t="n">
        <f aca="false">ROUND(Veterancy_XP!$E$5*C1257,1)</f>
        <v>223.5</v>
      </c>
      <c r="E1257" s="6" t="n">
        <f aca="false">ROUND(B1257/D1257,2)</f>
        <v>2</v>
      </c>
      <c r="F1257" s="6" t="n">
        <f aca="false">ROUND(F1256+E1257,2)</f>
        <v>1772.19</v>
      </c>
    </row>
    <row r="1258" customFormat="false" ht="15" hidden="false" customHeight="true" outlineLevel="0" collapsed="false">
      <c r="A1258" s="6" t="n">
        <v>1256</v>
      </c>
      <c r="B1258" s="6" t="n">
        <f aca="false">ROUND(Veterancy_XP!$B$5*(A1258+1)^Veterancy_XP!$B$6,0)</f>
        <v>448</v>
      </c>
      <c r="C1258" s="6" t="n">
        <f aca="false">ROUND(1/(A1258+1)^Veterancy_XP!$E$6,4)</f>
        <v>0.2234</v>
      </c>
      <c r="D1258" s="6" t="n">
        <f aca="false">ROUND(Veterancy_XP!$E$5*C1258,1)</f>
        <v>223.4</v>
      </c>
      <c r="E1258" s="6" t="n">
        <f aca="false">ROUND(B1258/D1258,2)</f>
        <v>2.01</v>
      </c>
      <c r="F1258" s="6" t="n">
        <f aca="false">ROUND(F1257+E1258,2)</f>
        <v>1774.2</v>
      </c>
    </row>
    <row r="1259" customFormat="false" ht="15" hidden="false" customHeight="true" outlineLevel="0" collapsed="false">
      <c r="A1259" s="6" t="n">
        <v>1257</v>
      </c>
      <c r="B1259" s="6" t="n">
        <f aca="false">ROUND(Veterancy_XP!$B$5*(A1259+1)^Veterancy_XP!$B$6,0)</f>
        <v>448</v>
      </c>
      <c r="C1259" s="6" t="n">
        <f aca="false">ROUND(1/(A1259+1)^Veterancy_XP!$E$6,4)</f>
        <v>0.2234</v>
      </c>
      <c r="D1259" s="6" t="n">
        <f aca="false">ROUND(Veterancy_XP!$E$5*C1259,1)</f>
        <v>223.4</v>
      </c>
      <c r="E1259" s="6" t="n">
        <f aca="false">ROUND(B1259/D1259,2)</f>
        <v>2.01</v>
      </c>
      <c r="F1259" s="6" t="n">
        <f aca="false">ROUND(F1258+E1259,2)</f>
        <v>1776.21</v>
      </c>
    </row>
    <row r="1260" customFormat="false" ht="15" hidden="false" customHeight="true" outlineLevel="0" collapsed="false">
      <c r="A1260" s="6" t="n">
        <v>1258</v>
      </c>
      <c r="B1260" s="6" t="n">
        <f aca="false">ROUND(Veterancy_XP!$B$5*(A1260+1)^Veterancy_XP!$B$6,0)</f>
        <v>448</v>
      </c>
      <c r="C1260" s="6" t="n">
        <f aca="false">ROUND(1/(A1260+1)^Veterancy_XP!$E$6,4)</f>
        <v>0.2234</v>
      </c>
      <c r="D1260" s="6" t="n">
        <f aca="false">ROUND(Veterancy_XP!$E$5*C1260,1)</f>
        <v>223.4</v>
      </c>
      <c r="E1260" s="6" t="n">
        <f aca="false">ROUND(B1260/D1260,2)</f>
        <v>2.01</v>
      </c>
      <c r="F1260" s="6" t="n">
        <f aca="false">ROUND(F1259+E1260,2)</f>
        <v>1778.22</v>
      </c>
    </row>
    <row r="1261" customFormat="false" ht="15" hidden="false" customHeight="true" outlineLevel="0" collapsed="false">
      <c r="A1261" s="6" t="n">
        <v>1259</v>
      </c>
      <c r="B1261" s="6" t="n">
        <f aca="false">ROUND(Veterancy_XP!$B$5*(A1261+1)^Veterancy_XP!$B$6,0)</f>
        <v>448</v>
      </c>
      <c r="C1261" s="6" t="n">
        <f aca="false">ROUND(1/(A1261+1)^Veterancy_XP!$E$6,4)</f>
        <v>0.2233</v>
      </c>
      <c r="D1261" s="6" t="n">
        <f aca="false">ROUND(Veterancy_XP!$E$5*C1261,1)</f>
        <v>223.3</v>
      </c>
      <c r="E1261" s="6" t="n">
        <f aca="false">ROUND(B1261/D1261,2)</f>
        <v>2.01</v>
      </c>
      <c r="F1261" s="6" t="n">
        <f aca="false">ROUND(F1260+E1261,2)</f>
        <v>1780.23</v>
      </c>
    </row>
    <row r="1262" customFormat="false" ht="15" hidden="false" customHeight="true" outlineLevel="0" collapsed="false">
      <c r="A1262" s="6" t="n">
        <v>1260</v>
      </c>
      <c r="B1262" s="6" t="n">
        <f aca="false">ROUND(Veterancy_XP!$B$5*(A1262+1)^Veterancy_XP!$B$6,0)</f>
        <v>448</v>
      </c>
      <c r="C1262" s="6" t="n">
        <f aca="false">ROUND(1/(A1262+1)^Veterancy_XP!$E$6,4)</f>
        <v>0.2233</v>
      </c>
      <c r="D1262" s="6" t="n">
        <f aca="false">ROUND(Veterancy_XP!$E$5*C1262,1)</f>
        <v>223.3</v>
      </c>
      <c r="E1262" s="6" t="n">
        <f aca="false">ROUND(B1262/D1262,2)</f>
        <v>2.01</v>
      </c>
      <c r="F1262" s="6" t="n">
        <f aca="false">ROUND(F1261+E1262,2)</f>
        <v>1782.24</v>
      </c>
    </row>
    <row r="1263" customFormat="false" ht="15" hidden="false" customHeight="true" outlineLevel="0" collapsed="false">
      <c r="A1263" s="6" t="n">
        <v>1261</v>
      </c>
      <c r="B1263" s="6" t="n">
        <f aca="false">ROUND(Veterancy_XP!$B$5*(A1263+1)^Veterancy_XP!$B$6,0)</f>
        <v>448</v>
      </c>
      <c r="C1263" s="6" t="n">
        <f aca="false">ROUND(1/(A1263+1)^Veterancy_XP!$E$6,4)</f>
        <v>0.2232</v>
      </c>
      <c r="D1263" s="6" t="n">
        <f aca="false">ROUND(Veterancy_XP!$E$5*C1263,1)</f>
        <v>223.2</v>
      </c>
      <c r="E1263" s="6" t="n">
        <f aca="false">ROUND(B1263/D1263,2)</f>
        <v>2.01</v>
      </c>
      <c r="F1263" s="6" t="n">
        <f aca="false">ROUND(F1262+E1263,2)</f>
        <v>1784.25</v>
      </c>
    </row>
    <row r="1264" customFormat="false" ht="15" hidden="false" customHeight="true" outlineLevel="0" collapsed="false">
      <c r="A1264" s="6" t="n">
        <v>1262</v>
      </c>
      <c r="B1264" s="6" t="n">
        <f aca="false">ROUND(Veterancy_XP!$B$5*(A1264+1)^Veterancy_XP!$B$6,0)</f>
        <v>448</v>
      </c>
      <c r="C1264" s="6" t="n">
        <f aca="false">ROUND(1/(A1264+1)^Veterancy_XP!$E$6,4)</f>
        <v>0.2232</v>
      </c>
      <c r="D1264" s="6" t="n">
        <f aca="false">ROUND(Veterancy_XP!$E$5*C1264,1)</f>
        <v>223.2</v>
      </c>
      <c r="E1264" s="6" t="n">
        <f aca="false">ROUND(B1264/D1264,2)</f>
        <v>2.01</v>
      </c>
      <c r="F1264" s="6" t="n">
        <f aca="false">ROUND(F1263+E1264,2)</f>
        <v>1786.26</v>
      </c>
    </row>
    <row r="1265" customFormat="false" ht="15" hidden="false" customHeight="true" outlineLevel="0" collapsed="false">
      <c r="A1265" s="6" t="n">
        <v>1263</v>
      </c>
      <c r="B1265" s="6" t="n">
        <f aca="false">ROUND(Veterancy_XP!$B$5*(A1265+1)^Veterancy_XP!$B$6,0)</f>
        <v>448</v>
      </c>
      <c r="C1265" s="6" t="n">
        <f aca="false">ROUND(1/(A1265+1)^Veterancy_XP!$E$6,4)</f>
        <v>0.2232</v>
      </c>
      <c r="D1265" s="6" t="n">
        <f aca="false">ROUND(Veterancy_XP!$E$5*C1265,1)</f>
        <v>223.2</v>
      </c>
      <c r="E1265" s="6" t="n">
        <f aca="false">ROUND(B1265/D1265,2)</f>
        <v>2.01</v>
      </c>
      <c r="F1265" s="6" t="n">
        <f aca="false">ROUND(F1264+E1265,2)</f>
        <v>1788.27</v>
      </c>
    </row>
    <row r="1266" customFormat="false" ht="15" hidden="false" customHeight="true" outlineLevel="0" collapsed="false">
      <c r="A1266" s="6" t="n">
        <v>1264</v>
      </c>
      <c r="B1266" s="6" t="n">
        <f aca="false">ROUND(Veterancy_XP!$B$5*(A1266+1)^Veterancy_XP!$B$6,0)</f>
        <v>448</v>
      </c>
      <c r="C1266" s="6" t="n">
        <f aca="false">ROUND(1/(A1266+1)^Veterancy_XP!$E$6,4)</f>
        <v>0.2231</v>
      </c>
      <c r="D1266" s="6" t="n">
        <f aca="false">ROUND(Veterancy_XP!$E$5*C1266,1)</f>
        <v>223.1</v>
      </c>
      <c r="E1266" s="6" t="n">
        <f aca="false">ROUND(B1266/D1266,2)</f>
        <v>2.01</v>
      </c>
      <c r="F1266" s="6" t="n">
        <f aca="false">ROUND(F1265+E1266,2)</f>
        <v>1790.28</v>
      </c>
    </row>
    <row r="1267" customFormat="false" ht="15" hidden="false" customHeight="true" outlineLevel="0" collapsed="false">
      <c r="A1267" s="6" t="n">
        <v>1265</v>
      </c>
      <c r="B1267" s="6" t="n">
        <f aca="false">ROUND(Veterancy_XP!$B$5*(A1267+1)^Veterancy_XP!$B$6,0)</f>
        <v>448</v>
      </c>
      <c r="C1267" s="6" t="n">
        <f aca="false">ROUND(1/(A1267+1)^Veterancy_XP!$E$6,4)</f>
        <v>0.2231</v>
      </c>
      <c r="D1267" s="6" t="n">
        <f aca="false">ROUND(Veterancy_XP!$E$5*C1267,1)</f>
        <v>223.1</v>
      </c>
      <c r="E1267" s="6" t="n">
        <f aca="false">ROUND(B1267/D1267,2)</f>
        <v>2.01</v>
      </c>
      <c r="F1267" s="6" t="n">
        <f aca="false">ROUND(F1266+E1267,2)</f>
        <v>1792.29</v>
      </c>
    </row>
    <row r="1268" customFormat="false" ht="15" hidden="false" customHeight="true" outlineLevel="0" collapsed="false">
      <c r="A1268" s="6" t="n">
        <v>1266</v>
      </c>
      <c r="B1268" s="6" t="n">
        <f aca="false">ROUND(Veterancy_XP!$B$5*(A1268+1)^Veterancy_XP!$B$6,0)</f>
        <v>448</v>
      </c>
      <c r="C1268" s="6" t="n">
        <f aca="false">ROUND(1/(A1268+1)^Veterancy_XP!$E$6,4)</f>
        <v>0.2231</v>
      </c>
      <c r="D1268" s="6" t="n">
        <f aca="false">ROUND(Veterancy_XP!$E$5*C1268,1)</f>
        <v>223.1</v>
      </c>
      <c r="E1268" s="6" t="n">
        <f aca="false">ROUND(B1268/D1268,2)</f>
        <v>2.01</v>
      </c>
      <c r="F1268" s="6" t="n">
        <f aca="false">ROUND(F1267+E1268,2)</f>
        <v>1794.3</v>
      </c>
    </row>
    <row r="1269" customFormat="false" ht="15" hidden="false" customHeight="true" outlineLevel="0" collapsed="false">
      <c r="A1269" s="6" t="n">
        <v>1267</v>
      </c>
      <c r="B1269" s="6" t="n">
        <f aca="false">ROUND(Veterancy_XP!$B$5*(A1269+1)^Veterancy_XP!$B$6,0)</f>
        <v>448</v>
      </c>
      <c r="C1269" s="6" t="n">
        <f aca="false">ROUND(1/(A1269+1)^Veterancy_XP!$E$6,4)</f>
        <v>0.223</v>
      </c>
      <c r="D1269" s="6" t="n">
        <f aca="false">ROUND(Veterancy_XP!$E$5*C1269,1)</f>
        <v>223</v>
      </c>
      <c r="E1269" s="6" t="n">
        <f aca="false">ROUND(B1269/D1269,2)</f>
        <v>2.01</v>
      </c>
      <c r="F1269" s="6" t="n">
        <f aca="false">ROUND(F1268+E1269,2)</f>
        <v>1796.31</v>
      </c>
    </row>
    <row r="1270" customFormat="false" ht="15" hidden="false" customHeight="true" outlineLevel="0" collapsed="false">
      <c r="A1270" s="6" t="n">
        <v>1268</v>
      </c>
      <c r="B1270" s="6" t="n">
        <f aca="false">ROUND(Veterancy_XP!$B$5*(A1270+1)^Veterancy_XP!$B$6,0)</f>
        <v>448</v>
      </c>
      <c r="C1270" s="6" t="n">
        <f aca="false">ROUND(1/(A1270+1)^Veterancy_XP!$E$6,4)</f>
        <v>0.223</v>
      </c>
      <c r="D1270" s="6" t="n">
        <f aca="false">ROUND(Veterancy_XP!$E$5*C1270,1)</f>
        <v>223</v>
      </c>
      <c r="E1270" s="6" t="n">
        <f aca="false">ROUND(B1270/D1270,2)</f>
        <v>2.01</v>
      </c>
      <c r="F1270" s="6" t="n">
        <f aca="false">ROUND(F1269+E1270,2)</f>
        <v>1798.32</v>
      </c>
    </row>
    <row r="1271" customFormat="false" ht="15" hidden="false" customHeight="true" outlineLevel="0" collapsed="false">
      <c r="A1271" s="6" t="n">
        <v>1269</v>
      </c>
      <c r="B1271" s="6" t="n">
        <f aca="false">ROUND(Veterancy_XP!$B$5*(A1271+1)^Veterancy_XP!$B$6,0)</f>
        <v>449</v>
      </c>
      <c r="C1271" s="6" t="n">
        <f aca="false">ROUND(1/(A1271+1)^Veterancy_XP!$E$6,4)</f>
        <v>0.2229</v>
      </c>
      <c r="D1271" s="6" t="n">
        <f aca="false">ROUND(Veterancy_XP!$E$5*C1271,1)</f>
        <v>222.9</v>
      </c>
      <c r="E1271" s="6" t="n">
        <f aca="false">ROUND(B1271/D1271,2)</f>
        <v>2.01</v>
      </c>
      <c r="F1271" s="6" t="n">
        <f aca="false">ROUND(F1270+E1271,2)</f>
        <v>1800.33</v>
      </c>
    </row>
    <row r="1272" customFormat="false" ht="15" hidden="false" customHeight="true" outlineLevel="0" collapsed="false">
      <c r="A1272" s="6" t="n">
        <v>1270</v>
      </c>
      <c r="B1272" s="6" t="n">
        <f aca="false">ROUND(Veterancy_XP!$B$5*(A1272+1)^Veterancy_XP!$B$6,0)</f>
        <v>449</v>
      </c>
      <c r="C1272" s="6" t="n">
        <f aca="false">ROUND(1/(A1272+1)^Veterancy_XP!$E$6,4)</f>
        <v>0.2229</v>
      </c>
      <c r="D1272" s="6" t="n">
        <f aca="false">ROUND(Veterancy_XP!$E$5*C1272,1)</f>
        <v>222.9</v>
      </c>
      <c r="E1272" s="6" t="n">
        <f aca="false">ROUND(B1272/D1272,2)</f>
        <v>2.01</v>
      </c>
      <c r="F1272" s="6" t="n">
        <f aca="false">ROUND(F1271+E1272,2)</f>
        <v>1802.34</v>
      </c>
    </row>
    <row r="1273" customFormat="false" ht="15" hidden="false" customHeight="true" outlineLevel="0" collapsed="false">
      <c r="A1273" s="6" t="n">
        <v>1271</v>
      </c>
      <c r="B1273" s="6" t="n">
        <f aca="false">ROUND(Veterancy_XP!$B$5*(A1273+1)^Veterancy_XP!$B$6,0)</f>
        <v>449</v>
      </c>
      <c r="C1273" s="6" t="n">
        <f aca="false">ROUND(1/(A1273+1)^Veterancy_XP!$E$6,4)</f>
        <v>0.2229</v>
      </c>
      <c r="D1273" s="6" t="n">
        <f aca="false">ROUND(Veterancy_XP!$E$5*C1273,1)</f>
        <v>222.9</v>
      </c>
      <c r="E1273" s="6" t="n">
        <f aca="false">ROUND(B1273/D1273,2)</f>
        <v>2.01</v>
      </c>
      <c r="F1273" s="6" t="n">
        <f aca="false">ROUND(F1272+E1273,2)</f>
        <v>1804.35</v>
      </c>
    </row>
    <row r="1274" customFormat="false" ht="15" hidden="false" customHeight="true" outlineLevel="0" collapsed="false">
      <c r="A1274" s="6" t="n">
        <v>1272</v>
      </c>
      <c r="B1274" s="6" t="n">
        <f aca="false">ROUND(Veterancy_XP!$B$5*(A1274+1)^Veterancy_XP!$B$6,0)</f>
        <v>449</v>
      </c>
      <c r="C1274" s="6" t="n">
        <f aca="false">ROUND(1/(A1274+1)^Veterancy_XP!$E$6,4)</f>
        <v>0.2228</v>
      </c>
      <c r="D1274" s="6" t="n">
        <f aca="false">ROUND(Veterancy_XP!$E$5*C1274,1)</f>
        <v>222.8</v>
      </c>
      <c r="E1274" s="6" t="n">
        <f aca="false">ROUND(B1274/D1274,2)</f>
        <v>2.02</v>
      </c>
      <c r="F1274" s="6" t="n">
        <f aca="false">ROUND(F1273+E1274,2)</f>
        <v>1806.37</v>
      </c>
    </row>
    <row r="1275" customFormat="false" ht="15" hidden="false" customHeight="true" outlineLevel="0" collapsed="false">
      <c r="A1275" s="6" t="n">
        <v>1273</v>
      </c>
      <c r="B1275" s="6" t="n">
        <f aca="false">ROUND(Veterancy_XP!$B$5*(A1275+1)^Veterancy_XP!$B$6,0)</f>
        <v>449</v>
      </c>
      <c r="C1275" s="6" t="n">
        <f aca="false">ROUND(1/(A1275+1)^Veterancy_XP!$E$6,4)</f>
        <v>0.2228</v>
      </c>
      <c r="D1275" s="6" t="n">
        <f aca="false">ROUND(Veterancy_XP!$E$5*C1275,1)</f>
        <v>222.8</v>
      </c>
      <c r="E1275" s="6" t="n">
        <f aca="false">ROUND(B1275/D1275,2)</f>
        <v>2.02</v>
      </c>
      <c r="F1275" s="6" t="n">
        <f aca="false">ROUND(F1274+E1275,2)</f>
        <v>1808.39</v>
      </c>
    </row>
    <row r="1276" customFormat="false" ht="15" hidden="false" customHeight="true" outlineLevel="0" collapsed="false">
      <c r="A1276" s="6" t="n">
        <v>1274</v>
      </c>
      <c r="B1276" s="6" t="n">
        <f aca="false">ROUND(Veterancy_XP!$B$5*(A1276+1)^Veterancy_XP!$B$6,0)</f>
        <v>449</v>
      </c>
      <c r="C1276" s="6" t="n">
        <f aca="false">ROUND(1/(A1276+1)^Veterancy_XP!$E$6,4)</f>
        <v>0.2228</v>
      </c>
      <c r="D1276" s="6" t="n">
        <f aca="false">ROUND(Veterancy_XP!$E$5*C1276,1)</f>
        <v>222.8</v>
      </c>
      <c r="E1276" s="6" t="n">
        <f aca="false">ROUND(B1276/D1276,2)</f>
        <v>2.02</v>
      </c>
      <c r="F1276" s="6" t="n">
        <f aca="false">ROUND(F1275+E1276,2)</f>
        <v>1810.41</v>
      </c>
    </row>
    <row r="1277" customFormat="false" ht="15" hidden="false" customHeight="true" outlineLevel="0" collapsed="false">
      <c r="A1277" s="6" t="n">
        <v>1275</v>
      </c>
      <c r="B1277" s="6" t="n">
        <f aca="false">ROUND(Veterancy_XP!$B$5*(A1277+1)^Veterancy_XP!$B$6,0)</f>
        <v>449</v>
      </c>
      <c r="C1277" s="6" t="n">
        <f aca="false">ROUND(1/(A1277+1)^Veterancy_XP!$E$6,4)</f>
        <v>0.2227</v>
      </c>
      <c r="D1277" s="6" t="n">
        <f aca="false">ROUND(Veterancy_XP!$E$5*C1277,1)</f>
        <v>222.7</v>
      </c>
      <c r="E1277" s="6" t="n">
        <f aca="false">ROUND(B1277/D1277,2)</f>
        <v>2.02</v>
      </c>
      <c r="F1277" s="6" t="n">
        <f aca="false">ROUND(F1276+E1277,2)</f>
        <v>1812.43</v>
      </c>
    </row>
    <row r="1278" customFormat="false" ht="15" hidden="false" customHeight="true" outlineLevel="0" collapsed="false">
      <c r="A1278" s="6" t="n">
        <v>1276</v>
      </c>
      <c r="B1278" s="6" t="n">
        <f aca="false">ROUND(Veterancy_XP!$B$5*(A1278+1)^Veterancy_XP!$B$6,0)</f>
        <v>449</v>
      </c>
      <c r="C1278" s="6" t="n">
        <f aca="false">ROUND(1/(A1278+1)^Veterancy_XP!$E$6,4)</f>
        <v>0.2227</v>
      </c>
      <c r="D1278" s="6" t="n">
        <f aca="false">ROUND(Veterancy_XP!$E$5*C1278,1)</f>
        <v>222.7</v>
      </c>
      <c r="E1278" s="6" t="n">
        <f aca="false">ROUND(B1278/D1278,2)</f>
        <v>2.02</v>
      </c>
      <c r="F1278" s="6" t="n">
        <f aca="false">ROUND(F1277+E1278,2)</f>
        <v>1814.45</v>
      </c>
    </row>
    <row r="1279" customFormat="false" ht="15" hidden="false" customHeight="true" outlineLevel="0" collapsed="false">
      <c r="A1279" s="6" t="n">
        <v>1277</v>
      </c>
      <c r="B1279" s="6" t="n">
        <f aca="false">ROUND(Veterancy_XP!$B$5*(A1279+1)^Veterancy_XP!$B$6,0)</f>
        <v>449</v>
      </c>
      <c r="C1279" s="6" t="n">
        <f aca="false">ROUND(1/(A1279+1)^Veterancy_XP!$E$6,4)</f>
        <v>0.2227</v>
      </c>
      <c r="D1279" s="6" t="n">
        <f aca="false">ROUND(Veterancy_XP!$E$5*C1279,1)</f>
        <v>222.7</v>
      </c>
      <c r="E1279" s="6" t="n">
        <f aca="false">ROUND(B1279/D1279,2)</f>
        <v>2.02</v>
      </c>
      <c r="F1279" s="6" t="n">
        <f aca="false">ROUND(F1278+E1279,2)</f>
        <v>1816.47</v>
      </c>
    </row>
    <row r="1280" customFormat="false" ht="15" hidden="false" customHeight="true" outlineLevel="0" collapsed="false">
      <c r="A1280" s="6" t="n">
        <v>1278</v>
      </c>
      <c r="B1280" s="6" t="n">
        <f aca="false">ROUND(Veterancy_XP!$B$5*(A1280+1)^Veterancy_XP!$B$6,0)</f>
        <v>449</v>
      </c>
      <c r="C1280" s="6" t="n">
        <f aca="false">ROUND(1/(A1280+1)^Veterancy_XP!$E$6,4)</f>
        <v>0.2226</v>
      </c>
      <c r="D1280" s="6" t="n">
        <f aca="false">ROUND(Veterancy_XP!$E$5*C1280,1)</f>
        <v>222.6</v>
      </c>
      <c r="E1280" s="6" t="n">
        <f aca="false">ROUND(B1280/D1280,2)</f>
        <v>2.02</v>
      </c>
      <c r="F1280" s="6" t="n">
        <f aca="false">ROUND(F1279+E1280,2)</f>
        <v>1818.49</v>
      </c>
    </row>
    <row r="1281" customFormat="false" ht="15" hidden="false" customHeight="true" outlineLevel="0" collapsed="false">
      <c r="A1281" s="6" t="n">
        <v>1279</v>
      </c>
      <c r="B1281" s="6" t="n">
        <f aca="false">ROUND(Veterancy_XP!$B$5*(A1281+1)^Veterancy_XP!$B$6,0)</f>
        <v>449</v>
      </c>
      <c r="C1281" s="6" t="n">
        <f aca="false">ROUND(1/(A1281+1)^Veterancy_XP!$E$6,4)</f>
        <v>0.2226</v>
      </c>
      <c r="D1281" s="6" t="n">
        <f aca="false">ROUND(Veterancy_XP!$E$5*C1281,1)</f>
        <v>222.6</v>
      </c>
      <c r="E1281" s="6" t="n">
        <f aca="false">ROUND(B1281/D1281,2)</f>
        <v>2.02</v>
      </c>
      <c r="F1281" s="6" t="n">
        <f aca="false">ROUND(F1280+E1281,2)</f>
        <v>1820.51</v>
      </c>
    </row>
    <row r="1282" customFormat="false" ht="15" hidden="false" customHeight="true" outlineLevel="0" collapsed="false">
      <c r="A1282" s="6" t="n">
        <v>1280</v>
      </c>
      <c r="B1282" s="6" t="n">
        <f aca="false">ROUND(Veterancy_XP!$B$5*(A1282+1)^Veterancy_XP!$B$6,0)</f>
        <v>449</v>
      </c>
      <c r="C1282" s="6" t="n">
        <f aca="false">ROUND(1/(A1282+1)^Veterancy_XP!$E$6,4)</f>
        <v>0.2225</v>
      </c>
      <c r="D1282" s="6" t="n">
        <f aca="false">ROUND(Veterancy_XP!$E$5*C1282,1)</f>
        <v>222.5</v>
      </c>
      <c r="E1282" s="6" t="n">
        <f aca="false">ROUND(B1282/D1282,2)</f>
        <v>2.02</v>
      </c>
      <c r="F1282" s="6" t="n">
        <f aca="false">ROUND(F1281+E1282,2)</f>
        <v>1822.53</v>
      </c>
    </row>
    <row r="1283" customFormat="false" ht="15" hidden="false" customHeight="true" outlineLevel="0" collapsed="false">
      <c r="A1283" s="6" t="n">
        <v>1281</v>
      </c>
      <c r="B1283" s="6" t="n">
        <f aca="false">ROUND(Veterancy_XP!$B$5*(A1283+1)^Veterancy_XP!$B$6,0)</f>
        <v>449</v>
      </c>
      <c r="C1283" s="6" t="n">
        <f aca="false">ROUND(1/(A1283+1)^Veterancy_XP!$E$6,4)</f>
        <v>0.2225</v>
      </c>
      <c r="D1283" s="6" t="n">
        <f aca="false">ROUND(Veterancy_XP!$E$5*C1283,1)</f>
        <v>222.5</v>
      </c>
      <c r="E1283" s="6" t="n">
        <f aca="false">ROUND(B1283/D1283,2)</f>
        <v>2.02</v>
      </c>
      <c r="F1283" s="6" t="n">
        <f aca="false">ROUND(F1282+E1283,2)</f>
        <v>1824.55</v>
      </c>
    </row>
    <row r="1284" customFormat="false" ht="15" hidden="false" customHeight="true" outlineLevel="0" collapsed="false">
      <c r="A1284" s="6" t="n">
        <v>1282</v>
      </c>
      <c r="B1284" s="6" t="n">
        <f aca="false">ROUND(Veterancy_XP!$B$5*(A1284+1)^Veterancy_XP!$B$6,0)</f>
        <v>449</v>
      </c>
      <c r="C1284" s="6" t="n">
        <f aca="false">ROUND(1/(A1284+1)^Veterancy_XP!$E$6,4)</f>
        <v>0.2225</v>
      </c>
      <c r="D1284" s="6" t="n">
        <f aca="false">ROUND(Veterancy_XP!$E$5*C1284,1)</f>
        <v>222.5</v>
      </c>
      <c r="E1284" s="6" t="n">
        <f aca="false">ROUND(B1284/D1284,2)</f>
        <v>2.02</v>
      </c>
      <c r="F1284" s="6" t="n">
        <f aca="false">ROUND(F1283+E1284,2)</f>
        <v>1826.57</v>
      </c>
    </row>
    <row r="1285" customFormat="false" ht="15" hidden="false" customHeight="true" outlineLevel="0" collapsed="false">
      <c r="A1285" s="6" t="n">
        <v>1283</v>
      </c>
      <c r="B1285" s="6" t="n">
        <f aca="false">ROUND(Veterancy_XP!$B$5*(A1285+1)^Veterancy_XP!$B$6,0)</f>
        <v>450</v>
      </c>
      <c r="C1285" s="6" t="n">
        <f aca="false">ROUND(1/(A1285+1)^Veterancy_XP!$E$6,4)</f>
        <v>0.2224</v>
      </c>
      <c r="D1285" s="6" t="n">
        <f aca="false">ROUND(Veterancy_XP!$E$5*C1285,1)</f>
        <v>222.4</v>
      </c>
      <c r="E1285" s="6" t="n">
        <f aca="false">ROUND(B1285/D1285,2)</f>
        <v>2.02</v>
      </c>
      <c r="F1285" s="6" t="n">
        <f aca="false">ROUND(F1284+E1285,2)</f>
        <v>1828.59</v>
      </c>
    </row>
    <row r="1286" customFormat="false" ht="15" hidden="false" customHeight="true" outlineLevel="0" collapsed="false">
      <c r="A1286" s="6" t="n">
        <v>1284</v>
      </c>
      <c r="B1286" s="6" t="n">
        <f aca="false">ROUND(Veterancy_XP!$B$5*(A1286+1)^Veterancy_XP!$B$6,0)</f>
        <v>450</v>
      </c>
      <c r="C1286" s="6" t="n">
        <f aca="false">ROUND(1/(A1286+1)^Veterancy_XP!$E$6,4)</f>
        <v>0.2224</v>
      </c>
      <c r="D1286" s="6" t="n">
        <f aca="false">ROUND(Veterancy_XP!$E$5*C1286,1)</f>
        <v>222.4</v>
      </c>
      <c r="E1286" s="6" t="n">
        <f aca="false">ROUND(B1286/D1286,2)</f>
        <v>2.02</v>
      </c>
      <c r="F1286" s="6" t="n">
        <f aca="false">ROUND(F1285+E1286,2)</f>
        <v>1830.61</v>
      </c>
    </row>
    <row r="1287" customFormat="false" ht="15" hidden="false" customHeight="true" outlineLevel="0" collapsed="false">
      <c r="A1287" s="6" t="n">
        <v>1285</v>
      </c>
      <c r="B1287" s="6" t="n">
        <f aca="false">ROUND(Veterancy_XP!$B$5*(A1287+1)^Veterancy_XP!$B$6,0)</f>
        <v>450</v>
      </c>
      <c r="C1287" s="6" t="n">
        <f aca="false">ROUND(1/(A1287+1)^Veterancy_XP!$E$6,4)</f>
        <v>0.2224</v>
      </c>
      <c r="D1287" s="6" t="n">
        <f aca="false">ROUND(Veterancy_XP!$E$5*C1287,1)</f>
        <v>222.4</v>
      </c>
      <c r="E1287" s="6" t="n">
        <f aca="false">ROUND(B1287/D1287,2)</f>
        <v>2.02</v>
      </c>
      <c r="F1287" s="6" t="n">
        <f aca="false">ROUND(F1286+E1287,2)</f>
        <v>1832.63</v>
      </c>
    </row>
    <row r="1288" customFormat="false" ht="15" hidden="false" customHeight="true" outlineLevel="0" collapsed="false">
      <c r="A1288" s="6" t="n">
        <v>1286</v>
      </c>
      <c r="B1288" s="6" t="n">
        <f aca="false">ROUND(Veterancy_XP!$B$5*(A1288+1)^Veterancy_XP!$B$6,0)</f>
        <v>450</v>
      </c>
      <c r="C1288" s="6" t="n">
        <f aca="false">ROUND(1/(A1288+1)^Veterancy_XP!$E$6,4)</f>
        <v>0.2223</v>
      </c>
      <c r="D1288" s="6" t="n">
        <f aca="false">ROUND(Veterancy_XP!$E$5*C1288,1)</f>
        <v>222.3</v>
      </c>
      <c r="E1288" s="6" t="n">
        <f aca="false">ROUND(B1288/D1288,2)</f>
        <v>2.02</v>
      </c>
      <c r="F1288" s="6" t="n">
        <f aca="false">ROUND(F1287+E1288,2)</f>
        <v>1834.65</v>
      </c>
    </row>
    <row r="1289" customFormat="false" ht="15" hidden="false" customHeight="true" outlineLevel="0" collapsed="false">
      <c r="A1289" s="6" t="n">
        <v>1287</v>
      </c>
      <c r="B1289" s="6" t="n">
        <f aca="false">ROUND(Veterancy_XP!$B$5*(A1289+1)^Veterancy_XP!$B$6,0)</f>
        <v>450</v>
      </c>
      <c r="C1289" s="6" t="n">
        <f aca="false">ROUND(1/(A1289+1)^Veterancy_XP!$E$6,4)</f>
        <v>0.2223</v>
      </c>
      <c r="D1289" s="6" t="n">
        <f aca="false">ROUND(Veterancy_XP!$E$5*C1289,1)</f>
        <v>222.3</v>
      </c>
      <c r="E1289" s="6" t="n">
        <f aca="false">ROUND(B1289/D1289,2)</f>
        <v>2.02</v>
      </c>
      <c r="F1289" s="6" t="n">
        <f aca="false">ROUND(F1288+E1289,2)</f>
        <v>1836.67</v>
      </c>
    </row>
    <row r="1290" customFormat="false" ht="15" hidden="false" customHeight="true" outlineLevel="0" collapsed="false">
      <c r="A1290" s="6" t="n">
        <v>1288</v>
      </c>
      <c r="B1290" s="6" t="n">
        <f aca="false">ROUND(Veterancy_XP!$B$5*(A1290+1)^Veterancy_XP!$B$6,0)</f>
        <v>450</v>
      </c>
      <c r="C1290" s="6" t="n">
        <f aca="false">ROUND(1/(A1290+1)^Veterancy_XP!$E$6,4)</f>
        <v>0.2223</v>
      </c>
      <c r="D1290" s="6" t="n">
        <f aca="false">ROUND(Veterancy_XP!$E$5*C1290,1)</f>
        <v>222.3</v>
      </c>
      <c r="E1290" s="6" t="n">
        <f aca="false">ROUND(B1290/D1290,2)</f>
        <v>2.02</v>
      </c>
      <c r="F1290" s="6" t="n">
        <f aca="false">ROUND(F1289+E1290,2)</f>
        <v>1838.69</v>
      </c>
    </row>
    <row r="1291" customFormat="false" ht="15" hidden="false" customHeight="true" outlineLevel="0" collapsed="false">
      <c r="A1291" s="6" t="n">
        <v>1289</v>
      </c>
      <c r="B1291" s="6" t="n">
        <f aca="false">ROUND(Veterancy_XP!$B$5*(A1291+1)^Veterancy_XP!$B$6,0)</f>
        <v>450</v>
      </c>
      <c r="C1291" s="6" t="n">
        <f aca="false">ROUND(1/(A1291+1)^Veterancy_XP!$E$6,4)</f>
        <v>0.2222</v>
      </c>
      <c r="D1291" s="6" t="n">
        <f aca="false">ROUND(Veterancy_XP!$E$5*C1291,1)</f>
        <v>222.2</v>
      </c>
      <c r="E1291" s="6" t="n">
        <f aca="false">ROUND(B1291/D1291,2)</f>
        <v>2.03</v>
      </c>
      <c r="F1291" s="6" t="n">
        <f aca="false">ROUND(F1290+E1291,2)</f>
        <v>1840.72</v>
      </c>
    </row>
    <row r="1292" customFormat="false" ht="15" hidden="false" customHeight="true" outlineLevel="0" collapsed="false">
      <c r="A1292" s="6" t="n">
        <v>1290</v>
      </c>
      <c r="B1292" s="6" t="n">
        <f aca="false">ROUND(Veterancy_XP!$B$5*(A1292+1)^Veterancy_XP!$B$6,0)</f>
        <v>450</v>
      </c>
      <c r="C1292" s="6" t="n">
        <f aca="false">ROUND(1/(A1292+1)^Veterancy_XP!$E$6,4)</f>
        <v>0.2222</v>
      </c>
      <c r="D1292" s="6" t="n">
        <f aca="false">ROUND(Veterancy_XP!$E$5*C1292,1)</f>
        <v>222.2</v>
      </c>
      <c r="E1292" s="6" t="n">
        <f aca="false">ROUND(B1292/D1292,2)</f>
        <v>2.03</v>
      </c>
      <c r="F1292" s="6" t="n">
        <f aca="false">ROUND(F1291+E1292,2)</f>
        <v>1842.75</v>
      </c>
    </row>
    <row r="1293" customFormat="false" ht="15" hidden="false" customHeight="true" outlineLevel="0" collapsed="false">
      <c r="A1293" s="6" t="n">
        <v>1291</v>
      </c>
      <c r="B1293" s="6" t="n">
        <f aca="false">ROUND(Veterancy_XP!$B$5*(A1293+1)^Veterancy_XP!$B$6,0)</f>
        <v>450</v>
      </c>
      <c r="C1293" s="6" t="n">
        <f aca="false">ROUND(1/(A1293+1)^Veterancy_XP!$E$6,4)</f>
        <v>0.2221</v>
      </c>
      <c r="D1293" s="6" t="n">
        <f aca="false">ROUND(Veterancy_XP!$E$5*C1293,1)</f>
        <v>222.1</v>
      </c>
      <c r="E1293" s="6" t="n">
        <f aca="false">ROUND(B1293/D1293,2)</f>
        <v>2.03</v>
      </c>
      <c r="F1293" s="6" t="n">
        <f aca="false">ROUND(F1292+E1293,2)</f>
        <v>1844.78</v>
      </c>
    </row>
    <row r="1294" customFormat="false" ht="15" hidden="false" customHeight="true" outlineLevel="0" collapsed="false">
      <c r="A1294" s="6" t="n">
        <v>1292</v>
      </c>
      <c r="B1294" s="6" t="n">
        <f aca="false">ROUND(Veterancy_XP!$B$5*(A1294+1)^Veterancy_XP!$B$6,0)</f>
        <v>450</v>
      </c>
      <c r="C1294" s="6" t="n">
        <f aca="false">ROUND(1/(A1294+1)^Veterancy_XP!$E$6,4)</f>
        <v>0.2221</v>
      </c>
      <c r="D1294" s="6" t="n">
        <f aca="false">ROUND(Veterancy_XP!$E$5*C1294,1)</f>
        <v>222.1</v>
      </c>
      <c r="E1294" s="6" t="n">
        <f aca="false">ROUND(B1294/D1294,2)</f>
        <v>2.03</v>
      </c>
      <c r="F1294" s="6" t="n">
        <f aca="false">ROUND(F1293+E1294,2)</f>
        <v>1846.81</v>
      </c>
    </row>
    <row r="1295" customFormat="false" ht="15" hidden="false" customHeight="true" outlineLevel="0" collapsed="false">
      <c r="A1295" s="6" t="n">
        <v>1293</v>
      </c>
      <c r="B1295" s="6" t="n">
        <f aca="false">ROUND(Veterancy_XP!$B$5*(A1295+1)^Veterancy_XP!$B$6,0)</f>
        <v>450</v>
      </c>
      <c r="C1295" s="6" t="n">
        <f aca="false">ROUND(1/(A1295+1)^Veterancy_XP!$E$6,4)</f>
        <v>0.2221</v>
      </c>
      <c r="D1295" s="6" t="n">
        <f aca="false">ROUND(Veterancy_XP!$E$5*C1295,1)</f>
        <v>222.1</v>
      </c>
      <c r="E1295" s="6" t="n">
        <f aca="false">ROUND(B1295/D1295,2)</f>
        <v>2.03</v>
      </c>
      <c r="F1295" s="6" t="n">
        <f aca="false">ROUND(F1294+E1295,2)</f>
        <v>1848.84</v>
      </c>
    </row>
    <row r="1296" customFormat="false" ht="15" hidden="false" customHeight="true" outlineLevel="0" collapsed="false">
      <c r="A1296" s="6" t="n">
        <v>1294</v>
      </c>
      <c r="B1296" s="6" t="n">
        <f aca="false">ROUND(Veterancy_XP!$B$5*(A1296+1)^Veterancy_XP!$B$6,0)</f>
        <v>450</v>
      </c>
      <c r="C1296" s="6" t="n">
        <f aca="false">ROUND(1/(A1296+1)^Veterancy_XP!$E$6,4)</f>
        <v>0.222</v>
      </c>
      <c r="D1296" s="6" t="n">
        <f aca="false">ROUND(Veterancy_XP!$E$5*C1296,1)</f>
        <v>222</v>
      </c>
      <c r="E1296" s="6" t="n">
        <f aca="false">ROUND(B1296/D1296,2)</f>
        <v>2.03</v>
      </c>
      <c r="F1296" s="6" t="n">
        <f aca="false">ROUND(F1295+E1296,2)</f>
        <v>1850.87</v>
      </c>
    </row>
    <row r="1297" customFormat="false" ht="15" hidden="false" customHeight="true" outlineLevel="0" collapsed="false">
      <c r="A1297" s="6" t="n">
        <v>1295</v>
      </c>
      <c r="B1297" s="6" t="n">
        <f aca="false">ROUND(Veterancy_XP!$B$5*(A1297+1)^Veterancy_XP!$B$6,0)</f>
        <v>450</v>
      </c>
      <c r="C1297" s="6" t="n">
        <f aca="false">ROUND(1/(A1297+1)^Veterancy_XP!$E$6,4)</f>
        <v>0.222</v>
      </c>
      <c r="D1297" s="6" t="n">
        <f aca="false">ROUND(Veterancy_XP!$E$5*C1297,1)</f>
        <v>222</v>
      </c>
      <c r="E1297" s="6" t="n">
        <f aca="false">ROUND(B1297/D1297,2)</f>
        <v>2.03</v>
      </c>
      <c r="F1297" s="6" t="n">
        <f aca="false">ROUND(F1296+E1297,2)</f>
        <v>1852.9</v>
      </c>
    </row>
    <row r="1298" customFormat="false" ht="15" hidden="false" customHeight="true" outlineLevel="0" collapsed="false">
      <c r="A1298" s="6" t="n">
        <v>1296</v>
      </c>
      <c r="B1298" s="6" t="n">
        <f aca="false">ROUND(Veterancy_XP!$B$5*(A1298+1)^Veterancy_XP!$B$6,0)</f>
        <v>451</v>
      </c>
      <c r="C1298" s="6" t="n">
        <f aca="false">ROUND(1/(A1298+1)^Veterancy_XP!$E$6,4)</f>
        <v>0.222</v>
      </c>
      <c r="D1298" s="6" t="n">
        <f aca="false">ROUND(Veterancy_XP!$E$5*C1298,1)</f>
        <v>222</v>
      </c>
      <c r="E1298" s="6" t="n">
        <f aca="false">ROUND(B1298/D1298,2)</f>
        <v>2.03</v>
      </c>
      <c r="F1298" s="6" t="n">
        <f aca="false">ROUND(F1297+E1298,2)</f>
        <v>1854.93</v>
      </c>
    </row>
    <row r="1299" customFormat="false" ht="15" hidden="false" customHeight="true" outlineLevel="0" collapsed="false">
      <c r="A1299" s="6" t="n">
        <v>1297</v>
      </c>
      <c r="B1299" s="6" t="n">
        <f aca="false">ROUND(Veterancy_XP!$B$5*(A1299+1)^Veterancy_XP!$B$6,0)</f>
        <v>451</v>
      </c>
      <c r="C1299" s="6" t="n">
        <f aca="false">ROUND(1/(A1299+1)^Veterancy_XP!$E$6,4)</f>
        <v>0.2219</v>
      </c>
      <c r="D1299" s="6" t="n">
        <f aca="false">ROUND(Veterancy_XP!$E$5*C1299,1)</f>
        <v>221.9</v>
      </c>
      <c r="E1299" s="6" t="n">
        <f aca="false">ROUND(B1299/D1299,2)</f>
        <v>2.03</v>
      </c>
      <c r="F1299" s="6" t="n">
        <f aca="false">ROUND(F1298+E1299,2)</f>
        <v>1856.96</v>
      </c>
    </row>
    <row r="1300" customFormat="false" ht="15" hidden="false" customHeight="true" outlineLevel="0" collapsed="false">
      <c r="A1300" s="6" t="n">
        <v>1298</v>
      </c>
      <c r="B1300" s="6" t="n">
        <f aca="false">ROUND(Veterancy_XP!$B$5*(A1300+1)^Veterancy_XP!$B$6,0)</f>
        <v>451</v>
      </c>
      <c r="C1300" s="6" t="n">
        <f aca="false">ROUND(1/(A1300+1)^Veterancy_XP!$E$6,4)</f>
        <v>0.2219</v>
      </c>
      <c r="D1300" s="6" t="n">
        <f aca="false">ROUND(Veterancy_XP!$E$5*C1300,1)</f>
        <v>221.9</v>
      </c>
      <c r="E1300" s="6" t="n">
        <f aca="false">ROUND(B1300/D1300,2)</f>
        <v>2.03</v>
      </c>
      <c r="F1300" s="6" t="n">
        <f aca="false">ROUND(F1299+E1300,2)</f>
        <v>1858.99</v>
      </c>
    </row>
    <row r="1301" customFormat="false" ht="15" hidden="false" customHeight="true" outlineLevel="0" collapsed="false">
      <c r="A1301" s="6" t="n">
        <v>1299</v>
      </c>
      <c r="B1301" s="6" t="n">
        <f aca="false">ROUND(Veterancy_XP!$B$5*(A1301+1)^Veterancy_XP!$B$6,0)</f>
        <v>451</v>
      </c>
      <c r="C1301" s="6" t="n">
        <f aca="false">ROUND(1/(A1301+1)^Veterancy_XP!$E$6,4)</f>
        <v>0.2219</v>
      </c>
      <c r="D1301" s="6" t="n">
        <f aca="false">ROUND(Veterancy_XP!$E$5*C1301,1)</f>
        <v>221.9</v>
      </c>
      <c r="E1301" s="6" t="n">
        <f aca="false">ROUND(B1301/D1301,2)</f>
        <v>2.03</v>
      </c>
      <c r="F1301" s="6" t="n">
        <f aca="false">ROUND(F1300+E1301,2)</f>
        <v>1861.02</v>
      </c>
    </row>
    <row r="1302" customFormat="false" ht="15" hidden="false" customHeight="true" outlineLevel="0" collapsed="false">
      <c r="A1302" s="6" t="n">
        <v>1300</v>
      </c>
      <c r="B1302" s="6" t="n">
        <f aca="false">ROUND(Veterancy_XP!$B$5*(A1302+1)^Veterancy_XP!$B$6,0)</f>
        <v>451</v>
      </c>
      <c r="C1302" s="6" t="n">
        <f aca="false">ROUND(1/(A1302+1)^Veterancy_XP!$E$6,4)</f>
        <v>0.2218</v>
      </c>
      <c r="D1302" s="6" t="n">
        <f aca="false">ROUND(Veterancy_XP!$E$5*C1302,1)</f>
        <v>221.8</v>
      </c>
      <c r="E1302" s="6" t="n">
        <f aca="false">ROUND(B1302/D1302,2)</f>
        <v>2.03</v>
      </c>
      <c r="F1302" s="6" t="n">
        <f aca="false">ROUND(F1301+E1302,2)</f>
        <v>1863.05</v>
      </c>
    </row>
    <row r="1303" customFormat="false" ht="15" hidden="false" customHeight="true" outlineLevel="0" collapsed="false">
      <c r="A1303" s="6" t="n">
        <v>1301</v>
      </c>
      <c r="B1303" s="6" t="n">
        <f aca="false">ROUND(Veterancy_XP!$B$5*(A1303+1)^Veterancy_XP!$B$6,0)</f>
        <v>451</v>
      </c>
      <c r="C1303" s="6" t="n">
        <f aca="false">ROUND(1/(A1303+1)^Veterancy_XP!$E$6,4)</f>
        <v>0.2218</v>
      </c>
      <c r="D1303" s="6" t="n">
        <f aca="false">ROUND(Veterancy_XP!$E$5*C1303,1)</f>
        <v>221.8</v>
      </c>
      <c r="E1303" s="6" t="n">
        <f aca="false">ROUND(B1303/D1303,2)</f>
        <v>2.03</v>
      </c>
      <c r="F1303" s="6" t="n">
        <f aca="false">ROUND(F1302+E1303,2)</f>
        <v>1865.08</v>
      </c>
    </row>
    <row r="1304" customFormat="false" ht="15" hidden="false" customHeight="true" outlineLevel="0" collapsed="false">
      <c r="A1304" s="6" t="n">
        <v>1302</v>
      </c>
      <c r="B1304" s="6" t="n">
        <f aca="false">ROUND(Veterancy_XP!$B$5*(A1304+1)^Veterancy_XP!$B$6,0)</f>
        <v>451</v>
      </c>
      <c r="C1304" s="6" t="n">
        <f aca="false">ROUND(1/(A1304+1)^Veterancy_XP!$E$6,4)</f>
        <v>0.2217</v>
      </c>
      <c r="D1304" s="6" t="n">
        <f aca="false">ROUND(Veterancy_XP!$E$5*C1304,1)</f>
        <v>221.7</v>
      </c>
      <c r="E1304" s="6" t="n">
        <f aca="false">ROUND(B1304/D1304,2)</f>
        <v>2.03</v>
      </c>
      <c r="F1304" s="6" t="n">
        <f aca="false">ROUND(F1303+E1304,2)</f>
        <v>1867.11</v>
      </c>
    </row>
    <row r="1305" customFormat="false" ht="15" hidden="false" customHeight="true" outlineLevel="0" collapsed="false">
      <c r="A1305" s="6" t="n">
        <v>1303</v>
      </c>
      <c r="B1305" s="6" t="n">
        <f aca="false">ROUND(Veterancy_XP!$B$5*(A1305+1)^Veterancy_XP!$B$6,0)</f>
        <v>451</v>
      </c>
      <c r="C1305" s="6" t="n">
        <f aca="false">ROUND(1/(A1305+1)^Veterancy_XP!$E$6,4)</f>
        <v>0.2217</v>
      </c>
      <c r="D1305" s="6" t="n">
        <f aca="false">ROUND(Veterancy_XP!$E$5*C1305,1)</f>
        <v>221.7</v>
      </c>
      <c r="E1305" s="6" t="n">
        <f aca="false">ROUND(B1305/D1305,2)</f>
        <v>2.03</v>
      </c>
      <c r="F1305" s="6" t="n">
        <f aca="false">ROUND(F1304+E1305,2)</f>
        <v>1869.14</v>
      </c>
    </row>
    <row r="1306" customFormat="false" ht="15" hidden="false" customHeight="true" outlineLevel="0" collapsed="false">
      <c r="A1306" s="6" t="n">
        <v>1304</v>
      </c>
      <c r="B1306" s="6" t="n">
        <f aca="false">ROUND(Veterancy_XP!$B$5*(A1306+1)^Veterancy_XP!$B$6,0)</f>
        <v>451</v>
      </c>
      <c r="C1306" s="6" t="n">
        <f aca="false">ROUND(1/(A1306+1)^Veterancy_XP!$E$6,4)</f>
        <v>0.2217</v>
      </c>
      <c r="D1306" s="6" t="n">
        <f aca="false">ROUND(Veterancy_XP!$E$5*C1306,1)</f>
        <v>221.7</v>
      </c>
      <c r="E1306" s="6" t="n">
        <f aca="false">ROUND(B1306/D1306,2)</f>
        <v>2.03</v>
      </c>
      <c r="F1306" s="6" t="n">
        <f aca="false">ROUND(F1305+E1306,2)</f>
        <v>1871.17</v>
      </c>
    </row>
    <row r="1307" customFormat="false" ht="15" hidden="false" customHeight="true" outlineLevel="0" collapsed="false">
      <c r="A1307" s="6" t="n">
        <v>1305</v>
      </c>
      <c r="B1307" s="6" t="n">
        <f aca="false">ROUND(Veterancy_XP!$B$5*(A1307+1)^Veterancy_XP!$B$6,0)</f>
        <v>451</v>
      </c>
      <c r="C1307" s="6" t="n">
        <f aca="false">ROUND(1/(A1307+1)^Veterancy_XP!$E$6,4)</f>
        <v>0.2216</v>
      </c>
      <c r="D1307" s="6" t="n">
        <f aca="false">ROUND(Veterancy_XP!$E$5*C1307,1)</f>
        <v>221.6</v>
      </c>
      <c r="E1307" s="6" t="n">
        <f aca="false">ROUND(B1307/D1307,2)</f>
        <v>2.04</v>
      </c>
      <c r="F1307" s="6" t="n">
        <f aca="false">ROUND(F1306+E1307,2)</f>
        <v>1873.21</v>
      </c>
    </row>
    <row r="1308" customFormat="false" ht="15" hidden="false" customHeight="true" outlineLevel="0" collapsed="false">
      <c r="A1308" s="6" t="n">
        <v>1306</v>
      </c>
      <c r="B1308" s="6" t="n">
        <f aca="false">ROUND(Veterancy_XP!$B$5*(A1308+1)^Veterancy_XP!$B$6,0)</f>
        <v>451</v>
      </c>
      <c r="C1308" s="6" t="n">
        <f aca="false">ROUND(1/(A1308+1)^Veterancy_XP!$E$6,4)</f>
        <v>0.2216</v>
      </c>
      <c r="D1308" s="6" t="n">
        <f aca="false">ROUND(Veterancy_XP!$E$5*C1308,1)</f>
        <v>221.6</v>
      </c>
      <c r="E1308" s="6" t="n">
        <f aca="false">ROUND(B1308/D1308,2)</f>
        <v>2.04</v>
      </c>
      <c r="F1308" s="6" t="n">
        <f aca="false">ROUND(F1307+E1308,2)</f>
        <v>1875.25</v>
      </c>
    </row>
    <row r="1309" customFormat="false" ht="15" hidden="false" customHeight="true" outlineLevel="0" collapsed="false">
      <c r="A1309" s="6" t="n">
        <v>1307</v>
      </c>
      <c r="B1309" s="6" t="n">
        <f aca="false">ROUND(Veterancy_XP!$B$5*(A1309+1)^Veterancy_XP!$B$6,0)</f>
        <v>451</v>
      </c>
      <c r="C1309" s="6" t="n">
        <f aca="false">ROUND(1/(A1309+1)^Veterancy_XP!$E$6,4)</f>
        <v>0.2216</v>
      </c>
      <c r="D1309" s="6" t="n">
        <f aca="false">ROUND(Veterancy_XP!$E$5*C1309,1)</f>
        <v>221.6</v>
      </c>
      <c r="E1309" s="6" t="n">
        <f aca="false">ROUND(B1309/D1309,2)</f>
        <v>2.04</v>
      </c>
      <c r="F1309" s="6" t="n">
        <f aca="false">ROUND(F1308+E1309,2)</f>
        <v>1877.29</v>
      </c>
    </row>
    <row r="1310" customFormat="false" ht="15" hidden="false" customHeight="true" outlineLevel="0" collapsed="false">
      <c r="A1310" s="6" t="n">
        <v>1308</v>
      </c>
      <c r="B1310" s="6" t="n">
        <f aca="false">ROUND(Veterancy_XP!$B$5*(A1310+1)^Veterancy_XP!$B$6,0)</f>
        <v>451</v>
      </c>
      <c r="C1310" s="6" t="n">
        <f aca="false">ROUND(1/(A1310+1)^Veterancy_XP!$E$6,4)</f>
        <v>0.2215</v>
      </c>
      <c r="D1310" s="6" t="n">
        <f aca="false">ROUND(Veterancy_XP!$E$5*C1310,1)</f>
        <v>221.5</v>
      </c>
      <c r="E1310" s="6" t="n">
        <f aca="false">ROUND(B1310/D1310,2)</f>
        <v>2.04</v>
      </c>
      <c r="F1310" s="6" t="n">
        <f aca="false">ROUND(F1309+E1310,2)</f>
        <v>1879.33</v>
      </c>
    </row>
    <row r="1311" customFormat="false" ht="15" hidden="false" customHeight="true" outlineLevel="0" collapsed="false">
      <c r="A1311" s="6" t="n">
        <v>1309</v>
      </c>
      <c r="B1311" s="6" t="n">
        <f aca="false">ROUND(Veterancy_XP!$B$5*(A1311+1)^Veterancy_XP!$B$6,0)</f>
        <v>451</v>
      </c>
      <c r="C1311" s="6" t="n">
        <f aca="false">ROUND(1/(A1311+1)^Veterancy_XP!$E$6,4)</f>
        <v>0.2215</v>
      </c>
      <c r="D1311" s="6" t="n">
        <f aca="false">ROUND(Veterancy_XP!$E$5*C1311,1)</f>
        <v>221.5</v>
      </c>
      <c r="E1311" s="6" t="n">
        <f aca="false">ROUND(B1311/D1311,2)</f>
        <v>2.04</v>
      </c>
      <c r="F1311" s="6" t="n">
        <f aca="false">ROUND(F1310+E1311,2)</f>
        <v>1881.37</v>
      </c>
    </row>
    <row r="1312" customFormat="false" ht="15" hidden="false" customHeight="true" outlineLevel="0" collapsed="false">
      <c r="A1312" s="6" t="n">
        <v>1310</v>
      </c>
      <c r="B1312" s="6" t="n">
        <f aca="false">ROUND(Veterancy_XP!$B$5*(A1312+1)^Veterancy_XP!$B$6,0)</f>
        <v>452</v>
      </c>
      <c r="C1312" s="6" t="n">
        <f aca="false">ROUND(1/(A1312+1)^Veterancy_XP!$E$6,4)</f>
        <v>0.2215</v>
      </c>
      <c r="D1312" s="6" t="n">
        <f aca="false">ROUND(Veterancy_XP!$E$5*C1312,1)</f>
        <v>221.5</v>
      </c>
      <c r="E1312" s="6" t="n">
        <f aca="false">ROUND(B1312/D1312,2)</f>
        <v>2.04</v>
      </c>
      <c r="F1312" s="6" t="n">
        <f aca="false">ROUND(F1311+E1312,2)</f>
        <v>1883.41</v>
      </c>
    </row>
    <row r="1313" customFormat="false" ht="15" hidden="false" customHeight="true" outlineLevel="0" collapsed="false">
      <c r="A1313" s="6" t="n">
        <v>1311</v>
      </c>
      <c r="B1313" s="6" t="n">
        <f aca="false">ROUND(Veterancy_XP!$B$5*(A1313+1)^Veterancy_XP!$B$6,0)</f>
        <v>452</v>
      </c>
      <c r="C1313" s="6" t="n">
        <f aca="false">ROUND(1/(A1313+1)^Veterancy_XP!$E$6,4)</f>
        <v>0.2214</v>
      </c>
      <c r="D1313" s="6" t="n">
        <f aca="false">ROUND(Veterancy_XP!$E$5*C1313,1)</f>
        <v>221.4</v>
      </c>
      <c r="E1313" s="6" t="n">
        <f aca="false">ROUND(B1313/D1313,2)</f>
        <v>2.04</v>
      </c>
      <c r="F1313" s="6" t="n">
        <f aca="false">ROUND(F1312+E1313,2)</f>
        <v>1885.45</v>
      </c>
    </row>
    <row r="1314" customFormat="false" ht="15" hidden="false" customHeight="true" outlineLevel="0" collapsed="false">
      <c r="A1314" s="6" t="n">
        <v>1312</v>
      </c>
      <c r="B1314" s="6" t="n">
        <f aca="false">ROUND(Veterancy_XP!$B$5*(A1314+1)^Veterancy_XP!$B$6,0)</f>
        <v>452</v>
      </c>
      <c r="C1314" s="6" t="n">
        <f aca="false">ROUND(1/(A1314+1)^Veterancy_XP!$E$6,4)</f>
        <v>0.2214</v>
      </c>
      <c r="D1314" s="6" t="n">
        <f aca="false">ROUND(Veterancy_XP!$E$5*C1314,1)</f>
        <v>221.4</v>
      </c>
      <c r="E1314" s="6" t="n">
        <f aca="false">ROUND(B1314/D1314,2)</f>
        <v>2.04</v>
      </c>
      <c r="F1314" s="6" t="n">
        <f aca="false">ROUND(F1313+E1314,2)</f>
        <v>1887.49</v>
      </c>
    </row>
    <row r="1315" customFormat="false" ht="15" hidden="false" customHeight="true" outlineLevel="0" collapsed="false">
      <c r="A1315" s="6" t="n">
        <v>1313</v>
      </c>
      <c r="B1315" s="6" t="n">
        <f aca="false">ROUND(Veterancy_XP!$B$5*(A1315+1)^Veterancy_XP!$B$6,0)</f>
        <v>452</v>
      </c>
      <c r="C1315" s="6" t="n">
        <f aca="false">ROUND(1/(A1315+1)^Veterancy_XP!$E$6,4)</f>
        <v>0.2214</v>
      </c>
      <c r="D1315" s="6" t="n">
        <f aca="false">ROUND(Veterancy_XP!$E$5*C1315,1)</f>
        <v>221.4</v>
      </c>
      <c r="E1315" s="6" t="n">
        <f aca="false">ROUND(B1315/D1315,2)</f>
        <v>2.04</v>
      </c>
      <c r="F1315" s="6" t="n">
        <f aca="false">ROUND(F1314+E1315,2)</f>
        <v>1889.53</v>
      </c>
    </row>
    <row r="1316" customFormat="false" ht="15" hidden="false" customHeight="true" outlineLevel="0" collapsed="false">
      <c r="A1316" s="6" t="n">
        <v>1314</v>
      </c>
      <c r="B1316" s="6" t="n">
        <f aca="false">ROUND(Veterancy_XP!$B$5*(A1316+1)^Veterancy_XP!$B$6,0)</f>
        <v>452</v>
      </c>
      <c r="C1316" s="6" t="n">
        <f aca="false">ROUND(1/(A1316+1)^Veterancy_XP!$E$6,4)</f>
        <v>0.2213</v>
      </c>
      <c r="D1316" s="6" t="n">
        <f aca="false">ROUND(Veterancy_XP!$E$5*C1316,1)</f>
        <v>221.3</v>
      </c>
      <c r="E1316" s="6" t="n">
        <f aca="false">ROUND(B1316/D1316,2)</f>
        <v>2.04</v>
      </c>
      <c r="F1316" s="6" t="n">
        <f aca="false">ROUND(F1315+E1316,2)</f>
        <v>1891.57</v>
      </c>
    </row>
    <row r="1317" customFormat="false" ht="15" hidden="false" customHeight="true" outlineLevel="0" collapsed="false">
      <c r="A1317" s="6" t="n">
        <v>1315</v>
      </c>
      <c r="B1317" s="6" t="n">
        <f aca="false">ROUND(Veterancy_XP!$B$5*(A1317+1)^Veterancy_XP!$B$6,0)</f>
        <v>452</v>
      </c>
      <c r="C1317" s="6" t="n">
        <f aca="false">ROUND(1/(A1317+1)^Veterancy_XP!$E$6,4)</f>
        <v>0.2213</v>
      </c>
      <c r="D1317" s="6" t="n">
        <f aca="false">ROUND(Veterancy_XP!$E$5*C1317,1)</f>
        <v>221.3</v>
      </c>
      <c r="E1317" s="6" t="n">
        <f aca="false">ROUND(B1317/D1317,2)</f>
        <v>2.04</v>
      </c>
      <c r="F1317" s="6" t="n">
        <f aca="false">ROUND(F1316+E1317,2)</f>
        <v>1893.61</v>
      </c>
    </row>
    <row r="1318" customFormat="false" ht="15" hidden="false" customHeight="true" outlineLevel="0" collapsed="false">
      <c r="A1318" s="6" t="n">
        <v>1316</v>
      </c>
      <c r="B1318" s="6" t="n">
        <f aca="false">ROUND(Veterancy_XP!$B$5*(A1318+1)^Veterancy_XP!$B$6,0)</f>
        <v>452</v>
      </c>
      <c r="C1318" s="6" t="n">
        <f aca="false">ROUND(1/(A1318+1)^Veterancy_XP!$E$6,4)</f>
        <v>0.2213</v>
      </c>
      <c r="D1318" s="6" t="n">
        <f aca="false">ROUND(Veterancy_XP!$E$5*C1318,1)</f>
        <v>221.3</v>
      </c>
      <c r="E1318" s="6" t="n">
        <f aca="false">ROUND(B1318/D1318,2)</f>
        <v>2.04</v>
      </c>
      <c r="F1318" s="6" t="n">
        <f aca="false">ROUND(F1317+E1318,2)</f>
        <v>1895.65</v>
      </c>
    </row>
    <row r="1319" customFormat="false" ht="15" hidden="false" customHeight="true" outlineLevel="0" collapsed="false">
      <c r="A1319" s="6" t="n">
        <v>1317</v>
      </c>
      <c r="B1319" s="6" t="n">
        <f aca="false">ROUND(Veterancy_XP!$B$5*(A1319+1)^Veterancy_XP!$B$6,0)</f>
        <v>452</v>
      </c>
      <c r="C1319" s="6" t="n">
        <f aca="false">ROUND(1/(A1319+1)^Veterancy_XP!$E$6,4)</f>
        <v>0.2212</v>
      </c>
      <c r="D1319" s="6" t="n">
        <f aca="false">ROUND(Veterancy_XP!$E$5*C1319,1)</f>
        <v>221.2</v>
      </c>
      <c r="E1319" s="6" t="n">
        <f aca="false">ROUND(B1319/D1319,2)</f>
        <v>2.04</v>
      </c>
      <c r="F1319" s="6" t="n">
        <f aca="false">ROUND(F1318+E1319,2)</f>
        <v>1897.69</v>
      </c>
    </row>
    <row r="1320" customFormat="false" ht="15" hidden="false" customHeight="true" outlineLevel="0" collapsed="false">
      <c r="A1320" s="6" t="n">
        <v>1318</v>
      </c>
      <c r="B1320" s="6" t="n">
        <f aca="false">ROUND(Veterancy_XP!$B$5*(A1320+1)^Veterancy_XP!$B$6,0)</f>
        <v>452</v>
      </c>
      <c r="C1320" s="6" t="n">
        <f aca="false">ROUND(1/(A1320+1)^Veterancy_XP!$E$6,4)</f>
        <v>0.2212</v>
      </c>
      <c r="D1320" s="6" t="n">
        <f aca="false">ROUND(Veterancy_XP!$E$5*C1320,1)</f>
        <v>221.2</v>
      </c>
      <c r="E1320" s="6" t="n">
        <f aca="false">ROUND(B1320/D1320,2)</f>
        <v>2.04</v>
      </c>
      <c r="F1320" s="6" t="n">
        <f aca="false">ROUND(F1319+E1320,2)</f>
        <v>1899.73</v>
      </c>
    </row>
    <row r="1321" customFormat="false" ht="15" hidden="false" customHeight="true" outlineLevel="0" collapsed="false">
      <c r="A1321" s="6" t="n">
        <v>1319</v>
      </c>
      <c r="B1321" s="6" t="n">
        <f aca="false">ROUND(Veterancy_XP!$B$5*(A1321+1)^Veterancy_XP!$B$6,0)</f>
        <v>452</v>
      </c>
      <c r="C1321" s="6" t="n">
        <f aca="false">ROUND(1/(A1321+1)^Veterancy_XP!$E$6,4)</f>
        <v>0.2211</v>
      </c>
      <c r="D1321" s="6" t="n">
        <f aca="false">ROUND(Veterancy_XP!$E$5*C1321,1)</f>
        <v>221.1</v>
      </c>
      <c r="E1321" s="6" t="n">
        <f aca="false">ROUND(B1321/D1321,2)</f>
        <v>2.04</v>
      </c>
      <c r="F1321" s="6" t="n">
        <f aca="false">ROUND(F1320+E1321,2)</f>
        <v>1901.77</v>
      </c>
    </row>
    <row r="1322" customFormat="false" ht="15" hidden="false" customHeight="true" outlineLevel="0" collapsed="false">
      <c r="A1322" s="6" t="n">
        <v>1320</v>
      </c>
      <c r="B1322" s="6" t="n">
        <f aca="false">ROUND(Veterancy_XP!$B$5*(A1322+1)^Veterancy_XP!$B$6,0)</f>
        <v>452</v>
      </c>
      <c r="C1322" s="6" t="n">
        <f aca="false">ROUND(1/(A1322+1)^Veterancy_XP!$E$6,4)</f>
        <v>0.2211</v>
      </c>
      <c r="D1322" s="6" t="n">
        <f aca="false">ROUND(Veterancy_XP!$E$5*C1322,1)</f>
        <v>221.1</v>
      </c>
      <c r="E1322" s="6" t="n">
        <f aca="false">ROUND(B1322/D1322,2)</f>
        <v>2.04</v>
      </c>
      <c r="F1322" s="6" t="n">
        <f aca="false">ROUND(F1321+E1322,2)</f>
        <v>1903.81</v>
      </c>
    </row>
    <row r="1323" customFormat="false" ht="15" hidden="false" customHeight="true" outlineLevel="0" collapsed="false">
      <c r="A1323" s="6" t="n">
        <v>1321</v>
      </c>
      <c r="B1323" s="6" t="n">
        <f aca="false">ROUND(Veterancy_XP!$B$5*(A1323+1)^Veterancy_XP!$B$6,0)</f>
        <v>452</v>
      </c>
      <c r="C1323" s="6" t="n">
        <f aca="false">ROUND(1/(A1323+1)^Veterancy_XP!$E$6,4)</f>
        <v>0.2211</v>
      </c>
      <c r="D1323" s="6" t="n">
        <f aca="false">ROUND(Veterancy_XP!$E$5*C1323,1)</f>
        <v>221.1</v>
      </c>
      <c r="E1323" s="6" t="n">
        <f aca="false">ROUND(B1323/D1323,2)</f>
        <v>2.04</v>
      </c>
      <c r="F1323" s="6" t="n">
        <f aca="false">ROUND(F1322+E1323,2)</f>
        <v>1905.85</v>
      </c>
    </row>
    <row r="1324" customFormat="false" ht="15" hidden="false" customHeight="true" outlineLevel="0" collapsed="false">
      <c r="A1324" s="6" t="n">
        <v>1322</v>
      </c>
      <c r="B1324" s="6" t="n">
        <f aca="false">ROUND(Veterancy_XP!$B$5*(A1324+1)^Veterancy_XP!$B$6,0)</f>
        <v>452</v>
      </c>
      <c r="C1324" s="6" t="n">
        <f aca="false">ROUND(1/(A1324+1)^Veterancy_XP!$E$6,4)</f>
        <v>0.221</v>
      </c>
      <c r="D1324" s="6" t="n">
        <f aca="false">ROUND(Veterancy_XP!$E$5*C1324,1)</f>
        <v>221</v>
      </c>
      <c r="E1324" s="6" t="n">
        <f aca="false">ROUND(B1324/D1324,2)</f>
        <v>2.05</v>
      </c>
      <c r="F1324" s="6" t="n">
        <f aca="false">ROUND(F1323+E1324,2)</f>
        <v>1907.9</v>
      </c>
    </row>
    <row r="1325" customFormat="false" ht="15" hidden="false" customHeight="true" outlineLevel="0" collapsed="false">
      <c r="A1325" s="6" t="n">
        <v>1323</v>
      </c>
      <c r="B1325" s="6" t="n">
        <f aca="false">ROUND(Veterancy_XP!$B$5*(A1325+1)^Veterancy_XP!$B$6,0)</f>
        <v>452</v>
      </c>
      <c r="C1325" s="6" t="n">
        <f aca="false">ROUND(1/(A1325+1)^Veterancy_XP!$E$6,4)</f>
        <v>0.221</v>
      </c>
      <c r="D1325" s="6" t="n">
        <f aca="false">ROUND(Veterancy_XP!$E$5*C1325,1)</f>
        <v>221</v>
      </c>
      <c r="E1325" s="6" t="n">
        <f aca="false">ROUND(B1325/D1325,2)</f>
        <v>2.05</v>
      </c>
      <c r="F1325" s="6" t="n">
        <f aca="false">ROUND(F1324+E1325,2)</f>
        <v>1909.95</v>
      </c>
    </row>
    <row r="1326" customFormat="false" ht="15" hidden="false" customHeight="true" outlineLevel="0" collapsed="false">
      <c r="A1326" s="6" t="n">
        <v>1324</v>
      </c>
      <c r="B1326" s="6" t="n">
        <f aca="false">ROUND(Veterancy_XP!$B$5*(A1326+1)^Veterancy_XP!$B$6,0)</f>
        <v>453</v>
      </c>
      <c r="C1326" s="6" t="n">
        <f aca="false">ROUND(1/(A1326+1)^Veterancy_XP!$E$6,4)</f>
        <v>0.221</v>
      </c>
      <c r="D1326" s="6" t="n">
        <f aca="false">ROUND(Veterancy_XP!$E$5*C1326,1)</f>
        <v>221</v>
      </c>
      <c r="E1326" s="6" t="n">
        <f aca="false">ROUND(B1326/D1326,2)</f>
        <v>2.05</v>
      </c>
      <c r="F1326" s="6" t="n">
        <f aca="false">ROUND(F1325+E1326,2)</f>
        <v>1912</v>
      </c>
    </row>
    <row r="1327" customFormat="false" ht="15" hidden="false" customHeight="true" outlineLevel="0" collapsed="false">
      <c r="A1327" s="6" t="n">
        <v>1325</v>
      </c>
      <c r="B1327" s="6" t="n">
        <f aca="false">ROUND(Veterancy_XP!$B$5*(A1327+1)^Veterancy_XP!$B$6,0)</f>
        <v>453</v>
      </c>
      <c r="C1327" s="6" t="n">
        <f aca="false">ROUND(1/(A1327+1)^Veterancy_XP!$E$6,4)</f>
        <v>0.2209</v>
      </c>
      <c r="D1327" s="6" t="n">
        <f aca="false">ROUND(Veterancy_XP!$E$5*C1327,1)</f>
        <v>220.9</v>
      </c>
      <c r="E1327" s="6" t="n">
        <f aca="false">ROUND(B1327/D1327,2)</f>
        <v>2.05</v>
      </c>
      <c r="F1327" s="6" t="n">
        <f aca="false">ROUND(F1326+E1327,2)</f>
        <v>1914.05</v>
      </c>
    </row>
    <row r="1328" customFormat="false" ht="15" hidden="false" customHeight="true" outlineLevel="0" collapsed="false">
      <c r="A1328" s="6" t="n">
        <v>1326</v>
      </c>
      <c r="B1328" s="6" t="n">
        <f aca="false">ROUND(Veterancy_XP!$B$5*(A1328+1)^Veterancy_XP!$B$6,0)</f>
        <v>453</v>
      </c>
      <c r="C1328" s="6" t="n">
        <f aca="false">ROUND(1/(A1328+1)^Veterancy_XP!$E$6,4)</f>
        <v>0.2209</v>
      </c>
      <c r="D1328" s="6" t="n">
        <f aca="false">ROUND(Veterancy_XP!$E$5*C1328,1)</f>
        <v>220.9</v>
      </c>
      <c r="E1328" s="6" t="n">
        <f aca="false">ROUND(B1328/D1328,2)</f>
        <v>2.05</v>
      </c>
      <c r="F1328" s="6" t="n">
        <f aca="false">ROUND(F1327+E1328,2)</f>
        <v>1916.1</v>
      </c>
    </row>
    <row r="1329" customFormat="false" ht="15" hidden="false" customHeight="true" outlineLevel="0" collapsed="false">
      <c r="A1329" s="6" t="n">
        <v>1327</v>
      </c>
      <c r="B1329" s="6" t="n">
        <f aca="false">ROUND(Veterancy_XP!$B$5*(A1329+1)^Veterancy_XP!$B$6,0)</f>
        <v>453</v>
      </c>
      <c r="C1329" s="6" t="n">
        <f aca="false">ROUND(1/(A1329+1)^Veterancy_XP!$E$6,4)</f>
        <v>0.2209</v>
      </c>
      <c r="D1329" s="6" t="n">
        <f aca="false">ROUND(Veterancy_XP!$E$5*C1329,1)</f>
        <v>220.9</v>
      </c>
      <c r="E1329" s="6" t="n">
        <f aca="false">ROUND(B1329/D1329,2)</f>
        <v>2.05</v>
      </c>
      <c r="F1329" s="6" t="n">
        <f aca="false">ROUND(F1328+E1329,2)</f>
        <v>1918.15</v>
      </c>
    </row>
    <row r="1330" customFormat="false" ht="15" hidden="false" customHeight="true" outlineLevel="0" collapsed="false">
      <c r="A1330" s="6" t="n">
        <v>1328</v>
      </c>
      <c r="B1330" s="6" t="n">
        <f aca="false">ROUND(Veterancy_XP!$B$5*(A1330+1)^Veterancy_XP!$B$6,0)</f>
        <v>453</v>
      </c>
      <c r="C1330" s="6" t="n">
        <f aca="false">ROUND(1/(A1330+1)^Veterancy_XP!$E$6,4)</f>
        <v>0.2208</v>
      </c>
      <c r="D1330" s="6" t="n">
        <f aca="false">ROUND(Veterancy_XP!$E$5*C1330,1)</f>
        <v>220.8</v>
      </c>
      <c r="E1330" s="6" t="n">
        <f aca="false">ROUND(B1330/D1330,2)</f>
        <v>2.05</v>
      </c>
      <c r="F1330" s="6" t="n">
        <f aca="false">ROUND(F1329+E1330,2)</f>
        <v>1920.2</v>
      </c>
    </row>
    <row r="1331" customFormat="false" ht="15" hidden="false" customHeight="true" outlineLevel="0" collapsed="false">
      <c r="A1331" s="6" t="n">
        <v>1329</v>
      </c>
      <c r="B1331" s="6" t="n">
        <f aca="false">ROUND(Veterancy_XP!$B$5*(A1331+1)^Veterancy_XP!$B$6,0)</f>
        <v>453</v>
      </c>
      <c r="C1331" s="6" t="n">
        <f aca="false">ROUND(1/(A1331+1)^Veterancy_XP!$E$6,4)</f>
        <v>0.2208</v>
      </c>
      <c r="D1331" s="6" t="n">
        <f aca="false">ROUND(Veterancy_XP!$E$5*C1331,1)</f>
        <v>220.8</v>
      </c>
      <c r="E1331" s="6" t="n">
        <f aca="false">ROUND(B1331/D1331,2)</f>
        <v>2.05</v>
      </c>
      <c r="F1331" s="6" t="n">
        <f aca="false">ROUND(F1330+E1331,2)</f>
        <v>1922.25</v>
      </c>
    </row>
    <row r="1332" customFormat="false" ht="15" hidden="false" customHeight="true" outlineLevel="0" collapsed="false">
      <c r="A1332" s="6" t="n">
        <v>1330</v>
      </c>
      <c r="B1332" s="6" t="n">
        <f aca="false">ROUND(Veterancy_XP!$B$5*(A1332+1)^Veterancy_XP!$B$6,0)</f>
        <v>453</v>
      </c>
      <c r="C1332" s="6" t="n">
        <f aca="false">ROUND(1/(A1332+1)^Veterancy_XP!$E$6,4)</f>
        <v>0.2208</v>
      </c>
      <c r="D1332" s="6" t="n">
        <f aca="false">ROUND(Veterancy_XP!$E$5*C1332,1)</f>
        <v>220.8</v>
      </c>
      <c r="E1332" s="6" t="n">
        <f aca="false">ROUND(B1332/D1332,2)</f>
        <v>2.05</v>
      </c>
      <c r="F1332" s="6" t="n">
        <f aca="false">ROUND(F1331+E1332,2)</f>
        <v>1924.3</v>
      </c>
    </row>
    <row r="1333" customFormat="false" ht="15" hidden="false" customHeight="true" outlineLevel="0" collapsed="false">
      <c r="A1333" s="6" t="n">
        <v>1331</v>
      </c>
      <c r="B1333" s="6" t="n">
        <f aca="false">ROUND(Veterancy_XP!$B$5*(A1333+1)^Veterancy_XP!$B$6,0)</f>
        <v>453</v>
      </c>
      <c r="C1333" s="6" t="n">
        <f aca="false">ROUND(1/(A1333+1)^Veterancy_XP!$E$6,4)</f>
        <v>0.2207</v>
      </c>
      <c r="D1333" s="6" t="n">
        <f aca="false">ROUND(Veterancy_XP!$E$5*C1333,1)</f>
        <v>220.7</v>
      </c>
      <c r="E1333" s="6" t="n">
        <f aca="false">ROUND(B1333/D1333,2)</f>
        <v>2.05</v>
      </c>
      <c r="F1333" s="6" t="n">
        <f aca="false">ROUND(F1332+E1333,2)</f>
        <v>1926.35</v>
      </c>
    </row>
    <row r="1334" customFormat="false" ht="15" hidden="false" customHeight="true" outlineLevel="0" collapsed="false">
      <c r="A1334" s="6" t="n">
        <v>1332</v>
      </c>
      <c r="B1334" s="6" t="n">
        <f aca="false">ROUND(Veterancy_XP!$B$5*(A1334+1)^Veterancy_XP!$B$6,0)</f>
        <v>453</v>
      </c>
      <c r="C1334" s="6" t="n">
        <f aca="false">ROUND(1/(A1334+1)^Veterancy_XP!$E$6,4)</f>
        <v>0.2207</v>
      </c>
      <c r="D1334" s="6" t="n">
        <f aca="false">ROUND(Veterancy_XP!$E$5*C1334,1)</f>
        <v>220.7</v>
      </c>
      <c r="E1334" s="6" t="n">
        <f aca="false">ROUND(B1334/D1334,2)</f>
        <v>2.05</v>
      </c>
      <c r="F1334" s="6" t="n">
        <f aca="false">ROUND(F1333+E1334,2)</f>
        <v>1928.4</v>
      </c>
    </row>
    <row r="1335" customFormat="false" ht="15" hidden="false" customHeight="true" outlineLevel="0" collapsed="false">
      <c r="A1335" s="6" t="n">
        <v>1333</v>
      </c>
      <c r="B1335" s="6" t="n">
        <f aca="false">ROUND(Veterancy_XP!$B$5*(A1335+1)^Veterancy_XP!$B$6,0)</f>
        <v>453</v>
      </c>
      <c r="C1335" s="6" t="n">
        <f aca="false">ROUND(1/(A1335+1)^Veterancy_XP!$E$6,4)</f>
        <v>0.2207</v>
      </c>
      <c r="D1335" s="6" t="n">
        <f aca="false">ROUND(Veterancy_XP!$E$5*C1335,1)</f>
        <v>220.7</v>
      </c>
      <c r="E1335" s="6" t="n">
        <f aca="false">ROUND(B1335/D1335,2)</f>
        <v>2.05</v>
      </c>
      <c r="F1335" s="6" t="n">
        <f aca="false">ROUND(F1334+E1335,2)</f>
        <v>1930.45</v>
      </c>
    </row>
    <row r="1336" customFormat="false" ht="15" hidden="false" customHeight="true" outlineLevel="0" collapsed="false">
      <c r="A1336" s="6" t="n">
        <v>1334</v>
      </c>
      <c r="B1336" s="6" t="n">
        <f aca="false">ROUND(Veterancy_XP!$B$5*(A1336+1)^Veterancy_XP!$B$6,0)</f>
        <v>453</v>
      </c>
      <c r="C1336" s="6" t="n">
        <f aca="false">ROUND(1/(A1336+1)^Veterancy_XP!$E$6,4)</f>
        <v>0.2206</v>
      </c>
      <c r="D1336" s="6" t="n">
        <f aca="false">ROUND(Veterancy_XP!$E$5*C1336,1)</f>
        <v>220.6</v>
      </c>
      <c r="E1336" s="6" t="n">
        <f aca="false">ROUND(B1336/D1336,2)</f>
        <v>2.05</v>
      </c>
      <c r="F1336" s="6" t="n">
        <f aca="false">ROUND(F1335+E1336,2)</f>
        <v>1932.5</v>
      </c>
    </row>
    <row r="1337" customFormat="false" ht="15" hidden="false" customHeight="true" outlineLevel="0" collapsed="false">
      <c r="A1337" s="6" t="n">
        <v>1335</v>
      </c>
      <c r="B1337" s="6" t="n">
        <f aca="false">ROUND(Veterancy_XP!$B$5*(A1337+1)^Veterancy_XP!$B$6,0)</f>
        <v>453</v>
      </c>
      <c r="C1337" s="6" t="n">
        <f aca="false">ROUND(1/(A1337+1)^Veterancy_XP!$E$6,4)</f>
        <v>0.2206</v>
      </c>
      <c r="D1337" s="6" t="n">
        <f aca="false">ROUND(Veterancy_XP!$E$5*C1337,1)</f>
        <v>220.6</v>
      </c>
      <c r="E1337" s="6" t="n">
        <f aca="false">ROUND(B1337/D1337,2)</f>
        <v>2.05</v>
      </c>
      <c r="F1337" s="6" t="n">
        <f aca="false">ROUND(F1336+E1337,2)</f>
        <v>1934.55</v>
      </c>
    </row>
    <row r="1338" customFormat="false" ht="15" hidden="false" customHeight="true" outlineLevel="0" collapsed="false">
      <c r="A1338" s="6" t="n">
        <v>1336</v>
      </c>
      <c r="B1338" s="6" t="n">
        <f aca="false">ROUND(Veterancy_XP!$B$5*(A1338+1)^Veterancy_XP!$B$6,0)</f>
        <v>453</v>
      </c>
      <c r="C1338" s="6" t="n">
        <f aca="false">ROUND(1/(A1338+1)^Veterancy_XP!$E$6,4)</f>
        <v>0.2206</v>
      </c>
      <c r="D1338" s="6" t="n">
        <f aca="false">ROUND(Veterancy_XP!$E$5*C1338,1)</f>
        <v>220.6</v>
      </c>
      <c r="E1338" s="6" t="n">
        <f aca="false">ROUND(B1338/D1338,2)</f>
        <v>2.05</v>
      </c>
      <c r="F1338" s="6" t="n">
        <f aca="false">ROUND(F1337+E1338,2)</f>
        <v>1936.6</v>
      </c>
    </row>
    <row r="1339" customFormat="false" ht="15" hidden="false" customHeight="true" outlineLevel="0" collapsed="false">
      <c r="A1339" s="6" t="n">
        <v>1337</v>
      </c>
      <c r="B1339" s="6" t="n">
        <f aca="false">ROUND(Veterancy_XP!$B$5*(A1339+1)^Veterancy_XP!$B$6,0)</f>
        <v>453</v>
      </c>
      <c r="C1339" s="6" t="n">
        <f aca="false">ROUND(1/(A1339+1)^Veterancy_XP!$E$6,4)</f>
        <v>0.2205</v>
      </c>
      <c r="D1339" s="6" t="n">
        <f aca="false">ROUND(Veterancy_XP!$E$5*C1339,1)</f>
        <v>220.5</v>
      </c>
      <c r="E1339" s="6" t="n">
        <f aca="false">ROUND(B1339/D1339,2)</f>
        <v>2.05</v>
      </c>
      <c r="F1339" s="6" t="n">
        <f aca="false">ROUND(F1338+E1339,2)</f>
        <v>1938.65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17"/>
    <col collapsed="false" customWidth="true" hidden="false" outlineLevel="0" max="4" min="4" style="1" width="15"/>
    <col collapsed="false" customWidth="true" hidden="false" outlineLevel="0" max="5" min="5" style="1" width="20"/>
    <col collapsed="false" customWidth="true" hidden="false" outlineLevel="0" max="6" min="6" style="1" width="22"/>
    <col collapsed="false" customWidth="true" hidden="false" outlineLevel="0" max="7" min="7" style="1" width="12"/>
    <col collapsed="false" customWidth="true" hidden="false" outlineLevel="0" max="8" min="8" style="1" width="13"/>
    <col collapsed="false" customWidth="true" hidden="false" outlineLevel="0" max="9" min="9" style="1" width="50"/>
  </cols>
  <sheetData>
    <row r="1" customFormat="false" ht="15" hidden="false" customHeight="true" outlineLevel="0" collapsed="false">
      <c r="A1" s="17" t="s">
        <v>5119</v>
      </c>
    </row>
    <row r="2" customFormat="false" ht="31.5" hidden="false" customHeight="true" outlineLevel="0" collapsed="false">
      <c r="A2" s="18" t="s">
        <v>5120</v>
      </c>
      <c r="B2" s="18"/>
      <c r="C2" s="18"/>
      <c r="D2" s="18"/>
      <c r="E2" s="18"/>
      <c r="F2" s="18"/>
      <c r="G2" s="18"/>
      <c r="H2" s="18"/>
    </row>
    <row r="4" customFormat="false" ht="15" hidden="false" customHeight="true" outlineLevel="0" collapsed="false">
      <c r="A4" s="3" t="s">
        <v>5121</v>
      </c>
      <c r="B4" s="10" t="n">
        <v>50000</v>
      </c>
      <c r="C4" s="3" t="s">
        <v>5122</v>
      </c>
      <c r="D4" s="10" t="n">
        <v>2.75</v>
      </c>
    </row>
    <row r="5" customFormat="false" ht="15" hidden="false" customHeight="true" outlineLevel="0" collapsed="false">
      <c r="A5" s="6" t="s">
        <v>5123</v>
      </c>
      <c r="B5" s="10" t="n">
        <v>1000000000</v>
      </c>
      <c r="C5" s="6" t="s">
        <v>5124</v>
      </c>
      <c r="D5" s="6" t="n">
        <f aca="false">B5*8766*500</f>
        <v>4383000000000000</v>
      </c>
    </row>
    <row r="7" customFormat="false" ht="23.25" hidden="false" customHeight="true" outlineLevel="0" collapsed="false">
      <c r="A7" s="5" t="s">
        <v>3755</v>
      </c>
      <c r="B7" s="5" t="s">
        <v>5078</v>
      </c>
      <c r="C7" s="5" t="s">
        <v>5125</v>
      </c>
      <c r="D7" s="5" t="s">
        <v>5126</v>
      </c>
      <c r="E7" s="5" t="s">
        <v>5127</v>
      </c>
      <c r="F7" s="5" t="s">
        <v>5128</v>
      </c>
      <c r="G7" s="5" t="s">
        <v>5129</v>
      </c>
      <c r="H7" s="5" t="s">
        <v>5130</v>
      </c>
      <c r="I7" s="5" t="s">
        <v>5131</v>
      </c>
    </row>
    <row r="8" customFormat="false" ht="15" hidden="false" customHeight="true" outlineLevel="0" collapsed="false">
      <c r="A8" s="6" t="n">
        <v>1</v>
      </c>
      <c r="B8" s="3" t="s">
        <v>5082</v>
      </c>
      <c r="C8" s="6" t="n">
        <f aca="false">A8*1337</f>
        <v>1337</v>
      </c>
      <c r="D8" s="6" t="str">
        <f aca="false">ROUND(1+0.01*C8,2)&amp;"x"</f>
        <v>14.37x</v>
      </c>
      <c r="E8" s="6" t="s">
        <v>5132</v>
      </c>
      <c r="F8" s="6" t="s">
        <v>3775</v>
      </c>
      <c r="G8" s="6" t="n">
        <f aca="false">ROUND(Veterancy_XP!$B$7^(A8-1),2)</f>
        <v>1</v>
      </c>
      <c r="H8" s="6" t="n">
        <f aca="false">ROUND(Veterancy_XP!$E$7^(A8-1),2)</f>
        <v>1</v>
      </c>
      <c r="I8" s="4" t="s">
        <v>5133</v>
      </c>
    </row>
    <row r="9" customFormat="false" ht="15" hidden="false" customHeight="true" outlineLevel="0" collapsed="false">
      <c r="A9" s="6" t="n">
        <v>2</v>
      </c>
      <c r="B9" s="3" t="s">
        <v>5084</v>
      </c>
      <c r="C9" s="6" t="n">
        <f aca="false">A9*1337</f>
        <v>2674</v>
      </c>
      <c r="D9" s="6" t="str">
        <f aca="false">ROUND(1+0.01*C9,2)&amp;"x"</f>
        <v>27.74x</v>
      </c>
      <c r="E9" s="6" t="n">
        <f aca="false">ROUND($B$4*$D$4^(A9-2),0)</f>
        <v>50000</v>
      </c>
      <c r="F9" s="6" t="n">
        <f aca="false">ROUND($B$4*$D$4^(A9-2)/($B$5*8766),3)</f>
        <v>0</v>
      </c>
      <c r="G9" s="6" t="n">
        <f aca="false">ROUND(Veterancy_XP!$B$7^(A9-1),2)</f>
        <v>1.3</v>
      </c>
      <c r="H9" s="6" t="n">
        <f aca="false">ROUND(Veterancy_XP!$E$7^(A9-1),2)</f>
        <v>1.25</v>
      </c>
      <c r="I9" s="4" t="s">
        <v>5134</v>
      </c>
    </row>
    <row r="10" customFormat="false" ht="15" hidden="false" customHeight="true" outlineLevel="0" collapsed="false">
      <c r="A10" s="6" t="n">
        <v>3</v>
      </c>
      <c r="B10" s="3" t="s">
        <v>5085</v>
      </c>
      <c r="C10" s="6" t="n">
        <f aca="false">A10*1337</f>
        <v>4011</v>
      </c>
      <c r="D10" s="6" t="str">
        <f aca="false">ROUND(1+0.01*C10,2)&amp;"x"</f>
        <v>41.11x</v>
      </c>
      <c r="E10" s="6" t="n">
        <f aca="false">ROUND($B$4*$D$4^(A10-2),0)</f>
        <v>137500</v>
      </c>
      <c r="F10" s="6" t="n">
        <f aca="false">ROUND($B$4*$D$4^(A10-2)/($B$5*8766),3)</f>
        <v>0</v>
      </c>
      <c r="G10" s="6" t="n">
        <f aca="false">ROUND(Veterancy_XP!$B$7^(A10-1),2)</f>
        <v>1.69</v>
      </c>
      <c r="H10" s="6" t="n">
        <f aca="false">ROUND(Veterancy_XP!$E$7^(A10-1),2)</f>
        <v>1.56</v>
      </c>
      <c r="I10" s="4" t="s">
        <v>5135</v>
      </c>
    </row>
    <row r="11" customFormat="false" ht="15" hidden="false" customHeight="true" outlineLevel="0" collapsed="false">
      <c r="A11" s="6" t="n">
        <v>4</v>
      </c>
      <c r="B11" s="3" t="s">
        <v>5086</v>
      </c>
      <c r="C11" s="6" t="n">
        <f aca="false">A11*1337</f>
        <v>5348</v>
      </c>
      <c r="D11" s="6" t="str">
        <f aca="false">ROUND(1+0.01*C11,2)&amp;"x"</f>
        <v>54.48x</v>
      </c>
      <c r="E11" s="6" t="n">
        <f aca="false">ROUND($B$4*$D$4^(A11-2),0)</f>
        <v>378125</v>
      </c>
      <c r="F11" s="6" t="n">
        <f aca="false">ROUND($B$4*$D$4^(A11-2)/($B$5*8766),3)</f>
        <v>0</v>
      </c>
      <c r="G11" s="6" t="n">
        <f aca="false">ROUND(Veterancy_XP!$B$7^(A11-1),2)</f>
        <v>2.2</v>
      </c>
      <c r="H11" s="6" t="n">
        <f aca="false">ROUND(Veterancy_XP!$E$7^(A11-1),2)</f>
        <v>1.95</v>
      </c>
      <c r="I11" s="4" t="s">
        <v>5136</v>
      </c>
    </row>
    <row r="12" customFormat="false" ht="15" hidden="false" customHeight="true" outlineLevel="0" collapsed="false">
      <c r="A12" s="6" t="n">
        <v>5</v>
      </c>
      <c r="B12" s="3" t="s">
        <v>5088</v>
      </c>
      <c r="C12" s="6" t="n">
        <f aca="false">A12*1337</f>
        <v>6685</v>
      </c>
      <c r="D12" s="6" t="str">
        <f aca="false">ROUND(1+0.01*C12,2)&amp;"x"</f>
        <v>67.85x</v>
      </c>
      <c r="E12" s="6" t="n">
        <f aca="false">ROUND($B$4*$D$4^(A12-2),0)</f>
        <v>1039844</v>
      </c>
      <c r="F12" s="6" t="n">
        <f aca="false">ROUND($B$4*$D$4^(A12-2)/($B$5*8766),3)</f>
        <v>0</v>
      </c>
      <c r="G12" s="6" t="n">
        <f aca="false">ROUND(Veterancy_XP!$B$7^(A12-1),2)</f>
        <v>2.86</v>
      </c>
      <c r="H12" s="6" t="n">
        <f aca="false">ROUND(Veterancy_XP!$E$7^(A12-1),2)</f>
        <v>2.44</v>
      </c>
      <c r="I12" s="4" t="s">
        <v>5137</v>
      </c>
    </row>
    <row r="13" customFormat="false" ht="15" hidden="false" customHeight="true" outlineLevel="0" collapsed="false">
      <c r="A13" s="6" t="n">
        <v>6</v>
      </c>
      <c r="B13" s="3" t="s">
        <v>5089</v>
      </c>
      <c r="C13" s="6" t="n">
        <f aca="false">A13*1337</f>
        <v>8022</v>
      </c>
      <c r="D13" s="6" t="str">
        <f aca="false">ROUND(1+0.01*C13,2)&amp;"x"</f>
        <v>81.22x</v>
      </c>
      <c r="E13" s="6" t="n">
        <f aca="false">ROUND($B$4*$D$4^(A13-2),0)</f>
        <v>2859570</v>
      </c>
      <c r="F13" s="6" t="n">
        <f aca="false">ROUND($B$4*$D$4^(A13-2)/($B$5*8766),3)</f>
        <v>0</v>
      </c>
      <c r="G13" s="6" t="n">
        <f aca="false">ROUND(Veterancy_XP!$B$7^(A13-1),2)</f>
        <v>3.71</v>
      </c>
      <c r="H13" s="6" t="n">
        <f aca="false">ROUND(Veterancy_XP!$E$7^(A13-1),2)</f>
        <v>3.05</v>
      </c>
      <c r="I13" s="4" t="s">
        <v>5138</v>
      </c>
    </row>
    <row r="14" customFormat="false" ht="23.25" hidden="false" customHeight="true" outlineLevel="0" collapsed="false">
      <c r="A14" s="6" t="n">
        <v>7</v>
      </c>
      <c r="B14" s="3" t="s">
        <v>5090</v>
      </c>
      <c r="C14" s="6" t="n">
        <f aca="false">A14*1337</f>
        <v>9359</v>
      </c>
      <c r="D14" s="6" t="str">
        <f aca="false">ROUND(1+0.01*C14,2)&amp;"x"</f>
        <v>94.59x</v>
      </c>
      <c r="E14" s="6" t="n">
        <f aca="false">ROUND($B$4*$D$4^(A14-2),0)</f>
        <v>7863818</v>
      </c>
      <c r="F14" s="6" t="n">
        <f aca="false">ROUND($B$4*$D$4^(A14-2)/($B$5*8766),3)</f>
        <v>0</v>
      </c>
      <c r="G14" s="6" t="n">
        <f aca="false">ROUND(Veterancy_XP!$B$7^(A14-1),2)</f>
        <v>4.83</v>
      </c>
      <c r="H14" s="6" t="n">
        <f aca="false">ROUND(Veterancy_XP!$E$7^(A14-1),2)</f>
        <v>3.81</v>
      </c>
      <c r="I14" s="4" t="s">
        <v>5139</v>
      </c>
    </row>
    <row r="15" customFormat="false" ht="15" hidden="false" customHeight="true" outlineLevel="0" collapsed="false">
      <c r="A15" s="6" t="n">
        <v>8</v>
      </c>
      <c r="B15" s="3" t="s">
        <v>5091</v>
      </c>
      <c r="C15" s="6" t="n">
        <f aca="false">A15*1337</f>
        <v>10696</v>
      </c>
      <c r="D15" s="6" t="str">
        <f aca="false">ROUND(1+0.01*C15,2)&amp;"x"</f>
        <v>107.96x</v>
      </c>
      <c r="E15" s="6" t="n">
        <f aca="false">ROUND($B$4*$D$4^(A15-2),0)</f>
        <v>21625500</v>
      </c>
      <c r="F15" s="6" t="n">
        <f aca="false">ROUND($B$4*$D$4^(A15-2)/($B$5*8766),3)</f>
        <v>0</v>
      </c>
      <c r="G15" s="6" t="n">
        <f aca="false">ROUND(Veterancy_XP!$B$7^(A15-1),2)</f>
        <v>6.27</v>
      </c>
      <c r="H15" s="6" t="n">
        <f aca="false">ROUND(Veterancy_XP!$E$7^(A15-1),2)</f>
        <v>4.77</v>
      </c>
      <c r="I15" s="4" t="s">
        <v>5140</v>
      </c>
    </row>
    <row r="16" customFormat="false" ht="15" hidden="false" customHeight="true" outlineLevel="0" collapsed="false">
      <c r="A16" s="6" t="n">
        <v>9</v>
      </c>
      <c r="B16" s="3" t="s">
        <v>5093</v>
      </c>
      <c r="C16" s="6" t="n">
        <f aca="false">A16*1337</f>
        <v>12033</v>
      </c>
      <c r="D16" s="6" t="str">
        <f aca="false">ROUND(1+0.01*C16,2)&amp;"x"</f>
        <v>121.33x</v>
      </c>
      <c r="E16" s="6" t="n">
        <f aca="false">ROUND($B$4*$D$4^(A16-2),0)</f>
        <v>59470126</v>
      </c>
      <c r="F16" s="6" t="n">
        <f aca="false">ROUND($B$4*$D$4^(A16-2)/($B$5*8766),3)</f>
        <v>0</v>
      </c>
      <c r="G16" s="6" t="n">
        <f aca="false">ROUND(Veterancy_XP!$B$7^(A16-1),2)</f>
        <v>8.16</v>
      </c>
      <c r="H16" s="6" t="n">
        <f aca="false">ROUND(Veterancy_XP!$E$7^(A16-1),2)</f>
        <v>5.96</v>
      </c>
      <c r="I16" s="4" t="s">
        <v>5141</v>
      </c>
    </row>
    <row r="17" customFormat="false" ht="15" hidden="false" customHeight="true" outlineLevel="0" collapsed="false">
      <c r="A17" s="6" t="n">
        <v>10</v>
      </c>
      <c r="B17" s="3" t="s">
        <v>5094</v>
      </c>
      <c r="C17" s="6" t="n">
        <f aca="false">A17*1337</f>
        <v>13370</v>
      </c>
      <c r="D17" s="6" t="str">
        <f aca="false">ROUND(1+0.01*C17,2)&amp;"x"</f>
        <v>134.7x</v>
      </c>
      <c r="E17" s="6" t="n">
        <f aca="false">ROUND($B$4*$D$4^(A17-2),0)</f>
        <v>163542847</v>
      </c>
      <c r="F17" s="6" t="n">
        <f aca="false">ROUND($B$4*$D$4^(A17-2)/($B$5*8766),3)</f>
        <v>0</v>
      </c>
      <c r="G17" s="6" t="n">
        <f aca="false">ROUND(Veterancy_XP!$B$7^(A17-1),2)</f>
        <v>10.6</v>
      </c>
      <c r="H17" s="6" t="n">
        <f aca="false">ROUND(Veterancy_XP!$E$7^(A17-1),2)</f>
        <v>7.45</v>
      </c>
      <c r="I17" s="4" t="s">
        <v>5142</v>
      </c>
    </row>
    <row r="18" customFormat="false" ht="23.25" hidden="false" customHeight="true" outlineLevel="0" collapsed="false">
      <c r="A18" s="6" t="n">
        <v>11</v>
      </c>
      <c r="B18" s="3" t="s">
        <v>5095</v>
      </c>
      <c r="C18" s="6" t="n">
        <f aca="false">A18*1337</f>
        <v>14707</v>
      </c>
      <c r="D18" s="6" t="str">
        <f aca="false">ROUND(1+0.01*C18,2)&amp;"x"</f>
        <v>148.07x</v>
      </c>
      <c r="E18" s="6" t="n">
        <f aca="false">ROUND($B$4*$D$4^(A18-2),0)</f>
        <v>449742830</v>
      </c>
      <c r="F18" s="6" t="n">
        <f aca="false">ROUND($B$4*$D$4^(A18-2)/($B$5*8766),3)</f>
        <v>0</v>
      </c>
      <c r="G18" s="6" t="n">
        <f aca="false">ROUND(Veterancy_XP!$B$7^(A18-1),2)</f>
        <v>13.79</v>
      </c>
      <c r="H18" s="6" t="n">
        <f aca="false">ROUND(Veterancy_XP!$E$7^(A18-1),2)</f>
        <v>9.31</v>
      </c>
      <c r="I18" s="4" t="s">
        <v>5143</v>
      </c>
    </row>
    <row r="19" customFormat="false" ht="15" hidden="false" customHeight="true" outlineLevel="0" collapsed="false">
      <c r="A19" s="6" t="n">
        <v>12</v>
      </c>
      <c r="B19" s="3" t="s">
        <v>5096</v>
      </c>
      <c r="C19" s="6" t="n">
        <f aca="false">A19*1337</f>
        <v>16044</v>
      </c>
      <c r="D19" s="6" t="str">
        <f aca="false">ROUND(1+0.01*C19,2)&amp;"x"</f>
        <v>161.44x</v>
      </c>
      <c r="E19" s="6" t="n">
        <f aca="false">ROUND($B$4*$D$4^(A19-2),0)</f>
        <v>1236792784</v>
      </c>
      <c r="F19" s="6" t="n">
        <f aca="false">ROUND($B$4*$D$4^(A19-2)/($B$5*8766),3)</f>
        <v>0</v>
      </c>
      <c r="G19" s="6" t="n">
        <f aca="false">ROUND(Veterancy_XP!$B$7^(A19-1),2)</f>
        <v>17.92</v>
      </c>
      <c r="H19" s="6" t="n">
        <f aca="false">ROUND(Veterancy_XP!$E$7^(A19-1),2)</f>
        <v>11.64</v>
      </c>
      <c r="I19" s="4" t="s">
        <v>5144</v>
      </c>
    </row>
    <row r="20" customFormat="false" ht="15" hidden="false" customHeight="true" outlineLevel="0" collapsed="false">
      <c r="A20" s="6" t="n">
        <v>13</v>
      </c>
      <c r="B20" s="3" t="s">
        <v>5098</v>
      </c>
      <c r="C20" s="6" t="n">
        <f aca="false">A20*1337</f>
        <v>17381</v>
      </c>
      <c r="D20" s="6" t="str">
        <f aca="false">ROUND(1+0.01*C20,2)&amp;"x"</f>
        <v>174.81x</v>
      </c>
      <c r="E20" s="6" t="n">
        <f aca="false">ROUND($B$4*$D$4^(A20-2),0)</f>
        <v>3401180155</v>
      </c>
      <c r="F20" s="6" t="n">
        <f aca="false">ROUND($B$4*$D$4^(A20-2)/($B$5*8766),3)</f>
        <v>0</v>
      </c>
      <c r="G20" s="6" t="n">
        <f aca="false">ROUND(Veterancy_XP!$B$7^(A20-1),2)</f>
        <v>23.3</v>
      </c>
      <c r="H20" s="6" t="n">
        <f aca="false">ROUND(Veterancy_XP!$E$7^(A20-1),2)</f>
        <v>14.55</v>
      </c>
      <c r="I20" s="4" t="s">
        <v>5145</v>
      </c>
    </row>
    <row r="21" customFormat="false" ht="15" hidden="false" customHeight="true" outlineLevel="0" collapsed="false">
      <c r="A21" s="6" t="n">
        <v>14</v>
      </c>
      <c r="B21" s="3" t="s">
        <v>5099</v>
      </c>
      <c r="C21" s="6" t="n">
        <f aca="false">A21*1337</f>
        <v>18718</v>
      </c>
      <c r="D21" s="6" t="str">
        <f aca="false">ROUND(1+0.01*C21,2)&amp;"x"</f>
        <v>188.18x</v>
      </c>
      <c r="E21" s="6" t="n">
        <f aca="false">ROUND($B$4*$D$4^(A21-2),0)</f>
        <v>9353245427</v>
      </c>
      <c r="F21" s="6" t="n">
        <f aca="false">ROUND($B$4*$D$4^(A21-2)/($B$5*8766),3)</f>
        <v>0.001</v>
      </c>
      <c r="G21" s="6" t="n">
        <f aca="false">ROUND(Veterancy_XP!$B$7^(A21-1),2)</f>
        <v>30.29</v>
      </c>
      <c r="H21" s="6" t="n">
        <f aca="false">ROUND(Veterancy_XP!$E$7^(A21-1),2)</f>
        <v>18.19</v>
      </c>
      <c r="I21" s="4" t="s">
        <v>5146</v>
      </c>
    </row>
    <row r="22" customFormat="false" ht="15" hidden="false" customHeight="true" outlineLevel="0" collapsed="false">
      <c r="A22" s="6" t="n">
        <v>15</v>
      </c>
      <c r="B22" s="3" t="s">
        <v>5100</v>
      </c>
      <c r="C22" s="6" t="n">
        <f aca="false">A22*1337</f>
        <v>20055</v>
      </c>
      <c r="D22" s="6" t="str">
        <f aca="false">ROUND(1+0.01*C22,2)&amp;"x"</f>
        <v>201.55x</v>
      </c>
      <c r="E22" s="6" t="n">
        <f aca="false">ROUND($B$4*$D$4^(A22-2),0)</f>
        <v>25721424925</v>
      </c>
      <c r="F22" s="6" t="n">
        <f aca="false">ROUND($B$4*$D$4^(A22-2)/($B$5*8766),3)</f>
        <v>0.003</v>
      </c>
      <c r="G22" s="6" t="n">
        <f aca="false">ROUND(Veterancy_XP!$B$7^(A22-1),2)</f>
        <v>39.37</v>
      </c>
      <c r="H22" s="6" t="n">
        <f aca="false">ROUND(Veterancy_XP!$E$7^(A22-1),2)</f>
        <v>22.74</v>
      </c>
      <c r="I22" s="4" t="s">
        <v>5147</v>
      </c>
    </row>
    <row r="23" customFormat="false" ht="15" hidden="false" customHeight="true" outlineLevel="0" collapsed="false">
      <c r="A23" s="6" t="n">
        <v>16</v>
      </c>
      <c r="B23" s="3" t="s">
        <v>5101</v>
      </c>
      <c r="C23" s="6" t="n">
        <f aca="false">A23*1337</f>
        <v>21392</v>
      </c>
      <c r="D23" s="6" t="str">
        <f aca="false">ROUND(1+0.01*C23,2)&amp;"x"</f>
        <v>214.92x</v>
      </c>
      <c r="E23" s="6" t="n">
        <f aca="false">ROUND($B$4*$D$4^(A23-2),0)</f>
        <v>70733918545</v>
      </c>
      <c r="F23" s="6" t="n">
        <f aca="false">ROUND($B$4*$D$4^(A23-2)/($B$5*8766),3)</f>
        <v>0.008</v>
      </c>
      <c r="G23" s="6" t="n">
        <f aca="false">ROUND(Veterancy_XP!$B$7^(A23-1),2)</f>
        <v>51.19</v>
      </c>
      <c r="H23" s="6" t="n">
        <f aca="false">ROUND(Veterancy_XP!$E$7^(A23-1),2)</f>
        <v>28.42</v>
      </c>
      <c r="I23" s="4" t="s">
        <v>5148</v>
      </c>
    </row>
    <row r="24" customFormat="false" ht="15" hidden="false" customHeight="true" outlineLevel="0" collapsed="false">
      <c r="A24" s="6" t="n">
        <v>17</v>
      </c>
      <c r="B24" s="3" t="s">
        <v>5103</v>
      </c>
      <c r="C24" s="6" t="n">
        <f aca="false">A24*1337</f>
        <v>22729</v>
      </c>
      <c r="D24" s="6" t="str">
        <f aca="false">ROUND(1+0.01*C24,2)&amp;"x"</f>
        <v>228.29x</v>
      </c>
      <c r="E24" s="6" t="n">
        <f aca="false">ROUND($B$4*$D$4^(A24-2),0)</f>
        <v>194518275997</v>
      </c>
      <c r="F24" s="6" t="n">
        <f aca="false">ROUND($B$4*$D$4^(A24-2)/($B$5*8766),3)</f>
        <v>0.022</v>
      </c>
      <c r="G24" s="6" t="n">
        <f aca="false">ROUND(Veterancy_XP!$B$7^(A24-1),2)</f>
        <v>66.54</v>
      </c>
      <c r="H24" s="6" t="n">
        <f aca="false">ROUND(Veterancy_XP!$E$7^(A24-1),2)</f>
        <v>35.53</v>
      </c>
      <c r="I24" s="4" t="s">
        <v>5149</v>
      </c>
    </row>
    <row r="25" customFormat="false" ht="15" hidden="false" customHeight="true" outlineLevel="0" collapsed="false">
      <c r="A25" s="6" t="n">
        <v>18</v>
      </c>
      <c r="B25" s="3" t="s">
        <v>5104</v>
      </c>
      <c r="C25" s="6" t="n">
        <f aca="false">A25*1337</f>
        <v>24066</v>
      </c>
      <c r="D25" s="6" t="str">
        <f aca="false">ROUND(1+0.01*C25,2)&amp;"x"</f>
        <v>241.66x</v>
      </c>
      <c r="E25" s="6" t="n">
        <f aca="false">ROUND($B$4*$D$4^(A25-2),0)</f>
        <v>534925258993</v>
      </c>
      <c r="F25" s="6" t="n">
        <f aca="false">ROUND($B$4*$D$4^(A25-2)/($B$5*8766),3)</f>
        <v>0.061</v>
      </c>
      <c r="G25" s="6" t="n">
        <f aca="false">ROUND(Veterancy_XP!$B$7^(A25-1),2)</f>
        <v>86.5</v>
      </c>
      <c r="H25" s="6" t="n">
        <f aca="false">ROUND(Veterancy_XP!$E$7^(A25-1),2)</f>
        <v>44.41</v>
      </c>
      <c r="I25" s="4" t="s">
        <v>5150</v>
      </c>
    </row>
    <row r="26" customFormat="false" ht="15" hidden="false" customHeight="true" outlineLevel="0" collapsed="false">
      <c r="A26" s="6" t="n">
        <v>19</v>
      </c>
      <c r="B26" s="3" t="s">
        <v>5105</v>
      </c>
      <c r="C26" s="6" t="n">
        <f aca="false">A26*1337</f>
        <v>25403</v>
      </c>
      <c r="D26" s="6" t="str">
        <f aca="false">ROUND(1+0.01*C26,2)&amp;"x"</f>
        <v>255.03x</v>
      </c>
      <c r="E26" s="6" t="n">
        <f aca="false">ROUND($B$4*$D$4^(A26-2),0)</f>
        <v>1471044462230</v>
      </c>
      <c r="F26" s="6" t="n">
        <f aca="false">ROUND($B$4*$D$4^(A26-2)/($B$5*8766),3)</f>
        <v>0.168</v>
      </c>
      <c r="G26" s="6" t="n">
        <f aca="false">ROUND(Veterancy_XP!$B$7^(A26-1),2)</f>
        <v>112.46</v>
      </c>
      <c r="H26" s="6" t="n">
        <f aca="false">ROUND(Veterancy_XP!$E$7^(A26-1),2)</f>
        <v>55.51</v>
      </c>
      <c r="I26" s="4" t="s">
        <v>5151</v>
      </c>
    </row>
    <row r="27" customFormat="false" ht="15" hidden="false" customHeight="true" outlineLevel="0" collapsed="false">
      <c r="A27" s="6" t="n">
        <v>20</v>
      </c>
      <c r="B27" s="3" t="s">
        <v>5106</v>
      </c>
      <c r="C27" s="6" t="n">
        <f aca="false">A27*1337</f>
        <v>26740</v>
      </c>
      <c r="D27" s="6" t="str">
        <f aca="false">ROUND(1+0.01*C27,2)&amp;"x"</f>
        <v>268.4x</v>
      </c>
      <c r="E27" s="6" t="n">
        <f aca="false">ROUND($B$4*$D$4^(A27-2),0)</f>
        <v>4045372271133</v>
      </c>
      <c r="F27" s="6" t="n">
        <f aca="false">ROUND($B$4*$D$4^(A27-2)/($B$5*8766),3)</f>
        <v>0.461</v>
      </c>
      <c r="G27" s="6" t="n">
        <f aca="false">ROUND(Veterancy_XP!$B$7^(A27-1),2)</f>
        <v>146.19</v>
      </c>
      <c r="H27" s="6" t="n">
        <f aca="false">ROUND(Veterancy_XP!$E$7^(A27-1),2)</f>
        <v>69.39</v>
      </c>
      <c r="I27" s="4" t="s">
        <v>5152</v>
      </c>
    </row>
    <row r="28" customFormat="false" ht="15" hidden="false" customHeight="true" outlineLevel="0" collapsed="false">
      <c r="A28" s="6" t="n">
        <v>21</v>
      </c>
      <c r="B28" s="3" t="s">
        <v>5108</v>
      </c>
      <c r="C28" s="6" t="n">
        <f aca="false">A28*1337</f>
        <v>28077</v>
      </c>
      <c r="D28" s="6" t="str">
        <f aca="false">ROUND(1+0.01*C28,2)&amp;"x"</f>
        <v>281.77x</v>
      </c>
      <c r="E28" s="6" t="n">
        <f aca="false">ROUND($B$4*$D$4^(A28-2),0)</f>
        <v>11124773745617</v>
      </c>
      <c r="F28" s="6" t="n">
        <f aca="false">ROUND($B$4*$D$4^(A28-2)/($B$5*8766),3)</f>
        <v>1.269</v>
      </c>
      <c r="G28" s="6" t="n">
        <f aca="false">ROUND(Veterancy_XP!$B$7^(A28-1),2)</f>
        <v>190.05</v>
      </c>
      <c r="H28" s="6" t="n">
        <f aca="false">ROUND(Veterancy_XP!$E$7^(A28-1),2)</f>
        <v>86.74</v>
      </c>
      <c r="I28" s="4" t="s">
        <v>5153</v>
      </c>
    </row>
    <row r="29" customFormat="false" ht="15" hidden="false" customHeight="true" outlineLevel="0" collapsed="false">
      <c r="A29" s="6" t="n">
        <v>22</v>
      </c>
      <c r="B29" s="3" t="s">
        <v>5109</v>
      </c>
      <c r="C29" s="6" t="n">
        <f aca="false">A29*1337</f>
        <v>29414</v>
      </c>
      <c r="D29" s="6" t="str">
        <f aca="false">ROUND(1+0.01*C29,2)&amp;"x"</f>
        <v>295.14x</v>
      </c>
      <c r="E29" s="6" t="n">
        <f aca="false">ROUND($B$4*$D$4^(A29-2),0)</f>
        <v>30593127800446</v>
      </c>
      <c r="F29" s="6" t="n">
        <f aca="false">ROUND($B$4*$D$4^(A29-2)/($B$5*8766),3)</f>
        <v>3.49</v>
      </c>
      <c r="G29" s="6" t="n">
        <f aca="false">ROUND(Veterancy_XP!$B$7^(A29-1),2)</f>
        <v>247.06</v>
      </c>
      <c r="H29" s="6" t="n">
        <f aca="false">ROUND(Veterancy_XP!$E$7^(A29-1),2)</f>
        <v>108.42</v>
      </c>
      <c r="I29" s="4" t="s">
        <v>5154</v>
      </c>
    </row>
    <row r="30" customFormat="false" ht="15" hidden="false" customHeight="true" outlineLevel="0" collapsed="false">
      <c r="A30" s="6" t="n">
        <v>23</v>
      </c>
      <c r="B30" s="3" t="s">
        <v>5110</v>
      </c>
      <c r="C30" s="6" t="n">
        <f aca="false">A30*1337</f>
        <v>30751</v>
      </c>
      <c r="D30" s="6" t="str">
        <f aca="false">ROUND(1+0.01*C30,2)&amp;"x"</f>
        <v>308.51x</v>
      </c>
      <c r="E30" s="6" t="n">
        <f aca="false">ROUND($B$4*$D$4^(A30-2),0)</f>
        <v>84131101451228</v>
      </c>
      <c r="F30" s="6" t="n">
        <f aca="false">ROUND($B$4*$D$4^(A30-2)/($B$5*8766),3)</f>
        <v>9.597</v>
      </c>
      <c r="G30" s="6" t="n">
        <f aca="false">ROUND(Veterancy_XP!$B$7^(A30-1),2)</f>
        <v>321.18</v>
      </c>
      <c r="H30" s="6" t="n">
        <f aca="false">ROUND(Veterancy_XP!$E$7^(A30-1),2)</f>
        <v>135.53</v>
      </c>
      <c r="I30" s="4" t="s">
        <v>5155</v>
      </c>
    </row>
    <row r="31" customFormat="false" ht="15" hidden="false" customHeight="true" outlineLevel="0" collapsed="false">
      <c r="A31" s="6" t="n">
        <v>24</v>
      </c>
      <c r="B31" s="3" t="s">
        <v>5111</v>
      </c>
      <c r="C31" s="6" t="n">
        <f aca="false">A31*1337</f>
        <v>32088</v>
      </c>
      <c r="D31" s="6" t="str">
        <f aca="false">ROUND(1+0.01*C31,2)&amp;"x"</f>
        <v>321.88x</v>
      </c>
      <c r="E31" s="6" t="n">
        <f aca="false">ROUND($B$4*$D$4^(A31-2),0)</f>
        <v>231360528990876</v>
      </c>
      <c r="F31" s="6" t="n">
        <f aca="false">ROUND($B$4*$D$4^(A31-2)/($B$5*8766),3)</f>
        <v>26.393</v>
      </c>
      <c r="G31" s="6" t="n">
        <f aca="false">ROUND(Veterancy_XP!$B$7^(A31-1),2)</f>
        <v>417.54</v>
      </c>
      <c r="H31" s="6" t="n">
        <f aca="false">ROUND(Veterancy_XP!$E$7^(A31-1),2)</f>
        <v>169.41</v>
      </c>
      <c r="I31" s="4" t="s">
        <v>5156</v>
      </c>
    </row>
    <row r="32" customFormat="false" ht="15" hidden="false" customHeight="true" outlineLevel="0" collapsed="false">
      <c r="A32" s="3" t="s">
        <v>5157</v>
      </c>
      <c r="E32" s="6" t="n">
        <f aca="false">ROUND(SUM(E9:E31),0)</f>
        <v>363566545528516</v>
      </c>
      <c r="F32" s="6" t="str">
        <f aca="false">ROUND(SUM(E9:E31)/($B$5*8766),2)&amp;" years of full output"</f>
        <v>41.47 years of full output</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22"/>
    <col collapsed="false" customWidth="true" hidden="false" outlineLevel="0" max="4" min="4" style="1" width="16"/>
    <col collapsed="false" customWidth="true" hidden="false" outlineLevel="0" max="5" min="5" style="1" width="20"/>
    <col collapsed="false" customWidth="true" hidden="false" outlineLevel="0" max="6" min="6" style="1" width="26"/>
  </cols>
  <sheetData>
    <row r="1" customFormat="false" ht="15" hidden="false" customHeight="true" outlineLevel="0" collapsed="false">
      <c r="A1" s="14" t="s">
        <v>5158</v>
      </c>
    </row>
    <row r="3" customFormat="false" ht="15" hidden="false" customHeight="true" outlineLevel="0" collapsed="false">
      <c r="A3" s="3" t="s">
        <v>5159</v>
      </c>
      <c r="B3" s="10" t="n">
        <v>12</v>
      </c>
      <c r="C3" s="3" t="s">
        <v>5160</v>
      </c>
      <c r="D3" s="10" t="n">
        <v>800</v>
      </c>
      <c r="E3" s="20" t="s">
        <v>5161</v>
      </c>
      <c r="F3" s="22" t="n">
        <v>400</v>
      </c>
    </row>
    <row r="5" customFormat="false" ht="15" hidden="false" customHeight="true" outlineLevel="0" collapsed="false">
      <c r="A5" s="3" t="s">
        <v>5162</v>
      </c>
      <c r="B5" s="6" t="str">
        <f aca="false">INDEX(Veterancy_Tiers!$B$8:$B$31, $B$3)</f>
        <v>Ruby</v>
      </c>
    </row>
    <row r="6" customFormat="false" ht="15" hidden="false" customHeight="true" outlineLevel="0" collapsed="false">
      <c r="A6" s="3" t="s">
        <v>5163</v>
      </c>
      <c r="B6" s="6" t="n">
        <f aca="false">($B$3-1)*1337+$D$3</f>
        <v>15507</v>
      </c>
    </row>
    <row r="7" customFormat="false" ht="15" hidden="false" customHeight="true" outlineLevel="0" collapsed="false">
      <c r="A7" s="3" t="s">
        <v>5164</v>
      </c>
      <c r="B7" s="6" t="str">
        <f aca="false">ROUND(1+0.01*B6,2)&amp;"x"</f>
        <v>156.07x</v>
      </c>
    </row>
    <row r="8" customFormat="false" ht="15" hidden="false" customHeight="true" outlineLevel="0" collapsed="false">
      <c r="A8" s="3" t="s">
        <v>5165</v>
      </c>
      <c r="B8" s="6" t="n">
        <f aca="false">ROUND(Veterancy_XP!$B$5*($D$3+1)^Veterancy_XP!$B$6*Veterancy_XP!$B$7^($B$3-1),0)</f>
        <v>7297</v>
      </c>
    </row>
    <row r="9" customFormat="false" ht="15" hidden="false" customHeight="true" outlineLevel="0" collapsed="false">
      <c r="A9" s="3" t="s">
        <v>5166</v>
      </c>
      <c r="B9" s="6" t="n">
        <f aca="false">ROUND(Veterancy_XP!$E$5/(($D$3+1)^Veterancy_XP!$E$6*Veterancy_XP!$E$7^($B$3-1)),1)</f>
        <v>21.1</v>
      </c>
    </row>
    <row r="10" customFormat="false" ht="15" hidden="false" customHeight="true" outlineLevel="0" collapsed="false">
      <c r="A10" s="3" t="s">
        <v>5167</v>
      </c>
      <c r="B10" s="6" t="n">
        <f aca="false">ROUND(B14/B9,1)</f>
        <v>10098.2</v>
      </c>
    </row>
    <row r="11" customFormat="false" ht="15" hidden="false" customHeight="true" outlineLevel="0" collapsed="false">
      <c r="A11" s="3" t="s">
        <v>5168</v>
      </c>
      <c r="B11" s="6" t="n">
        <f aca="false">IF($B$3&gt;=24,"MAX TIER",ROUND(Veterancy_Tiers!$B$4*Veterancy_Tiers!$D$4^($B$3-1),0))</f>
        <v>3401180155</v>
      </c>
    </row>
    <row r="12" customFormat="false" ht="15" hidden="false" customHeight="true" outlineLevel="0" collapsed="false">
      <c r="A12" s="3" t="s">
        <v>5169</v>
      </c>
      <c r="B12" s="6" t="n">
        <f aca="false">MIN(7, ROUNDUP($B$3/3.5,0))</f>
        <v>4</v>
      </c>
    </row>
    <row r="13" customFormat="false" ht="15" hidden="false" customHeight="false" outlineLevel="0" collapsed="false">
      <c r="A13" s="20" t="s">
        <v>5170</v>
      </c>
      <c r="B13" s="21" t="n">
        <f aca="false">ROUND(MIN(Empire_Weight_Multiplier!$F$8, 1+($F$3/Empire_Weight_Multiplier!$B$8)^Empire_Weight_Multiplier!$D$8),1)</f>
        <v>29.2</v>
      </c>
    </row>
    <row r="14" customFormat="false" ht="15" hidden="false" customHeight="false" outlineLevel="0" collapsed="false">
      <c r="A14" s="24" t="s">
        <v>5171</v>
      </c>
      <c r="B14" s="24" t="n">
        <f aca="false">ROUND(B8*B13,0)</f>
        <v>213072</v>
      </c>
    </row>
    <row r="15" customFormat="false" ht="15" hidden="false" customHeight="true" outlineLevel="0" collapsed="false">
      <c r="A15" s="12" t="s">
        <v>5172</v>
      </c>
      <c r="B15" s="13"/>
      <c r="C15" s="13"/>
      <c r="D15" s="13"/>
      <c r="E15" s="13"/>
      <c r="F15" s="13"/>
    </row>
    <row r="16" customFormat="false" ht="15" hidden="false" customHeight="true" outlineLevel="0" collapsed="false">
      <c r="A16" s="8" t="s">
        <v>3755</v>
      </c>
      <c r="B16" s="8" t="s">
        <v>5078</v>
      </c>
      <c r="C16" s="8" t="s">
        <v>237</v>
      </c>
      <c r="D16" s="8" t="s">
        <v>5173</v>
      </c>
      <c r="E16" s="8" t="s">
        <v>5174</v>
      </c>
      <c r="F16" s="8" t="s">
        <v>5175</v>
      </c>
    </row>
    <row r="17" customFormat="false" ht="15" hidden="false" customHeight="true" outlineLevel="0" collapsed="false">
      <c r="A17" s="6" t="n">
        <v>1</v>
      </c>
      <c r="B17" s="6" t="str">
        <f aca="false">INDEX(Veterancy_Tiers!$B$8:$B$31, A17)</f>
        <v>Copper</v>
      </c>
      <c r="C17" s="6" t="n">
        <v>0</v>
      </c>
      <c r="D17" s="6" t="str">
        <f aca="false">ROUND(1+0.01*((A17-1)*1337+C17),2)&amp;"x"</f>
        <v>1x</v>
      </c>
      <c r="E17" s="6" t="n">
        <f aca="false">ROUND(Veterancy_XP!$B$5*(C17+1)^Veterancy_XP!$B$6*Veterancy_XP!$B$7^(A17-1),0)</f>
        <v>100</v>
      </c>
      <c r="F17" s="6" t="n">
        <f aca="false">ROUND(E17/(Veterancy_XP!$E$5/((C17+1)^Veterancy_XP!$E$6*Veterancy_XP!$E$7^(A17-1))),1)</f>
        <v>0.1</v>
      </c>
    </row>
    <row r="18" customFormat="false" ht="15" hidden="false" customHeight="true" outlineLevel="0" collapsed="false">
      <c r="A18" s="6" t="n">
        <v>1</v>
      </c>
      <c r="B18" s="6" t="str">
        <f aca="false">INDEX(Veterancy_Tiers!$B$8:$B$31, A18)</f>
        <v>Copper</v>
      </c>
      <c r="C18" s="6" t="n">
        <v>1337</v>
      </c>
      <c r="D18" s="6" t="str">
        <f aca="false">ROUND(1+0.01*((A18-1)*1337+C18),2)&amp;"x"</f>
        <v>14.37x</v>
      </c>
      <c r="E18" s="6" t="n">
        <f aca="false">ROUND(Veterancy_XP!$B$5*(C18+1)^Veterancy_XP!$B$6*Veterancy_XP!$B$7^(A18-1),0)</f>
        <v>453</v>
      </c>
      <c r="F18" s="6" t="n">
        <f aca="false">ROUND(E18/(Veterancy_XP!$E$5/((C18+1)^Veterancy_XP!$E$6*Veterancy_XP!$E$7^(A18-1))),1)</f>
        <v>2.1</v>
      </c>
    </row>
    <row r="19" customFormat="false" ht="15" hidden="false" customHeight="true" outlineLevel="0" collapsed="false">
      <c r="A19" s="6" t="n">
        <v>4</v>
      </c>
      <c r="B19" s="6" t="str">
        <f aca="false">INDEX(Veterancy_Tiers!$B$8:$B$31, A19)</f>
        <v>Steel</v>
      </c>
      <c r="C19" s="6" t="n">
        <v>0</v>
      </c>
      <c r="D19" s="6" t="str">
        <f aca="false">ROUND(1+0.01*((A19-1)*1337+C19),2)&amp;"x"</f>
        <v>41.11x</v>
      </c>
      <c r="E19" s="6" t="n">
        <f aca="false">ROUND(Veterancy_XP!$B$5*(C19+1)^Veterancy_XP!$B$6*Veterancy_XP!$B$7^(A19-1),0)</f>
        <v>220</v>
      </c>
      <c r="F19" s="6" t="n">
        <f aca="false">ROUND(E19/(Veterancy_XP!$E$5/((C19+1)^Veterancy_XP!$E$6*Veterancy_XP!$E$7^(A19-1))),1)</f>
        <v>0.4</v>
      </c>
    </row>
    <row r="20" customFormat="false" ht="15" hidden="false" customHeight="true" outlineLevel="0" collapsed="false">
      <c r="A20" s="6" t="n">
        <v>8</v>
      </c>
      <c r="B20" s="6" t="str">
        <f aca="false">INDEX(Veterancy_Tiers!$B$8:$B$31, A20)</f>
        <v>Jade</v>
      </c>
      <c r="C20" s="6" t="n">
        <v>668</v>
      </c>
      <c r="D20" s="6" t="str">
        <f aca="false">ROUND(1+0.01*((A20-1)*1337+C20),2)&amp;"x"</f>
        <v>101.27x</v>
      </c>
      <c r="E20" s="6" t="n">
        <f aca="false">ROUND(Veterancy_XP!$B$5*(C20+1)^Veterancy_XP!$B$6*Veterancy_XP!$B$7^(A20-1),0)</f>
        <v>2460</v>
      </c>
      <c r="F20" s="6" t="n">
        <f aca="false">ROUND(E20/(Veterancy_XP!$E$5/((C20+1)^Veterancy_XP!$E$6*Veterancy_XP!$E$7^(A20-1))),1)</f>
        <v>46</v>
      </c>
    </row>
    <row r="21" customFormat="false" ht="15" hidden="false" customHeight="true" outlineLevel="0" collapsed="false">
      <c r="A21" s="6" t="n">
        <v>12</v>
      </c>
      <c r="B21" s="6" t="str">
        <f aca="false">INDEX(Veterancy_Tiers!$B$8:$B$31, A21)</f>
        <v>Ruby</v>
      </c>
      <c r="C21" s="6" t="n">
        <v>1337</v>
      </c>
      <c r="D21" s="6" t="str">
        <f aca="false">ROUND(1+0.01*((A21-1)*1337+C21),2)&amp;"x"</f>
        <v>161.44x</v>
      </c>
      <c r="E21" s="6" t="n">
        <f aca="false">ROUND(Veterancy_XP!$B$5*(C21+1)^Veterancy_XP!$B$6*Veterancy_XP!$B$7^(A21-1),0)</f>
        <v>8127</v>
      </c>
      <c r="F21" s="6" t="n">
        <f aca="false">ROUND(E21/(Veterancy_XP!$E$5/((C21+1)^Veterancy_XP!$E$6*Veterancy_XP!$E$7^(A21-1))),1)</f>
        <v>429</v>
      </c>
    </row>
    <row r="22" customFormat="false" ht="15" hidden="false" customHeight="true" outlineLevel="0" collapsed="false">
      <c r="A22" s="6" t="n">
        <v>16</v>
      </c>
      <c r="B22" s="6" t="str">
        <f aca="false">INDEX(Veterancy_Tiers!$B$8:$B$31, A22)</f>
        <v>Adamant</v>
      </c>
      <c r="C22" s="6" t="n">
        <v>0</v>
      </c>
      <c r="D22" s="6" t="str">
        <f aca="false">ROUND(1+0.01*((A22-1)*1337+C22),2)&amp;"x"</f>
        <v>201.55x</v>
      </c>
      <c r="E22" s="6" t="n">
        <f aca="false">ROUND(Veterancy_XP!$B$5*(C22+1)^Veterancy_XP!$B$6*Veterancy_XP!$B$7^(A22-1),0)</f>
        <v>5119</v>
      </c>
      <c r="F22" s="6" t="n">
        <f aca="false">ROUND(E22/(Veterancy_XP!$E$5/((C22+1)^Veterancy_XP!$E$6*Veterancy_XP!$E$7^(A22-1))),1)</f>
        <v>145.5</v>
      </c>
    </row>
    <row r="23" customFormat="false" ht="15" hidden="false" customHeight="true" outlineLevel="0" collapsed="false">
      <c r="A23" s="6" t="n">
        <v>20</v>
      </c>
      <c r="B23" s="6" t="str">
        <f aca="false">INDEX(Veterancy_Tiers!$B$8:$B$31, A23)</f>
        <v>Void Iron</v>
      </c>
      <c r="C23" s="6" t="n">
        <v>800</v>
      </c>
      <c r="D23" s="6" t="str">
        <f aca="false">ROUND(1+0.01*((A23-1)*1337+C23),2)&amp;"x"</f>
        <v>263.03x</v>
      </c>
      <c r="E23" s="6" t="n">
        <f aca="false">ROUND(Veterancy_XP!$B$5*(C23+1)^Veterancy_XP!$B$6*Veterancy_XP!$B$7^(A23-1),0)</f>
        <v>59523</v>
      </c>
      <c r="F23" s="6" t="n">
        <f aca="false">ROUND(E23/(Veterancy_XP!$E$5/((C23+1)^Veterancy_XP!$E$6*Veterancy_XP!$E$7^(A23-1))),1)</f>
        <v>16816.6</v>
      </c>
    </row>
    <row r="24" customFormat="false" ht="15" hidden="false" customHeight="true" outlineLevel="0" collapsed="false">
      <c r="A24" s="6" t="n">
        <v>24</v>
      </c>
      <c r="B24" s="6" t="str">
        <f aca="false">INDEX(Veterancy_Tiers!$B$8:$B$31, A24)</f>
        <v>Eternal</v>
      </c>
      <c r="C24" s="6" t="n">
        <v>1337</v>
      </c>
      <c r="D24" s="6" t="str">
        <f aca="false">ROUND(1+0.01*((A24-1)*1337+C24),2)&amp;"x"</f>
        <v>321.88x</v>
      </c>
      <c r="E24" s="6" t="n">
        <f aca="false">ROUND(Veterancy_XP!$B$5*(C24+1)^Veterancy_XP!$B$6*Veterancy_XP!$B$7^(A24-1),0)</f>
        <v>189345</v>
      </c>
      <c r="F24" s="6" t="n">
        <f aca="false">ROUND(E24/(Veterancy_XP!$E$5/((C24+1)^Veterancy_XP!$E$6*Veterancy_XP!$E$7^(A24-1))),1)</f>
        <v>145458.8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66"/>
    <col collapsed="false" customWidth="true" hidden="false" outlineLevel="0" max="3" min="3" style="1" width="54"/>
  </cols>
  <sheetData>
    <row r="1" customFormat="false" ht="15" hidden="false" customHeight="true" outlineLevel="0" collapsed="false">
      <c r="A1" s="5" t="s">
        <v>4104</v>
      </c>
      <c r="B1" s="5" t="s">
        <v>4043</v>
      </c>
      <c r="C1" s="5" t="s">
        <v>5176</v>
      </c>
    </row>
    <row r="2" customFormat="false" ht="61.5" hidden="false" customHeight="true" outlineLevel="0" collapsed="false">
      <c r="A2" s="16" t="s">
        <v>5177</v>
      </c>
      <c r="B2" s="4" t="s">
        <v>5178</v>
      </c>
      <c r="C2" s="4" t="s">
        <v>5179</v>
      </c>
    </row>
    <row r="3" customFormat="false" ht="61.5" hidden="false" customHeight="true" outlineLevel="0" collapsed="false">
      <c r="A3" s="16" t="s">
        <v>5180</v>
      </c>
      <c r="B3" s="4" t="s">
        <v>5181</v>
      </c>
      <c r="C3" s="4" t="s">
        <v>5182</v>
      </c>
    </row>
    <row r="4" customFormat="false" ht="61.5" hidden="false" customHeight="true" outlineLevel="0" collapsed="false">
      <c r="A4" s="16" t="s">
        <v>5183</v>
      </c>
      <c r="B4" s="4" t="s">
        <v>5184</v>
      </c>
      <c r="C4" s="4" t="s">
        <v>5185</v>
      </c>
    </row>
    <row r="5" customFormat="false" ht="61.5" hidden="false" customHeight="true" outlineLevel="0" collapsed="false">
      <c r="A5" s="16" t="s">
        <v>5186</v>
      </c>
      <c r="B5" s="4" t="s">
        <v>5187</v>
      </c>
      <c r="C5" s="4" t="s">
        <v>5188</v>
      </c>
    </row>
    <row r="6" customFormat="false" ht="61.5" hidden="false" customHeight="true" outlineLevel="0" collapsed="false">
      <c r="A6" s="16" t="s">
        <v>5189</v>
      </c>
      <c r="B6" s="4" t="s">
        <v>5190</v>
      </c>
      <c r="C6" s="4" t="s">
        <v>5191</v>
      </c>
    </row>
    <row r="7" customFormat="false" ht="61.5" hidden="false" customHeight="true" outlineLevel="0" collapsed="false">
      <c r="A7" s="16" t="s">
        <v>5192</v>
      </c>
      <c r="B7" s="4" t="s">
        <v>5193</v>
      </c>
      <c r="C7" s="4" t="s">
        <v>5194</v>
      </c>
    </row>
    <row r="8" customFormat="false" ht="61.5" hidden="false" customHeight="true" outlineLevel="0" collapsed="false">
      <c r="A8" s="16" t="s">
        <v>5195</v>
      </c>
      <c r="B8" s="4" t="s">
        <v>5196</v>
      </c>
      <c r="C8" s="4" t="s">
        <v>5197</v>
      </c>
    </row>
    <row r="9" customFormat="false" ht="61.5" hidden="false" customHeight="true" outlineLevel="0" collapsed="false">
      <c r="A9" s="16" t="s">
        <v>5198</v>
      </c>
      <c r="B9" s="4" t="s">
        <v>5199</v>
      </c>
      <c r="C9" s="4" t="s">
        <v>5200</v>
      </c>
    </row>
    <row r="10" customFormat="false" ht="61.5" hidden="false" customHeight="true" outlineLevel="0" collapsed="false">
      <c r="A10" s="16" t="s">
        <v>5201</v>
      </c>
      <c r="B10" s="4" t="s">
        <v>5202</v>
      </c>
      <c r="C10" s="4" t="s">
        <v>5203</v>
      </c>
    </row>
    <row r="11" customFormat="false" ht="61.5" hidden="false" customHeight="true" outlineLevel="0" collapsed="false">
      <c r="A11" s="16" t="s">
        <v>5204</v>
      </c>
      <c r="B11" s="4" t="s">
        <v>5205</v>
      </c>
      <c r="C11" s="4" t="s">
        <v>5206</v>
      </c>
    </row>
    <row r="12" customFormat="false" ht="61.5" hidden="false" customHeight="true" outlineLevel="0" collapsed="false">
      <c r="A12" s="16" t="s">
        <v>5207</v>
      </c>
      <c r="B12" s="4" t="s">
        <v>5208</v>
      </c>
      <c r="C12" s="4" t="s">
        <v>5209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20"/>
    <col collapsed="false" customWidth="true" hidden="false" outlineLevel="0" max="6" min="6" style="1" width="54"/>
  </cols>
  <sheetData>
    <row r="1" customFormat="false" ht="15" hidden="false" customHeight="true" outlineLevel="0" collapsed="false">
      <c r="A1" s="17" t="s">
        <v>5210</v>
      </c>
    </row>
    <row r="2" customFormat="false" ht="45.75" hidden="false" customHeight="true" outlineLevel="0" collapsed="false">
      <c r="A2" s="18" t="s">
        <v>5211</v>
      </c>
      <c r="B2" s="18"/>
      <c r="C2" s="18"/>
      <c r="D2" s="18"/>
      <c r="E2" s="18"/>
      <c r="F2" s="18"/>
    </row>
    <row r="4" customFormat="false" ht="15" hidden="false" customHeight="true" outlineLevel="0" collapsed="false">
      <c r="A4" s="12" t="s">
        <v>5212</v>
      </c>
      <c r="B4" s="13"/>
      <c r="C4" s="13"/>
      <c r="D4" s="13"/>
      <c r="E4" s="13"/>
      <c r="F4" s="13"/>
    </row>
    <row r="5" customFormat="false" ht="15" hidden="false" customHeight="true" outlineLevel="0" collapsed="false">
      <c r="A5" s="3" t="s">
        <v>5213</v>
      </c>
    </row>
    <row r="6" customFormat="false" ht="15" hidden="false" customHeight="true" outlineLevel="0" collapsed="false">
      <c r="A6" s="25" t="s">
        <v>5214</v>
      </c>
      <c r="B6" s="25"/>
      <c r="C6" s="25"/>
      <c r="D6" s="25"/>
      <c r="E6" s="25"/>
      <c r="F6" s="25"/>
    </row>
    <row r="8" customFormat="false" ht="15" hidden="false" customHeight="true" outlineLevel="0" collapsed="false">
      <c r="A8" s="26" t="s">
        <v>5215</v>
      </c>
      <c r="B8" s="26" t="s">
        <v>5216</v>
      </c>
      <c r="C8" s="26"/>
      <c r="D8" s="26"/>
      <c r="E8" s="26"/>
      <c r="F8" s="26" t="s">
        <v>5217</v>
      </c>
    </row>
    <row r="9" customFormat="false" ht="61.5" hidden="false" customHeight="true" outlineLevel="0" collapsed="false">
      <c r="A9" s="16" t="s">
        <v>5218</v>
      </c>
      <c r="B9" s="19" t="s">
        <v>5219</v>
      </c>
      <c r="C9" s="19"/>
      <c r="D9" s="19"/>
      <c r="E9" s="19"/>
      <c r="F9" s="4" t="s">
        <v>5220</v>
      </c>
    </row>
    <row r="10" customFormat="false" ht="61.5" hidden="false" customHeight="true" outlineLevel="0" collapsed="false">
      <c r="A10" s="16" t="s">
        <v>5221</v>
      </c>
      <c r="B10" s="19" t="s">
        <v>5222</v>
      </c>
      <c r="C10" s="19"/>
      <c r="D10" s="19"/>
      <c r="E10" s="19"/>
      <c r="F10" s="4" t="s">
        <v>5223</v>
      </c>
    </row>
    <row r="11" customFormat="false" ht="61.5" hidden="false" customHeight="true" outlineLevel="0" collapsed="false">
      <c r="A11" s="16" t="s">
        <v>5224</v>
      </c>
      <c r="B11" s="19" t="s">
        <v>5225</v>
      </c>
      <c r="C11" s="19"/>
      <c r="D11" s="19"/>
      <c r="E11" s="19"/>
      <c r="F11" s="4" t="s">
        <v>5226</v>
      </c>
    </row>
    <row r="12" customFormat="false" ht="61.5" hidden="false" customHeight="true" outlineLevel="0" collapsed="false">
      <c r="A12" s="16" t="s">
        <v>5227</v>
      </c>
      <c r="B12" s="19" t="s">
        <v>5228</v>
      </c>
      <c r="C12" s="19"/>
      <c r="D12" s="19"/>
      <c r="E12" s="19"/>
      <c r="F12" s="4" t="s">
        <v>5229</v>
      </c>
    </row>
    <row r="13" customFormat="false" ht="61.5" hidden="false" customHeight="true" outlineLevel="0" collapsed="false">
      <c r="A13" s="16" t="s">
        <v>5230</v>
      </c>
      <c r="B13" s="19" t="s">
        <v>5231</v>
      </c>
      <c r="C13" s="19"/>
      <c r="D13" s="19"/>
      <c r="E13" s="19"/>
      <c r="F13" s="4" t="s">
        <v>5232</v>
      </c>
    </row>
    <row r="14" customFormat="false" ht="61.5" hidden="false" customHeight="true" outlineLevel="0" collapsed="false">
      <c r="A14" s="16" t="s">
        <v>5233</v>
      </c>
      <c r="B14" s="19" t="s">
        <v>5234</v>
      </c>
      <c r="C14" s="19"/>
      <c r="D14" s="19"/>
      <c r="E14" s="19"/>
      <c r="F14" s="4" t="s">
        <v>5235</v>
      </c>
    </row>
    <row r="16" customFormat="false" ht="15" hidden="false" customHeight="true" outlineLevel="0" collapsed="false">
      <c r="A16" s="12" t="s">
        <v>5236</v>
      </c>
      <c r="B16" s="13"/>
      <c r="C16" s="13"/>
      <c r="D16" s="13"/>
      <c r="E16" s="13"/>
      <c r="F16" s="13"/>
    </row>
    <row r="17" customFormat="false" ht="15" hidden="false" customHeight="true" outlineLevel="0" collapsed="false">
      <c r="A17" s="26" t="s">
        <v>5237</v>
      </c>
      <c r="B17" s="26" t="s">
        <v>5238</v>
      </c>
      <c r="C17" s="26" t="s">
        <v>5239</v>
      </c>
      <c r="D17" s="26"/>
      <c r="E17" s="26"/>
      <c r="F17" s="26" t="s">
        <v>5176</v>
      </c>
    </row>
    <row r="18" customFormat="false" ht="69.75" hidden="false" customHeight="true" outlineLevel="0" collapsed="false">
      <c r="A18" s="16" t="s">
        <v>5240</v>
      </c>
      <c r="B18" s="4" t="s">
        <v>5241</v>
      </c>
      <c r="C18" s="19" t="s">
        <v>5242</v>
      </c>
      <c r="D18" s="19"/>
      <c r="E18" s="19"/>
      <c r="F18" s="4" t="s">
        <v>5243</v>
      </c>
    </row>
    <row r="19" customFormat="false" ht="69.75" hidden="false" customHeight="true" outlineLevel="0" collapsed="false">
      <c r="A19" s="16" t="s">
        <v>5244</v>
      </c>
      <c r="B19" s="4" t="s">
        <v>5245</v>
      </c>
      <c r="C19" s="19" t="s">
        <v>5246</v>
      </c>
      <c r="D19" s="19"/>
      <c r="E19" s="19"/>
      <c r="F19" s="4" t="s">
        <v>5247</v>
      </c>
    </row>
    <row r="21" customFormat="false" ht="15" hidden="false" customHeight="true" outlineLevel="0" collapsed="false">
      <c r="A21" s="12" t="s">
        <v>5248</v>
      </c>
      <c r="B21" s="13"/>
      <c r="C21" s="13"/>
      <c r="D21" s="13"/>
      <c r="E21" s="13"/>
      <c r="F21" s="13"/>
    </row>
    <row r="22" customFormat="false" ht="31.5" hidden="false" customHeight="true" outlineLevel="0" collapsed="false">
      <c r="A22" s="6" t="s">
        <v>4107</v>
      </c>
      <c r="B22" s="19" t="s">
        <v>5249</v>
      </c>
      <c r="C22" s="19"/>
      <c r="D22" s="19"/>
      <c r="E22" s="19"/>
      <c r="F22" s="19"/>
    </row>
    <row r="23" customFormat="false" ht="31.5" hidden="false" customHeight="true" outlineLevel="0" collapsed="false">
      <c r="A23" s="6" t="s">
        <v>4107</v>
      </c>
      <c r="B23" s="19" t="s">
        <v>5250</v>
      </c>
      <c r="C23" s="19"/>
      <c r="D23" s="19"/>
      <c r="E23" s="19"/>
      <c r="F23" s="19"/>
    </row>
    <row r="24" customFormat="false" ht="31.5" hidden="false" customHeight="true" outlineLevel="0" collapsed="false">
      <c r="A24" s="6" t="s">
        <v>4107</v>
      </c>
      <c r="B24" s="19" t="s">
        <v>5251</v>
      </c>
      <c r="C24" s="19"/>
      <c r="D24" s="19"/>
      <c r="E24" s="19"/>
      <c r="F24" s="19"/>
    </row>
    <row r="25" customFormat="false" ht="31.5" hidden="false" customHeight="true" outlineLevel="0" collapsed="false">
      <c r="A25" s="6" t="s">
        <v>4107</v>
      </c>
      <c r="B25" s="19" t="s">
        <v>5252</v>
      </c>
      <c r="C25" s="19"/>
      <c r="D25" s="19"/>
      <c r="E25" s="19"/>
      <c r="F25" s="19"/>
    </row>
    <row r="26" customFormat="false" ht="31.5" hidden="false" customHeight="true" outlineLevel="0" collapsed="false">
      <c r="A26" s="6" t="s">
        <v>4134</v>
      </c>
      <c r="B26" s="19" t="s">
        <v>5253</v>
      </c>
      <c r="C26" s="19"/>
      <c r="D26" s="19"/>
      <c r="E26" s="19"/>
      <c r="F26" s="19"/>
    </row>
    <row r="27" customFormat="false" ht="31.5" hidden="false" customHeight="true" outlineLevel="0" collapsed="false">
      <c r="A27" s="6" t="s">
        <v>4134</v>
      </c>
      <c r="B27" s="19" t="s">
        <v>5254</v>
      </c>
      <c r="C27" s="19"/>
      <c r="D27" s="19"/>
      <c r="E27" s="19"/>
      <c r="F27" s="19"/>
    </row>
    <row r="29" customFormat="false" ht="15" hidden="false" customHeight="true" outlineLevel="0" collapsed="false">
      <c r="A29" s="12" t="s">
        <v>5255</v>
      </c>
      <c r="B29" s="13"/>
      <c r="C29" s="13"/>
      <c r="D29" s="13"/>
      <c r="E29" s="13"/>
      <c r="F29" s="13"/>
    </row>
    <row r="30" customFormat="false" ht="43.5" hidden="false" customHeight="true" outlineLevel="0" collapsed="false">
      <c r="A30" s="6" t="s">
        <v>4134</v>
      </c>
      <c r="B30" s="19" t="s">
        <v>5256</v>
      </c>
      <c r="C30" s="19"/>
      <c r="D30" s="19"/>
      <c r="E30" s="19"/>
      <c r="F30" s="19"/>
    </row>
    <row r="31" customFormat="false" ht="43.5" hidden="false" customHeight="true" outlineLevel="0" collapsed="false">
      <c r="A31" s="6" t="s">
        <v>4134</v>
      </c>
      <c r="B31" s="19" t="s">
        <v>5257</v>
      </c>
      <c r="C31" s="19"/>
      <c r="D31" s="19"/>
      <c r="E31" s="19"/>
      <c r="F31" s="19"/>
    </row>
    <row r="32" customFormat="false" ht="43.5" hidden="false" customHeight="true" outlineLevel="0" collapsed="false">
      <c r="A32" s="6" t="s">
        <v>4134</v>
      </c>
      <c r="B32" s="19" t="s">
        <v>5258</v>
      </c>
      <c r="C32" s="19"/>
      <c r="D32" s="19"/>
      <c r="E32" s="19"/>
      <c r="F32" s="19"/>
    </row>
    <row r="33" customFormat="false" ht="43.5" hidden="false" customHeight="true" outlineLevel="0" collapsed="false">
      <c r="A33" s="6" t="s">
        <v>4134</v>
      </c>
      <c r="B33" s="19" t="s">
        <v>5259</v>
      </c>
      <c r="C33" s="19"/>
      <c r="D33" s="19"/>
      <c r="E33" s="19"/>
      <c r="F33" s="19"/>
    </row>
    <row r="35" customFormat="false" ht="15" hidden="false" customHeight="false" outlineLevel="0" collapsed="false">
      <c r="A35" s="27" t="s">
        <v>5260</v>
      </c>
      <c r="B35" s="28"/>
      <c r="C35" s="28"/>
      <c r="D35" s="28"/>
      <c r="E35" s="28"/>
      <c r="F35" s="28"/>
    </row>
    <row r="36" customFormat="false" ht="45.75" hidden="false" customHeight="true" outlineLevel="0" collapsed="false">
      <c r="A36" s="19" t="s">
        <v>5261</v>
      </c>
      <c r="B36" s="19"/>
      <c r="C36" s="19"/>
      <c r="D36" s="19"/>
      <c r="E36" s="19"/>
      <c r="F36" s="19"/>
    </row>
  </sheetData>
  <mergeCells count="21">
    <mergeCell ref="A2:F2"/>
    <mergeCell ref="A6:F6"/>
    <mergeCell ref="B9:E9"/>
    <mergeCell ref="B10:E10"/>
    <mergeCell ref="B11:E11"/>
    <mergeCell ref="B12:E12"/>
    <mergeCell ref="B13:E13"/>
    <mergeCell ref="B14:E14"/>
    <mergeCell ref="C18:E18"/>
    <mergeCell ref="C19:E19"/>
    <mergeCell ref="B22:F22"/>
    <mergeCell ref="B23:F23"/>
    <mergeCell ref="B24:F24"/>
    <mergeCell ref="B25:F25"/>
    <mergeCell ref="B26:F26"/>
    <mergeCell ref="B27:F27"/>
    <mergeCell ref="B30:F30"/>
    <mergeCell ref="B31:F31"/>
    <mergeCell ref="B32:F32"/>
    <mergeCell ref="B33:F33"/>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6" min="2" style="1" width="18"/>
  </cols>
  <sheetData>
    <row r="1" customFormat="false" ht="15" hidden="false" customHeight="true" outlineLevel="0" collapsed="false">
      <c r="A1" s="17" t="s">
        <v>5262</v>
      </c>
    </row>
    <row r="2" customFormat="false" ht="15" hidden="false" customHeight="true" outlineLevel="0" collapsed="false">
      <c r="A2" s="7" t="s">
        <v>5263</v>
      </c>
    </row>
    <row r="4" customFormat="false" ht="15" hidden="false" customHeight="true" outlineLevel="0" collapsed="false">
      <c r="A4" s="12" t="s">
        <v>5264</v>
      </c>
      <c r="B4" s="13"/>
      <c r="C4" s="13"/>
      <c r="D4" s="13"/>
      <c r="E4" s="13"/>
      <c r="F4" s="13"/>
    </row>
    <row r="5" customFormat="false" ht="15" hidden="false" customHeight="true" outlineLevel="0" collapsed="false">
      <c r="A5" s="29" t="s">
        <v>5265</v>
      </c>
      <c r="B5" s="29"/>
      <c r="C5" s="29"/>
      <c r="D5" s="29"/>
      <c r="E5" s="29"/>
      <c r="F5" s="29"/>
    </row>
    <row r="6" customFormat="false" ht="15" hidden="false" customHeight="true" outlineLevel="0" collapsed="false">
      <c r="A6" s="29" t="s">
        <v>5266</v>
      </c>
      <c r="B6" s="29"/>
      <c r="C6" s="29"/>
      <c r="D6" s="29"/>
      <c r="E6" s="29"/>
      <c r="F6" s="29"/>
    </row>
    <row r="8" customFormat="false" ht="15" hidden="false" customHeight="true" outlineLevel="0" collapsed="false">
      <c r="A8" s="26" t="s">
        <v>5267</v>
      </c>
      <c r="B8" s="26" t="s">
        <v>5268</v>
      </c>
      <c r="C8" s="26" t="s">
        <v>1343</v>
      </c>
      <c r="D8" s="26" t="s">
        <v>5269</v>
      </c>
      <c r="E8" s="26" t="s">
        <v>5270</v>
      </c>
      <c r="F8" s="26" t="s">
        <v>5271</v>
      </c>
    </row>
    <row r="9" customFormat="false" ht="15" hidden="false" customHeight="true" outlineLevel="0" collapsed="false">
      <c r="A9" s="6" t="s">
        <v>5272</v>
      </c>
      <c r="B9" s="9" t="n">
        <v>2000</v>
      </c>
      <c r="C9" s="9" t="n">
        <v>300</v>
      </c>
      <c r="D9" s="6" t="s">
        <v>5272</v>
      </c>
      <c r="E9" s="9" t="n">
        <v>1500</v>
      </c>
      <c r="F9" s="9" t="n">
        <v>800</v>
      </c>
    </row>
    <row r="10" customFormat="false" ht="15" hidden="false" customHeight="true" outlineLevel="0" collapsed="false">
      <c r="A10" s="6" t="s">
        <v>5273</v>
      </c>
      <c r="B10" s="9" t="n">
        <v>9.6</v>
      </c>
      <c r="C10" s="9" t="n">
        <v>11</v>
      </c>
      <c r="D10" s="6" t="s">
        <v>5273</v>
      </c>
      <c r="E10" s="9" t="n">
        <v>4</v>
      </c>
      <c r="F10" s="9" t="n">
        <v>4</v>
      </c>
    </row>
    <row r="11" customFormat="false" ht="15" hidden="false" customHeight="true" outlineLevel="0" collapsed="false">
      <c r="A11" s="6" t="s">
        <v>5274</v>
      </c>
      <c r="B11" s="9" t="n">
        <v>12</v>
      </c>
      <c r="C11" s="9" t="n">
        <v>5</v>
      </c>
      <c r="D11" s="6" t="s">
        <v>5274</v>
      </c>
      <c r="E11" s="9" t="n">
        <v>2</v>
      </c>
      <c r="F11" s="9" t="n">
        <v>1</v>
      </c>
    </row>
    <row r="12" customFormat="false" ht="15" hidden="false" customHeight="true" outlineLevel="0" collapsed="false">
      <c r="A12" s="6" t="s">
        <v>5275</v>
      </c>
      <c r="B12" s="9" t="n">
        <v>800</v>
      </c>
      <c r="C12" s="9" t="n">
        <v>200</v>
      </c>
      <c r="D12" s="6" t="s">
        <v>5275</v>
      </c>
      <c r="E12" s="9" t="n">
        <v>400</v>
      </c>
      <c r="F12" s="9" t="n">
        <v>600</v>
      </c>
    </row>
    <row r="13" customFormat="false" ht="15" hidden="false" customHeight="true" outlineLevel="0" collapsed="false">
      <c r="A13" s="6" t="s">
        <v>5276</v>
      </c>
      <c r="B13" s="6" t="n">
        <f aca="false">ROUND(1+0.01*((B11-1)*1337+B12),2)</f>
        <v>156.07</v>
      </c>
      <c r="C13" s="6" t="n">
        <f aca="false">ROUND(1+0.01*((C11-1)*1337+C12),2)</f>
        <v>56.48</v>
      </c>
      <c r="E13" s="6" t="n">
        <f aca="false">ROUND(1+0.01*((E11-1)*1337+E12),2)</f>
        <v>18.37</v>
      </c>
      <c r="F13" s="6" t="n">
        <f aca="false">ROUND(1+0.01*((F11-1)*1337+F12),2)</f>
        <v>7</v>
      </c>
    </row>
    <row r="14" customFormat="false" ht="15" hidden="false" customHeight="true" outlineLevel="0" collapsed="false">
      <c r="A14" s="3" t="s">
        <v>5277</v>
      </c>
      <c r="B14" s="6" t="n">
        <f aca="false">ROUND(B10*B13,1)</f>
        <v>1498.3</v>
      </c>
      <c r="C14" s="6" t="n">
        <f aca="false">ROUND(C10*C13,1)</f>
        <v>621.3</v>
      </c>
      <c r="E14" s="6" t="n">
        <f aca="false">ROUND(E10*E13,1)</f>
        <v>73.5</v>
      </c>
      <c r="F14" s="6" t="n">
        <f aca="false">ROUND(F10*F13,1)</f>
        <v>28</v>
      </c>
    </row>
    <row r="16" customFormat="false" ht="15" hidden="false" customHeight="true" outlineLevel="0" collapsed="false">
      <c r="A16" s="12" t="s">
        <v>5278</v>
      </c>
      <c r="B16" s="13"/>
      <c r="C16" s="13"/>
      <c r="D16" s="13"/>
      <c r="E16" s="13"/>
      <c r="F16" s="13"/>
    </row>
    <row r="17" customFormat="false" ht="15" hidden="false" customHeight="true" outlineLevel="0" collapsed="false">
      <c r="A17" s="26"/>
      <c r="B17" s="26" t="s">
        <v>5268</v>
      </c>
      <c r="C17" s="26" t="s">
        <v>1343</v>
      </c>
      <c r="D17" s="26"/>
      <c r="E17" s="26"/>
      <c r="F17" s="26"/>
    </row>
    <row r="18" customFormat="false" ht="15" hidden="false" customHeight="true" outlineLevel="0" collapsed="false">
      <c r="A18" s="6" t="s">
        <v>5279</v>
      </c>
      <c r="B18" s="9" t="n">
        <v>0.78</v>
      </c>
      <c r="C18" s="9" t="n">
        <v>0.22</v>
      </c>
    </row>
    <row r="19" customFormat="false" ht="15" hidden="false" customHeight="true" outlineLevel="0" collapsed="false">
      <c r="A19" s="6" t="s">
        <v>5280</v>
      </c>
      <c r="B19" s="9" t="n">
        <v>900</v>
      </c>
    </row>
    <row r="20" customFormat="false" ht="15" hidden="false" customHeight="true" outlineLevel="0" collapsed="false">
      <c r="A20" s="6" t="s">
        <v>5281</v>
      </c>
      <c r="B20" s="9" t="n">
        <v>400</v>
      </c>
    </row>
    <row r="22" customFormat="false" ht="15" hidden="false" customHeight="true" outlineLevel="0" collapsed="false">
      <c r="A22" s="12" t="s">
        <v>5282</v>
      </c>
      <c r="B22" s="13"/>
      <c r="C22" s="13"/>
      <c r="D22" s="13"/>
      <c r="E22" s="13"/>
      <c r="F22" s="13"/>
    </row>
    <row r="23" customFormat="false" ht="15" hidden="false" customHeight="true" outlineLevel="0" collapsed="false">
      <c r="A23" s="26" t="s">
        <v>5283</v>
      </c>
      <c r="B23" s="26" t="s">
        <v>5284</v>
      </c>
      <c r="C23" s="26" t="s">
        <v>5285</v>
      </c>
      <c r="D23" s="26"/>
      <c r="E23" s="26"/>
      <c r="F23" s="26"/>
    </row>
    <row r="24" customFormat="false" ht="15" hidden="false" customHeight="true" outlineLevel="0" collapsed="false">
      <c r="A24" s="6" t="s">
        <v>5286</v>
      </c>
      <c r="B24" s="6" t="n">
        <f aca="false">ROUND($B$19*B18,0)</f>
        <v>702</v>
      </c>
      <c r="C24" s="6" t="n">
        <f aca="false">ROUND($B$20*B18,0)</f>
        <v>312</v>
      </c>
    </row>
    <row r="25" customFormat="false" ht="15" hidden="false" customHeight="true" outlineLevel="0" collapsed="false">
      <c r="A25" s="6" t="s">
        <v>5287</v>
      </c>
      <c r="B25" s="6" t="n">
        <f aca="false">E14</f>
        <v>73.5</v>
      </c>
      <c r="C25" s="6" t="n">
        <f aca="false">F14</f>
        <v>28</v>
      </c>
    </row>
    <row r="26" customFormat="false" ht="15" hidden="false" customHeight="true" outlineLevel="0" collapsed="false">
      <c r="A26" s="6" t="s">
        <v>5288</v>
      </c>
      <c r="B26" s="6" t="n">
        <f aca="false">ROUND(B24*B25,0)</f>
        <v>51597</v>
      </c>
      <c r="C26" s="6" t="n">
        <f aca="false">ROUND(C24*C25,0)</f>
        <v>8736</v>
      </c>
    </row>
    <row r="27" customFormat="false" ht="15" hidden="false" customHeight="true" outlineLevel="0" collapsed="false">
      <c r="A27" s="6" t="s">
        <v>5289</v>
      </c>
      <c r="B27" s="9" t="n">
        <v>0.77</v>
      </c>
      <c r="C27" s="9" t="n">
        <v>1</v>
      </c>
    </row>
    <row r="28" customFormat="false" ht="15" hidden="false" customHeight="true" outlineLevel="0" collapsed="false">
      <c r="A28" s="6" t="s">
        <v>5290</v>
      </c>
      <c r="B28" s="6" t="n">
        <f aca="false">ROUND(MAX(0.05,MIN(4,(B25/$B$14)^0.5)),3)</f>
        <v>0.221</v>
      </c>
      <c r="C28" s="6" t="n">
        <f aca="false">ROUND(MAX(0.05,MIN(4,(C25/$B$14)^0.5)),3)</f>
        <v>0.137</v>
      </c>
    </row>
    <row r="29" customFormat="false" ht="15" hidden="false" customHeight="true" outlineLevel="0" collapsed="false">
      <c r="A29" s="6" t="s">
        <v>5291</v>
      </c>
      <c r="B29" s="6" t="n">
        <f aca="false">ROUND(B26*B27*B28,0)</f>
        <v>8780</v>
      </c>
      <c r="C29" s="6" t="n">
        <f aca="false">ROUND(C26*C27*C28,0)</f>
        <v>1197</v>
      </c>
    </row>
    <row r="31" customFormat="false" ht="15" hidden="false" customHeight="true" outlineLevel="0" collapsed="false">
      <c r="A31" s="12" t="s">
        <v>5292</v>
      </c>
      <c r="B31" s="13"/>
      <c r="C31" s="13"/>
      <c r="D31" s="13"/>
      <c r="E31" s="13"/>
      <c r="F31" s="13"/>
    </row>
    <row r="32" customFormat="false" ht="15" hidden="false" customHeight="true" outlineLevel="0" collapsed="false">
      <c r="A32" s="6" t="s">
        <v>5293</v>
      </c>
      <c r="B32" s="6" t="n">
        <f aca="false">B29+C29</f>
        <v>9977</v>
      </c>
    </row>
    <row r="33" customFormat="false" ht="15" hidden="false" customHeight="true" outlineLevel="0" collapsed="false">
      <c r="A33" s="6" t="s">
        <v>5294</v>
      </c>
      <c r="B33" s="6" t="n">
        <f aca="false">ROUND(1/(($B$12+1)^0.21*1.25^($B$11-1)),5)</f>
        <v>0.0211</v>
      </c>
    </row>
    <row r="34" customFormat="false" ht="15" hidden="false" customHeight="true" outlineLevel="0" collapsed="false">
      <c r="A34" s="6" t="s">
        <v>5295</v>
      </c>
      <c r="B34" s="9" t="n">
        <v>1</v>
      </c>
    </row>
    <row r="35" customFormat="false" ht="15" hidden="false" customHeight="true" outlineLevel="0" collapsed="false">
      <c r="A35" s="3" t="s">
        <v>5296</v>
      </c>
      <c r="B35" s="14" t="n">
        <f aca="false">ROUND(B32*B33*B34,0)</f>
        <v>211</v>
      </c>
    </row>
    <row r="36" customFormat="false" ht="15" hidden="false" customHeight="true" outlineLevel="0" collapsed="false">
      <c r="A36" s="6" t="s">
        <v>5297</v>
      </c>
      <c r="B36" s="6" t="n">
        <f aca="false">ROUND(100*($B$12+1)^0.21*1.3^($B$11-1),0)</f>
        <v>7297</v>
      </c>
    </row>
    <row r="37" customFormat="false" ht="15" hidden="false" customHeight="true" outlineLevel="0" collapsed="false">
      <c r="A37" s="6" t="s">
        <v>5298</v>
      </c>
      <c r="B37" s="6" t="str">
        <f aca="false">ROUND(B35/B36*100,1)&amp;"% of a level"</f>
        <v>2.9% of a level</v>
      </c>
    </row>
    <row r="38" customFormat="false" ht="15" hidden="false" customHeight="true" outlineLevel="0" collapsed="false">
      <c r="A38" s="6" t="s">
        <v>5299</v>
      </c>
      <c r="B38" s="6" t="str">
        <f aca="false">ROUND(B32/1000,1)&amp;" standard battles"</f>
        <v>10 standard battles</v>
      </c>
    </row>
    <row r="40" customFormat="false" ht="43.5" hidden="false" customHeight="true" outlineLevel="0" collapsed="false">
      <c r="A40" s="18" t="s">
        <v>5300</v>
      </c>
      <c r="B40" s="18"/>
      <c r="C40" s="18"/>
      <c r="D40" s="18"/>
      <c r="E40" s="18"/>
      <c r="F40" s="18"/>
    </row>
  </sheetData>
  <mergeCells count="3">
    <mergeCell ref="A5:F5"/>
    <mergeCell ref="A6:F6"/>
    <mergeCell ref="A40: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5" min="3" style="0" width="20"/>
    <col collapsed="false" customWidth="true" hidden="false" outlineLevel="0" max="6" min="6" style="0" width="54"/>
  </cols>
  <sheetData>
    <row r="1" customFormat="false" ht="15" hidden="false" customHeight="false" outlineLevel="0" collapsed="false">
      <c r="A1" s="30" t="s">
        <v>5301</v>
      </c>
    </row>
    <row r="2" customFormat="false" ht="45.75" hidden="false" customHeight="true" outlineLevel="0" collapsed="false">
      <c r="A2" s="18" t="s">
        <v>5302</v>
      </c>
      <c r="B2" s="18"/>
      <c r="C2" s="18"/>
      <c r="D2" s="18"/>
      <c r="E2" s="18"/>
      <c r="F2" s="18"/>
    </row>
    <row r="4" customFormat="false" ht="15" hidden="false" customHeight="false" outlineLevel="0" collapsed="false">
      <c r="A4" s="27" t="s">
        <v>5303</v>
      </c>
      <c r="B4" s="28"/>
      <c r="C4" s="28"/>
      <c r="D4" s="28"/>
      <c r="E4" s="28"/>
      <c r="F4" s="28"/>
    </row>
    <row r="5" customFormat="false" ht="15" hidden="false" customHeight="false" outlineLevel="0" collapsed="false">
      <c r="A5" s="31" t="s">
        <v>5304</v>
      </c>
      <c r="B5" s="31"/>
      <c r="C5" s="31"/>
      <c r="D5" s="31"/>
      <c r="E5" s="31"/>
      <c r="F5" s="31"/>
    </row>
    <row r="6" customFormat="false" ht="15" hidden="false" customHeight="false" outlineLevel="0" collapsed="false">
      <c r="A6" s="31" t="s">
        <v>5305</v>
      </c>
      <c r="B6" s="31"/>
      <c r="C6" s="31"/>
      <c r="D6" s="31"/>
      <c r="E6" s="31"/>
      <c r="F6" s="31"/>
    </row>
    <row r="8" customFormat="false" ht="15" hidden="false" customHeight="false" outlineLevel="0" collapsed="false">
      <c r="A8" s="20" t="s">
        <v>5306</v>
      </c>
      <c r="B8" s="22" t="n">
        <v>100</v>
      </c>
      <c r="C8" s="20" t="s">
        <v>5307</v>
      </c>
      <c r="D8" s="22" t="n">
        <v>2.41</v>
      </c>
      <c r="E8" s="20" t="s">
        <v>5308</v>
      </c>
      <c r="F8" s="22" t="n">
        <v>9918521</v>
      </c>
    </row>
    <row r="9" customFormat="false" ht="31.5" hidden="false" customHeight="true" outlineLevel="0" collapsed="false">
      <c r="A9" s="19" t="s">
        <v>5309</v>
      </c>
      <c r="B9" s="19"/>
      <c r="C9" s="19"/>
      <c r="D9" s="19"/>
      <c r="E9" s="19"/>
      <c r="F9" s="19"/>
    </row>
    <row r="11" customFormat="false" ht="15" hidden="false" customHeight="false" outlineLevel="0" collapsed="false">
      <c r="A11" s="27" t="s">
        <v>5310</v>
      </c>
      <c r="B11" s="28"/>
      <c r="C11" s="28"/>
      <c r="D11" s="28"/>
      <c r="E11" s="28"/>
      <c r="F11" s="28"/>
    </row>
    <row r="12" customFormat="false" ht="15" hidden="false" customHeight="false" outlineLevel="0" collapsed="false">
      <c r="A12" s="26" t="s">
        <v>5311</v>
      </c>
      <c r="B12" s="26" t="s">
        <v>5312</v>
      </c>
      <c r="C12" s="26" t="s">
        <v>5313</v>
      </c>
      <c r="D12" s="26" t="s">
        <v>4119</v>
      </c>
      <c r="E12" s="26"/>
      <c r="F12" s="26" t="s">
        <v>5314</v>
      </c>
    </row>
    <row r="13" customFormat="false" ht="25.5" hidden="false" customHeight="true" outlineLevel="0" collapsed="false">
      <c r="A13" s="4" t="s">
        <v>5315</v>
      </c>
      <c r="B13" s="32" t="n">
        <v>2</v>
      </c>
      <c r="C13" s="21" t="n">
        <f aca="false">MIN($F$8, 1+(B13/$B$8)^$D$8)</f>
        <v>1.00008044189438</v>
      </c>
      <c r="D13" s="21" t="str">
        <f aca="false">TEXT(C13,"#,##0")&amp;"x more XP"</f>
        <v>1x more XP</v>
      </c>
      <c r="F13" s="4" t="s">
        <v>5316</v>
      </c>
    </row>
    <row r="14" customFormat="false" ht="25.5" hidden="false" customHeight="true" outlineLevel="0" collapsed="false">
      <c r="A14" s="4" t="s">
        <v>5317</v>
      </c>
      <c r="B14" s="32" t="n">
        <v>20</v>
      </c>
      <c r="C14" s="21" t="n">
        <f aca="false">MIN($F$8, 1+(B14/$B$8)^$D$8)</f>
        <v>1.02067675060788</v>
      </c>
      <c r="D14" s="21" t="str">
        <f aca="false">TEXT(C14,"#,##0")&amp;"x more XP"</f>
        <v>1x more XP</v>
      </c>
      <c r="F14" s="4" t="s">
        <v>5318</v>
      </c>
    </row>
    <row r="15" customFormat="false" ht="25.5" hidden="false" customHeight="true" outlineLevel="0" collapsed="false">
      <c r="A15" s="4" t="s">
        <v>5319</v>
      </c>
      <c r="B15" s="32" t="n">
        <v>70</v>
      </c>
      <c r="C15" s="21" t="n">
        <f aca="false">MIN($F$8, 1+(B15/$B$8)^$D$8)</f>
        <v>1.42333704738219</v>
      </c>
      <c r="D15" s="21" t="str">
        <f aca="false">TEXT(C15,"#,##0")&amp;"x more XP"</f>
        <v>1x more XP</v>
      </c>
      <c r="F15" s="4" t="s">
        <v>5320</v>
      </c>
    </row>
    <row r="16" customFormat="false" ht="25.5" hidden="false" customHeight="true" outlineLevel="0" collapsed="false">
      <c r="A16" s="4" t="s">
        <v>5321</v>
      </c>
      <c r="B16" s="32" t="n">
        <v>150</v>
      </c>
      <c r="C16" s="21" t="n">
        <f aca="false">MIN($F$8, 1+(B16/$B$8)^$D$8)</f>
        <v>3.65692890962935</v>
      </c>
      <c r="D16" s="21" t="str">
        <f aca="false">TEXT(C16,"#,##0")&amp;"x more XP"</f>
        <v>4x more XP</v>
      </c>
      <c r="F16" s="4" t="s">
        <v>5322</v>
      </c>
    </row>
    <row r="17" customFormat="false" ht="25.5" hidden="false" customHeight="true" outlineLevel="0" collapsed="false">
      <c r="A17" s="4" t="s">
        <v>5323</v>
      </c>
      <c r="B17" s="32" t="n">
        <v>400</v>
      </c>
      <c r="C17" s="21" t="n">
        <f aca="false">MIN($F$8, 1+(B17/$B$8)^$D$8)</f>
        <v>29.246495881301</v>
      </c>
      <c r="D17" s="21" t="str">
        <f aca="false">TEXT(C17,"#,##0")&amp;"x more XP"</f>
        <v>29x more XP</v>
      </c>
      <c r="F17" s="4" t="s">
        <v>5324</v>
      </c>
    </row>
    <row r="18" customFormat="false" ht="25.5" hidden="false" customHeight="true" outlineLevel="0" collapsed="false">
      <c r="A18" s="4" t="s">
        <v>5325</v>
      </c>
      <c r="B18" s="32" t="n">
        <v>1000</v>
      </c>
      <c r="C18" s="21" t="n">
        <f aca="false">MIN($F$8, 1+(B18/$B$8)^$D$8)</f>
        <v>258.039578276886</v>
      </c>
      <c r="D18" s="21" t="str">
        <f aca="false">TEXT(C18,"#,##0")&amp;"x more XP"</f>
        <v>258x more XP</v>
      </c>
      <c r="F18" s="4" t="s">
        <v>5326</v>
      </c>
    </row>
    <row r="19" customFormat="false" ht="25.5" hidden="false" customHeight="true" outlineLevel="0" collapsed="false">
      <c r="A19" s="4" t="s">
        <v>5327</v>
      </c>
      <c r="B19" s="32" t="n">
        <v>2000</v>
      </c>
      <c r="C19" s="21" t="n">
        <f aca="false">MIN($F$8, 1+(B19/$B$8)^$D$8)</f>
        <v>1367.0993652714</v>
      </c>
      <c r="D19" s="21" t="str">
        <f aca="false">TEXT(C19,"#,##0")&amp;"x more XP"</f>
        <v>1,367x more XP</v>
      </c>
      <c r="F19" s="4" t="s">
        <v>5328</v>
      </c>
    </row>
    <row r="20" customFormat="false" ht="25.5" hidden="false" customHeight="true" outlineLevel="0" collapsed="false">
      <c r="A20" s="4" t="s">
        <v>5329</v>
      </c>
      <c r="B20" s="32" t="n">
        <v>8000</v>
      </c>
      <c r="C20" s="21" t="n">
        <f aca="false">MIN($F$8, 1+(B20/$B$8)^$D$8)</f>
        <v>38588.5200945863</v>
      </c>
      <c r="D20" s="21" t="str">
        <f aca="false">TEXT(C20,"#,##0")&amp;"x more XP"</f>
        <v>38,589x more XP</v>
      </c>
      <c r="F20" s="4" t="s">
        <v>5330</v>
      </c>
    </row>
    <row r="21" customFormat="false" ht="25.5" hidden="false" customHeight="true" outlineLevel="0" collapsed="false">
      <c r="A21" s="4" t="s">
        <v>5331</v>
      </c>
      <c r="B21" s="32" t="n">
        <v>30000</v>
      </c>
      <c r="C21" s="21" t="n">
        <f aca="false">MIN($F$8, 1+(B21/$B$8)^$D$8)</f>
        <v>932959.280990562</v>
      </c>
      <c r="D21" s="21" t="str">
        <f aca="false">TEXT(C21,"#,##0")&amp;"x more XP"</f>
        <v>932,959x more XP</v>
      </c>
      <c r="F21" s="4" t="s">
        <v>5332</v>
      </c>
    </row>
    <row r="22" customFormat="false" ht="25.5" hidden="false" customHeight="true" outlineLevel="0" collapsed="false">
      <c r="A22" s="4" t="s">
        <v>5333</v>
      </c>
      <c r="B22" s="32" t="n">
        <v>80000</v>
      </c>
      <c r="C22" s="21" t="n">
        <f aca="false">MIN($F$8, 1+(B22/$B$8)^$D$8)</f>
        <v>9918520.89186335</v>
      </c>
      <c r="D22" s="21" t="str">
        <f aca="false">TEXT(C22,"#,##0")&amp;"x more XP"</f>
        <v>9,918,521x more XP</v>
      </c>
      <c r="F22" s="4" t="s">
        <v>5334</v>
      </c>
    </row>
    <row r="24" customFormat="false" ht="15" hidden="false" customHeight="false" outlineLevel="0" collapsed="false">
      <c r="A24" s="27" t="s">
        <v>5335</v>
      </c>
      <c r="B24" s="28"/>
      <c r="C24" s="28"/>
      <c r="D24" s="28"/>
      <c r="E24" s="28"/>
      <c r="F24" s="28"/>
    </row>
    <row r="25" customFormat="false" ht="55.5" hidden="false" customHeight="true" outlineLevel="0" collapsed="false">
      <c r="A25" s="16" t="s">
        <v>5336</v>
      </c>
      <c r="B25" s="19" t="s">
        <v>5337</v>
      </c>
      <c r="C25" s="19"/>
      <c r="D25" s="19"/>
      <c r="E25" s="19"/>
      <c r="F25" s="19"/>
    </row>
    <row r="26" customFormat="false" ht="55.5" hidden="false" customHeight="true" outlineLevel="0" collapsed="false">
      <c r="A26" s="16" t="s">
        <v>5338</v>
      </c>
      <c r="B26" s="19" t="s">
        <v>5339</v>
      </c>
      <c r="C26" s="19"/>
      <c r="D26" s="19"/>
      <c r="E26" s="19"/>
      <c r="F26" s="19"/>
    </row>
    <row r="27" customFormat="false" ht="55.5" hidden="false" customHeight="true" outlineLevel="0" collapsed="false">
      <c r="A27" s="16" t="s">
        <v>5340</v>
      </c>
      <c r="B27" s="19" t="s">
        <v>5341</v>
      </c>
      <c r="C27" s="19"/>
      <c r="D27" s="19"/>
      <c r="E27" s="19"/>
      <c r="F27" s="19"/>
    </row>
    <row r="28" customFormat="false" ht="55.5" hidden="false" customHeight="true" outlineLevel="0" collapsed="false">
      <c r="A28" s="16" t="s">
        <v>5342</v>
      </c>
      <c r="B28" s="19" t="s">
        <v>5343</v>
      </c>
      <c r="C28" s="19"/>
      <c r="D28" s="19"/>
      <c r="E28" s="19"/>
      <c r="F28" s="19"/>
    </row>
    <row r="29" customFormat="false" ht="55.5" hidden="false" customHeight="true" outlineLevel="0" collapsed="false">
      <c r="A29" s="16" t="s">
        <v>5344</v>
      </c>
      <c r="B29" s="19" t="s">
        <v>5345</v>
      </c>
      <c r="C29" s="19"/>
      <c r="D29" s="19"/>
      <c r="E29" s="19"/>
      <c r="F29" s="19"/>
    </row>
    <row r="31" customFormat="false" ht="15" hidden="false" customHeight="false" outlineLevel="0" collapsed="false">
      <c r="A31" s="27" t="s">
        <v>5346</v>
      </c>
      <c r="B31" s="28"/>
      <c r="C31" s="28"/>
      <c r="D31" s="28"/>
      <c r="E31" s="28"/>
      <c r="F31" s="28"/>
    </row>
    <row r="32" customFormat="false" ht="15" hidden="false" customHeight="false" outlineLevel="0" collapsed="false">
      <c r="A32" s="26" t="s">
        <v>3954</v>
      </c>
      <c r="B32" s="26" t="s">
        <v>5347</v>
      </c>
      <c r="C32" s="26"/>
      <c r="D32" s="26"/>
      <c r="E32" s="26"/>
      <c r="F32" s="26" t="s">
        <v>5348</v>
      </c>
    </row>
    <row r="33" customFormat="false" ht="30" hidden="false" customHeight="true" outlineLevel="0" collapsed="false">
      <c r="A33" s="4" t="s">
        <v>5349</v>
      </c>
      <c r="B33" s="20" t="s">
        <v>5350</v>
      </c>
      <c r="F33" s="4" t="s">
        <v>5351</v>
      </c>
    </row>
    <row r="34" customFormat="false" ht="30" hidden="false" customHeight="true" outlineLevel="0" collapsed="false">
      <c r="A34" s="4" t="s">
        <v>5352</v>
      </c>
      <c r="B34" s="20" t="s">
        <v>5350</v>
      </c>
      <c r="F34" s="4" t="s">
        <v>5353</v>
      </c>
    </row>
    <row r="35" customFormat="false" ht="30" hidden="false" customHeight="true" outlineLevel="0" collapsed="false">
      <c r="A35" s="4" t="s">
        <v>5354</v>
      </c>
      <c r="B35" s="20" t="s">
        <v>5355</v>
      </c>
      <c r="F35" s="4" t="s">
        <v>5356</v>
      </c>
    </row>
    <row r="36" customFormat="false" ht="30" hidden="false" customHeight="true" outlineLevel="0" collapsed="false">
      <c r="A36" s="4" t="s">
        <v>5357</v>
      </c>
      <c r="B36" s="20" t="s">
        <v>5355</v>
      </c>
      <c r="F36" s="4" t="s">
        <v>5358</v>
      </c>
    </row>
    <row r="37" customFormat="false" ht="30" hidden="false" customHeight="true" outlineLevel="0" collapsed="false">
      <c r="A37" s="4" t="s">
        <v>5359</v>
      </c>
      <c r="B37" s="20" t="s">
        <v>5355</v>
      </c>
      <c r="F37" s="4" t="s">
        <v>5360</v>
      </c>
    </row>
    <row r="38" customFormat="false" ht="30" hidden="false" customHeight="true" outlineLevel="0" collapsed="false">
      <c r="A38" s="4" t="s">
        <v>5361</v>
      </c>
      <c r="B38" s="20" t="s">
        <v>5355</v>
      </c>
      <c r="F38" s="4" t="s">
        <v>5362</v>
      </c>
    </row>
    <row r="39" customFormat="false" ht="30" hidden="false" customHeight="true" outlineLevel="0" collapsed="false">
      <c r="A39" s="4" t="s">
        <v>5363</v>
      </c>
      <c r="B39" s="20" t="s">
        <v>5355</v>
      </c>
      <c r="F39" s="4" t="s">
        <v>5364</v>
      </c>
    </row>
    <row r="40" customFormat="false" ht="30" hidden="false" customHeight="true" outlineLevel="0" collapsed="false">
      <c r="A40" s="4" t="s">
        <v>5365</v>
      </c>
      <c r="B40" s="20" t="s">
        <v>5366</v>
      </c>
      <c r="F40" s="4" t="s">
        <v>5367</v>
      </c>
    </row>
    <row r="42" customFormat="false" ht="15" hidden="false" customHeight="false" outlineLevel="0" collapsed="false">
      <c r="A42" s="27" t="s">
        <v>5368</v>
      </c>
      <c r="B42" s="28"/>
      <c r="C42" s="28"/>
      <c r="D42" s="28"/>
      <c r="E42" s="28"/>
      <c r="F42" s="28"/>
    </row>
    <row r="43" customFormat="false" ht="61.5" hidden="false" customHeight="true" outlineLevel="0" collapsed="false">
      <c r="A43" s="16" t="s">
        <v>5369</v>
      </c>
      <c r="B43" s="19" t="s">
        <v>5370</v>
      </c>
      <c r="C43" s="19"/>
      <c r="D43" s="19"/>
      <c r="E43" s="19"/>
      <c r="F43" s="19"/>
    </row>
    <row r="44" customFormat="false" ht="61.5" hidden="false" customHeight="true" outlineLevel="0" collapsed="false">
      <c r="A44" s="16" t="s">
        <v>5371</v>
      </c>
      <c r="B44" s="19" t="s">
        <v>5372</v>
      </c>
      <c r="C44" s="19"/>
      <c r="D44" s="19"/>
      <c r="E44" s="19"/>
      <c r="F44" s="19"/>
    </row>
    <row r="45" customFormat="false" ht="61.5" hidden="false" customHeight="true" outlineLevel="0" collapsed="false">
      <c r="A45" s="16" t="s">
        <v>5373</v>
      </c>
      <c r="B45" s="19" t="s">
        <v>5374</v>
      </c>
      <c r="C45" s="19"/>
      <c r="D45" s="19"/>
      <c r="E45" s="19"/>
      <c r="F45" s="19"/>
    </row>
    <row r="46" customFormat="false" ht="61.5" hidden="false" customHeight="true" outlineLevel="0" collapsed="false">
      <c r="A46" s="16" t="s">
        <v>5375</v>
      </c>
      <c r="B46" s="19" t="s">
        <v>5376</v>
      </c>
      <c r="C46" s="19"/>
      <c r="D46" s="19"/>
      <c r="E46" s="19"/>
      <c r="F46" s="19"/>
    </row>
    <row r="47" customFormat="false" ht="61.5" hidden="false" customHeight="true" outlineLevel="0" collapsed="false">
      <c r="A47" s="16" t="s">
        <v>5377</v>
      </c>
      <c r="B47" s="19" t="s">
        <v>5378</v>
      </c>
      <c r="C47" s="19"/>
      <c r="D47" s="19"/>
      <c r="E47" s="19"/>
      <c r="F47" s="19"/>
    </row>
    <row r="48" customFormat="false" ht="61.5" hidden="false" customHeight="true" outlineLevel="0" collapsed="false">
      <c r="A48" s="16" t="s">
        <v>5379</v>
      </c>
      <c r="B48" s="19" t="s">
        <v>5380</v>
      </c>
      <c r="C48" s="19"/>
      <c r="D48" s="19"/>
      <c r="E48" s="19"/>
      <c r="F48" s="19"/>
    </row>
    <row r="49" customFormat="false" ht="61.5" hidden="false" customHeight="true" outlineLevel="0" collapsed="false">
      <c r="A49" s="16" t="s">
        <v>5381</v>
      </c>
      <c r="B49" s="19" t="s">
        <v>5382</v>
      </c>
      <c r="C49" s="19"/>
      <c r="D49" s="19"/>
      <c r="E49" s="19"/>
      <c r="F49" s="19"/>
    </row>
    <row r="51" customFormat="false" ht="15" hidden="false" customHeight="false" outlineLevel="0" collapsed="false">
      <c r="A51" s="27" t="s">
        <v>5383</v>
      </c>
      <c r="B51" s="28"/>
      <c r="C51" s="28"/>
      <c r="D51" s="28"/>
      <c r="E51" s="28"/>
      <c r="F51" s="28"/>
    </row>
    <row r="52" customFormat="false" ht="15" hidden="false" customHeight="false" outlineLevel="0" collapsed="false">
      <c r="A52" s="20" t="s">
        <v>5161</v>
      </c>
      <c r="B52" s="22" t="n">
        <v>400</v>
      </c>
      <c r="C52" s="20" t="s">
        <v>5058</v>
      </c>
      <c r="D52" s="21" t="n">
        <f aca="false">MIN($F$8, 1+(B52/$B$8)^$D$8)</f>
        <v>29.246495881301</v>
      </c>
    </row>
  </sheetData>
  <mergeCells count="16">
    <mergeCell ref="A2:F2"/>
    <mergeCell ref="A5:F5"/>
    <mergeCell ref="A6:F6"/>
    <mergeCell ref="A9:F9"/>
    <mergeCell ref="B25:F25"/>
    <mergeCell ref="B26:F26"/>
    <mergeCell ref="B27:F27"/>
    <mergeCell ref="B28:F28"/>
    <mergeCell ref="B29:F29"/>
    <mergeCell ref="B43:F43"/>
    <mergeCell ref="B44:F44"/>
    <mergeCell ref="B45:F45"/>
    <mergeCell ref="B46:F46"/>
    <mergeCell ref="B47:F47"/>
    <mergeCell ref="B48:F48"/>
    <mergeCell ref="B49:F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2026-09-12T05:59:33Z</dcterms:created>
  <dc:creator>openpyxl</dc:creator>
  <dc:description/>
  <dc:language>en-US</dc:language>
  <cp:lastModifiedBy/>
  <dcterms:modified xsi:type="dcterms:W3CDTF">2026-09-13T01:57:26Z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